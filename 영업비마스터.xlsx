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0401\Documents\업무인수인계\6.실적보고\2025년\stodashboard\"/>
    </mc:Choice>
  </mc:AlternateContent>
  <xr:revisionPtr revIDLastSave="0" documentId="13_ncr:1_{CCCE90E2-1CF6-4FA1-9BC7-FBEDCC3D4D6D}" xr6:coauthVersionLast="47" xr6:coauthVersionMax="47" xr10:uidLastSave="{00000000-0000-0000-0000-000000000000}"/>
  <bookViews>
    <workbookView xWindow="-120" yWindow="-120" windowWidth="29040" windowHeight="15720" activeTab="2" xr2:uid="{EB7CE8A8-E5AC-45D0-A2AA-53624E71118A}"/>
  </bookViews>
  <sheets>
    <sheet name="G&amp;A Vendor x GL Analysis" sheetId="1" r:id="rId1"/>
    <sheet name="Sheet6" sheetId="6" r:id="rId2"/>
    <sheet name="Sheet9" sheetId="9" r:id="rId3"/>
    <sheet name="Sheet7" sheetId="7" r:id="rId4"/>
    <sheet name="그룹핑마스터" sheetId="8" r:id="rId5"/>
  </sheets>
  <externalReferences>
    <externalReference r:id="rId6"/>
  </externalReferences>
  <definedNames>
    <definedName name="_" hidden="1">#REF!</definedName>
    <definedName name="_?">#REF!</definedName>
    <definedName name="_?0_F" hidden="1">#REF!</definedName>
    <definedName name="_?춑_TOTAL">#REF!</definedName>
    <definedName name="_?춮t2">#REF!</definedName>
    <definedName name="_?춮ta">#REF!</definedName>
    <definedName name="_?춮tb">#REF!</definedName>
    <definedName name="__">#REF!</definedName>
    <definedName name="__?">#REF!</definedName>
    <definedName name="__?춑_TOTAL">#REF!</definedName>
    <definedName name="__?춮t2">#REF!</definedName>
    <definedName name="__?춮ta">#REF!</definedName>
    <definedName name="__?춮tb">#REF!</definedName>
    <definedName name="___">#REF!</definedName>
    <definedName name="___?">#REF!</definedName>
    <definedName name="___?춑_TOTAL">#REF!</definedName>
    <definedName name="____">#REF!</definedName>
    <definedName name="____?">#REF!</definedName>
    <definedName name="____?춑_TOTAL">#REF!</definedName>
    <definedName name="____?춮t2">#REF!</definedName>
    <definedName name="____?춮ta">#REF!</definedName>
    <definedName name="____?춮tb">#REF!</definedName>
    <definedName name="_____">#REF!</definedName>
    <definedName name="_____?">#REF!</definedName>
    <definedName name="_____?춑_TOTAL">#REF!</definedName>
    <definedName name="______">#REF!</definedName>
    <definedName name="______?">#REF!</definedName>
    <definedName name="______?춑_TOTAL">#REF!</definedName>
    <definedName name="_______">#REF!</definedName>
    <definedName name="_______?">#REF!</definedName>
    <definedName name="_______?춑_TOTAL">#REF!</definedName>
    <definedName name="________">#REF!</definedName>
    <definedName name="________?">#REF!</definedName>
    <definedName name="________?춑_TOTAL">#REF!</definedName>
    <definedName name="_________">#REF!</definedName>
    <definedName name="_________?">#REF!</definedName>
    <definedName name="_________?춑_TOTAL">#REF!</definedName>
    <definedName name="__________">#REF!</definedName>
    <definedName name="__________?">#REF!</definedName>
    <definedName name="__________?춑_TOTAL">#REF!</definedName>
    <definedName name="___________">#REF!</definedName>
    <definedName name="___________?">#REF!</definedName>
    <definedName name="___________?춑_TOTAL">#REF!</definedName>
    <definedName name="____________?">#REF!</definedName>
    <definedName name="____________?춑_TOTAL">#REF!</definedName>
    <definedName name="_____________?">#REF!</definedName>
    <definedName name="__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C332897">#REF!</definedName>
    <definedName name="____________________E65954">#REF!</definedName>
    <definedName name="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C332897">#REF!</definedName>
    <definedName name="___________________E65954">#REF!</definedName>
    <definedName name="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C332897">#REF!</definedName>
    <definedName name="__________________E65954">#REF!</definedName>
    <definedName name="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C332897">#REF!</definedName>
    <definedName name="_________________E65954">#REF!</definedName>
    <definedName name="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C332897">#REF!</definedName>
    <definedName name="________________E65954">#REF!</definedName>
    <definedName name="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C332897">#REF!</definedName>
    <definedName name="_______________E65954">#REF!</definedName>
    <definedName name="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C332897">#REF!</definedName>
    <definedName name="______________E65954">#REF!</definedName>
    <definedName name="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Ａ４">#REF!</definedName>
    <definedName name="_____________C1244ㅁ1430">#REF!</definedName>
    <definedName name="_____________C332897">#REF!</definedName>
    <definedName name="_____________E65954">#REF!</definedName>
    <definedName name="_____________KD1">#REF!</definedName>
    <definedName name="_____________kz1" hidden="1">#REF!</definedName>
    <definedName name="_____________kz2" hidden="1">#REF!</definedName>
    <definedName name="_____________kz3" hidden="1">#REF!</definedName>
    <definedName name="_____________kz4" hidden="1">#REF!</definedName>
    <definedName name="_____________kz5" hidden="1">#REF!</definedName>
    <definedName name="_____________kz6" hidden="1">#REF!</definedName>
    <definedName name="_____________kz7" hidden="1">#REF!</definedName>
    <definedName name="_____________kz8" hidden="1">#REF!</definedName>
    <definedName name="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Ａ４">#REF!</definedName>
    <definedName name="____________C1244ㅁ1430">#REF!</definedName>
    <definedName name="____________C332897">#REF!</definedName>
    <definedName name="____________E65954">#REF!</definedName>
    <definedName name="____________KD1">#REF!</definedName>
    <definedName name="____________kz1" hidden="1">#REF!</definedName>
    <definedName name="____________kz2" hidden="1">#REF!</definedName>
    <definedName name="____________kz3" hidden="1">#REF!</definedName>
    <definedName name="____________kz4" hidden="1">#REF!</definedName>
    <definedName name="____________kz5" hidden="1">#REF!</definedName>
    <definedName name="____________kz6" hidden="1">#REF!</definedName>
    <definedName name="____________kz7" hidden="1">#REF!</definedName>
    <definedName name="____________kz8" hidden="1">#REF!</definedName>
    <definedName name="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Ａ４">#REF!</definedName>
    <definedName name="___________C1244ㅁ1430">#REF!</definedName>
    <definedName name="___________C332897">#REF!</definedName>
    <definedName name="___________E65954">#REF!</definedName>
    <definedName name="___________KD1">#REF!</definedName>
    <definedName name="___________kz1" hidden="1">#REF!</definedName>
    <definedName name="___________kz2" hidden="1">#REF!</definedName>
    <definedName name="___________kz3" hidden="1">#REF!</definedName>
    <definedName name="___________kz4" hidden="1">#REF!</definedName>
    <definedName name="___________kz5" hidden="1">#REF!</definedName>
    <definedName name="___________kz6" hidden="1">#REF!</definedName>
    <definedName name="___________kz7" hidden="1">#REF!</definedName>
    <definedName name="___________kz8" hidden="1">#REF!</definedName>
    <definedName name="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Ａ４">#REF!</definedName>
    <definedName name="__________C1244ㅁ1430">#REF!</definedName>
    <definedName name="__________C332897">#REF!</definedName>
    <definedName name="__________E65954">#REF!</definedName>
    <definedName name="__________KD1">#REF!</definedName>
    <definedName name="__________kz1" hidden="1">#REF!</definedName>
    <definedName name="__________kz2" hidden="1">#REF!</definedName>
    <definedName name="__________kz3" hidden="1">#REF!</definedName>
    <definedName name="__________kz4" hidden="1">#REF!</definedName>
    <definedName name="__________kz5" hidden="1">#REF!</definedName>
    <definedName name="__________kz6" hidden="1">#REF!</definedName>
    <definedName name="__________kz7" hidden="1">#REF!</definedName>
    <definedName name="__________kz8" hidden="1">#REF!</definedName>
    <definedName name="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Ａ４">#REF!</definedName>
    <definedName name="_________C1244ㅁ1430">#REF!</definedName>
    <definedName name="_________C332897">#REF!</definedName>
    <definedName name="_________E65954">#REF!</definedName>
    <definedName name="_________KD1">#REF!</definedName>
    <definedName name="_________kz1" hidden="1">#REF!</definedName>
    <definedName name="_________kz2" hidden="1">#REF!</definedName>
    <definedName name="_________kz3" hidden="1">#REF!</definedName>
    <definedName name="_________kz4" hidden="1">#REF!</definedName>
    <definedName name="_________kz5" hidden="1">#REF!</definedName>
    <definedName name="_________kz6" hidden="1">#REF!</definedName>
    <definedName name="_________kz7" hidden="1">#REF!</definedName>
    <definedName name="_________kz8" hidden="1">#REF!</definedName>
    <definedName name="_________TRT11" hidden="1">{#N/A,#N/A,FALSE,"표지";#N/A,#N/A,FALSE,"전제";#N/A,#N/A,FALSE,"손익-자 (2)";#N/A,#N/A,FALSE,"손익-자";#N/A,#N/A,FALSE,"손익-마 (2)";#N/A,#N/A,FALSE,"손익-마";#N/A,#N/A,FALSE,"총손최종"}</definedName>
    <definedName name="________Ａ４">#REF!</definedName>
    <definedName name="________C1244ㅁ1430">#REF!</definedName>
    <definedName name="________C332897">#REF!</definedName>
    <definedName name="________E65954">#REF!</definedName>
    <definedName name="________KD1">#REF!</definedName>
    <definedName name="________kz1" hidden="1">#REF!</definedName>
    <definedName name="________kz2" hidden="1">#REF!</definedName>
    <definedName name="________kz3" hidden="1">#REF!</definedName>
    <definedName name="________kz4" hidden="1">#REF!</definedName>
    <definedName name="________kz5" hidden="1">#REF!</definedName>
    <definedName name="________kz6" hidden="1">#REF!</definedName>
    <definedName name="________kz7" hidden="1">#REF!</definedName>
    <definedName name="________kz8" hidden="1">#REF!</definedName>
    <definedName name="________TRT11" hidden="1">{#N/A,#N/A,FALSE,"표지";#N/A,#N/A,FALSE,"전제";#N/A,#N/A,FALSE,"손익-자 (2)";#N/A,#N/A,FALSE,"손익-자";#N/A,#N/A,FALSE,"손익-마 (2)";#N/A,#N/A,FALSE,"손익-마";#N/A,#N/A,FALSE,"총손최종"}</definedName>
    <definedName name="_______A19999">#REF!</definedName>
    <definedName name="_______A20000">#REF!</definedName>
    <definedName name="_______Ａ４">#REF!</definedName>
    <definedName name="_______A99999">#REF!</definedName>
    <definedName name="_______C1244ㅁ1430">#REF!</definedName>
    <definedName name="_______C332897">#REF!</definedName>
    <definedName name="_______E65954">#REF!</definedName>
    <definedName name="_______KD1">#REF!</definedName>
    <definedName name="_______kz1" hidden="1">#REF!</definedName>
    <definedName name="_______kz2" hidden="1">#REF!</definedName>
    <definedName name="_______kz3" hidden="1">#REF!</definedName>
    <definedName name="_______kz4" hidden="1">#REF!</definedName>
    <definedName name="_______kz5" hidden="1">#REF!</definedName>
    <definedName name="_______kz6" hidden="1">#REF!</definedName>
    <definedName name="_______kz7" hidden="1">#REF!</definedName>
    <definedName name="_______kz8" hidden="1">#REF!</definedName>
    <definedName name="_______TRT11" hidden="1">{#N/A,#N/A,FALSE,"표지";#N/A,#N/A,FALSE,"전제";#N/A,#N/A,FALSE,"손익-자 (2)";#N/A,#N/A,FALSE,"손익-자";#N/A,#N/A,FALSE,"손익-마 (2)";#N/A,#N/A,FALSE,"손익-마";#N/A,#N/A,FALSE,"총손최종"}</definedName>
    <definedName name="_______ZZ16384">#REF!</definedName>
    <definedName name="______Ａ４">#REF!</definedName>
    <definedName name="______C1244ㅁ1430">#REF!</definedName>
    <definedName name="______C332897">#REF!</definedName>
    <definedName name="______E65954">#REF!</definedName>
    <definedName name="______KD1">#REF!</definedName>
    <definedName name="______kz1" hidden="1">#REF!</definedName>
    <definedName name="______kz2" hidden="1">#REF!</definedName>
    <definedName name="______kz3" hidden="1">#REF!</definedName>
    <definedName name="______kz4" hidden="1">#REF!</definedName>
    <definedName name="______kz5" hidden="1">#REF!</definedName>
    <definedName name="______kz6" hidden="1">#REF!</definedName>
    <definedName name="______kz7" hidden="1">#REF!</definedName>
    <definedName name="______kz8" hidden="1">#REF!</definedName>
    <definedName name="______R3_t">#N/A</definedName>
    <definedName name="______R3_t1">#N/A</definedName>
    <definedName name="______TRT11" hidden="1">{#N/A,#N/A,FALSE,"표지";#N/A,#N/A,FALSE,"전제";#N/A,#N/A,FALSE,"손익-자 (2)";#N/A,#N/A,FALSE,"손익-자";#N/A,#N/A,FALSE,"손익-마 (2)";#N/A,#N/A,FALSE,"손익-마";#N/A,#N/A,FALSE,"총손최종"}</definedName>
    <definedName name="_____Ａ４">#REF!</definedName>
    <definedName name="_____A99999">#REF!</definedName>
    <definedName name="_____C1244ㅁ1430">#REF!</definedName>
    <definedName name="_____C332897">#REF!</definedName>
    <definedName name="_____E65954">#REF!</definedName>
    <definedName name="_____KD1">#REF!</definedName>
    <definedName name="_____kz1" hidden="1">#REF!</definedName>
    <definedName name="_____kz2" hidden="1">#REF!</definedName>
    <definedName name="_____kz3" hidden="1">#REF!</definedName>
    <definedName name="_____kz4" hidden="1">#REF!</definedName>
    <definedName name="_____kz5" hidden="1">#REF!</definedName>
    <definedName name="_____kz6" hidden="1">#REF!</definedName>
    <definedName name="_____kz7" hidden="1">#REF!</definedName>
    <definedName name="_____kz8" hidden="1">#REF!</definedName>
    <definedName name="_____TRT11" hidden="1">{#N/A,#N/A,FALSE,"표지";#N/A,#N/A,FALSE,"전제";#N/A,#N/A,FALSE,"손익-자 (2)";#N/A,#N/A,FALSE,"손익-자";#N/A,#N/A,FALSE,"손익-마 (2)";#N/A,#N/A,FALSE,"손익-마";#N/A,#N/A,FALSE,"총손최종"}</definedName>
    <definedName name="_____ZZ16384">#REF!</definedName>
    <definedName name="____A19999">#REF!</definedName>
    <definedName name="____A20000">#REF!</definedName>
    <definedName name="____Ａ４">#REF!</definedName>
    <definedName name="____A99999">#REF!</definedName>
    <definedName name="____C1244ㅁ1430">#REF!</definedName>
    <definedName name="____C332897">#REF!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E65954">#REF!</definedName>
    <definedName name="____GEL10">#REF!</definedName>
    <definedName name="____GG1">#REF!</definedName>
    <definedName name="____GTE10">#REF!</definedName>
    <definedName name="____INT2" hidden="1">{#N/A,#N/A,TRUE,"일정"}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D1">#REF!</definedName>
    <definedName name="____kz1" hidden="1">#REF!</definedName>
    <definedName name="____kz2" hidden="1">#REF!</definedName>
    <definedName name="____kz3" hidden="1">#REF!</definedName>
    <definedName name="____kz4" hidden="1">#REF!</definedName>
    <definedName name="____kz5" hidden="1">#REF!</definedName>
    <definedName name="____kz6" hidden="1">#REF!</definedName>
    <definedName name="____kz7" hidden="1">#REF!</definedName>
    <definedName name="____kz8" hidden="1">#REF!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hidden="1">{#N/A,#N/A,TRUE,"일정"}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RT11" hidden="1">{#N/A,#N/A,FALSE,"표지";#N/A,#N/A,FALSE,"전제";#N/A,#N/A,FALSE,"손익-자 (2)";#N/A,#N/A,FALSE,"손익-자";#N/A,#N/A,FALSE,"손익-마 (2)";#N/A,#N/A,FALSE,"손익-마";#N/A,#N/A,FALSE,"총손최종"}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ZZ16384">#REF!</definedName>
    <definedName name="___A19999">#REF!</definedName>
    <definedName name="___A20000">#REF!</definedName>
    <definedName name="___A3" hidden="1">{#N/A,#N/A,FALSE,"단축1";#N/A,#N/A,FALSE,"단축2";#N/A,#N/A,FALSE,"단축3";#N/A,#N/A,FALSE,"장축";#N/A,#N/A,FALSE,"4WD"}</definedName>
    <definedName name="___Ａ４">#REF!</definedName>
    <definedName name="___A99999">#REF!</definedName>
    <definedName name="___C1244ㅁ1430">#REF!</definedName>
    <definedName name="___C332897">#REF!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E65954">#REF!</definedName>
    <definedName name="___gap1">#REF!,#REF!</definedName>
    <definedName name="___GEL10">#REF!</definedName>
    <definedName name="___GTE10">#REF!</definedName>
    <definedName name="___INT2" hidden="1">{#N/A,#N/A,TRUE,"일정"}</definedName>
    <definedName name="___IRR2" hidden="1">#REF!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D1">#REF!</definedName>
    <definedName name="___kz1" hidden="1">#REF!</definedName>
    <definedName name="___kz2" hidden="1">#REF!</definedName>
    <definedName name="___kz3" hidden="1">#REF!</definedName>
    <definedName name="___kz4" hidden="1">#REF!</definedName>
    <definedName name="___kz5" hidden="1">#REF!</definedName>
    <definedName name="___kz6" hidden="1">#REF!</definedName>
    <definedName name="___kz7" hidden="1">#REF!</definedName>
    <definedName name="___kz8" hidden="1">#REF!</definedName>
    <definedName name="___P2" hidden="1">{#N/A,#N/A,FALSE,"단축1";#N/A,#N/A,FALSE,"단축2";#N/A,#N/A,FALSE,"단축3";#N/A,#N/A,FALSE,"장축";#N/A,#N/A,FALSE,"4WD"}</definedName>
    <definedName name="___PL7" hidden="1">{#N/A,#N/A,TRUE,"대 차 대 조 표"}</definedName>
    <definedName name="_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UM1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ir1" hidden="1">{#N/A,#N/A,TRUE,"일정"}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RT11" hidden="1">{#N/A,#N/A,FALSE,"표지";#N/A,#N/A,FALSE,"전제";#N/A,#N/A,FALSE,"손익-자 (2)";#N/A,#N/A,FALSE,"손익-자";#N/A,#N/A,FALSE,"손익-마 (2)";#N/A,#N/A,FALSE,"손익-마";#N/A,#N/A,FALSE,"총손최종"}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ZZ16384">#REF!</definedName>
    <definedName name="__0">#REF!</definedName>
    <definedName name="__01">#REF!</definedName>
    <definedName name="__02">#REF!</definedName>
    <definedName name="__03">#REF!</definedName>
    <definedName name="__04">#REF!</definedName>
    <definedName name="__05">#REF!</definedName>
    <definedName name="__06">#REF!</definedName>
    <definedName name="__1_?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2_?춑_TOTAL">#REF!</definedName>
    <definedName name="__3_0_0SANGD">#REF!</definedName>
    <definedName name="__4Ａ４_">#REF!</definedName>
    <definedName name="__5SANGD">#REF!</definedName>
    <definedName name="__A19999">#N/A</definedName>
    <definedName name="__A20000">#N/A</definedName>
    <definedName name="__A3" hidden="1">{#N/A,#N/A,FALSE,"단축1";#N/A,#N/A,FALSE,"단축2";#N/A,#N/A,FALSE,"단축3";#N/A,#N/A,FALSE,"장축";#N/A,#N/A,FALSE,"4WD"}</definedName>
    <definedName name="__Ａ４">#REF!</definedName>
    <definedName name="__A99999">#REF!</definedName>
    <definedName name="__aaa2" hidden="1">{#N/A,#N/A,FALSE,"Aging Summary";#N/A,#N/A,FALSE,"Ratio Analysis";#N/A,#N/A,FALSE,"Test 120 Day Accts";#N/A,#N/A,FALSE,"Tickmarks"}</definedName>
    <definedName name="__Bp2" hidden="1">{#N/A,#N/A,FALSE,"BS";#N/A,#N/A,FALSE,"PL";#N/A,#N/A,FALSE,"처분";#N/A,#N/A,FALSE,"현금";#N/A,#N/A,FALSE,"매출";#N/A,#N/A,FALSE,"원가";#N/A,#N/A,FALSE,"경영"}</definedName>
    <definedName name="__C1244ㅁ1430">#REF!</definedName>
    <definedName name="__C332897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mandLoad">TRUE</definedName>
    <definedName name="__DIR1">#REF!</definedName>
    <definedName name="__DIR2">#REF!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E65954">#REF!</definedName>
    <definedName name="__Exp97">#REF!</definedName>
    <definedName name="__FDS_HYPERLINK_TOGGLE_STATE__" hidden="1">"ON"</definedName>
    <definedName name="__FDS_UNIQUE_RANGE_ID_GENERATOR_COUNTER" hidden="1">3</definedName>
    <definedName name="__gap1">#REF!,#REF!</definedName>
    <definedName name="__GEL10">#REF!</definedName>
    <definedName name="__GG1">#REF!</definedName>
    <definedName name="__GTE10">#REF!</definedName>
    <definedName name="__INT2" hidden="1">{#N/A,#N/A,TRUE,"일정"}</definedName>
    <definedName name="__IntlFixup" hidden="1">TRUE</definedName>
    <definedName name="__IRR2" hidden="1">#REF!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D1">#REF!</definedName>
    <definedName name="__kz4" hidden="1">#REF!</definedName>
    <definedName name="__kz5" hidden="1">#REF!</definedName>
    <definedName name="__kz6" hidden="1">#REF!</definedName>
    <definedName name="__kz7" hidden="1">#REF!</definedName>
    <definedName name="__kz8" hidden="1">#REF!</definedName>
    <definedName name="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p1">#REF!</definedName>
    <definedName name="__P2" hidden="1">{#N/A,#N/A,FALSE,"단축1";#N/A,#N/A,FALSE,"단축2";#N/A,#N/A,FALSE,"단축3";#N/A,#N/A,FALSE,"장축";#N/A,#N/A,FALSE,"4WD"}</definedName>
    <definedName name="__pl0201">#REF!</definedName>
    <definedName name="__pl0202">#REF!</definedName>
    <definedName name="__pl0203">#REF!</definedName>
    <definedName name="__pl0204">#REF!</definedName>
    <definedName name="__pl0205">#REF!</definedName>
    <definedName name="__pl0206">#REF!</definedName>
    <definedName name="__pl0207">#REF!</definedName>
    <definedName name="__pl0208">#REF!</definedName>
    <definedName name="__pl0209">#REF!</definedName>
    <definedName name="__pl0210">#REF!</definedName>
    <definedName name="__PL7" hidden="1">{#N/A,#N/A,TRUE,"대 차 대 조 표"}</definedName>
    <definedName name="__SA1">#REF!</definedName>
    <definedName name="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HR1">#REF!</definedName>
    <definedName name="__SHR2">#REF!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UM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B111">#REF!</definedName>
    <definedName name="__TB112">#REF!</definedName>
    <definedName name="__TB113">#REF!</definedName>
    <definedName name="__TB114">#REF!</definedName>
    <definedName name="__TB115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124">#REF!</definedName>
    <definedName name="__TB125">#REF!</definedName>
    <definedName name="__TB126">#REF!</definedName>
    <definedName name="__TB131">#REF!</definedName>
    <definedName name="__TB132">#REF!</definedName>
    <definedName name="__TB211">#REF!</definedName>
    <definedName name="__TB212">#REF!</definedName>
    <definedName name="__TB213">#REF!</definedName>
    <definedName name="__TB214">#REF!</definedName>
    <definedName name="__TB215">#REF!</definedName>
    <definedName name="__TB221">#REF!</definedName>
    <definedName name="__TB2210">#REF!</definedName>
    <definedName name="__TB222">#REF!</definedName>
    <definedName name="__TB223">#REF!</definedName>
    <definedName name="__TB224">#REF!</definedName>
    <definedName name="__TB225">#REF!</definedName>
    <definedName name="__TB226">#REF!</definedName>
    <definedName name="__TB227">#REF!</definedName>
    <definedName name="__TB228">#REF!</definedName>
    <definedName name="__TB229">#REF!</definedName>
    <definedName name="__TB311">#REF!</definedName>
    <definedName name="__TB312">#REF!</definedName>
    <definedName name="__TB313">#REF!</definedName>
    <definedName name="__TB314">#REF!</definedName>
    <definedName name="__TB315">#REF!</definedName>
    <definedName name="__TB316">#REF!</definedName>
    <definedName name="__TB317">#REF!</definedName>
    <definedName name="__TB318">#REF!</definedName>
    <definedName name="__TB319">#REF!</definedName>
    <definedName name="__TB321">#REF!</definedName>
    <definedName name="__TB322">#REF!</definedName>
    <definedName name="__TB323">#REF!</definedName>
    <definedName name="__TB324">#REF!</definedName>
    <definedName name="__TB325">#REF!</definedName>
    <definedName name="__TB401">#REF!</definedName>
    <definedName name="__TB402">#REF!</definedName>
    <definedName name="__TB403">#REF!</definedName>
    <definedName name="__TB404">#REF!</definedName>
    <definedName name="__TB405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0">#REF!</definedName>
    <definedName name="__TB511">#REF!</definedName>
    <definedName name="__TB512">#REF!</definedName>
    <definedName name="__TB513">#REF!</definedName>
    <definedName name="__TB601">#REF!</definedName>
    <definedName name="__TB602">#REF!</definedName>
    <definedName name="__TB603">#REF!</definedName>
    <definedName name="__TB604">#REF!</definedName>
    <definedName name="__TB605">#REF!</definedName>
    <definedName name="__TB701">#REF!</definedName>
    <definedName name="__TB811">#REF!</definedName>
    <definedName name="__TB812">#REF!</definedName>
    <definedName name="__TB813">#REF!</definedName>
    <definedName name="__TB814">#REF!</definedName>
    <definedName name="__TB820">#REF!</definedName>
    <definedName name="__TB902">#REF!</definedName>
    <definedName name="__TB903">#REF!</definedName>
    <definedName name="__TB904">#REF!</definedName>
    <definedName name="__TBI1001">#REF!</definedName>
    <definedName name="__TBI1002">#REF!</definedName>
    <definedName name="__TBI1003">#REF!</definedName>
    <definedName name="__TBI1004">#REF!</definedName>
    <definedName name="__TBI1005">#REF!</definedName>
    <definedName name="__TBI101">#REF!</definedName>
    <definedName name="__TBI102">#REF!</definedName>
    <definedName name="__TBI1100">#REF!</definedName>
    <definedName name="__TBI12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3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425">#REF!</definedName>
    <definedName name="__TBI601">#REF!</definedName>
    <definedName name="__TBI602">#REF!</definedName>
    <definedName name="__TBI603">#REF!</definedName>
    <definedName name="__TBI604">#REF!</definedName>
    <definedName name="__TBI605">#REF!</definedName>
    <definedName name="__TBI606">#REF!</definedName>
    <definedName name="__TBI607">#REF!</definedName>
    <definedName name="__TBI608">#REF!</definedName>
    <definedName name="__TBI609">#REF!</definedName>
    <definedName name="__TBI610">#REF!</definedName>
    <definedName name="__TBI611">#REF!</definedName>
    <definedName name="__TBI612">#REF!</definedName>
    <definedName name="__TBI613">#REF!</definedName>
    <definedName name="__TBI614">#REF!</definedName>
    <definedName name="__TBI701">#REF!</definedName>
    <definedName name="__TBI702">#REF!</definedName>
    <definedName name="__TBI703">#REF!</definedName>
    <definedName name="__TBI704">#REF!</definedName>
    <definedName name="__TBI705">#REF!</definedName>
    <definedName name="__TBI706">#REF!</definedName>
    <definedName name="__TBI707">#REF!</definedName>
    <definedName name="__TBI708">#REF!</definedName>
    <definedName name="__TBI709">#REF!</definedName>
    <definedName name="__TBI710">#REF!</definedName>
    <definedName name="__TBI711">#REF!</definedName>
    <definedName name="__TBI712">#REF!</definedName>
    <definedName name="__TBI713">#REF!</definedName>
    <definedName name="__TBI714">#REF!</definedName>
    <definedName name="__TBI715">#REF!</definedName>
    <definedName name="__TBI716">#REF!</definedName>
    <definedName name="__TBI717">#REF!</definedName>
    <definedName name="__TBI718">#REF!</definedName>
    <definedName name="__TBI719">#REF!</definedName>
    <definedName name="__TBI901">#REF!</definedName>
    <definedName name="__TBI902">#REF!</definedName>
    <definedName name="__TBI903">#REF!</definedName>
    <definedName name="__TBI904">#REF!</definedName>
    <definedName name="__TBI905">#REF!</definedName>
    <definedName name="__TBI906">#REF!</definedName>
    <definedName name="__TBI907">#REF!</definedName>
    <definedName name="__Tir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pl2" hidden="1">{#N/A,#N/A,FALSE,"Aging Summary";#N/A,#N/A,FALSE,"Ratio Analysis";#N/A,#N/A,FALSE,"Test 120 Day Accts";#N/A,#N/A,FALSE,"Tickmarks"}</definedName>
    <definedName name="__ZZ16384">#REF!</definedName>
    <definedName name="_1">#REF!</definedName>
    <definedName name="_1_">#REF!</definedName>
    <definedName name="_1_?">#REF!</definedName>
    <definedName name="_1__FDSAUDITLINK__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">#REF!</definedName>
    <definedName name="_10">#REF!</definedName>
    <definedName name="_10_05">#REF!</definedName>
    <definedName name="_101600">#REF!</definedName>
    <definedName name="_101601">#REF!</definedName>
    <definedName name="_10A20000_">#REF!</definedName>
    <definedName name="_10SANGD">#REF!</definedName>
    <definedName name="_10T3_" hidden="1">{#N/A,#N/A,FALSE,"단축1";#N/A,#N/A,FALSE,"단축2";#N/A,#N/A,FALSE,"단축3";#N/A,#N/A,FALSE,"장축";#N/A,#N/A,FALSE,"4WD"}</definedName>
    <definedName name="_11">#REF!</definedName>
    <definedName name="_11_06">#REF!</definedName>
    <definedName name="_11T5_" hidden="1">{#N/A,#N/A,FALSE,"단축1";#N/A,#N/A,FALSE,"단축2";#N/A,#N/A,FALSE,"단축3";#N/A,#N/A,FALSE,"장축";#N/A,#N/A,FALSE,"4WD"}</definedName>
    <definedName name="_12">#REF!</definedName>
    <definedName name="_12_0ㅁ">#REF!</definedName>
    <definedName name="_12_7_0__123Graph_LB" hidden="1">#REF!</definedName>
    <definedName name="_13_0_0SANGD">#REF!</definedName>
    <definedName name="_13_0bcrclcl100rtr">#REF!</definedName>
    <definedName name="_13____S" hidden="1">#REF!</definedName>
    <definedName name="_135_0Crite">#REF!</definedName>
    <definedName name="_14_0Crite">#REF!</definedName>
    <definedName name="_147_0계기">#REF!</definedName>
    <definedName name="_149_0계기en">#REF!</definedName>
    <definedName name="_15_0Extr">#REF!</definedName>
    <definedName name="_15__0_S" hidden="1">#REF!</definedName>
    <definedName name="_151_0누계기">#REF!</definedName>
    <definedName name="_153_0누계생">#REF!</definedName>
    <definedName name="_155_0누실마">#REF!</definedName>
    <definedName name="_15672asdf">#REF!</definedName>
    <definedName name="_157_0누실적">#REF!</definedName>
    <definedName name="_159_0실기버">#REF!</definedName>
    <definedName name="_16_?춑_TOTAL">#REF!</definedName>
    <definedName name="_16_9_0__123Grap" hidden="1">#REF!</definedName>
    <definedName name="_161_0실적마">#REF!</definedName>
    <definedName name="_16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5F_0Datab">#REF!</definedName>
    <definedName name="_167n_0Extr">#REF!</definedName>
    <definedName name="_16A1_">#REF!</definedName>
    <definedName name="_17A100_">#REF!</definedName>
    <definedName name="_18A101_">#REF!</definedName>
    <definedName name="_1999_01_29">#REF!</definedName>
    <definedName name="_19A20000_">#REF!</definedName>
    <definedName name="_1A19999_">#REF!</definedName>
    <definedName name="_1Bp2_" hidden="1">{#N/A,#N/A,FALSE,"BS";#N/A,#N/A,FALSE,"PL";#N/A,#N/A,FALSE,"처분";#N/A,#N/A,FALSE,"현금";#N/A,#N/A,FALSE,"매출";#N/A,#N/A,FALSE,"원가";#N/A,#N/A,FALSE,"경영"}</definedName>
    <definedName name="_1st_Yr_Turn_over_rate">#REF!</definedName>
    <definedName name="_1st_Yr_V">#REF!</definedName>
    <definedName name="_1st_Yr_Vacancy">#REF!</definedName>
    <definedName name="_2">#REF!</definedName>
    <definedName name="_2_">#REF!</definedName>
    <definedName name="_2_?">#REF!</definedName>
    <definedName name="_2_?춑_TOTAL">#REF!</definedName>
    <definedName name="_2__FDSAUDITLINK__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bcrclcl10">#REF!</definedName>
    <definedName name="_20_9_0__123Graph_LB" hidden="1">#REF!</definedName>
    <definedName name="_20A25000_">#REF!</definedName>
    <definedName name="_21Ａ４_">#REF!</definedName>
    <definedName name="_2311">#REF!</definedName>
    <definedName name="_2331">#REF!</definedName>
    <definedName name="_23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4_0_0SANGD">#REF!</definedName>
    <definedName name="_24p1_">#REF!</definedName>
    <definedName name="_2512">#REF!</definedName>
    <definedName name="_25120">#REF!</definedName>
    <definedName name="_25160">#REF!</definedName>
    <definedName name="_26A3_" hidden="1">{#N/A,#N/A,FALSE,"단축1";#N/A,#N/A,FALSE,"단축2";#N/A,#N/A,FALSE,"단축3";#N/A,#N/A,FALSE,"장축";#N/A,#N/A,FALSE,"4WD"}</definedName>
    <definedName name="_26T2_" hidden="1">{#N/A,#N/A,FALSE,"단축1";#N/A,#N/A,FALSE,"단축2";#N/A,#N/A,FALSE,"단축3";#N/A,#N/A,FALSE,"장축";#N/A,#N/A,FALSE,"4WD"}</definedName>
    <definedName name="_28aa1_" hidden="1">{#N/A,#N/A,FALSE,"Aging Summary";#N/A,#N/A,FALSE,"Ratio Analysis";#N/A,#N/A,FALSE,"Test 120 Day Accts";#N/A,#N/A,FALSE,"Tickmarks"}</definedName>
    <definedName name="_28T3_" hidden="1">{#N/A,#N/A,FALSE,"단축1";#N/A,#N/A,FALSE,"단축2";#N/A,#N/A,FALSE,"단축3";#N/A,#N/A,FALSE,"장축";#N/A,#N/A,FALSE,"4WD"}</definedName>
    <definedName name="_29Bp2_" hidden="1">{#N/A,#N/A,FALSE,"BS";#N/A,#N/A,FALSE,"PL";#N/A,#N/A,FALSE,"처분";#N/A,#N/A,FALSE,"현금";#N/A,#N/A,FALSE,"매출";#N/A,#N/A,FALSE,"원가";#N/A,#N/A,FALSE,"경영"}</definedName>
    <definedName name="_29uÞOUðuueßAÞAIee_YA">#REF!</definedName>
    <definedName name="_2A20000_">#REF!</definedName>
    <definedName name="_2FM2_" localSheetId="0">BlankMacro1</definedName>
    <definedName name="_2FM2_">BlankMacro1</definedName>
    <definedName name="_2MatInverse" hidden="1">#REF!</definedName>
    <definedName name="_3">#REF!</definedName>
    <definedName name="_3_">#REF!</definedName>
    <definedName name="_3_?">#REF!</definedName>
    <definedName name="_3_?춮tb">#REF!</definedName>
    <definedName name="_3_0_0SANGD">#REF!</definedName>
    <definedName name="_30__0_S">#REF!</definedName>
    <definedName name="_32Ａ４_">#REF!</definedName>
    <definedName name="_3311">#REF!</definedName>
    <definedName name="_3331">#REF!</definedName>
    <definedName name="_33310">#REF!</definedName>
    <definedName name="_35P2_" hidden="1">{#N/A,#N/A,FALSE,"단축1";#N/A,#N/A,FALSE,"단축2";#N/A,#N/A,FALSE,"단축3";#N/A,#N/A,FALSE,"장축";#N/A,#N/A,FALSE,"4WD"}</definedName>
    <definedName name="_3Ａ４_">#REF!</definedName>
    <definedName name="_4">#REF!</definedName>
    <definedName name="_4_">#REF!</definedName>
    <definedName name="_4_?춑_TOTAL">#REF!</definedName>
    <definedName name="_4_0">#REF!</definedName>
    <definedName name="_4_0_0_MatInverse" hidden="1">#REF!</definedName>
    <definedName name="_4_0_0SANGD">#REF!</definedName>
    <definedName name="_4_0실마">#REF!</definedName>
    <definedName name="_4_5_0__123Grap" hidden="1">#REF!</definedName>
    <definedName name="_40SANGD">#REF!</definedName>
    <definedName name="_43T2_" hidden="1">{#N/A,#N/A,FALSE,"단축1";#N/A,#N/A,FALSE,"단축2";#N/A,#N/A,FALSE,"단축3";#N/A,#N/A,FALSE,"장축";#N/A,#N/A,FALSE,"4WD"}</definedName>
    <definedName name="_44">#REF!</definedName>
    <definedName name="_44T3_" hidden="1">{#N/A,#N/A,FALSE,"단축1";#N/A,#N/A,FALSE,"단축2";#N/A,#N/A,FALSE,"단축3";#N/A,#N/A,FALSE,"장축";#N/A,#N/A,FALSE,"4WD"}</definedName>
    <definedName name="_45T5_" hidden="1">{#N/A,#N/A,FALSE,"단축1";#N/A,#N/A,FALSE,"단축2";#N/A,#N/A,FALSE,"단축3";#N/A,#N/A,FALSE,"장축";#N/A,#N/A,FALSE,"4WD"}</definedName>
    <definedName name="_47____S" hidden="1">#REF!</definedName>
    <definedName name="_48__0_S" hidden="1">#REF!</definedName>
    <definedName name="_4Ａ４_">#REF!</definedName>
    <definedName name="_4SANGD">#REF!</definedName>
    <definedName name="_5">#REF!</definedName>
    <definedName name="_5_">#REF!</definedName>
    <definedName name="_5__123Graph_A차트_1" hidden="1">#REF!</definedName>
    <definedName name="_5_0">#REF!</definedName>
    <definedName name="_5A19999_">#REF!</definedName>
    <definedName name="_5A3_" hidden="1">{#N/A,#N/A,FALSE,"단축1";#N/A,#N/A,FALSE,"단축2";#N/A,#N/A,FALSE,"단축3";#N/A,#N/A,FALSE,"장축";#N/A,#N/A,FALSE,"4WD"}</definedName>
    <definedName name="_5Ａ４_">#REF!</definedName>
    <definedName name="_5SANGD">#REF!</definedName>
    <definedName name="_6">#REF!</definedName>
    <definedName name="_6_">#REF!</definedName>
    <definedName name="_6_?춑_TOTAL">#REF!</definedName>
    <definedName name="_6__123Graph_B차트_1" hidden="1">#REF!</definedName>
    <definedName name="_6_0_0SANGD">#REF!</definedName>
    <definedName name="_6_01">#REF!</definedName>
    <definedName name="_6_0실적">#REF!</definedName>
    <definedName name="_6Ａ４_">#REF!</definedName>
    <definedName name="_6aa1_" hidden="1">{#N/A,#N/A,FALSE,"Aging Summary";#N/A,#N/A,FALSE,"Ratio Analysis";#N/A,#N/A,FALSE,"Test 120 Day Accts";#N/A,#N/A,FALSE,"Tickmarks"}</definedName>
    <definedName name="_6SANGD">#REF!</definedName>
    <definedName name="_7">#REF!</definedName>
    <definedName name="_7__123Graph_C차트_1" hidden="1">#REF!</definedName>
    <definedName name="_7_02">#REF!</definedName>
    <definedName name="_77">#REF!</definedName>
    <definedName name="_7Bp2_" hidden="1">{#N/A,#N/A,FALSE,"BS";#N/A,#N/A,FALSE,"PL";#N/A,#N/A,FALSE,"처분";#N/A,#N/A,FALSE,"현금";#N/A,#N/A,FALSE,"매출";#N/A,#N/A,FALSE,"원가";#N/A,#N/A,FALSE,"경영"}</definedName>
    <definedName name="_8">#REF!</definedName>
    <definedName name="_8_?">#REF!</definedName>
    <definedName name="_8__123Graph_X차트_1" hidden="1">#REF!</definedName>
    <definedName name="_8_03">#REF!</definedName>
    <definedName name="_8_7_0__123Grap" hidden="1">#REF!</definedName>
    <definedName name="_8Ａ４_">#REF!</definedName>
    <definedName name="_8P2_" hidden="1">{#N/A,#N/A,FALSE,"단축1";#N/A,#N/A,FALSE,"단축2";#N/A,#N/A,FALSE,"단축3";#N/A,#N/A,FALSE,"장축";#N/A,#N/A,FALSE,"4WD"}</definedName>
    <definedName name="_8SANGD">#REF!</definedName>
    <definedName name="_9">#REF!</definedName>
    <definedName name="_9_04">#REF!</definedName>
    <definedName name="_90045769">#REF!</definedName>
    <definedName name="_96BUD">#REF!</definedName>
    <definedName name="_9T2_" hidden="1">{#N/A,#N/A,FALSE,"단축1";#N/A,#N/A,FALSE,"단축2";#N/A,#N/A,FALSE,"단축3";#N/A,#N/A,FALSE,"장축";#N/A,#N/A,FALSE,"4WD"}</definedName>
    <definedName name="_A">#REF!</definedName>
    <definedName name="_A1">#REF!</definedName>
    <definedName name="_A100">#REF!</definedName>
    <definedName name="_A101">#REF!</definedName>
    <definedName name="_A19999">#REF!</definedName>
    <definedName name="_A20000">#REF!</definedName>
    <definedName name="_A25000">#REF!</definedName>
    <definedName name="_A3" hidden="1">{#N/A,#N/A,FALSE,"단축1";#N/A,#N/A,FALSE,"단축2";#N/A,#N/A,FALSE,"단축3";#N/A,#N/A,FALSE,"장축";#N/A,#N/A,FALSE,"4WD"}</definedName>
    <definedName name="_Ａ４">#REF!</definedName>
    <definedName name="_Ａ４1">#N/A</definedName>
    <definedName name="_Ａ４2">#REF!</definedName>
    <definedName name="_Ａ４3">#REF!</definedName>
    <definedName name="_A99999">#REF!</definedName>
    <definedName name="_aa1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ctive_nylon_satin">#REF!</definedName>
    <definedName name="_active_nylon_taffeta__">#REF!</definedName>
    <definedName name="_active_poplin">#REF!</definedName>
    <definedName name="_AU100000">#REF!</definedName>
    <definedName name="_AU66000">#REF!</definedName>
    <definedName name="_AU69999">#REF!</definedName>
    <definedName name="_AU70000">#REF!</definedName>
    <definedName name="_aZ">#N/A</definedName>
    <definedName name="_basic_ctn_twill">#REF!</definedName>
    <definedName name="_bdm.394f88709a624112bb885dcdf9bb9c89.edm" hidden="1">#REF!</definedName>
    <definedName name="_bdm.395863AB53644336B2056A5F6DA9A188.edm" hidden="1">#REF!</definedName>
    <definedName name="_bdm.4CDCAF1D094941E5A339B526095ADADE.edm" hidden="1">#REF!</definedName>
    <definedName name="_bdm.6015505EF38F4EA9A7A64CA91A7AC823.edm" hidden="1">#REF!</definedName>
    <definedName name="_bdm.65A2DF797C9F439DA6CD915BD1D09038.edm" hidden="1">#REF!</definedName>
    <definedName name="_bdm.672ED8E030734C3691D809C0CF43A024.edm" hidden="1">#REF!</definedName>
    <definedName name="_bdm.75DBE4F245204851BA3A62A106421643.edm" hidden="1">#REF!</definedName>
    <definedName name="_bdm.D23A8C01A3644FD396E2171ACDAE427A.edm" hidden="1">#REF!</definedName>
    <definedName name="_Bondex_Stretch">#REF!</definedName>
    <definedName name="_Bp2" hidden="1">{#N/A,#N/A,FALSE,"BS";#N/A,#N/A,FALSE,"PL";#N/A,#N/A,FALSE,"처분";#N/A,#N/A,FALSE,"현금";#N/A,#N/A,FALSE,"매출";#N/A,#N/A,FALSE,"원가";#N/A,#N/A,FALSE,"경영"}</definedName>
    <definedName name="_C1244ㅁ1430">#REF!</definedName>
    <definedName name="_C332897">#REF!</definedName>
    <definedName name="_clean_denim">#REF!</definedName>
    <definedName name="_color_denim">#REF!</definedName>
    <definedName name="_Commander">#REF!</definedName>
    <definedName name="_compact_wool_blend_o_w">#REF!</definedName>
    <definedName name="_cracked___distressed_leather">#REF!</definedName>
    <definedName name="_Crossroads">#REF!</definedName>
    <definedName name="_ctn_sateen">#REF!</definedName>
    <definedName name="_Dark_blue_denim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R1">#REF!</definedName>
    <definedName name="_DIR2">#REF!</definedName>
    <definedName name="_Dist_Bin" hidden="1">#REF!</definedName>
    <definedName name="_Dist_Bin2" hidden="1">#REF!</definedName>
    <definedName name="_Dist_Values" hidden="1">#REF!</definedName>
    <definedName name="_Dist_Values2" hidden="1">#REF!</definedName>
    <definedName name="_dressy_satin">#REF!</definedName>
    <definedName name="_E65954">#REF!</definedName>
    <definedName name="_Exp97">#REF!</definedName>
    <definedName name="_Fill" hidden="1">#REF!</definedName>
    <definedName name="_Fill2" hidden="1">#REF!</definedName>
    <definedName name="_Fill3" hidden="1">#REF!</definedName>
    <definedName name="_xlnm._FilterDatabase" localSheetId="0" hidden="1">'G&amp;A Vendor x GL Analysis'!$AF$20:$AF$195</definedName>
    <definedName name="_xlnm._FilterDatabase" hidden="1">#REF!</definedName>
    <definedName name="_fine_nylon_faille">#REF!</definedName>
    <definedName name="_flower_print_cord">#REF!</definedName>
    <definedName name="_gap1">#REF!,#REF!</definedName>
    <definedName name="_GEL10">#REF!</definedName>
    <definedName name="_GG1">#REF!</definedName>
    <definedName name="_gold_stnd_ctn_poplin">#REF!</definedName>
    <definedName name="_GTE10">#REF!</definedName>
    <definedName name="_Harrison">#REF!</definedName>
    <definedName name="_heavy_poly_microfiber_">#REF!</definedName>
    <definedName name="_Huh?" hidden="1">#REF!</definedName>
    <definedName name="_indigo__yarn_dyed_stripe">#REF!</definedName>
    <definedName name="_INT2" hidden="1">{#N/A,#N/A,TRUE,"일정"}</definedName>
    <definedName name="_IRR2" hidden="1">#REF!</definedName>
    <definedName name="_je2">#REF!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D1">#REF!</definedName>
    <definedName name="_Key1" hidden="1">#REF!</definedName>
    <definedName name="_Key11" hidden="1">#REF!</definedName>
    <definedName name="_Key2" hidden="1">#REF!</definedName>
    <definedName name="_Key22" hidden="1">#REF!</definedName>
    <definedName name="_Key3" hidden="1">#REF!</definedName>
    <definedName name="_kz4" hidden="1">#REF!</definedName>
    <definedName name="_kz5" hidden="1">#REF!</definedName>
    <definedName name="_kz6" hidden="1">#REF!</definedName>
    <definedName name="_kz7" hidden="1">#REF!</definedName>
    <definedName name="_kz8" hidden="1">#REF!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ight_ripstop">#REF!</definedName>
    <definedName name="_LNF1">OFFSET(#REF!,0,0,COUNTA(#REF!)-1,1)</definedName>
    <definedName name="_loose_outerwear_poplin">#REF!</definedName>
    <definedName name="_lskfj" hidden="1">#REF!</definedName>
    <definedName name="_lt_wt_ctn_moleskin">#REF!</definedName>
    <definedName name="_MatInverse_In" hidden="1">#REF!</definedName>
    <definedName name="_MatInverse_Out" hidden="1">#REF!</definedName>
    <definedName name="_multi_count_warp_denim">#REF!</definedName>
    <definedName name="_multicount_warp_denim">#REF!</definedName>
    <definedName name="_novelty_ctn_twill">#REF!</definedName>
    <definedName name="_nylon_faille___coated">#REF!</definedName>
    <definedName name="_nylon_taffeta">#REF!</definedName>
    <definedName name="_opt1">#REF!</definedName>
    <definedName name="_opt10">#REF!</definedName>
    <definedName name="_opt11">#REF!</definedName>
    <definedName name="_opt12">#REF!</definedName>
    <definedName name="_opt13">#REF!</definedName>
    <definedName name="_opt14">#REF!</definedName>
    <definedName name="_opt15">#REF!</definedName>
    <definedName name="_opt16">#REF!</definedName>
    <definedName name="_opt17">#REF!</definedName>
    <definedName name="_opt18">#REF!</definedName>
    <definedName name="_opt19">#REF!</definedName>
    <definedName name="_opt2">#REF!</definedName>
    <definedName name="_opt20">#REF!</definedName>
    <definedName name="_opt21">#REF!</definedName>
    <definedName name="_OPT22">#REF!</definedName>
    <definedName name="_opt23">#REF!</definedName>
    <definedName name="_opt3">#REF!</definedName>
    <definedName name="_opt4">#REF!</definedName>
    <definedName name="_opt5">#REF!</definedName>
    <definedName name="_opt6">#REF!</definedName>
    <definedName name="_opt7">#REF!</definedName>
    <definedName name="_opt8">#REF!</definedName>
    <definedName name="_opt9">#REF!</definedName>
    <definedName name="_Order1" hidden="1">#REF!</definedName>
    <definedName name="_Order1_1" hidden="1">0</definedName>
    <definedName name="_Order2" hidden="1">255</definedName>
    <definedName name="_Order2_1" hidden="1">0</definedName>
    <definedName name="_P2" hidden="1">{#N/A,#N/A,FALSE,"단축1";#N/A,#N/A,FALSE,"단축2";#N/A,#N/A,FALSE,"단축3";#N/A,#N/A,FALSE,"장축";#N/A,#N/A,FALSE,"4WD"}</definedName>
    <definedName name="_Parse_In" hidden="1">#REF!</definedName>
    <definedName name="_Parse_Out" hidden="1">#REF!</definedName>
    <definedName name="_peach_ctn_satin_shirting">#REF!</definedName>
    <definedName name="_pigment_coated_face_nylon_oxford">#REF!</definedName>
    <definedName name="_pl0201">#REF!</definedName>
    <definedName name="_pl0202">#REF!</definedName>
    <definedName name="_pl0203">#REF!</definedName>
    <definedName name="_pl0204">#REF!</definedName>
    <definedName name="_pl0205">#REF!</definedName>
    <definedName name="_pl0206">#REF!</definedName>
    <definedName name="_pl0207">#REF!</definedName>
    <definedName name="_pl0208">#REF!</definedName>
    <definedName name="_pl0209">#REF!</definedName>
    <definedName name="_pl0210">#REF!</definedName>
    <definedName name="_PL7" hidden="1">{#N/A,#N/A,TRUE,"대 차 대 조 표"}</definedName>
    <definedName name="_PL7_1" hidden="1">{#N/A,#N/A,TRUE,"대 차 대 조 표"}</definedName>
    <definedName name="_PM1">#REF!</definedName>
    <definedName name="_PnP1">#REF!</definedName>
    <definedName name="_PNT1">#REF!</definedName>
    <definedName name="_PNT2">#REF!</definedName>
    <definedName name="_PNT3">#N/A</definedName>
    <definedName name="_PNT4">#N/A</definedName>
    <definedName name="_q1" hidden="1">#REF!</definedName>
    <definedName name="_q2" hidden="1">#REF!</definedName>
    <definedName name="_q3" hidden="1">#REF!</definedName>
    <definedName name="_q4" hidden="1">#REF!</definedName>
    <definedName name="_real_suede">#REF!</definedName>
    <definedName name="_Regression_Int" hidden="1">1</definedName>
    <definedName name="_Regression_Y" hidden="1">#REF!</definedName>
    <definedName name="_SA1">#REF!</definedName>
    <definedName name="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M02">#REF!</definedName>
    <definedName name="_shiney_taffeta__core_">#REF!</definedName>
    <definedName name="_SHR1">#REF!</definedName>
    <definedName name="_SHR2">#REF!</definedName>
    <definedName name="_solid_ctn_poplin">#REF!</definedName>
    <definedName name="_Sort" hidden="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TJ2">#REF!</definedName>
    <definedName name="_stretch_cotton_cord">#REF!</definedName>
    <definedName name="_stretch_rht">#REF!</definedName>
    <definedName name="_SUM1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a_tined_chambray">#REF!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TXD1">#REF!</definedName>
    <definedName name="_uncut_cord">#REF!</definedName>
    <definedName name="_VOC2" hidden="1">255</definedName>
    <definedName name="_wide_wale_cord">#REF!</definedName>
    <definedName name="_wool_blend_skirt">#REF!</definedName>
    <definedName name="_wool_coating___solid">#REF!</definedName>
    <definedName name="_wpl2" hidden="1">{#N/A,#N/A,FALSE,"Aging Summary";#N/A,#N/A,FALSE,"Ratio Analysis";#N/A,#N/A,FALSE,"Test 120 Day Accts";#N/A,#N/A,FALSE,"Tickmarks"}</definedName>
    <definedName name="_y_d_wool_twill_coating">#REF!</definedName>
    <definedName name="_y_dye_cording_multi_stripe">#REF!</definedName>
    <definedName name="_YEAR">#REF!</definedName>
    <definedName name="_z123">#REF!</definedName>
    <definedName name="_ZZ16384">#REF!</definedName>
    <definedName name="_첨부">#REF!</definedName>
    <definedName name="´cAE°eE¹" hidden="1">#REF!</definedName>
    <definedName name="￠￥cAE¡ÆeEⓒo" hidden="1">#REF!</definedName>
    <definedName name="¤A¤A">#REF!</definedName>
    <definedName name="¤μ¤μ">#REF!</definedName>
    <definedName name="￥">#REF!</definedName>
    <definedName name="\">#REF!</definedName>
    <definedName name="\0">#N/A</definedName>
    <definedName name="\1">#N/A</definedName>
    <definedName name="\2">#N/A</definedName>
    <definedName name="\a">#N/A</definedName>
    <definedName name="\b">#N/A</definedName>
    <definedName name="\c">#REF!</definedName>
    <definedName name="\d">#REF!</definedName>
    <definedName name="\E">#REF!</definedName>
    <definedName name="\f">#N/A</definedName>
    <definedName name="\g">#REF!</definedName>
    <definedName name="\h">#REF!</definedName>
    <definedName name="\i">#N/A</definedName>
    <definedName name="\j">#N/A</definedName>
    <definedName name="\k">#N/A</definedName>
    <definedName name="\L">#REF!</definedName>
    <definedName name="\m">#N/A</definedName>
    <definedName name="\n">#REF!</definedName>
    <definedName name="\o">#N/A</definedName>
    <definedName name="\P">#REF!</definedName>
    <definedName name="\q">#REF!</definedName>
    <definedName name="\r">#REF!</definedName>
    <definedName name="\S">#REF!</definedName>
    <definedName name="\t">#N/A</definedName>
    <definedName name="\u">#REF!</definedName>
    <definedName name="\v">#N/A</definedName>
    <definedName name="\W">#REF!</definedName>
    <definedName name="\X">#REF!</definedName>
    <definedName name="\Y">#REF!</definedName>
    <definedName name="\z">#REF!</definedName>
    <definedName name="√">"SQRT"</definedName>
    <definedName name="●_기존_체계">#REF!</definedName>
    <definedName name="●_판매관리비_및_영업이익_2002년">#REF!</definedName>
    <definedName name="↑">#REF!</definedName>
    <definedName name="°a°u">#REF!</definedName>
    <definedName name="※_BGA_직접재료비_변동추이">#REF!</definedName>
    <definedName name="※_추후_NAVA__PROJECT는__부품_">#REF!</definedName>
    <definedName name="¹ß">#REF!</definedName>
    <definedName name="¹Uº¸">#REF!</definedName>
    <definedName name="³²¼R">#REF!</definedName>
    <definedName name="A">#REF!</definedName>
    <definedName name="a_1" hidden="1">{"MonthlyRentRoll",#N/A,FALSE,"RentRoll"}</definedName>
    <definedName name="A_123">#REF!,#REF!,#REF!</definedName>
    <definedName name="a_123_error_10">#REF!</definedName>
    <definedName name="a_123_error_2">#REF!</definedName>
    <definedName name="a_123_error_4">#REF!,#REF!,#REF!,#REF!</definedName>
    <definedName name="a_123_error_5">#REF!</definedName>
    <definedName name="a_123_error_7">#REF!</definedName>
    <definedName name="a_123_error_8">#REF!</definedName>
    <definedName name="a_123_error_9">#REF!</definedName>
    <definedName name="A_I">#REF!</definedName>
    <definedName name="A_I1">#REF!</definedName>
    <definedName name="A_I2">#REF!</definedName>
    <definedName name="A_P">#REF!</definedName>
    <definedName name="a_z_error_1">#REF!,#REF!,#REF!,#REF!,#REF!,#REF!</definedName>
    <definedName name="a_z_error_10">#REF!,#REF!,#REF!,#REF!,#REF!,#REF!</definedName>
    <definedName name="a_z_error_2">#REF!</definedName>
    <definedName name="a_z_error_5">#REF!,#REF!,#REF!,#REF!,#REF!,#REF!,#REF!,#REF!,#REF!,#REF!,#REF!,#REF!,#REF!,#REF!,#REF!,#REF!,#REF!,#REF!,#REF!,#REF!,#REF!,#REF!,#REF!,#REF!,#REF!,#REF!,#REF!,#REF!,#REF!,#REF!,#REF!,#REF!,#REF!</definedName>
    <definedName name="a_z_error_7">#REF!</definedName>
    <definedName name="a_z_error_8">#REF!</definedName>
    <definedName name="a_z_error_9">#REF!,#REF!,#REF!,#REF!,#REF!,#REF!</definedName>
    <definedName name="A¶E¸AOE­¸e">#REF!</definedName>
    <definedName name="A1_00근거" hidden="1">{#N/A,#N/A,FALSE,"단축1";#N/A,#N/A,FALSE,"단축2";#N/A,#N/A,FALSE,"단축3";#N/A,#N/A,FALSE,"장축";#N/A,#N/A,FALSE,"4WD"}</definedName>
    <definedName name="a2_">#REF!</definedName>
    <definedName name="AA">#REF!</definedName>
    <definedName name="AAA">#REF!</definedName>
    <definedName name="aaa_1" hidden="1">{"MonthlyRentRoll",#N/A,FALSE,"RentRoll"}</definedName>
    <definedName name="AAA_DOCTOPS" hidden="1">"AAA_SET"</definedName>
    <definedName name="AAA_duser" hidden="1">"OFF"</definedName>
    <definedName name="AAAA" hidden="1">{#N/A,#N/A,FALSE,"단축1";#N/A,#N/A,FALSE,"단축2";#N/A,#N/A,FALSE,"단축3";#N/A,#N/A,FALSE,"장축";#N/A,#N/A,FALSE,"4WD"}</definedName>
    <definedName name="AAAAA">#REF!</definedName>
    <definedName name="aaaaa_1" hidden="1">{"p",#N/A,FALSE,"Sheet1";"p 2",#N/A,FALSE,"Sheet1";"p 3",#N/A,FALSE,"Sheet1"}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>#REF!</definedName>
    <definedName name="AAAAAAAA">#REF!</definedName>
    <definedName name="AAAAAAAAAA">#REF!</definedName>
    <definedName name="aaaaaaaaaaa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AAAAAAAAAAAAA" hidden="1">#REF!</definedName>
    <definedName name="aaaaaaaaaaaaaaaaaaaaaaaaaaaaaaaaaaaaaaaaaaaaaa">#REF!</definedName>
    <definedName name="AAB_Addin5" hidden="1">"AAB_Description for addin 5,Description for addin 5,Description for addin 5,Description for addin 5,Description for addin 5,Description for addin 5"</definedName>
    <definedName name="AAL">#REF!</definedName>
    <definedName name="AAP">#REF!</definedName>
    <definedName name="AASSQQ" hidden="1">#REF!</definedName>
    <definedName name="aassss">#REF!</definedName>
    <definedName name="AB">#REF!</definedName>
    <definedName name="abbreviations" hidden="1">{"'매출'!$A$1:$I$22"}</definedName>
    <definedName name="ABC" hidden="1">{#N/A,#N/A,FALSE,"3가";#N/A,#N/A,FALSE,"3나";#N/A,#N/A,FALSE,"3다"}</definedName>
    <definedName name="abcc" hidden="1">{#N/A,#N/A,FALSE,"1.CRITERIA";#N/A,#N/A,FALSE,"2.IS";#N/A,#N/A,FALSE,"3.BS";#N/A,#N/A,FALSE,"4.PER PL";#N/A,#N/A,FALSE,"5.INVESTMENT";#N/A,#N/A,FALSE,"6.공문";#N/A,#N/A,FALSE,"7.netinvest"}</definedName>
    <definedName name="abcd">#REF!</definedName>
    <definedName name="ABJ">#N/A</definedName>
    <definedName name="ABL">#REF!</definedName>
    <definedName name="ABP">#REF!</definedName>
    <definedName name="abs">#REF!</definedName>
    <definedName name="AC">#REF!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n1">#REF!</definedName>
    <definedName name="ACCR1">#REF!</definedName>
    <definedName name="accruals">#REF!</definedName>
    <definedName name="ACL">#REF!</definedName>
    <definedName name="ACON" hidden="1">{#N/A,#N/A,TRUE,"일정"}</definedName>
    <definedName name="ACP">#REF!</definedName>
    <definedName name="Acquiror">#REF!</definedName>
    <definedName name="Acquisition_Cost">#REF!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SPEC">#REF!</definedName>
    <definedName name="ACTWK">#REF!</definedName>
    <definedName name="ACY_M1">#REF!</definedName>
    <definedName name="ACY_M2">#REF!</definedName>
    <definedName name="ACY_P1">#REF!</definedName>
    <definedName name="ACY_P10">#REF!</definedName>
    <definedName name="ACY_P2">#REF!</definedName>
    <definedName name="ACY_P3">#REF!</definedName>
    <definedName name="ACY_P4">#REF!</definedName>
    <definedName name="ACY_P5">#REF!</definedName>
    <definedName name="ACY_P6">#REF!</definedName>
    <definedName name="ACY_P7">#REF!</definedName>
    <definedName name="ACY_P8">#REF!</definedName>
    <definedName name="ACY_P9">#REF!</definedName>
    <definedName name="AD">#REF!</definedName>
    <definedName name="Add_AcqCost">#REF!</definedName>
    <definedName name="Add_ExitCost">#REF!</definedName>
    <definedName name="Add_HedgeCost">#REF!</definedName>
    <definedName name="Add_OperatingExp">#REF!</definedName>
    <definedName name="Add_OtherInc">#REF!</definedName>
    <definedName name="Add_RentalInc">#REF!</definedName>
    <definedName name="adf">#REF!</definedName>
    <definedName name="adf_1" hidden="1">{"MonthlyRentRoll",#N/A,FALSE,"RentRoll"}</definedName>
    <definedName name="adf3qrqer" hidden="1">{#N/A,#N/A,FALSE,"Aging Summary";#N/A,#N/A,FALSE,"Ratio Analysis";#N/A,#N/A,FALSE,"Test 120 Day Accts";#N/A,#N/A,FALSE,"Tickmarks"}</definedName>
    <definedName name="adj">#REF!</definedName>
    <definedName name="ADJ_SHARE">#REF!</definedName>
    <definedName name="ADL">#REF!</definedName>
    <definedName name="ADLJFJDJ" hidden="1">{#N/A,#N/A,TRUE,"일정"}</definedName>
    <definedName name="ADP">#REF!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VANCE">#REF!</definedName>
    <definedName name="aer">#REF!</definedName>
    <definedName name="afdasfa" hidden="1">{#N/A,#N/A,TRUE,"Assumptions";#N/A,#N/A,TRUE,"Sources of Revenue";#N/A,#N/A,TRUE,"P&amp;L";#N/A,#N/A,TRUE,"Bal. Sheet";#N/A,#N/A,TRUE,"Rights Issue &amp; X Adjustment";#N/A,#N/A,TRUE,"Transaction Model"}</definedName>
    <definedName name="afdsasfafd" hidden="1">{#N/A,#N/A,TRUE,"Assumptions";#N/A,#N/A,TRUE,"Sources of Revenue";#N/A,#N/A,TRUE,"P&amp;L";#N/A,#N/A,TRUE,"Bal. Sheet";#N/A,#N/A,TRUE,"Rights Issue &amp; X Adjustment";#N/A,#N/A,TRUE,"Transaction Model"}</definedName>
    <definedName name="afdsdsfdsads" hidden="1">{#N/A,#N/A,TRUE,"Assumptions";#N/A,#N/A,TRUE,"Sources of Revenue";#N/A,#N/A,TRUE,"P&amp;L";#N/A,#N/A,TRUE,"Bal. Sheet";#N/A,#N/A,TRUE,"Rights Issue &amp; X Adjustment";#N/A,#N/A,TRUE,"Transaction Model"}</definedName>
    <definedName name="affdsafsaf" hidden="1">{#N/A,#N/A,TRUE,"Assumptions";#N/A,#N/A,TRUE,"Sources of Revenue";#N/A,#N/A,TRUE,"P&amp;L";#N/A,#N/A,TRUE,"Bal. Sheet";#N/A,#N/A,TRUE,"Rights Issue &amp; X Adjustment";#N/A,#N/A,TRUE,"Transaction Model"}</definedName>
    <definedName name="afsafadsf" hidden="1">{#N/A,#N/A,TRUE,"Assumptions";#N/A,#N/A,TRUE,"Sources of Revenue";#N/A,#N/A,TRUE,"P&amp;L";#N/A,#N/A,TRUE,"Bal. Sheet";#N/A,#N/A,TRUE,"Rights Issue &amp; X Adjustment";#N/A,#N/A,TRUE,"Transaction Model"}</definedName>
    <definedName name="afsasfdasdf" hidden="1">#REF!</definedName>
    <definedName name="Ag">#REF!</definedName>
    <definedName name="ahffk" hidden="1">"AS2DocumentBrowse"</definedName>
    <definedName name="AI">#REF!</definedName>
    <definedName name="aldkjflasdjgladg">#REF!</definedName>
    <definedName name="all">#REF!</definedName>
    <definedName name="AllTables">{5}</definedName>
    <definedName name="alpha1">#REF!</definedName>
    <definedName name="alpha2">#REF!</definedName>
    <definedName name="alpha3">#REF!</definedName>
    <definedName name="Alt">#REF!</definedName>
    <definedName name="ALY_M1">#REF!</definedName>
    <definedName name="ALY_M2">#REF!</definedName>
    <definedName name="ALY_P1">#REF!</definedName>
    <definedName name="ALY_P10">#REF!</definedName>
    <definedName name="ALY_P2">#REF!</definedName>
    <definedName name="ALY_P3">#REF!</definedName>
    <definedName name="ALY_P4">#REF!</definedName>
    <definedName name="ALY_P5">#REF!</definedName>
    <definedName name="ALY_P6">#REF!</definedName>
    <definedName name="ALY_P7">#REF!</definedName>
    <definedName name="ALY_P8">#REF!</definedName>
    <definedName name="ALY_P9">#REF!</definedName>
    <definedName name="am_fee">#REF!</definedName>
    <definedName name="AMC_Fee">#REF!</definedName>
    <definedName name="AMC_Promote_Fee">#REF!</definedName>
    <definedName name="AMMORT">#REF!:#REF!</definedName>
    <definedName name="Ammortamenti">#REF!:#REF!</definedName>
    <definedName name="Amounts">#REF!</definedName>
    <definedName name="Annual_Allowance">#REF!</definedName>
    <definedName name="anscount" hidden="1">2</definedName>
    <definedName name="Ao¿￢">#REF!</definedName>
    <definedName name="AOP">#REF!</definedName>
    <definedName name="aoqtmwktksdnsdyd">#REF!</definedName>
    <definedName name="APCBF_Codes">#REF!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ved_Gross_Area">#REF!</definedName>
    <definedName name="ARA_Threshold">#REF!</definedName>
    <definedName name="ARC">#REF!</definedName>
    <definedName name="are" hidden="1">{#N/A,#N/A,FALSE,"신규dep";#N/A,#N/A,FALSE,"신규dep-금형상각후";#N/A,#N/A,FALSE,"신규dep-연구비상각후";#N/A,#N/A,FALSE,"신규dep-기계,공구상각후"}</definedName>
    <definedName name="AREA">#REF!</definedName>
    <definedName name="Area_Chonsei">#REF!</definedName>
    <definedName name="Area_Office">#REF!</definedName>
    <definedName name="Area_Residential">#REF!</definedName>
    <definedName name="Area_Retail">#REF!</definedName>
    <definedName name="Area_Western">#REF!</definedName>
    <definedName name="areaunit">#REF!</definedName>
    <definedName name="areaunitname">#REF!</definedName>
    <definedName name="ARP_Threshold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cxf" hidden="1">{#N/A,#N/A,FALSE,"Aging Summary";#N/A,#N/A,FALSE,"Ratio Analysis";#N/A,#N/A,FALSE,"Test 120 Day Accts";#N/A,#N/A,FALSE,"Tickmarks"}</definedName>
    <definedName name="asd">#REF!</definedName>
    <definedName name="asda">#REF!</definedName>
    <definedName name="asdasdasdad" hidden="1">{#N/A,#N/A,FALSE,"95FW"}</definedName>
    <definedName name="asdf">#REF!</definedName>
    <definedName name="asdfasdf" hidden="1">{#N/A,#N/A,TRUE,"Assumptions";#N/A,#N/A,TRUE,"Sources of Revenue";#N/A,#N/A,TRUE,"P&amp;L";#N/A,#N/A,TRUE,"Bal. Sheet";#N/A,#N/A,TRUE,"Rights Issue &amp; X Adjustment";#N/A,#N/A,TRUE,"Transaction Model"}</definedName>
    <definedName name="asdfasdfsdfa" hidden="1">#REF!</definedName>
    <definedName name="asdfasfgasdf" hidden="1">#REF!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df" hidden="1">#REF!</definedName>
    <definedName name="asdgasdg" hidden="1">{#N/A,#N/A,TRUE,"Assumptions";#N/A,#N/A,TRUE,"Sources of Revenue";#N/A,#N/A,TRUE,"P&amp;L";#N/A,#N/A,TRUE,"Bal. Sheet";#N/A,#N/A,TRUE,"Rights Issue &amp; X Adjustment";#N/A,#N/A,TRUE,"Transaction Model"}</definedName>
    <definedName name="ased">#REF!</definedName>
    <definedName name="asfasfasf" hidden="1">#REF!</definedName>
    <definedName name="asfasfasff" hidden="1">#REF!</definedName>
    <definedName name="asfasgasdg" hidden="1">#REF!</definedName>
    <definedName name="asfgasdgas" hidden="1">#REF!</definedName>
    <definedName name="asfsa" hidden="1">#REF!</definedName>
    <definedName name="asgf" hidden="1">#REF!</definedName>
    <definedName name="asr">+#REF!</definedName>
    <definedName name="assda">#REF!</definedName>
    <definedName name="Asset">#REF!</definedName>
    <definedName name="Asset_MgmtFee">#REF!</definedName>
    <definedName name="assetdebt">#REF!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TA">#REF!</definedName>
    <definedName name="ASTL">#REF!</definedName>
    <definedName name="ASTR">#REF!</definedName>
    <definedName name="ASTX">#REF!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ut">#REF!</definedName>
    <definedName name="autoexec">#REF!</definedName>
    <definedName name="avrest">#REF!</definedName>
    <definedName name="awc">#REF!</definedName>
    <definedName name="AZ">#REF!</definedName>
    <definedName name="B">#REF!</definedName>
    <definedName name="b_t2">#REF!</definedName>
    <definedName name="BA">#REF!</definedName>
    <definedName name="BACK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_AGENCY_COFEE">#REF!</definedName>
    <definedName name="BAck_AGENCY_EEFEE">#REF!</definedName>
    <definedName name="Back_ANN_BASE">#REF!</definedName>
    <definedName name="Back_ANN_EC_GIVEN">#REF!</definedName>
    <definedName name="Back_AREA_ALW">#REF!</definedName>
    <definedName name="Back_BON_ACT2">#REF!</definedName>
    <definedName name="Back_BON_TGT2">#REF!</definedName>
    <definedName name="Back_BURN_ALW">#REF!</definedName>
    <definedName name="Back_CAR_PLAN">#REF!</definedName>
    <definedName name="Back_CAR_PRK">#REF!</definedName>
    <definedName name="Back_Class_of_Lawyer">#REF!</definedName>
    <definedName name="Back_CLEAN_ALW">#REF!</definedName>
    <definedName name="Back_CLOTH_ALW">#REF!</definedName>
    <definedName name="Back_DEEMOT_ALW">#REF!</definedName>
    <definedName name="Back_DEEMOT_PRO">#REF!</definedName>
    <definedName name="Back_DRIVER_SAL">#REF!</definedName>
    <definedName name="Back_EPI_RATE">#REF!</definedName>
    <definedName name="Back_FAMILY_ALW">#REF!</definedName>
    <definedName name="Back_FBT_ITEMS">#REF!</definedName>
    <definedName name="Back_FEST_BON">#REF!</definedName>
    <definedName name="Back_FIXED_BON">#REF!</definedName>
    <definedName name="Back_FIXEMP_TEC">#REF!</definedName>
    <definedName name="Back_FLEX_ALW">#REF!</definedName>
    <definedName name="Back_GRATUITY">#REF!</definedName>
    <definedName name="Back_HI_RATE">#REF!</definedName>
    <definedName name="Back_HLTH_PREM">#REF!</definedName>
    <definedName name="Back_HRD_BEN">#REF!</definedName>
    <definedName name="Back_INCENT_ACT2">#REF!</definedName>
    <definedName name="Back_INCENT_TGT2">#REF!</definedName>
    <definedName name="Back_KIWI_CONVAL">#REF!</definedName>
    <definedName name="Back_KIWI_FUND">#REF!</definedName>
    <definedName name="Back_KIWI_OTHER">#REF!</definedName>
    <definedName name="Back_KIWI_TEC">#REF!</definedName>
    <definedName name="Back_KR_Actual_Title">#REF!</definedName>
    <definedName name="Back_KR_Code_Title">#REF!</definedName>
    <definedName name="Back_LEASEPRICE2">#REF!</definedName>
    <definedName name="Back_LEASEPRICEFBT">#REF!</definedName>
    <definedName name="Back_LEAVE_LOAD">#REF!</definedName>
    <definedName name="Back_MED_ALW">#REF!</definedName>
    <definedName name="BAck_MEDCARE_BEN">#REF!</definedName>
    <definedName name="Back_MSU_INSURE">#REF!</definedName>
    <definedName name="Back_NFBT_ITEMS">#REF!</definedName>
    <definedName name="Back_NUM_MTH2">#REF!</definedName>
    <definedName name="Back_OTH_BEN">#REF!</definedName>
    <definedName name="Back_OTHBON_ACT2">#REF!</definedName>
    <definedName name="Back_OTHBON_TGT2">#REF!</definedName>
    <definedName name="Back_OTHSUP_TEC">#REF!</definedName>
    <definedName name="Back_PAG_IBIG">#REF!</definedName>
    <definedName name="Back_PERSONALUSE">#REF!</definedName>
    <definedName name="Back_PREVENT_HLTH">#REF!</definedName>
    <definedName name="Back_PRICE2">#REF!</definedName>
    <definedName name="Back_PURCHASEDISCOUNT">#REF!</definedName>
    <definedName name="Back_RET_BENVAL">#REF!</definedName>
    <definedName name="Back_RET_CONVAL">#REF!</definedName>
    <definedName name="Back_SCOPE_ALW">#REF!</definedName>
    <definedName name="Back_SITEOFF_ALW">#REF!</definedName>
    <definedName name="Back_SLSMAN_ALW">#REF!</definedName>
    <definedName name="Back_SS_BEN">#REF!</definedName>
    <definedName name="Back_SS_RATE">#REF!</definedName>
    <definedName name="Back_Store_Type">#REF!</definedName>
    <definedName name="Back_TRAVEL_ALW">#REF!</definedName>
    <definedName name="Back_Type_of_Empl">#REF!</definedName>
    <definedName name="Back_UNION_COFEE">#REF!</definedName>
    <definedName name="Back_UNION_EEFEE">#REF!</definedName>
    <definedName name="BadLink" hidden="1">#REF!</definedName>
    <definedName name="BAL">#REF!</definedName>
    <definedName name="BalanceSheet">#REF!</definedName>
    <definedName name="BalanceSheet97">#REF!</definedName>
    <definedName name="BalanceSheetDates">#REF!</definedName>
    <definedName name="BANCA1">#REF!</definedName>
    <definedName name="banka">#REF!</definedName>
    <definedName name="bankb">#REF!</definedName>
    <definedName name="BAP">#REF!</definedName>
    <definedName name="BASE">#REF!</definedName>
    <definedName name="basebalance">#REF!</definedName>
    <definedName name="BASECARR">#N/A</definedName>
    <definedName name="BASEDOC">#N/A</definedName>
    <definedName name="Basic">#REF!</definedName>
    <definedName name="BatchName">#REF!</definedName>
    <definedName name="BB">#REF!</definedName>
    <definedName name="BBB" hidden="1">#REF!</definedName>
    <definedName name="BBBB" hidden="1">{"'호선별현황(방식)'!$K$22:$P$22","'호선별현황(방식)'!$K$22:$P$22"}</definedName>
    <definedName name="bbbbb" hidden="1">{#N/A,#N/A,FALSE,"Aging Summary";#N/A,#N/A,FALSE,"Ratio Analysis";#N/A,#N/A,FALSE,"Test 120 Day Accts";#N/A,#N/A,FALSE,"Tickmarks"}</definedName>
    <definedName name="bbbbbbbbb">#REF!</definedName>
    <definedName name="bbbbbbbbbbbbbbb" hidden="1">{#N/A,#N/A,FALSE,"Aging Summary";#N/A,#N/A,FALSE,"Ratio Analysis";#N/A,#N/A,FALSE,"Test 120 Day Accts";#N/A,#N/A,FALSE,"Tickmarks"}</definedName>
    <definedName name="BBL">#REF!</definedName>
    <definedName name="BBP">#REF!</definedName>
    <definedName name="bc">#REF!</definedName>
    <definedName name="BCL">#REF!</definedName>
    <definedName name="BCP">#REF!</definedName>
    <definedName name="bcrclcl100rt">#REF!</definedName>
    <definedName name="bcrclcl100rtrkrk">#REF!</definedName>
    <definedName name="BCY_M1">#REF!</definedName>
    <definedName name="BCY_M2">#REF!</definedName>
    <definedName name="BCY_P1">#REF!</definedName>
    <definedName name="BCY_P10">#REF!</definedName>
    <definedName name="BCY_P2">#REF!</definedName>
    <definedName name="BCY_P3">#REF!</definedName>
    <definedName name="BCY_P4">#REF!</definedName>
    <definedName name="BCY_P5">#REF!</definedName>
    <definedName name="BCY_P6">#REF!</definedName>
    <definedName name="BCY_P7">#REF!</definedName>
    <definedName name="BCY_P8">#REF!</definedName>
    <definedName name="BCY_P9">#REF!</definedName>
    <definedName name="BD">#REF!</definedName>
    <definedName name="BDL">#REF!</definedName>
    <definedName name="BDP">#REF!</definedName>
    <definedName name="Beachwood" hidden="1">{"p",#N/A,FALSE,"Sheet1";"p 2",#N/A,FALSE,"Sheet1";"p 3",#N/A,FALSE,"Sheet1"}</definedName>
    <definedName name="Beachwood_1" hidden="1">{"p",#N/A,FALSE,"Sheet1";"p 2",#N/A,FALSE,"Sheet1";"p 3",#N/A,FALSE,"Sheet1"}</definedName>
    <definedName name="BEG_MISC">#REF!</definedName>
    <definedName name="Ben_LA2">#REF!</definedName>
    <definedName name="Ben_PM2">#REF!</definedName>
    <definedName name="Benchmark">#REF!</definedName>
    <definedName name="beta">#REF!</definedName>
    <definedName name="BG_Del" hidden="1">15</definedName>
    <definedName name="BG_Ins" hidden="1">4</definedName>
    <definedName name="BG_Mod" hidden="1">6</definedName>
    <definedName name="bn" hidden="1">{#N/A,#N/A,FALSE,"Aging Summary";#N/A,#N/A,FALSE,"Ratio Analysis";#N/A,#N/A,FALSE,"Test 120 Day Accts";#N/A,#N/A,FALSE,"Tickmarks"}</definedName>
    <definedName name="BNY_M1">#REF!</definedName>
    <definedName name="BNY_M2">#REF!</definedName>
    <definedName name="BNY_P1">#REF!</definedName>
    <definedName name="BNY_P10">#REF!</definedName>
    <definedName name="BNY_P2">#REF!</definedName>
    <definedName name="BNY_P3">#REF!</definedName>
    <definedName name="BNY_P4">#REF!</definedName>
    <definedName name="BNY_P5">#REF!</definedName>
    <definedName name="BNY_P6">#REF!</definedName>
    <definedName name="BNY_P7">#REF!</definedName>
    <definedName name="BNY_P8">#REF!</definedName>
    <definedName name="BNY_P9">#REF!</definedName>
    <definedName name="BODY">#REF!</definedName>
    <definedName name="Book_2002">#REF!</definedName>
    <definedName name="book1" hidden="1">{#N/A,#N/A,TRUE,"Y생산";#N/A,#N/A,TRUE,"Y판매";#N/A,#N/A,TRUE,"Y총물량";#N/A,#N/A,TRUE,"Y능력";#N/A,#N/A,TRUE,"YKD"}</definedName>
    <definedName name="Borrow_Cost">#REF!</definedName>
    <definedName name="BPR_01" hidden="1">{#N/A,#N/A,FALSE,"BS";#N/A,#N/A,FALSE,"PL";#N/A,#N/A,FALSE,"처분";#N/A,#N/A,FALSE,"현금";#N/A,#N/A,FALSE,"매출";#N/A,#N/A,FALSE,"원가";#N/A,#N/A,FALSE,"경영"}</definedName>
    <definedName name="Branch">#REF!</definedName>
    <definedName name="BRCOD">#REF!</definedName>
    <definedName name="bridge">#REF!</definedName>
    <definedName name="BRK">#REF!</definedName>
    <definedName name="brougham">#REF!</definedName>
    <definedName name="bs" hidden="1">{#N/A,#N/A,FALSE,"Aging Summary";#N/A,#N/A,FALSE,"Ratio Analysis";#N/A,#N/A,FALSE,"Test 120 Day Accts";#N/A,#N/A,FALSE,"Tickmarks"}</definedName>
    <definedName name="BS_Co">#REF!</definedName>
    <definedName name="bsbalance">#REF!</definedName>
    <definedName name="bsNote">#N/A</definedName>
    <definedName name="BSTA">#REF!</definedName>
    <definedName name="BSTL">#REF!</definedName>
    <definedName name="BSTR">#REF!</definedName>
    <definedName name="BSTX">#REF!</definedName>
    <definedName name="BTC_List1_100">#REF!</definedName>
    <definedName name="BTC_List1_110">#REF!</definedName>
    <definedName name="BTC_List1_120">#REF!</definedName>
    <definedName name="BTC_List1_123">#REF!</definedName>
    <definedName name="BTC_List1_130">#REF!</definedName>
    <definedName name="BTC_List1_140">#REF!</definedName>
    <definedName name="BTC_List1_150">#REF!</definedName>
    <definedName name="BTC_List1_155">#REF!</definedName>
    <definedName name="BTC_List1_160">#REF!</definedName>
    <definedName name="BTC_List1_162">#REF!</definedName>
    <definedName name="BTC_List1_166">#REF!</definedName>
    <definedName name="BTC_List1_170">#REF!</definedName>
    <definedName name="BTC_List1_180">#REF!</definedName>
    <definedName name="BTC_List1_187">#REF!</definedName>
    <definedName name="BTC_List1_190">#REF!</definedName>
    <definedName name="BTC_List1_200">#REF!</definedName>
    <definedName name="BTC_List1_210">#REF!</definedName>
    <definedName name="BTC_List1_220">#REF!</definedName>
    <definedName name="BTC_List1_501">#REF!</definedName>
    <definedName name="BTC_List1_510">#REF!</definedName>
    <definedName name="BTC_List1_520">#REF!</definedName>
    <definedName name="BTC_List1_530">#REF!</definedName>
    <definedName name="BTC_List1_541">#REF!</definedName>
    <definedName name="BTC_List1_542">#REF!</definedName>
    <definedName name="BTC_List1_543">#REF!</definedName>
    <definedName name="BTC_List1_560">#REF!</definedName>
    <definedName name="BTC_List1_570">#REF!</definedName>
    <definedName name="BTC_List1_600">#REF!</definedName>
    <definedName name="BTC_List1_610">#REF!</definedName>
    <definedName name="BTC_List1_642">#REF!</definedName>
    <definedName name="BTC_List1_671">#REF!</definedName>
    <definedName name="BTC_List1_672">#REF!</definedName>
    <definedName name="BTC_List1_690">#REF!</definedName>
    <definedName name="BTC_List1_701">#REF!</definedName>
    <definedName name="BTC_List1_702">#REF!</definedName>
    <definedName name="BTC_List1_All">#REF!</definedName>
    <definedName name="BTC_List2">#REF!</definedName>
    <definedName name="BTCs_Generic">#REF!</definedName>
    <definedName name="btnClose">#N/A</definedName>
    <definedName name="btnFootNoting">#N/A</definedName>
    <definedName name="btnNext">#N/A</definedName>
    <definedName name="btnOK">#N/A</definedName>
    <definedName name="btnPrevious">#N/A</definedName>
    <definedName name="btnReturn">#N/A</definedName>
    <definedName name="BuiltIn_Print_Area___1">NA()</definedName>
    <definedName name="BuiltIn_Print_Area___1___0">NA()</definedName>
    <definedName name="BuiltIn_Print_Area___2">NA()</definedName>
    <definedName name="BuiltIn_Print_Area___2___0">NA()</definedName>
    <definedName name="BuiltIn_Print_Area___3">NA()</definedName>
    <definedName name="BuiltIn_Print_Area___3___0">NA()</definedName>
    <definedName name="bumwi">#REF!</definedName>
    <definedName name="BUTTON_N">#REF!</definedName>
    <definedName name="BUTTON_T">#REF!</definedName>
    <definedName name="Buy_Price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">#REF!</definedName>
    <definedName name="CAE해석" hidden="1">{#N/A,#N/A,FALSE,"단축1";#N/A,#N/A,FALSE,"단축2";#N/A,#N/A,FALSE,"단축3";#N/A,#N/A,FALSE,"장축";#N/A,#N/A,FALSE,"4WD"}</definedName>
    <definedName name="CAL">#REF!</definedName>
    <definedName name="can">#REF!</definedName>
    <definedName name="canestr">#REF!:#REF!</definedName>
    <definedName name="CAP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Ex_A">#REF!</definedName>
    <definedName name="CapEx_B">#REF!</definedName>
    <definedName name="CapEx_C">#REF!</definedName>
    <definedName name="CapEx_D">#REF!</definedName>
    <definedName name="CapEx_E">#REF!</definedName>
    <definedName name="CapEx_F">#REF!</definedName>
    <definedName name="CapEx_G">#REF!</definedName>
    <definedName name="CapEx_H">#REF!</definedName>
    <definedName name="Capital_Reserve">#REF!</definedName>
    <definedName name="Car_List">#REF!</definedName>
    <definedName name="CARCODE">#REF!</definedName>
    <definedName name="Carpark_Revenue">#REF!</definedName>
    <definedName name="Case_Rev">#REF!</definedName>
    <definedName name="CASE1">#REF!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3">#REF!</definedName>
    <definedName name="CASE4">#REF!</definedName>
    <definedName name="cash">#N/A</definedName>
    <definedName name="Cashflow">#REF!</definedName>
    <definedName name="CashFlow_Button1_Click">#N/A</definedName>
    <definedName name="CashFlow97">#REF!</definedName>
    <definedName name="CashflowStt">#REF!</definedName>
    <definedName name="cashIndex">#N/A</definedName>
    <definedName name="CB">#REF!</definedName>
    <definedName name="CBL">#REF!</definedName>
    <definedName name="CBP">#REF!</definedName>
    <definedName name="cc">#REF!</definedName>
    <definedName name="CC.QQ">#REF!</definedName>
    <definedName name="CCC">#REF!</definedName>
    <definedName name="cccccccㅊㅊㅊㅊㅊㅊㅊㅊㅊㅊㅊㅊㅊ">#REF!</definedName>
    <definedName name="CCL">#REF!</definedName>
    <definedName name="CCP">#REF!</definedName>
    <definedName name="ccr">#REF!</definedName>
    <definedName name="Ccy">#REF!</definedName>
    <definedName name="CD">#REF!</definedName>
    <definedName name="Cday">#REF!</definedName>
    <definedName name="CDE" hidden="1">{#N/A,#N/A,TRUE,"일정"}</definedName>
    <definedName name="cdhbkjbkjnkjnlmmn" hidden="1">{#N/A,#N/A,TRUE,"일정"}</definedName>
    <definedName name="CDL">#REF!</definedName>
    <definedName name="CDP">#REF!</definedName>
    <definedName name="CELLNOTE10">#REF!</definedName>
    <definedName name="CELLNOTE4">#REF!</definedName>
    <definedName name="CELLNOTE5">#REF!</definedName>
    <definedName name="CELLNOTE6">#REF!</definedName>
    <definedName name="CellSize">#REF!</definedName>
    <definedName name="CF">#REF!</definedName>
    <definedName name="cf1fc1s4" hidden="1">{#N/A,#N/A,FALSE,"Aging Summary";#N/A,#N/A,FALSE,"Ratio Analysis";#N/A,#N/A,FALSE,"Test 120 Day Accts";#N/A,#N/A,FALSE,"Tickmarks"}</definedName>
    <definedName name="cfclear" hidden="1">{#N/A,#N/A,FALSE,"BS";#N/A,#N/A,FALSE,"PL";#N/A,#N/A,FALSE,"처분";#N/A,#N/A,FALSE,"현금";#N/A,#N/A,FALSE,"매출";#N/A,#N/A,FALSE,"원가";#N/A,#N/A,FALSE,"경영"}</definedName>
    <definedName name="CFP">#REF!</definedName>
    <definedName name="CHECK">#REF!:#REF!</definedName>
    <definedName name="chobae">#N/A</definedName>
    <definedName name="chobu">#N/A</definedName>
    <definedName name="chobub">#N/A</definedName>
    <definedName name="chogu">#N/A</definedName>
    <definedName name="Chonsei_Interest_Rate">#REF!</definedName>
    <definedName name="Chonsei_Unit">#REF!</definedName>
    <definedName name="chopo">#N/A</definedName>
    <definedName name="choto">#N/A</definedName>
    <definedName name="ci" hidden="1">{#N/A,#N/A,FALSE,"단축1";#N/A,#N/A,FALSE,"단축2";#N/A,#N/A,FALSE,"단축3";#N/A,#N/A,FALSE,"장축";#N/A,#N/A,FALSE,"4WD"}</definedName>
    <definedName name="CIQWBGuid" hidden="1">"476f5d56-2f49-456f-b2f9-cd2c53c26ccd"</definedName>
    <definedName name="Circ">#REF!</definedName>
    <definedName name="Citi_Rent_Growth">#REF!</definedName>
    <definedName name="ckc">#REF!</definedName>
    <definedName name="closing">#REF!</definedName>
    <definedName name="Closing_Date">#REF!</definedName>
    <definedName name="Cmonth">#REF!</definedName>
    <definedName name="CoData_Link1">#REF!</definedName>
    <definedName name="Ｃｏｄｅ">#REF!</definedName>
    <definedName name="code1">#REF!</definedName>
    <definedName name="code2">#REF!</definedName>
    <definedName name="ColorNames">#REF!</definedName>
    <definedName name="Com">#REF!</definedName>
    <definedName name="comp">#REF!</definedName>
    <definedName name="Company_Code">#REF!</definedName>
    <definedName name="Company_Name">#REF!</definedName>
    <definedName name="Composite_Land_Tax">#REF!</definedName>
    <definedName name="con">#REF!</definedName>
    <definedName name="CoName1">#REF!</definedName>
    <definedName name="conb1">#REF!</definedName>
    <definedName name="conb10">#REF!</definedName>
    <definedName name="conb100">#REF!</definedName>
    <definedName name="conb101">#REF!</definedName>
    <definedName name="conb102">#REF!</definedName>
    <definedName name="conb103">#REF!</definedName>
    <definedName name="conb104">#REF!</definedName>
    <definedName name="conb105">#REF!</definedName>
    <definedName name="conb106">#REF!</definedName>
    <definedName name="conb107">#REF!</definedName>
    <definedName name="conb108">#REF!</definedName>
    <definedName name="conb109">#REF!</definedName>
    <definedName name="conb11">#REF!</definedName>
    <definedName name="conb110">#REF!</definedName>
    <definedName name="conb111">#REF!</definedName>
    <definedName name="conb112">#REF!</definedName>
    <definedName name="conb113">#REF!</definedName>
    <definedName name="conb114">#REF!</definedName>
    <definedName name="conb115">#REF!</definedName>
    <definedName name="conb116">#REF!</definedName>
    <definedName name="conb117">#REF!</definedName>
    <definedName name="conb118">#REF!</definedName>
    <definedName name="conb119">#REF!</definedName>
    <definedName name="conb12">#REF!</definedName>
    <definedName name="conb120">#REF!</definedName>
    <definedName name="conb121">#REF!</definedName>
    <definedName name="conb13">#REF!</definedName>
    <definedName name="conb14">#REF!</definedName>
    <definedName name="conb15">#REF!</definedName>
    <definedName name="conb16">#REF!</definedName>
    <definedName name="conb17">#REF!</definedName>
    <definedName name="conb18">#REF!</definedName>
    <definedName name="conb19">#REF!</definedName>
    <definedName name="conb2">#REF!</definedName>
    <definedName name="conb20">#REF!</definedName>
    <definedName name="conb21">#REF!</definedName>
    <definedName name="conb22">#REF!</definedName>
    <definedName name="conb23">#REF!</definedName>
    <definedName name="conb24">#REF!</definedName>
    <definedName name="conb25">#REF!</definedName>
    <definedName name="conb26">#REF!</definedName>
    <definedName name="conb27">#REF!</definedName>
    <definedName name="conb28">#REF!</definedName>
    <definedName name="conb29">#REF!</definedName>
    <definedName name="conb3">#REF!</definedName>
    <definedName name="conb30">#REF!</definedName>
    <definedName name="conb31">#REF!</definedName>
    <definedName name="conb33">#REF!</definedName>
    <definedName name="conb34">#REF!</definedName>
    <definedName name="conb36">#REF!</definedName>
    <definedName name="conb37">#REF!</definedName>
    <definedName name="conb38">#REF!</definedName>
    <definedName name="conb39">#REF!</definedName>
    <definedName name="conb4">#REF!</definedName>
    <definedName name="conb40">#REF!</definedName>
    <definedName name="conb41">#REF!</definedName>
    <definedName name="conb42">#REF!</definedName>
    <definedName name="conb43">#REF!</definedName>
    <definedName name="conb44">#REF!</definedName>
    <definedName name="conb45">#REF!</definedName>
    <definedName name="conb46">#REF!</definedName>
    <definedName name="conb47">#REF!</definedName>
    <definedName name="conb48">#REF!</definedName>
    <definedName name="conb49">#REF!</definedName>
    <definedName name="conb5">#REF!</definedName>
    <definedName name="conb50">#REF!</definedName>
    <definedName name="conb51">#REF!</definedName>
    <definedName name="conb52">#REF!</definedName>
    <definedName name="conb53">#REF!</definedName>
    <definedName name="conb54">#REF!</definedName>
    <definedName name="conb55">#REF!</definedName>
    <definedName name="conb58">#REF!</definedName>
    <definedName name="conb59">#REF!</definedName>
    <definedName name="conb6">#REF!</definedName>
    <definedName name="conb60">#REF!</definedName>
    <definedName name="conb61">#REF!</definedName>
    <definedName name="conb62">#REF!</definedName>
    <definedName name="conb63">#REF!</definedName>
    <definedName name="conb64">#REF!</definedName>
    <definedName name="conb65">#REF!</definedName>
    <definedName name="conb66">#REF!</definedName>
    <definedName name="conb67">#REF!</definedName>
    <definedName name="conb68">#REF!</definedName>
    <definedName name="conb69">#REF!</definedName>
    <definedName name="conb7">#REF!</definedName>
    <definedName name="conb70">#REF!</definedName>
    <definedName name="conb71">#REF!</definedName>
    <definedName name="conb72">#REF!</definedName>
    <definedName name="conb73">#REF!</definedName>
    <definedName name="conb74">#REF!</definedName>
    <definedName name="conb75">#REF!</definedName>
    <definedName name="conb76">#REF!</definedName>
    <definedName name="conb77">#REF!</definedName>
    <definedName name="conb78">#REF!</definedName>
    <definedName name="conb79">#REF!</definedName>
    <definedName name="conb8">#REF!</definedName>
    <definedName name="conb80">#REF!</definedName>
    <definedName name="conb81">#REF!</definedName>
    <definedName name="conb82">#REF!</definedName>
    <definedName name="conb83">#REF!</definedName>
    <definedName name="conb84">#REF!</definedName>
    <definedName name="conb85">#REF!</definedName>
    <definedName name="conb86">#REF!</definedName>
    <definedName name="conb87">#REF!</definedName>
    <definedName name="conb88">#REF!</definedName>
    <definedName name="conb89">#REF!</definedName>
    <definedName name="conb9">#REF!</definedName>
    <definedName name="conb90">#REF!</definedName>
    <definedName name="conb91">#REF!</definedName>
    <definedName name="conb92">#REF!</definedName>
    <definedName name="conb93">#REF!</definedName>
    <definedName name="conb94">#REF!</definedName>
    <definedName name="conb95">#REF!</definedName>
    <definedName name="conb96">#REF!</definedName>
    <definedName name="conb97">#REF!</definedName>
    <definedName name="conb98">#REF!</definedName>
    <definedName name="conb99">#REF!</definedName>
    <definedName name="ConstructionCost">#REF!</definedName>
    <definedName name="Contact1">#REF!</definedName>
    <definedName name="Contact2">#REF!</definedName>
    <definedName name="Contact3">#REF!</definedName>
    <definedName name="Contact4">#REF!</definedName>
    <definedName name="Contact5">#REF!</definedName>
    <definedName name="contagiorni">#N/A</definedName>
    <definedName name="CoNum1">#REF!</definedName>
    <definedName name="Conv">#REF!</definedName>
    <definedName name="Conventions">#REF!</definedName>
    <definedName name="CorpTax_Coeff">#REF!</definedName>
    <definedName name="cost">#REF!</definedName>
    <definedName name="CostData">#REF!</definedName>
    <definedName name="Costs_of_Sales">#REF!</definedName>
    <definedName name="Country">#REF!</definedName>
    <definedName name="CountryCode">#REF!</definedName>
    <definedName name="COUNTY">#REF!</definedName>
    <definedName name="COUPPCD">#REF!</definedName>
    <definedName name="Cover">#REF!</definedName>
    <definedName name="CPI_Sambu_RR">#REF!</definedName>
    <definedName name="CR">#REF!</definedName>
    <definedName name="CRa">#REF!</definedName>
    <definedName name="CRb">#REF!</definedName>
    <definedName name="CRC_CorpTax_Coeff">#REF!</definedName>
    <definedName name="CRC_Special_Capital_Gain_Tax">#REF!</definedName>
    <definedName name="CRC_Tax_Base_above100">#REF!</definedName>
    <definedName name="CRC_Tax_Base_below100">#REF!</definedName>
    <definedName name="CRC_Tax_Rental_Above100">#REF!</definedName>
    <definedName name="CRC_Tax_Rental_below100">#REF!</definedName>
    <definedName name="CRC_Tax_Withhold_Capital_Gains">#REF!</definedName>
    <definedName name="CRC_Tax_Withhold_Dividends">#REF!</definedName>
    <definedName name="Credit_Card_Rate">#REF!</definedName>
    <definedName name="crinkled_ctn_blend">#REF!</definedName>
    <definedName name="_xlnm.Criteria">#REF!</definedName>
    <definedName name="Criteria_MI">#REF!</definedName>
    <definedName name="CSTA">#REF!</definedName>
    <definedName name="CSTL">#REF!</definedName>
    <definedName name="CSTR">#REF!</definedName>
    <definedName name="CSTX">#REF!</definedName>
    <definedName name="CubeData">!#REF!</definedName>
    <definedName name="cumule">#REF!</definedName>
    <definedName name="CUR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>#REF!</definedName>
    <definedName name="Currency_List">#REF!</definedName>
    <definedName name="current">#REF!</definedName>
    <definedName name="Current_Month">#REF!</definedName>
    <definedName name="Current_Month_SvcCharge">#REF!</definedName>
    <definedName name="Current_Tenant_Deposit_Growth">#REF!</definedName>
    <definedName name="Current_Tenant_Rent_Growth">#REF!</definedName>
    <definedName name="Current_Year">#REF!</definedName>
    <definedName name="Customer_Type">#REF!</definedName>
    <definedName name="CY">#REF!</definedName>
    <definedName name="Cyear">#REF!</definedName>
    <definedName name="CYs">#REF!</definedName>
    <definedName name="CYTD_CHG">11</definedName>
    <definedName name="C채권계정과목">#REF!</definedName>
    <definedName name="C채무계정과목">#REF!</definedName>
    <definedName name="D">#REF!</definedName>
    <definedName name="dafadfafadfa" hidden="1">{#N/A,#N/A,FALSE,"Aging Summary";#N/A,#N/A,FALSE,"Ratio Analysis";#N/A,#N/A,FALSE,"Test 120 Day Accts";#N/A,#N/A,FALSE,"Tickmarks"}</definedName>
    <definedName name="Dala">#REF!</definedName>
    <definedName name="DALBAL.PriorPeriod1Balance">#REF!</definedName>
    <definedName name="dalcielo">#REF!,#REF!,#REF!,#REF!,#REF!,#REF!,#REF!</definedName>
    <definedName name="dallanos">#REF!,#REF!,#REF!,#REF!,#REF!,#REF!,#REF!</definedName>
    <definedName name="dalleganza">#REF!,#REF!,#REF!,#REF!,#REF!,#REF!,#REF!</definedName>
    <definedName name="dalnubira">#REF!,#REF!,#REF!,#REF!,#REF!,#REF!,#REF!</definedName>
    <definedName name="dalsung">#REF!,#REF!,#REF!,#REF!,#REF!,#REF!</definedName>
    <definedName name="daltacuma">#REF!,#REF!,#REF!,#REF!,#REF!,#REF!,#REF!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">#REF!</definedName>
    <definedName name="_xlnm.Database">#REF!</definedName>
    <definedName name="Database_MI">#REF!</definedName>
    <definedName name="Date">#REF!</definedName>
    <definedName name="date_lookup_range">#REF!</definedName>
    <definedName name="date2">#REF!</definedName>
    <definedName name="DateColorClear">#REF!</definedName>
    <definedName name="dates">#REF!</definedName>
    <definedName name="Davinci_AnnFee_ofBuyAcq">#REF!</definedName>
    <definedName name="Davinci_AnnFee_ofGrossRev">#REF!</definedName>
    <definedName name="DB">#REF!</definedName>
    <definedName name="DB_AC">#REF!</definedName>
    <definedName name="DB_Ave">#REF!</definedName>
    <definedName name="DB_Increase">#REF!</definedName>
    <definedName name="DB_Plan">#REF!</definedName>
    <definedName name="dbswhdgusdbswhdgus">#REF!</definedName>
    <definedName name="DC_Plan">#REF!</definedName>
    <definedName name="DCFINPUTS">#REF!</definedName>
    <definedName name="DCFMATRIX">#REF!</definedName>
    <definedName name="DD">#REF!</definedName>
    <definedName name="ddd">#REF!</definedName>
    <definedName name="DDDD">#REF!</definedName>
    <definedName name="dddd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>#REF!</definedName>
    <definedName name="dddddddd">#REF!</definedName>
    <definedName name="DDDDDDDDDD" hidden="1">{#N/A,#N/A,TRUE,"Y생산";#N/A,#N/A,TRUE,"Y판매";#N/A,#N/A,TRUE,"Y총물량";#N/A,#N/A,TRUE,"Y능력";#N/A,#N/A,TRUE,"YKD"}</definedName>
    <definedName name="DDDDDDDDDD_1" hidden="1">{#N/A,#N/A,TRUE,"Y생산";#N/A,#N/A,TRUE,"Y판매";#N/A,#N/A,TRUE,"Y총물량";#N/A,#N/A,TRUE,"Y능력";#N/A,#N/A,TRUE,"YKD"}</definedName>
    <definedName name="ddddddddddd">#REF!</definedName>
    <definedName name="DDDDDDDDDDDD" hidden="1">{#N/A,#N/A,FALSE,"표지";#N/A,#N/A,FALSE,"전제";#N/A,#N/A,FALSE,"손익-자 (2)";#N/A,#N/A,FALSE,"손익-자";#N/A,#N/A,FALSE,"손익-마 (2)";#N/A,#N/A,FALSE,"손익-마";#N/A,#N/A,FALSE,"총손최종"}</definedName>
    <definedName name="DDDDDDDDDDDDD" hidden="1">#REF!</definedName>
    <definedName name="dddddddddddddddd">#REF!</definedName>
    <definedName name="dddddddddddddddddd" hidden="1">{#N/A,#N/A,FALSE,"Aging Summary";#N/A,#N/A,FALSE,"Ratio Analysis";#N/A,#N/A,FALSE,"Test 120 Day Accts";#N/A,#N/A,FALSE,"Tickmarks"}</definedName>
    <definedName name="dddddddddddddddddddddddddddddddddd">#REF!</definedName>
    <definedName name="ddddddddddddddddddddddddddddddddddddddddddddddddddddd">#REF!</definedName>
    <definedName name="DDFDF" hidden="1">#REF!</definedName>
    <definedName name="Deal_Name">#REF!</definedName>
    <definedName name="debt">#REF!</definedName>
    <definedName name="Debt_BreakFee">#REF!</definedName>
    <definedName name="Debt_Ratio">#REF!</definedName>
    <definedName name="DebtType">#REF!</definedName>
    <definedName name="DEC.GH">#REF!</definedName>
    <definedName name="deduction">#REF!</definedName>
    <definedName name="DEFERRED">#REF!</definedName>
    <definedName name="DEFERRED2">#REF!</definedName>
    <definedName name="deferred3">#REF!</definedName>
    <definedName name="dek">#REF!</definedName>
    <definedName name="Deloitte.">#REF!</definedName>
    <definedName name="DELPHONE">#N/A</definedName>
    <definedName name="delta">#REF!</definedName>
    <definedName name="delta1">#REF!</definedName>
    <definedName name="delta2">#REF!</definedName>
    <definedName name="dep_rate">#REF!</definedName>
    <definedName name="deposit">#REF!</definedName>
    <definedName name="deposit_raise">#REF!</definedName>
    <definedName name="deposit_rate">#REF!</definedName>
    <definedName name="Depreciation">#REF!</definedName>
    <definedName name="DEPT">#REF!</definedName>
    <definedName name="dererred4">#REF!</definedName>
    <definedName name="Description">#REF!</definedName>
    <definedName name="DESIGN">#REF!</definedName>
    <definedName name="detail">#REF!</definedName>
    <definedName name="detailbalance">#REF!</definedName>
    <definedName name="detteis">#REF!</definedName>
    <definedName name="Deutsche">#REF!</definedName>
    <definedName name="Develop">#REF!</definedName>
    <definedName name="devs">#REF!</definedName>
    <definedName name="DF" hidden="1">{#N/A,#N/A,FALSE,"Aging Summary";#N/A,#N/A,FALSE,"Ratio Analysis";#N/A,#N/A,FALSE,"Test 120 Day Accts";#N/A,#N/A,FALSE,"Tickmarks"}</definedName>
    <definedName name="dfadfdafdafdafd" hidden="1">{#N/A,#N/A,FALSE,"Aging Summary";#N/A,#N/A,FALSE,"Ratio Analysis";#N/A,#N/A,FALSE,"Test 120 Day Accts";#N/A,#N/A,FALSE,"Tickmarks"}</definedName>
    <definedName name="dfddf">#REF!</definedName>
    <definedName name="DFDF" hidden="1">{#N/A,#N/A,FALSE,"Aging Summary";#N/A,#N/A,FALSE,"Ratio Analysis";#N/A,#N/A,FALSE,"Test 120 Day Accts";#N/A,#N/A,FALSE,"Tickmarks"}</definedName>
    <definedName name="DFDFDFD" hidden="1">{#N/A,#N/A,FALSE,"Aging Summary";#N/A,#N/A,FALSE,"Ratio Analysis";#N/A,#N/A,FALSE,"Test 120 Day Accts";#N/A,#N/A,FALSE,"Tickmarks"}</definedName>
    <definedName name="df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g" hidden="1">{#N/A,#N/A,TRUE,"Assumptions";#N/A,#N/A,TRUE,"Sources of Revenue";#N/A,#N/A,TRUE,"P&amp;L";#N/A,#N/A,TRUE,"Bal. Sheet";#N/A,#N/A,TRUE,"Rights Issue &amp; X Adjustment";#N/A,#N/A,TRUE,"Transaction Model"}</definedName>
    <definedName name="dfgbr" hidden="1">#REF!</definedName>
    <definedName name="DFGDF">#REF!</definedName>
    <definedName name="DFGFHY">#REF!</definedName>
    <definedName name="dfghdfghhdfh" hidden="1">{#N/A,#N/A,TRUE,"Assumptions";#N/A,#N/A,TRUE,"Sources of Revenue";#N/A,#N/A,TRUE,"P&amp;L";#N/A,#N/A,TRUE,"Bal. Sheet";#N/A,#N/A,TRUE,"Rights Issue &amp; X Adjustment";#N/A,#N/A,TRUE,"Transaction Model"}</definedName>
    <definedName name="dfjk" hidden="1">#REF!</definedName>
    <definedName name="DFSDFS" hidden="1">#REF!</definedName>
    <definedName name="DG_Company_Info">#REF!</definedName>
    <definedName name="DG_Empl_Category">#REF!</definedName>
    <definedName name="DG_Highest_Qual">#REF!</definedName>
    <definedName name="DG_Important_Notes">#REF!</definedName>
    <definedName name="DG_Incumbent_Basic">#REF!</definedName>
    <definedName name="DG_Incumbent_Compensation">#REF!</definedName>
    <definedName name="DG_Industry_List">#REF!</definedName>
    <definedName name="DG_Terms_Definitions">#REF!</definedName>
    <definedName name="DG_Toolbar">#REF!</definedName>
    <definedName name="dgffdh" hidden="1">{#N/A,#N/A,TRUE,"Assumptions";#N/A,#N/A,TRUE,"Sources of Revenue";#N/A,#N/A,TRUE,"P&amp;L";#N/A,#N/A,TRUE,"Bal. Sheet";#N/A,#N/A,TRUE,"Rights Issue &amp; X Adjustment";#N/A,#N/A,TRUE,"Transaction Model"}</definedName>
    <definedName name="DGFHTJTYKHJMKJ">#REF!</definedName>
    <definedName name="dhdhdh">#REF!</definedName>
    <definedName name="DI">#REF!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c">#REF!,#REF!,#REF!,#REF!,#REF!</definedName>
    <definedName name="differe">#REF!,#REF!,#REF!,#REF!,#REF!,#REF!</definedName>
    <definedName name="DIFFERLANOS">#REF!,#REF!,#REF!,#REF!,#REF!,#REF!</definedName>
    <definedName name="DIFFERT">#REF!,#REF!,#REF!,#REF!,#REF!,#REF!</definedName>
    <definedName name="DIFFERV">#REF!,#REF!,#REF!,#REF!,#REF!,#REF!</definedName>
    <definedName name="DIR">#REF!</definedName>
    <definedName name="DIS" hidden="1">#REF!</definedName>
    <definedName name="Discount">#REF!</definedName>
    <definedName name="Discount_Factor">#REF!</definedName>
    <definedName name="Discount_Period">#REF!</definedName>
    <definedName name="discount_rate">#REF!</definedName>
    <definedName name="DISPLAY_DIALOG">#REF!</definedName>
    <definedName name="DisplaySelectedSheetsMacroButton">#REF!</definedName>
    <definedName name="dispo_date">#REF!</definedName>
    <definedName name="dispo_date_lookup">#REF!</definedName>
    <definedName name="dispo_fee">#REF!</definedName>
    <definedName name="DISTR">#REF!</definedName>
    <definedName name="DIV">#REF!</definedName>
    <definedName name="DJQAN" hidden="1">{#N/A,#N/A,TRUE,"대 차 대 조 표"}</definedName>
    <definedName name="DJQAN_1" hidden="1">{#N/A,#N/A,TRUE,"대 차 대 조 표"}</definedName>
    <definedName name="dk" hidden="1">{#N/A,#N/A,FALSE,"3가";#N/A,#N/A,FALSE,"3나";#N/A,#N/A,FALSE,"3다"}</definedName>
    <definedName name="dkd" hidden="1">{#N/A,#N/A,FALSE,"1.CRITERIA";#N/A,#N/A,FALSE,"2.IS";#N/A,#N/A,FALSE,"3.BS";#N/A,#N/A,FALSE,"4.PER PL";#N/A,#N/A,FALSE,"5.INVESTMENT";#N/A,#N/A,FALSE,"6.공문";#N/A,#N/A,FALSE,"7.netinvest"}</definedName>
    <definedName name="DKDI">#REF!</definedName>
    <definedName name="DKDKFG8TBTB2RT">#REF!</definedName>
    <definedName name="dkdlrh" hidden="1">{"'Sheet1'!$A$1:$D$15"}</definedName>
    <definedName name="dkf" hidden="1">{#N/A,#N/A,FALSE,"채산3501.XLS";#N/A,#N/A,FALSE,"신조수A.XLS";#N/A,#N/A,FALSE,"신조수b.XLS";#N/A,#N/A,FALSE,"채산3502.XLS";#N/A,#N/A,FALSE,"신조원리.XLS";#N/A,#N/A,FALSE,"신조감가.XLS"}</definedName>
    <definedName name="DKS" hidden="1">{#N/A,#N/A,FALSE,"3가";#N/A,#N/A,FALSE,"3나";#N/A,#N/A,FALSE,"3다"}</definedName>
    <definedName name="dkskslfjklsd" hidden="1">{#N/A,#N/A,FALSE,"1.CRITERIA";#N/A,#N/A,FALSE,"2.IS";#N/A,#N/A,FALSE,"3.BS";#N/A,#N/A,FALSE,"4.PER PL";#N/A,#N/A,FALSE,"5.INVESTMENT";#N/A,#N/A,FALSE,"6.공문";#N/A,#N/A,FALSE,"7.netinvest"}</definedName>
    <definedName name="dl">#REF!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LTMD" hidden="1">#N/A</definedName>
    <definedName name="dltmdwo">#N/A</definedName>
    <definedName name="DOCS">#N/A</definedName>
    <definedName name="Document_array">{"Book1"}</definedName>
    <definedName name="DOL">#REF!</definedName>
    <definedName name="DOMESTIC">#REF!</definedName>
    <definedName name="domestic_ctn_twill">#REF!</definedName>
    <definedName name="Dongjin">#REF!</definedName>
    <definedName name="DOOR">#REF!</definedName>
    <definedName name="DPS">#REF!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AW_COM">#REF!</definedName>
    <definedName name="DRAW_COM2">#REF!</definedName>
    <definedName name="DRAW_TICK">#REF!</definedName>
    <definedName name="DRIVEABILITY" hidden="1">{#N/A,#N/A,FALSE,"단축1";#N/A,#N/A,FALSE,"단축2";#N/A,#N/A,FALSE,"단축3";#N/A,#N/A,FALSE,"장축";#N/A,#N/A,FALSE,"4WD"}</definedName>
    <definedName name="DROW">#N/A</definedName>
    <definedName name="dsafasd" hidden="1">{#N/A,#N/A,FALSE,"BS";#N/A,#N/A,FALSE,"PL";#N/A,#N/A,FALSE,"처분";#N/A,#N/A,FALSE,"현금";#N/A,#N/A,FALSE,"매출";#N/A,#N/A,FALSE,"원가";#N/A,#N/A,FALSE,"경영"}</definedName>
    <definedName name="dsasdf" hidden="1">{#N/A,#N/A,TRUE,"Assumptions";#N/A,#N/A,TRUE,"Sources of Revenue";#N/A,#N/A,TRUE,"P&amp;L";#N/A,#N/A,TRUE,"Bal. Sheet";#N/A,#N/A,TRUE,"Rights Issue &amp; X Adjustment";#N/A,#N/A,TRUE,"Transaction Model"}</definedName>
    <definedName name="DSF" hidden="1">#REF!</definedName>
    <definedName name="dsjflsajf" hidden="1">{#N/A,#N/A,FALSE,"BS";#N/A,#N/A,FALSE,"PL";#N/A,#N/A,FALSE,"처분";#N/A,#N/A,FALSE,"현금";#N/A,#N/A,FALSE,"매출";#N/A,#N/A,FALSE,"원가";#N/A,#N/A,FALSE,"경영"}</definedName>
    <definedName name="DSL" hidden="1">{#N/A,#N/A,FALSE,"단축1";#N/A,#N/A,FALSE,"단축2";#N/A,#N/A,FALSE,"단축3";#N/A,#N/A,FALSE,"장축";#N/A,#N/A,FALSE,"4WD"}</definedName>
    <definedName name="DU7월Order_J">#REF!</definedName>
    <definedName name="DU7월Order_V">#REF!</definedName>
    <definedName name="DU8월Order_J">#REF!</definedName>
    <definedName name="DU8월Order_V">#REF!</definedName>
    <definedName name="dud" hidden="1">{#N/A,#N/A,FALSE,"Aging Summary";#N/A,#N/A,FALSE,"Ratio Analysis";#N/A,#N/A,FALSE,"Test 120 Day Accts";#N/A,#N/A,FALSE,"Tickmarks"}</definedName>
    <definedName name="DUMP일정" hidden="1">{#N/A,#N/A,FALSE,"신규dep";#N/A,#N/A,FALSE,"신규dep-금형상각후";#N/A,#N/A,FALSE,"신규dep-연구비상각후";#N/A,#N/A,FALSE,"신규dep-기계,공구상각후"}</definedName>
    <definedName name="dwsev01">#REF!</definedName>
    <definedName name="dyna">#REF!</definedName>
    <definedName name="Dyna_Process">#REF!</definedName>
    <definedName name="dㄴㄹㅇ" hidden="1">{#N/A,#N/A,FALSE,"Aging Summary";#N/A,#N/A,FALSE,"Ratio Analysis";#N/A,#N/A,FALSE,"Test 120 Day Accts";#N/A,#N/A,FALSE,"Tickmarks"}</definedName>
    <definedName name="e" hidden="1">#REF!</definedName>
    <definedName name="ea" hidden="1">{#N/A,#N/A,FALSE,"Aging Summary";#N/A,#N/A,FALSE,"Ratio Analysis";#N/A,#N/A,FALSE,"Test 120 Day Accts";#N/A,#N/A,FALSE,"Tickmarks"}</definedName>
    <definedName name="EC_Plan">#REF!</definedName>
    <definedName name="ECOF">#REF!</definedName>
    <definedName name="EDPSP">#REF!</definedName>
    <definedName name="EE">#REF!</definedName>
    <definedName name="EEC">#N/A</definedName>
    <definedName name="eee" hidden="1">{#N/A,#N/A,TRUE,"Assumptions";#N/A,#N/A,TRUE,"Sources of Revenue";#N/A,#N/A,TRUE,"P&amp;L";#N/A,#N/A,TRUE,"Bal. Sheet";#N/A,#N/A,TRUE,"Rights Issue &amp; X Adjustment";#N/A,#N/A,TRUE,"Transaction Model"}</definedName>
    <definedName name="eeee" hidden="1">#REF!</definedName>
    <definedName name="eeeee" hidden="1">#REF!</definedName>
    <definedName name="EEEEEE">#REF!</definedName>
    <definedName name="eeeeeeee">#REF!</definedName>
    <definedName name="eeeeeeeeeeeee">#REF!</definedName>
    <definedName name="eeeeeeeeeeeeeee" hidden="1">{"'호선별현황(방식)'!$K$22:$P$22","'호선별현황(방식)'!$K$22:$P$22"}</definedName>
    <definedName name="eeeeeeeeeeeeeeeeeeeeeee">#REF!</definedName>
    <definedName name="efewf" hidden="1">#N/A</definedName>
    <definedName name="EffDate">#REF!</definedName>
    <definedName name="EGPSP">#REF!</definedName>
    <definedName name="EI">#REF!</definedName>
    <definedName name="EKA_Adj">#REF!</definedName>
    <definedName name="EKA_Fut">#REF!</definedName>
    <definedName name="EKA_Stk">#REF!</definedName>
    <definedName name="EKC">#REF!</definedName>
    <definedName name="eland">#REF!</definedName>
    <definedName name="ELC">#REF!</definedName>
    <definedName name="ELG">#REF!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mail">#REF!</definedName>
    <definedName name="EMC_종평보고" hidden="1">#REF!</definedName>
    <definedName name="EMEABUDGET">#REF!</definedName>
    <definedName name="EMEASUMMARY">#REF!</definedName>
    <definedName name="Employee">#REF!</definedName>
    <definedName name="Empty">#REF!,#REF!,#REF!</definedName>
    <definedName name="end">#REF!</definedName>
    <definedName name="END_SHARE">#REF!</definedName>
    <definedName name="ENG">#REF!</definedName>
    <definedName name="ENG_COOLG">#REF!</definedName>
    <definedName name="eng감가">#REF!</definedName>
    <definedName name="eng매출">#REF!</definedName>
    <definedName name="ENG배부">#REF!</definedName>
    <definedName name="eng인원">#REF!</definedName>
    <definedName name="EntryYield">#REF!</definedName>
    <definedName name="EntryYield_GoalSeek">#REF!</definedName>
    <definedName name="eo" hidden="1">{#N/A,#N/A,FALSE,"BS";#N/A,#N/A,FALSE,"PL";#N/A,#N/A,FALSE,"처분";#N/A,#N/A,FALSE,"현금";#N/A,#N/A,FALSE,"매출";#N/A,#N/A,FALSE,"원가";#N/A,#N/A,FALSE,"경영"}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quity">#REF!</definedName>
    <definedName name="er">#REF!</definedName>
    <definedName name="ERGFDG">#REF!</definedName>
    <definedName name="ErrorCode_Table">#REF!</definedName>
    <definedName name="ert" hidden="1">{#N/A,#N/A,TRUE,"Y생산";#N/A,#N/A,TRUE,"Y판매";#N/A,#N/A,TRUE,"Y총물량";#N/A,#N/A,TRUE,"Y능력";#N/A,#N/A,TRUE,"YKD"}</definedName>
    <definedName name="ertyweg" hidden="1">#REF!</definedName>
    <definedName name="erwweqr" hidden="1">#REF!</definedName>
    <definedName name="eryhetyjufkg" hidden="1">#REF!</definedName>
    <definedName name="es" hidden="1">{#N/A,#N/A,FALSE,"Aging Summary";#N/A,#N/A,FALSE,"Ratio Analysis";#N/A,#N/A,FALSE,"Test 120 Day Accts";#N/A,#N/A,FALSE,"Tickmarks"}</definedName>
    <definedName name="esafasf" hidden="1">#REF!</definedName>
    <definedName name="esc">#REF!</definedName>
    <definedName name="escalation">#REF!</definedName>
    <definedName name="Escalation_Rate">#REF!</definedName>
    <definedName name="EscRate">#REF!</definedName>
    <definedName name="et">#REF!</definedName>
    <definedName name="EUATP">#REF!</definedName>
    <definedName name="Euroup_V5" hidden="1">#N/A</definedName>
    <definedName name="EV__LASTREFTIME__" hidden="1">"2018-09-14 오전 10:20:22"</definedName>
    <definedName name="evict_smarket">#REF!</definedName>
    <definedName name="ewe">#REF!</definedName>
    <definedName name="ex">#REF!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h">#REF!</definedName>
    <definedName name="Exch_Rate_End_Of_Period">#REF!</definedName>
    <definedName name="Exchange_Rate">#REF!</definedName>
    <definedName name="EXCLUDE">#N/A</definedName>
    <definedName name="EXDATE">#REF!</definedName>
    <definedName name="existing_key_money">#REF!</definedName>
    <definedName name="existing_occupancy">#REF!</definedName>
    <definedName name="Exit_Cap">#REF!</definedName>
    <definedName name="Exit_Cost">#REF!</definedName>
    <definedName name="Exit_Date">#REF!</definedName>
    <definedName name="Exit_Price">#REF!</definedName>
    <definedName name="Exit_Reversion">#REF!</definedName>
    <definedName name="Exit_Term">#REF!</definedName>
    <definedName name="EXP">#REF!</definedName>
    <definedName name="ExpandOutputs">#REF!</definedName>
    <definedName name="ExpandVPeriods">#REF!</definedName>
    <definedName name="Expenses">#REF!</definedName>
    <definedName name="ExportFile">#REF!</definedName>
    <definedName name="EXT" hidden="1">{#N/A,#N/A,TRUE,"일정"}</definedName>
    <definedName name="External_Renovation">#REF!</definedName>
    <definedName name="_xlnm.Extract">#REF!</definedName>
    <definedName name="Extract_MI">#REF!</definedName>
    <definedName name="EXTT" hidden="1">{#N/A,#N/A,TRUE,"일정"}</definedName>
    <definedName name="E매출">#REF!</definedName>
    <definedName name="E이자">#REF!</definedName>
    <definedName name="e인원">#REF!</definedName>
    <definedName name="F" hidden="1">{#N/A,#N/A,FALSE,"96 3월물량표";#N/A,#N/A,FALSE,"96 4월물량표";#N/A,#N/A,FALSE,"96 5월물량표"}</definedName>
    <definedName name="F?LZEICHEN">#REF!</definedName>
    <definedName name="F_123">#N/A</definedName>
    <definedName name="FA">#REF!</definedName>
    <definedName name="factor">#REF!</definedName>
    <definedName name="Factor2">#REF!</definedName>
    <definedName name="Factor3">#REF!</definedName>
    <definedName name="Factor4a">#REF!</definedName>
    <definedName name="FAKOR">#REF!</definedName>
    <definedName name="Fall1차" hidden="1">{#N/A,#N/A,FALSE,"95FW"}</definedName>
    <definedName name="fasdfadf" hidden="1">{#N/A,#N/A,FALSE,"Aging Summary";#N/A,#N/A,FALSE,"Ratio Analysis";#N/A,#N/A,FALSE,"Test 120 Day Accts";#N/A,#N/A,FALSE,"Tickmarks"}</definedName>
    <definedName name="Fax">#REF!</definedName>
    <definedName name="FA증감">#REF!</definedName>
    <definedName name="fchynd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asfds">#REF!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S">#REF!</definedName>
    <definedName name="FE">#REF!</definedName>
    <definedName name="Fee">#REF!</definedName>
    <definedName name="feee" hidden="1">{"'買掛金'!$J$6"}</definedName>
    <definedName name="Fees">#REF!</definedName>
    <definedName name="FF">#REF!</definedName>
    <definedName name="ffee" hidden="1">{"'買掛金'!$J$6"}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>#REF!</definedName>
    <definedName name="ffffffffffffffffffffffffffffffffffffffffffffffffffffffffff">#REF!</definedName>
    <definedName name="FFGFG" hidden="1">#REF!</definedName>
    <definedName name="FG">#REF!</definedName>
    <definedName name="FG10TBTB2RT">#REF!</definedName>
    <definedName name="FG12TBTB2RTDKDKGMLRT">#REF!</definedName>
    <definedName name="FG22TBTB3RTDKDKDK">#REF!</definedName>
    <definedName name="FG46TBTB4RTDKDK">#REF!</definedName>
    <definedName name="FGDG">#REF!</definedName>
    <definedName name="FGGHGFHJ" hidden="1">{#N/A,#N/A,FALSE,"단축1";#N/A,#N/A,FALSE,"단축2";#N/A,#N/A,FALSE,"단축3";#N/A,#N/A,FALSE,"장축";#N/A,#N/A,FALSE,"4WD"}</definedName>
    <definedName name="fghj" hidden="1">{#N/A,#N/A,TRUE,"Assumptions";#N/A,#N/A,TRUE,"Sources of Revenue";#N/A,#N/A,TRUE,"P&amp;L";#N/A,#N/A,TRUE,"Bal. Sheet";#N/A,#N/A,TRUE,"Rights Issue &amp; X Adjustment";#N/A,#N/A,TRUE,"Transaction Model"}</definedName>
    <definedName name="FGHJFGHJ" hidden="1">{#N/A,#N/A,TRUE,"Assumptions";#N/A,#N/A,TRUE,"Sources of Revenue";#N/A,#N/A,TRUE,"P&amp;L";#N/A,#N/A,TRUE,"Bal. Sheet";#N/A,#N/A,TRUE,"Rights Issue &amp; X Adjustment";#N/A,#N/A,TRUE,"Transaction Model"}</definedName>
    <definedName name="fghjfgkj" hidden="1">{#N/A,#N/A,TRUE,"Assumptions";#N/A,#N/A,TRUE,"Sources of Revenue";#N/A,#N/A,TRUE,"P&amp;L";#N/A,#N/A,TRUE,"Bal. Sheet";#N/A,#N/A,TRUE,"Rights Issue &amp; X Adjustment";#N/A,#N/A,TRUE,"Transaction Model"}</definedName>
    <definedName name="FGHJFJ" hidden="1">{#N/A,#N/A,TRUE,"Assumptions";#N/A,#N/A,TRUE,"Sources of Revenue";#N/A,#N/A,TRUE,"P&amp;L";#N/A,#N/A,TRUE,"Bal. Sheet";#N/A,#N/A,TRUE,"Rights Issue &amp; X Adjustment";#N/A,#N/A,TRUE,"Transaction Model"}</definedName>
    <definedName name="fgj" hidden="1">{"'호선별현황(방식)'!$K$22:$P$22","'호선별현황(방식)'!$K$22:$P$22"}</definedName>
    <definedName name="fgPRPRRKRKRKRKRKTBTB2RT">#REF!</definedName>
    <definedName name="FGPRTBTB1RTDKDK">#REF!</definedName>
    <definedName name="FGRKBS11TBTB3RTDKDK">#REF!</definedName>
    <definedName name="FGrkbs7tbtbsprt">#REF!</definedName>
    <definedName name="fgRKBS8TBTB3RT">#REF!</definedName>
    <definedName name="FGRKRKRKRKRKRKRKRKRKTBTB1RTDKDK">#REF!</definedName>
    <definedName name="fgRKRKRKRKRKTBTB2RTDKDK">#REF!</definedName>
    <definedName name="FGtbtbspspsprtdkdk">#REF!</definedName>
    <definedName name="FHGFHJGHJK">#REF!</definedName>
    <definedName name="File">#REF!</definedName>
    <definedName name="FINAL_FS">#N/A</definedName>
    <definedName name="finalReport">#N/A</definedName>
    <definedName name="Financials">#REF!</definedName>
    <definedName name="Financing_Fee">#REF!</definedName>
    <definedName name="findingss" hidden="1">{#N/A,#N/A,FALSE,"Aging Summary";#N/A,#N/A,FALSE,"Ratio Analysis";#N/A,#N/A,FALSE,"Test 120 Day Accts";#N/A,#N/A,FALSE,"Tickmarks"}</definedName>
    <definedName name="FinishedGoods">#REF!</definedName>
    <definedName name="FirstCell">#REF!</definedName>
    <definedName name="FirstFinYearEnd">#REF!</definedName>
    <definedName name="Fiscal_term">#REF!</definedName>
    <definedName name="FJD" hidden="1">{#N/A,#N/A,FALSE,"단축1";#N/A,#N/A,FALSE,"단축2";#N/A,#N/A,FALSE,"단축3";#N/A,#N/A,FALSE,"장축";#N/A,#N/A,FALSE,"4WD"}</definedName>
    <definedName name="fjdks" hidden="1">{#N/A,#N/A,FALSE,"Aging Summary";#N/A,#N/A,FALSE,"Ratio Analysis";#N/A,#N/A,FALSE,"Test 120 Day Accts";#N/A,#N/A,FALSE,"Tickmarks"}</definedName>
    <definedName name="fkla" hidden="1">{#N/A,#N/A,TRUE,"Y생산";#N/A,#N/A,TRUE,"Y판매";#N/A,#N/A,TRUE,"Y총물량";#N/A,#N/A,TRUE,"Y능력";#N/A,#N/A,TRUE,"YKD"}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AG1">#REF!</definedName>
    <definedName name="FLAG2">#REF!</definedName>
    <definedName name="FLAG3">#REF!</definedName>
    <definedName name="FLAG4">#REF!</definedName>
    <definedName name="Flex_Plan">#REF!</definedName>
    <definedName name="FLEXIBLE.T.L" hidden="1">{#N/A,#N/A,FALSE,"단축1";#N/A,#N/A,FALSE,"단축2";#N/A,#N/A,FALSE,"단축3";#N/A,#N/A,FALSE,"장축";#N/A,#N/A,FALSE,"4WD"}</definedName>
    <definedName name="Floors">#REF!</definedName>
    <definedName name="FM계약일할" hidden="1">{#N/A,#N/A,TRUE,"대 차 대 조 표"}</definedName>
    <definedName name="FM계약일할_1" hidden="1">{#N/A,#N/A,TRUE,"대 차 대 조 표"}</definedName>
    <definedName name="Fo">#REF!</definedName>
    <definedName name="FO_02">68700</definedName>
    <definedName name="Fondi_ammortamento">#REF!:#REF!</definedName>
    <definedName name="forex">#REF!</definedName>
    <definedName name="Format">#REF!</definedName>
    <definedName name="formulas">#REF!</definedName>
    <definedName name="fournimmo">#REF!</definedName>
    <definedName name="FR">#REF!</definedName>
    <definedName name="frg" hidden="1">{#N/A,#N/A,FALSE,"표지";#N/A,#N/A,FALSE,"전제";#N/A,#N/A,FALSE,"손익-자 (2)";#N/A,#N/A,FALSE,"손익-자";#N/A,#N/A,FALSE,"손익-마 (2)";#N/A,#N/A,FALSE,"손익-마";#N/A,#N/A,FALSE,"총손최종"}</definedName>
    <definedName name="fs">#REF!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Mth">#REF!</definedName>
    <definedName name="Function_List1">#REF!</definedName>
    <definedName name="Function_List2">#REF!</definedName>
    <definedName name="Funding">#REF!</definedName>
    <definedName name="FVF" hidden="1">#REF!</definedName>
    <definedName name="fx">#REF!</definedName>
    <definedName name="G" hidden="1">{#N/A,#N/A,FALSE,"96 3월물량표";#N/A,#N/A,FALSE,"96 4월물량표";#N/A,#N/A,FALSE,"96 5월물량표"}</definedName>
    <definedName name="ga" hidden="1">{#N/A,#N/A,FALSE,"Aging Summary";#N/A,#N/A,FALSE,"Ratio Analysis";#N/A,#N/A,FALSE,"Test 120 Day Accts";#N/A,#N/A,FALSE,"Tickmarks"}</definedName>
    <definedName name="GALP">#REF!</definedName>
    <definedName name="GandA97">#REF!</definedName>
    <definedName name="gd" hidden="1">#REF!</definedName>
    <definedName name="gdmhgdmhg" hidden="1">{#N/A,#N/A,TRUE,"일정"}</definedName>
    <definedName name="GDP">#REF!</definedName>
    <definedName name="GE_Share">#REF!</definedName>
    <definedName name="GECC_Share">#REF!</definedName>
    <definedName name="General">#REF!</definedName>
    <definedName name="GF">#REF!</definedName>
    <definedName name="GFA">#REF!</definedName>
    <definedName name="GFA_Before">#REF!</definedName>
    <definedName name="GFACJ">#REF!</definedName>
    <definedName name="gfasdgasgasd" hidden="1">#REF!</definedName>
    <definedName name="GFD" hidden="1">{#N/A,#N/A,TRUE,"일정"}</definedName>
    <definedName name="GFHGJ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>#REF!</definedName>
    <definedName name="gg_1" hidden="1">{#N/A,#N/A,FALSE,"Aging Summary";#N/A,#N/A,FALSE,"Ratio Analysis";#N/A,#N/A,FALSE,"Test 120 Day Accts";#N/A,#N/A,FALSE,"Tickmarks"}</definedName>
    <definedName name="GGG" hidden="1">{"'Sheet1'!$A$1:$H$36"}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ggggggggg" hidden="1">{#N/A,#N/A,FALSE,"SILO현황";#N/A,#N/A,FALSE,"타업체";#N/A,#N/A,FALSE,"생산능력"}</definedName>
    <definedName name="gggggggggggggggggggggggggggggggg">#REF!</definedName>
    <definedName name="GH">#REF!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J">#REF!</definedName>
    <definedName name="GHHH" hidden="1">#REF!</definedName>
    <definedName name="GHJGH">#REF!</definedName>
    <definedName name="GHKJL">#REF!</definedName>
    <definedName name="GHLDML" hidden="1">{#N/A,#N/A,FALSE,"품의서";#N/A,#N/A,FALSE,"전제";#N/A,#N/A,FALSE,"총손";#N/A,#N/A,FALSE,"손익"}</definedName>
    <definedName name="GHUTGHF" hidden="1">{#N/A,#N/A,FALSE,"96 3월물량표";#N/A,#N/A,FALSE,"96 4월물량표";#N/A,#N/A,FALSE,"96 5월물량표"}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YKU" hidden="1">{#N/A,#N/A,TRUE,"Y생산";#N/A,#N/A,TRUE,"Y판매";#N/A,#N/A,TRUE,"Y총물량";#N/A,#N/A,TRUE,"Y능력";#N/A,#N/A,TRUE,"YKD"}</definedName>
    <definedName name="gksthf" localSheetId="0">BlankMacro1</definedName>
    <definedName name="gksthf">BlankMacro1</definedName>
    <definedName name="GL_Balance">#REF!</definedName>
    <definedName name="GLS">#REF!</definedName>
    <definedName name="GRACE">#REF!</definedName>
    <definedName name="GRADE">#N/A</definedName>
    <definedName name="Graph">#REF!</definedName>
    <definedName name="GRAPH1">#REF!</definedName>
    <definedName name="GRAPH2">#REF!</definedName>
    <definedName name="Gross_Area">#REF!</definedName>
    <definedName name="GROUP">#N/A</definedName>
    <definedName name="GRY">#REF!</definedName>
    <definedName name="gunmok">#N/A</definedName>
    <definedName name="gvdasskv" hidden="1">{#N/A,#N/A,TRUE,"일정"}</definedName>
    <definedName name="H" hidden="1">{#N/A,#N/A,TRUE,"Y생산";#N/A,#N/A,TRUE,"Y판매";#N/A,#N/A,TRUE,"Y총물량";#N/A,#N/A,TRUE,"Y능력";#N/A,#N/A,TRUE,"YKD"}</definedName>
    <definedName name="H1_">#REF!</definedName>
    <definedName name="hcc감가">#REF!</definedName>
    <definedName name="hcc매출">#REF!</definedName>
    <definedName name="hcc인원">#REF!</definedName>
    <definedName name="HCINV">#REF!</definedName>
    <definedName name="hcownership">#REF!</definedName>
    <definedName name="Hd_CarLn">#REF!</definedName>
    <definedName name="Hd_DB_DthPen">#REF!</definedName>
    <definedName name="Hd_DC_Cont">#REF!</definedName>
    <definedName name="Hd_HseLn">#REF!</definedName>
    <definedName name="Hd_LA_SalDef">#REF!</definedName>
    <definedName name="Hd_LTD_provA">#REF!</definedName>
    <definedName name="Hd_LTD_provB">#REF!</definedName>
    <definedName name="Hd_LTD_provC">#REF!</definedName>
    <definedName name="Hd_LTD_SalDef">#REF!</definedName>
    <definedName name="Hd_Med_PlanType">#REF!</definedName>
    <definedName name="Hd_Mob">#REF!</definedName>
    <definedName name="Hd_Ret_SalDe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ds">#REF!</definedName>
    <definedName name="head">#REF!</definedName>
    <definedName name="Hedge_Cost">#REF!</definedName>
    <definedName name="HEN">#REF!</definedName>
    <definedName name="HFG" hidden="1">{#N/A,#N/A,TRUE,"Y생산";#N/A,#N/A,TRUE,"Y판매";#N/A,#N/A,TRUE,"Y총물량";#N/A,#N/A,TRUE,"Y능력";#N/A,#N/A,TRUE,"YKD"}</definedName>
    <definedName name="hgc" hidden="1">{#N/A,#N/A,TRUE,"대 차 대 조 표"}</definedName>
    <definedName name="hgc_1" hidden="1">{#N/A,#N/A,TRUE,"대 차 대 조 표"}</definedName>
    <definedName name="hgfshg" hidden="1">{#N/A,#N/A,TRUE,"일정"}</definedName>
    <definedName name="hgfxd" hidden="1">{#N/A,#N/A,TRUE,"일정"}</definedName>
    <definedName name="HGGHHG" hidden="1">#REF!</definedName>
    <definedName name="HGHTJTY">#REF!</definedName>
    <definedName name="hgkdj" hidden="1">{"AnnualRentRoll",#N/A,FALSE,"RentRoll"}</definedName>
    <definedName name="hgkdj_1" hidden="1">{"AnnualRentRoll",#N/A,FALSE,"RentRoll"}</definedName>
    <definedName name="HGXC">#REF!</definedName>
    <definedName name="HH">#REF!</definedName>
    <definedName name="HHH">#REF!</definedName>
    <definedName name="hhhhhhhhhhhhhhhhhhhh">#REF!</definedName>
    <definedName name="hhhhhhhhhhhhhhhhhhhhhh">#REF!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hidden="1">#REF!</definedName>
    <definedName name="hjdg" hidden="1">{#N/A,#N/A,FALSE,"PropertyInfo"}</definedName>
    <definedName name="hjdg_1" hidden="1">{#N/A,#N/A,FALSE,"PropertyInfo"}</definedName>
    <definedName name="HJJHKHJ">#REF!</definedName>
    <definedName name="hjjjh" hidden="1">{#N/A,#N/A,FALSE,"Aging Summary";#N/A,#N/A,FALSE,"Ratio Analysis";#N/A,#N/A,FALSE,"Test 120 Day Accts";#N/A,#N/A,FALSE,"Tickmarks"}</definedName>
    <definedName name="hkd">#REF!</definedName>
    <definedName name="HKHL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o">#REF!</definedName>
    <definedName name="Hold_Year">#REF!</definedName>
    <definedName name="hon">#REF!</definedName>
    <definedName name="HOUSECODE">#N/A</definedName>
    <definedName name="Housing">#REF!</definedName>
    <definedName name="HOVATCODE">#N/A</definedName>
    <definedName name="HOVATRATE">#N/A</definedName>
    <definedName name="HOZIP">#N/A</definedName>
    <definedName name="HTML_CodePage" hidden="1">949</definedName>
    <definedName name="HTML_Control" hidden="1">{"'손익현황'!$A$1:$J$29"}</definedName>
    <definedName name="HTML_Description" hidden="1">""</definedName>
    <definedName name="HTML_Email" hidden="1">""</definedName>
    <definedName name="HTML_Header" hidden="1">""</definedName>
    <definedName name="HTML_LastUpdate" hidden="1">"98-10-28"</definedName>
    <definedName name="HTML_LineAfter" hidden="1">FALSE</definedName>
    <definedName name="HTML_LineBefore" hidden="1">FALSE</definedName>
    <definedName name="HTML_Name" hidden="1">"박진영"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"D:\PARK98\98실적보고\미착"</definedName>
    <definedName name="HTML_PathTemplate" hidden="1">"\\맹세호\USERS\jhkim\Finding\T200 ESO.HTML"</definedName>
    <definedName name="HTML_Title" hidden="1">""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YL">#REF!</definedName>
    <definedName name="HYP" hidden="1">#REF!</definedName>
    <definedName name="H매출">#REF!</definedName>
    <definedName name="H이자">#REF!</definedName>
    <definedName name="H인원">#REF!</definedName>
    <definedName name="I">#REF!</definedName>
    <definedName name="I_Ex_Factor">#REF!</definedName>
    <definedName name="ia" hidden="1">{#N/A,#N/A,FALSE,"Aging Summary";#N/A,#N/A,FALSE,"Ratio Analysis";#N/A,#N/A,FALSE,"Test 120 Day Accts";#N/A,#N/A,FALSE,"Tickmarks"}</definedName>
    <definedName name="ic" hidden="1">{#N/A,#N/A,FALSE,"단축1";#N/A,#N/A,FALSE,"단축2";#N/A,#N/A,FALSE,"단축3";#N/A,#N/A,FALSE,"장축";#N/A,#N/A,FALSE,"4WD"}</definedName>
    <definedName name="ID">#N/A</definedName>
    <definedName name="II">#REF!</definedName>
    <definedName name="III">#REF!</definedName>
    <definedName name="iiii">#N/A</definedName>
    <definedName name="iiiiiiiiiiiiiiiiiiiiiiiiiiiiiiiiiiiiiiiiiiiiiiiiiiiiiiiiiiiiiiiiiiiiiii">#REF!</definedName>
    <definedName name="iiiiiiiiiiiiiiiiiiiiiiiiiiiiiiiiiiiiiiiiiiiiiiiiiiiiiiiiiiiiiiiiiiiiiiiiiiiiiiiiiiiiiiiiiiiiiiiiiiiiiiiiiiiiiiiiiiiiiiiiiiiiiiiiiiiiiiiiiiiiiiiiiiiiiiiiiiiiiiii">#REF!</definedName>
    <definedName name="Immobilizzazioni">#REF!:#REF!</definedName>
    <definedName name="import">#REF!</definedName>
    <definedName name="ImportFile">#REF!</definedName>
    <definedName name="Improvement">#REF!</definedName>
    <definedName name="Inc">#REF!</definedName>
    <definedName name="Inc_Base">#REF!</definedName>
    <definedName name="include_interest">#REF!</definedName>
    <definedName name="Income">#REF!</definedName>
    <definedName name="Income_Projection_시작일">#REF!</definedName>
    <definedName name="IncomeData">#REF!</definedName>
    <definedName name="IncomeStatementDates">#REF!</definedName>
    <definedName name="INDEX">#REF!</definedName>
    <definedName name="indiv_rate">#REF!</definedName>
    <definedName name="industry_group">#REF!</definedName>
    <definedName name="inflation">#REF!</definedName>
    <definedName name="info">#REF!</definedName>
    <definedName name="ini_button_Click">#N/A</definedName>
    <definedName name="INPUT">#REF!</definedName>
    <definedName name="Installment_1">#REF!</definedName>
    <definedName name="Installment_2">#REF!</definedName>
    <definedName name="Installment_3">#REF!</definedName>
    <definedName name="Installment_4">#REF!</definedName>
    <definedName name="Installment_5">#REF!</definedName>
    <definedName name="Instructions">#REF!</definedName>
    <definedName name="INT" hidden="1">{#N/A,#N/A,TRUE,"일정"}</definedName>
    <definedName name="INTER">#REF!</definedName>
    <definedName name="INTER_CO">#REF!</definedName>
    <definedName name="interest_income_included">#REF!</definedName>
    <definedName name="Interest_Reserve">#REF!</definedName>
    <definedName name="interestoverall" hidden="1">{#N/A,#N/A,FALSE,"Aging Summary";#N/A,#N/A,FALSE,"Ratio Analysis";#N/A,#N/A,FALSE,"Test 120 Day Accts";#N/A,#N/A,FALSE,"Tickmarks"}</definedName>
    <definedName name="Internal_Renovation">#REF!</definedName>
    <definedName name="INVDATE">#N/A</definedName>
    <definedName name="INVNUM">#N/A</definedName>
    <definedName name="invoice">#REF!</definedName>
    <definedName name="ipo_pct">#REF!</definedName>
    <definedName name="IPRT">#REF!</definedName>
    <definedName name="IPRTSAV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"c156"</definedName>
    <definedName name="IQ_EBITDA_GROWTH_2" hidden="1">"c160"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"c189"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43557.9304282407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REVISION_DATE_" hidden="1">38945.4937962963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RA7" hidden="1">"$A$8:$A$11"</definedName>
    <definedName name="IQRB7" hidden="1">"$B$8:$B$11"</definedName>
    <definedName name="IQRC7" hidden="1">"$C$8:$C$11"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R">#N/A</definedName>
    <definedName name="IR8145_">#N/A</definedName>
    <definedName name="IRR">#REF!</definedName>
    <definedName name="IS">#REF!</definedName>
    <definedName name="IS_JP">{"Client Name or Project Name"}</definedName>
    <definedName name="ISAVE">#REF!</definedName>
    <definedName name="issue">#REF!</definedName>
    <definedName name="IT" hidden="1">{"'Sheet1'!$A$1:$H$36"}</definedName>
    <definedName name="ITEM1">#REF!</definedName>
    <definedName name="Iter">#REF!</definedName>
    <definedName name="IT수정" hidden="1">{"'Sheet1'!$A$1:$H$36"}</definedName>
    <definedName name="IWJJJJ" hidden="1">{#N/A,#N/A,FALSE,"Aging Summary";#N/A,#N/A,FALSE,"Ratio Analysis";#N/A,#N/A,FALSE,"Test 120 Day Accts";#N/A,#N/A,FALSE,"Tickmarks"}</definedName>
    <definedName name="j">#REF!</definedName>
    <definedName name="jalkjalkf" hidden="1">{#N/A,#N/A,FALSE,"BS";#N/A,#N/A,FALSE,"PL";#N/A,#N/A,FALSE,"처분";#N/A,#N/A,FALSE,"현금";#N/A,#N/A,FALSE,"매출";#N/A,#N/A,FALSE,"원가";#N/A,#N/A,FALSE,"경영"}</definedName>
    <definedName name="Japan_IncTax">#REF!</definedName>
    <definedName name="Japan_WHT">#REF!</definedName>
    <definedName name="jd" hidden="1">{#N/A,#N/A,FALSE,"LoanAssumptions"}</definedName>
    <definedName name="jd_1" hidden="1">{#N/A,#N/A,FALSE,"LoanAssumptions"}</definedName>
    <definedName name="je">#REF!</definedName>
    <definedName name="jfksjdf" hidden="1">{#N/A,#N/A,FALSE,"Aging Summary";#N/A,#N/A,FALSE,"Ratio Analysis";#N/A,#N/A,FALSE,"Test 120 Day Accts";#N/A,#N/A,FALSE,"Tickmarks"}</definedName>
    <definedName name="jgfsjhgfsjhgfsdjhgfds" hidden="1">{#N/A,#N/A,TRUE,"일정"}</definedName>
    <definedName name="JGH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IN">#REF!</definedName>
    <definedName name="JINs_Option">#REF!</definedName>
    <definedName name="JINs_Option2">#REF!</definedName>
    <definedName name="JJ">#REF!</definedName>
    <definedName name="jjj" hidden="1">{"'호선별현황(방식)'!$K$22:$P$22","'호선별현황(방식)'!$K$22:$P$22"}</definedName>
    <definedName name="JJJJ" hidden="1">#REF!</definedName>
    <definedName name="jjjjjjjjjjjjjjjjjjjjjjjjj">#REF!</definedName>
    <definedName name="jjjjjjjjjjjjjjjjjjjjjjjjjjjjjjjjj">#REF!</definedName>
    <definedName name="JJKR" hidden="1">#REF!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L">#REF!</definedName>
    <definedName name="jkljk" hidden="1">{#N/A,#N/A,FALSE,"이력서&amp;자기소개서"}</definedName>
    <definedName name="JKYUKUK">#REF!</definedName>
    <definedName name="jlkajs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">#REF!</definedName>
    <definedName name="job_run">#N/A</definedName>
    <definedName name="Journal">#REF!</definedName>
    <definedName name="journalcredit">#REF!</definedName>
    <definedName name="journaldebit">#REF!</definedName>
    <definedName name="Jr_CarLn">#REF!</definedName>
    <definedName name="Jr_DB_DthPen">#REF!</definedName>
    <definedName name="Jr_DC_Cont">#REF!</definedName>
    <definedName name="Jr_HseLn">#REF!</definedName>
    <definedName name="Jr_LA_SalDef">#REF!</definedName>
    <definedName name="Jr_LTD_provA">#REF!</definedName>
    <definedName name="Jr_LTD_provB">#REF!</definedName>
    <definedName name="Jr_LTD_provC">#REF!</definedName>
    <definedName name="Jr_LTD_SalDef">#REF!</definedName>
    <definedName name="Jr_Med_PlanType">#REF!</definedName>
    <definedName name="Jr_Mob">#REF!</definedName>
    <definedName name="JR_PAGE_ANCHOR_0_1">#REF!</definedName>
    <definedName name="Jr_Ret_SalDef">#REF!</definedName>
    <definedName name="jw.pl">#REF!</definedName>
    <definedName name="K">#REF!</definedName>
    <definedName name="K_OBO">#REF!</definedName>
    <definedName name="KEY" hidden="1">#REF!</definedName>
    <definedName name="Key_AcqCost">#REF!</definedName>
    <definedName name="Key_BuyPrice_Option">#REF!</definedName>
    <definedName name="Key_CapEx">#REF!</definedName>
    <definedName name="Key_DebtRatio">#REF!</definedName>
    <definedName name="Key_ExitCap">#REF!</definedName>
    <definedName name="Key_ExitCost">#REF!</definedName>
    <definedName name="Key_ExitPrice_Opion">#REF!</definedName>
    <definedName name="Key_Hedge">#REF!</definedName>
    <definedName name="Key_IRR">#REF!</definedName>
    <definedName name="key_money_dep">#REF!</definedName>
    <definedName name="Key_OtherAdminCost">#REF!</definedName>
    <definedName name="Key_SecDeposit">#REF!</definedName>
    <definedName name="Key_Tax">#REF!</definedName>
    <definedName name="KeyMoney">#REF!</definedName>
    <definedName name="keyy" hidden="1">#REF!</definedName>
    <definedName name="kfkrkf">#REF!</definedName>
    <definedName name="khks" hidden="1">#REF!</definedName>
    <definedName name="KIA" hidden="1">{#N/A,#N/A,FALSE,"단축1";#N/A,#N/A,FALSE,"단축2";#N/A,#N/A,FALSE,"단축3";#N/A,#N/A,FALSE,"장축";#N/A,#N/A,FALSE,"4WD"}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jkj" hidden="1">{#N/A,#N/A,FALSE,"표지";#N/A,#N/A,FALSE,"전제";#N/A,#N/A,FALSE,"손익-자 (2)";#N/A,#N/A,FALSE,"손익-자";#N/A,#N/A,FALSE,"손익-마 (2)";#N/A,#N/A,FALSE,"손익-마";#N/A,#N/A,FALSE,"총손최종"}</definedName>
    <definedName name="KIM" hidden="1">{#N/A,#N/A,FALSE,"단축1";#N/A,#N/A,FALSE,"단축2";#N/A,#N/A,FALSE,"단축3";#N/A,#N/A,FALSE,"장축";#N/A,#N/A,FALSE,"4WD"}</definedName>
    <definedName name="KING" hidden="1">#REF!</definedName>
    <definedName name="kj" hidden="1">#REF!</definedName>
    <definedName name="KJH">#REF!</definedName>
    <definedName name="KK">#REF!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HJ" hidden="1">{#N/A,#N/A,FALSE,"95FW"}</definedName>
    <definedName name="KKK" hidden="1">{#N/A,#N/A,FALSE,"단축1";#N/A,#N/A,FALSE,"단축2";#N/A,#N/A,FALSE,"단축3";#N/A,#N/A,FALSE,"장축";#N/A,#N/A,FALSE,"4WD"}</definedName>
    <definedName name="kkkk" hidden="1">0</definedName>
    <definedName name="KKKKK">#REF!</definedName>
    <definedName name="kkkkkkkkkkkkkkkkkkkkkkkkkkkkkkkkkkkkkkkkkkkkkkkkkkkkkkkkk">#REF!</definedName>
    <definedName name="kl">#REF!</definedName>
    <definedName name="kldf" hidden="1">#REF!</definedName>
    <definedName name="klsdfj" hidden="1">#REF!</definedName>
    <definedName name="KoDoYoung">#REF!</definedName>
    <definedName name="krwm">#REF!</definedName>
    <definedName name="KRWUSD">#REF!</definedName>
    <definedName name="KSJ_25" hidden="1">{#N/A,#N/A,FALSE,"동부"}</definedName>
    <definedName name="KSJ_25_1" hidden="1">{#N/A,#N/A,FALSE,"동부"}</definedName>
    <definedName name="KU" hidden="1">{#N/A,#N/A,TRUE,"Y생산";#N/A,#N/A,TRUE,"Y판매";#N/A,#N/A,TRUE,"Y총물량";#N/A,#N/A,TRUE,"Y능력";#N/A,#N/A,TRUE,"YKD"}</definedName>
    <definedName name="L" hidden="1">#N/A</definedName>
    <definedName name="L_CY_Beg">#REF!</definedName>
    <definedName name="LA_AccDth">#REF!</definedName>
    <definedName name="LA_BasedPay">#REF!</definedName>
    <definedName name="LA_Lsum">#REF!</definedName>
    <definedName name="LA_Plan">#REF!</definedName>
    <definedName name="LA_SpousePen">#REF!</definedName>
    <definedName name="land">#REF!</definedName>
    <definedName name="Land_Area">#REF!</definedName>
    <definedName name="Land_Value">#REF!</definedName>
    <definedName name="Language">#REF!</definedName>
    <definedName name="Last_Quarter">#REF!</definedName>
    <definedName name="Late">#REF!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2">256600</definedName>
    <definedName name="Leasing_Commission_New">#REF!</definedName>
    <definedName name="Leasing_Commission_Renewal">#REF!</definedName>
    <definedName name="lee">#REF!</definedName>
    <definedName name="Legal_Fee">#REF!</definedName>
    <definedName name="LHSDHSD" hidden="1">{#N/A,#N/A,TRUE,"일정"}</definedName>
    <definedName name="LINE">#REF!</definedName>
    <definedName name="LINE검토2" hidden="1">{#N/A,#N/A,TRUE,"Y생산";#N/A,#N/A,TRUE,"Y판매";#N/A,#N/A,TRUE,"Y총물량";#N/A,#N/A,TRUE,"Y능력";#N/A,#N/A,TRUE,"YKD"}</definedName>
    <definedName name="Link_Acquisition">#REF!</definedName>
    <definedName name="Link_Capex">#REF!</definedName>
    <definedName name="Link_Debt">#REF!</definedName>
    <definedName name="Link_Exit">#REF!</definedName>
    <definedName name="Link_Exp_Growth">#REF!</definedName>
    <definedName name="Link_Expense">#REF!</definedName>
    <definedName name="Link_Grth">#REF!</definedName>
    <definedName name="Link_HedgeCost">#REF!</definedName>
    <definedName name="Link_Home">#REF!</definedName>
    <definedName name="Link_PropInfo">#REF!</definedName>
    <definedName name="Link_Refurbishment">#REF!</definedName>
    <definedName name="Link_Rev_Growth">#REF!</definedName>
    <definedName name="Link_Revenue">#REF!</definedName>
    <definedName name="Link_Tax">#REF!</definedName>
    <definedName name="Link_Tenancy">#REF!</definedName>
    <definedName name="LIST">#REF!</definedName>
    <definedName name="ListSheetsMacroButton">#REF!</definedName>
    <definedName name="LK">#REF!</definedName>
    <definedName name="lksdj" hidden="1">#REF!</definedName>
    <definedName name="lksdjf" hidden="1">#REF!</definedName>
    <definedName name="LL">#REF!</definedName>
    <definedName name="lljh" hidden="1">#REF!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lllllllllllllllllll">#REF!</definedName>
    <definedName name="LLREI_Financing_Fee">#REF!</definedName>
    <definedName name="Loans">#REF!</definedName>
    <definedName name="LOCAL">#REF!</definedName>
    <definedName name="local1" hidden="1">#REF!</definedName>
    <definedName name="LOE">#REF!</definedName>
    <definedName name="loiu" hidden="1">{#N/A,#N/A,FALSE,"표지";#N/A,#N/A,FALSE,"전제";#N/A,#N/A,FALSE,"손익-자 (2)";#N/A,#N/A,FALSE,"손익-자";#N/A,#N/A,FALSE,"손익-마 (2)";#N/A,#N/A,FALSE,"손익-마";#N/A,#N/A,FALSE,"총손최종"}</definedName>
    <definedName name="lok" hidden="1">#REF!</definedName>
    <definedName name="LongTermCash">#REF!</definedName>
    <definedName name="LOVE">#REF!</definedName>
    <definedName name="LPI_Graph" hidden="1">#REF!</definedName>
    <definedName name="LPRT">#REF!</definedName>
    <definedName name="LPRTSAVE">#REF!</definedName>
    <definedName name="LPS">#REF!</definedName>
    <definedName name="LPS가동계획">#REF!</definedName>
    <definedName name="lrcp522">#REF!</definedName>
    <definedName name="LSAVE">#REF!</definedName>
    <definedName name="lsjdf" hidden="1">#REF!</definedName>
    <definedName name="lt_wt_cord">#REF!</definedName>
    <definedName name="lt_wt_slub_canvas">#REF!</definedName>
    <definedName name="LTD_GtdInc">#REF!</definedName>
    <definedName name="LTD_Plan">#REF!</definedName>
    <definedName name="LTI_Language">#REF!</definedName>
    <definedName name="LY">#REF!</definedName>
    <definedName name="LYs">#REF!</definedName>
    <definedName name="LYWK">#REF!</definedName>
    <definedName name="LZ_03">39500</definedName>
    <definedName name="M" hidden="1">{#N/A,#N/A,FALSE,"95FW"}</definedName>
    <definedName name="M.복귀">#REF!</definedName>
    <definedName name="M_Expense">#REF!</definedName>
    <definedName name="M_Rent">#REF!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">#REF!</definedName>
    <definedName name="MACRO">#REF!</definedName>
    <definedName name="Macro1">#N/A</definedName>
    <definedName name="Macro11">#N/A</definedName>
    <definedName name="Macro12">#N/A</definedName>
    <definedName name="Macro13">#N/A</definedName>
    <definedName name="Macro14">#N/A</definedName>
    <definedName name="Macro2">#N/A</definedName>
    <definedName name="Macro3">#N/A</definedName>
    <definedName name="Macro4">#N/A</definedName>
    <definedName name="Macro5">#N/A</definedName>
    <definedName name="Macro6">#N/A</definedName>
    <definedName name="Macro8">#N/A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MENU">#REF!</definedName>
    <definedName name="Map" hidden="1">#REF!</definedName>
    <definedName name="Mar">#REF!</definedName>
    <definedName name="MARK">#N/A</definedName>
    <definedName name="Market">#REF!</definedName>
    <definedName name="MASTER" hidden="1">{#N/A,#N/A,TRUE,"일정"}</definedName>
    <definedName name="MATCH1">#N/A</definedName>
    <definedName name="MATCH2">#N/A</definedName>
    <definedName name="may" hidden="1">#REF!</definedName>
    <definedName name="MB">#REF!</definedName>
    <definedName name="MDATA">#REF!</definedName>
    <definedName name="me">"Button 5"</definedName>
    <definedName name="Med_Excess">#REF!</definedName>
    <definedName name="Med_MaxCover">#REF!</definedName>
    <definedName name="Med_Plan">#REF!</definedName>
    <definedName name="MEMO">#N/A</definedName>
    <definedName name="mensuel">#REF!</definedName>
    <definedName name="Mensuelv2">#REF!</definedName>
    <definedName name="menu_button_Click">#N/A</definedName>
    <definedName name="message_turnover_rent">#REF!</definedName>
    <definedName name="mf">#REF!</definedName>
    <definedName name="MH3_A">#REF!</definedName>
    <definedName name="MK">#REF!</definedName>
    <definedName name="mkl" hidden="1">{#N/A,#N/A,TRUE,"Y생산";#N/A,#N/A,TRUE,"Y판매";#N/A,#N/A,TRUE,"Y총물량";#N/A,#N/A,TRUE,"Y능력";#N/A,#N/A,TRUE,"YKD"}</definedName>
    <definedName name="mkl_1" hidden="1">{#N/A,#N/A,TRUE,"Y생산";#N/A,#N/A,TRUE,"Y판매";#N/A,#N/A,TRUE,"Y총물량";#N/A,#N/A,TRUE,"Y능력";#N/A,#N/A,TRUE,"YKD"}</definedName>
    <definedName name="Mkt_Rent">#REF!</definedName>
    <definedName name="Mkt_Rent_Growth">#REF!</definedName>
    <definedName name="MLS_Top_225">#REF!</definedName>
    <definedName name="MM">#REF!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l" hidden="1">#REF!</definedName>
    <definedName name="month">#REF!</definedName>
    <definedName name="Monthly_Maintenance_Fee__000won_py">#REF!</definedName>
    <definedName name="Monthly_Rent">#REF!</definedName>
    <definedName name="monthnames">#REF!</definedName>
    <definedName name="months_of_loss">#REF!</definedName>
    <definedName name="months_to_evict">#REF!</definedName>
    <definedName name="Months_to_Release">#REF!</definedName>
    <definedName name="montht">#REF!</definedName>
    <definedName name="mor" hidden="1">#REF!</definedName>
    <definedName name="mortgage_amount">#REF!</definedName>
    <definedName name="Most_Lease_Expire_Date">#REF!</definedName>
    <definedName name="MP">#REF!</definedName>
    <definedName name="MPROA10">#REF!</definedName>
    <definedName name="Mq">#REF!</definedName>
    <definedName name="MYTD_CHG">14</definedName>
    <definedName name="MZ">#REF!</definedName>
    <definedName name="m記" hidden="1">{"'買掛金'!$J$6"}</definedName>
    <definedName name="M행">#REF!</definedName>
    <definedName name="N">#REF!</definedName>
    <definedName name="NAME">OFFSET(#REF!,0,0,COUNTA(#REF!),1)</definedName>
    <definedName name="NAMELABEL">#REF!</definedName>
    <definedName name="namelist">#REF!</definedName>
    <definedName name="NCO">#REF!</definedName>
    <definedName name="NEW">#REF!</definedName>
    <definedName name="NewMatrix">#REF!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j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n">#REF!</definedName>
    <definedName name="nnn" hidden="1">{#N/A,#N/A,TRUE,"Assumptions";#N/A,#N/A,TRUE,"Sources of Revenue";#N/A,#N/A,TRUE,"P&amp;L";#N/A,#N/A,TRUE,"Bal. Sheet";#N/A,#N/A,TRUE,"Rights Issue &amp; X Adjustment";#N/A,#N/A,TRUE,"Transaction Model"}</definedName>
    <definedName name="No">#REF!</definedName>
    <definedName name="No._Parking">#REF!</definedName>
    <definedName name="NOC">#REF!</definedName>
    <definedName name="NOC_col">#REF!</definedName>
    <definedName name="NOC_row">#REF!</definedName>
    <definedName name="November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R_1203" hidden="1">{"'Sheet1'!$A$1:$H$36"}</definedName>
    <definedName name="NRA">#REF!</definedName>
    <definedName name="ny" hidden="1">{#N/A,#N/A,FALSE,"95FW"}</definedName>
    <definedName name="NYs">#REF!</definedName>
    <definedName name="N행">#REF!</definedName>
    <definedName name="O" hidden="1">{#N/A,#N/A,TRUE,"Y생산";#N/A,#N/A,TRUE,"Y판매";#N/A,#N/A,TRUE,"Y총물량";#N/A,#N/A,TRUE,"Y능력";#N/A,#N/A,TRUE,"YKD"}</definedName>
    <definedName name="O¤eE_UYØ¿¿ø">#REF!</definedName>
    <definedName name="º≫≫c¼OAI">#REF!</definedName>
    <definedName name="ºA¼R">#REF!</definedName>
    <definedName name="OBS">#REF!</definedName>
    <definedName name="OIIUU" hidden="1">#REF!</definedName>
    <definedName name="OIUP" hidden="1">#REF!</definedName>
    <definedName name="ok">#REF!</definedName>
    <definedName name="okwon">#REF!</definedName>
    <definedName name="olddeli_turnover_rent">#REF!</definedName>
    <definedName name="on" hidden="1">#REF!</definedName>
    <definedName name="oo">#REF!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>#REF!</definedName>
    <definedName name="oooooooooooooooo">#REF!</definedName>
    <definedName name="ooop" hidden="1">{"'매출'!$A$1:$I$22"}</definedName>
    <definedName name="OpcoBridge">#REF!</definedName>
    <definedName name="OpcoDebt">#REF!</definedName>
    <definedName name="OPEN1">#N/A</definedName>
    <definedName name="opioui" hidden="1">{#N/A,#N/A,TRUE,"Assumptions";#N/A,#N/A,TRUE,"Sources of Revenue";#N/A,#N/A,TRUE,"P&amp;L";#N/A,#N/A,TRUE,"Bal. Sheet";#N/A,#N/A,TRUE,"Rights Issue &amp; X Adjustment";#N/A,#N/A,TRUE,"Transaction Model"}</definedName>
    <definedName name="OpnTerm">#REF!</definedName>
    <definedName name="Option">#REF!</definedName>
    <definedName name="OptionButton21_Click">#N/A</definedName>
    <definedName name="ORADDRESS">#N/A</definedName>
    <definedName name="OrderSheet1プリント用">#REF!</definedName>
    <definedName name="ORDERTYPE">#N/A</definedName>
    <definedName name="Org">#REF!</definedName>
    <definedName name="Orig_Bank_Statement">#REF!</definedName>
    <definedName name="OST합계">#REF!</definedName>
    <definedName name="Ot_CarLn">#REF!</definedName>
    <definedName name="Ot_DB_DthPen">#REF!</definedName>
    <definedName name="Ot_DB_Payable">#REF!</definedName>
    <definedName name="Ot_DC_Cont">#REF!</definedName>
    <definedName name="Ot_HseLn">#REF!</definedName>
    <definedName name="Ot_LA_SalDef">#REF!</definedName>
    <definedName name="Ot_LTD_provA">#REF!</definedName>
    <definedName name="Ot_LTD_provB">#REF!</definedName>
    <definedName name="Ot_LTD_provC">#REF!</definedName>
    <definedName name="Ot_LTD_SalDef">#REF!</definedName>
    <definedName name="Ot_Med_PlanType">#REF!</definedName>
    <definedName name="Ot_Mob">#REF!</definedName>
    <definedName name="Ot_Ret_SalDef">#REF!</definedName>
    <definedName name="other">#REF!</definedName>
    <definedName name="Other_Revenue">#REF!</definedName>
    <definedName name="O행">#REF!</definedName>
    <definedName name="P">#REF!</definedName>
    <definedName name="p_all">#REF!</definedName>
    <definedName name="P_Income">#REF!</definedName>
    <definedName name="P_T">#REF!</definedName>
    <definedName name="P3가공향상" hidden="1">{#N/A,#N/A,TRUE,"Y생산";#N/A,#N/A,TRUE,"Y판매";#N/A,#N/A,TRUE,"Y총물량";#N/A,#N/A,TRUE,"Y능력";#N/A,#N/A,TRUE,"YKD"}</definedName>
    <definedName name="PAGE2">#REF!</definedName>
    <definedName name="PAGE3">#REF!</definedName>
    <definedName name="PAGE4">#REF!</definedName>
    <definedName name="PAID">#N/A</definedName>
    <definedName name="Parking_No">#REF!</definedName>
    <definedName name="PART_NAME">#REF!</definedName>
    <definedName name="PART_NO">#REF!</definedName>
    <definedName name="PC_List">#REF!</definedName>
    <definedName name="PC_PROD">#REF!</definedName>
    <definedName name="pds">#REF!</definedName>
    <definedName name="per">{"Client Name or Project Name"}</definedName>
    <definedName name="Per_SF">#REF!</definedName>
    <definedName name="Per_SM">#REF!</definedName>
    <definedName name="Per_US">#REF!</definedName>
    <definedName name="Period">#REF!</definedName>
    <definedName name="PERIOD_EN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H">#REF!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ickXY">#REF!</definedName>
    <definedName name="picture">#REF!</definedName>
    <definedName name="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andat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balance">#REF!</definedName>
    <definedName name="plNote">#N/A</definedName>
    <definedName name="PLS">#REF!</definedName>
    <definedName name="PM">#REF!</definedName>
    <definedName name="PM0tb0tb198tb32tb34rtOR132C13rt">#REF!</definedName>
    <definedName name="PM0tb0tb198tb36tb37rtOR136C13rt">#REF!</definedName>
    <definedName name="PM0tb0tb198tb36tb37rtOR136C14rt">#REF!</definedName>
    <definedName name="PM0tb0tb198tb36tb38rtOR136C13rt">#REF!</definedName>
    <definedName name="PMC_Fee">#REF!</definedName>
    <definedName name="po">#N/A</definedName>
    <definedName name="poiu" hidden="1">#REF!</definedName>
    <definedName name="POR1015C413rtPPOR1631C1520rtP">#REF!</definedName>
    <definedName name="POR11C45R141C45RTSKS15C5LRTHR5C">#REF!</definedName>
    <definedName name="POR137C13RTSC60L40RTM0TB0TB0TB0">#REF!</definedName>
    <definedName name="POR16C16R589C41RTSKS15C6LRTHR8C">#REF!</definedName>
    <definedName name="POR3C1R50C13RTSKS15C5LRTHDLRTMT">#REF!</definedName>
    <definedName name="POR439C124RTSQKS15C4LRTM0TB0TB0">#REF!</definedName>
    <definedName name="POR52C2R87C15RTMTBTBTBTBTB55RTR">#REF!</definedName>
    <definedName name="POSFINE" hidden="1">#REF!</definedName>
    <definedName name="PositionClass">#REF!</definedName>
    <definedName name="PP">#REF!,#REF!</definedName>
    <definedName name="PPK" hidden="1">{#N/A,#N/A,FALSE,"96 3월물량표";#N/A,#N/A,FALSE,"96 4월물량표";#N/A,#N/A,FALSE,"96 5월물량표"}</definedName>
    <definedName name="ppp">#REF!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">#REF!</definedName>
    <definedName name="ppppppppppppppppppppppppppppppppp">#REF!</definedName>
    <definedName name="PQ점수">"Dialog Frame 1"</definedName>
    <definedName name="PRELIM_TM2">#REF!</definedName>
    <definedName name="press" hidden="1">#REF!</definedName>
    <definedName name="press2" hidden="1">#REF!</definedName>
    <definedName name="press3" hidden="1">#REF!</definedName>
    <definedName name="press4" hidden="1">#REF!</definedName>
    <definedName name="press5" hidden="1">#REF!</definedName>
    <definedName name="press6" hidden="1">#REF!</definedName>
    <definedName name="PRIME">#REF!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A_MI1">#REF!</definedName>
    <definedName name="Print_Dedail">#REF!</definedName>
    <definedName name="_xlnm.Print_Titles">#REF!</definedName>
    <definedName name="Print_Titles_MI">#REF!</definedName>
    <definedName name="PRINT1">#N/A</definedName>
    <definedName name="printarea">#REF!</definedName>
    <definedName name="printer_titles">#REF!</definedName>
    <definedName name="printing_stationery">#REF!</definedName>
    <definedName name="PrintManagerQuery">#REF!</definedName>
    <definedName name="PrintSelectedSheetsMacroButton">#REF!</definedName>
    <definedName name="PrintTitleArea">#REF!</definedName>
    <definedName name="PRO" hidden="1">{#N/A,#N/A,TRUE,"일정"}</definedName>
    <definedName name="profit">#REF!</definedName>
    <definedName name="Profits">#REF!</definedName>
    <definedName name="Profits_Tax_HK">#REF!</definedName>
    <definedName name="ProImportExport.ImportFile">#N/A</definedName>
    <definedName name="ProImportExport.SaveNewFile">#N/A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Name">#REF!</definedName>
    <definedName name="ProjectName">{"Client Name or Project Name"}</definedName>
    <definedName name="ProjectName2">{"Client Name or Project Name"}</definedName>
    <definedName name="promote">#REF!</definedName>
    <definedName name="Property_Tax">#REF!</definedName>
    <definedName name="Property_Units">#REF!</definedName>
    <definedName name="Property_Value">#REF!</definedName>
    <definedName name="PropertyData">#REF!</definedName>
    <definedName name="PROTO">#REF!</definedName>
    <definedName name="PROTO1">#REF!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TR">#REF!</definedName>
    <definedName name="PURCHASE">#REF!</definedName>
    <definedName name="PURE" hidden="1">#REF!</definedName>
    <definedName name="PV_CB">#REF!</definedName>
    <definedName name="PV_NO_CB">#REF!</definedName>
    <definedName name="py">#REF!</definedName>
    <definedName name="PYA">#REF!</definedName>
    <definedName name="PYB">#REF!</definedName>
    <definedName name="PYC">#REF!</definedName>
    <definedName name="PYD">#REF!</definedName>
    <definedName name="PYE">#REF!</definedName>
    <definedName name="PYF">#REF!</definedName>
    <definedName name="PYG">#REF!</definedName>
    <definedName name="pyung">#REF!</definedName>
    <definedName name="Pyung_to_SF">#REF!</definedName>
    <definedName name="P행">#REF!</definedName>
    <definedName name="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_ALL">#REF!</definedName>
    <definedName name="Q_실적2">#REF!</definedName>
    <definedName name="Q2000BUS">#REF!</definedName>
    <definedName name="qa" hidden="1">{#N/A,#N/A,FALSE,"Aging Summary";#N/A,#N/A,FALSE,"Ratio Analysis";#N/A,#N/A,FALSE,"Test 120 Day Accts";#N/A,#N/A,FALSE,"Tickmarks"}</definedName>
    <definedName name="qfwe" hidden="1">#REF!</definedName>
    <definedName name="QK">#REF!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tnwls" hidden="1">{#N/A,#N/A,FALSE,"Aging Summary";#N/A,#N/A,FALSE,"Ratio Analysis";#N/A,#N/A,FALSE,"Test 120 Day Accts";#N/A,#N/A,FALSE,"Tickmarks"}</definedName>
    <definedName name="QQ" hidden="1">{#N/A,#N/A,FALSE,"단축1";#N/A,#N/A,FALSE,"단축2";#N/A,#N/A,FALSE,"단축3";#N/A,#N/A,FALSE,"장축";#N/A,#N/A,FALSE,"4WD"}</definedName>
    <definedName name="qqq" hidden="1">{"'買掛金'!$J$6"}</definedName>
    <definedName name="QQQAAASSS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" hidden="1">{#N/A,#N/A,FALSE,"단축1";#N/A,#N/A,FALSE,"단축2";#N/A,#N/A,FALSE,"단축3";#N/A,#N/A,FALSE,"장축";#N/A,#N/A,FALSE,"4WD"}</definedName>
    <definedName name="qqqqq" hidden="1">#REF!</definedName>
    <definedName name="QQQQQQQ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qqqqqqqqq">#REF!</definedName>
    <definedName name="qqqqqqqqqqqqqqqqqqq">#REF!</definedName>
    <definedName name="qqqqqqqqqqqqqqqqqqqqqqqqqqqqqqq">#REF!</definedName>
    <definedName name="qqqw" hidden="1">0</definedName>
    <definedName name="Quality">#REF!</definedName>
    <definedName name="Query1">#REF!</definedName>
    <definedName name="quit_button_Click">#N/A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hidden="1">{#N/A,#N/A,FALSE,"Aging Summary";#N/A,#N/A,FALSE,"Ratio Analysis";#N/A,#N/A,FALSE,"Test 120 Day Accts";#N/A,#N/A,FALSE,"Tickmarks"}</definedName>
    <definedName name="QWE">#REF!</definedName>
    <definedName name="QWERQ" hidden="1">0</definedName>
    <definedName name="qwqe" hidden="1">{#N/A,#N/A,TRUE,"Assumptions";#N/A,#N/A,TRUE,"Sources of Revenue";#N/A,#N/A,TRUE,"P&amp;L";#N/A,#N/A,TRUE,"Bal. Sheet";#N/A,#N/A,TRUE,"Rights Issue &amp; X Adjustment";#N/A,#N/A,TRUE,"Transaction Model"}</definedName>
    <definedName name="QWQEW">#REF!</definedName>
    <definedName name="Q행">#REF!</definedName>
    <definedName name="r_Accident_Data1">#REF!,#REF!,#REF!,#REF!,#REF!,#REF!,#REF!</definedName>
    <definedName name="r_Accident_Data2">#REF!,#REF!,#REF!,#REF!</definedName>
    <definedName name="r_at_Retirement_DC_Er_Contrib_Match_Cap">#REF!</definedName>
    <definedName name="r_Compensation_Mix">#REF!</definedName>
    <definedName name="r_Compensation_Mix_Data">#REF!</definedName>
    <definedName name="r_DC_Overallcap">#REF!</definedName>
    <definedName name="r_Inpatient_Data1">#REF!,#REF!,#REF!</definedName>
    <definedName name="r_Inpatient_Data2">#REF!,#REF!,#REF!,#REF!</definedName>
    <definedName name="r_Life_Data1">#REF!,#REF!,#REF!,#REF!</definedName>
    <definedName name="r_Life_Data2">#REF!,#REF!,#REF!,#REF!</definedName>
    <definedName name="r_Outpatient_Data">#REF!,#REF!,#REF!,#REF!,#REF!,#REF!,#REF!,#REF!,#REF!,#REF!,#REF!,#REF!</definedName>
    <definedName name="r_Outpatient_Data1">#REF!,#REF!,#REF!</definedName>
    <definedName name="r_Outpatient_Data2">#REF!,#REF!,#REF!,#REF!</definedName>
    <definedName name="r_Prof_Shar">#REF!</definedName>
    <definedName name="r_Profit_Sharing">#REF!</definedName>
    <definedName name="r_raise">#REF!</definedName>
    <definedName name="r_Sales_Inc">#REF!</definedName>
    <definedName name="r_Sales_Incentives1">#REF!</definedName>
    <definedName name="r_Sales_Incentives2">#REF!</definedName>
    <definedName name="r_Sales_Incentives3">#REF!</definedName>
    <definedName name="r_Sales_Incentives4">#REF!,#REF!,#REF!,#REF!,#REF!,#REF!</definedName>
    <definedName name="r_STI_SALSINCT_Data1">#REF!,#REF!,#REF!,#REF!,#REF!,#REF!,#REF!</definedName>
    <definedName name="r_v_Bon">#REF!</definedName>
    <definedName name="r_v_Bonus1">#REF!</definedName>
    <definedName name="r_v_Bonus2">#REF!</definedName>
    <definedName name="r_v_Bonus3">#REF!</definedName>
    <definedName name="r_v_Bonus4">#REF!,#REF!,#REF!,#REF!</definedName>
    <definedName name="radsdffsda" hidden="1">#REF!</definedName>
    <definedName name="range">#REF!</definedName>
    <definedName name="range2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te_1">#REF!</definedName>
    <definedName name="rate_2">#REF!</definedName>
    <definedName name="rate_3">#REF!</definedName>
    <definedName name="rate_4">#REF!</definedName>
    <definedName name="rate_5">#REF!</definedName>
    <definedName name="rate_6">#REF!</definedName>
    <definedName name="RDGRGERTY">#REF!</definedName>
    <definedName name="realisé">#REF!</definedName>
    <definedName name="Rebate" hidden="1">{#N/A,#N/A,FALSE,"Aging Summary";#N/A,#N/A,FALSE,"Ratio Analysis";#N/A,#N/A,FALSE,"Test 120 Day Accts";#N/A,#N/A,FALSE,"Tickmarks"}</definedName>
    <definedName name="RECORD">#REF!</definedName>
    <definedName name="_xlnm.Recorder">#REF!</definedName>
    <definedName name="recs">#REF!</definedName>
    <definedName name="ref">#REF!</definedName>
    <definedName name="Refi">#REF!</definedName>
    <definedName name="refinance">#REF!</definedName>
    <definedName name="Refurbish_Begin">#REF!</definedName>
    <definedName name="Refurbish_End">#REF!</definedName>
    <definedName name="Refurbishment">#REF!</definedName>
    <definedName name="refx">#REF!</definedName>
    <definedName name="region">#REF!</definedName>
    <definedName name="Region_AT">#REF!</definedName>
    <definedName name="Region_BA">#REF!</definedName>
    <definedName name="Region_BE">#REF!</definedName>
    <definedName name="Region_BG">#REF!</definedName>
    <definedName name="Region_CH">#REF!</definedName>
    <definedName name="Region_CZ">#REF!</definedName>
    <definedName name="Region_DE">#REF!</definedName>
    <definedName name="Region_DK">#REF!</definedName>
    <definedName name="Region_EE">#REF!</definedName>
    <definedName name="Region_ES">#REF!</definedName>
    <definedName name="Region_FI">#REF!</definedName>
    <definedName name="Region_FR">#REF!</definedName>
    <definedName name="Region_HR">#REF!</definedName>
    <definedName name="Region_HU">#REF!</definedName>
    <definedName name="Region_IE">#REF!</definedName>
    <definedName name="Region_IS">#REF!</definedName>
    <definedName name="Region_IT">#REF!</definedName>
    <definedName name="Region_LT">#REF!</definedName>
    <definedName name="Region_LV">#REF!</definedName>
    <definedName name="Region_MK">#REF!</definedName>
    <definedName name="Region_NL">#REF!</definedName>
    <definedName name="Region_NO">#REF!</definedName>
    <definedName name="Region_PL">#REF!</definedName>
    <definedName name="Region_PT">#REF!</definedName>
    <definedName name="Region_RO">#REF!</definedName>
    <definedName name="Region_RU">#REF!</definedName>
    <definedName name="Region_SB">#REF!</definedName>
    <definedName name="Region_SE">#REF!</definedName>
    <definedName name="Region_SI">#REF!</definedName>
    <definedName name="Region_SK">#REF!</definedName>
    <definedName name="Region_TR">#REF!</definedName>
    <definedName name="Region_UA">#REF!</definedName>
    <definedName name="Region_UK">#REF!</definedName>
    <definedName name="remaining_mortgage_amount">#REF!</definedName>
    <definedName name="REMARK">#N/A</definedName>
    <definedName name="rent">#REF!</definedName>
    <definedName name="rent_raise">#REF!</definedName>
    <definedName name="rent_rebate">#REF!</definedName>
    <definedName name="rent_rebate_2nd">#REF!</definedName>
    <definedName name="rent_rebate_co">#REF!</definedName>
    <definedName name="rent_rebate_indiv">#REF!</definedName>
    <definedName name="rent_rebate_month_end">#REF!</definedName>
    <definedName name="rent_reduction">#REF!</definedName>
    <definedName name="Rental_Deposit">#REF!</definedName>
    <definedName name="Rental_Deposit_Unit">#REF!</definedName>
    <definedName name="Rentroll">#REF!</definedName>
    <definedName name="REP">#N/A</definedName>
    <definedName name="Replacement_Cost">#REF!</definedName>
    <definedName name="Replacement_Cost_Percent">#REF!</definedName>
    <definedName name="REPNORMAL">#N/A</definedName>
    <definedName name="reportPl">#N/A</definedName>
    <definedName name="Reset">#REF!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ultat">#REF!</definedName>
    <definedName name="resultatcum">#REF!</definedName>
    <definedName name="resultatsit1">#REF!</definedName>
    <definedName name="Ret_Plan">#REF!</definedName>
    <definedName name="Returns">#REF!</definedName>
    <definedName name="Returns2">#REF!</definedName>
    <definedName name="RevPer">#REF!</definedName>
    <definedName name="RevYN">#REF!</definedName>
    <definedName name="rewr" hidden="1">{#N/A,#N/A,FALSE,"이력서&amp;자기소개서"}</definedName>
    <definedName name="rewr_1" hidden="1">{#N/A,#N/A,FALSE,"이력서&amp;자기소개서"}</definedName>
    <definedName name="rewrs" hidden="1">{#N/A,#N/A,FALSE,"이력서&amp;자기소개서"}</definedName>
    <definedName name="RHD">#N/A</definedName>
    <definedName name="RI_M1">#REF!</definedName>
    <definedName name="RI_M2">#REF!</definedName>
    <definedName name="RI_P1">#REF!</definedName>
    <definedName name="RI_P10">#REF!</definedName>
    <definedName name="RI_P2">#REF!</definedName>
    <definedName name="RI_P3">#REF!</definedName>
    <definedName name="RI_P4">#REF!</definedName>
    <definedName name="RI_P5">#REF!</definedName>
    <definedName name="RI_P6">#REF!</definedName>
    <definedName name="RI_P7">#REF!</definedName>
    <definedName name="RI_P8">#REF!</definedName>
    <definedName name="RI_P9">#REF!</definedName>
    <definedName name="RIII_M1">#REF!</definedName>
    <definedName name="RIII_M2">#REF!</definedName>
    <definedName name="RIII_P1">#REF!</definedName>
    <definedName name="RIII_P10">#REF!</definedName>
    <definedName name="RIII_P2">#REF!</definedName>
    <definedName name="RIII_P3">#REF!</definedName>
    <definedName name="RIII_P4">#REF!</definedName>
    <definedName name="RIII_P5">#REF!</definedName>
    <definedName name="RIII_P6">#REF!</definedName>
    <definedName name="RIII_P7">#REF!</definedName>
    <definedName name="RIII_P8">#REF!</definedName>
    <definedName name="RIII_P9">#REF!</definedName>
    <definedName name="Risk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2105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TRUE</definedName>
    <definedName name="RiskReportGraphFormat">1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K" localSheetId="0">BlankMacro1</definedName>
    <definedName name="RK">BlankMacro1</definedName>
    <definedName name="RKSK" hidden="1">#REF!</definedName>
    <definedName name="rkwk" hidden="1">{#N/A,#N/A,FALSE,"1.CRITERIA";#N/A,#N/A,FALSE,"2.IS";#N/A,#N/A,FALSE,"3.BS";#N/A,#N/A,FALSE,"4.PER PL";#N/A,#N/A,FALSE,"5.INVESTMENT";#N/A,#N/A,FALSE,"6.공문";#N/A,#N/A,FALSE,"7.netinvest"}</definedName>
    <definedName name="RLA" hidden="1">#N/A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MRMR">#REF!</definedName>
    <definedName name="RNAO" hidden="1">{#N/A,#N/A,FALSE,"Aging Summary";#N/A,#N/A,FALSE,"Ratio Analysis";#N/A,#N/A,FALSE,"Test 120 Day Accts";#N/A,#N/A,FALSE,"Tickmarks"}</definedName>
    <definedName name="rnrnf" hidden="1">{"'호선별현황(방식)'!$K$22:$P$22","'호선별현황(방식)'!$K$22:$P$22"}</definedName>
    <definedName name="RNRNRNR" hidden="1">{#N/A,#N/A,FALSE,"95FW"}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ponngi" hidden="1">{"AnnualRentRoll",#N/A,FALSE,"RentRoll"}</definedName>
    <definedName name="ropponngi_1" hidden="1">{"AnnualRentRoll",#N/A,FALSE,"RentRoll"}</definedName>
    <definedName name="ROW">#REF!</definedName>
    <definedName name="row_Bonus">#REF!</definedName>
    <definedName name="row_Compensation_Mix">#REF!</definedName>
    <definedName name="row_Cpy_Car_Data">#REF!,#REF!,#REF!,#REF!,#REF!,#REF!,#REF!,#REF!,#REF!</definedName>
    <definedName name="row_DB_Early_Retirement_Data">#REF!,#REF!</definedName>
    <definedName name="row_DC_mandatory_3_Data">#REF!,#REF!,#REF!,#REF!,#REF!,#REF!,#REF!</definedName>
    <definedName name="row_Loan_Car_Data">#REF!,#REF!,#REF!,#REF!,#REF!,#REF!,#REF!</definedName>
    <definedName name="row_Loan_HardSoft_Data">#REF!,#REF!,#REF!,#REF!,#REF!,#REF!,#REF!</definedName>
    <definedName name="row_Loan_Hse_Data">#REF!,#REF!,#REF!,#REF!,#REF!,#REF!,#REF!</definedName>
    <definedName name="row_Loan_Personal_Data">#REF!,#REF!,#REF!,#REF!,#REF!,#REF!,#REF!</definedName>
    <definedName name="row_Product_Services">#REF!,#REF!</definedName>
    <definedName name="row_Profit_Sharing">#REF!</definedName>
    <definedName name="row_Retirement_Type_1_Data1">#REF!,#REF!,#REF!,#REF!,#REF!,#REF!,#REF!,#REF!,#REF!,#REF!</definedName>
    <definedName name="row_Retirement_Type_1_Data2">#REF!,#REF!,#REF!,#REF!,#REF!,#REF!</definedName>
    <definedName name="row_Retirement_Type_2_Data1">#REF!,#REF!,#REF!,#REF!,#REF!,#REF!,#REF!,#REF!,#REF!</definedName>
    <definedName name="row_Retirement_Type_2_Data2">#REF!,#REF!,#REF!,#REF!,#REF!,#REF!</definedName>
    <definedName name="row_Retirement_Type_2_Data3">#REF!,#REF!</definedName>
    <definedName name="row_Retirement_Type_2_Data4">#REF!,#REF!</definedName>
    <definedName name="row_Sales_Incentives">#REF!</definedName>
    <definedName name="row_Share_Data">#REF!,#REF!,#REF!,#REF!,#REF! ,#REF! ,#REF!</definedName>
    <definedName name="row_Training_Edu_Data">#REF!,#REF!</definedName>
    <definedName name="row_Travel_Ins_Data">#REF!,#REF!</definedName>
    <definedName name="row_z_last">#REF!</definedName>
    <definedName name="RowTitleRegion1..G2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>#REF!</definedName>
    <definedName name="RRR" hidden="1">#REF!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>#REF!</definedName>
    <definedName name="rrrrrrrrrrrr">#REF!</definedName>
    <definedName name="rrrrrrrrrrrrrrrrrrrrrrrrrrrrrrrrrrrrrrrrrrrrrrrrrrrrrrrrrrrrrrrrrrrrrrrrrrrrrrrrrrrrrrrrrrrrrrr">#REF!</definedName>
    <definedName name="RT" hidden="1">#REF!</definedName>
    <definedName name="RT.RTDK">#REF!</definedName>
    <definedName name="RTCLSPRT">#REF!</definedName>
    <definedName name="rtclsprtdk">#REF!</definedName>
    <definedName name="rtyrty" hidden="1">{#N/A,#N/A,TRUE,"Assumptions";#N/A,#N/A,TRUE,"Sources of Revenue";#N/A,#N/A,TRUE,"P&amp;L";#N/A,#N/A,TRUE,"Bal. Sheet";#N/A,#N/A,TRUE,"Rights Issue &amp; X Adjustment";#N/A,#N/A,TRUE,"Transaction Model"}</definedName>
    <definedName name="rtyu" hidden="1">{#N/A,#N/A,TRUE,"Assumptions";#N/A,#N/A,TRUE,"Sources of Revenue";#N/A,#N/A,TRUE,"P&amp;L";#N/A,#N/A,TRUE,"Bal. Sheet";#N/A,#N/A,TRUE,"Rights Issue &amp; X Adjustment";#N/A,#N/A,TRUE,"Transaction Model"}</definedName>
    <definedName name="RT검사">#REF!</definedName>
    <definedName name="RY">#REF!</definedName>
    <definedName name="R행">#REF!</definedName>
    <definedName name="S">#REF!</definedName>
    <definedName name="s.v_reduction">#REF!</definedName>
    <definedName name="S_Adjust">#REF!</definedName>
    <definedName name="S_AJE_Tot">#REF!</definedName>
    <definedName name="S_CY_Beg_Data">#REF!</definedName>
    <definedName name="S_CY_End">#REF!</definedName>
    <definedName name="S_Diff_Amt">#REF!</definedName>
    <definedName name="S_Diff_Pct">#REF!</definedName>
    <definedName name="s_raise">#REF!</definedName>
    <definedName name="S_RJE_Tot">#REF!</definedName>
    <definedName name="S_S">#REF!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d" hidden="1">{"MonthlyRentRoll",#N/A,FALSE,"RentRoll"}</definedName>
    <definedName name="sadd_1" hidden="1">{"MonthlyRentRoll",#N/A,FALSE,"RentRoll"}</definedName>
    <definedName name="saddd" hidden="1">{"AnnualRentRoll",#N/A,FALSE,"RentRoll"}</definedName>
    <definedName name="saddd_1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ddd" hidden="1">{#N/A,#N/A,FALSE,"ExitStratigy"}</definedName>
    <definedName name="sadddddddd_1" hidden="1">{#N/A,#N/A,FALSE,"ExitStratigy"}</definedName>
    <definedName name="sadddddddddd" hidden="1">{#N/A,#N/A,FALSE,"LoanAssumptions"}</definedName>
    <definedName name="sadddddddddd_1" hidden="1">{#N/A,#N/A,FALSE,"LoanAssumptions"}</definedName>
    <definedName name="saddddddddddddd" hidden="1">{#N/A,#N/A,FALSE,"OperatingAssumptions"}</definedName>
    <definedName name="saddddddddddddd_1" hidden="1">{#N/A,#N/A,FALSE,"OperatingAssumptions"}</definedName>
    <definedName name="sadf" hidden="1">#REF!</definedName>
    <definedName name="SALES">#REF!</definedName>
    <definedName name="sales1">#REF!</definedName>
    <definedName name="Salesable_Area">#REF!</definedName>
    <definedName name="SAMPLE">#REF!</definedName>
    <definedName name="Sample1">#REF!</definedName>
    <definedName name="Samuel_Opt">#N/A</definedName>
    <definedName name="SAN">#N/A</definedName>
    <definedName name="SANGDATA">#REF!</definedName>
    <definedName name="SAPBEXrevision" hidden="1">1</definedName>
    <definedName name="SAPBEXsysID" hidden="1">"BPR"</definedName>
    <definedName name="SAPBEXwbID" hidden="1">"3LD3ORV0NYP5WZ7NXILJ4HLJA"</definedName>
    <definedName name="sasd" hidden="1">#REF!</definedName>
    <definedName name="savenefile11111">#REF!</definedName>
    <definedName name="SaveNewFile">#REF!</definedName>
    <definedName name="savenewfile1">#REF!</definedName>
    <definedName name="sa부하" hidden="1">#REF!</definedName>
    <definedName name="SBC" hidden="1">#REF!</definedName>
    <definedName name="SC">#REF!</definedName>
    <definedName name="SC11월">#REF!</definedName>
    <definedName name="SC12월">#REF!</definedName>
    <definedName name="SC1월">#REF!</definedName>
    <definedName name="SC2월">#REF!</definedName>
    <definedName name="SC2월2">#REF!</definedName>
    <definedName name="SC3월">#REF!</definedName>
    <definedName name="SC4월">#REF!</definedName>
    <definedName name="SC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P">#REF!</definedName>
    <definedName name="scheda">#REF!:#REF!</definedName>
    <definedName name="SChonsei">#REF!</definedName>
    <definedName name="sck" hidden="1">{#N/A,#N/A,FALSE,"BS";#N/A,#N/A,FALSE,"PL";#N/A,#N/A,FALSE,"처분";#N/A,#N/A,FALSE,"현금";#N/A,#N/A,FALSE,"매출";#N/A,#N/A,FALSE,"원가";#N/A,#N/A,FALSE,"경영"}</definedName>
    <definedName name="Scoresheet">#REF!</definedName>
    <definedName name="sd">#REF!</definedName>
    <definedName name="sda">#REF!</definedName>
    <definedName name="sdad">#REF!</definedName>
    <definedName name="sdafdadfad" hidden="1">{#N/A,#N/A,FALSE,"Aging Summary";#N/A,#N/A,FALSE,"Ratio Analysis";#N/A,#N/A,FALSE,"Test 120 Day Accts";#N/A,#N/A,FALSE,"Tickmarks"}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 hidden="1">{#N/A,#N/A,FALSE,"채산3501.XLS";#N/A,#N/A,FALSE,"신조수A.XLS";#N/A,#N/A,FALSE,"신조수b.XLS";#N/A,#N/A,FALSE,"채산3502.XLS";#N/A,#N/A,FALSE,"신조원리.XLS";#N/A,#N/A,FALSE,"신조감가.XLS"}</definedName>
    <definedName name="sdfgdfg" hidden="1">{#N/A,#N/A,TRUE,"Assumptions";#N/A,#N/A,TRUE,"Sources of Revenue";#N/A,#N/A,TRUE,"P&amp;L";#N/A,#N/A,TRUE,"Bal. Sheet";#N/A,#N/A,TRUE,"Rights Issue &amp; X Adjustment";#N/A,#N/A,TRUE,"Transaction Model"}</definedName>
    <definedName name="sdfgsdfg" hidden="1">{#N/A,#N/A,TRUE,"Assumptions";#N/A,#N/A,TRUE,"Sources of Revenue";#N/A,#N/A,TRUE,"P&amp;L";#N/A,#N/A,TRUE,"Bal. Sheet";#N/A,#N/A,TRUE,"Rights Issue &amp; X Adjustment";#N/A,#N/A,TRUE,"Transaction Model"}</definedName>
    <definedName name="sdfgsdfgsdgfs">#N/A</definedName>
    <definedName name="sdfgsdfsdfafasd" hidden="1">#REF!</definedName>
    <definedName name="sdfsf" hidden="1">#REF!</definedName>
    <definedName name="sdfteseagegwe" hidden="1">#REF!</definedName>
    <definedName name="SDGEART" hidden="1">#REF!</definedName>
    <definedName name="sdklfj" hidden="1">#REF!</definedName>
    <definedName name="sds" localSheetId="0">BlankMacro1</definedName>
    <definedName name="sds">BlankMacro1</definedName>
    <definedName name="sdsd" hidden="1">#REF!</definedName>
    <definedName name="sdsdsdsdsd">#REF!</definedName>
    <definedName name="sdss">#REF!</definedName>
    <definedName name="sdvrys" hidden="1">{#N/A,#N/A,TRUE,"Assumptions";#N/A,#N/A,TRUE,"Sources of Revenue";#N/A,#N/A,TRUE,"P&amp;L";#N/A,#N/A,TRUE,"Bal. Sheet";#N/A,#N/A,TRUE,"Rights Issue &amp; X Adjustment";#N/A,#N/A,TRUE,"Transaction Model"}</definedName>
    <definedName name="SE">#REF!</definedName>
    <definedName name="second_s">#REF!</definedName>
    <definedName name="SECT_120">#REF!</definedName>
    <definedName name="SECT_130">#REF!</definedName>
    <definedName name="SECT_140">#REF!</definedName>
    <definedName name="SECT_160">#REF!</definedName>
    <definedName name="SECT_170">#REF!</definedName>
    <definedName name="SECT_180">#REF!</definedName>
    <definedName name="SECT_190">#REF!</definedName>
    <definedName name="sectionNames">#REF!</definedName>
    <definedName name="Security_Deposit_Multiplier">#REF!</definedName>
    <definedName name="segvx" hidden="1">{"'買掛金'!$J$6"}</definedName>
    <definedName name="Sellers">#REF!</definedName>
    <definedName name="sencount" hidden="1">1</definedName>
    <definedName name="SENG0">#REF!</definedName>
    <definedName name="Sensistivity_BuyPrice">#REF!</definedName>
    <definedName name="Sensistivity_Exit_Price">#REF!</definedName>
    <definedName name="Sensistivity_Hold_Period">#REF!</definedName>
    <definedName name="Sensitivity_Borrow_Cost">#REF!</definedName>
    <definedName name="Sensitivity_Debt_Ratio">#REF!</definedName>
    <definedName name="Sensitivity_Exit">#REF!</definedName>
    <definedName name="Sensitivity_Term">#REF!</definedName>
    <definedName name="Service_Charge_Collection">#REF!</definedName>
    <definedName name="service_raise">#REF!</definedName>
    <definedName name="Set_1">#REF!</definedName>
    <definedName name="sf" hidden="1">#REF!</definedName>
    <definedName name="sfd" hidden="1">{#N/A,#N/A,FALSE,"95FW"}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gdfs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hare_MaxAmt">#REF!</definedName>
    <definedName name="Share_Plan">#REF!</definedName>
    <definedName name="sheet" hidden="1">{#N/A,#N/A,FALSE,"95FW"}</definedName>
    <definedName name="sheet1" hidden="1">{#N/A,#N/A,FALSE,"95FW"}</definedName>
    <definedName name="SHEET2" hidden="1">{#N/A,#N/A,FALSE,"단축1";#N/A,#N/A,FALSE,"단축2";#N/A,#N/A,FALSE,"단축3";#N/A,#N/A,FALSE,"장축";#N/A,#N/A,FALSE,"4WD"}</definedName>
    <definedName name="Ship">#REF!</definedName>
    <definedName name="SHL_Interest">#REF!</definedName>
    <definedName name="SHL_Ratio">#REF!</definedName>
    <definedName name="SHL_Tax">#REF!</definedName>
    <definedName name="SHORTNAME">#N/A</definedName>
    <definedName name="Show">#REF!</definedName>
    <definedName name="SHR">#REF!</definedName>
    <definedName name="shtName" localSheetId="0">INDEX(wsNames, shtPos)</definedName>
    <definedName name="shtName">INDEX(wsNames, shtPos)</definedName>
    <definedName name="Sigma">#REF!+(#REF!-#REF!)</definedName>
    <definedName name="signage_revenue">#REF!</definedName>
    <definedName name="SINGPORE">#REF!</definedName>
    <definedName name="SIS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te_Area">#REF!</definedName>
    <definedName name="sj">#REF!</definedName>
    <definedName name="sjflkaejflkjglk">#REF!</definedName>
    <definedName name="skaaldu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SK">#REF!</definedName>
    <definedName name="Sm_per_Pyong">#REF!</definedName>
    <definedName name="smarket_eviction_cost">#REF!</definedName>
    <definedName name="smarket_key_money">#REF!</definedName>
    <definedName name="smarket_market_rent">#REF!</definedName>
    <definedName name="smarket_percent">#REF!</definedName>
    <definedName name="smarket_size">#REF!</definedName>
    <definedName name="SO">#REF!</definedName>
    <definedName name="solid_ctn_poplin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hidden="1">#REF!</definedName>
    <definedName name="SOU">#REF!</definedName>
    <definedName name="source">#REF!</definedName>
    <definedName name="SP4월">#REF!</definedName>
    <definedName name="spa">#REF!</definedName>
    <definedName name="spc_setup">#REF!</definedName>
    <definedName name="Special_Capital_Gain_Tax">#REF!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R134202C113TBH1B0RTSUS">#REF!</definedName>
    <definedName name="SPR165C113TBH1B2RTSUS">#REF!</definedName>
    <definedName name="SPR188C103121TBH1B0RTSUS">#REF!</definedName>
    <definedName name="SPR188C116136TBH1B0RTSUS">#REF!</definedName>
    <definedName name="SPR188C127152TBH1B0RTSUS">#REF!</definedName>
    <definedName name="SPR188C95111TBH1B0RTSUS">#REF!</definedName>
    <definedName name="SPR190C3452RTSUS">#REF!</definedName>
    <definedName name="SPR190C5466RRSUS">#REF!</definedName>
    <definedName name="SPR190C5466RTSUS">#REF!</definedName>
    <definedName name="SPR193C127RTSUS">#REF!</definedName>
    <definedName name="SPR193C7798RTSUS">#REF!</definedName>
    <definedName name="SPR68127C113TBH1B2RTSUS">#REF!</definedName>
    <definedName name="SPT_FLUSSI">#REF!,#REF!</definedName>
    <definedName name="SPWS_WBID">"0D145571-4AA7-4C6E-B8EB-4DF0FED2B8BC"</definedName>
    <definedName name="SQF">#REF!</definedName>
    <definedName name="sqft">#REF!</definedName>
    <definedName name="sqmt">#REF!</definedName>
    <definedName name="SS">#REF!</definedName>
    <definedName name="SS_CAPEX">{"Client Name or Project Name"}</definedName>
    <definedName name="ssdsd">#REF!</definedName>
    <definedName name="SSRR">#REF!</definedName>
    <definedName name="sss" hidden="1">{#N/A,#N/A,FALSE,"95FW"}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sssss">#REF!</definedName>
    <definedName name="sssssssssssssssssssssss">#REF!</definedName>
    <definedName name="ST_interest">#REF!</definedName>
    <definedName name="Stabilized_Vacancy">#REF!</definedName>
    <definedName name="stacking">#N/A</definedName>
    <definedName name="stamp">#REF!,#REF!</definedName>
    <definedName name="STAR">#REF!</definedName>
    <definedName name="STAR1">#REF!</definedName>
    <definedName name="start">#REF!</definedName>
    <definedName name="START2">#REF!</definedName>
    <definedName name="Stato_Patrimoniale">#REF!</definedName>
    <definedName name="stcode">#REF!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1">#REF!</definedName>
    <definedName name="step2">#REF!</definedName>
    <definedName name="STI_Language">#REF!</definedName>
    <definedName name="STJ">#REF!</definedName>
    <definedName name="Stock_List">#REF!</definedName>
    <definedName name="strloc">#REF!</definedName>
    <definedName name="STRU">#REF!</definedName>
    <definedName name="SU">#REF!</definedName>
    <definedName name="sum">#REF!</definedName>
    <definedName name="SUMMARY">#REF!</definedName>
    <definedName name="surt" hidden="1">#REF!</definedName>
    <definedName name="SurveyDate">#REF!</definedName>
    <definedName name="SurveyName">#REF!</definedName>
    <definedName name="swds" hidden="1">#REF!</definedName>
    <definedName name="SYNOFF">#REF!</definedName>
    <definedName name="SYNON">#REF!</definedName>
    <definedName name="SYSDATE">#N/A</definedName>
    <definedName name="s부하" hidden="1">#REF!</definedName>
    <definedName name="s조향" hidden="1">#REF!</definedName>
    <definedName name="S행">#REF!</definedName>
    <definedName name="t">#REF!</definedName>
    <definedName name="t_all">#REF!</definedName>
    <definedName name="T1_">#N/A</definedName>
    <definedName name="T200팀별투자비" hidden="1">{#N/A,#N/A,TRUE,"일정"}</definedName>
    <definedName name="ta" hidden="1">{#N/A,#N/A,FALSE,"Aging Summary";#N/A,#N/A,FALSE,"Ratio Analysis";#N/A,#N/A,FALSE,"Test 120 Day Accts";#N/A,#N/A,FALSE,"Tickmarks"}</definedName>
    <definedName name="TAB_BUTTON">#REF!</definedName>
    <definedName name="TABLE1">#REF!</definedName>
    <definedName name="Target">#REF!</definedName>
    <definedName name="TARWK">#REF!</definedName>
    <definedName name="tax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_Base_above100">#REF!</definedName>
    <definedName name="Tax_Base_below100">#REF!</definedName>
    <definedName name="Tax_Rate">#REF!</definedName>
    <definedName name="Tax_Rate1">#REF!</definedName>
    <definedName name="Tax_Rental_Above100">#REF!</definedName>
    <definedName name="Tax_Rental_below100">#REF!</definedName>
    <definedName name="Tax_Withhold_Capital_Gains">#REF!</definedName>
    <definedName name="Tax_Withhold_Dividends">#REF!</definedName>
    <definedName name="TB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601.1">#REF!</definedName>
    <definedName name="TB605.1">#REF!</definedName>
    <definedName name="TB904.1">#REF!</definedName>
    <definedName name="TB904.2">#REF!</definedName>
    <definedName name="tc" hidden="1">{#N/A,#N/A,FALSE,"단축1";#N/A,#N/A,FALSE,"단축2";#N/A,#N/A,FALSE,"단축3";#N/A,#N/A,FALSE,"장축";#N/A,#N/A,FALSE,"4WD"}</definedName>
    <definedName name="TChonsei">#REF!</definedName>
    <definedName name="tci" hidden="1">{#N/A,#N/A,FALSE,"단축1";#N/A,#N/A,FALSE,"단축2";#N/A,#N/A,FALSE,"단축3";#N/A,#N/A,FALSE,"장축";#N/A,#N/A,FALSE,"4WD"}</definedName>
    <definedName name="tcn">#REF!</definedName>
    <definedName name="TDeposit">#REF!</definedName>
    <definedName name="TDS">#REF!</definedName>
    <definedName name="TEAM">#REF!</definedName>
    <definedName name="Tel">#REF!</definedName>
    <definedName name="temp">#REF!</definedName>
    <definedName name="Tenant">#REF!</definedName>
    <definedName name="TenantData">#REF!</definedName>
    <definedName name="tenmo">#REF!</definedName>
    <definedName name="Term">#REF!</definedName>
    <definedName name="TEST">#REF!</definedName>
    <definedName name="TEST_1">#REF!</definedName>
    <definedName name="TEST_2">#REF!</definedName>
    <definedName name="TEST_A">#N/A</definedName>
    <definedName name="TEST_A1">#REF!</definedName>
    <definedName name="TEST_A2">#REF!</definedName>
    <definedName name="TEST_A3">#REF!</definedName>
    <definedName name="TEST_B">#N/A</definedName>
    <definedName name="TEST_B1">#REF!</definedName>
    <definedName name="TEST_B2">#REF!</definedName>
    <definedName name="TEST_B3">#REF!</definedName>
    <definedName name="TEST_C">#N/A</definedName>
    <definedName name="TEST_C1">#REF!</definedName>
    <definedName name="TEST_C2">#REF!</definedName>
    <definedName name="TEST_C3">#REF!</definedName>
    <definedName name="TEST_D">#N/A</definedName>
    <definedName name="TEST_D1">#REF!</definedName>
    <definedName name="TEST_D2">#REF!</definedName>
    <definedName name="TEST_D3">#REF!</definedName>
    <definedName name="TEST_E">#N/A</definedName>
    <definedName name="TEST_E1">#REF!</definedName>
    <definedName name="TEST_E2">#REF!</definedName>
    <definedName name="TEST_E3">#REF!</definedName>
    <definedName name="TEST_F1">#REF!</definedName>
    <definedName name="TEST_F2">#REF!</definedName>
    <definedName name="TEST_F3">#REF!</definedName>
    <definedName name="TEST_G">#REF!</definedName>
    <definedName name="TEST_G1">#REF!</definedName>
    <definedName name="TEST_G2">#REF!</definedName>
    <definedName name="TEST_G3">#REF!</definedName>
    <definedName name="TEST_H1">#REF!</definedName>
    <definedName name="TEST_H2">#REF!</definedName>
    <definedName name="TEST_H3">#REF!</definedName>
    <definedName name="TEST_I1">#REF!</definedName>
    <definedName name="TEST_I2">#REF!</definedName>
    <definedName name="TEST_I3">#REF!</definedName>
    <definedName name="TEST_J1">#REF!</definedName>
    <definedName name="TEST_J2">#REF!</definedName>
    <definedName name="TEST_J3">#REF!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EST0">#REF!</definedName>
    <definedName name="TEST1">#REF!</definedName>
    <definedName name="TESTDTA_F4095">#REF!</definedName>
    <definedName name="TESTHKEY">#REF!</definedName>
    <definedName name="TESTKEYS">#REF!</definedName>
    <definedName name="TESTVKEY">#REF!</definedName>
    <definedName name="TEXT16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2</definedName>
    <definedName name="THEME2" hidden="1">{#N/A,#N/A,FALSE,"96 3월물량표";#N/A,#N/A,FALSE,"96 4월물량표";#N/A,#N/A,FALSE,"96 5월물량표"}</definedName>
    <definedName name="THEMONTH">#REF!</definedName>
    <definedName name="This_Quarter">#REF!</definedName>
    <definedName name="ThisPeriod">#REF!</definedName>
    <definedName name="ThisYear">#REF!</definedName>
    <definedName name="thsdls" hidden="1">{#N/A,#N/A,FALSE,"Aging Summary";#N/A,#N/A,FALSE,"Ratio Analysis";#N/A,#N/A,FALSE,"Test 120 Day Accts";#N/A,#N/A,FALSE,"Tickmarks"}</definedName>
    <definedName name="thtty" hidden="1">{#N/A,#N/A,FALSE,"96 3월물량표";#N/A,#N/A,FALSE,"96 4월물량표";#N/A,#N/A,FALSE,"96 5월물량표"}</definedName>
    <definedName name="ti">#REF!</definedName>
    <definedName name="Time">#REF!</definedName>
    <definedName name="TIMESTAMP">#REF!</definedName>
    <definedName name="TIPS_Actual_Title">#REF!</definedName>
    <definedName name="TIPS_AGENCY_COFEE">#REF!</definedName>
    <definedName name="TIPS_AGENCY_EEFEE">#REF!</definedName>
    <definedName name="TIPS_ALLOW_RUNCOST">#REF!</definedName>
    <definedName name="TIPS_ALLOWANCE">#REF!</definedName>
    <definedName name="TIPS_ANN_BASE">#REF!</definedName>
    <definedName name="TIPS_ANN_EC_GIVEN">#REF!</definedName>
    <definedName name="TIPS_AREA_ALW">#REF!</definedName>
    <definedName name="TIPS_BENEFITPOLICY">#REF!</definedName>
    <definedName name="TIPS_Benefits_1">#REF!</definedName>
    <definedName name="TIPS_Benefits_2">#REF!</definedName>
    <definedName name="TIPS_BON_ACT">#REF!</definedName>
    <definedName name="TIPS_BON_ACT2">#REF!</definedName>
    <definedName name="TIPS_BON_ELIG">#REF!</definedName>
    <definedName name="TIPS_BON_TGT">#REF!</definedName>
    <definedName name="TIPS_BON_TGT2">#REF!</definedName>
    <definedName name="TIPS_BURN_ALW">#REF!</definedName>
    <definedName name="TIPS_CAR_ENGINE">#REF!</definedName>
    <definedName name="TIPS_CAR_MODEL">#REF!</definedName>
    <definedName name="TIPS_CAR_PLAN">#REF!</definedName>
    <definedName name="TIPS_CAR_PRK">#REF!</definedName>
    <definedName name="TIPS_CHILD_EDUC">#REF!</definedName>
    <definedName name="TIPS_Class_of_Lawyer">#REF!</definedName>
    <definedName name="TIPS_CLEAN_ALW">#REF!</definedName>
    <definedName name="TIPS_CLOTH_ALW">#REF!</definedName>
    <definedName name="TIPS_CLUB_BEN">#REF!</definedName>
    <definedName name="TIPS_Combined_MUPCS_Title">#REF!</definedName>
    <definedName name="TIPS_Country_Code">#REF!</definedName>
    <definedName name="TIPS_CURR_CODE">#REF!</definedName>
    <definedName name="TIPS_DBPOLICY">#REF!</definedName>
    <definedName name="TIPS_DCPOLICY">#REF!</definedName>
    <definedName name="TIPS_DEEMOT_ALW">#REF!</definedName>
    <definedName name="TIPS_DEEMOT_PRO">#REF!</definedName>
    <definedName name="TIPS_DRIVER_SAL">#REF!</definedName>
    <definedName name="TIPS_Education_Allw">#REF!</definedName>
    <definedName name="TIPS_Employee_ID">#REF!</definedName>
    <definedName name="TIPS_EPI_RATE">#REF!</definedName>
    <definedName name="TIPS_FAMILY_ALW">#REF!</definedName>
    <definedName name="TIPS_FBT_ITEMS">#REF!</definedName>
    <definedName name="TIPS_FEST_BON">#REF!</definedName>
    <definedName name="TIPS_Financial_Vol">#REF!</definedName>
    <definedName name="TIPS_FIXED_BON">#REF!</definedName>
    <definedName name="TIPS_FIXEMP_TEC">#REF!</definedName>
    <definedName name="TIPS_FLEX_ALW">#REF!</definedName>
    <definedName name="TIPS_FLEX_BEN">#REF!</definedName>
    <definedName name="TIPS_FUEL">#REF!</definedName>
    <definedName name="TIPS_Geog_Resp">#REF!</definedName>
    <definedName name="TIPS_GOVT_FUND">#REF!</definedName>
    <definedName name="TIPS_GRATUITY">#REF!</definedName>
    <definedName name="TIPS_Headcount">#REF!</definedName>
    <definedName name="TIPS_HEADORG_TYPE">#REF!</definedName>
    <definedName name="TIPS_HI_RATE">#REF!</definedName>
    <definedName name="TIPS_Highest_Qual">#REF!</definedName>
    <definedName name="TIPS_HLTH_PREM">#REF!</definedName>
    <definedName name="TIPS_HOUSE_ALW">#REF!</definedName>
    <definedName name="TIPS_HOUSE_RENTAL">#REF!</definedName>
    <definedName name="TIPS_INCENT_ACT">#REF!</definedName>
    <definedName name="TIPS_INCENT_ACT2">#REF!</definedName>
    <definedName name="TIPS_INCENT_ELIG">#REF!</definedName>
    <definedName name="TIPS_INCENT_TGT">#REF!</definedName>
    <definedName name="TIPS_INCENT_TGT2">#REF!</definedName>
    <definedName name="TIPS_Incumbent_Data">#REF!</definedName>
    <definedName name="TIPS_IND_TYPE_SALES">#REF!</definedName>
    <definedName name="TIPS_Industry_List">#REF!</definedName>
    <definedName name="TIPS_INSURANCE">#REF!</definedName>
    <definedName name="TIPS_Internal_BU">#REF!</definedName>
    <definedName name="TIPS_Intl_Assignment">#REF!</definedName>
    <definedName name="TIPS_JOB_ALW">#REF!</definedName>
    <definedName name="TIPS_Job_Code">#REF!</definedName>
    <definedName name="TIPS_Job_Family">#REF!</definedName>
    <definedName name="TIPS_Job_Grade">#REF!</definedName>
    <definedName name="TIPS_Job_Identifier_Other">#REF!</definedName>
    <definedName name="TIPS_Job_Level">#REF!</definedName>
    <definedName name="TIPS_KIWI_CONVAL">#REF!</definedName>
    <definedName name="TIPS_KIWI_FUND">#REF!</definedName>
    <definedName name="TIPS_KIWI_OTHER">#REF!</definedName>
    <definedName name="TIPS_KIWI_TEC">#REF!</definedName>
    <definedName name="TIPS_KR_Actual_Title">#REF!</definedName>
    <definedName name="TIPS_KR_Code_Title">#REF!</definedName>
    <definedName name="TIPS_Last_Salary_Review">#REF!</definedName>
    <definedName name="TIPS_LEASEPRICE">#REF!</definedName>
    <definedName name="TIPS_LEASEPRICE2">#REF!</definedName>
    <definedName name="TIPS_LEASEPRICEFBT">#REF!</definedName>
    <definedName name="TIPS_LEAVE_LOAD">#REF!</definedName>
    <definedName name="TIPS_Location">#REF!</definedName>
    <definedName name="TIPS_LocationPOST">#REF!</definedName>
    <definedName name="TIPS_LTI_ELIG">#REF!</definedName>
    <definedName name="TIPS_LTIACCVAL1">#REF!</definedName>
    <definedName name="TIPS_LTICASH1">#REF!</definedName>
    <definedName name="TIPS_LTICUR1">#REF!</definedName>
    <definedName name="TIPS_LTIDTEGR1">#REF!</definedName>
    <definedName name="TIPS_LTIFMV1">#REF!</definedName>
    <definedName name="TIPS_LTIFREQ1">#REF!</definedName>
    <definedName name="TIPS_LTIMAXAWRD1">#REF!</definedName>
    <definedName name="TIPS_LTIPERFMEA1">#REF!</definedName>
    <definedName name="TIPS_LTIPLNTYP1">#REF!</definedName>
    <definedName name="TIPS_LTIPRCGR1">#REF!</definedName>
    <definedName name="TIPS_LTISHARES1">#REF!</definedName>
    <definedName name="TIPS_LTISTRUCT1">#REF!</definedName>
    <definedName name="TIPS_LTITERM1">#REF!</definedName>
    <definedName name="TIPS_MAINTENANCE">#REF!</definedName>
    <definedName name="TIPS_MEAL_ALW">#REF!</definedName>
    <definedName name="TIPS_MED_ALW">#REF!</definedName>
    <definedName name="TIPS_MEDCARE_BEN">#REF!</definedName>
    <definedName name="TIPS_Mercer_PC">#REF!</definedName>
    <definedName name="TIPS_MSU_INSURE">#REF!</definedName>
    <definedName name="TIPS_MTH_BASE">#REF!</definedName>
    <definedName name="TIPS_MUPC">#REF!</definedName>
    <definedName name="TIPS_NFBT_ITEMS">#REF!</definedName>
    <definedName name="TIPS_NUM_MTH">#REF!</definedName>
    <definedName name="TIPS_NUM_MTH2">#REF!</definedName>
    <definedName name="TIPS_Org_Ownership">#REF!</definedName>
    <definedName name="TIPS_Org_Type">#REF!</definedName>
    <definedName name="TIPS_ORG_TYPE_incumbent">#REF!</definedName>
    <definedName name="TIPS_Org_Type1">#REF!</definedName>
    <definedName name="TIPS_OTH_ALW">#REF!</definedName>
    <definedName name="TIPS_OTH_BEN">#REF!</definedName>
    <definedName name="TIPS_OTHBON_ACT">#REF!</definedName>
    <definedName name="TIPS_OTHBON_ACT2">#REF!</definedName>
    <definedName name="TIPS_OTHBON_TGT">#REF!</definedName>
    <definedName name="TIPS_OTHBON_TGT2">#REF!</definedName>
    <definedName name="TIPS_Other_LocalPlus_Allw">#REF!</definedName>
    <definedName name="TIPS_OTHSUP_TEC">#REF!</definedName>
    <definedName name="TIPS_PAG_IBIG">#REF!</definedName>
    <definedName name="TIPS_PERSONALUSE">#REF!</definedName>
    <definedName name="TIPS_PHONE_ALW">#REF!</definedName>
    <definedName name="TIPS_POS_FOCUS">#REF!</definedName>
    <definedName name="TIPS_POS_REVTGT">#REF!</definedName>
    <definedName name="TIPS_PP_CTRY">#REF!</definedName>
    <definedName name="TIPS_PREVENT_HLTH">#REF!</definedName>
    <definedName name="TIPS_PRICE">#REF!</definedName>
    <definedName name="TIPS_PRICE2">#REF!</definedName>
    <definedName name="TIPS_Product">#REF!</definedName>
    <definedName name="TIPS_PURCHASEDISCOUNT">#REF!</definedName>
    <definedName name="TIPS_REPLACEMENTTERM">#REF!</definedName>
    <definedName name="TIPS_RET_BENVAL">#REF!</definedName>
    <definedName name="TIPS_RET_CONVAL">#REF!</definedName>
    <definedName name="TIPS_Retirement">#REF!</definedName>
    <definedName name="TIPS_Salary_Increase">#REF!</definedName>
    <definedName name="TIPS_SCOPE_ALW">#REF!</definedName>
    <definedName name="TIPS_Service">#REF!</definedName>
    <definedName name="TIPS_SHARE_ROLE">#REF!</definedName>
    <definedName name="TIPS_SHIFT12_ALW">#REF!</definedName>
    <definedName name="TIPS_SHIFT8_ALW">#REF!</definedName>
    <definedName name="TIPS_SITE_ALW">#REF!</definedName>
    <definedName name="TIPS_SITEOFF_ALW">#REF!</definedName>
    <definedName name="TIPS_SKILL_ALW">#REF!</definedName>
    <definedName name="TIPS_SKILL_SPEC">#REF!</definedName>
    <definedName name="TIPS_SLSMAN_ALW">#REF!</definedName>
    <definedName name="TIPS_SS_BEN">#REF!</definedName>
    <definedName name="TIPS_SS_RATE">#REF!</definedName>
    <definedName name="TIPS_STK_CTRY">#REF!</definedName>
    <definedName name="TIPS_STK_EXCH">#REF!</definedName>
    <definedName name="TIPS_STK_TICKER">#REF!</definedName>
    <definedName name="TIPS_Store_Type">#REF!</definedName>
    <definedName name="TIPS_SUPP_HFUND">#REF!</definedName>
    <definedName name="TIPS_TRANS_ALW">#REF!</definedName>
    <definedName name="TIPS_TRAVEL_ALW">#REF!</definedName>
    <definedName name="TIPS_Type_of_contract">#REF!</definedName>
    <definedName name="TIPS_Type_of_Empl">#REF!</definedName>
    <definedName name="TIPS_UNION_COFEE">#REF!</definedName>
    <definedName name="TIPS_UNION_EEFEE">#REF!</definedName>
    <definedName name="TIPS_VESTOPT1">#REF!</definedName>
    <definedName name="TIPS_VESTOTH1">#REF!</definedName>
    <definedName name="TIPS_VESTPER1">#REF!</definedName>
    <definedName name="TIPS_VESTTYP1">#REF!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LE">#REF!</definedName>
    <definedName name="title_tranfer_timing">#REF!</definedName>
    <definedName name="title_transfer_month">#REF!</definedName>
    <definedName name="title_transfer_month_lookup">#REF!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wp">#REF!</definedName>
    <definedName name="to" hidden="1">{#N/A,#N/A,FALSE,"표지";#N/A,#N/A,FALSE,"전제";#N/A,#N/A,FALSE,"손익-자 (2)";#N/A,#N/A,FALSE,"손익-자";#N/A,#N/A,FALSE,"손익-마 (2)";#N/A,#N/A,FALSE,"손익-마";#N/A,#N/A,FALSE,"총손최종"}</definedName>
    <definedName name="todoroki" hidden="1">#REF!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">#REF!</definedName>
    <definedName name="Tot_Outstand_Check">#REF!</definedName>
    <definedName name="TOTAL" hidden="1">{#N/A,#N/A,TRUE,"일정"}</definedName>
    <definedName name="Total_Contracted_Gross_Area">#REF!</definedName>
    <definedName name="TOTAL1">#REF!</definedName>
    <definedName name="TOTAL2">#REF!</definedName>
    <definedName name="TOTALCARR">#N/A</definedName>
    <definedName name="TOTALDOC">#N/A</definedName>
    <definedName name="TOTALGOODS">#N/A</definedName>
    <definedName name="TotalPyung">#REF!</definedName>
    <definedName name="TOTALVAT">#N/A</definedName>
    <definedName name="totamt">#REF!</definedName>
    <definedName name="TOWN">#N/A</definedName>
    <definedName name="TP1t">#REF!</definedName>
    <definedName name="TP2t">#REF!</definedName>
    <definedName name="TP3t">#REF!</definedName>
    <definedName name="TP5t">#REF!</definedName>
    <definedName name="tr" hidden="1">#REF!</definedName>
    <definedName name="TRAD">#REF!</definedName>
    <definedName name="TrafficLY">OFFSET(#REF!,1,#REF!,12,1)</definedName>
    <definedName name="TrafficTY">OFFSET(#REF!,,#REF!,12,1)</definedName>
    <definedName name="Training">#REF!</definedName>
    <definedName name="TransNum">#REF!</definedName>
    <definedName name="TRent">#REF!</definedName>
    <definedName name="TrialBalance2">#REF!</definedName>
    <definedName name="TRIM">#REF!</definedName>
    <definedName name="TRK">#REF!</definedName>
    <definedName name="TRLY">OFFSET(#REF!,1,#REF!,12,1)</definedName>
    <definedName name="TRTY">OFFSET(#REF!,,#REF!,12,1)</definedName>
    <definedName name="Trust_Fee">#REF!</definedName>
    <definedName name="TT">#REF!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>#REF!</definedName>
    <definedName name="TTTTTTT">#REF!</definedName>
    <definedName name="ttttttttt">#REF!</definedName>
    <definedName name="tttttttttttt">#REF!</definedName>
    <definedName name="ttttttttttttttttttttttttttttttttttttttttttttttttttttt">#REF!</definedName>
    <definedName name="ttxx">#REF!</definedName>
    <definedName name="ttxxxx">#REF!</definedName>
    <definedName name="ttxxxxx">#REF!</definedName>
    <definedName name="TV">#REF!</definedName>
    <definedName name="TVMETH1">#REF!</definedName>
    <definedName name="TVMETH2">#REF!</definedName>
    <definedName name="TVMETH3">#REF!</definedName>
    <definedName name="TVMETH4">#REF!</definedName>
    <definedName name="TVMETH5">#REF!</definedName>
    <definedName name="TWN">#REF!</definedName>
    <definedName name="TXH">#REF!</definedName>
    <definedName name="TXK">#REF!</definedName>
    <definedName name="txx">#REF!</definedName>
    <definedName name="TYPE">#REF!</definedName>
    <definedName name="tyuiiut" hidden="1">{#N/A,#N/A,TRUE,"Assumptions";#N/A,#N/A,TRUE,"Sources of Revenue";#N/A,#N/A,TRUE,"P&amp;L";#N/A,#N/A,TRUE,"Bal. Sheet";#N/A,#N/A,TRUE,"Rights Issue &amp; X Adjustment";#N/A,#N/A,TRUE,"Transaction Model"}</definedName>
    <definedName name="tyuiryudadf" hidden="1">{#N/A,#N/A,TRUE,"Assumptions";#N/A,#N/A,TRUE,"Sources of Revenue";#N/A,#N/A,TRUE,"P&amp;L";#N/A,#N/A,TRUE,"Bal. Sheet";#N/A,#N/A,TRUE,"Rights Issue &amp; X Adjustment";#N/A,#N/A,TRUE,"Transaction Model"}</definedName>
    <definedName name="TYUITYUITYUI" hidden="1">{#N/A,#N/A,TRUE,"Assumptions";#N/A,#N/A,TRUE,"Sources of Revenue";#N/A,#N/A,TRUE,"P&amp;L";#N/A,#N/A,TRUE,"Bal. Sheet";#N/A,#N/A,TRUE,"Rights Issue &amp; X Adjustment";#N/A,#N/A,TRUE,"Transaction Model"}</definedName>
    <definedName name="TYUTUYUYUTYJUTYJ">#REF!</definedName>
    <definedName name="T행">#REF!</definedName>
    <definedName name="U">#REF!</definedName>
    <definedName name="U_C11">#REF!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" hidden="1">{#N/A,#N/A,FALSE,"Aging Summary";#N/A,#N/A,FALSE,"Ratio Analysis";#N/A,#N/A,FALSE,"Test 120 Day Accts";#N/A,#N/A,FALSE,"Tickmarks"}</definedName>
    <definedName name="uighkj" hidden="1">{#N/A,#N/A,TRUE,"Assumptions";#N/A,#N/A,TRUE,"Sources of Revenue";#N/A,#N/A,TRUE,"P&amp;L";#N/A,#N/A,TRUE,"Bal. Sheet";#N/A,#N/A,TRUE,"Rights Issue &amp; X Adjustment";#N/A,#N/A,TRUE,"Transaction Model"}</definedName>
    <definedName name="uio" hidden="1">{#N/A,#N/A,TRUE,"Assumptions";#N/A,#N/A,TRUE,"Sources of Revenue";#N/A,#N/A,TRUE,"P&amp;L";#N/A,#N/A,TRUE,"Bal. Sheet";#N/A,#N/A,TRUE,"Rights Issue &amp; X Adjustment";#N/A,#N/A,TRUE,"Transaction Model"}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_천원">#REF!</definedName>
    <definedName name="Units">#REF!</definedName>
    <definedName name="Untitled">#REF!</definedName>
    <definedName name="UP_KOPIE">#REF!</definedName>
    <definedName name="UPC">#REF!</definedName>
    <definedName name="update">#REF!</definedName>
    <definedName name="UploadFile">#REF!</definedName>
    <definedName name="uti">#N/A</definedName>
    <definedName name="UtileBilver_utileBilCEE">#REF!</definedName>
    <definedName name="uto">#N/A</definedName>
    <definedName name="UT검사">#REF!</definedName>
    <definedName name="uu">#REF!</definedName>
    <definedName name="UUU" hidden="1">#REF!</definedName>
    <definedName name="uuuuuu">#REF!</definedName>
    <definedName name="uuuuuuuuuuuuuuuuuuuuuuuuuuuuuuuuuuuuuuuuuuuuuuuuuuuuuuuuuuuuuuuuuuuuuuuuuuuuuuuuuuuuuuuuuuuuuuuuuuuuuu">#REF!</definedName>
    <definedName name="U행">#REF!</definedName>
    <definedName name="V">#REF!</definedName>
    <definedName name="variance">#REF!</definedName>
    <definedName name="vat_at_aquisition">#REF!</definedName>
    <definedName name="vatloan">#REF!</definedName>
    <definedName name="vbn" hidden="1">{#N/A,#N/A,TRUE,"Assumptions";#N/A,#N/A,TRUE,"Sources of Revenue";#N/A,#N/A,TRUE,"P&amp;L";#N/A,#N/A,TRUE,"Bal. Sheet";#N/A,#N/A,TRUE,"Rights Issue &amp; X Adjustment";#N/A,#N/A,TRUE,"Transaction Model"}</definedName>
    <definedName name="vds" hidden="1">{"'買掛金'!$J$6"}</definedName>
    <definedName name="VDSAG" hidden="1">{#N/A,#N/A,TRUE,"일정"}</definedName>
    <definedName name="vfdf" hidden="1">{#N/A,#N/A,TRUE,"Assumptions";#N/A,#N/A,TRUE,"Sources of Revenue";#N/A,#N/A,TRUE,"P&amp;L";#N/A,#N/A,TRUE,"Bal. Sheet";#N/A,#N/A,TRUE,"Rights Issue &amp; X Adjustment";#N/A,#N/A,TRUE,"Transaction Model"}</definedName>
    <definedName name="vips_turnover_rent">#REF!</definedName>
    <definedName name="voc" hidden="1">#REF!</definedName>
    <definedName name="VOCDIDTLR2" hidden="1">#REF!</definedName>
    <definedName name="VSUMCL">#REF!</definedName>
    <definedName name="VT">#REF!</definedName>
    <definedName name="VV">#REF!</definedName>
    <definedName name="VVT">#REF!</definedName>
    <definedName name="vvv" hidden="1">{"'買掛金'!$J$6"}</definedName>
    <definedName name="vvvvv">#REF!</definedName>
    <definedName name="vvvvvvvvvvvvvv">#REF!</definedName>
    <definedName name="vxccx" hidden="1">{"'買掛金'!$J$6"}</definedName>
    <definedName name="V행">#REF!</definedName>
    <definedName name="w" hidden="1">{#N/A,#N/A,FALSE,"Aging Summary";#N/A,#N/A,FALSE,"Ratio Analysis";#N/A,#N/A,FALSE,"Test 120 Day Accts";#N/A,#N/A,FALSE,"Tickmarks"}</definedName>
    <definedName name="W.SHOP">#N/A</definedName>
    <definedName name="warrants">#REF!</definedName>
    <definedName name="warrants1">#REF!</definedName>
    <definedName name="WBS" hidden="1">{#N/A,#N/A,FALSE,"Aging Summary";#N/A,#N/A,FALSE,"Ratio Analysis";#N/A,#N/A,FALSE,"Test 120 Day Accts";#N/A,#N/A,FALSE,"Tickmarks"}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r" hidden="1">{#N/A,#N/A,TRUE,"Assumptions";#N/A,#N/A,TRUE,"Sources of Revenue";#N/A,#N/A,TRUE,"P&amp;L";#N/A,#N/A,TRUE,"Bal. Sheet";#N/A,#N/A,TRUE,"Rights Issue &amp; X Adjustment";#N/A,#N/A,TRUE,"Transaction Model"}</definedName>
    <definedName name="werq">#REF!</definedName>
    <definedName name="wetr" hidden="1">{#N/A,#N/A,TRUE,"Assumptions";#N/A,#N/A,TRUE,"Sources of Revenue";#N/A,#N/A,TRUE,"P&amp;L";#N/A,#N/A,TRUE,"Bal. Sheet";#N/A,#N/A,TRUE,"Rights Issue &amp; X Adjustment";#N/A,#N/A,TRUE,"Transaction Model"}</definedName>
    <definedName name="wetrwet" hidden="1">{#N/A,#N/A,TRUE,"Assumptions";#N/A,#N/A,TRUE,"Sources of Revenue";#N/A,#N/A,TRUE,"P&amp;L";#N/A,#N/A,TRUE,"Bal. Sheet";#N/A,#N/A,TRUE,"Rights Issue &amp; X Adjustment";#N/A,#N/A,TRUE,"Transaction Model"}</definedName>
    <definedName name="WEW">#REF!</definedName>
    <definedName name="white_non_see_thru_solid_ctn_poplin">#REF!</definedName>
    <definedName name="wide_wale_cord">#REF!</definedName>
    <definedName name="widebs">#REF!</definedName>
    <definedName name="Winter" hidden="1">{#N/A,#N/A,FALSE,"95FW"}</definedName>
    <definedName name="wkd" hidden="1">{#N/A,#N/A,FALSE,"3가";#N/A,#N/A,FALSE,"3나";#N/A,#N/A,FALSE,"3다"}</definedName>
    <definedName name="wkgk" hidden="1">{#N/A,#N/A,FALSE,"BS";#N/A,#N/A,FALSE,"PL";#N/A,#N/A,FALSE,"처분";#N/A,#N/A,FALSE,"현금";#N/A,#N/A,FALSE,"매출";#N/A,#N/A,FALSE,"원가";#N/A,#N/A,FALSE,"경영"}</definedName>
    <definedName name="wks">#REF!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ori_Growth_Grate">#REF!</definedName>
    <definedName name="Woori_Growth_rate">#REF!</definedName>
    <definedName name="WORK_COM">#N/A</definedName>
    <definedName name="WPL" hidden="1">{#N/A,#N/A,FALSE,"Aging Summary";#N/A,#N/A,FALSE,"Ratio Analysis";#N/A,#N/A,FALSE,"Test 120 Day Accts";#N/A,#N/A,FALSE,"Tickmarks"}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{#N/A,#N/A,TRUE,"일정"}</definedName>
    <definedName name="wrn.345." hidden="1">{#N/A,#N/A,FALSE,"96 3월물량표";#N/A,#N/A,FALSE,"96 4월물량표";#N/A,#N/A,FALSE,"96 5월물량표"}</definedName>
    <definedName name="wrn.95._.fw._.진행현황." hidden="1">{#N/A,#N/A,FALSE,"95FW"}</definedName>
    <definedName name="wrn.97년._.9월._.임차현황." hidden="1">{#N/A,#N/A,FALSE,"동부"}</definedName>
    <definedName name="wrn.97년._.9월._.임차현황._1" hidden="1">{#N/A,#N/A,FALSE,"동부"}</definedName>
    <definedName name="WRN.AAA." hidden="1">{#N/A,#N/A,FALSE,"단축1";#N/A,#N/A,FALSE,"단축2";#N/A,#N/A,FALSE,"단축3";#N/A,#N/A,FALSE,"장축";#N/A,#N/A,FALSE,"4WD"}</definedName>
    <definedName name="wrn.ACCEL._.PERF." hidden="1">{#N/A,#N/A,FALSE,"입력SHT"}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hidden="1">{#N/A,#N/A,FALSE,"PROG &amp; MARKET";#N/A,#N/A,FALSE,"SUMMARY";#N/A,#N/A,FALSE,"LANDSIDE -DETAIL";#N/A,#N/A,FALSE,"VESSEL"}</definedName>
    <definedName name="wrn.ALL._.METRICS." hidden="1">{#N/A,#N/A,TRUE,"contents";#N/A,#N/A,TRUE,"production";#N/A,#N/A,TRUE,"svcg";#N/A,#N/A,TRUE,"cent_offices";#N/A,#N/A,TRUE,"subs"}</definedName>
    <definedName name="wrn.All._.Sheets." hidden="1">{#N/A,#N/A,TRUE,"Assumptions";#N/A,#N/A,TRUE,"Sources of Revenue";#N/A,#N/A,TRUE,"P&amp;L";#N/A,#N/A,TRUE,"Bal. Sheet";#N/A,#N/A,TRUE,"Rights Issue &amp; X Adjustment";#N/A,#N/A,TRUE,"Transaction Model"}</definedName>
    <definedName name="wrn.ALL._1" hidden="1">{#N/A,#N/A,FALSE,"PROG &amp; MARKET";#N/A,#N/A,FALSE,"SUMMARY";#N/A,#N/A,FALSE,"LANDSIDE -DETAIL";#N/A,#N/A,FALSE,"VESSEL"}</definedName>
    <definedName name="wrn.AnnualRentRoll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_1" hidden="1">{"AnnualRentRoll",#N/A,FALSE,"RentRoll"}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_.Qtr._.Workbook.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bb." hidden="1">{#N/A,#N/A,FALSE,"단축1";#N/A,#N/A,FALSE,"단축2";#N/A,#N/A,FALSE,"단축3";#N/A,#N/A,FALSE,"장축";#N/A,#N/A,FALSE,"4WD"}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udget." hidden="1">{"budget1",#N/A,FALSE,"BUDG.XLS";"budget2",#N/A,FALSE,"BUDG.XLS"}</definedName>
    <definedName name="wrn.budget._1" hidden="1">{"budget1",#N/A,FALSE,"BUDG.XLS";"budget2",#N/A,FALSE,"BUDG.XLS"}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xitAndSalesAssumptions." hidden="1">{#N/A,#N/A,FALSE,"ExitStratigy"}</definedName>
    <definedName name="wrn.ExitAndSalesAssumptions._1" hidden="1">{#N/A,#N/A,FALSE,"ExitStratigy"}</definedName>
    <definedName name="wrn.FULL." hidden="1">{#N/A,#N/A,FALSE,"B"}</definedName>
    <definedName name="wrn.FULL._1" hidden="1">{#N/A,#N/A,FALSE,"B"}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hidden="1">{#N/A,#N/A,FALSE,"LoanAssumptions"}</definedName>
    <definedName name="wrn.LoanInformation._1" hidden="1">{#N/A,#N/A,FALSE,"LoanAssumptions"}</definedName>
    <definedName name="wrn.lodging." hidden="1">{"p",#N/A,FALSE,"Sheet1";"p 2",#N/A,FALSE,"Sheet1";"p 3",#N/A,FALSE,"Sheet1"}</definedName>
    <definedName name="wrn.lodging._1" hidden="1">{"p",#N/A,FALSE,"Sheet1";"p 2",#N/A,FALSE,"Sheet1";"p 3",#N/A,FALSE,"Sheet1"}</definedName>
    <definedName name="wrn.MonthlyRentRoll." hidden="1">{"MonthlyRentRoll",#N/A,FALSE,"RentRoll"}</definedName>
    <definedName name="wrn.MonthlyRentRoll._1" hidden="1">{"MonthlyRentRoll",#N/A,FALSE,"RentRoll"}</definedName>
    <definedName name="wrn.no.1." hidden="1">{#N/A,#N/A,FALSE,"Const";#N/A,#N/A,FALSE,"P&amp;L";#N/A,#N/A,FALSE,"Sale"}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29_1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ratingAssumtions." hidden="1">{#N/A,#N/A,FALSE,"OperatingAssumptions"}</definedName>
    <definedName name="wrn.OperatingAssumtions._1" hidden="1">{#N/A,#N/A,FALSE,"OperatingAssumptions"}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ESENTATION._1" hidden="1">{#N/A,#N/A,FALSE,"SUMMARY SHEET";#N/A,#N/A,FALSE,"VARIANCE REPORT";#N/A,#N/A,FALSE,"CAT1-16 SUMM";#N/A,#N/A,FALSE,"GCS";#N/A,#N/A,FALSE,"FF &amp; E";#N/A,#N/A,FALSE,"DESIGN COSTS"}</definedName>
    <definedName name="wrn.print." hidden="1">{"page1",#N/A,FALSE,"Sheet1";"page2",#N/A,FALSE,"Sheet1"}</definedName>
    <definedName name="wrn.print._1" hidden="1">{"page1",#N/A,FALSE,"Sheet1";"page2",#N/A,FALSE,"Sheet1"}</definedName>
    <definedName name="wrn.PropertyInformation." hidden="1">{#N/A,#N/A,FALSE,"PropertyInfo"}</definedName>
    <definedName name="wrn.PropertyInformation._1" hidden="1">{#N/A,#N/A,FALSE,"PropertyInfo"}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{#N/A,#N/A,FALSE,"Summary"}</definedName>
    <definedName name="wrn.Summary._1" hidden="1">{#N/A,#N/A,FALSE,"Summary"}</definedName>
    <definedName name="wrn.TEST." hidden="1">{#N/A,#N/A,FALSE,"3가";#N/A,#N/A,FALSE,"3나";#N/A,#N/A,FALSE,"3다"}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hidden="1">{#N/A,#N/A,TRUE,"1호 과표세액";#N/A,#N/A,TRUE,"6호 첨부(익)";#N/A,#N/A,TRUE,"6-3호 퇴충";#N/A,#N/A,TRUE,"PL";#N/A,#N/A,TRUE,"BS";#N/A,#N/A,TRUE,"RE";#N/A,#N/A,TRUE,"표지"}</definedName>
    <definedName name="wrn.대차._.대조표." hidden="1">{#N/A,#N/A,TRUE,"대 차 대 조 표"}</definedName>
    <definedName name="wrn.대차._.대조표._1" hidden="1">{#N/A,#N/A,TRUE,"대 차 대 조 표"}</definedName>
    <definedName name="wrn.보고서." hidden="1">{#N/A,#N/A,FALSE,"Sheet1";#N/A,#N/A,FALSE,"기평9607"}</definedName>
    <definedName name="wrn.보고서._1" hidden="1">{#N/A,#N/A,FALSE,"Sheet1";#N/A,#N/A,FALSE,"기평9607"}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사업계획." hidden="1">{#N/A,#N/A,FALSE,"SILO현황";#N/A,#N/A,FALSE,"타업체";#N/A,#N/A,FALSE,"생산능력"}</definedName>
    <definedName name="wrn.사업계획서." hidden="1">{#N/A,#N/A,FALSE,"표지";#N/A,#N/A,FALSE,"목차";#N/A,#N/A,FALSE,"사업개요";#N/A,#N/A,FALSE,"수급전망";#N/A,#N/A,FALSE,"기간연장";#N/A,#N/A,FALSE,"선박운항계획";#N/A,#N/A,FALSE,"채산성"}</definedName>
    <definedName name="wrn.선박도입._.채산성." hidden="1">{#N/A,#N/A,FALSE,"채산3501.XLS";#N/A,#N/A,FALSE,"신조수A.XLS";#N/A,#N/A,FALSE,"신조수b.XLS";#N/A,#N/A,FALSE,"채산3502.XLS";#N/A,#N/A,FALSE,"신조원리.XLS";#N/A,#N/A,FALSE,"신조감가.XLS"}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월추정." hidden="1">{#N/A,#N/A,FALSE,"월추정감가상각비";#N/A,#N/A,FALSE,"main_prog"}</definedName>
    <definedName name="wrn.유형자산." hidden="1">{#N/A,#N/A,FALSE,"Sheet1"}</definedName>
    <definedName name="wrn.이력서._.자기소개서." hidden="1">{#N/A,#N/A,FALSE,"이력서&amp;자기소개서"}</definedName>
    <definedName name="wrn.이력서._.자기소개서._1" hidden="1">{#N/A,#N/A,FALSE,"이력서&amp;자기소개서"}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전부인쇄." hidden="1">{#N/A,#N/A,FALSE,"단축1";#N/A,#N/A,FALSE,"단축2";#N/A,#N/A,FALSE,"단축3";#N/A,#N/A,FALSE,"장축";#N/A,#N/A,FALSE,"4WD"}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간._.보고." hidden="1">{#N/A,#N/A,TRUE,"일정"}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hidden="1">{#N/A,#N/A,FALSE,"채권채무";#N/A,#N/A,FALSE,"control sheet"}</definedName>
    <definedName name="wrn.통신지." hidden="1">{#N/A,#N/A,FALSE,"기안지";#N/A,#N/A,FALSE,"통신지"}</definedName>
    <definedName name="wrn.포장단가." hidden="1">{#N/A,#N/A,FALSE,"포장단가"}</definedName>
    <definedName name="wrn.포항강판." hidden="1">{"현수",#N/A,FALSE,"월추정감가상각비"}</definedName>
    <definedName name="wrn.현대정공구매현황." hidden="1">{#N/A,#N/A,FALSE,"정공"}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w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W" hidden="1">{"'호선별현황(방식)'!$K$22:$P$22","'호선별현황(방식)'!$K$22:$P$22"}</definedName>
    <definedName name="wwwwww" hidden="1">{"'호선별현황(방식)'!$K$22:$P$22","'호선별현황(방식)'!$K$22:$P$22"}</definedName>
    <definedName name="wwwwwwww">#REF!</definedName>
    <definedName name="wwwwwwwwwwwww">#REF!</definedName>
    <definedName name="wwwwwwwwwwwwwwwwww">#REF!</definedName>
    <definedName name="W행">#REF!</definedName>
    <definedName name="W행1">#N/A</definedName>
    <definedName name="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9802장판원본_원본_List">#REF!</definedName>
    <definedName name="XG액션">#REF!</definedName>
    <definedName name="XIII._당기순이익">#REF!</definedName>
    <definedName name="XL">#REF!</definedName>
    <definedName name="XOUT">#REF!</definedName>
    <definedName name="XREF_COLUMN_1" hidden="1">#REF!</definedName>
    <definedName name="XREF_COLUMN_10" hidden="1">#REF!</definedName>
    <definedName name="XREF_COLUMN_11" hidden="1">#REF!</definedName>
    <definedName name="XREF_COLUMN_110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7" hidden="1">#REF!</definedName>
    <definedName name="XREF_COLUMN_89" hidden="1">#REF!</definedName>
    <definedName name="XREF_COLUMN_9" hidden="1">#REF!</definedName>
    <definedName name="XREF_COLUMN_91" hidden="1">#REF!</definedName>
    <definedName name="XREF_COLUMN_93" hidden="1">#REF!</definedName>
    <definedName name="XREF_COLUMN_95" hidden="1">#REF!</definedName>
    <definedName name="XREF_COLUMN_97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0" hidden="1">#REF!</definedName>
    <definedName name="XRefCopy101" hidden="1">#REF!</definedName>
    <definedName name="XRefCopy102" hidden="1">#REF!</definedName>
    <definedName name="XRefCopy103" hidden="1">#REF!</definedName>
    <definedName name="XRefCopy104" hidden="1">#REF!</definedName>
    <definedName name="XRefCopy10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1" hidden="1">#REF!</definedName>
    <definedName name="XRefCopy52" hidden="1">#REF!</definedName>
    <definedName name="XRefCopy53" hidden="1">#REF!</definedName>
    <definedName name="XRefCopy54" hidden="1">#REF!</definedName>
    <definedName name="XRefCopy55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3" hidden="1">#REF!</definedName>
    <definedName name="XRefCopy94" hidden="1">#REF!</definedName>
    <definedName name="XRefCopy95" hidden="1">#REF!</definedName>
    <definedName name="XRefCopy96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Row" hidden="1">#REF!</definedName>
    <definedName name="XRefPaste11Row" hidden="1">#REF!</definedName>
    <definedName name="XRefPaste12" hidden="1">#REF!</definedName>
    <definedName name="XRefPaste120Row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#REF!</definedName>
    <definedName name="XRefPaste13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9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2" hidden="1">#REF!</definedName>
    <definedName name="XRefPaste18Row" hidden="1">#REF!</definedName>
    <definedName name="XRefPaste19" hidden="1">#REF!</definedName>
    <definedName name="XRefPaste192Row" hidden="1">#REF!</definedName>
    <definedName name="XRefPaste198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" hidden="1">#REF!</definedName>
    <definedName name="XRefPaste200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Row" hidden="1">#REF!</definedName>
    <definedName name="XRefPaste234Row" hidden="1">#REF!</definedName>
    <definedName name="XRefPaste235" hidden="1">#REF!</definedName>
    <definedName name="XRefPaste235Row" hidden="1">#REF!</definedName>
    <definedName name="XRefPaste237Row" hidden="1">#REF!</definedName>
    <definedName name="XRefPaste238Row" hidden="1">#REF!</definedName>
    <definedName name="XRefPaste239Row" hidden="1">#REF!</definedName>
    <definedName name="XRefPaste23Row" hidden="1">#REF!</definedName>
    <definedName name="XRefPaste24" hidden="1">#REF!</definedName>
    <definedName name="XRefPaste240Row" hidden="1">#REF!</definedName>
    <definedName name="XRefPaste241Row" hidden="1">#REF!</definedName>
    <definedName name="XRefPaste242Row" hidden="1">#REF!</definedName>
    <definedName name="XRefPaste243Row" hidden="1">#REF!</definedName>
    <definedName name="XRefPaste244Row" hidden="1">#REF!</definedName>
    <definedName name="XRefPaste245Row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4</definedName>
    <definedName name="xx">#REF!</definedName>
    <definedName name="xxx" hidden="1">#REF!</definedName>
    <definedName name="xxxxxxx">#REF!</definedName>
    <definedName name="xxxxxxxxxx">#REF!</definedName>
    <definedName name="xxxxxxxxxxxxx">#REF!</definedName>
    <definedName name="xxxxxxxxxxxxxxxxxxxxxxxxxxxxxxxxxxxxxxxxxxxxxxxxxxxxxxxxxxxxxxxxxxxxxxxx">#REF!</definedName>
    <definedName name="X행">#REF!</definedName>
    <definedName name="Y">#REF!</definedName>
    <definedName name="ya" hidden="1">{#N/A,#N/A,FALSE,"Aging Summary";#N/A,#N/A,FALSE,"Ratio Analysis";#N/A,#N/A,FALSE,"Test 120 Day Accts";#N/A,#N/A,FALSE,"Tickmarks"}</definedName>
    <definedName name="Year">#REF!</definedName>
    <definedName name="Year_To_WesternStyle">#REF!</definedName>
    <definedName name="YEAREND">#REF!</definedName>
    <definedName name="YEARS">#REF!</definedName>
    <definedName name="YEN">#REF!</definedName>
    <definedName name="YEON">#REF!</definedName>
    <definedName name="yh" hidden="1">{#N/A,#N/A,FALSE,"Aging Summary";#N/A,#N/A,FALSE,"Ratio Analysis";#N/A,#N/A,FALSE,"Test 120 Day Accts";#N/A,#N/A,FALSE,"Tickmarks"}</definedName>
    <definedName name="YM">#REF!</definedName>
    <definedName name="YN">#REF!</definedName>
    <definedName name="Yr_1_Rent_Growth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TD">#REF!</definedName>
    <definedName name="YTD1">#REF!</definedName>
    <definedName name="YTD2">#REF!</definedName>
    <definedName name="yuioyuoiio" hidden="1">{#N/A,#N/A,TRUE,"Assumptions";#N/A,#N/A,TRUE,"Sources of Revenue";#N/A,#N/A,TRUE,"P&amp;L";#N/A,#N/A,TRUE,"Bal. Sheet";#N/A,#N/A,TRUE,"Rights Issue &amp; X Adjustment";#N/A,#N/A,TRUE,"Transaction Model"}</definedName>
    <definedName name="YUIY" hidden="1">{#N/A,#N/A,TRUE,"Assumptions";#N/A,#N/A,TRUE,"Sources of Revenue";#N/A,#N/A,TRUE,"P&amp;L";#N/A,#N/A,TRUE,"Bal. Sheet";#N/A,#N/A,TRUE,"Rights Issue &amp; X Adjustment";#N/A,#N/A,TRUE,"Transaction Model"}</definedName>
    <definedName name="YUYU">#REF!</definedName>
    <definedName name="yy">#REF!</definedName>
    <definedName name="YYY" hidden="1">{#N/A,#N/A,TRUE,"Y생산";#N/A,#N/A,TRUE,"Y판매";#N/A,#N/A,TRUE,"Y총물량";#N/A,#N/A,TRUE,"Y능력";#N/A,#N/A,TRUE,"YKD"}</definedName>
    <definedName name="yyyyyyyy">#REF!</definedName>
    <definedName name="YYYYYYYYY">#REF!</definedName>
    <definedName name="yyyyyyyyyy">#REF!</definedName>
    <definedName name="yyyyyyyyyyy">#REF!</definedName>
    <definedName name="yyyyyyyyyyyy">#REF!</definedName>
    <definedName name="yyyyyyyyyyyyyy">#REF!</definedName>
    <definedName name="yyyyyyyyyyyyyyy">#REF!</definedName>
    <definedName name="yyyyyyyyyyyyyyyy">#REF!</definedName>
    <definedName name="yyyyyyyyyyyyyyyyyy">#REF!</definedName>
    <definedName name="YYYYYYYYYYYYYYYYYYYYYYYYYYYYYYYYYYYYYYYYYYYYYYYYYYYYYYYYYYYYYYYYYYYYYYYYYYYYY">#REF!</definedName>
    <definedName name="Y부서">#REF!</definedName>
    <definedName name="Z">#REF!</definedName>
    <definedName name="Z_A5716FB3_058D_11D5_BFEC_0050BF418CB9_.wvu.FilterData" hidden="1">#REF!</definedName>
    <definedName name="Zace">#REF!</definedName>
    <definedName name="zcv" hidden="1">0</definedName>
    <definedName name="ZEI">#REF!</definedName>
    <definedName name="ZIP">#N/A</definedName>
    <definedName name="zsdf" hidden="1">{#N/A,#N/A,TRUE,"Assumptions";#N/A,#N/A,TRUE,"Sources of Revenue";#N/A,#N/A,TRUE,"P&amp;L";#N/A,#N/A,TRUE,"Bal. Sheet";#N/A,#N/A,TRUE,"Rights Issue &amp; X Adjustment";#N/A,#N/A,TRUE,"Transaction Model"}</definedName>
    <definedName name="ZZ">#REF!</definedName>
    <definedName name="zzb" hidden="1">#REF!</definedName>
    <definedName name="ZZZ" hidden="1">{#N/A,#N/A,FALSE,"Aging Summary";#N/A,#N/A,FALSE,"Ratio Analysis";#N/A,#N/A,FALSE,"Test 120 Day Accts";#N/A,#N/A,FALSE,"Tickmarks"}</definedName>
    <definedName name="ZZZZ" hidden="1">#REF!</definedName>
    <definedName name="zzzzzzzz">#REF!</definedName>
    <definedName name="zzzzzzzzz">#REF!</definedName>
    <definedName name="zzzzzzzzzzzzzz">#REF!</definedName>
    <definedName name="Z횴LER">#REF!</definedName>
    <definedName name="Z횴LER간">#REF!</definedName>
    <definedName name="α">#REF!</definedName>
    <definedName name="β">#REF!</definedName>
    <definedName name="γ">#REF!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ﾃﾞｰﾀ１番目枠">#REF!,#REF!,#REF!</definedName>
    <definedName name="ﾃﾞｰﾀ２番目枠">#REF!,#REF!,#REF!</definedName>
    <definedName name="ﾃﾞｰﾀ３番目枠">#REF!,#REF!,#REF!</definedName>
    <definedName name="ﾃﾞｰﾀ４番目枠">#REF!,#REF!,#REF!</definedName>
    <definedName name="テスト" hidden="1">{"'買掛金'!$J$6"}</definedName>
    <definedName name="ז">#REF!</definedName>
    <definedName name="ח">#REF!</definedName>
    <definedName name="מדד_חודש_97__9">"a"</definedName>
    <definedName name="מקדם">#REF!</definedName>
    <definedName name="ㄱ">#REF!</definedName>
    <definedName name="ㄱㄱ">#REF!</definedName>
    <definedName name="ㄱㄱㄱ">#REF!</definedName>
    <definedName name="ㄱㄱㄳㅎ">#REF!</definedName>
    <definedName name="ㄱㄴㄷ" hidden="1">{#N/A,#N/A,FALSE,"BS";#N/A,#N/A,FALSE,"PL";#N/A,#N/A,FALSE,"처분";#N/A,#N/A,FALSE,"현금";#N/A,#N/A,FALSE,"매출";#N/A,#N/A,FALSE,"원가";#N/A,#N/A,FALSE,"경영"}</definedName>
    <definedName name="ㄱㄷㄱㄱ" hidden="1">{#N/A,#N/A,TRUE,"일정"}</definedName>
    <definedName name="ㄱㅇ" hidden="1">{#N/A,#N/A,FALSE,"단축1";#N/A,#N/A,FALSE,"단축2";#N/A,#N/A,FALSE,"단축3";#N/A,#N/A,FALSE,"장축";#N/A,#N/A,FALSE,"4WD"}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>#REF!</definedName>
    <definedName name="가1" hidden="1">{#N/A,#N/A,TRUE,"Y생산";#N/A,#N/A,TRUE,"Y판매";#N/A,#N/A,TRUE,"Y총물량";#N/A,#N/A,TRUE,"Y능력";#N/A,#N/A,TRUE,"YKD"}</definedName>
    <definedName name="가10층">#REF!</definedName>
    <definedName name="가11층">#REF!</definedName>
    <definedName name="가12층">#REF!</definedName>
    <definedName name="가13층">#REF!</definedName>
    <definedName name="가14층">#REF!</definedName>
    <definedName name="가15층">#REF!</definedName>
    <definedName name="가16층">#REF!</definedName>
    <definedName name="가17층">#REF!</definedName>
    <definedName name="가18층">#REF!</definedName>
    <definedName name="가19층">#REF!</definedName>
    <definedName name="가20층">#REF!</definedName>
    <definedName name="가21층">#REF!</definedName>
    <definedName name="가22층">#REF!</definedName>
    <definedName name="가23층">#REF!</definedName>
    <definedName name="가24층">#REF!</definedName>
    <definedName name="가25층">#REF!</definedName>
    <definedName name="가2층">#REF!</definedName>
    <definedName name="가3층">#REF!</definedName>
    <definedName name="가4층">#REF!</definedName>
    <definedName name="가5층">#REF!</definedName>
    <definedName name="가6층">#REF!</definedName>
    <definedName name="가7층">#REF!</definedName>
    <definedName name="가8층">#REF!</definedName>
    <definedName name="가9층">#REF!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격">#REF!</definedName>
    <definedName name="가공비">#REF!</definedName>
    <definedName name="가나">#REF!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스로">#REF!</definedName>
    <definedName name="가스료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을" hidden="1">{#N/A,#N/A,FALSE,"95FW"}</definedName>
    <definedName name="가전">#REF!</definedName>
    <definedName name="가족">#REF!</definedName>
    <definedName name="가중평균">#REF!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간접">#REF!</definedName>
    <definedName name="간지목록">#REF!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overall" hidden="1">{#N/A,#N/A,FALSE,"Aging Summary";#N/A,#N/A,FALSE,"Ratio Analysis";#N/A,#N/A,FALSE,"Test 120 Day Accts";#N/A,#N/A,FALSE,"Tickmarks"}</definedName>
    <definedName name="감가상각">#REF!</definedName>
    <definedName name="감가상각비">#REF!</definedName>
    <definedName name="감가상각비2" hidden="1">{#N/A,#N/A,FALSE,"Aging Summary";#N/A,#N/A,FALSE,"Ratio Analysis";#N/A,#N/A,FALSE,"Test 120 Day Accts";#N/A,#N/A,FALSE,"Tickmarks"}</definedName>
    <definedName name="감사" hidden="1">{#N/A,#N/A,FALSE,"채산3501.XLS";#N/A,#N/A,FALSE,"신조수A.XLS";#N/A,#N/A,FALSE,"신조수b.XLS";#N/A,#N/A,FALSE,"채산3502.XLS";#N/A,#N/A,FALSE,"신조원리.XLS";#N/A,#N/A,FALSE,"신조감가.XLS"}</definedName>
    <definedName name="감우">#REF!</definedName>
    <definedName name="감원검토2" localSheetId="0">BlankMacro1</definedName>
    <definedName name="감원검토2">BlankMacro1</definedName>
    <definedName name="갑측정산">#REF!</definedName>
    <definedName name="강">#REF!</definedName>
    <definedName name="강동곤">#REF!</definedName>
    <definedName name="강선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숙현">#REF!</definedName>
    <definedName name="강용" hidden="1">{"'Sheet1'!$A$1:$H$36"}</definedName>
    <definedName name="강용혁" hidden="1">#N/A</definedName>
    <definedName name="강태혁" hidden="1">#N/A</definedName>
    <definedName name="개발인정">"Picture 49"</definedName>
    <definedName name="개발일정" hidden="1">{#N/A,#N/A,FALSE,"신규dep";#N/A,#N/A,FALSE,"신규dep-금형상각후";#N/A,#N/A,FALSE,"신규dep-연구비상각후";#N/A,#N/A,FALSE,"신규dep-기계,공구상각후"}</definedName>
    <definedName name="개발차종">#N/A</definedName>
    <definedName name="개선">#REF!</definedName>
    <definedName name="개선1">#REF!</definedName>
    <definedName name="개선2">#REF!</definedName>
    <definedName name="개선내용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개선절감">#REF!</definedName>
    <definedName name="갱신임료수준">#REF!</definedName>
    <definedName name="갸">#REF!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래조건10월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1">#REF!</definedName>
    <definedName name="건10">#REF!</definedName>
    <definedName name="건11">#REF!</definedName>
    <definedName name="건12">#REF!</definedName>
    <definedName name="건2">#REF!</definedName>
    <definedName name="건3">#REF!</definedName>
    <definedName name="건4">#REF!</definedName>
    <definedName name="건5">#REF!</definedName>
    <definedName name="건6">#REF!</definedName>
    <definedName name="건7">#REF!</definedName>
    <definedName name="건8">#REF!</definedName>
    <definedName name="건9">#REF!</definedName>
    <definedName name="건강10월">#REF!</definedName>
    <definedName name="건강11월">#REF!</definedName>
    <definedName name="건강12월">#REF!</definedName>
    <definedName name="건강3월">#REF!</definedName>
    <definedName name="건강4월">#REF!</definedName>
    <definedName name="건강5월">#REF!</definedName>
    <definedName name="건강6월">#REF!</definedName>
    <definedName name="건강7월">#REF!</definedName>
    <definedName name="건강8월">#REF!</definedName>
    <definedName name="건강9월">#REF!</definedName>
    <definedName name="건물">#REF!</definedName>
    <definedName name="건물2">#REF!</definedName>
    <definedName name="건설팀" hidden="1">{#N/A,#N/A,TRUE,"Y생산";#N/A,#N/A,TRUE,"Y판매";#N/A,#N/A,TRUE,"Y총물량";#N/A,#N/A,TRUE,"Y능력";#N/A,#N/A,TRUE,"YKD"}</definedName>
    <definedName name="건설팀_1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검사">#REF!</definedName>
    <definedName name="검사대기">#REF!</definedName>
    <definedName name="검사취소">#REF!</definedName>
    <definedName name="검증순서">#REF!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list3" hidden="1">{#N/A,#N/A,FALSE,"단축1";#N/A,#N/A,FALSE,"단축2";#N/A,#N/A,FALSE,"단축3";#N/A,#N/A,FALSE,"장축";#N/A,#N/A,FALSE,"4WD"}</definedName>
    <definedName name="결론">#REF!</definedName>
    <definedName name="결손금">#REF!</definedName>
    <definedName name="경로" hidden="1">{#N/A,#N/A,TRUE,"Y생산";#N/A,#N/A,TRUE,"Y판매";#N/A,#N/A,TRUE,"Y총물량";#N/A,#N/A,TRUE,"Y능력";#N/A,#N/A,TRUE,"YKD"}</definedName>
    <definedName name="경비">#REF!</definedName>
    <definedName name="경비.본">#REF!</definedName>
    <definedName name="경비1" hidden="1">#REF!</definedName>
    <definedName name="경비2" hidden="1">#REF!</definedName>
    <definedName name="경비출납">#REF!</definedName>
    <definedName name="경영계획">#REF!</definedName>
    <definedName name="경영전망" hidden="1">0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서" hidden="1">{#N/A,#N/A,FALSE,"BS";#N/A,#N/A,FALSE,"PL";#N/A,#N/A,FALSE,"처분";#N/A,#N/A,FALSE,"현금";#N/A,#N/A,FALSE,"매출";#N/A,#N/A,FALSE,"원가";#N/A,#N/A,FALSE,"경영"}</definedName>
    <definedName name="계상산">#REF!</definedName>
    <definedName name="계속" hidden="1">{#N/A,#N/A,FALSE,"1.CRITERIA";#N/A,#N/A,FALSE,"2.IS";#N/A,#N/A,FALSE,"3.BS";#N/A,#N/A,FALSE,"4.PER PL";#N/A,#N/A,FALSE,"5.INVESTMENT";#N/A,#N/A,FALSE,"6.공문";#N/A,#N/A,FALSE,"7.netinvest"}</definedName>
    <definedName name="계승산">#REF!</definedName>
    <definedName name="계약91">#REF!</definedName>
    <definedName name="계전산">#REF!</definedName>
    <definedName name="계정과목">#REF!</definedName>
    <definedName name="계정과정행높이조절">#REF!,#REF!,#REF!,#REF!,#REF!,#REF!,#REF!,#REF!</definedName>
    <definedName name="계정종합표" hidden="1">{#N/A,#N/A,TRUE,"Y생산";#N/A,#N/A,TRUE,"Y판매";#N/A,#N/A,TRUE,"Y총물량";#N/A,#N/A,TRUE,"Y능력";#N/A,#N/A,TRUE,"YKD"}</definedName>
    <definedName name="계좌">#REF!</definedName>
    <definedName name="계획">#REF!</definedName>
    <definedName name="계획2">#REF!</definedName>
    <definedName name="고">#REF!</definedName>
    <definedName name="고1">#REF!</definedName>
    <definedName name="고10">#REF!</definedName>
    <definedName name="고11">#REF!</definedName>
    <definedName name="고12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고7">#REF!</definedName>
    <definedName name="고8">#REF!</definedName>
    <definedName name="고9">#REF!</definedName>
    <definedName name="고용10월">#REF!</definedName>
    <definedName name="고용11월">#REF!</definedName>
    <definedName name="고용12월">#REF!</definedName>
    <definedName name="고용3월">#REF!</definedName>
    <definedName name="고용4월">#REF!</definedName>
    <definedName name="고용5월">#REF!</definedName>
    <definedName name="고용6월">#REF!</definedName>
    <definedName name="고용7월">#REF!</definedName>
    <definedName name="고용8월">#REF!</definedName>
    <definedName name="고용9월">#REF!</definedName>
    <definedName name="고정비">#REF!</definedName>
    <definedName name="고처분">#REF!</definedName>
    <definedName name="골라인쇄">#REF!</definedName>
    <definedName name="공급가">OFFSET(#REF!,0,0,COUNTA(#REF!)-1)</definedName>
    <definedName name="공기">#REF!</definedName>
    <definedName name="공무4" hidden="1">{#N/A,#N/A,FALSE,"채산3501.XLS";#N/A,#N/A,FALSE,"신조수A.XLS";#N/A,#N/A,FALSE,"신조수b.XLS";#N/A,#N/A,FALSE,"채산3502.XLS";#N/A,#N/A,FALSE,"신조원리.XLS";#N/A,#N/A,FALSE,"신조감가.XLS"}</definedName>
    <definedName name="공무팀4" hidden="1">{#N/A,#N/A,FALSE,"채산3501.XLS";#N/A,#N/A,FALSE,"신조수A.XLS";#N/A,#N/A,FALSE,"신조수b.XLS";#N/A,#N/A,FALSE,"채산3502.XLS";#N/A,#N/A,FALSE,"신조원리.XLS";#N/A,#N/A,FALSE,"신조감가.XLS"}</definedName>
    <definedName name="공문" hidden="1">#REF!</definedName>
    <definedName name="공수">#REF!</definedName>
    <definedName name="공식">#REF!</definedName>
    <definedName name="공실률">#REF!+(#REF!-#REF!)</definedName>
    <definedName name="공장별">#REF!</definedName>
    <definedName name="공정">#REF!</definedName>
    <definedName name="공조">#REF!</definedName>
    <definedName name="공종">#N/A</definedName>
    <definedName name="공종보기">#N/A</definedName>
    <definedName name="공종보기2">#N/A</definedName>
    <definedName name="공ㅌ오" hidden="1">{#N/A,#N/A,TRUE,"Y생산";#N/A,#N/A,TRUE,"Y판매";#N/A,#N/A,TRUE,"Y총물량";#N/A,#N/A,TRUE,"Y능력";#N/A,#N/A,TRUE,"YKD"}</definedName>
    <definedName name="공통2">#REF!</definedName>
    <definedName name="공통경비">#REF!</definedName>
    <definedName name="과목세목현황" hidden="1">{#N/A,#N/A,TRUE,"Y생산";#N/A,#N/A,TRUE,"Y판매";#N/A,#N/A,TRUE,"Y총물량";#N/A,#N/A,TRUE,"Y능력";#N/A,#N/A,TRUE,"YKD"}</definedName>
    <definedName name="과별분배">#REF!</definedName>
    <definedName name="과운영" hidden="1">{"'호선별현황(방식)'!$K$22:$P$22","'호선별현황(방식)'!$K$22:$P$22"}</definedName>
    <definedName name="관리" hidden="1">#REF!</definedName>
    <definedName name="관리07년">#REF!</definedName>
    <definedName name="管理番号ﾘｽﾄ">#REF!</definedName>
    <definedName name="관리비">#REF!</definedName>
    <definedName name="관리선4월" hidden="1">{#N/A,#N/A,FALSE,"채산3501.XLS";#N/A,#N/A,FALSE,"신조수A.XLS";#N/A,#N/A,FALSE,"신조수b.XLS";#N/A,#N/A,FALSE,"채산3502.XLS";#N/A,#N/A,FALSE,"신조원리.XLS";#N/A,#N/A,FALSE,"신조감가.XLS"}</definedName>
    <definedName name="관리지표2" hidden="1">{#N/A,#N/A,TRUE,"Y생산";#N/A,#N/A,TRUE,"Y판매";#N/A,#N/A,TRUE,"Y총물량";#N/A,#N/A,TRUE,"Y능력";#N/A,#N/A,TRUE,"YKD"}</definedName>
    <definedName name="관세">#REF!</definedName>
    <definedName name="광">#REF!</definedName>
    <definedName name="광명정산">#REF!</definedName>
    <definedName name="광주9월1">#REF!</definedName>
    <definedName name="교체">#REF!</definedName>
    <definedName name="교체1">#REF!</definedName>
    <definedName name="교체2">#REF!</definedName>
    <definedName name="교체4">#REF!</definedName>
    <definedName name="교환2001견적">#REF!</definedName>
    <definedName name="교환비교">#REF!</definedName>
    <definedName name="굑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구__매___사__용">#REF!</definedName>
    <definedName name="구매보고">#REF!</definedName>
    <definedName name="구매부품TOT" hidden="1">{#N/A,#N/A,FALSE,"Aging Summary";#N/A,#N/A,FALSE,"Ratio Analysis";#N/A,#N/A,FALSE,"Test 120 Day Accts";#N/A,#N/A,FALSE,"Tickmarks"}</definedName>
    <definedName name="구분">#REF!</definedName>
    <definedName name="구분1">#REF!</definedName>
    <definedName name="구분2">#REF!</definedName>
    <definedName name="구축물">#REF!</definedName>
    <definedName name="구축물2">#REF!</definedName>
    <definedName name="구축본부" hidden="1">{#N/A,#N/A,FALSE,"3가";#N/A,#N/A,FALSE,"3나";#N/A,#N/A,FALSE,"3다"}</definedName>
    <definedName name="구칠건가">#REF!</definedName>
    <definedName name="구칠금형">#REF!</definedName>
    <definedName name="구ㅏㅇ">#REF!</definedName>
    <definedName name="국_내_매_출">#REF!</definedName>
    <definedName name="국1">#REF!</definedName>
    <definedName name="국10">#REF!</definedName>
    <definedName name="국11">#REF!</definedName>
    <definedName name="국12">#REF!</definedName>
    <definedName name="국2">#REF!</definedName>
    <definedName name="국3">#REF!</definedName>
    <definedName name="국4">#REF!</definedName>
    <definedName name="국5">#REF!</definedName>
    <definedName name="국6">#REF!</definedName>
    <definedName name="국7">#REF!</definedName>
    <definedName name="국8">#REF!</definedName>
    <definedName name="국9">#REF!</definedName>
    <definedName name="국가">#REF!</definedName>
    <definedName name="국가명">#REF!</definedName>
    <definedName name="국내">#REF!</definedName>
    <definedName name="국내2">#REF!</definedName>
    <definedName name="국내abs">#REF!</definedName>
    <definedName name="국내판권합계">#REF!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민10월">#REF!</definedName>
    <definedName name="국민11월">#REF!</definedName>
    <definedName name="국민12월">#REF!</definedName>
    <definedName name="국민3월">#REF!</definedName>
    <definedName name="국민4월">#REF!</definedName>
    <definedName name="국민5월">#REF!</definedName>
    <definedName name="국민6월">#REF!</definedName>
    <definedName name="국민7월">#REF!</definedName>
    <definedName name="국민8월">#REF!</definedName>
    <definedName name="국민9월">#REF!</definedName>
    <definedName name="국산화1" hidden="1">#REF!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군">#REF!</definedName>
    <definedName name="군매출">#REF!</definedName>
    <definedName name="군바지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권">#N/A</definedName>
    <definedName name="권종원">#N/A</definedName>
    <definedName name="귀속">#REF!</definedName>
    <definedName name="귀속2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것">#REF!</definedName>
    <definedName name="그냥">#REF!</definedName>
    <definedName name="그대로">#REF!</definedName>
    <definedName name="그림선이">#REF!</definedName>
    <definedName name="그림참고">#REF!</definedName>
    <definedName name="그사람" hidden="1">{#N/A,#N/A,FALSE,"1.CRITERIA";#N/A,#N/A,FALSE,"2.IS";#N/A,#N/A,FALSE,"3.BS";#N/A,#N/A,FALSE,"4.PER PL";#N/A,#N/A,FALSE,"5.INVESTMENT";#N/A,#N/A,FALSE,"6.공문";#N/A,#N/A,FALSE,"7.netinvest"}</definedName>
    <definedName name="극본료합계">#REF!</definedName>
    <definedName name="근거2" hidden="1">{#N/A,#N/A,FALSE,"단축1";#N/A,#N/A,FALSE,"단축2";#N/A,#N/A,FALSE,"단축3";#N/A,#N/A,FALSE,"장축";#N/A,#N/A,FALSE,"4WD"}</definedName>
    <definedName name="근무표">#REF!</definedName>
    <definedName name="근본">#REF!</definedName>
    <definedName name="근태현황_98본사_중원_9월__List">#REF!</definedName>
    <definedName name="금리1">#REF!</definedName>
    <definedName name="금액">#N/A</definedName>
    <definedName name="금월" hidden="1">{#N/A,#N/A,TRUE,"Y생산";#N/A,#N/A,TRUE,"Y판매";#N/A,#N/A,TRUE,"Y총물량";#N/A,#N/A,TRUE,"Y능력";#N/A,#N/A,TRUE,"YKD"}</definedName>
    <definedName name="금월요금1">ROUND(사용량1-사용량1*(전월일수-#REF!+1)/전월일수,0)*사용요금11</definedName>
    <definedName name="금월요금2">ROUND(사용량2-사용량2*(전월일수-#REF!+1)/전월일수,0)*사용요금21</definedName>
    <definedName name="금월요금3">#N/A</definedName>
    <definedName name="금융기관">#REF!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금호기획">#REF!</definedName>
    <definedName name="금호기획량">#REF!</definedName>
    <definedName name="금호요척량">#REF!</definedName>
    <definedName name="금호원불">#REF!</definedName>
    <definedName name="금호정품입고">#REF!</definedName>
    <definedName name="금호취불">#REF!</definedName>
    <definedName name="급1">#REF!</definedName>
    <definedName name="급10">#REF!</definedName>
    <definedName name="급11">#REF!</definedName>
    <definedName name="급12">#REF!</definedName>
    <definedName name="급2">#REF!</definedName>
    <definedName name="급3">#REF!</definedName>
    <definedName name="급4">#REF!</definedName>
    <definedName name="급5">#REF!</definedName>
    <definedName name="급6">#REF!</definedName>
    <definedName name="급7">#REF!</definedName>
    <definedName name="급8">#REF!</definedName>
    <definedName name="급9">#REF!</definedName>
    <definedName name="급료.본">#REF!</definedName>
    <definedName name="급여" hidden="1">#REF!</definedName>
    <definedName name="급여10월">#REF!</definedName>
    <definedName name="급여11월">#REF!</definedName>
    <definedName name="급여12월">#REF!</definedName>
    <definedName name="급여2">#REF!</definedName>
    <definedName name="급여3월">#REF!</definedName>
    <definedName name="급여4월">#REF!</definedName>
    <definedName name="급여5월">#REF!</definedName>
    <definedName name="급여6월">#REF!</definedName>
    <definedName name="급여7월">#REF!</definedName>
    <definedName name="급여8월">#REF!</definedName>
    <definedName name="급여9월">#REF!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1">#REF!</definedName>
    <definedName name="기10">#REF!</definedName>
    <definedName name="기11">#REF!</definedName>
    <definedName name="기12">#REF!</definedName>
    <definedName name="기2">#REF!</definedName>
    <definedName name="기3">#REF!</definedName>
    <definedName name="기4">#REF!</definedName>
    <definedName name="기5">#REF!</definedName>
    <definedName name="기6">#REF!</definedName>
    <definedName name="기7">#REF!</definedName>
    <definedName name="기8">#REF!</definedName>
    <definedName name="기9">#REF!</definedName>
    <definedName name="기간">OFFSET(#REF!,0,0,COUNTA(#REF!)-1)</definedName>
    <definedName name="기계" hidden="1">#REF!</definedName>
    <definedName name="기계업무3">#REF!</definedName>
    <definedName name="기계장치" hidden="1">#N/A</definedName>
    <definedName name="기계장치2">#REF!</definedName>
    <definedName name="기구조직">#REF!</definedName>
    <definedName name="기구조직도">#REF!</definedName>
    <definedName name="기남이가보냄">#REF!</definedName>
    <definedName name="기말">#REF!</definedName>
    <definedName name="기본요금1">VLOOKUP(#REF!,요금,2)</definedName>
    <definedName name="기본요금2">VLOOKUP(#REF!,요금,2)</definedName>
    <definedName name="기본운영계획1" hidden="1">{#N/A,#N/A,FALSE,"채산3501.XLS";#N/A,#N/A,FALSE,"신조수A.XLS";#N/A,#N/A,FALSE,"신조수b.XLS";#N/A,#N/A,FALSE,"채산3502.XLS";#N/A,#N/A,FALSE,"신조원리.XLS";#N/A,#N/A,FALSE,"신조감가.XLS"}</definedName>
    <definedName name="기부금">#REF!</definedName>
    <definedName name="기술개발">#REF!</definedName>
    <definedName name="기술관리부" hidden="1">{"'호선별현황(방식)'!$K$22:$P$22","'호선별현황(방식)'!$K$22:$P$22"}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>#REF!</definedName>
    <definedName name="기안1">#REF!</definedName>
    <definedName name="기안2">#REF!</definedName>
    <definedName name="기안3">#REF!</definedName>
    <definedName name="기안갑">#REF!</definedName>
    <definedName name="기안갑1">#N/A</definedName>
    <definedName name="기안용지">#REF!</definedName>
    <definedName name="기안용지2">#REF!</definedName>
    <definedName name="기안을">#REF!</definedName>
    <definedName name="기안을1">#N/A</definedName>
    <definedName name="기어2" hidden="1">{#N/A,#N/A,FALSE,"단축1";#N/A,#N/A,FALSE,"단축2";#N/A,#N/A,FALSE,"단축3";#N/A,#N/A,FALSE,"장축";#N/A,#N/A,FALSE,"4WD"}</definedName>
    <definedName name="기업자유_5103">#REF!</definedName>
    <definedName name="기존_대출">#REF!</definedName>
    <definedName name="기존_보증금">#REF!</definedName>
    <definedName name="기준">#REF!</definedName>
    <definedName name="기준보증금률">#REF!</definedName>
    <definedName name="기준분석" hidden="1">{"'호선별현황(방식)'!$K$22:$P$22","'호선별현황(방식)'!$K$22:$P$22"}</definedName>
    <definedName name="기준표">#REF!</definedName>
    <definedName name="기타10월">#REF!</definedName>
    <definedName name="기타11월">#REF!</definedName>
    <definedName name="기타12월">#REF!</definedName>
    <definedName name="기타3월">#REF!</definedName>
    <definedName name="기타4월">#REF!</definedName>
    <definedName name="기타5월">#REF!</definedName>
    <definedName name="기타6월">#REF!</definedName>
    <definedName name="기타7월">#REF!</definedName>
    <definedName name="기타8월">#REF!</definedName>
    <definedName name="기타9월">#REF!</definedName>
    <definedName name="기타부채">#REF!</definedName>
    <definedName name="기타합계">#REF!</definedName>
    <definedName name="기표현황">#REF!</definedName>
    <definedName name="기획1">#REF!</definedName>
    <definedName name="기획2">#REF!</definedName>
    <definedName name="기획량">#REF!,#REF!,#REF!,#REF!,#REF!,#REF!,#REF!,#REF!,#REF!,#REF!,#REF!,#REF!,#REF!,#REF!,#REF!</definedName>
    <definedName name="기획료합계">#REF!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hidden="1">{#N/A,#N/A,FALSE,"Aging Summary";#N/A,#N/A,FALSE,"Ratio Analysis";#N/A,#N/A,FALSE,"Test 120 Day Accts";#N/A,#N/A,FALSE,"Tickmarks"}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세일">#N/A</definedName>
    <definedName name="김영우" hidden="1">#N/A</definedName>
    <definedName name="김일">#N/A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희선" hidden="1">#N/A</definedName>
    <definedName name="끝">#REF!</definedName>
    <definedName name="ㄳㄱ" hidden="1">{#N/A,#N/A,FALSE,"Aging Summary";#N/A,#N/A,FALSE,"Ratio Analysis";#N/A,#N/A,FALSE,"Test 120 Day Accts";#N/A,#N/A,FALSE,"Tickmarks"}</definedName>
    <definedName name="ㄴ">#REF!</definedName>
    <definedName name="ㄴ2">#REF!</definedName>
    <definedName name="ㄴㄴ">#REF!</definedName>
    <definedName name="ㄴㄴㄴ">#REF!</definedName>
    <definedName name="ㄴㄴㄴ_1" hidden="1">{#N/A,#N/A,TRUE,"대 차 대 조 표"}</definedName>
    <definedName name="ㄴㄴㄴㄴ" hidden="1">{#N/A,#N/A,FALSE,"단축1";#N/A,#N/A,FALSE,"단축2";#N/A,#N/A,FALSE,"단축3";#N/A,#N/A,FALSE,"장축";#N/A,#N/A,FALSE,"4WD"}</definedName>
    <definedName name="ㄴㄹ">ROUND(사용량2*(ㅂㅈ-#REF!+1)/ㅂㅈ,0)*사용</definedName>
    <definedName name="ㄴㄹㅇ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ㅁㄴ">#REF!</definedName>
    <definedName name="ㄴㅁㅁㄴ" hidden="1">{#N/A,#N/A,FALSE,"표지";#N/A,#N/A,FALSE,"전제";#N/A,#N/A,FALSE,"손익-자 (2)";#N/A,#N/A,FALSE,"손익-자";#N/A,#N/A,FALSE,"손익-마 (2)";#N/A,#N/A,FALSE,"손익-마";#N/A,#N/A,FALSE,"총손최종"}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ㄴ">#REF!</definedName>
    <definedName name="ㄴㅇㄴㅇ">#REF!</definedName>
    <definedName name="ㄴㅇㄴㅇㄴ">#REF!</definedName>
    <definedName name="ㄴㅇㄴㅇㄴㅇㄴ">#REF!</definedName>
    <definedName name="ㄴㅇㄴㅇㄴㅇㄴㅇ">#REF!</definedName>
    <definedName name="ㄴㅇㄴㅇㄴㅇㄴㅇㄴ">#REF!</definedName>
    <definedName name="ㄴㅇㄴㅇㄴㅇㄴㅇㄴㅇ">#REF!</definedName>
    <definedName name="ㄴㅇㄴㅇㄴㅇㄴㅇㄴㅇㄴㅇ">#REF!</definedName>
    <definedName name="ㄴㅇㄴㅊㄷ">#REF!</definedName>
    <definedName name="ㄴㅇㄹ" hidden="1">{#N/A,#N/A,FALSE,"3가";#N/A,#N/A,FALSE,"3나";#N/A,#N/A,FALSE,"3다"}</definedName>
    <definedName name="ㄴㅇㄹㄴㅇㄹ" hidden="1">{#N/A,#N/A,TRUE,"Y생산";#N/A,#N/A,TRUE,"Y판매";#N/A,#N/A,TRUE,"Y총물량";#N/A,#N/A,TRUE,"Y능력";#N/A,#N/A,TRUE,"YKD"}</definedName>
    <definedName name="ㄴㅇㄹㄴㅇㄹ_1" hidden="1">{#N/A,#N/A,TRUE,"Y생산";#N/A,#N/A,TRUE,"Y판매";#N/A,#N/A,TRUE,"Y총물량";#N/A,#N/A,TRUE,"Y능력";#N/A,#N/A,TRUE,"YKD"}</definedName>
    <definedName name="ㄴㅇㄹㄴㅇㄹㄴㅇㄹ" hidden="1">{#N/A,#N/A,TRUE,"Y생산";#N/A,#N/A,TRUE,"Y판매";#N/A,#N/A,TRUE,"Y총물량";#N/A,#N/A,TRUE,"Y능력";#N/A,#N/A,TRUE,"YKD"}</definedName>
    <definedName name="ㄴㅇㄹㄴㅇㄹㄴㅇㄹ_1" hidden="1">{#N/A,#N/A,TRUE,"Y생산";#N/A,#N/A,TRUE,"Y판매";#N/A,#N/A,TRUE,"Y총물량";#N/A,#N/A,TRUE,"Y능력";#N/A,#N/A,TRUE,"YKD"}</definedName>
    <definedName name="ㄴㅇㄻㄴㄹㅇㅁㄴㅇㄻㄴㅇㄻㅇㄴㄻㅇㄴㄻㄴㅇㄻ" hidden="1">{#N/A,#N/A,FALSE,"BS";#N/A,#N/A,FALSE,"PL";#N/A,#N/A,FALSE,"처분";#N/A,#N/A,FALSE,"현금";#N/A,#N/A,FALSE,"매출";#N/A,#N/A,FALSE,"원가";#N/A,#N/A,FALSE,"경영"}</definedName>
    <definedName name="ㄴㅇㅁㄴ">#REF!</definedName>
    <definedName name="ㄴㅇㅇㄴㅇㄴㅇㄴㅇㄴ">#REF!</definedName>
    <definedName name="ㄴㅈㅈㅈㅈ">#REF!</definedName>
    <definedName name="나">#REF!</definedName>
    <definedName name="나나" hidden="1">{#N/A,#N/A,FALSE,"표지";#N/A,#N/A,FALSE,"전제";#N/A,#N/A,FALSE,"손익-자 (2)";#N/A,#N/A,FALSE,"손익-자";#N/A,#N/A,FALSE,"손익-마 (2)";#N/A,#N/A,FALSE,"손익-마";#N/A,#N/A,FALSE,"총손최종"}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>#REF!</definedName>
    <definedName name="나영이">#REF!</definedName>
    <definedName name="낙_관">#REF!</definedName>
    <definedName name="날짜">#REF!</definedName>
    <definedName name="날짜2">#REF!</definedName>
    <definedName name="남미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석">#REF!</definedName>
    <definedName name="남양">#REF!</definedName>
    <definedName name="남채">#REF!</definedName>
    <definedName name="납품보고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영.." hidden="1">{#N/A,#N/A,TRUE,"Y생산";#N/A,#N/A,TRUE,"Y판매";#N/A,#N/A,TRUE,"Y총물량";#N/A,#N/A,TRUE,"Y능력";#N/A,#N/A,TRUE,"YKD"}</definedName>
    <definedName name="내영.._1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내용_1" hidden="1">{#N/A,#N/A,TRUE,"Y생산";#N/A,#N/A,TRUE,"Y판매";#N/A,#N/A,TRUE,"Y총물량";#N/A,#N/A,TRUE,"Y능력";#N/A,#N/A,TRUE,"YKD"}</definedName>
    <definedName name="내용23">#REF!</definedName>
    <definedName name="내용연수">#REF!</definedName>
    <definedName name="내용연수2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임료상승률">#REF!</definedName>
    <definedName name="년도">#REF!</definedName>
    <definedName name="년도__실적추정은_건설이자_미포">#REF!</definedName>
    <definedName name="년도별예산추정" localSheetId="0">BlankMacro1</definedName>
    <definedName name="년도별예산추정">BlankMacro1</definedName>
    <definedName name="년도실적추정">#REF!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계산">#REF!</definedName>
    <definedName name="누계" hidden="1">{#N/A,#N/A,FALSE,"채산3501.XLS";#N/A,#N/A,FALSE,"신조수A.XLS";#N/A,#N/A,FALSE,"신조수b.XLS";#N/A,#N/A,FALSE,"채산3502.XLS";#N/A,#N/A,FALSE,"신조원리.XLS";#N/A,#N/A,FALSE,"신조감가.XLS"}</definedName>
    <definedName name="닝잉" hidden="1">{#N/A,#N/A,TRUE,"Y생산";#N/A,#N/A,TRUE,"Y판매";#N/A,#N/A,TRUE,"Y총물량";#N/A,#N/A,TRUE,"Y능력";#N/A,#N/A,TRUE,"YKD"}</definedName>
    <definedName name="닣" hidden="1">#REF!</definedName>
    <definedName name="ㄷ">#REF!</definedName>
    <definedName name="ㄷ22">#REF!</definedName>
    <definedName name="ㄷ24">#REF!</definedName>
    <definedName name="ㄷㄳ" hidden="1">{#N/A,#N/A,FALSE,"단축1";#N/A,#N/A,FALSE,"단축2";#N/A,#N/A,FALSE,"단축3";#N/A,#N/A,FALSE,"장축";#N/A,#N/A,FALSE,"4WD"}</definedName>
    <definedName name="ㄷㄴㄷ">#REF!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">#REF!</definedName>
    <definedName name="ㄷㄷㄷㄷeeee">#REF!</definedName>
    <definedName name="ㄷㄷㄷㄷㄷㄷ">#REF!</definedName>
    <definedName name="ㄷㅂㅈㄷ" hidden="1">#REF!</definedName>
    <definedName name="ㄷㅇ">#REF!</definedName>
    <definedName name="ㄷㅇ_1" hidden="1">{#N/A,#N/A,TRUE,"Y생산";#N/A,#N/A,TRUE,"Y판매";#N/A,#N/A,TRUE,"Y총물량";#N/A,#N/A,TRUE,"Y능력";#N/A,#N/A,TRUE,"YKD"}</definedName>
    <definedName name="ㄷㅇㅇ" hidden="1">#REF!</definedName>
    <definedName name="ㄷ야ㅗㅔㅐㄹㅈ대ㅈㄷㅈㄷㄱ" hidden="1">#REF!</definedName>
    <definedName name="ㄷㅈ" hidden="1">#REF!</definedName>
    <definedName name="ㄷㅈㄹ" hidden="1">{#N/A,#N/A,FALSE,"BS";#N/A,#N/A,FALSE,"PL";#N/A,#N/A,FALSE,"처분";#N/A,#N/A,FALSE,"현금";#N/A,#N/A,FALSE,"매출";#N/A,#N/A,FALSE,"원가";#N/A,#N/A,FALSE,"경영"}</definedName>
    <definedName name="ㄷㅎㄹㄴㄹㅇㅎㅇㅁㄴㅁㅎ" hidden="1">{#N/A,#N/A,FALSE,"Aging Summary";#N/A,#N/A,FALSE,"Ratio Analysis";#N/A,#N/A,FALSE,"Test 120 Day Accts";#N/A,#N/A,FALSE,"Tickmarks"}</definedName>
    <definedName name="다">#REF!</definedName>
    <definedName name="다른" hidden="1">#REF!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짐">#REF!</definedName>
    <definedName name="단가">#REF!</definedName>
    <definedName name="단가1">#REF!</definedName>
    <definedName name="단가2">#REF!</definedName>
    <definedName name="단가기준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단기대여금">#REF!</definedName>
    <definedName name="단기차입금" hidden="1">{#N/A,#N/A,FALSE,"Aging Summary";#N/A,#N/A,FALSE,"Ratio Analysis";#N/A,#N/A,FALSE,"Test 120 Day Accts";#N/A,#N/A,FALSE,"Tickmarks"}</definedName>
    <definedName name="短期借入金" hidden="1">{"'買掛金'!$J$6"}</definedName>
    <definedName name="단순">#REF!</definedName>
    <definedName name="단순라인업">#REF!</definedName>
    <definedName name="단순트럭">#REF!</definedName>
    <definedName name="단위">#REF!</definedName>
    <definedName name="單位_百萬원">#REF!</definedName>
    <definedName name="단위조정_백만">#REF!</definedName>
    <definedName name="單位阡원_阡￥">#REF!</definedName>
    <definedName name="단조편성표" hidden="1">{#N/A,#N/A,FALSE,"단축1";#N/A,#N/A,FALSE,"단축2";#N/A,#N/A,FALSE,"단축3";#N/A,#N/A,FALSE,"장축";#N/A,#N/A,FALSE,"4WD"}</definedName>
    <definedName name="단충">#REF!</definedName>
    <definedName name="달러환율">#REF!</definedName>
    <definedName name="달력">#REF!</definedName>
    <definedName name="달력1">#REF!</definedName>
    <definedName name="담보">#REF!</definedName>
    <definedName name="당" hidden="1">{#N/A,#N/A,FALSE,"BS";#N/A,#N/A,FALSE,"PL";#N/A,#N/A,FALSE,"처분";#N/A,#N/A,FALSE,"현금";#N/A,#N/A,FALSE,"매출";#N/A,#N/A,FALSE,"원가";#N/A,#N/A,FALSE,"경영"}</definedName>
    <definedName name="당기순이익">#REF!</definedName>
    <definedName name="당좌예금_5102">#REF!</definedName>
    <definedName name="당초계획" hidden="1">#REF!</definedName>
    <definedName name="대">#REF!</definedName>
    <definedName name="대구" hidden="1">{#N/A,#N/A,TRUE,"대 차 대 조 표"}</definedName>
    <definedName name="대구_1" hidden="1">{#N/A,#N/A,TRUE,"대 차 대 조 표"}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본합계">#REF!</definedName>
    <definedName name="대손">#REF!</definedName>
    <definedName name="대우르망LPG">#REF!</definedName>
    <definedName name="대우프린스18LPG">#REF!</definedName>
    <definedName name="대우프린스20LPG">#REF!</definedName>
    <definedName name="대조립부" hidden="1">{"'호선별현황(방식)'!$K$22:$P$22","'호선별현황(방식)'!$K$22:$P$22"}</definedName>
    <definedName name="대주건">#N/A</definedName>
    <definedName name="대차">#REF!</definedName>
    <definedName name="대차12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체거래">#REF!</definedName>
    <definedName name="대포">#REF!</definedName>
    <definedName name="대표자명_성명">#REF!</definedName>
    <definedName name="대한민국" hidden="1">{#N/A,#N/A,FALSE,"채산3501.XLS";#N/A,#N/A,FALSE,"신조수A.XLS";#N/A,#N/A,FALSE,"신조수b.XLS";#N/A,#N/A,FALSE,"채산3502.XLS";#N/A,#N/A,FALSE,"신조원리.XLS";#N/A,#N/A,FALSE,"신조감가.XLS"}</definedName>
    <definedName name="대회">#REF!</definedName>
    <definedName name="대흥" hidden="1">{#N/A,#N/A,TRUE,"대 차 대 조 표"}</definedName>
    <definedName name="대흥_1" hidden="1">{#N/A,#N/A,TRUE,"대 차 대 조 표"}</definedName>
    <definedName name="댜댜" hidden="1">#N/A</definedName>
    <definedName name="데이터확인">#REF!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부" hidden="1">{"'호선별현황(방식)'!$K$22:$P$22","'호선별현황(방식)'!$K$22:$P$22"}</definedName>
    <definedName name="돋">#REF!</definedName>
    <definedName name="돌아버려" hidden="1">{"'Sheet1'!$A$1:$H$36"}</definedName>
    <definedName name="동남">#REF!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#REF!</definedName>
    <definedName name="동수">#REF!</definedName>
    <definedName name="동시녹음합계">#REF!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지" hidden="1">{#N/A,#N/A,TRUE,"대 차 대 조 표"}</definedName>
    <definedName name="돼지_1" hidden="1">{#N/A,#N/A,TRUE,"대 차 대 조 표"}</definedName>
    <definedName name="둘">#REF!</definedName>
    <definedName name="드라마명">#REF!</definedName>
    <definedName name="등록">#REF!</definedName>
    <definedName name="등록2">#REF!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젤1" hidden="1">{#N/A,#N/A,FALSE,"단축1";#N/A,#N/A,FALSE,"단축2";#N/A,#N/A,FALSE,"단축3";#N/A,#N/A,FALSE,"장축";#N/A,#N/A,FALSE,"4WD"}</definedName>
    <definedName name="또왜이래" hidden="1">{"'Sheet1'!$A$1:$H$36"}</definedName>
    <definedName name="ㄹ" hidden="1">{#N/A,#N/A,FALSE,"95FW"}</definedName>
    <definedName name="ㄹ277">#REF!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" hidden="1">{#N/A,#N/A,TRUE,"대 차 대 조 표"}</definedName>
    <definedName name="ㄹㄹㄷㄹ_1" hidden="1">{#N/A,#N/A,TRUE,"대 차 대 조 표"}</definedName>
    <definedName name="ㄹㄹㄹ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ㄹ">#REF!</definedName>
    <definedName name="ㄹㄹㄹㄹㄹ" hidden="1">{#N/A,#N/A,FALSE,"BS";#N/A,#N/A,FALSE,"PL";#N/A,#N/A,FALSE,"처분";#N/A,#N/A,FALSE,"현금";#N/A,#N/A,FALSE,"매출";#N/A,#N/A,FALSE,"원가";#N/A,#N/A,FALSE,"경영"}</definedName>
    <definedName name="ㄹㄹㄹㄹㄹㄹ">#REF!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" hidden="1">{#N/A,#N/A,TRUE,"Y생산";#N/A,#N/A,TRUE,"Y판매";#N/A,#N/A,TRUE,"Y총물량";#N/A,#N/A,TRUE,"Y능력";#N/A,#N/A,TRUE,"YKD"}</definedName>
    <definedName name="ㄹㅇㄴㅁ">#REF!</definedName>
    <definedName name="ㄹㅇㄹㅇㄴ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히" hidden="1">{#N/A,#N/A,TRUE,"Y생산";#N/A,#N/A,TRUE,"Y판매";#N/A,#N/A,TRUE,"Y총물량";#N/A,#N/A,TRUE,"Y능력";#N/A,#N/A,TRUE,"YKD"}</definedName>
    <definedName name="라">#REF!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시아26">#REF!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레이젠">OFFSET(#REF!,0,0,COUNTA(#REF!)-1,1)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롷ㄹ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린다앤영">#REF!</definedName>
    <definedName name="ㄺ" hidden="1">{#N/A,#N/A,FALSE,"Aging Summary";#N/A,#N/A,FALSE,"Ratio Analysis";#N/A,#N/A,FALSE,"Test 120 Day Accts";#N/A,#N/A,FALSE,"Tickmarks"}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ㄴㄻㅇㄹㅇㅁㄹ" hidden="1">{#N/A,#N/A,FALSE,"Aging Summary";#N/A,#N/A,FALSE,"Ratio Analysis";#N/A,#N/A,FALSE,"Test 120 Day Accts";#N/A,#N/A,FALSE,"Tickmarks"}</definedName>
    <definedName name="ㄿ">#N/A</definedName>
    <definedName name="ㅁ" hidden="1">{#N/A,#N/A,TRUE,"Y생산";#N/A,#N/A,TRUE,"Y판매";#N/A,#N/A,TRUE,"Y총물량";#N/A,#N/A,TRUE,"Y능력";#N/A,#N/A,TRUE,"YKD"}</definedName>
    <definedName name="ㅁ1">#REF!</definedName>
    <definedName name="ㅁ130">#REF!</definedName>
    <definedName name="ㅁ1430">#REF!</definedName>
    <definedName name="ㅁ169">#REF!</definedName>
    <definedName name="ㅁ2">#REF!</definedName>
    <definedName name="ㅁ35">#REF!</definedName>
    <definedName name="ㅁㄴ" hidden="1">{#N/A,#N/A,TRUE,"매출진척-1";#N/A,#N/A,TRUE,"매출진척-2";#N/A,#N/A,TRUE,"제품실적";#N/A,#N/A,TRUE,"RAC";#N/A,#N/A,TRUE,"PAC ";#N/A,#N/A,TRUE,"재고현황";#N/A,#N/A,TRUE,"공지사항"}</definedName>
    <definedName name="ㅁㄴㅁㄴㅁ" hidden="1">{#N/A,#N/A,FALSE,"95FW"}</definedName>
    <definedName name="ㅁㄴㅇ" hidden="1">{#N/A,#N/A,FALSE,"단축1";#N/A,#N/A,FALSE,"단축2";#N/A,#N/A,FALSE,"단축3";#N/A,#N/A,FALSE,"장축";#N/A,#N/A,FALSE,"4WD"}</definedName>
    <definedName name="ㅁㄴㅇㄹ">#REF!</definedName>
    <definedName name="ㅁㄴㅇㅁㄴㅇ" hidden="1">{#N/A,#N/A,TRUE,"Y생산";#N/A,#N/A,TRUE,"Y판매";#N/A,#N/A,TRUE,"Y총물량";#N/A,#N/A,TRUE,"Y능력";#N/A,#N/A,TRUE,"YKD"}</definedName>
    <definedName name="ㅁㄴㅇㅁㄴㅇ_1" hidden="1">{#N/A,#N/A,TRUE,"Y생산";#N/A,#N/A,TRUE,"Y판매";#N/A,#N/A,TRUE,"Y총물량";#N/A,#N/A,TRUE,"Y능력";#N/A,#N/A,TRUE,"YKD"}</definedName>
    <definedName name="ㅁㄴㅇㅁㄴㅇㅁ" hidden="1">{#N/A,#N/A,TRUE,"Y생산";#N/A,#N/A,TRUE,"Y판매";#N/A,#N/A,TRUE,"Y총물량";#N/A,#N/A,TRUE,"Y능력";#N/A,#N/A,TRUE,"YKD"}</definedName>
    <definedName name="ㅁㄴㅇㅁㄴㅇㅁ_1" hidden="1">{#N/A,#N/A,TRUE,"Y생산";#N/A,#N/A,TRUE,"Y판매";#N/A,#N/A,TRUE,"Y총물량";#N/A,#N/A,TRUE,"Y능력";#N/A,#N/A,TRUE,"YKD"}</definedName>
    <definedName name="ㅁㄴㅇㅈ">#REF!</definedName>
    <definedName name="ㅁㄴㅇㅈㄷ">#REF!</definedName>
    <definedName name="ㅁ나ㅣ어리마ㅗㅇ호미오히ㅏ몬이호" hidden="1">{#N/A,#N/A,FALSE,"Aging Summary";#N/A,#N/A,FALSE,"Ratio Analysis";#N/A,#N/A,FALSE,"Test 120 Day Accts";#N/A,#N/A,FALSE,"Tickmarks"}</definedName>
    <definedName name="ㅁㄷ" hidden="1">#REF!</definedName>
    <definedName name="ㅁㄹ">VLOOKUP(#REF!,요금,2)</definedName>
    <definedName name="ㅁㄹㄹㄹㄹ">VLOOKUP(#REF!,#REF!,2)</definedName>
    <definedName name="ㅁㄹㅇㅁㄴㅇㄹ">#N/A</definedName>
    <definedName name="ㅁㄹㅇㅁㄴㅇㄻㄴㅇㄹ">#N/A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AA">#REF!</definedName>
    <definedName name="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ㄹㄹ">#REF!</definedName>
    <definedName name="ㅁㅁㅁㅁ" hidden="1">{#N/A,#N/A,FALSE,"Aging Summary";#N/A,#N/A,FALSE,"Ratio Analysis";#N/A,#N/A,FALSE,"Test 120 Day Accts";#N/A,#N/A,FALSE,"Tickmarks"}</definedName>
    <definedName name="ㅁㅁㅁㅁㅁ">#REF!</definedName>
    <definedName name="ㅁㅁㅁㅁㅁㅁ">#REF!</definedName>
    <definedName name="ㅁㅁㅁㅁㅁㅁㅁ">#REF!</definedName>
    <definedName name="ㅁㅁㅁㅁㅁㅁㅁㅁㅁㅁ" hidden="1">{#N/A,#N/A,FALSE,"단축1";#N/A,#N/A,FALSE,"단축2";#N/A,#N/A,FALSE,"단축3";#N/A,#N/A,FALSE,"장축";#N/A,#N/A,FALSE,"4WD"}</definedName>
    <definedName name="ㅁㅁㅁㅁㅁㅁㅁㅁㅁㅁㅁㅁㅁㅁ">#REF!</definedName>
    <definedName name="ㅁㅇ" hidden="1">{#N/A,#N/A,FALSE,"BS";#N/A,#N/A,FALSE,"PL";#N/A,#N/A,FALSE,"처분";#N/A,#N/A,FALSE,"현금";#N/A,#N/A,FALSE,"매출";#N/A,#N/A,FALSE,"원가";#N/A,#N/A,FALSE,"경영"}</definedName>
    <definedName name="ㅁㅇㄴ">#REF!</definedName>
    <definedName name="ㅁㅇㄴㄴ" hidden="1">{#N/A,#N/A,FALSE,"BS";#N/A,#N/A,FALSE,"PL";#N/A,#N/A,FALSE,"처분";#N/A,#N/A,FALSE,"현금";#N/A,#N/A,FALSE,"매출";#N/A,#N/A,FALSE,"원가";#N/A,#N/A,FALSE,"경영"}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{#N/A,#N/A,FALSE,"Aging Summary";#N/A,#N/A,FALSE,"Ratio Analysis";#N/A,#N/A,FALSE,"Test 120 Day Accts";#N/A,#N/A,FALSE,"Tickmarks"}</definedName>
    <definedName name="ㅁㅇㅁㅇㅁㄴㅇㅁㄴㅇㅁㄴ" hidden="1">{#N/A,#N/A,FALSE,"95FW"}</definedName>
    <definedName name="ㅁ어">#REF!</definedName>
    <definedName name="마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만">#REF!</definedName>
    <definedName name="만기보장수익율">#REF!</definedName>
    <definedName name="만약">#REF!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1">#REF!</definedName>
    <definedName name="매10">#REF!</definedName>
    <definedName name="매11">#REF!</definedName>
    <definedName name="매12">#REF!</definedName>
    <definedName name="매2">#REF!</definedName>
    <definedName name="매3">#REF!</definedName>
    <definedName name="매4">#REF!</definedName>
    <definedName name="매5">#REF!</definedName>
    <definedName name="매6">#REF!</definedName>
    <definedName name="매7">#REF!</definedName>
    <definedName name="매8">#REF!</definedName>
    <definedName name="매9">#REF!</definedName>
    <definedName name="買掛金" hidden="1">{"'買掛金'!$J$6"}</definedName>
    <definedName name="매수">#REF!</definedName>
    <definedName name="매수2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.본">#REF!</definedName>
    <definedName name="매출10월">#REF!</definedName>
    <definedName name="매출11월">#REF!</definedName>
    <definedName name="매출12월">#REF!</definedName>
    <definedName name="매출3월">#REF!</definedName>
    <definedName name="매출4월">#REF!</definedName>
    <definedName name="매출5월">#REF!</definedName>
    <definedName name="매출6월">#REF!</definedName>
    <definedName name="매출7월">#REF!</definedName>
    <definedName name="매출8월">#REF!</definedName>
    <definedName name="매출9월">#REF!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hidden="1">#REF!</definedName>
    <definedName name="매출금">#REF!</definedName>
    <definedName name="매출액" hidden="1">#REF!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hidden="1">{#N/A,#N/A,FALSE,"Aging Summary";#N/A,#N/A,FALSE,"Ratio Analysis";#N/A,#N/A,FALSE,"Test 120 Day Accts";#N/A,#N/A,FALSE,"Tickmarks"}</definedName>
    <definedName name="매출채권">#REF!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멍멍">#REF!</definedName>
    <definedName name="멍청이">#REF!</definedName>
    <definedName name="메뉴연결">#REF!</definedName>
    <definedName name="메뉴연결시작">#REF!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며" hidden="1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담">#REF!</definedName>
    <definedName name="면적표">#REF!</definedName>
    <definedName name="명세" hidden="1">{#N/A,#N/A,FALSE,"Aging Summary";#N/A,#N/A,FALSE,"Ratio Analysis";#N/A,#N/A,FALSE,"Test 120 Day Accts";#N/A,#N/A,FALSE,"Tickmarks"}</definedName>
    <definedName name="모">#REF!</definedName>
    <definedName name="모델명">#REF!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홓로">#REF!</definedName>
    <definedName name="목차1">#REF!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3">#REF!</definedName>
    <definedName name="목차4">#REF!</definedName>
    <definedName name="목표">#N/A</definedName>
    <definedName name="몰라" hidden="1">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묘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" hidden="1">{#N/A,#N/A,FALSE,"Aging Summary";#N/A,#N/A,FALSE,"Ratio Analysis";#N/A,#N/A,FALSE,"Test 120 Day Accts";#N/A,#N/A,FALSE,"Tickmarks"}</definedName>
    <definedName name="문기수" hidden="1">{"'호선별현황(방식)'!$K$22:$P$22","'호선별현황(방식)'!$K$22:$P$22"}</definedName>
    <definedName name="문제3" hidden="1">{#N/A,#N/A,FALSE,"단축1";#N/A,#N/A,FALSE,"단축2";#N/A,#N/A,FALSE,"단축3";#N/A,#N/A,FALSE,"장축";#N/A,#N/A,FALSE,"4WD"}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가상승률">#REF!</definedName>
    <definedName name="물랴자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뭐야.." hidden="1">{#N/A,#N/A,FALSE,"95FW"}</definedName>
    <definedName name="뭐지" hidden="1">{#N/A,#N/A,FALSE,"95FW"}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뮬소" hidden="1">{#N/A,#N/A,TRUE,"Y생산";#N/A,#N/A,TRUE,"Y판매";#N/A,#N/A,TRUE,"Y총물량";#N/A,#N/A,TRUE,"Y능력";#N/A,#N/A,TRUE,"YKD"}</definedName>
    <definedName name="뮬소_1" hidden="1">{#N/A,#N/A,TRUE,"Y생산";#N/A,#N/A,TRUE,"Y판매";#N/A,#N/A,TRUE,"Y총물량";#N/A,#N/A,TRUE,"Y능력";#N/A,#N/A,TRUE,"YKD"}</definedName>
    <definedName name="므" hidden="1">{#N/A,#N/A,TRUE,"일정"}</definedName>
    <definedName name="미" hidden="1">{#N/A,#N/A,TRUE,"일정"}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2" hidden="1">{#N/A,#N/A,FALSE,"표지";#N/A,#N/A,FALSE,"전제";#N/A,#N/A,FALSE,"손익-자 (2)";#N/A,#N/A,FALSE,"손익-자";#N/A,#N/A,FALSE,"손익-마 (2)";#N/A,#N/A,FALSE,"손익-마";#N/A,#N/A,FALSE,"총손최종"}</definedName>
    <definedName name="未払" hidden="1">{"'買掛金'!$J$6"}</definedName>
    <definedName name="未払金" hidden="1">{"'買掛金'!$J$6"}</definedName>
    <definedName name="미수금" hidden="1">{#N/A,#N/A,FALSE,"Aging Summary";#N/A,#N/A,FALSE,"Ratio Analysis";#N/A,#N/A,FALSE,"Test 120 Day Accts";#N/A,#N/A,FALSE,"Tickmarks"}</definedName>
    <definedName name="미수금2" hidden="1">#REF!</definedName>
    <definedName name="미수수익">#REF!</definedName>
    <definedName name="미술합계">#REF!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오">#REF!</definedName>
    <definedName name="미적용401">#REF!,#REF!,#REF!,#REF!,#REF!,#REF!,#REF!,#REF!,#REF!,#REF!</definedName>
    <definedName name="미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급" hidden="1">#REF!</definedName>
    <definedName name="미지급금">#REF!</definedName>
    <definedName name="미지급비용">#REF!</definedName>
    <definedName name="미착자산">#N/A</definedName>
    <definedName name="미치겠네" hidden="1">{"'Sheet1'!$A$1:$H$36"}</definedName>
    <definedName name="미치겠당">#REF!</definedName>
    <definedName name="미화" hidden="1">{#N/A,#N/A,FALSE,"이력서&amp;자기소개서"}</definedName>
    <definedName name="미화_1" hidden="1">{#N/A,#N/A,FALSE,"이력서&amp;자기소개서"}</definedName>
    <definedName name="미화2" hidden="1">{#N/A,#N/A,FALSE,"이력서&amp;자기소개서"}</definedName>
    <definedName name="미화2_1" hidden="1">{#N/A,#N/A,FALSE,"이력서&amp;자기소개서"}</definedName>
    <definedName name="민감도" hidden="1">#REF!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밋션별">#REF!</definedName>
    <definedName name="ㅂ" hidden="1">{#N/A,#N/A,TRUE,"Y생산";#N/A,#N/A,TRUE,"Y판매";#N/A,#N/A,TRUE,"Y총물량";#N/A,#N/A,TRUE,"Y능력";#N/A,#N/A,TRUE,"YKD"}</definedName>
    <definedName name="ㅂ1" hidden="1">{#N/A,#N/A,FALSE,"95FW"}</definedName>
    <definedName name="ㅂㄴ">#N/A</definedName>
    <definedName name="ㅂㄷ" hidden="1">{#N/A,#N/A,FALSE,"BS";#N/A,#N/A,FALSE,"PL";#N/A,#N/A,FALSE,"처분";#N/A,#N/A,FALSE,"현금";#N/A,#N/A,FALSE,"매출";#N/A,#N/A,FALSE,"원가";#N/A,#N/A,FALSE,"경영"}</definedName>
    <definedName name="ㅂㄷㄱ" hidden="1">{#N/A,#N/A,FALSE,"Aging Summary";#N/A,#N/A,FALSE,"Ratio Analysis";#N/A,#N/A,FALSE,"Test 120 Day Accts";#N/A,#N/A,FALSE,"Tickmarks"}</definedName>
    <definedName name="ㅂㄷㄷㄱ" hidden="1">{#N/A,#N/A,FALSE,"Aging Summary";#N/A,#N/A,FALSE,"Ratio Analysis";#N/A,#N/A,FALSE,"Test 120 Day Accts";#N/A,#N/A,FALSE,"Tickmarks"}</definedName>
    <definedName name="ㅂㅂ">#REF!</definedName>
    <definedName name="ㅂㅂ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hidden="1">{#N/A,#N/A,FALSE,"Aging Summary";#N/A,#N/A,FALSE,"Ratio Analysis";#N/A,#N/A,FALSE,"Test 120 Day Accts";#N/A,#N/A,FALSE,"Tickmarks"}</definedName>
    <definedName name="ㅂㅂㅂㅂ" hidden="1">{#N/A,#N/A,FALSE,"채산3501.XLS";#N/A,#N/A,FALSE,"신조수A.XLS";#N/A,#N/A,FALSE,"신조수b.XLS";#N/A,#N/A,FALSE,"채산3502.XLS";#N/A,#N/A,FALSE,"신조원리.XLS";#N/A,#N/A,FALSE,"신조감가.XLS"}</definedName>
    <definedName name="ㅂㅂㅂㅂㅂㅂㅂㅂㅂ">#REF!</definedName>
    <definedName name="ㅂㅈ">#N/A</definedName>
    <definedName name="ㅂㅈㄱㄷㅈ" hidden="1">{#N/A,#N/A,FALSE,"Aging Summary";#N/A,#N/A,FALSE,"Ratio Analysis";#N/A,#N/A,FALSE,"Test 120 Day Accts";#N/A,#N/A,FALSE,"Tickmarks"}</definedName>
    <definedName name="ㅂㅈㄷ" hidden="1">{#N/A,#N/A,FALSE,"Aging Summary";#N/A,#N/A,FALSE,"Ratio Analysis";#N/A,#N/A,FALSE,"Test 120 Day Accts";#N/A,#N/A,FALSE,"Tickmarks"}</definedName>
    <definedName name="ㅂㅈㄷㄴ">#REF!</definedName>
    <definedName name="ㅂㅋ" hidden="1">#REF!</definedName>
    <definedName name="바">#REF!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바바" hidden="1">{#N/A,#N/A,FALSE,"단축1";#N/A,#N/A,FALSE,"단축2";#N/A,#N/A,FALSE,"단축3";#N/A,#N/A,FALSE,"장축";#N/A,#N/A,FALSE,"4WD"}</definedName>
    <definedName name="바보">#REF!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상">#REF!</definedName>
    <definedName name="박정" hidden="1">{#N/A,#N/A,TRUE,"일정"}</definedName>
    <definedName name="박준철">#REF!</definedName>
    <definedName name="박준철1">#REF!</definedName>
    <definedName name="반영" hidden="1">{#N/A,#N/A,TRUE,"일정"}</definedName>
    <definedName name="받을어음">#REF!</definedName>
    <definedName name="발">#REF!</definedName>
    <definedName name="방송사">#REF!</definedName>
    <definedName name="방영요일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hidden="1">#REF!</definedName>
    <definedName name="배부기준">#REF!</definedName>
    <definedName name="배부액">#REF!</definedName>
    <definedName name="배부율">#REF!</definedName>
    <definedName name="배우자">#REF!</definedName>
    <definedName name="배우자2">#REF!</definedName>
    <definedName name="백">IF(INT(RIGHT(#REF!,3)/100)=0,"",CHOOSE(INT(RIGHT(#REF!,3)/100),"일","이","삼","사","오","육","칠","팔","구")&amp;"백")</definedName>
    <definedName name="백나영">#REF!</definedName>
    <definedName name="백만">IF(INT(RIGHT(#REF!,7)/1000000)=0,"",CHOOSE(INT(RIGHT(#REF!,7)/1000000),"일","이","삼","사","오","육","칠","팔","구")&amp;"백")</definedName>
    <definedName name="백만원">#REF!</definedName>
    <definedName name="백백만원">#REF!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">#REF!</definedName>
    <definedName name="범위1">#REF!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_인_명_상_호">#REF!</definedName>
    <definedName name="법인구분">#REF!</definedName>
    <definedName name="법인구분코드">#REF!</definedName>
    <definedName name="법인등록번호">#REF!</definedName>
    <definedName name="법인명_상호명">#REF!</definedName>
    <definedName name="법인세">#REF!</definedName>
    <definedName name="법인세비용" hidden="1">{#N/A,#N/A,FALSE,"BS";#N/A,#N/A,FALSE,"PL";#N/A,#N/A,FALSE,"처분";#N/A,#N/A,FALSE,"현금";#N/A,#N/A,FALSE,"매출";#N/A,#N/A,FALSE,"원가";#N/A,#N/A,FALSE,"경영"}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경">#REF!</definedName>
    <definedName name="변경내역" hidden="1">{#N/A,#N/A,FALSE,"3가";#N/A,#N/A,FALSE,"3나";#N/A,#N/A,FALSE,"3다"}</definedName>
    <definedName name="변동">#REF!</definedName>
    <definedName name="변동비">#REF!</definedName>
    <definedName name="변동비인쇄영역">#REF!</definedName>
    <definedName name="변동연">#REF!</definedName>
    <definedName name="변동연료비">#REF!</definedName>
    <definedName name="변동율기준표">#REF!</definedName>
    <definedName name="변동제">#REF!</definedName>
    <definedName name="변동판">#REF!</definedName>
    <definedName name="변파유닛" hidden="1">{#N/A,#N/A,FALSE,"3가";#N/A,#N/A,FALSE,"3나";#N/A,#N/A,FALSE,"3다"}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도합산">#REF!</definedName>
    <definedName name="별도합산세">#REF!</definedName>
    <definedName name="별도합산세율">#REF!</definedName>
    <definedName name="별정시급">#REF!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" hidden="1">#REF!</definedName>
    <definedName name="보" hidden="1">{#N/A,#N/A,FALSE,"3가";#N/A,#N/A,FALSE,"3나";#N/A,#N/A,FALSE,"3다"}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서2">#REF!</definedName>
    <definedName name="보관1">#REF!</definedName>
    <definedName name="보관2">#REF!</definedName>
    <definedName name="보너스">#REF!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보봅">#REF!</definedName>
    <definedName name="보봅" hidden="1">{#N/A,#N/A,FALSE,"Aging Summary";#N/A,#N/A,FALSE,"Ratio Analysis";#N/A,#N/A,FALSE,"Test 120 Day Accts";#N/A,#N/A,FALSE,"Tickmarks"}</definedName>
    <definedName name="보수사진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안복">170000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조출연료합계">#REF!</definedName>
    <definedName name="보증금환급률">#REF!</definedName>
    <definedName name="보증기관">#REF!</definedName>
    <definedName name="보충" hidden="1">#REF!</definedName>
    <definedName name="보험">#REF!</definedName>
    <definedName name="보험2">#REF!</definedName>
    <definedName name="보험료" hidden="1">{#N/A,#N/A,FALSE,"Aging Summary";#N/A,#N/A,FALSE,"Ratio Analysis";#N/A,#N/A,FALSE,"Test 120 Day Accts";#N/A,#N/A,FALSE,"Tickmarks"}</definedName>
    <definedName name="보험료합계">#REF!</definedName>
    <definedName name="보험예산대비실적분석자료" hidden="1">{#N/A,#N/A,FALSE,"채산3501.XLS";#N/A,#N/A,FALSE,"신조수A.XLS";#N/A,#N/A,FALSE,"신조수b.XLS";#N/A,#N/A,FALSE,"채산3502.XLS";#N/A,#N/A,FALSE,"신조원리.XLS";#N/A,#N/A,FALSE,"신조감가.XLS"}</definedName>
    <definedName name="복귀">#REF!</definedName>
    <definedName name="복리후생비집계">#REF!</definedName>
    <definedName name="복사대상">#REF!</definedName>
    <definedName name="본사손익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봄" hidden="1">{#N/A,#N/A,FALSE,"95FW"}</definedName>
    <definedName name="봉석">#REF!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">#REF!</definedName>
    <definedName name="부가세">1.1</definedName>
    <definedName name="부가세검토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율표">#REF!</definedName>
    <definedName name="부녀">#REF!</definedName>
    <definedName name="부녀2">#REF!</definedName>
    <definedName name="부도어음">#REF!</definedName>
    <definedName name="부동산투자신탁6호">#REF!</definedName>
    <definedName name="부서">#REF!</definedName>
    <definedName name="부서코드다">#REF!</definedName>
    <definedName name="부속" hidden="1">#REF!</definedName>
    <definedName name="부양">#REF!</definedName>
    <definedName name="부양2">#REF!</definedName>
    <definedName name="부양가족">#REF!</definedName>
    <definedName name="부양가족2">#REF!</definedName>
    <definedName name="부채자본">#REF!</definedName>
    <definedName name="부천변경내역서">#REF!</definedName>
    <definedName name="부하s" hidden="1">#REF!</definedName>
    <definedName name="부하sa" hidden="1">#REF!</definedName>
    <definedName name="북부">#REF!</definedName>
    <definedName name="북채">#REF!</definedName>
    <definedName name="분" hidden="1">{#N/A,#N/A,FALSE,"단축1";#N/A,#N/A,FALSE,"단축2";#N/A,#N/A,FALSE,"단축3";#N/A,#N/A,FALSE,"장축";#N/A,#N/A,FALSE,"4WD"}</definedName>
    <definedName name="분개및수수료계상">#REF!</definedName>
    <definedName name="분기별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분리과세">#REF!</definedName>
    <definedName name="분리과세세율">#REF!</definedName>
    <definedName name="분리과세액">#REF!</definedName>
    <definedName name="분석" hidden="1">{"'호선별현황(방식)'!$K$22:$P$22","'호선별현황(방식)'!$K$22:$P$22"}</definedName>
    <definedName name="분석2002" hidden="1">{"'호선별현황(방식)'!$K$22:$P$22","'호선별현황(방식)'!$K$22:$P$22"}</definedName>
    <definedName name="분석용" hidden="1">{"'호선별현황(방식)'!$K$22:$P$22","'호선별현황(방식)'!$K$22:$P$22"}</definedName>
    <definedName name="분양가">#REF!</definedName>
    <definedName name="분양원가명세서" hidden="1">{#N/A,#N/A,FALSE,"BS";#N/A,#N/A,FALSE,"PL";#N/A,#N/A,FALSE,"처분";#N/A,#N/A,FALSE,"현금";#N/A,#N/A,FALSE,"매출";#N/A,#N/A,FALSE,"원가";#N/A,#N/A,FALSE,"경영"}</definedName>
    <definedName name="분양원가명세서1" hidden="1">{#N/A,#N/A,FALSE,"BS";#N/A,#N/A,FALSE,"PL";#N/A,#N/A,FALSE,"처분";#N/A,#N/A,FALSE,"현금";#N/A,#N/A,FALSE,"매출";#N/A,#N/A,FALSE,"원가";#N/A,#N/A,FALSE,"경영"}</definedName>
    <definedName name="불">#REF!</definedName>
    <definedName name="불량">#REF!</definedName>
    <definedName name="불합격">#REF!</definedName>
    <definedName name="브레이크">#REF!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고">#REF!</definedName>
    <definedName name="비과세">#REF!</definedName>
    <definedName name="비과세2">#REF!</definedName>
    <definedName name="비교">#REF!</definedName>
    <definedName name="비교A">#REF!</definedName>
    <definedName name="비교분">#REF!</definedName>
    <definedName name="비교표2" hidden="1">#REF!</definedName>
    <definedName name="비상장주식" hidden="1">#N/A</definedName>
    <definedName name="비용거래">#REF!</definedName>
    <definedName name="비용배분">#REF!</definedName>
    <definedName name="비품">#REF!</definedName>
    <definedName name="비품상각">#REF!</definedName>
    <definedName name="비호선율" hidden="1">{"'호선별현황(방식)'!$K$22:$P$22","'호선별현황(방식)'!$K$22:$P$22"}</definedName>
    <definedName name="빌딩명">#REF!</definedName>
    <definedName name="빌딩이름">#REF!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{#N/A,#N/A,TRUE,"Y생산";#N/A,#N/A,TRUE,"Y판매";#N/A,#N/A,TRUE,"Y총물량";#N/A,#N/A,TRUE,"Y능력";#N/A,#N/A,TRUE,"YKD"}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ㄹ녀ㅛㅅ누ㅛㅅㄴ구ㅛㅅㄱ누" hidden="1">{#N/A,#N/A,TRUE,"일정"}</definedName>
    <definedName name="ㅅㅅ">#REF!</definedName>
    <definedName name="ㅅㅅㅅ" hidden="1">{#N/A,#N/A,TRUE,"일정"}</definedName>
    <definedName name="사">#REF!</definedName>
    <definedName name="사1">#REF!</definedName>
    <definedName name="사10">#REF!</definedName>
    <definedName name="사11">#REF!</definedName>
    <definedName name="사12">#REF!</definedName>
    <definedName name="사2">#REF!</definedName>
    <definedName name="사3">#REF!</definedName>
    <definedName name="사4">#REF!</definedName>
    <definedName name="사5">#REF!</definedName>
    <definedName name="사6">#REF!</definedName>
    <definedName name="사7">#REF!</definedName>
    <definedName name="사8">#REF!</definedName>
    <definedName name="사9">#REF!</definedName>
    <definedName name="사고뭉치" hidden="1">{#N/A,#N/A,FALSE,"96 3월물량표";#N/A,#N/A,FALSE,"96 4월물량표";#N/A,#N/A,FALSE,"96 5월물량표"}</definedName>
    <definedName name="사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랑" hidden="1">{"'Sheet1'!$A$1:$H$36"}</definedName>
    <definedName name="사랑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번">#REF!</definedName>
    <definedName name="사업" hidden="1">{#N/A,#N/A,FALSE,"SILO현황";#N/A,#N/A,FALSE,"타업체";#N/A,#N/A,FALSE,"생산능력"}</definedName>
    <definedName name="사업10월">#REF!</definedName>
    <definedName name="사업11월">#REF!</definedName>
    <definedName name="사업12월">#REF!</definedName>
    <definedName name="사업3월">#REF!</definedName>
    <definedName name="사업4월">#REF!</definedName>
    <definedName name="사업5월">#REF!</definedName>
    <definedName name="사업6월">#REF!</definedName>
    <definedName name="사업7월">#REF!</definedName>
    <definedName name="사업8월">#REF!</definedName>
    <definedName name="사업9월">#REF!</definedName>
    <definedName name="사업별">#REF!</definedName>
    <definedName name="사업부양식2" hidden="1">#REF!</definedName>
    <definedName name="사업자등록번호">#REF!</definedName>
    <definedName name="사업투자">#REF!</definedName>
    <definedName name="사업투자1">#REF!</definedName>
    <definedName name="사용">#N/A</definedName>
    <definedName name="사용량">#REF!</definedName>
    <definedName name="사용량1">#REF!</definedName>
    <definedName name="사용량2">#REF!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요금10">#N/A</definedName>
    <definedName name="사용요금11">#N/A</definedName>
    <definedName name="사용요금20">#N/A</definedName>
    <definedName name="사용요금21">#N/A</definedName>
    <definedName name="사원">#REF!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이">#REF!</definedName>
    <definedName name="사월일">#REF!</definedName>
    <definedName name="사이버">#REF!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">#REF!</definedName>
    <definedName name="산1">#REF!</definedName>
    <definedName name="산10">#REF!</definedName>
    <definedName name="산11">#REF!</definedName>
    <definedName name="산12">#REF!</definedName>
    <definedName name="산2">#REF!</definedName>
    <definedName name="산3">#REF!</definedName>
    <definedName name="산4">#REF!</definedName>
    <definedName name="산5">#REF!</definedName>
    <definedName name="산6">#REF!</definedName>
    <definedName name="산7">#REF!</definedName>
    <definedName name="산8">#REF!</definedName>
    <definedName name="산9">#REF!</definedName>
    <definedName name="산재">#REF!</definedName>
    <definedName name="산재10월">#REF!</definedName>
    <definedName name="산재11월">#REF!</definedName>
    <definedName name="산재12월">#REF!</definedName>
    <definedName name="산재3월">#REF!</definedName>
    <definedName name="산재4월">#REF!</definedName>
    <definedName name="산재5월">#REF!</definedName>
    <definedName name="산재6월">#REF!</definedName>
    <definedName name="산재7월">#REF!</definedName>
    <definedName name="산재8월">#REF!</definedName>
    <definedName name="산재9월">#REF!</definedName>
    <definedName name="삼">#REF!</definedName>
    <definedName name="삼성" hidden="1">{#N/A,#N/A,FALSE,"정공"}</definedName>
    <definedName name="삼호중" hidden="1">{"'호선별현황(방식)'!$K$22:$P$22","'호선별현황(방식)'!$K$22:$P$22"}</definedName>
    <definedName name="상가매매0115">#REF!</definedName>
    <definedName name="상가임대0115">#REF!</definedName>
    <definedName name="상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비">#REF!</definedName>
    <definedName name="상농">OFFSET(#REF!,0,0,COUNTA(#REF!)-1,1)</definedName>
    <definedName name="상농2">OFFSET(#REF!,0,0,COUNTA(#REF!)-1,1)</definedName>
    <definedName name="상비1">#REF!</definedName>
    <definedName name="상비2">#REF!</definedName>
    <definedName name="상설월별시트2" hidden="1">{#N/A,#N/A,FALSE,"95FW"}</definedName>
    <definedName name="상여">#REF!</definedName>
    <definedName name="상여2">#REF!</definedName>
    <definedName name="상여율">#REF!</definedName>
    <definedName name="상품" hidden="1">#REF!</definedName>
    <definedName name="상품1월">#REF!</definedName>
    <definedName name="상품시화">#REF!</definedName>
    <definedName name="새" hidden="1">{#N/A,#N/A,FALSE,"Aging Summary";#N/A,#N/A,FALSE,"Ratio Analysis";#N/A,#N/A,FALSE,"Test 120 Day Accts";#N/A,#N/A,FALSE,"Tickmarks"}</definedName>
    <definedName name="새로부분">#REF!</definedName>
    <definedName name="새이름" hidden="1">{"'호선별현황(방식)'!$K$22:$P$22","'호선별현황(방식)'!$K$22:$P$22"}</definedName>
    <definedName name="새천년" hidden="1">{#N/A,#N/A,TRUE,"Y생산";#N/A,#N/A,TRUE,"Y판매";#N/A,#N/A,TRUE,"Y총물량";#N/A,#N/A,TRUE,"Y능력";#N/A,#N/A,TRUE,"YKD"}</definedName>
    <definedName name="색상현황" hidden="1">#REF!</definedName>
    <definedName name="색인">#REF!</definedName>
    <definedName name="생">#REF!</definedName>
    <definedName name="생산">#REF!</definedName>
    <definedName name="생산TON" hidden="1">{#N/A,#N/A,TRUE,"Y생산";#N/A,#N/A,TRUE,"Y판매";#N/A,#N/A,TRUE,"Y총물량";#N/A,#N/A,TRUE,"Y능력";#N/A,#N/A,TRUE,"YKD"}</definedName>
    <definedName name="생산관리팀절감세부계획">#REF!</definedName>
    <definedName name="생산능력">#REF!</definedName>
    <definedName name="생산시급">#REF!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조향" hidden="1">#REF!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산현황">#REF!</definedName>
    <definedName name="생산현황집계표">#REF!</definedName>
    <definedName name="생산현황집계표1">#REF!</definedName>
    <definedName name="생산현황집계표ELLE">#REF!</definedName>
    <definedName name="생산현황집계표RENO">#REF!</definedName>
    <definedName name="생산현황집계표SIS">#REF!</definedName>
    <definedName name="샤시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임대" hidden="1">#REF!</definedName>
    <definedName name="서식파일명">#REF!</definedName>
    <definedName name="서식파일목록">#REF!</definedName>
    <definedName name="서영태" hidden="1">{#N/A,#N/A,TRUE,"Y생산";#N/A,#N/A,TRUE,"Y판매";#N/A,#N/A,TRUE,"Y총물량";#N/A,#N/A,TRUE,"Y능력";#N/A,#N/A,TRUE,"YKD"}</definedName>
    <definedName name="서영태_1" hidden="1">{#N/A,#N/A,TRUE,"Y생산";#N/A,#N/A,TRUE,"Y판매";#N/A,#N/A,TRUE,"Y총물량";#N/A,#N/A,TRUE,"Y능력";#N/A,#N/A,TRUE,"YKD"}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초" hidden="1">{#N/A,#N/A,TRUE,"대 차 대 조 표"}</definedName>
    <definedName name="서초_1" hidden="1">{#N/A,#N/A,TRUE,"대 차 대 조 표"}</definedName>
    <definedName name="서초2" hidden="1">{#N/A,#N/A,TRUE,"대 차 대 조 표"}</definedName>
    <definedName name="서초2_1" hidden="1">{#N/A,#N/A,TRUE,"대 차 대 조 표"}</definedName>
    <definedName name="서초해동" hidden="1">{#N/A,#N/A,TRUE,"대 차 대 조 표"}</definedName>
    <definedName name="서초해동_1" hidden="1">{#N/A,#N/A,TRUE,"대 차 대 조 표"}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">#REF!</definedName>
    <definedName name="선급법인세9">#REF!</definedName>
    <definedName name="선급비용">#REF!</definedName>
    <definedName name="선급이자" hidden="1">{"'Sheet1'!$A$1:$H$36"}</definedName>
    <definedName name="선급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수금">#REF!</definedName>
    <definedName name="선체설계" hidden="1">{"'호선별현황(방식)'!$K$22:$P$22","'호선별현황(방식)'!$K$22:$P$22"}</definedName>
    <definedName name="선택">#REF!</definedName>
    <definedName name="선행시작팀">#REF!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능시험2" hidden="1">{#N/A,#N/A,FALSE,"단축1";#N/A,#N/A,FALSE,"단축2";#N/A,#N/A,FALSE,"단축3";#N/A,#N/A,FALSE,"장축";#N/A,#N/A,FALSE,"4WD"}</definedName>
    <definedName name="성명">#REF!</definedName>
    <definedName name="성명2">#REF!</definedName>
    <definedName name="省市">#REF!</definedName>
    <definedName name="세금">#REF!</definedName>
    <definedName name="세금1">#REF!</definedName>
    <definedName name="세금유형">#REF!</definedName>
    <definedName name="세금종류">#REF!</definedName>
    <definedName name="세대">#REF!</definedName>
    <definedName name="세무서">#REF!</definedName>
    <definedName name="세무서표">#REF!</definedName>
    <definedName name="세무조정모든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>#REF!</definedName>
    <definedName name="세부그림">#REF!</definedName>
    <definedName name="세부내역">#REF!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세항목">#REF!</definedName>
    <definedName name="세율">#REF!</definedName>
    <definedName name="세일">#N/A</definedName>
    <definedName name="셀리카" hidden="1">#REF!</definedName>
    <definedName name="소갑">#REF!</definedName>
    <definedName name="소급">#REF!</definedName>
    <definedName name="소나타">#REF!</definedName>
    <definedName name="소득" hidden="1">#REF!</definedName>
    <definedName name="소득2">#REF!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금액">#REF!</definedName>
    <definedName name="소득세">#REF!</definedName>
    <definedName name="소득종류">#REF!</definedName>
    <definedName name="소솟">#REF!</definedName>
    <definedName name="소유자분_보증금">#REF!</definedName>
    <definedName name="소재검토">#REF!</definedName>
    <definedName name="소형4" hidden="1">#REF!</definedName>
    <definedName name="소형발인" hidden="1">#REF!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계산서" hidden="1">#REF!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분석">#N/A</definedName>
    <definedName name="솔" hidden="1">{#N/A,#N/A,TRUE,"대 차 대 조 표"}</definedName>
    <definedName name="솔_1" hidden="1">{#N/A,#N/A,TRUE,"대 차 대 조 표"}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___출">#REF!</definedName>
    <definedName name="수광비실적" hidden="1">#REF!</definedName>
    <definedName name="수금">#REF!</definedName>
    <definedName name="수금분석">#REF!</definedName>
    <definedName name="수급추이" hidden="1">{"'7-2지역별'!$A$1:$R$44"}</definedName>
    <definedName name="수도" hidden="1">#REF!</definedName>
    <definedName name="수불">#REF!</definedName>
    <definedName name="수선비세부" hidden="1">#REF!</definedName>
    <definedName name="수수" hidden="1">{#N/A,#N/A,FALSE,"95FW"}</definedName>
    <definedName name="수수료계상">#REF!</definedName>
    <definedName name="수수료정산" hidden="1">{#N/A,#N/A,FALSE,"95FW"}</definedName>
    <definedName name="수익·비용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4속" hidden="1">{#N/A,#N/A,FALSE,"단축1";#N/A,#N/A,FALSE,"단축2";#N/A,#N/A,FALSE,"단축3";#N/A,#N/A,FALSE,"장축";#N/A,#N/A,FALSE,"4WD"}</definedName>
    <definedName name="수입3" hidden="1">{"'7-2지역별'!$A$1:$R$44"}</definedName>
    <definedName name="수입보증금">#REF!</definedName>
    <definedName name="수정2" hidden="1">{#N/A,#N/A,FALSE,"신규dep";#N/A,#N/A,FALSE,"신규dep-금형상각후";#N/A,#N/A,FALSE,"신규dep-연구비상각후";#N/A,#N/A,FALSE,"신규dep-기계,공구상각후"}</definedName>
    <definedName name="수정물량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정사항" hidden="1">#REF!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주" hidden="1">{#N/A,#N/A,FALSE,"기안지";#N/A,#N/A,FALSE,"통신지"}</definedName>
    <definedName name="수출">#REF!</definedName>
    <definedName name="수출2">#REF!</definedName>
    <definedName name="수출순위" hidden="1">{"'7-2지역별'!$A$1:$R$44"}</definedName>
    <definedName name="수퍼살롱LPG">#REF!</definedName>
    <definedName name="순서" hidden="1">{#N/A,#N/A,FALSE,"1.CRITERIA";#N/A,#N/A,FALSE,"2.IS";#N/A,#N/A,FALSE,"3.BS";#N/A,#N/A,FALSE,"4.PER PL";#N/A,#N/A,FALSE,"5.INVESTMENT";#N/A,#N/A,FALSE,"6.공문";#N/A,#N/A,FALSE,"7.netinvest"}</definedName>
    <definedName name="스탭료합계">#REF!</definedName>
    <definedName name="슬래그">#REF!</definedName>
    <definedName name="슬래그파우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승계_대출">#REF!</definedName>
    <definedName name="승용2">#REF!</definedName>
    <definedName name="시">#REF!</definedName>
    <definedName name="시간" hidden="1">{#N/A,#N/A,TRUE,"Y생산";#N/A,#N/A,TRUE,"Y판매";#N/A,#N/A,TRUE,"Y총물량";#N/A,#N/A,TRUE,"Y능력";#N/A,#N/A,TRUE,"YKD"}</definedName>
    <definedName name="시급">#REF!</definedName>
    <definedName name="시나리오">#REF!</definedName>
    <definedName name="시느">#REF!</definedName>
    <definedName name="시럽680">#REF!</definedName>
    <definedName name="시매출">#REF!</definedName>
    <definedName name="시산">#REF!</definedName>
    <definedName name="시설투자">#N/A</definedName>
    <definedName name="시이자">#REF!</definedName>
    <definedName name="시인원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식대2">#REF!</definedName>
    <definedName name="신AT종합" hidden="1">{#N/A,#N/A,FALSE,"단축1";#N/A,#N/A,FALSE,"단축2";#N/A,#N/A,FALSE,"단축3";#N/A,#N/A,FALSE,"장축";#N/A,#N/A,FALSE,"4WD"}</definedName>
    <definedName name="신고구분">#REF!</definedName>
    <definedName name="신고구분목록">#REF!</definedName>
    <definedName name="신규_대출">#REF!</definedName>
    <definedName name="신사번">#REF!</definedName>
    <definedName name="신상">#REF!</definedName>
    <definedName name="신설통계" hidden="1">{#N/A,#N/A,FALSE,"3가";#N/A,#N/A,FALSE,"3나";#N/A,#N/A,FALSE,"3다"}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우단가표">#REF!</definedName>
    <definedName name="신한은행_1" hidden="1">{#N/A,#N/A,FALSE,"Aging Summary";#N/A,#N/A,FALSE,"Ratio Analysis";#N/A,#N/A,FALSE,"Test 120 Day Accts";#N/A,#N/A,FALSE,"Tickmarks"}</definedName>
    <definedName name="신한은행_2" hidden="1">{#N/A,#N/A,FALSE,"Aging Summary";#N/A,#N/A,FALSE,"Ratio Analysis";#N/A,#N/A,FALSE,"Test 120 Day Accts";#N/A,#N/A,FALSE,"Tickmarks"}</definedName>
    <definedName name="신한은행수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효성" hidden="1">{"'호선별현황(방식)'!$K$22:$P$22","'호선별현황(방식)'!$K$22:$P$22"}</definedName>
    <definedName name="실수요">#REF!</definedName>
    <definedName name="실시" hidden="1">{#N/A,#N/A,FALSE,"단축1";#N/A,#N/A,FALSE,"단축2";#N/A,#N/A,FALSE,"단축3";#N/A,#N/A,FALSE,"장축";#N/A,#N/A,FALSE,"4WD"}</definedName>
    <definedName name="실적">#REF!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4">#REF!</definedName>
    <definedName name="실제급여" hidden="1">{#N/A,#N/A,TRUE,"대 차 대 조 표"}</definedName>
    <definedName name="실제급여_1" hidden="1">{#N/A,#N/A,TRUE,"대 차 대 조 표"}</definedName>
    <definedName name="실제매출전체">#REF!</definedName>
    <definedName name="실제수익회당">#REF!</definedName>
    <definedName name="실초출">#REF!</definedName>
    <definedName name="실행">#N/A</definedName>
    <definedName name="심양신세게">#REF!</definedName>
    <definedName name="십">IF(INT(RIGHT(#REF!,2)/10)=0,"",CHOOSE(INT(RIGHT(#REF!,2)/10),"일","이","삼","사","오","육","칠","팔","구")&amp;"십")</definedName>
    <definedName name="십만">IF(INT(RIGHT(#REF!,6)/100000)=0,"",CHOOSE(INT(RIGHT(#REF!,6)/100000),"일","이","삼","사","오","육","칠","팔","구")&amp;"십")</definedName>
    <definedName name="십이월">#REF!</definedName>
    <definedName name="씨엔에이치" hidden="1">{#N/A,#N/A,TRUE,"대 차 대 조 표"}</definedName>
    <definedName name="씨엔에이치_1" hidden="1">{#N/A,#N/A,TRUE,"대 차 대 조 표"}</definedName>
    <definedName name="씨티">#REF!</definedName>
    <definedName name="ㅇ" hidden="1">{#N/A,#N/A,FALSE,"Aging Summary";#N/A,#N/A,FALSE,"Ratio Analysis";#N/A,#N/A,FALSE,"Test 120 Day Accts";#N/A,#N/A,FALSE,"Tickmarks"}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ㄹㅇㅇㅇㅇㅇㅇㅇㅇㅇㅇㅇ">#REF!</definedName>
    <definedName name="ㅇㄴㄻㄴㅇㄹ" hidden="1">{#N/A,#N/A,TRUE,"Y생산";#N/A,#N/A,TRUE,"Y판매";#N/A,#N/A,TRUE,"Y총물량";#N/A,#N/A,TRUE,"Y능력";#N/A,#N/A,TRUE,"YKD"}</definedName>
    <definedName name="ㅇㄴㄻㄴㅇㄹ_1" hidden="1">{#N/A,#N/A,TRUE,"Y생산";#N/A,#N/A,TRUE,"Y판매";#N/A,#N/A,TRUE,"Y총물량";#N/A,#N/A,TRUE,"Y능력";#N/A,#N/A,TRUE,"YKD"}</definedName>
    <definedName name="ㅇㄴㅇㄹㄴㅇ" hidden="1">{#N/A,#N/A,TRUE,"Y생산";#N/A,#N/A,TRUE,"Y판매";#N/A,#N/A,TRUE,"Y총물량";#N/A,#N/A,TRUE,"Y능력";#N/A,#N/A,TRUE,"YKD"}</definedName>
    <definedName name="ㅇㄴㅇㄹㄴㅇ_1" hidden="1">{#N/A,#N/A,TRUE,"Y생산";#N/A,#N/A,TRUE,"Y판매";#N/A,#N/A,TRUE,"Y총물량";#N/A,#N/A,TRUE,"Y능력";#N/A,#N/A,TRUE,"YKD"}</definedName>
    <definedName name="ㅇ니라먼" hidden="1">{#N/A,#N/A,FALSE,"BS";#N/A,#N/A,FALSE,"PL";#N/A,#N/A,FALSE,"처분";#N/A,#N/A,FALSE,"현금";#N/A,#N/A,FALSE,"매출";#N/A,#N/A,FALSE,"원가";#N/A,#N/A,FALSE,"경영"}</definedName>
    <definedName name="ㅇㄷㄴ" hidden="1">{#N/A,#N/A,FALSE,"Aging Summary";#N/A,#N/A,FALSE,"Ratio Analysis";#N/A,#N/A,FALSE,"Test 120 Day Accts";#N/A,#N/A,FALSE,"Tickmarks"}</definedName>
    <definedName name="ㅇㄹ" hidden="1">{#N/A,#N/A,FALSE,"BS";#N/A,#N/A,FALSE,"PL";#N/A,#N/A,FALSE,"처분";#N/A,#N/A,FALSE,"현금";#N/A,#N/A,FALSE,"매출";#N/A,#N/A,FALSE,"원가";#N/A,#N/A,FALSE,"경영"}</definedName>
    <definedName name="ㅇㄹㄴㄷㄱㅈ" hidden="1">#REF!</definedName>
    <definedName name="ㅇㄹㄴㅇㄹ" hidden="1">{#N/A,#N/A,TRUE,"Y생산";#N/A,#N/A,TRUE,"Y판매";#N/A,#N/A,TRUE,"Y총물량";#N/A,#N/A,TRUE,"Y능력";#N/A,#N/A,TRUE,"YKD"}</definedName>
    <definedName name="ㅇㄹㄴㅇㄹ_1" hidden="1">{#N/A,#N/A,TRUE,"Y생산";#N/A,#N/A,TRUE,"Y판매";#N/A,#N/A,TRUE,"Y총물량";#N/A,#N/A,TRUE,"Y능력";#N/A,#N/A,TRUE,"YKD"}</definedName>
    <definedName name="ㅇㄹㅀㅎ" hidden="1">{#N/A,#N/A,FALSE,"Aging Summary";#N/A,#N/A,FALSE,"Ratio Analysis";#N/A,#N/A,FALSE,"Test 120 Day Accts";#N/A,#N/A,FALSE,"Tickmarks"}</definedName>
    <definedName name="ㅇㄹㅇ" hidden="1">{#N/A,#N/A,FALSE,"3가";#N/A,#N/A,FALSE,"3나";#N/A,#N/A,FALSE,"3다"}</definedName>
    <definedName name="ㅇㄹㅇㄴ" hidden="1">{#N/A,#N/A,FALSE,"3가";#N/A,#N/A,FALSE,"3나";#N/A,#N/A,FALSE,"3다"}</definedName>
    <definedName name="ㅇㄹㅇㄴㄹ" hidden="1">{#N/A,#N/A,TRUE,"Y생산";#N/A,#N/A,TRUE,"Y판매";#N/A,#N/A,TRUE,"Y총물량";#N/A,#N/A,TRUE,"Y능력";#N/A,#N/A,TRUE,"YKD"}</definedName>
    <definedName name="ㅇㄹㅇㄴㄹ_1" hidden="1">{#N/A,#N/A,TRUE,"Y생산";#N/A,#N/A,TRUE,"Y판매";#N/A,#N/A,TRUE,"Y총물량";#N/A,#N/A,TRUE,"Y능력";#N/A,#N/A,TRUE,"YKD"}</definedName>
    <definedName name="ㅇㄹㅇㄹ">#REF!</definedName>
    <definedName name="ㅇㄹㅇㄹ_1" hidden="1">{#N/A,#N/A,TRUE,"Y생산";#N/A,#N/A,TRUE,"Y판매";#N/A,#N/A,TRUE,"Y총물량";#N/A,#N/A,TRUE,"Y능력";#N/A,#N/A,TRUE,"YKD"}</definedName>
    <definedName name="ㅇㄹㅇㄹㅇㄹㅇㄹㅇㄹㅇㄹㅇㄹㅇㄹ" hidden="1">{#N/A,#N/A,FALSE,"이력서&amp;자기소개서"}</definedName>
    <definedName name="ㅇㄹㅇㅁㄴ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ㄻㄴㅇㄻㄴ">#REF!</definedName>
    <definedName name="ㅇㄻㅇ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ㄹ" hidden="1">{#N/A,#N/A,FALSE,"Aging Summary";#N/A,#N/A,FALSE,"Ratio Analysis";#N/A,#N/A,FALSE,"Test 120 Day Accts";#N/A,#N/A,FALSE,"Tickmarks"}</definedName>
    <definedName name="ㅇㅀㄴㅇ" hidden="1">{#N/A,#N/A,FALSE,"채산3501.XLS";#N/A,#N/A,FALSE,"신조수A.XLS";#N/A,#N/A,FALSE,"신조수b.XLS";#N/A,#N/A,FALSE,"채산3502.XLS";#N/A,#N/A,FALSE,"신조원리.XLS";#N/A,#N/A,FALSE,"신조감가.XLS"}</definedName>
    <definedName name="ㅇㅀㅇㅁㄹ" hidden="1">{#N/A,#N/A,FALSE,"3가";#N/A,#N/A,FALSE,"3나";#N/A,#N/A,FALSE,"3다"}</definedName>
    <definedName name="ㅇㅁㄻ" hidden="1">{#N/A,#N/A,FALSE,"Aging Summary";#N/A,#N/A,FALSE,"Ratio Analysis";#N/A,#N/A,FALSE,"Test 120 Day Accts";#N/A,#N/A,FALSE,"Tickmarks"}</definedName>
    <definedName name="ㅇㅁㄻㅇㄴㄹㅇㅁ" hidden="1">{#N/A,#N/A,FALSE,"Aging Summary";#N/A,#N/A,FALSE,"Ratio Analysis";#N/A,#N/A,FALSE,"Test 120 Day Accts";#N/A,#N/A,FALSE,"Tickmarks"}</definedName>
    <definedName name="ㅇㅁㄻㅇㄹ" hidden="1">{#N/A,#N/A,FALSE,"Aging Summary";#N/A,#N/A,FALSE,"Ratio Analysis";#N/A,#N/A,FALSE,"Test 120 Day Accts";#N/A,#N/A,FALSE,"Tickmarks"}</definedName>
    <definedName name="ㅇㅁㅇ">#REF!</definedName>
    <definedName name="ㅇㅇ">#REF!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ㄴ" localSheetId="0">BlankMacro1</definedName>
    <definedName name="ㅇㅇㄴ">BlankMacro1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ㅁㄹ">#REF!</definedName>
    <definedName name="ㅇㅇㅇ">#REF!</definedName>
    <definedName name="ㅇㅇㅇㅇ">#REF!</definedName>
    <definedName name="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_1" hidden="1">{#N/A,#N/A,TRUE,"대 차 대 조 표"}</definedName>
    <definedName name="ㅇㅇㅇㅇㅇㅇ">#REF!</definedName>
    <definedName name="ㅇㅇㅇㅇㅇㅇㅇㅇ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ㅇㅇㅇ" hidden="1">{#N/A,#N/A,TRUE,"Y생산";#N/A,#N/A,TRUE,"Y판매";#N/A,#N/A,TRUE,"Y총물량";#N/A,#N/A,TRUE,"Y능력";#N/A,#N/A,TRUE,"YKD"}</definedName>
    <definedName name="ㅇㅇㅇㅇㅇㅇㅇㅇㅇㅇㅇ_1" hidden="1">{#N/A,#N/A,TRUE,"Y생산";#N/A,#N/A,TRUE,"Y판매";#N/A,#N/A,TRUE,"Y총물량";#N/A,#N/A,TRUE,"Y능력";#N/A,#N/A,TRUE,"YKD"}</definedName>
    <definedName name="ㅇㅇㅇㅇㅇㅇㅇㅇㅇㅇㅇㅇ">#REF!</definedName>
    <definedName name="ㅇㅇㅇㅇㅇㅇㅇㅇㅇㅇㅇㅇㅇㅇ">#REF!</definedName>
    <definedName name="ㅇㅇㅇㅇㅇㅇㅇㅇㅇㅇㅇㅇㅇㅇㅇㅇㅇㅇㅇ">#REF!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ㅎ" hidden="1">{#N/A,#N/A,FALSE,"단축1";#N/A,#N/A,FALSE,"단축2";#N/A,#N/A,FALSE,"단축3";#N/A,#N/A,FALSE,"장축";#N/A,#N/A,FALSE,"4WD"}</definedName>
    <definedName name="ㅇ호">#REF!</definedName>
    <definedName name="아">#REF!</definedName>
    <definedName name="아름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템">OFFSET(#REF!,0,0,COUNTA(#REF!)-1)</definedName>
    <definedName name="아프">#REF!</definedName>
    <definedName name="아ㅏㅏ" hidden="1">#REF!</definedName>
    <definedName name="안">#REF!</definedName>
    <definedName name="안건종합">#REF!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우준" hidden="1">{#N/A,#N/A,FALSE,"채산3501.XLS";#N/A,#N/A,FALSE,"신조수A.XLS";#N/A,#N/A,FALSE,"신조수b.XLS";#N/A,#N/A,FALSE,"채산3502.XLS";#N/A,#N/A,FALSE,"신조원리.XLS";#N/A,#N/A,FALSE,"신조감가.XLS"}</definedName>
    <definedName name="안재용">#REF!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알">#REF!</definedName>
    <definedName name="알제리">#REF!</definedName>
    <definedName name="암류허가신청">#N/A</definedName>
    <definedName name="암사" hidden="1">{#N/A,#N/A,TRUE,"대 차 대 조 표"}</definedName>
    <definedName name="암사_1" hidden="1">{#N/A,#N/A,TRUE,"대 차 대 조 표"}</definedName>
    <definedName name="앙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야간근로">#REF!</definedName>
    <definedName name="야간연장">#REF!</definedName>
    <definedName name="야간휴일">#REF!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승">#REF!</definedName>
    <definedName name="양승화">#REF!</definedName>
    <definedName name="어떡해" hidden="1">{"'Sheet1'!$A$1:$H$36"}</definedName>
    <definedName name="어떻하지" hidden="1">#REF!</definedName>
    <definedName name="어떻화라고" hidden="1">{"'호선별현황(방식)'!$K$22:$P$22","'호선별현황(방식)'!$K$22:$P$22"}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금율_120">#REF!</definedName>
    <definedName name="어음수금율_150">#REF!</definedName>
    <definedName name="어음수금율_180">#REF!</definedName>
    <definedName name="어음수금율_30">#REF!</definedName>
    <definedName name="어음수금율_60">#REF!</definedName>
    <definedName name="어음수금율_90">#REF!</definedName>
    <definedName name="어쩌구">#REF!</definedName>
    <definedName name="어쩌라고">#REF!</definedName>
    <definedName name="어ㅏ얼ㅇㄹ">#REF!</definedName>
    <definedName name="억">IF(INT(RIGHT(#REF!,9)/100000000)=0,"",CHOOSE(INT(RIGHT(#REF!,9)/100000000),"일","이","삼","사","오","육","칠","팔","구")&amp;"억")</definedName>
    <definedName name="업무">#REF!</definedName>
    <definedName name="업무_1" hidden="1">{#N/A,#N/A,TRUE,"대 차 대 조 표"}</definedName>
    <definedName name="업무2">#REF!</definedName>
    <definedName name="업무계획" hidden="1">{"'호선별현황(방식)'!$K$22:$P$22","'호선별현황(방식)'!$K$22:$P$22"}</definedName>
    <definedName name="업무계획표" hidden="1">{#N/A,#N/A,TRUE,"대 차 대 조 표"}</definedName>
    <definedName name="업무계획표_1" hidden="1">{#N/A,#N/A,TRUE,"대 차 대 조 표"}</definedName>
    <definedName name="업무계획표01" hidden="1">{#N/A,#N/A,TRUE,"대 차 대 조 표"}</definedName>
    <definedName name="업무계획표01_1" hidden="1">{#N/A,#N/A,TRUE,"대 차 대 조 표"}</definedName>
    <definedName name="업무시행">#REF!</definedName>
    <definedName name="업무실적1">#REF!</definedName>
    <definedName name="업무연락안양식_209_List">#REF!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소월별사용량">#N/A</definedName>
    <definedName name="엉댜ㄷㅈ">#REF!</definedName>
    <definedName name="엉댜ㄷㅈ1">#N/A</definedName>
    <definedName name="에너지비용산출근거" localSheetId="0">BlankMacro1</definedName>
    <definedName name="에너지비용산출근거">BlankMacro1</definedName>
    <definedName name="에누리.본">#REF!</definedName>
    <definedName name="에스페로16LPG">#REF!</definedName>
    <definedName name="에이" hidden="1">{#N/A,#N/A,TRUE,"Y생산";#N/A,#N/A,TRUE,"Y판매";#N/A,#N/A,TRUE,"Y총물량";#N/A,#N/A,TRUE,"Y능력";#N/A,#N/A,TRUE,"YKD"}</definedName>
    <definedName name="엘지">OFFSET(#REF!,0,0,COUNTA(#REF!)-1,1)</definedName>
    <definedName name="여유분">#REF!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률요금1">IF(#REF!="저압",0,ROUND(IF(#REF!&gt;0.95,0.05,#REF!-0.9)*기본요금1*MAX(피크치1,#REF!,#REF!*0.3),0))</definedName>
    <definedName name="역삼동각지">#REF!</definedName>
    <definedName name="역삼빵">#REF!</definedName>
    <definedName name="역삼정산">#REF!</definedName>
    <definedName name="연">#REF!</definedName>
    <definedName name="연구" hidden="1">{#N/A,#N/A,FALSE,"3가";#N/A,#N/A,FALSE,"3나";#N/A,#N/A,FALSE,"3다"}</definedName>
    <definedName name="연구개발비">#REF!</definedName>
    <definedName name="연구비">#REF!</definedName>
    <definedName name="연면적_GFA">#REF!</definedName>
    <definedName name="연봉">#REF!</definedName>
    <definedName name="연봉1">#REF!</definedName>
    <definedName name="연봉2">#REF!</definedName>
    <definedName name="연봉3">#REF!</definedName>
    <definedName name="연습">#REF!</definedName>
    <definedName name="연월차">#REF!</definedName>
    <definedName name="연율">#REF!</definedName>
    <definedName name="연장">#REF!</definedName>
    <definedName name="연장추가">#REF!</definedName>
    <definedName name="연제판">#REF!</definedName>
    <definedName name="연직고">#REF!</definedName>
    <definedName name="연직변">#REF!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처리" hidden="1">{#N/A,#N/A,FALSE,"단축1";#N/A,#N/A,FALSE,"단축2";#N/A,#N/A,FALSE,"단축3";#N/A,#N/A,FALSE,"장축";#N/A,#N/A,FALSE,"4WD"}</definedName>
    <definedName name="영">#REF!</definedName>
    <definedName name="영비">#REF!</definedName>
    <definedName name="영수">#REF!</definedName>
    <definedName name="영업" hidden="1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본" hidden="1">{#N/A,#N/A,FALSE,"표지";#N/A,#N/A,FALSE,"전제";#N/A,#N/A,FALSE,"손익-자 (2)";#N/A,#N/A,FALSE,"손익-자";#N/A,#N/A,FALSE,"손익-마 (2)";#N/A,#N/A,FALSE,"손익-마";#N/A,#N/A,FALSE,"총손최종"}</definedName>
    <definedName name="영업부예산">#REF!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역">#REF!</definedName>
    <definedName name="영역1">#REF!</definedName>
    <definedName name="영외수">#REF!</definedName>
    <definedName name="예">#REF!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비분석">#REF!</definedName>
    <definedName name="예비비합계">#REF!</definedName>
    <definedName name="예산" hidden="1">{#N/A,#N/A,FALSE,"단축1";#N/A,#N/A,FALSE,"단축2";#N/A,#N/A,FALSE,"단축3";#N/A,#N/A,FALSE,"장축";#N/A,#N/A,FALSE,"4WD"}</definedName>
    <definedName name="예산1기_시작년도">#REF!</definedName>
    <definedName name="예산1기_시작월일">#REF!</definedName>
    <definedName name="예산1기_종료월일">#REF!</definedName>
    <definedName name="예산2기_시작년도">#REF!</definedName>
    <definedName name="예산2기_시작월일">#REF!</definedName>
    <definedName name="예산2기_종료월일">#REF!</definedName>
    <definedName name="예산기수1">#REF!</definedName>
    <definedName name="예산기수2">#REF!</definedName>
    <definedName name="예산총괄시트설ONLY">#REF!</definedName>
    <definedName name="예상매출전체">#REF!</definedName>
    <definedName name="예상매출회당">#REF!</definedName>
    <definedName name="예상실적">#REF!</definedName>
    <definedName name="예수금">#REF!</definedName>
    <definedName name="예정량1">#REF!</definedName>
    <definedName name="예정량2">#REF!</definedName>
    <definedName name="예정일1">#REF!</definedName>
    <definedName name="예정일2">#REF!</definedName>
    <definedName name="오">#REF!</definedName>
    <definedName name="오늘" hidden="1">{#N/A,#N/A,TRUE,"Y생산";#N/A,#N/A,TRUE,"Y판매";#N/A,#N/A,TRUE,"Y총물량";#N/A,#N/A,TRUE,"Y능력";#N/A,#N/A,TRUE,"YKD"}</definedName>
    <definedName name="오릉">#REF!</definedName>
    <definedName name="오성협" hidden="1">{#N/A,#N/A,TRUE,"Y생산";#N/A,#N/A,TRUE,"Y판매";#N/A,#N/A,TRUE,"Y총물량";#N/A,#N/A,TRUE,"Y능력";#N/A,#N/A,TRUE,"YKD"}</definedName>
    <definedName name="오케이" hidden="1">{#N/A,#N/A,FALSE,"단축1";#N/A,#N/A,FALSE,"단축2";#N/A,#N/A,FALSE,"단축3";#N/A,#N/A,FALSE,"장축";#N/A,#N/A,FALSE,"4WD"}</definedName>
    <definedName name="오ㅑ">#REF!</definedName>
    <definedName name="옹홍ㅇㄹㅇㅇ">#REF!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불만">#REF!</definedName>
    <definedName name="왈왈">#REF!</definedName>
    <definedName name="왜이러냐" hidden="1">{"'Sheet1'!$A$1:$H$36"}</definedName>
    <definedName name="외국인급여">#REF!</definedName>
    <definedName name="외상" hidden="1">{#N/A,#N/A,FALSE,"Aging Summary";#N/A,#N/A,FALSE,"Ratio Analysis";#N/A,#N/A,FALSE,"Test 120 Day Accts";#N/A,#N/A,FALSE,"Tickmarks"}</definedName>
    <definedName name="외상매입">#REF!</definedName>
    <definedName name="외상매입금">#REF!</definedName>
    <definedName name="외상매출금">#REF!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자비" hidden="1">#REF!</definedName>
    <definedName name="외주">#N/A</definedName>
    <definedName name="외주계획" hidden="1">{#N/A,#N/A,TRUE,"Y생산";#N/A,#N/A,TRUE,"Y판매";#N/A,#N/A,TRUE,"Y총물량";#N/A,#N/A,TRUE,"Y능력";#N/A,#N/A,TRUE,"YKD"}</definedName>
    <definedName name="외주단가">#REF!</definedName>
    <definedName name="외주인상">#REF!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외상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외화평가">#REF!</definedName>
    <definedName name="외화환산" hidden="1">{#N/A,#N/A,FALSE,"Aging Summary";#N/A,#N/A,FALSE,"Ratio Analysis";#N/A,#N/A,FALSE,"Test 120 Day Accts";#N/A,#N/A,FALSE,"Tickmarks"}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차손AD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금">#REF!</definedName>
    <definedName name="요약1" hidden="1">{"'호선별현황(방식)'!$K$22:$P$22","'호선별현황(방식)'!$K$22:$P$22"}</definedName>
    <definedName name="요율표">#REF!</definedName>
    <definedName name="요인별2" hidden="1">#REF!</definedName>
    <definedName name="요일">#REF!</definedName>
    <definedName name="요척량">#REF!,#REF!,#REF!,#REF!,#REF!,#REF!,#REF!,#REF!,#REF!,#REF!,#REF!,#REF!,#REF!,#REF!,#REF!</definedName>
    <definedName name="용도차" hidden="1">{#N/A,#N/A,FALSE,"단축1";#N/A,#N/A,FALSE,"단축2";#N/A,#N/A,FALSE,"단축3";#N/A,#N/A,FALSE,"장축";#N/A,#N/A,FALSE,"4WD"}</definedName>
    <definedName name="용역">#REF!</definedName>
    <definedName name="용품" hidden="1">{#N/A,#N/A,FALSE,"95FW"}</definedName>
    <definedName name="용품스케쥴" hidden="1">{#N/A,#N/A,FALSE,"95FW"}</definedName>
    <definedName name="우라" hidden="1">{"'Sheet1'!$A$1:$D$15"}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나라" hidden="1">{#N/A,#N/A,TRUE,"Y생산";#N/A,#N/A,TRUE,"Y판매";#N/A,#N/A,TRUE,"Y총물량";#N/A,#N/A,TRUE,"Y능력";#N/A,#N/A,TRUE,"YKD"}</definedName>
    <definedName name="우리별은">#REF!</definedName>
    <definedName name="우오수공" hidden="1">{#N/A,#N/A,FALSE,"기안지";#N/A,#N/A,FALSE,"통신지"}</definedName>
    <definedName name="우진기타불량">#REF!</definedName>
    <definedName name="우진기획">#REF!</definedName>
    <definedName name="우진기획량">#REF!</definedName>
    <definedName name="우진요척량">#REF!</definedName>
    <definedName name="우진원불">#REF!</definedName>
    <definedName name="우진정품입고">#REF!</definedName>
    <definedName name="우진취불">#REF!</definedName>
    <definedName name="운반비">#REF!</definedName>
    <definedName name="운송">#REF!</definedName>
    <definedName name="운송ㅁ">#REF!</definedName>
    <definedName name="운송명세">#REF!</definedName>
    <definedName name="운영계획" hidden="1">{#N/A,#N/A,FALSE,"SILO현황";#N/A,#N/A,FALSE,"타업체";#N/A,#N/A,FALSE,"생산능력"}</definedName>
    <definedName name="운영비">20690</definedName>
    <definedName name="운영팀2" hidden="1">{#N/A,#N/A,TRUE,"Y생산";#N/A,#N/A,TRUE,"Y판매";#N/A,#N/A,TRUE,"Y총물량";#N/A,#N/A,TRUE,"Y능력";#N/A,#N/A,TRUE,"YKD"}</definedName>
    <definedName name="운영팀2_1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개선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단" hidden="1">{#N/A,#N/A,TRUE,"Y생산";#N/A,#N/A,TRUE,"Y판매";#N/A,#N/A,TRUE,"Y총물량";#N/A,#N/A,TRUE,"Y능력";#N/A,#N/A,TRUE,"YKD"}</definedName>
    <definedName name="원단위">#REF!</definedName>
    <definedName name="원본">#REF!</definedName>
    <definedName name="원본2" hidden="1">#REF!</definedName>
    <definedName name="원우">OFFSET(#REF!,0,0,COUNTA(#REF!)-1,1)</definedName>
    <definedName name="원재료장성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>#REF!</definedName>
    <definedName name="월례" hidden="1">{"'호선별현황(방식)'!$K$22:$P$22","'호선별현황(방식)'!$K$22:$P$22"}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">#REF!</definedName>
    <definedName name="월별보전비">#REF!</definedName>
    <definedName name="월별분배">#REF!</definedName>
    <definedName name="월별영업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출고계획" hidden="1">{#N/A,#N/A,FALSE,"95FW"}</definedName>
    <definedName name="월시간">#REF!</definedName>
    <definedName name="위치">#REF!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니트" hidden="1">{#N/A,#N/A,FALSE,"3가";#N/A,#N/A,FALSE,"3나";#N/A,#N/A,FALSE,"3다"}</definedName>
    <definedName name="유동성사채">#REF!</definedName>
    <definedName name="유동성장기부채">#REF!</definedName>
    <definedName name="유럽">#REF!</definedName>
    <definedName name="유로환율">#REF!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진종합">#REF!</definedName>
    <definedName name="유통">#REF!</definedName>
    <definedName name="유형근" hidden="1">"AS2DocumentEdit"</definedName>
    <definedName name="유형자산">#REF!</definedName>
    <definedName name="유형자산tot" hidden="1">{#N/A,#N/A,FALSE,"Aging Summary";#N/A,#N/A,FALSE,"Ratio Analysis";#N/A,#N/A,FALSE,"Test 120 Day Accts";#N/A,#N/A,FALSE,"Tickmarks"}</definedName>
    <definedName name="유홍상" hidden="1">#N/A</definedName>
    <definedName name="육">#REF!</definedName>
    <definedName name="윤" hidden="1">#REF!</definedName>
    <definedName name="윤ㅁ" hidden="1">#N/A</definedName>
    <definedName name="윤종현윤종현">#REF!</definedName>
    <definedName name="은행_data">#REF!</definedName>
    <definedName name="은행명">#REF!</definedName>
    <definedName name="음악합계">#REF!</definedName>
    <definedName name="의결권" hidden="1">#REF!</definedName>
    <definedName name="의뢰">#REF!</definedName>
    <definedName name="의류">#REF!</definedName>
    <definedName name="의장">#REF!</definedName>
    <definedName name="이">#REF!</definedName>
    <definedName name="이고수">#N/A</definedName>
    <definedName name="이동" hidden="1">{#N/A,#N/A,FALSE,"채산3501.XLS";#N/A,#N/A,FALSE,"신조수A.XLS";#N/A,#N/A,FALSE,"신조수b.XLS";#N/A,#N/A,FALSE,"채산3502.XLS";#N/A,#N/A,FALSE,"신조원리.XLS";#N/A,#N/A,FALSE,"신조감가.XLS"}</definedName>
    <definedName name="이런" hidden="1">#N/A</definedName>
    <definedName name="이론량1">#REF!</definedName>
    <definedName name="이론량2">#REF!</definedName>
    <definedName name="이론초출">#REF!</definedName>
    <definedName name="이름" hidden="1">{#N/A,#N/A,TRUE,"Y생산";#N/A,#N/A,TRUE,"Y판매";#N/A,#N/A,TRUE,"Y총물량";#N/A,#N/A,TRUE,"Y능력";#N/A,#N/A,TRUE,"YKD"}</definedName>
    <definedName name="이름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모야" hidden="1">{#N/A,#N/A,FALSE,"95FW"}</definedName>
    <definedName name="이름이">#REF!</definedName>
    <definedName name="이름충돌\" hidden="1">{#N/A,#N/A,TRUE,"Y생산";#N/A,#N/A,TRUE,"Y판매";#N/A,#N/A,TRUE,"Y총물량";#N/A,#N/A,TRUE,"Y능력";#N/A,#N/A,TRUE,"YKD"}</definedName>
    <definedName name="이매출">#REF!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">#REF!</definedName>
    <definedName name="이승훈" hidden="1">#N/A</definedName>
    <definedName name="이연자산">#REF!</definedName>
    <definedName name="이이" hidden="1">{#N/A,#N/A,TRUE,"Y생산";#N/A,#N/A,TRUE,"Y판매";#N/A,#N/A,TRUE,"Y총물량";#N/A,#N/A,TRUE,"Y능력";#N/A,#N/A,TRUE,"YKD"}</definedName>
    <definedName name="이이_1" hidden="1">{#N/A,#N/A,TRUE,"Y생산";#N/A,#N/A,TRUE,"Y판매";#N/A,#N/A,TRUE,"Y총물량";#N/A,#N/A,TRUE,"Y능력";#N/A,#N/A,TRUE,"YKD"}</definedName>
    <definedName name="이이름">#REF!</definedName>
    <definedName name="이이자">#REF!</definedName>
    <definedName name="이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잉영금">#REF!</definedName>
    <definedName name="이인원">#REF!</definedName>
    <definedName name="이자비용">#REF!</definedName>
    <definedName name="이종화">#REF!</definedName>
    <definedName name="이천일년">#REF!</definedName>
    <definedName name="이철호" hidden="1">{#N/A,#N/A,FALSE,"Aging Summary";#N/A,#N/A,FALSE,"Ratio Analysis";#N/A,#N/A,FALSE,"Test 120 Day Accts";#N/A,#N/A,FALSE,"Tickmarks"}</definedName>
    <definedName name="이호">#REF!</definedName>
    <definedName name="이화감가">#REF!</definedName>
    <definedName name="이화매출">#REF!</definedName>
    <definedName name="이화인원">#REF!</definedName>
    <definedName name="익산">#REF!</definedName>
    <definedName name="익월업무계획">#REF!</definedName>
    <definedName name="인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건비">#REF!</definedName>
    <definedName name="인건비현황" hidden="1">{#N/A,#N/A,FALSE,"BS";#N/A,#N/A,FALSE,"PL";#N/A,#N/A,FALSE,"처분";#N/A,#N/A,FALSE,"현금";#N/A,#N/A,FALSE,"매출";#N/A,#N/A,FALSE,"원가";#N/A,#N/A,FALSE,"경영"}</definedName>
    <definedName name="인사" localSheetId="0">BlankMacro1</definedName>
    <definedName name="인사">BlankMacro1</definedName>
    <definedName name="인상률안분">#REF!</definedName>
    <definedName name="인쇄01">#REF!</definedName>
    <definedName name="인쇄제목">#REF!</definedName>
    <definedName name="인원10월">#REF!</definedName>
    <definedName name="인원11월">#REF!</definedName>
    <definedName name="인원12월">#REF!</definedName>
    <definedName name="인원3월">#REF!</definedName>
    <definedName name="인원4월">#REF!</definedName>
    <definedName name="인원5월">#REF!</definedName>
    <definedName name="인원6월">#REF!</definedName>
    <definedName name="인원7월">#REF!</definedName>
    <definedName name="인원8월">#REF!</definedName>
    <definedName name="인원9월">#REF!</definedName>
    <definedName name="인원세부" hidden="1">{#N/A,#N/A,TRUE,"Y생산";#N/A,#N/A,TRUE,"Y판매";#N/A,#N/A,TRUE,"Y총물량";#N/A,#N/A,TRUE,"Y능력";#N/A,#N/A,TRUE,"YKD"}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테리어팀" hidden="1">{#N/A,#N/A,TRUE,"Y생산";#N/A,#N/A,TRUE,"Y판매";#N/A,#N/A,TRUE,"Y총물량";#N/A,#N/A,TRUE,"Y능력";#N/A,#N/A,TRUE,"YKD"}</definedName>
    <definedName name="인테리어팀_1" hidden="1">{#N/A,#N/A,TRUE,"Y생산";#N/A,#N/A,TRUE,"Y판매";#N/A,#N/A,TRUE,"Y총물량";#N/A,#N/A,TRUE,"Y능력";#N/A,#N/A,TRUE,"YKD"}</definedName>
    <definedName name="일">#REF!</definedName>
    <definedName name="일동" hidden="1">{#N/A,#N/A,TRUE,"Y생산";#N/A,#N/A,TRUE,"Y판매";#N/A,#N/A,TRUE,"Y총물량";#N/A,#N/A,TRUE,"Y능력";#N/A,#N/A,TRUE,"YKD"}</definedName>
    <definedName name="일등국민">#REF!</definedName>
    <definedName name="一般管理" hidden="1">{"'買掛金'!$J$6"}</definedName>
    <definedName name="일반시급">#REF!</definedName>
    <definedName name="일산100">#REF!</definedName>
    <definedName name="일상보고">#REF!</definedName>
    <definedName name="일용직여" hidden="1">#REF!</definedName>
    <definedName name="일월급여">#REF!</definedName>
    <definedName name="일자">"Edit Box 13"</definedName>
    <definedName name="일정" hidden="1">{#N/A,#N/A,TRUE,"Y생산";#N/A,#N/A,TRUE,"Y판매";#N/A,#N/A,TRUE,"Y총물량";#N/A,#N/A,TRUE,"Y능력";#N/A,#N/A,TRUE,"YKD"}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금인상">#REF!</definedName>
    <definedName name="임대07년">#REF!</definedName>
    <definedName name="임대07년1">#REF!</definedName>
    <definedName name="임대08년">#REF!</definedName>
    <definedName name="임대09년">#REF!</definedName>
    <definedName name="임ㅅ1" hidden="1">0</definedName>
    <definedName name="임시">#REF!</definedName>
    <definedName name="임원회의">#REF!</definedName>
    <definedName name="임원회의20">#REF!</definedName>
    <definedName name="임차보증금">#REF!</definedName>
    <definedName name="입고1">#REF!</definedName>
    <definedName name="입고2">#REF!</definedName>
    <definedName name="입고3">#REF!</definedName>
    <definedName name="입고4">#REF!</definedName>
    <definedName name="입고5">#REF!</definedName>
    <definedName name="입사">#REF!</definedName>
    <definedName name="입사일">#REF!</definedName>
    <definedName name="잉여" hidden="1">{#N/A,#N/A,FALSE,"Aging Summary";#N/A,#N/A,FALSE,"Ratio Analysis";#N/A,#N/A,FALSE,"Test 120 Day Accts";#N/A,#N/A,FALSE,"Tickmarks"}</definedName>
    <definedName name="잉여금" hidden="1">{#N/A,#N/A,FALSE,"Aging Summary";#N/A,#N/A,FALSE,"Ratio Analysis";#N/A,#N/A,FALSE,"Test 120 Day Accts";#N/A,#N/A,FALSE,"Tickmarks"}</definedName>
    <definedName name="잉여금처분" hidden="1">{#N/A,#N/A,FALSE,"BS";#N/A,#N/A,FALSE,"PL";#N/A,#N/A,FALSE,"처분";#N/A,#N/A,FALSE,"현금";#N/A,#N/A,FALSE,"매출";#N/A,#N/A,FALSE,"원가";#N/A,#N/A,FALSE,"경영"}</definedName>
    <definedName name="ㅈ" hidden="1">{#N/A,#N/A,TRUE,"Y생산";#N/A,#N/A,TRUE,"Y판매";#N/A,#N/A,TRUE,"Y총물량";#N/A,#N/A,TRUE,"Y능력";#N/A,#N/A,TRUE,"YKD"}</definedName>
    <definedName name="ㅈ121">#REF!</definedName>
    <definedName name="ㅈ123">#REF!</definedName>
    <definedName name="ㅈ159">#REF!</definedName>
    <definedName name="ㅈ1591">#REF!</definedName>
    <definedName name="ㅈㄷㄱ" hidden="1">#REF!</definedName>
    <definedName name="ㅈㄷㄱㄱ" hidden="1">{#N/A,#N/A,FALSE,"Aging Summary";#N/A,#N/A,FALSE,"Ratio Analysis";#N/A,#N/A,FALSE,"Test 120 Day Accts";#N/A,#N/A,FALSE,"Tickmarks"}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ㄷㄱㄷ" hidden="1">#REF!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ㅈ" hidden="1">{"'Sheet1'!$A$1:$H$36"}</definedName>
    <definedName name="ㅈㅈㅈㅈㅈ">#REF!</definedName>
    <definedName name="ㅈㅈㅈㅈㅈㅈㅈ">#REF!</definedName>
    <definedName name="ㅈㅈㅈㅈㅈㅈㅈㅈ">#REF!</definedName>
    <definedName name="ㅈㅈㅈㅈㅈㅈㅈㅈㅈ">#REF!</definedName>
    <definedName name="자">#REF!</definedName>
    <definedName name="자금대구">#REF!</definedName>
    <definedName name="자금집행실적" hidden="1">{"'Sheet1'!$A$1:$H$36"}</definedName>
    <definedName name="자금청구현황대구">#REF!</definedName>
    <definedName name="자녀양육">#REF!</definedName>
    <definedName name="자동차투자" hidden="1">#REF!</definedName>
    <definedName name="자랑">#REF!</definedName>
    <definedName name="자료" hidden="1">{#N/A,#N/A,FALSE,"95FW"}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매출">#REF!</definedName>
    <definedName name="자본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본금과잉여금">#REF!</definedName>
    <definedName name="자본방" hidden="1">{#N/A,#N/A,FALSE,"Aging Summary";#N/A,#N/A,FALSE,"Ratio Analysis";#N/A,#N/A,FALSE,"Test 120 Day Accts";#N/A,#N/A,FALSE,"Tickmarks"}</definedName>
    <definedName name="자산">#REF!</definedName>
    <definedName name="자산_가치_상승률">#REF!</definedName>
    <definedName name="자산건전성">#REF!</definedName>
    <definedName name="자이자">#REF!</definedName>
    <definedName name="자인원">#REF!</definedName>
    <definedName name="자재기준" hidden="1">{#N/A,#N/A,TRUE,"Y생산";#N/A,#N/A,TRUE,"Y판매";#N/A,#N/A,TRUE,"Y총물량";#N/A,#N/A,TRUE,"Y능력";#N/A,#N/A,TRUE,"YKD"}</definedName>
    <definedName name="자체취소">#REF!</definedName>
    <definedName name="작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조서" hidden="1">{#N/A,#N/A,FALSE,"BS";#N/A,#N/A,FALSE,"PL";#N/A,#N/A,FALSE,"처분";#N/A,#N/A,FALSE,"현금";#N/A,#N/A,FALSE,"매출";#N/A,#N/A,FALSE,"원가";#N/A,#N/A,FALSE,"경영"}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경로">#REF!</definedName>
    <definedName name="작업복">35000</definedName>
    <definedName name="작업일수">#REF!</definedName>
    <definedName name="잔존만기">#REF!</definedName>
    <definedName name="雑費" hidden="1">{"'買掛金'!$J$6"}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장1">#REF!</definedName>
    <definedName name="장10">#REF!</definedName>
    <definedName name="장11">#REF!</definedName>
    <definedName name="장12">#REF!</definedName>
    <definedName name="장2">#REF!</definedName>
    <definedName name="장3">#REF!</definedName>
    <definedName name="장4">#REF!</definedName>
    <definedName name="장5">#REF!</definedName>
    <definedName name="장6">#REF!</definedName>
    <definedName name="장7">#REF!</definedName>
    <definedName name="장8">#REF!</definedName>
    <definedName name="장9">#REF!</definedName>
    <definedName name="장기" hidden="1">{#N/A,#N/A,TRUE,"Y생산";#N/A,#N/A,TRUE,"Y판매";#N/A,#N/A,TRUE,"Y총물량";#N/A,#N/A,TRUE,"Y능력";#N/A,#N/A,TRUE,"YKD"}</definedName>
    <definedName name="장기_1" hidden="1">{#N/A,#N/A,TRUE,"Y생산";#N/A,#N/A,TRUE,"Y판매";#N/A,#N/A,TRUE,"Y총물량";#N/A,#N/A,TRUE,"Y능력";#N/A,#N/A,TRUE,"YKD"}</definedName>
    <definedName name="장기선급비용">#REF!</definedName>
    <definedName name="장기차입">#REF!</definedName>
    <definedName name="장기투자.94.BB">#REF!</definedName>
    <definedName name="長島" hidden="1">{"'買掛金'!$J$6"}</definedName>
    <definedName name="장부가액">#REF!</definedName>
    <definedName name="장부가액합계">#REF!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비합계">#REF!</definedName>
    <definedName name="장선비용">#REF!</definedName>
    <definedName name="장성_2010">#REF!</definedName>
    <definedName name="장소사용료합계">#REF!</definedName>
    <definedName name="장애인10월">#REF!</definedName>
    <definedName name="장애인11월">#REF!</definedName>
    <definedName name="장애인12월">#REF!</definedName>
    <definedName name="장애인3월">#REF!</definedName>
    <definedName name="장애인4월">#REF!</definedName>
    <definedName name="장애인5월">#REF!</definedName>
    <definedName name="장애인6월">#REF!</definedName>
    <definedName name="장애인7월">#REF!</definedName>
    <definedName name="장애인8월">#REF!</definedName>
    <definedName name="장애인9월">#REF!</definedName>
    <definedName name="재고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1">#REF!</definedName>
    <definedName name="재고2">#REF!</definedName>
    <definedName name="재고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무" hidden="1">#REF!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장품">#REF!</definedName>
    <definedName name="저쩌구">#REF!</definedName>
    <definedName name="적용전체">#REF!</definedName>
    <definedName name="적용현황">#REF!</definedName>
    <definedName name="전기">#N/A</definedName>
    <definedName name="전년" hidden="1">#REF!</definedName>
    <definedName name="전산장비" hidden="1">{"'Sheet1'!$A$1:$H$36"}</definedName>
    <definedName name="전신전화">#REF!</definedName>
    <definedName name="전월요금1">ROUND(사용량1*(전월일수-#REF!+1)/전월일수,0)*사용요금10</definedName>
    <definedName name="전월요금2">ROUND(사용량2*(전월일수-#REF!+1)/전월일수,0)*사용요금20</definedName>
    <definedName name="전월일수">#N/A</definedName>
    <definedName name="전입액">#REF!</definedName>
    <definedName name="전장">#REF!</definedName>
    <definedName name="전장su">#REF!</definedName>
    <definedName name="전제2" hidden="1">#REF!</definedName>
    <definedName name="전차종" hidden="1">{#N/A,#N/A,FALSE,"표지";#N/A,#N/A,FALSE,"전제";#N/A,#N/A,FALSE,"대당";#N/A,#N/A,FALSE,"가공비";#N/A,#N/A,FALSE,"재료비";#N/A,#N/A,FALSE,"손익"}</definedName>
    <definedName name="전체24">#REF!</definedName>
    <definedName name="전체예산">#REF!</definedName>
    <definedName name="전체제작회수">#REF!</definedName>
    <definedName name="전표">#REF!</definedName>
    <definedName name="전표입력">#REF!</definedName>
    <definedName name="절감">#REF!</definedName>
    <definedName name="絶費" hidden="1">{"'買掛金'!$J$6"}</definedName>
    <definedName name="점소">#N/A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집계">#REF!</definedName>
    <definedName name="정" hidden="1">{#N/A,#N/A,FALSE,"Aging Summary";#N/A,#N/A,FALSE,"Ratio Analysis";#N/A,#N/A,FALSE,"Test 120 Day Accts";#N/A,#N/A,FALSE,"Tickmarks"}</definedName>
    <definedName name="정렬분">#REF!</definedName>
    <definedName name="정리" hidden="1">{#N/A,#N/A,TRUE,"대 차 대 조 표"}</definedName>
    <definedName name="정리_1" hidden="1">{#N/A,#N/A,TRUE,"대 차 대 조 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{#N/A,#N/A,FALSE,"Aging Summary";#N/A,#N/A,FALSE,"Ratio Analysis";#N/A,#N/A,FALSE,"Test 120 Day Accts";#N/A,#N/A,FALSE,"Tickmarks"}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우성" hidden="1">{#N/A,#N/A,FALSE,"단축1";#N/A,#N/A,FALSE,"단축2";#N/A,#N/A,FALSE,"단축3";#N/A,#N/A,FALSE,"장축";#N/A,#N/A,FALSE,"4WD"}</definedName>
    <definedName name="정징" hidden="1">{#N/A,#N/A,TRUE,"Y생산";#N/A,#N/A,TRUE,"Y판매";#N/A,#N/A,TRUE,"Y총물량";#N/A,#N/A,TRUE,"Y능력";#N/A,#N/A,TRUE,"YKD"}</definedName>
    <definedName name="정호">#REF!</definedName>
    <definedName name="제">#REF!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동" hidden="1">#REF!</definedName>
    <definedName name="제동부하" hidden="1">#REF!</definedName>
    <definedName name="제동생산" hidden="1">#REF!</definedName>
    <definedName name="제목">#REF!</definedName>
    <definedName name="제목1">#REF!</definedName>
    <definedName name="제목2">#REF!</definedName>
    <definedName name="제목3">#REF!</definedName>
    <definedName name="제목4">#REF!</definedName>
    <definedName name="제일기획">#REF!</definedName>
    <definedName name="제일기획량">#REF!</definedName>
    <definedName name="제일요척량">#REF!</definedName>
    <definedName name="제일원불">#REF!</definedName>
    <definedName name="제일정품입고">#REF!</definedName>
    <definedName name="제일취불">#REF!</definedName>
    <definedName name="제작납품합계">#REF!</definedName>
    <definedName name="제작사명">#REF!</definedName>
    <definedName name="제작운영비합계">#REF!</definedName>
    <definedName name="제작지원합계">#REF!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>#REF!</definedName>
    <definedName name="제주추가종합수정안" hidden="1">{#N/A,#N/A,FALSE,"3가";#N/A,#N/A,FALSE,"3나";#N/A,#N/A,FALSE,"3다"}</definedName>
    <definedName name="제출일">#REF!</definedName>
    <definedName name="제품명">#REF!</definedName>
    <definedName name="제품생산량">#REF!</definedName>
    <definedName name="제품시화">#REF!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건">#REF!</definedName>
    <definedName name="조건부">#REF!</definedName>
    <definedName name="조립" hidden="1">{#N/A,#N/A,FALSE,"단축1";#N/A,#N/A,FALSE,"단축2";#N/A,#N/A,FALSE,"단축3";#N/A,#N/A,FALSE,"장축";#N/A,#N/A,FALSE,"4WD"}</definedName>
    <definedName name="조명합계">#REF!</definedName>
    <definedName name="조정" hidden="1">#REF!</definedName>
    <definedName name="조정1">#REF!</definedName>
    <definedName name="조정2">#REF!</definedName>
    <definedName name="조치" hidden="1">{#N/A,#N/A,FALSE,"단축1";#N/A,#N/A,FALSE,"단축2";#N/A,#N/A,FALSE,"단축3";#N/A,#N/A,FALSE,"장축";#N/A,#N/A,FALSE,"4WD"}</definedName>
    <definedName name="조향">#REF!</definedName>
    <definedName name="조향생산" hidden="1">#REF!</definedName>
    <definedName name="조회서번호">#REF!</definedName>
    <definedName name="조회액">#REF!</definedName>
    <definedName name="조회주화면">#REF!</definedName>
    <definedName name="종원">#N/A</definedName>
    <definedName name="종합">#REF!</definedName>
    <definedName name="종합2">#REF!</definedName>
    <definedName name="종합추이">#REF!</definedName>
    <definedName name="종합표">#REF!</definedName>
    <definedName name="종합합산">#REF!</definedName>
    <definedName name="종합합산세">#REF!</definedName>
    <definedName name="종합합산세율">#REF!</definedName>
    <definedName name="주">WEEKNUM(#REF!)-WEEKNUM(DATE(YEAR(#REF!),MONTH(#REF!),1))+1-IF(WEEKDAY(DATE(YEAR(#REF!),MONTH(#REF!),1))&gt;2,1,0)</definedName>
    <definedName name="주민">#REF!</definedName>
    <definedName name="주민세">#REF!</definedName>
    <definedName name="주부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사원">#REF!</definedName>
    <definedName name="주부신수익권증서_400">#REF!</definedName>
    <definedName name="주소">#REF!</definedName>
    <definedName name="주소범위">#REF!</definedName>
    <definedName name="주소범위2">#REF!</definedName>
    <definedName name="주요" hidden="1">{#N/A,#N/A,TRUE,"Y생산";#N/A,#N/A,TRUE,"Y판매";#N/A,#N/A,TRUE,"Y총물량";#N/A,#N/A,TRUE,"Y능력";#N/A,#N/A,TRUE,"YKD"}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업무1">#REF!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>#REF!</definedName>
    <definedName name="주요진행현황">#REF!</definedName>
    <definedName name="주임종">#REF!</definedName>
    <definedName name="주재원" hidden="1">#REF!</definedName>
    <definedName name="주종단체">#REF!</definedName>
    <definedName name="주주" hidden="1">{#N/A,#N/A,FALSE,"Aging Summary";#N/A,#N/A,FALSE,"Ratio Analysis";#N/A,#N/A,FALSE,"Test 120 Day Accts";#N/A,#N/A,FALSE,"Tickmarks"}</definedName>
    <definedName name="주택매출">#REF!</definedName>
    <definedName name="주택원가">#REF!</definedName>
    <definedName name="주택최종">#REF!</definedName>
    <definedName name="준" hidden="1">{#N/A,#N/A,FALSE,"Aging Summary";#N/A,#N/A,FALSE,"Ratio Analysis";#N/A,#N/A,FALSE,"Test 120 Day Accts";#N/A,#N/A,FALSE,"Tickmarks"}</definedName>
    <definedName name="중">#REF!,#REF!,#REF!,#REF!,#REF!,#REF!,#REF!,#REF!,#REF!,#REF!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개수수료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hidden="1">{#N/A,#N/A,FALSE,"표지";#N/A,#N/A,FALSE,"전제";#N/A,#N/A,FALSE,"손익-자 (2)";#N/A,#N/A,FALSE,"손익-자";#N/A,#N/A,FALSE,"손익-마 (2)";#N/A,#N/A,FALSE,"손익-마";#N/A,#N/A,FALSE,"총손최종"}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기예산" hidden="1">{#N/A,#N/A,FALSE,"3가";#N/A,#N/A,FALSE,"3나";#N/A,#N/A,FALSE,"3다"}</definedName>
    <definedName name="중소기업">#REF!</definedName>
    <definedName name="중앙" hidden="1">#REF!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진" hidden="1">{#N/A,#N/A,TRUE,"일정"}</definedName>
    <definedName name="중지">#REF!</definedName>
    <definedName name="중지1">#REF!</definedName>
    <definedName name="중지2">#REF!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즉조팀">#REF!</definedName>
    <definedName name="지급액">#REF!</definedName>
    <definedName name="지급어음">#REF!</definedName>
    <definedName name="지급이자외_△8">#REF!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支払" hidden="1">{"'買掛金'!$J$6"}</definedName>
    <definedName name="支払手形" hidden="1">{"'買掛金'!$J$6"}</definedName>
    <definedName name="지수지" hidden="1">{#N/A,#N/A,FALSE,"포장단가"}</definedName>
    <definedName name="지역">#REF!</definedName>
    <definedName name="지원동" hidden="1">{#N/A,#N/A,TRUE,"대 차 대 조 표"}</definedName>
    <definedName name="지원동_1" hidden="1">{#N/A,#N/A,TRUE,"대 차 대 조 표"}</definedName>
    <definedName name="지절1">#REF!</definedName>
    <definedName name="지절2">#REF!</definedName>
    <definedName name="지점_data">#REF!</definedName>
    <definedName name="지점명">#REF!</definedName>
    <definedName name="지종">#REF!</definedName>
    <definedName name="지태면" hidden="1">{#N/A,#N/A,TRUE,"Y생산";#N/A,#N/A,TRUE,"Y판매";#N/A,#N/A,TRUE,"Y총물량";#N/A,#N/A,TRUE,"Y능력";#N/A,#N/A,TRUE,"YKD"}</definedName>
    <definedName name="직위">#REF!</definedName>
    <definedName name="진" hidden="1">{#N/A,#N/A,FALSE,"3가";#N/A,#N/A,FALSE,"3나";#N/A,#N/A,FALSE,"3다"}</definedName>
    <definedName name="진성기획">#REF!</definedName>
    <definedName name="진성기획량">#REF!</definedName>
    <definedName name="진성요척량">#REF!</definedName>
    <definedName name="진성원불">#REF!</definedName>
    <definedName name="진성정품입고">#REF!</definedName>
    <definedName name="진성취불">#REF!</definedName>
    <definedName name="진지" hidden="1">{"'호선별현황(방식)'!$K$22:$P$22","'호선별현황(방식)'!$K$22:$P$22"}</definedName>
    <definedName name="진짜살림">#REF!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행보고" hidden="1">{#N/A,#N/A,FALSE,"95FW"}</definedName>
    <definedName name="진행비합계">#REF!</definedName>
    <definedName name="집기">#REF!</definedName>
    <definedName name="집기2">#REF!</definedName>
    <definedName name="집기비품" hidden="1">#N/A</definedName>
    <definedName name="집기비품ㅈ">#REF!</definedName>
    <definedName name="집행실적200211" hidden="1">{"'Sheet1'!$A$1:$H$36"}</definedName>
    <definedName name="ㅉ" hidden="1">{#N/A,#N/A,TRUE,"Y생산";#N/A,#N/A,TRUE,"Y판매";#N/A,#N/A,TRUE,"Y총물량";#N/A,#N/A,TRUE,"Y능력";#N/A,#N/A,TRUE,"YKD"}</definedName>
    <definedName name="쨔" hidden="1">{#N/A,#N/A,FALSE,"95FW"}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160">#REF!</definedName>
    <definedName name="ㅊㅊ" hidden="1">{#N/A,#N/A,FALSE,"표지";#N/A,#N/A,FALSE,"을지1";#N/A,#N/A,FALSE,"일정1";#N/A,#N/A,FALSE,"일정2";#N/A,#N/A,FALSE,"11T-C";#N/A,#N/A,FALSE,"15T-D";#N/A,#N/A,FALSE,"판매현황";#N/A,#N/A,FALSE,"업무 FLOW"}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ㅊㅊㅊㅊㅊㅊㅊㅊㅊㅊㅊㅊ">#REF!</definedName>
    <definedName name="ㅊㅌㅊㅊ">#REF!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량">#REF!</definedName>
    <definedName name="차량2">#REF!</definedName>
    <definedName name="차량운반구" hidden="1">#N/A</definedName>
    <definedName name="차량운반구2">#REF!</definedName>
    <definedName name="차량합계">#REF!</definedName>
    <definedName name="차변">#REF!</definedName>
    <definedName name="차이조정분" hidden="1">{"'Sheet1'!$A$1:$D$15"}</definedName>
    <definedName name="차입금" hidden="1">{#N/A,#N/A,FALSE,"채산3501.XLS";#N/A,#N/A,FALSE,"신조수A.XLS";#N/A,#N/A,FALSE,"신조수b.XLS";#N/A,#N/A,FALSE,"채산3502.XLS";#N/A,#N/A,FALSE,"신조원리.XLS";#N/A,#N/A,FALSE,"신조감가.XLS"}</definedName>
    <definedName name="差入保証金" hidden="1">{"'買掛金'!$J$6"}</definedName>
    <definedName name="차재영">#REF!</definedName>
    <definedName name="차종" hidden="1">{#N/A,#N/A,FALSE,"신규dep";#N/A,#N/A,FALSE,"신규dep-금형상각후";#N/A,#N/A,FALSE,"신규dep-연구비상각후";#N/A,#N/A,FALSE,"신규dep-기계,공구상각후"}</definedName>
    <definedName name="차종별" hidden="1">{#N/A,#N/A,TRUE,"Y생산";#N/A,#N/A,TRUE,"Y판매";#N/A,#N/A,TRUE,"Y총물량";#N/A,#N/A,TRUE,"Y능력";#N/A,#N/A,TRUE,"YKD"}</definedName>
    <definedName name="차체2">#REF!</definedName>
    <definedName name="차체공정">#REF!</definedName>
    <definedName name="차트범위">#REF!,#REF!,#REF!,#REF!,#REF!</definedName>
    <definedName name="참고1장" hidden="1">{#N/A,#N/A,FALSE,"단축1";#N/A,#N/A,FALSE,"단축2";#N/A,#N/A,FALSE,"단축3";#N/A,#N/A,FALSE,"장축";#N/A,#N/A,FALSE,"4WD"}</definedName>
    <definedName name="참고2" hidden="1">#REF!</definedName>
    <definedName name="참조">#REF!</definedName>
    <definedName name="참조1">#REF!</definedName>
    <definedName name="창고">#REF!</definedName>
    <definedName name="채권sort">#REF!</definedName>
    <definedName name="채권계정과목">#REF!</definedName>
    <definedName name="채권금액">#REF!</definedName>
    <definedName name="채권양수금" hidden="1">{"'호선별현황(방식)'!$K$22:$P$22","'호선별현황(방식)'!$K$22:$P$22"}</definedName>
    <definedName name="채권양수금11" hidden="1">{"'호선별현황(방식)'!$K$22:$P$22","'호선별현황(방식)'!$K$22:$P$22"}</definedName>
    <definedName name="채권양수금금1122">#N/A</definedName>
    <definedName name="채무sort">#REF!</definedName>
    <definedName name="채무계정과목">#REF!</definedName>
    <definedName name="채무금액">#REF!</definedName>
    <definedName name="채무제목">#REF!</definedName>
    <definedName name="처음">#N/A</definedName>
    <definedName name="처음2">#N/A</definedName>
    <definedName name="처음3">#N/A</definedName>
    <definedName name="처ㅗㅠ허" hidden="1">#REF!</definedName>
    <definedName name="천">IF(INT(RIGHT(#REF!,4)/1000)=0,"",CHOOSE(INT(RIGHT(#REF!,4)/1000),"일","이","삼","사","오","육","칠","팔","구")&amp;"천")</definedName>
    <definedName name="천만">IF(INT(RIGHT(#REF!,8)/10000000)=0,"",CHOOSE(INT(RIGHT(#REF!,8)/10000000),"일","이","삼","사","오","육","칠","팔","구")&amp;"천")</definedName>
    <definedName name="첨부0">#REF!</definedName>
    <definedName name="첨부1">#REF!</definedName>
    <definedName name="첨부2">#REF!</definedName>
    <definedName name="첨첨11">#REF!</definedName>
    <definedName name="청구서인쇄영역">#REF!</definedName>
    <definedName name="청소1">#REF!</definedName>
    <definedName name="체육관" hidden="1">{#N/A,#N/A,TRUE,"대 차 대 조 표"}</definedName>
    <definedName name="체육관_1" hidden="1">{#N/A,#N/A,TRUE,"대 차 대 조 표"}</definedName>
    <definedName name="초출량1">#REF!</definedName>
    <definedName name="초출량2">#REF!</definedName>
    <definedName name="총경비">#REF!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11" hidden="1">{#N/A,#N/A,FALSE,"3가";#N/A,#N/A,FALSE,"3나";#N/A,#N/A,FALSE,"3다"}</definedName>
    <definedName name="총괄2">#REF!</definedName>
    <definedName name="총괄표">#REF!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무팀총무팀" hidden="1">{#N/A,#N/A,TRUE,"Y생산";#N/A,#N/A,TRUE,"Y판매";#N/A,#N/A,TRUE,"Y총물량";#N/A,#N/A,TRUE,"Y능력";#N/A,#N/A,TRUE,"YKD"}</definedName>
    <definedName name="총시간">#REF!</definedName>
    <definedName name="총시간1">#REF!</definedName>
    <definedName name="총시간2">#REF!</definedName>
    <definedName name="총인">#REF!</definedName>
    <definedName name="총점">#REF!</definedName>
    <definedName name="총합">#REF!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촬영합계">#REF!</definedName>
    <definedName name="최영" hidden="1">{#N/A,#N/A,FALSE,"정공"}</definedName>
    <definedName name="최저한세">#REF!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추계합계">#REF!</definedName>
    <definedName name="추정현황" hidden="1">{#N/A,#N/A,FALSE,"채산3501.XLS";#N/A,#N/A,FALSE,"신조수A.XLS";#N/A,#N/A,FALSE,"신조수b.XLS";#N/A,#N/A,FALSE,"채산3502.XLS";#N/A,#N/A,FALSE,"신조원리.XLS";#N/A,#N/A,FALSE,"신조감가.XLS"}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축구장" hidden="1">{"'호선별현황(방식)'!$K$22:$P$22","'호선별현황(방식)'!$K$22:$P$22"}</definedName>
    <definedName name="출납">#REF!</definedName>
    <definedName name="출력">#REF!</definedName>
    <definedName name="출연료합계">#REF!</definedName>
    <definedName name="출장비합계">#REF!</definedName>
    <definedName name="출하">#REF!</definedName>
    <definedName name="충당금">#REF!</definedName>
    <definedName name="취득일">#REF!</definedName>
    <definedName name="취소">#REF!</definedName>
    <definedName name="층별">#REF!</definedName>
    <definedName name="층별임대">#REF!</definedName>
    <definedName name="층별효용">#REF!</definedName>
    <definedName name="층수">#REF!</definedName>
    <definedName name="칠">#REF!</definedName>
    <definedName name="ㅋ" hidden="1">{#N/A,#N/A,FALSE,"BS";#N/A,#N/A,FALSE,"PL";#N/A,#N/A,FALSE,"처분";#N/A,#N/A,FALSE,"현금";#N/A,#N/A,FALSE,"매출";#N/A,#N/A,FALSE,"원가";#N/A,#N/A,FALSE,"경영"}</definedName>
    <definedName name="ㅋㅋ" hidden="1">{#N/A,#N/A,TRUE,"Y생산";#N/A,#N/A,TRUE,"Y판매";#N/A,#N/A,TRUE,"Y총물량";#N/A,#N/A,TRUE,"Y능력";#N/A,#N/A,TRUE,"YKD"}</definedName>
    <definedName name="ㅋㅋ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ㅋ" hidden="1">{#N/A,#N/A,FALSE,"Aging Summary";#N/A,#N/A,FALSE,"Ratio Analysis";#N/A,#N/A,FALSE,"Test 120 Day Accts";#N/A,#N/A,FALSE,"Tickmarks"}</definedName>
    <definedName name="ㅋㅋㅋㅋ_1" hidden="1">{#N/A,#N/A,TRUE,"대 차 대 조 표"}</definedName>
    <definedName name="ㅋㅋㅋㅋㅋ">#REF!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메라" hidden="1">{#N/A,#N/A,FALSE,"단축1";#N/A,#N/A,FALSE,"단축2";#N/A,#N/A,FALSE,"단축3";#N/A,#N/A,FALSE,"장축";#N/A,#N/A,FALSE,"4WD"}</definedName>
    <definedName name="캐파" hidden="1">#REF!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커버">#N/A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스트센타">#REF!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콩코드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ㄹㅇㄴㄻㅇㄹ" hidden="1">{#N/A,#N/A,FALSE,"Aging Summary";#N/A,#N/A,FALSE,"Ratio Analysis";#N/A,#N/A,FALSE,"Test 120 Day Accts";#N/A,#N/A,FALSE,"Tickmarks"}</definedName>
    <definedName name="ㅌㅇㅍㅊㅍㅎ" hidden="1">{#N/A,#N/A,FALSE,"96 3월물량표";#N/A,#N/A,FALSE,"96 4월물량표";#N/A,#N/A,FALSE,"96 5월물량표"}</definedName>
    <definedName name="ㅌㅌㅌ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계정">#REF!</definedName>
    <definedName name="타입평">#REF!</definedName>
    <definedName name="타타타" hidden="1">{"'Sheet1'!$A$1:$H$36"}</definedName>
    <definedName name="태산">#REF!</definedName>
    <definedName name="택시">#REF!</definedName>
    <definedName name="테넌트" hidden="1">{#N/A,#N/A,TRUE,"Y생산";#N/A,#N/A,TRUE,"Y판매";#N/A,#N/A,TRUE,"Y총물량";#N/A,#N/A,TRUE,"Y능력";#N/A,#N/A,TRUE,"YKD"}</definedName>
    <definedName name="테넌트_1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넌트팀_1" hidden="1">{#N/A,#N/A,TRUE,"Y생산";#N/A,#N/A,TRUE,"Y판매";#N/A,#N/A,TRUE,"Y총물량";#N/A,#N/A,TRUE,"Y능력";#N/A,#N/A,TRUE,"YKD"}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토공량" hidden="1">{#N/A,#N/A,FALSE,"기안지";#N/A,#N/A,FALSE,"통신지"}</definedName>
    <definedName name="통제권">#REF!</definedName>
    <definedName name="통제범위">#REF!</definedName>
    <definedName name="통합본관" hidden="1">#REF!</definedName>
    <definedName name="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1">#REF!</definedName>
    <definedName name="퇴10">#REF!</definedName>
    <definedName name="퇴11">#REF!</definedName>
    <definedName name="퇴12">#REF!</definedName>
    <definedName name="퇴2">#REF!</definedName>
    <definedName name="퇴3">#REF!</definedName>
    <definedName name="퇴4">#REF!</definedName>
    <definedName name="퇴5">#REF!</definedName>
    <definedName name="퇴6">#REF!</definedName>
    <definedName name="퇴7">#REF!</definedName>
    <definedName name="퇴8">#REF!</definedName>
    <definedName name="퇴9">#REF!</definedName>
    <definedName name="퇴사">#REF!</definedName>
    <definedName name="퇴직">#REF!</definedName>
    <definedName name="퇴직10월">#REF!</definedName>
    <definedName name="퇴직11월">#REF!</definedName>
    <definedName name="퇴직12월">#REF!</definedName>
    <definedName name="퇴직3월">#REF!</definedName>
    <definedName name="퇴직4월">#REF!</definedName>
    <definedName name="퇴직5월">#REF!</definedName>
    <definedName name="퇴직6월">#REF!</definedName>
    <definedName name="퇴직7월">#REF!</definedName>
    <definedName name="퇴직8월">#REF!</definedName>
    <definedName name="퇴직9월">#REF!</definedName>
    <definedName name="퇴직보험">#REF!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충">#REF!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hidden="1">#REF!</definedName>
    <definedName name="투자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부동산">#REF!</definedName>
    <definedName name="투자비">#REF!</definedName>
    <definedName name="투자비비교" hidden="1">{#N/A,#N/A,FALSE,"단축1";#N/A,#N/A,FALSE,"단축2";#N/A,#N/A,FALSE,"단축3";#N/A,#N/A,FALSE,"장축";#N/A,#N/A,FALSE,"4WD"}</definedName>
    <definedName name="투자자산">#REF!</definedName>
    <definedName name="투자자자본금">#REF!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트럭p">#REF!</definedName>
    <definedName name="트럭proj">#REF!</definedName>
    <definedName name="특선인원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">#REF!</definedName>
    <definedName name="틀없애기">#REF!</definedName>
    <definedName name="팀별">#REF!</definedName>
    <definedName name="ㅍ" hidden="1">{#N/A,#N/A,FALSE,"표지";#N/A,#N/A,FALSE,"전제";#N/A,#N/A,FALSE,"대당";#N/A,#N/A,FALSE,"가공비";#N/A,#N/A,FALSE,"재료비";#N/A,#N/A,FALSE,"손익"}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ㅍㅍㅍㅍㅍ">#REF!</definedName>
    <definedName name="ㅍㅍㅍㅍㅍㅍㅍㅍ">#REF!</definedName>
    <definedName name="ㅍㅍㅍㅍㅍㅍㅍㅍㅍㅍㅍㅍㅍㅍㅍㅍㅍㅍ">#REF!</definedName>
    <definedName name="ㅍㅍㅍㅍㅍㅍㅍㅍㅍㅍㅍㅍㅍㅍㅍㅍㅍㅍㅍㅍㅍㅍㅍㅍㅍㅍㅍ">#REF!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">#REF!</definedName>
    <definedName name="판고">#REF!</definedName>
    <definedName name="판관비" hidden="1">#REF!</definedName>
    <definedName name="판관비tot" hidden="1">{#N/A,#N/A,FALSE,"Aging Summary";#N/A,#N/A,FALSE,"Ratio Analysis";#N/A,#N/A,FALSE,"Test 120 Day Accts";#N/A,#N/A,FALSE,"Tickmarks"}</definedName>
    <definedName name="판넬조립부" hidden="1">{"'호선별현황(방식)'!$K$22:$P$22","'호선별현황(방식)'!$K$22:$P$22"}</definedName>
    <definedName name="판매량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비">#REF!</definedName>
    <definedName name="판매액">#REF!</definedName>
    <definedName name="판매출고단가">#REF!</definedName>
    <definedName name="판변">#REF!</definedName>
    <definedName name="판인">#REF!</definedName>
    <definedName name="판직고">#REF!</definedName>
    <definedName name="판직변">#REF!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펜다" hidden="1">{#N/A,#N/A,TRUE,"일정"}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">#REF!</definedName>
    <definedName name="평균">#REF!</definedName>
    <definedName name="평균값" hidden="1">{#N/A,#N/A,FALSE,"95FW"}</definedName>
    <definedName name="평균이자율" hidden="1">#REF!</definedName>
    <definedName name="평형구분">#REF!</definedName>
    <definedName name="폐기" hidden="1">#REF!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스코" hidden="1">{#N/A,#N/A,TRUE,"대 차 대 조 표"}</definedName>
    <definedName name="포스코_1" hidden="1">{#N/A,#N/A,TRUE,"대 차 대 조 표"}</definedName>
    <definedName name="표">#REF!</definedName>
    <definedName name="표지" hidden="1">{"'호선별현황(방식)'!$K$22:$P$22","'호선별현황(방식)'!$K$22:$P$22"}</definedName>
    <definedName name="표지_1" hidden="1">{#N/A,#N/A,FALSE,"동부"}</definedName>
    <definedName name="표지1">#REF!</definedName>
    <definedName name="푸하하하">#REF!</definedName>
    <definedName name="품">#REF!</definedName>
    <definedName name="품명">#REF!</definedName>
    <definedName name="품질생산합격" hidden="1">{#N/A,#N/A,TRUE,"Y생산";#N/A,#N/A,TRUE,"Y판매";#N/A,#N/A,TRUE,"Y총물량";#N/A,#N/A,TRUE,"Y능력";#N/A,#N/A,TRUE,"YKD"}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린트">#REF!</definedName>
    <definedName name="피크치">#REF!</definedName>
    <definedName name="피크치1">#N/A</definedName>
    <definedName name="피크치2">#N/A</definedName>
    <definedName name="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ㅇ" hidden="1">{#N/A,#N/A,FALSE,"Aging Summary";#N/A,#N/A,FALSE,"Ratio Analysis";#N/A,#N/A,FALSE,"Test 120 Day Accts";#N/A,#N/A,FALSE,"Tickmarks"}</definedName>
    <definedName name="ㅎㅇㅁ" hidden="1">{#N/A,#N/A,FALSE,"95FW"}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hidden="1">{#N/A,#N/A,FALSE,"3가";#N/A,#N/A,FALSE,"3나";#N/A,#N/A,FALSE,"3다"}</definedName>
    <definedName name="ㅎㅎㅎㅎ">#REF!</definedName>
    <definedName name="ㅎㅎㅎㅎㅎㅎ">#REF!</definedName>
    <definedName name="하">#REF!</definedName>
    <definedName name="하수암거" hidden="1">{#N/A,#N/A,FALSE,"포장단가"}</definedName>
    <definedName name="하수암거2" hidden="1">{#N/A,#N/A,FALSE,"포장단가"}</definedName>
    <definedName name="하역" hidden="1">{#N/A,#N/A,FALSE,"채산3501.XLS";#N/A,#N/A,FALSE,"신조수A.XLS";#N/A,#N/A,FALSE,"신조수b.XLS";#N/A,#N/A,FALSE,"채산3502.XLS";#N/A,#N/A,FALSE,"신조원리.XLS";#N/A,#N/A,FALSE,"신조감가.XLS"}</definedName>
    <definedName name="하역2" hidden="1">{#N/A,#N/A,FALSE,"채산3501.XLS";#N/A,#N/A,FALSE,"신조수A.XLS";#N/A,#N/A,FALSE,"신조수b.XLS";#N/A,#N/A,FALSE,"채산3502.XLS";#N/A,#N/A,FALSE,"신조원리.XLS";#N/A,#N/A,FALSE,"신조감가.XLS"}</definedName>
    <definedName name="하역영업" hidden="1">{#N/A,#N/A,FALSE,"SILO현황";#N/A,#N/A,FALSE,"타업체";#N/A,#N/A,FALSE,"생산능력"}</definedName>
    <definedName name="하하">#REF!</definedName>
    <definedName name="하하1">#REF!</definedName>
    <definedName name="하하2">#REF!</definedName>
    <definedName name="하하3">#REF!</definedName>
    <definedName name="하하4">#REF!</definedName>
    <definedName name="학교" hidden="1">{"'호선별현황(방식)'!$K$22:$P$22","'호선별현황(방식)'!$K$22:$P$22"}</definedName>
    <definedName name="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솔">#REF!</definedName>
    <definedName name="한영사전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할인">#REF!</definedName>
    <definedName name="항주은태">#REF!</definedName>
    <definedName name="항차">#REF!</definedName>
    <definedName name="解_任_">#REF!</definedName>
    <definedName name="해무11" hidden="1">{#N/A,#N/A,FALSE,"SILO현황";#N/A,#N/A,FALSE,"타업체";#N/A,#N/A,FALSE,"생산능력"}</definedName>
    <definedName name="해무팀" hidden="1">{#N/A,#N/A,FALSE,"채산3501.XLS";#N/A,#N/A,FALSE,"신조수A.XLS";#N/A,#N/A,FALSE,"신조수b.XLS";#N/A,#N/A,FALSE,"채산3502.XLS";#N/A,#N/A,FALSE,"신조원리.XLS";#N/A,#N/A,FALSE,"신조감가.XLS"}</definedName>
    <definedName name="해외생산1" hidden="1">{"'7-2지역별'!$A$1:$R$44"}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판권합계">#REF!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쇼ㅏ" hidden="1">{#N/A,#N/A,TRUE,"Y생산";#N/A,#N/A,TRUE,"Y판매";#N/A,#N/A,TRUE,"Y총물량";#N/A,#N/A,TRUE,"Y능력";#N/A,#N/A,TRUE,"YKD"}</definedName>
    <definedName name="허ㅇㄻㄹ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경">#REF!</definedName>
    <definedName name="현금" hidden="1">{#N/A,#N/A,FALSE,"Aging Summary";#N/A,#N/A,FALSE,"Ratio Analysis";#N/A,#N/A,FALSE,"Test 120 Day Accts";#N/A,#N/A,FALSE,"Tickmarks"}</definedName>
    <definedName name="현금거래_5300">#REF!</definedName>
    <definedName name="현금과예금">#REF!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수금율">#REF!</definedName>
    <definedName name="현금출납장">#REF!</definedName>
    <definedName name="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04" hidden="1">{#N/A,#N/A,FALSE,"Aging Summary";#N/A,#N/A,FALSE,"Ratio Analysis";#N/A,#N/A,FALSE,"Test 120 Day Accts";#N/A,#N/A,FALSE,"Tickmarks"}</definedName>
    <definedName name="현금흐름표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대">#REF!</definedName>
    <definedName name="현대내자터미널">#REF!</definedName>
    <definedName name="現代綜合商事經由分">#REF!</definedName>
    <definedName name="현재" hidden="1">{"'Sheet1'!$A$1:$H$36"}</definedName>
    <definedName name="현재지출전체">#REF!</definedName>
    <definedName name="현호봉">#REF!</definedName>
    <definedName name="현황작성">#REF!</definedName>
    <definedName name="협전">#REF!</definedName>
    <definedName name="협조및조정사항" hidden="1">{"'호선별현황(방식)'!$K$22:$P$22","'호선별현황(방식)'!$K$22:$P$22"}</definedName>
    <definedName name="협조전">#REF!</definedName>
    <definedName name="호" hidden="1">#REF!</definedName>
    <definedName name="호남22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별가격">#REF!</definedName>
    <definedName name="호별시가안분">#REF!</definedName>
    <definedName name="호봉표">#REF!</definedName>
    <definedName name="호봉표1">#REF!</definedName>
    <definedName name="호호">#REF!</definedName>
    <definedName name="호ㅓ쇼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ㅏ" hidden="1">{#N/A,#N/A,FALSE,"96 3월물량표";#N/A,#N/A,FALSE,"96 4월물량표";#N/A,#N/A,FALSE,"96 5월물량표"}</definedName>
    <definedName name="호ㅗ" localSheetId="0">BlankMacro1</definedName>
    <definedName name="호ㅗ">BlankMacro1</definedName>
    <definedName name="홍길동" hidden="1">{#N/A,#N/A,FALSE,"표지";#N/A,#N/A,FALSE,"전제";#N/A,#N/A,FALSE,"손익-자 (2)";#N/A,#N/A,FALSE,"손익-자";#N/A,#N/A,FALSE,"손익-마 (2)";#N/A,#N/A,FALSE,"손익-마";#N/A,#N/A,FALSE,"총손최종"}</definedName>
    <definedName name="홍보합계">#REF!</definedName>
    <definedName name="화">#REF!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정하여_보고할것.">#REF!</definedName>
    <definedName name="환산률">#REF!</definedName>
    <definedName name="환율">#REF!</definedName>
    <definedName name="환율표">#REF!</definedName>
    <definedName name="환차손" hidden="1">{#N/A,#N/A,FALSE,"Aging Summary";#N/A,#N/A,FALSE,"Ratio Analysis";#N/A,#N/A,FALSE,"Test 120 Day Accts";#N/A,#N/A,FALSE,"Tickmarks"}</definedName>
    <definedName name="환차손익수정" hidden="1">{#N/A,#N/A,FALSE,"Aging Summary";#N/A,#N/A,FALSE,"Ratio Analysis";#N/A,#N/A,FALSE,"Test 120 Day Accts";#N/A,#N/A,FALSE,"Tickmarks"}</definedName>
    <definedName name="환평가">#REF!</definedName>
    <definedName name="회당예산">#REF!</definedName>
    <definedName name="회사명">#REF!</definedName>
    <definedName name="회사이름">#REF!</definedName>
    <definedName name="회원권">#REF!</definedName>
    <definedName name="회장" localSheetId="0">BlankMacro1</definedName>
    <definedName name="회장">BlankMacro1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반작업합계">#REF!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일">#REF!</definedName>
    <definedName name="휴ㅗㅗㅛ" hidden="1">{#VALUE!,#N/A,FALSE,0;#N/A,#N/A,FALSE,0;#N/A,#N/A,FALSE,0;#N/A,#N/A,FALSE,0;#N/A,#N/A,FALSE,0;#N/A,#N/A,FALSE,0;#N/A,#N/A,FALSE,0;#N/A,#N/A,FALSE,0;#N/A,#N/A,FALSE,0}</definedName>
    <definedName name="흄관" hidden="1">{#N/A,#N/A,FALSE,"기안지";#N/A,#N/A,FALSE,"통신지"}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>#REF!</definedName>
    <definedName name="흐흐">#REF!</definedName>
    <definedName name="희성">OFFSET(#REF!,0,0,COUNTA(#REF!)-1,1)</definedName>
    <definedName name="흵____R3_t">#REF!</definedName>
    <definedName name="히히">#REF!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28">#REF!</definedName>
    <definedName name="ㅏㄴ알" hidden="1">{#N/A,#N/A,FALSE,"단축1";#N/A,#N/A,FALSE,"단축2";#N/A,#N/A,FALSE,"단축3";#N/A,#N/A,FALSE,"장축";#N/A,#N/A,FALSE,"4WD"}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">#REF!</definedName>
    <definedName name="ㅏㅏㅏ">#REF!</definedName>
    <definedName name="ㅏㅐㅐ">#REF!</definedName>
    <definedName name="ㅏㅐㅐPri">#REF!</definedName>
    <definedName name="ㅏㅓ" hidden="1">{#N/A,#N/A,FALSE,"단축1";#N/A,#N/A,FALSE,"단축2";#N/A,#N/A,FALSE,"단축3";#N/A,#N/A,FALSE,"장축";#N/A,#N/A,FALSE,"4WD"}</definedName>
    <definedName name="ㅐ">#REF!</definedName>
    <definedName name="ㅐㅐ">#REF!</definedName>
    <definedName name="ㅐㅐㅐㅐㅐㅐㅐㅐㅐㅐㅐㅐㅐㅐㅐㅐㅐㅐㅐㅐㅐ">#REF!</definedName>
    <definedName name="ㅑ" hidden="1">{#N/A,#N/A,FALSE,"Aging Summary";#N/A,#N/A,FALSE,"Ratio Analysis";#N/A,#N/A,FALSE,"Test 120 Day Accts";#N/A,#N/A,FALSE,"Tickmarks"}</definedName>
    <definedName name="ㅑ303">#REF!</definedName>
    <definedName name="ㅑ37">#REF!</definedName>
    <definedName name="ㅑ85">#REF!</definedName>
    <definedName name="ㅑㅑㅑ">#REF!</definedName>
    <definedName name="ㅑㅕㅐ">#REF!</definedName>
    <definedName name="ㅓ" hidden="1">{#N/A,#N/A,TRUE,"Y생산";#N/A,#N/A,TRUE,"Y판매";#N/A,#N/A,TRUE,"Y총물량";#N/A,#N/A,TRUE,"Y능력";#N/A,#N/A,TRUE,"YKD"}</definedName>
    <definedName name="ㅓㄹ" hidden="1">{#N/A,#N/A,TRUE,"일정"}</definedName>
    <definedName name="ㅓㅏㅣㅑ" hidden="1">{#N/A,#N/A,FALSE,"Aging Summary";#N/A,#N/A,FALSE,"Ratio Analysis";#N/A,#N/A,FALSE,"Test 120 Day Accts";#N/A,#N/A,FALSE,"Tickmarks"}</definedName>
    <definedName name="ㅓㅓ">#REF!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>#REF!</definedName>
    <definedName name="ㅓㅕㅓ">#REF!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ㅓㅗㅓㅗ" hidden="1">#REF!</definedName>
    <definedName name="ㅓㅣㅏㅓㅣㅏ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ㅔ" hidden="1">{#N/A,#N/A,FALSE,"단축1";#N/A,#N/A,FALSE,"단축2";#N/A,#N/A,FALSE,"단축3";#N/A,#N/A,FALSE,"장축";#N/A,#N/A,FALSE,"4WD"}</definedName>
    <definedName name="ㅔ246">#REF!</definedName>
    <definedName name="ㅔ320">#REF!</definedName>
    <definedName name="ㅔ61">#REF!</definedName>
    <definedName name="ㅔㅔ">#REF!</definedName>
    <definedName name="ㅔㅔㅔㅔㅔㅔ">#REF!</definedName>
    <definedName name="ㅕ" hidden="1">{#N/A,#N/A,FALSE,"BS";#N/A,#N/A,FALSE,"PL";#N/A,#N/A,FALSE,"처분";#N/A,#N/A,FALSE,"현금";#N/A,#N/A,FALSE,"매출";#N/A,#N/A,FALSE,"원가";#N/A,#N/A,FALSE,"경영"}</definedName>
    <definedName name="ㅕㅕ" hidden="1">#REF!</definedName>
    <definedName name="ㅗ" hidden="1">{#N/A,#N/A,FALSE,"단축1";#N/A,#N/A,FALSE,"단축2";#N/A,#N/A,FALSE,"단축3";#N/A,#N/A,FALSE,"장축";#N/A,#N/A,FALSE,"4WD"}</definedName>
    <definedName name="ㅗㄱㄴㅇㅁ" hidden="1">{#N/A,#N/A,TRUE,"일정"}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ㅇ" localSheetId="0">BlankMacro1</definedName>
    <definedName name="ㅗㅇ">BlankMacro1</definedName>
    <definedName name="ㅗㅎ" hidden="1">{#N/A,#N/A,TRUE,"Y생산";#N/A,#N/A,TRUE,"Y판매";#N/A,#N/A,TRUE,"Y총물량";#N/A,#N/A,TRUE,"Y능력";#N/A,#N/A,TRUE,"YKD"}</definedName>
    <definedName name="ㅗㅎㅀ">#REF!</definedName>
    <definedName name="ㅗㅓㅛㅓㅕ">#REF!</definedName>
    <definedName name="ㅗㅗ" hidden="1">{#N/A,#N/A,FALSE,"단축1";#N/A,#N/A,FALSE,"단축2";#N/A,#N/A,FALSE,"단축3";#N/A,#N/A,FALSE,"장축";#N/A,#N/A,FALSE,"4WD"}</definedName>
    <definedName name="ㅗㅗㅗ" localSheetId="0">BlankMacro1</definedName>
    <definedName name="ㅗㅗㅗ">BlankMacro1</definedName>
    <definedName name="ㅗㅗㅗㅗ">#REF!</definedName>
    <definedName name="ㅛ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ㅑㅛㅕㅑ7" hidden="1">{#N/A,#N/A,FALSE,"96 3월물량표";#N/A,#N/A,FALSE,"96 4월물량표";#N/A,#N/A,FALSE,"96 5월물량표"}</definedName>
    <definedName name="ㅛㅓ">#REF!</definedName>
    <definedName name="ㅛㅛ">#REF!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>#REF!</definedName>
    <definedName name="ㅜㅛㅅㄱ누ㅛㅅㄱ누ㅛㅅㄴ구ㅛㅅㄱㄴ" hidden="1">{#N/A,#N/A,TRUE,"일정"}</definedName>
    <definedName name="ㅜㅜ">#REF!</definedName>
    <definedName name="ㅠ" hidden="1">{#N/A,#N/A,FALSE,"단축1";#N/A,#N/A,FALSE,"단축2";#N/A,#N/A,FALSE,"단축3";#N/A,#N/A,FALSE,"장축";#N/A,#N/A,FALSE,"4WD"}</definedName>
    <definedName name="ㅠ125">#REF!</definedName>
    <definedName name="ㅠ328">#REF!</definedName>
    <definedName name="ㅠ48">#REF!</definedName>
    <definedName name="ㅠㅠ">#REF!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ㄹ">#REF!</definedName>
    <definedName name="ㅠㅠㅠㅠ">#REF!</definedName>
    <definedName name="ㅠㅠㅠㅠㅠㅠㅠㅠㅠㅠㅠㅠㅠ">#REF!</definedName>
    <definedName name="ㅡ">#REF!</definedName>
    <definedName name="ㅡㅡ">#REF!</definedName>
    <definedName name="ㅡㅡㅡㅡㅡㅡㅡㅡㅡ">#REF!</definedName>
    <definedName name="ㅣ" hidden="1">{#N/A,#N/A,FALSE,"Aging Summary";#N/A,#N/A,FALSE,"Ratio Analysis";#N/A,#N/A,FALSE,"Test 120 Day Accts";#N/A,#N/A,FALSE,"Tickmarks"}</definedName>
    <definedName name="ㅣ153">#REF!</definedName>
    <definedName name="ㅣ303">#REF!</definedName>
    <definedName name="ㅣ439">#REF!</definedName>
    <definedName name="ㅣ이">#N/A</definedName>
    <definedName name="ㅣㅏ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  <definedName name="ㅣㅣㅣ">#REF!</definedName>
  </definedNames>
  <calcPr calcId="191029"/>
  <pivotCaches>
    <pivotCache cacheId="2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9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" i="9"/>
  <c r="H28" i="7"/>
  <c r="G28" i="7"/>
  <c r="F28" i="7"/>
  <c r="D28" i="7"/>
  <c r="D8" i="7"/>
  <c r="H5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4" i="7"/>
  <c r="D191" i="1"/>
  <c r="A191" i="1" s="1"/>
  <c r="A190" i="1"/>
  <c r="D165" i="1"/>
  <c r="D177" i="1" s="1"/>
  <c r="A177" i="1" s="1"/>
  <c r="D164" i="1"/>
  <c r="A164" i="1"/>
  <c r="A163" i="1"/>
  <c r="D78" i="1"/>
  <c r="D79" i="1" s="1"/>
  <c r="A79" i="1" s="1"/>
  <c r="A78" i="1"/>
  <c r="A77" i="1"/>
  <c r="D59" i="1"/>
  <c r="D60" i="1" s="1"/>
  <c r="A60" i="1" s="1"/>
  <c r="A58" i="1"/>
  <c r="D53" i="1"/>
  <c r="D54" i="1" s="1"/>
  <c r="A53" i="1"/>
  <c r="A52" i="1"/>
  <c r="D38" i="1"/>
  <c r="D39" i="1" s="1"/>
  <c r="A38" i="1"/>
  <c r="A37" i="1"/>
  <c r="D22" i="1"/>
  <c r="H20" i="1"/>
  <c r="I20" i="1" s="1"/>
  <c r="G14" i="1"/>
  <c r="G13" i="1"/>
  <c r="G12" i="1"/>
  <c r="G11" i="1"/>
  <c r="E7" i="1"/>
  <c r="G10" i="1" s="1"/>
  <c r="A39" i="1" l="1"/>
  <c r="D40" i="1"/>
  <c r="J20" i="1"/>
  <c r="I14" i="1"/>
  <c r="I12" i="1"/>
  <c r="I10" i="1"/>
  <c r="I15" i="1"/>
  <c r="I13" i="1"/>
  <c r="I11" i="1"/>
  <c r="A22" i="1"/>
  <c r="D61" i="1"/>
  <c r="G15" i="1"/>
  <c r="H10" i="1"/>
  <c r="H11" i="1"/>
  <c r="H12" i="1"/>
  <c r="H13" i="1"/>
  <c r="H14" i="1"/>
  <c r="H15" i="1"/>
  <c r="A54" i="1"/>
  <c r="D55" i="1"/>
  <c r="D80" i="1"/>
  <c r="D23" i="1"/>
  <c r="A59" i="1"/>
  <c r="A165" i="1"/>
  <c r="D166" i="1"/>
  <c r="D192" i="1"/>
  <c r="H177" i="1" l="1"/>
  <c r="H192" i="1"/>
  <c r="H191" i="1"/>
  <c r="H165" i="1"/>
  <c r="H164" i="1"/>
  <c r="H166" i="1"/>
  <c r="H78" i="1"/>
  <c r="H59" i="1"/>
  <c r="H53" i="1"/>
  <c r="H80" i="1"/>
  <c r="H61" i="1"/>
  <c r="H55" i="1"/>
  <c r="H79" i="1"/>
  <c r="H60" i="1"/>
  <c r="H54" i="1"/>
  <c r="H22" i="1"/>
  <c r="H38" i="1"/>
  <c r="H40" i="1"/>
  <c r="H23" i="1"/>
  <c r="H39" i="1"/>
  <c r="A23" i="1"/>
  <c r="D24" i="1"/>
  <c r="I192" i="1"/>
  <c r="I191" i="1"/>
  <c r="I177" i="1"/>
  <c r="I165" i="1"/>
  <c r="I164" i="1"/>
  <c r="I166" i="1"/>
  <c r="I78" i="1"/>
  <c r="I59" i="1"/>
  <c r="I53" i="1"/>
  <c r="I80" i="1"/>
  <c r="I61" i="1"/>
  <c r="I55" i="1"/>
  <c r="I41" i="1"/>
  <c r="I54" i="1"/>
  <c r="I22" i="1"/>
  <c r="I38" i="1"/>
  <c r="I24" i="1"/>
  <c r="I40" i="1"/>
  <c r="I79" i="1"/>
  <c r="I23" i="1"/>
  <c r="I39" i="1"/>
  <c r="I60" i="1"/>
  <c r="D193" i="1"/>
  <c r="I193" i="1" s="1"/>
  <c r="A192" i="1"/>
  <c r="D81" i="1"/>
  <c r="I81" i="1" s="1"/>
  <c r="A80" i="1"/>
  <c r="K20" i="1"/>
  <c r="J15" i="1"/>
  <c r="J14" i="1"/>
  <c r="J13" i="1"/>
  <c r="J12" i="1"/>
  <c r="J11" i="1"/>
  <c r="J10" i="1"/>
  <c r="D178" i="1"/>
  <c r="A178" i="1" s="1"/>
  <c r="A166" i="1"/>
  <c r="D167" i="1"/>
  <c r="I167" i="1" s="1"/>
  <c r="D169" i="1"/>
  <c r="A169" i="1" s="1"/>
  <c r="D56" i="1"/>
  <c r="I56" i="1" s="1"/>
  <c r="A55" i="1"/>
  <c r="G191" i="1"/>
  <c r="G193" i="1"/>
  <c r="G192" i="1"/>
  <c r="G165" i="1"/>
  <c r="G177" i="1"/>
  <c r="G167" i="1"/>
  <c r="G164" i="1"/>
  <c r="G166" i="1"/>
  <c r="G54" i="1"/>
  <c r="G78" i="1"/>
  <c r="G59" i="1"/>
  <c r="G56" i="1"/>
  <c r="G53" i="1"/>
  <c r="G80" i="1"/>
  <c r="G61" i="1"/>
  <c r="G41" i="1"/>
  <c r="G79" i="1"/>
  <c r="G60" i="1"/>
  <c r="G39" i="1"/>
  <c r="G55" i="1"/>
  <c r="G22" i="1"/>
  <c r="G38" i="1"/>
  <c r="G24" i="1"/>
  <c r="G40" i="1"/>
  <c r="G23" i="1"/>
  <c r="D41" i="1"/>
  <c r="H41" i="1" s="1"/>
  <c r="A40" i="1"/>
  <c r="D62" i="1"/>
  <c r="A61" i="1"/>
  <c r="H56" i="1" l="1"/>
  <c r="H81" i="1"/>
  <c r="D25" i="1"/>
  <c r="A24" i="1"/>
  <c r="A62" i="1"/>
  <c r="D63" i="1"/>
  <c r="D168" i="1"/>
  <c r="D170" i="1"/>
  <c r="D179" i="1"/>
  <c r="A167" i="1"/>
  <c r="J192" i="1"/>
  <c r="J178" i="1"/>
  <c r="J194" i="1"/>
  <c r="J191" i="1"/>
  <c r="J177" i="1"/>
  <c r="J193" i="1"/>
  <c r="J170" i="1"/>
  <c r="J167" i="1"/>
  <c r="J164" i="1"/>
  <c r="J169" i="1"/>
  <c r="J166" i="1"/>
  <c r="J168" i="1"/>
  <c r="J165" i="1"/>
  <c r="J53" i="1"/>
  <c r="J80" i="1"/>
  <c r="J61" i="1"/>
  <c r="J55" i="1"/>
  <c r="J82" i="1"/>
  <c r="J41" i="1"/>
  <c r="J79" i="1"/>
  <c r="J60" i="1"/>
  <c r="J81" i="1"/>
  <c r="J62" i="1"/>
  <c r="J78" i="1"/>
  <c r="J59" i="1"/>
  <c r="J56" i="1"/>
  <c r="J38" i="1"/>
  <c r="J24" i="1"/>
  <c r="J40" i="1"/>
  <c r="J23" i="1"/>
  <c r="J54" i="1"/>
  <c r="J39" i="1"/>
  <c r="J25" i="1"/>
  <c r="J22" i="1"/>
  <c r="I62" i="1"/>
  <c r="G178" i="1"/>
  <c r="G169" i="1"/>
  <c r="L20" i="1"/>
  <c r="K15" i="1"/>
  <c r="K14" i="1"/>
  <c r="K13" i="1"/>
  <c r="K12" i="1"/>
  <c r="K11" i="1"/>
  <c r="K10" i="1"/>
  <c r="I169" i="1"/>
  <c r="I178" i="1"/>
  <c r="H167" i="1"/>
  <c r="H24" i="1"/>
  <c r="H193" i="1"/>
  <c r="H62" i="1"/>
  <c r="H178" i="1"/>
  <c r="A81" i="1"/>
  <c r="D82" i="1"/>
  <c r="A41" i="1"/>
  <c r="D42" i="1"/>
  <c r="J42" i="1" s="1"/>
  <c r="G62" i="1"/>
  <c r="G81" i="1"/>
  <c r="D57" i="1"/>
  <c r="A56" i="1"/>
  <c r="D194" i="1"/>
  <c r="A193" i="1"/>
  <c r="H169" i="1"/>
  <c r="A170" i="1" l="1"/>
  <c r="G170" i="1"/>
  <c r="H170" i="1"/>
  <c r="I170" i="1"/>
  <c r="A57" i="1"/>
  <c r="I57" i="1"/>
  <c r="G57" i="1"/>
  <c r="H57" i="1"/>
  <c r="K192" i="1"/>
  <c r="K178" i="1"/>
  <c r="K194" i="1"/>
  <c r="K191" i="1"/>
  <c r="K177" i="1"/>
  <c r="K193" i="1"/>
  <c r="K179" i="1"/>
  <c r="K167" i="1"/>
  <c r="K164" i="1"/>
  <c r="K169" i="1"/>
  <c r="K166" i="1"/>
  <c r="K168" i="1"/>
  <c r="K180" i="1"/>
  <c r="K165" i="1"/>
  <c r="K170" i="1"/>
  <c r="K80" i="1"/>
  <c r="K61" i="1"/>
  <c r="K55" i="1"/>
  <c r="K82" i="1"/>
  <c r="K63" i="1"/>
  <c r="K41" i="1"/>
  <c r="K79" i="1"/>
  <c r="K60" i="1"/>
  <c r="K57" i="1"/>
  <c r="K54" i="1"/>
  <c r="K43" i="1"/>
  <c r="K78" i="1"/>
  <c r="K59" i="1"/>
  <c r="K56" i="1"/>
  <c r="K53" i="1"/>
  <c r="K42" i="1"/>
  <c r="K62" i="1"/>
  <c r="K24" i="1"/>
  <c r="K40" i="1"/>
  <c r="K23" i="1"/>
  <c r="K39" i="1"/>
  <c r="K81" i="1"/>
  <c r="K25" i="1"/>
  <c r="K22" i="1"/>
  <c r="K38" i="1"/>
  <c r="D171" i="1"/>
  <c r="K171" i="1" s="1"/>
  <c r="A168" i="1"/>
  <c r="D180" i="1"/>
  <c r="G168" i="1"/>
  <c r="H168" i="1"/>
  <c r="I168" i="1"/>
  <c r="A25" i="1"/>
  <c r="D26" i="1"/>
  <c r="G25" i="1"/>
  <c r="H25" i="1"/>
  <c r="I25" i="1"/>
  <c r="A179" i="1"/>
  <c r="G179" i="1"/>
  <c r="H179" i="1"/>
  <c r="I179" i="1"/>
  <c r="M20" i="1"/>
  <c r="L15" i="1"/>
  <c r="L14" i="1"/>
  <c r="L13" i="1"/>
  <c r="L12" i="1"/>
  <c r="L11" i="1"/>
  <c r="L10" i="1"/>
  <c r="A63" i="1"/>
  <c r="D64" i="1"/>
  <c r="K64" i="1" s="1"/>
  <c r="G63" i="1"/>
  <c r="I63" i="1"/>
  <c r="H63" i="1"/>
  <c r="D43" i="1"/>
  <c r="A42" i="1"/>
  <c r="G42" i="1"/>
  <c r="I42" i="1"/>
  <c r="H42" i="1"/>
  <c r="A82" i="1"/>
  <c r="D83" i="1"/>
  <c r="G82" i="1"/>
  <c r="H82" i="1"/>
  <c r="I82" i="1"/>
  <c r="J57" i="1"/>
  <c r="J63" i="1"/>
  <c r="J179" i="1"/>
  <c r="A194" i="1"/>
  <c r="I194" i="1"/>
  <c r="H194" i="1"/>
  <c r="G194" i="1"/>
  <c r="A43" i="1" l="1"/>
  <c r="D44" i="1"/>
  <c r="I43" i="1"/>
  <c r="G43" i="1"/>
  <c r="H43" i="1"/>
  <c r="J43" i="1"/>
  <c r="D84" i="1"/>
  <c r="A83" i="1"/>
  <c r="G83" i="1"/>
  <c r="H83" i="1"/>
  <c r="I83" i="1"/>
  <c r="J83" i="1"/>
  <c r="K83" i="1"/>
  <c r="D65" i="1"/>
  <c r="A64" i="1"/>
  <c r="I64" i="1"/>
  <c r="H64" i="1"/>
  <c r="G64" i="1"/>
  <c r="J64" i="1"/>
  <c r="N20" i="1"/>
  <c r="M15" i="1"/>
  <c r="M14" i="1"/>
  <c r="M13" i="1"/>
  <c r="M12" i="1"/>
  <c r="M11" i="1"/>
  <c r="M10" i="1"/>
  <c r="A180" i="1"/>
  <c r="G180" i="1"/>
  <c r="I180" i="1"/>
  <c r="H180" i="1"/>
  <c r="J180" i="1"/>
  <c r="A26" i="1"/>
  <c r="D27" i="1"/>
  <c r="H26" i="1"/>
  <c r="I26" i="1"/>
  <c r="G26" i="1"/>
  <c r="J26" i="1"/>
  <c r="L192" i="1"/>
  <c r="L194" i="1"/>
  <c r="L191" i="1"/>
  <c r="L180" i="1"/>
  <c r="L193" i="1"/>
  <c r="L179" i="1"/>
  <c r="L164" i="1"/>
  <c r="L169" i="1"/>
  <c r="L177" i="1"/>
  <c r="L166" i="1"/>
  <c r="L178" i="1"/>
  <c r="L171" i="1"/>
  <c r="L168" i="1"/>
  <c r="L165" i="1"/>
  <c r="L170" i="1"/>
  <c r="L84" i="1"/>
  <c r="L167" i="1"/>
  <c r="L55" i="1"/>
  <c r="L44" i="1"/>
  <c r="L82" i="1"/>
  <c r="L63" i="1"/>
  <c r="L79" i="1"/>
  <c r="L60" i="1"/>
  <c r="L57" i="1"/>
  <c r="L65" i="1"/>
  <c r="L54" i="1"/>
  <c r="L43" i="1"/>
  <c r="L81" i="1"/>
  <c r="L62" i="1"/>
  <c r="L83" i="1"/>
  <c r="L64" i="1"/>
  <c r="L53" i="1"/>
  <c r="L42" i="1"/>
  <c r="L80" i="1"/>
  <c r="L61" i="1"/>
  <c r="L40" i="1"/>
  <c r="L26" i="1"/>
  <c r="L59" i="1"/>
  <c r="L23" i="1"/>
  <c r="L41" i="1"/>
  <c r="L39" i="1"/>
  <c r="L25" i="1"/>
  <c r="L22" i="1"/>
  <c r="L56" i="1"/>
  <c r="L38" i="1"/>
  <c r="L27" i="1"/>
  <c r="L78" i="1"/>
  <c r="L24" i="1"/>
  <c r="D181" i="1"/>
  <c r="A171" i="1"/>
  <c r="D172" i="1"/>
  <c r="L172" i="1" s="1"/>
  <c r="G171" i="1"/>
  <c r="H171" i="1"/>
  <c r="I171" i="1"/>
  <c r="J171" i="1"/>
  <c r="K26" i="1"/>
  <c r="D85" i="1" l="1"/>
  <c r="A84" i="1"/>
  <c r="G84" i="1"/>
  <c r="H84" i="1"/>
  <c r="I84" i="1"/>
  <c r="J84" i="1"/>
  <c r="K84" i="1"/>
  <c r="D182" i="1"/>
  <c r="D173" i="1"/>
  <c r="A172" i="1"/>
  <c r="I172" i="1"/>
  <c r="G172" i="1"/>
  <c r="H172" i="1"/>
  <c r="J172" i="1"/>
  <c r="K172" i="1"/>
  <c r="A65" i="1"/>
  <c r="D66" i="1"/>
  <c r="G65" i="1"/>
  <c r="H65" i="1"/>
  <c r="I65" i="1"/>
  <c r="J65" i="1"/>
  <c r="K65" i="1"/>
  <c r="A181" i="1"/>
  <c r="H181" i="1"/>
  <c r="G181" i="1"/>
  <c r="I181" i="1"/>
  <c r="J181" i="1"/>
  <c r="K181" i="1"/>
  <c r="M178" i="1"/>
  <c r="M194" i="1"/>
  <c r="M191" i="1"/>
  <c r="M180" i="1"/>
  <c r="M177" i="1"/>
  <c r="M193" i="1"/>
  <c r="M179" i="1"/>
  <c r="M192" i="1"/>
  <c r="M181" i="1"/>
  <c r="M182" i="1"/>
  <c r="M169" i="1"/>
  <c r="M166" i="1"/>
  <c r="M171" i="1"/>
  <c r="M168" i="1"/>
  <c r="M173" i="1"/>
  <c r="M165" i="1"/>
  <c r="M170" i="1"/>
  <c r="M167" i="1"/>
  <c r="M164" i="1"/>
  <c r="M172" i="1"/>
  <c r="M84" i="1"/>
  <c r="M82" i="1"/>
  <c r="M63" i="1"/>
  <c r="M41" i="1"/>
  <c r="M79" i="1"/>
  <c r="M60" i="1"/>
  <c r="M57" i="1"/>
  <c r="M65" i="1"/>
  <c r="M54" i="1"/>
  <c r="M43" i="1"/>
  <c r="M81" i="1"/>
  <c r="M62" i="1"/>
  <c r="M40" i="1"/>
  <c r="M78" i="1"/>
  <c r="M59" i="1"/>
  <c r="M56" i="1"/>
  <c r="M80" i="1"/>
  <c r="M61" i="1"/>
  <c r="M66" i="1"/>
  <c r="M55" i="1"/>
  <c r="M44" i="1"/>
  <c r="M53" i="1"/>
  <c r="M26" i="1"/>
  <c r="M64" i="1"/>
  <c r="M23" i="1"/>
  <c r="M85" i="1"/>
  <c r="M39" i="1"/>
  <c r="M28" i="1"/>
  <c r="M25" i="1"/>
  <c r="M22" i="1"/>
  <c r="M38" i="1"/>
  <c r="M27" i="1"/>
  <c r="M83" i="1"/>
  <c r="M24" i="1"/>
  <c r="M42" i="1"/>
  <c r="D28" i="1"/>
  <c r="A27" i="1"/>
  <c r="H27" i="1"/>
  <c r="G27" i="1"/>
  <c r="I27" i="1"/>
  <c r="J27" i="1"/>
  <c r="K27" i="1"/>
  <c r="O20" i="1"/>
  <c r="N15" i="1"/>
  <c r="N14" i="1"/>
  <c r="N13" i="1"/>
  <c r="N12" i="1"/>
  <c r="N11" i="1"/>
  <c r="N10" i="1"/>
  <c r="D45" i="1"/>
  <c r="A44" i="1"/>
  <c r="H44" i="1"/>
  <c r="G44" i="1"/>
  <c r="I44" i="1"/>
  <c r="J44" i="1"/>
  <c r="K44" i="1"/>
  <c r="L181" i="1"/>
  <c r="O10" i="1" l="1"/>
  <c r="O15" i="1"/>
  <c r="O14" i="1"/>
  <c r="P20" i="1"/>
  <c r="O12" i="1"/>
  <c r="O11" i="1"/>
  <c r="O13" i="1"/>
  <c r="N194" i="1"/>
  <c r="N191" i="1"/>
  <c r="N177" i="1"/>
  <c r="N193" i="1"/>
  <c r="N182" i="1"/>
  <c r="N192" i="1"/>
  <c r="N181" i="1"/>
  <c r="N178" i="1"/>
  <c r="N166" i="1"/>
  <c r="N171" i="1"/>
  <c r="N168" i="1"/>
  <c r="N173" i="1"/>
  <c r="N165" i="1"/>
  <c r="N179" i="1"/>
  <c r="N170" i="1"/>
  <c r="N180" i="1"/>
  <c r="N167" i="1"/>
  <c r="N172" i="1"/>
  <c r="N164" i="1"/>
  <c r="N169" i="1"/>
  <c r="N85" i="1"/>
  <c r="N84" i="1"/>
  <c r="N79" i="1"/>
  <c r="N60" i="1"/>
  <c r="N57" i="1"/>
  <c r="N65" i="1"/>
  <c r="N54" i="1"/>
  <c r="N43" i="1"/>
  <c r="N81" i="1"/>
  <c r="N62" i="1"/>
  <c r="N78" i="1"/>
  <c r="N59" i="1"/>
  <c r="N56" i="1"/>
  <c r="N45" i="1"/>
  <c r="N83" i="1"/>
  <c r="N64" i="1"/>
  <c r="N53" i="1"/>
  <c r="N42" i="1"/>
  <c r="N66" i="1"/>
  <c r="N55" i="1"/>
  <c r="N44" i="1"/>
  <c r="N82" i="1"/>
  <c r="N63" i="1"/>
  <c r="N41" i="1"/>
  <c r="N80" i="1"/>
  <c r="N23" i="1"/>
  <c r="N39" i="1"/>
  <c r="N28" i="1"/>
  <c r="N25" i="1"/>
  <c r="N61" i="1"/>
  <c r="N22" i="1"/>
  <c r="N38" i="1"/>
  <c r="N27" i="1"/>
  <c r="N24" i="1"/>
  <c r="N40" i="1"/>
  <c r="N26" i="1"/>
  <c r="D46" i="1"/>
  <c r="A45" i="1"/>
  <c r="D47" i="1"/>
  <c r="H45" i="1"/>
  <c r="G45" i="1"/>
  <c r="I45" i="1"/>
  <c r="J45" i="1"/>
  <c r="K45" i="1"/>
  <c r="L45" i="1"/>
  <c r="M45" i="1"/>
  <c r="D67" i="1"/>
  <c r="A66" i="1"/>
  <c r="I66" i="1"/>
  <c r="G66" i="1"/>
  <c r="H66" i="1"/>
  <c r="J66" i="1"/>
  <c r="K66" i="1"/>
  <c r="L66" i="1"/>
  <c r="D183" i="1"/>
  <c r="N183" i="1" s="1"/>
  <c r="D174" i="1"/>
  <c r="A173" i="1"/>
  <c r="I173" i="1"/>
  <c r="H173" i="1"/>
  <c r="G173" i="1"/>
  <c r="J173" i="1"/>
  <c r="K173" i="1"/>
  <c r="L173" i="1"/>
  <c r="A28" i="1"/>
  <c r="D29" i="1"/>
  <c r="N29" i="1" s="1"/>
  <c r="I28" i="1"/>
  <c r="G28" i="1"/>
  <c r="H28" i="1"/>
  <c r="J28" i="1"/>
  <c r="K28" i="1"/>
  <c r="L28" i="1"/>
  <c r="A182" i="1"/>
  <c r="I182" i="1"/>
  <c r="H182" i="1"/>
  <c r="G182" i="1"/>
  <c r="J182" i="1"/>
  <c r="K182" i="1"/>
  <c r="L182" i="1"/>
  <c r="D86" i="1"/>
  <c r="N86" i="1" s="1"/>
  <c r="A85" i="1"/>
  <c r="H85" i="1"/>
  <c r="G85" i="1"/>
  <c r="I85" i="1"/>
  <c r="J85" i="1"/>
  <c r="K85" i="1"/>
  <c r="L85" i="1"/>
  <c r="D30" i="1" l="1"/>
  <c r="A29" i="1"/>
  <c r="I29" i="1"/>
  <c r="G29" i="1"/>
  <c r="H29" i="1"/>
  <c r="J29" i="1"/>
  <c r="K29" i="1"/>
  <c r="L29" i="1"/>
  <c r="M29" i="1"/>
  <c r="D48" i="1"/>
  <c r="A47" i="1"/>
  <c r="I47" i="1"/>
  <c r="H47" i="1"/>
  <c r="G47" i="1"/>
  <c r="J47" i="1"/>
  <c r="K47" i="1"/>
  <c r="L47" i="1"/>
  <c r="M47" i="1"/>
  <c r="N47" i="1"/>
  <c r="D175" i="1"/>
  <c r="D185" i="1"/>
  <c r="D184" i="1"/>
  <c r="A174" i="1"/>
  <c r="H174" i="1"/>
  <c r="G174" i="1"/>
  <c r="I174" i="1"/>
  <c r="J174" i="1"/>
  <c r="K174" i="1"/>
  <c r="L174" i="1"/>
  <c r="M174" i="1"/>
  <c r="A46" i="1"/>
  <c r="H46" i="1"/>
  <c r="G46" i="1"/>
  <c r="I46" i="1"/>
  <c r="J46" i="1"/>
  <c r="K46" i="1"/>
  <c r="L46" i="1"/>
  <c r="M46" i="1"/>
  <c r="N174" i="1"/>
  <c r="Q20" i="1"/>
  <c r="P15" i="1"/>
  <c r="P14" i="1"/>
  <c r="P13" i="1"/>
  <c r="P12" i="1"/>
  <c r="P11" i="1"/>
  <c r="P10" i="1"/>
  <c r="A183" i="1"/>
  <c r="I183" i="1"/>
  <c r="H183" i="1"/>
  <c r="G183" i="1"/>
  <c r="J183" i="1"/>
  <c r="K183" i="1"/>
  <c r="L183" i="1"/>
  <c r="M183" i="1"/>
  <c r="D68" i="1"/>
  <c r="A67" i="1"/>
  <c r="D69" i="1"/>
  <c r="I67" i="1"/>
  <c r="H67" i="1"/>
  <c r="G67" i="1"/>
  <c r="J67" i="1"/>
  <c r="K67" i="1"/>
  <c r="L67" i="1"/>
  <c r="M67" i="1"/>
  <c r="A86" i="1"/>
  <c r="D87" i="1"/>
  <c r="G86" i="1"/>
  <c r="H86" i="1"/>
  <c r="I86" i="1"/>
  <c r="J86" i="1"/>
  <c r="K86" i="1"/>
  <c r="L86" i="1"/>
  <c r="M86" i="1"/>
  <c r="N46" i="1"/>
  <c r="O191" i="1"/>
  <c r="O180" i="1"/>
  <c r="O193" i="1"/>
  <c r="O182" i="1"/>
  <c r="O179" i="1"/>
  <c r="O192" i="1"/>
  <c r="O181" i="1"/>
  <c r="O178" i="1"/>
  <c r="O194" i="1"/>
  <c r="O183" i="1"/>
  <c r="O175" i="1"/>
  <c r="O171" i="1"/>
  <c r="O177" i="1"/>
  <c r="O168" i="1"/>
  <c r="O184" i="1"/>
  <c r="O173" i="1"/>
  <c r="O165" i="1"/>
  <c r="O185" i="1"/>
  <c r="O170" i="1"/>
  <c r="O167" i="1"/>
  <c r="O172" i="1"/>
  <c r="O164" i="1"/>
  <c r="O169" i="1"/>
  <c r="O166" i="1"/>
  <c r="O86" i="1"/>
  <c r="O174" i="1"/>
  <c r="O85" i="1"/>
  <c r="O65" i="1"/>
  <c r="O54" i="1"/>
  <c r="O43" i="1"/>
  <c r="O81" i="1"/>
  <c r="O62" i="1"/>
  <c r="O48" i="1"/>
  <c r="O78" i="1"/>
  <c r="O67" i="1"/>
  <c r="O59" i="1"/>
  <c r="O56" i="1"/>
  <c r="O45" i="1"/>
  <c r="O84" i="1"/>
  <c r="O83" i="1"/>
  <c r="O64" i="1"/>
  <c r="O53" i="1"/>
  <c r="O42" i="1"/>
  <c r="O80" i="1"/>
  <c r="O69" i="1"/>
  <c r="O61" i="1"/>
  <c r="O47" i="1"/>
  <c r="O87" i="1"/>
  <c r="O82" i="1"/>
  <c r="O63" i="1"/>
  <c r="O41" i="1"/>
  <c r="O79" i="1"/>
  <c r="O68" i="1"/>
  <c r="O60" i="1"/>
  <c r="O57" i="1"/>
  <c r="O46" i="1"/>
  <c r="O44" i="1"/>
  <c r="O39" i="1"/>
  <c r="O28" i="1"/>
  <c r="O55" i="1"/>
  <c r="O25" i="1"/>
  <c r="O66" i="1"/>
  <c r="O30" i="1"/>
  <c r="O22" i="1"/>
  <c r="O38" i="1"/>
  <c r="O27" i="1"/>
  <c r="O24" i="1"/>
  <c r="O29" i="1"/>
  <c r="O40" i="1"/>
  <c r="O26" i="1"/>
  <c r="O23" i="1"/>
  <c r="N67" i="1"/>
  <c r="D176" i="1" l="1"/>
  <c r="D186" i="1"/>
  <c r="A175" i="1"/>
  <c r="G175" i="1"/>
  <c r="I175" i="1"/>
  <c r="H175" i="1"/>
  <c r="J175" i="1"/>
  <c r="K175" i="1"/>
  <c r="L175" i="1"/>
  <c r="M175" i="1"/>
  <c r="N175" i="1"/>
  <c r="D31" i="1"/>
  <c r="A30" i="1"/>
  <c r="G30" i="1"/>
  <c r="H30" i="1"/>
  <c r="I30" i="1"/>
  <c r="J30" i="1"/>
  <c r="K30" i="1"/>
  <c r="L30" i="1"/>
  <c r="M30" i="1"/>
  <c r="N30" i="1"/>
  <c r="A69" i="1"/>
  <c r="G69" i="1"/>
  <c r="H69" i="1"/>
  <c r="I69" i="1"/>
  <c r="J69" i="1"/>
  <c r="K69" i="1"/>
  <c r="L69" i="1"/>
  <c r="M69" i="1"/>
  <c r="N69" i="1"/>
  <c r="P185" i="1"/>
  <c r="P177" i="1"/>
  <c r="P193" i="1"/>
  <c r="P179" i="1"/>
  <c r="P184" i="1"/>
  <c r="P176" i="1"/>
  <c r="P192" i="1"/>
  <c r="P186" i="1"/>
  <c r="P178" i="1"/>
  <c r="P194" i="1"/>
  <c r="P183" i="1"/>
  <c r="P175" i="1"/>
  <c r="P191" i="1"/>
  <c r="P180" i="1"/>
  <c r="P168" i="1"/>
  <c r="P173" i="1"/>
  <c r="P165" i="1"/>
  <c r="P170" i="1"/>
  <c r="P167" i="1"/>
  <c r="P172" i="1"/>
  <c r="P164" i="1"/>
  <c r="P169" i="1"/>
  <c r="P181" i="1"/>
  <c r="P174" i="1"/>
  <c r="P166" i="1"/>
  <c r="P182" i="1"/>
  <c r="P171" i="1"/>
  <c r="P85" i="1"/>
  <c r="P87" i="1"/>
  <c r="P86" i="1"/>
  <c r="P81" i="1"/>
  <c r="P62" i="1"/>
  <c r="P48" i="1"/>
  <c r="P40" i="1"/>
  <c r="P78" i="1"/>
  <c r="P67" i="1"/>
  <c r="P59" i="1"/>
  <c r="P56" i="1"/>
  <c r="P45" i="1"/>
  <c r="P84" i="1"/>
  <c r="P83" i="1"/>
  <c r="P64" i="1"/>
  <c r="P53" i="1"/>
  <c r="P42" i="1"/>
  <c r="P80" i="1"/>
  <c r="P69" i="1"/>
  <c r="P61" i="1"/>
  <c r="P47" i="1"/>
  <c r="P66" i="1"/>
  <c r="P55" i="1"/>
  <c r="P44" i="1"/>
  <c r="P79" i="1"/>
  <c r="P68" i="1"/>
  <c r="P60" i="1"/>
  <c r="P57" i="1"/>
  <c r="P46" i="1"/>
  <c r="P65" i="1"/>
  <c r="P54" i="1"/>
  <c r="P43" i="1"/>
  <c r="P25" i="1"/>
  <c r="P82" i="1"/>
  <c r="P30" i="1"/>
  <c r="P22" i="1"/>
  <c r="P41" i="1"/>
  <c r="P38" i="1"/>
  <c r="P27" i="1"/>
  <c r="P24" i="1"/>
  <c r="P63" i="1"/>
  <c r="P29" i="1"/>
  <c r="P26" i="1"/>
  <c r="P31" i="1"/>
  <c r="P23" i="1"/>
  <c r="P39" i="1"/>
  <c r="P28" i="1"/>
  <c r="Q15" i="1"/>
  <c r="R20" i="1"/>
  <c r="Q13" i="1"/>
  <c r="Q11" i="1"/>
  <c r="Q14" i="1"/>
  <c r="Q12" i="1"/>
  <c r="Q10" i="1"/>
  <c r="D88" i="1"/>
  <c r="A87" i="1"/>
  <c r="H87" i="1"/>
  <c r="I87" i="1"/>
  <c r="G87" i="1"/>
  <c r="J87" i="1"/>
  <c r="K87" i="1"/>
  <c r="L87" i="1"/>
  <c r="M87" i="1"/>
  <c r="N87" i="1"/>
  <c r="A68" i="1"/>
  <c r="D70" i="1"/>
  <c r="G68" i="1"/>
  <c r="I68" i="1"/>
  <c r="H68" i="1"/>
  <c r="J68" i="1"/>
  <c r="K68" i="1"/>
  <c r="L68" i="1"/>
  <c r="M68" i="1"/>
  <c r="N68" i="1"/>
  <c r="A184" i="1"/>
  <c r="I184" i="1"/>
  <c r="G184" i="1"/>
  <c r="H184" i="1"/>
  <c r="J184" i="1"/>
  <c r="K184" i="1"/>
  <c r="L184" i="1"/>
  <c r="M184" i="1"/>
  <c r="N184" i="1"/>
  <c r="A185" i="1"/>
  <c r="H185" i="1"/>
  <c r="G185" i="1"/>
  <c r="I185" i="1"/>
  <c r="J185" i="1"/>
  <c r="K185" i="1"/>
  <c r="L185" i="1"/>
  <c r="M185" i="1"/>
  <c r="N185" i="1"/>
  <c r="A48" i="1"/>
  <c r="D49" i="1"/>
  <c r="P49" i="1" s="1"/>
  <c r="G48" i="1"/>
  <c r="H48" i="1"/>
  <c r="I48" i="1"/>
  <c r="J48" i="1"/>
  <c r="K48" i="1"/>
  <c r="L48" i="1"/>
  <c r="M48" i="1"/>
  <c r="N48" i="1"/>
  <c r="A70" i="1" l="1"/>
  <c r="D71" i="1"/>
  <c r="H70" i="1"/>
  <c r="G70" i="1"/>
  <c r="I70" i="1"/>
  <c r="J70" i="1"/>
  <c r="K70" i="1"/>
  <c r="L70" i="1"/>
  <c r="M70" i="1"/>
  <c r="N70" i="1"/>
  <c r="O70" i="1"/>
  <c r="S20" i="1"/>
  <c r="R15" i="1"/>
  <c r="R14" i="1"/>
  <c r="R13" i="1"/>
  <c r="R12" i="1"/>
  <c r="R11" i="1"/>
  <c r="R10" i="1"/>
  <c r="A31" i="1"/>
  <c r="D32" i="1"/>
  <c r="I31" i="1"/>
  <c r="G31" i="1"/>
  <c r="H31" i="1"/>
  <c r="J31" i="1"/>
  <c r="K31" i="1"/>
  <c r="L31" i="1"/>
  <c r="M31" i="1"/>
  <c r="N31" i="1"/>
  <c r="O31" i="1"/>
  <c r="Q193" i="1"/>
  <c r="Q182" i="1"/>
  <c r="Q184" i="1"/>
  <c r="Q176" i="1"/>
  <c r="Q192" i="1"/>
  <c r="Q181" i="1"/>
  <c r="Q194" i="1"/>
  <c r="Q183" i="1"/>
  <c r="Q175" i="1"/>
  <c r="Q191" i="1"/>
  <c r="Q180" i="1"/>
  <c r="Q185" i="1"/>
  <c r="Q177" i="1"/>
  <c r="Q173" i="1"/>
  <c r="Q165" i="1"/>
  <c r="Q170" i="1"/>
  <c r="Q178" i="1"/>
  <c r="Q167" i="1"/>
  <c r="Q179" i="1"/>
  <c r="Q172" i="1"/>
  <c r="Q164" i="1"/>
  <c r="Q186" i="1"/>
  <c r="Q169" i="1"/>
  <c r="Q187" i="1"/>
  <c r="Q174" i="1"/>
  <c r="Q166" i="1"/>
  <c r="Q171" i="1"/>
  <c r="Q168" i="1"/>
  <c r="Q88" i="1"/>
  <c r="Q85" i="1"/>
  <c r="Q87" i="1"/>
  <c r="Q86" i="1"/>
  <c r="Q78" i="1"/>
  <c r="Q67" i="1"/>
  <c r="Q59" i="1"/>
  <c r="Q56" i="1"/>
  <c r="Q45" i="1"/>
  <c r="Q84" i="1"/>
  <c r="Q83" i="1"/>
  <c r="Q64" i="1"/>
  <c r="Q53" i="1"/>
  <c r="Q42" i="1"/>
  <c r="Q80" i="1"/>
  <c r="Q69" i="1"/>
  <c r="Q61" i="1"/>
  <c r="Q47" i="1"/>
  <c r="Q66" i="1"/>
  <c r="Q55" i="1"/>
  <c r="Q44" i="1"/>
  <c r="Q82" i="1"/>
  <c r="Q71" i="1"/>
  <c r="Q63" i="1"/>
  <c r="Q49" i="1"/>
  <c r="Q41" i="1"/>
  <c r="Q65" i="1"/>
  <c r="Q54" i="1"/>
  <c r="Q43" i="1"/>
  <c r="Q81" i="1"/>
  <c r="Q70" i="1"/>
  <c r="Q62" i="1"/>
  <c r="Q48" i="1"/>
  <c r="Q40" i="1"/>
  <c r="Q30" i="1"/>
  <c r="Q22" i="1"/>
  <c r="Q46" i="1"/>
  <c r="Q38" i="1"/>
  <c r="Q27" i="1"/>
  <c r="Q57" i="1"/>
  <c r="Q32" i="1"/>
  <c r="Q24" i="1"/>
  <c r="Q79" i="1"/>
  <c r="Q68" i="1"/>
  <c r="Q29" i="1"/>
  <c r="Q26" i="1"/>
  <c r="Q31" i="1"/>
  <c r="Q23" i="1"/>
  <c r="Q60" i="1"/>
  <c r="Q39" i="1"/>
  <c r="Q28" i="1"/>
  <c r="Q25" i="1"/>
  <c r="P70" i="1"/>
  <c r="D89" i="1"/>
  <c r="A88" i="1"/>
  <c r="I88" i="1"/>
  <c r="G88" i="1"/>
  <c r="H88" i="1"/>
  <c r="J88" i="1"/>
  <c r="K88" i="1"/>
  <c r="L88" i="1"/>
  <c r="M88" i="1"/>
  <c r="N88" i="1"/>
  <c r="O88" i="1"/>
  <c r="A186" i="1"/>
  <c r="H186" i="1"/>
  <c r="I186" i="1"/>
  <c r="G186" i="1"/>
  <c r="J186" i="1"/>
  <c r="K186" i="1"/>
  <c r="L186" i="1"/>
  <c r="M186" i="1"/>
  <c r="N186" i="1"/>
  <c r="O186" i="1"/>
  <c r="A49" i="1"/>
  <c r="D51" i="1"/>
  <c r="Q51" i="1" s="1"/>
  <c r="D50" i="1"/>
  <c r="G49" i="1"/>
  <c r="I49" i="1"/>
  <c r="H49" i="1"/>
  <c r="J49" i="1"/>
  <c r="K49" i="1"/>
  <c r="L49" i="1"/>
  <c r="M49" i="1"/>
  <c r="N49" i="1"/>
  <c r="O49" i="1"/>
  <c r="P88" i="1"/>
  <c r="A176" i="1"/>
  <c r="D187" i="1"/>
  <c r="I176" i="1"/>
  <c r="G176" i="1"/>
  <c r="H176" i="1"/>
  <c r="J176" i="1"/>
  <c r="K176" i="1"/>
  <c r="L176" i="1"/>
  <c r="M176" i="1"/>
  <c r="N176" i="1"/>
  <c r="O176" i="1"/>
  <c r="A89" i="1" l="1"/>
  <c r="D90" i="1"/>
  <c r="G89" i="1"/>
  <c r="H89" i="1"/>
  <c r="I89" i="1"/>
  <c r="J89" i="1"/>
  <c r="K89" i="1"/>
  <c r="L89" i="1"/>
  <c r="M89" i="1"/>
  <c r="N89" i="1"/>
  <c r="O89" i="1"/>
  <c r="P89" i="1"/>
  <c r="R187" i="1"/>
  <c r="R179" i="1"/>
  <c r="R192" i="1"/>
  <c r="R181" i="1"/>
  <c r="R186" i="1"/>
  <c r="R178" i="1"/>
  <c r="R194" i="1"/>
  <c r="R191" i="1"/>
  <c r="R180" i="1"/>
  <c r="R185" i="1"/>
  <c r="R177" i="1"/>
  <c r="R193" i="1"/>
  <c r="R182" i="1"/>
  <c r="R174" i="1"/>
  <c r="R183" i="1"/>
  <c r="R170" i="1"/>
  <c r="R184" i="1"/>
  <c r="R167" i="1"/>
  <c r="R172" i="1"/>
  <c r="R164" i="1"/>
  <c r="R169" i="1"/>
  <c r="R166" i="1"/>
  <c r="R171" i="1"/>
  <c r="R175" i="1"/>
  <c r="R168" i="1"/>
  <c r="R173" i="1"/>
  <c r="R176" i="1"/>
  <c r="R165" i="1"/>
  <c r="R85" i="1"/>
  <c r="R90" i="1"/>
  <c r="R87" i="1"/>
  <c r="R84" i="1"/>
  <c r="R89" i="1"/>
  <c r="R88" i="1"/>
  <c r="R83" i="1"/>
  <c r="R72" i="1"/>
  <c r="R64" i="1"/>
  <c r="R53" i="1"/>
  <c r="R50" i="1"/>
  <c r="R42" i="1"/>
  <c r="R86" i="1"/>
  <c r="R80" i="1"/>
  <c r="R69" i="1"/>
  <c r="R61" i="1"/>
  <c r="R47" i="1"/>
  <c r="R66" i="1"/>
  <c r="R55" i="1"/>
  <c r="R44" i="1"/>
  <c r="R82" i="1"/>
  <c r="R71" i="1"/>
  <c r="R63" i="1"/>
  <c r="R49" i="1"/>
  <c r="R41" i="1"/>
  <c r="R79" i="1"/>
  <c r="R68" i="1"/>
  <c r="R60" i="1"/>
  <c r="R57" i="1"/>
  <c r="R46" i="1"/>
  <c r="R81" i="1"/>
  <c r="R70" i="1"/>
  <c r="R62" i="1"/>
  <c r="R48" i="1"/>
  <c r="R78" i="1"/>
  <c r="R67" i="1"/>
  <c r="R59" i="1"/>
  <c r="R56" i="1"/>
  <c r="R45" i="1"/>
  <c r="R51" i="1"/>
  <c r="R38" i="1"/>
  <c r="R27" i="1"/>
  <c r="R32" i="1"/>
  <c r="R24" i="1"/>
  <c r="R29" i="1"/>
  <c r="R43" i="1"/>
  <c r="R26" i="1"/>
  <c r="R54" i="1"/>
  <c r="R31" i="1"/>
  <c r="R23" i="1"/>
  <c r="R65" i="1"/>
  <c r="R40" i="1"/>
  <c r="R39" i="1"/>
  <c r="R28" i="1"/>
  <c r="R25" i="1"/>
  <c r="R30" i="1"/>
  <c r="R22" i="1"/>
  <c r="D33" i="1"/>
  <c r="A32" i="1"/>
  <c r="G32" i="1"/>
  <c r="H32" i="1"/>
  <c r="I32" i="1"/>
  <c r="J32" i="1"/>
  <c r="K32" i="1"/>
  <c r="L32" i="1"/>
  <c r="M32" i="1"/>
  <c r="N32" i="1"/>
  <c r="O32" i="1"/>
  <c r="P32" i="1"/>
  <c r="T20" i="1"/>
  <c r="S15" i="1"/>
  <c r="S14" i="1"/>
  <c r="S13" i="1"/>
  <c r="S12" i="1"/>
  <c r="S11" i="1"/>
  <c r="S10" i="1"/>
  <c r="A50" i="1"/>
  <c r="I50" i="1"/>
  <c r="G50" i="1"/>
  <c r="H50" i="1"/>
  <c r="J50" i="1"/>
  <c r="K50" i="1"/>
  <c r="L50" i="1"/>
  <c r="M50" i="1"/>
  <c r="N50" i="1"/>
  <c r="O50" i="1"/>
  <c r="P50" i="1"/>
  <c r="A51" i="1"/>
  <c r="I51" i="1"/>
  <c r="H51" i="1"/>
  <c r="G51" i="1"/>
  <c r="J51" i="1"/>
  <c r="K51" i="1"/>
  <c r="L51" i="1"/>
  <c r="M51" i="1"/>
  <c r="N51" i="1"/>
  <c r="O51" i="1"/>
  <c r="P51" i="1"/>
  <c r="A187" i="1"/>
  <c r="D188" i="1"/>
  <c r="I187" i="1"/>
  <c r="H187" i="1"/>
  <c r="G187" i="1"/>
  <c r="J187" i="1"/>
  <c r="K187" i="1"/>
  <c r="L187" i="1"/>
  <c r="M187" i="1"/>
  <c r="N187" i="1"/>
  <c r="O187" i="1"/>
  <c r="P187" i="1"/>
  <c r="Q50" i="1"/>
  <c r="A71" i="1"/>
  <c r="D72" i="1"/>
  <c r="I71" i="1"/>
  <c r="G71" i="1"/>
  <c r="H71" i="1"/>
  <c r="J71" i="1"/>
  <c r="K71" i="1"/>
  <c r="L71" i="1"/>
  <c r="M71" i="1"/>
  <c r="N71" i="1"/>
  <c r="O71" i="1"/>
  <c r="P71" i="1"/>
  <c r="Q89" i="1"/>
  <c r="A188" i="1" l="1"/>
  <c r="D189" i="1"/>
  <c r="G188" i="1"/>
  <c r="I188" i="1"/>
  <c r="H188" i="1"/>
  <c r="J188" i="1"/>
  <c r="K188" i="1"/>
  <c r="L188" i="1"/>
  <c r="M188" i="1"/>
  <c r="N188" i="1"/>
  <c r="O188" i="1"/>
  <c r="P188" i="1"/>
  <c r="Q188" i="1"/>
  <c r="R188" i="1"/>
  <c r="A33" i="1"/>
  <c r="D34" i="1"/>
  <c r="H33" i="1"/>
  <c r="G33" i="1"/>
  <c r="I33" i="1"/>
  <c r="J33" i="1"/>
  <c r="K33" i="1"/>
  <c r="L33" i="1"/>
  <c r="M33" i="1"/>
  <c r="N33" i="1"/>
  <c r="O33" i="1"/>
  <c r="P33" i="1"/>
  <c r="Q33" i="1"/>
  <c r="D73" i="1"/>
  <c r="A72" i="1"/>
  <c r="I72" i="1"/>
  <c r="H72" i="1"/>
  <c r="G72" i="1"/>
  <c r="J72" i="1"/>
  <c r="K72" i="1"/>
  <c r="L72" i="1"/>
  <c r="M72" i="1"/>
  <c r="N72" i="1"/>
  <c r="O72" i="1"/>
  <c r="P72" i="1"/>
  <c r="Q72" i="1"/>
  <c r="S184" i="1"/>
  <c r="S176" i="1"/>
  <c r="S192" i="1"/>
  <c r="S186" i="1"/>
  <c r="S178" i="1"/>
  <c r="S194" i="1"/>
  <c r="S183" i="1"/>
  <c r="S175" i="1"/>
  <c r="S191" i="1"/>
  <c r="S185" i="1"/>
  <c r="S177" i="1"/>
  <c r="S193" i="1"/>
  <c r="S182" i="1"/>
  <c r="S174" i="1"/>
  <c r="S187" i="1"/>
  <c r="S179" i="1"/>
  <c r="S167" i="1"/>
  <c r="S172" i="1"/>
  <c r="S164" i="1"/>
  <c r="S169" i="1"/>
  <c r="S166" i="1"/>
  <c r="S180" i="1"/>
  <c r="S171" i="1"/>
  <c r="S181" i="1"/>
  <c r="S168" i="1"/>
  <c r="S188" i="1"/>
  <c r="S173" i="1"/>
  <c r="S165" i="1"/>
  <c r="S189" i="1"/>
  <c r="S170" i="1"/>
  <c r="S90" i="1"/>
  <c r="S87" i="1"/>
  <c r="S89" i="1"/>
  <c r="S86" i="1"/>
  <c r="S88" i="1"/>
  <c r="S85" i="1"/>
  <c r="S84" i="1"/>
  <c r="S80" i="1"/>
  <c r="S69" i="1"/>
  <c r="S61" i="1"/>
  <c r="S47" i="1"/>
  <c r="S66" i="1"/>
  <c r="S55" i="1"/>
  <c r="S44" i="1"/>
  <c r="S82" i="1"/>
  <c r="S71" i="1"/>
  <c r="S63" i="1"/>
  <c r="S49" i="1"/>
  <c r="S41" i="1"/>
  <c r="S79" i="1"/>
  <c r="S68" i="1"/>
  <c r="S60" i="1"/>
  <c r="S57" i="1"/>
  <c r="S46" i="1"/>
  <c r="S65" i="1"/>
  <c r="S54" i="1"/>
  <c r="S51" i="1"/>
  <c r="S43" i="1"/>
  <c r="S78" i="1"/>
  <c r="S67" i="1"/>
  <c r="S59" i="1"/>
  <c r="S56" i="1"/>
  <c r="S45" i="1"/>
  <c r="S83" i="1"/>
  <c r="S72" i="1"/>
  <c r="S64" i="1"/>
  <c r="S53" i="1"/>
  <c r="S50" i="1"/>
  <c r="S42" i="1"/>
  <c r="S32" i="1"/>
  <c r="S24" i="1"/>
  <c r="S29" i="1"/>
  <c r="S48" i="1"/>
  <c r="S34" i="1"/>
  <c r="S26" i="1"/>
  <c r="S31" i="1"/>
  <c r="S23" i="1"/>
  <c r="S81" i="1"/>
  <c r="S70" i="1"/>
  <c r="S40" i="1"/>
  <c r="S39" i="1"/>
  <c r="S28" i="1"/>
  <c r="S33" i="1"/>
  <c r="S25" i="1"/>
  <c r="S30" i="1"/>
  <c r="S22" i="1"/>
  <c r="S62" i="1"/>
  <c r="S38" i="1"/>
  <c r="S27" i="1"/>
  <c r="D91" i="1"/>
  <c r="S91" i="1" s="1"/>
  <c r="A90" i="1"/>
  <c r="G90" i="1"/>
  <c r="H90" i="1"/>
  <c r="I90" i="1"/>
  <c r="J90" i="1"/>
  <c r="K90" i="1"/>
  <c r="L90" i="1"/>
  <c r="M90" i="1"/>
  <c r="N90" i="1"/>
  <c r="O90" i="1"/>
  <c r="P90" i="1"/>
  <c r="Q90" i="1"/>
  <c r="U20" i="1"/>
  <c r="T15" i="1"/>
  <c r="T14" i="1"/>
  <c r="T13" i="1"/>
  <c r="T12" i="1"/>
  <c r="T11" i="1"/>
  <c r="T10" i="1"/>
  <c r="R33" i="1"/>
  <c r="V20" i="1" l="1"/>
  <c r="U15" i="1"/>
  <c r="U14" i="1"/>
  <c r="U13" i="1"/>
  <c r="U12" i="1"/>
  <c r="U11" i="1"/>
  <c r="U10" i="1"/>
  <c r="A189" i="1"/>
  <c r="H189" i="1"/>
  <c r="G189" i="1"/>
  <c r="I189" i="1"/>
  <c r="J189" i="1"/>
  <c r="K189" i="1"/>
  <c r="L189" i="1"/>
  <c r="M189" i="1"/>
  <c r="N189" i="1"/>
  <c r="O189" i="1"/>
  <c r="P189" i="1"/>
  <c r="Q189" i="1"/>
  <c r="R189" i="1"/>
  <c r="A34" i="1"/>
  <c r="D36" i="1"/>
  <c r="D35" i="1"/>
  <c r="H34" i="1"/>
  <c r="I34" i="1"/>
  <c r="G34" i="1"/>
  <c r="J34" i="1"/>
  <c r="K34" i="1"/>
  <c r="L34" i="1"/>
  <c r="M34" i="1"/>
  <c r="N34" i="1"/>
  <c r="O34" i="1"/>
  <c r="P34" i="1"/>
  <c r="Q34" i="1"/>
  <c r="R34" i="1"/>
  <c r="A73" i="1"/>
  <c r="D75" i="1"/>
  <c r="D74" i="1"/>
  <c r="G73" i="1"/>
  <c r="H73" i="1"/>
  <c r="I73" i="1"/>
  <c r="J73" i="1"/>
  <c r="K73" i="1"/>
  <c r="L73" i="1"/>
  <c r="M73" i="1"/>
  <c r="N73" i="1"/>
  <c r="O73" i="1"/>
  <c r="P73" i="1"/>
  <c r="Q73" i="1"/>
  <c r="R73" i="1"/>
  <c r="A91" i="1"/>
  <c r="D92" i="1"/>
  <c r="G91" i="1"/>
  <c r="H91" i="1"/>
  <c r="I91" i="1"/>
  <c r="J91" i="1"/>
  <c r="K91" i="1"/>
  <c r="L91" i="1"/>
  <c r="M91" i="1"/>
  <c r="N91" i="1"/>
  <c r="O91" i="1"/>
  <c r="P91" i="1"/>
  <c r="Q91" i="1"/>
  <c r="R91" i="1"/>
  <c r="S73" i="1"/>
  <c r="T192" i="1"/>
  <c r="T189" i="1"/>
  <c r="T181" i="1"/>
  <c r="T194" i="1"/>
  <c r="T183" i="1"/>
  <c r="T175" i="1"/>
  <c r="T191" i="1"/>
  <c r="T188" i="1"/>
  <c r="T180" i="1"/>
  <c r="T193" i="1"/>
  <c r="T182" i="1"/>
  <c r="T174" i="1"/>
  <c r="T187" i="1"/>
  <c r="T179" i="1"/>
  <c r="T184" i="1"/>
  <c r="T176" i="1"/>
  <c r="T177" i="1"/>
  <c r="T172" i="1"/>
  <c r="T164" i="1"/>
  <c r="T178" i="1"/>
  <c r="T169" i="1"/>
  <c r="T185" i="1"/>
  <c r="T166" i="1"/>
  <c r="T186" i="1"/>
  <c r="T171" i="1"/>
  <c r="T168" i="1"/>
  <c r="T173" i="1"/>
  <c r="T165" i="1"/>
  <c r="T170" i="1"/>
  <c r="T167" i="1"/>
  <c r="T87" i="1"/>
  <c r="T84" i="1"/>
  <c r="T89" i="1"/>
  <c r="T86" i="1"/>
  <c r="T91" i="1"/>
  <c r="T85" i="1"/>
  <c r="T90" i="1"/>
  <c r="T74" i="1"/>
  <c r="T66" i="1"/>
  <c r="T55" i="1"/>
  <c r="T44" i="1"/>
  <c r="T82" i="1"/>
  <c r="T71" i="1"/>
  <c r="T63" i="1"/>
  <c r="T49" i="1"/>
  <c r="T41" i="1"/>
  <c r="T88" i="1"/>
  <c r="T79" i="1"/>
  <c r="T68" i="1"/>
  <c r="T60" i="1"/>
  <c r="T57" i="1"/>
  <c r="T46" i="1"/>
  <c r="T73" i="1"/>
  <c r="T65" i="1"/>
  <c r="T54" i="1"/>
  <c r="T51" i="1"/>
  <c r="T43" i="1"/>
  <c r="T81" i="1"/>
  <c r="T70" i="1"/>
  <c r="T62" i="1"/>
  <c r="T48" i="1"/>
  <c r="T83" i="1"/>
  <c r="T72" i="1"/>
  <c r="T64" i="1"/>
  <c r="T53" i="1"/>
  <c r="T50" i="1"/>
  <c r="T42" i="1"/>
  <c r="T80" i="1"/>
  <c r="T69" i="1"/>
  <c r="T61" i="1"/>
  <c r="T47" i="1"/>
  <c r="T29" i="1"/>
  <c r="T59" i="1"/>
  <c r="T34" i="1"/>
  <c r="T26" i="1"/>
  <c r="T31" i="1"/>
  <c r="T23" i="1"/>
  <c r="T75" i="1"/>
  <c r="T40" i="1"/>
  <c r="T39" i="1"/>
  <c r="T36" i="1"/>
  <c r="T28" i="1"/>
  <c r="T45" i="1"/>
  <c r="T33" i="1"/>
  <c r="T25" i="1"/>
  <c r="T56" i="1"/>
  <c r="T30" i="1"/>
  <c r="T22" i="1"/>
  <c r="T78" i="1"/>
  <c r="T67" i="1"/>
  <c r="T38" i="1"/>
  <c r="T35" i="1"/>
  <c r="T27" i="1"/>
  <c r="T32" i="1"/>
  <c r="T24" i="1"/>
  <c r="W20" i="1" l="1"/>
  <c r="V15" i="1"/>
  <c r="V14" i="1"/>
  <c r="V13" i="1"/>
  <c r="V12" i="1"/>
  <c r="V11" i="1"/>
  <c r="V10" i="1"/>
  <c r="D76" i="1"/>
  <c r="A74" i="1"/>
  <c r="G74" i="1"/>
  <c r="I74" i="1"/>
  <c r="H74" i="1"/>
  <c r="J74" i="1"/>
  <c r="K74" i="1"/>
  <c r="L74" i="1"/>
  <c r="M74" i="1"/>
  <c r="N74" i="1"/>
  <c r="O74" i="1"/>
  <c r="P74" i="1"/>
  <c r="Q74" i="1"/>
  <c r="R74" i="1"/>
  <c r="S74" i="1"/>
  <c r="A75" i="1"/>
  <c r="I75" i="1"/>
  <c r="H75" i="1"/>
  <c r="G75" i="1"/>
  <c r="J75" i="1"/>
  <c r="K75" i="1"/>
  <c r="L75" i="1"/>
  <c r="M75" i="1"/>
  <c r="N75" i="1"/>
  <c r="O75" i="1"/>
  <c r="P75" i="1"/>
  <c r="Q75" i="1"/>
  <c r="R75" i="1"/>
  <c r="S75" i="1"/>
  <c r="A35" i="1"/>
  <c r="I35" i="1"/>
  <c r="G35" i="1"/>
  <c r="H35" i="1"/>
  <c r="J35" i="1"/>
  <c r="K35" i="1"/>
  <c r="L35" i="1"/>
  <c r="M35" i="1"/>
  <c r="N35" i="1"/>
  <c r="O35" i="1"/>
  <c r="P35" i="1"/>
  <c r="Q35" i="1"/>
  <c r="R35" i="1"/>
  <c r="S35" i="1"/>
  <c r="A92" i="1"/>
  <c r="D93" i="1"/>
  <c r="G92" i="1"/>
  <c r="I92" i="1"/>
  <c r="H92" i="1"/>
  <c r="J92" i="1"/>
  <c r="K92" i="1"/>
  <c r="L92" i="1"/>
  <c r="M92" i="1"/>
  <c r="N92" i="1"/>
  <c r="O92" i="1"/>
  <c r="P92" i="1"/>
  <c r="Q92" i="1"/>
  <c r="R92" i="1"/>
  <c r="S92" i="1"/>
  <c r="A36" i="1"/>
  <c r="I36" i="1"/>
  <c r="H36" i="1"/>
  <c r="G36" i="1"/>
  <c r="J36" i="1"/>
  <c r="K36" i="1"/>
  <c r="L36" i="1"/>
  <c r="M36" i="1"/>
  <c r="N36" i="1"/>
  <c r="O36" i="1"/>
  <c r="P36" i="1"/>
  <c r="Q36" i="1"/>
  <c r="R36" i="1"/>
  <c r="S36" i="1"/>
  <c r="T92" i="1"/>
  <c r="U186" i="1"/>
  <c r="U178" i="1"/>
  <c r="U194" i="1"/>
  <c r="U191" i="1"/>
  <c r="U188" i="1"/>
  <c r="U180" i="1"/>
  <c r="U185" i="1"/>
  <c r="U177" i="1"/>
  <c r="U193" i="1"/>
  <c r="U187" i="1"/>
  <c r="U179" i="1"/>
  <c r="U184" i="1"/>
  <c r="U176" i="1"/>
  <c r="U192" i="1"/>
  <c r="U189" i="1"/>
  <c r="U181" i="1"/>
  <c r="U169" i="1"/>
  <c r="U166" i="1"/>
  <c r="U171" i="1"/>
  <c r="U168" i="1"/>
  <c r="U174" i="1"/>
  <c r="U173" i="1"/>
  <c r="U165" i="1"/>
  <c r="U175" i="1"/>
  <c r="U170" i="1"/>
  <c r="U182" i="1"/>
  <c r="U167" i="1"/>
  <c r="U164" i="1"/>
  <c r="U172" i="1"/>
  <c r="U92" i="1"/>
  <c r="U84" i="1"/>
  <c r="U89" i="1"/>
  <c r="U183" i="1"/>
  <c r="U86" i="1"/>
  <c r="U91" i="1"/>
  <c r="U88" i="1"/>
  <c r="U90" i="1"/>
  <c r="U87" i="1"/>
  <c r="U82" i="1"/>
  <c r="U71" i="1"/>
  <c r="U63" i="1"/>
  <c r="U49" i="1"/>
  <c r="U41" i="1"/>
  <c r="U79" i="1"/>
  <c r="U76" i="1"/>
  <c r="U68" i="1"/>
  <c r="U60" i="1"/>
  <c r="U57" i="1"/>
  <c r="U46" i="1"/>
  <c r="U73" i="1"/>
  <c r="U65" i="1"/>
  <c r="U54" i="1"/>
  <c r="U51" i="1"/>
  <c r="U43" i="1"/>
  <c r="U81" i="1"/>
  <c r="U70" i="1"/>
  <c r="U62" i="1"/>
  <c r="U48" i="1"/>
  <c r="U40" i="1"/>
  <c r="U85" i="1"/>
  <c r="U78" i="1"/>
  <c r="U75" i="1"/>
  <c r="U67" i="1"/>
  <c r="U59" i="1"/>
  <c r="U56" i="1"/>
  <c r="U45" i="1"/>
  <c r="U80" i="1"/>
  <c r="U69" i="1"/>
  <c r="U61" i="1"/>
  <c r="U47" i="1"/>
  <c r="U74" i="1"/>
  <c r="U66" i="1"/>
  <c r="U55" i="1"/>
  <c r="U44" i="1"/>
  <c r="U64" i="1"/>
  <c r="U34" i="1"/>
  <c r="U26" i="1"/>
  <c r="U31" i="1"/>
  <c r="U23" i="1"/>
  <c r="U39" i="1"/>
  <c r="U36" i="1"/>
  <c r="U28" i="1"/>
  <c r="U50" i="1"/>
  <c r="U33" i="1"/>
  <c r="U25" i="1"/>
  <c r="U30" i="1"/>
  <c r="U22" i="1"/>
  <c r="U83" i="1"/>
  <c r="U72" i="1"/>
  <c r="U38" i="1"/>
  <c r="U35" i="1"/>
  <c r="U27" i="1"/>
  <c r="U42" i="1"/>
  <c r="U32" i="1"/>
  <c r="U24" i="1"/>
  <c r="U53" i="1"/>
  <c r="U29" i="1"/>
  <c r="D94" i="1" l="1"/>
  <c r="A93" i="1"/>
  <c r="H93" i="1"/>
  <c r="G93" i="1"/>
  <c r="I93" i="1"/>
  <c r="J93" i="1"/>
  <c r="K93" i="1"/>
  <c r="L93" i="1"/>
  <c r="M93" i="1"/>
  <c r="N93" i="1"/>
  <c r="O93" i="1"/>
  <c r="P93" i="1"/>
  <c r="Q93" i="1"/>
  <c r="R93" i="1"/>
  <c r="S93" i="1"/>
  <c r="T93" i="1"/>
  <c r="V194" i="1"/>
  <c r="V183" i="1"/>
  <c r="V175" i="1"/>
  <c r="V191" i="1"/>
  <c r="V185" i="1"/>
  <c r="V177" i="1"/>
  <c r="V193" i="1"/>
  <c r="V182" i="1"/>
  <c r="V174" i="1"/>
  <c r="V184" i="1"/>
  <c r="V176" i="1"/>
  <c r="V192" i="1"/>
  <c r="V189" i="1"/>
  <c r="V181" i="1"/>
  <c r="V186" i="1"/>
  <c r="V178" i="1"/>
  <c r="V166" i="1"/>
  <c r="V171" i="1"/>
  <c r="V179" i="1"/>
  <c r="V168" i="1"/>
  <c r="V180" i="1"/>
  <c r="V173" i="1"/>
  <c r="V165" i="1"/>
  <c r="V187" i="1"/>
  <c r="V170" i="1"/>
  <c r="V188" i="1"/>
  <c r="V167" i="1"/>
  <c r="V172" i="1"/>
  <c r="V164" i="1"/>
  <c r="V89" i="1"/>
  <c r="V94" i="1"/>
  <c r="V86" i="1"/>
  <c r="V91" i="1"/>
  <c r="V88" i="1"/>
  <c r="V93" i="1"/>
  <c r="V85" i="1"/>
  <c r="V87" i="1"/>
  <c r="V92" i="1"/>
  <c r="V84" i="1"/>
  <c r="V79" i="1"/>
  <c r="V76" i="1"/>
  <c r="V68" i="1"/>
  <c r="V60" i="1"/>
  <c r="V57" i="1"/>
  <c r="V46" i="1"/>
  <c r="V73" i="1"/>
  <c r="V65" i="1"/>
  <c r="V54" i="1"/>
  <c r="V51" i="1"/>
  <c r="V43" i="1"/>
  <c r="V169" i="1"/>
  <c r="V81" i="1"/>
  <c r="V70" i="1"/>
  <c r="V62" i="1"/>
  <c r="V48" i="1"/>
  <c r="V90" i="1"/>
  <c r="V78" i="1"/>
  <c r="V75" i="1"/>
  <c r="V67" i="1"/>
  <c r="V59" i="1"/>
  <c r="V56" i="1"/>
  <c r="V45" i="1"/>
  <c r="V83" i="1"/>
  <c r="V72" i="1"/>
  <c r="V64" i="1"/>
  <c r="V53" i="1"/>
  <c r="V50" i="1"/>
  <c r="V42" i="1"/>
  <c r="V74" i="1"/>
  <c r="V66" i="1"/>
  <c r="V55" i="1"/>
  <c r="V44" i="1"/>
  <c r="V82" i="1"/>
  <c r="V71" i="1"/>
  <c r="V63" i="1"/>
  <c r="V49" i="1"/>
  <c r="V41" i="1"/>
  <c r="V31" i="1"/>
  <c r="V23" i="1"/>
  <c r="V39" i="1"/>
  <c r="V36" i="1"/>
  <c r="V28" i="1"/>
  <c r="V61" i="1"/>
  <c r="V40" i="1"/>
  <c r="V33" i="1"/>
  <c r="V25" i="1"/>
  <c r="V30" i="1"/>
  <c r="V22" i="1"/>
  <c r="V38" i="1"/>
  <c r="V35" i="1"/>
  <c r="V27" i="1"/>
  <c r="V47" i="1"/>
  <c r="V32" i="1"/>
  <c r="V24" i="1"/>
  <c r="V29" i="1"/>
  <c r="V80" i="1"/>
  <c r="V69" i="1"/>
  <c r="V34" i="1"/>
  <c r="V26" i="1"/>
  <c r="W12" i="1"/>
  <c r="W10" i="1"/>
  <c r="W15" i="1"/>
  <c r="W14" i="1"/>
  <c r="X20" i="1"/>
  <c r="W13" i="1"/>
  <c r="W11" i="1"/>
  <c r="U93" i="1"/>
  <c r="A76" i="1"/>
  <c r="I76" i="1"/>
  <c r="H76" i="1"/>
  <c r="G76" i="1"/>
  <c r="J76" i="1"/>
  <c r="K76" i="1"/>
  <c r="L76" i="1"/>
  <c r="M76" i="1"/>
  <c r="N76" i="1"/>
  <c r="O76" i="1"/>
  <c r="P76" i="1"/>
  <c r="Q76" i="1"/>
  <c r="R76" i="1"/>
  <c r="S76" i="1"/>
  <c r="T76" i="1"/>
  <c r="A94" i="1" l="1"/>
  <c r="D95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Y20" i="1"/>
  <c r="X15" i="1"/>
  <c r="X14" i="1"/>
  <c r="X13" i="1"/>
  <c r="X12" i="1"/>
  <c r="X11" i="1"/>
  <c r="X10" i="1"/>
  <c r="W191" i="1"/>
  <c r="W188" i="1"/>
  <c r="W180" i="1"/>
  <c r="W193" i="1"/>
  <c r="W182" i="1"/>
  <c r="W174" i="1"/>
  <c r="W187" i="1"/>
  <c r="W179" i="1"/>
  <c r="W192" i="1"/>
  <c r="W189" i="1"/>
  <c r="W181" i="1"/>
  <c r="W186" i="1"/>
  <c r="W178" i="1"/>
  <c r="W194" i="1"/>
  <c r="W183" i="1"/>
  <c r="W175" i="1"/>
  <c r="W184" i="1"/>
  <c r="W171" i="1"/>
  <c r="W185" i="1"/>
  <c r="W168" i="1"/>
  <c r="W173" i="1"/>
  <c r="W165" i="1"/>
  <c r="W170" i="1"/>
  <c r="W167" i="1"/>
  <c r="W172" i="1"/>
  <c r="W164" i="1"/>
  <c r="W176" i="1"/>
  <c r="W169" i="1"/>
  <c r="W166" i="1"/>
  <c r="W177" i="1"/>
  <c r="W94" i="1"/>
  <c r="W86" i="1"/>
  <c r="W91" i="1"/>
  <c r="W88" i="1"/>
  <c r="W93" i="1"/>
  <c r="W85" i="1"/>
  <c r="W90" i="1"/>
  <c r="W92" i="1"/>
  <c r="W84" i="1"/>
  <c r="W89" i="1"/>
  <c r="W73" i="1"/>
  <c r="W65" i="1"/>
  <c r="W54" i="1"/>
  <c r="W51" i="1"/>
  <c r="W43" i="1"/>
  <c r="W81" i="1"/>
  <c r="W70" i="1"/>
  <c r="W62" i="1"/>
  <c r="W48" i="1"/>
  <c r="W95" i="1"/>
  <c r="W78" i="1"/>
  <c r="W75" i="1"/>
  <c r="W67" i="1"/>
  <c r="W59" i="1"/>
  <c r="W56" i="1"/>
  <c r="W45" i="1"/>
  <c r="W83" i="1"/>
  <c r="W72" i="1"/>
  <c r="W64" i="1"/>
  <c r="W53" i="1"/>
  <c r="W50" i="1"/>
  <c r="W42" i="1"/>
  <c r="W80" i="1"/>
  <c r="W69" i="1"/>
  <c r="W61" i="1"/>
  <c r="W47" i="1"/>
  <c r="W82" i="1"/>
  <c r="W71" i="1"/>
  <c r="W63" i="1"/>
  <c r="W49" i="1"/>
  <c r="W41" i="1"/>
  <c r="W79" i="1"/>
  <c r="W76" i="1"/>
  <c r="W68" i="1"/>
  <c r="W60" i="1"/>
  <c r="W57" i="1"/>
  <c r="W46" i="1"/>
  <c r="W55" i="1"/>
  <c r="W39" i="1"/>
  <c r="W36" i="1"/>
  <c r="W28" i="1"/>
  <c r="W87" i="1"/>
  <c r="W66" i="1"/>
  <c r="W40" i="1"/>
  <c r="W33" i="1"/>
  <c r="W25" i="1"/>
  <c r="W30" i="1"/>
  <c r="W22" i="1"/>
  <c r="W38" i="1"/>
  <c r="W35" i="1"/>
  <c r="W27" i="1"/>
  <c r="W32" i="1"/>
  <c r="W24" i="1"/>
  <c r="W29" i="1"/>
  <c r="W74" i="1"/>
  <c r="W34" i="1"/>
  <c r="W26" i="1"/>
  <c r="W44" i="1"/>
  <c r="W31" i="1"/>
  <c r="W23" i="1"/>
  <c r="X185" i="1" l="1"/>
  <c r="X177" i="1"/>
  <c r="X193" i="1"/>
  <c r="X187" i="1"/>
  <c r="X179" i="1"/>
  <c r="X184" i="1"/>
  <c r="X176" i="1"/>
  <c r="X192" i="1"/>
  <c r="X186" i="1"/>
  <c r="X178" i="1"/>
  <c r="X194" i="1"/>
  <c r="X183" i="1"/>
  <c r="X175" i="1"/>
  <c r="X191" i="1"/>
  <c r="X188" i="1"/>
  <c r="X180" i="1"/>
  <c r="X168" i="1"/>
  <c r="X173" i="1"/>
  <c r="X165" i="1"/>
  <c r="X170" i="1"/>
  <c r="X174" i="1"/>
  <c r="X167" i="1"/>
  <c r="X181" i="1"/>
  <c r="X172" i="1"/>
  <c r="X164" i="1"/>
  <c r="X182" i="1"/>
  <c r="X169" i="1"/>
  <c r="X189" i="1"/>
  <c r="X166" i="1"/>
  <c r="X171" i="1"/>
  <c r="X91" i="1"/>
  <c r="X88" i="1"/>
  <c r="X93" i="1"/>
  <c r="X85" i="1"/>
  <c r="X90" i="1"/>
  <c r="X95" i="1"/>
  <c r="X87" i="1"/>
  <c r="X89" i="1"/>
  <c r="X94" i="1"/>
  <c r="X86" i="1"/>
  <c r="X81" i="1"/>
  <c r="X70" i="1"/>
  <c r="X62" i="1"/>
  <c r="X48" i="1"/>
  <c r="X40" i="1"/>
  <c r="X78" i="1"/>
  <c r="X75" i="1"/>
  <c r="X67" i="1"/>
  <c r="X59" i="1"/>
  <c r="X56" i="1"/>
  <c r="X45" i="1"/>
  <c r="X83" i="1"/>
  <c r="X72" i="1"/>
  <c r="X64" i="1"/>
  <c r="X53" i="1"/>
  <c r="X50" i="1"/>
  <c r="X42" i="1"/>
  <c r="X80" i="1"/>
  <c r="X69" i="1"/>
  <c r="X61" i="1"/>
  <c r="X47" i="1"/>
  <c r="X92" i="1"/>
  <c r="X74" i="1"/>
  <c r="X66" i="1"/>
  <c r="X55" i="1"/>
  <c r="X44" i="1"/>
  <c r="X79" i="1"/>
  <c r="X76" i="1"/>
  <c r="X68" i="1"/>
  <c r="X60" i="1"/>
  <c r="X57" i="1"/>
  <c r="X46" i="1"/>
  <c r="X84" i="1"/>
  <c r="X73" i="1"/>
  <c r="X65" i="1"/>
  <c r="X54" i="1"/>
  <c r="X51" i="1"/>
  <c r="X43" i="1"/>
  <c r="X82" i="1"/>
  <c r="X71" i="1"/>
  <c r="X33" i="1"/>
  <c r="X25" i="1"/>
  <c r="X41" i="1"/>
  <c r="X30" i="1"/>
  <c r="X22" i="1"/>
  <c r="X38" i="1"/>
  <c r="X35" i="1"/>
  <c r="X27" i="1"/>
  <c r="X63" i="1"/>
  <c r="X32" i="1"/>
  <c r="X24" i="1"/>
  <c r="X29" i="1"/>
  <c r="X34" i="1"/>
  <c r="X26" i="1"/>
  <c r="X49" i="1"/>
  <c r="X31" i="1"/>
  <c r="X23" i="1"/>
  <c r="X39" i="1"/>
  <c r="X36" i="1"/>
  <c r="X28" i="1"/>
  <c r="Z20" i="1"/>
  <c r="Y12" i="1"/>
  <c r="Y10" i="1"/>
  <c r="Y15" i="1"/>
  <c r="Y14" i="1"/>
  <c r="Y13" i="1"/>
  <c r="Y11" i="1"/>
  <c r="D96" i="1"/>
  <c r="A95" i="1"/>
  <c r="H95" i="1"/>
  <c r="G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AA20" i="1" l="1"/>
  <c r="Z15" i="1"/>
  <c r="Z14" i="1"/>
  <c r="Z13" i="1"/>
  <c r="Z12" i="1"/>
  <c r="Z11" i="1"/>
  <c r="Z10" i="1"/>
  <c r="D97" i="1"/>
  <c r="A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Y193" i="1"/>
  <c r="Y182" i="1"/>
  <c r="Y174" i="1"/>
  <c r="Y184" i="1"/>
  <c r="Y176" i="1"/>
  <c r="Y192" i="1"/>
  <c r="Y189" i="1"/>
  <c r="Y181" i="1"/>
  <c r="Y194" i="1"/>
  <c r="Y183" i="1"/>
  <c r="Y175" i="1"/>
  <c r="Y191" i="1"/>
  <c r="Y188" i="1"/>
  <c r="Y180" i="1"/>
  <c r="Y185" i="1"/>
  <c r="Y177" i="1"/>
  <c r="Y178" i="1"/>
  <c r="Y173" i="1"/>
  <c r="Y165" i="1"/>
  <c r="Y179" i="1"/>
  <c r="Y170" i="1"/>
  <c r="Y186" i="1"/>
  <c r="Y167" i="1"/>
  <c r="Y187" i="1"/>
  <c r="Y172" i="1"/>
  <c r="Y164" i="1"/>
  <c r="Y169" i="1"/>
  <c r="Y166" i="1"/>
  <c r="Y171" i="1"/>
  <c r="Y168" i="1"/>
  <c r="Y96" i="1"/>
  <c r="Y88" i="1"/>
  <c r="Y93" i="1"/>
  <c r="Y85" i="1"/>
  <c r="Y90" i="1"/>
  <c r="Y95" i="1"/>
  <c r="Y87" i="1"/>
  <c r="Y92" i="1"/>
  <c r="Y84" i="1"/>
  <c r="Y94" i="1"/>
  <c r="Y86" i="1"/>
  <c r="Y91" i="1"/>
  <c r="Y78" i="1"/>
  <c r="Y75" i="1"/>
  <c r="Y67" i="1"/>
  <c r="Y59" i="1"/>
  <c r="Y56" i="1"/>
  <c r="Y45" i="1"/>
  <c r="Y83" i="1"/>
  <c r="Y72" i="1"/>
  <c r="Y64" i="1"/>
  <c r="Y53" i="1"/>
  <c r="Y50" i="1"/>
  <c r="Y42" i="1"/>
  <c r="Y80" i="1"/>
  <c r="Y69" i="1"/>
  <c r="Y61" i="1"/>
  <c r="Y47" i="1"/>
  <c r="Y97" i="1"/>
  <c r="Y74" i="1"/>
  <c r="Y66" i="1"/>
  <c r="Y55" i="1"/>
  <c r="Y44" i="1"/>
  <c r="Y82" i="1"/>
  <c r="Y71" i="1"/>
  <c r="Y63" i="1"/>
  <c r="Y49" i="1"/>
  <c r="Y41" i="1"/>
  <c r="Y89" i="1"/>
  <c r="Y73" i="1"/>
  <c r="Y65" i="1"/>
  <c r="Y54" i="1"/>
  <c r="Y51" i="1"/>
  <c r="Y43" i="1"/>
  <c r="Y81" i="1"/>
  <c r="Y70" i="1"/>
  <c r="Y62" i="1"/>
  <c r="Y48" i="1"/>
  <c r="Y40" i="1"/>
  <c r="Y46" i="1"/>
  <c r="Y30" i="1"/>
  <c r="Y22" i="1"/>
  <c r="Y57" i="1"/>
  <c r="Y38" i="1"/>
  <c r="Y35" i="1"/>
  <c r="Y27" i="1"/>
  <c r="Y79" i="1"/>
  <c r="Y68" i="1"/>
  <c r="Y32" i="1"/>
  <c r="Y24" i="1"/>
  <c r="Y29" i="1"/>
  <c r="Y34" i="1"/>
  <c r="Y26" i="1"/>
  <c r="Y60" i="1"/>
  <c r="Y31" i="1"/>
  <c r="Y23" i="1"/>
  <c r="Y39" i="1"/>
  <c r="Y36" i="1"/>
  <c r="Y28" i="1"/>
  <c r="Y76" i="1"/>
  <c r="Y33" i="1"/>
  <c r="Y25" i="1"/>
  <c r="X96" i="1"/>
  <c r="A97" i="1" l="1"/>
  <c r="D98" i="1"/>
  <c r="G97" i="1"/>
  <c r="I97" i="1"/>
  <c r="H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Z187" i="1"/>
  <c r="Z179" i="1"/>
  <c r="Z192" i="1"/>
  <c r="Z189" i="1"/>
  <c r="Z181" i="1"/>
  <c r="Z186" i="1"/>
  <c r="Z178" i="1"/>
  <c r="Z194" i="1"/>
  <c r="Z191" i="1"/>
  <c r="Z188" i="1"/>
  <c r="Z180" i="1"/>
  <c r="Z185" i="1"/>
  <c r="Z177" i="1"/>
  <c r="Z193" i="1"/>
  <c r="Z182" i="1"/>
  <c r="Z174" i="1"/>
  <c r="Z170" i="1"/>
  <c r="Z167" i="1"/>
  <c r="Z172" i="1"/>
  <c r="Z164" i="1"/>
  <c r="Z169" i="1"/>
  <c r="Z175" i="1"/>
  <c r="Z166" i="1"/>
  <c r="Z176" i="1"/>
  <c r="Z171" i="1"/>
  <c r="Z183" i="1"/>
  <c r="Z168" i="1"/>
  <c r="Z173" i="1"/>
  <c r="Z165" i="1"/>
  <c r="Z184" i="1"/>
  <c r="Z93" i="1"/>
  <c r="Z85" i="1"/>
  <c r="Z98" i="1"/>
  <c r="Z90" i="1"/>
  <c r="Z95" i="1"/>
  <c r="Z87" i="1"/>
  <c r="Z92" i="1"/>
  <c r="Z84" i="1"/>
  <c r="Z97" i="1"/>
  <c r="Z89" i="1"/>
  <c r="Z91" i="1"/>
  <c r="Z96" i="1"/>
  <c r="Z88" i="1"/>
  <c r="Z86" i="1"/>
  <c r="Z83" i="1"/>
  <c r="Z72" i="1"/>
  <c r="Z64" i="1"/>
  <c r="Z53" i="1"/>
  <c r="Z50" i="1"/>
  <c r="Z42" i="1"/>
  <c r="Z80" i="1"/>
  <c r="Z69" i="1"/>
  <c r="Z61" i="1"/>
  <c r="Z47" i="1"/>
  <c r="Z74" i="1"/>
  <c r="Z66" i="1"/>
  <c r="Z55" i="1"/>
  <c r="Z44" i="1"/>
  <c r="Z82" i="1"/>
  <c r="Z71" i="1"/>
  <c r="Z63" i="1"/>
  <c r="Z49" i="1"/>
  <c r="Z41" i="1"/>
  <c r="Z79" i="1"/>
  <c r="Z76" i="1"/>
  <c r="Z68" i="1"/>
  <c r="Z60" i="1"/>
  <c r="Z57" i="1"/>
  <c r="Z46" i="1"/>
  <c r="Z81" i="1"/>
  <c r="Z70" i="1"/>
  <c r="Z62" i="1"/>
  <c r="Z48" i="1"/>
  <c r="Z40" i="1"/>
  <c r="Z78" i="1"/>
  <c r="Z75" i="1"/>
  <c r="Z67" i="1"/>
  <c r="Z59" i="1"/>
  <c r="Z56" i="1"/>
  <c r="Z45" i="1"/>
  <c r="Z38" i="1"/>
  <c r="Z35" i="1"/>
  <c r="Z27" i="1"/>
  <c r="Z73" i="1"/>
  <c r="Z32" i="1"/>
  <c r="Z24" i="1"/>
  <c r="Z43" i="1"/>
  <c r="Z29" i="1"/>
  <c r="Z54" i="1"/>
  <c r="Z34" i="1"/>
  <c r="Z26" i="1"/>
  <c r="Z65" i="1"/>
  <c r="Z31" i="1"/>
  <c r="Z23" i="1"/>
  <c r="Z39" i="1"/>
  <c r="Z36" i="1"/>
  <c r="Z28" i="1"/>
  <c r="Z94" i="1"/>
  <c r="Z33" i="1"/>
  <c r="Z25" i="1"/>
  <c r="Z51" i="1"/>
  <c r="Z30" i="1"/>
  <c r="Z22" i="1"/>
  <c r="AB20" i="1"/>
  <c r="AA15" i="1"/>
  <c r="AA14" i="1"/>
  <c r="AA13" i="1"/>
  <c r="AA12" i="1"/>
  <c r="AA11" i="1"/>
  <c r="AA10" i="1"/>
  <c r="AC20" i="1" l="1"/>
  <c r="AB15" i="1"/>
  <c r="AB14" i="1"/>
  <c r="AB13" i="1"/>
  <c r="AB12" i="1"/>
  <c r="AB11" i="1"/>
  <c r="AB10" i="1"/>
  <c r="D99" i="1"/>
  <c r="A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AA184" i="1"/>
  <c r="AA176" i="1"/>
  <c r="AA192" i="1"/>
  <c r="AA186" i="1"/>
  <c r="AA178" i="1"/>
  <c r="AA194" i="1"/>
  <c r="AA183" i="1"/>
  <c r="AA175" i="1"/>
  <c r="AA191" i="1"/>
  <c r="AA185" i="1"/>
  <c r="AA177" i="1"/>
  <c r="AA193" i="1"/>
  <c r="AA182" i="1"/>
  <c r="AA174" i="1"/>
  <c r="AA187" i="1"/>
  <c r="AA179" i="1"/>
  <c r="AA167" i="1"/>
  <c r="AA172" i="1"/>
  <c r="AA164" i="1"/>
  <c r="AA180" i="1"/>
  <c r="AA169" i="1"/>
  <c r="AA181" i="1"/>
  <c r="AA166" i="1"/>
  <c r="AA188" i="1"/>
  <c r="AA171" i="1"/>
  <c r="AA189" i="1"/>
  <c r="AA168" i="1"/>
  <c r="AA173" i="1"/>
  <c r="AA165" i="1"/>
  <c r="AA170" i="1"/>
  <c r="AA98" i="1"/>
  <c r="AA90" i="1"/>
  <c r="AA95" i="1"/>
  <c r="AA87" i="1"/>
  <c r="AA92" i="1"/>
  <c r="AA84" i="1"/>
  <c r="AA97" i="1"/>
  <c r="AA89" i="1"/>
  <c r="AA94" i="1"/>
  <c r="AA86" i="1"/>
  <c r="AA96" i="1"/>
  <c r="AA88" i="1"/>
  <c r="AA93" i="1"/>
  <c r="AA85" i="1"/>
  <c r="AA80" i="1"/>
  <c r="AA69" i="1"/>
  <c r="AA61" i="1"/>
  <c r="AA47" i="1"/>
  <c r="AA74" i="1"/>
  <c r="AA66" i="1"/>
  <c r="AA55" i="1"/>
  <c r="AA44" i="1"/>
  <c r="AA82" i="1"/>
  <c r="AA71" i="1"/>
  <c r="AA63" i="1"/>
  <c r="AA49" i="1"/>
  <c r="AA41" i="1"/>
  <c r="AA79" i="1"/>
  <c r="AA76" i="1"/>
  <c r="AA68" i="1"/>
  <c r="AA60" i="1"/>
  <c r="AA57" i="1"/>
  <c r="AA46" i="1"/>
  <c r="AA99" i="1"/>
  <c r="AA73" i="1"/>
  <c r="AA65" i="1"/>
  <c r="AA54" i="1"/>
  <c r="AA51" i="1"/>
  <c r="AA43" i="1"/>
  <c r="AA78" i="1"/>
  <c r="AA75" i="1"/>
  <c r="AA67" i="1"/>
  <c r="AA59" i="1"/>
  <c r="AA56" i="1"/>
  <c r="AA45" i="1"/>
  <c r="AA91" i="1"/>
  <c r="AA83" i="1"/>
  <c r="AA72" i="1"/>
  <c r="AA64" i="1"/>
  <c r="AA53" i="1"/>
  <c r="AA50" i="1"/>
  <c r="AA42" i="1"/>
  <c r="AA40" i="1"/>
  <c r="AA32" i="1"/>
  <c r="AA24" i="1"/>
  <c r="AA48" i="1"/>
  <c r="AA29" i="1"/>
  <c r="AA34" i="1"/>
  <c r="AA26" i="1"/>
  <c r="AA81" i="1"/>
  <c r="AA70" i="1"/>
  <c r="AA31" i="1"/>
  <c r="AA23" i="1"/>
  <c r="AA39" i="1"/>
  <c r="AA36" i="1"/>
  <c r="AA28" i="1"/>
  <c r="AA33" i="1"/>
  <c r="AA25" i="1"/>
  <c r="AA62" i="1"/>
  <c r="AA30" i="1"/>
  <c r="AA22" i="1"/>
  <c r="AA38" i="1"/>
  <c r="AA35" i="1"/>
  <c r="AA27" i="1"/>
  <c r="A99" i="1" l="1"/>
  <c r="D100" i="1"/>
  <c r="H99" i="1"/>
  <c r="I99" i="1"/>
  <c r="G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B192" i="1"/>
  <c r="AB189" i="1"/>
  <c r="AB181" i="1"/>
  <c r="AB194" i="1"/>
  <c r="AB183" i="1"/>
  <c r="AB175" i="1"/>
  <c r="AB191" i="1"/>
  <c r="AB188" i="1"/>
  <c r="AB180" i="1"/>
  <c r="AB193" i="1"/>
  <c r="AB182" i="1"/>
  <c r="AB174" i="1"/>
  <c r="AB187" i="1"/>
  <c r="AB179" i="1"/>
  <c r="AB184" i="1"/>
  <c r="AB176" i="1"/>
  <c r="AB185" i="1"/>
  <c r="AB172" i="1"/>
  <c r="AB164" i="1"/>
  <c r="AB186" i="1"/>
  <c r="AB169" i="1"/>
  <c r="AB166" i="1"/>
  <c r="AB171" i="1"/>
  <c r="AB168" i="1"/>
  <c r="AB173" i="1"/>
  <c r="AB165" i="1"/>
  <c r="AB177" i="1"/>
  <c r="AB170" i="1"/>
  <c r="AB178" i="1"/>
  <c r="AB167" i="1"/>
  <c r="AB95" i="1"/>
  <c r="AB87" i="1"/>
  <c r="AB100" i="1"/>
  <c r="AB92" i="1"/>
  <c r="AB84" i="1"/>
  <c r="AB97" i="1"/>
  <c r="AB89" i="1"/>
  <c r="AB94" i="1"/>
  <c r="AB86" i="1"/>
  <c r="AB99" i="1"/>
  <c r="AB91" i="1"/>
  <c r="AB93" i="1"/>
  <c r="AB85" i="1"/>
  <c r="AB98" i="1"/>
  <c r="AB90" i="1"/>
  <c r="AB74" i="1"/>
  <c r="AB66" i="1"/>
  <c r="AB55" i="1"/>
  <c r="AB44" i="1"/>
  <c r="AB88" i="1"/>
  <c r="AB82" i="1"/>
  <c r="AB71" i="1"/>
  <c r="AB63" i="1"/>
  <c r="AB49" i="1"/>
  <c r="AB41" i="1"/>
  <c r="AB79" i="1"/>
  <c r="AB76" i="1"/>
  <c r="AB68" i="1"/>
  <c r="AB60" i="1"/>
  <c r="AB57" i="1"/>
  <c r="AB46" i="1"/>
  <c r="AB73" i="1"/>
  <c r="AB65" i="1"/>
  <c r="AB54" i="1"/>
  <c r="AB51" i="1"/>
  <c r="AB43" i="1"/>
  <c r="AB81" i="1"/>
  <c r="AB70" i="1"/>
  <c r="AB62" i="1"/>
  <c r="AB48" i="1"/>
  <c r="AB96" i="1"/>
  <c r="AB83" i="1"/>
  <c r="AB72" i="1"/>
  <c r="AB64" i="1"/>
  <c r="AB53" i="1"/>
  <c r="AB50" i="1"/>
  <c r="AB42" i="1"/>
  <c r="AB80" i="1"/>
  <c r="AB69" i="1"/>
  <c r="AB61" i="1"/>
  <c r="AB47" i="1"/>
  <c r="AB59" i="1"/>
  <c r="AB29" i="1"/>
  <c r="AB34" i="1"/>
  <c r="AB26" i="1"/>
  <c r="AB75" i="1"/>
  <c r="AB31" i="1"/>
  <c r="AB23" i="1"/>
  <c r="AB45" i="1"/>
  <c r="AB39" i="1"/>
  <c r="AB36" i="1"/>
  <c r="AB28" i="1"/>
  <c r="AB56" i="1"/>
  <c r="AB33" i="1"/>
  <c r="AB25" i="1"/>
  <c r="AB78" i="1"/>
  <c r="AB67" i="1"/>
  <c r="AB30" i="1"/>
  <c r="AB22" i="1"/>
  <c r="AB38" i="1"/>
  <c r="AB35" i="1"/>
  <c r="AB27" i="1"/>
  <c r="AB40" i="1"/>
  <c r="AB32" i="1"/>
  <c r="AB24" i="1"/>
  <c r="AD20" i="1"/>
  <c r="AC15" i="1"/>
  <c r="AC14" i="1"/>
  <c r="AC13" i="1"/>
  <c r="AC12" i="1"/>
  <c r="AC11" i="1"/>
  <c r="AC10" i="1"/>
  <c r="AC186" i="1" l="1"/>
  <c r="AC178" i="1"/>
  <c r="AC194" i="1"/>
  <c r="AC191" i="1"/>
  <c r="AC188" i="1"/>
  <c r="AC180" i="1"/>
  <c r="AC185" i="1"/>
  <c r="AC177" i="1"/>
  <c r="AC193" i="1"/>
  <c r="AC187" i="1"/>
  <c r="AC179" i="1"/>
  <c r="AC184" i="1"/>
  <c r="AC176" i="1"/>
  <c r="AC192" i="1"/>
  <c r="AC189" i="1"/>
  <c r="AC181" i="1"/>
  <c r="AC169" i="1"/>
  <c r="AC166" i="1"/>
  <c r="AC174" i="1"/>
  <c r="AC171" i="1"/>
  <c r="AC175" i="1"/>
  <c r="AC168" i="1"/>
  <c r="AC182" i="1"/>
  <c r="AC173" i="1"/>
  <c r="AC165" i="1"/>
  <c r="AC183" i="1"/>
  <c r="AC170" i="1"/>
  <c r="AC167" i="1"/>
  <c r="AC164" i="1"/>
  <c r="AC172" i="1"/>
  <c r="AC100" i="1"/>
  <c r="AC92" i="1"/>
  <c r="AC84" i="1"/>
  <c r="AC97" i="1"/>
  <c r="AC89" i="1"/>
  <c r="AC94" i="1"/>
  <c r="AC86" i="1"/>
  <c r="AC99" i="1"/>
  <c r="AC91" i="1"/>
  <c r="AC96" i="1"/>
  <c r="AC88" i="1"/>
  <c r="AC98" i="1"/>
  <c r="AC90" i="1"/>
  <c r="AC95" i="1"/>
  <c r="AC87" i="1"/>
  <c r="AC93" i="1"/>
  <c r="AC82" i="1"/>
  <c r="AC71" i="1"/>
  <c r="AC63" i="1"/>
  <c r="AC49" i="1"/>
  <c r="AC41" i="1"/>
  <c r="AC79" i="1"/>
  <c r="AC76" i="1"/>
  <c r="AC68" i="1"/>
  <c r="AC60" i="1"/>
  <c r="AC57" i="1"/>
  <c r="AC46" i="1"/>
  <c r="AC73" i="1"/>
  <c r="AC65" i="1"/>
  <c r="AC54" i="1"/>
  <c r="AC51" i="1"/>
  <c r="AC43" i="1"/>
  <c r="AC85" i="1"/>
  <c r="AC81" i="1"/>
  <c r="AC70" i="1"/>
  <c r="AC62" i="1"/>
  <c r="AC48" i="1"/>
  <c r="AC40" i="1"/>
  <c r="AC78" i="1"/>
  <c r="AC75" i="1"/>
  <c r="AC67" i="1"/>
  <c r="AC59" i="1"/>
  <c r="AC56" i="1"/>
  <c r="AC45" i="1"/>
  <c r="AC80" i="1"/>
  <c r="AC69" i="1"/>
  <c r="AC61" i="1"/>
  <c r="AC47" i="1"/>
  <c r="AC74" i="1"/>
  <c r="AC66" i="1"/>
  <c r="AC55" i="1"/>
  <c r="AC44" i="1"/>
  <c r="AC34" i="1"/>
  <c r="AC26" i="1"/>
  <c r="AC31" i="1"/>
  <c r="AC23" i="1"/>
  <c r="AC50" i="1"/>
  <c r="AC39" i="1"/>
  <c r="AC36" i="1"/>
  <c r="AC28" i="1"/>
  <c r="AC101" i="1"/>
  <c r="AC33" i="1"/>
  <c r="AC25" i="1"/>
  <c r="AC83" i="1"/>
  <c r="AC72" i="1"/>
  <c r="AC30" i="1"/>
  <c r="AC22" i="1"/>
  <c r="AC42" i="1"/>
  <c r="AC38" i="1"/>
  <c r="AC35" i="1"/>
  <c r="AC27" i="1"/>
  <c r="AC53" i="1"/>
  <c r="AC32" i="1"/>
  <c r="AC24" i="1"/>
  <c r="AC64" i="1"/>
  <c r="AC29" i="1"/>
  <c r="AD15" i="1"/>
  <c r="AD14" i="1"/>
  <c r="AD13" i="1"/>
  <c r="AD12" i="1"/>
  <c r="AD11" i="1"/>
  <c r="AD10" i="1"/>
  <c r="A100" i="1"/>
  <c r="D101" i="1"/>
  <c r="I100" i="1"/>
  <c r="G100" i="1"/>
  <c r="H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F189" i="1" l="1"/>
  <c r="AF175" i="1"/>
  <c r="AF26" i="1"/>
  <c r="AF29" i="1"/>
  <c r="AF183" i="1"/>
  <c r="AF64" i="1"/>
  <c r="AF84" i="1"/>
  <c r="AD194" i="1"/>
  <c r="AF194" i="1" s="1"/>
  <c r="AD183" i="1"/>
  <c r="AD175" i="1"/>
  <c r="AD191" i="1"/>
  <c r="AF191" i="1" s="1"/>
  <c r="AD185" i="1"/>
  <c r="AF185" i="1" s="1"/>
  <c r="AD177" i="1"/>
  <c r="AF177" i="1" s="1"/>
  <c r="AD193" i="1"/>
  <c r="AF193" i="1" s="1"/>
  <c r="AD182" i="1"/>
  <c r="AF182" i="1" s="1"/>
  <c r="AD174" i="1"/>
  <c r="AF174" i="1" s="1"/>
  <c r="AD184" i="1"/>
  <c r="AF184" i="1" s="1"/>
  <c r="AD176" i="1"/>
  <c r="AF176" i="1" s="1"/>
  <c r="AD192" i="1"/>
  <c r="AD189" i="1"/>
  <c r="AD181" i="1"/>
  <c r="AF181" i="1" s="1"/>
  <c r="AD186" i="1"/>
  <c r="AF186" i="1" s="1"/>
  <c r="AD178" i="1"/>
  <c r="AF178" i="1" s="1"/>
  <c r="AD179" i="1"/>
  <c r="AF179" i="1" s="1"/>
  <c r="AD166" i="1"/>
  <c r="AF166" i="1" s="1"/>
  <c r="AD155" i="1"/>
  <c r="AD180" i="1"/>
  <c r="AF180" i="1" s="1"/>
  <c r="AD171" i="1"/>
  <c r="AF171" i="1" s="1"/>
  <c r="AD160" i="1"/>
  <c r="AD187" i="1"/>
  <c r="AF187" i="1" s="1"/>
  <c r="AD168" i="1"/>
  <c r="AF168" i="1" s="1"/>
  <c r="AD157" i="1"/>
  <c r="AD188" i="1"/>
  <c r="AF188" i="1" s="1"/>
  <c r="AD173" i="1"/>
  <c r="AF173" i="1" s="1"/>
  <c r="AD165" i="1"/>
  <c r="AF165" i="1" s="1"/>
  <c r="AD162" i="1"/>
  <c r="AD170" i="1"/>
  <c r="AF170" i="1" s="1"/>
  <c r="AD159" i="1"/>
  <c r="AD167" i="1"/>
  <c r="AF167" i="1" s="1"/>
  <c r="AD156" i="1"/>
  <c r="AD172" i="1"/>
  <c r="AF172" i="1" s="1"/>
  <c r="AD164" i="1"/>
  <c r="AF164" i="1" s="1"/>
  <c r="AD161" i="1"/>
  <c r="AD153" i="1"/>
  <c r="AD152" i="1"/>
  <c r="AD148" i="1"/>
  <c r="AD140" i="1"/>
  <c r="AD132" i="1"/>
  <c r="AD154" i="1"/>
  <c r="AD145" i="1"/>
  <c r="AD137" i="1"/>
  <c r="AD150" i="1"/>
  <c r="AD142" i="1"/>
  <c r="AD134" i="1"/>
  <c r="AD147" i="1"/>
  <c r="AD139" i="1"/>
  <c r="AD131" i="1"/>
  <c r="AD144" i="1"/>
  <c r="AD136" i="1"/>
  <c r="AD149" i="1"/>
  <c r="AD141" i="1"/>
  <c r="AD133" i="1"/>
  <c r="AD169" i="1"/>
  <c r="AF169" i="1" s="1"/>
  <c r="AD158" i="1"/>
  <c r="AD146" i="1"/>
  <c r="AD138" i="1"/>
  <c r="AD129" i="1"/>
  <c r="AD121" i="1"/>
  <c r="AD113" i="1"/>
  <c r="AD105" i="1"/>
  <c r="AD97" i="1"/>
  <c r="AF97" i="1" s="1"/>
  <c r="AD89" i="1"/>
  <c r="AF89" i="1" s="1"/>
  <c r="AD143" i="1"/>
  <c r="AD126" i="1"/>
  <c r="AD118" i="1"/>
  <c r="AD110" i="1"/>
  <c r="AD102" i="1"/>
  <c r="AD94" i="1"/>
  <c r="AF94" i="1" s="1"/>
  <c r="AD86" i="1"/>
  <c r="AF86" i="1" s="1"/>
  <c r="AD123" i="1"/>
  <c r="AD115" i="1"/>
  <c r="AD107" i="1"/>
  <c r="AD99" i="1"/>
  <c r="AF99" i="1" s="1"/>
  <c r="AD91" i="1"/>
  <c r="AF91" i="1" s="1"/>
  <c r="AD128" i="1"/>
  <c r="AD120" i="1"/>
  <c r="AD112" i="1"/>
  <c r="AD104" i="1"/>
  <c r="AD96" i="1"/>
  <c r="AF96" i="1" s="1"/>
  <c r="AD88" i="1"/>
  <c r="AF88" i="1" s="1"/>
  <c r="AD135" i="1"/>
  <c r="AD125" i="1"/>
  <c r="AD117" i="1"/>
  <c r="AD109" i="1"/>
  <c r="AD101" i="1"/>
  <c r="AD93" i="1"/>
  <c r="AF93" i="1" s="1"/>
  <c r="AD85" i="1"/>
  <c r="AF85" i="1" s="1"/>
  <c r="AD151" i="1"/>
  <c r="AD127" i="1"/>
  <c r="AD119" i="1"/>
  <c r="AD111" i="1"/>
  <c r="AD103" i="1"/>
  <c r="AD95" i="1"/>
  <c r="AF95" i="1" s="1"/>
  <c r="AD87" i="1"/>
  <c r="AF87" i="1" s="1"/>
  <c r="AD124" i="1"/>
  <c r="AD116" i="1"/>
  <c r="AD108" i="1"/>
  <c r="AD100" i="1"/>
  <c r="AD92" i="1"/>
  <c r="AF92" i="1" s="1"/>
  <c r="AD84" i="1"/>
  <c r="AD79" i="1"/>
  <c r="AF79" i="1" s="1"/>
  <c r="AD76" i="1"/>
  <c r="AF76" i="1" s="1"/>
  <c r="AD68" i="1"/>
  <c r="AF68" i="1" s="1"/>
  <c r="AD60" i="1"/>
  <c r="AF60" i="1" s="1"/>
  <c r="AD57" i="1"/>
  <c r="AF57" i="1" s="1"/>
  <c r="AD46" i="1"/>
  <c r="AF46" i="1" s="1"/>
  <c r="AD114" i="1"/>
  <c r="AD73" i="1"/>
  <c r="AF73" i="1" s="1"/>
  <c r="AD65" i="1"/>
  <c r="AF65" i="1" s="1"/>
  <c r="AD54" i="1"/>
  <c r="AF54" i="1" s="1"/>
  <c r="AD51" i="1"/>
  <c r="AF51" i="1" s="1"/>
  <c r="AD43" i="1"/>
  <c r="AF43" i="1" s="1"/>
  <c r="AD90" i="1"/>
  <c r="AF90" i="1" s="1"/>
  <c r="AD81" i="1"/>
  <c r="AF81" i="1" s="1"/>
  <c r="AD70" i="1"/>
  <c r="AF70" i="1" s="1"/>
  <c r="AD62" i="1"/>
  <c r="AF62" i="1" s="1"/>
  <c r="AD48" i="1"/>
  <c r="AF48" i="1" s="1"/>
  <c r="AD130" i="1"/>
  <c r="AD78" i="1"/>
  <c r="AD75" i="1"/>
  <c r="AF75" i="1" s="1"/>
  <c r="AD67" i="1"/>
  <c r="AF67" i="1" s="1"/>
  <c r="AD59" i="1"/>
  <c r="AD56" i="1"/>
  <c r="AF56" i="1" s="1"/>
  <c r="AD45" i="1"/>
  <c r="AF45" i="1" s="1"/>
  <c r="AD106" i="1"/>
  <c r="AD83" i="1"/>
  <c r="AF83" i="1" s="1"/>
  <c r="AD72" i="1"/>
  <c r="AF72" i="1" s="1"/>
  <c r="AD64" i="1"/>
  <c r="AD53" i="1"/>
  <c r="AD50" i="1"/>
  <c r="AF50" i="1" s="1"/>
  <c r="AD42" i="1"/>
  <c r="AF42" i="1" s="1"/>
  <c r="AD122" i="1"/>
  <c r="AD74" i="1"/>
  <c r="AF74" i="1" s="1"/>
  <c r="AD66" i="1"/>
  <c r="AF66" i="1" s="1"/>
  <c r="AD55" i="1"/>
  <c r="AF55" i="1" s="1"/>
  <c r="AD44" i="1"/>
  <c r="AF44" i="1" s="1"/>
  <c r="AD98" i="1"/>
  <c r="AF98" i="1" s="1"/>
  <c r="AD82" i="1"/>
  <c r="AF82" i="1" s="1"/>
  <c r="AD71" i="1"/>
  <c r="AF71" i="1" s="1"/>
  <c r="AD63" i="1"/>
  <c r="AF63" i="1" s="1"/>
  <c r="AD49" i="1"/>
  <c r="AF49" i="1" s="1"/>
  <c r="AD41" i="1"/>
  <c r="AF41" i="1" s="1"/>
  <c r="AD31" i="1"/>
  <c r="AF31" i="1" s="1"/>
  <c r="AD23" i="1"/>
  <c r="AF23" i="1" s="1"/>
  <c r="AD61" i="1"/>
  <c r="AF61" i="1" s="1"/>
  <c r="AD39" i="1"/>
  <c r="AF39" i="1" s="1"/>
  <c r="AD36" i="1"/>
  <c r="AF36" i="1" s="1"/>
  <c r="AD28" i="1"/>
  <c r="AF28" i="1" s="1"/>
  <c r="AD33" i="1"/>
  <c r="AF33" i="1" s="1"/>
  <c r="AD25" i="1"/>
  <c r="AF25" i="1" s="1"/>
  <c r="AD30" i="1"/>
  <c r="AF30" i="1" s="1"/>
  <c r="AD22" i="1"/>
  <c r="AD47" i="1"/>
  <c r="AF47" i="1" s="1"/>
  <c r="AD38" i="1"/>
  <c r="AD35" i="1"/>
  <c r="AF35" i="1" s="1"/>
  <c r="AD27" i="1"/>
  <c r="AF27" i="1" s="1"/>
  <c r="AD32" i="1"/>
  <c r="AF32" i="1" s="1"/>
  <c r="AD24" i="1"/>
  <c r="AF24" i="1" s="1"/>
  <c r="AD80" i="1"/>
  <c r="AF80" i="1" s="1"/>
  <c r="AD69" i="1"/>
  <c r="AF69" i="1" s="1"/>
  <c r="AD40" i="1"/>
  <c r="AF40" i="1" s="1"/>
  <c r="AD29" i="1"/>
  <c r="AD34" i="1"/>
  <c r="AF34" i="1" s="1"/>
  <c r="AD26" i="1"/>
  <c r="AF38" i="1"/>
  <c r="AF192" i="1"/>
  <c r="AF100" i="1"/>
  <c r="AF22" i="1"/>
  <c r="D102" i="1"/>
  <c r="A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F53" i="1" l="1"/>
  <c r="AF78" i="1"/>
  <c r="A102" i="1"/>
  <c r="D103" i="1"/>
  <c r="H102" i="1"/>
  <c r="I102" i="1"/>
  <c r="G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F101" i="1"/>
  <c r="AF59" i="1"/>
  <c r="D104" i="1" l="1"/>
  <c r="A103" i="1"/>
  <c r="I103" i="1"/>
  <c r="G103" i="1"/>
  <c r="H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F102" i="1"/>
  <c r="AF103" i="1" l="1"/>
  <c r="D105" i="1"/>
  <c r="A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F104" i="1" l="1"/>
  <c r="A105" i="1"/>
  <c r="D106" i="1"/>
  <c r="H105" i="1"/>
  <c r="I105" i="1"/>
  <c r="G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F105" i="1" l="1"/>
  <c r="D107" i="1"/>
  <c r="A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F106" i="1" l="1"/>
  <c r="A107" i="1"/>
  <c r="D108" i="1"/>
  <c r="I107" i="1"/>
  <c r="G107" i="1"/>
  <c r="H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F107" i="1" l="1"/>
  <c r="A108" i="1"/>
  <c r="D109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F108" i="1" l="1"/>
  <c r="D110" i="1"/>
  <c r="A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F109" i="1" l="1"/>
  <c r="A110" i="1"/>
  <c r="D111" i="1"/>
  <c r="H110" i="1"/>
  <c r="I110" i="1"/>
  <c r="G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F110" i="1" l="1"/>
  <c r="D112" i="1"/>
  <c r="A111" i="1"/>
  <c r="I111" i="1"/>
  <c r="G111" i="1"/>
  <c r="H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F111" i="1" l="1"/>
  <c r="D113" i="1"/>
  <c r="A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F112" i="1" l="1"/>
  <c r="A113" i="1"/>
  <c r="D114" i="1"/>
  <c r="I113" i="1"/>
  <c r="H113" i="1"/>
  <c r="G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F113" i="1" l="1"/>
  <c r="D115" i="1"/>
  <c r="A114" i="1"/>
  <c r="H114" i="1"/>
  <c r="G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F114" i="1" l="1"/>
  <c r="A115" i="1"/>
  <c r="D116" i="1"/>
  <c r="I115" i="1"/>
  <c r="G115" i="1"/>
  <c r="H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F115" i="1" l="1"/>
  <c r="A116" i="1"/>
  <c r="D117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F116" i="1" l="1"/>
  <c r="D118" i="1"/>
  <c r="A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F117" i="1" l="1"/>
  <c r="A118" i="1"/>
  <c r="D119" i="1"/>
  <c r="H118" i="1"/>
  <c r="I118" i="1"/>
  <c r="G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F118" i="1" l="1"/>
  <c r="D120" i="1"/>
  <c r="A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F119" i="1" l="1"/>
  <c r="D121" i="1"/>
  <c r="A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F120" i="1" l="1"/>
  <c r="A121" i="1"/>
  <c r="D122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F121" i="1" l="1"/>
  <c r="D123" i="1"/>
  <c r="A122" i="1"/>
  <c r="I122" i="1"/>
  <c r="G122" i="1"/>
  <c r="H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F122" i="1" l="1"/>
  <c r="A123" i="1"/>
  <c r="D124" i="1"/>
  <c r="I123" i="1"/>
  <c r="G123" i="1"/>
  <c r="H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F123" i="1" l="1"/>
  <c r="A124" i="1"/>
  <c r="D125" i="1"/>
  <c r="H124" i="1"/>
  <c r="I124" i="1"/>
  <c r="G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F124" i="1" l="1"/>
  <c r="D126" i="1"/>
  <c r="A125" i="1"/>
  <c r="H125" i="1"/>
  <c r="G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F125" i="1" l="1"/>
  <c r="A126" i="1"/>
  <c r="D127" i="1"/>
  <c r="H126" i="1"/>
  <c r="I126" i="1"/>
  <c r="G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F126" i="1" l="1"/>
  <c r="D128" i="1"/>
  <c r="A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F127" i="1" l="1"/>
  <c r="D129" i="1"/>
  <c r="A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AF128" i="1" s="1"/>
  <c r="T128" i="1"/>
  <c r="U128" i="1"/>
  <c r="V128" i="1"/>
  <c r="W128" i="1"/>
  <c r="X128" i="1"/>
  <c r="Y128" i="1"/>
  <c r="Z128" i="1"/>
  <c r="AA128" i="1"/>
  <c r="AB128" i="1"/>
  <c r="AC128" i="1"/>
  <c r="A129" i="1" l="1"/>
  <c r="D130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F129" i="1" l="1"/>
  <c r="D131" i="1"/>
  <c r="A130" i="1"/>
  <c r="I130" i="1"/>
  <c r="G130" i="1"/>
  <c r="H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F130" i="1" l="1"/>
  <c r="D132" i="1"/>
  <c r="A131" i="1"/>
  <c r="G131" i="1"/>
  <c r="I131" i="1"/>
  <c r="H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F131" i="1" l="1"/>
  <c r="A132" i="1"/>
  <c r="D133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F132" i="1" l="1"/>
  <c r="D134" i="1"/>
  <c r="A133" i="1"/>
  <c r="H133" i="1"/>
  <c r="I133" i="1"/>
  <c r="G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F133" i="1" l="1"/>
  <c r="A134" i="1"/>
  <c r="D135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F134" i="1" l="1"/>
  <c r="A135" i="1"/>
  <c r="D136" i="1"/>
  <c r="G135" i="1"/>
  <c r="I135" i="1"/>
  <c r="H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F135" i="1" l="1"/>
  <c r="D137" i="1"/>
  <c r="A136" i="1"/>
  <c r="G136" i="1"/>
  <c r="I136" i="1"/>
  <c r="H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F136" i="1" l="1"/>
  <c r="A137" i="1"/>
  <c r="D138" i="1"/>
  <c r="G137" i="1"/>
  <c r="I137" i="1"/>
  <c r="H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F137" i="1" l="1"/>
  <c r="D139" i="1"/>
  <c r="A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F138" i="1" l="1"/>
  <c r="D140" i="1"/>
  <c r="A139" i="1"/>
  <c r="H139" i="1"/>
  <c r="G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F139" i="1" l="1"/>
  <c r="A140" i="1"/>
  <c r="D141" i="1"/>
  <c r="H140" i="1"/>
  <c r="G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D142" i="1" l="1"/>
  <c r="A141" i="1"/>
  <c r="H141" i="1"/>
  <c r="I141" i="1"/>
  <c r="G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F140" i="1"/>
  <c r="AF141" i="1" l="1"/>
  <c r="A142" i="1"/>
  <c r="D143" i="1"/>
  <c r="I142" i="1"/>
  <c r="G142" i="1"/>
  <c r="H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F142" i="1" l="1"/>
  <c r="A143" i="1"/>
  <c r="D144" i="1"/>
  <c r="G143" i="1"/>
  <c r="I143" i="1"/>
  <c r="H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F143" i="1" l="1"/>
  <c r="D145" i="1"/>
  <c r="A144" i="1"/>
  <c r="I144" i="1"/>
  <c r="G144" i="1"/>
  <c r="H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F144" i="1" l="1"/>
  <c r="A145" i="1"/>
  <c r="D146" i="1"/>
  <c r="H145" i="1"/>
  <c r="G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F145" i="1" l="1"/>
  <c r="D147" i="1"/>
  <c r="A146" i="1"/>
  <c r="H146" i="1"/>
  <c r="G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F146" i="1" l="1"/>
  <c r="D148" i="1"/>
  <c r="A147" i="1"/>
  <c r="H147" i="1"/>
  <c r="I147" i="1"/>
  <c r="G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F147" i="1" l="1"/>
  <c r="A148" i="1"/>
  <c r="D149" i="1"/>
  <c r="H148" i="1"/>
  <c r="I148" i="1"/>
  <c r="G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F148" i="1" l="1"/>
  <c r="D150" i="1"/>
  <c r="A149" i="1"/>
  <c r="H149" i="1"/>
  <c r="I149" i="1"/>
  <c r="G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F149" i="1" l="1"/>
  <c r="A150" i="1"/>
  <c r="D151" i="1"/>
  <c r="G150" i="1"/>
  <c r="I150" i="1"/>
  <c r="H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F150" i="1" l="1"/>
  <c r="A151" i="1"/>
  <c r="D152" i="1"/>
  <c r="G151" i="1"/>
  <c r="I151" i="1"/>
  <c r="H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F151" i="1" l="1"/>
  <c r="D153" i="1"/>
  <c r="A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F152" i="1" l="1"/>
  <c r="D154" i="1"/>
  <c r="A153" i="1"/>
  <c r="I153" i="1"/>
  <c r="G153" i="1"/>
  <c r="H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F153" i="1" l="1"/>
  <c r="D155" i="1"/>
  <c r="A154" i="1"/>
  <c r="G154" i="1"/>
  <c r="I154" i="1"/>
  <c r="H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F154" i="1" l="1"/>
  <c r="A155" i="1"/>
  <c r="D156" i="1"/>
  <c r="I155" i="1"/>
  <c r="H155" i="1"/>
  <c r="G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F155" i="1" l="1"/>
  <c r="D157" i="1"/>
  <c r="A156" i="1"/>
  <c r="H156" i="1"/>
  <c r="G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F156" i="1" l="1"/>
  <c r="A157" i="1"/>
  <c r="D158" i="1"/>
  <c r="H157" i="1"/>
  <c r="I157" i="1"/>
  <c r="G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F157" i="1" l="1"/>
  <c r="A158" i="1"/>
  <c r="D159" i="1"/>
  <c r="H158" i="1"/>
  <c r="I158" i="1"/>
  <c r="G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F158" i="1" l="1"/>
  <c r="D160" i="1"/>
  <c r="A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F159" i="1" l="1"/>
  <c r="A160" i="1"/>
  <c r="D161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F160" i="1" l="1"/>
  <c r="D162" i="1"/>
  <c r="A161" i="1"/>
  <c r="G161" i="1"/>
  <c r="I161" i="1"/>
  <c r="H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F161" i="1" l="1"/>
  <c r="A162" i="1"/>
  <c r="G162" i="1"/>
  <c r="I162" i="1"/>
  <c r="H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G58" i="1"/>
  <c r="W162" i="1"/>
  <c r="H58" i="1"/>
  <c r="O58" i="1"/>
  <c r="Q58" i="1"/>
  <c r="M163" i="1"/>
  <c r="X162" i="1"/>
  <c r="W163" i="1"/>
  <c r="W204" i="1" s="1"/>
  <c r="V37" i="1"/>
  <c r="V200" i="1" s="1"/>
  <c r="T21" i="1"/>
  <c r="V52" i="1"/>
  <c r="V201" i="1" s="1"/>
  <c r="V58" i="1"/>
  <c r="V202" i="1" s="1"/>
  <c r="W37" i="1"/>
  <c r="W200" i="1" s="1"/>
  <c r="S21" i="1"/>
  <c r="R58" i="1"/>
  <c r="P58" i="1"/>
  <c r="W58" i="1"/>
  <c r="W202" i="1" s="1"/>
  <c r="M58" i="1"/>
  <c r="J58" i="1"/>
  <c r="Y162" i="1"/>
  <c r="T58" i="1"/>
  <c r="T202" i="1" s="1"/>
  <c r="N58" i="1"/>
  <c r="I58" i="1"/>
  <c r="L58" i="1"/>
  <c r="K58" i="1"/>
  <c r="P190" i="1"/>
  <c r="P21" i="1" s="1"/>
  <c r="L190" i="1"/>
  <c r="L21" i="1" s="1"/>
  <c r="N52" i="1"/>
  <c r="AB190" i="1"/>
  <c r="AB205" i="1" s="1"/>
  <c r="S190" i="1"/>
  <c r="U52" i="1"/>
  <c r="U201" i="1" s="1"/>
  <c r="L37" i="1"/>
  <c r="V163" i="1"/>
  <c r="V204" i="1" s="1"/>
  <c r="G190" i="1"/>
  <c r="G21" i="1" s="1"/>
  <c r="G52" i="1"/>
  <c r="Y190" i="1"/>
  <c r="Y205" i="1" s="1"/>
  <c r="Y77" i="1" s="1"/>
  <c r="Y203" i="1" s="1"/>
  <c r="M52" i="1"/>
  <c r="T163" i="1"/>
  <c r="T204" i="1" s="1"/>
  <c r="J37" i="1"/>
  <c r="Q52" i="1"/>
  <c r="H163" i="1"/>
  <c r="AA190" i="1"/>
  <c r="AA205" i="1" s="1"/>
  <c r="Q190" i="1"/>
  <c r="Q21" i="1" s="1"/>
  <c r="N163" i="1"/>
  <c r="K163" i="1"/>
  <c r="R190" i="1"/>
  <c r="R21" i="1" s="1"/>
  <c r="U58" i="1"/>
  <c r="U202" i="1" s="1"/>
  <c r="S37" i="1"/>
  <c r="O190" i="1"/>
  <c r="O21" i="1" s="1"/>
  <c r="G163" i="1"/>
  <c r="W190" i="1"/>
  <c r="W205" i="1" s="1"/>
  <c r="Z162" i="1"/>
  <c r="X58" i="1"/>
  <c r="X202" i="1" s="1"/>
  <c r="I52" i="1"/>
  <c r="L163" i="1"/>
  <c r="M37" i="1"/>
  <c r="U21" i="1"/>
  <c r="AC163" i="1"/>
  <c r="P163" i="1"/>
  <c r="I163" i="1"/>
  <c r="M190" i="1"/>
  <c r="M21" i="1" s="1"/>
  <c r="N190" i="1"/>
  <c r="N21" i="1" s="1"/>
  <c r="W52" i="1"/>
  <c r="W201" i="1" s="1"/>
  <c r="O37" i="1"/>
  <c r="AA163" i="1"/>
  <c r="AA204" i="1" s="1"/>
  <c r="Y163" i="1"/>
  <c r="Y204" i="1" s="1"/>
  <c r="U163" i="1"/>
  <c r="U204" i="1" s="1"/>
  <c r="Q163" i="1"/>
  <c r="J52" i="1"/>
  <c r="L52" i="1"/>
  <c r="V190" i="1"/>
  <c r="V205" i="1" s="1"/>
  <c r="V77" i="1" s="1"/>
  <c r="V203" i="1" s="1"/>
  <c r="R52" i="1"/>
  <c r="X52" i="1"/>
  <c r="X201" i="1" s="1"/>
  <c r="AD190" i="1"/>
  <c r="AD163" i="1"/>
  <c r="T37" i="1"/>
  <c r="T200" i="1" s="1"/>
  <c r="H52" i="1"/>
  <c r="Z190" i="1"/>
  <c r="Z205" i="1" s="1"/>
  <c r="K37" i="1"/>
  <c r="R163" i="1"/>
  <c r="Q37" i="1"/>
  <c r="O52" i="1"/>
  <c r="R37" i="1"/>
  <c r="H37" i="1"/>
  <c r="P37" i="1"/>
  <c r="I190" i="1"/>
  <c r="I21" i="1" s="1"/>
  <c r="U37" i="1"/>
  <c r="U200" i="1" s="1"/>
  <c r="K52" i="1"/>
  <c r="Z163" i="1"/>
  <c r="Z204" i="1" s="1"/>
  <c r="S163" i="1"/>
  <c r="O163" i="1"/>
  <c r="N37" i="1"/>
  <c r="K190" i="1"/>
  <c r="K21" i="1" s="1"/>
  <c r="I37" i="1"/>
  <c r="X190" i="1"/>
  <c r="X205" i="1" s="1"/>
  <c r="X77" i="1" s="1"/>
  <c r="X203" i="1" s="1"/>
  <c r="J190" i="1"/>
  <c r="J21" i="1" s="1"/>
  <c r="T190" i="1"/>
  <c r="T205" i="1" s="1"/>
  <c r="T77" i="1" s="1"/>
  <c r="T203" i="1" s="1"/>
  <c r="AB163" i="1"/>
  <c r="AB204" i="1" s="1"/>
  <c r="G37" i="1"/>
  <c r="P52" i="1"/>
  <c r="X163" i="1"/>
  <c r="X204" i="1" s="1"/>
  <c r="S52" i="1"/>
  <c r="J163" i="1"/>
  <c r="S58" i="1"/>
  <c r="AA162" i="1"/>
  <c r="Y37" i="1"/>
  <c r="Y200" i="1" s="1"/>
  <c r="AC190" i="1"/>
  <c r="U190" i="1"/>
  <c r="U205" i="1" s="1"/>
  <c r="U77" i="1" s="1"/>
  <c r="U203" i="1" s="1"/>
  <c r="T52" i="1"/>
  <c r="T201" i="1" s="1"/>
  <c r="H190" i="1"/>
  <c r="H21" i="1" s="1"/>
  <c r="X21" i="1"/>
  <c r="V21" i="1"/>
  <c r="Y58" i="1"/>
  <c r="Y202" i="1" s="1"/>
  <c r="X37" i="1"/>
  <c r="X200" i="1" s="1"/>
  <c r="Y52" i="1"/>
  <c r="Y201" i="1" s="1"/>
  <c r="AB162" i="1"/>
  <c r="AB77" i="1" s="1"/>
  <c r="AB203" i="1" s="1"/>
  <c r="AC162" i="1"/>
  <c r="Z37" i="1"/>
  <c r="Z200" i="1" s="1"/>
  <c r="AA58" i="1"/>
  <c r="AA202" i="1" s="1"/>
  <c r="AA52" i="1"/>
  <c r="AA201" i="1" s="1"/>
  <c r="AA37" i="1"/>
  <c r="AA200" i="1" s="1"/>
  <c r="Z52" i="1"/>
  <c r="Z201" i="1" s="1"/>
  <c r="AB52" i="1"/>
  <c r="AB201" i="1" s="1"/>
  <c r="Z58" i="1"/>
  <c r="Z202" i="1" s="1"/>
  <c r="AC58" i="1"/>
  <c r="AB58" i="1"/>
  <c r="AB202" i="1" s="1"/>
  <c r="Z21" i="1"/>
  <c r="AB37" i="1"/>
  <c r="AB200" i="1" s="1"/>
  <c r="W21" i="1"/>
  <c r="Y21" i="1"/>
  <c r="AA21" i="1"/>
  <c r="AC52" i="1"/>
  <c r="AC21" i="1"/>
  <c r="AB21" i="1"/>
  <c r="AD37" i="1"/>
  <c r="AC37" i="1"/>
  <c r="AD52" i="1"/>
  <c r="AD21" i="1"/>
  <c r="AD77" i="1"/>
  <c r="AD58" i="1"/>
  <c r="AA199" i="1" l="1"/>
  <c r="S201" i="1"/>
  <c r="AF52" i="1"/>
  <c r="Z77" i="1"/>
  <c r="Z203" i="1" s="1"/>
  <c r="S205" i="1"/>
  <c r="S77" i="1" s="1"/>
  <c r="S195" i="1" s="1"/>
  <c r="AF190" i="1"/>
  <c r="S199" i="1"/>
  <c r="AF21" i="1"/>
  <c r="AF162" i="1"/>
  <c r="AD195" i="1"/>
  <c r="Y195" i="1"/>
  <c r="Y199" i="1"/>
  <c r="W77" i="1"/>
  <c r="W203" i="1" s="1"/>
  <c r="S204" i="1"/>
  <c r="AF163" i="1"/>
  <c r="T195" i="1"/>
  <c r="T199" i="1"/>
  <c r="AA77" i="1"/>
  <c r="AA203" i="1" s="1"/>
  <c r="U195" i="1"/>
  <c r="U199" i="1"/>
  <c r="Z199" i="1"/>
  <c r="V199" i="1"/>
  <c r="V195" i="1"/>
  <c r="S202" i="1"/>
  <c r="AF58" i="1"/>
  <c r="S200" i="1"/>
  <c r="AF37" i="1"/>
  <c r="W199" i="1"/>
  <c r="AB195" i="1"/>
  <c r="AB199" i="1"/>
  <c r="X199" i="1"/>
  <c r="X195" i="1"/>
  <c r="S196" i="1" l="1"/>
  <c r="S197" i="1"/>
  <c r="V197" i="1"/>
  <c r="V196" i="1"/>
  <c r="W195" i="1"/>
  <c r="T196" i="1"/>
  <c r="T197" i="1"/>
  <c r="AB196" i="1"/>
  <c r="AB197" i="1"/>
  <c r="Y197" i="1"/>
  <c r="Y196" i="1"/>
  <c r="S203" i="1"/>
  <c r="Z195" i="1"/>
  <c r="U197" i="1"/>
  <c r="U196" i="1"/>
  <c r="X197" i="1"/>
  <c r="X196" i="1"/>
  <c r="AA195" i="1"/>
  <c r="W197" i="1" l="1"/>
  <c r="W196" i="1"/>
  <c r="AA196" i="1"/>
  <c r="AA197" i="1"/>
  <c r="Z197" i="1"/>
  <c r="Z196" i="1"/>
  <c r="Q77" i="1" l="1"/>
  <c r="Q195" i="1"/>
  <c r="I77" i="1"/>
  <c r="I195" i="1"/>
  <c r="K77" i="1"/>
  <c r="K195" i="1"/>
  <c r="L77" i="1"/>
  <c r="L195" i="1"/>
  <c r="P77" i="1"/>
  <c r="P195" i="1"/>
  <c r="H77" i="1"/>
  <c r="H195" i="1"/>
  <c r="AC77" i="1"/>
  <c r="AF77" i="1"/>
  <c r="AC195" i="1"/>
  <c r="G77" i="1"/>
  <c r="G195" i="1"/>
  <c r="O77" i="1"/>
  <c r="O195" i="1"/>
  <c r="R77" i="1"/>
  <c r="R195" i="1"/>
  <c r="J77" i="1"/>
  <c r="J195" i="1"/>
  <c r="M77" i="1"/>
  <c r="M195" i="1"/>
  <c r="N77" i="1"/>
  <c r="N195" i="1"/>
  <c r="AF195" i="1"/>
  <c r="M196" i="1"/>
  <c r="N196" i="1"/>
  <c r="G196" i="1"/>
  <c r="O196" i="1"/>
  <c r="H196" i="1"/>
  <c r="P196" i="1"/>
  <c r="I196" i="1"/>
  <c r="Q196" i="1"/>
  <c r="J196" i="1"/>
  <c r="R196" i="1"/>
  <c r="K196" i="1"/>
  <c r="L196" i="1"/>
</calcChain>
</file>

<file path=xl/sharedStrings.xml><?xml version="1.0" encoding="utf-8"?>
<sst xmlns="http://schemas.openxmlformats.org/spreadsheetml/2006/main" count="737" uniqueCount="237">
  <si>
    <t>&lt;- Department</t>
  </si>
  <si>
    <t>YTD</t>
  </si>
  <si>
    <t>M</t>
  </si>
  <si>
    <t>Q</t>
  </si>
  <si>
    <t>H</t>
  </si>
  <si>
    <t>Y</t>
  </si>
  <si>
    <t>Actual / Forecast</t>
  </si>
  <si>
    <t>G&amp;A</t>
  </si>
  <si>
    <t>FILTER</t>
  </si>
  <si>
    <t>x</t>
  </si>
  <si>
    <t>Advertising</t>
  </si>
  <si>
    <t>SG&amp;A</t>
  </si>
  <si>
    <t>6240 - Product Photography</t>
  </si>
  <si>
    <t>Theerapol Thammasitboon</t>
  </si>
  <si>
    <t>GOSFilms LLC</t>
  </si>
  <si>
    <t>LENFLASH dot COM</t>
  </si>
  <si>
    <t>[No Vendor]</t>
  </si>
  <si>
    <t>6282 - Royalty Expense</t>
  </si>
  <si>
    <t>Monte Carlo Country Club</t>
  </si>
  <si>
    <t>6287 - Events</t>
  </si>
  <si>
    <t>6284 - Advertising</t>
  </si>
  <si>
    <t>6285 - SEM Brand Marketing</t>
  </si>
  <si>
    <t>Google</t>
  </si>
  <si>
    <t>6288 - Model</t>
  </si>
  <si>
    <t>Que Management, Inc</t>
  </si>
  <si>
    <t>State Artist Management</t>
  </si>
  <si>
    <t>Women Management LLC</t>
  </si>
  <si>
    <t>Soul Artist Management</t>
  </si>
  <si>
    <t>New York Model Management, Inc.</t>
  </si>
  <si>
    <t>6289 - Seeding / Product Placement</t>
  </si>
  <si>
    <t>T&amp;E</t>
  </si>
  <si>
    <t>6105 - Meals</t>
  </si>
  <si>
    <t>Alexandra Olivier</t>
  </si>
  <si>
    <t>Frank Dell'Aquila</t>
  </si>
  <si>
    <t>Olivia Nielsen</t>
  </si>
  <si>
    <t>Sean Lee</t>
  </si>
  <si>
    <t>6115 - Airfare</t>
  </si>
  <si>
    <t>Bridgette Stacom</t>
  </si>
  <si>
    <t>6120 - Lodging</t>
  </si>
  <si>
    <t>Lisa  Resciniti</t>
  </si>
  <si>
    <t>6125 - Transportation and Fuel</t>
  </si>
  <si>
    <t>Chris Suterko</t>
  </si>
  <si>
    <t>6140 - Other</t>
  </si>
  <si>
    <t>Rent</t>
  </si>
  <si>
    <t>6320 - Building Rent</t>
  </si>
  <si>
    <t>Antelope LLC</t>
  </si>
  <si>
    <t>6410 - Lease Expense</t>
  </si>
  <si>
    <t>Canon Financial Services, Inc.</t>
  </si>
  <si>
    <t>7140 - Amortization Exp - ROU Asset</t>
  </si>
  <si>
    <t>Sample</t>
  </si>
  <si>
    <t>6352 - Fabric &amp; Materials</t>
  </si>
  <si>
    <t>EU-NY Trading, Inc</t>
  </si>
  <si>
    <t>Gates Wears</t>
  </si>
  <si>
    <t>Zabin Industries (Hong Kong) LTD.</t>
  </si>
  <si>
    <t>6360 - Model - Fitting</t>
  </si>
  <si>
    <t>Alvanon Inc.</t>
  </si>
  <si>
    <t>Lamar J Ballard</t>
  </si>
  <si>
    <t>Lanny K.W. Inc.</t>
  </si>
  <si>
    <t>6363 - Development</t>
  </si>
  <si>
    <t>Consul + SRL</t>
  </si>
  <si>
    <t>Porta Asiatica Enterprises Inc</t>
  </si>
  <si>
    <t>6370 - Samples</t>
  </si>
  <si>
    <t>BB (UK) Limited</t>
  </si>
  <si>
    <t>Quanzhou Wanxingtai Package Products</t>
  </si>
  <si>
    <t>Sara Fashion Wear Ltd.</t>
  </si>
  <si>
    <t>Shanghai Hesrro Garment Co., Ltd</t>
  </si>
  <si>
    <t>Xiamen Fynex Imp&amp;Exp Co. LTD</t>
  </si>
  <si>
    <t>Yoon Choi</t>
  </si>
  <si>
    <t>Professional Service</t>
  </si>
  <si>
    <t>6210 - Monitoring</t>
  </si>
  <si>
    <t>Convey SRL</t>
  </si>
  <si>
    <t>6215 - Recruitment</t>
  </si>
  <si>
    <t>F&amp;F Korea</t>
  </si>
  <si>
    <t>Janou Pakter</t>
  </si>
  <si>
    <t>Linkedin</t>
  </si>
  <si>
    <t>6225 - Professional Services</t>
  </si>
  <si>
    <t>Benefit Resource, LLC</t>
  </si>
  <si>
    <t>CogencyGlobal Inc (OPS)</t>
  </si>
  <si>
    <t>CogencyGlobal Inc (ST IP Holdings)</t>
  </si>
  <si>
    <t>Enom Solutions, Inc-DBA 3nom</t>
  </si>
  <si>
    <t>Freeflow LLC</t>
  </si>
  <si>
    <t>Melody  Huang</t>
  </si>
  <si>
    <t>PapePR</t>
  </si>
  <si>
    <t>Procyon Benefits LLC</t>
  </si>
  <si>
    <t>Rareview, LLC</t>
  </si>
  <si>
    <t>Star Fashion</t>
  </si>
  <si>
    <t>The Lede Company, LLC</t>
  </si>
  <si>
    <t>6300 - Payroll Service Fees</t>
  </si>
  <si>
    <t>ADP Payroll Services</t>
  </si>
  <si>
    <t>OperationsInc, LLC</t>
  </si>
  <si>
    <t>6380 - Legal &amp; Accounting</t>
  </si>
  <si>
    <t>Bryan Cave Leighton Paisner LLP</t>
  </si>
  <si>
    <t>Greenwald Doherty LLP</t>
  </si>
  <si>
    <t>Ko &amp; Yun, LLP - IP Holding</t>
  </si>
  <si>
    <t>Ko &amp; Yun, LLP - Operations</t>
  </si>
  <si>
    <t>Korus Legal P.C.</t>
  </si>
  <si>
    <t>Spheriens</t>
  </si>
  <si>
    <t>The Wave IP Law Firm</t>
  </si>
  <si>
    <t>6385 - Insurance</t>
  </si>
  <si>
    <t>The Hartford</t>
  </si>
  <si>
    <t>Travelers CL Remittance Center</t>
  </si>
  <si>
    <t>6393 - Software</t>
  </si>
  <si>
    <t>Adobe, Inc.</t>
  </si>
  <si>
    <t>Amazon</t>
  </si>
  <si>
    <t>Apparel Magic</t>
  </si>
  <si>
    <t>Attentive Mobile Inc.</t>
  </si>
  <si>
    <t>Authorize.net</t>
  </si>
  <si>
    <t>Avalara</t>
  </si>
  <si>
    <t>Avalara, Inc</t>
  </si>
  <si>
    <t>Backbone</t>
  </si>
  <si>
    <t>BOTPRESS</t>
  </si>
  <si>
    <t>Canva</t>
  </si>
  <si>
    <t>Chat GPT</t>
  </si>
  <si>
    <t>Concur Technologies, Inc.</t>
  </si>
  <si>
    <t>Docusign</t>
  </si>
  <si>
    <t>Drop Box</t>
  </si>
  <si>
    <t>Fineline Technologies</t>
  </si>
  <si>
    <t>Fohr</t>
  </si>
  <si>
    <t>GODATAFEED</t>
  </si>
  <si>
    <t>Google Cloud</t>
  </si>
  <si>
    <t>GORGIAS INC</t>
  </si>
  <si>
    <t>GQ</t>
  </si>
  <si>
    <t>INTEGRATION MANAGER</t>
  </si>
  <si>
    <t>Klaviyo</t>
  </si>
  <si>
    <t>MS Office 365</t>
  </si>
  <si>
    <t>Open Text</t>
  </si>
  <si>
    <t>OPEN TEXT INC</t>
  </si>
  <si>
    <t>Oracle Netsuite</t>
  </si>
  <si>
    <t>Otter</t>
  </si>
  <si>
    <t>Pantone</t>
  </si>
  <si>
    <t>P3 Digital LLC</t>
  </si>
  <si>
    <t>QBO</t>
  </si>
  <si>
    <t>Quickbook</t>
  </si>
  <si>
    <t>Salesforce</t>
  </si>
  <si>
    <t>Shopify</t>
  </si>
  <si>
    <t>Signifyd</t>
  </si>
  <si>
    <t>Slack</t>
  </si>
  <si>
    <t>Spotify</t>
  </si>
  <si>
    <t>SPS Commerce</t>
  </si>
  <si>
    <t>Wetransfer</t>
  </si>
  <si>
    <t>Windows</t>
  </si>
  <si>
    <t>WMD</t>
  </si>
  <si>
    <t>Zoom</t>
  </si>
  <si>
    <t>6420 - Licenses &amp; Membership</t>
  </si>
  <si>
    <t>GS1</t>
  </si>
  <si>
    <t>6450 - Bank &amp; Other Fees</t>
  </si>
  <si>
    <t>ESSA GRUP DIS TIC LTD STI</t>
  </si>
  <si>
    <t>S.M.E.T.T</t>
  </si>
  <si>
    <t>6451 - Service Processing Fee</t>
  </si>
  <si>
    <t>Loop</t>
  </si>
  <si>
    <t>Paymentech</t>
  </si>
  <si>
    <t>Paypal</t>
  </si>
  <si>
    <t>Other</t>
  </si>
  <si>
    <t>6340 - Miscellaneous Expense</t>
  </si>
  <si>
    <t>Amazon Capital Services</t>
  </si>
  <si>
    <t>NYC Intercom Inc</t>
  </si>
  <si>
    <t>Go Gleem LLC</t>
  </si>
  <si>
    <t>O'Donnells Jewelers Gabriel's Custom Engraving</t>
  </si>
  <si>
    <t>ProShred Security</t>
  </si>
  <si>
    <t>6400 - Utilities</t>
  </si>
  <si>
    <t>Brivo Pass</t>
  </si>
  <si>
    <t>Verizon</t>
  </si>
  <si>
    <t>6375 - Freight Expenses</t>
  </si>
  <si>
    <t>Bergen Logistics Corporation</t>
  </si>
  <si>
    <t>DHL</t>
  </si>
  <si>
    <t>DHL Express - USA</t>
  </si>
  <si>
    <t>Easy Post</t>
  </si>
  <si>
    <t>Federal Express</t>
  </si>
  <si>
    <t>GFD Courier Corporation</t>
  </si>
  <si>
    <t>GNS Co., LTD</t>
  </si>
  <si>
    <t>SAS Sodilog</t>
  </si>
  <si>
    <t>UPS Supply Chain Solutions Inc. (7F24A0)</t>
  </si>
  <si>
    <t>6440 - Bad Debt Expenses</t>
  </si>
  <si>
    <t>6445 - Inventory Write Down</t>
  </si>
  <si>
    <t>6520 - Taxes and Licenses</t>
  </si>
  <si>
    <t>Depreciation &amp; Amortization</t>
  </si>
  <si>
    <t>7030 - Plant Machinery &amp; Equipment</t>
  </si>
  <si>
    <t>7040 - Furniture &amp; Fixtures</t>
  </si>
  <si>
    <t>7060 - Information Technology &amp; Software</t>
  </si>
  <si>
    <t>7130 - License Agreements &amp; Other Intangibles</t>
  </si>
  <si>
    <t>TOTAL</t>
  </si>
  <si>
    <t>Check</t>
  </si>
  <si>
    <t>행 레이블</t>
  </si>
  <si>
    <t>총합계</t>
  </si>
  <si>
    <t>합계 : 2024-04-01</t>
  </si>
  <si>
    <t>합계 : 2025-04-01</t>
  </si>
  <si>
    <t>합계 : 2024-06-01</t>
  </si>
  <si>
    <t>합계 : 2025-06-01</t>
  </si>
  <si>
    <t>중분류</t>
    <phoneticPr fontId="3" type="noConversion"/>
  </si>
  <si>
    <t>대분류</t>
    <phoneticPr fontId="3" type="noConversion"/>
  </si>
  <si>
    <t>합계 : 2024-01-01</t>
  </si>
  <si>
    <t>합계 : 2024-02-01</t>
  </si>
  <si>
    <t>합계 : 2024-03-01</t>
  </si>
  <si>
    <t>합계 : 2024-05-01</t>
  </si>
  <si>
    <t>6250 - Video</t>
  </si>
  <si>
    <t>6100 - Travel and Entertainment</t>
  </si>
  <si>
    <t>6130 - Mileage</t>
  </si>
  <si>
    <t>6135 - Parking and Tolls</t>
  </si>
  <si>
    <t>6430 - Dues &amp; Memberships</t>
  </si>
  <si>
    <t>6405 - Telephone</t>
  </si>
  <si>
    <t>재그룹핑</t>
    <phoneticPr fontId="3" type="noConversion"/>
  </si>
  <si>
    <t>영업비_광고선전비</t>
  </si>
  <si>
    <t>영업비_광고선전비_Photography</t>
  </si>
  <si>
    <t>영업비_광고선전비_Advertising</t>
  </si>
  <si>
    <t>영업비_광고선전비_SEM브랜드마케팅</t>
  </si>
  <si>
    <t>영업비_광고선전비_Events</t>
  </si>
  <si>
    <t>영업비_광고선전비_Model</t>
  </si>
  <si>
    <t>영업비_광고선전비_Seeding</t>
  </si>
  <si>
    <t>영업비_지급수수료</t>
  </si>
  <si>
    <t>영업비_지급수수료_리크루팅서비스</t>
  </si>
  <si>
    <t>영업비_지급수수료_페이롤서비스</t>
  </si>
  <si>
    <t>영업비_지급수수료_회계법률서비스</t>
  </si>
  <si>
    <t>영업비_지급수수료_전문용역비</t>
  </si>
  <si>
    <t>영업비_지급수수료_보험료</t>
  </si>
  <si>
    <t>영업비_지급수수료_소프트웨어사용비</t>
  </si>
  <si>
    <t>영업비_지급수수료_결제수수료</t>
  </si>
  <si>
    <t>영업비_지급수수료_멤버쉽</t>
  </si>
  <si>
    <t>영업비_식대출장비</t>
  </si>
  <si>
    <t>영업비_사무실임차료</t>
  </si>
  <si>
    <t>영업비_샘플개발비</t>
  </si>
  <si>
    <t>영업비_샘플개발비_원단소재샘플</t>
  </si>
  <si>
    <t>영업비_샘플개발비_개발모델피팅</t>
  </si>
  <si>
    <t>영업비_샘플개발비_상품개발비</t>
  </si>
  <si>
    <t>영업비_샘플개발비_샘플비</t>
  </si>
  <si>
    <t>영업비_감가상각비</t>
  </si>
  <si>
    <t>영업비_기타비용</t>
  </si>
  <si>
    <t>영업비_기타비용_기타버퍼비용</t>
  </si>
  <si>
    <t>영업비_기타비용_수도광열비</t>
  </si>
  <si>
    <t>영업비_기타비용_매출채널외운반비</t>
  </si>
  <si>
    <t>영업비_기타비용_전화</t>
  </si>
  <si>
    <t>영업비_기타비용_대손상각비</t>
  </si>
  <si>
    <t>영업비_기타비용_재고평가감</t>
  </si>
  <si>
    <t>영업비_기타비용_세금과공과</t>
  </si>
  <si>
    <t>합계 : 2025-01-01</t>
  </si>
  <si>
    <t>합계 : 2025-02-01</t>
  </si>
  <si>
    <t>합계 : 2025-03-01</t>
  </si>
  <si>
    <t>합계 : 2025-05-01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</si>
</sst>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$&quot;#,##0.00_);\(&quot;$&quot;#,##0.00\)"/>
    <numFmt numFmtId="177" formatCode="#,##0.0%;\(#,##0.0%\);&quot;--&quot;"/>
    <numFmt numFmtId="178" formatCode="mmm\-yy&quot;A&quot;"/>
    <numFmt numFmtId="179" formatCode="mmm\-yy&quot;F&quot;"/>
    <numFmt numFmtId="180" formatCode="&quot;$&quot;#,##0;\(&quot;$&quot;#,##0\);&quot;--&quot;"/>
    <numFmt numFmtId="181" formatCode="&quot;$&quot;#,##0.0;\(&quot;$&quot;#,##0.0\);&quot;--&quot;"/>
  </numFmts>
  <fonts count="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Proxima Nova"/>
    </font>
    <font>
      <sz val="8"/>
      <name val="맑은 고딕"/>
      <family val="3"/>
      <charset val="129"/>
      <scheme val="minor"/>
    </font>
    <font>
      <b/>
      <sz val="11"/>
      <color rgb="FF0000FF"/>
      <name val="Proxima Nova"/>
    </font>
    <font>
      <b/>
      <sz val="11"/>
      <color theme="1"/>
      <name val="Proxima Nova"/>
    </font>
    <font>
      <sz val="11"/>
      <color theme="0" tint="-0.14999847407452621"/>
      <name val="Proxima Nova"/>
    </font>
    <font>
      <b/>
      <sz val="11"/>
      <color rgb="FFC00000"/>
      <name val="Proxima Nova"/>
    </font>
    <font>
      <sz val="11"/>
      <color rgb="FFC00000"/>
      <name val="Proxima Nov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14" fontId="4" fillId="2" borderId="0" xfId="0" applyNumberFormat="1" applyFont="1" applyFill="1" applyAlignment="1">
      <alignment horizontal="left"/>
    </xf>
    <xf numFmtId="9" fontId="2" fillId="0" borderId="0" xfId="1" applyFont="1"/>
    <xf numFmtId="176" fontId="5" fillId="0" borderId="0" xfId="0" applyNumberFormat="1" applyFont="1"/>
    <xf numFmtId="177" fontId="2" fillId="0" borderId="0" xfId="0" applyNumberFormat="1" applyFont="1"/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178" fontId="5" fillId="3" borderId="1" xfId="0" applyNumberFormat="1" applyFont="1" applyFill="1" applyBorder="1" applyAlignment="1">
      <alignment horizontal="center"/>
    </xf>
    <xf numFmtId="179" fontId="5" fillId="3" borderId="1" xfId="0" applyNumberFormat="1" applyFont="1" applyFill="1" applyBorder="1" applyAlignment="1">
      <alignment horizontal="center"/>
    </xf>
    <xf numFmtId="180" fontId="5" fillId="0" borderId="2" xfId="0" applyNumberFormat="1" applyFont="1" applyBorder="1"/>
    <xf numFmtId="180" fontId="5" fillId="0" borderId="0" xfId="0" applyNumberFormat="1" applyFont="1"/>
    <xf numFmtId="180" fontId="5" fillId="0" borderId="3" xfId="0" applyNumberFormat="1" applyFont="1" applyBorder="1"/>
    <xf numFmtId="180" fontId="5" fillId="0" borderId="4" xfId="0" applyNumberFormat="1" applyFont="1" applyBorder="1"/>
    <xf numFmtId="180" fontId="2" fillId="0" borderId="2" xfId="0" applyNumberFormat="1" applyFont="1" applyBorder="1"/>
    <xf numFmtId="180" fontId="2" fillId="0" borderId="0" xfId="0" applyNumberFormat="1" applyFont="1"/>
    <xf numFmtId="180" fontId="2" fillId="0" borderId="3" xfId="0" applyNumberFormat="1" applyFont="1" applyBorder="1"/>
    <xf numFmtId="180" fontId="2" fillId="0" borderId="4" xfId="0" applyNumberFormat="1" applyFont="1" applyBorder="1"/>
    <xf numFmtId="180" fontId="5" fillId="0" borderId="1" xfId="0" applyNumberFormat="1" applyFont="1" applyBorder="1"/>
    <xf numFmtId="0" fontId="5" fillId="0" borderId="5" xfId="0" applyFont="1" applyBorder="1"/>
    <xf numFmtId="180" fontId="5" fillId="0" borderId="5" xfId="0" applyNumberFormat="1" applyFont="1" applyBorder="1"/>
    <xf numFmtId="180" fontId="5" fillId="0" borderId="6" xfId="0" applyNumberFormat="1" applyFont="1" applyBorder="1"/>
    <xf numFmtId="180" fontId="5" fillId="0" borderId="7" xfId="0" applyNumberFormat="1" applyFont="1" applyBorder="1"/>
    <xf numFmtId="0" fontId="7" fillId="0" borderId="0" xfId="0" applyFont="1"/>
    <xf numFmtId="180" fontId="8" fillId="0" borderId="0" xfId="0" applyNumberFormat="1" applyFont="1"/>
    <xf numFmtId="181" fontId="2" fillId="0" borderId="0" xfId="0" applyNumberFormat="1" applyFont="1"/>
    <xf numFmtId="178" fontId="5" fillId="4" borderId="1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0401\Documents\&#50629;&#47924;&#51064;&#49688;&#51064;&#44228;\6.&#49892;&#51201;&#48372;&#44256;\2025&#45380;\11&#50900;\251204%20STO%20Company%20Budget%20Model_&#49688;&#51221;&#48376;.xlsx" TargetMode="External"/><Relationship Id="rId1" Type="http://schemas.openxmlformats.org/officeDocument/2006/relationships/externalLinkPath" Target="/Users/AD0401/Documents/&#50629;&#47924;&#51064;&#49688;&#51064;&#44228;/6.&#49892;&#51201;&#48372;&#44256;/2025&#45380;/11&#50900;/251204%20STO%20Company%20Budget%20Model_&#49688;&#51221;&#48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 Total"/>
      <sheetName val="26 Total"/>
      <sheetName val="보고자료"/>
      <sheetName val="TOC"/>
      <sheetName val="OUTPUT-&gt;"/>
      <sheetName val="미국실적"/>
      <sheetName val="손익_표"/>
      <sheetName val="영업비"/>
      <sheetName val="미국연간"/>
      <sheetName val="STO P&amp;L"/>
      <sheetName val="FINANCIALS-&gt;"/>
      <sheetName val="STO BS"/>
      <sheetName val="STO CF"/>
      <sheetName val="Dashboard for Yoon V3"/>
      <sheetName val="Current &amp; YTD"/>
      <sheetName val="BUDGET-&gt;"/>
      <sheetName val="미국연간 - Stretch Goal"/>
      <sheetName val="STO P&amp;L Monthly - Reforecast"/>
      <sheetName val="STO P&amp;L Monthly - Stretch Goal"/>
      <sheetName val="STO P&amp;L Monthly - KPI Tracking"/>
      <sheetName val="DATA-&gt;"/>
      <sheetName val="STO - IS"/>
      <sheetName val="STO - BS"/>
      <sheetName val="NS Vendor Details"/>
      <sheetName val="G&amp;A Vendor Analysis"/>
      <sheetName val="Direct Costs Vendor Analysis"/>
      <sheetName val="MSRP - Sales"/>
      <sheetName val="Net Sales Breakdown"/>
      <sheetName val="Inventory - MSRP"/>
      <sheetName val="G&amp;A Analysis"/>
      <sheetName val="G&amp;A Vendor x GL Analysis"/>
      <sheetName val="HQ Salaries"/>
      <sheetName val="Direct Costs Analysis"/>
      <sheetName val="STO Headcounts"/>
      <sheetName val="Number of Orders Shipped"/>
      <sheetName val="Direct Costs Breakdown - Budget"/>
      <sheetName val="Direct Costs Breakdown - Actual"/>
      <sheetName val="G&amp;A Budget Bottom-Up"/>
      <sheetName val="Ref"/>
      <sheetName val="Vendor Lookup"/>
    </sheetNames>
    <sheetDataSet>
      <sheetData sheetId="0"/>
      <sheetData sheetId="1"/>
      <sheetData sheetId="2"/>
      <sheetData sheetId="3">
        <row r="6">
          <cell r="B6">
            <v>45962</v>
          </cell>
        </row>
      </sheetData>
      <sheetData sheetId="4"/>
      <sheetData sheetId="5"/>
      <sheetData sheetId="6"/>
      <sheetData sheetId="7"/>
      <sheetData sheetId="8"/>
      <sheetData sheetId="9">
        <row r="70">
          <cell r="F70">
            <v>107896.65000000001</v>
          </cell>
          <cell r="G70">
            <v>163320.22</v>
          </cell>
          <cell r="H70">
            <v>177345.16999999995</v>
          </cell>
          <cell r="I70">
            <v>188417.11000000002</v>
          </cell>
          <cell r="J70">
            <v>229780.66</v>
          </cell>
          <cell r="K70">
            <v>163597.59999999998</v>
          </cell>
          <cell r="L70">
            <v>281878.12</v>
          </cell>
          <cell r="M70">
            <v>240289.86999999997</v>
          </cell>
          <cell r="N70">
            <v>139079.62</v>
          </cell>
          <cell r="O70">
            <v>242222.8</v>
          </cell>
          <cell r="P70">
            <v>286710.15000000008</v>
          </cell>
          <cell r="Q70">
            <v>728640.09000000008</v>
          </cell>
          <cell r="R70">
            <v>251025.23999999996</v>
          </cell>
          <cell r="S70">
            <v>202972.47</v>
          </cell>
          <cell r="T70">
            <v>327695.18</v>
          </cell>
          <cell r="U70">
            <v>204085.57000000004</v>
          </cell>
          <cell r="V70">
            <v>332506.82000000007</v>
          </cell>
          <cell r="W70">
            <v>258561.91999999995</v>
          </cell>
          <cell r="X70">
            <v>218750.48000000004</v>
          </cell>
          <cell r="Y70">
            <v>262890.64000000007</v>
          </cell>
          <cell r="Z70">
            <v>191284.63000000003</v>
          </cell>
          <cell r="AA70">
            <v>282098.84000000003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D1" t="str">
            <v xml:space="preserve">Amount </v>
          </cell>
          <cell r="H1" t="str">
            <v>Month</v>
          </cell>
          <cell r="I1" t="str">
            <v>GL Mapping</v>
          </cell>
          <cell r="J1" t="str">
            <v>Dept. Mapping</v>
          </cell>
          <cell r="K1" t="str">
            <v>Dept. Mappingfor G&amp;A</v>
          </cell>
          <cell r="L1" t="str">
            <v>P&amp;L Mapping</v>
          </cell>
          <cell r="N1" t="str">
            <v>P&amp;L Category</v>
          </cell>
          <cell r="O1" t="str">
            <v>Vendor Name</v>
          </cell>
        </row>
        <row r="2">
          <cell r="D2">
            <v>88.49</v>
          </cell>
          <cell r="H2">
            <v>45292</v>
          </cell>
          <cell r="I2" t="str">
            <v>6040 - Employer Paid Benefits</v>
          </cell>
          <cell r="J2" t="str">
            <v>Wholesale</v>
          </cell>
          <cell r="K2" t="str">
            <v>Wholesale</v>
          </cell>
          <cell r="L2" t="str">
            <v>HQ Salaries</v>
          </cell>
          <cell r="N2" t="str">
            <v>SG&amp;A</v>
          </cell>
          <cell r="O2" t="str">
            <v>United of Omaha Life Insurance Company</v>
          </cell>
        </row>
        <row r="3">
          <cell r="D3">
            <v>3718.71</v>
          </cell>
          <cell r="H3">
            <v>45292</v>
          </cell>
          <cell r="I3" t="str">
            <v>6385 - Insurance</v>
          </cell>
          <cell r="J3">
            <v>0</v>
          </cell>
          <cell r="K3" t="str">
            <v>Administration</v>
          </cell>
          <cell r="L3" t="str">
            <v>Professional Service</v>
          </cell>
          <cell r="N3" t="str">
            <v>SG&amp;A</v>
          </cell>
          <cell r="O3" t="str">
            <v>The Hartford</v>
          </cell>
        </row>
        <row r="4">
          <cell r="D4">
            <v>143.1</v>
          </cell>
          <cell r="H4">
            <v>45292</v>
          </cell>
          <cell r="I4" t="str">
            <v>6400 - Utilities</v>
          </cell>
          <cell r="J4">
            <v>0</v>
          </cell>
          <cell r="K4" t="str">
            <v>Administration</v>
          </cell>
          <cell r="L4" t="str">
            <v>Other</v>
          </cell>
          <cell r="N4" t="str">
            <v>SG&amp;A</v>
          </cell>
          <cell r="O4" t="str">
            <v>Verizon</v>
          </cell>
        </row>
        <row r="5">
          <cell r="D5">
            <v>405.89</v>
          </cell>
          <cell r="H5">
            <v>45292</v>
          </cell>
          <cell r="I5" t="str">
            <v>6225 - Professional Services</v>
          </cell>
          <cell r="J5">
            <v>0</v>
          </cell>
          <cell r="K5" t="str">
            <v>Administration</v>
          </cell>
          <cell r="L5" t="str">
            <v>Professional Service</v>
          </cell>
          <cell r="N5" t="str">
            <v>Direct Costs</v>
          </cell>
          <cell r="O5" t="str">
            <v>Telephone Systems and Services, Inc</v>
          </cell>
        </row>
        <row r="6">
          <cell r="D6">
            <v>373</v>
          </cell>
          <cell r="H6">
            <v>45292</v>
          </cell>
          <cell r="I6" t="str">
            <v>6225 - Professional Services</v>
          </cell>
          <cell r="J6">
            <v>0</v>
          </cell>
          <cell r="K6" t="str">
            <v>Administration</v>
          </cell>
          <cell r="L6" t="str">
            <v>Professional Service</v>
          </cell>
          <cell r="N6" t="str">
            <v>Direct Costs</v>
          </cell>
          <cell r="O6" t="str">
            <v>Enom Solutions, Inc-DBA 3nom</v>
          </cell>
        </row>
        <row r="7">
          <cell r="D7">
            <v>3924.1</v>
          </cell>
          <cell r="H7">
            <v>45292</v>
          </cell>
          <cell r="I7" t="str">
            <v>6225 - Professional Services</v>
          </cell>
          <cell r="J7">
            <v>0</v>
          </cell>
          <cell r="K7" t="str">
            <v>Administration</v>
          </cell>
          <cell r="L7" t="str">
            <v>Professional Service</v>
          </cell>
          <cell r="N7" t="str">
            <v>Direct Costs</v>
          </cell>
          <cell r="O7" t="str">
            <v>Enom Solutions, Inc-DBA 3nom</v>
          </cell>
        </row>
        <row r="8">
          <cell r="D8">
            <v>21017.88</v>
          </cell>
          <cell r="H8">
            <v>45292</v>
          </cell>
          <cell r="I8" t="str">
            <v>6225 - Professional Services</v>
          </cell>
          <cell r="J8" t="str">
            <v>Ecommerce (US)</v>
          </cell>
          <cell r="K8" t="str">
            <v>Ecommerce</v>
          </cell>
          <cell r="L8" t="str">
            <v>Professional Service</v>
          </cell>
          <cell r="N8" t="str">
            <v>Direct Costs</v>
          </cell>
          <cell r="O8" t="str">
            <v>Rareview, LLC</v>
          </cell>
        </row>
        <row r="9">
          <cell r="D9">
            <v>38.47</v>
          </cell>
          <cell r="H9">
            <v>45292</v>
          </cell>
          <cell r="I9" t="str">
            <v>6375 - Freight Expenses</v>
          </cell>
          <cell r="J9" t="str">
            <v>Ecommerce (US)</v>
          </cell>
          <cell r="K9" t="str">
            <v>Ecommerce</v>
          </cell>
          <cell r="L9" t="str">
            <v>Freight</v>
          </cell>
          <cell r="N9" t="str">
            <v>Direct Costs</v>
          </cell>
          <cell r="O9" t="str">
            <v>Federal Express</v>
          </cell>
        </row>
        <row r="10">
          <cell r="D10">
            <v>2786.68</v>
          </cell>
          <cell r="H10">
            <v>45292</v>
          </cell>
          <cell r="I10" t="str">
            <v>6040 - Employer Paid Benefits</v>
          </cell>
          <cell r="J10" t="str">
            <v>Ecommerce (US)</v>
          </cell>
          <cell r="K10" t="str">
            <v>Ecommerce</v>
          </cell>
          <cell r="L10" t="str">
            <v>HQ Salaries</v>
          </cell>
          <cell r="N10" t="str">
            <v>SG&amp;A</v>
          </cell>
          <cell r="O10" t="str">
            <v>Excellus Health Plan - Group</v>
          </cell>
        </row>
        <row r="11">
          <cell r="D11">
            <v>723.81</v>
          </cell>
          <cell r="H11">
            <v>45292</v>
          </cell>
          <cell r="I11" t="str">
            <v>6040 - Employer Paid Benefits</v>
          </cell>
          <cell r="J11" t="str">
            <v>Wholesale</v>
          </cell>
          <cell r="K11" t="str">
            <v>Wholesale</v>
          </cell>
          <cell r="L11" t="str">
            <v>HQ Salaries</v>
          </cell>
          <cell r="N11" t="str">
            <v>SG&amp;A</v>
          </cell>
          <cell r="O11" t="str">
            <v>Excellus Health Plan - Group</v>
          </cell>
        </row>
        <row r="12">
          <cell r="D12">
            <v>3401.91</v>
          </cell>
          <cell r="H12">
            <v>45292</v>
          </cell>
          <cell r="I12" t="str">
            <v>6040 - Employer Paid Benefits</v>
          </cell>
          <cell r="J12">
            <v>0</v>
          </cell>
          <cell r="K12" t="str">
            <v>Production</v>
          </cell>
          <cell r="L12" t="str">
            <v>HQ Salaries</v>
          </cell>
          <cell r="N12" t="str">
            <v>SG&amp;A</v>
          </cell>
          <cell r="O12" t="str">
            <v>Excellus Health Plan - Group</v>
          </cell>
        </row>
        <row r="13">
          <cell r="D13">
            <v>2786.68</v>
          </cell>
          <cell r="H13">
            <v>45292</v>
          </cell>
          <cell r="I13" t="str">
            <v>6040 - Employer Paid Benefits</v>
          </cell>
          <cell r="J13">
            <v>0</v>
          </cell>
          <cell r="K13" t="str">
            <v>Merchandising</v>
          </cell>
          <cell r="L13" t="str">
            <v>HQ Salaries</v>
          </cell>
          <cell r="N13" t="str">
            <v>SG&amp;A</v>
          </cell>
          <cell r="O13" t="str">
            <v>Excellus Health Plan - Group</v>
          </cell>
        </row>
        <row r="14">
          <cell r="D14">
            <v>723.81</v>
          </cell>
          <cell r="H14">
            <v>45292</v>
          </cell>
          <cell r="I14" t="str">
            <v>6040 - Employer Paid Benefits</v>
          </cell>
          <cell r="J14">
            <v>0</v>
          </cell>
          <cell r="K14" t="str">
            <v>Brand Marketing</v>
          </cell>
          <cell r="L14" t="str">
            <v>HQ Salaries</v>
          </cell>
          <cell r="N14" t="str">
            <v>SG&amp;A</v>
          </cell>
          <cell r="O14" t="str">
            <v>Excellus Health Plan - Group</v>
          </cell>
        </row>
        <row r="15">
          <cell r="D15">
            <v>2062.87</v>
          </cell>
          <cell r="H15">
            <v>45292</v>
          </cell>
          <cell r="I15" t="str">
            <v>6040 - Employer Paid Benefits</v>
          </cell>
          <cell r="J15">
            <v>0</v>
          </cell>
          <cell r="K15" t="str">
            <v>Executive</v>
          </cell>
          <cell r="L15" t="str">
            <v>HQ Salaries</v>
          </cell>
          <cell r="N15" t="str">
            <v>SG&amp;A</v>
          </cell>
          <cell r="O15" t="str">
            <v>Excellus Health Plan - Group</v>
          </cell>
        </row>
        <row r="16">
          <cell r="D16">
            <v>2895.24</v>
          </cell>
          <cell r="H16">
            <v>45292</v>
          </cell>
          <cell r="I16" t="str">
            <v>6040 - Employer Paid Benefits</v>
          </cell>
          <cell r="J16">
            <v>0</v>
          </cell>
          <cell r="K16" t="str">
            <v>Design</v>
          </cell>
          <cell r="L16" t="str">
            <v>HQ Salaries</v>
          </cell>
          <cell r="N16" t="str">
            <v>SG&amp;A</v>
          </cell>
          <cell r="O16" t="str">
            <v>Excellus Health Plan - Group</v>
          </cell>
        </row>
        <row r="17">
          <cell r="D17">
            <v>4473.6099999999997</v>
          </cell>
          <cell r="H17">
            <v>45292</v>
          </cell>
          <cell r="I17" t="str">
            <v>6040 - Employer Paid Benefits</v>
          </cell>
          <cell r="J17">
            <v>0</v>
          </cell>
          <cell r="K17" t="str">
            <v>Administration</v>
          </cell>
          <cell r="L17" t="str">
            <v>HQ Salaries</v>
          </cell>
          <cell r="N17" t="str">
            <v>SG&amp;A</v>
          </cell>
          <cell r="O17" t="str">
            <v>Excellus Health Plan - Group</v>
          </cell>
        </row>
        <row r="18">
          <cell r="D18">
            <v>216.44</v>
          </cell>
          <cell r="H18">
            <v>45292</v>
          </cell>
          <cell r="I18" t="str">
            <v>6040 - Employer Paid Benefits</v>
          </cell>
          <cell r="J18">
            <v>0</v>
          </cell>
          <cell r="K18" t="str">
            <v>Production</v>
          </cell>
          <cell r="L18" t="str">
            <v>HQ Salaries</v>
          </cell>
          <cell r="N18" t="str">
            <v>SG&amp;A</v>
          </cell>
          <cell r="O18" t="str">
            <v>United of Omaha Life Insurance Company</v>
          </cell>
        </row>
        <row r="19">
          <cell r="D19">
            <v>145.94</v>
          </cell>
          <cell r="H19">
            <v>45292</v>
          </cell>
          <cell r="I19" t="str">
            <v>6040 - Employer Paid Benefits</v>
          </cell>
          <cell r="J19">
            <v>0</v>
          </cell>
          <cell r="K19" t="str">
            <v>Merchandising</v>
          </cell>
          <cell r="L19" t="str">
            <v>HQ Salaries</v>
          </cell>
          <cell r="N19" t="str">
            <v>SG&amp;A</v>
          </cell>
          <cell r="O19" t="str">
            <v>United of Omaha Life Insurance Company</v>
          </cell>
        </row>
        <row r="20">
          <cell r="D20">
            <v>33.25</v>
          </cell>
          <cell r="H20">
            <v>45292</v>
          </cell>
          <cell r="I20" t="str">
            <v>6040 - Employer Paid Benefits</v>
          </cell>
          <cell r="J20">
            <v>0</v>
          </cell>
          <cell r="K20" t="str">
            <v>Brand Marketing</v>
          </cell>
          <cell r="L20" t="str">
            <v>HQ Salaries</v>
          </cell>
          <cell r="N20" t="str">
            <v>SG&amp;A</v>
          </cell>
          <cell r="O20" t="str">
            <v>United of Omaha Life Insurance Company</v>
          </cell>
        </row>
        <row r="21">
          <cell r="D21">
            <v>162.9</v>
          </cell>
          <cell r="H21">
            <v>45292</v>
          </cell>
          <cell r="I21" t="str">
            <v>6040 - Employer Paid Benefits</v>
          </cell>
          <cell r="J21">
            <v>0</v>
          </cell>
          <cell r="K21" t="str">
            <v>Executive</v>
          </cell>
          <cell r="L21" t="str">
            <v>HQ Salaries</v>
          </cell>
          <cell r="N21" t="str">
            <v>SG&amp;A</v>
          </cell>
          <cell r="O21" t="str">
            <v>United of Omaha Life Insurance Company</v>
          </cell>
        </row>
        <row r="22">
          <cell r="D22">
            <v>125.82</v>
          </cell>
          <cell r="H22">
            <v>45292</v>
          </cell>
          <cell r="I22" t="str">
            <v>6040 - Employer Paid Benefits</v>
          </cell>
          <cell r="J22" t="str">
            <v>Ecommerce (US)</v>
          </cell>
          <cell r="K22" t="str">
            <v>Ecommerce</v>
          </cell>
          <cell r="L22" t="str">
            <v>HQ Salaries</v>
          </cell>
          <cell r="N22" t="str">
            <v>SG&amp;A</v>
          </cell>
          <cell r="O22" t="str">
            <v>United of Omaha Life Insurance Company</v>
          </cell>
        </row>
        <row r="23">
          <cell r="D23">
            <v>121.16</v>
          </cell>
          <cell r="H23">
            <v>45292</v>
          </cell>
          <cell r="I23" t="str">
            <v>6040 - Employer Paid Benefits</v>
          </cell>
          <cell r="J23">
            <v>0</v>
          </cell>
          <cell r="K23" t="str">
            <v>Design</v>
          </cell>
          <cell r="L23" t="str">
            <v>HQ Salaries</v>
          </cell>
          <cell r="N23" t="str">
            <v>SG&amp;A</v>
          </cell>
          <cell r="O23" t="str">
            <v>United of Omaha Life Insurance Company</v>
          </cell>
        </row>
        <row r="24">
          <cell r="D24">
            <v>331.05</v>
          </cell>
          <cell r="H24">
            <v>45292</v>
          </cell>
          <cell r="I24" t="str">
            <v>6040 - Employer Paid Benefits</v>
          </cell>
          <cell r="J24">
            <v>0</v>
          </cell>
          <cell r="K24" t="str">
            <v>Administration</v>
          </cell>
          <cell r="L24" t="str">
            <v>HQ Salaries</v>
          </cell>
          <cell r="N24" t="str">
            <v>SG&amp;A</v>
          </cell>
          <cell r="O24" t="str">
            <v>United of Omaha Life Insurance Company</v>
          </cell>
        </row>
        <row r="25">
          <cell r="D25">
            <v>-12173.72</v>
          </cell>
          <cell r="H25">
            <v>45292</v>
          </cell>
          <cell r="I25" t="str">
            <v>6005 - Salaries</v>
          </cell>
          <cell r="J25">
            <v>0</v>
          </cell>
          <cell r="K25" t="str">
            <v>Administration</v>
          </cell>
          <cell r="L25" t="str">
            <v>HQ Salaries</v>
          </cell>
          <cell r="N25" t="str">
            <v>SG&amp;A</v>
          </cell>
          <cell r="O25" t="str">
            <v>[No Vendor]</v>
          </cell>
        </row>
        <row r="26">
          <cell r="D26">
            <v>-108967.4</v>
          </cell>
          <cell r="H26">
            <v>45292</v>
          </cell>
          <cell r="I26" t="str">
            <v>4050 - Sales Revenue - Ecommerce (US)</v>
          </cell>
          <cell r="J26" t="str">
            <v>Ecommerce (US)</v>
          </cell>
          <cell r="K26" t="str">
            <v>Ecommerce</v>
          </cell>
          <cell r="L26" t="str">
            <v>Ecommerce (US)</v>
          </cell>
          <cell r="N26" t="str">
            <v>Revenue</v>
          </cell>
          <cell r="O26" t="str">
            <v>[No Vendor]</v>
          </cell>
        </row>
        <row r="27">
          <cell r="D27">
            <v>-109446.23</v>
          </cell>
          <cell r="H27">
            <v>45292</v>
          </cell>
          <cell r="I27" t="str">
            <v>4050 - Sales Revenue - Ecommerce (US)</v>
          </cell>
          <cell r="J27" t="str">
            <v>Ecommerce (US)</v>
          </cell>
          <cell r="K27" t="str">
            <v>Ecommerce</v>
          </cell>
          <cell r="L27" t="str">
            <v>Ecommerce (US)</v>
          </cell>
          <cell r="N27" t="str">
            <v>Revenue</v>
          </cell>
          <cell r="O27" t="str">
            <v>[No Vendor]</v>
          </cell>
        </row>
        <row r="28">
          <cell r="D28">
            <v>-126.48</v>
          </cell>
          <cell r="H28">
            <v>45292</v>
          </cell>
          <cell r="I28" t="str">
            <v>4066 - Sales Freight - Ecomm (EU)</v>
          </cell>
          <cell r="J28" t="str">
            <v>Ecommerce (EU)</v>
          </cell>
          <cell r="K28" t="str">
            <v>Ecommerce</v>
          </cell>
          <cell r="L28" t="str">
            <v>Freight - Revenue</v>
          </cell>
          <cell r="N28" t="str">
            <v>Direct Costs</v>
          </cell>
          <cell r="O28" t="str">
            <v>[No Vendor]</v>
          </cell>
        </row>
        <row r="29">
          <cell r="D29">
            <v>339.31</v>
          </cell>
          <cell r="H29">
            <v>45292</v>
          </cell>
          <cell r="I29" t="str">
            <v>4061 - Sales Discount - Ecomm (EU)</v>
          </cell>
          <cell r="J29" t="str">
            <v>Ecommerce (EU)</v>
          </cell>
          <cell r="K29" t="str">
            <v>Ecommerce</v>
          </cell>
          <cell r="L29" t="str">
            <v>Ecommerce (EU)</v>
          </cell>
          <cell r="N29" t="str">
            <v>Revenue</v>
          </cell>
          <cell r="O29" t="str">
            <v>[No Vendor]</v>
          </cell>
        </row>
        <row r="30">
          <cell r="D30">
            <v>548.62</v>
          </cell>
          <cell r="H30">
            <v>45292</v>
          </cell>
          <cell r="I30" t="str">
            <v>7140 - Amortization Exp - ROU Asset</v>
          </cell>
          <cell r="J30">
            <v>0</v>
          </cell>
          <cell r="K30" t="str">
            <v>Administration</v>
          </cell>
          <cell r="L30" t="str">
            <v>Rent</v>
          </cell>
          <cell r="N30" t="str">
            <v>SG&amp;A</v>
          </cell>
          <cell r="O30" t="str">
            <v>[No Vendor]</v>
          </cell>
        </row>
        <row r="31">
          <cell r="D31">
            <v>33250.92</v>
          </cell>
          <cell r="H31">
            <v>45292</v>
          </cell>
          <cell r="I31" t="str">
            <v>7140 - Amortization Exp - ROU Asset</v>
          </cell>
          <cell r="J31">
            <v>0</v>
          </cell>
          <cell r="K31" t="str">
            <v>Administration</v>
          </cell>
          <cell r="L31" t="str">
            <v>Rent</v>
          </cell>
          <cell r="N31" t="str">
            <v>SG&amp;A</v>
          </cell>
          <cell r="O31" t="str">
            <v>[No Vendor]</v>
          </cell>
        </row>
        <row r="32">
          <cell r="D32">
            <v>-12631.7</v>
          </cell>
          <cell r="H32">
            <v>45292</v>
          </cell>
          <cell r="I32" t="str">
            <v>4051 - Sales Revenue - Ecommerce (Intl)</v>
          </cell>
          <cell r="J32" t="str">
            <v>Ecommerce (EU)</v>
          </cell>
          <cell r="K32" t="str">
            <v>Ecommerce</v>
          </cell>
          <cell r="L32" t="str">
            <v>Ecommerce (EU)</v>
          </cell>
          <cell r="N32" t="str">
            <v>Revenue</v>
          </cell>
          <cell r="O32" t="str">
            <v>[No Vendor]</v>
          </cell>
        </row>
        <row r="33">
          <cell r="D33">
            <v>-1499</v>
          </cell>
          <cell r="H33">
            <v>45292</v>
          </cell>
          <cell r="I33" t="str">
            <v>4064 - Sales Freight - Ecomm (US)</v>
          </cell>
          <cell r="J33" t="str">
            <v>Ecommerce (US)</v>
          </cell>
          <cell r="K33" t="str">
            <v>Ecommerce</v>
          </cell>
          <cell r="L33" t="str">
            <v>Freight - Revenue</v>
          </cell>
          <cell r="N33" t="str">
            <v>Direct Costs</v>
          </cell>
          <cell r="O33" t="str">
            <v>[No Vendor]</v>
          </cell>
        </row>
        <row r="34">
          <cell r="D34">
            <v>23407.08</v>
          </cell>
          <cell r="H34">
            <v>45292</v>
          </cell>
          <cell r="I34" t="str">
            <v>4062 - Sales Discount - Ecomm (US)</v>
          </cell>
          <cell r="J34" t="str">
            <v>Ecommerce (US)</v>
          </cell>
          <cell r="K34" t="str">
            <v>Ecommerce</v>
          </cell>
          <cell r="L34" t="str">
            <v>Ecommerce (US)</v>
          </cell>
          <cell r="N34" t="str">
            <v>Revenue</v>
          </cell>
          <cell r="O34" t="str">
            <v>[No Vendor]</v>
          </cell>
        </row>
        <row r="35">
          <cell r="D35">
            <v>0</v>
          </cell>
          <cell r="H35">
            <v>45292</v>
          </cell>
          <cell r="I35" t="str">
            <v>6205 - Contractors</v>
          </cell>
          <cell r="J35">
            <v>0</v>
          </cell>
          <cell r="K35" t="str">
            <v>Brand Marketing</v>
          </cell>
          <cell r="L35" t="str">
            <v>HQ Salaries</v>
          </cell>
          <cell r="N35" t="str">
            <v>SG&amp;A</v>
          </cell>
          <cell r="O35" t="str">
            <v>[No Vendor]</v>
          </cell>
        </row>
        <row r="36">
          <cell r="D36">
            <v>-7139.4</v>
          </cell>
          <cell r="H36">
            <v>45292</v>
          </cell>
          <cell r="I36" t="str">
            <v>6205 - Contractors</v>
          </cell>
          <cell r="J36" t="str">
            <v>Ecommerce (US)</v>
          </cell>
          <cell r="K36" t="str">
            <v>Ecommerce</v>
          </cell>
          <cell r="L36" t="str">
            <v>HQ Salaries</v>
          </cell>
          <cell r="N36" t="str">
            <v>SG&amp;A</v>
          </cell>
          <cell r="O36" t="str">
            <v>[No Vendor]</v>
          </cell>
        </row>
        <row r="37">
          <cell r="D37">
            <v>-605.99</v>
          </cell>
          <cell r="H37">
            <v>45292</v>
          </cell>
          <cell r="I37" t="str">
            <v>6410 - Lease Expense</v>
          </cell>
          <cell r="J37">
            <v>0</v>
          </cell>
          <cell r="K37" t="str">
            <v>Administration</v>
          </cell>
          <cell r="L37" t="str">
            <v>Rent</v>
          </cell>
          <cell r="N37" t="str">
            <v>SG&amp;A</v>
          </cell>
          <cell r="O37" t="str">
            <v>[No Vendor]</v>
          </cell>
        </row>
        <row r="38">
          <cell r="D38">
            <v>0.6</v>
          </cell>
          <cell r="H38">
            <v>45292</v>
          </cell>
          <cell r="I38" t="str">
            <v>6385 - Insurance</v>
          </cell>
          <cell r="J38">
            <v>0</v>
          </cell>
          <cell r="K38" t="str">
            <v>Administration</v>
          </cell>
          <cell r="L38" t="str">
            <v>Professional Service</v>
          </cell>
          <cell r="N38" t="str">
            <v>SG&amp;A</v>
          </cell>
          <cell r="O38" t="str">
            <v>[No Vendor]</v>
          </cell>
        </row>
        <row r="39">
          <cell r="D39">
            <v>20.45</v>
          </cell>
          <cell r="H39">
            <v>45292</v>
          </cell>
          <cell r="I39" t="str">
            <v>6385 - Insurance</v>
          </cell>
          <cell r="J39">
            <v>0</v>
          </cell>
          <cell r="K39" t="str">
            <v>Administration</v>
          </cell>
          <cell r="L39" t="str">
            <v>Professional Service</v>
          </cell>
          <cell r="N39" t="str">
            <v>SG&amp;A</v>
          </cell>
          <cell r="O39" t="str">
            <v>[No Vendor]</v>
          </cell>
        </row>
        <row r="40">
          <cell r="D40">
            <v>14.43</v>
          </cell>
          <cell r="H40">
            <v>45292</v>
          </cell>
          <cell r="I40" t="str">
            <v>6385 - Insurance</v>
          </cell>
          <cell r="J40">
            <v>0</v>
          </cell>
          <cell r="K40" t="str">
            <v>Administration</v>
          </cell>
          <cell r="L40" t="str">
            <v>Professional Service</v>
          </cell>
          <cell r="N40" t="str">
            <v>SG&amp;A</v>
          </cell>
          <cell r="O40" t="str">
            <v>[No Vendor]</v>
          </cell>
        </row>
        <row r="41">
          <cell r="D41">
            <v>12.14</v>
          </cell>
          <cell r="H41">
            <v>45292</v>
          </cell>
          <cell r="I41" t="str">
            <v>6385 - Insurance</v>
          </cell>
          <cell r="J41">
            <v>0</v>
          </cell>
          <cell r="K41" t="str">
            <v>Administration</v>
          </cell>
          <cell r="L41" t="str">
            <v>Professional Service</v>
          </cell>
          <cell r="N41" t="str">
            <v>SG&amp;A</v>
          </cell>
          <cell r="O41" t="str">
            <v>[No Vendor]</v>
          </cell>
        </row>
        <row r="42">
          <cell r="D42">
            <v>6.45</v>
          </cell>
          <cell r="H42">
            <v>45292</v>
          </cell>
          <cell r="I42" t="str">
            <v>6385 - Insurance</v>
          </cell>
          <cell r="J42">
            <v>0</v>
          </cell>
          <cell r="K42" t="str">
            <v>Administration</v>
          </cell>
          <cell r="L42" t="str">
            <v>Professional Service</v>
          </cell>
          <cell r="N42" t="str">
            <v>SG&amp;A</v>
          </cell>
          <cell r="O42" t="str">
            <v>[No Vendor]</v>
          </cell>
        </row>
        <row r="43">
          <cell r="D43">
            <v>33.24</v>
          </cell>
          <cell r="H43">
            <v>45292</v>
          </cell>
          <cell r="I43" t="str">
            <v>6385 - Insurance</v>
          </cell>
          <cell r="J43">
            <v>0</v>
          </cell>
          <cell r="K43" t="str">
            <v>Administration</v>
          </cell>
          <cell r="L43" t="str">
            <v>Professional Service</v>
          </cell>
          <cell r="N43" t="str">
            <v>SG&amp;A</v>
          </cell>
          <cell r="O43" t="str">
            <v>[No Vendor]</v>
          </cell>
        </row>
        <row r="44">
          <cell r="D44">
            <v>23.24</v>
          </cell>
          <cell r="H44">
            <v>45292</v>
          </cell>
          <cell r="I44" t="str">
            <v>6385 - Insurance</v>
          </cell>
          <cell r="J44">
            <v>0</v>
          </cell>
          <cell r="K44" t="str">
            <v>Administration</v>
          </cell>
          <cell r="L44" t="str">
            <v>Professional Service</v>
          </cell>
          <cell r="N44" t="str">
            <v>SG&amp;A</v>
          </cell>
          <cell r="O44" t="str">
            <v>[No Vendor]</v>
          </cell>
        </row>
        <row r="45">
          <cell r="D45">
            <v>-222.13</v>
          </cell>
          <cell r="H45">
            <v>45292</v>
          </cell>
          <cell r="I45" t="str">
            <v>6055 - Employer Social Security Tax Withheld</v>
          </cell>
          <cell r="J45">
            <v>0</v>
          </cell>
          <cell r="K45" t="str">
            <v>Merchandising</v>
          </cell>
          <cell r="L45" t="str">
            <v>HQ Salaries</v>
          </cell>
          <cell r="N45" t="str">
            <v>SG&amp;A</v>
          </cell>
          <cell r="O45" t="str">
            <v>[No Vendor]</v>
          </cell>
        </row>
        <row r="46">
          <cell r="D46">
            <v>-449.82</v>
          </cell>
          <cell r="H46">
            <v>45292</v>
          </cell>
          <cell r="I46" t="str">
            <v>6055 - Employer Social Security Tax Withheld</v>
          </cell>
          <cell r="J46" t="str">
            <v>Wholesale</v>
          </cell>
          <cell r="K46" t="str">
            <v>Wholesale</v>
          </cell>
          <cell r="L46" t="str">
            <v>HQ Salaries</v>
          </cell>
          <cell r="N46" t="str">
            <v>SG&amp;A</v>
          </cell>
          <cell r="O46" t="str">
            <v>[No Vendor]</v>
          </cell>
        </row>
        <row r="47">
          <cell r="D47">
            <v>-591.79</v>
          </cell>
          <cell r="H47">
            <v>45292</v>
          </cell>
          <cell r="I47" t="str">
            <v>6055 - Employer Social Security Tax Withheld</v>
          </cell>
          <cell r="J47">
            <v>0</v>
          </cell>
          <cell r="K47" t="str">
            <v>Production</v>
          </cell>
          <cell r="L47" t="str">
            <v>HQ Salaries</v>
          </cell>
          <cell r="N47" t="str">
            <v>SG&amp;A</v>
          </cell>
          <cell r="O47" t="str">
            <v>[No Vendor]</v>
          </cell>
        </row>
        <row r="48">
          <cell r="D48">
            <v>-255.26</v>
          </cell>
          <cell r="H48">
            <v>45292</v>
          </cell>
          <cell r="I48" t="str">
            <v>6055 - Employer Social Security Tax Withheld</v>
          </cell>
          <cell r="J48">
            <v>0</v>
          </cell>
          <cell r="K48" t="str">
            <v>Brand Marketing</v>
          </cell>
          <cell r="L48" t="str">
            <v>HQ Salaries</v>
          </cell>
          <cell r="N48" t="str">
            <v>SG&amp;A</v>
          </cell>
          <cell r="O48" t="str">
            <v>[No Vendor]</v>
          </cell>
        </row>
        <row r="49">
          <cell r="D49">
            <v>-735.21</v>
          </cell>
          <cell r="H49">
            <v>45292</v>
          </cell>
          <cell r="I49" t="str">
            <v>6055 - Employer Social Security Tax Withheld</v>
          </cell>
          <cell r="J49" t="str">
            <v>Ecommerce (US)</v>
          </cell>
          <cell r="K49" t="str">
            <v>Ecommerce</v>
          </cell>
          <cell r="L49" t="str">
            <v>HQ Salaries</v>
          </cell>
          <cell r="N49" t="str">
            <v>SG&amp;A</v>
          </cell>
          <cell r="O49" t="str">
            <v>[No Vendor]</v>
          </cell>
        </row>
        <row r="50">
          <cell r="D50">
            <v>-1013.71</v>
          </cell>
          <cell r="H50">
            <v>45292</v>
          </cell>
          <cell r="I50" t="str">
            <v>6055 - Employer Social Security Tax Withheld</v>
          </cell>
          <cell r="J50">
            <v>0</v>
          </cell>
          <cell r="K50" t="str">
            <v>Design</v>
          </cell>
          <cell r="L50" t="str">
            <v>HQ Salaries</v>
          </cell>
          <cell r="N50" t="str">
            <v>SG&amp;A</v>
          </cell>
          <cell r="O50" t="str">
            <v>[No Vendor]</v>
          </cell>
        </row>
        <row r="51">
          <cell r="D51">
            <v>-1182.6500000000001</v>
          </cell>
          <cell r="H51">
            <v>45292</v>
          </cell>
          <cell r="I51" t="str">
            <v>6055 - Employer Social Security Tax Withheld</v>
          </cell>
          <cell r="J51">
            <v>0</v>
          </cell>
          <cell r="K51" t="str">
            <v>Administration</v>
          </cell>
          <cell r="L51" t="str">
            <v>HQ Salaries</v>
          </cell>
          <cell r="N51" t="str">
            <v>SG&amp;A</v>
          </cell>
          <cell r="O51" t="str">
            <v>[No Vendor]</v>
          </cell>
        </row>
        <row r="52">
          <cell r="D52">
            <v>33422.39</v>
          </cell>
          <cell r="H52">
            <v>45292</v>
          </cell>
          <cell r="I52" t="str">
            <v>5000 - Cost of Goods Sold</v>
          </cell>
          <cell r="J52" t="str">
            <v>Ecommerce (US)</v>
          </cell>
          <cell r="K52" t="str">
            <v>Ecommerce</v>
          </cell>
          <cell r="L52" t="str">
            <v>COGS</v>
          </cell>
          <cell r="N52" t="str">
            <v>COGS</v>
          </cell>
          <cell r="O52" t="str">
            <v>[No Vendor]</v>
          </cell>
        </row>
        <row r="53">
          <cell r="D53">
            <v>57.38</v>
          </cell>
          <cell r="H53">
            <v>45292</v>
          </cell>
          <cell r="I53" t="str">
            <v>6487 - Interest Expense</v>
          </cell>
          <cell r="J53">
            <v>0</v>
          </cell>
          <cell r="K53" t="str">
            <v>Administration</v>
          </cell>
          <cell r="L53" t="str">
            <v>Interest</v>
          </cell>
          <cell r="N53" t="str">
            <v>BTL</v>
          </cell>
          <cell r="O53" t="str">
            <v>[No Vendor]</v>
          </cell>
        </row>
        <row r="54">
          <cell r="D54">
            <v>9975.2800000000007</v>
          </cell>
          <cell r="H54">
            <v>45292</v>
          </cell>
          <cell r="I54" t="str">
            <v>6487 - Interest Expense</v>
          </cell>
          <cell r="J54">
            <v>0</v>
          </cell>
          <cell r="K54" t="str">
            <v>Administration</v>
          </cell>
          <cell r="L54" t="str">
            <v>Interest</v>
          </cell>
          <cell r="N54" t="str">
            <v>BTL</v>
          </cell>
          <cell r="O54" t="str">
            <v>[No Vendor]</v>
          </cell>
        </row>
        <row r="55">
          <cell r="D55">
            <v>26.25</v>
          </cell>
          <cell r="H55">
            <v>45292</v>
          </cell>
          <cell r="I55" t="str">
            <v>6040 - Employer Paid Benefits</v>
          </cell>
          <cell r="J55">
            <v>0</v>
          </cell>
          <cell r="K55" t="str">
            <v>Merchandising</v>
          </cell>
          <cell r="L55" t="str">
            <v>HQ Salaries</v>
          </cell>
          <cell r="N55" t="str">
            <v>SG&amp;A</v>
          </cell>
          <cell r="O55" t="str">
            <v>[No Vendor]</v>
          </cell>
        </row>
        <row r="56">
          <cell r="D56">
            <v>10</v>
          </cell>
          <cell r="H56">
            <v>45292</v>
          </cell>
          <cell r="I56" t="str">
            <v>6040 - Employer Paid Benefits</v>
          </cell>
          <cell r="J56" t="str">
            <v>Wholesale</v>
          </cell>
          <cell r="K56" t="str">
            <v>Wholesale</v>
          </cell>
          <cell r="L56" t="str">
            <v>HQ Salaries</v>
          </cell>
          <cell r="N56" t="str">
            <v>SG&amp;A</v>
          </cell>
          <cell r="O56" t="str">
            <v>[No Vendor]</v>
          </cell>
        </row>
        <row r="57">
          <cell r="D57">
            <v>99.33</v>
          </cell>
          <cell r="H57">
            <v>45292</v>
          </cell>
          <cell r="I57" t="str">
            <v>6040 - Employer Paid Benefits</v>
          </cell>
          <cell r="J57">
            <v>0</v>
          </cell>
          <cell r="K57" t="str">
            <v>Production</v>
          </cell>
          <cell r="L57" t="str">
            <v>HQ Salaries</v>
          </cell>
          <cell r="N57" t="str">
            <v>SG&amp;A</v>
          </cell>
          <cell r="O57" t="str">
            <v>[No Vendor]</v>
          </cell>
        </row>
        <row r="58">
          <cell r="D58">
            <v>10</v>
          </cell>
          <cell r="H58">
            <v>45292</v>
          </cell>
          <cell r="I58" t="str">
            <v>6040 - Employer Paid Benefits</v>
          </cell>
          <cell r="J58">
            <v>0</v>
          </cell>
          <cell r="K58" t="str">
            <v>Brand Marketing</v>
          </cell>
          <cell r="L58" t="str">
            <v>HQ Salaries</v>
          </cell>
          <cell r="N58" t="str">
            <v>SG&amp;A</v>
          </cell>
          <cell r="O58" t="str">
            <v>[No Vendor]</v>
          </cell>
        </row>
        <row r="59">
          <cell r="D59">
            <v>81.25</v>
          </cell>
          <cell r="H59">
            <v>45292</v>
          </cell>
          <cell r="I59" t="str">
            <v>6040 - Employer Paid Benefits</v>
          </cell>
          <cell r="J59" t="str">
            <v>Ecommerce (US)</v>
          </cell>
          <cell r="K59" t="str">
            <v>Ecommerce</v>
          </cell>
          <cell r="L59" t="str">
            <v>HQ Salaries</v>
          </cell>
          <cell r="N59" t="str">
            <v>SG&amp;A</v>
          </cell>
          <cell r="O59" t="str">
            <v>[No Vendor]</v>
          </cell>
        </row>
        <row r="60">
          <cell r="D60">
            <v>101.13</v>
          </cell>
          <cell r="H60">
            <v>45292</v>
          </cell>
          <cell r="I60" t="str">
            <v>6040 - Employer Paid Benefits</v>
          </cell>
          <cell r="J60">
            <v>0</v>
          </cell>
          <cell r="K60" t="str">
            <v>Design</v>
          </cell>
          <cell r="L60" t="str">
            <v>HQ Salaries</v>
          </cell>
          <cell r="N60" t="str">
            <v>SG&amp;A</v>
          </cell>
          <cell r="O60" t="str">
            <v>[No Vendor]</v>
          </cell>
        </row>
        <row r="61">
          <cell r="D61">
            <v>62.5</v>
          </cell>
          <cell r="H61">
            <v>45292</v>
          </cell>
          <cell r="I61" t="str">
            <v>6040 - Employer Paid Benefits</v>
          </cell>
          <cell r="J61">
            <v>0</v>
          </cell>
          <cell r="K61" t="str">
            <v>Administration</v>
          </cell>
          <cell r="L61" t="str">
            <v>HQ Salaries</v>
          </cell>
          <cell r="N61" t="str">
            <v>SG&amp;A</v>
          </cell>
          <cell r="O61" t="str">
            <v>[No Vendor]</v>
          </cell>
        </row>
        <row r="62">
          <cell r="D62">
            <v>-5000</v>
          </cell>
          <cell r="H62">
            <v>45292</v>
          </cell>
          <cell r="I62" t="str">
            <v>6005 - Salaries</v>
          </cell>
          <cell r="J62">
            <v>0</v>
          </cell>
          <cell r="K62" t="str">
            <v>Merchandising</v>
          </cell>
          <cell r="L62" t="str">
            <v>HQ Salaries</v>
          </cell>
          <cell r="N62" t="str">
            <v>SG&amp;A</v>
          </cell>
          <cell r="O62" t="str">
            <v>[No Vendor]</v>
          </cell>
        </row>
        <row r="63">
          <cell r="D63">
            <v>-4230.7700000000004</v>
          </cell>
          <cell r="H63">
            <v>45292</v>
          </cell>
          <cell r="I63" t="str">
            <v>6005 - Salaries</v>
          </cell>
          <cell r="J63" t="str">
            <v>Wholesale</v>
          </cell>
          <cell r="K63" t="str">
            <v>Wholesale</v>
          </cell>
          <cell r="L63" t="str">
            <v>HQ Salaries</v>
          </cell>
          <cell r="N63" t="str">
            <v>SG&amp;A</v>
          </cell>
          <cell r="O63" t="str">
            <v>[No Vendor]</v>
          </cell>
        </row>
        <row r="64">
          <cell r="D64">
            <v>-9120.73</v>
          </cell>
          <cell r="H64">
            <v>45292</v>
          </cell>
          <cell r="I64" t="str">
            <v>6005 - Salaries</v>
          </cell>
          <cell r="J64">
            <v>0</v>
          </cell>
          <cell r="K64" t="str">
            <v>Production</v>
          </cell>
          <cell r="L64" t="str">
            <v>HQ Salaries</v>
          </cell>
          <cell r="N64" t="str">
            <v>SG&amp;A</v>
          </cell>
          <cell r="O64" t="str">
            <v>[No Vendor]</v>
          </cell>
        </row>
        <row r="65">
          <cell r="D65">
            <v>-2403.85</v>
          </cell>
          <cell r="H65">
            <v>45292</v>
          </cell>
          <cell r="I65" t="str">
            <v>6005 - Salaries</v>
          </cell>
          <cell r="J65">
            <v>0</v>
          </cell>
          <cell r="K65" t="str">
            <v>Brand Marketing</v>
          </cell>
          <cell r="L65" t="str">
            <v>HQ Salaries</v>
          </cell>
          <cell r="N65" t="str">
            <v>SG&amp;A</v>
          </cell>
          <cell r="O65" t="str">
            <v>[No Vendor]</v>
          </cell>
        </row>
        <row r="66">
          <cell r="D66">
            <v>-9273.09</v>
          </cell>
          <cell r="H66">
            <v>45292</v>
          </cell>
          <cell r="I66" t="str">
            <v>6005 - Salaries</v>
          </cell>
          <cell r="J66" t="str">
            <v>Ecommerce (US)</v>
          </cell>
          <cell r="K66" t="str">
            <v>Ecommerce</v>
          </cell>
          <cell r="L66" t="str">
            <v>HQ Salaries</v>
          </cell>
          <cell r="N66" t="str">
            <v>SG&amp;A</v>
          </cell>
          <cell r="O66" t="str">
            <v>[No Vendor]</v>
          </cell>
        </row>
        <row r="67">
          <cell r="D67">
            <v>-9721.16</v>
          </cell>
          <cell r="H67">
            <v>45292</v>
          </cell>
          <cell r="I67" t="str">
            <v>6005 - Salaries</v>
          </cell>
          <cell r="J67">
            <v>0</v>
          </cell>
          <cell r="K67" t="str">
            <v>Design</v>
          </cell>
          <cell r="L67" t="str">
            <v>HQ Salaries</v>
          </cell>
          <cell r="N67" t="str">
            <v>SG&amp;A</v>
          </cell>
          <cell r="O67" t="str">
            <v>[No Vendor]</v>
          </cell>
        </row>
        <row r="68">
          <cell r="D68">
            <v>135</v>
          </cell>
          <cell r="H68">
            <v>45292</v>
          </cell>
          <cell r="I68" t="str">
            <v>6040 - Employer Paid Benefits</v>
          </cell>
          <cell r="J68">
            <v>0</v>
          </cell>
          <cell r="K68" t="str">
            <v>Executive</v>
          </cell>
          <cell r="L68" t="str">
            <v>HQ Salaries</v>
          </cell>
          <cell r="N68" t="str">
            <v>SG&amp;A</v>
          </cell>
          <cell r="O68" t="str">
            <v>Procyon Benefits LLC</v>
          </cell>
        </row>
        <row r="69">
          <cell r="D69">
            <v>3200</v>
          </cell>
          <cell r="H69">
            <v>45292</v>
          </cell>
          <cell r="I69" t="str">
            <v>6380 - Legal &amp; Accounting</v>
          </cell>
          <cell r="J69">
            <v>0</v>
          </cell>
          <cell r="K69" t="str">
            <v>Administration</v>
          </cell>
          <cell r="L69" t="str">
            <v>Professional Service</v>
          </cell>
          <cell r="N69" t="str">
            <v>SG&amp;A</v>
          </cell>
          <cell r="O69" t="str">
            <v>Law Office of Soo Park, PLC</v>
          </cell>
        </row>
        <row r="70">
          <cell r="D70">
            <v>430</v>
          </cell>
          <cell r="H70">
            <v>45292</v>
          </cell>
          <cell r="I70" t="str">
            <v>6340 - Miscellaneous Expense</v>
          </cell>
          <cell r="J70">
            <v>0</v>
          </cell>
          <cell r="K70" t="str">
            <v>Administration</v>
          </cell>
          <cell r="L70" t="str">
            <v>Other</v>
          </cell>
          <cell r="N70" t="str">
            <v>SG&amp;A</v>
          </cell>
          <cell r="O70" t="str">
            <v>[No Vendor]</v>
          </cell>
        </row>
        <row r="71">
          <cell r="D71">
            <v>69.3</v>
          </cell>
          <cell r="H71">
            <v>45292</v>
          </cell>
          <cell r="I71" t="str">
            <v>6105 - Meals</v>
          </cell>
          <cell r="J71">
            <v>0</v>
          </cell>
          <cell r="K71" t="str">
            <v>Administration</v>
          </cell>
          <cell r="L71" t="str">
            <v>T&amp;E</v>
          </cell>
          <cell r="N71" t="str">
            <v>SG&amp;A</v>
          </cell>
          <cell r="O71" t="str">
            <v>[No Vendor]</v>
          </cell>
        </row>
        <row r="72">
          <cell r="D72">
            <v>62</v>
          </cell>
          <cell r="H72">
            <v>45292</v>
          </cell>
          <cell r="I72" t="str">
            <v>6040 - Employer Paid Benefits</v>
          </cell>
          <cell r="J72">
            <v>0</v>
          </cell>
          <cell r="K72" t="str">
            <v>Production</v>
          </cell>
          <cell r="L72" t="str">
            <v>HQ Salaries</v>
          </cell>
          <cell r="N72" t="str">
            <v>SG&amp;A</v>
          </cell>
          <cell r="O72" t="str">
            <v>Procyon Benefits LLC</v>
          </cell>
        </row>
        <row r="73">
          <cell r="D73">
            <v>90</v>
          </cell>
          <cell r="H73">
            <v>45292</v>
          </cell>
          <cell r="I73" t="str">
            <v>6040 - Employer Paid Benefits</v>
          </cell>
          <cell r="J73">
            <v>0</v>
          </cell>
          <cell r="K73" t="str">
            <v>Design</v>
          </cell>
          <cell r="L73" t="str">
            <v>HQ Salaries</v>
          </cell>
          <cell r="N73" t="str">
            <v>SG&amp;A</v>
          </cell>
          <cell r="O73" t="str">
            <v>Procyon Benefits LLC</v>
          </cell>
        </row>
        <row r="74">
          <cell r="D74">
            <v>15</v>
          </cell>
          <cell r="H74">
            <v>45292</v>
          </cell>
          <cell r="I74" t="str">
            <v>6040 - Employer Paid Benefits</v>
          </cell>
          <cell r="J74">
            <v>0</v>
          </cell>
          <cell r="K74" t="str">
            <v>Merchandising</v>
          </cell>
          <cell r="L74" t="str">
            <v>HQ Salaries</v>
          </cell>
          <cell r="N74" t="str">
            <v>SG&amp;A</v>
          </cell>
          <cell r="O74" t="str">
            <v>Procyon Benefits LLC</v>
          </cell>
        </row>
        <row r="75">
          <cell r="D75">
            <v>1230.77</v>
          </cell>
          <cell r="H75">
            <v>45292</v>
          </cell>
          <cell r="I75" t="str">
            <v>6450 - Bank &amp; Other Fees</v>
          </cell>
          <cell r="J75" t="str">
            <v>Wholesale</v>
          </cell>
          <cell r="K75" t="str">
            <v>Wholesale</v>
          </cell>
          <cell r="L75" t="str">
            <v>Professional Service</v>
          </cell>
          <cell r="N75" t="str">
            <v>Direct Costs</v>
          </cell>
          <cell r="O75" t="str">
            <v>Paymentech</v>
          </cell>
        </row>
        <row r="76">
          <cell r="D76">
            <v>941.36</v>
          </cell>
          <cell r="H76">
            <v>45292</v>
          </cell>
          <cell r="I76" t="str">
            <v>6450 - Bank &amp; Other Fees</v>
          </cell>
          <cell r="J76" t="str">
            <v>Ecommerce (US)</v>
          </cell>
          <cell r="K76" t="str">
            <v>Ecommerce</v>
          </cell>
          <cell r="L76" t="str">
            <v>Professional Service</v>
          </cell>
          <cell r="N76" t="str">
            <v>Direct Costs</v>
          </cell>
          <cell r="O76" t="str">
            <v>[No Vendor]</v>
          </cell>
        </row>
        <row r="77">
          <cell r="D77">
            <v>260</v>
          </cell>
          <cell r="H77">
            <v>45292</v>
          </cell>
          <cell r="I77" t="str">
            <v>6225 - Professional Services</v>
          </cell>
          <cell r="J77">
            <v>0</v>
          </cell>
          <cell r="K77" t="str">
            <v>Administration</v>
          </cell>
          <cell r="L77" t="str">
            <v>Professional Service</v>
          </cell>
          <cell r="N77" t="str">
            <v>Direct Costs</v>
          </cell>
          <cell r="O77" t="str">
            <v>OperationsInc, LLC</v>
          </cell>
        </row>
        <row r="78">
          <cell r="D78">
            <v>687.5</v>
          </cell>
          <cell r="H78">
            <v>45292</v>
          </cell>
          <cell r="I78" t="str">
            <v>6300 - Payroll Service Fees</v>
          </cell>
          <cell r="J78">
            <v>0</v>
          </cell>
          <cell r="K78" t="str">
            <v>Administration</v>
          </cell>
          <cell r="L78" t="str">
            <v>Professional Service</v>
          </cell>
          <cell r="N78" t="str">
            <v>SG&amp;A</v>
          </cell>
          <cell r="O78" t="str">
            <v>OperationsInc, LLC</v>
          </cell>
        </row>
        <row r="79">
          <cell r="D79">
            <v>-230.9</v>
          </cell>
          <cell r="H79">
            <v>45292</v>
          </cell>
          <cell r="I79" t="str">
            <v>6300 - Payroll Service Fees</v>
          </cell>
          <cell r="J79">
            <v>0</v>
          </cell>
          <cell r="K79" t="str">
            <v>Administration</v>
          </cell>
          <cell r="L79" t="str">
            <v>Professional Service</v>
          </cell>
          <cell r="N79" t="str">
            <v>SG&amp;A</v>
          </cell>
          <cell r="O79" t="str">
            <v>[No Vendor]</v>
          </cell>
        </row>
        <row r="80">
          <cell r="D80">
            <v>138</v>
          </cell>
          <cell r="H80">
            <v>45292</v>
          </cell>
          <cell r="I80" t="str">
            <v>6430 - Dues &amp; Memberships</v>
          </cell>
          <cell r="J80" t="str">
            <v>Wholesale</v>
          </cell>
          <cell r="K80" t="str">
            <v>Wholesale</v>
          </cell>
          <cell r="L80" t="str">
            <v>Professional Service</v>
          </cell>
          <cell r="N80" t="str">
            <v>Direct Costs</v>
          </cell>
          <cell r="O80" t="str">
            <v>SPS Commerce</v>
          </cell>
        </row>
        <row r="81">
          <cell r="D81">
            <v>161.81</v>
          </cell>
          <cell r="H81">
            <v>45292</v>
          </cell>
          <cell r="I81" t="str">
            <v>6300 - Payroll Service Fees</v>
          </cell>
          <cell r="J81">
            <v>0</v>
          </cell>
          <cell r="K81" t="str">
            <v>Administration</v>
          </cell>
          <cell r="L81" t="str">
            <v>Professional Service</v>
          </cell>
          <cell r="N81" t="str">
            <v>SG&amp;A</v>
          </cell>
          <cell r="O81" t="str">
            <v>ADP Payroll Services</v>
          </cell>
        </row>
        <row r="82">
          <cell r="D82">
            <v>230.49</v>
          </cell>
          <cell r="H82">
            <v>45292</v>
          </cell>
          <cell r="I82" t="str">
            <v>6040 - Employer Paid Benefits</v>
          </cell>
          <cell r="J82">
            <v>0</v>
          </cell>
          <cell r="K82" t="str">
            <v>Administration</v>
          </cell>
          <cell r="L82" t="str">
            <v>HQ Salaries</v>
          </cell>
          <cell r="N82" t="str">
            <v>SG&amp;A</v>
          </cell>
          <cell r="O82" t="str">
            <v>Allied Administrators</v>
          </cell>
        </row>
        <row r="83">
          <cell r="D83">
            <v>4750</v>
          </cell>
          <cell r="H83">
            <v>45292</v>
          </cell>
          <cell r="I83" t="str">
            <v>6380 - Legal &amp; Accounting</v>
          </cell>
          <cell r="J83">
            <v>0</v>
          </cell>
          <cell r="K83" t="str">
            <v>Administration</v>
          </cell>
          <cell r="L83" t="str">
            <v>Professional Service</v>
          </cell>
          <cell r="N83" t="str">
            <v>SG&amp;A</v>
          </cell>
          <cell r="O83" t="str">
            <v>Alan Lungen, Attorney at Law</v>
          </cell>
        </row>
        <row r="84">
          <cell r="D84">
            <v>16.45</v>
          </cell>
          <cell r="H84">
            <v>45292</v>
          </cell>
          <cell r="I84" t="str">
            <v>6375 - Freight Expenses</v>
          </cell>
          <cell r="J84" t="str">
            <v>Wholesale</v>
          </cell>
          <cell r="K84" t="str">
            <v>Wholesale</v>
          </cell>
          <cell r="L84" t="str">
            <v>Freight</v>
          </cell>
          <cell r="N84" t="str">
            <v>Direct Costs</v>
          </cell>
          <cell r="O84" t="str">
            <v>UPS Supply Chain Solutions Inc. (7F24A0)</v>
          </cell>
        </row>
        <row r="85">
          <cell r="D85">
            <v>36.36</v>
          </cell>
          <cell r="H85">
            <v>45292</v>
          </cell>
          <cell r="I85" t="str">
            <v>6375 - Freight Expenses</v>
          </cell>
          <cell r="J85" t="str">
            <v>Ecommerce (US)</v>
          </cell>
          <cell r="K85" t="str">
            <v>Ecommerce</v>
          </cell>
          <cell r="L85" t="str">
            <v>Freight</v>
          </cell>
          <cell r="N85" t="str">
            <v>Direct Costs</v>
          </cell>
          <cell r="O85" t="str">
            <v>UPS Supply Chain Solutions Inc. (7F24A0)</v>
          </cell>
        </row>
        <row r="86">
          <cell r="D86">
            <v>16.45</v>
          </cell>
          <cell r="H86">
            <v>45292</v>
          </cell>
          <cell r="I86" t="str">
            <v>6375 - Freight Expenses</v>
          </cell>
          <cell r="J86" t="str">
            <v>Ecommerce (US)</v>
          </cell>
          <cell r="K86" t="str">
            <v>Ecommerce</v>
          </cell>
          <cell r="L86" t="str">
            <v>Freight</v>
          </cell>
          <cell r="N86" t="str">
            <v>Direct Costs</v>
          </cell>
          <cell r="O86" t="str">
            <v>UPS Supply Chain Solutions Inc. (7F24A0)</v>
          </cell>
        </row>
        <row r="87">
          <cell r="D87">
            <v>31.3</v>
          </cell>
          <cell r="H87">
            <v>45292</v>
          </cell>
          <cell r="I87" t="str">
            <v>6040 - Employer Paid Benefits</v>
          </cell>
          <cell r="J87">
            <v>0</v>
          </cell>
          <cell r="K87" t="str">
            <v>Merchandising</v>
          </cell>
          <cell r="L87" t="str">
            <v>HQ Salaries</v>
          </cell>
          <cell r="N87" t="str">
            <v>SG&amp;A</v>
          </cell>
          <cell r="O87" t="str">
            <v>Procyon Benefits LLC</v>
          </cell>
        </row>
        <row r="88">
          <cell r="D88">
            <v>24.54</v>
          </cell>
          <cell r="H88">
            <v>45292</v>
          </cell>
          <cell r="I88" t="str">
            <v>6040 - Employer Paid Benefits</v>
          </cell>
          <cell r="J88" t="str">
            <v>Wholesale</v>
          </cell>
          <cell r="K88" t="str">
            <v>Wholesale</v>
          </cell>
          <cell r="L88" t="str">
            <v>HQ Salaries</v>
          </cell>
          <cell r="N88" t="str">
            <v>SG&amp;A</v>
          </cell>
          <cell r="O88" t="str">
            <v>Allied Administrators</v>
          </cell>
        </row>
        <row r="89">
          <cell r="D89">
            <v>125.91</v>
          </cell>
          <cell r="H89">
            <v>45292</v>
          </cell>
          <cell r="I89" t="str">
            <v>6040 - Employer Paid Benefits</v>
          </cell>
          <cell r="J89">
            <v>0</v>
          </cell>
          <cell r="K89" t="str">
            <v>Production</v>
          </cell>
          <cell r="L89" t="str">
            <v>HQ Salaries</v>
          </cell>
          <cell r="N89" t="str">
            <v>SG&amp;A</v>
          </cell>
          <cell r="O89" t="str">
            <v>Allied Administrators</v>
          </cell>
        </row>
        <row r="90">
          <cell r="D90">
            <v>97.44</v>
          </cell>
          <cell r="H90">
            <v>45292</v>
          </cell>
          <cell r="I90" t="str">
            <v>6040 - Employer Paid Benefits</v>
          </cell>
          <cell r="J90">
            <v>0</v>
          </cell>
          <cell r="K90" t="str">
            <v>Merchandising</v>
          </cell>
          <cell r="L90" t="str">
            <v>HQ Salaries</v>
          </cell>
          <cell r="N90" t="str">
            <v>SG&amp;A</v>
          </cell>
          <cell r="O90" t="str">
            <v>Allied Administrators</v>
          </cell>
        </row>
        <row r="91">
          <cell r="D91">
            <v>437.4</v>
          </cell>
          <cell r="H91">
            <v>45292</v>
          </cell>
          <cell r="I91" t="str">
            <v>6040 - Employer Paid Benefits</v>
          </cell>
          <cell r="J91">
            <v>0</v>
          </cell>
          <cell r="K91" t="str">
            <v>Executive</v>
          </cell>
          <cell r="L91" t="str">
            <v>HQ Salaries</v>
          </cell>
          <cell r="N91" t="str">
            <v>SG&amp;A</v>
          </cell>
          <cell r="O91" t="str">
            <v>Allied Administrators</v>
          </cell>
        </row>
        <row r="92">
          <cell r="D92">
            <v>76.83</v>
          </cell>
          <cell r="H92">
            <v>45292</v>
          </cell>
          <cell r="I92" t="str">
            <v>6040 - Employer Paid Benefits</v>
          </cell>
          <cell r="J92" t="str">
            <v>Ecommerce (US)</v>
          </cell>
          <cell r="K92" t="str">
            <v>Ecommerce</v>
          </cell>
          <cell r="L92" t="str">
            <v>HQ Salaries</v>
          </cell>
          <cell r="N92" t="str">
            <v>SG&amp;A</v>
          </cell>
          <cell r="O92" t="str">
            <v>Allied Administrators</v>
          </cell>
        </row>
        <row r="93">
          <cell r="D93">
            <v>101.37</v>
          </cell>
          <cell r="H93">
            <v>45292</v>
          </cell>
          <cell r="I93" t="str">
            <v>6040 - Employer Paid Benefits</v>
          </cell>
          <cell r="J93">
            <v>0</v>
          </cell>
          <cell r="K93" t="str">
            <v>Design</v>
          </cell>
          <cell r="L93" t="str">
            <v>HQ Salaries</v>
          </cell>
          <cell r="N93" t="str">
            <v>SG&amp;A</v>
          </cell>
          <cell r="O93" t="str">
            <v>Allied Administrators</v>
          </cell>
        </row>
        <row r="94">
          <cell r="D94">
            <v>3662.17</v>
          </cell>
          <cell r="H94">
            <v>45292</v>
          </cell>
          <cell r="I94" t="str">
            <v>6375 - Freight Expenses</v>
          </cell>
          <cell r="J94" t="str">
            <v>Ecommerce (EU)</v>
          </cell>
          <cell r="K94" t="str">
            <v>Ecommerce</v>
          </cell>
          <cell r="L94" t="str">
            <v>Freight</v>
          </cell>
          <cell r="N94" t="str">
            <v>Direct Costs</v>
          </cell>
          <cell r="O94" t="str">
            <v>Global E</v>
          </cell>
        </row>
        <row r="95">
          <cell r="D95">
            <v>2312.12</v>
          </cell>
          <cell r="H95">
            <v>45292</v>
          </cell>
          <cell r="I95" t="str">
            <v>6450 - Bank &amp; Other Fees</v>
          </cell>
          <cell r="J95" t="str">
            <v>Ecommerce (EU)</v>
          </cell>
          <cell r="K95" t="str">
            <v>Ecommerce</v>
          </cell>
          <cell r="L95" t="str">
            <v>Professional Service</v>
          </cell>
          <cell r="N95" t="str">
            <v>Direct Costs</v>
          </cell>
          <cell r="O95" t="str">
            <v>[No Vendor]</v>
          </cell>
        </row>
        <row r="96">
          <cell r="D96">
            <v>4500</v>
          </cell>
          <cell r="H96">
            <v>45292</v>
          </cell>
          <cell r="I96" t="str">
            <v>6225 - Professional Services</v>
          </cell>
          <cell r="J96" t="str">
            <v>Ecommerce (US)</v>
          </cell>
          <cell r="K96" t="str">
            <v>Ecommerce</v>
          </cell>
          <cell r="L96" t="str">
            <v>Professional Service</v>
          </cell>
          <cell r="N96" t="str">
            <v>Direct Costs</v>
          </cell>
          <cell r="O96" t="str">
            <v>Freeflow LLC</v>
          </cell>
        </row>
        <row r="97">
          <cell r="D97">
            <v>825</v>
          </cell>
          <cell r="H97">
            <v>45292</v>
          </cell>
          <cell r="I97" t="str">
            <v>6288 - Model</v>
          </cell>
          <cell r="J97" t="str">
            <v>Ecommerce (US)</v>
          </cell>
          <cell r="K97" t="str">
            <v>Brand Marketing</v>
          </cell>
          <cell r="L97" t="str">
            <v>Advertising</v>
          </cell>
          <cell r="N97" t="str">
            <v>SG&amp;A</v>
          </cell>
          <cell r="O97" t="str">
            <v>State Artist Management</v>
          </cell>
        </row>
        <row r="98">
          <cell r="D98">
            <v>2339.29</v>
          </cell>
          <cell r="H98">
            <v>45292</v>
          </cell>
          <cell r="I98" t="str">
            <v>6375 - Freight Expenses</v>
          </cell>
          <cell r="J98">
            <v>0</v>
          </cell>
          <cell r="K98" t="str">
            <v>Production</v>
          </cell>
          <cell r="L98" t="str">
            <v>Freight</v>
          </cell>
          <cell r="N98" t="str">
            <v>Direct Costs</v>
          </cell>
          <cell r="O98" t="str">
            <v>DHL Express - USA</v>
          </cell>
        </row>
        <row r="99">
          <cell r="D99">
            <v>600</v>
          </cell>
          <cell r="H99">
            <v>45292</v>
          </cell>
          <cell r="I99" t="str">
            <v>6288 - Model</v>
          </cell>
          <cell r="J99" t="str">
            <v>Ecommerce (US)</v>
          </cell>
          <cell r="K99" t="str">
            <v>Brand Marketing</v>
          </cell>
          <cell r="L99" t="str">
            <v>Advertising</v>
          </cell>
          <cell r="N99" t="str">
            <v>SG&amp;A</v>
          </cell>
          <cell r="O99" t="str">
            <v>State Artist Management</v>
          </cell>
        </row>
        <row r="100">
          <cell r="D100">
            <v>1034.31</v>
          </cell>
          <cell r="H100">
            <v>45292</v>
          </cell>
          <cell r="I100" t="str">
            <v>6340 - Miscellaneous Expense</v>
          </cell>
          <cell r="J100">
            <v>0</v>
          </cell>
          <cell r="K100" t="str">
            <v>Administration</v>
          </cell>
          <cell r="L100" t="str">
            <v>Other</v>
          </cell>
          <cell r="N100" t="str">
            <v>SG&amp;A</v>
          </cell>
          <cell r="O100" t="str">
            <v>Go Gleem LLC</v>
          </cell>
        </row>
        <row r="101">
          <cell r="D101">
            <v>1277.5</v>
          </cell>
          <cell r="H101">
            <v>45292</v>
          </cell>
          <cell r="I101" t="str">
            <v>6300 - Payroll Service Fees</v>
          </cell>
          <cell r="J101">
            <v>0</v>
          </cell>
          <cell r="K101" t="str">
            <v>Administration</v>
          </cell>
          <cell r="L101" t="str">
            <v>Professional Service</v>
          </cell>
          <cell r="N101" t="str">
            <v>SG&amp;A</v>
          </cell>
          <cell r="O101" t="str">
            <v>OperationsInc, LLC</v>
          </cell>
        </row>
        <row r="102">
          <cell r="D102">
            <v>225</v>
          </cell>
          <cell r="H102">
            <v>45292</v>
          </cell>
          <cell r="I102" t="str">
            <v>6225 - Professional Services</v>
          </cell>
          <cell r="J102">
            <v>0</v>
          </cell>
          <cell r="K102" t="str">
            <v>Administration</v>
          </cell>
          <cell r="L102" t="str">
            <v>Professional Service</v>
          </cell>
          <cell r="N102" t="str">
            <v>Direct Costs</v>
          </cell>
          <cell r="O102" t="str">
            <v>OperationsInc, LLC</v>
          </cell>
        </row>
        <row r="103">
          <cell r="D103">
            <v>174</v>
          </cell>
          <cell r="H103">
            <v>45292</v>
          </cell>
          <cell r="I103" t="str">
            <v>6125 - Transportation and Fuel</v>
          </cell>
          <cell r="J103">
            <v>0</v>
          </cell>
          <cell r="K103" t="str">
            <v>Administration</v>
          </cell>
          <cell r="L103" t="str">
            <v>T&amp;E</v>
          </cell>
          <cell r="N103" t="str">
            <v>SG&amp;A</v>
          </cell>
          <cell r="O103" t="str">
            <v>[No Vendor]</v>
          </cell>
        </row>
        <row r="104">
          <cell r="D104">
            <v>-0.01</v>
          </cell>
          <cell r="H104">
            <v>45292</v>
          </cell>
          <cell r="I104" t="str">
            <v>8590 - Rounding Gain/Loss</v>
          </cell>
          <cell r="J104">
            <v>0</v>
          </cell>
          <cell r="K104" t="str">
            <v>No Department</v>
          </cell>
          <cell r="L104" t="str">
            <v>Realized Gain / Loss</v>
          </cell>
          <cell r="N104" t="str">
            <v>BTL</v>
          </cell>
          <cell r="O104" t="str">
            <v>[No Vendor]</v>
          </cell>
        </row>
        <row r="105">
          <cell r="D105">
            <v>-639.91999999999996</v>
          </cell>
          <cell r="H105">
            <v>45292</v>
          </cell>
          <cell r="I105" t="str">
            <v>6286 - SEM</v>
          </cell>
          <cell r="J105" t="str">
            <v>Ecommerce (US)</v>
          </cell>
          <cell r="K105" t="str">
            <v>No Department</v>
          </cell>
          <cell r="L105" t="str">
            <v>Professional Service</v>
          </cell>
          <cell r="N105" t="str">
            <v>Direct Costs</v>
          </cell>
          <cell r="O105" t="str">
            <v>Attentive Mobile Inc.</v>
          </cell>
        </row>
        <row r="106">
          <cell r="D106">
            <v>189.65</v>
          </cell>
          <cell r="H106">
            <v>45292</v>
          </cell>
          <cell r="I106" t="str">
            <v>6385 - Insurance</v>
          </cell>
          <cell r="J106">
            <v>0</v>
          </cell>
          <cell r="K106" t="str">
            <v>Administration</v>
          </cell>
          <cell r="L106" t="str">
            <v>Professional Service</v>
          </cell>
          <cell r="N106" t="str">
            <v>SG&amp;A</v>
          </cell>
          <cell r="O106" t="str">
            <v>[No Vendor]</v>
          </cell>
        </row>
        <row r="107">
          <cell r="D107">
            <v>639.91999999999996</v>
          </cell>
          <cell r="H107">
            <v>45292</v>
          </cell>
          <cell r="I107" t="str">
            <v>6286 - SEM</v>
          </cell>
          <cell r="J107" t="str">
            <v>Ecommerce (US)</v>
          </cell>
          <cell r="K107" t="str">
            <v>Brand Marketing</v>
          </cell>
          <cell r="L107" t="str">
            <v>Professional Service</v>
          </cell>
          <cell r="N107" t="str">
            <v>Direct Costs</v>
          </cell>
          <cell r="O107" t="str">
            <v>Attentive Mobile Inc.</v>
          </cell>
        </row>
        <row r="108">
          <cell r="D108">
            <v>85</v>
          </cell>
          <cell r="H108">
            <v>45292</v>
          </cell>
          <cell r="I108" t="str">
            <v>6300 - Payroll Service Fees</v>
          </cell>
          <cell r="J108">
            <v>0</v>
          </cell>
          <cell r="K108" t="str">
            <v>Administration</v>
          </cell>
          <cell r="L108" t="str">
            <v>Professional Service</v>
          </cell>
          <cell r="N108" t="str">
            <v>SG&amp;A</v>
          </cell>
          <cell r="O108" t="str">
            <v>Paychex of NY LLC</v>
          </cell>
        </row>
        <row r="109">
          <cell r="D109">
            <v>-710.07</v>
          </cell>
          <cell r="H109">
            <v>45292</v>
          </cell>
          <cell r="I109" t="str">
            <v>8505 - Realized Gain/Loss</v>
          </cell>
          <cell r="J109">
            <v>0</v>
          </cell>
          <cell r="K109" t="str">
            <v>No Department</v>
          </cell>
          <cell r="L109" t="str">
            <v>Realized Gain / Loss</v>
          </cell>
          <cell r="N109" t="str">
            <v>BTL</v>
          </cell>
          <cell r="O109" t="str">
            <v>[No Vendor]</v>
          </cell>
        </row>
        <row r="110">
          <cell r="D110">
            <v>22.63</v>
          </cell>
          <cell r="H110">
            <v>45292</v>
          </cell>
          <cell r="I110" t="str">
            <v>8505 - Realized Gain/Loss</v>
          </cell>
          <cell r="J110">
            <v>0</v>
          </cell>
          <cell r="K110" t="str">
            <v>No Department</v>
          </cell>
          <cell r="L110" t="str">
            <v>Realized Gain / Loss</v>
          </cell>
          <cell r="N110" t="str">
            <v>BTL</v>
          </cell>
          <cell r="O110" t="str">
            <v>[No Vendor]</v>
          </cell>
        </row>
        <row r="111">
          <cell r="D111">
            <v>18546.169999999998</v>
          </cell>
          <cell r="H111">
            <v>45292</v>
          </cell>
          <cell r="I111" t="str">
            <v>6005 - Salaries</v>
          </cell>
          <cell r="J111" t="str">
            <v>Ecommerce (US)</v>
          </cell>
          <cell r="K111" t="str">
            <v>Ecommerce</v>
          </cell>
          <cell r="L111" t="str">
            <v>HQ Salaries</v>
          </cell>
          <cell r="N111" t="str">
            <v>SG&amp;A</v>
          </cell>
          <cell r="O111" t="str">
            <v>[No Vendor]</v>
          </cell>
        </row>
        <row r="112">
          <cell r="D112">
            <v>0</v>
          </cell>
          <cell r="H112">
            <v>45292</v>
          </cell>
          <cell r="I112" t="str">
            <v>6205 - Contractors</v>
          </cell>
          <cell r="J112">
            <v>0</v>
          </cell>
          <cell r="K112" t="str">
            <v>Brand Marketing</v>
          </cell>
          <cell r="L112" t="str">
            <v>HQ Salaries</v>
          </cell>
          <cell r="N112" t="str">
            <v>SG&amp;A</v>
          </cell>
          <cell r="O112" t="str">
            <v>[No Vendor]</v>
          </cell>
        </row>
        <row r="113">
          <cell r="D113">
            <v>16728.8</v>
          </cell>
          <cell r="H113">
            <v>45292</v>
          </cell>
          <cell r="I113" t="str">
            <v>6205 - Contractors</v>
          </cell>
          <cell r="J113" t="str">
            <v>Ecommerce (US)</v>
          </cell>
          <cell r="K113" t="str">
            <v>Ecommerce</v>
          </cell>
          <cell r="L113" t="str">
            <v>HQ Salaries</v>
          </cell>
          <cell r="N113" t="str">
            <v>SG&amp;A</v>
          </cell>
          <cell r="O113" t="str">
            <v>[No Vendor]</v>
          </cell>
        </row>
        <row r="114">
          <cell r="D114">
            <v>-20.34</v>
          </cell>
          <cell r="H114">
            <v>45292</v>
          </cell>
          <cell r="I114" t="str">
            <v>6385 - Insurance</v>
          </cell>
          <cell r="J114">
            <v>0</v>
          </cell>
          <cell r="K114" t="str">
            <v>Administration</v>
          </cell>
          <cell r="L114" t="str">
            <v>Professional Service</v>
          </cell>
          <cell r="N114" t="str">
            <v>SG&amp;A</v>
          </cell>
          <cell r="O114" t="str">
            <v>[No Vendor]</v>
          </cell>
        </row>
        <row r="115">
          <cell r="D115">
            <v>-78.52</v>
          </cell>
          <cell r="H115">
            <v>45292</v>
          </cell>
          <cell r="I115" t="str">
            <v>6385 - Insurance</v>
          </cell>
          <cell r="J115">
            <v>0</v>
          </cell>
          <cell r="K115" t="str">
            <v>Administration</v>
          </cell>
          <cell r="L115" t="str">
            <v>Professional Service</v>
          </cell>
          <cell r="N115" t="str">
            <v>SG&amp;A</v>
          </cell>
          <cell r="O115" t="str">
            <v>[No Vendor]</v>
          </cell>
        </row>
        <row r="116">
          <cell r="D116">
            <v>-38.5</v>
          </cell>
          <cell r="H116">
            <v>45292</v>
          </cell>
          <cell r="I116" t="str">
            <v>6385 - Insurance</v>
          </cell>
          <cell r="J116">
            <v>0</v>
          </cell>
          <cell r="K116" t="str">
            <v>Administration</v>
          </cell>
          <cell r="L116" t="str">
            <v>Professional Service</v>
          </cell>
          <cell r="N116" t="str">
            <v>SG&amp;A</v>
          </cell>
          <cell r="O116" t="str">
            <v>[No Vendor]</v>
          </cell>
        </row>
        <row r="117">
          <cell r="D117">
            <v>-33.96</v>
          </cell>
          <cell r="H117">
            <v>45292</v>
          </cell>
          <cell r="I117" t="str">
            <v>6385 - Insurance</v>
          </cell>
          <cell r="J117">
            <v>0</v>
          </cell>
          <cell r="K117" t="str">
            <v>Administration</v>
          </cell>
          <cell r="L117" t="str">
            <v>Professional Service</v>
          </cell>
          <cell r="N117" t="str">
            <v>SG&amp;A</v>
          </cell>
          <cell r="O117" t="str">
            <v>[No Vendor]</v>
          </cell>
        </row>
        <row r="118">
          <cell r="D118">
            <v>-77.16</v>
          </cell>
          <cell r="H118">
            <v>45292</v>
          </cell>
          <cell r="I118" t="str">
            <v>6385 - Insurance</v>
          </cell>
          <cell r="J118">
            <v>0</v>
          </cell>
          <cell r="K118" t="str">
            <v>Administration</v>
          </cell>
          <cell r="L118" t="str">
            <v>Professional Service</v>
          </cell>
          <cell r="N118" t="str">
            <v>SG&amp;A</v>
          </cell>
          <cell r="O118" t="str">
            <v>[No Vendor]</v>
          </cell>
        </row>
        <row r="119">
          <cell r="D119">
            <v>-38.75</v>
          </cell>
          <cell r="H119">
            <v>45292</v>
          </cell>
          <cell r="I119" t="str">
            <v>6385 - Insurance</v>
          </cell>
          <cell r="J119">
            <v>0</v>
          </cell>
          <cell r="K119" t="str">
            <v>Administration</v>
          </cell>
          <cell r="L119" t="str">
            <v>Professional Service</v>
          </cell>
          <cell r="N119" t="str">
            <v>SG&amp;A</v>
          </cell>
          <cell r="O119" t="str">
            <v>[No Vendor]</v>
          </cell>
        </row>
        <row r="120">
          <cell r="D120">
            <v>-36.909999999999997</v>
          </cell>
          <cell r="H120">
            <v>45292</v>
          </cell>
          <cell r="I120" t="str">
            <v>6385 - Insurance</v>
          </cell>
          <cell r="J120">
            <v>0</v>
          </cell>
          <cell r="K120" t="str">
            <v>Administration</v>
          </cell>
          <cell r="L120" t="str">
            <v>Professional Service</v>
          </cell>
          <cell r="N120" t="str">
            <v>SG&amp;A</v>
          </cell>
          <cell r="O120" t="str">
            <v>[No Vendor]</v>
          </cell>
        </row>
        <row r="121">
          <cell r="D121">
            <v>713.71</v>
          </cell>
          <cell r="H121">
            <v>45292</v>
          </cell>
          <cell r="I121" t="str">
            <v>6055 - Employer Social Security Tax Withheld</v>
          </cell>
          <cell r="J121">
            <v>0</v>
          </cell>
          <cell r="K121" t="str">
            <v>Brand Marketing</v>
          </cell>
          <cell r="L121" t="str">
            <v>HQ Salaries</v>
          </cell>
          <cell r="N121" t="str">
            <v>SG&amp;A</v>
          </cell>
          <cell r="O121" t="str">
            <v>[No Vendor]</v>
          </cell>
        </row>
        <row r="122">
          <cell r="D122">
            <v>3293.53</v>
          </cell>
          <cell r="H122">
            <v>45292</v>
          </cell>
          <cell r="I122" t="str">
            <v>6055 - Employer Social Security Tax Withheld</v>
          </cell>
          <cell r="J122">
            <v>0</v>
          </cell>
          <cell r="K122" t="str">
            <v>Administration</v>
          </cell>
          <cell r="L122" t="str">
            <v>HQ Salaries</v>
          </cell>
          <cell r="N122" t="str">
            <v>SG&amp;A</v>
          </cell>
          <cell r="O122" t="str">
            <v>[No Vendor]</v>
          </cell>
        </row>
        <row r="123">
          <cell r="D123">
            <v>1482.99</v>
          </cell>
          <cell r="H123">
            <v>45292</v>
          </cell>
          <cell r="I123" t="str">
            <v>6055 - Employer Social Security Tax Withheld</v>
          </cell>
          <cell r="J123">
            <v>0</v>
          </cell>
          <cell r="K123" t="str">
            <v>Merchandising</v>
          </cell>
          <cell r="L123" t="str">
            <v>HQ Salaries</v>
          </cell>
          <cell r="N123" t="str">
            <v>SG&amp;A</v>
          </cell>
          <cell r="O123" t="str">
            <v>[No Vendor]</v>
          </cell>
        </row>
        <row r="124">
          <cell r="D124">
            <v>1262.55</v>
          </cell>
          <cell r="H124">
            <v>45292</v>
          </cell>
          <cell r="I124" t="str">
            <v>6055 - Employer Social Security Tax Withheld</v>
          </cell>
          <cell r="J124" t="str">
            <v>Wholesale</v>
          </cell>
          <cell r="K124" t="str">
            <v>Wholesale</v>
          </cell>
          <cell r="L124" t="str">
            <v>HQ Salaries</v>
          </cell>
          <cell r="N124" t="str">
            <v>SG&amp;A</v>
          </cell>
          <cell r="O124" t="str">
            <v>[No Vendor]</v>
          </cell>
        </row>
        <row r="125">
          <cell r="D125">
            <v>2933.21</v>
          </cell>
          <cell r="H125">
            <v>45292</v>
          </cell>
          <cell r="I125" t="str">
            <v>6055 - Employer Social Security Tax Withheld</v>
          </cell>
          <cell r="J125">
            <v>0</v>
          </cell>
          <cell r="K125" t="str">
            <v>Production</v>
          </cell>
          <cell r="L125" t="str">
            <v>HQ Salaries</v>
          </cell>
          <cell r="N125" t="str">
            <v>SG&amp;A</v>
          </cell>
          <cell r="O125" t="str">
            <v>[No Vendor]</v>
          </cell>
        </row>
        <row r="126">
          <cell r="D126">
            <v>2706.42</v>
          </cell>
          <cell r="H126">
            <v>45292</v>
          </cell>
          <cell r="I126" t="str">
            <v>6055 - Employer Social Security Tax Withheld</v>
          </cell>
          <cell r="J126" t="str">
            <v>Ecommerce (US)</v>
          </cell>
          <cell r="K126" t="str">
            <v>Ecommerce</v>
          </cell>
          <cell r="L126" t="str">
            <v>HQ Salaries</v>
          </cell>
          <cell r="N126" t="str">
            <v>SG&amp;A</v>
          </cell>
          <cell r="O126" t="str">
            <v>[No Vendor]</v>
          </cell>
        </row>
        <row r="127">
          <cell r="D127">
            <v>2881.67</v>
          </cell>
          <cell r="H127">
            <v>45292</v>
          </cell>
          <cell r="I127" t="str">
            <v>6055 - Employer Social Security Tax Withheld</v>
          </cell>
          <cell r="J127">
            <v>0</v>
          </cell>
          <cell r="K127" t="str">
            <v>Design</v>
          </cell>
          <cell r="L127" t="str">
            <v>HQ Salaries</v>
          </cell>
          <cell r="N127" t="str">
            <v>SG&amp;A</v>
          </cell>
          <cell r="O127" t="str">
            <v>[No Vendor]</v>
          </cell>
        </row>
        <row r="128">
          <cell r="D128">
            <v>4352.12</v>
          </cell>
          <cell r="H128">
            <v>45292</v>
          </cell>
          <cell r="I128" t="str">
            <v>6487 - Interest Expense</v>
          </cell>
          <cell r="J128">
            <v>0</v>
          </cell>
          <cell r="K128" t="str">
            <v>Administration</v>
          </cell>
          <cell r="L128" t="str">
            <v>Interest</v>
          </cell>
          <cell r="N128" t="str">
            <v>BTL</v>
          </cell>
          <cell r="O128" t="str">
            <v>[No Vendor]</v>
          </cell>
        </row>
        <row r="129">
          <cell r="D129">
            <v>-20</v>
          </cell>
          <cell r="H129">
            <v>45292</v>
          </cell>
          <cell r="I129" t="str">
            <v>6040 - Employer Paid Benefits</v>
          </cell>
          <cell r="J129">
            <v>0</v>
          </cell>
          <cell r="K129" t="str">
            <v>Brand Marketing</v>
          </cell>
          <cell r="L129" t="str">
            <v>HQ Salaries</v>
          </cell>
          <cell r="N129" t="str">
            <v>SG&amp;A</v>
          </cell>
          <cell r="O129" t="str">
            <v>[No Vendor]</v>
          </cell>
        </row>
        <row r="130">
          <cell r="D130">
            <v>-202.26</v>
          </cell>
          <cell r="H130">
            <v>45292</v>
          </cell>
          <cell r="I130" t="str">
            <v>6040 - Employer Paid Benefits</v>
          </cell>
          <cell r="J130">
            <v>0</v>
          </cell>
          <cell r="K130" t="str">
            <v>Design</v>
          </cell>
          <cell r="L130" t="str">
            <v>HQ Salaries</v>
          </cell>
          <cell r="N130" t="str">
            <v>SG&amp;A</v>
          </cell>
          <cell r="O130" t="str">
            <v>[No Vendor]</v>
          </cell>
        </row>
        <row r="131">
          <cell r="D131">
            <v>-125</v>
          </cell>
          <cell r="H131">
            <v>45292</v>
          </cell>
          <cell r="I131" t="str">
            <v>6040 - Employer Paid Benefits</v>
          </cell>
          <cell r="J131">
            <v>0</v>
          </cell>
          <cell r="K131" t="str">
            <v>Administration</v>
          </cell>
          <cell r="L131" t="str">
            <v>HQ Salaries</v>
          </cell>
          <cell r="N131" t="str">
            <v>SG&amp;A</v>
          </cell>
          <cell r="O131" t="str">
            <v>[No Vendor]</v>
          </cell>
        </row>
        <row r="132">
          <cell r="D132">
            <v>-52.5</v>
          </cell>
          <cell r="H132">
            <v>45292</v>
          </cell>
          <cell r="I132" t="str">
            <v>6040 - Employer Paid Benefits</v>
          </cell>
          <cell r="J132">
            <v>0</v>
          </cell>
          <cell r="K132" t="str">
            <v>Merchandising</v>
          </cell>
          <cell r="L132" t="str">
            <v>HQ Salaries</v>
          </cell>
          <cell r="N132" t="str">
            <v>SG&amp;A</v>
          </cell>
          <cell r="O132" t="str">
            <v>[No Vendor]</v>
          </cell>
        </row>
        <row r="133">
          <cell r="D133">
            <v>-132.15</v>
          </cell>
          <cell r="H133">
            <v>45292</v>
          </cell>
          <cell r="I133" t="str">
            <v>6040 - Employer Paid Benefits</v>
          </cell>
          <cell r="J133" t="str">
            <v>Wholesale</v>
          </cell>
          <cell r="K133" t="str">
            <v>Wholesale</v>
          </cell>
          <cell r="L133" t="str">
            <v>HQ Salaries</v>
          </cell>
          <cell r="N133" t="str">
            <v>SG&amp;A</v>
          </cell>
          <cell r="O133" t="str">
            <v>[No Vendor]</v>
          </cell>
        </row>
        <row r="134">
          <cell r="D134">
            <v>-331.57</v>
          </cell>
          <cell r="H134">
            <v>45292</v>
          </cell>
          <cell r="I134" t="str">
            <v>6040 - Employer Paid Benefits</v>
          </cell>
          <cell r="J134">
            <v>0</v>
          </cell>
          <cell r="K134" t="str">
            <v>Production</v>
          </cell>
          <cell r="L134" t="str">
            <v>HQ Salaries</v>
          </cell>
          <cell r="N134" t="str">
            <v>SG&amp;A</v>
          </cell>
          <cell r="O134" t="str">
            <v>[No Vendor]</v>
          </cell>
        </row>
        <row r="135">
          <cell r="D135">
            <v>-162.5</v>
          </cell>
          <cell r="H135">
            <v>45292</v>
          </cell>
          <cell r="I135" t="str">
            <v>6040 - Employer Paid Benefits</v>
          </cell>
          <cell r="J135" t="str">
            <v>Ecommerce (US)</v>
          </cell>
          <cell r="K135" t="str">
            <v>Ecommerce</v>
          </cell>
          <cell r="L135" t="str">
            <v>HQ Salaries</v>
          </cell>
          <cell r="N135" t="str">
            <v>SG&amp;A</v>
          </cell>
          <cell r="O135" t="str">
            <v>[No Vendor]</v>
          </cell>
        </row>
        <row r="136">
          <cell r="D136">
            <v>19400.02</v>
          </cell>
          <cell r="H136">
            <v>45292</v>
          </cell>
          <cell r="I136" t="str">
            <v>6005 - Salaries</v>
          </cell>
          <cell r="J136">
            <v>0</v>
          </cell>
          <cell r="K136" t="str">
            <v>Production</v>
          </cell>
          <cell r="L136" t="str">
            <v>HQ Salaries</v>
          </cell>
          <cell r="N136" t="str">
            <v>SG&amp;A</v>
          </cell>
          <cell r="O136" t="str">
            <v>[No Vendor]</v>
          </cell>
        </row>
        <row r="137">
          <cell r="D137">
            <v>19442.310000000001</v>
          </cell>
          <cell r="H137">
            <v>45292</v>
          </cell>
          <cell r="I137" t="str">
            <v>6005 - Salaries</v>
          </cell>
          <cell r="J137">
            <v>0</v>
          </cell>
          <cell r="K137" t="str">
            <v>Design</v>
          </cell>
          <cell r="L137" t="str">
            <v>HQ Salaries</v>
          </cell>
          <cell r="N137" t="str">
            <v>SG&amp;A</v>
          </cell>
          <cell r="O137" t="str">
            <v>[No Vendor]</v>
          </cell>
        </row>
        <row r="138">
          <cell r="D138">
            <v>10000</v>
          </cell>
          <cell r="H138">
            <v>45292</v>
          </cell>
          <cell r="I138" t="str">
            <v>6005 - Salaries</v>
          </cell>
          <cell r="J138">
            <v>0</v>
          </cell>
          <cell r="K138" t="str">
            <v>Merchandising</v>
          </cell>
          <cell r="L138" t="str">
            <v>HQ Salaries</v>
          </cell>
          <cell r="N138" t="str">
            <v>SG&amp;A</v>
          </cell>
          <cell r="O138" t="str">
            <v>[No Vendor]</v>
          </cell>
        </row>
        <row r="139">
          <cell r="D139">
            <v>8461.5400000000009</v>
          </cell>
          <cell r="H139">
            <v>45292</v>
          </cell>
          <cell r="I139" t="str">
            <v>6005 - Salaries</v>
          </cell>
          <cell r="J139" t="str">
            <v>Wholesale</v>
          </cell>
          <cell r="K139" t="str">
            <v>Wholesale</v>
          </cell>
          <cell r="L139" t="str">
            <v>HQ Salaries</v>
          </cell>
          <cell r="N139" t="str">
            <v>SG&amp;A</v>
          </cell>
          <cell r="O139" t="str">
            <v>[No Vendor]</v>
          </cell>
        </row>
        <row r="140">
          <cell r="D140">
            <v>25622.05</v>
          </cell>
          <cell r="H140">
            <v>45292</v>
          </cell>
          <cell r="I140" t="str">
            <v>6005 - Salaries</v>
          </cell>
          <cell r="J140">
            <v>0</v>
          </cell>
          <cell r="K140" t="str">
            <v>Administration</v>
          </cell>
          <cell r="L140" t="str">
            <v>HQ Salaries</v>
          </cell>
          <cell r="N140" t="str">
            <v>SG&amp;A</v>
          </cell>
          <cell r="O140" t="str">
            <v>[No Vendor]</v>
          </cell>
        </row>
        <row r="141">
          <cell r="D141">
            <v>4807.7</v>
          </cell>
          <cell r="H141">
            <v>45292</v>
          </cell>
          <cell r="I141" t="str">
            <v>6005 - Salaries</v>
          </cell>
          <cell r="J141">
            <v>0</v>
          </cell>
          <cell r="K141" t="str">
            <v>Brand Marketing</v>
          </cell>
          <cell r="L141" t="str">
            <v>HQ Salaries</v>
          </cell>
          <cell r="N141" t="str">
            <v>SG&amp;A</v>
          </cell>
          <cell r="O141" t="str">
            <v>[No Vendor]</v>
          </cell>
        </row>
        <row r="142">
          <cell r="D142">
            <v>16.45</v>
          </cell>
          <cell r="H142">
            <v>45292</v>
          </cell>
          <cell r="I142" t="str">
            <v>6375 - Freight Expenses</v>
          </cell>
          <cell r="J142" t="str">
            <v>Ecommerce (US)</v>
          </cell>
          <cell r="K142" t="str">
            <v>Ecommerce</v>
          </cell>
          <cell r="L142" t="str">
            <v>Freight</v>
          </cell>
          <cell r="N142" t="str">
            <v>Direct Costs</v>
          </cell>
          <cell r="O142" t="str">
            <v>UPS Supply Chain Solutions Inc. (7F24A0)</v>
          </cell>
        </row>
        <row r="143">
          <cell r="D143">
            <v>16.45</v>
          </cell>
          <cell r="H143">
            <v>45292</v>
          </cell>
          <cell r="I143" t="str">
            <v>6375 - Freight Expenses</v>
          </cell>
          <cell r="J143" t="str">
            <v>Wholesale</v>
          </cell>
          <cell r="K143" t="str">
            <v>Wholesale</v>
          </cell>
          <cell r="L143" t="str">
            <v>Freight</v>
          </cell>
          <cell r="N143" t="str">
            <v>Direct Costs</v>
          </cell>
          <cell r="O143" t="str">
            <v>UPS Supply Chain Solutions Inc. (7F24A0)</v>
          </cell>
        </row>
        <row r="144">
          <cell r="D144">
            <v>345.33</v>
          </cell>
          <cell r="H144">
            <v>45292</v>
          </cell>
          <cell r="I144" t="str">
            <v>6375 - Freight Expenses</v>
          </cell>
          <cell r="J144" t="str">
            <v>Ecommerce (US)</v>
          </cell>
          <cell r="K144" t="str">
            <v>Ecommerce</v>
          </cell>
          <cell r="L144" t="str">
            <v>Freight</v>
          </cell>
          <cell r="N144" t="str">
            <v>Direct Costs</v>
          </cell>
          <cell r="O144" t="str">
            <v>UPS Supply Chain Solutions Inc. (7F24A0)</v>
          </cell>
        </row>
        <row r="145">
          <cell r="D145">
            <v>9665.6299999999992</v>
          </cell>
          <cell r="H145">
            <v>45292</v>
          </cell>
          <cell r="I145" t="str">
            <v>6375 - Freight Expenses</v>
          </cell>
          <cell r="J145" t="str">
            <v>Wholesale</v>
          </cell>
          <cell r="K145" t="str">
            <v>Wholesale</v>
          </cell>
          <cell r="L145" t="str">
            <v>Freight</v>
          </cell>
          <cell r="N145" t="str">
            <v>Direct Costs</v>
          </cell>
          <cell r="O145" t="str">
            <v>Bergen Logistics Corporation</v>
          </cell>
        </row>
        <row r="146">
          <cell r="D146">
            <v>35054.269999999997</v>
          </cell>
          <cell r="H146">
            <v>45292</v>
          </cell>
          <cell r="I146" t="str">
            <v>6377 - Order Processing Expenses (New)</v>
          </cell>
          <cell r="J146" t="str">
            <v>Ecommerce (US)</v>
          </cell>
          <cell r="K146" t="str">
            <v>Ecommerce</v>
          </cell>
          <cell r="L146" t="str">
            <v>Order Processing</v>
          </cell>
          <cell r="N146" t="str">
            <v>Direct Costs</v>
          </cell>
          <cell r="O146" t="str">
            <v>Bergen Logistics Corporation</v>
          </cell>
        </row>
        <row r="147">
          <cell r="D147">
            <v>29818.12</v>
          </cell>
          <cell r="H147">
            <v>45292</v>
          </cell>
          <cell r="I147" t="str">
            <v>6377 - Order Processing Expenses (New)</v>
          </cell>
          <cell r="J147" t="str">
            <v>Wholesale</v>
          </cell>
          <cell r="K147" t="str">
            <v>Wholesale</v>
          </cell>
          <cell r="L147" t="str">
            <v>Order Processing</v>
          </cell>
          <cell r="N147" t="str">
            <v>Direct Costs</v>
          </cell>
          <cell r="O147" t="str">
            <v>Bergen Logistics Corporation</v>
          </cell>
        </row>
        <row r="148">
          <cell r="D148">
            <v>6745</v>
          </cell>
          <cell r="H148">
            <v>45292</v>
          </cell>
          <cell r="I148" t="str">
            <v>6360 - Model - Fitting</v>
          </cell>
          <cell r="J148">
            <v>0</v>
          </cell>
          <cell r="K148" t="str">
            <v>Production</v>
          </cell>
          <cell r="L148" t="str">
            <v>Sample</v>
          </cell>
          <cell r="N148" t="str">
            <v>SG&amp;A</v>
          </cell>
          <cell r="O148" t="str">
            <v>LENFLASH dot COM</v>
          </cell>
        </row>
        <row r="149">
          <cell r="D149">
            <v>719.8</v>
          </cell>
          <cell r="H149">
            <v>45292</v>
          </cell>
          <cell r="I149" t="str">
            <v>6410 - Lease Expense</v>
          </cell>
          <cell r="J149">
            <v>0</v>
          </cell>
          <cell r="K149" t="str">
            <v>Administration</v>
          </cell>
          <cell r="L149" t="str">
            <v>Rent</v>
          </cell>
          <cell r="N149" t="str">
            <v>SG&amp;A</v>
          </cell>
          <cell r="O149" t="str">
            <v>Canon Financial Services, Inc.</v>
          </cell>
        </row>
        <row r="150">
          <cell r="D150">
            <v>38337.760000000002</v>
          </cell>
          <cell r="H150">
            <v>45292</v>
          </cell>
          <cell r="I150" t="str">
            <v>6375 - Freight Expenses</v>
          </cell>
          <cell r="J150" t="str">
            <v>Ecommerce (US)</v>
          </cell>
          <cell r="K150" t="str">
            <v>Ecommerce</v>
          </cell>
          <cell r="L150" t="str">
            <v>Freight</v>
          </cell>
          <cell r="N150" t="str">
            <v>Direct Costs</v>
          </cell>
          <cell r="O150" t="str">
            <v>Bergen Logistics Corporation</v>
          </cell>
        </row>
        <row r="151">
          <cell r="D151">
            <v>6781.3</v>
          </cell>
          <cell r="H151">
            <v>45292</v>
          </cell>
          <cell r="I151" t="str">
            <v>6375 - Freight Expenses</v>
          </cell>
          <cell r="J151" t="str">
            <v>Ecommerce (EU)</v>
          </cell>
          <cell r="K151" t="str">
            <v>Ecommerce</v>
          </cell>
          <cell r="L151" t="str">
            <v>Freight</v>
          </cell>
          <cell r="N151" t="str">
            <v>Direct Costs</v>
          </cell>
          <cell r="O151" t="str">
            <v>Global E</v>
          </cell>
        </row>
        <row r="152">
          <cell r="D152">
            <v>3656.08</v>
          </cell>
          <cell r="H152">
            <v>45292</v>
          </cell>
          <cell r="I152" t="str">
            <v>6450 - Bank &amp; Other Fees</v>
          </cell>
          <cell r="J152" t="str">
            <v>Ecommerce (EU)</v>
          </cell>
          <cell r="K152" t="str">
            <v>Ecommerce</v>
          </cell>
          <cell r="L152" t="str">
            <v>Professional Service</v>
          </cell>
          <cell r="N152" t="str">
            <v>Direct Costs</v>
          </cell>
          <cell r="O152" t="str">
            <v>[No Vendor]</v>
          </cell>
        </row>
        <row r="153">
          <cell r="D153">
            <v>28</v>
          </cell>
          <cell r="H153">
            <v>45292</v>
          </cell>
          <cell r="I153" t="str">
            <v>6040 - Employer Paid Benefits</v>
          </cell>
          <cell r="J153">
            <v>0</v>
          </cell>
          <cell r="K153" t="str">
            <v>Design</v>
          </cell>
          <cell r="L153" t="str">
            <v>HQ Salaries</v>
          </cell>
          <cell r="N153" t="str">
            <v>SG&amp;A</v>
          </cell>
          <cell r="O153" t="str">
            <v>Procyon Benefits LLC</v>
          </cell>
        </row>
        <row r="154">
          <cell r="D154">
            <v>421.25</v>
          </cell>
          <cell r="H154">
            <v>45292</v>
          </cell>
          <cell r="I154" t="str">
            <v>6040 - Employer Paid Benefits</v>
          </cell>
          <cell r="J154">
            <v>0</v>
          </cell>
          <cell r="K154" t="str">
            <v>Production</v>
          </cell>
          <cell r="L154" t="str">
            <v>HQ Salaries</v>
          </cell>
          <cell r="N154" t="str">
            <v>SG&amp;A</v>
          </cell>
          <cell r="O154" t="str">
            <v>Procyon Benefits LLC</v>
          </cell>
        </row>
        <row r="155">
          <cell r="D155">
            <v>115.7</v>
          </cell>
          <cell r="H155">
            <v>45292</v>
          </cell>
          <cell r="I155" t="str">
            <v>6040 - Employer Paid Benefits</v>
          </cell>
          <cell r="J155">
            <v>0</v>
          </cell>
          <cell r="K155" t="str">
            <v>Executive</v>
          </cell>
          <cell r="L155" t="str">
            <v>HQ Salaries</v>
          </cell>
          <cell r="N155" t="str">
            <v>SG&amp;A</v>
          </cell>
          <cell r="O155" t="str">
            <v>Procyon Benefits LLC</v>
          </cell>
        </row>
        <row r="156">
          <cell r="D156">
            <v>29</v>
          </cell>
          <cell r="H156">
            <v>45292</v>
          </cell>
          <cell r="I156" t="str">
            <v>6040 - Employer Paid Benefits</v>
          </cell>
          <cell r="J156">
            <v>0</v>
          </cell>
          <cell r="K156" t="str">
            <v>Merchandising</v>
          </cell>
          <cell r="L156" t="str">
            <v>HQ Salaries</v>
          </cell>
          <cell r="N156" t="str">
            <v>SG&amp;A</v>
          </cell>
          <cell r="O156" t="str">
            <v>Procyon Benefits LLC</v>
          </cell>
        </row>
        <row r="157">
          <cell r="D157">
            <v>112.02</v>
          </cell>
          <cell r="H157">
            <v>45292</v>
          </cell>
          <cell r="I157" t="str">
            <v>6375 - Freight Expenses</v>
          </cell>
          <cell r="J157">
            <v>0</v>
          </cell>
          <cell r="K157" t="str">
            <v>Production</v>
          </cell>
          <cell r="L157" t="str">
            <v>Freight</v>
          </cell>
          <cell r="N157" t="str">
            <v>Direct Costs</v>
          </cell>
          <cell r="O157" t="str">
            <v>DHL Express - USA</v>
          </cell>
        </row>
        <row r="158">
          <cell r="D158">
            <v>600</v>
          </cell>
          <cell r="H158">
            <v>45292</v>
          </cell>
          <cell r="I158" t="str">
            <v>6288 - Model</v>
          </cell>
          <cell r="J158" t="str">
            <v>Ecommerce (US)</v>
          </cell>
          <cell r="K158" t="str">
            <v>Brand Marketing</v>
          </cell>
          <cell r="L158" t="str">
            <v>Advertising</v>
          </cell>
          <cell r="N158" t="str">
            <v>SG&amp;A</v>
          </cell>
          <cell r="O158" t="str">
            <v>State Artist Management</v>
          </cell>
        </row>
        <row r="159">
          <cell r="D159">
            <v>682.13</v>
          </cell>
          <cell r="H159">
            <v>45292</v>
          </cell>
          <cell r="I159" t="str">
            <v>6375 - Freight Expenses</v>
          </cell>
          <cell r="J159">
            <v>0</v>
          </cell>
          <cell r="K159" t="str">
            <v>Production</v>
          </cell>
          <cell r="L159" t="str">
            <v>Freight</v>
          </cell>
          <cell r="N159" t="str">
            <v>Direct Costs</v>
          </cell>
          <cell r="O159" t="str">
            <v>DHL Express - USA</v>
          </cell>
        </row>
        <row r="160">
          <cell r="D160">
            <v>4823.26</v>
          </cell>
          <cell r="H160">
            <v>45292</v>
          </cell>
          <cell r="I160" t="str">
            <v>6210 - Monitoring</v>
          </cell>
          <cell r="J160" t="str">
            <v>Ecommerce (EU)</v>
          </cell>
          <cell r="K160" t="str">
            <v>Ecommerce</v>
          </cell>
          <cell r="L160" t="str">
            <v>Professional Service</v>
          </cell>
          <cell r="N160" t="str">
            <v>Direct Costs</v>
          </cell>
          <cell r="O160" t="str">
            <v>Convey SRL</v>
          </cell>
        </row>
        <row r="161">
          <cell r="D161">
            <v>1926.43</v>
          </cell>
          <cell r="H161">
            <v>45292</v>
          </cell>
          <cell r="I161" t="str">
            <v>6430 - Dues &amp; Memberships</v>
          </cell>
          <cell r="J161" t="str">
            <v>Ecommerce (US)</v>
          </cell>
          <cell r="K161" t="str">
            <v>Ecommerce</v>
          </cell>
          <cell r="L161" t="str">
            <v>Professional Service</v>
          </cell>
          <cell r="N161" t="str">
            <v>Direct Costs</v>
          </cell>
          <cell r="O161" t="str">
            <v>Loop</v>
          </cell>
        </row>
        <row r="162">
          <cell r="D162">
            <v>1312.24</v>
          </cell>
          <cell r="H162">
            <v>45292</v>
          </cell>
          <cell r="I162" t="str">
            <v>8505 - Realized Gain/Loss</v>
          </cell>
          <cell r="J162">
            <v>0</v>
          </cell>
          <cell r="K162" t="str">
            <v>No Department</v>
          </cell>
          <cell r="L162" t="str">
            <v>Realized Gain / Loss</v>
          </cell>
          <cell r="N162" t="str">
            <v>BTL</v>
          </cell>
          <cell r="O162" t="str">
            <v>[No Vendor]</v>
          </cell>
        </row>
        <row r="163">
          <cell r="D163">
            <v>218.39</v>
          </cell>
          <cell r="H163">
            <v>45292</v>
          </cell>
          <cell r="I163" t="str">
            <v>6300 - Payroll Service Fees</v>
          </cell>
          <cell r="J163">
            <v>0</v>
          </cell>
          <cell r="K163" t="str">
            <v>Administration</v>
          </cell>
          <cell r="L163" t="str">
            <v>Professional Service</v>
          </cell>
          <cell r="N163" t="str">
            <v>SG&amp;A</v>
          </cell>
          <cell r="O163" t="str">
            <v>ADP Payroll Services</v>
          </cell>
        </row>
        <row r="164">
          <cell r="D164">
            <v>939.06</v>
          </cell>
          <cell r="H164">
            <v>45292</v>
          </cell>
          <cell r="I164" t="str">
            <v>6300 - Payroll Service Fees</v>
          </cell>
          <cell r="J164">
            <v>0</v>
          </cell>
          <cell r="K164" t="str">
            <v>Administration</v>
          </cell>
          <cell r="L164" t="str">
            <v>Professional Service</v>
          </cell>
          <cell r="N164" t="str">
            <v>SG&amp;A</v>
          </cell>
          <cell r="O164" t="str">
            <v>ADP Payroll Services</v>
          </cell>
        </row>
        <row r="165">
          <cell r="D165">
            <v>16.45</v>
          </cell>
          <cell r="H165">
            <v>45292</v>
          </cell>
          <cell r="I165" t="str">
            <v>6375 - Freight Expenses</v>
          </cell>
          <cell r="J165" t="str">
            <v>Ecommerce (US)</v>
          </cell>
          <cell r="K165" t="str">
            <v>Ecommerce</v>
          </cell>
          <cell r="L165" t="str">
            <v>Freight</v>
          </cell>
          <cell r="N165" t="str">
            <v>Direct Costs</v>
          </cell>
          <cell r="O165" t="str">
            <v>UPS Supply Chain Solutions Inc. (7F24A0)</v>
          </cell>
        </row>
        <row r="166">
          <cell r="D166">
            <v>16.45</v>
          </cell>
          <cell r="H166">
            <v>45292</v>
          </cell>
          <cell r="I166" t="str">
            <v>6375 - Freight Expenses</v>
          </cell>
          <cell r="J166" t="str">
            <v>Wholesale</v>
          </cell>
          <cell r="K166" t="str">
            <v>Wholesale</v>
          </cell>
          <cell r="L166" t="str">
            <v>Freight</v>
          </cell>
          <cell r="N166" t="str">
            <v>Direct Costs</v>
          </cell>
          <cell r="O166" t="str">
            <v>UPS Supply Chain Solutions Inc. (7F24A0)</v>
          </cell>
        </row>
        <row r="167">
          <cell r="D167">
            <v>246.02</v>
          </cell>
          <cell r="H167">
            <v>45292</v>
          </cell>
          <cell r="I167" t="str">
            <v>6375 - Freight Expenses</v>
          </cell>
          <cell r="J167" t="str">
            <v>Ecommerce (US)</v>
          </cell>
          <cell r="K167" t="str">
            <v>Ecommerce</v>
          </cell>
          <cell r="L167" t="str">
            <v>Freight</v>
          </cell>
          <cell r="N167" t="str">
            <v>Direct Costs</v>
          </cell>
          <cell r="O167" t="str">
            <v>UPS Supply Chain Solutions Inc. (7F24A0)</v>
          </cell>
        </row>
        <row r="168">
          <cell r="D168">
            <v>55</v>
          </cell>
          <cell r="H168">
            <v>45292</v>
          </cell>
          <cell r="I168" t="str">
            <v>6040 - Employer Paid Benefits</v>
          </cell>
          <cell r="J168">
            <v>0</v>
          </cell>
          <cell r="K168" t="str">
            <v>Design</v>
          </cell>
          <cell r="L168" t="str">
            <v>HQ Salaries</v>
          </cell>
          <cell r="N168" t="str">
            <v>SG&amp;A</v>
          </cell>
          <cell r="O168" t="str">
            <v>Procyon Benefits LLC</v>
          </cell>
        </row>
        <row r="169">
          <cell r="D169">
            <v>205</v>
          </cell>
          <cell r="H169">
            <v>45292</v>
          </cell>
          <cell r="I169" t="str">
            <v>6040 - Employer Paid Benefits</v>
          </cell>
          <cell r="J169">
            <v>0</v>
          </cell>
          <cell r="K169" t="str">
            <v>Production</v>
          </cell>
          <cell r="L169" t="str">
            <v>HQ Salaries</v>
          </cell>
          <cell r="N169" t="str">
            <v>SG&amp;A</v>
          </cell>
          <cell r="O169" t="str">
            <v>Procyon Benefits LLC</v>
          </cell>
        </row>
        <row r="170">
          <cell r="D170">
            <v>11.6</v>
          </cell>
          <cell r="H170">
            <v>45292</v>
          </cell>
          <cell r="I170" t="str">
            <v>6040 - Employer Paid Benefits</v>
          </cell>
          <cell r="J170">
            <v>0</v>
          </cell>
          <cell r="K170" t="str">
            <v>Executive</v>
          </cell>
          <cell r="L170" t="str">
            <v>HQ Salaries</v>
          </cell>
          <cell r="N170" t="str">
            <v>SG&amp;A</v>
          </cell>
          <cell r="O170" t="str">
            <v>Procyon Benefits LLC</v>
          </cell>
        </row>
        <row r="171">
          <cell r="D171">
            <v>84.7</v>
          </cell>
          <cell r="H171">
            <v>45292</v>
          </cell>
          <cell r="I171" t="str">
            <v>6040 - Employer Paid Benefits</v>
          </cell>
          <cell r="J171">
            <v>0</v>
          </cell>
          <cell r="K171" t="str">
            <v>Merchandising</v>
          </cell>
          <cell r="L171" t="str">
            <v>HQ Salaries</v>
          </cell>
          <cell r="N171" t="str">
            <v>SG&amp;A</v>
          </cell>
          <cell r="O171" t="str">
            <v>Procyon Benefits LLC</v>
          </cell>
        </row>
        <row r="172">
          <cell r="D172">
            <v>4449.59</v>
          </cell>
          <cell r="H172">
            <v>45292</v>
          </cell>
          <cell r="I172" t="str">
            <v>6375 - Freight Expenses</v>
          </cell>
          <cell r="J172" t="str">
            <v>Ecommerce (EU)</v>
          </cell>
          <cell r="K172" t="str">
            <v>Ecommerce</v>
          </cell>
          <cell r="L172" t="str">
            <v>Freight</v>
          </cell>
          <cell r="N172" t="str">
            <v>Direct Costs</v>
          </cell>
          <cell r="O172" t="str">
            <v>Global E</v>
          </cell>
        </row>
        <row r="173">
          <cell r="D173">
            <v>2375.38</v>
          </cell>
          <cell r="H173">
            <v>45292</v>
          </cell>
          <cell r="I173" t="str">
            <v>6450 - Bank &amp; Other Fees</v>
          </cell>
          <cell r="J173" t="str">
            <v>Ecommerce (EU)</v>
          </cell>
          <cell r="K173" t="str">
            <v>Ecommerce</v>
          </cell>
          <cell r="L173" t="str">
            <v>Professional Service</v>
          </cell>
          <cell r="N173" t="str">
            <v>Direct Costs</v>
          </cell>
          <cell r="O173" t="str">
            <v>[No Vendor]</v>
          </cell>
        </row>
        <row r="174">
          <cell r="D174">
            <v>600</v>
          </cell>
          <cell r="H174">
            <v>45292</v>
          </cell>
          <cell r="I174" t="str">
            <v>6288 - Model</v>
          </cell>
          <cell r="J174" t="str">
            <v>Ecommerce (US)</v>
          </cell>
          <cell r="K174" t="str">
            <v>Brand Marketing</v>
          </cell>
          <cell r="L174" t="str">
            <v>Advertising</v>
          </cell>
          <cell r="N174" t="str">
            <v>SG&amp;A</v>
          </cell>
          <cell r="O174" t="str">
            <v>State Artist Management</v>
          </cell>
        </row>
        <row r="175">
          <cell r="D175">
            <v>35</v>
          </cell>
          <cell r="H175">
            <v>45292</v>
          </cell>
          <cell r="I175" t="str">
            <v>6450 - Bank &amp; Other Fees</v>
          </cell>
          <cell r="J175">
            <v>0</v>
          </cell>
          <cell r="K175" t="str">
            <v>Licensing</v>
          </cell>
          <cell r="L175" t="str">
            <v>Professional Service</v>
          </cell>
          <cell r="N175" t="str">
            <v>SG&amp;A</v>
          </cell>
          <cell r="O175" t="str">
            <v>ESSA GRUP DIS TIC LTD STI</v>
          </cell>
        </row>
        <row r="176">
          <cell r="D176">
            <v>493.31</v>
          </cell>
          <cell r="H176">
            <v>45292</v>
          </cell>
          <cell r="I176" t="str">
            <v>6375 - Freight Expenses</v>
          </cell>
          <cell r="J176">
            <v>0</v>
          </cell>
          <cell r="K176" t="str">
            <v>Production</v>
          </cell>
          <cell r="L176" t="str">
            <v>Freight</v>
          </cell>
          <cell r="N176" t="str">
            <v>Direct Costs</v>
          </cell>
          <cell r="O176" t="str">
            <v>DHL Express - USA</v>
          </cell>
        </row>
        <row r="177">
          <cell r="D177">
            <v>847.42</v>
          </cell>
          <cell r="H177">
            <v>45292</v>
          </cell>
          <cell r="I177" t="str">
            <v>6430 - Dues &amp; Memberships</v>
          </cell>
          <cell r="J177" t="str">
            <v>Wholesale</v>
          </cell>
          <cell r="K177" t="str">
            <v>Wholesale</v>
          </cell>
          <cell r="L177" t="str">
            <v>Professional Service</v>
          </cell>
          <cell r="N177" t="str">
            <v>Direct Costs</v>
          </cell>
          <cell r="O177" t="str">
            <v>SPS Commerce</v>
          </cell>
        </row>
        <row r="178">
          <cell r="D178">
            <v>1900</v>
          </cell>
          <cell r="H178">
            <v>45292</v>
          </cell>
          <cell r="I178" t="str">
            <v>6300 - Payroll Service Fees</v>
          </cell>
          <cell r="J178">
            <v>0</v>
          </cell>
          <cell r="K178" t="str">
            <v>Administration</v>
          </cell>
          <cell r="L178" t="str">
            <v>Professional Service</v>
          </cell>
          <cell r="N178" t="str">
            <v>SG&amp;A</v>
          </cell>
          <cell r="O178" t="str">
            <v>OperationsInc, LLC</v>
          </cell>
        </row>
        <row r="179">
          <cell r="D179">
            <v>120</v>
          </cell>
          <cell r="H179">
            <v>45292</v>
          </cell>
          <cell r="I179" t="str">
            <v>6225 - Professional Services</v>
          </cell>
          <cell r="J179">
            <v>0</v>
          </cell>
          <cell r="K179" t="str">
            <v>Administration</v>
          </cell>
          <cell r="L179" t="str">
            <v>Professional Service</v>
          </cell>
          <cell r="N179" t="str">
            <v>Direct Costs</v>
          </cell>
          <cell r="O179" t="str">
            <v>OperationsInc, LLC</v>
          </cell>
        </row>
        <row r="180">
          <cell r="D180">
            <v>67.55</v>
          </cell>
          <cell r="H180">
            <v>45292</v>
          </cell>
          <cell r="I180" t="str">
            <v>6450 - Bank &amp; Other Fees</v>
          </cell>
          <cell r="J180" t="str">
            <v>Ecommerce (US)</v>
          </cell>
          <cell r="K180" t="str">
            <v>Ecommerce</v>
          </cell>
          <cell r="L180" t="str">
            <v>Professional Service</v>
          </cell>
          <cell r="N180" t="str">
            <v>Direct Costs</v>
          </cell>
          <cell r="O180" t="str">
            <v>[No Vendor]</v>
          </cell>
        </row>
        <row r="181">
          <cell r="D181">
            <v>195.29</v>
          </cell>
          <cell r="H181">
            <v>45292</v>
          </cell>
          <cell r="I181" t="str">
            <v>6385 - Insurance</v>
          </cell>
          <cell r="J181">
            <v>0</v>
          </cell>
          <cell r="K181" t="str">
            <v>Administration</v>
          </cell>
          <cell r="L181" t="str">
            <v>Professional Service</v>
          </cell>
          <cell r="N181" t="str">
            <v>SG&amp;A</v>
          </cell>
          <cell r="O181" t="str">
            <v>[No Vendor]</v>
          </cell>
        </row>
        <row r="182">
          <cell r="D182">
            <v>484.02</v>
          </cell>
          <cell r="H182">
            <v>45292</v>
          </cell>
          <cell r="I182" t="str">
            <v>6300 - Payroll Service Fees</v>
          </cell>
          <cell r="J182">
            <v>0</v>
          </cell>
          <cell r="K182" t="str">
            <v>Administration</v>
          </cell>
          <cell r="L182" t="str">
            <v>Professional Service</v>
          </cell>
          <cell r="N182" t="str">
            <v>SG&amp;A</v>
          </cell>
          <cell r="O182" t="str">
            <v>ADP Payroll Services</v>
          </cell>
        </row>
        <row r="183">
          <cell r="D183">
            <v>13691.75</v>
          </cell>
          <cell r="H183">
            <v>45292</v>
          </cell>
          <cell r="I183" t="str">
            <v>6005 - Salaries</v>
          </cell>
          <cell r="J183">
            <v>0</v>
          </cell>
          <cell r="K183" t="str">
            <v>Merchandising</v>
          </cell>
          <cell r="L183" t="str">
            <v>HQ Salaries</v>
          </cell>
          <cell r="N183" t="str">
            <v>SG&amp;A</v>
          </cell>
          <cell r="O183" t="str">
            <v>[No Vendor]</v>
          </cell>
        </row>
        <row r="184">
          <cell r="D184">
            <v>0</v>
          </cell>
          <cell r="H184">
            <v>45292</v>
          </cell>
          <cell r="I184" t="str">
            <v>6205 - Contractors</v>
          </cell>
          <cell r="J184">
            <v>0</v>
          </cell>
          <cell r="K184" t="str">
            <v>Brand Marketing</v>
          </cell>
          <cell r="L184" t="str">
            <v>HQ Salaries</v>
          </cell>
          <cell r="N184" t="str">
            <v>SG&amp;A</v>
          </cell>
          <cell r="O184" t="str">
            <v>[No Vendor]</v>
          </cell>
        </row>
        <row r="185">
          <cell r="D185">
            <v>11453.4</v>
          </cell>
          <cell r="H185">
            <v>45292</v>
          </cell>
          <cell r="I185" t="str">
            <v>6205 - Contractors</v>
          </cell>
          <cell r="J185" t="str">
            <v>Ecommerce (US)</v>
          </cell>
          <cell r="K185" t="str">
            <v>Ecommerce</v>
          </cell>
          <cell r="L185" t="str">
            <v>HQ Salaries</v>
          </cell>
          <cell r="N185" t="str">
            <v>SG&amp;A</v>
          </cell>
          <cell r="O185" t="str">
            <v>[No Vendor]</v>
          </cell>
        </row>
        <row r="186">
          <cell r="D186">
            <v>-40.909999999999997</v>
          </cell>
          <cell r="H186">
            <v>45292</v>
          </cell>
          <cell r="I186" t="str">
            <v>6385 - Insurance</v>
          </cell>
          <cell r="J186">
            <v>0</v>
          </cell>
          <cell r="K186" t="str">
            <v>Administration</v>
          </cell>
          <cell r="L186" t="str">
            <v>Professional Service</v>
          </cell>
          <cell r="N186" t="str">
            <v>SG&amp;A</v>
          </cell>
          <cell r="O186" t="str">
            <v>[No Vendor]</v>
          </cell>
        </row>
        <row r="187">
          <cell r="D187">
            <v>-77.16</v>
          </cell>
          <cell r="H187">
            <v>45292</v>
          </cell>
          <cell r="I187" t="str">
            <v>6385 - Insurance</v>
          </cell>
          <cell r="J187">
            <v>0</v>
          </cell>
          <cell r="K187" t="str">
            <v>Administration</v>
          </cell>
          <cell r="L187" t="str">
            <v>Professional Service</v>
          </cell>
          <cell r="N187" t="str">
            <v>SG&amp;A</v>
          </cell>
          <cell r="O187" t="str">
            <v>[No Vendor]</v>
          </cell>
        </row>
        <row r="188">
          <cell r="D188">
            <v>-20.34</v>
          </cell>
          <cell r="H188">
            <v>45292</v>
          </cell>
          <cell r="I188" t="str">
            <v>6385 - Insurance</v>
          </cell>
          <cell r="J188">
            <v>0</v>
          </cell>
          <cell r="K188" t="str">
            <v>Administration</v>
          </cell>
          <cell r="L188" t="str">
            <v>Professional Service</v>
          </cell>
          <cell r="N188" t="str">
            <v>SG&amp;A</v>
          </cell>
          <cell r="O188" t="str">
            <v>[No Vendor]</v>
          </cell>
        </row>
        <row r="189">
          <cell r="D189">
            <v>-36.909999999999997</v>
          </cell>
          <cell r="H189">
            <v>45292</v>
          </cell>
          <cell r="I189" t="str">
            <v>6385 - Insurance</v>
          </cell>
          <cell r="J189">
            <v>0</v>
          </cell>
          <cell r="K189" t="str">
            <v>Administration</v>
          </cell>
          <cell r="L189" t="str">
            <v>Professional Service</v>
          </cell>
          <cell r="N189" t="str">
            <v>SG&amp;A</v>
          </cell>
          <cell r="O189" t="str">
            <v>[No Vendor]</v>
          </cell>
        </row>
        <row r="190">
          <cell r="D190">
            <v>-80.39</v>
          </cell>
          <cell r="H190">
            <v>45292</v>
          </cell>
          <cell r="I190" t="str">
            <v>6385 - Insurance</v>
          </cell>
          <cell r="J190">
            <v>0</v>
          </cell>
          <cell r="K190" t="str">
            <v>Administration</v>
          </cell>
          <cell r="L190" t="str">
            <v>Professional Service</v>
          </cell>
          <cell r="N190" t="str">
            <v>SG&amp;A</v>
          </cell>
          <cell r="O190" t="str">
            <v>[No Vendor]</v>
          </cell>
        </row>
        <row r="191">
          <cell r="D191">
            <v>-38.75</v>
          </cell>
          <cell r="H191">
            <v>45292</v>
          </cell>
          <cell r="I191" t="str">
            <v>6385 - Insurance</v>
          </cell>
          <cell r="J191">
            <v>0</v>
          </cell>
          <cell r="K191" t="str">
            <v>Administration</v>
          </cell>
          <cell r="L191" t="str">
            <v>Professional Service</v>
          </cell>
          <cell r="N191" t="str">
            <v>SG&amp;A</v>
          </cell>
          <cell r="O191" t="str">
            <v>[No Vendor]</v>
          </cell>
        </row>
        <row r="192">
          <cell r="D192">
            <v>-54.67</v>
          </cell>
          <cell r="H192">
            <v>45292</v>
          </cell>
          <cell r="I192" t="str">
            <v>6385 - Insurance</v>
          </cell>
          <cell r="J192">
            <v>0</v>
          </cell>
          <cell r="K192" t="str">
            <v>Administration</v>
          </cell>
          <cell r="L192" t="str">
            <v>Professional Service</v>
          </cell>
          <cell r="N192" t="str">
            <v>SG&amp;A</v>
          </cell>
          <cell r="O192" t="str">
            <v>[No Vendor]</v>
          </cell>
        </row>
        <row r="193">
          <cell r="D193">
            <v>2735.59</v>
          </cell>
          <cell r="H193">
            <v>45292</v>
          </cell>
          <cell r="I193" t="str">
            <v>6055 - Employer Social Security Tax Withheld</v>
          </cell>
          <cell r="J193">
            <v>0</v>
          </cell>
          <cell r="K193" t="str">
            <v>Production</v>
          </cell>
          <cell r="L193" t="str">
            <v>HQ Salaries</v>
          </cell>
          <cell r="N193" t="str">
            <v>SG&amp;A</v>
          </cell>
          <cell r="O193" t="str">
            <v>[No Vendor]</v>
          </cell>
        </row>
        <row r="194">
          <cell r="D194">
            <v>713.71</v>
          </cell>
          <cell r="H194">
            <v>45292</v>
          </cell>
          <cell r="I194" t="str">
            <v>6055 - Employer Social Security Tax Withheld</v>
          </cell>
          <cell r="J194">
            <v>0</v>
          </cell>
          <cell r="K194" t="str">
            <v>Brand Marketing</v>
          </cell>
          <cell r="L194" t="str">
            <v>HQ Salaries</v>
          </cell>
          <cell r="N194" t="str">
            <v>SG&amp;A</v>
          </cell>
          <cell r="O194" t="str">
            <v>[No Vendor]</v>
          </cell>
        </row>
        <row r="195">
          <cell r="D195">
            <v>2502.2600000000002</v>
          </cell>
          <cell r="H195">
            <v>45292</v>
          </cell>
          <cell r="I195" t="str">
            <v>6055 - Employer Social Security Tax Withheld</v>
          </cell>
          <cell r="J195" t="str">
            <v>Ecommerce (US)</v>
          </cell>
          <cell r="K195" t="str">
            <v>Ecommerce</v>
          </cell>
          <cell r="L195" t="str">
            <v>HQ Salaries</v>
          </cell>
          <cell r="N195" t="str">
            <v>SG&amp;A</v>
          </cell>
          <cell r="O195" t="str">
            <v>[No Vendor]</v>
          </cell>
        </row>
        <row r="196">
          <cell r="D196">
            <v>2860.68</v>
          </cell>
          <cell r="H196">
            <v>45292</v>
          </cell>
          <cell r="I196" t="str">
            <v>6055 - Employer Social Security Tax Withheld</v>
          </cell>
          <cell r="J196">
            <v>0</v>
          </cell>
          <cell r="K196" t="str">
            <v>Design</v>
          </cell>
          <cell r="L196" t="str">
            <v>HQ Salaries</v>
          </cell>
          <cell r="N196" t="str">
            <v>SG&amp;A</v>
          </cell>
          <cell r="O196" t="str">
            <v>[No Vendor]</v>
          </cell>
        </row>
        <row r="197">
          <cell r="D197">
            <v>2890.56</v>
          </cell>
          <cell r="H197">
            <v>45292</v>
          </cell>
          <cell r="I197" t="str">
            <v>6055 - Employer Social Security Tax Withheld</v>
          </cell>
          <cell r="J197">
            <v>0</v>
          </cell>
          <cell r="K197" t="str">
            <v>Administration</v>
          </cell>
          <cell r="L197" t="str">
            <v>HQ Salaries</v>
          </cell>
          <cell r="N197" t="str">
            <v>SG&amp;A</v>
          </cell>
          <cell r="O197" t="str">
            <v>[No Vendor]</v>
          </cell>
        </row>
        <row r="198">
          <cell r="D198">
            <v>1549.16</v>
          </cell>
          <cell r="H198">
            <v>45292</v>
          </cell>
          <cell r="I198" t="str">
            <v>6055 - Employer Social Security Tax Withheld</v>
          </cell>
          <cell r="J198">
            <v>0</v>
          </cell>
          <cell r="K198" t="str">
            <v>Merchandising</v>
          </cell>
          <cell r="L198" t="str">
            <v>HQ Salaries</v>
          </cell>
          <cell r="N198" t="str">
            <v>SG&amp;A</v>
          </cell>
          <cell r="O198" t="str">
            <v>[No Vendor]</v>
          </cell>
        </row>
        <row r="199">
          <cell r="D199">
            <v>1402.22</v>
          </cell>
          <cell r="H199">
            <v>45292</v>
          </cell>
          <cell r="I199" t="str">
            <v>6055 - Employer Social Security Tax Withheld</v>
          </cell>
          <cell r="J199" t="str">
            <v>Wholesale</v>
          </cell>
          <cell r="K199" t="str">
            <v>Wholesale</v>
          </cell>
          <cell r="L199" t="str">
            <v>HQ Salaries</v>
          </cell>
          <cell r="N199" t="str">
            <v>SG&amp;A</v>
          </cell>
          <cell r="O199" t="str">
            <v>[No Vendor]</v>
          </cell>
        </row>
        <row r="200">
          <cell r="D200">
            <v>-331.57</v>
          </cell>
          <cell r="H200">
            <v>45292</v>
          </cell>
          <cell r="I200" t="str">
            <v>6040 - Employer Paid Benefits</v>
          </cell>
          <cell r="J200">
            <v>0</v>
          </cell>
          <cell r="K200" t="str">
            <v>Production</v>
          </cell>
          <cell r="L200" t="str">
            <v>HQ Salaries</v>
          </cell>
          <cell r="N200" t="str">
            <v>SG&amp;A</v>
          </cell>
          <cell r="O200" t="str">
            <v>[No Vendor]</v>
          </cell>
        </row>
        <row r="201">
          <cell r="D201">
            <v>-20</v>
          </cell>
          <cell r="H201">
            <v>45292</v>
          </cell>
          <cell r="I201" t="str">
            <v>6040 - Employer Paid Benefits</v>
          </cell>
          <cell r="J201">
            <v>0</v>
          </cell>
          <cell r="K201" t="str">
            <v>Brand Marketing</v>
          </cell>
          <cell r="L201" t="str">
            <v>HQ Salaries</v>
          </cell>
          <cell r="N201" t="str">
            <v>SG&amp;A</v>
          </cell>
          <cell r="O201" t="str">
            <v>[No Vendor]</v>
          </cell>
        </row>
        <row r="202">
          <cell r="D202">
            <v>-162.5</v>
          </cell>
          <cell r="H202">
            <v>45292</v>
          </cell>
          <cell r="I202" t="str">
            <v>6040 - Employer Paid Benefits</v>
          </cell>
          <cell r="J202" t="str">
            <v>Ecommerce (US)</v>
          </cell>
          <cell r="K202" t="str">
            <v>Ecommerce</v>
          </cell>
          <cell r="L202" t="str">
            <v>HQ Salaries</v>
          </cell>
          <cell r="N202" t="str">
            <v>SG&amp;A</v>
          </cell>
          <cell r="O202" t="str">
            <v>[No Vendor]</v>
          </cell>
        </row>
        <row r="203">
          <cell r="D203">
            <v>-202.26</v>
          </cell>
          <cell r="H203">
            <v>45292</v>
          </cell>
          <cell r="I203" t="str">
            <v>6040 - Employer Paid Benefits</v>
          </cell>
          <cell r="J203">
            <v>0</v>
          </cell>
          <cell r="K203" t="str">
            <v>Design</v>
          </cell>
          <cell r="L203" t="str">
            <v>HQ Salaries</v>
          </cell>
          <cell r="N203" t="str">
            <v>SG&amp;A</v>
          </cell>
          <cell r="O203" t="str">
            <v>[No Vendor]</v>
          </cell>
        </row>
        <row r="204">
          <cell r="D204">
            <v>-125</v>
          </cell>
          <cell r="H204">
            <v>45292</v>
          </cell>
          <cell r="I204" t="str">
            <v>6040 - Employer Paid Benefits</v>
          </cell>
          <cell r="J204">
            <v>0</v>
          </cell>
          <cell r="K204" t="str">
            <v>Administration</v>
          </cell>
          <cell r="L204" t="str">
            <v>HQ Salaries</v>
          </cell>
          <cell r="N204" t="str">
            <v>SG&amp;A</v>
          </cell>
          <cell r="O204" t="str">
            <v>[No Vendor]</v>
          </cell>
        </row>
        <row r="205">
          <cell r="D205">
            <v>-52.5</v>
          </cell>
          <cell r="H205">
            <v>45292</v>
          </cell>
          <cell r="I205" t="str">
            <v>6040 - Employer Paid Benefits</v>
          </cell>
          <cell r="J205">
            <v>0</v>
          </cell>
          <cell r="K205" t="str">
            <v>Merchandising</v>
          </cell>
          <cell r="L205" t="str">
            <v>HQ Salaries</v>
          </cell>
          <cell r="N205" t="str">
            <v>SG&amp;A</v>
          </cell>
          <cell r="O205" t="str">
            <v>[No Vendor]</v>
          </cell>
        </row>
        <row r="206">
          <cell r="D206">
            <v>-132.15</v>
          </cell>
          <cell r="H206">
            <v>45292</v>
          </cell>
          <cell r="I206" t="str">
            <v>6040 - Employer Paid Benefits</v>
          </cell>
          <cell r="J206" t="str">
            <v>Wholesale</v>
          </cell>
          <cell r="K206" t="str">
            <v>Wholesale</v>
          </cell>
          <cell r="L206" t="str">
            <v>HQ Salaries</v>
          </cell>
          <cell r="N206" t="str">
            <v>SG&amp;A</v>
          </cell>
          <cell r="O206" t="str">
            <v>[No Vendor]</v>
          </cell>
        </row>
        <row r="207">
          <cell r="D207">
            <v>10001.1</v>
          </cell>
          <cell r="H207">
            <v>45292</v>
          </cell>
          <cell r="I207" t="str">
            <v>6005 - Salaries</v>
          </cell>
          <cell r="J207" t="str">
            <v>Wholesale</v>
          </cell>
          <cell r="K207" t="str">
            <v>Wholesale</v>
          </cell>
          <cell r="L207" t="str">
            <v>HQ Salaries</v>
          </cell>
          <cell r="N207" t="str">
            <v>SG&amp;A</v>
          </cell>
          <cell r="O207" t="str">
            <v>[No Vendor]</v>
          </cell>
        </row>
        <row r="208">
          <cell r="D208">
            <v>19400.02</v>
          </cell>
          <cell r="H208">
            <v>45292</v>
          </cell>
          <cell r="I208" t="str">
            <v>6005 - Salaries</v>
          </cell>
          <cell r="J208">
            <v>0</v>
          </cell>
          <cell r="K208" t="str">
            <v>Production</v>
          </cell>
          <cell r="L208" t="str">
            <v>HQ Salaries</v>
          </cell>
          <cell r="N208" t="str">
            <v>SG&amp;A</v>
          </cell>
          <cell r="O208" t="str">
            <v>[No Vendor]</v>
          </cell>
        </row>
        <row r="209">
          <cell r="D209">
            <v>4807.7</v>
          </cell>
          <cell r="H209">
            <v>45292</v>
          </cell>
          <cell r="I209" t="str">
            <v>6005 - Salaries</v>
          </cell>
          <cell r="J209">
            <v>0</v>
          </cell>
          <cell r="K209" t="str">
            <v>Brand Marketing</v>
          </cell>
          <cell r="L209" t="str">
            <v>HQ Salaries</v>
          </cell>
          <cell r="N209" t="str">
            <v>SG&amp;A</v>
          </cell>
          <cell r="O209" t="str">
            <v>[No Vendor]</v>
          </cell>
        </row>
        <row r="210">
          <cell r="D210">
            <v>18546.169999999998</v>
          </cell>
          <cell r="H210">
            <v>45292</v>
          </cell>
          <cell r="I210" t="str">
            <v>6005 - Salaries</v>
          </cell>
          <cell r="J210" t="str">
            <v>Ecommerce (US)</v>
          </cell>
          <cell r="K210" t="str">
            <v>Ecommerce</v>
          </cell>
          <cell r="L210" t="str">
            <v>HQ Salaries</v>
          </cell>
          <cell r="N210" t="str">
            <v>SG&amp;A</v>
          </cell>
          <cell r="O210" t="str">
            <v>[No Vendor]</v>
          </cell>
        </row>
        <row r="211">
          <cell r="D211">
            <v>19655.54</v>
          </cell>
          <cell r="H211">
            <v>45292</v>
          </cell>
          <cell r="I211" t="str">
            <v>6005 - Salaries</v>
          </cell>
          <cell r="J211">
            <v>0</v>
          </cell>
          <cell r="K211" t="str">
            <v>Design</v>
          </cell>
          <cell r="L211" t="str">
            <v>HQ Salaries</v>
          </cell>
          <cell r="N211" t="str">
            <v>SG&amp;A</v>
          </cell>
          <cell r="O211" t="str">
            <v>[No Vendor]</v>
          </cell>
        </row>
        <row r="212">
          <cell r="D212">
            <v>24622.3</v>
          </cell>
          <cell r="H212">
            <v>45292</v>
          </cell>
          <cell r="I212" t="str">
            <v>6005 - Salaries</v>
          </cell>
          <cell r="J212">
            <v>0</v>
          </cell>
          <cell r="K212" t="str">
            <v>Administration</v>
          </cell>
          <cell r="L212" t="str">
            <v>HQ Salaries</v>
          </cell>
          <cell r="N212" t="str">
            <v>SG&amp;A</v>
          </cell>
          <cell r="O212" t="str">
            <v>[No Vendor]</v>
          </cell>
        </row>
        <row r="213">
          <cell r="D213">
            <v>18900.95</v>
          </cell>
          <cell r="H213">
            <v>45292</v>
          </cell>
          <cell r="I213" t="str">
            <v>6375 - Freight Expenses</v>
          </cell>
          <cell r="J213" t="str">
            <v>Ecommerce (US)</v>
          </cell>
          <cell r="K213" t="str">
            <v>Ecommerce</v>
          </cell>
          <cell r="L213" t="str">
            <v>Freight</v>
          </cell>
          <cell r="N213" t="str">
            <v>Direct Costs</v>
          </cell>
          <cell r="O213" t="str">
            <v>UPS Supply Chain Solutions Inc. (7F24A0)</v>
          </cell>
        </row>
        <row r="214">
          <cell r="D214">
            <v>140.99</v>
          </cell>
          <cell r="H214">
            <v>45292</v>
          </cell>
          <cell r="I214" t="str">
            <v>6400 - Utilities</v>
          </cell>
          <cell r="J214">
            <v>0</v>
          </cell>
          <cell r="K214" t="str">
            <v>Administration</v>
          </cell>
          <cell r="L214" t="str">
            <v>Other</v>
          </cell>
          <cell r="N214" t="str">
            <v>SG&amp;A</v>
          </cell>
          <cell r="O214" t="str">
            <v>Verizon</v>
          </cell>
        </row>
        <row r="215">
          <cell r="D215">
            <v>242.55</v>
          </cell>
          <cell r="H215">
            <v>45292</v>
          </cell>
          <cell r="I215" t="str">
            <v>6040 - Employer Paid Benefits</v>
          </cell>
          <cell r="J215">
            <v>0</v>
          </cell>
          <cell r="K215" t="str">
            <v>Executive</v>
          </cell>
          <cell r="L215" t="str">
            <v>HQ Salaries</v>
          </cell>
          <cell r="N215" t="str">
            <v>SG&amp;A</v>
          </cell>
          <cell r="O215" t="str">
            <v>Procyon Benefits LLC</v>
          </cell>
        </row>
        <row r="216">
          <cell r="D216">
            <v>23.16</v>
          </cell>
          <cell r="H216">
            <v>45292</v>
          </cell>
          <cell r="I216" t="str">
            <v>6377 - Order Processing Expenses (New)</v>
          </cell>
          <cell r="J216" t="str">
            <v>Wholesale</v>
          </cell>
          <cell r="K216" t="str">
            <v>Wholesale</v>
          </cell>
          <cell r="L216" t="str">
            <v>Order Processing</v>
          </cell>
          <cell r="N216" t="str">
            <v>Direct Costs</v>
          </cell>
          <cell r="O216" t="str">
            <v>R-PAC International</v>
          </cell>
        </row>
        <row r="217">
          <cell r="D217">
            <v>1000</v>
          </cell>
          <cell r="H217">
            <v>45292</v>
          </cell>
          <cell r="I217" t="str">
            <v>6380 - Legal &amp; Accounting</v>
          </cell>
          <cell r="J217">
            <v>0</v>
          </cell>
          <cell r="K217" t="str">
            <v>Administration</v>
          </cell>
          <cell r="L217" t="str">
            <v>Professional Service</v>
          </cell>
          <cell r="N217" t="str">
            <v>SG&amp;A</v>
          </cell>
          <cell r="O217" t="str">
            <v>Ko &amp; Yun, LLP - Operations</v>
          </cell>
        </row>
        <row r="218">
          <cell r="D218">
            <v>500</v>
          </cell>
          <cell r="H218">
            <v>45292</v>
          </cell>
          <cell r="I218" t="str">
            <v>6380 - Legal &amp; Accounting</v>
          </cell>
          <cell r="J218">
            <v>0</v>
          </cell>
          <cell r="K218" t="str">
            <v>Administration</v>
          </cell>
          <cell r="L218" t="str">
            <v>Professional Service</v>
          </cell>
          <cell r="N218" t="str">
            <v>SG&amp;A</v>
          </cell>
          <cell r="O218" t="str">
            <v>Ko &amp; Yun, LLP - IP Holding</v>
          </cell>
        </row>
        <row r="219">
          <cell r="D219">
            <v>700</v>
          </cell>
          <cell r="H219">
            <v>45292</v>
          </cell>
          <cell r="I219" t="str">
            <v>6205 - Contractors</v>
          </cell>
          <cell r="J219">
            <v>0</v>
          </cell>
          <cell r="K219" t="str">
            <v>Brand Marketing</v>
          </cell>
          <cell r="L219" t="str">
            <v>HQ Salaries</v>
          </cell>
          <cell r="N219" t="str">
            <v>SG&amp;A</v>
          </cell>
          <cell r="O219" t="str">
            <v>Ammy  Thitichaya Chan</v>
          </cell>
        </row>
        <row r="220">
          <cell r="D220">
            <v>133</v>
          </cell>
          <cell r="H220">
            <v>45292</v>
          </cell>
          <cell r="I220" t="str">
            <v>6040 - Employer Paid Benefits</v>
          </cell>
          <cell r="J220">
            <v>0</v>
          </cell>
          <cell r="K220" t="str">
            <v>Production</v>
          </cell>
          <cell r="L220" t="str">
            <v>HQ Salaries</v>
          </cell>
          <cell r="N220" t="str">
            <v>SG&amp;A</v>
          </cell>
          <cell r="O220" t="str">
            <v>Procyon Benefits LLC</v>
          </cell>
        </row>
        <row r="221">
          <cell r="D221">
            <v>31.1</v>
          </cell>
          <cell r="H221">
            <v>45292</v>
          </cell>
          <cell r="I221" t="str">
            <v>6040 - Employer Paid Benefits</v>
          </cell>
          <cell r="J221">
            <v>0</v>
          </cell>
          <cell r="K221" t="str">
            <v>Merchandising</v>
          </cell>
          <cell r="L221" t="str">
            <v>HQ Salaries</v>
          </cell>
          <cell r="N221" t="str">
            <v>SG&amp;A</v>
          </cell>
          <cell r="O221" t="str">
            <v>Procyon Benefits LLC</v>
          </cell>
        </row>
        <row r="222">
          <cell r="D222">
            <v>1600</v>
          </cell>
          <cell r="H222">
            <v>45292</v>
          </cell>
          <cell r="I222" t="str">
            <v>6040 - Employer Paid Benefits</v>
          </cell>
          <cell r="J222" t="str">
            <v>Ecommerce (US)</v>
          </cell>
          <cell r="K222" t="str">
            <v>Ecommerce</v>
          </cell>
          <cell r="L222" t="str">
            <v>HQ Salaries</v>
          </cell>
          <cell r="N222" t="str">
            <v>SG&amp;A</v>
          </cell>
          <cell r="O222" t="str">
            <v>Procyon Benefits LLC</v>
          </cell>
        </row>
        <row r="223">
          <cell r="D223">
            <v>9286.9500000000007</v>
          </cell>
          <cell r="H223">
            <v>45292</v>
          </cell>
          <cell r="I223" t="str">
            <v>6375 - Freight Expenses</v>
          </cell>
          <cell r="J223" t="str">
            <v>Ecommerce (EU)</v>
          </cell>
          <cell r="K223" t="str">
            <v>Ecommerce</v>
          </cell>
          <cell r="L223" t="str">
            <v>Freight</v>
          </cell>
          <cell r="N223" t="str">
            <v>Direct Costs</v>
          </cell>
          <cell r="O223" t="str">
            <v>Global E</v>
          </cell>
        </row>
        <row r="224">
          <cell r="D224">
            <v>2012.44</v>
          </cell>
          <cell r="H224">
            <v>45292</v>
          </cell>
          <cell r="I224" t="str">
            <v>6450 - Bank &amp; Other Fees</v>
          </cell>
          <cell r="J224" t="str">
            <v>Ecommerce (EU)</v>
          </cell>
          <cell r="K224" t="str">
            <v>Ecommerce</v>
          </cell>
          <cell r="L224" t="str">
            <v>Professional Service</v>
          </cell>
          <cell r="N224" t="str">
            <v>Direct Costs</v>
          </cell>
          <cell r="O224" t="str">
            <v>[No Vendor]</v>
          </cell>
        </row>
        <row r="225">
          <cell r="D225">
            <v>150</v>
          </cell>
          <cell r="H225">
            <v>45292</v>
          </cell>
          <cell r="I225" t="str">
            <v>6225 - Professional Services</v>
          </cell>
          <cell r="J225">
            <v>0</v>
          </cell>
          <cell r="K225" t="str">
            <v>Administration</v>
          </cell>
          <cell r="L225" t="str">
            <v>Professional Service</v>
          </cell>
          <cell r="N225" t="str">
            <v>Direct Costs</v>
          </cell>
          <cell r="O225" t="str">
            <v>Benefit Resource, LLC</v>
          </cell>
        </row>
        <row r="226">
          <cell r="D226">
            <v>1800</v>
          </cell>
          <cell r="H226">
            <v>45292</v>
          </cell>
          <cell r="I226" t="str">
            <v>6288 - Model</v>
          </cell>
          <cell r="J226">
            <v>0</v>
          </cell>
          <cell r="K226" t="str">
            <v>Brand Marketing</v>
          </cell>
          <cell r="L226" t="str">
            <v>Advertising</v>
          </cell>
          <cell r="N226" t="str">
            <v>SG&amp;A</v>
          </cell>
          <cell r="O226" t="str">
            <v>Marilyn Red Model Management LLC</v>
          </cell>
        </row>
        <row r="227">
          <cell r="D227">
            <v>240.3</v>
          </cell>
          <cell r="H227">
            <v>45292</v>
          </cell>
          <cell r="I227" t="str">
            <v>6040 - Employer Paid Benefits</v>
          </cell>
          <cell r="J227">
            <v>0</v>
          </cell>
          <cell r="K227" t="str">
            <v>Administration</v>
          </cell>
          <cell r="L227" t="str">
            <v>HQ Salaries</v>
          </cell>
          <cell r="N227" t="str">
            <v>SG&amp;A</v>
          </cell>
          <cell r="O227" t="str">
            <v>Progressive Benefit Solutions LLC</v>
          </cell>
        </row>
        <row r="228">
          <cell r="D228">
            <v>41728.97</v>
          </cell>
          <cell r="H228">
            <v>45292</v>
          </cell>
          <cell r="I228" t="str">
            <v>6377 - Order Processing Expenses (New)</v>
          </cell>
          <cell r="J228" t="str">
            <v>Ecommerce (US)</v>
          </cell>
          <cell r="K228" t="str">
            <v>Ecommerce</v>
          </cell>
          <cell r="L228" t="str">
            <v>Order Processing</v>
          </cell>
          <cell r="N228" t="str">
            <v>Direct Costs</v>
          </cell>
          <cell r="O228" t="str">
            <v>Bergen Logistics Corporation</v>
          </cell>
        </row>
        <row r="229">
          <cell r="D229">
            <v>16366.29</v>
          </cell>
          <cell r="H229">
            <v>45292</v>
          </cell>
          <cell r="I229" t="str">
            <v>6377 - Order Processing Expenses (New)</v>
          </cell>
          <cell r="J229" t="str">
            <v>Wholesale</v>
          </cell>
          <cell r="K229" t="str">
            <v>Wholesale</v>
          </cell>
          <cell r="L229" t="str">
            <v>Order Processing</v>
          </cell>
          <cell r="N229" t="str">
            <v>Direct Costs</v>
          </cell>
          <cell r="O229" t="str">
            <v>Bergen Logistics Corporation</v>
          </cell>
        </row>
        <row r="230">
          <cell r="D230">
            <v>363.74</v>
          </cell>
          <cell r="H230">
            <v>45292</v>
          </cell>
          <cell r="I230" t="str">
            <v>6377 - Order Processing Expenses (New)</v>
          </cell>
          <cell r="J230" t="str">
            <v>Ecommerce (EU)</v>
          </cell>
          <cell r="K230" t="str">
            <v>Ecommerce</v>
          </cell>
          <cell r="L230" t="str">
            <v>Order Processing</v>
          </cell>
          <cell r="N230" t="str">
            <v>Direct Costs</v>
          </cell>
          <cell r="O230" t="str">
            <v>SAS Sodilog</v>
          </cell>
        </row>
        <row r="231">
          <cell r="D231">
            <v>49.52</v>
          </cell>
          <cell r="H231">
            <v>45292</v>
          </cell>
          <cell r="I231" t="str">
            <v>6377 - Order Processing Expenses (New)</v>
          </cell>
          <cell r="J231" t="str">
            <v>Ecommerce (EU)</v>
          </cell>
          <cell r="K231" t="str">
            <v>Ecommerce</v>
          </cell>
          <cell r="L231" t="str">
            <v>Order Processing</v>
          </cell>
          <cell r="N231" t="str">
            <v>Direct Costs</v>
          </cell>
          <cell r="O231" t="str">
            <v>SAS Sodilog</v>
          </cell>
        </row>
        <row r="232">
          <cell r="D232">
            <v>13462.93</v>
          </cell>
          <cell r="H232">
            <v>45292</v>
          </cell>
          <cell r="I232" t="str">
            <v>6380 - Legal &amp; Accounting</v>
          </cell>
          <cell r="J232">
            <v>0</v>
          </cell>
          <cell r="K232" t="str">
            <v>Administration</v>
          </cell>
          <cell r="L232" t="str">
            <v>Professional Service</v>
          </cell>
          <cell r="N232" t="str">
            <v>SG&amp;A</v>
          </cell>
          <cell r="O232" t="str">
            <v>Gateley Legal</v>
          </cell>
        </row>
        <row r="233">
          <cell r="D233">
            <v>1650</v>
          </cell>
          <cell r="H233">
            <v>45292</v>
          </cell>
          <cell r="I233" t="str">
            <v>6205 - Contractors</v>
          </cell>
          <cell r="J233">
            <v>0</v>
          </cell>
          <cell r="K233" t="str">
            <v>Design</v>
          </cell>
          <cell r="L233" t="str">
            <v>HQ Salaries</v>
          </cell>
          <cell r="N233" t="str">
            <v>SG&amp;A</v>
          </cell>
          <cell r="O233" t="str">
            <v>Christina Colucci</v>
          </cell>
        </row>
        <row r="234">
          <cell r="D234">
            <v>728</v>
          </cell>
          <cell r="H234">
            <v>45292</v>
          </cell>
          <cell r="I234" t="str">
            <v>6520 - Taxes and Licenses</v>
          </cell>
          <cell r="J234" t="str">
            <v>Ecommerce (US)</v>
          </cell>
          <cell r="K234" t="str">
            <v>Ecommerce</v>
          </cell>
          <cell r="L234" t="str">
            <v>Other</v>
          </cell>
          <cell r="N234" t="str">
            <v>SG&amp;A</v>
          </cell>
          <cell r="O234" t="str">
            <v>Avalara, Inc</v>
          </cell>
        </row>
        <row r="235">
          <cell r="D235">
            <v>88</v>
          </cell>
          <cell r="H235">
            <v>45292</v>
          </cell>
          <cell r="I235" t="str">
            <v>6430 - Dues &amp; Memberships</v>
          </cell>
          <cell r="J235" t="str">
            <v>Wholesale</v>
          </cell>
          <cell r="K235" t="str">
            <v>Wholesale</v>
          </cell>
          <cell r="L235" t="str">
            <v>Professional Service</v>
          </cell>
          <cell r="N235" t="str">
            <v>Direct Costs</v>
          </cell>
          <cell r="O235" t="str">
            <v>SPS Commerce</v>
          </cell>
        </row>
        <row r="236">
          <cell r="D236">
            <v>1527.5</v>
          </cell>
          <cell r="H236">
            <v>45292</v>
          </cell>
          <cell r="I236" t="str">
            <v>6300 - Payroll Service Fees</v>
          </cell>
          <cell r="J236">
            <v>0</v>
          </cell>
          <cell r="K236" t="str">
            <v>Administration</v>
          </cell>
          <cell r="L236" t="str">
            <v>Professional Service</v>
          </cell>
          <cell r="N236" t="str">
            <v>SG&amp;A</v>
          </cell>
          <cell r="O236" t="str">
            <v>OperationsInc, LLC</v>
          </cell>
        </row>
        <row r="237">
          <cell r="D237">
            <v>1200</v>
          </cell>
          <cell r="H237">
            <v>45292</v>
          </cell>
          <cell r="I237" t="str">
            <v>6225 - Professional Services</v>
          </cell>
          <cell r="J237">
            <v>0</v>
          </cell>
          <cell r="K237" t="str">
            <v>Administration</v>
          </cell>
          <cell r="L237" t="str">
            <v>Professional Service</v>
          </cell>
          <cell r="N237" t="str">
            <v>Direct Costs</v>
          </cell>
          <cell r="O237" t="str">
            <v>OperationsInc, LLC</v>
          </cell>
        </row>
        <row r="238">
          <cell r="D238">
            <v>24007.84</v>
          </cell>
          <cell r="H238">
            <v>45292</v>
          </cell>
          <cell r="I238" t="str">
            <v>6375 - Freight Expenses</v>
          </cell>
          <cell r="J238" t="str">
            <v>Ecommerce (US)</v>
          </cell>
          <cell r="K238" t="str">
            <v>Ecommerce</v>
          </cell>
          <cell r="L238" t="str">
            <v>Freight</v>
          </cell>
          <cell r="N238" t="str">
            <v>Direct Costs</v>
          </cell>
          <cell r="O238" t="str">
            <v>Bergen Logistics Corporation</v>
          </cell>
        </row>
        <row r="239">
          <cell r="D239">
            <v>4759.74</v>
          </cell>
          <cell r="H239">
            <v>45292</v>
          </cell>
          <cell r="I239" t="str">
            <v>6375 - Freight Expenses</v>
          </cell>
          <cell r="J239" t="str">
            <v>Wholesale</v>
          </cell>
          <cell r="K239" t="str">
            <v>Wholesale</v>
          </cell>
          <cell r="L239" t="str">
            <v>Freight</v>
          </cell>
          <cell r="N239" t="str">
            <v>Direct Costs</v>
          </cell>
          <cell r="O239" t="str">
            <v>Bergen Logistics Corporation</v>
          </cell>
        </row>
        <row r="240">
          <cell r="D240">
            <v>898.6</v>
          </cell>
          <cell r="H240">
            <v>45292</v>
          </cell>
          <cell r="I240" t="str">
            <v>6375 - Freight Expenses</v>
          </cell>
          <cell r="J240">
            <v>0</v>
          </cell>
          <cell r="K240" t="str">
            <v>Production</v>
          </cell>
          <cell r="L240" t="str">
            <v>Freight</v>
          </cell>
          <cell r="N240" t="str">
            <v>Direct Costs</v>
          </cell>
          <cell r="O240" t="str">
            <v>DHL Express - USA</v>
          </cell>
        </row>
        <row r="241">
          <cell r="D241">
            <v>25</v>
          </cell>
          <cell r="H241">
            <v>45292</v>
          </cell>
          <cell r="I241" t="str">
            <v>6040 - Employer Paid Benefits</v>
          </cell>
          <cell r="J241">
            <v>0</v>
          </cell>
          <cell r="K241" t="str">
            <v>Administration</v>
          </cell>
          <cell r="L241" t="str">
            <v>HQ Salaries</v>
          </cell>
          <cell r="N241" t="str">
            <v>SG&amp;A</v>
          </cell>
          <cell r="O241" t="str">
            <v>Lifetime Benefit Solutions, Inc</v>
          </cell>
        </row>
        <row r="242">
          <cell r="D242">
            <v>171</v>
          </cell>
          <cell r="H242">
            <v>45292</v>
          </cell>
          <cell r="I242" t="str">
            <v>6040 - Employer Paid Benefits</v>
          </cell>
          <cell r="J242">
            <v>0</v>
          </cell>
          <cell r="K242" t="str">
            <v>Administration</v>
          </cell>
          <cell r="L242" t="str">
            <v>HQ Salaries</v>
          </cell>
          <cell r="N242" t="str">
            <v>SG&amp;A</v>
          </cell>
          <cell r="O242" t="str">
            <v>Progressive Benefit Solutions LLC</v>
          </cell>
        </row>
        <row r="243">
          <cell r="D243">
            <v>-11279.13</v>
          </cell>
          <cell r="H243">
            <v>45292</v>
          </cell>
          <cell r="I243" t="str">
            <v>6375 - Freight Expenses</v>
          </cell>
          <cell r="J243">
            <v>0</v>
          </cell>
          <cell r="K243" t="str">
            <v>No Department</v>
          </cell>
          <cell r="L243" t="str">
            <v>Freight</v>
          </cell>
          <cell r="N243" t="str">
            <v>Direct Costs</v>
          </cell>
          <cell r="O243" t="str">
            <v>Bergen Logistics Corporation</v>
          </cell>
        </row>
        <row r="244">
          <cell r="D244">
            <v>-225.28</v>
          </cell>
          <cell r="H244">
            <v>45292</v>
          </cell>
          <cell r="I244" t="str">
            <v>6375 - Freight Expenses</v>
          </cell>
          <cell r="J244">
            <v>0</v>
          </cell>
          <cell r="K244" t="str">
            <v>No Department</v>
          </cell>
          <cell r="L244" t="str">
            <v>Freight</v>
          </cell>
          <cell r="N244" t="str">
            <v>Direct Costs</v>
          </cell>
          <cell r="O244" t="str">
            <v>Bergen Logistics Corporation</v>
          </cell>
        </row>
        <row r="245">
          <cell r="D245">
            <v>0.01</v>
          </cell>
          <cell r="H245">
            <v>45292</v>
          </cell>
          <cell r="I245" t="str">
            <v>8590 - Rounding Gain/Loss</v>
          </cell>
          <cell r="J245">
            <v>0</v>
          </cell>
          <cell r="K245" t="str">
            <v>No Department</v>
          </cell>
          <cell r="L245" t="str">
            <v>Realized Gain / Loss</v>
          </cell>
          <cell r="N245" t="str">
            <v>BTL</v>
          </cell>
          <cell r="O245" t="str">
            <v>[No Vendor]</v>
          </cell>
        </row>
        <row r="246">
          <cell r="D246">
            <v>0</v>
          </cell>
          <cell r="H246">
            <v>45292</v>
          </cell>
          <cell r="I246" t="str">
            <v>4010 - Revenue - Licensing Fees (Royalties)</v>
          </cell>
          <cell r="J246">
            <v>0</v>
          </cell>
          <cell r="K246" t="str">
            <v>Licensing</v>
          </cell>
          <cell r="L246" t="str">
            <v>License</v>
          </cell>
          <cell r="N246" t="str">
            <v>Revenue</v>
          </cell>
          <cell r="O246" t="str">
            <v>[No Vendor]</v>
          </cell>
        </row>
        <row r="247">
          <cell r="D247">
            <v>0</v>
          </cell>
          <cell r="H247">
            <v>45292</v>
          </cell>
          <cell r="I247" t="str">
            <v>4045 - Sponsorships</v>
          </cell>
          <cell r="J247">
            <v>0</v>
          </cell>
          <cell r="K247" t="str">
            <v>Licensing</v>
          </cell>
          <cell r="L247" t="str">
            <v>Other Income</v>
          </cell>
          <cell r="N247" t="str">
            <v>Revenue</v>
          </cell>
          <cell r="O247" t="str">
            <v>[No Vendor]</v>
          </cell>
        </row>
        <row r="248">
          <cell r="D248">
            <v>-250821.5</v>
          </cell>
          <cell r="H248">
            <v>45292</v>
          </cell>
          <cell r="I248" t="str">
            <v>4052 - Sales Revenue - Wholesale (US)</v>
          </cell>
          <cell r="J248" t="str">
            <v>Wholesale</v>
          </cell>
          <cell r="K248" t="str">
            <v>Wholesale</v>
          </cell>
          <cell r="L248" t="str">
            <v>Wholesale</v>
          </cell>
          <cell r="N248" t="str">
            <v>Revenue</v>
          </cell>
          <cell r="O248" t="str">
            <v>[No Vendor]</v>
          </cell>
        </row>
        <row r="249">
          <cell r="D249">
            <v>-985892.83</v>
          </cell>
          <cell r="H249">
            <v>45292</v>
          </cell>
          <cell r="I249" t="str">
            <v>4050 - Sales Revenue - Ecommerce (US)</v>
          </cell>
          <cell r="J249" t="str">
            <v>Ecommerce (US)</v>
          </cell>
          <cell r="K249" t="str">
            <v>Ecommerce</v>
          </cell>
          <cell r="L249" t="str">
            <v>Ecommerce (US)</v>
          </cell>
          <cell r="N249" t="str">
            <v>Revenue</v>
          </cell>
          <cell r="O249" t="str">
            <v>[No Vendor]</v>
          </cell>
        </row>
        <row r="250">
          <cell r="D250">
            <v>-29978.5</v>
          </cell>
          <cell r="H250">
            <v>45292</v>
          </cell>
          <cell r="I250" t="str">
            <v>4050 - Sales Revenue - Ecommerce (US)</v>
          </cell>
          <cell r="J250" t="str">
            <v>Ecommerce (US)</v>
          </cell>
          <cell r="K250" t="str">
            <v>Ecommerce</v>
          </cell>
          <cell r="L250" t="str">
            <v>Ecommerce (US)</v>
          </cell>
          <cell r="N250" t="str">
            <v>Revenue</v>
          </cell>
          <cell r="O250" t="str">
            <v>[No Vendor]</v>
          </cell>
        </row>
        <row r="251">
          <cell r="D251">
            <v>2509.62</v>
          </cell>
          <cell r="H251">
            <v>45292</v>
          </cell>
          <cell r="I251" t="str">
            <v>4061 - Sales Discount - Ecomm (EU)</v>
          </cell>
          <cell r="J251" t="str">
            <v>Ecommerce (EU)</v>
          </cell>
          <cell r="K251" t="str">
            <v>Ecommerce</v>
          </cell>
          <cell r="L251" t="str">
            <v>Ecommerce (EU)</v>
          </cell>
          <cell r="N251" t="str">
            <v>Revenue</v>
          </cell>
          <cell r="O251" t="str">
            <v>[No Vendor]</v>
          </cell>
        </row>
        <row r="252">
          <cell r="D252">
            <v>70425</v>
          </cell>
          <cell r="H252">
            <v>45292</v>
          </cell>
          <cell r="I252" t="str">
            <v>8400 - Donation Expense</v>
          </cell>
          <cell r="J252">
            <v>0</v>
          </cell>
          <cell r="K252" t="str">
            <v>Administration</v>
          </cell>
          <cell r="L252" t="str">
            <v>Other Misc</v>
          </cell>
          <cell r="N252" t="str">
            <v>BTL</v>
          </cell>
          <cell r="O252" t="str">
            <v>[No Vendor]</v>
          </cell>
        </row>
        <row r="253">
          <cell r="D253">
            <v>110.03</v>
          </cell>
          <cell r="H253">
            <v>45292</v>
          </cell>
          <cell r="I253" t="str">
            <v>6041 - Employee Benefit Other</v>
          </cell>
          <cell r="J253" t="str">
            <v>Wholesale</v>
          </cell>
          <cell r="K253" t="str">
            <v>Wholesale</v>
          </cell>
          <cell r="L253" t="str">
            <v>HQ Salaries</v>
          </cell>
          <cell r="N253" t="str">
            <v>SG&amp;A</v>
          </cell>
          <cell r="O253" t="str">
            <v>[No Vendor]</v>
          </cell>
        </row>
        <row r="254">
          <cell r="D254">
            <v>153.44</v>
          </cell>
          <cell r="H254">
            <v>45292</v>
          </cell>
          <cell r="I254" t="str">
            <v>6041 - Employee Benefit Other</v>
          </cell>
          <cell r="J254">
            <v>0</v>
          </cell>
          <cell r="K254" t="str">
            <v>Production</v>
          </cell>
          <cell r="L254" t="str">
            <v>HQ Salaries</v>
          </cell>
          <cell r="N254" t="str">
            <v>SG&amp;A</v>
          </cell>
          <cell r="O254" t="str">
            <v>[No Vendor]</v>
          </cell>
        </row>
        <row r="255">
          <cell r="D255">
            <v>290.58</v>
          </cell>
          <cell r="H255">
            <v>45292</v>
          </cell>
          <cell r="I255" t="str">
            <v>6041 - Employee Benefit Other</v>
          </cell>
          <cell r="J255">
            <v>0</v>
          </cell>
          <cell r="K255" t="str">
            <v>Design</v>
          </cell>
          <cell r="L255" t="str">
            <v>HQ Salaries</v>
          </cell>
          <cell r="N255" t="str">
            <v>SG&amp;A</v>
          </cell>
          <cell r="O255" t="str">
            <v>[No Vendor]</v>
          </cell>
        </row>
        <row r="256">
          <cell r="D256">
            <v>126.23</v>
          </cell>
          <cell r="H256">
            <v>45292</v>
          </cell>
          <cell r="I256" t="str">
            <v>6041 - Employee Benefit Other</v>
          </cell>
          <cell r="J256">
            <v>0</v>
          </cell>
          <cell r="K256" t="str">
            <v>Administration</v>
          </cell>
          <cell r="L256" t="str">
            <v>HQ Salaries</v>
          </cell>
          <cell r="N256" t="str">
            <v>SG&amp;A</v>
          </cell>
          <cell r="O256" t="str">
            <v>[No Vendor]</v>
          </cell>
        </row>
        <row r="257">
          <cell r="D257">
            <v>24666.66</v>
          </cell>
          <cell r="H257">
            <v>45292</v>
          </cell>
          <cell r="I257" t="str">
            <v>4051 - Sales Revenue - Ecommerce (Intl)</v>
          </cell>
          <cell r="J257" t="str">
            <v>Ecommerce (EU)</v>
          </cell>
          <cell r="K257" t="str">
            <v>Ecommerce</v>
          </cell>
          <cell r="L257" t="str">
            <v>Ecommerce (EU)</v>
          </cell>
          <cell r="N257" t="str">
            <v>Revenue</v>
          </cell>
          <cell r="O257" t="str">
            <v>[No Vendor]</v>
          </cell>
        </row>
        <row r="258">
          <cell r="D258">
            <v>-165474.25</v>
          </cell>
          <cell r="H258">
            <v>45292</v>
          </cell>
          <cell r="I258" t="str">
            <v>4051 - Sales Revenue - Ecommerce (Intl)</v>
          </cell>
          <cell r="J258" t="str">
            <v>Ecommerce (EU)</v>
          </cell>
          <cell r="K258" t="str">
            <v>Ecommerce</v>
          </cell>
          <cell r="L258" t="str">
            <v>Ecommerce (EU)</v>
          </cell>
          <cell r="N258" t="str">
            <v>Revenue</v>
          </cell>
          <cell r="O258" t="str">
            <v>[No Vendor]</v>
          </cell>
        </row>
        <row r="259">
          <cell r="D259">
            <v>400</v>
          </cell>
          <cell r="H259">
            <v>45292</v>
          </cell>
          <cell r="I259" t="str">
            <v>6377 - Order Processing Expenses (New)</v>
          </cell>
          <cell r="J259" t="str">
            <v>Ecommerce (EU)</v>
          </cell>
          <cell r="K259" t="str">
            <v>Ecommerce</v>
          </cell>
          <cell r="L259" t="str">
            <v>Order Processing</v>
          </cell>
          <cell r="N259" t="str">
            <v>Direct Costs</v>
          </cell>
          <cell r="O259" t="str">
            <v>[No Vendor]</v>
          </cell>
        </row>
        <row r="260">
          <cell r="D260">
            <v>-5000</v>
          </cell>
          <cell r="H260">
            <v>45292</v>
          </cell>
          <cell r="I260" t="str">
            <v>6377 - Order Processing Expenses (New)</v>
          </cell>
          <cell r="J260" t="str">
            <v>Ecommerce (EU)</v>
          </cell>
          <cell r="K260" t="str">
            <v>Ecommerce</v>
          </cell>
          <cell r="L260" t="str">
            <v>Order Processing</v>
          </cell>
          <cell r="N260" t="str">
            <v>Direct Costs</v>
          </cell>
          <cell r="O260" t="str">
            <v>[No Vendor]</v>
          </cell>
        </row>
        <row r="261">
          <cell r="D261">
            <v>-5986.54</v>
          </cell>
          <cell r="H261">
            <v>45292</v>
          </cell>
          <cell r="I261" t="str">
            <v>4065 - Sales Freight - Wholesale (US)</v>
          </cell>
          <cell r="J261" t="str">
            <v>Wholesale</v>
          </cell>
          <cell r="K261" t="str">
            <v>Wholesale</v>
          </cell>
          <cell r="L261" t="str">
            <v>Freight - Revenue</v>
          </cell>
          <cell r="N261" t="str">
            <v>Direct Costs</v>
          </cell>
          <cell r="O261" t="str">
            <v>[No Vendor]</v>
          </cell>
        </row>
        <row r="262">
          <cell r="D262">
            <v>-22387</v>
          </cell>
          <cell r="H262">
            <v>45292</v>
          </cell>
          <cell r="I262" t="str">
            <v>4064 - Sales Freight - Ecomm (US)</v>
          </cell>
          <cell r="J262" t="str">
            <v>Ecommerce (US)</v>
          </cell>
          <cell r="K262" t="str">
            <v>Ecommerce</v>
          </cell>
          <cell r="L262" t="str">
            <v>Freight - Revenue</v>
          </cell>
          <cell r="N262" t="str">
            <v>Direct Costs</v>
          </cell>
          <cell r="O262" t="str">
            <v>[No Vendor]</v>
          </cell>
        </row>
        <row r="263">
          <cell r="D263">
            <v>-790</v>
          </cell>
          <cell r="H263">
            <v>45292</v>
          </cell>
          <cell r="I263" t="str">
            <v>4064 - Sales Freight - Ecomm (US)</v>
          </cell>
          <cell r="J263" t="str">
            <v>Ecommerce (US)</v>
          </cell>
          <cell r="K263" t="str">
            <v>Ecommerce</v>
          </cell>
          <cell r="L263" t="str">
            <v>Freight - Revenue</v>
          </cell>
          <cell r="N263" t="str">
            <v>Direct Costs</v>
          </cell>
          <cell r="O263" t="str">
            <v>[No Vendor]</v>
          </cell>
        </row>
        <row r="264">
          <cell r="D264">
            <v>3557.6</v>
          </cell>
          <cell r="H264">
            <v>45292</v>
          </cell>
          <cell r="I264" t="str">
            <v>4063 - Sales Discount - Wholesale (US)</v>
          </cell>
          <cell r="J264" t="str">
            <v>Wholesale</v>
          </cell>
          <cell r="K264" t="str">
            <v>Wholesale</v>
          </cell>
          <cell r="L264" t="str">
            <v>Wholesale</v>
          </cell>
          <cell r="N264" t="str">
            <v>Revenue</v>
          </cell>
          <cell r="O264" t="str">
            <v>[No Vendor]</v>
          </cell>
        </row>
        <row r="265">
          <cell r="D265">
            <v>5691.01</v>
          </cell>
          <cell r="H265">
            <v>45292</v>
          </cell>
          <cell r="I265" t="str">
            <v>5900 - Interco Royalty Expense</v>
          </cell>
          <cell r="J265">
            <v>0</v>
          </cell>
          <cell r="K265" t="str">
            <v>Licensing</v>
          </cell>
          <cell r="L265">
            <v>0</v>
          </cell>
          <cell r="N265">
            <v>0</v>
          </cell>
          <cell r="O265" t="str">
            <v>[No Vendor]</v>
          </cell>
        </row>
        <row r="266">
          <cell r="D266">
            <v>59472.29</v>
          </cell>
          <cell r="H266">
            <v>45292</v>
          </cell>
          <cell r="I266" t="str">
            <v>4062 - Sales Discount - Ecomm (US)</v>
          </cell>
          <cell r="J266" t="str">
            <v>Ecommerce (US)</v>
          </cell>
          <cell r="K266" t="str">
            <v>Ecommerce</v>
          </cell>
          <cell r="L266" t="str">
            <v>Ecommerce (US)</v>
          </cell>
          <cell r="N266" t="str">
            <v>Revenue</v>
          </cell>
          <cell r="O266" t="str">
            <v>[No Vendor]</v>
          </cell>
        </row>
        <row r="267">
          <cell r="D267">
            <v>0</v>
          </cell>
          <cell r="H267">
            <v>45292</v>
          </cell>
          <cell r="I267" t="str">
            <v>4062 - Sales Discount - Ecomm (US)</v>
          </cell>
          <cell r="J267" t="str">
            <v>Ecommerce (US)</v>
          </cell>
          <cell r="K267" t="str">
            <v>Ecommerce</v>
          </cell>
          <cell r="L267" t="str">
            <v>Ecommerce (US)</v>
          </cell>
          <cell r="N267" t="str">
            <v>Revenue</v>
          </cell>
          <cell r="O267" t="str">
            <v>[No Vendor]</v>
          </cell>
        </row>
        <row r="268">
          <cell r="D268">
            <v>1954.72</v>
          </cell>
          <cell r="H268">
            <v>45292</v>
          </cell>
          <cell r="I268" t="str">
            <v>7130 - License Agreements &amp; Other Intangibles</v>
          </cell>
          <cell r="J268">
            <v>0</v>
          </cell>
          <cell r="K268" t="str">
            <v>Administration</v>
          </cell>
          <cell r="L268" t="str">
            <v>Depreciation &amp; Amortization</v>
          </cell>
          <cell r="N268" t="str">
            <v>SG&amp;A</v>
          </cell>
          <cell r="O268" t="str">
            <v>[No Vendor]</v>
          </cell>
        </row>
        <row r="269">
          <cell r="D269">
            <v>-5691.01</v>
          </cell>
          <cell r="H269">
            <v>45292</v>
          </cell>
          <cell r="I269" t="str">
            <v>4900 - Interco Royalty Revenue</v>
          </cell>
          <cell r="J269">
            <v>0</v>
          </cell>
          <cell r="K269" t="str">
            <v>Licensing</v>
          </cell>
          <cell r="L269">
            <v>0</v>
          </cell>
          <cell r="N269">
            <v>0</v>
          </cell>
          <cell r="O269" t="str">
            <v>[No Vendor]</v>
          </cell>
        </row>
        <row r="270">
          <cell r="D270">
            <v>-27800</v>
          </cell>
          <cell r="H270">
            <v>45292</v>
          </cell>
          <cell r="I270" t="str">
            <v>6282 - Royalty Expense</v>
          </cell>
          <cell r="J270" t="str">
            <v>Ecommerce (EU)</v>
          </cell>
          <cell r="K270" t="str">
            <v>Brand Marketing</v>
          </cell>
          <cell r="L270" t="str">
            <v>Advertising</v>
          </cell>
          <cell r="N270" t="str">
            <v>SG&amp;A</v>
          </cell>
          <cell r="O270" t="str">
            <v>[No Vendor]</v>
          </cell>
        </row>
        <row r="271">
          <cell r="D271">
            <v>1196.99</v>
          </cell>
          <cell r="H271">
            <v>45292</v>
          </cell>
          <cell r="I271" t="str">
            <v>6393 - Software</v>
          </cell>
          <cell r="J271">
            <v>0</v>
          </cell>
          <cell r="K271" t="str">
            <v>Design</v>
          </cell>
          <cell r="L271" t="str">
            <v>Professional Service</v>
          </cell>
          <cell r="N271" t="str">
            <v>Direct Costs</v>
          </cell>
          <cell r="O271" t="str">
            <v>[No Vendor]</v>
          </cell>
        </row>
        <row r="272">
          <cell r="D272">
            <v>1745.31</v>
          </cell>
          <cell r="H272">
            <v>45292</v>
          </cell>
          <cell r="I272" t="str">
            <v>6393 - Software</v>
          </cell>
          <cell r="J272">
            <v>0</v>
          </cell>
          <cell r="K272" t="str">
            <v>Administration</v>
          </cell>
          <cell r="L272" t="str">
            <v>Professional Service</v>
          </cell>
          <cell r="N272" t="str">
            <v>Direct Costs</v>
          </cell>
          <cell r="O272" t="str">
            <v>[No Vendor]</v>
          </cell>
        </row>
        <row r="273">
          <cell r="D273">
            <v>38.700000000000003</v>
          </cell>
          <cell r="H273">
            <v>45292</v>
          </cell>
          <cell r="I273" t="str">
            <v>6393 - Software</v>
          </cell>
          <cell r="J273" t="str">
            <v>Wholesale</v>
          </cell>
          <cell r="K273" t="str">
            <v>Wholesale</v>
          </cell>
          <cell r="L273" t="str">
            <v>Professional Service</v>
          </cell>
          <cell r="N273" t="str">
            <v>Direct Costs</v>
          </cell>
          <cell r="O273" t="str">
            <v>[No Vendor]</v>
          </cell>
        </row>
        <row r="274">
          <cell r="D274">
            <v>20211.900000000001</v>
          </cell>
          <cell r="H274">
            <v>45292</v>
          </cell>
          <cell r="I274" t="str">
            <v>6393 - Software</v>
          </cell>
          <cell r="J274" t="str">
            <v>Ecommerce (US)</v>
          </cell>
          <cell r="K274" t="str">
            <v>Ecommerce</v>
          </cell>
          <cell r="L274" t="str">
            <v>Professional Service</v>
          </cell>
          <cell r="N274" t="str">
            <v>Direct Costs</v>
          </cell>
          <cell r="O274" t="str">
            <v>[No Vendor]</v>
          </cell>
        </row>
        <row r="275">
          <cell r="D275">
            <v>458.33</v>
          </cell>
          <cell r="H275">
            <v>45292</v>
          </cell>
          <cell r="I275" t="str">
            <v>6393 - Software</v>
          </cell>
          <cell r="J275" t="str">
            <v>Wholesale</v>
          </cell>
          <cell r="K275" t="str">
            <v>Wholesale</v>
          </cell>
          <cell r="L275" t="str">
            <v>Professional Service</v>
          </cell>
          <cell r="N275" t="str">
            <v>Direct Costs</v>
          </cell>
          <cell r="O275" t="str">
            <v>Joor, Inc</v>
          </cell>
        </row>
        <row r="276">
          <cell r="D276">
            <v>1134.1199999999999</v>
          </cell>
          <cell r="H276">
            <v>45292</v>
          </cell>
          <cell r="I276" t="str">
            <v>6393 - Software</v>
          </cell>
          <cell r="J276">
            <v>0</v>
          </cell>
          <cell r="K276" t="str">
            <v>Administration</v>
          </cell>
          <cell r="L276" t="str">
            <v>Professional Service</v>
          </cell>
          <cell r="N276" t="str">
            <v>Direct Costs</v>
          </cell>
          <cell r="O276" t="str">
            <v>Fohr</v>
          </cell>
        </row>
        <row r="277">
          <cell r="D277">
            <v>2781.76</v>
          </cell>
          <cell r="H277">
            <v>45292</v>
          </cell>
          <cell r="I277" t="str">
            <v>6393 - Software</v>
          </cell>
          <cell r="J277">
            <v>0</v>
          </cell>
          <cell r="K277" t="str">
            <v>Brand Marketing</v>
          </cell>
          <cell r="L277" t="str">
            <v>Professional Service</v>
          </cell>
          <cell r="N277" t="str">
            <v>Direct Costs</v>
          </cell>
          <cell r="O277" t="str">
            <v>[No Vendor]</v>
          </cell>
        </row>
        <row r="278">
          <cell r="D278">
            <v>637.83000000000004</v>
          </cell>
          <cell r="H278">
            <v>45292</v>
          </cell>
          <cell r="I278" t="str">
            <v>6393 - Software</v>
          </cell>
          <cell r="J278" t="str">
            <v>Ecommerce (US)</v>
          </cell>
          <cell r="K278" t="str">
            <v>Ecommerce</v>
          </cell>
          <cell r="L278" t="str">
            <v>Professional Service</v>
          </cell>
          <cell r="N278" t="str">
            <v>Direct Costs</v>
          </cell>
          <cell r="O278" t="str">
            <v>[No Vendor]</v>
          </cell>
        </row>
        <row r="279">
          <cell r="D279">
            <v>3200.72</v>
          </cell>
          <cell r="H279">
            <v>45292</v>
          </cell>
          <cell r="I279" t="str">
            <v>6393 - Software</v>
          </cell>
          <cell r="J279">
            <v>0</v>
          </cell>
          <cell r="K279" t="str">
            <v>Administration</v>
          </cell>
          <cell r="L279" t="str">
            <v>Professional Service</v>
          </cell>
          <cell r="N279" t="str">
            <v>Direct Costs</v>
          </cell>
          <cell r="O279" t="str">
            <v>[No Vendor]</v>
          </cell>
        </row>
        <row r="280">
          <cell r="D280">
            <v>70717.91</v>
          </cell>
          <cell r="H280">
            <v>45292</v>
          </cell>
          <cell r="I280" t="str">
            <v>6286 - SEM</v>
          </cell>
          <cell r="J280" t="str">
            <v>Ecommerce (US)</v>
          </cell>
          <cell r="K280" t="str">
            <v>Ecommerce</v>
          </cell>
          <cell r="L280" t="str">
            <v>Marketing</v>
          </cell>
          <cell r="N280" t="str">
            <v>Direct Costs</v>
          </cell>
          <cell r="O280" t="str">
            <v>[No Vendor]</v>
          </cell>
        </row>
        <row r="281">
          <cell r="D281">
            <v>12739.76</v>
          </cell>
          <cell r="H281">
            <v>45292</v>
          </cell>
          <cell r="I281" t="str">
            <v>6286 - SEM</v>
          </cell>
          <cell r="J281" t="str">
            <v>Ecommerce (US)</v>
          </cell>
          <cell r="K281" t="str">
            <v>Brand Marketing</v>
          </cell>
          <cell r="L281" t="str">
            <v>Professional Service</v>
          </cell>
          <cell r="N281" t="str">
            <v>Direct Costs</v>
          </cell>
          <cell r="O281" t="str">
            <v>Attentive Mobile Inc.</v>
          </cell>
        </row>
        <row r="282">
          <cell r="D282">
            <v>131993.04999999999</v>
          </cell>
          <cell r="H282">
            <v>45292</v>
          </cell>
          <cell r="I282" t="str">
            <v>6286 - SEM</v>
          </cell>
          <cell r="J282" t="str">
            <v>Ecommerce (US)</v>
          </cell>
          <cell r="K282" t="str">
            <v>Ecommerce</v>
          </cell>
          <cell r="L282" t="str">
            <v>Marketing</v>
          </cell>
          <cell r="N282" t="str">
            <v>Direct Costs</v>
          </cell>
          <cell r="O282" t="str">
            <v>[No Vendor]</v>
          </cell>
        </row>
        <row r="283">
          <cell r="D283">
            <v>1600</v>
          </cell>
          <cell r="H283">
            <v>45292</v>
          </cell>
          <cell r="I283" t="str">
            <v>6380 - Legal &amp; Accounting</v>
          </cell>
          <cell r="J283">
            <v>0</v>
          </cell>
          <cell r="K283" t="str">
            <v>Administration</v>
          </cell>
          <cell r="L283" t="str">
            <v>Professional Service</v>
          </cell>
          <cell r="N283" t="str">
            <v>SG&amp;A</v>
          </cell>
          <cell r="O283" t="str">
            <v>[No Vendor]</v>
          </cell>
        </row>
        <row r="284">
          <cell r="D284">
            <v>-6000</v>
          </cell>
          <cell r="H284">
            <v>45292</v>
          </cell>
          <cell r="I284" t="str">
            <v>6380 - Legal &amp; Accounting</v>
          </cell>
          <cell r="J284">
            <v>0</v>
          </cell>
          <cell r="K284" t="str">
            <v>Administration</v>
          </cell>
          <cell r="L284" t="str">
            <v>Professional Service</v>
          </cell>
          <cell r="N284" t="str">
            <v>SG&amp;A</v>
          </cell>
          <cell r="O284" t="str">
            <v>[No Vendor]</v>
          </cell>
        </row>
        <row r="285">
          <cell r="D285">
            <v>3325</v>
          </cell>
          <cell r="H285">
            <v>45292</v>
          </cell>
          <cell r="I285" t="str">
            <v>6380 - Legal &amp; Accounting</v>
          </cell>
          <cell r="J285">
            <v>0</v>
          </cell>
          <cell r="K285" t="str">
            <v>Administration</v>
          </cell>
          <cell r="L285" t="str">
            <v>Professional Service</v>
          </cell>
          <cell r="N285" t="str">
            <v>SG&amp;A</v>
          </cell>
          <cell r="O285" t="str">
            <v>[No Vendor]</v>
          </cell>
        </row>
        <row r="286">
          <cell r="D286">
            <v>11772.95</v>
          </cell>
          <cell r="H286">
            <v>45292</v>
          </cell>
          <cell r="I286" t="str">
            <v>6380 - Legal &amp; Accounting</v>
          </cell>
          <cell r="J286">
            <v>0</v>
          </cell>
          <cell r="K286" t="str">
            <v>Administration</v>
          </cell>
          <cell r="L286" t="str">
            <v>Professional Service</v>
          </cell>
          <cell r="N286" t="str">
            <v>SG&amp;A</v>
          </cell>
          <cell r="O286" t="str">
            <v>The Wave IP Law Firm</v>
          </cell>
        </row>
        <row r="287">
          <cell r="D287">
            <v>5640</v>
          </cell>
          <cell r="H287">
            <v>45292</v>
          </cell>
          <cell r="I287" t="str">
            <v>6380 - Legal &amp; Accounting</v>
          </cell>
          <cell r="J287">
            <v>0</v>
          </cell>
          <cell r="K287" t="str">
            <v>Administration</v>
          </cell>
          <cell r="L287" t="str">
            <v>Professional Service</v>
          </cell>
          <cell r="N287" t="str">
            <v>SG&amp;A</v>
          </cell>
          <cell r="O287" t="str">
            <v>[No Vendor]</v>
          </cell>
        </row>
        <row r="288">
          <cell r="D288">
            <v>2291.7600000000002</v>
          </cell>
          <cell r="H288">
            <v>45292</v>
          </cell>
          <cell r="I288" t="str">
            <v>6380 - Legal &amp; Accounting</v>
          </cell>
          <cell r="J288">
            <v>0</v>
          </cell>
          <cell r="K288" t="str">
            <v>Administration</v>
          </cell>
          <cell r="L288" t="str">
            <v>Professional Service</v>
          </cell>
          <cell r="N288" t="str">
            <v>SG&amp;A</v>
          </cell>
          <cell r="O288" t="str">
            <v>[No Vendor]</v>
          </cell>
        </row>
        <row r="289">
          <cell r="D289">
            <v>112.6</v>
          </cell>
          <cell r="H289">
            <v>45292</v>
          </cell>
          <cell r="I289" t="str">
            <v>6340 - Miscellaneous Expense</v>
          </cell>
          <cell r="J289">
            <v>0</v>
          </cell>
          <cell r="K289" t="str">
            <v>Production</v>
          </cell>
          <cell r="L289" t="str">
            <v>Other</v>
          </cell>
          <cell r="N289" t="str">
            <v>SG&amp;A</v>
          </cell>
          <cell r="O289" t="str">
            <v>[No Vendor]</v>
          </cell>
        </row>
        <row r="290">
          <cell r="D290">
            <v>167.4</v>
          </cell>
          <cell r="H290">
            <v>45292</v>
          </cell>
          <cell r="I290" t="str">
            <v>6340 - Miscellaneous Expense</v>
          </cell>
          <cell r="J290">
            <v>0</v>
          </cell>
          <cell r="K290" t="str">
            <v>Administration</v>
          </cell>
          <cell r="L290" t="str">
            <v>Other</v>
          </cell>
          <cell r="N290" t="str">
            <v>SG&amp;A</v>
          </cell>
          <cell r="O290" t="str">
            <v>[No Vendor]</v>
          </cell>
        </row>
        <row r="291">
          <cell r="D291">
            <v>11.03</v>
          </cell>
          <cell r="H291">
            <v>45292</v>
          </cell>
          <cell r="I291" t="str">
            <v>6340 - Miscellaneous Expense</v>
          </cell>
          <cell r="J291">
            <v>0</v>
          </cell>
          <cell r="K291" t="str">
            <v>Production</v>
          </cell>
          <cell r="L291" t="str">
            <v>Other</v>
          </cell>
          <cell r="N291" t="str">
            <v>SG&amp;A</v>
          </cell>
          <cell r="O291" t="str">
            <v>[No Vendor]</v>
          </cell>
        </row>
        <row r="292">
          <cell r="D292">
            <v>29.23</v>
          </cell>
          <cell r="H292">
            <v>45292</v>
          </cell>
          <cell r="I292" t="str">
            <v>6340 - Miscellaneous Expense</v>
          </cell>
          <cell r="J292">
            <v>0</v>
          </cell>
          <cell r="K292" t="str">
            <v>Brand Marketing</v>
          </cell>
          <cell r="L292" t="str">
            <v>Other</v>
          </cell>
          <cell r="N292" t="str">
            <v>SG&amp;A</v>
          </cell>
          <cell r="O292" t="str">
            <v>[No Vendor]</v>
          </cell>
        </row>
        <row r="293">
          <cell r="D293">
            <v>88.73</v>
          </cell>
          <cell r="H293">
            <v>45292</v>
          </cell>
          <cell r="I293" t="str">
            <v>6340 - Miscellaneous Expense</v>
          </cell>
          <cell r="J293">
            <v>0</v>
          </cell>
          <cell r="K293" t="str">
            <v>Administration</v>
          </cell>
          <cell r="L293" t="str">
            <v>Other</v>
          </cell>
          <cell r="N293" t="str">
            <v>SG&amp;A</v>
          </cell>
          <cell r="O293" t="str">
            <v>[No Vendor]</v>
          </cell>
        </row>
        <row r="294">
          <cell r="D294">
            <v>358.43</v>
          </cell>
          <cell r="H294">
            <v>45292</v>
          </cell>
          <cell r="I294" t="str">
            <v>6340 - Miscellaneous Expense</v>
          </cell>
          <cell r="J294" t="str">
            <v>Wholesale</v>
          </cell>
          <cell r="K294" t="str">
            <v>Wholesale</v>
          </cell>
          <cell r="L294" t="str">
            <v>Other</v>
          </cell>
          <cell r="N294" t="str">
            <v>SG&amp;A</v>
          </cell>
          <cell r="O294" t="str">
            <v>[No Vendor]</v>
          </cell>
        </row>
        <row r="295">
          <cell r="D295">
            <v>71.94</v>
          </cell>
          <cell r="H295">
            <v>45292</v>
          </cell>
          <cell r="I295" t="str">
            <v>6250 - Video</v>
          </cell>
          <cell r="J295">
            <v>0</v>
          </cell>
          <cell r="K295" t="str">
            <v>Brand Marketing</v>
          </cell>
          <cell r="L295" t="str">
            <v>Advertising</v>
          </cell>
          <cell r="N295" t="str">
            <v>SG&amp;A</v>
          </cell>
          <cell r="O295" t="str">
            <v>[No Vendor]</v>
          </cell>
        </row>
        <row r="296">
          <cell r="D296">
            <v>4896.72</v>
          </cell>
          <cell r="H296">
            <v>45292</v>
          </cell>
          <cell r="I296" t="str">
            <v>6289 - Seeding / Product Placement</v>
          </cell>
          <cell r="J296">
            <v>0</v>
          </cell>
          <cell r="K296" t="str">
            <v>Brand Marketing</v>
          </cell>
          <cell r="L296" t="str">
            <v>Advertising</v>
          </cell>
          <cell r="N296" t="str">
            <v>SG&amp;A</v>
          </cell>
          <cell r="O296" t="str">
            <v>[No Vendor]</v>
          </cell>
        </row>
        <row r="297">
          <cell r="D297">
            <v>61.96</v>
          </cell>
          <cell r="H297">
            <v>45292</v>
          </cell>
          <cell r="I297" t="str">
            <v>6289 - Seeding / Product Placement</v>
          </cell>
          <cell r="J297">
            <v>0</v>
          </cell>
          <cell r="K297" t="str">
            <v>Brand Marketing</v>
          </cell>
          <cell r="L297" t="str">
            <v>Advertising</v>
          </cell>
          <cell r="N297" t="str">
            <v>SG&amp;A</v>
          </cell>
          <cell r="O297" t="str">
            <v>[No Vendor]</v>
          </cell>
        </row>
        <row r="298">
          <cell r="D298">
            <v>2916.67</v>
          </cell>
          <cell r="H298">
            <v>45292</v>
          </cell>
          <cell r="I298" t="str">
            <v>6284 - Advertising</v>
          </cell>
          <cell r="J298">
            <v>0</v>
          </cell>
          <cell r="K298" t="str">
            <v>Brand Marketing</v>
          </cell>
          <cell r="L298" t="str">
            <v>Advertising</v>
          </cell>
          <cell r="N298" t="str">
            <v>SG&amp;A</v>
          </cell>
          <cell r="O298" t="str">
            <v>[No Vendor]</v>
          </cell>
        </row>
        <row r="299">
          <cell r="D299">
            <v>1714.49</v>
          </cell>
          <cell r="H299">
            <v>45292</v>
          </cell>
          <cell r="I299" t="str">
            <v>6215 - Recruitment</v>
          </cell>
          <cell r="J299">
            <v>0</v>
          </cell>
          <cell r="K299" t="str">
            <v>Administration</v>
          </cell>
          <cell r="L299" t="str">
            <v>Professional Service</v>
          </cell>
          <cell r="N299" t="str">
            <v>SG&amp;A</v>
          </cell>
          <cell r="O299" t="str">
            <v>[No Vendor]</v>
          </cell>
        </row>
        <row r="300">
          <cell r="D300">
            <v>1500</v>
          </cell>
          <cell r="H300">
            <v>45292</v>
          </cell>
          <cell r="I300" t="str">
            <v>6205 - Contractors</v>
          </cell>
          <cell r="J300">
            <v>0</v>
          </cell>
          <cell r="K300" t="str">
            <v>Production</v>
          </cell>
          <cell r="L300" t="str">
            <v>HQ Salaries</v>
          </cell>
          <cell r="N300" t="str">
            <v>SG&amp;A</v>
          </cell>
          <cell r="O300" t="str">
            <v>Philip Yau</v>
          </cell>
        </row>
        <row r="301">
          <cell r="D301">
            <v>4580</v>
          </cell>
          <cell r="H301">
            <v>45292</v>
          </cell>
          <cell r="I301" t="str">
            <v>6205 - Contractors</v>
          </cell>
          <cell r="J301" t="str">
            <v>Ecommerce (US)</v>
          </cell>
          <cell r="K301" t="str">
            <v>Ecommerce</v>
          </cell>
          <cell r="L301" t="str">
            <v>HQ Salaries</v>
          </cell>
          <cell r="N301" t="str">
            <v>SG&amp;A</v>
          </cell>
          <cell r="O301" t="str">
            <v>[No Vendor]</v>
          </cell>
        </row>
        <row r="302">
          <cell r="D302">
            <v>0</v>
          </cell>
          <cell r="H302">
            <v>45292</v>
          </cell>
          <cell r="I302" t="str">
            <v>6205 - Contractors</v>
          </cell>
          <cell r="J302">
            <v>0</v>
          </cell>
          <cell r="K302" t="str">
            <v>Brand Marketing</v>
          </cell>
          <cell r="L302" t="str">
            <v>HQ Salaries</v>
          </cell>
          <cell r="N302" t="str">
            <v>SG&amp;A</v>
          </cell>
          <cell r="O302" t="str">
            <v>[No Vendor]</v>
          </cell>
        </row>
        <row r="303">
          <cell r="D303">
            <v>29.8</v>
          </cell>
          <cell r="H303">
            <v>45292</v>
          </cell>
          <cell r="I303" t="str">
            <v>6370 - Samples</v>
          </cell>
          <cell r="J303">
            <v>0</v>
          </cell>
          <cell r="K303" t="str">
            <v>Design</v>
          </cell>
          <cell r="L303" t="str">
            <v>Sample</v>
          </cell>
          <cell r="N303" t="str">
            <v>SG&amp;A</v>
          </cell>
          <cell r="O303" t="str">
            <v>[No Vendor]</v>
          </cell>
        </row>
        <row r="304">
          <cell r="D304">
            <v>7146.9</v>
          </cell>
          <cell r="H304">
            <v>45292</v>
          </cell>
          <cell r="I304" t="str">
            <v>6020 - Bonus</v>
          </cell>
          <cell r="J304">
            <v>0</v>
          </cell>
          <cell r="K304" t="str">
            <v>Production</v>
          </cell>
          <cell r="L304" t="str">
            <v>HQ Salaries</v>
          </cell>
          <cell r="N304" t="str">
            <v>SG&amp;A</v>
          </cell>
          <cell r="O304" t="str">
            <v>[No Vendor]</v>
          </cell>
        </row>
        <row r="305">
          <cell r="D305">
            <v>2160</v>
          </cell>
          <cell r="H305">
            <v>45292</v>
          </cell>
          <cell r="I305" t="str">
            <v>6020 - Bonus</v>
          </cell>
          <cell r="J305">
            <v>0</v>
          </cell>
          <cell r="K305" t="str">
            <v>Brand Marketing</v>
          </cell>
          <cell r="L305" t="str">
            <v>HQ Salaries</v>
          </cell>
          <cell r="N305" t="str">
            <v>SG&amp;A</v>
          </cell>
          <cell r="O305" t="str">
            <v>[No Vendor]</v>
          </cell>
        </row>
        <row r="306">
          <cell r="D306">
            <v>6392.5</v>
          </cell>
          <cell r="H306">
            <v>45292</v>
          </cell>
          <cell r="I306" t="str">
            <v>6020 - Bonus</v>
          </cell>
          <cell r="J306" t="str">
            <v>Ecommerce (US)</v>
          </cell>
          <cell r="K306" t="str">
            <v>Ecommerce</v>
          </cell>
          <cell r="L306" t="str">
            <v>HQ Salaries</v>
          </cell>
          <cell r="N306" t="str">
            <v>SG&amp;A</v>
          </cell>
          <cell r="O306" t="str">
            <v>[No Vendor]</v>
          </cell>
        </row>
        <row r="307">
          <cell r="D307">
            <v>4954.5</v>
          </cell>
          <cell r="H307">
            <v>45292</v>
          </cell>
          <cell r="I307" t="str">
            <v>6020 - Bonus</v>
          </cell>
          <cell r="J307">
            <v>0</v>
          </cell>
          <cell r="K307" t="str">
            <v>Design</v>
          </cell>
          <cell r="L307" t="str">
            <v>HQ Salaries</v>
          </cell>
          <cell r="N307" t="str">
            <v>SG&amp;A</v>
          </cell>
          <cell r="O307" t="str">
            <v>[No Vendor]</v>
          </cell>
        </row>
        <row r="308">
          <cell r="D308">
            <v>6175</v>
          </cell>
          <cell r="H308">
            <v>45292</v>
          </cell>
          <cell r="I308" t="str">
            <v>6020 - Bonus</v>
          </cell>
          <cell r="J308">
            <v>0</v>
          </cell>
          <cell r="K308" t="str">
            <v>Merchandising</v>
          </cell>
          <cell r="L308" t="str">
            <v>HQ Salaries</v>
          </cell>
          <cell r="N308" t="str">
            <v>SG&amp;A</v>
          </cell>
          <cell r="O308" t="str">
            <v>[No Vendor]</v>
          </cell>
        </row>
        <row r="309">
          <cell r="D309">
            <v>11673.3</v>
          </cell>
          <cell r="H309">
            <v>45292</v>
          </cell>
          <cell r="I309" t="str">
            <v>6020 - Bonus</v>
          </cell>
          <cell r="J309">
            <v>0</v>
          </cell>
          <cell r="K309" t="str">
            <v>Administration</v>
          </cell>
          <cell r="L309" t="str">
            <v>HQ Salaries</v>
          </cell>
          <cell r="N309" t="str">
            <v>SG&amp;A</v>
          </cell>
          <cell r="O309" t="str">
            <v>[No Vendor]</v>
          </cell>
        </row>
        <row r="310">
          <cell r="D310">
            <v>6800</v>
          </cell>
          <cell r="H310">
            <v>45292</v>
          </cell>
          <cell r="I310" t="str">
            <v>6020 - Bonus</v>
          </cell>
          <cell r="J310">
            <v>0</v>
          </cell>
          <cell r="K310" t="str">
            <v>Executive</v>
          </cell>
          <cell r="L310" t="str">
            <v>HQ Salaries</v>
          </cell>
          <cell r="N310" t="str">
            <v>SG&amp;A</v>
          </cell>
          <cell r="O310" t="str">
            <v>[No Vendor]</v>
          </cell>
        </row>
        <row r="311">
          <cell r="D311">
            <v>3260</v>
          </cell>
          <cell r="H311">
            <v>45292</v>
          </cell>
          <cell r="I311" t="str">
            <v>6020 - Bonus</v>
          </cell>
          <cell r="J311" t="str">
            <v>Wholesale</v>
          </cell>
          <cell r="K311" t="str">
            <v>Wholesale</v>
          </cell>
          <cell r="L311" t="str">
            <v>HQ Salaries</v>
          </cell>
          <cell r="N311" t="str">
            <v>SG&amp;A</v>
          </cell>
          <cell r="O311" t="str">
            <v>[No Vendor]</v>
          </cell>
        </row>
        <row r="312">
          <cell r="D312">
            <v>69.7</v>
          </cell>
          <cell r="H312">
            <v>45292</v>
          </cell>
          <cell r="I312" t="str">
            <v>6140 - Other</v>
          </cell>
          <cell r="J312">
            <v>0</v>
          </cell>
          <cell r="K312" t="str">
            <v>Brand Marketing</v>
          </cell>
          <cell r="L312" t="str">
            <v>T&amp;E</v>
          </cell>
          <cell r="N312" t="str">
            <v>SG&amp;A</v>
          </cell>
          <cell r="O312" t="str">
            <v>[No Vendor]</v>
          </cell>
        </row>
        <row r="313">
          <cell r="D313">
            <v>220</v>
          </cell>
          <cell r="H313">
            <v>45292</v>
          </cell>
          <cell r="I313" t="str">
            <v>6140 - Other</v>
          </cell>
          <cell r="J313" t="str">
            <v>Wholesale</v>
          </cell>
          <cell r="K313" t="str">
            <v>Wholesale</v>
          </cell>
          <cell r="L313" t="str">
            <v>T&amp;E</v>
          </cell>
          <cell r="N313" t="str">
            <v>SG&amp;A</v>
          </cell>
          <cell r="O313" t="str">
            <v>[No Vendor]</v>
          </cell>
        </row>
        <row r="314">
          <cell r="D314">
            <v>30</v>
          </cell>
          <cell r="H314">
            <v>45292</v>
          </cell>
          <cell r="I314" t="str">
            <v>6140 - Other</v>
          </cell>
          <cell r="J314">
            <v>0</v>
          </cell>
          <cell r="K314" t="str">
            <v>Design</v>
          </cell>
          <cell r="L314" t="str">
            <v>T&amp;E</v>
          </cell>
          <cell r="N314" t="str">
            <v>SG&amp;A</v>
          </cell>
          <cell r="O314" t="str">
            <v>[No Vendor]</v>
          </cell>
        </row>
        <row r="315">
          <cell r="D315">
            <v>873</v>
          </cell>
          <cell r="H315">
            <v>45292</v>
          </cell>
          <cell r="I315" t="str">
            <v>6120 - Lodging</v>
          </cell>
          <cell r="J315" t="str">
            <v>Wholesale</v>
          </cell>
          <cell r="K315" t="str">
            <v>Wholesale</v>
          </cell>
          <cell r="L315" t="str">
            <v>T&amp;E</v>
          </cell>
          <cell r="N315" t="str">
            <v>SG&amp;A</v>
          </cell>
          <cell r="O315" t="str">
            <v>[No Vendor]</v>
          </cell>
        </row>
        <row r="316">
          <cell r="D316">
            <v>2157.39</v>
          </cell>
          <cell r="H316">
            <v>45292</v>
          </cell>
          <cell r="I316" t="str">
            <v>6120 - Lodging</v>
          </cell>
          <cell r="J316" t="str">
            <v>Ecommerce (US)</v>
          </cell>
          <cell r="K316" t="str">
            <v>Ecommerce</v>
          </cell>
          <cell r="L316" t="str">
            <v>T&amp;E</v>
          </cell>
          <cell r="N316" t="str">
            <v>SG&amp;A</v>
          </cell>
          <cell r="O316" t="str">
            <v>[No Vendor]</v>
          </cell>
        </row>
        <row r="317">
          <cell r="D317">
            <v>0.81</v>
          </cell>
          <cell r="H317">
            <v>45292</v>
          </cell>
          <cell r="I317" t="str">
            <v>6450 - Bank &amp; Other Fees</v>
          </cell>
          <cell r="J317" t="str">
            <v>Ecommerce (EU)</v>
          </cell>
          <cell r="K317" t="str">
            <v>Ecommerce</v>
          </cell>
          <cell r="L317" t="str">
            <v>Professional Service</v>
          </cell>
          <cell r="N317" t="str">
            <v>Direct Costs</v>
          </cell>
          <cell r="O317" t="str">
            <v>[No Vendor]</v>
          </cell>
        </row>
        <row r="318">
          <cell r="D318">
            <v>77.58</v>
          </cell>
          <cell r="H318">
            <v>45292</v>
          </cell>
          <cell r="I318" t="str">
            <v>6450 - Bank &amp; Other Fees</v>
          </cell>
          <cell r="J318" t="str">
            <v>Ecommerce (US)</v>
          </cell>
          <cell r="K318" t="str">
            <v>Ecommerce</v>
          </cell>
          <cell r="L318" t="str">
            <v>Professional Service</v>
          </cell>
          <cell r="N318" t="str">
            <v>Direct Costs</v>
          </cell>
          <cell r="O318" t="str">
            <v>[No Vendor]</v>
          </cell>
        </row>
        <row r="319">
          <cell r="D319">
            <v>617.04999999999995</v>
          </cell>
          <cell r="H319">
            <v>45292</v>
          </cell>
          <cell r="I319" t="str">
            <v>6450 - Bank &amp; Other Fees</v>
          </cell>
          <cell r="J319" t="str">
            <v>Ecommerce (US)</v>
          </cell>
          <cell r="K319" t="str">
            <v>Ecommerce</v>
          </cell>
          <cell r="L319" t="str">
            <v>Professional Service</v>
          </cell>
          <cell r="N319" t="str">
            <v>Direct Costs</v>
          </cell>
          <cell r="O319" t="str">
            <v>[No Vendor]</v>
          </cell>
        </row>
        <row r="320">
          <cell r="D320">
            <v>85.28</v>
          </cell>
          <cell r="H320">
            <v>45292</v>
          </cell>
          <cell r="I320" t="str">
            <v>6450 - Bank &amp; Other Fees</v>
          </cell>
          <cell r="J320" t="str">
            <v>Ecommerce (US)</v>
          </cell>
          <cell r="K320" t="str">
            <v>Ecommerce</v>
          </cell>
          <cell r="L320" t="str">
            <v>Professional Service</v>
          </cell>
          <cell r="N320" t="str">
            <v>Direct Costs</v>
          </cell>
          <cell r="O320" t="str">
            <v>[No Vendor]</v>
          </cell>
        </row>
        <row r="321">
          <cell r="D321">
            <v>26782.99</v>
          </cell>
          <cell r="H321">
            <v>45292</v>
          </cell>
          <cell r="I321" t="str">
            <v>6450 - Bank &amp; Other Fees</v>
          </cell>
          <cell r="J321" t="str">
            <v>Ecommerce (US)</v>
          </cell>
          <cell r="K321" t="str">
            <v>Ecommerce</v>
          </cell>
          <cell r="L321" t="str">
            <v>Professional Service</v>
          </cell>
          <cell r="N321" t="str">
            <v>Direct Costs</v>
          </cell>
          <cell r="O321" t="str">
            <v>Shopify</v>
          </cell>
        </row>
        <row r="322">
          <cell r="D322">
            <v>7371.88</v>
          </cell>
          <cell r="H322">
            <v>45292</v>
          </cell>
          <cell r="I322" t="str">
            <v>6450 - Bank &amp; Other Fees</v>
          </cell>
          <cell r="J322" t="str">
            <v>Ecommerce (US)</v>
          </cell>
          <cell r="K322" t="str">
            <v>Ecommerce</v>
          </cell>
          <cell r="L322" t="str">
            <v>Professional Service</v>
          </cell>
          <cell r="N322" t="str">
            <v>Direct Costs</v>
          </cell>
          <cell r="O322" t="str">
            <v>Paypal</v>
          </cell>
        </row>
        <row r="323">
          <cell r="D323">
            <v>315</v>
          </cell>
          <cell r="H323">
            <v>45292</v>
          </cell>
          <cell r="I323" t="str">
            <v>6430 - Dues &amp; Memberships</v>
          </cell>
          <cell r="J323">
            <v>0</v>
          </cell>
          <cell r="K323" t="str">
            <v>Administration</v>
          </cell>
          <cell r="L323" t="str">
            <v>Professional Service</v>
          </cell>
          <cell r="N323" t="str">
            <v>Direct Costs</v>
          </cell>
          <cell r="O323" t="str">
            <v>[No Vendor]</v>
          </cell>
        </row>
        <row r="324">
          <cell r="D324">
            <v>194.89</v>
          </cell>
          <cell r="H324">
            <v>45292</v>
          </cell>
          <cell r="I324" t="str">
            <v>6430 - Dues &amp; Memberships</v>
          </cell>
          <cell r="J324">
            <v>0</v>
          </cell>
          <cell r="K324" t="str">
            <v>Administration</v>
          </cell>
          <cell r="L324" t="str">
            <v>Professional Service</v>
          </cell>
          <cell r="N324" t="str">
            <v>Direct Costs</v>
          </cell>
          <cell r="O324" t="str">
            <v>[No Vendor]</v>
          </cell>
        </row>
        <row r="325">
          <cell r="D325">
            <v>947.78</v>
          </cell>
          <cell r="H325">
            <v>45292</v>
          </cell>
          <cell r="I325" t="str">
            <v>6385 - Insurance</v>
          </cell>
          <cell r="J325">
            <v>0</v>
          </cell>
          <cell r="K325" t="str">
            <v>Administration</v>
          </cell>
          <cell r="L325" t="str">
            <v>Professional Service</v>
          </cell>
          <cell r="N325" t="str">
            <v>SG&amp;A</v>
          </cell>
          <cell r="O325" t="str">
            <v>[No Vendor]</v>
          </cell>
        </row>
        <row r="326">
          <cell r="D326">
            <v>-15.88</v>
          </cell>
          <cell r="H326">
            <v>45292</v>
          </cell>
          <cell r="I326" t="str">
            <v>6385 - Insurance</v>
          </cell>
          <cell r="J326">
            <v>0</v>
          </cell>
          <cell r="K326" t="str">
            <v>Administration</v>
          </cell>
          <cell r="L326" t="str">
            <v>Professional Service</v>
          </cell>
          <cell r="N326" t="str">
            <v>SG&amp;A</v>
          </cell>
          <cell r="O326" t="str">
            <v>[No Vendor]</v>
          </cell>
        </row>
        <row r="327">
          <cell r="D327">
            <v>-30.1</v>
          </cell>
          <cell r="H327">
            <v>45292</v>
          </cell>
          <cell r="I327" t="str">
            <v>6385 - Insurance</v>
          </cell>
          <cell r="J327">
            <v>0</v>
          </cell>
          <cell r="K327" t="str">
            <v>Administration</v>
          </cell>
          <cell r="L327" t="str">
            <v>Professional Service</v>
          </cell>
          <cell r="N327" t="str">
            <v>SG&amp;A</v>
          </cell>
          <cell r="O327" t="str">
            <v>[No Vendor]</v>
          </cell>
        </row>
        <row r="328">
          <cell r="D328">
            <v>-61.73</v>
          </cell>
          <cell r="H328">
            <v>45292</v>
          </cell>
          <cell r="I328" t="str">
            <v>6385 - Insurance</v>
          </cell>
          <cell r="J328">
            <v>0</v>
          </cell>
          <cell r="K328" t="str">
            <v>Administration</v>
          </cell>
          <cell r="L328" t="str">
            <v>Professional Service</v>
          </cell>
          <cell r="N328" t="str">
            <v>SG&amp;A</v>
          </cell>
          <cell r="O328" t="str">
            <v>[No Vendor]</v>
          </cell>
        </row>
        <row r="329">
          <cell r="D329">
            <v>-29.53</v>
          </cell>
          <cell r="H329">
            <v>45292</v>
          </cell>
          <cell r="I329" t="str">
            <v>6385 - Insurance</v>
          </cell>
          <cell r="J329">
            <v>0</v>
          </cell>
          <cell r="K329" t="str">
            <v>Administration</v>
          </cell>
          <cell r="L329" t="str">
            <v>Professional Service</v>
          </cell>
          <cell r="N329" t="str">
            <v>SG&amp;A</v>
          </cell>
          <cell r="O329" t="str">
            <v>[No Vendor]</v>
          </cell>
        </row>
        <row r="330">
          <cell r="D330">
            <v>-53.59</v>
          </cell>
          <cell r="H330">
            <v>45292</v>
          </cell>
          <cell r="I330" t="str">
            <v>6385 - Insurance</v>
          </cell>
          <cell r="J330">
            <v>0</v>
          </cell>
          <cell r="K330" t="str">
            <v>Administration</v>
          </cell>
          <cell r="L330" t="str">
            <v>Professional Service</v>
          </cell>
          <cell r="N330" t="str">
            <v>SG&amp;A</v>
          </cell>
          <cell r="O330" t="str">
            <v>[No Vendor]</v>
          </cell>
        </row>
        <row r="331">
          <cell r="D331">
            <v>-31</v>
          </cell>
          <cell r="H331">
            <v>45292</v>
          </cell>
          <cell r="I331" t="str">
            <v>6385 - Insurance</v>
          </cell>
          <cell r="J331">
            <v>0</v>
          </cell>
          <cell r="K331" t="str">
            <v>Administration</v>
          </cell>
          <cell r="L331" t="str">
            <v>Professional Service</v>
          </cell>
          <cell r="N331" t="str">
            <v>SG&amp;A</v>
          </cell>
          <cell r="O331" t="str">
            <v>[No Vendor]</v>
          </cell>
        </row>
        <row r="332">
          <cell r="D332">
            <v>-16.27</v>
          </cell>
          <cell r="H332">
            <v>45292</v>
          </cell>
          <cell r="I332" t="str">
            <v>6385 - Insurance</v>
          </cell>
          <cell r="J332">
            <v>0</v>
          </cell>
          <cell r="K332" t="str">
            <v>Administration</v>
          </cell>
          <cell r="L332" t="str">
            <v>Professional Service</v>
          </cell>
          <cell r="N332" t="str">
            <v>SG&amp;A</v>
          </cell>
          <cell r="O332" t="str">
            <v>[No Vendor]</v>
          </cell>
        </row>
        <row r="333">
          <cell r="D333">
            <v>17.45</v>
          </cell>
          <cell r="H333">
            <v>45292</v>
          </cell>
          <cell r="I333" t="str">
            <v>7060 - Information Technology &amp; Software</v>
          </cell>
          <cell r="J333" t="str">
            <v>Wholesale</v>
          </cell>
          <cell r="K333" t="str">
            <v>Wholesale</v>
          </cell>
          <cell r="L333" t="str">
            <v>Depreciation &amp; Amortization</v>
          </cell>
          <cell r="N333" t="str">
            <v>SG&amp;A</v>
          </cell>
          <cell r="O333" t="str">
            <v>[No Vendor]</v>
          </cell>
        </row>
        <row r="334">
          <cell r="D334">
            <v>83.41</v>
          </cell>
          <cell r="H334">
            <v>45292</v>
          </cell>
          <cell r="I334" t="str">
            <v>7060 - Information Technology &amp; Software</v>
          </cell>
          <cell r="J334" t="str">
            <v>Ecommerce (US)</v>
          </cell>
          <cell r="K334" t="str">
            <v>Ecommerce</v>
          </cell>
          <cell r="L334" t="str">
            <v>Depreciation &amp; Amortization</v>
          </cell>
          <cell r="N334" t="str">
            <v>SG&amp;A</v>
          </cell>
          <cell r="O334" t="str">
            <v>[No Vendor]</v>
          </cell>
        </row>
        <row r="335">
          <cell r="D335">
            <v>146.06</v>
          </cell>
          <cell r="H335">
            <v>45292</v>
          </cell>
          <cell r="I335" t="str">
            <v>7060 - Information Technology &amp; Software</v>
          </cell>
          <cell r="J335">
            <v>0</v>
          </cell>
          <cell r="K335" t="str">
            <v>Production</v>
          </cell>
          <cell r="L335" t="str">
            <v>Depreciation &amp; Amortization</v>
          </cell>
          <cell r="N335" t="str">
            <v>SG&amp;A</v>
          </cell>
          <cell r="O335" t="str">
            <v>[No Vendor]</v>
          </cell>
        </row>
        <row r="336">
          <cell r="D336">
            <v>179.49</v>
          </cell>
          <cell r="H336">
            <v>45292</v>
          </cell>
          <cell r="I336" t="str">
            <v>7060 - Information Technology &amp; Software</v>
          </cell>
          <cell r="J336">
            <v>0</v>
          </cell>
          <cell r="K336" t="str">
            <v>Design</v>
          </cell>
          <cell r="L336" t="str">
            <v>Depreciation &amp; Amortization</v>
          </cell>
          <cell r="N336" t="str">
            <v>SG&amp;A</v>
          </cell>
          <cell r="O336" t="str">
            <v>[No Vendor]</v>
          </cell>
        </row>
        <row r="337">
          <cell r="D337">
            <v>65.48</v>
          </cell>
          <cell r="H337">
            <v>45292</v>
          </cell>
          <cell r="I337" t="str">
            <v>7060 - Information Technology &amp; Software</v>
          </cell>
          <cell r="J337">
            <v>0</v>
          </cell>
          <cell r="K337" t="str">
            <v>Merchandising</v>
          </cell>
          <cell r="L337" t="str">
            <v>Depreciation &amp; Amortization</v>
          </cell>
          <cell r="N337" t="str">
            <v>SG&amp;A</v>
          </cell>
          <cell r="O337" t="str">
            <v>[No Vendor]</v>
          </cell>
        </row>
        <row r="338">
          <cell r="D338">
            <v>150.27000000000001</v>
          </cell>
          <cell r="H338">
            <v>45292</v>
          </cell>
          <cell r="I338" t="str">
            <v>7060 - Information Technology &amp; Software</v>
          </cell>
          <cell r="J338">
            <v>0</v>
          </cell>
          <cell r="K338" t="str">
            <v>Brand Marketing</v>
          </cell>
          <cell r="L338" t="str">
            <v>Depreciation &amp; Amortization</v>
          </cell>
          <cell r="N338" t="str">
            <v>SG&amp;A</v>
          </cell>
          <cell r="O338" t="str">
            <v>[No Vendor]</v>
          </cell>
        </row>
        <row r="339">
          <cell r="D339">
            <v>769.02</v>
          </cell>
          <cell r="H339">
            <v>45292</v>
          </cell>
          <cell r="I339" t="str">
            <v>7060 - Information Technology &amp; Software</v>
          </cell>
          <cell r="J339">
            <v>0</v>
          </cell>
          <cell r="K339" t="str">
            <v>Administration</v>
          </cell>
          <cell r="L339" t="str">
            <v>Depreciation &amp; Amortization</v>
          </cell>
          <cell r="N339" t="str">
            <v>SG&amp;A</v>
          </cell>
          <cell r="O339" t="str">
            <v>[No Vendor]</v>
          </cell>
        </row>
        <row r="340">
          <cell r="D340">
            <v>0</v>
          </cell>
          <cell r="H340">
            <v>45292</v>
          </cell>
          <cell r="I340" t="str">
            <v>7040 - Furniture &amp; Fixtures</v>
          </cell>
          <cell r="J340">
            <v>0</v>
          </cell>
          <cell r="K340" t="str">
            <v>Brand Marketing</v>
          </cell>
          <cell r="L340" t="str">
            <v>Depreciation &amp; Amortization</v>
          </cell>
          <cell r="N340" t="str">
            <v>SG&amp;A</v>
          </cell>
          <cell r="O340" t="str">
            <v>[No Vendor]</v>
          </cell>
        </row>
        <row r="341">
          <cell r="D341">
            <v>267.04000000000002</v>
          </cell>
          <cell r="H341">
            <v>45292</v>
          </cell>
          <cell r="I341" t="str">
            <v>7040 - Furniture &amp; Fixtures</v>
          </cell>
          <cell r="J341">
            <v>0</v>
          </cell>
          <cell r="K341" t="str">
            <v>Administration</v>
          </cell>
          <cell r="L341" t="str">
            <v>Depreciation &amp; Amortization</v>
          </cell>
          <cell r="N341" t="str">
            <v>SG&amp;A</v>
          </cell>
          <cell r="O341" t="str">
            <v>[No Vendor]</v>
          </cell>
        </row>
        <row r="342">
          <cell r="D342">
            <v>348.4</v>
          </cell>
          <cell r="H342">
            <v>45292</v>
          </cell>
          <cell r="I342" t="str">
            <v>6300 - Payroll Service Fees</v>
          </cell>
          <cell r="J342">
            <v>0</v>
          </cell>
          <cell r="K342" t="str">
            <v>Administration</v>
          </cell>
          <cell r="L342" t="str">
            <v>Professional Service</v>
          </cell>
          <cell r="N342" t="str">
            <v>SG&amp;A</v>
          </cell>
          <cell r="O342" t="str">
            <v>ADP Payroll Services</v>
          </cell>
        </row>
        <row r="343">
          <cell r="D343">
            <v>893.5</v>
          </cell>
          <cell r="H343">
            <v>45292</v>
          </cell>
          <cell r="I343" t="str">
            <v>6055 - Employer Social Security Tax Withheld</v>
          </cell>
          <cell r="J343" t="str">
            <v>Wholesale</v>
          </cell>
          <cell r="K343" t="str">
            <v>Wholesale</v>
          </cell>
          <cell r="L343" t="str">
            <v>HQ Salaries</v>
          </cell>
          <cell r="N343" t="str">
            <v>SG&amp;A</v>
          </cell>
          <cell r="O343" t="str">
            <v>[No Vendor]</v>
          </cell>
        </row>
        <row r="344">
          <cell r="D344">
            <v>1957.43</v>
          </cell>
          <cell r="H344">
            <v>45292</v>
          </cell>
          <cell r="I344" t="str">
            <v>6055 - Employer Social Security Tax Withheld</v>
          </cell>
          <cell r="J344">
            <v>0</v>
          </cell>
          <cell r="K344" t="str">
            <v>Production</v>
          </cell>
          <cell r="L344" t="str">
            <v>HQ Salaries</v>
          </cell>
          <cell r="N344" t="str">
            <v>SG&amp;A</v>
          </cell>
          <cell r="O344" t="str">
            <v>[No Vendor]</v>
          </cell>
        </row>
        <row r="345">
          <cell r="D345">
            <v>587.32000000000005</v>
          </cell>
          <cell r="H345">
            <v>45292</v>
          </cell>
          <cell r="I345" t="str">
            <v>6055 - Employer Social Security Tax Withheld</v>
          </cell>
          <cell r="J345">
            <v>0</v>
          </cell>
          <cell r="K345" t="str">
            <v>Brand Marketing</v>
          </cell>
          <cell r="L345" t="str">
            <v>HQ Salaries</v>
          </cell>
          <cell r="N345" t="str">
            <v>SG&amp;A</v>
          </cell>
          <cell r="O345" t="str">
            <v>[No Vendor]</v>
          </cell>
        </row>
        <row r="346">
          <cell r="D346">
            <v>1656.47</v>
          </cell>
          <cell r="H346">
            <v>45292</v>
          </cell>
          <cell r="I346" t="str">
            <v>6055 - Employer Social Security Tax Withheld</v>
          </cell>
          <cell r="J346">
            <v>0</v>
          </cell>
          <cell r="K346" t="str">
            <v>Design</v>
          </cell>
          <cell r="L346" t="str">
            <v>HQ Salaries</v>
          </cell>
          <cell r="N346" t="str">
            <v>SG&amp;A</v>
          </cell>
          <cell r="O346" t="str">
            <v>[No Vendor]</v>
          </cell>
        </row>
        <row r="347">
          <cell r="D347">
            <v>2302.27</v>
          </cell>
          <cell r="H347">
            <v>45292</v>
          </cell>
          <cell r="I347" t="str">
            <v>6055 - Employer Social Security Tax Withheld</v>
          </cell>
          <cell r="J347">
            <v>0</v>
          </cell>
          <cell r="K347" t="str">
            <v>Administration</v>
          </cell>
          <cell r="L347" t="str">
            <v>HQ Salaries</v>
          </cell>
          <cell r="N347" t="str">
            <v>SG&amp;A</v>
          </cell>
          <cell r="O347" t="str">
            <v>[No Vendor]</v>
          </cell>
        </row>
        <row r="348">
          <cell r="D348">
            <v>1874.41</v>
          </cell>
          <cell r="H348">
            <v>45292</v>
          </cell>
          <cell r="I348" t="str">
            <v>6055 - Employer Social Security Tax Withheld</v>
          </cell>
          <cell r="J348" t="str">
            <v>Ecommerce (US)</v>
          </cell>
          <cell r="K348" t="str">
            <v>Ecommerce</v>
          </cell>
          <cell r="L348" t="str">
            <v>HQ Salaries</v>
          </cell>
          <cell r="N348" t="str">
            <v>SG&amp;A</v>
          </cell>
          <cell r="O348" t="str">
            <v>[No Vendor]</v>
          </cell>
        </row>
        <row r="349">
          <cell r="D349">
            <v>626</v>
          </cell>
          <cell r="H349">
            <v>45292</v>
          </cell>
          <cell r="I349" t="str">
            <v>6055 - Employer Social Security Tax Withheld</v>
          </cell>
          <cell r="J349">
            <v>0</v>
          </cell>
          <cell r="K349" t="str">
            <v>Merchandising</v>
          </cell>
          <cell r="L349" t="str">
            <v>HQ Salaries</v>
          </cell>
          <cell r="N349" t="str">
            <v>SG&amp;A</v>
          </cell>
          <cell r="O349" t="str">
            <v>[No Vendor]</v>
          </cell>
        </row>
        <row r="350">
          <cell r="D350">
            <v>-3726.45</v>
          </cell>
          <cell r="H350">
            <v>45292</v>
          </cell>
          <cell r="I350" t="str">
            <v>5000 - Cost of Goods Sold</v>
          </cell>
          <cell r="J350" t="str">
            <v>Wholesale</v>
          </cell>
          <cell r="K350" t="str">
            <v>Wholesale</v>
          </cell>
          <cell r="L350" t="str">
            <v>COGS</v>
          </cell>
          <cell r="N350" t="str">
            <v>COGS</v>
          </cell>
          <cell r="O350" t="str">
            <v>[No Vendor]</v>
          </cell>
        </row>
        <row r="351">
          <cell r="D351">
            <v>-1871.43</v>
          </cell>
          <cell r="H351">
            <v>45292</v>
          </cell>
          <cell r="I351" t="str">
            <v>5000 - Cost of Goods Sold</v>
          </cell>
          <cell r="J351" t="str">
            <v>Wholesale</v>
          </cell>
          <cell r="K351" t="str">
            <v>Wholesale</v>
          </cell>
          <cell r="L351" t="str">
            <v>COGS</v>
          </cell>
          <cell r="N351" t="str">
            <v>COGS</v>
          </cell>
          <cell r="O351" t="str">
            <v>[No Vendor]</v>
          </cell>
        </row>
        <row r="352">
          <cell r="D352">
            <v>113000.64</v>
          </cell>
          <cell r="H352">
            <v>45292</v>
          </cell>
          <cell r="I352" t="str">
            <v>5000 - Cost of Goods Sold</v>
          </cell>
          <cell r="J352" t="str">
            <v>Wholesale</v>
          </cell>
          <cell r="K352" t="str">
            <v>Wholesale</v>
          </cell>
          <cell r="L352" t="str">
            <v>COGS</v>
          </cell>
          <cell r="N352" t="str">
            <v>COGS</v>
          </cell>
          <cell r="O352" t="str">
            <v>[No Vendor]</v>
          </cell>
        </row>
        <row r="353">
          <cell r="D353">
            <v>302064.45</v>
          </cell>
          <cell r="H353">
            <v>45292</v>
          </cell>
          <cell r="I353" t="str">
            <v>5000 - Cost of Goods Sold</v>
          </cell>
          <cell r="J353" t="str">
            <v>Ecommerce (US)</v>
          </cell>
          <cell r="K353" t="str">
            <v>Ecommerce</v>
          </cell>
          <cell r="L353" t="str">
            <v>COGS</v>
          </cell>
          <cell r="N353" t="str">
            <v>COGS</v>
          </cell>
          <cell r="O353" t="str">
            <v>[No Vendor]</v>
          </cell>
        </row>
        <row r="354">
          <cell r="D354">
            <v>37225.1</v>
          </cell>
          <cell r="H354">
            <v>45292</v>
          </cell>
          <cell r="I354" t="str">
            <v>5000 - Cost of Goods Sold</v>
          </cell>
          <cell r="J354" t="str">
            <v>Ecommerce (EU)</v>
          </cell>
          <cell r="K354" t="str">
            <v>Ecommerce</v>
          </cell>
          <cell r="L354" t="str">
            <v>COGS</v>
          </cell>
          <cell r="N354" t="str">
            <v>COGS</v>
          </cell>
          <cell r="O354" t="str">
            <v>[No Vendor]</v>
          </cell>
        </row>
        <row r="355">
          <cell r="D355">
            <v>9655.24</v>
          </cell>
          <cell r="H355">
            <v>45292</v>
          </cell>
          <cell r="I355" t="str">
            <v>5000 - Cost of Goods Sold</v>
          </cell>
          <cell r="J355" t="str">
            <v>Ecommerce (US)</v>
          </cell>
          <cell r="K355" t="str">
            <v>Ecommerce</v>
          </cell>
          <cell r="L355" t="str">
            <v>COGS</v>
          </cell>
          <cell r="N355" t="str">
            <v>COGS</v>
          </cell>
          <cell r="O355" t="str">
            <v>[No Vendor]</v>
          </cell>
        </row>
        <row r="356">
          <cell r="D356">
            <v>-145.61000000000001</v>
          </cell>
          <cell r="H356">
            <v>45292</v>
          </cell>
          <cell r="I356" t="str">
            <v>8000 - Interest Income</v>
          </cell>
          <cell r="J356">
            <v>0</v>
          </cell>
          <cell r="K356" t="str">
            <v>Administration</v>
          </cell>
          <cell r="L356" t="str">
            <v>Other Income (BTL)</v>
          </cell>
          <cell r="N356" t="str">
            <v>BTL</v>
          </cell>
          <cell r="O356" t="str">
            <v>[No Vendor]</v>
          </cell>
        </row>
        <row r="357">
          <cell r="D357">
            <v>859.61</v>
          </cell>
          <cell r="H357">
            <v>45292</v>
          </cell>
          <cell r="I357" t="str">
            <v>6487 - Interest Expense</v>
          </cell>
          <cell r="J357">
            <v>0</v>
          </cell>
          <cell r="K357" t="str">
            <v>Administration</v>
          </cell>
          <cell r="L357" t="str">
            <v>Interest</v>
          </cell>
          <cell r="N357" t="str">
            <v>BTL</v>
          </cell>
          <cell r="O357" t="str">
            <v>[No Vendor]</v>
          </cell>
        </row>
        <row r="358">
          <cell r="D358">
            <v>11796.16</v>
          </cell>
          <cell r="H358">
            <v>45292</v>
          </cell>
          <cell r="I358" t="str">
            <v>6487 - Interest Expense</v>
          </cell>
          <cell r="J358">
            <v>0</v>
          </cell>
          <cell r="K358" t="str">
            <v>Administration</v>
          </cell>
          <cell r="L358" t="str">
            <v>Interest</v>
          </cell>
          <cell r="N358" t="str">
            <v>BTL</v>
          </cell>
          <cell r="O358" t="str">
            <v>[No Vendor]</v>
          </cell>
        </row>
        <row r="359">
          <cell r="D359">
            <v>5860.27</v>
          </cell>
          <cell r="H359">
            <v>45292</v>
          </cell>
          <cell r="I359" t="str">
            <v>6487 - Interest Expense</v>
          </cell>
          <cell r="J359">
            <v>0</v>
          </cell>
          <cell r="K359" t="str">
            <v>Administration</v>
          </cell>
          <cell r="L359" t="str">
            <v>Interest</v>
          </cell>
          <cell r="N359" t="str">
            <v>BTL</v>
          </cell>
          <cell r="O359" t="str">
            <v>[No Vendor]</v>
          </cell>
        </row>
        <row r="360">
          <cell r="D360">
            <v>4297.53</v>
          </cell>
          <cell r="H360">
            <v>45292</v>
          </cell>
          <cell r="I360" t="str">
            <v>6487 - Interest Expense</v>
          </cell>
          <cell r="J360">
            <v>0</v>
          </cell>
          <cell r="K360" t="str">
            <v>Administration</v>
          </cell>
          <cell r="L360" t="str">
            <v>Interest</v>
          </cell>
          <cell r="N360" t="str">
            <v>BTL</v>
          </cell>
          <cell r="O360" t="str">
            <v>[No Vendor]</v>
          </cell>
        </row>
        <row r="361">
          <cell r="D361">
            <v>20</v>
          </cell>
          <cell r="H361">
            <v>45292</v>
          </cell>
          <cell r="I361" t="str">
            <v>6135 - Parking and Tolls</v>
          </cell>
          <cell r="J361" t="str">
            <v>Wholesale</v>
          </cell>
          <cell r="K361" t="str">
            <v>Wholesale</v>
          </cell>
          <cell r="L361" t="str">
            <v>T&amp;E</v>
          </cell>
          <cell r="N361" t="str">
            <v>SG&amp;A</v>
          </cell>
          <cell r="O361" t="str">
            <v>[No Vendor]</v>
          </cell>
        </row>
        <row r="362">
          <cell r="D362">
            <v>337</v>
          </cell>
          <cell r="H362">
            <v>45292</v>
          </cell>
          <cell r="I362" t="str">
            <v>6135 - Parking and Tolls</v>
          </cell>
          <cell r="J362" t="str">
            <v>Ecommerce (US)</v>
          </cell>
          <cell r="K362" t="str">
            <v>Ecommerce</v>
          </cell>
          <cell r="L362" t="str">
            <v>T&amp;E</v>
          </cell>
          <cell r="N362" t="str">
            <v>SG&amp;A</v>
          </cell>
          <cell r="O362" t="str">
            <v>[No Vendor]</v>
          </cell>
        </row>
        <row r="363">
          <cell r="D363">
            <v>369.53</v>
          </cell>
          <cell r="H363">
            <v>45292</v>
          </cell>
          <cell r="I363" t="str">
            <v>6125 - Transportation and Fuel</v>
          </cell>
          <cell r="J363" t="str">
            <v>Wholesale</v>
          </cell>
          <cell r="K363" t="str">
            <v>Wholesale</v>
          </cell>
          <cell r="L363" t="str">
            <v>T&amp;E</v>
          </cell>
          <cell r="N363" t="str">
            <v>SG&amp;A</v>
          </cell>
          <cell r="O363" t="str">
            <v>[No Vendor]</v>
          </cell>
        </row>
        <row r="364">
          <cell r="D364">
            <v>51.27</v>
          </cell>
          <cell r="H364">
            <v>45292</v>
          </cell>
          <cell r="I364" t="str">
            <v>6125 - Transportation and Fuel</v>
          </cell>
          <cell r="J364">
            <v>0</v>
          </cell>
          <cell r="K364" t="str">
            <v>Administration</v>
          </cell>
          <cell r="L364" t="str">
            <v>T&amp;E</v>
          </cell>
          <cell r="N364" t="str">
            <v>SG&amp;A</v>
          </cell>
          <cell r="O364" t="str">
            <v>[No Vendor]</v>
          </cell>
        </row>
        <row r="365">
          <cell r="D365">
            <v>673.88</v>
          </cell>
          <cell r="H365">
            <v>45292</v>
          </cell>
          <cell r="I365" t="str">
            <v>6125 - Transportation and Fuel</v>
          </cell>
          <cell r="J365">
            <v>0</v>
          </cell>
          <cell r="K365" t="str">
            <v>Brand Marketing</v>
          </cell>
          <cell r="L365" t="str">
            <v>T&amp;E</v>
          </cell>
          <cell r="N365" t="str">
            <v>SG&amp;A</v>
          </cell>
          <cell r="O365" t="str">
            <v>[No Vendor]</v>
          </cell>
        </row>
        <row r="366">
          <cell r="D366">
            <v>90.69</v>
          </cell>
          <cell r="H366">
            <v>45292</v>
          </cell>
          <cell r="I366" t="str">
            <v>6125 - Transportation and Fuel</v>
          </cell>
          <cell r="J366" t="str">
            <v>Wholesale</v>
          </cell>
          <cell r="K366" t="str">
            <v>Wholesale</v>
          </cell>
          <cell r="L366" t="str">
            <v>T&amp;E</v>
          </cell>
          <cell r="N366" t="str">
            <v>SG&amp;A</v>
          </cell>
          <cell r="O366" t="str">
            <v>[No Vendor]</v>
          </cell>
        </row>
        <row r="367">
          <cell r="D367">
            <v>46.07</v>
          </cell>
          <cell r="H367">
            <v>45292</v>
          </cell>
          <cell r="I367" t="str">
            <v>6125 - Transportation and Fuel</v>
          </cell>
          <cell r="J367" t="str">
            <v>Ecommerce (US)</v>
          </cell>
          <cell r="K367" t="str">
            <v>Ecommerce</v>
          </cell>
          <cell r="L367" t="str">
            <v>T&amp;E</v>
          </cell>
          <cell r="N367" t="str">
            <v>SG&amp;A</v>
          </cell>
          <cell r="O367" t="str">
            <v>[No Vendor]</v>
          </cell>
        </row>
        <row r="368">
          <cell r="D368">
            <v>196.42</v>
          </cell>
          <cell r="H368">
            <v>45292</v>
          </cell>
          <cell r="I368" t="str">
            <v>6125 - Transportation and Fuel</v>
          </cell>
          <cell r="J368">
            <v>0</v>
          </cell>
          <cell r="K368" t="str">
            <v>Design</v>
          </cell>
          <cell r="L368" t="str">
            <v>T&amp;E</v>
          </cell>
          <cell r="N368" t="str">
            <v>SG&amp;A</v>
          </cell>
          <cell r="O368" t="str">
            <v>[No Vendor]</v>
          </cell>
        </row>
        <row r="369">
          <cell r="D369">
            <v>401.42</v>
          </cell>
          <cell r="H369">
            <v>45292</v>
          </cell>
          <cell r="I369" t="str">
            <v>6115 - Airfare</v>
          </cell>
          <cell r="J369">
            <v>0</v>
          </cell>
          <cell r="K369" t="str">
            <v>Production</v>
          </cell>
          <cell r="L369" t="str">
            <v>T&amp;E</v>
          </cell>
          <cell r="N369" t="str">
            <v>SG&amp;A</v>
          </cell>
          <cell r="O369" t="str">
            <v>[No Vendor]</v>
          </cell>
        </row>
        <row r="370">
          <cell r="D370">
            <v>626.20000000000005</v>
          </cell>
          <cell r="H370">
            <v>45292</v>
          </cell>
          <cell r="I370" t="str">
            <v>6115 - Airfare</v>
          </cell>
          <cell r="J370">
            <v>0</v>
          </cell>
          <cell r="K370" t="str">
            <v>Brand Marketing</v>
          </cell>
          <cell r="L370" t="str">
            <v>T&amp;E</v>
          </cell>
          <cell r="N370" t="str">
            <v>SG&amp;A</v>
          </cell>
          <cell r="O370" t="str">
            <v>[No Vendor]</v>
          </cell>
        </row>
        <row r="371">
          <cell r="D371">
            <v>173.02</v>
          </cell>
          <cell r="H371">
            <v>45292</v>
          </cell>
          <cell r="I371" t="str">
            <v>6105 - Meals</v>
          </cell>
          <cell r="J371">
            <v>0</v>
          </cell>
          <cell r="K371" t="str">
            <v>Administration</v>
          </cell>
          <cell r="L371" t="str">
            <v>T&amp;E</v>
          </cell>
          <cell r="N371" t="str">
            <v>SG&amp;A</v>
          </cell>
          <cell r="O371" t="str">
            <v>[No Vendor]</v>
          </cell>
        </row>
        <row r="372">
          <cell r="D372">
            <v>157.04</v>
          </cell>
          <cell r="H372">
            <v>45292</v>
          </cell>
          <cell r="I372" t="str">
            <v>6105 - Meals</v>
          </cell>
          <cell r="J372">
            <v>0</v>
          </cell>
          <cell r="K372" t="str">
            <v>Brand Marketing</v>
          </cell>
          <cell r="L372" t="str">
            <v>T&amp;E</v>
          </cell>
          <cell r="N372" t="str">
            <v>SG&amp;A</v>
          </cell>
          <cell r="O372" t="str">
            <v>[No Vendor]</v>
          </cell>
        </row>
        <row r="373">
          <cell r="D373">
            <v>1318.82</v>
          </cell>
          <cell r="H373">
            <v>45292</v>
          </cell>
          <cell r="I373" t="str">
            <v>6105 - Meals</v>
          </cell>
          <cell r="J373">
            <v>0</v>
          </cell>
          <cell r="K373" t="str">
            <v>Administration</v>
          </cell>
          <cell r="L373" t="str">
            <v>T&amp;E</v>
          </cell>
          <cell r="N373" t="str">
            <v>SG&amp;A</v>
          </cell>
          <cell r="O373" t="str">
            <v>[No Vendor]</v>
          </cell>
        </row>
        <row r="374">
          <cell r="D374">
            <v>309.11</v>
          </cell>
          <cell r="H374">
            <v>45292</v>
          </cell>
          <cell r="I374" t="str">
            <v>6105 - Meals</v>
          </cell>
          <cell r="J374" t="str">
            <v>Wholesale</v>
          </cell>
          <cell r="K374" t="str">
            <v>Wholesale</v>
          </cell>
          <cell r="L374" t="str">
            <v>T&amp;E</v>
          </cell>
          <cell r="N374" t="str">
            <v>SG&amp;A</v>
          </cell>
          <cell r="O374" t="str">
            <v>[No Vendor]</v>
          </cell>
        </row>
        <row r="375">
          <cell r="D375">
            <v>112.39</v>
          </cell>
          <cell r="H375">
            <v>45292</v>
          </cell>
          <cell r="I375" t="str">
            <v>6105 - Meals</v>
          </cell>
          <cell r="J375">
            <v>0</v>
          </cell>
          <cell r="K375" t="str">
            <v>Design</v>
          </cell>
          <cell r="L375" t="str">
            <v>T&amp;E</v>
          </cell>
          <cell r="N375" t="str">
            <v>SG&amp;A</v>
          </cell>
          <cell r="O375" t="str">
            <v>[No Vendor]</v>
          </cell>
        </row>
        <row r="376">
          <cell r="D376">
            <v>175</v>
          </cell>
          <cell r="H376">
            <v>45292</v>
          </cell>
          <cell r="I376" t="str">
            <v>6420 - Licenses &amp; Membership</v>
          </cell>
          <cell r="J376">
            <v>0</v>
          </cell>
          <cell r="K376" t="str">
            <v>Production</v>
          </cell>
          <cell r="L376" t="str">
            <v>Professional Service</v>
          </cell>
          <cell r="N376" t="str">
            <v>SG&amp;A</v>
          </cell>
          <cell r="O376" t="str">
            <v>[No Vendor]</v>
          </cell>
        </row>
        <row r="377">
          <cell r="D377">
            <v>1905.31</v>
          </cell>
          <cell r="H377">
            <v>45292</v>
          </cell>
          <cell r="I377" t="str">
            <v>6420 - Licenses &amp; Membership</v>
          </cell>
          <cell r="J377">
            <v>0</v>
          </cell>
          <cell r="K377" t="str">
            <v>Administration</v>
          </cell>
          <cell r="L377" t="str">
            <v>Professional Service</v>
          </cell>
          <cell r="N377" t="str">
            <v>SG&amp;A</v>
          </cell>
          <cell r="O377" t="str">
            <v>[No Vendor]</v>
          </cell>
        </row>
        <row r="378">
          <cell r="D378">
            <v>4750</v>
          </cell>
          <cell r="H378">
            <v>45292</v>
          </cell>
          <cell r="I378" t="str">
            <v>6375 - Freight Expenses</v>
          </cell>
          <cell r="J378" t="str">
            <v>Ecommerce (US)</v>
          </cell>
          <cell r="K378" t="str">
            <v>Ecommerce</v>
          </cell>
          <cell r="L378" t="str">
            <v>Freight</v>
          </cell>
          <cell r="N378" t="str">
            <v>Direct Costs</v>
          </cell>
          <cell r="O378" t="str">
            <v>Easy Post</v>
          </cell>
        </row>
        <row r="379">
          <cell r="D379">
            <v>14.15</v>
          </cell>
          <cell r="H379">
            <v>45292</v>
          </cell>
          <cell r="I379" t="str">
            <v>7030 - Plant Machinery &amp; Equipment</v>
          </cell>
          <cell r="J379">
            <v>0</v>
          </cell>
          <cell r="K379" t="str">
            <v>Administration</v>
          </cell>
          <cell r="L379" t="str">
            <v>Depreciation &amp; Amortization</v>
          </cell>
          <cell r="N379" t="str">
            <v>SG&amp;A</v>
          </cell>
          <cell r="O379" t="str">
            <v>[No Vendor]</v>
          </cell>
        </row>
        <row r="380">
          <cell r="D380">
            <v>-16</v>
          </cell>
          <cell r="H380">
            <v>45292</v>
          </cell>
          <cell r="I380" t="str">
            <v>6040 - Employer Paid Benefits</v>
          </cell>
          <cell r="J380" t="str">
            <v>Wholesale</v>
          </cell>
          <cell r="K380" t="str">
            <v>Wholesale</v>
          </cell>
          <cell r="L380" t="str">
            <v>HQ Salaries</v>
          </cell>
          <cell r="N380" t="str">
            <v>SG&amp;A</v>
          </cell>
          <cell r="O380" t="str">
            <v>[No Vendor]</v>
          </cell>
        </row>
        <row r="381">
          <cell r="D381">
            <v>-265.26</v>
          </cell>
          <cell r="H381">
            <v>45292</v>
          </cell>
          <cell r="I381" t="str">
            <v>6040 - Employer Paid Benefits</v>
          </cell>
          <cell r="J381">
            <v>0</v>
          </cell>
          <cell r="K381" t="str">
            <v>Production</v>
          </cell>
          <cell r="L381" t="str">
            <v>HQ Salaries</v>
          </cell>
          <cell r="N381" t="str">
            <v>SG&amp;A</v>
          </cell>
          <cell r="O381" t="str">
            <v>[No Vendor]</v>
          </cell>
        </row>
        <row r="382">
          <cell r="D382">
            <v>-145.81</v>
          </cell>
          <cell r="H382">
            <v>45292</v>
          </cell>
          <cell r="I382" t="str">
            <v>6040 - Employer Paid Benefits</v>
          </cell>
          <cell r="J382">
            <v>0</v>
          </cell>
          <cell r="K382" t="str">
            <v>Design</v>
          </cell>
          <cell r="L382" t="str">
            <v>HQ Salaries</v>
          </cell>
          <cell r="N382" t="str">
            <v>SG&amp;A</v>
          </cell>
          <cell r="O382" t="str">
            <v>[No Vendor]</v>
          </cell>
        </row>
        <row r="383">
          <cell r="D383">
            <v>-100</v>
          </cell>
          <cell r="H383">
            <v>45292</v>
          </cell>
          <cell r="I383" t="str">
            <v>6040 - Employer Paid Benefits</v>
          </cell>
          <cell r="J383">
            <v>0</v>
          </cell>
          <cell r="K383" t="str">
            <v>Administration</v>
          </cell>
          <cell r="L383" t="str">
            <v>HQ Salaries</v>
          </cell>
          <cell r="N383" t="str">
            <v>SG&amp;A</v>
          </cell>
          <cell r="O383" t="str">
            <v>[No Vendor]</v>
          </cell>
        </row>
        <row r="384">
          <cell r="D384">
            <v>-16</v>
          </cell>
          <cell r="H384">
            <v>45292</v>
          </cell>
          <cell r="I384" t="str">
            <v>6040 - Employer Paid Benefits</v>
          </cell>
          <cell r="J384">
            <v>0</v>
          </cell>
          <cell r="K384" t="str">
            <v>Brand Marketing</v>
          </cell>
          <cell r="L384" t="str">
            <v>HQ Salaries</v>
          </cell>
          <cell r="N384" t="str">
            <v>SG&amp;A</v>
          </cell>
          <cell r="O384" t="str">
            <v>[No Vendor]</v>
          </cell>
        </row>
        <row r="385">
          <cell r="D385">
            <v>-114</v>
          </cell>
          <cell r="H385">
            <v>45292</v>
          </cell>
          <cell r="I385" t="str">
            <v>6040 - Employer Paid Benefits</v>
          </cell>
          <cell r="J385" t="str">
            <v>Ecommerce (US)</v>
          </cell>
          <cell r="K385" t="str">
            <v>Ecommerce</v>
          </cell>
          <cell r="L385" t="str">
            <v>HQ Salaries</v>
          </cell>
          <cell r="N385" t="str">
            <v>SG&amp;A</v>
          </cell>
          <cell r="O385" t="str">
            <v>[No Vendor]</v>
          </cell>
        </row>
        <row r="386">
          <cell r="D386">
            <v>0</v>
          </cell>
          <cell r="H386">
            <v>45292</v>
          </cell>
          <cell r="I386" t="str">
            <v>6040 - Employer Paid Benefits</v>
          </cell>
          <cell r="J386">
            <v>0</v>
          </cell>
          <cell r="K386" t="str">
            <v>Merchandising</v>
          </cell>
          <cell r="L386" t="str">
            <v>HQ Salaries</v>
          </cell>
          <cell r="N386" t="str">
            <v>SG&amp;A</v>
          </cell>
          <cell r="O386" t="str">
            <v>[No Vendor]</v>
          </cell>
        </row>
        <row r="387">
          <cell r="D387">
            <v>4000</v>
          </cell>
          <cell r="H387">
            <v>45292</v>
          </cell>
          <cell r="I387" t="str">
            <v>6005 - Salaries</v>
          </cell>
          <cell r="J387">
            <v>0</v>
          </cell>
          <cell r="K387" t="str">
            <v>Merchandising</v>
          </cell>
          <cell r="L387" t="str">
            <v>HQ Salaries</v>
          </cell>
          <cell r="N387" t="str">
            <v>SG&amp;A</v>
          </cell>
          <cell r="O387" t="str">
            <v>[No Vendor]</v>
          </cell>
        </row>
        <row r="388">
          <cell r="D388">
            <v>7564.6</v>
          </cell>
          <cell r="H388">
            <v>45292</v>
          </cell>
          <cell r="I388" t="str">
            <v>6005 - Salaries</v>
          </cell>
          <cell r="J388" t="str">
            <v>Wholesale</v>
          </cell>
          <cell r="K388" t="str">
            <v>Wholesale</v>
          </cell>
          <cell r="L388" t="str">
            <v>HQ Salaries</v>
          </cell>
          <cell r="N388" t="str">
            <v>SG&amp;A</v>
          </cell>
          <cell r="O388" t="str">
            <v>[No Vendor]</v>
          </cell>
        </row>
        <row r="389">
          <cell r="D389">
            <v>15520.02</v>
          </cell>
          <cell r="H389">
            <v>45292</v>
          </cell>
          <cell r="I389" t="str">
            <v>6005 - Salaries</v>
          </cell>
          <cell r="J389">
            <v>0</v>
          </cell>
          <cell r="K389" t="str">
            <v>Production</v>
          </cell>
          <cell r="L389" t="str">
            <v>HQ Salaries</v>
          </cell>
          <cell r="N389" t="str">
            <v>SG&amp;A</v>
          </cell>
          <cell r="O389" t="str">
            <v>[No Vendor]</v>
          </cell>
        </row>
        <row r="390">
          <cell r="D390">
            <v>14836.94</v>
          </cell>
          <cell r="H390">
            <v>45292</v>
          </cell>
          <cell r="I390" t="str">
            <v>6005 - Salaries</v>
          </cell>
          <cell r="J390" t="str">
            <v>Ecommerce (US)</v>
          </cell>
          <cell r="K390" t="str">
            <v>Ecommerce</v>
          </cell>
          <cell r="L390" t="str">
            <v>HQ Salaries</v>
          </cell>
          <cell r="N390" t="str">
            <v>SG&amp;A</v>
          </cell>
          <cell r="O390" t="str">
            <v>[No Vendor]</v>
          </cell>
        </row>
        <row r="391">
          <cell r="D391">
            <v>13338.46</v>
          </cell>
          <cell r="H391">
            <v>45292</v>
          </cell>
          <cell r="I391" t="str">
            <v>6005 - Salaries</v>
          </cell>
          <cell r="J391">
            <v>0</v>
          </cell>
          <cell r="K391" t="str">
            <v>Design</v>
          </cell>
          <cell r="L391" t="str">
            <v>HQ Salaries</v>
          </cell>
          <cell r="N391" t="str">
            <v>SG&amp;A</v>
          </cell>
          <cell r="O391" t="str">
            <v>[No Vendor]</v>
          </cell>
        </row>
        <row r="392">
          <cell r="D392">
            <v>19798.78</v>
          </cell>
          <cell r="H392">
            <v>45292</v>
          </cell>
          <cell r="I392" t="str">
            <v>6005 - Salaries</v>
          </cell>
          <cell r="J392">
            <v>0</v>
          </cell>
          <cell r="K392" t="str">
            <v>Administration</v>
          </cell>
          <cell r="L392" t="str">
            <v>HQ Salaries</v>
          </cell>
          <cell r="N392" t="str">
            <v>SG&amp;A</v>
          </cell>
          <cell r="O392" t="str">
            <v>[No Vendor]</v>
          </cell>
        </row>
        <row r="393">
          <cell r="D393">
            <v>3846.16</v>
          </cell>
          <cell r="H393">
            <v>45292</v>
          </cell>
          <cell r="I393" t="str">
            <v>6005 - Salaries</v>
          </cell>
          <cell r="J393">
            <v>0</v>
          </cell>
          <cell r="K393" t="str">
            <v>Brand Marketing</v>
          </cell>
          <cell r="L393" t="str">
            <v>HQ Salaries</v>
          </cell>
          <cell r="N393" t="str">
            <v>SG&amp;A</v>
          </cell>
          <cell r="O393" t="str">
            <v>[No Vendor]</v>
          </cell>
        </row>
        <row r="394">
          <cell r="D394">
            <v>0</v>
          </cell>
          <cell r="H394">
            <v>45292</v>
          </cell>
          <cell r="I394" t="str">
            <v>4020 - Revenue - Marketing Contribution</v>
          </cell>
          <cell r="J394">
            <v>0</v>
          </cell>
          <cell r="K394" t="str">
            <v>Licensing</v>
          </cell>
          <cell r="L394" t="str">
            <v>License</v>
          </cell>
          <cell r="N394" t="str">
            <v>Revenue</v>
          </cell>
          <cell r="O394" t="str">
            <v>[No Vendor]</v>
          </cell>
        </row>
        <row r="395">
          <cell r="D395">
            <v>0</v>
          </cell>
          <cell r="H395">
            <v>45292</v>
          </cell>
          <cell r="I395" t="str">
            <v>4010 - Revenue - Licensing Fees (Royalties)</v>
          </cell>
          <cell r="J395">
            <v>0</v>
          </cell>
          <cell r="K395" t="str">
            <v>Licensing</v>
          </cell>
          <cell r="L395" t="str">
            <v>License</v>
          </cell>
          <cell r="N395" t="str">
            <v>Revenue</v>
          </cell>
          <cell r="O395" t="str">
            <v>[No Vendor]</v>
          </cell>
        </row>
        <row r="396">
          <cell r="D396">
            <v>0</v>
          </cell>
          <cell r="H396">
            <v>45292</v>
          </cell>
          <cell r="I396" t="str">
            <v>4010 - Revenue - Licensing Fees (Royalties)</v>
          </cell>
          <cell r="J396">
            <v>0</v>
          </cell>
          <cell r="K396" t="str">
            <v>Licensing</v>
          </cell>
          <cell r="L396" t="str">
            <v>License</v>
          </cell>
          <cell r="N396" t="str">
            <v>Revenue</v>
          </cell>
          <cell r="O396" t="str">
            <v>[No Vendor]</v>
          </cell>
        </row>
        <row r="397">
          <cell r="D397">
            <v>-15470.7</v>
          </cell>
          <cell r="H397">
            <v>45292</v>
          </cell>
          <cell r="I397" t="str">
            <v>4010 - Revenue - Licensing Fees (Royalties)</v>
          </cell>
          <cell r="J397">
            <v>0</v>
          </cell>
          <cell r="K397" t="str">
            <v>Licensing</v>
          </cell>
          <cell r="L397" t="str">
            <v>License</v>
          </cell>
          <cell r="N397" t="str">
            <v>Revenue</v>
          </cell>
          <cell r="O397" t="str">
            <v>[No Vendor]</v>
          </cell>
        </row>
        <row r="398">
          <cell r="D398">
            <v>0</v>
          </cell>
          <cell r="H398">
            <v>45292</v>
          </cell>
          <cell r="I398" t="str">
            <v>4010 - Revenue - Licensing Fees (Royalties)</v>
          </cell>
          <cell r="J398">
            <v>0</v>
          </cell>
          <cell r="K398" t="str">
            <v>Licensing</v>
          </cell>
          <cell r="L398" t="str">
            <v>License</v>
          </cell>
          <cell r="N398" t="str">
            <v>Revenue</v>
          </cell>
          <cell r="O398" t="str">
            <v>[No Vendor]</v>
          </cell>
        </row>
        <row r="399">
          <cell r="D399">
            <v>-41439.379999999997</v>
          </cell>
          <cell r="H399">
            <v>45292</v>
          </cell>
          <cell r="I399" t="str">
            <v>4010 - Revenue - Licensing Fees (Royalties)</v>
          </cell>
          <cell r="J399">
            <v>0</v>
          </cell>
          <cell r="K399" t="str">
            <v>Licensing</v>
          </cell>
          <cell r="L399" t="str">
            <v>License</v>
          </cell>
          <cell r="N399" t="str">
            <v>Revenue</v>
          </cell>
          <cell r="O399" t="str">
            <v>[No Vendor]</v>
          </cell>
        </row>
        <row r="400">
          <cell r="D400">
            <v>0</v>
          </cell>
          <cell r="H400">
            <v>45292</v>
          </cell>
          <cell r="I400" t="str">
            <v>4010 - Revenue - Licensing Fees (Royalties)</v>
          </cell>
          <cell r="J400">
            <v>0</v>
          </cell>
          <cell r="K400" t="str">
            <v>Licensing</v>
          </cell>
          <cell r="L400" t="str">
            <v>License</v>
          </cell>
          <cell r="N400" t="str">
            <v>Revenue</v>
          </cell>
          <cell r="O400" t="str">
            <v>[No Vendor]</v>
          </cell>
        </row>
        <row r="401">
          <cell r="D401">
            <v>0</v>
          </cell>
          <cell r="H401">
            <v>45292</v>
          </cell>
          <cell r="I401" t="str">
            <v>4010 - Revenue - Licensing Fees (Royalties)</v>
          </cell>
          <cell r="J401">
            <v>0</v>
          </cell>
          <cell r="K401" t="str">
            <v>Licensing</v>
          </cell>
          <cell r="L401" t="str">
            <v>License</v>
          </cell>
          <cell r="N401" t="str">
            <v>Revenue</v>
          </cell>
          <cell r="O401" t="str">
            <v>[No Vendor]</v>
          </cell>
        </row>
        <row r="402">
          <cell r="D402">
            <v>3401.91</v>
          </cell>
          <cell r="H402">
            <v>45323</v>
          </cell>
          <cell r="I402" t="str">
            <v>6040 - Employer Paid Benefits</v>
          </cell>
          <cell r="J402">
            <v>0</v>
          </cell>
          <cell r="K402" t="str">
            <v>Administration</v>
          </cell>
          <cell r="L402" t="str">
            <v>HQ Salaries</v>
          </cell>
          <cell r="N402" t="str">
            <v>SG&amp;A</v>
          </cell>
          <cell r="O402" t="str">
            <v>Excellus Health Plan - Group</v>
          </cell>
        </row>
        <row r="403">
          <cell r="D403">
            <v>13025.89</v>
          </cell>
          <cell r="H403">
            <v>45323</v>
          </cell>
          <cell r="I403" t="str">
            <v>6286 - SEM</v>
          </cell>
          <cell r="J403" t="str">
            <v>Ecommerce (US)</v>
          </cell>
          <cell r="K403" t="str">
            <v>Brand Marketing</v>
          </cell>
          <cell r="L403" t="str">
            <v>Professional Service</v>
          </cell>
          <cell r="N403" t="str">
            <v>Direct Costs</v>
          </cell>
          <cell r="O403" t="str">
            <v>Attentive Mobile Inc.</v>
          </cell>
        </row>
        <row r="404">
          <cell r="D404">
            <v>2284.92</v>
          </cell>
          <cell r="H404">
            <v>45323</v>
          </cell>
          <cell r="I404" t="str">
            <v>6380 - Legal &amp; Accounting</v>
          </cell>
          <cell r="J404">
            <v>0</v>
          </cell>
          <cell r="K404" t="str">
            <v>Administration</v>
          </cell>
          <cell r="L404" t="str">
            <v>Professional Service</v>
          </cell>
          <cell r="N404" t="str">
            <v>SG&amp;A</v>
          </cell>
          <cell r="O404" t="str">
            <v>Reed Smith LLP</v>
          </cell>
        </row>
        <row r="405">
          <cell r="D405">
            <v>3325</v>
          </cell>
          <cell r="H405">
            <v>45323</v>
          </cell>
          <cell r="I405" t="str">
            <v>6380 - Legal &amp; Accounting</v>
          </cell>
          <cell r="J405">
            <v>0</v>
          </cell>
          <cell r="K405" t="str">
            <v>Administration</v>
          </cell>
          <cell r="L405" t="str">
            <v>Professional Service</v>
          </cell>
          <cell r="N405" t="str">
            <v>SG&amp;A</v>
          </cell>
          <cell r="O405" t="str">
            <v>Alan Lungen, Attorney at Law</v>
          </cell>
        </row>
        <row r="406">
          <cell r="D406">
            <v>11772.95</v>
          </cell>
          <cell r="H406">
            <v>45323</v>
          </cell>
          <cell r="I406" t="str">
            <v>6380 - Legal &amp; Accounting</v>
          </cell>
          <cell r="J406">
            <v>0</v>
          </cell>
          <cell r="K406" t="str">
            <v>Administration</v>
          </cell>
          <cell r="L406" t="str">
            <v>Professional Service</v>
          </cell>
          <cell r="N406" t="str">
            <v>SG&amp;A</v>
          </cell>
          <cell r="O406" t="str">
            <v>The Wave IP Law Firm</v>
          </cell>
        </row>
        <row r="407">
          <cell r="D407">
            <v>955.05</v>
          </cell>
          <cell r="H407">
            <v>45323</v>
          </cell>
          <cell r="I407" t="str">
            <v>6385 - Insurance</v>
          </cell>
          <cell r="J407">
            <v>0</v>
          </cell>
          <cell r="K407" t="str">
            <v>Administration</v>
          </cell>
          <cell r="L407" t="str">
            <v>Professional Service</v>
          </cell>
          <cell r="N407" t="str">
            <v>SG&amp;A</v>
          </cell>
          <cell r="O407" t="str">
            <v>The Hartford</v>
          </cell>
        </row>
        <row r="408">
          <cell r="D408">
            <v>65.33</v>
          </cell>
          <cell r="H408">
            <v>45323</v>
          </cell>
          <cell r="I408" t="str">
            <v>6400 - Utilities</v>
          </cell>
          <cell r="J408">
            <v>0</v>
          </cell>
          <cell r="K408" t="str">
            <v>Administration</v>
          </cell>
          <cell r="L408" t="str">
            <v>Other</v>
          </cell>
          <cell r="N408" t="str">
            <v>SG&amp;A</v>
          </cell>
          <cell r="O408" t="str">
            <v>NYC Intercom Inc</v>
          </cell>
        </row>
        <row r="409">
          <cell r="D409">
            <v>401.73</v>
          </cell>
          <cell r="H409">
            <v>45323</v>
          </cell>
          <cell r="I409" t="str">
            <v>6400 - Utilities</v>
          </cell>
          <cell r="J409">
            <v>0</v>
          </cell>
          <cell r="K409" t="str">
            <v>Administration</v>
          </cell>
          <cell r="L409" t="str">
            <v>Other</v>
          </cell>
          <cell r="N409" t="str">
            <v>SG&amp;A</v>
          </cell>
          <cell r="O409" t="str">
            <v>Antelope LLC</v>
          </cell>
        </row>
        <row r="410">
          <cell r="D410">
            <v>478.6</v>
          </cell>
          <cell r="H410">
            <v>45323</v>
          </cell>
          <cell r="I410" t="str">
            <v>6400 - Utilities</v>
          </cell>
          <cell r="J410">
            <v>0</v>
          </cell>
          <cell r="K410" t="str">
            <v>Administration</v>
          </cell>
          <cell r="L410" t="str">
            <v>Other</v>
          </cell>
          <cell r="N410" t="str">
            <v>SG&amp;A</v>
          </cell>
          <cell r="O410" t="str">
            <v>Antelope LLC</v>
          </cell>
        </row>
        <row r="411">
          <cell r="D411">
            <v>1812.5</v>
          </cell>
          <cell r="H411">
            <v>45323</v>
          </cell>
          <cell r="I411" t="str">
            <v>6300 - Payroll Service Fees</v>
          </cell>
          <cell r="J411">
            <v>0</v>
          </cell>
          <cell r="K411" t="str">
            <v>Administration</v>
          </cell>
          <cell r="L411" t="str">
            <v>Professional Service</v>
          </cell>
          <cell r="N411" t="str">
            <v>SG&amp;A</v>
          </cell>
          <cell r="O411" t="str">
            <v>OperationsInc, LLC</v>
          </cell>
        </row>
        <row r="412">
          <cell r="D412">
            <v>1409.27</v>
          </cell>
          <cell r="H412">
            <v>45323</v>
          </cell>
          <cell r="I412" t="str">
            <v>6225 - Professional Services</v>
          </cell>
          <cell r="J412">
            <v>0</v>
          </cell>
          <cell r="K412" t="str">
            <v>Brand Marketing</v>
          </cell>
          <cell r="L412" t="str">
            <v>Professional Service</v>
          </cell>
          <cell r="N412" t="str">
            <v>Direct Costs</v>
          </cell>
          <cell r="O412" t="str">
            <v>Lividini &amp; Co.</v>
          </cell>
        </row>
        <row r="413">
          <cell r="D413">
            <v>3924.1</v>
          </cell>
          <cell r="H413">
            <v>45323</v>
          </cell>
          <cell r="I413" t="str">
            <v>6225 - Professional Services</v>
          </cell>
          <cell r="J413">
            <v>0</v>
          </cell>
          <cell r="K413" t="str">
            <v>Administration</v>
          </cell>
          <cell r="L413" t="str">
            <v>Professional Service</v>
          </cell>
          <cell r="N413" t="str">
            <v>Direct Costs</v>
          </cell>
          <cell r="O413" t="str">
            <v>Enom Solutions, Inc-DBA 3nom</v>
          </cell>
        </row>
        <row r="414">
          <cell r="D414">
            <v>105</v>
          </cell>
          <cell r="H414">
            <v>45323</v>
          </cell>
          <cell r="I414" t="str">
            <v>6225 - Professional Services</v>
          </cell>
          <cell r="J414">
            <v>0</v>
          </cell>
          <cell r="K414" t="str">
            <v>Administration</v>
          </cell>
          <cell r="L414" t="str">
            <v>Professional Service</v>
          </cell>
          <cell r="N414" t="str">
            <v>Direct Costs</v>
          </cell>
          <cell r="O414" t="str">
            <v>OperationsInc, LLC</v>
          </cell>
        </row>
        <row r="415">
          <cell r="D415">
            <v>29236.67</v>
          </cell>
          <cell r="H415">
            <v>45323</v>
          </cell>
          <cell r="I415" t="str">
            <v>6320 - Building Rent</v>
          </cell>
          <cell r="J415">
            <v>0</v>
          </cell>
          <cell r="K415" t="str">
            <v>Administration</v>
          </cell>
          <cell r="L415" t="str">
            <v>Rent</v>
          </cell>
          <cell r="N415" t="str">
            <v>SG&amp;A</v>
          </cell>
          <cell r="O415" t="str">
            <v>Antelope LLC</v>
          </cell>
        </row>
        <row r="416">
          <cell r="D416">
            <v>2895.24</v>
          </cell>
          <cell r="H416">
            <v>45323</v>
          </cell>
          <cell r="I416" t="str">
            <v>6040 - Employer Paid Benefits</v>
          </cell>
          <cell r="J416" t="str">
            <v>Wholesale</v>
          </cell>
          <cell r="K416" t="str">
            <v>Wholesale</v>
          </cell>
          <cell r="L416" t="str">
            <v>HQ Salaries</v>
          </cell>
          <cell r="N416" t="str">
            <v>SG&amp;A</v>
          </cell>
          <cell r="O416" t="str">
            <v>Excellus Health Plan - Group</v>
          </cell>
        </row>
        <row r="417">
          <cell r="D417">
            <v>3401.91</v>
          </cell>
          <cell r="H417">
            <v>45323</v>
          </cell>
          <cell r="I417" t="str">
            <v>6040 - Employer Paid Benefits</v>
          </cell>
          <cell r="J417">
            <v>0</v>
          </cell>
          <cell r="K417" t="str">
            <v>Production</v>
          </cell>
          <cell r="L417" t="str">
            <v>HQ Salaries</v>
          </cell>
          <cell r="N417" t="str">
            <v>SG&amp;A</v>
          </cell>
          <cell r="O417" t="str">
            <v>Excellus Health Plan - Group</v>
          </cell>
        </row>
        <row r="418">
          <cell r="D418">
            <v>2786.68</v>
          </cell>
          <cell r="H418">
            <v>45323</v>
          </cell>
          <cell r="I418" t="str">
            <v>6040 - Employer Paid Benefits</v>
          </cell>
          <cell r="J418">
            <v>0</v>
          </cell>
          <cell r="K418" t="str">
            <v>Merchandising</v>
          </cell>
          <cell r="L418" t="str">
            <v>HQ Salaries</v>
          </cell>
          <cell r="N418" t="str">
            <v>SG&amp;A</v>
          </cell>
          <cell r="O418" t="str">
            <v>Excellus Health Plan - Group</v>
          </cell>
        </row>
        <row r="419">
          <cell r="D419">
            <v>723.81</v>
          </cell>
          <cell r="H419">
            <v>45323</v>
          </cell>
          <cell r="I419" t="str">
            <v>6040 - Employer Paid Benefits</v>
          </cell>
          <cell r="J419">
            <v>0</v>
          </cell>
          <cell r="K419" t="str">
            <v>Brand Marketing</v>
          </cell>
          <cell r="L419" t="str">
            <v>HQ Salaries</v>
          </cell>
          <cell r="N419" t="str">
            <v>SG&amp;A</v>
          </cell>
          <cell r="O419" t="str">
            <v>Excellus Health Plan - Group</v>
          </cell>
        </row>
        <row r="420">
          <cell r="D420">
            <v>2062.87</v>
          </cell>
          <cell r="H420">
            <v>45323</v>
          </cell>
          <cell r="I420" t="str">
            <v>6040 - Employer Paid Benefits</v>
          </cell>
          <cell r="J420">
            <v>0</v>
          </cell>
          <cell r="K420" t="str">
            <v>Executive</v>
          </cell>
          <cell r="L420" t="str">
            <v>HQ Salaries</v>
          </cell>
          <cell r="N420" t="str">
            <v>SG&amp;A</v>
          </cell>
          <cell r="O420" t="str">
            <v>Excellus Health Plan - Group</v>
          </cell>
        </row>
        <row r="421">
          <cell r="D421">
            <v>2786.68</v>
          </cell>
          <cell r="H421">
            <v>45323</v>
          </cell>
          <cell r="I421" t="str">
            <v>6040 - Employer Paid Benefits</v>
          </cell>
          <cell r="J421" t="str">
            <v>Ecommerce (US)</v>
          </cell>
          <cell r="K421" t="str">
            <v>Ecommerce</v>
          </cell>
          <cell r="L421" t="str">
            <v>HQ Salaries</v>
          </cell>
          <cell r="N421" t="str">
            <v>SG&amp;A</v>
          </cell>
          <cell r="O421" t="str">
            <v>Excellus Health Plan - Group</v>
          </cell>
        </row>
        <row r="422">
          <cell r="D422">
            <v>2895.24</v>
          </cell>
          <cell r="H422">
            <v>45323</v>
          </cell>
          <cell r="I422" t="str">
            <v>6040 - Employer Paid Benefits</v>
          </cell>
          <cell r="J422">
            <v>0</v>
          </cell>
          <cell r="K422" t="str">
            <v>Design</v>
          </cell>
          <cell r="L422" t="str">
            <v>HQ Salaries</v>
          </cell>
          <cell r="N422" t="str">
            <v>SG&amp;A</v>
          </cell>
          <cell r="O422" t="str">
            <v>Excellus Health Plan - Group</v>
          </cell>
        </row>
        <row r="423">
          <cell r="D423">
            <v>-19798.78</v>
          </cell>
          <cell r="H423">
            <v>45323</v>
          </cell>
          <cell r="I423" t="str">
            <v>6005 - Salaries</v>
          </cell>
          <cell r="J423">
            <v>0</v>
          </cell>
          <cell r="K423" t="str">
            <v>Administration</v>
          </cell>
          <cell r="L423" t="str">
            <v>HQ Salaries</v>
          </cell>
          <cell r="N423" t="str">
            <v>SG&amp;A</v>
          </cell>
          <cell r="O423" t="str">
            <v>[No Vendor]</v>
          </cell>
        </row>
        <row r="424">
          <cell r="D424">
            <v>550.72</v>
          </cell>
          <cell r="H424">
            <v>45323</v>
          </cell>
          <cell r="I424" t="str">
            <v>7140 - Amortization Exp - ROU Asset</v>
          </cell>
          <cell r="J424">
            <v>0</v>
          </cell>
          <cell r="K424" t="str">
            <v>Administration</v>
          </cell>
          <cell r="L424" t="str">
            <v>Rent</v>
          </cell>
          <cell r="N424" t="str">
            <v>SG&amp;A</v>
          </cell>
          <cell r="O424" t="str">
            <v>[No Vendor]</v>
          </cell>
        </row>
        <row r="425">
          <cell r="D425">
            <v>33250.92</v>
          </cell>
          <cell r="H425">
            <v>45323</v>
          </cell>
          <cell r="I425" t="str">
            <v>7140 - Amortization Exp - ROU Asset</v>
          </cell>
          <cell r="J425">
            <v>0</v>
          </cell>
          <cell r="K425" t="str">
            <v>Administration</v>
          </cell>
          <cell r="L425" t="str">
            <v>Rent</v>
          </cell>
          <cell r="N425" t="str">
            <v>SG&amp;A</v>
          </cell>
          <cell r="O425" t="str">
            <v>[No Vendor]</v>
          </cell>
        </row>
        <row r="426">
          <cell r="D426">
            <v>-12739.76</v>
          </cell>
          <cell r="H426">
            <v>45323</v>
          </cell>
          <cell r="I426" t="str">
            <v>6286 - SEM</v>
          </cell>
          <cell r="J426" t="str">
            <v>Ecommerce (US)</v>
          </cell>
          <cell r="K426" t="str">
            <v>Brand Marketing</v>
          </cell>
          <cell r="L426" t="str">
            <v>Professional Service</v>
          </cell>
          <cell r="N426" t="str">
            <v>Direct Costs</v>
          </cell>
          <cell r="O426" t="str">
            <v>Attentive Mobile Inc.</v>
          </cell>
        </row>
        <row r="427">
          <cell r="D427">
            <v>-11772.95</v>
          </cell>
          <cell r="H427">
            <v>45323</v>
          </cell>
          <cell r="I427" t="str">
            <v>6380 - Legal &amp; Accounting</v>
          </cell>
          <cell r="J427">
            <v>0</v>
          </cell>
          <cell r="K427" t="str">
            <v>Administration</v>
          </cell>
          <cell r="L427" t="str">
            <v>Professional Service</v>
          </cell>
          <cell r="N427" t="str">
            <v>SG&amp;A</v>
          </cell>
          <cell r="O427" t="str">
            <v>The Wave IP Law Firm</v>
          </cell>
        </row>
        <row r="428">
          <cell r="D428">
            <v>-3325</v>
          </cell>
          <cell r="H428">
            <v>45323</v>
          </cell>
          <cell r="I428" t="str">
            <v>6380 - Legal &amp; Accounting</v>
          </cell>
          <cell r="J428">
            <v>0</v>
          </cell>
          <cell r="K428" t="str">
            <v>Administration</v>
          </cell>
          <cell r="L428" t="str">
            <v>Professional Service</v>
          </cell>
          <cell r="N428" t="str">
            <v>SG&amp;A</v>
          </cell>
          <cell r="O428" t="str">
            <v>[No Vendor]</v>
          </cell>
        </row>
        <row r="429">
          <cell r="D429">
            <v>-2291.7600000000002</v>
          </cell>
          <cell r="H429">
            <v>45323</v>
          </cell>
          <cell r="I429" t="str">
            <v>6380 - Legal &amp; Accounting</v>
          </cell>
          <cell r="J429">
            <v>0</v>
          </cell>
          <cell r="K429" t="str">
            <v>Administration</v>
          </cell>
          <cell r="L429" t="str">
            <v>Professional Service</v>
          </cell>
          <cell r="N429" t="str">
            <v>SG&amp;A</v>
          </cell>
          <cell r="O429" t="str">
            <v>[No Vendor]</v>
          </cell>
        </row>
        <row r="430">
          <cell r="D430">
            <v>-5640</v>
          </cell>
          <cell r="H430">
            <v>45323</v>
          </cell>
          <cell r="I430" t="str">
            <v>6380 - Legal &amp; Accounting</v>
          </cell>
          <cell r="J430">
            <v>0</v>
          </cell>
          <cell r="K430" t="str">
            <v>Administration</v>
          </cell>
          <cell r="L430" t="str">
            <v>Professional Service</v>
          </cell>
          <cell r="N430" t="str">
            <v>SG&amp;A</v>
          </cell>
          <cell r="O430" t="str">
            <v>[No Vendor]</v>
          </cell>
        </row>
        <row r="431">
          <cell r="D431">
            <v>-2916.67</v>
          </cell>
          <cell r="H431">
            <v>45323</v>
          </cell>
          <cell r="I431" t="str">
            <v>6284 - Advertising</v>
          </cell>
          <cell r="J431">
            <v>0</v>
          </cell>
          <cell r="K431" t="str">
            <v>Brand Marketing</v>
          </cell>
          <cell r="L431" t="str">
            <v>Advertising</v>
          </cell>
          <cell r="N431" t="str">
            <v>SG&amp;A</v>
          </cell>
          <cell r="O431" t="str">
            <v>[No Vendor]</v>
          </cell>
        </row>
        <row r="432">
          <cell r="D432">
            <v>0</v>
          </cell>
          <cell r="H432">
            <v>45323</v>
          </cell>
          <cell r="I432" t="str">
            <v>6205 - Contractors</v>
          </cell>
          <cell r="J432">
            <v>0</v>
          </cell>
          <cell r="K432" t="str">
            <v>Brand Marketing</v>
          </cell>
          <cell r="L432" t="str">
            <v>HQ Salaries</v>
          </cell>
          <cell r="N432" t="str">
            <v>SG&amp;A</v>
          </cell>
          <cell r="O432" t="str">
            <v>[No Vendor]</v>
          </cell>
        </row>
        <row r="433">
          <cell r="D433">
            <v>-4580</v>
          </cell>
          <cell r="H433">
            <v>45323</v>
          </cell>
          <cell r="I433" t="str">
            <v>6205 - Contractors</v>
          </cell>
          <cell r="J433" t="str">
            <v>Ecommerce (US)</v>
          </cell>
          <cell r="K433" t="str">
            <v>Ecommerce</v>
          </cell>
          <cell r="L433" t="str">
            <v>HQ Salaries</v>
          </cell>
          <cell r="N433" t="str">
            <v>SG&amp;A</v>
          </cell>
          <cell r="O433" t="str">
            <v>[No Vendor]</v>
          </cell>
        </row>
        <row r="434">
          <cell r="D434">
            <v>-606</v>
          </cell>
          <cell r="H434">
            <v>45323</v>
          </cell>
          <cell r="I434" t="str">
            <v>6410 - Lease Expense</v>
          </cell>
          <cell r="J434">
            <v>0</v>
          </cell>
          <cell r="K434" t="str">
            <v>Administration</v>
          </cell>
          <cell r="L434" t="str">
            <v>Rent</v>
          </cell>
          <cell r="N434" t="str">
            <v>SG&amp;A</v>
          </cell>
          <cell r="O434" t="str">
            <v>[No Vendor]</v>
          </cell>
        </row>
        <row r="435">
          <cell r="D435">
            <v>15.88</v>
          </cell>
          <cell r="H435">
            <v>45323</v>
          </cell>
          <cell r="I435" t="str">
            <v>6385 - Insurance</v>
          </cell>
          <cell r="J435">
            <v>0</v>
          </cell>
          <cell r="K435" t="str">
            <v>Administration</v>
          </cell>
          <cell r="L435" t="str">
            <v>Professional Service</v>
          </cell>
          <cell r="N435" t="str">
            <v>SG&amp;A</v>
          </cell>
          <cell r="O435" t="str">
            <v>[No Vendor]</v>
          </cell>
        </row>
        <row r="436">
          <cell r="D436">
            <v>30.1</v>
          </cell>
          <cell r="H436">
            <v>45323</v>
          </cell>
          <cell r="I436" t="str">
            <v>6385 - Insurance</v>
          </cell>
          <cell r="J436">
            <v>0</v>
          </cell>
          <cell r="K436" t="str">
            <v>Administration</v>
          </cell>
          <cell r="L436" t="str">
            <v>Professional Service</v>
          </cell>
          <cell r="N436" t="str">
            <v>SG&amp;A</v>
          </cell>
          <cell r="O436" t="str">
            <v>[No Vendor]</v>
          </cell>
        </row>
        <row r="437">
          <cell r="D437">
            <v>61.73</v>
          </cell>
          <cell r="H437">
            <v>45323</v>
          </cell>
          <cell r="I437" t="str">
            <v>6385 - Insurance</v>
          </cell>
          <cell r="J437">
            <v>0</v>
          </cell>
          <cell r="K437" t="str">
            <v>Administration</v>
          </cell>
          <cell r="L437" t="str">
            <v>Professional Service</v>
          </cell>
          <cell r="N437" t="str">
            <v>SG&amp;A</v>
          </cell>
          <cell r="O437" t="str">
            <v>[No Vendor]</v>
          </cell>
        </row>
        <row r="438">
          <cell r="D438">
            <v>16.27</v>
          </cell>
          <cell r="H438">
            <v>45323</v>
          </cell>
          <cell r="I438" t="str">
            <v>6385 - Insurance</v>
          </cell>
          <cell r="J438">
            <v>0</v>
          </cell>
          <cell r="K438" t="str">
            <v>Administration</v>
          </cell>
          <cell r="L438" t="str">
            <v>Professional Service</v>
          </cell>
          <cell r="N438" t="str">
            <v>SG&amp;A</v>
          </cell>
          <cell r="O438" t="str">
            <v>[No Vendor]</v>
          </cell>
        </row>
        <row r="439">
          <cell r="D439">
            <v>29.53</v>
          </cell>
          <cell r="H439">
            <v>45323</v>
          </cell>
          <cell r="I439" t="str">
            <v>6385 - Insurance</v>
          </cell>
          <cell r="J439">
            <v>0</v>
          </cell>
          <cell r="K439" t="str">
            <v>Administration</v>
          </cell>
          <cell r="L439" t="str">
            <v>Professional Service</v>
          </cell>
          <cell r="N439" t="str">
            <v>SG&amp;A</v>
          </cell>
          <cell r="O439" t="str">
            <v>[No Vendor]</v>
          </cell>
        </row>
        <row r="440">
          <cell r="D440">
            <v>53.59</v>
          </cell>
          <cell r="H440">
            <v>45323</v>
          </cell>
          <cell r="I440" t="str">
            <v>6385 - Insurance</v>
          </cell>
          <cell r="J440">
            <v>0</v>
          </cell>
          <cell r="K440" t="str">
            <v>Administration</v>
          </cell>
          <cell r="L440" t="str">
            <v>Professional Service</v>
          </cell>
          <cell r="N440" t="str">
            <v>SG&amp;A</v>
          </cell>
          <cell r="O440" t="str">
            <v>[No Vendor]</v>
          </cell>
        </row>
        <row r="441">
          <cell r="D441">
            <v>31</v>
          </cell>
          <cell r="H441">
            <v>45323</v>
          </cell>
          <cell r="I441" t="str">
            <v>6385 - Insurance</v>
          </cell>
          <cell r="J441">
            <v>0</v>
          </cell>
          <cell r="K441" t="str">
            <v>Administration</v>
          </cell>
          <cell r="L441" t="str">
            <v>Professional Service</v>
          </cell>
          <cell r="N441" t="str">
            <v>SG&amp;A</v>
          </cell>
          <cell r="O441" t="str">
            <v>[No Vendor]</v>
          </cell>
        </row>
        <row r="442">
          <cell r="D442">
            <v>-626</v>
          </cell>
          <cell r="H442">
            <v>45323</v>
          </cell>
          <cell r="I442" t="str">
            <v>6055 - Employer Social Security Tax Withheld</v>
          </cell>
          <cell r="J442">
            <v>0</v>
          </cell>
          <cell r="K442" t="str">
            <v>Merchandising</v>
          </cell>
          <cell r="L442" t="str">
            <v>HQ Salaries</v>
          </cell>
          <cell r="N442" t="str">
            <v>SG&amp;A</v>
          </cell>
          <cell r="O442" t="str">
            <v>[No Vendor]</v>
          </cell>
        </row>
        <row r="443">
          <cell r="D443">
            <v>-893.5</v>
          </cell>
          <cell r="H443">
            <v>45323</v>
          </cell>
          <cell r="I443" t="str">
            <v>6055 - Employer Social Security Tax Withheld</v>
          </cell>
          <cell r="J443" t="str">
            <v>Wholesale</v>
          </cell>
          <cell r="K443" t="str">
            <v>Wholesale</v>
          </cell>
          <cell r="L443" t="str">
            <v>HQ Salaries</v>
          </cell>
          <cell r="N443" t="str">
            <v>SG&amp;A</v>
          </cell>
          <cell r="O443" t="str">
            <v>[No Vendor]</v>
          </cell>
        </row>
        <row r="444">
          <cell r="D444">
            <v>-1957.43</v>
          </cell>
          <cell r="H444">
            <v>45323</v>
          </cell>
          <cell r="I444" t="str">
            <v>6055 - Employer Social Security Tax Withheld</v>
          </cell>
          <cell r="J444">
            <v>0</v>
          </cell>
          <cell r="K444" t="str">
            <v>Production</v>
          </cell>
          <cell r="L444" t="str">
            <v>HQ Salaries</v>
          </cell>
          <cell r="N444" t="str">
            <v>SG&amp;A</v>
          </cell>
          <cell r="O444" t="str">
            <v>[No Vendor]</v>
          </cell>
        </row>
        <row r="445">
          <cell r="D445">
            <v>-587.32000000000005</v>
          </cell>
          <cell r="H445">
            <v>45323</v>
          </cell>
          <cell r="I445" t="str">
            <v>6055 - Employer Social Security Tax Withheld</v>
          </cell>
          <cell r="J445">
            <v>0</v>
          </cell>
          <cell r="K445" t="str">
            <v>Brand Marketing</v>
          </cell>
          <cell r="L445" t="str">
            <v>HQ Salaries</v>
          </cell>
          <cell r="N445" t="str">
            <v>SG&amp;A</v>
          </cell>
          <cell r="O445" t="str">
            <v>[No Vendor]</v>
          </cell>
        </row>
        <row r="446">
          <cell r="D446">
            <v>-1874.41</v>
          </cell>
          <cell r="H446">
            <v>45323</v>
          </cell>
          <cell r="I446" t="str">
            <v>6055 - Employer Social Security Tax Withheld</v>
          </cell>
          <cell r="J446" t="str">
            <v>Ecommerce (US)</v>
          </cell>
          <cell r="K446" t="str">
            <v>Ecommerce</v>
          </cell>
          <cell r="L446" t="str">
            <v>HQ Salaries</v>
          </cell>
          <cell r="N446" t="str">
            <v>SG&amp;A</v>
          </cell>
          <cell r="O446" t="str">
            <v>[No Vendor]</v>
          </cell>
        </row>
        <row r="447">
          <cell r="D447">
            <v>-1656.47</v>
          </cell>
          <cell r="H447">
            <v>45323</v>
          </cell>
          <cell r="I447" t="str">
            <v>6055 - Employer Social Security Tax Withheld</v>
          </cell>
          <cell r="J447">
            <v>0</v>
          </cell>
          <cell r="K447" t="str">
            <v>Design</v>
          </cell>
          <cell r="L447" t="str">
            <v>HQ Salaries</v>
          </cell>
          <cell r="N447" t="str">
            <v>SG&amp;A</v>
          </cell>
          <cell r="O447" t="str">
            <v>[No Vendor]</v>
          </cell>
        </row>
        <row r="448">
          <cell r="D448">
            <v>-2302.27</v>
          </cell>
          <cell r="H448">
            <v>45323</v>
          </cell>
          <cell r="I448" t="str">
            <v>6055 - Employer Social Security Tax Withheld</v>
          </cell>
          <cell r="J448">
            <v>0</v>
          </cell>
          <cell r="K448" t="str">
            <v>Administration</v>
          </cell>
          <cell r="L448" t="str">
            <v>HQ Salaries</v>
          </cell>
          <cell r="N448" t="str">
            <v>SG&amp;A</v>
          </cell>
          <cell r="O448" t="str">
            <v>[No Vendor]</v>
          </cell>
        </row>
        <row r="449">
          <cell r="D449">
            <v>55.27</v>
          </cell>
          <cell r="H449">
            <v>45323</v>
          </cell>
          <cell r="I449" t="str">
            <v>6487 - Interest Expense</v>
          </cell>
          <cell r="J449">
            <v>0</v>
          </cell>
          <cell r="K449" t="str">
            <v>Administration</v>
          </cell>
          <cell r="L449" t="str">
            <v>Interest</v>
          </cell>
          <cell r="N449" t="str">
            <v>BTL</v>
          </cell>
          <cell r="O449" t="str">
            <v>[No Vendor]</v>
          </cell>
        </row>
        <row r="450">
          <cell r="D450">
            <v>10058.4</v>
          </cell>
          <cell r="H450">
            <v>45323</v>
          </cell>
          <cell r="I450" t="str">
            <v>6487 - Interest Expense</v>
          </cell>
          <cell r="J450">
            <v>0</v>
          </cell>
          <cell r="K450" t="str">
            <v>Administration</v>
          </cell>
          <cell r="L450" t="str">
            <v>Interest</v>
          </cell>
          <cell r="N450" t="str">
            <v>BTL</v>
          </cell>
          <cell r="O450" t="str">
            <v>[No Vendor]</v>
          </cell>
        </row>
        <row r="451">
          <cell r="D451">
            <v>-29236.67</v>
          </cell>
          <cell r="H451">
            <v>45323</v>
          </cell>
          <cell r="I451" t="str">
            <v>6320 - Building Rent</v>
          </cell>
          <cell r="J451">
            <v>0</v>
          </cell>
          <cell r="K451" t="str">
            <v>Administration</v>
          </cell>
          <cell r="L451" t="str">
            <v>Rent</v>
          </cell>
          <cell r="N451" t="str">
            <v>SG&amp;A</v>
          </cell>
          <cell r="O451" t="str">
            <v>[No Vendor]</v>
          </cell>
        </row>
        <row r="452">
          <cell r="D452">
            <v>0</v>
          </cell>
          <cell r="H452">
            <v>45323</v>
          </cell>
          <cell r="I452" t="str">
            <v>6040 - Employer Paid Benefits</v>
          </cell>
          <cell r="J452">
            <v>0</v>
          </cell>
          <cell r="K452" t="str">
            <v>Merchandising</v>
          </cell>
          <cell r="L452" t="str">
            <v>HQ Salaries</v>
          </cell>
          <cell r="N452" t="str">
            <v>SG&amp;A</v>
          </cell>
          <cell r="O452" t="str">
            <v>[No Vendor]</v>
          </cell>
        </row>
        <row r="453">
          <cell r="D453">
            <v>16</v>
          </cell>
          <cell r="H453">
            <v>45323</v>
          </cell>
          <cell r="I453" t="str">
            <v>6040 - Employer Paid Benefits</v>
          </cell>
          <cell r="J453" t="str">
            <v>Wholesale</v>
          </cell>
          <cell r="K453" t="str">
            <v>Wholesale</v>
          </cell>
          <cell r="L453" t="str">
            <v>HQ Salaries</v>
          </cell>
          <cell r="N453" t="str">
            <v>SG&amp;A</v>
          </cell>
          <cell r="O453" t="str">
            <v>[No Vendor]</v>
          </cell>
        </row>
        <row r="454">
          <cell r="D454">
            <v>265.26</v>
          </cell>
          <cell r="H454">
            <v>45323</v>
          </cell>
          <cell r="I454" t="str">
            <v>6040 - Employer Paid Benefits</v>
          </cell>
          <cell r="J454">
            <v>0</v>
          </cell>
          <cell r="K454" t="str">
            <v>Production</v>
          </cell>
          <cell r="L454" t="str">
            <v>HQ Salaries</v>
          </cell>
          <cell r="N454" t="str">
            <v>SG&amp;A</v>
          </cell>
          <cell r="O454" t="str">
            <v>[No Vendor]</v>
          </cell>
        </row>
        <row r="455">
          <cell r="D455">
            <v>16</v>
          </cell>
          <cell r="H455">
            <v>45323</v>
          </cell>
          <cell r="I455" t="str">
            <v>6040 - Employer Paid Benefits</v>
          </cell>
          <cell r="J455">
            <v>0</v>
          </cell>
          <cell r="K455" t="str">
            <v>Brand Marketing</v>
          </cell>
          <cell r="L455" t="str">
            <v>HQ Salaries</v>
          </cell>
          <cell r="N455" t="str">
            <v>SG&amp;A</v>
          </cell>
          <cell r="O455" t="str">
            <v>[No Vendor]</v>
          </cell>
        </row>
        <row r="456">
          <cell r="D456">
            <v>114</v>
          </cell>
          <cell r="H456">
            <v>45323</v>
          </cell>
          <cell r="I456" t="str">
            <v>6040 - Employer Paid Benefits</v>
          </cell>
          <cell r="J456" t="str">
            <v>Ecommerce (US)</v>
          </cell>
          <cell r="K456" t="str">
            <v>Ecommerce</v>
          </cell>
          <cell r="L456" t="str">
            <v>HQ Salaries</v>
          </cell>
          <cell r="N456" t="str">
            <v>SG&amp;A</v>
          </cell>
          <cell r="O456" t="str">
            <v>[No Vendor]</v>
          </cell>
        </row>
        <row r="457">
          <cell r="D457">
            <v>145.81</v>
          </cell>
          <cell r="H457">
            <v>45323</v>
          </cell>
          <cell r="I457" t="str">
            <v>6040 - Employer Paid Benefits</v>
          </cell>
          <cell r="J457">
            <v>0</v>
          </cell>
          <cell r="K457" t="str">
            <v>Design</v>
          </cell>
          <cell r="L457" t="str">
            <v>HQ Salaries</v>
          </cell>
          <cell r="N457" t="str">
            <v>SG&amp;A</v>
          </cell>
          <cell r="O457" t="str">
            <v>[No Vendor]</v>
          </cell>
        </row>
        <row r="458">
          <cell r="D458">
            <v>100</v>
          </cell>
          <cell r="H458">
            <v>45323</v>
          </cell>
          <cell r="I458" t="str">
            <v>6040 - Employer Paid Benefits</v>
          </cell>
          <cell r="J458">
            <v>0</v>
          </cell>
          <cell r="K458" t="str">
            <v>Administration</v>
          </cell>
          <cell r="L458" t="str">
            <v>HQ Salaries</v>
          </cell>
          <cell r="N458" t="str">
            <v>SG&amp;A</v>
          </cell>
          <cell r="O458" t="str">
            <v>[No Vendor]</v>
          </cell>
        </row>
        <row r="459">
          <cell r="D459">
            <v>-4000</v>
          </cell>
          <cell r="H459">
            <v>45323</v>
          </cell>
          <cell r="I459" t="str">
            <v>6005 - Salaries</v>
          </cell>
          <cell r="J459">
            <v>0</v>
          </cell>
          <cell r="K459" t="str">
            <v>Merchandising</v>
          </cell>
          <cell r="L459" t="str">
            <v>HQ Salaries</v>
          </cell>
          <cell r="N459" t="str">
            <v>SG&amp;A</v>
          </cell>
          <cell r="O459" t="str">
            <v>[No Vendor]</v>
          </cell>
        </row>
        <row r="460">
          <cell r="D460">
            <v>-7564.6</v>
          </cell>
          <cell r="H460">
            <v>45323</v>
          </cell>
          <cell r="I460" t="str">
            <v>6005 - Salaries</v>
          </cell>
          <cell r="J460" t="str">
            <v>Wholesale</v>
          </cell>
          <cell r="K460" t="str">
            <v>Wholesale</v>
          </cell>
          <cell r="L460" t="str">
            <v>HQ Salaries</v>
          </cell>
          <cell r="N460" t="str">
            <v>SG&amp;A</v>
          </cell>
          <cell r="O460" t="str">
            <v>[No Vendor]</v>
          </cell>
        </row>
        <row r="461">
          <cell r="D461">
            <v>-15520.02</v>
          </cell>
          <cell r="H461">
            <v>45323</v>
          </cell>
          <cell r="I461" t="str">
            <v>6005 - Salaries</v>
          </cell>
          <cell r="J461">
            <v>0</v>
          </cell>
          <cell r="K461" t="str">
            <v>Production</v>
          </cell>
          <cell r="L461" t="str">
            <v>HQ Salaries</v>
          </cell>
          <cell r="N461" t="str">
            <v>SG&amp;A</v>
          </cell>
          <cell r="O461" t="str">
            <v>[No Vendor]</v>
          </cell>
        </row>
        <row r="462">
          <cell r="D462">
            <v>-3846.16</v>
          </cell>
          <cell r="H462">
            <v>45323</v>
          </cell>
          <cell r="I462" t="str">
            <v>6005 - Salaries</v>
          </cell>
          <cell r="J462">
            <v>0</v>
          </cell>
          <cell r="K462" t="str">
            <v>Brand Marketing</v>
          </cell>
          <cell r="L462" t="str">
            <v>HQ Salaries</v>
          </cell>
          <cell r="N462" t="str">
            <v>SG&amp;A</v>
          </cell>
          <cell r="O462" t="str">
            <v>[No Vendor]</v>
          </cell>
        </row>
        <row r="463">
          <cell r="D463">
            <v>-14836.94</v>
          </cell>
          <cell r="H463">
            <v>45323</v>
          </cell>
          <cell r="I463" t="str">
            <v>6005 - Salaries</v>
          </cell>
          <cell r="J463" t="str">
            <v>Ecommerce (US)</v>
          </cell>
          <cell r="K463" t="str">
            <v>Ecommerce</v>
          </cell>
          <cell r="L463" t="str">
            <v>HQ Salaries</v>
          </cell>
          <cell r="N463" t="str">
            <v>SG&amp;A</v>
          </cell>
          <cell r="O463" t="str">
            <v>[No Vendor]</v>
          </cell>
        </row>
        <row r="464">
          <cell r="D464">
            <v>-13338.46</v>
          </cell>
          <cell r="H464">
            <v>45323</v>
          </cell>
          <cell r="I464" t="str">
            <v>6005 - Salaries</v>
          </cell>
          <cell r="J464">
            <v>0</v>
          </cell>
          <cell r="K464" t="str">
            <v>Design</v>
          </cell>
          <cell r="L464" t="str">
            <v>HQ Salaries</v>
          </cell>
          <cell r="N464" t="str">
            <v>SG&amp;A</v>
          </cell>
          <cell r="O464" t="str">
            <v>[No Vendor]</v>
          </cell>
        </row>
        <row r="465">
          <cell r="D465">
            <v>300</v>
          </cell>
          <cell r="H465">
            <v>45323</v>
          </cell>
          <cell r="I465" t="str">
            <v>6288 - Model</v>
          </cell>
          <cell r="J465">
            <v>0</v>
          </cell>
          <cell r="K465" t="str">
            <v>Brand Marketing</v>
          </cell>
          <cell r="L465" t="str">
            <v>Advertising</v>
          </cell>
          <cell r="N465" t="str">
            <v>SG&amp;A</v>
          </cell>
          <cell r="O465" t="str">
            <v>Nannaphat Arunothaivitsarut</v>
          </cell>
        </row>
        <row r="466">
          <cell r="D466">
            <v>-111</v>
          </cell>
          <cell r="H466">
            <v>45323</v>
          </cell>
          <cell r="I466" t="str">
            <v>5000 - Cost of Goods Sold</v>
          </cell>
          <cell r="J466" t="str">
            <v>Ecommerce (US)</v>
          </cell>
          <cell r="K466" t="str">
            <v>Ecommerce</v>
          </cell>
          <cell r="L466" t="str">
            <v>COGS</v>
          </cell>
          <cell r="N466" t="str">
            <v>COGS</v>
          </cell>
          <cell r="O466" t="str">
            <v>Porta Asiatica Enterprises Inc</v>
          </cell>
        </row>
        <row r="467">
          <cell r="D467">
            <v>-960</v>
          </cell>
          <cell r="H467">
            <v>45323</v>
          </cell>
          <cell r="I467" t="str">
            <v>6288 - Model</v>
          </cell>
          <cell r="J467">
            <v>0</v>
          </cell>
          <cell r="K467" t="str">
            <v>Brand Marketing</v>
          </cell>
          <cell r="L467" t="str">
            <v>Advertising</v>
          </cell>
          <cell r="N467" t="str">
            <v>SG&amp;A</v>
          </cell>
          <cell r="O467" t="str">
            <v>Marilyn Red Model Management LLC</v>
          </cell>
        </row>
        <row r="468">
          <cell r="D468">
            <v>827.51</v>
          </cell>
          <cell r="H468">
            <v>45323</v>
          </cell>
          <cell r="I468" t="str">
            <v>8505 - Realized Gain/Loss</v>
          </cell>
          <cell r="J468">
            <v>0</v>
          </cell>
          <cell r="K468" t="str">
            <v>No Department</v>
          </cell>
          <cell r="L468" t="str">
            <v>Realized Gain / Loss</v>
          </cell>
          <cell r="N468" t="str">
            <v>BTL</v>
          </cell>
          <cell r="O468" t="str">
            <v>[No Vendor]</v>
          </cell>
        </row>
        <row r="469">
          <cell r="D469">
            <v>173.33</v>
          </cell>
          <cell r="H469">
            <v>45323</v>
          </cell>
          <cell r="I469" t="str">
            <v>6300 - Payroll Service Fees</v>
          </cell>
          <cell r="J469">
            <v>0</v>
          </cell>
          <cell r="K469" t="str">
            <v>Administration</v>
          </cell>
          <cell r="L469" t="str">
            <v>Professional Service</v>
          </cell>
          <cell r="N469" t="str">
            <v>SG&amp;A</v>
          </cell>
          <cell r="O469" t="str">
            <v>ADP Payroll Services</v>
          </cell>
        </row>
        <row r="470">
          <cell r="D470">
            <v>5450.26</v>
          </cell>
          <cell r="H470">
            <v>45323</v>
          </cell>
          <cell r="I470" t="str">
            <v>6450 - Bank &amp; Other Fees</v>
          </cell>
          <cell r="J470" t="str">
            <v>Wholesale</v>
          </cell>
          <cell r="K470" t="str">
            <v>Wholesale</v>
          </cell>
          <cell r="L470" t="str">
            <v>Professional Service</v>
          </cell>
          <cell r="N470" t="str">
            <v>Direct Costs</v>
          </cell>
          <cell r="O470" t="str">
            <v>Paymentech</v>
          </cell>
        </row>
        <row r="471">
          <cell r="D471">
            <v>20889.740000000002</v>
          </cell>
          <cell r="H471">
            <v>45323</v>
          </cell>
          <cell r="I471" t="str">
            <v>6375 - Freight Expenses</v>
          </cell>
          <cell r="J471" t="str">
            <v>Ecommerce (US)</v>
          </cell>
          <cell r="K471" t="str">
            <v>Ecommerce</v>
          </cell>
          <cell r="L471" t="str">
            <v>Freight</v>
          </cell>
          <cell r="N471" t="str">
            <v>Direct Costs</v>
          </cell>
          <cell r="O471" t="str">
            <v>UPS Supply Chain Solutions Inc. (7F24A0)</v>
          </cell>
        </row>
        <row r="472">
          <cell r="D472">
            <v>125.91</v>
          </cell>
          <cell r="H472">
            <v>45323</v>
          </cell>
          <cell r="I472" t="str">
            <v>6040 - Employer Paid Benefits</v>
          </cell>
          <cell r="J472">
            <v>0</v>
          </cell>
          <cell r="K472" t="str">
            <v>Administration</v>
          </cell>
          <cell r="L472" t="str">
            <v>HQ Salaries</v>
          </cell>
          <cell r="N472" t="str">
            <v>SG&amp;A</v>
          </cell>
          <cell r="O472" t="str">
            <v>Allied Administrators</v>
          </cell>
        </row>
        <row r="473">
          <cell r="D473">
            <v>1440</v>
          </cell>
          <cell r="H473">
            <v>45323</v>
          </cell>
          <cell r="I473" t="str">
            <v>6288 - Model</v>
          </cell>
          <cell r="J473">
            <v>0</v>
          </cell>
          <cell r="K473" t="str">
            <v>Brand Marketing</v>
          </cell>
          <cell r="L473" t="str">
            <v>Advertising</v>
          </cell>
          <cell r="N473" t="str">
            <v>SG&amp;A</v>
          </cell>
          <cell r="O473" t="str">
            <v>Muse Management, Inc</v>
          </cell>
        </row>
        <row r="474">
          <cell r="D474">
            <v>3250</v>
          </cell>
          <cell r="H474">
            <v>45323</v>
          </cell>
          <cell r="I474" t="str">
            <v>6240 - Product Photography</v>
          </cell>
          <cell r="J474" t="str">
            <v>Ecommerce (US)</v>
          </cell>
          <cell r="K474" t="str">
            <v>Brand Marketing</v>
          </cell>
          <cell r="L474" t="str">
            <v>Advertising</v>
          </cell>
          <cell r="N474" t="str">
            <v>SG&amp;A</v>
          </cell>
          <cell r="O474" t="str">
            <v>Theerapol Thammasitboon</v>
          </cell>
        </row>
        <row r="475">
          <cell r="D475">
            <v>2048</v>
          </cell>
          <cell r="H475">
            <v>45323</v>
          </cell>
          <cell r="I475" t="str">
            <v>6240 - Product Photography</v>
          </cell>
          <cell r="J475" t="str">
            <v>Ecommerce (US)</v>
          </cell>
          <cell r="K475" t="str">
            <v>Brand Marketing</v>
          </cell>
          <cell r="L475" t="str">
            <v>Advertising</v>
          </cell>
          <cell r="N475" t="str">
            <v>SG&amp;A</v>
          </cell>
          <cell r="O475" t="str">
            <v>Theerapol Thammasitboon</v>
          </cell>
        </row>
        <row r="476">
          <cell r="D476">
            <v>20023.89</v>
          </cell>
          <cell r="H476">
            <v>45323</v>
          </cell>
          <cell r="I476" t="str">
            <v>6225 - Professional Services</v>
          </cell>
          <cell r="J476" t="str">
            <v>Ecommerce (US)</v>
          </cell>
          <cell r="K476" t="str">
            <v>Ecommerce</v>
          </cell>
          <cell r="L476" t="str">
            <v>Professional Service</v>
          </cell>
          <cell r="N476" t="str">
            <v>Direct Costs</v>
          </cell>
          <cell r="O476" t="str">
            <v>Rareview, LLC</v>
          </cell>
        </row>
        <row r="477">
          <cell r="D477">
            <v>30.14</v>
          </cell>
          <cell r="H477">
            <v>45323</v>
          </cell>
          <cell r="I477" t="str">
            <v>6375 - Freight Expenses</v>
          </cell>
          <cell r="J477" t="str">
            <v>Ecommerce (US)</v>
          </cell>
          <cell r="K477" t="str">
            <v>Ecommerce</v>
          </cell>
          <cell r="L477" t="str">
            <v>Freight</v>
          </cell>
          <cell r="N477" t="str">
            <v>Direct Costs</v>
          </cell>
          <cell r="O477" t="str">
            <v>Federal Express</v>
          </cell>
        </row>
        <row r="478">
          <cell r="D478">
            <v>16.100000000000001</v>
          </cell>
          <cell r="H478">
            <v>45323</v>
          </cell>
          <cell r="I478" t="str">
            <v>6040 - Employer Paid Benefits</v>
          </cell>
          <cell r="J478">
            <v>0</v>
          </cell>
          <cell r="K478" t="str">
            <v>Administration</v>
          </cell>
          <cell r="L478" t="str">
            <v>HQ Salaries</v>
          </cell>
          <cell r="N478" t="str">
            <v>SG&amp;A</v>
          </cell>
          <cell r="O478" t="str">
            <v>Progressive Benefit Solutions LLC</v>
          </cell>
        </row>
        <row r="479">
          <cell r="D479">
            <v>24.54</v>
          </cell>
          <cell r="H479">
            <v>45323</v>
          </cell>
          <cell r="I479" t="str">
            <v>6040 - Employer Paid Benefits</v>
          </cell>
          <cell r="J479" t="str">
            <v>Wholesale</v>
          </cell>
          <cell r="K479" t="str">
            <v>Wholesale</v>
          </cell>
          <cell r="L479" t="str">
            <v>HQ Salaries</v>
          </cell>
          <cell r="N479" t="str">
            <v>SG&amp;A</v>
          </cell>
          <cell r="O479" t="str">
            <v>Allied Administrators</v>
          </cell>
        </row>
        <row r="480">
          <cell r="D480">
            <v>125.91</v>
          </cell>
          <cell r="H480">
            <v>45323</v>
          </cell>
          <cell r="I480" t="str">
            <v>6040 - Employer Paid Benefits</v>
          </cell>
          <cell r="J480">
            <v>0</v>
          </cell>
          <cell r="K480" t="str">
            <v>Production</v>
          </cell>
          <cell r="L480" t="str">
            <v>HQ Salaries</v>
          </cell>
          <cell r="N480" t="str">
            <v>SG&amp;A</v>
          </cell>
          <cell r="O480" t="str">
            <v>Allied Administrators</v>
          </cell>
        </row>
        <row r="481">
          <cell r="D481">
            <v>97.44</v>
          </cell>
          <cell r="H481">
            <v>45323</v>
          </cell>
          <cell r="I481" t="str">
            <v>6040 - Employer Paid Benefits</v>
          </cell>
          <cell r="J481">
            <v>0</v>
          </cell>
          <cell r="K481" t="str">
            <v>Merchandising</v>
          </cell>
          <cell r="L481" t="str">
            <v>HQ Salaries</v>
          </cell>
          <cell r="N481" t="str">
            <v>SG&amp;A</v>
          </cell>
          <cell r="O481" t="str">
            <v>Allied Administrators</v>
          </cell>
        </row>
        <row r="482">
          <cell r="D482">
            <v>145.80000000000001</v>
          </cell>
          <cell r="H482">
            <v>45323</v>
          </cell>
          <cell r="I482" t="str">
            <v>6040 - Employer Paid Benefits</v>
          </cell>
          <cell r="J482">
            <v>0</v>
          </cell>
          <cell r="K482" t="str">
            <v>Executive</v>
          </cell>
          <cell r="L482" t="str">
            <v>HQ Salaries</v>
          </cell>
          <cell r="N482" t="str">
            <v>SG&amp;A</v>
          </cell>
          <cell r="O482" t="str">
            <v>Allied Administrators</v>
          </cell>
        </row>
        <row r="483">
          <cell r="D483">
            <v>76.83</v>
          </cell>
          <cell r="H483">
            <v>45323</v>
          </cell>
          <cell r="I483" t="str">
            <v>6040 - Employer Paid Benefits</v>
          </cell>
          <cell r="J483" t="str">
            <v>Ecommerce (US)</v>
          </cell>
          <cell r="K483" t="str">
            <v>Ecommerce</v>
          </cell>
          <cell r="L483" t="str">
            <v>HQ Salaries</v>
          </cell>
          <cell r="N483" t="str">
            <v>SG&amp;A</v>
          </cell>
          <cell r="O483" t="str">
            <v>Allied Administrators</v>
          </cell>
        </row>
        <row r="484">
          <cell r="D484">
            <v>52.29</v>
          </cell>
          <cell r="H484">
            <v>45323</v>
          </cell>
          <cell r="I484" t="str">
            <v>6040 - Employer Paid Benefits</v>
          </cell>
          <cell r="J484">
            <v>0</v>
          </cell>
          <cell r="K484" t="str">
            <v>Design</v>
          </cell>
          <cell r="L484" t="str">
            <v>HQ Salaries</v>
          </cell>
          <cell r="N484" t="str">
            <v>SG&amp;A</v>
          </cell>
          <cell r="O484" t="str">
            <v>Allied Administrators</v>
          </cell>
        </row>
        <row r="485">
          <cell r="D485">
            <v>11998.44</v>
          </cell>
          <cell r="H485">
            <v>45323</v>
          </cell>
          <cell r="I485" t="str">
            <v>6375 - Freight Expenses</v>
          </cell>
          <cell r="J485" t="str">
            <v>Ecommerce (EU)</v>
          </cell>
          <cell r="K485" t="str">
            <v>Ecommerce</v>
          </cell>
          <cell r="L485" t="str">
            <v>Freight</v>
          </cell>
          <cell r="N485" t="str">
            <v>Direct Costs</v>
          </cell>
          <cell r="O485" t="str">
            <v>Global E</v>
          </cell>
        </row>
        <row r="486">
          <cell r="D486">
            <v>3488.32</v>
          </cell>
          <cell r="H486">
            <v>45323</v>
          </cell>
          <cell r="I486" t="str">
            <v>6450 - Bank &amp; Other Fees</v>
          </cell>
          <cell r="J486" t="str">
            <v>Ecommerce (EU)</v>
          </cell>
          <cell r="K486" t="str">
            <v>Ecommerce</v>
          </cell>
          <cell r="L486" t="str">
            <v>Professional Service</v>
          </cell>
          <cell r="N486" t="str">
            <v>Direct Costs</v>
          </cell>
          <cell r="O486" t="str">
            <v>[No Vendor]</v>
          </cell>
        </row>
        <row r="487">
          <cell r="D487">
            <v>138</v>
          </cell>
          <cell r="H487">
            <v>45323</v>
          </cell>
          <cell r="I487" t="str">
            <v>6430 - Dues &amp; Memberships</v>
          </cell>
          <cell r="J487" t="str">
            <v>Wholesale</v>
          </cell>
          <cell r="K487" t="str">
            <v>Wholesale</v>
          </cell>
          <cell r="L487" t="str">
            <v>Professional Service</v>
          </cell>
          <cell r="N487" t="str">
            <v>Direct Costs</v>
          </cell>
          <cell r="O487" t="str">
            <v>SPS Commerce</v>
          </cell>
        </row>
        <row r="488">
          <cell r="D488">
            <v>-0.01</v>
          </cell>
          <cell r="H488">
            <v>45323</v>
          </cell>
          <cell r="I488" t="str">
            <v>8590 - Rounding Gain/Loss</v>
          </cell>
          <cell r="J488">
            <v>0</v>
          </cell>
          <cell r="K488" t="str">
            <v>No Department</v>
          </cell>
          <cell r="L488" t="str">
            <v>Realized Gain / Loss</v>
          </cell>
          <cell r="N488" t="str">
            <v>BTL</v>
          </cell>
          <cell r="O488" t="str">
            <v>[No Vendor]</v>
          </cell>
        </row>
        <row r="489">
          <cell r="D489">
            <v>402.68</v>
          </cell>
          <cell r="H489">
            <v>45323</v>
          </cell>
          <cell r="I489" t="str">
            <v>6375 - Freight Expenses</v>
          </cell>
          <cell r="J489">
            <v>0</v>
          </cell>
          <cell r="K489" t="str">
            <v>Production</v>
          </cell>
          <cell r="L489" t="str">
            <v>Freight</v>
          </cell>
          <cell r="N489" t="str">
            <v>Direct Costs</v>
          </cell>
          <cell r="O489" t="str">
            <v>DHL Express - USA</v>
          </cell>
        </row>
        <row r="490">
          <cell r="D490">
            <v>4706.25</v>
          </cell>
          <cell r="H490">
            <v>45323</v>
          </cell>
          <cell r="I490" t="str">
            <v>6300 - Payroll Service Fees</v>
          </cell>
          <cell r="J490">
            <v>0</v>
          </cell>
          <cell r="K490" t="str">
            <v>Administration</v>
          </cell>
          <cell r="L490" t="str">
            <v>Professional Service</v>
          </cell>
          <cell r="N490" t="str">
            <v>SG&amp;A</v>
          </cell>
          <cell r="O490" t="str">
            <v>OperationsInc, LLC</v>
          </cell>
        </row>
        <row r="491">
          <cell r="D491">
            <v>1625</v>
          </cell>
          <cell r="H491">
            <v>45323</v>
          </cell>
          <cell r="I491" t="str">
            <v>6363 - Development</v>
          </cell>
          <cell r="J491" t="str">
            <v>Wholesale</v>
          </cell>
          <cell r="K491" t="str">
            <v>Production</v>
          </cell>
          <cell r="L491" t="str">
            <v>Sample</v>
          </cell>
          <cell r="N491" t="str">
            <v>SG&amp;A</v>
          </cell>
          <cell r="O491" t="str">
            <v>Porta Asiatica Enterprises Inc</v>
          </cell>
        </row>
        <row r="492">
          <cell r="D492">
            <v>178.17</v>
          </cell>
          <cell r="H492">
            <v>45323</v>
          </cell>
          <cell r="I492" t="str">
            <v>6385 - Insurance</v>
          </cell>
          <cell r="J492">
            <v>0</v>
          </cell>
          <cell r="K492" t="str">
            <v>Administration</v>
          </cell>
          <cell r="L492" t="str">
            <v>Professional Service</v>
          </cell>
          <cell r="N492" t="str">
            <v>SG&amp;A</v>
          </cell>
          <cell r="O492" t="str">
            <v>[No Vendor]</v>
          </cell>
        </row>
        <row r="493">
          <cell r="D493">
            <v>281.08</v>
          </cell>
          <cell r="H493">
            <v>45323</v>
          </cell>
          <cell r="I493" t="str">
            <v>8505 - Realized Gain/Loss</v>
          </cell>
          <cell r="J493">
            <v>0</v>
          </cell>
          <cell r="K493" t="str">
            <v>No Department</v>
          </cell>
          <cell r="L493" t="str">
            <v>Realized Gain / Loss</v>
          </cell>
          <cell r="N493" t="str">
            <v>BTL</v>
          </cell>
          <cell r="O493" t="str">
            <v>[No Vendor]</v>
          </cell>
        </row>
        <row r="494">
          <cell r="D494">
            <v>24748.48</v>
          </cell>
          <cell r="H494">
            <v>45323</v>
          </cell>
          <cell r="I494" t="str">
            <v>6005 - Salaries</v>
          </cell>
          <cell r="J494">
            <v>0</v>
          </cell>
          <cell r="K494" t="str">
            <v>Administration</v>
          </cell>
          <cell r="L494" t="str">
            <v>HQ Salaries</v>
          </cell>
          <cell r="N494" t="str">
            <v>SG&amp;A</v>
          </cell>
          <cell r="O494" t="str">
            <v>[No Vendor]</v>
          </cell>
        </row>
        <row r="495">
          <cell r="D495">
            <v>960</v>
          </cell>
          <cell r="H495">
            <v>45323</v>
          </cell>
          <cell r="I495" t="str">
            <v>6288 - Model</v>
          </cell>
          <cell r="J495">
            <v>0</v>
          </cell>
          <cell r="K495" t="str">
            <v>Brand Marketing</v>
          </cell>
          <cell r="L495" t="str">
            <v>Advertising</v>
          </cell>
          <cell r="N495" t="str">
            <v>SG&amp;A</v>
          </cell>
          <cell r="O495" t="str">
            <v>[No Vendor]</v>
          </cell>
        </row>
        <row r="496">
          <cell r="D496">
            <v>0</v>
          </cell>
          <cell r="H496">
            <v>45323</v>
          </cell>
          <cell r="I496" t="str">
            <v>6205 - Contractors</v>
          </cell>
          <cell r="J496">
            <v>0</v>
          </cell>
          <cell r="K496" t="str">
            <v>Brand Marketing</v>
          </cell>
          <cell r="L496" t="str">
            <v>HQ Salaries</v>
          </cell>
          <cell r="N496" t="str">
            <v>SG&amp;A</v>
          </cell>
          <cell r="O496" t="str">
            <v>[No Vendor]</v>
          </cell>
        </row>
        <row r="497">
          <cell r="D497">
            <v>5725</v>
          </cell>
          <cell r="H497">
            <v>45323</v>
          </cell>
          <cell r="I497" t="str">
            <v>6205 - Contractors</v>
          </cell>
          <cell r="J497" t="str">
            <v>Ecommerce (US)</v>
          </cell>
          <cell r="K497" t="str">
            <v>Ecommerce</v>
          </cell>
          <cell r="L497" t="str">
            <v>HQ Salaries</v>
          </cell>
          <cell r="N497" t="str">
            <v>SG&amp;A</v>
          </cell>
          <cell r="O497" t="str">
            <v>[No Vendor]</v>
          </cell>
        </row>
        <row r="498">
          <cell r="D498">
            <v>-19.850000000000001</v>
          </cell>
          <cell r="H498">
            <v>45323</v>
          </cell>
          <cell r="I498" t="str">
            <v>6385 - Insurance</v>
          </cell>
          <cell r="J498">
            <v>0</v>
          </cell>
          <cell r="K498" t="str">
            <v>Administration</v>
          </cell>
          <cell r="L498" t="str">
            <v>Professional Service</v>
          </cell>
          <cell r="N498" t="str">
            <v>SG&amp;A</v>
          </cell>
          <cell r="O498" t="str">
            <v>[No Vendor]</v>
          </cell>
        </row>
        <row r="499">
          <cell r="D499">
            <v>-37.67</v>
          </cell>
          <cell r="H499">
            <v>45323</v>
          </cell>
          <cell r="I499" t="str">
            <v>6385 - Insurance</v>
          </cell>
          <cell r="J499">
            <v>0</v>
          </cell>
          <cell r="K499" t="str">
            <v>Administration</v>
          </cell>
          <cell r="L499" t="str">
            <v>Professional Service</v>
          </cell>
          <cell r="N499" t="str">
            <v>SG&amp;A</v>
          </cell>
          <cell r="O499" t="str">
            <v>[No Vendor]</v>
          </cell>
        </row>
        <row r="500">
          <cell r="D500">
            <v>-77.16</v>
          </cell>
          <cell r="H500">
            <v>45323</v>
          </cell>
          <cell r="I500" t="str">
            <v>6385 - Insurance</v>
          </cell>
          <cell r="J500">
            <v>0</v>
          </cell>
          <cell r="K500" t="str">
            <v>Administration</v>
          </cell>
          <cell r="L500" t="str">
            <v>Professional Service</v>
          </cell>
          <cell r="N500" t="str">
            <v>SG&amp;A</v>
          </cell>
          <cell r="O500" t="str">
            <v>[No Vendor]</v>
          </cell>
        </row>
        <row r="501">
          <cell r="D501">
            <v>-20.34</v>
          </cell>
          <cell r="H501">
            <v>45323</v>
          </cell>
          <cell r="I501" t="str">
            <v>6385 - Insurance</v>
          </cell>
          <cell r="J501">
            <v>0</v>
          </cell>
          <cell r="K501" t="str">
            <v>Administration</v>
          </cell>
          <cell r="L501" t="str">
            <v>Professional Service</v>
          </cell>
          <cell r="N501" t="str">
            <v>SG&amp;A</v>
          </cell>
          <cell r="O501" t="str">
            <v>[No Vendor]</v>
          </cell>
        </row>
        <row r="502">
          <cell r="D502">
            <v>-36.909999999999997</v>
          </cell>
          <cell r="H502">
            <v>45323</v>
          </cell>
          <cell r="I502" t="str">
            <v>6385 - Insurance</v>
          </cell>
          <cell r="J502">
            <v>0</v>
          </cell>
          <cell r="K502" t="str">
            <v>Administration</v>
          </cell>
          <cell r="L502" t="str">
            <v>Professional Service</v>
          </cell>
          <cell r="N502" t="str">
            <v>SG&amp;A</v>
          </cell>
          <cell r="O502" t="str">
            <v>[No Vendor]</v>
          </cell>
        </row>
        <row r="503">
          <cell r="D503">
            <v>-66.989999999999995</v>
          </cell>
          <cell r="H503">
            <v>45323</v>
          </cell>
          <cell r="I503" t="str">
            <v>6385 - Insurance</v>
          </cell>
          <cell r="J503">
            <v>0</v>
          </cell>
          <cell r="K503" t="str">
            <v>Administration</v>
          </cell>
          <cell r="L503" t="str">
            <v>Professional Service</v>
          </cell>
          <cell r="N503" t="str">
            <v>SG&amp;A</v>
          </cell>
          <cell r="O503" t="str">
            <v>[No Vendor]</v>
          </cell>
        </row>
        <row r="504">
          <cell r="D504">
            <v>-38.75</v>
          </cell>
          <cell r="H504">
            <v>45323</v>
          </cell>
          <cell r="I504" t="str">
            <v>6385 - Insurance</v>
          </cell>
          <cell r="J504">
            <v>0</v>
          </cell>
          <cell r="K504" t="str">
            <v>Administration</v>
          </cell>
          <cell r="L504" t="str">
            <v>Professional Service</v>
          </cell>
          <cell r="N504" t="str">
            <v>SG&amp;A</v>
          </cell>
          <cell r="O504" t="str">
            <v>[No Vendor]</v>
          </cell>
        </row>
        <row r="505">
          <cell r="D505">
            <v>782.5</v>
          </cell>
          <cell r="H505">
            <v>45323</v>
          </cell>
          <cell r="I505" t="str">
            <v>6055 - Employer Social Security Tax Withheld</v>
          </cell>
          <cell r="J505">
            <v>0</v>
          </cell>
          <cell r="K505" t="str">
            <v>Merchandising</v>
          </cell>
          <cell r="L505" t="str">
            <v>HQ Salaries</v>
          </cell>
          <cell r="N505" t="str">
            <v>SG&amp;A</v>
          </cell>
          <cell r="O505" t="str">
            <v>[No Vendor]</v>
          </cell>
        </row>
        <row r="506">
          <cell r="D506">
            <v>1116.92</v>
          </cell>
          <cell r="H506">
            <v>45323</v>
          </cell>
          <cell r="I506" t="str">
            <v>6055 - Employer Social Security Tax Withheld</v>
          </cell>
          <cell r="J506" t="str">
            <v>Wholesale</v>
          </cell>
          <cell r="K506" t="str">
            <v>Wholesale</v>
          </cell>
          <cell r="L506" t="str">
            <v>HQ Salaries</v>
          </cell>
          <cell r="N506" t="str">
            <v>SG&amp;A</v>
          </cell>
          <cell r="O506" t="str">
            <v>[No Vendor]</v>
          </cell>
        </row>
        <row r="507">
          <cell r="D507">
            <v>2446.79</v>
          </cell>
          <cell r="H507">
            <v>45323</v>
          </cell>
          <cell r="I507" t="str">
            <v>6055 - Employer Social Security Tax Withheld</v>
          </cell>
          <cell r="J507">
            <v>0</v>
          </cell>
          <cell r="K507" t="str">
            <v>Production</v>
          </cell>
          <cell r="L507" t="str">
            <v>HQ Salaries</v>
          </cell>
          <cell r="N507" t="str">
            <v>SG&amp;A</v>
          </cell>
          <cell r="O507" t="str">
            <v>[No Vendor]</v>
          </cell>
        </row>
        <row r="508">
          <cell r="D508">
            <v>734.15</v>
          </cell>
          <cell r="H508">
            <v>45323</v>
          </cell>
          <cell r="I508" t="str">
            <v>6055 - Employer Social Security Tax Withheld</v>
          </cell>
          <cell r="J508">
            <v>0</v>
          </cell>
          <cell r="K508" t="str">
            <v>Brand Marketing</v>
          </cell>
          <cell r="L508" t="str">
            <v>HQ Salaries</v>
          </cell>
          <cell r="N508" t="str">
            <v>SG&amp;A</v>
          </cell>
          <cell r="O508" t="str">
            <v>[No Vendor]</v>
          </cell>
        </row>
        <row r="509">
          <cell r="D509">
            <v>2343.0100000000002</v>
          </cell>
          <cell r="H509">
            <v>45323</v>
          </cell>
          <cell r="I509" t="str">
            <v>6055 - Employer Social Security Tax Withheld</v>
          </cell>
          <cell r="J509" t="str">
            <v>Ecommerce (US)</v>
          </cell>
          <cell r="K509" t="str">
            <v>Ecommerce</v>
          </cell>
          <cell r="L509" t="str">
            <v>HQ Salaries</v>
          </cell>
          <cell r="N509" t="str">
            <v>SG&amp;A</v>
          </cell>
          <cell r="O509" t="str">
            <v>[No Vendor]</v>
          </cell>
        </row>
        <row r="510">
          <cell r="D510">
            <v>2070.59</v>
          </cell>
          <cell r="H510">
            <v>45323</v>
          </cell>
          <cell r="I510" t="str">
            <v>6055 - Employer Social Security Tax Withheld</v>
          </cell>
          <cell r="J510">
            <v>0</v>
          </cell>
          <cell r="K510" t="str">
            <v>Design</v>
          </cell>
          <cell r="L510" t="str">
            <v>HQ Salaries</v>
          </cell>
          <cell r="N510" t="str">
            <v>SG&amp;A</v>
          </cell>
          <cell r="O510" t="str">
            <v>[No Vendor]</v>
          </cell>
        </row>
        <row r="511">
          <cell r="D511">
            <v>2877.84</v>
          </cell>
          <cell r="H511">
            <v>45323</v>
          </cell>
          <cell r="I511" t="str">
            <v>6055 - Employer Social Security Tax Withheld</v>
          </cell>
          <cell r="J511">
            <v>0</v>
          </cell>
          <cell r="K511" t="str">
            <v>Administration</v>
          </cell>
          <cell r="L511" t="str">
            <v>HQ Salaries</v>
          </cell>
          <cell r="N511" t="str">
            <v>SG&amp;A</v>
          </cell>
          <cell r="O511" t="str">
            <v>[No Vendor]</v>
          </cell>
        </row>
        <row r="512">
          <cell r="D512">
            <v>0</v>
          </cell>
          <cell r="H512">
            <v>45323</v>
          </cell>
          <cell r="I512" t="str">
            <v>6040 - Employer Paid Benefits</v>
          </cell>
          <cell r="J512">
            <v>0</v>
          </cell>
          <cell r="K512" t="str">
            <v>Merchandising</v>
          </cell>
          <cell r="L512" t="str">
            <v>HQ Salaries</v>
          </cell>
          <cell r="N512" t="str">
            <v>SG&amp;A</v>
          </cell>
          <cell r="O512" t="str">
            <v>[No Vendor]</v>
          </cell>
        </row>
        <row r="513">
          <cell r="D513">
            <v>-20</v>
          </cell>
          <cell r="H513">
            <v>45323</v>
          </cell>
          <cell r="I513" t="str">
            <v>6040 - Employer Paid Benefits</v>
          </cell>
          <cell r="J513" t="str">
            <v>Wholesale</v>
          </cell>
          <cell r="K513" t="str">
            <v>Wholesale</v>
          </cell>
          <cell r="L513" t="str">
            <v>HQ Salaries</v>
          </cell>
          <cell r="N513" t="str">
            <v>SG&amp;A</v>
          </cell>
          <cell r="O513" t="str">
            <v>[No Vendor]</v>
          </cell>
        </row>
        <row r="514">
          <cell r="D514">
            <v>-331.57</v>
          </cell>
          <cell r="H514">
            <v>45323</v>
          </cell>
          <cell r="I514" t="str">
            <v>6040 - Employer Paid Benefits</v>
          </cell>
          <cell r="J514">
            <v>0</v>
          </cell>
          <cell r="K514" t="str">
            <v>Production</v>
          </cell>
          <cell r="L514" t="str">
            <v>HQ Salaries</v>
          </cell>
          <cell r="N514" t="str">
            <v>SG&amp;A</v>
          </cell>
          <cell r="O514" t="str">
            <v>[No Vendor]</v>
          </cell>
        </row>
        <row r="515">
          <cell r="D515">
            <v>-20</v>
          </cell>
          <cell r="H515">
            <v>45323</v>
          </cell>
          <cell r="I515" t="str">
            <v>6040 - Employer Paid Benefits</v>
          </cell>
          <cell r="J515">
            <v>0</v>
          </cell>
          <cell r="K515" t="str">
            <v>Brand Marketing</v>
          </cell>
          <cell r="L515" t="str">
            <v>HQ Salaries</v>
          </cell>
          <cell r="N515" t="str">
            <v>SG&amp;A</v>
          </cell>
          <cell r="O515" t="str">
            <v>[No Vendor]</v>
          </cell>
        </row>
        <row r="516">
          <cell r="D516">
            <v>-142.5</v>
          </cell>
          <cell r="H516">
            <v>45323</v>
          </cell>
          <cell r="I516" t="str">
            <v>6040 - Employer Paid Benefits</v>
          </cell>
          <cell r="J516" t="str">
            <v>Ecommerce (US)</v>
          </cell>
          <cell r="K516" t="str">
            <v>Ecommerce</v>
          </cell>
          <cell r="L516" t="str">
            <v>HQ Salaries</v>
          </cell>
          <cell r="N516" t="str">
            <v>SG&amp;A</v>
          </cell>
          <cell r="O516" t="str">
            <v>[No Vendor]</v>
          </cell>
        </row>
        <row r="517">
          <cell r="D517">
            <v>-182.26</v>
          </cell>
          <cell r="H517">
            <v>45323</v>
          </cell>
          <cell r="I517" t="str">
            <v>6040 - Employer Paid Benefits</v>
          </cell>
          <cell r="J517">
            <v>0</v>
          </cell>
          <cell r="K517" t="str">
            <v>Design</v>
          </cell>
          <cell r="L517" t="str">
            <v>HQ Salaries</v>
          </cell>
          <cell r="N517" t="str">
            <v>SG&amp;A</v>
          </cell>
          <cell r="O517" t="str">
            <v>[No Vendor]</v>
          </cell>
        </row>
        <row r="518">
          <cell r="D518">
            <v>-125</v>
          </cell>
          <cell r="H518">
            <v>45323</v>
          </cell>
          <cell r="I518" t="str">
            <v>6040 - Employer Paid Benefits</v>
          </cell>
          <cell r="J518">
            <v>0</v>
          </cell>
          <cell r="K518" t="str">
            <v>Administration</v>
          </cell>
          <cell r="L518" t="str">
            <v>HQ Salaries</v>
          </cell>
          <cell r="N518" t="str">
            <v>SG&amp;A</v>
          </cell>
          <cell r="O518" t="str">
            <v>[No Vendor]</v>
          </cell>
        </row>
        <row r="519">
          <cell r="D519">
            <v>5000</v>
          </cell>
          <cell r="H519">
            <v>45323</v>
          </cell>
          <cell r="I519" t="str">
            <v>6005 - Salaries</v>
          </cell>
          <cell r="J519">
            <v>0</v>
          </cell>
          <cell r="K519" t="str">
            <v>Merchandising</v>
          </cell>
          <cell r="L519" t="str">
            <v>HQ Salaries</v>
          </cell>
          <cell r="N519" t="str">
            <v>SG&amp;A</v>
          </cell>
          <cell r="O519" t="str">
            <v>[No Vendor]</v>
          </cell>
        </row>
        <row r="520">
          <cell r="D520">
            <v>9455.7999999999993</v>
          </cell>
          <cell r="H520">
            <v>45323</v>
          </cell>
          <cell r="I520" t="str">
            <v>6005 - Salaries</v>
          </cell>
          <cell r="J520" t="str">
            <v>Wholesale</v>
          </cell>
          <cell r="K520" t="str">
            <v>Wholesale</v>
          </cell>
          <cell r="L520" t="str">
            <v>HQ Salaries</v>
          </cell>
          <cell r="N520" t="str">
            <v>SG&amp;A</v>
          </cell>
          <cell r="O520" t="str">
            <v>[No Vendor]</v>
          </cell>
        </row>
        <row r="521">
          <cell r="D521">
            <v>19400.02</v>
          </cell>
          <cell r="H521">
            <v>45323</v>
          </cell>
          <cell r="I521" t="str">
            <v>6005 - Salaries</v>
          </cell>
          <cell r="J521">
            <v>0</v>
          </cell>
          <cell r="K521" t="str">
            <v>Production</v>
          </cell>
          <cell r="L521" t="str">
            <v>HQ Salaries</v>
          </cell>
          <cell r="N521" t="str">
            <v>SG&amp;A</v>
          </cell>
          <cell r="O521" t="str">
            <v>[No Vendor]</v>
          </cell>
        </row>
        <row r="522">
          <cell r="D522">
            <v>4807.7</v>
          </cell>
          <cell r="H522">
            <v>45323</v>
          </cell>
          <cell r="I522" t="str">
            <v>6005 - Salaries</v>
          </cell>
          <cell r="J522">
            <v>0</v>
          </cell>
          <cell r="K522" t="str">
            <v>Brand Marketing</v>
          </cell>
          <cell r="L522" t="str">
            <v>HQ Salaries</v>
          </cell>
          <cell r="N522" t="str">
            <v>SG&amp;A</v>
          </cell>
          <cell r="O522" t="str">
            <v>[No Vendor]</v>
          </cell>
        </row>
        <row r="523">
          <cell r="D523">
            <v>18546.169999999998</v>
          </cell>
          <cell r="H523">
            <v>45323</v>
          </cell>
          <cell r="I523" t="str">
            <v>6005 - Salaries</v>
          </cell>
          <cell r="J523" t="str">
            <v>Ecommerce (US)</v>
          </cell>
          <cell r="K523" t="str">
            <v>Ecommerce</v>
          </cell>
          <cell r="L523" t="str">
            <v>HQ Salaries</v>
          </cell>
          <cell r="N523" t="str">
            <v>SG&amp;A</v>
          </cell>
          <cell r="O523" t="str">
            <v>[No Vendor]</v>
          </cell>
        </row>
        <row r="524">
          <cell r="D524">
            <v>16673.080000000002</v>
          </cell>
          <cell r="H524">
            <v>45323</v>
          </cell>
          <cell r="I524" t="str">
            <v>6005 - Salaries</v>
          </cell>
          <cell r="J524">
            <v>0</v>
          </cell>
          <cell r="K524" t="str">
            <v>Design</v>
          </cell>
          <cell r="L524" t="str">
            <v>HQ Salaries</v>
          </cell>
          <cell r="N524" t="str">
            <v>SG&amp;A</v>
          </cell>
          <cell r="O524" t="str">
            <v>[No Vendor]</v>
          </cell>
        </row>
        <row r="525">
          <cell r="D525">
            <v>22911.52</v>
          </cell>
          <cell r="H525">
            <v>45323</v>
          </cell>
          <cell r="I525" t="str">
            <v>6375 - Freight Expenses</v>
          </cell>
          <cell r="J525" t="str">
            <v>Ecommerce (US)</v>
          </cell>
          <cell r="K525" t="str">
            <v>Ecommerce</v>
          </cell>
          <cell r="L525" t="str">
            <v>Freight</v>
          </cell>
          <cell r="N525" t="str">
            <v>Direct Costs</v>
          </cell>
          <cell r="O525" t="str">
            <v>UPS Supply Chain Solutions Inc. (7F24A0)</v>
          </cell>
        </row>
        <row r="526">
          <cell r="D526">
            <v>1034.31</v>
          </cell>
          <cell r="H526">
            <v>45323</v>
          </cell>
          <cell r="I526" t="str">
            <v>6340 - Miscellaneous Expense</v>
          </cell>
          <cell r="J526">
            <v>0</v>
          </cell>
          <cell r="K526" t="str">
            <v>Administration</v>
          </cell>
          <cell r="L526" t="str">
            <v>Other</v>
          </cell>
          <cell r="N526" t="str">
            <v>SG&amp;A</v>
          </cell>
          <cell r="O526" t="str">
            <v>Go Gleem LLC</v>
          </cell>
        </row>
        <row r="527">
          <cell r="D527">
            <v>21.68</v>
          </cell>
          <cell r="H527">
            <v>45323</v>
          </cell>
          <cell r="I527" t="str">
            <v>6040 - Employer Paid Benefits</v>
          </cell>
          <cell r="J527">
            <v>0</v>
          </cell>
          <cell r="K527" t="str">
            <v>Administration</v>
          </cell>
          <cell r="L527" t="str">
            <v>HQ Salaries</v>
          </cell>
          <cell r="N527" t="str">
            <v>SG&amp;A</v>
          </cell>
          <cell r="O527" t="str">
            <v>Procyon Benefits LLC</v>
          </cell>
        </row>
        <row r="528">
          <cell r="D528">
            <v>5970</v>
          </cell>
          <cell r="H528">
            <v>45323</v>
          </cell>
          <cell r="I528" t="str">
            <v>6360 - Model - Fitting</v>
          </cell>
          <cell r="J528">
            <v>0</v>
          </cell>
          <cell r="K528" t="str">
            <v>Production</v>
          </cell>
          <cell r="L528" t="str">
            <v>Sample</v>
          </cell>
          <cell r="N528" t="str">
            <v>SG&amp;A</v>
          </cell>
          <cell r="O528" t="str">
            <v>LENFLASH dot COM</v>
          </cell>
        </row>
        <row r="529">
          <cell r="D529">
            <v>5640</v>
          </cell>
          <cell r="H529">
            <v>45323</v>
          </cell>
          <cell r="I529" t="str">
            <v>6380 - Legal &amp; Accounting</v>
          </cell>
          <cell r="J529">
            <v>0</v>
          </cell>
          <cell r="K529" t="str">
            <v>Administration</v>
          </cell>
          <cell r="L529" t="str">
            <v>Professional Service</v>
          </cell>
          <cell r="N529" t="str">
            <v>SG&amp;A</v>
          </cell>
          <cell r="O529" t="str">
            <v>Korus Legal P.C.</v>
          </cell>
        </row>
        <row r="530">
          <cell r="D530">
            <v>52.74</v>
          </cell>
          <cell r="H530">
            <v>45323</v>
          </cell>
          <cell r="I530" t="str">
            <v>6125 - Transportation and Fuel</v>
          </cell>
          <cell r="J530">
            <v>0</v>
          </cell>
          <cell r="K530" t="str">
            <v>Administration</v>
          </cell>
          <cell r="L530" t="str">
            <v>T&amp;E</v>
          </cell>
          <cell r="N530" t="str">
            <v>SG&amp;A</v>
          </cell>
          <cell r="O530" t="str">
            <v>[No Vendor]</v>
          </cell>
        </row>
        <row r="531">
          <cell r="D531">
            <v>25.3</v>
          </cell>
          <cell r="H531">
            <v>45323</v>
          </cell>
          <cell r="I531" t="str">
            <v>6040 - Employer Paid Benefits</v>
          </cell>
          <cell r="J531">
            <v>0</v>
          </cell>
          <cell r="K531" t="str">
            <v>Merchandising</v>
          </cell>
          <cell r="L531" t="str">
            <v>HQ Salaries</v>
          </cell>
          <cell r="N531" t="str">
            <v>SG&amp;A</v>
          </cell>
          <cell r="O531" t="str">
            <v>Procyon Benefits LLC</v>
          </cell>
        </row>
        <row r="532">
          <cell r="D532">
            <v>341.25</v>
          </cell>
          <cell r="H532">
            <v>45323</v>
          </cell>
          <cell r="I532" t="str">
            <v>6040 - Employer Paid Benefits</v>
          </cell>
          <cell r="J532">
            <v>0</v>
          </cell>
          <cell r="K532" t="str">
            <v>Production</v>
          </cell>
          <cell r="L532" t="str">
            <v>HQ Salaries</v>
          </cell>
          <cell r="N532" t="str">
            <v>SG&amp;A</v>
          </cell>
          <cell r="O532" t="str">
            <v>Procyon Benefits LLC</v>
          </cell>
        </row>
        <row r="533">
          <cell r="D533">
            <v>33.75</v>
          </cell>
          <cell r="H533">
            <v>45323</v>
          </cell>
          <cell r="I533" t="str">
            <v>6040 - Employer Paid Benefits</v>
          </cell>
          <cell r="J533" t="str">
            <v>Ecommerce (US)</v>
          </cell>
          <cell r="K533" t="str">
            <v>Ecommerce</v>
          </cell>
          <cell r="L533" t="str">
            <v>HQ Salaries</v>
          </cell>
          <cell r="N533" t="str">
            <v>SG&amp;A</v>
          </cell>
          <cell r="O533" t="str">
            <v>Procyon Benefits LLC</v>
          </cell>
        </row>
        <row r="534">
          <cell r="D534">
            <v>61.8</v>
          </cell>
          <cell r="H534">
            <v>45323</v>
          </cell>
          <cell r="I534" t="str">
            <v>6040 - Employer Paid Benefits</v>
          </cell>
          <cell r="J534">
            <v>0</v>
          </cell>
          <cell r="K534" t="str">
            <v>Executive</v>
          </cell>
          <cell r="L534" t="str">
            <v>HQ Salaries</v>
          </cell>
          <cell r="N534" t="str">
            <v>SG&amp;A</v>
          </cell>
          <cell r="O534" t="str">
            <v>Procyon Benefits LLC</v>
          </cell>
        </row>
        <row r="535">
          <cell r="D535">
            <v>10744.84</v>
          </cell>
          <cell r="H535">
            <v>45323</v>
          </cell>
          <cell r="I535" t="str">
            <v>6375 - Freight Expenses</v>
          </cell>
          <cell r="J535" t="str">
            <v>Ecommerce (EU)</v>
          </cell>
          <cell r="K535" t="str">
            <v>Ecommerce</v>
          </cell>
          <cell r="L535" t="str">
            <v>Freight</v>
          </cell>
          <cell r="N535" t="str">
            <v>Direct Costs</v>
          </cell>
          <cell r="O535" t="str">
            <v>Global E</v>
          </cell>
        </row>
        <row r="536">
          <cell r="D536">
            <v>3277.3</v>
          </cell>
          <cell r="H536">
            <v>45323</v>
          </cell>
          <cell r="I536" t="str">
            <v>6450 - Bank &amp; Other Fees</v>
          </cell>
          <cell r="J536" t="str">
            <v>Ecommerce (EU)</v>
          </cell>
          <cell r="K536" t="str">
            <v>Ecommerce</v>
          </cell>
          <cell r="L536" t="str">
            <v>Professional Service</v>
          </cell>
          <cell r="N536" t="str">
            <v>Direct Costs</v>
          </cell>
          <cell r="O536" t="str">
            <v>[No Vendor]</v>
          </cell>
        </row>
        <row r="537">
          <cell r="D537">
            <v>365.81</v>
          </cell>
          <cell r="H537">
            <v>45323</v>
          </cell>
          <cell r="I537" t="str">
            <v>6375 - Freight Expenses</v>
          </cell>
          <cell r="J537">
            <v>0</v>
          </cell>
          <cell r="K537" t="str">
            <v>Production</v>
          </cell>
          <cell r="L537" t="str">
            <v>Freight</v>
          </cell>
          <cell r="N537" t="str">
            <v>Direct Costs</v>
          </cell>
          <cell r="O537" t="str">
            <v>DHL Express - USA</v>
          </cell>
        </row>
        <row r="538">
          <cell r="D538">
            <v>2097.6</v>
          </cell>
          <cell r="H538">
            <v>45323</v>
          </cell>
          <cell r="I538" t="str">
            <v>6340 - Miscellaneous Expense</v>
          </cell>
          <cell r="J538">
            <v>0</v>
          </cell>
          <cell r="K538" t="str">
            <v>Administration</v>
          </cell>
          <cell r="L538" t="str">
            <v>Other</v>
          </cell>
          <cell r="N538" t="str">
            <v>SG&amp;A</v>
          </cell>
          <cell r="O538" t="str">
            <v>DM Electronic &amp; Camera</v>
          </cell>
        </row>
        <row r="539">
          <cell r="D539">
            <v>970.17</v>
          </cell>
          <cell r="H539">
            <v>45323</v>
          </cell>
          <cell r="I539" t="str">
            <v>6450 - Bank &amp; Other Fees</v>
          </cell>
          <cell r="J539" t="str">
            <v>Ecommerce (US)</v>
          </cell>
          <cell r="K539" t="str">
            <v>Ecommerce</v>
          </cell>
          <cell r="L539" t="str">
            <v>Professional Service</v>
          </cell>
          <cell r="N539" t="str">
            <v>Direct Costs</v>
          </cell>
          <cell r="O539" t="str">
            <v>[No Vendor]</v>
          </cell>
        </row>
        <row r="540">
          <cell r="D540">
            <v>368.96</v>
          </cell>
          <cell r="H540">
            <v>45323</v>
          </cell>
          <cell r="I540" t="str">
            <v>6375 - Freight Expenses</v>
          </cell>
          <cell r="J540" t="str">
            <v>Wholesale</v>
          </cell>
          <cell r="K540" t="str">
            <v>Wholesale</v>
          </cell>
          <cell r="L540" t="str">
            <v>Freight</v>
          </cell>
          <cell r="N540" t="str">
            <v>Direct Costs</v>
          </cell>
          <cell r="O540" t="str">
            <v>Bergen Logistics Corporation</v>
          </cell>
        </row>
        <row r="541">
          <cell r="D541">
            <v>35762.550000000003</v>
          </cell>
          <cell r="H541">
            <v>45323</v>
          </cell>
          <cell r="I541" t="str">
            <v>6377 - Order Processing Expenses (New)</v>
          </cell>
          <cell r="J541" t="str">
            <v>Ecommerce (US)</v>
          </cell>
          <cell r="K541" t="str">
            <v>Ecommerce</v>
          </cell>
          <cell r="L541" t="str">
            <v>Order Processing</v>
          </cell>
          <cell r="N541" t="str">
            <v>Direct Costs</v>
          </cell>
          <cell r="O541" t="str">
            <v>Bergen Logistics Corporation</v>
          </cell>
        </row>
        <row r="542">
          <cell r="D542">
            <v>12898.11</v>
          </cell>
          <cell r="H542">
            <v>45323</v>
          </cell>
          <cell r="I542" t="str">
            <v>6377 - Order Processing Expenses (New)</v>
          </cell>
          <cell r="J542" t="str">
            <v>Wholesale</v>
          </cell>
          <cell r="K542" t="str">
            <v>Wholesale</v>
          </cell>
          <cell r="L542" t="str">
            <v>Order Processing</v>
          </cell>
          <cell r="N542" t="str">
            <v>Direct Costs</v>
          </cell>
          <cell r="O542" t="str">
            <v>Bergen Logistics Corporation</v>
          </cell>
        </row>
        <row r="543">
          <cell r="D543">
            <v>1459.05</v>
          </cell>
          <cell r="H543">
            <v>45323</v>
          </cell>
          <cell r="I543" t="str">
            <v>6375 - Freight Expenses</v>
          </cell>
          <cell r="J543" t="str">
            <v>Ecommerce (US)</v>
          </cell>
          <cell r="K543" t="str">
            <v>Ecommerce</v>
          </cell>
          <cell r="L543" t="str">
            <v>Freight</v>
          </cell>
          <cell r="N543" t="str">
            <v>Direct Costs</v>
          </cell>
          <cell r="O543" t="str">
            <v>Bergen Logistics Corporation</v>
          </cell>
        </row>
        <row r="544">
          <cell r="D544">
            <v>1200</v>
          </cell>
          <cell r="H544">
            <v>45323</v>
          </cell>
          <cell r="I544" t="str">
            <v>6225 - Professional Services</v>
          </cell>
          <cell r="J544">
            <v>0</v>
          </cell>
          <cell r="K544" t="str">
            <v>Administration</v>
          </cell>
          <cell r="L544" t="str">
            <v>Professional Service</v>
          </cell>
          <cell r="N544" t="str">
            <v>Direct Costs</v>
          </cell>
          <cell r="O544" t="str">
            <v>OperationsInc, LLC</v>
          </cell>
        </row>
        <row r="545">
          <cell r="D545">
            <v>719.8</v>
          </cell>
          <cell r="H545">
            <v>45323</v>
          </cell>
          <cell r="I545" t="str">
            <v>6410 - Lease Expense</v>
          </cell>
          <cell r="J545">
            <v>0</v>
          </cell>
          <cell r="K545" t="str">
            <v>Administration</v>
          </cell>
          <cell r="L545" t="str">
            <v>Rent</v>
          </cell>
          <cell r="N545" t="str">
            <v>SG&amp;A</v>
          </cell>
          <cell r="O545" t="str">
            <v>Canon Financial Services, Inc.</v>
          </cell>
        </row>
        <row r="546">
          <cell r="D546">
            <v>1525</v>
          </cell>
          <cell r="H546">
            <v>45323</v>
          </cell>
          <cell r="I546" t="str">
            <v>6300 - Payroll Service Fees</v>
          </cell>
          <cell r="J546">
            <v>0</v>
          </cell>
          <cell r="K546" t="str">
            <v>Administration</v>
          </cell>
          <cell r="L546" t="str">
            <v>Professional Service</v>
          </cell>
          <cell r="N546" t="str">
            <v>SG&amp;A</v>
          </cell>
          <cell r="O546" t="str">
            <v>OperationsInc, LLC</v>
          </cell>
        </row>
        <row r="547">
          <cell r="D547">
            <v>85</v>
          </cell>
          <cell r="H547">
            <v>45323</v>
          </cell>
          <cell r="I547" t="str">
            <v>6300 - Payroll Service Fees</v>
          </cell>
          <cell r="J547">
            <v>0</v>
          </cell>
          <cell r="K547" t="str">
            <v>Administration</v>
          </cell>
          <cell r="L547" t="str">
            <v>Professional Service</v>
          </cell>
          <cell r="N547" t="str">
            <v>SG&amp;A</v>
          </cell>
          <cell r="O547" t="str">
            <v>Paychex of NY LLC</v>
          </cell>
        </row>
        <row r="548">
          <cell r="D548">
            <v>4500</v>
          </cell>
          <cell r="H548">
            <v>45323</v>
          </cell>
          <cell r="I548" t="str">
            <v>6225 - Professional Services</v>
          </cell>
          <cell r="J548" t="str">
            <v>Ecommerce (US)</v>
          </cell>
          <cell r="K548" t="str">
            <v>Ecommerce</v>
          </cell>
          <cell r="L548" t="str">
            <v>Professional Service</v>
          </cell>
          <cell r="N548" t="str">
            <v>Direct Costs</v>
          </cell>
          <cell r="O548" t="str">
            <v>Freeflow LLC</v>
          </cell>
        </row>
        <row r="549">
          <cell r="D549">
            <v>59.28</v>
          </cell>
          <cell r="H549">
            <v>45323</v>
          </cell>
          <cell r="I549" t="str">
            <v>8505 - Realized Gain/Loss</v>
          </cell>
          <cell r="J549">
            <v>0</v>
          </cell>
          <cell r="K549" t="str">
            <v>No Department</v>
          </cell>
          <cell r="L549" t="str">
            <v>Realized Gain / Loss</v>
          </cell>
          <cell r="N549" t="str">
            <v>BTL</v>
          </cell>
          <cell r="O549" t="str">
            <v>[No Vendor]</v>
          </cell>
        </row>
        <row r="550">
          <cell r="D550">
            <v>209.75</v>
          </cell>
          <cell r="H550">
            <v>45323</v>
          </cell>
          <cell r="I550" t="str">
            <v>6300 - Payroll Service Fees</v>
          </cell>
          <cell r="J550">
            <v>0</v>
          </cell>
          <cell r="K550" t="str">
            <v>Administration</v>
          </cell>
          <cell r="L550" t="str">
            <v>Professional Service</v>
          </cell>
          <cell r="N550" t="str">
            <v>SG&amp;A</v>
          </cell>
          <cell r="O550" t="str">
            <v>ADP Payroll Services</v>
          </cell>
        </row>
        <row r="551">
          <cell r="D551">
            <v>450</v>
          </cell>
          <cell r="H551">
            <v>45323</v>
          </cell>
          <cell r="I551" t="str">
            <v>6520 - Taxes and Licenses</v>
          </cell>
          <cell r="J551">
            <v>0</v>
          </cell>
          <cell r="K551" t="str">
            <v>Administration</v>
          </cell>
          <cell r="L551" t="str">
            <v>Other</v>
          </cell>
          <cell r="N551" t="str">
            <v>SG&amp;A</v>
          </cell>
          <cell r="O551" t="str">
            <v>[No Vendor]</v>
          </cell>
        </row>
        <row r="552">
          <cell r="D552">
            <v>20669.95</v>
          </cell>
          <cell r="H552">
            <v>45323</v>
          </cell>
          <cell r="I552" t="str">
            <v>6375 - Freight Expenses</v>
          </cell>
          <cell r="J552" t="str">
            <v>Ecommerce (US)</v>
          </cell>
          <cell r="K552" t="str">
            <v>Ecommerce</v>
          </cell>
          <cell r="L552" t="str">
            <v>Freight</v>
          </cell>
          <cell r="N552" t="str">
            <v>Direct Costs</v>
          </cell>
          <cell r="O552" t="str">
            <v>UPS Supply Chain Solutions Inc. (7F24A0)</v>
          </cell>
        </row>
        <row r="553">
          <cell r="D553">
            <v>93.75</v>
          </cell>
          <cell r="H553">
            <v>45323</v>
          </cell>
          <cell r="I553" t="str">
            <v>6375 - Freight Expenses</v>
          </cell>
          <cell r="J553" t="str">
            <v>Ecommerce (US)</v>
          </cell>
          <cell r="K553" t="str">
            <v>Ecommerce</v>
          </cell>
          <cell r="L553" t="str">
            <v>Freight</v>
          </cell>
          <cell r="N553" t="str">
            <v>Direct Costs</v>
          </cell>
          <cell r="O553" t="str">
            <v>Federal Express</v>
          </cell>
        </row>
        <row r="554">
          <cell r="D554">
            <v>4522.95</v>
          </cell>
          <cell r="H554">
            <v>45323</v>
          </cell>
          <cell r="I554" t="str">
            <v>6375 - Freight Expenses</v>
          </cell>
          <cell r="J554" t="str">
            <v>Ecommerce (EU)</v>
          </cell>
          <cell r="K554" t="str">
            <v>Ecommerce</v>
          </cell>
          <cell r="L554" t="str">
            <v>Freight</v>
          </cell>
          <cell r="N554" t="str">
            <v>Direct Costs</v>
          </cell>
          <cell r="O554" t="str">
            <v>Global E</v>
          </cell>
        </row>
        <row r="555">
          <cell r="D555">
            <v>2188.59</v>
          </cell>
          <cell r="H555">
            <v>45323</v>
          </cell>
          <cell r="I555" t="str">
            <v>6450 - Bank &amp; Other Fees</v>
          </cell>
          <cell r="J555" t="str">
            <v>Ecommerce (EU)</v>
          </cell>
          <cell r="K555" t="str">
            <v>Ecommerce</v>
          </cell>
          <cell r="L555" t="str">
            <v>Professional Service</v>
          </cell>
          <cell r="N555" t="str">
            <v>Direct Costs</v>
          </cell>
          <cell r="O555" t="str">
            <v>[No Vendor]</v>
          </cell>
        </row>
        <row r="556">
          <cell r="D556">
            <v>40.5</v>
          </cell>
          <cell r="H556">
            <v>45323</v>
          </cell>
          <cell r="I556" t="str">
            <v>6040 - Employer Paid Benefits</v>
          </cell>
          <cell r="J556" t="str">
            <v>Ecommerce (US)</v>
          </cell>
          <cell r="K556" t="str">
            <v>Ecommerce</v>
          </cell>
          <cell r="L556" t="str">
            <v>HQ Salaries</v>
          </cell>
          <cell r="N556" t="str">
            <v>SG&amp;A</v>
          </cell>
          <cell r="O556" t="str">
            <v>Procyon Benefits LLC</v>
          </cell>
        </row>
        <row r="557">
          <cell r="D557">
            <v>310.25</v>
          </cell>
          <cell r="H557">
            <v>45323</v>
          </cell>
          <cell r="I557" t="str">
            <v>6040 - Employer Paid Benefits</v>
          </cell>
          <cell r="J557">
            <v>0</v>
          </cell>
          <cell r="K557" t="str">
            <v>Production</v>
          </cell>
          <cell r="L557" t="str">
            <v>HQ Salaries</v>
          </cell>
          <cell r="N557" t="str">
            <v>SG&amp;A</v>
          </cell>
          <cell r="O557" t="str">
            <v>Procyon Benefits LLC</v>
          </cell>
        </row>
        <row r="558">
          <cell r="D558">
            <v>50.72</v>
          </cell>
          <cell r="H558">
            <v>45323</v>
          </cell>
          <cell r="I558" t="str">
            <v>6040 - Employer Paid Benefits</v>
          </cell>
          <cell r="J558">
            <v>0</v>
          </cell>
          <cell r="K558" t="str">
            <v>Merchandising</v>
          </cell>
          <cell r="L558" t="str">
            <v>HQ Salaries</v>
          </cell>
          <cell r="N558" t="str">
            <v>SG&amp;A</v>
          </cell>
          <cell r="O558" t="str">
            <v>Procyon Benefits LLC</v>
          </cell>
        </row>
        <row r="559">
          <cell r="D559">
            <v>123.81</v>
          </cell>
          <cell r="H559">
            <v>45323</v>
          </cell>
          <cell r="I559" t="str">
            <v>6040 - Employer Paid Benefits</v>
          </cell>
          <cell r="J559">
            <v>0</v>
          </cell>
          <cell r="K559" t="str">
            <v>Executive</v>
          </cell>
          <cell r="L559" t="str">
            <v>HQ Salaries</v>
          </cell>
          <cell r="N559" t="str">
            <v>SG&amp;A</v>
          </cell>
          <cell r="O559" t="str">
            <v>Procyon Benefits LLC</v>
          </cell>
        </row>
        <row r="560">
          <cell r="D560">
            <v>49</v>
          </cell>
          <cell r="H560">
            <v>45323</v>
          </cell>
          <cell r="I560" t="str">
            <v>6040 - Employer Paid Benefits</v>
          </cell>
          <cell r="J560">
            <v>0</v>
          </cell>
          <cell r="K560" t="str">
            <v>Design</v>
          </cell>
          <cell r="L560" t="str">
            <v>HQ Salaries</v>
          </cell>
          <cell r="N560" t="str">
            <v>SG&amp;A</v>
          </cell>
          <cell r="O560" t="str">
            <v>Procyon Benefits LLC</v>
          </cell>
        </row>
        <row r="561">
          <cell r="D561">
            <v>325</v>
          </cell>
          <cell r="H561">
            <v>45323</v>
          </cell>
          <cell r="I561" t="str">
            <v>6040 - Employer Paid Benefits</v>
          </cell>
          <cell r="J561">
            <v>0</v>
          </cell>
          <cell r="K561" t="str">
            <v>Administration</v>
          </cell>
          <cell r="L561" t="str">
            <v>HQ Salaries</v>
          </cell>
          <cell r="N561" t="str">
            <v>SG&amp;A</v>
          </cell>
          <cell r="O561" t="str">
            <v>Procyon Benefits LLC</v>
          </cell>
        </row>
        <row r="562">
          <cell r="D562">
            <v>1926.43</v>
          </cell>
          <cell r="H562">
            <v>45323</v>
          </cell>
          <cell r="I562" t="str">
            <v>6430 - Dues &amp; Memberships</v>
          </cell>
          <cell r="J562" t="str">
            <v>Ecommerce (US)</v>
          </cell>
          <cell r="K562" t="str">
            <v>Ecommerce</v>
          </cell>
          <cell r="L562" t="str">
            <v>Professional Service</v>
          </cell>
          <cell r="N562" t="str">
            <v>Direct Costs</v>
          </cell>
          <cell r="O562" t="str">
            <v>Loop</v>
          </cell>
        </row>
        <row r="563">
          <cell r="D563">
            <v>1200</v>
          </cell>
          <cell r="H563">
            <v>45323</v>
          </cell>
          <cell r="I563" t="str">
            <v>6225 - Professional Services</v>
          </cell>
          <cell r="J563">
            <v>0</v>
          </cell>
          <cell r="K563" t="str">
            <v>Administration</v>
          </cell>
          <cell r="L563" t="str">
            <v>Professional Service</v>
          </cell>
          <cell r="N563" t="str">
            <v>Direct Costs</v>
          </cell>
          <cell r="O563" t="str">
            <v>OperationsInc, LLC</v>
          </cell>
        </row>
        <row r="564">
          <cell r="D564">
            <v>1572.5</v>
          </cell>
          <cell r="H564">
            <v>45323</v>
          </cell>
          <cell r="I564" t="str">
            <v>6300 - Payroll Service Fees</v>
          </cell>
          <cell r="J564">
            <v>0</v>
          </cell>
          <cell r="K564" t="str">
            <v>Administration</v>
          </cell>
          <cell r="L564" t="str">
            <v>Professional Service</v>
          </cell>
          <cell r="N564" t="str">
            <v>SG&amp;A</v>
          </cell>
          <cell r="O564" t="str">
            <v>OperationsInc, LLC</v>
          </cell>
        </row>
        <row r="565">
          <cell r="D565">
            <v>700.71</v>
          </cell>
          <cell r="H565">
            <v>45323</v>
          </cell>
          <cell r="I565" t="str">
            <v>6520 - Taxes and Licenses</v>
          </cell>
          <cell r="J565">
            <v>0</v>
          </cell>
          <cell r="K565" t="str">
            <v>Administration</v>
          </cell>
          <cell r="L565" t="str">
            <v>Other</v>
          </cell>
          <cell r="N565" t="str">
            <v>SG&amp;A</v>
          </cell>
          <cell r="O565" t="str">
            <v>[No Vendor]</v>
          </cell>
        </row>
        <row r="566">
          <cell r="D566">
            <v>177.86</v>
          </cell>
          <cell r="H566">
            <v>45323</v>
          </cell>
          <cell r="I566" t="str">
            <v>6385 - Insurance</v>
          </cell>
          <cell r="J566">
            <v>0</v>
          </cell>
          <cell r="K566" t="str">
            <v>Administration</v>
          </cell>
          <cell r="L566" t="str">
            <v>Professional Service</v>
          </cell>
          <cell r="N566" t="str">
            <v>SG&amp;A</v>
          </cell>
          <cell r="O566" t="str">
            <v>[No Vendor]</v>
          </cell>
        </row>
        <row r="567">
          <cell r="D567">
            <v>10607.73</v>
          </cell>
          <cell r="H567">
            <v>45323</v>
          </cell>
          <cell r="I567" t="str">
            <v>6380 - Legal &amp; Accounting</v>
          </cell>
          <cell r="J567">
            <v>0</v>
          </cell>
          <cell r="K567" t="str">
            <v>Administration</v>
          </cell>
          <cell r="L567" t="str">
            <v>Professional Service</v>
          </cell>
          <cell r="N567" t="str">
            <v>SG&amp;A</v>
          </cell>
          <cell r="O567" t="str">
            <v>The Wave IP Law Firm</v>
          </cell>
        </row>
        <row r="568">
          <cell r="D568">
            <v>64.17</v>
          </cell>
          <cell r="H568">
            <v>45323</v>
          </cell>
          <cell r="I568" t="str">
            <v>8505 - Realized Gain/Loss</v>
          </cell>
          <cell r="J568">
            <v>0</v>
          </cell>
          <cell r="K568" t="str">
            <v>No Department</v>
          </cell>
          <cell r="L568" t="str">
            <v>Realized Gain / Loss</v>
          </cell>
          <cell r="N568" t="str">
            <v>BTL</v>
          </cell>
          <cell r="O568" t="str">
            <v>[No Vendor]</v>
          </cell>
        </row>
        <row r="569">
          <cell r="D569">
            <v>1040.8699999999999</v>
          </cell>
          <cell r="H569">
            <v>45323</v>
          </cell>
          <cell r="I569" t="str">
            <v>8505 - Realized Gain/Loss</v>
          </cell>
          <cell r="J569">
            <v>0</v>
          </cell>
          <cell r="K569" t="str">
            <v>No Department</v>
          </cell>
          <cell r="L569" t="str">
            <v>Realized Gain / Loss</v>
          </cell>
          <cell r="N569" t="str">
            <v>BTL</v>
          </cell>
          <cell r="O569" t="str">
            <v>[No Vendor]</v>
          </cell>
        </row>
        <row r="570">
          <cell r="D570">
            <v>24561.4</v>
          </cell>
          <cell r="H570">
            <v>45323</v>
          </cell>
          <cell r="I570" t="str">
            <v>6005 - Salaries</v>
          </cell>
          <cell r="J570">
            <v>0</v>
          </cell>
          <cell r="K570" t="str">
            <v>Administration</v>
          </cell>
          <cell r="L570" t="str">
            <v>HQ Salaries</v>
          </cell>
          <cell r="N570" t="str">
            <v>SG&amp;A</v>
          </cell>
          <cell r="O570" t="str">
            <v>[No Vendor]</v>
          </cell>
        </row>
        <row r="571">
          <cell r="D571">
            <v>0</v>
          </cell>
          <cell r="H571">
            <v>45323</v>
          </cell>
          <cell r="I571" t="str">
            <v>6205 - Contractors</v>
          </cell>
          <cell r="J571">
            <v>0</v>
          </cell>
          <cell r="K571" t="str">
            <v>Brand Marketing</v>
          </cell>
          <cell r="L571" t="str">
            <v>HQ Salaries</v>
          </cell>
          <cell r="N571" t="str">
            <v>SG&amp;A</v>
          </cell>
          <cell r="O571" t="str">
            <v>[No Vendor]</v>
          </cell>
        </row>
        <row r="572">
          <cell r="D572">
            <v>4875</v>
          </cell>
          <cell r="H572">
            <v>45323</v>
          </cell>
          <cell r="I572" t="str">
            <v>6205 - Contractors</v>
          </cell>
          <cell r="J572" t="str">
            <v>Ecommerce (US)</v>
          </cell>
          <cell r="K572" t="str">
            <v>Ecommerce</v>
          </cell>
          <cell r="L572" t="str">
            <v>HQ Salaries</v>
          </cell>
          <cell r="N572" t="str">
            <v>SG&amp;A</v>
          </cell>
          <cell r="O572" t="str">
            <v>[No Vendor]</v>
          </cell>
        </row>
        <row r="573">
          <cell r="D573">
            <v>-19.850000000000001</v>
          </cell>
          <cell r="H573">
            <v>45323</v>
          </cell>
          <cell r="I573" t="str">
            <v>6385 - Insurance</v>
          </cell>
          <cell r="J573">
            <v>0</v>
          </cell>
          <cell r="K573" t="str">
            <v>Administration</v>
          </cell>
          <cell r="L573" t="str">
            <v>Professional Service</v>
          </cell>
          <cell r="N573" t="str">
            <v>SG&amp;A</v>
          </cell>
          <cell r="O573" t="str">
            <v>[No Vendor]</v>
          </cell>
        </row>
        <row r="574">
          <cell r="D574">
            <v>-36.840000000000003</v>
          </cell>
          <cell r="H574">
            <v>45323</v>
          </cell>
          <cell r="I574" t="str">
            <v>6385 - Insurance</v>
          </cell>
          <cell r="J574">
            <v>0</v>
          </cell>
          <cell r="K574" t="str">
            <v>Administration</v>
          </cell>
          <cell r="L574" t="str">
            <v>Professional Service</v>
          </cell>
          <cell r="N574" t="str">
            <v>SG&amp;A</v>
          </cell>
          <cell r="O574" t="str">
            <v>[No Vendor]</v>
          </cell>
        </row>
        <row r="575">
          <cell r="D575">
            <v>-77.16</v>
          </cell>
          <cell r="H575">
            <v>45323</v>
          </cell>
          <cell r="I575" t="str">
            <v>6385 - Insurance</v>
          </cell>
          <cell r="J575">
            <v>0</v>
          </cell>
          <cell r="K575" t="str">
            <v>Administration</v>
          </cell>
          <cell r="L575" t="str">
            <v>Professional Service</v>
          </cell>
          <cell r="N575" t="str">
            <v>SG&amp;A</v>
          </cell>
          <cell r="O575" t="str">
            <v>[No Vendor]</v>
          </cell>
        </row>
        <row r="576">
          <cell r="D576">
            <v>-20.34</v>
          </cell>
          <cell r="H576">
            <v>45323</v>
          </cell>
          <cell r="I576" t="str">
            <v>6385 - Insurance</v>
          </cell>
          <cell r="J576">
            <v>0</v>
          </cell>
          <cell r="K576" t="str">
            <v>Administration</v>
          </cell>
          <cell r="L576" t="str">
            <v>Professional Service</v>
          </cell>
          <cell r="N576" t="str">
            <v>SG&amp;A</v>
          </cell>
          <cell r="O576" t="str">
            <v>[No Vendor]</v>
          </cell>
        </row>
        <row r="577">
          <cell r="D577">
            <v>-36.909999999999997</v>
          </cell>
          <cell r="H577">
            <v>45323</v>
          </cell>
          <cell r="I577" t="str">
            <v>6385 - Insurance</v>
          </cell>
          <cell r="J577">
            <v>0</v>
          </cell>
          <cell r="K577" t="str">
            <v>Administration</v>
          </cell>
          <cell r="L577" t="str">
            <v>Professional Service</v>
          </cell>
          <cell r="N577" t="str">
            <v>SG&amp;A</v>
          </cell>
          <cell r="O577" t="str">
            <v>[No Vendor]</v>
          </cell>
        </row>
        <row r="578">
          <cell r="D578">
            <v>-66.989999999999995</v>
          </cell>
          <cell r="H578">
            <v>45323</v>
          </cell>
          <cell r="I578" t="str">
            <v>6385 - Insurance</v>
          </cell>
          <cell r="J578">
            <v>0</v>
          </cell>
          <cell r="K578" t="str">
            <v>Administration</v>
          </cell>
          <cell r="L578" t="str">
            <v>Professional Service</v>
          </cell>
          <cell r="N578" t="str">
            <v>SG&amp;A</v>
          </cell>
          <cell r="O578" t="str">
            <v>[No Vendor]</v>
          </cell>
        </row>
        <row r="579">
          <cell r="D579">
            <v>-38.75</v>
          </cell>
          <cell r="H579">
            <v>45323</v>
          </cell>
          <cell r="I579" t="str">
            <v>6385 - Insurance</v>
          </cell>
          <cell r="J579">
            <v>0</v>
          </cell>
          <cell r="K579" t="str">
            <v>Administration</v>
          </cell>
          <cell r="L579" t="str">
            <v>Professional Service</v>
          </cell>
          <cell r="N579" t="str">
            <v>SG&amp;A</v>
          </cell>
          <cell r="O579" t="str">
            <v>[No Vendor]</v>
          </cell>
        </row>
        <row r="580">
          <cell r="D580">
            <v>1069.78</v>
          </cell>
          <cell r="H580">
            <v>45323</v>
          </cell>
          <cell r="I580" t="str">
            <v>6055 - Employer Social Security Tax Withheld</v>
          </cell>
          <cell r="J580" t="str">
            <v>Wholesale</v>
          </cell>
          <cell r="K580" t="str">
            <v>Wholesale</v>
          </cell>
          <cell r="L580" t="str">
            <v>HQ Salaries</v>
          </cell>
          <cell r="N580" t="str">
            <v>SG&amp;A</v>
          </cell>
          <cell r="O580" t="str">
            <v>[No Vendor]</v>
          </cell>
        </row>
        <row r="581">
          <cell r="D581">
            <v>2303.31</v>
          </cell>
          <cell r="H581">
            <v>45323</v>
          </cell>
          <cell r="I581" t="str">
            <v>6055 - Employer Social Security Tax Withheld</v>
          </cell>
          <cell r="J581">
            <v>0</v>
          </cell>
          <cell r="K581" t="str">
            <v>Production</v>
          </cell>
          <cell r="L581" t="str">
            <v>HQ Salaries</v>
          </cell>
          <cell r="N581" t="str">
            <v>SG&amp;A</v>
          </cell>
          <cell r="O581" t="str">
            <v>[No Vendor]</v>
          </cell>
        </row>
        <row r="582">
          <cell r="D582">
            <v>708.51</v>
          </cell>
          <cell r="H582">
            <v>45323</v>
          </cell>
          <cell r="I582" t="str">
            <v>6055 - Employer Social Security Tax Withheld</v>
          </cell>
          <cell r="J582">
            <v>0</v>
          </cell>
          <cell r="K582" t="str">
            <v>Brand Marketing</v>
          </cell>
          <cell r="L582" t="str">
            <v>HQ Salaries</v>
          </cell>
          <cell r="N582" t="str">
            <v>SG&amp;A</v>
          </cell>
          <cell r="O582" t="str">
            <v>[No Vendor]</v>
          </cell>
        </row>
        <row r="583">
          <cell r="D583">
            <v>2227.27</v>
          </cell>
          <cell r="H583">
            <v>45323</v>
          </cell>
          <cell r="I583" t="str">
            <v>6055 - Employer Social Security Tax Withheld</v>
          </cell>
          <cell r="J583" t="str">
            <v>Ecommerce (US)</v>
          </cell>
          <cell r="K583" t="str">
            <v>Ecommerce</v>
          </cell>
          <cell r="L583" t="str">
            <v>HQ Salaries</v>
          </cell>
          <cell r="N583" t="str">
            <v>SG&amp;A</v>
          </cell>
          <cell r="O583" t="str">
            <v>[No Vendor]</v>
          </cell>
        </row>
        <row r="584">
          <cell r="D584">
            <v>1966.42</v>
          </cell>
          <cell r="H584">
            <v>45323</v>
          </cell>
          <cell r="I584" t="str">
            <v>6055 - Employer Social Security Tax Withheld</v>
          </cell>
          <cell r="J584">
            <v>0</v>
          </cell>
          <cell r="K584" t="str">
            <v>Design</v>
          </cell>
          <cell r="L584" t="str">
            <v>HQ Salaries</v>
          </cell>
          <cell r="N584" t="str">
            <v>SG&amp;A</v>
          </cell>
          <cell r="O584" t="str">
            <v>[No Vendor]</v>
          </cell>
        </row>
        <row r="585">
          <cell r="D585">
            <v>2775.84</v>
          </cell>
          <cell r="H585">
            <v>45323</v>
          </cell>
          <cell r="I585" t="str">
            <v>6055 - Employer Social Security Tax Withheld</v>
          </cell>
          <cell r="J585">
            <v>0</v>
          </cell>
          <cell r="K585" t="str">
            <v>Administration</v>
          </cell>
          <cell r="L585" t="str">
            <v>HQ Salaries</v>
          </cell>
          <cell r="N585" t="str">
            <v>SG&amp;A</v>
          </cell>
          <cell r="O585" t="str">
            <v>[No Vendor]</v>
          </cell>
        </row>
        <row r="586">
          <cell r="D586">
            <v>764.5</v>
          </cell>
          <cell r="H586">
            <v>45323</v>
          </cell>
          <cell r="I586" t="str">
            <v>6055 - Employer Social Security Tax Withheld</v>
          </cell>
          <cell r="J586">
            <v>0</v>
          </cell>
          <cell r="K586" t="str">
            <v>Merchandising</v>
          </cell>
          <cell r="L586" t="str">
            <v>HQ Salaries</v>
          </cell>
          <cell r="N586" t="str">
            <v>SG&amp;A</v>
          </cell>
          <cell r="O586" t="str">
            <v>[No Vendor]</v>
          </cell>
        </row>
        <row r="587">
          <cell r="D587">
            <v>-20</v>
          </cell>
          <cell r="H587">
            <v>45323</v>
          </cell>
          <cell r="I587" t="str">
            <v>6040 - Employer Paid Benefits</v>
          </cell>
          <cell r="J587" t="str">
            <v>Wholesale</v>
          </cell>
          <cell r="K587" t="str">
            <v>Wholesale</v>
          </cell>
          <cell r="L587" t="str">
            <v>HQ Salaries</v>
          </cell>
          <cell r="N587" t="str">
            <v>SG&amp;A</v>
          </cell>
          <cell r="O587" t="str">
            <v>[No Vendor]</v>
          </cell>
        </row>
        <row r="588">
          <cell r="D588">
            <v>-331.57</v>
          </cell>
          <cell r="H588">
            <v>45323</v>
          </cell>
          <cell r="I588" t="str">
            <v>6040 - Employer Paid Benefits</v>
          </cell>
          <cell r="J588">
            <v>0</v>
          </cell>
          <cell r="K588" t="str">
            <v>Production</v>
          </cell>
          <cell r="L588" t="str">
            <v>HQ Salaries</v>
          </cell>
          <cell r="N588" t="str">
            <v>SG&amp;A</v>
          </cell>
          <cell r="O588" t="str">
            <v>[No Vendor]</v>
          </cell>
        </row>
        <row r="589">
          <cell r="D589">
            <v>-20</v>
          </cell>
          <cell r="H589">
            <v>45323</v>
          </cell>
          <cell r="I589" t="str">
            <v>6040 - Employer Paid Benefits</v>
          </cell>
          <cell r="J589">
            <v>0</v>
          </cell>
          <cell r="K589" t="str">
            <v>Brand Marketing</v>
          </cell>
          <cell r="L589" t="str">
            <v>HQ Salaries</v>
          </cell>
          <cell r="N589" t="str">
            <v>SG&amp;A</v>
          </cell>
          <cell r="O589" t="str">
            <v>[No Vendor]</v>
          </cell>
        </row>
        <row r="590">
          <cell r="D590">
            <v>-142.5</v>
          </cell>
          <cell r="H590">
            <v>45323</v>
          </cell>
          <cell r="I590" t="str">
            <v>6040 - Employer Paid Benefits</v>
          </cell>
          <cell r="J590" t="str">
            <v>Ecommerce (US)</v>
          </cell>
          <cell r="K590" t="str">
            <v>Ecommerce</v>
          </cell>
          <cell r="L590" t="str">
            <v>HQ Salaries</v>
          </cell>
          <cell r="N590" t="str">
            <v>SG&amp;A</v>
          </cell>
          <cell r="O590" t="str">
            <v>[No Vendor]</v>
          </cell>
        </row>
        <row r="591">
          <cell r="D591">
            <v>-182.26</v>
          </cell>
          <cell r="H591">
            <v>45323</v>
          </cell>
          <cell r="I591" t="str">
            <v>6040 - Employer Paid Benefits</v>
          </cell>
          <cell r="J591">
            <v>0</v>
          </cell>
          <cell r="K591" t="str">
            <v>Design</v>
          </cell>
          <cell r="L591" t="str">
            <v>HQ Salaries</v>
          </cell>
          <cell r="N591" t="str">
            <v>SG&amp;A</v>
          </cell>
          <cell r="O591" t="str">
            <v>[No Vendor]</v>
          </cell>
        </row>
        <row r="592">
          <cell r="D592">
            <v>-125</v>
          </cell>
          <cell r="H592">
            <v>45323</v>
          </cell>
          <cell r="I592" t="str">
            <v>6040 - Employer Paid Benefits</v>
          </cell>
          <cell r="J592">
            <v>0</v>
          </cell>
          <cell r="K592" t="str">
            <v>Administration</v>
          </cell>
          <cell r="L592" t="str">
            <v>HQ Salaries</v>
          </cell>
          <cell r="N592" t="str">
            <v>SG&amp;A</v>
          </cell>
          <cell r="O592" t="str">
            <v>[No Vendor]</v>
          </cell>
        </row>
        <row r="593">
          <cell r="D593">
            <v>0</v>
          </cell>
          <cell r="H593">
            <v>45323</v>
          </cell>
          <cell r="I593" t="str">
            <v>6040 - Employer Paid Benefits</v>
          </cell>
          <cell r="J593">
            <v>0</v>
          </cell>
          <cell r="K593" t="str">
            <v>Merchandising</v>
          </cell>
          <cell r="L593" t="str">
            <v>HQ Salaries</v>
          </cell>
          <cell r="N593" t="str">
            <v>SG&amp;A</v>
          </cell>
          <cell r="O593" t="str">
            <v>[No Vendor]</v>
          </cell>
        </row>
        <row r="594">
          <cell r="D594">
            <v>5000</v>
          </cell>
          <cell r="H594">
            <v>45323</v>
          </cell>
          <cell r="I594" t="str">
            <v>6005 - Salaries</v>
          </cell>
          <cell r="J594">
            <v>0</v>
          </cell>
          <cell r="K594" t="str">
            <v>Merchandising</v>
          </cell>
          <cell r="L594" t="str">
            <v>HQ Salaries</v>
          </cell>
          <cell r="N594" t="str">
            <v>SG&amp;A</v>
          </cell>
          <cell r="O594" t="str">
            <v>[No Vendor]</v>
          </cell>
        </row>
        <row r="595">
          <cell r="D595">
            <v>9231.5</v>
          </cell>
          <cell r="H595">
            <v>45323</v>
          </cell>
          <cell r="I595" t="str">
            <v>6005 - Salaries</v>
          </cell>
          <cell r="J595" t="str">
            <v>Wholesale</v>
          </cell>
          <cell r="K595" t="str">
            <v>Wholesale</v>
          </cell>
          <cell r="L595" t="str">
            <v>HQ Salaries</v>
          </cell>
          <cell r="N595" t="str">
            <v>SG&amp;A</v>
          </cell>
          <cell r="O595" t="str">
            <v>[No Vendor]</v>
          </cell>
        </row>
        <row r="596">
          <cell r="D596">
            <v>19400.02</v>
          </cell>
          <cell r="H596">
            <v>45323</v>
          </cell>
          <cell r="I596" t="str">
            <v>6005 - Salaries</v>
          </cell>
          <cell r="J596">
            <v>0</v>
          </cell>
          <cell r="K596" t="str">
            <v>Production</v>
          </cell>
          <cell r="L596" t="str">
            <v>HQ Salaries</v>
          </cell>
          <cell r="N596" t="str">
            <v>SG&amp;A</v>
          </cell>
          <cell r="O596" t="str">
            <v>[No Vendor]</v>
          </cell>
        </row>
        <row r="597">
          <cell r="D597">
            <v>4807.7</v>
          </cell>
          <cell r="H597">
            <v>45323</v>
          </cell>
          <cell r="I597" t="str">
            <v>6005 - Salaries</v>
          </cell>
          <cell r="J597">
            <v>0</v>
          </cell>
          <cell r="K597" t="str">
            <v>Brand Marketing</v>
          </cell>
          <cell r="L597" t="str">
            <v>HQ Salaries</v>
          </cell>
          <cell r="N597" t="str">
            <v>SG&amp;A</v>
          </cell>
          <cell r="O597" t="str">
            <v>[No Vendor]</v>
          </cell>
        </row>
        <row r="598">
          <cell r="D598">
            <v>18546.169999999998</v>
          </cell>
          <cell r="H598">
            <v>45323</v>
          </cell>
          <cell r="I598" t="str">
            <v>6005 - Salaries</v>
          </cell>
          <cell r="J598" t="str">
            <v>Ecommerce (US)</v>
          </cell>
          <cell r="K598" t="str">
            <v>Ecommerce</v>
          </cell>
          <cell r="L598" t="str">
            <v>HQ Salaries</v>
          </cell>
          <cell r="N598" t="str">
            <v>SG&amp;A</v>
          </cell>
          <cell r="O598" t="str">
            <v>[No Vendor]</v>
          </cell>
        </row>
        <row r="599">
          <cell r="D599">
            <v>16673.080000000002</v>
          </cell>
          <cell r="H599">
            <v>45323</v>
          </cell>
          <cell r="I599" t="str">
            <v>6005 - Salaries</v>
          </cell>
          <cell r="J599">
            <v>0</v>
          </cell>
          <cell r="K599" t="str">
            <v>Design</v>
          </cell>
          <cell r="L599" t="str">
            <v>HQ Salaries</v>
          </cell>
          <cell r="N599" t="str">
            <v>SG&amp;A</v>
          </cell>
          <cell r="O599" t="str">
            <v>[No Vendor]</v>
          </cell>
        </row>
        <row r="600">
          <cell r="D600">
            <v>24341.85</v>
          </cell>
          <cell r="H600">
            <v>45323</v>
          </cell>
          <cell r="I600" t="str">
            <v>6375 - Freight Expenses</v>
          </cell>
          <cell r="J600" t="str">
            <v>Ecommerce (US)</v>
          </cell>
          <cell r="K600" t="str">
            <v>Ecommerce</v>
          </cell>
          <cell r="L600" t="str">
            <v>Freight</v>
          </cell>
          <cell r="N600" t="str">
            <v>Direct Costs</v>
          </cell>
          <cell r="O600" t="str">
            <v>UPS Supply Chain Solutions Inc. (7F24A0)</v>
          </cell>
        </row>
        <row r="601">
          <cell r="D601">
            <v>11.6</v>
          </cell>
          <cell r="H601">
            <v>45323</v>
          </cell>
          <cell r="I601" t="str">
            <v>6040 - Employer Paid Benefits</v>
          </cell>
          <cell r="J601">
            <v>0</v>
          </cell>
          <cell r="K601" t="str">
            <v>Executive</v>
          </cell>
          <cell r="L601" t="str">
            <v>HQ Salaries</v>
          </cell>
          <cell r="N601" t="str">
            <v>SG&amp;A</v>
          </cell>
          <cell r="O601" t="str">
            <v>Procyon Benefits LLC</v>
          </cell>
        </row>
        <row r="602">
          <cell r="D602">
            <v>2070</v>
          </cell>
          <cell r="H602">
            <v>45323</v>
          </cell>
          <cell r="I602" t="str">
            <v>6380 - Legal &amp; Accounting</v>
          </cell>
          <cell r="J602">
            <v>0</v>
          </cell>
          <cell r="K602" t="str">
            <v>Administration</v>
          </cell>
          <cell r="L602" t="str">
            <v>Professional Service</v>
          </cell>
          <cell r="N602" t="str">
            <v>SG&amp;A</v>
          </cell>
          <cell r="O602" t="str">
            <v>Ko &amp; Yun, LLP - Operations</v>
          </cell>
        </row>
        <row r="603">
          <cell r="D603">
            <v>1110</v>
          </cell>
          <cell r="H603">
            <v>45323</v>
          </cell>
          <cell r="I603" t="str">
            <v>6380 - Legal &amp; Accounting</v>
          </cell>
          <cell r="J603">
            <v>0</v>
          </cell>
          <cell r="K603" t="str">
            <v>Administration</v>
          </cell>
          <cell r="L603" t="str">
            <v>Professional Service</v>
          </cell>
          <cell r="N603" t="str">
            <v>SG&amp;A</v>
          </cell>
          <cell r="O603" t="str">
            <v>Ko &amp; Yun, LLP - IP Holding</v>
          </cell>
        </row>
        <row r="604">
          <cell r="D604">
            <v>19.149999999999999</v>
          </cell>
          <cell r="H604">
            <v>45323</v>
          </cell>
          <cell r="I604" t="str">
            <v>6370 - Samples</v>
          </cell>
          <cell r="J604">
            <v>0</v>
          </cell>
          <cell r="K604" t="str">
            <v>Design</v>
          </cell>
          <cell r="L604" t="str">
            <v>Sample</v>
          </cell>
          <cell r="N604" t="str">
            <v>SG&amp;A</v>
          </cell>
          <cell r="O604" t="str">
            <v>Consul + SRL</v>
          </cell>
        </row>
        <row r="605">
          <cell r="D605">
            <v>1495</v>
          </cell>
          <cell r="H605">
            <v>45323</v>
          </cell>
          <cell r="I605" t="str">
            <v>6370 - Samples</v>
          </cell>
          <cell r="J605">
            <v>0</v>
          </cell>
          <cell r="K605" t="str">
            <v>Production</v>
          </cell>
          <cell r="L605" t="str">
            <v>Sample</v>
          </cell>
          <cell r="N605" t="str">
            <v>SG&amp;A</v>
          </cell>
          <cell r="O605" t="str">
            <v>Porta Asiatica Enterprises Inc</v>
          </cell>
        </row>
        <row r="606">
          <cell r="D606">
            <v>2990</v>
          </cell>
          <cell r="H606">
            <v>45323</v>
          </cell>
          <cell r="I606" t="str">
            <v>6370 - Samples</v>
          </cell>
          <cell r="J606" t="str">
            <v>Wholesale</v>
          </cell>
          <cell r="K606" t="str">
            <v>Production</v>
          </cell>
          <cell r="L606" t="str">
            <v>Sample</v>
          </cell>
          <cell r="N606" t="str">
            <v>SG&amp;A</v>
          </cell>
          <cell r="O606" t="str">
            <v>Porta Asiatica Enterprises Inc</v>
          </cell>
        </row>
        <row r="607">
          <cell r="D607">
            <v>1495</v>
          </cell>
          <cell r="H607">
            <v>45323</v>
          </cell>
          <cell r="I607" t="str">
            <v>6370 - Samples</v>
          </cell>
          <cell r="J607">
            <v>0</v>
          </cell>
          <cell r="K607" t="str">
            <v>Production</v>
          </cell>
          <cell r="L607" t="str">
            <v>Sample</v>
          </cell>
          <cell r="N607" t="str">
            <v>SG&amp;A</v>
          </cell>
          <cell r="O607" t="str">
            <v>Porta Asiatica Enterprises Inc</v>
          </cell>
        </row>
        <row r="608">
          <cell r="D608">
            <v>1458.28</v>
          </cell>
          <cell r="H608">
            <v>45323</v>
          </cell>
          <cell r="I608" t="str">
            <v>6370 - Samples</v>
          </cell>
          <cell r="J608">
            <v>0</v>
          </cell>
          <cell r="K608" t="str">
            <v>Production</v>
          </cell>
          <cell r="L608" t="str">
            <v>Sample</v>
          </cell>
          <cell r="N608" t="str">
            <v>SG&amp;A</v>
          </cell>
          <cell r="O608" t="str">
            <v>Porta Asiatica Enterprises Inc</v>
          </cell>
        </row>
        <row r="609">
          <cell r="D609">
            <v>2916.55</v>
          </cell>
          <cell r="H609">
            <v>45323</v>
          </cell>
          <cell r="I609" t="str">
            <v>6370 - Samples</v>
          </cell>
          <cell r="J609" t="str">
            <v>Wholesale</v>
          </cell>
          <cell r="K609" t="str">
            <v>Production</v>
          </cell>
          <cell r="L609" t="str">
            <v>Sample</v>
          </cell>
          <cell r="N609" t="str">
            <v>SG&amp;A</v>
          </cell>
          <cell r="O609" t="str">
            <v>Porta Asiatica Enterprises Inc</v>
          </cell>
        </row>
        <row r="610">
          <cell r="D610">
            <v>1458.27</v>
          </cell>
          <cell r="H610">
            <v>45323</v>
          </cell>
          <cell r="I610" t="str">
            <v>6370 - Samples</v>
          </cell>
          <cell r="J610">
            <v>0</v>
          </cell>
          <cell r="K610" t="str">
            <v>Production</v>
          </cell>
          <cell r="L610" t="str">
            <v>Sample</v>
          </cell>
          <cell r="N610" t="str">
            <v>SG&amp;A</v>
          </cell>
          <cell r="O610" t="str">
            <v>Porta Asiatica Enterprises Inc</v>
          </cell>
        </row>
        <row r="611">
          <cell r="D611">
            <v>1487.87</v>
          </cell>
          <cell r="H611">
            <v>45323</v>
          </cell>
          <cell r="I611" t="str">
            <v>6370 - Samples</v>
          </cell>
          <cell r="J611">
            <v>0</v>
          </cell>
          <cell r="K611" t="str">
            <v>Production</v>
          </cell>
          <cell r="L611" t="str">
            <v>Sample</v>
          </cell>
          <cell r="N611" t="str">
            <v>SG&amp;A</v>
          </cell>
          <cell r="O611" t="str">
            <v>Porta Asiatica Enterprises Inc</v>
          </cell>
        </row>
        <row r="612">
          <cell r="D612">
            <v>2975.75</v>
          </cell>
          <cell r="H612">
            <v>45323</v>
          </cell>
          <cell r="I612" t="str">
            <v>6370 - Samples</v>
          </cell>
          <cell r="J612" t="str">
            <v>Wholesale</v>
          </cell>
          <cell r="K612" t="str">
            <v>Production</v>
          </cell>
          <cell r="L612" t="str">
            <v>Sample</v>
          </cell>
          <cell r="N612" t="str">
            <v>SG&amp;A</v>
          </cell>
          <cell r="O612" t="str">
            <v>Porta Asiatica Enterprises Inc</v>
          </cell>
        </row>
        <row r="613">
          <cell r="D613">
            <v>1487.88</v>
          </cell>
          <cell r="H613">
            <v>45323</v>
          </cell>
          <cell r="I613" t="str">
            <v>6370 - Samples</v>
          </cell>
          <cell r="J613">
            <v>0</v>
          </cell>
          <cell r="K613" t="str">
            <v>Production</v>
          </cell>
          <cell r="L613" t="str">
            <v>Sample</v>
          </cell>
          <cell r="N613" t="str">
            <v>SG&amp;A</v>
          </cell>
          <cell r="O613" t="str">
            <v>Porta Asiatica Enterprises Inc</v>
          </cell>
        </row>
        <row r="614">
          <cell r="D614">
            <v>1483.5</v>
          </cell>
          <cell r="H614">
            <v>45323</v>
          </cell>
          <cell r="I614" t="str">
            <v>6370 - Samples</v>
          </cell>
          <cell r="J614">
            <v>0</v>
          </cell>
          <cell r="K614" t="str">
            <v>Production</v>
          </cell>
          <cell r="L614" t="str">
            <v>Sample</v>
          </cell>
          <cell r="N614" t="str">
            <v>SG&amp;A</v>
          </cell>
          <cell r="O614" t="str">
            <v>Porta Asiatica Enterprises Inc</v>
          </cell>
        </row>
        <row r="615">
          <cell r="D615">
            <v>2967</v>
          </cell>
          <cell r="H615">
            <v>45323</v>
          </cell>
          <cell r="I615" t="str">
            <v>6370 - Samples</v>
          </cell>
          <cell r="J615" t="str">
            <v>Wholesale</v>
          </cell>
          <cell r="K615" t="str">
            <v>Production</v>
          </cell>
          <cell r="L615" t="str">
            <v>Sample</v>
          </cell>
          <cell r="N615" t="str">
            <v>SG&amp;A</v>
          </cell>
          <cell r="O615" t="str">
            <v>Porta Asiatica Enterprises Inc</v>
          </cell>
        </row>
        <row r="616">
          <cell r="D616">
            <v>1483.5</v>
          </cell>
          <cell r="H616">
            <v>45323</v>
          </cell>
          <cell r="I616" t="str">
            <v>6370 - Samples</v>
          </cell>
          <cell r="J616">
            <v>0</v>
          </cell>
          <cell r="K616" t="str">
            <v>Production</v>
          </cell>
          <cell r="L616" t="str">
            <v>Sample</v>
          </cell>
          <cell r="N616" t="str">
            <v>SG&amp;A</v>
          </cell>
          <cell r="O616" t="str">
            <v>Porta Asiatica Enterprises Inc</v>
          </cell>
        </row>
        <row r="617">
          <cell r="D617">
            <v>1496</v>
          </cell>
          <cell r="H617">
            <v>45323</v>
          </cell>
          <cell r="I617" t="str">
            <v>6370 - Samples</v>
          </cell>
          <cell r="J617">
            <v>0</v>
          </cell>
          <cell r="K617" t="str">
            <v>Production</v>
          </cell>
          <cell r="L617" t="str">
            <v>Sample</v>
          </cell>
          <cell r="N617" t="str">
            <v>SG&amp;A</v>
          </cell>
          <cell r="O617" t="str">
            <v>Porta Asiatica Enterprises Inc</v>
          </cell>
        </row>
        <row r="618">
          <cell r="D618">
            <v>2992</v>
          </cell>
          <cell r="H618">
            <v>45323</v>
          </cell>
          <cell r="I618" t="str">
            <v>6370 - Samples</v>
          </cell>
          <cell r="J618" t="str">
            <v>Wholesale</v>
          </cell>
          <cell r="K618" t="str">
            <v>Production</v>
          </cell>
          <cell r="L618" t="str">
            <v>Sample</v>
          </cell>
          <cell r="N618" t="str">
            <v>SG&amp;A</v>
          </cell>
          <cell r="O618" t="str">
            <v>Porta Asiatica Enterprises Inc</v>
          </cell>
        </row>
        <row r="619">
          <cell r="D619">
            <v>1496</v>
          </cell>
          <cell r="H619">
            <v>45323</v>
          </cell>
          <cell r="I619" t="str">
            <v>6370 - Samples</v>
          </cell>
          <cell r="J619">
            <v>0</v>
          </cell>
          <cell r="K619" t="str">
            <v>Production</v>
          </cell>
          <cell r="L619" t="str">
            <v>Sample</v>
          </cell>
          <cell r="N619" t="str">
            <v>SG&amp;A</v>
          </cell>
          <cell r="O619" t="str">
            <v>Porta Asiatica Enterprises Inc</v>
          </cell>
        </row>
        <row r="620">
          <cell r="D620">
            <v>1478.62</v>
          </cell>
          <cell r="H620">
            <v>45323</v>
          </cell>
          <cell r="I620" t="str">
            <v>6370 - Samples</v>
          </cell>
          <cell r="J620">
            <v>0</v>
          </cell>
          <cell r="K620" t="str">
            <v>Production</v>
          </cell>
          <cell r="L620" t="str">
            <v>Sample</v>
          </cell>
          <cell r="N620" t="str">
            <v>SG&amp;A</v>
          </cell>
          <cell r="O620" t="str">
            <v>Porta Asiatica Enterprises Inc</v>
          </cell>
        </row>
        <row r="621">
          <cell r="D621">
            <v>2957.25</v>
          </cell>
          <cell r="H621">
            <v>45323</v>
          </cell>
          <cell r="I621" t="str">
            <v>6370 - Samples</v>
          </cell>
          <cell r="J621" t="str">
            <v>Wholesale</v>
          </cell>
          <cell r="K621" t="str">
            <v>Production</v>
          </cell>
          <cell r="L621" t="str">
            <v>Sample</v>
          </cell>
          <cell r="N621" t="str">
            <v>SG&amp;A</v>
          </cell>
          <cell r="O621" t="str">
            <v>Porta Asiatica Enterprises Inc</v>
          </cell>
        </row>
        <row r="622">
          <cell r="D622">
            <v>1478.63</v>
          </cell>
          <cell r="H622">
            <v>45323</v>
          </cell>
          <cell r="I622" t="str">
            <v>6370 - Samples</v>
          </cell>
          <cell r="J622">
            <v>0</v>
          </cell>
          <cell r="K622" t="str">
            <v>Production</v>
          </cell>
          <cell r="L622" t="str">
            <v>Sample</v>
          </cell>
          <cell r="N622" t="str">
            <v>SG&amp;A</v>
          </cell>
          <cell r="O622" t="str">
            <v>Porta Asiatica Enterprises Inc</v>
          </cell>
        </row>
        <row r="623">
          <cell r="D623">
            <v>847.42</v>
          </cell>
          <cell r="H623">
            <v>45323</v>
          </cell>
          <cell r="I623" t="str">
            <v>6430 - Dues &amp; Memberships</v>
          </cell>
          <cell r="J623" t="str">
            <v>Wholesale</v>
          </cell>
          <cell r="K623" t="str">
            <v>Wholesale</v>
          </cell>
          <cell r="L623" t="str">
            <v>Professional Service</v>
          </cell>
          <cell r="N623" t="str">
            <v>Direct Costs</v>
          </cell>
          <cell r="O623" t="str">
            <v>SPS Commerce</v>
          </cell>
        </row>
        <row r="624">
          <cell r="D624">
            <v>22.71</v>
          </cell>
          <cell r="H624">
            <v>45323</v>
          </cell>
          <cell r="I624" t="str">
            <v>6375 - Freight Expenses</v>
          </cell>
          <cell r="J624" t="str">
            <v>Ecommerce (US)</v>
          </cell>
          <cell r="K624" t="str">
            <v>Ecommerce</v>
          </cell>
          <cell r="L624" t="str">
            <v>Freight</v>
          </cell>
          <cell r="N624" t="str">
            <v>Direct Costs</v>
          </cell>
          <cell r="O624" t="str">
            <v>Federal Express</v>
          </cell>
        </row>
        <row r="625">
          <cell r="D625">
            <v>25</v>
          </cell>
          <cell r="H625">
            <v>45323</v>
          </cell>
          <cell r="I625" t="str">
            <v>6040 - Employer Paid Benefits</v>
          </cell>
          <cell r="J625">
            <v>0</v>
          </cell>
          <cell r="K625" t="str">
            <v>Administration</v>
          </cell>
          <cell r="L625" t="str">
            <v>HQ Salaries</v>
          </cell>
          <cell r="N625" t="str">
            <v>SG&amp;A</v>
          </cell>
          <cell r="O625" t="str">
            <v>Lifetime Benefit Solutions, Inc</v>
          </cell>
        </row>
        <row r="626">
          <cell r="D626">
            <v>133</v>
          </cell>
          <cell r="H626">
            <v>45323</v>
          </cell>
          <cell r="I626" t="str">
            <v>6040 - Employer Paid Benefits</v>
          </cell>
          <cell r="J626">
            <v>0</v>
          </cell>
          <cell r="K626" t="str">
            <v>Production</v>
          </cell>
          <cell r="L626" t="str">
            <v>HQ Salaries</v>
          </cell>
          <cell r="N626" t="str">
            <v>SG&amp;A</v>
          </cell>
          <cell r="O626" t="str">
            <v>Procyon Benefits LLC</v>
          </cell>
        </row>
        <row r="627">
          <cell r="D627">
            <v>42.7</v>
          </cell>
          <cell r="H627">
            <v>45323</v>
          </cell>
          <cell r="I627" t="str">
            <v>6040 - Employer Paid Benefits</v>
          </cell>
          <cell r="J627">
            <v>0</v>
          </cell>
          <cell r="K627" t="str">
            <v>Merchandising</v>
          </cell>
          <cell r="L627" t="str">
            <v>HQ Salaries</v>
          </cell>
          <cell r="N627" t="str">
            <v>SG&amp;A</v>
          </cell>
          <cell r="O627" t="str">
            <v>Procyon Benefits LLC</v>
          </cell>
        </row>
        <row r="628">
          <cell r="D628">
            <v>-0.01</v>
          </cell>
          <cell r="H628">
            <v>45323</v>
          </cell>
          <cell r="I628" t="str">
            <v>8590 - Rounding Gain/Loss</v>
          </cell>
          <cell r="J628">
            <v>0</v>
          </cell>
          <cell r="K628" t="str">
            <v>No Department</v>
          </cell>
          <cell r="L628" t="str">
            <v>Realized Gain / Loss</v>
          </cell>
          <cell r="N628" t="str">
            <v>BTL</v>
          </cell>
          <cell r="O628" t="str">
            <v>[No Vendor]</v>
          </cell>
        </row>
        <row r="629">
          <cell r="D629">
            <v>10339.040000000001</v>
          </cell>
          <cell r="H629">
            <v>45323</v>
          </cell>
          <cell r="I629" t="str">
            <v>6375 - Freight Expenses</v>
          </cell>
          <cell r="J629" t="str">
            <v>Ecommerce (EU)</v>
          </cell>
          <cell r="K629" t="str">
            <v>Ecommerce</v>
          </cell>
          <cell r="L629" t="str">
            <v>Freight</v>
          </cell>
          <cell r="N629" t="str">
            <v>Direct Costs</v>
          </cell>
          <cell r="O629" t="str">
            <v>Global E</v>
          </cell>
        </row>
        <row r="630">
          <cell r="D630">
            <v>3048.14</v>
          </cell>
          <cell r="H630">
            <v>45323</v>
          </cell>
          <cell r="I630" t="str">
            <v>6450 - Bank &amp; Other Fees</v>
          </cell>
          <cell r="J630" t="str">
            <v>Ecommerce (EU)</v>
          </cell>
          <cell r="K630" t="str">
            <v>Ecommerce</v>
          </cell>
          <cell r="L630" t="str">
            <v>Professional Service</v>
          </cell>
          <cell r="N630" t="str">
            <v>Direct Costs</v>
          </cell>
          <cell r="O630" t="str">
            <v>[No Vendor]</v>
          </cell>
        </row>
        <row r="631">
          <cell r="D631">
            <v>135.99</v>
          </cell>
          <cell r="H631">
            <v>45323</v>
          </cell>
          <cell r="I631" t="str">
            <v>6400 - Utilities</v>
          </cell>
          <cell r="J631">
            <v>0</v>
          </cell>
          <cell r="K631" t="str">
            <v>Administration</v>
          </cell>
          <cell r="L631" t="str">
            <v>Other</v>
          </cell>
          <cell r="N631" t="str">
            <v>SG&amp;A</v>
          </cell>
          <cell r="O631" t="str">
            <v>Verizon</v>
          </cell>
        </row>
        <row r="632">
          <cell r="D632">
            <v>473.75</v>
          </cell>
          <cell r="H632">
            <v>45323</v>
          </cell>
          <cell r="I632" t="str">
            <v>8505 - Realized Gain/Loss</v>
          </cell>
          <cell r="J632">
            <v>0</v>
          </cell>
          <cell r="K632" t="str">
            <v>No Department</v>
          </cell>
          <cell r="L632" t="str">
            <v>Realized Gain / Loss</v>
          </cell>
          <cell r="N632" t="str">
            <v>BTL</v>
          </cell>
          <cell r="O632" t="str">
            <v>[No Vendor]</v>
          </cell>
        </row>
        <row r="633">
          <cell r="D633">
            <v>53141.55</v>
          </cell>
          <cell r="H633">
            <v>45323</v>
          </cell>
          <cell r="I633" t="str">
            <v>6286 - SEM</v>
          </cell>
          <cell r="J633" t="str">
            <v>Ecommerce (US)</v>
          </cell>
          <cell r="K633" t="str">
            <v>Ecommerce</v>
          </cell>
          <cell r="L633" t="str">
            <v>Marketing</v>
          </cell>
          <cell r="N633" t="str">
            <v>Direct Costs</v>
          </cell>
          <cell r="O633" t="str">
            <v>[No Vendor]</v>
          </cell>
        </row>
        <row r="634">
          <cell r="D634">
            <v>123.41</v>
          </cell>
          <cell r="H634">
            <v>45323</v>
          </cell>
          <cell r="I634" t="str">
            <v>6105 - Meals</v>
          </cell>
          <cell r="J634">
            <v>0</v>
          </cell>
          <cell r="K634" t="str">
            <v>Brand Marketing</v>
          </cell>
          <cell r="L634" t="str">
            <v>T&amp;E</v>
          </cell>
          <cell r="N634" t="str">
            <v>SG&amp;A</v>
          </cell>
          <cell r="O634" t="str">
            <v>Kalina Pregnolato</v>
          </cell>
        </row>
        <row r="635">
          <cell r="D635">
            <v>2302.5</v>
          </cell>
          <cell r="H635">
            <v>45323</v>
          </cell>
          <cell r="I635" t="str">
            <v>6225 - Professional Services</v>
          </cell>
          <cell r="J635">
            <v>0</v>
          </cell>
          <cell r="K635" t="str">
            <v>Administration</v>
          </cell>
          <cell r="L635" t="str">
            <v>Professional Service</v>
          </cell>
          <cell r="N635" t="str">
            <v>Direct Costs</v>
          </cell>
          <cell r="O635" t="str">
            <v>OperationsInc, LLC</v>
          </cell>
        </row>
        <row r="636">
          <cell r="D636">
            <v>85.61</v>
          </cell>
          <cell r="H636">
            <v>45323</v>
          </cell>
          <cell r="I636" t="str">
            <v>6125 - Transportation and Fuel</v>
          </cell>
          <cell r="J636">
            <v>0</v>
          </cell>
          <cell r="K636" t="str">
            <v>Brand Marketing</v>
          </cell>
          <cell r="L636" t="str">
            <v>T&amp;E</v>
          </cell>
          <cell r="N636" t="str">
            <v>SG&amp;A</v>
          </cell>
          <cell r="O636" t="str">
            <v>Kalina Pregnolato</v>
          </cell>
        </row>
        <row r="637">
          <cell r="D637">
            <v>-110.32</v>
          </cell>
          <cell r="H637">
            <v>45323</v>
          </cell>
          <cell r="I637" t="str">
            <v>6375 - Freight Expenses</v>
          </cell>
          <cell r="J637" t="str">
            <v>Ecommerce (US)</v>
          </cell>
          <cell r="K637" t="str">
            <v>Ecommerce</v>
          </cell>
          <cell r="L637" t="str">
            <v>Freight</v>
          </cell>
          <cell r="N637" t="str">
            <v>Direct Costs</v>
          </cell>
          <cell r="O637" t="str">
            <v>UPS Supply Chain Solutions Inc. (7F24A0)</v>
          </cell>
        </row>
        <row r="638">
          <cell r="D638">
            <v>-803.16</v>
          </cell>
          <cell r="H638">
            <v>45323</v>
          </cell>
          <cell r="I638" t="str">
            <v>6375 - Freight Expenses</v>
          </cell>
          <cell r="J638" t="str">
            <v>Ecommerce (US)</v>
          </cell>
          <cell r="K638" t="str">
            <v>Ecommerce</v>
          </cell>
          <cell r="L638" t="str">
            <v>Freight</v>
          </cell>
          <cell r="N638" t="str">
            <v>Direct Costs</v>
          </cell>
          <cell r="O638" t="str">
            <v>[No Vendor]</v>
          </cell>
        </row>
        <row r="639">
          <cell r="D639">
            <v>-102.6</v>
          </cell>
          <cell r="H639">
            <v>45323</v>
          </cell>
          <cell r="I639" t="str">
            <v>6375 - Freight Expenses</v>
          </cell>
          <cell r="J639" t="str">
            <v>Ecommerce (US)</v>
          </cell>
          <cell r="K639" t="str">
            <v>Ecommerce</v>
          </cell>
          <cell r="L639" t="str">
            <v>Freight</v>
          </cell>
          <cell r="N639" t="str">
            <v>Direct Costs</v>
          </cell>
          <cell r="O639" t="str">
            <v>[No Vendor]</v>
          </cell>
        </row>
        <row r="640">
          <cell r="D640">
            <v>271</v>
          </cell>
          <cell r="H640">
            <v>45323</v>
          </cell>
          <cell r="I640" t="str">
            <v>6040 - Employer Paid Benefits</v>
          </cell>
          <cell r="J640">
            <v>0</v>
          </cell>
          <cell r="K640" t="str">
            <v>Administration</v>
          </cell>
          <cell r="L640" t="str">
            <v>HQ Salaries</v>
          </cell>
          <cell r="N640" t="str">
            <v>SG&amp;A</v>
          </cell>
          <cell r="O640" t="str">
            <v>Progressive Benefit Solutions LLC</v>
          </cell>
        </row>
        <row r="641">
          <cell r="D641">
            <v>30456.18</v>
          </cell>
          <cell r="H641">
            <v>45323</v>
          </cell>
          <cell r="I641" t="str">
            <v>6377 - Order Processing Expenses (New)</v>
          </cell>
          <cell r="J641" t="str">
            <v>Ecommerce (US)</v>
          </cell>
          <cell r="K641" t="str">
            <v>Ecommerce</v>
          </cell>
          <cell r="L641" t="str">
            <v>Order Processing</v>
          </cell>
          <cell r="N641" t="str">
            <v>Direct Costs</v>
          </cell>
          <cell r="O641" t="str">
            <v>Bergen Logistics Corporation</v>
          </cell>
        </row>
        <row r="642">
          <cell r="D642">
            <v>11129.32</v>
          </cell>
          <cell r="H642">
            <v>45323</v>
          </cell>
          <cell r="I642" t="str">
            <v>6377 - Order Processing Expenses (New)</v>
          </cell>
          <cell r="J642" t="str">
            <v>Wholesale</v>
          </cell>
          <cell r="K642" t="str">
            <v>Wholesale</v>
          </cell>
          <cell r="L642" t="str">
            <v>Order Processing</v>
          </cell>
          <cell r="N642" t="str">
            <v>Direct Costs</v>
          </cell>
          <cell r="O642" t="str">
            <v>Bergen Logistics Corporation</v>
          </cell>
        </row>
        <row r="643">
          <cell r="D643">
            <v>15005.77</v>
          </cell>
          <cell r="H643">
            <v>45323</v>
          </cell>
          <cell r="I643" t="str">
            <v>6286 - SEM</v>
          </cell>
          <cell r="J643" t="str">
            <v>Ecommerce (US)</v>
          </cell>
          <cell r="K643" t="str">
            <v>Brand Marketing</v>
          </cell>
          <cell r="L643" t="str">
            <v>Professional Service</v>
          </cell>
          <cell r="N643" t="str">
            <v>Direct Costs</v>
          </cell>
          <cell r="O643" t="str">
            <v>Attentive Mobile Inc.</v>
          </cell>
        </row>
        <row r="644">
          <cell r="D644">
            <v>900</v>
          </cell>
          <cell r="H644">
            <v>45323</v>
          </cell>
          <cell r="I644" t="str">
            <v>6360 - Model - Fitting</v>
          </cell>
          <cell r="J644">
            <v>0</v>
          </cell>
          <cell r="K644" t="str">
            <v>Production</v>
          </cell>
          <cell r="L644" t="str">
            <v>Sample</v>
          </cell>
          <cell r="N644" t="str">
            <v>SG&amp;A</v>
          </cell>
          <cell r="O644" t="str">
            <v>LENFLASH dot COM</v>
          </cell>
        </row>
        <row r="645">
          <cell r="D645">
            <v>5080</v>
          </cell>
          <cell r="H645">
            <v>45323</v>
          </cell>
          <cell r="I645" t="str">
            <v>6380 - Legal &amp; Accounting</v>
          </cell>
          <cell r="J645">
            <v>0</v>
          </cell>
          <cell r="K645" t="str">
            <v>Administration</v>
          </cell>
          <cell r="L645" t="str">
            <v>Professional Service</v>
          </cell>
          <cell r="N645" t="str">
            <v>SG&amp;A</v>
          </cell>
          <cell r="O645" t="str">
            <v>Korus Legal P.C.</v>
          </cell>
        </row>
        <row r="646">
          <cell r="D646">
            <v>120</v>
          </cell>
          <cell r="H646">
            <v>45323</v>
          </cell>
          <cell r="I646" t="str">
            <v>6140 - Other</v>
          </cell>
          <cell r="J646" t="str">
            <v>Wholesale</v>
          </cell>
          <cell r="K646" t="str">
            <v>Wholesale</v>
          </cell>
          <cell r="L646" t="str">
            <v>T&amp;E</v>
          </cell>
          <cell r="N646" t="str">
            <v>SG&amp;A</v>
          </cell>
          <cell r="O646" t="str">
            <v>Bridgette Stacom</v>
          </cell>
        </row>
        <row r="647">
          <cell r="D647">
            <v>88</v>
          </cell>
          <cell r="H647">
            <v>45323</v>
          </cell>
          <cell r="I647" t="str">
            <v>6430 - Dues &amp; Memberships</v>
          </cell>
          <cell r="J647" t="str">
            <v>Wholesale</v>
          </cell>
          <cell r="K647" t="str">
            <v>Wholesale</v>
          </cell>
          <cell r="L647" t="str">
            <v>Professional Service</v>
          </cell>
          <cell r="N647" t="str">
            <v>Direct Costs</v>
          </cell>
          <cell r="O647" t="str">
            <v>SPS Commerce</v>
          </cell>
        </row>
        <row r="648">
          <cell r="D648">
            <v>150</v>
          </cell>
          <cell r="H648">
            <v>45323</v>
          </cell>
          <cell r="I648" t="str">
            <v>6225 - Professional Services</v>
          </cell>
          <cell r="J648">
            <v>0</v>
          </cell>
          <cell r="K648" t="str">
            <v>Administration</v>
          </cell>
          <cell r="L648" t="str">
            <v>Professional Service</v>
          </cell>
          <cell r="N648" t="str">
            <v>Direct Costs</v>
          </cell>
          <cell r="O648" t="str">
            <v>Benefit Resource, LLC</v>
          </cell>
        </row>
        <row r="649">
          <cell r="D649">
            <v>548.16999999999996</v>
          </cell>
          <cell r="H649">
            <v>45323</v>
          </cell>
          <cell r="I649" t="str">
            <v>6125 - Transportation and Fuel</v>
          </cell>
          <cell r="J649" t="str">
            <v>Wholesale</v>
          </cell>
          <cell r="K649" t="str">
            <v>Wholesale</v>
          </cell>
          <cell r="L649" t="str">
            <v>T&amp;E</v>
          </cell>
          <cell r="N649" t="str">
            <v>SG&amp;A</v>
          </cell>
          <cell r="O649" t="str">
            <v>Bridgette Stacom</v>
          </cell>
        </row>
        <row r="650">
          <cell r="D650">
            <v>66.86</v>
          </cell>
          <cell r="H650">
            <v>45323</v>
          </cell>
          <cell r="I650" t="str">
            <v>6105 - Meals</v>
          </cell>
          <cell r="J650" t="str">
            <v>Wholesale</v>
          </cell>
          <cell r="K650" t="str">
            <v>Wholesale</v>
          </cell>
          <cell r="L650" t="str">
            <v>T&amp;E</v>
          </cell>
          <cell r="N650" t="str">
            <v>SG&amp;A</v>
          </cell>
          <cell r="O650" t="str">
            <v>Bridgette Stacom</v>
          </cell>
        </row>
        <row r="651">
          <cell r="D651">
            <v>1181.67</v>
          </cell>
          <cell r="H651">
            <v>45323</v>
          </cell>
          <cell r="I651" t="str">
            <v>6375 - Freight Expenses</v>
          </cell>
          <cell r="J651" t="str">
            <v>Ecommerce (US)</v>
          </cell>
          <cell r="K651" t="str">
            <v>Ecommerce</v>
          </cell>
          <cell r="L651" t="str">
            <v>Freight</v>
          </cell>
          <cell r="N651" t="str">
            <v>Direct Costs</v>
          </cell>
          <cell r="O651" t="str">
            <v>Bergen Logistics Corporation</v>
          </cell>
        </row>
        <row r="652">
          <cell r="D652">
            <v>544.16999999999996</v>
          </cell>
          <cell r="H652">
            <v>45323</v>
          </cell>
          <cell r="I652" t="str">
            <v>6375 - Freight Expenses</v>
          </cell>
          <cell r="J652" t="str">
            <v>Wholesale</v>
          </cell>
          <cell r="K652" t="str">
            <v>Wholesale</v>
          </cell>
          <cell r="L652" t="str">
            <v>Freight</v>
          </cell>
          <cell r="N652" t="str">
            <v>Direct Costs</v>
          </cell>
          <cell r="O652" t="str">
            <v>Bergen Logistics Corporation</v>
          </cell>
        </row>
        <row r="653">
          <cell r="D653">
            <v>194.88</v>
          </cell>
          <cell r="H653">
            <v>45323</v>
          </cell>
          <cell r="I653" t="str">
            <v>6375 - Freight Expenses</v>
          </cell>
          <cell r="J653">
            <v>0</v>
          </cell>
          <cell r="K653" t="str">
            <v>Production</v>
          </cell>
          <cell r="L653" t="str">
            <v>Freight</v>
          </cell>
          <cell r="N653" t="str">
            <v>Direct Costs</v>
          </cell>
          <cell r="O653" t="str">
            <v>DHL Express - USA</v>
          </cell>
        </row>
        <row r="654">
          <cell r="D654">
            <v>0</v>
          </cell>
          <cell r="H654">
            <v>45323</v>
          </cell>
          <cell r="I654" t="str">
            <v>4010 - Revenue - Licensing Fees (Royalties)</v>
          </cell>
          <cell r="J654">
            <v>0</v>
          </cell>
          <cell r="K654" t="str">
            <v>Licensing</v>
          </cell>
          <cell r="L654" t="str">
            <v>License</v>
          </cell>
          <cell r="N654" t="str">
            <v>Revenue</v>
          </cell>
          <cell r="O654" t="str">
            <v>[No Vendor]</v>
          </cell>
        </row>
        <row r="655">
          <cell r="D655">
            <v>81130.22</v>
          </cell>
          <cell r="H655">
            <v>45323</v>
          </cell>
          <cell r="I655" t="str">
            <v>5001 - Cost of Goods Sold - Other</v>
          </cell>
          <cell r="J655" t="str">
            <v>Wholesale</v>
          </cell>
          <cell r="K655" t="str">
            <v>Wholesale</v>
          </cell>
          <cell r="L655" t="str">
            <v>Other COGS</v>
          </cell>
          <cell r="N655" t="str">
            <v>COGS</v>
          </cell>
          <cell r="O655" t="str">
            <v>[No Vendor]</v>
          </cell>
        </row>
        <row r="656">
          <cell r="D656">
            <v>0</v>
          </cell>
          <cell r="H656">
            <v>45323</v>
          </cell>
          <cell r="I656" t="str">
            <v>4045 - Sponsorships</v>
          </cell>
          <cell r="J656">
            <v>0</v>
          </cell>
          <cell r="K656" t="str">
            <v>Licensing</v>
          </cell>
          <cell r="L656" t="str">
            <v>Other Income</v>
          </cell>
          <cell r="N656" t="str">
            <v>Revenue</v>
          </cell>
          <cell r="O656" t="str">
            <v>[No Vendor]</v>
          </cell>
        </row>
        <row r="657">
          <cell r="D657">
            <v>-297605.09999999998</v>
          </cell>
          <cell r="H657">
            <v>45323</v>
          </cell>
          <cell r="I657" t="str">
            <v>4052 - Sales Revenue - Wholesale (US)</v>
          </cell>
          <cell r="J657" t="str">
            <v>Wholesale</v>
          </cell>
          <cell r="K657" t="str">
            <v>Wholesale</v>
          </cell>
          <cell r="L657" t="str">
            <v>Wholesale</v>
          </cell>
          <cell r="N657" t="str">
            <v>Revenue</v>
          </cell>
          <cell r="O657" t="str">
            <v>[No Vendor]</v>
          </cell>
        </row>
        <row r="658">
          <cell r="D658">
            <v>-1161879.2</v>
          </cell>
          <cell r="H658">
            <v>45323</v>
          </cell>
          <cell r="I658" t="str">
            <v>4050 - Sales Revenue - Ecommerce (US)</v>
          </cell>
          <cell r="J658" t="str">
            <v>Ecommerce (US)</v>
          </cell>
          <cell r="K658" t="str">
            <v>Ecommerce</v>
          </cell>
          <cell r="L658" t="str">
            <v>Ecommerce (US)</v>
          </cell>
          <cell r="N658" t="str">
            <v>Revenue</v>
          </cell>
          <cell r="O658" t="str">
            <v>[No Vendor]</v>
          </cell>
        </row>
        <row r="659">
          <cell r="D659">
            <v>-31493.4</v>
          </cell>
          <cell r="H659">
            <v>45323</v>
          </cell>
          <cell r="I659" t="str">
            <v>4050 - Sales Revenue - Ecommerce (US)</v>
          </cell>
          <cell r="J659" t="str">
            <v>Ecommerce (US)</v>
          </cell>
          <cell r="K659" t="str">
            <v>Ecommerce</v>
          </cell>
          <cell r="L659" t="str">
            <v>Ecommerce (US)</v>
          </cell>
          <cell r="N659" t="str">
            <v>Revenue</v>
          </cell>
          <cell r="O659" t="str">
            <v>[No Vendor]</v>
          </cell>
        </row>
        <row r="660">
          <cell r="D660">
            <v>10168.94</v>
          </cell>
          <cell r="H660">
            <v>45323</v>
          </cell>
          <cell r="I660" t="str">
            <v>4061 - Sales Discount - Ecomm (EU)</v>
          </cell>
          <cell r="J660" t="str">
            <v>Ecommerce (EU)</v>
          </cell>
          <cell r="K660" t="str">
            <v>Ecommerce</v>
          </cell>
          <cell r="L660" t="str">
            <v>Ecommerce (EU)</v>
          </cell>
          <cell r="N660" t="str">
            <v>Revenue</v>
          </cell>
          <cell r="O660" t="str">
            <v>[No Vendor]</v>
          </cell>
        </row>
        <row r="661">
          <cell r="D661">
            <v>80.930000000000007</v>
          </cell>
          <cell r="H661">
            <v>45323</v>
          </cell>
          <cell r="I661" t="str">
            <v>6041 - Employee Benefit Other</v>
          </cell>
          <cell r="J661">
            <v>0</v>
          </cell>
          <cell r="K661" t="str">
            <v>Merchandising</v>
          </cell>
          <cell r="L661" t="str">
            <v>HQ Salaries</v>
          </cell>
          <cell r="N661" t="str">
            <v>SG&amp;A</v>
          </cell>
          <cell r="O661" t="str">
            <v>[No Vendor]</v>
          </cell>
        </row>
        <row r="662">
          <cell r="D662">
            <v>77.400000000000006</v>
          </cell>
          <cell r="H662">
            <v>45323</v>
          </cell>
          <cell r="I662" t="str">
            <v>6041 - Employee Benefit Other</v>
          </cell>
          <cell r="J662">
            <v>0</v>
          </cell>
          <cell r="K662" t="str">
            <v>Brand Marketing</v>
          </cell>
          <cell r="L662" t="str">
            <v>HQ Salaries</v>
          </cell>
          <cell r="N662" t="str">
            <v>SG&amp;A</v>
          </cell>
          <cell r="O662" t="str">
            <v>[No Vendor]</v>
          </cell>
        </row>
        <row r="663">
          <cell r="D663">
            <v>97.78</v>
          </cell>
          <cell r="H663">
            <v>45323</v>
          </cell>
          <cell r="I663" t="str">
            <v>6041 - Employee Benefit Other</v>
          </cell>
          <cell r="J663" t="str">
            <v>Ecommerce (US)</v>
          </cell>
          <cell r="K663" t="str">
            <v>Ecommerce</v>
          </cell>
          <cell r="L663" t="str">
            <v>HQ Salaries</v>
          </cell>
          <cell r="N663" t="str">
            <v>SG&amp;A</v>
          </cell>
          <cell r="O663" t="str">
            <v>[No Vendor]</v>
          </cell>
        </row>
        <row r="664">
          <cell r="D664">
            <v>93.04</v>
          </cell>
          <cell r="H664">
            <v>45323</v>
          </cell>
          <cell r="I664" t="str">
            <v>6041 - Employee Benefit Other</v>
          </cell>
          <cell r="J664">
            <v>0</v>
          </cell>
          <cell r="K664" t="str">
            <v>Production</v>
          </cell>
          <cell r="L664" t="str">
            <v>HQ Salaries</v>
          </cell>
          <cell r="N664" t="str">
            <v>SG&amp;A</v>
          </cell>
          <cell r="O664" t="str">
            <v>[No Vendor]</v>
          </cell>
        </row>
        <row r="665">
          <cell r="D665">
            <v>22369.22</v>
          </cell>
          <cell r="H665">
            <v>45323</v>
          </cell>
          <cell r="I665" t="str">
            <v>4051 - Sales Revenue - Ecommerce (Intl)</v>
          </cell>
          <cell r="J665" t="str">
            <v>Ecommerce (EU)</v>
          </cell>
          <cell r="K665" t="str">
            <v>Ecommerce</v>
          </cell>
          <cell r="L665" t="str">
            <v>Ecommerce (EU)</v>
          </cell>
          <cell r="N665" t="str">
            <v>Revenue</v>
          </cell>
          <cell r="O665" t="str">
            <v>[No Vendor]</v>
          </cell>
        </row>
        <row r="666">
          <cell r="D666">
            <v>-154019.9</v>
          </cell>
          <cell r="H666">
            <v>45323</v>
          </cell>
          <cell r="I666" t="str">
            <v>4051 - Sales Revenue - Ecommerce (Intl)</v>
          </cell>
          <cell r="J666" t="str">
            <v>Ecommerce (EU)</v>
          </cell>
          <cell r="K666" t="str">
            <v>Ecommerce</v>
          </cell>
          <cell r="L666" t="str">
            <v>Ecommerce (EU)</v>
          </cell>
          <cell r="N666" t="str">
            <v>Revenue</v>
          </cell>
          <cell r="O666" t="str">
            <v>[No Vendor]</v>
          </cell>
        </row>
        <row r="667">
          <cell r="D667">
            <v>400</v>
          </cell>
          <cell r="H667">
            <v>45323</v>
          </cell>
          <cell r="I667" t="str">
            <v>6377 - Order Processing Expenses (New)</v>
          </cell>
          <cell r="J667" t="str">
            <v>Ecommerce (EU)</v>
          </cell>
          <cell r="K667" t="str">
            <v>Ecommerce</v>
          </cell>
          <cell r="L667" t="str">
            <v>Order Processing</v>
          </cell>
          <cell r="N667" t="str">
            <v>Direct Costs</v>
          </cell>
          <cell r="O667" t="str">
            <v>[No Vendor]</v>
          </cell>
        </row>
        <row r="668">
          <cell r="D668">
            <v>-400</v>
          </cell>
          <cell r="H668">
            <v>45323</v>
          </cell>
          <cell r="I668" t="str">
            <v>6377 - Order Processing Expenses (New)</v>
          </cell>
          <cell r="J668" t="str">
            <v>Ecommerce (EU)</v>
          </cell>
          <cell r="K668" t="str">
            <v>Ecommerce</v>
          </cell>
          <cell r="L668" t="str">
            <v>Order Processing</v>
          </cell>
          <cell r="N668" t="str">
            <v>Direct Costs</v>
          </cell>
          <cell r="O668" t="str">
            <v>[No Vendor]</v>
          </cell>
        </row>
        <row r="669">
          <cell r="D669">
            <v>0</v>
          </cell>
          <cell r="H669">
            <v>45323</v>
          </cell>
          <cell r="I669" t="str">
            <v>4065 - Sales Freight - Wholesale (US)</v>
          </cell>
          <cell r="J669" t="str">
            <v>Wholesale</v>
          </cell>
          <cell r="K669" t="str">
            <v>Wholesale</v>
          </cell>
          <cell r="L669" t="str">
            <v>Freight - Revenue</v>
          </cell>
          <cell r="N669" t="str">
            <v>Direct Costs</v>
          </cell>
          <cell r="O669" t="str">
            <v>[No Vendor]</v>
          </cell>
        </row>
        <row r="670">
          <cell r="D670">
            <v>200</v>
          </cell>
          <cell r="H670">
            <v>45323</v>
          </cell>
          <cell r="I670" t="str">
            <v>4065 - Sales Freight - Wholesale (US)</v>
          </cell>
          <cell r="J670" t="str">
            <v>Wholesale</v>
          </cell>
          <cell r="K670" t="str">
            <v>Wholesale</v>
          </cell>
          <cell r="L670" t="str">
            <v>Freight - Revenue</v>
          </cell>
          <cell r="N670" t="str">
            <v>Direct Costs</v>
          </cell>
          <cell r="O670" t="str">
            <v>[No Vendor]</v>
          </cell>
        </row>
        <row r="671">
          <cell r="D671">
            <v>-5536.6</v>
          </cell>
          <cell r="H671">
            <v>45323</v>
          </cell>
          <cell r="I671" t="str">
            <v>4065 - Sales Freight - Wholesale (US)</v>
          </cell>
          <cell r="J671" t="str">
            <v>Wholesale</v>
          </cell>
          <cell r="K671" t="str">
            <v>Wholesale</v>
          </cell>
          <cell r="L671" t="str">
            <v>Freight - Revenue</v>
          </cell>
          <cell r="N671" t="str">
            <v>Direct Costs</v>
          </cell>
          <cell r="O671" t="str">
            <v>[No Vendor]</v>
          </cell>
        </row>
        <row r="672">
          <cell r="D672">
            <v>-26206</v>
          </cell>
          <cell r="H672">
            <v>45323</v>
          </cell>
          <cell r="I672" t="str">
            <v>4064 - Sales Freight - Ecomm (US)</v>
          </cell>
          <cell r="J672" t="str">
            <v>Ecommerce (US)</v>
          </cell>
          <cell r="K672" t="str">
            <v>Ecommerce</v>
          </cell>
          <cell r="L672" t="str">
            <v>Freight - Revenue</v>
          </cell>
          <cell r="N672" t="str">
            <v>Direct Costs</v>
          </cell>
          <cell r="O672" t="str">
            <v>[No Vendor]</v>
          </cell>
        </row>
        <row r="673">
          <cell r="D673">
            <v>-846</v>
          </cell>
          <cell r="H673">
            <v>45323</v>
          </cell>
          <cell r="I673" t="str">
            <v>4064 - Sales Freight - Ecomm (US)</v>
          </cell>
          <cell r="J673" t="str">
            <v>Ecommerce (US)</v>
          </cell>
          <cell r="K673" t="str">
            <v>Ecommerce</v>
          </cell>
          <cell r="L673" t="str">
            <v>Freight - Revenue</v>
          </cell>
          <cell r="N673" t="str">
            <v>Direct Costs</v>
          </cell>
          <cell r="O673" t="str">
            <v>[No Vendor]</v>
          </cell>
        </row>
        <row r="674">
          <cell r="D674">
            <v>0</v>
          </cell>
          <cell r="H674">
            <v>45323</v>
          </cell>
          <cell r="I674" t="str">
            <v>4063 - Sales Discount - Wholesale (US)</v>
          </cell>
          <cell r="J674" t="str">
            <v>Wholesale</v>
          </cell>
          <cell r="K674" t="str">
            <v>Wholesale</v>
          </cell>
          <cell r="L674" t="str">
            <v>Wholesale</v>
          </cell>
          <cell r="N674" t="str">
            <v>Revenue</v>
          </cell>
          <cell r="O674" t="str">
            <v>[No Vendor]</v>
          </cell>
        </row>
        <row r="675">
          <cell r="D675">
            <v>3048.4</v>
          </cell>
          <cell r="H675">
            <v>45323</v>
          </cell>
          <cell r="I675" t="str">
            <v>4063 - Sales Discount - Wholesale (US)</v>
          </cell>
          <cell r="J675" t="str">
            <v>Wholesale</v>
          </cell>
          <cell r="K675" t="str">
            <v>Wholesale</v>
          </cell>
          <cell r="L675" t="str">
            <v>Wholesale</v>
          </cell>
          <cell r="N675" t="str">
            <v>Revenue</v>
          </cell>
          <cell r="O675" t="str">
            <v>[No Vendor]</v>
          </cell>
        </row>
        <row r="676">
          <cell r="D676">
            <v>5691.01</v>
          </cell>
          <cell r="H676">
            <v>45323</v>
          </cell>
          <cell r="I676" t="str">
            <v>5900 - Interco Royalty Expense</v>
          </cell>
          <cell r="J676">
            <v>0</v>
          </cell>
          <cell r="K676" t="str">
            <v>Licensing</v>
          </cell>
          <cell r="L676">
            <v>0</v>
          </cell>
          <cell r="N676">
            <v>0</v>
          </cell>
          <cell r="O676" t="str">
            <v>[No Vendor]</v>
          </cell>
        </row>
        <row r="677">
          <cell r="D677">
            <v>110652.13</v>
          </cell>
          <cell r="H677">
            <v>45323</v>
          </cell>
          <cell r="I677" t="str">
            <v>4062 - Sales Discount - Ecomm (US)</v>
          </cell>
          <cell r="J677" t="str">
            <v>Ecommerce (US)</v>
          </cell>
          <cell r="K677" t="str">
            <v>Ecommerce</v>
          </cell>
          <cell r="L677" t="str">
            <v>Ecommerce (US)</v>
          </cell>
          <cell r="N677" t="str">
            <v>Revenue</v>
          </cell>
          <cell r="O677" t="str">
            <v>[No Vendor]</v>
          </cell>
        </row>
        <row r="678">
          <cell r="D678">
            <v>0</v>
          </cell>
          <cell r="H678">
            <v>45323</v>
          </cell>
          <cell r="I678" t="str">
            <v>4062 - Sales Discount - Ecomm (US)</v>
          </cell>
          <cell r="J678" t="str">
            <v>Ecommerce (US)</v>
          </cell>
          <cell r="K678" t="str">
            <v>Ecommerce</v>
          </cell>
          <cell r="L678" t="str">
            <v>Ecommerce (US)</v>
          </cell>
          <cell r="N678" t="str">
            <v>Revenue</v>
          </cell>
          <cell r="O678" t="str">
            <v>[No Vendor]</v>
          </cell>
        </row>
        <row r="679">
          <cell r="D679">
            <v>1954.72</v>
          </cell>
          <cell r="H679">
            <v>45323</v>
          </cell>
          <cell r="I679" t="str">
            <v>7130 - License Agreements &amp; Other Intangibles</v>
          </cell>
          <cell r="J679">
            <v>0</v>
          </cell>
          <cell r="K679" t="str">
            <v>Administration</v>
          </cell>
          <cell r="L679" t="str">
            <v>Depreciation &amp; Amortization</v>
          </cell>
          <cell r="N679" t="str">
            <v>SG&amp;A</v>
          </cell>
          <cell r="O679" t="str">
            <v>[No Vendor]</v>
          </cell>
        </row>
        <row r="680">
          <cell r="D680">
            <v>-5691.01</v>
          </cell>
          <cell r="H680">
            <v>45323</v>
          </cell>
          <cell r="I680" t="str">
            <v>4900 - Interco Royalty Revenue</v>
          </cell>
          <cell r="J680">
            <v>0</v>
          </cell>
          <cell r="K680" t="str">
            <v>Licensing</v>
          </cell>
          <cell r="L680">
            <v>0</v>
          </cell>
          <cell r="N680">
            <v>0</v>
          </cell>
          <cell r="O680" t="str">
            <v>[No Vendor]</v>
          </cell>
        </row>
        <row r="681">
          <cell r="D681">
            <v>458.33</v>
          </cell>
          <cell r="H681">
            <v>45323</v>
          </cell>
          <cell r="I681" t="str">
            <v>6393 - Software</v>
          </cell>
          <cell r="J681" t="str">
            <v>Wholesale</v>
          </cell>
          <cell r="K681" t="str">
            <v>Wholesale</v>
          </cell>
          <cell r="L681" t="str">
            <v>Professional Service</v>
          </cell>
          <cell r="N681" t="str">
            <v>Direct Costs</v>
          </cell>
          <cell r="O681" t="str">
            <v>Joor, Inc</v>
          </cell>
        </row>
        <row r="682">
          <cell r="D682">
            <v>3200.72</v>
          </cell>
          <cell r="H682">
            <v>45323</v>
          </cell>
          <cell r="I682" t="str">
            <v>6393 - Software</v>
          </cell>
          <cell r="J682">
            <v>0</v>
          </cell>
          <cell r="K682" t="str">
            <v>Administration</v>
          </cell>
          <cell r="L682" t="str">
            <v>Professional Service</v>
          </cell>
          <cell r="N682" t="str">
            <v>Direct Costs</v>
          </cell>
          <cell r="O682" t="str">
            <v>[No Vendor]</v>
          </cell>
        </row>
        <row r="683">
          <cell r="D683">
            <v>1134.1199999999999</v>
          </cell>
          <cell r="H683">
            <v>45323</v>
          </cell>
          <cell r="I683" t="str">
            <v>6393 - Software</v>
          </cell>
          <cell r="J683">
            <v>0</v>
          </cell>
          <cell r="K683" t="str">
            <v>Administration</v>
          </cell>
          <cell r="L683" t="str">
            <v>Professional Service</v>
          </cell>
          <cell r="N683" t="str">
            <v>Direct Costs</v>
          </cell>
          <cell r="O683" t="str">
            <v>Fohr</v>
          </cell>
        </row>
        <row r="684">
          <cell r="D684">
            <v>15635.83</v>
          </cell>
          <cell r="H684">
            <v>45323</v>
          </cell>
          <cell r="I684" t="str">
            <v>6393 - Software</v>
          </cell>
          <cell r="J684" t="str">
            <v>Ecommerce (US)</v>
          </cell>
          <cell r="K684" t="str">
            <v>Ecommerce</v>
          </cell>
          <cell r="L684" t="str">
            <v>Professional Service</v>
          </cell>
          <cell r="N684" t="str">
            <v>Direct Costs</v>
          </cell>
          <cell r="O684" t="str">
            <v>[No Vendor]</v>
          </cell>
        </row>
        <row r="685">
          <cell r="D685">
            <v>1194</v>
          </cell>
          <cell r="H685">
            <v>45323</v>
          </cell>
          <cell r="I685" t="str">
            <v>6393 - Software</v>
          </cell>
          <cell r="J685">
            <v>0</v>
          </cell>
          <cell r="K685" t="str">
            <v>Design</v>
          </cell>
          <cell r="L685" t="str">
            <v>Professional Service</v>
          </cell>
          <cell r="N685" t="str">
            <v>Direct Costs</v>
          </cell>
          <cell r="O685" t="str">
            <v>[No Vendor]</v>
          </cell>
        </row>
        <row r="686">
          <cell r="D686">
            <v>1687.3</v>
          </cell>
          <cell r="H686">
            <v>45323</v>
          </cell>
          <cell r="I686" t="str">
            <v>6393 - Software</v>
          </cell>
          <cell r="J686">
            <v>0</v>
          </cell>
          <cell r="K686" t="str">
            <v>Administration</v>
          </cell>
          <cell r="L686" t="str">
            <v>Professional Service</v>
          </cell>
          <cell r="N686" t="str">
            <v>Direct Costs</v>
          </cell>
          <cell r="O686" t="str">
            <v>[No Vendor]</v>
          </cell>
        </row>
        <row r="687">
          <cell r="D687">
            <v>102417.91</v>
          </cell>
          <cell r="H687">
            <v>45323</v>
          </cell>
          <cell r="I687" t="str">
            <v>6286 - SEM</v>
          </cell>
          <cell r="J687" t="str">
            <v>Ecommerce (US)</v>
          </cell>
          <cell r="K687" t="str">
            <v>Ecommerce</v>
          </cell>
          <cell r="L687" t="str">
            <v>Marketing</v>
          </cell>
          <cell r="N687" t="str">
            <v>Direct Costs</v>
          </cell>
          <cell r="O687" t="str">
            <v>[No Vendor]</v>
          </cell>
        </row>
        <row r="688">
          <cell r="D688">
            <v>5202.24</v>
          </cell>
          <cell r="H688">
            <v>45323</v>
          </cell>
          <cell r="I688" t="str">
            <v>6210 - Monitoring</v>
          </cell>
          <cell r="J688" t="str">
            <v>Ecommerce (EU)</v>
          </cell>
          <cell r="K688" t="str">
            <v>Ecommerce</v>
          </cell>
          <cell r="L688" t="str">
            <v>Professional Service</v>
          </cell>
          <cell r="N688" t="str">
            <v>Direct Costs</v>
          </cell>
          <cell r="O688" t="str">
            <v>[No Vendor]</v>
          </cell>
        </row>
        <row r="689">
          <cell r="D689">
            <v>4500</v>
          </cell>
          <cell r="H689">
            <v>45323</v>
          </cell>
          <cell r="I689" t="str">
            <v>6380 - Legal &amp; Accounting</v>
          </cell>
          <cell r="J689">
            <v>0</v>
          </cell>
          <cell r="K689" t="str">
            <v>Administration</v>
          </cell>
          <cell r="L689" t="str">
            <v>Professional Service</v>
          </cell>
          <cell r="N689" t="str">
            <v>SG&amp;A</v>
          </cell>
          <cell r="O689" t="str">
            <v>[No Vendor]</v>
          </cell>
        </row>
        <row r="690">
          <cell r="D690">
            <v>88.29</v>
          </cell>
          <cell r="H690">
            <v>45323</v>
          </cell>
          <cell r="I690" t="str">
            <v>6340 - Miscellaneous Expense</v>
          </cell>
          <cell r="J690" t="str">
            <v>Wholesale</v>
          </cell>
          <cell r="K690" t="str">
            <v>Wholesale</v>
          </cell>
          <cell r="L690" t="str">
            <v>Other</v>
          </cell>
          <cell r="N690" t="str">
            <v>SG&amp;A</v>
          </cell>
          <cell r="O690" t="str">
            <v>[No Vendor]</v>
          </cell>
        </row>
        <row r="691">
          <cell r="D691">
            <v>2340.62</v>
          </cell>
          <cell r="H691">
            <v>45323</v>
          </cell>
          <cell r="I691" t="str">
            <v>6340 - Miscellaneous Expense</v>
          </cell>
          <cell r="J691">
            <v>0</v>
          </cell>
          <cell r="K691" t="str">
            <v>Brand Marketing</v>
          </cell>
          <cell r="L691" t="str">
            <v>Other</v>
          </cell>
          <cell r="N691" t="str">
            <v>SG&amp;A</v>
          </cell>
          <cell r="O691" t="str">
            <v>[No Vendor]</v>
          </cell>
        </row>
        <row r="692">
          <cell r="D692">
            <v>352.9</v>
          </cell>
          <cell r="H692">
            <v>45323</v>
          </cell>
          <cell r="I692" t="str">
            <v>6340 - Miscellaneous Expense</v>
          </cell>
          <cell r="J692">
            <v>0</v>
          </cell>
          <cell r="K692" t="str">
            <v>Design</v>
          </cell>
          <cell r="L692" t="str">
            <v>Other</v>
          </cell>
          <cell r="N692" t="str">
            <v>SG&amp;A</v>
          </cell>
          <cell r="O692" t="str">
            <v>[No Vendor]</v>
          </cell>
        </row>
        <row r="693">
          <cell r="D693">
            <v>1091.31</v>
          </cell>
          <cell r="H693">
            <v>45323</v>
          </cell>
          <cell r="I693" t="str">
            <v>6340 - Miscellaneous Expense</v>
          </cell>
          <cell r="J693">
            <v>0</v>
          </cell>
          <cell r="K693" t="str">
            <v>Administration</v>
          </cell>
          <cell r="L693" t="str">
            <v>Other</v>
          </cell>
          <cell r="N693" t="str">
            <v>SG&amp;A</v>
          </cell>
          <cell r="O693" t="str">
            <v>[No Vendor]</v>
          </cell>
        </row>
        <row r="694">
          <cell r="D694">
            <v>2579.63</v>
          </cell>
          <cell r="H694">
            <v>45323</v>
          </cell>
          <cell r="I694" t="str">
            <v>6289 - Seeding / Product Placement</v>
          </cell>
          <cell r="J694">
            <v>0</v>
          </cell>
          <cell r="K694" t="str">
            <v>Brand Marketing</v>
          </cell>
          <cell r="L694" t="str">
            <v>Advertising</v>
          </cell>
          <cell r="N694" t="str">
            <v>SG&amp;A</v>
          </cell>
          <cell r="O694" t="str">
            <v>[No Vendor]</v>
          </cell>
        </row>
        <row r="695">
          <cell r="D695">
            <v>272.81</v>
          </cell>
          <cell r="H695">
            <v>45323</v>
          </cell>
          <cell r="I695" t="str">
            <v>6287 - Events</v>
          </cell>
          <cell r="J695" t="str">
            <v>Wholesale</v>
          </cell>
          <cell r="K695" t="str">
            <v>Brand Marketing</v>
          </cell>
          <cell r="L695" t="str">
            <v>Advertising</v>
          </cell>
          <cell r="N695" t="str">
            <v>SG&amp;A</v>
          </cell>
          <cell r="O695" t="str">
            <v>[No Vendor]</v>
          </cell>
        </row>
        <row r="696">
          <cell r="D696">
            <v>1500</v>
          </cell>
          <cell r="H696">
            <v>45323</v>
          </cell>
          <cell r="I696" t="str">
            <v>6205 - Contractors</v>
          </cell>
          <cell r="J696">
            <v>0</v>
          </cell>
          <cell r="K696" t="str">
            <v>Production</v>
          </cell>
          <cell r="L696" t="str">
            <v>HQ Salaries</v>
          </cell>
          <cell r="N696" t="str">
            <v>SG&amp;A</v>
          </cell>
          <cell r="O696" t="str">
            <v>Philip Yau</v>
          </cell>
        </row>
        <row r="697">
          <cell r="D697">
            <v>0</v>
          </cell>
          <cell r="H697">
            <v>45323</v>
          </cell>
          <cell r="I697" t="str">
            <v>6205 - Contractors</v>
          </cell>
          <cell r="J697">
            <v>0</v>
          </cell>
          <cell r="K697" t="str">
            <v>Brand Marketing</v>
          </cell>
          <cell r="L697" t="str">
            <v>HQ Salaries</v>
          </cell>
          <cell r="N697" t="str">
            <v>SG&amp;A</v>
          </cell>
          <cell r="O697" t="str">
            <v>[No Vendor]</v>
          </cell>
        </row>
        <row r="698">
          <cell r="D698">
            <v>4567.5</v>
          </cell>
          <cell r="H698">
            <v>45323</v>
          </cell>
          <cell r="I698" t="str">
            <v>6205 - Contractors</v>
          </cell>
          <cell r="J698" t="str">
            <v>Ecommerce (US)</v>
          </cell>
          <cell r="K698" t="str">
            <v>Ecommerce</v>
          </cell>
          <cell r="L698" t="str">
            <v>HQ Salaries</v>
          </cell>
          <cell r="N698" t="str">
            <v>SG&amp;A</v>
          </cell>
          <cell r="O698" t="str">
            <v>[No Vendor]</v>
          </cell>
        </row>
        <row r="699">
          <cell r="D699">
            <v>89.82</v>
          </cell>
          <cell r="H699">
            <v>45323</v>
          </cell>
          <cell r="I699" t="str">
            <v>6370 - Samples</v>
          </cell>
          <cell r="J699">
            <v>0</v>
          </cell>
          <cell r="K699" t="str">
            <v>Production</v>
          </cell>
          <cell r="L699" t="str">
            <v>Sample</v>
          </cell>
          <cell r="N699" t="str">
            <v>SG&amp;A</v>
          </cell>
          <cell r="O699" t="str">
            <v>[No Vendor]</v>
          </cell>
        </row>
        <row r="700">
          <cell r="D700">
            <v>6800</v>
          </cell>
          <cell r="H700">
            <v>45323</v>
          </cell>
          <cell r="I700" t="str">
            <v>6020 - Bonus</v>
          </cell>
          <cell r="J700">
            <v>0</v>
          </cell>
          <cell r="K700" t="str">
            <v>Executive</v>
          </cell>
          <cell r="L700" t="str">
            <v>HQ Salaries</v>
          </cell>
          <cell r="N700" t="str">
            <v>SG&amp;A</v>
          </cell>
          <cell r="O700" t="str">
            <v>[No Vendor]</v>
          </cell>
        </row>
        <row r="701">
          <cell r="D701">
            <v>3260</v>
          </cell>
          <cell r="H701">
            <v>45323</v>
          </cell>
          <cell r="I701" t="str">
            <v>6020 - Bonus</v>
          </cell>
          <cell r="J701" t="str">
            <v>Wholesale</v>
          </cell>
          <cell r="K701" t="str">
            <v>Wholesale</v>
          </cell>
          <cell r="L701" t="str">
            <v>HQ Salaries</v>
          </cell>
          <cell r="N701" t="str">
            <v>SG&amp;A</v>
          </cell>
          <cell r="O701" t="str">
            <v>[No Vendor]</v>
          </cell>
        </row>
        <row r="702">
          <cell r="D702">
            <v>7146.9</v>
          </cell>
          <cell r="H702">
            <v>45323</v>
          </cell>
          <cell r="I702" t="str">
            <v>6020 - Bonus</v>
          </cell>
          <cell r="J702">
            <v>0</v>
          </cell>
          <cell r="K702" t="str">
            <v>Production</v>
          </cell>
          <cell r="L702" t="str">
            <v>HQ Salaries</v>
          </cell>
          <cell r="N702" t="str">
            <v>SG&amp;A</v>
          </cell>
          <cell r="O702" t="str">
            <v>[No Vendor]</v>
          </cell>
        </row>
        <row r="703">
          <cell r="D703">
            <v>2160</v>
          </cell>
          <cell r="H703">
            <v>45323</v>
          </cell>
          <cell r="I703" t="str">
            <v>6020 - Bonus</v>
          </cell>
          <cell r="J703">
            <v>0</v>
          </cell>
          <cell r="K703" t="str">
            <v>Brand Marketing</v>
          </cell>
          <cell r="L703" t="str">
            <v>HQ Salaries</v>
          </cell>
          <cell r="N703" t="str">
            <v>SG&amp;A</v>
          </cell>
          <cell r="O703" t="str">
            <v>[No Vendor]</v>
          </cell>
        </row>
        <row r="704">
          <cell r="D704">
            <v>6392.5</v>
          </cell>
          <cell r="H704">
            <v>45323</v>
          </cell>
          <cell r="I704" t="str">
            <v>6020 - Bonus</v>
          </cell>
          <cell r="J704" t="str">
            <v>Ecommerce (US)</v>
          </cell>
          <cell r="K704" t="str">
            <v>Ecommerce</v>
          </cell>
          <cell r="L704" t="str">
            <v>HQ Salaries</v>
          </cell>
          <cell r="N704" t="str">
            <v>SG&amp;A</v>
          </cell>
          <cell r="O704" t="str">
            <v>[No Vendor]</v>
          </cell>
        </row>
        <row r="705">
          <cell r="D705">
            <v>4954.5</v>
          </cell>
          <cell r="H705">
            <v>45323</v>
          </cell>
          <cell r="I705" t="str">
            <v>6020 - Bonus</v>
          </cell>
          <cell r="J705">
            <v>0</v>
          </cell>
          <cell r="K705" t="str">
            <v>Design</v>
          </cell>
          <cell r="L705" t="str">
            <v>HQ Salaries</v>
          </cell>
          <cell r="N705" t="str">
            <v>SG&amp;A</v>
          </cell>
          <cell r="O705" t="str">
            <v>[No Vendor]</v>
          </cell>
        </row>
        <row r="706">
          <cell r="D706">
            <v>6175</v>
          </cell>
          <cell r="H706">
            <v>45323</v>
          </cell>
          <cell r="I706" t="str">
            <v>6020 - Bonus</v>
          </cell>
          <cell r="J706">
            <v>0</v>
          </cell>
          <cell r="K706" t="str">
            <v>Merchandising</v>
          </cell>
          <cell r="L706" t="str">
            <v>HQ Salaries</v>
          </cell>
          <cell r="N706" t="str">
            <v>SG&amp;A</v>
          </cell>
          <cell r="O706" t="str">
            <v>[No Vendor]</v>
          </cell>
        </row>
        <row r="707">
          <cell r="D707">
            <v>11673.3</v>
          </cell>
          <cell r="H707">
            <v>45323</v>
          </cell>
          <cell r="I707" t="str">
            <v>6020 - Bonus</v>
          </cell>
          <cell r="J707">
            <v>0</v>
          </cell>
          <cell r="K707" t="str">
            <v>Administration</v>
          </cell>
          <cell r="L707" t="str">
            <v>HQ Salaries</v>
          </cell>
          <cell r="N707" t="str">
            <v>SG&amp;A</v>
          </cell>
          <cell r="O707" t="str">
            <v>[No Vendor]</v>
          </cell>
        </row>
        <row r="708">
          <cell r="D708">
            <v>507.58</v>
          </cell>
          <cell r="H708">
            <v>45323</v>
          </cell>
          <cell r="I708" t="str">
            <v>6140 - Other</v>
          </cell>
          <cell r="J708" t="str">
            <v>Wholesale</v>
          </cell>
          <cell r="K708" t="str">
            <v>Wholesale</v>
          </cell>
          <cell r="L708" t="str">
            <v>T&amp;E</v>
          </cell>
          <cell r="N708" t="str">
            <v>SG&amp;A</v>
          </cell>
          <cell r="O708" t="str">
            <v>[No Vendor]</v>
          </cell>
        </row>
        <row r="709">
          <cell r="D709">
            <v>1475.99</v>
          </cell>
          <cell r="H709">
            <v>45323</v>
          </cell>
          <cell r="I709" t="str">
            <v>6120 - Lodging</v>
          </cell>
          <cell r="J709" t="str">
            <v>Wholesale</v>
          </cell>
          <cell r="K709" t="str">
            <v>Wholesale</v>
          </cell>
          <cell r="L709" t="str">
            <v>T&amp;E</v>
          </cell>
          <cell r="N709" t="str">
            <v>SG&amp;A</v>
          </cell>
          <cell r="O709" t="str">
            <v>[No Vendor]</v>
          </cell>
        </row>
        <row r="710">
          <cell r="D710">
            <v>198.42</v>
          </cell>
          <cell r="H710">
            <v>45323</v>
          </cell>
          <cell r="I710" t="str">
            <v>6120 - Lodging</v>
          </cell>
          <cell r="J710">
            <v>0</v>
          </cell>
          <cell r="K710" t="str">
            <v>Production</v>
          </cell>
          <cell r="L710" t="str">
            <v>T&amp;E</v>
          </cell>
          <cell r="N710" t="str">
            <v>SG&amp;A</v>
          </cell>
          <cell r="O710" t="str">
            <v>[No Vendor]</v>
          </cell>
        </row>
        <row r="711">
          <cell r="D711">
            <v>1052.52</v>
          </cell>
          <cell r="H711">
            <v>45323</v>
          </cell>
          <cell r="I711" t="str">
            <v>6120 - Lodging</v>
          </cell>
          <cell r="J711" t="str">
            <v>Ecommerce (US)</v>
          </cell>
          <cell r="K711" t="str">
            <v>Ecommerce</v>
          </cell>
          <cell r="L711" t="str">
            <v>T&amp;E</v>
          </cell>
          <cell r="N711" t="str">
            <v>SG&amp;A</v>
          </cell>
          <cell r="O711" t="str">
            <v>[No Vendor]</v>
          </cell>
        </row>
        <row r="712">
          <cell r="D712">
            <v>515.46</v>
          </cell>
          <cell r="H712">
            <v>45323</v>
          </cell>
          <cell r="I712" t="str">
            <v>6450 - Bank &amp; Other Fees</v>
          </cell>
          <cell r="J712" t="str">
            <v>Ecommerce (US)</v>
          </cell>
          <cell r="K712" t="str">
            <v>Ecommerce</v>
          </cell>
          <cell r="L712" t="str">
            <v>Professional Service</v>
          </cell>
          <cell r="N712" t="str">
            <v>Direct Costs</v>
          </cell>
          <cell r="O712" t="str">
            <v>[No Vendor]</v>
          </cell>
        </row>
        <row r="713">
          <cell r="D713">
            <v>6270.24</v>
          </cell>
          <cell r="H713">
            <v>45323</v>
          </cell>
          <cell r="I713" t="str">
            <v>6450 - Bank &amp; Other Fees</v>
          </cell>
          <cell r="J713" t="str">
            <v>Ecommerce (US)</v>
          </cell>
          <cell r="K713" t="str">
            <v>Ecommerce</v>
          </cell>
          <cell r="L713" t="str">
            <v>Professional Service</v>
          </cell>
          <cell r="N713" t="str">
            <v>Direct Costs</v>
          </cell>
          <cell r="O713" t="str">
            <v>[No Vendor]</v>
          </cell>
        </row>
        <row r="714">
          <cell r="D714">
            <v>0.23</v>
          </cell>
          <cell r="H714">
            <v>45323</v>
          </cell>
          <cell r="I714" t="str">
            <v>6450 - Bank &amp; Other Fees</v>
          </cell>
          <cell r="J714" t="str">
            <v>Ecommerce (US)</v>
          </cell>
          <cell r="K714" t="str">
            <v>Ecommerce</v>
          </cell>
          <cell r="L714" t="str">
            <v>Professional Service</v>
          </cell>
          <cell r="N714" t="str">
            <v>Direct Costs</v>
          </cell>
          <cell r="O714" t="str">
            <v>[No Vendor]</v>
          </cell>
        </row>
        <row r="715">
          <cell r="D715">
            <v>2203.94</v>
          </cell>
          <cell r="H715">
            <v>45323</v>
          </cell>
          <cell r="I715" t="str">
            <v>6450 - Bank &amp; Other Fees</v>
          </cell>
          <cell r="J715" t="str">
            <v>Ecommerce (EU)</v>
          </cell>
          <cell r="K715" t="str">
            <v>Ecommerce</v>
          </cell>
          <cell r="L715" t="str">
            <v>Professional Service</v>
          </cell>
          <cell r="N715" t="str">
            <v>Direct Costs</v>
          </cell>
          <cell r="O715" t="str">
            <v>[No Vendor]</v>
          </cell>
        </row>
        <row r="716">
          <cell r="D716">
            <v>93.28</v>
          </cell>
          <cell r="H716">
            <v>45323</v>
          </cell>
          <cell r="I716" t="str">
            <v>6450 - Bank &amp; Other Fees</v>
          </cell>
          <cell r="J716" t="str">
            <v>Ecommerce (US)</v>
          </cell>
          <cell r="K716" t="str">
            <v>Ecommerce</v>
          </cell>
          <cell r="L716" t="str">
            <v>Professional Service</v>
          </cell>
          <cell r="N716" t="str">
            <v>Direct Costs</v>
          </cell>
          <cell r="O716" t="str">
            <v>[No Vendor]</v>
          </cell>
        </row>
        <row r="717">
          <cell r="D717">
            <v>28427.34</v>
          </cell>
          <cell r="H717">
            <v>45323</v>
          </cell>
          <cell r="I717" t="str">
            <v>6450 - Bank &amp; Other Fees</v>
          </cell>
          <cell r="J717" t="str">
            <v>Ecommerce (US)</v>
          </cell>
          <cell r="K717" t="str">
            <v>Ecommerce</v>
          </cell>
          <cell r="L717" t="str">
            <v>Professional Service</v>
          </cell>
          <cell r="N717" t="str">
            <v>Direct Costs</v>
          </cell>
          <cell r="O717" t="str">
            <v>Shopify</v>
          </cell>
        </row>
        <row r="718">
          <cell r="D718">
            <v>0.16</v>
          </cell>
          <cell r="H718">
            <v>45323</v>
          </cell>
          <cell r="I718" t="str">
            <v>6450 - Bank &amp; Other Fees</v>
          </cell>
          <cell r="J718" t="str">
            <v>Ecommerce (EU)</v>
          </cell>
          <cell r="K718" t="str">
            <v>Ecommerce</v>
          </cell>
          <cell r="L718" t="str">
            <v>Professional Service</v>
          </cell>
          <cell r="N718" t="str">
            <v>Direct Costs</v>
          </cell>
          <cell r="O718" t="str">
            <v>[No Vendor]</v>
          </cell>
        </row>
        <row r="719">
          <cell r="D719">
            <v>947.78</v>
          </cell>
          <cell r="H719">
            <v>45323</v>
          </cell>
          <cell r="I719" t="str">
            <v>6385 - Insurance</v>
          </cell>
          <cell r="J719">
            <v>0</v>
          </cell>
          <cell r="K719" t="str">
            <v>Administration</v>
          </cell>
          <cell r="L719" t="str">
            <v>Professional Service</v>
          </cell>
          <cell r="N719" t="str">
            <v>SG&amp;A</v>
          </cell>
          <cell r="O719" t="str">
            <v>[No Vendor]</v>
          </cell>
        </row>
        <row r="720">
          <cell r="D720">
            <v>-17.87</v>
          </cell>
          <cell r="H720">
            <v>45323</v>
          </cell>
          <cell r="I720" t="str">
            <v>6385 - Insurance</v>
          </cell>
          <cell r="J720">
            <v>0</v>
          </cell>
          <cell r="K720" t="str">
            <v>Administration</v>
          </cell>
          <cell r="L720" t="str">
            <v>Professional Service</v>
          </cell>
          <cell r="N720" t="str">
            <v>SG&amp;A</v>
          </cell>
          <cell r="O720" t="str">
            <v>[No Vendor]</v>
          </cell>
        </row>
        <row r="721">
          <cell r="D721">
            <v>-33.159999999999997</v>
          </cell>
          <cell r="H721">
            <v>45323</v>
          </cell>
          <cell r="I721" t="str">
            <v>6385 - Insurance</v>
          </cell>
          <cell r="J721">
            <v>0</v>
          </cell>
          <cell r="K721" t="str">
            <v>Administration</v>
          </cell>
          <cell r="L721" t="str">
            <v>Professional Service</v>
          </cell>
          <cell r="N721" t="str">
            <v>SG&amp;A</v>
          </cell>
          <cell r="O721" t="str">
            <v>[No Vendor]</v>
          </cell>
        </row>
        <row r="722">
          <cell r="D722">
            <v>-69.44</v>
          </cell>
          <cell r="H722">
            <v>45323</v>
          </cell>
          <cell r="I722" t="str">
            <v>6385 - Insurance</v>
          </cell>
          <cell r="J722">
            <v>0</v>
          </cell>
          <cell r="K722" t="str">
            <v>Administration</v>
          </cell>
          <cell r="L722" t="str">
            <v>Professional Service</v>
          </cell>
          <cell r="N722" t="str">
            <v>SG&amp;A</v>
          </cell>
          <cell r="O722" t="str">
            <v>[No Vendor]</v>
          </cell>
        </row>
        <row r="723">
          <cell r="D723">
            <v>-18.309999999999999</v>
          </cell>
          <cell r="H723">
            <v>45323</v>
          </cell>
          <cell r="I723" t="str">
            <v>6385 - Insurance</v>
          </cell>
          <cell r="J723">
            <v>0</v>
          </cell>
          <cell r="K723" t="str">
            <v>Administration</v>
          </cell>
          <cell r="L723" t="str">
            <v>Professional Service</v>
          </cell>
          <cell r="N723" t="str">
            <v>SG&amp;A</v>
          </cell>
          <cell r="O723" t="str">
            <v>[No Vendor]</v>
          </cell>
        </row>
        <row r="724">
          <cell r="D724">
            <v>-33.22</v>
          </cell>
          <cell r="H724">
            <v>45323</v>
          </cell>
          <cell r="I724" t="str">
            <v>6385 - Insurance</v>
          </cell>
          <cell r="J724">
            <v>0</v>
          </cell>
          <cell r="K724" t="str">
            <v>Administration</v>
          </cell>
          <cell r="L724" t="str">
            <v>Professional Service</v>
          </cell>
          <cell r="N724" t="str">
            <v>SG&amp;A</v>
          </cell>
          <cell r="O724" t="str">
            <v>[No Vendor]</v>
          </cell>
        </row>
        <row r="725">
          <cell r="D725">
            <v>-60.29</v>
          </cell>
          <cell r="H725">
            <v>45323</v>
          </cell>
          <cell r="I725" t="str">
            <v>6385 - Insurance</v>
          </cell>
          <cell r="J725">
            <v>0</v>
          </cell>
          <cell r="K725" t="str">
            <v>Administration</v>
          </cell>
          <cell r="L725" t="str">
            <v>Professional Service</v>
          </cell>
          <cell r="N725" t="str">
            <v>SG&amp;A</v>
          </cell>
          <cell r="O725" t="str">
            <v>[No Vendor]</v>
          </cell>
        </row>
        <row r="726">
          <cell r="D726">
            <v>-26.02</v>
          </cell>
          <cell r="H726">
            <v>45323</v>
          </cell>
          <cell r="I726" t="str">
            <v>6385 - Insurance</v>
          </cell>
          <cell r="J726">
            <v>0</v>
          </cell>
          <cell r="K726" t="str">
            <v>Administration</v>
          </cell>
          <cell r="L726" t="str">
            <v>Professional Service</v>
          </cell>
          <cell r="N726" t="str">
            <v>SG&amp;A</v>
          </cell>
          <cell r="O726" t="str">
            <v>[No Vendor]</v>
          </cell>
        </row>
        <row r="727">
          <cell r="D727">
            <v>630.4</v>
          </cell>
          <cell r="H727">
            <v>45323</v>
          </cell>
          <cell r="I727" t="str">
            <v>6400 - Utilities</v>
          </cell>
          <cell r="J727">
            <v>0</v>
          </cell>
          <cell r="K727" t="str">
            <v>Administration</v>
          </cell>
          <cell r="L727" t="str">
            <v>Other</v>
          </cell>
          <cell r="N727" t="str">
            <v>SG&amp;A</v>
          </cell>
          <cell r="O727" t="str">
            <v>[No Vendor]</v>
          </cell>
        </row>
        <row r="728">
          <cell r="D728">
            <v>17.45</v>
          </cell>
          <cell r="H728">
            <v>45323</v>
          </cell>
          <cell r="I728" t="str">
            <v>7060 - Information Technology &amp; Software</v>
          </cell>
          <cell r="J728" t="str">
            <v>Wholesale</v>
          </cell>
          <cell r="K728" t="str">
            <v>Wholesale</v>
          </cell>
          <cell r="L728" t="str">
            <v>Depreciation &amp; Amortization</v>
          </cell>
          <cell r="N728" t="str">
            <v>SG&amp;A</v>
          </cell>
          <cell r="O728" t="str">
            <v>[No Vendor]</v>
          </cell>
        </row>
        <row r="729">
          <cell r="D729">
            <v>83.41</v>
          </cell>
          <cell r="H729">
            <v>45323</v>
          </cell>
          <cell r="I729" t="str">
            <v>7060 - Information Technology &amp; Software</v>
          </cell>
          <cell r="J729" t="str">
            <v>Ecommerce (US)</v>
          </cell>
          <cell r="K729" t="str">
            <v>Ecommerce</v>
          </cell>
          <cell r="L729" t="str">
            <v>Depreciation &amp; Amortization</v>
          </cell>
          <cell r="N729" t="str">
            <v>SG&amp;A</v>
          </cell>
          <cell r="O729" t="str">
            <v>[No Vendor]</v>
          </cell>
        </row>
        <row r="730">
          <cell r="D730">
            <v>146.06</v>
          </cell>
          <cell r="H730">
            <v>45323</v>
          </cell>
          <cell r="I730" t="str">
            <v>7060 - Information Technology &amp; Software</v>
          </cell>
          <cell r="J730">
            <v>0</v>
          </cell>
          <cell r="K730" t="str">
            <v>Production</v>
          </cell>
          <cell r="L730" t="str">
            <v>Depreciation &amp; Amortization</v>
          </cell>
          <cell r="N730" t="str">
            <v>SG&amp;A</v>
          </cell>
          <cell r="O730" t="str">
            <v>[No Vendor]</v>
          </cell>
        </row>
        <row r="731">
          <cell r="D731">
            <v>179.49</v>
          </cell>
          <cell r="H731">
            <v>45323</v>
          </cell>
          <cell r="I731" t="str">
            <v>7060 - Information Technology &amp; Software</v>
          </cell>
          <cell r="J731">
            <v>0</v>
          </cell>
          <cell r="K731" t="str">
            <v>Design</v>
          </cell>
          <cell r="L731" t="str">
            <v>Depreciation &amp; Amortization</v>
          </cell>
          <cell r="N731" t="str">
            <v>SG&amp;A</v>
          </cell>
          <cell r="O731" t="str">
            <v>[No Vendor]</v>
          </cell>
        </row>
        <row r="732">
          <cell r="D732">
            <v>65.48</v>
          </cell>
          <cell r="H732">
            <v>45323</v>
          </cell>
          <cell r="I732" t="str">
            <v>7060 - Information Technology &amp; Software</v>
          </cell>
          <cell r="J732">
            <v>0</v>
          </cell>
          <cell r="K732" t="str">
            <v>Merchandising</v>
          </cell>
          <cell r="L732" t="str">
            <v>Depreciation &amp; Amortization</v>
          </cell>
          <cell r="N732" t="str">
            <v>SG&amp;A</v>
          </cell>
          <cell r="O732" t="str">
            <v>[No Vendor]</v>
          </cell>
        </row>
        <row r="733">
          <cell r="D733">
            <v>166.9</v>
          </cell>
          <cell r="H733">
            <v>45323</v>
          </cell>
          <cell r="I733" t="str">
            <v>7060 - Information Technology &amp; Software</v>
          </cell>
          <cell r="J733">
            <v>0</v>
          </cell>
          <cell r="K733" t="str">
            <v>Brand Marketing</v>
          </cell>
          <cell r="L733" t="str">
            <v>Depreciation &amp; Amortization</v>
          </cell>
          <cell r="N733" t="str">
            <v>SG&amp;A</v>
          </cell>
          <cell r="O733" t="str">
            <v>[No Vendor]</v>
          </cell>
        </row>
        <row r="734">
          <cell r="D734">
            <v>769.02</v>
          </cell>
          <cell r="H734">
            <v>45323</v>
          </cell>
          <cell r="I734" t="str">
            <v>7060 - Information Technology &amp; Software</v>
          </cell>
          <cell r="J734">
            <v>0</v>
          </cell>
          <cell r="K734" t="str">
            <v>Administration</v>
          </cell>
          <cell r="L734" t="str">
            <v>Depreciation &amp; Amortization</v>
          </cell>
          <cell r="N734" t="str">
            <v>SG&amp;A</v>
          </cell>
          <cell r="O734" t="str">
            <v>[No Vendor]</v>
          </cell>
        </row>
        <row r="735">
          <cell r="D735">
            <v>0</v>
          </cell>
          <cell r="H735">
            <v>45323</v>
          </cell>
          <cell r="I735" t="str">
            <v>7040 - Furniture &amp; Fixtures</v>
          </cell>
          <cell r="J735">
            <v>0</v>
          </cell>
          <cell r="K735" t="str">
            <v>Brand Marketing</v>
          </cell>
          <cell r="L735" t="str">
            <v>Depreciation &amp; Amortization</v>
          </cell>
          <cell r="N735" t="str">
            <v>SG&amp;A</v>
          </cell>
          <cell r="O735" t="str">
            <v>[No Vendor]</v>
          </cell>
        </row>
        <row r="736">
          <cell r="D736">
            <v>267.04000000000002</v>
          </cell>
          <cell r="H736">
            <v>45323</v>
          </cell>
          <cell r="I736" t="str">
            <v>7040 - Furniture &amp; Fixtures</v>
          </cell>
          <cell r="J736">
            <v>0</v>
          </cell>
          <cell r="K736" t="str">
            <v>Administration</v>
          </cell>
          <cell r="L736" t="str">
            <v>Depreciation &amp; Amortization</v>
          </cell>
          <cell r="N736" t="str">
            <v>SG&amp;A</v>
          </cell>
          <cell r="O736" t="str">
            <v>[No Vendor]</v>
          </cell>
        </row>
        <row r="737">
          <cell r="D737">
            <v>576</v>
          </cell>
          <cell r="H737">
            <v>45323</v>
          </cell>
          <cell r="I737" t="str">
            <v>6055 - Employer Social Security Tax Withheld</v>
          </cell>
          <cell r="J737">
            <v>0</v>
          </cell>
          <cell r="K737" t="str">
            <v>Merchandising</v>
          </cell>
          <cell r="L737" t="str">
            <v>HQ Salaries</v>
          </cell>
          <cell r="N737" t="str">
            <v>SG&amp;A</v>
          </cell>
          <cell r="O737" t="str">
            <v>[No Vendor]</v>
          </cell>
        </row>
        <row r="738">
          <cell r="D738">
            <v>972.77</v>
          </cell>
          <cell r="H738">
            <v>45323</v>
          </cell>
          <cell r="I738" t="str">
            <v>6055 - Employer Social Security Tax Withheld</v>
          </cell>
          <cell r="J738" t="str">
            <v>Wholesale</v>
          </cell>
          <cell r="K738" t="str">
            <v>Wholesale</v>
          </cell>
          <cell r="L738" t="str">
            <v>HQ Salaries</v>
          </cell>
          <cell r="N738" t="str">
            <v>SG&amp;A</v>
          </cell>
          <cell r="O738" t="str">
            <v>[No Vendor]</v>
          </cell>
        </row>
        <row r="739">
          <cell r="D739">
            <v>1831.6</v>
          </cell>
          <cell r="H739">
            <v>45323</v>
          </cell>
          <cell r="I739" t="str">
            <v>6055 - Employer Social Security Tax Withheld</v>
          </cell>
          <cell r="J739">
            <v>0</v>
          </cell>
          <cell r="K739" t="str">
            <v>Production</v>
          </cell>
          <cell r="L739" t="str">
            <v>HQ Salaries</v>
          </cell>
          <cell r="N739" t="str">
            <v>SG&amp;A</v>
          </cell>
          <cell r="O739" t="str">
            <v>[No Vendor]</v>
          </cell>
        </row>
        <row r="740">
          <cell r="D740">
            <v>635.63</v>
          </cell>
          <cell r="H740">
            <v>45323</v>
          </cell>
          <cell r="I740" t="str">
            <v>6055 - Employer Social Security Tax Withheld</v>
          </cell>
          <cell r="J740">
            <v>0</v>
          </cell>
          <cell r="K740" t="str">
            <v>Brand Marketing</v>
          </cell>
          <cell r="L740" t="str">
            <v>HQ Salaries</v>
          </cell>
          <cell r="N740" t="str">
            <v>SG&amp;A</v>
          </cell>
          <cell r="O740" t="str">
            <v>[No Vendor]</v>
          </cell>
        </row>
        <row r="741">
          <cell r="D741">
            <v>1894.35</v>
          </cell>
          <cell r="H741">
            <v>45323</v>
          </cell>
          <cell r="I741" t="str">
            <v>6055 - Employer Social Security Tax Withheld</v>
          </cell>
          <cell r="J741" t="str">
            <v>Ecommerce (US)</v>
          </cell>
          <cell r="K741" t="str">
            <v>Ecommerce</v>
          </cell>
          <cell r="L741" t="str">
            <v>HQ Salaries</v>
          </cell>
          <cell r="N741" t="str">
            <v>SG&amp;A</v>
          </cell>
          <cell r="O741" t="str">
            <v>[No Vendor]</v>
          </cell>
        </row>
        <row r="742">
          <cell r="D742">
            <v>1680.09</v>
          </cell>
          <cell r="H742">
            <v>45323</v>
          </cell>
          <cell r="I742" t="str">
            <v>6055 - Employer Social Security Tax Withheld</v>
          </cell>
          <cell r="J742">
            <v>0</v>
          </cell>
          <cell r="K742" t="str">
            <v>Design</v>
          </cell>
          <cell r="L742" t="str">
            <v>HQ Salaries</v>
          </cell>
          <cell r="N742" t="str">
            <v>SG&amp;A</v>
          </cell>
          <cell r="O742" t="str">
            <v>[No Vendor]</v>
          </cell>
        </row>
        <row r="743">
          <cell r="D743">
            <v>2052.92</v>
          </cell>
          <cell r="H743">
            <v>45323</v>
          </cell>
          <cell r="I743" t="str">
            <v>6055 - Employer Social Security Tax Withheld</v>
          </cell>
          <cell r="J743">
            <v>0</v>
          </cell>
          <cell r="K743" t="str">
            <v>Administration</v>
          </cell>
          <cell r="L743" t="str">
            <v>HQ Salaries</v>
          </cell>
          <cell r="N743" t="str">
            <v>SG&amp;A</v>
          </cell>
          <cell r="O743" t="str">
            <v>[No Vendor]</v>
          </cell>
        </row>
        <row r="744">
          <cell r="D744">
            <v>349220.67</v>
          </cell>
          <cell r="H744">
            <v>45323</v>
          </cell>
          <cell r="I744" t="str">
            <v>5000 - Cost of Goods Sold</v>
          </cell>
          <cell r="J744" t="str">
            <v>Ecommerce (US)</v>
          </cell>
          <cell r="K744" t="str">
            <v>Ecommerce</v>
          </cell>
          <cell r="L744" t="str">
            <v>COGS</v>
          </cell>
          <cell r="N744" t="str">
            <v>COGS</v>
          </cell>
          <cell r="O744" t="str">
            <v>[No Vendor]</v>
          </cell>
        </row>
        <row r="745">
          <cell r="D745">
            <v>32349.33</v>
          </cell>
          <cell r="H745">
            <v>45323</v>
          </cell>
          <cell r="I745" t="str">
            <v>5000 - Cost of Goods Sold</v>
          </cell>
          <cell r="J745" t="str">
            <v>Ecommerce (EU)</v>
          </cell>
          <cell r="K745" t="str">
            <v>Ecommerce</v>
          </cell>
          <cell r="L745" t="str">
            <v>COGS</v>
          </cell>
          <cell r="N745" t="str">
            <v>COGS</v>
          </cell>
          <cell r="O745" t="str">
            <v>[No Vendor]</v>
          </cell>
        </row>
        <row r="746">
          <cell r="D746">
            <v>10409.950000000001</v>
          </cell>
          <cell r="H746">
            <v>45323</v>
          </cell>
          <cell r="I746" t="str">
            <v>5000 - Cost of Goods Sold</v>
          </cell>
          <cell r="J746" t="str">
            <v>Ecommerce (US)</v>
          </cell>
          <cell r="K746" t="str">
            <v>Ecommerce</v>
          </cell>
          <cell r="L746" t="str">
            <v>COGS</v>
          </cell>
          <cell r="N746" t="str">
            <v>COGS</v>
          </cell>
          <cell r="O746" t="str">
            <v>[No Vendor]</v>
          </cell>
        </row>
        <row r="747">
          <cell r="D747">
            <v>-4970.8900000000003</v>
          </cell>
          <cell r="H747">
            <v>45323</v>
          </cell>
          <cell r="I747" t="str">
            <v>5000 - Cost of Goods Sold</v>
          </cell>
          <cell r="J747" t="str">
            <v>Wholesale</v>
          </cell>
          <cell r="K747" t="str">
            <v>Wholesale</v>
          </cell>
          <cell r="L747" t="str">
            <v>COGS</v>
          </cell>
          <cell r="N747" t="str">
            <v>COGS</v>
          </cell>
          <cell r="O747" t="str">
            <v>[No Vendor]</v>
          </cell>
        </row>
        <row r="748">
          <cell r="D748">
            <v>131897.74</v>
          </cell>
          <cell r="H748">
            <v>45323</v>
          </cell>
          <cell r="I748" t="str">
            <v>5000 - Cost of Goods Sold</v>
          </cell>
          <cell r="J748" t="str">
            <v>Wholesale</v>
          </cell>
          <cell r="K748" t="str">
            <v>Wholesale</v>
          </cell>
          <cell r="L748" t="str">
            <v>COGS</v>
          </cell>
          <cell r="N748" t="str">
            <v>COGS</v>
          </cell>
          <cell r="O748" t="str">
            <v>[No Vendor]</v>
          </cell>
        </row>
        <row r="749">
          <cell r="D749">
            <v>-40493.9</v>
          </cell>
          <cell r="H749">
            <v>45323</v>
          </cell>
          <cell r="I749" t="str">
            <v>4070 - Sales - Other</v>
          </cell>
          <cell r="J749" t="str">
            <v>Wholesale</v>
          </cell>
          <cell r="K749" t="str">
            <v>Wholesale</v>
          </cell>
          <cell r="L749" t="str">
            <v>Other Income</v>
          </cell>
          <cell r="N749" t="str">
            <v>Revenue</v>
          </cell>
          <cell r="O749" t="str">
            <v>[No Vendor]</v>
          </cell>
        </row>
        <row r="750">
          <cell r="D750">
            <v>-136.4</v>
          </cell>
          <cell r="H750">
            <v>45323</v>
          </cell>
          <cell r="I750" t="str">
            <v>8000 - Interest Income</v>
          </cell>
          <cell r="J750">
            <v>0</v>
          </cell>
          <cell r="K750" t="str">
            <v>Administration</v>
          </cell>
          <cell r="L750" t="str">
            <v>Other Income (BTL)</v>
          </cell>
          <cell r="N750" t="str">
            <v>BTL</v>
          </cell>
          <cell r="O750" t="str">
            <v>[No Vendor]</v>
          </cell>
        </row>
        <row r="751">
          <cell r="D751">
            <v>14253.7</v>
          </cell>
          <cell r="H751">
            <v>45323</v>
          </cell>
          <cell r="I751" t="str">
            <v>6487 - Interest Expense</v>
          </cell>
          <cell r="J751">
            <v>0</v>
          </cell>
          <cell r="K751" t="str">
            <v>Administration</v>
          </cell>
          <cell r="L751" t="str">
            <v>Interest</v>
          </cell>
          <cell r="N751" t="str">
            <v>BTL</v>
          </cell>
          <cell r="O751" t="str">
            <v>[No Vendor]</v>
          </cell>
        </row>
        <row r="752">
          <cell r="D752">
            <v>5482.19</v>
          </cell>
          <cell r="H752">
            <v>45323</v>
          </cell>
          <cell r="I752" t="str">
            <v>6487 - Interest Expense</v>
          </cell>
          <cell r="J752">
            <v>0</v>
          </cell>
          <cell r="K752" t="str">
            <v>Administration</v>
          </cell>
          <cell r="L752" t="str">
            <v>Interest</v>
          </cell>
          <cell r="N752" t="str">
            <v>BTL</v>
          </cell>
          <cell r="O752" t="str">
            <v>[No Vendor]</v>
          </cell>
        </row>
        <row r="753">
          <cell r="D753">
            <v>4020.27</v>
          </cell>
          <cell r="H753">
            <v>45323</v>
          </cell>
          <cell r="I753" t="str">
            <v>6487 - Interest Expense</v>
          </cell>
          <cell r="J753">
            <v>0</v>
          </cell>
          <cell r="K753" t="str">
            <v>Administration</v>
          </cell>
          <cell r="L753" t="str">
            <v>Interest</v>
          </cell>
          <cell r="N753" t="str">
            <v>BTL</v>
          </cell>
          <cell r="O753" t="str">
            <v>[No Vendor]</v>
          </cell>
        </row>
        <row r="754">
          <cell r="D754">
            <v>787.5</v>
          </cell>
          <cell r="H754">
            <v>45323</v>
          </cell>
          <cell r="I754" t="str">
            <v>6225 - Professional Services</v>
          </cell>
          <cell r="J754">
            <v>0</v>
          </cell>
          <cell r="K754" t="str">
            <v>Administration</v>
          </cell>
          <cell r="L754" t="str">
            <v>Professional Service</v>
          </cell>
          <cell r="N754" t="str">
            <v>Direct Costs</v>
          </cell>
          <cell r="O754" t="str">
            <v>[No Vendor]</v>
          </cell>
        </row>
        <row r="755">
          <cell r="D755">
            <v>181.8</v>
          </cell>
          <cell r="H755">
            <v>45323</v>
          </cell>
          <cell r="I755" t="str">
            <v>6125 - Transportation and Fuel</v>
          </cell>
          <cell r="J755" t="str">
            <v>Wholesale</v>
          </cell>
          <cell r="K755" t="str">
            <v>Wholesale</v>
          </cell>
          <cell r="L755" t="str">
            <v>T&amp;E</v>
          </cell>
          <cell r="N755" t="str">
            <v>SG&amp;A</v>
          </cell>
          <cell r="O755" t="str">
            <v>[No Vendor]</v>
          </cell>
        </row>
        <row r="756">
          <cell r="D756">
            <v>214.72</v>
          </cell>
          <cell r="H756">
            <v>45323</v>
          </cell>
          <cell r="I756" t="str">
            <v>6125 - Transportation and Fuel</v>
          </cell>
          <cell r="J756">
            <v>0</v>
          </cell>
          <cell r="K756" t="str">
            <v>Production</v>
          </cell>
          <cell r="L756" t="str">
            <v>T&amp;E</v>
          </cell>
          <cell r="N756" t="str">
            <v>SG&amp;A</v>
          </cell>
          <cell r="O756" t="str">
            <v>[No Vendor]</v>
          </cell>
        </row>
        <row r="757">
          <cell r="D757">
            <v>30.26</v>
          </cell>
          <cell r="H757">
            <v>45323</v>
          </cell>
          <cell r="I757" t="str">
            <v>6125 - Transportation and Fuel</v>
          </cell>
          <cell r="J757">
            <v>0</v>
          </cell>
          <cell r="K757" t="str">
            <v>Administration</v>
          </cell>
          <cell r="L757" t="str">
            <v>T&amp;E</v>
          </cell>
          <cell r="N757" t="str">
            <v>SG&amp;A</v>
          </cell>
          <cell r="O757" t="str">
            <v>[No Vendor]</v>
          </cell>
        </row>
        <row r="758">
          <cell r="D758">
            <v>556.20000000000005</v>
          </cell>
          <cell r="H758">
            <v>45323</v>
          </cell>
          <cell r="I758" t="str">
            <v>6115 - Airfare</v>
          </cell>
          <cell r="J758" t="str">
            <v>Wholesale</v>
          </cell>
          <cell r="K758" t="str">
            <v>Wholesale</v>
          </cell>
          <cell r="L758" t="str">
            <v>T&amp;E</v>
          </cell>
          <cell r="N758" t="str">
            <v>SG&amp;A</v>
          </cell>
          <cell r="O758" t="str">
            <v>[No Vendor]</v>
          </cell>
        </row>
        <row r="759">
          <cell r="D759">
            <v>10</v>
          </cell>
          <cell r="H759">
            <v>45323</v>
          </cell>
          <cell r="I759" t="str">
            <v>6115 - Airfare</v>
          </cell>
          <cell r="J759">
            <v>0</v>
          </cell>
          <cell r="K759" t="str">
            <v>Production</v>
          </cell>
          <cell r="L759" t="str">
            <v>T&amp;E</v>
          </cell>
          <cell r="N759" t="str">
            <v>SG&amp;A</v>
          </cell>
          <cell r="O759" t="str">
            <v>[No Vendor]</v>
          </cell>
        </row>
        <row r="760">
          <cell r="D760">
            <v>286.2</v>
          </cell>
          <cell r="H760">
            <v>45323</v>
          </cell>
          <cell r="I760" t="str">
            <v>6115 - Airfare</v>
          </cell>
          <cell r="J760" t="str">
            <v>Ecommerce (US)</v>
          </cell>
          <cell r="K760" t="str">
            <v>Ecommerce</v>
          </cell>
          <cell r="L760" t="str">
            <v>T&amp;E</v>
          </cell>
          <cell r="N760" t="str">
            <v>SG&amp;A</v>
          </cell>
          <cell r="O760" t="str">
            <v>[No Vendor]</v>
          </cell>
        </row>
        <row r="761">
          <cell r="D761">
            <v>-82.62</v>
          </cell>
          <cell r="H761">
            <v>45323</v>
          </cell>
          <cell r="I761" t="str">
            <v>6105 - Meals</v>
          </cell>
          <cell r="J761">
            <v>0</v>
          </cell>
          <cell r="K761" t="str">
            <v>Production</v>
          </cell>
          <cell r="L761" t="str">
            <v>T&amp;E</v>
          </cell>
          <cell r="N761" t="str">
            <v>SG&amp;A</v>
          </cell>
          <cell r="O761" t="str">
            <v>[No Vendor]</v>
          </cell>
        </row>
        <row r="762">
          <cell r="D762">
            <v>513.26</v>
          </cell>
          <cell r="H762">
            <v>45323</v>
          </cell>
          <cell r="I762" t="str">
            <v>6105 - Meals</v>
          </cell>
          <cell r="J762" t="str">
            <v>Wholesale</v>
          </cell>
          <cell r="K762" t="str">
            <v>Wholesale</v>
          </cell>
          <cell r="L762" t="str">
            <v>T&amp;E</v>
          </cell>
          <cell r="N762" t="str">
            <v>SG&amp;A</v>
          </cell>
          <cell r="O762" t="str">
            <v>[No Vendor]</v>
          </cell>
        </row>
        <row r="763">
          <cell r="D763">
            <v>206.21</v>
          </cell>
          <cell r="H763">
            <v>45323</v>
          </cell>
          <cell r="I763" t="str">
            <v>6105 - Meals</v>
          </cell>
          <cell r="J763">
            <v>0</v>
          </cell>
          <cell r="K763" t="str">
            <v>Production</v>
          </cell>
          <cell r="L763" t="str">
            <v>T&amp;E</v>
          </cell>
          <cell r="N763" t="str">
            <v>SG&amp;A</v>
          </cell>
          <cell r="O763" t="str">
            <v>[No Vendor]</v>
          </cell>
        </row>
        <row r="764">
          <cell r="D764">
            <v>27.63</v>
          </cell>
          <cell r="H764">
            <v>45323</v>
          </cell>
          <cell r="I764" t="str">
            <v>6105 - Meals</v>
          </cell>
          <cell r="J764">
            <v>0</v>
          </cell>
          <cell r="K764" t="str">
            <v>Brand Marketing</v>
          </cell>
          <cell r="L764" t="str">
            <v>T&amp;E</v>
          </cell>
          <cell r="N764" t="str">
            <v>SG&amp;A</v>
          </cell>
          <cell r="O764" t="str">
            <v>[No Vendor]</v>
          </cell>
        </row>
        <row r="765">
          <cell r="D765">
            <v>2095.92</v>
          </cell>
          <cell r="H765">
            <v>45323</v>
          </cell>
          <cell r="I765" t="str">
            <v>6105 - Meals</v>
          </cell>
          <cell r="J765">
            <v>0</v>
          </cell>
          <cell r="K765" t="str">
            <v>Administration</v>
          </cell>
          <cell r="L765" t="str">
            <v>T&amp;E</v>
          </cell>
          <cell r="N765" t="str">
            <v>SG&amp;A</v>
          </cell>
          <cell r="O765" t="str">
            <v>[No Vendor]</v>
          </cell>
        </row>
        <row r="766">
          <cell r="D766">
            <v>175</v>
          </cell>
          <cell r="H766">
            <v>45323</v>
          </cell>
          <cell r="I766" t="str">
            <v>6420 - Licenses &amp; Membership</v>
          </cell>
          <cell r="J766">
            <v>0</v>
          </cell>
          <cell r="K766" t="str">
            <v>Production</v>
          </cell>
          <cell r="L766" t="str">
            <v>Professional Service</v>
          </cell>
          <cell r="N766" t="str">
            <v>SG&amp;A</v>
          </cell>
          <cell r="O766" t="str">
            <v>[No Vendor]</v>
          </cell>
        </row>
        <row r="767">
          <cell r="D767">
            <v>1905.31</v>
          </cell>
          <cell r="H767">
            <v>45323</v>
          </cell>
          <cell r="I767" t="str">
            <v>6420 - Licenses &amp; Membership</v>
          </cell>
          <cell r="J767">
            <v>0</v>
          </cell>
          <cell r="K767" t="str">
            <v>Administration</v>
          </cell>
          <cell r="L767" t="str">
            <v>Professional Service</v>
          </cell>
          <cell r="N767" t="str">
            <v>SG&amp;A</v>
          </cell>
          <cell r="O767" t="str">
            <v>[No Vendor]</v>
          </cell>
        </row>
        <row r="768">
          <cell r="D768">
            <v>8567.4699999999993</v>
          </cell>
          <cell r="H768">
            <v>45323</v>
          </cell>
          <cell r="I768" t="str">
            <v>6375 - Freight Expenses</v>
          </cell>
          <cell r="J768" t="str">
            <v>Ecommerce (EU)</v>
          </cell>
          <cell r="K768" t="str">
            <v>Ecommerce</v>
          </cell>
          <cell r="L768" t="str">
            <v>Freight</v>
          </cell>
          <cell r="N768" t="str">
            <v>Direct Costs</v>
          </cell>
          <cell r="O768" t="str">
            <v>Global E</v>
          </cell>
        </row>
        <row r="769">
          <cell r="D769">
            <v>-27490.66</v>
          </cell>
          <cell r="H769">
            <v>45323</v>
          </cell>
          <cell r="I769" t="str">
            <v>6375 - Freight Expenses</v>
          </cell>
          <cell r="J769" t="str">
            <v>Ecommerce (EU)</v>
          </cell>
          <cell r="K769" t="str">
            <v>Ecommerce</v>
          </cell>
          <cell r="L769" t="str">
            <v>Freight</v>
          </cell>
          <cell r="N769" t="str">
            <v>Direct Costs</v>
          </cell>
          <cell r="O769" t="str">
            <v>Global E</v>
          </cell>
        </row>
        <row r="770">
          <cell r="D770">
            <v>3250</v>
          </cell>
          <cell r="H770">
            <v>45323</v>
          </cell>
          <cell r="I770" t="str">
            <v>6375 - Freight Expenses</v>
          </cell>
          <cell r="J770" t="str">
            <v>Ecommerce (US)</v>
          </cell>
          <cell r="K770" t="str">
            <v>Ecommerce</v>
          </cell>
          <cell r="L770" t="str">
            <v>Freight</v>
          </cell>
          <cell r="N770" t="str">
            <v>Direct Costs</v>
          </cell>
          <cell r="O770" t="str">
            <v>Easy Post</v>
          </cell>
        </row>
        <row r="771">
          <cell r="D771">
            <v>14.15</v>
          </cell>
          <cell r="H771">
            <v>45323</v>
          </cell>
          <cell r="I771" t="str">
            <v>7030 - Plant Machinery &amp; Equipment</v>
          </cell>
          <cell r="J771">
            <v>0</v>
          </cell>
          <cell r="K771" t="str">
            <v>Administration</v>
          </cell>
          <cell r="L771" t="str">
            <v>Depreciation &amp; Amortization</v>
          </cell>
          <cell r="N771" t="str">
            <v>SG&amp;A</v>
          </cell>
          <cell r="O771" t="str">
            <v>[No Vendor]</v>
          </cell>
        </row>
        <row r="772">
          <cell r="D772">
            <v>0</v>
          </cell>
          <cell r="H772">
            <v>45323</v>
          </cell>
          <cell r="I772" t="str">
            <v>6040 - Employer Paid Benefits</v>
          </cell>
          <cell r="J772">
            <v>0</v>
          </cell>
          <cell r="K772" t="str">
            <v>Merchandising</v>
          </cell>
          <cell r="L772" t="str">
            <v>HQ Salaries</v>
          </cell>
          <cell r="N772" t="str">
            <v>SG&amp;A</v>
          </cell>
          <cell r="O772" t="str">
            <v>[No Vendor]</v>
          </cell>
        </row>
        <row r="773">
          <cell r="D773">
            <v>-18</v>
          </cell>
          <cell r="H773">
            <v>45323</v>
          </cell>
          <cell r="I773" t="str">
            <v>6040 - Employer Paid Benefits</v>
          </cell>
          <cell r="J773" t="str">
            <v>Wholesale</v>
          </cell>
          <cell r="K773" t="str">
            <v>Wholesale</v>
          </cell>
          <cell r="L773" t="str">
            <v>HQ Salaries</v>
          </cell>
          <cell r="N773" t="str">
            <v>SG&amp;A</v>
          </cell>
          <cell r="O773" t="str">
            <v>[No Vendor]</v>
          </cell>
        </row>
        <row r="774">
          <cell r="D774">
            <v>-364.51</v>
          </cell>
          <cell r="H774">
            <v>45323</v>
          </cell>
          <cell r="I774" t="str">
            <v>6040 - Employer Paid Benefits</v>
          </cell>
          <cell r="J774">
            <v>0</v>
          </cell>
          <cell r="K774" t="str">
            <v>Production</v>
          </cell>
          <cell r="L774" t="str">
            <v>HQ Salaries</v>
          </cell>
          <cell r="N774" t="str">
            <v>SG&amp;A</v>
          </cell>
          <cell r="O774" t="str">
            <v>[No Vendor]</v>
          </cell>
        </row>
        <row r="775">
          <cell r="D775">
            <v>-146.86000000000001</v>
          </cell>
          <cell r="H775">
            <v>45323</v>
          </cell>
          <cell r="I775" t="str">
            <v>6040 - Employer Paid Benefits</v>
          </cell>
          <cell r="J775">
            <v>0</v>
          </cell>
          <cell r="K775" t="str">
            <v>Brand Marketing</v>
          </cell>
          <cell r="L775" t="str">
            <v>HQ Salaries</v>
          </cell>
          <cell r="N775" t="str">
            <v>SG&amp;A</v>
          </cell>
          <cell r="O775" t="str">
            <v>[No Vendor]</v>
          </cell>
        </row>
        <row r="776">
          <cell r="D776">
            <v>-128.25</v>
          </cell>
          <cell r="H776">
            <v>45323</v>
          </cell>
          <cell r="I776" t="str">
            <v>6040 - Employer Paid Benefits</v>
          </cell>
          <cell r="J776" t="str">
            <v>Ecommerce (US)</v>
          </cell>
          <cell r="K776" t="str">
            <v>Ecommerce</v>
          </cell>
          <cell r="L776" t="str">
            <v>HQ Salaries</v>
          </cell>
          <cell r="N776" t="str">
            <v>SG&amp;A</v>
          </cell>
          <cell r="O776" t="str">
            <v>[No Vendor]</v>
          </cell>
        </row>
        <row r="777">
          <cell r="D777">
            <v>-164.03</v>
          </cell>
          <cell r="H777">
            <v>45323</v>
          </cell>
          <cell r="I777" t="str">
            <v>6040 - Employer Paid Benefits</v>
          </cell>
          <cell r="J777">
            <v>0</v>
          </cell>
          <cell r="K777" t="str">
            <v>Design</v>
          </cell>
          <cell r="L777" t="str">
            <v>HQ Salaries</v>
          </cell>
          <cell r="N777" t="str">
            <v>SG&amp;A</v>
          </cell>
          <cell r="O777" t="str">
            <v>[No Vendor]</v>
          </cell>
        </row>
        <row r="778">
          <cell r="D778">
            <v>-112.5</v>
          </cell>
          <cell r="H778">
            <v>45323</v>
          </cell>
          <cell r="I778" t="str">
            <v>6040 - Employer Paid Benefits</v>
          </cell>
          <cell r="J778">
            <v>0</v>
          </cell>
          <cell r="K778" t="str">
            <v>Administration</v>
          </cell>
          <cell r="L778" t="str">
            <v>HQ Salaries</v>
          </cell>
          <cell r="N778" t="str">
            <v>SG&amp;A</v>
          </cell>
          <cell r="O778" t="str">
            <v>[No Vendor]</v>
          </cell>
        </row>
        <row r="779">
          <cell r="D779">
            <v>4500</v>
          </cell>
          <cell r="H779">
            <v>45323</v>
          </cell>
          <cell r="I779" t="str">
            <v>6005 - Salaries</v>
          </cell>
          <cell r="J779">
            <v>0</v>
          </cell>
          <cell r="K779" t="str">
            <v>Merchandising</v>
          </cell>
          <cell r="L779" t="str">
            <v>HQ Salaries</v>
          </cell>
          <cell r="N779" t="str">
            <v>SG&amp;A</v>
          </cell>
          <cell r="O779" t="str">
            <v>[No Vendor]</v>
          </cell>
        </row>
        <row r="780">
          <cell r="D780">
            <v>8308.35</v>
          </cell>
          <cell r="H780">
            <v>45323</v>
          </cell>
          <cell r="I780" t="str">
            <v>6005 - Salaries</v>
          </cell>
          <cell r="J780" t="str">
            <v>Wholesale</v>
          </cell>
          <cell r="K780" t="str">
            <v>Wholesale</v>
          </cell>
          <cell r="L780" t="str">
            <v>HQ Salaries</v>
          </cell>
          <cell r="N780" t="str">
            <v>SG&amp;A</v>
          </cell>
          <cell r="O780" t="str">
            <v>[No Vendor]</v>
          </cell>
        </row>
        <row r="781">
          <cell r="D781">
            <v>17460.02</v>
          </cell>
          <cell r="H781">
            <v>45323</v>
          </cell>
          <cell r="I781" t="str">
            <v>6005 - Salaries</v>
          </cell>
          <cell r="J781">
            <v>0</v>
          </cell>
          <cell r="K781" t="str">
            <v>Production</v>
          </cell>
          <cell r="L781" t="str">
            <v>HQ Salaries</v>
          </cell>
          <cell r="N781" t="str">
            <v>SG&amp;A</v>
          </cell>
          <cell r="O781" t="str">
            <v>[No Vendor]</v>
          </cell>
        </row>
        <row r="782">
          <cell r="D782">
            <v>4326.93</v>
          </cell>
          <cell r="H782">
            <v>45323</v>
          </cell>
          <cell r="I782" t="str">
            <v>6005 - Salaries</v>
          </cell>
          <cell r="J782">
            <v>0</v>
          </cell>
          <cell r="K782" t="str">
            <v>Brand Marketing</v>
          </cell>
          <cell r="L782" t="str">
            <v>HQ Salaries</v>
          </cell>
          <cell r="N782" t="str">
            <v>SG&amp;A</v>
          </cell>
          <cell r="O782" t="str">
            <v>[No Vendor]</v>
          </cell>
        </row>
        <row r="783">
          <cell r="D783">
            <v>16691.55</v>
          </cell>
          <cell r="H783">
            <v>45323</v>
          </cell>
          <cell r="I783" t="str">
            <v>6005 - Salaries</v>
          </cell>
          <cell r="J783" t="str">
            <v>Ecommerce (US)</v>
          </cell>
          <cell r="K783" t="str">
            <v>Ecommerce</v>
          </cell>
          <cell r="L783" t="str">
            <v>HQ Salaries</v>
          </cell>
          <cell r="N783" t="str">
            <v>SG&amp;A</v>
          </cell>
          <cell r="O783" t="str">
            <v>[No Vendor]</v>
          </cell>
        </row>
        <row r="784">
          <cell r="D784">
            <v>15005.77</v>
          </cell>
          <cell r="H784">
            <v>45323</v>
          </cell>
          <cell r="I784" t="str">
            <v>6005 - Salaries</v>
          </cell>
          <cell r="J784">
            <v>0</v>
          </cell>
          <cell r="K784" t="str">
            <v>Design</v>
          </cell>
          <cell r="L784" t="str">
            <v>HQ Salaries</v>
          </cell>
          <cell r="N784" t="str">
            <v>SG&amp;A</v>
          </cell>
          <cell r="O784" t="str">
            <v>[No Vendor]</v>
          </cell>
        </row>
        <row r="785">
          <cell r="D785">
            <v>20651.98</v>
          </cell>
          <cell r="H785">
            <v>45323</v>
          </cell>
          <cell r="I785" t="str">
            <v>6005 - Salaries</v>
          </cell>
          <cell r="J785">
            <v>0</v>
          </cell>
          <cell r="K785" t="str">
            <v>Administration</v>
          </cell>
          <cell r="L785" t="str">
            <v>HQ Salaries</v>
          </cell>
          <cell r="N785" t="str">
            <v>SG&amp;A</v>
          </cell>
          <cell r="O785" t="str">
            <v>[No Vendor]</v>
          </cell>
        </row>
        <row r="786">
          <cell r="D786">
            <v>0</v>
          </cell>
          <cell r="H786">
            <v>45323</v>
          </cell>
          <cell r="I786" t="str">
            <v>4020 - Revenue - Marketing Contribution</v>
          </cell>
          <cell r="J786">
            <v>0</v>
          </cell>
          <cell r="K786" t="str">
            <v>Licensing</v>
          </cell>
          <cell r="L786" t="str">
            <v>License</v>
          </cell>
          <cell r="N786" t="str">
            <v>Revenue</v>
          </cell>
          <cell r="O786" t="str">
            <v>[No Vendor]</v>
          </cell>
        </row>
        <row r="787">
          <cell r="D787">
            <v>0</v>
          </cell>
          <cell r="H787">
            <v>45323</v>
          </cell>
          <cell r="I787" t="str">
            <v>4010 - Revenue - Licensing Fees (Royalties)</v>
          </cell>
          <cell r="J787">
            <v>0</v>
          </cell>
          <cell r="K787" t="str">
            <v>Licensing</v>
          </cell>
          <cell r="L787" t="str">
            <v>License</v>
          </cell>
          <cell r="N787" t="str">
            <v>Revenue</v>
          </cell>
          <cell r="O787" t="str">
            <v>[No Vendor]</v>
          </cell>
        </row>
        <row r="788">
          <cell r="D788">
            <v>0</v>
          </cell>
          <cell r="H788">
            <v>45323</v>
          </cell>
          <cell r="I788" t="str">
            <v>4010 - Revenue - Licensing Fees (Royalties)</v>
          </cell>
          <cell r="J788">
            <v>0</v>
          </cell>
          <cell r="K788" t="str">
            <v>Licensing</v>
          </cell>
          <cell r="L788" t="str">
            <v>License</v>
          </cell>
          <cell r="N788" t="str">
            <v>Revenue</v>
          </cell>
          <cell r="O788" t="str">
            <v>[No Vendor]</v>
          </cell>
        </row>
        <row r="789">
          <cell r="D789">
            <v>-15470.7</v>
          </cell>
          <cell r="H789">
            <v>45323</v>
          </cell>
          <cell r="I789" t="str">
            <v>4010 - Revenue - Licensing Fees (Royalties)</v>
          </cell>
          <cell r="J789">
            <v>0</v>
          </cell>
          <cell r="K789" t="str">
            <v>Licensing</v>
          </cell>
          <cell r="L789" t="str">
            <v>License</v>
          </cell>
          <cell r="N789" t="str">
            <v>Revenue</v>
          </cell>
          <cell r="O789" t="str">
            <v>[No Vendor]</v>
          </cell>
        </row>
        <row r="790">
          <cell r="D790">
            <v>0</v>
          </cell>
          <cell r="H790">
            <v>45323</v>
          </cell>
          <cell r="I790" t="str">
            <v>4010 - Revenue - Licensing Fees (Royalties)</v>
          </cell>
          <cell r="J790">
            <v>0</v>
          </cell>
          <cell r="K790" t="str">
            <v>Licensing</v>
          </cell>
          <cell r="L790" t="str">
            <v>License</v>
          </cell>
          <cell r="N790" t="str">
            <v>Revenue</v>
          </cell>
          <cell r="O790" t="str">
            <v>[No Vendor]</v>
          </cell>
        </row>
        <row r="791">
          <cell r="D791">
            <v>-41439.379999999997</v>
          </cell>
          <cell r="H791">
            <v>45323</v>
          </cell>
          <cell r="I791" t="str">
            <v>4010 - Revenue - Licensing Fees (Royalties)</v>
          </cell>
          <cell r="J791">
            <v>0</v>
          </cell>
          <cell r="K791" t="str">
            <v>Licensing</v>
          </cell>
          <cell r="L791" t="str">
            <v>License</v>
          </cell>
          <cell r="N791" t="str">
            <v>Revenue</v>
          </cell>
          <cell r="O791" t="str">
            <v>[No Vendor]</v>
          </cell>
        </row>
        <row r="792">
          <cell r="D792">
            <v>0</v>
          </cell>
          <cell r="H792">
            <v>45323</v>
          </cell>
          <cell r="I792" t="str">
            <v>4010 - Revenue - Licensing Fees (Royalties)</v>
          </cell>
          <cell r="J792">
            <v>0</v>
          </cell>
          <cell r="K792" t="str">
            <v>Licensing</v>
          </cell>
          <cell r="L792" t="str">
            <v>License</v>
          </cell>
          <cell r="N792" t="str">
            <v>Revenue</v>
          </cell>
          <cell r="O792" t="str">
            <v>[No Vendor]</v>
          </cell>
        </row>
        <row r="793">
          <cell r="D793">
            <v>0</v>
          </cell>
          <cell r="H793">
            <v>45323</v>
          </cell>
          <cell r="I793" t="str">
            <v>4010 - Revenue - Licensing Fees (Royalties)</v>
          </cell>
          <cell r="J793">
            <v>0</v>
          </cell>
          <cell r="K793" t="str">
            <v>Licensing</v>
          </cell>
          <cell r="L793" t="str">
            <v>License</v>
          </cell>
          <cell r="N793" t="str">
            <v>Revenue</v>
          </cell>
          <cell r="O793" t="str">
            <v>[No Vendor]</v>
          </cell>
        </row>
        <row r="794">
          <cell r="D794">
            <v>125.91</v>
          </cell>
          <cell r="H794">
            <v>45352</v>
          </cell>
          <cell r="I794" t="str">
            <v>6040 - Employer Paid Benefits</v>
          </cell>
          <cell r="J794">
            <v>0</v>
          </cell>
          <cell r="K794" t="str">
            <v>Administration</v>
          </cell>
          <cell r="L794" t="str">
            <v>HQ Salaries</v>
          </cell>
          <cell r="N794" t="str">
            <v>SG&amp;A</v>
          </cell>
          <cell r="O794" t="str">
            <v>Allied Administrators</v>
          </cell>
        </row>
        <row r="795">
          <cell r="D795">
            <v>600</v>
          </cell>
          <cell r="H795">
            <v>45352</v>
          </cell>
          <cell r="I795" t="str">
            <v>6288 - Model</v>
          </cell>
          <cell r="J795" t="str">
            <v>Ecommerce (US)</v>
          </cell>
          <cell r="K795" t="str">
            <v>Brand Marketing</v>
          </cell>
          <cell r="L795" t="str">
            <v>Advertising</v>
          </cell>
          <cell r="N795" t="str">
            <v>SG&amp;A</v>
          </cell>
          <cell r="O795" t="str">
            <v>State Artist Management</v>
          </cell>
        </row>
        <row r="796">
          <cell r="D796">
            <v>600</v>
          </cell>
          <cell r="H796">
            <v>45352</v>
          </cell>
          <cell r="I796" t="str">
            <v>6288 - Model</v>
          </cell>
          <cell r="J796" t="str">
            <v>Ecommerce (US)</v>
          </cell>
          <cell r="K796" t="str">
            <v>Brand Marketing</v>
          </cell>
          <cell r="L796" t="str">
            <v>Advertising</v>
          </cell>
          <cell r="N796" t="str">
            <v>SG&amp;A</v>
          </cell>
          <cell r="O796" t="str">
            <v>State Artist Management</v>
          </cell>
        </row>
        <row r="797">
          <cell r="D797">
            <v>800</v>
          </cell>
          <cell r="H797">
            <v>45352</v>
          </cell>
          <cell r="I797" t="str">
            <v>6340 - Miscellaneous Expense</v>
          </cell>
          <cell r="J797">
            <v>0</v>
          </cell>
          <cell r="K797" t="str">
            <v>Administration</v>
          </cell>
          <cell r="L797" t="str">
            <v>Other</v>
          </cell>
          <cell r="N797" t="str">
            <v>SG&amp;A</v>
          </cell>
          <cell r="O797" t="str">
            <v>Antelope LLC</v>
          </cell>
        </row>
        <row r="798">
          <cell r="D798">
            <v>6568.42</v>
          </cell>
          <cell r="H798">
            <v>45352</v>
          </cell>
          <cell r="I798" t="str">
            <v>6340 - Miscellaneous Expense</v>
          </cell>
          <cell r="J798">
            <v>0</v>
          </cell>
          <cell r="K798" t="str">
            <v>Administration</v>
          </cell>
          <cell r="L798" t="str">
            <v>Other</v>
          </cell>
          <cell r="N798" t="str">
            <v>SG&amp;A</v>
          </cell>
          <cell r="O798" t="str">
            <v>DM Electronic &amp; Camera</v>
          </cell>
        </row>
        <row r="799">
          <cell r="D799">
            <v>2289.5700000000002</v>
          </cell>
          <cell r="H799">
            <v>45352</v>
          </cell>
          <cell r="I799" t="str">
            <v>6385 - Insurance</v>
          </cell>
          <cell r="J799">
            <v>0</v>
          </cell>
          <cell r="K799" t="str">
            <v>Administration</v>
          </cell>
          <cell r="L799" t="str">
            <v>Professional Service</v>
          </cell>
          <cell r="N799" t="str">
            <v>SG&amp;A</v>
          </cell>
          <cell r="O799" t="str">
            <v>The Hartford</v>
          </cell>
        </row>
        <row r="800">
          <cell r="D800">
            <v>630.4</v>
          </cell>
          <cell r="H800">
            <v>45352</v>
          </cell>
          <cell r="I800" t="str">
            <v>6400 - Utilities</v>
          </cell>
          <cell r="J800">
            <v>0</v>
          </cell>
          <cell r="K800" t="str">
            <v>Administration</v>
          </cell>
          <cell r="L800" t="str">
            <v>Other</v>
          </cell>
          <cell r="N800" t="str">
            <v>SG&amp;A</v>
          </cell>
          <cell r="O800" t="str">
            <v>Antelope LLC</v>
          </cell>
        </row>
        <row r="801">
          <cell r="D801">
            <v>511.67</v>
          </cell>
          <cell r="H801">
            <v>45352</v>
          </cell>
          <cell r="I801" t="str">
            <v>6300 - Payroll Service Fees</v>
          </cell>
          <cell r="J801">
            <v>0</v>
          </cell>
          <cell r="K801" t="str">
            <v>Administration</v>
          </cell>
          <cell r="L801" t="str">
            <v>Professional Service</v>
          </cell>
          <cell r="N801" t="str">
            <v>SG&amp;A</v>
          </cell>
          <cell r="O801" t="str">
            <v>ADP Payroll Services</v>
          </cell>
        </row>
        <row r="802">
          <cell r="D802">
            <v>2500</v>
          </cell>
          <cell r="H802">
            <v>45352</v>
          </cell>
          <cell r="I802" t="str">
            <v>6225 - Professional Services</v>
          </cell>
          <cell r="J802">
            <v>0</v>
          </cell>
          <cell r="K802" t="str">
            <v>Administration</v>
          </cell>
          <cell r="L802" t="str">
            <v>Professional Service</v>
          </cell>
          <cell r="N802" t="str">
            <v>Direct Costs</v>
          </cell>
          <cell r="O802" t="str">
            <v>Procyon Benefits LLC</v>
          </cell>
        </row>
        <row r="803">
          <cell r="D803">
            <v>3924.1</v>
          </cell>
          <cell r="H803">
            <v>45352</v>
          </cell>
          <cell r="I803" t="str">
            <v>6225 - Professional Services</v>
          </cell>
          <cell r="J803">
            <v>0</v>
          </cell>
          <cell r="K803" t="str">
            <v>Administration</v>
          </cell>
          <cell r="L803" t="str">
            <v>Professional Service</v>
          </cell>
          <cell r="N803" t="str">
            <v>Direct Costs</v>
          </cell>
          <cell r="O803" t="str">
            <v>Enom Solutions, Inc-DBA 3nom</v>
          </cell>
        </row>
        <row r="804">
          <cell r="D804">
            <v>85.61</v>
          </cell>
          <cell r="H804">
            <v>45352</v>
          </cell>
          <cell r="I804" t="str">
            <v>6125 - Transportation and Fuel</v>
          </cell>
          <cell r="J804">
            <v>0</v>
          </cell>
          <cell r="K804" t="str">
            <v>Brand Marketing</v>
          </cell>
          <cell r="L804" t="str">
            <v>T&amp;E</v>
          </cell>
          <cell r="N804" t="str">
            <v>SG&amp;A</v>
          </cell>
          <cell r="O804" t="str">
            <v>Kalina Pregnolato</v>
          </cell>
        </row>
        <row r="805">
          <cell r="D805">
            <v>123.41</v>
          </cell>
          <cell r="H805">
            <v>45352</v>
          </cell>
          <cell r="I805" t="str">
            <v>6105 - Meals</v>
          </cell>
          <cell r="J805">
            <v>0</v>
          </cell>
          <cell r="K805" t="str">
            <v>Brand Marketing</v>
          </cell>
          <cell r="L805" t="str">
            <v>T&amp;E</v>
          </cell>
          <cell r="N805" t="str">
            <v>SG&amp;A</v>
          </cell>
          <cell r="O805" t="str">
            <v>Kalina Pregnolato</v>
          </cell>
        </row>
        <row r="806">
          <cell r="D806">
            <v>29236.67</v>
          </cell>
          <cell r="H806">
            <v>45352</v>
          </cell>
          <cell r="I806" t="str">
            <v>6320 - Building Rent</v>
          </cell>
          <cell r="J806">
            <v>0</v>
          </cell>
          <cell r="K806" t="str">
            <v>Administration</v>
          </cell>
          <cell r="L806" t="str">
            <v>Rent</v>
          </cell>
          <cell r="N806" t="str">
            <v>SG&amp;A</v>
          </cell>
          <cell r="O806" t="str">
            <v>Antelope LLC</v>
          </cell>
        </row>
        <row r="807">
          <cell r="D807">
            <v>1633.9</v>
          </cell>
          <cell r="H807">
            <v>45352</v>
          </cell>
          <cell r="I807" t="str">
            <v>6040 - Employer Paid Benefits</v>
          </cell>
          <cell r="J807" t="str">
            <v>Wholesale</v>
          </cell>
          <cell r="K807" t="str">
            <v>Wholesale</v>
          </cell>
          <cell r="L807" t="str">
            <v>HQ Salaries</v>
          </cell>
          <cell r="N807" t="str">
            <v>SG&amp;A</v>
          </cell>
          <cell r="O807" t="str">
            <v>Excellus Health Plan - Group</v>
          </cell>
        </row>
        <row r="808">
          <cell r="D808">
            <v>3839.66</v>
          </cell>
          <cell r="H808">
            <v>45352</v>
          </cell>
          <cell r="I808" t="str">
            <v>6040 - Employer Paid Benefits</v>
          </cell>
          <cell r="J808">
            <v>0</v>
          </cell>
          <cell r="K808" t="str">
            <v>Production</v>
          </cell>
          <cell r="L808" t="str">
            <v>HQ Salaries</v>
          </cell>
          <cell r="N808" t="str">
            <v>SG&amp;A</v>
          </cell>
          <cell r="O808" t="str">
            <v>Excellus Health Plan - Group</v>
          </cell>
        </row>
        <row r="809">
          <cell r="D809">
            <v>3145.25</v>
          </cell>
          <cell r="H809">
            <v>45352</v>
          </cell>
          <cell r="I809" t="str">
            <v>6040 - Employer Paid Benefits</v>
          </cell>
          <cell r="J809">
            <v>0</v>
          </cell>
          <cell r="K809" t="str">
            <v>Merchandising</v>
          </cell>
          <cell r="L809" t="str">
            <v>HQ Salaries</v>
          </cell>
          <cell r="N809" t="str">
            <v>SG&amp;A</v>
          </cell>
          <cell r="O809" t="str">
            <v>Excellus Health Plan - Group</v>
          </cell>
        </row>
        <row r="810">
          <cell r="D810">
            <v>816.95</v>
          </cell>
          <cell r="H810">
            <v>45352</v>
          </cell>
          <cell r="I810" t="str">
            <v>6040 - Employer Paid Benefits</v>
          </cell>
          <cell r="J810">
            <v>0</v>
          </cell>
          <cell r="K810" t="str">
            <v>Brand Marketing</v>
          </cell>
          <cell r="L810" t="str">
            <v>HQ Salaries</v>
          </cell>
          <cell r="N810" t="str">
            <v>SG&amp;A</v>
          </cell>
          <cell r="O810" t="str">
            <v>Excellus Health Plan - Group</v>
          </cell>
        </row>
        <row r="811">
          <cell r="D811">
            <v>2328.3000000000002</v>
          </cell>
          <cell r="H811">
            <v>45352</v>
          </cell>
          <cell r="I811" t="str">
            <v>6040 - Employer Paid Benefits</v>
          </cell>
          <cell r="J811">
            <v>0</v>
          </cell>
          <cell r="K811" t="str">
            <v>Executive</v>
          </cell>
          <cell r="L811" t="str">
            <v>HQ Salaries</v>
          </cell>
          <cell r="N811" t="str">
            <v>SG&amp;A</v>
          </cell>
          <cell r="O811" t="str">
            <v>Excellus Health Plan - Group</v>
          </cell>
        </row>
        <row r="812">
          <cell r="D812">
            <v>3145.25</v>
          </cell>
          <cell r="H812">
            <v>45352</v>
          </cell>
          <cell r="I812" t="str">
            <v>6040 - Employer Paid Benefits</v>
          </cell>
          <cell r="J812" t="str">
            <v>Ecommerce (US)</v>
          </cell>
          <cell r="K812" t="str">
            <v>Ecommerce</v>
          </cell>
          <cell r="L812" t="str">
            <v>HQ Salaries</v>
          </cell>
          <cell r="N812" t="str">
            <v>SG&amp;A</v>
          </cell>
          <cell r="O812" t="str">
            <v>Excellus Health Plan - Group</v>
          </cell>
        </row>
        <row r="813">
          <cell r="D813">
            <v>1727.03</v>
          </cell>
          <cell r="H813">
            <v>45352</v>
          </cell>
          <cell r="I813" t="str">
            <v>6040 - Employer Paid Benefits</v>
          </cell>
          <cell r="J813">
            <v>0</v>
          </cell>
          <cell r="K813" t="str">
            <v>Design</v>
          </cell>
          <cell r="L813" t="str">
            <v>HQ Salaries</v>
          </cell>
          <cell r="N813" t="str">
            <v>SG&amp;A</v>
          </cell>
          <cell r="O813" t="str">
            <v>Excellus Health Plan - Group</v>
          </cell>
        </row>
        <row r="814">
          <cell r="D814">
            <v>2323.86</v>
          </cell>
          <cell r="H814">
            <v>45352</v>
          </cell>
          <cell r="I814" t="str">
            <v>6040 - Employer Paid Benefits</v>
          </cell>
          <cell r="J814">
            <v>0</v>
          </cell>
          <cell r="K814" t="str">
            <v>Administration</v>
          </cell>
          <cell r="L814" t="str">
            <v>HQ Salaries</v>
          </cell>
          <cell r="N814" t="str">
            <v>SG&amp;A</v>
          </cell>
          <cell r="O814" t="str">
            <v>Excellus Health Plan - Group</v>
          </cell>
        </row>
        <row r="815">
          <cell r="D815">
            <v>93.15</v>
          </cell>
          <cell r="H815">
            <v>45352</v>
          </cell>
          <cell r="I815" t="str">
            <v>6040 - Employer Paid Benefits</v>
          </cell>
          <cell r="J815" t="str">
            <v>Wholesale</v>
          </cell>
          <cell r="K815" t="str">
            <v>Wholesale</v>
          </cell>
          <cell r="L815" t="str">
            <v>HQ Salaries</v>
          </cell>
          <cell r="N815" t="str">
            <v>SG&amp;A</v>
          </cell>
          <cell r="O815" t="str">
            <v>United of Omaha Life Insurance Company</v>
          </cell>
        </row>
        <row r="816">
          <cell r="D816">
            <v>216.44</v>
          </cell>
          <cell r="H816">
            <v>45352</v>
          </cell>
          <cell r="I816" t="str">
            <v>6040 - Employer Paid Benefits</v>
          </cell>
          <cell r="J816">
            <v>0</v>
          </cell>
          <cell r="K816" t="str">
            <v>Production</v>
          </cell>
          <cell r="L816" t="str">
            <v>HQ Salaries</v>
          </cell>
          <cell r="N816" t="str">
            <v>SG&amp;A</v>
          </cell>
          <cell r="O816" t="str">
            <v>United of Omaha Life Insurance Company</v>
          </cell>
        </row>
        <row r="817">
          <cell r="D817">
            <v>145.94</v>
          </cell>
          <cell r="H817">
            <v>45352</v>
          </cell>
          <cell r="I817" t="str">
            <v>6040 - Employer Paid Benefits</v>
          </cell>
          <cell r="J817">
            <v>0</v>
          </cell>
          <cell r="K817" t="str">
            <v>Merchandising</v>
          </cell>
          <cell r="L817" t="str">
            <v>HQ Salaries</v>
          </cell>
          <cell r="N817" t="str">
            <v>SG&amp;A</v>
          </cell>
          <cell r="O817" t="str">
            <v>United of Omaha Life Insurance Company</v>
          </cell>
        </row>
        <row r="818">
          <cell r="D818">
            <v>121.42</v>
          </cell>
          <cell r="H818">
            <v>45352</v>
          </cell>
          <cell r="I818" t="str">
            <v>6040 - Employer Paid Benefits</v>
          </cell>
          <cell r="J818">
            <v>0</v>
          </cell>
          <cell r="K818" t="str">
            <v>Brand Marketing</v>
          </cell>
          <cell r="L818" t="str">
            <v>HQ Salaries</v>
          </cell>
          <cell r="N818" t="str">
            <v>SG&amp;A</v>
          </cell>
          <cell r="O818" t="str">
            <v>United of Omaha Life Insurance Company</v>
          </cell>
        </row>
        <row r="819">
          <cell r="D819">
            <v>4.66</v>
          </cell>
          <cell r="H819">
            <v>45352</v>
          </cell>
          <cell r="I819" t="str">
            <v>6040 - Employer Paid Benefits</v>
          </cell>
          <cell r="J819">
            <v>0</v>
          </cell>
          <cell r="K819" t="str">
            <v>Executive</v>
          </cell>
          <cell r="L819" t="str">
            <v>HQ Salaries</v>
          </cell>
          <cell r="N819" t="str">
            <v>SG&amp;A</v>
          </cell>
          <cell r="O819" t="str">
            <v>United of Omaha Life Insurance Company</v>
          </cell>
        </row>
        <row r="820">
          <cell r="D820">
            <v>125.82</v>
          </cell>
          <cell r="H820">
            <v>45352</v>
          </cell>
          <cell r="I820" t="str">
            <v>6040 - Employer Paid Benefits</v>
          </cell>
          <cell r="J820" t="str">
            <v>Ecommerce (US)</v>
          </cell>
          <cell r="K820" t="str">
            <v>Ecommerce</v>
          </cell>
          <cell r="L820" t="str">
            <v>HQ Salaries</v>
          </cell>
          <cell r="N820" t="str">
            <v>SG&amp;A</v>
          </cell>
          <cell r="O820" t="str">
            <v>United of Omaha Life Insurance Company</v>
          </cell>
        </row>
        <row r="821">
          <cell r="D821">
            <v>90.11</v>
          </cell>
          <cell r="H821">
            <v>45352</v>
          </cell>
          <cell r="I821" t="str">
            <v>6040 - Employer Paid Benefits</v>
          </cell>
          <cell r="J821">
            <v>0</v>
          </cell>
          <cell r="K821" t="str">
            <v>Design</v>
          </cell>
          <cell r="L821" t="str">
            <v>HQ Salaries</v>
          </cell>
          <cell r="N821" t="str">
            <v>SG&amp;A</v>
          </cell>
          <cell r="O821" t="str">
            <v>United of Omaha Life Insurance Company</v>
          </cell>
        </row>
        <row r="822">
          <cell r="D822">
            <v>-2.48</v>
          </cell>
          <cell r="H822">
            <v>45352</v>
          </cell>
          <cell r="I822" t="str">
            <v>6040 - Employer Paid Benefits</v>
          </cell>
          <cell r="J822">
            <v>0</v>
          </cell>
          <cell r="K822" t="str">
            <v>Administration</v>
          </cell>
          <cell r="L822" t="str">
            <v>HQ Salaries</v>
          </cell>
          <cell r="N822" t="str">
            <v>SG&amp;A</v>
          </cell>
          <cell r="O822" t="str">
            <v>United of Omaha Life Insurance Company</v>
          </cell>
        </row>
        <row r="823">
          <cell r="D823">
            <v>24.54</v>
          </cell>
          <cell r="H823">
            <v>45352</v>
          </cell>
          <cell r="I823" t="str">
            <v>6040 - Employer Paid Benefits</v>
          </cell>
          <cell r="J823" t="str">
            <v>Wholesale</v>
          </cell>
          <cell r="K823" t="str">
            <v>Wholesale</v>
          </cell>
          <cell r="L823" t="str">
            <v>HQ Salaries</v>
          </cell>
          <cell r="N823" t="str">
            <v>SG&amp;A</v>
          </cell>
          <cell r="O823" t="str">
            <v>Allied Administrators</v>
          </cell>
        </row>
        <row r="824">
          <cell r="D824">
            <v>125.91</v>
          </cell>
          <cell r="H824">
            <v>45352</v>
          </cell>
          <cell r="I824" t="str">
            <v>6040 - Employer Paid Benefits</v>
          </cell>
          <cell r="J824">
            <v>0</v>
          </cell>
          <cell r="K824" t="str">
            <v>Production</v>
          </cell>
          <cell r="L824" t="str">
            <v>HQ Salaries</v>
          </cell>
          <cell r="N824" t="str">
            <v>SG&amp;A</v>
          </cell>
          <cell r="O824" t="str">
            <v>Allied Administrators</v>
          </cell>
        </row>
        <row r="825">
          <cell r="D825">
            <v>97.44</v>
          </cell>
          <cell r="H825">
            <v>45352</v>
          </cell>
          <cell r="I825" t="str">
            <v>6040 - Employer Paid Benefits</v>
          </cell>
          <cell r="J825">
            <v>0</v>
          </cell>
          <cell r="K825" t="str">
            <v>Merchandising</v>
          </cell>
          <cell r="L825" t="str">
            <v>HQ Salaries</v>
          </cell>
          <cell r="N825" t="str">
            <v>SG&amp;A</v>
          </cell>
          <cell r="O825" t="str">
            <v>Allied Administrators</v>
          </cell>
        </row>
        <row r="826">
          <cell r="D826">
            <v>145.80000000000001</v>
          </cell>
          <cell r="H826">
            <v>45352</v>
          </cell>
          <cell r="I826" t="str">
            <v>6040 - Employer Paid Benefits</v>
          </cell>
          <cell r="J826">
            <v>0</v>
          </cell>
          <cell r="K826" t="str">
            <v>Executive</v>
          </cell>
          <cell r="L826" t="str">
            <v>HQ Salaries</v>
          </cell>
          <cell r="N826" t="str">
            <v>SG&amp;A</v>
          </cell>
          <cell r="O826" t="str">
            <v>Allied Administrators</v>
          </cell>
        </row>
        <row r="827">
          <cell r="D827">
            <v>76.83</v>
          </cell>
          <cell r="H827">
            <v>45352</v>
          </cell>
          <cell r="I827" t="str">
            <v>6040 - Employer Paid Benefits</v>
          </cell>
          <cell r="J827" t="str">
            <v>Ecommerce (US)</v>
          </cell>
          <cell r="K827" t="str">
            <v>Ecommerce</v>
          </cell>
          <cell r="L827" t="str">
            <v>HQ Salaries</v>
          </cell>
          <cell r="N827" t="str">
            <v>SG&amp;A</v>
          </cell>
          <cell r="O827" t="str">
            <v>Allied Administrators</v>
          </cell>
        </row>
        <row r="828">
          <cell r="D828">
            <v>76.83</v>
          </cell>
          <cell r="H828">
            <v>45352</v>
          </cell>
          <cell r="I828" t="str">
            <v>6040 - Employer Paid Benefits</v>
          </cell>
          <cell r="J828">
            <v>0</v>
          </cell>
          <cell r="K828" t="str">
            <v>Design</v>
          </cell>
          <cell r="L828" t="str">
            <v>HQ Salaries</v>
          </cell>
          <cell r="N828" t="str">
            <v>SG&amp;A</v>
          </cell>
          <cell r="O828" t="str">
            <v>Allied Administrators</v>
          </cell>
        </row>
        <row r="829">
          <cell r="D829">
            <v>-20651.98</v>
          </cell>
          <cell r="H829">
            <v>45352</v>
          </cell>
          <cell r="I829" t="str">
            <v>6005 - Salaries</v>
          </cell>
          <cell r="J829">
            <v>0</v>
          </cell>
          <cell r="K829" t="str">
            <v>Administration</v>
          </cell>
          <cell r="L829" t="str">
            <v>HQ Salaries</v>
          </cell>
          <cell r="N829" t="str">
            <v>SG&amp;A</v>
          </cell>
          <cell r="O829" t="str">
            <v>[No Vendor]</v>
          </cell>
        </row>
        <row r="830">
          <cell r="D830">
            <v>552.83000000000004</v>
          </cell>
          <cell r="H830">
            <v>45352</v>
          </cell>
          <cell r="I830" t="str">
            <v>7140 - Amortization Exp - ROU Asset</v>
          </cell>
          <cell r="J830">
            <v>0</v>
          </cell>
          <cell r="K830" t="str">
            <v>Administration</v>
          </cell>
          <cell r="L830" t="str">
            <v>Rent</v>
          </cell>
          <cell r="N830" t="str">
            <v>SG&amp;A</v>
          </cell>
          <cell r="O830" t="str">
            <v>[No Vendor]</v>
          </cell>
        </row>
        <row r="831">
          <cell r="D831">
            <v>33250.92</v>
          </cell>
          <cell r="H831">
            <v>45352</v>
          </cell>
          <cell r="I831" t="str">
            <v>7140 - Amortization Exp - ROU Asset</v>
          </cell>
          <cell r="J831">
            <v>0</v>
          </cell>
          <cell r="K831" t="str">
            <v>Administration</v>
          </cell>
          <cell r="L831" t="str">
            <v>Rent</v>
          </cell>
          <cell r="N831" t="str">
            <v>SG&amp;A</v>
          </cell>
          <cell r="O831" t="str">
            <v>[No Vendor]</v>
          </cell>
        </row>
        <row r="832">
          <cell r="D832">
            <v>-5202.24</v>
          </cell>
          <cell r="H832">
            <v>45352</v>
          </cell>
          <cell r="I832" t="str">
            <v>6210 - Monitoring</v>
          </cell>
          <cell r="J832" t="str">
            <v>Ecommerce (EU)</v>
          </cell>
          <cell r="K832" t="str">
            <v>Ecommerce</v>
          </cell>
          <cell r="L832" t="str">
            <v>Professional Service</v>
          </cell>
          <cell r="N832" t="str">
            <v>Direct Costs</v>
          </cell>
          <cell r="O832" t="str">
            <v>[No Vendor]</v>
          </cell>
        </row>
        <row r="833">
          <cell r="D833">
            <v>-1600</v>
          </cell>
          <cell r="H833">
            <v>45352</v>
          </cell>
          <cell r="I833" t="str">
            <v>6380 - Legal &amp; Accounting</v>
          </cell>
          <cell r="J833">
            <v>0</v>
          </cell>
          <cell r="K833" t="str">
            <v>Administration</v>
          </cell>
          <cell r="L833" t="str">
            <v>Professional Service</v>
          </cell>
          <cell r="N833" t="str">
            <v>SG&amp;A</v>
          </cell>
          <cell r="O833" t="str">
            <v>[No Vendor]</v>
          </cell>
        </row>
        <row r="834">
          <cell r="D834">
            <v>-4500</v>
          </cell>
          <cell r="H834">
            <v>45352</v>
          </cell>
          <cell r="I834" t="str">
            <v>6380 - Legal &amp; Accounting</v>
          </cell>
          <cell r="J834">
            <v>0</v>
          </cell>
          <cell r="K834" t="str">
            <v>Administration</v>
          </cell>
          <cell r="L834" t="str">
            <v>Professional Service</v>
          </cell>
          <cell r="N834" t="str">
            <v>SG&amp;A</v>
          </cell>
          <cell r="O834" t="str">
            <v>[No Vendor]</v>
          </cell>
        </row>
        <row r="835">
          <cell r="D835">
            <v>0</v>
          </cell>
          <cell r="H835">
            <v>45352</v>
          </cell>
          <cell r="I835" t="str">
            <v>6205 - Contractors</v>
          </cell>
          <cell r="J835">
            <v>0</v>
          </cell>
          <cell r="K835" t="str">
            <v>Brand Marketing</v>
          </cell>
          <cell r="L835" t="str">
            <v>HQ Salaries</v>
          </cell>
          <cell r="N835" t="str">
            <v>SG&amp;A</v>
          </cell>
          <cell r="O835" t="str">
            <v>[No Vendor]</v>
          </cell>
        </row>
        <row r="836">
          <cell r="D836">
            <v>-4567.5</v>
          </cell>
          <cell r="H836">
            <v>45352</v>
          </cell>
          <cell r="I836" t="str">
            <v>6205 - Contractors</v>
          </cell>
          <cell r="J836" t="str">
            <v>Ecommerce (US)</v>
          </cell>
          <cell r="K836" t="str">
            <v>Ecommerce</v>
          </cell>
          <cell r="L836" t="str">
            <v>HQ Salaries</v>
          </cell>
          <cell r="N836" t="str">
            <v>SG&amp;A</v>
          </cell>
          <cell r="O836" t="str">
            <v>[No Vendor]</v>
          </cell>
        </row>
        <row r="837">
          <cell r="D837">
            <v>-606</v>
          </cell>
          <cell r="H837">
            <v>45352</v>
          </cell>
          <cell r="I837" t="str">
            <v>6410 - Lease Expense</v>
          </cell>
          <cell r="J837">
            <v>0</v>
          </cell>
          <cell r="K837" t="str">
            <v>Administration</v>
          </cell>
          <cell r="L837" t="str">
            <v>Rent</v>
          </cell>
          <cell r="N837" t="str">
            <v>SG&amp;A</v>
          </cell>
          <cell r="O837" t="str">
            <v>[No Vendor]</v>
          </cell>
        </row>
        <row r="838">
          <cell r="D838">
            <v>17.87</v>
          </cell>
          <cell r="H838">
            <v>45352</v>
          </cell>
          <cell r="I838" t="str">
            <v>6385 - Insurance</v>
          </cell>
          <cell r="J838">
            <v>0</v>
          </cell>
          <cell r="K838" t="str">
            <v>Administration</v>
          </cell>
          <cell r="L838" t="str">
            <v>Professional Service</v>
          </cell>
          <cell r="N838" t="str">
            <v>SG&amp;A</v>
          </cell>
          <cell r="O838" t="str">
            <v>[No Vendor]</v>
          </cell>
        </row>
        <row r="839">
          <cell r="D839">
            <v>33.159999999999997</v>
          </cell>
          <cell r="H839">
            <v>45352</v>
          </cell>
          <cell r="I839" t="str">
            <v>6385 - Insurance</v>
          </cell>
          <cell r="J839">
            <v>0</v>
          </cell>
          <cell r="K839" t="str">
            <v>Administration</v>
          </cell>
          <cell r="L839" t="str">
            <v>Professional Service</v>
          </cell>
          <cell r="N839" t="str">
            <v>SG&amp;A</v>
          </cell>
          <cell r="O839" t="str">
            <v>[No Vendor]</v>
          </cell>
        </row>
        <row r="840">
          <cell r="D840">
            <v>69.44</v>
          </cell>
          <cell r="H840">
            <v>45352</v>
          </cell>
          <cell r="I840" t="str">
            <v>6385 - Insurance</v>
          </cell>
          <cell r="J840">
            <v>0</v>
          </cell>
          <cell r="K840" t="str">
            <v>Administration</v>
          </cell>
          <cell r="L840" t="str">
            <v>Professional Service</v>
          </cell>
          <cell r="N840" t="str">
            <v>SG&amp;A</v>
          </cell>
          <cell r="O840" t="str">
            <v>[No Vendor]</v>
          </cell>
        </row>
        <row r="841">
          <cell r="D841">
            <v>18.309999999999999</v>
          </cell>
          <cell r="H841">
            <v>45352</v>
          </cell>
          <cell r="I841" t="str">
            <v>6385 - Insurance</v>
          </cell>
          <cell r="J841">
            <v>0</v>
          </cell>
          <cell r="K841" t="str">
            <v>Administration</v>
          </cell>
          <cell r="L841" t="str">
            <v>Professional Service</v>
          </cell>
          <cell r="N841" t="str">
            <v>SG&amp;A</v>
          </cell>
          <cell r="O841" t="str">
            <v>[No Vendor]</v>
          </cell>
        </row>
        <row r="842">
          <cell r="D842">
            <v>33.22</v>
          </cell>
          <cell r="H842">
            <v>45352</v>
          </cell>
          <cell r="I842" t="str">
            <v>6385 - Insurance</v>
          </cell>
          <cell r="J842">
            <v>0</v>
          </cell>
          <cell r="K842" t="str">
            <v>Administration</v>
          </cell>
          <cell r="L842" t="str">
            <v>Professional Service</v>
          </cell>
          <cell r="N842" t="str">
            <v>SG&amp;A</v>
          </cell>
          <cell r="O842" t="str">
            <v>[No Vendor]</v>
          </cell>
        </row>
        <row r="843">
          <cell r="D843">
            <v>60.29</v>
          </cell>
          <cell r="H843">
            <v>45352</v>
          </cell>
          <cell r="I843" t="str">
            <v>6385 - Insurance</v>
          </cell>
          <cell r="J843">
            <v>0</v>
          </cell>
          <cell r="K843" t="str">
            <v>Administration</v>
          </cell>
          <cell r="L843" t="str">
            <v>Professional Service</v>
          </cell>
          <cell r="N843" t="str">
            <v>SG&amp;A</v>
          </cell>
          <cell r="O843" t="str">
            <v>[No Vendor]</v>
          </cell>
        </row>
        <row r="844">
          <cell r="D844">
            <v>26.02</v>
          </cell>
          <cell r="H844">
            <v>45352</v>
          </cell>
          <cell r="I844" t="str">
            <v>6385 - Insurance</v>
          </cell>
          <cell r="J844">
            <v>0</v>
          </cell>
          <cell r="K844" t="str">
            <v>Administration</v>
          </cell>
          <cell r="L844" t="str">
            <v>Professional Service</v>
          </cell>
          <cell r="N844" t="str">
            <v>SG&amp;A</v>
          </cell>
          <cell r="O844" t="str">
            <v>[No Vendor]</v>
          </cell>
        </row>
        <row r="845">
          <cell r="D845">
            <v>-630.4</v>
          </cell>
          <cell r="H845">
            <v>45352</v>
          </cell>
          <cell r="I845" t="str">
            <v>6400 - Utilities</v>
          </cell>
          <cell r="J845">
            <v>0</v>
          </cell>
          <cell r="K845" t="str">
            <v>Administration</v>
          </cell>
          <cell r="L845" t="str">
            <v>Other</v>
          </cell>
          <cell r="N845" t="str">
            <v>SG&amp;A</v>
          </cell>
          <cell r="O845" t="str">
            <v>[No Vendor]</v>
          </cell>
        </row>
        <row r="846">
          <cell r="D846">
            <v>241.46</v>
          </cell>
          <cell r="H846">
            <v>45352</v>
          </cell>
          <cell r="I846" t="str">
            <v>6300 - Payroll Service Fees</v>
          </cell>
          <cell r="J846">
            <v>0</v>
          </cell>
          <cell r="K846" t="str">
            <v>Administration</v>
          </cell>
          <cell r="L846" t="str">
            <v>Professional Service</v>
          </cell>
          <cell r="N846" t="str">
            <v>SG&amp;A</v>
          </cell>
          <cell r="O846" t="str">
            <v>ADP Payroll Services</v>
          </cell>
        </row>
        <row r="847">
          <cell r="D847">
            <v>-576</v>
          </cell>
          <cell r="H847">
            <v>45352</v>
          </cell>
          <cell r="I847" t="str">
            <v>6055 - Employer Social Security Tax Withheld</v>
          </cell>
          <cell r="J847">
            <v>0</v>
          </cell>
          <cell r="K847" t="str">
            <v>Merchandising</v>
          </cell>
          <cell r="L847" t="str">
            <v>HQ Salaries</v>
          </cell>
          <cell r="N847" t="str">
            <v>SG&amp;A</v>
          </cell>
          <cell r="O847" t="str">
            <v>[No Vendor]</v>
          </cell>
        </row>
        <row r="848">
          <cell r="D848">
            <v>-972.77</v>
          </cell>
          <cell r="H848">
            <v>45352</v>
          </cell>
          <cell r="I848" t="str">
            <v>6055 - Employer Social Security Tax Withheld</v>
          </cell>
          <cell r="J848" t="str">
            <v>Wholesale</v>
          </cell>
          <cell r="K848" t="str">
            <v>Wholesale</v>
          </cell>
          <cell r="L848" t="str">
            <v>HQ Salaries</v>
          </cell>
          <cell r="N848" t="str">
            <v>SG&amp;A</v>
          </cell>
          <cell r="O848" t="str">
            <v>[No Vendor]</v>
          </cell>
        </row>
        <row r="849">
          <cell r="D849">
            <v>-1831.6</v>
          </cell>
          <cell r="H849">
            <v>45352</v>
          </cell>
          <cell r="I849" t="str">
            <v>6055 - Employer Social Security Tax Withheld</v>
          </cell>
          <cell r="J849">
            <v>0</v>
          </cell>
          <cell r="K849" t="str">
            <v>Production</v>
          </cell>
          <cell r="L849" t="str">
            <v>HQ Salaries</v>
          </cell>
          <cell r="N849" t="str">
            <v>SG&amp;A</v>
          </cell>
          <cell r="O849" t="str">
            <v>[No Vendor]</v>
          </cell>
        </row>
        <row r="850">
          <cell r="D850">
            <v>-635.63</v>
          </cell>
          <cell r="H850">
            <v>45352</v>
          </cell>
          <cell r="I850" t="str">
            <v>6055 - Employer Social Security Tax Withheld</v>
          </cell>
          <cell r="J850">
            <v>0</v>
          </cell>
          <cell r="K850" t="str">
            <v>Brand Marketing</v>
          </cell>
          <cell r="L850" t="str">
            <v>HQ Salaries</v>
          </cell>
          <cell r="N850" t="str">
            <v>SG&amp;A</v>
          </cell>
          <cell r="O850" t="str">
            <v>[No Vendor]</v>
          </cell>
        </row>
        <row r="851">
          <cell r="D851">
            <v>-1894.35</v>
          </cell>
          <cell r="H851">
            <v>45352</v>
          </cell>
          <cell r="I851" t="str">
            <v>6055 - Employer Social Security Tax Withheld</v>
          </cell>
          <cell r="J851" t="str">
            <v>Ecommerce (US)</v>
          </cell>
          <cell r="K851" t="str">
            <v>Ecommerce</v>
          </cell>
          <cell r="L851" t="str">
            <v>HQ Salaries</v>
          </cell>
          <cell r="N851" t="str">
            <v>SG&amp;A</v>
          </cell>
          <cell r="O851" t="str">
            <v>[No Vendor]</v>
          </cell>
        </row>
        <row r="852">
          <cell r="D852">
            <v>-1680.09</v>
          </cell>
          <cell r="H852">
            <v>45352</v>
          </cell>
          <cell r="I852" t="str">
            <v>6055 - Employer Social Security Tax Withheld</v>
          </cell>
          <cell r="J852">
            <v>0</v>
          </cell>
          <cell r="K852" t="str">
            <v>Design</v>
          </cell>
          <cell r="L852" t="str">
            <v>HQ Salaries</v>
          </cell>
          <cell r="N852" t="str">
            <v>SG&amp;A</v>
          </cell>
          <cell r="O852" t="str">
            <v>[No Vendor]</v>
          </cell>
        </row>
        <row r="853">
          <cell r="D853">
            <v>-2052.92</v>
          </cell>
          <cell r="H853">
            <v>45352</v>
          </cell>
          <cell r="I853" t="str">
            <v>6055 - Employer Social Security Tax Withheld</v>
          </cell>
          <cell r="J853">
            <v>0</v>
          </cell>
          <cell r="K853" t="str">
            <v>Administration</v>
          </cell>
          <cell r="L853" t="str">
            <v>HQ Salaries</v>
          </cell>
          <cell r="N853" t="str">
            <v>SG&amp;A</v>
          </cell>
          <cell r="O853" t="str">
            <v>[No Vendor]</v>
          </cell>
        </row>
        <row r="854">
          <cell r="D854">
            <v>53.16</v>
          </cell>
          <cell r="H854">
            <v>45352</v>
          </cell>
          <cell r="I854" t="str">
            <v>6487 - Interest Expense</v>
          </cell>
          <cell r="J854">
            <v>0</v>
          </cell>
          <cell r="K854" t="str">
            <v>Administration</v>
          </cell>
          <cell r="L854" t="str">
            <v>Interest</v>
          </cell>
          <cell r="N854" t="str">
            <v>BTL</v>
          </cell>
          <cell r="O854" t="str">
            <v>[No Vendor]</v>
          </cell>
        </row>
        <row r="855">
          <cell r="D855">
            <v>9898.58</v>
          </cell>
          <cell r="H855">
            <v>45352</v>
          </cell>
          <cell r="I855" t="str">
            <v>6487 - Interest Expense</v>
          </cell>
          <cell r="J855">
            <v>0</v>
          </cell>
          <cell r="K855" t="str">
            <v>Administration</v>
          </cell>
          <cell r="L855" t="str">
            <v>Interest</v>
          </cell>
          <cell r="N855" t="str">
            <v>BTL</v>
          </cell>
          <cell r="O855" t="str">
            <v>[No Vendor]</v>
          </cell>
        </row>
        <row r="856">
          <cell r="D856">
            <v>-29236.67</v>
          </cell>
          <cell r="H856">
            <v>45352</v>
          </cell>
          <cell r="I856" t="str">
            <v>6320 - Building Rent</v>
          </cell>
          <cell r="J856">
            <v>0</v>
          </cell>
          <cell r="K856" t="str">
            <v>Administration</v>
          </cell>
          <cell r="L856" t="str">
            <v>Rent</v>
          </cell>
          <cell r="N856" t="str">
            <v>SG&amp;A</v>
          </cell>
          <cell r="O856" t="str">
            <v>[No Vendor]</v>
          </cell>
        </row>
        <row r="857">
          <cell r="D857">
            <v>27490.66</v>
          </cell>
          <cell r="H857">
            <v>45352</v>
          </cell>
          <cell r="I857" t="str">
            <v>6375 - Freight Expenses</v>
          </cell>
          <cell r="J857" t="str">
            <v>Ecommerce (EU)</v>
          </cell>
          <cell r="K857" t="str">
            <v>Ecommerce</v>
          </cell>
          <cell r="L857" t="str">
            <v>Freight</v>
          </cell>
          <cell r="N857" t="str">
            <v>Direct Costs</v>
          </cell>
          <cell r="O857" t="str">
            <v>Global E</v>
          </cell>
        </row>
        <row r="858">
          <cell r="D858">
            <v>0</v>
          </cell>
          <cell r="H858">
            <v>45352</v>
          </cell>
          <cell r="I858" t="str">
            <v>6040 - Employer Paid Benefits</v>
          </cell>
          <cell r="J858">
            <v>0</v>
          </cell>
          <cell r="K858" t="str">
            <v>Merchandising</v>
          </cell>
          <cell r="L858" t="str">
            <v>HQ Salaries</v>
          </cell>
          <cell r="N858" t="str">
            <v>SG&amp;A</v>
          </cell>
          <cell r="O858" t="str">
            <v>[No Vendor]</v>
          </cell>
        </row>
        <row r="859">
          <cell r="D859">
            <v>18</v>
          </cell>
          <cell r="H859">
            <v>45352</v>
          </cell>
          <cell r="I859" t="str">
            <v>6040 - Employer Paid Benefits</v>
          </cell>
          <cell r="J859" t="str">
            <v>Wholesale</v>
          </cell>
          <cell r="K859" t="str">
            <v>Wholesale</v>
          </cell>
          <cell r="L859" t="str">
            <v>HQ Salaries</v>
          </cell>
          <cell r="N859" t="str">
            <v>SG&amp;A</v>
          </cell>
          <cell r="O859" t="str">
            <v>[No Vendor]</v>
          </cell>
        </row>
        <row r="860">
          <cell r="D860">
            <v>364.51</v>
          </cell>
          <cell r="H860">
            <v>45352</v>
          </cell>
          <cell r="I860" t="str">
            <v>6040 - Employer Paid Benefits</v>
          </cell>
          <cell r="J860">
            <v>0</v>
          </cell>
          <cell r="K860" t="str">
            <v>Production</v>
          </cell>
          <cell r="L860" t="str">
            <v>HQ Salaries</v>
          </cell>
          <cell r="N860" t="str">
            <v>SG&amp;A</v>
          </cell>
          <cell r="O860" t="str">
            <v>[No Vendor]</v>
          </cell>
        </row>
        <row r="861">
          <cell r="D861">
            <v>146.86000000000001</v>
          </cell>
          <cell r="H861">
            <v>45352</v>
          </cell>
          <cell r="I861" t="str">
            <v>6040 - Employer Paid Benefits</v>
          </cell>
          <cell r="J861">
            <v>0</v>
          </cell>
          <cell r="K861" t="str">
            <v>Brand Marketing</v>
          </cell>
          <cell r="L861" t="str">
            <v>HQ Salaries</v>
          </cell>
          <cell r="N861" t="str">
            <v>SG&amp;A</v>
          </cell>
          <cell r="O861" t="str">
            <v>[No Vendor]</v>
          </cell>
        </row>
        <row r="862">
          <cell r="D862">
            <v>128.25</v>
          </cell>
          <cell r="H862">
            <v>45352</v>
          </cell>
          <cell r="I862" t="str">
            <v>6040 - Employer Paid Benefits</v>
          </cell>
          <cell r="J862" t="str">
            <v>Ecommerce (US)</v>
          </cell>
          <cell r="K862" t="str">
            <v>Ecommerce</v>
          </cell>
          <cell r="L862" t="str">
            <v>HQ Salaries</v>
          </cell>
          <cell r="N862" t="str">
            <v>SG&amp;A</v>
          </cell>
          <cell r="O862" t="str">
            <v>[No Vendor]</v>
          </cell>
        </row>
        <row r="863">
          <cell r="D863">
            <v>164.03</v>
          </cell>
          <cell r="H863">
            <v>45352</v>
          </cell>
          <cell r="I863" t="str">
            <v>6040 - Employer Paid Benefits</v>
          </cell>
          <cell r="J863">
            <v>0</v>
          </cell>
          <cell r="K863" t="str">
            <v>Design</v>
          </cell>
          <cell r="L863" t="str">
            <v>HQ Salaries</v>
          </cell>
          <cell r="N863" t="str">
            <v>SG&amp;A</v>
          </cell>
          <cell r="O863" t="str">
            <v>[No Vendor]</v>
          </cell>
        </row>
        <row r="864">
          <cell r="D864">
            <v>112.5</v>
          </cell>
          <cell r="H864">
            <v>45352</v>
          </cell>
          <cell r="I864" t="str">
            <v>6040 - Employer Paid Benefits</v>
          </cell>
          <cell r="J864">
            <v>0</v>
          </cell>
          <cell r="K864" t="str">
            <v>Administration</v>
          </cell>
          <cell r="L864" t="str">
            <v>HQ Salaries</v>
          </cell>
          <cell r="N864" t="str">
            <v>SG&amp;A</v>
          </cell>
          <cell r="O864" t="str">
            <v>[No Vendor]</v>
          </cell>
        </row>
        <row r="865">
          <cell r="D865">
            <v>-4500</v>
          </cell>
          <cell r="H865">
            <v>45352</v>
          </cell>
          <cell r="I865" t="str">
            <v>6005 - Salaries</v>
          </cell>
          <cell r="J865">
            <v>0</v>
          </cell>
          <cell r="K865" t="str">
            <v>Merchandising</v>
          </cell>
          <cell r="L865" t="str">
            <v>HQ Salaries</v>
          </cell>
          <cell r="N865" t="str">
            <v>SG&amp;A</v>
          </cell>
          <cell r="O865" t="str">
            <v>[No Vendor]</v>
          </cell>
        </row>
        <row r="866">
          <cell r="D866">
            <v>-8308.35</v>
          </cell>
          <cell r="H866">
            <v>45352</v>
          </cell>
          <cell r="I866" t="str">
            <v>6005 - Salaries</v>
          </cell>
          <cell r="J866" t="str">
            <v>Wholesale</v>
          </cell>
          <cell r="K866" t="str">
            <v>Wholesale</v>
          </cell>
          <cell r="L866" t="str">
            <v>HQ Salaries</v>
          </cell>
          <cell r="N866" t="str">
            <v>SG&amp;A</v>
          </cell>
          <cell r="O866" t="str">
            <v>[No Vendor]</v>
          </cell>
        </row>
        <row r="867">
          <cell r="D867">
            <v>-17460.02</v>
          </cell>
          <cell r="H867">
            <v>45352</v>
          </cell>
          <cell r="I867" t="str">
            <v>6005 - Salaries</v>
          </cell>
          <cell r="J867">
            <v>0</v>
          </cell>
          <cell r="K867" t="str">
            <v>Production</v>
          </cell>
          <cell r="L867" t="str">
            <v>HQ Salaries</v>
          </cell>
          <cell r="N867" t="str">
            <v>SG&amp;A</v>
          </cell>
          <cell r="O867" t="str">
            <v>[No Vendor]</v>
          </cell>
        </row>
        <row r="868">
          <cell r="D868">
            <v>-4326.93</v>
          </cell>
          <cell r="H868">
            <v>45352</v>
          </cell>
          <cell r="I868" t="str">
            <v>6005 - Salaries</v>
          </cell>
          <cell r="J868">
            <v>0</v>
          </cell>
          <cell r="K868" t="str">
            <v>Brand Marketing</v>
          </cell>
          <cell r="L868" t="str">
            <v>HQ Salaries</v>
          </cell>
          <cell r="N868" t="str">
            <v>SG&amp;A</v>
          </cell>
          <cell r="O868" t="str">
            <v>[No Vendor]</v>
          </cell>
        </row>
        <row r="869">
          <cell r="D869">
            <v>-16691.55</v>
          </cell>
          <cell r="H869">
            <v>45352</v>
          </cell>
          <cell r="I869" t="str">
            <v>6005 - Salaries</v>
          </cell>
          <cell r="J869" t="str">
            <v>Ecommerce (US)</v>
          </cell>
          <cell r="K869" t="str">
            <v>Ecommerce</v>
          </cell>
          <cell r="L869" t="str">
            <v>HQ Salaries</v>
          </cell>
          <cell r="N869" t="str">
            <v>SG&amp;A</v>
          </cell>
          <cell r="O869" t="str">
            <v>[No Vendor]</v>
          </cell>
        </row>
        <row r="870">
          <cell r="D870">
            <v>-15005.77</v>
          </cell>
          <cell r="H870">
            <v>45352</v>
          </cell>
          <cell r="I870" t="str">
            <v>6005 - Salaries</v>
          </cell>
          <cell r="J870">
            <v>0</v>
          </cell>
          <cell r="K870" t="str">
            <v>Design</v>
          </cell>
          <cell r="L870" t="str">
            <v>HQ Salaries</v>
          </cell>
          <cell r="N870" t="str">
            <v>SG&amp;A</v>
          </cell>
          <cell r="O870" t="str">
            <v>[No Vendor]</v>
          </cell>
        </row>
        <row r="871">
          <cell r="D871">
            <v>22313.66</v>
          </cell>
          <cell r="H871">
            <v>45352</v>
          </cell>
          <cell r="I871" t="str">
            <v>6375 - Freight Expenses</v>
          </cell>
          <cell r="J871" t="str">
            <v>Ecommerce (US)</v>
          </cell>
          <cell r="K871" t="str">
            <v>Ecommerce</v>
          </cell>
          <cell r="L871" t="str">
            <v>Freight</v>
          </cell>
          <cell r="N871" t="str">
            <v>Direct Costs</v>
          </cell>
          <cell r="O871" t="str">
            <v>UPS Supply Chain Solutions Inc. (7F24A0)</v>
          </cell>
        </row>
        <row r="872">
          <cell r="D872">
            <v>184.92</v>
          </cell>
          <cell r="H872">
            <v>45352</v>
          </cell>
          <cell r="I872" t="str">
            <v>6130 - Mileage</v>
          </cell>
          <cell r="J872" t="str">
            <v>Ecommerce (US)</v>
          </cell>
          <cell r="K872" t="str">
            <v>Ecommerce</v>
          </cell>
          <cell r="L872" t="str">
            <v>T&amp;E</v>
          </cell>
          <cell r="N872" t="str">
            <v>SG&amp;A</v>
          </cell>
          <cell r="O872" t="str">
            <v>[No Vendor]</v>
          </cell>
        </row>
        <row r="873">
          <cell r="D873">
            <v>1139.95</v>
          </cell>
          <cell r="H873">
            <v>45352</v>
          </cell>
          <cell r="I873" t="str">
            <v>6040 - Employer Paid Benefits</v>
          </cell>
          <cell r="J873">
            <v>0</v>
          </cell>
          <cell r="K873" t="str">
            <v>Administration</v>
          </cell>
          <cell r="L873" t="str">
            <v>HQ Salaries</v>
          </cell>
          <cell r="N873" t="str">
            <v>SG&amp;A</v>
          </cell>
          <cell r="O873" t="str">
            <v>Procyon Benefits LLC</v>
          </cell>
        </row>
        <row r="874">
          <cell r="D874">
            <v>140</v>
          </cell>
          <cell r="H874">
            <v>45352</v>
          </cell>
          <cell r="I874" t="str">
            <v>6340 - Miscellaneous Expense</v>
          </cell>
          <cell r="J874">
            <v>0</v>
          </cell>
          <cell r="K874" t="str">
            <v>Administration</v>
          </cell>
          <cell r="L874" t="str">
            <v>Other</v>
          </cell>
          <cell r="N874" t="str">
            <v>SG&amp;A</v>
          </cell>
          <cell r="O874" t="str">
            <v>[No Vendor]</v>
          </cell>
        </row>
        <row r="875">
          <cell r="D875">
            <v>16000</v>
          </cell>
          <cell r="H875">
            <v>45352</v>
          </cell>
          <cell r="I875" t="str">
            <v>6215 - Recruitment</v>
          </cell>
          <cell r="J875">
            <v>0</v>
          </cell>
          <cell r="K875" t="str">
            <v>Administration</v>
          </cell>
          <cell r="L875" t="str">
            <v>Professional Service</v>
          </cell>
          <cell r="N875" t="str">
            <v>SG&amp;A</v>
          </cell>
          <cell r="O875" t="str">
            <v>JBCStyle NY LLC</v>
          </cell>
        </row>
        <row r="876">
          <cell r="D876">
            <v>3325</v>
          </cell>
          <cell r="H876">
            <v>45352</v>
          </cell>
          <cell r="I876" t="str">
            <v>6205 - Contractors</v>
          </cell>
          <cell r="J876">
            <v>0</v>
          </cell>
          <cell r="K876" t="str">
            <v>Design</v>
          </cell>
          <cell r="L876" t="str">
            <v>HQ Salaries</v>
          </cell>
          <cell r="N876" t="str">
            <v>SG&amp;A</v>
          </cell>
          <cell r="O876" t="str">
            <v>Christina Colucci</v>
          </cell>
        </row>
        <row r="877">
          <cell r="D877">
            <v>165</v>
          </cell>
          <cell r="H877">
            <v>45352</v>
          </cell>
          <cell r="I877" t="str">
            <v>6140 - Other</v>
          </cell>
          <cell r="J877" t="str">
            <v>Wholesale</v>
          </cell>
          <cell r="K877" t="str">
            <v>Wholesale</v>
          </cell>
          <cell r="L877" t="str">
            <v>T&amp;E</v>
          </cell>
          <cell r="N877" t="str">
            <v>SG&amp;A</v>
          </cell>
          <cell r="O877" t="str">
            <v>Bridgette Stacom</v>
          </cell>
        </row>
        <row r="878">
          <cell r="D878">
            <v>887.19</v>
          </cell>
          <cell r="H878">
            <v>45352</v>
          </cell>
          <cell r="I878" t="str">
            <v>6120 - Lodging</v>
          </cell>
          <cell r="J878" t="str">
            <v>Wholesale</v>
          </cell>
          <cell r="K878" t="str">
            <v>Wholesale</v>
          </cell>
          <cell r="L878" t="str">
            <v>T&amp;E</v>
          </cell>
          <cell r="N878" t="str">
            <v>SG&amp;A</v>
          </cell>
          <cell r="O878" t="str">
            <v>Bridgette Stacom</v>
          </cell>
        </row>
        <row r="879">
          <cell r="D879">
            <v>15058.4</v>
          </cell>
          <cell r="H879">
            <v>45352</v>
          </cell>
          <cell r="I879" t="str">
            <v>6225 - Professional Services</v>
          </cell>
          <cell r="J879" t="str">
            <v>Ecommerce (US)</v>
          </cell>
          <cell r="K879" t="str">
            <v>Ecommerce</v>
          </cell>
          <cell r="L879" t="str">
            <v>Professional Service</v>
          </cell>
          <cell r="N879" t="str">
            <v>Direct Costs</v>
          </cell>
          <cell r="O879" t="str">
            <v>Rareview, LLC</v>
          </cell>
        </row>
        <row r="880">
          <cell r="D880">
            <v>687.57</v>
          </cell>
          <cell r="H880">
            <v>45352</v>
          </cell>
          <cell r="I880" t="str">
            <v>6125 - Transportation and Fuel</v>
          </cell>
          <cell r="J880" t="str">
            <v>Wholesale</v>
          </cell>
          <cell r="K880" t="str">
            <v>Wholesale</v>
          </cell>
          <cell r="L880" t="str">
            <v>T&amp;E</v>
          </cell>
          <cell r="N880" t="str">
            <v>SG&amp;A</v>
          </cell>
          <cell r="O880" t="str">
            <v>Bridgette Stacom</v>
          </cell>
        </row>
        <row r="881">
          <cell r="D881">
            <v>154.46</v>
          </cell>
          <cell r="H881">
            <v>45352</v>
          </cell>
          <cell r="I881" t="str">
            <v>6105 - Meals</v>
          </cell>
          <cell r="J881" t="str">
            <v>Wholesale</v>
          </cell>
          <cell r="K881" t="str">
            <v>Wholesale</v>
          </cell>
          <cell r="L881" t="str">
            <v>T&amp;E</v>
          </cell>
          <cell r="N881" t="str">
            <v>SG&amp;A</v>
          </cell>
          <cell r="O881" t="str">
            <v>Bridgette Stacom</v>
          </cell>
        </row>
        <row r="882">
          <cell r="D882">
            <v>25.24</v>
          </cell>
          <cell r="H882">
            <v>45352</v>
          </cell>
          <cell r="I882" t="str">
            <v>6375 - Freight Expenses</v>
          </cell>
          <cell r="J882" t="str">
            <v>Ecommerce (US)</v>
          </cell>
          <cell r="K882" t="str">
            <v>Ecommerce</v>
          </cell>
          <cell r="L882" t="str">
            <v>Freight</v>
          </cell>
          <cell r="N882" t="str">
            <v>Direct Costs</v>
          </cell>
          <cell r="O882" t="str">
            <v>Federal Express</v>
          </cell>
        </row>
        <row r="883">
          <cell r="D883">
            <v>52.5</v>
          </cell>
          <cell r="H883">
            <v>45352</v>
          </cell>
          <cell r="I883" t="str">
            <v>6040 - Employer Paid Benefits</v>
          </cell>
          <cell r="J883">
            <v>0</v>
          </cell>
          <cell r="K883" t="str">
            <v>Production</v>
          </cell>
          <cell r="L883" t="str">
            <v>HQ Salaries</v>
          </cell>
          <cell r="N883" t="str">
            <v>SG&amp;A</v>
          </cell>
          <cell r="O883" t="str">
            <v>Procyon Benefits LLC</v>
          </cell>
        </row>
        <row r="884">
          <cell r="D884">
            <v>28.2</v>
          </cell>
          <cell r="H884">
            <v>45352</v>
          </cell>
          <cell r="I884" t="str">
            <v>6040 - Employer Paid Benefits</v>
          </cell>
          <cell r="J884">
            <v>0</v>
          </cell>
          <cell r="K884" t="str">
            <v>Merchandising</v>
          </cell>
          <cell r="L884" t="str">
            <v>HQ Salaries</v>
          </cell>
          <cell r="N884" t="str">
            <v>SG&amp;A</v>
          </cell>
          <cell r="O884" t="str">
            <v>Procyon Benefits LLC</v>
          </cell>
        </row>
        <row r="885">
          <cell r="D885">
            <v>14</v>
          </cell>
          <cell r="H885">
            <v>45352</v>
          </cell>
          <cell r="I885" t="str">
            <v>6040 - Employer Paid Benefits</v>
          </cell>
          <cell r="J885" t="str">
            <v>Ecommerce (US)</v>
          </cell>
          <cell r="K885" t="str">
            <v>Ecommerce</v>
          </cell>
          <cell r="L885" t="str">
            <v>HQ Salaries</v>
          </cell>
          <cell r="N885" t="str">
            <v>SG&amp;A</v>
          </cell>
          <cell r="O885" t="str">
            <v>Procyon Benefits LLC</v>
          </cell>
        </row>
        <row r="886">
          <cell r="D886">
            <v>52.7</v>
          </cell>
          <cell r="H886">
            <v>45352</v>
          </cell>
          <cell r="I886" t="str">
            <v>6040 - Employer Paid Benefits</v>
          </cell>
          <cell r="J886">
            <v>0</v>
          </cell>
          <cell r="K886" t="str">
            <v>Executive</v>
          </cell>
          <cell r="L886" t="str">
            <v>HQ Salaries</v>
          </cell>
          <cell r="N886" t="str">
            <v>SG&amp;A</v>
          </cell>
          <cell r="O886" t="str">
            <v>Procyon Benefits LLC</v>
          </cell>
        </row>
        <row r="887">
          <cell r="D887">
            <v>4275.97</v>
          </cell>
          <cell r="H887">
            <v>45352</v>
          </cell>
          <cell r="I887" t="str">
            <v>6450 - Bank &amp; Other Fees</v>
          </cell>
          <cell r="J887" t="str">
            <v>Wholesale</v>
          </cell>
          <cell r="K887" t="str">
            <v>Wholesale</v>
          </cell>
          <cell r="L887" t="str">
            <v>Professional Service</v>
          </cell>
          <cell r="N887" t="str">
            <v>Direct Costs</v>
          </cell>
          <cell r="O887" t="str">
            <v>Paymentech</v>
          </cell>
        </row>
        <row r="888">
          <cell r="D888">
            <v>300</v>
          </cell>
          <cell r="H888">
            <v>45352</v>
          </cell>
          <cell r="I888" t="str">
            <v>6288 - Model</v>
          </cell>
          <cell r="J888" t="str">
            <v>Ecommerce (US)</v>
          </cell>
          <cell r="K888" t="str">
            <v>Brand Marketing</v>
          </cell>
          <cell r="L888" t="str">
            <v>Advertising</v>
          </cell>
          <cell r="N888" t="str">
            <v>SG&amp;A</v>
          </cell>
          <cell r="O888" t="str">
            <v>State Artist Management</v>
          </cell>
        </row>
        <row r="889">
          <cell r="D889">
            <v>450.57</v>
          </cell>
          <cell r="H889">
            <v>45352</v>
          </cell>
          <cell r="I889" t="str">
            <v>6375 - Freight Expenses</v>
          </cell>
          <cell r="J889">
            <v>0</v>
          </cell>
          <cell r="K889" t="str">
            <v>Production</v>
          </cell>
          <cell r="L889" t="str">
            <v>Freight</v>
          </cell>
          <cell r="N889" t="str">
            <v>Direct Costs</v>
          </cell>
          <cell r="O889" t="str">
            <v>DHL Express - USA</v>
          </cell>
        </row>
        <row r="890">
          <cell r="D890">
            <v>138</v>
          </cell>
          <cell r="H890">
            <v>45352</v>
          </cell>
          <cell r="I890" t="str">
            <v>6430 - Dues &amp; Memberships</v>
          </cell>
          <cell r="J890" t="str">
            <v>Wholesale</v>
          </cell>
          <cell r="K890" t="str">
            <v>Wholesale</v>
          </cell>
          <cell r="L890" t="str">
            <v>Professional Service</v>
          </cell>
          <cell r="N890" t="str">
            <v>Direct Costs</v>
          </cell>
          <cell r="O890" t="str">
            <v>SPS Commerce</v>
          </cell>
        </row>
        <row r="891">
          <cell r="D891">
            <v>2047.5</v>
          </cell>
          <cell r="H891">
            <v>45352</v>
          </cell>
          <cell r="I891" t="str">
            <v>6300 - Payroll Service Fees</v>
          </cell>
          <cell r="J891">
            <v>0</v>
          </cell>
          <cell r="K891" t="str">
            <v>Administration</v>
          </cell>
          <cell r="L891" t="str">
            <v>Professional Service</v>
          </cell>
          <cell r="N891" t="str">
            <v>SG&amp;A</v>
          </cell>
          <cell r="O891" t="str">
            <v>OperationsInc, LLC</v>
          </cell>
        </row>
        <row r="892">
          <cell r="D892">
            <v>660</v>
          </cell>
          <cell r="H892">
            <v>45352</v>
          </cell>
          <cell r="I892" t="str">
            <v>6225 - Professional Services</v>
          </cell>
          <cell r="J892">
            <v>0</v>
          </cell>
          <cell r="K892" t="str">
            <v>Administration</v>
          </cell>
          <cell r="L892" t="str">
            <v>Professional Service</v>
          </cell>
          <cell r="N892" t="str">
            <v>Direct Costs</v>
          </cell>
          <cell r="O892" t="str">
            <v>OperationsInc, LLC</v>
          </cell>
        </row>
        <row r="893">
          <cell r="D893">
            <v>608.75</v>
          </cell>
          <cell r="H893">
            <v>45352</v>
          </cell>
          <cell r="I893" t="str">
            <v>6225 - Professional Services</v>
          </cell>
          <cell r="J893">
            <v>0</v>
          </cell>
          <cell r="K893" t="str">
            <v>Administration</v>
          </cell>
          <cell r="L893" t="str">
            <v>Professional Service</v>
          </cell>
          <cell r="N893" t="str">
            <v>Direct Costs</v>
          </cell>
          <cell r="O893" t="str">
            <v>OperationsInc, LLC</v>
          </cell>
        </row>
        <row r="894">
          <cell r="D894">
            <v>-181.26</v>
          </cell>
          <cell r="H894">
            <v>45352</v>
          </cell>
          <cell r="I894" t="str">
            <v>6340 - Miscellaneous Expense</v>
          </cell>
          <cell r="J894">
            <v>0</v>
          </cell>
          <cell r="K894" t="str">
            <v>Administration</v>
          </cell>
          <cell r="L894" t="str">
            <v>Other</v>
          </cell>
          <cell r="N894" t="str">
            <v>SG&amp;A</v>
          </cell>
          <cell r="O894" t="str">
            <v>[No Vendor]</v>
          </cell>
        </row>
        <row r="895">
          <cell r="D895">
            <v>151.13999999999999</v>
          </cell>
          <cell r="H895">
            <v>45352</v>
          </cell>
          <cell r="I895" t="str">
            <v>6385 - Insurance</v>
          </cell>
          <cell r="J895">
            <v>0</v>
          </cell>
          <cell r="K895" t="str">
            <v>Administration</v>
          </cell>
          <cell r="L895" t="str">
            <v>Professional Service</v>
          </cell>
          <cell r="N895" t="str">
            <v>SG&amp;A</v>
          </cell>
          <cell r="O895" t="str">
            <v>[No Vendor]</v>
          </cell>
        </row>
        <row r="896">
          <cell r="D896">
            <v>327.57</v>
          </cell>
          <cell r="H896">
            <v>45352</v>
          </cell>
          <cell r="I896" t="str">
            <v>6520 - Taxes and Licenses</v>
          </cell>
          <cell r="J896">
            <v>0</v>
          </cell>
          <cell r="K896" t="str">
            <v>Administration</v>
          </cell>
          <cell r="L896" t="str">
            <v>Other</v>
          </cell>
          <cell r="N896" t="str">
            <v>SG&amp;A</v>
          </cell>
          <cell r="O896" t="str">
            <v>[No Vendor]</v>
          </cell>
        </row>
        <row r="897">
          <cell r="D897">
            <v>16673.080000000002</v>
          </cell>
          <cell r="H897">
            <v>45352</v>
          </cell>
          <cell r="I897" t="str">
            <v>6005 - Salaries</v>
          </cell>
          <cell r="J897">
            <v>0</v>
          </cell>
          <cell r="K897" t="str">
            <v>Design</v>
          </cell>
          <cell r="L897" t="str">
            <v>HQ Salaries</v>
          </cell>
          <cell r="N897" t="str">
            <v>SG&amp;A</v>
          </cell>
          <cell r="O897" t="str">
            <v>[No Vendor]</v>
          </cell>
        </row>
        <row r="898">
          <cell r="D898">
            <v>0</v>
          </cell>
          <cell r="H898">
            <v>45352</v>
          </cell>
          <cell r="I898" t="str">
            <v>6205 - Contractors</v>
          </cell>
          <cell r="J898">
            <v>0</v>
          </cell>
          <cell r="K898" t="str">
            <v>Brand Marketing</v>
          </cell>
          <cell r="L898" t="str">
            <v>HQ Salaries</v>
          </cell>
          <cell r="N898" t="str">
            <v>SG&amp;A</v>
          </cell>
          <cell r="O898" t="str">
            <v>[No Vendor]</v>
          </cell>
        </row>
        <row r="899">
          <cell r="D899">
            <v>5075</v>
          </cell>
          <cell r="H899">
            <v>45352</v>
          </cell>
          <cell r="I899" t="str">
            <v>6205 - Contractors</v>
          </cell>
          <cell r="J899" t="str">
            <v>Ecommerce (US)</v>
          </cell>
          <cell r="K899" t="str">
            <v>Ecommerce</v>
          </cell>
          <cell r="L899" t="str">
            <v>HQ Salaries</v>
          </cell>
          <cell r="N899" t="str">
            <v>SG&amp;A</v>
          </cell>
          <cell r="O899" t="str">
            <v>[No Vendor]</v>
          </cell>
        </row>
        <row r="900">
          <cell r="D900">
            <v>-28.91</v>
          </cell>
          <cell r="H900">
            <v>45352</v>
          </cell>
          <cell r="I900" t="str">
            <v>6385 - Insurance</v>
          </cell>
          <cell r="J900">
            <v>0</v>
          </cell>
          <cell r="K900" t="str">
            <v>Administration</v>
          </cell>
          <cell r="L900" t="str">
            <v>Professional Service</v>
          </cell>
          <cell r="N900" t="str">
            <v>SG&amp;A</v>
          </cell>
          <cell r="O900" t="str">
            <v>[No Vendor]</v>
          </cell>
        </row>
        <row r="901">
          <cell r="D901">
            <v>-19.850000000000001</v>
          </cell>
          <cell r="H901">
            <v>45352</v>
          </cell>
          <cell r="I901" t="str">
            <v>6385 - Insurance</v>
          </cell>
          <cell r="J901">
            <v>0</v>
          </cell>
          <cell r="K901" t="str">
            <v>Administration</v>
          </cell>
          <cell r="L901" t="str">
            <v>Professional Service</v>
          </cell>
          <cell r="N901" t="str">
            <v>SG&amp;A</v>
          </cell>
          <cell r="O901" t="str">
            <v>[No Vendor]</v>
          </cell>
        </row>
        <row r="902">
          <cell r="D902">
            <v>-36.840000000000003</v>
          </cell>
          <cell r="H902">
            <v>45352</v>
          </cell>
          <cell r="I902" t="str">
            <v>6385 - Insurance</v>
          </cell>
          <cell r="J902">
            <v>0</v>
          </cell>
          <cell r="K902" t="str">
            <v>Administration</v>
          </cell>
          <cell r="L902" t="str">
            <v>Professional Service</v>
          </cell>
          <cell r="N902" t="str">
            <v>SG&amp;A</v>
          </cell>
          <cell r="O902" t="str">
            <v>[No Vendor]</v>
          </cell>
        </row>
        <row r="903">
          <cell r="D903">
            <v>-77.16</v>
          </cell>
          <cell r="H903">
            <v>45352</v>
          </cell>
          <cell r="I903" t="str">
            <v>6385 - Insurance</v>
          </cell>
          <cell r="J903">
            <v>0</v>
          </cell>
          <cell r="K903" t="str">
            <v>Administration</v>
          </cell>
          <cell r="L903" t="str">
            <v>Professional Service</v>
          </cell>
          <cell r="N903" t="str">
            <v>SG&amp;A</v>
          </cell>
          <cell r="O903" t="str">
            <v>[No Vendor]</v>
          </cell>
        </row>
        <row r="904">
          <cell r="D904">
            <v>-20.34</v>
          </cell>
          <cell r="H904">
            <v>45352</v>
          </cell>
          <cell r="I904" t="str">
            <v>6385 - Insurance</v>
          </cell>
          <cell r="J904">
            <v>0</v>
          </cell>
          <cell r="K904" t="str">
            <v>Administration</v>
          </cell>
          <cell r="L904" t="str">
            <v>Professional Service</v>
          </cell>
          <cell r="N904" t="str">
            <v>SG&amp;A</v>
          </cell>
          <cell r="O904" t="str">
            <v>[No Vendor]</v>
          </cell>
        </row>
        <row r="905">
          <cell r="D905">
            <v>-36.909999999999997</v>
          </cell>
          <cell r="H905">
            <v>45352</v>
          </cell>
          <cell r="I905" t="str">
            <v>6385 - Insurance</v>
          </cell>
          <cell r="J905">
            <v>0</v>
          </cell>
          <cell r="K905" t="str">
            <v>Administration</v>
          </cell>
          <cell r="L905" t="str">
            <v>Professional Service</v>
          </cell>
          <cell r="N905" t="str">
            <v>SG&amp;A</v>
          </cell>
          <cell r="O905" t="str">
            <v>[No Vendor]</v>
          </cell>
        </row>
        <row r="906">
          <cell r="D906">
            <v>-66.989999999999995</v>
          </cell>
          <cell r="H906">
            <v>45352</v>
          </cell>
          <cell r="I906" t="str">
            <v>6385 - Insurance</v>
          </cell>
          <cell r="J906">
            <v>0</v>
          </cell>
          <cell r="K906" t="str">
            <v>Administration</v>
          </cell>
          <cell r="L906" t="str">
            <v>Professional Service</v>
          </cell>
          <cell r="N906" t="str">
            <v>SG&amp;A</v>
          </cell>
          <cell r="O906" t="str">
            <v>[No Vendor]</v>
          </cell>
        </row>
        <row r="907">
          <cell r="D907">
            <v>640</v>
          </cell>
          <cell r="H907">
            <v>45352</v>
          </cell>
          <cell r="I907" t="str">
            <v>6055 - Employer Social Security Tax Withheld</v>
          </cell>
          <cell r="J907">
            <v>0</v>
          </cell>
          <cell r="K907" t="str">
            <v>Merchandising</v>
          </cell>
          <cell r="L907" t="str">
            <v>HQ Salaries</v>
          </cell>
          <cell r="N907" t="str">
            <v>SG&amp;A</v>
          </cell>
          <cell r="O907" t="str">
            <v>[No Vendor]</v>
          </cell>
        </row>
        <row r="908">
          <cell r="D908">
            <v>1080.8599999999999</v>
          </cell>
          <cell r="H908">
            <v>45352</v>
          </cell>
          <cell r="I908" t="str">
            <v>6055 - Employer Social Security Tax Withheld</v>
          </cell>
          <cell r="J908" t="str">
            <v>Wholesale</v>
          </cell>
          <cell r="K908" t="str">
            <v>Wholesale</v>
          </cell>
          <cell r="L908" t="str">
            <v>HQ Salaries</v>
          </cell>
          <cell r="N908" t="str">
            <v>SG&amp;A</v>
          </cell>
          <cell r="O908" t="str">
            <v>[No Vendor]</v>
          </cell>
        </row>
        <row r="909">
          <cell r="D909">
            <v>2035.11</v>
          </cell>
          <cell r="H909">
            <v>45352</v>
          </cell>
          <cell r="I909" t="str">
            <v>6055 - Employer Social Security Tax Withheld</v>
          </cell>
          <cell r="J909">
            <v>0</v>
          </cell>
          <cell r="K909" t="str">
            <v>Production</v>
          </cell>
          <cell r="L909" t="str">
            <v>HQ Salaries</v>
          </cell>
          <cell r="N909" t="str">
            <v>SG&amp;A</v>
          </cell>
          <cell r="O909" t="str">
            <v>[No Vendor]</v>
          </cell>
        </row>
        <row r="910">
          <cell r="D910">
            <v>706.27</v>
          </cell>
          <cell r="H910">
            <v>45352</v>
          </cell>
          <cell r="I910" t="str">
            <v>6055 - Employer Social Security Tax Withheld</v>
          </cell>
          <cell r="J910">
            <v>0</v>
          </cell>
          <cell r="K910" t="str">
            <v>Brand Marketing</v>
          </cell>
          <cell r="L910" t="str">
            <v>HQ Salaries</v>
          </cell>
          <cell r="N910" t="str">
            <v>SG&amp;A</v>
          </cell>
          <cell r="O910" t="str">
            <v>[No Vendor]</v>
          </cell>
        </row>
        <row r="911">
          <cell r="D911">
            <v>2104.84</v>
          </cell>
          <cell r="H911">
            <v>45352</v>
          </cell>
          <cell r="I911" t="str">
            <v>6055 - Employer Social Security Tax Withheld</v>
          </cell>
          <cell r="J911" t="str">
            <v>Ecommerce (US)</v>
          </cell>
          <cell r="K911" t="str">
            <v>Ecommerce</v>
          </cell>
          <cell r="L911" t="str">
            <v>HQ Salaries</v>
          </cell>
          <cell r="N911" t="str">
            <v>SG&amp;A</v>
          </cell>
          <cell r="O911" t="str">
            <v>[No Vendor]</v>
          </cell>
        </row>
        <row r="912">
          <cell r="D912">
            <v>1866.77</v>
          </cell>
          <cell r="H912">
            <v>45352</v>
          </cell>
          <cell r="I912" t="str">
            <v>6055 - Employer Social Security Tax Withheld</v>
          </cell>
          <cell r="J912">
            <v>0</v>
          </cell>
          <cell r="K912" t="str">
            <v>Design</v>
          </cell>
          <cell r="L912" t="str">
            <v>HQ Salaries</v>
          </cell>
          <cell r="N912" t="str">
            <v>SG&amp;A</v>
          </cell>
          <cell r="O912" t="str">
            <v>[No Vendor]</v>
          </cell>
        </row>
        <row r="913">
          <cell r="D913">
            <v>2281.02</v>
          </cell>
          <cell r="H913">
            <v>45352</v>
          </cell>
          <cell r="I913" t="str">
            <v>6055 - Employer Social Security Tax Withheld</v>
          </cell>
          <cell r="J913">
            <v>0</v>
          </cell>
          <cell r="K913" t="str">
            <v>Administration</v>
          </cell>
          <cell r="L913" t="str">
            <v>HQ Salaries</v>
          </cell>
          <cell r="N913" t="str">
            <v>SG&amp;A</v>
          </cell>
          <cell r="O913" t="str">
            <v>[No Vendor]</v>
          </cell>
        </row>
        <row r="914">
          <cell r="D914">
            <v>-125</v>
          </cell>
          <cell r="H914">
            <v>45352</v>
          </cell>
          <cell r="I914" t="str">
            <v>6040 - Employer Paid Benefits</v>
          </cell>
          <cell r="J914">
            <v>0</v>
          </cell>
          <cell r="K914" t="str">
            <v>Administration</v>
          </cell>
          <cell r="L914" t="str">
            <v>HQ Salaries</v>
          </cell>
          <cell r="N914" t="str">
            <v>SG&amp;A</v>
          </cell>
          <cell r="O914" t="str">
            <v>[No Vendor]</v>
          </cell>
        </row>
        <row r="915">
          <cell r="D915">
            <v>0</v>
          </cell>
          <cell r="H915">
            <v>45352</v>
          </cell>
          <cell r="I915" t="str">
            <v>6040 - Employer Paid Benefits</v>
          </cell>
          <cell r="J915">
            <v>0</v>
          </cell>
          <cell r="K915" t="str">
            <v>Merchandising</v>
          </cell>
          <cell r="L915" t="str">
            <v>HQ Salaries</v>
          </cell>
          <cell r="N915" t="str">
            <v>SG&amp;A</v>
          </cell>
          <cell r="O915" t="str">
            <v>[No Vendor]</v>
          </cell>
        </row>
        <row r="916">
          <cell r="D916">
            <v>-20</v>
          </cell>
          <cell r="H916">
            <v>45352</v>
          </cell>
          <cell r="I916" t="str">
            <v>6040 - Employer Paid Benefits</v>
          </cell>
          <cell r="J916" t="str">
            <v>Wholesale</v>
          </cell>
          <cell r="K916" t="str">
            <v>Wholesale</v>
          </cell>
          <cell r="L916" t="str">
            <v>HQ Salaries</v>
          </cell>
          <cell r="N916" t="str">
            <v>SG&amp;A</v>
          </cell>
          <cell r="O916" t="str">
            <v>[No Vendor]</v>
          </cell>
        </row>
        <row r="917">
          <cell r="D917">
            <v>-405.01</v>
          </cell>
          <cell r="H917">
            <v>45352</v>
          </cell>
          <cell r="I917" t="str">
            <v>6040 - Employer Paid Benefits</v>
          </cell>
          <cell r="J917">
            <v>0</v>
          </cell>
          <cell r="K917" t="str">
            <v>Production</v>
          </cell>
          <cell r="L917" t="str">
            <v>HQ Salaries</v>
          </cell>
          <cell r="N917" t="str">
            <v>SG&amp;A</v>
          </cell>
          <cell r="O917" t="str">
            <v>[No Vendor]</v>
          </cell>
        </row>
        <row r="918">
          <cell r="D918">
            <v>-163.18</v>
          </cell>
          <cell r="H918">
            <v>45352</v>
          </cell>
          <cell r="I918" t="str">
            <v>6040 - Employer Paid Benefits</v>
          </cell>
          <cell r="J918">
            <v>0</v>
          </cell>
          <cell r="K918" t="str">
            <v>Brand Marketing</v>
          </cell>
          <cell r="L918" t="str">
            <v>HQ Salaries</v>
          </cell>
          <cell r="N918" t="str">
            <v>SG&amp;A</v>
          </cell>
          <cell r="O918" t="str">
            <v>[No Vendor]</v>
          </cell>
        </row>
        <row r="919">
          <cell r="D919">
            <v>-142.5</v>
          </cell>
          <cell r="H919">
            <v>45352</v>
          </cell>
          <cell r="I919" t="str">
            <v>6040 - Employer Paid Benefits</v>
          </cell>
          <cell r="J919" t="str">
            <v>Ecommerce (US)</v>
          </cell>
          <cell r="K919" t="str">
            <v>Ecommerce</v>
          </cell>
          <cell r="L919" t="str">
            <v>HQ Salaries</v>
          </cell>
          <cell r="N919" t="str">
            <v>SG&amp;A</v>
          </cell>
          <cell r="O919" t="str">
            <v>[No Vendor]</v>
          </cell>
        </row>
        <row r="920">
          <cell r="D920">
            <v>-182.26</v>
          </cell>
          <cell r="H920">
            <v>45352</v>
          </cell>
          <cell r="I920" t="str">
            <v>6040 - Employer Paid Benefits</v>
          </cell>
          <cell r="J920">
            <v>0</v>
          </cell>
          <cell r="K920" t="str">
            <v>Design</v>
          </cell>
          <cell r="L920" t="str">
            <v>HQ Salaries</v>
          </cell>
          <cell r="N920" t="str">
            <v>SG&amp;A</v>
          </cell>
          <cell r="O920" t="str">
            <v>[No Vendor]</v>
          </cell>
        </row>
        <row r="921">
          <cell r="D921">
            <v>22946.639999999999</v>
          </cell>
          <cell r="H921">
            <v>45352</v>
          </cell>
          <cell r="I921" t="str">
            <v>6005 - Salaries</v>
          </cell>
          <cell r="J921">
            <v>0</v>
          </cell>
          <cell r="K921" t="str">
            <v>Administration</v>
          </cell>
          <cell r="L921" t="str">
            <v>HQ Salaries</v>
          </cell>
          <cell r="N921" t="str">
            <v>SG&amp;A</v>
          </cell>
          <cell r="O921" t="str">
            <v>[No Vendor]</v>
          </cell>
        </row>
        <row r="922">
          <cell r="D922">
            <v>5000</v>
          </cell>
          <cell r="H922">
            <v>45352</v>
          </cell>
          <cell r="I922" t="str">
            <v>6005 - Salaries</v>
          </cell>
          <cell r="J922">
            <v>0</v>
          </cell>
          <cell r="K922" t="str">
            <v>Merchandising</v>
          </cell>
          <cell r="L922" t="str">
            <v>HQ Salaries</v>
          </cell>
          <cell r="N922" t="str">
            <v>SG&amp;A</v>
          </cell>
          <cell r="O922" t="str">
            <v>[No Vendor]</v>
          </cell>
        </row>
        <row r="923">
          <cell r="D923">
            <v>9231.5</v>
          </cell>
          <cell r="H923">
            <v>45352</v>
          </cell>
          <cell r="I923" t="str">
            <v>6005 - Salaries</v>
          </cell>
          <cell r="J923" t="str">
            <v>Wholesale</v>
          </cell>
          <cell r="K923" t="str">
            <v>Wholesale</v>
          </cell>
          <cell r="L923" t="str">
            <v>HQ Salaries</v>
          </cell>
          <cell r="N923" t="str">
            <v>SG&amp;A</v>
          </cell>
          <cell r="O923" t="str">
            <v>[No Vendor]</v>
          </cell>
        </row>
        <row r="924">
          <cell r="D924">
            <v>19400.02</v>
          </cell>
          <cell r="H924">
            <v>45352</v>
          </cell>
          <cell r="I924" t="str">
            <v>6005 - Salaries</v>
          </cell>
          <cell r="J924">
            <v>0</v>
          </cell>
          <cell r="K924" t="str">
            <v>Production</v>
          </cell>
          <cell r="L924" t="str">
            <v>HQ Salaries</v>
          </cell>
          <cell r="N924" t="str">
            <v>SG&amp;A</v>
          </cell>
          <cell r="O924" t="str">
            <v>[No Vendor]</v>
          </cell>
        </row>
        <row r="925">
          <cell r="D925">
            <v>4807.7</v>
          </cell>
          <cell r="H925">
            <v>45352</v>
          </cell>
          <cell r="I925" t="str">
            <v>6005 - Salaries</v>
          </cell>
          <cell r="J925">
            <v>0</v>
          </cell>
          <cell r="K925" t="str">
            <v>Brand Marketing</v>
          </cell>
          <cell r="L925" t="str">
            <v>HQ Salaries</v>
          </cell>
          <cell r="N925" t="str">
            <v>SG&amp;A</v>
          </cell>
          <cell r="O925" t="str">
            <v>[No Vendor]</v>
          </cell>
        </row>
        <row r="926">
          <cell r="D926">
            <v>18546.169999999998</v>
          </cell>
          <cell r="H926">
            <v>45352</v>
          </cell>
          <cell r="I926" t="str">
            <v>6005 - Salaries</v>
          </cell>
          <cell r="J926" t="str">
            <v>Ecommerce (US)</v>
          </cell>
          <cell r="K926" t="str">
            <v>Ecommerce</v>
          </cell>
          <cell r="L926" t="str">
            <v>HQ Salaries</v>
          </cell>
          <cell r="N926" t="str">
            <v>SG&amp;A</v>
          </cell>
          <cell r="O926" t="str">
            <v>[No Vendor]</v>
          </cell>
        </row>
        <row r="927">
          <cell r="D927">
            <v>29103.45</v>
          </cell>
          <cell r="H927">
            <v>45352</v>
          </cell>
          <cell r="I927" t="str">
            <v>6375 - Freight Expenses</v>
          </cell>
          <cell r="J927" t="str">
            <v>Ecommerce (US)</v>
          </cell>
          <cell r="K927" t="str">
            <v>Ecommerce</v>
          </cell>
          <cell r="L927" t="str">
            <v>Freight</v>
          </cell>
          <cell r="N927" t="str">
            <v>Direct Costs</v>
          </cell>
          <cell r="O927" t="str">
            <v>UPS Supply Chain Solutions Inc. (7F24A0)</v>
          </cell>
        </row>
        <row r="928">
          <cell r="D928">
            <v>1034.31</v>
          </cell>
          <cell r="H928">
            <v>45352</v>
          </cell>
          <cell r="I928" t="str">
            <v>6340 - Miscellaneous Expense</v>
          </cell>
          <cell r="J928">
            <v>0</v>
          </cell>
          <cell r="K928" t="str">
            <v>Administration</v>
          </cell>
          <cell r="L928" t="str">
            <v>Other</v>
          </cell>
          <cell r="N928" t="str">
            <v>SG&amp;A</v>
          </cell>
          <cell r="O928" t="str">
            <v>Go Gleem LLC</v>
          </cell>
        </row>
        <row r="929">
          <cell r="D929">
            <v>51.15</v>
          </cell>
          <cell r="H929">
            <v>45352</v>
          </cell>
          <cell r="I929" t="str">
            <v>6040 - Employer Paid Benefits</v>
          </cell>
          <cell r="J929">
            <v>0</v>
          </cell>
          <cell r="K929" t="str">
            <v>Design</v>
          </cell>
          <cell r="L929" t="str">
            <v>HQ Salaries</v>
          </cell>
          <cell r="N929" t="str">
            <v>SG&amp;A</v>
          </cell>
          <cell r="O929" t="str">
            <v>Procyon Benefits LLC</v>
          </cell>
        </row>
        <row r="930">
          <cell r="D930">
            <v>8000</v>
          </cell>
          <cell r="H930">
            <v>45352</v>
          </cell>
          <cell r="I930" t="str">
            <v>6380 - Legal &amp; Accounting</v>
          </cell>
          <cell r="J930">
            <v>0</v>
          </cell>
          <cell r="K930" t="str">
            <v>Administration</v>
          </cell>
          <cell r="L930" t="str">
            <v>Professional Service</v>
          </cell>
          <cell r="N930" t="str">
            <v>SG&amp;A</v>
          </cell>
          <cell r="O930" t="str">
            <v>Greenwald Doherty LLP</v>
          </cell>
        </row>
        <row r="931">
          <cell r="D931">
            <v>414.35</v>
          </cell>
          <cell r="H931">
            <v>45352</v>
          </cell>
          <cell r="I931" t="str">
            <v>6375 - Freight Expenses</v>
          </cell>
          <cell r="J931" t="str">
            <v>Ecommerce (US)</v>
          </cell>
          <cell r="K931" t="str">
            <v>Ecommerce</v>
          </cell>
          <cell r="L931" t="str">
            <v>Freight</v>
          </cell>
          <cell r="N931" t="str">
            <v>Direct Costs</v>
          </cell>
          <cell r="O931" t="str">
            <v>Federal Express</v>
          </cell>
        </row>
        <row r="932">
          <cell r="D932">
            <v>1214.06</v>
          </cell>
          <cell r="H932">
            <v>45352</v>
          </cell>
          <cell r="I932" t="str">
            <v>6040 - Employer Paid Benefits</v>
          </cell>
          <cell r="J932">
            <v>0</v>
          </cell>
          <cell r="K932" t="str">
            <v>Production</v>
          </cell>
          <cell r="L932" t="str">
            <v>HQ Salaries</v>
          </cell>
          <cell r="N932" t="str">
            <v>SG&amp;A</v>
          </cell>
          <cell r="O932" t="str">
            <v>Procyon Benefits LLC</v>
          </cell>
        </row>
        <row r="933">
          <cell r="D933">
            <v>31.1</v>
          </cell>
          <cell r="H933">
            <v>45352</v>
          </cell>
          <cell r="I933" t="str">
            <v>6040 - Employer Paid Benefits</v>
          </cell>
          <cell r="J933">
            <v>0</v>
          </cell>
          <cell r="K933" t="str">
            <v>Merchandising</v>
          </cell>
          <cell r="L933" t="str">
            <v>HQ Salaries</v>
          </cell>
          <cell r="N933" t="str">
            <v>SG&amp;A</v>
          </cell>
          <cell r="O933" t="str">
            <v>Procyon Benefits LLC</v>
          </cell>
        </row>
        <row r="934">
          <cell r="D934">
            <v>76</v>
          </cell>
          <cell r="H934">
            <v>45352</v>
          </cell>
          <cell r="I934" t="str">
            <v>6040 - Employer Paid Benefits</v>
          </cell>
          <cell r="J934" t="str">
            <v>Ecommerce (US)</v>
          </cell>
          <cell r="K934" t="str">
            <v>Ecommerce</v>
          </cell>
          <cell r="L934" t="str">
            <v>HQ Salaries</v>
          </cell>
          <cell r="N934" t="str">
            <v>SG&amp;A</v>
          </cell>
          <cell r="O934" t="str">
            <v>Procyon Benefits LLC</v>
          </cell>
        </row>
        <row r="935">
          <cell r="D935">
            <v>23.2</v>
          </cell>
          <cell r="H935">
            <v>45352</v>
          </cell>
          <cell r="I935" t="str">
            <v>6040 - Employer Paid Benefits</v>
          </cell>
          <cell r="J935">
            <v>0</v>
          </cell>
          <cell r="K935" t="str">
            <v>Executive</v>
          </cell>
          <cell r="L935" t="str">
            <v>HQ Salaries</v>
          </cell>
          <cell r="N935" t="str">
            <v>SG&amp;A</v>
          </cell>
          <cell r="O935" t="str">
            <v>Procyon Benefits LLC</v>
          </cell>
        </row>
        <row r="936">
          <cell r="D936">
            <v>12385.75</v>
          </cell>
          <cell r="H936">
            <v>45352</v>
          </cell>
          <cell r="I936" t="str">
            <v>6375 - Freight Expenses</v>
          </cell>
          <cell r="J936" t="str">
            <v>Ecommerce (EU)</v>
          </cell>
          <cell r="K936" t="str">
            <v>Ecommerce</v>
          </cell>
          <cell r="L936" t="str">
            <v>Freight</v>
          </cell>
          <cell r="N936" t="str">
            <v>Direct Costs</v>
          </cell>
          <cell r="O936" t="str">
            <v>Global E</v>
          </cell>
        </row>
        <row r="937">
          <cell r="D937">
            <v>3058.18</v>
          </cell>
          <cell r="H937">
            <v>45352</v>
          </cell>
          <cell r="I937" t="str">
            <v>6450 - Bank &amp; Other Fees</v>
          </cell>
          <cell r="J937" t="str">
            <v>Ecommerce (EU)</v>
          </cell>
          <cell r="K937" t="str">
            <v>Ecommerce</v>
          </cell>
          <cell r="L937" t="str">
            <v>Professional Service</v>
          </cell>
          <cell r="N937" t="str">
            <v>Direct Costs</v>
          </cell>
          <cell r="O937" t="str">
            <v>[No Vendor]</v>
          </cell>
        </row>
        <row r="938">
          <cell r="D938">
            <v>36.04</v>
          </cell>
          <cell r="H938">
            <v>45352</v>
          </cell>
          <cell r="I938" t="str">
            <v>6375 - Freight Expenses</v>
          </cell>
          <cell r="J938" t="str">
            <v>Ecommerce (US)</v>
          </cell>
          <cell r="K938" t="str">
            <v>Ecommerce</v>
          </cell>
          <cell r="L938" t="str">
            <v>Freight</v>
          </cell>
          <cell r="N938" t="str">
            <v>Direct Costs</v>
          </cell>
          <cell r="O938" t="str">
            <v>Federal Express</v>
          </cell>
        </row>
        <row r="939">
          <cell r="D939">
            <v>155.71</v>
          </cell>
          <cell r="H939">
            <v>45352</v>
          </cell>
          <cell r="I939" t="str">
            <v>6375 - Freight Expenses</v>
          </cell>
          <cell r="J939">
            <v>0</v>
          </cell>
          <cell r="K939" t="str">
            <v>Production</v>
          </cell>
          <cell r="L939" t="str">
            <v>Freight</v>
          </cell>
          <cell r="N939" t="str">
            <v>Direct Costs</v>
          </cell>
          <cell r="O939" t="str">
            <v>DHL Express - USA</v>
          </cell>
        </row>
        <row r="940">
          <cell r="D940">
            <v>237.23</v>
          </cell>
          <cell r="H940">
            <v>45352</v>
          </cell>
          <cell r="I940" t="str">
            <v>6375 - Freight Expenses</v>
          </cell>
          <cell r="J940">
            <v>0</v>
          </cell>
          <cell r="K940" t="str">
            <v>Production</v>
          </cell>
          <cell r="L940" t="str">
            <v>Freight</v>
          </cell>
          <cell r="N940" t="str">
            <v>Direct Costs</v>
          </cell>
          <cell r="O940" t="str">
            <v>DHL Express - USA</v>
          </cell>
        </row>
        <row r="941">
          <cell r="D941">
            <v>-654.52</v>
          </cell>
          <cell r="H941">
            <v>45352</v>
          </cell>
          <cell r="I941" t="str">
            <v>6055 - Employer Social Security Tax Withheld</v>
          </cell>
          <cell r="J941">
            <v>0</v>
          </cell>
          <cell r="K941" t="str">
            <v>Administration</v>
          </cell>
          <cell r="L941" t="str">
            <v>HQ Salaries</v>
          </cell>
          <cell r="N941" t="str">
            <v>SG&amp;A</v>
          </cell>
          <cell r="O941" t="str">
            <v>[No Vendor]</v>
          </cell>
        </row>
        <row r="942">
          <cell r="D942">
            <v>413.03</v>
          </cell>
          <cell r="H942">
            <v>45352</v>
          </cell>
          <cell r="I942" t="str">
            <v>6450 - Bank &amp; Other Fees</v>
          </cell>
          <cell r="J942" t="str">
            <v>Ecommerce (US)</v>
          </cell>
          <cell r="K942" t="str">
            <v>Ecommerce</v>
          </cell>
          <cell r="L942" t="str">
            <v>Professional Service</v>
          </cell>
          <cell r="N942" t="str">
            <v>Direct Costs</v>
          </cell>
          <cell r="O942" t="str">
            <v>[No Vendor]</v>
          </cell>
        </row>
        <row r="943">
          <cell r="D943">
            <v>4490.71</v>
          </cell>
          <cell r="H943">
            <v>45352</v>
          </cell>
          <cell r="I943" t="str">
            <v>6375 - Freight Expenses</v>
          </cell>
          <cell r="J943">
            <v>0</v>
          </cell>
          <cell r="K943" t="str">
            <v>Production</v>
          </cell>
          <cell r="L943" t="str">
            <v>Freight</v>
          </cell>
          <cell r="N943" t="str">
            <v>Direct Costs</v>
          </cell>
          <cell r="O943" t="str">
            <v>DHL Express - USA</v>
          </cell>
        </row>
        <row r="944">
          <cell r="D944">
            <v>315</v>
          </cell>
          <cell r="H944">
            <v>45352</v>
          </cell>
          <cell r="I944" t="str">
            <v>6140 - Other</v>
          </cell>
          <cell r="J944">
            <v>0</v>
          </cell>
          <cell r="K944" t="str">
            <v>Administration</v>
          </cell>
          <cell r="L944" t="str">
            <v>T&amp;E</v>
          </cell>
          <cell r="N944" t="str">
            <v>SG&amp;A</v>
          </cell>
          <cell r="O944" t="str">
            <v>[No Vendor]</v>
          </cell>
        </row>
        <row r="945">
          <cell r="D945">
            <v>2210</v>
          </cell>
          <cell r="H945">
            <v>45352</v>
          </cell>
          <cell r="I945" t="str">
            <v>6300 - Payroll Service Fees</v>
          </cell>
          <cell r="J945">
            <v>0</v>
          </cell>
          <cell r="K945" t="str">
            <v>Administration</v>
          </cell>
          <cell r="L945" t="str">
            <v>Professional Service</v>
          </cell>
          <cell r="N945" t="str">
            <v>SG&amp;A</v>
          </cell>
          <cell r="O945" t="str">
            <v>OperationsInc, LLC</v>
          </cell>
        </row>
        <row r="946">
          <cell r="D946">
            <v>2210</v>
          </cell>
          <cell r="H946">
            <v>45352</v>
          </cell>
          <cell r="I946" t="str">
            <v>6300 - Payroll Service Fees</v>
          </cell>
          <cell r="J946">
            <v>0</v>
          </cell>
          <cell r="K946" t="str">
            <v>Administration</v>
          </cell>
          <cell r="L946" t="str">
            <v>Professional Service</v>
          </cell>
          <cell r="N946" t="str">
            <v>SG&amp;A</v>
          </cell>
          <cell r="O946" t="str">
            <v>OperationsInc, LLC</v>
          </cell>
        </row>
        <row r="947">
          <cell r="D947">
            <v>1020</v>
          </cell>
          <cell r="H947">
            <v>45352</v>
          </cell>
          <cell r="I947" t="str">
            <v>6225 - Professional Services</v>
          </cell>
          <cell r="J947">
            <v>0</v>
          </cell>
          <cell r="K947" t="str">
            <v>Administration</v>
          </cell>
          <cell r="L947" t="str">
            <v>Professional Service</v>
          </cell>
          <cell r="N947" t="str">
            <v>Direct Costs</v>
          </cell>
          <cell r="O947" t="str">
            <v>OperationsInc, LLC</v>
          </cell>
        </row>
        <row r="948">
          <cell r="D948">
            <v>180</v>
          </cell>
          <cell r="H948">
            <v>45352</v>
          </cell>
          <cell r="I948" t="str">
            <v>6225 - Professional Services</v>
          </cell>
          <cell r="J948">
            <v>0</v>
          </cell>
          <cell r="K948" t="str">
            <v>Administration</v>
          </cell>
          <cell r="L948" t="str">
            <v>Professional Service</v>
          </cell>
          <cell r="N948" t="str">
            <v>Direct Costs</v>
          </cell>
          <cell r="O948" t="str">
            <v>OperationsInc, LLC</v>
          </cell>
        </row>
        <row r="949">
          <cell r="D949">
            <v>1020</v>
          </cell>
          <cell r="H949">
            <v>45352</v>
          </cell>
          <cell r="I949" t="str">
            <v>6225 - Professional Services</v>
          </cell>
          <cell r="J949">
            <v>0</v>
          </cell>
          <cell r="K949" t="str">
            <v>Administration</v>
          </cell>
          <cell r="L949" t="str">
            <v>Professional Service</v>
          </cell>
          <cell r="N949" t="str">
            <v>Direct Costs</v>
          </cell>
          <cell r="O949" t="str">
            <v>OperationsInc, LLC</v>
          </cell>
        </row>
        <row r="950">
          <cell r="D950">
            <v>180</v>
          </cell>
          <cell r="H950">
            <v>45352</v>
          </cell>
          <cell r="I950" t="str">
            <v>6225 - Professional Services</v>
          </cell>
          <cell r="J950">
            <v>0</v>
          </cell>
          <cell r="K950" t="str">
            <v>Administration</v>
          </cell>
          <cell r="L950" t="str">
            <v>Professional Service</v>
          </cell>
          <cell r="N950" t="str">
            <v>Direct Costs</v>
          </cell>
          <cell r="O950" t="str">
            <v>OperationsInc, LLC</v>
          </cell>
        </row>
        <row r="951">
          <cell r="D951">
            <v>851.75</v>
          </cell>
          <cell r="H951">
            <v>45352</v>
          </cell>
          <cell r="I951" t="str">
            <v>6115 - Airfare</v>
          </cell>
          <cell r="J951">
            <v>0</v>
          </cell>
          <cell r="K951" t="str">
            <v>Administration</v>
          </cell>
          <cell r="L951" t="str">
            <v>T&amp;E</v>
          </cell>
          <cell r="N951" t="str">
            <v>SG&amp;A</v>
          </cell>
          <cell r="O951" t="str">
            <v>[No Vendor]</v>
          </cell>
        </row>
        <row r="952">
          <cell r="D952">
            <v>438.91</v>
          </cell>
          <cell r="H952">
            <v>45352</v>
          </cell>
          <cell r="I952" t="str">
            <v>6375 - Freight Expenses</v>
          </cell>
          <cell r="J952">
            <v>0</v>
          </cell>
          <cell r="K952" t="str">
            <v>Production</v>
          </cell>
          <cell r="L952" t="str">
            <v>Freight</v>
          </cell>
          <cell r="N952" t="str">
            <v>Direct Costs</v>
          </cell>
          <cell r="O952" t="str">
            <v>DHL Express - USA</v>
          </cell>
        </row>
        <row r="953">
          <cell r="D953">
            <v>-470.2</v>
          </cell>
          <cell r="H953">
            <v>45352</v>
          </cell>
          <cell r="I953" t="str">
            <v>6040 - Employer Paid Benefits</v>
          </cell>
          <cell r="J953">
            <v>0</v>
          </cell>
          <cell r="K953" t="str">
            <v>Administration</v>
          </cell>
          <cell r="L953" t="str">
            <v>HQ Salaries</v>
          </cell>
          <cell r="N953" t="str">
            <v>SG&amp;A</v>
          </cell>
          <cell r="O953" t="str">
            <v>[No Vendor]</v>
          </cell>
        </row>
        <row r="954">
          <cell r="D954">
            <v>719.8</v>
          </cell>
          <cell r="H954">
            <v>45352</v>
          </cell>
          <cell r="I954" t="str">
            <v>6410 - Lease Expense</v>
          </cell>
          <cell r="J954">
            <v>0</v>
          </cell>
          <cell r="K954" t="str">
            <v>Administration</v>
          </cell>
          <cell r="L954" t="str">
            <v>Rent</v>
          </cell>
          <cell r="N954" t="str">
            <v>SG&amp;A</v>
          </cell>
          <cell r="O954" t="str">
            <v>Canon Financial Services, Inc.</v>
          </cell>
        </row>
        <row r="955">
          <cell r="D955">
            <v>230</v>
          </cell>
          <cell r="H955">
            <v>45352</v>
          </cell>
          <cell r="I955" t="str">
            <v>6120 - Lodging</v>
          </cell>
          <cell r="J955">
            <v>0</v>
          </cell>
          <cell r="K955" t="str">
            <v>Brand Marketing</v>
          </cell>
          <cell r="L955" t="str">
            <v>T&amp;E</v>
          </cell>
          <cell r="N955" t="str">
            <v>SG&amp;A</v>
          </cell>
          <cell r="O955" t="str">
            <v>Kalina Pregnolato</v>
          </cell>
        </row>
        <row r="956">
          <cell r="D956">
            <v>649.61</v>
          </cell>
          <cell r="H956">
            <v>45352</v>
          </cell>
          <cell r="I956" t="str">
            <v>6375 - Freight Expenses</v>
          </cell>
          <cell r="J956" t="str">
            <v>Wholesale</v>
          </cell>
          <cell r="K956" t="str">
            <v>Wholesale</v>
          </cell>
          <cell r="L956" t="str">
            <v>Freight</v>
          </cell>
          <cell r="N956" t="str">
            <v>Direct Costs</v>
          </cell>
          <cell r="O956" t="str">
            <v>Bergen Logistics Corporation</v>
          </cell>
        </row>
        <row r="957">
          <cell r="D957">
            <v>33737.97</v>
          </cell>
          <cell r="H957">
            <v>45352</v>
          </cell>
          <cell r="I957" t="str">
            <v>6377 - Order Processing Expenses (New)</v>
          </cell>
          <cell r="J957" t="str">
            <v>Ecommerce (US)</v>
          </cell>
          <cell r="K957" t="str">
            <v>Ecommerce</v>
          </cell>
          <cell r="L957" t="str">
            <v>Order Processing</v>
          </cell>
          <cell r="N957" t="str">
            <v>Direct Costs</v>
          </cell>
          <cell r="O957" t="str">
            <v>Bergen Logistics Corporation</v>
          </cell>
        </row>
        <row r="958">
          <cell r="D958">
            <v>16444.98</v>
          </cell>
          <cell r="H958">
            <v>45352</v>
          </cell>
          <cell r="I958" t="str">
            <v>6377 - Order Processing Expenses (New)</v>
          </cell>
          <cell r="J958" t="str">
            <v>Wholesale</v>
          </cell>
          <cell r="K958" t="str">
            <v>Wholesale</v>
          </cell>
          <cell r="L958" t="str">
            <v>Order Processing</v>
          </cell>
          <cell r="N958" t="str">
            <v>Direct Costs</v>
          </cell>
          <cell r="O958" t="str">
            <v>Bergen Logistics Corporation</v>
          </cell>
        </row>
        <row r="959">
          <cell r="D959">
            <v>85</v>
          </cell>
          <cell r="H959">
            <v>45352</v>
          </cell>
          <cell r="I959" t="str">
            <v>6300 - Payroll Service Fees</v>
          </cell>
          <cell r="J959">
            <v>0</v>
          </cell>
          <cell r="K959" t="str">
            <v>Administration</v>
          </cell>
          <cell r="L959" t="str">
            <v>Professional Service</v>
          </cell>
          <cell r="N959" t="str">
            <v>SG&amp;A</v>
          </cell>
          <cell r="O959" t="str">
            <v>Paychex of NY LLC</v>
          </cell>
        </row>
        <row r="960">
          <cell r="D960">
            <v>1671.52</v>
          </cell>
          <cell r="H960">
            <v>45352</v>
          </cell>
          <cell r="I960" t="str">
            <v>6375 - Freight Expenses</v>
          </cell>
          <cell r="J960" t="str">
            <v>Ecommerce (US)</v>
          </cell>
          <cell r="K960" t="str">
            <v>Ecommerce</v>
          </cell>
          <cell r="L960" t="str">
            <v>Freight</v>
          </cell>
          <cell r="N960" t="str">
            <v>Direct Costs</v>
          </cell>
          <cell r="O960" t="str">
            <v>Bergen Logistics Corporation</v>
          </cell>
        </row>
        <row r="961">
          <cell r="D961">
            <v>97.58</v>
          </cell>
          <cell r="H961">
            <v>45352</v>
          </cell>
          <cell r="I961" t="str">
            <v>8505 - Realized Gain/Loss</v>
          </cell>
          <cell r="J961">
            <v>0</v>
          </cell>
          <cell r="K961" t="str">
            <v>No Department</v>
          </cell>
          <cell r="L961" t="str">
            <v>Realized Gain / Loss</v>
          </cell>
          <cell r="N961" t="str">
            <v>BTL</v>
          </cell>
          <cell r="O961" t="str">
            <v>[No Vendor]</v>
          </cell>
        </row>
        <row r="962">
          <cell r="D962">
            <v>0.55000000000000004</v>
          </cell>
          <cell r="H962">
            <v>45352</v>
          </cell>
          <cell r="I962" t="str">
            <v>8505 - Realized Gain/Loss</v>
          </cell>
          <cell r="J962">
            <v>0</v>
          </cell>
          <cell r="K962" t="str">
            <v>No Department</v>
          </cell>
          <cell r="L962" t="str">
            <v>Realized Gain / Loss</v>
          </cell>
          <cell r="N962" t="str">
            <v>BTL</v>
          </cell>
          <cell r="O962" t="str">
            <v>[No Vendor]</v>
          </cell>
        </row>
        <row r="963">
          <cell r="D963">
            <v>51.14</v>
          </cell>
          <cell r="H963">
            <v>45352</v>
          </cell>
          <cell r="I963" t="str">
            <v>8505 - Realized Gain/Loss</v>
          </cell>
          <cell r="J963">
            <v>0</v>
          </cell>
          <cell r="K963" t="str">
            <v>Licensing</v>
          </cell>
          <cell r="L963" t="str">
            <v>Realized Gain / Loss</v>
          </cell>
          <cell r="N963" t="str">
            <v>BTL</v>
          </cell>
          <cell r="O963" t="str">
            <v>[No Vendor]</v>
          </cell>
        </row>
        <row r="964">
          <cell r="D964">
            <v>1522.47</v>
          </cell>
          <cell r="H964">
            <v>45352</v>
          </cell>
          <cell r="I964" t="str">
            <v>8505 - Realized Gain/Loss</v>
          </cell>
          <cell r="J964">
            <v>0</v>
          </cell>
          <cell r="K964" t="str">
            <v>No Department</v>
          </cell>
          <cell r="L964" t="str">
            <v>Realized Gain / Loss</v>
          </cell>
          <cell r="N964" t="str">
            <v>BTL</v>
          </cell>
          <cell r="O964" t="str">
            <v>[No Vendor]</v>
          </cell>
        </row>
        <row r="965">
          <cell r="D965">
            <v>315.82</v>
          </cell>
          <cell r="H965">
            <v>45352</v>
          </cell>
          <cell r="I965" t="str">
            <v>6300 - Payroll Service Fees</v>
          </cell>
          <cell r="J965">
            <v>0</v>
          </cell>
          <cell r="K965" t="str">
            <v>Administration</v>
          </cell>
          <cell r="L965" t="str">
            <v>Professional Service</v>
          </cell>
          <cell r="N965" t="str">
            <v>SG&amp;A</v>
          </cell>
          <cell r="O965" t="str">
            <v>ADP Payroll Services</v>
          </cell>
        </row>
        <row r="966">
          <cell r="D966">
            <v>25992.07</v>
          </cell>
          <cell r="H966">
            <v>45352</v>
          </cell>
          <cell r="I966" t="str">
            <v>6375 - Freight Expenses</v>
          </cell>
          <cell r="J966" t="str">
            <v>Ecommerce (US)</v>
          </cell>
          <cell r="K966" t="str">
            <v>Ecommerce</v>
          </cell>
          <cell r="L966" t="str">
            <v>Freight</v>
          </cell>
          <cell r="N966" t="str">
            <v>Direct Costs</v>
          </cell>
          <cell r="O966" t="str">
            <v>UPS Supply Chain Solutions Inc. (7F24A0)</v>
          </cell>
        </row>
        <row r="967">
          <cell r="D967">
            <v>4500</v>
          </cell>
          <cell r="H967">
            <v>45352</v>
          </cell>
          <cell r="I967" t="str">
            <v>6225 - Professional Services</v>
          </cell>
          <cell r="J967" t="str">
            <v>Ecommerce (US)</v>
          </cell>
          <cell r="K967" t="str">
            <v>Ecommerce</v>
          </cell>
          <cell r="L967" t="str">
            <v>Professional Service</v>
          </cell>
          <cell r="N967" t="str">
            <v>Direct Costs</v>
          </cell>
          <cell r="O967" t="str">
            <v>Freeflow LLC</v>
          </cell>
        </row>
        <row r="968">
          <cell r="D968">
            <v>100</v>
          </cell>
          <cell r="H968">
            <v>45352</v>
          </cell>
          <cell r="I968" t="str">
            <v>6040 - Employer Paid Benefits</v>
          </cell>
          <cell r="J968">
            <v>0</v>
          </cell>
          <cell r="K968" t="str">
            <v>Administration</v>
          </cell>
          <cell r="L968" t="str">
            <v>HQ Salaries</v>
          </cell>
          <cell r="N968" t="str">
            <v>SG&amp;A</v>
          </cell>
          <cell r="O968" t="str">
            <v>Procyon Benefits LLC</v>
          </cell>
        </row>
        <row r="969">
          <cell r="D969">
            <v>30.34</v>
          </cell>
          <cell r="H969">
            <v>45352</v>
          </cell>
          <cell r="I969" t="str">
            <v>6375 - Freight Expenses</v>
          </cell>
          <cell r="J969" t="str">
            <v>Ecommerce (US)</v>
          </cell>
          <cell r="K969" t="str">
            <v>Ecommerce</v>
          </cell>
          <cell r="L969" t="str">
            <v>Freight</v>
          </cell>
          <cell r="N969" t="str">
            <v>Direct Costs</v>
          </cell>
          <cell r="O969" t="str">
            <v>Federal Express</v>
          </cell>
        </row>
        <row r="970">
          <cell r="D970">
            <v>289.10000000000002</v>
          </cell>
          <cell r="H970">
            <v>45352</v>
          </cell>
          <cell r="I970" t="str">
            <v>6375 - Freight Expenses</v>
          </cell>
          <cell r="J970" t="str">
            <v>Ecommerce (US)</v>
          </cell>
          <cell r="K970" t="str">
            <v>Ecommerce</v>
          </cell>
          <cell r="L970" t="str">
            <v>Freight</v>
          </cell>
          <cell r="N970" t="str">
            <v>Direct Costs</v>
          </cell>
          <cell r="O970" t="str">
            <v>Federal Express</v>
          </cell>
        </row>
        <row r="971">
          <cell r="D971">
            <v>359.68</v>
          </cell>
          <cell r="H971">
            <v>45352</v>
          </cell>
          <cell r="I971" t="str">
            <v>6040 - Employer Paid Benefits</v>
          </cell>
          <cell r="J971">
            <v>0</v>
          </cell>
          <cell r="K971" t="str">
            <v>Production</v>
          </cell>
          <cell r="L971" t="str">
            <v>HQ Salaries</v>
          </cell>
          <cell r="N971" t="str">
            <v>SG&amp;A</v>
          </cell>
          <cell r="O971" t="str">
            <v>Procyon Benefits LLC</v>
          </cell>
        </row>
        <row r="972">
          <cell r="D972">
            <v>257.83</v>
          </cell>
          <cell r="H972">
            <v>45352</v>
          </cell>
          <cell r="I972" t="str">
            <v>6040 - Employer Paid Benefits</v>
          </cell>
          <cell r="J972">
            <v>0</v>
          </cell>
          <cell r="K972" t="str">
            <v>Merchandising</v>
          </cell>
          <cell r="L972" t="str">
            <v>HQ Salaries</v>
          </cell>
          <cell r="N972" t="str">
            <v>SG&amp;A</v>
          </cell>
          <cell r="O972" t="str">
            <v>Procyon Benefits LLC</v>
          </cell>
        </row>
        <row r="973">
          <cell r="D973">
            <v>10.5</v>
          </cell>
          <cell r="H973">
            <v>45352</v>
          </cell>
          <cell r="I973" t="str">
            <v>6040 - Employer Paid Benefits</v>
          </cell>
          <cell r="J973" t="str">
            <v>Ecommerce (US)</v>
          </cell>
          <cell r="K973" t="str">
            <v>Ecommerce</v>
          </cell>
          <cell r="L973" t="str">
            <v>HQ Salaries</v>
          </cell>
          <cell r="N973" t="str">
            <v>SG&amp;A</v>
          </cell>
          <cell r="O973" t="str">
            <v>Procyon Benefits LLC</v>
          </cell>
        </row>
        <row r="974">
          <cell r="D974">
            <v>774.4</v>
          </cell>
          <cell r="H974">
            <v>45352</v>
          </cell>
          <cell r="I974" t="str">
            <v>6040 - Employer Paid Benefits</v>
          </cell>
          <cell r="J974">
            <v>0</v>
          </cell>
          <cell r="K974" t="str">
            <v>Executive</v>
          </cell>
          <cell r="L974" t="str">
            <v>HQ Salaries</v>
          </cell>
          <cell r="N974" t="str">
            <v>SG&amp;A</v>
          </cell>
          <cell r="O974" t="str">
            <v>Procyon Benefits LLC</v>
          </cell>
        </row>
        <row r="975">
          <cell r="D975">
            <v>3204.53</v>
          </cell>
          <cell r="H975">
            <v>45352</v>
          </cell>
          <cell r="I975" t="str">
            <v>6375 - Freight Expenses</v>
          </cell>
          <cell r="J975" t="str">
            <v>Ecommerce (EU)</v>
          </cell>
          <cell r="K975" t="str">
            <v>Ecommerce</v>
          </cell>
          <cell r="L975" t="str">
            <v>Freight</v>
          </cell>
          <cell r="N975" t="str">
            <v>Direct Costs</v>
          </cell>
          <cell r="O975" t="str">
            <v>Global E</v>
          </cell>
        </row>
        <row r="976">
          <cell r="D976">
            <v>3928.52</v>
          </cell>
          <cell r="H976">
            <v>45352</v>
          </cell>
          <cell r="I976" t="str">
            <v>6450 - Bank &amp; Other Fees</v>
          </cell>
          <cell r="J976" t="str">
            <v>Ecommerce (EU)</v>
          </cell>
          <cell r="K976" t="str">
            <v>Ecommerce</v>
          </cell>
          <cell r="L976" t="str">
            <v>Professional Service</v>
          </cell>
          <cell r="N976" t="str">
            <v>Direct Costs</v>
          </cell>
          <cell r="O976" t="str">
            <v>[No Vendor]</v>
          </cell>
        </row>
        <row r="977">
          <cell r="D977">
            <v>1926.43</v>
          </cell>
          <cell r="H977">
            <v>45352</v>
          </cell>
          <cell r="I977" t="str">
            <v>6430 - Dues &amp; Memberships</v>
          </cell>
          <cell r="J977" t="str">
            <v>Ecommerce (US)</v>
          </cell>
          <cell r="K977" t="str">
            <v>Ecommerce</v>
          </cell>
          <cell r="L977" t="str">
            <v>Professional Service</v>
          </cell>
          <cell r="N977" t="str">
            <v>Direct Costs</v>
          </cell>
          <cell r="O977" t="str">
            <v>Loop</v>
          </cell>
        </row>
        <row r="978">
          <cell r="D978">
            <v>18150</v>
          </cell>
          <cell r="H978">
            <v>45352</v>
          </cell>
          <cell r="I978" t="str">
            <v>6380 - Legal &amp; Accounting</v>
          </cell>
          <cell r="J978" t="str">
            <v>Ecommerce (US)</v>
          </cell>
          <cell r="K978" t="str">
            <v>Ecommerce</v>
          </cell>
          <cell r="L978" t="str">
            <v>Professional Service</v>
          </cell>
          <cell r="N978" t="str">
            <v>SG&amp;A</v>
          </cell>
          <cell r="O978" t="str">
            <v>F&amp;F Korea</v>
          </cell>
        </row>
        <row r="979">
          <cell r="D979">
            <v>300</v>
          </cell>
          <cell r="H979">
            <v>45352</v>
          </cell>
          <cell r="I979" t="str">
            <v>6288 - Model</v>
          </cell>
          <cell r="J979" t="str">
            <v>Ecommerce (US)</v>
          </cell>
          <cell r="K979" t="str">
            <v>Brand Marketing</v>
          </cell>
          <cell r="L979" t="str">
            <v>Advertising</v>
          </cell>
          <cell r="N979" t="str">
            <v>SG&amp;A</v>
          </cell>
          <cell r="O979" t="str">
            <v>State Artist Management</v>
          </cell>
        </row>
        <row r="980">
          <cell r="D980">
            <v>8324.75</v>
          </cell>
          <cell r="H980">
            <v>45352</v>
          </cell>
          <cell r="I980" t="str">
            <v>6210 - Monitoring</v>
          </cell>
          <cell r="J980" t="str">
            <v>Ecommerce (EU)</v>
          </cell>
          <cell r="K980" t="str">
            <v>Ecommerce</v>
          </cell>
          <cell r="L980" t="str">
            <v>Professional Service</v>
          </cell>
          <cell r="N980" t="str">
            <v>Direct Costs</v>
          </cell>
          <cell r="O980" t="str">
            <v>Convey SRL</v>
          </cell>
        </row>
        <row r="981">
          <cell r="D981">
            <v>0.01</v>
          </cell>
          <cell r="H981">
            <v>45352</v>
          </cell>
          <cell r="I981" t="str">
            <v>8590 - Rounding Gain/Loss</v>
          </cell>
          <cell r="J981">
            <v>0</v>
          </cell>
          <cell r="K981" t="str">
            <v>No Department</v>
          </cell>
          <cell r="L981" t="str">
            <v>Realized Gain / Loss</v>
          </cell>
          <cell r="N981" t="str">
            <v>BTL</v>
          </cell>
          <cell r="O981" t="str">
            <v>[No Vendor]</v>
          </cell>
        </row>
        <row r="982">
          <cell r="D982">
            <v>1028.3699999999999</v>
          </cell>
          <cell r="H982">
            <v>45352</v>
          </cell>
          <cell r="I982" t="str">
            <v>6375 - Freight Expenses</v>
          </cell>
          <cell r="J982">
            <v>0</v>
          </cell>
          <cell r="K982" t="str">
            <v>Production</v>
          </cell>
          <cell r="L982" t="str">
            <v>Freight</v>
          </cell>
          <cell r="N982" t="str">
            <v>Direct Costs</v>
          </cell>
          <cell r="O982" t="str">
            <v>DHL Express - USA</v>
          </cell>
        </row>
        <row r="983">
          <cell r="D983">
            <v>2370</v>
          </cell>
          <cell r="H983">
            <v>45352</v>
          </cell>
          <cell r="I983" t="str">
            <v>6300 - Payroll Service Fees</v>
          </cell>
          <cell r="J983">
            <v>0</v>
          </cell>
          <cell r="K983" t="str">
            <v>Administration</v>
          </cell>
          <cell r="L983" t="str">
            <v>Professional Service</v>
          </cell>
          <cell r="N983" t="str">
            <v>SG&amp;A</v>
          </cell>
          <cell r="O983" t="str">
            <v>OperationsInc, LLC</v>
          </cell>
        </row>
        <row r="984">
          <cell r="D984">
            <v>250.48</v>
          </cell>
          <cell r="H984">
            <v>45352</v>
          </cell>
          <cell r="I984" t="str">
            <v>6115 - Airfare</v>
          </cell>
          <cell r="J984">
            <v>0</v>
          </cell>
          <cell r="K984" t="str">
            <v>Production</v>
          </cell>
          <cell r="L984" t="str">
            <v>T&amp;E</v>
          </cell>
          <cell r="N984" t="str">
            <v>SG&amp;A</v>
          </cell>
          <cell r="O984" t="str">
            <v>Porta Asiatica Enterprises Inc</v>
          </cell>
        </row>
        <row r="985">
          <cell r="D985">
            <v>250.48</v>
          </cell>
          <cell r="H985">
            <v>45352</v>
          </cell>
          <cell r="I985" t="str">
            <v>6115 - Airfare</v>
          </cell>
          <cell r="J985">
            <v>0</v>
          </cell>
          <cell r="K985" t="str">
            <v>Design</v>
          </cell>
          <cell r="L985" t="str">
            <v>T&amp;E</v>
          </cell>
          <cell r="N985" t="str">
            <v>SG&amp;A</v>
          </cell>
          <cell r="O985" t="str">
            <v>Porta Asiatica Enterprises Inc</v>
          </cell>
        </row>
        <row r="986">
          <cell r="D986">
            <v>151.16999999999999</v>
          </cell>
          <cell r="H986">
            <v>45352</v>
          </cell>
          <cell r="I986" t="str">
            <v>6385 - Insurance</v>
          </cell>
          <cell r="J986">
            <v>0</v>
          </cell>
          <cell r="K986" t="str">
            <v>Administration</v>
          </cell>
          <cell r="L986" t="str">
            <v>Professional Service</v>
          </cell>
          <cell r="N986" t="str">
            <v>SG&amp;A</v>
          </cell>
          <cell r="O986" t="str">
            <v>[No Vendor]</v>
          </cell>
        </row>
        <row r="987">
          <cell r="D987">
            <v>25500</v>
          </cell>
          <cell r="H987">
            <v>45352</v>
          </cell>
          <cell r="I987" t="str">
            <v>6380 - Legal &amp; Accounting</v>
          </cell>
          <cell r="J987">
            <v>0</v>
          </cell>
          <cell r="K987" t="str">
            <v>Administration</v>
          </cell>
          <cell r="L987" t="str">
            <v>Professional Service</v>
          </cell>
          <cell r="N987" t="str">
            <v>SG&amp;A</v>
          </cell>
          <cell r="O987" t="str">
            <v>Ko &amp; Yun, LLP - IP Holding</v>
          </cell>
        </row>
        <row r="988">
          <cell r="D988">
            <v>53370.26</v>
          </cell>
          <cell r="H988">
            <v>45352</v>
          </cell>
          <cell r="I988" t="str">
            <v>6380 - Legal &amp; Accounting</v>
          </cell>
          <cell r="J988">
            <v>0</v>
          </cell>
          <cell r="K988" t="str">
            <v>Administration</v>
          </cell>
          <cell r="L988" t="str">
            <v>Professional Service</v>
          </cell>
          <cell r="N988" t="str">
            <v>SG&amp;A</v>
          </cell>
          <cell r="O988" t="str">
            <v>Ko &amp; Yun, LLP - Operations</v>
          </cell>
        </row>
        <row r="989">
          <cell r="D989">
            <v>-1435.36</v>
          </cell>
          <cell r="H989">
            <v>45352</v>
          </cell>
          <cell r="I989" t="str">
            <v>6375 - Freight Expenses</v>
          </cell>
          <cell r="J989">
            <v>0</v>
          </cell>
          <cell r="K989" t="str">
            <v>No Department</v>
          </cell>
          <cell r="L989" t="str">
            <v>Freight</v>
          </cell>
          <cell r="N989" t="str">
            <v>Direct Costs</v>
          </cell>
          <cell r="O989" t="str">
            <v>Bergen Logistics Corporation</v>
          </cell>
        </row>
        <row r="990">
          <cell r="D990">
            <v>19400.02</v>
          </cell>
          <cell r="H990">
            <v>45352</v>
          </cell>
          <cell r="I990" t="str">
            <v>6005 - Salaries</v>
          </cell>
          <cell r="J990">
            <v>0</v>
          </cell>
          <cell r="K990" t="str">
            <v>Production</v>
          </cell>
          <cell r="L990" t="str">
            <v>HQ Salaries</v>
          </cell>
          <cell r="N990" t="str">
            <v>SG&amp;A</v>
          </cell>
          <cell r="O990" t="str">
            <v>[No Vendor]</v>
          </cell>
        </row>
        <row r="991">
          <cell r="D991">
            <v>0</v>
          </cell>
          <cell r="H991">
            <v>45352</v>
          </cell>
          <cell r="I991" t="str">
            <v>6205 - Contractors</v>
          </cell>
          <cell r="J991">
            <v>0</v>
          </cell>
          <cell r="K991" t="str">
            <v>Brand Marketing</v>
          </cell>
          <cell r="L991" t="str">
            <v>HQ Salaries</v>
          </cell>
          <cell r="N991" t="str">
            <v>SG&amp;A</v>
          </cell>
          <cell r="O991" t="str">
            <v>[No Vendor]</v>
          </cell>
        </row>
        <row r="992">
          <cell r="D992">
            <v>13387.2</v>
          </cell>
          <cell r="H992">
            <v>45352</v>
          </cell>
          <cell r="I992" t="str">
            <v>6205 - Contractors</v>
          </cell>
          <cell r="J992" t="str">
            <v>Ecommerce (US)</v>
          </cell>
          <cell r="K992" t="str">
            <v>Ecommerce</v>
          </cell>
          <cell r="L992" t="str">
            <v>HQ Salaries</v>
          </cell>
          <cell r="N992" t="str">
            <v>SG&amp;A</v>
          </cell>
          <cell r="O992" t="str">
            <v>[No Vendor]</v>
          </cell>
        </row>
        <row r="993">
          <cell r="D993">
            <v>4476</v>
          </cell>
          <cell r="H993">
            <v>45352</v>
          </cell>
          <cell r="I993" t="str">
            <v>6205 - Contractors</v>
          </cell>
          <cell r="J993">
            <v>0</v>
          </cell>
          <cell r="K993" t="str">
            <v>Design</v>
          </cell>
          <cell r="L993" t="str">
            <v>HQ Salaries</v>
          </cell>
          <cell r="N993" t="str">
            <v>SG&amp;A</v>
          </cell>
          <cell r="O993" t="str">
            <v>[No Vendor]</v>
          </cell>
        </row>
        <row r="994">
          <cell r="D994">
            <v>-20.34</v>
          </cell>
          <cell r="H994">
            <v>45352</v>
          </cell>
          <cell r="I994" t="str">
            <v>6385 - Insurance</v>
          </cell>
          <cell r="J994">
            <v>0</v>
          </cell>
          <cell r="K994" t="str">
            <v>Administration</v>
          </cell>
          <cell r="L994" t="str">
            <v>Professional Service</v>
          </cell>
          <cell r="N994" t="str">
            <v>SG&amp;A</v>
          </cell>
          <cell r="O994" t="str">
            <v>[No Vendor]</v>
          </cell>
        </row>
        <row r="995">
          <cell r="D995">
            <v>-36.909999999999997</v>
          </cell>
          <cell r="H995">
            <v>45352</v>
          </cell>
          <cell r="I995" t="str">
            <v>6385 - Insurance</v>
          </cell>
          <cell r="J995">
            <v>0</v>
          </cell>
          <cell r="K995" t="str">
            <v>Administration</v>
          </cell>
          <cell r="L995" t="str">
            <v>Professional Service</v>
          </cell>
          <cell r="N995" t="str">
            <v>SG&amp;A</v>
          </cell>
          <cell r="O995" t="str">
            <v>[No Vendor]</v>
          </cell>
        </row>
        <row r="996">
          <cell r="D996">
            <v>-81.099999999999994</v>
          </cell>
          <cell r="H996">
            <v>45352</v>
          </cell>
          <cell r="I996" t="str">
            <v>6385 - Insurance</v>
          </cell>
          <cell r="J996">
            <v>0</v>
          </cell>
          <cell r="K996" t="str">
            <v>Administration</v>
          </cell>
          <cell r="L996" t="str">
            <v>Professional Service</v>
          </cell>
          <cell r="N996" t="str">
            <v>SG&amp;A</v>
          </cell>
          <cell r="O996" t="str">
            <v>[No Vendor]</v>
          </cell>
        </row>
        <row r="997">
          <cell r="D997">
            <v>-25.36</v>
          </cell>
          <cell r="H997">
            <v>45352</v>
          </cell>
          <cell r="I997" t="str">
            <v>6385 - Insurance</v>
          </cell>
          <cell r="J997">
            <v>0</v>
          </cell>
          <cell r="K997" t="str">
            <v>Administration</v>
          </cell>
          <cell r="L997" t="str">
            <v>Professional Service</v>
          </cell>
          <cell r="N997" t="str">
            <v>SG&amp;A</v>
          </cell>
          <cell r="O997" t="str">
            <v>[No Vendor]</v>
          </cell>
        </row>
        <row r="998">
          <cell r="D998">
            <v>-19.850000000000001</v>
          </cell>
          <cell r="H998">
            <v>45352</v>
          </cell>
          <cell r="I998" t="str">
            <v>6385 - Insurance</v>
          </cell>
          <cell r="J998">
            <v>0</v>
          </cell>
          <cell r="K998" t="str">
            <v>Administration</v>
          </cell>
          <cell r="L998" t="str">
            <v>Professional Service</v>
          </cell>
          <cell r="N998" t="str">
            <v>SG&amp;A</v>
          </cell>
          <cell r="O998" t="str">
            <v>[No Vendor]</v>
          </cell>
        </row>
        <row r="999">
          <cell r="D999">
            <v>-36.840000000000003</v>
          </cell>
          <cell r="H999">
            <v>45352</v>
          </cell>
          <cell r="I999" t="str">
            <v>6385 - Insurance</v>
          </cell>
          <cell r="J999">
            <v>0</v>
          </cell>
          <cell r="K999" t="str">
            <v>Administration</v>
          </cell>
          <cell r="L999" t="str">
            <v>Professional Service</v>
          </cell>
          <cell r="N999" t="str">
            <v>SG&amp;A</v>
          </cell>
          <cell r="O999" t="str">
            <v>[No Vendor]</v>
          </cell>
        </row>
        <row r="1000">
          <cell r="D1000">
            <v>-77.16</v>
          </cell>
          <cell r="H1000">
            <v>45352</v>
          </cell>
          <cell r="I1000" t="str">
            <v>6385 - Insurance</v>
          </cell>
          <cell r="J1000">
            <v>0</v>
          </cell>
          <cell r="K1000" t="str">
            <v>Administration</v>
          </cell>
          <cell r="L1000" t="str">
            <v>Professional Service</v>
          </cell>
          <cell r="N1000" t="str">
            <v>SG&amp;A</v>
          </cell>
          <cell r="O1000" t="str">
            <v>[No Vendor]</v>
          </cell>
        </row>
        <row r="1001">
          <cell r="D1001">
            <v>53.7</v>
          </cell>
          <cell r="H1001">
            <v>45352</v>
          </cell>
          <cell r="I1001" t="str">
            <v>6300 - Payroll Service Fees</v>
          </cell>
          <cell r="J1001">
            <v>0</v>
          </cell>
          <cell r="K1001" t="str">
            <v>Administration</v>
          </cell>
          <cell r="L1001" t="str">
            <v>Professional Service</v>
          </cell>
          <cell r="N1001" t="str">
            <v>SG&amp;A</v>
          </cell>
          <cell r="O1001" t="str">
            <v>ADP Payroll Services</v>
          </cell>
        </row>
        <row r="1002">
          <cell r="D1002">
            <v>1600.5</v>
          </cell>
          <cell r="H1002">
            <v>45352</v>
          </cell>
          <cell r="I1002" t="str">
            <v>6055 - Employer Social Security Tax Withheld</v>
          </cell>
          <cell r="J1002" t="str">
            <v>Ecommerce (US)</v>
          </cell>
          <cell r="K1002" t="str">
            <v>Ecommerce</v>
          </cell>
          <cell r="L1002" t="str">
            <v>HQ Salaries</v>
          </cell>
          <cell r="N1002" t="str">
            <v>SG&amp;A</v>
          </cell>
          <cell r="O1002" t="str">
            <v>[No Vendor]</v>
          </cell>
        </row>
        <row r="1003">
          <cell r="D1003">
            <v>2077.1</v>
          </cell>
          <cell r="H1003">
            <v>45352</v>
          </cell>
          <cell r="I1003" t="str">
            <v>6055 - Employer Social Security Tax Withheld</v>
          </cell>
          <cell r="J1003">
            <v>0</v>
          </cell>
          <cell r="K1003" t="str">
            <v>Design</v>
          </cell>
          <cell r="L1003" t="str">
            <v>HQ Salaries</v>
          </cell>
          <cell r="N1003" t="str">
            <v>SG&amp;A</v>
          </cell>
          <cell r="O1003" t="str">
            <v>[No Vendor]</v>
          </cell>
        </row>
        <row r="1004">
          <cell r="D1004">
            <v>2147</v>
          </cell>
          <cell r="H1004">
            <v>45352</v>
          </cell>
          <cell r="I1004" t="str">
            <v>6055 - Employer Social Security Tax Withheld</v>
          </cell>
          <cell r="J1004">
            <v>0</v>
          </cell>
          <cell r="K1004" t="str">
            <v>Administration</v>
          </cell>
          <cell r="L1004" t="str">
            <v>HQ Salaries</v>
          </cell>
          <cell r="N1004" t="str">
            <v>SG&amp;A</v>
          </cell>
          <cell r="O1004" t="str">
            <v>[No Vendor]</v>
          </cell>
        </row>
        <row r="1005">
          <cell r="D1005">
            <v>379.05</v>
          </cell>
          <cell r="H1005">
            <v>45352</v>
          </cell>
          <cell r="I1005" t="str">
            <v>6055 - Employer Social Security Tax Withheld</v>
          </cell>
          <cell r="J1005">
            <v>0</v>
          </cell>
          <cell r="K1005" t="str">
            <v>Merchandising</v>
          </cell>
          <cell r="L1005" t="str">
            <v>HQ Salaries</v>
          </cell>
          <cell r="N1005" t="str">
            <v>SG&amp;A</v>
          </cell>
          <cell r="O1005" t="str">
            <v>[No Vendor]</v>
          </cell>
        </row>
        <row r="1006">
          <cell r="D1006">
            <v>1009.47</v>
          </cell>
          <cell r="H1006">
            <v>45352</v>
          </cell>
          <cell r="I1006" t="str">
            <v>6055 - Employer Social Security Tax Withheld</v>
          </cell>
          <cell r="J1006" t="str">
            <v>Wholesale</v>
          </cell>
          <cell r="K1006" t="str">
            <v>Wholesale</v>
          </cell>
          <cell r="L1006" t="str">
            <v>HQ Salaries</v>
          </cell>
          <cell r="N1006" t="str">
            <v>SG&amp;A</v>
          </cell>
          <cell r="O1006" t="str">
            <v>[No Vendor]</v>
          </cell>
        </row>
        <row r="1007">
          <cell r="D1007">
            <v>2033.29</v>
          </cell>
          <cell r="H1007">
            <v>45352</v>
          </cell>
          <cell r="I1007" t="str">
            <v>6055 - Employer Social Security Tax Withheld</v>
          </cell>
          <cell r="J1007">
            <v>0</v>
          </cell>
          <cell r="K1007" t="str">
            <v>Production</v>
          </cell>
          <cell r="L1007" t="str">
            <v>HQ Salaries</v>
          </cell>
          <cell r="N1007" t="str">
            <v>SG&amp;A</v>
          </cell>
          <cell r="O1007" t="str">
            <v>[No Vendor]</v>
          </cell>
        </row>
        <row r="1008">
          <cell r="D1008">
            <v>540.48</v>
          </cell>
          <cell r="H1008">
            <v>45352</v>
          </cell>
          <cell r="I1008" t="str">
            <v>6055 - Employer Social Security Tax Withheld</v>
          </cell>
          <cell r="J1008">
            <v>0</v>
          </cell>
          <cell r="K1008" t="str">
            <v>Brand Marketing</v>
          </cell>
          <cell r="L1008" t="str">
            <v>HQ Salaries</v>
          </cell>
          <cell r="N1008" t="str">
            <v>SG&amp;A</v>
          </cell>
          <cell r="O1008" t="str">
            <v>[No Vendor]</v>
          </cell>
        </row>
        <row r="1009">
          <cell r="D1009">
            <v>-168.34</v>
          </cell>
          <cell r="H1009">
            <v>45352</v>
          </cell>
          <cell r="I1009" t="str">
            <v>6040 - Employer Paid Benefits</v>
          </cell>
          <cell r="J1009">
            <v>0</v>
          </cell>
          <cell r="K1009" t="str">
            <v>Brand Marketing</v>
          </cell>
          <cell r="L1009" t="str">
            <v>HQ Salaries</v>
          </cell>
          <cell r="N1009" t="str">
            <v>SG&amp;A</v>
          </cell>
          <cell r="O1009" t="str">
            <v>[No Vendor]</v>
          </cell>
        </row>
        <row r="1010">
          <cell r="D1010">
            <v>-201.2</v>
          </cell>
          <cell r="H1010">
            <v>45352</v>
          </cell>
          <cell r="I1010" t="str">
            <v>6040 - Employer Paid Benefits</v>
          </cell>
          <cell r="J1010" t="str">
            <v>Ecommerce (US)</v>
          </cell>
          <cell r="K1010" t="str">
            <v>Ecommerce</v>
          </cell>
          <cell r="L1010" t="str">
            <v>HQ Salaries</v>
          </cell>
          <cell r="N1010" t="str">
            <v>SG&amp;A</v>
          </cell>
          <cell r="O1010" t="str">
            <v>[No Vendor]</v>
          </cell>
        </row>
        <row r="1011">
          <cell r="D1011">
            <v>-292.58</v>
          </cell>
          <cell r="H1011">
            <v>45352</v>
          </cell>
          <cell r="I1011" t="str">
            <v>6040 - Employer Paid Benefits</v>
          </cell>
          <cell r="J1011">
            <v>0</v>
          </cell>
          <cell r="K1011" t="str">
            <v>Design</v>
          </cell>
          <cell r="L1011" t="str">
            <v>HQ Salaries</v>
          </cell>
          <cell r="N1011" t="str">
            <v>SG&amp;A</v>
          </cell>
          <cell r="O1011" t="str">
            <v>[No Vendor]</v>
          </cell>
        </row>
        <row r="1012">
          <cell r="D1012">
            <v>-202.4</v>
          </cell>
          <cell r="H1012">
            <v>45352</v>
          </cell>
          <cell r="I1012" t="str">
            <v>6040 - Employer Paid Benefits</v>
          </cell>
          <cell r="J1012">
            <v>0</v>
          </cell>
          <cell r="K1012" t="str">
            <v>Administration</v>
          </cell>
          <cell r="L1012" t="str">
            <v>HQ Salaries</v>
          </cell>
          <cell r="N1012" t="str">
            <v>SG&amp;A</v>
          </cell>
          <cell r="O1012" t="str">
            <v>[No Vendor]</v>
          </cell>
        </row>
        <row r="1013">
          <cell r="D1013">
            <v>-45.16</v>
          </cell>
          <cell r="H1013">
            <v>45352</v>
          </cell>
          <cell r="I1013" t="str">
            <v>6040 - Employer Paid Benefits</v>
          </cell>
          <cell r="J1013">
            <v>0</v>
          </cell>
          <cell r="K1013" t="str">
            <v>Merchandising</v>
          </cell>
          <cell r="L1013" t="str">
            <v>HQ Salaries</v>
          </cell>
          <cell r="N1013" t="str">
            <v>SG&amp;A</v>
          </cell>
          <cell r="O1013" t="str">
            <v>[No Vendor]</v>
          </cell>
        </row>
        <row r="1014">
          <cell r="D1014">
            <v>-70.319999999999993</v>
          </cell>
          <cell r="H1014">
            <v>45352</v>
          </cell>
          <cell r="I1014" t="str">
            <v>6040 - Employer Paid Benefits</v>
          </cell>
          <cell r="J1014" t="str">
            <v>Wholesale</v>
          </cell>
          <cell r="K1014" t="str">
            <v>Wholesale</v>
          </cell>
          <cell r="L1014" t="str">
            <v>HQ Salaries</v>
          </cell>
          <cell r="N1014" t="str">
            <v>SG&amp;A</v>
          </cell>
          <cell r="O1014" t="str">
            <v>[No Vendor]</v>
          </cell>
        </row>
        <row r="1015">
          <cell r="D1015">
            <v>-428.87</v>
          </cell>
          <cell r="H1015">
            <v>45352</v>
          </cell>
          <cell r="I1015" t="str">
            <v>6040 - Employer Paid Benefits</v>
          </cell>
          <cell r="J1015">
            <v>0</v>
          </cell>
          <cell r="K1015" t="str">
            <v>Production</v>
          </cell>
          <cell r="L1015" t="str">
            <v>HQ Salaries</v>
          </cell>
          <cell r="N1015" t="str">
            <v>SG&amp;A</v>
          </cell>
          <cell r="O1015" t="str">
            <v>[No Vendor]</v>
          </cell>
        </row>
        <row r="1016">
          <cell r="D1016">
            <v>4807.7</v>
          </cell>
          <cell r="H1016">
            <v>45352</v>
          </cell>
          <cell r="I1016" t="str">
            <v>6005 - Salaries</v>
          </cell>
          <cell r="J1016">
            <v>0</v>
          </cell>
          <cell r="K1016" t="str">
            <v>Brand Marketing</v>
          </cell>
          <cell r="L1016" t="str">
            <v>HQ Salaries</v>
          </cell>
          <cell r="N1016" t="str">
            <v>SG&amp;A</v>
          </cell>
          <cell r="O1016" t="str">
            <v>[No Vendor]</v>
          </cell>
        </row>
        <row r="1017">
          <cell r="D1017">
            <v>18546.169999999998</v>
          </cell>
          <cell r="H1017">
            <v>45352</v>
          </cell>
          <cell r="I1017" t="str">
            <v>6005 - Salaries</v>
          </cell>
          <cell r="J1017" t="str">
            <v>Ecommerce (US)</v>
          </cell>
          <cell r="K1017" t="str">
            <v>Ecommerce</v>
          </cell>
          <cell r="L1017" t="str">
            <v>HQ Salaries</v>
          </cell>
          <cell r="N1017" t="str">
            <v>SG&amp;A</v>
          </cell>
          <cell r="O1017" t="str">
            <v>[No Vendor]</v>
          </cell>
        </row>
        <row r="1018">
          <cell r="D1018">
            <v>20134.62</v>
          </cell>
          <cell r="H1018">
            <v>45352</v>
          </cell>
          <cell r="I1018" t="str">
            <v>6005 - Salaries</v>
          </cell>
          <cell r="J1018">
            <v>0</v>
          </cell>
          <cell r="K1018" t="str">
            <v>Design</v>
          </cell>
          <cell r="L1018" t="str">
            <v>HQ Salaries</v>
          </cell>
          <cell r="N1018" t="str">
            <v>SG&amp;A</v>
          </cell>
          <cell r="O1018" t="str">
            <v>[No Vendor]</v>
          </cell>
        </row>
        <row r="1019">
          <cell r="D1019">
            <v>21453.87</v>
          </cell>
          <cell r="H1019">
            <v>45352</v>
          </cell>
          <cell r="I1019" t="str">
            <v>6005 - Salaries</v>
          </cell>
          <cell r="J1019">
            <v>0</v>
          </cell>
          <cell r="K1019" t="str">
            <v>Administration</v>
          </cell>
          <cell r="L1019" t="str">
            <v>HQ Salaries</v>
          </cell>
          <cell r="N1019" t="str">
            <v>SG&amp;A</v>
          </cell>
          <cell r="O1019" t="str">
            <v>[No Vendor]</v>
          </cell>
        </row>
        <row r="1020">
          <cell r="D1020">
            <v>5000</v>
          </cell>
          <cell r="H1020">
            <v>45352</v>
          </cell>
          <cell r="I1020" t="str">
            <v>6005 - Salaries</v>
          </cell>
          <cell r="J1020">
            <v>0</v>
          </cell>
          <cell r="K1020" t="str">
            <v>Merchandising</v>
          </cell>
          <cell r="L1020" t="str">
            <v>HQ Salaries</v>
          </cell>
          <cell r="N1020" t="str">
            <v>SG&amp;A</v>
          </cell>
          <cell r="O1020" t="str">
            <v>[No Vendor]</v>
          </cell>
        </row>
        <row r="1021">
          <cell r="D1021">
            <v>9231.5</v>
          </cell>
          <cell r="H1021">
            <v>45352</v>
          </cell>
          <cell r="I1021" t="str">
            <v>6005 - Salaries</v>
          </cell>
          <cell r="J1021" t="str">
            <v>Wholesale</v>
          </cell>
          <cell r="K1021" t="str">
            <v>Wholesale</v>
          </cell>
          <cell r="L1021" t="str">
            <v>HQ Salaries</v>
          </cell>
          <cell r="N1021" t="str">
            <v>SG&amp;A</v>
          </cell>
          <cell r="O1021" t="str">
            <v>[No Vendor]</v>
          </cell>
        </row>
        <row r="1022">
          <cell r="D1022">
            <v>23952.02</v>
          </cell>
          <cell r="H1022">
            <v>45352</v>
          </cell>
          <cell r="I1022" t="str">
            <v>6375 - Freight Expenses</v>
          </cell>
          <cell r="J1022" t="str">
            <v>Ecommerce (US)</v>
          </cell>
          <cell r="K1022" t="str">
            <v>Ecommerce</v>
          </cell>
          <cell r="L1022" t="str">
            <v>Freight</v>
          </cell>
          <cell r="N1022" t="str">
            <v>Direct Costs</v>
          </cell>
          <cell r="O1022" t="str">
            <v>UPS Supply Chain Solutions Inc. (7F24A0)</v>
          </cell>
        </row>
        <row r="1023">
          <cell r="D1023">
            <v>60</v>
          </cell>
          <cell r="H1023">
            <v>45352</v>
          </cell>
          <cell r="I1023" t="str">
            <v>6040 - Employer Paid Benefits</v>
          </cell>
          <cell r="J1023">
            <v>0</v>
          </cell>
          <cell r="K1023" t="str">
            <v>Administration</v>
          </cell>
          <cell r="L1023" t="str">
            <v>HQ Salaries</v>
          </cell>
          <cell r="N1023" t="str">
            <v>SG&amp;A</v>
          </cell>
          <cell r="O1023" t="str">
            <v>Procyon Benefits LLC</v>
          </cell>
        </row>
        <row r="1024">
          <cell r="D1024">
            <v>10266.09</v>
          </cell>
          <cell r="H1024">
            <v>45352</v>
          </cell>
          <cell r="I1024" t="str">
            <v>6380 - Legal &amp; Accounting</v>
          </cell>
          <cell r="J1024">
            <v>0</v>
          </cell>
          <cell r="K1024" t="str">
            <v>Administration</v>
          </cell>
          <cell r="L1024" t="str">
            <v>Professional Service</v>
          </cell>
          <cell r="N1024" t="str">
            <v>SG&amp;A</v>
          </cell>
          <cell r="O1024" t="str">
            <v>The Wave IP Law Firm</v>
          </cell>
        </row>
        <row r="1025">
          <cell r="D1025">
            <v>144.78</v>
          </cell>
          <cell r="H1025">
            <v>45352</v>
          </cell>
          <cell r="I1025" t="str">
            <v>6375 - Freight Expenses</v>
          </cell>
          <cell r="J1025">
            <v>0</v>
          </cell>
          <cell r="K1025" t="str">
            <v>Production</v>
          </cell>
          <cell r="L1025" t="str">
            <v>Freight</v>
          </cell>
          <cell r="N1025" t="str">
            <v>Direct Costs</v>
          </cell>
          <cell r="O1025" t="str">
            <v>DHL Express - USA</v>
          </cell>
        </row>
        <row r="1026">
          <cell r="D1026">
            <v>210.21</v>
          </cell>
          <cell r="H1026">
            <v>45352</v>
          </cell>
          <cell r="I1026" t="str">
            <v>6375 - Freight Expenses</v>
          </cell>
          <cell r="J1026" t="str">
            <v>Ecommerce (US)</v>
          </cell>
          <cell r="K1026" t="str">
            <v>Ecommerce</v>
          </cell>
          <cell r="L1026" t="str">
            <v>Freight</v>
          </cell>
          <cell r="N1026" t="str">
            <v>Direct Costs</v>
          </cell>
          <cell r="O1026" t="str">
            <v>Federal Express</v>
          </cell>
        </row>
        <row r="1027">
          <cell r="D1027">
            <v>74.73</v>
          </cell>
          <cell r="H1027">
            <v>45352</v>
          </cell>
          <cell r="I1027" t="str">
            <v>6375 - Freight Expenses</v>
          </cell>
          <cell r="J1027" t="str">
            <v>Ecommerce (US)</v>
          </cell>
          <cell r="K1027" t="str">
            <v>Ecommerce</v>
          </cell>
          <cell r="L1027" t="str">
            <v>Freight</v>
          </cell>
          <cell r="N1027" t="str">
            <v>Direct Costs</v>
          </cell>
          <cell r="O1027" t="str">
            <v>Federal Express</v>
          </cell>
        </row>
        <row r="1028">
          <cell r="D1028">
            <v>25</v>
          </cell>
          <cell r="H1028">
            <v>45352</v>
          </cell>
          <cell r="I1028" t="str">
            <v>6040 - Employer Paid Benefits</v>
          </cell>
          <cell r="J1028">
            <v>0</v>
          </cell>
          <cell r="K1028" t="str">
            <v>Administration</v>
          </cell>
          <cell r="L1028" t="str">
            <v>HQ Salaries</v>
          </cell>
          <cell r="N1028" t="str">
            <v>SG&amp;A</v>
          </cell>
          <cell r="O1028" t="str">
            <v>Lifetime Benefit Solutions, Inc</v>
          </cell>
        </row>
        <row r="1029">
          <cell r="D1029">
            <v>65.95</v>
          </cell>
          <cell r="H1029">
            <v>45352</v>
          </cell>
          <cell r="I1029" t="str">
            <v>6040 - Employer Paid Benefits</v>
          </cell>
          <cell r="J1029">
            <v>0</v>
          </cell>
          <cell r="K1029" t="str">
            <v>Production</v>
          </cell>
          <cell r="L1029" t="str">
            <v>HQ Salaries</v>
          </cell>
          <cell r="N1029" t="str">
            <v>SG&amp;A</v>
          </cell>
          <cell r="O1029" t="str">
            <v>Procyon Benefits LLC</v>
          </cell>
        </row>
        <row r="1030">
          <cell r="D1030">
            <v>36.9</v>
          </cell>
          <cell r="H1030">
            <v>45352</v>
          </cell>
          <cell r="I1030" t="str">
            <v>6040 - Employer Paid Benefits</v>
          </cell>
          <cell r="J1030">
            <v>0</v>
          </cell>
          <cell r="K1030" t="str">
            <v>Merchandising</v>
          </cell>
          <cell r="L1030" t="str">
            <v>HQ Salaries</v>
          </cell>
          <cell r="N1030" t="str">
            <v>SG&amp;A</v>
          </cell>
          <cell r="O1030" t="str">
            <v>Procyon Benefits LLC</v>
          </cell>
        </row>
        <row r="1031">
          <cell r="D1031">
            <v>265</v>
          </cell>
          <cell r="H1031">
            <v>45352</v>
          </cell>
          <cell r="I1031" t="str">
            <v>6040 - Employer Paid Benefits</v>
          </cell>
          <cell r="J1031">
            <v>0</v>
          </cell>
          <cell r="K1031" t="str">
            <v>Executive</v>
          </cell>
          <cell r="L1031" t="str">
            <v>HQ Salaries</v>
          </cell>
          <cell r="N1031" t="str">
            <v>SG&amp;A</v>
          </cell>
          <cell r="O1031" t="str">
            <v>Procyon Benefits LLC</v>
          </cell>
        </row>
        <row r="1032">
          <cell r="D1032">
            <v>43.85</v>
          </cell>
          <cell r="H1032">
            <v>45352</v>
          </cell>
          <cell r="I1032" t="str">
            <v>6040 - Employer Paid Benefits</v>
          </cell>
          <cell r="J1032">
            <v>0</v>
          </cell>
          <cell r="K1032" t="str">
            <v>Design</v>
          </cell>
          <cell r="L1032" t="str">
            <v>HQ Salaries</v>
          </cell>
          <cell r="N1032" t="str">
            <v>SG&amp;A</v>
          </cell>
          <cell r="O1032" t="str">
            <v>Procyon Benefits LLC</v>
          </cell>
        </row>
        <row r="1033">
          <cell r="D1033">
            <v>2935.21</v>
          </cell>
          <cell r="H1033">
            <v>45352</v>
          </cell>
          <cell r="I1033" t="str">
            <v>6375 - Freight Expenses</v>
          </cell>
          <cell r="J1033" t="str">
            <v>Ecommerce (EU)</v>
          </cell>
          <cell r="K1033" t="str">
            <v>Ecommerce</v>
          </cell>
          <cell r="L1033" t="str">
            <v>Freight</v>
          </cell>
          <cell r="N1033" t="str">
            <v>Direct Costs</v>
          </cell>
          <cell r="O1033" t="str">
            <v>Global E</v>
          </cell>
        </row>
        <row r="1034">
          <cell r="D1034">
            <v>3432.83</v>
          </cell>
          <cell r="H1034">
            <v>45352</v>
          </cell>
          <cell r="I1034" t="str">
            <v>6450 - Bank &amp; Other Fees</v>
          </cell>
          <cell r="J1034" t="str">
            <v>Ecommerce (EU)</v>
          </cell>
          <cell r="K1034" t="str">
            <v>Ecommerce</v>
          </cell>
          <cell r="L1034" t="str">
            <v>Professional Service</v>
          </cell>
          <cell r="N1034" t="str">
            <v>Direct Costs</v>
          </cell>
          <cell r="O1034" t="str">
            <v>[No Vendor]</v>
          </cell>
        </row>
        <row r="1035">
          <cell r="D1035">
            <v>847.42</v>
          </cell>
          <cell r="H1035">
            <v>45352</v>
          </cell>
          <cell r="I1035" t="str">
            <v>6430 - Dues &amp; Memberships</v>
          </cell>
          <cell r="J1035" t="str">
            <v>Wholesale</v>
          </cell>
          <cell r="K1035" t="str">
            <v>Wholesale</v>
          </cell>
          <cell r="L1035" t="str">
            <v>Professional Service</v>
          </cell>
          <cell r="N1035" t="str">
            <v>Direct Costs</v>
          </cell>
          <cell r="O1035" t="str">
            <v>SPS Commerce</v>
          </cell>
        </row>
        <row r="1036">
          <cell r="D1036">
            <v>295.73</v>
          </cell>
          <cell r="H1036">
            <v>45352</v>
          </cell>
          <cell r="I1036" t="str">
            <v>6375 - Freight Expenses</v>
          </cell>
          <cell r="J1036">
            <v>0</v>
          </cell>
          <cell r="K1036" t="str">
            <v>Production</v>
          </cell>
          <cell r="L1036" t="str">
            <v>Freight</v>
          </cell>
          <cell r="N1036" t="str">
            <v>Direct Costs</v>
          </cell>
          <cell r="O1036" t="str">
            <v>DHL Express - USA</v>
          </cell>
        </row>
        <row r="1037">
          <cell r="D1037">
            <v>1.22</v>
          </cell>
          <cell r="H1037">
            <v>45352</v>
          </cell>
          <cell r="I1037" t="str">
            <v>6370 - Samples</v>
          </cell>
          <cell r="J1037">
            <v>0</v>
          </cell>
          <cell r="K1037" t="str">
            <v>Design</v>
          </cell>
          <cell r="L1037" t="str">
            <v>Sample</v>
          </cell>
          <cell r="N1037" t="str">
            <v>SG&amp;A</v>
          </cell>
          <cell r="O1037" t="str">
            <v>Consul + SRL</v>
          </cell>
        </row>
        <row r="1038">
          <cell r="D1038">
            <v>2242.5</v>
          </cell>
          <cell r="H1038">
            <v>45352</v>
          </cell>
          <cell r="I1038" t="str">
            <v>6300 - Payroll Service Fees</v>
          </cell>
          <cell r="J1038">
            <v>0</v>
          </cell>
          <cell r="K1038" t="str">
            <v>Administration</v>
          </cell>
          <cell r="L1038" t="str">
            <v>Professional Service</v>
          </cell>
          <cell r="N1038" t="str">
            <v>SG&amp;A</v>
          </cell>
          <cell r="O1038" t="str">
            <v>OperationsInc, LLC</v>
          </cell>
        </row>
        <row r="1039">
          <cell r="D1039">
            <v>207.28</v>
          </cell>
          <cell r="H1039">
            <v>45352</v>
          </cell>
          <cell r="I1039" t="str">
            <v>6375 - Freight Expenses</v>
          </cell>
          <cell r="J1039">
            <v>0</v>
          </cell>
          <cell r="K1039" t="str">
            <v>Production</v>
          </cell>
          <cell r="L1039" t="str">
            <v>Freight</v>
          </cell>
          <cell r="N1039" t="str">
            <v>Direct Costs</v>
          </cell>
          <cell r="O1039" t="str">
            <v>DHL Express - USA</v>
          </cell>
        </row>
        <row r="1040">
          <cell r="D1040">
            <v>332.16</v>
          </cell>
          <cell r="H1040">
            <v>45352</v>
          </cell>
          <cell r="I1040" t="str">
            <v>6375 - Freight Expenses</v>
          </cell>
          <cell r="J1040">
            <v>0</v>
          </cell>
          <cell r="K1040" t="str">
            <v>Production</v>
          </cell>
          <cell r="L1040" t="str">
            <v>Freight</v>
          </cell>
          <cell r="N1040" t="str">
            <v>Direct Costs</v>
          </cell>
          <cell r="O1040" t="str">
            <v>DHL Express - USA</v>
          </cell>
        </row>
        <row r="1041">
          <cell r="D1041">
            <v>134.83000000000001</v>
          </cell>
          <cell r="H1041">
            <v>45352</v>
          </cell>
          <cell r="I1041" t="str">
            <v>6375 - Freight Expenses</v>
          </cell>
          <cell r="J1041">
            <v>0</v>
          </cell>
          <cell r="K1041" t="str">
            <v>Production</v>
          </cell>
          <cell r="L1041" t="str">
            <v>Freight</v>
          </cell>
          <cell r="N1041" t="str">
            <v>Direct Costs</v>
          </cell>
          <cell r="O1041" t="str">
            <v>DHL Express - USA</v>
          </cell>
        </row>
        <row r="1042">
          <cell r="D1042">
            <v>7759.51</v>
          </cell>
          <cell r="H1042">
            <v>45352</v>
          </cell>
          <cell r="I1042" t="str">
            <v>6210 - Monitoring</v>
          </cell>
          <cell r="J1042" t="str">
            <v>Ecommerce (EU)</v>
          </cell>
          <cell r="K1042" t="str">
            <v>Ecommerce</v>
          </cell>
          <cell r="L1042" t="str">
            <v>Professional Service</v>
          </cell>
          <cell r="N1042" t="str">
            <v>Direct Costs</v>
          </cell>
          <cell r="O1042" t="str">
            <v>Convey SRL</v>
          </cell>
        </row>
        <row r="1043">
          <cell r="D1043">
            <v>150</v>
          </cell>
          <cell r="H1043">
            <v>45352</v>
          </cell>
          <cell r="I1043" t="str">
            <v>6225 - Professional Services</v>
          </cell>
          <cell r="J1043">
            <v>0</v>
          </cell>
          <cell r="K1043" t="str">
            <v>Administration</v>
          </cell>
          <cell r="L1043" t="str">
            <v>Professional Service</v>
          </cell>
          <cell r="N1043" t="str">
            <v>Direct Costs</v>
          </cell>
          <cell r="O1043" t="str">
            <v>Benefit Resource, LLC</v>
          </cell>
        </row>
        <row r="1044">
          <cell r="D1044">
            <v>-7714.77</v>
          </cell>
          <cell r="H1044">
            <v>45352</v>
          </cell>
          <cell r="I1044" t="str">
            <v>6375 - Freight Expenses</v>
          </cell>
          <cell r="J1044">
            <v>0</v>
          </cell>
          <cell r="K1044" t="str">
            <v>No Department</v>
          </cell>
          <cell r="L1044" t="str">
            <v>Freight</v>
          </cell>
          <cell r="N1044" t="str">
            <v>Direct Costs</v>
          </cell>
          <cell r="O1044" t="str">
            <v>Bergen Logistics Corporation</v>
          </cell>
        </row>
        <row r="1045">
          <cell r="D1045">
            <v>546.21</v>
          </cell>
          <cell r="H1045">
            <v>45352</v>
          </cell>
          <cell r="I1045" t="str">
            <v>6385 - Insurance</v>
          </cell>
          <cell r="J1045">
            <v>0</v>
          </cell>
          <cell r="K1045" t="str">
            <v>Administration</v>
          </cell>
          <cell r="L1045" t="str">
            <v>Professional Service</v>
          </cell>
          <cell r="N1045" t="str">
            <v>SG&amp;A</v>
          </cell>
          <cell r="O1045" t="str">
            <v>[No Vendor]</v>
          </cell>
        </row>
        <row r="1046">
          <cell r="D1046">
            <v>135.99</v>
          </cell>
          <cell r="H1046">
            <v>45352</v>
          </cell>
          <cell r="I1046" t="str">
            <v>6400 - Utilities</v>
          </cell>
          <cell r="J1046">
            <v>0</v>
          </cell>
          <cell r="K1046" t="str">
            <v>Administration</v>
          </cell>
          <cell r="L1046" t="str">
            <v>Other</v>
          </cell>
          <cell r="N1046" t="str">
            <v>SG&amp;A</v>
          </cell>
          <cell r="O1046" t="str">
            <v>Verizon</v>
          </cell>
        </row>
        <row r="1047">
          <cell r="D1047">
            <v>300</v>
          </cell>
          <cell r="H1047">
            <v>45352</v>
          </cell>
          <cell r="I1047" t="str">
            <v>6288 - Model</v>
          </cell>
          <cell r="J1047" t="str">
            <v>Ecommerce (US)</v>
          </cell>
          <cell r="K1047" t="str">
            <v>Brand Marketing</v>
          </cell>
          <cell r="L1047" t="str">
            <v>Advertising</v>
          </cell>
          <cell r="N1047" t="str">
            <v>SG&amp;A</v>
          </cell>
          <cell r="O1047" t="str">
            <v>State Artist Management</v>
          </cell>
        </row>
        <row r="1048">
          <cell r="D1048">
            <v>3120</v>
          </cell>
          <cell r="H1048">
            <v>45352</v>
          </cell>
          <cell r="I1048" t="str">
            <v>6380 - Legal &amp; Accounting</v>
          </cell>
          <cell r="J1048">
            <v>0</v>
          </cell>
          <cell r="K1048" t="str">
            <v>Administration</v>
          </cell>
          <cell r="L1048" t="str">
            <v>Professional Service</v>
          </cell>
          <cell r="N1048" t="str">
            <v>SG&amp;A</v>
          </cell>
          <cell r="O1048" t="str">
            <v>Korus Legal P.C.</v>
          </cell>
        </row>
        <row r="1049">
          <cell r="D1049">
            <v>0.01</v>
          </cell>
          <cell r="H1049">
            <v>45352</v>
          </cell>
          <cell r="I1049" t="str">
            <v>8590 - Rounding Gain/Loss</v>
          </cell>
          <cell r="J1049">
            <v>0</v>
          </cell>
          <cell r="K1049" t="str">
            <v>No Department</v>
          </cell>
          <cell r="L1049" t="str">
            <v>Realized Gain / Loss</v>
          </cell>
          <cell r="N1049" t="str">
            <v>BTL</v>
          </cell>
          <cell r="O1049" t="str">
            <v>[No Vendor]</v>
          </cell>
        </row>
        <row r="1050">
          <cell r="D1050">
            <v>2279.9499999999998</v>
          </cell>
          <cell r="H1050">
            <v>45352</v>
          </cell>
          <cell r="I1050" t="str">
            <v>8505 - Realized Gain/Loss</v>
          </cell>
          <cell r="J1050">
            <v>0</v>
          </cell>
          <cell r="K1050" t="str">
            <v>No Department</v>
          </cell>
          <cell r="L1050" t="str">
            <v>Realized Gain / Loss</v>
          </cell>
          <cell r="N1050" t="str">
            <v>BTL</v>
          </cell>
          <cell r="O1050" t="str">
            <v>[No Vendor]</v>
          </cell>
        </row>
        <row r="1051">
          <cell r="D1051">
            <v>159.88999999999999</v>
          </cell>
          <cell r="H1051">
            <v>45352</v>
          </cell>
          <cell r="I1051" t="str">
            <v>8505 - Realized Gain/Loss</v>
          </cell>
          <cell r="J1051">
            <v>0</v>
          </cell>
          <cell r="K1051" t="str">
            <v>No Department</v>
          </cell>
          <cell r="L1051" t="str">
            <v>Realized Gain / Loss</v>
          </cell>
          <cell r="N1051" t="str">
            <v>BTL</v>
          </cell>
          <cell r="O1051" t="str">
            <v>[No Vendor]</v>
          </cell>
        </row>
        <row r="1052">
          <cell r="D1052">
            <v>1531.52</v>
          </cell>
          <cell r="H1052">
            <v>45352</v>
          </cell>
          <cell r="I1052" t="str">
            <v>6005 - Salaries</v>
          </cell>
          <cell r="J1052">
            <v>0</v>
          </cell>
          <cell r="K1052" t="str">
            <v>Administration</v>
          </cell>
          <cell r="L1052" t="str">
            <v>HQ Salaries</v>
          </cell>
          <cell r="N1052" t="str">
            <v>SG&amp;A</v>
          </cell>
          <cell r="O1052" t="str">
            <v>[No Vendor]</v>
          </cell>
        </row>
        <row r="1053">
          <cell r="D1053">
            <v>144848.32000000001</v>
          </cell>
          <cell r="H1053">
            <v>45352</v>
          </cell>
          <cell r="I1053" t="str">
            <v>6286 - SEM</v>
          </cell>
          <cell r="J1053" t="str">
            <v>Ecommerce (US)</v>
          </cell>
          <cell r="K1053" t="str">
            <v>Ecommerce</v>
          </cell>
          <cell r="L1053" t="str">
            <v>Marketing</v>
          </cell>
          <cell r="N1053" t="str">
            <v>Direct Costs</v>
          </cell>
          <cell r="O1053" t="str">
            <v>[No Vendor]</v>
          </cell>
        </row>
        <row r="1054">
          <cell r="D1054">
            <v>0</v>
          </cell>
          <cell r="H1054">
            <v>45352</v>
          </cell>
          <cell r="I1054" t="str">
            <v>6205 - Contractors</v>
          </cell>
          <cell r="J1054">
            <v>0</v>
          </cell>
          <cell r="K1054" t="str">
            <v>Brand Marketing</v>
          </cell>
          <cell r="L1054" t="str">
            <v>HQ Salaries</v>
          </cell>
          <cell r="N1054" t="str">
            <v>SG&amp;A</v>
          </cell>
          <cell r="O1054" t="str">
            <v>[No Vendor]</v>
          </cell>
        </row>
        <row r="1055">
          <cell r="D1055">
            <v>0</v>
          </cell>
          <cell r="H1055">
            <v>45352</v>
          </cell>
          <cell r="I1055" t="str">
            <v>6205 - Contractors</v>
          </cell>
          <cell r="J1055" t="str">
            <v>Ecommerce (US)</v>
          </cell>
          <cell r="K1055" t="str">
            <v>Ecommerce</v>
          </cell>
          <cell r="L1055" t="str">
            <v>HQ Salaries</v>
          </cell>
          <cell r="N1055" t="str">
            <v>SG&amp;A</v>
          </cell>
          <cell r="O1055" t="str">
            <v>[No Vendor]</v>
          </cell>
        </row>
        <row r="1056">
          <cell r="D1056">
            <v>-13600</v>
          </cell>
          <cell r="H1056">
            <v>45352</v>
          </cell>
          <cell r="I1056" t="str">
            <v>6020 - Bonus</v>
          </cell>
          <cell r="J1056">
            <v>0</v>
          </cell>
          <cell r="K1056" t="str">
            <v>Executive</v>
          </cell>
          <cell r="L1056" t="str">
            <v>HQ Salaries</v>
          </cell>
          <cell r="N1056" t="str">
            <v>SG&amp;A</v>
          </cell>
          <cell r="O1056" t="str">
            <v>[No Vendor]</v>
          </cell>
        </row>
        <row r="1057">
          <cell r="D1057">
            <v>-86450</v>
          </cell>
          <cell r="H1057">
            <v>45352</v>
          </cell>
          <cell r="I1057" t="str">
            <v>6020 - Bonus</v>
          </cell>
          <cell r="J1057">
            <v>0</v>
          </cell>
          <cell r="K1057" t="str">
            <v>Merchandising</v>
          </cell>
          <cell r="L1057" t="str">
            <v>HQ Salaries</v>
          </cell>
          <cell r="N1057" t="str">
            <v>SG&amp;A</v>
          </cell>
          <cell r="O1057" t="str">
            <v>[No Vendor]</v>
          </cell>
        </row>
        <row r="1058">
          <cell r="D1058">
            <v>-45640</v>
          </cell>
          <cell r="H1058">
            <v>45352</v>
          </cell>
          <cell r="I1058" t="str">
            <v>6020 - Bonus</v>
          </cell>
          <cell r="J1058" t="str">
            <v>Wholesale</v>
          </cell>
          <cell r="K1058" t="str">
            <v>Wholesale</v>
          </cell>
          <cell r="L1058" t="str">
            <v>HQ Salaries</v>
          </cell>
          <cell r="N1058" t="str">
            <v>SG&amp;A</v>
          </cell>
          <cell r="O1058" t="str">
            <v>[No Vendor]</v>
          </cell>
        </row>
        <row r="1059">
          <cell r="D1059">
            <v>-100056.8</v>
          </cell>
          <cell r="H1059">
            <v>45352</v>
          </cell>
          <cell r="I1059" t="str">
            <v>6020 - Bonus</v>
          </cell>
          <cell r="J1059">
            <v>0</v>
          </cell>
          <cell r="K1059" t="str">
            <v>Production</v>
          </cell>
          <cell r="L1059" t="str">
            <v>HQ Salaries</v>
          </cell>
          <cell r="N1059" t="str">
            <v>SG&amp;A</v>
          </cell>
          <cell r="O1059" t="str">
            <v>[No Vendor]</v>
          </cell>
        </row>
        <row r="1060">
          <cell r="D1060">
            <v>-30240</v>
          </cell>
          <cell r="H1060">
            <v>45352</v>
          </cell>
          <cell r="I1060" t="str">
            <v>6020 - Bonus</v>
          </cell>
          <cell r="J1060">
            <v>0</v>
          </cell>
          <cell r="K1060" t="str">
            <v>Brand Marketing</v>
          </cell>
          <cell r="L1060" t="str">
            <v>HQ Salaries</v>
          </cell>
          <cell r="N1060" t="str">
            <v>SG&amp;A</v>
          </cell>
          <cell r="O1060" t="str">
            <v>[No Vendor]</v>
          </cell>
        </row>
        <row r="1061">
          <cell r="D1061">
            <v>-76535</v>
          </cell>
          <cell r="H1061">
            <v>45352</v>
          </cell>
          <cell r="I1061" t="str">
            <v>6020 - Bonus</v>
          </cell>
          <cell r="J1061" t="str">
            <v>Ecommerce (US)</v>
          </cell>
          <cell r="K1061" t="str">
            <v>Ecommerce</v>
          </cell>
          <cell r="L1061" t="str">
            <v>HQ Salaries</v>
          </cell>
          <cell r="N1061" t="str">
            <v>SG&amp;A</v>
          </cell>
          <cell r="O1061" t="str">
            <v>[No Vendor]</v>
          </cell>
        </row>
        <row r="1062">
          <cell r="D1062">
            <v>-69363</v>
          </cell>
          <cell r="H1062">
            <v>45352</v>
          </cell>
          <cell r="I1062" t="str">
            <v>6020 - Bonus</v>
          </cell>
          <cell r="J1062">
            <v>0</v>
          </cell>
          <cell r="K1062" t="str">
            <v>Design</v>
          </cell>
          <cell r="L1062" t="str">
            <v>HQ Salaries</v>
          </cell>
          <cell r="N1062" t="str">
            <v>SG&amp;A</v>
          </cell>
          <cell r="O1062" t="str">
            <v>[No Vendor]</v>
          </cell>
        </row>
        <row r="1063">
          <cell r="D1063">
            <v>-176620.36</v>
          </cell>
          <cell r="H1063">
            <v>45352</v>
          </cell>
          <cell r="I1063" t="str">
            <v>6020 - Bonus</v>
          </cell>
          <cell r="J1063">
            <v>0</v>
          </cell>
          <cell r="K1063" t="str">
            <v>Administration</v>
          </cell>
          <cell r="L1063" t="str">
            <v>HQ Salaries</v>
          </cell>
          <cell r="N1063" t="str">
            <v>SG&amp;A</v>
          </cell>
          <cell r="O1063" t="str">
            <v>[No Vendor]</v>
          </cell>
        </row>
        <row r="1064">
          <cell r="D1064">
            <v>69714</v>
          </cell>
          <cell r="H1064">
            <v>45352</v>
          </cell>
          <cell r="I1064" t="str">
            <v>6020 - Bonus</v>
          </cell>
          <cell r="J1064">
            <v>0</v>
          </cell>
          <cell r="K1064" t="str">
            <v>Administration</v>
          </cell>
          <cell r="L1064" t="str">
            <v>HQ Salaries</v>
          </cell>
          <cell r="N1064" t="str">
            <v>SG&amp;A</v>
          </cell>
          <cell r="O1064" t="str">
            <v>[No Vendor]</v>
          </cell>
        </row>
        <row r="1065">
          <cell r="D1065">
            <v>10496</v>
          </cell>
          <cell r="H1065">
            <v>45352</v>
          </cell>
          <cell r="I1065" t="str">
            <v>6020 - Bonus</v>
          </cell>
          <cell r="J1065">
            <v>0</v>
          </cell>
          <cell r="K1065" t="str">
            <v>Merchandising</v>
          </cell>
          <cell r="L1065" t="str">
            <v>HQ Salaries</v>
          </cell>
          <cell r="N1065" t="str">
            <v>SG&amp;A</v>
          </cell>
          <cell r="O1065" t="str">
            <v>[No Vendor]</v>
          </cell>
        </row>
        <row r="1066">
          <cell r="D1066">
            <v>17230</v>
          </cell>
          <cell r="H1066">
            <v>45352</v>
          </cell>
          <cell r="I1066" t="str">
            <v>6020 - Bonus</v>
          </cell>
          <cell r="J1066" t="str">
            <v>Wholesale</v>
          </cell>
          <cell r="K1066" t="str">
            <v>Wholesale</v>
          </cell>
          <cell r="L1066" t="str">
            <v>HQ Salaries</v>
          </cell>
          <cell r="N1066" t="str">
            <v>SG&amp;A</v>
          </cell>
          <cell r="O1066" t="str">
            <v>[No Vendor]</v>
          </cell>
        </row>
        <row r="1067">
          <cell r="D1067">
            <v>58495</v>
          </cell>
          <cell r="H1067">
            <v>45352</v>
          </cell>
          <cell r="I1067" t="str">
            <v>6020 - Bonus</v>
          </cell>
          <cell r="J1067">
            <v>0</v>
          </cell>
          <cell r="K1067" t="str">
            <v>Production</v>
          </cell>
          <cell r="L1067" t="str">
            <v>HQ Salaries</v>
          </cell>
          <cell r="N1067" t="str">
            <v>SG&amp;A</v>
          </cell>
          <cell r="O1067" t="str">
            <v>[No Vendor]</v>
          </cell>
        </row>
        <row r="1068">
          <cell r="D1068">
            <v>7585</v>
          </cell>
          <cell r="H1068">
            <v>45352</v>
          </cell>
          <cell r="I1068" t="str">
            <v>6020 - Bonus</v>
          </cell>
          <cell r="J1068">
            <v>0</v>
          </cell>
          <cell r="K1068" t="str">
            <v>Brand Marketing</v>
          </cell>
          <cell r="L1068" t="str">
            <v>HQ Salaries</v>
          </cell>
          <cell r="N1068" t="str">
            <v>SG&amp;A</v>
          </cell>
          <cell r="O1068" t="str">
            <v>[No Vendor]</v>
          </cell>
        </row>
        <row r="1069">
          <cell r="D1069">
            <v>99339</v>
          </cell>
          <cell r="H1069">
            <v>45352</v>
          </cell>
          <cell r="I1069" t="str">
            <v>6020 - Bonus</v>
          </cell>
          <cell r="J1069" t="str">
            <v>Ecommerce (US)</v>
          </cell>
          <cell r="K1069" t="str">
            <v>Ecommerce</v>
          </cell>
          <cell r="L1069" t="str">
            <v>HQ Salaries</v>
          </cell>
          <cell r="N1069" t="str">
            <v>SG&amp;A</v>
          </cell>
          <cell r="O1069" t="str">
            <v>[No Vendor]</v>
          </cell>
        </row>
        <row r="1070">
          <cell r="D1070">
            <v>56497</v>
          </cell>
          <cell r="H1070">
            <v>45352</v>
          </cell>
          <cell r="I1070" t="str">
            <v>6020 - Bonus</v>
          </cell>
          <cell r="J1070">
            <v>0</v>
          </cell>
          <cell r="K1070" t="str">
            <v>Design</v>
          </cell>
          <cell r="L1070" t="str">
            <v>HQ Salaries</v>
          </cell>
          <cell r="N1070" t="str">
            <v>SG&amp;A</v>
          </cell>
          <cell r="O1070" t="str">
            <v>[No Vendor]</v>
          </cell>
        </row>
        <row r="1071">
          <cell r="D1071">
            <v>-39.15</v>
          </cell>
          <cell r="H1071">
            <v>45352</v>
          </cell>
          <cell r="I1071" t="str">
            <v>6385 - Insurance</v>
          </cell>
          <cell r="J1071">
            <v>0</v>
          </cell>
          <cell r="K1071" t="str">
            <v>Administration</v>
          </cell>
          <cell r="L1071" t="str">
            <v>Professional Service</v>
          </cell>
          <cell r="N1071" t="str">
            <v>SG&amp;A</v>
          </cell>
          <cell r="O1071" t="str">
            <v>[No Vendor]</v>
          </cell>
        </row>
        <row r="1072">
          <cell r="D1072">
            <v>-64.27</v>
          </cell>
          <cell r="H1072">
            <v>45352</v>
          </cell>
          <cell r="I1072" t="str">
            <v>6385 - Insurance</v>
          </cell>
          <cell r="J1072">
            <v>0</v>
          </cell>
          <cell r="K1072" t="str">
            <v>Administration</v>
          </cell>
          <cell r="L1072" t="str">
            <v>Professional Service</v>
          </cell>
          <cell r="N1072" t="str">
            <v>SG&amp;A</v>
          </cell>
          <cell r="O1072" t="str">
            <v>[No Vendor]</v>
          </cell>
        </row>
        <row r="1073">
          <cell r="D1073">
            <v>-218.19</v>
          </cell>
          <cell r="H1073">
            <v>45352</v>
          </cell>
          <cell r="I1073" t="str">
            <v>6385 - Insurance</v>
          </cell>
          <cell r="J1073">
            <v>0</v>
          </cell>
          <cell r="K1073" t="str">
            <v>Administration</v>
          </cell>
          <cell r="L1073" t="str">
            <v>Professional Service</v>
          </cell>
          <cell r="N1073" t="str">
            <v>SG&amp;A</v>
          </cell>
          <cell r="O1073" t="str">
            <v>[No Vendor]</v>
          </cell>
        </row>
        <row r="1074">
          <cell r="D1074">
            <v>-28.29</v>
          </cell>
          <cell r="H1074">
            <v>45352</v>
          </cell>
          <cell r="I1074" t="str">
            <v>6385 - Insurance</v>
          </cell>
          <cell r="J1074">
            <v>0</v>
          </cell>
          <cell r="K1074" t="str">
            <v>Administration</v>
          </cell>
          <cell r="L1074" t="str">
            <v>Professional Service</v>
          </cell>
          <cell r="N1074" t="str">
            <v>SG&amp;A</v>
          </cell>
          <cell r="O1074" t="str">
            <v>[No Vendor]</v>
          </cell>
        </row>
        <row r="1075">
          <cell r="D1075">
            <v>-95.73</v>
          </cell>
          <cell r="H1075">
            <v>45352</v>
          </cell>
          <cell r="I1075" t="str">
            <v>6385 - Insurance</v>
          </cell>
          <cell r="J1075">
            <v>0</v>
          </cell>
          <cell r="K1075" t="str">
            <v>Administration</v>
          </cell>
          <cell r="L1075" t="str">
            <v>Professional Service</v>
          </cell>
          <cell r="N1075" t="str">
            <v>SG&amp;A</v>
          </cell>
          <cell r="O1075" t="str">
            <v>[No Vendor]</v>
          </cell>
        </row>
        <row r="1076">
          <cell r="D1076">
            <v>-210.73</v>
          </cell>
          <cell r="H1076">
            <v>45352</v>
          </cell>
          <cell r="I1076" t="str">
            <v>6385 - Insurance</v>
          </cell>
          <cell r="J1076">
            <v>0</v>
          </cell>
          <cell r="K1076" t="str">
            <v>Administration</v>
          </cell>
          <cell r="L1076" t="str">
            <v>Professional Service</v>
          </cell>
          <cell r="N1076" t="str">
            <v>SG&amp;A</v>
          </cell>
          <cell r="O1076" t="str">
            <v>[No Vendor]</v>
          </cell>
        </row>
        <row r="1077">
          <cell r="D1077">
            <v>-44.25</v>
          </cell>
          <cell r="H1077">
            <v>45352</v>
          </cell>
          <cell r="I1077" t="str">
            <v>6385 - Insurance</v>
          </cell>
          <cell r="J1077">
            <v>0</v>
          </cell>
          <cell r="K1077" t="str">
            <v>Administration</v>
          </cell>
          <cell r="L1077" t="str">
            <v>Professional Service</v>
          </cell>
          <cell r="N1077" t="str">
            <v>SG&amp;A</v>
          </cell>
          <cell r="O1077" t="str">
            <v>[No Vendor]</v>
          </cell>
        </row>
        <row r="1078">
          <cell r="D1078">
            <v>-1.44</v>
          </cell>
          <cell r="H1078">
            <v>45352</v>
          </cell>
          <cell r="I1078" t="str">
            <v>6385 - Insurance</v>
          </cell>
          <cell r="J1078">
            <v>0</v>
          </cell>
          <cell r="K1078" t="str">
            <v>Administration</v>
          </cell>
          <cell r="L1078" t="str">
            <v>Professional Service</v>
          </cell>
          <cell r="N1078" t="str">
            <v>SG&amp;A</v>
          </cell>
          <cell r="O1078" t="str">
            <v>[No Vendor]</v>
          </cell>
        </row>
        <row r="1079">
          <cell r="D1079">
            <v>-10.16</v>
          </cell>
          <cell r="H1079">
            <v>45352</v>
          </cell>
          <cell r="I1079" t="str">
            <v>6385 - Insurance</v>
          </cell>
          <cell r="J1079">
            <v>0</v>
          </cell>
          <cell r="K1079" t="str">
            <v>Administration</v>
          </cell>
          <cell r="L1079" t="str">
            <v>Professional Service</v>
          </cell>
          <cell r="N1079" t="str">
            <v>SG&amp;A</v>
          </cell>
          <cell r="O1079" t="str">
            <v>[No Vendor]</v>
          </cell>
        </row>
        <row r="1080">
          <cell r="D1080">
            <v>-5.64</v>
          </cell>
          <cell r="H1080">
            <v>45352</v>
          </cell>
          <cell r="I1080" t="str">
            <v>6385 - Insurance</v>
          </cell>
          <cell r="J1080">
            <v>0</v>
          </cell>
          <cell r="K1080" t="str">
            <v>Administration</v>
          </cell>
          <cell r="L1080" t="str">
            <v>Professional Service</v>
          </cell>
          <cell r="N1080" t="str">
            <v>SG&amp;A</v>
          </cell>
          <cell r="O1080" t="str">
            <v>[No Vendor]</v>
          </cell>
        </row>
        <row r="1081">
          <cell r="D1081">
            <v>-12.14</v>
          </cell>
          <cell r="H1081">
            <v>45352</v>
          </cell>
          <cell r="I1081" t="str">
            <v>6385 - Insurance</v>
          </cell>
          <cell r="J1081">
            <v>0</v>
          </cell>
          <cell r="K1081" t="str">
            <v>Administration</v>
          </cell>
          <cell r="L1081" t="str">
            <v>Professional Service</v>
          </cell>
          <cell r="N1081" t="str">
            <v>SG&amp;A</v>
          </cell>
          <cell r="O1081" t="str">
            <v>[No Vendor]</v>
          </cell>
        </row>
        <row r="1082">
          <cell r="D1082">
            <v>-13.43</v>
          </cell>
          <cell r="H1082">
            <v>45352</v>
          </cell>
          <cell r="I1082" t="str">
            <v>6385 - Insurance</v>
          </cell>
          <cell r="J1082">
            <v>0</v>
          </cell>
          <cell r="K1082" t="str">
            <v>Administration</v>
          </cell>
          <cell r="L1082" t="str">
            <v>Professional Service</v>
          </cell>
          <cell r="N1082" t="str">
            <v>SG&amp;A</v>
          </cell>
          <cell r="O1082" t="str">
            <v>[No Vendor]</v>
          </cell>
        </row>
        <row r="1083">
          <cell r="D1083">
            <v>-12.83</v>
          </cell>
          <cell r="H1083">
            <v>45352</v>
          </cell>
          <cell r="I1083" t="str">
            <v>6385 - Insurance</v>
          </cell>
          <cell r="J1083">
            <v>0</v>
          </cell>
          <cell r="K1083" t="str">
            <v>Administration</v>
          </cell>
          <cell r="L1083" t="str">
            <v>Professional Service</v>
          </cell>
          <cell r="N1083" t="str">
            <v>SG&amp;A</v>
          </cell>
          <cell r="O1083" t="str">
            <v>[No Vendor]</v>
          </cell>
        </row>
        <row r="1084">
          <cell r="D1084">
            <v>-3.84</v>
          </cell>
          <cell r="H1084">
            <v>45352</v>
          </cell>
          <cell r="I1084" t="str">
            <v>6385 - Insurance</v>
          </cell>
          <cell r="J1084">
            <v>0</v>
          </cell>
          <cell r="K1084" t="str">
            <v>Administration</v>
          </cell>
          <cell r="L1084" t="str">
            <v>Professional Service</v>
          </cell>
          <cell r="N1084" t="str">
            <v>SG&amp;A</v>
          </cell>
          <cell r="O1084" t="str">
            <v>[No Vendor]</v>
          </cell>
        </row>
        <row r="1085">
          <cell r="D1085">
            <v>490.24</v>
          </cell>
          <cell r="H1085">
            <v>45352</v>
          </cell>
          <cell r="I1085" t="str">
            <v>6300 - Payroll Service Fees</v>
          </cell>
          <cell r="J1085">
            <v>0</v>
          </cell>
          <cell r="K1085" t="str">
            <v>Administration</v>
          </cell>
          <cell r="L1085" t="str">
            <v>Professional Service</v>
          </cell>
          <cell r="N1085" t="str">
            <v>SG&amp;A</v>
          </cell>
          <cell r="O1085" t="str">
            <v>ADP Payroll Services</v>
          </cell>
        </row>
        <row r="1086">
          <cell r="D1086">
            <v>325.25</v>
          </cell>
          <cell r="H1086">
            <v>45352</v>
          </cell>
          <cell r="I1086" t="str">
            <v>6300 - Payroll Service Fees</v>
          </cell>
          <cell r="J1086">
            <v>0</v>
          </cell>
          <cell r="K1086" t="str">
            <v>Administration</v>
          </cell>
          <cell r="L1086" t="str">
            <v>Professional Service</v>
          </cell>
          <cell r="N1086" t="str">
            <v>SG&amp;A</v>
          </cell>
          <cell r="O1086" t="str">
            <v>ADP Payroll Services</v>
          </cell>
        </row>
        <row r="1087">
          <cell r="D1087">
            <v>802.94</v>
          </cell>
          <cell r="H1087">
            <v>45352</v>
          </cell>
          <cell r="I1087" t="str">
            <v>6055 - Employer Social Security Tax Withheld</v>
          </cell>
          <cell r="J1087">
            <v>0</v>
          </cell>
          <cell r="K1087" t="str">
            <v>Merchandising</v>
          </cell>
          <cell r="L1087" t="str">
            <v>HQ Salaries</v>
          </cell>
          <cell r="N1087" t="str">
            <v>SG&amp;A</v>
          </cell>
          <cell r="O1087" t="str">
            <v>[No Vendor]</v>
          </cell>
        </row>
        <row r="1088">
          <cell r="D1088">
            <v>1597.4</v>
          </cell>
          <cell r="H1088">
            <v>45352</v>
          </cell>
          <cell r="I1088" t="str">
            <v>6055 - Employer Social Security Tax Withheld</v>
          </cell>
          <cell r="J1088" t="str">
            <v>Wholesale</v>
          </cell>
          <cell r="K1088" t="str">
            <v>Wholesale</v>
          </cell>
          <cell r="L1088" t="str">
            <v>HQ Salaries</v>
          </cell>
          <cell r="N1088" t="str">
            <v>SG&amp;A</v>
          </cell>
          <cell r="O1088" t="str">
            <v>[No Vendor]</v>
          </cell>
        </row>
        <row r="1089">
          <cell r="D1089">
            <v>6229.73</v>
          </cell>
          <cell r="H1089">
            <v>45352</v>
          </cell>
          <cell r="I1089" t="str">
            <v>6055 - Employer Social Security Tax Withheld</v>
          </cell>
          <cell r="J1089">
            <v>0</v>
          </cell>
          <cell r="K1089" t="str">
            <v>Production</v>
          </cell>
          <cell r="L1089" t="str">
            <v>HQ Salaries</v>
          </cell>
          <cell r="N1089" t="str">
            <v>SG&amp;A</v>
          </cell>
          <cell r="O1089" t="str">
            <v>[No Vendor]</v>
          </cell>
        </row>
        <row r="1090">
          <cell r="D1090">
            <v>580.25</v>
          </cell>
          <cell r="H1090">
            <v>45352</v>
          </cell>
          <cell r="I1090" t="str">
            <v>6055 - Employer Social Security Tax Withheld</v>
          </cell>
          <cell r="J1090">
            <v>0</v>
          </cell>
          <cell r="K1090" t="str">
            <v>Brand Marketing</v>
          </cell>
          <cell r="L1090" t="str">
            <v>HQ Salaries</v>
          </cell>
          <cell r="N1090" t="str">
            <v>SG&amp;A</v>
          </cell>
          <cell r="O1090" t="str">
            <v>[No Vendor]</v>
          </cell>
        </row>
        <row r="1091">
          <cell r="D1091">
            <v>7599.45</v>
          </cell>
          <cell r="H1091">
            <v>45352</v>
          </cell>
          <cell r="I1091" t="str">
            <v>6055 - Employer Social Security Tax Withheld</v>
          </cell>
          <cell r="J1091" t="str">
            <v>Ecommerce (US)</v>
          </cell>
          <cell r="K1091" t="str">
            <v>Ecommerce</v>
          </cell>
          <cell r="L1091" t="str">
            <v>HQ Salaries</v>
          </cell>
          <cell r="N1091" t="str">
            <v>SG&amp;A</v>
          </cell>
          <cell r="O1091" t="str">
            <v>[No Vendor]</v>
          </cell>
        </row>
        <row r="1092">
          <cell r="D1092">
            <v>4828.9399999999996</v>
          </cell>
          <cell r="H1092">
            <v>45352</v>
          </cell>
          <cell r="I1092" t="str">
            <v>6055 - Employer Social Security Tax Withheld</v>
          </cell>
          <cell r="J1092">
            <v>0</v>
          </cell>
          <cell r="K1092" t="str">
            <v>Design</v>
          </cell>
          <cell r="L1092" t="str">
            <v>HQ Salaries</v>
          </cell>
          <cell r="N1092" t="str">
            <v>SG&amp;A</v>
          </cell>
          <cell r="O1092" t="str">
            <v>[No Vendor]</v>
          </cell>
        </row>
        <row r="1093">
          <cell r="D1093">
            <v>5689.01</v>
          </cell>
          <cell r="H1093">
            <v>45352</v>
          </cell>
          <cell r="I1093" t="str">
            <v>6055 - Employer Social Security Tax Withheld</v>
          </cell>
          <cell r="J1093">
            <v>0</v>
          </cell>
          <cell r="K1093" t="str">
            <v>Administration</v>
          </cell>
          <cell r="L1093" t="str">
            <v>HQ Salaries</v>
          </cell>
          <cell r="N1093" t="str">
            <v>SG&amp;A</v>
          </cell>
          <cell r="O1093" t="str">
            <v>[No Vendor]</v>
          </cell>
        </row>
        <row r="1094">
          <cell r="D1094">
            <v>17.57</v>
          </cell>
          <cell r="H1094">
            <v>45352</v>
          </cell>
          <cell r="I1094" t="str">
            <v>6055 - Employer Social Security Tax Withheld</v>
          </cell>
          <cell r="J1094">
            <v>0</v>
          </cell>
          <cell r="K1094" t="str">
            <v>Merchandising</v>
          </cell>
          <cell r="L1094" t="str">
            <v>HQ Salaries</v>
          </cell>
          <cell r="N1094" t="str">
            <v>SG&amp;A</v>
          </cell>
          <cell r="O1094" t="str">
            <v>[No Vendor]</v>
          </cell>
        </row>
        <row r="1095">
          <cell r="D1095">
            <v>123.89</v>
          </cell>
          <cell r="H1095">
            <v>45352</v>
          </cell>
          <cell r="I1095" t="str">
            <v>6055 - Employer Social Security Tax Withheld</v>
          </cell>
          <cell r="J1095" t="str">
            <v>Wholesale</v>
          </cell>
          <cell r="K1095" t="str">
            <v>Wholesale</v>
          </cell>
          <cell r="L1095" t="str">
            <v>HQ Salaries</v>
          </cell>
          <cell r="N1095" t="str">
            <v>SG&amp;A</v>
          </cell>
          <cell r="O1095" t="str">
            <v>[No Vendor]</v>
          </cell>
        </row>
        <row r="1096">
          <cell r="D1096">
            <v>68.930000000000007</v>
          </cell>
          <cell r="H1096">
            <v>45352</v>
          </cell>
          <cell r="I1096" t="str">
            <v>6055 - Employer Social Security Tax Withheld</v>
          </cell>
          <cell r="J1096">
            <v>0</v>
          </cell>
          <cell r="K1096" t="str">
            <v>Production</v>
          </cell>
          <cell r="L1096" t="str">
            <v>HQ Salaries</v>
          </cell>
          <cell r="N1096" t="str">
            <v>SG&amp;A</v>
          </cell>
          <cell r="O1096" t="str">
            <v>[No Vendor]</v>
          </cell>
        </row>
        <row r="1097">
          <cell r="D1097">
            <v>170.39</v>
          </cell>
          <cell r="H1097">
            <v>45352</v>
          </cell>
          <cell r="I1097" t="str">
            <v>6055 - Employer Social Security Tax Withheld</v>
          </cell>
          <cell r="J1097">
            <v>0</v>
          </cell>
          <cell r="K1097" t="str">
            <v>Brand Marketing</v>
          </cell>
          <cell r="L1097" t="str">
            <v>HQ Salaries</v>
          </cell>
          <cell r="N1097" t="str">
            <v>SG&amp;A</v>
          </cell>
          <cell r="O1097" t="str">
            <v>[No Vendor]</v>
          </cell>
        </row>
        <row r="1098">
          <cell r="D1098">
            <v>245.36</v>
          </cell>
          <cell r="H1098">
            <v>45352</v>
          </cell>
          <cell r="I1098" t="str">
            <v>6055 - Employer Social Security Tax Withheld</v>
          </cell>
          <cell r="J1098" t="str">
            <v>Ecommerce (US)</v>
          </cell>
          <cell r="K1098" t="str">
            <v>Ecommerce</v>
          </cell>
          <cell r="L1098" t="str">
            <v>HQ Salaries</v>
          </cell>
          <cell r="N1098" t="str">
            <v>SG&amp;A</v>
          </cell>
          <cell r="O1098" t="str">
            <v>[No Vendor]</v>
          </cell>
        </row>
        <row r="1099">
          <cell r="D1099">
            <v>144.41</v>
          </cell>
          <cell r="H1099">
            <v>45352</v>
          </cell>
          <cell r="I1099" t="str">
            <v>6055 - Employer Social Security Tax Withheld</v>
          </cell>
          <cell r="J1099">
            <v>0</v>
          </cell>
          <cell r="K1099" t="str">
            <v>Design</v>
          </cell>
          <cell r="L1099" t="str">
            <v>HQ Salaries</v>
          </cell>
          <cell r="N1099" t="str">
            <v>SG&amp;A</v>
          </cell>
          <cell r="O1099" t="str">
            <v>[No Vendor]</v>
          </cell>
        </row>
        <row r="1100">
          <cell r="D1100">
            <v>144.08000000000001</v>
          </cell>
          <cell r="H1100">
            <v>45352</v>
          </cell>
          <cell r="I1100" t="str">
            <v>6055 - Employer Social Security Tax Withheld</v>
          </cell>
          <cell r="J1100">
            <v>0</v>
          </cell>
          <cell r="K1100" t="str">
            <v>Administration</v>
          </cell>
          <cell r="L1100" t="str">
            <v>HQ Salaries</v>
          </cell>
          <cell r="N1100" t="str">
            <v>SG&amp;A</v>
          </cell>
          <cell r="O1100" t="str">
            <v>[No Vendor]</v>
          </cell>
        </row>
        <row r="1101">
          <cell r="D1101">
            <v>-146</v>
          </cell>
          <cell r="H1101">
            <v>45352</v>
          </cell>
          <cell r="I1101" t="str">
            <v>8000 - Interest Income</v>
          </cell>
          <cell r="J1101">
            <v>0</v>
          </cell>
          <cell r="K1101" t="str">
            <v>Administration</v>
          </cell>
          <cell r="L1101" t="str">
            <v>Other Income (BTL)</v>
          </cell>
          <cell r="N1101" t="str">
            <v>BTL</v>
          </cell>
          <cell r="O1101" t="str">
            <v>[No Vendor]</v>
          </cell>
        </row>
        <row r="1102">
          <cell r="D1102">
            <v>4000</v>
          </cell>
          <cell r="H1102">
            <v>45352</v>
          </cell>
          <cell r="I1102" t="str">
            <v>6375 - Freight Expenses</v>
          </cell>
          <cell r="J1102" t="str">
            <v>Ecommerce (US)</v>
          </cell>
          <cell r="K1102" t="str">
            <v>Ecommerce</v>
          </cell>
          <cell r="L1102" t="str">
            <v>Freight</v>
          </cell>
          <cell r="N1102" t="str">
            <v>Direct Costs</v>
          </cell>
          <cell r="O1102" t="str">
            <v>Easy Post</v>
          </cell>
        </row>
        <row r="1103">
          <cell r="D1103">
            <v>0</v>
          </cell>
          <cell r="H1103">
            <v>45352</v>
          </cell>
          <cell r="I1103" t="str">
            <v>6040 - Employer Paid Benefits</v>
          </cell>
          <cell r="J1103">
            <v>0</v>
          </cell>
          <cell r="K1103" t="str">
            <v>Merchandising</v>
          </cell>
          <cell r="L1103" t="str">
            <v>HQ Salaries</v>
          </cell>
          <cell r="N1103" t="str">
            <v>SG&amp;A</v>
          </cell>
          <cell r="O1103" t="str">
            <v>[No Vendor]</v>
          </cell>
        </row>
        <row r="1104">
          <cell r="D1104">
            <v>0</v>
          </cell>
          <cell r="H1104">
            <v>45352</v>
          </cell>
          <cell r="I1104" t="str">
            <v>6040 - Employer Paid Benefits</v>
          </cell>
          <cell r="J1104" t="str">
            <v>Wholesale</v>
          </cell>
          <cell r="K1104" t="str">
            <v>Wholesale</v>
          </cell>
          <cell r="L1104" t="str">
            <v>HQ Salaries</v>
          </cell>
          <cell r="N1104" t="str">
            <v>SG&amp;A</v>
          </cell>
          <cell r="O1104" t="str">
            <v>[No Vendor]</v>
          </cell>
        </row>
        <row r="1105">
          <cell r="D1105">
            <v>0</v>
          </cell>
          <cell r="H1105">
            <v>45352</v>
          </cell>
          <cell r="I1105" t="str">
            <v>6040 - Employer Paid Benefits</v>
          </cell>
          <cell r="J1105">
            <v>0</v>
          </cell>
          <cell r="K1105" t="str">
            <v>Production</v>
          </cell>
          <cell r="L1105" t="str">
            <v>HQ Salaries</v>
          </cell>
          <cell r="N1105" t="str">
            <v>SG&amp;A</v>
          </cell>
          <cell r="O1105" t="str">
            <v>[No Vendor]</v>
          </cell>
        </row>
        <row r="1106">
          <cell r="D1106">
            <v>0</v>
          </cell>
          <cell r="H1106">
            <v>45352</v>
          </cell>
          <cell r="I1106" t="str">
            <v>6040 - Employer Paid Benefits</v>
          </cell>
          <cell r="J1106">
            <v>0</v>
          </cell>
          <cell r="K1106" t="str">
            <v>Brand Marketing</v>
          </cell>
          <cell r="L1106" t="str">
            <v>HQ Salaries</v>
          </cell>
          <cell r="N1106" t="str">
            <v>SG&amp;A</v>
          </cell>
          <cell r="O1106" t="str">
            <v>[No Vendor]</v>
          </cell>
        </row>
        <row r="1107">
          <cell r="D1107">
            <v>0</v>
          </cell>
          <cell r="H1107">
            <v>45352</v>
          </cell>
          <cell r="I1107" t="str">
            <v>6040 - Employer Paid Benefits</v>
          </cell>
          <cell r="J1107" t="str">
            <v>Ecommerce (US)</v>
          </cell>
          <cell r="K1107" t="str">
            <v>Ecommerce</v>
          </cell>
          <cell r="L1107" t="str">
            <v>HQ Salaries</v>
          </cell>
          <cell r="N1107" t="str">
            <v>SG&amp;A</v>
          </cell>
          <cell r="O1107" t="str">
            <v>[No Vendor]</v>
          </cell>
        </row>
        <row r="1108">
          <cell r="D1108">
            <v>0</v>
          </cell>
          <cell r="H1108">
            <v>45352</v>
          </cell>
          <cell r="I1108" t="str">
            <v>6040 - Employer Paid Benefits</v>
          </cell>
          <cell r="J1108">
            <v>0</v>
          </cell>
          <cell r="K1108" t="str">
            <v>Design</v>
          </cell>
          <cell r="L1108" t="str">
            <v>HQ Salaries</v>
          </cell>
          <cell r="N1108" t="str">
            <v>SG&amp;A</v>
          </cell>
          <cell r="O1108" t="str">
            <v>[No Vendor]</v>
          </cell>
        </row>
        <row r="1109">
          <cell r="D1109">
            <v>0</v>
          </cell>
          <cell r="H1109">
            <v>45352</v>
          </cell>
          <cell r="I1109" t="str">
            <v>6040 - Employer Paid Benefits</v>
          </cell>
          <cell r="J1109">
            <v>0</v>
          </cell>
          <cell r="K1109" t="str">
            <v>Administration</v>
          </cell>
          <cell r="L1109" t="str">
            <v>HQ Salaries</v>
          </cell>
          <cell r="N1109" t="str">
            <v>SG&amp;A</v>
          </cell>
          <cell r="O1109" t="str">
            <v>[No Vendor]</v>
          </cell>
        </row>
        <row r="1110">
          <cell r="D1110">
            <v>165</v>
          </cell>
          <cell r="H1110">
            <v>45352</v>
          </cell>
          <cell r="I1110" t="str">
            <v>6005 - Salaries</v>
          </cell>
          <cell r="J1110">
            <v>0</v>
          </cell>
          <cell r="K1110" t="str">
            <v>Merchandising</v>
          </cell>
          <cell r="L1110" t="str">
            <v>HQ Salaries</v>
          </cell>
          <cell r="N1110" t="str">
            <v>SG&amp;A</v>
          </cell>
          <cell r="O1110" t="str">
            <v>[No Vendor]</v>
          </cell>
        </row>
        <row r="1111">
          <cell r="D1111">
            <v>1163.4000000000001</v>
          </cell>
          <cell r="H1111">
            <v>45352</v>
          </cell>
          <cell r="I1111" t="str">
            <v>6005 - Salaries</v>
          </cell>
          <cell r="J1111" t="str">
            <v>Wholesale</v>
          </cell>
          <cell r="K1111" t="str">
            <v>Wholesale</v>
          </cell>
          <cell r="L1111" t="str">
            <v>HQ Salaries</v>
          </cell>
          <cell r="N1111" t="str">
            <v>SG&amp;A</v>
          </cell>
          <cell r="O1111" t="str">
            <v>[No Vendor]</v>
          </cell>
        </row>
        <row r="1112">
          <cell r="D1112">
            <v>647.29</v>
          </cell>
          <cell r="H1112">
            <v>45352</v>
          </cell>
          <cell r="I1112" t="str">
            <v>6005 - Salaries</v>
          </cell>
          <cell r="J1112">
            <v>0</v>
          </cell>
          <cell r="K1112" t="str">
            <v>Production</v>
          </cell>
          <cell r="L1112" t="str">
            <v>HQ Salaries</v>
          </cell>
          <cell r="N1112" t="str">
            <v>SG&amp;A</v>
          </cell>
          <cell r="O1112" t="str">
            <v>[No Vendor]</v>
          </cell>
        </row>
        <row r="1113">
          <cell r="D1113">
            <v>1599.95</v>
          </cell>
          <cell r="H1113">
            <v>45352</v>
          </cell>
          <cell r="I1113" t="str">
            <v>6005 - Salaries</v>
          </cell>
          <cell r="J1113">
            <v>0</v>
          </cell>
          <cell r="K1113" t="str">
            <v>Brand Marketing</v>
          </cell>
          <cell r="L1113" t="str">
            <v>HQ Salaries</v>
          </cell>
          <cell r="N1113" t="str">
            <v>SG&amp;A</v>
          </cell>
          <cell r="O1113" t="str">
            <v>[No Vendor]</v>
          </cell>
        </row>
        <row r="1114">
          <cell r="D1114">
            <v>2873.4</v>
          </cell>
          <cell r="H1114">
            <v>45352</v>
          </cell>
          <cell r="I1114" t="str">
            <v>6005 - Salaries</v>
          </cell>
          <cell r="J1114" t="str">
            <v>Ecommerce (US)</v>
          </cell>
          <cell r="K1114" t="str">
            <v>Ecommerce</v>
          </cell>
          <cell r="L1114" t="str">
            <v>HQ Salaries</v>
          </cell>
          <cell r="N1114" t="str">
            <v>SG&amp;A</v>
          </cell>
          <cell r="O1114" t="str">
            <v>[No Vendor]</v>
          </cell>
        </row>
        <row r="1115">
          <cell r="D1115">
            <v>1470.38</v>
          </cell>
          <cell r="H1115">
            <v>45352</v>
          </cell>
          <cell r="I1115" t="str">
            <v>6005 - Salaries</v>
          </cell>
          <cell r="J1115">
            <v>0</v>
          </cell>
          <cell r="K1115" t="str">
            <v>Design</v>
          </cell>
          <cell r="L1115" t="str">
            <v>HQ Salaries</v>
          </cell>
          <cell r="N1115" t="str">
            <v>SG&amp;A</v>
          </cell>
          <cell r="O1115" t="str">
            <v>[No Vendor]</v>
          </cell>
        </row>
        <row r="1116">
          <cell r="D1116">
            <v>27582.33</v>
          </cell>
          <cell r="H1116">
            <v>45352</v>
          </cell>
          <cell r="I1116" t="str">
            <v>6375 - Freight Expenses</v>
          </cell>
          <cell r="J1116" t="str">
            <v>Ecommerce (US)</v>
          </cell>
          <cell r="K1116" t="str">
            <v>Ecommerce</v>
          </cell>
          <cell r="L1116" t="str">
            <v>Freight</v>
          </cell>
          <cell r="N1116" t="str">
            <v>Direct Costs</v>
          </cell>
          <cell r="O1116" t="str">
            <v>UPS Supply Chain Solutions Inc. (7F24A0)</v>
          </cell>
        </row>
        <row r="1117">
          <cell r="D1117">
            <v>221</v>
          </cell>
          <cell r="H1117">
            <v>45352</v>
          </cell>
          <cell r="I1117" t="str">
            <v>6040 - Employer Paid Benefits</v>
          </cell>
          <cell r="J1117">
            <v>0</v>
          </cell>
          <cell r="K1117" t="str">
            <v>Administration</v>
          </cell>
          <cell r="L1117" t="str">
            <v>HQ Salaries</v>
          </cell>
          <cell r="N1117" t="str">
            <v>SG&amp;A</v>
          </cell>
          <cell r="O1117" t="str">
            <v>Progressive Benefit Solutions LLC</v>
          </cell>
        </row>
        <row r="1118">
          <cell r="D1118">
            <v>34757.07</v>
          </cell>
          <cell r="H1118">
            <v>45352</v>
          </cell>
          <cell r="I1118" t="str">
            <v>6377 - Order Processing Expenses (New)</v>
          </cell>
          <cell r="J1118" t="str">
            <v>Ecommerce (US)</v>
          </cell>
          <cell r="K1118" t="str">
            <v>Ecommerce</v>
          </cell>
          <cell r="L1118" t="str">
            <v>Order Processing</v>
          </cell>
          <cell r="N1118" t="str">
            <v>Direct Costs</v>
          </cell>
          <cell r="O1118" t="str">
            <v>Bergen Logistics Corporation</v>
          </cell>
        </row>
        <row r="1119">
          <cell r="D1119">
            <v>8902.68</v>
          </cell>
          <cell r="H1119">
            <v>45352</v>
          </cell>
          <cell r="I1119" t="str">
            <v>6377 - Order Processing Expenses (New)</v>
          </cell>
          <cell r="J1119" t="str">
            <v>Wholesale</v>
          </cell>
          <cell r="K1119" t="str">
            <v>Wholesale</v>
          </cell>
          <cell r="L1119" t="str">
            <v>Order Processing</v>
          </cell>
          <cell r="N1119" t="str">
            <v>Direct Costs</v>
          </cell>
          <cell r="O1119" t="str">
            <v>Bergen Logistics Corporation</v>
          </cell>
        </row>
        <row r="1120">
          <cell r="D1120">
            <v>20851.71</v>
          </cell>
          <cell r="H1120">
            <v>45352</v>
          </cell>
          <cell r="I1120" t="str">
            <v>6286 - SEM</v>
          </cell>
          <cell r="J1120" t="str">
            <v>Ecommerce (US)</v>
          </cell>
          <cell r="K1120" t="str">
            <v>Brand Marketing</v>
          </cell>
          <cell r="L1120" t="str">
            <v>Professional Service</v>
          </cell>
          <cell r="N1120" t="str">
            <v>Direct Costs</v>
          </cell>
          <cell r="O1120" t="str">
            <v>Attentive Mobile Inc.</v>
          </cell>
        </row>
        <row r="1121">
          <cell r="D1121">
            <v>88</v>
          </cell>
          <cell r="H1121">
            <v>45352</v>
          </cell>
          <cell r="I1121" t="str">
            <v>6430 - Dues &amp; Memberships</v>
          </cell>
          <cell r="J1121" t="str">
            <v>Wholesale</v>
          </cell>
          <cell r="K1121" t="str">
            <v>Wholesale</v>
          </cell>
          <cell r="L1121" t="str">
            <v>Professional Service</v>
          </cell>
          <cell r="N1121" t="str">
            <v>Direct Costs</v>
          </cell>
          <cell r="O1121" t="str">
            <v>SPS Commerce</v>
          </cell>
        </row>
        <row r="1122">
          <cell r="D1122">
            <v>137.75</v>
          </cell>
          <cell r="H1122">
            <v>45352</v>
          </cell>
          <cell r="I1122" t="str">
            <v>6375 - Freight Expenses</v>
          </cell>
          <cell r="J1122" t="str">
            <v>Ecommerce (US)</v>
          </cell>
          <cell r="K1122" t="str">
            <v>Ecommerce</v>
          </cell>
          <cell r="L1122" t="str">
            <v>Freight</v>
          </cell>
          <cell r="N1122" t="str">
            <v>Direct Costs</v>
          </cell>
          <cell r="O1122" t="str">
            <v>Bergen Logistics Corporation</v>
          </cell>
        </row>
        <row r="1123">
          <cell r="D1123">
            <v>164.66</v>
          </cell>
          <cell r="H1123">
            <v>45352</v>
          </cell>
          <cell r="I1123" t="str">
            <v>6375 - Freight Expenses</v>
          </cell>
          <cell r="J1123" t="str">
            <v>Wholesale</v>
          </cell>
          <cell r="K1123" t="str">
            <v>Wholesale</v>
          </cell>
          <cell r="L1123" t="str">
            <v>Freight</v>
          </cell>
          <cell r="N1123" t="str">
            <v>Direct Costs</v>
          </cell>
          <cell r="O1123" t="str">
            <v>Bergen Logistics Corporation</v>
          </cell>
        </row>
        <row r="1124">
          <cell r="D1124">
            <v>688.57</v>
          </cell>
          <cell r="H1124">
            <v>45352</v>
          </cell>
          <cell r="I1124" t="str">
            <v>6375 - Freight Expenses</v>
          </cell>
          <cell r="J1124">
            <v>0</v>
          </cell>
          <cell r="K1124" t="str">
            <v>Production</v>
          </cell>
          <cell r="L1124" t="str">
            <v>Freight</v>
          </cell>
          <cell r="N1124" t="str">
            <v>Direct Costs</v>
          </cell>
          <cell r="O1124" t="str">
            <v>DHL Express - USA</v>
          </cell>
        </row>
        <row r="1125">
          <cell r="D1125">
            <v>0</v>
          </cell>
          <cell r="H1125">
            <v>45352</v>
          </cell>
          <cell r="I1125" t="str">
            <v>4010 - Revenue - Licensing Fees (Royalties)</v>
          </cell>
          <cell r="J1125">
            <v>0</v>
          </cell>
          <cell r="K1125" t="str">
            <v>Licensing</v>
          </cell>
          <cell r="L1125" t="str">
            <v>License</v>
          </cell>
          <cell r="N1125" t="str">
            <v>Revenue</v>
          </cell>
          <cell r="O1125" t="str">
            <v>[No Vendor]</v>
          </cell>
        </row>
        <row r="1126">
          <cell r="D1126">
            <v>-62786.58</v>
          </cell>
          <cell r="H1126">
            <v>45352</v>
          </cell>
          <cell r="I1126" t="str">
            <v>6445 - Inventory Write Down</v>
          </cell>
          <cell r="J1126" t="str">
            <v>Ecommerce (US)</v>
          </cell>
          <cell r="K1126" t="str">
            <v>Ecommerce</v>
          </cell>
          <cell r="L1126" t="str">
            <v>Other</v>
          </cell>
          <cell r="N1126" t="str">
            <v>SG&amp;A</v>
          </cell>
          <cell r="O1126" t="str">
            <v>[No Vendor]</v>
          </cell>
        </row>
        <row r="1127">
          <cell r="D1127">
            <v>-41857.72</v>
          </cell>
          <cell r="H1127">
            <v>45352</v>
          </cell>
          <cell r="I1127" t="str">
            <v>6445 - Inventory Write Down</v>
          </cell>
          <cell r="J1127" t="str">
            <v>Wholesale</v>
          </cell>
          <cell r="K1127" t="str">
            <v>Wholesale</v>
          </cell>
          <cell r="L1127" t="str">
            <v>Other</v>
          </cell>
          <cell r="N1127" t="str">
            <v>SG&amp;A</v>
          </cell>
          <cell r="O1127" t="str">
            <v>[No Vendor]</v>
          </cell>
        </row>
        <row r="1128">
          <cell r="D1128">
            <v>0</v>
          </cell>
          <cell r="H1128">
            <v>45352</v>
          </cell>
          <cell r="I1128" t="str">
            <v>4045 - Sponsorships</v>
          </cell>
          <cell r="J1128">
            <v>0</v>
          </cell>
          <cell r="K1128" t="str">
            <v>Licensing</v>
          </cell>
          <cell r="L1128" t="str">
            <v>Other Income</v>
          </cell>
          <cell r="N1128" t="str">
            <v>Revenue</v>
          </cell>
          <cell r="O1128" t="str">
            <v>[No Vendor]</v>
          </cell>
        </row>
        <row r="1129">
          <cell r="D1129">
            <v>-336601.8</v>
          </cell>
          <cell r="H1129">
            <v>45352</v>
          </cell>
          <cell r="I1129" t="str">
            <v>4052 - Sales Revenue - Wholesale (US)</v>
          </cell>
          <cell r="J1129" t="str">
            <v>Wholesale</v>
          </cell>
          <cell r="K1129" t="str">
            <v>Wholesale</v>
          </cell>
          <cell r="L1129" t="str">
            <v>Wholesale</v>
          </cell>
          <cell r="N1129" t="str">
            <v>Revenue</v>
          </cell>
          <cell r="O1129" t="str">
            <v>[No Vendor]</v>
          </cell>
        </row>
        <row r="1130">
          <cell r="D1130">
            <v>-1290355.3</v>
          </cell>
          <cell r="H1130">
            <v>45352</v>
          </cell>
          <cell r="I1130" t="str">
            <v>4050 - Sales Revenue - Ecommerce (US)</v>
          </cell>
          <cell r="J1130" t="str">
            <v>Ecommerce (US)</v>
          </cell>
          <cell r="K1130" t="str">
            <v>Ecommerce</v>
          </cell>
          <cell r="L1130" t="str">
            <v>Ecommerce (US)</v>
          </cell>
          <cell r="N1130" t="str">
            <v>Revenue</v>
          </cell>
          <cell r="O1130" t="str">
            <v>[No Vendor]</v>
          </cell>
        </row>
        <row r="1131">
          <cell r="D1131">
            <v>-61294.45</v>
          </cell>
          <cell r="H1131">
            <v>45352</v>
          </cell>
          <cell r="I1131" t="str">
            <v>4050 - Sales Revenue - Ecommerce (US)</v>
          </cell>
          <cell r="J1131" t="str">
            <v>Ecommerce (US)</v>
          </cell>
          <cell r="K1131" t="str">
            <v>Ecommerce</v>
          </cell>
          <cell r="L1131" t="str">
            <v>Ecommerce (US)</v>
          </cell>
          <cell r="N1131" t="str">
            <v>Revenue</v>
          </cell>
          <cell r="O1131" t="str">
            <v>[No Vendor]</v>
          </cell>
        </row>
        <row r="1132">
          <cell r="D1132">
            <v>4106.38</v>
          </cell>
          <cell r="H1132">
            <v>45352</v>
          </cell>
          <cell r="I1132" t="str">
            <v>4061 - Sales Discount - Ecomm (EU)</v>
          </cell>
          <cell r="J1132" t="str">
            <v>Ecommerce (EU)</v>
          </cell>
          <cell r="K1132" t="str">
            <v>Ecommerce</v>
          </cell>
          <cell r="L1132" t="str">
            <v>Ecommerce (EU)</v>
          </cell>
          <cell r="N1132" t="str">
            <v>Revenue</v>
          </cell>
          <cell r="O1132" t="str">
            <v>[No Vendor]</v>
          </cell>
        </row>
        <row r="1133">
          <cell r="D1133">
            <v>162.51</v>
          </cell>
          <cell r="H1133">
            <v>45352</v>
          </cell>
          <cell r="I1133" t="str">
            <v>6041 - Employee Benefit Other</v>
          </cell>
          <cell r="J1133">
            <v>0</v>
          </cell>
          <cell r="K1133" t="str">
            <v>Brand Marketing</v>
          </cell>
          <cell r="L1133" t="str">
            <v>HQ Salaries</v>
          </cell>
          <cell r="N1133" t="str">
            <v>SG&amp;A</v>
          </cell>
          <cell r="O1133" t="str">
            <v>[No Vendor]</v>
          </cell>
        </row>
        <row r="1134">
          <cell r="D1134">
            <v>209.96</v>
          </cell>
          <cell r="H1134">
            <v>45352</v>
          </cell>
          <cell r="I1134" t="str">
            <v>6041 - Employee Benefit Other</v>
          </cell>
          <cell r="J1134" t="str">
            <v>Ecommerce (US)</v>
          </cell>
          <cell r="K1134" t="str">
            <v>Ecommerce</v>
          </cell>
          <cell r="L1134" t="str">
            <v>HQ Salaries</v>
          </cell>
          <cell r="N1134" t="str">
            <v>SG&amp;A</v>
          </cell>
          <cell r="O1134" t="str">
            <v>[No Vendor]</v>
          </cell>
        </row>
        <row r="1135">
          <cell r="D1135">
            <v>22.61</v>
          </cell>
          <cell r="H1135">
            <v>45352</v>
          </cell>
          <cell r="I1135" t="str">
            <v>6041 - Employee Benefit Other</v>
          </cell>
          <cell r="J1135" t="str">
            <v>Wholesale</v>
          </cell>
          <cell r="K1135" t="str">
            <v>Wholesale</v>
          </cell>
          <cell r="L1135" t="str">
            <v>HQ Salaries</v>
          </cell>
          <cell r="N1135" t="str">
            <v>SG&amp;A</v>
          </cell>
          <cell r="O1135" t="str">
            <v>[No Vendor]</v>
          </cell>
        </row>
        <row r="1136">
          <cell r="D1136">
            <v>161.41999999999999</v>
          </cell>
          <cell r="H1136">
            <v>45352</v>
          </cell>
          <cell r="I1136" t="str">
            <v>6041 - Employee Benefit Other</v>
          </cell>
          <cell r="J1136">
            <v>0</v>
          </cell>
          <cell r="K1136" t="str">
            <v>Production</v>
          </cell>
          <cell r="L1136" t="str">
            <v>HQ Salaries</v>
          </cell>
          <cell r="N1136" t="str">
            <v>SG&amp;A</v>
          </cell>
          <cell r="O1136" t="str">
            <v>[No Vendor]</v>
          </cell>
        </row>
        <row r="1137">
          <cell r="D1137">
            <v>28803.9</v>
          </cell>
          <cell r="H1137">
            <v>45352</v>
          </cell>
          <cell r="I1137" t="str">
            <v>4051 - Sales Revenue - Ecommerce (Intl)</v>
          </cell>
          <cell r="J1137" t="str">
            <v>Ecommerce (EU)</v>
          </cell>
          <cell r="K1137" t="str">
            <v>Ecommerce</v>
          </cell>
          <cell r="L1137" t="str">
            <v>Ecommerce (EU)</v>
          </cell>
          <cell r="N1137" t="str">
            <v>Revenue</v>
          </cell>
          <cell r="O1137" t="str">
            <v>[No Vendor]</v>
          </cell>
        </row>
        <row r="1138">
          <cell r="D1138">
            <v>-199406.6</v>
          </cell>
          <cell r="H1138">
            <v>45352</v>
          </cell>
          <cell r="I1138" t="str">
            <v>4051 - Sales Revenue - Ecommerce (Intl)</v>
          </cell>
          <cell r="J1138" t="str">
            <v>Ecommerce (EU)</v>
          </cell>
          <cell r="K1138" t="str">
            <v>Ecommerce</v>
          </cell>
          <cell r="L1138" t="str">
            <v>Ecommerce (EU)</v>
          </cell>
          <cell r="N1138" t="str">
            <v>Revenue</v>
          </cell>
          <cell r="O1138" t="str">
            <v>[No Vendor]</v>
          </cell>
        </row>
        <row r="1139">
          <cell r="D1139">
            <v>400</v>
          </cell>
          <cell r="H1139">
            <v>45352</v>
          </cell>
          <cell r="I1139" t="str">
            <v>6377 - Order Processing Expenses (New)</v>
          </cell>
          <cell r="J1139" t="str">
            <v>Ecommerce (EU)</v>
          </cell>
          <cell r="K1139" t="str">
            <v>Ecommerce</v>
          </cell>
          <cell r="L1139" t="str">
            <v>Order Processing</v>
          </cell>
          <cell r="N1139" t="str">
            <v>Direct Costs</v>
          </cell>
          <cell r="O1139" t="str">
            <v>[No Vendor]</v>
          </cell>
        </row>
        <row r="1140">
          <cell r="D1140">
            <v>-400</v>
          </cell>
          <cell r="H1140">
            <v>45352</v>
          </cell>
          <cell r="I1140" t="str">
            <v>6377 - Order Processing Expenses (New)</v>
          </cell>
          <cell r="J1140" t="str">
            <v>Ecommerce (EU)</v>
          </cell>
          <cell r="K1140" t="str">
            <v>Ecommerce</v>
          </cell>
          <cell r="L1140" t="str">
            <v>Order Processing</v>
          </cell>
          <cell r="N1140" t="str">
            <v>Direct Costs</v>
          </cell>
          <cell r="O1140" t="str">
            <v>[No Vendor]</v>
          </cell>
        </row>
        <row r="1141">
          <cell r="D1141">
            <v>-8149.83</v>
          </cell>
          <cell r="H1141">
            <v>45352</v>
          </cell>
          <cell r="I1141" t="str">
            <v>4065 - Sales Freight - Wholesale (US)</v>
          </cell>
          <cell r="J1141" t="str">
            <v>Wholesale</v>
          </cell>
          <cell r="K1141" t="str">
            <v>Wholesale</v>
          </cell>
          <cell r="L1141" t="str">
            <v>Freight - Revenue</v>
          </cell>
          <cell r="N1141" t="str">
            <v>Direct Costs</v>
          </cell>
          <cell r="O1141" t="str">
            <v>[No Vendor]</v>
          </cell>
        </row>
        <row r="1142">
          <cell r="D1142">
            <v>-28632</v>
          </cell>
          <cell r="H1142">
            <v>45352</v>
          </cell>
          <cell r="I1142" t="str">
            <v>4064 - Sales Freight - Ecomm (US)</v>
          </cell>
          <cell r="J1142" t="str">
            <v>Ecommerce (US)</v>
          </cell>
          <cell r="K1142" t="str">
            <v>Ecommerce</v>
          </cell>
          <cell r="L1142" t="str">
            <v>Freight - Revenue</v>
          </cell>
          <cell r="N1142" t="str">
            <v>Direct Costs</v>
          </cell>
          <cell r="O1142" t="str">
            <v>[No Vendor]</v>
          </cell>
        </row>
        <row r="1143">
          <cell r="D1143">
            <v>-2366</v>
          </cell>
          <cell r="H1143">
            <v>45352</v>
          </cell>
          <cell r="I1143" t="str">
            <v>4064 - Sales Freight - Ecomm (US)</v>
          </cell>
          <cell r="J1143" t="str">
            <v>Ecommerce (US)</v>
          </cell>
          <cell r="K1143" t="str">
            <v>Ecommerce</v>
          </cell>
          <cell r="L1143" t="str">
            <v>Freight - Revenue</v>
          </cell>
          <cell r="N1143" t="str">
            <v>Direct Costs</v>
          </cell>
          <cell r="O1143" t="str">
            <v>[No Vendor]</v>
          </cell>
        </row>
        <row r="1144">
          <cell r="D1144">
            <v>12135.17</v>
          </cell>
          <cell r="H1144">
            <v>45352</v>
          </cell>
          <cell r="I1144" t="str">
            <v>4063 - Sales Discount - Wholesale (US)</v>
          </cell>
          <cell r="J1144" t="str">
            <v>Wholesale</v>
          </cell>
          <cell r="K1144" t="str">
            <v>Wholesale</v>
          </cell>
          <cell r="L1144" t="str">
            <v>Wholesale</v>
          </cell>
          <cell r="N1144" t="str">
            <v>Revenue</v>
          </cell>
          <cell r="O1144" t="str">
            <v>[No Vendor]</v>
          </cell>
        </row>
        <row r="1145">
          <cell r="D1145">
            <v>5691.01</v>
          </cell>
          <cell r="H1145">
            <v>45352</v>
          </cell>
          <cell r="I1145" t="str">
            <v>5900 - Interco Royalty Expense</v>
          </cell>
          <cell r="J1145">
            <v>0</v>
          </cell>
          <cell r="K1145" t="str">
            <v>Licensing</v>
          </cell>
          <cell r="L1145">
            <v>0</v>
          </cell>
          <cell r="N1145">
            <v>0</v>
          </cell>
          <cell r="O1145" t="str">
            <v>[No Vendor]</v>
          </cell>
        </row>
        <row r="1146">
          <cell r="D1146">
            <v>66376.63</v>
          </cell>
          <cell r="H1146">
            <v>45352</v>
          </cell>
          <cell r="I1146" t="str">
            <v>4062 - Sales Discount - Ecomm (US)</v>
          </cell>
          <cell r="J1146" t="str">
            <v>Ecommerce (US)</v>
          </cell>
          <cell r="K1146" t="str">
            <v>Ecommerce</v>
          </cell>
          <cell r="L1146" t="str">
            <v>Ecommerce (US)</v>
          </cell>
          <cell r="N1146" t="str">
            <v>Revenue</v>
          </cell>
          <cell r="O1146" t="str">
            <v>[No Vendor]</v>
          </cell>
        </row>
        <row r="1147">
          <cell r="D1147">
            <v>0</v>
          </cell>
          <cell r="H1147">
            <v>45352</v>
          </cell>
          <cell r="I1147" t="str">
            <v>4062 - Sales Discount - Ecomm (US)</v>
          </cell>
          <cell r="J1147" t="str">
            <v>Ecommerce (US)</v>
          </cell>
          <cell r="K1147" t="str">
            <v>Ecommerce</v>
          </cell>
          <cell r="L1147" t="str">
            <v>Ecommerce (US)</v>
          </cell>
          <cell r="N1147" t="str">
            <v>Revenue</v>
          </cell>
          <cell r="O1147" t="str">
            <v>[No Vendor]</v>
          </cell>
        </row>
        <row r="1148">
          <cell r="D1148">
            <v>1954.72</v>
          </cell>
          <cell r="H1148">
            <v>45352</v>
          </cell>
          <cell r="I1148" t="str">
            <v>7130 - License Agreements &amp; Other Intangibles</v>
          </cell>
          <cell r="J1148">
            <v>0</v>
          </cell>
          <cell r="K1148" t="str">
            <v>Administration</v>
          </cell>
          <cell r="L1148" t="str">
            <v>Depreciation &amp; Amortization</v>
          </cell>
          <cell r="N1148" t="str">
            <v>SG&amp;A</v>
          </cell>
          <cell r="O1148" t="str">
            <v>[No Vendor]</v>
          </cell>
        </row>
        <row r="1149">
          <cell r="D1149">
            <v>-5691.01</v>
          </cell>
          <cell r="H1149">
            <v>45352</v>
          </cell>
          <cell r="I1149" t="str">
            <v>4900 - Interco Royalty Revenue</v>
          </cell>
          <cell r="J1149">
            <v>0</v>
          </cell>
          <cell r="K1149" t="str">
            <v>Licensing</v>
          </cell>
          <cell r="L1149">
            <v>0</v>
          </cell>
          <cell r="N1149">
            <v>0</v>
          </cell>
          <cell r="O1149" t="str">
            <v>[No Vendor]</v>
          </cell>
        </row>
        <row r="1150">
          <cell r="D1150">
            <v>3200.73</v>
          </cell>
          <cell r="H1150">
            <v>45352</v>
          </cell>
          <cell r="I1150" t="str">
            <v>6393 - Software</v>
          </cell>
          <cell r="J1150">
            <v>0</v>
          </cell>
          <cell r="K1150" t="str">
            <v>Administration</v>
          </cell>
          <cell r="L1150" t="str">
            <v>Professional Service</v>
          </cell>
          <cell r="N1150" t="str">
            <v>Direct Costs</v>
          </cell>
          <cell r="O1150" t="str">
            <v>[No Vendor]</v>
          </cell>
        </row>
        <row r="1151">
          <cell r="D1151">
            <v>40.6</v>
          </cell>
          <cell r="H1151">
            <v>45352</v>
          </cell>
          <cell r="I1151" t="str">
            <v>6393 - Software</v>
          </cell>
          <cell r="J1151" t="str">
            <v>Wholesale</v>
          </cell>
          <cell r="K1151" t="str">
            <v>Wholesale</v>
          </cell>
          <cell r="L1151" t="str">
            <v>Professional Service</v>
          </cell>
          <cell r="N1151" t="str">
            <v>Direct Costs</v>
          </cell>
          <cell r="O1151" t="str">
            <v>[No Vendor]</v>
          </cell>
        </row>
        <row r="1152">
          <cell r="D1152">
            <v>6406.14</v>
          </cell>
          <cell r="H1152">
            <v>45352</v>
          </cell>
          <cell r="I1152" t="str">
            <v>6393 - Software</v>
          </cell>
          <cell r="J1152" t="str">
            <v>Ecommerce (US)</v>
          </cell>
          <cell r="K1152" t="str">
            <v>Ecommerce</v>
          </cell>
          <cell r="L1152" t="str">
            <v>Professional Service</v>
          </cell>
          <cell r="N1152" t="str">
            <v>Direct Costs</v>
          </cell>
          <cell r="O1152" t="str">
            <v>[No Vendor]</v>
          </cell>
        </row>
        <row r="1153">
          <cell r="D1153">
            <v>1245</v>
          </cell>
          <cell r="H1153">
            <v>45352</v>
          </cell>
          <cell r="I1153" t="str">
            <v>6393 - Software</v>
          </cell>
          <cell r="J1153">
            <v>0</v>
          </cell>
          <cell r="K1153" t="str">
            <v>Design</v>
          </cell>
          <cell r="L1153" t="str">
            <v>Professional Service</v>
          </cell>
          <cell r="N1153" t="str">
            <v>Direct Costs</v>
          </cell>
          <cell r="O1153" t="str">
            <v>[No Vendor]</v>
          </cell>
        </row>
        <row r="1154">
          <cell r="D1154">
            <v>1745.14</v>
          </cell>
          <cell r="H1154">
            <v>45352</v>
          </cell>
          <cell r="I1154" t="str">
            <v>6393 - Software</v>
          </cell>
          <cell r="J1154">
            <v>0</v>
          </cell>
          <cell r="K1154" t="str">
            <v>Administration</v>
          </cell>
          <cell r="L1154" t="str">
            <v>Professional Service</v>
          </cell>
          <cell r="N1154" t="str">
            <v>Direct Costs</v>
          </cell>
          <cell r="O1154" t="str">
            <v>[No Vendor]</v>
          </cell>
        </row>
        <row r="1155">
          <cell r="D1155">
            <v>458.33</v>
          </cell>
          <cell r="H1155">
            <v>45352</v>
          </cell>
          <cell r="I1155" t="str">
            <v>6393 - Software</v>
          </cell>
          <cell r="J1155" t="str">
            <v>Wholesale</v>
          </cell>
          <cell r="K1155" t="str">
            <v>Wholesale</v>
          </cell>
          <cell r="L1155" t="str">
            <v>Professional Service</v>
          </cell>
          <cell r="N1155" t="str">
            <v>Direct Costs</v>
          </cell>
          <cell r="O1155" t="str">
            <v>Joor, Inc</v>
          </cell>
        </row>
        <row r="1156">
          <cell r="D1156">
            <v>1134.1199999999999</v>
          </cell>
          <cell r="H1156">
            <v>45352</v>
          </cell>
          <cell r="I1156" t="str">
            <v>6393 - Software</v>
          </cell>
          <cell r="J1156">
            <v>0</v>
          </cell>
          <cell r="K1156" t="str">
            <v>Administration</v>
          </cell>
          <cell r="L1156" t="str">
            <v>Professional Service</v>
          </cell>
          <cell r="N1156" t="str">
            <v>Direct Costs</v>
          </cell>
          <cell r="O1156" t="str">
            <v>Fohr</v>
          </cell>
        </row>
        <row r="1157">
          <cell r="D1157">
            <v>112666.45</v>
          </cell>
          <cell r="H1157">
            <v>45352</v>
          </cell>
          <cell r="I1157" t="str">
            <v>6286 - SEM</v>
          </cell>
          <cell r="J1157" t="str">
            <v>Ecommerce (US)</v>
          </cell>
          <cell r="K1157" t="str">
            <v>Ecommerce</v>
          </cell>
          <cell r="L1157" t="str">
            <v>Marketing</v>
          </cell>
          <cell r="N1157" t="str">
            <v>Direct Costs</v>
          </cell>
          <cell r="O1157" t="str">
            <v>[No Vendor]</v>
          </cell>
        </row>
        <row r="1158">
          <cell r="D1158">
            <v>41.71</v>
          </cell>
          <cell r="H1158">
            <v>45352</v>
          </cell>
          <cell r="I1158" t="str">
            <v>6340 - Miscellaneous Expense</v>
          </cell>
          <cell r="J1158" t="str">
            <v>Wholesale</v>
          </cell>
          <cell r="K1158" t="str">
            <v>Wholesale</v>
          </cell>
          <cell r="L1158" t="str">
            <v>Other</v>
          </cell>
          <cell r="N1158" t="str">
            <v>SG&amp;A</v>
          </cell>
          <cell r="O1158" t="str">
            <v>[No Vendor]</v>
          </cell>
        </row>
        <row r="1159">
          <cell r="D1159">
            <v>72.040000000000006</v>
          </cell>
          <cell r="H1159">
            <v>45352</v>
          </cell>
          <cell r="I1159" t="str">
            <v>6340 - Miscellaneous Expense</v>
          </cell>
          <cell r="J1159">
            <v>0</v>
          </cell>
          <cell r="K1159" t="str">
            <v>Production</v>
          </cell>
          <cell r="L1159" t="str">
            <v>Other</v>
          </cell>
          <cell r="N1159" t="str">
            <v>SG&amp;A</v>
          </cell>
          <cell r="O1159" t="str">
            <v>[No Vendor]</v>
          </cell>
        </row>
        <row r="1160">
          <cell r="D1160">
            <v>123.7</v>
          </cell>
          <cell r="H1160">
            <v>45352</v>
          </cell>
          <cell r="I1160" t="str">
            <v>6340 - Miscellaneous Expense</v>
          </cell>
          <cell r="J1160">
            <v>0</v>
          </cell>
          <cell r="K1160" t="str">
            <v>Brand Marketing</v>
          </cell>
          <cell r="L1160" t="str">
            <v>Other</v>
          </cell>
          <cell r="N1160" t="str">
            <v>SG&amp;A</v>
          </cell>
          <cell r="O1160" t="str">
            <v>[No Vendor]</v>
          </cell>
        </row>
        <row r="1161">
          <cell r="D1161">
            <v>47.34</v>
          </cell>
          <cell r="H1161">
            <v>45352</v>
          </cell>
          <cell r="I1161" t="str">
            <v>6340 - Miscellaneous Expense</v>
          </cell>
          <cell r="J1161">
            <v>0</v>
          </cell>
          <cell r="K1161" t="str">
            <v>Design</v>
          </cell>
          <cell r="L1161" t="str">
            <v>Other</v>
          </cell>
          <cell r="N1161" t="str">
            <v>SG&amp;A</v>
          </cell>
          <cell r="O1161" t="str">
            <v>[No Vendor]</v>
          </cell>
        </row>
        <row r="1162">
          <cell r="D1162">
            <v>1209.6600000000001</v>
          </cell>
          <cell r="H1162">
            <v>45352</v>
          </cell>
          <cell r="I1162" t="str">
            <v>6340 - Miscellaneous Expense</v>
          </cell>
          <cell r="J1162">
            <v>0</v>
          </cell>
          <cell r="K1162" t="str">
            <v>Administration</v>
          </cell>
          <cell r="L1162" t="str">
            <v>Other</v>
          </cell>
          <cell r="N1162" t="str">
            <v>SG&amp;A</v>
          </cell>
          <cell r="O1162" t="str">
            <v>[No Vendor]</v>
          </cell>
        </row>
        <row r="1163">
          <cell r="D1163">
            <v>36250</v>
          </cell>
          <cell r="H1163">
            <v>45352</v>
          </cell>
          <cell r="I1163" t="str">
            <v>6240 - Product Photography</v>
          </cell>
          <cell r="J1163">
            <v>0</v>
          </cell>
          <cell r="K1163" t="str">
            <v>Brand Marketing</v>
          </cell>
          <cell r="L1163" t="str">
            <v>Advertising</v>
          </cell>
          <cell r="N1163" t="str">
            <v>SG&amp;A</v>
          </cell>
          <cell r="O1163" t="str">
            <v>[No Vendor]</v>
          </cell>
        </row>
        <row r="1164">
          <cell r="D1164">
            <v>6013.13</v>
          </cell>
          <cell r="H1164">
            <v>45352</v>
          </cell>
          <cell r="I1164" t="str">
            <v>6289 - Seeding / Product Placement</v>
          </cell>
          <cell r="J1164">
            <v>0</v>
          </cell>
          <cell r="K1164" t="str">
            <v>Brand Marketing</v>
          </cell>
          <cell r="L1164" t="str">
            <v>Advertising</v>
          </cell>
          <cell r="N1164" t="str">
            <v>SG&amp;A</v>
          </cell>
          <cell r="O1164" t="str">
            <v>[No Vendor]</v>
          </cell>
        </row>
        <row r="1165">
          <cell r="D1165">
            <v>4800</v>
          </cell>
          <cell r="H1165">
            <v>45352</v>
          </cell>
          <cell r="I1165" t="str">
            <v>6287 - Events</v>
          </cell>
          <cell r="J1165" t="str">
            <v>Wholesale</v>
          </cell>
          <cell r="K1165" t="str">
            <v>Brand Marketing</v>
          </cell>
          <cell r="L1165" t="str">
            <v>Advertising</v>
          </cell>
          <cell r="N1165" t="str">
            <v>SG&amp;A</v>
          </cell>
          <cell r="O1165" t="str">
            <v>[No Vendor]</v>
          </cell>
        </row>
        <row r="1166">
          <cell r="D1166">
            <v>206.9</v>
          </cell>
          <cell r="H1166">
            <v>45352</v>
          </cell>
          <cell r="I1166" t="str">
            <v>6287 - Events</v>
          </cell>
          <cell r="J1166" t="str">
            <v>Wholesale</v>
          </cell>
          <cell r="K1166" t="str">
            <v>Brand Marketing</v>
          </cell>
          <cell r="L1166" t="str">
            <v>Advertising</v>
          </cell>
          <cell r="N1166" t="str">
            <v>SG&amp;A</v>
          </cell>
          <cell r="O1166" t="str">
            <v>[No Vendor]</v>
          </cell>
        </row>
        <row r="1167">
          <cell r="D1167">
            <v>0</v>
          </cell>
          <cell r="H1167">
            <v>45352</v>
          </cell>
          <cell r="I1167" t="str">
            <v>6205 - Contractors</v>
          </cell>
          <cell r="J1167">
            <v>0</v>
          </cell>
          <cell r="K1167" t="str">
            <v>Brand Marketing</v>
          </cell>
          <cell r="L1167" t="str">
            <v>HQ Salaries</v>
          </cell>
          <cell r="N1167" t="str">
            <v>SG&amp;A</v>
          </cell>
          <cell r="O1167" t="str">
            <v>[No Vendor]</v>
          </cell>
        </row>
        <row r="1168">
          <cell r="D1168">
            <v>13997.3</v>
          </cell>
          <cell r="H1168">
            <v>45352</v>
          </cell>
          <cell r="I1168" t="str">
            <v>6205 - Contractors</v>
          </cell>
          <cell r="J1168" t="str">
            <v>Ecommerce (US)</v>
          </cell>
          <cell r="K1168" t="str">
            <v>Ecommerce</v>
          </cell>
          <cell r="L1168" t="str">
            <v>HQ Salaries</v>
          </cell>
          <cell r="N1168" t="str">
            <v>SG&amp;A</v>
          </cell>
          <cell r="O1168" t="str">
            <v>[No Vendor]</v>
          </cell>
        </row>
        <row r="1169">
          <cell r="D1169">
            <v>1500</v>
          </cell>
          <cell r="H1169">
            <v>45352</v>
          </cell>
          <cell r="I1169" t="str">
            <v>6205 - Contractors</v>
          </cell>
          <cell r="J1169">
            <v>0</v>
          </cell>
          <cell r="K1169" t="str">
            <v>Production</v>
          </cell>
          <cell r="L1169" t="str">
            <v>HQ Salaries</v>
          </cell>
          <cell r="N1169" t="str">
            <v>SG&amp;A</v>
          </cell>
          <cell r="O1169" t="str">
            <v>Philip Yau</v>
          </cell>
        </row>
        <row r="1170">
          <cell r="D1170">
            <v>314.62</v>
          </cell>
          <cell r="H1170">
            <v>45352</v>
          </cell>
          <cell r="I1170" t="str">
            <v>6370 - Samples</v>
          </cell>
          <cell r="J1170">
            <v>0</v>
          </cell>
          <cell r="K1170" t="str">
            <v>Design</v>
          </cell>
          <cell r="L1170" t="str">
            <v>Sample</v>
          </cell>
          <cell r="N1170" t="str">
            <v>SG&amp;A</v>
          </cell>
          <cell r="O1170" t="str">
            <v>[No Vendor]</v>
          </cell>
        </row>
        <row r="1171">
          <cell r="D1171">
            <v>4261.28</v>
          </cell>
          <cell r="H1171">
            <v>45352</v>
          </cell>
          <cell r="I1171" t="str">
            <v>6020 - Bonus</v>
          </cell>
          <cell r="J1171">
            <v>0</v>
          </cell>
          <cell r="K1171" t="str">
            <v>Executive</v>
          </cell>
          <cell r="L1171" t="str">
            <v>HQ Salaries</v>
          </cell>
          <cell r="N1171" t="str">
            <v>SG&amp;A</v>
          </cell>
          <cell r="O1171" t="str">
            <v>[No Vendor]</v>
          </cell>
        </row>
        <row r="1172">
          <cell r="D1172">
            <v>3843.71</v>
          </cell>
          <cell r="H1172">
            <v>45352</v>
          </cell>
          <cell r="I1172" t="str">
            <v>6020 - Bonus</v>
          </cell>
          <cell r="J1172" t="str">
            <v>Wholesale</v>
          </cell>
          <cell r="K1172" t="str">
            <v>Wholesale</v>
          </cell>
          <cell r="L1172" t="str">
            <v>HQ Salaries</v>
          </cell>
          <cell r="N1172" t="str">
            <v>SG&amp;A</v>
          </cell>
          <cell r="O1172" t="str">
            <v>[No Vendor]</v>
          </cell>
        </row>
        <row r="1173">
          <cell r="D1173">
            <v>6338.75</v>
          </cell>
          <cell r="H1173">
            <v>45352</v>
          </cell>
          <cell r="I1173" t="str">
            <v>6020 - Bonus</v>
          </cell>
          <cell r="J1173">
            <v>0</v>
          </cell>
          <cell r="K1173" t="str">
            <v>Production</v>
          </cell>
          <cell r="L1173" t="str">
            <v>HQ Salaries</v>
          </cell>
          <cell r="N1173" t="str">
            <v>SG&amp;A</v>
          </cell>
          <cell r="O1173" t="str">
            <v>[No Vendor]</v>
          </cell>
        </row>
        <row r="1174">
          <cell r="D1174">
            <v>1406.25</v>
          </cell>
          <cell r="H1174">
            <v>45352</v>
          </cell>
          <cell r="I1174" t="str">
            <v>6020 - Bonus</v>
          </cell>
          <cell r="J1174">
            <v>0</v>
          </cell>
          <cell r="K1174" t="str">
            <v>Brand Marketing</v>
          </cell>
          <cell r="L1174" t="str">
            <v>HQ Salaries</v>
          </cell>
          <cell r="N1174" t="str">
            <v>SG&amp;A</v>
          </cell>
          <cell r="O1174" t="str">
            <v>[No Vendor]</v>
          </cell>
        </row>
        <row r="1175">
          <cell r="D1175">
            <v>8393.9500000000007</v>
          </cell>
          <cell r="H1175">
            <v>45352</v>
          </cell>
          <cell r="I1175" t="str">
            <v>6020 - Bonus</v>
          </cell>
          <cell r="J1175" t="str">
            <v>Ecommerce (US)</v>
          </cell>
          <cell r="K1175" t="str">
            <v>Ecommerce</v>
          </cell>
          <cell r="L1175" t="str">
            <v>HQ Salaries</v>
          </cell>
          <cell r="N1175" t="str">
            <v>SG&amp;A</v>
          </cell>
          <cell r="O1175" t="str">
            <v>[No Vendor]</v>
          </cell>
        </row>
        <row r="1176">
          <cell r="D1176">
            <v>5832.66</v>
          </cell>
          <cell r="H1176">
            <v>45352</v>
          </cell>
          <cell r="I1176" t="str">
            <v>6020 - Bonus</v>
          </cell>
          <cell r="J1176">
            <v>0</v>
          </cell>
          <cell r="K1176" t="str">
            <v>Design</v>
          </cell>
          <cell r="L1176" t="str">
            <v>HQ Salaries</v>
          </cell>
          <cell r="N1176" t="str">
            <v>SG&amp;A</v>
          </cell>
          <cell r="O1176" t="str">
            <v>[No Vendor]</v>
          </cell>
        </row>
        <row r="1177">
          <cell r="D1177">
            <v>1256.29</v>
          </cell>
          <cell r="H1177">
            <v>45352</v>
          </cell>
          <cell r="I1177" t="str">
            <v>6020 - Bonus</v>
          </cell>
          <cell r="J1177">
            <v>0</v>
          </cell>
          <cell r="K1177" t="str">
            <v>Merchandising</v>
          </cell>
          <cell r="L1177" t="str">
            <v>HQ Salaries</v>
          </cell>
          <cell r="N1177" t="str">
            <v>SG&amp;A</v>
          </cell>
          <cell r="O1177" t="str">
            <v>[No Vendor]</v>
          </cell>
        </row>
        <row r="1178">
          <cell r="D1178">
            <v>7604.61</v>
          </cell>
          <cell r="H1178">
            <v>45352</v>
          </cell>
          <cell r="I1178" t="str">
            <v>6020 - Bonus</v>
          </cell>
          <cell r="J1178">
            <v>0</v>
          </cell>
          <cell r="K1178" t="str">
            <v>Administration</v>
          </cell>
          <cell r="L1178" t="str">
            <v>HQ Salaries</v>
          </cell>
          <cell r="N1178" t="str">
            <v>SG&amp;A</v>
          </cell>
          <cell r="O1178" t="str">
            <v>[No Vendor]</v>
          </cell>
        </row>
        <row r="1179">
          <cell r="D1179">
            <v>35</v>
          </cell>
          <cell r="H1179">
            <v>45352</v>
          </cell>
          <cell r="I1179" t="str">
            <v>6140 - Other</v>
          </cell>
          <cell r="J1179">
            <v>0</v>
          </cell>
          <cell r="K1179" t="str">
            <v>Production</v>
          </cell>
          <cell r="L1179" t="str">
            <v>T&amp;E</v>
          </cell>
          <cell r="N1179" t="str">
            <v>SG&amp;A</v>
          </cell>
          <cell r="O1179" t="str">
            <v>[No Vendor]</v>
          </cell>
        </row>
        <row r="1180">
          <cell r="D1180">
            <v>112.5</v>
          </cell>
          <cell r="H1180">
            <v>45352</v>
          </cell>
          <cell r="I1180" t="str">
            <v>6140 - Other</v>
          </cell>
          <cell r="J1180">
            <v>0</v>
          </cell>
          <cell r="K1180" t="str">
            <v>Design</v>
          </cell>
          <cell r="L1180" t="str">
            <v>T&amp;E</v>
          </cell>
          <cell r="N1180" t="str">
            <v>SG&amp;A</v>
          </cell>
          <cell r="O1180" t="str">
            <v>[No Vendor]</v>
          </cell>
        </row>
        <row r="1181">
          <cell r="D1181">
            <v>10</v>
          </cell>
          <cell r="H1181">
            <v>45352</v>
          </cell>
          <cell r="I1181" t="str">
            <v>6140 - Other</v>
          </cell>
          <cell r="J1181">
            <v>0</v>
          </cell>
          <cell r="K1181" t="str">
            <v>Administration</v>
          </cell>
          <cell r="L1181" t="str">
            <v>T&amp;E</v>
          </cell>
          <cell r="N1181" t="str">
            <v>SG&amp;A</v>
          </cell>
          <cell r="O1181" t="str">
            <v>[No Vendor]</v>
          </cell>
        </row>
        <row r="1182">
          <cell r="D1182">
            <v>803.98</v>
          </cell>
          <cell r="H1182">
            <v>45352</v>
          </cell>
          <cell r="I1182" t="str">
            <v>6120 - Lodging</v>
          </cell>
          <cell r="J1182" t="str">
            <v>Wholesale</v>
          </cell>
          <cell r="K1182" t="str">
            <v>Wholesale</v>
          </cell>
          <cell r="L1182" t="str">
            <v>T&amp;E</v>
          </cell>
          <cell r="N1182" t="str">
            <v>SG&amp;A</v>
          </cell>
          <cell r="O1182" t="str">
            <v>[No Vendor]</v>
          </cell>
        </row>
        <row r="1183">
          <cell r="D1183">
            <v>1046.1099999999999</v>
          </cell>
          <cell r="H1183">
            <v>45352</v>
          </cell>
          <cell r="I1183" t="str">
            <v>6120 - Lodging</v>
          </cell>
          <cell r="J1183" t="str">
            <v>Ecommerce (US)</v>
          </cell>
          <cell r="K1183" t="str">
            <v>Ecommerce</v>
          </cell>
          <cell r="L1183" t="str">
            <v>T&amp;E</v>
          </cell>
          <cell r="N1183" t="str">
            <v>SG&amp;A</v>
          </cell>
          <cell r="O1183" t="str">
            <v>[No Vendor]</v>
          </cell>
        </row>
        <row r="1184">
          <cell r="D1184">
            <v>148.81</v>
          </cell>
          <cell r="H1184">
            <v>45352</v>
          </cell>
          <cell r="I1184" t="str">
            <v>6120 - Lodging</v>
          </cell>
          <cell r="J1184">
            <v>0</v>
          </cell>
          <cell r="K1184" t="str">
            <v>Administration</v>
          </cell>
          <cell r="L1184" t="str">
            <v>T&amp;E</v>
          </cell>
          <cell r="N1184" t="str">
            <v>SG&amp;A</v>
          </cell>
          <cell r="O1184" t="str">
            <v>[No Vendor]</v>
          </cell>
        </row>
        <row r="1185">
          <cell r="D1185">
            <v>526.08000000000004</v>
          </cell>
          <cell r="H1185">
            <v>45352</v>
          </cell>
          <cell r="I1185" t="str">
            <v>6450 - Bank &amp; Other Fees</v>
          </cell>
          <cell r="J1185" t="str">
            <v>Ecommerce (US)</v>
          </cell>
          <cell r="K1185" t="str">
            <v>Ecommerce</v>
          </cell>
          <cell r="L1185" t="str">
            <v>Professional Service</v>
          </cell>
          <cell r="N1185" t="str">
            <v>Direct Costs</v>
          </cell>
          <cell r="O1185" t="str">
            <v>[No Vendor]</v>
          </cell>
        </row>
        <row r="1186">
          <cell r="D1186">
            <v>2.2400000000000002</v>
          </cell>
          <cell r="H1186">
            <v>45352</v>
          </cell>
          <cell r="I1186" t="str">
            <v>6450 - Bank &amp; Other Fees</v>
          </cell>
          <cell r="J1186">
            <v>0</v>
          </cell>
          <cell r="K1186" t="str">
            <v>Production</v>
          </cell>
          <cell r="L1186" t="str">
            <v>Professional Service</v>
          </cell>
          <cell r="N1186" t="str">
            <v>SG&amp;A</v>
          </cell>
          <cell r="O1186" t="str">
            <v>[No Vendor]</v>
          </cell>
        </row>
        <row r="1187">
          <cell r="D1187">
            <v>0.52</v>
          </cell>
          <cell r="H1187">
            <v>45352</v>
          </cell>
          <cell r="I1187" t="str">
            <v>6450 - Bank &amp; Other Fees</v>
          </cell>
          <cell r="J1187" t="str">
            <v>Ecommerce (US)</v>
          </cell>
          <cell r="K1187" t="str">
            <v>Ecommerce</v>
          </cell>
          <cell r="L1187" t="str">
            <v>Professional Service</v>
          </cell>
          <cell r="N1187" t="str">
            <v>Direct Costs</v>
          </cell>
          <cell r="O1187" t="str">
            <v>[No Vendor]</v>
          </cell>
        </row>
        <row r="1188">
          <cell r="D1188">
            <v>0.81</v>
          </cell>
          <cell r="H1188">
            <v>45352</v>
          </cell>
          <cell r="I1188" t="str">
            <v>6450 - Bank &amp; Other Fees</v>
          </cell>
          <cell r="J1188">
            <v>0</v>
          </cell>
          <cell r="K1188" t="str">
            <v>Design</v>
          </cell>
          <cell r="L1188" t="str">
            <v>Professional Service</v>
          </cell>
          <cell r="N1188" t="str">
            <v>SG&amp;A</v>
          </cell>
          <cell r="O1188" t="str">
            <v>[No Vendor]</v>
          </cell>
        </row>
        <row r="1189">
          <cell r="D1189">
            <v>1.63</v>
          </cell>
          <cell r="H1189">
            <v>45352</v>
          </cell>
          <cell r="I1189" t="str">
            <v>6450 - Bank &amp; Other Fees</v>
          </cell>
          <cell r="J1189">
            <v>0</v>
          </cell>
          <cell r="K1189" t="str">
            <v>Administration</v>
          </cell>
          <cell r="L1189" t="str">
            <v>Professional Service</v>
          </cell>
          <cell r="N1189" t="str">
            <v>SG&amp;A</v>
          </cell>
          <cell r="O1189" t="str">
            <v>[No Vendor]</v>
          </cell>
        </row>
        <row r="1190">
          <cell r="D1190">
            <v>34503.870000000003</v>
          </cell>
          <cell r="H1190">
            <v>45352</v>
          </cell>
          <cell r="I1190" t="str">
            <v>6450 - Bank &amp; Other Fees</v>
          </cell>
          <cell r="J1190" t="str">
            <v>Ecommerce (US)</v>
          </cell>
          <cell r="K1190" t="str">
            <v>Ecommerce</v>
          </cell>
          <cell r="L1190" t="str">
            <v>Professional Service</v>
          </cell>
          <cell r="N1190" t="str">
            <v>Direct Costs</v>
          </cell>
          <cell r="O1190" t="str">
            <v>Shopify</v>
          </cell>
        </row>
        <row r="1191">
          <cell r="D1191">
            <v>3454.44</v>
          </cell>
          <cell r="H1191">
            <v>45352</v>
          </cell>
          <cell r="I1191" t="str">
            <v>6450 - Bank &amp; Other Fees</v>
          </cell>
          <cell r="J1191" t="str">
            <v>Ecommerce (EU)</v>
          </cell>
          <cell r="K1191" t="str">
            <v>Ecommerce</v>
          </cell>
          <cell r="L1191" t="str">
            <v>Professional Service</v>
          </cell>
          <cell r="N1191" t="str">
            <v>Direct Costs</v>
          </cell>
          <cell r="O1191" t="str">
            <v>[No Vendor]</v>
          </cell>
        </row>
        <row r="1192">
          <cell r="D1192">
            <v>0.32</v>
          </cell>
          <cell r="H1192">
            <v>45352</v>
          </cell>
          <cell r="I1192" t="str">
            <v>6450 - Bank &amp; Other Fees</v>
          </cell>
          <cell r="J1192" t="str">
            <v>Ecommerce (EU)</v>
          </cell>
          <cell r="K1192" t="str">
            <v>Ecommerce</v>
          </cell>
          <cell r="L1192" t="str">
            <v>Professional Service</v>
          </cell>
          <cell r="N1192" t="str">
            <v>Direct Costs</v>
          </cell>
          <cell r="O1192" t="str">
            <v>[No Vendor]</v>
          </cell>
        </row>
        <row r="1193">
          <cell r="D1193">
            <v>7796.09</v>
          </cell>
          <cell r="H1193">
            <v>45352</v>
          </cell>
          <cell r="I1193" t="str">
            <v>6450 - Bank &amp; Other Fees</v>
          </cell>
          <cell r="J1193" t="str">
            <v>Ecommerce (US)</v>
          </cell>
          <cell r="K1193" t="str">
            <v>Ecommerce</v>
          </cell>
          <cell r="L1193" t="str">
            <v>Professional Service</v>
          </cell>
          <cell r="N1193" t="str">
            <v>Direct Costs</v>
          </cell>
          <cell r="O1193" t="str">
            <v>[No Vendor]</v>
          </cell>
        </row>
        <row r="1194">
          <cell r="D1194">
            <v>15</v>
          </cell>
          <cell r="H1194">
            <v>45352</v>
          </cell>
          <cell r="I1194" t="str">
            <v>6430 - Dues &amp; Memberships</v>
          </cell>
          <cell r="J1194">
            <v>0</v>
          </cell>
          <cell r="K1194" t="str">
            <v>Brand Marketing</v>
          </cell>
          <cell r="L1194" t="str">
            <v>Professional Service</v>
          </cell>
          <cell r="N1194" t="str">
            <v>Direct Costs</v>
          </cell>
          <cell r="O1194" t="str">
            <v>[No Vendor]</v>
          </cell>
        </row>
        <row r="1195">
          <cell r="D1195">
            <v>12.42</v>
          </cell>
          <cell r="H1195">
            <v>45352</v>
          </cell>
          <cell r="I1195" t="str">
            <v>6430 - Dues &amp; Memberships</v>
          </cell>
          <cell r="J1195">
            <v>0</v>
          </cell>
          <cell r="K1195" t="str">
            <v>Brand Marketing</v>
          </cell>
          <cell r="L1195" t="str">
            <v>Professional Service</v>
          </cell>
          <cell r="N1195" t="str">
            <v>Direct Costs</v>
          </cell>
          <cell r="O1195" t="str">
            <v>[No Vendor]</v>
          </cell>
        </row>
        <row r="1196">
          <cell r="D1196">
            <v>947.78</v>
          </cell>
          <cell r="H1196">
            <v>45352</v>
          </cell>
          <cell r="I1196" t="str">
            <v>6385 - Insurance</v>
          </cell>
          <cell r="J1196">
            <v>0</v>
          </cell>
          <cell r="K1196" t="str">
            <v>Administration</v>
          </cell>
          <cell r="L1196" t="str">
            <v>Professional Service</v>
          </cell>
          <cell r="N1196" t="str">
            <v>SG&amp;A</v>
          </cell>
          <cell r="O1196" t="str">
            <v>[No Vendor]</v>
          </cell>
        </row>
        <row r="1197">
          <cell r="D1197">
            <v>-20.41</v>
          </cell>
          <cell r="H1197">
            <v>45352</v>
          </cell>
          <cell r="I1197" t="str">
            <v>6385 - Insurance</v>
          </cell>
          <cell r="J1197">
            <v>0</v>
          </cell>
          <cell r="K1197" t="str">
            <v>Administration</v>
          </cell>
          <cell r="L1197" t="str">
            <v>Professional Service</v>
          </cell>
          <cell r="N1197" t="str">
            <v>SG&amp;A</v>
          </cell>
          <cell r="O1197" t="str">
            <v>[No Vendor]</v>
          </cell>
        </row>
        <row r="1198">
          <cell r="D1198">
            <v>-39.369999999999997</v>
          </cell>
          <cell r="H1198">
            <v>45352</v>
          </cell>
          <cell r="I1198" t="str">
            <v>6385 - Insurance</v>
          </cell>
          <cell r="J1198">
            <v>0</v>
          </cell>
          <cell r="K1198" t="str">
            <v>Administration</v>
          </cell>
          <cell r="L1198" t="str">
            <v>Professional Service</v>
          </cell>
          <cell r="N1198" t="str">
            <v>SG&amp;A</v>
          </cell>
          <cell r="O1198" t="str">
            <v>[No Vendor]</v>
          </cell>
        </row>
        <row r="1199">
          <cell r="D1199">
            <v>-69.59</v>
          </cell>
          <cell r="H1199">
            <v>45352</v>
          </cell>
          <cell r="I1199" t="str">
            <v>6385 - Insurance</v>
          </cell>
          <cell r="J1199">
            <v>0</v>
          </cell>
          <cell r="K1199" t="str">
            <v>Administration</v>
          </cell>
          <cell r="L1199" t="str">
            <v>Professional Service</v>
          </cell>
          <cell r="N1199" t="str">
            <v>SG&amp;A</v>
          </cell>
          <cell r="O1199" t="str">
            <v>[No Vendor]</v>
          </cell>
        </row>
        <row r="1200">
          <cell r="D1200">
            <v>-24.35</v>
          </cell>
          <cell r="H1200">
            <v>45352</v>
          </cell>
          <cell r="I1200" t="str">
            <v>6385 - Insurance</v>
          </cell>
          <cell r="J1200">
            <v>0</v>
          </cell>
          <cell r="K1200" t="str">
            <v>Administration</v>
          </cell>
          <cell r="L1200" t="str">
            <v>Professional Service</v>
          </cell>
          <cell r="N1200" t="str">
            <v>SG&amp;A</v>
          </cell>
          <cell r="O1200" t="str">
            <v>[No Vendor]</v>
          </cell>
        </row>
        <row r="1201">
          <cell r="D1201">
            <v>-41.67</v>
          </cell>
          <cell r="H1201">
            <v>45352</v>
          </cell>
          <cell r="I1201" t="str">
            <v>6385 - Insurance</v>
          </cell>
          <cell r="J1201">
            <v>0</v>
          </cell>
          <cell r="K1201" t="str">
            <v>Administration</v>
          </cell>
          <cell r="L1201" t="str">
            <v>Professional Service</v>
          </cell>
          <cell r="N1201" t="str">
            <v>SG&amp;A</v>
          </cell>
          <cell r="O1201" t="str">
            <v>[No Vendor]</v>
          </cell>
        </row>
        <row r="1202">
          <cell r="D1202">
            <v>-83.8</v>
          </cell>
          <cell r="H1202">
            <v>45352</v>
          </cell>
          <cell r="I1202" t="str">
            <v>6385 - Insurance</v>
          </cell>
          <cell r="J1202">
            <v>0</v>
          </cell>
          <cell r="K1202" t="str">
            <v>Administration</v>
          </cell>
          <cell r="L1202" t="str">
            <v>Professional Service</v>
          </cell>
          <cell r="N1202" t="str">
            <v>SG&amp;A</v>
          </cell>
          <cell r="O1202" t="str">
            <v>[No Vendor]</v>
          </cell>
        </row>
        <row r="1203">
          <cell r="D1203">
            <v>-25.87</v>
          </cell>
          <cell r="H1203">
            <v>45352</v>
          </cell>
          <cell r="I1203" t="str">
            <v>6385 - Insurance</v>
          </cell>
          <cell r="J1203">
            <v>0</v>
          </cell>
          <cell r="K1203" t="str">
            <v>Administration</v>
          </cell>
          <cell r="L1203" t="str">
            <v>Professional Service</v>
          </cell>
          <cell r="N1203" t="str">
            <v>SG&amp;A</v>
          </cell>
          <cell r="O1203" t="str">
            <v>[No Vendor]</v>
          </cell>
        </row>
        <row r="1204">
          <cell r="D1204">
            <v>743.14</v>
          </cell>
          <cell r="H1204">
            <v>45352</v>
          </cell>
          <cell r="I1204" t="str">
            <v>6400 - Utilities</v>
          </cell>
          <cell r="J1204">
            <v>0</v>
          </cell>
          <cell r="K1204" t="str">
            <v>Administration</v>
          </cell>
          <cell r="L1204" t="str">
            <v>Other</v>
          </cell>
          <cell r="N1204" t="str">
            <v>SG&amp;A</v>
          </cell>
          <cell r="O1204" t="str">
            <v>[No Vendor]</v>
          </cell>
        </row>
        <row r="1205">
          <cell r="D1205">
            <v>17.45</v>
          </cell>
          <cell r="H1205">
            <v>45352</v>
          </cell>
          <cell r="I1205" t="str">
            <v>7060 - Information Technology &amp; Software</v>
          </cell>
          <cell r="J1205" t="str">
            <v>Wholesale</v>
          </cell>
          <cell r="K1205" t="str">
            <v>Wholesale</v>
          </cell>
          <cell r="L1205" t="str">
            <v>Depreciation &amp; Amortization</v>
          </cell>
          <cell r="N1205" t="str">
            <v>SG&amp;A</v>
          </cell>
          <cell r="O1205" t="str">
            <v>[No Vendor]</v>
          </cell>
        </row>
        <row r="1206">
          <cell r="D1206">
            <v>83.41</v>
          </cell>
          <cell r="H1206">
            <v>45352</v>
          </cell>
          <cell r="I1206" t="str">
            <v>7060 - Information Technology &amp; Software</v>
          </cell>
          <cell r="J1206" t="str">
            <v>Ecommerce (US)</v>
          </cell>
          <cell r="K1206" t="str">
            <v>Ecommerce</v>
          </cell>
          <cell r="L1206" t="str">
            <v>Depreciation &amp; Amortization</v>
          </cell>
          <cell r="N1206" t="str">
            <v>SG&amp;A</v>
          </cell>
          <cell r="O1206" t="str">
            <v>[No Vendor]</v>
          </cell>
        </row>
        <row r="1207">
          <cell r="D1207">
            <v>146.06</v>
          </cell>
          <cell r="H1207">
            <v>45352</v>
          </cell>
          <cell r="I1207" t="str">
            <v>7060 - Information Technology &amp; Software</v>
          </cell>
          <cell r="J1207">
            <v>0</v>
          </cell>
          <cell r="K1207" t="str">
            <v>Production</v>
          </cell>
          <cell r="L1207" t="str">
            <v>Depreciation &amp; Amortization</v>
          </cell>
          <cell r="N1207" t="str">
            <v>SG&amp;A</v>
          </cell>
          <cell r="O1207" t="str">
            <v>[No Vendor]</v>
          </cell>
        </row>
        <row r="1208">
          <cell r="D1208">
            <v>179.49</v>
          </cell>
          <cell r="H1208">
            <v>45352</v>
          </cell>
          <cell r="I1208" t="str">
            <v>7060 - Information Technology &amp; Software</v>
          </cell>
          <cell r="J1208">
            <v>0</v>
          </cell>
          <cell r="K1208" t="str">
            <v>Design</v>
          </cell>
          <cell r="L1208" t="str">
            <v>Depreciation &amp; Amortization</v>
          </cell>
          <cell r="N1208" t="str">
            <v>SG&amp;A</v>
          </cell>
          <cell r="O1208" t="str">
            <v>[No Vendor]</v>
          </cell>
        </row>
        <row r="1209">
          <cell r="D1209">
            <v>65.48</v>
          </cell>
          <cell r="H1209">
            <v>45352</v>
          </cell>
          <cell r="I1209" t="str">
            <v>7060 - Information Technology &amp; Software</v>
          </cell>
          <cell r="J1209">
            <v>0</v>
          </cell>
          <cell r="K1209" t="str">
            <v>Merchandising</v>
          </cell>
          <cell r="L1209" t="str">
            <v>Depreciation &amp; Amortization</v>
          </cell>
          <cell r="N1209" t="str">
            <v>SG&amp;A</v>
          </cell>
          <cell r="O1209" t="str">
            <v>[No Vendor]</v>
          </cell>
        </row>
        <row r="1210">
          <cell r="D1210">
            <v>166.9</v>
          </cell>
          <cell r="H1210">
            <v>45352</v>
          </cell>
          <cell r="I1210" t="str">
            <v>7060 - Information Technology &amp; Software</v>
          </cell>
          <cell r="J1210">
            <v>0</v>
          </cell>
          <cell r="K1210" t="str">
            <v>Brand Marketing</v>
          </cell>
          <cell r="L1210" t="str">
            <v>Depreciation &amp; Amortization</v>
          </cell>
          <cell r="N1210" t="str">
            <v>SG&amp;A</v>
          </cell>
          <cell r="O1210" t="str">
            <v>[No Vendor]</v>
          </cell>
        </row>
        <row r="1211">
          <cell r="D1211">
            <v>794.73</v>
          </cell>
          <cell r="H1211">
            <v>45352</v>
          </cell>
          <cell r="I1211" t="str">
            <v>7060 - Information Technology &amp; Software</v>
          </cell>
          <cell r="J1211">
            <v>0</v>
          </cell>
          <cell r="K1211" t="str">
            <v>Administration</v>
          </cell>
          <cell r="L1211" t="str">
            <v>Depreciation &amp; Amortization</v>
          </cell>
          <cell r="N1211" t="str">
            <v>SG&amp;A</v>
          </cell>
          <cell r="O1211" t="str">
            <v>[No Vendor]</v>
          </cell>
        </row>
        <row r="1212">
          <cell r="D1212">
            <v>0</v>
          </cell>
          <cell r="H1212">
            <v>45352</v>
          </cell>
          <cell r="I1212" t="str">
            <v>7040 - Furniture &amp; Fixtures</v>
          </cell>
          <cell r="J1212">
            <v>0</v>
          </cell>
          <cell r="K1212" t="str">
            <v>Brand Marketing</v>
          </cell>
          <cell r="L1212" t="str">
            <v>Depreciation &amp; Amortization</v>
          </cell>
          <cell r="N1212" t="str">
            <v>SG&amp;A</v>
          </cell>
          <cell r="O1212" t="str">
            <v>[No Vendor]</v>
          </cell>
        </row>
        <row r="1213">
          <cell r="D1213">
            <v>269.64999999999998</v>
          </cell>
          <cell r="H1213">
            <v>45352</v>
          </cell>
          <cell r="I1213" t="str">
            <v>7040 - Furniture &amp; Fixtures</v>
          </cell>
          <cell r="J1213">
            <v>0</v>
          </cell>
          <cell r="K1213" t="str">
            <v>Administration</v>
          </cell>
          <cell r="L1213" t="str">
            <v>Depreciation &amp; Amortization</v>
          </cell>
          <cell r="N1213" t="str">
            <v>SG&amp;A</v>
          </cell>
          <cell r="O1213" t="str">
            <v>[No Vendor]</v>
          </cell>
        </row>
        <row r="1214">
          <cell r="D1214">
            <v>551.92999999999995</v>
          </cell>
          <cell r="H1214">
            <v>45352</v>
          </cell>
          <cell r="I1214" t="str">
            <v>6055 - Employer Social Security Tax Withheld</v>
          </cell>
          <cell r="J1214">
            <v>0</v>
          </cell>
          <cell r="K1214" t="str">
            <v>Merchandising</v>
          </cell>
          <cell r="L1214" t="str">
            <v>HQ Salaries</v>
          </cell>
          <cell r="N1214" t="str">
            <v>SG&amp;A</v>
          </cell>
          <cell r="O1214" t="str">
            <v>[No Vendor]</v>
          </cell>
        </row>
        <row r="1215">
          <cell r="D1215">
            <v>1052.1300000000001</v>
          </cell>
          <cell r="H1215">
            <v>45352</v>
          </cell>
          <cell r="I1215" t="str">
            <v>6055 - Employer Social Security Tax Withheld</v>
          </cell>
          <cell r="J1215" t="str">
            <v>Wholesale</v>
          </cell>
          <cell r="K1215" t="str">
            <v>Wholesale</v>
          </cell>
          <cell r="L1215" t="str">
            <v>HQ Salaries</v>
          </cell>
          <cell r="N1215" t="str">
            <v>SG&amp;A</v>
          </cell>
          <cell r="O1215" t="str">
            <v>[No Vendor]</v>
          </cell>
        </row>
        <row r="1216">
          <cell r="D1216">
            <v>2096.89</v>
          </cell>
          <cell r="H1216">
            <v>45352</v>
          </cell>
          <cell r="I1216" t="str">
            <v>6055 - Employer Social Security Tax Withheld</v>
          </cell>
          <cell r="J1216">
            <v>0</v>
          </cell>
          <cell r="K1216" t="str">
            <v>Production</v>
          </cell>
          <cell r="L1216" t="str">
            <v>HQ Salaries</v>
          </cell>
          <cell r="N1216" t="str">
            <v>SG&amp;A</v>
          </cell>
          <cell r="O1216" t="str">
            <v>[No Vendor]</v>
          </cell>
        </row>
        <row r="1217">
          <cell r="D1217">
            <v>635.94000000000005</v>
          </cell>
          <cell r="H1217">
            <v>45352</v>
          </cell>
          <cell r="I1217" t="str">
            <v>6055 - Employer Social Security Tax Withheld</v>
          </cell>
          <cell r="J1217">
            <v>0</v>
          </cell>
          <cell r="K1217" t="str">
            <v>Brand Marketing</v>
          </cell>
          <cell r="L1217" t="str">
            <v>HQ Salaries</v>
          </cell>
          <cell r="N1217" t="str">
            <v>SG&amp;A</v>
          </cell>
          <cell r="O1217" t="str">
            <v>[No Vendor]</v>
          </cell>
        </row>
        <row r="1218">
          <cell r="D1218">
            <v>1748.05</v>
          </cell>
          <cell r="H1218">
            <v>45352</v>
          </cell>
          <cell r="I1218" t="str">
            <v>6055 - Employer Social Security Tax Withheld</v>
          </cell>
          <cell r="J1218" t="str">
            <v>Ecommerce (US)</v>
          </cell>
          <cell r="K1218" t="str">
            <v>Ecommerce</v>
          </cell>
          <cell r="L1218" t="str">
            <v>HQ Salaries</v>
          </cell>
          <cell r="N1218" t="str">
            <v>SG&amp;A</v>
          </cell>
          <cell r="O1218" t="str">
            <v>[No Vendor]</v>
          </cell>
        </row>
        <row r="1219">
          <cell r="D1219">
            <v>2086.5500000000002</v>
          </cell>
          <cell r="H1219">
            <v>45352</v>
          </cell>
          <cell r="I1219" t="str">
            <v>6055 - Employer Social Security Tax Withheld</v>
          </cell>
          <cell r="J1219">
            <v>0</v>
          </cell>
          <cell r="K1219" t="str">
            <v>Design</v>
          </cell>
          <cell r="L1219" t="str">
            <v>HQ Salaries</v>
          </cell>
          <cell r="N1219" t="str">
            <v>SG&amp;A</v>
          </cell>
          <cell r="O1219" t="str">
            <v>[No Vendor]</v>
          </cell>
        </row>
        <row r="1220">
          <cell r="D1220">
            <v>2347.5300000000002</v>
          </cell>
          <cell r="H1220">
            <v>45352</v>
          </cell>
          <cell r="I1220" t="str">
            <v>6055 - Employer Social Security Tax Withheld</v>
          </cell>
          <cell r="J1220">
            <v>0</v>
          </cell>
          <cell r="K1220" t="str">
            <v>Administration</v>
          </cell>
          <cell r="L1220" t="str">
            <v>HQ Salaries</v>
          </cell>
          <cell r="N1220" t="str">
            <v>SG&amp;A</v>
          </cell>
          <cell r="O1220" t="str">
            <v>[No Vendor]</v>
          </cell>
        </row>
        <row r="1221">
          <cell r="D1221">
            <v>32688.63</v>
          </cell>
          <cell r="H1221">
            <v>45352</v>
          </cell>
          <cell r="I1221" t="str">
            <v>5000 - Cost of Goods Sold</v>
          </cell>
          <cell r="J1221" t="str">
            <v>Ecommerce (EU)</v>
          </cell>
          <cell r="K1221" t="str">
            <v>Ecommerce</v>
          </cell>
          <cell r="L1221" t="str">
            <v>COGS</v>
          </cell>
          <cell r="N1221" t="str">
            <v>COGS</v>
          </cell>
          <cell r="O1221" t="str">
            <v>[No Vendor]</v>
          </cell>
        </row>
        <row r="1222">
          <cell r="D1222">
            <v>19605.29</v>
          </cell>
          <cell r="H1222">
            <v>45352</v>
          </cell>
          <cell r="I1222" t="str">
            <v>5000 - Cost of Goods Sold</v>
          </cell>
          <cell r="J1222" t="str">
            <v>Ecommerce (US)</v>
          </cell>
          <cell r="K1222" t="str">
            <v>Ecommerce</v>
          </cell>
          <cell r="L1222" t="str">
            <v>COGS</v>
          </cell>
          <cell r="N1222" t="str">
            <v>COGS</v>
          </cell>
          <cell r="O1222" t="str">
            <v>[No Vendor]</v>
          </cell>
        </row>
        <row r="1223">
          <cell r="D1223">
            <v>340468.53</v>
          </cell>
          <cell r="H1223">
            <v>45352</v>
          </cell>
          <cell r="I1223" t="str">
            <v>5000 - Cost of Goods Sold</v>
          </cell>
          <cell r="J1223" t="str">
            <v>Ecommerce (US)</v>
          </cell>
          <cell r="K1223" t="str">
            <v>Ecommerce</v>
          </cell>
          <cell r="L1223" t="str">
            <v>COGS</v>
          </cell>
          <cell r="N1223" t="str">
            <v>COGS</v>
          </cell>
          <cell r="O1223" t="str">
            <v>[No Vendor]</v>
          </cell>
        </row>
        <row r="1224">
          <cell r="D1224">
            <v>-5</v>
          </cell>
          <cell r="H1224">
            <v>45352</v>
          </cell>
          <cell r="I1224" t="str">
            <v>5000 - Cost of Goods Sold</v>
          </cell>
          <cell r="J1224" t="str">
            <v>Wholesale</v>
          </cell>
          <cell r="K1224" t="str">
            <v>Wholesale</v>
          </cell>
          <cell r="L1224" t="str">
            <v>COGS</v>
          </cell>
          <cell r="N1224" t="str">
            <v>COGS</v>
          </cell>
          <cell r="O1224" t="str">
            <v>[No Vendor]</v>
          </cell>
        </row>
        <row r="1225">
          <cell r="D1225">
            <v>-2458.71</v>
          </cell>
          <cell r="H1225">
            <v>45352</v>
          </cell>
          <cell r="I1225" t="str">
            <v>5000 - Cost of Goods Sold</v>
          </cell>
          <cell r="J1225" t="str">
            <v>Wholesale</v>
          </cell>
          <cell r="K1225" t="str">
            <v>Wholesale</v>
          </cell>
          <cell r="L1225" t="str">
            <v>COGS</v>
          </cell>
          <cell r="N1225" t="str">
            <v>COGS</v>
          </cell>
          <cell r="O1225" t="str">
            <v>[No Vendor]</v>
          </cell>
        </row>
        <row r="1226">
          <cell r="D1226">
            <v>153141.43</v>
          </cell>
          <cell r="H1226">
            <v>45352</v>
          </cell>
          <cell r="I1226" t="str">
            <v>5000 - Cost of Goods Sold</v>
          </cell>
          <cell r="J1226" t="str">
            <v>Wholesale</v>
          </cell>
          <cell r="K1226" t="str">
            <v>Wholesale</v>
          </cell>
          <cell r="L1226" t="str">
            <v>COGS</v>
          </cell>
          <cell r="N1226" t="str">
            <v>COGS</v>
          </cell>
          <cell r="O1226" t="str">
            <v>[No Vendor]</v>
          </cell>
        </row>
        <row r="1227">
          <cell r="D1227">
            <v>15236.71</v>
          </cell>
          <cell r="H1227">
            <v>45352</v>
          </cell>
          <cell r="I1227" t="str">
            <v>6487 - Interest Expense</v>
          </cell>
          <cell r="J1227">
            <v>0</v>
          </cell>
          <cell r="K1227" t="str">
            <v>Administration</v>
          </cell>
          <cell r="L1227" t="str">
            <v>Interest</v>
          </cell>
          <cell r="N1227" t="str">
            <v>BTL</v>
          </cell>
          <cell r="O1227" t="str">
            <v>[No Vendor]</v>
          </cell>
        </row>
        <row r="1228">
          <cell r="D1228">
            <v>5860.27</v>
          </cell>
          <cell r="H1228">
            <v>45352</v>
          </cell>
          <cell r="I1228" t="str">
            <v>6487 - Interest Expense</v>
          </cell>
          <cell r="J1228">
            <v>0</v>
          </cell>
          <cell r="K1228" t="str">
            <v>Administration</v>
          </cell>
          <cell r="L1228" t="str">
            <v>Interest</v>
          </cell>
          <cell r="N1228" t="str">
            <v>BTL</v>
          </cell>
          <cell r="O1228" t="str">
            <v>[No Vendor]</v>
          </cell>
        </row>
        <row r="1229">
          <cell r="D1229">
            <v>4297.53</v>
          </cell>
          <cell r="H1229">
            <v>45352</v>
          </cell>
          <cell r="I1229" t="str">
            <v>6487 - Interest Expense</v>
          </cell>
          <cell r="J1229">
            <v>0</v>
          </cell>
          <cell r="K1229" t="str">
            <v>Administration</v>
          </cell>
          <cell r="L1229" t="str">
            <v>Interest</v>
          </cell>
          <cell r="N1229" t="str">
            <v>BTL</v>
          </cell>
          <cell r="O1229" t="str">
            <v>[No Vendor]</v>
          </cell>
        </row>
        <row r="1230">
          <cell r="D1230">
            <v>499.06</v>
          </cell>
          <cell r="H1230">
            <v>45352</v>
          </cell>
          <cell r="I1230" t="str">
            <v>6125 - Transportation and Fuel</v>
          </cell>
          <cell r="J1230" t="str">
            <v>Wholesale</v>
          </cell>
          <cell r="K1230" t="str">
            <v>Wholesale</v>
          </cell>
          <cell r="L1230" t="str">
            <v>T&amp;E</v>
          </cell>
          <cell r="N1230" t="str">
            <v>SG&amp;A</v>
          </cell>
          <cell r="O1230" t="str">
            <v>[No Vendor]</v>
          </cell>
        </row>
        <row r="1231">
          <cell r="D1231">
            <v>85.79</v>
          </cell>
          <cell r="H1231">
            <v>45352</v>
          </cell>
          <cell r="I1231" t="str">
            <v>6125 - Transportation and Fuel</v>
          </cell>
          <cell r="J1231">
            <v>0</v>
          </cell>
          <cell r="K1231" t="str">
            <v>Production</v>
          </cell>
          <cell r="L1231" t="str">
            <v>T&amp;E</v>
          </cell>
          <cell r="N1231" t="str">
            <v>SG&amp;A</v>
          </cell>
          <cell r="O1231" t="str">
            <v>[No Vendor]</v>
          </cell>
        </row>
        <row r="1232">
          <cell r="D1232">
            <v>43.9</v>
          </cell>
          <cell r="H1232">
            <v>45352</v>
          </cell>
          <cell r="I1232" t="str">
            <v>6125 - Transportation and Fuel</v>
          </cell>
          <cell r="J1232">
            <v>0</v>
          </cell>
          <cell r="K1232" t="str">
            <v>Brand Marketing</v>
          </cell>
          <cell r="L1232" t="str">
            <v>T&amp;E</v>
          </cell>
          <cell r="N1232" t="str">
            <v>SG&amp;A</v>
          </cell>
          <cell r="O1232" t="str">
            <v>[No Vendor]</v>
          </cell>
        </row>
        <row r="1233">
          <cell r="D1233">
            <v>68.17</v>
          </cell>
          <cell r="H1233">
            <v>45352</v>
          </cell>
          <cell r="I1233" t="str">
            <v>6125 - Transportation and Fuel</v>
          </cell>
          <cell r="J1233">
            <v>0</v>
          </cell>
          <cell r="K1233" t="str">
            <v>Design</v>
          </cell>
          <cell r="L1233" t="str">
            <v>T&amp;E</v>
          </cell>
          <cell r="N1233" t="str">
            <v>SG&amp;A</v>
          </cell>
          <cell r="O1233" t="str">
            <v>[No Vendor]</v>
          </cell>
        </row>
        <row r="1234">
          <cell r="D1234">
            <v>6517.8</v>
          </cell>
          <cell r="H1234">
            <v>45352</v>
          </cell>
          <cell r="I1234" t="str">
            <v>6115 - Airfare</v>
          </cell>
          <cell r="J1234">
            <v>0</v>
          </cell>
          <cell r="K1234" t="str">
            <v>Production</v>
          </cell>
          <cell r="L1234" t="str">
            <v>T&amp;E</v>
          </cell>
          <cell r="N1234" t="str">
            <v>SG&amp;A</v>
          </cell>
          <cell r="O1234" t="str">
            <v>[No Vendor]</v>
          </cell>
        </row>
        <row r="1235">
          <cell r="D1235">
            <v>3957.8</v>
          </cell>
          <cell r="H1235">
            <v>45352</v>
          </cell>
          <cell r="I1235" t="str">
            <v>6115 - Airfare</v>
          </cell>
          <cell r="J1235">
            <v>0</v>
          </cell>
          <cell r="K1235" t="str">
            <v>Design</v>
          </cell>
          <cell r="L1235" t="str">
            <v>T&amp;E</v>
          </cell>
          <cell r="N1235" t="str">
            <v>SG&amp;A</v>
          </cell>
          <cell r="O1235" t="str">
            <v>[No Vendor]</v>
          </cell>
        </row>
        <row r="1236">
          <cell r="D1236">
            <v>867.51</v>
          </cell>
          <cell r="H1236">
            <v>45352</v>
          </cell>
          <cell r="I1236" t="str">
            <v>6115 - Airfare</v>
          </cell>
          <cell r="J1236" t="str">
            <v>Wholesale</v>
          </cell>
          <cell r="K1236" t="str">
            <v>Wholesale</v>
          </cell>
          <cell r="L1236" t="str">
            <v>T&amp;E</v>
          </cell>
          <cell r="N1236" t="str">
            <v>SG&amp;A</v>
          </cell>
          <cell r="O1236" t="str">
            <v>[No Vendor]</v>
          </cell>
        </row>
        <row r="1237">
          <cell r="D1237">
            <v>651.02</v>
          </cell>
          <cell r="H1237">
            <v>45352</v>
          </cell>
          <cell r="I1237" t="str">
            <v>6105 - Meals</v>
          </cell>
          <cell r="J1237" t="str">
            <v>Wholesale</v>
          </cell>
          <cell r="K1237" t="str">
            <v>Wholesale</v>
          </cell>
          <cell r="L1237" t="str">
            <v>T&amp;E</v>
          </cell>
          <cell r="N1237" t="str">
            <v>SG&amp;A</v>
          </cell>
          <cell r="O1237" t="str">
            <v>[No Vendor]</v>
          </cell>
        </row>
        <row r="1238">
          <cell r="D1238">
            <v>202.89</v>
          </cell>
          <cell r="H1238">
            <v>45352</v>
          </cell>
          <cell r="I1238" t="str">
            <v>6105 - Meals</v>
          </cell>
          <cell r="J1238">
            <v>0</v>
          </cell>
          <cell r="K1238" t="str">
            <v>Production</v>
          </cell>
          <cell r="L1238" t="str">
            <v>T&amp;E</v>
          </cell>
          <cell r="N1238" t="str">
            <v>SG&amp;A</v>
          </cell>
          <cell r="O1238" t="str">
            <v>[No Vendor]</v>
          </cell>
        </row>
        <row r="1239">
          <cell r="D1239">
            <v>53.87</v>
          </cell>
          <cell r="H1239">
            <v>45352</v>
          </cell>
          <cell r="I1239" t="str">
            <v>6105 - Meals</v>
          </cell>
          <cell r="J1239">
            <v>0</v>
          </cell>
          <cell r="K1239" t="str">
            <v>Design</v>
          </cell>
          <cell r="L1239" t="str">
            <v>T&amp;E</v>
          </cell>
          <cell r="N1239" t="str">
            <v>SG&amp;A</v>
          </cell>
          <cell r="O1239" t="str">
            <v>[No Vendor]</v>
          </cell>
        </row>
        <row r="1240">
          <cell r="D1240">
            <v>291.52999999999997</v>
          </cell>
          <cell r="H1240">
            <v>45352</v>
          </cell>
          <cell r="I1240" t="str">
            <v>6105 - Meals</v>
          </cell>
          <cell r="J1240">
            <v>0</v>
          </cell>
          <cell r="K1240" t="str">
            <v>Administration</v>
          </cell>
          <cell r="L1240" t="str">
            <v>T&amp;E</v>
          </cell>
          <cell r="N1240" t="str">
            <v>SG&amp;A</v>
          </cell>
          <cell r="O1240" t="str">
            <v>[No Vendor]</v>
          </cell>
        </row>
        <row r="1241">
          <cell r="D1241">
            <v>810.85</v>
          </cell>
          <cell r="H1241">
            <v>45352</v>
          </cell>
          <cell r="I1241" t="str">
            <v>6440 - Bad Debt Expenses</v>
          </cell>
          <cell r="J1241">
            <v>0</v>
          </cell>
          <cell r="K1241" t="str">
            <v>Licensing</v>
          </cell>
          <cell r="L1241" t="str">
            <v>Other</v>
          </cell>
          <cell r="N1241" t="str">
            <v>SG&amp;A</v>
          </cell>
          <cell r="O1241" t="str">
            <v>[No Vendor]</v>
          </cell>
        </row>
        <row r="1242">
          <cell r="D1242">
            <v>1905.31</v>
          </cell>
          <cell r="H1242">
            <v>45352</v>
          </cell>
          <cell r="I1242" t="str">
            <v>6420 - Licenses &amp; Membership</v>
          </cell>
          <cell r="J1242">
            <v>0</v>
          </cell>
          <cell r="K1242" t="str">
            <v>Administration</v>
          </cell>
          <cell r="L1242" t="str">
            <v>Professional Service</v>
          </cell>
          <cell r="N1242" t="str">
            <v>SG&amp;A</v>
          </cell>
          <cell r="O1242" t="str">
            <v>[No Vendor]</v>
          </cell>
        </row>
        <row r="1243">
          <cell r="D1243">
            <v>175</v>
          </cell>
          <cell r="H1243">
            <v>45352</v>
          </cell>
          <cell r="I1243" t="str">
            <v>6420 - Licenses &amp; Membership</v>
          </cell>
          <cell r="J1243">
            <v>0</v>
          </cell>
          <cell r="K1243" t="str">
            <v>Production</v>
          </cell>
          <cell r="L1243" t="str">
            <v>Professional Service</v>
          </cell>
          <cell r="N1243" t="str">
            <v>SG&amp;A</v>
          </cell>
          <cell r="O1243" t="str">
            <v>[No Vendor]</v>
          </cell>
        </row>
        <row r="1244">
          <cell r="D1244">
            <v>2670.04</v>
          </cell>
          <cell r="H1244">
            <v>45352</v>
          </cell>
          <cell r="I1244" t="str">
            <v>6375 - Freight Expenses</v>
          </cell>
          <cell r="J1244" t="str">
            <v>Ecommerce (EU)</v>
          </cell>
          <cell r="K1244" t="str">
            <v>Ecommerce</v>
          </cell>
          <cell r="L1244" t="str">
            <v>Freight</v>
          </cell>
          <cell r="N1244" t="str">
            <v>Direct Costs</v>
          </cell>
          <cell r="O1244" t="str">
            <v>Global E</v>
          </cell>
        </row>
        <row r="1245">
          <cell r="D1245">
            <v>14.15</v>
          </cell>
          <cell r="H1245">
            <v>45352</v>
          </cell>
          <cell r="I1245" t="str">
            <v>7030 - Plant Machinery &amp; Equipment</v>
          </cell>
          <cell r="J1245">
            <v>0</v>
          </cell>
          <cell r="K1245" t="str">
            <v>Administration</v>
          </cell>
          <cell r="L1245" t="str">
            <v>Depreciation &amp; Amortization</v>
          </cell>
          <cell r="N1245" t="str">
            <v>SG&amp;A</v>
          </cell>
          <cell r="O1245" t="str">
            <v>[No Vendor]</v>
          </cell>
        </row>
        <row r="1246">
          <cell r="D1246">
            <v>45.16</v>
          </cell>
          <cell r="H1246">
            <v>45352</v>
          </cell>
          <cell r="I1246" t="str">
            <v>6040 - Employer Paid Benefits</v>
          </cell>
          <cell r="J1246">
            <v>0</v>
          </cell>
          <cell r="K1246" t="str">
            <v>Merchandising</v>
          </cell>
          <cell r="L1246" t="str">
            <v>HQ Salaries</v>
          </cell>
          <cell r="N1246" t="str">
            <v>SG&amp;A</v>
          </cell>
          <cell r="O1246" t="str">
            <v>[No Vendor]</v>
          </cell>
        </row>
        <row r="1247">
          <cell r="D1247">
            <v>-45.16</v>
          </cell>
          <cell r="H1247">
            <v>45352</v>
          </cell>
          <cell r="I1247" t="str">
            <v>6040 - Employer Paid Benefits</v>
          </cell>
          <cell r="J1247" t="str">
            <v>Wholesale</v>
          </cell>
          <cell r="K1247" t="str">
            <v>Wholesale</v>
          </cell>
          <cell r="L1247" t="str">
            <v>HQ Salaries</v>
          </cell>
          <cell r="N1247" t="str">
            <v>SG&amp;A</v>
          </cell>
          <cell r="O1247" t="str">
            <v>[No Vendor]</v>
          </cell>
        </row>
        <row r="1248">
          <cell r="D1248">
            <v>-416.94</v>
          </cell>
          <cell r="H1248">
            <v>45352</v>
          </cell>
          <cell r="I1248" t="str">
            <v>6040 - Employer Paid Benefits</v>
          </cell>
          <cell r="J1248">
            <v>0</v>
          </cell>
          <cell r="K1248" t="str">
            <v>Production</v>
          </cell>
          <cell r="L1248" t="str">
            <v>HQ Salaries</v>
          </cell>
          <cell r="N1248" t="str">
            <v>SG&amp;A</v>
          </cell>
          <cell r="O1248" t="str">
            <v>[No Vendor]</v>
          </cell>
        </row>
        <row r="1249">
          <cell r="D1249">
            <v>120.6</v>
          </cell>
          <cell r="H1249">
            <v>45352</v>
          </cell>
          <cell r="I1249" t="str">
            <v>6040 - Employer Paid Benefits</v>
          </cell>
          <cell r="J1249">
            <v>0</v>
          </cell>
          <cell r="K1249" t="str">
            <v>Brand Marketing</v>
          </cell>
          <cell r="L1249" t="str">
            <v>HQ Salaries</v>
          </cell>
          <cell r="N1249" t="str">
            <v>SG&amp;A</v>
          </cell>
          <cell r="O1249" t="str">
            <v>[No Vendor]</v>
          </cell>
        </row>
        <row r="1250">
          <cell r="D1250">
            <v>-121.85</v>
          </cell>
          <cell r="H1250">
            <v>45352</v>
          </cell>
          <cell r="I1250" t="str">
            <v>6040 - Employer Paid Benefits</v>
          </cell>
          <cell r="J1250" t="str">
            <v>Ecommerce (US)</v>
          </cell>
          <cell r="K1250" t="str">
            <v>Ecommerce</v>
          </cell>
          <cell r="L1250" t="str">
            <v>HQ Salaries</v>
          </cell>
          <cell r="N1250" t="str">
            <v>SG&amp;A</v>
          </cell>
          <cell r="O1250" t="str">
            <v>[No Vendor]</v>
          </cell>
        </row>
        <row r="1251">
          <cell r="D1251">
            <v>-309.68</v>
          </cell>
          <cell r="H1251">
            <v>45352</v>
          </cell>
          <cell r="I1251" t="str">
            <v>6040 - Employer Paid Benefits</v>
          </cell>
          <cell r="J1251">
            <v>0</v>
          </cell>
          <cell r="K1251" t="str">
            <v>Design</v>
          </cell>
          <cell r="L1251" t="str">
            <v>HQ Salaries</v>
          </cell>
          <cell r="N1251" t="str">
            <v>SG&amp;A</v>
          </cell>
          <cell r="O1251" t="str">
            <v>[No Vendor]</v>
          </cell>
        </row>
        <row r="1252">
          <cell r="D1252">
            <v>-163.69999999999999</v>
          </cell>
          <cell r="H1252">
            <v>45352</v>
          </cell>
          <cell r="I1252" t="str">
            <v>6040 - Employer Paid Benefits</v>
          </cell>
          <cell r="J1252">
            <v>0</v>
          </cell>
          <cell r="K1252" t="str">
            <v>Administration</v>
          </cell>
          <cell r="L1252" t="str">
            <v>HQ Salaries</v>
          </cell>
          <cell r="N1252" t="str">
            <v>SG&amp;A</v>
          </cell>
          <cell r="O1252" t="str">
            <v>[No Vendor]</v>
          </cell>
        </row>
        <row r="1253">
          <cell r="D1253">
            <v>5150</v>
          </cell>
          <cell r="H1253">
            <v>45352</v>
          </cell>
          <cell r="I1253" t="str">
            <v>6005 - Salaries</v>
          </cell>
          <cell r="J1253">
            <v>0</v>
          </cell>
          <cell r="K1253" t="str">
            <v>Merchandising</v>
          </cell>
          <cell r="L1253" t="str">
            <v>HQ Salaries</v>
          </cell>
          <cell r="N1253" t="str">
            <v>SG&amp;A</v>
          </cell>
          <cell r="O1253" t="str">
            <v>[No Vendor]</v>
          </cell>
        </row>
        <row r="1254">
          <cell r="D1254">
            <v>9911.5499999999993</v>
          </cell>
          <cell r="H1254">
            <v>45352</v>
          </cell>
          <cell r="I1254" t="str">
            <v>6005 - Salaries</v>
          </cell>
          <cell r="J1254" t="str">
            <v>Wholesale</v>
          </cell>
          <cell r="K1254" t="str">
            <v>Wholesale</v>
          </cell>
          <cell r="L1254" t="str">
            <v>HQ Salaries</v>
          </cell>
          <cell r="N1254" t="str">
            <v>SG&amp;A</v>
          </cell>
          <cell r="O1254" t="str">
            <v>[No Vendor]</v>
          </cell>
        </row>
        <row r="1255">
          <cell r="D1255">
            <v>19988.490000000002</v>
          </cell>
          <cell r="H1255">
            <v>45352</v>
          </cell>
          <cell r="I1255" t="str">
            <v>6005 - Salaries</v>
          </cell>
          <cell r="J1255">
            <v>0</v>
          </cell>
          <cell r="K1255" t="str">
            <v>Production</v>
          </cell>
          <cell r="L1255" t="str">
            <v>HQ Salaries</v>
          </cell>
          <cell r="N1255" t="str">
            <v>SG&amp;A</v>
          </cell>
          <cell r="O1255" t="str">
            <v>[No Vendor]</v>
          </cell>
        </row>
        <row r="1256">
          <cell r="D1256">
            <v>5884.63</v>
          </cell>
          <cell r="H1256">
            <v>45352</v>
          </cell>
          <cell r="I1256" t="str">
            <v>6005 - Salaries</v>
          </cell>
          <cell r="J1256">
            <v>0</v>
          </cell>
          <cell r="K1256" t="str">
            <v>Brand Marketing</v>
          </cell>
          <cell r="L1256" t="str">
            <v>HQ Salaries</v>
          </cell>
          <cell r="N1256" t="str">
            <v>SG&amp;A</v>
          </cell>
          <cell r="O1256" t="str">
            <v>[No Vendor]</v>
          </cell>
        </row>
        <row r="1257">
          <cell r="D1257">
            <v>20780.8</v>
          </cell>
          <cell r="H1257">
            <v>45352</v>
          </cell>
          <cell r="I1257" t="str">
            <v>6005 - Salaries</v>
          </cell>
          <cell r="J1257" t="str">
            <v>Ecommerce (US)</v>
          </cell>
          <cell r="K1257" t="str">
            <v>Ecommerce</v>
          </cell>
          <cell r="L1257" t="str">
            <v>HQ Salaries</v>
          </cell>
          <cell r="N1257" t="str">
            <v>SG&amp;A</v>
          </cell>
          <cell r="O1257" t="str">
            <v>[No Vendor]</v>
          </cell>
        </row>
        <row r="1258">
          <cell r="D1258">
            <v>20857.7</v>
          </cell>
          <cell r="H1258">
            <v>45352</v>
          </cell>
          <cell r="I1258" t="str">
            <v>6005 - Salaries</v>
          </cell>
          <cell r="J1258">
            <v>0</v>
          </cell>
          <cell r="K1258" t="str">
            <v>Design</v>
          </cell>
          <cell r="L1258" t="str">
            <v>HQ Salaries</v>
          </cell>
          <cell r="N1258" t="str">
            <v>SG&amp;A</v>
          </cell>
          <cell r="O1258" t="str">
            <v>[No Vendor]</v>
          </cell>
        </row>
        <row r="1259">
          <cell r="D1259">
            <v>23484.639999999999</v>
          </cell>
          <cell r="H1259">
            <v>45352</v>
          </cell>
          <cell r="I1259" t="str">
            <v>6005 - Salaries</v>
          </cell>
          <cell r="J1259">
            <v>0</v>
          </cell>
          <cell r="K1259" t="str">
            <v>Administration</v>
          </cell>
          <cell r="L1259" t="str">
            <v>HQ Salaries</v>
          </cell>
          <cell r="N1259" t="str">
            <v>SG&amp;A</v>
          </cell>
          <cell r="O1259" t="str">
            <v>[No Vendor]</v>
          </cell>
        </row>
        <row r="1260">
          <cell r="D1260">
            <v>0</v>
          </cell>
          <cell r="H1260">
            <v>45352</v>
          </cell>
          <cell r="I1260" t="str">
            <v>4020 - Revenue - Marketing Contribution</v>
          </cell>
          <cell r="J1260">
            <v>0</v>
          </cell>
          <cell r="K1260" t="str">
            <v>Licensing</v>
          </cell>
          <cell r="L1260" t="str">
            <v>License</v>
          </cell>
          <cell r="N1260" t="str">
            <v>Revenue</v>
          </cell>
          <cell r="O1260" t="str">
            <v>[No Vendor]</v>
          </cell>
        </row>
        <row r="1261">
          <cell r="D1261">
            <v>0</v>
          </cell>
          <cell r="H1261">
            <v>45352</v>
          </cell>
          <cell r="I1261" t="str">
            <v>4010 - Revenue - Licensing Fees (Royalties)</v>
          </cell>
          <cell r="J1261">
            <v>0</v>
          </cell>
          <cell r="K1261" t="str">
            <v>Licensing</v>
          </cell>
          <cell r="L1261" t="str">
            <v>License</v>
          </cell>
          <cell r="N1261" t="str">
            <v>Revenue</v>
          </cell>
          <cell r="O1261" t="str">
            <v>[No Vendor]</v>
          </cell>
        </row>
        <row r="1262">
          <cell r="D1262">
            <v>0</v>
          </cell>
          <cell r="H1262">
            <v>45352</v>
          </cell>
          <cell r="I1262" t="str">
            <v>4010 - Revenue - Licensing Fees (Royalties)</v>
          </cell>
          <cell r="J1262">
            <v>0</v>
          </cell>
          <cell r="K1262" t="str">
            <v>Licensing</v>
          </cell>
          <cell r="L1262" t="str">
            <v>License</v>
          </cell>
          <cell r="N1262" t="str">
            <v>Revenue</v>
          </cell>
          <cell r="O1262" t="str">
            <v>[No Vendor]</v>
          </cell>
        </row>
        <row r="1263">
          <cell r="D1263">
            <v>-41439.379999999997</v>
          </cell>
          <cell r="H1263">
            <v>45352</v>
          </cell>
          <cell r="I1263" t="str">
            <v>4010 - Revenue - Licensing Fees (Royalties)</v>
          </cell>
          <cell r="J1263">
            <v>0</v>
          </cell>
          <cell r="K1263" t="str">
            <v>Licensing</v>
          </cell>
          <cell r="L1263" t="str">
            <v>License</v>
          </cell>
          <cell r="N1263" t="str">
            <v>Revenue</v>
          </cell>
          <cell r="O1263" t="str">
            <v>[No Vendor]</v>
          </cell>
        </row>
        <row r="1264">
          <cell r="D1264">
            <v>0</v>
          </cell>
          <cell r="H1264">
            <v>45352</v>
          </cell>
          <cell r="I1264" t="str">
            <v>4010 - Revenue - Licensing Fees (Royalties)</v>
          </cell>
          <cell r="J1264">
            <v>0</v>
          </cell>
          <cell r="K1264" t="str">
            <v>Licensing</v>
          </cell>
          <cell r="L1264" t="str">
            <v>License</v>
          </cell>
          <cell r="N1264" t="str">
            <v>Revenue</v>
          </cell>
          <cell r="O1264" t="str">
            <v>[No Vendor]</v>
          </cell>
        </row>
        <row r="1265">
          <cell r="D1265">
            <v>-15470.7</v>
          </cell>
          <cell r="H1265">
            <v>45352</v>
          </cell>
          <cell r="I1265" t="str">
            <v>4010 - Revenue - Licensing Fees (Royalties)</v>
          </cell>
          <cell r="J1265">
            <v>0</v>
          </cell>
          <cell r="K1265" t="str">
            <v>Licensing</v>
          </cell>
          <cell r="L1265" t="str">
            <v>License</v>
          </cell>
          <cell r="N1265" t="str">
            <v>Revenue</v>
          </cell>
          <cell r="O1265" t="str">
            <v>[No Vendor]</v>
          </cell>
        </row>
        <row r="1266">
          <cell r="D1266">
            <v>0</v>
          </cell>
          <cell r="H1266">
            <v>45352</v>
          </cell>
          <cell r="I1266" t="str">
            <v>4010 - Revenue - Licensing Fees (Royalties)</v>
          </cell>
          <cell r="J1266">
            <v>0</v>
          </cell>
          <cell r="K1266" t="str">
            <v>Licensing</v>
          </cell>
          <cell r="L1266" t="str">
            <v>License</v>
          </cell>
          <cell r="N1266" t="str">
            <v>Revenue</v>
          </cell>
          <cell r="O1266" t="str">
            <v>[No Vendor]</v>
          </cell>
        </row>
        <row r="1267">
          <cell r="D1267">
            <v>0</v>
          </cell>
          <cell r="H1267">
            <v>45352</v>
          </cell>
          <cell r="I1267" t="str">
            <v>4010 - Revenue - Licensing Fees (Royalties)</v>
          </cell>
          <cell r="J1267">
            <v>0</v>
          </cell>
          <cell r="K1267" t="str">
            <v>Licensing</v>
          </cell>
          <cell r="L1267" t="str">
            <v>License</v>
          </cell>
          <cell r="N1267" t="str">
            <v>Revenue</v>
          </cell>
          <cell r="O1267" t="str">
            <v>[No Vendor]</v>
          </cell>
        </row>
        <row r="1268">
          <cell r="D1268">
            <v>125.91</v>
          </cell>
          <cell r="H1268">
            <v>45383</v>
          </cell>
          <cell r="I1268" t="str">
            <v>6040 - Employer Paid Benefits</v>
          </cell>
          <cell r="J1268">
            <v>0</v>
          </cell>
          <cell r="K1268" t="str">
            <v>Administration</v>
          </cell>
          <cell r="L1268" t="str">
            <v>HQ Salaries</v>
          </cell>
          <cell r="N1268" t="str">
            <v>SG&amp;A</v>
          </cell>
          <cell r="O1268" t="str">
            <v>Allied Administrators</v>
          </cell>
        </row>
        <row r="1269">
          <cell r="D1269">
            <v>13609.38</v>
          </cell>
          <cell r="H1269">
            <v>45383</v>
          </cell>
          <cell r="I1269" t="str">
            <v>6393 - Software</v>
          </cell>
          <cell r="J1269">
            <v>0</v>
          </cell>
          <cell r="K1269" t="str">
            <v>Brand Marketing</v>
          </cell>
          <cell r="L1269" t="str">
            <v>Professional Service</v>
          </cell>
          <cell r="N1269" t="str">
            <v>Direct Costs</v>
          </cell>
          <cell r="O1269" t="str">
            <v>Fohr</v>
          </cell>
        </row>
        <row r="1270">
          <cell r="D1270">
            <v>1947.5</v>
          </cell>
          <cell r="H1270">
            <v>45383</v>
          </cell>
          <cell r="I1270" t="str">
            <v>6380 - Legal &amp; Accounting</v>
          </cell>
          <cell r="J1270">
            <v>0</v>
          </cell>
          <cell r="K1270" t="str">
            <v>Administration</v>
          </cell>
          <cell r="L1270" t="str">
            <v>Professional Service</v>
          </cell>
          <cell r="N1270" t="str">
            <v>SG&amp;A</v>
          </cell>
          <cell r="O1270" t="str">
            <v>Alan Lungen, Attorney at Law</v>
          </cell>
        </row>
        <row r="1271">
          <cell r="D1271">
            <v>1714.49</v>
          </cell>
          <cell r="H1271">
            <v>45383</v>
          </cell>
          <cell r="I1271" t="str">
            <v>6215 - Recruitment</v>
          </cell>
          <cell r="J1271">
            <v>0</v>
          </cell>
          <cell r="K1271" t="str">
            <v>Administration</v>
          </cell>
          <cell r="L1271" t="str">
            <v>Professional Service</v>
          </cell>
          <cell r="N1271" t="str">
            <v>SG&amp;A</v>
          </cell>
          <cell r="O1271" t="str">
            <v>LinkedIN Corporation</v>
          </cell>
        </row>
        <row r="1272">
          <cell r="D1272">
            <v>1714.49</v>
          </cell>
          <cell r="H1272">
            <v>45383</v>
          </cell>
          <cell r="I1272" t="str">
            <v>6215 - Recruitment</v>
          </cell>
          <cell r="J1272">
            <v>0</v>
          </cell>
          <cell r="K1272" t="str">
            <v>Administration</v>
          </cell>
          <cell r="L1272" t="str">
            <v>Professional Service</v>
          </cell>
          <cell r="N1272" t="str">
            <v>SG&amp;A</v>
          </cell>
          <cell r="O1272" t="str">
            <v>LinkedIN Corporation</v>
          </cell>
        </row>
        <row r="1273">
          <cell r="D1273">
            <v>798.82</v>
          </cell>
          <cell r="H1273">
            <v>45383</v>
          </cell>
          <cell r="I1273" t="str">
            <v>6385 - Insurance</v>
          </cell>
          <cell r="J1273">
            <v>0</v>
          </cell>
          <cell r="K1273" t="str">
            <v>Administration</v>
          </cell>
          <cell r="L1273" t="str">
            <v>Professional Service</v>
          </cell>
          <cell r="N1273" t="str">
            <v>SG&amp;A</v>
          </cell>
          <cell r="O1273" t="str">
            <v>The Hartford</v>
          </cell>
        </row>
        <row r="1274">
          <cell r="D1274">
            <v>743.14</v>
          </cell>
          <cell r="H1274">
            <v>45383</v>
          </cell>
          <cell r="I1274" t="str">
            <v>6400 - Utilities</v>
          </cell>
          <cell r="J1274">
            <v>0</v>
          </cell>
          <cell r="K1274" t="str">
            <v>Administration</v>
          </cell>
          <cell r="L1274" t="str">
            <v>Other</v>
          </cell>
          <cell r="N1274" t="str">
            <v>SG&amp;A</v>
          </cell>
          <cell r="O1274" t="str">
            <v>Antelope LLC</v>
          </cell>
        </row>
        <row r="1275">
          <cell r="D1275">
            <v>3920.5</v>
          </cell>
          <cell r="H1275">
            <v>45383</v>
          </cell>
          <cell r="I1275" t="str">
            <v>6225 - Professional Services</v>
          </cell>
          <cell r="J1275">
            <v>0</v>
          </cell>
          <cell r="K1275" t="str">
            <v>Administration</v>
          </cell>
          <cell r="L1275" t="str">
            <v>Professional Service</v>
          </cell>
          <cell r="N1275" t="str">
            <v>Direct Costs</v>
          </cell>
          <cell r="O1275" t="str">
            <v>Enom Solutions, Inc-DBA 3nom</v>
          </cell>
        </row>
        <row r="1276">
          <cell r="D1276">
            <v>29236.67</v>
          </cell>
          <cell r="H1276">
            <v>45383</v>
          </cell>
          <cell r="I1276" t="str">
            <v>6320 - Building Rent</v>
          </cell>
          <cell r="J1276">
            <v>0</v>
          </cell>
          <cell r="K1276" t="str">
            <v>Administration</v>
          </cell>
          <cell r="L1276" t="str">
            <v>Rent</v>
          </cell>
          <cell r="N1276" t="str">
            <v>SG&amp;A</v>
          </cell>
          <cell r="O1276" t="str">
            <v>Antelope LLC</v>
          </cell>
        </row>
        <row r="1277">
          <cell r="D1277">
            <v>20.72</v>
          </cell>
          <cell r="H1277">
            <v>45383</v>
          </cell>
          <cell r="I1277" t="str">
            <v>6375 - Freight Expenses</v>
          </cell>
          <cell r="J1277" t="str">
            <v>Ecommerce (US)</v>
          </cell>
          <cell r="K1277" t="str">
            <v>Ecommerce</v>
          </cell>
          <cell r="L1277" t="str">
            <v>Freight</v>
          </cell>
          <cell r="N1277" t="str">
            <v>Direct Costs</v>
          </cell>
          <cell r="O1277" t="str">
            <v>Federal Express</v>
          </cell>
        </row>
        <row r="1278">
          <cell r="D1278">
            <v>465.14</v>
          </cell>
          <cell r="H1278">
            <v>45383</v>
          </cell>
          <cell r="I1278" t="str">
            <v>6375 - Freight Expenses</v>
          </cell>
          <cell r="J1278" t="str">
            <v>Ecommerce (US)</v>
          </cell>
          <cell r="K1278" t="str">
            <v>Ecommerce</v>
          </cell>
          <cell r="L1278" t="str">
            <v>Freight</v>
          </cell>
          <cell r="N1278" t="str">
            <v>Direct Costs</v>
          </cell>
          <cell r="O1278" t="str">
            <v>Federal Express</v>
          </cell>
        </row>
        <row r="1279">
          <cell r="D1279">
            <v>1633.9</v>
          </cell>
          <cell r="H1279">
            <v>45383</v>
          </cell>
          <cell r="I1279" t="str">
            <v>6040 - Employer Paid Benefits</v>
          </cell>
          <cell r="J1279" t="str">
            <v>Wholesale</v>
          </cell>
          <cell r="K1279" t="str">
            <v>Wholesale</v>
          </cell>
          <cell r="L1279" t="str">
            <v>HQ Salaries</v>
          </cell>
          <cell r="N1279" t="str">
            <v>SG&amp;A</v>
          </cell>
          <cell r="O1279" t="str">
            <v>Excellus Health Plan - Group</v>
          </cell>
        </row>
        <row r="1280">
          <cell r="D1280">
            <v>3839.66</v>
          </cell>
          <cell r="H1280">
            <v>45383</v>
          </cell>
          <cell r="I1280" t="str">
            <v>6040 - Employer Paid Benefits</v>
          </cell>
          <cell r="J1280">
            <v>0</v>
          </cell>
          <cell r="K1280" t="str">
            <v>Production</v>
          </cell>
          <cell r="L1280" t="str">
            <v>HQ Salaries</v>
          </cell>
          <cell r="N1280" t="str">
            <v>SG&amp;A</v>
          </cell>
          <cell r="O1280" t="str">
            <v>Excellus Health Plan - Group</v>
          </cell>
        </row>
        <row r="1281">
          <cell r="D1281">
            <v>-3574.22</v>
          </cell>
          <cell r="H1281">
            <v>45383</v>
          </cell>
          <cell r="I1281" t="str">
            <v>6040 - Employer Paid Benefits</v>
          </cell>
          <cell r="J1281">
            <v>0</v>
          </cell>
          <cell r="K1281" t="str">
            <v>Merchandising</v>
          </cell>
          <cell r="L1281" t="str">
            <v>HQ Salaries</v>
          </cell>
          <cell r="N1281" t="str">
            <v>SG&amp;A</v>
          </cell>
          <cell r="O1281" t="str">
            <v>Excellus Health Plan - Group</v>
          </cell>
        </row>
        <row r="1282">
          <cell r="D1282">
            <v>816.95</v>
          </cell>
          <cell r="H1282">
            <v>45383</v>
          </cell>
          <cell r="I1282" t="str">
            <v>6040 - Employer Paid Benefits</v>
          </cell>
          <cell r="J1282">
            <v>0</v>
          </cell>
          <cell r="K1282" t="str">
            <v>Brand Marketing</v>
          </cell>
          <cell r="L1282" t="str">
            <v>HQ Salaries</v>
          </cell>
          <cell r="N1282" t="str">
            <v>SG&amp;A</v>
          </cell>
          <cell r="O1282" t="str">
            <v>Excellus Health Plan - Group</v>
          </cell>
        </row>
        <row r="1283">
          <cell r="D1283">
            <v>2328.3000000000002</v>
          </cell>
          <cell r="H1283">
            <v>45383</v>
          </cell>
          <cell r="I1283" t="str">
            <v>6040 - Employer Paid Benefits</v>
          </cell>
          <cell r="J1283">
            <v>0</v>
          </cell>
          <cell r="K1283" t="str">
            <v>Executive</v>
          </cell>
          <cell r="L1283" t="str">
            <v>HQ Salaries</v>
          </cell>
          <cell r="N1283" t="str">
            <v>SG&amp;A</v>
          </cell>
          <cell r="O1283" t="str">
            <v>Excellus Health Plan - Group</v>
          </cell>
        </row>
        <row r="1284">
          <cell r="D1284">
            <v>3145.25</v>
          </cell>
          <cell r="H1284">
            <v>45383</v>
          </cell>
          <cell r="I1284" t="str">
            <v>6040 - Employer Paid Benefits</v>
          </cell>
          <cell r="J1284" t="str">
            <v>Ecommerce (US)</v>
          </cell>
          <cell r="K1284" t="str">
            <v>Ecommerce</v>
          </cell>
          <cell r="L1284" t="str">
            <v>HQ Salaries</v>
          </cell>
          <cell r="N1284" t="str">
            <v>SG&amp;A</v>
          </cell>
          <cell r="O1284" t="str">
            <v>Excellus Health Plan - Group</v>
          </cell>
        </row>
        <row r="1285">
          <cell r="D1285">
            <v>2450.84</v>
          </cell>
          <cell r="H1285">
            <v>45383</v>
          </cell>
          <cell r="I1285" t="str">
            <v>6040 - Employer Paid Benefits</v>
          </cell>
          <cell r="J1285">
            <v>0</v>
          </cell>
          <cell r="K1285" t="str">
            <v>Design</v>
          </cell>
          <cell r="L1285" t="str">
            <v>HQ Salaries</v>
          </cell>
          <cell r="N1285" t="str">
            <v>SG&amp;A</v>
          </cell>
          <cell r="O1285" t="str">
            <v>Excellus Health Plan - Group</v>
          </cell>
        </row>
        <row r="1286">
          <cell r="D1286">
            <v>4577.55</v>
          </cell>
          <cell r="H1286">
            <v>45383</v>
          </cell>
          <cell r="I1286" t="str">
            <v>6040 - Employer Paid Benefits</v>
          </cell>
          <cell r="J1286">
            <v>0</v>
          </cell>
          <cell r="K1286" t="str">
            <v>Administration</v>
          </cell>
          <cell r="L1286" t="str">
            <v>HQ Salaries</v>
          </cell>
          <cell r="N1286" t="str">
            <v>SG&amp;A</v>
          </cell>
          <cell r="O1286" t="str">
            <v>Excellus Health Plan - Group</v>
          </cell>
        </row>
        <row r="1287">
          <cell r="D1287">
            <v>127.67</v>
          </cell>
          <cell r="H1287">
            <v>45383</v>
          </cell>
          <cell r="I1287" t="str">
            <v>6040 - Employer Paid Benefits</v>
          </cell>
          <cell r="J1287" t="str">
            <v>Wholesale</v>
          </cell>
          <cell r="K1287" t="str">
            <v>Wholesale</v>
          </cell>
          <cell r="L1287" t="str">
            <v>HQ Salaries</v>
          </cell>
          <cell r="N1287" t="str">
            <v>SG&amp;A</v>
          </cell>
          <cell r="O1287" t="str">
            <v>United of Omaha Life Insurance Company</v>
          </cell>
        </row>
        <row r="1288">
          <cell r="D1288">
            <v>403.1</v>
          </cell>
          <cell r="H1288">
            <v>45383</v>
          </cell>
          <cell r="I1288" t="str">
            <v>6040 - Employer Paid Benefits</v>
          </cell>
          <cell r="J1288">
            <v>0</v>
          </cell>
          <cell r="K1288" t="str">
            <v>Production</v>
          </cell>
          <cell r="L1288" t="str">
            <v>HQ Salaries</v>
          </cell>
          <cell r="N1288" t="str">
            <v>SG&amp;A</v>
          </cell>
          <cell r="O1288" t="str">
            <v>United of Omaha Life Insurance Company</v>
          </cell>
        </row>
        <row r="1289">
          <cell r="D1289">
            <v>-61.25</v>
          </cell>
          <cell r="H1289">
            <v>45383</v>
          </cell>
          <cell r="I1289" t="str">
            <v>6040 - Employer Paid Benefits</v>
          </cell>
          <cell r="J1289">
            <v>0</v>
          </cell>
          <cell r="K1289" t="str">
            <v>Merchandising</v>
          </cell>
          <cell r="L1289" t="str">
            <v>HQ Salaries</v>
          </cell>
          <cell r="N1289" t="str">
            <v>SG&amp;A</v>
          </cell>
          <cell r="O1289" t="str">
            <v>United of Omaha Life Insurance Company</v>
          </cell>
        </row>
        <row r="1290">
          <cell r="D1290">
            <v>60.85</v>
          </cell>
          <cell r="H1290">
            <v>45383</v>
          </cell>
          <cell r="I1290" t="str">
            <v>6040 - Employer Paid Benefits</v>
          </cell>
          <cell r="J1290">
            <v>0</v>
          </cell>
          <cell r="K1290" t="str">
            <v>Brand Marketing</v>
          </cell>
          <cell r="L1290" t="str">
            <v>HQ Salaries</v>
          </cell>
          <cell r="N1290" t="str">
            <v>SG&amp;A</v>
          </cell>
          <cell r="O1290" t="str">
            <v>United of Omaha Life Insurance Company</v>
          </cell>
        </row>
        <row r="1291">
          <cell r="D1291">
            <v>155.38999999999999</v>
          </cell>
          <cell r="H1291">
            <v>45383</v>
          </cell>
          <cell r="I1291" t="str">
            <v>6040 - Employer Paid Benefits</v>
          </cell>
          <cell r="J1291">
            <v>0</v>
          </cell>
          <cell r="K1291" t="str">
            <v>Executive</v>
          </cell>
          <cell r="L1291" t="str">
            <v>HQ Salaries</v>
          </cell>
          <cell r="N1291" t="str">
            <v>SG&amp;A</v>
          </cell>
          <cell r="O1291" t="str">
            <v>United of Omaha Life Insurance Company</v>
          </cell>
        </row>
        <row r="1292">
          <cell r="D1292">
            <v>220.22</v>
          </cell>
          <cell r="H1292">
            <v>45383</v>
          </cell>
          <cell r="I1292" t="str">
            <v>6040 - Employer Paid Benefits</v>
          </cell>
          <cell r="J1292" t="str">
            <v>Ecommerce (US)</v>
          </cell>
          <cell r="K1292" t="str">
            <v>Ecommerce</v>
          </cell>
          <cell r="L1292" t="str">
            <v>HQ Salaries</v>
          </cell>
          <cell r="N1292" t="str">
            <v>SG&amp;A</v>
          </cell>
          <cell r="O1292" t="str">
            <v>United of Omaha Life Insurance Company</v>
          </cell>
        </row>
        <row r="1293">
          <cell r="D1293">
            <v>230.95</v>
          </cell>
          <cell r="H1293">
            <v>45383</v>
          </cell>
          <cell r="I1293" t="str">
            <v>6040 - Employer Paid Benefits</v>
          </cell>
          <cell r="J1293">
            <v>0</v>
          </cell>
          <cell r="K1293" t="str">
            <v>Design</v>
          </cell>
          <cell r="L1293" t="str">
            <v>HQ Salaries</v>
          </cell>
          <cell r="N1293" t="str">
            <v>SG&amp;A</v>
          </cell>
          <cell r="O1293" t="str">
            <v>United of Omaha Life Insurance Company</v>
          </cell>
        </row>
        <row r="1294">
          <cell r="D1294">
            <v>639.28</v>
          </cell>
          <cell r="H1294">
            <v>45383</v>
          </cell>
          <cell r="I1294" t="str">
            <v>6040 - Employer Paid Benefits</v>
          </cell>
          <cell r="J1294">
            <v>0</v>
          </cell>
          <cell r="K1294" t="str">
            <v>Administration</v>
          </cell>
          <cell r="L1294" t="str">
            <v>HQ Salaries</v>
          </cell>
          <cell r="N1294" t="str">
            <v>SG&amp;A</v>
          </cell>
          <cell r="O1294" t="str">
            <v>United of Omaha Life Insurance Company</v>
          </cell>
        </row>
        <row r="1295">
          <cell r="D1295">
            <v>24.54</v>
          </cell>
          <cell r="H1295">
            <v>45383</v>
          </cell>
          <cell r="I1295" t="str">
            <v>6040 - Employer Paid Benefits</v>
          </cell>
          <cell r="J1295" t="str">
            <v>Wholesale</v>
          </cell>
          <cell r="K1295" t="str">
            <v>Wholesale</v>
          </cell>
          <cell r="L1295" t="str">
            <v>HQ Salaries</v>
          </cell>
          <cell r="N1295" t="str">
            <v>SG&amp;A</v>
          </cell>
          <cell r="O1295" t="str">
            <v>Allied Administrators</v>
          </cell>
        </row>
        <row r="1296">
          <cell r="D1296">
            <v>125.91</v>
          </cell>
          <cell r="H1296">
            <v>45383</v>
          </cell>
          <cell r="I1296" t="str">
            <v>6040 - Employer Paid Benefits</v>
          </cell>
          <cell r="J1296">
            <v>0</v>
          </cell>
          <cell r="K1296" t="str">
            <v>Production</v>
          </cell>
          <cell r="L1296" t="str">
            <v>HQ Salaries</v>
          </cell>
          <cell r="N1296" t="str">
            <v>SG&amp;A</v>
          </cell>
          <cell r="O1296" t="str">
            <v>Allied Administrators</v>
          </cell>
        </row>
        <row r="1297">
          <cell r="D1297">
            <v>97.44</v>
          </cell>
          <cell r="H1297">
            <v>45383</v>
          </cell>
          <cell r="I1297" t="str">
            <v>6040 - Employer Paid Benefits</v>
          </cell>
          <cell r="J1297">
            <v>0</v>
          </cell>
          <cell r="K1297" t="str">
            <v>Merchandising</v>
          </cell>
          <cell r="L1297" t="str">
            <v>HQ Salaries</v>
          </cell>
          <cell r="N1297" t="str">
            <v>SG&amp;A</v>
          </cell>
          <cell r="O1297" t="str">
            <v>Allied Administrators</v>
          </cell>
        </row>
        <row r="1298">
          <cell r="D1298">
            <v>145.80000000000001</v>
          </cell>
          <cell r="H1298">
            <v>45383</v>
          </cell>
          <cell r="I1298" t="str">
            <v>6040 - Employer Paid Benefits</v>
          </cell>
          <cell r="J1298">
            <v>0</v>
          </cell>
          <cell r="K1298" t="str">
            <v>Executive</v>
          </cell>
          <cell r="L1298" t="str">
            <v>HQ Salaries</v>
          </cell>
          <cell r="N1298" t="str">
            <v>SG&amp;A</v>
          </cell>
          <cell r="O1298" t="str">
            <v>Allied Administrators</v>
          </cell>
        </row>
        <row r="1299">
          <cell r="D1299">
            <v>76.83</v>
          </cell>
          <cell r="H1299">
            <v>45383</v>
          </cell>
          <cell r="I1299" t="str">
            <v>6040 - Employer Paid Benefits</v>
          </cell>
          <cell r="J1299" t="str">
            <v>Ecommerce (US)</v>
          </cell>
          <cell r="K1299" t="str">
            <v>Ecommerce</v>
          </cell>
          <cell r="L1299" t="str">
            <v>HQ Salaries</v>
          </cell>
          <cell r="N1299" t="str">
            <v>SG&amp;A</v>
          </cell>
          <cell r="O1299" t="str">
            <v>Allied Administrators</v>
          </cell>
        </row>
        <row r="1300">
          <cell r="D1300">
            <v>150.44999999999999</v>
          </cell>
          <cell r="H1300">
            <v>45383</v>
          </cell>
          <cell r="I1300" t="str">
            <v>6040 - Employer Paid Benefits</v>
          </cell>
          <cell r="J1300">
            <v>0</v>
          </cell>
          <cell r="K1300" t="str">
            <v>Design</v>
          </cell>
          <cell r="L1300" t="str">
            <v>HQ Salaries</v>
          </cell>
          <cell r="N1300" t="str">
            <v>SG&amp;A</v>
          </cell>
          <cell r="O1300" t="str">
            <v>Allied Administrators</v>
          </cell>
        </row>
        <row r="1301">
          <cell r="D1301">
            <v>648.94000000000005</v>
          </cell>
          <cell r="H1301">
            <v>45383</v>
          </cell>
          <cell r="I1301" t="str">
            <v>8505 - Realized Gain/Loss</v>
          </cell>
          <cell r="J1301">
            <v>0</v>
          </cell>
          <cell r="K1301" t="str">
            <v>No Department</v>
          </cell>
          <cell r="L1301" t="str">
            <v>Realized Gain / Loss</v>
          </cell>
          <cell r="N1301" t="str">
            <v>BTL</v>
          </cell>
          <cell r="O1301" t="str">
            <v>[No Vendor]</v>
          </cell>
        </row>
        <row r="1302">
          <cell r="D1302">
            <v>-23484.639999999999</v>
          </cell>
          <cell r="H1302">
            <v>45383</v>
          </cell>
          <cell r="I1302" t="str">
            <v>6005 - Salaries</v>
          </cell>
          <cell r="J1302">
            <v>0</v>
          </cell>
          <cell r="K1302" t="str">
            <v>Administration</v>
          </cell>
          <cell r="L1302" t="str">
            <v>HQ Salaries</v>
          </cell>
          <cell r="N1302" t="str">
            <v>SG&amp;A</v>
          </cell>
          <cell r="O1302" t="str">
            <v>[No Vendor]</v>
          </cell>
        </row>
        <row r="1303">
          <cell r="D1303">
            <v>0</v>
          </cell>
          <cell r="H1303">
            <v>45383</v>
          </cell>
          <cell r="I1303" t="str">
            <v>6205 - Contractors</v>
          </cell>
          <cell r="J1303">
            <v>0</v>
          </cell>
          <cell r="K1303" t="str">
            <v>Brand Marketing</v>
          </cell>
          <cell r="L1303" t="str">
            <v>HQ Salaries</v>
          </cell>
          <cell r="N1303" t="str">
            <v>SG&amp;A</v>
          </cell>
          <cell r="O1303" t="str">
            <v>[No Vendor]</v>
          </cell>
        </row>
        <row r="1304">
          <cell r="D1304">
            <v>-13997.3</v>
          </cell>
          <cell r="H1304">
            <v>45383</v>
          </cell>
          <cell r="I1304" t="str">
            <v>6205 - Contractors</v>
          </cell>
          <cell r="J1304" t="str">
            <v>Ecommerce (US)</v>
          </cell>
          <cell r="K1304" t="str">
            <v>Ecommerce</v>
          </cell>
          <cell r="L1304" t="str">
            <v>HQ Salaries</v>
          </cell>
          <cell r="N1304" t="str">
            <v>SG&amp;A</v>
          </cell>
          <cell r="O1304" t="str">
            <v>[No Vendor]</v>
          </cell>
        </row>
        <row r="1305">
          <cell r="D1305">
            <v>20.41</v>
          </cell>
          <cell r="H1305">
            <v>45383</v>
          </cell>
          <cell r="I1305" t="str">
            <v>6385 - Insurance</v>
          </cell>
          <cell r="J1305">
            <v>0</v>
          </cell>
          <cell r="K1305" t="str">
            <v>Administration</v>
          </cell>
          <cell r="L1305" t="str">
            <v>Professional Service</v>
          </cell>
          <cell r="N1305" t="str">
            <v>SG&amp;A</v>
          </cell>
          <cell r="O1305" t="str">
            <v>[No Vendor]</v>
          </cell>
        </row>
        <row r="1306">
          <cell r="D1306">
            <v>39.369999999999997</v>
          </cell>
          <cell r="H1306">
            <v>45383</v>
          </cell>
          <cell r="I1306" t="str">
            <v>6385 - Insurance</v>
          </cell>
          <cell r="J1306">
            <v>0</v>
          </cell>
          <cell r="K1306" t="str">
            <v>Administration</v>
          </cell>
          <cell r="L1306" t="str">
            <v>Professional Service</v>
          </cell>
          <cell r="N1306" t="str">
            <v>SG&amp;A</v>
          </cell>
          <cell r="O1306" t="str">
            <v>[No Vendor]</v>
          </cell>
        </row>
        <row r="1307">
          <cell r="D1307">
            <v>69.59</v>
          </cell>
          <cell r="H1307">
            <v>45383</v>
          </cell>
          <cell r="I1307" t="str">
            <v>6385 - Insurance</v>
          </cell>
          <cell r="J1307">
            <v>0</v>
          </cell>
          <cell r="K1307" t="str">
            <v>Administration</v>
          </cell>
          <cell r="L1307" t="str">
            <v>Professional Service</v>
          </cell>
          <cell r="N1307" t="str">
            <v>SG&amp;A</v>
          </cell>
          <cell r="O1307" t="str">
            <v>[No Vendor]</v>
          </cell>
        </row>
        <row r="1308">
          <cell r="D1308">
            <v>24.35</v>
          </cell>
          <cell r="H1308">
            <v>45383</v>
          </cell>
          <cell r="I1308" t="str">
            <v>6385 - Insurance</v>
          </cell>
          <cell r="J1308">
            <v>0</v>
          </cell>
          <cell r="K1308" t="str">
            <v>Administration</v>
          </cell>
          <cell r="L1308" t="str">
            <v>Professional Service</v>
          </cell>
          <cell r="N1308" t="str">
            <v>SG&amp;A</v>
          </cell>
          <cell r="O1308" t="str">
            <v>[No Vendor]</v>
          </cell>
        </row>
        <row r="1309">
          <cell r="D1309">
            <v>41.67</v>
          </cell>
          <cell r="H1309">
            <v>45383</v>
          </cell>
          <cell r="I1309" t="str">
            <v>6385 - Insurance</v>
          </cell>
          <cell r="J1309">
            <v>0</v>
          </cell>
          <cell r="K1309" t="str">
            <v>Administration</v>
          </cell>
          <cell r="L1309" t="str">
            <v>Professional Service</v>
          </cell>
          <cell r="N1309" t="str">
            <v>SG&amp;A</v>
          </cell>
          <cell r="O1309" t="str">
            <v>[No Vendor]</v>
          </cell>
        </row>
        <row r="1310">
          <cell r="D1310">
            <v>83.8</v>
          </cell>
          <cell r="H1310">
            <v>45383</v>
          </cell>
          <cell r="I1310" t="str">
            <v>6385 - Insurance</v>
          </cell>
          <cell r="J1310">
            <v>0</v>
          </cell>
          <cell r="K1310" t="str">
            <v>Administration</v>
          </cell>
          <cell r="L1310" t="str">
            <v>Professional Service</v>
          </cell>
          <cell r="N1310" t="str">
            <v>SG&amp;A</v>
          </cell>
          <cell r="O1310" t="str">
            <v>[No Vendor]</v>
          </cell>
        </row>
        <row r="1311">
          <cell r="D1311">
            <v>25.87</v>
          </cell>
          <cell r="H1311">
            <v>45383</v>
          </cell>
          <cell r="I1311" t="str">
            <v>6385 - Insurance</v>
          </cell>
          <cell r="J1311">
            <v>0</v>
          </cell>
          <cell r="K1311" t="str">
            <v>Administration</v>
          </cell>
          <cell r="L1311" t="str">
            <v>Professional Service</v>
          </cell>
          <cell r="N1311" t="str">
            <v>SG&amp;A</v>
          </cell>
          <cell r="O1311" t="str">
            <v>[No Vendor]</v>
          </cell>
        </row>
        <row r="1312">
          <cell r="D1312">
            <v>-743.14</v>
          </cell>
          <cell r="H1312">
            <v>45383</v>
          </cell>
          <cell r="I1312" t="str">
            <v>6400 - Utilities</v>
          </cell>
          <cell r="J1312">
            <v>0</v>
          </cell>
          <cell r="K1312" t="str">
            <v>Administration</v>
          </cell>
          <cell r="L1312" t="str">
            <v>Other</v>
          </cell>
          <cell r="N1312" t="str">
            <v>SG&amp;A</v>
          </cell>
          <cell r="O1312" t="str">
            <v>[No Vendor]</v>
          </cell>
        </row>
        <row r="1313">
          <cell r="D1313">
            <v>-551.92999999999995</v>
          </cell>
          <cell r="H1313">
            <v>45383</v>
          </cell>
          <cell r="I1313" t="str">
            <v>6055 - Employer Social Security Tax Withheld</v>
          </cell>
          <cell r="J1313">
            <v>0</v>
          </cell>
          <cell r="K1313" t="str">
            <v>Merchandising</v>
          </cell>
          <cell r="L1313" t="str">
            <v>HQ Salaries</v>
          </cell>
          <cell r="N1313" t="str">
            <v>SG&amp;A</v>
          </cell>
          <cell r="O1313" t="str">
            <v>[No Vendor]</v>
          </cell>
        </row>
        <row r="1314">
          <cell r="D1314">
            <v>-1052.1300000000001</v>
          </cell>
          <cell r="H1314">
            <v>45383</v>
          </cell>
          <cell r="I1314" t="str">
            <v>6055 - Employer Social Security Tax Withheld</v>
          </cell>
          <cell r="J1314" t="str">
            <v>Wholesale</v>
          </cell>
          <cell r="K1314" t="str">
            <v>Wholesale</v>
          </cell>
          <cell r="L1314" t="str">
            <v>HQ Salaries</v>
          </cell>
          <cell r="N1314" t="str">
            <v>SG&amp;A</v>
          </cell>
          <cell r="O1314" t="str">
            <v>[No Vendor]</v>
          </cell>
        </row>
        <row r="1315">
          <cell r="D1315">
            <v>-2096.89</v>
          </cell>
          <cell r="H1315">
            <v>45383</v>
          </cell>
          <cell r="I1315" t="str">
            <v>6055 - Employer Social Security Tax Withheld</v>
          </cell>
          <cell r="J1315">
            <v>0</v>
          </cell>
          <cell r="K1315" t="str">
            <v>Production</v>
          </cell>
          <cell r="L1315" t="str">
            <v>HQ Salaries</v>
          </cell>
          <cell r="N1315" t="str">
            <v>SG&amp;A</v>
          </cell>
          <cell r="O1315" t="str">
            <v>[No Vendor]</v>
          </cell>
        </row>
        <row r="1316">
          <cell r="D1316">
            <v>-635.94000000000005</v>
          </cell>
          <cell r="H1316">
            <v>45383</v>
          </cell>
          <cell r="I1316" t="str">
            <v>6055 - Employer Social Security Tax Withheld</v>
          </cell>
          <cell r="J1316">
            <v>0</v>
          </cell>
          <cell r="K1316" t="str">
            <v>Brand Marketing</v>
          </cell>
          <cell r="L1316" t="str">
            <v>HQ Salaries</v>
          </cell>
          <cell r="N1316" t="str">
            <v>SG&amp;A</v>
          </cell>
          <cell r="O1316" t="str">
            <v>[No Vendor]</v>
          </cell>
        </row>
        <row r="1317">
          <cell r="D1317">
            <v>-1748.05</v>
          </cell>
          <cell r="H1317">
            <v>45383</v>
          </cell>
          <cell r="I1317" t="str">
            <v>6055 - Employer Social Security Tax Withheld</v>
          </cell>
          <cell r="J1317" t="str">
            <v>Ecommerce (US)</v>
          </cell>
          <cell r="K1317" t="str">
            <v>Ecommerce</v>
          </cell>
          <cell r="L1317" t="str">
            <v>HQ Salaries</v>
          </cell>
          <cell r="N1317" t="str">
            <v>SG&amp;A</v>
          </cell>
          <cell r="O1317" t="str">
            <v>[No Vendor]</v>
          </cell>
        </row>
        <row r="1318">
          <cell r="D1318">
            <v>-2086.5500000000002</v>
          </cell>
          <cell r="H1318">
            <v>45383</v>
          </cell>
          <cell r="I1318" t="str">
            <v>6055 - Employer Social Security Tax Withheld</v>
          </cell>
          <cell r="J1318">
            <v>0</v>
          </cell>
          <cell r="K1318" t="str">
            <v>Design</v>
          </cell>
          <cell r="L1318" t="str">
            <v>HQ Salaries</v>
          </cell>
          <cell r="N1318" t="str">
            <v>SG&amp;A</v>
          </cell>
          <cell r="O1318" t="str">
            <v>[No Vendor]</v>
          </cell>
        </row>
        <row r="1319">
          <cell r="D1319">
            <v>-2347.5300000000002</v>
          </cell>
          <cell r="H1319">
            <v>45383</v>
          </cell>
          <cell r="I1319" t="str">
            <v>6055 - Employer Social Security Tax Withheld</v>
          </cell>
          <cell r="J1319">
            <v>0</v>
          </cell>
          <cell r="K1319" t="str">
            <v>Administration</v>
          </cell>
          <cell r="L1319" t="str">
            <v>HQ Salaries</v>
          </cell>
          <cell r="N1319" t="str">
            <v>SG&amp;A</v>
          </cell>
          <cell r="O1319" t="str">
            <v>[No Vendor]</v>
          </cell>
        </row>
        <row r="1320">
          <cell r="D1320">
            <v>-45.16</v>
          </cell>
          <cell r="H1320">
            <v>45383</v>
          </cell>
          <cell r="I1320" t="str">
            <v>6040 - Employer Paid Benefits</v>
          </cell>
          <cell r="J1320">
            <v>0</v>
          </cell>
          <cell r="K1320" t="str">
            <v>Merchandising</v>
          </cell>
          <cell r="L1320" t="str">
            <v>HQ Salaries</v>
          </cell>
          <cell r="N1320" t="str">
            <v>SG&amp;A</v>
          </cell>
          <cell r="O1320" t="str">
            <v>[No Vendor]</v>
          </cell>
        </row>
        <row r="1321">
          <cell r="D1321">
            <v>45.16</v>
          </cell>
          <cell r="H1321">
            <v>45383</v>
          </cell>
          <cell r="I1321" t="str">
            <v>6040 - Employer Paid Benefits</v>
          </cell>
          <cell r="J1321" t="str">
            <v>Wholesale</v>
          </cell>
          <cell r="K1321" t="str">
            <v>Wholesale</v>
          </cell>
          <cell r="L1321" t="str">
            <v>HQ Salaries</v>
          </cell>
          <cell r="N1321" t="str">
            <v>SG&amp;A</v>
          </cell>
          <cell r="O1321" t="str">
            <v>[No Vendor]</v>
          </cell>
        </row>
        <row r="1322">
          <cell r="D1322">
            <v>416.94</v>
          </cell>
          <cell r="H1322">
            <v>45383</v>
          </cell>
          <cell r="I1322" t="str">
            <v>6040 - Employer Paid Benefits</v>
          </cell>
          <cell r="J1322">
            <v>0</v>
          </cell>
          <cell r="K1322" t="str">
            <v>Production</v>
          </cell>
          <cell r="L1322" t="str">
            <v>HQ Salaries</v>
          </cell>
          <cell r="N1322" t="str">
            <v>SG&amp;A</v>
          </cell>
          <cell r="O1322" t="str">
            <v>[No Vendor]</v>
          </cell>
        </row>
        <row r="1323">
          <cell r="D1323">
            <v>-120.6</v>
          </cell>
          <cell r="H1323">
            <v>45383</v>
          </cell>
          <cell r="I1323" t="str">
            <v>6040 - Employer Paid Benefits</v>
          </cell>
          <cell r="J1323">
            <v>0</v>
          </cell>
          <cell r="K1323" t="str">
            <v>Brand Marketing</v>
          </cell>
          <cell r="L1323" t="str">
            <v>HQ Salaries</v>
          </cell>
          <cell r="N1323" t="str">
            <v>SG&amp;A</v>
          </cell>
          <cell r="O1323" t="str">
            <v>[No Vendor]</v>
          </cell>
        </row>
        <row r="1324">
          <cell r="D1324">
            <v>121.85</v>
          </cell>
          <cell r="H1324">
            <v>45383</v>
          </cell>
          <cell r="I1324" t="str">
            <v>6040 - Employer Paid Benefits</v>
          </cell>
          <cell r="J1324" t="str">
            <v>Ecommerce (US)</v>
          </cell>
          <cell r="K1324" t="str">
            <v>Ecommerce</v>
          </cell>
          <cell r="L1324" t="str">
            <v>HQ Salaries</v>
          </cell>
          <cell r="N1324" t="str">
            <v>SG&amp;A</v>
          </cell>
          <cell r="O1324" t="str">
            <v>[No Vendor]</v>
          </cell>
        </row>
        <row r="1325">
          <cell r="D1325">
            <v>309.68</v>
          </cell>
          <cell r="H1325">
            <v>45383</v>
          </cell>
          <cell r="I1325" t="str">
            <v>6040 - Employer Paid Benefits</v>
          </cell>
          <cell r="J1325">
            <v>0</v>
          </cell>
          <cell r="K1325" t="str">
            <v>Design</v>
          </cell>
          <cell r="L1325" t="str">
            <v>HQ Salaries</v>
          </cell>
          <cell r="N1325" t="str">
            <v>SG&amp;A</v>
          </cell>
          <cell r="O1325" t="str">
            <v>[No Vendor]</v>
          </cell>
        </row>
        <row r="1326">
          <cell r="D1326">
            <v>163.69999999999999</v>
          </cell>
          <cell r="H1326">
            <v>45383</v>
          </cell>
          <cell r="I1326" t="str">
            <v>6040 - Employer Paid Benefits</v>
          </cell>
          <cell r="J1326">
            <v>0</v>
          </cell>
          <cell r="K1326" t="str">
            <v>Administration</v>
          </cell>
          <cell r="L1326" t="str">
            <v>HQ Salaries</v>
          </cell>
          <cell r="N1326" t="str">
            <v>SG&amp;A</v>
          </cell>
          <cell r="O1326" t="str">
            <v>[No Vendor]</v>
          </cell>
        </row>
        <row r="1327">
          <cell r="D1327">
            <v>-5150</v>
          </cell>
          <cell r="H1327">
            <v>45383</v>
          </cell>
          <cell r="I1327" t="str">
            <v>6005 - Salaries</v>
          </cell>
          <cell r="J1327">
            <v>0</v>
          </cell>
          <cell r="K1327" t="str">
            <v>Merchandising</v>
          </cell>
          <cell r="L1327" t="str">
            <v>HQ Salaries</v>
          </cell>
          <cell r="N1327" t="str">
            <v>SG&amp;A</v>
          </cell>
          <cell r="O1327" t="str">
            <v>[No Vendor]</v>
          </cell>
        </row>
        <row r="1328">
          <cell r="D1328">
            <v>-9911.5499999999993</v>
          </cell>
          <cell r="H1328">
            <v>45383</v>
          </cell>
          <cell r="I1328" t="str">
            <v>6005 - Salaries</v>
          </cell>
          <cell r="J1328" t="str">
            <v>Wholesale</v>
          </cell>
          <cell r="K1328" t="str">
            <v>Wholesale</v>
          </cell>
          <cell r="L1328" t="str">
            <v>HQ Salaries</v>
          </cell>
          <cell r="N1328" t="str">
            <v>SG&amp;A</v>
          </cell>
          <cell r="O1328" t="str">
            <v>[No Vendor]</v>
          </cell>
        </row>
        <row r="1329">
          <cell r="D1329">
            <v>-19988.490000000002</v>
          </cell>
          <cell r="H1329">
            <v>45383</v>
          </cell>
          <cell r="I1329" t="str">
            <v>6005 - Salaries</v>
          </cell>
          <cell r="J1329">
            <v>0</v>
          </cell>
          <cell r="K1329" t="str">
            <v>Production</v>
          </cell>
          <cell r="L1329" t="str">
            <v>HQ Salaries</v>
          </cell>
          <cell r="N1329" t="str">
            <v>SG&amp;A</v>
          </cell>
          <cell r="O1329" t="str">
            <v>[No Vendor]</v>
          </cell>
        </row>
        <row r="1330">
          <cell r="D1330">
            <v>-5884.63</v>
          </cell>
          <cell r="H1330">
            <v>45383</v>
          </cell>
          <cell r="I1330" t="str">
            <v>6005 - Salaries</v>
          </cell>
          <cell r="J1330">
            <v>0</v>
          </cell>
          <cell r="K1330" t="str">
            <v>Brand Marketing</v>
          </cell>
          <cell r="L1330" t="str">
            <v>HQ Salaries</v>
          </cell>
          <cell r="N1330" t="str">
            <v>SG&amp;A</v>
          </cell>
          <cell r="O1330" t="str">
            <v>[No Vendor]</v>
          </cell>
        </row>
        <row r="1331">
          <cell r="D1331">
            <v>-20780.8</v>
          </cell>
          <cell r="H1331">
            <v>45383</v>
          </cell>
          <cell r="I1331" t="str">
            <v>6005 - Salaries</v>
          </cell>
          <cell r="J1331" t="str">
            <v>Ecommerce (US)</v>
          </cell>
          <cell r="K1331" t="str">
            <v>Ecommerce</v>
          </cell>
          <cell r="L1331" t="str">
            <v>HQ Salaries</v>
          </cell>
          <cell r="N1331" t="str">
            <v>SG&amp;A</v>
          </cell>
          <cell r="O1331" t="str">
            <v>[No Vendor]</v>
          </cell>
        </row>
        <row r="1332">
          <cell r="D1332">
            <v>-20857.7</v>
          </cell>
          <cell r="H1332">
            <v>45383</v>
          </cell>
          <cell r="I1332" t="str">
            <v>6005 - Salaries</v>
          </cell>
          <cell r="J1332">
            <v>0</v>
          </cell>
          <cell r="K1332" t="str">
            <v>Design</v>
          </cell>
          <cell r="L1332" t="str">
            <v>HQ Salaries</v>
          </cell>
          <cell r="N1332" t="str">
            <v>SG&amp;A</v>
          </cell>
          <cell r="O1332" t="str">
            <v>[No Vendor]</v>
          </cell>
        </row>
        <row r="1333">
          <cell r="D1333">
            <v>2500</v>
          </cell>
          <cell r="H1333">
            <v>45383</v>
          </cell>
          <cell r="I1333" t="str">
            <v>6225 - Professional Services</v>
          </cell>
          <cell r="J1333" t="str">
            <v>Wholesale</v>
          </cell>
          <cell r="K1333" t="str">
            <v>Wholesale</v>
          </cell>
          <cell r="L1333" t="str">
            <v>Professional Service</v>
          </cell>
          <cell r="N1333" t="str">
            <v>Direct Costs</v>
          </cell>
          <cell r="O1333" t="str">
            <v>Justyna Watorek LLC</v>
          </cell>
        </row>
        <row r="1334">
          <cell r="D1334">
            <v>600</v>
          </cell>
          <cell r="H1334">
            <v>45383</v>
          </cell>
          <cell r="I1334" t="str">
            <v>6360 - Model - Fitting</v>
          </cell>
          <cell r="J1334">
            <v>0</v>
          </cell>
          <cell r="K1334" t="str">
            <v>Production</v>
          </cell>
          <cell r="L1334" t="str">
            <v>Sample</v>
          </cell>
          <cell r="N1334" t="str">
            <v>SG&amp;A</v>
          </cell>
          <cell r="O1334" t="str">
            <v>Lanny K.W. Inc.</v>
          </cell>
        </row>
        <row r="1335">
          <cell r="D1335">
            <v>40</v>
          </cell>
          <cell r="H1335">
            <v>45383</v>
          </cell>
          <cell r="I1335" t="str">
            <v>6450 - Bank &amp; Other Fees</v>
          </cell>
          <cell r="J1335" t="str">
            <v>Wholesale</v>
          </cell>
          <cell r="K1335" t="str">
            <v>Wholesale</v>
          </cell>
          <cell r="L1335" t="str">
            <v>Professional Service</v>
          </cell>
          <cell r="N1335" t="str">
            <v>Direct Costs</v>
          </cell>
          <cell r="O1335" t="str">
            <v>Justyna Watorek LLC</v>
          </cell>
        </row>
        <row r="1336">
          <cell r="D1336">
            <v>7392.85</v>
          </cell>
          <cell r="H1336">
            <v>45383</v>
          </cell>
          <cell r="I1336" t="str">
            <v>6450 - Bank &amp; Other Fees</v>
          </cell>
          <cell r="J1336" t="str">
            <v>Wholesale</v>
          </cell>
          <cell r="K1336" t="str">
            <v>Wholesale</v>
          </cell>
          <cell r="L1336" t="str">
            <v>Professional Service</v>
          </cell>
          <cell r="N1336" t="str">
            <v>Direct Costs</v>
          </cell>
          <cell r="O1336" t="str">
            <v>Paymentech</v>
          </cell>
        </row>
        <row r="1337">
          <cell r="D1337">
            <v>292.37</v>
          </cell>
          <cell r="H1337">
            <v>45383</v>
          </cell>
          <cell r="I1337" t="str">
            <v>6040 - Employer Paid Benefits</v>
          </cell>
          <cell r="J1337">
            <v>0</v>
          </cell>
          <cell r="K1337" t="str">
            <v>Executive</v>
          </cell>
          <cell r="L1337" t="str">
            <v>HQ Salaries</v>
          </cell>
          <cell r="N1337" t="str">
            <v>SG&amp;A</v>
          </cell>
          <cell r="O1337" t="str">
            <v>Procyon Benefits LLC</v>
          </cell>
        </row>
        <row r="1338">
          <cell r="D1338">
            <v>1995</v>
          </cell>
          <cell r="H1338">
            <v>45383</v>
          </cell>
          <cell r="I1338" t="str">
            <v>6380 - Legal &amp; Accounting</v>
          </cell>
          <cell r="J1338">
            <v>0</v>
          </cell>
          <cell r="K1338" t="str">
            <v>Administration</v>
          </cell>
          <cell r="L1338" t="str">
            <v>Professional Service</v>
          </cell>
          <cell r="N1338" t="str">
            <v>SG&amp;A</v>
          </cell>
          <cell r="O1338" t="str">
            <v>Alan Lungen, Attorney at Law</v>
          </cell>
        </row>
        <row r="1339">
          <cell r="D1339">
            <v>138</v>
          </cell>
          <cell r="H1339">
            <v>45383</v>
          </cell>
          <cell r="I1339" t="str">
            <v>6430 - Dues &amp; Memberships</v>
          </cell>
          <cell r="J1339" t="str">
            <v>Wholesale</v>
          </cell>
          <cell r="K1339" t="str">
            <v>Wholesale</v>
          </cell>
          <cell r="L1339" t="str">
            <v>Professional Service</v>
          </cell>
          <cell r="N1339" t="str">
            <v>Direct Costs</v>
          </cell>
          <cell r="O1339" t="str">
            <v>SPS Commerce</v>
          </cell>
        </row>
        <row r="1340">
          <cell r="D1340">
            <v>1495</v>
          </cell>
          <cell r="H1340">
            <v>45383</v>
          </cell>
          <cell r="I1340" t="str">
            <v>6300 - Payroll Service Fees</v>
          </cell>
          <cell r="J1340">
            <v>0</v>
          </cell>
          <cell r="K1340" t="str">
            <v>Administration</v>
          </cell>
          <cell r="L1340" t="str">
            <v>Professional Service</v>
          </cell>
          <cell r="N1340" t="str">
            <v>SG&amp;A</v>
          </cell>
          <cell r="O1340" t="str">
            <v>OperationsInc, LLC</v>
          </cell>
        </row>
        <row r="1341">
          <cell r="D1341">
            <v>445.73</v>
          </cell>
          <cell r="H1341">
            <v>45383</v>
          </cell>
          <cell r="I1341" t="str">
            <v>6040 - Employer Paid Benefits</v>
          </cell>
          <cell r="J1341">
            <v>0</v>
          </cell>
          <cell r="K1341" t="str">
            <v>Production</v>
          </cell>
          <cell r="L1341" t="str">
            <v>HQ Salaries</v>
          </cell>
          <cell r="N1341" t="str">
            <v>SG&amp;A</v>
          </cell>
          <cell r="O1341" t="str">
            <v>Procyon Benefits LLC</v>
          </cell>
        </row>
        <row r="1342">
          <cell r="D1342">
            <v>49.3</v>
          </cell>
          <cell r="H1342">
            <v>45383</v>
          </cell>
          <cell r="I1342" t="str">
            <v>6040 - Employer Paid Benefits</v>
          </cell>
          <cell r="J1342">
            <v>0</v>
          </cell>
          <cell r="K1342" t="str">
            <v>Merchandising</v>
          </cell>
          <cell r="L1342" t="str">
            <v>HQ Salaries</v>
          </cell>
          <cell r="N1342" t="str">
            <v>SG&amp;A</v>
          </cell>
          <cell r="O1342" t="str">
            <v>Procyon Benefits LLC</v>
          </cell>
        </row>
        <row r="1343">
          <cell r="D1343">
            <v>27</v>
          </cell>
          <cell r="H1343">
            <v>45383</v>
          </cell>
          <cell r="I1343" t="str">
            <v>6040 - Employer Paid Benefits</v>
          </cell>
          <cell r="J1343" t="str">
            <v>Ecommerce (US)</v>
          </cell>
          <cell r="K1343" t="str">
            <v>Ecommerce</v>
          </cell>
          <cell r="L1343" t="str">
            <v>HQ Salaries</v>
          </cell>
          <cell r="N1343" t="str">
            <v>SG&amp;A</v>
          </cell>
          <cell r="O1343" t="str">
            <v>Procyon Benefits LLC</v>
          </cell>
        </row>
        <row r="1344">
          <cell r="D1344">
            <v>-0.01</v>
          </cell>
          <cell r="H1344">
            <v>45383</v>
          </cell>
          <cell r="I1344" t="str">
            <v>8590 - Rounding Gain/Loss</v>
          </cell>
          <cell r="J1344">
            <v>0</v>
          </cell>
          <cell r="K1344" t="str">
            <v>No Department</v>
          </cell>
          <cell r="L1344" t="str">
            <v>Realized Gain / Loss</v>
          </cell>
          <cell r="N1344" t="str">
            <v>BTL</v>
          </cell>
          <cell r="O1344" t="str">
            <v>[No Vendor]</v>
          </cell>
        </row>
        <row r="1345">
          <cell r="D1345">
            <v>163.96</v>
          </cell>
          <cell r="H1345">
            <v>45383</v>
          </cell>
          <cell r="I1345" t="str">
            <v>6385 - Insurance</v>
          </cell>
          <cell r="J1345">
            <v>0</v>
          </cell>
          <cell r="K1345" t="str">
            <v>Administration</v>
          </cell>
          <cell r="L1345" t="str">
            <v>Professional Service</v>
          </cell>
          <cell r="N1345" t="str">
            <v>SG&amp;A</v>
          </cell>
          <cell r="O1345" t="str">
            <v>[No Vendor]</v>
          </cell>
        </row>
        <row r="1346">
          <cell r="D1346">
            <v>231.83</v>
          </cell>
          <cell r="H1346">
            <v>45383</v>
          </cell>
          <cell r="I1346" t="str">
            <v>8505 - Realized Gain/Loss</v>
          </cell>
          <cell r="J1346">
            <v>0</v>
          </cell>
          <cell r="K1346" t="str">
            <v>No Department</v>
          </cell>
          <cell r="L1346" t="str">
            <v>Realized Gain / Loss</v>
          </cell>
          <cell r="N1346" t="str">
            <v>BTL</v>
          </cell>
          <cell r="O1346" t="str">
            <v>[No Vendor]</v>
          </cell>
        </row>
        <row r="1347">
          <cell r="D1347">
            <v>23484.639999999999</v>
          </cell>
          <cell r="H1347">
            <v>45383</v>
          </cell>
          <cell r="I1347" t="str">
            <v>6005 - Salaries</v>
          </cell>
          <cell r="J1347">
            <v>0</v>
          </cell>
          <cell r="K1347" t="str">
            <v>Administration</v>
          </cell>
          <cell r="L1347" t="str">
            <v>HQ Salaries</v>
          </cell>
          <cell r="N1347" t="str">
            <v>SG&amp;A</v>
          </cell>
          <cell r="O1347" t="str">
            <v>[No Vendor]</v>
          </cell>
        </row>
        <row r="1348">
          <cell r="D1348">
            <v>0</v>
          </cell>
          <cell r="H1348">
            <v>45383</v>
          </cell>
          <cell r="I1348" t="str">
            <v>6205 - Contractors</v>
          </cell>
          <cell r="J1348">
            <v>0</v>
          </cell>
          <cell r="K1348" t="str">
            <v>Brand Marketing</v>
          </cell>
          <cell r="L1348" t="str">
            <v>HQ Salaries</v>
          </cell>
          <cell r="N1348" t="str">
            <v>SG&amp;A</v>
          </cell>
          <cell r="O1348" t="str">
            <v>[No Vendor]</v>
          </cell>
        </row>
        <row r="1349">
          <cell r="D1349">
            <v>13997.3</v>
          </cell>
          <cell r="H1349">
            <v>45383</v>
          </cell>
          <cell r="I1349" t="str">
            <v>6205 - Contractors</v>
          </cell>
          <cell r="J1349" t="str">
            <v>Ecommerce (US)</v>
          </cell>
          <cell r="K1349" t="str">
            <v>Ecommerce</v>
          </cell>
          <cell r="L1349" t="str">
            <v>HQ Salaries</v>
          </cell>
          <cell r="N1349" t="str">
            <v>SG&amp;A</v>
          </cell>
          <cell r="O1349" t="str">
            <v>[No Vendor]</v>
          </cell>
        </row>
        <row r="1350">
          <cell r="D1350">
            <v>154.88</v>
          </cell>
          <cell r="H1350">
            <v>45383</v>
          </cell>
          <cell r="I1350" t="str">
            <v>6520 - Taxes and Licenses</v>
          </cell>
          <cell r="J1350">
            <v>0</v>
          </cell>
          <cell r="K1350" t="str">
            <v>Administration</v>
          </cell>
          <cell r="L1350" t="str">
            <v>Other</v>
          </cell>
          <cell r="N1350" t="str">
            <v>SG&amp;A</v>
          </cell>
          <cell r="O1350" t="str">
            <v>[No Vendor]</v>
          </cell>
        </row>
        <row r="1351">
          <cell r="D1351">
            <v>-20.41</v>
          </cell>
          <cell r="H1351">
            <v>45383</v>
          </cell>
          <cell r="I1351" t="str">
            <v>6385 - Insurance</v>
          </cell>
          <cell r="J1351">
            <v>0</v>
          </cell>
          <cell r="K1351" t="str">
            <v>Administration</v>
          </cell>
          <cell r="L1351" t="str">
            <v>Professional Service</v>
          </cell>
          <cell r="N1351" t="str">
            <v>SG&amp;A</v>
          </cell>
          <cell r="O1351" t="str">
            <v>[No Vendor]</v>
          </cell>
        </row>
        <row r="1352">
          <cell r="D1352">
            <v>-39.369999999999997</v>
          </cell>
          <cell r="H1352">
            <v>45383</v>
          </cell>
          <cell r="I1352" t="str">
            <v>6385 - Insurance</v>
          </cell>
          <cell r="J1352">
            <v>0</v>
          </cell>
          <cell r="K1352" t="str">
            <v>Administration</v>
          </cell>
          <cell r="L1352" t="str">
            <v>Professional Service</v>
          </cell>
          <cell r="N1352" t="str">
            <v>SG&amp;A</v>
          </cell>
          <cell r="O1352" t="str">
            <v>[No Vendor]</v>
          </cell>
        </row>
        <row r="1353">
          <cell r="D1353">
            <v>-69.59</v>
          </cell>
          <cell r="H1353">
            <v>45383</v>
          </cell>
          <cell r="I1353" t="str">
            <v>6385 - Insurance</v>
          </cell>
          <cell r="J1353">
            <v>0</v>
          </cell>
          <cell r="K1353" t="str">
            <v>Administration</v>
          </cell>
          <cell r="L1353" t="str">
            <v>Professional Service</v>
          </cell>
          <cell r="N1353" t="str">
            <v>SG&amp;A</v>
          </cell>
          <cell r="O1353" t="str">
            <v>[No Vendor]</v>
          </cell>
        </row>
        <row r="1354">
          <cell r="D1354">
            <v>-24.35</v>
          </cell>
          <cell r="H1354">
            <v>45383</v>
          </cell>
          <cell r="I1354" t="str">
            <v>6385 - Insurance</v>
          </cell>
          <cell r="J1354">
            <v>0</v>
          </cell>
          <cell r="K1354" t="str">
            <v>Administration</v>
          </cell>
          <cell r="L1354" t="str">
            <v>Professional Service</v>
          </cell>
          <cell r="N1354" t="str">
            <v>SG&amp;A</v>
          </cell>
          <cell r="O1354" t="str">
            <v>[No Vendor]</v>
          </cell>
        </row>
        <row r="1355">
          <cell r="D1355">
            <v>-41.67</v>
          </cell>
          <cell r="H1355">
            <v>45383</v>
          </cell>
          <cell r="I1355" t="str">
            <v>6385 - Insurance</v>
          </cell>
          <cell r="J1355">
            <v>0</v>
          </cell>
          <cell r="K1355" t="str">
            <v>Administration</v>
          </cell>
          <cell r="L1355" t="str">
            <v>Professional Service</v>
          </cell>
          <cell r="N1355" t="str">
            <v>SG&amp;A</v>
          </cell>
          <cell r="O1355" t="str">
            <v>[No Vendor]</v>
          </cell>
        </row>
        <row r="1356">
          <cell r="D1356">
            <v>-83.8</v>
          </cell>
          <cell r="H1356">
            <v>45383</v>
          </cell>
          <cell r="I1356" t="str">
            <v>6385 - Insurance</v>
          </cell>
          <cell r="J1356">
            <v>0</v>
          </cell>
          <cell r="K1356" t="str">
            <v>Administration</v>
          </cell>
          <cell r="L1356" t="str">
            <v>Professional Service</v>
          </cell>
          <cell r="N1356" t="str">
            <v>SG&amp;A</v>
          </cell>
          <cell r="O1356" t="str">
            <v>[No Vendor]</v>
          </cell>
        </row>
        <row r="1357">
          <cell r="D1357">
            <v>-25.87</v>
          </cell>
          <cell r="H1357">
            <v>45383</v>
          </cell>
          <cell r="I1357" t="str">
            <v>6385 - Insurance</v>
          </cell>
          <cell r="J1357">
            <v>0</v>
          </cell>
          <cell r="K1357" t="str">
            <v>Administration</v>
          </cell>
          <cell r="L1357" t="str">
            <v>Professional Service</v>
          </cell>
          <cell r="N1357" t="str">
            <v>SG&amp;A</v>
          </cell>
          <cell r="O1357" t="str">
            <v>[No Vendor]</v>
          </cell>
        </row>
        <row r="1358">
          <cell r="D1358">
            <v>550.09</v>
          </cell>
          <cell r="H1358">
            <v>45383</v>
          </cell>
          <cell r="I1358" t="str">
            <v>6300 - Payroll Service Fees</v>
          </cell>
          <cell r="J1358">
            <v>0</v>
          </cell>
          <cell r="K1358" t="str">
            <v>Administration</v>
          </cell>
          <cell r="L1358" t="str">
            <v>Professional Service</v>
          </cell>
          <cell r="N1358" t="str">
            <v>SG&amp;A</v>
          </cell>
          <cell r="O1358" t="str">
            <v>ADP Payroll Services</v>
          </cell>
        </row>
        <row r="1359">
          <cell r="D1359">
            <v>551.92999999999995</v>
          </cell>
          <cell r="H1359">
            <v>45383</v>
          </cell>
          <cell r="I1359" t="str">
            <v>6055 - Employer Social Security Tax Withheld</v>
          </cell>
          <cell r="J1359">
            <v>0</v>
          </cell>
          <cell r="K1359" t="str">
            <v>Merchandising</v>
          </cell>
          <cell r="L1359" t="str">
            <v>HQ Salaries</v>
          </cell>
          <cell r="N1359" t="str">
            <v>SG&amp;A</v>
          </cell>
          <cell r="O1359" t="str">
            <v>[No Vendor]</v>
          </cell>
        </row>
        <row r="1360">
          <cell r="D1360">
            <v>1052.1300000000001</v>
          </cell>
          <cell r="H1360">
            <v>45383</v>
          </cell>
          <cell r="I1360" t="str">
            <v>6055 - Employer Social Security Tax Withheld</v>
          </cell>
          <cell r="J1360" t="str">
            <v>Wholesale</v>
          </cell>
          <cell r="K1360" t="str">
            <v>Wholesale</v>
          </cell>
          <cell r="L1360" t="str">
            <v>HQ Salaries</v>
          </cell>
          <cell r="N1360" t="str">
            <v>SG&amp;A</v>
          </cell>
          <cell r="O1360" t="str">
            <v>[No Vendor]</v>
          </cell>
        </row>
        <row r="1361">
          <cell r="D1361">
            <v>2096.89</v>
          </cell>
          <cell r="H1361">
            <v>45383</v>
          </cell>
          <cell r="I1361" t="str">
            <v>6055 - Employer Social Security Tax Withheld</v>
          </cell>
          <cell r="J1361">
            <v>0</v>
          </cell>
          <cell r="K1361" t="str">
            <v>Production</v>
          </cell>
          <cell r="L1361" t="str">
            <v>HQ Salaries</v>
          </cell>
          <cell r="N1361" t="str">
            <v>SG&amp;A</v>
          </cell>
          <cell r="O1361" t="str">
            <v>[No Vendor]</v>
          </cell>
        </row>
        <row r="1362">
          <cell r="D1362">
            <v>635.94000000000005</v>
          </cell>
          <cell r="H1362">
            <v>45383</v>
          </cell>
          <cell r="I1362" t="str">
            <v>6055 - Employer Social Security Tax Withheld</v>
          </cell>
          <cell r="J1362">
            <v>0</v>
          </cell>
          <cell r="K1362" t="str">
            <v>Brand Marketing</v>
          </cell>
          <cell r="L1362" t="str">
            <v>HQ Salaries</v>
          </cell>
          <cell r="N1362" t="str">
            <v>SG&amp;A</v>
          </cell>
          <cell r="O1362" t="str">
            <v>[No Vendor]</v>
          </cell>
        </row>
        <row r="1363">
          <cell r="D1363">
            <v>1748.05</v>
          </cell>
          <cell r="H1363">
            <v>45383</v>
          </cell>
          <cell r="I1363" t="str">
            <v>6055 - Employer Social Security Tax Withheld</v>
          </cell>
          <cell r="J1363" t="str">
            <v>Ecommerce (US)</v>
          </cell>
          <cell r="K1363" t="str">
            <v>Ecommerce</v>
          </cell>
          <cell r="L1363" t="str">
            <v>HQ Salaries</v>
          </cell>
          <cell r="N1363" t="str">
            <v>SG&amp;A</v>
          </cell>
          <cell r="O1363" t="str">
            <v>[No Vendor]</v>
          </cell>
        </row>
        <row r="1364">
          <cell r="D1364">
            <v>2086.5500000000002</v>
          </cell>
          <cell r="H1364">
            <v>45383</v>
          </cell>
          <cell r="I1364" t="str">
            <v>6055 - Employer Social Security Tax Withheld</v>
          </cell>
          <cell r="J1364">
            <v>0</v>
          </cell>
          <cell r="K1364" t="str">
            <v>Design</v>
          </cell>
          <cell r="L1364" t="str">
            <v>HQ Salaries</v>
          </cell>
          <cell r="N1364" t="str">
            <v>SG&amp;A</v>
          </cell>
          <cell r="O1364" t="str">
            <v>[No Vendor]</v>
          </cell>
        </row>
        <row r="1365">
          <cell r="D1365">
            <v>2347.5300000000002</v>
          </cell>
          <cell r="H1365">
            <v>45383</v>
          </cell>
          <cell r="I1365" t="str">
            <v>6055 - Employer Social Security Tax Withheld</v>
          </cell>
          <cell r="J1365">
            <v>0</v>
          </cell>
          <cell r="K1365" t="str">
            <v>Administration</v>
          </cell>
          <cell r="L1365" t="str">
            <v>HQ Salaries</v>
          </cell>
          <cell r="N1365" t="str">
            <v>SG&amp;A</v>
          </cell>
          <cell r="O1365" t="str">
            <v>[No Vendor]</v>
          </cell>
        </row>
        <row r="1366">
          <cell r="D1366">
            <v>45.16</v>
          </cell>
          <cell r="H1366">
            <v>45383</v>
          </cell>
          <cell r="I1366" t="str">
            <v>6040 - Employer Paid Benefits</v>
          </cell>
          <cell r="J1366">
            <v>0</v>
          </cell>
          <cell r="K1366" t="str">
            <v>Merchandising</v>
          </cell>
          <cell r="L1366" t="str">
            <v>HQ Salaries</v>
          </cell>
          <cell r="N1366" t="str">
            <v>SG&amp;A</v>
          </cell>
          <cell r="O1366" t="str">
            <v>[No Vendor]</v>
          </cell>
        </row>
        <row r="1367">
          <cell r="D1367">
            <v>-45.16</v>
          </cell>
          <cell r="H1367">
            <v>45383</v>
          </cell>
          <cell r="I1367" t="str">
            <v>6040 - Employer Paid Benefits</v>
          </cell>
          <cell r="J1367" t="str">
            <v>Wholesale</v>
          </cell>
          <cell r="K1367" t="str">
            <v>Wholesale</v>
          </cell>
          <cell r="L1367" t="str">
            <v>HQ Salaries</v>
          </cell>
          <cell r="N1367" t="str">
            <v>SG&amp;A</v>
          </cell>
          <cell r="O1367" t="str">
            <v>[No Vendor]</v>
          </cell>
        </row>
        <row r="1368">
          <cell r="D1368">
            <v>-416.94</v>
          </cell>
          <cell r="H1368">
            <v>45383</v>
          </cell>
          <cell r="I1368" t="str">
            <v>6040 - Employer Paid Benefits</v>
          </cell>
          <cell r="J1368">
            <v>0</v>
          </cell>
          <cell r="K1368" t="str">
            <v>Production</v>
          </cell>
          <cell r="L1368" t="str">
            <v>HQ Salaries</v>
          </cell>
          <cell r="N1368" t="str">
            <v>SG&amp;A</v>
          </cell>
          <cell r="O1368" t="str">
            <v>[No Vendor]</v>
          </cell>
        </row>
        <row r="1369">
          <cell r="D1369">
            <v>120.6</v>
          </cell>
          <cell r="H1369">
            <v>45383</v>
          </cell>
          <cell r="I1369" t="str">
            <v>6040 - Employer Paid Benefits</v>
          </cell>
          <cell r="J1369">
            <v>0</v>
          </cell>
          <cell r="K1369" t="str">
            <v>Brand Marketing</v>
          </cell>
          <cell r="L1369" t="str">
            <v>HQ Salaries</v>
          </cell>
          <cell r="N1369" t="str">
            <v>SG&amp;A</v>
          </cell>
          <cell r="O1369" t="str">
            <v>[No Vendor]</v>
          </cell>
        </row>
        <row r="1370">
          <cell r="D1370">
            <v>-121.85</v>
          </cell>
          <cell r="H1370">
            <v>45383</v>
          </cell>
          <cell r="I1370" t="str">
            <v>6040 - Employer Paid Benefits</v>
          </cell>
          <cell r="J1370" t="str">
            <v>Ecommerce (US)</v>
          </cell>
          <cell r="K1370" t="str">
            <v>Ecommerce</v>
          </cell>
          <cell r="L1370" t="str">
            <v>HQ Salaries</v>
          </cell>
          <cell r="N1370" t="str">
            <v>SG&amp;A</v>
          </cell>
          <cell r="O1370" t="str">
            <v>[No Vendor]</v>
          </cell>
        </row>
        <row r="1371">
          <cell r="D1371">
            <v>-309.68</v>
          </cell>
          <cell r="H1371">
            <v>45383</v>
          </cell>
          <cell r="I1371" t="str">
            <v>6040 - Employer Paid Benefits</v>
          </cell>
          <cell r="J1371">
            <v>0</v>
          </cell>
          <cell r="K1371" t="str">
            <v>Design</v>
          </cell>
          <cell r="L1371" t="str">
            <v>HQ Salaries</v>
          </cell>
          <cell r="N1371" t="str">
            <v>SG&amp;A</v>
          </cell>
          <cell r="O1371" t="str">
            <v>[No Vendor]</v>
          </cell>
        </row>
        <row r="1372">
          <cell r="D1372">
            <v>-163.69999999999999</v>
          </cell>
          <cell r="H1372">
            <v>45383</v>
          </cell>
          <cell r="I1372" t="str">
            <v>6040 - Employer Paid Benefits</v>
          </cell>
          <cell r="J1372">
            <v>0</v>
          </cell>
          <cell r="K1372" t="str">
            <v>Administration</v>
          </cell>
          <cell r="L1372" t="str">
            <v>HQ Salaries</v>
          </cell>
          <cell r="N1372" t="str">
            <v>SG&amp;A</v>
          </cell>
          <cell r="O1372" t="str">
            <v>[No Vendor]</v>
          </cell>
        </row>
        <row r="1373">
          <cell r="D1373">
            <v>5150</v>
          </cell>
          <cell r="H1373">
            <v>45383</v>
          </cell>
          <cell r="I1373" t="str">
            <v>6005 - Salaries</v>
          </cell>
          <cell r="J1373">
            <v>0</v>
          </cell>
          <cell r="K1373" t="str">
            <v>Merchandising</v>
          </cell>
          <cell r="L1373" t="str">
            <v>HQ Salaries</v>
          </cell>
          <cell r="N1373" t="str">
            <v>SG&amp;A</v>
          </cell>
          <cell r="O1373" t="str">
            <v>[No Vendor]</v>
          </cell>
        </row>
        <row r="1374">
          <cell r="D1374">
            <v>9911.5499999999993</v>
          </cell>
          <cell r="H1374">
            <v>45383</v>
          </cell>
          <cell r="I1374" t="str">
            <v>6005 - Salaries</v>
          </cell>
          <cell r="J1374" t="str">
            <v>Wholesale</v>
          </cell>
          <cell r="K1374" t="str">
            <v>Wholesale</v>
          </cell>
          <cell r="L1374" t="str">
            <v>HQ Salaries</v>
          </cell>
          <cell r="N1374" t="str">
            <v>SG&amp;A</v>
          </cell>
          <cell r="O1374" t="str">
            <v>[No Vendor]</v>
          </cell>
        </row>
        <row r="1375">
          <cell r="D1375">
            <v>19988.490000000002</v>
          </cell>
          <cell r="H1375">
            <v>45383</v>
          </cell>
          <cell r="I1375" t="str">
            <v>6005 - Salaries</v>
          </cell>
          <cell r="J1375">
            <v>0</v>
          </cell>
          <cell r="K1375" t="str">
            <v>Production</v>
          </cell>
          <cell r="L1375" t="str">
            <v>HQ Salaries</v>
          </cell>
          <cell r="N1375" t="str">
            <v>SG&amp;A</v>
          </cell>
          <cell r="O1375" t="str">
            <v>[No Vendor]</v>
          </cell>
        </row>
        <row r="1376">
          <cell r="D1376">
            <v>5884.63</v>
          </cell>
          <cell r="H1376">
            <v>45383</v>
          </cell>
          <cell r="I1376" t="str">
            <v>6005 - Salaries</v>
          </cell>
          <cell r="J1376">
            <v>0</v>
          </cell>
          <cell r="K1376" t="str">
            <v>Brand Marketing</v>
          </cell>
          <cell r="L1376" t="str">
            <v>HQ Salaries</v>
          </cell>
          <cell r="N1376" t="str">
            <v>SG&amp;A</v>
          </cell>
          <cell r="O1376" t="str">
            <v>[No Vendor]</v>
          </cell>
        </row>
        <row r="1377">
          <cell r="D1377">
            <v>20780.8</v>
          </cell>
          <cell r="H1377">
            <v>45383</v>
          </cell>
          <cell r="I1377" t="str">
            <v>6005 - Salaries</v>
          </cell>
          <cell r="J1377" t="str">
            <v>Ecommerce (US)</v>
          </cell>
          <cell r="K1377" t="str">
            <v>Ecommerce</v>
          </cell>
          <cell r="L1377" t="str">
            <v>HQ Salaries</v>
          </cell>
          <cell r="N1377" t="str">
            <v>SG&amp;A</v>
          </cell>
          <cell r="O1377" t="str">
            <v>[No Vendor]</v>
          </cell>
        </row>
        <row r="1378">
          <cell r="D1378">
            <v>20857.7</v>
          </cell>
          <cell r="H1378">
            <v>45383</v>
          </cell>
          <cell r="I1378" t="str">
            <v>6005 - Salaries</v>
          </cell>
          <cell r="J1378">
            <v>0</v>
          </cell>
          <cell r="K1378" t="str">
            <v>Design</v>
          </cell>
          <cell r="L1378" t="str">
            <v>HQ Salaries</v>
          </cell>
          <cell r="N1378" t="str">
            <v>SG&amp;A</v>
          </cell>
          <cell r="O1378" t="str">
            <v>[No Vendor]</v>
          </cell>
        </row>
        <row r="1379">
          <cell r="D1379">
            <v>22755.5</v>
          </cell>
          <cell r="H1379">
            <v>45383</v>
          </cell>
          <cell r="I1379" t="str">
            <v>6375 - Freight Expenses</v>
          </cell>
          <cell r="J1379" t="str">
            <v>Ecommerce (US)</v>
          </cell>
          <cell r="K1379" t="str">
            <v>Ecommerce</v>
          </cell>
          <cell r="L1379" t="str">
            <v>Freight</v>
          </cell>
          <cell r="N1379" t="str">
            <v>Direct Costs</v>
          </cell>
          <cell r="O1379" t="str">
            <v>UPS Supply Chain Solutions Inc. (7F24A0)</v>
          </cell>
        </row>
        <row r="1380">
          <cell r="D1380">
            <v>60</v>
          </cell>
          <cell r="H1380">
            <v>45383</v>
          </cell>
          <cell r="I1380" t="str">
            <v>6040 - Employer Paid Benefits</v>
          </cell>
          <cell r="J1380">
            <v>0</v>
          </cell>
          <cell r="K1380" t="str">
            <v>Administration</v>
          </cell>
          <cell r="L1380" t="str">
            <v>HQ Salaries</v>
          </cell>
          <cell r="N1380" t="str">
            <v>SG&amp;A</v>
          </cell>
          <cell r="O1380" t="str">
            <v>Procyon Benefits LLC</v>
          </cell>
        </row>
        <row r="1381">
          <cell r="D1381">
            <v>1830</v>
          </cell>
          <cell r="H1381">
            <v>45383</v>
          </cell>
          <cell r="I1381" t="str">
            <v>6380 - Legal &amp; Accounting</v>
          </cell>
          <cell r="J1381">
            <v>0</v>
          </cell>
          <cell r="K1381" t="str">
            <v>Administration</v>
          </cell>
          <cell r="L1381" t="str">
            <v>Professional Service</v>
          </cell>
          <cell r="N1381" t="str">
            <v>SG&amp;A</v>
          </cell>
          <cell r="O1381" t="str">
            <v>Law Office of Soo Park, PLC</v>
          </cell>
        </row>
        <row r="1382">
          <cell r="D1382">
            <v>14</v>
          </cell>
          <cell r="H1382">
            <v>45383</v>
          </cell>
          <cell r="I1382" t="str">
            <v>6040 - Employer Paid Benefits</v>
          </cell>
          <cell r="J1382" t="str">
            <v>Ecommerce (US)</v>
          </cell>
          <cell r="K1382" t="str">
            <v>Ecommerce</v>
          </cell>
          <cell r="L1382" t="str">
            <v>HQ Salaries</v>
          </cell>
          <cell r="N1382" t="str">
            <v>SG&amp;A</v>
          </cell>
          <cell r="O1382" t="str">
            <v>Procyon Benefits LLC</v>
          </cell>
        </row>
        <row r="1383">
          <cell r="D1383">
            <v>323.75</v>
          </cell>
          <cell r="H1383">
            <v>45383</v>
          </cell>
          <cell r="I1383" t="str">
            <v>6040 - Employer Paid Benefits</v>
          </cell>
          <cell r="J1383" t="str">
            <v>Wholesale</v>
          </cell>
          <cell r="K1383" t="str">
            <v>Wholesale</v>
          </cell>
          <cell r="L1383" t="str">
            <v>HQ Salaries</v>
          </cell>
          <cell r="N1383" t="str">
            <v>SG&amp;A</v>
          </cell>
          <cell r="O1383" t="str">
            <v>Procyon Benefits LLC</v>
          </cell>
        </row>
        <row r="1384">
          <cell r="D1384">
            <v>1205.4000000000001</v>
          </cell>
          <cell r="H1384">
            <v>45383</v>
          </cell>
          <cell r="I1384" t="str">
            <v>6040 - Employer Paid Benefits</v>
          </cell>
          <cell r="J1384">
            <v>0</v>
          </cell>
          <cell r="K1384" t="str">
            <v>Production</v>
          </cell>
          <cell r="L1384" t="str">
            <v>HQ Salaries</v>
          </cell>
          <cell r="N1384" t="str">
            <v>SG&amp;A</v>
          </cell>
          <cell r="O1384" t="str">
            <v>Procyon Benefits LLC</v>
          </cell>
        </row>
        <row r="1385">
          <cell r="D1385">
            <v>25.92</v>
          </cell>
          <cell r="H1385">
            <v>45383</v>
          </cell>
          <cell r="I1385" t="str">
            <v>6040 - Employer Paid Benefits</v>
          </cell>
          <cell r="J1385">
            <v>0</v>
          </cell>
          <cell r="K1385" t="str">
            <v>Merchandising</v>
          </cell>
          <cell r="L1385" t="str">
            <v>HQ Salaries</v>
          </cell>
          <cell r="N1385" t="str">
            <v>SG&amp;A</v>
          </cell>
          <cell r="O1385" t="str">
            <v>Procyon Benefits LLC</v>
          </cell>
        </row>
        <row r="1386">
          <cell r="D1386">
            <v>17.399999999999999</v>
          </cell>
          <cell r="H1386">
            <v>45383</v>
          </cell>
          <cell r="I1386" t="str">
            <v>6040 - Employer Paid Benefits</v>
          </cell>
          <cell r="J1386">
            <v>0</v>
          </cell>
          <cell r="K1386" t="str">
            <v>Executive</v>
          </cell>
          <cell r="L1386" t="str">
            <v>HQ Salaries</v>
          </cell>
          <cell r="N1386" t="str">
            <v>SG&amp;A</v>
          </cell>
          <cell r="O1386" t="str">
            <v>Procyon Benefits LLC</v>
          </cell>
        </row>
        <row r="1387">
          <cell r="D1387">
            <v>43.85</v>
          </cell>
          <cell r="H1387">
            <v>45383</v>
          </cell>
          <cell r="I1387" t="str">
            <v>6040 - Employer Paid Benefits</v>
          </cell>
          <cell r="J1387">
            <v>0</v>
          </cell>
          <cell r="K1387" t="str">
            <v>Design</v>
          </cell>
          <cell r="L1387" t="str">
            <v>HQ Salaries</v>
          </cell>
          <cell r="N1387" t="str">
            <v>SG&amp;A</v>
          </cell>
          <cell r="O1387" t="str">
            <v>Procyon Benefits LLC</v>
          </cell>
        </row>
        <row r="1388">
          <cell r="D1388">
            <v>2675.72</v>
          </cell>
          <cell r="H1388">
            <v>45383</v>
          </cell>
          <cell r="I1388" t="str">
            <v>6375 - Freight Expenses</v>
          </cell>
          <cell r="J1388" t="str">
            <v>Ecommerce (EU)</v>
          </cell>
          <cell r="K1388" t="str">
            <v>Ecommerce</v>
          </cell>
          <cell r="L1388" t="str">
            <v>Freight</v>
          </cell>
          <cell r="N1388" t="str">
            <v>Direct Costs</v>
          </cell>
          <cell r="O1388" t="str">
            <v>Global E</v>
          </cell>
        </row>
        <row r="1389">
          <cell r="D1389">
            <v>3867.8</v>
          </cell>
          <cell r="H1389">
            <v>45383</v>
          </cell>
          <cell r="I1389" t="str">
            <v>6450 - Bank &amp; Other Fees</v>
          </cell>
          <cell r="J1389" t="str">
            <v>Ecommerce (EU)</v>
          </cell>
          <cell r="K1389" t="str">
            <v>Ecommerce</v>
          </cell>
          <cell r="L1389" t="str">
            <v>Professional Service</v>
          </cell>
          <cell r="N1389" t="str">
            <v>Direct Costs</v>
          </cell>
          <cell r="O1389" t="str">
            <v>[No Vendor]</v>
          </cell>
        </row>
        <row r="1390">
          <cell r="D1390">
            <v>125.07</v>
          </cell>
          <cell r="H1390">
            <v>45383</v>
          </cell>
          <cell r="I1390" t="str">
            <v>6450 - Bank &amp; Other Fees</v>
          </cell>
          <cell r="J1390" t="str">
            <v>Ecommerce (US)</v>
          </cell>
          <cell r="K1390" t="str">
            <v>Ecommerce</v>
          </cell>
          <cell r="L1390" t="str">
            <v>Professional Service</v>
          </cell>
          <cell r="N1390" t="str">
            <v>Direct Costs</v>
          </cell>
          <cell r="O1390" t="str">
            <v>[No Vendor]</v>
          </cell>
        </row>
        <row r="1391">
          <cell r="D1391">
            <v>52.62</v>
          </cell>
          <cell r="H1391">
            <v>45383</v>
          </cell>
          <cell r="I1391" t="str">
            <v>6375 - Freight Expenses</v>
          </cell>
          <cell r="J1391">
            <v>0</v>
          </cell>
          <cell r="K1391" t="str">
            <v>Production</v>
          </cell>
          <cell r="L1391" t="str">
            <v>Freight</v>
          </cell>
          <cell r="N1391" t="str">
            <v>Direct Costs</v>
          </cell>
          <cell r="O1391" t="str">
            <v>DHL Express - USA</v>
          </cell>
        </row>
        <row r="1392">
          <cell r="D1392">
            <v>1609.13</v>
          </cell>
          <cell r="H1392">
            <v>45383</v>
          </cell>
          <cell r="I1392" t="str">
            <v>6340 - Miscellaneous Expense</v>
          </cell>
          <cell r="J1392" t="str">
            <v>Wholesale</v>
          </cell>
          <cell r="K1392" t="str">
            <v>Wholesale</v>
          </cell>
          <cell r="L1392" t="str">
            <v>Other</v>
          </cell>
          <cell r="N1392" t="str">
            <v>SG&amp;A</v>
          </cell>
          <cell r="O1392" t="str">
            <v>Justyna Watorek LLC</v>
          </cell>
        </row>
        <row r="1393">
          <cell r="D1393">
            <v>26041.63</v>
          </cell>
          <cell r="H1393">
            <v>45383</v>
          </cell>
          <cell r="I1393" t="str">
            <v>6225 - Professional Services</v>
          </cell>
          <cell r="J1393" t="str">
            <v>Ecommerce (US)</v>
          </cell>
          <cell r="K1393" t="str">
            <v>Ecommerce</v>
          </cell>
          <cell r="L1393" t="str">
            <v>Professional Service</v>
          </cell>
          <cell r="N1393" t="str">
            <v>Direct Costs</v>
          </cell>
          <cell r="O1393" t="str">
            <v>Rareview, LLC</v>
          </cell>
        </row>
        <row r="1394">
          <cell r="D1394">
            <v>1633.95</v>
          </cell>
          <cell r="H1394">
            <v>45383</v>
          </cell>
          <cell r="I1394" t="str">
            <v>6375 - Freight Expenses</v>
          </cell>
          <cell r="J1394">
            <v>0</v>
          </cell>
          <cell r="K1394" t="str">
            <v>Brand Marketing</v>
          </cell>
          <cell r="L1394" t="str">
            <v>Freight</v>
          </cell>
          <cell r="N1394" t="str">
            <v>Direct Costs</v>
          </cell>
          <cell r="O1394" t="str">
            <v>DHL Express - USA</v>
          </cell>
        </row>
        <row r="1395">
          <cell r="D1395">
            <v>1034.31</v>
          </cell>
          <cell r="H1395">
            <v>45383</v>
          </cell>
          <cell r="I1395" t="str">
            <v>6340 - Miscellaneous Expense</v>
          </cell>
          <cell r="J1395">
            <v>0</v>
          </cell>
          <cell r="K1395" t="str">
            <v>Administration</v>
          </cell>
          <cell r="L1395" t="str">
            <v>Other</v>
          </cell>
          <cell r="N1395" t="str">
            <v>SG&amp;A</v>
          </cell>
          <cell r="O1395" t="str">
            <v>Go Gleem LLC</v>
          </cell>
        </row>
        <row r="1396">
          <cell r="D1396">
            <v>1950</v>
          </cell>
          <cell r="H1396">
            <v>45383</v>
          </cell>
          <cell r="I1396" t="str">
            <v>6300 - Payroll Service Fees</v>
          </cell>
          <cell r="J1396">
            <v>0</v>
          </cell>
          <cell r="K1396" t="str">
            <v>Administration</v>
          </cell>
          <cell r="L1396" t="str">
            <v>Professional Service</v>
          </cell>
          <cell r="N1396" t="str">
            <v>SG&amp;A</v>
          </cell>
          <cell r="O1396" t="str">
            <v>OperationsInc, LLC</v>
          </cell>
        </row>
        <row r="1397">
          <cell r="D1397">
            <v>3056.91</v>
          </cell>
          <cell r="H1397">
            <v>45383</v>
          </cell>
          <cell r="I1397" t="str">
            <v>6375 - Freight Expenses</v>
          </cell>
          <cell r="J1397">
            <v>0</v>
          </cell>
          <cell r="K1397" t="str">
            <v>Production</v>
          </cell>
          <cell r="L1397" t="str">
            <v>Freight</v>
          </cell>
          <cell r="N1397" t="str">
            <v>Direct Costs</v>
          </cell>
          <cell r="O1397" t="str">
            <v>DHL Express - USA</v>
          </cell>
        </row>
        <row r="1398">
          <cell r="D1398">
            <v>119.2</v>
          </cell>
          <cell r="H1398">
            <v>45383</v>
          </cell>
          <cell r="I1398" t="str">
            <v>6375 - Freight Expenses</v>
          </cell>
          <cell r="J1398">
            <v>0</v>
          </cell>
          <cell r="K1398" t="str">
            <v>Production</v>
          </cell>
          <cell r="L1398" t="str">
            <v>Freight</v>
          </cell>
          <cell r="N1398" t="str">
            <v>Direct Costs</v>
          </cell>
          <cell r="O1398" t="str">
            <v>DHL Express - USA</v>
          </cell>
        </row>
        <row r="1399">
          <cell r="D1399">
            <v>6326.58</v>
          </cell>
          <cell r="H1399">
            <v>45383</v>
          </cell>
          <cell r="I1399" t="str">
            <v>6375 - Freight Expenses</v>
          </cell>
          <cell r="J1399">
            <v>0</v>
          </cell>
          <cell r="K1399" t="str">
            <v>Brand Marketing</v>
          </cell>
          <cell r="L1399" t="str">
            <v>Freight</v>
          </cell>
          <cell r="N1399" t="str">
            <v>Direct Costs</v>
          </cell>
          <cell r="O1399" t="str">
            <v>DHL Express - USA</v>
          </cell>
        </row>
        <row r="1400">
          <cell r="D1400">
            <v>25.32</v>
          </cell>
          <cell r="H1400">
            <v>45383</v>
          </cell>
          <cell r="I1400" t="str">
            <v>6375 - Freight Expenses</v>
          </cell>
          <cell r="J1400">
            <v>0</v>
          </cell>
          <cell r="K1400" t="str">
            <v>Production</v>
          </cell>
          <cell r="L1400" t="str">
            <v>Freight</v>
          </cell>
          <cell r="N1400" t="str">
            <v>Direct Costs</v>
          </cell>
          <cell r="O1400" t="str">
            <v>DHL Express - USA</v>
          </cell>
        </row>
        <row r="1401">
          <cell r="D1401">
            <v>300</v>
          </cell>
          <cell r="H1401">
            <v>45383</v>
          </cell>
          <cell r="I1401" t="str">
            <v>6288 - Model</v>
          </cell>
          <cell r="J1401" t="str">
            <v>Ecommerce (US)</v>
          </cell>
          <cell r="K1401" t="str">
            <v>Brand Marketing</v>
          </cell>
          <cell r="L1401" t="str">
            <v>Advertising</v>
          </cell>
          <cell r="N1401" t="str">
            <v>SG&amp;A</v>
          </cell>
          <cell r="O1401" t="str">
            <v>State Artist Management</v>
          </cell>
        </row>
        <row r="1402">
          <cell r="D1402">
            <v>0.02</v>
          </cell>
          <cell r="H1402">
            <v>45383</v>
          </cell>
          <cell r="I1402" t="str">
            <v>8505 - Realized Gain/Loss</v>
          </cell>
          <cell r="J1402">
            <v>0</v>
          </cell>
          <cell r="K1402" t="str">
            <v>No Department</v>
          </cell>
          <cell r="L1402" t="str">
            <v>Realized Gain / Loss</v>
          </cell>
          <cell r="N1402" t="str">
            <v>BTL</v>
          </cell>
          <cell r="O1402" t="str">
            <v>[No Vendor]</v>
          </cell>
        </row>
        <row r="1403">
          <cell r="D1403">
            <v>346.75</v>
          </cell>
          <cell r="H1403">
            <v>45383</v>
          </cell>
          <cell r="I1403" t="str">
            <v>6300 - Payroll Service Fees</v>
          </cell>
          <cell r="J1403">
            <v>0</v>
          </cell>
          <cell r="K1403" t="str">
            <v>Administration</v>
          </cell>
          <cell r="L1403" t="str">
            <v>Professional Service</v>
          </cell>
          <cell r="N1403" t="str">
            <v>SG&amp;A</v>
          </cell>
          <cell r="O1403" t="str">
            <v>ADP Payroll Services</v>
          </cell>
        </row>
        <row r="1404">
          <cell r="D1404">
            <v>24926.63</v>
          </cell>
          <cell r="H1404">
            <v>45383</v>
          </cell>
          <cell r="I1404" t="str">
            <v>6375 - Freight Expenses</v>
          </cell>
          <cell r="J1404" t="str">
            <v>Ecommerce (US)</v>
          </cell>
          <cell r="K1404" t="str">
            <v>Ecommerce</v>
          </cell>
          <cell r="L1404" t="str">
            <v>Freight</v>
          </cell>
          <cell r="N1404" t="str">
            <v>Direct Costs</v>
          </cell>
          <cell r="O1404" t="str">
            <v>UPS Supply Chain Solutions Inc. (7F24A0)</v>
          </cell>
        </row>
        <row r="1405">
          <cell r="D1405">
            <v>719.8</v>
          </cell>
          <cell r="H1405">
            <v>45383</v>
          </cell>
          <cell r="I1405" t="str">
            <v>6410 - Lease Expense</v>
          </cell>
          <cell r="J1405">
            <v>0</v>
          </cell>
          <cell r="K1405" t="str">
            <v>Administration</v>
          </cell>
          <cell r="L1405" t="str">
            <v>Rent</v>
          </cell>
          <cell r="N1405" t="str">
            <v>SG&amp;A</v>
          </cell>
          <cell r="O1405" t="str">
            <v>Canon Financial Services, Inc.</v>
          </cell>
        </row>
        <row r="1406">
          <cell r="D1406">
            <v>43.85</v>
          </cell>
          <cell r="H1406">
            <v>45383</v>
          </cell>
          <cell r="I1406" t="str">
            <v>6040 - Employer Paid Benefits</v>
          </cell>
          <cell r="J1406">
            <v>0</v>
          </cell>
          <cell r="K1406" t="str">
            <v>Design</v>
          </cell>
          <cell r="L1406" t="str">
            <v>HQ Salaries</v>
          </cell>
          <cell r="N1406" t="str">
            <v>SG&amp;A</v>
          </cell>
          <cell r="O1406" t="str">
            <v>Procyon Benefits LLC</v>
          </cell>
        </row>
        <row r="1407">
          <cell r="D1407">
            <v>33914.5</v>
          </cell>
          <cell r="H1407">
            <v>45383</v>
          </cell>
          <cell r="I1407" t="str">
            <v>6377 - Order Processing Expenses (New)</v>
          </cell>
          <cell r="J1407" t="str">
            <v>Ecommerce (US)</v>
          </cell>
          <cell r="K1407" t="str">
            <v>Ecommerce</v>
          </cell>
          <cell r="L1407" t="str">
            <v>Order Processing</v>
          </cell>
          <cell r="N1407" t="str">
            <v>Direct Costs</v>
          </cell>
          <cell r="O1407" t="str">
            <v>Bergen Logistics Corporation</v>
          </cell>
        </row>
        <row r="1408">
          <cell r="D1408">
            <v>8124.93</v>
          </cell>
          <cell r="H1408">
            <v>45383</v>
          </cell>
          <cell r="I1408" t="str">
            <v>6377 - Order Processing Expenses (New)</v>
          </cell>
          <cell r="J1408" t="str">
            <v>Wholesale</v>
          </cell>
          <cell r="K1408" t="str">
            <v>Wholesale</v>
          </cell>
          <cell r="L1408" t="str">
            <v>Order Processing</v>
          </cell>
          <cell r="N1408" t="str">
            <v>Direct Costs</v>
          </cell>
          <cell r="O1408" t="str">
            <v>Bergen Logistics Corporation</v>
          </cell>
        </row>
        <row r="1409">
          <cell r="D1409">
            <v>571.37</v>
          </cell>
          <cell r="H1409">
            <v>45383</v>
          </cell>
          <cell r="I1409" t="str">
            <v>6375 - Freight Expenses</v>
          </cell>
          <cell r="J1409" t="str">
            <v>Ecommerce (US)</v>
          </cell>
          <cell r="K1409" t="str">
            <v>Ecommerce</v>
          </cell>
          <cell r="L1409" t="str">
            <v>Freight</v>
          </cell>
          <cell r="N1409" t="str">
            <v>Direct Costs</v>
          </cell>
          <cell r="O1409" t="str">
            <v>Bergen Logistics Corporation</v>
          </cell>
        </row>
        <row r="1410">
          <cell r="D1410">
            <v>64.739999999999995</v>
          </cell>
          <cell r="H1410">
            <v>45383</v>
          </cell>
          <cell r="I1410" t="str">
            <v>6375 - Freight Expenses</v>
          </cell>
          <cell r="J1410" t="str">
            <v>Wholesale</v>
          </cell>
          <cell r="K1410" t="str">
            <v>Wholesale</v>
          </cell>
          <cell r="L1410" t="str">
            <v>Freight</v>
          </cell>
          <cell r="N1410" t="str">
            <v>Direct Costs</v>
          </cell>
          <cell r="O1410" t="str">
            <v>Bergen Logistics Corporation</v>
          </cell>
        </row>
        <row r="1411">
          <cell r="D1411">
            <v>414.35</v>
          </cell>
          <cell r="H1411">
            <v>45383</v>
          </cell>
          <cell r="I1411" t="str">
            <v>6040 - Employer Paid Benefits</v>
          </cell>
          <cell r="J1411" t="str">
            <v>Wholesale</v>
          </cell>
          <cell r="K1411" t="str">
            <v>Wholesale</v>
          </cell>
          <cell r="L1411" t="str">
            <v>HQ Salaries</v>
          </cell>
          <cell r="N1411" t="str">
            <v>SG&amp;A</v>
          </cell>
          <cell r="O1411" t="str">
            <v>Procyon Benefits LLC</v>
          </cell>
        </row>
        <row r="1412">
          <cell r="D1412">
            <v>2198.6</v>
          </cell>
          <cell r="H1412">
            <v>45383</v>
          </cell>
          <cell r="I1412" t="str">
            <v>6040 - Employer Paid Benefits</v>
          </cell>
          <cell r="J1412">
            <v>0</v>
          </cell>
          <cell r="K1412" t="str">
            <v>Production</v>
          </cell>
          <cell r="L1412" t="str">
            <v>HQ Salaries</v>
          </cell>
          <cell r="N1412" t="str">
            <v>SG&amp;A</v>
          </cell>
          <cell r="O1412" t="str">
            <v>Procyon Benefits LLC</v>
          </cell>
        </row>
        <row r="1413">
          <cell r="D1413">
            <v>573.51</v>
          </cell>
          <cell r="H1413">
            <v>45383</v>
          </cell>
          <cell r="I1413" t="str">
            <v>6040 - Employer Paid Benefits</v>
          </cell>
          <cell r="J1413">
            <v>0</v>
          </cell>
          <cell r="K1413" t="str">
            <v>Merchandising</v>
          </cell>
          <cell r="L1413" t="str">
            <v>HQ Salaries</v>
          </cell>
          <cell r="N1413" t="str">
            <v>SG&amp;A</v>
          </cell>
          <cell r="O1413" t="str">
            <v>Procyon Benefits LLC</v>
          </cell>
        </row>
        <row r="1414">
          <cell r="D1414">
            <v>31.5</v>
          </cell>
          <cell r="H1414">
            <v>45383</v>
          </cell>
          <cell r="I1414" t="str">
            <v>6040 - Employer Paid Benefits</v>
          </cell>
          <cell r="J1414" t="str">
            <v>Ecommerce (US)</v>
          </cell>
          <cell r="K1414" t="str">
            <v>Ecommerce</v>
          </cell>
          <cell r="L1414" t="str">
            <v>HQ Salaries</v>
          </cell>
          <cell r="N1414" t="str">
            <v>SG&amp;A</v>
          </cell>
          <cell r="O1414" t="str">
            <v>Procyon Benefits LLC</v>
          </cell>
        </row>
        <row r="1415">
          <cell r="D1415">
            <v>-94.04</v>
          </cell>
          <cell r="H1415">
            <v>45383</v>
          </cell>
          <cell r="I1415" t="str">
            <v>6040 - Employer Paid Benefits</v>
          </cell>
          <cell r="J1415">
            <v>0</v>
          </cell>
          <cell r="K1415" t="str">
            <v>Administration</v>
          </cell>
          <cell r="L1415" t="str">
            <v>HQ Salaries</v>
          </cell>
          <cell r="N1415" t="str">
            <v>SG&amp;A</v>
          </cell>
          <cell r="O1415" t="str">
            <v>[No Vendor]</v>
          </cell>
        </row>
        <row r="1416">
          <cell r="D1416">
            <v>800</v>
          </cell>
          <cell r="H1416">
            <v>45383</v>
          </cell>
          <cell r="I1416" t="str">
            <v>6520 - Taxes and Licenses</v>
          </cell>
          <cell r="J1416">
            <v>0</v>
          </cell>
          <cell r="K1416" t="str">
            <v>Administration</v>
          </cell>
          <cell r="L1416" t="str">
            <v>Other</v>
          </cell>
          <cell r="N1416" t="str">
            <v>SG&amp;A</v>
          </cell>
          <cell r="O1416" t="str">
            <v>[No Vendor]</v>
          </cell>
        </row>
        <row r="1417">
          <cell r="D1417">
            <v>1600</v>
          </cell>
          <cell r="H1417">
            <v>45383</v>
          </cell>
          <cell r="I1417" t="str">
            <v>6520 - Taxes and Licenses</v>
          </cell>
          <cell r="J1417">
            <v>0</v>
          </cell>
          <cell r="K1417" t="str">
            <v>Administration</v>
          </cell>
          <cell r="L1417" t="str">
            <v>Other</v>
          </cell>
          <cell r="N1417" t="str">
            <v>SG&amp;A</v>
          </cell>
          <cell r="O1417" t="str">
            <v>[No Vendor]</v>
          </cell>
        </row>
        <row r="1418">
          <cell r="D1418">
            <v>25</v>
          </cell>
          <cell r="H1418">
            <v>45383</v>
          </cell>
          <cell r="I1418" t="str">
            <v>6520 - Taxes and Licenses</v>
          </cell>
          <cell r="J1418">
            <v>0</v>
          </cell>
          <cell r="K1418" t="str">
            <v>Administration</v>
          </cell>
          <cell r="L1418" t="str">
            <v>Other</v>
          </cell>
          <cell r="N1418" t="str">
            <v>SG&amp;A</v>
          </cell>
          <cell r="O1418" t="str">
            <v>[No Vendor]</v>
          </cell>
        </row>
        <row r="1419">
          <cell r="D1419">
            <v>3512.32</v>
          </cell>
          <cell r="H1419">
            <v>45383</v>
          </cell>
          <cell r="I1419" t="str">
            <v>6450 - Bank &amp; Other Fees</v>
          </cell>
          <cell r="J1419" t="str">
            <v>Ecommerce (EU)</v>
          </cell>
          <cell r="K1419" t="str">
            <v>Ecommerce</v>
          </cell>
          <cell r="L1419" t="str">
            <v>Professional Service</v>
          </cell>
          <cell r="N1419" t="str">
            <v>Direct Costs</v>
          </cell>
          <cell r="O1419" t="str">
            <v>[No Vendor]</v>
          </cell>
        </row>
        <row r="1420">
          <cell r="D1420">
            <v>2518.04</v>
          </cell>
          <cell r="H1420">
            <v>45383</v>
          </cell>
          <cell r="I1420" t="str">
            <v>6375 - Freight Expenses</v>
          </cell>
          <cell r="J1420" t="str">
            <v>Ecommerce (EU)</v>
          </cell>
          <cell r="K1420" t="str">
            <v>Ecommerce</v>
          </cell>
          <cell r="L1420" t="str">
            <v>Freight</v>
          </cell>
          <cell r="N1420" t="str">
            <v>Direct Costs</v>
          </cell>
          <cell r="O1420" t="str">
            <v>Global E</v>
          </cell>
        </row>
        <row r="1421">
          <cell r="D1421">
            <v>4083.74</v>
          </cell>
          <cell r="H1421">
            <v>45383</v>
          </cell>
          <cell r="I1421" t="str">
            <v>6210 - Monitoring</v>
          </cell>
          <cell r="J1421" t="str">
            <v>Ecommerce (EU)</v>
          </cell>
          <cell r="K1421" t="str">
            <v>Ecommerce</v>
          </cell>
          <cell r="L1421" t="str">
            <v>Professional Service</v>
          </cell>
          <cell r="N1421" t="str">
            <v>Direct Costs</v>
          </cell>
          <cell r="O1421" t="str">
            <v>Convey SRL</v>
          </cell>
        </row>
        <row r="1422">
          <cell r="D1422">
            <v>-29236.67</v>
          </cell>
          <cell r="H1422">
            <v>45383</v>
          </cell>
          <cell r="I1422" t="str">
            <v>6320 - Building Rent</v>
          </cell>
          <cell r="J1422">
            <v>0</v>
          </cell>
          <cell r="K1422" t="str">
            <v>Administration</v>
          </cell>
          <cell r="L1422" t="str">
            <v>Rent</v>
          </cell>
          <cell r="N1422" t="str">
            <v>SG&amp;A</v>
          </cell>
          <cell r="O1422" t="str">
            <v>[No Vendor]</v>
          </cell>
        </row>
        <row r="1423">
          <cell r="D1423">
            <v>554.95000000000005</v>
          </cell>
          <cell r="H1423">
            <v>45383</v>
          </cell>
          <cell r="I1423" t="str">
            <v>7140 - Amortization Exp - ROU Asset</v>
          </cell>
          <cell r="J1423">
            <v>0</v>
          </cell>
          <cell r="K1423" t="str">
            <v>Administration</v>
          </cell>
          <cell r="L1423" t="str">
            <v>Rent</v>
          </cell>
          <cell r="N1423" t="str">
            <v>SG&amp;A</v>
          </cell>
          <cell r="O1423" t="str">
            <v>[No Vendor]</v>
          </cell>
        </row>
        <row r="1424">
          <cell r="D1424">
            <v>33250.92</v>
          </cell>
          <cell r="H1424">
            <v>45383</v>
          </cell>
          <cell r="I1424" t="str">
            <v>7140 - Amortization Exp - ROU Asset</v>
          </cell>
          <cell r="J1424">
            <v>0</v>
          </cell>
          <cell r="K1424" t="str">
            <v>Administration</v>
          </cell>
          <cell r="L1424" t="str">
            <v>Rent</v>
          </cell>
          <cell r="N1424" t="str">
            <v>SG&amp;A</v>
          </cell>
          <cell r="O1424" t="str">
            <v>[No Vendor]</v>
          </cell>
        </row>
        <row r="1425">
          <cell r="D1425">
            <v>1000</v>
          </cell>
          <cell r="H1425">
            <v>45383</v>
          </cell>
          <cell r="I1425" t="str">
            <v>6520 - Taxes and Licenses</v>
          </cell>
          <cell r="J1425">
            <v>0</v>
          </cell>
          <cell r="K1425" t="str">
            <v>Administration</v>
          </cell>
          <cell r="L1425" t="str">
            <v>Other</v>
          </cell>
          <cell r="N1425" t="str">
            <v>SG&amp;A</v>
          </cell>
          <cell r="O1425" t="str">
            <v>[No Vendor]</v>
          </cell>
        </row>
        <row r="1426">
          <cell r="D1426">
            <v>-606</v>
          </cell>
          <cell r="H1426">
            <v>45383</v>
          </cell>
          <cell r="I1426" t="str">
            <v>6410 - Lease Expense</v>
          </cell>
          <cell r="J1426">
            <v>0</v>
          </cell>
          <cell r="K1426" t="str">
            <v>Administration</v>
          </cell>
          <cell r="L1426" t="str">
            <v>Rent</v>
          </cell>
          <cell r="N1426" t="str">
            <v>SG&amp;A</v>
          </cell>
          <cell r="O1426" t="str">
            <v>[No Vendor]</v>
          </cell>
        </row>
        <row r="1427">
          <cell r="D1427">
            <v>51.05</v>
          </cell>
          <cell r="H1427">
            <v>45383</v>
          </cell>
          <cell r="I1427" t="str">
            <v>6487 - Interest Expense</v>
          </cell>
          <cell r="J1427">
            <v>0</v>
          </cell>
          <cell r="K1427" t="str">
            <v>Administration</v>
          </cell>
          <cell r="L1427" t="str">
            <v>Interest</v>
          </cell>
          <cell r="N1427" t="str">
            <v>BTL</v>
          </cell>
          <cell r="O1427" t="str">
            <v>[No Vendor]</v>
          </cell>
        </row>
        <row r="1428">
          <cell r="D1428">
            <v>9737.43</v>
          </cell>
          <cell r="H1428">
            <v>45383</v>
          </cell>
          <cell r="I1428" t="str">
            <v>6487 - Interest Expense</v>
          </cell>
          <cell r="J1428">
            <v>0</v>
          </cell>
          <cell r="K1428" t="str">
            <v>Administration</v>
          </cell>
          <cell r="L1428" t="str">
            <v>Interest</v>
          </cell>
          <cell r="N1428" t="str">
            <v>BTL</v>
          </cell>
          <cell r="O1428" t="str">
            <v>[No Vendor]</v>
          </cell>
        </row>
        <row r="1429">
          <cell r="D1429">
            <v>1369.58</v>
          </cell>
          <cell r="H1429">
            <v>45383</v>
          </cell>
          <cell r="I1429" t="str">
            <v>6375 - Freight Expenses</v>
          </cell>
          <cell r="J1429">
            <v>0</v>
          </cell>
          <cell r="K1429" t="str">
            <v>Production</v>
          </cell>
          <cell r="L1429" t="str">
            <v>Freight</v>
          </cell>
          <cell r="N1429" t="str">
            <v>Direct Costs</v>
          </cell>
          <cell r="O1429" t="str">
            <v>DHL Express - USA</v>
          </cell>
        </row>
        <row r="1430">
          <cell r="D1430">
            <v>650</v>
          </cell>
          <cell r="H1430">
            <v>45383</v>
          </cell>
          <cell r="I1430" t="str">
            <v>6300 - Payroll Service Fees</v>
          </cell>
          <cell r="J1430">
            <v>0</v>
          </cell>
          <cell r="K1430" t="str">
            <v>Administration</v>
          </cell>
          <cell r="L1430" t="str">
            <v>Professional Service</v>
          </cell>
          <cell r="N1430" t="str">
            <v>SG&amp;A</v>
          </cell>
          <cell r="O1430" t="str">
            <v>OperationsInc, LLC</v>
          </cell>
        </row>
        <row r="1431">
          <cell r="D1431">
            <v>4500</v>
          </cell>
          <cell r="H1431">
            <v>45383</v>
          </cell>
          <cell r="I1431" t="str">
            <v>6225 - Professional Services</v>
          </cell>
          <cell r="J1431" t="str">
            <v>Ecommerce (US)</v>
          </cell>
          <cell r="K1431" t="str">
            <v>Ecommerce</v>
          </cell>
          <cell r="L1431" t="str">
            <v>Professional Service</v>
          </cell>
          <cell r="N1431" t="str">
            <v>Direct Costs</v>
          </cell>
          <cell r="O1431" t="str">
            <v>Freeflow LLC</v>
          </cell>
        </row>
        <row r="1432">
          <cell r="D1432">
            <v>2500</v>
          </cell>
          <cell r="H1432">
            <v>45383</v>
          </cell>
          <cell r="I1432" t="str">
            <v>6225 - Professional Services</v>
          </cell>
          <cell r="J1432">
            <v>0</v>
          </cell>
          <cell r="K1432" t="str">
            <v>Administration</v>
          </cell>
          <cell r="L1432" t="str">
            <v>Professional Service</v>
          </cell>
          <cell r="N1432" t="str">
            <v>Direct Costs</v>
          </cell>
          <cell r="O1432" t="str">
            <v>Procyon Benefits LLC</v>
          </cell>
        </row>
        <row r="1433">
          <cell r="D1433">
            <v>4158.8999999999996</v>
          </cell>
          <cell r="H1433">
            <v>45383</v>
          </cell>
          <cell r="I1433" t="str">
            <v>6487 - Interest Expense</v>
          </cell>
          <cell r="J1433">
            <v>0</v>
          </cell>
          <cell r="K1433" t="str">
            <v>Administration</v>
          </cell>
          <cell r="L1433" t="str">
            <v>Interest</v>
          </cell>
          <cell r="N1433" t="str">
            <v>BTL</v>
          </cell>
          <cell r="O1433" t="str">
            <v>[No Vendor]</v>
          </cell>
        </row>
        <row r="1434">
          <cell r="D1434">
            <v>1926.43</v>
          </cell>
          <cell r="H1434">
            <v>45383</v>
          </cell>
          <cell r="I1434" t="str">
            <v>6430 - Dues &amp; Memberships</v>
          </cell>
          <cell r="J1434" t="str">
            <v>Ecommerce (US)</v>
          </cell>
          <cell r="K1434" t="str">
            <v>Ecommerce</v>
          </cell>
          <cell r="L1434" t="str">
            <v>Professional Service</v>
          </cell>
          <cell r="N1434" t="str">
            <v>Direct Costs</v>
          </cell>
          <cell r="O1434" t="str">
            <v>Loop</v>
          </cell>
        </row>
        <row r="1435">
          <cell r="D1435">
            <v>14745.21</v>
          </cell>
          <cell r="H1435">
            <v>45383</v>
          </cell>
          <cell r="I1435" t="str">
            <v>6487 - Interest Expense</v>
          </cell>
          <cell r="J1435">
            <v>0</v>
          </cell>
          <cell r="K1435" t="str">
            <v>Administration</v>
          </cell>
          <cell r="L1435" t="str">
            <v>Interest</v>
          </cell>
          <cell r="N1435" t="str">
            <v>BTL</v>
          </cell>
          <cell r="O1435" t="str">
            <v>[No Vendor]</v>
          </cell>
        </row>
        <row r="1436">
          <cell r="D1436">
            <v>5671.23</v>
          </cell>
          <cell r="H1436">
            <v>45383</v>
          </cell>
          <cell r="I1436" t="str">
            <v>6487 - Interest Expense</v>
          </cell>
          <cell r="J1436">
            <v>0</v>
          </cell>
          <cell r="K1436" t="str">
            <v>Administration</v>
          </cell>
          <cell r="L1436" t="str">
            <v>Interest</v>
          </cell>
          <cell r="N1436" t="str">
            <v>BTL</v>
          </cell>
          <cell r="O1436" t="str">
            <v>[No Vendor]</v>
          </cell>
        </row>
        <row r="1437">
          <cell r="D1437">
            <v>103.73</v>
          </cell>
          <cell r="H1437">
            <v>45383</v>
          </cell>
          <cell r="I1437" t="str">
            <v>8505 - Realized Gain/Loss</v>
          </cell>
          <cell r="J1437">
            <v>0</v>
          </cell>
          <cell r="K1437" t="str">
            <v>No Department</v>
          </cell>
          <cell r="L1437" t="str">
            <v>Realized Gain / Loss</v>
          </cell>
          <cell r="N1437" t="str">
            <v>BTL</v>
          </cell>
          <cell r="O1437" t="str">
            <v>[No Vendor]</v>
          </cell>
        </row>
        <row r="1438">
          <cell r="D1438">
            <v>161.97999999999999</v>
          </cell>
          <cell r="H1438">
            <v>45383</v>
          </cell>
          <cell r="I1438" t="str">
            <v>6385 - Insurance</v>
          </cell>
          <cell r="J1438">
            <v>0</v>
          </cell>
          <cell r="K1438" t="str">
            <v>Administration</v>
          </cell>
          <cell r="L1438" t="str">
            <v>Professional Service</v>
          </cell>
          <cell r="N1438" t="str">
            <v>SG&amp;A</v>
          </cell>
          <cell r="O1438" t="str">
            <v>[No Vendor]</v>
          </cell>
        </row>
        <row r="1439">
          <cell r="D1439">
            <v>1600</v>
          </cell>
          <cell r="H1439">
            <v>45383</v>
          </cell>
          <cell r="I1439" t="str">
            <v>6520 - Taxes and Licenses</v>
          </cell>
          <cell r="J1439">
            <v>0</v>
          </cell>
          <cell r="K1439" t="str">
            <v>Administration</v>
          </cell>
          <cell r="L1439" t="str">
            <v>Other</v>
          </cell>
          <cell r="N1439" t="str">
            <v>SG&amp;A</v>
          </cell>
          <cell r="O1439" t="str">
            <v>[No Vendor]</v>
          </cell>
        </row>
        <row r="1440">
          <cell r="D1440">
            <v>113</v>
          </cell>
          <cell r="H1440">
            <v>45383</v>
          </cell>
          <cell r="I1440" t="str">
            <v>6140 - Other</v>
          </cell>
          <cell r="J1440">
            <v>0</v>
          </cell>
          <cell r="K1440" t="str">
            <v>Administration</v>
          </cell>
          <cell r="L1440" t="str">
            <v>T&amp;E</v>
          </cell>
          <cell r="N1440" t="str">
            <v>SG&amp;A</v>
          </cell>
          <cell r="O1440" t="str">
            <v>Frank Dell'Aquila</v>
          </cell>
        </row>
        <row r="1441">
          <cell r="D1441">
            <v>767.55</v>
          </cell>
          <cell r="H1441">
            <v>45383</v>
          </cell>
          <cell r="I1441" t="str">
            <v>8505 - Realized Gain/Loss</v>
          </cell>
          <cell r="J1441">
            <v>0</v>
          </cell>
          <cell r="K1441" t="str">
            <v>No Department</v>
          </cell>
          <cell r="L1441" t="str">
            <v>Realized Gain / Loss</v>
          </cell>
          <cell r="N1441" t="str">
            <v>BTL</v>
          </cell>
          <cell r="O1441" t="str">
            <v>[No Vendor]</v>
          </cell>
        </row>
        <row r="1442">
          <cell r="D1442">
            <v>5884.63</v>
          </cell>
          <cell r="H1442">
            <v>45383</v>
          </cell>
          <cell r="I1442" t="str">
            <v>6005 - Salaries</v>
          </cell>
          <cell r="J1442">
            <v>0</v>
          </cell>
          <cell r="K1442" t="str">
            <v>Brand Marketing</v>
          </cell>
          <cell r="L1442" t="str">
            <v>HQ Salaries</v>
          </cell>
          <cell r="N1442" t="str">
            <v>SG&amp;A</v>
          </cell>
          <cell r="O1442" t="str">
            <v>[No Vendor]</v>
          </cell>
        </row>
        <row r="1443">
          <cell r="D1443">
            <v>14814</v>
          </cell>
          <cell r="H1443">
            <v>45383</v>
          </cell>
          <cell r="I1443" t="str">
            <v>6205 - Contractors</v>
          </cell>
          <cell r="J1443" t="str">
            <v>Ecommerce (US)</v>
          </cell>
          <cell r="K1443" t="str">
            <v>Ecommerce</v>
          </cell>
          <cell r="L1443" t="str">
            <v>HQ Salaries</v>
          </cell>
          <cell r="N1443" t="str">
            <v>SG&amp;A</v>
          </cell>
          <cell r="O1443" t="str">
            <v>[No Vendor]</v>
          </cell>
        </row>
        <row r="1444">
          <cell r="D1444">
            <v>0</v>
          </cell>
          <cell r="H1444">
            <v>45383</v>
          </cell>
          <cell r="I1444" t="str">
            <v>6205 - Contractors</v>
          </cell>
          <cell r="J1444">
            <v>0</v>
          </cell>
          <cell r="K1444" t="str">
            <v>Brand Marketing</v>
          </cell>
          <cell r="L1444" t="str">
            <v>HQ Salaries</v>
          </cell>
          <cell r="N1444" t="str">
            <v>SG&amp;A</v>
          </cell>
          <cell r="O1444" t="str">
            <v>[No Vendor]</v>
          </cell>
        </row>
        <row r="1445">
          <cell r="D1445">
            <v>250</v>
          </cell>
          <cell r="H1445">
            <v>45383</v>
          </cell>
          <cell r="I1445" t="str">
            <v>6520 - Taxes and Licenses</v>
          </cell>
          <cell r="J1445">
            <v>0</v>
          </cell>
          <cell r="K1445" t="str">
            <v>Administration</v>
          </cell>
          <cell r="L1445" t="str">
            <v>Other</v>
          </cell>
          <cell r="N1445" t="str">
            <v>SG&amp;A</v>
          </cell>
          <cell r="O1445" t="str">
            <v>[No Vendor]</v>
          </cell>
        </row>
        <row r="1446">
          <cell r="D1446">
            <v>-25.87</v>
          </cell>
          <cell r="H1446">
            <v>45383</v>
          </cell>
          <cell r="I1446" t="str">
            <v>6385 - Insurance</v>
          </cell>
          <cell r="J1446">
            <v>0</v>
          </cell>
          <cell r="K1446" t="str">
            <v>Administration</v>
          </cell>
          <cell r="L1446" t="str">
            <v>Professional Service</v>
          </cell>
          <cell r="N1446" t="str">
            <v>SG&amp;A</v>
          </cell>
          <cell r="O1446" t="str">
            <v>[No Vendor]</v>
          </cell>
        </row>
        <row r="1447">
          <cell r="D1447">
            <v>-81.47</v>
          </cell>
          <cell r="H1447">
            <v>45383</v>
          </cell>
          <cell r="I1447" t="str">
            <v>6385 - Insurance</v>
          </cell>
          <cell r="J1447">
            <v>0</v>
          </cell>
          <cell r="K1447" t="str">
            <v>Administration</v>
          </cell>
          <cell r="L1447" t="str">
            <v>Professional Service</v>
          </cell>
          <cell r="N1447" t="str">
            <v>SG&amp;A</v>
          </cell>
          <cell r="O1447" t="str">
            <v>[No Vendor]</v>
          </cell>
        </row>
        <row r="1448">
          <cell r="D1448">
            <v>-20.41</v>
          </cell>
          <cell r="H1448">
            <v>45383</v>
          </cell>
          <cell r="I1448" t="str">
            <v>6385 - Insurance</v>
          </cell>
          <cell r="J1448">
            <v>0</v>
          </cell>
          <cell r="K1448" t="str">
            <v>Administration</v>
          </cell>
          <cell r="L1448" t="str">
            <v>Professional Service</v>
          </cell>
          <cell r="N1448" t="str">
            <v>SG&amp;A</v>
          </cell>
          <cell r="O1448" t="str">
            <v>[No Vendor]</v>
          </cell>
        </row>
        <row r="1449">
          <cell r="D1449">
            <v>-39.369999999999997</v>
          </cell>
          <cell r="H1449">
            <v>45383</v>
          </cell>
          <cell r="I1449" t="str">
            <v>6385 - Insurance</v>
          </cell>
          <cell r="J1449">
            <v>0</v>
          </cell>
          <cell r="K1449" t="str">
            <v>Administration</v>
          </cell>
          <cell r="L1449" t="str">
            <v>Professional Service</v>
          </cell>
          <cell r="N1449" t="str">
            <v>SG&amp;A</v>
          </cell>
          <cell r="O1449" t="str">
            <v>[No Vendor]</v>
          </cell>
        </row>
        <row r="1450">
          <cell r="D1450">
            <v>-48.22</v>
          </cell>
          <cell r="H1450">
            <v>45383</v>
          </cell>
          <cell r="I1450" t="str">
            <v>6385 - Insurance</v>
          </cell>
          <cell r="J1450">
            <v>0</v>
          </cell>
          <cell r="K1450" t="str">
            <v>Administration</v>
          </cell>
          <cell r="L1450" t="str">
            <v>Professional Service</v>
          </cell>
          <cell r="N1450" t="str">
            <v>SG&amp;A</v>
          </cell>
          <cell r="O1450" t="str">
            <v>[No Vendor]</v>
          </cell>
        </row>
        <row r="1451">
          <cell r="D1451">
            <v>-24.35</v>
          </cell>
          <cell r="H1451">
            <v>45383</v>
          </cell>
          <cell r="I1451" t="str">
            <v>6385 - Insurance</v>
          </cell>
          <cell r="J1451">
            <v>0</v>
          </cell>
          <cell r="K1451" t="str">
            <v>Administration</v>
          </cell>
          <cell r="L1451" t="str">
            <v>Professional Service</v>
          </cell>
          <cell r="N1451" t="str">
            <v>SG&amp;A</v>
          </cell>
          <cell r="O1451" t="str">
            <v>[No Vendor]</v>
          </cell>
        </row>
        <row r="1452">
          <cell r="D1452">
            <v>-41.67</v>
          </cell>
          <cell r="H1452">
            <v>45383</v>
          </cell>
          <cell r="I1452" t="str">
            <v>6385 - Insurance</v>
          </cell>
          <cell r="J1452">
            <v>0</v>
          </cell>
          <cell r="K1452" t="str">
            <v>Administration</v>
          </cell>
          <cell r="L1452" t="str">
            <v>Professional Service</v>
          </cell>
          <cell r="N1452" t="str">
            <v>SG&amp;A</v>
          </cell>
          <cell r="O1452" t="str">
            <v>[No Vendor]</v>
          </cell>
        </row>
        <row r="1453">
          <cell r="D1453">
            <v>77</v>
          </cell>
          <cell r="H1453">
            <v>45383</v>
          </cell>
          <cell r="I1453" t="str">
            <v>6300 - Payroll Service Fees</v>
          </cell>
          <cell r="J1453">
            <v>0</v>
          </cell>
          <cell r="K1453" t="str">
            <v>Administration</v>
          </cell>
          <cell r="L1453" t="str">
            <v>Professional Service</v>
          </cell>
          <cell r="N1453" t="str">
            <v>SG&amp;A</v>
          </cell>
          <cell r="O1453" t="str">
            <v>ADP Payroll Services</v>
          </cell>
        </row>
        <row r="1454">
          <cell r="D1454">
            <v>2168.27</v>
          </cell>
          <cell r="H1454">
            <v>45383</v>
          </cell>
          <cell r="I1454" t="str">
            <v>6055 - Employer Social Security Tax Withheld</v>
          </cell>
          <cell r="J1454">
            <v>0</v>
          </cell>
          <cell r="K1454" t="str">
            <v>Design</v>
          </cell>
          <cell r="L1454" t="str">
            <v>HQ Salaries</v>
          </cell>
          <cell r="N1454" t="str">
            <v>SG&amp;A</v>
          </cell>
          <cell r="O1454" t="str">
            <v>[No Vendor]</v>
          </cell>
        </row>
        <row r="1455">
          <cell r="D1455">
            <v>2276.23</v>
          </cell>
          <cell r="H1455">
            <v>45383</v>
          </cell>
          <cell r="I1455" t="str">
            <v>6055 - Employer Social Security Tax Withheld</v>
          </cell>
          <cell r="J1455">
            <v>0</v>
          </cell>
          <cell r="K1455" t="str">
            <v>Administration</v>
          </cell>
          <cell r="L1455" t="str">
            <v>HQ Salaries</v>
          </cell>
          <cell r="N1455" t="str">
            <v>SG&amp;A</v>
          </cell>
          <cell r="O1455" t="str">
            <v>[No Vendor]</v>
          </cell>
        </row>
        <row r="1456">
          <cell r="D1456">
            <v>579.38</v>
          </cell>
          <cell r="H1456">
            <v>45383</v>
          </cell>
          <cell r="I1456" t="str">
            <v>6055 - Employer Social Security Tax Withheld</v>
          </cell>
          <cell r="J1456">
            <v>0</v>
          </cell>
          <cell r="K1456" t="str">
            <v>Merchandising</v>
          </cell>
          <cell r="L1456" t="str">
            <v>HQ Salaries</v>
          </cell>
          <cell r="N1456" t="str">
            <v>SG&amp;A</v>
          </cell>
          <cell r="O1456" t="str">
            <v>[No Vendor]</v>
          </cell>
        </row>
        <row r="1457">
          <cell r="D1457">
            <v>1111.33</v>
          </cell>
          <cell r="H1457">
            <v>45383</v>
          </cell>
          <cell r="I1457" t="str">
            <v>6055 - Employer Social Security Tax Withheld</v>
          </cell>
          <cell r="J1457" t="str">
            <v>Wholesale</v>
          </cell>
          <cell r="K1457" t="str">
            <v>Wholesale</v>
          </cell>
          <cell r="L1457" t="str">
            <v>HQ Salaries</v>
          </cell>
          <cell r="N1457" t="str">
            <v>SG&amp;A</v>
          </cell>
          <cell r="O1457" t="str">
            <v>[No Vendor]</v>
          </cell>
        </row>
        <row r="1458">
          <cell r="D1458">
            <v>2214.91</v>
          </cell>
          <cell r="H1458">
            <v>45383</v>
          </cell>
          <cell r="I1458" t="str">
            <v>6055 - Employer Social Security Tax Withheld</v>
          </cell>
          <cell r="J1458">
            <v>0</v>
          </cell>
          <cell r="K1458" t="str">
            <v>Production</v>
          </cell>
          <cell r="L1458" t="str">
            <v>HQ Salaries</v>
          </cell>
          <cell r="N1458" t="str">
            <v>SG&amp;A</v>
          </cell>
          <cell r="O1458" t="str">
            <v>[No Vendor]</v>
          </cell>
        </row>
        <row r="1459">
          <cell r="D1459">
            <v>634.01</v>
          </cell>
          <cell r="H1459">
            <v>45383</v>
          </cell>
          <cell r="I1459" t="str">
            <v>6055 - Employer Social Security Tax Withheld</v>
          </cell>
          <cell r="J1459">
            <v>0</v>
          </cell>
          <cell r="K1459" t="str">
            <v>Brand Marketing</v>
          </cell>
          <cell r="L1459" t="str">
            <v>HQ Salaries</v>
          </cell>
          <cell r="N1459" t="str">
            <v>SG&amp;A</v>
          </cell>
          <cell r="O1459" t="str">
            <v>[No Vendor]</v>
          </cell>
        </row>
        <row r="1460">
          <cell r="D1460">
            <v>1808.67</v>
          </cell>
          <cell r="H1460">
            <v>45383</v>
          </cell>
          <cell r="I1460" t="str">
            <v>6055 - Employer Social Security Tax Withheld</v>
          </cell>
          <cell r="J1460" t="str">
            <v>Ecommerce (US)</v>
          </cell>
          <cell r="K1460" t="str">
            <v>Ecommerce</v>
          </cell>
          <cell r="L1460" t="str">
            <v>HQ Salaries</v>
          </cell>
          <cell r="N1460" t="str">
            <v>SG&amp;A</v>
          </cell>
          <cell r="O1460" t="str">
            <v>[No Vendor]</v>
          </cell>
        </row>
        <row r="1461">
          <cell r="D1461">
            <v>-163.69999999999999</v>
          </cell>
          <cell r="H1461">
            <v>45383</v>
          </cell>
          <cell r="I1461" t="str">
            <v>6040 - Employer Paid Benefits</v>
          </cell>
          <cell r="J1461">
            <v>0</v>
          </cell>
          <cell r="K1461" t="str">
            <v>Administration</v>
          </cell>
          <cell r="L1461" t="str">
            <v>HQ Salaries</v>
          </cell>
          <cell r="N1461" t="str">
            <v>SG&amp;A</v>
          </cell>
          <cell r="O1461" t="str">
            <v>[No Vendor]</v>
          </cell>
        </row>
        <row r="1462">
          <cell r="D1462">
            <v>-354.34</v>
          </cell>
          <cell r="H1462">
            <v>45383</v>
          </cell>
          <cell r="I1462" t="str">
            <v>6040 - Employer Paid Benefits</v>
          </cell>
          <cell r="J1462">
            <v>0</v>
          </cell>
          <cell r="K1462" t="str">
            <v>Design</v>
          </cell>
          <cell r="L1462" t="str">
            <v>HQ Salaries</v>
          </cell>
          <cell r="N1462" t="str">
            <v>SG&amp;A</v>
          </cell>
          <cell r="O1462" t="str">
            <v>[No Vendor]</v>
          </cell>
        </row>
        <row r="1463">
          <cell r="D1463">
            <v>0</v>
          </cell>
          <cell r="H1463">
            <v>45383</v>
          </cell>
          <cell r="I1463" t="str">
            <v>6040 - Employer Paid Benefits</v>
          </cell>
          <cell r="J1463">
            <v>0</v>
          </cell>
          <cell r="K1463" t="str">
            <v>Merchandising</v>
          </cell>
          <cell r="L1463" t="str">
            <v>HQ Salaries</v>
          </cell>
          <cell r="N1463" t="str">
            <v>SG&amp;A</v>
          </cell>
          <cell r="O1463" t="str">
            <v>[No Vendor]</v>
          </cell>
        </row>
        <row r="1464">
          <cell r="D1464">
            <v>-45.16</v>
          </cell>
          <cell r="H1464">
            <v>45383</v>
          </cell>
          <cell r="I1464" t="str">
            <v>6040 - Employer Paid Benefits</v>
          </cell>
          <cell r="J1464" t="str">
            <v>Wholesale</v>
          </cell>
          <cell r="K1464" t="str">
            <v>Wholesale</v>
          </cell>
          <cell r="L1464" t="str">
            <v>HQ Salaries</v>
          </cell>
          <cell r="N1464" t="str">
            <v>SG&amp;A</v>
          </cell>
          <cell r="O1464" t="str">
            <v>[No Vendor]</v>
          </cell>
        </row>
        <row r="1465">
          <cell r="D1465">
            <v>-409.66</v>
          </cell>
          <cell r="H1465">
            <v>45383</v>
          </cell>
          <cell r="I1465" t="str">
            <v>6040 - Employer Paid Benefits</v>
          </cell>
          <cell r="J1465">
            <v>0</v>
          </cell>
          <cell r="K1465" t="str">
            <v>Production</v>
          </cell>
          <cell r="L1465" t="str">
            <v>HQ Salaries</v>
          </cell>
          <cell r="N1465" t="str">
            <v>SG&amp;A</v>
          </cell>
          <cell r="O1465" t="str">
            <v>[No Vendor]</v>
          </cell>
        </row>
        <row r="1466">
          <cell r="D1466">
            <v>-22.58</v>
          </cell>
          <cell r="H1466">
            <v>45383</v>
          </cell>
          <cell r="I1466" t="str">
            <v>6040 - Employer Paid Benefits</v>
          </cell>
          <cell r="J1466">
            <v>0</v>
          </cell>
          <cell r="K1466" t="str">
            <v>Brand Marketing</v>
          </cell>
          <cell r="L1466" t="str">
            <v>HQ Salaries</v>
          </cell>
          <cell r="N1466" t="str">
            <v>SG&amp;A</v>
          </cell>
          <cell r="O1466" t="str">
            <v>[No Vendor]</v>
          </cell>
        </row>
        <row r="1467">
          <cell r="D1467">
            <v>-121.85</v>
          </cell>
          <cell r="H1467">
            <v>45383</v>
          </cell>
          <cell r="I1467" t="str">
            <v>6040 - Employer Paid Benefits</v>
          </cell>
          <cell r="J1467" t="str">
            <v>Ecommerce (US)</v>
          </cell>
          <cell r="K1467" t="str">
            <v>Ecommerce</v>
          </cell>
          <cell r="L1467" t="str">
            <v>HQ Salaries</v>
          </cell>
          <cell r="N1467" t="str">
            <v>SG&amp;A</v>
          </cell>
          <cell r="O1467" t="str">
            <v>[No Vendor]</v>
          </cell>
        </row>
        <row r="1468">
          <cell r="D1468">
            <v>22584.639999999999</v>
          </cell>
          <cell r="H1468">
            <v>45383</v>
          </cell>
          <cell r="I1468" t="str">
            <v>6005 - Salaries</v>
          </cell>
          <cell r="J1468">
            <v>0</v>
          </cell>
          <cell r="K1468" t="str">
            <v>Administration</v>
          </cell>
          <cell r="L1468" t="str">
            <v>HQ Salaries</v>
          </cell>
          <cell r="N1468" t="str">
            <v>SG&amp;A</v>
          </cell>
          <cell r="O1468" t="str">
            <v>[No Vendor]</v>
          </cell>
        </row>
        <row r="1469">
          <cell r="D1469">
            <v>20780.8</v>
          </cell>
          <cell r="H1469">
            <v>45383</v>
          </cell>
          <cell r="I1469" t="str">
            <v>6005 - Salaries</v>
          </cell>
          <cell r="J1469" t="str">
            <v>Ecommerce (US)</v>
          </cell>
          <cell r="K1469" t="str">
            <v>Ecommerce</v>
          </cell>
          <cell r="L1469" t="str">
            <v>HQ Salaries</v>
          </cell>
          <cell r="N1469" t="str">
            <v>SG&amp;A</v>
          </cell>
          <cell r="O1469" t="str">
            <v>[No Vendor]</v>
          </cell>
        </row>
        <row r="1470">
          <cell r="D1470">
            <v>20857.7</v>
          </cell>
          <cell r="H1470">
            <v>45383</v>
          </cell>
          <cell r="I1470" t="str">
            <v>6005 - Salaries</v>
          </cell>
          <cell r="J1470">
            <v>0</v>
          </cell>
          <cell r="K1470" t="str">
            <v>Design</v>
          </cell>
          <cell r="L1470" t="str">
            <v>HQ Salaries</v>
          </cell>
          <cell r="N1470" t="str">
            <v>SG&amp;A</v>
          </cell>
          <cell r="O1470" t="str">
            <v>[No Vendor]</v>
          </cell>
        </row>
        <row r="1471">
          <cell r="D1471">
            <v>5150</v>
          </cell>
          <cell r="H1471">
            <v>45383</v>
          </cell>
          <cell r="I1471" t="str">
            <v>6005 - Salaries</v>
          </cell>
          <cell r="J1471">
            <v>0</v>
          </cell>
          <cell r="K1471" t="str">
            <v>Merchandising</v>
          </cell>
          <cell r="L1471" t="str">
            <v>HQ Salaries</v>
          </cell>
          <cell r="N1471" t="str">
            <v>SG&amp;A</v>
          </cell>
          <cell r="O1471" t="str">
            <v>[No Vendor]</v>
          </cell>
        </row>
        <row r="1472">
          <cell r="D1472">
            <v>9911.5499999999993</v>
          </cell>
          <cell r="H1472">
            <v>45383</v>
          </cell>
          <cell r="I1472" t="str">
            <v>6005 - Salaries</v>
          </cell>
          <cell r="J1472" t="str">
            <v>Wholesale</v>
          </cell>
          <cell r="K1472" t="str">
            <v>Wholesale</v>
          </cell>
          <cell r="L1472" t="str">
            <v>HQ Salaries</v>
          </cell>
          <cell r="N1472" t="str">
            <v>SG&amp;A</v>
          </cell>
          <cell r="O1472" t="str">
            <v>[No Vendor]</v>
          </cell>
        </row>
        <row r="1473">
          <cell r="D1473">
            <v>19988.490000000002</v>
          </cell>
          <cell r="H1473">
            <v>45383</v>
          </cell>
          <cell r="I1473" t="str">
            <v>6005 - Salaries</v>
          </cell>
          <cell r="J1473">
            <v>0</v>
          </cell>
          <cell r="K1473" t="str">
            <v>Production</v>
          </cell>
          <cell r="L1473" t="str">
            <v>HQ Salaries</v>
          </cell>
          <cell r="N1473" t="str">
            <v>SG&amp;A</v>
          </cell>
          <cell r="O1473" t="str">
            <v>[No Vendor]</v>
          </cell>
        </row>
        <row r="1474">
          <cell r="D1474">
            <v>26033.42</v>
          </cell>
          <cell r="H1474">
            <v>45383</v>
          </cell>
          <cell r="I1474" t="str">
            <v>6375 - Freight Expenses</v>
          </cell>
          <cell r="J1474" t="str">
            <v>Ecommerce (US)</v>
          </cell>
          <cell r="K1474" t="str">
            <v>Ecommerce</v>
          </cell>
          <cell r="L1474" t="str">
            <v>Freight</v>
          </cell>
          <cell r="N1474" t="str">
            <v>Direct Costs</v>
          </cell>
          <cell r="O1474" t="str">
            <v>UPS Supply Chain Solutions Inc. (7F24A0)</v>
          </cell>
        </row>
        <row r="1475">
          <cell r="D1475">
            <v>324</v>
          </cell>
          <cell r="H1475">
            <v>45383</v>
          </cell>
          <cell r="I1475" t="str">
            <v>6040 - Employer Paid Benefits</v>
          </cell>
          <cell r="J1475">
            <v>0</v>
          </cell>
          <cell r="K1475" t="str">
            <v>Administration</v>
          </cell>
          <cell r="L1475" t="str">
            <v>HQ Salaries</v>
          </cell>
          <cell r="N1475" t="str">
            <v>SG&amp;A</v>
          </cell>
          <cell r="O1475" t="str">
            <v>Procyon Benefits LLC</v>
          </cell>
        </row>
        <row r="1476">
          <cell r="D1476">
            <v>19.29</v>
          </cell>
          <cell r="H1476">
            <v>45383</v>
          </cell>
          <cell r="I1476" t="str">
            <v>6370 - Samples</v>
          </cell>
          <cell r="J1476">
            <v>0</v>
          </cell>
          <cell r="K1476" t="str">
            <v>Design</v>
          </cell>
          <cell r="L1476" t="str">
            <v>Sample</v>
          </cell>
          <cell r="N1476" t="str">
            <v>SG&amp;A</v>
          </cell>
          <cell r="O1476" t="str">
            <v>Consul + SRL</v>
          </cell>
        </row>
        <row r="1477">
          <cell r="D1477">
            <v>12.49</v>
          </cell>
          <cell r="H1477">
            <v>45383</v>
          </cell>
          <cell r="I1477" t="str">
            <v>6375 - Freight Expenses</v>
          </cell>
          <cell r="J1477" t="str">
            <v>Ecommerce (US)</v>
          </cell>
          <cell r="K1477" t="str">
            <v>Ecommerce</v>
          </cell>
          <cell r="L1477" t="str">
            <v>Freight</v>
          </cell>
          <cell r="N1477" t="str">
            <v>Direct Costs</v>
          </cell>
          <cell r="O1477" t="str">
            <v>Federal Express</v>
          </cell>
        </row>
        <row r="1478">
          <cell r="D1478">
            <v>33.43</v>
          </cell>
          <cell r="H1478">
            <v>45383</v>
          </cell>
          <cell r="I1478" t="str">
            <v>6375 - Freight Expenses</v>
          </cell>
          <cell r="J1478" t="str">
            <v>Ecommerce (US)</v>
          </cell>
          <cell r="K1478" t="str">
            <v>Ecommerce</v>
          </cell>
          <cell r="L1478" t="str">
            <v>Freight</v>
          </cell>
          <cell r="N1478" t="str">
            <v>Direct Costs</v>
          </cell>
          <cell r="O1478" t="str">
            <v>Federal Express</v>
          </cell>
        </row>
        <row r="1479">
          <cell r="D1479">
            <v>400.8</v>
          </cell>
          <cell r="H1479">
            <v>45383</v>
          </cell>
          <cell r="I1479" t="str">
            <v>6040 - Employer Paid Benefits</v>
          </cell>
          <cell r="J1479">
            <v>0</v>
          </cell>
          <cell r="K1479" t="str">
            <v>Production</v>
          </cell>
          <cell r="L1479" t="str">
            <v>HQ Salaries</v>
          </cell>
          <cell r="N1479" t="str">
            <v>SG&amp;A</v>
          </cell>
          <cell r="O1479" t="str">
            <v>Procyon Benefits LLC</v>
          </cell>
        </row>
        <row r="1480">
          <cell r="D1480">
            <v>70.97</v>
          </cell>
          <cell r="H1480">
            <v>45383</v>
          </cell>
          <cell r="I1480" t="str">
            <v>6040 - Employer Paid Benefits</v>
          </cell>
          <cell r="J1480">
            <v>0</v>
          </cell>
          <cell r="K1480" t="str">
            <v>Merchandising</v>
          </cell>
          <cell r="L1480" t="str">
            <v>HQ Salaries</v>
          </cell>
          <cell r="N1480" t="str">
            <v>SG&amp;A</v>
          </cell>
          <cell r="O1480" t="str">
            <v>Procyon Benefits LLC</v>
          </cell>
        </row>
        <row r="1481">
          <cell r="D1481">
            <v>36.75</v>
          </cell>
          <cell r="H1481">
            <v>45383</v>
          </cell>
          <cell r="I1481" t="str">
            <v>6040 - Employer Paid Benefits</v>
          </cell>
          <cell r="J1481" t="str">
            <v>Ecommerce (US)</v>
          </cell>
          <cell r="K1481" t="str">
            <v>Ecommerce</v>
          </cell>
          <cell r="L1481" t="str">
            <v>HQ Salaries</v>
          </cell>
          <cell r="N1481" t="str">
            <v>SG&amp;A</v>
          </cell>
          <cell r="O1481" t="str">
            <v>Procyon Benefits LLC</v>
          </cell>
        </row>
        <row r="1482">
          <cell r="D1482">
            <v>126.2</v>
          </cell>
          <cell r="H1482">
            <v>45383</v>
          </cell>
          <cell r="I1482" t="str">
            <v>6040 - Employer Paid Benefits</v>
          </cell>
          <cell r="J1482">
            <v>0</v>
          </cell>
          <cell r="K1482" t="str">
            <v>Executive</v>
          </cell>
          <cell r="L1482" t="str">
            <v>HQ Salaries</v>
          </cell>
          <cell r="N1482" t="str">
            <v>SG&amp;A</v>
          </cell>
          <cell r="O1482" t="str">
            <v>Procyon Benefits LLC</v>
          </cell>
        </row>
        <row r="1483">
          <cell r="D1483">
            <v>3784.51</v>
          </cell>
          <cell r="H1483">
            <v>45383</v>
          </cell>
          <cell r="I1483" t="str">
            <v>6375 - Freight Expenses</v>
          </cell>
          <cell r="J1483" t="str">
            <v>Ecommerce (EU)</v>
          </cell>
          <cell r="K1483" t="str">
            <v>Ecommerce</v>
          </cell>
          <cell r="L1483" t="str">
            <v>Freight</v>
          </cell>
          <cell r="N1483" t="str">
            <v>Direct Costs</v>
          </cell>
          <cell r="O1483" t="str">
            <v>Global E</v>
          </cell>
        </row>
        <row r="1484">
          <cell r="D1484">
            <v>4866.0200000000004</v>
          </cell>
          <cell r="H1484">
            <v>45383</v>
          </cell>
          <cell r="I1484" t="str">
            <v>6450 - Bank &amp; Other Fees</v>
          </cell>
          <cell r="J1484" t="str">
            <v>Ecommerce (EU)</v>
          </cell>
          <cell r="K1484" t="str">
            <v>Ecommerce</v>
          </cell>
          <cell r="L1484" t="str">
            <v>Professional Service</v>
          </cell>
          <cell r="N1484" t="str">
            <v>Direct Costs</v>
          </cell>
          <cell r="O1484" t="str">
            <v>[No Vendor]</v>
          </cell>
        </row>
        <row r="1485">
          <cell r="D1485">
            <v>25</v>
          </cell>
          <cell r="H1485">
            <v>45383</v>
          </cell>
          <cell r="I1485" t="str">
            <v>6040 - Employer Paid Benefits</v>
          </cell>
          <cell r="J1485">
            <v>0</v>
          </cell>
          <cell r="K1485" t="str">
            <v>Administration</v>
          </cell>
          <cell r="L1485" t="str">
            <v>HQ Salaries</v>
          </cell>
          <cell r="N1485" t="str">
            <v>SG&amp;A</v>
          </cell>
          <cell r="O1485" t="str">
            <v>Lifetime Benefit Solutions, Inc</v>
          </cell>
        </row>
        <row r="1486">
          <cell r="D1486">
            <v>-9440</v>
          </cell>
          <cell r="H1486">
            <v>45383</v>
          </cell>
          <cell r="I1486" t="str">
            <v>6485 - Other Income</v>
          </cell>
          <cell r="J1486" t="str">
            <v>Wholesale</v>
          </cell>
          <cell r="K1486" t="str">
            <v>Wholesale</v>
          </cell>
          <cell r="L1486">
            <v>0</v>
          </cell>
          <cell r="N1486">
            <v>0</v>
          </cell>
          <cell r="O1486" t="str">
            <v>[No Vendor]</v>
          </cell>
        </row>
        <row r="1487">
          <cell r="D1487">
            <v>796.74</v>
          </cell>
          <cell r="H1487">
            <v>45383</v>
          </cell>
          <cell r="I1487" t="str">
            <v>6375 - Freight Expenses</v>
          </cell>
          <cell r="J1487">
            <v>0</v>
          </cell>
          <cell r="K1487" t="str">
            <v>Production</v>
          </cell>
          <cell r="L1487" t="str">
            <v>Freight</v>
          </cell>
          <cell r="N1487" t="str">
            <v>Direct Costs</v>
          </cell>
          <cell r="O1487" t="str">
            <v>DHL Express - USA</v>
          </cell>
        </row>
        <row r="1488">
          <cell r="D1488">
            <v>215.8</v>
          </cell>
          <cell r="H1488">
            <v>45383</v>
          </cell>
          <cell r="I1488" t="str">
            <v>6340 - Miscellaneous Expense</v>
          </cell>
          <cell r="J1488" t="str">
            <v>Wholesale</v>
          </cell>
          <cell r="K1488" t="str">
            <v>Wholesale</v>
          </cell>
          <cell r="L1488" t="str">
            <v>Other</v>
          </cell>
          <cell r="N1488" t="str">
            <v>SG&amp;A</v>
          </cell>
          <cell r="O1488" t="str">
            <v>Bridgette Stacom</v>
          </cell>
        </row>
        <row r="1489">
          <cell r="D1489">
            <v>21</v>
          </cell>
          <cell r="H1489">
            <v>45383</v>
          </cell>
          <cell r="I1489" t="str">
            <v>6130 - Mileage</v>
          </cell>
          <cell r="J1489" t="str">
            <v>Wholesale</v>
          </cell>
          <cell r="K1489" t="str">
            <v>Wholesale</v>
          </cell>
          <cell r="L1489" t="str">
            <v>T&amp;E</v>
          </cell>
          <cell r="N1489" t="str">
            <v>SG&amp;A</v>
          </cell>
          <cell r="O1489" t="str">
            <v>Bridgette Stacom</v>
          </cell>
        </row>
        <row r="1490">
          <cell r="D1490">
            <v>713.37</v>
          </cell>
          <cell r="H1490">
            <v>45383</v>
          </cell>
          <cell r="I1490" t="str">
            <v>6120 - Lodging</v>
          </cell>
          <cell r="J1490" t="str">
            <v>Wholesale</v>
          </cell>
          <cell r="K1490" t="str">
            <v>Wholesale</v>
          </cell>
          <cell r="L1490" t="str">
            <v>T&amp;E</v>
          </cell>
          <cell r="N1490" t="str">
            <v>SG&amp;A</v>
          </cell>
          <cell r="O1490" t="str">
            <v>Bridgette Stacom</v>
          </cell>
        </row>
        <row r="1491">
          <cell r="D1491">
            <v>2142.5</v>
          </cell>
          <cell r="H1491">
            <v>45383</v>
          </cell>
          <cell r="I1491" t="str">
            <v>6300 - Payroll Service Fees</v>
          </cell>
          <cell r="J1491">
            <v>0</v>
          </cell>
          <cell r="K1491" t="str">
            <v>Administration</v>
          </cell>
          <cell r="L1491" t="str">
            <v>Professional Service</v>
          </cell>
          <cell r="N1491" t="str">
            <v>SG&amp;A</v>
          </cell>
          <cell r="O1491" t="str">
            <v>OperationsInc, LLC</v>
          </cell>
        </row>
        <row r="1492">
          <cell r="D1492">
            <v>1018.63</v>
          </cell>
          <cell r="H1492">
            <v>45383</v>
          </cell>
          <cell r="I1492" t="str">
            <v>6125 - Transportation and Fuel</v>
          </cell>
          <cell r="J1492" t="str">
            <v>Wholesale</v>
          </cell>
          <cell r="K1492" t="str">
            <v>Wholesale</v>
          </cell>
          <cell r="L1492" t="str">
            <v>T&amp;E</v>
          </cell>
          <cell r="N1492" t="str">
            <v>SG&amp;A</v>
          </cell>
          <cell r="O1492" t="str">
            <v>Bridgette Stacom</v>
          </cell>
        </row>
        <row r="1493">
          <cell r="D1493">
            <v>139.87</v>
          </cell>
          <cell r="H1493">
            <v>45383</v>
          </cell>
          <cell r="I1493" t="str">
            <v>6105 - Meals</v>
          </cell>
          <cell r="J1493" t="str">
            <v>Wholesale</v>
          </cell>
          <cell r="K1493" t="str">
            <v>Wholesale</v>
          </cell>
          <cell r="L1493" t="str">
            <v>T&amp;E</v>
          </cell>
          <cell r="N1493" t="str">
            <v>SG&amp;A</v>
          </cell>
          <cell r="O1493" t="str">
            <v>Bridgette Stacom</v>
          </cell>
        </row>
        <row r="1494">
          <cell r="D1494">
            <v>62.71</v>
          </cell>
          <cell r="H1494">
            <v>45383</v>
          </cell>
          <cell r="I1494" t="str">
            <v>6375 - Freight Expenses</v>
          </cell>
          <cell r="J1494">
            <v>0</v>
          </cell>
          <cell r="K1494" t="str">
            <v>Production</v>
          </cell>
          <cell r="L1494" t="str">
            <v>Freight</v>
          </cell>
          <cell r="N1494" t="str">
            <v>Direct Costs</v>
          </cell>
          <cell r="O1494" t="str">
            <v>DHL Express - USA</v>
          </cell>
        </row>
        <row r="1495">
          <cell r="D1495">
            <v>3899.37</v>
          </cell>
          <cell r="H1495">
            <v>45383</v>
          </cell>
          <cell r="I1495" t="str">
            <v>6393 - Software</v>
          </cell>
          <cell r="J1495">
            <v>0</v>
          </cell>
          <cell r="K1495" t="str">
            <v>Administration</v>
          </cell>
          <cell r="L1495" t="str">
            <v>Professional Service</v>
          </cell>
          <cell r="N1495" t="str">
            <v>Direct Costs</v>
          </cell>
          <cell r="O1495" t="str">
            <v>F&amp;F Korea</v>
          </cell>
        </row>
        <row r="1496">
          <cell r="D1496">
            <v>35</v>
          </cell>
          <cell r="H1496">
            <v>45383</v>
          </cell>
          <cell r="I1496" t="str">
            <v>6450 - Bank &amp; Other Fees</v>
          </cell>
          <cell r="J1496">
            <v>0</v>
          </cell>
          <cell r="K1496" t="str">
            <v>Licensing</v>
          </cell>
          <cell r="L1496" t="str">
            <v>Professional Service</v>
          </cell>
          <cell r="N1496" t="str">
            <v>SG&amp;A</v>
          </cell>
          <cell r="O1496" t="str">
            <v>ESSA GRUP DIS TIC LTD STI</v>
          </cell>
        </row>
        <row r="1497">
          <cell r="D1497">
            <v>225</v>
          </cell>
          <cell r="H1497">
            <v>45383</v>
          </cell>
          <cell r="I1497" t="str">
            <v>6420 - Licenses &amp; Membership</v>
          </cell>
          <cell r="J1497">
            <v>0</v>
          </cell>
          <cell r="K1497" t="str">
            <v>Administration</v>
          </cell>
          <cell r="L1497" t="str">
            <v>Professional Service</v>
          </cell>
          <cell r="N1497" t="str">
            <v>SG&amp;A</v>
          </cell>
          <cell r="O1497" t="str">
            <v>[No Vendor]</v>
          </cell>
        </row>
        <row r="1498">
          <cell r="D1498">
            <v>500</v>
          </cell>
          <cell r="H1498">
            <v>45383</v>
          </cell>
          <cell r="I1498" t="str">
            <v>6380 - Legal &amp; Accounting</v>
          </cell>
          <cell r="J1498">
            <v>0</v>
          </cell>
          <cell r="K1498" t="str">
            <v>Administration</v>
          </cell>
          <cell r="L1498" t="str">
            <v>Professional Service</v>
          </cell>
          <cell r="N1498" t="str">
            <v>SG&amp;A</v>
          </cell>
          <cell r="O1498" t="str">
            <v>Ko &amp; Yun, LLP - IP Holding</v>
          </cell>
        </row>
        <row r="1499">
          <cell r="D1499">
            <v>1000</v>
          </cell>
          <cell r="H1499">
            <v>45383</v>
          </cell>
          <cell r="I1499" t="str">
            <v>6380 - Legal &amp; Accounting</v>
          </cell>
          <cell r="J1499">
            <v>0</v>
          </cell>
          <cell r="K1499" t="str">
            <v>Administration</v>
          </cell>
          <cell r="L1499" t="str">
            <v>Professional Service</v>
          </cell>
          <cell r="N1499" t="str">
            <v>SG&amp;A</v>
          </cell>
          <cell r="O1499" t="str">
            <v>Ko &amp; Yun, LLP - Operations</v>
          </cell>
        </row>
        <row r="1500">
          <cell r="D1500">
            <v>19.899999999999999</v>
          </cell>
          <cell r="H1500">
            <v>45383</v>
          </cell>
          <cell r="I1500" t="str">
            <v>8505 - Realized Gain/Loss</v>
          </cell>
          <cell r="J1500">
            <v>0</v>
          </cell>
          <cell r="K1500" t="str">
            <v>No Department</v>
          </cell>
          <cell r="L1500" t="str">
            <v>Realized Gain / Loss</v>
          </cell>
          <cell r="N1500" t="str">
            <v>BTL</v>
          </cell>
          <cell r="O1500" t="str">
            <v>[No Vendor]</v>
          </cell>
        </row>
        <row r="1501">
          <cell r="D1501">
            <v>717.64</v>
          </cell>
          <cell r="H1501">
            <v>45383</v>
          </cell>
          <cell r="I1501" t="str">
            <v>8505 - Realized Gain/Loss</v>
          </cell>
          <cell r="J1501">
            <v>0</v>
          </cell>
          <cell r="K1501" t="str">
            <v>No Department</v>
          </cell>
          <cell r="L1501" t="str">
            <v>Realized Gain / Loss</v>
          </cell>
          <cell r="N1501" t="str">
            <v>BTL</v>
          </cell>
          <cell r="O1501" t="str">
            <v>[No Vendor]</v>
          </cell>
        </row>
        <row r="1502">
          <cell r="D1502">
            <v>0.62</v>
          </cell>
          <cell r="H1502">
            <v>45383</v>
          </cell>
          <cell r="I1502" t="str">
            <v>8505 - Realized Gain/Loss</v>
          </cell>
          <cell r="J1502">
            <v>0</v>
          </cell>
          <cell r="K1502" t="str">
            <v>No Department</v>
          </cell>
          <cell r="L1502" t="str">
            <v>Realized Gain / Loss</v>
          </cell>
          <cell r="N1502" t="str">
            <v>BTL</v>
          </cell>
          <cell r="O1502" t="str">
            <v>[No Vendor]</v>
          </cell>
        </row>
        <row r="1503">
          <cell r="D1503">
            <v>337.32</v>
          </cell>
          <cell r="H1503">
            <v>45383</v>
          </cell>
          <cell r="I1503" t="str">
            <v>6300 - Payroll Service Fees</v>
          </cell>
          <cell r="J1503">
            <v>0</v>
          </cell>
          <cell r="K1503" t="str">
            <v>Administration</v>
          </cell>
          <cell r="L1503" t="str">
            <v>Professional Service</v>
          </cell>
          <cell r="N1503" t="str">
            <v>SG&amp;A</v>
          </cell>
          <cell r="O1503" t="str">
            <v>ADP Payroll Services</v>
          </cell>
        </row>
        <row r="1504">
          <cell r="D1504">
            <v>33897.410000000003</v>
          </cell>
          <cell r="H1504">
            <v>45383</v>
          </cell>
          <cell r="I1504" t="str">
            <v>6375 - Freight Expenses</v>
          </cell>
          <cell r="J1504" t="str">
            <v>Ecommerce (US)</v>
          </cell>
          <cell r="K1504" t="str">
            <v>Ecommerce</v>
          </cell>
          <cell r="L1504" t="str">
            <v>Freight</v>
          </cell>
          <cell r="N1504" t="str">
            <v>Direct Costs</v>
          </cell>
          <cell r="O1504" t="str">
            <v>UPS Supply Chain Solutions Inc. (7F24A0)</v>
          </cell>
        </row>
        <row r="1505">
          <cell r="D1505">
            <v>411.81</v>
          </cell>
          <cell r="H1505">
            <v>45383</v>
          </cell>
          <cell r="I1505" t="str">
            <v>6400 - Utilities</v>
          </cell>
          <cell r="J1505">
            <v>0</v>
          </cell>
          <cell r="K1505" t="str">
            <v>Administration</v>
          </cell>
          <cell r="L1505" t="str">
            <v>Other</v>
          </cell>
          <cell r="N1505" t="str">
            <v>SG&amp;A</v>
          </cell>
          <cell r="O1505" t="str">
            <v>Verizon</v>
          </cell>
        </row>
        <row r="1506">
          <cell r="D1506">
            <v>35</v>
          </cell>
          <cell r="H1506">
            <v>45383</v>
          </cell>
          <cell r="I1506" t="str">
            <v>6040 - Employer Paid Benefits</v>
          </cell>
          <cell r="J1506">
            <v>0</v>
          </cell>
          <cell r="K1506" t="str">
            <v>Design</v>
          </cell>
          <cell r="L1506" t="str">
            <v>HQ Salaries</v>
          </cell>
          <cell r="N1506" t="str">
            <v>SG&amp;A</v>
          </cell>
          <cell r="O1506" t="str">
            <v>Procyon Benefits LLC</v>
          </cell>
        </row>
        <row r="1507">
          <cell r="D1507">
            <v>240</v>
          </cell>
          <cell r="H1507">
            <v>45383</v>
          </cell>
          <cell r="I1507" t="str">
            <v>6288 - Model</v>
          </cell>
          <cell r="J1507" t="str">
            <v>Ecommerce (US)</v>
          </cell>
          <cell r="K1507" t="str">
            <v>Brand Marketing</v>
          </cell>
          <cell r="L1507" t="str">
            <v>Advertising</v>
          </cell>
          <cell r="N1507" t="str">
            <v>SG&amp;A</v>
          </cell>
          <cell r="O1507" t="str">
            <v>State Artist Management</v>
          </cell>
        </row>
        <row r="1508">
          <cell r="D1508">
            <v>847.42</v>
          </cell>
          <cell r="H1508">
            <v>45383</v>
          </cell>
          <cell r="I1508" t="str">
            <v>6430 - Dues &amp; Memberships</v>
          </cell>
          <cell r="J1508" t="str">
            <v>Wholesale</v>
          </cell>
          <cell r="K1508" t="str">
            <v>Wholesale</v>
          </cell>
          <cell r="L1508" t="str">
            <v>Professional Service</v>
          </cell>
          <cell r="N1508" t="str">
            <v>Direct Costs</v>
          </cell>
          <cell r="O1508" t="str">
            <v>SPS Commerce</v>
          </cell>
        </row>
        <row r="1509">
          <cell r="D1509">
            <v>57.85</v>
          </cell>
          <cell r="H1509">
            <v>45383</v>
          </cell>
          <cell r="I1509" t="str">
            <v>6375 - Freight Expenses</v>
          </cell>
          <cell r="J1509" t="str">
            <v>Ecommerce (US)</v>
          </cell>
          <cell r="K1509" t="str">
            <v>Ecommerce</v>
          </cell>
          <cell r="L1509" t="str">
            <v>Freight</v>
          </cell>
          <cell r="N1509" t="str">
            <v>Direct Costs</v>
          </cell>
          <cell r="O1509" t="str">
            <v>Federal Express</v>
          </cell>
        </row>
        <row r="1510">
          <cell r="D1510">
            <v>140.19999999999999</v>
          </cell>
          <cell r="H1510">
            <v>45383</v>
          </cell>
          <cell r="I1510" t="str">
            <v>6375 - Freight Expenses</v>
          </cell>
          <cell r="J1510" t="str">
            <v>Ecommerce (US)</v>
          </cell>
          <cell r="K1510" t="str">
            <v>Ecommerce</v>
          </cell>
          <cell r="L1510" t="str">
            <v>Freight</v>
          </cell>
          <cell r="N1510" t="str">
            <v>Direct Costs</v>
          </cell>
          <cell r="O1510" t="str">
            <v>Federal Express</v>
          </cell>
        </row>
        <row r="1511">
          <cell r="D1511">
            <v>120.05</v>
          </cell>
          <cell r="H1511">
            <v>45383</v>
          </cell>
          <cell r="I1511" t="str">
            <v>6040 - Employer Paid Benefits</v>
          </cell>
          <cell r="J1511">
            <v>0</v>
          </cell>
          <cell r="K1511" t="str">
            <v>Production</v>
          </cell>
          <cell r="L1511" t="str">
            <v>HQ Salaries</v>
          </cell>
          <cell r="N1511" t="str">
            <v>SG&amp;A</v>
          </cell>
          <cell r="O1511" t="str">
            <v>Procyon Benefits LLC</v>
          </cell>
        </row>
        <row r="1512">
          <cell r="D1512">
            <v>17.399999999999999</v>
          </cell>
          <cell r="H1512">
            <v>45383</v>
          </cell>
          <cell r="I1512" t="str">
            <v>6040 - Employer Paid Benefits</v>
          </cell>
          <cell r="J1512">
            <v>0</v>
          </cell>
          <cell r="K1512" t="str">
            <v>Merchandising</v>
          </cell>
          <cell r="L1512" t="str">
            <v>HQ Salaries</v>
          </cell>
          <cell r="N1512" t="str">
            <v>SG&amp;A</v>
          </cell>
          <cell r="O1512" t="str">
            <v>Procyon Benefits LLC</v>
          </cell>
        </row>
        <row r="1513">
          <cell r="D1513">
            <v>79.75</v>
          </cell>
          <cell r="H1513">
            <v>45383</v>
          </cell>
          <cell r="I1513" t="str">
            <v>6040 - Employer Paid Benefits</v>
          </cell>
          <cell r="J1513" t="str">
            <v>Ecommerce (US)</v>
          </cell>
          <cell r="K1513" t="str">
            <v>Ecommerce</v>
          </cell>
          <cell r="L1513" t="str">
            <v>HQ Salaries</v>
          </cell>
          <cell r="N1513" t="str">
            <v>SG&amp;A</v>
          </cell>
          <cell r="O1513" t="str">
            <v>Procyon Benefits LLC</v>
          </cell>
        </row>
        <row r="1514">
          <cell r="D1514">
            <v>4.75</v>
          </cell>
          <cell r="H1514">
            <v>45383</v>
          </cell>
          <cell r="I1514" t="str">
            <v>6040 - Employer Paid Benefits</v>
          </cell>
          <cell r="J1514">
            <v>0</v>
          </cell>
          <cell r="K1514" t="str">
            <v>Executive</v>
          </cell>
          <cell r="L1514" t="str">
            <v>HQ Salaries</v>
          </cell>
          <cell r="N1514" t="str">
            <v>SG&amp;A</v>
          </cell>
          <cell r="O1514" t="str">
            <v>Procyon Benefits LLC</v>
          </cell>
        </row>
        <row r="1515">
          <cell r="D1515">
            <v>4750</v>
          </cell>
          <cell r="H1515">
            <v>45383</v>
          </cell>
          <cell r="I1515" t="str">
            <v>6375 - Freight Expenses</v>
          </cell>
          <cell r="J1515" t="str">
            <v>Ecommerce (US)</v>
          </cell>
          <cell r="K1515" t="str">
            <v>Ecommerce</v>
          </cell>
          <cell r="L1515" t="str">
            <v>Freight</v>
          </cell>
          <cell r="N1515" t="str">
            <v>Direct Costs</v>
          </cell>
          <cell r="O1515" t="str">
            <v>Easy Post</v>
          </cell>
        </row>
        <row r="1516">
          <cell r="D1516">
            <v>5872.39</v>
          </cell>
          <cell r="H1516">
            <v>45383</v>
          </cell>
          <cell r="I1516" t="str">
            <v>6450 - Bank &amp; Other Fees</v>
          </cell>
          <cell r="J1516" t="str">
            <v>Ecommerce (EU)</v>
          </cell>
          <cell r="K1516" t="str">
            <v>Ecommerce</v>
          </cell>
          <cell r="L1516" t="str">
            <v>Professional Service</v>
          </cell>
          <cell r="N1516" t="str">
            <v>Direct Costs</v>
          </cell>
          <cell r="O1516" t="str">
            <v>[No Vendor]</v>
          </cell>
        </row>
        <row r="1517">
          <cell r="D1517">
            <v>4536.72</v>
          </cell>
          <cell r="H1517">
            <v>45383</v>
          </cell>
          <cell r="I1517" t="str">
            <v>6375 - Freight Expenses</v>
          </cell>
          <cell r="J1517" t="str">
            <v>Ecommerce (EU)</v>
          </cell>
          <cell r="K1517" t="str">
            <v>Ecommerce</v>
          </cell>
          <cell r="L1517" t="str">
            <v>Freight</v>
          </cell>
          <cell r="N1517" t="str">
            <v>Direct Costs</v>
          </cell>
          <cell r="O1517" t="str">
            <v>Global E</v>
          </cell>
        </row>
        <row r="1518">
          <cell r="D1518">
            <v>125.5</v>
          </cell>
          <cell r="H1518">
            <v>45383</v>
          </cell>
          <cell r="I1518" t="str">
            <v>6040 - Employer Paid Benefits</v>
          </cell>
          <cell r="J1518">
            <v>0</v>
          </cell>
          <cell r="K1518" t="str">
            <v>Administration</v>
          </cell>
          <cell r="L1518" t="str">
            <v>HQ Salaries</v>
          </cell>
          <cell r="N1518" t="str">
            <v>SG&amp;A</v>
          </cell>
          <cell r="O1518" t="str">
            <v>Progressive Benefit Solutions LLC</v>
          </cell>
        </row>
        <row r="1519">
          <cell r="D1519">
            <v>38805.15</v>
          </cell>
          <cell r="H1519">
            <v>45383</v>
          </cell>
          <cell r="I1519" t="str">
            <v>6377 - Order Processing Expenses (New)</v>
          </cell>
          <cell r="J1519" t="str">
            <v>Ecommerce (US)</v>
          </cell>
          <cell r="K1519" t="str">
            <v>Ecommerce</v>
          </cell>
          <cell r="L1519" t="str">
            <v>Order Processing</v>
          </cell>
          <cell r="N1519" t="str">
            <v>Direct Costs</v>
          </cell>
          <cell r="O1519" t="str">
            <v>Bergen Logistics Corporation</v>
          </cell>
        </row>
        <row r="1520">
          <cell r="D1520">
            <v>13617.05</v>
          </cell>
          <cell r="H1520">
            <v>45383</v>
          </cell>
          <cell r="I1520" t="str">
            <v>6377 - Order Processing Expenses (New)</v>
          </cell>
          <cell r="J1520" t="str">
            <v>Wholesale</v>
          </cell>
          <cell r="K1520" t="str">
            <v>Wholesale</v>
          </cell>
          <cell r="L1520" t="str">
            <v>Order Processing</v>
          </cell>
          <cell r="N1520" t="str">
            <v>Direct Costs</v>
          </cell>
          <cell r="O1520" t="str">
            <v>Bergen Logistics Corporation</v>
          </cell>
        </row>
        <row r="1521">
          <cell r="D1521">
            <v>38342.720000000001</v>
          </cell>
          <cell r="H1521">
            <v>45383</v>
          </cell>
          <cell r="I1521" t="str">
            <v>6286 - SEM</v>
          </cell>
          <cell r="J1521" t="str">
            <v>Ecommerce (US)</v>
          </cell>
          <cell r="K1521" t="str">
            <v>Brand Marketing</v>
          </cell>
          <cell r="L1521" t="str">
            <v>Professional Service</v>
          </cell>
          <cell r="N1521" t="str">
            <v>Direct Costs</v>
          </cell>
          <cell r="O1521" t="str">
            <v>Attentive Mobile Inc.</v>
          </cell>
        </row>
        <row r="1522">
          <cell r="D1522">
            <v>522.5</v>
          </cell>
          <cell r="H1522">
            <v>45383</v>
          </cell>
          <cell r="I1522" t="str">
            <v>6380 - Legal &amp; Accounting</v>
          </cell>
          <cell r="J1522">
            <v>0</v>
          </cell>
          <cell r="K1522" t="str">
            <v>Administration</v>
          </cell>
          <cell r="L1522" t="str">
            <v>Professional Service</v>
          </cell>
          <cell r="N1522" t="str">
            <v>SG&amp;A</v>
          </cell>
          <cell r="O1522" t="str">
            <v>Alan Lungen, Attorney at Law</v>
          </cell>
        </row>
        <row r="1523">
          <cell r="D1523">
            <v>10634.17</v>
          </cell>
          <cell r="H1523">
            <v>45383</v>
          </cell>
          <cell r="I1523" t="str">
            <v>6380 - Legal &amp; Accounting</v>
          </cell>
          <cell r="J1523">
            <v>0</v>
          </cell>
          <cell r="K1523" t="str">
            <v>Administration</v>
          </cell>
          <cell r="L1523" t="str">
            <v>Professional Service</v>
          </cell>
          <cell r="N1523" t="str">
            <v>SG&amp;A</v>
          </cell>
          <cell r="O1523" t="str">
            <v>The Wave IP Law Firm</v>
          </cell>
        </row>
        <row r="1524">
          <cell r="D1524">
            <v>840</v>
          </cell>
          <cell r="H1524">
            <v>45383</v>
          </cell>
          <cell r="I1524" t="str">
            <v>6520 - Taxes and Licenses</v>
          </cell>
          <cell r="J1524" t="str">
            <v>Ecommerce (US)</v>
          </cell>
          <cell r="K1524" t="str">
            <v>Ecommerce</v>
          </cell>
          <cell r="L1524" t="str">
            <v>Other</v>
          </cell>
          <cell r="N1524" t="str">
            <v>SG&amp;A</v>
          </cell>
          <cell r="O1524" t="str">
            <v>Avalara, Inc</v>
          </cell>
        </row>
        <row r="1525">
          <cell r="D1525">
            <v>728</v>
          </cell>
          <cell r="H1525">
            <v>45383</v>
          </cell>
          <cell r="I1525" t="str">
            <v>6520 - Taxes and Licenses</v>
          </cell>
          <cell r="J1525" t="str">
            <v>Ecommerce (US)</v>
          </cell>
          <cell r="K1525" t="str">
            <v>Ecommerce</v>
          </cell>
          <cell r="L1525" t="str">
            <v>Other</v>
          </cell>
          <cell r="N1525" t="str">
            <v>SG&amp;A</v>
          </cell>
          <cell r="O1525" t="str">
            <v>Avalara, Inc</v>
          </cell>
        </row>
        <row r="1526">
          <cell r="D1526">
            <v>6</v>
          </cell>
          <cell r="H1526">
            <v>45383</v>
          </cell>
          <cell r="I1526" t="str">
            <v>6140 - Other</v>
          </cell>
          <cell r="J1526">
            <v>0</v>
          </cell>
          <cell r="K1526" t="str">
            <v>Administration</v>
          </cell>
          <cell r="L1526" t="str">
            <v>T&amp;E</v>
          </cell>
          <cell r="N1526" t="str">
            <v>SG&amp;A</v>
          </cell>
          <cell r="O1526" t="str">
            <v>[No Vendor]</v>
          </cell>
        </row>
        <row r="1527">
          <cell r="D1527">
            <v>276.95999999999998</v>
          </cell>
          <cell r="H1527">
            <v>45383</v>
          </cell>
          <cell r="I1527" t="str">
            <v>6120 - Lodging</v>
          </cell>
          <cell r="J1527">
            <v>0</v>
          </cell>
          <cell r="K1527" t="str">
            <v>Administration</v>
          </cell>
          <cell r="L1527" t="str">
            <v>T&amp;E</v>
          </cell>
          <cell r="N1527" t="str">
            <v>SG&amp;A</v>
          </cell>
          <cell r="O1527" t="str">
            <v>[No Vendor]</v>
          </cell>
        </row>
        <row r="1528">
          <cell r="D1528">
            <v>88</v>
          </cell>
          <cell r="H1528">
            <v>45383</v>
          </cell>
          <cell r="I1528" t="str">
            <v>6430 - Dues &amp; Memberships</v>
          </cell>
          <cell r="J1528" t="str">
            <v>Wholesale</v>
          </cell>
          <cell r="K1528" t="str">
            <v>Wholesale</v>
          </cell>
          <cell r="L1528" t="str">
            <v>Professional Service</v>
          </cell>
          <cell r="N1528" t="str">
            <v>Direct Costs</v>
          </cell>
          <cell r="O1528" t="str">
            <v>SPS Commerce</v>
          </cell>
        </row>
        <row r="1529">
          <cell r="D1529">
            <v>508.08</v>
          </cell>
          <cell r="H1529">
            <v>45383</v>
          </cell>
          <cell r="I1529" t="str">
            <v>6300 - Payroll Service Fees</v>
          </cell>
          <cell r="J1529">
            <v>0</v>
          </cell>
          <cell r="K1529" t="str">
            <v>Administration</v>
          </cell>
          <cell r="L1529" t="str">
            <v>Professional Service</v>
          </cell>
          <cell r="N1529" t="str">
            <v>SG&amp;A</v>
          </cell>
          <cell r="O1529" t="str">
            <v>ADP Payroll Services</v>
          </cell>
        </row>
        <row r="1530">
          <cell r="D1530">
            <v>150</v>
          </cell>
          <cell r="H1530">
            <v>45383</v>
          </cell>
          <cell r="I1530" t="str">
            <v>6225 - Professional Services</v>
          </cell>
          <cell r="J1530">
            <v>0</v>
          </cell>
          <cell r="K1530" t="str">
            <v>Administration</v>
          </cell>
          <cell r="L1530" t="str">
            <v>Professional Service</v>
          </cell>
          <cell r="N1530" t="str">
            <v>Direct Costs</v>
          </cell>
          <cell r="O1530" t="str">
            <v>Benefit Resource, LLC</v>
          </cell>
        </row>
        <row r="1531">
          <cell r="D1531">
            <v>124.21</v>
          </cell>
          <cell r="H1531">
            <v>45383</v>
          </cell>
          <cell r="I1531" t="str">
            <v>6115 - Airfare</v>
          </cell>
          <cell r="J1531">
            <v>0</v>
          </cell>
          <cell r="K1531" t="str">
            <v>Administration</v>
          </cell>
          <cell r="L1531" t="str">
            <v>T&amp;E</v>
          </cell>
          <cell r="N1531" t="str">
            <v>SG&amp;A</v>
          </cell>
          <cell r="O1531" t="str">
            <v>[No Vendor]</v>
          </cell>
        </row>
        <row r="1532">
          <cell r="D1532">
            <v>63.85</v>
          </cell>
          <cell r="H1532">
            <v>45383</v>
          </cell>
          <cell r="I1532" t="str">
            <v>6105 - Meals</v>
          </cell>
          <cell r="J1532">
            <v>0</v>
          </cell>
          <cell r="K1532" t="str">
            <v>Administration</v>
          </cell>
          <cell r="L1532" t="str">
            <v>T&amp;E</v>
          </cell>
          <cell r="N1532" t="str">
            <v>SG&amp;A</v>
          </cell>
          <cell r="O1532" t="str">
            <v>[No Vendor]</v>
          </cell>
        </row>
        <row r="1533">
          <cell r="D1533">
            <v>591.75</v>
          </cell>
          <cell r="H1533">
            <v>45383</v>
          </cell>
          <cell r="I1533" t="str">
            <v>6375 - Freight Expenses</v>
          </cell>
          <cell r="J1533" t="str">
            <v>Ecommerce (US)</v>
          </cell>
          <cell r="K1533" t="str">
            <v>Ecommerce</v>
          </cell>
          <cell r="L1533" t="str">
            <v>Freight</v>
          </cell>
          <cell r="N1533" t="str">
            <v>Direct Costs</v>
          </cell>
          <cell r="O1533" t="str">
            <v>Bergen Logistics Corporation</v>
          </cell>
        </row>
        <row r="1534">
          <cell r="D1534">
            <v>127.83</v>
          </cell>
          <cell r="H1534">
            <v>45383</v>
          </cell>
          <cell r="I1534" t="str">
            <v>6375 - Freight Expenses</v>
          </cell>
          <cell r="J1534" t="str">
            <v>Wholesale</v>
          </cell>
          <cell r="K1534" t="str">
            <v>Wholesale</v>
          </cell>
          <cell r="L1534" t="str">
            <v>Freight</v>
          </cell>
          <cell r="N1534" t="str">
            <v>Direct Costs</v>
          </cell>
          <cell r="O1534" t="str">
            <v>Bergen Logistics Corporation</v>
          </cell>
        </row>
        <row r="1535">
          <cell r="D1535">
            <v>2165.42</v>
          </cell>
          <cell r="H1535">
            <v>45383</v>
          </cell>
          <cell r="I1535" t="str">
            <v>6375 - Freight Expenses</v>
          </cell>
          <cell r="J1535">
            <v>0</v>
          </cell>
          <cell r="K1535" t="str">
            <v>Production</v>
          </cell>
          <cell r="L1535" t="str">
            <v>Freight</v>
          </cell>
          <cell r="N1535" t="str">
            <v>Direct Costs</v>
          </cell>
          <cell r="O1535" t="str">
            <v>DHL Express - USA</v>
          </cell>
        </row>
        <row r="1536">
          <cell r="D1536">
            <v>202.84</v>
          </cell>
          <cell r="H1536">
            <v>45383</v>
          </cell>
          <cell r="I1536" t="str">
            <v>6375 - Freight Expenses</v>
          </cell>
          <cell r="J1536">
            <v>0</v>
          </cell>
          <cell r="K1536" t="str">
            <v>Production</v>
          </cell>
          <cell r="L1536" t="str">
            <v>Freight</v>
          </cell>
          <cell r="N1536" t="str">
            <v>Direct Costs</v>
          </cell>
          <cell r="O1536" t="str">
            <v>DHL Express - USA</v>
          </cell>
        </row>
        <row r="1537">
          <cell r="D1537">
            <v>-2207.5</v>
          </cell>
          <cell r="H1537">
            <v>45383</v>
          </cell>
          <cell r="I1537" t="str">
            <v>6300 - Payroll Service Fees</v>
          </cell>
          <cell r="J1537">
            <v>0</v>
          </cell>
          <cell r="K1537" t="str">
            <v>No Department</v>
          </cell>
          <cell r="L1537" t="str">
            <v>Professional Service</v>
          </cell>
          <cell r="N1537" t="str">
            <v>SG&amp;A</v>
          </cell>
          <cell r="O1537" t="str">
            <v>OperationsInc, LLC</v>
          </cell>
        </row>
        <row r="1538">
          <cell r="D1538">
            <v>-17736.240000000002</v>
          </cell>
          <cell r="H1538">
            <v>45383</v>
          </cell>
          <cell r="I1538" t="str">
            <v>4010 - Revenue - Licensing Fees (Royalties)</v>
          </cell>
          <cell r="J1538">
            <v>0</v>
          </cell>
          <cell r="K1538" t="str">
            <v>Licensing</v>
          </cell>
          <cell r="L1538" t="str">
            <v>License</v>
          </cell>
          <cell r="N1538" t="str">
            <v>Revenue</v>
          </cell>
          <cell r="O1538" t="str">
            <v>[No Vendor]</v>
          </cell>
        </row>
        <row r="1539">
          <cell r="D1539">
            <v>0</v>
          </cell>
          <cell r="H1539">
            <v>45383</v>
          </cell>
          <cell r="I1539" t="str">
            <v>4045 - Sponsorships</v>
          </cell>
          <cell r="J1539">
            <v>0</v>
          </cell>
          <cell r="K1539" t="str">
            <v>Licensing</v>
          </cell>
          <cell r="L1539" t="str">
            <v>Other Income</v>
          </cell>
          <cell r="N1539" t="str">
            <v>Revenue</v>
          </cell>
          <cell r="O1539" t="str">
            <v>[No Vendor]</v>
          </cell>
        </row>
        <row r="1540">
          <cell r="D1540">
            <v>-4029.6</v>
          </cell>
          <cell r="H1540">
            <v>45383</v>
          </cell>
          <cell r="I1540" t="str">
            <v>4052 - Sales Revenue - Wholesale (US)</v>
          </cell>
          <cell r="J1540" t="str">
            <v>Wholesale</v>
          </cell>
          <cell r="K1540" t="str">
            <v>Wholesale</v>
          </cell>
          <cell r="L1540" t="str">
            <v>Wholesale</v>
          </cell>
          <cell r="N1540" t="str">
            <v>Revenue</v>
          </cell>
          <cell r="O1540" t="str">
            <v>[No Vendor]</v>
          </cell>
        </row>
        <row r="1541">
          <cell r="D1541">
            <v>-339530.5</v>
          </cell>
          <cell r="H1541">
            <v>45383</v>
          </cell>
          <cell r="I1541" t="str">
            <v>4052 - Sales Revenue - Wholesale (US)</v>
          </cell>
          <cell r="J1541" t="str">
            <v>Wholesale</v>
          </cell>
          <cell r="K1541" t="str">
            <v>Wholesale</v>
          </cell>
          <cell r="L1541" t="str">
            <v>Wholesale</v>
          </cell>
          <cell r="N1541" t="str">
            <v>Revenue</v>
          </cell>
          <cell r="O1541" t="str">
            <v>[No Vendor]</v>
          </cell>
        </row>
        <row r="1542">
          <cell r="D1542">
            <v>-1336765.68</v>
          </cell>
          <cell r="H1542">
            <v>45383</v>
          </cell>
          <cell r="I1542" t="str">
            <v>4050 - Sales Revenue - Ecommerce (US)</v>
          </cell>
          <cell r="J1542" t="str">
            <v>Ecommerce (US)</v>
          </cell>
          <cell r="K1542" t="str">
            <v>Ecommerce</v>
          </cell>
          <cell r="L1542" t="str">
            <v>Ecommerce (US)</v>
          </cell>
          <cell r="N1542" t="str">
            <v>Revenue</v>
          </cell>
          <cell r="O1542" t="str">
            <v>[No Vendor]</v>
          </cell>
        </row>
        <row r="1543">
          <cell r="D1543">
            <v>-72126.94</v>
          </cell>
          <cell r="H1543">
            <v>45383</v>
          </cell>
          <cell r="I1543" t="str">
            <v>4050 - Sales Revenue - Ecommerce (US)</v>
          </cell>
          <cell r="J1543" t="str">
            <v>Ecommerce (US)</v>
          </cell>
          <cell r="K1543" t="str">
            <v>Ecommerce</v>
          </cell>
          <cell r="L1543" t="str">
            <v>Ecommerce (US)</v>
          </cell>
          <cell r="N1543" t="str">
            <v>Revenue</v>
          </cell>
          <cell r="O1543" t="str">
            <v>[No Vendor]</v>
          </cell>
        </row>
        <row r="1544">
          <cell r="D1544">
            <v>5428.44</v>
          </cell>
          <cell r="H1544">
            <v>45383</v>
          </cell>
          <cell r="I1544" t="str">
            <v>4061 - Sales Discount - Ecomm (EU)</v>
          </cell>
          <cell r="J1544" t="str">
            <v>Ecommerce (EU)</v>
          </cell>
          <cell r="K1544" t="str">
            <v>Ecommerce</v>
          </cell>
          <cell r="L1544" t="str">
            <v>Ecommerce (EU)</v>
          </cell>
          <cell r="N1544" t="str">
            <v>Revenue</v>
          </cell>
          <cell r="O1544" t="str">
            <v>[No Vendor]</v>
          </cell>
        </row>
        <row r="1545">
          <cell r="D1545">
            <v>91.72</v>
          </cell>
          <cell r="H1545">
            <v>45383</v>
          </cell>
          <cell r="I1545" t="str">
            <v>6041 - Employee Benefit Other</v>
          </cell>
          <cell r="J1545" t="str">
            <v>Ecommerce (US)</v>
          </cell>
          <cell r="K1545" t="str">
            <v>Ecommerce</v>
          </cell>
          <cell r="L1545" t="str">
            <v>HQ Salaries</v>
          </cell>
          <cell r="N1545" t="str">
            <v>SG&amp;A</v>
          </cell>
          <cell r="O1545" t="str">
            <v>[No Vendor]</v>
          </cell>
        </row>
        <row r="1546">
          <cell r="D1546">
            <v>87.25</v>
          </cell>
          <cell r="H1546">
            <v>45383</v>
          </cell>
          <cell r="I1546" t="str">
            <v>6041 - Employee Benefit Other</v>
          </cell>
          <cell r="J1546">
            <v>0</v>
          </cell>
          <cell r="K1546" t="str">
            <v>Production</v>
          </cell>
          <cell r="L1546" t="str">
            <v>HQ Salaries</v>
          </cell>
          <cell r="N1546" t="str">
            <v>SG&amp;A</v>
          </cell>
          <cell r="O1546" t="str">
            <v>[No Vendor]</v>
          </cell>
        </row>
        <row r="1547">
          <cell r="D1547">
            <v>95.12</v>
          </cell>
          <cell r="H1547">
            <v>45383</v>
          </cell>
          <cell r="I1547" t="str">
            <v>6041 - Employee Benefit Other</v>
          </cell>
          <cell r="J1547">
            <v>0</v>
          </cell>
          <cell r="K1547" t="str">
            <v>Design</v>
          </cell>
          <cell r="L1547" t="str">
            <v>HQ Salaries</v>
          </cell>
          <cell r="N1547" t="str">
            <v>SG&amp;A</v>
          </cell>
          <cell r="O1547" t="str">
            <v>[No Vendor]</v>
          </cell>
        </row>
        <row r="1548">
          <cell r="D1548">
            <v>89</v>
          </cell>
          <cell r="H1548">
            <v>45383</v>
          </cell>
          <cell r="I1548" t="str">
            <v>6041 - Employee Benefit Other</v>
          </cell>
          <cell r="J1548">
            <v>0</v>
          </cell>
          <cell r="K1548" t="str">
            <v>Administration</v>
          </cell>
          <cell r="L1548" t="str">
            <v>HQ Salaries</v>
          </cell>
          <cell r="N1548" t="str">
            <v>SG&amp;A</v>
          </cell>
          <cell r="O1548" t="str">
            <v>[No Vendor]</v>
          </cell>
        </row>
        <row r="1549">
          <cell r="D1549">
            <v>105.51</v>
          </cell>
          <cell r="H1549">
            <v>45383</v>
          </cell>
          <cell r="I1549" t="str">
            <v>6041 - Employee Benefit Other</v>
          </cell>
          <cell r="J1549">
            <v>0</v>
          </cell>
          <cell r="K1549" t="str">
            <v>Administration</v>
          </cell>
          <cell r="L1549" t="str">
            <v>HQ Salaries</v>
          </cell>
          <cell r="N1549" t="str">
            <v>SG&amp;A</v>
          </cell>
          <cell r="O1549" t="str">
            <v>[No Vendor]</v>
          </cell>
        </row>
        <row r="1550">
          <cell r="D1550">
            <v>36537.39</v>
          </cell>
          <cell r="H1550">
            <v>45383</v>
          </cell>
          <cell r="I1550" t="str">
            <v>4051 - Sales Revenue - Ecommerce (Intl)</v>
          </cell>
          <cell r="J1550" t="str">
            <v>Ecommerce (EU)</v>
          </cell>
          <cell r="K1550" t="str">
            <v>Ecommerce</v>
          </cell>
          <cell r="L1550" t="str">
            <v>Ecommerce (EU)</v>
          </cell>
          <cell r="N1550" t="str">
            <v>Revenue</v>
          </cell>
          <cell r="O1550" t="str">
            <v>[No Vendor]</v>
          </cell>
        </row>
        <row r="1551">
          <cell r="D1551">
            <v>-246375.19</v>
          </cell>
          <cell r="H1551">
            <v>45383</v>
          </cell>
          <cell r="I1551" t="str">
            <v>4051 - Sales Revenue - Ecommerce (Intl)</v>
          </cell>
          <cell r="J1551" t="str">
            <v>Ecommerce (EU)</v>
          </cell>
          <cell r="K1551" t="str">
            <v>Ecommerce</v>
          </cell>
          <cell r="L1551" t="str">
            <v>Ecommerce (EU)</v>
          </cell>
          <cell r="N1551" t="str">
            <v>Revenue</v>
          </cell>
          <cell r="O1551" t="str">
            <v>[No Vendor]</v>
          </cell>
        </row>
        <row r="1552">
          <cell r="D1552">
            <v>400</v>
          </cell>
          <cell r="H1552">
            <v>45383</v>
          </cell>
          <cell r="I1552" t="str">
            <v>6377 - Order Processing Expenses (New)</v>
          </cell>
          <cell r="J1552" t="str">
            <v>Ecommerce (EU)</v>
          </cell>
          <cell r="K1552" t="str">
            <v>Ecommerce</v>
          </cell>
          <cell r="L1552" t="str">
            <v>Order Processing</v>
          </cell>
          <cell r="N1552" t="str">
            <v>Direct Costs</v>
          </cell>
          <cell r="O1552" t="str">
            <v>[No Vendor]</v>
          </cell>
        </row>
        <row r="1553">
          <cell r="D1553">
            <v>-400</v>
          </cell>
          <cell r="H1553">
            <v>45383</v>
          </cell>
          <cell r="I1553" t="str">
            <v>6377 - Order Processing Expenses (New)</v>
          </cell>
          <cell r="J1553" t="str">
            <v>Ecommerce (EU)</v>
          </cell>
          <cell r="K1553" t="str">
            <v>Ecommerce</v>
          </cell>
          <cell r="L1553" t="str">
            <v>Order Processing</v>
          </cell>
          <cell r="N1553" t="str">
            <v>Direct Costs</v>
          </cell>
          <cell r="O1553" t="str">
            <v>[No Vendor]</v>
          </cell>
        </row>
        <row r="1554">
          <cell r="D1554">
            <v>-7939.13</v>
          </cell>
          <cell r="H1554">
            <v>45383</v>
          </cell>
          <cell r="I1554" t="str">
            <v>4065 - Sales Freight - Wholesale (US)</v>
          </cell>
          <cell r="J1554" t="str">
            <v>Wholesale</v>
          </cell>
          <cell r="K1554" t="str">
            <v>Wholesale</v>
          </cell>
          <cell r="L1554" t="str">
            <v>Freight - Revenue</v>
          </cell>
          <cell r="N1554" t="str">
            <v>Direct Costs</v>
          </cell>
          <cell r="O1554" t="str">
            <v>[No Vendor]</v>
          </cell>
        </row>
        <row r="1555">
          <cell r="D1555">
            <v>-31374</v>
          </cell>
          <cell r="H1555">
            <v>45383</v>
          </cell>
          <cell r="I1555" t="str">
            <v>4064 - Sales Freight - Ecomm (US)</v>
          </cell>
          <cell r="J1555" t="str">
            <v>Ecommerce (US)</v>
          </cell>
          <cell r="K1555" t="str">
            <v>Ecommerce</v>
          </cell>
          <cell r="L1555" t="str">
            <v>Freight - Revenue</v>
          </cell>
          <cell r="N1555" t="str">
            <v>Direct Costs</v>
          </cell>
          <cell r="O1555" t="str">
            <v>[No Vendor]</v>
          </cell>
        </row>
        <row r="1556">
          <cell r="D1556">
            <v>-3079</v>
          </cell>
          <cell r="H1556">
            <v>45383</v>
          </cell>
          <cell r="I1556" t="str">
            <v>4064 - Sales Freight - Ecomm (US)</v>
          </cell>
          <cell r="J1556" t="str">
            <v>Ecommerce (US)</v>
          </cell>
          <cell r="K1556" t="str">
            <v>Ecommerce</v>
          </cell>
          <cell r="L1556" t="str">
            <v>Freight - Revenue</v>
          </cell>
          <cell r="N1556" t="str">
            <v>Direct Costs</v>
          </cell>
          <cell r="O1556" t="str">
            <v>[No Vendor]</v>
          </cell>
        </row>
        <row r="1557">
          <cell r="D1557">
            <v>21664.75</v>
          </cell>
          <cell r="H1557">
            <v>45383</v>
          </cell>
          <cell r="I1557" t="str">
            <v>4063 - Sales Discount - Wholesale (US)</v>
          </cell>
          <cell r="J1557" t="str">
            <v>Wholesale</v>
          </cell>
          <cell r="K1557" t="str">
            <v>Wholesale</v>
          </cell>
          <cell r="L1557" t="str">
            <v>Wholesale</v>
          </cell>
          <cell r="N1557" t="str">
            <v>Revenue</v>
          </cell>
          <cell r="O1557" t="str">
            <v>[No Vendor]</v>
          </cell>
        </row>
        <row r="1558">
          <cell r="D1558">
            <v>10442.83</v>
          </cell>
          <cell r="H1558">
            <v>45383</v>
          </cell>
          <cell r="I1558" t="str">
            <v>5900 - Interco Royalty Expense</v>
          </cell>
          <cell r="J1558">
            <v>0</v>
          </cell>
          <cell r="K1558" t="str">
            <v>Licensing</v>
          </cell>
          <cell r="L1558">
            <v>0</v>
          </cell>
          <cell r="N1558">
            <v>0</v>
          </cell>
          <cell r="O1558" t="str">
            <v>[No Vendor]</v>
          </cell>
        </row>
        <row r="1559">
          <cell r="D1559">
            <v>67873.279999999999</v>
          </cell>
          <cell r="H1559">
            <v>45383</v>
          </cell>
          <cell r="I1559" t="str">
            <v>4062 - Sales Discount - Ecomm (US)</v>
          </cell>
          <cell r="J1559" t="str">
            <v>Ecommerce (US)</v>
          </cell>
          <cell r="K1559" t="str">
            <v>Ecommerce</v>
          </cell>
          <cell r="L1559" t="str">
            <v>Ecommerce (US)</v>
          </cell>
          <cell r="N1559" t="str">
            <v>Revenue</v>
          </cell>
          <cell r="O1559" t="str">
            <v>[No Vendor]</v>
          </cell>
        </row>
        <row r="1560">
          <cell r="D1560">
            <v>0</v>
          </cell>
          <cell r="H1560">
            <v>45383</v>
          </cell>
          <cell r="I1560" t="str">
            <v>4062 - Sales Discount - Ecomm (US)</v>
          </cell>
          <cell r="J1560" t="str">
            <v>Ecommerce (US)</v>
          </cell>
          <cell r="K1560" t="str">
            <v>Ecommerce</v>
          </cell>
          <cell r="L1560" t="str">
            <v>Ecommerce (US)</v>
          </cell>
          <cell r="N1560" t="str">
            <v>Revenue</v>
          </cell>
          <cell r="O1560" t="str">
            <v>[No Vendor]</v>
          </cell>
        </row>
        <row r="1561">
          <cell r="D1561">
            <v>1954.72</v>
          </cell>
          <cell r="H1561">
            <v>45383</v>
          </cell>
          <cell r="I1561" t="str">
            <v>7130 - License Agreements &amp; Other Intangibles</v>
          </cell>
          <cell r="J1561">
            <v>0</v>
          </cell>
          <cell r="K1561" t="str">
            <v>Administration</v>
          </cell>
          <cell r="L1561" t="str">
            <v>Depreciation &amp; Amortization</v>
          </cell>
          <cell r="N1561" t="str">
            <v>SG&amp;A</v>
          </cell>
          <cell r="O1561" t="str">
            <v>[No Vendor]</v>
          </cell>
        </row>
        <row r="1562">
          <cell r="D1562">
            <v>-10442.83</v>
          </cell>
          <cell r="H1562">
            <v>45383</v>
          </cell>
          <cell r="I1562" t="str">
            <v>4900 - Interco Royalty Revenue</v>
          </cell>
          <cell r="J1562">
            <v>0</v>
          </cell>
          <cell r="K1562" t="str">
            <v>Licensing</v>
          </cell>
          <cell r="L1562">
            <v>0</v>
          </cell>
          <cell r="N1562">
            <v>0</v>
          </cell>
          <cell r="O1562" t="str">
            <v>[No Vendor]</v>
          </cell>
        </row>
        <row r="1563">
          <cell r="D1563">
            <v>2268.23</v>
          </cell>
          <cell r="H1563">
            <v>45383</v>
          </cell>
          <cell r="I1563" t="str">
            <v>6393 - Software</v>
          </cell>
          <cell r="J1563">
            <v>0</v>
          </cell>
          <cell r="K1563" t="str">
            <v>Brand Marketing</v>
          </cell>
          <cell r="L1563" t="str">
            <v>Professional Service</v>
          </cell>
          <cell r="N1563" t="str">
            <v>Direct Costs</v>
          </cell>
          <cell r="O1563" t="str">
            <v>Fohr</v>
          </cell>
        </row>
        <row r="1564">
          <cell r="D1564">
            <v>458.33</v>
          </cell>
          <cell r="H1564">
            <v>45383</v>
          </cell>
          <cell r="I1564" t="str">
            <v>6393 - Software</v>
          </cell>
          <cell r="J1564" t="str">
            <v>Wholesale</v>
          </cell>
          <cell r="K1564" t="str">
            <v>Wholesale</v>
          </cell>
          <cell r="L1564" t="str">
            <v>Professional Service</v>
          </cell>
          <cell r="N1564" t="str">
            <v>Direct Costs</v>
          </cell>
          <cell r="O1564" t="str">
            <v>Joor, Inc</v>
          </cell>
        </row>
        <row r="1565">
          <cell r="D1565">
            <v>1302.44</v>
          </cell>
          <cell r="H1565">
            <v>45383</v>
          </cell>
          <cell r="I1565" t="str">
            <v>6393 - Software</v>
          </cell>
          <cell r="J1565">
            <v>0</v>
          </cell>
          <cell r="K1565" t="str">
            <v>Administration</v>
          </cell>
          <cell r="L1565" t="str">
            <v>Professional Service</v>
          </cell>
          <cell r="N1565" t="str">
            <v>Direct Costs</v>
          </cell>
          <cell r="O1565" t="str">
            <v>Avalara, Inc</v>
          </cell>
        </row>
        <row r="1566">
          <cell r="D1566">
            <v>3200.73</v>
          </cell>
          <cell r="H1566">
            <v>45383</v>
          </cell>
          <cell r="I1566" t="str">
            <v>6393 - Software</v>
          </cell>
          <cell r="J1566">
            <v>0</v>
          </cell>
          <cell r="K1566" t="str">
            <v>Administration</v>
          </cell>
          <cell r="L1566" t="str">
            <v>Professional Service</v>
          </cell>
          <cell r="N1566" t="str">
            <v>Direct Costs</v>
          </cell>
          <cell r="O1566" t="str">
            <v>[No Vendor]</v>
          </cell>
        </row>
        <row r="1567">
          <cell r="D1567">
            <v>925.69</v>
          </cell>
          <cell r="H1567">
            <v>45383</v>
          </cell>
          <cell r="I1567" t="str">
            <v>6393 - Software</v>
          </cell>
          <cell r="J1567" t="str">
            <v>Wholesale</v>
          </cell>
          <cell r="K1567" t="str">
            <v>Wholesale</v>
          </cell>
          <cell r="L1567" t="str">
            <v>Professional Service</v>
          </cell>
          <cell r="N1567" t="str">
            <v>Direct Costs</v>
          </cell>
          <cell r="O1567" t="str">
            <v>[No Vendor]</v>
          </cell>
        </row>
        <row r="1568">
          <cell r="D1568">
            <v>3288.03</v>
          </cell>
          <cell r="H1568">
            <v>45383</v>
          </cell>
          <cell r="I1568" t="str">
            <v>6393 - Software</v>
          </cell>
          <cell r="J1568">
            <v>0</v>
          </cell>
          <cell r="K1568" t="str">
            <v>Brand Marketing</v>
          </cell>
          <cell r="L1568" t="str">
            <v>Professional Service</v>
          </cell>
          <cell r="N1568" t="str">
            <v>Direct Costs</v>
          </cell>
          <cell r="O1568" t="str">
            <v>[No Vendor]</v>
          </cell>
        </row>
        <row r="1569">
          <cell r="D1569">
            <v>28574.400000000001</v>
          </cell>
          <cell r="H1569">
            <v>45383</v>
          </cell>
          <cell r="I1569" t="str">
            <v>6393 - Software</v>
          </cell>
          <cell r="J1569" t="str">
            <v>Ecommerce (US)</v>
          </cell>
          <cell r="K1569" t="str">
            <v>Ecommerce</v>
          </cell>
          <cell r="L1569" t="str">
            <v>Professional Service</v>
          </cell>
          <cell r="N1569" t="str">
            <v>Direct Costs</v>
          </cell>
          <cell r="O1569" t="str">
            <v>[No Vendor]</v>
          </cell>
        </row>
        <row r="1570">
          <cell r="D1570">
            <v>1245</v>
          </cell>
          <cell r="H1570">
            <v>45383</v>
          </cell>
          <cell r="I1570" t="str">
            <v>6393 - Software</v>
          </cell>
          <cell r="J1570">
            <v>0</v>
          </cell>
          <cell r="K1570" t="str">
            <v>Design</v>
          </cell>
          <cell r="L1570" t="str">
            <v>Professional Service</v>
          </cell>
          <cell r="N1570" t="str">
            <v>Direct Costs</v>
          </cell>
          <cell r="O1570" t="str">
            <v>[No Vendor]</v>
          </cell>
        </row>
        <row r="1571">
          <cell r="D1571">
            <v>1744.98</v>
          </cell>
          <cell r="H1571">
            <v>45383</v>
          </cell>
          <cell r="I1571" t="str">
            <v>6393 - Software</v>
          </cell>
          <cell r="J1571">
            <v>0</v>
          </cell>
          <cell r="K1571" t="str">
            <v>Administration</v>
          </cell>
          <cell r="L1571" t="str">
            <v>Professional Service</v>
          </cell>
          <cell r="N1571" t="str">
            <v>Direct Costs</v>
          </cell>
          <cell r="O1571" t="str">
            <v>[No Vendor]</v>
          </cell>
        </row>
        <row r="1572">
          <cell r="D1572">
            <v>1134.06</v>
          </cell>
          <cell r="H1572">
            <v>45383</v>
          </cell>
          <cell r="I1572" t="str">
            <v>6393 - Software</v>
          </cell>
          <cell r="J1572">
            <v>0</v>
          </cell>
          <cell r="K1572" t="str">
            <v>Administration</v>
          </cell>
          <cell r="L1572" t="str">
            <v>Professional Service</v>
          </cell>
          <cell r="N1572" t="str">
            <v>Direct Costs</v>
          </cell>
          <cell r="O1572" t="str">
            <v>Fohr</v>
          </cell>
        </row>
        <row r="1573">
          <cell r="D1573">
            <v>141816.25</v>
          </cell>
          <cell r="H1573">
            <v>45383</v>
          </cell>
          <cell r="I1573" t="str">
            <v>6286 - SEM</v>
          </cell>
          <cell r="J1573" t="str">
            <v>Ecommerce (US)</v>
          </cell>
          <cell r="K1573" t="str">
            <v>Ecommerce</v>
          </cell>
          <cell r="L1573" t="str">
            <v>Marketing</v>
          </cell>
          <cell r="N1573" t="str">
            <v>Direct Costs</v>
          </cell>
          <cell r="O1573" t="str">
            <v>[No Vendor]</v>
          </cell>
        </row>
        <row r="1574">
          <cell r="D1574">
            <v>117168.6</v>
          </cell>
          <cell r="H1574">
            <v>45383</v>
          </cell>
          <cell r="I1574" t="str">
            <v>6286 - SEM</v>
          </cell>
          <cell r="J1574" t="str">
            <v>Ecommerce (US)</v>
          </cell>
          <cell r="K1574" t="str">
            <v>Ecommerce</v>
          </cell>
          <cell r="L1574" t="str">
            <v>Marketing</v>
          </cell>
          <cell r="N1574" t="str">
            <v>Direct Costs</v>
          </cell>
          <cell r="O1574" t="str">
            <v>[No Vendor]</v>
          </cell>
        </row>
        <row r="1575">
          <cell r="D1575">
            <v>3400</v>
          </cell>
          <cell r="H1575">
            <v>45383</v>
          </cell>
          <cell r="I1575" t="str">
            <v>6380 - Legal &amp; Accounting</v>
          </cell>
          <cell r="J1575">
            <v>0</v>
          </cell>
          <cell r="K1575" t="str">
            <v>Administration</v>
          </cell>
          <cell r="L1575" t="str">
            <v>Professional Service</v>
          </cell>
          <cell r="N1575" t="str">
            <v>SG&amp;A</v>
          </cell>
          <cell r="O1575" t="str">
            <v>[No Vendor]</v>
          </cell>
        </row>
        <row r="1576">
          <cell r="D1576">
            <v>136.38999999999999</v>
          </cell>
          <cell r="H1576">
            <v>45383</v>
          </cell>
          <cell r="I1576" t="str">
            <v>6340 - Miscellaneous Expense</v>
          </cell>
          <cell r="J1576" t="str">
            <v>Wholesale</v>
          </cell>
          <cell r="K1576" t="str">
            <v>Wholesale</v>
          </cell>
          <cell r="L1576" t="str">
            <v>Other</v>
          </cell>
          <cell r="N1576" t="str">
            <v>SG&amp;A</v>
          </cell>
          <cell r="O1576" t="str">
            <v>[No Vendor]</v>
          </cell>
        </row>
        <row r="1577">
          <cell r="D1577">
            <v>25.03</v>
          </cell>
          <cell r="H1577">
            <v>45383</v>
          </cell>
          <cell r="I1577" t="str">
            <v>6340 - Miscellaneous Expense</v>
          </cell>
          <cell r="J1577">
            <v>0</v>
          </cell>
          <cell r="K1577" t="str">
            <v>Brand Marketing</v>
          </cell>
          <cell r="L1577" t="str">
            <v>Other</v>
          </cell>
          <cell r="N1577" t="str">
            <v>SG&amp;A</v>
          </cell>
          <cell r="O1577" t="str">
            <v>[No Vendor]</v>
          </cell>
        </row>
        <row r="1578">
          <cell r="D1578">
            <v>57.13</v>
          </cell>
          <cell r="H1578">
            <v>45383</v>
          </cell>
          <cell r="I1578" t="str">
            <v>6340 - Miscellaneous Expense</v>
          </cell>
          <cell r="J1578">
            <v>0</v>
          </cell>
          <cell r="K1578" t="str">
            <v>Design</v>
          </cell>
          <cell r="L1578" t="str">
            <v>Other</v>
          </cell>
          <cell r="N1578" t="str">
            <v>SG&amp;A</v>
          </cell>
          <cell r="O1578" t="str">
            <v>[No Vendor]</v>
          </cell>
        </row>
        <row r="1579">
          <cell r="D1579">
            <v>466.74</v>
          </cell>
          <cell r="H1579">
            <v>45383</v>
          </cell>
          <cell r="I1579" t="str">
            <v>6340 - Miscellaneous Expense</v>
          </cell>
          <cell r="J1579">
            <v>0</v>
          </cell>
          <cell r="K1579" t="str">
            <v>Administration</v>
          </cell>
          <cell r="L1579" t="str">
            <v>Other</v>
          </cell>
          <cell r="N1579" t="str">
            <v>SG&amp;A</v>
          </cell>
          <cell r="O1579" t="str">
            <v>[No Vendor]</v>
          </cell>
        </row>
        <row r="1580">
          <cell r="D1580">
            <v>36250</v>
          </cell>
          <cell r="H1580">
            <v>45383</v>
          </cell>
          <cell r="I1580" t="str">
            <v>6240 - Product Photography</v>
          </cell>
          <cell r="J1580">
            <v>0</v>
          </cell>
          <cell r="K1580" t="str">
            <v>Brand Marketing</v>
          </cell>
          <cell r="L1580" t="str">
            <v>Advertising</v>
          </cell>
          <cell r="N1580" t="str">
            <v>SG&amp;A</v>
          </cell>
          <cell r="O1580" t="str">
            <v>[No Vendor]</v>
          </cell>
        </row>
        <row r="1581">
          <cell r="D1581">
            <v>1534.42</v>
          </cell>
          <cell r="H1581">
            <v>45383</v>
          </cell>
          <cell r="I1581" t="str">
            <v>6289 - Seeding / Product Placement</v>
          </cell>
          <cell r="J1581">
            <v>0</v>
          </cell>
          <cell r="K1581" t="str">
            <v>Brand Marketing</v>
          </cell>
          <cell r="L1581" t="str">
            <v>Advertising</v>
          </cell>
          <cell r="N1581" t="str">
            <v>SG&amp;A</v>
          </cell>
          <cell r="O1581" t="str">
            <v>[No Vendor]</v>
          </cell>
        </row>
        <row r="1582">
          <cell r="D1582">
            <v>1714.49</v>
          </cell>
          <cell r="H1582">
            <v>45383</v>
          </cell>
          <cell r="I1582" t="str">
            <v>6215 - Recruitment</v>
          </cell>
          <cell r="J1582">
            <v>0</v>
          </cell>
          <cell r="K1582" t="str">
            <v>Administration</v>
          </cell>
          <cell r="L1582" t="str">
            <v>Professional Service</v>
          </cell>
          <cell r="N1582" t="str">
            <v>SG&amp;A</v>
          </cell>
          <cell r="O1582" t="str">
            <v>[No Vendor]</v>
          </cell>
        </row>
        <row r="1583">
          <cell r="D1583">
            <v>2376</v>
          </cell>
          <cell r="H1583">
            <v>45383</v>
          </cell>
          <cell r="I1583" t="str">
            <v>6205 - Contractors</v>
          </cell>
          <cell r="J1583">
            <v>0</v>
          </cell>
          <cell r="K1583" t="str">
            <v>Design</v>
          </cell>
          <cell r="L1583" t="str">
            <v>HQ Salaries</v>
          </cell>
          <cell r="N1583" t="str">
            <v>SG&amp;A</v>
          </cell>
          <cell r="O1583" t="str">
            <v>[No Vendor]</v>
          </cell>
        </row>
        <row r="1584">
          <cell r="D1584">
            <v>0</v>
          </cell>
          <cell r="H1584">
            <v>45383</v>
          </cell>
          <cell r="I1584" t="str">
            <v>6205 - Contractors</v>
          </cell>
          <cell r="J1584">
            <v>0</v>
          </cell>
          <cell r="K1584" t="str">
            <v>Brand Marketing</v>
          </cell>
          <cell r="L1584" t="str">
            <v>HQ Salaries</v>
          </cell>
          <cell r="N1584" t="str">
            <v>SG&amp;A</v>
          </cell>
          <cell r="O1584" t="str">
            <v>[No Vendor]</v>
          </cell>
        </row>
        <row r="1585">
          <cell r="D1585">
            <v>5940</v>
          </cell>
          <cell r="H1585">
            <v>45383</v>
          </cell>
          <cell r="I1585" t="str">
            <v>6205 - Contractors</v>
          </cell>
          <cell r="J1585" t="str">
            <v>Ecommerce (US)</v>
          </cell>
          <cell r="K1585" t="str">
            <v>Ecommerce</v>
          </cell>
          <cell r="L1585" t="str">
            <v>HQ Salaries</v>
          </cell>
          <cell r="N1585" t="str">
            <v>SG&amp;A</v>
          </cell>
          <cell r="O1585" t="str">
            <v>[No Vendor]</v>
          </cell>
        </row>
        <row r="1586">
          <cell r="D1586">
            <v>1500</v>
          </cell>
          <cell r="H1586">
            <v>45383</v>
          </cell>
          <cell r="I1586" t="str">
            <v>6205 - Contractors</v>
          </cell>
          <cell r="J1586">
            <v>0</v>
          </cell>
          <cell r="K1586" t="str">
            <v>Production</v>
          </cell>
          <cell r="L1586" t="str">
            <v>HQ Salaries</v>
          </cell>
          <cell r="N1586" t="str">
            <v>SG&amp;A</v>
          </cell>
          <cell r="O1586" t="str">
            <v>Philip Yau</v>
          </cell>
        </row>
        <row r="1587">
          <cell r="D1587">
            <v>71.099999999999994</v>
          </cell>
          <cell r="H1587">
            <v>45383</v>
          </cell>
          <cell r="I1587" t="str">
            <v>6370 - Samples</v>
          </cell>
          <cell r="J1587">
            <v>0</v>
          </cell>
          <cell r="K1587" t="str">
            <v>Production</v>
          </cell>
          <cell r="L1587" t="str">
            <v>Sample</v>
          </cell>
          <cell r="N1587" t="str">
            <v>SG&amp;A</v>
          </cell>
          <cell r="O1587" t="str">
            <v>[No Vendor]</v>
          </cell>
        </row>
        <row r="1588">
          <cell r="D1588">
            <v>50.52</v>
          </cell>
          <cell r="H1588">
            <v>45383</v>
          </cell>
          <cell r="I1588" t="str">
            <v>6370 - Samples</v>
          </cell>
          <cell r="J1588">
            <v>0</v>
          </cell>
          <cell r="K1588" t="str">
            <v>Production</v>
          </cell>
          <cell r="L1588" t="str">
            <v>Sample</v>
          </cell>
          <cell r="N1588" t="str">
            <v>SG&amp;A</v>
          </cell>
          <cell r="O1588" t="str">
            <v>[No Vendor]</v>
          </cell>
        </row>
        <row r="1589">
          <cell r="D1589">
            <v>317.5</v>
          </cell>
          <cell r="H1589">
            <v>45383</v>
          </cell>
          <cell r="I1589" t="str">
            <v>6370 - Samples</v>
          </cell>
          <cell r="J1589">
            <v>0</v>
          </cell>
          <cell r="K1589" t="str">
            <v>Production</v>
          </cell>
          <cell r="L1589" t="str">
            <v>Sample</v>
          </cell>
          <cell r="N1589" t="str">
            <v>SG&amp;A</v>
          </cell>
          <cell r="O1589" t="str">
            <v>[No Vendor]</v>
          </cell>
        </row>
        <row r="1590">
          <cell r="D1590">
            <v>44</v>
          </cell>
          <cell r="H1590">
            <v>45383</v>
          </cell>
          <cell r="I1590" t="str">
            <v>6370 - Samples</v>
          </cell>
          <cell r="J1590">
            <v>0</v>
          </cell>
          <cell r="K1590" t="str">
            <v>Production</v>
          </cell>
          <cell r="L1590" t="str">
            <v>Sample</v>
          </cell>
          <cell r="N1590" t="str">
            <v>SG&amp;A</v>
          </cell>
          <cell r="O1590" t="str">
            <v>[No Vendor]</v>
          </cell>
        </row>
        <row r="1591">
          <cell r="D1591">
            <v>51.9</v>
          </cell>
          <cell r="H1591">
            <v>45383</v>
          </cell>
          <cell r="I1591" t="str">
            <v>6370 - Samples</v>
          </cell>
          <cell r="J1591">
            <v>0</v>
          </cell>
          <cell r="K1591" t="str">
            <v>Design</v>
          </cell>
          <cell r="L1591" t="str">
            <v>Sample</v>
          </cell>
          <cell r="N1591" t="str">
            <v>SG&amp;A</v>
          </cell>
          <cell r="O1591" t="str">
            <v>[No Vendor]</v>
          </cell>
        </row>
        <row r="1592">
          <cell r="D1592">
            <v>4261.28</v>
          </cell>
          <cell r="H1592">
            <v>45383</v>
          </cell>
          <cell r="I1592" t="str">
            <v>6020 - Bonus</v>
          </cell>
          <cell r="J1592">
            <v>0</v>
          </cell>
          <cell r="K1592" t="str">
            <v>Executive</v>
          </cell>
          <cell r="L1592" t="str">
            <v>HQ Salaries</v>
          </cell>
          <cell r="N1592" t="str">
            <v>SG&amp;A</v>
          </cell>
          <cell r="O1592" t="str">
            <v>[No Vendor]</v>
          </cell>
        </row>
        <row r="1593">
          <cell r="D1593">
            <v>3843.71</v>
          </cell>
          <cell r="H1593">
            <v>45383</v>
          </cell>
          <cell r="I1593" t="str">
            <v>6020 - Bonus</v>
          </cell>
          <cell r="J1593" t="str">
            <v>Wholesale</v>
          </cell>
          <cell r="K1593" t="str">
            <v>Wholesale</v>
          </cell>
          <cell r="L1593" t="str">
            <v>HQ Salaries</v>
          </cell>
          <cell r="N1593" t="str">
            <v>SG&amp;A</v>
          </cell>
          <cell r="O1593" t="str">
            <v>[No Vendor]</v>
          </cell>
        </row>
        <row r="1594">
          <cell r="D1594">
            <v>6338.75</v>
          </cell>
          <cell r="H1594">
            <v>45383</v>
          </cell>
          <cell r="I1594" t="str">
            <v>6020 - Bonus</v>
          </cell>
          <cell r="J1594">
            <v>0</v>
          </cell>
          <cell r="K1594" t="str">
            <v>Production</v>
          </cell>
          <cell r="L1594" t="str">
            <v>HQ Salaries</v>
          </cell>
          <cell r="N1594" t="str">
            <v>SG&amp;A</v>
          </cell>
          <cell r="O1594" t="str">
            <v>[No Vendor]</v>
          </cell>
        </row>
        <row r="1595">
          <cell r="D1595">
            <v>1406.25</v>
          </cell>
          <cell r="H1595">
            <v>45383</v>
          </cell>
          <cell r="I1595" t="str">
            <v>6020 - Bonus</v>
          </cell>
          <cell r="J1595">
            <v>0</v>
          </cell>
          <cell r="K1595" t="str">
            <v>Brand Marketing</v>
          </cell>
          <cell r="L1595" t="str">
            <v>HQ Salaries</v>
          </cell>
          <cell r="N1595" t="str">
            <v>SG&amp;A</v>
          </cell>
          <cell r="O1595" t="str">
            <v>[No Vendor]</v>
          </cell>
        </row>
        <row r="1596">
          <cell r="D1596">
            <v>8393.9500000000007</v>
          </cell>
          <cell r="H1596">
            <v>45383</v>
          </cell>
          <cell r="I1596" t="str">
            <v>6020 - Bonus</v>
          </cell>
          <cell r="J1596" t="str">
            <v>Ecommerce (US)</v>
          </cell>
          <cell r="K1596" t="str">
            <v>Ecommerce</v>
          </cell>
          <cell r="L1596" t="str">
            <v>HQ Salaries</v>
          </cell>
          <cell r="N1596" t="str">
            <v>SG&amp;A</v>
          </cell>
          <cell r="O1596" t="str">
            <v>[No Vendor]</v>
          </cell>
        </row>
        <row r="1597">
          <cell r="D1597">
            <v>5832.66</v>
          </cell>
          <cell r="H1597">
            <v>45383</v>
          </cell>
          <cell r="I1597" t="str">
            <v>6020 - Bonus</v>
          </cell>
          <cell r="J1597">
            <v>0</v>
          </cell>
          <cell r="K1597" t="str">
            <v>Design</v>
          </cell>
          <cell r="L1597" t="str">
            <v>HQ Salaries</v>
          </cell>
          <cell r="N1597" t="str">
            <v>SG&amp;A</v>
          </cell>
          <cell r="O1597" t="str">
            <v>[No Vendor]</v>
          </cell>
        </row>
        <row r="1598">
          <cell r="D1598">
            <v>7604.61</v>
          </cell>
          <cell r="H1598">
            <v>45383</v>
          </cell>
          <cell r="I1598" t="str">
            <v>6020 - Bonus</v>
          </cell>
          <cell r="J1598">
            <v>0</v>
          </cell>
          <cell r="K1598" t="str">
            <v>Administration</v>
          </cell>
          <cell r="L1598" t="str">
            <v>HQ Salaries</v>
          </cell>
          <cell r="N1598" t="str">
            <v>SG&amp;A</v>
          </cell>
          <cell r="O1598" t="str">
            <v>[No Vendor]</v>
          </cell>
        </row>
        <row r="1599">
          <cell r="D1599">
            <v>1256.29</v>
          </cell>
          <cell r="H1599">
            <v>45383</v>
          </cell>
          <cell r="I1599" t="str">
            <v>6020 - Bonus</v>
          </cell>
          <cell r="J1599">
            <v>0</v>
          </cell>
          <cell r="K1599" t="str">
            <v>Merchandising</v>
          </cell>
          <cell r="L1599" t="str">
            <v>HQ Salaries</v>
          </cell>
          <cell r="N1599" t="str">
            <v>SG&amp;A</v>
          </cell>
          <cell r="O1599" t="str">
            <v>[No Vendor]</v>
          </cell>
        </row>
        <row r="1600">
          <cell r="D1600">
            <v>276.11</v>
          </cell>
          <cell r="H1600">
            <v>45383</v>
          </cell>
          <cell r="I1600" t="str">
            <v>6520 - Taxes and Licenses</v>
          </cell>
          <cell r="J1600">
            <v>0</v>
          </cell>
          <cell r="K1600" t="str">
            <v>Administration</v>
          </cell>
          <cell r="L1600" t="str">
            <v>Other</v>
          </cell>
          <cell r="N1600" t="str">
            <v>SG&amp;A</v>
          </cell>
          <cell r="O1600" t="str">
            <v>[No Vendor]</v>
          </cell>
        </row>
        <row r="1601">
          <cell r="D1601">
            <v>1631.95</v>
          </cell>
          <cell r="H1601">
            <v>45383</v>
          </cell>
          <cell r="I1601" t="str">
            <v>6120 - Lodging</v>
          </cell>
          <cell r="J1601">
            <v>0</v>
          </cell>
          <cell r="K1601" t="str">
            <v>Production</v>
          </cell>
          <cell r="L1601" t="str">
            <v>T&amp;E</v>
          </cell>
          <cell r="N1601" t="str">
            <v>SG&amp;A</v>
          </cell>
          <cell r="O1601" t="str">
            <v>[No Vendor]</v>
          </cell>
        </row>
        <row r="1602">
          <cell r="D1602">
            <v>1372.44</v>
          </cell>
          <cell r="H1602">
            <v>45383</v>
          </cell>
          <cell r="I1602" t="str">
            <v>6120 - Lodging</v>
          </cell>
          <cell r="J1602" t="str">
            <v>Ecommerce (US)</v>
          </cell>
          <cell r="K1602" t="str">
            <v>Ecommerce</v>
          </cell>
          <cell r="L1602" t="str">
            <v>T&amp;E</v>
          </cell>
          <cell r="N1602" t="str">
            <v>SG&amp;A</v>
          </cell>
          <cell r="O1602" t="str">
            <v>[No Vendor]</v>
          </cell>
        </row>
        <row r="1603">
          <cell r="D1603">
            <v>1600.93</v>
          </cell>
          <cell r="H1603">
            <v>45383</v>
          </cell>
          <cell r="I1603" t="str">
            <v>6120 - Lodging</v>
          </cell>
          <cell r="J1603">
            <v>0</v>
          </cell>
          <cell r="K1603" t="str">
            <v>Design</v>
          </cell>
          <cell r="L1603" t="str">
            <v>T&amp;E</v>
          </cell>
          <cell r="N1603" t="str">
            <v>SG&amp;A</v>
          </cell>
          <cell r="O1603" t="str">
            <v>[No Vendor]</v>
          </cell>
        </row>
        <row r="1604">
          <cell r="D1604">
            <v>7936.1</v>
          </cell>
          <cell r="H1604">
            <v>45383</v>
          </cell>
          <cell r="I1604" t="str">
            <v>6450 - Bank &amp; Other Fees</v>
          </cell>
          <cell r="J1604" t="str">
            <v>Ecommerce (US)</v>
          </cell>
          <cell r="K1604" t="str">
            <v>Ecommerce</v>
          </cell>
          <cell r="L1604" t="str">
            <v>Professional Service</v>
          </cell>
          <cell r="N1604" t="str">
            <v>Direct Costs</v>
          </cell>
          <cell r="O1604" t="str">
            <v>[No Vendor]</v>
          </cell>
        </row>
        <row r="1605">
          <cell r="D1605">
            <v>36662.67</v>
          </cell>
          <cell r="H1605">
            <v>45383</v>
          </cell>
          <cell r="I1605" t="str">
            <v>6450 - Bank &amp; Other Fees</v>
          </cell>
          <cell r="J1605" t="str">
            <v>Ecommerce (US)</v>
          </cell>
          <cell r="K1605" t="str">
            <v>Ecommerce</v>
          </cell>
          <cell r="L1605" t="str">
            <v>Professional Service</v>
          </cell>
          <cell r="N1605" t="str">
            <v>Direct Costs</v>
          </cell>
          <cell r="O1605" t="str">
            <v>Shopify</v>
          </cell>
        </row>
        <row r="1606">
          <cell r="D1606">
            <v>26.3</v>
          </cell>
          <cell r="H1606">
            <v>45383</v>
          </cell>
          <cell r="I1606" t="str">
            <v>6450 - Bank &amp; Other Fees</v>
          </cell>
          <cell r="J1606">
            <v>0</v>
          </cell>
          <cell r="K1606" t="str">
            <v>Production</v>
          </cell>
          <cell r="L1606" t="str">
            <v>Professional Service</v>
          </cell>
          <cell r="N1606" t="str">
            <v>SG&amp;A</v>
          </cell>
          <cell r="O1606" t="str">
            <v>[No Vendor]</v>
          </cell>
        </row>
        <row r="1607">
          <cell r="D1607">
            <v>360.77</v>
          </cell>
          <cell r="H1607">
            <v>45383</v>
          </cell>
          <cell r="I1607" t="str">
            <v>6450 - Bank &amp; Other Fees</v>
          </cell>
          <cell r="J1607">
            <v>0</v>
          </cell>
          <cell r="K1607" t="str">
            <v>Brand Marketing</v>
          </cell>
          <cell r="L1607" t="str">
            <v>Professional Service</v>
          </cell>
          <cell r="N1607" t="str">
            <v>SG&amp;A</v>
          </cell>
          <cell r="O1607" t="str">
            <v>[No Vendor]</v>
          </cell>
        </row>
        <row r="1608">
          <cell r="D1608">
            <v>0.37</v>
          </cell>
          <cell r="H1608">
            <v>45383</v>
          </cell>
          <cell r="I1608" t="str">
            <v>6450 - Bank &amp; Other Fees</v>
          </cell>
          <cell r="J1608" t="str">
            <v>Ecommerce (US)</v>
          </cell>
          <cell r="K1608" t="str">
            <v>Ecommerce</v>
          </cell>
          <cell r="L1608" t="str">
            <v>Professional Service</v>
          </cell>
          <cell r="N1608" t="str">
            <v>Direct Costs</v>
          </cell>
          <cell r="O1608" t="str">
            <v>[No Vendor]</v>
          </cell>
        </row>
        <row r="1609">
          <cell r="D1609">
            <v>24.01</v>
          </cell>
          <cell r="H1609">
            <v>45383</v>
          </cell>
          <cell r="I1609" t="str">
            <v>6450 - Bank &amp; Other Fees</v>
          </cell>
          <cell r="J1609">
            <v>0</v>
          </cell>
          <cell r="K1609" t="str">
            <v>Design</v>
          </cell>
          <cell r="L1609" t="str">
            <v>Professional Service</v>
          </cell>
          <cell r="N1609" t="str">
            <v>SG&amp;A</v>
          </cell>
          <cell r="O1609" t="str">
            <v>[No Vendor]</v>
          </cell>
        </row>
        <row r="1610">
          <cell r="D1610">
            <v>0.87</v>
          </cell>
          <cell r="H1610">
            <v>45383</v>
          </cell>
          <cell r="I1610" t="str">
            <v>6450 - Bank &amp; Other Fees</v>
          </cell>
          <cell r="J1610">
            <v>0</v>
          </cell>
          <cell r="K1610" t="str">
            <v>Administration</v>
          </cell>
          <cell r="L1610" t="str">
            <v>Professional Service</v>
          </cell>
          <cell r="N1610" t="str">
            <v>SG&amp;A</v>
          </cell>
          <cell r="O1610" t="str">
            <v>[No Vendor]</v>
          </cell>
        </row>
        <row r="1611">
          <cell r="D1611">
            <v>170.49</v>
          </cell>
          <cell r="H1611">
            <v>45383</v>
          </cell>
          <cell r="I1611" t="str">
            <v>6450 - Bank &amp; Other Fees</v>
          </cell>
          <cell r="J1611" t="str">
            <v>Ecommerce (US)</v>
          </cell>
          <cell r="K1611" t="str">
            <v>Ecommerce</v>
          </cell>
          <cell r="L1611" t="str">
            <v>Professional Service</v>
          </cell>
          <cell r="N1611" t="str">
            <v>Direct Costs</v>
          </cell>
          <cell r="O1611" t="str">
            <v>[No Vendor]</v>
          </cell>
        </row>
        <row r="1612">
          <cell r="D1612">
            <v>12.42</v>
          </cell>
          <cell r="H1612">
            <v>45383</v>
          </cell>
          <cell r="I1612" t="str">
            <v>6430 - Dues &amp; Memberships</v>
          </cell>
          <cell r="J1612">
            <v>0</v>
          </cell>
          <cell r="K1612" t="str">
            <v>Brand Marketing</v>
          </cell>
          <cell r="L1612" t="str">
            <v>Professional Service</v>
          </cell>
          <cell r="N1612" t="str">
            <v>Direct Costs</v>
          </cell>
          <cell r="O1612" t="str">
            <v>[No Vendor]</v>
          </cell>
        </row>
        <row r="1613">
          <cell r="D1613">
            <v>-24.49</v>
          </cell>
          <cell r="H1613">
            <v>45383</v>
          </cell>
          <cell r="I1613" t="str">
            <v>6385 - Insurance</v>
          </cell>
          <cell r="J1613">
            <v>0</v>
          </cell>
          <cell r="K1613" t="str">
            <v>Administration</v>
          </cell>
          <cell r="L1613" t="str">
            <v>Professional Service</v>
          </cell>
          <cell r="N1613" t="str">
            <v>SG&amp;A</v>
          </cell>
          <cell r="O1613" t="str">
            <v>[No Vendor]</v>
          </cell>
        </row>
        <row r="1614">
          <cell r="D1614">
            <v>-47.24</v>
          </cell>
          <cell r="H1614">
            <v>45383</v>
          </cell>
          <cell r="I1614" t="str">
            <v>6385 - Insurance</v>
          </cell>
          <cell r="J1614">
            <v>0</v>
          </cell>
          <cell r="K1614" t="str">
            <v>Administration</v>
          </cell>
          <cell r="L1614" t="str">
            <v>Professional Service</v>
          </cell>
          <cell r="N1614" t="str">
            <v>SG&amp;A</v>
          </cell>
          <cell r="O1614" t="str">
            <v>[No Vendor]</v>
          </cell>
        </row>
        <row r="1615">
          <cell r="D1615">
            <v>-57.86</v>
          </cell>
          <cell r="H1615">
            <v>45383</v>
          </cell>
          <cell r="I1615" t="str">
            <v>6385 - Insurance</v>
          </cell>
          <cell r="J1615">
            <v>0</v>
          </cell>
          <cell r="K1615" t="str">
            <v>Administration</v>
          </cell>
          <cell r="L1615" t="str">
            <v>Professional Service</v>
          </cell>
          <cell r="N1615" t="str">
            <v>SG&amp;A</v>
          </cell>
          <cell r="O1615" t="str">
            <v>[No Vendor]</v>
          </cell>
        </row>
        <row r="1616">
          <cell r="D1616">
            <v>-38.47</v>
          </cell>
          <cell r="H1616">
            <v>45383</v>
          </cell>
          <cell r="I1616" t="str">
            <v>6385 - Insurance</v>
          </cell>
          <cell r="J1616">
            <v>0</v>
          </cell>
          <cell r="K1616" t="str">
            <v>Administration</v>
          </cell>
          <cell r="L1616" t="str">
            <v>Professional Service</v>
          </cell>
          <cell r="N1616" t="str">
            <v>SG&amp;A</v>
          </cell>
          <cell r="O1616" t="str">
            <v>[No Vendor]</v>
          </cell>
        </row>
        <row r="1617">
          <cell r="D1617">
            <v>-50</v>
          </cell>
          <cell r="H1617">
            <v>45383</v>
          </cell>
          <cell r="I1617" t="str">
            <v>6385 - Insurance</v>
          </cell>
          <cell r="J1617">
            <v>0</v>
          </cell>
          <cell r="K1617" t="str">
            <v>Administration</v>
          </cell>
          <cell r="L1617" t="str">
            <v>Professional Service</v>
          </cell>
          <cell r="N1617" t="str">
            <v>SG&amp;A</v>
          </cell>
          <cell r="O1617" t="str">
            <v>[No Vendor]</v>
          </cell>
        </row>
        <row r="1618">
          <cell r="D1618">
            <v>-71.36</v>
          </cell>
          <cell r="H1618">
            <v>45383</v>
          </cell>
          <cell r="I1618" t="str">
            <v>6385 - Insurance</v>
          </cell>
          <cell r="J1618">
            <v>0</v>
          </cell>
          <cell r="K1618" t="str">
            <v>Administration</v>
          </cell>
          <cell r="L1618" t="str">
            <v>Professional Service</v>
          </cell>
          <cell r="N1618" t="str">
            <v>SG&amp;A</v>
          </cell>
          <cell r="O1618" t="str">
            <v>[No Vendor]</v>
          </cell>
        </row>
        <row r="1619">
          <cell r="D1619">
            <v>-31.04</v>
          </cell>
          <cell r="H1619">
            <v>45383</v>
          </cell>
          <cell r="I1619" t="str">
            <v>6385 - Insurance</v>
          </cell>
          <cell r="J1619">
            <v>0</v>
          </cell>
          <cell r="K1619" t="str">
            <v>Administration</v>
          </cell>
          <cell r="L1619" t="str">
            <v>Professional Service</v>
          </cell>
          <cell r="N1619" t="str">
            <v>SG&amp;A</v>
          </cell>
          <cell r="O1619" t="str">
            <v>[No Vendor]</v>
          </cell>
        </row>
        <row r="1620">
          <cell r="D1620">
            <v>947.78</v>
          </cell>
          <cell r="H1620">
            <v>45383</v>
          </cell>
          <cell r="I1620" t="str">
            <v>6385 - Insurance</v>
          </cell>
          <cell r="J1620">
            <v>0</v>
          </cell>
          <cell r="K1620" t="str">
            <v>Administration</v>
          </cell>
          <cell r="L1620" t="str">
            <v>Professional Service</v>
          </cell>
          <cell r="N1620" t="str">
            <v>SG&amp;A</v>
          </cell>
          <cell r="O1620" t="str">
            <v>[No Vendor]</v>
          </cell>
        </row>
        <row r="1621">
          <cell r="D1621">
            <v>639.86</v>
          </cell>
          <cell r="H1621">
            <v>45383</v>
          </cell>
          <cell r="I1621" t="str">
            <v>6400 - Utilities</v>
          </cell>
          <cell r="J1621">
            <v>0</v>
          </cell>
          <cell r="K1621" t="str">
            <v>Administration</v>
          </cell>
          <cell r="L1621" t="str">
            <v>Other</v>
          </cell>
          <cell r="N1621" t="str">
            <v>SG&amp;A</v>
          </cell>
          <cell r="O1621" t="str">
            <v>[No Vendor]</v>
          </cell>
        </row>
        <row r="1622">
          <cell r="D1622">
            <v>17.45</v>
          </cell>
          <cell r="H1622">
            <v>45383</v>
          </cell>
          <cell r="I1622" t="str">
            <v>7060 - Information Technology &amp; Software</v>
          </cell>
          <cell r="J1622" t="str">
            <v>Wholesale</v>
          </cell>
          <cell r="K1622" t="str">
            <v>Wholesale</v>
          </cell>
          <cell r="L1622" t="str">
            <v>Depreciation &amp; Amortization</v>
          </cell>
          <cell r="N1622" t="str">
            <v>SG&amp;A</v>
          </cell>
          <cell r="O1622" t="str">
            <v>[No Vendor]</v>
          </cell>
        </row>
        <row r="1623">
          <cell r="D1623">
            <v>83.41</v>
          </cell>
          <cell r="H1623">
            <v>45383</v>
          </cell>
          <cell r="I1623" t="str">
            <v>7060 - Information Technology &amp; Software</v>
          </cell>
          <cell r="J1623" t="str">
            <v>Ecommerce (US)</v>
          </cell>
          <cell r="K1623" t="str">
            <v>Ecommerce</v>
          </cell>
          <cell r="L1623" t="str">
            <v>Depreciation &amp; Amortization</v>
          </cell>
          <cell r="N1623" t="str">
            <v>SG&amp;A</v>
          </cell>
          <cell r="O1623" t="str">
            <v>[No Vendor]</v>
          </cell>
        </row>
        <row r="1624">
          <cell r="D1624">
            <v>146.06</v>
          </cell>
          <cell r="H1624">
            <v>45383</v>
          </cell>
          <cell r="I1624" t="str">
            <v>7060 - Information Technology &amp; Software</v>
          </cell>
          <cell r="J1624">
            <v>0</v>
          </cell>
          <cell r="K1624" t="str">
            <v>Production</v>
          </cell>
          <cell r="L1624" t="str">
            <v>Depreciation &amp; Amortization</v>
          </cell>
          <cell r="N1624" t="str">
            <v>SG&amp;A</v>
          </cell>
          <cell r="O1624" t="str">
            <v>[No Vendor]</v>
          </cell>
        </row>
        <row r="1625">
          <cell r="D1625">
            <v>179.49</v>
          </cell>
          <cell r="H1625">
            <v>45383</v>
          </cell>
          <cell r="I1625" t="str">
            <v>7060 - Information Technology &amp; Software</v>
          </cell>
          <cell r="J1625">
            <v>0</v>
          </cell>
          <cell r="K1625" t="str">
            <v>Design</v>
          </cell>
          <cell r="L1625" t="str">
            <v>Depreciation &amp; Amortization</v>
          </cell>
          <cell r="N1625" t="str">
            <v>SG&amp;A</v>
          </cell>
          <cell r="O1625" t="str">
            <v>[No Vendor]</v>
          </cell>
        </row>
        <row r="1626">
          <cell r="D1626">
            <v>65.48</v>
          </cell>
          <cell r="H1626">
            <v>45383</v>
          </cell>
          <cell r="I1626" t="str">
            <v>7060 - Information Technology &amp; Software</v>
          </cell>
          <cell r="J1626">
            <v>0</v>
          </cell>
          <cell r="K1626" t="str">
            <v>Merchandising</v>
          </cell>
          <cell r="L1626" t="str">
            <v>Depreciation &amp; Amortization</v>
          </cell>
          <cell r="N1626" t="str">
            <v>SG&amp;A</v>
          </cell>
          <cell r="O1626" t="str">
            <v>[No Vendor]</v>
          </cell>
        </row>
        <row r="1627">
          <cell r="D1627">
            <v>166.9</v>
          </cell>
          <cell r="H1627">
            <v>45383</v>
          </cell>
          <cell r="I1627" t="str">
            <v>7060 - Information Technology &amp; Software</v>
          </cell>
          <cell r="J1627">
            <v>0</v>
          </cell>
          <cell r="K1627" t="str">
            <v>Brand Marketing</v>
          </cell>
          <cell r="L1627" t="str">
            <v>Depreciation &amp; Amortization</v>
          </cell>
          <cell r="N1627" t="str">
            <v>SG&amp;A</v>
          </cell>
          <cell r="O1627" t="str">
            <v>[No Vendor]</v>
          </cell>
        </row>
        <row r="1628">
          <cell r="D1628">
            <v>794.73</v>
          </cell>
          <cell r="H1628">
            <v>45383</v>
          </cell>
          <cell r="I1628" t="str">
            <v>7060 - Information Technology &amp; Software</v>
          </cell>
          <cell r="J1628">
            <v>0</v>
          </cell>
          <cell r="K1628" t="str">
            <v>Administration</v>
          </cell>
          <cell r="L1628" t="str">
            <v>Depreciation &amp; Amortization</v>
          </cell>
          <cell r="N1628" t="str">
            <v>SG&amp;A</v>
          </cell>
          <cell r="O1628" t="str">
            <v>[No Vendor]</v>
          </cell>
        </row>
        <row r="1629">
          <cell r="D1629">
            <v>0</v>
          </cell>
          <cell r="H1629">
            <v>45383</v>
          </cell>
          <cell r="I1629" t="str">
            <v>7040 - Furniture &amp; Fixtures</v>
          </cell>
          <cell r="J1629">
            <v>0</v>
          </cell>
          <cell r="K1629" t="str">
            <v>Brand Marketing</v>
          </cell>
          <cell r="L1629" t="str">
            <v>Depreciation &amp; Amortization</v>
          </cell>
          <cell r="N1629" t="str">
            <v>SG&amp;A</v>
          </cell>
          <cell r="O1629" t="str">
            <v>[No Vendor]</v>
          </cell>
        </row>
        <row r="1630">
          <cell r="D1630">
            <v>269.64999999999998</v>
          </cell>
          <cell r="H1630">
            <v>45383</v>
          </cell>
          <cell r="I1630" t="str">
            <v>7040 - Furniture &amp; Fixtures</v>
          </cell>
          <cell r="J1630">
            <v>0</v>
          </cell>
          <cell r="K1630" t="str">
            <v>Administration</v>
          </cell>
          <cell r="L1630" t="str">
            <v>Depreciation &amp; Amortization</v>
          </cell>
          <cell r="N1630" t="str">
            <v>SG&amp;A</v>
          </cell>
          <cell r="O1630" t="str">
            <v>[No Vendor]</v>
          </cell>
        </row>
        <row r="1631">
          <cell r="D1631">
            <v>658.17</v>
          </cell>
          <cell r="H1631">
            <v>45383</v>
          </cell>
          <cell r="I1631" t="str">
            <v>6055 - Employer Social Security Tax Withheld</v>
          </cell>
          <cell r="J1631">
            <v>0</v>
          </cell>
          <cell r="K1631" t="str">
            <v>Merchandising</v>
          </cell>
          <cell r="L1631" t="str">
            <v>HQ Salaries</v>
          </cell>
          <cell r="N1631" t="str">
            <v>SG&amp;A</v>
          </cell>
          <cell r="O1631" t="str">
            <v>[No Vendor]</v>
          </cell>
        </row>
        <row r="1632">
          <cell r="D1632">
            <v>1262.54</v>
          </cell>
          <cell r="H1632">
            <v>45383</v>
          </cell>
          <cell r="I1632" t="str">
            <v>6055 - Employer Social Security Tax Withheld</v>
          </cell>
          <cell r="J1632" t="str">
            <v>Wholesale</v>
          </cell>
          <cell r="K1632" t="str">
            <v>Wholesale</v>
          </cell>
          <cell r="L1632" t="str">
            <v>HQ Salaries</v>
          </cell>
          <cell r="N1632" t="str">
            <v>SG&amp;A</v>
          </cell>
          <cell r="O1632" t="str">
            <v>[No Vendor]</v>
          </cell>
        </row>
        <row r="1633">
          <cell r="D1633">
            <v>2516.92</v>
          </cell>
          <cell r="H1633">
            <v>45383</v>
          </cell>
          <cell r="I1633" t="str">
            <v>6055 - Employer Social Security Tax Withheld</v>
          </cell>
          <cell r="J1633">
            <v>0</v>
          </cell>
          <cell r="K1633" t="str">
            <v>Production</v>
          </cell>
          <cell r="L1633" t="str">
            <v>HQ Salaries</v>
          </cell>
          <cell r="N1633" t="str">
            <v>SG&amp;A</v>
          </cell>
          <cell r="O1633" t="str">
            <v>[No Vendor]</v>
          </cell>
        </row>
        <row r="1634">
          <cell r="D1634">
            <v>957.97</v>
          </cell>
          <cell r="H1634">
            <v>45383</v>
          </cell>
          <cell r="I1634" t="str">
            <v>6055 - Employer Social Security Tax Withheld</v>
          </cell>
          <cell r="J1634">
            <v>0</v>
          </cell>
          <cell r="K1634" t="str">
            <v>Brand Marketing</v>
          </cell>
          <cell r="L1634" t="str">
            <v>HQ Salaries</v>
          </cell>
          <cell r="N1634" t="str">
            <v>SG&amp;A</v>
          </cell>
          <cell r="O1634" t="str">
            <v>[No Vendor]</v>
          </cell>
        </row>
        <row r="1635">
          <cell r="D1635">
            <v>2263.8000000000002</v>
          </cell>
          <cell r="H1635">
            <v>45383</v>
          </cell>
          <cell r="I1635" t="str">
            <v>6055 - Employer Social Security Tax Withheld</v>
          </cell>
          <cell r="J1635" t="str">
            <v>Ecommerce (US)</v>
          </cell>
          <cell r="K1635" t="str">
            <v>Ecommerce</v>
          </cell>
          <cell r="L1635" t="str">
            <v>HQ Salaries</v>
          </cell>
          <cell r="N1635" t="str">
            <v>SG&amp;A</v>
          </cell>
          <cell r="O1635" t="str">
            <v>[No Vendor]</v>
          </cell>
        </row>
        <row r="1636">
          <cell r="D1636">
            <v>2381.96</v>
          </cell>
          <cell r="H1636">
            <v>45383</v>
          </cell>
          <cell r="I1636" t="str">
            <v>6055 - Employer Social Security Tax Withheld</v>
          </cell>
          <cell r="J1636">
            <v>0</v>
          </cell>
          <cell r="K1636" t="str">
            <v>Design</v>
          </cell>
          <cell r="L1636" t="str">
            <v>HQ Salaries</v>
          </cell>
          <cell r="N1636" t="str">
            <v>SG&amp;A</v>
          </cell>
          <cell r="O1636" t="str">
            <v>[No Vendor]</v>
          </cell>
        </row>
        <row r="1637">
          <cell r="D1637">
            <v>2680.02</v>
          </cell>
          <cell r="H1637">
            <v>45383</v>
          </cell>
          <cell r="I1637" t="str">
            <v>6055 - Employer Social Security Tax Withheld</v>
          </cell>
          <cell r="J1637">
            <v>0</v>
          </cell>
          <cell r="K1637" t="str">
            <v>Administration</v>
          </cell>
          <cell r="L1637" t="str">
            <v>HQ Salaries</v>
          </cell>
          <cell r="N1637" t="str">
            <v>SG&amp;A</v>
          </cell>
          <cell r="O1637" t="str">
            <v>[No Vendor]</v>
          </cell>
        </row>
        <row r="1638">
          <cell r="D1638">
            <v>-149.58000000000001</v>
          </cell>
          <cell r="H1638">
            <v>45383</v>
          </cell>
          <cell r="I1638" t="str">
            <v>5000 - Cost of Goods Sold</v>
          </cell>
          <cell r="J1638" t="str">
            <v>Wholesale</v>
          </cell>
          <cell r="K1638" t="str">
            <v>Wholesale</v>
          </cell>
          <cell r="L1638" t="str">
            <v>COGS</v>
          </cell>
          <cell r="N1638" t="str">
            <v>COGS</v>
          </cell>
          <cell r="O1638" t="str">
            <v>[No Vendor]</v>
          </cell>
        </row>
        <row r="1639">
          <cell r="D1639">
            <v>146239.76999999999</v>
          </cell>
          <cell r="H1639">
            <v>45383</v>
          </cell>
          <cell r="I1639" t="str">
            <v>5000 - Cost of Goods Sold</v>
          </cell>
          <cell r="J1639" t="str">
            <v>Wholesale</v>
          </cell>
          <cell r="K1639" t="str">
            <v>Wholesale</v>
          </cell>
          <cell r="L1639" t="str">
            <v>COGS</v>
          </cell>
          <cell r="N1639" t="str">
            <v>COGS</v>
          </cell>
          <cell r="O1639" t="str">
            <v>[No Vendor]</v>
          </cell>
        </row>
        <row r="1640">
          <cell r="D1640">
            <v>378116.4</v>
          </cell>
          <cell r="H1640">
            <v>45383</v>
          </cell>
          <cell r="I1640" t="str">
            <v>5000 - Cost of Goods Sold</v>
          </cell>
          <cell r="J1640" t="str">
            <v>Ecommerce (US)</v>
          </cell>
          <cell r="K1640" t="str">
            <v>Ecommerce</v>
          </cell>
          <cell r="L1640" t="str">
            <v>COGS</v>
          </cell>
          <cell r="N1640" t="str">
            <v>COGS</v>
          </cell>
          <cell r="O1640" t="str">
            <v>[No Vendor]</v>
          </cell>
        </row>
        <row r="1641">
          <cell r="D1641">
            <v>21214.880000000001</v>
          </cell>
          <cell r="H1641">
            <v>45383</v>
          </cell>
          <cell r="I1641" t="str">
            <v>5000 - Cost of Goods Sold</v>
          </cell>
          <cell r="J1641" t="str">
            <v>Ecommerce (US)</v>
          </cell>
          <cell r="K1641" t="str">
            <v>Ecommerce</v>
          </cell>
          <cell r="L1641" t="str">
            <v>COGS</v>
          </cell>
          <cell r="N1641" t="str">
            <v>COGS</v>
          </cell>
          <cell r="O1641" t="str">
            <v>[No Vendor]</v>
          </cell>
        </row>
        <row r="1642">
          <cell r="D1642">
            <v>42895.89</v>
          </cell>
          <cell r="H1642">
            <v>45383</v>
          </cell>
          <cell r="I1642" t="str">
            <v>5000 - Cost of Goods Sold</v>
          </cell>
          <cell r="J1642" t="str">
            <v>Ecommerce (EU)</v>
          </cell>
          <cell r="K1642" t="str">
            <v>Ecommerce</v>
          </cell>
          <cell r="L1642" t="str">
            <v>COGS</v>
          </cell>
          <cell r="N1642" t="str">
            <v>COGS</v>
          </cell>
          <cell r="O1642" t="str">
            <v>[No Vendor]</v>
          </cell>
        </row>
        <row r="1643">
          <cell r="D1643">
            <v>-141.47999999999999</v>
          </cell>
          <cell r="H1643">
            <v>45383</v>
          </cell>
          <cell r="I1643" t="str">
            <v>8000 - Interest Income</v>
          </cell>
          <cell r="J1643">
            <v>0</v>
          </cell>
          <cell r="K1643" t="str">
            <v>Administration</v>
          </cell>
          <cell r="L1643" t="str">
            <v>Other Income (BTL)</v>
          </cell>
          <cell r="N1643" t="str">
            <v>BTL</v>
          </cell>
          <cell r="O1643" t="str">
            <v>[No Vendor]</v>
          </cell>
        </row>
        <row r="1644">
          <cell r="D1644">
            <v>18.79</v>
          </cell>
          <cell r="H1644">
            <v>45383</v>
          </cell>
          <cell r="I1644" t="str">
            <v>6125 - Transportation and Fuel</v>
          </cell>
          <cell r="J1644" t="str">
            <v>Wholesale</v>
          </cell>
          <cell r="K1644" t="str">
            <v>Wholesale</v>
          </cell>
          <cell r="L1644" t="str">
            <v>T&amp;E</v>
          </cell>
          <cell r="N1644" t="str">
            <v>SG&amp;A</v>
          </cell>
          <cell r="O1644" t="str">
            <v>[No Vendor]</v>
          </cell>
        </row>
        <row r="1645">
          <cell r="D1645">
            <v>166.89</v>
          </cell>
          <cell r="H1645">
            <v>45383</v>
          </cell>
          <cell r="I1645" t="str">
            <v>6125 - Transportation and Fuel</v>
          </cell>
          <cell r="J1645">
            <v>0</v>
          </cell>
          <cell r="K1645" t="str">
            <v>Production</v>
          </cell>
          <cell r="L1645" t="str">
            <v>T&amp;E</v>
          </cell>
          <cell r="N1645" t="str">
            <v>SG&amp;A</v>
          </cell>
          <cell r="O1645" t="str">
            <v>[No Vendor]</v>
          </cell>
        </row>
        <row r="1646">
          <cell r="D1646">
            <v>116.6</v>
          </cell>
          <cell r="H1646">
            <v>45383</v>
          </cell>
          <cell r="I1646" t="str">
            <v>6125 - Transportation and Fuel</v>
          </cell>
          <cell r="J1646">
            <v>0</v>
          </cell>
          <cell r="K1646" t="str">
            <v>Merchandising</v>
          </cell>
          <cell r="L1646" t="str">
            <v>T&amp;E</v>
          </cell>
          <cell r="N1646" t="str">
            <v>SG&amp;A</v>
          </cell>
          <cell r="O1646" t="str">
            <v>[No Vendor]</v>
          </cell>
        </row>
        <row r="1647">
          <cell r="D1647">
            <v>138.80000000000001</v>
          </cell>
          <cell r="H1647">
            <v>45383</v>
          </cell>
          <cell r="I1647" t="str">
            <v>6125 - Transportation and Fuel</v>
          </cell>
          <cell r="J1647">
            <v>0</v>
          </cell>
          <cell r="K1647" t="str">
            <v>Design</v>
          </cell>
          <cell r="L1647" t="str">
            <v>T&amp;E</v>
          </cell>
          <cell r="N1647" t="str">
            <v>SG&amp;A</v>
          </cell>
          <cell r="O1647" t="str">
            <v>[No Vendor]</v>
          </cell>
        </row>
        <row r="1648">
          <cell r="D1648">
            <v>32.659999999999997</v>
          </cell>
          <cell r="H1648">
            <v>45383</v>
          </cell>
          <cell r="I1648" t="str">
            <v>6105 - Meals</v>
          </cell>
          <cell r="J1648" t="str">
            <v>Wholesale</v>
          </cell>
          <cell r="K1648" t="str">
            <v>Wholesale</v>
          </cell>
          <cell r="L1648" t="str">
            <v>T&amp;E</v>
          </cell>
          <cell r="N1648" t="str">
            <v>SG&amp;A</v>
          </cell>
          <cell r="O1648" t="str">
            <v>[No Vendor]</v>
          </cell>
        </row>
        <row r="1649">
          <cell r="D1649">
            <v>121.39</v>
          </cell>
          <cell r="H1649">
            <v>45383</v>
          </cell>
          <cell r="I1649" t="str">
            <v>6105 - Meals</v>
          </cell>
          <cell r="J1649">
            <v>0</v>
          </cell>
          <cell r="K1649" t="str">
            <v>Production</v>
          </cell>
          <cell r="L1649" t="str">
            <v>T&amp;E</v>
          </cell>
          <cell r="N1649" t="str">
            <v>SG&amp;A</v>
          </cell>
          <cell r="O1649" t="str">
            <v>[No Vendor]</v>
          </cell>
        </row>
        <row r="1650">
          <cell r="D1650">
            <v>106.97</v>
          </cell>
          <cell r="H1650">
            <v>45383</v>
          </cell>
          <cell r="I1650" t="str">
            <v>6105 - Meals</v>
          </cell>
          <cell r="J1650">
            <v>0</v>
          </cell>
          <cell r="K1650" t="str">
            <v>Design</v>
          </cell>
          <cell r="L1650" t="str">
            <v>T&amp;E</v>
          </cell>
          <cell r="N1650" t="str">
            <v>SG&amp;A</v>
          </cell>
          <cell r="O1650" t="str">
            <v>[No Vendor]</v>
          </cell>
        </row>
        <row r="1651">
          <cell r="D1651">
            <v>533.15</v>
          </cell>
          <cell r="H1651">
            <v>45383</v>
          </cell>
          <cell r="I1651" t="str">
            <v>6105 - Meals</v>
          </cell>
          <cell r="J1651">
            <v>0</v>
          </cell>
          <cell r="K1651" t="str">
            <v>Administration</v>
          </cell>
          <cell r="L1651" t="str">
            <v>T&amp;E</v>
          </cell>
          <cell r="N1651" t="str">
            <v>SG&amp;A</v>
          </cell>
          <cell r="O1651" t="str">
            <v>[No Vendor]</v>
          </cell>
        </row>
        <row r="1652">
          <cell r="D1652">
            <v>175</v>
          </cell>
          <cell r="H1652">
            <v>45383</v>
          </cell>
          <cell r="I1652" t="str">
            <v>6420 - Licenses &amp; Membership</v>
          </cell>
          <cell r="J1652">
            <v>0</v>
          </cell>
          <cell r="K1652" t="str">
            <v>Production</v>
          </cell>
          <cell r="L1652" t="str">
            <v>Professional Service</v>
          </cell>
          <cell r="N1652" t="str">
            <v>SG&amp;A</v>
          </cell>
          <cell r="O1652" t="str">
            <v>[No Vendor]</v>
          </cell>
        </row>
        <row r="1653">
          <cell r="D1653">
            <v>1905.33</v>
          </cell>
          <cell r="H1653">
            <v>45383</v>
          </cell>
          <cell r="I1653" t="str">
            <v>6420 - Licenses &amp; Membership</v>
          </cell>
          <cell r="J1653">
            <v>0</v>
          </cell>
          <cell r="K1653" t="str">
            <v>Administration</v>
          </cell>
          <cell r="L1653" t="str">
            <v>Professional Service</v>
          </cell>
          <cell r="N1653" t="str">
            <v>SG&amp;A</v>
          </cell>
          <cell r="O1653" t="str">
            <v>[No Vendor]</v>
          </cell>
        </row>
        <row r="1654">
          <cell r="D1654">
            <v>7.13</v>
          </cell>
          <cell r="H1654">
            <v>45383</v>
          </cell>
          <cell r="I1654" t="str">
            <v>7030 - Plant Machinery &amp; Equipment</v>
          </cell>
          <cell r="J1654">
            <v>0</v>
          </cell>
          <cell r="K1654" t="str">
            <v>Production</v>
          </cell>
          <cell r="L1654" t="str">
            <v>Depreciation &amp; Amortization</v>
          </cell>
          <cell r="N1654" t="str">
            <v>SG&amp;A</v>
          </cell>
          <cell r="O1654" t="str">
            <v>[No Vendor]</v>
          </cell>
        </row>
        <row r="1655">
          <cell r="D1655">
            <v>14.15</v>
          </cell>
          <cell r="H1655">
            <v>45383</v>
          </cell>
          <cell r="I1655" t="str">
            <v>7030 - Plant Machinery &amp; Equipment</v>
          </cell>
          <cell r="J1655">
            <v>0</v>
          </cell>
          <cell r="K1655" t="str">
            <v>Administration</v>
          </cell>
          <cell r="L1655" t="str">
            <v>Depreciation &amp; Amortization</v>
          </cell>
          <cell r="N1655" t="str">
            <v>SG&amp;A</v>
          </cell>
          <cell r="O1655" t="str">
            <v>[No Vendor]</v>
          </cell>
        </row>
        <row r="1656">
          <cell r="D1656">
            <v>0</v>
          </cell>
          <cell r="H1656">
            <v>45383</v>
          </cell>
          <cell r="I1656" t="str">
            <v>6040 - Employer Paid Benefits</v>
          </cell>
          <cell r="J1656">
            <v>0</v>
          </cell>
          <cell r="K1656" t="str">
            <v>Merchandising</v>
          </cell>
          <cell r="L1656" t="str">
            <v>HQ Salaries</v>
          </cell>
          <cell r="N1656" t="str">
            <v>SG&amp;A</v>
          </cell>
          <cell r="O1656" t="str">
            <v>[No Vendor]</v>
          </cell>
        </row>
        <row r="1657">
          <cell r="D1657">
            <v>-54.19</v>
          </cell>
          <cell r="H1657">
            <v>45383</v>
          </cell>
          <cell r="I1657" t="str">
            <v>6040 - Employer Paid Benefits</v>
          </cell>
          <cell r="J1657" t="str">
            <v>Wholesale</v>
          </cell>
          <cell r="K1657" t="str">
            <v>Wholesale</v>
          </cell>
          <cell r="L1657" t="str">
            <v>HQ Salaries</v>
          </cell>
          <cell r="N1657" t="str">
            <v>SG&amp;A</v>
          </cell>
          <cell r="O1657" t="str">
            <v>[No Vendor]</v>
          </cell>
        </row>
        <row r="1658">
          <cell r="D1658">
            <v>-491.59</v>
          </cell>
          <cell r="H1658">
            <v>45383</v>
          </cell>
          <cell r="I1658" t="str">
            <v>6040 - Employer Paid Benefits</v>
          </cell>
          <cell r="J1658">
            <v>0</v>
          </cell>
          <cell r="K1658" t="str">
            <v>Production</v>
          </cell>
          <cell r="L1658" t="str">
            <v>HQ Salaries</v>
          </cell>
          <cell r="N1658" t="str">
            <v>SG&amp;A</v>
          </cell>
          <cell r="O1658" t="str">
            <v>[No Vendor]</v>
          </cell>
        </row>
        <row r="1659">
          <cell r="D1659">
            <v>-27.1</v>
          </cell>
          <cell r="H1659">
            <v>45383</v>
          </cell>
          <cell r="I1659" t="str">
            <v>6040 - Employer Paid Benefits</v>
          </cell>
          <cell r="J1659">
            <v>0</v>
          </cell>
          <cell r="K1659" t="str">
            <v>Brand Marketing</v>
          </cell>
          <cell r="L1659" t="str">
            <v>HQ Salaries</v>
          </cell>
          <cell r="N1659" t="str">
            <v>SG&amp;A</v>
          </cell>
          <cell r="O1659" t="str">
            <v>[No Vendor]</v>
          </cell>
        </row>
        <row r="1660">
          <cell r="D1660">
            <v>-146.22</v>
          </cell>
          <cell r="H1660">
            <v>45383</v>
          </cell>
          <cell r="I1660" t="str">
            <v>6040 - Employer Paid Benefits</v>
          </cell>
          <cell r="J1660" t="str">
            <v>Ecommerce (US)</v>
          </cell>
          <cell r="K1660" t="str">
            <v>Ecommerce</v>
          </cell>
          <cell r="L1660" t="str">
            <v>HQ Salaries</v>
          </cell>
          <cell r="N1660" t="str">
            <v>SG&amp;A</v>
          </cell>
          <cell r="O1660" t="str">
            <v>[No Vendor]</v>
          </cell>
        </row>
        <row r="1661">
          <cell r="D1661">
            <v>-436.1</v>
          </cell>
          <cell r="H1661">
            <v>45383</v>
          </cell>
          <cell r="I1661" t="str">
            <v>6040 - Employer Paid Benefits</v>
          </cell>
          <cell r="J1661">
            <v>0</v>
          </cell>
          <cell r="K1661" t="str">
            <v>Design</v>
          </cell>
          <cell r="L1661" t="str">
            <v>HQ Salaries</v>
          </cell>
          <cell r="N1661" t="str">
            <v>SG&amp;A</v>
          </cell>
          <cell r="O1661" t="str">
            <v>[No Vendor]</v>
          </cell>
        </row>
        <row r="1662">
          <cell r="D1662">
            <v>-196.44</v>
          </cell>
          <cell r="H1662">
            <v>45383</v>
          </cell>
          <cell r="I1662" t="str">
            <v>6040 - Employer Paid Benefits</v>
          </cell>
          <cell r="J1662">
            <v>0</v>
          </cell>
          <cell r="K1662" t="str">
            <v>Administration</v>
          </cell>
          <cell r="L1662" t="str">
            <v>HQ Salaries</v>
          </cell>
          <cell r="N1662" t="str">
            <v>SG&amp;A</v>
          </cell>
          <cell r="O1662" t="str">
            <v>[No Vendor]</v>
          </cell>
        </row>
        <row r="1663">
          <cell r="D1663">
            <v>6180</v>
          </cell>
          <cell r="H1663">
            <v>45383</v>
          </cell>
          <cell r="I1663" t="str">
            <v>6005 - Salaries</v>
          </cell>
          <cell r="J1663">
            <v>0</v>
          </cell>
          <cell r="K1663" t="str">
            <v>Merchandising</v>
          </cell>
          <cell r="L1663" t="str">
            <v>HQ Salaries</v>
          </cell>
          <cell r="N1663" t="str">
            <v>SG&amp;A</v>
          </cell>
          <cell r="O1663" t="str">
            <v>[No Vendor]</v>
          </cell>
        </row>
        <row r="1664">
          <cell r="D1664">
            <v>11893.86</v>
          </cell>
          <cell r="H1664">
            <v>45383</v>
          </cell>
          <cell r="I1664" t="str">
            <v>6005 - Salaries</v>
          </cell>
          <cell r="J1664" t="str">
            <v>Wholesale</v>
          </cell>
          <cell r="K1664" t="str">
            <v>Wholesale</v>
          </cell>
          <cell r="L1664" t="str">
            <v>HQ Salaries</v>
          </cell>
          <cell r="N1664" t="str">
            <v>SG&amp;A</v>
          </cell>
          <cell r="O1664" t="str">
            <v>[No Vendor]</v>
          </cell>
        </row>
        <row r="1665">
          <cell r="D1665">
            <v>23986.19</v>
          </cell>
          <cell r="H1665">
            <v>45383</v>
          </cell>
          <cell r="I1665" t="str">
            <v>6005 - Salaries</v>
          </cell>
          <cell r="J1665">
            <v>0</v>
          </cell>
          <cell r="K1665" t="str">
            <v>Production</v>
          </cell>
          <cell r="L1665" t="str">
            <v>HQ Salaries</v>
          </cell>
          <cell r="N1665" t="str">
            <v>SG&amp;A</v>
          </cell>
          <cell r="O1665" t="str">
            <v>[No Vendor]</v>
          </cell>
        </row>
        <row r="1666">
          <cell r="D1666">
            <v>9542.16</v>
          </cell>
          <cell r="H1666">
            <v>45383</v>
          </cell>
          <cell r="I1666" t="str">
            <v>6005 - Salaries</v>
          </cell>
          <cell r="J1666">
            <v>0</v>
          </cell>
          <cell r="K1666" t="str">
            <v>Brand Marketing</v>
          </cell>
          <cell r="L1666" t="str">
            <v>HQ Salaries</v>
          </cell>
          <cell r="N1666" t="str">
            <v>SG&amp;A</v>
          </cell>
          <cell r="O1666" t="str">
            <v>[No Vendor]</v>
          </cell>
        </row>
        <row r="1667">
          <cell r="D1667">
            <v>24936.959999999999</v>
          </cell>
          <cell r="H1667">
            <v>45383</v>
          </cell>
          <cell r="I1667" t="str">
            <v>6005 - Salaries</v>
          </cell>
          <cell r="J1667" t="str">
            <v>Ecommerce (US)</v>
          </cell>
          <cell r="K1667" t="str">
            <v>Ecommerce</v>
          </cell>
          <cell r="L1667" t="str">
            <v>HQ Salaries</v>
          </cell>
          <cell r="N1667" t="str">
            <v>SG&amp;A</v>
          </cell>
          <cell r="O1667" t="str">
            <v>[No Vendor]</v>
          </cell>
        </row>
        <row r="1668">
          <cell r="D1668">
            <v>25029.24</v>
          </cell>
          <cell r="H1668">
            <v>45383</v>
          </cell>
          <cell r="I1668" t="str">
            <v>6005 - Salaries</v>
          </cell>
          <cell r="J1668">
            <v>0</v>
          </cell>
          <cell r="K1668" t="str">
            <v>Design</v>
          </cell>
          <cell r="L1668" t="str">
            <v>HQ Salaries</v>
          </cell>
          <cell r="N1668" t="str">
            <v>SG&amp;A</v>
          </cell>
          <cell r="O1668" t="str">
            <v>[No Vendor]</v>
          </cell>
        </row>
        <row r="1669">
          <cell r="D1669">
            <v>27101.57</v>
          </cell>
          <cell r="H1669">
            <v>45383</v>
          </cell>
          <cell r="I1669" t="str">
            <v>6005 - Salaries</v>
          </cell>
          <cell r="J1669">
            <v>0</v>
          </cell>
          <cell r="K1669" t="str">
            <v>Administration</v>
          </cell>
          <cell r="L1669" t="str">
            <v>HQ Salaries</v>
          </cell>
          <cell r="N1669" t="str">
            <v>SG&amp;A</v>
          </cell>
          <cell r="O1669" t="str">
            <v>[No Vendor]</v>
          </cell>
        </row>
        <row r="1670">
          <cell r="D1670">
            <v>0</v>
          </cell>
          <cell r="H1670">
            <v>45383</v>
          </cell>
          <cell r="I1670" t="str">
            <v>4020 - Revenue - Marketing Contribution</v>
          </cell>
          <cell r="J1670">
            <v>0</v>
          </cell>
          <cell r="K1670" t="str">
            <v>Licensing</v>
          </cell>
          <cell r="L1670" t="str">
            <v>License</v>
          </cell>
          <cell r="N1670" t="str">
            <v>Revenue</v>
          </cell>
          <cell r="O1670" t="str">
            <v>[No Vendor]</v>
          </cell>
        </row>
        <row r="1671">
          <cell r="D1671">
            <v>-31144.18</v>
          </cell>
          <cell r="H1671">
            <v>45383</v>
          </cell>
          <cell r="I1671" t="str">
            <v>4010 - Revenue - Licensing Fees (Royalties)</v>
          </cell>
          <cell r="J1671">
            <v>0</v>
          </cell>
          <cell r="K1671" t="str">
            <v>Licensing</v>
          </cell>
          <cell r="L1671" t="str">
            <v>License</v>
          </cell>
          <cell r="N1671" t="str">
            <v>Revenue</v>
          </cell>
          <cell r="O1671" t="str">
            <v>[No Vendor]</v>
          </cell>
        </row>
        <row r="1672">
          <cell r="D1672">
            <v>0</v>
          </cell>
          <cell r="H1672">
            <v>45383</v>
          </cell>
          <cell r="I1672" t="str">
            <v>4010 - Revenue - Licensing Fees (Royalties)</v>
          </cell>
          <cell r="J1672">
            <v>0</v>
          </cell>
          <cell r="K1672" t="str">
            <v>Licensing</v>
          </cell>
          <cell r="L1672" t="str">
            <v>License</v>
          </cell>
          <cell r="N1672" t="str">
            <v>Revenue</v>
          </cell>
          <cell r="O1672" t="str">
            <v>[No Vendor]</v>
          </cell>
        </row>
        <row r="1673">
          <cell r="D1673">
            <v>-40447.5</v>
          </cell>
          <cell r="H1673">
            <v>45383</v>
          </cell>
          <cell r="I1673" t="str">
            <v>4010 - Revenue - Licensing Fees (Royalties)</v>
          </cell>
          <cell r="J1673">
            <v>0</v>
          </cell>
          <cell r="K1673" t="str">
            <v>Licensing</v>
          </cell>
          <cell r="L1673" t="str">
            <v>License</v>
          </cell>
          <cell r="N1673" t="str">
            <v>Revenue</v>
          </cell>
          <cell r="O1673" t="str">
            <v>[No Vendor]</v>
          </cell>
        </row>
        <row r="1674">
          <cell r="D1674">
            <v>0</v>
          </cell>
          <cell r="H1674">
            <v>45383</v>
          </cell>
          <cell r="I1674" t="str">
            <v>4010 - Revenue - Licensing Fees (Royalties)</v>
          </cell>
          <cell r="J1674">
            <v>0</v>
          </cell>
          <cell r="K1674" t="str">
            <v>Licensing</v>
          </cell>
          <cell r="L1674" t="str">
            <v>License</v>
          </cell>
          <cell r="N1674" t="str">
            <v>Revenue</v>
          </cell>
          <cell r="O1674" t="str">
            <v>[No Vendor]</v>
          </cell>
        </row>
        <row r="1675">
          <cell r="D1675">
            <v>-15100.4</v>
          </cell>
          <cell r="H1675">
            <v>45383</v>
          </cell>
          <cell r="I1675" t="str">
            <v>4010 - Revenue - Licensing Fees (Royalties)</v>
          </cell>
          <cell r="J1675">
            <v>0</v>
          </cell>
          <cell r="K1675" t="str">
            <v>Licensing</v>
          </cell>
          <cell r="L1675" t="str">
            <v>License</v>
          </cell>
          <cell r="N1675" t="str">
            <v>Revenue</v>
          </cell>
          <cell r="O1675" t="str">
            <v>[No Vendor]</v>
          </cell>
        </row>
        <row r="1676">
          <cell r="D1676">
            <v>0</v>
          </cell>
          <cell r="H1676">
            <v>45383</v>
          </cell>
          <cell r="I1676" t="str">
            <v>4010 - Revenue - Licensing Fees (Royalties)</v>
          </cell>
          <cell r="J1676">
            <v>0</v>
          </cell>
          <cell r="K1676" t="str">
            <v>Licensing</v>
          </cell>
          <cell r="L1676" t="str">
            <v>License</v>
          </cell>
          <cell r="N1676" t="str">
            <v>Revenue</v>
          </cell>
          <cell r="O1676" t="str">
            <v>[No Vendor]</v>
          </cell>
        </row>
        <row r="1677">
          <cell r="D1677">
            <v>0</v>
          </cell>
          <cell r="H1677">
            <v>45383</v>
          </cell>
          <cell r="I1677" t="str">
            <v>4010 - Revenue - Licensing Fees (Royalties)</v>
          </cell>
          <cell r="J1677">
            <v>0</v>
          </cell>
          <cell r="K1677" t="str">
            <v>Licensing</v>
          </cell>
          <cell r="L1677" t="str">
            <v>License</v>
          </cell>
          <cell r="N1677" t="str">
            <v>Revenue</v>
          </cell>
          <cell r="O1677" t="str">
            <v>[No Vendor]</v>
          </cell>
        </row>
        <row r="1678">
          <cell r="D1678">
            <v>224.07</v>
          </cell>
          <cell r="H1678">
            <v>45413</v>
          </cell>
          <cell r="I1678" t="str">
            <v>6040 - Employer Paid Benefits</v>
          </cell>
          <cell r="J1678">
            <v>0</v>
          </cell>
          <cell r="K1678" t="str">
            <v>Administration</v>
          </cell>
          <cell r="L1678" t="str">
            <v>HQ Salaries</v>
          </cell>
          <cell r="N1678" t="str">
            <v>SG&amp;A</v>
          </cell>
          <cell r="O1678" t="str">
            <v>Allied Administrators</v>
          </cell>
        </row>
        <row r="1679">
          <cell r="D1679">
            <v>300</v>
          </cell>
          <cell r="H1679">
            <v>45413</v>
          </cell>
          <cell r="I1679" t="str">
            <v>6288 - Model</v>
          </cell>
          <cell r="J1679" t="str">
            <v>Ecommerce (US)</v>
          </cell>
          <cell r="K1679" t="str">
            <v>Brand Marketing</v>
          </cell>
          <cell r="L1679" t="str">
            <v>Advertising</v>
          </cell>
          <cell r="N1679" t="str">
            <v>SG&amp;A</v>
          </cell>
          <cell r="O1679" t="str">
            <v>State Artist Management</v>
          </cell>
        </row>
        <row r="1680">
          <cell r="D1680">
            <v>300</v>
          </cell>
          <cell r="H1680">
            <v>45413</v>
          </cell>
          <cell r="I1680" t="str">
            <v>6288 - Model</v>
          </cell>
          <cell r="J1680" t="str">
            <v>Ecommerce (US)</v>
          </cell>
          <cell r="K1680" t="str">
            <v>Brand Marketing</v>
          </cell>
          <cell r="L1680" t="str">
            <v>Advertising</v>
          </cell>
          <cell r="N1680" t="str">
            <v>SG&amp;A</v>
          </cell>
          <cell r="O1680" t="str">
            <v>State Artist Management</v>
          </cell>
        </row>
        <row r="1681">
          <cell r="D1681">
            <v>600</v>
          </cell>
          <cell r="H1681">
            <v>45413</v>
          </cell>
          <cell r="I1681" t="str">
            <v>6288 - Model</v>
          </cell>
          <cell r="J1681" t="str">
            <v>Ecommerce (US)</v>
          </cell>
          <cell r="K1681" t="str">
            <v>Brand Marketing</v>
          </cell>
          <cell r="L1681" t="str">
            <v>Advertising</v>
          </cell>
          <cell r="N1681" t="str">
            <v>SG&amp;A</v>
          </cell>
          <cell r="O1681" t="str">
            <v>State Artist Management</v>
          </cell>
        </row>
        <row r="1682">
          <cell r="D1682">
            <v>300</v>
          </cell>
          <cell r="H1682">
            <v>45413</v>
          </cell>
          <cell r="I1682" t="str">
            <v>6288 - Model</v>
          </cell>
          <cell r="J1682" t="str">
            <v>Ecommerce (US)</v>
          </cell>
          <cell r="K1682" t="str">
            <v>Brand Marketing</v>
          </cell>
          <cell r="L1682" t="str">
            <v>Advertising</v>
          </cell>
          <cell r="N1682" t="str">
            <v>SG&amp;A</v>
          </cell>
          <cell r="O1682" t="str">
            <v>State Artist Management</v>
          </cell>
        </row>
        <row r="1683">
          <cell r="D1683">
            <v>366.93</v>
          </cell>
          <cell r="H1683">
            <v>45413</v>
          </cell>
          <cell r="I1683" t="str">
            <v>6370 - Samples</v>
          </cell>
          <cell r="J1683">
            <v>0</v>
          </cell>
          <cell r="K1683" t="str">
            <v>Production</v>
          </cell>
          <cell r="L1683" t="str">
            <v>Sample</v>
          </cell>
          <cell r="N1683" t="str">
            <v>SG&amp;A</v>
          </cell>
          <cell r="O1683" t="str">
            <v>BB (UK) Limited</v>
          </cell>
        </row>
        <row r="1684">
          <cell r="D1684">
            <v>366.93</v>
          </cell>
          <cell r="H1684">
            <v>45413</v>
          </cell>
          <cell r="I1684" t="str">
            <v>6370 - Samples</v>
          </cell>
          <cell r="J1684" t="str">
            <v>Wholesale</v>
          </cell>
          <cell r="K1684" t="str">
            <v>Production</v>
          </cell>
          <cell r="L1684" t="str">
            <v>Sample</v>
          </cell>
          <cell r="N1684" t="str">
            <v>SG&amp;A</v>
          </cell>
          <cell r="O1684" t="str">
            <v>BB (UK) Limited</v>
          </cell>
        </row>
        <row r="1685">
          <cell r="D1685">
            <v>733.84</v>
          </cell>
          <cell r="H1685">
            <v>45413</v>
          </cell>
          <cell r="I1685" t="str">
            <v>6370 - Samples</v>
          </cell>
          <cell r="J1685" t="str">
            <v>Ecommerce (US)</v>
          </cell>
          <cell r="K1685" t="str">
            <v>Production</v>
          </cell>
          <cell r="L1685" t="str">
            <v>Sample</v>
          </cell>
          <cell r="N1685" t="str">
            <v>SG&amp;A</v>
          </cell>
          <cell r="O1685" t="str">
            <v>BB (UK) Limited</v>
          </cell>
        </row>
        <row r="1686">
          <cell r="D1686">
            <v>896.96</v>
          </cell>
          <cell r="H1686">
            <v>45413</v>
          </cell>
          <cell r="I1686" t="str">
            <v>6370 - Samples</v>
          </cell>
          <cell r="J1686">
            <v>0</v>
          </cell>
          <cell r="K1686" t="str">
            <v>Design</v>
          </cell>
          <cell r="L1686" t="str">
            <v>Sample</v>
          </cell>
          <cell r="N1686" t="str">
            <v>SG&amp;A</v>
          </cell>
          <cell r="O1686" t="str">
            <v>Consul + SRL</v>
          </cell>
        </row>
        <row r="1687">
          <cell r="D1687">
            <v>207.74</v>
          </cell>
          <cell r="H1687">
            <v>45413</v>
          </cell>
          <cell r="I1687" t="str">
            <v>6370 - Samples</v>
          </cell>
          <cell r="J1687">
            <v>0</v>
          </cell>
          <cell r="K1687" t="str">
            <v>Production</v>
          </cell>
          <cell r="L1687" t="str">
            <v>Sample</v>
          </cell>
          <cell r="N1687" t="str">
            <v>SG&amp;A</v>
          </cell>
          <cell r="O1687" t="str">
            <v>Shanghai Hesrro Garment Co., Ltd</v>
          </cell>
        </row>
        <row r="1688">
          <cell r="D1688">
            <v>207.74</v>
          </cell>
          <cell r="H1688">
            <v>45413</v>
          </cell>
          <cell r="I1688" t="str">
            <v>6370 - Samples</v>
          </cell>
          <cell r="J1688">
            <v>0</v>
          </cell>
          <cell r="K1688" t="str">
            <v>Production</v>
          </cell>
          <cell r="L1688" t="str">
            <v>Sample</v>
          </cell>
          <cell r="N1688" t="str">
            <v>SG&amp;A</v>
          </cell>
          <cell r="O1688" t="str">
            <v>Shanghai Hesrro Garment Co., Ltd</v>
          </cell>
        </row>
        <row r="1689">
          <cell r="D1689">
            <v>415.47</v>
          </cell>
          <cell r="H1689">
            <v>45413</v>
          </cell>
          <cell r="I1689" t="str">
            <v>6370 - Samples</v>
          </cell>
          <cell r="J1689" t="str">
            <v>Wholesale</v>
          </cell>
          <cell r="K1689" t="str">
            <v>Production</v>
          </cell>
          <cell r="L1689" t="str">
            <v>Sample</v>
          </cell>
          <cell r="N1689" t="str">
            <v>SG&amp;A</v>
          </cell>
          <cell r="O1689" t="str">
            <v>Shanghai Hesrro Garment Co., Ltd</v>
          </cell>
        </row>
        <row r="1690">
          <cell r="D1690">
            <v>396.92</v>
          </cell>
          <cell r="H1690">
            <v>45413</v>
          </cell>
          <cell r="I1690" t="str">
            <v>6370 - Samples</v>
          </cell>
          <cell r="J1690">
            <v>0</v>
          </cell>
          <cell r="K1690" t="str">
            <v>Production</v>
          </cell>
          <cell r="L1690" t="str">
            <v>Sample</v>
          </cell>
          <cell r="N1690" t="str">
            <v>SG&amp;A</v>
          </cell>
          <cell r="O1690" t="str">
            <v>Porta Asiatica Enterprises Inc</v>
          </cell>
        </row>
        <row r="1691">
          <cell r="D1691">
            <v>793.84</v>
          </cell>
          <cell r="H1691">
            <v>45413</v>
          </cell>
          <cell r="I1691" t="str">
            <v>6370 - Samples</v>
          </cell>
          <cell r="J1691" t="str">
            <v>Wholesale</v>
          </cell>
          <cell r="K1691" t="str">
            <v>Production</v>
          </cell>
          <cell r="L1691" t="str">
            <v>Sample</v>
          </cell>
          <cell r="N1691" t="str">
            <v>SG&amp;A</v>
          </cell>
          <cell r="O1691" t="str">
            <v>Porta Asiatica Enterprises Inc</v>
          </cell>
        </row>
        <row r="1692">
          <cell r="D1692">
            <v>396.92</v>
          </cell>
          <cell r="H1692">
            <v>45413</v>
          </cell>
          <cell r="I1692" t="str">
            <v>6370 - Samples</v>
          </cell>
          <cell r="J1692">
            <v>0</v>
          </cell>
          <cell r="K1692" t="str">
            <v>Production</v>
          </cell>
          <cell r="L1692" t="str">
            <v>Sample</v>
          </cell>
          <cell r="N1692" t="str">
            <v>SG&amp;A</v>
          </cell>
          <cell r="O1692" t="str">
            <v>Porta Asiatica Enterprises Inc</v>
          </cell>
        </row>
        <row r="1693">
          <cell r="D1693">
            <v>1888.94</v>
          </cell>
          <cell r="H1693">
            <v>45413</v>
          </cell>
          <cell r="I1693" t="str">
            <v>6385 - Insurance</v>
          </cell>
          <cell r="J1693">
            <v>0</v>
          </cell>
          <cell r="K1693" t="str">
            <v>Administration</v>
          </cell>
          <cell r="L1693" t="str">
            <v>Professional Service</v>
          </cell>
          <cell r="N1693" t="str">
            <v>SG&amp;A</v>
          </cell>
          <cell r="O1693" t="str">
            <v>The Hartford</v>
          </cell>
        </row>
        <row r="1694">
          <cell r="D1694">
            <v>65.33</v>
          </cell>
          <cell r="H1694">
            <v>45413</v>
          </cell>
          <cell r="I1694" t="str">
            <v>6400 - Utilities</v>
          </cell>
          <cell r="J1694">
            <v>0</v>
          </cell>
          <cell r="K1694" t="str">
            <v>Administration</v>
          </cell>
          <cell r="L1694" t="str">
            <v>Other</v>
          </cell>
          <cell r="N1694" t="str">
            <v>SG&amp;A</v>
          </cell>
          <cell r="O1694" t="str">
            <v>NYC Intercom Inc</v>
          </cell>
        </row>
        <row r="1695">
          <cell r="D1695">
            <v>65.33</v>
          </cell>
          <cell r="H1695">
            <v>45413</v>
          </cell>
          <cell r="I1695" t="str">
            <v>6400 - Utilities</v>
          </cell>
          <cell r="J1695">
            <v>0</v>
          </cell>
          <cell r="K1695" t="str">
            <v>Administration</v>
          </cell>
          <cell r="L1695" t="str">
            <v>Other</v>
          </cell>
          <cell r="N1695" t="str">
            <v>SG&amp;A</v>
          </cell>
          <cell r="O1695" t="str">
            <v>NYC Intercom Inc</v>
          </cell>
        </row>
        <row r="1696">
          <cell r="D1696">
            <v>65.33</v>
          </cell>
          <cell r="H1696">
            <v>45413</v>
          </cell>
          <cell r="I1696" t="str">
            <v>6400 - Utilities</v>
          </cell>
          <cell r="J1696">
            <v>0</v>
          </cell>
          <cell r="K1696" t="str">
            <v>Administration</v>
          </cell>
          <cell r="L1696" t="str">
            <v>Other</v>
          </cell>
          <cell r="N1696" t="str">
            <v>SG&amp;A</v>
          </cell>
          <cell r="O1696" t="str">
            <v>NYC Intercom Inc</v>
          </cell>
        </row>
        <row r="1697">
          <cell r="D1697">
            <v>639.86</v>
          </cell>
          <cell r="H1697">
            <v>45413</v>
          </cell>
          <cell r="I1697" t="str">
            <v>6400 - Utilities</v>
          </cell>
          <cell r="J1697">
            <v>0</v>
          </cell>
          <cell r="K1697" t="str">
            <v>Administration</v>
          </cell>
          <cell r="L1697" t="str">
            <v>Other</v>
          </cell>
          <cell r="N1697" t="str">
            <v>SG&amp;A</v>
          </cell>
          <cell r="O1697" t="str">
            <v>Antelope LLC</v>
          </cell>
        </row>
        <row r="1698">
          <cell r="D1698">
            <v>3920.5</v>
          </cell>
          <cell r="H1698">
            <v>45413</v>
          </cell>
          <cell r="I1698" t="str">
            <v>6225 - Professional Services</v>
          </cell>
          <cell r="J1698">
            <v>0</v>
          </cell>
          <cell r="K1698" t="str">
            <v>Administration</v>
          </cell>
          <cell r="L1698" t="str">
            <v>Professional Service</v>
          </cell>
          <cell r="N1698" t="str">
            <v>Direct Costs</v>
          </cell>
          <cell r="O1698" t="str">
            <v>Enom Solutions, Inc-DBA 3nom</v>
          </cell>
        </row>
        <row r="1699">
          <cell r="D1699">
            <v>22825.040000000001</v>
          </cell>
          <cell r="H1699">
            <v>45413</v>
          </cell>
          <cell r="I1699" t="str">
            <v>6225 - Professional Services</v>
          </cell>
          <cell r="J1699" t="str">
            <v>Ecommerce (US)</v>
          </cell>
          <cell r="K1699" t="str">
            <v>Ecommerce</v>
          </cell>
          <cell r="L1699" t="str">
            <v>Professional Service</v>
          </cell>
          <cell r="N1699" t="str">
            <v>Direct Costs</v>
          </cell>
          <cell r="O1699" t="str">
            <v>Rareview, LLC</v>
          </cell>
        </row>
        <row r="1700">
          <cell r="D1700">
            <v>345</v>
          </cell>
          <cell r="H1700">
            <v>45413</v>
          </cell>
          <cell r="I1700" t="str">
            <v>6225 - Professional Services</v>
          </cell>
          <cell r="J1700">
            <v>0</v>
          </cell>
          <cell r="K1700" t="str">
            <v>Administration</v>
          </cell>
          <cell r="L1700" t="str">
            <v>Professional Service</v>
          </cell>
          <cell r="N1700" t="str">
            <v>Direct Costs</v>
          </cell>
          <cell r="O1700" t="str">
            <v>CogencyGlobal Inc (ST IP Holdings)</v>
          </cell>
        </row>
        <row r="1701">
          <cell r="D1701">
            <v>115</v>
          </cell>
          <cell r="H1701">
            <v>45413</v>
          </cell>
          <cell r="I1701" t="str">
            <v>6225 - Professional Services</v>
          </cell>
          <cell r="J1701">
            <v>0</v>
          </cell>
          <cell r="K1701" t="str">
            <v>Administration</v>
          </cell>
          <cell r="L1701" t="str">
            <v>Professional Service</v>
          </cell>
          <cell r="N1701" t="str">
            <v>Direct Costs</v>
          </cell>
          <cell r="O1701" t="str">
            <v>CogencyGlobal Inc (ST IP Holdings)</v>
          </cell>
        </row>
        <row r="1702">
          <cell r="D1702">
            <v>29236.67</v>
          </cell>
          <cell r="H1702">
            <v>45413</v>
          </cell>
          <cell r="I1702" t="str">
            <v>6320 - Building Rent</v>
          </cell>
          <cell r="J1702">
            <v>0</v>
          </cell>
          <cell r="K1702" t="str">
            <v>Administration</v>
          </cell>
          <cell r="L1702" t="str">
            <v>Rent</v>
          </cell>
          <cell r="N1702" t="str">
            <v>SG&amp;A</v>
          </cell>
          <cell r="O1702" t="str">
            <v>Antelope LLC</v>
          </cell>
        </row>
        <row r="1703">
          <cell r="D1703">
            <v>145</v>
          </cell>
          <cell r="H1703">
            <v>45413</v>
          </cell>
          <cell r="I1703" t="str">
            <v>6375 - Freight Expenses</v>
          </cell>
          <cell r="J1703">
            <v>0</v>
          </cell>
          <cell r="K1703" t="str">
            <v>Administration</v>
          </cell>
          <cell r="L1703" t="str">
            <v>Freight</v>
          </cell>
          <cell r="N1703" t="str">
            <v>Direct Costs</v>
          </cell>
          <cell r="O1703" t="str">
            <v>GNS Co., LTD</v>
          </cell>
        </row>
        <row r="1704">
          <cell r="D1704">
            <v>34.450000000000003</v>
          </cell>
          <cell r="H1704">
            <v>45413</v>
          </cell>
          <cell r="I1704" t="str">
            <v>6375 - Freight Expenses</v>
          </cell>
          <cell r="J1704">
            <v>0</v>
          </cell>
          <cell r="K1704" t="str">
            <v>Brand Marketing</v>
          </cell>
          <cell r="L1704" t="str">
            <v>Freight</v>
          </cell>
          <cell r="N1704" t="str">
            <v>Direct Costs</v>
          </cell>
          <cell r="O1704" t="str">
            <v>Lightspeed Express Delivery Systems</v>
          </cell>
        </row>
        <row r="1705">
          <cell r="D1705">
            <v>1633.9</v>
          </cell>
          <cell r="H1705">
            <v>45413</v>
          </cell>
          <cell r="I1705" t="str">
            <v>6040 - Employer Paid Benefits</v>
          </cell>
          <cell r="J1705" t="str">
            <v>Wholesale</v>
          </cell>
          <cell r="K1705" t="str">
            <v>Wholesale</v>
          </cell>
          <cell r="L1705" t="str">
            <v>HQ Salaries</v>
          </cell>
          <cell r="N1705" t="str">
            <v>SG&amp;A</v>
          </cell>
          <cell r="O1705" t="str">
            <v>Excellus Health Plan - Group</v>
          </cell>
        </row>
        <row r="1706">
          <cell r="D1706">
            <v>3839.66</v>
          </cell>
          <cell r="H1706">
            <v>45413</v>
          </cell>
          <cell r="I1706" t="str">
            <v>6040 - Employer Paid Benefits</v>
          </cell>
          <cell r="J1706">
            <v>0</v>
          </cell>
          <cell r="K1706" t="str">
            <v>Production</v>
          </cell>
          <cell r="L1706" t="str">
            <v>HQ Salaries</v>
          </cell>
          <cell r="N1706" t="str">
            <v>SG&amp;A</v>
          </cell>
          <cell r="O1706" t="str">
            <v>Excellus Health Plan - Group</v>
          </cell>
        </row>
        <row r="1707">
          <cell r="D1707">
            <v>816.95</v>
          </cell>
          <cell r="H1707">
            <v>45413</v>
          </cell>
          <cell r="I1707" t="str">
            <v>6040 - Employer Paid Benefits</v>
          </cell>
          <cell r="J1707">
            <v>0</v>
          </cell>
          <cell r="K1707" t="str">
            <v>Merchandising</v>
          </cell>
          <cell r="L1707" t="str">
            <v>HQ Salaries</v>
          </cell>
          <cell r="N1707" t="str">
            <v>SG&amp;A</v>
          </cell>
          <cell r="O1707" t="str">
            <v>Excellus Health Plan - Group</v>
          </cell>
        </row>
        <row r="1708">
          <cell r="D1708">
            <v>816.95</v>
          </cell>
          <cell r="H1708">
            <v>45413</v>
          </cell>
          <cell r="I1708" t="str">
            <v>6040 - Employer Paid Benefits</v>
          </cell>
          <cell r="J1708">
            <v>0</v>
          </cell>
          <cell r="K1708" t="str">
            <v>Brand Marketing</v>
          </cell>
          <cell r="L1708" t="str">
            <v>HQ Salaries</v>
          </cell>
          <cell r="N1708" t="str">
            <v>SG&amp;A</v>
          </cell>
          <cell r="O1708" t="str">
            <v>Excellus Health Plan - Group</v>
          </cell>
        </row>
        <row r="1709">
          <cell r="D1709">
            <v>2328.3000000000002</v>
          </cell>
          <cell r="H1709">
            <v>45413</v>
          </cell>
          <cell r="I1709" t="str">
            <v>6040 - Employer Paid Benefits</v>
          </cell>
          <cell r="J1709">
            <v>0</v>
          </cell>
          <cell r="K1709" t="str">
            <v>Executive</v>
          </cell>
          <cell r="L1709" t="str">
            <v>HQ Salaries</v>
          </cell>
          <cell r="N1709" t="str">
            <v>SG&amp;A</v>
          </cell>
          <cell r="O1709" t="str">
            <v>Excellus Health Plan - Group</v>
          </cell>
        </row>
        <row r="1710">
          <cell r="D1710">
            <v>3145.25</v>
          </cell>
          <cell r="H1710">
            <v>45413</v>
          </cell>
          <cell r="I1710" t="str">
            <v>6040 - Employer Paid Benefits</v>
          </cell>
          <cell r="J1710" t="str">
            <v>Ecommerce (US)</v>
          </cell>
          <cell r="K1710" t="str">
            <v>Ecommerce</v>
          </cell>
          <cell r="L1710" t="str">
            <v>HQ Salaries</v>
          </cell>
          <cell r="N1710" t="str">
            <v>SG&amp;A</v>
          </cell>
          <cell r="O1710" t="str">
            <v>Excellus Health Plan - Group</v>
          </cell>
        </row>
        <row r="1711">
          <cell r="D1711">
            <v>4822.63</v>
          </cell>
          <cell r="H1711">
            <v>45413</v>
          </cell>
          <cell r="I1711" t="str">
            <v>6040 - Employer Paid Benefits</v>
          </cell>
          <cell r="J1711">
            <v>0</v>
          </cell>
          <cell r="K1711" t="str">
            <v>Design</v>
          </cell>
          <cell r="L1711" t="str">
            <v>HQ Salaries</v>
          </cell>
          <cell r="N1711" t="str">
            <v>SG&amp;A</v>
          </cell>
          <cell r="O1711" t="str">
            <v>Excellus Health Plan - Group</v>
          </cell>
        </row>
        <row r="1712">
          <cell r="D1712">
            <v>3839.66</v>
          </cell>
          <cell r="H1712">
            <v>45413</v>
          </cell>
          <cell r="I1712" t="str">
            <v>6040 - Employer Paid Benefits</v>
          </cell>
          <cell r="J1712">
            <v>0</v>
          </cell>
          <cell r="K1712" t="str">
            <v>Administration</v>
          </cell>
          <cell r="L1712" t="str">
            <v>HQ Salaries</v>
          </cell>
          <cell r="N1712" t="str">
            <v>SG&amp;A</v>
          </cell>
          <cell r="O1712" t="str">
            <v>Excellus Health Plan - Group</v>
          </cell>
        </row>
        <row r="1713">
          <cell r="D1713">
            <v>110.41</v>
          </cell>
          <cell r="H1713">
            <v>45413</v>
          </cell>
          <cell r="I1713" t="str">
            <v>6040 - Employer Paid Benefits</v>
          </cell>
          <cell r="J1713" t="str">
            <v>Wholesale</v>
          </cell>
          <cell r="K1713" t="str">
            <v>Wholesale</v>
          </cell>
          <cell r="L1713" t="str">
            <v>HQ Salaries</v>
          </cell>
          <cell r="N1713" t="str">
            <v>SG&amp;A</v>
          </cell>
          <cell r="O1713" t="str">
            <v>United of Omaha Life Insurance Company</v>
          </cell>
        </row>
        <row r="1714">
          <cell r="D1714">
            <v>309.77</v>
          </cell>
          <cell r="H1714">
            <v>45413</v>
          </cell>
          <cell r="I1714" t="str">
            <v>6040 - Employer Paid Benefits</v>
          </cell>
          <cell r="J1714">
            <v>0</v>
          </cell>
          <cell r="K1714" t="str">
            <v>Production</v>
          </cell>
          <cell r="L1714" t="str">
            <v>HQ Salaries</v>
          </cell>
          <cell r="N1714" t="str">
            <v>SG&amp;A</v>
          </cell>
          <cell r="O1714" t="str">
            <v>United of Omaha Life Insurance Company</v>
          </cell>
        </row>
        <row r="1715">
          <cell r="D1715">
            <v>86.43</v>
          </cell>
          <cell r="H1715">
            <v>45413</v>
          </cell>
          <cell r="I1715" t="str">
            <v>6040 - Employer Paid Benefits</v>
          </cell>
          <cell r="J1715">
            <v>0</v>
          </cell>
          <cell r="K1715" t="str">
            <v>Merchandising</v>
          </cell>
          <cell r="L1715" t="str">
            <v>HQ Salaries</v>
          </cell>
          <cell r="N1715" t="str">
            <v>SG&amp;A</v>
          </cell>
          <cell r="O1715" t="str">
            <v>United of Omaha Life Insurance Company</v>
          </cell>
        </row>
        <row r="1716">
          <cell r="D1716">
            <v>47.05</v>
          </cell>
          <cell r="H1716">
            <v>45413</v>
          </cell>
          <cell r="I1716" t="str">
            <v>6040 - Employer Paid Benefits</v>
          </cell>
          <cell r="J1716">
            <v>0</v>
          </cell>
          <cell r="K1716" t="str">
            <v>Brand Marketing</v>
          </cell>
          <cell r="L1716" t="str">
            <v>HQ Salaries</v>
          </cell>
          <cell r="N1716" t="str">
            <v>SG&amp;A</v>
          </cell>
          <cell r="O1716" t="str">
            <v>United of Omaha Life Insurance Company</v>
          </cell>
        </row>
        <row r="1717">
          <cell r="D1717">
            <v>124.11</v>
          </cell>
          <cell r="H1717">
            <v>45413</v>
          </cell>
          <cell r="I1717" t="str">
            <v>6040 - Employer Paid Benefits</v>
          </cell>
          <cell r="J1717">
            <v>0</v>
          </cell>
          <cell r="K1717" t="str">
            <v>Executive</v>
          </cell>
          <cell r="L1717" t="str">
            <v>HQ Salaries</v>
          </cell>
          <cell r="N1717" t="str">
            <v>SG&amp;A</v>
          </cell>
          <cell r="O1717" t="str">
            <v>United of Omaha Life Insurance Company</v>
          </cell>
        </row>
        <row r="1718">
          <cell r="D1718">
            <v>173.02</v>
          </cell>
          <cell r="H1718">
            <v>45413</v>
          </cell>
          <cell r="I1718" t="str">
            <v>6040 - Employer Paid Benefits</v>
          </cell>
          <cell r="J1718" t="str">
            <v>Ecommerce (US)</v>
          </cell>
          <cell r="K1718" t="str">
            <v>Ecommerce</v>
          </cell>
          <cell r="L1718" t="str">
            <v>HQ Salaries</v>
          </cell>
          <cell r="N1718" t="str">
            <v>SG&amp;A</v>
          </cell>
          <cell r="O1718" t="str">
            <v>United of Omaha Life Insurance Company</v>
          </cell>
        </row>
        <row r="1719">
          <cell r="D1719">
            <v>268.14</v>
          </cell>
          <cell r="H1719">
            <v>45413</v>
          </cell>
          <cell r="I1719" t="str">
            <v>6040 - Employer Paid Benefits</v>
          </cell>
          <cell r="J1719">
            <v>0</v>
          </cell>
          <cell r="K1719" t="str">
            <v>Design</v>
          </cell>
          <cell r="L1719" t="str">
            <v>HQ Salaries</v>
          </cell>
          <cell r="N1719" t="str">
            <v>SG&amp;A</v>
          </cell>
          <cell r="O1719" t="str">
            <v>United of Omaha Life Insurance Company</v>
          </cell>
        </row>
        <row r="1720">
          <cell r="D1720">
            <v>432.63</v>
          </cell>
          <cell r="H1720">
            <v>45413</v>
          </cell>
          <cell r="I1720" t="str">
            <v>6040 - Employer Paid Benefits</v>
          </cell>
          <cell r="J1720">
            <v>0</v>
          </cell>
          <cell r="K1720" t="str">
            <v>Administration</v>
          </cell>
          <cell r="L1720" t="str">
            <v>HQ Salaries</v>
          </cell>
          <cell r="N1720" t="str">
            <v>SG&amp;A</v>
          </cell>
          <cell r="O1720" t="str">
            <v>United of Omaha Life Insurance Company</v>
          </cell>
        </row>
        <row r="1721">
          <cell r="D1721">
            <v>24.54</v>
          </cell>
          <cell r="H1721">
            <v>45413</v>
          </cell>
          <cell r="I1721" t="str">
            <v>6040 - Employer Paid Benefits</v>
          </cell>
          <cell r="J1721" t="str">
            <v>Wholesale</v>
          </cell>
          <cell r="K1721" t="str">
            <v>Wholesale</v>
          </cell>
          <cell r="L1721" t="str">
            <v>HQ Salaries</v>
          </cell>
          <cell r="N1721" t="str">
            <v>SG&amp;A</v>
          </cell>
          <cell r="O1721" t="str">
            <v>Allied Administrators</v>
          </cell>
        </row>
        <row r="1722">
          <cell r="D1722">
            <v>125.91</v>
          </cell>
          <cell r="H1722">
            <v>45413</v>
          </cell>
          <cell r="I1722" t="str">
            <v>6040 - Employer Paid Benefits</v>
          </cell>
          <cell r="J1722">
            <v>0</v>
          </cell>
          <cell r="K1722" t="str">
            <v>Production</v>
          </cell>
          <cell r="L1722" t="str">
            <v>HQ Salaries</v>
          </cell>
          <cell r="N1722" t="str">
            <v>SG&amp;A</v>
          </cell>
          <cell r="O1722" t="str">
            <v>Allied Administrators</v>
          </cell>
        </row>
        <row r="1723">
          <cell r="D1723">
            <v>-194.16</v>
          </cell>
          <cell r="H1723">
            <v>45413</v>
          </cell>
          <cell r="I1723" t="str">
            <v>6040 - Employer Paid Benefits</v>
          </cell>
          <cell r="J1723">
            <v>0</v>
          </cell>
          <cell r="K1723" t="str">
            <v>Merchandising</v>
          </cell>
          <cell r="L1723" t="str">
            <v>HQ Salaries</v>
          </cell>
          <cell r="N1723" t="str">
            <v>SG&amp;A</v>
          </cell>
          <cell r="O1723" t="str">
            <v>Allied Administrators</v>
          </cell>
        </row>
        <row r="1724">
          <cell r="D1724">
            <v>145.80000000000001</v>
          </cell>
          <cell r="H1724">
            <v>45413</v>
          </cell>
          <cell r="I1724" t="str">
            <v>6040 - Employer Paid Benefits</v>
          </cell>
          <cell r="J1724">
            <v>0</v>
          </cell>
          <cell r="K1724" t="str">
            <v>Executive</v>
          </cell>
          <cell r="L1724" t="str">
            <v>HQ Salaries</v>
          </cell>
          <cell r="N1724" t="str">
            <v>SG&amp;A</v>
          </cell>
          <cell r="O1724" t="str">
            <v>Allied Administrators</v>
          </cell>
        </row>
        <row r="1725">
          <cell r="D1725">
            <v>76.83</v>
          </cell>
          <cell r="H1725">
            <v>45413</v>
          </cell>
          <cell r="I1725" t="str">
            <v>6040 - Employer Paid Benefits</v>
          </cell>
          <cell r="J1725" t="str">
            <v>Ecommerce (US)</v>
          </cell>
          <cell r="K1725" t="str">
            <v>Ecommerce</v>
          </cell>
          <cell r="L1725" t="str">
            <v>HQ Salaries</v>
          </cell>
          <cell r="N1725" t="str">
            <v>SG&amp;A</v>
          </cell>
          <cell r="O1725" t="str">
            <v>Allied Administrators</v>
          </cell>
        </row>
        <row r="1726">
          <cell r="D1726">
            <v>101.37</v>
          </cell>
          <cell r="H1726">
            <v>45413</v>
          </cell>
          <cell r="I1726" t="str">
            <v>6040 - Employer Paid Benefits</v>
          </cell>
          <cell r="J1726">
            <v>0</v>
          </cell>
          <cell r="K1726" t="str">
            <v>Design</v>
          </cell>
          <cell r="L1726" t="str">
            <v>HQ Salaries</v>
          </cell>
          <cell r="N1726" t="str">
            <v>SG&amp;A</v>
          </cell>
          <cell r="O1726" t="str">
            <v>Allied Administrators</v>
          </cell>
        </row>
        <row r="1727">
          <cell r="D1727">
            <v>-27101.57</v>
          </cell>
          <cell r="H1727">
            <v>45413</v>
          </cell>
          <cell r="I1727" t="str">
            <v>6005 - Salaries</v>
          </cell>
          <cell r="J1727">
            <v>0</v>
          </cell>
          <cell r="K1727" t="str">
            <v>Administration</v>
          </cell>
          <cell r="L1727" t="str">
            <v>HQ Salaries</v>
          </cell>
          <cell r="N1727" t="str">
            <v>SG&amp;A</v>
          </cell>
          <cell r="O1727" t="str">
            <v>[No Vendor]</v>
          </cell>
        </row>
        <row r="1728">
          <cell r="D1728">
            <v>-2376</v>
          </cell>
          <cell r="H1728">
            <v>45413</v>
          </cell>
          <cell r="I1728" t="str">
            <v>6205 - Contractors</v>
          </cell>
          <cell r="J1728">
            <v>0</v>
          </cell>
          <cell r="K1728" t="str">
            <v>Design</v>
          </cell>
          <cell r="L1728" t="str">
            <v>HQ Salaries</v>
          </cell>
          <cell r="N1728" t="str">
            <v>SG&amp;A</v>
          </cell>
          <cell r="O1728" t="str">
            <v>[No Vendor]</v>
          </cell>
        </row>
        <row r="1729">
          <cell r="D1729">
            <v>0</v>
          </cell>
          <cell r="H1729">
            <v>45413</v>
          </cell>
          <cell r="I1729" t="str">
            <v>6205 - Contractors</v>
          </cell>
          <cell r="J1729">
            <v>0</v>
          </cell>
          <cell r="K1729" t="str">
            <v>Brand Marketing</v>
          </cell>
          <cell r="L1729" t="str">
            <v>HQ Salaries</v>
          </cell>
          <cell r="N1729" t="str">
            <v>SG&amp;A</v>
          </cell>
          <cell r="O1729" t="str">
            <v>[No Vendor]</v>
          </cell>
        </row>
        <row r="1730">
          <cell r="D1730">
            <v>-5940</v>
          </cell>
          <cell r="H1730">
            <v>45413</v>
          </cell>
          <cell r="I1730" t="str">
            <v>6205 - Contractors</v>
          </cell>
          <cell r="J1730" t="str">
            <v>Ecommerce (US)</v>
          </cell>
          <cell r="K1730" t="str">
            <v>Ecommerce</v>
          </cell>
          <cell r="L1730" t="str">
            <v>HQ Salaries</v>
          </cell>
          <cell r="N1730" t="str">
            <v>SG&amp;A</v>
          </cell>
          <cell r="O1730" t="str">
            <v>[No Vendor]</v>
          </cell>
        </row>
        <row r="1731">
          <cell r="D1731">
            <v>24.49</v>
          </cell>
          <cell r="H1731">
            <v>45413</v>
          </cell>
          <cell r="I1731" t="str">
            <v>6385 - Insurance</v>
          </cell>
          <cell r="J1731">
            <v>0</v>
          </cell>
          <cell r="K1731" t="str">
            <v>Administration</v>
          </cell>
          <cell r="L1731" t="str">
            <v>Professional Service</v>
          </cell>
          <cell r="N1731" t="str">
            <v>SG&amp;A</v>
          </cell>
          <cell r="O1731" t="str">
            <v>[No Vendor]</v>
          </cell>
        </row>
        <row r="1732">
          <cell r="D1732">
            <v>47.24</v>
          </cell>
          <cell r="H1732">
            <v>45413</v>
          </cell>
          <cell r="I1732" t="str">
            <v>6385 - Insurance</v>
          </cell>
          <cell r="J1732">
            <v>0</v>
          </cell>
          <cell r="K1732" t="str">
            <v>Administration</v>
          </cell>
          <cell r="L1732" t="str">
            <v>Professional Service</v>
          </cell>
          <cell r="N1732" t="str">
            <v>SG&amp;A</v>
          </cell>
          <cell r="O1732" t="str">
            <v>[No Vendor]</v>
          </cell>
        </row>
        <row r="1733">
          <cell r="D1733">
            <v>57.86</v>
          </cell>
          <cell r="H1733">
            <v>45413</v>
          </cell>
          <cell r="I1733" t="str">
            <v>6385 - Insurance</v>
          </cell>
          <cell r="J1733">
            <v>0</v>
          </cell>
          <cell r="K1733" t="str">
            <v>Administration</v>
          </cell>
          <cell r="L1733" t="str">
            <v>Professional Service</v>
          </cell>
          <cell r="N1733" t="str">
            <v>SG&amp;A</v>
          </cell>
          <cell r="O1733" t="str">
            <v>[No Vendor]</v>
          </cell>
        </row>
        <row r="1734">
          <cell r="D1734">
            <v>38.47</v>
          </cell>
          <cell r="H1734">
            <v>45413</v>
          </cell>
          <cell r="I1734" t="str">
            <v>6385 - Insurance</v>
          </cell>
          <cell r="J1734">
            <v>0</v>
          </cell>
          <cell r="K1734" t="str">
            <v>Administration</v>
          </cell>
          <cell r="L1734" t="str">
            <v>Professional Service</v>
          </cell>
          <cell r="N1734" t="str">
            <v>SG&amp;A</v>
          </cell>
          <cell r="O1734" t="str">
            <v>[No Vendor]</v>
          </cell>
        </row>
        <row r="1735">
          <cell r="D1735">
            <v>50</v>
          </cell>
          <cell r="H1735">
            <v>45413</v>
          </cell>
          <cell r="I1735" t="str">
            <v>6385 - Insurance</v>
          </cell>
          <cell r="J1735">
            <v>0</v>
          </cell>
          <cell r="K1735" t="str">
            <v>Administration</v>
          </cell>
          <cell r="L1735" t="str">
            <v>Professional Service</v>
          </cell>
          <cell r="N1735" t="str">
            <v>SG&amp;A</v>
          </cell>
          <cell r="O1735" t="str">
            <v>[No Vendor]</v>
          </cell>
        </row>
        <row r="1736">
          <cell r="D1736">
            <v>71.36</v>
          </cell>
          <cell r="H1736">
            <v>45413</v>
          </cell>
          <cell r="I1736" t="str">
            <v>6385 - Insurance</v>
          </cell>
          <cell r="J1736">
            <v>0</v>
          </cell>
          <cell r="K1736" t="str">
            <v>Administration</v>
          </cell>
          <cell r="L1736" t="str">
            <v>Professional Service</v>
          </cell>
          <cell r="N1736" t="str">
            <v>SG&amp;A</v>
          </cell>
          <cell r="O1736" t="str">
            <v>[No Vendor]</v>
          </cell>
        </row>
        <row r="1737">
          <cell r="D1737">
            <v>31.04</v>
          </cell>
          <cell r="H1737">
            <v>45413</v>
          </cell>
          <cell r="I1737" t="str">
            <v>6385 - Insurance</v>
          </cell>
          <cell r="J1737">
            <v>0</v>
          </cell>
          <cell r="K1737" t="str">
            <v>Administration</v>
          </cell>
          <cell r="L1737" t="str">
            <v>Professional Service</v>
          </cell>
          <cell r="N1737" t="str">
            <v>SG&amp;A</v>
          </cell>
          <cell r="O1737" t="str">
            <v>[No Vendor]</v>
          </cell>
        </row>
        <row r="1738">
          <cell r="D1738">
            <v>-639.86</v>
          </cell>
          <cell r="H1738">
            <v>45413</v>
          </cell>
          <cell r="I1738" t="str">
            <v>6400 - Utilities</v>
          </cell>
          <cell r="J1738">
            <v>0</v>
          </cell>
          <cell r="K1738" t="str">
            <v>Administration</v>
          </cell>
          <cell r="L1738" t="str">
            <v>Other</v>
          </cell>
          <cell r="N1738" t="str">
            <v>SG&amp;A</v>
          </cell>
          <cell r="O1738" t="str">
            <v>[No Vendor]</v>
          </cell>
        </row>
        <row r="1739">
          <cell r="D1739">
            <v>-658.17</v>
          </cell>
          <cell r="H1739">
            <v>45413</v>
          </cell>
          <cell r="I1739" t="str">
            <v>6055 - Employer Social Security Tax Withheld</v>
          </cell>
          <cell r="J1739">
            <v>0</v>
          </cell>
          <cell r="K1739" t="str">
            <v>Merchandising</v>
          </cell>
          <cell r="L1739" t="str">
            <v>HQ Salaries</v>
          </cell>
          <cell r="N1739" t="str">
            <v>SG&amp;A</v>
          </cell>
          <cell r="O1739" t="str">
            <v>[No Vendor]</v>
          </cell>
        </row>
        <row r="1740">
          <cell r="D1740">
            <v>-1262.54</v>
          </cell>
          <cell r="H1740">
            <v>45413</v>
          </cell>
          <cell r="I1740" t="str">
            <v>6055 - Employer Social Security Tax Withheld</v>
          </cell>
          <cell r="J1740" t="str">
            <v>Wholesale</v>
          </cell>
          <cell r="K1740" t="str">
            <v>Wholesale</v>
          </cell>
          <cell r="L1740" t="str">
            <v>HQ Salaries</v>
          </cell>
          <cell r="N1740" t="str">
            <v>SG&amp;A</v>
          </cell>
          <cell r="O1740" t="str">
            <v>[No Vendor]</v>
          </cell>
        </row>
        <row r="1741">
          <cell r="D1741">
            <v>-2516.92</v>
          </cell>
          <cell r="H1741">
            <v>45413</v>
          </cell>
          <cell r="I1741" t="str">
            <v>6055 - Employer Social Security Tax Withheld</v>
          </cell>
          <cell r="J1741">
            <v>0</v>
          </cell>
          <cell r="K1741" t="str">
            <v>Production</v>
          </cell>
          <cell r="L1741" t="str">
            <v>HQ Salaries</v>
          </cell>
          <cell r="N1741" t="str">
            <v>SG&amp;A</v>
          </cell>
          <cell r="O1741" t="str">
            <v>[No Vendor]</v>
          </cell>
        </row>
        <row r="1742">
          <cell r="D1742">
            <v>-957.97</v>
          </cell>
          <cell r="H1742">
            <v>45413</v>
          </cell>
          <cell r="I1742" t="str">
            <v>6055 - Employer Social Security Tax Withheld</v>
          </cell>
          <cell r="J1742">
            <v>0</v>
          </cell>
          <cell r="K1742" t="str">
            <v>Brand Marketing</v>
          </cell>
          <cell r="L1742" t="str">
            <v>HQ Salaries</v>
          </cell>
          <cell r="N1742" t="str">
            <v>SG&amp;A</v>
          </cell>
          <cell r="O1742" t="str">
            <v>[No Vendor]</v>
          </cell>
        </row>
        <row r="1743">
          <cell r="D1743">
            <v>-2263.8000000000002</v>
          </cell>
          <cell r="H1743">
            <v>45413</v>
          </cell>
          <cell r="I1743" t="str">
            <v>6055 - Employer Social Security Tax Withheld</v>
          </cell>
          <cell r="J1743" t="str">
            <v>Ecommerce (US)</v>
          </cell>
          <cell r="K1743" t="str">
            <v>Ecommerce</v>
          </cell>
          <cell r="L1743" t="str">
            <v>HQ Salaries</v>
          </cell>
          <cell r="N1743" t="str">
            <v>SG&amp;A</v>
          </cell>
          <cell r="O1743" t="str">
            <v>[No Vendor]</v>
          </cell>
        </row>
        <row r="1744">
          <cell r="D1744">
            <v>-2381.96</v>
          </cell>
          <cell r="H1744">
            <v>45413</v>
          </cell>
          <cell r="I1744" t="str">
            <v>6055 - Employer Social Security Tax Withheld</v>
          </cell>
          <cell r="J1744">
            <v>0</v>
          </cell>
          <cell r="K1744" t="str">
            <v>Design</v>
          </cell>
          <cell r="L1744" t="str">
            <v>HQ Salaries</v>
          </cell>
          <cell r="N1744" t="str">
            <v>SG&amp;A</v>
          </cell>
          <cell r="O1744" t="str">
            <v>[No Vendor]</v>
          </cell>
        </row>
        <row r="1745">
          <cell r="D1745">
            <v>-2680.02</v>
          </cell>
          <cell r="H1745">
            <v>45413</v>
          </cell>
          <cell r="I1745" t="str">
            <v>6055 - Employer Social Security Tax Withheld</v>
          </cell>
          <cell r="J1745">
            <v>0</v>
          </cell>
          <cell r="K1745" t="str">
            <v>Administration</v>
          </cell>
          <cell r="L1745" t="str">
            <v>HQ Salaries</v>
          </cell>
          <cell r="N1745" t="str">
            <v>SG&amp;A</v>
          </cell>
          <cell r="O1745" t="str">
            <v>[No Vendor]</v>
          </cell>
        </row>
        <row r="1746">
          <cell r="D1746">
            <v>0</v>
          </cell>
          <cell r="H1746">
            <v>45413</v>
          </cell>
          <cell r="I1746" t="str">
            <v>6040 - Employer Paid Benefits</v>
          </cell>
          <cell r="J1746">
            <v>0</v>
          </cell>
          <cell r="K1746" t="str">
            <v>Merchandising</v>
          </cell>
          <cell r="L1746" t="str">
            <v>HQ Salaries</v>
          </cell>
          <cell r="N1746" t="str">
            <v>SG&amp;A</v>
          </cell>
          <cell r="O1746" t="str">
            <v>[No Vendor]</v>
          </cell>
        </row>
        <row r="1747">
          <cell r="D1747">
            <v>54.19</v>
          </cell>
          <cell r="H1747">
            <v>45413</v>
          </cell>
          <cell r="I1747" t="str">
            <v>6040 - Employer Paid Benefits</v>
          </cell>
          <cell r="J1747" t="str">
            <v>Wholesale</v>
          </cell>
          <cell r="K1747" t="str">
            <v>Wholesale</v>
          </cell>
          <cell r="L1747" t="str">
            <v>HQ Salaries</v>
          </cell>
          <cell r="N1747" t="str">
            <v>SG&amp;A</v>
          </cell>
          <cell r="O1747" t="str">
            <v>[No Vendor]</v>
          </cell>
        </row>
        <row r="1748">
          <cell r="D1748">
            <v>491.59</v>
          </cell>
          <cell r="H1748">
            <v>45413</v>
          </cell>
          <cell r="I1748" t="str">
            <v>6040 - Employer Paid Benefits</v>
          </cell>
          <cell r="J1748">
            <v>0</v>
          </cell>
          <cell r="K1748" t="str">
            <v>Production</v>
          </cell>
          <cell r="L1748" t="str">
            <v>HQ Salaries</v>
          </cell>
          <cell r="N1748" t="str">
            <v>SG&amp;A</v>
          </cell>
          <cell r="O1748" t="str">
            <v>[No Vendor]</v>
          </cell>
        </row>
        <row r="1749">
          <cell r="D1749">
            <v>27.1</v>
          </cell>
          <cell r="H1749">
            <v>45413</v>
          </cell>
          <cell r="I1749" t="str">
            <v>6040 - Employer Paid Benefits</v>
          </cell>
          <cell r="J1749">
            <v>0</v>
          </cell>
          <cell r="K1749" t="str">
            <v>Brand Marketing</v>
          </cell>
          <cell r="L1749" t="str">
            <v>HQ Salaries</v>
          </cell>
          <cell r="N1749" t="str">
            <v>SG&amp;A</v>
          </cell>
          <cell r="O1749" t="str">
            <v>[No Vendor]</v>
          </cell>
        </row>
        <row r="1750">
          <cell r="D1750">
            <v>146.22</v>
          </cell>
          <cell r="H1750">
            <v>45413</v>
          </cell>
          <cell r="I1750" t="str">
            <v>6040 - Employer Paid Benefits</v>
          </cell>
          <cell r="J1750" t="str">
            <v>Ecommerce (US)</v>
          </cell>
          <cell r="K1750" t="str">
            <v>Ecommerce</v>
          </cell>
          <cell r="L1750" t="str">
            <v>HQ Salaries</v>
          </cell>
          <cell r="N1750" t="str">
            <v>SG&amp;A</v>
          </cell>
          <cell r="O1750" t="str">
            <v>[No Vendor]</v>
          </cell>
        </row>
        <row r="1751">
          <cell r="D1751">
            <v>436.1</v>
          </cell>
          <cell r="H1751">
            <v>45413</v>
          </cell>
          <cell r="I1751" t="str">
            <v>6040 - Employer Paid Benefits</v>
          </cell>
          <cell r="J1751">
            <v>0</v>
          </cell>
          <cell r="K1751" t="str">
            <v>Design</v>
          </cell>
          <cell r="L1751" t="str">
            <v>HQ Salaries</v>
          </cell>
          <cell r="N1751" t="str">
            <v>SG&amp;A</v>
          </cell>
          <cell r="O1751" t="str">
            <v>[No Vendor]</v>
          </cell>
        </row>
        <row r="1752">
          <cell r="D1752">
            <v>196.44</v>
          </cell>
          <cell r="H1752">
            <v>45413</v>
          </cell>
          <cell r="I1752" t="str">
            <v>6040 - Employer Paid Benefits</v>
          </cell>
          <cell r="J1752">
            <v>0</v>
          </cell>
          <cell r="K1752" t="str">
            <v>Administration</v>
          </cell>
          <cell r="L1752" t="str">
            <v>HQ Salaries</v>
          </cell>
          <cell r="N1752" t="str">
            <v>SG&amp;A</v>
          </cell>
          <cell r="O1752" t="str">
            <v>[No Vendor]</v>
          </cell>
        </row>
        <row r="1753">
          <cell r="D1753">
            <v>-6180</v>
          </cell>
          <cell r="H1753">
            <v>45413</v>
          </cell>
          <cell r="I1753" t="str">
            <v>6005 - Salaries</v>
          </cell>
          <cell r="J1753">
            <v>0</v>
          </cell>
          <cell r="K1753" t="str">
            <v>Merchandising</v>
          </cell>
          <cell r="L1753" t="str">
            <v>HQ Salaries</v>
          </cell>
          <cell r="N1753" t="str">
            <v>SG&amp;A</v>
          </cell>
          <cell r="O1753" t="str">
            <v>[No Vendor]</v>
          </cell>
        </row>
        <row r="1754">
          <cell r="D1754">
            <v>-11893.86</v>
          </cell>
          <cell r="H1754">
            <v>45413</v>
          </cell>
          <cell r="I1754" t="str">
            <v>6005 - Salaries</v>
          </cell>
          <cell r="J1754" t="str">
            <v>Wholesale</v>
          </cell>
          <cell r="K1754" t="str">
            <v>Wholesale</v>
          </cell>
          <cell r="L1754" t="str">
            <v>HQ Salaries</v>
          </cell>
          <cell r="N1754" t="str">
            <v>SG&amp;A</v>
          </cell>
          <cell r="O1754" t="str">
            <v>[No Vendor]</v>
          </cell>
        </row>
        <row r="1755">
          <cell r="D1755">
            <v>-23986.19</v>
          </cell>
          <cell r="H1755">
            <v>45413</v>
          </cell>
          <cell r="I1755" t="str">
            <v>6005 - Salaries</v>
          </cell>
          <cell r="J1755">
            <v>0</v>
          </cell>
          <cell r="K1755" t="str">
            <v>Production</v>
          </cell>
          <cell r="L1755" t="str">
            <v>HQ Salaries</v>
          </cell>
          <cell r="N1755" t="str">
            <v>SG&amp;A</v>
          </cell>
          <cell r="O1755" t="str">
            <v>[No Vendor]</v>
          </cell>
        </row>
        <row r="1756">
          <cell r="D1756">
            <v>-9542.16</v>
          </cell>
          <cell r="H1756">
            <v>45413</v>
          </cell>
          <cell r="I1756" t="str">
            <v>6005 - Salaries</v>
          </cell>
          <cell r="J1756">
            <v>0</v>
          </cell>
          <cell r="K1756" t="str">
            <v>Brand Marketing</v>
          </cell>
          <cell r="L1756" t="str">
            <v>HQ Salaries</v>
          </cell>
          <cell r="N1756" t="str">
            <v>SG&amp;A</v>
          </cell>
          <cell r="O1756" t="str">
            <v>[No Vendor]</v>
          </cell>
        </row>
        <row r="1757">
          <cell r="D1757">
            <v>-24936.959999999999</v>
          </cell>
          <cell r="H1757">
            <v>45413</v>
          </cell>
          <cell r="I1757" t="str">
            <v>6005 - Salaries</v>
          </cell>
          <cell r="J1757" t="str">
            <v>Ecommerce (US)</v>
          </cell>
          <cell r="K1757" t="str">
            <v>Ecommerce</v>
          </cell>
          <cell r="L1757" t="str">
            <v>HQ Salaries</v>
          </cell>
          <cell r="N1757" t="str">
            <v>SG&amp;A</v>
          </cell>
          <cell r="O1757" t="str">
            <v>[No Vendor]</v>
          </cell>
        </row>
        <row r="1758">
          <cell r="D1758">
            <v>-25029.24</v>
          </cell>
          <cell r="H1758">
            <v>45413</v>
          </cell>
          <cell r="I1758" t="str">
            <v>6005 - Salaries</v>
          </cell>
          <cell r="J1758">
            <v>0</v>
          </cell>
          <cell r="K1758" t="str">
            <v>Design</v>
          </cell>
          <cell r="L1758" t="str">
            <v>HQ Salaries</v>
          </cell>
          <cell r="N1758" t="str">
            <v>SG&amp;A</v>
          </cell>
          <cell r="O1758" t="str">
            <v>[No Vendor]</v>
          </cell>
        </row>
        <row r="1759">
          <cell r="D1759">
            <v>238.25</v>
          </cell>
          <cell r="H1759">
            <v>45413</v>
          </cell>
          <cell r="I1759" t="str">
            <v>6370 - Samples</v>
          </cell>
          <cell r="J1759">
            <v>0</v>
          </cell>
          <cell r="K1759" t="str">
            <v>Production</v>
          </cell>
          <cell r="L1759" t="str">
            <v>Sample</v>
          </cell>
          <cell r="N1759" t="str">
            <v>SG&amp;A</v>
          </cell>
          <cell r="O1759" t="str">
            <v>Sara Fashion Wear Ltd.</v>
          </cell>
        </row>
        <row r="1760">
          <cell r="D1760">
            <v>238.25</v>
          </cell>
          <cell r="H1760">
            <v>45413</v>
          </cell>
          <cell r="I1760" t="str">
            <v>6370 - Samples</v>
          </cell>
          <cell r="J1760">
            <v>0</v>
          </cell>
          <cell r="K1760" t="str">
            <v>Production</v>
          </cell>
          <cell r="L1760" t="str">
            <v>Sample</v>
          </cell>
          <cell r="N1760" t="str">
            <v>SG&amp;A</v>
          </cell>
          <cell r="O1760" t="str">
            <v>Sara Fashion Wear Ltd.</v>
          </cell>
        </row>
        <row r="1761">
          <cell r="D1761">
            <v>476.5</v>
          </cell>
          <cell r="H1761">
            <v>45413</v>
          </cell>
          <cell r="I1761" t="str">
            <v>6370 - Samples</v>
          </cell>
          <cell r="J1761" t="str">
            <v>Wholesale</v>
          </cell>
          <cell r="K1761" t="str">
            <v>Production</v>
          </cell>
          <cell r="L1761" t="str">
            <v>Sample</v>
          </cell>
          <cell r="N1761" t="str">
            <v>SG&amp;A</v>
          </cell>
          <cell r="O1761" t="str">
            <v>Sara Fashion Wear Ltd.</v>
          </cell>
        </row>
        <row r="1762">
          <cell r="D1762">
            <v>173.79</v>
          </cell>
          <cell r="H1762">
            <v>45413</v>
          </cell>
          <cell r="I1762" t="str">
            <v>6385 - Insurance</v>
          </cell>
          <cell r="J1762">
            <v>0</v>
          </cell>
          <cell r="K1762" t="str">
            <v>Administration</v>
          </cell>
          <cell r="L1762" t="str">
            <v>Professional Service</v>
          </cell>
          <cell r="N1762" t="str">
            <v>SG&amp;A</v>
          </cell>
          <cell r="O1762" t="str">
            <v>[No Vendor]</v>
          </cell>
        </row>
        <row r="1763">
          <cell r="D1763">
            <v>475</v>
          </cell>
          <cell r="H1763">
            <v>45413</v>
          </cell>
          <cell r="I1763" t="str">
            <v>6450 - Bank &amp; Other Fees</v>
          </cell>
          <cell r="J1763" t="str">
            <v>Ecommerce (US)</v>
          </cell>
          <cell r="K1763" t="str">
            <v>Ecommerce</v>
          </cell>
          <cell r="L1763" t="str">
            <v>Professional Service</v>
          </cell>
          <cell r="N1763" t="str">
            <v>Direct Costs</v>
          </cell>
          <cell r="O1763" t="str">
            <v>[No Vendor]</v>
          </cell>
        </row>
        <row r="1764">
          <cell r="D1764">
            <v>138</v>
          </cell>
          <cell r="H1764">
            <v>45413</v>
          </cell>
          <cell r="I1764" t="str">
            <v>6430 - Dues &amp; Memberships</v>
          </cell>
          <cell r="J1764" t="str">
            <v>Wholesale</v>
          </cell>
          <cell r="K1764" t="str">
            <v>Wholesale</v>
          </cell>
          <cell r="L1764" t="str">
            <v>Professional Service</v>
          </cell>
          <cell r="N1764" t="str">
            <v>Direct Costs</v>
          </cell>
          <cell r="O1764" t="str">
            <v>SPS Commerce</v>
          </cell>
        </row>
        <row r="1765">
          <cell r="D1765">
            <v>19988.490000000002</v>
          </cell>
          <cell r="H1765">
            <v>45413</v>
          </cell>
          <cell r="I1765" t="str">
            <v>6005 - Salaries</v>
          </cell>
          <cell r="J1765">
            <v>0</v>
          </cell>
          <cell r="K1765" t="str">
            <v>Production</v>
          </cell>
          <cell r="L1765" t="str">
            <v>HQ Salaries</v>
          </cell>
          <cell r="N1765" t="str">
            <v>SG&amp;A</v>
          </cell>
          <cell r="O1765" t="str">
            <v>[No Vendor]</v>
          </cell>
        </row>
        <row r="1766">
          <cell r="D1766">
            <v>0</v>
          </cell>
          <cell r="H1766">
            <v>45413</v>
          </cell>
          <cell r="I1766" t="str">
            <v>6205 - Contractors</v>
          </cell>
          <cell r="J1766">
            <v>0</v>
          </cell>
          <cell r="K1766" t="str">
            <v>Brand Marketing</v>
          </cell>
          <cell r="L1766" t="str">
            <v>HQ Salaries</v>
          </cell>
          <cell r="N1766" t="str">
            <v>SG&amp;A</v>
          </cell>
          <cell r="O1766" t="str">
            <v>[No Vendor]</v>
          </cell>
        </row>
        <row r="1767">
          <cell r="D1767">
            <v>4950</v>
          </cell>
          <cell r="H1767">
            <v>45413</v>
          </cell>
          <cell r="I1767" t="str">
            <v>6205 - Contractors</v>
          </cell>
          <cell r="J1767" t="str">
            <v>Ecommerce (US)</v>
          </cell>
          <cell r="K1767" t="str">
            <v>Ecommerce</v>
          </cell>
          <cell r="L1767" t="str">
            <v>HQ Salaries</v>
          </cell>
          <cell r="N1767" t="str">
            <v>SG&amp;A</v>
          </cell>
          <cell r="O1767" t="str">
            <v>[No Vendor]</v>
          </cell>
        </row>
        <row r="1768">
          <cell r="D1768">
            <v>1980</v>
          </cell>
          <cell r="H1768">
            <v>45413</v>
          </cell>
          <cell r="I1768" t="str">
            <v>6205 - Contractors</v>
          </cell>
          <cell r="J1768">
            <v>0</v>
          </cell>
          <cell r="K1768" t="str">
            <v>Design</v>
          </cell>
          <cell r="L1768" t="str">
            <v>HQ Salaries</v>
          </cell>
          <cell r="N1768" t="str">
            <v>SG&amp;A</v>
          </cell>
          <cell r="O1768" t="str">
            <v>[No Vendor]</v>
          </cell>
        </row>
        <row r="1769">
          <cell r="D1769">
            <v>4382.3500000000004</v>
          </cell>
          <cell r="H1769">
            <v>45413</v>
          </cell>
          <cell r="I1769" t="str">
            <v>6450 - Bank &amp; Other Fees</v>
          </cell>
          <cell r="J1769" t="str">
            <v>Wholesale</v>
          </cell>
          <cell r="K1769" t="str">
            <v>Wholesale</v>
          </cell>
          <cell r="L1769" t="str">
            <v>Professional Service</v>
          </cell>
          <cell r="N1769" t="str">
            <v>Direct Costs</v>
          </cell>
          <cell r="O1769" t="str">
            <v>Paymentech</v>
          </cell>
        </row>
        <row r="1770">
          <cell r="D1770">
            <v>-41.67</v>
          </cell>
          <cell r="H1770">
            <v>45413</v>
          </cell>
          <cell r="I1770" t="str">
            <v>6385 - Insurance</v>
          </cell>
          <cell r="J1770">
            <v>0</v>
          </cell>
          <cell r="K1770" t="str">
            <v>Administration</v>
          </cell>
          <cell r="L1770" t="str">
            <v>Professional Service</v>
          </cell>
          <cell r="N1770" t="str">
            <v>SG&amp;A</v>
          </cell>
          <cell r="O1770" t="str">
            <v>[No Vendor]</v>
          </cell>
        </row>
        <row r="1771">
          <cell r="D1771">
            <v>-59.47</v>
          </cell>
          <cell r="H1771">
            <v>45413</v>
          </cell>
          <cell r="I1771" t="str">
            <v>6385 - Insurance</v>
          </cell>
          <cell r="J1771">
            <v>0</v>
          </cell>
          <cell r="K1771" t="str">
            <v>Administration</v>
          </cell>
          <cell r="L1771" t="str">
            <v>Professional Service</v>
          </cell>
          <cell r="N1771" t="str">
            <v>SG&amp;A</v>
          </cell>
          <cell r="O1771" t="str">
            <v>[No Vendor]</v>
          </cell>
        </row>
        <row r="1772">
          <cell r="D1772">
            <v>-25.87</v>
          </cell>
          <cell r="H1772">
            <v>45413</v>
          </cell>
          <cell r="I1772" t="str">
            <v>6385 - Insurance</v>
          </cell>
          <cell r="J1772">
            <v>0</v>
          </cell>
          <cell r="K1772" t="str">
            <v>Administration</v>
          </cell>
          <cell r="L1772" t="str">
            <v>Professional Service</v>
          </cell>
          <cell r="N1772" t="str">
            <v>SG&amp;A</v>
          </cell>
          <cell r="O1772" t="str">
            <v>[No Vendor]</v>
          </cell>
        </row>
        <row r="1773">
          <cell r="D1773">
            <v>-20.41</v>
          </cell>
          <cell r="H1773">
            <v>45413</v>
          </cell>
          <cell r="I1773" t="str">
            <v>6385 - Insurance</v>
          </cell>
          <cell r="J1773">
            <v>0</v>
          </cell>
          <cell r="K1773" t="str">
            <v>Administration</v>
          </cell>
          <cell r="L1773" t="str">
            <v>Professional Service</v>
          </cell>
          <cell r="N1773" t="str">
            <v>SG&amp;A</v>
          </cell>
          <cell r="O1773" t="str">
            <v>[No Vendor]</v>
          </cell>
        </row>
        <row r="1774">
          <cell r="D1774">
            <v>-39.369999999999997</v>
          </cell>
          <cell r="H1774">
            <v>45413</v>
          </cell>
          <cell r="I1774" t="str">
            <v>6385 - Insurance</v>
          </cell>
          <cell r="J1774">
            <v>0</v>
          </cell>
          <cell r="K1774" t="str">
            <v>Administration</v>
          </cell>
          <cell r="L1774" t="str">
            <v>Professional Service</v>
          </cell>
          <cell r="N1774" t="str">
            <v>SG&amp;A</v>
          </cell>
          <cell r="O1774" t="str">
            <v>[No Vendor]</v>
          </cell>
        </row>
        <row r="1775">
          <cell r="D1775">
            <v>-48.22</v>
          </cell>
          <cell r="H1775">
            <v>45413</v>
          </cell>
          <cell r="I1775" t="str">
            <v>6385 - Insurance</v>
          </cell>
          <cell r="J1775">
            <v>0</v>
          </cell>
          <cell r="K1775" t="str">
            <v>Administration</v>
          </cell>
          <cell r="L1775" t="str">
            <v>Professional Service</v>
          </cell>
          <cell r="N1775" t="str">
            <v>SG&amp;A</v>
          </cell>
          <cell r="O1775" t="str">
            <v>[No Vendor]</v>
          </cell>
        </row>
        <row r="1776">
          <cell r="D1776">
            <v>-32.06</v>
          </cell>
          <cell r="H1776">
            <v>45413</v>
          </cell>
          <cell r="I1776" t="str">
            <v>6385 - Insurance</v>
          </cell>
          <cell r="J1776">
            <v>0</v>
          </cell>
          <cell r="K1776" t="str">
            <v>Administration</v>
          </cell>
          <cell r="L1776" t="str">
            <v>Professional Service</v>
          </cell>
          <cell r="N1776" t="str">
            <v>SG&amp;A</v>
          </cell>
          <cell r="O1776" t="str">
            <v>[No Vendor]</v>
          </cell>
        </row>
        <row r="1777">
          <cell r="D1777">
            <v>1886.51</v>
          </cell>
          <cell r="H1777">
            <v>45413</v>
          </cell>
          <cell r="I1777" t="str">
            <v>6055 - Employer Social Security Tax Withheld</v>
          </cell>
          <cell r="J1777" t="str">
            <v>Ecommerce (US)</v>
          </cell>
          <cell r="K1777" t="str">
            <v>Ecommerce</v>
          </cell>
          <cell r="L1777" t="str">
            <v>HQ Salaries</v>
          </cell>
          <cell r="N1777" t="str">
            <v>SG&amp;A</v>
          </cell>
          <cell r="O1777" t="str">
            <v>[No Vendor]</v>
          </cell>
        </row>
        <row r="1778">
          <cell r="D1778">
            <v>1984.97</v>
          </cell>
          <cell r="H1778">
            <v>45413</v>
          </cell>
          <cell r="I1778" t="str">
            <v>6055 - Employer Social Security Tax Withheld</v>
          </cell>
          <cell r="J1778">
            <v>0</v>
          </cell>
          <cell r="K1778" t="str">
            <v>Design</v>
          </cell>
          <cell r="L1778" t="str">
            <v>HQ Salaries</v>
          </cell>
          <cell r="N1778" t="str">
            <v>SG&amp;A</v>
          </cell>
          <cell r="O1778" t="str">
            <v>[No Vendor]</v>
          </cell>
        </row>
        <row r="1779">
          <cell r="D1779">
            <v>2233.35</v>
          </cell>
          <cell r="H1779">
            <v>45413</v>
          </cell>
          <cell r="I1779" t="str">
            <v>6055 - Employer Social Security Tax Withheld</v>
          </cell>
          <cell r="J1779">
            <v>0</v>
          </cell>
          <cell r="K1779" t="str">
            <v>Administration</v>
          </cell>
          <cell r="L1779" t="str">
            <v>HQ Salaries</v>
          </cell>
          <cell r="N1779" t="str">
            <v>SG&amp;A</v>
          </cell>
          <cell r="O1779" t="str">
            <v>[No Vendor]</v>
          </cell>
        </row>
        <row r="1780">
          <cell r="D1780">
            <v>548.48</v>
          </cell>
          <cell r="H1780">
            <v>45413</v>
          </cell>
          <cell r="I1780" t="str">
            <v>6055 - Employer Social Security Tax Withheld</v>
          </cell>
          <cell r="J1780">
            <v>0</v>
          </cell>
          <cell r="K1780" t="str">
            <v>Merchandising</v>
          </cell>
          <cell r="L1780" t="str">
            <v>HQ Salaries</v>
          </cell>
          <cell r="N1780" t="str">
            <v>SG&amp;A</v>
          </cell>
          <cell r="O1780" t="str">
            <v>[No Vendor]</v>
          </cell>
        </row>
        <row r="1781">
          <cell r="D1781">
            <v>1052.1300000000001</v>
          </cell>
          <cell r="H1781">
            <v>45413</v>
          </cell>
          <cell r="I1781" t="str">
            <v>6055 - Employer Social Security Tax Withheld</v>
          </cell>
          <cell r="J1781" t="str">
            <v>Wholesale</v>
          </cell>
          <cell r="K1781" t="str">
            <v>Wholesale</v>
          </cell>
          <cell r="L1781" t="str">
            <v>HQ Salaries</v>
          </cell>
          <cell r="N1781" t="str">
            <v>SG&amp;A</v>
          </cell>
          <cell r="O1781" t="str">
            <v>[No Vendor]</v>
          </cell>
        </row>
        <row r="1782">
          <cell r="D1782">
            <v>2097.44</v>
          </cell>
          <cell r="H1782">
            <v>45413</v>
          </cell>
          <cell r="I1782" t="str">
            <v>6055 - Employer Social Security Tax Withheld</v>
          </cell>
          <cell r="J1782">
            <v>0</v>
          </cell>
          <cell r="K1782" t="str">
            <v>Production</v>
          </cell>
          <cell r="L1782" t="str">
            <v>HQ Salaries</v>
          </cell>
          <cell r="N1782" t="str">
            <v>SG&amp;A</v>
          </cell>
          <cell r="O1782" t="str">
            <v>[No Vendor]</v>
          </cell>
        </row>
        <row r="1783">
          <cell r="D1783">
            <v>798.31</v>
          </cell>
          <cell r="H1783">
            <v>45413</v>
          </cell>
          <cell r="I1783" t="str">
            <v>6055 - Employer Social Security Tax Withheld</v>
          </cell>
          <cell r="J1783">
            <v>0</v>
          </cell>
          <cell r="K1783" t="str">
            <v>Brand Marketing</v>
          </cell>
          <cell r="L1783" t="str">
            <v>HQ Salaries</v>
          </cell>
          <cell r="N1783" t="str">
            <v>SG&amp;A</v>
          </cell>
          <cell r="O1783" t="str">
            <v>[No Vendor]</v>
          </cell>
        </row>
        <row r="1784">
          <cell r="D1784">
            <v>-121.85</v>
          </cell>
          <cell r="H1784">
            <v>45413</v>
          </cell>
          <cell r="I1784" t="str">
            <v>6040 - Employer Paid Benefits</v>
          </cell>
          <cell r="J1784" t="str">
            <v>Ecommerce (US)</v>
          </cell>
          <cell r="K1784" t="str">
            <v>Ecommerce</v>
          </cell>
          <cell r="L1784" t="str">
            <v>HQ Salaries</v>
          </cell>
          <cell r="N1784" t="str">
            <v>SG&amp;A</v>
          </cell>
          <cell r="O1784" t="str">
            <v>[No Vendor]</v>
          </cell>
        </row>
        <row r="1785">
          <cell r="D1785">
            <v>-363.42</v>
          </cell>
          <cell r="H1785">
            <v>45413</v>
          </cell>
          <cell r="I1785" t="str">
            <v>6040 - Employer Paid Benefits</v>
          </cell>
          <cell r="J1785">
            <v>0</v>
          </cell>
          <cell r="K1785" t="str">
            <v>Design</v>
          </cell>
          <cell r="L1785" t="str">
            <v>HQ Salaries</v>
          </cell>
          <cell r="N1785" t="str">
            <v>SG&amp;A</v>
          </cell>
          <cell r="O1785" t="str">
            <v>[No Vendor]</v>
          </cell>
        </row>
        <row r="1786">
          <cell r="D1786">
            <v>-163.69999999999999</v>
          </cell>
          <cell r="H1786">
            <v>45413</v>
          </cell>
          <cell r="I1786" t="str">
            <v>6040 - Employer Paid Benefits</v>
          </cell>
          <cell r="J1786">
            <v>0</v>
          </cell>
          <cell r="K1786" t="str">
            <v>Administration</v>
          </cell>
          <cell r="L1786" t="str">
            <v>HQ Salaries</v>
          </cell>
          <cell r="N1786" t="str">
            <v>SG&amp;A</v>
          </cell>
          <cell r="O1786" t="str">
            <v>[No Vendor]</v>
          </cell>
        </row>
        <row r="1787">
          <cell r="D1787">
            <v>0</v>
          </cell>
          <cell r="H1787">
            <v>45413</v>
          </cell>
          <cell r="I1787" t="str">
            <v>6040 - Employer Paid Benefits</v>
          </cell>
          <cell r="J1787">
            <v>0</v>
          </cell>
          <cell r="K1787" t="str">
            <v>Merchandising</v>
          </cell>
          <cell r="L1787" t="str">
            <v>HQ Salaries</v>
          </cell>
          <cell r="N1787" t="str">
            <v>SG&amp;A</v>
          </cell>
          <cell r="O1787" t="str">
            <v>[No Vendor]</v>
          </cell>
        </row>
        <row r="1788">
          <cell r="D1788">
            <v>-45.16</v>
          </cell>
          <cell r="H1788">
            <v>45413</v>
          </cell>
          <cell r="I1788" t="str">
            <v>6040 - Employer Paid Benefits</v>
          </cell>
          <cell r="J1788" t="str">
            <v>Wholesale</v>
          </cell>
          <cell r="K1788" t="str">
            <v>Wholesale</v>
          </cell>
          <cell r="L1788" t="str">
            <v>HQ Salaries</v>
          </cell>
          <cell r="N1788" t="str">
            <v>SG&amp;A</v>
          </cell>
          <cell r="O1788" t="str">
            <v>[No Vendor]</v>
          </cell>
        </row>
        <row r="1789">
          <cell r="D1789">
            <v>-409.66</v>
          </cell>
          <cell r="H1789">
            <v>45413</v>
          </cell>
          <cell r="I1789" t="str">
            <v>6040 - Employer Paid Benefits</v>
          </cell>
          <cell r="J1789">
            <v>0</v>
          </cell>
          <cell r="K1789" t="str">
            <v>Production</v>
          </cell>
          <cell r="L1789" t="str">
            <v>HQ Salaries</v>
          </cell>
          <cell r="N1789" t="str">
            <v>SG&amp;A</v>
          </cell>
          <cell r="O1789" t="str">
            <v>[No Vendor]</v>
          </cell>
        </row>
        <row r="1790">
          <cell r="D1790">
            <v>-22.58</v>
          </cell>
          <cell r="H1790">
            <v>45413</v>
          </cell>
          <cell r="I1790" t="str">
            <v>6040 - Employer Paid Benefits</v>
          </cell>
          <cell r="J1790">
            <v>0</v>
          </cell>
          <cell r="K1790" t="str">
            <v>Brand Marketing</v>
          </cell>
          <cell r="L1790" t="str">
            <v>HQ Salaries</v>
          </cell>
          <cell r="N1790" t="str">
            <v>SG&amp;A</v>
          </cell>
          <cell r="O1790" t="str">
            <v>[No Vendor]</v>
          </cell>
        </row>
        <row r="1791">
          <cell r="D1791">
            <v>7951.8</v>
          </cell>
          <cell r="H1791">
            <v>45413</v>
          </cell>
          <cell r="I1791" t="str">
            <v>6005 - Salaries</v>
          </cell>
          <cell r="J1791">
            <v>0</v>
          </cell>
          <cell r="K1791" t="str">
            <v>Brand Marketing</v>
          </cell>
          <cell r="L1791" t="str">
            <v>HQ Salaries</v>
          </cell>
          <cell r="N1791" t="str">
            <v>SG&amp;A</v>
          </cell>
          <cell r="O1791" t="str">
            <v>[No Vendor]</v>
          </cell>
        </row>
        <row r="1792">
          <cell r="D1792">
            <v>20780.8</v>
          </cell>
          <cell r="H1792">
            <v>45413</v>
          </cell>
          <cell r="I1792" t="str">
            <v>6005 - Salaries</v>
          </cell>
          <cell r="J1792" t="str">
            <v>Ecommerce (US)</v>
          </cell>
          <cell r="K1792" t="str">
            <v>Ecommerce</v>
          </cell>
          <cell r="L1792" t="str">
            <v>HQ Salaries</v>
          </cell>
          <cell r="N1792" t="str">
            <v>SG&amp;A</v>
          </cell>
          <cell r="O1792" t="str">
            <v>[No Vendor]</v>
          </cell>
        </row>
        <row r="1793">
          <cell r="D1793">
            <v>20857.7</v>
          </cell>
          <cell r="H1793">
            <v>45413</v>
          </cell>
          <cell r="I1793" t="str">
            <v>6005 - Salaries</v>
          </cell>
          <cell r="J1793">
            <v>0</v>
          </cell>
          <cell r="K1793" t="str">
            <v>Design</v>
          </cell>
          <cell r="L1793" t="str">
            <v>HQ Salaries</v>
          </cell>
          <cell r="N1793" t="str">
            <v>SG&amp;A</v>
          </cell>
          <cell r="O1793" t="str">
            <v>[No Vendor]</v>
          </cell>
        </row>
        <row r="1794">
          <cell r="D1794">
            <v>22584.639999999999</v>
          </cell>
          <cell r="H1794">
            <v>45413</v>
          </cell>
          <cell r="I1794" t="str">
            <v>6005 - Salaries</v>
          </cell>
          <cell r="J1794">
            <v>0</v>
          </cell>
          <cell r="K1794" t="str">
            <v>Administration</v>
          </cell>
          <cell r="L1794" t="str">
            <v>HQ Salaries</v>
          </cell>
          <cell r="N1794" t="str">
            <v>SG&amp;A</v>
          </cell>
          <cell r="O1794" t="str">
            <v>[No Vendor]</v>
          </cell>
        </row>
        <row r="1795">
          <cell r="D1795">
            <v>5150</v>
          </cell>
          <cell r="H1795">
            <v>45413</v>
          </cell>
          <cell r="I1795" t="str">
            <v>6005 - Salaries</v>
          </cell>
          <cell r="J1795">
            <v>0</v>
          </cell>
          <cell r="K1795" t="str">
            <v>Merchandising</v>
          </cell>
          <cell r="L1795" t="str">
            <v>HQ Salaries</v>
          </cell>
          <cell r="N1795" t="str">
            <v>SG&amp;A</v>
          </cell>
          <cell r="O1795" t="str">
            <v>[No Vendor]</v>
          </cell>
        </row>
        <row r="1796">
          <cell r="D1796">
            <v>9911.5499999999993</v>
          </cell>
          <cell r="H1796">
            <v>45413</v>
          </cell>
          <cell r="I1796" t="str">
            <v>6005 - Salaries</v>
          </cell>
          <cell r="J1796" t="str">
            <v>Wholesale</v>
          </cell>
          <cell r="K1796" t="str">
            <v>Wholesale</v>
          </cell>
          <cell r="L1796" t="str">
            <v>HQ Salaries</v>
          </cell>
          <cell r="N1796" t="str">
            <v>SG&amp;A</v>
          </cell>
          <cell r="O1796" t="str">
            <v>[No Vendor]</v>
          </cell>
        </row>
        <row r="1797">
          <cell r="D1797">
            <v>27775.25</v>
          </cell>
          <cell r="H1797">
            <v>45413</v>
          </cell>
          <cell r="I1797" t="str">
            <v>6375 - Freight Expenses</v>
          </cell>
          <cell r="J1797" t="str">
            <v>Ecommerce (US)</v>
          </cell>
          <cell r="K1797" t="str">
            <v>Ecommerce</v>
          </cell>
          <cell r="L1797" t="str">
            <v>Freight</v>
          </cell>
          <cell r="N1797" t="str">
            <v>Direct Costs</v>
          </cell>
          <cell r="O1797" t="str">
            <v>UPS Supply Chain Solutions Inc. (7F24A0)</v>
          </cell>
        </row>
        <row r="1798">
          <cell r="D1798">
            <v>682.78</v>
          </cell>
          <cell r="H1798">
            <v>45413</v>
          </cell>
          <cell r="I1798" t="str">
            <v>6040 - Employer Paid Benefits</v>
          </cell>
          <cell r="J1798">
            <v>0</v>
          </cell>
          <cell r="K1798" t="str">
            <v>Administration</v>
          </cell>
          <cell r="L1798" t="str">
            <v>HQ Salaries</v>
          </cell>
          <cell r="N1798" t="str">
            <v>SG&amp;A</v>
          </cell>
          <cell r="O1798" t="str">
            <v>Procyon Benefits LLC</v>
          </cell>
        </row>
        <row r="1799">
          <cell r="D1799">
            <v>24.78</v>
          </cell>
          <cell r="H1799">
            <v>45413</v>
          </cell>
          <cell r="I1799" t="str">
            <v>6340 - Miscellaneous Expense</v>
          </cell>
          <cell r="J1799">
            <v>0</v>
          </cell>
          <cell r="K1799" t="str">
            <v>Brand Marketing</v>
          </cell>
          <cell r="L1799" t="str">
            <v>Other</v>
          </cell>
          <cell r="N1799" t="str">
            <v>SG&amp;A</v>
          </cell>
          <cell r="O1799" t="str">
            <v>[No Vendor]</v>
          </cell>
        </row>
        <row r="1800">
          <cell r="D1800">
            <v>12.29</v>
          </cell>
          <cell r="H1800">
            <v>45413</v>
          </cell>
          <cell r="I1800" t="str">
            <v>6340 - Miscellaneous Expense</v>
          </cell>
          <cell r="J1800">
            <v>0</v>
          </cell>
          <cell r="K1800" t="str">
            <v>Brand Marketing</v>
          </cell>
          <cell r="L1800" t="str">
            <v>Other</v>
          </cell>
          <cell r="N1800" t="str">
            <v>SG&amp;A</v>
          </cell>
          <cell r="O1800" t="str">
            <v>[No Vendor]</v>
          </cell>
        </row>
        <row r="1801">
          <cell r="D1801">
            <v>31.86</v>
          </cell>
          <cell r="H1801">
            <v>45413</v>
          </cell>
          <cell r="I1801" t="str">
            <v>6125 - Transportation and Fuel</v>
          </cell>
          <cell r="J1801">
            <v>0</v>
          </cell>
          <cell r="K1801" t="str">
            <v>Brand Marketing</v>
          </cell>
          <cell r="L1801" t="str">
            <v>T&amp;E</v>
          </cell>
          <cell r="N1801" t="str">
            <v>SG&amp;A</v>
          </cell>
          <cell r="O1801" t="str">
            <v>Flatlay</v>
          </cell>
        </row>
        <row r="1802">
          <cell r="D1802">
            <v>139.09</v>
          </cell>
          <cell r="H1802">
            <v>45413</v>
          </cell>
          <cell r="I1802" t="str">
            <v>6125 - Transportation and Fuel</v>
          </cell>
          <cell r="J1802">
            <v>0</v>
          </cell>
          <cell r="K1802" t="str">
            <v>Brand Marketing</v>
          </cell>
          <cell r="L1802" t="str">
            <v>T&amp;E</v>
          </cell>
          <cell r="N1802" t="str">
            <v>SG&amp;A</v>
          </cell>
          <cell r="O1802" t="str">
            <v>Flatlay</v>
          </cell>
        </row>
        <row r="1803">
          <cell r="D1803">
            <v>13.44</v>
          </cell>
          <cell r="H1803">
            <v>45413</v>
          </cell>
          <cell r="I1803" t="str">
            <v>6125 - Transportation and Fuel</v>
          </cell>
          <cell r="J1803">
            <v>0</v>
          </cell>
          <cell r="K1803" t="str">
            <v>Brand Marketing</v>
          </cell>
          <cell r="L1803" t="str">
            <v>T&amp;E</v>
          </cell>
          <cell r="N1803" t="str">
            <v>SG&amp;A</v>
          </cell>
          <cell r="O1803" t="str">
            <v>Flatlay</v>
          </cell>
        </row>
        <row r="1804">
          <cell r="D1804">
            <v>133.24</v>
          </cell>
          <cell r="H1804">
            <v>45413</v>
          </cell>
          <cell r="I1804" t="str">
            <v>6125 - Transportation and Fuel</v>
          </cell>
          <cell r="J1804">
            <v>0</v>
          </cell>
          <cell r="K1804" t="str">
            <v>Brand Marketing</v>
          </cell>
          <cell r="L1804" t="str">
            <v>T&amp;E</v>
          </cell>
          <cell r="N1804" t="str">
            <v>SG&amp;A</v>
          </cell>
          <cell r="O1804" t="str">
            <v>Flatlay</v>
          </cell>
        </row>
        <row r="1805">
          <cell r="D1805">
            <v>75.37</v>
          </cell>
          <cell r="H1805">
            <v>45413</v>
          </cell>
          <cell r="I1805" t="str">
            <v>6125 - Transportation and Fuel</v>
          </cell>
          <cell r="J1805">
            <v>0</v>
          </cell>
          <cell r="K1805" t="str">
            <v>Brand Marketing</v>
          </cell>
          <cell r="L1805" t="str">
            <v>T&amp;E</v>
          </cell>
          <cell r="N1805" t="str">
            <v>SG&amp;A</v>
          </cell>
          <cell r="O1805" t="str">
            <v>Flatlay</v>
          </cell>
        </row>
        <row r="1806">
          <cell r="D1806">
            <v>114.22</v>
          </cell>
          <cell r="H1806">
            <v>45413</v>
          </cell>
          <cell r="I1806" t="str">
            <v>6125 - Transportation and Fuel</v>
          </cell>
          <cell r="J1806">
            <v>0</v>
          </cell>
          <cell r="K1806" t="str">
            <v>Brand Marketing</v>
          </cell>
          <cell r="L1806" t="str">
            <v>T&amp;E</v>
          </cell>
          <cell r="N1806" t="str">
            <v>SG&amp;A</v>
          </cell>
          <cell r="O1806" t="str">
            <v>Flatlay</v>
          </cell>
        </row>
        <row r="1807">
          <cell r="D1807">
            <v>139.99</v>
          </cell>
          <cell r="H1807">
            <v>45413</v>
          </cell>
          <cell r="I1807" t="str">
            <v>6125 - Transportation and Fuel</v>
          </cell>
          <cell r="J1807">
            <v>0</v>
          </cell>
          <cell r="K1807" t="str">
            <v>Brand Marketing</v>
          </cell>
          <cell r="L1807" t="str">
            <v>T&amp;E</v>
          </cell>
          <cell r="N1807" t="str">
            <v>SG&amp;A</v>
          </cell>
          <cell r="O1807" t="str">
            <v>Flatlay</v>
          </cell>
        </row>
        <row r="1808">
          <cell r="D1808">
            <v>110.92</v>
          </cell>
          <cell r="H1808">
            <v>45413</v>
          </cell>
          <cell r="I1808" t="str">
            <v>6125 - Transportation and Fuel</v>
          </cell>
          <cell r="J1808">
            <v>0</v>
          </cell>
          <cell r="K1808" t="str">
            <v>Brand Marketing</v>
          </cell>
          <cell r="L1808" t="str">
            <v>T&amp;E</v>
          </cell>
          <cell r="N1808" t="str">
            <v>SG&amp;A</v>
          </cell>
          <cell r="O1808" t="str">
            <v>Caroline  Seong</v>
          </cell>
        </row>
        <row r="1809">
          <cell r="D1809">
            <v>67.27</v>
          </cell>
          <cell r="H1809">
            <v>45413</v>
          </cell>
          <cell r="I1809" t="str">
            <v>6125 - Transportation and Fuel</v>
          </cell>
          <cell r="J1809">
            <v>0</v>
          </cell>
          <cell r="K1809" t="str">
            <v>Brand Marketing</v>
          </cell>
          <cell r="L1809" t="str">
            <v>T&amp;E</v>
          </cell>
          <cell r="N1809" t="str">
            <v>SG&amp;A</v>
          </cell>
          <cell r="O1809" t="str">
            <v>Caroline  Seong</v>
          </cell>
        </row>
        <row r="1810">
          <cell r="D1810">
            <v>99.74</v>
          </cell>
          <cell r="H1810">
            <v>45413</v>
          </cell>
          <cell r="I1810" t="str">
            <v>6125 - Transportation and Fuel</v>
          </cell>
          <cell r="J1810">
            <v>0</v>
          </cell>
          <cell r="K1810" t="str">
            <v>Brand Marketing</v>
          </cell>
          <cell r="L1810" t="str">
            <v>T&amp;E</v>
          </cell>
          <cell r="N1810" t="str">
            <v>SG&amp;A</v>
          </cell>
          <cell r="O1810" t="str">
            <v>Caroline  Seong</v>
          </cell>
        </row>
        <row r="1811">
          <cell r="D1811">
            <v>4.62</v>
          </cell>
          <cell r="H1811">
            <v>45413</v>
          </cell>
          <cell r="I1811" t="str">
            <v>6125 - Transportation and Fuel</v>
          </cell>
          <cell r="J1811">
            <v>0</v>
          </cell>
          <cell r="K1811" t="str">
            <v>Brand Marketing</v>
          </cell>
          <cell r="L1811" t="str">
            <v>T&amp;E</v>
          </cell>
          <cell r="N1811" t="str">
            <v>SG&amp;A</v>
          </cell>
          <cell r="O1811" t="str">
            <v>Caroline  Seong</v>
          </cell>
        </row>
        <row r="1812">
          <cell r="D1812">
            <v>48.96</v>
          </cell>
          <cell r="H1812">
            <v>45413</v>
          </cell>
          <cell r="I1812" t="str">
            <v>6105 - Meals</v>
          </cell>
          <cell r="J1812">
            <v>0</v>
          </cell>
          <cell r="K1812" t="str">
            <v>Brand Marketing</v>
          </cell>
          <cell r="L1812" t="str">
            <v>T&amp;E</v>
          </cell>
          <cell r="N1812" t="str">
            <v>SG&amp;A</v>
          </cell>
          <cell r="O1812" t="str">
            <v>[No Vendor]</v>
          </cell>
        </row>
        <row r="1813">
          <cell r="D1813">
            <v>52.91</v>
          </cell>
          <cell r="H1813">
            <v>45413</v>
          </cell>
          <cell r="I1813" t="str">
            <v>6105 - Meals</v>
          </cell>
          <cell r="J1813">
            <v>0</v>
          </cell>
          <cell r="K1813" t="str">
            <v>Brand Marketing</v>
          </cell>
          <cell r="L1813" t="str">
            <v>T&amp;E</v>
          </cell>
          <cell r="N1813" t="str">
            <v>SG&amp;A</v>
          </cell>
          <cell r="O1813" t="str">
            <v>Flatlay</v>
          </cell>
        </row>
        <row r="1814">
          <cell r="D1814">
            <v>104.5</v>
          </cell>
          <cell r="H1814">
            <v>45413</v>
          </cell>
          <cell r="I1814" t="str">
            <v>6105 - Meals</v>
          </cell>
          <cell r="J1814">
            <v>0</v>
          </cell>
          <cell r="K1814" t="str">
            <v>Brand Marketing</v>
          </cell>
          <cell r="L1814" t="str">
            <v>T&amp;E</v>
          </cell>
          <cell r="N1814" t="str">
            <v>SG&amp;A</v>
          </cell>
          <cell r="O1814" t="str">
            <v>UPS Supply Chain Solutions Inc. (7F24A0)</v>
          </cell>
        </row>
        <row r="1815">
          <cell r="D1815">
            <v>24.17</v>
          </cell>
          <cell r="H1815">
            <v>45413</v>
          </cell>
          <cell r="I1815" t="str">
            <v>6105 - Meals</v>
          </cell>
          <cell r="J1815">
            <v>0</v>
          </cell>
          <cell r="K1815" t="str">
            <v>Brand Marketing</v>
          </cell>
          <cell r="L1815" t="str">
            <v>T&amp;E</v>
          </cell>
          <cell r="N1815" t="str">
            <v>SG&amp;A</v>
          </cell>
          <cell r="O1815" t="str">
            <v>[No Vendor]</v>
          </cell>
        </row>
        <row r="1816">
          <cell r="D1816">
            <v>116.14</v>
          </cell>
          <cell r="H1816">
            <v>45413</v>
          </cell>
          <cell r="I1816" t="str">
            <v>6375 - Freight Expenses</v>
          </cell>
          <cell r="J1816">
            <v>0</v>
          </cell>
          <cell r="K1816" t="str">
            <v>Brand Marketing</v>
          </cell>
          <cell r="L1816" t="str">
            <v>Freight</v>
          </cell>
          <cell r="N1816" t="str">
            <v>Direct Costs</v>
          </cell>
          <cell r="O1816" t="str">
            <v>[No Vendor]</v>
          </cell>
        </row>
        <row r="1817">
          <cell r="D1817">
            <v>169.74</v>
          </cell>
          <cell r="H1817">
            <v>45413</v>
          </cell>
          <cell r="I1817" t="str">
            <v>6375 - Freight Expenses</v>
          </cell>
          <cell r="J1817">
            <v>0</v>
          </cell>
          <cell r="K1817" t="str">
            <v>Brand Marketing</v>
          </cell>
          <cell r="L1817" t="str">
            <v>Freight</v>
          </cell>
          <cell r="N1817" t="str">
            <v>Direct Costs</v>
          </cell>
          <cell r="O1817" t="str">
            <v>Caroline  Seong</v>
          </cell>
        </row>
        <row r="1818">
          <cell r="D1818">
            <v>148.74</v>
          </cell>
          <cell r="H1818">
            <v>45413</v>
          </cell>
          <cell r="I1818" t="str">
            <v>6375 - Freight Expenses</v>
          </cell>
          <cell r="J1818">
            <v>0</v>
          </cell>
          <cell r="K1818" t="str">
            <v>Brand Marketing</v>
          </cell>
          <cell r="L1818" t="str">
            <v>Freight</v>
          </cell>
          <cell r="N1818" t="str">
            <v>Direct Costs</v>
          </cell>
          <cell r="O1818" t="str">
            <v>[No Vendor]</v>
          </cell>
        </row>
        <row r="1819">
          <cell r="D1819">
            <v>5540</v>
          </cell>
          <cell r="H1819">
            <v>45413</v>
          </cell>
          <cell r="I1819" t="str">
            <v>6375 - Freight Expenses</v>
          </cell>
          <cell r="J1819" t="str">
            <v>Wholesale</v>
          </cell>
          <cell r="K1819" t="str">
            <v>Wholesale</v>
          </cell>
          <cell r="L1819" t="str">
            <v>Freight</v>
          </cell>
          <cell r="N1819" t="str">
            <v>Direct Costs</v>
          </cell>
          <cell r="O1819" t="str">
            <v>Justyna Watorek LLC</v>
          </cell>
        </row>
        <row r="1820">
          <cell r="D1820">
            <v>154.80000000000001</v>
          </cell>
          <cell r="H1820">
            <v>45413</v>
          </cell>
          <cell r="I1820" t="str">
            <v>6040 - Employer Paid Benefits</v>
          </cell>
          <cell r="J1820">
            <v>0</v>
          </cell>
          <cell r="K1820" t="str">
            <v>Production</v>
          </cell>
          <cell r="L1820" t="str">
            <v>HQ Salaries</v>
          </cell>
          <cell r="N1820" t="str">
            <v>SG&amp;A</v>
          </cell>
          <cell r="O1820" t="str">
            <v>Procyon Benefits LLC</v>
          </cell>
        </row>
        <row r="1821">
          <cell r="D1821">
            <v>2.9</v>
          </cell>
          <cell r="H1821">
            <v>45413</v>
          </cell>
          <cell r="I1821" t="str">
            <v>6040 - Employer Paid Benefits</v>
          </cell>
          <cell r="J1821">
            <v>0</v>
          </cell>
          <cell r="K1821" t="str">
            <v>Merchandising</v>
          </cell>
          <cell r="L1821" t="str">
            <v>HQ Salaries</v>
          </cell>
          <cell r="N1821" t="str">
            <v>SG&amp;A</v>
          </cell>
          <cell r="O1821" t="str">
            <v>Procyon Benefits LLC</v>
          </cell>
        </row>
        <row r="1822">
          <cell r="D1822">
            <v>36.75</v>
          </cell>
          <cell r="H1822">
            <v>45413</v>
          </cell>
          <cell r="I1822" t="str">
            <v>6040 - Employer Paid Benefits</v>
          </cell>
          <cell r="J1822" t="str">
            <v>Ecommerce (US)</v>
          </cell>
          <cell r="K1822" t="str">
            <v>Ecommerce</v>
          </cell>
          <cell r="L1822" t="str">
            <v>HQ Salaries</v>
          </cell>
          <cell r="N1822" t="str">
            <v>SG&amp;A</v>
          </cell>
          <cell r="O1822" t="str">
            <v>Procyon Benefits LLC</v>
          </cell>
        </row>
        <row r="1823">
          <cell r="D1823">
            <v>377.25</v>
          </cell>
          <cell r="H1823">
            <v>45413</v>
          </cell>
          <cell r="I1823" t="str">
            <v>6040 - Employer Paid Benefits</v>
          </cell>
          <cell r="J1823">
            <v>0</v>
          </cell>
          <cell r="K1823" t="str">
            <v>Design</v>
          </cell>
          <cell r="L1823" t="str">
            <v>HQ Salaries</v>
          </cell>
          <cell r="N1823" t="str">
            <v>SG&amp;A</v>
          </cell>
          <cell r="O1823" t="str">
            <v>Procyon Benefits LLC</v>
          </cell>
        </row>
        <row r="1824">
          <cell r="D1824">
            <v>-32</v>
          </cell>
          <cell r="H1824">
            <v>45413</v>
          </cell>
          <cell r="I1824" t="str">
            <v>6375 - Freight Expenses</v>
          </cell>
          <cell r="J1824">
            <v>0</v>
          </cell>
          <cell r="K1824" t="str">
            <v>Administration</v>
          </cell>
          <cell r="L1824" t="str">
            <v>Freight</v>
          </cell>
          <cell r="N1824" t="str">
            <v>Direct Costs</v>
          </cell>
          <cell r="O1824" t="str">
            <v>UPS Supply Chain Solutions Inc. (7F24A0)</v>
          </cell>
        </row>
        <row r="1825">
          <cell r="D1825">
            <v>557.08000000000004</v>
          </cell>
          <cell r="H1825">
            <v>45413</v>
          </cell>
          <cell r="I1825" t="str">
            <v>7140 - Amortization Exp - ROU Asset</v>
          </cell>
          <cell r="J1825">
            <v>0</v>
          </cell>
          <cell r="K1825" t="str">
            <v>Administration</v>
          </cell>
          <cell r="L1825" t="str">
            <v>Rent</v>
          </cell>
          <cell r="N1825" t="str">
            <v>SG&amp;A</v>
          </cell>
          <cell r="O1825" t="str">
            <v>[No Vendor]</v>
          </cell>
        </row>
        <row r="1826">
          <cell r="D1826">
            <v>33250.92</v>
          </cell>
          <cell r="H1826">
            <v>45413</v>
          </cell>
          <cell r="I1826" t="str">
            <v>7140 - Amortization Exp - ROU Asset</v>
          </cell>
          <cell r="J1826">
            <v>0</v>
          </cell>
          <cell r="K1826" t="str">
            <v>Administration</v>
          </cell>
          <cell r="L1826" t="str">
            <v>Rent</v>
          </cell>
          <cell r="N1826" t="str">
            <v>SG&amp;A</v>
          </cell>
          <cell r="O1826" t="str">
            <v>[No Vendor]</v>
          </cell>
        </row>
        <row r="1827">
          <cell r="D1827">
            <v>3604.46</v>
          </cell>
          <cell r="H1827">
            <v>45413</v>
          </cell>
          <cell r="I1827" t="str">
            <v>6450 - Bank &amp; Other Fees</v>
          </cell>
          <cell r="J1827" t="str">
            <v>Ecommerce (EU)</v>
          </cell>
          <cell r="K1827" t="str">
            <v>Ecommerce</v>
          </cell>
          <cell r="L1827" t="str">
            <v>Professional Service</v>
          </cell>
          <cell r="N1827" t="str">
            <v>Direct Costs</v>
          </cell>
          <cell r="O1827" t="str">
            <v>[No Vendor]</v>
          </cell>
        </row>
        <row r="1828">
          <cell r="D1828">
            <v>-606</v>
          </cell>
          <cell r="H1828">
            <v>45413</v>
          </cell>
          <cell r="I1828" t="str">
            <v>6410 - Lease Expense</v>
          </cell>
          <cell r="J1828">
            <v>0</v>
          </cell>
          <cell r="K1828" t="str">
            <v>Administration</v>
          </cell>
          <cell r="L1828" t="str">
            <v>Rent</v>
          </cell>
          <cell r="N1828" t="str">
            <v>SG&amp;A</v>
          </cell>
          <cell r="O1828" t="str">
            <v>[No Vendor]</v>
          </cell>
        </row>
        <row r="1829">
          <cell r="D1829">
            <v>48.92</v>
          </cell>
          <cell r="H1829">
            <v>45413</v>
          </cell>
          <cell r="I1829" t="str">
            <v>6487 - Interest Expense</v>
          </cell>
          <cell r="J1829">
            <v>0</v>
          </cell>
          <cell r="K1829" t="str">
            <v>Administration</v>
          </cell>
          <cell r="L1829" t="str">
            <v>Interest</v>
          </cell>
          <cell r="N1829" t="str">
            <v>BTL</v>
          </cell>
          <cell r="O1829" t="str">
            <v>[No Vendor]</v>
          </cell>
        </row>
        <row r="1830">
          <cell r="D1830">
            <v>9574.94</v>
          </cell>
          <cell r="H1830">
            <v>45413</v>
          </cell>
          <cell r="I1830" t="str">
            <v>6487 - Interest Expense</v>
          </cell>
          <cell r="J1830">
            <v>0</v>
          </cell>
          <cell r="K1830" t="str">
            <v>Administration</v>
          </cell>
          <cell r="L1830" t="str">
            <v>Interest</v>
          </cell>
          <cell r="N1830" t="str">
            <v>BTL</v>
          </cell>
          <cell r="O1830" t="str">
            <v>[No Vendor]</v>
          </cell>
        </row>
        <row r="1831">
          <cell r="D1831">
            <v>15236.71</v>
          </cell>
          <cell r="H1831">
            <v>45413</v>
          </cell>
          <cell r="I1831" t="str">
            <v>6487 - Interest Expense</v>
          </cell>
          <cell r="J1831">
            <v>0</v>
          </cell>
          <cell r="K1831" t="str">
            <v>Administration</v>
          </cell>
          <cell r="L1831" t="str">
            <v>Interest</v>
          </cell>
          <cell r="N1831" t="str">
            <v>BTL</v>
          </cell>
          <cell r="O1831" t="str">
            <v>[No Vendor]</v>
          </cell>
        </row>
        <row r="1832">
          <cell r="D1832">
            <v>5860.27</v>
          </cell>
          <cell r="H1832">
            <v>45413</v>
          </cell>
          <cell r="I1832" t="str">
            <v>6487 - Interest Expense</v>
          </cell>
          <cell r="J1832">
            <v>0</v>
          </cell>
          <cell r="K1832" t="str">
            <v>Administration</v>
          </cell>
          <cell r="L1832" t="str">
            <v>Interest</v>
          </cell>
          <cell r="N1832" t="str">
            <v>BTL</v>
          </cell>
          <cell r="O1832" t="str">
            <v>[No Vendor]</v>
          </cell>
        </row>
        <row r="1833">
          <cell r="D1833">
            <v>4297.53</v>
          </cell>
          <cell r="H1833">
            <v>45413</v>
          </cell>
          <cell r="I1833" t="str">
            <v>6487 - Interest Expense</v>
          </cell>
          <cell r="J1833">
            <v>0</v>
          </cell>
          <cell r="K1833" t="str">
            <v>Administration</v>
          </cell>
          <cell r="L1833" t="str">
            <v>Interest</v>
          </cell>
          <cell r="N1833" t="str">
            <v>BTL</v>
          </cell>
          <cell r="O1833" t="str">
            <v>[No Vendor]</v>
          </cell>
        </row>
        <row r="1834">
          <cell r="D1834">
            <v>-29236.67</v>
          </cell>
          <cell r="H1834">
            <v>45413</v>
          </cell>
          <cell r="I1834" t="str">
            <v>6320 - Building Rent</v>
          </cell>
          <cell r="J1834">
            <v>0</v>
          </cell>
          <cell r="K1834" t="str">
            <v>Administration</v>
          </cell>
          <cell r="L1834" t="str">
            <v>Rent</v>
          </cell>
          <cell r="N1834" t="str">
            <v>SG&amp;A</v>
          </cell>
          <cell r="O1834" t="str">
            <v>[No Vendor]</v>
          </cell>
        </row>
        <row r="1835">
          <cell r="D1835">
            <v>2207.9699999999998</v>
          </cell>
          <cell r="H1835">
            <v>45413</v>
          </cell>
          <cell r="I1835" t="str">
            <v>6375 - Freight Expenses</v>
          </cell>
          <cell r="J1835" t="str">
            <v>Ecommerce (EU)</v>
          </cell>
          <cell r="K1835" t="str">
            <v>Ecommerce</v>
          </cell>
          <cell r="L1835" t="str">
            <v>Freight</v>
          </cell>
          <cell r="N1835" t="str">
            <v>Direct Costs</v>
          </cell>
          <cell r="O1835" t="str">
            <v>Global E</v>
          </cell>
        </row>
        <row r="1836">
          <cell r="D1836">
            <v>31.7</v>
          </cell>
          <cell r="H1836">
            <v>45413</v>
          </cell>
          <cell r="I1836" t="str">
            <v>6375 - Freight Expenses</v>
          </cell>
          <cell r="J1836" t="str">
            <v>Ecommerce (US)</v>
          </cell>
          <cell r="K1836" t="str">
            <v>Ecommerce</v>
          </cell>
          <cell r="L1836" t="str">
            <v>Freight</v>
          </cell>
          <cell r="N1836" t="str">
            <v>Direct Costs</v>
          </cell>
          <cell r="O1836" t="str">
            <v>Federal Express</v>
          </cell>
        </row>
        <row r="1837">
          <cell r="D1837">
            <v>180.57</v>
          </cell>
          <cell r="H1837">
            <v>45413</v>
          </cell>
          <cell r="I1837" t="str">
            <v>6370 - Samples</v>
          </cell>
          <cell r="J1837">
            <v>0</v>
          </cell>
          <cell r="K1837" t="str">
            <v>Production</v>
          </cell>
          <cell r="L1837" t="str">
            <v>Sample</v>
          </cell>
          <cell r="N1837" t="str">
            <v>SG&amp;A</v>
          </cell>
          <cell r="O1837" t="str">
            <v>Shanghai Hesrro Garment Co., Ltd</v>
          </cell>
        </row>
        <row r="1838">
          <cell r="D1838">
            <v>180.57</v>
          </cell>
          <cell r="H1838">
            <v>45413</v>
          </cell>
          <cell r="I1838" t="str">
            <v>6370 - Samples</v>
          </cell>
          <cell r="J1838">
            <v>0</v>
          </cell>
          <cell r="K1838" t="str">
            <v>Production</v>
          </cell>
          <cell r="L1838" t="str">
            <v>Sample</v>
          </cell>
          <cell r="N1838" t="str">
            <v>SG&amp;A</v>
          </cell>
          <cell r="O1838" t="str">
            <v>Shanghai Hesrro Garment Co., Ltd</v>
          </cell>
        </row>
        <row r="1839">
          <cell r="D1839">
            <v>361.14</v>
          </cell>
          <cell r="H1839">
            <v>45413</v>
          </cell>
          <cell r="I1839" t="str">
            <v>6370 - Samples</v>
          </cell>
          <cell r="J1839" t="str">
            <v>Wholesale</v>
          </cell>
          <cell r="K1839" t="str">
            <v>Production</v>
          </cell>
          <cell r="L1839" t="str">
            <v>Sample</v>
          </cell>
          <cell r="N1839" t="str">
            <v>SG&amp;A</v>
          </cell>
          <cell r="O1839" t="str">
            <v>Shanghai Hesrro Garment Co., Ltd</v>
          </cell>
        </row>
        <row r="1840">
          <cell r="D1840">
            <v>119.02</v>
          </cell>
          <cell r="H1840">
            <v>45413</v>
          </cell>
          <cell r="I1840" t="str">
            <v>6375 - Freight Expenses</v>
          </cell>
          <cell r="J1840">
            <v>0</v>
          </cell>
          <cell r="K1840" t="str">
            <v>Production</v>
          </cell>
          <cell r="L1840" t="str">
            <v>Freight</v>
          </cell>
          <cell r="N1840" t="str">
            <v>Direct Costs</v>
          </cell>
          <cell r="O1840" t="str">
            <v>DHL Express - USA</v>
          </cell>
        </row>
        <row r="1841">
          <cell r="D1841">
            <v>697.45</v>
          </cell>
          <cell r="H1841">
            <v>45413</v>
          </cell>
          <cell r="I1841" t="str">
            <v>6040 - Employer Paid Benefits</v>
          </cell>
          <cell r="J1841">
            <v>0</v>
          </cell>
          <cell r="K1841" t="str">
            <v>Administration</v>
          </cell>
          <cell r="L1841" t="str">
            <v>HQ Salaries</v>
          </cell>
          <cell r="N1841" t="str">
            <v>SG&amp;A</v>
          </cell>
          <cell r="O1841" t="str">
            <v>Procyon Benefits LLC</v>
          </cell>
        </row>
        <row r="1842">
          <cell r="D1842">
            <v>1300</v>
          </cell>
          <cell r="H1842">
            <v>45413</v>
          </cell>
          <cell r="I1842" t="str">
            <v>6300 - Payroll Service Fees</v>
          </cell>
          <cell r="J1842">
            <v>0</v>
          </cell>
          <cell r="K1842" t="str">
            <v>Administration</v>
          </cell>
          <cell r="L1842" t="str">
            <v>Professional Service</v>
          </cell>
          <cell r="N1842" t="str">
            <v>SG&amp;A</v>
          </cell>
          <cell r="O1842" t="str">
            <v>OperationsInc, LLC</v>
          </cell>
        </row>
        <row r="1843">
          <cell r="D1843">
            <v>2301.38</v>
          </cell>
          <cell r="H1843">
            <v>45413</v>
          </cell>
          <cell r="I1843" t="str">
            <v>6375 - Freight Expenses</v>
          </cell>
          <cell r="J1843">
            <v>0</v>
          </cell>
          <cell r="K1843" t="str">
            <v>Production</v>
          </cell>
          <cell r="L1843" t="str">
            <v>Freight</v>
          </cell>
          <cell r="N1843" t="str">
            <v>Direct Costs</v>
          </cell>
          <cell r="O1843" t="str">
            <v>DHL Express - USA</v>
          </cell>
        </row>
        <row r="1844">
          <cell r="D1844">
            <v>125.63</v>
          </cell>
          <cell r="H1844">
            <v>45413</v>
          </cell>
          <cell r="I1844" t="str">
            <v>6375 - Freight Expenses</v>
          </cell>
          <cell r="J1844">
            <v>0</v>
          </cell>
          <cell r="K1844" t="str">
            <v>Production</v>
          </cell>
          <cell r="L1844" t="str">
            <v>Freight</v>
          </cell>
          <cell r="N1844" t="str">
            <v>Direct Costs</v>
          </cell>
          <cell r="O1844" t="str">
            <v>DHL Express - USA</v>
          </cell>
        </row>
        <row r="1845">
          <cell r="D1845">
            <v>660</v>
          </cell>
          <cell r="H1845">
            <v>45413</v>
          </cell>
          <cell r="I1845" t="str">
            <v>6040 - Employer Paid Benefits</v>
          </cell>
          <cell r="J1845" t="str">
            <v>Wholesale</v>
          </cell>
          <cell r="K1845" t="str">
            <v>Wholesale</v>
          </cell>
          <cell r="L1845" t="str">
            <v>HQ Salaries</v>
          </cell>
          <cell r="N1845" t="str">
            <v>SG&amp;A</v>
          </cell>
          <cell r="O1845" t="str">
            <v>Procyon Benefits LLC</v>
          </cell>
        </row>
        <row r="1846">
          <cell r="D1846">
            <v>267.45999999999998</v>
          </cell>
          <cell r="H1846">
            <v>45413</v>
          </cell>
          <cell r="I1846" t="str">
            <v>6040 - Employer Paid Benefits</v>
          </cell>
          <cell r="J1846">
            <v>0</v>
          </cell>
          <cell r="K1846" t="str">
            <v>Production</v>
          </cell>
          <cell r="L1846" t="str">
            <v>HQ Salaries</v>
          </cell>
          <cell r="N1846" t="str">
            <v>SG&amp;A</v>
          </cell>
          <cell r="O1846" t="str">
            <v>Procyon Benefits LLC</v>
          </cell>
        </row>
        <row r="1847">
          <cell r="D1847">
            <v>17.399999999999999</v>
          </cell>
          <cell r="H1847">
            <v>45413</v>
          </cell>
          <cell r="I1847" t="str">
            <v>6040 - Employer Paid Benefits</v>
          </cell>
          <cell r="J1847">
            <v>0</v>
          </cell>
          <cell r="K1847" t="str">
            <v>Merchandising</v>
          </cell>
          <cell r="L1847" t="str">
            <v>HQ Salaries</v>
          </cell>
          <cell r="N1847" t="str">
            <v>SG&amp;A</v>
          </cell>
          <cell r="O1847" t="str">
            <v>Procyon Benefits LLC</v>
          </cell>
        </row>
        <row r="1848">
          <cell r="D1848">
            <v>95.5</v>
          </cell>
          <cell r="H1848">
            <v>45413</v>
          </cell>
          <cell r="I1848" t="str">
            <v>6040 - Employer Paid Benefits</v>
          </cell>
          <cell r="J1848" t="str">
            <v>Ecommerce (US)</v>
          </cell>
          <cell r="K1848" t="str">
            <v>Ecommerce</v>
          </cell>
          <cell r="L1848" t="str">
            <v>HQ Salaries</v>
          </cell>
          <cell r="N1848" t="str">
            <v>SG&amp;A</v>
          </cell>
          <cell r="O1848" t="str">
            <v>Procyon Benefits LLC</v>
          </cell>
        </row>
        <row r="1849">
          <cell r="D1849">
            <v>53.39</v>
          </cell>
          <cell r="H1849">
            <v>45413</v>
          </cell>
          <cell r="I1849" t="str">
            <v>6040 - Employer Paid Benefits</v>
          </cell>
          <cell r="J1849">
            <v>0</v>
          </cell>
          <cell r="K1849" t="str">
            <v>Design</v>
          </cell>
          <cell r="L1849" t="str">
            <v>HQ Salaries</v>
          </cell>
          <cell r="N1849" t="str">
            <v>SG&amp;A</v>
          </cell>
          <cell r="O1849" t="str">
            <v>Procyon Benefits LLC</v>
          </cell>
        </row>
        <row r="1850">
          <cell r="D1850">
            <v>25.32</v>
          </cell>
          <cell r="H1850">
            <v>45413</v>
          </cell>
          <cell r="I1850" t="str">
            <v>6375 - Freight Expenses</v>
          </cell>
          <cell r="J1850">
            <v>0</v>
          </cell>
          <cell r="K1850" t="str">
            <v>Production</v>
          </cell>
          <cell r="L1850" t="str">
            <v>Freight</v>
          </cell>
          <cell r="N1850" t="str">
            <v>Direct Costs</v>
          </cell>
          <cell r="O1850" t="str">
            <v>DHL Express - USA</v>
          </cell>
        </row>
        <row r="1851">
          <cell r="D1851">
            <v>1034.31</v>
          </cell>
          <cell r="H1851">
            <v>45413</v>
          </cell>
          <cell r="I1851" t="str">
            <v>6340 - Miscellaneous Expense</v>
          </cell>
          <cell r="J1851">
            <v>0</v>
          </cell>
          <cell r="K1851" t="str">
            <v>Administration</v>
          </cell>
          <cell r="L1851" t="str">
            <v>Other</v>
          </cell>
          <cell r="N1851" t="str">
            <v>SG&amp;A</v>
          </cell>
          <cell r="O1851" t="str">
            <v>Go Gleem LLC</v>
          </cell>
        </row>
        <row r="1852">
          <cell r="D1852">
            <v>356.18</v>
          </cell>
          <cell r="H1852">
            <v>45413</v>
          </cell>
          <cell r="I1852" t="str">
            <v>6300 - Payroll Service Fees</v>
          </cell>
          <cell r="J1852">
            <v>0</v>
          </cell>
          <cell r="K1852" t="str">
            <v>Administration</v>
          </cell>
          <cell r="L1852" t="str">
            <v>Professional Service</v>
          </cell>
          <cell r="N1852" t="str">
            <v>SG&amp;A</v>
          </cell>
          <cell r="O1852" t="str">
            <v>ADP Payroll Services</v>
          </cell>
        </row>
        <row r="1853">
          <cell r="D1853">
            <v>22335.360000000001</v>
          </cell>
          <cell r="H1853">
            <v>45413</v>
          </cell>
          <cell r="I1853" t="str">
            <v>6375 - Freight Expenses</v>
          </cell>
          <cell r="J1853" t="str">
            <v>Ecommerce (US)</v>
          </cell>
          <cell r="K1853" t="str">
            <v>Ecommerce</v>
          </cell>
          <cell r="L1853" t="str">
            <v>Freight</v>
          </cell>
          <cell r="N1853" t="str">
            <v>Direct Costs</v>
          </cell>
          <cell r="O1853" t="str">
            <v>UPS Supply Chain Solutions Inc. (7F24A0)</v>
          </cell>
        </row>
        <row r="1854">
          <cell r="D1854">
            <v>77.14</v>
          </cell>
          <cell r="H1854">
            <v>45413</v>
          </cell>
          <cell r="I1854" t="str">
            <v>6375 - Freight Expenses</v>
          </cell>
          <cell r="J1854" t="str">
            <v>Ecommerce (US)</v>
          </cell>
          <cell r="K1854" t="str">
            <v>Ecommerce</v>
          </cell>
          <cell r="L1854" t="str">
            <v>Freight</v>
          </cell>
          <cell r="N1854" t="str">
            <v>Direct Costs</v>
          </cell>
          <cell r="O1854" t="str">
            <v>Federal Express</v>
          </cell>
        </row>
        <row r="1855">
          <cell r="D1855">
            <v>800</v>
          </cell>
          <cell r="H1855">
            <v>45413</v>
          </cell>
          <cell r="I1855" t="str">
            <v>6340 - Miscellaneous Expense</v>
          </cell>
          <cell r="J1855" t="str">
            <v>Wholesale</v>
          </cell>
          <cell r="K1855" t="str">
            <v>Wholesale</v>
          </cell>
          <cell r="L1855" t="str">
            <v>Other</v>
          </cell>
          <cell r="N1855" t="str">
            <v>SG&amp;A</v>
          </cell>
          <cell r="O1855" t="str">
            <v>Justyna Watorek LLC</v>
          </cell>
        </row>
        <row r="1856">
          <cell r="D1856">
            <v>20.93</v>
          </cell>
          <cell r="H1856">
            <v>45413</v>
          </cell>
          <cell r="I1856" t="str">
            <v>6340 - Miscellaneous Expense</v>
          </cell>
          <cell r="J1856">
            <v>0</v>
          </cell>
          <cell r="K1856" t="str">
            <v>Administration</v>
          </cell>
          <cell r="L1856" t="str">
            <v>Other</v>
          </cell>
          <cell r="N1856" t="str">
            <v>SG&amp;A</v>
          </cell>
          <cell r="O1856" t="str">
            <v>[No Vendor]</v>
          </cell>
        </row>
        <row r="1857">
          <cell r="D1857">
            <v>267.77</v>
          </cell>
          <cell r="H1857">
            <v>45413</v>
          </cell>
          <cell r="I1857" t="str">
            <v>6340 - Miscellaneous Expense</v>
          </cell>
          <cell r="J1857">
            <v>0</v>
          </cell>
          <cell r="K1857" t="str">
            <v>Administration</v>
          </cell>
          <cell r="L1857" t="str">
            <v>Other</v>
          </cell>
          <cell r="N1857" t="str">
            <v>SG&amp;A</v>
          </cell>
          <cell r="O1857" t="str">
            <v>[No Vendor]</v>
          </cell>
        </row>
        <row r="1858">
          <cell r="D1858">
            <v>87.89</v>
          </cell>
          <cell r="H1858">
            <v>45413</v>
          </cell>
          <cell r="I1858" t="str">
            <v>6340 - Miscellaneous Expense</v>
          </cell>
          <cell r="J1858">
            <v>0</v>
          </cell>
          <cell r="K1858" t="str">
            <v>Administration</v>
          </cell>
          <cell r="L1858" t="str">
            <v>Other</v>
          </cell>
          <cell r="N1858" t="str">
            <v>SG&amp;A</v>
          </cell>
          <cell r="O1858" t="str">
            <v>[No Vendor]</v>
          </cell>
        </row>
        <row r="1859">
          <cell r="D1859">
            <v>6.26</v>
          </cell>
          <cell r="H1859">
            <v>45413</v>
          </cell>
          <cell r="I1859" t="str">
            <v>6340 - Miscellaneous Expense</v>
          </cell>
          <cell r="J1859">
            <v>0</v>
          </cell>
          <cell r="K1859" t="str">
            <v>Administration</v>
          </cell>
          <cell r="L1859" t="str">
            <v>Other</v>
          </cell>
          <cell r="N1859" t="str">
            <v>SG&amp;A</v>
          </cell>
          <cell r="O1859" t="str">
            <v>[No Vendor]</v>
          </cell>
        </row>
        <row r="1860">
          <cell r="D1860">
            <v>-103.27</v>
          </cell>
          <cell r="H1860">
            <v>45413</v>
          </cell>
          <cell r="I1860" t="str">
            <v>6340 - Miscellaneous Expense</v>
          </cell>
          <cell r="J1860">
            <v>0</v>
          </cell>
          <cell r="K1860" t="str">
            <v>Administration</v>
          </cell>
          <cell r="L1860" t="str">
            <v>Other</v>
          </cell>
          <cell r="N1860" t="str">
            <v>SG&amp;A</v>
          </cell>
          <cell r="O1860" t="str">
            <v>[No Vendor]</v>
          </cell>
        </row>
        <row r="1861">
          <cell r="D1861">
            <v>1714.49</v>
          </cell>
          <cell r="H1861">
            <v>45413</v>
          </cell>
          <cell r="I1861" t="str">
            <v>6215 - Recruitment</v>
          </cell>
          <cell r="J1861">
            <v>0</v>
          </cell>
          <cell r="K1861" t="str">
            <v>Administration</v>
          </cell>
          <cell r="L1861" t="str">
            <v>Professional Service</v>
          </cell>
          <cell r="N1861" t="str">
            <v>SG&amp;A</v>
          </cell>
          <cell r="O1861" t="str">
            <v>[No Vendor]</v>
          </cell>
        </row>
        <row r="1862">
          <cell r="D1862">
            <v>1580</v>
          </cell>
          <cell r="H1862">
            <v>45413</v>
          </cell>
          <cell r="I1862" t="str">
            <v>6370 - Samples</v>
          </cell>
          <cell r="J1862">
            <v>0</v>
          </cell>
          <cell r="K1862" t="str">
            <v>Production</v>
          </cell>
          <cell r="L1862" t="str">
            <v>Sample</v>
          </cell>
          <cell r="N1862" t="str">
            <v>SG&amp;A</v>
          </cell>
          <cell r="O1862" t="str">
            <v>Jiangsu Mega Holdings CO. LTD</v>
          </cell>
        </row>
        <row r="1863">
          <cell r="D1863">
            <v>500</v>
          </cell>
          <cell r="H1863">
            <v>45413</v>
          </cell>
          <cell r="I1863" t="str">
            <v>6225 - Professional Services</v>
          </cell>
          <cell r="J1863" t="str">
            <v>Wholesale</v>
          </cell>
          <cell r="K1863" t="str">
            <v>Wholesale</v>
          </cell>
          <cell r="L1863" t="str">
            <v>Professional Service</v>
          </cell>
          <cell r="N1863" t="str">
            <v>Direct Costs</v>
          </cell>
          <cell r="O1863" t="str">
            <v>Justyna Watorek LLC</v>
          </cell>
        </row>
        <row r="1864">
          <cell r="D1864">
            <v>68.73</v>
          </cell>
          <cell r="H1864">
            <v>45413</v>
          </cell>
          <cell r="I1864" t="str">
            <v>6105 - Meals</v>
          </cell>
          <cell r="J1864">
            <v>0</v>
          </cell>
          <cell r="K1864" t="str">
            <v>Administration</v>
          </cell>
          <cell r="L1864" t="str">
            <v>T&amp;E</v>
          </cell>
          <cell r="N1864" t="str">
            <v>SG&amp;A</v>
          </cell>
          <cell r="O1864" t="str">
            <v>[No Vendor]</v>
          </cell>
        </row>
        <row r="1865">
          <cell r="D1865">
            <v>42.55</v>
          </cell>
          <cell r="H1865">
            <v>45413</v>
          </cell>
          <cell r="I1865" t="str">
            <v>6105 - Meals</v>
          </cell>
          <cell r="J1865">
            <v>0</v>
          </cell>
          <cell r="K1865" t="str">
            <v>Administration</v>
          </cell>
          <cell r="L1865" t="str">
            <v>T&amp;E</v>
          </cell>
          <cell r="N1865" t="str">
            <v>SG&amp;A</v>
          </cell>
          <cell r="O1865" t="str">
            <v>[No Vendor]</v>
          </cell>
        </row>
        <row r="1866">
          <cell r="D1866">
            <v>19.8</v>
          </cell>
          <cell r="H1866">
            <v>45413</v>
          </cell>
          <cell r="I1866" t="str">
            <v>6105 - Meals</v>
          </cell>
          <cell r="J1866">
            <v>0</v>
          </cell>
          <cell r="K1866" t="str">
            <v>Administration</v>
          </cell>
          <cell r="L1866" t="str">
            <v>T&amp;E</v>
          </cell>
          <cell r="N1866" t="str">
            <v>SG&amp;A</v>
          </cell>
          <cell r="O1866" t="str">
            <v>[No Vendor]</v>
          </cell>
        </row>
        <row r="1867">
          <cell r="D1867">
            <v>69.959999999999994</v>
          </cell>
          <cell r="H1867">
            <v>45413</v>
          </cell>
          <cell r="I1867" t="str">
            <v>6105 - Meals</v>
          </cell>
          <cell r="J1867">
            <v>0</v>
          </cell>
          <cell r="K1867" t="str">
            <v>Administration</v>
          </cell>
          <cell r="L1867" t="str">
            <v>T&amp;E</v>
          </cell>
          <cell r="N1867" t="str">
            <v>SG&amp;A</v>
          </cell>
          <cell r="O1867" t="str">
            <v>[No Vendor]</v>
          </cell>
        </row>
        <row r="1868">
          <cell r="D1868">
            <v>170.12</v>
          </cell>
          <cell r="H1868">
            <v>45413</v>
          </cell>
          <cell r="I1868" t="str">
            <v>6105 - Meals</v>
          </cell>
          <cell r="J1868" t="str">
            <v>Wholesale</v>
          </cell>
          <cell r="K1868" t="str">
            <v>Wholesale</v>
          </cell>
          <cell r="L1868" t="str">
            <v>T&amp;E</v>
          </cell>
          <cell r="N1868" t="str">
            <v>SG&amp;A</v>
          </cell>
          <cell r="O1868" t="str">
            <v>[No Vendor]</v>
          </cell>
        </row>
        <row r="1869">
          <cell r="D1869">
            <v>54</v>
          </cell>
          <cell r="H1869">
            <v>45413</v>
          </cell>
          <cell r="I1869" t="str">
            <v>6105 - Meals</v>
          </cell>
          <cell r="J1869">
            <v>0</v>
          </cell>
          <cell r="K1869" t="str">
            <v>Administration</v>
          </cell>
          <cell r="L1869" t="str">
            <v>T&amp;E</v>
          </cell>
          <cell r="N1869" t="str">
            <v>SG&amp;A</v>
          </cell>
          <cell r="O1869" t="str">
            <v>[No Vendor]</v>
          </cell>
        </row>
        <row r="1870">
          <cell r="D1870">
            <v>55.13</v>
          </cell>
          <cell r="H1870">
            <v>45413</v>
          </cell>
          <cell r="I1870" t="str">
            <v>6105 - Meals</v>
          </cell>
          <cell r="J1870">
            <v>0</v>
          </cell>
          <cell r="K1870" t="str">
            <v>Administration</v>
          </cell>
          <cell r="L1870" t="str">
            <v>T&amp;E</v>
          </cell>
          <cell r="N1870" t="str">
            <v>SG&amp;A</v>
          </cell>
          <cell r="O1870" t="str">
            <v>[No Vendor]</v>
          </cell>
        </row>
        <row r="1871">
          <cell r="D1871">
            <v>-0.01</v>
          </cell>
          <cell r="H1871">
            <v>45413</v>
          </cell>
          <cell r="I1871" t="str">
            <v>8590 - Rounding Gain/Loss</v>
          </cell>
          <cell r="J1871">
            <v>0</v>
          </cell>
          <cell r="K1871" t="str">
            <v>No Department</v>
          </cell>
          <cell r="L1871" t="str">
            <v>Realized Gain / Loss</v>
          </cell>
          <cell r="N1871" t="str">
            <v>BTL</v>
          </cell>
          <cell r="O1871" t="str">
            <v>[No Vendor]</v>
          </cell>
        </row>
        <row r="1872">
          <cell r="D1872">
            <v>-0.01</v>
          </cell>
          <cell r="H1872">
            <v>45413</v>
          </cell>
          <cell r="I1872" t="str">
            <v>8590 - Rounding Gain/Loss</v>
          </cell>
          <cell r="J1872">
            <v>0</v>
          </cell>
          <cell r="K1872" t="str">
            <v>Licensing</v>
          </cell>
          <cell r="L1872" t="str">
            <v>Realized Gain / Loss</v>
          </cell>
          <cell r="N1872" t="str">
            <v>BTL</v>
          </cell>
          <cell r="O1872" t="str">
            <v>[No Vendor]</v>
          </cell>
        </row>
        <row r="1873">
          <cell r="D1873">
            <v>-39038.400000000001</v>
          </cell>
          <cell r="H1873">
            <v>45413</v>
          </cell>
          <cell r="I1873" t="str">
            <v>4070 - Sales - Other</v>
          </cell>
          <cell r="J1873">
            <v>0</v>
          </cell>
          <cell r="K1873" t="str">
            <v>Licensing</v>
          </cell>
          <cell r="L1873" t="str">
            <v>Other Income</v>
          </cell>
          <cell r="N1873" t="str">
            <v>Revenue</v>
          </cell>
          <cell r="O1873" t="str">
            <v>Flamant</v>
          </cell>
        </row>
        <row r="1874">
          <cell r="D1874">
            <v>6089.99</v>
          </cell>
          <cell r="H1874">
            <v>45413</v>
          </cell>
          <cell r="I1874" t="str">
            <v>6450 - Bank &amp; Other Fees</v>
          </cell>
          <cell r="J1874">
            <v>0</v>
          </cell>
          <cell r="K1874" t="str">
            <v>Licensing</v>
          </cell>
          <cell r="L1874" t="str">
            <v>Professional Service</v>
          </cell>
          <cell r="N1874" t="str">
            <v>SG&amp;A</v>
          </cell>
          <cell r="O1874" t="str">
            <v>Flamant</v>
          </cell>
        </row>
        <row r="1875">
          <cell r="D1875">
            <v>1589</v>
          </cell>
          <cell r="H1875">
            <v>45413</v>
          </cell>
          <cell r="I1875" t="str">
            <v>6375 - Freight Expenses</v>
          </cell>
          <cell r="J1875" t="str">
            <v>Ecommerce (EU)</v>
          </cell>
          <cell r="K1875" t="str">
            <v>Ecommerce</v>
          </cell>
          <cell r="L1875" t="str">
            <v>Freight</v>
          </cell>
          <cell r="N1875" t="str">
            <v>Direct Costs</v>
          </cell>
          <cell r="O1875" t="str">
            <v>Global E</v>
          </cell>
        </row>
        <row r="1876">
          <cell r="D1876">
            <v>2766.53</v>
          </cell>
          <cell r="H1876">
            <v>45413</v>
          </cell>
          <cell r="I1876" t="str">
            <v>6450 - Bank &amp; Other Fees</v>
          </cell>
          <cell r="J1876" t="str">
            <v>Ecommerce (EU)</v>
          </cell>
          <cell r="K1876" t="str">
            <v>Ecommerce</v>
          </cell>
          <cell r="L1876" t="str">
            <v>Professional Service</v>
          </cell>
          <cell r="N1876" t="str">
            <v>Direct Costs</v>
          </cell>
          <cell r="O1876" t="str">
            <v>[No Vendor]</v>
          </cell>
        </row>
        <row r="1877">
          <cell r="D1877">
            <v>31.7</v>
          </cell>
          <cell r="H1877">
            <v>45413</v>
          </cell>
          <cell r="I1877" t="str">
            <v>6375 - Freight Expenses</v>
          </cell>
          <cell r="J1877" t="str">
            <v>Ecommerce (US)</v>
          </cell>
          <cell r="K1877" t="str">
            <v>Ecommerce</v>
          </cell>
          <cell r="L1877" t="str">
            <v>Freight</v>
          </cell>
          <cell r="N1877" t="str">
            <v>Direct Costs</v>
          </cell>
          <cell r="O1877" t="str">
            <v>Federal Express</v>
          </cell>
        </row>
        <row r="1878">
          <cell r="D1878">
            <v>4146.5600000000004</v>
          </cell>
          <cell r="H1878">
            <v>45413</v>
          </cell>
          <cell r="I1878" t="str">
            <v>6210 - Monitoring</v>
          </cell>
          <cell r="J1878" t="str">
            <v>Ecommerce (EU)</v>
          </cell>
          <cell r="K1878" t="str">
            <v>Ecommerce</v>
          </cell>
          <cell r="L1878" t="str">
            <v>Professional Service</v>
          </cell>
          <cell r="N1878" t="str">
            <v>Direct Costs</v>
          </cell>
          <cell r="O1878" t="str">
            <v>Convey SRL</v>
          </cell>
        </row>
        <row r="1879">
          <cell r="D1879">
            <v>719.8</v>
          </cell>
          <cell r="H1879">
            <v>45413</v>
          </cell>
          <cell r="I1879" t="str">
            <v>6410 - Lease Expense</v>
          </cell>
          <cell r="J1879">
            <v>0</v>
          </cell>
          <cell r="K1879" t="str">
            <v>Administration</v>
          </cell>
          <cell r="L1879" t="str">
            <v>Rent</v>
          </cell>
          <cell r="N1879" t="str">
            <v>SG&amp;A</v>
          </cell>
          <cell r="O1879" t="str">
            <v>Canon Financial Services, Inc.</v>
          </cell>
        </row>
        <row r="1880">
          <cell r="D1880">
            <v>-0.01</v>
          </cell>
          <cell r="H1880">
            <v>45413</v>
          </cell>
          <cell r="I1880" t="str">
            <v>8590 - Rounding Gain/Loss</v>
          </cell>
          <cell r="J1880">
            <v>0</v>
          </cell>
          <cell r="K1880" t="str">
            <v>No Department</v>
          </cell>
          <cell r="L1880" t="str">
            <v>Realized Gain / Loss</v>
          </cell>
          <cell r="N1880" t="str">
            <v>BTL</v>
          </cell>
          <cell r="O1880" t="str">
            <v>[No Vendor]</v>
          </cell>
        </row>
        <row r="1881">
          <cell r="D1881">
            <v>-24287.89</v>
          </cell>
          <cell r="H1881">
            <v>45413</v>
          </cell>
          <cell r="I1881" t="str">
            <v>4070 - Sales - Other</v>
          </cell>
          <cell r="J1881">
            <v>0</v>
          </cell>
          <cell r="K1881" t="str">
            <v>Brand Marketing</v>
          </cell>
          <cell r="L1881" t="str">
            <v>Other Income</v>
          </cell>
          <cell r="N1881" t="str">
            <v>Revenue</v>
          </cell>
          <cell r="O1881" t="str">
            <v>Association Sportive Du Monte-Carlo Country Club</v>
          </cell>
        </row>
        <row r="1882">
          <cell r="D1882">
            <v>-45925.1</v>
          </cell>
          <cell r="H1882">
            <v>45413</v>
          </cell>
          <cell r="I1882" t="str">
            <v>4070 - Sales - Other</v>
          </cell>
          <cell r="J1882">
            <v>0</v>
          </cell>
          <cell r="K1882" t="str">
            <v>Brand Marketing</v>
          </cell>
          <cell r="L1882" t="str">
            <v>Other Income</v>
          </cell>
          <cell r="N1882" t="str">
            <v>Revenue</v>
          </cell>
          <cell r="O1882" t="str">
            <v>Societe Monegasque Pour L'Exploitation Du Tournoi De Tennis</v>
          </cell>
        </row>
        <row r="1883">
          <cell r="D1883">
            <v>-91145.43</v>
          </cell>
          <cell r="H1883">
            <v>45413</v>
          </cell>
          <cell r="I1883" t="str">
            <v>4070 - Sales - Other</v>
          </cell>
          <cell r="J1883">
            <v>0</v>
          </cell>
          <cell r="K1883" t="str">
            <v>Brand Marketing</v>
          </cell>
          <cell r="L1883" t="str">
            <v>Other Income</v>
          </cell>
          <cell r="N1883" t="str">
            <v>Revenue</v>
          </cell>
          <cell r="O1883" t="str">
            <v>Societe Monegasque Pour L'Exploitation Du Tournoi De Tennis</v>
          </cell>
        </row>
        <row r="1884">
          <cell r="D1884">
            <v>-107927</v>
          </cell>
          <cell r="H1884">
            <v>45413</v>
          </cell>
          <cell r="I1884" t="str">
            <v>4070 - Sales - Other</v>
          </cell>
          <cell r="J1884">
            <v>0</v>
          </cell>
          <cell r="K1884" t="str">
            <v>Brand Marketing</v>
          </cell>
          <cell r="L1884" t="str">
            <v>Other Income</v>
          </cell>
          <cell r="N1884" t="str">
            <v>Revenue</v>
          </cell>
          <cell r="O1884" t="str">
            <v>Societe Monegasque Pour L'Exploitation Du Tournoi De Tennis</v>
          </cell>
        </row>
        <row r="1885">
          <cell r="D1885">
            <v>288</v>
          </cell>
          <cell r="H1885">
            <v>45413</v>
          </cell>
          <cell r="I1885" t="str">
            <v>6040 - Employer Paid Benefits</v>
          </cell>
          <cell r="J1885">
            <v>0</v>
          </cell>
          <cell r="K1885" t="str">
            <v>Administration</v>
          </cell>
          <cell r="L1885" t="str">
            <v>HQ Salaries</v>
          </cell>
          <cell r="N1885" t="str">
            <v>SG&amp;A</v>
          </cell>
          <cell r="O1885" t="str">
            <v>Procyon Benefits LLC</v>
          </cell>
        </row>
        <row r="1886">
          <cell r="D1886">
            <v>32584.97</v>
          </cell>
          <cell r="H1886">
            <v>45413</v>
          </cell>
          <cell r="I1886" t="str">
            <v>6377 - Order Processing Expenses (New)</v>
          </cell>
          <cell r="J1886" t="str">
            <v>Ecommerce (US)</v>
          </cell>
          <cell r="K1886" t="str">
            <v>Ecommerce</v>
          </cell>
          <cell r="L1886" t="str">
            <v>Order Processing</v>
          </cell>
          <cell r="N1886" t="str">
            <v>Direct Costs</v>
          </cell>
          <cell r="O1886" t="str">
            <v>Bergen Logistics Corporation</v>
          </cell>
        </row>
        <row r="1887">
          <cell r="D1887">
            <v>7866.73</v>
          </cell>
          <cell r="H1887">
            <v>45413</v>
          </cell>
          <cell r="I1887" t="str">
            <v>6377 - Order Processing Expenses (New)</v>
          </cell>
          <cell r="J1887" t="str">
            <v>Wholesale</v>
          </cell>
          <cell r="K1887" t="str">
            <v>Wholesale</v>
          </cell>
          <cell r="L1887" t="str">
            <v>Order Processing</v>
          </cell>
          <cell r="N1887" t="str">
            <v>Direct Costs</v>
          </cell>
          <cell r="O1887" t="str">
            <v>Bergen Logistics Corporation</v>
          </cell>
        </row>
        <row r="1888">
          <cell r="D1888">
            <v>925</v>
          </cell>
          <cell r="H1888">
            <v>45413</v>
          </cell>
          <cell r="I1888" t="str">
            <v>6300 - Payroll Service Fees</v>
          </cell>
          <cell r="J1888">
            <v>0</v>
          </cell>
          <cell r="K1888" t="str">
            <v>Administration</v>
          </cell>
          <cell r="L1888" t="str">
            <v>Professional Service</v>
          </cell>
          <cell r="N1888" t="str">
            <v>SG&amp;A</v>
          </cell>
          <cell r="O1888" t="str">
            <v>OperationsInc, LLC</v>
          </cell>
        </row>
        <row r="1889">
          <cell r="D1889">
            <v>996.94</v>
          </cell>
          <cell r="H1889">
            <v>45413</v>
          </cell>
          <cell r="I1889" t="str">
            <v>6375 - Freight Expenses</v>
          </cell>
          <cell r="J1889" t="str">
            <v>Ecommerce (US)</v>
          </cell>
          <cell r="K1889" t="str">
            <v>Ecommerce</v>
          </cell>
          <cell r="L1889" t="str">
            <v>Freight</v>
          </cell>
          <cell r="N1889" t="str">
            <v>Direct Costs</v>
          </cell>
          <cell r="O1889" t="str">
            <v>Bergen Logistics Corporation</v>
          </cell>
        </row>
        <row r="1890">
          <cell r="D1890">
            <v>222.29</v>
          </cell>
          <cell r="H1890">
            <v>45413</v>
          </cell>
          <cell r="I1890" t="str">
            <v>6375 - Freight Expenses</v>
          </cell>
          <cell r="J1890" t="str">
            <v>Wholesale</v>
          </cell>
          <cell r="K1890" t="str">
            <v>Wholesale</v>
          </cell>
          <cell r="L1890" t="str">
            <v>Freight</v>
          </cell>
          <cell r="N1890" t="str">
            <v>Direct Costs</v>
          </cell>
          <cell r="O1890" t="str">
            <v>Bergen Logistics Corporation</v>
          </cell>
        </row>
        <row r="1891">
          <cell r="D1891">
            <v>1595.76</v>
          </cell>
          <cell r="H1891">
            <v>45413</v>
          </cell>
          <cell r="I1891" t="str">
            <v>6375 - Freight Expenses</v>
          </cell>
          <cell r="J1891">
            <v>0</v>
          </cell>
          <cell r="K1891" t="str">
            <v>Production</v>
          </cell>
          <cell r="L1891" t="str">
            <v>Freight</v>
          </cell>
          <cell r="N1891" t="str">
            <v>Direct Costs</v>
          </cell>
          <cell r="O1891" t="str">
            <v>DHL Express - USA</v>
          </cell>
        </row>
        <row r="1892">
          <cell r="D1892">
            <v>219.66</v>
          </cell>
          <cell r="H1892">
            <v>45413</v>
          </cell>
          <cell r="I1892" t="str">
            <v>6375 - Freight Expenses</v>
          </cell>
          <cell r="J1892">
            <v>0</v>
          </cell>
          <cell r="K1892" t="str">
            <v>Production</v>
          </cell>
          <cell r="L1892" t="str">
            <v>Freight</v>
          </cell>
          <cell r="N1892" t="str">
            <v>Direct Costs</v>
          </cell>
          <cell r="O1892" t="str">
            <v>DHL Express - USA</v>
          </cell>
        </row>
        <row r="1893">
          <cell r="D1893">
            <v>25.81</v>
          </cell>
          <cell r="H1893">
            <v>45413</v>
          </cell>
          <cell r="I1893" t="str">
            <v>6040 - Employer Paid Benefits</v>
          </cell>
          <cell r="J1893" t="str">
            <v>Wholesale</v>
          </cell>
          <cell r="K1893" t="str">
            <v>Wholesale</v>
          </cell>
          <cell r="L1893" t="str">
            <v>HQ Salaries</v>
          </cell>
          <cell r="N1893" t="str">
            <v>SG&amp;A</v>
          </cell>
          <cell r="O1893" t="str">
            <v>Procyon Benefits LLC</v>
          </cell>
        </row>
        <row r="1894">
          <cell r="D1894">
            <v>82.4</v>
          </cell>
          <cell r="H1894">
            <v>45413</v>
          </cell>
          <cell r="I1894" t="str">
            <v>6040 - Employer Paid Benefits</v>
          </cell>
          <cell r="J1894">
            <v>0</v>
          </cell>
          <cell r="K1894" t="str">
            <v>Production</v>
          </cell>
          <cell r="L1894" t="str">
            <v>HQ Salaries</v>
          </cell>
          <cell r="N1894" t="str">
            <v>SG&amp;A</v>
          </cell>
          <cell r="O1894" t="str">
            <v>Procyon Benefits LLC</v>
          </cell>
        </row>
        <row r="1895">
          <cell r="D1895">
            <v>631.62</v>
          </cell>
          <cell r="H1895">
            <v>45413</v>
          </cell>
          <cell r="I1895" t="str">
            <v>6040 - Employer Paid Benefits</v>
          </cell>
          <cell r="J1895">
            <v>0</v>
          </cell>
          <cell r="K1895" t="str">
            <v>Merchandising</v>
          </cell>
          <cell r="L1895" t="str">
            <v>HQ Salaries</v>
          </cell>
          <cell r="N1895" t="str">
            <v>SG&amp;A</v>
          </cell>
          <cell r="O1895" t="str">
            <v>Procyon Benefits LLC</v>
          </cell>
        </row>
        <row r="1896">
          <cell r="D1896">
            <v>50</v>
          </cell>
          <cell r="H1896">
            <v>45413</v>
          </cell>
          <cell r="I1896" t="str">
            <v>6040 - Employer Paid Benefits</v>
          </cell>
          <cell r="J1896">
            <v>0</v>
          </cell>
          <cell r="K1896" t="str">
            <v>Design</v>
          </cell>
          <cell r="L1896" t="str">
            <v>HQ Salaries</v>
          </cell>
          <cell r="N1896" t="str">
            <v>SG&amp;A</v>
          </cell>
          <cell r="O1896" t="str">
            <v>Procyon Benefits LLC</v>
          </cell>
        </row>
        <row r="1897">
          <cell r="D1897">
            <v>4500</v>
          </cell>
          <cell r="H1897">
            <v>45413</v>
          </cell>
          <cell r="I1897" t="str">
            <v>6225 - Professional Services</v>
          </cell>
          <cell r="J1897" t="str">
            <v>Ecommerce (US)</v>
          </cell>
          <cell r="K1897" t="str">
            <v>Ecommerce</v>
          </cell>
          <cell r="L1897" t="str">
            <v>Professional Service</v>
          </cell>
          <cell r="N1897" t="str">
            <v>Direct Costs</v>
          </cell>
          <cell r="O1897" t="str">
            <v>Freeflow LLC</v>
          </cell>
        </row>
        <row r="1898">
          <cell r="D1898">
            <v>1417.3</v>
          </cell>
          <cell r="H1898">
            <v>45413</v>
          </cell>
          <cell r="I1898" t="str">
            <v>6370 - Samples</v>
          </cell>
          <cell r="J1898">
            <v>0</v>
          </cell>
          <cell r="K1898" t="str">
            <v>Production</v>
          </cell>
          <cell r="L1898" t="str">
            <v>Sample</v>
          </cell>
          <cell r="N1898" t="str">
            <v>SG&amp;A</v>
          </cell>
          <cell r="O1898" t="str">
            <v>Porta Asiatica Enterprises Inc</v>
          </cell>
        </row>
        <row r="1899">
          <cell r="D1899">
            <v>2834.61</v>
          </cell>
          <cell r="H1899">
            <v>45413</v>
          </cell>
          <cell r="I1899" t="str">
            <v>6370 - Samples</v>
          </cell>
          <cell r="J1899" t="str">
            <v>Wholesale</v>
          </cell>
          <cell r="K1899" t="str">
            <v>Production</v>
          </cell>
          <cell r="L1899" t="str">
            <v>Sample</v>
          </cell>
          <cell r="N1899" t="str">
            <v>SG&amp;A</v>
          </cell>
          <cell r="O1899" t="str">
            <v>Porta Asiatica Enterprises Inc</v>
          </cell>
        </row>
        <row r="1900">
          <cell r="D1900">
            <v>1417.31</v>
          </cell>
          <cell r="H1900">
            <v>45413</v>
          </cell>
          <cell r="I1900" t="str">
            <v>6370 - Samples</v>
          </cell>
          <cell r="J1900">
            <v>0</v>
          </cell>
          <cell r="K1900" t="str">
            <v>Production</v>
          </cell>
          <cell r="L1900" t="str">
            <v>Sample</v>
          </cell>
          <cell r="N1900" t="str">
            <v>SG&amp;A</v>
          </cell>
          <cell r="O1900" t="str">
            <v>Porta Asiatica Enterprises Inc</v>
          </cell>
        </row>
        <row r="1901">
          <cell r="D1901">
            <v>425.25</v>
          </cell>
          <cell r="H1901">
            <v>45413</v>
          </cell>
          <cell r="I1901" t="str">
            <v>6370 - Samples</v>
          </cell>
          <cell r="J1901">
            <v>0</v>
          </cell>
          <cell r="K1901" t="str">
            <v>Production</v>
          </cell>
          <cell r="L1901" t="str">
            <v>Sample</v>
          </cell>
          <cell r="N1901" t="str">
            <v>SG&amp;A</v>
          </cell>
          <cell r="O1901" t="str">
            <v>Porta Asiatica Enterprises Inc</v>
          </cell>
        </row>
        <row r="1902">
          <cell r="D1902">
            <v>850.5</v>
          </cell>
          <cell r="H1902">
            <v>45413</v>
          </cell>
          <cell r="I1902" t="str">
            <v>6370 - Samples</v>
          </cell>
          <cell r="J1902" t="str">
            <v>Wholesale</v>
          </cell>
          <cell r="K1902" t="str">
            <v>Production</v>
          </cell>
          <cell r="L1902" t="str">
            <v>Sample</v>
          </cell>
          <cell r="N1902" t="str">
            <v>SG&amp;A</v>
          </cell>
          <cell r="O1902" t="str">
            <v>Porta Asiatica Enterprises Inc</v>
          </cell>
        </row>
        <row r="1903">
          <cell r="D1903">
            <v>425.25</v>
          </cell>
          <cell r="H1903">
            <v>45413</v>
          </cell>
          <cell r="I1903" t="str">
            <v>6370 - Samples</v>
          </cell>
          <cell r="J1903">
            <v>0</v>
          </cell>
          <cell r="K1903" t="str">
            <v>Production</v>
          </cell>
          <cell r="L1903" t="str">
            <v>Sample</v>
          </cell>
          <cell r="N1903" t="str">
            <v>SG&amp;A</v>
          </cell>
          <cell r="O1903" t="str">
            <v>Porta Asiatica Enterprises Inc</v>
          </cell>
        </row>
        <row r="1904">
          <cell r="D1904">
            <v>6051</v>
          </cell>
          <cell r="H1904">
            <v>45413</v>
          </cell>
          <cell r="I1904" t="str">
            <v>6385 - Insurance</v>
          </cell>
          <cell r="J1904">
            <v>0</v>
          </cell>
          <cell r="K1904" t="str">
            <v>Administration</v>
          </cell>
          <cell r="L1904" t="str">
            <v>Professional Service</v>
          </cell>
          <cell r="N1904" t="str">
            <v>SG&amp;A</v>
          </cell>
          <cell r="O1904" t="str">
            <v>Travelers CL Remittance Center</v>
          </cell>
        </row>
        <row r="1905">
          <cell r="D1905">
            <v>167.17</v>
          </cell>
          <cell r="H1905">
            <v>45413</v>
          </cell>
          <cell r="I1905" t="str">
            <v>6385 - Insurance</v>
          </cell>
          <cell r="J1905">
            <v>0</v>
          </cell>
          <cell r="K1905" t="str">
            <v>Administration</v>
          </cell>
          <cell r="L1905" t="str">
            <v>Professional Service</v>
          </cell>
          <cell r="N1905" t="str">
            <v>SG&amp;A</v>
          </cell>
          <cell r="O1905" t="str">
            <v>[No Vendor]</v>
          </cell>
        </row>
        <row r="1906">
          <cell r="D1906">
            <v>24405.14</v>
          </cell>
          <cell r="H1906">
            <v>45413</v>
          </cell>
          <cell r="I1906" t="str">
            <v>4070 - Sales - Other</v>
          </cell>
          <cell r="J1906">
            <v>0</v>
          </cell>
          <cell r="K1906" t="str">
            <v>Brand Marketing</v>
          </cell>
          <cell r="L1906" t="str">
            <v>Other Income</v>
          </cell>
          <cell r="N1906" t="str">
            <v>Revenue</v>
          </cell>
          <cell r="O1906" t="str">
            <v>Monte Carlo Country Club</v>
          </cell>
        </row>
        <row r="1907">
          <cell r="D1907">
            <v>16267.2</v>
          </cell>
          <cell r="H1907">
            <v>45413</v>
          </cell>
          <cell r="I1907" t="str">
            <v>6282 - Royalty Expense</v>
          </cell>
          <cell r="J1907">
            <v>0</v>
          </cell>
          <cell r="K1907" t="str">
            <v>Brand Marketing</v>
          </cell>
          <cell r="L1907" t="str">
            <v>Advertising</v>
          </cell>
          <cell r="N1907" t="str">
            <v>SG&amp;A</v>
          </cell>
          <cell r="O1907" t="str">
            <v>Monte Carlo Country Club</v>
          </cell>
        </row>
        <row r="1908">
          <cell r="D1908">
            <v>900</v>
          </cell>
          <cell r="H1908">
            <v>45413</v>
          </cell>
          <cell r="I1908" t="str">
            <v>6288 - Model</v>
          </cell>
          <cell r="J1908" t="str">
            <v>Ecommerce (US)</v>
          </cell>
          <cell r="K1908" t="str">
            <v>Brand Marketing</v>
          </cell>
          <cell r="L1908" t="str">
            <v>Advertising</v>
          </cell>
          <cell r="N1908" t="str">
            <v>SG&amp;A</v>
          </cell>
          <cell r="O1908" t="str">
            <v>State Artist Management</v>
          </cell>
        </row>
        <row r="1909">
          <cell r="D1909">
            <v>108448</v>
          </cell>
          <cell r="H1909">
            <v>45413</v>
          </cell>
          <cell r="I1909" t="str">
            <v>4070 - Sales - Other</v>
          </cell>
          <cell r="J1909">
            <v>0</v>
          </cell>
          <cell r="K1909" t="str">
            <v>Brand Marketing</v>
          </cell>
          <cell r="L1909" t="str">
            <v>Other Income</v>
          </cell>
          <cell r="N1909" t="str">
            <v>Revenue</v>
          </cell>
          <cell r="O1909" t="str">
            <v>S.M.E.T.T</v>
          </cell>
        </row>
        <row r="1910">
          <cell r="D1910">
            <v>-0.01</v>
          </cell>
          <cell r="H1910">
            <v>45413</v>
          </cell>
          <cell r="I1910" t="str">
            <v>8590 - Rounding Gain/Loss</v>
          </cell>
          <cell r="J1910">
            <v>0</v>
          </cell>
          <cell r="K1910" t="str">
            <v>No Department</v>
          </cell>
          <cell r="L1910" t="str">
            <v>Realized Gain / Loss</v>
          </cell>
          <cell r="N1910" t="str">
            <v>BTL</v>
          </cell>
          <cell r="O1910" t="str">
            <v>[No Vendor]</v>
          </cell>
        </row>
        <row r="1911">
          <cell r="D1911">
            <v>38.549999999999997</v>
          </cell>
          <cell r="H1911">
            <v>45413</v>
          </cell>
          <cell r="I1911" t="str">
            <v>8505 - Realized Gain/Loss</v>
          </cell>
          <cell r="J1911">
            <v>0</v>
          </cell>
          <cell r="K1911" t="str">
            <v>No Department</v>
          </cell>
          <cell r="L1911" t="str">
            <v>Realized Gain / Loss</v>
          </cell>
          <cell r="N1911" t="str">
            <v>BTL</v>
          </cell>
          <cell r="O1911" t="str">
            <v>[No Vendor]</v>
          </cell>
        </row>
        <row r="1912">
          <cell r="D1912">
            <v>3269.24</v>
          </cell>
          <cell r="H1912">
            <v>45413</v>
          </cell>
          <cell r="I1912" t="str">
            <v>6005 - Salaries</v>
          </cell>
          <cell r="J1912">
            <v>0</v>
          </cell>
          <cell r="K1912" t="str">
            <v>Brand Marketing</v>
          </cell>
          <cell r="L1912" t="str">
            <v>HQ Salaries</v>
          </cell>
          <cell r="N1912" t="str">
            <v>SG&amp;A</v>
          </cell>
          <cell r="O1912" t="str">
            <v>[No Vendor]</v>
          </cell>
        </row>
        <row r="1913">
          <cell r="D1913">
            <v>96.24</v>
          </cell>
          <cell r="H1913">
            <v>45413</v>
          </cell>
          <cell r="I1913" t="str">
            <v>6393 - Software</v>
          </cell>
          <cell r="J1913">
            <v>0</v>
          </cell>
          <cell r="K1913" t="str">
            <v>Administration</v>
          </cell>
          <cell r="L1913" t="str">
            <v>Professional Service</v>
          </cell>
          <cell r="N1913" t="str">
            <v>Direct Costs</v>
          </cell>
          <cell r="O1913" t="str">
            <v>ADP Payroll Services</v>
          </cell>
        </row>
        <row r="1914">
          <cell r="D1914">
            <v>0</v>
          </cell>
          <cell r="H1914">
            <v>45413</v>
          </cell>
          <cell r="I1914" t="str">
            <v>6205 - Contractors</v>
          </cell>
          <cell r="J1914" t="str">
            <v>Ecommerce (US)</v>
          </cell>
          <cell r="K1914" t="str">
            <v>Ecommerce</v>
          </cell>
          <cell r="L1914" t="str">
            <v>HQ Salaries</v>
          </cell>
          <cell r="N1914" t="str">
            <v>SG&amp;A</v>
          </cell>
          <cell r="O1914" t="str">
            <v>[No Vendor]</v>
          </cell>
        </row>
        <row r="1915">
          <cell r="D1915">
            <v>3540</v>
          </cell>
          <cell r="H1915">
            <v>45413</v>
          </cell>
          <cell r="I1915" t="str">
            <v>6205 - Contractors</v>
          </cell>
          <cell r="J1915">
            <v>0</v>
          </cell>
          <cell r="K1915" t="str">
            <v>Design</v>
          </cell>
          <cell r="L1915" t="str">
            <v>HQ Salaries</v>
          </cell>
          <cell r="N1915" t="str">
            <v>SG&amp;A</v>
          </cell>
          <cell r="O1915" t="str">
            <v>[No Vendor]</v>
          </cell>
        </row>
        <row r="1916">
          <cell r="D1916">
            <v>0</v>
          </cell>
          <cell r="H1916">
            <v>45413</v>
          </cell>
          <cell r="I1916" t="str">
            <v>6205 - Contractors</v>
          </cell>
          <cell r="J1916">
            <v>0</v>
          </cell>
          <cell r="K1916" t="str">
            <v>Brand Marketing</v>
          </cell>
          <cell r="L1916" t="str">
            <v>HQ Salaries</v>
          </cell>
          <cell r="N1916" t="str">
            <v>SG&amp;A</v>
          </cell>
          <cell r="O1916" t="str">
            <v>[No Vendor]</v>
          </cell>
        </row>
        <row r="1917">
          <cell r="D1917">
            <v>1926.43</v>
          </cell>
          <cell r="H1917">
            <v>45413</v>
          </cell>
          <cell r="I1917" t="str">
            <v>6430 - Dues &amp; Memberships</v>
          </cell>
          <cell r="J1917" t="str">
            <v>Ecommerce (US)</v>
          </cell>
          <cell r="K1917" t="str">
            <v>Ecommerce</v>
          </cell>
          <cell r="L1917" t="str">
            <v>Professional Service</v>
          </cell>
          <cell r="N1917" t="str">
            <v>Direct Costs</v>
          </cell>
          <cell r="O1917" t="str">
            <v>Loop</v>
          </cell>
        </row>
        <row r="1918">
          <cell r="D1918">
            <v>-59.47</v>
          </cell>
          <cell r="H1918">
            <v>45413</v>
          </cell>
          <cell r="I1918" t="str">
            <v>6385 - Insurance</v>
          </cell>
          <cell r="J1918">
            <v>0</v>
          </cell>
          <cell r="K1918" t="str">
            <v>Administration</v>
          </cell>
          <cell r="L1918" t="str">
            <v>Professional Service</v>
          </cell>
          <cell r="N1918" t="str">
            <v>SG&amp;A</v>
          </cell>
          <cell r="O1918" t="str">
            <v>[No Vendor]</v>
          </cell>
        </row>
        <row r="1919">
          <cell r="D1919">
            <v>-25.87</v>
          </cell>
          <cell r="H1919">
            <v>45413</v>
          </cell>
          <cell r="I1919" t="str">
            <v>6385 - Insurance</v>
          </cell>
          <cell r="J1919">
            <v>0</v>
          </cell>
          <cell r="K1919" t="str">
            <v>Administration</v>
          </cell>
          <cell r="L1919" t="str">
            <v>Professional Service</v>
          </cell>
          <cell r="N1919" t="str">
            <v>SG&amp;A</v>
          </cell>
          <cell r="O1919" t="str">
            <v>[No Vendor]</v>
          </cell>
        </row>
        <row r="1920">
          <cell r="D1920">
            <v>-20.41</v>
          </cell>
          <cell r="H1920">
            <v>45413</v>
          </cell>
          <cell r="I1920" t="str">
            <v>6385 - Insurance</v>
          </cell>
          <cell r="J1920">
            <v>0</v>
          </cell>
          <cell r="K1920" t="str">
            <v>Administration</v>
          </cell>
          <cell r="L1920" t="str">
            <v>Professional Service</v>
          </cell>
          <cell r="N1920" t="str">
            <v>SG&amp;A</v>
          </cell>
          <cell r="O1920" t="str">
            <v>[No Vendor]</v>
          </cell>
        </row>
        <row r="1921">
          <cell r="D1921">
            <v>-39.369999999999997</v>
          </cell>
          <cell r="H1921">
            <v>45413</v>
          </cell>
          <cell r="I1921" t="str">
            <v>6385 - Insurance</v>
          </cell>
          <cell r="J1921">
            <v>0</v>
          </cell>
          <cell r="K1921" t="str">
            <v>Administration</v>
          </cell>
          <cell r="L1921" t="str">
            <v>Professional Service</v>
          </cell>
          <cell r="N1921" t="str">
            <v>SG&amp;A</v>
          </cell>
          <cell r="O1921" t="str">
            <v>[No Vendor]</v>
          </cell>
        </row>
        <row r="1922">
          <cell r="D1922">
            <v>-48.22</v>
          </cell>
          <cell r="H1922">
            <v>45413</v>
          </cell>
          <cell r="I1922" t="str">
            <v>6385 - Insurance</v>
          </cell>
          <cell r="J1922">
            <v>0</v>
          </cell>
          <cell r="K1922" t="str">
            <v>Administration</v>
          </cell>
          <cell r="L1922" t="str">
            <v>Professional Service</v>
          </cell>
          <cell r="N1922" t="str">
            <v>SG&amp;A</v>
          </cell>
          <cell r="O1922" t="str">
            <v>[No Vendor]</v>
          </cell>
        </row>
        <row r="1923">
          <cell r="D1923">
            <v>-13.39</v>
          </cell>
          <cell r="H1923">
            <v>45413</v>
          </cell>
          <cell r="I1923" t="str">
            <v>6385 - Insurance</v>
          </cell>
          <cell r="J1923">
            <v>0</v>
          </cell>
          <cell r="K1923" t="str">
            <v>Administration</v>
          </cell>
          <cell r="L1923" t="str">
            <v>Professional Service</v>
          </cell>
          <cell r="N1923" t="str">
            <v>SG&amp;A</v>
          </cell>
          <cell r="O1923" t="str">
            <v>[No Vendor]</v>
          </cell>
        </row>
        <row r="1924">
          <cell r="D1924">
            <v>-41.67</v>
          </cell>
          <cell r="H1924">
            <v>45413</v>
          </cell>
          <cell r="I1924" t="str">
            <v>6385 - Insurance</v>
          </cell>
          <cell r="J1924">
            <v>0</v>
          </cell>
          <cell r="K1924" t="str">
            <v>Administration</v>
          </cell>
          <cell r="L1924" t="str">
            <v>Professional Service</v>
          </cell>
          <cell r="N1924" t="str">
            <v>SG&amp;A</v>
          </cell>
          <cell r="O1924" t="str">
            <v>[No Vendor]</v>
          </cell>
        </row>
        <row r="1925">
          <cell r="D1925">
            <v>77</v>
          </cell>
          <cell r="H1925">
            <v>45413</v>
          </cell>
          <cell r="I1925" t="str">
            <v>6300 - Payroll Service Fees</v>
          </cell>
          <cell r="J1925">
            <v>0</v>
          </cell>
          <cell r="K1925" t="str">
            <v>Administration</v>
          </cell>
          <cell r="L1925" t="str">
            <v>Professional Service</v>
          </cell>
          <cell r="N1925" t="str">
            <v>SG&amp;A</v>
          </cell>
          <cell r="O1925" t="str">
            <v>ADP Payroll Services</v>
          </cell>
        </row>
        <row r="1926">
          <cell r="D1926">
            <v>1997.86</v>
          </cell>
          <cell r="H1926">
            <v>45413</v>
          </cell>
          <cell r="I1926" t="str">
            <v>6055 - Employer Social Security Tax Withheld</v>
          </cell>
          <cell r="J1926">
            <v>0</v>
          </cell>
          <cell r="K1926" t="str">
            <v>Design</v>
          </cell>
          <cell r="L1926" t="str">
            <v>HQ Salaries</v>
          </cell>
          <cell r="N1926" t="str">
            <v>SG&amp;A</v>
          </cell>
          <cell r="O1926" t="str">
            <v>[No Vendor]</v>
          </cell>
        </row>
        <row r="1927">
          <cell r="D1927">
            <v>2201.62</v>
          </cell>
          <cell r="H1927">
            <v>45413</v>
          </cell>
          <cell r="I1927" t="str">
            <v>6055 - Employer Social Security Tax Withheld</v>
          </cell>
          <cell r="J1927">
            <v>0</v>
          </cell>
          <cell r="K1927" t="str">
            <v>Administration</v>
          </cell>
          <cell r="L1927" t="str">
            <v>HQ Salaries</v>
          </cell>
          <cell r="N1927" t="str">
            <v>SG&amp;A</v>
          </cell>
          <cell r="O1927" t="str">
            <v>[No Vendor]</v>
          </cell>
        </row>
        <row r="1928">
          <cell r="D1928">
            <v>548.48</v>
          </cell>
          <cell r="H1928">
            <v>45413</v>
          </cell>
          <cell r="I1928" t="str">
            <v>6055 - Employer Social Security Tax Withheld</v>
          </cell>
          <cell r="J1928">
            <v>0</v>
          </cell>
          <cell r="K1928" t="str">
            <v>Merchandising</v>
          </cell>
          <cell r="L1928" t="str">
            <v>HQ Salaries</v>
          </cell>
          <cell r="N1928" t="str">
            <v>SG&amp;A</v>
          </cell>
          <cell r="O1928" t="str">
            <v>[No Vendor]</v>
          </cell>
        </row>
        <row r="1929">
          <cell r="D1929">
            <v>1052.1300000000001</v>
          </cell>
          <cell r="H1929">
            <v>45413</v>
          </cell>
          <cell r="I1929" t="str">
            <v>6055 - Employer Social Security Tax Withheld</v>
          </cell>
          <cell r="J1929" t="str">
            <v>Wholesale</v>
          </cell>
          <cell r="K1929" t="str">
            <v>Wholesale</v>
          </cell>
          <cell r="L1929" t="str">
            <v>HQ Salaries</v>
          </cell>
          <cell r="N1929" t="str">
            <v>SG&amp;A</v>
          </cell>
          <cell r="O1929" t="str">
            <v>[No Vendor]</v>
          </cell>
        </row>
        <row r="1930">
          <cell r="D1930">
            <v>2097.44</v>
          </cell>
          <cell r="H1930">
            <v>45413</v>
          </cell>
          <cell r="I1930" t="str">
            <v>6055 - Employer Social Security Tax Withheld</v>
          </cell>
          <cell r="J1930">
            <v>0</v>
          </cell>
          <cell r="K1930" t="str">
            <v>Production</v>
          </cell>
          <cell r="L1930" t="str">
            <v>HQ Salaries</v>
          </cell>
          <cell r="N1930" t="str">
            <v>SG&amp;A</v>
          </cell>
          <cell r="O1930" t="str">
            <v>[No Vendor]</v>
          </cell>
        </row>
        <row r="1931">
          <cell r="D1931">
            <v>346.45</v>
          </cell>
          <cell r="H1931">
            <v>45413</v>
          </cell>
          <cell r="I1931" t="str">
            <v>6055 - Employer Social Security Tax Withheld</v>
          </cell>
          <cell r="J1931">
            <v>0</v>
          </cell>
          <cell r="K1931" t="str">
            <v>Brand Marketing</v>
          </cell>
          <cell r="L1931" t="str">
            <v>HQ Salaries</v>
          </cell>
          <cell r="N1931" t="str">
            <v>SG&amp;A</v>
          </cell>
          <cell r="O1931" t="str">
            <v>[No Vendor]</v>
          </cell>
        </row>
        <row r="1932">
          <cell r="D1932">
            <v>1832.12</v>
          </cell>
          <cell r="H1932">
            <v>45413</v>
          </cell>
          <cell r="I1932" t="str">
            <v>6055 - Employer Social Security Tax Withheld</v>
          </cell>
          <cell r="J1932" t="str">
            <v>Ecommerce (US)</v>
          </cell>
          <cell r="K1932" t="str">
            <v>Ecommerce</v>
          </cell>
          <cell r="L1932" t="str">
            <v>HQ Salaries</v>
          </cell>
          <cell r="N1932" t="str">
            <v>SG&amp;A</v>
          </cell>
          <cell r="O1932" t="str">
            <v>[No Vendor]</v>
          </cell>
        </row>
        <row r="1933">
          <cell r="D1933">
            <v>-363.42</v>
          </cell>
          <cell r="H1933">
            <v>45413</v>
          </cell>
          <cell r="I1933" t="str">
            <v>6040 - Employer Paid Benefits</v>
          </cell>
          <cell r="J1933">
            <v>0</v>
          </cell>
          <cell r="K1933" t="str">
            <v>Design</v>
          </cell>
          <cell r="L1933" t="str">
            <v>HQ Salaries</v>
          </cell>
          <cell r="N1933" t="str">
            <v>SG&amp;A</v>
          </cell>
          <cell r="O1933" t="str">
            <v>[No Vendor]</v>
          </cell>
        </row>
        <row r="1934">
          <cell r="D1934">
            <v>-163.69999999999999</v>
          </cell>
          <cell r="H1934">
            <v>45413</v>
          </cell>
          <cell r="I1934" t="str">
            <v>6040 - Employer Paid Benefits</v>
          </cell>
          <cell r="J1934">
            <v>0</v>
          </cell>
          <cell r="K1934" t="str">
            <v>Administration</v>
          </cell>
          <cell r="L1934" t="str">
            <v>HQ Salaries</v>
          </cell>
          <cell r="N1934" t="str">
            <v>SG&amp;A</v>
          </cell>
          <cell r="O1934" t="str">
            <v>[No Vendor]</v>
          </cell>
        </row>
        <row r="1935">
          <cell r="D1935">
            <v>0</v>
          </cell>
          <cell r="H1935">
            <v>45413</v>
          </cell>
          <cell r="I1935" t="str">
            <v>6040 - Employer Paid Benefits</v>
          </cell>
          <cell r="J1935">
            <v>0</v>
          </cell>
          <cell r="K1935" t="str">
            <v>Merchandising</v>
          </cell>
          <cell r="L1935" t="str">
            <v>HQ Salaries</v>
          </cell>
          <cell r="N1935" t="str">
            <v>SG&amp;A</v>
          </cell>
          <cell r="O1935" t="str">
            <v>[No Vendor]</v>
          </cell>
        </row>
        <row r="1936">
          <cell r="D1936">
            <v>-45.16</v>
          </cell>
          <cell r="H1936">
            <v>45413</v>
          </cell>
          <cell r="I1936" t="str">
            <v>6040 - Employer Paid Benefits</v>
          </cell>
          <cell r="J1936" t="str">
            <v>Wholesale</v>
          </cell>
          <cell r="K1936" t="str">
            <v>Wholesale</v>
          </cell>
          <cell r="L1936" t="str">
            <v>HQ Salaries</v>
          </cell>
          <cell r="N1936" t="str">
            <v>SG&amp;A</v>
          </cell>
          <cell r="O1936" t="str">
            <v>[No Vendor]</v>
          </cell>
        </row>
        <row r="1937">
          <cell r="D1937">
            <v>-409.66</v>
          </cell>
          <cell r="H1937">
            <v>45413</v>
          </cell>
          <cell r="I1937" t="str">
            <v>6040 - Employer Paid Benefits</v>
          </cell>
          <cell r="J1937">
            <v>0</v>
          </cell>
          <cell r="K1937" t="str">
            <v>Production</v>
          </cell>
          <cell r="L1937" t="str">
            <v>HQ Salaries</v>
          </cell>
          <cell r="N1937" t="str">
            <v>SG&amp;A</v>
          </cell>
          <cell r="O1937" t="str">
            <v>[No Vendor]</v>
          </cell>
        </row>
        <row r="1938">
          <cell r="D1938">
            <v>-22.58</v>
          </cell>
          <cell r="H1938">
            <v>45413</v>
          </cell>
          <cell r="I1938" t="str">
            <v>6040 - Employer Paid Benefits</v>
          </cell>
          <cell r="J1938">
            <v>0</v>
          </cell>
          <cell r="K1938" t="str">
            <v>Brand Marketing</v>
          </cell>
          <cell r="L1938" t="str">
            <v>HQ Salaries</v>
          </cell>
          <cell r="N1938" t="str">
            <v>SG&amp;A</v>
          </cell>
          <cell r="O1938" t="str">
            <v>[No Vendor]</v>
          </cell>
        </row>
        <row r="1939">
          <cell r="D1939">
            <v>-121.85</v>
          </cell>
          <cell r="H1939">
            <v>45413</v>
          </cell>
          <cell r="I1939" t="str">
            <v>6040 - Employer Paid Benefits</v>
          </cell>
          <cell r="J1939" t="str">
            <v>Ecommerce (US)</v>
          </cell>
          <cell r="K1939" t="str">
            <v>Ecommerce</v>
          </cell>
          <cell r="L1939" t="str">
            <v>HQ Salaries</v>
          </cell>
          <cell r="N1939" t="str">
            <v>SG&amp;A</v>
          </cell>
          <cell r="O1939" t="str">
            <v>[No Vendor]</v>
          </cell>
        </row>
        <row r="1940">
          <cell r="D1940">
            <v>20780.8</v>
          </cell>
          <cell r="H1940">
            <v>45413</v>
          </cell>
          <cell r="I1940" t="str">
            <v>6005 - Salaries</v>
          </cell>
          <cell r="J1940" t="str">
            <v>Ecommerce (US)</v>
          </cell>
          <cell r="K1940" t="str">
            <v>Ecommerce</v>
          </cell>
          <cell r="L1940" t="str">
            <v>HQ Salaries</v>
          </cell>
          <cell r="N1940" t="str">
            <v>SG&amp;A</v>
          </cell>
          <cell r="O1940" t="str">
            <v>[No Vendor]</v>
          </cell>
        </row>
        <row r="1941">
          <cell r="D1941">
            <v>20857.7</v>
          </cell>
          <cell r="H1941">
            <v>45413</v>
          </cell>
          <cell r="I1941" t="str">
            <v>6005 - Salaries</v>
          </cell>
          <cell r="J1941">
            <v>0</v>
          </cell>
          <cell r="K1941" t="str">
            <v>Design</v>
          </cell>
          <cell r="L1941" t="str">
            <v>HQ Salaries</v>
          </cell>
          <cell r="N1941" t="str">
            <v>SG&amp;A</v>
          </cell>
          <cell r="O1941" t="str">
            <v>[No Vendor]</v>
          </cell>
        </row>
        <row r="1942">
          <cell r="D1942">
            <v>22584.639999999999</v>
          </cell>
          <cell r="H1942">
            <v>45413</v>
          </cell>
          <cell r="I1942" t="str">
            <v>6005 - Salaries</v>
          </cell>
          <cell r="J1942">
            <v>0</v>
          </cell>
          <cell r="K1942" t="str">
            <v>Administration</v>
          </cell>
          <cell r="L1942" t="str">
            <v>HQ Salaries</v>
          </cell>
          <cell r="N1942" t="str">
            <v>SG&amp;A</v>
          </cell>
          <cell r="O1942" t="str">
            <v>[No Vendor]</v>
          </cell>
        </row>
        <row r="1943">
          <cell r="D1943">
            <v>5150</v>
          </cell>
          <cell r="H1943">
            <v>45413</v>
          </cell>
          <cell r="I1943" t="str">
            <v>6005 - Salaries</v>
          </cell>
          <cell r="J1943">
            <v>0</v>
          </cell>
          <cell r="K1943" t="str">
            <v>Merchandising</v>
          </cell>
          <cell r="L1943" t="str">
            <v>HQ Salaries</v>
          </cell>
          <cell r="N1943" t="str">
            <v>SG&amp;A</v>
          </cell>
          <cell r="O1943" t="str">
            <v>[No Vendor]</v>
          </cell>
        </row>
        <row r="1944">
          <cell r="D1944">
            <v>9911.5499999999993</v>
          </cell>
          <cell r="H1944">
            <v>45413</v>
          </cell>
          <cell r="I1944" t="str">
            <v>6005 - Salaries</v>
          </cell>
          <cell r="J1944" t="str">
            <v>Wholesale</v>
          </cell>
          <cell r="K1944" t="str">
            <v>Wholesale</v>
          </cell>
          <cell r="L1944" t="str">
            <v>HQ Salaries</v>
          </cell>
          <cell r="N1944" t="str">
            <v>SG&amp;A</v>
          </cell>
          <cell r="O1944" t="str">
            <v>[No Vendor]</v>
          </cell>
        </row>
        <row r="1945">
          <cell r="D1945">
            <v>19988.490000000002</v>
          </cell>
          <cell r="H1945">
            <v>45413</v>
          </cell>
          <cell r="I1945" t="str">
            <v>6005 - Salaries</v>
          </cell>
          <cell r="J1945">
            <v>0</v>
          </cell>
          <cell r="K1945" t="str">
            <v>Production</v>
          </cell>
          <cell r="L1945" t="str">
            <v>HQ Salaries</v>
          </cell>
          <cell r="N1945" t="str">
            <v>SG&amp;A</v>
          </cell>
          <cell r="O1945" t="str">
            <v>[No Vendor]</v>
          </cell>
        </row>
        <row r="1946">
          <cell r="D1946">
            <v>23557.26</v>
          </cell>
          <cell r="H1946">
            <v>45413</v>
          </cell>
          <cell r="I1946" t="str">
            <v>6375 - Freight Expenses</v>
          </cell>
          <cell r="J1946" t="str">
            <v>Ecommerce (US)</v>
          </cell>
          <cell r="K1946" t="str">
            <v>Ecommerce</v>
          </cell>
          <cell r="L1946" t="str">
            <v>Freight</v>
          </cell>
          <cell r="N1946" t="str">
            <v>Direct Costs</v>
          </cell>
          <cell r="O1946" t="str">
            <v>UPS Supply Chain Solutions Inc. (7F24A0)</v>
          </cell>
        </row>
        <row r="1947">
          <cell r="D1947">
            <v>25.47</v>
          </cell>
          <cell r="H1947">
            <v>45413</v>
          </cell>
          <cell r="I1947" t="str">
            <v>6375 - Freight Expenses</v>
          </cell>
          <cell r="J1947" t="str">
            <v>Ecommerce (US)</v>
          </cell>
          <cell r="K1947" t="str">
            <v>Ecommerce</v>
          </cell>
          <cell r="L1947" t="str">
            <v>Freight</v>
          </cell>
          <cell r="N1947" t="str">
            <v>Direct Costs</v>
          </cell>
          <cell r="O1947" t="str">
            <v>Federal Express</v>
          </cell>
        </row>
        <row r="1948">
          <cell r="D1948">
            <v>58.28</v>
          </cell>
          <cell r="H1948">
            <v>45413</v>
          </cell>
          <cell r="I1948" t="str">
            <v>6393 - Software</v>
          </cell>
          <cell r="J1948">
            <v>0</v>
          </cell>
          <cell r="K1948" t="str">
            <v>Administration</v>
          </cell>
          <cell r="L1948" t="str">
            <v>Professional Service</v>
          </cell>
          <cell r="N1948" t="str">
            <v>Direct Costs</v>
          </cell>
          <cell r="O1948" t="str">
            <v>QBO</v>
          </cell>
        </row>
        <row r="1949">
          <cell r="D1949">
            <v>1687.3</v>
          </cell>
          <cell r="H1949">
            <v>45413</v>
          </cell>
          <cell r="I1949" t="str">
            <v>6393 - Software</v>
          </cell>
          <cell r="J1949">
            <v>0</v>
          </cell>
          <cell r="K1949" t="str">
            <v>Administration</v>
          </cell>
          <cell r="L1949" t="str">
            <v>Professional Service</v>
          </cell>
          <cell r="N1949" t="str">
            <v>Direct Costs</v>
          </cell>
          <cell r="O1949" t="str">
            <v>Adobe, Inc.</v>
          </cell>
        </row>
        <row r="1950">
          <cell r="D1950">
            <v>4500</v>
          </cell>
          <cell r="H1950">
            <v>45413</v>
          </cell>
          <cell r="I1950" t="str">
            <v>6360 - Model - Fitting</v>
          </cell>
          <cell r="J1950">
            <v>0</v>
          </cell>
          <cell r="K1950" t="str">
            <v>Production</v>
          </cell>
          <cell r="L1950" t="str">
            <v>Sample</v>
          </cell>
          <cell r="N1950" t="str">
            <v>SG&amp;A</v>
          </cell>
          <cell r="O1950" t="str">
            <v>Misel Gilbert</v>
          </cell>
        </row>
        <row r="1951">
          <cell r="D1951">
            <v>0.87</v>
          </cell>
          <cell r="H1951">
            <v>45413</v>
          </cell>
          <cell r="I1951" t="str">
            <v>6450 - Bank &amp; Other Fees</v>
          </cell>
          <cell r="J1951">
            <v>0</v>
          </cell>
          <cell r="K1951" t="str">
            <v>Administration</v>
          </cell>
          <cell r="L1951" t="str">
            <v>Professional Service</v>
          </cell>
          <cell r="N1951" t="str">
            <v>SG&amp;A</v>
          </cell>
          <cell r="O1951" t="str">
            <v>[No Vendor]</v>
          </cell>
        </row>
        <row r="1952">
          <cell r="D1952">
            <v>1665.02</v>
          </cell>
          <cell r="H1952">
            <v>45413</v>
          </cell>
          <cell r="I1952" t="str">
            <v>6375 - Freight Expenses</v>
          </cell>
          <cell r="J1952" t="str">
            <v>Ecommerce (EU)</v>
          </cell>
          <cell r="K1952" t="str">
            <v>Ecommerce</v>
          </cell>
          <cell r="L1952" t="str">
            <v>Freight</v>
          </cell>
          <cell r="N1952" t="str">
            <v>Direct Costs</v>
          </cell>
          <cell r="O1952" t="str">
            <v>Global E</v>
          </cell>
        </row>
        <row r="1953">
          <cell r="D1953">
            <v>2708.83</v>
          </cell>
          <cell r="H1953">
            <v>45413</v>
          </cell>
          <cell r="I1953" t="str">
            <v>6450 - Bank &amp; Other Fees</v>
          </cell>
          <cell r="J1953" t="str">
            <v>Ecommerce (EU)</v>
          </cell>
          <cell r="K1953" t="str">
            <v>Ecommerce</v>
          </cell>
          <cell r="L1953" t="str">
            <v>Professional Service</v>
          </cell>
          <cell r="N1953" t="str">
            <v>Direct Costs</v>
          </cell>
          <cell r="O1953" t="str">
            <v>[No Vendor]</v>
          </cell>
        </row>
        <row r="1954">
          <cell r="D1954">
            <v>58.5</v>
          </cell>
          <cell r="H1954">
            <v>45413</v>
          </cell>
          <cell r="I1954" t="str">
            <v>6370 - Samples</v>
          </cell>
          <cell r="J1954">
            <v>0</v>
          </cell>
          <cell r="K1954" t="str">
            <v>Design</v>
          </cell>
          <cell r="L1954" t="str">
            <v>Sample</v>
          </cell>
          <cell r="N1954" t="str">
            <v>SG&amp;A</v>
          </cell>
          <cell r="O1954" t="str">
            <v>Consul + SRL</v>
          </cell>
        </row>
        <row r="1955">
          <cell r="D1955">
            <v>515.79</v>
          </cell>
          <cell r="H1955">
            <v>45413</v>
          </cell>
          <cell r="I1955" t="str">
            <v>8505 - Realized Gain/Loss</v>
          </cell>
          <cell r="J1955">
            <v>0</v>
          </cell>
          <cell r="K1955" t="str">
            <v>Licensing</v>
          </cell>
          <cell r="L1955" t="str">
            <v>Realized Gain / Loss</v>
          </cell>
          <cell r="N1955" t="str">
            <v>BTL</v>
          </cell>
          <cell r="O1955" t="str">
            <v>[No Vendor]</v>
          </cell>
        </row>
        <row r="1956">
          <cell r="D1956">
            <v>1074.51</v>
          </cell>
          <cell r="H1956">
            <v>45413</v>
          </cell>
          <cell r="I1956" t="str">
            <v>6375 - Freight Expenses</v>
          </cell>
          <cell r="J1956">
            <v>0</v>
          </cell>
          <cell r="K1956" t="str">
            <v>Production</v>
          </cell>
          <cell r="L1956" t="str">
            <v>Freight</v>
          </cell>
          <cell r="N1956" t="str">
            <v>Direct Costs</v>
          </cell>
          <cell r="O1956" t="str">
            <v>DHL Express - USA</v>
          </cell>
        </row>
        <row r="1957">
          <cell r="D1957">
            <v>1245</v>
          </cell>
          <cell r="H1957">
            <v>45413</v>
          </cell>
          <cell r="I1957" t="str">
            <v>6393 - Software</v>
          </cell>
          <cell r="J1957">
            <v>0</v>
          </cell>
          <cell r="K1957" t="str">
            <v>Design</v>
          </cell>
          <cell r="L1957" t="str">
            <v>Professional Service</v>
          </cell>
          <cell r="N1957" t="str">
            <v>Direct Costs</v>
          </cell>
          <cell r="O1957" t="str">
            <v>[No Vendor]</v>
          </cell>
        </row>
        <row r="1958">
          <cell r="D1958">
            <v>7360</v>
          </cell>
          <cell r="H1958">
            <v>45413</v>
          </cell>
          <cell r="I1958" t="str">
            <v>6240 - Product Photography</v>
          </cell>
          <cell r="J1958" t="str">
            <v>Ecommerce (US)</v>
          </cell>
          <cell r="K1958" t="str">
            <v>Brand Marketing</v>
          </cell>
          <cell r="L1958" t="str">
            <v>Advertising</v>
          </cell>
          <cell r="N1958" t="str">
            <v>SG&amp;A</v>
          </cell>
          <cell r="O1958" t="str">
            <v>LENFLASH dot COM</v>
          </cell>
        </row>
        <row r="1959">
          <cell r="D1959">
            <v>1480</v>
          </cell>
          <cell r="H1959">
            <v>45413</v>
          </cell>
          <cell r="I1959" t="str">
            <v>6240 - Product Photography</v>
          </cell>
          <cell r="J1959" t="str">
            <v>Ecommerce (US)</v>
          </cell>
          <cell r="K1959" t="str">
            <v>Brand Marketing</v>
          </cell>
          <cell r="L1959" t="str">
            <v>Advertising</v>
          </cell>
          <cell r="N1959" t="str">
            <v>SG&amp;A</v>
          </cell>
          <cell r="O1959" t="str">
            <v>LENFLASH dot COM</v>
          </cell>
        </row>
        <row r="1960">
          <cell r="D1960">
            <v>1580</v>
          </cell>
          <cell r="H1960">
            <v>45413</v>
          </cell>
          <cell r="I1960" t="str">
            <v>6240 - Product Photography</v>
          </cell>
          <cell r="J1960" t="str">
            <v>Ecommerce (US)</v>
          </cell>
          <cell r="K1960" t="str">
            <v>Brand Marketing</v>
          </cell>
          <cell r="L1960" t="str">
            <v>Advertising</v>
          </cell>
          <cell r="N1960" t="str">
            <v>SG&amp;A</v>
          </cell>
          <cell r="O1960" t="str">
            <v>LENFLASH dot COM</v>
          </cell>
        </row>
        <row r="1961">
          <cell r="D1961">
            <v>2590</v>
          </cell>
          <cell r="H1961">
            <v>45413</v>
          </cell>
          <cell r="I1961" t="str">
            <v>6240 - Product Photography</v>
          </cell>
          <cell r="J1961" t="str">
            <v>Ecommerce (US)</v>
          </cell>
          <cell r="K1961" t="str">
            <v>Brand Marketing</v>
          </cell>
          <cell r="L1961" t="str">
            <v>Advertising</v>
          </cell>
          <cell r="N1961" t="str">
            <v>SG&amp;A</v>
          </cell>
          <cell r="O1961" t="str">
            <v>LENFLASH dot COM</v>
          </cell>
        </row>
        <row r="1962">
          <cell r="D1962">
            <v>88.92</v>
          </cell>
          <cell r="H1962">
            <v>45413</v>
          </cell>
          <cell r="I1962" t="str">
            <v>6370 - Samples</v>
          </cell>
          <cell r="J1962">
            <v>0</v>
          </cell>
          <cell r="K1962" t="str">
            <v>Design</v>
          </cell>
          <cell r="L1962" t="str">
            <v>Sample</v>
          </cell>
          <cell r="N1962" t="str">
            <v>SG&amp;A</v>
          </cell>
          <cell r="O1962" t="str">
            <v>[No Vendor]</v>
          </cell>
        </row>
        <row r="1963">
          <cell r="D1963">
            <v>39.99</v>
          </cell>
          <cell r="H1963">
            <v>45413</v>
          </cell>
          <cell r="I1963" t="str">
            <v>6370 - Samples</v>
          </cell>
          <cell r="J1963">
            <v>0</v>
          </cell>
          <cell r="K1963" t="str">
            <v>Design</v>
          </cell>
          <cell r="L1963" t="str">
            <v>Sample</v>
          </cell>
          <cell r="N1963" t="str">
            <v>SG&amp;A</v>
          </cell>
          <cell r="O1963" t="str">
            <v>[No Vendor]</v>
          </cell>
        </row>
        <row r="1964">
          <cell r="D1964">
            <v>69</v>
          </cell>
          <cell r="H1964">
            <v>45413</v>
          </cell>
          <cell r="I1964" t="str">
            <v>6370 - Samples</v>
          </cell>
          <cell r="J1964">
            <v>0</v>
          </cell>
          <cell r="K1964" t="str">
            <v>Design</v>
          </cell>
          <cell r="L1964" t="str">
            <v>Sample</v>
          </cell>
          <cell r="N1964" t="str">
            <v>SG&amp;A</v>
          </cell>
          <cell r="O1964" t="str">
            <v>[No Vendor]</v>
          </cell>
        </row>
        <row r="1965">
          <cell r="D1965">
            <v>65.8</v>
          </cell>
          <cell r="H1965">
            <v>45413</v>
          </cell>
          <cell r="I1965" t="str">
            <v>6370 - Samples</v>
          </cell>
          <cell r="J1965">
            <v>0</v>
          </cell>
          <cell r="K1965" t="str">
            <v>Design</v>
          </cell>
          <cell r="L1965" t="str">
            <v>Sample</v>
          </cell>
          <cell r="N1965" t="str">
            <v>SG&amp;A</v>
          </cell>
          <cell r="O1965" t="str">
            <v>[No Vendor]</v>
          </cell>
        </row>
        <row r="1966">
          <cell r="D1966">
            <v>53</v>
          </cell>
          <cell r="H1966">
            <v>45413</v>
          </cell>
          <cell r="I1966" t="str">
            <v>6370 - Samples</v>
          </cell>
          <cell r="J1966">
            <v>0</v>
          </cell>
          <cell r="K1966" t="str">
            <v>Design</v>
          </cell>
          <cell r="L1966" t="str">
            <v>Sample</v>
          </cell>
          <cell r="N1966" t="str">
            <v>SG&amp;A</v>
          </cell>
          <cell r="O1966" t="str">
            <v>[No Vendor]</v>
          </cell>
        </row>
        <row r="1967">
          <cell r="D1967">
            <v>87.5</v>
          </cell>
          <cell r="H1967">
            <v>45413</v>
          </cell>
          <cell r="I1967" t="str">
            <v>6370 - Samples</v>
          </cell>
          <cell r="J1967">
            <v>0</v>
          </cell>
          <cell r="K1967" t="str">
            <v>Design</v>
          </cell>
          <cell r="L1967" t="str">
            <v>Sample</v>
          </cell>
          <cell r="N1967" t="str">
            <v>SG&amp;A</v>
          </cell>
          <cell r="O1967" t="str">
            <v>[No Vendor]</v>
          </cell>
        </row>
        <row r="1968">
          <cell r="D1968">
            <v>44.8</v>
          </cell>
          <cell r="H1968">
            <v>45413</v>
          </cell>
          <cell r="I1968" t="str">
            <v>6370 - Samples</v>
          </cell>
          <cell r="J1968">
            <v>0</v>
          </cell>
          <cell r="K1968" t="str">
            <v>Design</v>
          </cell>
          <cell r="L1968" t="str">
            <v>Sample</v>
          </cell>
          <cell r="N1968" t="str">
            <v>SG&amp;A</v>
          </cell>
          <cell r="O1968" t="str">
            <v>[No Vendor]</v>
          </cell>
        </row>
        <row r="1969">
          <cell r="D1969">
            <v>45.85</v>
          </cell>
          <cell r="H1969">
            <v>45413</v>
          </cell>
          <cell r="I1969" t="str">
            <v>6370 - Samples</v>
          </cell>
          <cell r="J1969">
            <v>0</v>
          </cell>
          <cell r="K1969" t="str">
            <v>Design</v>
          </cell>
          <cell r="L1969" t="str">
            <v>Sample</v>
          </cell>
          <cell r="N1969" t="str">
            <v>SG&amp;A</v>
          </cell>
          <cell r="O1969" t="str">
            <v>[No Vendor]</v>
          </cell>
        </row>
        <row r="1970">
          <cell r="D1970">
            <v>48</v>
          </cell>
          <cell r="H1970">
            <v>45413</v>
          </cell>
          <cell r="I1970" t="str">
            <v>6370 - Samples</v>
          </cell>
          <cell r="J1970">
            <v>0</v>
          </cell>
          <cell r="K1970" t="str">
            <v>Design</v>
          </cell>
          <cell r="L1970" t="str">
            <v>Sample</v>
          </cell>
          <cell r="N1970" t="str">
            <v>SG&amp;A</v>
          </cell>
          <cell r="O1970" t="str">
            <v>[No Vendor]</v>
          </cell>
        </row>
        <row r="1971">
          <cell r="D1971">
            <v>110.3</v>
          </cell>
          <cell r="H1971">
            <v>45413</v>
          </cell>
          <cell r="I1971" t="str">
            <v>6405 - Telephone</v>
          </cell>
          <cell r="J1971">
            <v>0</v>
          </cell>
          <cell r="K1971" t="str">
            <v>Design</v>
          </cell>
          <cell r="L1971" t="str">
            <v>Other</v>
          </cell>
          <cell r="N1971" t="str">
            <v>SG&amp;A</v>
          </cell>
          <cell r="O1971" t="str">
            <v>[No Vendor]</v>
          </cell>
        </row>
        <row r="1972">
          <cell r="D1972">
            <v>877.5</v>
          </cell>
          <cell r="H1972">
            <v>45413</v>
          </cell>
          <cell r="I1972" t="str">
            <v>6300 - Payroll Service Fees</v>
          </cell>
          <cell r="J1972">
            <v>0</v>
          </cell>
          <cell r="K1972" t="str">
            <v>Administration</v>
          </cell>
          <cell r="L1972" t="str">
            <v>Professional Service</v>
          </cell>
          <cell r="N1972" t="str">
            <v>SG&amp;A</v>
          </cell>
          <cell r="O1972" t="str">
            <v>OperationsInc, LLC</v>
          </cell>
        </row>
        <row r="1973">
          <cell r="D1973">
            <v>200</v>
          </cell>
          <cell r="H1973">
            <v>45413</v>
          </cell>
          <cell r="I1973" t="str">
            <v>6375 - Freight Expenses</v>
          </cell>
          <cell r="J1973">
            <v>0</v>
          </cell>
          <cell r="K1973" t="str">
            <v>Administration</v>
          </cell>
          <cell r="L1973" t="str">
            <v>Freight</v>
          </cell>
          <cell r="N1973" t="str">
            <v>Direct Costs</v>
          </cell>
          <cell r="O1973" t="str">
            <v>[No Vendor]</v>
          </cell>
        </row>
        <row r="1974">
          <cell r="D1974">
            <v>86.2</v>
          </cell>
          <cell r="H1974">
            <v>45413</v>
          </cell>
          <cell r="I1974" t="str">
            <v>6375 - Freight Expenses</v>
          </cell>
          <cell r="J1974">
            <v>0</v>
          </cell>
          <cell r="K1974" t="str">
            <v>Production</v>
          </cell>
          <cell r="L1974" t="str">
            <v>Freight</v>
          </cell>
          <cell r="N1974" t="str">
            <v>Direct Costs</v>
          </cell>
          <cell r="O1974" t="str">
            <v>DHL Express - USA</v>
          </cell>
        </row>
        <row r="1975">
          <cell r="D1975">
            <v>25</v>
          </cell>
          <cell r="H1975">
            <v>45413</v>
          </cell>
          <cell r="I1975" t="str">
            <v>6040 - Employer Paid Benefits</v>
          </cell>
          <cell r="J1975">
            <v>0</v>
          </cell>
          <cell r="K1975" t="str">
            <v>Administration</v>
          </cell>
          <cell r="L1975" t="str">
            <v>HQ Salaries</v>
          </cell>
          <cell r="N1975" t="str">
            <v>SG&amp;A</v>
          </cell>
          <cell r="O1975" t="str">
            <v>Lifetime Benefit Solutions, Inc</v>
          </cell>
        </row>
        <row r="1976">
          <cell r="D1976">
            <v>1000</v>
          </cell>
          <cell r="H1976">
            <v>45413</v>
          </cell>
          <cell r="I1976" t="str">
            <v>6380 - Legal &amp; Accounting</v>
          </cell>
          <cell r="J1976">
            <v>0</v>
          </cell>
          <cell r="K1976" t="str">
            <v>Administration</v>
          </cell>
          <cell r="L1976" t="str">
            <v>Professional Service</v>
          </cell>
          <cell r="N1976" t="str">
            <v>SG&amp;A</v>
          </cell>
          <cell r="O1976" t="str">
            <v>Ko &amp; Yun, LLP - Operations</v>
          </cell>
        </row>
        <row r="1977">
          <cell r="D1977">
            <v>500</v>
          </cell>
          <cell r="H1977">
            <v>45413</v>
          </cell>
          <cell r="I1977" t="str">
            <v>6380 - Legal &amp; Accounting</v>
          </cell>
          <cell r="J1977">
            <v>0</v>
          </cell>
          <cell r="K1977" t="str">
            <v>Administration</v>
          </cell>
          <cell r="L1977" t="str">
            <v>Professional Service</v>
          </cell>
          <cell r="N1977" t="str">
            <v>SG&amp;A</v>
          </cell>
          <cell r="O1977" t="str">
            <v>Ko &amp; Yun, LLP - IP Holding</v>
          </cell>
        </row>
        <row r="1978">
          <cell r="D1978">
            <v>847.42</v>
          </cell>
          <cell r="H1978">
            <v>45413</v>
          </cell>
          <cell r="I1978" t="str">
            <v>6430 - Dues &amp; Memberships</v>
          </cell>
          <cell r="J1978" t="str">
            <v>Wholesale</v>
          </cell>
          <cell r="K1978" t="str">
            <v>Wholesale</v>
          </cell>
          <cell r="L1978" t="str">
            <v>Professional Service</v>
          </cell>
          <cell r="N1978" t="str">
            <v>Direct Costs</v>
          </cell>
          <cell r="O1978" t="str">
            <v>SPS Commerce</v>
          </cell>
        </row>
        <row r="1979">
          <cell r="D1979">
            <v>166.71</v>
          </cell>
          <cell r="H1979">
            <v>45413</v>
          </cell>
          <cell r="I1979" t="str">
            <v>6105 - Meals</v>
          </cell>
          <cell r="J1979">
            <v>0</v>
          </cell>
          <cell r="K1979" t="str">
            <v>Production</v>
          </cell>
          <cell r="L1979" t="str">
            <v>T&amp;E</v>
          </cell>
          <cell r="N1979" t="str">
            <v>SG&amp;A</v>
          </cell>
          <cell r="O1979" t="str">
            <v>Frank Dell'Aquila</v>
          </cell>
        </row>
        <row r="1980">
          <cell r="D1980">
            <v>229.26</v>
          </cell>
          <cell r="H1980">
            <v>45413</v>
          </cell>
          <cell r="I1980" t="str">
            <v>8505 - Realized Gain/Loss</v>
          </cell>
          <cell r="J1980">
            <v>0</v>
          </cell>
          <cell r="K1980" t="str">
            <v>No Department</v>
          </cell>
          <cell r="L1980" t="str">
            <v>Realized Gain / Loss</v>
          </cell>
          <cell r="N1980" t="str">
            <v>BTL</v>
          </cell>
          <cell r="O1980" t="str">
            <v>[No Vendor]</v>
          </cell>
        </row>
        <row r="1981">
          <cell r="D1981">
            <v>110.04</v>
          </cell>
          <cell r="H1981">
            <v>45413</v>
          </cell>
          <cell r="I1981" t="str">
            <v>8505 - Realized Gain/Loss</v>
          </cell>
          <cell r="J1981">
            <v>0</v>
          </cell>
          <cell r="K1981" t="str">
            <v>No Department</v>
          </cell>
          <cell r="L1981" t="str">
            <v>Realized Gain / Loss</v>
          </cell>
          <cell r="N1981" t="str">
            <v>BTL</v>
          </cell>
          <cell r="O1981" t="str">
            <v>[No Vendor]</v>
          </cell>
        </row>
        <row r="1982">
          <cell r="D1982">
            <v>318.45</v>
          </cell>
          <cell r="H1982">
            <v>45413</v>
          </cell>
          <cell r="I1982" t="str">
            <v>6300 - Payroll Service Fees</v>
          </cell>
          <cell r="J1982">
            <v>0</v>
          </cell>
          <cell r="K1982" t="str">
            <v>Administration</v>
          </cell>
          <cell r="L1982" t="str">
            <v>Professional Service</v>
          </cell>
          <cell r="N1982" t="str">
            <v>SG&amp;A</v>
          </cell>
          <cell r="O1982" t="str">
            <v>ADP Payroll Services</v>
          </cell>
        </row>
        <row r="1983">
          <cell r="D1983">
            <v>34284.35</v>
          </cell>
          <cell r="H1983">
            <v>45413</v>
          </cell>
          <cell r="I1983" t="str">
            <v>6375 - Freight Expenses</v>
          </cell>
          <cell r="J1983" t="str">
            <v>Ecommerce (US)</v>
          </cell>
          <cell r="K1983" t="str">
            <v>Ecommerce</v>
          </cell>
          <cell r="L1983" t="str">
            <v>Freight</v>
          </cell>
          <cell r="N1983" t="str">
            <v>Direct Costs</v>
          </cell>
          <cell r="O1983" t="str">
            <v>UPS Supply Chain Solutions Inc. (7F24A0)</v>
          </cell>
        </row>
        <row r="1984">
          <cell r="D1984">
            <v>96.59</v>
          </cell>
          <cell r="H1984">
            <v>45413</v>
          </cell>
          <cell r="I1984" t="str">
            <v>6375 - Freight Expenses</v>
          </cell>
          <cell r="J1984" t="str">
            <v>Ecommerce (US)</v>
          </cell>
          <cell r="K1984" t="str">
            <v>Ecommerce</v>
          </cell>
          <cell r="L1984" t="str">
            <v>Freight</v>
          </cell>
          <cell r="N1984" t="str">
            <v>Direct Costs</v>
          </cell>
          <cell r="O1984" t="str">
            <v>Federal Express</v>
          </cell>
        </row>
        <row r="1985">
          <cell r="D1985">
            <v>9539.75</v>
          </cell>
          <cell r="H1985">
            <v>45413</v>
          </cell>
          <cell r="I1985" t="str">
            <v>6380 - Legal &amp; Accounting</v>
          </cell>
          <cell r="J1985">
            <v>0</v>
          </cell>
          <cell r="K1985" t="str">
            <v>Administration</v>
          </cell>
          <cell r="L1985" t="str">
            <v>Professional Service</v>
          </cell>
          <cell r="N1985" t="str">
            <v>SG&amp;A</v>
          </cell>
          <cell r="O1985" t="str">
            <v>The Wave IP Law Firm</v>
          </cell>
        </row>
        <row r="1986">
          <cell r="D1986">
            <v>264.47000000000003</v>
          </cell>
          <cell r="H1986">
            <v>45413</v>
          </cell>
          <cell r="I1986" t="str">
            <v>6400 - Utilities</v>
          </cell>
          <cell r="J1986">
            <v>0</v>
          </cell>
          <cell r="K1986" t="str">
            <v>Administration</v>
          </cell>
          <cell r="L1986" t="str">
            <v>Other</v>
          </cell>
          <cell r="N1986" t="str">
            <v>SG&amp;A</v>
          </cell>
          <cell r="O1986" t="str">
            <v>Verizon</v>
          </cell>
        </row>
        <row r="1987">
          <cell r="D1987">
            <v>5753.7</v>
          </cell>
          <cell r="H1987">
            <v>45413</v>
          </cell>
          <cell r="I1987" t="str">
            <v>6375 - Freight Expenses</v>
          </cell>
          <cell r="J1987" t="str">
            <v>Ecommerce (EU)</v>
          </cell>
          <cell r="K1987" t="str">
            <v>Ecommerce</v>
          </cell>
          <cell r="L1987" t="str">
            <v>Freight</v>
          </cell>
          <cell r="N1987" t="str">
            <v>Direct Costs</v>
          </cell>
          <cell r="O1987" t="str">
            <v>Global E</v>
          </cell>
        </row>
        <row r="1988">
          <cell r="D1988">
            <v>4495.9799999999996</v>
          </cell>
          <cell r="H1988">
            <v>45413</v>
          </cell>
          <cell r="I1988" t="str">
            <v>6450 - Bank &amp; Other Fees</v>
          </cell>
          <cell r="J1988" t="str">
            <v>Ecommerce (EU)</v>
          </cell>
          <cell r="K1988" t="str">
            <v>Ecommerce</v>
          </cell>
          <cell r="L1988" t="str">
            <v>Professional Service</v>
          </cell>
          <cell r="N1988" t="str">
            <v>Direct Costs</v>
          </cell>
          <cell r="O1988" t="str">
            <v>[No Vendor]</v>
          </cell>
        </row>
        <row r="1989">
          <cell r="D1989">
            <v>144.25</v>
          </cell>
          <cell r="H1989">
            <v>45413</v>
          </cell>
          <cell r="I1989" t="str">
            <v>6040 - Employer Paid Benefits</v>
          </cell>
          <cell r="J1989">
            <v>0</v>
          </cell>
          <cell r="K1989" t="str">
            <v>Administration</v>
          </cell>
          <cell r="L1989" t="str">
            <v>HQ Salaries</v>
          </cell>
          <cell r="N1989" t="str">
            <v>SG&amp;A</v>
          </cell>
          <cell r="O1989" t="str">
            <v>Procyon Benefits LLC</v>
          </cell>
        </row>
        <row r="1990">
          <cell r="D1990">
            <v>202.64</v>
          </cell>
          <cell r="H1990">
            <v>45413</v>
          </cell>
          <cell r="I1990" t="str">
            <v>6040 - Employer Paid Benefits</v>
          </cell>
          <cell r="J1990">
            <v>0</v>
          </cell>
          <cell r="K1990" t="str">
            <v>Production</v>
          </cell>
          <cell r="L1990" t="str">
            <v>HQ Salaries</v>
          </cell>
          <cell r="N1990" t="str">
            <v>SG&amp;A</v>
          </cell>
          <cell r="O1990" t="str">
            <v>Procyon Benefits LLC</v>
          </cell>
        </row>
        <row r="1991">
          <cell r="D1991">
            <v>31.9</v>
          </cell>
          <cell r="H1991">
            <v>45413</v>
          </cell>
          <cell r="I1991" t="str">
            <v>6040 - Employer Paid Benefits</v>
          </cell>
          <cell r="J1991">
            <v>0</v>
          </cell>
          <cell r="K1991" t="str">
            <v>Merchandising</v>
          </cell>
          <cell r="L1991" t="str">
            <v>HQ Salaries</v>
          </cell>
          <cell r="N1991" t="str">
            <v>SG&amp;A</v>
          </cell>
          <cell r="O1991" t="str">
            <v>Procyon Benefits LLC</v>
          </cell>
        </row>
        <row r="1992">
          <cell r="D1992">
            <v>77.75</v>
          </cell>
          <cell r="H1992">
            <v>45413</v>
          </cell>
          <cell r="I1992" t="str">
            <v>6040 - Employer Paid Benefits</v>
          </cell>
          <cell r="J1992" t="str">
            <v>Ecommerce (US)</v>
          </cell>
          <cell r="K1992" t="str">
            <v>Ecommerce</v>
          </cell>
          <cell r="L1992" t="str">
            <v>HQ Salaries</v>
          </cell>
          <cell r="N1992" t="str">
            <v>SG&amp;A</v>
          </cell>
          <cell r="O1992" t="str">
            <v>Procyon Benefits LLC</v>
          </cell>
        </row>
        <row r="1993">
          <cell r="D1993">
            <v>3.2</v>
          </cell>
          <cell r="H1993">
            <v>45413</v>
          </cell>
          <cell r="I1993" t="str">
            <v>6040 - Employer Paid Benefits</v>
          </cell>
          <cell r="J1993">
            <v>0</v>
          </cell>
          <cell r="K1993" t="str">
            <v>Executive</v>
          </cell>
          <cell r="L1993" t="str">
            <v>HQ Salaries</v>
          </cell>
          <cell r="N1993" t="str">
            <v>SG&amp;A</v>
          </cell>
          <cell r="O1993" t="str">
            <v>Procyon Benefits LLC</v>
          </cell>
        </row>
        <row r="1994">
          <cell r="D1994">
            <v>1134.78</v>
          </cell>
          <cell r="H1994">
            <v>45413</v>
          </cell>
          <cell r="I1994" t="str">
            <v>6375 - Freight Expenses</v>
          </cell>
          <cell r="J1994">
            <v>0</v>
          </cell>
          <cell r="K1994" t="str">
            <v>Production</v>
          </cell>
          <cell r="L1994" t="str">
            <v>Freight</v>
          </cell>
          <cell r="N1994" t="str">
            <v>Direct Costs</v>
          </cell>
          <cell r="O1994" t="str">
            <v>DHL Express - USA</v>
          </cell>
        </row>
        <row r="1995">
          <cell r="D1995">
            <v>860</v>
          </cell>
          <cell r="H1995">
            <v>45413</v>
          </cell>
          <cell r="I1995" t="str">
            <v>6300 - Payroll Service Fees</v>
          </cell>
          <cell r="J1995">
            <v>0</v>
          </cell>
          <cell r="K1995" t="str">
            <v>Administration</v>
          </cell>
          <cell r="L1995" t="str">
            <v>Professional Service</v>
          </cell>
          <cell r="N1995" t="str">
            <v>SG&amp;A</v>
          </cell>
          <cell r="O1995" t="str">
            <v>OperationsInc, LLC</v>
          </cell>
        </row>
        <row r="1996">
          <cell r="D1996">
            <v>5305.6</v>
          </cell>
          <cell r="H1996">
            <v>45413</v>
          </cell>
          <cell r="I1996" t="str">
            <v>6115 - Airfare</v>
          </cell>
          <cell r="J1996">
            <v>0</v>
          </cell>
          <cell r="K1996" t="str">
            <v>Administration</v>
          </cell>
          <cell r="L1996" t="str">
            <v>T&amp;E</v>
          </cell>
          <cell r="N1996" t="str">
            <v>SG&amp;A</v>
          </cell>
          <cell r="O1996" t="str">
            <v>[No Vendor]</v>
          </cell>
        </row>
        <row r="1997">
          <cell r="D1997">
            <v>169.15</v>
          </cell>
          <cell r="H1997">
            <v>45413</v>
          </cell>
          <cell r="I1997" t="str">
            <v>6385 - Insurance</v>
          </cell>
          <cell r="J1997">
            <v>0</v>
          </cell>
          <cell r="K1997" t="str">
            <v>Administration</v>
          </cell>
          <cell r="L1997" t="str">
            <v>Professional Service</v>
          </cell>
          <cell r="N1997" t="str">
            <v>SG&amp;A</v>
          </cell>
          <cell r="O1997" t="str">
            <v>[No Vendor]</v>
          </cell>
        </row>
        <row r="1998">
          <cell r="D1998">
            <v>178546.14</v>
          </cell>
          <cell r="H1998">
            <v>45413</v>
          </cell>
          <cell r="I1998" t="str">
            <v>6286 - SEM</v>
          </cell>
          <cell r="J1998" t="str">
            <v>Ecommerce (US)</v>
          </cell>
          <cell r="K1998" t="str">
            <v>Ecommerce</v>
          </cell>
          <cell r="L1998" t="str">
            <v>Marketing</v>
          </cell>
          <cell r="N1998" t="str">
            <v>Direct Costs</v>
          </cell>
          <cell r="O1998" t="str">
            <v>[No Vendor]</v>
          </cell>
        </row>
        <row r="1999">
          <cell r="D1999">
            <v>121</v>
          </cell>
          <cell r="H1999">
            <v>45413</v>
          </cell>
          <cell r="I1999" t="str">
            <v>6040 - Employer Paid Benefits</v>
          </cell>
          <cell r="J1999">
            <v>0</v>
          </cell>
          <cell r="K1999" t="str">
            <v>Administration</v>
          </cell>
          <cell r="L1999" t="str">
            <v>HQ Salaries</v>
          </cell>
          <cell r="N1999" t="str">
            <v>SG&amp;A</v>
          </cell>
          <cell r="O1999" t="str">
            <v>Progressive Benefit Solutions LLC</v>
          </cell>
        </row>
        <row r="2000">
          <cell r="D2000">
            <v>37500.53</v>
          </cell>
          <cell r="H2000">
            <v>45413</v>
          </cell>
          <cell r="I2000" t="str">
            <v>6377 - Order Processing Expenses (New)</v>
          </cell>
          <cell r="J2000" t="str">
            <v>Ecommerce (US)</v>
          </cell>
          <cell r="K2000" t="str">
            <v>Ecommerce</v>
          </cell>
          <cell r="L2000" t="str">
            <v>Order Processing</v>
          </cell>
          <cell r="N2000" t="str">
            <v>Direct Costs</v>
          </cell>
          <cell r="O2000" t="str">
            <v>Bergen Logistics Corporation</v>
          </cell>
        </row>
        <row r="2001">
          <cell r="D2001">
            <v>9151.85</v>
          </cell>
          <cell r="H2001">
            <v>45413</v>
          </cell>
          <cell r="I2001" t="str">
            <v>6377 - Order Processing Expenses (New)</v>
          </cell>
          <cell r="J2001" t="str">
            <v>Wholesale</v>
          </cell>
          <cell r="K2001" t="str">
            <v>Wholesale</v>
          </cell>
          <cell r="L2001" t="str">
            <v>Order Processing</v>
          </cell>
          <cell r="N2001" t="str">
            <v>Direct Costs</v>
          </cell>
          <cell r="O2001" t="str">
            <v>Bergen Logistics Corporation</v>
          </cell>
        </row>
        <row r="2002">
          <cell r="D2002">
            <v>16.32</v>
          </cell>
          <cell r="H2002">
            <v>45413</v>
          </cell>
          <cell r="I2002" t="str">
            <v>6393 - Software</v>
          </cell>
          <cell r="J2002" t="str">
            <v>Ecommerce (US)</v>
          </cell>
          <cell r="K2002" t="str">
            <v>Ecommerce</v>
          </cell>
          <cell r="L2002" t="str">
            <v>Professional Service</v>
          </cell>
          <cell r="N2002" t="str">
            <v>Direct Costs</v>
          </cell>
          <cell r="O2002" t="str">
            <v>[No Vendor]</v>
          </cell>
        </row>
        <row r="2003">
          <cell r="D2003">
            <v>1661.21</v>
          </cell>
          <cell r="H2003">
            <v>45413</v>
          </cell>
          <cell r="I2003" t="str">
            <v>6393 - Software</v>
          </cell>
          <cell r="J2003" t="str">
            <v>Ecommerce (US)</v>
          </cell>
          <cell r="K2003" t="str">
            <v>Ecommerce</v>
          </cell>
          <cell r="L2003" t="str">
            <v>Professional Service</v>
          </cell>
          <cell r="N2003" t="str">
            <v>Direct Costs</v>
          </cell>
          <cell r="O2003" t="str">
            <v>Robert  McKinney</v>
          </cell>
        </row>
        <row r="2004">
          <cell r="D2004">
            <v>6954.73</v>
          </cell>
          <cell r="H2004">
            <v>45413</v>
          </cell>
          <cell r="I2004" t="str">
            <v>6393 - Software</v>
          </cell>
          <cell r="J2004" t="str">
            <v>Ecommerce (US)</v>
          </cell>
          <cell r="K2004" t="str">
            <v>Ecommerce</v>
          </cell>
          <cell r="L2004" t="str">
            <v>Professional Service</v>
          </cell>
          <cell r="N2004" t="str">
            <v>Direct Costs</v>
          </cell>
          <cell r="O2004">
            <v>0</v>
          </cell>
        </row>
        <row r="2005">
          <cell r="D2005">
            <v>11207.89</v>
          </cell>
          <cell r="H2005">
            <v>45413</v>
          </cell>
          <cell r="I2005" t="str">
            <v>6393 - Software</v>
          </cell>
          <cell r="J2005" t="str">
            <v>Ecommerce (US)</v>
          </cell>
          <cell r="K2005" t="str">
            <v>Ecommerce</v>
          </cell>
          <cell r="L2005" t="str">
            <v>Professional Service</v>
          </cell>
          <cell r="N2005" t="str">
            <v>Direct Costs</v>
          </cell>
          <cell r="O2005" t="str">
            <v>Signifyd</v>
          </cell>
        </row>
        <row r="2006">
          <cell r="D2006">
            <v>16.32</v>
          </cell>
          <cell r="H2006">
            <v>45413</v>
          </cell>
          <cell r="I2006" t="str">
            <v>6393 - Software</v>
          </cell>
          <cell r="J2006" t="str">
            <v>Ecommerce (US)</v>
          </cell>
          <cell r="K2006" t="str">
            <v>Ecommerce</v>
          </cell>
          <cell r="L2006" t="str">
            <v>Professional Service</v>
          </cell>
          <cell r="N2006" t="str">
            <v>Direct Costs</v>
          </cell>
          <cell r="O2006" t="str">
            <v>[No Vendor]</v>
          </cell>
        </row>
        <row r="2007">
          <cell r="D2007">
            <v>598</v>
          </cell>
          <cell r="H2007">
            <v>45413</v>
          </cell>
          <cell r="I2007" t="str">
            <v>6393 - Software</v>
          </cell>
          <cell r="J2007" t="str">
            <v>Ecommerce (US)</v>
          </cell>
          <cell r="K2007" t="str">
            <v>Ecommerce</v>
          </cell>
          <cell r="L2007" t="str">
            <v>Professional Service</v>
          </cell>
          <cell r="N2007" t="str">
            <v>Direct Costs</v>
          </cell>
          <cell r="O2007">
            <v>0</v>
          </cell>
        </row>
        <row r="2008">
          <cell r="D2008">
            <v>1116.6600000000001</v>
          </cell>
          <cell r="H2008">
            <v>45413</v>
          </cell>
          <cell r="I2008" t="str">
            <v>6393 - Software</v>
          </cell>
          <cell r="J2008" t="str">
            <v>Ecommerce (US)</v>
          </cell>
          <cell r="K2008" t="str">
            <v>Ecommerce</v>
          </cell>
          <cell r="L2008" t="str">
            <v>Professional Service</v>
          </cell>
          <cell r="N2008" t="str">
            <v>Direct Costs</v>
          </cell>
          <cell r="O2008">
            <v>0</v>
          </cell>
        </row>
        <row r="2009">
          <cell r="D2009">
            <v>129</v>
          </cell>
          <cell r="H2009">
            <v>45413</v>
          </cell>
          <cell r="I2009" t="str">
            <v>6393 - Software</v>
          </cell>
          <cell r="J2009" t="str">
            <v>Ecommerce (US)</v>
          </cell>
          <cell r="K2009" t="str">
            <v>Ecommerce</v>
          </cell>
          <cell r="L2009" t="str">
            <v>Professional Service</v>
          </cell>
          <cell r="N2009" t="str">
            <v>Direct Costs</v>
          </cell>
          <cell r="O2009" t="str">
            <v>Integration Manager</v>
          </cell>
        </row>
        <row r="2010">
          <cell r="D2010">
            <v>783.9</v>
          </cell>
          <cell r="H2010">
            <v>45413</v>
          </cell>
          <cell r="I2010" t="str">
            <v>6393 - Software</v>
          </cell>
          <cell r="J2010">
            <v>0</v>
          </cell>
          <cell r="K2010" t="str">
            <v>Brand Marketing</v>
          </cell>
          <cell r="L2010" t="str">
            <v>Professional Service</v>
          </cell>
          <cell r="N2010" t="str">
            <v>Direct Costs</v>
          </cell>
          <cell r="O2010">
            <v>0</v>
          </cell>
        </row>
        <row r="2011">
          <cell r="D2011">
            <v>2504.13</v>
          </cell>
          <cell r="H2011">
            <v>45413</v>
          </cell>
          <cell r="I2011" t="str">
            <v>6393 - Software</v>
          </cell>
          <cell r="J2011">
            <v>0</v>
          </cell>
          <cell r="K2011" t="str">
            <v>Brand Marketing</v>
          </cell>
          <cell r="L2011" t="str">
            <v>Professional Service</v>
          </cell>
          <cell r="N2011" t="str">
            <v>Direct Costs</v>
          </cell>
          <cell r="O2011">
            <v>0</v>
          </cell>
        </row>
        <row r="2012">
          <cell r="D2012">
            <v>21.78</v>
          </cell>
          <cell r="H2012">
            <v>45413</v>
          </cell>
          <cell r="I2012" t="str">
            <v>6393 - Software</v>
          </cell>
          <cell r="J2012" t="str">
            <v>Ecommerce (US)</v>
          </cell>
          <cell r="K2012" t="str">
            <v>Ecommerce</v>
          </cell>
          <cell r="L2012" t="str">
            <v>Professional Service</v>
          </cell>
          <cell r="N2012" t="str">
            <v>Direct Costs</v>
          </cell>
          <cell r="O2012" t="str">
            <v>Chat GPT</v>
          </cell>
        </row>
        <row r="2013">
          <cell r="D2013">
            <v>6231.27</v>
          </cell>
          <cell r="H2013">
            <v>45413</v>
          </cell>
          <cell r="I2013" t="str">
            <v>6393 - Software</v>
          </cell>
          <cell r="J2013" t="str">
            <v>Ecommerce (US)</v>
          </cell>
          <cell r="K2013" t="str">
            <v>Ecommerce</v>
          </cell>
          <cell r="L2013" t="str">
            <v>Professional Service</v>
          </cell>
          <cell r="N2013" t="str">
            <v>Direct Costs</v>
          </cell>
          <cell r="O2013" t="str">
            <v>[No Vendor]</v>
          </cell>
        </row>
        <row r="2014">
          <cell r="D2014">
            <v>8.92</v>
          </cell>
          <cell r="H2014">
            <v>45413</v>
          </cell>
          <cell r="I2014" t="str">
            <v>6393 - Software</v>
          </cell>
          <cell r="J2014" t="str">
            <v>Ecommerce (US)</v>
          </cell>
          <cell r="K2014" t="str">
            <v>Ecommerce</v>
          </cell>
          <cell r="L2014" t="str">
            <v>Professional Service</v>
          </cell>
          <cell r="N2014" t="str">
            <v>Direct Costs</v>
          </cell>
          <cell r="O2014">
            <v>0</v>
          </cell>
        </row>
        <row r="2015">
          <cell r="D2015">
            <v>57.33</v>
          </cell>
          <cell r="H2015">
            <v>45413</v>
          </cell>
          <cell r="I2015" t="str">
            <v>6393 - Software</v>
          </cell>
          <cell r="J2015">
            <v>0</v>
          </cell>
          <cell r="K2015" t="str">
            <v>Administration</v>
          </cell>
          <cell r="L2015" t="str">
            <v>Professional Service</v>
          </cell>
          <cell r="N2015" t="str">
            <v>Direct Costs</v>
          </cell>
          <cell r="O2015" t="str">
            <v>QBO</v>
          </cell>
        </row>
        <row r="2016">
          <cell r="D2016">
            <v>42.2</v>
          </cell>
          <cell r="H2016">
            <v>45413</v>
          </cell>
          <cell r="I2016" t="str">
            <v>6393 - Software</v>
          </cell>
          <cell r="J2016" t="str">
            <v>Wholesale</v>
          </cell>
          <cell r="K2016" t="str">
            <v>Wholesale</v>
          </cell>
          <cell r="L2016" t="str">
            <v>Professional Service</v>
          </cell>
          <cell r="N2016" t="str">
            <v>Direct Costs</v>
          </cell>
          <cell r="O2016" t="str">
            <v>Paula Pinto</v>
          </cell>
        </row>
        <row r="2017">
          <cell r="D2017">
            <v>228.64</v>
          </cell>
          <cell r="H2017">
            <v>45413</v>
          </cell>
          <cell r="I2017" t="str">
            <v>6393 - Software</v>
          </cell>
          <cell r="J2017" t="str">
            <v>Ecommerce (US)</v>
          </cell>
          <cell r="K2017" t="str">
            <v>Ecommerce</v>
          </cell>
          <cell r="L2017" t="str">
            <v>Professional Service</v>
          </cell>
          <cell r="N2017" t="str">
            <v>Direct Costs</v>
          </cell>
          <cell r="O2017" t="str">
            <v>Paula Pinto</v>
          </cell>
        </row>
        <row r="2018">
          <cell r="D2018">
            <v>29787.81</v>
          </cell>
          <cell r="H2018">
            <v>45413</v>
          </cell>
          <cell r="I2018" t="str">
            <v>6286 - SEM</v>
          </cell>
          <cell r="J2018" t="str">
            <v>Ecommerce (US)</v>
          </cell>
          <cell r="K2018" t="str">
            <v>Ecommerce</v>
          </cell>
          <cell r="L2018" t="str">
            <v>Marketing</v>
          </cell>
          <cell r="N2018" t="str">
            <v>Direct Costs</v>
          </cell>
          <cell r="O2018" t="str">
            <v>Meta Platforms, Inc</v>
          </cell>
        </row>
        <row r="2019">
          <cell r="D2019">
            <v>3802.09</v>
          </cell>
          <cell r="H2019">
            <v>45413</v>
          </cell>
          <cell r="I2019" t="str">
            <v>6286 - SEM</v>
          </cell>
          <cell r="J2019" t="str">
            <v>Ecommerce (US)</v>
          </cell>
          <cell r="K2019" t="str">
            <v>Ecommerce</v>
          </cell>
          <cell r="L2019" t="str">
            <v>Marketing</v>
          </cell>
          <cell r="N2019" t="str">
            <v>Direct Costs</v>
          </cell>
          <cell r="O2019" t="str">
            <v>Meta Platforms, Inc</v>
          </cell>
        </row>
        <row r="2020">
          <cell r="D2020">
            <v>45720.53</v>
          </cell>
          <cell r="H2020">
            <v>45413</v>
          </cell>
          <cell r="I2020" t="str">
            <v>6286 - SEM</v>
          </cell>
          <cell r="J2020" t="str">
            <v>Ecommerce (US)</v>
          </cell>
          <cell r="K2020" t="str">
            <v>Brand Marketing</v>
          </cell>
          <cell r="L2020" t="str">
            <v>Professional Service</v>
          </cell>
          <cell r="N2020" t="str">
            <v>Direct Costs</v>
          </cell>
          <cell r="O2020" t="str">
            <v>Attentive Mobile Inc.</v>
          </cell>
        </row>
        <row r="2021">
          <cell r="D2021">
            <v>114330.83</v>
          </cell>
          <cell r="H2021">
            <v>45413</v>
          </cell>
          <cell r="I2021" t="str">
            <v>6286 - SEM</v>
          </cell>
          <cell r="J2021" t="str">
            <v>Ecommerce (US)</v>
          </cell>
          <cell r="K2021" t="str">
            <v>Ecommerce</v>
          </cell>
          <cell r="L2021" t="str">
            <v>Marketing</v>
          </cell>
          <cell r="N2021" t="str">
            <v>Direct Costs</v>
          </cell>
          <cell r="O2021" t="str">
            <v>[No Vendor]</v>
          </cell>
        </row>
        <row r="2022">
          <cell r="D2022">
            <v>98</v>
          </cell>
          <cell r="H2022">
            <v>45413</v>
          </cell>
          <cell r="I2022" t="str">
            <v>6370 - Samples</v>
          </cell>
          <cell r="J2022">
            <v>0</v>
          </cell>
          <cell r="K2022" t="str">
            <v>Design</v>
          </cell>
          <cell r="L2022" t="str">
            <v>Sample</v>
          </cell>
          <cell r="N2022" t="str">
            <v>SG&amp;A</v>
          </cell>
          <cell r="O2022" t="str">
            <v>[No Vendor]</v>
          </cell>
        </row>
        <row r="2023">
          <cell r="D2023">
            <v>197.36</v>
          </cell>
          <cell r="H2023">
            <v>45413</v>
          </cell>
          <cell r="I2023" t="str">
            <v>6120 - Lodging</v>
          </cell>
          <cell r="J2023" t="str">
            <v>Ecommerce (US)</v>
          </cell>
          <cell r="K2023" t="str">
            <v>Ecommerce</v>
          </cell>
          <cell r="L2023" t="str">
            <v>T&amp;E</v>
          </cell>
          <cell r="N2023" t="str">
            <v>SG&amp;A</v>
          </cell>
          <cell r="O2023" t="str">
            <v>[No Vendor]</v>
          </cell>
        </row>
        <row r="2024">
          <cell r="D2024">
            <v>1566.14</v>
          </cell>
          <cell r="H2024">
            <v>45413</v>
          </cell>
          <cell r="I2024" t="str">
            <v>6120 - Lodging</v>
          </cell>
          <cell r="J2024" t="str">
            <v>Ecommerce (US)</v>
          </cell>
          <cell r="K2024" t="str">
            <v>Ecommerce</v>
          </cell>
          <cell r="L2024" t="str">
            <v>T&amp;E</v>
          </cell>
          <cell r="N2024" t="str">
            <v>SG&amp;A</v>
          </cell>
          <cell r="O2024" t="str">
            <v>[No Vendor]</v>
          </cell>
        </row>
        <row r="2025">
          <cell r="D2025">
            <v>0.23</v>
          </cell>
          <cell r="H2025">
            <v>45413</v>
          </cell>
          <cell r="I2025" t="str">
            <v>6450 - Bank &amp; Other Fees</v>
          </cell>
          <cell r="J2025" t="str">
            <v>Ecommerce (US)</v>
          </cell>
          <cell r="K2025" t="str">
            <v>Ecommerce</v>
          </cell>
          <cell r="L2025" t="str">
            <v>Professional Service</v>
          </cell>
          <cell r="N2025" t="str">
            <v>Direct Costs</v>
          </cell>
          <cell r="O2025" t="str">
            <v>[No Vendor]</v>
          </cell>
        </row>
        <row r="2026">
          <cell r="D2026">
            <v>0.14000000000000001</v>
          </cell>
          <cell r="H2026">
            <v>45413</v>
          </cell>
          <cell r="I2026" t="str">
            <v>6450 - Bank &amp; Other Fees</v>
          </cell>
          <cell r="J2026" t="str">
            <v>Ecommerce (US)</v>
          </cell>
          <cell r="K2026" t="str">
            <v>Ecommerce</v>
          </cell>
          <cell r="L2026" t="str">
            <v>Professional Service</v>
          </cell>
          <cell r="N2026" t="str">
            <v>Direct Costs</v>
          </cell>
          <cell r="O2026" t="str">
            <v>[No Vendor]</v>
          </cell>
        </row>
        <row r="2027">
          <cell r="D2027">
            <v>0.86</v>
          </cell>
          <cell r="H2027">
            <v>45413</v>
          </cell>
          <cell r="I2027" t="str">
            <v>6450 - Bank &amp; Other Fees</v>
          </cell>
          <cell r="J2027">
            <v>0</v>
          </cell>
          <cell r="K2027" t="str">
            <v>Administration</v>
          </cell>
          <cell r="L2027" t="str">
            <v>Professional Service</v>
          </cell>
          <cell r="N2027" t="str">
            <v>SG&amp;A</v>
          </cell>
          <cell r="O2027" t="str">
            <v>[No Vendor]</v>
          </cell>
        </row>
        <row r="2028">
          <cell r="D2028">
            <v>1</v>
          </cell>
          <cell r="H2028">
            <v>45413</v>
          </cell>
          <cell r="I2028" t="str">
            <v>6430 - Dues &amp; Memberships</v>
          </cell>
          <cell r="J2028" t="str">
            <v>Wholesale</v>
          </cell>
          <cell r="K2028" t="str">
            <v>Wholesale</v>
          </cell>
          <cell r="L2028" t="str">
            <v>Professional Service</v>
          </cell>
          <cell r="N2028" t="str">
            <v>Direct Costs</v>
          </cell>
          <cell r="O2028" t="str">
            <v>[No Vendor]</v>
          </cell>
        </row>
        <row r="2029">
          <cell r="D2029">
            <v>88</v>
          </cell>
          <cell r="H2029">
            <v>45413</v>
          </cell>
          <cell r="I2029" t="str">
            <v>6430 - Dues &amp; Memberships</v>
          </cell>
          <cell r="J2029" t="str">
            <v>Wholesale</v>
          </cell>
          <cell r="K2029" t="str">
            <v>Wholesale</v>
          </cell>
          <cell r="L2029" t="str">
            <v>Professional Service</v>
          </cell>
          <cell r="N2029" t="str">
            <v>Direct Costs</v>
          </cell>
          <cell r="O2029" t="str">
            <v>SPS Commerce</v>
          </cell>
        </row>
        <row r="2030">
          <cell r="D2030">
            <v>538.54999999999995</v>
          </cell>
          <cell r="H2030">
            <v>45413</v>
          </cell>
          <cell r="I2030" t="str">
            <v>6300 - Payroll Service Fees</v>
          </cell>
          <cell r="J2030">
            <v>0</v>
          </cell>
          <cell r="K2030" t="str">
            <v>Administration</v>
          </cell>
          <cell r="L2030" t="str">
            <v>Professional Service</v>
          </cell>
          <cell r="N2030" t="str">
            <v>SG&amp;A</v>
          </cell>
          <cell r="O2030" t="str">
            <v>ADP Payroll Services</v>
          </cell>
        </row>
        <row r="2031">
          <cell r="D2031">
            <v>150</v>
          </cell>
          <cell r="H2031">
            <v>45413</v>
          </cell>
          <cell r="I2031" t="str">
            <v>6225 - Professional Services</v>
          </cell>
          <cell r="J2031">
            <v>0</v>
          </cell>
          <cell r="K2031" t="str">
            <v>Administration</v>
          </cell>
          <cell r="L2031" t="str">
            <v>Professional Service</v>
          </cell>
          <cell r="N2031" t="str">
            <v>Direct Costs</v>
          </cell>
          <cell r="O2031" t="str">
            <v>Benefit Resource, LLC</v>
          </cell>
        </row>
        <row r="2032">
          <cell r="D2032">
            <v>408.66</v>
          </cell>
          <cell r="H2032">
            <v>45413</v>
          </cell>
          <cell r="I2032" t="str">
            <v>6375 - Freight Expenses</v>
          </cell>
          <cell r="J2032" t="str">
            <v>Wholesale</v>
          </cell>
          <cell r="K2032" t="str">
            <v>Wholesale</v>
          </cell>
          <cell r="L2032" t="str">
            <v>Freight</v>
          </cell>
          <cell r="N2032" t="str">
            <v>Direct Costs</v>
          </cell>
          <cell r="O2032" t="str">
            <v>Kalina Pregnolato</v>
          </cell>
        </row>
        <row r="2033">
          <cell r="D2033">
            <v>27745</v>
          </cell>
          <cell r="H2033">
            <v>45413</v>
          </cell>
          <cell r="I2033" t="str">
            <v>6375 - Freight Expenses</v>
          </cell>
          <cell r="J2033">
            <v>0</v>
          </cell>
          <cell r="K2033" t="str">
            <v>Licensing</v>
          </cell>
          <cell r="L2033" t="str">
            <v>Freight</v>
          </cell>
          <cell r="N2033" t="str">
            <v>Direct Costs</v>
          </cell>
          <cell r="O2033" t="str">
            <v>F&amp;F Korea</v>
          </cell>
        </row>
        <row r="2034">
          <cell r="D2034">
            <v>46.96</v>
          </cell>
          <cell r="H2034">
            <v>45413</v>
          </cell>
          <cell r="I2034" t="str">
            <v>6375 - Freight Expenses</v>
          </cell>
          <cell r="J2034" t="str">
            <v>Ecommerce (US)</v>
          </cell>
          <cell r="K2034" t="str">
            <v>Ecommerce</v>
          </cell>
          <cell r="L2034" t="str">
            <v>Freight</v>
          </cell>
          <cell r="N2034" t="str">
            <v>Direct Costs</v>
          </cell>
          <cell r="O2034" t="str">
            <v>Bergen Logistics Corporation</v>
          </cell>
        </row>
        <row r="2035">
          <cell r="D2035">
            <v>101.57</v>
          </cell>
          <cell r="H2035">
            <v>45413</v>
          </cell>
          <cell r="I2035" t="str">
            <v>6375 - Freight Expenses</v>
          </cell>
          <cell r="J2035" t="str">
            <v>Wholesale</v>
          </cell>
          <cell r="K2035" t="str">
            <v>Wholesale</v>
          </cell>
          <cell r="L2035" t="str">
            <v>Freight</v>
          </cell>
          <cell r="N2035" t="str">
            <v>Direct Costs</v>
          </cell>
          <cell r="O2035" t="str">
            <v>Bergen Logistics Corporation</v>
          </cell>
        </row>
        <row r="2036">
          <cell r="D2036">
            <v>68.02</v>
          </cell>
          <cell r="H2036">
            <v>45413</v>
          </cell>
          <cell r="I2036" t="str">
            <v>6375 - Freight Expenses</v>
          </cell>
          <cell r="J2036">
            <v>0</v>
          </cell>
          <cell r="K2036" t="str">
            <v>Production</v>
          </cell>
          <cell r="L2036" t="str">
            <v>Freight</v>
          </cell>
          <cell r="N2036" t="str">
            <v>Direct Costs</v>
          </cell>
          <cell r="O2036" t="str">
            <v>DHL Express - USA</v>
          </cell>
        </row>
        <row r="2037">
          <cell r="D2037">
            <v>414.56</v>
          </cell>
          <cell r="H2037">
            <v>45413</v>
          </cell>
          <cell r="I2037" t="str">
            <v>6375 - Freight Expenses</v>
          </cell>
          <cell r="J2037">
            <v>0</v>
          </cell>
          <cell r="K2037" t="str">
            <v>Production</v>
          </cell>
          <cell r="L2037" t="str">
            <v>Freight</v>
          </cell>
          <cell r="N2037" t="str">
            <v>Direct Costs</v>
          </cell>
          <cell r="O2037" t="str">
            <v>DHL Express - USA</v>
          </cell>
        </row>
        <row r="2038">
          <cell r="D2038">
            <v>6.08</v>
          </cell>
          <cell r="H2038">
            <v>45413</v>
          </cell>
          <cell r="I2038" t="str">
            <v>8505 - Realized Gain/Loss</v>
          </cell>
          <cell r="J2038">
            <v>0</v>
          </cell>
          <cell r="K2038" t="str">
            <v>No Department</v>
          </cell>
          <cell r="L2038" t="str">
            <v>Realized Gain / Loss</v>
          </cell>
          <cell r="N2038" t="str">
            <v>BTL</v>
          </cell>
          <cell r="O2038" t="str">
            <v>[No Vendor]</v>
          </cell>
        </row>
        <row r="2039">
          <cell r="D2039">
            <v>1562.87</v>
          </cell>
          <cell r="H2039">
            <v>45413</v>
          </cell>
          <cell r="I2039" t="str">
            <v>8505 - Realized Gain/Loss</v>
          </cell>
          <cell r="J2039">
            <v>0</v>
          </cell>
          <cell r="K2039" t="str">
            <v>No Department</v>
          </cell>
          <cell r="L2039" t="str">
            <v>Realized Gain / Loss</v>
          </cell>
          <cell r="N2039" t="str">
            <v>BTL</v>
          </cell>
          <cell r="O2039" t="str">
            <v>[No Vendor]</v>
          </cell>
        </row>
        <row r="2040">
          <cell r="D2040">
            <v>-548</v>
          </cell>
          <cell r="H2040">
            <v>45413</v>
          </cell>
          <cell r="I2040" t="str">
            <v>8505 - Realized Gain/Loss</v>
          </cell>
          <cell r="J2040">
            <v>0</v>
          </cell>
          <cell r="K2040" t="str">
            <v>Brand Marketing</v>
          </cell>
          <cell r="L2040" t="str">
            <v>Realized Gain / Loss</v>
          </cell>
          <cell r="N2040" t="str">
            <v>BTL</v>
          </cell>
          <cell r="O2040" t="str">
            <v>[No Vendor]</v>
          </cell>
        </row>
        <row r="2041">
          <cell r="D2041">
            <v>-123.32</v>
          </cell>
          <cell r="H2041">
            <v>45413</v>
          </cell>
          <cell r="I2041" t="str">
            <v>8505 - Realized Gain/Loss</v>
          </cell>
          <cell r="J2041">
            <v>0</v>
          </cell>
          <cell r="K2041" t="str">
            <v>Brand Marketing</v>
          </cell>
          <cell r="L2041" t="str">
            <v>Realized Gain / Loss</v>
          </cell>
          <cell r="N2041" t="str">
            <v>BTL</v>
          </cell>
          <cell r="O2041" t="str">
            <v>[No Vendor]</v>
          </cell>
        </row>
        <row r="2042">
          <cell r="D2042">
            <v>1312.71</v>
          </cell>
          <cell r="H2042">
            <v>45413</v>
          </cell>
          <cell r="I2042" t="str">
            <v>8505 - Realized Gain/Loss</v>
          </cell>
          <cell r="J2042">
            <v>0</v>
          </cell>
          <cell r="K2042" t="str">
            <v>No Department</v>
          </cell>
          <cell r="L2042" t="str">
            <v>Realized Gain / Loss</v>
          </cell>
          <cell r="N2042" t="str">
            <v>BTL</v>
          </cell>
          <cell r="O2042" t="str">
            <v>[No Vendor]</v>
          </cell>
        </row>
        <row r="2043">
          <cell r="D2043">
            <v>27</v>
          </cell>
          <cell r="H2043">
            <v>45413</v>
          </cell>
          <cell r="I2043" t="str">
            <v>8505 - Realized Gain/Loss</v>
          </cell>
          <cell r="J2043">
            <v>0</v>
          </cell>
          <cell r="K2043" t="str">
            <v>No Department</v>
          </cell>
          <cell r="L2043" t="str">
            <v>Realized Gain / Loss</v>
          </cell>
          <cell r="N2043" t="str">
            <v>BTL</v>
          </cell>
          <cell r="O2043" t="str">
            <v>[No Vendor]</v>
          </cell>
        </row>
        <row r="2044">
          <cell r="D2044">
            <v>0</v>
          </cell>
          <cell r="H2044">
            <v>45413</v>
          </cell>
          <cell r="I2044" t="str">
            <v>4010 - Revenue - Licensing Fees (Royalties)</v>
          </cell>
          <cell r="J2044">
            <v>0</v>
          </cell>
          <cell r="K2044" t="str">
            <v>Licensing</v>
          </cell>
          <cell r="L2044" t="str">
            <v>License</v>
          </cell>
          <cell r="N2044" t="str">
            <v>Revenue</v>
          </cell>
          <cell r="O2044" t="str">
            <v>[No Vendor]</v>
          </cell>
        </row>
        <row r="2045">
          <cell r="D2045">
            <v>359.79</v>
          </cell>
          <cell r="H2045">
            <v>45413</v>
          </cell>
          <cell r="I2045" t="str">
            <v>8700 - Other Expense</v>
          </cell>
          <cell r="J2045">
            <v>0</v>
          </cell>
          <cell r="K2045" t="str">
            <v>Administration</v>
          </cell>
          <cell r="L2045" t="str">
            <v>Other Expense</v>
          </cell>
          <cell r="N2045" t="str">
            <v>BTL</v>
          </cell>
          <cell r="O2045" t="str">
            <v>[No Vendor]</v>
          </cell>
        </row>
        <row r="2046">
          <cell r="D2046">
            <v>8388.67</v>
          </cell>
          <cell r="H2046">
            <v>45413</v>
          </cell>
          <cell r="I2046" t="str">
            <v>5001 - Cost of Goods Sold - Other</v>
          </cell>
          <cell r="J2046">
            <v>0</v>
          </cell>
          <cell r="K2046" t="str">
            <v>Brand Marketing</v>
          </cell>
          <cell r="L2046" t="str">
            <v>Other COGS</v>
          </cell>
          <cell r="N2046" t="str">
            <v>COGS</v>
          </cell>
          <cell r="O2046" t="str">
            <v>[No Vendor]</v>
          </cell>
        </row>
        <row r="2047">
          <cell r="D2047">
            <v>26468.7</v>
          </cell>
          <cell r="H2047">
            <v>45413</v>
          </cell>
          <cell r="I2047" t="str">
            <v>5001 - Cost of Goods Sold - Other</v>
          </cell>
          <cell r="J2047">
            <v>0</v>
          </cell>
          <cell r="K2047" t="str">
            <v>Brand Marketing</v>
          </cell>
          <cell r="L2047" t="str">
            <v>Other COGS</v>
          </cell>
          <cell r="N2047" t="str">
            <v>COGS</v>
          </cell>
          <cell r="O2047" t="str">
            <v>[No Vendor]</v>
          </cell>
        </row>
        <row r="2048">
          <cell r="D2048">
            <v>48180.3</v>
          </cell>
          <cell r="H2048">
            <v>45413</v>
          </cell>
          <cell r="I2048" t="str">
            <v>5001 - Cost of Goods Sold - Other</v>
          </cell>
          <cell r="J2048">
            <v>0</v>
          </cell>
          <cell r="K2048" t="str">
            <v>Licensing</v>
          </cell>
          <cell r="L2048" t="str">
            <v>Other COGS</v>
          </cell>
          <cell r="N2048" t="str">
            <v>COGS</v>
          </cell>
          <cell r="O2048" t="str">
            <v>[No Vendor]</v>
          </cell>
        </row>
        <row r="2049">
          <cell r="D2049">
            <v>0</v>
          </cell>
          <cell r="H2049">
            <v>45413</v>
          </cell>
          <cell r="I2049" t="str">
            <v>4045 - Sponsorships</v>
          </cell>
          <cell r="J2049">
            <v>0</v>
          </cell>
          <cell r="K2049" t="str">
            <v>Licensing</v>
          </cell>
          <cell r="L2049" t="str">
            <v>Other Income</v>
          </cell>
          <cell r="N2049" t="str">
            <v>Revenue</v>
          </cell>
          <cell r="O2049" t="str">
            <v>[No Vendor]</v>
          </cell>
        </row>
        <row r="2050">
          <cell r="D2050">
            <v>-193064.62</v>
          </cell>
          <cell r="H2050">
            <v>45413</v>
          </cell>
          <cell r="I2050" t="str">
            <v>4052 - Sales Revenue - Wholesale (US)</v>
          </cell>
          <cell r="J2050" t="str">
            <v>Wholesale</v>
          </cell>
          <cell r="K2050" t="str">
            <v>Wholesale</v>
          </cell>
          <cell r="L2050" t="str">
            <v>Wholesale</v>
          </cell>
          <cell r="N2050" t="str">
            <v>Revenue</v>
          </cell>
          <cell r="O2050" t="str">
            <v>[No Vendor]</v>
          </cell>
        </row>
        <row r="2051">
          <cell r="D2051">
            <v>-50817.22</v>
          </cell>
          <cell r="H2051">
            <v>45413</v>
          </cell>
          <cell r="I2051" t="str">
            <v>4050 - Sales Revenue - Ecommerce (US)</v>
          </cell>
          <cell r="J2051" t="str">
            <v>Ecommerce (US)</v>
          </cell>
          <cell r="K2051" t="str">
            <v>Ecommerce</v>
          </cell>
          <cell r="L2051" t="str">
            <v>Ecommerce (US)</v>
          </cell>
          <cell r="N2051" t="str">
            <v>Revenue</v>
          </cell>
          <cell r="O2051" t="str">
            <v>[No Vendor]</v>
          </cell>
        </row>
        <row r="2052">
          <cell r="D2052">
            <v>-1356424.48</v>
          </cell>
          <cell r="H2052">
            <v>45413</v>
          </cell>
          <cell r="I2052" t="str">
            <v>4050 - Sales Revenue - Ecommerce (US)</v>
          </cell>
          <cell r="J2052" t="str">
            <v>Ecommerce (US)</v>
          </cell>
          <cell r="K2052" t="str">
            <v>Ecommerce</v>
          </cell>
          <cell r="L2052" t="str">
            <v>Ecommerce (US)</v>
          </cell>
          <cell r="N2052" t="str">
            <v>Revenue</v>
          </cell>
          <cell r="O2052" t="str">
            <v>[No Vendor]</v>
          </cell>
        </row>
        <row r="2053">
          <cell r="D2053">
            <v>9033.2099999999991</v>
          </cell>
          <cell r="H2053">
            <v>45413</v>
          </cell>
          <cell r="I2053" t="str">
            <v>4061 - Sales Discount - Ecomm (EU)</v>
          </cell>
          <cell r="J2053" t="str">
            <v>Ecommerce (EU)</v>
          </cell>
          <cell r="K2053" t="str">
            <v>Ecommerce</v>
          </cell>
          <cell r="L2053" t="str">
            <v>Ecommerce (EU)</v>
          </cell>
          <cell r="N2053" t="str">
            <v>Revenue</v>
          </cell>
          <cell r="O2053" t="str">
            <v>[No Vendor]</v>
          </cell>
        </row>
        <row r="2054">
          <cell r="D2054">
            <v>89.49</v>
          </cell>
          <cell r="H2054">
            <v>45413</v>
          </cell>
          <cell r="I2054" t="str">
            <v>6041 - Employee Benefit Other</v>
          </cell>
          <cell r="J2054" t="str">
            <v>Ecommerce (US)</v>
          </cell>
          <cell r="K2054" t="str">
            <v>Ecommerce</v>
          </cell>
          <cell r="L2054" t="str">
            <v>HQ Salaries</v>
          </cell>
          <cell r="N2054" t="str">
            <v>SG&amp;A</v>
          </cell>
          <cell r="O2054" t="str">
            <v>[No Vendor]</v>
          </cell>
        </row>
        <row r="2055">
          <cell r="D2055">
            <v>21.77</v>
          </cell>
          <cell r="H2055">
            <v>45413</v>
          </cell>
          <cell r="I2055" t="str">
            <v>6041 - Employee Benefit Other</v>
          </cell>
          <cell r="J2055" t="str">
            <v>Wholesale</v>
          </cell>
          <cell r="K2055" t="str">
            <v>Wholesale</v>
          </cell>
          <cell r="L2055" t="str">
            <v>HQ Salaries</v>
          </cell>
          <cell r="N2055" t="str">
            <v>SG&amp;A</v>
          </cell>
          <cell r="O2055" t="str">
            <v>[No Vendor]</v>
          </cell>
        </row>
        <row r="2056">
          <cell r="D2056">
            <v>20.38</v>
          </cell>
          <cell r="H2056">
            <v>45413</v>
          </cell>
          <cell r="I2056" t="str">
            <v>6041 - Employee Benefit Other</v>
          </cell>
          <cell r="J2056">
            <v>0</v>
          </cell>
          <cell r="K2056" t="str">
            <v>Production</v>
          </cell>
          <cell r="L2056" t="str">
            <v>HQ Salaries</v>
          </cell>
          <cell r="N2056" t="str">
            <v>SG&amp;A</v>
          </cell>
          <cell r="O2056" t="str">
            <v>[No Vendor]</v>
          </cell>
        </row>
        <row r="2057">
          <cell r="D2057">
            <v>31405.87</v>
          </cell>
          <cell r="H2057">
            <v>45413</v>
          </cell>
          <cell r="I2057" t="str">
            <v>4051 - Sales Revenue - Ecommerce (Intl)</v>
          </cell>
          <cell r="J2057" t="str">
            <v>Ecommerce (EU)</v>
          </cell>
          <cell r="K2057" t="str">
            <v>Ecommerce</v>
          </cell>
          <cell r="L2057" t="str">
            <v>Ecommerce (EU)</v>
          </cell>
          <cell r="N2057" t="str">
            <v>Revenue</v>
          </cell>
          <cell r="O2057" t="str">
            <v>[No Vendor]</v>
          </cell>
        </row>
        <row r="2058">
          <cell r="D2058">
            <v>-216934.67</v>
          </cell>
          <cell r="H2058">
            <v>45413</v>
          </cell>
          <cell r="I2058" t="str">
            <v>4051 - Sales Revenue - Ecommerce (Intl)</v>
          </cell>
          <cell r="J2058" t="str">
            <v>Ecommerce (EU)</v>
          </cell>
          <cell r="K2058" t="str">
            <v>Ecommerce</v>
          </cell>
          <cell r="L2058" t="str">
            <v>Ecommerce (EU)</v>
          </cell>
          <cell r="N2058" t="str">
            <v>Revenue</v>
          </cell>
          <cell r="O2058" t="str">
            <v>[No Vendor]</v>
          </cell>
        </row>
        <row r="2059">
          <cell r="D2059">
            <v>-3930.99</v>
          </cell>
          <cell r="H2059">
            <v>45413</v>
          </cell>
          <cell r="I2059" t="str">
            <v>4065 - Sales Freight - Wholesale (US)</v>
          </cell>
          <cell r="J2059" t="str">
            <v>Wholesale</v>
          </cell>
          <cell r="K2059" t="str">
            <v>Wholesale</v>
          </cell>
          <cell r="L2059" t="str">
            <v>Freight - Revenue</v>
          </cell>
          <cell r="N2059" t="str">
            <v>Direct Costs</v>
          </cell>
          <cell r="O2059" t="str">
            <v>[No Vendor]</v>
          </cell>
        </row>
        <row r="2060">
          <cell r="D2060">
            <v>-3236</v>
          </cell>
          <cell r="H2060">
            <v>45413</v>
          </cell>
          <cell r="I2060" t="str">
            <v>4064 - Sales Freight - Ecomm (US)</v>
          </cell>
          <cell r="J2060" t="str">
            <v>Ecommerce (US)</v>
          </cell>
          <cell r="K2060" t="str">
            <v>Ecommerce</v>
          </cell>
          <cell r="L2060" t="str">
            <v>Freight - Revenue</v>
          </cell>
          <cell r="N2060" t="str">
            <v>Direct Costs</v>
          </cell>
          <cell r="O2060" t="str">
            <v>[No Vendor]</v>
          </cell>
        </row>
        <row r="2061">
          <cell r="D2061">
            <v>-38364</v>
          </cell>
          <cell r="H2061">
            <v>45413</v>
          </cell>
          <cell r="I2061" t="str">
            <v>4064 - Sales Freight - Ecomm (US)</v>
          </cell>
          <cell r="J2061" t="str">
            <v>Ecommerce (US)</v>
          </cell>
          <cell r="K2061" t="str">
            <v>Ecommerce</v>
          </cell>
          <cell r="L2061" t="str">
            <v>Freight - Revenue</v>
          </cell>
          <cell r="N2061" t="str">
            <v>Direct Costs</v>
          </cell>
          <cell r="O2061" t="str">
            <v>[No Vendor]</v>
          </cell>
        </row>
        <row r="2062">
          <cell r="D2062">
            <v>23571.200000000001</v>
          </cell>
          <cell r="H2062">
            <v>45413</v>
          </cell>
          <cell r="I2062" t="str">
            <v>4063 - Sales Discount - Wholesale (US)</v>
          </cell>
          <cell r="J2062" t="str">
            <v>Wholesale</v>
          </cell>
          <cell r="K2062" t="str">
            <v>Wholesale</v>
          </cell>
          <cell r="L2062" t="str">
            <v>Wholesale</v>
          </cell>
          <cell r="N2062" t="str">
            <v>Revenue</v>
          </cell>
          <cell r="O2062" t="str">
            <v>[No Vendor]</v>
          </cell>
        </row>
        <row r="2063">
          <cell r="D2063">
            <v>5554.79</v>
          </cell>
          <cell r="H2063">
            <v>45413</v>
          </cell>
          <cell r="I2063" t="str">
            <v>5900 - Interco Royalty Expense</v>
          </cell>
          <cell r="J2063">
            <v>0</v>
          </cell>
          <cell r="K2063" t="str">
            <v>Licensing</v>
          </cell>
          <cell r="L2063">
            <v>0</v>
          </cell>
          <cell r="N2063">
            <v>0</v>
          </cell>
          <cell r="O2063" t="str">
            <v>[No Vendor]</v>
          </cell>
        </row>
        <row r="2064">
          <cell r="D2064">
            <v>0</v>
          </cell>
          <cell r="H2064">
            <v>45413</v>
          </cell>
          <cell r="I2064" t="str">
            <v>4062 - Sales Discount - Ecomm (US)</v>
          </cell>
          <cell r="J2064" t="str">
            <v>Ecommerce (US)</v>
          </cell>
          <cell r="K2064" t="str">
            <v>Ecommerce</v>
          </cell>
          <cell r="L2064" t="str">
            <v>Ecommerce (US)</v>
          </cell>
          <cell r="N2064" t="str">
            <v>Revenue</v>
          </cell>
          <cell r="O2064" t="str">
            <v>[No Vendor]</v>
          </cell>
        </row>
        <row r="2065">
          <cell r="D2065">
            <v>90611.199999999997</v>
          </cell>
          <cell r="H2065">
            <v>45413</v>
          </cell>
          <cell r="I2065" t="str">
            <v>4062 - Sales Discount - Ecomm (US)</v>
          </cell>
          <cell r="J2065" t="str">
            <v>Ecommerce (US)</v>
          </cell>
          <cell r="K2065" t="str">
            <v>Ecommerce</v>
          </cell>
          <cell r="L2065" t="str">
            <v>Ecommerce (US)</v>
          </cell>
          <cell r="N2065" t="str">
            <v>Revenue</v>
          </cell>
          <cell r="O2065" t="str">
            <v>[No Vendor]</v>
          </cell>
        </row>
        <row r="2066">
          <cell r="D2066">
            <v>1954.72</v>
          </cell>
          <cell r="H2066">
            <v>45413</v>
          </cell>
          <cell r="I2066" t="str">
            <v>7130 - License Agreements &amp; Other Intangibles</v>
          </cell>
          <cell r="J2066">
            <v>0</v>
          </cell>
          <cell r="K2066" t="str">
            <v>Administration</v>
          </cell>
          <cell r="L2066" t="str">
            <v>Depreciation &amp; Amortization</v>
          </cell>
          <cell r="N2066" t="str">
            <v>SG&amp;A</v>
          </cell>
          <cell r="O2066" t="str">
            <v>[No Vendor]</v>
          </cell>
        </row>
        <row r="2067">
          <cell r="D2067">
            <v>-5554.79</v>
          </cell>
          <cell r="H2067">
            <v>45413</v>
          </cell>
          <cell r="I2067" t="str">
            <v>4900 - Interco Royalty Revenue</v>
          </cell>
          <cell r="J2067">
            <v>0</v>
          </cell>
          <cell r="K2067" t="str">
            <v>Licensing</v>
          </cell>
          <cell r="L2067">
            <v>0</v>
          </cell>
          <cell r="N2067">
            <v>0</v>
          </cell>
          <cell r="O2067" t="str">
            <v>[No Vendor]</v>
          </cell>
        </row>
        <row r="2068">
          <cell r="D2068">
            <v>13.65</v>
          </cell>
          <cell r="H2068">
            <v>45413</v>
          </cell>
          <cell r="I2068" t="str">
            <v>6393 - Software</v>
          </cell>
          <cell r="J2068">
            <v>0</v>
          </cell>
          <cell r="K2068" t="str">
            <v>Administration</v>
          </cell>
          <cell r="L2068" t="str">
            <v>Professional Service</v>
          </cell>
          <cell r="N2068" t="str">
            <v>Direct Costs</v>
          </cell>
          <cell r="O2068" t="str">
            <v>[No Vendor]</v>
          </cell>
        </row>
        <row r="2069">
          <cell r="D2069">
            <v>2268.23</v>
          </cell>
          <cell r="H2069">
            <v>45413</v>
          </cell>
          <cell r="I2069" t="str">
            <v>6393 - Software</v>
          </cell>
          <cell r="J2069">
            <v>0</v>
          </cell>
          <cell r="K2069" t="str">
            <v>Brand Marketing</v>
          </cell>
          <cell r="L2069" t="str">
            <v>Professional Service</v>
          </cell>
          <cell r="N2069" t="str">
            <v>Direct Costs</v>
          </cell>
          <cell r="O2069" t="str">
            <v>Fohr</v>
          </cell>
        </row>
        <row r="2070">
          <cell r="D2070">
            <v>3200.73</v>
          </cell>
          <cell r="H2070">
            <v>45413</v>
          </cell>
          <cell r="I2070" t="str">
            <v>6393 - Software</v>
          </cell>
          <cell r="J2070">
            <v>0</v>
          </cell>
          <cell r="K2070" t="str">
            <v>Administration</v>
          </cell>
          <cell r="L2070" t="str">
            <v>Professional Service</v>
          </cell>
          <cell r="N2070" t="str">
            <v>Direct Costs</v>
          </cell>
          <cell r="O2070" t="str">
            <v>[No Vendor]</v>
          </cell>
        </row>
        <row r="2071">
          <cell r="D2071">
            <v>458.33</v>
          </cell>
          <cell r="H2071">
            <v>45413</v>
          </cell>
          <cell r="I2071" t="str">
            <v>6393 - Software</v>
          </cell>
          <cell r="J2071" t="str">
            <v>Wholesale</v>
          </cell>
          <cell r="K2071" t="str">
            <v>Wholesale</v>
          </cell>
          <cell r="L2071" t="str">
            <v>Professional Service</v>
          </cell>
          <cell r="N2071" t="str">
            <v>Direct Costs</v>
          </cell>
          <cell r="O2071" t="str">
            <v>Joor, Inc</v>
          </cell>
        </row>
        <row r="2072">
          <cell r="D2072">
            <v>1302.44</v>
          </cell>
          <cell r="H2072">
            <v>45413</v>
          </cell>
          <cell r="I2072" t="str">
            <v>6393 - Software</v>
          </cell>
          <cell r="J2072">
            <v>0</v>
          </cell>
          <cell r="K2072" t="str">
            <v>Administration</v>
          </cell>
          <cell r="L2072" t="str">
            <v>Professional Service</v>
          </cell>
          <cell r="N2072" t="str">
            <v>Direct Costs</v>
          </cell>
          <cell r="O2072" t="str">
            <v>Avalara, Inc</v>
          </cell>
        </row>
        <row r="2073">
          <cell r="D2073">
            <v>36250</v>
          </cell>
          <cell r="H2073">
            <v>45413</v>
          </cell>
          <cell r="I2073" t="str">
            <v>6240 - Product Photography</v>
          </cell>
          <cell r="J2073">
            <v>0</v>
          </cell>
          <cell r="K2073" t="str">
            <v>Brand Marketing</v>
          </cell>
          <cell r="L2073" t="str">
            <v>Advertising</v>
          </cell>
          <cell r="N2073" t="str">
            <v>SG&amp;A</v>
          </cell>
          <cell r="O2073" t="str">
            <v>[No Vendor]</v>
          </cell>
        </row>
        <row r="2074">
          <cell r="D2074">
            <v>-16000</v>
          </cell>
          <cell r="H2074">
            <v>45413</v>
          </cell>
          <cell r="I2074" t="str">
            <v>6030 - Commissions Expense - Non Employee</v>
          </cell>
          <cell r="J2074">
            <v>0</v>
          </cell>
          <cell r="K2074" t="str">
            <v>Brand Marketing</v>
          </cell>
          <cell r="L2074" t="str">
            <v>HQ Salaries</v>
          </cell>
          <cell r="N2074" t="str">
            <v>SG&amp;A</v>
          </cell>
          <cell r="O2074" t="str">
            <v>[No Vendor]</v>
          </cell>
        </row>
        <row r="2075">
          <cell r="D2075">
            <v>1468.04</v>
          </cell>
          <cell r="H2075">
            <v>45413</v>
          </cell>
          <cell r="I2075" t="str">
            <v>6289 - Seeding / Product Placement</v>
          </cell>
          <cell r="J2075">
            <v>0</v>
          </cell>
          <cell r="K2075" t="str">
            <v>Brand Marketing</v>
          </cell>
          <cell r="L2075" t="str">
            <v>Advertising</v>
          </cell>
          <cell r="N2075" t="str">
            <v>SG&amp;A</v>
          </cell>
          <cell r="O2075" t="str">
            <v>[No Vendor]</v>
          </cell>
        </row>
        <row r="2076">
          <cell r="D2076">
            <v>1500</v>
          </cell>
          <cell r="H2076">
            <v>45413</v>
          </cell>
          <cell r="I2076" t="str">
            <v>6205 - Contractors</v>
          </cell>
          <cell r="J2076">
            <v>0</v>
          </cell>
          <cell r="K2076" t="str">
            <v>Production</v>
          </cell>
          <cell r="L2076" t="str">
            <v>HQ Salaries</v>
          </cell>
          <cell r="N2076" t="str">
            <v>SG&amp;A</v>
          </cell>
          <cell r="O2076" t="str">
            <v>Philip Yau</v>
          </cell>
        </row>
        <row r="2077">
          <cell r="D2077">
            <v>0</v>
          </cell>
          <cell r="H2077">
            <v>45413</v>
          </cell>
          <cell r="I2077" t="str">
            <v>6205 - Contractors</v>
          </cell>
          <cell r="J2077">
            <v>0</v>
          </cell>
          <cell r="K2077" t="str">
            <v>Brand Marketing</v>
          </cell>
          <cell r="L2077" t="str">
            <v>HQ Salaries</v>
          </cell>
          <cell r="N2077" t="str">
            <v>SG&amp;A</v>
          </cell>
          <cell r="O2077" t="str">
            <v>[No Vendor]</v>
          </cell>
        </row>
        <row r="2078">
          <cell r="D2078">
            <v>20862.2</v>
          </cell>
          <cell r="H2078">
            <v>45413</v>
          </cell>
          <cell r="I2078" t="str">
            <v>6205 - Contractors</v>
          </cell>
          <cell r="J2078" t="str">
            <v>Ecommerce (US)</v>
          </cell>
          <cell r="K2078" t="str">
            <v>Ecommerce</v>
          </cell>
          <cell r="L2078" t="str">
            <v>HQ Salaries</v>
          </cell>
          <cell r="N2078" t="str">
            <v>SG&amp;A</v>
          </cell>
          <cell r="O2078" t="str">
            <v>[No Vendor]</v>
          </cell>
        </row>
        <row r="2079">
          <cell r="D2079">
            <v>0</v>
          </cell>
          <cell r="H2079">
            <v>45413</v>
          </cell>
          <cell r="I2079" t="str">
            <v>6205 - Contractors</v>
          </cell>
          <cell r="J2079">
            <v>0</v>
          </cell>
          <cell r="K2079" t="str">
            <v>Design</v>
          </cell>
          <cell r="L2079" t="str">
            <v>HQ Salaries</v>
          </cell>
          <cell r="N2079" t="str">
            <v>SG&amp;A</v>
          </cell>
          <cell r="O2079" t="str">
            <v>[No Vendor]</v>
          </cell>
        </row>
        <row r="2080">
          <cell r="D2080">
            <v>0</v>
          </cell>
          <cell r="H2080">
            <v>45413</v>
          </cell>
          <cell r="I2080" t="str">
            <v>6205 - Contractors</v>
          </cell>
          <cell r="J2080">
            <v>0</v>
          </cell>
          <cell r="K2080" t="str">
            <v>Design</v>
          </cell>
          <cell r="L2080" t="str">
            <v>HQ Salaries</v>
          </cell>
          <cell r="N2080" t="str">
            <v>SG&amp;A</v>
          </cell>
          <cell r="O2080" t="str">
            <v>[No Vendor]</v>
          </cell>
        </row>
        <row r="2081">
          <cell r="D2081">
            <v>0</v>
          </cell>
          <cell r="H2081">
            <v>45413</v>
          </cell>
          <cell r="I2081" t="str">
            <v>6205 - Contractors</v>
          </cell>
          <cell r="J2081">
            <v>0</v>
          </cell>
          <cell r="K2081" t="str">
            <v>Brand Marketing</v>
          </cell>
          <cell r="L2081" t="str">
            <v>HQ Salaries</v>
          </cell>
          <cell r="N2081" t="str">
            <v>SG&amp;A</v>
          </cell>
          <cell r="O2081" t="str">
            <v>[No Vendor]</v>
          </cell>
        </row>
        <row r="2082">
          <cell r="D2082">
            <v>10431.1</v>
          </cell>
          <cell r="H2082">
            <v>45413</v>
          </cell>
          <cell r="I2082" t="str">
            <v>6205 - Contractors</v>
          </cell>
          <cell r="J2082" t="str">
            <v>Ecommerce (US)</v>
          </cell>
          <cell r="K2082" t="str">
            <v>Ecommerce</v>
          </cell>
          <cell r="L2082" t="str">
            <v>HQ Salaries</v>
          </cell>
          <cell r="N2082" t="str">
            <v>SG&amp;A</v>
          </cell>
          <cell r="O2082" t="str">
            <v>[No Vendor]</v>
          </cell>
        </row>
        <row r="2083">
          <cell r="D2083">
            <v>319.52</v>
          </cell>
          <cell r="H2083">
            <v>45413</v>
          </cell>
          <cell r="I2083" t="str">
            <v>6370 - Samples</v>
          </cell>
          <cell r="J2083">
            <v>0</v>
          </cell>
          <cell r="K2083" t="str">
            <v>Production</v>
          </cell>
          <cell r="L2083" t="str">
            <v>Sample</v>
          </cell>
          <cell r="N2083" t="str">
            <v>SG&amp;A</v>
          </cell>
          <cell r="O2083" t="str">
            <v>[No Vendor]</v>
          </cell>
        </row>
        <row r="2084">
          <cell r="D2084">
            <v>341.34</v>
          </cell>
          <cell r="H2084">
            <v>45413</v>
          </cell>
          <cell r="I2084" t="str">
            <v>6370 - Samples</v>
          </cell>
          <cell r="J2084">
            <v>0</v>
          </cell>
          <cell r="K2084" t="str">
            <v>Production</v>
          </cell>
          <cell r="L2084" t="str">
            <v>Sample</v>
          </cell>
          <cell r="N2084" t="str">
            <v>SG&amp;A</v>
          </cell>
          <cell r="O2084" t="str">
            <v>[No Vendor]</v>
          </cell>
        </row>
        <row r="2085">
          <cell r="D2085">
            <v>4261.28</v>
          </cell>
          <cell r="H2085">
            <v>45413</v>
          </cell>
          <cell r="I2085" t="str">
            <v>6020 - Bonus</v>
          </cell>
          <cell r="J2085">
            <v>0</v>
          </cell>
          <cell r="K2085" t="str">
            <v>Executive</v>
          </cell>
          <cell r="L2085" t="str">
            <v>HQ Salaries</v>
          </cell>
          <cell r="N2085" t="str">
            <v>SG&amp;A</v>
          </cell>
          <cell r="O2085" t="str">
            <v>[No Vendor]</v>
          </cell>
        </row>
        <row r="2086">
          <cell r="D2086">
            <v>3843.71</v>
          </cell>
          <cell r="H2086">
            <v>45413</v>
          </cell>
          <cell r="I2086" t="str">
            <v>6020 - Bonus</v>
          </cell>
          <cell r="J2086" t="str">
            <v>Wholesale</v>
          </cell>
          <cell r="K2086" t="str">
            <v>Wholesale</v>
          </cell>
          <cell r="L2086" t="str">
            <v>HQ Salaries</v>
          </cell>
          <cell r="N2086" t="str">
            <v>SG&amp;A</v>
          </cell>
          <cell r="O2086" t="str">
            <v>[No Vendor]</v>
          </cell>
        </row>
        <row r="2087">
          <cell r="D2087">
            <v>6338.75</v>
          </cell>
          <cell r="H2087">
            <v>45413</v>
          </cell>
          <cell r="I2087" t="str">
            <v>6020 - Bonus</v>
          </cell>
          <cell r="J2087">
            <v>0</v>
          </cell>
          <cell r="K2087" t="str">
            <v>Production</v>
          </cell>
          <cell r="L2087" t="str">
            <v>HQ Salaries</v>
          </cell>
          <cell r="N2087" t="str">
            <v>SG&amp;A</v>
          </cell>
          <cell r="O2087" t="str">
            <v>[No Vendor]</v>
          </cell>
        </row>
        <row r="2088">
          <cell r="D2088">
            <v>1406.25</v>
          </cell>
          <cell r="H2088">
            <v>45413</v>
          </cell>
          <cell r="I2088" t="str">
            <v>6020 - Bonus</v>
          </cell>
          <cell r="J2088">
            <v>0</v>
          </cell>
          <cell r="K2088" t="str">
            <v>Brand Marketing</v>
          </cell>
          <cell r="L2088" t="str">
            <v>HQ Salaries</v>
          </cell>
          <cell r="N2088" t="str">
            <v>SG&amp;A</v>
          </cell>
          <cell r="O2088" t="str">
            <v>[No Vendor]</v>
          </cell>
        </row>
        <row r="2089">
          <cell r="D2089">
            <v>8393.9500000000007</v>
          </cell>
          <cell r="H2089">
            <v>45413</v>
          </cell>
          <cell r="I2089" t="str">
            <v>6020 - Bonus</v>
          </cell>
          <cell r="J2089" t="str">
            <v>Ecommerce (US)</v>
          </cell>
          <cell r="K2089" t="str">
            <v>Ecommerce</v>
          </cell>
          <cell r="L2089" t="str">
            <v>HQ Salaries</v>
          </cell>
          <cell r="N2089" t="str">
            <v>SG&amp;A</v>
          </cell>
          <cell r="O2089" t="str">
            <v>[No Vendor]</v>
          </cell>
        </row>
        <row r="2090">
          <cell r="D2090">
            <v>5832.66</v>
          </cell>
          <cell r="H2090">
            <v>45413</v>
          </cell>
          <cell r="I2090" t="str">
            <v>6020 - Bonus</v>
          </cell>
          <cell r="J2090">
            <v>0</v>
          </cell>
          <cell r="K2090" t="str">
            <v>Design</v>
          </cell>
          <cell r="L2090" t="str">
            <v>HQ Salaries</v>
          </cell>
          <cell r="N2090" t="str">
            <v>SG&amp;A</v>
          </cell>
          <cell r="O2090" t="str">
            <v>[No Vendor]</v>
          </cell>
        </row>
        <row r="2091">
          <cell r="D2091">
            <v>1256.29</v>
          </cell>
          <cell r="H2091">
            <v>45413</v>
          </cell>
          <cell r="I2091" t="str">
            <v>6020 - Bonus</v>
          </cell>
          <cell r="J2091">
            <v>0</v>
          </cell>
          <cell r="K2091" t="str">
            <v>Merchandising</v>
          </cell>
          <cell r="L2091" t="str">
            <v>HQ Salaries</v>
          </cell>
          <cell r="N2091" t="str">
            <v>SG&amp;A</v>
          </cell>
          <cell r="O2091" t="str">
            <v>[No Vendor]</v>
          </cell>
        </row>
        <row r="2092">
          <cell r="D2092">
            <v>7604.61</v>
          </cell>
          <cell r="H2092">
            <v>45413</v>
          </cell>
          <cell r="I2092" t="str">
            <v>6020 - Bonus</v>
          </cell>
          <cell r="J2092">
            <v>0</v>
          </cell>
          <cell r="K2092" t="str">
            <v>Administration</v>
          </cell>
          <cell r="L2092" t="str">
            <v>HQ Salaries</v>
          </cell>
          <cell r="N2092" t="str">
            <v>SG&amp;A</v>
          </cell>
          <cell r="O2092" t="str">
            <v>[No Vendor]</v>
          </cell>
        </row>
        <row r="2093">
          <cell r="D2093">
            <v>38367.32</v>
          </cell>
          <cell r="H2093">
            <v>45413</v>
          </cell>
          <cell r="I2093" t="str">
            <v>6450 - Bank &amp; Other Fees</v>
          </cell>
          <cell r="J2093" t="str">
            <v>Ecommerce (US)</v>
          </cell>
          <cell r="K2093" t="str">
            <v>Ecommerce</v>
          </cell>
          <cell r="L2093" t="str">
            <v>Professional Service</v>
          </cell>
          <cell r="N2093" t="str">
            <v>Direct Costs</v>
          </cell>
          <cell r="O2093" t="str">
            <v>Shopify</v>
          </cell>
        </row>
        <row r="2094">
          <cell r="D2094">
            <v>-3.54</v>
          </cell>
          <cell r="H2094">
            <v>45413</v>
          </cell>
          <cell r="I2094" t="str">
            <v>6450 - Bank &amp; Other Fees</v>
          </cell>
          <cell r="J2094" t="str">
            <v>Ecommerce (US)</v>
          </cell>
          <cell r="K2094" t="str">
            <v>Ecommerce</v>
          </cell>
          <cell r="L2094" t="str">
            <v>Professional Service</v>
          </cell>
          <cell r="N2094" t="str">
            <v>Direct Costs</v>
          </cell>
          <cell r="O2094" t="str">
            <v>[No Vendor]</v>
          </cell>
        </row>
        <row r="2095">
          <cell r="D2095">
            <v>6546.6</v>
          </cell>
          <cell r="H2095">
            <v>45413</v>
          </cell>
          <cell r="I2095" t="str">
            <v>6450 - Bank &amp; Other Fees</v>
          </cell>
          <cell r="J2095" t="str">
            <v>Ecommerce (US)</v>
          </cell>
          <cell r="K2095" t="str">
            <v>Ecommerce</v>
          </cell>
          <cell r="L2095" t="str">
            <v>Professional Service</v>
          </cell>
          <cell r="N2095" t="str">
            <v>Direct Costs</v>
          </cell>
          <cell r="O2095" t="str">
            <v>[No Vendor]</v>
          </cell>
        </row>
        <row r="2096">
          <cell r="D2096">
            <v>3427.62</v>
          </cell>
          <cell r="H2096">
            <v>45413</v>
          </cell>
          <cell r="I2096" t="str">
            <v>6450 - Bank &amp; Other Fees</v>
          </cell>
          <cell r="J2096" t="str">
            <v>Ecommerce (EU)</v>
          </cell>
          <cell r="K2096" t="str">
            <v>Ecommerce</v>
          </cell>
          <cell r="L2096" t="str">
            <v>Professional Service</v>
          </cell>
          <cell r="N2096" t="str">
            <v>Direct Costs</v>
          </cell>
          <cell r="O2096" t="str">
            <v>[No Vendor]</v>
          </cell>
        </row>
        <row r="2097">
          <cell r="D2097">
            <v>12.42</v>
          </cell>
          <cell r="H2097">
            <v>45413</v>
          </cell>
          <cell r="I2097" t="str">
            <v>6430 - Dues &amp; Memberships</v>
          </cell>
          <cell r="J2097">
            <v>0</v>
          </cell>
          <cell r="K2097" t="str">
            <v>Brand Marketing</v>
          </cell>
          <cell r="L2097" t="str">
            <v>Professional Service</v>
          </cell>
          <cell r="N2097" t="str">
            <v>Direct Costs</v>
          </cell>
          <cell r="O2097" t="str">
            <v>[No Vendor]</v>
          </cell>
        </row>
        <row r="2098">
          <cell r="D2098">
            <v>-39.369999999999997</v>
          </cell>
          <cell r="H2098">
            <v>45413</v>
          </cell>
          <cell r="I2098" t="str">
            <v>6385 - Insurance</v>
          </cell>
          <cell r="J2098">
            <v>0</v>
          </cell>
          <cell r="K2098" t="str">
            <v>Administration</v>
          </cell>
          <cell r="L2098" t="str">
            <v>Professional Service</v>
          </cell>
          <cell r="N2098" t="str">
            <v>SG&amp;A</v>
          </cell>
          <cell r="O2098" t="str">
            <v>[No Vendor]</v>
          </cell>
        </row>
        <row r="2099">
          <cell r="D2099">
            <v>-48.22</v>
          </cell>
          <cell r="H2099">
            <v>45413</v>
          </cell>
          <cell r="I2099" t="str">
            <v>6385 - Insurance</v>
          </cell>
          <cell r="J2099">
            <v>0</v>
          </cell>
          <cell r="K2099" t="str">
            <v>Administration</v>
          </cell>
          <cell r="L2099" t="str">
            <v>Professional Service</v>
          </cell>
          <cell r="N2099" t="str">
            <v>SG&amp;A</v>
          </cell>
          <cell r="O2099" t="str">
            <v>[No Vendor]</v>
          </cell>
        </row>
        <row r="2100">
          <cell r="D2100">
            <v>-13.39</v>
          </cell>
          <cell r="H2100">
            <v>45413</v>
          </cell>
          <cell r="I2100" t="str">
            <v>6385 - Insurance</v>
          </cell>
          <cell r="J2100">
            <v>0</v>
          </cell>
          <cell r="K2100" t="str">
            <v>Administration</v>
          </cell>
          <cell r="L2100" t="str">
            <v>Professional Service</v>
          </cell>
          <cell r="N2100" t="str">
            <v>SG&amp;A</v>
          </cell>
          <cell r="O2100" t="str">
            <v>[No Vendor]</v>
          </cell>
        </row>
        <row r="2101">
          <cell r="D2101">
            <v>-41.67</v>
          </cell>
          <cell r="H2101">
            <v>45413</v>
          </cell>
          <cell r="I2101" t="str">
            <v>6385 - Insurance</v>
          </cell>
          <cell r="J2101">
            <v>0</v>
          </cell>
          <cell r="K2101" t="str">
            <v>Administration</v>
          </cell>
          <cell r="L2101" t="str">
            <v>Professional Service</v>
          </cell>
          <cell r="N2101" t="str">
            <v>SG&amp;A</v>
          </cell>
          <cell r="O2101" t="str">
            <v>[No Vendor]</v>
          </cell>
        </row>
        <row r="2102">
          <cell r="D2102">
            <v>-59.47</v>
          </cell>
          <cell r="H2102">
            <v>45413</v>
          </cell>
          <cell r="I2102" t="str">
            <v>6385 - Insurance</v>
          </cell>
          <cell r="J2102">
            <v>0</v>
          </cell>
          <cell r="K2102" t="str">
            <v>Administration</v>
          </cell>
          <cell r="L2102" t="str">
            <v>Professional Service</v>
          </cell>
          <cell r="N2102" t="str">
            <v>SG&amp;A</v>
          </cell>
          <cell r="O2102" t="str">
            <v>[No Vendor]</v>
          </cell>
        </row>
        <row r="2103">
          <cell r="D2103">
            <v>-25.87</v>
          </cell>
          <cell r="H2103">
            <v>45413</v>
          </cell>
          <cell r="I2103" t="str">
            <v>6385 - Insurance</v>
          </cell>
          <cell r="J2103">
            <v>0</v>
          </cell>
          <cell r="K2103" t="str">
            <v>Administration</v>
          </cell>
          <cell r="L2103" t="str">
            <v>Professional Service</v>
          </cell>
          <cell r="N2103" t="str">
            <v>SG&amp;A</v>
          </cell>
          <cell r="O2103" t="str">
            <v>[No Vendor]</v>
          </cell>
        </row>
        <row r="2104">
          <cell r="D2104">
            <v>-20.41</v>
          </cell>
          <cell r="H2104">
            <v>45413</v>
          </cell>
          <cell r="I2104" t="str">
            <v>6385 - Insurance</v>
          </cell>
          <cell r="J2104">
            <v>0</v>
          </cell>
          <cell r="K2104" t="str">
            <v>Administration</v>
          </cell>
          <cell r="L2104" t="str">
            <v>Professional Service</v>
          </cell>
          <cell r="N2104" t="str">
            <v>SG&amp;A</v>
          </cell>
          <cell r="O2104" t="str">
            <v>[No Vendor]</v>
          </cell>
        </row>
        <row r="2105">
          <cell r="D2105">
            <v>-10.210000000000001</v>
          </cell>
          <cell r="H2105">
            <v>45413</v>
          </cell>
          <cell r="I2105" t="str">
            <v>6385 - Insurance</v>
          </cell>
          <cell r="J2105">
            <v>0</v>
          </cell>
          <cell r="K2105" t="str">
            <v>Administration</v>
          </cell>
          <cell r="L2105" t="str">
            <v>Professional Service</v>
          </cell>
          <cell r="N2105" t="str">
            <v>SG&amp;A</v>
          </cell>
          <cell r="O2105" t="str">
            <v>[No Vendor]</v>
          </cell>
        </row>
        <row r="2106">
          <cell r="D2106">
            <v>-19.690000000000001</v>
          </cell>
          <cell r="H2106">
            <v>45413</v>
          </cell>
          <cell r="I2106" t="str">
            <v>6385 - Insurance</v>
          </cell>
          <cell r="J2106">
            <v>0</v>
          </cell>
          <cell r="K2106" t="str">
            <v>Administration</v>
          </cell>
          <cell r="L2106" t="str">
            <v>Professional Service</v>
          </cell>
          <cell r="N2106" t="str">
            <v>SG&amp;A</v>
          </cell>
          <cell r="O2106" t="str">
            <v>[No Vendor]</v>
          </cell>
        </row>
        <row r="2107">
          <cell r="D2107">
            <v>-24.11</v>
          </cell>
          <cell r="H2107">
            <v>45413</v>
          </cell>
          <cell r="I2107" t="str">
            <v>6385 - Insurance</v>
          </cell>
          <cell r="J2107">
            <v>0</v>
          </cell>
          <cell r="K2107" t="str">
            <v>Administration</v>
          </cell>
          <cell r="L2107" t="str">
            <v>Professional Service</v>
          </cell>
          <cell r="N2107" t="str">
            <v>SG&amp;A</v>
          </cell>
          <cell r="O2107" t="str">
            <v>[No Vendor]</v>
          </cell>
        </row>
        <row r="2108">
          <cell r="D2108">
            <v>-6.7</v>
          </cell>
          <cell r="H2108">
            <v>45413</v>
          </cell>
          <cell r="I2108" t="str">
            <v>6385 - Insurance</v>
          </cell>
          <cell r="J2108">
            <v>0</v>
          </cell>
          <cell r="K2108" t="str">
            <v>Administration</v>
          </cell>
          <cell r="L2108" t="str">
            <v>Professional Service</v>
          </cell>
          <cell r="N2108" t="str">
            <v>SG&amp;A</v>
          </cell>
          <cell r="O2108" t="str">
            <v>[No Vendor]</v>
          </cell>
        </row>
        <row r="2109">
          <cell r="D2109">
            <v>-20.84</v>
          </cell>
          <cell r="H2109">
            <v>45413</v>
          </cell>
          <cell r="I2109" t="str">
            <v>6385 - Insurance</v>
          </cell>
          <cell r="J2109">
            <v>0</v>
          </cell>
          <cell r="K2109" t="str">
            <v>Administration</v>
          </cell>
          <cell r="L2109" t="str">
            <v>Professional Service</v>
          </cell>
          <cell r="N2109" t="str">
            <v>SG&amp;A</v>
          </cell>
          <cell r="O2109" t="str">
            <v>[No Vendor]</v>
          </cell>
        </row>
        <row r="2110">
          <cell r="D2110">
            <v>-29.74</v>
          </cell>
          <cell r="H2110">
            <v>45413</v>
          </cell>
          <cell r="I2110" t="str">
            <v>6385 - Insurance</v>
          </cell>
          <cell r="J2110">
            <v>0</v>
          </cell>
          <cell r="K2110" t="str">
            <v>Administration</v>
          </cell>
          <cell r="L2110" t="str">
            <v>Professional Service</v>
          </cell>
          <cell r="N2110" t="str">
            <v>SG&amp;A</v>
          </cell>
          <cell r="O2110" t="str">
            <v>[No Vendor]</v>
          </cell>
        </row>
        <row r="2111">
          <cell r="D2111">
            <v>-12.94</v>
          </cell>
          <cell r="H2111">
            <v>45413</v>
          </cell>
          <cell r="I2111" t="str">
            <v>6385 - Insurance</v>
          </cell>
          <cell r="J2111">
            <v>0</v>
          </cell>
          <cell r="K2111" t="str">
            <v>Administration</v>
          </cell>
          <cell r="L2111" t="str">
            <v>Professional Service</v>
          </cell>
          <cell r="N2111" t="str">
            <v>SG&amp;A</v>
          </cell>
          <cell r="O2111" t="str">
            <v>[No Vendor]</v>
          </cell>
        </row>
        <row r="2112">
          <cell r="D2112">
            <v>947.78</v>
          </cell>
          <cell r="H2112">
            <v>45413</v>
          </cell>
          <cell r="I2112" t="str">
            <v>6385 - Insurance</v>
          </cell>
          <cell r="J2112">
            <v>0</v>
          </cell>
          <cell r="K2112" t="str">
            <v>Administration</v>
          </cell>
          <cell r="L2112" t="str">
            <v>Professional Service</v>
          </cell>
          <cell r="N2112" t="str">
            <v>SG&amp;A</v>
          </cell>
          <cell r="O2112" t="str">
            <v>[No Vendor]</v>
          </cell>
        </row>
        <row r="2113">
          <cell r="D2113">
            <v>410.13</v>
          </cell>
          <cell r="H2113">
            <v>45413</v>
          </cell>
          <cell r="I2113" t="str">
            <v>6400 - Utilities</v>
          </cell>
          <cell r="J2113">
            <v>0</v>
          </cell>
          <cell r="K2113" t="str">
            <v>Administration</v>
          </cell>
          <cell r="L2113" t="str">
            <v>Other</v>
          </cell>
          <cell r="N2113" t="str">
            <v>SG&amp;A</v>
          </cell>
          <cell r="O2113" t="str">
            <v>[No Vendor]</v>
          </cell>
        </row>
        <row r="2114">
          <cell r="D2114">
            <v>17.45</v>
          </cell>
          <cell r="H2114">
            <v>45413</v>
          </cell>
          <cell r="I2114" t="str">
            <v>7060 - Information Technology &amp; Software</v>
          </cell>
          <cell r="J2114" t="str">
            <v>Wholesale</v>
          </cell>
          <cell r="K2114" t="str">
            <v>Wholesale</v>
          </cell>
          <cell r="L2114" t="str">
            <v>Depreciation &amp; Amortization</v>
          </cell>
          <cell r="N2114" t="str">
            <v>SG&amp;A</v>
          </cell>
          <cell r="O2114" t="str">
            <v>[No Vendor]</v>
          </cell>
        </row>
        <row r="2115">
          <cell r="D2115">
            <v>105</v>
          </cell>
          <cell r="H2115">
            <v>45413</v>
          </cell>
          <cell r="I2115" t="str">
            <v>7060 - Information Technology &amp; Software</v>
          </cell>
          <cell r="J2115" t="str">
            <v>Ecommerce (US)</v>
          </cell>
          <cell r="K2115" t="str">
            <v>Ecommerce</v>
          </cell>
          <cell r="L2115" t="str">
            <v>Depreciation &amp; Amortization</v>
          </cell>
          <cell r="N2115" t="str">
            <v>SG&amp;A</v>
          </cell>
          <cell r="O2115" t="str">
            <v>[No Vendor]</v>
          </cell>
        </row>
        <row r="2116">
          <cell r="D2116">
            <v>64.48</v>
          </cell>
          <cell r="H2116">
            <v>45413</v>
          </cell>
          <cell r="I2116" t="str">
            <v>7060 - Information Technology &amp; Software</v>
          </cell>
          <cell r="J2116">
            <v>0</v>
          </cell>
          <cell r="K2116" t="str">
            <v>Production</v>
          </cell>
          <cell r="L2116" t="str">
            <v>Depreciation &amp; Amortization</v>
          </cell>
          <cell r="N2116" t="str">
            <v>SG&amp;A</v>
          </cell>
          <cell r="O2116" t="str">
            <v>[No Vendor]</v>
          </cell>
        </row>
        <row r="2117">
          <cell r="D2117">
            <v>179.49</v>
          </cell>
          <cell r="H2117">
            <v>45413</v>
          </cell>
          <cell r="I2117" t="str">
            <v>7060 - Information Technology &amp; Software</v>
          </cell>
          <cell r="J2117">
            <v>0</v>
          </cell>
          <cell r="K2117" t="str">
            <v>Design</v>
          </cell>
          <cell r="L2117" t="str">
            <v>Depreciation &amp; Amortization</v>
          </cell>
          <cell r="N2117" t="str">
            <v>SG&amp;A</v>
          </cell>
          <cell r="O2117" t="str">
            <v>[No Vendor]</v>
          </cell>
        </row>
        <row r="2118">
          <cell r="D2118">
            <v>65.48</v>
          </cell>
          <cell r="H2118">
            <v>45413</v>
          </cell>
          <cell r="I2118" t="str">
            <v>7060 - Information Technology &amp; Software</v>
          </cell>
          <cell r="J2118">
            <v>0</v>
          </cell>
          <cell r="K2118" t="str">
            <v>Merchandising</v>
          </cell>
          <cell r="L2118" t="str">
            <v>Depreciation &amp; Amortization</v>
          </cell>
          <cell r="N2118" t="str">
            <v>SG&amp;A</v>
          </cell>
          <cell r="O2118" t="str">
            <v>[No Vendor]</v>
          </cell>
        </row>
        <row r="2119">
          <cell r="D2119">
            <v>166.9</v>
          </cell>
          <cell r="H2119">
            <v>45413</v>
          </cell>
          <cell r="I2119" t="str">
            <v>7060 - Information Technology &amp; Software</v>
          </cell>
          <cell r="J2119">
            <v>0</v>
          </cell>
          <cell r="K2119" t="str">
            <v>Brand Marketing</v>
          </cell>
          <cell r="L2119" t="str">
            <v>Depreciation &amp; Amortization</v>
          </cell>
          <cell r="N2119" t="str">
            <v>SG&amp;A</v>
          </cell>
          <cell r="O2119" t="str">
            <v>[No Vendor]</v>
          </cell>
        </row>
        <row r="2120">
          <cell r="D2120">
            <v>794.73</v>
          </cell>
          <cell r="H2120">
            <v>45413</v>
          </cell>
          <cell r="I2120" t="str">
            <v>7060 - Information Technology &amp; Software</v>
          </cell>
          <cell r="J2120">
            <v>0</v>
          </cell>
          <cell r="K2120" t="str">
            <v>Administration</v>
          </cell>
          <cell r="L2120" t="str">
            <v>Depreciation &amp; Amortization</v>
          </cell>
          <cell r="N2120" t="str">
            <v>SG&amp;A</v>
          </cell>
          <cell r="O2120" t="str">
            <v>[No Vendor]</v>
          </cell>
        </row>
        <row r="2121">
          <cell r="D2121">
            <v>259.97000000000003</v>
          </cell>
          <cell r="H2121">
            <v>45413</v>
          </cell>
          <cell r="I2121" t="str">
            <v>7040 - Furniture &amp; Fixtures</v>
          </cell>
          <cell r="J2121" t="str">
            <v>Wholesale</v>
          </cell>
          <cell r="K2121" t="str">
            <v>Wholesale</v>
          </cell>
          <cell r="L2121" t="str">
            <v>Depreciation &amp; Amortization</v>
          </cell>
          <cell r="N2121" t="str">
            <v>SG&amp;A</v>
          </cell>
          <cell r="O2121" t="str">
            <v>[No Vendor]</v>
          </cell>
        </row>
        <row r="2122">
          <cell r="D2122">
            <v>0</v>
          </cell>
          <cell r="H2122">
            <v>45413</v>
          </cell>
          <cell r="I2122" t="str">
            <v>7040 - Furniture &amp; Fixtures</v>
          </cell>
          <cell r="J2122">
            <v>0</v>
          </cell>
          <cell r="K2122" t="str">
            <v>Brand Marketing</v>
          </cell>
          <cell r="L2122" t="str">
            <v>Depreciation &amp; Amortization</v>
          </cell>
          <cell r="N2122" t="str">
            <v>SG&amp;A</v>
          </cell>
          <cell r="O2122" t="str">
            <v>[No Vendor]</v>
          </cell>
        </row>
        <row r="2123">
          <cell r="D2123">
            <v>269.64999999999998</v>
          </cell>
          <cell r="H2123">
            <v>45413</v>
          </cell>
          <cell r="I2123" t="str">
            <v>7040 - Furniture &amp; Fixtures</v>
          </cell>
          <cell r="J2123">
            <v>0</v>
          </cell>
          <cell r="K2123" t="str">
            <v>Administration</v>
          </cell>
          <cell r="L2123" t="str">
            <v>Depreciation &amp; Amortization</v>
          </cell>
          <cell r="N2123" t="str">
            <v>SG&amp;A</v>
          </cell>
          <cell r="O2123" t="str">
            <v>[No Vendor]</v>
          </cell>
        </row>
        <row r="2124">
          <cell r="D2124">
            <v>9.44</v>
          </cell>
          <cell r="H2124">
            <v>45413</v>
          </cell>
          <cell r="I2124" t="str">
            <v>6300 - Payroll Service Fees</v>
          </cell>
          <cell r="J2124">
            <v>0</v>
          </cell>
          <cell r="K2124" t="str">
            <v>Administration</v>
          </cell>
          <cell r="L2124" t="str">
            <v>Professional Service</v>
          </cell>
          <cell r="N2124" t="str">
            <v>SG&amp;A</v>
          </cell>
          <cell r="O2124" t="str">
            <v>ADP Payroll Services</v>
          </cell>
        </row>
        <row r="2125">
          <cell r="D2125">
            <v>2097.44</v>
          </cell>
          <cell r="H2125">
            <v>45413</v>
          </cell>
          <cell r="I2125" t="str">
            <v>6055 - Employer Social Security Tax Withheld</v>
          </cell>
          <cell r="J2125">
            <v>0</v>
          </cell>
          <cell r="K2125" t="str">
            <v>Production</v>
          </cell>
          <cell r="L2125" t="str">
            <v>HQ Salaries</v>
          </cell>
          <cell r="N2125" t="str">
            <v>SG&amp;A</v>
          </cell>
          <cell r="O2125" t="str">
            <v>[No Vendor]</v>
          </cell>
        </row>
        <row r="2126">
          <cell r="D2126">
            <v>346.45</v>
          </cell>
          <cell r="H2126">
            <v>45413</v>
          </cell>
          <cell r="I2126" t="str">
            <v>6055 - Employer Social Security Tax Withheld</v>
          </cell>
          <cell r="J2126">
            <v>0</v>
          </cell>
          <cell r="K2126" t="str">
            <v>Brand Marketing</v>
          </cell>
          <cell r="L2126" t="str">
            <v>HQ Salaries</v>
          </cell>
          <cell r="N2126" t="str">
            <v>SG&amp;A</v>
          </cell>
          <cell r="O2126" t="str">
            <v>[No Vendor]</v>
          </cell>
        </row>
        <row r="2127">
          <cell r="D2127">
            <v>1549.46</v>
          </cell>
          <cell r="H2127">
            <v>45413</v>
          </cell>
          <cell r="I2127" t="str">
            <v>6055 - Employer Social Security Tax Withheld</v>
          </cell>
          <cell r="J2127" t="str">
            <v>Ecommerce (US)</v>
          </cell>
          <cell r="K2127" t="str">
            <v>Ecommerce</v>
          </cell>
          <cell r="L2127" t="str">
            <v>HQ Salaries</v>
          </cell>
          <cell r="N2127" t="str">
            <v>SG&amp;A</v>
          </cell>
          <cell r="O2127" t="str">
            <v>[No Vendor]</v>
          </cell>
        </row>
        <row r="2128">
          <cell r="D2128">
            <v>1997.86</v>
          </cell>
          <cell r="H2128">
            <v>45413</v>
          </cell>
          <cell r="I2128" t="str">
            <v>6055 - Employer Social Security Tax Withheld</v>
          </cell>
          <cell r="J2128">
            <v>0</v>
          </cell>
          <cell r="K2128" t="str">
            <v>Design</v>
          </cell>
          <cell r="L2128" t="str">
            <v>HQ Salaries</v>
          </cell>
          <cell r="N2128" t="str">
            <v>SG&amp;A</v>
          </cell>
          <cell r="O2128" t="str">
            <v>[No Vendor]</v>
          </cell>
        </row>
        <row r="2129">
          <cell r="D2129">
            <v>2289.1999999999998</v>
          </cell>
          <cell r="H2129">
            <v>45413</v>
          </cell>
          <cell r="I2129" t="str">
            <v>6055 - Employer Social Security Tax Withheld</v>
          </cell>
          <cell r="J2129">
            <v>0</v>
          </cell>
          <cell r="K2129" t="str">
            <v>Administration</v>
          </cell>
          <cell r="L2129" t="str">
            <v>HQ Salaries</v>
          </cell>
          <cell r="N2129" t="str">
            <v>SG&amp;A</v>
          </cell>
          <cell r="O2129" t="str">
            <v>[No Vendor]</v>
          </cell>
        </row>
        <row r="2130">
          <cell r="D2130">
            <v>548.48</v>
          </cell>
          <cell r="H2130">
            <v>45413</v>
          </cell>
          <cell r="I2130" t="str">
            <v>6055 - Employer Social Security Tax Withheld</v>
          </cell>
          <cell r="J2130">
            <v>0</v>
          </cell>
          <cell r="K2130" t="str">
            <v>Merchandising</v>
          </cell>
          <cell r="L2130" t="str">
            <v>HQ Salaries</v>
          </cell>
          <cell r="N2130" t="str">
            <v>SG&amp;A</v>
          </cell>
          <cell r="O2130" t="str">
            <v>[No Vendor]</v>
          </cell>
        </row>
        <row r="2131">
          <cell r="D2131">
            <v>1052.1300000000001</v>
          </cell>
          <cell r="H2131">
            <v>45413</v>
          </cell>
          <cell r="I2131" t="str">
            <v>6055 - Employer Social Security Tax Withheld</v>
          </cell>
          <cell r="J2131" t="str">
            <v>Wholesale</v>
          </cell>
          <cell r="K2131" t="str">
            <v>Wholesale</v>
          </cell>
          <cell r="L2131" t="str">
            <v>HQ Salaries</v>
          </cell>
          <cell r="N2131" t="str">
            <v>SG&amp;A</v>
          </cell>
          <cell r="O2131" t="str">
            <v>[No Vendor]</v>
          </cell>
        </row>
        <row r="2132">
          <cell r="D2132">
            <v>274.24</v>
          </cell>
          <cell r="H2132">
            <v>45413</v>
          </cell>
          <cell r="I2132" t="str">
            <v>6055 - Employer Social Security Tax Withheld</v>
          </cell>
          <cell r="J2132">
            <v>0</v>
          </cell>
          <cell r="K2132" t="str">
            <v>Merchandising</v>
          </cell>
          <cell r="L2132" t="str">
            <v>HQ Salaries</v>
          </cell>
          <cell r="N2132" t="str">
            <v>SG&amp;A</v>
          </cell>
          <cell r="O2132" t="str">
            <v>[No Vendor]</v>
          </cell>
        </row>
        <row r="2133">
          <cell r="D2133">
            <v>526.07000000000005</v>
          </cell>
          <cell r="H2133">
            <v>45413</v>
          </cell>
          <cell r="I2133" t="str">
            <v>6055 - Employer Social Security Tax Withheld</v>
          </cell>
          <cell r="J2133" t="str">
            <v>Wholesale</v>
          </cell>
          <cell r="K2133" t="str">
            <v>Wholesale</v>
          </cell>
          <cell r="L2133" t="str">
            <v>HQ Salaries</v>
          </cell>
          <cell r="N2133" t="str">
            <v>SG&amp;A</v>
          </cell>
          <cell r="O2133" t="str">
            <v>[No Vendor]</v>
          </cell>
        </row>
        <row r="2134">
          <cell r="D2134">
            <v>1048.72</v>
          </cell>
          <cell r="H2134">
            <v>45413</v>
          </cell>
          <cell r="I2134" t="str">
            <v>6055 - Employer Social Security Tax Withheld</v>
          </cell>
          <cell r="J2134">
            <v>0</v>
          </cell>
          <cell r="K2134" t="str">
            <v>Production</v>
          </cell>
          <cell r="L2134" t="str">
            <v>HQ Salaries</v>
          </cell>
          <cell r="N2134" t="str">
            <v>SG&amp;A</v>
          </cell>
          <cell r="O2134" t="str">
            <v>[No Vendor]</v>
          </cell>
        </row>
        <row r="2135">
          <cell r="D2135">
            <v>173.23</v>
          </cell>
          <cell r="H2135">
            <v>45413</v>
          </cell>
          <cell r="I2135" t="str">
            <v>6055 - Employer Social Security Tax Withheld</v>
          </cell>
          <cell r="J2135">
            <v>0</v>
          </cell>
          <cell r="K2135" t="str">
            <v>Brand Marketing</v>
          </cell>
          <cell r="L2135" t="str">
            <v>HQ Salaries</v>
          </cell>
          <cell r="N2135" t="str">
            <v>SG&amp;A</v>
          </cell>
          <cell r="O2135" t="str">
            <v>[No Vendor]</v>
          </cell>
        </row>
        <row r="2136">
          <cell r="D2136">
            <v>774.73</v>
          </cell>
          <cell r="H2136">
            <v>45413</v>
          </cell>
          <cell r="I2136" t="str">
            <v>6055 - Employer Social Security Tax Withheld</v>
          </cell>
          <cell r="J2136" t="str">
            <v>Ecommerce (US)</v>
          </cell>
          <cell r="K2136" t="str">
            <v>Ecommerce</v>
          </cell>
          <cell r="L2136" t="str">
            <v>HQ Salaries</v>
          </cell>
          <cell r="N2136" t="str">
            <v>SG&amp;A</v>
          </cell>
          <cell r="O2136" t="str">
            <v>[No Vendor]</v>
          </cell>
        </row>
        <row r="2137">
          <cell r="D2137">
            <v>998.93</v>
          </cell>
          <cell r="H2137">
            <v>45413</v>
          </cell>
          <cell r="I2137" t="str">
            <v>6055 - Employer Social Security Tax Withheld</v>
          </cell>
          <cell r="J2137">
            <v>0</v>
          </cell>
          <cell r="K2137" t="str">
            <v>Design</v>
          </cell>
          <cell r="L2137" t="str">
            <v>HQ Salaries</v>
          </cell>
          <cell r="N2137" t="str">
            <v>SG&amp;A</v>
          </cell>
          <cell r="O2137" t="str">
            <v>[No Vendor]</v>
          </cell>
        </row>
        <row r="2138">
          <cell r="D2138">
            <v>1144.5999999999999</v>
          </cell>
          <cell r="H2138">
            <v>45413</v>
          </cell>
          <cell r="I2138" t="str">
            <v>6055 - Employer Social Security Tax Withheld</v>
          </cell>
          <cell r="J2138">
            <v>0</v>
          </cell>
          <cell r="K2138" t="str">
            <v>Administration</v>
          </cell>
          <cell r="L2138" t="str">
            <v>HQ Salaries</v>
          </cell>
          <cell r="N2138" t="str">
            <v>SG&amp;A</v>
          </cell>
          <cell r="O2138" t="str">
            <v>[No Vendor]</v>
          </cell>
        </row>
        <row r="2139">
          <cell r="D2139">
            <v>-2404.69</v>
          </cell>
          <cell r="H2139">
            <v>45413</v>
          </cell>
          <cell r="I2139" t="str">
            <v>5000 - Cost of Goods Sold</v>
          </cell>
          <cell r="J2139" t="str">
            <v>Wholesale</v>
          </cell>
          <cell r="K2139" t="str">
            <v>Wholesale</v>
          </cell>
          <cell r="L2139" t="str">
            <v>COGS</v>
          </cell>
          <cell r="N2139" t="str">
            <v>COGS</v>
          </cell>
          <cell r="O2139" t="str">
            <v>[No Vendor]</v>
          </cell>
        </row>
        <row r="2140">
          <cell r="D2140">
            <v>99981.71</v>
          </cell>
          <cell r="H2140">
            <v>45413</v>
          </cell>
          <cell r="I2140" t="str">
            <v>5000 - Cost of Goods Sold</v>
          </cell>
          <cell r="J2140" t="str">
            <v>Wholesale</v>
          </cell>
          <cell r="K2140" t="str">
            <v>Wholesale</v>
          </cell>
          <cell r="L2140" t="str">
            <v>COGS</v>
          </cell>
          <cell r="N2140" t="str">
            <v>COGS</v>
          </cell>
          <cell r="O2140" t="str">
            <v>[No Vendor]</v>
          </cell>
        </row>
        <row r="2141">
          <cell r="D2141">
            <v>41236.04</v>
          </cell>
          <cell r="H2141">
            <v>45413</v>
          </cell>
          <cell r="I2141" t="str">
            <v>5000 - Cost of Goods Sold</v>
          </cell>
          <cell r="J2141" t="str">
            <v>Ecommerce (EU)</v>
          </cell>
          <cell r="K2141" t="str">
            <v>Ecommerce</v>
          </cell>
          <cell r="L2141" t="str">
            <v>COGS</v>
          </cell>
          <cell r="N2141" t="str">
            <v>COGS</v>
          </cell>
          <cell r="O2141" t="str">
            <v>[No Vendor]</v>
          </cell>
        </row>
        <row r="2142">
          <cell r="D2142">
            <v>411020.56</v>
          </cell>
          <cell r="H2142">
            <v>45413</v>
          </cell>
          <cell r="I2142" t="str">
            <v>5000 - Cost of Goods Sold</v>
          </cell>
          <cell r="J2142" t="str">
            <v>Ecommerce (US)</v>
          </cell>
          <cell r="K2142" t="str">
            <v>Ecommerce</v>
          </cell>
          <cell r="L2142" t="str">
            <v>COGS</v>
          </cell>
          <cell r="N2142" t="str">
            <v>COGS</v>
          </cell>
          <cell r="O2142" t="str">
            <v>[No Vendor]</v>
          </cell>
        </row>
        <row r="2143">
          <cell r="D2143">
            <v>16328.33</v>
          </cell>
          <cell r="H2143">
            <v>45413</v>
          </cell>
          <cell r="I2143" t="str">
            <v>5000 - Cost of Goods Sold</v>
          </cell>
          <cell r="J2143" t="str">
            <v>Ecommerce (US)</v>
          </cell>
          <cell r="K2143" t="str">
            <v>Ecommerce</v>
          </cell>
          <cell r="L2143" t="str">
            <v>COGS</v>
          </cell>
          <cell r="N2143" t="str">
            <v>COGS</v>
          </cell>
          <cell r="O2143" t="str">
            <v>[No Vendor]</v>
          </cell>
        </row>
        <row r="2144">
          <cell r="D2144">
            <v>-146.38999999999999</v>
          </cell>
          <cell r="H2144">
            <v>45413</v>
          </cell>
          <cell r="I2144" t="str">
            <v>8000 - Interest Income</v>
          </cell>
          <cell r="J2144">
            <v>0</v>
          </cell>
          <cell r="K2144" t="str">
            <v>Administration</v>
          </cell>
          <cell r="L2144" t="str">
            <v>Other Income (BTL)</v>
          </cell>
          <cell r="N2144" t="str">
            <v>BTL</v>
          </cell>
          <cell r="O2144" t="str">
            <v>[No Vendor]</v>
          </cell>
        </row>
        <row r="2145">
          <cell r="D2145">
            <v>2721.88</v>
          </cell>
          <cell r="H2145">
            <v>45413</v>
          </cell>
          <cell r="I2145" t="str">
            <v>6420 - Licenses &amp; Membership</v>
          </cell>
          <cell r="J2145">
            <v>0</v>
          </cell>
          <cell r="K2145" t="str">
            <v>Administration</v>
          </cell>
          <cell r="L2145" t="str">
            <v>Professional Service</v>
          </cell>
          <cell r="N2145" t="str">
            <v>Direct Costs</v>
          </cell>
          <cell r="O2145" t="str">
            <v>Apparel Magic</v>
          </cell>
        </row>
        <row r="2146">
          <cell r="D2146">
            <v>175</v>
          </cell>
          <cell r="H2146">
            <v>45413</v>
          </cell>
          <cell r="I2146" t="str">
            <v>6420 - Licenses &amp; Membership</v>
          </cell>
          <cell r="J2146">
            <v>0</v>
          </cell>
          <cell r="K2146" t="str">
            <v>Production</v>
          </cell>
          <cell r="L2146" t="str">
            <v>Professional Service</v>
          </cell>
          <cell r="N2146" t="str">
            <v>SG&amp;A</v>
          </cell>
          <cell r="O2146" t="str">
            <v>[No Vendor]</v>
          </cell>
        </row>
        <row r="2147">
          <cell r="D2147">
            <v>4984.4399999999996</v>
          </cell>
          <cell r="H2147">
            <v>45413</v>
          </cell>
          <cell r="I2147" t="str">
            <v>6375 - Freight Expenses</v>
          </cell>
          <cell r="J2147" t="str">
            <v>Ecommerce (EU)</v>
          </cell>
          <cell r="K2147" t="str">
            <v>Ecommerce</v>
          </cell>
          <cell r="L2147" t="str">
            <v>Freight</v>
          </cell>
          <cell r="N2147" t="str">
            <v>Direct Costs</v>
          </cell>
          <cell r="O2147" t="str">
            <v>Global E</v>
          </cell>
        </row>
        <row r="2148">
          <cell r="D2148">
            <v>4750</v>
          </cell>
          <cell r="H2148">
            <v>45413</v>
          </cell>
          <cell r="I2148" t="str">
            <v>6375 - Freight Expenses</v>
          </cell>
          <cell r="J2148" t="str">
            <v>Ecommerce (US)</v>
          </cell>
          <cell r="K2148" t="str">
            <v>Ecommerce</v>
          </cell>
          <cell r="L2148" t="str">
            <v>Freight</v>
          </cell>
          <cell r="N2148" t="str">
            <v>Direct Costs</v>
          </cell>
          <cell r="O2148" t="str">
            <v>Easy Post</v>
          </cell>
        </row>
        <row r="2149">
          <cell r="D2149">
            <v>7.13</v>
          </cell>
          <cell r="H2149">
            <v>45413</v>
          </cell>
          <cell r="I2149" t="str">
            <v>7030 - Plant Machinery &amp; Equipment</v>
          </cell>
          <cell r="J2149">
            <v>0</v>
          </cell>
          <cell r="K2149" t="str">
            <v>Production</v>
          </cell>
          <cell r="L2149" t="str">
            <v>Depreciation &amp; Amortization</v>
          </cell>
          <cell r="N2149" t="str">
            <v>SG&amp;A</v>
          </cell>
          <cell r="O2149" t="str">
            <v>[No Vendor]</v>
          </cell>
        </row>
        <row r="2150">
          <cell r="D2150">
            <v>14.15</v>
          </cell>
          <cell r="H2150">
            <v>45413</v>
          </cell>
          <cell r="I2150" t="str">
            <v>7030 - Plant Machinery &amp; Equipment</v>
          </cell>
          <cell r="J2150">
            <v>0</v>
          </cell>
          <cell r="K2150" t="str">
            <v>Administration</v>
          </cell>
          <cell r="L2150" t="str">
            <v>Depreciation &amp; Amortization</v>
          </cell>
          <cell r="N2150" t="str">
            <v>SG&amp;A</v>
          </cell>
          <cell r="O2150" t="str">
            <v>[No Vendor]</v>
          </cell>
        </row>
        <row r="2151">
          <cell r="D2151">
            <v>-45.16</v>
          </cell>
          <cell r="H2151">
            <v>45413</v>
          </cell>
          <cell r="I2151" t="str">
            <v>6040 - Employer Paid Benefits</v>
          </cell>
          <cell r="J2151" t="str">
            <v>Wholesale</v>
          </cell>
          <cell r="K2151" t="str">
            <v>Wholesale</v>
          </cell>
          <cell r="L2151" t="str">
            <v>HQ Salaries</v>
          </cell>
          <cell r="N2151" t="str">
            <v>SG&amp;A</v>
          </cell>
          <cell r="O2151" t="str">
            <v>[No Vendor]</v>
          </cell>
        </row>
        <row r="2152">
          <cell r="D2152">
            <v>-409.66</v>
          </cell>
          <cell r="H2152">
            <v>45413</v>
          </cell>
          <cell r="I2152" t="str">
            <v>6040 - Employer Paid Benefits</v>
          </cell>
          <cell r="J2152">
            <v>0</v>
          </cell>
          <cell r="K2152" t="str">
            <v>Production</v>
          </cell>
          <cell r="L2152" t="str">
            <v>HQ Salaries</v>
          </cell>
          <cell r="N2152" t="str">
            <v>SG&amp;A</v>
          </cell>
          <cell r="O2152" t="str">
            <v>[No Vendor]</v>
          </cell>
        </row>
        <row r="2153">
          <cell r="D2153">
            <v>-22.58</v>
          </cell>
          <cell r="H2153">
            <v>45413</v>
          </cell>
          <cell r="I2153" t="str">
            <v>6040 - Employer Paid Benefits</v>
          </cell>
          <cell r="J2153">
            <v>0</v>
          </cell>
          <cell r="K2153" t="str">
            <v>Brand Marketing</v>
          </cell>
          <cell r="L2153" t="str">
            <v>HQ Salaries</v>
          </cell>
          <cell r="N2153" t="str">
            <v>SG&amp;A</v>
          </cell>
          <cell r="O2153" t="str">
            <v>[No Vendor]</v>
          </cell>
        </row>
        <row r="2154">
          <cell r="D2154">
            <v>-121.85</v>
          </cell>
          <cell r="H2154">
            <v>45413</v>
          </cell>
          <cell r="I2154" t="str">
            <v>6040 - Employer Paid Benefits</v>
          </cell>
          <cell r="J2154" t="str">
            <v>Ecommerce (US)</v>
          </cell>
          <cell r="K2154" t="str">
            <v>Ecommerce</v>
          </cell>
          <cell r="L2154" t="str">
            <v>HQ Salaries</v>
          </cell>
          <cell r="N2154" t="str">
            <v>SG&amp;A</v>
          </cell>
          <cell r="O2154" t="str">
            <v>[No Vendor]</v>
          </cell>
        </row>
        <row r="2155">
          <cell r="D2155">
            <v>-363.42</v>
          </cell>
          <cell r="H2155">
            <v>45413</v>
          </cell>
          <cell r="I2155" t="str">
            <v>6040 - Employer Paid Benefits</v>
          </cell>
          <cell r="J2155">
            <v>0</v>
          </cell>
          <cell r="K2155" t="str">
            <v>Design</v>
          </cell>
          <cell r="L2155" t="str">
            <v>HQ Salaries</v>
          </cell>
          <cell r="N2155" t="str">
            <v>SG&amp;A</v>
          </cell>
          <cell r="O2155" t="str">
            <v>[No Vendor]</v>
          </cell>
        </row>
        <row r="2156">
          <cell r="D2156">
            <v>-163.69999999999999</v>
          </cell>
          <cell r="H2156">
            <v>45413</v>
          </cell>
          <cell r="I2156" t="str">
            <v>6040 - Employer Paid Benefits</v>
          </cell>
          <cell r="J2156">
            <v>0</v>
          </cell>
          <cell r="K2156" t="str">
            <v>Administration</v>
          </cell>
          <cell r="L2156" t="str">
            <v>HQ Salaries</v>
          </cell>
          <cell r="N2156" t="str">
            <v>SG&amp;A</v>
          </cell>
          <cell r="O2156" t="str">
            <v>[No Vendor]</v>
          </cell>
        </row>
        <row r="2157">
          <cell r="D2157">
            <v>0</v>
          </cell>
          <cell r="H2157">
            <v>45413</v>
          </cell>
          <cell r="I2157" t="str">
            <v>6040 - Employer Paid Benefits</v>
          </cell>
          <cell r="J2157">
            <v>0</v>
          </cell>
          <cell r="K2157" t="str">
            <v>Merchandising</v>
          </cell>
          <cell r="L2157" t="str">
            <v>HQ Salaries</v>
          </cell>
          <cell r="N2157" t="str">
            <v>SG&amp;A</v>
          </cell>
          <cell r="O2157" t="str">
            <v>[No Vendor]</v>
          </cell>
        </row>
        <row r="2158">
          <cell r="D2158">
            <v>0</v>
          </cell>
          <cell r="H2158">
            <v>45413</v>
          </cell>
          <cell r="I2158" t="str">
            <v>6040 - Employer Paid Benefits</v>
          </cell>
          <cell r="J2158">
            <v>0</v>
          </cell>
          <cell r="K2158" t="str">
            <v>Merchandising</v>
          </cell>
          <cell r="L2158" t="str">
            <v>HQ Salaries</v>
          </cell>
          <cell r="N2158" t="str">
            <v>SG&amp;A</v>
          </cell>
          <cell r="O2158" t="str">
            <v>[No Vendor]</v>
          </cell>
        </row>
        <row r="2159">
          <cell r="D2159">
            <v>-22.58</v>
          </cell>
          <cell r="H2159">
            <v>45413</v>
          </cell>
          <cell r="I2159" t="str">
            <v>6040 - Employer Paid Benefits</v>
          </cell>
          <cell r="J2159" t="str">
            <v>Wholesale</v>
          </cell>
          <cell r="K2159" t="str">
            <v>Wholesale</v>
          </cell>
          <cell r="L2159" t="str">
            <v>HQ Salaries</v>
          </cell>
          <cell r="N2159" t="str">
            <v>SG&amp;A</v>
          </cell>
          <cell r="O2159" t="str">
            <v>[No Vendor]</v>
          </cell>
        </row>
        <row r="2160">
          <cell r="D2160">
            <v>-204.83</v>
          </cell>
          <cell r="H2160">
            <v>45413</v>
          </cell>
          <cell r="I2160" t="str">
            <v>6040 - Employer Paid Benefits</v>
          </cell>
          <cell r="J2160">
            <v>0</v>
          </cell>
          <cell r="K2160" t="str">
            <v>Production</v>
          </cell>
          <cell r="L2160" t="str">
            <v>HQ Salaries</v>
          </cell>
          <cell r="N2160" t="str">
            <v>SG&amp;A</v>
          </cell>
          <cell r="O2160" t="str">
            <v>[No Vendor]</v>
          </cell>
        </row>
        <row r="2161">
          <cell r="D2161">
            <v>-11.29</v>
          </cell>
          <cell r="H2161">
            <v>45413</v>
          </cell>
          <cell r="I2161" t="str">
            <v>6040 - Employer Paid Benefits</v>
          </cell>
          <cell r="J2161">
            <v>0</v>
          </cell>
          <cell r="K2161" t="str">
            <v>Brand Marketing</v>
          </cell>
          <cell r="L2161" t="str">
            <v>HQ Salaries</v>
          </cell>
          <cell r="N2161" t="str">
            <v>SG&amp;A</v>
          </cell>
          <cell r="O2161" t="str">
            <v>[No Vendor]</v>
          </cell>
        </row>
        <row r="2162">
          <cell r="D2162">
            <v>-60.93</v>
          </cell>
          <cell r="H2162">
            <v>45413</v>
          </cell>
          <cell r="I2162" t="str">
            <v>6040 - Employer Paid Benefits</v>
          </cell>
          <cell r="J2162" t="str">
            <v>Ecommerce (US)</v>
          </cell>
          <cell r="K2162" t="str">
            <v>Ecommerce</v>
          </cell>
          <cell r="L2162" t="str">
            <v>HQ Salaries</v>
          </cell>
          <cell r="N2162" t="str">
            <v>SG&amp;A</v>
          </cell>
          <cell r="O2162" t="str">
            <v>[No Vendor]</v>
          </cell>
        </row>
        <row r="2163">
          <cell r="D2163">
            <v>-181.71</v>
          </cell>
          <cell r="H2163">
            <v>45413</v>
          </cell>
          <cell r="I2163" t="str">
            <v>6040 - Employer Paid Benefits</v>
          </cell>
          <cell r="J2163">
            <v>0</v>
          </cell>
          <cell r="K2163" t="str">
            <v>Design</v>
          </cell>
          <cell r="L2163" t="str">
            <v>HQ Salaries</v>
          </cell>
          <cell r="N2163" t="str">
            <v>SG&amp;A</v>
          </cell>
          <cell r="O2163" t="str">
            <v>[No Vendor]</v>
          </cell>
        </row>
        <row r="2164">
          <cell r="D2164">
            <v>-81.849999999999994</v>
          </cell>
          <cell r="H2164">
            <v>45413</v>
          </cell>
          <cell r="I2164" t="str">
            <v>6040 - Employer Paid Benefits</v>
          </cell>
          <cell r="J2164">
            <v>0</v>
          </cell>
          <cell r="K2164" t="str">
            <v>Administration</v>
          </cell>
          <cell r="L2164" t="str">
            <v>HQ Salaries</v>
          </cell>
          <cell r="N2164" t="str">
            <v>SG&amp;A</v>
          </cell>
          <cell r="O2164" t="str">
            <v>[No Vendor]</v>
          </cell>
        </row>
        <row r="2165">
          <cell r="D2165">
            <v>9911.5499999999993</v>
          </cell>
          <cell r="H2165">
            <v>45413</v>
          </cell>
          <cell r="I2165" t="str">
            <v>6005 - Salaries</v>
          </cell>
          <cell r="J2165" t="str">
            <v>Wholesale</v>
          </cell>
          <cell r="K2165" t="str">
            <v>Wholesale</v>
          </cell>
          <cell r="L2165" t="str">
            <v>HQ Salaries</v>
          </cell>
          <cell r="N2165" t="str">
            <v>SG&amp;A</v>
          </cell>
          <cell r="O2165" t="str">
            <v>[No Vendor]</v>
          </cell>
        </row>
        <row r="2166">
          <cell r="D2166">
            <v>19988.490000000002</v>
          </cell>
          <cell r="H2166">
            <v>45413</v>
          </cell>
          <cell r="I2166" t="str">
            <v>6005 - Salaries</v>
          </cell>
          <cell r="J2166">
            <v>0</v>
          </cell>
          <cell r="K2166" t="str">
            <v>Production</v>
          </cell>
          <cell r="L2166" t="str">
            <v>HQ Salaries</v>
          </cell>
          <cell r="N2166" t="str">
            <v>SG&amp;A</v>
          </cell>
          <cell r="O2166" t="str">
            <v>[No Vendor]</v>
          </cell>
        </row>
        <row r="2167">
          <cell r="D2167">
            <v>3269.24</v>
          </cell>
          <cell r="H2167">
            <v>45413</v>
          </cell>
          <cell r="I2167" t="str">
            <v>6005 - Salaries</v>
          </cell>
          <cell r="J2167">
            <v>0</v>
          </cell>
          <cell r="K2167" t="str">
            <v>Brand Marketing</v>
          </cell>
          <cell r="L2167" t="str">
            <v>HQ Salaries</v>
          </cell>
          <cell r="N2167" t="str">
            <v>SG&amp;A</v>
          </cell>
          <cell r="O2167" t="str">
            <v>[No Vendor]</v>
          </cell>
        </row>
        <row r="2168">
          <cell r="D2168">
            <v>20780.8</v>
          </cell>
          <cell r="H2168">
            <v>45413</v>
          </cell>
          <cell r="I2168" t="str">
            <v>6005 - Salaries</v>
          </cell>
          <cell r="J2168" t="str">
            <v>Ecommerce (US)</v>
          </cell>
          <cell r="K2168" t="str">
            <v>Ecommerce</v>
          </cell>
          <cell r="L2168" t="str">
            <v>HQ Salaries</v>
          </cell>
          <cell r="N2168" t="str">
            <v>SG&amp;A</v>
          </cell>
          <cell r="O2168" t="str">
            <v>[No Vendor]</v>
          </cell>
        </row>
        <row r="2169">
          <cell r="D2169">
            <v>20857.7</v>
          </cell>
          <cell r="H2169">
            <v>45413</v>
          </cell>
          <cell r="I2169" t="str">
            <v>6005 - Salaries</v>
          </cell>
          <cell r="J2169">
            <v>0</v>
          </cell>
          <cell r="K2169" t="str">
            <v>Design</v>
          </cell>
          <cell r="L2169" t="str">
            <v>HQ Salaries</v>
          </cell>
          <cell r="N2169" t="str">
            <v>SG&amp;A</v>
          </cell>
          <cell r="O2169" t="str">
            <v>[No Vendor]</v>
          </cell>
        </row>
        <row r="2170">
          <cell r="D2170">
            <v>23484.639999999999</v>
          </cell>
          <cell r="H2170">
            <v>45413</v>
          </cell>
          <cell r="I2170" t="str">
            <v>6005 - Salaries</v>
          </cell>
          <cell r="J2170">
            <v>0</v>
          </cell>
          <cell r="K2170" t="str">
            <v>Administration</v>
          </cell>
          <cell r="L2170" t="str">
            <v>HQ Salaries</v>
          </cell>
          <cell r="N2170" t="str">
            <v>SG&amp;A</v>
          </cell>
          <cell r="O2170" t="str">
            <v>[No Vendor]</v>
          </cell>
        </row>
        <row r="2171">
          <cell r="D2171">
            <v>5150</v>
          </cell>
          <cell r="H2171">
            <v>45413</v>
          </cell>
          <cell r="I2171" t="str">
            <v>6005 - Salaries</v>
          </cell>
          <cell r="J2171">
            <v>0</v>
          </cell>
          <cell r="K2171" t="str">
            <v>Merchandising</v>
          </cell>
          <cell r="L2171" t="str">
            <v>HQ Salaries</v>
          </cell>
          <cell r="N2171" t="str">
            <v>SG&amp;A</v>
          </cell>
          <cell r="O2171" t="str">
            <v>[No Vendor]</v>
          </cell>
        </row>
        <row r="2172">
          <cell r="D2172">
            <v>2575</v>
          </cell>
          <cell r="H2172">
            <v>45413</v>
          </cell>
          <cell r="I2172" t="str">
            <v>6005 - Salaries</v>
          </cell>
          <cell r="J2172">
            <v>0</v>
          </cell>
          <cell r="K2172" t="str">
            <v>Merchandising</v>
          </cell>
          <cell r="L2172" t="str">
            <v>HQ Salaries</v>
          </cell>
          <cell r="N2172" t="str">
            <v>SG&amp;A</v>
          </cell>
          <cell r="O2172" t="str">
            <v>[No Vendor]</v>
          </cell>
        </row>
        <row r="2173">
          <cell r="D2173">
            <v>4955.78</v>
          </cell>
          <cell r="H2173">
            <v>45413</v>
          </cell>
          <cell r="I2173" t="str">
            <v>6005 - Salaries</v>
          </cell>
          <cell r="J2173" t="str">
            <v>Wholesale</v>
          </cell>
          <cell r="K2173" t="str">
            <v>Wholesale</v>
          </cell>
          <cell r="L2173" t="str">
            <v>HQ Salaries</v>
          </cell>
          <cell r="N2173" t="str">
            <v>SG&amp;A</v>
          </cell>
          <cell r="O2173" t="str">
            <v>[No Vendor]</v>
          </cell>
        </row>
        <row r="2174">
          <cell r="D2174">
            <v>9994.25</v>
          </cell>
          <cell r="H2174">
            <v>45413</v>
          </cell>
          <cell r="I2174" t="str">
            <v>6005 - Salaries</v>
          </cell>
          <cell r="J2174">
            <v>0</v>
          </cell>
          <cell r="K2174" t="str">
            <v>Production</v>
          </cell>
          <cell r="L2174" t="str">
            <v>HQ Salaries</v>
          </cell>
          <cell r="N2174" t="str">
            <v>SG&amp;A</v>
          </cell>
          <cell r="O2174" t="str">
            <v>[No Vendor]</v>
          </cell>
        </row>
        <row r="2175">
          <cell r="D2175">
            <v>1634.62</v>
          </cell>
          <cell r="H2175">
            <v>45413</v>
          </cell>
          <cell r="I2175" t="str">
            <v>6005 - Salaries</v>
          </cell>
          <cell r="J2175">
            <v>0</v>
          </cell>
          <cell r="K2175" t="str">
            <v>Brand Marketing</v>
          </cell>
          <cell r="L2175" t="str">
            <v>HQ Salaries</v>
          </cell>
          <cell r="N2175" t="str">
            <v>SG&amp;A</v>
          </cell>
          <cell r="O2175" t="str">
            <v>[No Vendor]</v>
          </cell>
        </row>
        <row r="2176">
          <cell r="D2176">
            <v>10390.4</v>
          </cell>
          <cell r="H2176">
            <v>45413</v>
          </cell>
          <cell r="I2176" t="str">
            <v>6005 - Salaries</v>
          </cell>
          <cell r="J2176" t="str">
            <v>Ecommerce (US)</v>
          </cell>
          <cell r="K2176" t="str">
            <v>Ecommerce</v>
          </cell>
          <cell r="L2176" t="str">
            <v>HQ Salaries</v>
          </cell>
          <cell r="N2176" t="str">
            <v>SG&amp;A</v>
          </cell>
          <cell r="O2176" t="str">
            <v>[No Vendor]</v>
          </cell>
        </row>
        <row r="2177">
          <cell r="D2177">
            <v>10428.85</v>
          </cell>
          <cell r="H2177">
            <v>45413</v>
          </cell>
          <cell r="I2177" t="str">
            <v>6005 - Salaries</v>
          </cell>
          <cell r="J2177">
            <v>0</v>
          </cell>
          <cell r="K2177" t="str">
            <v>Design</v>
          </cell>
          <cell r="L2177" t="str">
            <v>HQ Salaries</v>
          </cell>
          <cell r="N2177" t="str">
            <v>SG&amp;A</v>
          </cell>
          <cell r="O2177" t="str">
            <v>[No Vendor]</v>
          </cell>
        </row>
        <row r="2178">
          <cell r="D2178">
            <v>11742.32</v>
          </cell>
          <cell r="H2178">
            <v>45413</v>
          </cell>
          <cell r="I2178" t="str">
            <v>6005 - Salaries</v>
          </cell>
          <cell r="J2178">
            <v>0</v>
          </cell>
          <cell r="K2178" t="str">
            <v>Administration</v>
          </cell>
          <cell r="L2178" t="str">
            <v>HQ Salaries</v>
          </cell>
          <cell r="N2178" t="str">
            <v>SG&amp;A</v>
          </cell>
          <cell r="O2178" t="str">
            <v>[No Vendor]</v>
          </cell>
        </row>
        <row r="2179">
          <cell r="D2179">
            <v>0</v>
          </cell>
          <cell r="H2179">
            <v>45413</v>
          </cell>
          <cell r="I2179" t="str">
            <v>4020 - Revenue - Marketing Contribution</v>
          </cell>
          <cell r="J2179">
            <v>0</v>
          </cell>
          <cell r="K2179" t="str">
            <v>Licensing</v>
          </cell>
          <cell r="L2179" t="str">
            <v>License</v>
          </cell>
          <cell r="N2179" t="str">
            <v>Revenue</v>
          </cell>
          <cell r="O2179" t="str">
            <v>[No Vendor]</v>
          </cell>
        </row>
        <row r="2180">
          <cell r="D2180">
            <v>0</v>
          </cell>
          <cell r="H2180">
            <v>45413</v>
          </cell>
          <cell r="I2180" t="str">
            <v>4010 - Revenue - Licensing Fees (Royalties)</v>
          </cell>
          <cell r="J2180">
            <v>0</v>
          </cell>
          <cell r="K2180" t="str">
            <v>Licensing</v>
          </cell>
          <cell r="L2180" t="str">
            <v>License</v>
          </cell>
          <cell r="N2180" t="str">
            <v>Revenue</v>
          </cell>
          <cell r="O2180" t="str">
            <v>[No Vendor]</v>
          </cell>
        </row>
        <row r="2181">
          <cell r="D2181">
            <v>0</v>
          </cell>
          <cell r="H2181">
            <v>45413</v>
          </cell>
          <cell r="I2181" t="str">
            <v>4010 - Revenue - Licensing Fees (Royalties)</v>
          </cell>
          <cell r="J2181">
            <v>0</v>
          </cell>
          <cell r="K2181" t="str">
            <v>Licensing</v>
          </cell>
          <cell r="L2181" t="str">
            <v>License</v>
          </cell>
          <cell r="N2181" t="str">
            <v>Revenue</v>
          </cell>
          <cell r="O2181" t="str">
            <v>[No Vendor]</v>
          </cell>
        </row>
        <row r="2182">
          <cell r="D2182">
            <v>-15100.4</v>
          </cell>
          <cell r="H2182">
            <v>45413</v>
          </cell>
          <cell r="I2182" t="str">
            <v>4010 - Revenue - Licensing Fees (Royalties)</v>
          </cell>
          <cell r="J2182">
            <v>0</v>
          </cell>
          <cell r="K2182" t="str">
            <v>Licensing</v>
          </cell>
          <cell r="L2182" t="str">
            <v>License</v>
          </cell>
          <cell r="N2182" t="str">
            <v>Revenue</v>
          </cell>
          <cell r="O2182" t="str">
            <v>[No Vendor]</v>
          </cell>
        </row>
        <row r="2183">
          <cell r="D2183">
            <v>0</v>
          </cell>
          <cell r="H2183">
            <v>45413</v>
          </cell>
          <cell r="I2183" t="str">
            <v>4010 - Revenue - Licensing Fees (Royalties)</v>
          </cell>
          <cell r="J2183">
            <v>0</v>
          </cell>
          <cell r="K2183" t="str">
            <v>Licensing</v>
          </cell>
          <cell r="L2183" t="str">
            <v>License</v>
          </cell>
          <cell r="N2183" t="str">
            <v>Revenue</v>
          </cell>
          <cell r="O2183" t="str">
            <v>[No Vendor]</v>
          </cell>
        </row>
        <row r="2184">
          <cell r="D2184">
            <v>-40447.5</v>
          </cell>
          <cell r="H2184">
            <v>45413</v>
          </cell>
          <cell r="I2184" t="str">
            <v>4010 - Revenue - Licensing Fees (Royalties)</v>
          </cell>
          <cell r="J2184">
            <v>0</v>
          </cell>
          <cell r="K2184" t="str">
            <v>Licensing</v>
          </cell>
          <cell r="L2184" t="str">
            <v>License</v>
          </cell>
          <cell r="N2184" t="str">
            <v>Revenue</v>
          </cell>
          <cell r="O2184" t="str">
            <v>[No Vendor]</v>
          </cell>
        </row>
        <row r="2185">
          <cell r="D2185">
            <v>0</v>
          </cell>
          <cell r="H2185">
            <v>45413</v>
          </cell>
          <cell r="I2185" t="str">
            <v>4010 - Revenue - Licensing Fees (Royalties)</v>
          </cell>
          <cell r="J2185">
            <v>0</v>
          </cell>
          <cell r="K2185" t="str">
            <v>Licensing</v>
          </cell>
          <cell r="L2185" t="str">
            <v>License</v>
          </cell>
          <cell r="N2185" t="str">
            <v>Revenue</v>
          </cell>
          <cell r="O2185" t="str">
            <v>[No Vendor]</v>
          </cell>
        </row>
        <row r="2186">
          <cell r="D2186">
            <v>0</v>
          </cell>
          <cell r="H2186">
            <v>45413</v>
          </cell>
          <cell r="I2186" t="str">
            <v>4010 - Revenue - Licensing Fees (Royalties)</v>
          </cell>
          <cell r="J2186">
            <v>0</v>
          </cell>
          <cell r="K2186" t="str">
            <v>Licensing</v>
          </cell>
          <cell r="L2186" t="str">
            <v>License</v>
          </cell>
          <cell r="N2186" t="str">
            <v>Revenue</v>
          </cell>
          <cell r="O2186" t="str">
            <v>[No Vendor]</v>
          </cell>
        </row>
        <row r="2187">
          <cell r="D2187">
            <v>150.44999999999999</v>
          </cell>
          <cell r="H2187">
            <v>45444</v>
          </cell>
          <cell r="I2187" t="str">
            <v>6040 - Employer Paid Benefits</v>
          </cell>
          <cell r="J2187">
            <v>0</v>
          </cell>
          <cell r="K2187" t="str">
            <v>Administration</v>
          </cell>
          <cell r="L2187" t="str">
            <v>HQ Salaries</v>
          </cell>
          <cell r="N2187" t="str">
            <v>SG&amp;A</v>
          </cell>
          <cell r="O2187" t="str">
            <v>Allied Administrators</v>
          </cell>
        </row>
        <row r="2188">
          <cell r="D2188">
            <v>1685.17</v>
          </cell>
          <cell r="H2188">
            <v>45444</v>
          </cell>
          <cell r="I2188" t="str">
            <v>6393 - Software</v>
          </cell>
          <cell r="J2188" t="str">
            <v>Ecommerce (US)</v>
          </cell>
          <cell r="K2188" t="str">
            <v>Ecommerce</v>
          </cell>
          <cell r="L2188" t="str">
            <v>Professional Service</v>
          </cell>
          <cell r="N2188" t="str">
            <v>Direct Costs</v>
          </cell>
          <cell r="O2188" t="str">
            <v>Robert  McKinney</v>
          </cell>
        </row>
        <row r="2189">
          <cell r="D2189">
            <v>384.02</v>
          </cell>
          <cell r="H2189">
            <v>45444</v>
          </cell>
          <cell r="I2189" t="str">
            <v>6210 - Monitoring</v>
          </cell>
          <cell r="J2189" t="str">
            <v>Ecommerce (EU)</v>
          </cell>
          <cell r="K2189" t="str">
            <v>Ecommerce</v>
          </cell>
          <cell r="L2189" t="str">
            <v>Professional Service</v>
          </cell>
          <cell r="N2189" t="str">
            <v>Direct Costs</v>
          </cell>
          <cell r="O2189" t="str">
            <v>Convey SRL</v>
          </cell>
        </row>
        <row r="2190">
          <cell r="D2190">
            <v>300</v>
          </cell>
          <cell r="H2190">
            <v>45444</v>
          </cell>
          <cell r="I2190" t="str">
            <v>6360 - Model - Fitting</v>
          </cell>
          <cell r="J2190" t="str">
            <v>Wholesale</v>
          </cell>
          <cell r="K2190" t="str">
            <v>Production</v>
          </cell>
          <cell r="L2190" t="str">
            <v>Sample</v>
          </cell>
          <cell r="N2190" t="str">
            <v>SG&amp;A</v>
          </cell>
          <cell r="O2190" t="str">
            <v>Lamar J Ballard</v>
          </cell>
        </row>
        <row r="2191">
          <cell r="D2191">
            <v>1197.3599999999999</v>
          </cell>
          <cell r="H2191">
            <v>45444</v>
          </cell>
          <cell r="I2191" t="str">
            <v>6380 - Legal &amp; Accounting</v>
          </cell>
          <cell r="J2191">
            <v>0</v>
          </cell>
          <cell r="K2191" t="str">
            <v>Administration</v>
          </cell>
          <cell r="L2191" t="str">
            <v>Professional Service</v>
          </cell>
          <cell r="N2191" t="str">
            <v>SG&amp;A</v>
          </cell>
          <cell r="O2191" t="str">
            <v>Law Office of Soo Park, PLC</v>
          </cell>
        </row>
        <row r="2192">
          <cell r="D2192">
            <v>470.24</v>
          </cell>
          <cell r="H2192">
            <v>45444</v>
          </cell>
          <cell r="I2192" t="str">
            <v>6340 - Miscellaneous Expense</v>
          </cell>
          <cell r="J2192">
            <v>0</v>
          </cell>
          <cell r="K2192" t="str">
            <v>Administration</v>
          </cell>
          <cell r="L2192" t="str">
            <v>Other</v>
          </cell>
          <cell r="N2192" t="str">
            <v>SG&amp;A</v>
          </cell>
          <cell r="O2192" t="str">
            <v>Antelope LLC</v>
          </cell>
        </row>
        <row r="2193">
          <cell r="D2193">
            <v>344.13</v>
          </cell>
          <cell r="H2193">
            <v>45444</v>
          </cell>
          <cell r="I2193" t="str">
            <v>6340 - Miscellaneous Expense</v>
          </cell>
          <cell r="J2193">
            <v>0</v>
          </cell>
          <cell r="K2193" t="str">
            <v>Administration</v>
          </cell>
          <cell r="L2193" t="str">
            <v>Other</v>
          </cell>
          <cell r="N2193" t="str">
            <v>SG&amp;A</v>
          </cell>
          <cell r="O2193" t="str">
            <v>Amazon Capital Services</v>
          </cell>
        </row>
        <row r="2194">
          <cell r="D2194">
            <v>4903.2</v>
          </cell>
          <cell r="H2194">
            <v>45444</v>
          </cell>
          <cell r="I2194" t="str">
            <v>6363 - Development</v>
          </cell>
          <cell r="J2194" t="str">
            <v>Wholesale</v>
          </cell>
          <cell r="K2194" t="str">
            <v>Production</v>
          </cell>
          <cell r="L2194" t="str">
            <v>Sample</v>
          </cell>
          <cell r="N2194" t="str">
            <v>SG&amp;A</v>
          </cell>
          <cell r="O2194" t="str">
            <v>Porta Asiatica Enterprises Inc</v>
          </cell>
        </row>
        <row r="2195">
          <cell r="D2195">
            <v>4663.75</v>
          </cell>
          <cell r="H2195">
            <v>45444</v>
          </cell>
          <cell r="I2195" t="str">
            <v>6363 - Development</v>
          </cell>
          <cell r="J2195" t="str">
            <v>Wholesale</v>
          </cell>
          <cell r="K2195" t="str">
            <v>Production</v>
          </cell>
          <cell r="L2195" t="str">
            <v>Sample</v>
          </cell>
          <cell r="N2195" t="str">
            <v>SG&amp;A</v>
          </cell>
          <cell r="O2195" t="str">
            <v>Porta Asiatica Enterprises Inc</v>
          </cell>
        </row>
        <row r="2196">
          <cell r="D2196">
            <v>1275.0999999999999</v>
          </cell>
          <cell r="H2196">
            <v>45444</v>
          </cell>
          <cell r="I2196" t="str">
            <v>6120 - Lodging</v>
          </cell>
          <cell r="J2196" t="str">
            <v>Ecommerce (US)</v>
          </cell>
          <cell r="K2196" t="str">
            <v>Ecommerce</v>
          </cell>
          <cell r="L2196" t="str">
            <v>T&amp;E</v>
          </cell>
          <cell r="N2196" t="str">
            <v>SG&amp;A</v>
          </cell>
          <cell r="O2196" t="str">
            <v>[No Vendor]</v>
          </cell>
        </row>
        <row r="2197">
          <cell r="D2197">
            <v>0.37</v>
          </cell>
          <cell r="H2197">
            <v>45444</v>
          </cell>
          <cell r="I2197" t="str">
            <v>6450 - Bank &amp; Other Fees</v>
          </cell>
          <cell r="J2197" t="str">
            <v>Ecommerce (US)</v>
          </cell>
          <cell r="K2197" t="str">
            <v>Ecommerce</v>
          </cell>
          <cell r="L2197" t="str">
            <v>Professional Service</v>
          </cell>
          <cell r="N2197" t="str">
            <v>Direct Costs</v>
          </cell>
          <cell r="O2197" t="str">
            <v>[No Vendor]</v>
          </cell>
        </row>
        <row r="2198">
          <cell r="D2198">
            <v>138</v>
          </cell>
          <cell r="H2198">
            <v>45444</v>
          </cell>
          <cell r="I2198" t="str">
            <v>6430 - Dues &amp; Memberships</v>
          </cell>
          <cell r="J2198" t="str">
            <v>Wholesale</v>
          </cell>
          <cell r="K2198" t="str">
            <v>Wholesale</v>
          </cell>
          <cell r="L2198" t="str">
            <v>Professional Service</v>
          </cell>
          <cell r="N2198" t="str">
            <v>Direct Costs</v>
          </cell>
          <cell r="O2198" t="str">
            <v>SPS Commerce</v>
          </cell>
        </row>
        <row r="2199">
          <cell r="D2199">
            <v>1786.24</v>
          </cell>
          <cell r="H2199">
            <v>45444</v>
          </cell>
          <cell r="I2199" t="str">
            <v>6385 - Insurance</v>
          </cell>
          <cell r="J2199">
            <v>0</v>
          </cell>
          <cell r="K2199" t="str">
            <v>Administration</v>
          </cell>
          <cell r="L2199" t="str">
            <v>Professional Service</v>
          </cell>
          <cell r="N2199" t="str">
            <v>SG&amp;A</v>
          </cell>
          <cell r="O2199" t="str">
            <v>The Hartford</v>
          </cell>
        </row>
        <row r="2200">
          <cell r="D2200">
            <v>65.33</v>
          </cell>
          <cell r="H2200">
            <v>45444</v>
          </cell>
          <cell r="I2200" t="str">
            <v>6400 - Utilities</v>
          </cell>
          <cell r="J2200">
            <v>0</v>
          </cell>
          <cell r="K2200" t="str">
            <v>Administration</v>
          </cell>
          <cell r="L2200" t="str">
            <v>Other</v>
          </cell>
          <cell r="N2200" t="str">
            <v>SG&amp;A</v>
          </cell>
          <cell r="O2200" t="str">
            <v>NYC Intercom Inc</v>
          </cell>
        </row>
        <row r="2201">
          <cell r="D2201">
            <v>410.13</v>
          </cell>
          <cell r="H2201">
            <v>45444</v>
          </cell>
          <cell r="I2201" t="str">
            <v>6400 - Utilities</v>
          </cell>
          <cell r="J2201">
            <v>0</v>
          </cell>
          <cell r="K2201" t="str">
            <v>Administration</v>
          </cell>
          <cell r="L2201" t="str">
            <v>Other</v>
          </cell>
          <cell r="N2201" t="str">
            <v>SG&amp;A</v>
          </cell>
          <cell r="O2201" t="str">
            <v>Antelope LLC</v>
          </cell>
        </row>
        <row r="2202">
          <cell r="D2202">
            <v>3920.5</v>
          </cell>
          <cell r="H2202">
            <v>45444</v>
          </cell>
          <cell r="I2202" t="str">
            <v>6225 - Professional Services</v>
          </cell>
          <cell r="J2202">
            <v>0</v>
          </cell>
          <cell r="K2202" t="str">
            <v>Administration</v>
          </cell>
          <cell r="L2202" t="str">
            <v>Professional Service</v>
          </cell>
          <cell r="N2202" t="str">
            <v>Direct Costs</v>
          </cell>
          <cell r="O2202" t="str">
            <v>Enom Solutions, Inc-DBA 3nom</v>
          </cell>
        </row>
        <row r="2203">
          <cell r="D2203">
            <v>29703.59</v>
          </cell>
          <cell r="H2203">
            <v>45444</v>
          </cell>
          <cell r="I2203" t="str">
            <v>6225 - Professional Services</v>
          </cell>
          <cell r="J2203" t="str">
            <v>Ecommerce (US)</v>
          </cell>
          <cell r="K2203" t="str">
            <v>Ecommerce</v>
          </cell>
          <cell r="L2203" t="str">
            <v>Professional Service</v>
          </cell>
          <cell r="N2203" t="str">
            <v>Direct Costs</v>
          </cell>
          <cell r="O2203" t="str">
            <v>Rareview, LLC</v>
          </cell>
        </row>
        <row r="2204">
          <cell r="D2204">
            <v>29236.67</v>
          </cell>
          <cell r="H2204">
            <v>45444</v>
          </cell>
          <cell r="I2204" t="str">
            <v>6320 - Building Rent</v>
          </cell>
          <cell r="J2204">
            <v>0</v>
          </cell>
          <cell r="K2204" t="str">
            <v>Administration</v>
          </cell>
          <cell r="L2204" t="str">
            <v>Rent</v>
          </cell>
          <cell r="N2204" t="str">
            <v>SG&amp;A</v>
          </cell>
          <cell r="O2204" t="str">
            <v>Antelope LLC</v>
          </cell>
        </row>
        <row r="2205">
          <cell r="D2205">
            <v>1633.9</v>
          </cell>
          <cell r="H2205">
            <v>45444</v>
          </cell>
          <cell r="I2205" t="str">
            <v>6040 - Employer Paid Benefits</v>
          </cell>
          <cell r="J2205" t="str">
            <v>Wholesale</v>
          </cell>
          <cell r="K2205" t="str">
            <v>Wholesale</v>
          </cell>
          <cell r="L2205" t="str">
            <v>HQ Salaries</v>
          </cell>
          <cell r="N2205" t="str">
            <v>SG&amp;A</v>
          </cell>
          <cell r="O2205" t="str">
            <v>Excellus Health Plan - Group</v>
          </cell>
        </row>
        <row r="2206">
          <cell r="D2206">
            <v>3839.66</v>
          </cell>
          <cell r="H2206">
            <v>45444</v>
          </cell>
          <cell r="I2206" t="str">
            <v>6040 - Employer Paid Benefits</v>
          </cell>
          <cell r="J2206">
            <v>0</v>
          </cell>
          <cell r="K2206" t="str">
            <v>Production</v>
          </cell>
          <cell r="L2206" t="str">
            <v>HQ Salaries</v>
          </cell>
          <cell r="N2206" t="str">
            <v>SG&amp;A</v>
          </cell>
          <cell r="O2206" t="str">
            <v>Excellus Health Plan - Group</v>
          </cell>
        </row>
        <row r="2207">
          <cell r="D2207">
            <v>816.95</v>
          </cell>
          <cell r="H2207">
            <v>45444</v>
          </cell>
          <cell r="I2207" t="str">
            <v>6040 - Employer Paid Benefits</v>
          </cell>
          <cell r="J2207">
            <v>0</v>
          </cell>
          <cell r="K2207" t="str">
            <v>Merchandising</v>
          </cell>
          <cell r="L2207" t="str">
            <v>HQ Salaries</v>
          </cell>
          <cell r="N2207" t="str">
            <v>SG&amp;A</v>
          </cell>
          <cell r="O2207" t="str">
            <v>Excellus Health Plan - Group</v>
          </cell>
        </row>
        <row r="2208">
          <cell r="D2208">
            <v>816.95</v>
          </cell>
          <cell r="H2208">
            <v>45444</v>
          </cell>
          <cell r="I2208" t="str">
            <v>6040 - Employer Paid Benefits</v>
          </cell>
          <cell r="J2208">
            <v>0</v>
          </cell>
          <cell r="K2208" t="str">
            <v>Brand Marketing</v>
          </cell>
          <cell r="L2208" t="str">
            <v>HQ Salaries</v>
          </cell>
          <cell r="N2208" t="str">
            <v>SG&amp;A</v>
          </cell>
          <cell r="O2208" t="str">
            <v>Excellus Health Plan - Group</v>
          </cell>
        </row>
        <row r="2209">
          <cell r="D2209">
            <v>2328.3000000000002</v>
          </cell>
          <cell r="H2209">
            <v>45444</v>
          </cell>
          <cell r="I2209" t="str">
            <v>6040 - Employer Paid Benefits</v>
          </cell>
          <cell r="J2209">
            <v>0</v>
          </cell>
          <cell r="K2209" t="str">
            <v>Executive</v>
          </cell>
          <cell r="L2209" t="str">
            <v>HQ Salaries</v>
          </cell>
          <cell r="N2209" t="str">
            <v>SG&amp;A</v>
          </cell>
          <cell r="O2209" t="str">
            <v>Excellus Health Plan - Group</v>
          </cell>
        </row>
        <row r="2210">
          <cell r="D2210">
            <v>3145.25</v>
          </cell>
          <cell r="H2210">
            <v>45444</v>
          </cell>
          <cell r="I2210" t="str">
            <v>6040 - Employer Paid Benefits</v>
          </cell>
          <cell r="J2210" t="str">
            <v>Ecommerce (US)</v>
          </cell>
          <cell r="K2210" t="str">
            <v>Ecommerce</v>
          </cell>
          <cell r="L2210" t="str">
            <v>HQ Salaries</v>
          </cell>
          <cell r="N2210" t="str">
            <v>SG&amp;A</v>
          </cell>
          <cell r="O2210" t="str">
            <v>Excellus Health Plan - Group</v>
          </cell>
        </row>
        <row r="2211">
          <cell r="D2211">
            <v>3267.79</v>
          </cell>
          <cell r="H2211">
            <v>45444</v>
          </cell>
          <cell r="I2211" t="str">
            <v>6040 - Employer Paid Benefits</v>
          </cell>
          <cell r="J2211">
            <v>0</v>
          </cell>
          <cell r="K2211" t="str">
            <v>Design</v>
          </cell>
          <cell r="L2211" t="str">
            <v>HQ Salaries</v>
          </cell>
          <cell r="N2211" t="str">
            <v>SG&amp;A</v>
          </cell>
          <cell r="O2211" t="str">
            <v>Excellus Health Plan - Group</v>
          </cell>
        </row>
        <row r="2212">
          <cell r="D2212">
            <v>3839.66</v>
          </cell>
          <cell r="H2212">
            <v>45444</v>
          </cell>
          <cell r="I2212" t="str">
            <v>6040 - Employer Paid Benefits</v>
          </cell>
          <cell r="J2212">
            <v>0</v>
          </cell>
          <cell r="K2212" t="str">
            <v>Administration</v>
          </cell>
          <cell r="L2212" t="str">
            <v>HQ Salaries</v>
          </cell>
          <cell r="N2212" t="str">
            <v>SG&amp;A</v>
          </cell>
          <cell r="O2212" t="str">
            <v>Excellus Health Plan - Group</v>
          </cell>
        </row>
        <row r="2213">
          <cell r="D2213">
            <v>110.41</v>
          </cell>
          <cell r="H2213">
            <v>45444</v>
          </cell>
          <cell r="I2213" t="str">
            <v>6040 - Employer Paid Benefits</v>
          </cell>
          <cell r="J2213" t="str">
            <v>Wholesale</v>
          </cell>
          <cell r="K2213" t="str">
            <v>Wholesale</v>
          </cell>
          <cell r="L2213" t="str">
            <v>HQ Salaries</v>
          </cell>
          <cell r="N2213" t="str">
            <v>SG&amp;A</v>
          </cell>
          <cell r="O2213" t="str">
            <v>United of Omaha Life Insurance Company</v>
          </cell>
        </row>
        <row r="2214">
          <cell r="D2214">
            <v>309.77</v>
          </cell>
          <cell r="H2214">
            <v>45444</v>
          </cell>
          <cell r="I2214" t="str">
            <v>6040 - Employer Paid Benefits</v>
          </cell>
          <cell r="J2214">
            <v>0</v>
          </cell>
          <cell r="K2214" t="str">
            <v>Production</v>
          </cell>
          <cell r="L2214" t="str">
            <v>HQ Salaries</v>
          </cell>
          <cell r="N2214" t="str">
            <v>SG&amp;A</v>
          </cell>
          <cell r="O2214" t="str">
            <v>United of Omaha Life Insurance Company</v>
          </cell>
        </row>
        <row r="2215">
          <cell r="D2215">
            <v>86.43</v>
          </cell>
          <cell r="H2215">
            <v>45444</v>
          </cell>
          <cell r="I2215" t="str">
            <v>6040 - Employer Paid Benefits</v>
          </cell>
          <cell r="J2215">
            <v>0</v>
          </cell>
          <cell r="K2215" t="str">
            <v>Merchandising</v>
          </cell>
          <cell r="L2215" t="str">
            <v>HQ Salaries</v>
          </cell>
          <cell r="N2215" t="str">
            <v>SG&amp;A</v>
          </cell>
          <cell r="O2215" t="str">
            <v>United of Omaha Life Insurance Company</v>
          </cell>
        </row>
        <row r="2216">
          <cell r="D2216">
            <v>47.05</v>
          </cell>
          <cell r="H2216">
            <v>45444</v>
          </cell>
          <cell r="I2216" t="str">
            <v>6040 - Employer Paid Benefits</v>
          </cell>
          <cell r="J2216">
            <v>0</v>
          </cell>
          <cell r="K2216" t="str">
            <v>Brand Marketing</v>
          </cell>
          <cell r="L2216" t="str">
            <v>HQ Salaries</v>
          </cell>
          <cell r="N2216" t="str">
            <v>SG&amp;A</v>
          </cell>
          <cell r="O2216" t="str">
            <v>United of Omaha Life Insurance Company</v>
          </cell>
        </row>
        <row r="2217">
          <cell r="D2217">
            <v>124.11</v>
          </cell>
          <cell r="H2217">
            <v>45444</v>
          </cell>
          <cell r="I2217" t="str">
            <v>6040 - Employer Paid Benefits</v>
          </cell>
          <cell r="J2217">
            <v>0</v>
          </cell>
          <cell r="K2217" t="str">
            <v>Executive</v>
          </cell>
          <cell r="L2217" t="str">
            <v>HQ Salaries</v>
          </cell>
          <cell r="N2217" t="str">
            <v>SG&amp;A</v>
          </cell>
          <cell r="O2217" t="str">
            <v>United of Omaha Life Insurance Company</v>
          </cell>
        </row>
        <row r="2218">
          <cell r="D2218">
            <v>173.02</v>
          </cell>
          <cell r="H2218">
            <v>45444</v>
          </cell>
          <cell r="I2218" t="str">
            <v>6040 - Employer Paid Benefits</v>
          </cell>
          <cell r="J2218" t="str">
            <v>Ecommerce (US)</v>
          </cell>
          <cell r="K2218" t="str">
            <v>Ecommerce</v>
          </cell>
          <cell r="L2218" t="str">
            <v>HQ Salaries</v>
          </cell>
          <cell r="N2218" t="str">
            <v>SG&amp;A</v>
          </cell>
          <cell r="O2218" t="str">
            <v>United of Omaha Life Insurance Company</v>
          </cell>
        </row>
        <row r="2219">
          <cell r="D2219">
            <v>223.89</v>
          </cell>
          <cell r="H2219">
            <v>45444</v>
          </cell>
          <cell r="I2219" t="str">
            <v>6040 - Employer Paid Benefits</v>
          </cell>
          <cell r="J2219">
            <v>0</v>
          </cell>
          <cell r="K2219" t="str">
            <v>Design</v>
          </cell>
          <cell r="L2219" t="str">
            <v>HQ Salaries</v>
          </cell>
          <cell r="N2219" t="str">
            <v>SG&amp;A</v>
          </cell>
          <cell r="O2219" t="str">
            <v>United of Omaha Life Insurance Company</v>
          </cell>
        </row>
        <row r="2220">
          <cell r="D2220">
            <v>432.63</v>
          </cell>
          <cell r="H2220">
            <v>45444</v>
          </cell>
          <cell r="I2220" t="str">
            <v>6040 - Employer Paid Benefits</v>
          </cell>
          <cell r="J2220">
            <v>0</v>
          </cell>
          <cell r="K2220" t="str">
            <v>Administration</v>
          </cell>
          <cell r="L2220" t="str">
            <v>HQ Salaries</v>
          </cell>
          <cell r="N2220" t="str">
            <v>SG&amp;A</v>
          </cell>
          <cell r="O2220" t="str">
            <v>United of Omaha Life Insurance Company</v>
          </cell>
        </row>
        <row r="2221">
          <cell r="D2221">
            <v>24.54</v>
          </cell>
          <cell r="H2221">
            <v>45444</v>
          </cell>
          <cell r="I2221" t="str">
            <v>6040 - Employer Paid Benefits</v>
          </cell>
          <cell r="J2221" t="str">
            <v>Wholesale</v>
          </cell>
          <cell r="K2221" t="str">
            <v>Wholesale</v>
          </cell>
          <cell r="L2221" t="str">
            <v>HQ Salaries</v>
          </cell>
          <cell r="N2221" t="str">
            <v>SG&amp;A</v>
          </cell>
          <cell r="O2221" t="str">
            <v>Allied Administrators</v>
          </cell>
        </row>
        <row r="2222">
          <cell r="D2222">
            <v>125.91</v>
          </cell>
          <cell r="H2222">
            <v>45444</v>
          </cell>
          <cell r="I2222" t="str">
            <v>6040 - Employer Paid Benefits</v>
          </cell>
          <cell r="J2222">
            <v>0</v>
          </cell>
          <cell r="K2222" t="str">
            <v>Production</v>
          </cell>
          <cell r="L2222" t="str">
            <v>HQ Salaries</v>
          </cell>
          <cell r="N2222" t="str">
            <v>SG&amp;A</v>
          </cell>
          <cell r="O2222" t="str">
            <v>Allied Administrators</v>
          </cell>
        </row>
        <row r="2223">
          <cell r="D2223">
            <v>24.54</v>
          </cell>
          <cell r="H2223">
            <v>45444</v>
          </cell>
          <cell r="I2223" t="str">
            <v>6040 - Employer Paid Benefits</v>
          </cell>
          <cell r="J2223">
            <v>0</v>
          </cell>
          <cell r="K2223" t="str">
            <v>Merchandising</v>
          </cell>
          <cell r="L2223" t="str">
            <v>HQ Salaries</v>
          </cell>
          <cell r="N2223" t="str">
            <v>SG&amp;A</v>
          </cell>
          <cell r="O2223" t="str">
            <v>Allied Administrators</v>
          </cell>
        </row>
        <row r="2224">
          <cell r="D2224">
            <v>145.80000000000001</v>
          </cell>
          <cell r="H2224">
            <v>45444</v>
          </cell>
          <cell r="I2224" t="str">
            <v>6040 - Employer Paid Benefits</v>
          </cell>
          <cell r="J2224">
            <v>0</v>
          </cell>
          <cell r="K2224" t="str">
            <v>Executive</v>
          </cell>
          <cell r="L2224" t="str">
            <v>HQ Salaries</v>
          </cell>
          <cell r="N2224" t="str">
            <v>SG&amp;A</v>
          </cell>
          <cell r="O2224" t="str">
            <v>Allied Administrators</v>
          </cell>
        </row>
        <row r="2225">
          <cell r="D2225">
            <v>76.83</v>
          </cell>
          <cell r="H2225">
            <v>45444</v>
          </cell>
          <cell r="I2225" t="str">
            <v>6040 - Employer Paid Benefits</v>
          </cell>
          <cell r="J2225" t="str">
            <v>Ecommerce (US)</v>
          </cell>
          <cell r="K2225" t="str">
            <v>Ecommerce</v>
          </cell>
          <cell r="L2225" t="str">
            <v>HQ Salaries</v>
          </cell>
          <cell r="N2225" t="str">
            <v>SG&amp;A</v>
          </cell>
          <cell r="O2225" t="str">
            <v>Allied Administrators</v>
          </cell>
        </row>
        <row r="2226">
          <cell r="D2226">
            <v>101.37</v>
          </cell>
          <cell r="H2226">
            <v>45444</v>
          </cell>
          <cell r="I2226" t="str">
            <v>6040 - Employer Paid Benefits</v>
          </cell>
          <cell r="J2226">
            <v>0</v>
          </cell>
          <cell r="K2226" t="str">
            <v>Design</v>
          </cell>
          <cell r="L2226" t="str">
            <v>HQ Salaries</v>
          </cell>
          <cell r="N2226" t="str">
            <v>SG&amp;A</v>
          </cell>
          <cell r="O2226" t="str">
            <v>Allied Administrators</v>
          </cell>
        </row>
        <row r="2227">
          <cell r="D2227">
            <v>-10390.4</v>
          </cell>
          <cell r="H2227">
            <v>45444</v>
          </cell>
          <cell r="I2227" t="str">
            <v>6005 - Salaries</v>
          </cell>
          <cell r="J2227" t="str">
            <v>Ecommerce (US)</v>
          </cell>
          <cell r="K2227" t="str">
            <v>Ecommerce</v>
          </cell>
          <cell r="L2227" t="str">
            <v>HQ Salaries</v>
          </cell>
          <cell r="N2227" t="str">
            <v>SG&amp;A</v>
          </cell>
          <cell r="O2227" t="str">
            <v>[No Vendor]</v>
          </cell>
        </row>
        <row r="2228">
          <cell r="D2228">
            <v>0</v>
          </cell>
          <cell r="H2228">
            <v>45444</v>
          </cell>
          <cell r="I2228" t="str">
            <v>6205 - Contractors</v>
          </cell>
          <cell r="J2228">
            <v>0</v>
          </cell>
          <cell r="K2228" t="str">
            <v>Design</v>
          </cell>
          <cell r="L2228" t="str">
            <v>HQ Salaries</v>
          </cell>
          <cell r="N2228" t="str">
            <v>SG&amp;A</v>
          </cell>
          <cell r="O2228" t="str">
            <v>[No Vendor]</v>
          </cell>
        </row>
        <row r="2229">
          <cell r="D2229">
            <v>0</v>
          </cell>
          <cell r="H2229">
            <v>45444</v>
          </cell>
          <cell r="I2229" t="str">
            <v>6205 - Contractors</v>
          </cell>
          <cell r="J2229">
            <v>0</v>
          </cell>
          <cell r="K2229" t="str">
            <v>Brand Marketing</v>
          </cell>
          <cell r="L2229" t="str">
            <v>HQ Salaries</v>
          </cell>
          <cell r="N2229" t="str">
            <v>SG&amp;A</v>
          </cell>
          <cell r="O2229" t="str">
            <v>[No Vendor]</v>
          </cell>
        </row>
        <row r="2230">
          <cell r="D2230">
            <v>-10431.1</v>
          </cell>
          <cell r="H2230">
            <v>45444</v>
          </cell>
          <cell r="I2230" t="str">
            <v>6205 - Contractors</v>
          </cell>
          <cell r="J2230" t="str">
            <v>Ecommerce (US)</v>
          </cell>
          <cell r="K2230" t="str">
            <v>Ecommerce</v>
          </cell>
          <cell r="L2230" t="str">
            <v>HQ Salaries</v>
          </cell>
          <cell r="N2230" t="str">
            <v>SG&amp;A</v>
          </cell>
          <cell r="O2230" t="str">
            <v>[No Vendor]</v>
          </cell>
        </row>
        <row r="2231">
          <cell r="D2231">
            <v>12.94</v>
          </cell>
          <cell r="H2231">
            <v>45444</v>
          </cell>
          <cell r="I2231" t="str">
            <v>6385 - Insurance</v>
          </cell>
          <cell r="J2231">
            <v>0</v>
          </cell>
          <cell r="K2231" t="str">
            <v>Administration</v>
          </cell>
          <cell r="L2231" t="str">
            <v>Professional Service</v>
          </cell>
          <cell r="N2231" t="str">
            <v>SG&amp;A</v>
          </cell>
          <cell r="O2231" t="str">
            <v>[No Vendor]</v>
          </cell>
        </row>
        <row r="2232">
          <cell r="D2232">
            <v>10.210000000000001</v>
          </cell>
          <cell r="H2232">
            <v>45444</v>
          </cell>
          <cell r="I2232" t="str">
            <v>6385 - Insurance</v>
          </cell>
          <cell r="J2232">
            <v>0</v>
          </cell>
          <cell r="K2232" t="str">
            <v>Administration</v>
          </cell>
          <cell r="L2232" t="str">
            <v>Professional Service</v>
          </cell>
          <cell r="N2232" t="str">
            <v>SG&amp;A</v>
          </cell>
          <cell r="O2232" t="str">
            <v>[No Vendor]</v>
          </cell>
        </row>
        <row r="2233">
          <cell r="D2233">
            <v>19.690000000000001</v>
          </cell>
          <cell r="H2233">
            <v>45444</v>
          </cell>
          <cell r="I2233" t="str">
            <v>6385 - Insurance</v>
          </cell>
          <cell r="J2233">
            <v>0</v>
          </cell>
          <cell r="K2233" t="str">
            <v>Administration</v>
          </cell>
          <cell r="L2233" t="str">
            <v>Professional Service</v>
          </cell>
          <cell r="N2233" t="str">
            <v>SG&amp;A</v>
          </cell>
          <cell r="O2233" t="str">
            <v>[No Vendor]</v>
          </cell>
        </row>
        <row r="2234">
          <cell r="D2234">
            <v>24.11</v>
          </cell>
          <cell r="H2234">
            <v>45444</v>
          </cell>
          <cell r="I2234" t="str">
            <v>6385 - Insurance</v>
          </cell>
          <cell r="J2234">
            <v>0</v>
          </cell>
          <cell r="K2234" t="str">
            <v>Administration</v>
          </cell>
          <cell r="L2234" t="str">
            <v>Professional Service</v>
          </cell>
          <cell r="N2234" t="str">
            <v>SG&amp;A</v>
          </cell>
          <cell r="O2234" t="str">
            <v>[No Vendor]</v>
          </cell>
        </row>
        <row r="2235">
          <cell r="D2235">
            <v>6.7</v>
          </cell>
          <cell r="H2235">
            <v>45444</v>
          </cell>
          <cell r="I2235" t="str">
            <v>6385 - Insurance</v>
          </cell>
          <cell r="J2235">
            <v>0</v>
          </cell>
          <cell r="K2235" t="str">
            <v>Administration</v>
          </cell>
          <cell r="L2235" t="str">
            <v>Professional Service</v>
          </cell>
          <cell r="N2235" t="str">
            <v>SG&amp;A</v>
          </cell>
          <cell r="O2235" t="str">
            <v>[No Vendor]</v>
          </cell>
        </row>
        <row r="2236">
          <cell r="D2236">
            <v>20.84</v>
          </cell>
          <cell r="H2236">
            <v>45444</v>
          </cell>
          <cell r="I2236" t="str">
            <v>6385 - Insurance</v>
          </cell>
          <cell r="J2236">
            <v>0</v>
          </cell>
          <cell r="K2236" t="str">
            <v>Administration</v>
          </cell>
          <cell r="L2236" t="str">
            <v>Professional Service</v>
          </cell>
          <cell r="N2236" t="str">
            <v>SG&amp;A</v>
          </cell>
          <cell r="O2236" t="str">
            <v>[No Vendor]</v>
          </cell>
        </row>
        <row r="2237">
          <cell r="D2237">
            <v>29.74</v>
          </cell>
          <cell r="H2237">
            <v>45444</v>
          </cell>
          <cell r="I2237" t="str">
            <v>6385 - Insurance</v>
          </cell>
          <cell r="J2237">
            <v>0</v>
          </cell>
          <cell r="K2237" t="str">
            <v>Administration</v>
          </cell>
          <cell r="L2237" t="str">
            <v>Professional Service</v>
          </cell>
          <cell r="N2237" t="str">
            <v>SG&amp;A</v>
          </cell>
          <cell r="O2237" t="str">
            <v>[No Vendor]</v>
          </cell>
        </row>
        <row r="2238">
          <cell r="D2238">
            <v>-410.13</v>
          </cell>
          <cell r="H2238">
            <v>45444</v>
          </cell>
          <cell r="I2238" t="str">
            <v>6400 - Utilities</v>
          </cell>
          <cell r="J2238">
            <v>0</v>
          </cell>
          <cell r="K2238" t="str">
            <v>Administration</v>
          </cell>
          <cell r="L2238" t="str">
            <v>Other</v>
          </cell>
          <cell r="N2238" t="str">
            <v>SG&amp;A</v>
          </cell>
          <cell r="O2238" t="str">
            <v>[No Vendor]</v>
          </cell>
        </row>
        <row r="2239">
          <cell r="D2239">
            <v>-1144.5999999999999</v>
          </cell>
          <cell r="H2239">
            <v>45444</v>
          </cell>
          <cell r="I2239" t="str">
            <v>6055 - Employer Social Security Tax Withheld</v>
          </cell>
          <cell r="J2239">
            <v>0</v>
          </cell>
          <cell r="K2239" t="str">
            <v>Administration</v>
          </cell>
          <cell r="L2239" t="str">
            <v>HQ Salaries</v>
          </cell>
          <cell r="N2239" t="str">
            <v>SG&amp;A</v>
          </cell>
          <cell r="O2239" t="str">
            <v>[No Vendor]</v>
          </cell>
        </row>
        <row r="2240">
          <cell r="D2240">
            <v>-274.24</v>
          </cell>
          <cell r="H2240">
            <v>45444</v>
          </cell>
          <cell r="I2240" t="str">
            <v>6055 - Employer Social Security Tax Withheld</v>
          </cell>
          <cell r="J2240">
            <v>0</v>
          </cell>
          <cell r="K2240" t="str">
            <v>Merchandising</v>
          </cell>
          <cell r="L2240" t="str">
            <v>HQ Salaries</v>
          </cell>
          <cell r="N2240" t="str">
            <v>SG&amp;A</v>
          </cell>
          <cell r="O2240" t="str">
            <v>[No Vendor]</v>
          </cell>
        </row>
        <row r="2241">
          <cell r="D2241">
            <v>-526.07000000000005</v>
          </cell>
          <cell r="H2241">
            <v>45444</v>
          </cell>
          <cell r="I2241" t="str">
            <v>6055 - Employer Social Security Tax Withheld</v>
          </cell>
          <cell r="J2241" t="str">
            <v>Wholesale</v>
          </cell>
          <cell r="K2241" t="str">
            <v>Wholesale</v>
          </cell>
          <cell r="L2241" t="str">
            <v>HQ Salaries</v>
          </cell>
          <cell r="N2241" t="str">
            <v>SG&amp;A</v>
          </cell>
          <cell r="O2241" t="str">
            <v>[No Vendor]</v>
          </cell>
        </row>
        <row r="2242">
          <cell r="D2242">
            <v>-1048.72</v>
          </cell>
          <cell r="H2242">
            <v>45444</v>
          </cell>
          <cell r="I2242" t="str">
            <v>6055 - Employer Social Security Tax Withheld</v>
          </cell>
          <cell r="J2242">
            <v>0</v>
          </cell>
          <cell r="K2242" t="str">
            <v>Production</v>
          </cell>
          <cell r="L2242" t="str">
            <v>HQ Salaries</v>
          </cell>
          <cell r="N2242" t="str">
            <v>SG&amp;A</v>
          </cell>
          <cell r="O2242" t="str">
            <v>[No Vendor]</v>
          </cell>
        </row>
        <row r="2243">
          <cell r="D2243">
            <v>-173.23</v>
          </cell>
          <cell r="H2243">
            <v>45444</v>
          </cell>
          <cell r="I2243" t="str">
            <v>6055 - Employer Social Security Tax Withheld</v>
          </cell>
          <cell r="J2243">
            <v>0</v>
          </cell>
          <cell r="K2243" t="str">
            <v>Brand Marketing</v>
          </cell>
          <cell r="L2243" t="str">
            <v>HQ Salaries</v>
          </cell>
          <cell r="N2243" t="str">
            <v>SG&amp;A</v>
          </cell>
          <cell r="O2243" t="str">
            <v>[No Vendor]</v>
          </cell>
        </row>
        <row r="2244">
          <cell r="D2244">
            <v>-774.73</v>
          </cell>
          <cell r="H2244">
            <v>45444</v>
          </cell>
          <cell r="I2244" t="str">
            <v>6055 - Employer Social Security Tax Withheld</v>
          </cell>
          <cell r="J2244" t="str">
            <v>Ecommerce (US)</v>
          </cell>
          <cell r="K2244" t="str">
            <v>Ecommerce</v>
          </cell>
          <cell r="L2244" t="str">
            <v>HQ Salaries</v>
          </cell>
          <cell r="N2244" t="str">
            <v>SG&amp;A</v>
          </cell>
          <cell r="O2244" t="str">
            <v>[No Vendor]</v>
          </cell>
        </row>
        <row r="2245">
          <cell r="D2245">
            <v>-998.93</v>
          </cell>
          <cell r="H2245">
            <v>45444</v>
          </cell>
          <cell r="I2245" t="str">
            <v>6055 - Employer Social Security Tax Withheld</v>
          </cell>
          <cell r="J2245">
            <v>0</v>
          </cell>
          <cell r="K2245" t="str">
            <v>Design</v>
          </cell>
          <cell r="L2245" t="str">
            <v>HQ Salaries</v>
          </cell>
          <cell r="N2245" t="str">
            <v>SG&amp;A</v>
          </cell>
          <cell r="O2245" t="str">
            <v>[No Vendor]</v>
          </cell>
        </row>
        <row r="2246">
          <cell r="D2246">
            <v>81.849999999999994</v>
          </cell>
          <cell r="H2246">
            <v>45444</v>
          </cell>
          <cell r="I2246" t="str">
            <v>6040 - Employer Paid Benefits</v>
          </cell>
          <cell r="J2246">
            <v>0</v>
          </cell>
          <cell r="K2246" t="str">
            <v>Administration</v>
          </cell>
          <cell r="L2246" t="str">
            <v>HQ Salaries</v>
          </cell>
          <cell r="N2246" t="str">
            <v>SG&amp;A</v>
          </cell>
          <cell r="O2246" t="str">
            <v>[No Vendor]</v>
          </cell>
        </row>
        <row r="2247">
          <cell r="D2247">
            <v>0</v>
          </cell>
          <cell r="H2247">
            <v>45444</v>
          </cell>
          <cell r="I2247" t="str">
            <v>6040 - Employer Paid Benefits</v>
          </cell>
          <cell r="J2247">
            <v>0</v>
          </cell>
          <cell r="K2247" t="str">
            <v>Merchandising</v>
          </cell>
          <cell r="L2247" t="str">
            <v>HQ Salaries</v>
          </cell>
          <cell r="N2247" t="str">
            <v>SG&amp;A</v>
          </cell>
          <cell r="O2247" t="str">
            <v>[No Vendor]</v>
          </cell>
        </row>
        <row r="2248">
          <cell r="D2248">
            <v>22.58</v>
          </cell>
          <cell r="H2248">
            <v>45444</v>
          </cell>
          <cell r="I2248" t="str">
            <v>6040 - Employer Paid Benefits</v>
          </cell>
          <cell r="J2248" t="str">
            <v>Wholesale</v>
          </cell>
          <cell r="K2248" t="str">
            <v>Wholesale</v>
          </cell>
          <cell r="L2248" t="str">
            <v>HQ Salaries</v>
          </cell>
          <cell r="N2248" t="str">
            <v>SG&amp;A</v>
          </cell>
          <cell r="O2248" t="str">
            <v>[No Vendor]</v>
          </cell>
        </row>
        <row r="2249">
          <cell r="D2249">
            <v>204.83</v>
          </cell>
          <cell r="H2249">
            <v>45444</v>
          </cell>
          <cell r="I2249" t="str">
            <v>6040 - Employer Paid Benefits</v>
          </cell>
          <cell r="J2249">
            <v>0</v>
          </cell>
          <cell r="K2249" t="str">
            <v>Production</v>
          </cell>
          <cell r="L2249" t="str">
            <v>HQ Salaries</v>
          </cell>
          <cell r="N2249" t="str">
            <v>SG&amp;A</v>
          </cell>
          <cell r="O2249" t="str">
            <v>[No Vendor]</v>
          </cell>
        </row>
        <row r="2250">
          <cell r="D2250">
            <v>11.29</v>
          </cell>
          <cell r="H2250">
            <v>45444</v>
          </cell>
          <cell r="I2250" t="str">
            <v>6040 - Employer Paid Benefits</v>
          </cell>
          <cell r="J2250">
            <v>0</v>
          </cell>
          <cell r="K2250" t="str">
            <v>Brand Marketing</v>
          </cell>
          <cell r="L2250" t="str">
            <v>HQ Salaries</v>
          </cell>
          <cell r="N2250" t="str">
            <v>SG&amp;A</v>
          </cell>
          <cell r="O2250" t="str">
            <v>[No Vendor]</v>
          </cell>
        </row>
        <row r="2251">
          <cell r="D2251">
            <v>60.93</v>
          </cell>
          <cell r="H2251">
            <v>45444</v>
          </cell>
          <cell r="I2251" t="str">
            <v>6040 - Employer Paid Benefits</v>
          </cell>
          <cell r="J2251" t="str">
            <v>Ecommerce (US)</v>
          </cell>
          <cell r="K2251" t="str">
            <v>Ecommerce</v>
          </cell>
          <cell r="L2251" t="str">
            <v>HQ Salaries</v>
          </cell>
          <cell r="N2251" t="str">
            <v>SG&amp;A</v>
          </cell>
          <cell r="O2251" t="str">
            <v>[No Vendor]</v>
          </cell>
        </row>
        <row r="2252">
          <cell r="D2252">
            <v>181.71</v>
          </cell>
          <cell r="H2252">
            <v>45444</v>
          </cell>
          <cell r="I2252" t="str">
            <v>6040 - Employer Paid Benefits</v>
          </cell>
          <cell r="J2252">
            <v>0</v>
          </cell>
          <cell r="K2252" t="str">
            <v>Design</v>
          </cell>
          <cell r="L2252" t="str">
            <v>HQ Salaries</v>
          </cell>
          <cell r="N2252" t="str">
            <v>SG&amp;A</v>
          </cell>
          <cell r="O2252" t="str">
            <v>[No Vendor]</v>
          </cell>
        </row>
        <row r="2253">
          <cell r="D2253">
            <v>-10428.85</v>
          </cell>
          <cell r="H2253">
            <v>45444</v>
          </cell>
          <cell r="I2253" t="str">
            <v>6005 - Salaries</v>
          </cell>
          <cell r="J2253">
            <v>0</v>
          </cell>
          <cell r="K2253" t="str">
            <v>Design</v>
          </cell>
          <cell r="L2253" t="str">
            <v>HQ Salaries</v>
          </cell>
          <cell r="N2253" t="str">
            <v>SG&amp;A</v>
          </cell>
          <cell r="O2253" t="str">
            <v>[No Vendor]</v>
          </cell>
        </row>
        <row r="2254">
          <cell r="D2254">
            <v>-11742.32</v>
          </cell>
          <cell r="H2254">
            <v>45444</v>
          </cell>
          <cell r="I2254" t="str">
            <v>6005 - Salaries</v>
          </cell>
          <cell r="J2254">
            <v>0</v>
          </cell>
          <cell r="K2254" t="str">
            <v>Administration</v>
          </cell>
          <cell r="L2254" t="str">
            <v>HQ Salaries</v>
          </cell>
          <cell r="N2254" t="str">
            <v>SG&amp;A</v>
          </cell>
          <cell r="O2254" t="str">
            <v>[No Vendor]</v>
          </cell>
        </row>
        <row r="2255">
          <cell r="D2255">
            <v>-2575</v>
          </cell>
          <cell r="H2255">
            <v>45444</v>
          </cell>
          <cell r="I2255" t="str">
            <v>6005 - Salaries</v>
          </cell>
          <cell r="J2255">
            <v>0</v>
          </cell>
          <cell r="K2255" t="str">
            <v>Merchandising</v>
          </cell>
          <cell r="L2255" t="str">
            <v>HQ Salaries</v>
          </cell>
          <cell r="N2255" t="str">
            <v>SG&amp;A</v>
          </cell>
          <cell r="O2255" t="str">
            <v>[No Vendor]</v>
          </cell>
        </row>
        <row r="2256">
          <cell r="D2256">
            <v>-4955.78</v>
          </cell>
          <cell r="H2256">
            <v>45444</v>
          </cell>
          <cell r="I2256" t="str">
            <v>6005 - Salaries</v>
          </cell>
          <cell r="J2256" t="str">
            <v>Wholesale</v>
          </cell>
          <cell r="K2256" t="str">
            <v>Wholesale</v>
          </cell>
          <cell r="L2256" t="str">
            <v>HQ Salaries</v>
          </cell>
          <cell r="N2256" t="str">
            <v>SG&amp;A</v>
          </cell>
          <cell r="O2256" t="str">
            <v>[No Vendor]</v>
          </cell>
        </row>
        <row r="2257">
          <cell r="D2257">
            <v>-9994.25</v>
          </cell>
          <cell r="H2257">
            <v>45444</v>
          </cell>
          <cell r="I2257" t="str">
            <v>6005 - Salaries</v>
          </cell>
          <cell r="J2257">
            <v>0</v>
          </cell>
          <cell r="K2257" t="str">
            <v>Production</v>
          </cell>
          <cell r="L2257" t="str">
            <v>HQ Salaries</v>
          </cell>
          <cell r="N2257" t="str">
            <v>SG&amp;A</v>
          </cell>
          <cell r="O2257" t="str">
            <v>[No Vendor]</v>
          </cell>
        </row>
        <row r="2258">
          <cell r="D2258">
            <v>-1634.62</v>
          </cell>
          <cell r="H2258">
            <v>45444</v>
          </cell>
          <cell r="I2258" t="str">
            <v>6005 - Salaries</v>
          </cell>
          <cell r="J2258">
            <v>0</v>
          </cell>
          <cell r="K2258" t="str">
            <v>Brand Marketing</v>
          </cell>
          <cell r="L2258" t="str">
            <v>HQ Salaries</v>
          </cell>
          <cell r="N2258" t="str">
            <v>SG&amp;A</v>
          </cell>
          <cell r="O2258" t="str">
            <v>[No Vendor]</v>
          </cell>
        </row>
        <row r="2259">
          <cell r="D2259">
            <v>394</v>
          </cell>
          <cell r="H2259">
            <v>45444</v>
          </cell>
          <cell r="I2259" t="str">
            <v>6040 - Employer Paid Benefits</v>
          </cell>
          <cell r="J2259">
            <v>0</v>
          </cell>
          <cell r="K2259" t="str">
            <v>Administration</v>
          </cell>
          <cell r="L2259" t="str">
            <v>HQ Salaries</v>
          </cell>
          <cell r="N2259" t="str">
            <v>SG&amp;A</v>
          </cell>
          <cell r="O2259" t="str">
            <v>Procyon Benefits LLC</v>
          </cell>
        </row>
        <row r="2260">
          <cell r="D2260">
            <v>9500</v>
          </cell>
          <cell r="H2260">
            <v>45444</v>
          </cell>
          <cell r="I2260" t="str">
            <v>6288 - Model</v>
          </cell>
          <cell r="J2260">
            <v>0</v>
          </cell>
          <cell r="K2260" t="str">
            <v>Brand Marketing</v>
          </cell>
          <cell r="L2260" t="str">
            <v>Advertising</v>
          </cell>
          <cell r="N2260" t="str">
            <v>SG&amp;A</v>
          </cell>
          <cell r="O2260" t="str">
            <v>Misel Gilbert</v>
          </cell>
        </row>
        <row r="2261">
          <cell r="D2261">
            <v>22.67</v>
          </cell>
          <cell r="H2261">
            <v>45444</v>
          </cell>
          <cell r="I2261" t="str">
            <v>6375 - Freight Expenses</v>
          </cell>
          <cell r="J2261" t="str">
            <v>Ecommerce (US)</v>
          </cell>
          <cell r="K2261" t="str">
            <v>Ecommerce</v>
          </cell>
          <cell r="L2261" t="str">
            <v>Freight</v>
          </cell>
          <cell r="N2261" t="str">
            <v>Direct Costs</v>
          </cell>
          <cell r="O2261" t="str">
            <v>Federal Express</v>
          </cell>
        </row>
        <row r="2262">
          <cell r="D2262">
            <v>23402.45</v>
          </cell>
          <cell r="H2262">
            <v>45444</v>
          </cell>
          <cell r="I2262" t="str">
            <v>6375 - Freight Expenses</v>
          </cell>
          <cell r="J2262" t="str">
            <v>Ecommerce (US)</v>
          </cell>
          <cell r="K2262" t="str">
            <v>Ecommerce</v>
          </cell>
          <cell r="L2262" t="str">
            <v>Freight</v>
          </cell>
          <cell r="N2262" t="str">
            <v>Direct Costs</v>
          </cell>
          <cell r="O2262" t="str">
            <v>UPS Supply Chain Solutions Inc. (7F24A0)</v>
          </cell>
        </row>
        <row r="2263">
          <cell r="D2263">
            <v>55.85</v>
          </cell>
          <cell r="H2263">
            <v>45444</v>
          </cell>
          <cell r="I2263" t="str">
            <v>6040 - Employer Paid Benefits</v>
          </cell>
          <cell r="J2263">
            <v>0</v>
          </cell>
          <cell r="K2263" t="str">
            <v>Production</v>
          </cell>
          <cell r="L2263" t="str">
            <v>HQ Salaries</v>
          </cell>
          <cell r="N2263" t="str">
            <v>SG&amp;A</v>
          </cell>
          <cell r="O2263" t="str">
            <v>Procyon Benefits LLC</v>
          </cell>
        </row>
        <row r="2264">
          <cell r="D2264">
            <v>29.3</v>
          </cell>
          <cell r="H2264">
            <v>45444</v>
          </cell>
          <cell r="I2264" t="str">
            <v>6040 - Employer Paid Benefits</v>
          </cell>
          <cell r="J2264">
            <v>0</v>
          </cell>
          <cell r="K2264" t="str">
            <v>Merchandising</v>
          </cell>
          <cell r="L2264" t="str">
            <v>HQ Salaries</v>
          </cell>
          <cell r="N2264" t="str">
            <v>SG&amp;A</v>
          </cell>
          <cell r="O2264" t="str">
            <v>Procyon Benefits LLC</v>
          </cell>
        </row>
        <row r="2265">
          <cell r="D2265">
            <v>17.5</v>
          </cell>
          <cell r="H2265">
            <v>45444</v>
          </cell>
          <cell r="I2265" t="str">
            <v>6040 - Employer Paid Benefits</v>
          </cell>
          <cell r="J2265" t="str">
            <v>Ecommerce (US)</v>
          </cell>
          <cell r="K2265" t="str">
            <v>Ecommerce</v>
          </cell>
          <cell r="L2265" t="str">
            <v>HQ Salaries</v>
          </cell>
          <cell r="N2265" t="str">
            <v>SG&amp;A</v>
          </cell>
          <cell r="O2265" t="str">
            <v>Procyon Benefits LLC</v>
          </cell>
        </row>
        <row r="2266">
          <cell r="D2266">
            <v>286.52999999999997</v>
          </cell>
          <cell r="H2266">
            <v>45444</v>
          </cell>
          <cell r="I2266" t="str">
            <v>6040 - Employer Paid Benefits</v>
          </cell>
          <cell r="J2266">
            <v>0</v>
          </cell>
          <cell r="K2266" t="str">
            <v>Design</v>
          </cell>
          <cell r="L2266" t="str">
            <v>HQ Salaries</v>
          </cell>
          <cell r="N2266" t="str">
            <v>SG&amp;A</v>
          </cell>
          <cell r="O2266" t="str">
            <v>Procyon Benefits LLC</v>
          </cell>
        </row>
        <row r="2267">
          <cell r="D2267">
            <v>6261.97</v>
          </cell>
          <cell r="H2267">
            <v>45444</v>
          </cell>
          <cell r="I2267" t="str">
            <v>6450 - Bank &amp; Other Fees</v>
          </cell>
          <cell r="J2267" t="str">
            <v>Wholesale</v>
          </cell>
          <cell r="K2267" t="str">
            <v>Wholesale</v>
          </cell>
          <cell r="L2267" t="str">
            <v>Professional Service</v>
          </cell>
          <cell r="N2267" t="str">
            <v>Direct Costs</v>
          </cell>
          <cell r="O2267" t="str">
            <v>Paymentech</v>
          </cell>
        </row>
        <row r="2268">
          <cell r="D2268">
            <v>79.08</v>
          </cell>
          <cell r="H2268">
            <v>45444</v>
          </cell>
          <cell r="I2268" t="str">
            <v>6375 - Freight Expenses</v>
          </cell>
          <cell r="J2268">
            <v>0</v>
          </cell>
          <cell r="K2268" t="str">
            <v>Production</v>
          </cell>
          <cell r="L2268" t="str">
            <v>Freight</v>
          </cell>
          <cell r="N2268" t="str">
            <v>Direct Costs</v>
          </cell>
          <cell r="O2268" t="str">
            <v>DHL Express - USA</v>
          </cell>
        </row>
        <row r="2269">
          <cell r="D2269">
            <v>1687.3</v>
          </cell>
          <cell r="H2269">
            <v>45444</v>
          </cell>
          <cell r="I2269" t="str">
            <v>6393 - Software</v>
          </cell>
          <cell r="J2269">
            <v>0</v>
          </cell>
          <cell r="K2269" t="str">
            <v>Administration</v>
          </cell>
          <cell r="L2269" t="str">
            <v>Professional Service</v>
          </cell>
          <cell r="N2269" t="str">
            <v>Direct Costs</v>
          </cell>
          <cell r="O2269" t="str">
            <v>Adobe, Inc.</v>
          </cell>
        </row>
        <row r="2270">
          <cell r="D2270">
            <v>600</v>
          </cell>
          <cell r="H2270">
            <v>45444</v>
          </cell>
          <cell r="I2270" t="str">
            <v>6288 - Model</v>
          </cell>
          <cell r="J2270" t="str">
            <v>Ecommerce (US)</v>
          </cell>
          <cell r="K2270" t="str">
            <v>Brand Marketing</v>
          </cell>
          <cell r="L2270" t="str">
            <v>Advertising</v>
          </cell>
          <cell r="N2270" t="str">
            <v>SG&amp;A</v>
          </cell>
          <cell r="O2270" t="str">
            <v>State Artist Management</v>
          </cell>
        </row>
        <row r="2271">
          <cell r="D2271">
            <v>617.5</v>
          </cell>
          <cell r="H2271">
            <v>45444</v>
          </cell>
          <cell r="I2271" t="str">
            <v>6300 - Payroll Service Fees</v>
          </cell>
          <cell r="J2271">
            <v>0</v>
          </cell>
          <cell r="K2271" t="str">
            <v>Administration</v>
          </cell>
          <cell r="L2271" t="str">
            <v>Professional Service</v>
          </cell>
          <cell r="N2271" t="str">
            <v>SG&amp;A</v>
          </cell>
          <cell r="O2271" t="str">
            <v>OperationsInc, LLC</v>
          </cell>
        </row>
        <row r="2272">
          <cell r="D2272">
            <v>447.37</v>
          </cell>
          <cell r="H2272">
            <v>45444</v>
          </cell>
          <cell r="I2272" t="str">
            <v>6375 - Freight Expenses</v>
          </cell>
          <cell r="J2272">
            <v>0</v>
          </cell>
          <cell r="K2272" t="str">
            <v>Production</v>
          </cell>
          <cell r="L2272" t="str">
            <v>Freight</v>
          </cell>
          <cell r="N2272" t="str">
            <v>Direct Costs</v>
          </cell>
          <cell r="O2272" t="str">
            <v>DHL Express - USA</v>
          </cell>
        </row>
        <row r="2273">
          <cell r="D2273">
            <v>280.52999999999997</v>
          </cell>
          <cell r="H2273">
            <v>45444</v>
          </cell>
          <cell r="I2273" t="str">
            <v>6120 - Lodging</v>
          </cell>
          <cell r="J2273" t="str">
            <v>Ecommerce (US)</v>
          </cell>
          <cell r="K2273" t="str">
            <v>Ecommerce</v>
          </cell>
          <cell r="L2273" t="str">
            <v>T&amp;E</v>
          </cell>
          <cell r="N2273" t="str">
            <v>SG&amp;A</v>
          </cell>
          <cell r="O2273" t="str">
            <v>[No Vendor]</v>
          </cell>
        </row>
        <row r="2274">
          <cell r="D2274">
            <v>8119.68</v>
          </cell>
          <cell r="H2274">
            <v>45444</v>
          </cell>
          <cell r="I2274" t="str">
            <v>6393 - Software</v>
          </cell>
          <cell r="J2274" t="str">
            <v>Ecommerce (US)</v>
          </cell>
          <cell r="K2274" t="str">
            <v>Ecommerce</v>
          </cell>
          <cell r="L2274" t="str">
            <v>Professional Service</v>
          </cell>
          <cell r="N2274" t="str">
            <v>Direct Costs</v>
          </cell>
          <cell r="O2274" t="str">
            <v>Signifyd</v>
          </cell>
        </row>
        <row r="2275">
          <cell r="D2275">
            <v>598</v>
          </cell>
          <cell r="H2275">
            <v>45444</v>
          </cell>
          <cell r="I2275" t="str">
            <v>6393 - Software</v>
          </cell>
          <cell r="J2275" t="str">
            <v>Ecommerce (US)</v>
          </cell>
          <cell r="K2275" t="str">
            <v>Ecommerce</v>
          </cell>
          <cell r="L2275" t="str">
            <v>Professional Service</v>
          </cell>
          <cell r="N2275" t="str">
            <v>Direct Costs</v>
          </cell>
          <cell r="O2275" t="str">
            <v>GoDataFeed</v>
          </cell>
        </row>
        <row r="2276">
          <cell r="D2276">
            <v>21.78</v>
          </cell>
          <cell r="H2276">
            <v>45444</v>
          </cell>
          <cell r="I2276" t="str">
            <v>6393 - Software</v>
          </cell>
          <cell r="J2276" t="str">
            <v>Ecommerce (US)</v>
          </cell>
          <cell r="K2276" t="str">
            <v>Ecommerce</v>
          </cell>
          <cell r="L2276" t="str">
            <v>Professional Service</v>
          </cell>
          <cell r="N2276" t="str">
            <v>Direct Costs</v>
          </cell>
          <cell r="O2276" t="str">
            <v>Chat GPT</v>
          </cell>
        </row>
        <row r="2277">
          <cell r="D2277">
            <v>129</v>
          </cell>
          <cell r="H2277">
            <v>45444</v>
          </cell>
          <cell r="I2277" t="str">
            <v>6393 - Software</v>
          </cell>
          <cell r="J2277" t="str">
            <v>Ecommerce (US)</v>
          </cell>
          <cell r="K2277" t="str">
            <v>Ecommerce</v>
          </cell>
          <cell r="L2277" t="str">
            <v>Professional Service</v>
          </cell>
          <cell r="N2277" t="str">
            <v>Direct Costs</v>
          </cell>
          <cell r="O2277" t="str">
            <v>Integration Manager</v>
          </cell>
        </row>
        <row r="2278">
          <cell r="D2278">
            <v>2504.13</v>
          </cell>
          <cell r="H2278">
            <v>45444</v>
          </cell>
          <cell r="I2278" t="str">
            <v>6393 - Software</v>
          </cell>
          <cell r="J2278">
            <v>0</v>
          </cell>
          <cell r="K2278" t="str">
            <v>Brand Marketing</v>
          </cell>
          <cell r="L2278" t="str">
            <v>Professional Service</v>
          </cell>
          <cell r="N2278" t="str">
            <v>Direct Costs</v>
          </cell>
          <cell r="O2278">
            <v>0</v>
          </cell>
        </row>
        <row r="2279">
          <cell r="D2279">
            <v>783.9</v>
          </cell>
          <cell r="H2279">
            <v>45444</v>
          </cell>
          <cell r="I2279" t="str">
            <v>6393 - Software</v>
          </cell>
          <cell r="J2279">
            <v>0</v>
          </cell>
          <cell r="K2279" t="str">
            <v>Brand Marketing</v>
          </cell>
          <cell r="L2279" t="str">
            <v>Professional Service</v>
          </cell>
          <cell r="N2279" t="str">
            <v>Direct Costs</v>
          </cell>
          <cell r="O2279">
            <v>0</v>
          </cell>
        </row>
        <row r="2280">
          <cell r="D2280">
            <v>1154.04</v>
          </cell>
          <cell r="H2280">
            <v>45444</v>
          </cell>
          <cell r="I2280" t="str">
            <v>6393 - Software</v>
          </cell>
          <cell r="J2280" t="str">
            <v>Ecommerce (US)</v>
          </cell>
          <cell r="K2280" t="str">
            <v>Ecommerce</v>
          </cell>
          <cell r="L2280" t="str">
            <v>Professional Service</v>
          </cell>
          <cell r="N2280" t="str">
            <v>Direct Costs</v>
          </cell>
          <cell r="O2280">
            <v>0</v>
          </cell>
        </row>
        <row r="2281">
          <cell r="D2281">
            <v>9.5299999999999994</v>
          </cell>
          <cell r="H2281">
            <v>45444</v>
          </cell>
          <cell r="I2281" t="str">
            <v>6393 - Software</v>
          </cell>
          <cell r="J2281" t="str">
            <v>Ecommerce (US)</v>
          </cell>
          <cell r="K2281" t="str">
            <v>Ecommerce</v>
          </cell>
          <cell r="L2281" t="str">
            <v>Professional Service</v>
          </cell>
          <cell r="N2281" t="str">
            <v>Direct Costs</v>
          </cell>
          <cell r="O2281" t="str">
            <v>Robert  McKinney</v>
          </cell>
        </row>
        <row r="2282">
          <cell r="D2282">
            <v>240</v>
          </cell>
          <cell r="H2282">
            <v>45444</v>
          </cell>
          <cell r="I2282" t="str">
            <v>6360 - Model - Fitting</v>
          </cell>
          <cell r="J2282">
            <v>0</v>
          </cell>
          <cell r="K2282" t="str">
            <v>Production</v>
          </cell>
          <cell r="L2282" t="str">
            <v>Sample</v>
          </cell>
          <cell r="N2282" t="str">
            <v>SG&amp;A</v>
          </cell>
          <cell r="O2282" t="str">
            <v>Bridge Models Limited</v>
          </cell>
        </row>
        <row r="2283">
          <cell r="D2283">
            <v>905.11</v>
          </cell>
          <cell r="H2283">
            <v>45444</v>
          </cell>
          <cell r="I2283" t="str">
            <v>6120 - Lodging</v>
          </cell>
          <cell r="J2283" t="str">
            <v>Ecommerce (US)</v>
          </cell>
          <cell r="K2283" t="str">
            <v>Ecommerce</v>
          </cell>
          <cell r="L2283" t="str">
            <v>T&amp;E</v>
          </cell>
          <cell r="N2283" t="str">
            <v>SG&amp;A</v>
          </cell>
          <cell r="O2283" t="str">
            <v>[No Vendor]</v>
          </cell>
        </row>
        <row r="2284">
          <cell r="D2284">
            <v>182.54</v>
          </cell>
          <cell r="H2284">
            <v>45444</v>
          </cell>
          <cell r="I2284" t="str">
            <v>6120 - Lodging</v>
          </cell>
          <cell r="J2284" t="str">
            <v>Ecommerce (US)</v>
          </cell>
          <cell r="K2284" t="str">
            <v>Ecommerce</v>
          </cell>
          <cell r="L2284" t="str">
            <v>T&amp;E</v>
          </cell>
          <cell r="N2284" t="str">
            <v>SG&amp;A</v>
          </cell>
          <cell r="O2284" t="str">
            <v>[No Vendor]</v>
          </cell>
        </row>
        <row r="2285">
          <cell r="D2285">
            <v>37.65</v>
          </cell>
          <cell r="H2285">
            <v>45444</v>
          </cell>
          <cell r="I2285" t="str">
            <v>6105 - Meals</v>
          </cell>
          <cell r="J2285">
            <v>0</v>
          </cell>
          <cell r="K2285" t="str">
            <v>Administration</v>
          </cell>
          <cell r="L2285" t="str">
            <v>T&amp;E</v>
          </cell>
          <cell r="N2285" t="str">
            <v>SG&amp;A</v>
          </cell>
          <cell r="O2285" t="str">
            <v>[No Vendor]</v>
          </cell>
        </row>
        <row r="2286">
          <cell r="D2286">
            <v>1714.49</v>
          </cell>
          <cell r="H2286">
            <v>45444</v>
          </cell>
          <cell r="I2286" t="str">
            <v>6215 - Recruitment</v>
          </cell>
          <cell r="J2286">
            <v>0</v>
          </cell>
          <cell r="K2286" t="str">
            <v>Administration</v>
          </cell>
          <cell r="L2286" t="str">
            <v>Professional Service</v>
          </cell>
          <cell r="N2286" t="str">
            <v>SG&amp;A</v>
          </cell>
          <cell r="O2286" t="str">
            <v>LinkedIn</v>
          </cell>
        </row>
        <row r="2287">
          <cell r="D2287">
            <v>29.81</v>
          </cell>
          <cell r="H2287">
            <v>45444</v>
          </cell>
          <cell r="I2287" t="str">
            <v>6105 - Meals</v>
          </cell>
          <cell r="J2287">
            <v>0</v>
          </cell>
          <cell r="K2287" t="str">
            <v>Administration</v>
          </cell>
          <cell r="L2287" t="str">
            <v>T&amp;E</v>
          </cell>
          <cell r="N2287" t="str">
            <v>SG&amp;A</v>
          </cell>
          <cell r="O2287" t="str">
            <v>[No Vendor]</v>
          </cell>
        </row>
        <row r="2288">
          <cell r="D2288">
            <v>59.98</v>
          </cell>
          <cell r="H2288">
            <v>45444</v>
          </cell>
          <cell r="I2288" t="str">
            <v>6105 - Meals</v>
          </cell>
          <cell r="J2288">
            <v>0</v>
          </cell>
          <cell r="K2288" t="str">
            <v>Administration</v>
          </cell>
          <cell r="L2288" t="str">
            <v>T&amp;E</v>
          </cell>
          <cell r="N2288" t="str">
            <v>SG&amp;A</v>
          </cell>
          <cell r="O2288" t="str">
            <v>[No Vendor]</v>
          </cell>
        </row>
        <row r="2289">
          <cell r="D2289">
            <v>90.5</v>
          </cell>
          <cell r="H2289">
            <v>45444</v>
          </cell>
          <cell r="I2289" t="str">
            <v>6105 - Meals</v>
          </cell>
          <cell r="J2289">
            <v>0</v>
          </cell>
          <cell r="K2289" t="str">
            <v>Administration</v>
          </cell>
          <cell r="L2289" t="str">
            <v>T&amp;E</v>
          </cell>
          <cell r="N2289" t="str">
            <v>SG&amp;A</v>
          </cell>
          <cell r="O2289" t="str">
            <v>[No Vendor]</v>
          </cell>
        </row>
        <row r="2290">
          <cell r="D2290">
            <v>55.2</v>
          </cell>
          <cell r="H2290">
            <v>45444</v>
          </cell>
          <cell r="I2290" t="str">
            <v>6105 - Meals</v>
          </cell>
          <cell r="J2290">
            <v>0</v>
          </cell>
          <cell r="K2290" t="str">
            <v>Administration</v>
          </cell>
          <cell r="L2290" t="str">
            <v>T&amp;E</v>
          </cell>
          <cell r="N2290" t="str">
            <v>SG&amp;A</v>
          </cell>
          <cell r="O2290" t="str">
            <v>[No Vendor]</v>
          </cell>
        </row>
        <row r="2291">
          <cell r="D2291">
            <v>32.950000000000003</v>
          </cell>
          <cell r="H2291">
            <v>45444</v>
          </cell>
          <cell r="I2291" t="str">
            <v>6105 - Meals</v>
          </cell>
          <cell r="J2291">
            <v>0</v>
          </cell>
          <cell r="K2291" t="str">
            <v>Administration</v>
          </cell>
          <cell r="L2291" t="str">
            <v>T&amp;E</v>
          </cell>
          <cell r="N2291" t="str">
            <v>SG&amp;A</v>
          </cell>
          <cell r="O2291" t="str">
            <v>[No Vendor]</v>
          </cell>
        </row>
        <row r="2292">
          <cell r="D2292">
            <v>346.75</v>
          </cell>
          <cell r="H2292">
            <v>45444</v>
          </cell>
          <cell r="I2292" t="str">
            <v>6300 - Payroll Service Fees</v>
          </cell>
          <cell r="J2292">
            <v>0</v>
          </cell>
          <cell r="K2292" t="str">
            <v>Administration</v>
          </cell>
          <cell r="L2292" t="str">
            <v>Professional Service</v>
          </cell>
          <cell r="N2292" t="str">
            <v>SG&amp;A</v>
          </cell>
          <cell r="O2292" t="str">
            <v>ADP Payroll Services</v>
          </cell>
        </row>
        <row r="2293">
          <cell r="D2293">
            <v>37195.33</v>
          </cell>
          <cell r="H2293">
            <v>45444</v>
          </cell>
          <cell r="I2293" t="str">
            <v>6375 - Freight Expenses</v>
          </cell>
          <cell r="J2293" t="str">
            <v>Ecommerce (US)</v>
          </cell>
          <cell r="K2293" t="str">
            <v>Ecommerce</v>
          </cell>
          <cell r="L2293" t="str">
            <v>Freight</v>
          </cell>
          <cell r="N2293" t="str">
            <v>Direct Costs</v>
          </cell>
          <cell r="O2293" t="str">
            <v>UPS Supply Chain Solutions Inc. (7F24A0)</v>
          </cell>
        </row>
        <row r="2294">
          <cell r="D2294">
            <v>696.97</v>
          </cell>
          <cell r="H2294">
            <v>45444</v>
          </cell>
          <cell r="I2294" t="str">
            <v>6040 - Employer Paid Benefits</v>
          </cell>
          <cell r="J2294">
            <v>0</v>
          </cell>
          <cell r="K2294" t="str">
            <v>Administration</v>
          </cell>
          <cell r="L2294" t="str">
            <v>HQ Salaries</v>
          </cell>
          <cell r="N2294" t="str">
            <v>SG&amp;A</v>
          </cell>
          <cell r="O2294" t="str">
            <v>Procyon Benefits LLC</v>
          </cell>
        </row>
        <row r="2295">
          <cell r="D2295">
            <v>1034.31</v>
          </cell>
          <cell r="H2295">
            <v>45444</v>
          </cell>
          <cell r="I2295" t="str">
            <v>6340 - Miscellaneous Expense</v>
          </cell>
          <cell r="J2295">
            <v>0</v>
          </cell>
          <cell r="K2295" t="str">
            <v>Administration</v>
          </cell>
          <cell r="L2295" t="str">
            <v>Other</v>
          </cell>
          <cell r="N2295" t="str">
            <v>SG&amp;A</v>
          </cell>
          <cell r="O2295" t="str">
            <v>Go Gleem LLC</v>
          </cell>
        </row>
        <row r="2296">
          <cell r="D2296">
            <v>1525</v>
          </cell>
          <cell r="H2296">
            <v>45444</v>
          </cell>
          <cell r="I2296" t="str">
            <v>6240 - Product Photography</v>
          </cell>
          <cell r="J2296" t="str">
            <v>Ecommerce (US)</v>
          </cell>
          <cell r="K2296" t="str">
            <v>Brand Marketing</v>
          </cell>
          <cell r="L2296" t="str">
            <v>Advertising</v>
          </cell>
          <cell r="N2296" t="str">
            <v>SG&amp;A</v>
          </cell>
          <cell r="O2296" t="str">
            <v>LENFLASH dot COM</v>
          </cell>
        </row>
        <row r="2297">
          <cell r="D2297">
            <v>4840</v>
          </cell>
          <cell r="H2297">
            <v>45444</v>
          </cell>
          <cell r="I2297" t="str">
            <v>6240 - Product Photography</v>
          </cell>
          <cell r="J2297" t="str">
            <v>Ecommerce (US)</v>
          </cell>
          <cell r="K2297" t="str">
            <v>Brand Marketing</v>
          </cell>
          <cell r="L2297" t="str">
            <v>Advertising</v>
          </cell>
          <cell r="N2297" t="str">
            <v>SG&amp;A</v>
          </cell>
          <cell r="O2297" t="str">
            <v>LENFLASH dot COM</v>
          </cell>
        </row>
        <row r="2298">
          <cell r="D2298">
            <v>3040</v>
          </cell>
          <cell r="H2298">
            <v>45444</v>
          </cell>
          <cell r="I2298" t="str">
            <v>6240 - Product Photography</v>
          </cell>
          <cell r="J2298" t="str">
            <v>Ecommerce (US)</v>
          </cell>
          <cell r="K2298" t="str">
            <v>Brand Marketing</v>
          </cell>
          <cell r="L2298" t="str">
            <v>Advertising</v>
          </cell>
          <cell r="N2298" t="str">
            <v>SG&amp;A</v>
          </cell>
          <cell r="O2298" t="str">
            <v>LENFLASH dot COM</v>
          </cell>
        </row>
        <row r="2299">
          <cell r="D2299">
            <v>430</v>
          </cell>
          <cell r="H2299">
            <v>45444</v>
          </cell>
          <cell r="I2299" t="str">
            <v>6240 - Product Photography</v>
          </cell>
          <cell r="J2299" t="str">
            <v>Ecommerce (US)</v>
          </cell>
          <cell r="K2299" t="str">
            <v>Brand Marketing</v>
          </cell>
          <cell r="L2299" t="str">
            <v>Advertising</v>
          </cell>
          <cell r="N2299" t="str">
            <v>SG&amp;A</v>
          </cell>
          <cell r="O2299" t="str">
            <v>LENFLASH dot COM</v>
          </cell>
        </row>
        <row r="2300">
          <cell r="D2300">
            <v>9839.41</v>
          </cell>
          <cell r="H2300">
            <v>45444</v>
          </cell>
          <cell r="I2300" t="str">
            <v>6205 - Contractors</v>
          </cell>
          <cell r="J2300">
            <v>0</v>
          </cell>
          <cell r="K2300" t="str">
            <v>Production</v>
          </cell>
          <cell r="L2300" t="str">
            <v>HQ Salaries</v>
          </cell>
          <cell r="N2300" t="str">
            <v>SG&amp;A</v>
          </cell>
          <cell r="O2300" t="str">
            <v>Philip Yau</v>
          </cell>
        </row>
        <row r="2301">
          <cell r="D2301">
            <v>285.93</v>
          </cell>
          <cell r="H2301">
            <v>45444</v>
          </cell>
          <cell r="I2301" t="str">
            <v>6040 - Employer Paid Benefits</v>
          </cell>
          <cell r="J2301">
            <v>0</v>
          </cell>
          <cell r="K2301" t="str">
            <v>Production</v>
          </cell>
          <cell r="L2301" t="str">
            <v>HQ Salaries</v>
          </cell>
          <cell r="N2301" t="str">
            <v>SG&amp;A</v>
          </cell>
          <cell r="O2301" t="str">
            <v>Procyon Benefits LLC</v>
          </cell>
        </row>
        <row r="2302">
          <cell r="D2302">
            <v>11.6</v>
          </cell>
          <cell r="H2302">
            <v>45444</v>
          </cell>
          <cell r="I2302" t="str">
            <v>6040 - Employer Paid Benefits</v>
          </cell>
          <cell r="J2302">
            <v>0</v>
          </cell>
          <cell r="K2302" t="str">
            <v>Merchandising</v>
          </cell>
          <cell r="L2302" t="str">
            <v>HQ Salaries</v>
          </cell>
          <cell r="N2302" t="str">
            <v>SG&amp;A</v>
          </cell>
          <cell r="O2302" t="str">
            <v>Procyon Benefits LLC</v>
          </cell>
        </row>
        <row r="2303">
          <cell r="D2303">
            <v>31.5</v>
          </cell>
          <cell r="H2303">
            <v>45444</v>
          </cell>
          <cell r="I2303" t="str">
            <v>6040 - Employer Paid Benefits</v>
          </cell>
          <cell r="J2303" t="str">
            <v>Ecommerce (US)</v>
          </cell>
          <cell r="K2303" t="str">
            <v>Ecommerce</v>
          </cell>
          <cell r="L2303" t="str">
            <v>HQ Salaries</v>
          </cell>
          <cell r="N2303" t="str">
            <v>SG&amp;A</v>
          </cell>
          <cell r="O2303" t="str">
            <v>Procyon Benefits LLC</v>
          </cell>
        </row>
        <row r="2304">
          <cell r="D2304">
            <v>84</v>
          </cell>
          <cell r="H2304">
            <v>45444</v>
          </cell>
          <cell r="I2304" t="str">
            <v>6040 - Employer Paid Benefits</v>
          </cell>
          <cell r="J2304">
            <v>0</v>
          </cell>
          <cell r="K2304" t="str">
            <v>Executive</v>
          </cell>
          <cell r="L2304" t="str">
            <v>HQ Salaries</v>
          </cell>
          <cell r="N2304" t="str">
            <v>SG&amp;A</v>
          </cell>
          <cell r="O2304" t="str">
            <v>Procyon Benefits LLC</v>
          </cell>
        </row>
        <row r="2305">
          <cell r="D2305">
            <v>775.93</v>
          </cell>
          <cell r="H2305">
            <v>45444</v>
          </cell>
          <cell r="I2305" t="str">
            <v>6040 - Employer Paid Benefits</v>
          </cell>
          <cell r="J2305">
            <v>0</v>
          </cell>
          <cell r="K2305" t="str">
            <v>Design</v>
          </cell>
          <cell r="L2305" t="str">
            <v>HQ Salaries</v>
          </cell>
          <cell r="N2305" t="str">
            <v>SG&amp;A</v>
          </cell>
          <cell r="O2305" t="str">
            <v>Procyon Benefits LLC</v>
          </cell>
        </row>
        <row r="2306">
          <cell r="D2306">
            <v>4438.49</v>
          </cell>
          <cell r="H2306">
            <v>45444</v>
          </cell>
          <cell r="I2306" t="str">
            <v>6375 - Freight Expenses</v>
          </cell>
          <cell r="J2306" t="str">
            <v>Ecommerce (EU)</v>
          </cell>
          <cell r="K2306" t="str">
            <v>Ecommerce</v>
          </cell>
          <cell r="L2306" t="str">
            <v>Freight</v>
          </cell>
          <cell r="N2306" t="str">
            <v>Direct Costs</v>
          </cell>
          <cell r="O2306" t="str">
            <v>Global E</v>
          </cell>
        </row>
        <row r="2307">
          <cell r="D2307">
            <v>299.39</v>
          </cell>
          <cell r="H2307">
            <v>45444</v>
          </cell>
          <cell r="I2307" t="str">
            <v>6520 - Taxes and Licenses</v>
          </cell>
          <cell r="J2307">
            <v>0</v>
          </cell>
          <cell r="K2307" t="str">
            <v>Administration</v>
          </cell>
          <cell r="L2307" t="str">
            <v>Other</v>
          </cell>
          <cell r="N2307" t="str">
            <v>SG&amp;A</v>
          </cell>
          <cell r="O2307" t="str">
            <v>[No Vendor]</v>
          </cell>
        </row>
        <row r="2308">
          <cell r="D2308">
            <v>3325.88</v>
          </cell>
          <cell r="H2308">
            <v>45444</v>
          </cell>
          <cell r="I2308" t="str">
            <v>6450 - Bank &amp; Other Fees</v>
          </cell>
          <cell r="J2308" t="str">
            <v>Ecommerce (EU)</v>
          </cell>
          <cell r="K2308" t="str">
            <v>Ecommerce</v>
          </cell>
          <cell r="L2308" t="str">
            <v>Professional Service</v>
          </cell>
          <cell r="N2308" t="str">
            <v>Direct Costs</v>
          </cell>
          <cell r="O2308" t="str">
            <v>[No Vendor]</v>
          </cell>
        </row>
        <row r="2309">
          <cell r="D2309">
            <v>496.67</v>
          </cell>
          <cell r="H2309">
            <v>45444</v>
          </cell>
          <cell r="I2309" t="str">
            <v>6375 - Freight Expenses</v>
          </cell>
          <cell r="J2309" t="str">
            <v>Ecommerce (US)</v>
          </cell>
          <cell r="K2309" t="str">
            <v>Ecommerce</v>
          </cell>
          <cell r="L2309" t="str">
            <v>Freight</v>
          </cell>
          <cell r="N2309" t="str">
            <v>Direct Costs</v>
          </cell>
          <cell r="O2309" t="str">
            <v>DHL Express - USA</v>
          </cell>
        </row>
        <row r="2310">
          <cell r="D2310">
            <v>1700</v>
          </cell>
          <cell r="H2310">
            <v>45444</v>
          </cell>
          <cell r="I2310" t="str">
            <v>6340 - Miscellaneous Expense</v>
          </cell>
          <cell r="J2310" t="str">
            <v>Wholesale</v>
          </cell>
          <cell r="K2310" t="str">
            <v>Wholesale</v>
          </cell>
          <cell r="L2310" t="str">
            <v>Other</v>
          </cell>
          <cell r="N2310" t="str">
            <v>SG&amp;A</v>
          </cell>
          <cell r="O2310" t="str">
            <v>Justyna Watorek LLC</v>
          </cell>
        </row>
        <row r="2311">
          <cell r="D2311">
            <v>-731.55</v>
          </cell>
          <cell r="H2311">
            <v>45444</v>
          </cell>
          <cell r="I2311" t="str">
            <v>6225 - Professional Services</v>
          </cell>
          <cell r="J2311" t="str">
            <v>Wholesale</v>
          </cell>
          <cell r="K2311" t="str">
            <v>Wholesale</v>
          </cell>
          <cell r="L2311" t="str">
            <v>Professional Service</v>
          </cell>
          <cell r="N2311" t="str">
            <v>Direct Costs</v>
          </cell>
          <cell r="O2311" t="str">
            <v>Justyna Watorek LLC</v>
          </cell>
        </row>
        <row r="2312">
          <cell r="D2312">
            <v>500</v>
          </cell>
          <cell r="H2312">
            <v>45444</v>
          </cell>
          <cell r="I2312" t="str">
            <v>6225 - Professional Services</v>
          </cell>
          <cell r="J2312" t="str">
            <v>Wholesale</v>
          </cell>
          <cell r="K2312" t="str">
            <v>Wholesale</v>
          </cell>
          <cell r="L2312" t="str">
            <v>Professional Service</v>
          </cell>
          <cell r="N2312" t="str">
            <v>Direct Costs</v>
          </cell>
          <cell r="O2312" t="str">
            <v>Justyna Watorek LLC</v>
          </cell>
        </row>
        <row r="2313">
          <cell r="D2313">
            <v>2500</v>
          </cell>
          <cell r="H2313">
            <v>45444</v>
          </cell>
          <cell r="I2313" t="str">
            <v>6225 - Professional Services</v>
          </cell>
          <cell r="J2313" t="str">
            <v>Wholesale</v>
          </cell>
          <cell r="K2313" t="str">
            <v>Wholesale</v>
          </cell>
          <cell r="L2313" t="str">
            <v>Professional Service</v>
          </cell>
          <cell r="N2313" t="str">
            <v>Direct Costs</v>
          </cell>
          <cell r="O2313" t="str">
            <v>Justyna Watorek LLC</v>
          </cell>
        </row>
        <row r="2314">
          <cell r="D2314">
            <v>288</v>
          </cell>
          <cell r="H2314">
            <v>45444</v>
          </cell>
          <cell r="I2314" t="str">
            <v>6040 - Employer Paid Benefits</v>
          </cell>
          <cell r="J2314">
            <v>0</v>
          </cell>
          <cell r="K2314" t="str">
            <v>Administration</v>
          </cell>
          <cell r="L2314" t="str">
            <v>HQ Salaries</v>
          </cell>
          <cell r="N2314" t="str">
            <v>SG&amp;A</v>
          </cell>
          <cell r="O2314" t="str">
            <v>Procyon Benefits LLC</v>
          </cell>
        </row>
        <row r="2315">
          <cell r="D2315">
            <v>600</v>
          </cell>
          <cell r="H2315">
            <v>45444</v>
          </cell>
          <cell r="I2315" t="str">
            <v>6288 - Model</v>
          </cell>
          <cell r="J2315" t="str">
            <v>Ecommerce (US)</v>
          </cell>
          <cell r="K2315" t="str">
            <v>Brand Marketing</v>
          </cell>
          <cell r="L2315" t="str">
            <v>Advertising</v>
          </cell>
          <cell r="N2315" t="str">
            <v>SG&amp;A</v>
          </cell>
          <cell r="O2315" t="str">
            <v>State Artist Management</v>
          </cell>
        </row>
        <row r="2316">
          <cell r="D2316">
            <v>76.209999999999994</v>
          </cell>
          <cell r="H2316">
            <v>45444</v>
          </cell>
          <cell r="I2316" t="str">
            <v>6340 - Miscellaneous Expense</v>
          </cell>
          <cell r="J2316" t="str">
            <v>Wholesale</v>
          </cell>
          <cell r="K2316" t="str">
            <v>Wholesale</v>
          </cell>
          <cell r="L2316" t="str">
            <v>Other</v>
          </cell>
          <cell r="N2316" t="str">
            <v>SG&amp;A</v>
          </cell>
          <cell r="O2316" t="str">
            <v>Kalina Pregnolato</v>
          </cell>
        </row>
        <row r="2317">
          <cell r="D2317">
            <v>22.09</v>
          </cell>
          <cell r="H2317">
            <v>45444</v>
          </cell>
          <cell r="I2317" t="str">
            <v>6287 - Events</v>
          </cell>
          <cell r="J2317" t="str">
            <v>Wholesale</v>
          </cell>
          <cell r="K2317" t="str">
            <v>Brand Marketing</v>
          </cell>
          <cell r="L2317" t="str">
            <v>Advertising</v>
          </cell>
          <cell r="N2317" t="str">
            <v>SG&amp;A</v>
          </cell>
          <cell r="O2317" t="str">
            <v>Kalina Pregnolato</v>
          </cell>
        </row>
        <row r="2318">
          <cell r="D2318">
            <v>3.6</v>
          </cell>
          <cell r="H2318">
            <v>45444</v>
          </cell>
          <cell r="I2318" t="str">
            <v>6287 - Events</v>
          </cell>
          <cell r="J2318" t="str">
            <v>Wholesale</v>
          </cell>
          <cell r="K2318" t="str">
            <v>Brand Marketing</v>
          </cell>
          <cell r="L2318" t="str">
            <v>Advertising</v>
          </cell>
          <cell r="N2318" t="str">
            <v>SG&amp;A</v>
          </cell>
          <cell r="O2318" t="str">
            <v>Kalina Pregnolato</v>
          </cell>
        </row>
        <row r="2319">
          <cell r="D2319">
            <v>343.98</v>
          </cell>
          <cell r="H2319">
            <v>45444</v>
          </cell>
          <cell r="I2319" t="str">
            <v>6120 - Lodging</v>
          </cell>
          <cell r="J2319" t="str">
            <v>Wholesale</v>
          </cell>
          <cell r="K2319" t="str">
            <v>Wholesale</v>
          </cell>
          <cell r="L2319" t="str">
            <v>T&amp;E</v>
          </cell>
          <cell r="N2319" t="str">
            <v>SG&amp;A</v>
          </cell>
          <cell r="O2319" t="str">
            <v>Kalina Pregnolato</v>
          </cell>
        </row>
        <row r="2320">
          <cell r="D2320">
            <v>260</v>
          </cell>
          <cell r="H2320">
            <v>45444</v>
          </cell>
          <cell r="I2320" t="str">
            <v>6300 - Payroll Service Fees</v>
          </cell>
          <cell r="J2320">
            <v>0</v>
          </cell>
          <cell r="K2320" t="str">
            <v>Administration</v>
          </cell>
          <cell r="L2320" t="str">
            <v>Professional Service</v>
          </cell>
          <cell r="N2320" t="str">
            <v>SG&amp;A</v>
          </cell>
          <cell r="O2320" t="str">
            <v>OperationsInc, LLC</v>
          </cell>
        </row>
        <row r="2321">
          <cell r="D2321">
            <v>746.95</v>
          </cell>
          <cell r="H2321">
            <v>45444</v>
          </cell>
          <cell r="I2321" t="str">
            <v>6115 - Airfare</v>
          </cell>
          <cell r="J2321" t="str">
            <v>Wholesale</v>
          </cell>
          <cell r="K2321" t="str">
            <v>Wholesale</v>
          </cell>
          <cell r="L2321" t="str">
            <v>T&amp;E</v>
          </cell>
          <cell r="N2321" t="str">
            <v>SG&amp;A</v>
          </cell>
          <cell r="O2321" t="str">
            <v>Kalina Pregnolato</v>
          </cell>
        </row>
        <row r="2322">
          <cell r="D2322">
            <v>1217.3</v>
          </cell>
          <cell r="H2322">
            <v>45444</v>
          </cell>
          <cell r="I2322" t="str">
            <v>6375 - Freight Expenses</v>
          </cell>
          <cell r="J2322">
            <v>0</v>
          </cell>
          <cell r="K2322" t="str">
            <v>Production</v>
          </cell>
          <cell r="L2322" t="str">
            <v>Freight</v>
          </cell>
          <cell r="N2322" t="str">
            <v>Direct Costs</v>
          </cell>
          <cell r="O2322" t="str">
            <v>DHL Express - USA</v>
          </cell>
        </row>
        <row r="2323">
          <cell r="D2323">
            <v>338.3</v>
          </cell>
          <cell r="H2323">
            <v>45444</v>
          </cell>
          <cell r="I2323" t="str">
            <v>6040 - Employer Paid Benefits</v>
          </cell>
          <cell r="J2323">
            <v>0</v>
          </cell>
          <cell r="K2323" t="str">
            <v>Production</v>
          </cell>
          <cell r="L2323" t="str">
            <v>HQ Salaries</v>
          </cell>
          <cell r="N2323" t="str">
            <v>SG&amp;A</v>
          </cell>
          <cell r="O2323" t="str">
            <v>Procyon Benefits LLC</v>
          </cell>
        </row>
        <row r="2324">
          <cell r="D2324">
            <v>196.31</v>
          </cell>
          <cell r="H2324">
            <v>45444</v>
          </cell>
          <cell r="I2324" t="str">
            <v>6040 - Employer Paid Benefits</v>
          </cell>
          <cell r="J2324">
            <v>0</v>
          </cell>
          <cell r="K2324" t="str">
            <v>Merchandising</v>
          </cell>
          <cell r="L2324" t="str">
            <v>HQ Salaries</v>
          </cell>
          <cell r="N2324" t="str">
            <v>SG&amp;A</v>
          </cell>
          <cell r="O2324" t="str">
            <v>Procyon Benefits LLC</v>
          </cell>
        </row>
        <row r="2325">
          <cell r="D2325">
            <v>35</v>
          </cell>
          <cell r="H2325">
            <v>45444</v>
          </cell>
          <cell r="I2325" t="str">
            <v>6040 - Employer Paid Benefits</v>
          </cell>
          <cell r="J2325">
            <v>0</v>
          </cell>
          <cell r="K2325" t="str">
            <v>Design</v>
          </cell>
          <cell r="L2325" t="str">
            <v>HQ Salaries</v>
          </cell>
          <cell r="N2325" t="str">
            <v>SG&amp;A</v>
          </cell>
          <cell r="O2325" t="str">
            <v>Procyon Benefits LLC</v>
          </cell>
        </row>
        <row r="2326">
          <cell r="D2326">
            <v>67.77</v>
          </cell>
          <cell r="H2326">
            <v>45444</v>
          </cell>
          <cell r="I2326" t="str">
            <v>6125 - Transportation and Fuel</v>
          </cell>
          <cell r="J2326">
            <v>0</v>
          </cell>
          <cell r="K2326" t="str">
            <v>Design</v>
          </cell>
          <cell r="L2326" t="str">
            <v>T&amp;E</v>
          </cell>
          <cell r="N2326" t="str">
            <v>SG&amp;A</v>
          </cell>
          <cell r="O2326" t="str">
            <v>CJ Sebrell Roberson</v>
          </cell>
        </row>
        <row r="2327">
          <cell r="D2327">
            <v>1092.4000000000001</v>
          </cell>
          <cell r="H2327">
            <v>45444</v>
          </cell>
          <cell r="I2327" t="str">
            <v>6380 - Legal &amp; Accounting</v>
          </cell>
          <cell r="J2327">
            <v>0</v>
          </cell>
          <cell r="K2327" t="str">
            <v>Administration</v>
          </cell>
          <cell r="L2327" t="str">
            <v>Professional Service</v>
          </cell>
          <cell r="N2327" t="str">
            <v>SG&amp;A</v>
          </cell>
          <cell r="O2327" t="str">
            <v>Law Office of Soo Park, PLC</v>
          </cell>
        </row>
        <row r="2328">
          <cell r="D2328">
            <v>100</v>
          </cell>
          <cell r="H2328">
            <v>45444</v>
          </cell>
          <cell r="I2328" t="str">
            <v>6370 - Samples</v>
          </cell>
          <cell r="J2328">
            <v>0</v>
          </cell>
          <cell r="K2328" t="str">
            <v>Production</v>
          </cell>
          <cell r="L2328" t="str">
            <v>Sample</v>
          </cell>
          <cell r="N2328" t="str">
            <v>SG&amp;A</v>
          </cell>
          <cell r="O2328" t="str">
            <v>Jiangsu Mega Holdings CO. LTD</v>
          </cell>
        </row>
        <row r="2329">
          <cell r="D2329">
            <v>169.15</v>
          </cell>
          <cell r="H2329">
            <v>45444</v>
          </cell>
          <cell r="I2329" t="str">
            <v>6385 - Insurance</v>
          </cell>
          <cell r="J2329">
            <v>0</v>
          </cell>
          <cell r="K2329" t="str">
            <v>Administration</v>
          </cell>
          <cell r="L2329" t="str">
            <v>Professional Service</v>
          </cell>
          <cell r="N2329" t="str">
            <v>SG&amp;A</v>
          </cell>
          <cell r="O2329" t="str">
            <v>[No Vendor]</v>
          </cell>
        </row>
        <row r="2330">
          <cell r="D2330">
            <v>719.8</v>
          </cell>
          <cell r="H2330">
            <v>45444</v>
          </cell>
          <cell r="I2330" t="str">
            <v>6410 - Lease Expense</v>
          </cell>
          <cell r="J2330">
            <v>0</v>
          </cell>
          <cell r="K2330" t="str">
            <v>Administration</v>
          </cell>
          <cell r="L2330" t="str">
            <v>Rent</v>
          </cell>
          <cell r="N2330" t="str">
            <v>SG&amp;A</v>
          </cell>
          <cell r="O2330" t="str">
            <v>Canon Financial Services, Inc.</v>
          </cell>
        </row>
        <row r="2331">
          <cell r="D2331">
            <v>-2073.4899999999998</v>
          </cell>
          <cell r="H2331">
            <v>45444</v>
          </cell>
          <cell r="I2331" t="str">
            <v>6377 - Order Processing Expenses (New)</v>
          </cell>
          <cell r="J2331" t="str">
            <v>Ecommerce (US)</v>
          </cell>
          <cell r="K2331" t="str">
            <v>No Department</v>
          </cell>
          <cell r="L2331" t="str">
            <v>Order Processing</v>
          </cell>
          <cell r="N2331" t="str">
            <v>Direct Costs</v>
          </cell>
          <cell r="O2331" t="str">
            <v>Bergen Logistics Corporation</v>
          </cell>
        </row>
        <row r="2332">
          <cell r="D2332">
            <v>3869.78</v>
          </cell>
          <cell r="H2332">
            <v>45444</v>
          </cell>
          <cell r="I2332" t="str">
            <v>8505 - Realized Gain/Loss</v>
          </cell>
          <cell r="J2332">
            <v>0</v>
          </cell>
          <cell r="K2332" t="str">
            <v>Brand Marketing</v>
          </cell>
          <cell r="L2332" t="str">
            <v>Realized Gain / Loss</v>
          </cell>
          <cell r="N2332" t="str">
            <v>BTL</v>
          </cell>
          <cell r="O2332" t="str">
            <v>[No Vendor]</v>
          </cell>
        </row>
        <row r="2333">
          <cell r="D2333">
            <v>0.71</v>
          </cell>
          <cell r="H2333">
            <v>45444</v>
          </cell>
          <cell r="I2333" t="str">
            <v>8505 - Realized Gain/Loss</v>
          </cell>
          <cell r="J2333">
            <v>0</v>
          </cell>
          <cell r="K2333" t="str">
            <v>No Department</v>
          </cell>
          <cell r="L2333" t="str">
            <v>Realized Gain / Loss</v>
          </cell>
          <cell r="N2333" t="str">
            <v>BTL</v>
          </cell>
          <cell r="O2333" t="str">
            <v>[No Vendor]</v>
          </cell>
        </row>
        <row r="2334">
          <cell r="D2334">
            <v>238.08</v>
          </cell>
          <cell r="H2334">
            <v>45444</v>
          </cell>
          <cell r="I2334" t="str">
            <v>8505 - Realized Gain/Loss</v>
          </cell>
          <cell r="J2334">
            <v>0</v>
          </cell>
          <cell r="K2334" t="str">
            <v>No Department</v>
          </cell>
          <cell r="L2334" t="str">
            <v>Realized Gain / Loss</v>
          </cell>
          <cell r="N2334" t="str">
            <v>BTL</v>
          </cell>
          <cell r="O2334" t="str">
            <v>[No Vendor]</v>
          </cell>
        </row>
        <row r="2335">
          <cell r="D2335">
            <v>20780.8</v>
          </cell>
          <cell r="H2335">
            <v>45444</v>
          </cell>
          <cell r="I2335" t="str">
            <v>6005 - Salaries</v>
          </cell>
          <cell r="J2335" t="str">
            <v>Ecommerce (US)</v>
          </cell>
          <cell r="K2335" t="str">
            <v>Ecommerce</v>
          </cell>
          <cell r="L2335" t="str">
            <v>HQ Salaries</v>
          </cell>
          <cell r="N2335" t="str">
            <v>SG&amp;A</v>
          </cell>
          <cell r="O2335" t="str">
            <v>[No Vendor]</v>
          </cell>
        </row>
        <row r="2336">
          <cell r="D2336">
            <v>0</v>
          </cell>
          <cell r="H2336">
            <v>45444</v>
          </cell>
          <cell r="I2336" t="str">
            <v>6205 - Contractors</v>
          </cell>
          <cell r="J2336">
            <v>0</v>
          </cell>
          <cell r="K2336" t="str">
            <v>Brand Marketing</v>
          </cell>
          <cell r="L2336" t="str">
            <v>HQ Salaries</v>
          </cell>
          <cell r="N2336" t="str">
            <v>SG&amp;A</v>
          </cell>
          <cell r="O2336" t="str">
            <v>[No Vendor]</v>
          </cell>
        </row>
        <row r="2337">
          <cell r="D2337">
            <v>0</v>
          </cell>
          <cell r="H2337">
            <v>45444</v>
          </cell>
          <cell r="I2337" t="str">
            <v>6205 - Contractors</v>
          </cell>
          <cell r="J2337" t="str">
            <v>Ecommerce (US)</v>
          </cell>
          <cell r="K2337" t="str">
            <v>Ecommerce</v>
          </cell>
          <cell r="L2337" t="str">
            <v>HQ Salaries</v>
          </cell>
          <cell r="N2337" t="str">
            <v>SG&amp;A</v>
          </cell>
          <cell r="O2337" t="str">
            <v>[No Vendor]</v>
          </cell>
        </row>
        <row r="2338">
          <cell r="D2338">
            <v>-59.47</v>
          </cell>
          <cell r="H2338">
            <v>45444</v>
          </cell>
          <cell r="I2338" t="str">
            <v>6385 - Insurance</v>
          </cell>
          <cell r="J2338">
            <v>0</v>
          </cell>
          <cell r="K2338" t="str">
            <v>Administration</v>
          </cell>
          <cell r="L2338" t="str">
            <v>Professional Service</v>
          </cell>
          <cell r="N2338" t="str">
            <v>SG&amp;A</v>
          </cell>
          <cell r="O2338" t="str">
            <v>[No Vendor]</v>
          </cell>
        </row>
        <row r="2339">
          <cell r="D2339">
            <v>-25.87</v>
          </cell>
          <cell r="H2339">
            <v>45444</v>
          </cell>
          <cell r="I2339" t="str">
            <v>6385 - Insurance</v>
          </cell>
          <cell r="J2339">
            <v>0</v>
          </cell>
          <cell r="K2339" t="str">
            <v>Administration</v>
          </cell>
          <cell r="L2339" t="str">
            <v>Professional Service</v>
          </cell>
          <cell r="N2339" t="str">
            <v>SG&amp;A</v>
          </cell>
          <cell r="O2339" t="str">
            <v>[No Vendor]</v>
          </cell>
        </row>
        <row r="2340">
          <cell r="D2340">
            <v>-20.41</v>
          </cell>
          <cell r="H2340">
            <v>45444</v>
          </cell>
          <cell r="I2340" t="str">
            <v>6385 - Insurance</v>
          </cell>
          <cell r="J2340">
            <v>0</v>
          </cell>
          <cell r="K2340" t="str">
            <v>Administration</v>
          </cell>
          <cell r="L2340" t="str">
            <v>Professional Service</v>
          </cell>
          <cell r="N2340" t="str">
            <v>SG&amp;A</v>
          </cell>
          <cell r="O2340" t="str">
            <v>[No Vendor]</v>
          </cell>
        </row>
        <row r="2341">
          <cell r="D2341">
            <v>-25.24</v>
          </cell>
          <cell r="H2341">
            <v>45444</v>
          </cell>
          <cell r="I2341" t="str">
            <v>6385 - Insurance</v>
          </cell>
          <cell r="J2341">
            <v>0</v>
          </cell>
          <cell r="K2341" t="str">
            <v>Administration</v>
          </cell>
          <cell r="L2341" t="str">
            <v>Professional Service</v>
          </cell>
          <cell r="N2341" t="str">
            <v>SG&amp;A</v>
          </cell>
          <cell r="O2341" t="str">
            <v>[No Vendor]</v>
          </cell>
        </row>
        <row r="2342">
          <cell r="D2342">
            <v>-48.22</v>
          </cell>
          <cell r="H2342">
            <v>45444</v>
          </cell>
          <cell r="I2342" t="str">
            <v>6385 - Insurance</v>
          </cell>
          <cell r="J2342">
            <v>0</v>
          </cell>
          <cell r="K2342" t="str">
            <v>Administration</v>
          </cell>
          <cell r="L2342" t="str">
            <v>Professional Service</v>
          </cell>
          <cell r="N2342" t="str">
            <v>SG&amp;A</v>
          </cell>
          <cell r="O2342" t="str">
            <v>[No Vendor]</v>
          </cell>
        </row>
        <row r="2343">
          <cell r="D2343">
            <v>-13.39</v>
          </cell>
          <cell r="H2343">
            <v>45444</v>
          </cell>
          <cell r="I2343" t="str">
            <v>6385 - Insurance</v>
          </cell>
          <cell r="J2343">
            <v>0</v>
          </cell>
          <cell r="K2343" t="str">
            <v>Administration</v>
          </cell>
          <cell r="L2343" t="str">
            <v>Professional Service</v>
          </cell>
          <cell r="N2343" t="str">
            <v>SG&amp;A</v>
          </cell>
          <cell r="O2343" t="str">
            <v>[No Vendor]</v>
          </cell>
        </row>
        <row r="2344">
          <cell r="D2344">
            <v>-41.67</v>
          </cell>
          <cell r="H2344">
            <v>45444</v>
          </cell>
          <cell r="I2344" t="str">
            <v>6385 - Insurance</v>
          </cell>
          <cell r="J2344">
            <v>0</v>
          </cell>
          <cell r="K2344" t="str">
            <v>Administration</v>
          </cell>
          <cell r="L2344" t="str">
            <v>Professional Service</v>
          </cell>
          <cell r="N2344" t="str">
            <v>SG&amp;A</v>
          </cell>
          <cell r="O2344" t="str">
            <v>[No Vendor]</v>
          </cell>
        </row>
        <row r="2345">
          <cell r="D2345">
            <v>2289.1999999999998</v>
          </cell>
          <cell r="H2345">
            <v>45444</v>
          </cell>
          <cell r="I2345" t="str">
            <v>6055 - Employer Social Security Tax Withheld</v>
          </cell>
          <cell r="J2345">
            <v>0</v>
          </cell>
          <cell r="K2345" t="str">
            <v>Administration</v>
          </cell>
          <cell r="L2345" t="str">
            <v>HQ Salaries</v>
          </cell>
          <cell r="N2345" t="str">
            <v>SG&amp;A</v>
          </cell>
          <cell r="O2345" t="str">
            <v>[No Vendor]</v>
          </cell>
        </row>
        <row r="2346">
          <cell r="D2346">
            <v>548.48</v>
          </cell>
          <cell r="H2346">
            <v>45444</v>
          </cell>
          <cell r="I2346" t="str">
            <v>6055 - Employer Social Security Tax Withheld</v>
          </cell>
          <cell r="J2346">
            <v>0</v>
          </cell>
          <cell r="K2346" t="str">
            <v>Merchandising</v>
          </cell>
          <cell r="L2346" t="str">
            <v>HQ Salaries</v>
          </cell>
          <cell r="N2346" t="str">
            <v>SG&amp;A</v>
          </cell>
          <cell r="O2346" t="str">
            <v>[No Vendor]</v>
          </cell>
        </row>
        <row r="2347">
          <cell r="D2347">
            <v>1052.1300000000001</v>
          </cell>
          <cell r="H2347">
            <v>45444</v>
          </cell>
          <cell r="I2347" t="str">
            <v>6055 - Employer Social Security Tax Withheld</v>
          </cell>
          <cell r="J2347" t="str">
            <v>Wholesale</v>
          </cell>
          <cell r="K2347" t="str">
            <v>Wholesale</v>
          </cell>
          <cell r="L2347" t="str">
            <v>HQ Salaries</v>
          </cell>
          <cell r="N2347" t="str">
            <v>SG&amp;A</v>
          </cell>
          <cell r="O2347" t="str">
            <v>[No Vendor]</v>
          </cell>
        </row>
        <row r="2348">
          <cell r="D2348">
            <v>2097.44</v>
          </cell>
          <cell r="H2348">
            <v>45444</v>
          </cell>
          <cell r="I2348" t="str">
            <v>6055 - Employer Social Security Tax Withheld</v>
          </cell>
          <cell r="J2348">
            <v>0</v>
          </cell>
          <cell r="K2348" t="str">
            <v>Production</v>
          </cell>
          <cell r="L2348" t="str">
            <v>HQ Salaries</v>
          </cell>
          <cell r="N2348" t="str">
            <v>SG&amp;A</v>
          </cell>
          <cell r="O2348" t="str">
            <v>[No Vendor]</v>
          </cell>
        </row>
        <row r="2349">
          <cell r="D2349">
            <v>346.45</v>
          </cell>
          <cell r="H2349">
            <v>45444</v>
          </cell>
          <cell r="I2349" t="str">
            <v>6055 - Employer Social Security Tax Withheld</v>
          </cell>
          <cell r="J2349">
            <v>0</v>
          </cell>
          <cell r="K2349" t="str">
            <v>Brand Marketing</v>
          </cell>
          <cell r="L2349" t="str">
            <v>HQ Salaries</v>
          </cell>
          <cell r="N2349" t="str">
            <v>SG&amp;A</v>
          </cell>
          <cell r="O2349" t="str">
            <v>[No Vendor]</v>
          </cell>
        </row>
        <row r="2350">
          <cell r="D2350">
            <v>1549.46</v>
          </cell>
          <cell r="H2350">
            <v>45444</v>
          </cell>
          <cell r="I2350" t="str">
            <v>6055 - Employer Social Security Tax Withheld</v>
          </cell>
          <cell r="J2350" t="str">
            <v>Ecommerce (US)</v>
          </cell>
          <cell r="K2350" t="str">
            <v>Ecommerce</v>
          </cell>
          <cell r="L2350" t="str">
            <v>HQ Salaries</v>
          </cell>
          <cell r="N2350" t="str">
            <v>SG&amp;A</v>
          </cell>
          <cell r="O2350" t="str">
            <v>[No Vendor]</v>
          </cell>
        </row>
        <row r="2351">
          <cell r="D2351">
            <v>2193.5500000000002</v>
          </cell>
          <cell r="H2351">
            <v>45444</v>
          </cell>
          <cell r="I2351" t="str">
            <v>6055 - Employer Social Security Tax Withheld</v>
          </cell>
          <cell r="J2351">
            <v>0</v>
          </cell>
          <cell r="K2351" t="str">
            <v>Design</v>
          </cell>
          <cell r="L2351" t="str">
            <v>HQ Salaries</v>
          </cell>
          <cell r="N2351" t="str">
            <v>SG&amp;A</v>
          </cell>
          <cell r="O2351" t="str">
            <v>[No Vendor]</v>
          </cell>
        </row>
        <row r="2352">
          <cell r="D2352">
            <v>-163.69999999999999</v>
          </cell>
          <cell r="H2352">
            <v>45444</v>
          </cell>
          <cell r="I2352" t="str">
            <v>6040 - Employer Paid Benefits</v>
          </cell>
          <cell r="J2352">
            <v>0</v>
          </cell>
          <cell r="K2352" t="str">
            <v>Administration</v>
          </cell>
          <cell r="L2352" t="str">
            <v>HQ Salaries</v>
          </cell>
          <cell r="N2352" t="str">
            <v>SG&amp;A</v>
          </cell>
          <cell r="O2352" t="str">
            <v>[No Vendor]</v>
          </cell>
        </row>
        <row r="2353">
          <cell r="D2353">
            <v>0</v>
          </cell>
          <cell r="H2353">
            <v>45444</v>
          </cell>
          <cell r="I2353" t="str">
            <v>6040 - Employer Paid Benefits</v>
          </cell>
          <cell r="J2353">
            <v>0</v>
          </cell>
          <cell r="K2353" t="str">
            <v>Merchandising</v>
          </cell>
          <cell r="L2353" t="str">
            <v>HQ Salaries</v>
          </cell>
          <cell r="N2353" t="str">
            <v>SG&amp;A</v>
          </cell>
          <cell r="O2353" t="str">
            <v>[No Vendor]</v>
          </cell>
        </row>
        <row r="2354">
          <cell r="D2354">
            <v>-45.16</v>
          </cell>
          <cell r="H2354">
            <v>45444</v>
          </cell>
          <cell r="I2354" t="str">
            <v>6040 - Employer Paid Benefits</v>
          </cell>
          <cell r="J2354" t="str">
            <v>Wholesale</v>
          </cell>
          <cell r="K2354" t="str">
            <v>Wholesale</v>
          </cell>
          <cell r="L2354" t="str">
            <v>HQ Salaries</v>
          </cell>
          <cell r="N2354" t="str">
            <v>SG&amp;A</v>
          </cell>
          <cell r="O2354" t="str">
            <v>[No Vendor]</v>
          </cell>
        </row>
        <row r="2355">
          <cell r="D2355">
            <v>-409.66</v>
          </cell>
          <cell r="H2355">
            <v>45444</v>
          </cell>
          <cell r="I2355" t="str">
            <v>6040 - Employer Paid Benefits</v>
          </cell>
          <cell r="J2355">
            <v>0</v>
          </cell>
          <cell r="K2355" t="str">
            <v>Production</v>
          </cell>
          <cell r="L2355" t="str">
            <v>HQ Salaries</v>
          </cell>
          <cell r="N2355" t="str">
            <v>SG&amp;A</v>
          </cell>
          <cell r="O2355" t="str">
            <v>[No Vendor]</v>
          </cell>
        </row>
        <row r="2356">
          <cell r="D2356">
            <v>-22.58</v>
          </cell>
          <cell r="H2356">
            <v>45444</v>
          </cell>
          <cell r="I2356" t="str">
            <v>6040 - Employer Paid Benefits</v>
          </cell>
          <cell r="J2356">
            <v>0</v>
          </cell>
          <cell r="K2356" t="str">
            <v>Brand Marketing</v>
          </cell>
          <cell r="L2356" t="str">
            <v>HQ Salaries</v>
          </cell>
          <cell r="N2356" t="str">
            <v>SG&amp;A</v>
          </cell>
          <cell r="O2356" t="str">
            <v>[No Vendor]</v>
          </cell>
        </row>
        <row r="2357">
          <cell r="D2357">
            <v>-121.85</v>
          </cell>
          <cell r="H2357">
            <v>45444</v>
          </cell>
          <cell r="I2357" t="str">
            <v>6040 - Employer Paid Benefits</v>
          </cell>
          <cell r="J2357" t="str">
            <v>Ecommerce (US)</v>
          </cell>
          <cell r="K2357" t="str">
            <v>Ecommerce</v>
          </cell>
          <cell r="L2357" t="str">
            <v>HQ Salaries</v>
          </cell>
          <cell r="N2357" t="str">
            <v>SG&amp;A</v>
          </cell>
          <cell r="O2357" t="str">
            <v>[No Vendor]</v>
          </cell>
        </row>
        <row r="2358">
          <cell r="D2358">
            <v>-363.42</v>
          </cell>
          <cell r="H2358">
            <v>45444</v>
          </cell>
          <cell r="I2358" t="str">
            <v>6040 - Employer Paid Benefits</v>
          </cell>
          <cell r="J2358">
            <v>0</v>
          </cell>
          <cell r="K2358" t="str">
            <v>Design</v>
          </cell>
          <cell r="L2358" t="str">
            <v>HQ Salaries</v>
          </cell>
          <cell r="N2358" t="str">
            <v>SG&amp;A</v>
          </cell>
          <cell r="O2358" t="str">
            <v>[No Vendor]</v>
          </cell>
        </row>
        <row r="2359">
          <cell r="D2359">
            <v>20857.7</v>
          </cell>
          <cell r="H2359">
            <v>45444</v>
          </cell>
          <cell r="I2359" t="str">
            <v>6005 - Salaries</v>
          </cell>
          <cell r="J2359">
            <v>0</v>
          </cell>
          <cell r="K2359" t="str">
            <v>Design</v>
          </cell>
          <cell r="L2359" t="str">
            <v>HQ Salaries</v>
          </cell>
          <cell r="N2359" t="str">
            <v>SG&amp;A</v>
          </cell>
          <cell r="O2359" t="str">
            <v>[No Vendor]</v>
          </cell>
        </row>
        <row r="2360">
          <cell r="D2360">
            <v>23484.639999999999</v>
          </cell>
          <cell r="H2360">
            <v>45444</v>
          </cell>
          <cell r="I2360" t="str">
            <v>6005 - Salaries</v>
          </cell>
          <cell r="J2360">
            <v>0</v>
          </cell>
          <cell r="K2360" t="str">
            <v>Administration</v>
          </cell>
          <cell r="L2360" t="str">
            <v>HQ Salaries</v>
          </cell>
          <cell r="N2360" t="str">
            <v>SG&amp;A</v>
          </cell>
          <cell r="O2360" t="str">
            <v>[No Vendor]</v>
          </cell>
        </row>
        <row r="2361">
          <cell r="D2361">
            <v>5150</v>
          </cell>
          <cell r="H2361">
            <v>45444</v>
          </cell>
          <cell r="I2361" t="str">
            <v>6005 - Salaries</v>
          </cell>
          <cell r="J2361">
            <v>0</v>
          </cell>
          <cell r="K2361" t="str">
            <v>Merchandising</v>
          </cell>
          <cell r="L2361" t="str">
            <v>HQ Salaries</v>
          </cell>
          <cell r="N2361" t="str">
            <v>SG&amp;A</v>
          </cell>
          <cell r="O2361" t="str">
            <v>[No Vendor]</v>
          </cell>
        </row>
        <row r="2362">
          <cell r="D2362">
            <v>9911.5499999999993</v>
          </cell>
          <cell r="H2362">
            <v>45444</v>
          </cell>
          <cell r="I2362" t="str">
            <v>6005 - Salaries</v>
          </cell>
          <cell r="J2362" t="str">
            <v>Wholesale</v>
          </cell>
          <cell r="K2362" t="str">
            <v>Wholesale</v>
          </cell>
          <cell r="L2362" t="str">
            <v>HQ Salaries</v>
          </cell>
          <cell r="N2362" t="str">
            <v>SG&amp;A</v>
          </cell>
          <cell r="O2362" t="str">
            <v>[No Vendor]</v>
          </cell>
        </row>
        <row r="2363">
          <cell r="D2363">
            <v>19988.490000000002</v>
          </cell>
          <cell r="H2363">
            <v>45444</v>
          </cell>
          <cell r="I2363" t="str">
            <v>6005 - Salaries</v>
          </cell>
          <cell r="J2363">
            <v>0</v>
          </cell>
          <cell r="K2363" t="str">
            <v>Production</v>
          </cell>
          <cell r="L2363" t="str">
            <v>HQ Salaries</v>
          </cell>
          <cell r="N2363" t="str">
            <v>SG&amp;A</v>
          </cell>
          <cell r="O2363" t="str">
            <v>[No Vendor]</v>
          </cell>
        </row>
        <row r="2364">
          <cell r="D2364">
            <v>3269.24</v>
          </cell>
          <cell r="H2364">
            <v>45444</v>
          </cell>
          <cell r="I2364" t="str">
            <v>6005 - Salaries</v>
          </cell>
          <cell r="J2364">
            <v>0</v>
          </cell>
          <cell r="K2364" t="str">
            <v>Brand Marketing</v>
          </cell>
          <cell r="L2364" t="str">
            <v>HQ Salaries</v>
          </cell>
          <cell r="N2364" t="str">
            <v>SG&amp;A</v>
          </cell>
          <cell r="O2364" t="str">
            <v>[No Vendor]</v>
          </cell>
        </row>
        <row r="2365">
          <cell r="D2365">
            <v>35215.83</v>
          </cell>
          <cell r="H2365">
            <v>45444</v>
          </cell>
          <cell r="I2365" t="str">
            <v>6375 - Freight Expenses</v>
          </cell>
          <cell r="J2365" t="str">
            <v>Ecommerce (US)</v>
          </cell>
          <cell r="K2365" t="str">
            <v>Ecommerce</v>
          </cell>
          <cell r="L2365" t="str">
            <v>Freight</v>
          </cell>
          <cell r="N2365" t="str">
            <v>Direct Costs</v>
          </cell>
          <cell r="O2365" t="str">
            <v>UPS Supply Chain Solutions Inc. (7F24A0)</v>
          </cell>
        </row>
        <row r="2366">
          <cell r="D2366">
            <v>38083.07</v>
          </cell>
          <cell r="H2366">
            <v>45444</v>
          </cell>
          <cell r="I2366" t="str">
            <v>6377 - Order Processing Expenses (New)</v>
          </cell>
          <cell r="J2366" t="str">
            <v>Ecommerce (US)</v>
          </cell>
          <cell r="K2366" t="str">
            <v>Ecommerce</v>
          </cell>
          <cell r="L2366" t="str">
            <v>Order Processing</v>
          </cell>
          <cell r="N2366" t="str">
            <v>Direct Costs</v>
          </cell>
          <cell r="O2366" t="str">
            <v>Bergen Logistics Corporation</v>
          </cell>
        </row>
        <row r="2367">
          <cell r="D2367">
            <v>2626.35</v>
          </cell>
          <cell r="H2367">
            <v>45444</v>
          </cell>
          <cell r="I2367" t="str">
            <v>6377 - Order Processing Expenses (New)</v>
          </cell>
          <cell r="J2367" t="str">
            <v>Wholesale</v>
          </cell>
          <cell r="K2367" t="str">
            <v>Wholesale</v>
          </cell>
          <cell r="L2367" t="str">
            <v>Order Processing</v>
          </cell>
          <cell r="N2367" t="str">
            <v>Direct Costs</v>
          </cell>
          <cell r="O2367" t="str">
            <v>Bergen Logistics Corporation</v>
          </cell>
        </row>
        <row r="2368">
          <cell r="D2368">
            <v>172.58</v>
          </cell>
          <cell r="H2368">
            <v>45444</v>
          </cell>
          <cell r="I2368" t="str">
            <v>6375 - Freight Expenses</v>
          </cell>
          <cell r="J2368" t="str">
            <v>Ecommerce (US)</v>
          </cell>
          <cell r="K2368" t="str">
            <v>Ecommerce</v>
          </cell>
          <cell r="L2368" t="str">
            <v>Freight</v>
          </cell>
          <cell r="N2368" t="str">
            <v>Direct Costs</v>
          </cell>
          <cell r="O2368" t="str">
            <v>Bergen Logistics Corporation</v>
          </cell>
        </row>
        <row r="2369">
          <cell r="D2369">
            <v>24.28</v>
          </cell>
          <cell r="H2369">
            <v>45444</v>
          </cell>
          <cell r="I2369" t="str">
            <v>6375 - Freight Expenses</v>
          </cell>
          <cell r="J2369" t="str">
            <v>Wholesale</v>
          </cell>
          <cell r="K2369" t="str">
            <v>Wholesale</v>
          </cell>
          <cell r="L2369" t="str">
            <v>Freight</v>
          </cell>
          <cell r="N2369" t="str">
            <v>Direct Costs</v>
          </cell>
          <cell r="O2369" t="str">
            <v>Bergen Logistics Corporation</v>
          </cell>
        </row>
        <row r="2370">
          <cell r="D2370">
            <v>1245</v>
          </cell>
          <cell r="H2370">
            <v>45444</v>
          </cell>
          <cell r="I2370" t="str">
            <v>6430 - Dues &amp; Memberships</v>
          </cell>
          <cell r="J2370">
            <v>0</v>
          </cell>
          <cell r="K2370" t="str">
            <v>Design</v>
          </cell>
          <cell r="L2370" t="str">
            <v>Professional Service</v>
          </cell>
          <cell r="N2370" t="str">
            <v>Direct Costs</v>
          </cell>
          <cell r="O2370" t="str">
            <v>[No Vendor]</v>
          </cell>
        </row>
        <row r="2371">
          <cell r="D2371">
            <v>42.9</v>
          </cell>
          <cell r="H2371">
            <v>45444</v>
          </cell>
          <cell r="I2371" t="str">
            <v>6393 - Software</v>
          </cell>
          <cell r="J2371" t="str">
            <v>Wholesale</v>
          </cell>
          <cell r="K2371" t="str">
            <v>Wholesale</v>
          </cell>
          <cell r="L2371" t="str">
            <v>Professional Service</v>
          </cell>
          <cell r="N2371" t="str">
            <v>Direct Costs</v>
          </cell>
          <cell r="O2371" t="str">
            <v>Authorize.net</v>
          </cell>
        </row>
        <row r="2372">
          <cell r="D2372">
            <v>228.64</v>
          </cell>
          <cell r="H2372">
            <v>45444</v>
          </cell>
          <cell r="I2372" t="str">
            <v>6393 - Software</v>
          </cell>
          <cell r="J2372" t="str">
            <v>Ecommerce (US)</v>
          </cell>
          <cell r="K2372" t="str">
            <v>Ecommerce</v>
          </cell>
          <cell r="L2372" t="str">
            <v>Professional Service</v>
          </cell>
          <cell r="N2372" t="str">
            <v>Direct Costs</v>
          </cell>
          <cell r="O2372" t="str">
            <v>Open Text</v>
          </cell>
        </row>
        <row r="2373">
          <cell r="D2373">
            <v>40</v>
          </cell>
          <cell r="H2373">
            <v>45444</v>
          </cell>
          <cell r="I2373" t="str">
            <v>6140 - Other</v>
          </cell>
          <cell r="J2373">
            <v>0</v>
          </cell>
          <cell r="K2373" t="str">
            <v>Design</v>
          </cell>
          <cell r="L2373" t="str">
            <v>T&amp;E</v>
          </cell>
          <cell r="N2373" t="str">
            <v>SG&amp;A</v>
          </cell>
          <cell r="O2373" t="str">
            <v>[No Vendor]</v>
          </cell>
        </row>
        <row r="2374">
          <cell r="D2374">
            <v>4786.62</v>
          </cell>
          <cell r="H2374">
            <v>45444</v>
          </cell>
          <cell r="I2374" t="str">
            <v>6375 - Freight Expenses</v>
          </cell>
          <cell r="J2374" t="str">
            <v>Ecommerce (EU)</v>
          </cell>
          <cell r="K2374" t="str">
            <v>Ecommerce</v>
          </cell>
          <cell r="L2374" t="str">
            <v>Freight</v>
          </cell>
          <cell r="N2374" t="str">
            <v>Direct Costs</v>
          </cell>
          <cell r="O2374" t="str">
            <v>Global E</v>
          </cell>
        </row>
        <row r="2375">
          <cell r="D2375">
            <v>3499.44</v>
          </cell>
          <cell r="H2375">
            <v>45444</v>
          </cell>
          <cell r="I2375" t="str">
            <v>6450 - Bank &amp; Other Fees</v>
          </cell>
          <cell r="J2375" t="str">
            <v>Ecommerce (EU)</v>
          </cell>
          <cell r="K2375" t="str">
            <v>Ecommerce</v>
          </cell>
          <cell r="L2375" t="str">
            <v>Professional Service</v>
          </cell>
          <cell r="N2375" t="str">
            <v>Direct Costs</v>
          </cell>
          <cell r="O2375" t="str">
            <v>[No Vendor]</v>
          </cell>
        </row>
        <row r="2376">
          <cell r="D2376">
            <v>1926.43</v>
          </cell>
          <cell r="H2376">
            <v>45444</v>
          </cell>
          <cell r="I2376" t="str">
            <v>6430 - Dues &amp; Memberships</v>
          </cell>
          <cell r="J2376" t="str">
            <v>Ecommerce (US)</v>
          </cell>
          <cell r="K2376" t="str">
            <v>Ecommerce</v>
          </cell>
          <cell r="L2376" t="str">
            <v>Professional Service</v>
          </cell>
          <cell r="N2376" t="str">
            <v>Direct Costs</v>
          </cell>
          <cell r="O2376" t="str">
            <v>Loop</v>
          </cell>
        </row>
        <row r="2377">
          <cell r="D2377">
            <v>1040</v>
          </cell>
          <cell r="H2377">
            <v>45444</v>
          </cell>
          <cell r="I2377" t="str">
            <v>6300 - Payroll Service Fees</v>
          </cell>
          <cell r="J2377">
            <v>0</v>
          </cell>
          <cell r="K2377" t="str">
            <v>Administration</v>
          </cell>
          <cell r="L2377" t="str">
            <v>Professional Service</v>
          </cell>
          <cell r="N2377" t="str">
            <v>SG&amp;A</v>
          </cell>
          <cell r="O2377" t="str">
            <v>OperationsInc, LLC</v>
          </cell>
        </row>
        <row r="2378">
          <cell r="D2378">
            <v>600</v>
          </cell>
          <cell r="H2378">
            <v>45444</v>
          </cell>
          <cell r="I2378" t="str">
            <v>6288 - Model</v>
          </cell>
          <cell r="J2378" t="str">
            <v>Ecommerce (US)</v>
          </cell>
          <cell r="K2378" t="str">
            <v>Brand Marketing</v>
          </cell>
          <cell r="L2378" t="str">
            <v>Advertising</v>
          </cell>
          <cell r="N2378" t="str">
            <v>SG&amp;A</v>
          </cell>
          <cell r="O2378" t="str">
            <v>State Artist Management</v>
          </cell>
        </row>
        <row r="2379">
          <cell r="D2379">
            <v>541.62</v>
          </cell>
          <cell r="H2379">
            <v>45444</v>
          </cell>
          <cell r="I2379" t="str">
            <v>6040 - Employer Paid Benefits</v>
          </cell>
          <cell r="J2379">
            <v>0</v>
          </cell>
          <cell r="K2379" t="str">
            <v>Administration</v>
          </cell>
          <cell r="L2379" t="str">
            <v>HQ Salaries</v>
          </cell>
          <cell r="N2379" t="str">
            <v>SG&amp;A</v>
          </cell>
          <cell r="O2379" t="str">
            <v>Procyon Benefits LLC</v>
          </cell>
        </row>
        <row r="2380">
          <cell r="D2380">
            <v>889.6</v>
          </cell>
          <cell r="H2380">
            <v>45444</v>
          </cell>
          <cell r="I2380" t="str">
            <v>6375 - Freight Expenses</v>
          </cell>
          <cell r="J2380">
            <v>0</v>
          </cell>
          <cell r="K2380" t="str">
            <v>Production</v>
          </cell>
          <cell r="L2380" t="str">
            <v>Freight</v>
          </cell>
          <cell r="N2380" t="str">
            <v>Direct Costs</v>
          </cell>
          <cell r="O2380" t="str">
            <v>DHL Express - USA</v>
          </cell>
        </row>
        <row r="2381">
          <cell r="D2381">
            <v>458.42</v>
          </cell>
          <cell r="H2381">
            <v>45444</v>
          </cell>
          <cell r="I2381" t="str">
            <v>6040 - Employer Paid Benefits</v>
          </cell>
          <cell r="J2381" t="str">
            <v>Wholesale</v>
          </cell>
          <cell r="K2381" t="str">
            <v>Wholesale</v>
          </cell>
          <cell r="L2381" t="str">
            <v>HQ Salaries</v>
          </cell>
          <cell r="N2381" t="str">
            <v>SG&amp;A</v>
          </cell>
          <cell r="O2381" t="str">
            <v>Procyon Benefits LLC</v>
          </cell>
        </row>
        <row r="2382">
          <cell r="D2382">
            <v>61.65</v>
          </cell>
          <cell r="H2382">
            <v>45444</v>
          </cell>
          <cell r="I2382" t="str">
            <v>6040 - Employer Paid Benefits</v>
          </cell>
          <cell r="J2382">
            <v>0</v>
          </cell>
          <cell r="K2382" t="str">
            <v>Production</v>
          </cell>
          <cell r="L2382" t="str">
            <v>HQ Salaries</v>
          </cell>
          <cell r="N2382" t="str">
            <v>SG&amp;A</v>
          </cell>
          <cell r="O2382" t="str">
            <v>Procyon Benefits LLC</v>
          </cell>
        </row>
        <row r="2383">
          <cell r="D2383">
            <v>29</v>
          </cell>
          <cell r="H2383">
            <v>45444</v>
          </cell>
          <cell r="I2383" t="str">
            <v>6040 - Employer Paid Benefits</v>
          </cell>
          <cell r="J2383">
            <v>0</v>
          </cell>
          <cell r="K2383" t="str">
            <v>Merchandising</v>
          </cell>
          <cell r="L2383" t="str">
            <v>HQ Salaries</v>
          </cell>
          <cell r="N2383" t="str">
            <v>SG&amp;A</v>
          </cell>
          <cell r="O2383" t="str">
            <v>Procyon Benefits LLC</v>
          </cell>
        </row>
        <row r="2384">
          <cell r="D2384">
            <v>123.21</v>
          </cell>
          <cell r="H2384">
            <v>45444</v>
          </cell>
          <cell r="I2384" t="str">
            <v>6040 - Employer Paid Benefits</v>
          </cell>
          <cell r="J2384">
            <v>0</v>
          </cell>
          <cell r="K2384" t="str">
            <v>Design</v>
          </cell>
          <cell r="L2384" t="str">
            <v>HQ Salaries</v>
          </cell>
          <cell r="N2384" t="str">
            <v>SG&amp;A</v>
          </cell>
          <cell r="O2384" t="str">
            <v>Procyon Benefits LLC</v>
          </cell>
        </row>
        <row r="2385">
          <cell r="D2385">
            <v>116.14</v>
          </cell>
          <cell r="H2385">
            <v>45444</v>
          </cell>
          <cell r="I2385" t="str">
            <v>6375 - Freight Expenses</v>
          </cell>
          <cell r="J2385">
            <v>0</v>
          </cell>
          <cell r="K2385" t="str">
            <v>Brand Marketing</v>
          </cell>
          <cell r="L2385" t="str">
            <v>Freight</v>
          </cell>
          <cell r="N2385" t="str">
            <v>Direct Costs</v>
          </cell>
          <cell r="O2385" t="str">
            <v>Flatlay</v>
          </cell>
        </row>
        <row r="2386">
          <cell r="D2386">
            <v>66.349999999999994</v>
          </cell>
          <cell r="H2386">
            <v>45444</v>
          </cell>
          <cell r="I2386" t="str">
            <v>6340 - Miscellaneous Expense</v>
          </cell>
          <cell r="J2386">
            <v>0</v>
          </cell>
          <cell r="K2386" t="str">
            <v>Brand Marketing</v>
          </cell>
          <cell r="L2386" t="str">
            <v>Other</v>
          </cell>
          <cell r="N2386" t="str">
            <v>SG&amp;A</v>
          </cell>
          <cell r="O2386" t="str">
            <v>[No Vendor]</v>
          </cell>
        </row>
        <row r="2387">
          <cell r="D2387">
            <v>96.46</v>
          </cell>
          <cell r="H2387">
            <v>45444</v>
          </cell>
          <cell r="I2387" t="str">
            <v>6340 - Miscellaneous Expense</v>
          </cell>
          <cell r="J2387">
            <v>0</v>
          </cell>
          <cell r="K2387" t="str">
            <v>Brand Marketing</v>
          </cell>
          <cell r="L2387" t="str">
            <v>Other</v>
          </cell>
          <cell r="N2387" t="str">
            <v>SG&amp;A</v>
          </cell>
          <cell r="O2387" t="str">
            <v>Flatlay</v>
          </cell>
        </row>
        <row r="2388">
          <cell r="D2388">
            <v>61.59</v>
          </cell>
          <cell r="H2388">
            <v>45444</v>
          </cell>
          <cell r="I2388" t="str">
            <v>6340 - Miscellaneous Expense</v>
          </cell>
          <cell r="J2388">
            <v>0</v>
          </cell>
          <cell r="K2388" t="str">
            <v>Brand Marketing</v>
          </cell>
          <cell r="L2388" t="str">
            <v>Other</v>
          </cell>
          <cell r="N2388" t="str">
            <v>SG&amp;A</v>
          </cell>
          <cell r="O2388" t="str">
            <v>Flatlay</v>
          </cell>
        </row>
        <row r="2389">
          <cell r="D2389">
            <v>123.8</v>
          </cell>
          <cell r="H2389">
            <v>45444</v>
          </cell>
          <cell r="I2389" t="str">
            <v>6340 - Miscellaneous Expense</v>
          </cell>
          <cell r="J2389">
            <v>0</v>
          </cell>
          <cell r="K2389" t="str">
            <v>Brand Marketing</v>
          </cell>
          <cell r="L2389" t="str">
            <v>Other</v>
          </cell>
          <cell r="N2389" t="str">
            <v>SG&amp;A</v>
          </cell>
          <cell r="O2389" t="str">
            <v>[No Vendor]</v>
          </cell>
        </row>
        <row r="2390">
          <cell r="D2390">
            <v>2975.37</v>
          </cell>
          <cell r="H2390">
            <v>45444</v>
          </cell>
          <cell r="I2390" t="str">
            <v>6363 - Development</v>
          </cell>
          <cell r="J2390" t="str">
            <v>Ecommerce (US)</v>
          </cell>
          <cell r="K2390" t="str">
            <v>Production</v>
          </cell>
          <cell r="L2390" t="str">
            <v>Sample</v>
          </cell>
          <cell r="N2390" t="str">
            <v>SG&amp;A</v>
          </cell>
          <cell r="O2390" t="str">
            <v>F&amp;F Korea</v>
          </cell>
        </row>
        <row r="2391">
          <cell r="D2391">
            <v>4500</v>
          </cell>
          <cell r="H2391">
            <v>45444</v>
          </cell>
          <cell r="I2391" t="str">
            <v>6225 - Professional Services</v>
          </cell>
          <cell r="J2391" t="str">
            <v>Ecommerce (US)</v>
          </cell>
          <cell r="K2391" t="str">
            <v>Ecommerce</v>
          </cell>
          <cell r="L2391" t="str">
            <v>Professional Service</v>
          </cell>
          <cell r="N2391" t="str">
            <v>Direct Costs</v>
          </cell>
          <cell r="O2391" t="str">
            <v>Freeflow LLC</v>
          </cell>
        </row>
        <row r="2392">
          <cell r="D2392">
            <v>107.99</v>
          </cell>
          <cell r="H2392">
            <v>45444</v>
          </cell>
          <cell r="I2392" t="str">
            <v>6125 - Transportation and Fuel</v>
          </cell>
          <cell r="J2392">
            <v>0</v>
          </cell>
          <cell r="K2392" t="str">
            <v>Brand Marketing</v>
          </cell>
          <cell r="L2392" t="str">
            <v>T&amp;E</v>
          </cell>
          <cell r="N2392" t="str">
            <v>SG&amp;A</v>
          </cell>
          <cell r="O2392" t="str">
            <v>Flatlay</v>
          </cell>
        </row>
        <row r="2393">
          <cell r="D2393">
            <v>138.62</v>
          </cell>
          <cell r="H2393">
            <v>45444</v>
          </cell>
          <cell r="I2393" t="str">
            <v>6125 - Transportation and Fuel</v>
          </cell>
          <cell r="J2393">
            <v>0</v>
          </cell>
          <cell r="K2393" t="str">
            <v>Brand Marketing</v>
          </cell>
          <cell r="L2393" t="str">
            <v>T&amp;E</v>
          </cell>
          <cell r="N2393" t="str">
            <v>SG&amp;A</v>
          </cell>
          <cell r="O2393" t="str">
            <v>Flatlay</v>
          </cell>
        </row>
        <row r="2394">
          <cell r="D2394">
            <v>75.44</v>
          </cell>
          <cell r="H2394">
            <v>45444</v>
          </cell>
          <cell r="I2394" t="str">
            <v>6125 - Transportation and Fuel</v>
          </cell>
          <cell r="J2394">
            <v>0</v>
          </cell>
          <cell r="K2394" t="str">
            <v>Brand Marketing</v>
          </cell>
          <cell r="L2394" t="str">
            <v>T&amp;E</v>
          </cell>
          <cell r="N2394" t="str">
            <v>SG&amp;A</v>
          </cell>
          <cell r="O2394" t="str">
            <v>Flatlay</v>
          </cell>
        </row>
        <row r="2395">
          <cell r="D2395">
            <v>99.94</v>
          </cell>
          <cell r="H2395">
            <v>45444</v>
          </cell>
          <cell r="I2395" t="str">
            <v>6125 - Transportation and Fuel</v>
          </cell>
          <cell r="J2395">
            <v>0</v>
          </cell>
          <cell r="K2395" t="str">
            <v>Brand Marketing</v>
          </cell>
          <cell r="L2395" t="str">
            <v>T&amp;E</v>
          </cell>
          <cell r="N2395" t="str">
            <v>SG&amp;A</v>
          </cell>
          <cell r="O2395" t="str">
            <v>Flatlay</v>
          </cell>
        </row>
        <row r="2396">
          <cell r="D2396">
            <v>138.94</v>
          </cell>
          <cell r="H2396">
            <v>45444</v>
          </cell>
          <cell r="I2396" t="str">
            <v>6125 - Transportation and Fuel</v>
          </cell>
          <cell r="J2396">
            <v>0</v>
          </cell>
          <cell r="K2396" t="str">
            <v>Brand Marketing</v>
          </cell>
          <cell r="L2396" t="str">
            <v>T&amp;E</v>
          </cell>
          <cell r="N2396" t="str">
            <v>SG&amp;A</v>
          </cell>
          <cell r="O2396" t="str">
            <v>Flatlay</v>
          </cell>
        </row>
        <row r="2397">
          <cell r="D2397">
            <v>106.97</v>
          </cell>
          <cell r="H2397">
            <v>45444</v>
          </cell>
          <cell r="I2397" t="str">
            <v>6125 - Transportation and Fuel</v>
          </cell>
          <cell r="J2397">
            <v>0</v>
          </cell>
          <cell r="K2397" t="str">
            <v>Brand Marketing</v>
          </cell>
          <cell r="L2397" t="str">
            <v>T&amp;E</v>
          </cell>
          <cell r="N2397" t="str">
            <v>SG&amp;A</v>
          </cell>
          <cell r="O2397" t="str">
            <v>Flatlay</v>
          </cell>
        </row>
        <row r="2398">
          <cell r="D2398">
            <v>68.19</v>
          </cell>
          <cell r="H2398">
            <v>45444</v>
          </cell>
          <cell r="I2398" t="str">
            <v>6125 - Transportation and Fuel</v>
          </cell>
          <cell r="J2398">
            <v>0</v>
          </cell>
          <cell r="K2398" t="str">
            <v>Brand Marketing</v>
          </cell>
          <cell r="L2398" t="str">
            <v>T&amp;E</v>
          </cell>
          <cell r="N2398" t="str">
            <v>SG&amp;A</v>
          </cell>
          <cell r="O2398" t="str">
            <v>Flatlay</v>
          </cell>
        </row>
        <row r="2399">
          <cell r="D2399">
            <v>60.02</v>
          </cell>
          <cell r="H2399">
            <v>45444</v>
          </cell>
          <cell r="I2399" t="str">
            <v>6125 - Transportation and Fuel</v>
          </cell>
          <cell r="J2399">
            <v>0</v>
          </cell>
          <cell r="K2399" t="str">
            <v>Brand Marketing</v>
          </cell>
          <cell r="L2399" t="str">
            <v>T&amp;E</v>
          </cell>
          <cell r="N2399" t="str">
            <v>SG&amp;A</v>
          </cell>
          <cell r="O2399" t="str">
            <v>Flatlay</v>
          </cell>
        </row>
        <row r="2400">
          <cell r="D2400">
            <v>28.3</v>
          </cell>
          <cell r="H2400">
            <v>45444</v>
          </cell>
          <cell r="I2400" t="str">
            <v>6105 - Meals</v>
          </cell>
          <cell r="J2400">
            <v>0</v>
          </cell>
          <cell r="K2400" t="str">
            <v>Brand Marketing</v>
          </cell>
          <cell r="L2400" t="str">
            <v>T&amp;E</v>
          </cell>
          <cell r="N2400" t="str">
            <v>SG&amp;A</v>
          </cell>
          <cell r="O2400" t="str">
            <v>[No Vendor]</v>
          </cell>
        </row>
        <row r="2401">
          <cell r="D2401">
            <v>700</v>
          </cell>
          <cell r="H2401">
            <v>45444</v>
          </cell>
          <cell r="I2401" t="str">
            <v>6205 - Contractors</v>
          </cell>
          <cell r="J2401">
            <v>0</v>
          </cell>
          <cell r="K2401" t="str">
            <v>Brand Marketing</v>
          </cell>
          <cell r="L2401" t="str">
            <v>HQ Salaries</v>
          </cell>
          <cell r="N2401" t="str">
            <v>SG&amp;A</v>
          </cell>
          <cell r="O2401" t="str">
            <v>Ammy  Thitichaya Chan</v>
          </cell>
        </row>
        <row r="2402">
          <cell r="D2402">
            <v>4110.13</v>
          </cell>
          <cell r="H2402">
            <v>45444</v>
          </cell>
          <cell r="I2402" t="str">
            <v>6210 - Monitoring</v>
          </cell>
          <cell r="J2402" t="str">
            <v>Ecommerce (EU)</v>
          </cell>
          <cell r="K2402" t="str">
            <v>Ecommerce</v>
          </cell>
          <cell r="L2402" t="str">
            <v>Professional Service</v>
          </cell>
          <cell r="N2402" t="str">
            <v>Direct Costs</v>
          </cell>
          <cell r="O2402" t="str">
            <v>Convey SRL</v>
          </cell>
        </row>
        <row r="2403">
          <cell r="D2403">
            <v>4.95</v>
          </cell>
          <cell r="H2403">
            <v>45444</v>
          </cell>
          <cell r="I2403" t="str">
            <v>8505 - Realized Gain/Loss</v>
          </cell>
          <cell r="J2403">
            <v>0</v>
          </cell>
          <cell r="K2403" t="str">
            <v>No Department</v>
          </cell>
          <cell r="L2403" t="str">
            <v>Realized Gain / Loss</v>
          </cell>
          <cell r="N2403" t="str">
            <v>BTL</v>
          </cell>
          <cell r="O2403" t="str">
            <v>[No Vendor]</v>
          </cell>
        </row>
        <row r="2404">
          <cell r="D2404">
            <v>386.01</v>
          </cell>
          <cell r="H2404">
            <v>45444</v>
          </cell>
          <cell r="I2404" t="str">
            <v>6300 - Payroll Service Fees</v>
          </cell>
          <cell r="J2404">
            <v>0</v>
          </cell>
          <cell r="K2404" t="str">
            <v>Administration</v>
          </cell>
          <cell r="L2404" t="str">
            <v>Professional Service</v>
          </cell>
          <cell r="N2404" t="str">
            <v>SG&amp;A</v>
          </cell>
          <cell r="O2404" t="str">
            <v>ADP Payroll Services</v>
          </cell>
        </row>
        <row r="2405">
          <cell r="D2405">
            <v>103.65</v>
          </cell>
          <cell r="H2405">
            <v>45444</v>
          </cell>
          <cell r="I2405" t="str">
            <v>6393 - Software</v>
          </cell>
          <cell r="J2405">
            <v>0</v>
          </cell>
          <cell r="K2405" t="str">
            <v>Administration</v>
          </cell>
          <cell r="L2405" t="str">
            <v>Professional Service</v>
          </cell>
          <cell r="N2405" t="str">
            <v>Direct Costs</v>
          </cell>
          <cell r="O2405" t="str">
            <v>ADP Payroll Services</v>
          </cell>
        </row>
        <row r="2406">
          <cell r="D2406">
            <v>27458.59</v>
          </cell>
          <cell r="H2406">
            <v>45444</v>
          </cell>
          <cell r="I2406" t="str">
            <v>6375 - Freight Expenses</v>
          </cell>
          <cell r="J2406" t="str">
            <v>Ecommerce (US)</v>
          </cell>
          <cell r="K2406" t="str">
            <v>Ecommerce</v>
          </cell>
          <cell r="L2406" t="str">
            <v>Freight</v>
          </cell>
          <cell r="N2406" t="str">
            <v>Direct Costs</v>
          </cell>
          <cell r="O2406" t="str">
            <v>UPS Supply Chain Solutions Inc. (7F24A0)</v>
          </cell>
        </row>
        <row r="2407">
          <cell r="D2407">
            <v>25</v>
          </cell>
          <cell r="H2407">
            <v>45444</v>
          </cell>
          <cell r="I2407" t="str">
            <v>6040 - Employer Paid Benefits</v>
          </cell>
          <cell r="J2407">
            <v>0</v>
          </cell>
          <cell r="K2407" t="str">
            <v>Administration</v>
          </cell>
          <cell r="L2407" t="str">
            <v>HQ Salaries</v>
          </cell>
          <cell r="N2407" t="str">
            <v>SG&amp;A</v>
          </cell>
          <cell r="O2407" t="str">
            <v>Lifetime Benefit Solutions, Inc</v>
          </cell>
        </row>
        <row r="2408">
          <cell r="D2408">
            <v>18.25</v>
          </cell>
          <cell r="H2408">
            <v>45444</v>
          </cell>
          <cell r="I2408" t="str">
            <v>6375 - Freight Expenses</v>
          </cell>
          <cell r="J2408" t="str">
            <v>Ecommerce (US)</v>
          </cell>
          <cell r="K2408" t="str">
            <v>Ecommerce</v>
          </cell>
          <cell r="L2408" t="str">
            <v>Freight</v>
          </cell>
          <cell r="N2408" t="str">
            <v>Direct Costs</v>
          </cell>
          <cell r="O2408" t="str">
            <v>Federal Express</v>
          </cell>
        </row>
        <row r="2409">
          <cell r="D2409">
            <v>2880</v>
          </cell>
          <cell r="H2409">
            <v>45444</v>
          </cell>
          <cell r="I2409" t="str">
            <v>6288 - Model</v>
          </cell>
          <cell r="J2409" t="str">
            <v>Ecommerce (US)</v>
          </cell>
          <cell r="K2409" t="str">
            <v>Brand Marketing</v>
          </cell>
          <cell r="L2409" t="str">
            <v>Advertising</v>
          </cell>
          <cell r="N2409" t="str">
            <v>SG&amp;A</v>
          </cell>
          <cell r="O2409" t="str">
            <v>State Artist Management</v>
          </cell>
        </row>
        <row r="2410">
          <cell r="D2410">
            <v>1000</v>
          </cell>
          <cell r="H2410">
            <v>45444</v>
          </cell>
          <cell r="I2410" t="str">
            <v>6380 - Legal &amp; Accounting</v>
          </cell>
          <cell r="J2410">
            <v>0</v>
          </cell>
          <cell r="K2410" t="str">
            <v>Administration</v>
          </cell>
          <cell r="L2410" t="str">
            <v>Professional Service</v>
          </cell>
          <cell r="N2410" t="str">
            <v>SG&amp;A</v>
          </cell>
          <cell r="O2410" t="str">
            <v>Ko &amp; Yun, LLP - Operations</v>
          </cell>
        </row>
        <row r="2411">
          <cell r="D2411">
            <v>500</v>
          </cell>
          <cell r="H2411">
            <v>45444</v>
          </cell>
          <cell r="I2411" t="str">
            <v>6380 - Legal &amp; Accounting</v>
          </cell>
          <cell r="J2411">
            <v>0</v>
          </cell>
          <cell r="K2411" t="str">
            <v>Administration</v>
          </cell>
          <cell r="L2411" t="str">
            <v>Professional Service</v>
          </cell>
          <cell r="N2411" t="str">
            <v>SG&amp;A</v>
          </cell>
          <cell r="O2411" t="str">
            <v>Ko &amp; Yun, LLP - IP Holding</v>
          </cell>
        </row>
        <row r="2412">
          <cell r="D2412">
            <v>847.42</v>
          </cell>
          <cell r="H2412">
            <v>45444</v>
          </cell>
          <cell r="I2412" t="str">
            <v>6430 - Dues &amp; Memberships</v>
          </cell>
          <cell r="J2412" t="str">
            <v>Wholesale</v>
          </cell>
          <cell r="K2412" t="str">
            <v>Wholesale</v>
          </cell>
          <cell r="L2412" t="str">
            <v>Professional Service</v>
          </cell>
          <cell r="N2412" t="str">
            <v>Direct Costs</v>
          </cell>
          <cell r="O2412" t="str">
            <v>SPS Commerce</v>
          </cell>
        </row>
        <row r="2413">
          <cell r="D2413">
            <v>3072.97</v>
          </cell>
          <cell r="H2413">
            <v>45444</v>
          </cell>
          <cell r="I2413" t="str">
            <v>6375 - Freight Expenses</v>
          </cell>
          <cell r="J2413" t="str">
            <v>Ecommerce (EU)</v>
          </cell>
          <cell r="K2413" t="str">
            <v>Ecommerce</v>
          </cell>
          <cell r="L2413" t="str">
            <v>Freight</v>
          </cell>
          <cell r="N2413" t="str">
            <v>Direct Costs</v>
          </cell>
          <cell r="O2413" t="str">
            <v>Global E</v>
          </cell>
        </row>
        <row r="2414">
          <cell r="D2414">
            <v>2121.8000000000002</v>
          </cell>
          <cell r="H2414">
            <v>45444</v>
          </cell>
          <cell r="I2414" t="str">
            <v>6450 - Bank &amp; Other Fees</v>
          </cell>
          <cell r="J2414" t="str">
            <v>Ecommerce (EU)</v>
          </cell>
          <cell r="K2414" t="str">
            <v>Ecommerce</v>
          </cell>
          <cell r="L2414" t="str">
            <v>Professional Service</v>
          </cell>
          <cell r="N2414" t="str">
            <v>Direct Costs</v>
          </cell>
          <cell r="O2414" t="str">
            <v>[No Vendor]</v>
          </cell>
        </row>
        <row r="2415">
          <cell r="D2415">
            <v>12984.57</v>
          </cell>
          <cell r="H2415">
            <v>45444</v>
          </cell>
          <cell r="I2415" t="str">
            <v>6380 - Legal &amp; Accounting</v>
          </cell>
          <cell r="J2415">
            <v>0</v>
          </cell>
          <cell r="K2415" t="str">
            <v>Administration</v>
          </cell>
          <cell r="L2415" t="str">
            <v>Professional Service</v>
          </cell>
          <cell r="N2415" t="str">
            <v>SG&amp;A</v>
          </cell>
          <cell r="O2415" t="str">
            <v>The Wave IP Law Firm</v>
          </cell>
        </row>
        <row r="2416">
          <cell r="D2416">
            <v>20.63</v>
          </cell>
          <cell r="H2416">
            <v>45444</v>
          </cell>
          <cell r="I2416" t="str">
            <v>8505 - Realized Gain/Loss</v>
          </cell>
          <cell r="J2416">
            <v>0</v>
          </cell>
          <cell r="K2416" t="str">
            <v>Licensing</v>
          </cell>
          <cell r="L2416" t="str">
            <v>Realized Gain / Loss</v>
          </cell>
          <cell r="N2416" t="str">
            <v>BTL</v>
          </cell>
          <cell r="O2416" t="str">
            <v>[No Vendor]</v>
          </cell>
        </row>
        <row r="2417">
          <cell r="D2417">
            <v>1012.48</v>
          </cell>
          <cell r="H2417">
            <v>45444</v>
          </cell>
          <cell r="I2417" t="str">
            <v>8505 - Realized Gain/Loss</v>
          </cell>
          <cell r="J2417">
            <v>0</v>
          </cell>
          <cell r="K2417" t="str">
            <v>Licensing</v>
          </cell>
          <cell r="L2417" t="str">
            <v>Realized Gain / Loss</v>
          </cell>
          <cell r="N2417" t="str">
            <v>BTL</v>
          </cell>
          <cell r="O2417" t="str">
            <v>[No Vendor]</v>
          </cell>
        </row>
        <row r="2418">
          <cell r="D2418">
            <v>129</v>
          </cell>
          <cell r="H2418">
            <v>45444</v>
          </cell>
          <cell r="I2418" t="str">
            <v>6040 - Employer Paid Benefits</v>
          </cell>
          <cell r="J2418">
            <v>0</v>
          </cell>
          <cell r="K2418" t="str">
            <v>Administration</v>
          </cell>
          <cell r="L2418" t="str">
            <v>HQ Salaries</v>
          </cell>
          <cell r="N2418" t="str">
            <v>SG&amp;A</v>
          </cell>
          <cell r="O2418" t="str">
            <v>Procyon Benefits LLC</v>
          </cell>
        </row>
        <row r="2419">
          <cell r="D2419">
            <v>1440</v>
          </cell>
          <cell r="H2419">
            <v>45444</v>
          </cell>
          <cell r="I2419" t="str">
            <v>6288 - Model</v>
          </cell>
          <cell r="J2419">
            <v>0</v>
          </cell>
          <cell r="K2419" t="str">
            <v>Brand Marketing</v>
          </cell>
          <cell r="L2419" t="str">
            <v>Advertising</v>
          </cell>
          <cell r="N2419" t="str">
            <v>SG&amp;A</v>
          </cell>
          <cell r="O2419" t="str">
            <v>Soul Artist Management</v>
          </cell>
        </row>
        <row r="2420">
          <cell r="D2420">
            <v>300</v>
          </cell>
          <cell r="H2420">
            <v>45444</v>
          </cell>
          <cell r="I2420" t="str">
            <v>6288 - Model</v>
          </cell>
          <cell r="J2420" t="str">
            <v>Ecommerce (US)</v>
          </cell>
          <cell r="K2420" t="str">
            <v>Brand Marketing</v>
          </cell>
          <cell r="L2420" t="str">
            <v>Advertising</v>
          </cell>
          <cell r="N2420" t="str">
            <v>SG&amp;A</v>
          </cell>
          <cell r="O2420" t="str">
            <v>State Artist Management</v>
          </cell>
        </row>
        <row r="2421">
          <cell r="D2421">
            <v>2726.79</v>
          </cell>
          <cell r="H2421">
            <v>45444</v>
          </cell>
          <cell r="I2421" t="str">
            <v>6210 - Monitoring</v>
          </cell>
          <cell r="J2421" t="str">
            <v>Ecommerce (EU)</v>
          </cell>
          <cell r="K2421" t="str">
            <v>Ecommerce</v>
          </cell>
          <cell r="L2421" t="str">
            <v>Professional Service</v>
          </cell>
          <cell r="N2421" t="str">
            <v>Direct Costs</v>
          </cell>
          <cell r="O2421" t="str">
            <v>Convey SRL</v>
          </cell>
        </row>
        <row r="2422">
          <cell r="D2422">
            <v>6700</v>
          </cell>
          <cell r="H2422">
            <v>45444</v>
          </cell>
          <cell r="I2422" t="str">
            <v>6240 - Product Photography</v>
          </cell>
          <cell r="J2422" t="str">
            <v>Ecommerce (US)</v>
          </cell>
          <cell r="K2422" t="str">
            <v>Brand Marketing</v>
          </cell>
          <cell r="L2422" t="str">
            <v>Advertising</v>
          </cell>
          <cell r="N2422" t="str">
            <v>SG&amp;A</v>
          </cell>
          <cell r="O2422" t="str">
            <v>Theerapol Thammasitboon</v>
          </cell>
        </row>
        <row r="2423">
          <cell r="D2423">
            <v>2750</v>
          </cell>
          <cell r="H2423">
            <v>45444</v>
          </cell>
          <cell r="I2423" t="str">
            <v>6240 - Product Photography</v>
          </cell>
          <cell r="J2423" t="str">
            <v>Ecommerce (US)</v>
          </cell>
          <cell r="K2423" t="str">
            <v>Brand Marketing</v>
          </cell>
          <cell r="L2423" t="str">
            <v>Advertising</v>
          </cell>
          <cell r="N2423" t="str">
            <v>SG&amp;A</v>
          </cell>
          <cell r="O2423" t="str">
            <v>Theerapol Thammasitboon</v>
          </cell>
        </row>
        <row r="2424">
          <cell r="D2424">
            <v>1152.5</v>
          </cell>
          <cell r="H2424">
            <v>45444</v>
          </cell>
          <cell r="I2424" t="str">
            <v>6300 - Payroll Service Fees</v>
          </cell>
          <cell r="J2424">
            <v>0</v>
          </cell>
          <cell r="K2424" t="str">
            <v>Administration</v>
          </cell>
          <cell r="L2424" t="str">
            <v>Professional Service</v>
          </cell>
          <cell r="N2424" t="str">
            <v>SG&amp;A</v>
          </cell>
          <cell r="O2424" t="str">
            <v>OperationsInc, LLC</v>
          </cell>
        </row>
        <row r="2425">
          <cell r="D2425">
            <v>110.06</v>
          </cell>
          <cell r="H2425">
            <v>45444</v>
          </cell>
          <cell r="I2425" t="str">
            <v>6375 - Freight Expenses</v>
          </cell>
          <cell r="J2425">
            <v>0</v>
          </cell>
          <cell r="K2425" t="str">
            <v>Production</v>
          </cell>
          <cell r="L2425" t="str">
            <v>Freight</v>
          </cell>
          <cell r="N2425" t="str">
            <v>Direct Costs</v>
          </cell>
          <cell r="O2425" t="str">
            <v>DHL Express - USA</v>
          </cell>
        </row>
        <row r="2426">
          <cell r="D2426">
            <v>150</v>
          </cell>
          <cell r="H2426">
            <v>45444</v>
          </cell>
          <cell r="I2426" t="str">
            <v>6040 - Employer Paid Benefits</v>
          </cell>
          <cell r="J2426" t="str">
            <v>Wholesale</v>
          </cell>
          <cell r="K2426" t="str">
            <v>Wholesale</v>
          </cell>
          <cell r="L2426" t="str">
            <v>HQ Salaries</v>
          </cell>
          <cell r="N2426" t="str">
            <v>SG&amp;A</v>
          </cell>
          <cell r="O2426" t="str">
            <v>Procyon Benefits LLC</v>
          </cell>
        </row>
        <row r="2427">
          <cell r="D2427">
            <v>285.3</v>
          </cell>
          <cell r="H2427">
            <v>45444</v>
          </cell>
          <cell r="I2427" t="str">
            <v>6040 - Employer Paid Benefits</v>
          </cell>
          <cell r="J2427">
            <v>0</v>
          </cell>
          <cell r="K2427" t="str">
            <v>Production</v>
          </cell>
          <cell r="L2427" t="str">
            <v>HQ Salaries</v>
          </cell>
          <cell r="N2427" t="str">
            <v>SG&amp;A</v>
          </cell>
          <cell r="O2427" t="str">
            <v>Procyon Benefits LLC</v>
          </cell>
        </row>
        <row r="2428">
          <cell r="D2428">
            <v>53.95</v>
          </cell>
          <cell r="H2428">
            <v>45444</v>
          </cell>
          <cell r="I2428" t="str">
            <v>6040 - Employer Paid Benefits</v>
          </cell>
          <cell r="J2428">
            <v>0</v>
          </cell>
          <cell r="K2428" t="str">
            <v>Merchandising</v>
          </cell>
          <cell r="L2428" t="str">
            <v>HQ Salaries</v>
          </cell>
          <cell r="N2428" t="str">
            <v>SG&amp;A</v>
          </cell>
          <cell r="O2428" t="str">
            <v>Procyon Benefits LLC</v>
          </cell>
        </row>
        <row r="2429">
          <cell r="D2429">
            <v>616.86</v>
          </cell>
          <cell r="H2429">
            <v>45444</v>
          </cell>
          <cell r="I2429" t="str">
            <v>6040 - Employer Paid Benefits</v>
          </cell>
          <cell r="J2429">
            <v>0</v>
          </cell>
          <cell r="K2429" t="str">
            <v>Design</v>
          </cell>
          <cell r="L2429" t="str">
            <v>HQ Salaries</v>
          </cell>
          <cell r="N2429" t="str">
            <v>SG&amp;A</v>
          </cell>
          <cell r="O2429" t="str">
            <v>Procyon Benefits LLC</v>
          </cell>
        </row>
        <row r="2430">
          <cell r="D2430">
            <v>240.9</v>
          </cell>
          <cell r="H2430">
            <v>45444</v>
          </cell>
          <cell r="I2430" t="str">
            <v>6375 - Freight Expenses</v>
          </cell>
          <cell r="J2430">
            <v>0</v>
          </cell>
          <cell r="K2430" t="str">
            <v>Production</v>
          </cell>
          <cell r="L2430" t="str">
            <v>Freight</v>
          </cell>
          <cell r="N2430" t="str">
            <v>Direct Costs</v>
          </cell>
          <cell r="O2430" t="str">
            <v>DHL Express - USA</v>
          </cell>
        </row>
        <row r="2431">
          <cell r="D2431">
            <v>2880</v>
          </cell>
          <cell r="H2431">
            <v>45444</v>
          </cell>
          <cell r="I2431" t="str">
            <v>6288 - Model</v>
          </cell>
          <cell r="J2431">
            <v>0</v>
          </cell>
          <cell r="K2431" t="str">
            <v>Brand Marketing</v>
          </cell>
          <cell r="L2431" t="str">
            <v>Advertising</v>
          </cell>
          <cell r="N2431" t="str">
            <v>SG&amp;A</v>
          </cell>
          <cell r="O2431" t="str">
            <v>Soul Artist Management</v>
          </cell>
        </row>
        <row r="2432">
          <cell r="D2432">
            <v>700</v>
          </cell>
          <cell r="H2432">
            <v>45444</v>
          </cell>
          <cell r="I2432" t="str">
            <v>6205 - Contractors</v>
          </cell>
          <cell r="J2432" t="str">
            <v>Ecommerce (US)</v>
          </cell>
          <cell r="K2432" t="str">
            <v>Ecommerce</v>
          </cell>
          <cell r="L2432" t="str">
            <v>HQ Salaries</v>
          </cell>
          <cell r="N2432" t="str">
            <v>SG&amp;A</v>
          </cell>
          <cell r="O2432" t="str">
            <v>Veronika Robova</v>
          </cell>
        </row>
        <row r="2433">
          <cell r="D2433">
            <v>700</v>
          </cell>
          <cell r="H2433">
            <v>45444</v>
          </cell>
          <cell r="I2433" t="str">
            <v>6205 - Contractors</v>
          </cell>
          <cell r="J2433">
            <v>0</v>
          </cell>
          <cell r="K2433" t="str">
            <v>Brand Marketing</v>
          </cell>
          <cell r="L2433" t="str">
            <v>HQ Salaries</v>
          </cell>
          <cell r="N2433" t="str">
            <v>SG&amp;A</v>
          </cell>
          <cell r="O2433" t="str">
            <v>Ammy  Thitichaya Chan</v>
          </cell>
        </row>
        <row r="2434">
          <cell r="D2434">
            <v>264.47000000000003</v>
          </cell>
          <cell r="H2434">
            <v>45444</v>
          </cell>
          <cell r="I2434" t="str">
            <v>6400 - Utilities</v>
          </cell>
          <cell r="J2434">
            <v>0</v>
          </cell>
          <cell r="K2434" t="str">
            <v>Administration</v>
          </cell>
          <cell r="L2434" t="str">
            <v>Other</v>
          </cell>
          <cell r="N2434" t="str">
            <v>SG&amp;A</v>
          </cell>
          <cell r="O2434" t="str">
            <v>Verizon</v>
          </cell>
        </row>
        <row r="2435">
          <cell r="D2435">
            <v>1400</v>
          </cell>
          <cell r="H2435">
            <v>45444</v>
          </cell>
          <cell r="I2435" t="str">
            <v>6225 - Professional Services</v>
          </cell>
          <cell r="J2435">
            <v>0</v>
          </cell>
          <cell r="K2435" t="str">
            <v>Brand Marketing</v>
          </cell>
          <cell r="L2435" t="str">
            <v>Professional Service</v>
          </cell>
          <cell r="N2435" t="str">
            <v>Direct Costs</v>
          </cell>
          <cell r="O2435" t="str">
            <v>Melody  Huang</v>
          </cell>
        </row>
        <row r="2436">
          <cell r="D2436">
            <v>167.17</v>
          </cell>
          <cell r="H2436">
            <v>45444</v>
          </cell>
          <cell r="I2436" t="str">
            <v>6385 - Insurance</v>
          </cell>
          <cell r="J2436">
            <v>0</v>
          </cell>
          <cell r="K2436" t="str">
            <v>Administration</v>
          </cell>
          <cell r="L2436" t="str">
            <v>Professional Service</v>
          </cell>
          <cell r="N2436" t="str">
            <v>SG&amp;A</v>
          </cell>
          <cell r="O2436" t="str">
            <v>[No Vendor]</v>
          </cell>
        </row>
        <row r="2437">
          <cell r="D2437">
            <v>510.33</v>
          </cell>
          <cell r="H2437">
            <v>45444</v>
          </cell>
          <cell r="I2437" t="str">
            <v>6300 - Payroll Service Fees</v>
          </cell>
          <cell r="J2437">
            <v>0</v>
          </cell>
          <cell r="K2437" t="str">
            <v>Administration</v>
          </cell>
          <cell r="L2437" t="str">
            <v>Professional Service</v>
          </cell>
          <cell r="N2437" t="str">
            <v>SG&amp;A</v>
          </cell>
          <cell r="O2437" t="str">
            <v>ADP Payroll Services</v>
          </cell>
        </row>
        <row r="2438">
          <cell r="D2438">
            <v>1800</v>
          </cell>
          <cell r="H2438">
            <v>45444</v>
          </cell>
          <cell r="I2438" t="str">
            <v>6288 - Model</v>
          </cell>
          <cell r="J2438" t="str">
            <v>Ecommerce (US)</v>
          </cell>
          <cell r="K2438" t="str">
            <v>Brand Marketing</v>
          </cell>
          <cell r="L2438" t="str">
            <v>Advertising</v>
          </cell>
          <cell r="N2438" t="str">
            <v>SG&amp;A</v>
          </cell>
          <cell r="O2438" t="str">
            <v>State Artist Management</v>
          </cell>
        </row>
        <row r="2439">
          <cell r="D2439">
            <v>22584.639999999999</v>
          </cell>
          <cell r="H2439">
            <v>45444</v>
          </cell>
          <cell r="I2439" t="str">
            <v>6005 - Salaries</v>
          </cell>
          <cell r="J2439">
            <v>0</v>
          </cell>
          <cell r="K2439" t="str">
            <v>Administration</v>
          </cell>
          <cell r="L2439" t="str">
            <v>HQ Salaries</v>
          </cell>
          <cell r="N2439" t="str">
            <v>SG&amp;A</v>
          </cell>
          <cell r="O2439" t="str">
            <v>[No Vendor]</v>
          </cell>
        </row>
        <row r="2440">
          <cell r="D2440">
            <v>135026.82</v>
          </cell>
          <cell r="H2440">
            <v>45444</v>
          </cell>
          <cell r="I2440" t="str">
            <v>6286 - SEM</v>
          </cell>
          <cell r="J2440" t="str">
            <v>Ecommerce (US)</v>
          </cell>
          <cell r="K2440" t="str">
            <v>Ecommerce</v>
          </cell>
          <cell r="L2440" t="str">
            <v>Marketing</v>
          </cell>
          <cell r="N2440" t="str">
            <v>Direct Costs</v>
          </cell>
          <cell r="O2440" t="str">
            <v>[No Vendor]</v>
          </cell>
        </row>
        <row r="2441">
          <cell r="D2441">
            <v>0</v>
          </cell>
          <cell r="H2441">
            <v>45444</v>
          </cell>
          <cell r="I2441" t="str">
            <v>6205 - Contractors</v>
          </cell>
          <cell r="J2441">
            <v>0</v>
          </cell>
          <cell r="K2441" t="str">
            <v>Brand Marketing</v>
          </cell>
          <cell r="L2441" t="str">
            <v>HQ Salaries</v>
          </cell>
          <cell r="N2441" t="str">
            <v>SG&amp;A</v>
          </cell>
          <cell r="O2441" t="str">
            <v>[No Vendor]</v>
          </cell>
        </row>
        <row r="2442">
          <cell r="D2442">
            <v>0</v>
          </cell>
          <cell r="H2442">
            <v>45444</v>
          </cell>
          <cell r="I2442" t="str">
            <v>6205 - Contractors</v>
          </cell>
          <cell r="J2442">
            <v>0</v>
          </cell>
          <cell r="K2442" t="str">
            <v>Design</v>
          </cell>
          <cell r="L2442" t="str">
            <v>HQ Salaries</v>
          </cell>
          <cell r="N2442" t="str">
            <v>SG&amp;A</v>
          </cell>
          <cell r="O2442" t="str">
            <v>[No Vendor]</v>
          </cell>
        </row>
        <row r="2443">
          <cell r="D2443">
            <v>9810</v>
          </cell>
          <cell r="H2443">
            <v>45444</v>
          </cell>
          <cell r="I2443" t="str">
            <v>6205 - Contractors</v>
          </cell>
          <cell r="J2443" t="str">
            <v>Ecommerce (US)</v>
          </cell>
          <cell r="K2443" t="str">
            <v>Ecommerce</v>
          </cell>
          <cell r="L2443" t="str">
            <v>HQ Salaries</v>
          </cell>
          <cell r="N2443" t="str">
            <v>SG&amp;A</v>
          </cell>
          <cell r="O2443" t="str">
            <v>[No Vendor]</v>
          </cell>
        </row>
        <row r="2444">
          <cell r="D2444">
            <v>-48.22</v>
          </cell>
          <cell r="H2444">
            <v>45444</v>
          </cell>
          <cell r="I2444" t="str">
            <v>6385 - Insurance</v>
          </cell>
          <cell r="J2444">
            <v>0</v>
          </cell>
          <cell r="K2444" t="str">
            <v>Administration</v>
          </cell>
          <cell r="L2444" t="str">
            <v>Professional Service</v>
          </cell>
          <cell r="N2444" t="str">
            <v>SG&amp;A</v>
          </cell>
          <cell r="O2444" t="str">
            <v>[No Vendor]</v>
          </cell>
        </row>
        <row r="2445">
          <cell r="D2445">
            <v>-13.39</v>
          </cell>
          <cell r="H2445">
            <v>45444</v>
          </cell>
          <cell r="I2445" t="str">
            <v>6385 - Insurance</v>
          </cell>
          <cell r="J2445">
            <v>0</v>
          </cell>
          <cell r="K2445" t="str">
            <v>Administration</v>
          </cell>
          <cell r="L2445" t="str">
            <v>Professional Service</v>
          </cell>
          <cell r="N2445" t="str">
            <v>SG&amp;A</v>
          </cell>
          <cell r="O2445" t="str">
            <v>[No Vendor]</v>
          </cell>
        </row>
        <row r="2446">
          <cell r="D2446">
            <v>-20.41</v>
          </cell>
          <cell r="H2446">
            <v>45444</v>
          </cell>
          <cell r="I2446" t="str">
            <v>6385 - Insurance</v>
          </cell>
          <cell r="J2446">
            <v>0</v>
          </cell>
          <cell r="K2446" t="str">
            <v>Administration</v>
          </cell>
          <cell r="L2446" t="str">
            <v>Professional Service</v>
          </cell>
          <cell r="N2446" t="str">
            <v>SG&amp;A</v>
          </cell>
          <cell r="O2446" t="str">
            <v>[No Vendor]</v>
          </cell>
        </row>
        <row r="2447">
          <cell r="D2447">
            <v>-13.16</v>
          </cell>
          <cell r="H2447">
            <v>45444</v>
          </cell>
          <cell r="I2447" t="str">
            <v>6385 - Insurance</v>
          </cell>
          <cell r="J2447">
            <v>0</v>
          </cell>
          <cell r="K2447" t="str">
            <v>Administration</v>
          </cell>
          <cell r="L2447" t="str">
            <v>Professional Service</v>
          </cell>
          <cell r="N2447" t="str">
            <v>SG&amp;A</v>
          </cell>
          <cell r="O2447" t="str">
            <v>[No Vendor]</v>
          </cell>
        </row>
        <row r="2448">
          <cell r="D2448">
            <v>-41.67</v>
          </cell>
          <cell r="H2448">
            <v>45444</v>
          </cell>
          <cell r="I2448" t="str">
            <v>6385 - Insurance</v>
          </cell>
          <cell r="J2448">
            <v>0</v>
          </cell>
          <cell r="K2448" t="str">
            <v>Administration</v>
          </cell>
          <cell r="L2448" t="str">
            <v>Professional Service</v>
          </cell>
          <cell r="N2448" t="str">
            <v>SG&amp;A</v>
          </cell>
          <cell r="O2448" t="str">
            <v>[No Vendor]</v>
          </cell>
        </row>
        <row r="2449">
          <cell r="D2449">
            <v>-59.47</v>
          </cell>
          <cell r="H2449">
            <v>45444</v>
          </cell>
          <cell r="I2449" t="str">
            <v>6385 - Insurance</v>
          </cell>
          <cell r="J2449">
            <v>0</v>
          </cell>
          <cell r="K2449" t="str">
            <v>Administration</v>
          </cell>
          <cell r="L2449" t="str">
            <v>Professional Service</v>
          </cell>
          <cell r="N2449" t="str">
            <v>SG&amp;A</v>
          </cell>
          <cell r="O2449" t="str">
            <v>[No Vendor]</v>
          </cell>
        </row>
        <row r="2450">
          <cell r="D2450">
            <v>-25.87</v>
          </cell>
          <cell r="H2450">
            <v>45444</v>
          </cell>
          <cell r="I2450" t="str">
            <v>6385 - Insurance</v>
          </cell>
          <cell r="J2450">
            <v>0</v>
          </cell>
          <cell r="K2450" t="str">
            <v>Administration</v>
          </cell>
          <cell r="L2450" t="str">
            <v>Professional Service</v>
          </cell>
          <cell r="N2450" t="str">
            <v>SG&amp;A</v>
          </cell>
          <cell r="O2450" t="str">
            <v>[No Vendor]</v>
          </cell>
        </row>
        <row r="2451">
          <cell r="D2451">
            <v>346.45</v>
          </cell>
          <cell r="H2451">
            <v>45444</v>
          </cell>
          <cell r="I2451" t="str">
            <v>6055 - Employer Social Security Tax Withheld</v>
          </cell>
          <cell r="J2451">
            <v>0</v>
          </cell>
          <cell r="K2451" t="str">
            <v>Brand Marketing</v>
          </cell>
          <cell r="L2451" t="str">
            <v>HQ Salaries</v>
          </cell>
          <cell r="N2451" t="str">
            <v>SG&amp;A</v>
          </cell>
          <cell r="O2451" t="str">
            <v>[No Vendor]</v>
          </cell>
        </row>
        <row r="2452">
          <cell r="D2452">
            <v>1549.46</v>
          </cell>
          <cell r="H2452">
            <v>45444</v>
          </cell>
          <cell r="I2452" t="str">
            <v>6055 - Employer Social Security Tax Withheld</v>
          </cell>
          <cell r="J2452" t="str">
            <v>Ecommerce (US)</v>
          </cell>
          <cell r="K2452" t="str">
            <v>Ecommerce</v>
          </cell>
          <cell r="L2452" t="str">
            <v>HQ Salaries</v>
          </cell>
          <cell r="N2452" t="str">
            <v>SG&amp;A</v>
          </cell>
          <cell r="O2452" t="str">
            <v>[No Vendor]</v>
          </cell>
        </row>
        <row r="2453">
          <cell r="D2453">
            <v>548.48</v>
          </cell>
          <cell r="H2453">
            <v>45444</v>
          </cell>
          <cell r="I2453" t="str">
            <v>6055 - Employer Social Security Tax Withheld</v>
          </cell>
          <cell r="J2453">
            <v>0</v>
          </cell>
          <cell r="K2453" t="str">
            <v>Merchandising</v>
          </cell>
          <cell r="L2453" t="str">
            <v>HQ Salaries</v>
          </cell>
          <cell r="N2453" t="str">
            <v>SG&amp;A</v>
          </cell>
          <cell r="O2453" t="str">
            <v>[No Vendor]</v>
          </cell>
        </row>
        <row r="2454">
          <cell r="D2454">
            <v>1052.1300000000001</v>
          </cell>
          <cell r="H2454">
            <v>45444</v>
          </cell>
          <cell r="I2454" t="str">
            <v>6055 - Employer Social Security Tax Withheld</v>
          </cell>
          <cell r="J2454" t="str">
            <v>Wholesale</v>
          </cell>
          <cell r="K2454" t="str">
            <v>Wholesale</v>
          </cell>
          <cell r="L2454" t="str">
            <v>HQ Salaries</v>
          </cell>
          <cell r="N2454" t="str">
            <v>SG&amp;A</v>
          </cell>
          <cell r="O2454" t="str">
            <v>[No Vendor]</v>
          </cell>
        </row>
        <row r="2455">
          <cell r="D2455">
            <v>2097.44</v>
          </cell>
          <cell r="H2455">
            <v>45444</v>
          </cell>
          <cell r="I2455" t="str">
            <v>6055 - Employer Social Security Tax Withheld</v>
          </cell>
          <cell r="J2455">
            <v>0</v>
          </cell>
          <cell r="K2455" t="str">
            <v>Production</v>
          </cell>
          <cell r="L2455" t="str">
            <v>HQ Salaries</v>
          </cell>
          <cell r="N2455" t="str">
            <v>SG&amp;A</v>
          </cell>
          <cell r="O2455" t="str">
            <v>[No Vendor]</v>
          </cell>
        </row>
        <row r="2456">
          <cell r="D2456">
            <v>2089.6999999999998</v>
          </cell>
          <cell r="H2456">
            <v>45444</v>
          </cell>
          <cell r="I2456" t="str">
            <v>6055 - Employer Social Security Tax Withheld</v>
          </cell>
          <cell r="J2456">
            <v>0</v>
          </cell>
          <cell r="K2456" t="str">
            <v>Design</v>
          </cell>
          <cell r="L2456" t="str">
            <v>HQ Salaries</v>
          </cell>
          <cell r="N2456" t="str">
            <v>SG&amp;A</v>
          </cell>
          <cell r="O2456" t="str">
            <v>[No Vendor]</v>
          </cell>
        </row>
        <row r="2457">
          <cell r="D2457">
            <v>2078.08</v>
          </cell>
          <cell r="H2457">
            <v>45444</v>
          </cell>
          <cell r="I2457" t="str">
            <v>6055 - Employer Social Security Tax Withheld</v>
          </cell>
          <cell r="J2457">
            <v>0</v>
          </cell>
          <cell r="K2457" t="str">
            <v>Administration</v>
          </cell>
          <cell r="L2457" t="str">
            <v>HQ Salaries</v>
          </cell>
          <cell r="N2457" t="str">
            <v>SG&amp;A</v>
          </cell>
          <cell r="O2457" t="str">
            <v>[No Vendor]</v>
          </cell>
        </row>
        <row r="2458">
          <cell r="D2458">
            <v>-141.86000000000001</v>
          </cell>
          <cell r="H2458">
            <v>45444</v>
          </cell>
          <cell r="I2458" t="str">
            <v>8000 - Interest Income</v>
          </cell>
          <cell r="J2458">
            <v>0</v>
          </cell>
          <cell r="K2458" t="str">
            <v>Administration</v>
          </cell>
          <cell r="L2458" t="str">
            <v>Other Income (BTL)</v>
          </cell>
          <cell r="N2458" t="str">
            <v>BTL</v>
          </cell>
          <cell r="O2458" t="str">
            <v>[No Vendor]</v>
          </cell>
        </row>
        <row r="2459">
          <cell r="D2459">
            <v>5750</v>
          </cell>
          <cell r="H2459">
            <v>45444</v>
          </cell>
          <cell r="I2459" t="str">
            <v>6375 - Freight Expenses</v>
          </cell>
          <cell r="J2459" t="str">
            <v>Ecommerce (US)</v>
          </cell>
          <cell r="K2459" t="str">
            <v>Ecommerce</v>
          </cell>
          <cell r="L2459" t="str">
            <v>Freight</v>
          </cell>
          <cell r="N2459" t="str">
            <v>Direct Costs</v>
          </cell>
          <cell r="O2459" t="str">
            <v>Easy Post</v>
          </cell>
        </row>
        <row r="2460">
          <cell r="D2460">
            <v>-409.58</v>
          </cell>
          <cell r="H2460">
            <v>45444</v>
          </cell>
          <cell r="I2460" t="str">
            <v>6040 - Employer Paid Benefits</v>
          </cell>
          <cell r="J2460">
            <v>0</v>
          </cell>
          <cell r="K2460" t="str">
            <v>Production</v>
          </cell>
          <cell r="L2460" t="str">
            <v>HQ Salaries</v>
          </cell>
          <cell r="N2460" t="str">
            <v>SG&amp;A</v>
          </cell>
          <cell r="O2460" t="str">
            <v>[No Vendor]</v>
          </cell>
        </row>
        <row r="2461">
          <cell r="D2461">
            <v>-22.58</v>
          </cell>
          <cell r="H2461">
            <v>45444</v>
          </cell>
          <cell r="I2461" t="str">
            <v>6040 - Employer Paid Benefits</v>
          </cell>
          <cell r="J2461">
            <v>0</v>
          </cell>
          <cell r="K2461" t="str">
            <v>Brand Marketing</v>
          </cell>
          <cell r="L2461" t="str">
            <v>HQ Salaries</v>
          </cell>
          <cell r="N2461" t="str">
            <v>SG&amp;A</v>
          </cell>
          <cell r="O2461" t="str">
            <v>[No Vendor]</v>
          </cell>
        </row>
        <row r="2462">
          <cell r="D2462">
            <v>0</v>
          </cell>
          <cell r="H2462">
            <v>45444</v>
          </cell>
          <cell r="I2462" t="str">
            <v>6040 - Employer Paid Benefits</v>
          </cell>
          <cell r="J2462">
            <v>0</v>
          </cell>
          <cell r="K2462" t="str">
            <v>Merchandising</v>
          </cell>
          <cell r="L2462" t="str">
            <v>HQ Salaries</v>
          </cell>
          <cell r="N2462" t="str">
            <v>SG&amp;A</v>
          </cell>
          <cell r="O2462" t="str">
            <v>[No Vendor]</v>
          </cell>
        </row>
        <row r="2463">
          <cell r="D2463">
            <v>-45.16</v>
          </cell>
          <cell r="H2463">
            <v>45444</v>
          </cell>
          <cell r="I2463" t="str">
            <v>6040 - Employer Paid Benefits</v>
          </cell>
          <cell r="J2463" t="str">
            <v>Wholesale</v>
          </cell>
          <cell r="K2463" t="str">
            <v>Wholesale</v>
          </cell>
          <cell r="L2463" t="str">
            <v>HQ Salaries</v>
          </cell>
          <cell r="N2463" t="str">
            <v>SG&amp;A</v>
          </cell>
          <cell r="O2463" t="str">
            <v>[No Vendor]</v>
          </cell>
        </row>
        <row r="2464">
          <cell r="D2464">
            <v>-121.85</v>
          </cell>
          <cell r="H2464">
            <v>45444</v>
          </cell>
          <cell r="I2464" t="str">
            <v>6040 - Employer Paid Benefits</v>
          </cell>
          <cell r="J2464" t="str">
            <v>Ecommerce (US)</v>
          </cell>
          <cell r="K2464" t="str">
            <v>Ecommerce</v>
          </cell>
          <cell r="L2464" t="str">
            <v>HQ Salaries</v>
          </cell>
          <cell r="N2464" t="str">
            <v>SG&amp;A</v>
          </cell>
          <cell r="O2464" t="str">
            <v>[No Vendor]</v>
          </cell>
        </row>
        <row r="2465">
          <cell r="D2465">
            <v>-363.42</v>
          </cell>
          <cell r="H2465">
            <v>45444</v>
          </cell>
          <cell r="I2465" t="str">
            <v>6040 - Employer Paid Benefits</v>
          </cell>
          <cell r="J2465">
            <v>0</v>
          </cell>
          <cell r="K2465" t="str">
            <v>Design</v>
          </cell>
          <cell r="L2465" t="str">
            <v>HQ Salaries</v>
          </cell>
          <cell r="N2465" t="str">
            <v>SG&amp;A</v>
          </cell>
          <cell r="O2465" t="str">
            <v>[No Vendor]</v>
          </cell>
        </row>
        <row r="2466">
          <cell r="D2466">
            <v>-163.69999999999999</v>
          </cell>
          <cell r="H2466">
            <v>45444</v>
          </cell>
          <cell r="I2466" t="str">
            <v>6040 - Employer Paid Benefits</v>
          </cell>
          <cell r="J2466">
            <v>0</v>
          </cell>
          <cell r="K2466" t="str">
            <v>Administration</v>
          </cell>
          <cell r="L2466" t="str">
            <v>HQ Salaries</v>
          </cell>
          <cell r="N2466" t="str">
            <v>SG&amp;A</v>
          </cell>
          <cell r="O2466" t="str">
            <v>[No Vendor]</v>
          </cell>
        </row>
        <row r="2467">
          <cell r="D2467">
            <v>19988.490000000002</v>
          </cell>
          <cell r="H2467">
            <v>45444</v>
          </cell>
          <cell r="I2467" t="str">
            <v>6005 - Salaries</v>
          </cell>
          <cell r="J2467">
            <v>0</v>
          </cell>
          <cell r="K2467" t="str">
            <v>Production</v>
          </cell>
          <cell r="L2467" t="str">
            <v>HQ Salaries</v>
          </cell>
          <cell r="N2467" t="str">
            <v>SG&amp;A</v>
          </cell>
          <cell r="O2467" t="str">
            <v>[No Vendor]</v>
          </cell>
        </row>
        <row r="2468">
          <cell r="D2468">
            <v>3269.24</v>
          </cell>
          <cell r="H2468">
            <v>45444</v>
          </cell>
          <cell r="I2468" t="str">
            <v>6005 - Salaries</v>
          </cell>
          <cell r="J2468">
            <v>0</v>
          </cell>
          <cell r="K2468" t="str">
            <v>Brand Marketing</v>
          </cell>
          <cell r="L2468" t="str">
            <v>HQ Salaries</v>
          </cell>
          <cell r="N2468" t="str">
            <v>SG&amp;A</v>
          </cell>
          <cell r="O2468" t="str">
            <v>[No Vendor]</v>
          </cell>
        </row>
        <row r="2469">
          <cell r="D2469">
            <v>5150</v>
          </cell>
          <cell r="H2469">
            <v>45444</v>
          </cell>
          <cell r="I2469" t="str">
            <v>6005 - Salaries</v>
          </cell>
          <cell r="J2469">
            <v>0</v>
          </cell>
          <cell r="K2469" t="str">
            <v>Merchandising</v>
          </cell>
          <cell r="L2469" t="str">
            <v>HQ Salaries</v>
          </cell>
          <cell r="N2469" t="str">
            <v>SG&amp;A</v>
          </cell>
          <cell r="O2469" t="str">
            <v>[No Vendor]</v>
          </cell>
        </row>
        <row r="2470">
          <cell r="D2470">
            <v>9911.5499999999993</v>
          </cell>
          <cell r="H2470">
            <v>45444</v>
          </cell>
          <cell r="I2470" t="str">
            <v>6005 - Salaries</v>
          </cell>
          <cell r="J2470" t="str">
            <v>Wholesale</v>
          </cell>
          <cell r="K2470" t="str">
            <v>Wholesale</v>
          </cell>
          <cell r="L2470" t="str">
            <v>HQ Salaries</v>
          </cell>
          <cell r="N2470" t="str">
            <v>SG&amp;A</v>
          </cell>
          <cell r="O2470" t="str">
            <v>[No Vendor]</v>
          </cell>
        </row>
        <row r="2471">
          <cell r="D2471">
            <v>20780.8</v>
          </cell>
          <cell r="H2471">
            <v>45444</v>
          </cell>
          <cell r="I2471" t="str">
            <v>6005 - Salaries</v>
          </cell>
          <cell r="J2471" t="str">
            <v>Ecommerce (US)</v>
          </cell>
          <cell r="K2471" t="str">
            <v>Ecommerce</v>
          </cell>
          <cell r="L2471" t="str">
            <v>HQ Salaries</v>
          </cell>
          <cell r="N2471" t="str">
            <v>SG&amp;A</v>
          </cell>
          <cell r="O2471" t="str">
            <v>[No Vendor]</v>
          </cell>
        </row>
        <row r="2472">
          <cell r="D2472">
            <v>20857.7</v>
          </cell>
          <cell r="H2472">
            <v>45444</v>
          </cell>
          <cell r="I2472" t="str">
            <v>6005 - Salaries</v>
          </cell>
          <cell r="J2472">
            <v>0</v>
          </cell>
          <cell r="K2472" t="str">
            <v>Design</v>
          </cell>
          <cell r="L2472" t="str">
            <v>HQ Salaries</v>
          </cell>
          <cell r="N2472" t="str">
            <v>SG&amp;A</v>
          </cell>
          <cell r="O2472" t="str">
            <v>[No Vendor]</v>
          </cell>
        </row>
        <row r="2473">
          <cell r="D2473">
            <v>26343.759999999998</v>
          </cell>
          <cell r="H2473">
            <v>45444</v>
          </cell>
          <cell r="I2473" t="str">
            <v>6375 - Freight Expenses</v>
          </cell>
          <cell r="J2473" t="str">
            <v>Ecommerce (US)</v>
          </cell>
          <cell r="K2473" t="str">
            <v>Ecommerce</v>
          </cell>
          <cell r="L2473" t="str">
            <v>Freight</v>
          </cell>
          <cell r="N2473" t="str">
            <v>Direct Costs</v>
          </cell>
          <cell r="O2473" t="str">
            <v>UPS Supply Chain Solutions Inc. (7F24A0)</v>
          </cell>
        </row>
        <row r="2474">
          <cell r="D2474">
            <v>110</v>
          </cell>
          <cell r="H2474">
            <v>45444</v>
          </cell>
          <cell r="I2474" t="str">
            <v>6040 - Employer Paid Benefits</v>
          </cell>
          <cell r="J2474">
            <v>0</v>
          </cell>
          <cell r="K2474" t="str">
            <v>Administration</v>
          </cell>
          <cell r="L2474" t="str">
            <v>HQ Salaries</v>
          </cell>
          <cell r="N2474" t="str">
            <v>SG&amp;A</v>
          </cell>
          <cell r="O2474" t="str">
            <v>Progressive Benefit Solutions LLC</v>
          </cell>
        </row>
        <row r="2475">
          <cell r="D2475">
            <v>31159.86</v>
          </cell>
          <cell r="H2475">
            <v>45444</v>
          </cell>
          <cell r="I2475" t="str">
            <v>6377 - Order Processing Expenses (New)</v>
          </cell>
          <cell r="J2475" t="str">
            <v>Ecommerce (US)</v>
          </cell>
          <cell r="K2475" t="str">
            <v>Ecommerce</v>
          </cell>
          <cell r="L2475" t="str">
            <v>Order Processing</v>
          </cell>
          <cell r="N2475" t="str">
            <v>Direct Costs</v>
          </cell>
          <cell r="O2475" t="str">
            <v>Bergen Logistics Corporation</v>
          </cell>
        </row>
        <row r="2476">
          <cell r="D2476">
            <v>10327.43</v>
          </cell>
          <cell r="H2476">
            <v>45444</v>
          </cell>
          <cell r="I2476" t="str">
            <v>6377 - Order Processing Expenses (New)</v>
          </cell>
          <cell r="J2476" t="str">
            <v>Wholesale</v>
          </cell>
          <cell r="K2476" t="str">
            <v>Wholesale</v>
          </cell>
          <cell r="L2476" t="str">
            <v>Order Processing</v>
          </cell>
          <cell r="N2476" t="str">
            <v>Direct Costs</v>
          </cell>
          <cell r="O2476" t="str">
            <v>Bergen Logistics Corporation</v>
          </cell>
        </row>
        <row r="2477">
          <cell r="D2477">
            <v>113871.58</v>
          </cell>
          <cell r="H2477">
            <v>45444</v>
          </cell>
          <cell r="I2477" t="str">
            <v>6286 - SEM</v>
          </cell>
          <cell r="J2477" t="str">
            <v>Ecommerce (US)</v>
          </cell>
          <cell r="K2477" t="str">
            <v>Ecommerce</v>
          </cell>
          <cell r="L2477" t="str">
            <v>Marketing</v>
          </cell>
          <cell r="N2477" t="str">
            <v>Direct Costs</v>
          </cell>
          <cell r="O2477" t="str">
            <v>Meta Platforms, Inc</v>
          </cell>
        </row>
        <row r="2478">
          <cell r="D2478">
            <v>10873.7</v>
          </cell>
          <cell r="H2478">
            <v>45444</v>
          </cell>
          <cell r="I2478" t="str">
            <v>6286 - SEM</v>
          </cell>
          <cell r="J2478" t="str">
            <v>Ecommerce (US)</v>
          </cell>
          <cell r="K2478" t="str">
            <v>Ecommerce</v>
          </cell>
          <cell r="L2478" t="str">
            <v>Marketing</v>
          </cell>
          <cell r="N2478" t="str">
            <v>Direct Costs</v>
          </cell>
          <cell r="O2478" t="str">
            <v>Meta Platforms, Inc</v>
          </cell>
        </row>
        <row r="2479">
          <cell r="D2479">
            <v>24847.8</v>
          </cell>
          <cell r="H2479">
            <v>45444</v>
          </cell>
          <cell r="I2479" t="str">
            <v>6286 - SEM</v>
          </cell>
          <cell r="J2479" t="str">
            <v>Ecommerce (US)</v>
          </cell>
          <cell r="K2479" t="str">
            <v>Brand Marketing</v>
          </cell>
          <cell r="L2479" t="str">
            <v>Professional Service</v>
          </cell>
          <cell r="N2479" t="str">
            <v>Direct Costs</v>
          </cell>
          <cell r="O2479" t="str">
            <v>Attentive Mobile Inc.</v>
          </cell>
        </row>
        <row r="2480">
          <cell r="D2480">
            <v>15967.28</v>
          </cell>
          <cell r="H2480">
            <v>45444</v>
          </cell>
          <cell r="I2480" t="str">
            <v>6286 - SEM</v>
          </cell>
          <cell r="J2480" t="str">
            <v>Ecommerce (US)</v>
          </cell>
          <cell r="K2480" t="str">
            <v>Ecommerce</v>
          </cell>
          <cell r="L2480" t="str">
            <v>Marketing</v>
          </cell>
          <cell r="N2480" t="str">
            <v>Direct Costs</v>
          </cell>
          <cell r="O2480" t="str">
            <v>[No Vendor]</v>
          </cell>
        </row>
        <row r="2481">
          <cell r="D2481">
            <v>1136.6199999999999</v>
          </cell>
          <cell r="H2481">
            <v>45444</v>
          </cell>
          <cell r="I2481" t="str">
            <v>6340 - Miscellaneous Expense</v>
          </cell>
          <cell r="J2481">
            <v>0</v>
          </cell>
          <cell r="K2481" t="str">
            <v>Administration</v>
          </cell>
          <cell r="L2481" t="str">
            <v>Other</v>
          </cell>
          <cell r="N2481" t="str">
            <v>SG&amp;A</v>
          </cell>
          <cell r="O2481" t="str">
            <v>Amazon Capital Services</v>
          </cell>
        </row>
        <row r="2482">
          <cell r="D2482">
            <v>88</v>
          </cell>
          <cell r="H2482">
            <v>45444</v>
          </cell>
          <cell r="I2482" t="str">
            <v>6430 - Dues &amp; Memberships</v>
          </cell>
          <cell r="J2482" t="str">
            <v>Wholesale</v>
          </cell>
          <cell r="K2482" t="str">
            <v>Wholesale</v>
          </cell>
          <cell r="L2482" t="str">
            <v>Professional Service</v>
          </cell>
          <cell r="N2482" t="str">
            <v>Direct Costs</v>
          </cell>
          <cell r="O2482" t="str">
            <v>SPS Commerce</v>
          </cell>
        </row>
        <row r="2483">
          <cell r="D2483">
            <v>150</v>
          </cell>
          <cell r="H2483">
            <v>45444</v>
          </cell>
          <cell r="I2483" t="str">
            <v>6225 - Professional Services</v>
          </cell>
          <cell r="J2483">
            <v>0</v>
          </cell>
          <cell r="K2483" t="str">
            <v>Administration</v>
          </cell>
          <cell r="L2483" t="str">
            <v>Professional Service</v>
          </cell>
          <cell r="N2483" t="str">
            <v>Direct Costs</v>
          </cell>
          <cell r="O2483" t="str">
            <v>Benefit Resource, LLC</v>
          </cell>
        </row>
        <row r="2484">
          <cell r="D2484">
            <v>119.63</v>
          </cell>
          <cell r="H2484">
            <v>45444</v>
          </cell>
          <cell r="I2484" t="str">
            <v>6375 - Freight Expenses</v>
          </cell>
          <cell r="J2484" t="str">
            <v>Ecommerce (US)</v>
          </cell>
          <cell r="K2484" t="str">
            <v>Ecommerce</v>
          </cell>
          <cell r="L2484" t="str">
            <v>Freight</v>
          </cell>
          <cell r="N2484" t="str">
            <v>Direct Costs</v>
          </cell>
          <cell r="O2484" t="str">
            <v>Bergen Logistics Corporation</v>
          </cell>
        </row>
        <row r="2485">
          <cell r="D2485">
            <v>37.659999999999997</v>
          </cell>
          <cell r="H2485">
            <v>45444</v>
          </cell>
          <cell r="I2485" t="str">
            <v>6375 - Freight Expenses</v>
          </cell>
          <cell r="J2485" t="str">
            <v>Wholesale</v>
          </cell>
          <cell r="K2485" t="str">
            <v>Wholesale</v>
          </cell>
          <cell r="L2485" t="str">
            <v>Freight</v>
          </cell>
          <cell r="N2485" t="str">
            <v>Direct Costs</v>
          </cell>
          <cell r="O2485" t="str">
            <v>Bergen Logistics Corporation</v>
          </cell>
        </row>
        <row r="2486">
          <cell r="D2486">
            <v>579.64</v>
          </cell>
          <cell r="H2486">
            <v>45444</v>
          </cell>
          <cell r="I2486" t="str">
            <v>6375 - Freight Expenses</v>
          </cell>
          <cell r="J2486">
            <v>0</v>
          </cell>
          <cell r="K2486" t="str">
            <v>Production</v>
          </cell>
          <cell r="L2486" t="str">
            <v>Freight</v>
          </cell>
          <cell r="N2486" t="str">
            <v>Direct Costs</v>
          </cell>
          <cell r="O2486" t="str">
            <v>DHL Express - USA</v>
          </cell>
        </row>
        <row r="2487">
          <cell r="D2487">
            <v>-104.95</v>
          </cell>
          <cell r="H2487">
            <v>45444</v>
          </cell>
          <cell r="I2487" t="str">
            <v>6340 - Miscellaneous Expense</v>
          </cell>
          <cell r="J2487">
            <v>0</v>
          </cell>
          <cell r="K2487" t="str">
            <v>No Department</v>
          </cell>
          <cell r="L2487" t="str">
            <v>Other</v>
          </cell>
          <cell r="N2487" t="str">
            <v>SG&amp;A</v>
          </cell>
          <cell r="O2487" t="str">
            <v>Amazon Capital Services</v>
          </cell>
        </row>
        <row r="2488">
          <cell r="D2488">
            <v>-368.97</v>
          </cell>
          <cell r="H2488">
            <v>45444</v>
          </cell>
          <cell r="I2488" t="str">
            <v>4070 - Sales - Other</v>
          </cell>
          <cell r="J2488" t="str">
            <v>Wholesale</v>
          </cell>
          <cell r="K2488" t="str">
            <v>Wholesale</v>
          </cell>
          <cell r="L2488" t="str">
            <v>Other Income</v>
          </cell>
          <cell r="N2488" t="str">
            <v>Revenue</v>
          </cell>
          <cell r="O2488" t="str">
            <v>F&amp;F Co, LTD</v>
          </cell>
        </row>
        <row r="2489">
          <cell r="D2489">
            <v>0</v>
          </cell>
          <cell r="H2489">
            <v>45444</v>
          </cell>
          <cell r="I2489" t="str">
            <v>4010 - Revenue - Licensing Fees (Royalties)</v>
          </cell>
          <cell r="J2489">
            <v>0</v>
          </cell>
          <cell r="K2489" t="str">
            <v>Licensing</v>
          </cell>
          <cell r="L2489" t="str">
            <v>License</v>
          </cell>
          <cell r="N2489" t="str">
            <v>Revenue</v>
          </cell>
          <cell r="O2489" t="str">
            <v>[No Vendor]</v>
          </cell>
        </row>
        <row r="2490">
          <cell r="D2490">
            <v>1010.51</v>
          </cell>
          <cell r="H2490">
            <v>45444</v>
          </cell>
          <cell r="I2490" t="str">
            <v>6445 - Inventory Write Down</v>
          </cell>
          <cell r="J2490" t="str">
            <v>Ecommerce (US)</v>
          </cell>
          <cell r="K2490" t="str">
            <v>Ecommerce</v>
          </cell>
          <cell r="L2490" t="str">
            <v>Other</v>
          </cell>
          <cell r="N2490" t="str">
            <v>SG&amp;A</v>
          </cell>
          <cell r="O2490" t="str">
            <v>[No Vendor]</v>
          </cell>
        </row>
        <row r="2491">
          <cell r="D2491">
            <v>673.68</v>
          </cell>
          <cell r="H2491">
            <v>45444</v>
          </cell>
          <cell r="I2491" t="str">
            <v>6445 - Inventory Write Down</v>
          </cell>
          <cell r="J2491" t="str">
            <v>Wholesale</v>
          </cell>
          <cell r="K2491" t="str">
            <v>Wholesale</v>
          </cell>
          <cell r="L2491" t="str">
            <v>Other</v>
          </cell>
          <cell r="N2491" t="str">
            <v>SG&amp;A</v>
          </cell>
          <cell r="O2491" t="str">
            <v>[No Vendor]</v>
          </cell>
        </row>
        <row r="2492">
          <cell r="D2492">
            <v>0</v>
          </cell>
          <cell r="H2492">
            <v>45444</v>
          </cell>
          <cell r="I2492" t="str">
            <v>4045 - Sponsorships</v>
          </cell>
          <cell r="J2492">
            <v>0</v>
          </cell>
          <cell r="K2492" t="str">
            <v>Licensing</v>
          </cell>
          <cell r="L2492" t="str">
            <v>Other Income</v>
          </cell>
          <cell r="N2492" t="str">
            <v>Revenue</v>
          </cell>
          <cell r="O2492" t="str">
            <v>[No Vendor]</v>
          </cell>
        </row>
        <row r="2493">
          <cell r="D2493">
            <v>2580</v>
          </cell>
          <cell r="H2493">
            <v>45444</v>
          </cell>
          <cell r="I2493" t="str">
            <v>4052 - Sales Revenue - Wholesale (US)</v>
          </cell>
          <cell r="J2493" t="str">
            <v>Wholesale</v>
          </cell>
          <cell r="K2493" t="str">
            <v>Wholesale</v>
          </cell>
          <cell r="L2493" t="str">
            <v>Wholesale</v>
          </cell>
          <cell r="N2493" t="str">
            <v>Revenue</v>
          </cell>
          <cell r="O2493" t="str">
            <v>[No Vendor]</v>
          </cell>
        </row>
        <row r="2494">
          <cell r="D2494">
            <v>-213</v>
          </cell>
          <cell r="H2494">
            <v>45444</v>
          </cell>
          <cell r="I2494" t="str">
            <v>4052 - Sales Revenue - Wholesale (US)</v>
          </cell>
          <cell r="J2494" t="str">
            <v>Wholesale</v>
          </cell>
          <cell r="K2494" t="str">
            <v>Wholesale</v>
          </cell>
          <cell r="L2494" t="str">
            <v>Wholesale</v>
          </cell>
          <cell r="N2494" t="str">
            <v>Revenue</v>
          </cell>
          <cell r="O2494" t="str">
            <v>[No Vendor]</v>
          </cell>
        </row>
        <row r="2495">
          <cell r="D2495">
            <v>-78580</v>
          </cell>
          <cell r="H2495">
            <v>45444</v>
          </cell>
          <cell r="I2495" t="str">
            <v>4052 - Sales Revenue - Wholesale (US)</v>
          </cell>
          <cell r="J2495" t="str">
            <v>Wholesale</v>
          </cell>
          <cell r="K2495" t="str">
            <v>Wholesale</v>
          </cell>
          <cell r="L2495" t="str">
            <v>Wholesale</v>
          </cell>
          <cell r="N2495" t="str">
            <v>Revenue</v>
          </cell>
          <cell r="O2495" t="str">
            <v>[No Vendor]</v>
          </cell>
        </row>
        <row r="2496">
          <cell r="D2496">
            <v>-1220922.77</v>
          </cell>
          <cell r="H2496">
            <v>45444</v>
          </cell>
          <cell r="I2496" t="str">
            <v>4050 - Sales Revenue - Ecommerce (US)</v>
          </cell>
          <cell r="J2496" t="str">
            <v>Ecommerce (US)</v>
          </cell>
          <cell r="K2496" t="str">
            <v>Ecommerce</v>
          </cell>
          <cell r="L2496" t="str">
            <v>Ecommerce (US)</v>
          </cell>
          <cell r="N2496" t="str">
            <v>Revenue</v>
          </cell>
          <cell r="O2496" t="str">
            <v>[No Vendor]</v>
          </cell>
        </row>
        <row r="2497">
          <cell r="D2497">
            <v>-42034.53</v>
          </cell>
          <cell r="H2497">
            <v>45444</v>
          </cell>
          <cell r="I2497" t="str">
            <v>4050 - Sales Revenue - Ecommerce (US)</v>
          </cell>
          <cell r="J2497" t="str">
            <v>Ecommerce (US)</v>
          </cell>
          <cell r="K2497" t="str">
            <v>Ecommerce</v>
          </cell>
          <cell r="L2497" t="str">
            <v>Ecommerce (US)</v>
          </cell>
          <cell r="N2497" t="str">
            <v>Revenue</v>
          </cell>
          <cell r="O2497" t="str">
            <v>[No Vendor]</v>
          </cell>
        </row>
        <row r="2498">
          <cell r="D2498">
            <v>5333.1</v>
          </cell>
          <cell r="H2498">
            <v>45444</v>
          </cell>
          <cell r="I2498" t="str">
            <v>4061 - Sales Discount - Ecomm (EU)</v>
          </cell>
          <cell r="J2498" t="str">
            <v>Ecommerce (EU)</v>
          </cell>
          <cell r="K2498" t="str">
            <v>Ecommerce</v>
          </cell>
          <cell r="L2498" t="str">
            <v>Ecommerce (EU)</v>
          </cell>
          <cell r="N2498" t="str">
            <v>Revenue</v>
          </cell>
          <cell r="O2498" t="str">
            <v>[No Vendor]</v>
          </cell>
        </row>
        <row r="2499">
          <cell r="D2499">
            <v>6.99</v>
          </cell>
          <cell r="H2499">
            <v>45444</v>
          </cell>
          <cell r="I2499" t="str">
            <v>6041 - Employee Benefit Other</v>
          </cell>
          <cell r="J2499" t="str">
            <v>Ecommerce (US)</v>
          </cell>
          <cell r="K2499" t="str">
            <v>Ecommerce</v>
          </cell>
          <cell r="L2499" t="str">
            <v>HQ Salaries</v>
          </cell>
          <cell r="N2499" t="str">
            <v>SG&amp;A</v>
          </cell>
          <cell r="O2499" t="str">
            <v>[No Vendor]</v>
          </cell>
        </row>
        <row r="2500">
          <cell r="D2500">
            <v>126.68</v>
          </cell>
          <cell r="H2500">
            <v>45444</v>
          </cell>
          <cell r="I2500" t="str">
            <v>6041 - Employee Benefit Other</v>
          </cell>
          <cell r="J2500" t="str">
            <v>Wholesale</v>
          </cell>
          <cell r="K2500" t="str">
            <v>Wholesale</v>
          </cell>
          <cell r="L2500" t="str">
            <v>HQ Salaries</v>
          </cell>
          <cell r="N2500" t="str">
            <v>SG&amp;A</v>
          </cell>
          <cell r="O2500" t="str">
            <v>[No Vendor]</v>
          </cell>
        </row>
        <row r="2501">
          <cell r="D2501">
            <v>163.55000000000001</v>
          </cell>
          <cell r="H2501">
            <v>45444</v>
          </cell>
          <cell r="I2501" t="str">
            <v>6041 - Employee Benefit Other</v>
          </cell>
          <cell r="J2501">
            <v>0</v>
          </cell>
          <cell r="K2501" t="str">
            <v>Production</v>
          </cell>
          <cell r="L2501" t="str">
            <v>HQ Salaries</v>
          </cell>
          <cell r="N2501" t="str">
            <v>SG&amp;A</v>
          </cell>
          <cell r="O2501" t="str">
            <v>[No Vendor]</v>
          </cell>
        </row>
        <row r="2502">
          <cell r="D2502">
            <v>275.16000000000003</v>
          </cell>
          <cell r="H2502">
            <v>45444</v>
          </cell>
          <cell r="I2502" t="str">
            <v>6041 - Employee Benefit Other</v>
          </cell>
          <cell r="J2502">
            <v>0</v>
          </cell>
          <cell r="K2502" t="str">
            <v>Design</v>
          </cell>
          <cell r="L2502" t="str">
            <v>HQ Salaries</v>
          </cell>
          <cell r="N2502" t="str">
            <v>SG&amp;A</v>
          </cell>
          <cell r="O2502" t="str">
            <v>[No Vendor]</v>
          </cell>
        </row>
        <row r="2503">
          <cell r="D2503">
            <v>469.53</v>
          </cell>
          <cell r="H2503">
            <v>45444</v>
          </cell>
          <cell r="I2503" t="str">
            <v>6041 - Employee Benefit Other</v>
          </cell>
          <cell r="J2503">
            <v>0</v>
          </cell>
          <cell r="K2503" t="str">
            <v>Administration</v>
          </cell>
          <cell r="L2503" t="str">
            <v>HQ Salaries</v>
          </cell>
          <cell r="N2503" t="str">
            <v>SG&amp;A</v>
          </cell>
          <cell r="O2503" t="str">
            <v>[No Vendor]</v>
          </cell>
        </row>
        <row r="2504">
          <cell r="D2504">
            <v>-55861.55</v>
          </cell>
          <cell r="H2504">
            <v>45444</v>
          </cell>
          <cell r="I2504" t="str">
            <v>7140 - Amortization Exp - ROU Asset</v>
          </cell>
          <cell r="J2504">
            <v>0</v>
          </cell>
          <cell r="K2504" t="str">
            <v>Administration</v>
          </cell>
          <cell r="L2504" t="str">
            <v>Rent</v>
          </cell>
          <cell r="N2504" t="str">
            <v>SG&amp;A</v>
          </cell>
          <cell r="O2504" t="str">
            <v>[No Vendor]</v>
          </cell>
        </row>
        <row r="2505">
          <cell r="D2505">
            <v>559.21</v>
          </cell>
          <cell r="H2505">
            <v>45444</v>
          </cell>
          <cell r="I2505" t="str">
            <v>7140 - Amortization Exp - ROU Asset</v>
          </cell>
          <cell r="J2505">
            <v>0</v>
          </cell>
          <cell r="K2505" t="str">
            <v>Administration</v>
          </cell>
          <cell r="L2505" t="str">
            <v>Rent</v>
          </cell>
          <cell r="N2505" t="str">
            <v>SG&amp;A</v>
          </cell>
          <cell r="O2505" t="str">
            <v>[No Vendor]</v>
          </cell>
        </row>
        <row r="2506">
          <cell r="D2506">
            <v>33250.92</v>
          </cell>
          <cell r="H2506">
            <v>45444</v>
          </cell>
          <cell r="I2506" t="str">
            <v>7140 - Amortization Exp - ROU Asset</v>
          </cell>
          <cell r="J2506">
            <v>0</v>
          </cell>
          <cell r="K2506" t="str">
            <v>Administration</v>
          </cell>
          <cell r="L2506" t="str">
            <v>Rent</v>
          </cell>
          <cell r="N2506" t="str">
            <v>SG&amp;A</v>
          </cell>
          <cell r="O2506" t="str">
            <v>[No Vendor]</v>
          </cell>
        </row>
        <row r="2507">
          <cell r="D2507">
            <v>24451.58</v>
          </cell>
          <cell r="H2507">
            <v>45444</v>
          </cell>
          <cell r="I2507" t="str">
            <v>4051 - Sales Revenue - Ecommerce (Intl)</v>
          </cell>
          <cell r="J2507" t="str">
            <v>Ecommerce (EU)</v>
          </cell>
          <cell r="K2507" t="str">
            <v>Ecommerce</v>
          </cell>
          <cell r="L2507" t="str">
            <v>Ecommerce (EU)</v>
          </cell>
          <cell r="N2507" t="str">
            <v>Revenue</v>
          </cell>
          <cell r="O2507" t="str">
            <v>[No Vendor]</v>
          </cell>
        </row>
        <row r="2508">
          <cell r="D2508">
            <v>-160557.29</v>
          </cell>
          <cell r="H2508">
            <v>45444</v>
          </cell>
          <cell r="I2508" t="str">
            <v>4051 - Sales Revenue - Ecommerce (Intl)</v>
          </cell>
          <cell r="J2508" t="str">
            <v>Ecommerce (EU)</v>
          </cell>
          <cell r="K2508" t="str">
            <v>Ecommerce</v>
          </cell>
          <cell r="L2508" t="str">
            <v>Ecommerce (EU)</v>
          </cell>
          <cell r="N2508" t="str">
            <v>Revenue</v>
          </cell>
          <cell r="O2508" t="str">
            <v>[No Vendor]</v>
          </cell>
        </row>
        <row r="2509">
          <cell r="D2509">
            <v>-400</v>
          </cell>
          <cell r="H2509">
            <v>45444</v>
          </cell>
          <cell r="I2509" t="str">
            <v>6377 - Order Processing Expenses (New)</v>
          </cell>
          <cell r="J2509" t="str">
            <v>Ecommerce (EU)</v>
          </cell>
          <cell r="K2509" t="str">
            <v>Ecommerce</v>
          </cell>
          <cell r="L2509" t="str">
            <v>Order Processing</v>
          </cell>
          <cell r="N2509" t="str">
            <v>Direct Costs</v>
          </cell>
          <cell r="O2509" t="str">
            <v>[No Vendor]</v>
          </cell>
        </row>
        <row r="2510">
          <cell r="D2510">
            <v>213</v>
          </cell>
          <cell r="H2510">
            <v>45444</v>
          </cell>
          <cell r="I2510" t="str">
            <v>4065 - Sales Freight - Wholesale (US)</v>
          </cell>
          <cell r="J2510" t="str">
            <v>Wholesale</v>
          </cell>
          <cell r="K2510" t="str">
            <v>Wholesale</v>
          </cell>
          <cell r="L2510" t="str">
            <v>Freight - Revenue</v>
          </cell>
          <cell r="N2510" t="str">
            <v>Direct Costs</v>
          </cell>
          <cell r="O2510" t="str">
            <v>[No Vendor]</v>
          </cell>
        </row>
        <row r="2511">
          <cell r="D2511">
            <v>-370</v>
          </cell>
          <cell r="H2511">
            <v>45444</v>
          </cell>
          <cell r="I2511" t="str">
            <v>4065 - Sales Freight - Wholesale (US)</v>
          </cell>
          <cell r="J2511" t="str">
            <v>Wholesale</v>
          </cell>
          <cell r="K2511" t="str">
            <v>Wholesale</v>
          </cell>
          <cell r="L2511" t="str">
            <v>Freight - Revenue</v>
          </cell>
          <cell r="N2511" t="str">
            <v>Direct Costs</v>
          </cell>
          <cell r="O2511" t="str">
            <v>[No Vendor]</v>
          </cell>
        </row>
        <row r="2512">
          <cell r="D2512">
            <v>-2275.86</v>
          </cell>
          <cell r="H2512">
            <v>45444</v>
          </cell>
          <cell r="I2512" t="str">
            <v>4065 - Sales Freight - Wholesale (US)</v>
          </cell>
          <cell r="J2512" t="str">
            <v>Wholesale</v>
          </cell>
          <cell r="K2512" t="str">
            <v>Wholesale</v>
          </cell>
          <cell r="L2512" t="str">
            <v>Freight - Revenue</v>
          </cell>
          <cell r="N2512" t="str">
            <v>Direct Costs</v>
          </cell>
          <cell r="O2512" t="str">
            <v>[No Vendor]</v>
          </cell>
        </row>
        <row r="2513">
          <cell r="D2513">
            <v>-41595</v>
          </cell>
          <cell r="H2513">
            <v>45444</v>
          </cell>
          <cell r="I2513" t="str">
            <v>4064 - Sales Freight - Ecomm (US)</v>
          </cell>
          <cell r="J2513" t="str">
            <v>Ecommerce (US)</v>
          </cell>
          <cell r="K2513" t="str">
            <v>Ecommerce</v>
          </cell>
          <cell r="L2513" t="str">
            <v>Freight - Revenue</v>
          </cell>
          <cell r="N2513" t="str">
            <v>Direct Costs</v>
          </cell>
          <cell r="O2513" t="str">
            <v>[No Vendor]</v>
          </cell>
        </row>
        <row r="2514">
          <cell r="D2514">
            <v>-2918</v>
          </cell>
          <cell r="H2514">
            <v>45444</v>
          </cell>
          <cell r="I2514" t="str">
            <v>4064 - Sales Freight - Ecomm (US)</v>
          </cell>
          <cell r="J2514" t="str">
            <v>Ecommerce (US)</v>
          </cell>
          <cell r="K2514" t="str">
            <v>Ecommerce</v>
          </cell>
          <cell r="L2514" t="str">
            <v>Freight - Revenue</v>
          </cell>
          <cell r="N2514" t="str">
            <v>Direct Costs</v>
          </cell>
          <cell r="O2514" t="str">
            <v>[No Vendor]</v>
          </cell>
        </row>
        <row r="2515">
          <cell r="D2515">
            <v>19095.73</v>
          </cell>
          <cell r="H2515">
            <v>45444</v>
          </cell>
          <cell r="I2515" t="str">
            <v>4063 - Sales Discount - Wholesale (US)</v>
          </cell>
          <cell r="J2515" t="str">
            <v>Wholesale</v>
          </cell>
          <cell r="K2515" t="str">
            <v>Wholesale</v>
          </cell>
          <cell r="L2515" t="str">
            <v>Wholesale</v>
          </cell>
          <cell r="N2515" t="str">
            <v>Revenue</v>
          </cell>
          <cell r="O2515" t="str">
            <v>[No Vendor]</v>
          </cell>
        </row>
        <row r="2516">
          <cell r="D2516">
            <v>5554.79</v>
          </cell>
          <cell r="H2516">
            <v>45444</v>
          </cell>
          <cell r="I2516" t="str">
            <v>5900 - Interco Royalty Expense</v>
          </cell>
          <cell r="J2516">
            <v>0</v>
          </cell>
          <cell r="K2516" t="str">
            <v>Licensing</v>
          </cell>
          <cell r="L2516">
            <v>0</v>
          </cell>
          <cell r="N2516">
            <v>0</v>
          </cell>
          <cell r="O2516" t="str">
            <v>[No Vendor]</v>
          </cell>
        </row>
        <row r="2517">
          <cell r="D2517">
            <v>108152.36</v>
          </cell>
          <cell r="H2517">
            <v>45444</v>
          </cell>
          <cell r="I2517" t="str">
            <v>4062 - Sales Discount - Ecomm (US)</v>
          </cell>
          <cell r="J2517" t="str">
            <v>Ecommerce (US)</v>
          </cell>
          <cell r="K2517" t="str">
            <v>Ecommerce</v>
          </cell>
          <cell r="L2517" t="str">
            <v>Ecommerce (US)</v>
          </cell>
          <cell r="N2517" t="str">
            <v>Revenue</v>
          </cell>
          <cell r="O2517" t="str">
            <v>[No Vendor]</v>
          </cell>
        </row>
        <row r="2518">
          <cell r="D2518">
            <v>0</v>
          </cell>
          <cell r="H2518">
            <v>45444</v>
          </cell>
          <cell r="I2518" t="str">
            <v>4062 - Sales Discount - Ecomm (US)</v>
          </cell>
          <cell r="J2518" t="str">
            <v>Ecommerce (US)</v>
          </cell>
          <cell r="K2518" t="str">
            <v>Ecommerce</v>
          </cell>
          <cell r="L2518" t="str">
            <v>Ecommerce (US)</v>
          </cell>
          <cell r="N2518" t="str">
            <v>Revenue</v>
          </cell>
          <cell r="O2518" t="str">
            <v>[No Vendor]</v>
          </cell>
        </row>
        <row r="2519">
          <cell r="D2519">
            <v>1954.72</v>
          </cell>
          <cell r="H2519">
            <v>45444</v>
          </cell>
          <cell r="I2519" t="str">
            <v>7130 - License Agreements &amp; Other Intangibles</v>
          </cell>
          <cell r="J2519">
            <v>0</v>
          </cell>
          <cell r="K2519" t="str">
            <v>Administration</v>
          </cell>
          <cell r="L2519" t="str">
            <v>Depreciation &amp; Amortization</v>
          </cell>
          <cell r="N2519" t="str">
            <v>SG&amp;A</v>
          </cell>
          <cell r="O2519" t="str">
            <v>[No Vendor]</v>
          </cell>
        </row>
        <row r="2520">
          <cell r="D2520">
            <v>-5554.79</v>
          </cell>
          <cell r="H2520">
            <v>45444</v>
          </cell>
          <cell r="I2520" t="str">
            <v>4900 - Interco Royalty Revenue</v>
          </cell>
          <cell r="J2520">
            <v>0</v>
          </cell>
          <cell r="K2520" t="str">
            <v>Licensing</v>
          </cell>
          <cell r="L2520">
            <v>0</v>
          </cell>
          <cell r="N2520">
            <v>0</v>
          </cell>
          <cell r="O2520" t="str">
            <v>[No Vendor]</v>
          </cell>
        </row>
        <row r="2521">
          <cell r="D2521">
            <v>13.65</v>
          </cell>
          <cell r="H2521">
            <v>45444</v>
          </cell>
          <cell r="I2521" t="str">
            <v>6393 - Software</v>
          </cell>
          <cell r="J2521">
            <v>0</v>
          </cell>
          <cell r="K2521" t="str">
            <v>Administration</v>
          </cell>
          <cell r="L2521" t="str">
            <v>Professional Service</v>
          </cell>
          <cell r="N2521" t="str">
            <v>Direct Costs</v>
          </cell>
          <cell r="O2521" t="str">
            <v>[No Vendor]</v>
          </cell>
        </row>
        <row r="2522">
          <cell r="D2522">
            <v>1302.44</v>
          </cell>
          <cell r="H2522">
            <v>45444</v>
          </cell>
          <cell r="I2522" t="str">
            <v>6393 - Software</v>
          </cell>
          <cell r="J2522">
            <v>0</v>
          </cell>
          <cell r="K2522" t="str">
            <v>Administration</v>
          </cell>
          <cell r="L2522" t="str">
            <v>Professional Service</v>
          </cell>
          <cell r="N2522" t="str">
            <v>Direct Costs</v>
          </cell>
          <cell r="O2522" t="str">
            <v>[No Vendor]</v>
          </cell>
        </row>
        <row r="2523">
          <cell r="D2523">
            <v>2268.23</v>
          </cell>
          <cell r="H2523">
            <v>45444</v>
          </cell>
          <cell r="I2523" t="str">
            <v>6393 - Software</v>
          </cell>
          <cell r="J2523">
            <v>0</v>
          </cell>
          <cell r="K2523" t="str">
            <v>Brand Marketing</v>
          </cell>
          <cell r="L2523" t="str">
            <v>Professional Service</v>
          </cell>
          <cell r="N2523" t="str">
            <v>Direct Costs</v>
          </cell>
          <cell r="O2523" t="str">
            <v>[No Vendor]</v>
          </cell>
        </row>
        <row r="2524">
          <cell r="D2524">
            <v>458.33</v>
          </cell>
          <cell r="H2524">
            <v>45444</v>
          </cell>
          <cell r="I2524" t="str">
            <v>6393 - Software</v>
          </cell>
          <cell r="J2524" t="str">
            <v>Wholesale</v>
          </cell>
          <cell r="K2524" t="str">
            <v>Wholesale</v>
          </cell>
          <cell r="L2524" t="str">
            <v>Professional Service</v>
          </cell>
          <cell r="N2524" t="str">
            <v>Direct Costs</v>
          </cell>
          <cell r="O2524" t="str">
            <v>[No Vendor]</v>
          </cell>
        </row>
        <row r="2525">
          <cell r="D2525">
            <v>2198.19</v>
          </cell>
          <cell r="H2525">
            <v>45444</v>
          </cell>
          <cell r="I2525" t="str">
            <v>6393 - Software</v>
          </cell>
          <cell r="J2525">
            <v>0</v>
          </cell>
          <cell r="K2525" t="str">
            <v>Administration</v>
          </cell>
          <cell r="L2525" t="str">
            <v>Professional Service</v>
          </cell>
          <cell r="N2525" t="str">
            <v>Direct Costs</v>
          </cell>
          <cell r="O2525" t="str">
            <v>Oracle Netsuite</v>
          </cell>
        </row>
        <row r="2526">
          <cell r="D2526">
            <v>3200.71</v>
          </cell>
          <cell r="H2526">
            <v>45444</v>
          </cell>
          <cell r="I2526" t="str">
            <v>6393 - Software</v>
          </cell>
          <cell r="J2526">
            <v>0</v>
          </cell>
          <cell r="K2526" t="str">
            <v>Administration</v>
          </cell>
          <cell r="L2526" t="str">
            <v>Professional Service</v>
          </cell>
          <cell r="N2526" t="str">
            <v>Direct Costs</v>
          </cell>
          <cell r="O2526" t="str">
            <v>[No Vendor]</v>
          </cell>
        </row>
        <row r="2527">
          <cell r="D2527">
            <v>36250</v>
          </cell>
          <cell r="H2527">
            <v>45444</v>
          </cell>
          <cell r="I2527" t="str">
            <v>6240 - Product Photography</v>
          </cell>
          <cell r="J2527">
            <v>0</v>
          </cell>
          <cell r="K2527" t="str">
            <v>Brand Marketing</v>
          </cell>
          <cell r="L2527" t="str">
            <v>Advertising</v>
          </cell>
          <cell r="N2527" t="str">
            <v>SG&amp;A</v>
          </cell>
          <cell r="O2527" t="str">
            <v>[No Vendor]</v>
          </cell>
        </row>
        <row r="2528">
          <cell r="D2528">
            <v>2693.74</v>
          </cell>
          <cell r="H2528">
            <v>45444</v>
          </cell>
          <cell r="I2528" t="str">
            <v>6289 - Seeding / Product Placement</v>
          </cell>
          <cell r="J2528">
            <v>0</v>
          </cell>
          <cell r="K2528" t="str">
            <v>Brand Marketing</v>
          </cell>
          <cell r="L2528" t="str">
            <v>Advertising</v>
          </cell>
          <cell r="N2528" t="str">
            <v>SG&amp;A</v>
          </cell>
          <cell r="O2528" t="str">
            <v>[No Vendor]</v>
          </cell>
        </row>
        <row r="2529">
          <cell r="D2529">
            <v>-2693.74</v>
          </cell>
          <cell r="H2529">
            <v>45444</v>
          </cell>
          <cell r="I2529" t="str">
            <v>6289 - Seeding / Product Placement</v>
          </cell>
          <cell r="J2529">
            <v>0</v>
          </cell>
          <cell r="K2529" t="str">
            <v>Brand Marketing</v>
          </cell>
          <cell r="L2529" t="str">
            <v>Advertising</v>
          </cell>
          <cell r="N2529" t="str">
            <v>SG&amp;A</v>
          </cell>
          <cell r="O2529" t="str">
            <v>[No Vendor]</v>
          </cell>
        </row>
        <row r="2530">
          <cell r="D2530">
            <v>4119.25</v>
          </cell>
          <cell r="H2530">
            <v>45444</v>
          </cell>
          <cell r="I2530" t="str">
            <v>6289 - Seeding / Product Placement</v>
          </cell>
          <cell r="J2530">
            <v>0</v>
          </cell>
          <cell r="K2530" t="str">
            <v>Brand Marketing</v>
          </cell>
          <cell r="L2530" t="str">
            <v>Advertising</v>
          </cell>
          <cell r="N2530" t="str">
            <v>SG&amp;A</v>
          </cell>
          <cell r="O2530" t="str">
            <v>[No Vendor]</v>
          </cell>
        </row>
        <row r="2531">
          <cell r="D2531">
            <v>0</v>
          </cell>
          <cell r="H2531">
            <v>45444</v>
          </cell>
          <cell r="I2531" t="str">
            <v>6205 - Contractors</v>
          </cell>
          <cell r="J2531">
            <v>0</v>
          </cell>
          <cell r="K2531" t="str">
            <v>Brand Marketing</v>
          </cell>
          <cell r="L2531" t="str">
            <v>HQ Salaries</v>
          </cell>
          <cell r="N2531" t="str">
            <v>SG&amp;A</v>
          </cell>
          <cell r="O2531" t="str">
            <v>[No Vendor]</v>
          </cell>
        </row>
        <row r="2532">
          <cell r="D2532">
            <v>4905</v>
          </cell>
          <cell r="H2532">
            <v>45444</v>
          </cell>
          <cell r="I2532" t="str">
            <v>6205 - Contractors</v>
          </cell>
          <cell r="J2532" t="str">
            <v>Ecommerce (US)</v>
          </cell>
          <cell r="K2532" t="str">
            <v>Ecommerce</v>
          </cell>
          <cell r="L2532" t="str">
            <v>HQ Salaries</v>
          </cell>
          <cell r="N2532" t="str">
            <v>SG&amp;A</v>
          </cell>
          <cell r="O2532" t="str">
            <v>[No Vendor]</v>
          </cell>
        </row>
        <row r="2533">
          <cell r="D2533">
            <v>-7500</v>
          </cell>
          <cell r="H2533">
            <v>45444</v>
          </cell>
          <cell r="I2533" t="str">
            <v>6205 - Contractors</v>
          </cell>
          <cell r="J2533">
            <v>0</v>
          </cell>
          <cell r="K2533" t="str">
            <v>Production</v>
          </cell>
          <cell r="L2533" t="str">
            <v>HQ Salaries</v>
          </cell>
          <cell r="N2533" t="str">
            <v>SG&amp;A</v>
          </cell>
          <cell r="O2533" t="str">
            <v>Philip Yau</v>
          </cell>
        </row>
        <row r="2534">
          <cell r="D2534">
            <v>457.55</v>
          </cell>
          <cell r="H2534">
            <v>45444</v>
          </cell>
          <cell r="I2534" t="str">
            <v>6370 - Samples</v>
          </cell>
          <cell r="J2534">
            <v>0</v>
          </cell>
          <cell r="K2534" t="str">
            <v>Production</v>
          </cell>
          <cell r="L2534" t="str">
            <v>Sample</v>
          </cell>
          <cell r="N2534" t="str">
            <v>SG&amp;A</v>
          </cell>
          <cell r="O2534" t="str">
            <v>[No Vendor]</v>
          </cell>
        </row>
        <row r="2535">
          <cell r="D2535">
            <v>1075.82</v>
          </cell>
          <cell r="H2535">
            <v>45444</v>
          </cell>
          <cell r="I2535" t="str">
            <v>6370 - Samples</v>
          </cell>
          <cell r="J2535">
            <v>0</v>
          </cell>
          <cell r="K2535" t="str">
            <v>Production</v>
          </cell>
          <cell r="L2535" t="str">
            <v>Sample</v>
          </cell>
          <cell r="N2535" t="str">
            <v>SG&amp;A</v>
          </cell>
          <cell r="O2535" t="str">
            <v>[No Vendor]</v>
          </cell>
        </row>
        <row r="2536">
          <cell r="D2536">
            <v>4261.28</v>
          </cell>
          <cell r="H2536">
            <v>45444</v>
          </cell>
          <cell r="I2536" t="str">
            <v>6020 - Bonus</v>
          </cell>
          <cell r="J2536">
            <v>0</v>
          </cell>
          <cell r="K2536" t="str">
            <v>Executive</v>
          </cell>
          <cell r="L2536" t="str">
            <v>HQ Salaries</v>
          </cell>
          <cell r="N2536" t="str">
            <v>SG&amp;A</v>
          </cell>
          <cell r="O2536" t="str">
            <v>[No Vendor]</v>
          </cell>
        </row>
        <row r="2537">
          <cell r="D2537">
            <v>3843.71</v>
          </cell>
          <cell r="H2537">
            <v>45444</v>
          </cell>
          <cell r="I2537" t="str">
            <v>6020 - Bonus</v>
          </cell>
          <cell r="J2537" t="str">
            <v>Wholesale</v>
          </cell>
          <cell r="K2537" t="str">
            <v>Wholesale</v>
          </cell>
          <cell r="L2537" t="str">
            <v>HQ Salaries</v>
          </cell>
          <cell r="N2537" t="str">
            <v>SG&amp;A</v>
          </cell>
          <cell r="O2537" t="str">
            <v>[No Vendor]</v>
          </cell>
        </row>
        <row r="2538">
          <cell r="D2538">
            <v>6338.75</v>
          </cell>
          <cell r="H2538">
            <v>45444</v>
          </cell>
          <cell r="I2538" t="str">
            <v>6020 - Bonus</v>
          </cell>
          <cell r="J2538">
            <v>0</v>
          </cell>
          <cell r="K2538" t="str">
            <v>Production</v>
          </cell>
          <cell r="L2538" t="str">
            <v>HQ Salaries</v>
          </cell>
          <cell r="N2538" t="str">
            <v>SG&amp;A</v>
          </cell>
          <cell r="O2538" t="str">
            <v>[No Vendor]</v>
          </cell>
        </row>
        <row r="2539">
          <cell r="D2539">
            <v>1406.25</v>
          </cell>
          <cell r="H2539">
            <v>45444</v>
          </cell>
          <cell r="I2539" t="str">
            <v>6020 - Bonus</v>
          </cell>
          <cell r="J2539">
            <v>0</v>
          </cell>
          <cell r="K2539" t="str">
            <v>Brand Marketing</v>
          </cell>
          <cell r="L2539" t="str">
            <v>HQ Salaries</v>
          </cell>
          <cell r="N2539" t="str">
            <v>SG&amp;A</v>
          </cell>
          <cell r="O2539" t="str">
            <v>[No Vendor]</v>
          </cell>
        </row>
        <row r="2540">
          <cell r="D2540">
            <v>8393.9500000000007</v>
          </cell>
          <cell r="H2540">
            <v>45444</v>
          </cell>
          <cell r="I2540" t="str">
            <v>6020 - Bonus</v>
          </cell>
          <cell r="J2540" t="str">
            <v>Ecommerce (US)</v>
          </cell>
          <cell r="K2540" t="str">
            <v>Ecommerce</v>
          </cell>
          <cell r="L2540" t="str">
            <v>HQ Salaries</v>
          </cell>
          <cell r="N2540" t="str">
            <v>SG&amp;A</v>
          </cell>
          <cell r="O2540" t="str">
            <v>[No Vendor]</v>
          </cell>
        </row>
        <row r="2541">
          <cell r="D2541">
            <v>5832.66</v>
          </cell>
          <cell r="H2541">
            <v>45444</v>
          </cell>
          <cell r="I2541" t="str">
            <v>6020 - Bonus</v>
          </cell>
          <cell r="J2541">
            <v>0</v>
          </cell>
          <cell r="K2541" t="str">
            <v>Design</v>
          </cell>
          <cell r="L2541" t="str">
            <v>HQ Salaries</v>
          </cell>
          <cell r="N2541" t="str">
            <v>SG&amp;A</v>
          </cell>
          <cell r="O2541" t="str">
            <v>[No Vendor]</v>
          </cell>
        </row>
        <row r="2542">
          <cell r="D2542">
            <v>1256.29</v>
          </cell>
          <cell r="H2542">
            <v>45444</v>
          </cell>
          <cell r="I2542" t="str">
            <v>6020 - Bonus</v>
          </cell>
          <cell r="J2542">
            <v>0</v>
          </cell>
          <cell r="K2542" t="str">
            <v>Merchandising</v>
          </cell>
          <cell r="L2542" t="str">
            <v>HQ Salaries</v>
          </cell>
          <cell r="N2542" t="str">
            <v>SG&amp;A</v>
          </cell>
          <cell r="O2542" t="str">
            <v>[No Vendor]</v>
          </cell>
        </row>
        <row r="2543">
          <cell r="D2543">
            <v>7604.61</v>
          </cell>
          <cell r="H2543">
            <v>45444</v>
          </cell>
          <cell r="I2543" t="str">
            <v>6020 - Bonus</v>
          </cell>
          <cell r="J2543">
            <v>0</v>
          </cell>
          <cell r="K2543" t="str">
            <v>Administration</v>
          </cell>
          <cell r="L2543" t="str">
            <v>HQ Salaries</v>
          </cell>
          <cell r="N2543" t="str">
            <v>SG&amp;A</v>
          </cell>
          <cell r="O2543" t="str">
            <v>[No Vendor]</v>
          </cell>
        </row>
        <row r="2544">
          <cell r="D2544">
            <v>-2.2000000000000002</v>
          </cell>
          <cell r="H2544">
            <v>45444</v>
          </cell>
          <cell r="I2544" t="str">
            <v>6450 - Bank &amp; Other Fees</v>
          </cell>
          <cell r="J2544" t="str">
            <v>Ecommerce (US)</v>
          </cell>
          <cell r="K2544" t="str">
            <v>Ecommerce</v>
          </cell>
          <cell r="L2544" t="str">
            <v>Professional Service</v>
          </cell>
          <cell r="N2544" t="str">
            <v>Direct Costs</v>
          </cell>
          <cell r="O2544" t="str">
            <v>[No Vendor]</v>
          </cell>
        </row>
        <row r="2545">
          <cell r="D2545">
            <v>2673.39</v>
          </cell>
          <cell r="H2545">
            <v>45444</v>
          </cell>
          <cell r="I2545" t="str">
            <v>6450 - Bank &amp; Other Fees</v>
          </cell>
          <cell r="J2545" t="str">
            <v>Ecommerce (EU)</v>
          </cell>
          <cell r="K2545" t="str">
            <v>Ecommerce</v>
          </cell>
          <cell r="L2545" t="str">
            <v>Professional Service</v>
          </cell>
          <cell r="N2545" t="str">
            <v>Direct Costs</v>
          </cell>
          <cell r="O2545" t="str">
            <v>[No Vendor]</v>
          </cell>
        </row>
        <row r="2546">
          <cell r="D2546">
            <v>7223.26</v>
          </cell>
          <cell r="H2546">
            <v>45444</v>
          </cell>
          <cell r="I2546" t="str">
            <v>6450 - Bank &amp; Other Fees</v>
          </cell>
          <cell r="J2546" t="str">
            <v>Ecommerce (US)</v>
          </cell>
          <cell r="K2546" t="str">
            <v>Ecommerce</v>
          </cell>
          <cell r="L2546" t="str">
            <v>Professional Service</v>
          </cell>
          <cell r="N2546" t="str">
            <v>Direct Costs</v>
          </cell>
          <cell r="O2546" t="str">
            <v>[No Vendor]</v>
          </cell>
        </row>
        <row r="2547">
          <cell r="D2547">
            <v>34397.49</v>
          </cell>
          <cell r="H2547">
            <v>45444</v>
          </cell>
          <cell r="I2547" t="str">
            <v>6450 - Bank &amp; Other Fees</v>
          </cell>
          <cell r="J2547" t="str">
            <v>Ecommerce (US)</v>
          </cell>
          <cell r="K2547" t="str">
            <v>Ecommerce</v>
          </cell>
          <cell r="L2547" t="str">
            <v>Professional Service</v>
          </cell>
          <cell r="N2547" t="str">
            <v>Direct Costs</v>
          </cell>
          <cell r="O2547" t="str">
            <v>Shopify</v>
          </cell>
        </row>
        <row r="2548">
          <cell r="D2548">
            <v>12.42</v>
          </cell>
          <cell r="H2548">
            <v>45444</v>
          </cell>
          <cell r="I2548" t="str">
            <v>6430 - Dues &amp; Memberships</v>
          </cell>
          <cell r="J2548">
            <v>0</v>
          </cell>
          <cell r="K2548" t="str">
            <v>Brand Marketing</v>
          </cell>
          <cell r="L2548" t="str">
            <v>Professional Service</v>
          </cell>
          <cell r="N2548" t="str">
            <v>Direct Costs</v>
          </cell>
          <cell r="O2548" t="str">
            <v>[No Vendor]</v>
          </cell>
        </row>
        <row r="2549">
          <cell r="D2549">
            <v>28.5</v>
          </cell>
          <cell r="H2549">
            <v>45444</v>
          </cell>
          <cell r="I2549" t="str">
            <v>6430 - Dues &amp; Memberships</v>
          </cell>
          <cell r="J2549">
            <v>0</v>
          </cell>
          <cell r="K2549" t="str">
            <v>Brand Marketing</v>
          </cell>
          <cell r="L2549" t="str">
            <v>Professional Service</v>
          </cell>
          <cell r="N2549" t="str">
            <v>Direct Costs</v>
          </cell>
          <cell r="O2549" t="str">
            <v>[No Vendor]</v>
          </cell>
        </row>
        <row r="2550">
          <cell r="D2550">
            <v>-606</v>
          </cell>
          <cell r="H2550">
            <v>45444</v>
          </cell>
          <cell r="I2550" t="str">
            <v>6410 - Lease Expense</v>
          </cell>
          <cell r="J2550">
            <v>0</v>
          </cell>
          <cell r="K2550" t="str">
            <v>Administration</v>
          </cell>
          <cell r="L2550" t="str">
            <v>Rent</v>
          </cell>
          <cell r="N2550" t="str">
            <v>SG&amp;A</v>
          </cell>
          <cell r="O2550" t="str">
            <v>[No Vendor]</v>
          </cell>
        </row>
        <row r="2551">
          <cell r="D2551">
            <v>-10.210000000000001</v>
          </cell>
          <cell r="H2551">
            <v>45444</v>
          </cell>
          <cell r="I2551" t="str">
            <v>6385 - Insurance</v>
          </cell>
          <cell r="J2551">
            <v>0</v>
          </cell>
          <cell r="K2551" t="str">
            <v>Administration</v>
          </cell>
          <cell r="L2551" t="str">
            <v>Professional Service</v>
          </cell>
          <cell r="N2551" t="str">
            <v>SG&amp;A</v>
          </cell>
          <cell r="O2551" t="str">
            <v>[No Vendor]</v>
          </cell>
        </row>
        <row r="2552">
          <cell r="D2552">
            <v>-6.58</v>
          </cell>
          <cell r="H2552">
            <v>45444</v>
          </cell>
          <cell r="I2552" t="str">
            <v>6385 - Insurance</v>
          </cell>
          <cell r="J2552">
            <v>0</v>
          </cell>
          <cell r="K2552" t="str">
            <v>Administration</v>
          </cell>
          <cell r="L2552" t="str">
            <v>Professional Service</v>
          </cell>
          <cell r="N2552" t="str">
            <v>SG&amp;A</v>
          </cell>
          <cell r="O2552" t="str">
            <v>[No Vendor]</v>
          </cell>
        </row>
        <row r="2553">
          <cell r="D2553">
            <v>-24.11</v>
          </cell>
          <cell r="H2553">
            <v>45444</v>
          </cell>
          <cell r="I2553" t="str">
            <v>6385 - Insurance</v>
          </cell>
          <cell r="J2553">
            <v>0</v>
          </cell>
          <cell r="K2553" t="str">
            <v>Administration</v>
          </cell>
          <cell r="L2553" t="str">
            <v>Professional Service</v>
          </cell>
          <cell r="N2553" t="str">
            <v>SG&amp;A</v>
          </cell>
          <cell r="O2553" t="str">
            <v>[No Vendor]</v>
          </cell>
        </row>
        <row r="2554">
          <cell r="D2554">
            <v>-6.7</v>
          </cell>
          <cell r="H2554">
            <v>45444</v>
          </cell>
          <cell r="I2554" t="str">
            <v>6385 - Insurance</v>
          </cell>
          <cell r="J2554">
            <v>0</v>
          </cell>
          <cell r="K2554" t="str">
            <v>Administration</v>
          </cell>
          <cell r="L2554" t="str">
            <v>Professional Service</v>
          </cell>
          <cell r="N2554" t="str">
            <v>SG&amp;A</v>
          </cell>
          <cell r="O2554" t="str">
            <v>[No Vendor]</v>
          </cell>
        </row>
        <row r="2555">
          <cell r="D2555">
            <v>-20.84</v>
          </cell>
          <cell r="H2555">
            <v>45444</v>
          </cell>
          <cell r="I2555" t="str">
            <v>6385 - Insurance</v>
          </cell>
          <cell r="J2555">
            <v>0</v>
          </cell>
          <cell r="K2555" t="str">
            <v>Administration</v>
          </cell>
          <cell r="L2555" t="str">
            <v>Professional Service</v>
          </cell>
          <cell r="N2555" t="str">
            <v>SG&amp;A</v>
          </cell>
          <cell r="O2555" t="str">
            <v>[No Vendor]</v>
          </cell>
        </row>
        <row r="2556">
          <cell r="D2556">
            <v>-29.74</v>
          </cell>
          <cell r="H2556">
            <v>45444</v>
          </cell>
          <cell r="I2556" t="str">
            <v>6385 - Insurance</v>
          </cell>
          <cell r="J2556">
            <v>0</v>
          </cell>
          <cell r="K2556" t="str">
            <v>Administration</v>
          </cell>
          <cell r="L2556" t="str">
            <v>Professional Service</v>
          </cell>
          <cell r="N2556" t="str">
            <v>SG&amp;A</v>
          </cell>
          <cell r="O2556" t="str">
            <v>[No Vendor]</v>
          </cell>
        </row>
        <row r="2557">
          <cell r="D2557">
            <v>-12.94</v>
          </cell>
          <cell r="H2557">
            <v>45444</v>
          </cell>
          <cell r="I2557" t="str">
            <v>6385 - Insurance</v>
          </cell>
          <cell r="J2557">
            <v>0</v>
          </cell>
          <cell r="K2557" t="str">
            <v>Administration</v>
          </cell>
          <cell r="L2557" t="str">
            <v>Professional Service</v>
          </cell>
          <cell r="N2557" t="str">
            <v>SG&amp;A</v>
          </cell>
          <cell r="O2557" t="str">
            <v>[No Vendor]</v>
          </cell>
        </row>
        <row r="2558">
          <cell r="D2558">
            <v>947.78</v>
          </cell>
          <cell r="H2558">
            <v>45444</v>
          </cell>
          <cell r="I2558" t="str">
            <v>6385 - Insurance</v>
          </cell>
          <cell r="J2558">
            <v>0</v>
          </cell>
          <cell r="K2558" t="str">
            <v>Administration</v>
          </cell>
          <cell r="L2558" t="str">
            <v>Professional Service</v>
          </cell>
          <cell r="N2558" t="str">
            <v>SG&amp;A</v>
          </cell>
          <cell r="O2558" t="str">
            <v>[No Vendor]</v>
          </cell>
        </row>
        <row r="2559">
          <cell r="D2559">
            <v>534.82000000000005</v>
          </cell>
          <cell r="H2559">
            <v>45444</v>
          </cell>
          <cell r="I2559" t="str">
            <v>6400 - Utilities</v>
          </cell>
          <cell r="J2559">
            <v>0</v>
          </cell>
          <cell r="K2559" t="str">
            <v>Administration</v>
          </cell>
          <cell r="L2559" t="str">
            <v>Other</v>
          </cell>
          <cell r="N2559" t="str">
            <v>SG&amp;A</v>
          </cell>
          <cell r="O2559" t="str">
            <v>[No Vendor]</v>
          </cell>
        </row>
        <row r="2560">
          <cell r="D2560">
            <v>17.45</v>
          </cell>
          <cell r="H2560">
            <v>45444</v>
          </cell>
          <cell r="I2560" t="str">
            <v>7060 - Information Technology &amp; Software</v>
          </cell>
          <cell r="J2560" t="str">
            <v>Wholesale</v>
          </cell>
          <cell r="K2560" t="str">
            <v>Wholesale</v>
          </cell>
          <cell r="L2560" t="str">
            <v>Depreciation &amp; Amortization</v>
          </cell>
          <cell r="N2560" t="str">
            <v>SG&amp;A</v>
          </cell>
          <cell r="O2560" t="str">
            <v>[No Vendor]</v>
          </cell>
        </row>
        <row r="2561">
          <cell r="D2561">
            <v>105</v>
          </cell>
          <cell r="H2561">
            <v>45444</v>
          </cell>
          <cell r="I2561" t="str">
            <v>7060 - Information Technology &amp; Software</v>
          </cell>
          <cell r="J2561" t="str">
            <v>Ecommerce (US)</v>
          </cell>
          <cell r="K2561" t="str">
            <v>Ecommerce</v>
          </cell>
          <cell r="L2561" t="str">
            <v>Depreciation &amp; Amortization</v>
          </cell>
          <cell r="N2561" t="str">
            <v>SG&amp;A</v>
          </cell>
          <cell r="O2561" t="str">
            <v>[No Vendor]</v>
          </cell>
        </row>
        <row r="2562">
          <cell r="D2562">
            <v>64.48</v>
          </cell>
          <cell r="H2562">
            <v>45444</v>
          </cell>
          <cell r="I2562" t="str">
            <v>7060 - Information Technology &amp; Software</v>
          </cell>
          <cell r="J2562">
            <v>0</v>
          </cell>
          <cell r="K2562" t="str">
            <v>Production</v>
          </cell>
          <cell r="L2562" t="str">
            <v>Depreciation &amp; Amortization</v>
          </cell>
          <cell r="N2562" t="str">
            <v>SG&amp;A</v>
          </cell>
          <cell r="O2562" t="str">
            <v>[No Vendor]</v>
          </cell>
        </row>
        <row r="2563">
          <cell r="D2563">
            <v>179.49</v>
          </cell>
          <cell r="H2563">
            <v>45444</v>
          </cell>
          <cell r="I2563" t="str">
            <v>7060 - Information Technology &amp; Software</v>
          </cell>
          <cell r="J2563">
            <v>0</v>
          </cell>
          <cell r="K2563" t="str">
            <v>Design</v>
          </cell>
          <cell r="L2563" t="str">
            <v>Depreciation &amp; Amortization</v>
          </cell>
          <cell r="N2563" t="str">
            <v>SG&amp;A</v>
          </cell>
          <cell r="O2563" t="str">
            <v>[No Vendor]</v>
          </cell>
        </row>
        <row r="2564">
          <cell r="D2564">
            <v>65.48</v>
          </cell>
          <cell r="H2564">
            <v>45444</v>
          </cell>
          <cell r="I2564" t="str">
            <v>7060 - Information Technology &amp; Software</v>
          </cell>
          <cell r="J2564">
            <v>0</v>
          </cell>
          <cell r="K2564" t="str">
            <v>Merchandising</v>
          </cell>
          <cell r="L2564" t="str">
            <v>Depreciation &amp; Amortization</v>
          </cell>
          <cell r="N2564" t="str">
            <v>SG&amp;A</v>
          </cell>
          <cell r="O2564" t="str">
            <v>[No Vendor]</v>
          </cell>
        </row>
        <row r="2565">
          <cell r="D2565">
            <v>166.9</v>
          </cell>
          <cell r="H2565">
            <v>45444</v>
          </cell>
          <cell r="I2565" t="str">
            <v>7060 - Information Technology &amp; Software</v>
          </cell>
          <cell r="J2565">
            <v>0</v>
          </cell>
          <cell r="K2565" t="str">
            <v>Brand Marketing</v>
          </cell>
          <cell r="L2565" t="str">
            <v>Depreciation &amp; Amortization</v>
          </cell>
          <cell r="N2565" t="str">
            <v>SG&amp;A</v>
          </cell>
          <cell r="O2565" t="str">
            <v>[No Vendor]</v>
          </cell>
        </row>
        <row r="2566">
          <cell r="D2566">
            <v>830.95</v>
          </cell>
          <cell r="H2566">
            <v>45444</v>
          </cell>
          <cell r="I2566" t="str">
            <v>7060 - Information Technology &amp; Software</v>
          </cell>
          <cell r="J2566">
            <v>0</v>
          </cell>
          <cell r="K2566" t="str">
            <v>Administration</v>
          </cell>
          <cell r="L2566" t="str">
            <v>Depreciation &amp; Amortization</v>
          </cell>
          <cell r="N2566" t="str">
            <v>SG&amp;A</v>
          </cell>
          <cell r="O2566" t="str">
            <v>[No Vendor]</v>
          </cell>
        </row>
        <row r="2567">
          <cell r="D2567">
            <v>-21.2</v>
          </cell>
          <cell r="H2567">
            <v>45444</v>
          </cell>
          <cell r="I2567" t="str">
            <v>7040 - Furniture &amp; Fixtures</v>
          </cell>
          <cell r="J2567" t="str">
            <v>Wholesale</v>
          </cell>
          <cell r="K2567" t="str">
            <v>Wholesale</v>
          </cell>
          <cell r="L2567" t="str">
            <v>Depreciation &amp; Amortization</v>
          </cell>
          <cell r="N2567" t="str">
            <v>SG&amp;A</v>
          </cell>
          <cell r="O2567" t="str">
            <v>[No Vendor]</v>
          </cell>
        </row>
        <row r="2568">
          <cell r="D2568">
            <v>238.77</v>
          </cell>
          <cell r="H2568">
            <v>45444</v>
          </cell>
          <cell r="I2568" t="str">
            <v>7040 - Furniture &amp; Fixtures</v>
          </cell>
          <cell r="J2568" t="str">
            <v>Wholesale</v>
          </cell>
          <cell r="K2568" t="str">
            <v>Wholesale</v>
          </cell>
          <cell r="L2568" t="str">
            <v>Depreciation &amp; Amortization</v>
          </cell>
          <cell r="N2568" t="str">
            <v>SG&amp;A</v>
          </cell>
          <cell r="O2568" t="str">
            <v>[No Vendor]</v>
          </cell>
        </row>
        <row r="2569">
          <cell r="D2569">
            <v>0</v>
          </cell>
          <cell r="H2569">
            <v>45444</v>
          </cell>
          <cell r="I2569" t="str">
            <v>7040 - Furniture &amp; Fixtures</v>
          </cell>
          <cell r="J2569">
            <v>0</v>
          </cell>
          <cell r="K2569" t="str">
            <v>Brand Marketing</v>
          </cell>
          <cell r="L2569" t="str">
            <v>Depreciation &amp; Amortization</v>
          </cell>
          <cell r="N2569" t="str">
            <v>SG&amp;A</v>
          </cell>
          <cell r="O2569" t="str">
            <v>[No Vendor]</v>
          </cell>
        </row>
        <row r="2570">
          <cell r="D2570">
            <v>269.64999999999998</v>
          </cell>
          <cell r="H2570">
            <v>45444</v>
          </cell>
          <cell r="I2570" t="str">
            <v>7040 - Furniture &amp; Fixtures</v>
          </cell>
          <cell r="J2570">
            <v>0</v>
          </cell>
          <cell r="K2570" t="str">
            <v>Administration</v>
          </cell>
          <cell r="L2570" t="str">
            <v>Depreciation &amp; Amortization</v>
          </cell>
          <cell r="N2570" t="str">
            <v>SG&amp;A</v>
          </cell>
          <cell r="O2570" t="str">
            <v>[No Vendor]</v>
          </cell>
        </row>
        <row r="2571">
          <cell r="D2571">
            <v>274.24</v>
          </cell>
          <cell r="H2571">
            <v>45444</v>
          </cell>
          <cell r="I2571" t="str">
            <v>6055 - Employer Social Security Tax Withheld</v>
          </cell>
          <cell r="J2571">
            <v>0</v>
          </cell>
          <cell r="K2571" t="str">
            <v>Merchandising</v>
          </cell>
          <cell r="L2571" t="str">
            <v>HQ Salaries</v>
          </cell>
          <cell r="N2571" t="str">
            <v>SG&amp;A</v>
          </cell>
          <cell r="O2571" t="str">
            <v>[No Vendor]</v>
          </cell>
        </row>
        <row r="2572">
          <cell r="D2572">
            <v>526.07000000000005</v>
          </cell>
          <cell r="H2572">
            <v>45444</v>
          </cell>
          <cell r="I2572" t="str">
            <v>6055 - Employer Social Security Tax Withheld</v>
          </cell>
          <cell r="J2572" t="str">
            <v>Wholesale</v>
          </cell>
          <cell r="K2572" t="str">
            <v>Wholesale</v>
          </cell>
          <cell r="L2572" t="str">
            <v>HQ Salaries</v>
          </cell>
          <cell r="N2572" t="str">
            <v>SG&amp;A</v>
          </cell>
          <cell r="O2572" t="str">
            <v>[No Vendor]</v>
          </cell>
        </row>
        <row r="2573">
          <cell r="D2573">
            <v>1048.72</v>
          </cell>
          <cell r="H2573">
            <v>45444</v>
          </cell>
          <cell r="I2573" t="str">
            <v>6055 - Employer Social Security Tax Withheld</v>
          </cell>
          <cell r="J2573">
            <v>0</v>
          </cell>
          <cell r="K2573" t="str">
            <v>Production</v>
          </cell>
          <cell r="L2573" t="str">
            <v>HQ Salaries</v>
          </cell>
          <cell r="N2573" t="str">
            <v>SG&amp;A</v>
          </cell>
          <cell r="O2573" t="str">
            <v>[No Vendor]</v>
          </cell>
        </row>
        <row r="2574">
          <cell r="D2574">
            <v>173.23</v>
          </cell>
          <cell r="H2574">
            <v>45444</v>
          </cell>
          <cell r="I2574" t="str">
            <v>6055 - Employer Social Security Tax Withheld</v>
          </cell>
          <cell r="J2574">
            <v>0</v>
          </cell>
          <cell r="K2574" t="str">
            <v>Brand Marketing</v>
          </cell>
          <cell r="L2574" t="str">
            <v>HQ Salaries</v>
          </cell>
          <cell r="N2574" t="str">
            <v>SG&amp;A</v>
          </cell>
          <cell r="O2574" t="str">
            <v>[No Vendor]</v>
          </cell>
        </row>
        <row r="2575">
          <cell r="D2575">
            <v>774.73</v>
          </cell>
          <cell r="H2575">
            <v>45444</v>
          </cell>
          <cell r="I2575" t="str">
            <v>6055 - Employer Social Security Tax Withheld</v>
          </cell>
          <cell r="J2575" t="str">
            <v>Ecommerce (US)</v>
          </cell>
          <cell r="K2575" t="str">
            <v>Ecommerce</v>
          </cell>
          <cell r="L2575" t="str">
            <v>HQ Salaries</v>
          </cell>
          <cell r="N2575" t="str">
            <v>SG&amp;A</v>
          </cell>
          <cell r="O2575" t="str">
            <v>[No Vendor]</v>
          </cell>
        </row>
        <row r="2576">
          <cell r="D2576">
            <v>1044.8499999999999</v>
          </cell>
          <cell r="H2576">
            <v>45444</v>
          </cell>
          <cell r="I2576" t="str">
            <v>6055 - Employer Social Security Tax Withheld</v>
          </cell>
          <cell r="J2576">
            <v>0</v>
          </cell>
          <cell r="K2576" t="str">
            <v>Design</v>
          </cell>
          <cell r="L2576" t="str">
            <v>HQ Salaries</v>
          </cell>
          <cell r="N2576" t="str">
            <v>SG&amp;A</v>
          </cell>
          <cell r="O2576" t="str">
            <v>[No Vendor]</v>
          </cell>
        </row>
        <row r="2577">
          <cell r="D2577">
            <v>1039.04</v>
          </cell>
          <cell r="H2577">
            <v>45444</v>
          </cell>
          <cell r="I2577" t="str">
            <v>6055 - Employer Social Security Tax Withheld</v>
          </cell>
          <cell r="J2577">
            <v>0</v>
          </cell>
          <cell r="K2577" t="str">
            <v>Administration</v>
          </cell>
          <cell r="L2577" t="str">
            <v>HQ Salaries</v>
          </cell>
          <cell r="N2577" t="str">
            <v>SG&amp;A</v>
          </cell>
          <cell r="O2577" t="str">
            <v>[No Vendor]</v>
          </cell>
        </row>
        <row r="2578">
          <cell r="D2578">
            <v>-7778.94</v>
          </cell>
          <cell r="H2578">
            <v>45444</v>
          </cell>
          <cell r="I2578" t="str">
            <v>5000 - Cost of Goods Sold</v>
          </cell>
          <cell r="J2578" t="str">
            <v>Ecommerce (EU)</v>
          </cell>
          <cell r="K2578" t="str">
            <v>Ecommerce</v>
          </cell>
          <cell r="L2578" t="str">
            <v>COGS</v>
          </cell>
          <cell r="N2578" t="str">
            <v>COGS</v>
          </cell>
          <cell r="O2578" t="str">
            <v>[No Vendor]</v>
          </cell>
        </row>
        <row r="2579">
          <cell r="D2579">
            <v>31214.61</v>
          </cell>
          <cell r="H2579">
            <v>45444</v>
          </cell>
          <cell r="I2579" t="str">
            <v>5000 - Cost of Goods Sold</v>
          </cell>
          <cell r="J2579" t="str">
            <v>Ecommerce (EU)</v>
          </cell>
          <cell r="K2579" t="str">
            <v>Ecommerce</v>
          </cell>
          <cell r="L2579" t="str">
            <v>COGS</v>
          </cell>
          <cell r="N2579" t="str">
            <v>COGS</v>
          </cell>
          <cell r="O2579" t="str">
            <v>[No Vendor]</v>
          </cell>
        </row>
        <row r="2580">
          <cell r="D2580">
            <v>598.16</v>
          </cell>
          <cell r="H2580">
            <v>45444</v>
          </cell>
          <cell r="I2580" t="str">
            <v>5000 - Cost of Goods Sold</v>
          </cell>
          <cell r="J2580" t="str">
            <v>Wholesale</v>
          </cell>
          <cell r="K2580" t="str">
            <v>Wholesale</v>
          </cell>
          <cell r="L2580" t="str">
            <v>COGS</v>
          </cell>
          <cell r="N2580" t="str">
            <v>COGS</v>
          </cell>
          <cell r="O2580" t="str">
            <v>[No Vendor]</v>
          </cell>
        </row>
        <row r="2581">
          <cell r="D2581">
            <v>-686.99</v>
          </cell>
          <cell r="H2581">
            <v>45444</v>
          </cell>
          <cell r="I2581" t="str">
            <v>5000 - Cost of Goods Sold</v>
          </cell>
          <cell r="J2581" t="str">
            <v>Wholesale</v>
          </cell>
          <cell r="K2581" t="str">
            <v>Wholesale</v>
          </cell>
          <cell r="L2581" t="str">
            <v>COGS</v>
          </cell>
          <cell r="N2581" t="str">
            <v>COGS</v>
          </cell>
          <cell r="O2581" t="str">
            <v>[No Vendor]</v>
          </cell>
        </row>
        <row r="2582">
          <cell r="D2582">
            <v>-3080.96</v>
          </cell>
          <cell r="H2582">
            <v>45444</v>
          </cell>
          <cell r="I2582" t="str">
            <v>5000 - Cost of Goods Sold</v>
          </cell>
          <cell r="J2582" t="str">
            <v>Wholesale</v>
          </cell>
          <cell r="K2582" t="str">
            <v>Wholesale</v>
          </cell>
          <cell r="L2582" t="str">
            <v>COGS</v>
          </cell>
          <cell r="N2582" t="str">
            <v>COGS</v>
          </cell>
          <cell r="O2582" t="str">
            <v>[No Vendor]</v>
          </cell>
        </row>
        <row r="2583">
          <cell r="D2583">
            <v>37143.120000000003</v>
          </cell>
          <cell r="H2583">
            <v>45444</v>
          </cell>
          <cell r="I2583" t="str">
            <v>5000 - Cost of Goods Sold</v>
          </cell>
          <cell r="J2583" t="str">
            <v>Wholesale</v>
          </cell>
          <cell r="K2583" t="str">
            <v>Wholesale</v>
          </cell>
          <cell r="L2583" t="str">
            <v>COGS</v>
          </cell>
          <cell r="N2583" t="str">
            <v>COGS</v>
          </cell>
          <cell r="O2583" t="str">
            <v>[No Vendor]</v>
          </cell>
        </row>
        <row r="2584">
          <cell r="D2584">
            <v>-99363.06</v>
          </cell>
          <cell r="H2584">
            <v>45444</v>
          </cell>
          <cell r="I2584" t="str">
            <v>5000 - Cost of Goods Sold</v>
          </cell>
          <cell r="J2584" t="str">
            <v>Ecommerce (US)</v>
          </cell>
          <cell r="K2584" t="str">
            <v>Ecommerce</v>
          </cell>
          <cell r="L2584" t="str">
            <v>COGS</v>
          </cell>
          <cell r="N2584" t="str">
            <v>COGS</v>
          </cell>
          <cell r="O2584" t="str">
            <v>[No Vendor]</v>
          </cell>
        </row>
        <row r="2585">
          <cell r="D2585">
            <v>354912.28</v>
          </cell>
          <cell r="H2585">
            <v>45444</v>
          </cell>
          <cell r="I2585" t="str">
            <v>5000 - Cost of Goods Sold</v>
          </cell>
          <cell r="J2585" t="str">
            <v>Ecommerce (US)</v>
          </cell>
          <cell r="K2585" t="str">
            <v>Ecommerce</v>
          </cell>
          <cell r="L2585" t="str">
            <v>COGS</v>
          </cell>
          <cell r="N2585" t="str">
            <v>COGS</v>
          </cell>
          <cell r="O2585" t="str">
            <v>[No Vendor]</v>
          </cell>
        </row>
        <row r="2586">
          <cell r="D2586">
            <v>13024.14</v>
          </cell>
          <cell r="H2586">
            <v>45444</v>
          </cell>
          <cell r="I2586" t="str">
            <v>5000 - Cost of Goods Sold</v>
          </cell>
          <cell r="J2586" t="str">
            <v>Ecommerce (US)</v>
          </cell>
          <cell r="K2586" t="str">
            <v>Ecommerce</v>
          </cell>
          <cell r="L2586" t="str">
            <v>COGS</v>
          </cell>
          <cell r="N2586" t="str">
            <v>COGS</v>
          </cell>
          <cell r="O2586" t="str">
            <v>[No Vendor]</v>
          </cell>
        </row>
        <row r="2587">
          <cell r="D2587">
            <v>20415</v>
          </cell>
          <cell r="H2587">
            <v>45444</v>
          </cell>
          <cell r="I2587" t="str">
            <v>8600 - Income Tax Expense</v>
          </cell>
          <cell r="J2587">
            <v>0</v>
          </cell>
          <cell r="K2587" t="str">
            <v>Administration</v>
          </cell>
          <cell r="L2587" t="str">
            <v>Tax</v>
          </cell>
          <cell r="N2587" t="str">
            <v>BTL</v>
          </cell>
          <cell r="O2587" t="str">
            <v>[No Vendor]</v>
          </cell>
        </row>
        <row r="2588">
          <cell r="D2588">
            <v>14745.21</v>
          </cell>
          <cell r="H2588">
            <v>45444</v>
          </cell>
          <cell r="I2588" t="str">
            <v>6487 - Interest Expense</v>
          </cell>
          <cell r="J2588">
            <v>0</v>
          </cell>
          <cell r="K2588" t="str">
            <v>Administration</v>
          </cell>
          <cell r="L2588" t="str">
            <v>Interest</v>
          </cell>
          <cell r="N2588" t="str">
            <v>BTL</v>
          </cell>
          <cell r="O2588" t="str">
            <v>[No Vendor]</v>
          </cell>
        </row>
        <row r="2589">
          <cell r="D2589">
            <v>5671.23</v>
          </cell>
          <cell r="H2589">
            <v>45444</v>
          </cell>
          <cell r="I2589" t="str">
            <v>6487 - Interest Expense</v>
          </cell>
          <cell r="J2589">
            <v>0</v>
          </cell>
          <cell r="K2589" t="str">
            <v>Administration</v>
          </cell>
          <cell r="L2589" t="str">
            <v>Interest</v>
          </cell>
          <cell r="N2589" t="str">
            <v>BTL</v>
          </cell>
          <cell r="O2589" t="str">
            <v>[No Vendor]</v>
          </cell>
        </row>
        <row r="2590">
          <cell r="D2590">
            <v>4158.8999999999996</v>
          </cell>
          <cell r="H2590">
            <v>45444</v>
          </cell>
          <cell r="I2590" t="str">
            <v>6487 - Interest Expense</v>
          </cell>
          <cell r="J2590">
            <v>0</v>
          </cell>
          <cell r="K2590" t="str">
            <v>Administration</v>
          </cell>
          <cell r="L2590" t="str">
            <v>Interest</v>
          </cell>
          <cell r="N2590" t="str">
            <v>BTL</v>
          </cell>
          <cell r="O2590" t="str">
            <v>[No Vendor]</v>
          </cell>
        </row>
        <row r="2591">
          <cell r="D2591">
            <v>46.78</v>
          </cell>
          <cell r="H2591">
            <v>45444</v>
          </cell>
          <cell r="I2591" t="str">
            <v>6487 - Interest Expense</v>
          </cell>
          <cell r="J2591">
            <v>0</v>
          </cell>
          <cell r="K2591" t="str">
            <v>Administration</v>
          </cell>
          <cell r="L2591" t="str">
            <v>Interest</v>
          </cell>
          <cell r="N2591" t="str">
            <v>BTL</v>
          </cell>
          <cell r="O2591" t="str">
            <v>[No Vendor]</v>
          </cell>
        </row>
        <row r="2592">
          <cell r="D2592">
            <v>9411.09</v>
          </cell>
          <cell r="H2592">
            <v>45444</v>
          </cell>
          <cell r="I2592" t="str">
            <v>6487 - Interest Expense</v>
          </cell>
          <cell r="J2592">
            <v>0</v>
          </cell>
          <cell r="K2592" t="str">
            <v>Administration</v>
          </cell>
          <cell r="L2592" t="str">
            <v>Interest</v>
          </cell>
          <cell r="N2592" t="str">
            <v>BTL</v>
          </cell>
          <cell r="O2592" t="str">
            <v>[No Vendor]</v>
          </cell>
        </row>
        <row r="2593">
          <cell r="D2593">
            <v>20813</v>
          </cell>
          <cell r="H2593">
            <v>45444</v>
          </cell>
          <cell r="I2593" t="str">
            <v>6440 - Bad Debt Expenses</v>
          </cell>
          <cell r="J2593">
            <v>0</v>
          </cell>
          <cell r="K2593" t="str">
            <v>Licensing</v>
          </cell>
          <cell r="L2593" t="str">
            <v>Other</v>
          </cell>
          <cell r="N2593" t="str">
            <v>SG&amp;A</v>
          </cell>
          <cell r="O2593" t="str">
            <v>[No Vendor]</v>
          </cell>
        </row>
        <row r="2594">
          <cell r="D2594">
            <v>2721.88</v>
          </cell>
          <cell r="H2594">
            <v>45444</v>
          </cell>
          <cell r="I2594" t="str">
            <v>6420 - Licenses &amp; Membership</v>
          </cell>
          <cell r="J2594">
            <v>0</v>
          </cell>
          <cell r="K2594" t="str">
            <v>Administration</v>
          </cell>
          <cell r="L2594" t="str">
            <v>Professional Service</v>
          </cell>
          <cell r="N2594" t="str">
            <v>Direct Costs</v>
          </cell>
          <cell r="O2594" t="str">
            <v>Apparel Magic</v>
          </cell>
        </row>
        <row r="2595">
          <cell r="D2595">
            <v>175</v>
          </cell>
          <cell r="H2595">
            <v>45444</v>
          </cell>
          <cell r="I2595" t="str">
            <v>6420 - Licenses &amp; Membership</v>
          </cell>
          <cell r="J2595">
            <v>0</v>
          </cell>
          <cell r="K2595" t="str">
            <v>Production</v>
          </cell>
          <cell r="L2595" t="str">
            <v>Professional Service</v>
          </cell>
          <cell r="N2595" t="str">
            <v>SG&amp;A</v>
          </cell>
          <cell r="O2595" t="str">
            <v>[No Vendor]</v>
          </cell>
        </row>
        <row r="2596">
          <cell r="D2596">
            <v>175</v>
          </cell>
          <cell r="H2596">
            <v>45444</v>
          </cell>
          <cell r="I2596" t="str">
            <v>6420 - Licenses &amp; Membership</v>
          </cell>
          <cell r="J2596">
            <v>0</v>
          </cell>
          <cell r="K2596" t="str">
            <v>Production</v>
          </cell>
          <cell r="L2596" t="str">
            <v>Professional Service</v>
          </cell>
          <cell r="N2596" t="str">
            <v>SG&amp;A</v>
          </cell>
          <cell r="O2596" t="str">
            <v>[No Vendor]</v>
          </cell>
        </row>
        <row r="2597">
          <cell r="D2597">
            <v>-29236.67</v>
          </cell>
          <cell r="H2597">
            <v>45444</v>
          </cell>
          <cell r="I2597" t="str">
            <v>6320 - Building Rent</v>
          </cell>
          <cell r="J2597">
            <v>0</v>
          </cell>
          <cell r="K2597" t="str">
            <v>Administration</v>
          </cell>
          <cell r="L2597" t="str">
            <v>Rent</v>
          </cell>
          <cell r="N2597" t="str">
            <v>SG&amp;A</v>
          </cell>
          <cell r="O2597" t="str">
            <v>[No Vendor]</v>
          </cell>
        </row>
        <row r="2598">
          <cell r="D2598">
            <v>3769.02</v>
          </cell>
          <cell r="H2598">
            <v>45444</v>
          </cell>
          <cell r="I2598" t="str">
            <v>6375 - Freight Expenses</v>
          </cell>
          <cell r="J2598" t="str">
            <v>Ecommerce (EU)</v>
          </cell>
          <cell r="K2598" t="str">
            <v>Ecommerce</v>
          </cell>
          <cell r="L2598" t="str">
            <v>Freight</v>
          </cell>
          <cell r="N2598" t="str">
            <v>Direct Costs</v>
          </cell>
          <cell r="O2598" t="str">
            <v>Global E</v>
          </cell>
        </row>
        <row r="2599">
          <cell r="D2599">
            <v>15.82</v>
          </cell>
          <cell r="H2599">
            <v>45444</v>
          </cell>
          <cell r="I2599" t="str">
            <v>7030 - Plant Machinery &amp; Equipment</v>
          </cell>
          <cell r="J2599">
            <v>0</v>
          </cell>
          <cell r="K2599" t="str">
            <v>Production</v>
          </cell>
          <cell r="L2599" t="str">
            <v>Depreciation &amp; Amortization</v>
          </cell>
          <cell r="N2599" t="str">
            <v>SG&amp;A</v>
          </cell>
          <cell r="O2599" t="str">
            <v>[No Vendor]</v>
          </cell>
        </row>
        <row r="2600">
          <cell r="D2600">
            <v>14.15</v>
          </cell>
          <cell r="H2600">
            <v>45444</v>
          </cell>
          <cell r="I2600" t="str">
            <v>7030 - Plant Machinery &amp; Equipment</v>
          </cell>
          <cell r="J2600">
            <v>0</v>
          </cell>
          <cell r="K2600" t="str">
            <v>Administration</v>
          </cell>
          <cell r="L2600" t="str">
            <v>Depreciation &amp; Amortization</v>
          </cell>
          <cell r="N2600" t="str">
            <v>SG&amp;A</v>
          </cell>
          <cell r="O2600" t="str">
            <v>[No Vendor]</v>
          </cell>
        </row>
        <row r="2601">
          <cell r="D2601">
            <v>0</v>
          </cell>
          <cell r="H2601">
            <v>45444</v>
          </cell>
          <cell r="I2601" t="str">
            <v>6040 - Employer Paid Benefits</v>
          </cell>
          <cell r="J2601">
            <v>0</v>
          </cell>
          <cell r="K2601" t="str">
            <v>Merchandising</v>
          </cell>
          <cell r="L2601" t="str">
            <v>HQ Salaries</v>
          </cell>
          <cell r="N2601" t="str">
            <v>SG&amp;A</v>
          </cell>
          <cell r="O2601" t="str">
            <v>[No Vendor]</v>
          </cell>
        </row>
        <row r="2602">
          <cell r="D2602">
            <v>-22.58</v>
          </cell>
          <cell r="H2602">
            <v>45444</v>
          </cell>
          <cell r="I2602" t="str">
            <v>6040 - Employer Paid Benefits</v>
          </cell>
          <cell r="J2602" t="str">
            <v>Wholesale</v>
          </cell>
          <cell r="K2602" t="str">
            <v>Wholesale</v>
          </cell>
          <cell r="L2602" t="str">
            <v>HQ Salaries</v>
          </cell>
          <cell r="N2602" t="str">
            <v>SG&amp;A</v>
          </cell>
          <cell r="O2602" t="str">
            <v>[No Vendor]</v>
          </cell>
        </row>
        <row r="2603">
          <cell r="D2603">
            <v>-204.79</v>
          </cell>
          <cell r="H2603">
            <v>45444</v>
          </cell>
          <cell r="I2603" t="str">
            <v>6040 - Employer Paid Benefits</v>
          </cell>
          <cell r="J2603">
            <v>0</v>
          </cell>
          <cell r="K2603" t="str">
            <v>Production</v>
          </cell>
          <cell r="L2603" t="str">
            <v>HQ Salaries</v>
          </cell>
          <cell r="N2603" t="str">
            <v>SG&amp;A</v>
          </cell>
          <cell r="O2603" t="str">
            <v>[No Vendor]</v>
          </cell>
        </row>
        <row r="2604">
          <cell r="D2604">
            <v>-11.29</v>
          </cell>
          <cell r="H2604">
            <v>45444</v>
          </cell>
          <cell r="I2604" t="str">
            <v>6040 - Employer Paid Benefits</v>
          </cell>
          <cell r="J2604">
            <v>0</v>
          </cell>
          <cell r="K2604" t="str">
            <v>Brand Marketing</v>
          </cell>
          <cell r="L2604" t="str">
            <v>HQ Salaries</v>
          </cell>
          <cell r="N2604" t="str">
            <v>SG&amp;A</v>
          </cell>
          <cell r="O2604" t="str">
            <v>[No Vendor]</v>
          </cell>
        </row>
        <row r="2605">
          <cell r="D2605">
            <v>-60.93</v>
          </cell>
          <cell r="H2605">
            <v>45444</v>
          </cell>
          <cell r="I2605" t="str">
            <v>6040 - Employer Paid Benefits</v>
          </cell>
          <cell r="J2605" t="str">
            <v>Ecommerce (US)</v>
          </cell>
          <cell r="K2605" t="str">
            <v>Ecommerce</v>
          </cell>
          <cell r="L2605" t="str">
            <v>HQ Salaries</v>
          </cell>
          <cell r="N2605" t="str">
            <v>SG&amp;A</v>
          </cell>
          <cell r="O2605" t="str">
            <v>[No Vendor]</v>
          </cell>
        </row>
        <row r="2606">
          <cell r="D2606">
            <v>-181.71</v>
          </cell>
          <cell r="H2606">
            <v>45444</v>
          </cell>
          <cell r="I2606" t="str">
            <v>6040 - Employer Paid Benefits</v>
          </cell>
          <cell r="J2606">
            <v>0</v>
          </cell>
          <cell r="K2606" t="str">
            <v>Design</v>
          </cell>
          <cell r="L2606" t="str">
            <v>HQ Salaries</v>
          </cell>
          <cell r="N2606" t="str">
            <v>SG&amp;A</v>
          </cell>
          <cell r="O2606" t="str">
            <v>[No Vendor]</v>
          </cell>
        </row>
        <row r="2607">
          <cell r="D2607">
            <v>-81.849999999999994</v>
          </cell>
          <cell r="H2607">
            <v>45444</v>
          </cell>
          <cell r="I2607" t="str">
            <v>6040 - Employer Paid Benefits</v>
          </cell>
          <cell r="J2607">
            <v>0</v>
          </cell>
          <cell r="K2607" t="str">
            <v>Administration</v>
          </cell>
          <cell r="L2607" t="str">
            <v>HQ Salaries</v>
          </cell>
          <cell r="N2607" t="str">
            <v>SG&amp;A</v>
          </cell>
          <cell r="O2607" t="str">
            <v>[No Vendor]</v>
          </cell>
        </row>
        <row r="2608">
          <cell r="D2608">
            <v>2575</v>
          </cell>
          <cell r="H2608">
            <v>45444</v>
          </cell>
          <cell r="I2608" t="str">
            <v>6005 - Salaries</v>
          </cell>
          <cell r="J2608">
            <v>0</v>
          </cell>
          <cell r="K2608" t="str">
            <v>Merchandising</v>
          </cell>
          <cell r="L2608" t="str">
            <v>HQ Salaries</v>
          </cell>
          <cell r="N2608" t="str">
            <v>SG&amp;A</v>
          </cell>
          <cell r="O2608" t="str">
            <v>[No Vendor]</v>
          </cell>
        </row>
        <row r="2609">
          <cell r="D2609">
            <v>4955.78</v>
          </cell>
          <cell r="H2609">
            <v>45444</v>
          </cell>
          <cell r="I2609" t="str">
            <v>6005 - Salaries</v>
          </cell>
          <cell r="J2609" t="str">
            <v>Wholesale</v>
          </cell>
          <cell r="K2609" t="str">
            <v>Wholesale</v>
          </cell>
          <cell r="L2609" t="str">
            <v>HQ Salaries</v>
          </cell>
          <cell r="N2609" t="str">
            <v>SG&amp;A</v>
          </cell>
          <cell r="O2609" t="str">
            <v>[No Vendor]</v>
          </cell>
        </row>
        <row r="2610">
          <cell r="D2610">
            <v>9994.25</v>
          </cell>
          <cell r="H2610">
            <v>45444</v>
          </cell>
          <cell r="I2610" t="str">
            <v>6005 - Salaries</v>
          </cell>
          <cell r="J2610">
            <v>0</v>
          </cell>
          <cell r="K2610" t="str">
            <v>Production</v>
          </cell>
          <cell r="L2610" t="str">
            <v>HQ Salaries</v>
          </cell>
          <cell r="N2610" t="str">
            <v>SG&amp;A</v>
          </cell>
          <cell r="O2610" t="str">
            <v>[No Vendor]</v>
          </cell>
        </row>
        <row r="2611">
          <cell r="D2611">
            <v>1634.62</v>
          </cell>
          <cell r="H2611">
            <v>45444</v>
          </cell>
          <cell r="I2611" t="str">
            <v>6005 - Salaries</v>
          </cell>
          <cell r="J2611">
            <v>0</v>
          </cell>
          <cell r="K2611" t="str">
            <v>Brand Marketing</v>
          </cell>
          <cell r="L2611" t="str">
            <v>HQ Salaries</v>
          </cell>
          <cell r="N2611" t="str">
            <v>SG&amp;A</v>
          </cell>
          <cell r="O2611" t="str">
            <v>[No Vendor]</v>
          </cell>
        </row>
        <row r="2612">
          <cell r="D2612">
            <v>10390.4</v>
          </cell>
          <cell r="H2612">
            <v>45444</v>
          </cell>
          <cell r="I2612" t="str">
            <v>6005 - Salaries</v>
          </cell>
          <cell r="J2612" t="str">
            <v>Ecommerce (US)</v>
          </cell>
          <cell r="K2612" t="str">
            <v>Ecommerce</v>
          </cell>
          <cell r="L2612" t="str">
            <v>HQ Salaries</v>
          </cell>
          <cell r="N2612" t="str">
            <v>SG&amp;A</v>
          </cell>
          <cell r="O2612" t="str">
            <v>[No Vendor]</v>
          </cell>
        </row>
        <row r="2613">
          <cell r="D2613">
            <v>10428.85</v>
          </cell>
          <cell r="H2613">
            <v>45444</v>
          </cell>
          <cell r="I2613" t="str">
            <v>6005 - Salaries</v>
          </cell>
          <cell r="J2613">
            <v>0</v>
          </cell>
          <cell r="K2613" t="str">
            <v>Design</v>
          </cell>
          <cell r="L2613" t="str">
            <v>HQ Salaries</v>
          </cell>
          <cell r="N2613" t="str">
            <v>SG&amp;A</v>
          </cell>
          <cell r="O2613" t="str">
            <v>[No Vendor]</v>
          </cell>
        </row>
        <row r="2614">
          <cell r="D2614">
            <v>11292.32</v>
          </cell>
          <cell r="H2614">
            <v>45444</v>
          </cell>
          <cell r="I2614" t="str">
            <v>6005 - Salaries</v>
          </cell>
          <cell r="J2614">
            <v>0</v>
          </cell>
          <cell r="K2614" t="str">
            <v>Administration</v>
          </cell>
          <cell r="L2614" t="str">
            <v>HQ Salaries</v>
          </cell>
          <cell r="N2614" t="str">
            <v>SG&amp;A</v>
          </cell>
          <cell r="O2614" t="str">
            <v>[No Vendor]</v>
          </cell>
        </row>
        <row r="2615">
          <cell r="D2615">
            <v>0</v>
          </cell>
          <cell r="H2615">
            <v>45444</v>
          </cell>
          <cell r="I2615" t="str">
            <v>4020 - Revenue - Marketing Contribution</v>
          </cell>
          <cell r="J2615">
            <v>0</v>
          </cell>
          <cell r="K2615" t="str">
            <v>Licensing</v>
          </cell>
          <cell r="L2615" t="str">
            <v>License</v>
          </cell>
          <cell r="N2615" t="str">
            <v>Revenue</v>
          </cell>
          <cell r="O2615" t="str">
            <v>[No Vendor]</v>
          </cell>
        </row>
        <row r="2616">
          <cell r="D2616">
            <v>0</v>
          </cell>
          <cell r="H2616">
            <v>45444</v>
          </cell>
          <cell r="I2616" t="str">
            <v>4010 - Revenue - Licensing Fees (Royalties)</v>
          </cell>
          <cell r="J2616">
            <v>0</v>
          </cell>
          <cell r="K2616" t="str">
            <v>Licensing</v>
          </cell>
          <cell r="L2616" t="str">
            <v>License</v>
          </cell>
          <cell r="N2616" t="str">
            <v>Revenue</v>
          </cell>
          <cell r="O2616" t="str">
            <v>[No Vendor]</v>
          </cell>
        </row>
        <row r="2617">
          <cell r="D2617">
            <v>0</v>
          </cell>
          <cell r="H2617">
            <v>45444</v>
          </cell>
          <cell r="I2617" t="str">
            <v>4010 - Revenue - Licensing Fees (Royalties)</v>
          </cell>
          <cell r="J2617">
            <v>0</v>
          </cell>
          <cell r="K2617" t="str">
            <v>Licensing</v>
          </cell>
          <cell r="L2617" t="str">
            <v>License</v>
          </cell>
          <cell r="N2617" t="str">
            <v>Revenue</v>
          </cell>
          <cell r="O2617" t="str">
            <v>[No Vendor]</v>
          </cell>
        </row>
        <row r="2618">
          <cell r="D2618">
            <v>-15100.4</v>
          </cell>
          <cell r="H2618">
            <v>45444</v>
          </cell>
          <cell r="I2618" t="str">
            <v>4010 - Revenue - Licensing Fees (Royalties)</v>
          </cell>
          <cell r="J2618">
            <v>0</v>
          </cell>
          <cell r="K2618" t="str">
            <v>Licensing</v>
          </cell>
          <cell r="L2618" t="str">
            <v>License</v>
          </cell>
          <cell r="N2618" t="str">
            <v>Revenue</v>
          </cell>
          <cell r="O2618" t="str">
            <v>[No Vendor]</v>
          </cell>
        </row>
        <row r="2619">
          <cell r="D2619">
            <v>0</v>
          </cell>
          <cell r="H2619">
            <v>45444</v>
          </cell>
          <cell r="I2619" t="str">
            <v>4010 - Revenue - Licensing Fees (Royalties)</v>
          </cell>
          <cell r="J2619">
            <v>0</v>
          </cell>
          <cell r="K2619" t="str">
            <v>Licensing</v>
          </cell>
          <cell r="L2619" t="str">
            <v>License</v>
          </cell>
          <cell r="N2619" t="str">
            <v>Revenue</v>
          </cell>
          <cell r="O2619" t="str">
            <v>[No Vendor]</v>
          </cell>
        </row>
        <row r="2620">
          <cell r="D2620">
            <v>-40447.5</v>
          </cell>
          <cell r="H2620">
            <v>45444</v>
          </cell>
          <cell r="I2620" t="str">
            <v>4010 - Revenue - Licensing Fees (Royalties)</v>
          </cell>
          <cell r="J2620">
            <v>0</v>
          </cell>
          <cell r="K2620" t="str">
            <v>Licensing</v>
          </cell>
          <cell r="L2620" t="str">
            <v>License</v>
          </cell>
          <cell r="N2620" t="str">
            <v>Revenue</v>
          </cell>
          <cell r="O2620" t="str">
            <v>[No Vendor]</v>
          </cell>
        </row>
        <row r="2621">
          <cell r="D2621">
            <v>0</v>
          </cell>
          <cell r="H2621">
            <v>45444</v>
          </cell>
          <cell r="I2621" t="str">
            <v>4010 - Revenue - Licensing Fees (Royalties)</v>
          </cell>
          <cell r="J2621">
            <v>0</v>
          </cell>
          <cell r="K2621" t="str">
            <v>Licensing</v>
          </cell>
          <cell r="L2621" t="str">
            <v>License</v>
          </cell>
          <cell r="N2621" t="str">
            <v>Revenue</v>
          </cell>
          <cell r="O2621" t="str">
            <v>[No Vendor]</v>
          </cell>
        </row>
        <row r="2622">
          <cell r="D2622">
            <v>0</v>
          </cell>
          <cell r="H2622">
            <v>45444</v>
          </cell>
          <cell r="I2622" t="str">
            <v>4010 - Revenue - Licensing Fees (Royalties)</v>
          </cell>
          <cell r="J2622">
            <v>0</v>
          </cell>
          <cell r="K2622" t="str">
            <v>Licensing</v>
          </cell>
          <cell r="L2622" t="str">
            <v>License</v>
          </cell>
          <cell r="N2622" t="str">
            <v>Revenue</v>
          </cell>
          <cell r="O2622" t="str">
            <v>[No Vendor]</v>
          </cell>
        </row>
        <row r="2623">
          <cell r="D2623">
            <v>150.44999999999999</v>
          </cell>
          <cell r="H2623">
            <v>45474</v>
          </cell>
          <cell r="I2623" t="str">
            <v>6040 - Employer Paid Benefits</v>
          </cell>
          <cell r="J2623">
            <v>0</v>
          </cell>
          <cell r="K2623" t="str">
            <v>Administration</v>
          </cell>
          <cell r="L2623" t="str">
            <v>HQ Salaries</v>
          </cell>
          <cell r="N2623" t="str">
            <v>SG&amp;A</v>
          </cell>
          <cell r="O2623" t="str">
            <v>Allied Administrators</v>
          </cell>
        </row>
        <row r="2624">
          <cell r="D2624">
            <v>57.77</v>
          </cell>
          <cell r="H2624">
            <v>45474</v>
          </cell>
          <cell r="I2624" t="str">
            <v>6393 - Software</v>
          </cell>
          <cell r="J2624">
            <v>0</v>
          </cell>
          <cell r="K2624" t="str">
            <v>Administration</v>
          </cell>
          <cell r="L2624" t="str">
            <v>Professional Service</v>
          </cell>
          <cell r="N2624" t="str">
            <v>Direct Costs</v>
          </cell>
          <cell r="O2624" t="str">
            <v>Quickbook</v>
          </cell>
        </row>
        <row r="2625">
          <cell r="D2625">
            <v>400</v>
          </cell>
          <cell r="H2625">
            <v>45474</v>
          </cell>
          <cell r="I2625" t="str">
            <v>6360 - Model - Fitting</v>
          </cell>
          <cell r="J2625">
            <v>0</v>
          </cell>
          <cell r="K2625" t="str">
            <v>Production</v>
          </cell>
          <cell r="L2625" t="str">
            <v>Sample</v>
          </cell>
          <cell r="N2625" t="str">
            <v>SG&amp;A</v>
          </cell>
          <cell r="O2625" t="str">
            <v>Lanny K.W. Inc.</v>
          </cell>
        </row>
        <row r="2626">
          <cell r="D2626">
            <v>4542.5</v>
          </cell>
          <cell r="H2626">
            <v>45474</v>
          </cell>
          <cell r="I2626" t="str">
            <v>6240 - Product Photography</v>
          </cell>
          <cell r="J2626" t="str">
            <v>Ecommerce (US)</v>
          </cell>
          <cell r="K2626" t="str">
            <v>Brand Marketing</v>
          </cell>
          <cell r="L2626" t="str">
            <v>Advertising</v>
          </cell>
          <cell r="N2626" t="str">
            <v>SG&amp;A</v>
          </cell>
          <cell r="O2626" t="str">
            <v>Theerapol Thammasitboon</v>
          </cell>
        </row>
        <row r="2627">
          <cell r="D2627">
            <v>862.4</v>
          </cell>
          <cell r="H2627">
            <v>45474</v>
          </cell>
          <cell r="I2627" t="str">
            <v>6520 - Taxes and Licenses</v>
          </cell>
          <cell r="J2627" t="str">
            <v>Ecommerce (US)</v>
          </cell>
          <cell r="K2627" t="str">
            <v>Ecommerce</v>
          </cell>
          <cell r="L2627" t="str">
            <v>Other</v>
          </cell>
          <cell r="N2627" t="str">
            <v>SG&amp;A</v>
          </cell>
          <cell r="O2627" t="str">
            <v>Avalara, Inc</v>
          </cell>
        </row>
        <row r="2628">
          <cell r="D2628">
            <v>952</v>
          </cell>
          <cell r="H2628">
            <v>45474</v>
          </cell>
          <cell r="I2628" t="str">
            <v>6520 - Taxes and Licenses</v>
          </cell>
          <cell r="J2628" t="str">
            <v>Ecommerce (US)</v>
          </cell>
          <cell r="K2628" t="str">
            <v>Ecommerce</v>
          </cell>
          <cell r="L2628" t="str">
            <v>Other</v>
          </cell>
          <cell r="N2628" t="str">
            <v>SG&amp;A</v>
          </cell>
          <cell r="O2628" t="str">
            <v>Avalara, Inc</v>
          </cell>
        </row>
        <row r="2629">
          <cell r="D2629">
            <v>0.87</v>
          </cell>
          <cell r="H2629">
            <v>45474</v>
          </cell>
          <cell r="I2629" t="str">
            <v>6450 - Bank &amp; Other Fees</v>
          </cell>
          <cell r="J2629">
            <v>0</v>
          </cell>
          <cell r="K2629" t="str">
            <v>Administration</v>
          </cell>
          <cell r="L2629" t="str">
            <v>Professional Service</v>
          </cell>
          <cell r="N2629" t="str">
            <v>SG&amp;A</v>
          </cell>
          <cell r="O2629" t="str">
            <v>Quickbook</v>
          </cell>
        </row>
        <row r="2630">
          <cell r="D2630">
            <v>138</v>
          </cell>
          <cell r="H2630">
            <v>45474</v>
          </cell>
          <cell r="I2630" t="str">
            <v>6430 - Dues &amp; Memberships</v>
          </cell>
          <cell r="J2630" t="str">
            <v>Wholesale</v>
          </cell>
          <cell r="K2630" t="str">
            <v>Wholesale</v>
          </cell>
          <cell r="L2630" t="str">
            <v>Professional Service</v>
          </cell>
          <cell r="N2630" t="str">
            <v>Direct Costs</v>
          </cell>
          <cell r="O2630" t="str">
            <v>SPS Commerce</v>
          </cell>
        </row>
        <row r="2631">
          <cell r="D2631">
            <v>1786.24</v>
          </cell>
          <cell r="H2631">
            <v>45474</v>
          </cell>
          <cell r="I2631" t="str">
            <v>6385 - Insurance</v>
          </cell>
          <cell r="J2631">
            <v>0</v>
          </cell>
          <cell r="K2631" t="str">
            <v>Administration</v>
          </cell>
          <cell r="L2631" t="str">
            <v>Professional Service</v>
          </cell>
          <cell r="N2631" t="str">
            <v>SG&amp;A</v>
          </cell>
          <cell r="O2631" t="str">
            <v>The Hartford</v>
          </cell>
        </row>
        <row r="2632">
          <cell r="D2632">
            <v>534.82000000000005</v>
          </cell>
          <cell r="H2632">
            <v>45474</v>
          </cell>
          <cell r="I2632" t="str">
            <v>6400 - Utilities</v>
          </cell>
          <cell r="J2632">
            <v>0</v>
          </cell>
          <cell r="K2632" t="str">
            <v>Administration</v>
          </cell>
          <cell r="L2632" t="str">
            <v>Other</v>
          </cell>
          <cell r="N2632" t="str">
            <v>SG&amp;A</v>
          </cell>
          <cell r="O2632" t="str">
            <v>Antelope LLC</v>
          </cell>
        </row>
        <row r="2633">
          <cell r="D2633">
            <v>3920.5</v>
          </cell>
          <cell r="H2633">
            <v>45474</v>
          </cell>
          <cell r="I2633" t="str">
            <v>6225 - Professional Services</v>
          </cell>
          <cell r="J2633">
            <v>0</v>
          </cell>
          <cell r="K2633" t="str">
            <v>Administration</v>
          </cell>
          <cell r="L2633" t="str">
            <v>Professional Service</v>
          </cell>
          <cell r="N2633" t="str">
            <v>Direct Costs</v>
          </cell>
          <cell r="O2633" t="str">
            <v>Enom Solutions, Inc-DBA 3nom</v>
          </cell>
        </row>
        <row r="2634">
          <cell r="D2634">
            <v>13020.25</v>
          </cell>
          <cell r="H2634">
            <v>45474</v>
          </cell>
          <cell r="I2634" t="str">
            <v>6225 - Professional Services</v>
          </cell>
          <cell r="J2634" t="str">
            <v>Ecommerce (US)</v>
          </cell>
          <cell r="K2634" t="str">
            <v>Ecommerce</v>
          </cell>
          <cell r="L2634" t="str">
            <v>Professional Service</v>
          </cell>
          <cell r="N2634" t="str">
            <v>Direct Costs</v>
          </cell>
          <cell r="O2634" t="str">
            <v>Rareview, LLC</v>
          </cell>
        </row>
        <row r="2635">
          <cell r="D2635">
            <v>29236.67</v>
          </cell>
          <cell r="H2635">
            <v>45474</v>
          </cell>
          <cell r="I2635" t="str">
            <v>6320 - Building Rent</v>
          </cell>
          <cell r="J2635">
            <v>0</v>
          </cell>
          <cell r="K2635" t="str">
            <v>Administration</v>
          </cell>
          <cell r="L2635" t="str">
            <v>Rent</v>
          </cell>
          <cell r="N2635" t="str">
            <v>SG&amp;A</v>
          </cell>
          <cell r="O2635" t="str">
            <v>Antelope LLC</v>
          </cell>
        </row>
        <row r="2636">
          <cell r="D2636">
            <v>1633.9</v>
          </cell>
          <cell r="H2636">
            <v>45474</v>
          </cell>
          <cell r="I2636" t="str">
            <v>6040 - Employer Paid Benefits</v>
          </cell>
          <cell r="J2636" t="str">
            <v>Wholesale</v>
          </cell>
          <cell r="K2636" t="str">
            <v>Wholesale</v>
          </cell>
          <cell r="L2636" t="str">
            <v>HQ Salaries</v>
          </cell>
          <cell r="N2636" t="str">
            <v>SG&amp;A</v>
          </cell>
          <cell r="O2636" t="str">
            <v>Excellus Health Plan - Group</v>
          </cell>
        </row>
        <row r="2637">
          <cell r="D2637">
            <v>3839.66</v>
          </cell>
          <cell r="H2637">
            <v>45474</v>
          </cell>
          <cell r="I2637" t="str">
            <v>6040 - Employer Paid Benefits</v>
          </cell>
          <cell r="J2637">
            <v>0</v>
          </cell>
          <cell r="K2637" t="str">
            <v>Production</v>
          </cell>
          <cell r="L2637" t="str">
            <v>HQ Salaries</v>
          </cell>
          <cell r="N2637" t="str">
            <v>SG&amp;A</v>
          </cell>
          <cell r="O2637" t="str">
            <v>Excellus Health Plan - Group</v>
          </cell>
        </row>
        <row r="2638">
          <cell r="D2638">
            <v>816.95</v>
          </cell>
          <cell r="H2638">
            <v>45474</v>
          </cell>
          <cell r="I2638" t="str">
            <v>6040 - Employer Paid Benefits</v>
          </cell>
          <cell r="J2638">
            <v>0</v>
          </cell>
          <cell r="K2638" t="str">
            <v>Merchandising</v>
          </cell>
          <cell r="L2638" t="str">
            <v>HQ Salaries</v>
          </cell>
          <cell r="N2638" t="str">
            <v>SG&amp;A</v>
          </cell>
          <cell r="O2638" t="str">
            <v>Excellus Health Plan - Group</v>
          </cell>
        </row>
        <row r="2639">
          <cell r="D2639">
            <v>816.95</v>
          </cell>
          <cell r="H2639">
            <v>45474</v>
          </cell>
          <cell r="I2639" t="str">
            <v>6040 - Employer Paid Benefits</v>
          </cell>
          <cell r="J2639">
            <v>0</v>
          </cell>
          <cell r="K2639" t="str">
            <v>Brand Marketing</v>
          </cell>
          <cell r="L2639" t="str">
            <v>HQ Salaries</v>
          </cell>
          <cell r="N2639" t="str">
            <v>SG&amp;A</v>
          </cell>
          <cell r="O2639" t="str">
            <v>Excellus Health Plan - Group</v>
          </cell>
        </row>
        <row r="2640">
          <cell r="D2640">
            <v>2328.3000000000002</v>
          </cell>
          <cell r="H2640">
            <v>45474</v>
          </cell>
          <cell r="I2640" t="str">
            <v>6040 - Employer Paid Benefits</v>
          </cell>
          <cell r="J2640">
            <v>0</v>
          </cell>
          <cell r="K2640" t="str">
            <v>Executive</v>
          </cell>
          <cell r="L2640" t="str">
            <v>HQ Salaries</v>
          </cell>
          <cell r="N2640" t="str">
            <v>SG&amp;A</v>
          </cell>
          <cell r="O2640" t="str">
            <v>Excellus Health Plan - Group</v>
          </cell>
        </row>
        <row r="2641">
          <cell r="D2641">
            <v>3145.25</v>
          </cell>
          <cell r="H2641">
            <v>45474</v>
          </cell>
          <cell r="I2641" t="str">
            <v>6040 - Employer Paid Benefits</v>
          </cell>
          <cell r="J2641" t="str">
            <v>Ecommerce (US)</v>
          </cell>
          <cell r="K2641" t="str">
            <v>Ecommerce</v>
          </cell>
          <cell r="L2641" t="str">
            <v>HQ Salaries</v>
          </cell>
          <cell r="N2641" t="str">
            <v>SG&amp;A</v>
          </cell>
          <cell r="O2641" t="str">
            <v>Excellus Health Plan - Group</v>
          </cell>
        </row>
        <row r="2642">
          <cell r="D2642">
            <v>3267.79</v>
          </cell>
          <cell r="H2642">
            <v>45474</v>
          </cell>
          <cell r="I2642" t="str">
            <v>6040 - Employer Paid Benefits</v>
          </cell>
          <cell r="J2642">
            <v>0</v>
          </cell>
          <cell r="K2642" t="str">
            <v>Design</v>
          </cell>
          <cell r="L2642" t="str">
            <v>HQ Salaries</v>
          </cell>
          <cell r="N2642" t="str">
            <v>SG&amp;A</v>
          </cell>
          <cell r="O2642" t="str">
            <v>Excellus Health Plan - Group</v>
          </cell>
        </row>
        <row r="2643">
          <cell r="D2643">
            <v>3839.66</v>
          </cell>
          <cell r="H2643">
            <v>45474</v>
          </cell>
          <cell r="I2643" t="str">
            <v>6040 - Employer Paid Benefits</v>
          </cell>
          <cell r="J2643">
            <v>0</v>
          </cell>
          <cell r="K2643" t="str">
            <v>Administration</v>
          </cell>
          <cell r="L2643" t="str">
            <v>HQ Salaries</v>
          </cell>
          <cell r="N2643" t="str">
            <v>SG&amp;A</v>
          </cell>
          <cell r="O2643" t="str">
            <v>Excellus Health Plan - Group</v>
          </cell>
        </row>
        <row r="2644">
          <cell r="D2644">
            <v>24.54</v>
          </cell>
          <cell r="H2644">
            <v>45474</v>
          </cell>
          <cell r="I2644" t="str">
            <v>6040 - Employer Paid Benefits</v>
          </cell>
          <cell r="J2644" t="str">
            <v>Wholesale</v>
          </cell>
          <cell r="K2644" t="str">
            <v>Wholesale</v>
          </cell>
          <cell r="L2644" t="str">
            <v>HQ Salaries</v>
          </cell>
          <cell r="N2644" t="str">
            <v>SG&amp;A</v>
          </cell>
          <cell r="O2644" t="str">
            <v>Allied Administrators</v>
          </cell>
        </row>
        <row r="2645">
          <cell r="D2645">
            <v>125.91</v>
          </cell>
          <cell r="H2645">
            <v>45474</v>
          </cell>
          <cell r="I2645" t="str">
            <v>6040 - Employer Paid Benefits</v>
          </cell>
          <cell r="J2645">
            <v>0</v>
          </cell>
          <cell r="K2645" t="str">
            <v>Production</v>
          </cell>
          <cell r="L2645" t="str">
            <v>HQ Salaries</v>
          </cell>
          <cell r="N2645" t="str">
            <v>SG&amp;A</v>
          </cell>
          <cell r="O2645" t="str">
            <v>Allied Administrators</v>
          </cell>
        </row>
        <row r="2646">
          <cell r="D2646">
            <v>24.54</v>
          </cell>
          <cell r="H2646">
            <v>45474</v>
          </cell>
          <cell r="I2646" t="str">
            <v>6040 - Employer Paid Benefits</v>
          </cell>
          <cell r="J2646">
            <v>0</v>
          </cell>
          <cell r="K2646" t="str">
            <v>Merchandising</v>
          </cell>
          <cell r="L2646" t="str">
            <v>HQ Salaries</v>
          </cell>
          <cell r="N2646" t="str">
            <v>SG&amp;A</v>
          </cell>
          <cell r="O2646" t="str">
            <v>Allied Administrators</v>
          </cell>
        </row>
        <row r="2647">
          <cell r="D2647">
            <v>145.80000000000001</v>
          </cell>
          <cell r="H2647">
            <v>45474</v>
          </cell>
          <cell r="I2647" t="str">
            <v>6040 - Employer Paid Benefits</v>
          </cell>
          <cell r="J2647">
            <v>0</v>
          </cell>
          <cell r="K2647" t="str">
            <v>Executive</v>
          </cell>
          <cell r="L2647" t="str">
            <v>HQ Salaries</v>
          </cell>
          <cell r="N2647" t="str">
            <v>SG&amp;A</v>
          </cell>
          <cell r="O2647" t="str">
            <v>Allied Administrators</v>
          </cell>
        </row>
        <row r="2648">
          <cell r="D2648">
            <v>76.83</v>
          </cell>
          <cell r="H2648">
            <v>45474</v>
          </cell>
          <cell r="I2648" t="str">
            <v>6040 - Employer Paid Benefits</v>
          </cell>
          <cell r="J2648" t="str">
            <v>Ecommerce (US)</v>
          </cell>
          <cell r="K2648" t="str">
            <v>Ecommerce</v>
          </cell>
          <cell r="L2648" t="str">
            <v>HQ Salaries</v>
          </cell>
          <cell r="N2648" t="str">
            <v>SG&amp;A</v>
          </cell>
          <cell r="O2648" t="str">
            <v>Allied Administrators</v>
          </cell>
        </row>
        <row r="2649">
          <cell r="D2649">
            <v>101.37</v>
          </cell>
          <cell r="H2649">
            <v>45474</v>
          </cell>
          <cell r="I2649" t="str">
            <v>6040 - Employer Paid Benefits</v>
          </cell>
          <cell r="J2649">
            <v>0</v>
          </cell>
          <cell r="K2649" t="str">
            <v>Design</v>
          </cell>
          <cell r="L2649" t="str">
            <v>HQ Salaries</v>
          </cell>
          <cell r="N2649" t="str">
            <v>SG&amp;A</v>
          </cell>
          <cell r="O2649" t="str">
            <v>Allied Administrators</v>
          </cell>
        </row>
        <row r="2650">
          <cell r="D2650">
            <v>0.01</v>
          </cell>
          <cell r="H2650">
            <v>45474</v>
          </cell>
          <cell r="I2650" t="str">
            <v>8590 - Rounding Gain/Loss</v>
          </cell>
          <cell r="J2650">
            <v>0</v>
          </cell>
          <cell r="K2650" t="str">
            <v>Licensing</v>
          </cell>
          <cell r="L2650" t="str">
            <v>Realized Gain / Loss</v>
          </cell>
          <cell r="N2650" t="str">
            <v>BTL</v>
          </cell>
          <cell r="O2650" t="str">
            <v>[No Vendor]</v>
          </cell>
        </row>
        <row r="2651">
          <cell r="D2651">
            <v>0.01</v>
          </cell>
          <cell r="H2651">
            <v>45474</v>
          </cell>
          <cell r="I2651" t="str">
            <v>8590 - Rounding Gain/Loss</v>
          </cell>
          <cell r="J2651">
            <v>0</v>
          </cell>
          <cell r="K2651" t="str">
            <v>Licensing</v>
          </cell>
          <cell r="L2651" t="str">
            <v>Realized Gain / Loss</v>
          </cell>
          <cell r="N2651" t="str">
            <v>BTL</v>
          </cell>
          <cell r="O2651" t="str">
            <v>[No Vendor]</v>
          </cell>
        </row>
        <row r="2652">
          <cell r="D2652">
            <v>-11292.32</v>
          </cell>
          <cell r="H2652">
            <v>45474</v>
          </cell>
          <cell r="I2652" t="str">
            <v>6005 - Salaries</v>
          </cell>
          <cell r="J2652">
            <v>0</v>
          </cell>
          <cell r="K2652" t="str">
            <v>Administration</v>
          </cell>
          <cell r="L2652" t="str">
            <v>HQ Salaries</v>
          </cell>
          <cell r="N2652" t="str">
            <v>SG&amp;A</v>
          </cell>
          <cell r="O2652" t="str">
            <v>[No Vendor]</v>
          </cell>
        </row>
        <row r="2653">
          <cell r="D2653">
            <v>0</v>
          </cell>
          <cell r="H2653">
            <v>45474</v>
          </cell>
          <cell r="I2653" t="str">
            <v>6205 - Contractors</v>
          </cell>
          <cell r="J2653">
            <v>0</v>
          </cell>
          <cell r="K2653" t="str">
            <v>Brand Marketing</v>
          </cell>
          <cell r="L2653" t="str">
            <v>HQ Salaries</v>
          </cell>
          <cell r="N2653" t="str">
            <v>SG&amp;A</v>
          </cell>
          <cell r="O2653" t="str">
            <v>[No Vendor]</v>
          </cell>
        </row>
        <row r="2654">
          <cell r="D2654">
            <v>-4905</v>
          </cell>
          <cell r="H2654">
            <v>45474</v>
          </cell>
          <cell r="I2654" t="str">
            <v>6205 - Contractors</v>
          </cell>
          <cell r="J2654" t="str">
            <v>Ecommerce (US)</v>
          </cell>
          <cell r="K2654" t="str">
            <v>Ecommerce</v>
          </cell>
          <cell r="L2654" t="str">
            <v>HQ Salaries</v>
          </cell>
          <cell r="N2654" t="str">
            <v>SG&amp;A</v>
          </cell>
          <cell r="O2654" t="str">
            <v>[No Vendor]</v>
          </cell>
        </row>
        <row r="2655">
          <cell r="D2655">
            <v>10.210000000000001</v>
          </cell>
          <cell r="H2655">
            <v>45474</v>
          </cell>
          <cell r="I2655" t="str">
            <v>6385 - Insurance</v>
          </cell>
          <cell r="J2655">
            <v>0</v>
          </cell>
          <cell r="K2655" t="str">
            <v>Administration</v>
          </cell>
          <cell r="L2655" t="str">
            <v>Professional Service</v>
          </cell>
          <cell r="N2655" t="str">
            <v>SG&amp;A</v>
          </cell>
          <cell r="O2655" t="str">
            <v>[No Vendor]</v>
          </cell>
        </row>
        <row r="2656">
          <cell r="D2656">
            <v>6.58</v>
          </cell>
          <cell r="H2656">
            <v>45474</v>
          </cell>
          <cell r="I2656" t="str">
            <v>6385 - Insurance</v>
          </cell>
          <cell r="J2656">
            <v>0</v>
          </cell>
          <cell r="K2656" t="str">
            <v>Administration</v>
          </cell>
          <cell r="L2656" t="str">
            <v>Professional Service</v>
          </cell>
          <cell r="N2656" t="str">
            <v>SG&amp;A</v>
          </cell>
          <cell r="O2656" t="str">
            <v>[No Vendor]</v>
          </cell>
        </row>
        <row r="2657">
          <cell r="D2657">
            <v>24.11</v>
          </cell>
          <cell r="H2657">
            <v>45474</v>
          </cell>
          <cell r="I2657" t="str">
            <v>6385 - Insurance</v>
          </cell>
          <cell r="J2657">
            <v>0</v>
          </cell>
          <cell r="K2657" t="str">
            <v>Administration</v>
          </cell>
          <cell r="L2657" t="str">
            <v>Professional Service</v>
          </cell>
          <cell r="N2657" t="str">
            <v>SG&amp;A</v>
          </cell>
          <cell r="O2657" t="str">
            <v>[No Vendor]</v>
          </cell>
        </row>
        <row r="2658">
          <cell r="D2658">
            <v>6.7</v>
          </cell>
          <cell r="H2658">
            <v>45474</v>
          </cell>
          <cell r="I2658" t="str">
            <v>6385 - Insurance</v>
          </cell>
          <cell r="J2658">
            <v>0</v>
          </cell>
          <cell r="K2658" t="str">
            <v>Administration</v>
          </cell>
          <cell r="L2658" t="str">
            <v>Professional Service</v>
          </cell>
          <cell r="N2658" t="str">
            <v>SG&amp;A</v>
          </cell>
          <cell r="O2658" t="str">
            <v>[No Vendor]</v>
          </cell>
        </row>
        <row r="2659">
          <cell r="D2659">
            <v>20.84</v>
          </cell>
          <cell r="H2659">
            <v>45474</v>
          </cell>
          <cell r="I2659" t="str">
            <v>6385 - Insurance</v>
          </cell>
          <cell r="J2659">
            <v>0</v>
          </cell>
          <cell r="K2659" t="str">
            <v>Administration</v>
          </cell>
          <cell r="L2659" t="str">
            <v>Professional Service</v>
          </cell>
          <cell r="N2659" t="str">
            <v>SG&amp;A</v>
          </cell>
          <cell r="O2659" t="str">
            <v>[No Vendor]</v>
          </cell>
        </row>
        <row r="2660">
          <cell r="D2660">
            <v>29.74</v>
          </cell>
          <cell r="H2660">
            <v>45474</v>
          </cell>
          <cell r="I2660" t="str">
            <v>6385 - Insurance</v>
          </cell>
          <cell r="J2660">
            <v>0</v>
          </cell>
          <cell r="K2660" t="str">
            <v>Administration</v>
          </cell>
          <cell r="L2660" t="str">
            <v>Professional Service</v>
          </cell>
          <cell r="N2660" t="str">
            <v>SG&amp;A</v>
          </cell>
          <cell r="O2660" t="str">
            <v>[No Vendor]</v>
          </cell>
        </row>
        <row r="2661">
          <cell r="D2661">
            <v>12.94</v>
          </cell>
          <cell r="H2661">
            <v>45474</v>
          </cell>
          <cell r="I2661" t="str">
            <v>6385 - Insurance</v>
          </cell>
          <cell r="J2661">
            <v>0</v>
          </cell>
          <cell r="K2661" t="str">
            <v>Administration</v>
          </cell>
          <cell r="L2661" t="str">
            <v>Professional Service</v>
          </cell>
          <cell r="N2661" t="str">
            <v>SG&amp;A</v>
          </cell>
          <cell r="O2661" t="str">
            <v>[No Vendor]</v>
          </cell>
        </row>
        <row r="2662">
          <cell r="D2662">
            <v>-534.82000000000005</v>
          </cell>
          <cell r="H2662">
            <v>45474</v>
          </cell>
          <cell r="I2662" t="str">
            <v>6400 - Utilities</v>
          </cell>
          <cell r="J2662">
            <v>0</v>
          </cell>
          <cell r="K2662" t="str">
            <v>Administration</v>
          </cell>
          <cell r="L2662" t="str">
            <v>Other</v>
          </cell>
          <cell r="N2662" t="str">
            <v>SG&amp;A</v>
          </cell>
          <cell r="O2662" t="str">
            <v>[No Vendor]</v>
          </cell>
        </row>
        <row r="2663">
          <cell r="D2663">
            <v>-274.24</v>
          </cell>
          <cell r="H2663">
            <v>45474</v>
          </cell>
          <cell r="I2663" t="str">
            <v>6055 - Employer Social Security Tax Withheld</v>
          </cell>
          <cell r="J2663">
            <v>0</v>
          </cell>
          <cell r="K2663" t="str">
            <v>Merchandising</v>
          </cell>
          <cell r="L2663" t="str">
            <v>HQ Salaries</v>
          </cell>
          <cell r="N2663" t="str">
            <v>SG&amp;A</v>
          </cell>
          <cell r="O2663" t="str">
            <v>[No Vendor]</v>
          </cell>
        </row>
        <row r="2664">
          <cell r="D2664">
            <v>-526.07000000000005</v>
          </cell>
          <cell r="H2664">
            <v>45474</v>
          </cell>
          <cell r="I2664" t="str">
            <v>6055 - Employer Social Security Tax Withheld</v>
          </cell>
          <cell r="J2664" t="str">
            <v>Wholesale</v>
          </cell>
          <cell r="K2664" t="str">
            <v>Wholesale</v>
          </cell>
          <cell r="L2664" t="str">
            <v>HQ Salaries</v>
          </cell>
          <cell r="N2664" t="str">
            <v>SG&amp;A</v>
          </cell>
          <cell r="O2664" t="str">
            <v>[No Vendor]</v>
          </cell>
        </row>
        <row r="2665">
          <cell r="D2665">
            <v>-1048.72</v>
          </cell>
          <cell r="H2665">
            <v>45474</v>
          </cell>
          <cell r="I2665" t="str">
            <v>6055 - Employer Social Security Tax Withheld</v>
          </cell>
          <cell r="J2665">
            <v>0</v>
          </cell>
          <cell r="K2665" t="str">
            <v>Production</v>
          </cell>
          <cell r="L2665" t="str">
            <v>HQ Salaries</v>
          </cell>
          <cell r="N2665" t="str">
            <v>SG&amp;A</v>
          </cell>
          <cell r="O2665" t="str">
            <v>[No Vendor]</v>
          </cell>
        </row>
        <row r="2666">
          <cell r="D2666">
            <v>-173.23</v>
          </cell>
          <cell r="H2666">
            <v>45474</v>
          </cell>
          <cell r="I2666" t="str">
            <v>6055 - Employer Social Security Tax Withheld</v>
          </cell>
          <cell r="J2666">
            <v>0</v>
          </cell>
          <cell r="K2666" t="str">
            <v>Brand Marketing</v>
          </cell>
          <cell r="L2666" t="str">
            <v>HQ Salaries</v>
          </cell>
          <cell r="N2666" t="str">
            <v>SG&amp;A</v>
          </cell>
          <cell r="O2666" t="str">
            <v>[No Vendor]</v>
          </cell>
        </row>
        <row r="2667">
          <cell r="D2667">
            <v>-774.73</v>
          </cell>
          <cell r="H2667">
            <v>45474</v>
          </cell>
          <cell r="I2667" t="str">
            <v>6055 - Employer Social Security Tax Withheld</v>
          </cell>
          <cell r="J2667" t="str">
            <v>Ecommerce (US)</v>
          </cell>
          <cell r="K2667" t="str">
            <v>Ecommerce</v>
          </cell>
          <cell r="L2667" t="str">
            <v>HQ Salaries</v>
          </cell>
          <cell r="N2667" t="str">
            <v>SG&amp;A</v>
          </cell>
          <cell r="O2667" t="str">
            <v>[No Vendor]</v>
          </cell>
        </row>
        <row r="2668">
          <cell r="D2668">
            <v>-1044.8499999999999</v>
          </cell>
          <cell r="H2668">
            <v>45474</v>
          </cell>
          <cell r="I2668" t="str">
            <v>6055 - Employer Social Security Tax Withheld</v>
          </cell>
          <cell r="J2668">
            <v>0</v>
          </cell>
          <cell r="K2668" t="str">
            <v>Design</v>
          </cell>
          <cell r="L2668" t="str">
            <v>HQ Salaries</v>
          </cell>
          <cell r="N2668" t="str">
            <v>SG&amp;A</v>
          </cell>
          <cell r="O2668" t="str">
            <v>[No Vendor]</v>
          </cell>
        </row>
        <row r="2669">
          <cell r="D2669">
            <v>-1039.04</v>
          </cell>
          <cell r="H2669">
            <v>45474</v>
          </cell>
          <cell r="I2669" t="str">
            <v>6055 - Employer Social Security Tax Withheld</v>
          </cell>
          <cell r="J2669">
            <v>0</v>
          </cell>
          <cell r="K2669" t="str">
            <v>Administration</v>
          </cell>
          <cell r="L2669" t="str">
            <v>HQ Salaries</v>
          </cell>
          <cell r="N2669" t="str">
            <v>SG&amp;A</v>
          </cell>
          <cell r="O2669" t="str">
            <v>[No Vendor]</v>
          </cell>
        </row>
        <row r="2670">
          <cell r="D2670">
            <v>0</v>
          </cell>
          <cell r="H2670">
            <v>45474</v>
          </cell>
          <cell r="I2670" t="str">
            <v>6040 - Employer Paid Benefits</v>
          </cell>
          <cell r="J2670">
            <v>0</v>
          </cell>
          <cell r="K2670" t="str">
            <v>Merchandising</v>
          </cell>
          <cell r="L2670" t="str">
            <v>HQ Salaries</v>
          </cell>
          <cell r="N2670" t="str">
            <v>SG&amp;A</v>
          </cell>
          <cell r="O2670" t="str">
            <v>[No Vendor]</v>
          </cell>
        </row>
        <row r="2671">
          <cell r="D2671">
            <v>22.58</v>
          </cell>
          <cell r="H2671">
            <v>45474</v>
          </cell>
          <cell r="I2671" t="str">
            <v>6040 - Employer Paid Benefits</v>
          </cell>
          <cell r="J2671" t="str">
            <v>Wholesale</v>
          </cell>
          <cell r="K2671" t="str">
            <v>Wholesale</v>
          </cell>
          <cell r="L2671" t="str">
            <v>HQ Salaries</v>
          </cell>
          <cell r="N2671" t="str">
            <v>SG&amp;A</v>
          </cell>
          <cell r="O2671" t="str">
            <v>[No Vendor]</v>
          </cell>
        </row>
        <row r="2672">
          <cell r="D2672">
            <v>204.79</v>
          </cell>
          <cell r="H2672">
            <v>45474</v>
          </cell>
          <cell r="I2672" t="str">
            <v>6040 - Employer Paid Benefits</v>
          </cell>
          <cell r="J2672">
            <v>0</v>
          </cell>
          <cell r="K2672" t="str">
            <v>Production</v>
          </cell>
          <cell r="L2672" t="str">
            <v>HQ Salaries</v>
          </cell>
          <cell r="N2672" t="str">
            <v>SG&amp;A</v>
          </cell>
          <cell r="O2672" t="str">
            <v>[No Vendor]</v>
          </cell>
        </row>
        <row r="2673">
          <cell r="D2673">
            <v>11.29</v>
          </cell>
          <cell r="H2673">
            <v>45474</v>
          </cell>
          <cell r="I2673" t="str">
            <v>6040 - Employer Paid Benefits</v>
          </cell>
          <cell r="J2673">
            <v>0</v>
          </cell>
          <cell r="K2673" t="str">
            <v>Brand Marketing</v>
          </cell>
          <cell r="L2673" t="str">
            <v>HQ Salaries</v>
          </cell>
          <cell r="N2673" t="str">
            <v>SG&amp;A</v>
          </cell>
          <cell r="O2673" t="str">
            <v>[No Vendor]</v>
          </cell>
        </row>
        <row r="2674">
          <cell r="D2674">
            <v>60.93</v>
          </cell>
          <cell r="H2674">
            <v>45474</v>
          </cell>
          <cell r="I2674" t="str">
            <v>6040 - Employer Paid Benefits</v>
          </cell>
          <cell r="J2674" t="str">
            <v>Ecommerce (US)</v>
          </cell>
          <cell r="K2674" t="str">
            <v>Ecommerce</v>
          </cell>
          <cell r="L2674" t="str">
            <v>HQ Salaries</v>
          </cell>
          <cell r="N2674" t="str">
            <v>SG&amp;A</v>
          </cell>
          <cell r="O2674" t="str">
            <v>[No Vendor]</v>
          </cell>
        </row>
        <row r="2675">
          <cell r="D2675">
            <v>181.71</v>
          </cell>
          <cell r="H2675">
            <v>45474</v>
          </cell>
          <cell r="I2675" t="str">
            <v>6040 - Employer Paid Benefits</v>
          </cell>
          <cell r="J2675">
            <v>0</v>
          </cell>
          <cell r="K2675" t="str">
            <v>Design</v>
          </cell>
          <cell r="L2675" t="str">
            <v>HQ Salaries</v>
          </cell>
          <cell r="N2675" t="str">
            <v>SG&amp;A</v>
          </cell>
          <cell r="O2675" t="str">
            <v>[No Vendor]</v>
          </cell>
        </row>
        <row r="2676">
          <cell r="D2676">
            <v>81.849999999999994</v>
          </cell>
          <cell r="H2676">
            <v>45474</v>
          </cell>
          <cell r="I2676" t="str">
            <v>6040 - Employer Paid Benefits</v>
          </cell>
          <cell r="J2676">
            <v>0</v>
          </cell>
          <cell r="K2676" t="str">
            <v>Administration</v>
          </cell>
          <cell r="L2676" t="str">
            <v>HQ Salaries</v>
          </cell>
          <cell r="N2676" t="str">
            <v>SG&amp;A</v>
          </cell>
          <cell r="O2676" t="str">
            <v>[No Vendor]</v>
          </cell>
        </row>
        <row r="2677">
          <cell r="D2677">
            <v>-2575</v>
          </cell>
          <cell r="H2677">
            <v>45474</v>
          </cell>
          <cell r="I2677" t="str">
            <v>6005 - Salaries</v>
          </cell>
          <cell r="J2677">
            <v>0</v>
          </cell>
          <cell r="K2677" t="str">
            <v>Merchandising</v>
          </cell>
          <cell r="L2677" t="str">
            <v>HQ Salaries</v>
          </cell>
          <cell r="N2677" t="str">
            <v>SG&amp;A</v>
          </cell>
          <cell r="O2677" t="str">
            <v>[No Vendor]</v>
          </cell>
        </row>
        <row r="2678">
          <cell r="D2678">
            <v>-4955.78</v>
          </cell>
          <cell r="H2678">
            <v>45474</v>
          </cell>
          <cell r="I2678" t="str">
            <v>6005 - Salaries</v>
          </cell>
          <cell r="J2678" t="str">
            <v>Wholesale</v>
          </cell>
          <cell r="K2678" t="str">
            <v>Wholesale</v>
          </cell>
          <cell r="L2678" t="str">
            <v>HQ Salaries</v>
          </cell>
          <cell r="N2678" t="str">
            <v>SG&amp;A</v>
          </cell>
          <cell r="O2678" t="str">
            <v>[No Vendor]</v>
          </cell>
        </row>
        <row r="2679">
          <cell r="D2679">
            <v>-9994.25</v>
          </cell>
          <cell r="H2679">
            <v>45474</v>
          </cell>
          <cell r="I2679" t="str">
            <v>6005 - Salaries</v>
          </cell>
          <cell r="J2679">
            <v>0</v>
          </cell>
          <cell r="K2679" t="str">
            <v>Production</v>
          </cell>
          <cell r="L2679" t="str">
            <v>HQ Salaries</v>
          </cell>
          <cell r="N2679" t="str">
            <v>SG&amp;A</v>
          </cell>
          <cell r="O2679" t="str">
            <v>[No Vendor]</v>
          </cell>
        </row>
        <row r="2680">
          <cell r="D2680">
            <v>-1634.62</v>
          </cell>
          <cell r="H2680">
            <v>45474</v>
          </cell>
          <cell r="I2680" t="str">
            <v>6005 - Salaries</v>
          </cell>
          <cell r="J2680">
            <v>0</v>
          </cell>
          <cell r="K2680" t="str">
            <v>Brand Marketing</v>
          </cell>
          <cell r="L2680" t="str">
            <v>HQ Salaries</v>
          </cell>
          <cell r="N2680" t="str">
            <v>SG&amp;A</v>
          </cell>
          <cell r="O2680" t="str">
            <v>[No Vendor]</v>
          </cell>
        </row>
        <row r="2681">
          <cell r="D2681">
            <v>-10390.4</v>
          </cell>
          <cell r="H2681">
            <v>45474</v>
          </cell>
          <cell r="I2681" t="str">
            <v>6005 - Salaries</v>
          </cell>
          <cell r="J2681" t="str">
            <v>Ecommerce (US)</v>
          </cell>
          <cell r="K2681" t="str">
            <v>Ecommerce</v>
          </cell>
          <cell r="L2681" t="str">
            <v>HQ Salaries</v>
          </cell>
          <cell r="N2681" t="str">
            <v>SG&amp;A</v>
          </cell>
          <cell r="O2681" t="str">
            <v>[No Vendor]</v>
          </cell>
        </row>
        <row r="2682">
          <cell r="D2682">
            <v>-10428.85</v>
          </cell>
          <cell r="H2682">
            <v>45474</v>
          </cell>
          <cell r="I2682" t="str">
            <v>6005 - Salaries</v>
          </cell>
          <cell r="J2682">
            <v>0</v>
          </cell>
          <cell r="K2682" t="str">
            <v>Design</v>
          </cell>
          <cell r="L2682" t="str">
            <v>HQ Salaries</v>
          </cell>
          <cell r="N2682" t="str">
            <v>SG&amp;A</v>
          </cell>
          <cell r="O2682" t="str">
            <v>[No Vendor]</v>
          </cell>
        </row>
        <row r="2683">
          <cell r="D2683">
            <v>173.02</v>
          </cell>
          <cell r="H2683">
            <v>45474</v>
          </cell>
          <cell r="I2683" t="str">
            <v>6040 - Employer Paid Benefits</v>
          </cell>
          <cell r="J2683" t="str">
            <v>Ecommerce (US)</v>
          </cell>
          <cell r="K2683" t="str">
            <v>Ecommerce</v>
          </cell>
          <cell r="L2683" t="str">
            <v>HQ Salaries</v>
          </cell>
          <cell r="N2683" t="str">
            <v>SG&amp;A</v>
          </cell>
          <cell r="O2683" t="str">
            <v>United of Omaha Life Insurance Company</v>
          </cell>
        </row>
        <row r="2684">
          <cell r="D2684">
            <v>700</v>
          </cell>
          <cell r="H2684">
            <v>45474</v>
          </cell>
          <cell r="I2684" t="str">
            <v>6205 - Contractors</v>
          </cell>
          <cell r="J2684">
            <v>0</v>
          </cell>
          <cell r="K2684" t="str">
            <v>Brand Marketing</v>
          </cell>
          <cell r="L2684" t="str">
            <v>HQ Salaries</v>
          </cell>
          <cell r="N2684" t="str">
            <v>SG&amp;A</v>
          </cell>
          <cell r="O2684" t="str">
            <v>Ammy  Thitichaya Chan</v>
          </cell>
        </row>
        <row r="2685">
          <cell r="D2685">
            <v>37.82</v>
          </cell>
          <cell r="H2685">
            <v>45474</v>
          </cell>
          <cell r="I2685" t="str">
            <v>6370 - Samples</v>
          </cell>
          <cell r="J2685">
            <v>0</v>
          </cell>
          <cell r="K2685" t="str">
            <v>Design</v>
          </cell>
          <cell r="L2685" t="str">
            <v>Sample</v>
          </cell>
          <cell r="N2685" t="str">
            <v>SG&amp;A</v>
          </cell>
          <cell r="O2685" t="str">
            <v>Consul + SRL</v>
          </cell>
        </row>
        <row r="2686">
          <cell r="D2686">
            <v>1300</v>
          </cell>
          <cell r="H2686">
            <v>45474</v>
          </cell>
          <cell r="I2686" t="str">
            <v>6363 - Development</v>
          </cell>
          <cell r="J2686" t="str">
            <v>Wholesale</v>
          </cell>
          <cell r="K2686" t="str">
            <v>Production</v>
          </cell>
          <cell r="L2686" t="str">
            <v>Sample</v>
          </cell>
          <cell r="N2686" t="str">
            <v>SG&amp;A</v>
          </cell>
          <cell r="O2686" t="str">
            <v>Porta Asiatica Enterprises Inc</v>
          </cell>
        </row>
        <row r="2687">
          <cell r="D2687">
            <v>223.89</v>
          </cell>
          <cell r="H2687">
            <v>45474</v>
          </cell>
          <cell r="I2687" t="str">
            <v>6040 - Employer Paid Benefits</v>
          </cell>
          <cell r="J2687">
            <v>0</v>
          </cell>
          <cell r="K2687" t="str">
            <v>Design</v>
          </cell>
          <cell r="L2687" t="str">
            <v>HQ Salaries</v>
          </cell>
          <cell r="N2687" t="str">
            <v>SG&amp;A</v>
          </cell>
          <cell r="O2687" t="str">
            <v>United of Omaha Life Insurance Company</v>
          </cell>
        </row>
        <row r="2688">
          <cell r="D2688">
            <v>432.63</v>
          </cell>
          <cell r="H2688">
            <v>45474</v>
          </cell>
          <cell r="I2688" t="str">
            <v>6040 - Employer Paid Benefits</v>
          </cell>
          <cell r="J2688">
            <v>0</v>
          </cell>
          <cell r="K2688" t="str">
            <v>Administration</v>
          </cell>
          <cell r="L2688" t="str">
            <v>HQ Salaries</v>
          </cell>
          <cell r="N2688" t="str">
            <v>SG&amp;A</v>
          </cell>
          <cell r="O2688" t="str">
            <v>United of Omaha Life Insurance Company</v>
          </cell>
        </row>
        <row r="2689">
          <cell r="D2689">
            <v>110.41</v>
          </cell>
          <cell r="H2689">
            <v>45474</v>
          </cell>
          <cell r="I2689" t="str">
            <v>6040 - Employer Paid Benefits</v>
          </cell>
          <cell r="J2689" t="str">
            <v>Wholesale</v>
          </cell>
          <cell r="K2689" t="str">
            <v>Wholesale</v>
          </cell>
          <cell r="L2689" t="str">
            <v>HQ Salaries</v>
          </cell>
          <cell r="N2689" t="str">
            <v>SG&amp;A</v>
          </cell>
          <cell r="O2689" t="str">
            <v>United of Omaha Life Insurance Company</v>
          </cell>
        </row>
        <row r="2690">
          <cell r="D2690">
            <v>309.77</v>
          </cell>
          <cell r="H2690">
            <v>45474</v>
          </cell>
          <cell r="I2690" t="str">
            <v>6040 - Employer Paid Benefits</v>
          </cell>
          <cell r="J2690">
            <v>0</v>
          </cell>
          <cell r="K2690" t="str">
            <v>Production</v>
          </cell>
          <cell r="L2690" t="str">
            <v>HQ Salaries</v>
          </cell>
          <cell r="N2690" t="str">
            <v>SG&amp;A</v>
          </cell>
          <cell r="O2690" t="str">
            <v>United of Omaha Life Insurance Company</v>
          </cell>
        </row>
        <row r="2691">
          <cell r="D2691">
            <v>86.43</v>
          </cell>
          <cell r="H2691">
            <v>45474</v>
          </cell>
          <cell r="I2691" t="str">
            <v>6040 - Employer Paid Benefits</v>
          </cell>
          <cell r="J2691">
            <v>0</v>
          </cell>
          <cell r="K2691" t="str">
            <v>Merchandising</v>
          </cell>
          <cell r="L2691" t="str">
            <v>HQ Salaries</v>
          </cell>
          <cell r="N2691" t="str">
            <v>SG&amp;A</v>
          </cell>
          <cell r="O2691" t="str">
            <v>United of Omaha Life Insurance Company</v>
          </cell>
        </row>
        <row r="2692">
          <cell r="D2692">
            <v>47.05</v>
          </cell>
          <cell r="H2692">
            <v>45474</v>
          </cell>
          <cell r="I2692" t="str">
            <v>6040 - Employer Paid Benefits</v>
          </cell>
          <cell r="J2692">
            <v>0</v>
          </cell>
          <cell r="K2692" t="str">
            <v>Brand Marketing</v>
          </cell>
          <cell r="L2692" t="str">
            <v>HQ Salaries</v>
          </cell>
          <cell r="N2692" t="str">
            <v>SG&amp;A</v>
          </cell>
          <cell r="O2692" t="str">
            <v>United of Omaha Life Insurance Company</v>
          </cell>
        </row>
        <row r="2693">
          <cell r="D2693">
            <v>124.11</v>
          </cell>
          <cell r="H2693">
            <v>45474</v>
          </cell>
          <cell r="I2693" t="str">
            <v>6040 - Employer Paid Benefits</v>
          </cell>
          <cell r="J2693">
            <v>0</v>
          </cell>
          <cell r="K2693" t="str">
            <v>Executive</v>
          </cell>
          <cell r="L2693" t="str">
            <v>HQ Salaries</v>
          </cell>
          <cell r="N2693" t="str">
            <v>SG&amp;A</v>
          </cell>
          <cell r="O2693" t="str">
            <v>United of Omaha Life Insurance Company</v>
          </cell>
        </row>
        <row r="2694">
          <cell r="D2694">
            <v>3101.52</v>
          </cell>
          <cell r="H2694">
            <v>45474</v>
          </cell>
          <cell r="I2694" t="str">
            <v>6450 - Bank &amp; Other Fees</v>
          </cell>
          <cell r="J2694" t="str">
            <v>Wholesale</v>
          </cell>
          <cell r="K2694" t="str">
            <v>Wholesale</v>
          </cell>
          <cell r="L2694" t="str">
            <v>Professional Service</v>
          </cell>
          <cell r="N2694" t="str">
            <v>Direct Costs</v>
          </cell>
          <cell r="O2694" t="str">
            <v>Paymentech</v>
          </cell>
        </row>
        <row r="2695">
          <cell r="D2695">
            <v>275</v>
          </cell>
          <cell r="H2695">
            <v>45474</v>
          </cell>
          <cell r="I2695" t="str">
            <v>6115 - Airfare</v>
          </cell>
          <cell r="J2695">
            <v>0</v>
          </cell>
          <cell r="K2695" t="str">
            <v>Administration</v>
          </cell>
          <cell r="L2695" t="str">
            <v>T&amp;E</v>
          </cell>
          <cell r="N2695" t="str">
            <v>SG&amp;A</v>
          </cell>
          <cell r="O2695" t="str">
            <v>[No Vendor]</v>
          </cell>
        </row>
        <row r="2696">
          <cell r="D2696">
            <v>281.39</v>
          </cell>
          <cell r="H2696">
            <v>45474</v>
          </cell>
          <cell r="I2696" t="str">
            <v>6340 - Miscellaneous Expense</v>
          </cell>
          <cell r="J2696">
            <v>0</v>
          </cell>
          <cell r="K2696" t="str">
            <v>Administration</v>
          </cell>
          <cell r="L2696" t="str">
            <v>Other</v>
          </cell>
          <cell r="N2696" t="str">
            <v>SG&amp;A</v>
          </cell>
          <cell r="O2696" t="str">
            <v>[No Vendor]</v>
          </cell>
        </row>
        <row r="2697">
          <cell r="D2697">
            <v>1007.5</v>
          </cell>
          <cell r="H2697">
            <v>45474</v>
          </cell>
          <cell r="I2697" t="str">
            <v>6300 - Payroll Service Fees</v>
          </cell>
          <cell r="J2697">
            <v>0</v>
          </cell>
          <cell r="K2697" t="str">
            <v>Administration</v>
          </cell>
          <cell r="L2697" t="str">
            <v>Professional Service</v>
          </cell>
          <cell r="N2697" t="str">
            <v>SG&amp;A</v>
          </cell>
          <cell r="O2697" t="str">
            <v>OperationsInc, LLC</v>
          </cell>
        </row>
        <row r="2698">
          <cell r="D2698">
            <v>700</v>
          </cell>
          <cell r="H2698">
            <v>45474</v>
          </cell>
          <cell r="I2698" t="str">
            <v>6225 - Professional Services</v>
          </cell>
          <cell r="J2698">
            <v>0</v>
          </cell>
          <cell r="K2698" t="str">
            <v>Brand Marketing</v>
          </cell>
          <cell r="L2698" t="str">
            <v>Professional Service</v>
          </cell>
          <cell r="N2698" t="str">
            <v>Direct Costs</v>
          </cell>
          <cell r="O2698" t="str">
            <v>Melody  Huang</v>
          </cell>
        </row>
        <row r="2699">
          <cell r="D2699">
            <v>314.89999999999998</v>
          </cell>
          <cell r="H2699">
            <v>45474</v>
          </cell>
          <cell r="I2699" t="str">
            <v>6115 - Airfare</v>
          </cell>
          <cell r="J2699">
            <v>0</v>
          </cell>
          <cell r="K2699" t="str">
            <v>Administration</v>
          </cell>
          <cell r="L2699" t="str">
            <v>T&amp;E</v>
          </cell>
          <cell r="N2699" t="str">
            <v>SG&amp;A</v>
          </cell>
          <cell r="O2699" t="str">
            <v>[No Vendor]</v>
          </cell>
        </row>
        <row r="2700">
          <cell r="D2700">
            <v>431.05</v>
          </cell>
          <cell r="H2700">
            <v>45474</v>
          </cell>
          <cell r="I2700" t="str">
            <v>6115 - Airfare</v>
          </cell>
          <cell r="J2700">
            <v>0</v>
          </cell>
          <cell r="K2700" t="str">
            <v>Administration</v>
          </cell>
          <cell r="L2700" t="str">
            <v>T&amp;E</v>
          </cell>
          <cell r="N2700" t="str">
            <v>SG&amp;A</v>
          </cell>
          <cell r="O2700" t="str">
            <v>[No Vendor]</v>
          </cell>
        </row>
        <row r="2701">
          <cell r="D2701">
            <v>-244.82</v>
          </cell>
          <cell r="H2701">
            <v>45474</v>
          </cell>
          <cell r="I2701" t="str">
            <v>6377 - Order Processing Expenses (New)</v>
          </cell>
          <cell r="J2701" t="str">
            <v>Ecommerce (US)</v>
          </cell>
          <cell r="K2701" t="str">
            <v>No Department</v>
          </cell>
          <cell r="L2701" t="str">
            <v>Order Processing</v>
          </cell>
          <cell r="N2701" t="str">
            <v>Direct Costs</v>
          </cell>
          <cell r="O2701" t="str">
            <v>Bergen Logistics Corporation</v>
          </cell>
        </row>
        <row r="2702">
          <cell r="D2702">
            <v>499.32</v>
          </cell>
          <cell r="H2702">
            <v>45474</v>
          </cell>
          <cell r="I2702" t="str">
            <v>6040 - Employer Paid Benefits</v>
          </cell>
          <cell r="J2702">
            <v>0</v>
          </cell>
          <cell r="K2702" t="str">
            <v>Administration</v>
          </cell>
          <cell r="L2702" t="str">
            <v>HQ Salaries</v>
          </cell>
          <cell r="N2702" t="str">
            <v>SG&amp;A</v>
          </cell>
          <cell r="O2702" t="str">
            <v>Procyon Benefits LLC</v>
          </cell>
        </row>
        <row r="2703">
          <cell r="D2703">
            <v>58.79</v>
          </cell>
          <cell r="H2703">
            <v>45474</v>
          </cell>
          <cell r="I2703" t="str">
            <v>6393 - Software</v>
          </cell>
          <cell r="J2703">
            <v>0</v>
          </cell>
          <cell r="K2703" t="str">
            <v>Administration</v>
          </cell>
          <cell r="L2703" t="str">
            <v>Professional Service</v>
          </cell>
          <cell r="N2703" t="str">
            <v>Direct Costs</v>
          </cell>
          <cell r="O2703">
            <v>0</v>
          </cell>
        </row>
        <row r="2704">
          <cell r="D2704">
            <v>65.33</v>
          </cell>
          <cell r="H2704">
            <v>45474</v>
          </cell>
          <cell r="I2704" t="str">
            <v>6393 - Software</v>
          </cell>
          <cell r="J2704">
            <v>0</v>
          </cell>
          <cell r="K2704" t="str">
            <v>Administration</v>
          </cell>
          <cell r="L2704" t="str">
            <v>Professional Service</v>
          </cell>
          <cell r="N2704" t="str">
            <v>Direct Costs</v>
          </cell>
          <cell r="O2704" t="str">
            <v>Brivo Pass</v>
          </cell>
        </row>
        <row r="2705">
          <cell r="D2705">
            <v>1687.3</v>
          </cell>
          <cell r="H2705">
            <v>45474</v>
          </cell>
          <cell r="I2705" t="str">
            <v>6393 - Software</v>
          </cell>
          <cell r="J2705">
            <v>0</v>
          </cell>
          <cell r="K2705" t="str">
            <v>Administration</v>
          </cell>
          <cell r="L2705" t="str">
            <v>Professional Service</v>
          </cell>
          <cell r="N2705" t="str">
            <v>Direct Costs</v>
          </cell>
          <cell r="O2705" t="str">
            <v>Adobe, Inc.</v>
          </cell>
        </row>
        <row r="2706">
          <cell r="D2706">
            <v>0.88</v>
          </cell>
          <cell r="H2706">
            <v>45474</v>
          </cell>
          <cell r="I2706" t="str">
            <v>6450 - Bank &amp; Other Fees</v>
          </cell>
          <cell r="J2706">
            <v>0</v>
          </cell>
          <cell r="K2706" t="str">
            <v>Administration</v>
          </cell>
          <cell r="L2706" t="str">
            <v>Professional Service</v>
          </cell>
          <cell r="N2706" t="str">
            <v>SG&amp;A</v>
          </cell>
          <cell r="O2706" t="str">
            <v>[No Vendor]</v>
          </cell>
        </row>
        <row r="2707">
          <cell r="D2707">
            <v>415.45</v>
          </cell>
          <cell r="H2707">
            <v>45474</v>
          </cell>
          <cell r="I2707" t="str">
            <v>6040 - Employer Paid Benefits</v>
          </cell>
          <cell r="J2707">
            <v>0</v>
          </cell>
          <cell r="K2707" t="str">
            <v>Production</v>
          </cell>
          <cell r="L2707" t="str">
            <v>HQ Salaries</v>
          </cell>
          <cell r="N2707" t="str">
            <v>SG&amp;A</v>
          </cell>
          <cell r="O2707" t="str">
            <v>Procyon Benefits LLC</v>
          </cell>
        </row>
        <row r="2708">
          <cell r="D2708">
            <v>24.1</v>
          </cell>
          <cell r="H2708">
            <v>45474</v>
          </cell>
          <cell r="I2708" t="str">
            <v>6040 - Employer Paid Benefits</v>
          </cell>
          <cell r="J2708">
            <v>0</v>
          </cell>
          <cell r="K2708" t="str">
            <v>Merchandising</v>
          </cell>
          <cell r="L2708" t="str">
            <v>HQ Salaries</v>
          </cell>
          <cell r="N2708" t="str">
            <v>SG&amp;A</v>
          </cell>
          <cell r="O2708" t="str">
            <v>Procyon Benefits LLC</v>
          </cell>
        </row>
        <row r="2709">
          <cell r="D2709">
            <v>156.44999999999999</v>
          </cell>
          <cell r="H2709">
            <v>45474</v>
          </cell>
          <cell r="I2709" t="str">
            <v>6040 - Employer Paid Benefits</v>
          </cell>
          <cell r="J2709">
            <v>0</v>
          </cell>
          <cell r="K2709" t="str">
            <v>Design</v>
          </cell>
          <cell r="L2709" t="str">
            <v>HQ Salaries</v>
          </cell>
          <cell r="N2709" t="str">
            <v>SG&amp;A</v>
          </cell>
          <cell r="O2709" t="str">
            <v>Procyon Benefits LLC</v>
          </cell>
        </row>
        <row r="2710">
          <cell r="D2710">
            <v>136.66</v>
          </cell>
          <cell r="H2710">
            <v>45474</v>
          </cell>
          <cell r="I2710" t="str">
            <v>6375 - Freight Expenses</v>
          </cell>
          <cell r="J2710">
            <v>0</v>
          </cell>
          <cell r="K2710" t="str">
            <v>Administration</v>
          </cell>
          <cell r="L2710" t="str">
            <v>Freight</v>
          </cell>
          <cell r="N2710" t="str">
            <v>Direct Costs</v>
          </cell>
          <cell r="O2710" t="str">
            <v>[No Vendor]</v>
          </cell>
        </row>
        <row r="2711">
          <cell r="D2711">
            <v>190.53</v>
          </cell>
          <cell r="H2711">
            <v>45474</v>
          </cell>
          <cell r="I2711" t="str">
            <v>6340 - Miscellaneous Expense</v>
          </cell>
          <cell r="J2711">
            <v>0</v>
          </cell>
          <cell r="K2711" t="str">
            <v>Administration</v>
          </cell>
          <cell r="L2711" t="str">
            <v>Other</v>
          </cell>
          <cell r="N2711" t="str">
            <v>SG&amp;A</v>
          </cell>
          <cell r="O2711" t="str">
            <v>[No Vendor]</v>
          </cell>
        </row>
        <row r="2712">
          <cell r="D2712">
            <v>326.61</v>
          </cell>
          <cell r="H2712">
            <v>45474</v>
          </cell>
          <cell r="I2712" t="str">
            <v>6340 - Miscellaneous Expense</v>
          </cell>
          <cell r="J2712">
            <v>0</v>
          </cell>
          <cell r="K2712" t="str">
            <v>Administration</v>
          </cell>
          <cell r="L2712" t="str">
            <v>Other</v>
          </cell>
          <cell r="N2712" t="str">
            <v>SG&amp;A</v>
          </cell>
          <cell r="O2712" t="str">
            <v>[No Vendor]</v>
          </cell>
        </row>
        <row r="2713">
          <cell r="D2713">
            <v>1714.49</v>
          </cell>
          <cell r="H2713">
            <v>45474</v>
          </cell>
          <cell r="I2713" t="str">
            <v>6215 - Recruitment</v>
          </cell>
          <cell r="J2713">
            <v>0</v>
          </cell>
          <cell r="K2713" t="str">
            <v>Administration</v>
          </cell>
          <cell r="L2713" t="str">
            <v>Professional Service</v>
          </cell>
          <cell r="N2713" t="str">
            <v>SG&amp;A</v>
          </cell>
          <cell r="O2713" t="str">
            <v>LinkedIn</v>
          </cell>
        </row>
        <row r="2714">
          <cell r="D2714">
            <v>246</v>
          </cell>
          <cell r="H2714">
            <v>45474</v>
          </cell>
          <cell r="I2714" t="str">
            <v>6430 - Dues &amp; Memberships</v>
          </cell>
          <cell r="J2714" t="str">
            <v>Wholesale</v>
          </cell>
          <cell r="K2714" t="str">
            <v>Wholesale</v>
          </cell>
          <cell r="L2714" t="str">
            <v>Professional Service</v>
          </cell>
          <cell r="N2714" t="str">
            <v>Direct Costs</v>
          </cell>
          <cell r="O2714" t="str">
            <v>SPS Commerce</v>
          </cell>
        </row>
        <row r="2715">
          <cell r="D2715">
            <v>53.93</v>
          </cell>
          <cell r="H2715">
            <v>45474</v>
          </cell>
          <cell r="I2715" t="str">
            <v>6125 - Transportation and Fuel</v>
          </cell>
          <cell r="J2715">
            <v>0</v>
          </cell>
          <cell r="K2715" t="str">
            <v>Administration</v>
          </cell>
          <cell r="L2715" t="str">
            <v>T&amp;E</v>
          </cell>
          <cell r="N2715" t="str">
            <v>SG&amp;A</v>
          </cell>
          <cell r="O2715" t="str">
            <v>[No Vendor]</v>
          </cell>
        </row>
        <row r="2716">
          <cell r="D2716">
            <v>31.77</v>
          </cell>
          <cell r="H2716">
            <v>45474</v>
          </cell>
          <cell r="I2716" t="str">
            <v>6125 - Transportation and Fuel</v>
          </cell>
          <cell r="J2716">
            <v>0</v>
          </cell>
          <cell r="K2716" t="str">
            <v>Administration</v>
          </cell>
          <cell r="L2716" t="str">
            <v>T&amp;E</v>
          </cell>
          <cell r="N2716" t="str">
            <v>SG&amp;A</v>
          </cell>
          <cell r="O2716" t="str">
            <v>[No Vendor]</v>
          </cell>
        </row>
        <row r="2717">
          <cell r="D2717">
            <v>45.02</v>
          </cell>
          <cell r="H2717">
            <v>45474</v>
          </cell>
          <cell r="I2717" t="str">
            <v>6105 - Meals</v>
          </cell>
          <cell r="J2717">
            <v>0</v>
          </cell>
          <cell r="K2717" t="str">
            <v>Administration</v>
          </cell>
          <cell r="L2717" t="str">
            <v>T&amp;E</v>
          </cell>
          <cell r="N2717" t="str">
            <v>SG&amp;A</v>
          </cell>
          <cell r="O2717" t="str">
            <v>[No Vendor]</v>
          </cell>
        </row>
        <row r="2718">
          <cell r="D2718">
            <v>17.39</v>
          </cell>
          <cell r="H2718">
            <v>45474</v>
          </cell>
          <cell r="I2718" t="str">
            <v>6105 - Meals</v>
          </cell>
          <cell r="J2718">
            <v>0</v>
          </cell>
          <cell r="K2718" t="str">
            <v>Administration</v>
          </cell>
          <cell r="L2718" t="str">
            <v>T&amp;E</v>
          </cell>
          <cell r="N2718" t="str">
            <v>SG&amp;A</v>
          </cell>
          <cell r="O2718" t="str">
            <v>[No Vendor]</v>
          </cell>
        </row>
        <row r="2719">
          <cell r="D2719">
            <v>460.7</v>
          </cell>
          <cell r="H2719">
            <v>45474</v>
          </cell>
          <cell r="I2719" t="str">
            <v>6105 - Meals</v>
          </cell>
          <cell r="J2719">
            <v>0</v>
          </cell>
          <cell r="K2719" t="str">
            <v>Administration</v>
          </cell>
          <cell r="L2719" t="str">
            <v>T&amp;E</v>
          </cell>
          <cell r="N2719" t="str">
            <v>SG&amp;A</v>
          </cell>
          <cell r="O2719" t="str">
            <v>[No Vendor]</v>
          </cell>
        </row>
        <row r="2720">
          <cell r="D2720">
            <v>9.33</v>
          </cell>
          <cell r="H2720">
            <v>45474</v>
          </cell>
          <cell r="I2720" t="str">
            <v>6105 - Meals</v>
          </cell>
          <cell r="J2720">
            <v>0</v>
          </cell>
          <cell r="K2720" t="str">
            <v>Administration</v>
          </cell>
          <cell r="L2720" t="str">
            <v>T&amp;E</v>
          </cell>
          <cell r="N2720" t="str">
            <v>SG&amp;A</v>
          </cell>
          <cell r="O2720" t="str">
            <v>[No Vendor]</v>
          </cell>
        </row>
        <row r="2721">
          <cell r="D2721">
            <v>86</v>
          </cell>
          <cell r="H2721">
            <v>45474</v>
          </cell>
          <cell r="I2721" t="str">
            <v>6105 - Meals</v>
          </cell>
          <cell r="J2721">
            <v>0</v>
          </cell>
          <cell r="K2721" t="str">
            <v>Administration</v>
          </cell>
          <cell r="L2721" t="str">
            <v>T&amp;E</v>
          </cell>
          <cell r="N2721" t="str">
            <v>SG&amp;A</v>
          </cell>
          <cell r="O2721" t="str">
            <v>[No Vendor]</v>
          </cell>
        </row>
        <row r="2722">
          <cell r="D2722">
            <v>30.56</v>
          </cell>
          <cell r="H2722">
            <v>45474</v>
          </cell>
          <cell r="I2722" t="str">
            <v>6105 - Meals</v>
          </cell>
          <cell r="J2722">
            <v>0</v>
          </cell>
          <cell r="K2722" t="str">
            <v>Administration</v>
          </cell>
          <cell r="L2722" t="str">
            <v>T&amp;E</v>
          </cell>
          <cell r="N2722" t="str">
            <v>SG&amp;A</v>
          </cell>
          <cell r="O2722" t="str">
            <v>[No Vendor]</v>
          </cell>
        </row>
        <row r="2723">
          <cell r="D2723">
            <v>17738.900000000001</v>
          </cell>
          <cell r="H2723">
            <v>45474</v>
          </cell>
          <cell r="I2723" t="str">
            <v>6375 - Freight Expenses</v>
          </cell>
          <cell r="J2723" t="str">
            <v>Ecommerce (US)</v>
          </cell>
          <cell r="K2723" t="str">
            <v>Ecommerce</v>
          </cell>
          <cell r="L2723" t="str">
            <v>Freight</v>
          </cell>
          <cell r="N2723" t="str">
            <v>Direct Costs</v>
          </cell>
          <cell r="O2723" t="str">
            <v>UPS Supply Chain Solutions Inc. (7F24A0)</v>
          </cell>
        </row>
        <row r="2724">
          <cell r="D2724">
            <v>7500</v>
          </cell>
          <cell r="H2724">
            <v>45474</v>
          </cell>
          <cell r="I2724" t="str">
            <v>6225 - Professional Services</v>
          </cell>
          <cell r="J2724">
            <v>0</v>
          </cell>
          <cell r="K2724" t="str">
            <v>Brand Marketing</v>
          </cell>
          <cell r="L2724" t="str">
            <v>Professional Service</v>
          </cell>
          <cell r="N2724" t="str">
            <v>Direct Costs</v>
          </cell>
          <cell r="O2724" t="str">
            <v>PapePR</v>
          </cell>
        </row>
        <row r="2725">
          <cell r="D2725">
            <v>1245</v>
          </cell>
          <cell r="H2725">
            <v>45474</v>
          </cell>
          <cell r="I2725" t="str">
            <v>6393 - Software</v>
          </cell>
          <cell r="J2725">
            <v>0</v>
          </cell>
          <cell r="K2725" t="str">
            <v>Design</v>
          </cell>
          <cell r="L2725" t="str">
            <v>Professional Service</v>
          </cell>
          <cell r="N2725" t="str">
            <v>Direct Costs</v>
          </cell>
          <cell r="O2725">
            <v>0</v>
          </cell>
        </row>
        <row r="2726">
          <cell r="D2726">
            <v>4412</v>
          </cell>
          <cell r="H2726">
            <v>45474</v>
          </cell>
          <cell r="I2726" t="str">
            <v>6240 - Product Photography</v>
          </cell>
          <cell r="J2726" t="str">
            <v>Ecommerce (US)</v>
          </cell>
          <cell r="K2726" t="str">
            <v>Brand Marketing</v>
          </cell>
          <cell r="L2726" t="str">
            <v>Advertising</v>
          </cell>
          <cell r="N2726" t="str">
            <v>SG&amp;A</v>
          </cell>
          <cell r="O2726" t="str">
            <v>Theerapol Thammasitboon</v>
          </cell>
        </row>
        <row r="2727">
          <cell r="D2727">
            <v>87000</v>
          </cell>
          <cell r="H2727">
            <v>45474</v>
          </cell>
          <cell r="I2727" t="str">
            <v>6215 - Recruitment</v>
          </cell>
          <cell r="J2727">
            <v>0</v>
          </cell>
          <cell r="K2727" t="str">
            <v>Brand Marketing</v>
          </cell>
          <cell r="L2727" t="str">
            <v>Professional Service</v>
          </cell>
          <cell r="N2727" t="str">
            <v>SG&amp;A</v>
          </cell>
          <cell r="O2727" t="str">
            <v>Cesna Group Inc</v>
          </cell>
        </row>
        <row r="2728">
          <cell r="D2728">
            <v>40</v>
          </cell>
          <cell r="H2728">
            <v>45474</v>
          </cell>
          <cell r="I2728" t="str">
            <v>6140 - Other</v>
          </cell>
          <cell r="J2728">
            <v>0</v>
          </cell>
          <cell r="K2728" t="str">
            <v>Design</v>
          </cell>
          <cell r="L2728" t="str">
            <v>T&amp;E</v>
          </cell>
          <cell r="N2728" t="str">
            <v>SG&amp;A</v>
          </cell>
          <cell r="O2728" t="str">
            <v>[No Vendor]</v>
          </cell>
        </row>
        <row r="2729">
          <cell r="D2729">
            <v>-94.04</v>
          </cell>
          <cell r="H2729">
            <v>45474</v>
          </cell>
          <cell r="I2729" t="str">
            <v>6040 - Employer Paid Benefits</v>
          </cell>
          <cell r="J2729">
            <v>0</v>
          </cell>
          <cell r="K2729" t="str">
            <v>Administration</v>
          </cell>
          <cell r="L2729" t="str">
            <v>HQ Salaries</v>
          </cell>
          <cell r="N2729" t="str">
            <v>SG&amp;A</v>
          </cell>
          <cell r="O2729" t="str">
            <v>[No Vendor]</v>
          </cell>
        </row>
        <row r="2730">
          <cell r="D2730">
            <v>2076.87</v>
          </cell>
          <cell r="H2730">
            <v>45474</v>
          </cell>
          <cell r="I2730" t="str">
            <v>6450 - Bank &amp; Other Fees</v>
          </cell>
          <cell r="J2730" t="str">
            <v>Ecommerce (EU)</v>
          </cell>
          <cell r="K2730" t="str">
            <v>Ecommerce</v>
          </cell>
          <cell r="L2730" t="str">
            <v>Professional Service</v>
          </cell>
          <cell r="N2730" t="str">
            <v>Direct Costs</v>
          </cell>
          <cell r="O2730" t="str">
            <v>[No Vendor]</v>
          </cell>
        </row>
        <row r="2731">
          <cell r="D2731">
            <v>337.31</v>
          </cell>
          <cell r="H2731">
            <v>45474</v>
          </cell>
          <cell r="I2731" t="str">
            <v>6300 - Payroll Service Fees</v>
          </cell>
          <cell r="J2731">
            <v>0</v>
          </cell>
          <cell r="K2731" t="str">
            <v>Administration</v>
          </cell>
          <cell r="L2731" t="str">
            <v>Professional Service</v>
          </cell>
          <cell r="N2731" t="str">
            <v>SG&amp;A</v>
          </cell>
          <cell r="O2731" t="str">
            <v>ADP Payroll Services</v>
          </cell>
        </row>
        <row r="2732">
          <cell r="D2732">
            <v>2570.61</v>
          </cell>
          <cell r="H2732">
            <v>45474</v>
          </cell>
          <cell r="I2732" t="str">
            <v>6375 - Freight Expenses</v>
          </cell>
          <cell r="J2732" t="str">
            <v>Ecommerce (EU)</v>
          </cell>
          <cell r="K2732" t="str">
            <v>Ecommerce</v>
          </cell>
          <cell r="L2732" t="str">
            <v>Freight</v>
          </cell>
          <cell r="N2732" t="str">
            <v>Direct Costs</v>
          </cell>
          <cell r="O2732" t="str">
            <v>Global E</v>
          </cell>
        </row>
        <row r="2733">
          <cell r="D2733">
            <v>-119.38</v>
          </cell>
          <cell r="H2733">
            <v>45474</v>
          </cell>
          <cell r="I2733" t="str">
            <v>6375 - Freight Expenses</v>
          </cell>
          <cell r="J2733" t="str">
            <v>Ecommerce (US)</v>
          </cell>
          <cell r="K2733" t="str">
            <v>Ecommerce</v>
          </cell>
          <cell r="L2733" t="str">
            <v>Freight</v>
          </cell>
          <cell r="N2733" t="str">
            <v>Direct Costs</v>
          </cell>
          <cell r="O2733" t="str">
            <v>UPS Supply Chain Solutions Inc. (7F24A0)</v>
          </cell>
        </row>
        <row r="2734">
          <cell r="D2734">
            <v>1600</v>
          </cell>
          <cell r="H2734">
            <v>45474</v>
          </cell>
          <cell r="I2734" t="str">
            <v>6360 - Model - Fitting</v>
          </cell>
          <cell r="J2734">
            <v>0</v>
          </cell>
          <cell r="K2734" t="str">
            <v>Production</v>
          </cell>
          <cell r="L2734" t="str">
            <v>Sample</v>
          </cell>
          <cell r="N2734" t="str">
            <v>SG&amp;A</v>
          </cell>
          <cell r="O2734" t="str">
            <v>Lanny K.W. Inc.</v>
          </cell>
        </row>
        <row r="2735">
          <cell r="D2735">
            <v>2400</v>
          </cell>
          <cell r="H2735">
            <v>45474</v>
          </cell>
          <cell r="I2735" t="str">
            <v>6288 - Model</v>
          </cell>
          <cell r="J2735" t="str">
            <v>Ecommerce (US)</v>
          </cell>
          <cell r="K2735" t="str">
            <v>Brand Marketing</v>
          </cell>
          <cell r="L2735" t="str">
            <v>Advertising</v>
          </cell>
          <cell r="N2735" t="str">
            <v>SG&amp;A</v>
          </cell>
          <cell r="O2735" t="str">
            <v>New York Model Management, Inc.</v>
          </cell>
        </row>
        <row r="2736">
          <cell r="D2736">
            <v>-78.09</v>
          </cell>
          <cell r="H2736">
            <v>45474</v>
          </cell>
          <cell r="I2736" t="str">
            <v>6375 - Freight Expenses</v>
          </cell>
          <cell r="J2736" t="str">
            <v>Ecommerce (US)</v>
          </cell>
          <cell r="K2736" t="str">
            <v>Ecommerce</v>
          </cell>
          <cell r="L2736" t="str">
            <v>Freight</v>
          </cell>
          <cell r="N2736" t="str">
            <v>Direct Costs</v>
          </cell>
          <cell r="O2736" t="str">
            <v>UPS Supply Chain Solutions Inc. (7F24A0)</v>
          </cell>
        </row>
        <row r="2737">
          <cell r="D2737">
            <v>25.95</v>
          </cell>
          <cell r="H2737">
            <v>45474</v>
          </cell>
          <cell r="I2737" t="str">
            <v>6375 - Freight Expenses</v>
          </cell>
          <cell r="J2737" t="str">
            <v>Ecommerce (US)</v>
          </cell>
          <cell r="K2737" t="str">
            <v>Ecommerce</v>
          </cell>
          <cell r="L2737" t="str">
            <v>Freight</v>
          </cell>
          <cell r="N2737" t="str">
            <v>Direct Costs</v>
          </cell>
          <cell r="O2737" t="str">
            <v>Federal Express</v>
          </cell>
        </row>
        <row r="2738">
          <cell r="D2738">
            <v>1034.31</v>
          </cell>
          <cell r="H2738">
            <v>45474</v>
          </cell>
          <cell r="I2738" t="str">
            <v>6340 - Miscellaneous Expense</v>
          </cell>
          <cell r="J2738">
            <v>0</v>
          </cell>
          <cell r="K2738" t="str">
            <v>Administration</v>
          </cell>
          <cell r="L2738" t="str">
            <v>Other</v>
          </cell>
          <cell r="N2738" t="str">
            <v>SG&amp;A</v>
          </cell>
          <cell r="O2738" t="str">
            <v>Go Gleem LLC</v>
          </cell>
        </row>
        <row r="2739">
          <cell r="D2739">
            <v>97.5</v>
          </cell>
          <cell r="H2739">
            <v>45474</v>
          </cell>
          <cell r="I2739" t="str">
            <v>6300 - Payroll Service Fees</v>
          </cell>
          <cell r="J2739">
            <v>0</v>
          </cell>
          <cell r="K2739" t="str">
            <v>Administration</v>
          </cell>
          <cell r="L2739" t="str">
            <v>Professional Service</v>
          </cell>
          <cell r="N2739" t="str">
            <v>SG&amp;A</v>
          </cell>
          <cell r="O2739" t="str">
            <v>OperationsInc, LLC</v>
          </cell>
        </row>
        <row r="2740">
          <cell r="D2740">
            <v>2005.55</v>
          </cell>
          <cell r="H2740">
            <v>45474</v>
          </cell>
          <cell r="I2740" t="str">
            <v>6375 - Freight Expenses</v>
          </cell>
          <cell r="J2740">
            <v>0</v>
          </cell>
          <cell r="K2740" t="str">
            <v>Production</v>
          </cell>
          <cell r="L2740" t="str">
            <v>Freight</v>
          </cell>
          <cell r="N2740" t="str">
            <v>Direct Costs</v>
          </cell>
          <cell r="O2740" t="str">
            <v>DHL Express - USA</v>
          </cell>
        </row>
        <row r="2741">
          <cell r="D2741">
            <v>116.14</v>
          </cell>
          <cell r="H2741">
            <v>45474</v>
          </cell>
          <cell r="I2741" t="str">
            <v>6375 - Freight Expenses</v>
          </cell>
          <cell r="J2741">
            <v>0</v>
          </cell>
          <cell r="K2741" t="str">
            <v>Brand Marketing</v>
          </cell>
          <cell r="L2741" t="str">
            <v>Freight</v>
          </cell>
          <cell r="N2741" t="str">
            <v>Direct Costs</v>
          </cell>
          <cell r="O2741" t="str">
            <v>Caroline  Seong</v>
          </cell>
        </row>
        <row r="2742">
          <cell r="D2742">
            <v>45.58</v>
          </cell>
          <cell r="H2742">
            <v>45474</v>
          </cell>
          <cell r="I2742" t="str">
            <v>6340 - Miscellaneous Expense</v>
          </cell>
          <cell r="J2742">
            <v>0</v>
          </cell>
          <cell r="K2742" t="str">
            <v>Brand Marketing</v>
          </cell>
          <cell r="L2742" t="str">
            <v>Other</v>
          </cell>
          <cell r="N2742" t="str">
            <v>SG&amp;A</v>
          </cell>
          <cell r="O2742" t="str">
            <v>[No Vendor]</v>
          </cell>
        </row>
        <row r="2743">
          <cell r="D2743">
            <v>83.72</v>
          </cell>
          <cell r="H2743">
            <v>45474</v>
          </cell>
          <cell r="I2743" t="str">
            <v>6340 - Miscellaneous Expense</v>
          </cell>
          <cell r="J2743">
            <v>0</v>
          </cell>
          <cell r="K2743" t="str">
            <v>Brand Marketing</v>
          </cell>
          <cell r="L2743" t="str">
            <v>Other</v>
          </cell>
          <cell r="N2743" t="str">
            <v>SG&amp;A</v>
          </cell>
          <cell r="O2743" t="str">
            <v>[No Vendor]</v>
          </cell>
        </row>
        <row r="2744">
          <cell r="D2744">
            <v>700</v>
          </cell>
          <cell r="H2744">
            <v>45474</v>
          </cell>
          <cell r="I2744" t="str">
            <v>6205 - Contractors</v>
          </cell>
          <cell r="J2744">
            <v>0</v>
          </cell>
          <cell r="K2744" t="str">
            <v>Brand Marketing</v>
          </cell>
          <cell r="L2744" t="str">
            <v>HQ Salaries</v>
          </cell>
          <cell r="N2744" t="str">
            <v>SG&amp;A</v>
          </cell>
          <cell r="O2744" t="str">
            <v>Ammy  Thitichaya Chan</v>
          </cell>
        </row>
        <row r="2745">
          <cell r="D2745">
            <v>113.2</v>
          </cell>
          <cell r="H2745">
            <v>45474</v>
          </cell>
          <cell r="I2745" t="str">
            <v>6125 - Transportation and Fuel</v>
          </cell>
          <cell r="J2745">
            <v>0</v>
          </cell>
          <cell r="K2745" t="str">
            <v>Brand Marketing</v>
          </cell>
          <cell r="L2745" t="str">
            <v>T&amp;E</v>
          </cell>
          <cell r="N2745" t="str">
            <v>SG&amp;A</v>
          </cell>
          <cell r="O2745" t="str">
            <v>Caroline  Seong</v>
          </cell>
        </row>
        <row r="2746">
          <cell r="D2746">
            <v>131.71</v>
          </cell>
          <cell r="H2746">
            <v>45474</v>
          </cell>
          <cell r="I2746" t="str">
            <v>6125 - Transportation and Fuel</v>
          </cell>
          <cell r="J2746">
            <v>0</v>
          </cell>
          <cell r="K2746" t="str">
            <v>Brand Marketing</v>
          </cell>
          <cell r="L2746" t="str">
            <v>T&amp;E</v>
          </cell>
          <cell r="N2746" t="str">
            <v>SG&amp;A</v>
          </cell>
          <cell r="O2746" t="str">
            <v>Caroline  Seong</v>
          </cell>
        </row>
        <row r="2747">
          <cell r="D2747">
            <v>120.92</v>
          </cell>
          <cell r="H2747">
            <v>45474</v>
          </cell>
          <cell r="I2747" t="str">
            <v>6125 - Transportation and Fuel</v>
          </cell>
          <cell r="J2747">
            <v>0</v>
          </cell>
          <cell r="K2747" t="str">
            <v>Brand Marketing</v>
          </cell>
          <cell r="L2747" t="str">
            <v>T&amp;E</v>
          </cell>
          <cell r="N2747" t="str">
            <v>SG&amp;A</v>
          </cell>
          <cell r="O2747" t="str">
            <v>Caroline  Seong</v>
          </cell>
        </row>
        <row r="2748">
          <cell r="D2748">
            <v>13.96</v>
          </cell>
          <cell r="H2748">
            <v>45474</v>
          </cell>
          <cell r="I2748" t="str">
            <v>6125 - Transportation and Fuel</v>
          </cell>
          <cell r="J2748">
            <v>0</v>
          </cell>
          <cell r="K2748" t="str">
            <v>Brand Marketing</v>
          </cell>
          <cell r="L2748" t="str">
            <v>T&amp;E</v>
          </cell>
          <cell r="N2748" t="str">
            <v>SG&amp;A</v>
          </cell>
          <cell r="O2748" t="str">
            <v>Caroline  Seong</v>
          </cell>
        </row>
        <row r="2749">
          <cell r="D2749">
            <v>150.97</v>
          </cell>
          <cell r="H2749">
            <v>45474</v>
          </cell>
          <cell r="I2749" t="str">
            <v>6125 - Transportation and Fuel</v>
          </cell>
          <cell r="J2749">
            <v>0</v>
          </cell>
          <cell r="K2749" t="str">
            <v>Brand Marketing</v>
          </cell>
          <cell r="L2749" t="str">
            <v>T&amp;E</v>
          </cell>
          <cell r="N2749" t="str">
            <v>SG&amp;A</v>
          </cell>
          <cell r="O2749" t="str">
            <v>Caroline  Seong</v>
          </cell>
        </row>
        <row r="2750">
          <cell r="D2750">
            <v>78.06</v>
          </cell>
          <cell r="H2750">
            <v>45474</v>
          </cell>
          <cell r="I2750" t="str">
            <v>6125 - Transportation and Fuel</v>
          </cell>
          <cell r="J2750">
            <v>0</v>
          </cell>
          <cell r="K2750" t="str">
            <v>Brand Marketing</v>
          </cell>
          <cell r="L2750" t="str">
            <v>T&amp;E</v>
          </cell>
          <cell r="N2750" t="str">
            <v>SG&amp;A</v>
          </cell>
          <cell r="O2750" t="str">
            <v>Caroline  Seong</v>
          </cell>
        </row>
        <row r="2751">
          <cell r="D2751">
            <v>96.62</v>
          </cell>
          <cell r="H2751">
            <v>45474</v>
          </cell>
          <cell r="I2751" t="str">
            <v>6125 - Transportation and Fuel</v>
          </cell>
          <cell r="J2751">
            <v>0</v>
          </cell>
          <cell r="K2751" t="str">
            <v>Brand Marketing</v>
          </cell>
          <cell r="L2751" t="str">
            <v>T&amp;E</v>
          </cell>
          <cell r="N2751" t="str">
            <v>SG&amp;A</v>
          </cell>
          <cell r="O2751" t="str">
            <v>Caroline  Seong</v>
          </cell>
        </row>
        <row r="2752">
          <cell r="D2752">
            <v>74.37</v>
          </cell>
          <cell r="H2752">
            <v>45474</v>
          </cell>
          <cell r="I2752" t="str">
            <v>6125 - Transportation and Fuel</v>
          </cell>
          <cell r="J2752">
            <v>0</v>
          </cell>
          <cell r="K2752" t="str">
            <v>Brand Marketing</v>
          </cell>
          <cell r="L2752" t="str">
            <v>T&amp;E</v>
          </cell>
          <cell r="N2752" t="str">
            <v>SG&amp;A</v>
          </cell>
          <cell r="O2752" t="str">
            <v>Caroline  Seong</v>
          </cell>
        </row>
        <row r="2753">
          <cell r="D2753">
            <v>108.99</v>
          </cell>
          <cell r="H2753">
            <v>45474</v>
          </cell>
          <cell r="I2753" t="str">
            <v>6125 - Transportation and Fuel</v>
          </cell>
          <cell r="J2753">
            <v>0</v>
          </cell>
          <cell r="K2753" t="str">
            <v>Brand Marketing</v>
          </cell>
          <cell r="L2753" t="str">
            <v>T&amp;E</v>
          </cell>
          <cell r="N2753" t="str">
            <v>SG&amp;A</v>
          </cell>
          <cell r="O2753" t="str">
            <v>Caroline  Seong</v>
          </cell>
        </row>
        <row r="2754">
          <cell r="D2754">
            <v>75.3</v>
          </cell>
          <cell r="H2754">
            <v>45474</v>
          </cell>
          <cell r="I2754" t="str">
            <v>6125 - Transportation and Fuel</v>
          </cell>
          <cell r="J2754">
            <v>0</v>
          </cell>
          <cell r="K2754" t="str">
            <v>Brand Marketing</v>
          </cell>
          <cell r="L2754" t="str">
            <v>T&amp;E</v>
          </cell>
          <cell r="N2754" t="str">
            <v>SG&amp;A</v>
          </cell>
          <cell r="O2754" t="str">
            <v>Caroline  Seong</v>
          </cell>
        </row>
        <row r="2755">
          <cell r="D2755">
            <v>143.13</v>
          </cell>
          <cell r="H2755">
            <v>45474</v>
          </cell>
          <cell r="I2755" t="str">
            <v>6125 - Transportation and Fuel</v>
          </cell>
          <cell r="J2755">
            <v>0</v>
          </cell>
          <cell r="K2755" t="str">
            <v>Brand Marketing</v>
          </cell>
          <cell r="L2755" t="str">
            <v>T&amp;E</v>
          </cell>
          <cell r="N2755" t="str">
            <v>SG&amp;A</v>
          </cell>
          <cell r="O2755" t="str">
            <v>Caroline  Seong</v>
          </cell>
        </row>
        <row r="2756">
          <cell r="D2756">
            <v>47.95</v>
          </cell>
          <cell r="H2756">
            <v>45474</v>
          </cell>
          <cell r="I2756" t="str">
            <v>6125 - Transportation and Fuel</v>
          </cell>
          <cell r="J2756">
            <v>0</v>
          </cell>
          <cell r="K2756" t="str">
            <v>Brand Marketing</v>
          </cell>
          <cell r="L2756" t="str">
            <v>T&amp;E</v>
          </cell>
          <cell r="N2756" t="str">
            <v>SG&amp;A</v>
          </cell>
          <cell r="O2756" t="str">
            <v>Caroline  Seong</v>
          </cell>
        </row>
        <row r="2757">
          <cell r="D2757">
            <v>107.98</v>
          </cell>
          <cell r="H2757">
            <v>45474</v>
          </cell>
          <cell r="I2757" t="str">
            <v>6125 - Transportation and Fuel</v>
          </cell>
          <cell r="J2757">
            <v>0</v>
          </cell>
          <cell r="K2757" t="str">
            <v>Brand Marketing</v>
          </cell>
          <cell r="L2757" t="str">
            <v>T&amp;E</v>
          </cell>
          <cell r="N2757" t="str">
            <v>SG&amp;A</v>
          </cell>
          <cell r="O2757" t="str">
            <v>Caroline  Seong</v>
          </cell>
        </row>
        <row r="2758">
          <cell r="D2758">
            <v>108.91</v>
          </cell>
          <cell r="H2758">
            <v>45474</v>
          </cell>
          <cell r="I2758" t="str">
            <v>6125 - Transportation and Fuel</v>
          </cell>
          <cell r="J2758">
            <v>0</v>
          </cell>
          <cell r="K2758" t="str">
            <v>Brand Marketing</v>
          </cell>
          <cell r="L2758" t="str">
            <v>T&amp;E</v>
          </cell>
          <cell r="N2758" t="str">
            <v>SG&amp;A</v>
          </cell>
          <cell r="O2758" t="str">
            <v>Caroline  Seong</v>
          </cell>
        </row>
        <row r="2759">
          <cell r="D2759">
            <v>113.52</v>
          </cell>
          <cell r="H2759">
            <v>45474</v>
          </cell>
          <cell r="I2759" t="str">
            <v>6125 - Transportation and Fuel</v>
          </cell>
          <cell r="J2759">
            <v>0</v>
          </cell>
          <cell r="K2759" t="str">
            <v>Brand Marketing</v>
          </cell>
          <cell r="L2759" t="str">
            <v>T&amp;E</v>
          </cell>
          <cell r="N2759" t="str">
            <v>SG&amp;A</v>
          </cell>
          <cell r="O2759" t="str">
            <v>Caroline  Seong</v>
          </cell>
        </row>
        <row r="2760">
          <cell r="D2760">
            <v>156.47999999999999</v>
          </cell>
          <cell r="H2760">
            <v>45474</v>
          </cell>
          <cell r="I2760" t="str">
            <v>6125 - Transportation and Fuel</v>
          </cell>
          <cell r="J2760">
            <v>0</v>
          </cell>
          <cell r="K2760" t="str">
            <v>Brand Marketing</v>
          </cell>
          <cell r="L2760" t="str">
            <v>T&amp;E</v>
          </cell>
          <cell r="N2760" t="str">
            <v>SG&amp;A</v>
          </cell>
          <cell r="O2760" t="str">
            <v>[No Vendor]</v>
          </cell>
        </row>
        <row r="2761">
          <cell r="D2761">
            <v>129.38999999999999</v>
          </cell>
          <cell r="H2761">
            <v>45474</v>
          </cell>
          <cell r="I2761" t="str">
            <v>6125 - Transportation and Fuel</v>
          </cell>
          <cell r="J2761">
            <v>0</v>
          </cell>
          <cell r="K2761" t="str">
            <v>Brand Marketing</v>
          </cell>
          <cell r="L2761" t="str">
            <v>T&amp;E</v>
          </cell>
          <cell r="N2761" t="str">
            <v>SG&amp;A</v>
          </cell>
          <cell r="O2761" t="str">
            <v>Caroline  Seong</v>
          </cell>
        </row>
        <row r="2762">
          <cell r="D2762">
            <v>79.47</v>
          </cell>
          <cell r="H2762">
            <v>45474</v>
          </cell>
          <cell r="I2762" t="str">
            <v>6125 - Transportation and Fuel</v>
          </cell>
          <cell r="J2762">
            <v>0</v>
          </cell>
          <cell r="K2762" t="str">
            <v>Brand Marketing</v>
          </cell>
          <cell r="L2762" t="str">
            <v>T&amp;E</v>
          </cell>
          <cell r="N2762" t="str">
            <v>SG&amp;A</v>
          </cell>
          <cell r="O2762" t="str">
            <v>Caroline  Seong</v>
          </cell>
        </row>
        <row r="2763">
          <cell r="D2763">
            <v>105.47</v>
          </cell>
          <cell r="H2763">
            <v>45474</v>
          </cell>
          <cell r="I2763" t="str">
            <v>6125 - Transportation and Fuel</v>
          </cell>
          <cell r="J2763">
            <v>0</v>
          </cell>
          <cell r="K2763" t="str">
            <v>Brand Marketing</v>
          </cell>
          <cell r="L2763" t="str">
            <v>T&amp;E</v>
          </cell>
          <cell r="N2763" t="str">
            <v>SG&amp;A</v>
          </cell>
          <cell r="O2763" t="str">
            <v>Caroline  Seong</v>
          </cell>
        </row>
        <row r="2764">
          <cell r="D2764">
            <v>118.87</v>
          </cell>
          <cell r="H2764">
            <v>45474</v>
          </cell>
          <cell r="I2764" t="str">
            <v>6125 - Transportation and Fuel</v>
          </cell>
          <cell r="J2764">
            <v>0</v>
          </cell>
          <cell r="K2764" t="str">
            <v>Brand Marketing</v>
          </cell>
          <cell r="L2764" t="str">
            <v>T&amp;E</v>
          </cell>
          <cell r="N2764" t="str">
            <v>SG&amp;A</v>
          </cell>
          <cell r="O2764" t="str">
            <v>Caroline  Seong</v>
          </cell>
        </row>
        <row r="2765">
          <cell r="D2765">
            <v>86.24</v>
          </cell>
          <cell r="H2765">
            <v>45474</v>
          </cell>
          <cell r="I2765" t="str">
            <v>6125 - Transportation and Fuel</v>
          </cell>
          <cell r="J2765">
            <v>0</v>
          </cell>
          <cell r="K2765" t="str">
            <v>Brand Marketing</v>
          </cell>
          <cell r="L2765" t="str">
            <v>T&amp;E</v>
          </cell>
          <cell r="N2765" t="str">
            <v>SG&amp;A</v>
          </cell>
          <cell r="O2765" t="str">
            <v>Caroline  Seong</v>
          </cell>
        </row>
        <row r="2766">
          <cell r="D2766">
            <v>98.97</v>
          </cell>
          <cell r="H2766">
            <v>45474</v>
          </cell>
          <cell r="I2766" t="str">
            <v>6125 - Transportation and Fuel</v>
          </cell>
          <cell r="J2766">
            <v>0</v>
          </cell>
          <cell r="K2766" t="str">
            <v>Brand Marketing</v>
          </cell>
          <cell r="L2766" t="str">
            <v>T&amp;E</v>
          </cell>
          <cell r="N2766" t="str">
            <v>SG&amp;A</v>
          </cell>
          <cell r="O2766" t="str">
            <v>Caroline  Seong</v>
          </cell>
        </row>
        <row r="2767">
          <cell r="D2767">
            <v>23.1</v>
          </cell>
          <cell r="H2767">
            <v>45474</v>
          </cell>
          <cell r="I2767" t="str">
            <v>6105 - Meals</v>
          </cell>
          <cell r="J2767">
            <v>0</v>
          </cell>
          <cell r="K2767" t="str">
            <v>Brand Marketing</v>
          </cell>
          <cell r="L2767" t="str">
            <v>T&amp;E</v>
          </cell>
          <cell r="N2767" t="str">
            <v>SG&amp;A</v>
          </cell>
          <cell r="O2767" t="str">
            <v>Caroline  Seong</v>
          </cell>
        </row>
        <row r="2768">
          <cell r="D2768">
            <v>12.22</v>
          </cell>
          <cell r="H2768">
            <v>45474</v>
          </cell>
          <cell r="I2768" t="str">
            <v>6105 - Meals</v>
          </cell>
          <cell r="J2768">
            <v>0</v>
          </cell>
          <cell r="K2768" t="str">
            <v>Brand Marketing</v>
          </cell>
          <cell r="L2768" t="str">
            <v>T&amp;E</v>
          </cell>
          <cell r="N2768" t="str">
            <v>SG&amp;A</v>
          </cell>
          <cell r="O2768" t="str">
            <v>Caroline  Seong</v>
          </cell>
        </row>
        <row r="2769">
          <cell r="D2769">
            <v>56.9</v>
          </cell>
          <cell r="H2769">
            <v>45474</v>
          </cell>
          <cell r="I2769" t="str">
            <v>6105 - Meals</v>
          </cell>
          <cell r="J2769">
            <v>0</v>
          </cell>
          <cell r="K2769" t="str">
            <v>Brand Marketing</v>
          </cell>
          <cell r="L2769" t="str">
            <v>T&amp;E</v>
          </cell>
          <cell r="N2769" t="str">
            <v>SG&amp;A</v>
          </cell>
          <cell r="O2769" t="str">
            <v>Caroline  Seong</v>
          </cell>
        </row>
        <row r="2770">
          <cell r="D2770">
            <v>73.319999999999993</v>
          </cell>
          <cell r="H2770">
            <v>45474</v>
          </cell>
          <cell r="I2770" t="str">
            <v>6105 - Meals</v>
          </cell>
          <cell r="J2770">
            <v>0</v>
          </cell>
          <cell r="K2770" t="str">
            <v>Brand Marketing</v>
          </cell>
          <cell r="L2770" t="str">
            <v>T&amp;E</v>
          </cell>
          <cell r="N2770" t="str">
            <v>SG&amp;A</v>
          </cell>
          <cell r="O2770" t="str">
            <v>Caroline  Seong</v>
          </cell>
        </row>
        <row r="2771">
          <cell r="D2771">
            <v>58.43</v>
          </cell>
          <cell r="H2771">
            <v>45474</v>
          </cell>
          <cell r="I2771" t="str">
            <v>6105 - Meals</v>
          </cell>
          <cell r="J2771">
            <v>0</v>
          </cell>
          <cell r="K2771" t="str">
            <v>Brand Marketing</v>
          </cell>
          <cell r="L2771" t="str">
            <v>T&amp;E</v>
          </cell>
          <cell r="N2771" t="str">
            <v>SG&amp;A</v>
          </cell>
          <cell r="O2771" t="str">
            <v>Caroline  Seong</v>
          </cell>
        </row>
        <row r="2772">
          <cell r="D2772">
            <v>306.38</v>
          </cell>
          <cell r="H2772">
            <v>45474</v>
          </cell>
          <cell r="I2772" t="str">
            <v>6300 - Payroll Service Fees</v>
          </cell>
          <cell r="J2772">
            <v>0</v>
          </cell>
          <cell r="K2772" t="str">
            <v>Administration</v>
          </cell>
          <cell r="L2772" t="str">
            <v>Professional Service</v>
          </cell>
          <cell r="N2772" t="str">
            <v>SG&amp;A</v>
          </cell>
          <cell r="O2772" t="str">
            <v>ADP Payroll Services</v>
          </cell>
        </row>
        <row r="2773">
          <cell r="D2773">
            <v>286.2</v>
          </cell>
          <cell r="H2773">
            <v>45474</v>
          </cell>
          <cell r="I2773" t="str">
            <v>8505 - Realized Gain/Loss</v>
          </cell>
          <cell r="J2773">
            <v>0</v>
          </cell>
          <cell r="K2773" t="str">
            <v>No Department</v>
          </cell>
          <cell r="L2773" t="str">
            <v>Realized Gain / Loss</v>
          </cell>
          <cell r="N2773" t="str">
            <v>BTL</v>
          </cell>
          <cell r="O2773" t="str">
            <v>[No Vendor]</v>
          </cell>
        </row>
        <row r="2774">
          <cell r="D2774">
            <v>9911.5499999999993</v>
          </cell>
          <cell r="H2774">
            <v>45474</v>
          </cell>
          <cell r="I2774" t="str">
            <v>6005 - Salaries</v>
          </cell>
          <cell r="J2774" t="str">
            <v>Wholesale</v>
          </cell>
          <cell r="K2774" t="str">
            <v>Wholesale</v>
          </cell>
          <cell r="L2774" t="str">
            <v>HQ Salaries</v>
          </cell>
          <cell r="N2774" t="str">
            <v>SG&amp;A</v>
          </cell>
          <cell r="O2774" t="str">
            <v>[No Vendor]</v>
          </cell>
        </row>
        <row r="2775">
          <cell r="D2775">
            <v>18333.330000000002</v>
          </cell>
          <cell r="H2775">
            <v>45474</v>
          </cell>
          <cell r="I2775" t="str">
            <v>6205 - Contractors</v>
          </cell>
          <cell r="J2775">
            <v>0</v>
          </cell>
          <cell r="K2775" t="str">
            <v>Brand Marketing</v>
          </cell>
          <cell r="L2775" t="str">
            <v>HQ Salaries</v>
          </cell>
          <cell r="N2775" t="str">
            <v>SG&amp;A</v>
          </cell>
          <cell r="O2775" t="str">
            <v>[No Vendor]</v>
          </cell>
        </row>
        <row r="2776">
          <cell r="D2776">
            <v>10967.4</v>
          </cell>
          <cell r="H2776">
            <v>45474</v>
          </cell>
          <cell r="I2776" t="str">
            <v>6205 - Contractors</v>
          </cell>
          <cell r="J2776" t="str">
            <v>Ecommerce (US)</v>
          </cell>
          <cell r="K2776" t="str">
            <v>Ecommerce</v>
          </cell>
          <cell r="L2776" t="str">
            <v>HQ Salaries</v>
          </cell>
          <cell r="N2776" t="str">
            <v>SG&amp;A</v>
          </cell>
          <cell r="O2776" t="str">
            <v>[No Vendor]</v>
          </cell>
        </row>
        <row r="2777">
          <cell r="D2777">
            <v>0</v>
          </cell>
          <cell r="H2777">
            <v>45474</v>
          </cell>
          <cell r="I2777" t="str">
            <v>6205 - Contractors</v>
          </cell>
          <cell r="J2777">
            <v>0</v>
          </cell>
          <cell r="K2777" t="str">
            <v>Design</v>
          </cell>
          <cell r="L2777" t="str">
            <v>HQ Salaries</v>
          </cell>
          <cell r="N2777" t="str">
            <v>SG&amp;A</v>
          </cell>
          <cell r="O2777" t="str">
            <v>[No Vendor]</v>
          </cell>
        </row>
        <row r="2778">
          <cell r="D2778">
            <v>-48.22</v>
          </cell>
          <cell r="H2778">
            <v>45474</v>
          </cell>
          <cell r="I2778" t="str">
            <v>6385 - Insurance</v>
          </cell>
          <cell r="J2778">
            <v>0</v>
          </cell>
          <cell r="K2778" t="str">
            <v>Administration</v>
          </cell>
          <cell r="L2778" t="str">
            <v>Professional Service</v>
          </cell>
          <cell r="N2778" t="str">
            <v>SG&amp;A</v>
          </cell>
          <cell r="O2778" t="str">
            <v>[No Vendor]</v>
          </cell>
        </row>
        <row r="2779">
          <cell r="D2779">
            <v>-13.39</v>
          </cell>
          <cell r="H2779">
            <v>45474</v>
          </cell>
          <cell r="I2779" t="str">
            <v>6385 - Insurance</v>
          </cell>
          <cell r="J2779">
            <v>0</v>
          </cell>
          <cell r="K2779" t="str">
            <v>Administration</v>
          </cell>
          <cell r="L2779" t="str">
            <v>Professional Service</v>
          </cell>
          <cell r="N2779" t="str">
            <v>SG&amp;A</v>
          </cell>
          <cell r="O2779" t="str">
            <v>[No Vendor]</v>
          </cell>
        </row>
        <row r="2780">
          <cell r="D2780">
            <v>-41.67</v>
          </cell>
          <cell r="H2780">
            <v>45474</v>
          </cell>
          <cell r="I2780" t="str">
            <v>6385 - Insurance</v>
          </cell>
          <cell r="J2780">
            <v>0</v>
          </cell>
          <cell r="K2780" t="str">
            <v>Administration</v>
          </cell>
          <cell r="L2780" t="str">
            <v>Professional Service</v>
          </cell>
          <cell r="N2780" t="str">
            <v>SG&amp;A</v>
          </cell>
          <cell r="O2780" t="str">
            <v>[No Vendor]</v>
          </cell>
        </row>
        <row r="2781">
          <cell r="D2781">
            <v>-59.47</v>
          </cell>
          <cell r="H2781">
            <v>45474</v>
          </cell>
          <cell r="I2781" t="str">
            <v>6385 - Insurance</v>
          </cell>
          <cell r="J2781">
            <v>0</v>
          </cell>
          <cell r="K2781" t="str">
            <v>Administration</v>
          </cell>
          <cell r="L2781" t="str">
            <v>Professional Service</v>
          </cell>
          <cell r="N2781" t="str">
            <v>SG&amp;A</v>
          </cell>
          <cell r="O2781" t="str">
            <v>[No Vendor]</v>
          </cell>
        </row>
        <row r="2782">
          <cell r="D2782">
            <v>-25.87</v>
          </cell>
          <cell r="H2782">
            <v>45474</v>
          </cell>
          <cell r="I2782" t="str">
            <v>6385 - Insurance</v>
          </cell>
          <cell r="J2782">
            <v>0</v>
          </cell>
          <cell r="K2782" t="str">
            <v>Administration</v>
          </cell>
          <cell r="L2782" t="str">
            <v>Professional Service</v>
          </cell>
          <cell r="N2782" t="str">
            <v>SG&amp;A</v>
          </cell>
          <cell r="O2782" t="str">
            <v>[No Vendor]</v>
          </cell>
        </row>
        <row r="2783">
          <cell r="D2783">
            <v>-20.41</v>
          </cell>
          <cell r="H2783">
            <v>45474</v>
          </cell>
          <cell r="I2783" t="str">
            <v>6385 - Insurance</v>
          </cell>
          <cell r="J2783">
            <v>0</v>
          </cell>
          <cell r="K2783" t="str">
            <v>Administration</v>
          </cell>
          <cell r="L2783" t="str">
            <v>Professional Service</v>
          </cell>
          <cell r="N2783" t="str">
            <v>SG&amp;A</v>
          </cell>
          <cell r="O2783" t="str">
            <v>[No Vendor]</v>
          </cell>
        </row>
        <row r="2784">
          <cell r="D2784">
            <v>-13.16</v>
          </cell>
          <cell r="H2784">
            <v>45474</v>
          </cell>
          <cell r="I2784" t="str">
            <v>6385 - Insurance</v>
          </cell>
          <cell r="J2784">
            <v>0</v>
          </cell>
          <cell r="K2784" t="str">
            <v>Administration</v>
          </cell>
          <cell r="L2784" t="str">
            <v>Professional Service</v>
          </cell>
          <cell r="N2784" t="str">
            <v>SG&amp;A</v>
          </cell>
          <cell r="O2784" t="str">
            <v>[No Vendor]</v>
          </cell>
        </row>
        <row r="2785">
          <cell r="D2785">
            <v>365.93</v>
          </cell>
          <cell r="H2785">
            <v>45474</v>
          </cell>
          <cell r="I2785" t="str">
            <v>6055 - Employer Social Security Tax Withheld</v>
          </cell>
          <cell r="J2785">
            <v>0</v>
          </cell>
          <cell r="K2785" t="str">
            <v>Brand Marketing</v>
          </cell>
          <cell r="L2785" t="str">
            <v>HQ Salaries</v>
          </cell>
          <cell r="N2785" t="str">
            <v>SG&amp;A</v>
          </cell>
          <cell r="O2785" t="str">
            <v>[No Vendor]</v>
          </cell>
        </row>
        <row r="2786">
          <cell r="D2786">
            <v>1610.08</v>
          </cell>
          <cell r="H2786">
            <v>45474</v>
          </cell>
          <cell r="I2786" t="str">
            <v>6055 - Employer Social Security Tax Withheld</v>
          </cell>
          <cell r="J2786" t="str">
            <v>Ecommerce (US)</v>
          </cell>
          <cell r="K2786" t="str">
            <v>Ecommerce</v>
          </cell>
          <cell r="L2786" t="str">
            <v>HQ Salaries</v>
          </cell>
          <cell r="N2786" t="str">
            <v>SG&amp;A</v>
          </cell>
          <cell r="O2786" t="str">
            <v>[No Vendor]</v>
          </cell>
        </row>
        <row r="2787">
          <cell r="D2787">
            <v>2212.65</v>
          </cell>
          <cell r="H2787">
            <v>45474</v>
          </cell>
          <cell r="I2787" t="str">
            <v>6055 - Employer Social Security Tax Withheld</v>
          </cell>
          <cell r="J2787">
            <v>0</v>
          </cell>
          <cell r="K2787" t="str">
            <v>Design</v>
          </cell>
          <cell r="L2787" t="str">
            <v>HQ Salaries</v>
          </cell>
          <cell r="N2787" t="str">
            <v>SG&amp;A</v>
          </cell>
          <cell r="O2787" t="str">
            <v>[No Vendor]</v>
          </cell>
        </row>
        <row r="2788">
          <cell r="D2788">
            <v>1676.41</v>
          </cell>
          <cell r="H2788">
            <v>45474</v>
          </cell>
          <cell r="I2788" t="str">
            <v>6055 - Employer Social Security Tax Withheld</v>
          </cell>
          <cell r="J2788">
            <v>0</v>
          </cell>
          <cell r="K2788" t="str">
            <v>Administration</v>
          </cell>
          <cell r="L2788" t="str">
            <v>HQ Salaries</v>
          </cell>
          <cell r="N2788" t="str">
            <v>SG&amp;A</v>
          </cell>
          <cell r="O2788" t="str">
            <v>[No Vendor]</v>
          </cell>
        </row>
        <row r="2789">
          <cell r="D2789">
            <v>579.38</v>
          </cell>
          <cell r="H2789">
            <v>45474</v>
          </cell>
          <cell r="I2789" t="str">
            <v>6055 - Employer Social Security Tax Withheld</v>
          </cell>
          <cell r="J2789">
            <v>0</v>
          </cell>
          <cell r="K2789" t="str">
            <v>Merchandising</v>
          </cell>
          <cell r="L2789" t="str">
            <v>HQ Salaries</v>
          </cell>
          <cell r="N2789" t="str">
            <v>SG&amp;A</v>
          </cell>
          <cell r="O2789" t="str">
            <v>[No Vendor]</v>
          </cell>
        </row>
        <row r="2790">
          <cell r="D2790">
            <v>1111.33</v>
          </cell>
          <cell r="H2790">
            <v>45474</v>
          </cell>
          <cell r="I2790" t="str">
            <v>6055 - Employer Social Security Tax Withheld</v>
          </cell>
          <cell r="J2790" t="str">
            <v>Wholesale</v>
          </cell>
          <cell r="K2790" t="str">
            <v>Wholesale</v>
          </cell>
          <cell r="L2790" t="str">
            <v>HQ Salaries</v>
          </cell>
          <cell r="N2790" t="str">
            <v>SG&amp;A</v>
          </cell>
          <cell r="O2790" t="str">
            <v>[No Vendor]</v>
          </cell>
        </row>
        <row r="2791">
          <cell r="D2791">
            <v>2219.7800000000002</v>
          </cell>
          <cell r="H2791">
            <v>45474</v>
          </cell>
          <cell r="I2791" t="str">
            <v>6055 - Employer Social Security Tax Withheld</v>
          </cell>
          <cell r="J2791">
            <v>0</v>
          </cell>
          <cell r="K2791" t="str">
            <v>Production</v>
          </cell>
          <cell r="L2791" t="str">
            <v>HQ Salaries</v>
          </cell>
          <cell r="N2791" t="str">
            <v>SG&amp;A</v>
          </cell>
          <cell r="O2791" t="str">
            <v>[No Vendor]</v>
          </cell>
        </row>
        <row r="2792">
          <cell r="D2792">
            <v>-22.58</v>
          </cell>
          <cell r="H2792">
            <v>45474</v>
          </cell>
          <cell r="I2792" t="str">
            <v>6040 - Employer Paid Benefits</v>
          </cell>
          <cell r="J2792">
            <v>0</v>
          </cell>
          <cell r="K2792" t="str">
            <v>Brand Marketing</v>
          </cell>
          <cell r="L2792" t="str">
            <v>HQ Salaries</v>
          </cell>
          <cell r="N2792" t="str">
            <v>SG&amp;A</v>
          </cell>
          <cell r="O2792" t="str">
            <v>[No Vendor]</v>
          </cell>
        </row>
        <row r="2793">
          <cell r="D2793">
            <v>-121.85</v>
          </cell>
          <cell r="H2793">
            <v>45474</v>
          </cell>
          <cell r="I2793" t="str">
            <v>6040 - Employer Paid Benefits</v>
          </cell>
          <cell r="J2793" t="str">
            <v>Ecommerce (US)</v>
          </cell>
          <cell r="K2793" t="str">
            <v>Ecommerce</v>
          </cell>
          <cell r="L2793" t="str">
            <v>HQ Salaries</v>
          </cell>
          <cell r="N2793" t="str">
            <v>SG&amp;A</v>
          </cell>
          <cell r="O2793" t="str">
            <v>[No Vendor]</v>
          </cell>
        </row>
        <row r="2794">
          <cell r="D2794">
            <v>-363.42</v>
          </cell>
          <cell r="H2794">
            <v>45474</v>
          </cell>
          <cell r="I2794" t="str">
            <v>6040 - Employer Paid Benefits</v>
          </cell>
          <cell r="J2794">
            <v>0</v>
          </cell>
          <cell r="K2794" t="str">
            <v>Design</v>
          </cell>
          <cell r="L2794" t="str">
            <v>HQ Salaries</v>
          </cell>
          <cell r="N2794" t="str">
            <v>SG&amp;A</v>
          </cell>
          <cell r="O2794" t="str">
            <v>[No Vendor]</v>
          </cell>
        </row>
        <row r="2795">
          <cell r="D2795">
            <v>-163.69999999999999</v>
          </cell>
          <cell r="H2795">
            <v>45474</v>
          </cell>
          <cell r="I2795" t="str">
            <v>6040 - Employer Paid Benefits</v>
          </cell>
          <cell r="J2795">
            <v>0</v>
          </cell>
          <cell r="K2795" t="str">
            <v>Administration</v>
          </cell>
          <cell r="L2795" t="str">
            <v>HQ Salaries</v>
          </cell>
          <cell r="N2795" t="str">
            <v>SG&amp;A</v>
          </cell>
          <cell r="O2795" t="str">
            <v>[No Vendor]</v>
          </cell>
        </row>
        <row r="2796">
          <cell r="D2796">
            <v>0</v>
          </cell>
          <cell r="H2796">
            <v>45474</v>
          </cell>
          <cell r="I2796" t="str">
            <v>6040 - Employer Paid Benefits</v>
          </cell>
          <cell r="J2796">
            <v>0</v>
          </cell>
          <cell r="K2796" t="str">
            <v>Merchandising</v>
          </cell>
          <cell r="L2796" t="str">
            <v>HQ Salaries</v>
          </cell>
          <cell r="N2796" t="str">
            <v>SG&amp;A</v>
          </cell>
          <cell r="O2796" t="str">
            <v>[No Vendor]</v>
          </cell>
        </row>
        <row r="2797">
          <cell r="D2797">
            <v>-45.16</v>
          </cell>
          <cell r="H2797">
            <v>45474</v>
          </cell>
          <cell r="I2797" t="str">
            <v>6040 - Employer Paid Benefits</v>
          </cell>
          <cell r="J2797" t="str">
            <v>Wholesale</v>
          </cell>
          <cell r="K2797" t="str">
            <v>Wholesale</v>
          </cell>
          <cell r="L2797" t="str">
            <v>HQ Salaries</v>
          </cell>
          <cell r="N2797" t="str">
            <v>SG&amp;A</v>
          </cell>
          <cell r="O2797" t="str">
            <v>[No Vendor]</v>
          </cell>
        </row>
        <row r="2798">
          <cell r="D2798">
            <v>-350.58</v>
          </cell>
          <cell r="H2798">
            <v>45474</v>
          </cell>
          <cell r="I2798" t="str">
            <v>6040 - Employer Paid Benefits</v>
          </cell>
          <cell r="J2798">
            <v>0</v>
          </cell>
          <cell r="K2798" t="str">
            <v>Production</v>
          </cell>
          <cell r="L2798" t="str">
            <v>HQ Salaries</v>
          </cell>
          <cell r="N2798" t="str">
            <v>SG&amp;A</v>
          </cell>
          <cell r="O2798" t="str">
            <v>[No Vendor]</v>
          </cell>
        </row>
        <row r="2799">
          <cell r="D2799">
            <v>19988.490000000002</v>
          </cell>
          <cell r="H2799">
            <v>45474</v>
          </cell>
          <cell r="I2799" t="str">
            <v>6005 - Salaries</v>
          </cell>
          <cell r="J2799">
            <v>0</v>
          </cell>
          <cell r="K2799" t="str">
            <v>Production</v>
          </cell>
          <cell r="L2799" t="str">
            <v>HQ Salaries</v>
          </cell>
          <cell r="N2799" t="str">
            <v>SG&amp;A</v>
          </cell>
          <cell r="O2799" t="str">
            <v>[No Vendor]</v>
          </cell>
        </row>
        <row r="2800">
          <cell r="D2800">
            <v>3269.24</v>
          </cell>
          <cell r="H2800">
            <v>45474</v>
          </cell>
          <cell r="I2800" t="str">
            <v>6005 - Salaries</v>
          </cell>
          <cell r="J2800">
            <v>0</v>
          </cell>
          <cell r="K2800" t="str">
            <v>Brand Marketing</v>
          </cell>
          <cell r="L2800" t="str">
            <v>HQ Salaries</v>
          </cell>
          <cell r="N2800" t="str">
            <v>SG&amp;A</v>
          </cell>
          <cell r="O2800" t="str">
            <v>[No Vendor]</v>
          </cell>
        </row>
        <row r="2801">
          <cell r="D2801">
            <v>20780.8</v>
          </cell>
          <cell r="H2801">
            <v>45474</v>
          </cell>
          <cell r="I2801" t="str">
            <v>6005 - Salaries</v>
          </cell>
          <cell r="J2801" t="str">
            <v>Ecommerce (US)</v>
          </cell>
          <cell r="K2801" t="str">
            <v>Ecommerce</v>
          </cell>
          <cell r="L2801" t="str">
            <v>HQ Salaries</v>
          </cell>
          <cell r="N2801" t="str">
            <v>SG&amp;A</v>
          </cell>
          <cell r="O2801" t="str">
            <v>[No Vendor]</v>
          </cell>
        </row>
        <row r="2802">
          <cell r="D2802">
            <v>20857.7</v>
          </cell>
          <cell r="H2802">
            <v>45474</v>
          </cell>
          <cell r="I2802" t="str">
            <v>6005 - Salaries</v>
          </cell>
          <cell r="J2802">
            <v>0</v>
          </cell>
          <cell r="K2802" t="str">
            <v>Design</v>
          </cell>
          <cell r="L2802" t="str">
            <v>HQ Salaries</v>
          </cell>
          <cell r="N2802" t="str">
            <v>SG&amp;A</v>
          </cell>
          <cell r="O2802" t="str">
            <v>[No Vendor]</v>
          </cell>
        </row>
        <row r="2803">
          <cell r="D2803">
            <v>23484.639999999999</v>
          </cell>
          <cell r="H2803">
            <v>45474</v>
          </cell>
          <cell r="I2803" t="str">
            <v>6005 - Salaries</v>
          </cell>
          <cell r="J2803">
            <v>0</v>
          </cell>
          <cell r="K2803" t="str">
            <v>Administration</v>
          </cell>
          <cell r="L2803" t="str">
            <v>HQ Salaries</v>
          </cell>
          <cell r="N2803" t="str">
            <v>SG&amp;A</v>
          </cell>
          <cell r="O2803" t="str">
            <v>[No Vendor]</v>
          </cell>
        </row>
        <row r="2804">
          <cell r="D2804">
            <v>5150</v>
          </cell>
          <cell r="H2804">
            <v>45474</v>
          </cell>
          <cell r="I2804" t="str">
            <v>6005 - Salaries</v>
          </cell>
          <cell r="J2804">
            <v>0</v>
          </cell>
          <cell r="K2804" t="str">
            <v>Merchandising</v>
          </cell>
          <cell r="L2804" t="str">
            <v>HQ Salaries</v>
          </cell>
          <cell r="N2804" t="str">
            <v>SG&amp;A</v>
          </cell>
          <cell r="O2804" t="str">
            <v>[No Vendor]</v>
          </cell>
        </row>
        <row r="2805">
          <cell r="D2805">
            <v>3134.49</v>
          </cell>
          <cell r="H2805">
            <v>45474</v>
          </cell>
          <cell r="I2805" t="str">
            <v>6375 - Freight Expenses</v>
          </cell>
          <cell r="J2805" t="str">
            <v>Ecommerce (US)</v>
          </cell>
          <cell r="K2805" t="str">
            <v>Ecommerce</v>
          </cell>
          <cell r="L2805" t="str">
            <v>Freight</v>
          </cell>
          <cell r="N2805" t="str">
            <v>Direct Costs</v>
          </cell>
          <cell r="O2805" t="str">
            <v>UPS Supply Chain Solutions Inc. (7F24A0)</v>
          </cell>
        </row>
        <row r="2806">
          <cell r="D2806">
            <v>93.74</v>
          </cell>
          <cell r="H2806">
            <v>45474</v>
          </cell>
          <cell r="I2806" t="str">
            <v>6105 - Meals</v>
          </cell>
          <cell r="J2806" t="str">
            <v>Wholesale</v>
          </cell>
          <cell r="K2806" t="str">
            <v>Wholesale</v>
          </cell>
          <cell r="L2806" t="str">
            <v>T&amp;E</v>
          </cell>
          <cell r="N2806" t="str">
            <v>SG&amp;A</v>
          </cell>
          <cell r="O2806" t="str">
            <v>Kalina Pregnolato</v>
          </cell>
        </row>
        <row r="2807">
          <cell r="D2807">
            <v>21.5</v>
          </cell>
          <cell r="H2807">
            <v>45474</v>
          </cell>
          <cell r="I2807" t="str">
            <v>6340 - Miscellaneous Expense</v>
          </cell>
          <cell r="J2807" t="str">
            <v>Wholesale</v>
          </cell>
          <cell r="K2807" t="str">
            <v>Wholesale</v>
          </cell>
          <cell r="L2807" t="str">
            <v>Other</v>
          </cell>
          <cell r="N2807" t="str">
            <v>SG&amp;A</v>
          </cell>
          <cell r="O2807" t="str">
            <v>Kalina Pregnolato</v>
          </cell>
        </row>
        <row r="2808">
          <cell r="D2808">
            <v>-74.02</v>
          </cell>
          <cell r="H2808">
            <v>45474</v>
          </cell>
          <cell r="I2808" t="str">
            <v>6340 - Miscellaneous Expense</v>
          </cell>
          <cell r="J2808" t="str">
            <v>Wholesale</v>
          </cell>
          <cell r="K2808" t="str">
            <v>Wholesale</v>
          </cell>
          <cell r="L2808" t="str">
            <v>Other</v>
          </cell>
          <cell r="N2808" t="str">
            <v>SG&amp;A</v>
          </cell>
          <cell r="O2808" t="str">
            <v>Kalina Pregnolato</v>
          </cell>
        </row>
        <row r="2809">
          <cell r="D2809">
            <v>101.23</v>
          </cell>
          <cell r="H2809">
            <v>45474</v>
          </cell>
          <cell r="I2809" t="str">
            <v>6340 - Miscellaneous Expense</v>
          </cell>
          <cell r="J2809" t="str">
            <v>Wholesale</v>
          </cell>
          <cell r="K2809" t="str">
            <v>Wholesale</v>
          </cell>
          <cell r="L2809" t="str">
            <v>Other</v>
          </cell>
          <cell r="N2809" t="str">
            <v>SG&amp;A</v>
          </cell>
          <cell r="O2809" t="str">
            <v>Kalina Pregnolato</v>
          </cell>
        </row>
        <row r="2810">
          <cell r="D2810">
            <v>719.8</v>
          </cell>
          <cell r="H2810">
            <v>45474</v>
          </cell>
          <cell r="I2810" t="str">
            <v>6410 - Lease Expense</v>
          </cell>
          <cell r="J2810">
            <v>0</v>
          </cell>
          <cell r="K2810" t="str">
            <v>Administration</v>
          </cell>
          <cell r="L2810" t="str">
            <v>Rent</v>
          </cell>
          <cell r="N2810" t="str">
            <v>SG&amp;A</v>
          </cell>
          <cell r="O2810" t="str">
            <v>Canon Financial Services, Inc.</v>
          </cell>
        </row>
        <row r="2811">
          <cell r="D2811">
            <v>7.83</v>
          </cell>
          <cell r="H2811">
            <v>45474</v>
          </cell>
          <cell r="I2811" t="str">
            <v>6125 - Transportation and Fuel</v>
          </cell>
          <cell r="J2811" t="str">
            <v>Wholesale</v>
          </cell>
          <cell r="K2811" t="str">
            <v>Wholesale</v>
          </cell>
          <cell r="L2811" t="str">
            <v>T&amp;E</v>
          </cell>
          <cell r="N2811" t="str">
            <v>SG&amp;A</v>
          </cell>
          <cell r="O2811" t="str">
            <v>Kalina Pregnolato</v>
          </cell>
        </row>
        <row r="2812">
          <cell r="D2812">
            <v>8.19</v>
          </cell>
          <cell r="H2812">
            <v>45474</v>
          </cell>
          <cell r="I2812" t="str">
            <v>6125 - Transportation and Fuel</v>
          </cell>
          <cell r="J2812" t="str">
            <v>Wholesale</v>
          </cell>
          <cell r="K2812" t="str">
            <v>Wholesale</v>
          </cell>
          <cell r="L2812" t="str">
            <v>T&amp;E</v>
          </cell>
          <cell r="N2812" t="str">
            <v>SG&amp;A</v>
          </cell>
          <cell r="O2812" t="str">
            <v>Kalina Pregnolato</v>
          </cell>
        </row>
        <row r="2813">
          <cell r="D2813">
            <v>82.66</v>
          </cell>
          <cell r="H2813">
            <v>45474</v>
          </cell>
          <cell r="I2813" t="str">
            <v>6125 - Transportation and Fuel</v>
          </cell>
          <cell r="J2813" t="str">
            <v>Wholesale</v>
          </cell>
          <cell r="K2813" t="str">
            <v>Wholesale</v>
          </cell>
          <cell r="L2813" t="str">
            <v>T&amp;E</v>
          </cell>
          <cell r="N2813" t="str">
            <v>SG&amp;A</v>
          </cell>
          <cell r="O2813" t="str">
            <v>Kalina Pregnolato</v>
          </cell>
        </row>
        <row r="2814">
          <cell r="D2814">
            <v>21.11</v>
          </cell>
          <cell r="H2814">
            <v>45474</v>
          </cell>
          <cell r="I2814" t="str">
            <v>6125 - Transportation and Fuel</v>
          </cell>
          <cell r="J2814" t="str">
            <v>Wholesale</v>
          </cell>
          <cell r="K2814" t="str">
            <v>Wholesale</v>
          </cell>
          <cell r="L2814" t="str">
            <v>T&amp;E</v>
          </cell>
          <cell r="N2814" t="str">
            <v>SG&amp;A</v>
          </cell>
          <cell r="O2814" t="str">
            <v>Kalina Pregnolato</v>
          </cell>
        </row>
        <row r="2815">
          <cell r="D2815">
            <v>7.83</v>
          </cell>
          <cell r="H2815">
            <v>45474</v>
          </cell>
          <cell r="I2815" t="str">
            <v>6125 - Transportation and Fuel</v>
          </cell>
          <cell r="J2815" t="str">
            <v>Wholesale</v>
          </cell>
          <cell r="K2815" t="str">
            <v>Wholesale</v>
          </cell>
          <cell r="L2815" t="str">
            <v>T&amp;E</v>
          </cell>
          <cell r="N2815" t="str">
            <v>SG&amp;A</v>
          </cell>
          <cell r="O2815" t="str">
            <v>Kalina Pregnolato</v>
          </cell>
        </row>
        <row r="2816">
          <cell r="D2816">
            <v>19.72</v>
          </cell>
          <cell r="H2816">
            <v>45474</v>
          </cell>
          <cell r="I2816" t="str">
            <v>6125 - Transportation and Fuel</v>
          </cell>
          <cell r="J2816" t="str">
            <v>Wholesale</v>
          </cell>
          <cell r="K2816" t="str">
            <v>Wholesale</v>
          </cell>
          <cell r="L2816" t="str">
            <v>T&amp;E</v>
          </cell>
          <cell r="N2816" t="str">
            <v>SG&amp;A</v>
          </cell>
          <cell r="O2816" t="str">
            <v>Kalina Pregnolato</v>
          </cell>
        </row>
        <row r="2817">
          <cell r="D2817">
            <v>19.11</v>
          </cell>
          <cell r="H2817">
            <v>45474</v>
          </cell>
          <cell r="I2817" t="str">
            <v>6125 - Transportation and Fuel</v>
          </cell>
          <cell r="J2817" t="str">
            <v>Wholesale</v>
          </cell>
          <cell r="K2817" t="str">
            <v>Wholesale</v>
          </cell>
          <cell r="L2817" t="str">
            <v>T&amp;E</v>
          </cell>
          <cell r="N2817" t="str">
            <v>SG&amp;A</v>
          </cell>
          <cell r="O2817" t="str">
            <v>Kalina Pregnolato</v>
          </cell>
        </row>
        <row r="2818">
          <cell r="D2818">
            <v>99.94</v>
          </cell>
          <cell r="H2818">
            <v>45474</v>
          </cell>
          <cell r="I2818" t="str">
            <v>6125 - Transportation and Fuel</v>
          </cell>
          <cell r="J2818" t="str">
            <v>Wholesale</v>
          </cell>
          <cell r="K2818" t="str">
            <v>Wholesale</v>
          </cell>
          <cell r="L2818" t="str">
            <v>T&amp;E</v>
          </cell>
          <cell r="N2818" t="str">
            <v>SG&amp;A</v>
          </cell>
          <cell r="O2818" t="str">
            <v>Kalina Pregnolato</v>
          </cell>
        </row>
        <row r="2819">
          <cell r="D2819">
            <v>16.23</v>
          </cell>
          <cell r="H2819">
            <v>45474</v>
          </cell>
          <cell r="I2819" t="str">
            <v>6125 - Transportation and Fuel</v>
          </cell>
          <cell r="J2819" t="str">
            <v>Wholesale</v>
          </cell>
          <cell r="K2819" t="str">
            <v>Wholesale</v>
          </cell>
          <cell r="L2819" t="str">
            <v>T&amp;E</v>
          </cell>
          <cell r="N2819" t="str">
            <v>SG&amp;A</v>
          </cell>
          <cell r="O2819" t="str">
            <v>Kalina Pregnolato</v>
          </cell>
        </row>
        <row r="2820">
          <cell r="D2820">
            <v>11.89</v>
          </cell>
          <cell r="H2820">
            <v>45474</v>
          </cell>
          <cell r="I2820" t="str">
            <v>6125 - Transportation and Fuel</v>
          </cell>
          <cell r="J2820" t="str">
            <v>Wholesale</v>
          </cell>
          <cell r="K2820" t="str">
            <v>Wholesale</v>
          </cell>
          <cell r="L2820" t="str">
            <v>T&amp;E</v>
          </cell>
          <cell r="N2820" t="str">
            <v>SG&amp;A</v>
          </cell>
          <cell r="O2820" t="str">
            <v>Kalina Pregnolato</v>
          </cell>
        </row>
        <row r="2821">
          <cell r="D2821">
            <v>101.79</v>
          </cell>
          <cell r="H2821">
            <v>45474</v>
          </cell>
          <cell r="I2821" t="str">
            <v>6125 - Transportation and Fuel</v>
          </cell>
          <cell r="J2821" t="str">
            <v>Wholesale</v>
          </cell>
          <cell r="K2821" t="str">
            <v>Wholesale</v>
          </cell>
          <cell r="L2821" t="str">
            <v>T&amp;E</v>
          </cell>
          <cell r="N2821" t="str">
            <v>SG&amp;A</v>
          </cell>
          <cell r="O2821" t="str">
            <v>Kalina Pregnolato</v>
          </cell>
        </row>
        <row r="2822">
          <cell r="D2822">
            <v>68.92</v>
          </cell>
          <cell r="H2822">
            <v>45474</v>
          </cell>
          <cell r="I2822" t="str">
            <v>6125 - Transportation and Fuel</v>
          </cell>
          <cell r="J2822" t="str">
            <v>Wholesale</v>
          </cell>
          <cell r="K2822" t="str">
            <v>Wholesale</v>
          </cell>
          <cell r="L2822" t="str">
            <v>T&amp;E</v>
          </cell>
          <cell r="N2822" t="str">
            <v>SG&amp;A</v>
          </cell>
          <cell r="O2822" t="str">
            <v>Kalina Pregnolato</v>
          </cell>
        </row>
        <row r="2823">
          <cell r="D2823">
            <v>8.83</v>
          </cell>
          <cell r="H2823">
            <v>45474</v>
          </cell>
          <cell r="I2823" t="str">
            <v>6125 - Transportation and Fuel</v>
          </cell>
          <cell r="J2823" t="str">
            <v>Wholesale</v>
          </cell>
          <cell r="K2823" t="str">
            <v>Wholesale</v>
          </cell>
          <cell r="L2823" t="str">
            <v>T&amp;E</v>
          </cell>
          <cell r="N2823" t="str">
            <v>SG&amp;A</v>
          </cell>
          <cell r="O2823" t="str">
            <v>Kalina Pregnolato</v>
          </cell>
        </row>
        <row r="2824">
          <cell r="D2824">
            <v>35</v>
          </cell>
          <cell r="H2824">
            <v>45474</v>
          </cell>
          <cell r="I2824" t="str">
            <v>6115 - Airfare</v>
          </cell>
          <cell r="J2824" t="str">
            <v>Wholesale</v>
          </cell>
          <cell r="K2824" t="str">
            <v>Wholesale</v>
          </cell>
          <cell r="L2824" t="str">
            <v>T&amp;E</v>
          </cell>
          <cell r="N2824" t="str">
            <v>SG&amp;A</v>
          </cell>
          <cell r="O2824" t="str">
            <v>Kalina Pregnolato</v>
          </cell>
        </row>
        <row r="2825">
          <cell r="D2825">
            <v>74.989999999999995</v>
          </cell>
          <cell r="H2825">
            <v>45474</v>
          </cell>
          <cell r="I2825" t="str">
            <v>6115 - Airfare</v>
          </cell>
          <cell r="J2825" t="str">
            <v>Wholesale</v>
          </cell>
          <cell r="K2825" t="str">
            <v>Wholesale</v>
          </cell>
          <cell r="L2825" t="str">
            <v>T&amp;E</v>
          </cell>
          <cell r="N2825" t="str">
            <v>SG&amp;A</v>
          </cell>
          <cell r="O2825" t="str">
            <v>Kalina Pregnolato</v>
          </cell>
        </row>
        <row r="2826">
          <cell r="D2826">
            <v>-35</v>
          </cell>
          <cell r="H2826">
            <v>45474</v>
          </cell>
          <cell r="I2826" t="str">
            <v>6115 - Airfare</v>
          </cell>
          <cell r="J2826" t="str">
            <v>Wholesale</v>
          </cell>
          <cell r="K2826" t="str">
            <v>Wholesale</v>
          </cell>
          <cell r="L2826" t="str">
            <v>T&amp;E</v>
          </cell>
          <cell r="N2826" t="str">
            <v>SG&amp;A</v>
          </cell>
          <cell r="O2826" t="str">
            <v>Kalina Pregnolato</v>
          </cell>
        </row>
        <row r="2827">
          <cell r="D2827">
            <v>175.02</v>
          </cell>
          <cell r="H2827">
            <v>45474</v>
          </cell>
          <cell r="I2827" t="str">
            <v>6105 - Meals</v>
          </cell>
          <cell r="J2827" t="str">
            <v>Wholesale</v>
          </cell>
          <cell r="K2827" t="str">
            <v>Wholesale</v>
          </cell>
          <cell r="L2827" t="str">
            <v>T&amp;E</v>
          </cell>
          <cell r="N2827" t="str">
            <v>SG&amp;A</v>
          </cell>
          <cell r="O2827" t="str">
            <v>Kalina Pregnolato</v>
          </cell>
        </row>
        <row r="2828">
          <cell r="D2828">
            <v>77.510000000000005</v>
          </cell>
          <cell r="H2828">
            <v>45474</v>
          </cell>
          <cell r="I2828" t="str">
            <v>6105 - Meals</v>
          </cell>
          <cell r="J2828" t="str">
            <v>Wholesale</v>
          </cell>
          <cell r="K2828" t="str">
            <v>Wholesale</v>
          </cell>
          <cell r="L2828" t="str">
            <v>T&amp;E</v>
          </cell>
          <cell r="N2828" t="str">
            <v>SG&amp;A</v>
          </cell>
          <cell r="O2828" t="str">
            <v>Kalina Pregnolato</v>
          </cell>
        </row>
        <row r="2829">
          <cell r="D2829">
            <v>14.98</v>
          </cell>
          <cell r="H2829">
            <v>45474</v>
          </cell>
          <cell r="I2829" t="str">
            <v>6105 - Meals</v>
          </cell>
          <cell r="J2829" t="str">
            <v>Wholesale</v>
          </cell>
          <cell r="K2829" t="str">
            <v>Wholesale</v>
          </cell>
          <cell r="L2829" t="str">
            <v>T&amp;E</v>
          </cell>
          <cell r="N2829" t="str">
            <v>SG&amp;A</v>
          </cell>
          <cell r="O2829" t="str">
            <v>Kalina Pregnolato</v>
          </cell>
        </row>
        <row r="2830">
          <cell r="D2830">
            <v>22.09</v>
          </cell>
          <cell r="H2830">
            <v>45474</v>
          </cell>
          <cell r="I2830" t="str">
            <v>6105 - Meals</v>
          </cell>
          <cell r="J2830" t="str">
            <v>Wholesale</v>
          </cell>
          <cell r="K2830" t="str">
            <v>Wholesale</v>
          </cell>
          <cell r="L2830" t="str">
            <v>T&amp;E</v>
          </cell>
          <cell r="N2830" t="str">
            <v>SG&amp;A</v>
          </cell>
          <cell r="O2830" t="str">
            <v>Kalina Pregnolato</v>
          </cell>
        </row>
        <row r="2831">
          <cell r="D2831">
            <v>4.3099999999999996</v>
          </cell>
          <cell r="H2831">
            <v>45474</v>
          </cell>
          <cell r="I2831" t="str">
            <v>6105 - Meals</v>
          </cell>
          <cell r="J2831" t="str">
            <v>Wholesale</v>
          </cell>
          <cell r="K2831" t="str">
            <v>Wholesale</v>
          </cell>
          <cell r="L2831" t="str">
            <v>T&amp;E</v>
          </cell>
          <cell r="N2831" t="str">
            <v>SG&amp;A</v>
          </cell>
          <cell r="O2831" t="str">
            <v>Kalina Pregnolato</v>
          </cell>
        </row>
        <row r="2832">
          <cell r="D2832">
            <v>647.16</v>
          </cell>
          <cell r="H2832">
            <v>45474</v>
          </cell>
          <cell r="I2832" t="str">
            <v>6040 - Employer Paid Benefits</v>
          </cell>
          <cell r="J2832">
            <v>0</v>
          </cell>
          <cell r="K2832" t="str">
            <v>Administration</v>
          </cell>
          <cell r="L2832" t="str">
            <v>HQ Salaries</v>
          </cell>
          <cell r="N2832" t="str">
            <v>SG&amp;A</v>
          </cell>
          <cell r="O2832" t="str">
            <v>Procyon Benefits LLC</v>
          </cell>
        </row>
        <row r="2833">
          <cell r="D2833">
            <v>21139.73</v>
          </cell>
          <cell r="H2833">
            <v>45474</v>
          </cell>
          <cell r="I2833" t="str">
            <v>6377 - Order Processing Expenses (New)</v>
          </cell>
          <cell r="J2833" t="str">
            <v>Ecommerce (US)</v>
          </cell>
          <cell r="K2833" t="str">
            <v>Ecommerce</v>
          </cell>
          <cell r="L2833" t="str">
            <v>Order Processing</v>
          </cell>
          <cell r="N2833" t="str">
            <v>Direct Costs</v>
          </cell>
          <cell r="O2833" t="str">
            <v>Bergen Logistics Corporation</v>
          </cell>
        </row>
        <row r="2834">
          <cell r="D2834">
            <v>15947.79</v>
          </cell>
          <cell r="H2834">
            <v>45474</v>
          </cell>
          <cell r="I2834" t="str">
            <v>6377 - Order Processing Expenses (New)</v>
          </cell>
          <cell r="J2834" t="str">
            <v>Wholesale</v>
          </cell>
          <cell r="K2834" t="str">
            <v>Wholesale</v>
          </cell>
          <cell r="L2834" t="str">
            <v>Order Processing</v>
          </cell>
          <cell r="N2834" t="str">
            <v>Direct Costs</v>
          </cell>
          <cell r="O2834" t="str">
            <v>Bergen Logistics Corporation</v>
          </cell>
        </row>
        <row r="2835">
          <cell r="D2835">
            <v>4691</v>
          </cell>
          <cell r="H2835">
            <v>45474</v>
          </cell>
          <cell r="I2835" t="str">
            <v>6240 - Product Photography</v>
          </cell>
          <cell r="J2835" t="str">
            <v>Ecommerce (US)</v>
          </cell>
          <cell r="K2835" t="str">
            <v>Brand Marketing</v>
          </cell>
          <cell r="L2835" t="str">
            <v>Advertising</v>
          </cell>
          <cell r="N2835" t="str">
            <v>SG&amp;A</v>
          </cell>
          <cell r="O2835" t="str">
            <v>Theerapol Thammasitboon</v>
          </cell>
        </row>
        <row r="2836">
          <cell r="D2836">
            <v>700</v>
          </cell>
          <cell r="H2836">
            <v>45474</v>
          </cell>
          <cell r="I2836" t="str">
            <v>6225 - Professional Services</v>
          </cell>
          <cell r="J2836">
            <v>0</v>
          </cell>
          <cell r="K2836" t="str">
            <v>Brand Marketing</v>
          </cell>
          <cell r="L2836" t="str">
            <v>Professional Service</v>
          </cell>
          <cell r="N2836" t="str">
            <v>Direct Costs</v>
          </cell>
          <cell r="O2836" t="str">
            <v>Melody  Huang</v>
          </cell>
        </row>
        <row r="2837">
          <cell r="D2837">
            <v>4500</v>
          </cell>
          <cell r="H2837">
            <v>45474</v>
          </cell>
          <cell r="I2837" t="str">
            <v>6225 - Professional Services</v>
          </cell>
          <cell r="J2837" t="str">
            <v>Ecommerce (US)</v>
          </cell>
          <cell r="K2837" t="str">
            <v>Ecommerce</v>
          </cell>
          <cell r="L2837" t="str">
            <v>Professional Service</v>
          </cell>
          <cell r="N2837" t="str">
            <v>Direct Costs</v>
          </cell>
          <cell r="O2837" t="str">
            <v>Freeflow LLC</v>
          </cell>
        </row>
        <row r="2838">
          <cell r="D2838">
            <v>374.54</v>
          </cell>
          <cell r="H2838">
            <v>45474</v>
          </cell>
          <cell r="I2838" t="str">
            <v>6375 - Freight Expenses</v>
          </cell>
          <cell r="J2838" t="str">
            <v>Ecommerce (US)</v>
          </cell>
          <cell r="K2838" t="str">
            <v>Ecommerce</v>
          </cell>
          <cell r="L2838" t="str">
            <v>Freight</v>
          </cell>
          <cell r="N2838" t="str">
            <v>Direct Costs</v>
          </cell>
          <cell r="O2838" t="str">
            <v>Bergen Logistics Corporation</v>
          </cell>
        </row>
        <row r="2839">
          <cell r="D2839">
            <v>62.78</v>
          </cell>
          <cell r="H2839">
            <v>45474</v>
          </cell>
          <cell r="I2839" t="str">
            <v>6375 - Freight Expenses</v>
          </cell>
          <cell r="J2839" t="str">
            <v>Wholesale</v>
          </cell>
          <cell r="K2839" t="str">
            <v>Wholesale</v>
          </cell>
          <cell r="L2839" t="str">
            <v>Freight</v>
          </cell>
          <cell r="N2839" t="str">
            <v>Direct Costs</v>
          </cell>
          <cell r="O2839" t="str">
            <v>Bergen Logistics Corporation</v>
          </cell>
        </row>
        <row r="2840">
          <cell r="D2840">
            <v>94.7</v>
          </cell>
          <cell r="H2840">
            <v>45474</v>
          </cell>
          <cell r="I2840" t="str">
            <v>6040 - Employer Paid Benefits</v>
          </cell>
          <cell r="J2840">
            <v>0</v>
          </cell>
          <cell r="K2840" t="str">
            <v>Production</v>
          </cell>
          <cell r="L2840" t="str">
            <v>HQ Salaries</v>
          </cell>
          <cell r="N2840" t="str">
            <v>SG&amp;A</v>
          </cell>
          <cell r="O2840" t="str">
            <v>Procyon Benefits LLC</v>
          </cell>
        </row>
        <row r="2841">
          <cell r="D2841">
            <v>11.95</v>
          </cell>
          <cell r="H2841">
            <v>45474</v>
          </cell>
          <cell r="I2841" t="str">
            <v>6040 - Employer Paid Benefits</v>
          </cell>
          <cell r="J2841">
            <v>0</v>
          </cell>
          <cell r="K2841" t="str">
            <v>Merchandising</v>
          </cell>
          <cell r="L2841" t="str">
            <v>HQ Salaries</v>
          </cell>
          <cell r="N2841" t="str">
            <v>SG&amp;A</v>
          </cell>
          <cell r="O2841" t="str">
            <v>Procyon Benefits LLC</v>
          </cell>
        </row>
        <row r="2842">
          <cell r="D2842">
            <v>22.28</v>
          </cell>
          <cell r="H2842">
            <v>45474</v>
          </cell>
          <cell r="I2842" t="str">
            <v>6040 - Employer Paid Benefits</v>
          </cell>
          <cell r="J2842">
            <v>0</v>
          </cell>
          <cell r="K2842" t="str">
            <v>Design</v>
          </cell>
          <cell r="L2842" t="str">
            <v>HQ Salaries</v>
          </cell>
          <cell r="N2842" t="str">
            <v>SG&amp;A</v>
          </cell>
          <cell r="O2842" t="str">
            <v>Procyon Benefits LLC</v>
          </cell>
        </row>
        <row r="2843">
          <cell r="D2843">
            <v>3631.54</v>
          </cell>
          <cell r="H2843">
            <v>45474</v>
          </cell>
          <cell r="I2843" t="str">
            <v>6375 - Freight Expenses</v>
          </cell>
          <cell r="J2843" t="str">
            <v>Ecommerce (EU)</v>
          </cell>
          <cell r="K2843" t="str">
            <v>Ecommerce</v>
          </cell>
          <cell r="L2843" t="str">
            <v>Freight</v>
          </cell>
          <cell r="N2843" t="str">
            <v>Direct Costs</v>
          </cell>
          <cell r="O2843" t="str">
            <v>Global E</v>
          </cell>
        </row>
        <row r="2844">
          <cell r="D2844">
            <v>2788.97</v>
          </cell>
          <cell r="H2844">
            <v>45474</v>
          </cell>
          <cell r="I2844" t="str">
            <v>6450 - Bank &amp; Other Fees</v>
          </cell>
          <cell r="J2844" t="str">
            <v>Ecommerce (EU)</v>
          </cell>
          <cell r="K2844" t="str">
            <v>Ecommerce</v>
          </cell>
          <cell r="L2844" t="str">
            <v>Professional Service</v>
          </cell>
          <cell r="N2844" t="str">
            <v>Direct Costs</v>
          </cell>
          <cell r="O2844" t="str">
            <v>[No Vendor]</v>
          </cell>
        </row>
        <row r="2845">
          <cell r="D2845">
            <v>2393.2800000000002</v>
          </cell>
          <cell r="H2845">
            <v>45474</v>
          </cell>
          <cell r="I2845" t="str">
            <v>6520 - Taxes and Licenses</v>
          </cell>
          <cell r="J2845">
            <v>0</v>
          </cell>
          <cell r="K2845" t="str">
            <v>Administration</v>
          </cell>
          <cell r="L2845" t="str">
            <v>Other</v>
          </cell>
          <cell r="N2845" t="str">
            <v>SG&amp;A</v>
          </cell>
          <cell r="O2845" t="str">
            <v>ADP Payroll Services</v>
          </cell>
        </row>
        <row r="2846">
          <cell r="D2846">
            <v>2400</v>
          </cell>
          <cell r="H2846">
            <v>45474</v>
          </cell>
          <cell r="I2846" t="str">
            <v>6288 - Model</v>
          </cell>
          <cell r="J2846" t="str">
            <v>Ecommerce (US)</v>
          </cell>
          <cell r="K2846" t="str">
            <v>Brand Marketing</v>
          </cell>
          <cell r="L2846" t="str">
            <v>Advertising</v>
          </cell>
          <cell r="N2846" t="str">
            <v>SG&amp;A</v>
          </cell>
          <cell r="O2846" t="str">
            <v>New York Model Management, Inc.</v>
          </cell>
        </row>
        <row r="2847">
          <cell r="D2847">
            <v>4230</v>
          </cell>
          <cell r="H2847">
            <v>45474</v>
          </cell>
          <cell r="I2847" t="str">
            <v>6240 - Product Photography</v>
          </cell>
          <cell r="J2847" t="str">
            <v>Ecommerce (US)</v>
          </cell>
          <cell r="K2847" t="str">
            <v>Brand Marketing</v>
          </cell>
          <cell r="L2847" t="str">
            <v>Advertising</v>
          </cell>
          <cell r="N2847" t="str">
            <v>SG&amp;A</v>
          </cell>
          <cell r="O2847" t="str">
            <v>LENFLASH dot COM</v>
          </cell>
        </row>
        <row r="2848">
          <cell r="D2848">
            <v>524.37</v>
          </cell>
          <cell r="H2848">
            <v>45474</v>
          </cell>
          <cell r="I2848" t="str">
            <v>6370 - Samples</v>
          </cell>
          <cell r="J2848">
            <v>0</v>
          </cell>
          <cell r="K2848" t="str">
            <v>Design</v>
          </cell>
          <cell r="L2848" t="str">
            <v>Sample</v>
          </cell>
          <cell r="N2848" t="str">
            <v>SG&amp;A</v>
          </cell>
          <cell r="O2848" t="str">
            <v>Consul + SRL</v>
          </cell>
        </row>
        <row r="2849">
          <cell r="D2849">
            <v>848.57</v>
          </cell>
          <cell r="H2849">
            <v>45474</v>
          </cell>
          <cell r="I2849" t="str">
            <v>6375 - Freight Expenses</v>
          </cell>
          <cell r="J2849">
            <v>0</v>
          </cell>
          <cell r="K2849" t="str">
            <v>Production</v>
          </cell>
          <cell r="L2849" t="str">
            <v>Freight</v>
          </cell>
          <cell r="N2849" t="str">
            <v>Direct Costs</v>
          </cell>
          <cell r="O2849" t="str">
            <v>DHL Express - USA</v>
          </cell>
        </row>
        <row r="2850">
          <cell r="D2850">
            <v>1137.5</v>
          </cell>
          <cell r="H2850">
            <v>45474</v>
          </cell>
          <cell r="I2850" t="str">
            <v>6300 - Payroll Service Fees</v>
          </cell>
          <cell r="J2850">
            <v>0</v>
          </cell>
          <cell r="K2850" t="str">
            <v>Administration</v>
          </cell>
          <cell r="L2850" t="str">
            <v>Professional Service</v>
          </cell>
          <cell r="N2850" t="str">
            <v>SG&amp;A</v>
          </cell>
          <cell r="O2850" t="str">
            <v>OperationsInc, LLC</v>
          </cell>
        </row>
        <row r="2851">
          <cell r="D2851">
            <v>107.29</v>
          </cell>
          <cell r="H2851">
            <v>45474</v>
          </cell>
          <cell r="I2851" t="str">
            <v>6375 - Freight Expenses</v>
          </cell>
          <cell r="J2851">
            <v>0</v>
          </cell>
          <cell r="K2851" t="str">
            <v>Production</v>
          </cell>
          <cell r="L2851" t="str">
            <v>Freight</v>
          </cell>
          <cell r="N2851" t="str">
            <v>Direct Costs</v>
          </cell>
          <cell r="O2851" t="str">
            <v>DHL Express - USA</v>
          </cell>
        </row>
        <row r="2852">
          <cell r="D2852">
            <v>216</v>
          </cell>
          <cell r="H2852">
            <v>45474</v>
          </cell>
          <cell r="I2852" t="str">
            <v>6055 - Employer Social Security Tax Withheld</v>
          </cell>
          <cell r="J2852">
            <v>0</v>
          </cell>
          <cell r="K2852" t="str">
            <v>Administration</v>
          </cell>
          <cell r="L2852" t="str">
            <v>HQ Salaries</v>
          </cell>
          <cell r="N2852" t="str">
            <v>SG&amp;A</v>
          </cell>
          <cell r="O2852" t="str">
            <v>[No Vendor]</v>
          </cell>
        </row>
        <row r="2853">
          <cell r="D2853">
            <v>1180.7</v>
          </cell>
          <cell r="H2853">
            <v>45474</v>
          </cell>
          <cell r="I2853" t="str">
            <v>6520 - Taxes and Licenses</v>
          </cell>
          <cell r="J2853">
            <v>0</v>
          </cell>
          <cell r="K2853" t="str">
            <v>Administration</v>
          </cell>
          <cell r="L2853" t="str">
            <v>Other</v>
          </cell>
          <cell r="N2853" t="str">
            <v>SG&amp;A</v>
          </cell>
          <cell r="O2853" t="str">
            <v>[No Vendor]</v>
          </cell>
        </row>
        <row r="2854">
          <cell r="D2854">
            <v>3337.31</v>
          </cell>
          <cell r="H2854">
            <v>45474</v>
          </cell>
          <cell r="I2854" t="str">
            <v>6520 - Taxes and Licenses</v>
          </cell>
          <cell r="J2854">
            <v>0</v>
          </cell>
          <cell r="K2854" t="str">
            <v>Administration</v>
          </cell>
          <cell r="L2854" t="str">
            <v>Other</v>
          </cell>
          <cell r="N2854" t="str">
            <v>SG&amp;A</v>
          </cell>
          <cell r="O2854" t="str">
            <v>[No Vendor]</v>
          </cell>
        </row>
        <row r="2855">
          <cell r="D2855">
            <v>-3348.85</v>
          </cell>
          <cell r="H2855">
            <v>45474</v>
          </cell>
          <cell r="I2855" t="str">
            <v>6520 - Taxes and Licenses</v>
          </cell>
          <cell r="J2855">
            <v>0</v>
          </cell>
          <cell r="K2855" t="str">
            <v>Administration</v>
          </cell>
          <cell r="L2855" t="str">
            <v>Other</v>
          </cell>
          <cell r="N2855" t="str">
            <v>SG&amp;A</v>
          </cell>
          <cell r="O2855" t="str">
            <v>[No Vendor]</v>
          </cell>
        </row>
        <row r="2856">
          <cell r="D2856">
            <v>1926.43</v>
          </cell>
          <cell r="H2856">
            <v>45474</v>
          </cell>
          <cell r="I2856" t="str">
            <v>6430 - Dues &amp; Memberships</v>
          </cell>
          <cell r="J2856" t="str">
            <v>Ecommerce (US)</v>
          </cell>
          <cell r="K2856" t="str">
            <v>Ecommerce</v>
          </cell>
          <cell r="L2856" t="str">
            <v>Professional Service</v>
          </cell>
          <cell r="N2856" t="str">
            <v>Direct Costs</v>
          </cell>
          <cell r="O2856" t="str">
            <v>Loop</v>
          </cell>
        </row>
        <row r="2857">
          <cell r="D2857">
            <v>34.64</v>
          </cell>
          <cell r="H2857">
            <v>45474</v>
          </cell>
          <cell r="I2857" t="str">
            <v>6055 - Employer Social Security Tax Withheld</v>
          </cell>
          <cell r="J2857">
            <v>0</v>
          </cell>
          <cell r="K2857" t="str">
            <v>Administration</v>
          </cell>
          <cell r="L2857" t="str">
            <v>HQ Salaries</v>
          </cell>
          <cell r="N2857" t="str">
            <v>SG&amp;A</v>
          </cell>
          <cell r="O2857" t="str">
            <v>[No Vendor]</v>
          </cell>
        </row>
        <row r="2858">
          <cell r="D2858">
            <v>4199.6499999999996</v>
          </cell>
          <cell r="H2858">
            <v>45474</v>
          </cell>
          <cell r="I2858" t="str">
            <v>6210 - Monitoring</v>
          </cell>
          <cell r="J2858" t="str">
            <v>Ecommerce (EU)</v>
          </cell>
          <cell r="K2858" t="str">
            <v>Ecommerce</v>
          </cell>
          <cell r="L2858" t="str">
            <v>Professional Service</v>
          </cell>
          <cell r="N2858" t="str">
            <v>Direct Costs</v>
          </cell>
          <cell r="O2858" t="str">
            <v>Convey SRL</v>
          </cell>
        </row>
        <row r="2859">
          <cell r="D2859">
            <v>1800</v>
          </cell>
          <cell r="H2859">
            <v>45474</v>
          </cell>
          <cell r="I2859" t="str">
            <v>6288 - Model</v>
          </cell>
          <cell r="J2859" t="str">
            <v>Ecommerce (US)</v>
          </cell>
          <cell r="K2859" t="str">
            <v>Brand Marketing</v>
          </cell>
          <cell r="L2859" t="str">
            <v>Advertising</v>
          </cell>
          <cell r="N2859" t="str">
            <v>SG&amp;A</v>
          </cell>
          <cell r="O2859" t="str">
            <v>State Artist Management</v>
          </cell>
        </row>
        <row r="2860">
          <cell r="D2860">
            <v>-1063.8</v>
          </cell>
          <cell r="H2860">
            <v>45474</v>
          </cell>
          <cell r="I2860" t="str">
            <v>6375 - Freight Expenses</v>
          </cell>
          <cell r="J2860">
            <v>0</v>
          </cell>
          <cell r="K2860" t="str">
            <v>No Department</v>
          </cell>
          <cell r="L2860" t="str">
            <v>Freight</v>
          </cell>
          <cell r="N2860" t="str">
            <v>Direct Costs</v>
          </cell>
          <cell r="O2860" t="str">
            <v>Bergen Logistics Corporation</v>
          </cell>
        </row>
        <row r="2861">
          <cell r="D2861">
            <v>-1565.36</v>
          </cell>
          <cell r="H2861">
            <v>45474</v>
          </cell>
          <cell r="I2861" t="str">
            <v>6375 - Freight Expenses</v>
          </cell>
          <cell r="J2861">
            <v>0</v>
          </cell>
          <cell r="K2861" t="str">
            <v>No Department</v>
          </cell>
          <cell r="L2861" t="str">
            <v>Freight</v>
          </cell>
          <cell r="N2861" t="str">
            <v>Direct Costs</v>
          </cell>
          <cell r="O2861" t="str">
            <v>Bergen Logistics Corporation</v>
          </cell>
        </row>
        <row r="2862">
          <cell r="D2862">
            <v>2500</v>
          </cell>
          <cell r="H2862">
            <v>45474</v>
          </cell>
          <cell r="I2862" t="str">
            <v>6225 - Professional Services</v>
          </cell>
          <cell r="J2862">
            <v>0</v>
          </cell>
          <cell r="K2862" t="str">
            <v>Administration</v>
          </cell>
          <cell r="L2862" t="str">
            <v>Professional Service</v>
          </cell>
          <cell r="N2862" t="str">
            <v>Direct Costs</v>
          </cell>
          <cell r="O2862" t="str">
            <v>Procyon Benefits LLC</v>
          </cell>
        </row>
        <row r="2863">
          <cell r="D2863">
            <v>14.23</v>
          </cell>
          <cell r="H2863">
            <v>45474</v>
          </cell>
          <cell r="I2863" t="str">
            <v>8505 - Realized Gain/Loss</v>
          </cell>
          <cell r="J2863">
            <v>0</v>
          </cell>
          <cell r="K2863" t="str">
            <v>No Department</v>
          </cell>
          <cell r="L2863" t="str">
            <v>Realized Gain / Loss</v>
          </cell>
          <cell r="N2863" t="str">
            <v>BTL</v>
          </cell>
          <cell r="O2863" t="str">
            <v>[No Vendor]</v>
          </cell>
        </row>
        <row r="2864">
          <cell r="D2864">
            <v>159.97999999999999</v>
          </cell>
          <cell r="H2864">
            <v>45474</v>
          </cell>
          <cell r="I2864" t="str">
            <v>6520 - Taxes and Licenses</v>
          </cell>
          <cell r="J2864">
            <v>0</v>
          </cell>
          <cell r="K2864" t="str">
            <v>Administration</v>
          </cell>
          <cell r="L2864" t="str">
            <v>Other</v>
          </cell>
          <cell r="N2864" t="str">
            <v>SG&amp;A</v>
          </cell>
          <cell r="O2864" t="str">
            <v>[No Vendor]</v>
          </cell>
        </row>
        <row r="2865">
          <cell r="D2865">
            <v>31746.91</v>
          </cell>
          <cell r="H2865">
            <v>45474</v>
          </cell>
          <cell r="I2865" t="str">
            <v>6375 - Freight Expenses</v>
          </cell>
          <cell r="J2865" t="str">
            <v>Ecommerce (US)</v>
          </cell>
          <cell r="K2865" t="str">
            <v>Ecommerce</v>
          </cell>
          <cell r="L2865" t="str">
            <v>Freight</v>
          </cell>
          <cell r="N2865" t="str">
            <v>Direct Costs</v>
          </cell>
          <cell r="O2865" t="str">
            <v>UPS Supply Chain Solutions Inc. (7F24A0)</v>
          </cell>
        </row>
        <row r="2866">
          <cell r="D2866">
            <v>325</v>
          </cell>
          <cell r="H2866">
            <v>45474</v>
          </cell>
          <cell r="I2866" t="str">
            <v>6040 - Employer Paid Benefits</v>
          </cell>
          <cell r="J2866">
            <v>0</v>
          </cell>
          <cell r="K2866" t="str">
            <v>Administration</v>
          </cell>
          <cell r="L2866" t="str">
            <v>HQ Salaries</v>
          </cell>
          <cell r="N2866" t="str">
            <v>SG&amp;A</v>
          </cell>
          <cell r="O2866" t="str">
            <v>Procyon Benefits LLC</v>
          </cell>
        </row>
        <row r="2867">
          <cell r="D2867">
            <v>1440</v>
          </cell>
          <cell r="H2867">
            <v>45474</v>
          </cell>
          <cell r="I2867" t="str">
            <v>6288 - Model</v>
          </cell>
          <cell r="J2867" t="str">
            <v>Ecommerce (US)</v>
          </cell>
          <cell r="K2867" t="str">
            <v>Brand Marketing</v>
          </cell>
          <cell r="L2867" t="str">
            <v>Advertising</v>
          </cell>
          <cell r="N2867" t="str">
            <v>SG&amp;A</v>
          </cell>
          <cell r="O2867" t="str">
            <v>State Artist Management</v>
          </cell>
        </row>
        <row r="2868">
          <cell r="D2868">
            <v>30.86</v>
          </cell>
          <cell r="H2868">
            <v>45474</v>
          </cell>
          <cell r="I2868" t="str">
            <v>6375 - Freight Expenses</v>
          </cell>
          <cell r="J2868" t="str">
            <v>Ecommerce (US)</v>
          </cell>
          <cell r="K2868" t="str">
            <v>Ecommerce</v>
          </cell>
          <cell r="L2868" t="str">
            <v>Freight</v>
          </cell>
          <cell r="N2868" t="str">
            <v>Direct Costs</v>
          </cell>
          <cell r="O2868" t="str">
            <v>Federal Express</v>
          </cell>
        </row>
        <row r="2869">
          <cell r="D2869">
            <v>110</v>
          </cell>
          <cell r="H2869">
            <v>45474</v>
          </cell>
          <cell r="I2869" t="str">
            <v>6040 - Employer Paid Benefits</v>
          </cell>
          <cell r="J2869">
            <v>0</v>
          </cell>
          <cell r="K2869" t="str">
            <v>Production</v>
          </cell>
          <cell r="L2869" t="str">
            <v>HQ Salaries</v>
          </cell>
          <cell r="N2869" t="str">
            <v>SG&amp;A</v>
          </cell>
          <cell r="O2869" t="str">
            <v>Procyon Benefits LLC</v>
          </cell>
        </row>
        <row r="2870">
          <cell r="D2870">
            <v>14.5</v>
          </cell>
          <cell r="H2870">
            <v>45474</v>
          </cell>
          <cell r="I2870" t="str">
            <v>6040 - Employer Paid Benefits</v>
          </cell>
          <cell r="J2870">
            <v>0</v>
          </cell>
          <cell r="K2870" t="str">
            <v>Merchandising</v>
          </cell>
          <cell r="L2870" t="str">
            <v>HQ Salaries</v>
          </cell>
          <cell r="N2870" t="str">
            <v>SG&amp;A</v>
          </cell>
          <cell r="O2870" t="str">
            <v>Procyon Benefits LLC</v>
          </cell>
        </row>
        <row r="2871">
          <cell r="D2871">
            <v>20.5</v>
          </cell>
          <cell r="H2871">
            <v>45474</v>
          </cell>
          <cell r="I2871" t="str">
            <v>6040 - Employer Paid Benefits</v>
          </cell>
          <cell r="J2871" t="str">
            <v>Ecommerce (US)</v>
          </cell>
          <cell r="K2871" t="str">
            <v>Ecommerce</v>
          </cell>
          <cell r="L2871" t="str">
            <v>HQ Salaries</v>
          </cell>
          <cell r="N2871" t="str">
            <v>SG&amp;A</v>
          </cell>
          <cell r="O2871" t="str">
            <v>Procyon Benefits LLC</v>
          </cell>
        </row>
        <row r="2872">
          <cell r="D2872">
            <v>19.25</v>
          </cell>
          <cell r="H2872">
            <v>45474</v>
          </cell>
          <cell r="I2872" t="str">
            <v>6040 - Employer Paid Benefits</v>
          </cell>
          <cell r="J2872">
            <v>0</v>
          </cell>
          <cell r="K2872" t="str">
            <v>Executive</v>
          </cell>
          <cell r="L2872" t="str">
            <v>HQ Salaries</v>
          </cell>
          <cell r="N2872" t="str">
            <v>SG&amp;A</v>
          </cell>
          <cell r="O2872" t="str">
            <v>Procyon Benefits LLC</v>
          </cell>
        </row>
        <row r="2873">
          <cell r="D2873">
            <v>698.78</v>
          </cell>
          <cell r="H2873">
            <v>45474</v>
          </cell>
          <cell r="I2873" t="str">
            <v>6040 - Employer Paid Benefits</v>
          </cell>
          <cell r="J2873">
            <v>0</v>
          </cell>
          <cell r="K2873" t="str">
            <v>Design</v>
          </cell>
          <cell r="L2873" t="str">
            <v>HQ Salaries</v>
          </cell>
          <cell r="N2873" t="str">
            <v>SG&amp;A</v>
          </cell>
          <cell r="O2873" t="str">
            <v>Procyon Benefits LLC</v>
          </cell>
        </row>
        <row r="2874">
          <cell r="D2874">
            <v>-94.04</v>
          </cell>
          <cell r="H2874">
            <v>45474</v>
          </cell>
          <cell r="I2874" t="str">
            <v>6040 - Employer Paid Benefits</v>
          </cell>
          <cell r="J2874">
            <v>0</v>
          </cell>
          <cell r="K2874" t="str">
            <v>Administration</v>
          </cell>
          <cell r="L2874" t="str">
            <v>HQ Salaries</v>
          </cell>
          <cell r="N2874" t="str">
            <v>SG&amp;A</v>
          </cell>
          <cell r="O2874" t="str">
            <v>[No Vendor]</v>
          </cell>
        </row>
        <row r="2875">
          <cell r="D2875">
            <v>3689.5</v>
          </cell>
          <cell r="H2875">
            <v>45474</v>
          </cell>
          <cell r="I2875" t="str">
            <v>6450 - Bank &amp; Other Fees</v>
          </cell>
          <cell r="J2875" t="str">
            <v>Ecommerce (EU)</v>
          </cell>
          <cell r="K2875" t="str">
            <v>Ecommerce</v>
          </cell>
          <cell r="L2875" t="str">
            <v>Professional Service</v>
          </cell>
          <cell r="N2875" t="str">
            <v>Direct Costs</v>
          </cell>
          <cell r="O2875" t="str">
            <v>[No Vendor]</v>
          </cell>
        </row>
        <row r="2876">
          <cell r="D2876">
            <v>5257.77</v>
          </cell>
          <cell r="H2876">
            <v>45474</v>
          </cell>
          <cell r="I2876" t="str">
            <v>6375 - Freight Expenses</v>
          </cell>
          <cell r="J2876" t="str">
            <v>Ecommerce (EU)</v>
          </cell>
          <cell r="K2876" t="str">
            <v>Ecommerce</v>
          </cell>
          <cell r="L2876" t="str">
            <v>Freight</v>
          </cell>
          <cell r="N2876" t="str">
            <v>Direct Costs</v>
          </cell>
          <cell r="O2876" t="str">
            <v>Global E</v>
          </cell>
        </row>
        <row r="2877">
          <cell r="D2877">
            <v>-146.24</v>
          </cell>
          <cell r="H2877">
            <v>45474</v>
          </cell>
          <cell r="I2877" t="str">
            <v>6375 - Freight Expenses</v>
          </cell>
          <cell r="J2877" t="str">
            <v>Ecommerce (US)</v>
          </cell>
          <cell r="K2877" t="str">
            <v>Ecommerce</v>
          </cell>
          <cell r="L2877" t="str">
            <v>Freight</v>
          </cell>
          <cell r="N2877" t="str">
            <v>Direct Costs</v>
          </cell>
          <cell r="O2877" t="str">
            <v>UPS Supply Chain Solutions Inc. (7F24A0)</v>
          </cell>
        </row>
        <row r="2878">
          <cell r="D2878">
            <v>943.37</v>
          </cell>
          <cell r="H2878">
            <v>45474</v>
          </cell>
          <cell r="I2878" t="str">
            <v>6520 - Taxes and Licenses</v>
          </cell>
          <cell r="J2878">
            <v>0</v>
          </cell>
          <cell r="K2878" t="str">
            <v>Administration</v>
          </cell>
          <cell r="L2878" t="str">
            <v>Other</v>
          </cell>
          <cell r="N2878" t="str">
            <v>SG&amp;A</v>
          </cell>
          <cell r="O2878" t="str">
            <v>[No Vendor]</v>
          </cell>
        </row>
        <row r="2879">
          <cell r="D2879">
            <v>320.13</v>
          </cell>
          <cell r="H2879">
            <v>45474</v>
          </cell>
          <cell r="I2879" t="str">
            <v>6040 - Employer Paid Benefits</v>
          </cell>
          <cell r="J2879">
            <v>0</v>
          </cell>
          <cell r="K2879" t="str">
            <v>Administration</v>
          </cell>
          <cell r="L2879" t="str">
            <v>HQ Salaries</v>
          </cell>
          <cell r="N2879" t="str">
            <v>SG&amp;A</v>
          </cell>
          <cell r="O2879" t="str">
            <v>Procyon Benefits LLC</v>
          </cell>
        </row>
        <row r="2880">
          <cell r="D2880">
            <v>847.42</v>
          </cell>
          <cell r="H2880">
            <v>45474</v>
          </cell>
          <cell r="I2880" t="str">
            <v>6430 - Dues &amp; Memberships</v>
          </cell>
          <cell r="J2880" t="str">
            <v>Wholesale</v>
          </cell>
          <cell r="K2880" t="str">
            <v>Wholesale</v>
          </cell>
          <cell r="L2880" t="str">
            <v>Professional Service</v>
          </cell>
          <cell r="N2880" t="str">
            <v>Direct Costs</v>
          </cell>
          <cell r="O2880" t="str">
            <v>SPS Commerce</v>
          </cell>
        </row>
        <row r="2881">
          <cell r="D2881">
            <v>275</v>
          </cell>
          <cell r="H2881">
            <v>45474</v>
          </cell>
          <cell r="I2881" t="str">
            <v>6300 - Payroll Service Fees</v>
          </cell>
          <cell r="J2881">
            <v>0</v>
          </cell>
          <cell r="K2881" t="str">
            <v>Administration</v>
          </cell>
          <cell r="L2881" t="str">
            <v>Professional Service</v>
          </cell>
          <cell r="N2881" t="str">
            <v>SG&amp;A</v>
          </cell>
          <cell r="O2881" t="str">
            <v>OperationsInc, LLC</v>
          </cell>
        </row>
        <row r="2882">
          <cell r="D2882">
            <v>879.06</v>
          </cell>
          <cell r="H2882">
            <v>45474</v>
          </cell>
          <cell r="I2882" t="str">
            <v>6375 - Freight Expenses</v>
          </cell>
          <cell r="J2882">
            <v>0</v>
          </cell>
          <cell r="K2882" t="str">
            <v>Production</v>
          </cell>
          <cell r="L2882" t="str">
            <v>Freight</v>
          </cell>
          <cell r="N2882" t="str">
            <v>Direct Costs</v>
          </cell>
          <cell r="O2882" t="str">
            <v>DHL Express - USA</v>
          </cell>
        </row>
        <row r="2883">
          <cell r="D2883">
            <v>67.88</v>
          </cell>
          <cell r="H2883">
            <v>45474</v>
          </cell>
          <cell r="I2883" t="str">
            <v>6375 - Freight Expenses</v>
          </cell>
          <cell r="J2883">
            <v>0</v>
          </cell>
          <cell r="K2883" t="str">
            <v>Production</v>
          </cell>
          <cell r="L2883" t="str">
            <v>Freight</v>
          </cell>
          <cell r="N2883" t="str">
            <v>Direct Costs</v>
          </cell>
          <cell r="O2883" t="str">
            <v>DHL Express - USA</v>
          </cell>
        </row>
        <row r="2884">
          <cell r="D2884">
            <v>347.65</v>
          </cell>
          <cell r="H2884">
            <v>45474</v>
          </cell>
          <cell r="I2884" t="str">
            <v>6040 - Employer Paid Benefits</v>
          </cell>
          <cell r="J2884">
            <v>0</v>
          </cell>
          <cell r="K2884" t="str">
            <v>Production</v>
          </cell>
          <cell r="L2884" t="str">
            <v>HQ Salaries</v>
          </cell>
          <cell r="N2884" t="str">
            <v>SG&amp;A</v>
          </cell>
          <cell r="O2884" t="str">
            <v>Procyon Benefits LLC</v>
          </cell>
        </row>
        <row r="2885">
          <cell r="D2885">
            <v>31.9</v>
          </cell>
          <cell r="H2885">
            <v>45474</v>
          </cell>
          <cell r="I2885" t="str">
            <v>6040 - Employer Paid Benefits</v>
          </cell>
          <cell r="J2885">
            <v>0</v>
          </cell>
          <cell r="K2885" t="str">
            <v>Merchandising</v>
          </cell>
          <cell r="L2885" t="str">
            <v>HQ Salaries</v>
          </cell>
          <cell r="N2885" t="str">
            <v>SG&amp;A</v>
          </cell>
          <cell r="O2885" t="str">
            <v>Procyon Benefits LLC</v>
          </cell>
        </row>
        <row r="2886">
          <cell r="D2886">
            <v>26</v>
          </cell>
          <cell r="H2886">
            <v>45474</v>
          </cell>
          <cell r="I2886" t="str">
            <v>6040 - Employer Paid Benefits</v>
          </cell>
          <cell r="J2886" t="str">
            <v>Ecommerce (US)</v>
          </cell>
          <cell r="K2886" t="str">
            <v>Ecommerce</v>
          </cell>
          <cell r="L2886" t="str">
            <v>HQ Salaries</v>
          </cell>
          <cell r="N2886" t="str">
            <v>SG&amp;A</v>
          </cell>
          <cell r="O2886" t="str">
            <v>Procyon Benefits LLC</v>
          </cell>
        </row>
        <row r="2887">
          <cell r="D2887">
            <v>22</v>
          </cell>
          <cell r="H2887">
            <v>45474</v>
          </cell>
          <cell r="I2887" t="str">
            <v>6040 - Employer Paid Benefits</v>
          </cell>
          <cell r="J2887">
            <v>0</v>
          </cell>
          <cell r="K2887" t="str">
            <v>Executive</v>
          </cell>
          <cell r="L2887" t="str">
            <v>HQ Salaries</v>
          </cell>
          <cell r="N2887" t="str">
            <v>SG&amp;A</v>
          </cell>
          <cell r="O2887" t="str">
            <v>Procyon Benefits LLC</v>
          </cell>
        </row>
        <row r="2888">
          <cell r="D2888">
            <v>694.81</v>
          </cell>
          <cell r="H2888">
            <v>45474</v>
          </cell>
          <cell r="I2888" t="str">
            <v>6040 - Employer Paid Benefits</v>
          </cell>
          <cell r="J2888">
            <v>0</v>
          </cell>
          <cell r="K2888" t="str">
            <v>Design</v>
          </cell>
          <cell r="L2888" t="str">
            <v>HQ Salaries</v>
          </cell>
          <cell r="N2888" t="str">
            <v>SG&amp;A</v>
          </cell>
          <cell r="O2888" t="str">
            <v>Procyon Benefits LLC</v>
          </cell>
        </row>
        <row r="2889">
          <cell r="D2889">
            <v>58</v>
          </cell>
          <cell r="H2889">
            <v>45474</v>
          </cell>
          <cell r="I2889" t="str">
            <v>6125 - Transportation and Fuel</v>
          </cell>
          <cell r="J2889" t="str">
            <v>Ecommerce (US)</v>
          </cell>
          <cell r="K2889" t="str">
            <v>Ecommerce</v>
          </cell>
          <cell r="L2889" t="str">
            <v>T&amp;E</v>
          </cell>
          <cell r="N2889" t="str">
            <v>SG&amp;A</v>
          </cell>
          <cell r="O2889" t="str">
            <v>[No Vendor]</v>
          </cell>
        </row>
        <row r="2890">
          <cell r="D2890">
            <v>40.4</v>
          </cell>
          <cell r="H2890">
            <v>45474</v>
          </cell>
          <cell r="I2890" t="str">
            <v>6393 - Software</v>
          </cell>
          <cell r="J2890" t="str">
            <v>Wholesale</v>
          </cell>
          <cell r="K2890" t="str">
            <v>Wholesale</v>
          </cell>
          <cell r="L2890" t="str">
            <v>Professional Service</v>
          </cell>
          <cell r="N2890" t="str">
            <v>Direct Costs</v>
          </cell>
          <cell r="O2890" t="str">
            <v>Authorize.net</v>
          </cell>
        </row>
        <row r="2891">
          <cell r="D2891">
            <v>228.64</v>
          </cell>
          <cell r="H2891">
            <v>45474</v>
          </cell>
          <cell r="I2891" t="str">
            <v>6393 - Software</v>
          </cell>
          <cell r="J2891" t="str">
            <v>Wholesale</v>
          </cell>
          <cell r="K2891" t="str">
            <v>Wholesale</v>
          </cell>
          <cell r="L2891" t="str">
            <v>Professional Service</v>
          </cell>
          <cell r="N2891" t="str">
            <v>Direct Costs</v>
          </cell>
          <cell r="O2891" t="str">
            <v>Open Text</v>
          </cell>
        </row>
        <row r="2892">
          <cell r="D2892">
            <v>76.45</v>
          </cell>
          <cell r="H2892">
            <v>45474</v>
          </cell>
          <cell r="I2892" t="str">
            <v>6393 - Software</v>
          </cell>
          <cell r="J2892" t="str">
            <v>Wholesale</v>
          </cell>
          <cell r="K2892" t="str">
            <v>Wholesale</v>
          </cell>
          <cell r="L2892" t="str">
            <v>Professional Service</v>
          </cell>
          <cell r="N2892" t="str">
            <v>Direct Costs</v>
          </cell>
          <cell r="O2892">
            <v>0</v>
          </cell>
        </row>
        <row r="2893">
          <cell r="D2893">
            <v>58</v>
          </cell>
          <cell r="H2893">
            <v>45474</v>
          </cell>
          <cell r="I2893" t="str">
            <v>6125 - Transportation and Fuel</v>
          </cell>
          <cell r="J2893" t="str">
            <v>Ecommerce (US)</v>
          </cell>
          <cell r="K2893" t="str">
            <v>Ecommerce</v>
          </cell>
          <cell r="L2893" t="str">
            <v>T&amp;E</v>
          </cell>
          <cell r="N2893" t="str">
            <v>SG&amp;A</v>
          </cell>
          <cell r="O2893" t="str">
            <v>[No Vendor]</v>
          </cell>
        </row>
        <row r="2894">
          <cell r="D2894">
            <v>20780.8</v>
          </cell>
          <cell r="H2894">
            <v>45474</v>
          </cell>
          <cell r="I2894" t="str">
            <v>6005 - Salaries</v>
          </cell>
          <cell r="J2894" t="str">
            <v>Ecommerce (US)</v>
          </cell>
          <cell r="K2894" t="str">
            <v>Ecommerce</v>
          </cell>
          <cell r="L2894" t="str">
            <v>HQ Salaries</v>
          </cell>
          <cell r="N2894" t="str">
            <v>SG&amp;A</v>
          </cell>
          <cell r="O2894" t="str">
            <v>[No Vendor]</v>
          </cell>
        </row>
        <row r="2895">
          <cell r="D2895">
            <v>0</v>
          </cell>
          <cell r="H2895">
            <v>45474</v>
          </cell>
          <cell r="I2895" t="str">
            <v>6205 - Contractors</v>
          </cell>
          <cell r="J2895">
            <v>0</v>
          </cell>
          <cell r="K2895" t="str">
            <v>Design</v>
          </cell>
          <cell r="L2895" t="str">
            <v>HQ Salaries</v>
          </cell>
          <cell r="N2895" t="str">
            <v>SG&amp;A</v>
          </cell>
          <cell r="O2895" t="str">
            <v>[No Vendor]</v>
          </cell>
        </row>
        <row r="2896">
          <cell r="D2896">
            <v>0</v>
          </cell>
          <cell r="H2896">
            <v>45474</v>
          </cell>
          <cell r="I2896" t="str">
            <v>6205 - Contractors</v>
          </cell>
          <cell r="J2896">
            <v>0</v>
          </cell>
          <cell r="K2896" t="str">
            <v>Brand Marketing</v>
          </cell>
          <cell r="L2896" t="str">
            <v>HQ Salaries</v>
          </cell>
          <cell r="N2896" t="str">
            <v>SG&amp;A</v>
          </cell>
          <cell r="O2896" t="str">
            <v>[No Vendor]</v>
          </cell>
        </row>
        <row r="2897">
          <cell r="D2897">
            <v>18002.2</v>
          </cell>
          <cell r="H2897">
            <v>45474</v>
          </cell>
          <cell r="I2897" t="str">
            <v>6205 - Contractors</v>
          </cell>
          <cell r="J2897" t="str">
            <v>Ecommerce (US)</v>
          </cell>
          <cell r="K2897" t="str">
            <v>Ecommerce</v>
          </cell>
          <cell r="L2897" t="str">
            <v>HQ Salaries</v>
          </cell>
          <cell r="N2897" t="str">
            <v>SG&amp;A</v>
          </cell>
          <cell r="O2897" t="str">
            <v>[No Vendor]</v>
          </cell>
        </row>
        <row r="2898">
          <cell r="D2898">
            <v>-59.47</v>
          </cell>
          <cell r="H2898">
            <v>45474</v>
          </cell>
          <cell r="I2898" t="str">
            <v>6385 - Insurance</v>
          </cell>
          <cell r="J2898">
            <v>0</v>
          </cell>
          <cell r="K2898" t="str">
            <v>Administration</v>
          </cell>
          <cell r="L2898" t="str">
            <v>Professional Service</v>
          </cell>
          <cell r="N2898" t="str">
            <v>SG&amp;A</v>
          </cell>
          <cell r="O2898" t="str">
            <v>[No Vendor]</v>
          </cell>
        </row>
        <row r="2899">
          <cell r="D2899">
            <v>-40.24</v>
          </cell>
          <cell r="H2899">
            <v>45474</v>
          </cell>
          <cell r="I2899" t="str">
            <v>6385 - Insurance</v>
          </cell>
          <cell r="J2899">
            <v>0</v>
          </cell>
          <cell r="K2899" t="str">
            <v>Administration</v>
          </cell>
          <cell r="L2899" t="str">
            <v>Professional Service</v>
          </cell>
          <cell r="N2899" t="str">
            <v>SG&amp;A</v>
          </cell>
          <cell r="O2899" t="str">
            <v>[No Vendor]</v>
          </cell>
        </row>
        <row r="2900">
          <cell r="D2900">
            <v>-20.41</v>
          </cell>
          <cell r="H2900">
            <v>45474</v>
          </cell>
          <cell r="I2900" t="str">
            <v>6385 - Insurance</v>
          </cell>
          <cell r="J2900">
            <v>0</v>
          </cell>
          <cell r="K2900" t="str">
            <v>Administration</v>
          </cell>
          <cell r="L2900" t="str">
            <v>Professional Service</v>
          </cell>
          <cell r="N2900" t="str">
            <v>SG&amp;A</v>
          </cell>
          <cell r="O2900" t="str">
            <v>[No Vendor]</v>
          </cell>
        </row>
        <row r="2901">
          <cell r="D2901">
            <v>-13.16</v>
          </cell>
          <cell r="H2901">
            <v>45474</v>
          </cell>
          <cell r="I2901" t="str">
            <v>6385 - Insurance</v>
          </cell>
          <cell r="J2901">
            <v>0</v>
          </cell>
          <cell r="K2901" t="str">
            <v>Administration</v>
          </cell>
          <cell r="L2901" t="str">
            <v>Professional Service</v>
          </cell>
          <cell r="N2901" t="str">
            <v>SG&amp;A</v>
          </cell>
          <cell r="O2901" t="str">
            <v>[No Vendor]</v>
          </cell>
        </row>
        <row r="2902">
          <cell r="D2902">
            <v>-48.22</v>
          </cell>
          <cell r="H2902">
            <v>45474</v>
          </cell>
          <cell r="I2902" t="str">
            <v>6385 - Insurance</v>
          </cell>
          <cell r="J2902">
            <v>0</v>
          </cell>
          <cell r="K2902" t="str">
            <v>Administration</v>
          </cell>
          <cell r="L2902" t="str">
            <v>Professional Service</v>
          </cell>
          <cell r="N2902" t="str">
            <v>SG&amp;A</v>
          </cell>
          <cell r="O2902" t="str">
            <v>[No Vendor]</v>
          </cell>
        </row>
        <row r="2903">
          <cell r="D2903">
            <v>-13.39</v>
          </cell>
          <cell r="H2903">
            <v>45474</v>
          </cell>
          <cell r="I2903" t="str">
            <v>6385 - Insurance</v>
          </cell>
          <cell r="J2903">
            <v>0</v>
          </cell>
          <cell r="K2903" t="str">
            <v>Administration</v>
          </cell>
          <cell r="L2903" t="str">
            <v>Professional Service</v>
          </cell>
          <cell r="N2903" t="str">
            <v>SG&amp;A</v>
          </cell>
          <cell r="O2903" t="str">
            <v>[No Vendor]</v>
          </cell>
        </row>
        <row r="2904">
          <cell r="D2904">
            <v>-42.8</v>
          </cell>
          <cell r="H2904">
            <v>45474</v>
          </cell>
          <cell r="I2904" t="str">
            <v>6385 - Insurance</v>
          </cell>
          <cell r="J2904">
            <v>0</v>
          </cell>
          <cell r="K2904" t="str">
            <v>Administration</v>
          </cell>
          <cell r="L2904" t="str">
            <v>Professional Service</v>
          </cell>
          <cell r="N2904" t="str">
            <v>SG&amp;A</v>
          </cell>
          <cell r="O2904" t="str">
            <v>[No Vendor]</v>
          </cell>
        </row>
        <row r="2905">
          <cell r="D2905">
            <v>-41.67</v>
          </cell>
          <cell r="H2905">
            <v>45474</v>
          </cell>
          <cell r="I2905" t="str">
            <v>6385 - Insurance</v>
          </cell>
          <cell r="J2905">
            <v>0</v>
          </cell>
          <cell r="K2905" t="str">
            <v>Administration</v>
          </cell>
          <cell r="L2905" t="str">
            <v>Professional Service</v>
          </cell>
          <cell r="N2905" t="str">
            <v>SG&amp;A</v>
          </cell>
          <cell r="O2905" t="str">
            <v>[No Vendor]</v>
          </cell>
        </row>
        <row r="2906">
          <cell r="D2906">
            <v>169.54</v>
          </cell>
          <cell r="H2906">
            <v>45474</v>
          </cell>
          <cell r="I2906" t="str">
            <v>6300 - Payroll Service Fees</v>
          </cell>
          <cell r="J2906">
            <v>0</v>
          </cell>
          <cell r="K2906" t="str">
            <v>Administration</v>
          </cell>
          <cell r="L2906" t="str">
            <v>Professional Service</v>
          </cell>
          <cell r="N2906" t="str">
            <v>SG&amp;A</v>
          </cell>
          <cell r="O2906" t="str">
            <v>ADP Payroll Services</v>
          </cell>
        </row>
        <row r="2907">
          <cell r="D2907">
            <v>2212.65</v>
          </cell>
          <cell r="H2907">
            <v>45474</v>
          </cell>
          <cell r="I2907" t="str">
            <v>6055 - Employer Social Security Tax Withheld</v>
          </cell>
          <cell r="J2907">
            <v>0</v>
          </cell>
          <cell r="K2907" t="str">
            <v>Design</v>
          </cell>
          <cell r="L2907" t="str">
            <v>HQ Salaries</v>
          </cell>
          <cell r="N2907" t="str">
            <v>SG&amp;A</v>
          </cell>
          <cell r="O2907" t="str">
            <v>[No Vendor]</v>
          </cell>
        </row>
        <row r="2908">
          <cell r="D2908">
            <v>2005.05</v>
          </cell>
          <cell r="H2908">
            <v>45474</v>
          </cell>
          <cell r="I2908" t="str">
            <v>6055 - Employer Social Security Tax Withheld</v>
          </cell>
          <cell r="J2908">
            <v>0</v>
          </cell>
          <cell r="K2908" t="str">
            <v>Administration</v>
          </cell>
          <cell r="L2908" t="str">
            <v>HQ Salaries</v>
          </cell>
          <cell r="N2908" t="str">
            <v>SG&amp;A</v>
          </cell>
          <cell r="O2908" t="str">
            <v>[No Vendor]</v>
          </cell>
        </row>
        <row r="2909">
          <cell r="D2909">
            <v>579.38</v>
          </cell>
          <cell r="H2909">
            <v>45474</v>
          </cell>
          <cell r="I2909" t="str">
            <v>6055 - Employer Social Security Tax Withheld</v>
          </cell>
          <cell r="J2909">
            <v>0</v>
          </cell>
          <cell r="K2909" t="str">
            <v>Merchandising</v>
          </cell>
          <cell r="L2909" t="str">
            <v>HQ Salaries</v>
          </cell>
          <cell r="N2909" t="str">
            <v>SG&amp;A</v>
          </cell>
          <cell r="O2909" t="str">
            <v>[No Vendor]</v>
          </cell>
        </row>
        <row r="2910">
          <cell r="D2910">
            <v>1111.33</v>
          </cell>
          <cell r="H2910">
            <v>45474</v>
          </cell>
          <cell r="I2910" t="str">
            <v>6055 - Employer Social Security Tax Withheld</v>
          </cell>
          <cell r="J2910" t="str">
            <v>Wholesale</v>
          </cell>
          <cell r="K2910" t="str">
            <v>Wholesale</v>
          </cell>
          <cell r="L2910" t="str">
            <v>HQ Salaries</v>
          </cell>
          <cell r="N2910" t="str">
            <v>SG&amp;A</v>
          </cell>
          <cell r="O2910" t="str">
            <v>[No Vendor]</v>
          </cell>
        </row>
        <row r="2911">
          <cell r="D2911">
            <v>2225.4899999999998</v>
          </cell>
          <cell r="H2911">
            <v>45474</v>
          </cell>
          <cell r="I2911" t="str">
            <v>6055 - Employer Social Security Tax Withheld</v>
          </cell>
          <cell r="J2911">
            <v>0</v>
          </cell>
          <cell r="K2911" t="str">
            <v>Production</v>
          </cell>
          <cell r="L2911" t="str">
            <v>HQ Salaries</v>
          </cell>
          <cell r="N2911" t="str">
            <v>SG&amp;A</v>
          </cell>
          <cell r="O2911" t="str">
            <v>[No Vendor]</v>
          </cell>
        </row>
        <row r="2912">
          <cell r="D2912">
            <v>365.93</v>
          </cell>
          <cell r="H2912">
            <v>45474</v>
          </cell>
          <cell r="I2912" t="str">
            <v>6055 - Employer Social Security Tax Withheld</v>
          </cell>
          <cell r="J2912">
            <v>0</v>
          </cell>
          <cell r="K2912" t="str">
            <v>Brand Marketing</v>
          </cell>
          <cell r="L2912" t="str">
            <v>HQ Salaries</v>
          </cell>
          <cell r="N2912" t="str">
            <v>SG&amp;A</v>
          </cell>
          <cell r="O2912" t="str">
            <v>[No Vendor]</v>
          </cell>
        </row>
        <row r="2913">
          <cell r="D2913">
            <v>1382.55</v>
          </cell>
          <cell r="H2913">
            <v>45474</v>
          </cell>
          <cell r="I2913" t="str">
            <v>6055 - Employer Social Security Tax Withheld</v>
          </cell>
          <cell r="J2913">
            <v>0</v>
          </cell>
          <cell r="K2913" t="str">
            <v>Executive</v>
          </cell>
          <cell r="L2913" t="str">
            <v>HQ Salaries</v>
          </cell>
          <cell r="N2913" t="str">
            <v>SG&amp;A</v>
          </cell>
          <cell r="O2913" t="str">
            <v>[No Vendor]</v>
          </cell>
        </row>
        <row r="2914">
          <cell r="D2914">
            <v>1610.08</v>
          </cell>
          <cell r="H2914">
            <v>45474</v>
          </cell>
          <cell r="I2914" t="str">
            <v>6055 - Employer Social Security Tax Withheld</v>
          </cell>
          <cell r="J2914" t="str">
            <v>Ecommerce (US)</v>
          </cell>
          <cell r="K2914" t="str">
            <v>Ecommerce</v>
          </cell>
          <cell r="L2914" t="str">
            <v>HQ Salaries</v>
          </cell>
          <cell r="N2914" t="str">
            <v>SG&amp;A</v>
          </cell>
          <cell r="O2914" t="str">
            <v>[No Vendor]</v>
          </cell>
        </row>
        <row r="2915">
          <cell r="D2915">
            <v>-363.42</v>
          </cell>
          <cell r="H2915">
            <v>45474</v>
          </cell>
          <cell r="I2915" t="str">
            <v>6040 - Employer Paid Benefits</v>
          </cell>
          <cell r="J2915">
            <v>0</v>
          </cell>
          <cell r="K2915" t="str">
            <v>Design</v>
          </cell>
          <cell r="L2915" t="str">
            <v>HQ Salaries</v>
          </cell>
          <cell r="N2915" t="str">
            <v>SG&amp;A</v>
          </cell>
          <cell r="O2915" t="str">
            <v>[No Vendor]</v>
          </cell>
        </row>
        <row r="2916">
          <cell r="D2916">
            <v>-259.66000000000003</v>
          </cell>
          <cell r="H2916">
            <v>45474</v>
          </cell>
          <cell r="I2916" t="str">
            <v>6040 - Employer Paid Benefits</v>
          </cell>
          <cell r="J2916">
            <v>0</v>
          </cell>
          <cell r="K2916" t="str">
            <v>Administration</v>
          </cell>
          <cell r="L2916" t="str">
            <v>HQ Salaries</v>
          </cell>
          <cell r="N2916" t="str">
            <v>SG&amp;A</v>
          </cell>
          <cell r="O2916" t="str">
            <v>[No Vendor]</v>
          </cell>
        </row>
        <row r="2917">
          <cell r="D2917">
            <v>0</v>
          </cell>
          <cell r="H2917">
            <v>45474</v>
          </cell>
          <cell r="I2917" t="str">
            <v>6040 - Employer Paid Benefits</v>
          </cell>
          <cell r="J2917">
            <v>0</v>
          </cell>
          <cell r="K2917" t="str">
            <v>Merchandising</v>
          </cell>
          <cell r="L2917" t="str">
            <v>HQ Salaries</v>
          </cell>
          <cell r="N2917" t="str">
            <v>SG&amp;A</v>
          </cell>
          <cell r="O2917" t="str">
            <v>[No Vendor]</v>
          </cell>
        </row>
        <row r="2918">
          <cell r="D2918">
            <v>-45.16</v>
          </cell>
          <cell r="H2918">
            <v>45474</v>
          </cell>
          <cell r="I2918" t="str">
            <v>6040 - Employer Paid Benefits</v>
          </cell>
          <cell r="J2918" t="str">
            <v>Wholesale</v>
          </cell>
          <cell r="K2918" t="str">
            <v>Wholesale</v>
          </cell>
          <cell r="L2918" t="str">
            <v>HQ Salaries</v>
          </cell>
          <cell r="N2918" t="str">
            <v>SG&amp;A</v>
          </cell>
          <cell r="O2918" t="str">
            <v>[No Vendor]</v>
          </cell>
        </row>
        <row r="2919">
          <cell r="D2919">
            <v>-281.37</v>
          </cell>
          <cell r="H2919">
            <v>45474</v>
          </cell>
          <cell r="I2919" t="str">
            <v>6040 - Employer Paid Benefits</v>
          </cell>
          <cell r="J2919">
            <v>0</v>
          </cell>
          <cell r="K2919" t="str">
            <v>Production</v>
          </cell>
          <cell r="L2919" t="str">
            <v>HQ Salaries</v>
          </cell>
          <cell r="N2919" t="str">
            <v>SG&amp;A</v>
          </cell>
          <cell r="O2919" t="str">
            <v>[No Vendor]</v>
          </cell>
        </row>
        <row r="2920">
          <cell r="D2920">
            <v>-22.58</v>
          </cell>
          <cell r="H2920">
            <v>45474</v>
          </cell>
          <cell r="I2920" t="str">
            <v>6040 - Employer Paid Benefits</v>
          </cell>
          <cell r="J2920">
            <v>0</v>
          </cell>
          <cell r="K2920" t="str">
            <v>Brand Marketing</v>
          </cell>
          <cell r="L2920" t="str">
            <v>HQ Salaries</v>
          </cell>
          <cell r="N2920" t="str">
            <v>SG&amp;A</v>
          </cell>
          <cell r="O2920" t="str">
            <v>[No Vendor]</v>
          </cell>
        </row>
        <row r="2921">
          <cell r="D2921">
            <v>-59.27</v>
          </cell>
          <cell r="H2921">
            <v>45474</v>
          </cell>
          <cell r="I2921" t="str">
            <v>6040 - Employer Paid Benefits</v>
          </cell>
          <cell r="J2921">
            <v>0</v>
          </cell>
          <cell r="K2921" t="str">
            <v>Executive</v>
          </cell>
          <cell r="L2921" t="str">
            <v>HQ Salaries</v>
          </cell>
          <cell r="N2921" t="str">
            <v>SG&amp;A</v>
          </cell>
          <cell r="O2921" t="str">
            <v>[No Vendor]</v>
          </cell>
        </row>
        <row r="2922">
          <cell r="D2922">
            <v>-121.85</v>
          </cell>
          <cell r="H2922">
            <v>45474</v>
          </cell>
          <cell r="I2922" t="str">
            <v>6040 - Employer Paid Benefits</v>
          </cell>
          <cell r="J2922" t="str">
            <v>Ecommerce (US)</v>
          </cell>
          <cell r="K2922" t="str">
            <v>Ecommerce</v>
          </cell>
          <cell r="L2922" t="str">
            <v>HQ Salaries</v>
          </cell>
          <cell r="N2922" t="str">
            <v>SG&amp;A</v>
          </cell>
          <cell r="O2922" t="str">
            <v>[No Vendor]</v>
          </cell>
        </row>
        <row r="2923">
          <cell r="D2923">
            <v>20857.7</v>
          </cell>
          <cell r="H2923">
            <v>45474</v>
          </cell>
          <cell r="I2923" t="str">
            <v>6005 - Salaries</v>
          </cell>
          <cell r="J2923">
            <v>0</v>
          </cell>
          <cell r="K2923" t="str">
            <v>Design</v>
          </cell>
          <cell r="L2923" t="str">
            <v>HQ Salaries</v>
          </cell>
          <cell r="N2923" t="str">
            <v>SG&amp;A</v>
          </cell>
          <cell r="O2923" t="str">
            <v>[No Vendor]</v>
          </cell>
        </row>
        <row r="2924">
          <cell r="D2924">
            <v>26115.41</v>
          </cell>
          <cell r="H2924">
            <v>45474</v>
          </cell>
          <cell r="I2924" t="str">
            <v>6005 - Salaries</v>
          </cell>
          <cell r="J2924">
            <v>0</v>
          </cell>
          <cell r="K2924" t="str">
            <v>Administration</v>
          </cell>
          <cell r="L2924" t="str">
            <v>HQ Salaries</v>
          </cell>
          <cell r="N2924" t="str">
            <v>SG&amp;A</v>
          </cell>
          <cell r="O2924" t="str">
            <v>[No Vendor]</v>
          </cell>
        </row>
        <row r="2925">
          <cell r="D2925">
            <v>5150</v>
          </cell>
          <cell r="H2925">
            <v>45474</v>
          </cell>
          <cell r="I2925" t="str">
            <v>6005 - Salaries</v>
          </cell>
          <cell r="J2925">
            <v>0</v>
          </cell>
          <cell r="K2925" t="str">
            <v>Merchandising</v>
          </cell>
          <cell r="L2925" t="str">
            <v>HQ Salaries</v>
          </cell>
          <cell r="N2925" t="str">
            <v>SG&amp;A</v>
          </cell>
          <cell r="O2925" t="str">
            <v>[No Vendor]</v>
          </cell>
        </row>
        <row r="2926">
          <cell r="D2926">
            <v>9911.5499999999993</v>
          </cell>
          <cell r="H2926">
            <v>45474</v>
          </cell>
          <cell r="I2926" t="str">
            <v>6005 - Salaries</v>
          </cell>
          <cell r="J2926" t="str">
            <v>Wholesale</v>
          </cell>
          <cell r="K2926" t="str">
            <v>Wholesale</v>
          </cell>
          <cell r="L2926" t="str">
            <v>HQ Salaries</v>
          </cell>
          <cell r="N2926" t="str">
            <v>SG&amp;A</v>
          </cell>
          <cell r="O2926" t="str">
            <v>[No Vendor]</v>
          </cell>
        </row>
        <row r="2927">
          <cell r="D2927">
            <v>19988.490000000002</v>
          </cell>
          <cell r="H2927">
            <v>45474</v>
          </cell>
          <cell r="I2927" t="str">
            <v>6005 - Salaries</v>
          </cell>
          <cell r="J2927">
            <v>0</v>
          </cell>
          <cell r="K2927" t="str">
            <v>Production</v>
          </cell>
          <cell r="L2927" t="str">
            <v>HQ Salaries</v>
          </cell>
          <cell r="N2927" t="str">
            <v>SG&amp;A</v>
          </cell>
          <cell r="O2927" t="str">
            <v>[No Vendor]</v>
          </cell>
        </row>
        <row r="2928">
          <cell r="D2928">
            <v>3269.24</v>
          </cell>
          <cell r="H2928">
            <v>45474</v>
          </cell>
          <cell r="I2928" t="str">
            <v>6005 - Salaries</v>
          </cell>
          <cell r="J2928">
            <v>0</v>
          </cell>
          <cell r="K2928" t="str">
            <v>Brand Marketing</v>
          </cell>
          <cell r="L2928" t="str">
            <v>HQ Salaries</v>
          </cell>
          <cell r="N2928" t="str">
            <v>SG&amp;A</v>
          </cell>
          <cell r="O2928" t="str">
            <v>[No Vendor]</v>
          </cell>
        </row>
        <row r="2929">
          <cell r="D2929">
            <v>11153.85</v>
          </cell>
          <cell r="H2929">
            <v>45474</v>
          </cell>
          <cell r="I2929" t="str">
            <v>6005 - Salaries</v>
          </cell>
          <cell r="J2929">
            <v>0</v>
          </cell>
          <cell r="K2929" t="str">
            <v>Executive</v>
          </cell>
          <cell r="L2929" t="str">
            <v>HQ Salaries</v>
          </cell>
          <cell r="N2929" t="str">
            <v>SG&amp;A</v>
          </cell>
          <cell r="O2929" t="str">
            <v>[No Vendor]</v>
          </cell>
        </row>
        <row r="2930">
          <cell r="D2930">
            <v>20865.23</v>
          </cell>
          <cell r="H2930">
            <v>45474</v>
          </cell>
          <cell r="I2930" t="str">
            <v>6375 - Freight Expenses</v>
          </cell>
          <cell r="J2930" t="str">
            <v>Ecommerce (US)</v>
          </cell>
          <cell r="K2930" t="str">
            <v>Ecommerce</v>
          </cell>
          <cell r="L2930" t="str">
            <v>Freight</v>
          </cell>
          <cell r="N2930" t="str">
            <v>Direct Costs</v>
          </cell>
          <cell r="O2930" t="str">
            <v>UPS Supply Chain Solutions Inc. (7F24A0)</v>
          </cell>
        </row>
        <row r="2931">
          <cell r="D2931">
            <v>264.69</v>
          </cell>
          <cell r="H2931">
            <v>45474</v>
          </cell>
          <cell r="I2931" t="str">
            <v>6400 - Utilities</v>
          </cell>
          <cell r="J2931">
            <v>0</v>
          </cell>
          <cell r="K2931" t="str">
            <v>Administration</v>
          </cell>
          <cell r="L2931" t="str">
            <v>Other</v>
          </cell>
          <cell r="N2931" t="str">
            <v>SG&amp;A</v>
          </cell>
          <cell r="O2931" t="str">
            <v>Verizon</v>
          </cell>
        </row>
        <row r="2932">
          <cell r="D2932">
            <v>171.24</v>
          </cell>
          <cell r="H2932">
            <v>45474</v>
          </cell>
          <cell r="I2932" t="str">
            <v>6105 - Meals</v>
          </cell>
          <cell r="J2932">
            <v>0</v>
          </cell>
          <cell r="K2932" t="str">
            <v>Production</v>
          </cell>
          <cell r="L2932" t="str">
            <v>T&amp;E</v>
          </cell>
          <cell r="N2932" t="str">
            <v>SG&amp;A</v>
          </cell>
          <cell r="O2932" t="str">
            <v>Frank Dell'Aquila</v>
          </cell>
        </row>
        <row r="2933">
          <cell r="D2933">
            <v>2000</v>
          </cell>
          <cell r="H2933">
            <v>45474</v>
          </cell>
          <cell r="I2933" t="str">
            <v>6380 - Legal &amp; Accounting</v>
          </cell>
          <cell r="J2933">
            <v>0</v>
          </cell>
          <cell r="K2933" t="str">
            <v>Administration</v>
          </cell>
          <cell r="L2933" t="str">
            <v>Professional Service</v>
          </cell>
          <cell r="N2933" t="str">
            <v>SG&amp;A</v>
          </cell>
          <cell r="O2933" t="str">
            <v>Ko &amp; Yun, LLP - Operations</v>
          </cell>
        </row>
        <row r="2934">
          <cell r="D2934">
            <v>500</v>
          </cell>
          <cell r="H2934">
            <v>45474</v>
          </cell>
          <cell r="I2934" t="str">
            <v>6380 - Legal &amp; Accounting</v>
          </cell>
          <cell r="J2934">
            <v>0</v>
          </cell>
          <cell r="K2934" t="str">
            <v>Administration</v>
          </cell>
          <cell r="L2934" t="str">
            <v>Professional Service</v>
          </cell>
          <cell r="N2934" t="str">
            <v>SG&amp;A</v>
          </cell>
          <cell r="O2934" t="str">
            <v>Ko &amp; Yun, LLP - IP Holding</v>
          </cell>
        </row>
        <row r="2935">
          <cell r="D2935">
            <v>29.5</v>
          </cell>
          <cell r="H2935">
            <v>45474</v>
          </cell>
          <cell r="I2935" t="str">
            <v>6370 - Samples</v>
          </cell>
          <cell r="J2935">
            <v>0</v>
          </cell>
          <cell r="K2935" t="str">
            <v>Production</v>
          </cell>
          <cell r="L2935" t="str">
            <v>Sample</v>
          </cell>
          <cell r="N2935" t="str">
            <v>SG&amp;A</v>
          </cell>
          <cell r="O2935" t="str">
            <v>Frank Dell'Aquila</v>
          </cell>
        </row>
        <row r="2936">
          <cell r="D2936">
            <v>143.38</v>
          </cell>
          <cell r="H2936">
            <v>45474</v>
          </cell>
          <cell r="I2936" t="str">
            <v>6370 - Samples</v>
          </cell>
          <cell r="J2936">
            <v>0</v>
          </cell>
          <cell r="K2936" t="str">
            <v>Design</v>
          </cell>
          <cell r="L2936" t="str">
            <v>Sample</v>
          </cell>
          <cell r="N2936" t="str">
            <v>SG&amp;A</v>
          </cell>
          <cell r="O2936" t="str">
            <v>Consul + SRL</v>
          </cell>
        </row>
        <row r="2937">
          <cell r="D2937">
            <v>40</v>
          </cell>
          <cell r="H2937">
            <v>45474</v>
          </cell>
          <cell r="I2937" t="str">
            <v>6140 - Other</v>
          </cell>
          <cell r="J2937">
            <v>0</v>
          </cell>
          <cell r="K2937" t="str">
            <v>Production</v>
          </cell>
          <cell r="L2937" t="str">
            <v>T&amp;E</v>
          </cell>
          <cell r="N2937" t="str">
            <v>SG&amp;A</v>
          </cell>
          <cell r="O2937" t="str">
            <v>Frank Dell'Aquila</v>
          </cell>
        </row>
        <row r="2938">
          <cell r="D2938">
            <v>3317.93</v>
          </cell>
          <cell r="H2938">
            <v>45474</v>
          </cell>
          <cell r="I2938" t="str">
            <v>6375 - Freight Expenses</v>
          </cell>
          <cell r="J2938" t="str">
            <v>Ecommerce (EU)</v>
          </cell>
          <cell r="K2938" t="str">
            <v>Ecommerce</v>
          </cell>
          <cell r="L2938" t="str">
            <v>Freight</v>
          </cell>
          <cell r="N2938" t="str">
            <v>Direct Costs</v>
          </cell>
          <cell r="O2938" t="str">
            <v>Global E</v>
          </cell>
        </row>
        <row r="2939">
          <cell r="D2939">
            <v>19024.5</v>
          </cell>
          <cell r="H2939">
            <v>45474</v>
          </cell>
          <cell r="I2939" t="str">
            <v>8700 - Other Expense</v>
          </cell>
          <cell r="J2939">
            <v>0</v>
          </cell>
          <cell r="K2939" t="str">
            <v>Administration</v>
          </cell>
          <cell r="L2939" t="str">
            <v>Other Expense</v>
          </cell>
          <cell r="N2939" t="str">
            <v>BTL</v>
          </cell>
          <cell r="O2939" t="str">
            <v>[No Vendor]</v>
          </cell>
        </row>
        <row r="2940">
          <cell r="D2940">
            <v>4071.82</v>
          </cell>
          <cell r="H2940">
            <v>45474</v>
          </cell>
          <cell r="I2940" t="str">
            <v>8700 - Other Expense</v>
          </cell>
          <cell r="J2940">
            <v>0</v>
          </cell>
          <cell r="K2940" t="str">
            <v>Administration</v>
          </cell>
          <cell r="L2940" t="str">
            <v>Other Expense</v>
          </cell>
          <cell r="N2940" t="str">
            <v>BTL</v>
          </cell>
          <cell r="O2940" t="str">
            <v>[No Vendor]</v>
          </cell>
        </row>
        <row r="2941">
          <cell r="D2941">
            <v>31630.57</v>
          </cell>
          <cell r="H2941">
            <v>45474</v>
          </cell>
          <cell r="I2941" t="str">
            <v>8700 - Other Expense</v>
          </cell>
          <cell r="J2941">
            <v>0</v>
          </cell>
          <cell r="K2941" t="str">
            <v>Administration</v>
          </cell>
          <cell r="L2941" t="str">
            <v>Other Expense</v>
          </cell>
          <cell r="N2941" t="str">
            <v>BTL</v>
          </cell>
          <cell r="O2941" t="str">
            <v>[No Vendor]</v>
          </cell>
        </row>
        <row r="2942">
          <cell r="D2942">
            <v>1199278.9099999999</v>
          </cell>
          <cell r="H2942">
            <v>45474</v>
          </cell>
          <cell r="I2942" t="str">
            <v>8700 - Other Expense</v>
          </cell>
          <cell r="J2942">
            <v>0</v>
          </cell>
          <cell r="K2942" t="str">
            <v>Administration</v>
          </cell>
          <cell r="L2942" t="str">
            <v>Other Expense</v>
          </cell>
          <cell r="N2942" t="str">
            <v>BTL</v>
          </cell>
          <cell r="O2942" t="str">
            <v>[No Vendor]</v>
          </cell>
        </row>
        <row r="2943">
          <cell r="D2943">
            <v>94158.31</v>
          </cell>
          <cell r="H2943">
            <v>45474</v>
          </cell>
          <cell r="I2943" t="str">
            <v>6286 - SEM</v>
          </cell>
          <cell r="J2943" t="str">
            <v>Ecommerce (US)</v>
          </cell>
          <cell r="K2943" t="str">
            <v>Ecommerce</v>
          </cell>
          <cell r="L2943" t="str">
            <v>Marketing</v>
          </cell>
          <cell r="N2943" t="str">
            <v>Direct Costs</v>
          </cell>
          <cell r="O2943" t="str">
            <v>[No Vendor]</v>
          </cell>
        </row>
        <row r="2944">
          <cell r="D2944">
            <v>2210.8200000000002</v>
          </cell>
          <cell r="H2944">
            <v>45474</v>
          </cell>
          <cell r="I2944" t="str">
            <v>6450 - Bank &amp; Other Fees</v>
          </cell>
          <cell r="J2944" t="str">
            <v>Ecommerce (EU)</v>
          </cell>
          <cell r="K2944" t="str">
            <v>Ecommerce</v>
          </cell>
          <cell r="L2944" t="str">
            <v>Professional Service</v>
          </cell>
          <cell r="N2944" t="str">
            <v>Direct Costs</v>
          </cell>
          <cell r="O2944" t="str">
            <v>[No Vendor]</v>
          </cell>
        </row>
        <row r="2945">
          <cell r="D2945">
            <v>700</v>
          </cell>
          <cell r="H2945">
            <v>45474</v>
          </cell>
          <cell r="I2945" t="str">
            <v>6205 - Contractors</v>
          </cell>
          <cell r="J2945">
            <v>0</v>
          </cell>
          <cell r="K2945" t="str">
            <v>Brand Marketing</v>
          </cell>
          <cell r="L2945" t="str">
            <v>HQ Salaries</v>
          </cell>
          <cell r="N2945" t="str">
            <v>SG&amp;A</v>
          </cell>
          <cell r="O2945" t="str">
            <v>Ammy  Thitichaya Chan</v>
          </cell>
        </row>
        <row r="2946">
          <cell r="D2946">
            <v>1108.06</v>
          </cell>
          <cell r="H2946">
            <v>45474</v>
          </cell>
          <cell r="I2946" t="str">
            <v>6352 - Fabric &amp; Materials</v>
          </cell>
          <cell r="J2946">
            <v>0</v>
          </cell>
          <cell r="K2946" t="str">
            <v>Production</v>
          </cell>
          <cell r="L2946" t="str">
            <v>Sample</v>
          </cell>
          <cell r="N2946" t="str">
            <v>SG&amp;A</v>
          </cell>
          <cell r="O2946" t="str">
            <v>Zabin Industries (Hong Kong) LTD.</v>
          </cell>
        </row>
        <row r="2947">
          <cell r="D2947">
            <v>1440</v>
          </cell>
          <cell r="H2947">
            <v>45474</v>
          </cell>
          <cell r="I2947" t="str">
            <v>6288 - Model</v>
          </cell>
          <cell r="J2947" t="str">
            <v>Ecommerce (US)</v>
          </cell>
          <cell r="K2947" t="str">
            <v>Brand Marketing</v>
          </cell>
          <cell r="L2947" t="str">
            <v>Advertising</v>
          </cell>
          <cell r="N2947" t="str">
            <v>SG&amp;A</v>
          </cell>
          <cell r="O2947" t="str">
            <v>State Artist Management</v>
          </cell>
        </row>
        <row r="2948">
          <cell r="D2948">
            <v>212.32</v>
          </cell>
          <cell r="H2948">
            <v>45474</v>
          </cell>
          <cell r="I2948" t="str">
            <v>6210 - Monitoring</v>
          </cell>
          <cell r="J2948" t="str">
            <v>Ecommerce (EU)</v>
          </cell>
          <cell r="K2948" t="str">
            <v>Ecommerce</v>
          </cell>
          <cell r="L2948" t="str">
            <v>Professional Service</v>
          </cell>
          <cell r="N2948" t="str">
            <v>Direct Costs</v>
          </cell>
          <cell r="O2948" t="str">
            <v>Convey SRL</v>
          </cell>
        </row>
        <row r="2949">
          <cell r="D2949">
            <v>17776.669999999998</v>
          </cell>
          <cell r="H2949">
            <v>45474</v>
          </cell>
          <cell r="I2949" t="str">
            <v>6380 - Legal &amp; Accounting</v>
          </cell>
          <cell r="J2949">
            <v>0</v>
          </cell>
          <cell r="K2949" t="str">
            <v>Administration</v>
          </cell>
          <cell r="L2949" t="str">
            <v>Professional Service</v>
          </cell>
          <cell r="N2949" t="str">
            <v>SG&amp;A</v>
          </cell>
          <cell r="O2949" t="str">
            <v>The Wave IP Law Firm</v>
          </cell>
        </row>
        <row r="2950">
          <cell r="D2950">
            <v>-47.14</v>
          </cell>
          <cell r="H2950">
            <v>45474</v>
          </cell>
          <cell r="I2950" t="str">
            <v>6375 - Freight Expenses</v>
          </cell>
          <cell r="J2950" t="str">
            <v>Ecommerce (US)</v>
          </cell>
          <cell r="K2950" t="str">
            <v>Ecommerce</v>
          </cell>
          <cell r="L2950" t="str">
            <v>Freight</v>
          </cell>
          <cell r="N2950" t="str">
            <v>Direct Costs</v>
          </cell>
          <cell r="O2950" t="str">
            <v>UPS Supply Chain Solutions Inc. (7F24A0)</v>
          </cell>
        </row>
        <row r="2951">
          <cell r="D2951">
            <v>331.3</v>
          </cell>
          <cell r="H2951">
            <v>45474</v>
          </cell>
          <cell r="I2951" t="str">
            <v>6450 - Bank &amp; Other Fees</v>
          </cell>
          <cell r="J2951" t="str">
            <v>Ecommerce (US)</v>
          </cell>
          <cell r="K2951" t="str">
            <v>Ecommerce</v>
          </cell>
          <cell r="L2951" t="str">
            <v>Professional Service</v>
          </cell>
          <cell r="N2951" t="str">
            <v>Direct Costs</v>
          </cell>
          <cell r="O2951" t="str">
            <v>[No Vendor]</v>
          </cell>
        </row>
        <row r="2952">
          <cell r="D2952">
            <v>4000</v>
          </cell>
          <cell r="H2952">
            <v>45474</v>
          </cell>
          <cell r="I2952" t="str">
            <v>6375 - Freight Expenses</v>
          </cell>
          <cell r="J2952" t="str">
            <v>Ecommerce (US)</v>
          </cell>
          <cell r="K2952" t="str">
            <v>Ecommerce</v>
          </cell>
          <cell r="L2952" t="str">
            <v>Freight</v>
          </cell>
          <cell r="N2952" t="str">
            <v>Direct Costs</v>
          </cell>
          <cell r="O2952" t="str">
            <v>Easy Post</v>
          </cell>
        </row>
        <row r="2953">
          <cell r="D2953">
            <v>125.5</v>
          </cell>
          <cell r="H2953">
            <v>45474</v>
          </cell>
          <cell r="I2953" t="str">
            <v>6040 - Employer Paid Benefits</v>
          </cell>
          <cell r="J2953">
            <v>0</v>
          </cell>
          <cell r="K2953" t="str">
            <v>Administration</v>
          </cell>
          <cell r="L2953" t="str">
            <v>HQ Salaries</v>
          </cell>
          <cell r="N2953" t="str">
            <v>SG&amp;A</v>
          </cell>
          <cell r="O2953" t="str">
            <v>Progressive Benefit Solutions LLC</v>
          </cell>
        </row>
        <row r="2954">
          <cell r="D2954">
            <v>29029.05</v>
          </cell>
          <cell r="H2954">
            <v>45474</v>
          </cell>
          <cell r="I2954" t="str">
            <v>8700 - Other Expense</v>
          </cell>
          <cell r="J2954">
            <v>0</v>
          </cell>
          <cell r="K2954" t="str">
            <v>Administration</v>
          </cell>
          <cell r="L2954" t="str">
            <v>Other Expense</v>
          </cell>
          <cell r="N2954" t="str">
            <v>BTL</v>
          </cell>
          <cell r="O2954" t="str">
            <v>Bryan Cave Leighton Paisner LLP</v>
          </cell>
        </row>
        <row r="2955">
          <cell r="D2955">
            <v>289099.8</v>
          </cell>
          <cell r="H2955">
            <v>45474</v>
          </cell>
          <cell r="I2955" t="str">
            <v>8700 - Other Expense</v>
          </cell>
          <cell r="J2955">
            <v>0</v>
          </cell>
          <cell r="K2955" t="str">
            <v>Administration</v>
          </cell>
          <cell r="L2955" t="str">
            <v>Other Expense</v>
          </cell>
          <cell r="N2955" t="str">
            <v>BTL</v>
          </cell>
          <cell r="O2955" t="str">
            <v>Bryan Cave Leighton Paisner LLP</v>
          </cell>
        </row>
        <row r="2956">
          <cell r="D2956">
            <v>5220</v>
          </cell>
          <cell r="H2956">
            <v>45474</v>
          </cell>
          <cell r="I2956" t="str">
            <v>6377 - Order Processing Expenses (New)</v>
          </cell>
          <cell r="J2956" t="str">
            <v>Ecommerce (US)</v>
          </cell>
          <cell r="K2956" t="str">
            <v>Ecommerce</v>
          </cell>
          <cell r="L2956" t="str">
            <v>Order Processing</v>
          </cell>
          <cell r="N2956" t="str">
            <v>Direct Costs</v>
          </cell>
          <cell r="O2956" t="str">
            <v>Bergen Logistics Corporation</v>
          </cell>
        </row>
        <row r="2957">
          <cell r="D2957">
            <v>5220</v>
          </cell>
          <cell r="H2957">
            <v>45474</v>
          </cell>
          <cell r="I2957" t="str">
            <v>6377 - Order Processing Expenses (New)</v>
          </cell>
          <cell r="J2957" t="str">
            <v>Wholesale</v>
          </cell>
          <cell r="K2957" t="str">
            <v>Wholesale</v>
          </cell>
          <cell r="L2957" t="str">
            <v>Order Processing</v>
          </cell>
          <cell r="N2957" t="str">
            <v>Direct Costs</v>
          </cell>
          <cell r="O2957" t="str">
            <v>Bergen Logistics Corporation</v>
          </cell>
        </row>
        <row r="2958">
          <cell r="D2958">
            <v>26458.3</v>
          </cell>
          <cell r="H2958">
            <v>45474</v>
          </cell>
          <cell r="I2958" t="str">
            <v>6377 - Order Processing Expenses (New)</v>
          </cell>
          <cell r="J2958" t="str">
            <v>Ecommerce (US)</v>
          </cell>
          <cell r="K2958" t="str">
            <v>Ecommerce</v>
          </cell>
          <cell r="L2958" t="str">
            <v>Order Processing</v>
          </cell>
          <cell r="N2958" t="str">
            <v>Direct Costs</v>
          </cell>
          <cell r="O2958" t="str">
            <v>Bergen Logistics Corporation</v>
          </cell>
        </row>
        <row r="2959">
          <cell r="D2959">
            <v>5901.25</v>
          </cell>
          <cell r="H2959">
            <v>45474</v>
          </cell>
          <cell r="I2959" t="str">
            <v>6377 - Order Processing Expenses (New)</v>
          </cell>
          <cell r="J2959" t="str">
            <v>Wholesale</v>
          </cell>
          <cell r="K2959" t="str">
            <v>Wholesale</v>
          </cell>
          <cell r="L2959" t="str">
            <v>Order Processing</v>
          </cell>
          <cell r="N2959" t="str">
            <v>Direct Costs</v>
          </cell>
          <cell r="O2959" t="str">
            <v>Bergen Logistics Corporation</v>
          </cell>
        </row>
        <row r="2960">
          <cell r="D2960">
            <v>129</v>
          </cell>
          <cell r="H2960">
            <v>45474</v>
          </cell>
          <cell r="I2960" t="str">
            <v>6393 - Software</v>
          </cell>
          <cell r="J2960" t="str">
            <v>Ecommerce (US)</v>
          </cell>
          <cell r="K2960" t="str">
            <v>Ecommerce</v>
          </cell>
          <cell r="L2960" t="str">
            <v>Professional Service</v>
          </cell>
          <cell r="N2960" t="str">
            <v>Direct Costs</v>
          </cell>
          <cell r="O2960" t="str">
            <v>Integration Manager</v>
          </cell>
        </row>
        <row r="2961">
          <cell r="D2961">
            <v>16.32</v>
          </cell>
          <cell r="H2961">
            <v>45474</v>
          </cell>
          <cell r="I2961" t="str">
            <v>6393 - Software</v>
          </cell>
          <cell r="J2961" t="str">
            <v>Ecommerce (US)</v>
          </cell>
          <cell r="K2961" t="str">
            <v>Ecommerce</v>
          </cell>
          <cell r="L2961" t="str">
            <v>Professional Service</v>
          </cell>
          <cell r="N2961" t="str">
            <v>Direct Costs</v>
          </cell>
          <cell r="O2961" t="str">
            <v>[No Vendor]</v>
          </cell>
        </row>
        <row r="2962">
          <cell r="D2962">
            <v>4866.3100000000004</v>
          </cell>
          <cell r="H2962">
            <v>45474</v>
          </cell>
          <cell r="I2962" t="str">
            <v>6393 - Software</v>
          </cell>
          <cell r="J2962" t="str">
            <v>Ecommerce (US)</v>
          </cell>
          <cell r="K2962" t="str">
            <v>Ecommerce</v>
          </cell>
          <cell r="L2962" t="str">
            <v>Professional Service</v>
          </cell>
          <cell r="N2962" t="str">
            <v>Direct Costs</v>
          </cell>
          <cell r="O2962">
            <v>0</v>
          </cell>
        </row>
        <row r="2963">
          <cell r="D2963">
            <v>598</v>
          </cell>
          <cell r="H2963">
            <v>45474</v>
          </cell>
          <cell r="I2963" t="str">
            <v>6393 - Software</v>
          </cell>
          <cell r="J2963" t="str">
            <v>Ecommerce (US)</v>
          </cell>
          <cell r="K2963" t="str">
            <v>Ecommerce</v>
          </cell>
          <cell r="L2963" t="str">
            <v>Professional Service</v>
          </cell>
          <cell r="N2963" t="str">
            <v>Direct Costs</v>
          </cell>
          <cell r="O2963">
            <v>0</v>
          </cell>
        </row>
        <row r="2964">
          <cell r="D2964">
            <v>21.78</v>
          </cell>
          <cell r="H2964">
            <v>45474</v>
          </cell>
          <cell r="I2964" t="str">
            <v>6393 - Software</v>
          </cell>
          <cell r="J2964" t="str">
            <v>Ecommerce (US)</v>
          </cell>
          <cell r="K2964" t="str">
            <v>Ecommerce</v>
          </cell>
          <cell r="L2964" t="str">
            <v>Professional Service</v>
          </cell>
          <cell r="N2964" t="str">
            <v>Direct Costs</v>
          </cell>
          <cell r="O2964" t="str">
            <v>Chat GPT</v>
          </cell>
        </row>
        <row r="2965">
          <cell r="D2965">
            <v>783.9</v>
          </cell>
          <cell r="H2965">
            <v>45474</v>
          </cell>
          <cell r="I2965" t="str">
            <v>6393 - Software</v>
          </cell>
          <cell r="J2965">
            <v>0</v>
          </cell>
          <cell r="K2965" t="str">
            <v>Brand Marketing</v>
          </cell>
          <cell r="L2965" t="str">
            <v>Professional Service</v>
          </cell>
          <cell r="N2965" t="str">
            <v>Direct Costs</v>
          </cell>
          <cell r="O2965">
            <v>0</v>
          </cell>
        </row>
        <row r="2966">
          <cell r="D2966">
            <v>2504.13</v>
          </cell>
          <cell r="H2966">
            <v>45474</v>
          </cell>
          <cell r="I2966" t="str">
            <v>6393 - Software</v>
          </cell>
          <cell r="J2966">
            <v>0</v>
          </cell>
          <cell r="K2966" t="str">
            <v>Brand Marketing</v>
          </cell>
          <cell r="L2966" t="str">
            <v>Professional Service</v>
          </cell>
          <cell r="N2966" t="str">
            <v>Direct Costs</v>
          </cell>
          <cell r="O2966">
            <v>0</v>
          </cell>
        </row>
        <row r="2967">
          <cell r="D2967">
            <v>6814</v>
          </cell>
          <cell r="H2967">
            <v>45474</v>
          </cell>
          <cell r="I2967" t="str">
            <v>6393 - Software</v>
          </cell>
          <cell r="J2967" t="str">
            <v>Ecommerce (US)</v>
          </cell>
          <cell r="K2967" t="str">
            <v>Ecommerce</v>
          </cell>
          <cell r="L2967" t="str">
            <v>Professional Service</v>
          </cell>
          <cell r="N2967" t="str">
            <v>Direct Costs</v>
          </cell>
          <cell r="O2967" t="str">
            <v>Signifyd</v>
          </cell>
        </row>
        <row r="2968">
          <cell r="D2968">
            <v>9.5299999999999994</v>
          </cell>
          <cell r="H2968">
            <v>45474</v>
          </cell>
          <cell r="I2968" t="str">
            <v>6393 - Software</v>
          </cell>
          <cell r="J2968" t="str">
            <v>Ecommerce (US)</v>
          </cell>
          <cell r="K2968" t="str">
            <v>Ecommerce</v>
          </cell>
          <cell r="L2968" t="str">
            <v>Professional Service</v>
          </cell>
          <cell r="N2968" t="str">
            <v>Direct Costs</v>
          </cell>
          <cell r="O2968">
            <v>0</v>
          </cell>
        </row>
        <row r="2969">
          <cell r="D2969">
            <v>1116.95</v>
          </cell>
          <cell r="H2969">
            <v>45474</v>
          </cell>
          <cell r="I2969" t="str">
            <v>6393 - Software</v>
          </cell>
          <cell r="J2969" t="str">
            <v>Ecommerce (US)</v>
          </cell>
          <cell r="K2969" t="str">
            <v>Ecommerce</v>
          </cell>
          <cell r="L2969" t="str">
            <v>Professional Service</v>
          </cell>
          <cell r="N2969" t="str">
            <v>Direct Costs</v>
          </cell>
          <cell r="O2969">
            <v>0</v>
          </cell>
        </row>
        <row r="2970">
          <cell r="D2970">
            <v>6231.4</v>
          </cell>
          <cell r="H2970">
            <v>45474</v>
          </cell>
          <cell r="I2970" t="str">
            <v>6393 - Software</v>
          </cell>
          <cell r="J2970" t="str">
            <v>Ecommerce (US)</v>
          </cell>
          <cell r="K2970" t="str">
            <v>Ecommerce</v>
          </cell>
          <cell r="L2970" t="str">
            <v>Professional Service</v>
          </cell>
          <cell r="N2970" t="str">
            <v>Direct Costs</v>
          </cell>
          <cell r="O2970">
            <v>0</v>
          </cell>
        </row>
        <row r="2971">
          <cell r="D2971">
            <v>1716.31</v>
          </cell>
          <cell r="H2971">
            <v>45474</v>
          </cell>
          <cell r="I2971" t="str">
            <v>6393 - Software</v>
          </cell>
          <cell r="J2971" t="str">
            <v>Ecommerce (US)</v>
          </cell>
          <cell r="K2971" t="str">
            <v>Ecommerce</v>
          </cell>
          <cell r="L2971" t="str">
            <v>Professional Service</v>
          </cell>
          <cell r="N2971" t="str">
            <v>Direct Costs</v>
          </cell>
          <cell r="O2971" t="str">
            <v>Robert  McKinney</v>
          </cell>
        </row>
        <row r="2972">
          <cell r="D2972">
            <v>16.32</v>
          </cell>
          <cell r="H2972">
            <v>45474</v>
          </cell>
          <cell r="I2972" t="str">
            <v>6393 - Software</v>
          </cell>
          <cell r="J2972" t="str">
            <v>Ecommerce (US)</v>
          </cell>
          <cell r="K2972" t="str">
            <v>Ecommerce</v>
          </cell>
          <cell r="L2972" t="str">
            <v>Professional Service</v>
          </cell>
          <cell r="N2972" t="str">
            <v>Direct Costs</v>
          </cell>
          <cell r="O2972" t="str">
            <v>[No Vendor]</v>
          </cell>
        </row>
        <row r="2973">
          <cell r="D2973">
            <v>11187.67</v>
          </cell>
          <cell r="H2973">
            <v>45474</v>
          </cell>
          <cell r="I2973" t="str">
            <v>6286 - SEM</v>
          </cell>
          <cell r="J2973" t="str">
            <v>Ecommerce (EU)</v>
          </cell>
          <cell r="K2973" t="str">
            <v>Ecommerce</v>
          </cell>
          <cell r="L2973" t="str">
            <v>Marketing</v>
          </cell>
          <cell r="N2973" t="str">
            <v>Direct Costs</v>
          </cell>
          <cell r="O2973" t="str">
            <v>Meta Platforms, Inc</v>
          </cell>
        </row>
        <row r="2974">
          <cell r="D2974">
            <v>114146.69</v>
          </cell>
          <cell r="H2974">
            <v>45474</v>
          </cell>
          <cell r="I2974" t="str">
            <v>6286 - SEM</v>
          </cell>
          <cell r="J2974" t="str">
            <v>Ecommerce (US)</v>
          </cell>
          <cell r="K2974" t="str">
            <v>Ecommerce</v>
          </cell>
          <cell r="L2974" t="str">
            <v>Marketing</v>
          </cell>
          <cell r="N2974" t="str">
            <v>Direct Costs</v>
          </cell>
          <cell r="O2974" t="str">
            <v>Meta Platforms, Inc</v>
          </cell>
        </row>
        <row r="2975">
          <cell r="D2975">
            <v>22624.52</v>
          </cell>
          <cell r="H2975">
            <v>45474</v>
          </cell>
          <cell r="I2975" t="str">
            <v>6286 - SEM</v>
          </cell>
          <cell r="J2975" t="str">
            <v>Ecommerce (US)</v>
          </cell>
          <cell r="K2975" t="str">
            <v>Brand Marketing</v>
          </cell>
          <cell r="L2975" t="str">
            <v>Professional Service</v>
          </cell>
          <cell r="N2975" t="str">
            <v>Direct Costs</v>
          </cell>
          <cell r="O2975" t="str">
            <v>Attentive Mobile Inc.</v>
          </cell>
        </row>
        <row r="2976">
          <cell r="D2976">
            <v>19421.310000000001</v>
          </cell>
          <cell r="H2976">
            <v>45474</v>
          </cell>
          <cell r="I2976" t="str">
            <v>6286 - SEM</v>
          </cell>
          <cell r="J2976" t="str">
            <v>Ecommerce (US)</v>
          </cell>
          <cell r="K2976" t="str">
            <v>Ecommerce</v>
          </cell>
          <cell r="L2976" t="str">
            <v>Marketing</v>
          </cell>
          <cell r="N2976" t="str">
            <v>Direct Costs</v>
          </cell>
          <cell r="O2976" t="str">
            <v>[No Vendor]</v>
          </cell>
        </row>
        <row r="2977">
          <cell r="D2977">
            <v>450.57</v>
          </cell>
          <cell r="H2977">
            <v>45474</v>
          </cell>
          <cell r="I2977" t="str">
            <v>6120 - Lodging</v>
          </cell>
          <cell r="J2977">
            <v>0</v>
          </cell>
          <cell r="K2977" t="str">
            <v>Executive</v>
          </cell>
          <cell r="L2977" t="str">
            <v>T&amp;E</v>
          </cell>
          <cell r="N2977" t="str">
            <v>SG&amp;A</v>
          </cell>
          <cell r="O2977" t="str">
            <v>[No Vendor]</v>
          </cell>
        </row>
        <row r="2978">
          <cell r="D2978">
            <v>579.57000000000005</v>
          </cell>
          <cell r="H2978">
            <v>45474</v>
          </cell>
          <cell r="I2978" t="str">
            <v>6120 - Lodging</v>
          </cell>
          <cell r="J2978">
            <v>0</v>
          </cell>
          <cell r="K2978" t="str">
            <v>Executive</v>
          </cell>
          <cell r="L2978" t="str">
            <v>T&amp;E</v>
          </cell>
          <cell r="N2978" t="str">
            <v>SG&amp;A</v>
          </cell>
          <cell r="O2978" t="str">
            <v>[No Vendor]</v>
          </cell>
        </row>
        <row r="2979">
          <cell r="D2979">
            <v>726.83</v>
          </cell>
          <cell r="H2979">
            <v>45474</v>
          </cell>
          <cell r="I2979" t="str">
            <v>6120 - Lodging</v>
          </cell>
          <cell r="J2979" t="str">
            <v>Ecommerce (US)</v>
          </cell>
          <cell r="K2979" t="str">
            <v>Ecommerce</v>
          </cell>
          <cell r="L2979" t="str">
            <v>T&amp;E</v>
          </cell>
          <cell r="N2979" t="str">
            <v>SG&amp;A</v>
          </cell>
          <cell r="O2979" t="str">
            <v>[No Vendor]</v>
          </cell>
        </row>
        <row r="2980">
          <cell r="D2980">
            <v>137.66</v>
          </cell>
          <cell r="H2980">
            <v>45474</v>
          </cell>
          <cell r="I2980" t="str">
            <v>6120 - Lodging</v>
          </cell>
          <cell r="J2980" t="str">
            <v>Ecommerce (US)</v>
          </cell>
          <cell r="K2980" t="str">
            <v>Ecommerce</v>
          </cell>
          <cell r="L2980" t="str">
            <v>T&amp;E</v>
          </cell>
          <cell r="N2980" t="str">
            <v>SG&amp;A</v>
          </cell>
          <cell r="O2980" t="str">
            <v>[No Vendor]</v>
          </cell>
        </row>
        <row r="2981">
          <cell r="D2981">
            <v>0.15</v>
          </cell>
          <cell r="H2981">
            <v>45474</v>
          </cell>
          <cell r="I2981" t="str">
            <v>6450 - Bank &amp; Other Fees</v>
          </cell>
          <cell r="J2981" t="str">
            <v>Ecommerce (US)</v>
          </cell>
          <cell r="K2981" t="str">
            <v>Ecommerce</v>
          </cell>
          <cell r="L2981" t="str">
            <v>Professional Service</v>
          </cell>
          <cell r="N2981" t="str">
            <v>Direct Costs</v>
          </cell>
          <cell r="O2981" t="str">
            <v>[No Vendor]</v>
          </cell>
        </row>
        <row r="2982">
          <cell r="D2982">
            <v>0.22</v>
          </cell>
          <cell r="H2982">
            <v>45474</v>
          </cell>
          <cell r="I2982" t="str">
            <v>6450 - Bank &amp; Other Fees</v>
          </cell>
          <cell r="J2982" t="str">
            <v>Ecommerce (US)</v>
          </cell>
          <cell r="K2982" t="str">
            <v>Ecommerce</v>
          </cell>
          <cell r="L2982" t="str">
            <v>Professional Service</v>
          </cell>
          <cell r="N2982" t="str">
            <v>Direct Costs</v>
          </cell>
          <cell r="O2982" t="str">
            <v>[No Vendor]</v>
          </cell>
        </row>
        <row r="2983">
          <cell r="D2983">
            <v>88</v>
          </cell>
          <cell r="H2983">
            <v>45474</v>
          </cell>
          <cell r="I2983" t="str">
            <v>6430 - Dues &amp; Memberships</v>
          </cell>
          <cell r="J2983" t="str">
            <v>Wholesale</v>
          </cell>
          <cell r="K2983" t="str">
            <v>Wholesale</v>
          </cell>
          <cell r="L2983" t="str">
            <v>Professional Service</v>
          </cell>
          <cell r="N2983" t="str">
            <v>Direct Costs</v>
          </cell>
          <cell r="O2983" t="str">
            <v>SPS Commerce</v>
          </cell>
        </row>
        <row r="2984">
          <cell r="D2984">
            <v>1527.5</v>
          </cell>
          <cell r="H2984">
            <v>45474</v>
          </cell>
          <cell r="I2984" t="str">
            <v>6300 - Payroll Service Fees</v>
          </cell>
          <cell r="J2984">
            <v>0</v>
          </cell>
          <cell r="K2984" t="str">
            <v>Administration</v>
          </cell>
          <cell r="L2984" t="str">
            <v>Professional Service</v>
          </cell>
          <cell r="N2984" t="str">
            <v>SG&amp;A</v>
          </cell>
          <cell r="O2984" t="str">
            <v>OperationsInc, LLC</v>
          </cell>
        </row>
        <row r="2985">
          <cell r="D2985">
            <v>150</v>
          </cell>
          <cell r="H2985">
            <v>45474</v>
          </cell>
          <cell r="I2985" t="str">
            <v>6225 - Professional Services</v>
          </cell>
          <cell r="J2985">
            <v>0</v>
          </cell>
          <cell r="K2985" t="str">
            <v>Administration</v>
          </cell>
          <cell r="L2985" t="str">
            <v>Professional Service</v>
          </cell>
          <cell r="N2985" t="str">
            <v>Direct Costs</v>
          </cell>
          <cell r="O2985" t="str">
            <v>Benefit Resource, LLC</v>
          </cell>
        </row>
        <row r="2986">
          <cell r="D2986">
            <v>6</v>
          </cell>
          <cell r="H2986">
            <v>45474</v>
          </cell>
          <cell r="I2986" t="str">
            <v>6135 - Parking and Tolls</v>
          </cell>
          <cell r="J2986">
            <v>0</v>
          </cell>
          <cell r="K2986" t="str">
            <v>Executive</v>
          </cell>
          <cell r="L2986" t="str">
            <v>T&amp;E</v>
          </cell>
          <cell r="N2986" t="str">
            <v>SG&amp;A</v>
          </cell>
          <cell r="O2986" t="str">
            <v>[No Vendor]</v>
          </cell>
        </row>
        <row r="2987">
          <cell r="D2987">
            <v>35.75</v>
          </cell>
          <cell r="H2987">
            <v>45474</v>
          </cell>
          <cell r="I2987" t="str">
            <v>6135 - Parking and Tolls</v>
          </cell>
          <cell r="J2987">
            <v>0</v>
          </cell>
          <cell r="K2987" t="str">
            <v>Executive</v>
          </cell>
          <cell r="L2987" t="str">
            <v>T&amp;E</v>
          </cell>
          <cell r="N2987" t="str">
            <v>SG&amp;A</v>
          </cell>
          <cell r="O2987" t="str">
            <v>[No Vendor]</v>
          </cell>
        </row>
        <row r="2988">
          <cell r="D2988">
            <v>89.8</v>
          </cell>
          <cell r="H2988">
            <v>45474</v>
          </cell>
          <cell r="I2988" t="str">
            <v>6125 - Transportation and Fuel</v>
          </cell>
          <cell r="J2988">
            <v>0</v>
          </cell>
          <cell r="K2988" t="str">
            <v>Executive</v>
          </cell>
          <cell r="L2988" t="str">
            <v>T&amp;E</v>
          </cell>
          <cell r="N2988" t="str">
            <v>SG&amp;A</v>
          </cell>
          <cell r="O2988" t="str">
            <v>[No Vendor]</v>
          </cell>
        </row>
        <row r="2989">
          <cell r="D2989">
            <v>200.53</v>
          </cell>
          <cell r="H2989">
            <v>45474</v>
          </cell>
          <cell r="I2989" t="str">
            <v>6125 - Transportation and Fuel</v>
          </cell>
          <cell r="J2989">
            <v>0</v>
          </cell>
          <cell r="K2989" t="str">
            <v>Executive</v>
          </cell>
          <cell r="L2989" t="str">
            <v>T&amp;E</v>
          </cell>
          <cell r="N2989" t="str">
            <v>SG&amp;A</v>
          </cell>
          <cell r="O2989" t="str">
            <v>[No Vendor]</v>
          </cell>
        </row>
        <row r="2990">
          <cell r="D2990">
            <v>29.56</v>
          </cell>
          <cell r="H2990">
            <v>45474</v>
          </cell>
          <cell r="I2990" t="str">
            <v>6125 - Transportation and Fuel</v>
          </cell>
          <cell r="J2990">
            <v>0</v>
          </cell>
          <cell r="K2990" t="str">
            <v>Executive</v>
          </cell>
          <cell r="L2990" t="str">
            <v>T&amp;E</v>
          </cell>
          <cell r="N2990" t="str">
            <v>SG&amp;A</v>
          </cell>
          <cell r="O2990" t="str">
            <v>[No Vendor]</v>
          </cell>
        </row>
        <row r="2991">
          <cell r="D2991">
            <v>174.42</v>
          </cell>
          <cell r="H2991">
            <v>45474</v>
          </cell>
          <cell r="I2991" t="str">
            <v>6125 - Transportation and Fuel</v>
          </cell>
          <cell r="J2991">
            <v>0</v>
          </cell>
          <cell r="K2991" t="str">
            <v>Executive</v>
          </cell>
          <cell r="L2991" t="str">
            <v>T&amp;E</v>
          </cell>
          <cell r="N2991" t="str">
            <v>SG&amp;A</v>
          </cell>
          <cell r="O2991" t="str">
            <v>[No Vendor]</v>
          </cell>
        </row>
        <row r="2992">
          <cell r="D2992">
            <v>12</v>
          </cell>
          <cell r="H2992">
            <v>45474</v>
          </cell>
          <cell r="I2992" t="str">
            <v>6125 - Transportation and Fuel</v>
          </cell>
          <cell r="J2992">
            <v>0</v>
          </cell>
          <cell r="K2992" t="str">
            <v>Executive</v>
          </cell>
          <cell r="L2992" t="str">
            <v>T&amp;E</v>
          </cell>
          <cell r="N2992" t="str">
            <v>SG&amp;A</v>
          </cell>
          <cell r="O2992" t="str">
            <v>[No Vendor]</v>
          </cell>
        </row>
        <row r="2993">
          <cell r="D2993">
            <v>7.98</v>
          </cell>
          <cell r="H2993">
            <v>45474</v>
          </cell>
          <cell r="I2993" t="str">
            <v>6125 - Transportation and Fuel</v>
          </cell>
          <cell r="J2993">
            <v>0</v>
          </cell>
          <cell r="K2993" t="str">
            <v>Executive</v>
          </cell>
          <cell r="L2993" t="str">
            <v>T&amp;E</v>
          </cell>
          <cell r="N2993" t="str">
            <v>SG&amp;A</v>
          </cell>
          <cell r="O2993" t="str">
            <v>[No Vendor]</v>
          </cell>
        </row>
        <row r="2994">
          <cell r="D2994">
            <v>616.96</v>
          </cell>
          <cell r="H2994">
            <v>45474</v>
          </cell>
          <cell r="I2994" t="str">
            <v>6115 - Airfare</v>
          </cell>
          <cell r="J2994">
            <v>0</v>
          </cell>
          <cell r="K2994" t="str">
            <v>Executive</v>
          </cell>
          <cell r="L2994" t="str">
            <v>T&amp;E</v>
          </cell>
          <cell r="N2994" t="str">
            <v>SG&amp;A</v>
          </cell>
          <cell r="O2994" t="str">
            <v>[No Vendor]</v>
          </cell>
        </row>
        <row r="2995">
          <cell r="D2995">
            <v>535.1</v>
          </cell>
          <cell r="H2995">
            <v>45474</v>
          </cell>
          <cell r="I2995" t="str">
            <v>6115 - Airfare</v>
          </cell>
          <cell r="J2995">
            <v>0</v>
          </cell>
          <cell r="K2995" t="str">
            <v>Executive</v>
          </cell>
          <cell r="L2995" t="str">
            <v>T&amp;E</v>
          </cell>
          <cell r="N2995" t="str">
            <v>SG&amp;A</v>
          </cell>
          <cell r="O2995" t="str">
            <v>[No Vendor]</v>
          </cell>
        </row>
        <row r="2996">
          <cell r="D2996">
            <v>14.2</v>
          </cell>
          <cell r="H2996">
            <v>45474</v>
          </cell>
          <cell r="I2996" t="str">
            <v>6105 - Meals</v>
          </cell>
          <cell r="J2996">
            <v>0</v>
          </cell>
          <cell r="K2996" t="str">
            <v>Executive</v>
          </cell>
          <cell r="L2996" t="str">
            <v>T&amp;E</v>
          </cell>
          <cell r="N2996" t="str">
            <v>SG&amp;A</v>
          </cell>
          <cell r="O2996" t="str">
            <v>[No Vendor]</v>
          </cell>
        </row>
        <row r="2997">
          <cell r="D2997">
            <v>8.9</v>
          </cell>
          <cell r="H2997">
            <v>45474</v>
          </cell>
          <cell r="I2997" t="str">
            <v>6105 - Meals</v>
          </cell>
          <cell r="J2997">
            <v>0</v>
          </cell>
          <cell r="K2997" t="str">
            <v>Executive</v>
          </cell>
          <cell r="L2997" t="str">
            <v>T&amp;E</v>
          </cell>
          <cell r="N2997" t="str">
            <v>SG&amp;A</v>
          </cell>
          <cell r="O2997" t="str">
            <v>[No Vendor]</v>
          </cell>
        </row>
        <row r="2998">
          <cell r="D2998">
            <v>37.090000000000003</v>
          </cell>
          <cell r="H2998">
            <v>45474</v>
          </cell>
          <cell r="I2998" t="str">
            <v>6105 - Meals</v>
          </cell>
          <cell r="J2998">
            <v>0</v>
          </cell>
          <cell r="K2998" t="str">
            <v>Executive</v>
          </cell>
          <cell r="L2998" t="str">
            <v>T&amp;E</v>
          </cell>
          <cell r="N2998" t="str">
            <v>SG&amp;A</v>
          </cell>
          <cell r="O2998" t="str">
            <v>[No Vendor]</v>
          </cell>
        </row>
        <row r="2999">
          <cell r="D2999">
            <v>13.85</v>
          </cell>
          <cell r="H2999">
            <v>45474</v>
          </cell>
          <cell r="I2999" t="str">
            <v>6105 - Meals</v>
          </cell>
          <cell r="J2999">
            <v>0</v>
          </cell>
          <cell r="K2999" t="str">
            <v>Executive</v>
          </cell>
          <cell r="L2999" t="str">
            <v>T&amp;E</v>
          </cell>
          <cell r="N2999" t="str">
            <v>SG&amp;A</v>
          </cell>
          <cell r="O2999" t="str">
            <v>[No Vendor]</v>
          </cell>
        </row>
        <row r="3000">
          <cell r="D3000">
            <v>13.99</v>
          </cell>
          <cell r="H3000">
            <v>45474</v>
          </cell>
          <cell r="I3000" t="str">
            <v>6105 - Meals</v>
          </cell>
          <cell r="J3000">
            <v>0</v>
          </cell>
          <cell r="K3000" t="str">
            <v>Executive</v>
          </cell>
          <cell r="L3000" t="str">
            <v>T&amp;E</v>
          </cell>
          <cell r="N3000" t="str">
            <v>SG&amp;A</v>
          </cell>
          <cell r="O3000" t="str">
            <v>[No Vendor]</v>
          </cell>
        </row>
        <row r="3001">
          <cell r="D3001">
            <v>12.12</v>
          </cell>
          <cell r="H3001">
            <v>45474</v>
          </cell>
          <cell r="I3001" t="str">
            <v>6105 - Meals</v>
          </cell>
          <cell r="J3001">
            <v>0</v>
          </cell>
          <cell r="K3001" t="str">
            <v>Executive</v>
          </cell>
          <cell r="L3001" t="str">
            <v>T&amp;E</v>
          </cell>
          <cell r="N3001" t="str">
            <v>SG&amp;A</v>
          </cell>
          <cell r="O3001" t="str">
            <v>[No Vendor]</v>
          </cell>
        </row>
        <row r="3002">
          <cell r="D3002">
            <v>5.03</v>
          </cell>
          <cell r="H3002">
            <v>45474</v>
          </cell>
          <cell r="I3002" t="str">
            <v>6105 - Meals</v>
          </cell>
          <cell r="J3002">
            <v>0</v>
          </cell>
          <cell r="K3002" t="str">
            <v>Executive</v>
          </cell>
          <cell r="L3002" t="str">
            <v>T&amp;E</v>
          </cell>
          <cell r="N3002" t="str">
            <v>SG&amp;A</v>
          </cell>
          <cell r="O3002" t="str">
            <v>[No Vendor]</v>
          </cell>
        </row>
        <row r="3003">
          <cell r="D3003">
            <v>3.79</v>
          </cell>
          <cell r="H3003">
            <v>45474</v>
          </cell>
          <cell r="I3003" t="str">
            <v>6105 - Meals</v>
          </cell>
          <cell r="J3003">
            <v>0</v>
          </cell>
          <cell r="K3003" t="str">
            <v>Executive</v>
          </cell>
          <cell r="L3003" t="str">
            <v>T&amp;E</v>
          </cell>
          <cell r="N3003" t="str">
            <v>SG&amp;A</v>
          </cell>
          <cell r="O3003" t="str">
            <v>[No Vendor]</v>
          </cell>
        </row>
        <row r="3004">
          <cell r="D3004">
            <v>434.28</v>
          </cell>
          <cell r="H3004">
            <v>45474</v>
          </cell>
          <cell r="I3004" t="str">
            <v>6375 - Freight Expenses</v>
          </cell>
          <cell r="J3004" t="str">
            <v>Ecommerce (US)</v>
          </cell>
          <cell r="K3004" t="str">
            <v>Ecommerce</v>
          </cell>
          <cell r="L3004" t="str">
            <v>Freight</v>
          </cell>
          <cell r="N3004" t="str">
            <v>Direct Costs</v>
          </cell>
          <cell r="O3004" t="str">
            <v>Bergen Logistics Corporation</v>
          </cell>
        </row>
        <row r="3005">
          <cell r="D3005">
            <v>145.84</v>
          </cell>
          <cell r="H3005">
            <v>45474</v>
          </cell>
          <cell r="I3005" t="str">
            <v>6375 - Freight Expenses</v>
          </cell>
          <cell r="J3005" t="str">
            <v>Wholesale</v>
          </cell>
          <cell r="K3005" t="str">
            <v>Wholesale</v>
          </cell>
          <cell r="L3005" t="str">
            <v>Freight</v>
          </cell>
          <cell r="N3005" t="str">
            <v>Direct Costs</v>
          </cell>
          <cell r="O3005" t="str">
            <v>Bergen Logistics Corporation</v>
          </cell>
        </row>
        <row r="3006">
          <cell r="D3006">
            <v>25</v>
          </cell>
          <cell r="H3006">
            <v>45474</v>
          </cell>
          <cell r="I3006" t="str">
            <v>6040 - Employer Paid Benefits</v>
          </cell>
          <cell r="J3006">
            <v>0</v>
          </cell>
          <cell r="K3006" t="str">
            <v>Administration</v>
          </cell>
          <cell r="L3006" t="str">
            <v>HQ Salaries</v>
          </cell>
          <cell r="N3006" t="str">
            <v>SG&amp;A</v>
          </cell>
          <cell r="O3006" t="str">
            <v>Lifetime Benefit Solutions, Inc</v>
          </cell>
        </row>
        <row r="3007">
          <cell r="D3007">
            <v>705.01</v>
          </cell>
          <cell r="H3007">
            <v>45474</v>
          </cell>
          <cell r="I3007" t="str">
            <v>6040 - Employer Paid Benefits</v>
          </cell>
          <cell r="J3007">
            <v>0</v>
          </cell>
          <cell r="K3007" t="str">
            <v>Merchandising</v>
          </cell>
          <cell r="L3007" t="str">
            <v>HQ Salaries</v>
          </cell>
          <cell r="N3007" t="str">
            <v>SG&amp;A</v>
          </cell>
          <cell r="O3007" t="str">
            <v>Procyon Benefits LLC</v>
          </cell>
        </row>
        <row r="3008">
          <cell r="D3008">
            <v>924.94</v>
          </cell>
          <cell r="H3008">
            <v>45474</v>
          </cell>
          <cell r="I3008" t="str">
            <v>6040 - Employer Paid Benefits</v>
          </cell>
          <cell r="J3008">
            <v>0</v>
          </cell>
          <cell r="K3008" t="str">
            <v>Executive</v>
          </cell>
          <cell r="L3008" t="str">
            <v>HQ Salaries</v>
          </cell>
          <cell r="N3008" t="str">
            <v>SG&amp;A</v>
          </cell>
          <cell r="O3008" t="str">
            <v>Procyon Benefits LLC</v>
          </cell>
        </row>
        <row r="3009">
          <cell r="D3009">
            <v>31.6</v>
          </cell>
          <cell r="H3009">
            <v>45474</v>
          </cell>
          <cell r="I3009" t="str">
            <v>6040 - Employer Paid Benefits</v>
          </cell>
          <cell r="J3009">
            <v>0</v>
          </cell>
          <cell r="K3009" t="str">
            <v>Design</v>
          </cell>
          <cell r="L3009" t="str">
            <v>HQ Salaries</v>
          </cell>
          <cell r="N3009" t="str">
            <v>SG&amp;A</v>
          </cell>
          <cell r="O3009" t="str">
            <v>Procyon Benefits LLC</v>
          </cell>
        </row>
        <row r="3010">
          <cell r="D3010">
            <v>223.07</v>
          </cell>
          <cell r="H3010">
            <v>45474</v>
          </cell>
          <cell r="I3010" t="str">
            <v>6040 - Employer Paid Benefits</v>
          </cell>
          <cell r="J3010">
            <v>0</v>
          </cell>
          <cell r="K3010" t="str">
            <v>Administration</v>
          </cell>
          <cell r="L3010" t="str">
            <v>HQ Salaries</v>
          </cell>
          <cell r="N3010" t="str">
            <v>SG&amp;A</v>
          </cell>
          <cell r="O3010" t="str">
            <v>Procyon Benefits LLC</v>
          </cell>
        </row>
        <row r="3011">
          <cell r="D3011">
            <v>45</v>
          </cell>
          <cell r="H3011">
            <v>45474</v>
          </cell>
          <cell r="I3011" t="str">
            <v>6450 - Bank &amp; Other Fees</v>
          </cell>
          <cell r="J3011">
            <v>0</v>
          </cell>
          <cell r="K3011" t="str">
            <v>Licensing</v>
          </cell>
          <cell r="L3011" t="str">
            <v>Professional Service</v>
          </cell>
          <cell r="N3011" t="str">
            <v>SG&amp;A</v>
          </cell>
          <cell r="O3011" t="str">
            <v>ESSA GRUP DIS TIC LTD STI</v>
          </cell>
        </row>
        <row r="3012">
          <cell r="D3012">
            <v>0</v>
          </cell>
          <cell r="H3012">
            <v>45474</v>
          </cell>
          <cell r="I3012" t="str">
            <v>4010 - Revenue - Licensing Fees (Royalties)</v>
          </cell>
          <cell r="J3012">
            <v>0</v>
          </cell>
          <cell r="K3012" t="str">
            <v>Licensing</v>
          </cell>
          <cell r="L3012" t="str">
            <v>License</v>
          </cell>
          <cell r="N3012" t="str">
            <v>Revenue</v>
          </cell>
          <cell r="O3012" t="str">
            <v>[No Vendor]</v>
          </cell>
        </row>
        <row r="3013">
          <cell r="D3013">
            <v>0</v>
          </cell>
          <cell r="H3013">
            <v>45474</v>
          </cell>
          <cell r="I3013" t="str">
            <v>4045 - Sponsorships</v>
          </cell>
          <cell r="J3013">
            <v>0</v>
          </cell>
          <cell r="K3013" t="str">
            <v>Licensing</v>
          </cell>
          <cell r="L3013" t="str">
            <v>Other Income</v>
          </cell>
          <cell r="N3013" t="str">
            <v>Revenue</v>
          </cell>
          <cell r="O3013" t="str">
            <v>[No Vendor]</v>
          </cell>
        </row>
        <row r="3014">
          <cell r="D3014">
            <v>-92253.1</v>
          </cell>
          <cell r="H3014">
            <v>45474</v>
          </cell>
          <cell r="I3014" t="str">
            <v>4052 - Sales Revenue - Wholesale (US)</v>
          </cell>
          <cell r="J3014" t="str">
            <v>Wholesale</v>
          </cell>
          <cell r="K3014" t="str">
            <v>Wholesale</v>
          </cell>
          <cell r="L3014" t="str">
            <v>Wholesale</v>
          </cell>
          <cell r="N3014" t="str">
            <v>Revenue</v>
          </cell>
          <cell r="O3014" t="str">
            <v>[No Vendor]</v>
          </cell>
        </row>
        <row r="3015">
          <cell r="D3015">
            <v>-876355.96</v>
          </cell>
          <cell r="H3015">
            <v>45474</v>
          </cell>
          <cell r="I3015" t="str">
            <v>4050 - Sales Revenue - Ecommerce (US)</v>
          </cell>
          <cell r="J3015" t="str">
            <v>Ecommerce (US)</v>
          </cell>
          <cell r="K3015" t="str">
            <v>Ecommerce</v>
          </cell>
          <cell r="L3015" t="str">
            <v>Ecommerce (US)</v>
          </cell>
          <cell r="N3015" t="str">
            <v>Revenue</v>
          </cell>
          <cell r="O3015" t="str">
            <v>[No Vendor]</v>
          </cell>
        </row>
        <row r="3016">
          <cell r="D3016">
            <v>-43345.04</v>
          </cell>
          <cell r="H3016">
            <v>45474</v>
          </cell>
          <cell r="I3016" t="str">
            <v>4050 - Sales Revenue - Ecommerce (US)</v>
          </cell>
          <cell r="J3016" t="str">
            <v>Ecommerce (US)</v>
          </cell>
          <cell r="K3016" t="str">
            <v>Ecommerce</v>
          </cell>
          <cell r="L3016" t="str">
            <v>Ecommerce (US)</v>
          </cell>
          <cell r="N3016" t="str">
            <v>Revenue</v>
          </cell>
          <cell r="O3016" t="str">
            <v>[No Vendor]</v>
          </cell>
        </row>
        <row r="3017">
          <cell r="D3017">
            <v>1979.95</v>
          </cell>
          <cell r="H3017">
            <v>45474</v>
          </cell>
          <cell r="I3017" t="str">
            <v>4061 - Sales Discount - Ecomm (EU)</v>
          </cell>
          <cell r="J3017" t="str">
            <v>Ecommerce (EU)</v>
          </cell>
          <cell r="K3017" t="str">
            <v>Ecommerce</v>
          </cell>
          <cell r="L3017" t="str">
            <v>Ecommerce (EU)</v>
          </cell>
          <cell r="N3017" t="str">
            <v>Revenue</v>
          </cell>
          <cell r="O3017" t="str">
            <v>[No Vendor]</v>
          </cell>
        </row>
        <row r="3018">
          <cell r="D3018">
            <v>187.97</v>
          </cell>
          <cell r="H3018">
            <v>45474</v>
          </cell>
          <cell r="I3018" t="str">
            <v>6041 - Employee Benefit Other</v>
          </cell>
          <cell r="J3018">
            <v>0</v>
          </cell>
          <cell r="K3018" t="str">
            <v>Design</v>
          </cell>
          <cell r="L3018" t="str">
            <v>HQ Salaries</v>
          </cell>
          <cell r="N3018" t="str">
            <v>SG&amp;A</v>
          </cell>
          <cell r="O3018" t="str">
            <v>[No Vendor]</v>
          </cell>
        </row>
        <row r="3019">
          <cell r="D3019">
            <v>104.82</v>
          </cell>
          <cell r="H3019">
            <v>45474</v>
          </cell>
          <cell r="I3019" t="str">
            <v>6041 - Employee Benefit Other</v>
          </cell>
          <cell r="J3019">
            <v>0</v>
          </cell>
          <cell r="K3019" t="str">
            <v>Administration</v>
          </cell>
          <cell r="L3019" t="str">
            <v>HQ Salaries</v>
          </cell>
          <cell r="N3019" t="str">
            <v>SG&amp;A</v>
          </cell>
          <cell r="O3019" t="str">
            <v>[No Vendor]</v>
          </cell>
        </row>
        <row r="3020">
          <cell r="D3020">
            <v>561.36</v>
          </cell>
          <cell r="H3020">
            <v>45474</v>
          </cell>
          <cell r="I3020" t="str">
            <v>7140 - Amortization Exp - ROU Asset</v>
          </cell>
          <cell r="J3020">
            <v>0</v>
          </cell>
          <cell r="K3020" t="str">
            <v>Administration</v>
          </cell>
          <cell r="L3020" t="str">
            <v>Rent</v>
          </cell>
          <cell r="N3020" t="str">
            <v>SG&amp;A</v>
          </cell>
          <cell r="O3020" t="str">
            <v>[No Vendor]</v>
          </cell>
        </row>
        <row r="3021">
          <cell r="D3021">
            <v>23940.66</v>
          </cell>
          <cell r="H3021">
            <v>45474</v>
          </cell>
          <cell r="I3021" t="str">
            <v>7140 - Amortization Exp - ROU Asset</v>
          </cell>
          <cell r="J3021">
            <v>0</v>
          </cell>
          <cell r="K3021" t="str">
            <v>Administration</v>
          </cell>
          <cell r="L3021" t="str">
            <v>Rent</v>
          </cell>
          <cell r="N3021" t="str">
            <v>SG&amp;A</v>
          </cell>
          <cell r="O3021" t="str">
            <v>[No Vendor]</v>
          </cell>
        </row>
        <row r="3022">
          <cell r="D3022">
            <v>23485.68</v>
          </cell>
          <cell r="H3022">
            <v>45474</v>
          </cell>
          <cell r="I3022" t="str">
            <v>4051 - Sales Revenue - Ecommerce (Intl)</v>
          </cell>
          <cell r="J3022" t="str">
            <v>Ecommerce (EU)</v>
          </cell>
          <cell r="K3022" t="str">
            <v>Ecommerce</v>
          </cell>
          <cell r="L3022" t="str">
            <v>Ecommerce (EU)</v>
          </cell>
          <cell r="N3022" t="str">
            <v>Revenue</v>
          </cell>
          <cell r="O3022" t="str">
            <v>[No Vendor]</v>
          </cell>
        </row>
        <row r="3023">
          <cell r="D3023">
            <v>-150041.04999999999</v>
          </cell>
          <cell r="H3023">
            <v>45474</v>
          </cell>
          <cell r="I3023" t="str">
            <v>4051 - Sales Revenue - Ecommerce (Intl)</v>
          </cell>
          <cell r="J3023" t="str">
            <v>Ecommerce (EU)</v>
          </cell>
          <cell r="K3023" t="str">
            <v>Ecommerce</v>
          </cell>
          <cell r="L3023" t="str">
            <v>Ecommerce (EU)</v>
          </cell>
          <cell r="N3023" t="str">
            <v>Revenue</v>
          </cell>
          <cell r="O3023" t="str">
            <v>[No Vendor]</v>
          </cell>
        </row>
        <row r="3024">
          <cell r="D3024">
            <v>4695.01</v>
          </cell>
          <cell r="H3024">
            <v>45474</v>
          </cell>
          <cell r="I3024" t="str">
            <v>6377 - Order Processing Expenses (New)</v>
          </cell>
          <cell r="J3024" t="str">
            <v>Ecommerce (EU)</v>
          </cell>
          <cell r="K3024" t="str">
            <v>Ecommerce</v>
          </cell>
          <cell r="L3024" t="str">
            <v>Order Processing</v>
          </cell>
          <cell r="N3024" t="str">
            <v>Direct Costs</v>
          </cell>
          <cell r="O3024" t="str">
            <v>[No Vendor]</v>
          </cell>
        </row>
        <row r="3025">
          <cell r="D3025">
            <v>170</v>
          </cell>
          <cell r="H3025">
            <v>45474</v>
          </cell>
          <cell r="I3025" t="str">
            <v>4065 - Sales Freight - Wholesale (US)</v>
          </cell>
          <cell r="J3025" t="str">
            <v>Wholesale</v>
          </cell>
          <cell r="K3025" t="str">
            <v>Wholesale</v>
          </cell>
          <cell r="L3025" t="str">
            <v>Freight - Revenue</v>
          </cell>
          <cell r="N3025" t="str">
            <v>Direct Costs</v>
          </cell>
          <cell r="O3025" t="str">
            <v>[No Vendor]</v>
          </cell>
        </row>
        <row r="3026">
          <cell r="D3026">
            <v>-1582.86</v>
          </cell>
          <cell r="H3026">
            <v>45474</v>
          </cell>
          <cell r="I3026" t="str">
            <v>4065 - Sales Freight - Wholesale (US)</v>
          </cell>
          <cell r="J3026" t="str">
            <v>Wholesale</v>
          </cell>
          <cell r="K3026" t="str">
            <v>Wholesale</v>
          </cell>
          <cell r="L3026" t="str">
            <v>Freight - Revenue</v>
          </cell>
          <cell r="N3026" t="str">
            <v>Direct Costs</v>
          </cell>
          <cell r="O3026" t="str">
            <v>[No Vendor]</v>
          </cell>
        </row>
        <row r="3027">
          <cell r="D3027">
            <v>-20646</v>
          </cell>
          <cell r="H3027">
            <v>45474</v>
          </cell>
          <cell r="I3027" t="str">
            <v>4064 - Sales Freight - Ecomm (US)</v>
          </cell>
          <cell r="J3027" t="str">
            <v>Ecommerce (US)</v>
          </cell>
          <cell r="K3027" t="str">
            <v>Ecommerce</v>
          </cell>
          <cell r="L3027" t="str">
            <v>Freight - Revenue</v>
          </cell>
          <cell r="N3027" t="str">
            <v>Direct Costs</v>
          </cell>
          <cell r="O3027" t="str">
            <v>[No Vendor]</v>
          </cell>
        </row>
        <row r="3028">
          <cell r="D3028">
            <v>-2727</v>
          </cell>
          <cell r="H3028">
            <v>45474</v>
          </cell>
          <cell r="I3028" t="str">
            <v>4064 - Sales Freight - Ecomm (US)</v>
          </cell>
          <cell r="J3028" t="str">
            <v>Ecommerce (US)</v>
          </cell>
          <cell r="K3028" t="str">
            <v>Ecommerce</v>
          </cell>
          <cell r="L3028" t="str">
            <v>Freight - Revenue</v>
          </cell>
          <cell r="N3028" t="str">
            <v>Direct Costs</v>
          </cell>
          <cell r="O3028" t="str">
            <v>[No Vendor]</v>
          </cell>
        </row>
        <row r="3029">
          <cell r="D3029">
            <v>4268.05</v>
          </cell>
          <cell r="H3029">
            <v>45474</v>
          </cell>
          <cell r="I3029" t="str">
            <v>4063 - Sales Discount - Wholesale (US)</v>
          </cell>
          <cell r="J3029" t="str">
            <v>Wholesale</v>
          </cell>
          <cell r="K3029" t="str">
            <v>Wholesale</v>
          </cell>
          <cell r="L3029" t="str">
            <v>Wholesale</v>
          </cell>
          <cell r="N3029" t="str">
            <v>Revenue</v>
          </cell>
          <cell r="O3029" t="str">
            <v>[No Vendor]</v>
          </cell>
        </row>
        <row r="3030">
          <cell r="D3030">
            <v>12038.92</v>
          </cell>
          <cell r="H3030">
            <v>45474</v>
          </cell>
          <cell r="I3030" t="str">
            <v>5900 - Interco Royalty Expense</v>
          </cell>
          <cell r="J3030">
            <v>0</v>
          </cell>
          <cell r="K3030" t="str">
            <v>Licensing</v>
          </cell>
          <cell r="L3030">
            <v>0</v>
          </cell>
          <cell r="N3030">
            <v>0</v>
          </cell>
          <cell r="O3030" t="str">
            <v>[No Vendor]</v>
          </cell>
        </row>
        <row r="3031">
          <cell r="D3031">
            <v>53000.4</v>
          </cell>
          <cell r="H3031">
            <v>45474</v>
          </cell>
          <cell r="I3031" t="str">
            <v>4062 - Sales Discount - Ecomm (US)</v>
          </cell>
          <cell r="J3031" t="str">
            <v>Ecommerce (US)</v>
          </cell>
          <cell r="K3031" t="str">
            <v>Ecommerce</v>
          </cell>
          <cell r="L3031" t="str">
            <v>Ecommerce (US)</v>
          </cell>
          <cell r="N3031" t="str">
            <v>Revenue</v>
          </cell>
          <cell r="O3031" t="str">
            <v>[No Vendor]</v>
          </cell>
        </row>
        <row r="3032">
          <cell r="D3032">
            <v>0</v>
          </cell>
          <cell r="H3032">
            <v>45474</v>
          </cell>
          <cell r="I3032" t="str">
            <v>4062 - Sales Discount - Ecomm (US)</v>
          </cell>
          <cell r="J3032" t="str">
            <v>Ecommerce (US)</v>
          </cell>
          <cell r="K3032" t="str">
            <v>Ecommerce</v>
          </cell>
          <cell r="L3032" t="str">
            <v>Ecommerce (US)</v>
          </cell>
          <cell r="N3032" t="str">
            <v>Revenue</v>
          </cell>
          <cell r="O3032" t="str">
            <v>[No Vendor]</v>
          </cell>
        </row>
        <row r="3033">
          <cell r="D3033">
            <v>1954.72</v>
          </cell>
          <cell r="H3033">
            <v>45474</v>
          </cell>
          <cell r="I3033" t="str">
            <v>7130 - License Agreements &amp; Other Intangibles</v>
          </cell>
          <cell r="J3033">
            <v>0</v>
          </cell>
          <cell r="K3033" t="str">
            <v>Administration</v>
          </cell>
          <cell r="L3033" t="str">
            <v>Depreciation &amp; Amortization</v>
          </cell>
          <cell r="N3033" t="str">
            <v>SG&amp;A</v>
          </cell>
          <cell r="O3033" t="str">
            <v>[No Vendor]</v>
          </cell>
        </row>
        <row r="3034">
          <cell r="D3034">
            <v>-12038.92</v>
          </cell>
          <cell r="H3034">
            <v>45474</v>
          </cell>
          <cell r="I3034" t="str">
            <v>4900 - Interco Royalty Revenue</v>
          </cell>
          <cell r="J3034">
            <v>0</v>
          </cell>
          <cell r="K3034" t="str">
            <v>Licensing</v>
          </cell>
          <cell r="L3034">
            <v>0</v>
          </cell>
          <cell r="N3034">
            <v>0</v>
          </cell>
          <cell r="O3034" t="str">
            <v>[No Vendor]</v>
          </cell>
        </row>
        <row r="3035">
          <cell r="D3035">
            <v>458.33</v>
          </cell>
          <cell r="H3035">
            <v>45474</v>
          </cell>
          <cell r="I3035" t="str">
            <v>6393 - Software</v>
          </cell>
          <cell r="J3035" t="str">
            <v>Wholesale</v>
          </cell>
          <cell r="K3035" t="str">
            <v>Wholesale</v>
          </cell>
          <cell r="L3035" t="str">
            <v>Professional Service</v>
          </cell>
          <cell r="N3035" t="str">
            <v>Direct Costs</v>
          </cell>
          <cell r="O3035" t="str">
            <v>Joor, Inc</v>
          </cell>
        </row>
        <row r="3036">
          <cell r="D3036">
            <v>2198.19</v>
          </cell>
          <cell r="H3036">
            <v>45474</v>
          </cell>
          <cell r="I3036" t="str">
            <v>6393 - Software</v>
          </cell>
          <cell r="J3036">
            <v>0</v>
          </cell>
          <cell r="K3036" t="str">
            <v>Administration</v>
          </cell>
          <cell r="L3036" t="str">
            <v>Professional Service</v>
          </cell>
          <cell r="N3036" t="str">
            <v>Direct Costs</v>
          </cell>
          <cell r="O3036" t="str">
            <v>Oracle Netsuite</v>
          </cell>
        </row>
        <row r="3037">
          <cell r="D3037">
            <v>1302.44</v>
          </cell>
          <cell r="H3037">
            <v>45474</v>
          </cell>
          <cell r="I3037" t="str">
            <v>6393 - Software</v>
          </cell>
          <cell r="J3037">
            <v>0</v>
          </cell>
          <cell r="K3037" t="str">
            <v>Administration</v>
          </cell>
          <cell r="L3037" t="str">
            <v>Professional Service</v>
          </cell>
          <cell r="N3037" t="str">
            <v>Direct Costs</v>
          </cell>
          <cell r="O3037" t="str">
            <v>Avalara, Inc</v>
          </cell>
        </row>
        <row r="3038">
          <cell r="D3038">
            <v>2268.23</v>
          </cell>
          <cell r="H3038">
            <v>45474</v>
          </cell>
          <cell r="I3038" t="str">
            <v>6393 - Software</v>
          </cell>
          <cell r="J3038">
            <v>0</v>
          </cell>
          <cell r="K3038" t="str">
            <v>Brand Marketing</v>
          </cell>
          <cell r="L3038" t="str">
            <v>Professional Service</v>
          </cell>
          <cell r="N3038" t="str">
            <v>Direct Costs</v>
          </cell>
          <cell r="O3038" t="str">
            <v>Fohr</v>
          </cell>
        </row>
        <row r="3039">
          <cell r="D3039">
            <v>13.65</v>
          </cell>
          <cell r="H3039">
            <v>45474</v>
          </cell>
          <cell r="I3039" t="str">
            <v>6393 - Software</v>
          </cell>
          <cell r="J3039">
            <v>0</v>
          </cell>
          <cell r="K3039" t="str">
            <v>Administration</v>
          </cell>
          <cell r="L3039" t="str">
            <v>Professional Service</v>
          </cell>
          <cell r="N3039" t="str">
            <v>Direct Costs</v>
          </cell>
          <cell r="O3039" t="str">
            <v>[No Vendor]</v>
          </cell>
        </row>
        <row r="3040">
          <cell r="D3040">
            <v>664.18</v>
          </cell>
          <cell r="H3040">
            <v>45474</v>
          </cell>
          <cell r="I3040" t="str">
            <v>6393 - Software</v>
          </cell>
          <cell r="J3040">
            <v>0</v>
          </cell>
          <cell r="K3040" t="str">
            <v>Administration</v>
          </cell>
          <cell r="L3040" t="str">
            <v>Professional Service</v>
          </cell>
          <cell r="N3040" t="str">
            <v>Direct Costs</v>
          </cell>
          <cell r="O3040" t="str">
            <v>[No Vendor]</v>
          </cell>
        </row>
        <row r="3041">
          <cell r="D3041">
            <v>9.99</v>
          </cell>
          <cell r="H3041">
            <v>45474</v>
          </cell>
          <cell r="I3041" t="str">
            <v>6393 - Software</v>
          </cell>
          <cell r="J3041">
            <v>0</v>
          </cell>
          <cell r="K3041" t="str">
            <v>Administration</v>
          </cell>
          <cell r="L3041" t="str">
            <v>Professional Service</v>
          </cell>
          <cell r="N3041" t="str">
            <v>Direct Costs</v>
          </cell>
          <cell r="O3041" t="str">
            <v>Drop Box</v>
          </cell>
        </row>
        <row r="3042">
          <cell r="D3042">
            <v>-24934.87</v>
          </cell>
          <cell r="H3042">
            <v>45474</v>
          </cell>
          <cell r="I3042" t="str">
            <v>6286 - SEM</v>
          </cell>
          <cell r="J3042" t="str">
            <v>Ecommerce (US)</v>
          </cell>
          <cell r="K3042" t="str">
            <v>Ecommerce</v>
          </cell>
          <cell r="L3042" t="str">
            <v>Marketing</v>
          </cell>
          <cell r="N3042" t="str">
            <v>Direct Costs</v>
          </cell>
          <cell r="O3042" t="str">
            <v>[No Vendor]</v>
          </cell>
        </row>
        <row r="3043">
          <cell r="D3043">
            <v>24934.87</v>
          </cell>
          <cell r="H3043">
            <v>45474</v>
          </cell>
          <cell r="I3043" t="str">
            <v>6286 - SEM</v>
          </cell>
          <cell r="J3043" t="str">
            <v>Ecommerce (EU)</v>
          </cell>
          <cell r="K3043" t="str">
            <v>Ecommerce</v>
          </cell>
          <cell r="L3043" t="str">
            <v>Marketing</v>
          </cell>
          <cell r="N3043" t="str">
            <v>Direct Costs</v>
          </cell>
          <cell r="O3043" t="str">
            <v>[No Vendor]</v>
          </cell>
        </row>
        <row r="3044">
          <cell r="D3044">
            <v>36250</v>
          </cell>
          <cell r="H3044">
            <v>45474</v>
          </cell>
          <cell r="I3044" t="str">
            <v>6240 - Product Photography</v>
          </cell>
          <cell r="J3044">
            <v>0</v>
          </cell>
          <cell r="K3044" t="str">
            <v>Brand Marketing</v>
          </cell>
          <cell r="L3044" t="str">
            <v>Advertising</v>
          </cell>
          <cell r="N3044" t="str">
            <v>SG&amp;A</v>
          </cell>
          <cell r="O3044" t="str">
            <v>[No Vendor]</v>
          </cell>
        </row>
        <row r="3045">
          <cell r="D3045">
            <v>14642.76</v>
          </cell>
          <cell r="H3045">
            <v>45474</v>
          </cell>
          <cell r="I3045" t="str">
            <v>6289 - Seeding / Product Placement</v>
          </cell>
          <cell r="J3045">
            <v>0</v>
          </cell>
          <cell r="K3045" t="str">
            <v>Brand Marketing</v>
          </cell>
          <cell r="L3045" t="str">
            <v>Advertising</v>
          </cell>
          <cell r="N3045" t="str">
            <v>SG&amp;A</v>
          </cell>
          <cell r="O3045" t="str">
            <v>[No Vendor]</v>
          </cell>
        </row>
        <row r="3046">
          <cell r="D3046">
            <v>0</v>
          </cell>
          <cell r="H3046">
            <v>45474</v>
          </cell>
          <cell r="I3046" t="str">
            <v>6205 - Contractors</v>
          </cell>
          <cell r="J3046">
            <v>0</v>
          </cell>
          <cell r="K3046" t="str">
            <v>Design</v>
          </cell>
          <cell r="L3046" t="str">
            <v>HQ Salaries</v>
          </cell>
          <cell r="N3046" t="str">
            <v>SG&amp;A</v>
          </cell>
          <cell r="O3046" t="str">
            <v>[No Vendor]</v>
          </cell>
        </row>
        <row r="3047">
          <cell r="D3047">
            <v>0</v>
          </cell>
          <cell r="H3047">
            <v>45474</v>
          </cell>
          <cell r="I3047" t="str">
            <v>6205 - Contractors</v>
          </cell>
          <cell r="J3047">
            <v>0</v>
          </cell>
          <cell r="K3047" t="str">
            <v>Brand Marketing</v>
          </cell>
          <cell r="L3047" t="str">
            <v>HQ Salaries</v>
          </cell>
          <cell r="N3047" t="str">
            <v>SG&amp;A</v>
          </cell>
          <cell r="O3047" t="str">
            <v>[No Vendor]</v>
          </cell>
        </row>
        <row r="3048">
          <cell r="D3048">
            <v>11521.42</v>
          </cell>
          <cell r="H3048">
            <v>45474</v>
          </cell>
          <cell r="I3048" t="str">
            <v>6205 - Contractors</v>
          </cell>
          <cell r="J3048" t="str">
            <v>Ecommerce (US)</v>
          </cell>
          <cell r="K3048" t="str">
            <v>Ecommerce</v>
          </cell>
          <cell r="L3048" t="str">
            <v>HQ Salaries</v>
          </cell>
          <cell r="N3048" t="str">
            <v>SG&amp;A</v>
          </cell>
          <cell r="O3048" t="str">
            <v>[No Vendor]</v>
          </cell>
        </row>
        <row r="3049">
          <cell r="D3049">
            <v>1500</v>
          </cell>
          <cell r="H3049">
            <v>45474</v>
          </cell>
          <cell r="I3049" t="str">
            <v>6205 - Contractors</v>
          </cell>
          <cell r="J3049">
            <v>0</v>
          </cell>
          <cell r="K3049" t="str">
            <v>Production</v>
          </cell>
          <cell r="L3049" t="str">
            <v>HQ Salaries</v>
          </cell>
          <cell r="N3049" t="str">
            <v>SG&amp;A</v>
          </cell>
          <cell r="O3049" t="str">
            <v>Philip Yau</v>
          </cell>
        </row>
        <row r="3050">
          <cell r="D3050">
            <v>551.02</v>
          </cell>
          <cell r="H3050">
            <v>45474</v>
          </cell>
          <cell r="I3050" t="str">
            <v>6370 - Samples</v>
          </cell>
          <cell r="J3050">
            <v>0</v>
          </cell>
          <cell r="K3050" t="str">
            <v>Production</v>
          </cell>
          <cell r="L3050" t="str">
            <v>Sample</v>
          </cell>
          <cell r="N3050" t="str">
            <v>SG&amp;A</v>
          </cell>
          <cell r="O3050" t="str">
            <v>[No Vendor]</v>
          </cell>
        </row>
        <row r="3051">
          <cell r="D3051">
            <v>4261.28</v>
          </cell>
          <cell r="H3051">
            <v>45474</v>
          </cell>
          <cell r="I3051" t="str">
            <v>6020 - Bonus</v>
          </cell>
          <cell r="J3051">
            <v>0</v>
          </cell>
          <cell r="K3051" t="str">
            <v>Executive</v>
          </cell>
          <cell r="L3051" t="str">
            <v>HQ Salaries</v>
          </cell>
          <cell r="N3051" t="str">
            <v>SG&amp;A</v>
          </cell>
          <cell r="O3051" t="str">
            <v>[No Vendor]</v>
          </cell>
        </row>
        <row r="3052">
          <cell r="D3052">
            <v>3843.71</v>
          </cell>
          <cell r="H3052">
            <v>45474</v>
          </cell>
          <cell r="I3052" t="str">
            <v>6020 - Bonus</v>
          </cell>
          <cell r="J3052" t="str">
            <v>Wholesale</v>
          </cell>
          <cell r="K3052" t="str">
            <v>Wholesale</v>
          </cell>
          <cell r="L3052" t="str">
            <v>HQ Salaries</v>
          </cell>
          <cell r="N3052" t="str">
            <v>SG&amp;A</v>
          </cell>
          <cell r="O3052" t="str">
            <v>[No Vendor]</v>
          </cell>
        </row>
        <row r="3053">
          <cell r="D3053">
            <v>6338.75</v>
          </cell>
          <cell r="H3053">
            <v>45474</v>
          </cell>
          <cell r="I3053" t="str">
            <v>6020 - Bonus</v>
          </cell>
          <cell r="J3053">
            <v>0</v>
          </cell>
          <cell r="K3053" t="str">
            <v>Production</v>
          </cell>
          <cell r="L3053" t="str">
            <v>HQ Salaries</v>
          </cell>
          <cell r="N3053" t="str">
            <v>SG&amp;A</v>
          </cell>
          <cell r="O3053" t="str">
            <v>[No Vendor]</v>
          </cell>
        </row>
        <row r="3054">
          <cell r="D3054">
            <v>1406.25</v>
          </cell>
          <cell r="H3054">
            <v>45474</v>
          </cell>
          <cell r="I3054" t="str">
            <v>6020 - Bonus</v>
          </cell>
          <cell r="J3054">
            <v>0</v>
          </cell>
          <cell r="K3054" t="str">
            <v>Brand Marketing</v>
          </cell>
          <cell r="L3054" t="str">
            <v>HQ Salaries</v>
          </cell>
          <cell r="N3054" t="str">
            <v>SG&amp;A</v>
          </cell>
          <cell r="O3054" t="str">
            <v>[No Vendor]</v>
          </cell>
        </row>
        <row r="3055">
          <cell r="D3055">
            <v>8393.9500000000007</v>
          </cell>
          <cell r="H3055">
            <v>45474</v>
          </cell>
          <cell r="I3055" t="str">
            <v>6020 - Bonus</v>
          </cell>
          <cell r="J3055" t="str">
            <v>Ecommerce (US)</v>
          </cell>
          <cell r="K3055" t="str">
            <v>Ecommerce</v>
          </cell>
          <cell r="L3055" t="str">
            <v>HQ Salaries</v>
          </cell>
          <cell r="N3055" t="str">
            <v>SG&amp;A</v>
          </cell>
          <cell r="O3055" t="str">
            <v>[No Vendor]</v>
          </cell>
        </row>
        <row r="3056">
          <cell r="D3056">
            <v>5832.66</v>
          </cell>
          <cell r="H3056">
            <v>45474</v>
          </cell>
          <cell r="I3056" t="str">
            <v>6020 - Bonus</v>
          </cell>
          <cell r="J3056">
            <v>0</v>
          </cell>
          <cell r="K3056" t="str">
            <v>Design</v>
          </cell>
          <cell r="L3056" t="str">
            <v>HQ Salaries</v>
          </cell>
          <cell r="N3056" t="str">
            <v>SG&amp;A</v>
          </cell>
          <cell r="O3056" t="str">
            <v>[No Vendor]</v>
          </cell>
        </row>
        <row r="3057">
          <cell r="D3057">
            <v>1256.29</v>
          </cell>
          <cell r="H3057">
            <v>45474</v>
          </cell>
          <cell r="I3057" t="str">
            <v>6020 - Bonus</v>
          </cell>
          <cell r="J3057">
            <v>0</v>
          </cell>
          <cell r="K3057" t="str">
            <v>Merchandising</v>
          </cell>
          <cell r="L3057" t="str">
            <v>HQ Salaries</v>
          </cell>
          <cell r="N3057" t="str">
            <v>SG&amp;A</v>
          </cell>
          <cell r="O3057" t="str">
            <v>[No Vendor]</v>
          </cell>
        </row>
        <row r="3058">
          <cell r="D3058">
            <v>7604.61</v>
          </cell>
          <cell r="H3058">
            <v>45474</v>
          </cell>
          <cell r="I3058" t="str">
            <v>6020 - Bonus</v>
          </cell>
          <cell r="J3058">
            <v>0</v>
          </cell>
          <cell r="K3058" t="str">
            <v>Administration</v>
          </cell>
          <cell r="L3058" t="str">
            <v>HQ Salaries</v>
          </cell>
          <cell r="N3058" t="str">
            <v>SG&amp;A</v>
          </cell>
          <cell r="O3058" t="str">
            <v>[No Vendor]</v>
          </cell>
        </row>
        <row r="3059">
          <cell r="D3059">
            <v>1031.8900000000001</v>
          </cell>
          <cell r="H3059">
            <v>45474</v>
          </cell>
          <cell r="I3059" t="str">
            <v>6450 - Bank &amp; Other Fees</v>
          </cell>
          <cell r="J3059" t="str">
            <v>Ecommerce (US)</v>
          </cell>
          <cell r="K3059" t="str">
            <v>Ecommerce</v>
          </cell>
          <cell r="L3059" t="str">
            <v>Professional Service</v>
          </cell>
          <cell r="N3059" t="str">
            <v>Direct Costs</v>
          </cell>
          <cell r="O3059" t="str">
            <v>[No Vendor]</v>
          </cell>
        </row>
        <row r="3060">
          <cell r="D3060">
            <v>-4695.01</v>
          </cell>
          <cell r="H3060">
            <v>45474</v>
          </cell>
          <cell r="I3060" t="str">
            <v>6450 - Bank &amp; Other Fees</v>
          </cell>
          <cell r="J3060" t="str">
            <v>Ecommerce (EU)</v>
          </cell>
          <cell r="K3060" t="str">
            <v>Ecommerce</v>
          </cell>
          <cell r="L3060" t="str">
            <v>Professional Service</v>
          </cell>
          <cell r="N3060" t="str">
            <v>Direct Costs</v>
          </cell>
          <cell r="O3060" t="str">
            <v>[No Vendor]</v>
          </cell>
        </row>
        <row r="3061">
          <cell r="D3061">
            <v>4702.84</v>
          </cell>
          <cell r="H3061">
            <v>45474</v>
          </cell>
          <cell r="I3061" t="str">
            <v>6450 - Bank &amp; Other Fees</v>
          </cell>
          <cell r="J3061" t="str">
            <v>Ecommerce (US)</v>
          </cell>
          <cell r="K3061" t="str">
            <v>Ecommerce</v>
          </cell>
          <cell r="L3061" t="str">
            <v>Professional Service</v>
          </cell>
          <cell r="N3061" t="str">
            <v>Direct Costs</v>
          </cell>
          <cell r="O3061" t="str">
            <v>[No Vendor]</v>
          </cell>
        </row>
        <row r="3062">
          <cell r="D3062">
            <v>26096.880000000001</v>
          </cell>
          <cell r="H3062">
            <v>45474</v>
          </cell>
          <cell r="I3062" t="str">
            <v>6450 - Bank &amp; Other Fees</v>
          </cell>
          <cell r="J3062" t="str">
            <v>Ecommerce (US)</v>
          </cell>
          <cell r="K3062" t="str">
            <v>Ecommerce</v>
          </cell>
          <cell r="L3062" t="str">
            <v>Professional Service</v>
          </cell>
          <cell r="N3062" t="str">
            <v>Direct Costs</v>
          </cell>
          <cell r="O3062" t="str">
            <v>Shopify</v>
          </cell>
        </row>
        <row r="3063">
          <cell r="D3063">
            <v>28.5</v>
          </cell>
          <cell r="H3063">
            <v>45474</v>
          </cell>
          <cell r="I3063" t="str">
            <v>6430 - Dues &amp; Memberships</v>
          </cell>
          <cell r="J3063">
            <v>0</v>
          </cell>
          <cell r="K3063" t="str">
            <v>Brand Marketing</v>
          </cell>
          <cell r="L3063" t="str">
            <v>Professional Service</v>
          </cell>
          <cell r="N3063" t="str">
            <v>Direct Costs</v>
          </cell>
          <cell r="O3063" t="str">
            <v>[No Vendor]</v>
          </cell>
        </row>
        <row r="3064">
          <cell r="D3064">
            <v>12.42</v>
          </cell>
          <cell r="H3064">
            <v>45474</v>
          </cell>
          <cell r="I3064" t="str">
            <v>6430 - Dues &amp; Memberships</v>
          </cell>
          <cell r="J3064">
            <v>0</v>
          </cell>
          <cell r="K3064" t="str">
            <v>Brand Marketing</v>
          </cell>
          <cell r="L3064" t="str">
            <v>Professional Service</v>
          </cell>
          <cell r="N3064" t="str">
            <v>Direct Costs</v>
          </cell>
          <cell r="O3064" t="str">
            <v>[No Vendor]</v>
          </cell>
        </row>
        <row r="3065">
          <cell r="D3065">
            <v>-606</v>
          </cell>
          <cell r="H3065">
            <v>45474</v>
          </cell>
          <cell r="I3065" t="str">
            <v>6410 - Lease Expense</v>
          </cell>
          <cell r="J3065">
            <v>0</v>
          </cell>
          <cell r="K3065" t="str">
            <v>Administration</v>
          </cell>
          <cell r="L3065" t="str">
            <v>Rent</v>
          </cell>
          <cell r="N3065" t="str">
            <v>SG&amp;A</v>
          </cell>
          <cell r="O3065" t="str">
            <v>[No Vendor]</v>
          </cell>
        </row>
        <row r="3066">
          <cell r="D3066">
            <v>947.78</v>
          </cell>
          <cell r="H3066">
            <v>45474</v>
          </cell>
          <cell r="I3066" t="str">
            <v>6385 - Insurance</v>
          </cell>
          <cell r="J3066">
            <v>0</v>
          </cell>
          <cell r="K3066" t="str">
            <v>Administration</v>
          </cell>
          <cell r="L3066" t="str">
            <v>Professional Service</v>
          </cell>
          <cell r="N3066" t="str">
            <v>SG&amp;A</v>
          </cell>
          <cell r="O3066" t="str">
            <v>[No Vendor]</v>
          </cell>
        </row>
        <row r="3067">
          <cell r="D3067">
            <v>-16.329999999999998</v>
          </cell>
          <cell r="H3067">
            <v>45474</v>
          </cell>
          <cell r="I3067" t="str">
            <v>6385 - Insurance</v>
          </cell>
          <cell r="J3067">
            <v>0</v>
          </cell>
          <cell r="K3067" t="str">
            <v>Administration</v>
          </cell>
          <cell r="L3067" t="str">
            <v>Professional Service</v>
          </cell>
          <cell r="N3067" t="str">
            <v>SG&amp;A</v>
          </cell>
          <cell r="O3067" t="str">
            <v>[No Vendor]</v>
          </cell>
        </row>
        <row r="3068">
          <cell r="D3068">
            <v>-10.53</v>
          </cell>
          <cell r="H3068">
            <v>45474</v>
          </cell>
          <cell r="I3068" t="str">
            <v>6385 - Insurance</v>
          </cell>
          <cell r="J3068">
            <v>0</v>
          </cell>
          <cell r="K3068" t="str">
            <v>Administration</v>
          </cell>
          <cell r="L3068" t="str">
            <v>Professional Service</v>
          </cell>
          <cell r="N3068" t="str">
            <v>SG&amp;A</v>
          </cell>
          <cell r="O3068" t="str">
            <v>[No Vendor]</v>
          </cell>
        </row>
        <row r="3069">
          <cell r="D3069">
            <v>-38.58</v>
          </cell>
          <cell r="H3069">
            <v>45474</v>
          </cell>
          <cell r="I3069" t="str">
            <v>6385 - Insurance</v>
          </cell>
          <cell r="J3069">
            <v>0</v>
          </cell>
          <cell r="K3069" t="str">
            <v>Administration</v>
          </cell>
          <cell r="L3069" t="str">
            <v>Professional Service</v>
          </cell>
          <cell r="N3069" t="str">
            <v>SG&amp;A</v>
          </cell>
          <cell r="O3069" t="str">
            <v>[No Vendor]</v>
          </cell>
        </row>
        <row r="3070">
          <cell r="D3070">
            <v>-10.71</v>
          </cell>
          <cell r="H3070">
            <v>45474</v>
          </cell>
          <cell r="I3070" t="str">
            <v>6385 - Insurance</v>
          </cell>
          <cell r="J3070">
            <v>0</v>
          </cell>
          <cell r="K3070" t="str">
            <v>Administration</v>
          </cell>
          <cell r="L3070" t="str">
            <v>Professional Service</v>
          </cell>
          <cell r="N3070" t="str">
            <v>SG&amp;A</v>
          </cell>
          <cell r="O3070" t="str">
            <v>[No Vendor]</v>
          </cell>
        </row>
        <row r="3071">
          <cell r="D3071">
            <v>-34.24</v>
          </cell>
          <cell r="H3071">
            <v>45474</v>
          </cell>
          <cell r="I3071" t="str">
            <v>6385 - Insurance</v>
          </cell>
          <cell r="J3071">
            <v>0</v>
          </cell>
          <cell r="K3071" t="str">
            <v>Administration</v>
          </cell>
          <cell r="L3071" t="str">
            <v>Professional Service</v>
          </cell>
          <cell r="N3071" t="str">
            <v>SG&amp;A</v>
          </cell>
          <cell r="O3071" t="str">
            <v>[No Vendor]</v>
          </cell>
        </row>
        <row r="3072">
          <cell r="D3072">
            <v>-33.340000000000003</v>
          </cell>
          <cell r="H3072">
            <v>45474</v>
          </cell>
          <cell r="I3072" t="str">
            <v>6385 - Insurance</v>
          </cell>
          <cell r="J3072">
            <v>0</v>
          </cell>
          <cell r="K3072" t="str">
            <v>Administration</v>
          </cell>
          <cell r="L3072" t="str">
            <v>Professional Service</v>
          </cell>
          <cell r="N3072" t="str">
            <v>SG&amp;A</v>
          </cell>
          <cell r="O3072" t="str">
            <v>[No Vendor]</v>
          </cell>
        </row>
        <row r="3073">
          <cell r="D3073">
            <v>-47.58</v>
          </cell>
          <cell r="H3073">
            <v>45474</v>
          </cell>
          <cell r="I3073" t="str">
            <v>6385 - Insurance</v>
          </cell>
          <cell r="J3073">
            <v>0</v>
          </cell>
          <cell r="K3073" t="str">
            <v>Administration</v>
          </cell>
          <cell r="L3073" t="str">
            <v>Professional Service</v>
          </cell>
          <cell r="N3073" t="str">
            <v>SG&amp;A</v>
          </cell>
          <cell r="O3073" t="str">
            <v>[No Vendor]</v>
          </cell>
        </row>
        <row r="3074">
          <cell r="D3074">
            <v>-32.19</v>
          </cell>
          <cell r="H3074">
            <v>45474</v>
          </cell>
          <cell r="I3074" t="str">
            <v>6385 - Insurance</v>
          </cell>
          <cell r="J3074">
            <v>0</v>
          </cell>
          <cell r="K3074" t="str">
            <v>Administration</v>
          </cell>
          <cell r="L3074" t="str">
            <v>Professional Service</v>
          </cell>
          <cell r="N3074" t="str">
            <v>SG&amp;A</v>
          </cell>
          <cell r="O3074" t="str">
            <v>[No Vendor]</v>
          </cell>
        </row>
        <row r="3075">
          <cell r="D3075">
            <v>769.95</v>
          </cell>
          <cell r="H3075">
            <v>45474</v>
          </cell>
          <cell r="I3075" t="str">
            <v>6400 - Utilities</v>
          </cell>
          <cell r="J3075">
            <v>0</v>
          </cell>
          <cell r="K3075" t="str">
            <v>Administration</v>
          </cell>
          <cell r="L3075" t="str">
            <v>Other</v>
          </cell>
          <cell r="N3075" t="str">
            <v>SG&amp;A</v>
          </cell>
          <cell r="O3075" t="str">
            <v>[No Vendor]</v>
          </cell>
        </row>
        <row r="3076">
          <cell r="D3076">
            <v>17.45</v>
          </cell>
          <cell r="H3076">
            <v>45474</v>
          </cell>
          <cell r="I3076" t="str">
            <v>7060 - Information Technology &amp; Software</v>
          </cell>
          <cell r="J3076" t="str">
            <v>Wholesale</v>
          </cell>
          <cell r="K3076" t="str">
            <v>Wholesale</v>
          </cell>
          <cell r="L3076" t="str">
            <v>Depreciation &amp; Amortization</v>
          </cell>
          <cell r="N3076" t="str">
            <v>SG&amp;A</v>
          </cell>
          <cell r="O3076" t="str">
            <v>[No Vendor]</v>
          </cell>
        </row>
        <row r="3077">
          <cell r="D3077">
            <v>150.33000000000001</v>
          </cell>
          <cell r="H3077">
            <v>45474</v>
          </cell>
          <cell r="I3077" t="str">
            <v>7060 - Information Technology &amp; Software</v>
          </cell>
          <cell r="J3077" t="str">
            <v>Ecommerce (US)</v>
          </cell>
          <cell r="K3077" t="str">
            <v>Ecommerce</v>
          </cell>
          <cell r="L3077" t="str">
            <v>Depreciation &amp; Amortization</v>
          </cell>
          <cell r="N3077" t="str">
            <v>SG&amp;A</v>
          </cell>
          <cell r="O3077" t="str">
            <v>[No Vendor]</v>
          </cell>
        </row>
        <row r="3078">
          <cell r="D3078">
            <v>109.81</v>
          </cell>
          <cell r="H3078">
            <v>45474</v>
          </cell>
          <cell r="I3078" t="str">
            <v>7060 - Information Technology &amp; Software</v>
          </cell>
          <cell r="J3078">
            <v>0</v>
          </cell>
          <cell r="K3078" t="str">
            <v>Production</v>
          </cell>
          <cell r="L3078" t="str">
            <v>Depreciation &amp; Amortization</v>
          </cell>
          <cell r="N3078" t="str">
            <v>SG&amp;A</v>
          </cell>
          <cell r="O3078" t="str">
            <v>[No Vendor]</v>
          </cell>
        </row>
        <row r="3079">
          <cell r="D3079">
            <v>179.49</v>
          </cell>
          <cell r="H3079">
            <v>45474</v>
          </cell>
          <cell r="I3079" t="str">
            <v>7060 - Information Technology &amp; Software</v>
          </cell>
          <cell r="J3079">
            <v>0</v>
          </cell>
          <cell r="K3079" t="str">
            <v>Design</v>
          </cell>
          <cell r="L3079" t="str">
            <v>Depreciation &amp; Amortization</v>
          </cell>
          <cell r="N3079" t="str">
            <v>SG&amp;A</v>
          </cell>
          <cell r="O3079" t="str">
            <v>[No Vendor]</v>
          </cell>
        </row>
        <row r="3080">
          <cell r="D3080">
            <v>65.48</v>
          </cell>
          <cell r="H3080">
            <v>45474</v>
          </cell>
          <cell r="I3080" t="str">
            <v>7060 - Information Technology &amp; Software</v>
          </cell>
          <cell r="J3080">
            <v>0</v>
          </cell>
          <cell r="K3080" t="str">
            <v>Merchandising</v>
          </cell>
          <cell r="L3080" t="str">
            <v>Depreciation &amp; Amortization</v>
          </cell>
          <cell r="N3080" t="str">
            <v>SG&amp;A</v>
          </cell>
          <cell r="O3080" t="str">
            <v>[No Vendor]</v>
          </cell>
        </row>
        <row r="3081">
          <cell r="D3081">
            <v>166.9</v>
          </cell>
          <cell r="H3081">
            <v>45474</v>
          </cell>
          <cell r="I3081" t="str">
            <v>7060 - Information Technology &amp; Software</v>
          </cell>
          <cell r="J3081">
            <v>0</v>
          </cell>
          <cell r="K3081" t="str">
            <v>Brand Marketing</v>
          </cell>
          <cell r="L3081" t="str">
            <v>Depreciation &amp; Amortization</v>
          </cell>
          <cell r="N3081" t="str">
            <v>SG&amp;A</v>
          </cell>
          <cell r="O3081" t="str">
            <v>[No Vendor]</v>
          </cell>
        </row>
        <row r="3082">
          <cell r="D3082">
            <v>830.95</v>
          </cell>
          <cell r="H3082">
            <v>45474</v>
          </cell>
          <cell r="I3082" t="str">
            <v>7060 - Information Technology &amp; Software</v>
          </cell>
          <cell r="J3082">
            <v>0</v>
          </cell>
          <cell r="K3082" t="str">
            <v>Administration</v>
          </cell>
          <cell r="L3082" t="str">
            <v>Depreciation &amp; Amortization</v>
          </cell>
          <cell r="N3082" t="str">
            <v>SG&amp;A</v>
          </cell>
          <cell r="O3082" t="str">
            <v>[No Vendor]</v>
          </cell>
        </row>
        <row r="3083">
          <cell r="D3083">
            <v>238.77</v>
          </cell>
          <cell r="H3083">
            <v>45474</v>
          </cell>
          <cell r="I3083" t="str">
            <v>7040 - Furniture &amp; Fixtures</v>
          </cell>
          <cell r="J3083" t="str">
            <v>Wholesale</v>
          </cell>
          <cell r="K3083" t="str">
            <v>Wholesale</v>
          </cell>
          <cell r="L3083" t="str">
            <v>Depreciation &amp; Amortization</v>
          </cell>
          <cell r="N3083" t="str">
            <v>SG&amp;A</v>
          </cell>
          <cell r="O3083" t="str">
            <v>[No Vendor]</v>
          </cell>
        </row>
        <row r="3084">
          <cell r="D3084">
            <v>0</v>
          </cell>
          <cell r="H3084">
            <v>45474</v>
          </cell>
          <cell r="I3084" t="str">
            <v>7040 - Furniture &amp; Fixtures</v>
          </cell>
          <cell r="J3084">
            <v>0</v>
          </cell>
          <cell r="K3084" t="str">
            <v>Brand Marketing</v>
          </cell>
          <cell r="L3084" t="str">
            <v>Depreciation &amp; Amortization</v>
          </cell>
          <cell r="N3084" t="str">
            <v>SG&amp;A</v>
          </cell>
          <cell r="O3084" t="str">
            <v>[No Vendor]</v>
          </cell>
        </row>
        <row r="3085">
          <cell r="D3085">
            <v>269.64999999999998</v>
          </cell>
          <cell r="H3085">
            <v>45474</v>
          </cell>
          <cell r="I3085" t="str">
            <v>7040 - Furniture &amp; Fixtures</v>
          </cell>
          <cell r="J3085">
            <v>0</v>
          </cell>
          <cell r="K3085" t="str">
            <v>Administration</v>
          </cell>
          <cell r="L3085" t="str">
            <v>Depreciation &amp; Amortization</v>
          </cell>
          <cell r="N3085" t="str">
            <v>SG&amp;A</v>
          </cell>
          <cell r="O3085" t="str">
            <v>[No Vendor]</v>
          </cell>
        </row>
        <row r="3086">
          <cell r="D3086">
            <v>463.51</v>
          </cell>
          <cell r="H3086">
            <v>45474</v>
          </cell>
          <cell r="I3086" t="str">
            <v>6055 - Employer Social Security Tax Withheld</v>
          </cell>
          <cell r="J3086">
            <v>0</v>
          </cell>
          <cell r="K3086" t="str">
            <v>Merchandising</v>
          </cell>
          <cell r="L3086" t="str">
            <v>HQ Salaries</v>
          </cell>
          <cell r="N3086" t="str">
            <v>SG&amp;A</v>
          </cell>
          <cell r="O3086" t="str">
            <v>[No Vendor]</v>
          </cell>
        </row>
        <row r="3087">
          <cell r="D3087">
            <v>889.06</v>
          </cell>
          <cell r="H3087">
            <v>45474</v>
          </cell>
          <cell r="I3087" t="str">
            <v>6055 - Employer Social Security Tax Withheld</v>
          </cell>
          <cell r="J3087" t="str">
            <v>Wholesale</v>
          </cell>
          <cell r="K3087" t="str">
            <v>Wholesale</v>
          </cell>
          <cell r="L3087" t="str">
            <v>HQ Salaries</v>
          </cell>
          <cell r="N3087" t="str">
            <v>SG&amp;A</v>
          </cell>
          <cell r="O3087" t="str">
            <v>[No Vendor]</v>
          </cell>
        </row>
        <row r="3088">
          <cell r="D3088">
            <v>1780.4</v>
          </cell>
          <cell r="H3088">
            <v>45474</v>
          </cell>
          <cell r="I3088" t="str">
            <v>6055 - Employer Social Security Tax Withheld</v>
          </cell>
          <cell r="J3088">
            <v>0</v>
          </cell>
          <cell r="K3088" t="str">
            <v>Production</v>
          </cell>
          <cell r="L3088" t="str">
            <v>HQ Salaries</v>
          </cell>
          <cell r="N3088" t="str">
            <v>SG&amp;A</v>
          </cell>
          <cell r="O3088" t="str">
            <v>[No Vendor]</v>
          </cell>
        </row>
        <row r="3089">
          <cell r="D3089">
            <v>292.74</v>
          </cell>
          <cell r="H3089">
            <v>45474</v>
          </cell>
          <cell r="I3089" t="str">
            <v>6055 - Employer Social Security Tax Withheld</v>
          </cell>
          <cell r="J3089">
            <v>0</v>
          </cell>
          <cell r="K3089" t="str">
            <v>Brand Marketing</v>
          </cell>
          <cell r="L3089" t="str">
            <v>HQ Salaries</v>
          </cell>
          <cell r="N3089" t="str">
            <v>SG&amp;A</v>
          </cell>
          <cell r="O3089" t="str">
            <v>[No Vendor]</v>
          </cell>
        </row>
        <row r="3090">
          <cell r="D3090">
            <v>1106.04</v>
          </cell>
          <cell r="H3090">
            <v>45474</v>
          </cell>
          <cell r="I3090" t="str">
            <v>6055 - Employer Social Security Tax Withheld</v>
          </cell>
          <cell r="J3090">
            <v>0</v>
          </cell>
          <cell r="K3090" t="str">
            <v>Executive</v>
          </cell>
          <cell r="L3090" t="str">
            <v>HQ Salaries</v>
          </cell>
          <cell r="N3090" t="str">
            <v>SG&amp;A</v>
          </cell>
          <cell r="O3090" t="str">
            <v>[No Vendor]</v>
          </cell>
        </row>
        <row r="3091">
          <cell r="D3091">
            <v>1288.06</v>
          </cell>
          <cell r="H3091">
            <v>45474</v>
          </cell>
          <cell r="I3091" t="str">
            <v>6055 - Employer Social Security Tax Withheld</v>
          </cell>
          <cell r="J3091" t="str">
            <v>Ecommerce (US)</v>
          </cell>
          <cell r="K3091" t="str">
            <v>Ecommerce</v>
          </cell>
          <cell r="L3091" t="str">
            <v>HQ Salaries</v>
          </cell>
          <cell r="N3091" t="str">
            <v>SG&amp;A</v>
          </cell>
          <cell r="O3091" t="str">
            <v>[No Vendor]</v>
          </cell>
        </row>
        <row r="3092">
          <cell r="D3092">
            <v>1770.13</v>
          </cell>
          <cell r="H3092">
            <v>45474</v>
          </cell>
          <cell r="I3092" t="str">
            <v>6055 - Employer Social Security Tax Withheld</v>
          </cell>
          <cell r="J3092">
            <v>0</v>
          </cell>
          <cell r="K3092" t="str">
            <v>Design</v>
          </cell>
          <cell r="L3092" t="str">
            <v>HQ Salaries</v>
          </cell>
          <cell r="N3092" t="str">
            <v>SG&amp;A</v>
          </cell>
          <cell r="O3092" t="str">
            <v>[No Vendor]</v>
          </cell>
        </row>
        <row r="3093">
          <cell r="D3093">
            <v>1604.04</v>
          </cell>
          <cell r="H3093">
            <v>45474</v>
          </cell>
          <cell r="I3093" t="str">
            <v>6055 - Employer Social Security Tax Withheld</v>
          </cell>
          <cell r="J3093">
            <v>0</v>
          </cell>
          <cell r="K3093" t="str">
            <v>Administration</v>
          </cell>
          <cell r="L3093" t="str">
            <v>HQ Salaries</v>
          </cell>
          <cell r="N3093" t="str">
            <v>SG&amp;A</v>
          </cell>
          <cell r="O3093" t="str">
            <v>[No Vendor]</v>
          </cell>
        </row>
        <row r="3094">
          <cell r="D3094">
            <v>28965.89</v>
          </cell>
          <cell r="H3094">
            <v>45474</v>
          </cell>
          <cell r="I3094" t="str">
            <v>5000 - Cost of Goods Sold</v>
          </cell>
          <cell r="J3094" t="str">
            <v>Ecommerce (EU)</v>
          </cell>
          <cell r="K3094" t="str">
            <v>Ecommerce</v>
          </cell>
          <cell r="L3094" t="str">
            <v>COGS</v>
          </cell>
          <cell r="N3094" t="str">
            <v>COGS</v>
          </cell>
          <cell r="O3094" t="str">
            <v>[No Vendor]</v>
          </cell>
        </row>
        <row r="3095">
          <cell r="D3095">
            <v>45238.54</v>
          </cell>
          <cell r="H3095">
            <v>45474</v>
          </cell>
          <cell r="I3095" t="str">
            <v>5000 - Cost of Goods Sold</v>
          </cell>
          <cell r="J3095" t="str">
            <v>Wholesale</v>
          </cell>
          <cell r="K3095" t="str">
            <v>Wholesale</v>
          </cell>
          <cell r="L3095" t="str">
            <v>COGS</v>
          </cell>
          <cell r="N3095" t="str">
            <v>COGS</v>
          </cell>
          <cell r="O3095" t="str">
            <v>[No Vendor]</v>
          </cell>
        </row>
        <row r="3096">
          <cell r="D3096">
            <v>14696.42</v>
          </cell>
          <cell r="H3096">
            <v>45474</v>
          </cell>
          <cell r="I3096" t="str">
            <v>5000 - Cost of Goods Sold</v>
          </cell>
          <cell r="J3096" t="str">
            <v>Ecommerce (US)</v>
          </cell>
          <cell r="K3096" t="str">
            <v>Ecommerce</v>
          </cell>
          <cell r="L3096" t="str">
            <v>COGS</v>
          </cell>
          <cell r="N3096" t="str">
            <v>COGS</v>
          </cell>
          <cell r="O3096" t="str">
            <v>[No Vendor]</v>
          </cell>
        </row>
        <row r="3097">
          <cell r="D3097">
            <v>258066.93</v>
          </cell>
          <cell r="H3097">
            <v>45474</v>
          </cell>
          <cell r="I3097" t="str">
            <v>5000 - Cost of Goods Sold</v>
          </cell>
          <cell r="J3097" t="str">
            <v>Ecommerce (US)</v>
          </cell>
          <cell r="K3097" t="str">
            <v>Ecommerce</v>
          </cell>
          <cell r="L3097" t="str">
            <v>COGS</v>
          </cell>
          <cell r="N3097" t="str">
            <v>COGS</v>
          </cell>
          <cell r="O3097" t="str">
            <v>[No Vendor]</v>
          </cell>
        </row>
        <row r="3098">
          <cell r="D3098">
            <v>-146.78</v>
          </cell>
          <cell r="H3098">
            <v>45474</v>
          </cell>
          <cell r="I3098" t="str">
            <v>8000 - Interest Income</v>
          </cell>
          <cell r="J3098">
            <v>0</v>
          </cell>
          <cell r="K3098" t="str">
            <v>Administration</v>
          </cell>
          <cell r="L3098" t="str">
            <v>Other Income (BTL)</v>
          </cell>
          <cell r="N3098" t="str">
            <v>BTL</v>
          </cell>
          <cell r="O3098" t="str">
            <v>[No Vendor]</v>
          </cell>
        </row>
        <row r="3099">
          <cell r="D3099">
            <v>15236.71</v>
          </cell>
          <cell r="H3099">
            <v>45474</v>
          </cell>
          <cell r="I3099" t="str">
            <v>6487 - Interest Expense</v>
          </cell>
          <cell r="J3099">
            <v>0</v>
          </cell>
          <cell r="K3099" t="str">
            <v>Administration</v>
          </cell>
          <cell r="L3099" t="str">
            <v>Interest</v>
          </cell>
          <cell r="N3099" t="str">
            <v>BTL</v>
          </cell>
          <cell r="O3099" t="str">
            <v>[No Vendor]</v>
          </cell>
        </row>
        <row r="3100">
          <cell r="D3100">
            <v>5860.27</v>
          </cell>
          <cell r="H3100">
            <v>45474</v>
          </cell>
          <cell r="I3100" t="str">
            <v>6487 - Interest Expense</v>
          </cell>
          <cell r="J3100">
            <v>0</v>
          </cell>
          <cell r="K3100" t="str">
            <v>Administration</v>
          </cell>
          <cell r="L3100" t="str">
            <v>Interest</v>
          </cell>
          <cell r="N3100" t="str">
            <v>BTL</v>
          </cell>
          <cell r="O3100" t="str">
            <v>[No Vendor]</v>
          </cell>
        </row>
        <row r="3101">
          <cell r="D3101">
            <v>4297.53</v>
          </cell>
          <cell r="H3101">
            <v>45474</v>
          </cell>
          <cell r="I3101" t="str">
            <v>6487 - Interest Expense</v>
          </cell>
          <cell r="J3101">
            <v>0</v>
          </cell>
          <cell r="K3101" t="str">
            <v>Administration</v>
          </cell>
          <cell r="L3101" t="str">
            <v>Interest</v>
          </cell>
          <cell r="N3101" t="str">
            <v>BTL</v>
          </cell>
          <cell r="O3101" t="str">
            <v>[No Vendor]</v>
          </cell>
        </row>
        <row r="3102">
          <cell r="D3102">
            <v>1008.22</v>
          </cell>
          <cell r="H3102">
            <v>45474</v>
          </cell>
          <cell r="I3102" t="str">
            <v>6487 - Interest Expense</v>
          </cell>
          <cell r="J3102">
            <v>0</v>
          </cell>
          <cell r="K3102" t="str">
            <v>Administration</v>
          </cell>
          <cell r="L3102" t="str">
            <v>Interest</v>
          </cell>
          <cell r="N3102" t="str">
            <v>BTL</v>
          </cell>
          <cell r="O3102" t="str">
            <v>[No Vendor]</v>
          </cell>
        </row>
        <row r="3103">
          <cell r="D3103">
            <v>44.64</v>
          </cell>
          <cell r="H3103">
            <v>45474</v>
          </cell>
          <cell r="I3103" t="str">
            <v>6487 - Interest Expense</v>
          </cell>
          <cell r="J3103">
            <v>0</v>
          </cell>
          <cell r="K3103" t="str">
            <v>Administration</v>
          </cell>
          <cell r="L3103" t="str">
            <v>Interest</v>
          </cell>
          <cell r="N3103" t="str">
            <v>BTL</v>
          </cell>
          <cell r="O3103" t="str">
            <v>[No Vendor]</v>
          </cell>
        </row>
        <row r="3104">
          <cell r="D3104">
            <v>9245.8799999999992</v>
          </cell>
          <cell r="H3104">
            <v>45474</v>
          </cell>
          <cell r="I3104" t="str">
            <v>6487 - Interest Expense</v>
          </cell>
          <cell r="J3104">
            <v>0</v>
          </cell>
          <cell r="K3104" t="str">
            <v>Administration</v>
          </cell>
          <cell r="L3104" t="str">
            <v>Interest</v>
          </cell>
          <cell r="N3104" t="str">
            <v>BTL</v>
          </cell>
          <cell r="O3104" t="str">
            <v>[No Vendor]</v>
          </cell>
        </row>
        <row r="3105">
          <cell r="D3105">
            <v>2721.88</v>
          </cell>
          <cell r="H3105">
            <v>45474</v>
          </cell>
          <cell r="I3105" t="str">
            <v>6420 - Licenses &amp; Membership</v>
          </cell>
          <cell r="J3105">
            <v>0</v>
          </cell>
          <cell r="K3105" t="str">
            <v>Administration</v>
          </cell>
          <cell r="L3105" t="str">
            <v>Professional Service</v>
          </cell>
          <cell r="N3105" t="str">
            <v>Direct Costs</v>
          </cell>
          <cell r="O3105" t="str">
            <v>Apparel Magic</v>
          </cell>
        </row>
        <row r="3106">
          <cell r="D3106">
            <v>175</v>
          </cell>
          <cell r="H3106">
            <v>45474</v>
          </cell>
          <cell r="I3106" t="str">
            <v>6420 - Licenses &amp; Membership</v>
          </cell>
          <cell r="J3106">
            <v>0</v>
          </cell>
          <cell r="K3106" t="str">
            <v>Production</v>
          </cell>
          <cell r="L3106" t="str">
            <v>Professional Service</v>
          </cell>
          <cell r="N3106" t="str">
            <v>SG&amp;A</v>
          </cell>
          <cell r="O3106" t="str">
            <v>[No Vendor]</v>
          </cell>
        </row>
        <row r="3107">
          <cell r="D3107">
            <v>175</v>
          </cell>
          <cell r="H3107">
            <v>45474</v>
          </cell>
          <cell r="I3107" t="str">
            <v>6420 - Licenses &amp; Membership</v>
          </cell>
          <cell r="J3107">
            <v>0</v>
          </cell>
          <cell r="K3107" t="str">
            <v>Production</v>
          </cell>
          <cell r="L3107" t="str">
            <v>Professional Service</v>
          </cell>
          <cell r="N3107" t="str">
            <v>SG&amp;A</v>
          </cell>
          <cell r="O3107" t="str">
            <v>[No Vendor]</v>
          </cell>
        </row>
        <row r="3108">
          <cell r="D3108">
            <v>-29236.67</v>
          </cell>
          <cell r="H3108">
            <v>45474</v>
          </cell>
          <cell r="I3108" t="str">
            <v>6320 - Building Rent</v>
          </cell>
          <cell r="J3108">
            <v>0</v>
          </cell>
          <cell r="K3108" t="str">
            <v>Administration</v>
          </cell>
          <cell r="L3108" t="str">
            <v>Rent</v>
          </cell>
          <cell r="N3108" t="str">
            <v>SG&amp;A</v>
          </cell>
          <cell r="O3108" t="str">
            <v>[No Vendor]</v>
          </cell>
        </row>
        <row r="3109">
          <cell r="D3109">
            <v>-11702.79</v>
          </cell>
          <cell r="H3109">
            <v>45474</v>
          </cell>
          <cell r="I3109" t="str">
            <v>6375 - Freight Expenses</v>
          </cell>
          <cell r="J3109" t="str">
            <v>Ecommerce (US)</v>
          </cell>
          <cell r="K3109" t="str">
            <v>Ecommerce</v>
          </cell>
          <cell r="L3109" t="str">
            <v>Freight</v>
          </cell>
          <cell r="N3109" t="str">
            <v>Direct Costs</v>
          </cell>
          <cell r="O3109" t="str">
            <v>[No Vendor]</v>
          </cell>
        </row>
        <row r="3110">
          <cell r="D3110">
            <v>588.6</v>
          </cell>
          <cell r="H3110">
            <v>45474</v>
          </cell>
          <cell r="I3110" t="str">
            <v>6375 - Freight Expenses</v>
          </cell>
          <cell r="J3110" t="str">
            <v>Wholesale</v>
          </cell>
          <cell r="K3110" t="str">
            <v>Wholesale</v>
          </cell>
          <cell r="L3110" t="str">
            <v>Freight</v>
          </cell>
          <cell r="N3110" t="str">
            <v>Direct Costs</v>
          </cell>
          <cell r="O3110" t="str">
            <v>[No Vendor]</v>
          </cell>
        </row>
        <row r="3111">
          <cell r="D3111">
            <v>1534.54</v>
          </cell>
          <cell r="H3111">
            <v>45474</v>
          </cell>
          <cell r="I3111" t="str">
            <v>6375 - Freight Expenses</v>
          </cell>
          <cell r="J3111">
            <v>0</v>
          </cell>
          <cell r="K3111" t="str">
            <v>Brand Marketing</v>
          </cell>
          <cell r="L3111" t="str">
            <v>Freight</v>
          </cell>
          <cell r="N3111" t="str">
            <v>Direct Costs</v>
          </cell>
          <cell r="O3111" t="str">
            <v>[No Vendor]</v>
          </cell>
        </row>
        <row r="3112">
          <cell r="D3112">
            <v>9579.65</v>
          </cell>
          <cell r="H3112">
            <v>45474</v>
          </cell>
          <cell r="I3112" t="str">
            <v>6375 - Freight Expenses</v>
          </cell>
          <cell r="J3112" t="str">
            <v>Ecommerce (EU)</v>
          </cell>
          <cell r="K3112" t="str">
            <v>Ecommerce</v>
          </cell>
          <cell r="L3112" t="str">
            <v>Freight</v>
          </cell>
          <cell r="N3112" t="str">
            <v>Direct Costs</v>
          </cell>
          <cell r="O3112" t="str">
            <v>[No Vendor]</v>
          </cell>
        </row>
        <row r="3113">
          <cell r="D3113">
            <v>15.82</v>
          </cell>
          <cell r="H3113">
            <v>45474</v>
          </cell>
          <cell r="I3113" t="str">
            <v>7030 - Plant Machinery &amp; Equipment</v>
          </cell>
          <cell r="J3113">
            <v>0</v>
          </cell>
          <cell r="K3113" t="str">
            <v>Production</v>
          </cell>
          <cell r="L3113" t="str">
            <v>Depreciation &amp; Amortization</v>
          </cell>
          <cell r="N3113" t="str">
            <v>SG&amp;A</v>
          </cell>
          <cell r="O3113" t="str">
            <v>[No Vendor]</v>
          </cell>
        </row>
        <row r="3114">
          <cell r="D3114">
            <v>14.15</v>
          </cell>
          <cell r="H3114">
            <v>45474</v>
          </cell>
          <cell r="I3114" t="str">
            <v>7030 - Plant Machinery &amp; Equipment</v>
          </cell>
          <cell r="J3114">
            <v>0</v>
          </cell>
          <cell r="K3114" t="str">
            <v>Administration</v>
          </cell>
          <cell r="L3114" t="str">
            <v>Depreciation &amp; Amortization</v>
          </cell>
          <cell r="N3114" t="str">
            <v>SG&amp;A</v>
          </cell>
          <cell r="O3114" t="str">
            <v>[No Vendor]</v>
          </cell>
        </row>
        <row r="3115">
          <cell r="D3115">
            <v>0</v>
          </cell>
          <cell r="H3115">
            <v>45474</v>
          </cell>
          <cell r="I3115" t="str">
            <v>6040 - Employer Paid Benefits</v>
          </cell>
          <cell r="J3115">
            <v>0</v>
          </cell>
          <cell r="K3115" t="str">
            <v>Merchandising</v>
          </cell>
          <cell r="L3115" t="str">
            <v>HQ Salaries</v>
          </cell>
          <cell r="N3115" t="str">
            <v>SG&amp;A</v>
          </cell>
          <cell r="O3115" t="str">
            <v>[No Vendor]</v>
          </cell>
        </row>
        <row r="3116">
          <cell r="D3116">
            <v>-36.130000000000003</v>
          </cell>
          <cell r="H3116">
            <v>45474</v>
          </cell>
          <cell r="I3116" t="str">
            <v>6040 - Employer Paid Benefits</v>
          </cell>
          <cell r="J3116" t="str">
            <v>Wholesale</v>
          </cell>
          <cell r="K3116" t="str">
            <v>Wholesale</v>
          </cell>
          <cell r="L3116" t="str">
            <v>HQ Salaries</v>
          </cell>
          <cell r="N3116" t="str">
            <v>SG&amp;A</v>
          </cell>
          <cell r="O3116" t="str">
            <v>[No Vendor]</v>
          </cell>
        </row>
        <row r="3117">
          <cell r="D3117">
            <v>-225.1</v>
          </cell>
          <cell r="H3117">
            <v>45474</v>
          </cell>
          <cell r="I3117" t="str">
            <v>6040 - Employer Paid Benefits</v>
          </cell>
          <cell r="J3117">
            <v>0</v>
          </cell>
          <cell r="K3117" t="str">
            <v>Production</v>
          </cell>
          <cell r="L3117" t="str">
            <v>HQ Salaries</v>
          </cell>
          <cell r="N3117" t="str">
            <v>SG&amp;A</v>
          </cell>
          <cell r="O3117" t="str">
            <v>[No Vendor]</v>
          </cell>
        </row>
        <row r="3118">
          <cell r="D3118">
            <v>-18.059999999999999</v>
          </cell>
          <cell r="H3118">
            <v>45474</v>
          </cell>
          <cell r="I3118" t="str">
            <v>6040 - Employer Paid Benefits</v>
          </cell>
          <cell r="J3118">
            <v>0</v>
          </cell>
          <cell r="K3118" t="str">
            <v>Brand Marketing</v>
          </cell>
          <cell r="L3118" t="str">
            <v>HQ Salaries</v>
          </cell>
          <cell r="N3118" t="str">
            <v>SG&amp;A</v>
          </cell>
          <cell r="O3118" t="str">
            <v>[No Vendor]</v>
          </cell>
        </row>
        <row r="3119">
          <cell r="D3119">
            <v>-47.42</v>
          </cell>
          <cell r="H3119">
            <v>45474</v>
          </cell>
          <cell r="I3119" t="str">
            <v>6040 - Employer Paid Benefits</v>
          </cell>
          <cell r="J3119">
            <v>0</v>
          </cell>
          <cell r="K3119" t="str">
            <v>Executive</v>
          </cell>
          <cell r="L3119" t="str">
            <v>HQ Salaries</v>
          </cell>
          <cell r="N3119" t="str">
            <v>SG&amp;A</v>
          </cell>
          <cell r="O3119" t="str">
            <v>[No Vendor]</v>
          </cell>
        </row>
        <row r="3120">
          <cell r="D3120">
            <v>-97.48</v>
          </cell>
          <cell r="H3120">
            <v>45474</v>
          </cell>
          <cell r="I3120" t="str">
            <v>6040 - Employer Paid Benefits</v>
          </cell>
          <cell r="J3120" t="str">
            <v>Ecommerce (US)</v>
          </cell>
          <cell r="K3120" t="str">
            <v>Ecommerce</v>
          </cell>
          <cell r="L3120" t="str">
            <v>HQ Salaries</v>
          </cell>
          <cell r="N3120" t="str">
            <v>SG&amp;A</v>
          </cell>
          <cell r="O3120" t="str">
            <v>[No Vendor]</v>
          </cell>
        </row>
        <row r="3121">
          <cell r="D3121">
            <v>-290.74</v>
          </cell>
          <cell r="H3121">
            <v>45474</v>
          </cell>
          <cell r="I3121" t="str">
            <v>6040 - Employer Paid Benefits</v>
          </cell>
          <cell r="J3121">
            <v>0</v>
          </cell>
          <cell r="K3121" t="str">
            <v>Design</v>
          </cell>
          <cell r="L3121" t="str">
            <v>HQ Salaries</v>
          </cell>
          <cell r="N3121" t="str">
            <v>SG&amp;A</v>
          </cell>
          <cell r="O3121" t="str">
            <v>[No Vendor]</v>
          </cell>
        </row>
        <row r="3122">
          <cell r="D3122">
            <v>-207.73</v>
          </cell>
          <cell r="H3122">
            <v>45474</v>
          </cell>
          <cell r="I3122" t="str">
            <v>6040 - Employer Paid Benefits</v>
          </cell>
          <cell r="J3122">
            <v>0</v>
          </cell>
          <cell r="K3122" t="str">
            <v>Administration</v>
          </cell>
          <cell r="L3122" t="str">
            <v>HQ Salaries</v>
          </cell>
          <cell r="N3122" t="str">
            <v>SG&amp;A</v>
          </cell>
          <cell r="O3122" t="str">
            <v>[No Vendor]</v>
          </cell>
        </row>
        <row r="3123">
          <cell r="D3123">
            <v>4120</v>
          </cell>
          <cell r="H3123">
            <v>45474</v>
          </cell>
          <cell r="I3123" t="str">
            <v>6005 - Salaries</v>
          </cell>
          <cell r="J3123">
            <v>0</v>
          </cell>
          <cell r="K3123" t="str">
            <v>Merchandising</v>
          </cell>
          <cell r="L3123" t="str">
            <v>HQ Salaries</v>
          </cell>
          <cell r="N3123" t="str">
            <v>SG&amp;A</v>
          </cell>
          <cell r="O3123" t="str">
            <v>[No Vendor]</v>
          </cell>
        </row>
        <row r="3124">
          <cell r="D3124">
            <v>7929.26</v>
          </cell>
          <cell r="H3124">
            <v>45474</v>
          </cell>
          <cell r="I3124" t="str">
            <v>6005 - Salaries</v>
          </cell>
          <cell r="J3124" t="str">
            <v>Wholesale</v>
          </cell>
          <cell r="K3124" t="str">
            <v>Wholesale</v>
          </cell>
          <cell r="L3124" t="str">
            <v>HQ Salaries</v>
          </cell>
          <cell r="N3124" t="str">
            <v>SG&amp;A</v>
          </cell>
          <cell r="O3124" t="str">
            <v>[No Vendor]</v>
          </cell>
        </row>
        <row r="3125">
          <cell r="D3125">
            <v>15990.79</v>
          </cell>
          <cell r="H3125">
            <v>45474</v>
          </cell>
          <cell r="I3125" t="str">
            <v>6005 - Salaries</v>
          </cell>
          <cell r="J3125">
            <v>0</v>
          </cell>
          <cell r="K3125" t="str">
            <v>Production</v>
          </cell>
          <cell r="L3125" t="str">
            <v>HQ Salaries</v>
          </cell>
          <cell r="N3125" t="str">
            <v>SG&amp;A</v>
          </cell>
          <cell r="O3125" t="str">
            <v>[No Vendor]</v>
          </cell>
        </row>
        <row r="3126">
          <cell r="D3126">
            <v>2615.39</v>
          </cell>
          <cell r="H3126">
            <v>45474</v>
          </cell>
          <cell r="I3126" t="str">
            <v>6005 - Salaries</v>
          </cell>
          <cell r="J3126">
            <v>0</v>
          </cell>
          <cell r="K3126" t="str">
            <v>Brand Marketing</v>
          </cell>
          <cell r="L3126" t="str">
            <v>HQ Salaries</v>
          </cell>
          <cell r="N3126" t="str">
            <v>SG&amp;A</v>
          </cell>
          <cell r="O3126" t="str">
            <v>[No Vendor]</v>
          </cell>
        </row>
        <row r="3127">
          <cell r="D3127">
            <v>8923.08</v>
          </cell>
          <cell r="H3127">
            <v>45474</v>
          </cell>
          <cell r="I3127" t="str">
            <v>6005 - Salaries</v>
          </cell>
          <cell r="J3127">
            <v>0</v>
          </cell>
          <cell r="K3127" t="str">
            <v>Executive</v>
          </cell>
          <cell r="L3127" t="str">
            <v>HQ Salaries</v>
          </cell>
          <cell r="N3127" t="str">
            <v>SG&amp;A</v>
          </cell>
          <cell r="O3127" t="str">
            <v>[No Vendor]</v>
          </cell>
        </row>
        <row r="3128">
          <cell r="D3128">
            <v>19504.990000000002</v>
          </cell>
          <cell r="H3128">
            <v>45474</v>
          </cell>
          <cell r="I3128" t="str">
            <v>6005 - Salaries</v>
          </cell>
          <cell r="J3128" t="str">
            <v>Ecommerce (US)</v>
          </cell>
          <cell r="K3128" t="str">
            <v>Ecommerce</v>
          </cell>
          <cell r="L3128" t="str">
            <v>HQ Salaries</v>
          </cell>
          <cell r="N3128" t="str">
            <v>SG&amp;A</v>
          </cell>
          <cell r="O3128" t="str">
            <v>[No Vendor]</v>
          </cell>
        </row>
        <row r="3129">
          <cell r="D3129">
            <v>16686.16</v>
          </cell>
          <cell r="H3129">
            <v>45474</v>
          </cell>
          <cell r="I3129" t="str">
            <v>6005 - Salaries</v>
          </cell>
          <cell r="J3129">
            <v>0</v>
          </cell>
          <cell r="K3129" t="str">
            <v>Design</v>
          </cell>
          <cell r="L3129" t="str">
            <v>HQ Salaries</v>
          </cell>
          <cell r="N3129" t="str">
            <v>SG&amp;A</v>
          </cell>
          <cell r="O3129" t="str">
            <v>[No Vendor]</v>
          </cell>
        </row>
        <row r="3130">
          <cell r="D3130">
            <v>20892.330000000002</v>
          </cell>
          <cell r="H3130">
            <v>45474</v>
          </cell>
          <cell r="I3130" t="str">
            <v>6005 - Salaries</v>
          </cell>
          <cell r="J3130">
            <v>0</v>
          </cell>
          <cell r="K3130" t="str">
            <v>Administration</v>
          </cell>
          <cell r="L3130" t="str">
            <v>HQ Salaries</v>
          </cell>
          <cell r="N3130" t="str">
            <v>SG&amp;A</v>
          </cell>
          <cell r="O3130" t="str">
            <v>[No Vendor]</v>
          </cell>
        </row>
        <row r="3131">
          <cell r="D3131">
            <v>0</v>
          </cell>
          <cell r="H3131">
            <v>45474</v>
          </cell>
          <cell r="I3131" t="str">
            <v>4020 - Revenue - Marketing Contribution</v>
          </cell>
          <cell r="J3131">
            <v>0</v>
          </cell>
          <cell r="K3131" t="str">
            <v>Licensing</v>
          </cell>
          <cell r="L3131" t="str">
            <v>License</v>
          </cell>
          <cell r="N3131" t="str">
            <v>Revenue</v>
          </cell>
          <cell r="O3131" t="str">
            <v>[No Vendor]</v>
          </cell>
        </row>
        <row r="3132">
          <cell r="D3132">
            <v>0</v>
          </cell>
          <cell r="H3132">
            <v>45474</v>
          </cell>
          <cell r="I3132" t="str">
            <v>4010 - Revenue - Licensing Fees (Royalties)</v>
          </cell>
          <cell r="J3132">
            <v>0</v>
          </cell>
          <cell r="K3132" t="str">
            <v>Licensing</v>
          </cell>
          <cell r="L3132" t="str">
            <v>License</v>
          </cell>
          <cell r="N3132" t="str">
            <v>Revenue</v>
          </cell>
          <cell r="O3132" t="str">
            <v>[No Vendor]</v>
          </cell>
        </row>
        <row r="3133">
          <cell r="D3133">
            <v>0</v>
          </cell>
          <cell r="H3133">
            <v>45474</v>
          </cell>
          <cell r="I3133" t="str">
            <v>4010 - Revenue - Licensing Fees (Royalties)</v>
          </cell>
          <cell r="J3133">
            <v>0</v>
          </cell>
          <cell r="K3133" t="str">
            <v>Licensing</v>
          </cell>
          <cell r="L3133" t="str">
            <v>License</v>
          </cell>
          <cell r="N3133" t="str">
            <v>Revenue</v>
          </cell>
          <cell r="O3133" t="str">
            <v>[No Vendor]</v>
          </cell>
        </row>
        <row r="3134">
          <cell r="D3134">
            <v>-15060.22</v>
          </cell>
          <cell r="H3134">
            <v>45474</v>
          </cell>
          <cell r="I3134" t="str">
            <v>4010 - Revenue - Licensing Fees (Royalties)</v>
          </cell>
          <cell r="J3134">
            <v>0</v>
          </cell>
          <cell r="K3134" t="str">
            <v>Licensing</v>
          </cell>
          <cell r="L3134" t="str">
            <v>License</v>
          </cell>
          <cell r="N3134" t="str">
            <v>Revenue</v>
          </cell>
          <cell r="O3134" t="str">
            <v>[No Vendor]</v>
          </cell>
        </row>
        <row r="3135">
          <cell r="D3135">
            <v>0</v>
          </cell>
          <cell r="H3135">
            <v>45474</v>
          </cell>
          <cell r="I3135" t="str">
            <v>4010 - Revenue - Licensing Fees (Royalties)</v>
          </cell>
          <cell r="J3135">
            <v>0</v>
          </cell>
          <cell r="K3135" t="str">
            <v>Licensing</v>
          </cell>
          <cell r="L3135" t="str">
            <v>License</v>
          </cell>
          <cell r="N3135" t="str">
            <v>Revenue</v>
          </cell>
          <cell r="O3135" t="str">
            <v>[No Vendor]</v>
          </cell>
        </row>
        <row r="3136">
          <cell r="D3136">
            <v>-58614.04</v>
          </cell>
          <cell r="H3136">
            <v>45474</v>
          </cell>
          <cell r="I3136" t="str">
            <v>4010 - Revenue - Licensing Fees (Royalties)</v>
          </cell>
          <cell r="J3136">
            <v>0</v>
          </cell>
          <cell r="K3136" t="str">
            <v>Licensing</v>
          </cell>
          <cell r="L3136" t="str">
            <v>License</v>
          </cell>
          <cell r="N3136" t="str">
            <v>Revenue</v>
          </cell>
          <cell r="O3136" t="str">
            <v>[No Vendor]</v>
          </cell>
        </row>
        <row r="3137">
          <cell r="D3137">
            <v>-29166.67</v>
          </cell>
          <cell r="H3137">
            <v>45474</v>
          </cell>
          <cell r="I3137" t="str">
            <v>4010 - Revenue - Licensing Fees (Royalties)</v>
          </cell>
          <cell r="J3137">
            <v>0</v>
          </cell>
          <cell r="K3137" t="str">
            <v>Licensing</v>
          </cell>
          <cell r="L3137" t="str">
            <v>License</v>
          </cell>
          <cell r="N3137" t="str">
            <v>Revenue</v>
          </cell>
          <cell r="O3137" t="str">
            <v>[No Vendor]</v>
          </cell>
        </row>
        <row r="3138">
          <cell r="D3138">
            <v>-17548.259999999998</v>
          </cell>
          <cell r="H3138">
            <v>45474</v>
          </cell>
          <cell r="I3138" t="str">
            <v>4010 - Revenue - Licensing Fees (Royalties)</v>
          </cell>
          <cell r="J3138">
            <v>0</v>
          </cell>
          <cell r="K3138" t="str">
            <v>Licensing</v>
          </cell>
          <cell r="L3138" t="str">
            <v>License</v>
          </cell>
          <cell r="N3138" t="str">
            <v>Revenue</v>
          </cell>
          <cell r="O3138" t="str">
            <v>[No Vendor]</v>
          </cell>
        </row>
        <row r="3139">
          <cell r="D3139">
            <v>150.44999999999999</v>
          </cell>
          <cell r="H3139">
            <v>45505</v>
          </cell>
          <cell r="I3139" t="str">
            <v>6040 - Employer Paid Benefits</v>
          </cell>
          <cell r="J3139">
            <v>0</v>
          </cell>
          <cell r="K3139" t="str">
            <v>Administration</v>
          </cell>
          <cell r="L3139" t="str">
            <v>HQ Salaries</v>
          </cell>
          <cell r="N3139" t="str">
            <v>SG&amp;A</v>
          </cell>
          <cell r="O3139" t="str">
            <v>Allied Administrators</v>
          </cell>
        </row>
        <row r="3140">
          <cell r="D3140">
            <v>1440</v>
          </cell>
          <cell r="H3140">
            <v>45505</v>
          </cell>
          <cell r="I3140" t="str">
            <v>6288 - Model</v>
          </cell>
          <cell r="J3140">
            <v>0</v>
          </cell>
          <cell r="K3140" t="str">
            <v>Brand Marketing</v>
          </cell>
          <cell r="L3140" t="str">
            <v>Advertising</v>
          </cell>
          <cell r="N3140" t="str">
            <v>SG&amp;A</v>
          </cell>
          <cell r="O3140" t="str">
            <v>Soul Artist Management</v>
          </cell>
        </row>
        <row r="3141">
          <cell r="D3141">
            <v>300</v>
          </cell>
          <cell r="H3141">
            <v>45505</v>
          </cell>
          <cell r="I3141" t="str">
            <v>6288 - Model</v>
          </cell>
          <cell r="J3141" t="str">
            <v>Ecommerce (US)</v>
          </cell>
          <cell r="K3141" t="str">
            <v>Brand Marketing</v>
          </cell>
          <cell r="L3141" t="str">
            <v>Advertising</v>
          </cell>
          <cell r="N3141" t="str">
            <v>SG&amp;A</v>
          </cell>
          <cell r="O3141" t="str">
            <v>State Artist Management</v>
          </cell>
        </row>
        <row r="3142">
          <cell r="D3142">
            <v>600</v>
          </cell>
          <cell r="H3142">
            <v>45505</v>
          </cell>
          <cell r="I3142" t="str">
            <v>6288 - Model</v>
          </cell>
          <cell r="J3142" t="str">
            <v>Ecommerce (US)</v>
          </cell>
          <cell r="K3142" t="str">
            <v>Brand Marketing</v>
          </cell>
          <cell r="L3142" t="str">
            <v>Advertising</v>
          </cell>
          <cell r="N3142" t="str">
            <v>SG&amp;A</v>
          </cell>
          <cell r="O3142" t="str">
            <v>State Artist Management</v>
          </cell>
        </row>
        <row r="3143">
          <cell r="D3143">
            <v>300</v>
          </cell>
          <cell r="H3143">
            <v>45505</v>
          </cell>
          <cell r="I3143" t="str">
            <v>6288 - Model</v>
          </cell>
          <cell r="J3143" t="str">
            <v>Ecommerce (US)</v>
          </cell>
          <cell r="K3143" t="str">
            <v>Brand Marketing</v>
          </cell>
          <cell r="L3143" t="str">
            <v>Advertising</v>
          </cell>
          <cell r="N3143" t="str">
            <v>SG&amp;A</v>
          </cell>
          <cell r="O3143" t="str">
            <v>State Artist Management</v>
          </cell>
        </row>
        <row r="3144">
          <cell r="D3144">
            <v>600</v>
          </cell>
          <cell r="H3144">
            <v>45505</v>
          </cell>
          <cell r="I3144" t="str">
            <v>6288 - Model</v>
          </cell>
          <cell r="J3144" t="str">
            <v>Ecommerce (US)</v>
          </cell>
          <cell r="K3144" t="str">
            <v>Brand Marketing</v>
          </cell>
          <cell r="L3144" t="str">
            <v>Advertising</v>
          </cell>
          <cell r="N3144" t="str">
            <v>SG&amp;A</v>
          </cell>
          <cell r="O3144" t="str">
            <v>State Artist Management</v>
          </cell>
        </row>
        <row r="3145">
          <cell r="D3145">
            <v>600</v>
          </cell>
          <cell r="H3145">
            <v>45505</v>
          </cell>
          <cell r="I3145" t="str">
            <v>6288 - Model</v>
          </cell>
          <cell r="J3145" t="str">
            <v>Ecommerce (US)</v>
          </cell>
          <cell r="K3145" t="str">
            <v>Brand Marketing</v>
          </cell>
          <cell r="L3145" t="str">
            <v>Advertising</v>
          </cell>
          <cell r="N3145" t="str">
            <v>SG&amp;A</v>
          </cell>
          <cell r="O3145" t="str">
            <v>State Artist Management</v>
          </cell>
        </row>
        <row r="3146">
          <cell r="D3146">
            <v>600</v>
          </cell>
          <cell r="H3146">
            <v>45505</v>
          </cell>
          <cell r="I3146" t="str">
            <v>6288 - Model</v>
          </cell>
          <cell r="J3146" t="str">
            <v>Ecommerce (US)</v>
          </cell>
          <cell r="K3146" t="str">
            <v>Brand Marketing</v>
          </cell>
          <cell r="L3146" t="str">
            <v>Advertising</v>
          </cell>
          <cell r="N3146" t="str">
            <v>SG&amp;A</v>
          </cell>
          <cell r="O3146" t="str">
            <v>State Artist Management</v>
          </cell>
        </row>
        <row r="3147">
          <cell r="D3147">
            <v>500</v>
          </cell>
          <cell r="H3147">
            <v>45505</v>
          </cell>
          <cell r="I3147" t="str">
            <v>6360 - Model - Fitting</v>
          </cell>
          <cell r="J3147" t="str">
            <v>Wholesale</v>
          </cell>
          <cell r="K3147" t="str">
            <v>Production</v>
          </cell>
          <cell r="L3147" t="str">
            <v>Sample</v>
          </cell>
          <cell r="N3147" t="str">
            <v>SG&amp;A</v>
          </cell>
          <cell r="O3147" t="str">
            <v>Lamar J Ballard</v>
          </cell>
        </row>
        <row r="3148">
          <cell r="D3148">
            <v>890.79</v>
          </cell>
          <cell r="H3148">
            <v>45505</v>
          </cell>
          <cell r="I3148" t="str">
            <v>6340 - Miscellaneous Expense</v>
          </cell>
          <cell r="J3148">
            <v>0</v>
          </cell>
          <cell r="K3148" t="str">
            <v>Administration</v>
          </cell>
          <cell r="L3148" t="str">
            <v>Other</v>
          </cell>
          <cell r="N3148" t="str">
            <v>SG&amp;A</v>
          </cell>
          <cell r="O3148" t="str">
            <v>Amazon Capital Services</v>
          </cell>
        </row>
        <row r="3149">
          <cell r="D3149">
            <v>4.7300000000000004</v>
          </cell>
          <cell r="H3149">
            <v>45505</v>
          </cell>
          <cell r="I3149" t="str">
            <v>6370 - Samples</v>
          </cell>
          <cell r="J3149">
            <v>0</v>
          </cell>
          <cell r="K3149" t="str">
            <v>Production</v>
          </cell>
          <cell r="L3149" t="str">
            <v>Sample</v>
          </cell>
          <cell r="N3149" t="str">
            <v>SG&amp;A</v>
          </cell>
          <cell r="O3149" t="str">
            <v>BB (UK) Limited</v>
          </cell>
        </row>
        <row r="3150">
          <cell r="D3150">
            <v>4.72</v>
          </cell>
          <cell r="H3150">
            <v>45505</v>
          </cell>
          <cell r="I3150" t="str">
            <v>6370 - Samples</v>
          </cell>
          <cell r="J3150" t="str">
            <v>Wholesale</v>
          </cell>
          <cell r="K3150" t="str">
            <v>Production</v>
          </cell>
          <cell r="L3150" t="str">
            <v>Sample</v>
          </cell>
          <cell r="N3150" t="str">
            <v>SG&amp;A</v>
          </cell>
          <cell r="O3150" t="str">
            <v>BB (UK) Limited</v>
          </cell>
        </row>
        <row r="3151">
          <cell r="D3151">
            <v>9.4499999999999993</v>
          </cell>
          <cell r="H3151">
            <v>45505</v>
          </cell>
          <cell r="I3151" t="str">
            <v>6370 - Samples</v>
          </cell>
          <cell r="J3151" t="str">
            <v>Ecommerce (US)</v>
          </cell>
          <cell r="K3151" t="str">
            <v>Production</v>
          </cell>
          <cell r="L3151" t="str">
            <v>Sample</v>
          </cell>
          <cell r="N3151" t="str">
            <v>SG&amp;A</v>
          </cell>
          <cell r="O3151" t="str">
            <v>BB (UK) Limited</v>
          </cell>
        </row>
        <row r="3152">
          <cell r="D3152">
            <v>8.5</v>
          </cell>
          <cell r="H3152">
            <v>45505</v>
          </cell>
          <cell r="I3152" t="str">
            <v>6370 - Samples</v>
          </cell>
          <cell r="J3152">
            <v>0</v>
          </cell>
          <cell r="K3152" t="str">
            <v>Production</v>
          </cell>
          <cell r="L3152" t="str">
            <v>Sample</v>
          </cell>
          <cell r="N3152" t="str">
            <v>SG&amp;A</v>
          </cell>
          <cell r="O3152" t="str">
            <v>BB (UK) Limited</v>
          </cell>
        </row>
        <row r="3153">
          <cell r="D3153">
            <v>8.5</v>
          </cell>
          <cell r="H3153">
            <v>45505</v>
          </cell>
          <cell r="I3153" t="str">
            <v>6370 - Samples</v>
          </cell>
          <cell r="J3153" t="str">
            <v>Wholesale</v>
          </cell>
          <cell r="K3153" t="str">
            <v>Production</v>
          </cell>
          <cell r="L3153" t="str">
            <v>Sample</v>
          </cell>
          <cell r="N3153" t="str">
            <v>SG&amp;A</v>
          </cell>
          <cell r="O3153" t="str">
            <v>BB (UK) Limited</v>
          </cell>
        </row>
        <row r="3154">
          <cell r="D3154">
            <v>17</v>
          </cell>
          <cell r="H3154">
            <v>45505</v>
          </cell>
          <cell r="I3154" t="str">
            <v>6370 - Samples</v>
          </cell>
          <cell r="J3154" t="str">
            <v>Ecommerce (US)</v>
          </cell>
          <cell r="K3154" t="str">
            <v>Production</v>
          </cell>
          <cell r="L3154" t="str">
            <v>Sample</v>
          </cell>
          <cell r="N3154" t="str">
            <v>SG&amp;A</v>
          </cell>
          <cell r="O3154" t="str">
            <v>BB (UK) Limited</v>
          </cell>
        </row>
        <row r="3155">
          <cell r="D3155">
            <v>5819.8</v>
          </cell>
          <cell r="H3155">
            <v>45505</v>
          </cell>
          <cell r="I3155" t="str">
            <v>6363 - Development</v>
          </cell>
          <cell r="J3155" t="str">
            <v>Wholesale</v>
          </cell>
          <cell r="K3155" t="str">
            <v>Production</v>
          </cell>
          <cell r="L3155" t="str">
            <v>Sample</v>
          </cell>
          <cell r="N3155" t="str">
            <v>SG&amp;A</v>
          </cell>
          <cell r="O3155" t="str">
            <v>Porta Asiatica Enterprises Inc</v>
          </cell>
        </row>
        <row r="3156">
          <cell r="D3156">
            <v>5858</v>
          </cell>
          <cell r="H3156">
            <v>45505</v>
          </cell>
          <cell r="I3156" t="str">
            <v>6363 - Development</v>
          </cell>
          <cell r="J3156" t="str">
            <v>Wholesale</v>
          </cell>
          <cell r="K3156" t="str">
            <v>Production</v>
          </cell>
          <cell r="L3156" t="str">
            <v>Sample</v>
          </cell>
          <cell r="N3156" t="str">
            <v>SG&amp;A</v>
          </cell>
          <cell r="O3156" t="str">
            <v>Porta Asiatica Enterprises Inc</v>
          </cell>
        </row>
        <row r="3157">
          <cell r="D3157">
            <v>5338</v>
          </cell>
          <cell r="H3157">
            <v>45505</v>
          </cell>
          <cell r="I3157" t="str">
            <v>6363 - Development</v>
          </cell>
          <cell r="J3157" t="str">
            <v>Wholesale</v>
          </cell>
          <cell r="K3157" t="str">
            <v>Production</v>
          </cell>
          <cell r="L3157" t="str">
            <v>Sample</v>
          </cell>
          <cell r="N3157" t="str">
            <v>SG&amp;A</v>
          </cell>
          <cell r="O3157" t="str">
            <v>Porta Asiatica Enterprises Inc</v>
          </cell>
        </row>
        <row r="3158">
          <cell r="D3158">
            <v>6997.5</v>
          </cell>
          <cell r="H3158">
            <v>45505</v>
          </cell>
          <cell r="I3158" t="str">
            <v>6363 - Development</v>
          </cell>
          <cell r="J3158" t="str">
            <v>Wholesale</v>
          </cell>
          <cell r="K3158" t="str">
            <v>Production</v>
          </cell>
          <cell r="L3158" t="str">
            <v>Sample</v>
          </cell>
          <cell r="N3158" t="str">
            <v>SG&amp;A</v>
          </cell>
          <cell r="O3158" t="str">
            <v>Porta Asiatica Enterprises Inc</v>
          </cell>
        </row>
        <row r="3159">
          <cell r="D3159">
            <v>5872</v>
          </cell>
          <cell r="H3159">
            <v>45505</v>
          </cell>
          <cell r="I3159" t="str">
            <v>6363 - Development</v>
          </cell>
          <cell r="J3159" t="str">
            <v>Wholesale</v>
          </cell>
          <cell r="K3159" t="str">
            <v>Production</v>
          </cell>
          <cell r="L3159" t="str">
            <v>Sample</v>
          </cell>
          <cell r="N3159" t="str">
            <v>SG&amp;A</v>
          </cell>
          <cell r="O3159" t="str">
            <v>Porta Asiatica Enterprises Inc</v>
          </cell>
        </row>
        <row r="3160">
          <cell r="D3160">
            <v>145</v>
          </cell>
          <cell r="H3160">
            <v>45505</v>
          </cell>
          <cell r="I3160" t="str">
            <v>6140 - Other</v>
          </cell>
          <cell r="J3160" t="str">
            <v>Wholesale</v>
          </cell>
          <cell r="K3160" t="str">
            <v>Wholesale</v>
          </cell>
          <cell r="L3160" t="str">
            <v>T&amp;E</v>
          </cell>
          <cell r="N3160" t="str">
            <v>SG&amp;A</v>
          </cell>
          <cell r="O3160" t="str">
            <v>Bridgette Stacom</v>
          </cell>
        </row>
        <row r="3161">
          <cell r="D3161">
            <v>1786.24</v>
          </cell>
          <cell r="H3161">
            <v>45505</v>
          </cell>
          <cell r="I3161" t="str">
            <v>6385 - Insurance</v>
          </cell>
          <cell r="J3161">
            <v>0</v>
          </cell>
          <cell r="K3161" t="str">
            <v>Administration</v>
          </cell>
          <cell r="L3161" t="str">
            <v>Professional Service</v>
          </cell>
          <cell r="N3161" t="str">
            <v>SG&amp;A</v>
          </cell>
          <cell r="O3161" t="str">
            <v>The Hartford</v>
          </cell>
        </row>
        <row r="3162">
          <cell r="D3162">
            <v>769.95</v>
          </cell>
          <cell r="H3162">
            <v>45505</v>
          </cell>
          <cell r="I3162" t="str">
            <v>6400 - Utilities</v>
          </cell>
          <cell r="J3162">
            <v>0</v>
          </cell>
          <cell r="K3162" t="str">
            <v>Administration</v>
          </cell>
          <cell r="L3162" t="str">
            <v>Other</v>
          </cell>
          <cell r="N3162" t="str">
            <v>SG&amp;A</v>
          </cell>
          <cell r="O3162" t="str">
            <v>Antelope LLC</v>
          </cell>
        </row>
        <row r="3163">
          <cell r="D3163">
            <v>7500</v>
          </cell>
          <cell r="H3163">
            <v>45505</v>
          </cell>
          <cell r="I3163" t="str">
            <v>6225 - Professional Services</v>
          </cell>
          <cell r="J3163">
            <v>0</v>
          </cell>
          <cell r="K3163" t="str">
            <v>Brand Marketing</v>
          </cell>
          <cell r="L3163" t="str">
            <v>Professional Service</v>
          </cell>
          <cell r="N3163" t="str">
            <v>Direct Costs</v>
          </cell>
          <cell r="O3163" t="str">
            <v>PapePR</v>
          </cell>
        </row>
        <row r="3164">
          <cell r="D3164">
            <v>3920.5</v>
          </cell>
          <cell r="H3164">
            <v>45505</v>
          </cell>
          <cell r="I3164" t="str">
            <v>6225 - Professional Services</v>
          </cell>
          <cell r="J3164">
            <v>0</v>
          </cell>
          <cell r="K3164" t="str">
            <v>Administration</v>
          </cell>
          <cell r="L3164" t="str">
            <v>Professional Service</v>
          </cell>
          <cell r="N3164" t="str">
            <v>Direct Costs</v>
          </cell>
          <cell r="O3164" t="str">
            <v>Enom Solutions, Inc-DBA 3nom</v>
          </cell>
        </row>
        <row r="3165">
          <cell r="D3165">
            <v>63</v>
          </cell>
          <cell r="H3165">
            <v>45505</v>
          </cell>
          <cell r="I3165" t="str">
            <v>6135 - Parking and Tolls</v>
          </cell>
          <cell r="J3165" t="str">
            <v>Wholesale</v>
          </cell>
          <cell r="K3165" t="str">
            <v>Wholesale</v>
          </cell>
          <cell r="L3165" t="str">
            <v>T&amp;E</v>
          </cell>
          <cell r="N3165" t="str">
            <v>SG&amp;A</v>
          </cell>
          <cell r="O3165" t="str">
            <v>Bridgette Stacom</v>
          </cell>
        </row>
        <row r="3166">
          <cell r="D3166">
            <v>121.43</v>
          </cell>
          <cell r="H3166">
            <v>45505</v>
          </cell>
          <cell r="I3166" t="str">
            <v>6125 - Transportation and Fuel</v>
          </cell>
          <cell r="J3166" t="str">
            <v>Wholesale</v>
          </cell>
          <cell r="K3166" t="str">
            <v>Wholesale</v>
          </cell>
          <cell r="L3166" t="str">
            <v>T&amp;E</v>
          </cell>
          <cell r="N3166" t="str">
            <v>SG&amp;A</v>
          </cell>
          <cell r="O3166" t="str">
            <v>Bridgette Stacom</v>
          </cell>
        </row>
        <row r="3167">
          <cell r="D3167">
            <v>19.79</v>
          </cell>
          <cell r="H3167">
            <v>45505</v>
          </cell>
          <cell r="I3167" t="str">
            <v>6125 - Transportation and Fuel</v>
          </cell>
          <cell r="J3167" t="str">
            <v>Wholesale</v>
          </cell>
          <cell r="K3167" t="str">
            <v>Wholesale</v>
          </cell>
          <cell r="L3167" t="str">
            <v>T&amp;E</v>
          </cell>
          <cell r="N3167" t="str">
            <v>SG&amp;A</v>
          </cell>
          <cell r="O3167" t="str">
            <v>Bridgette Stacom</v>
          </cell>
        </row>
        <row r="3168">
          <cell r="D3168">
            <v>32.4</v>
          </cell>
          <cell r="H3168">
            <v>45505</v>
          </cell>
          <cell r="I3168" t="str">
            <v>6125 - Transportation and Fuel</v>
          </cell>
          <cell r="J3168" t="str">
            <v>Wholesale</v>
          </cell>
          <cell r="K3168" t="str">
            <v>Wholesale</v>
          </cell>
          <cell r="L3168" t="str">
            <v>T&amp;E</v>
          </cell>
          <cell r="N3168" t="str">
            <v>SG&amp;A</v>
          </cell>
          <cell r="O3168" t="str">
            <v>Bridgette Stacom</v>
          </cell>
        </row>
        <row r="3169">
          <cell r="D3169">
            <v>6.78</v>
          </cell>
          <cell r="H3169">
            <v>45505</v>
          </cell>
          <cell r="I3169" t="str">
            <v>6125 - Transportation and Fuel</v>
          </cell>
          <cell r="J3169" t="str">
            <v>Wholesale</v>
          </cell>
          <cell r="K3169" t="str">
            <v>Wholesale</v>
          </cell>
          <cell r="L3169" t="str">
            <v>T&amp;E</v>
          </cell>
          <cell r="N3169" t="str">
            <v>SG&amp;A</v>
          </cell>
          <cell r="O3169" t="str">
            <v>Bridgette Stacom</v>
          </cell>
        </row>
        <row r="3170">
          <cell r="D3170">
            <v>6.92</v>
          </cell>
          <cell r="H3170">
            <v>45505</v>
          </cell>
          <cell r="I3170" t="str">
            <v>6125 - Transportation and Fuel</v>
          </cell>
          <cell r="J3170" t="str">
            <v>Wholesale</v>
          </cell>
          <cell r="K3170" t="str">
            <v>Wholesale</v>
          </cell>
          <cell r="L3170" t="str">
            <v>T&amp;E</v>
          </cell>
          <cell r="N3170" t="str">
            <v>SG&amp;A</v>
          </cell>
          <cell r="O3170" t="str">
            <v>Bridgette Stacom</v>
          </cell>
        </row>
        <row r="3171">
          <cell r="D3171">
            <v>88.95</v>
          </cell>
          <cell r="H3171">
            <v>45505</v>
          </cell>
          <cell r="I3171" t="str">
            <v>6125 - Transportation and Fuel</v>
          </cell>
          <cell r="J3171" t="str">
            <v>Wholesale</v>
          </cell>
          <cell r="K3171" t="str">
            <v>Wholesale</v>
          </cell>
          <cell r="L3171" t="str">
            <v>T&amp;E</v>
          </cell>
          <cell r="N3171" t="str">
            <v>SG&amp;A</v>
          </cell>
          <cell r="O3171" t="str">
            <v>Bridgette Stacom</v>
          </cell>
        </row>
        <row r="3172">
          <cell r="D3172">
            <v>576.95000000000005</v>
          </cell>
          <cell r="H3172">
            <v>45505</v>
          </cell>
          <cell r="I3172" t="str">
            <v>6115 - Airfare</v>
          </cell>
          <cell r="J3172" t="str">
            <v>Wholesale</v>
          </cell>
          <cell r="K3172" t="str">
            <v>Wholesale</v>
          </cell>
          <cell r="L3172" t="str">
            <v>T&amp;E</v>
          </cell>
          <cell r="N3172" t="str">
            <v>SG&amp;A</v>
          </cell>
          <cell r="O3172" t="str">
            <v>Bridgette Stacom</v>
          </cell>
        </row>
        <row r="3173">
          <cell r="D3173">
            <v>25.86</v>
          </cell>
          <cell r="H3173">
            <v>45505</v>
          </cell>
          <cell r="I3173" t="str">
            <v>6105 - Meals</v>
          </cell>
          <cell r="J3173" t="str">
            <v>Wholesale</v>
          </cell>
          <cell r="K3173" t="str">
            <v>Wholesale</v>
          </cell>
          <cell r="L3173" t="str">
            <v>T&amp;E</v>
          </cell>
          <cell r="N3173" t="str">
            <v>SG&amp;A</v>
          </cell>
          <cell r="O3173" t="str">
            <v>Bridgette Stacom</v>
          </cell>
        </row>
        <row r="3174">
          <cell r="D3174">
            <v>13.05</v>
          </cell>
          <cell r="H3174">
            <v>45505</v>
          </cell>
          <cell r="I3174" t="str">
            <v>6105 - Meals</v>
          </cell>
          <cell r="J3174" t="str">
            <v>Wholesale</v>
          </cell>
          <cell r="K3174" t="str">
            <v>Wholesale</v>
          </cell>
          <cell r="L3174" t="str">
            <v>T&amp;E</v>
          </cell>
          <cell r="N3174" t="str">
            <v>SG&amp;A</v>
          </cell>
          <cell r="O3174" t="str">
            <v>Bridgette Stacom</v>
          </cell>
        </row>
        <row r="3175">
          <cell r="D3175">
            <v>29236.67</v>
          </cell>
          <cell r="H3175">
            <v>45505</v>
          </cell>
          <cell r="I3175" t="str">
            <v>6320 - Building Rent</v>
          </cell>
          <cell r="J3175">
            <v>0</v>
          </cell>
          <cell r="K3175" t="str">
            <v>Administration</v>
          </cell>
          <cell r="L3175" t="str">
            <v>Rent</v>
          </cell>
          <cell r="N3175" t="str">
            <v>SG&amp;A</v>
          </cell>
          <cell r="O3175" t="str">
            <v>Antelope LLC</v>
          </cell>
        </row>
        <row r="3176">
          <cell r="D3176">
            <v>719.68</v>
          </cell>
          <cell r="H3176">
            <v>45505</v>
          </cell>
          <cell r="I3176" t="str">
            <v>6375 - Freight Expenses</v>
          </cell>
          <cell r="J3176">
            <v>0</v>
          </cell>
          <cell r="K3176" t="str">
            <v>Production</v>
          </cell>
          <cell r="L3176" t="str">
            <v>Freight</v>
          </cell>
          <cell r="N3176" t="str">
            <v>Direct Costs</v>
          </cell>
          <cell r="O3176" t="str">
            <v>DHL Express - USA</v>
          </cell>
        </row>
        <row r="3177">
          <cell r="D3177">
            <v>1633.9</v>
          </cell>
          <cell r="H3177">
            <v>45505</v>
          </cell>
          <cell r="I3177" t="str">
            <v>6040 - Employer Paid Benefits</v>
          </cell>
          <cell r="J3177" t="str">
            <v>Wholesale</v>
          </cell>
          <cell r="K3177" t="str">
            <v>Wholesale</v>
          </cell>
          <cell r="L3177" t="str">
            <v>HQ Salaries</v>
          </cell>
          <cell r="N3177" t="str">
            <v>SG&amp;A</v>
          </cell>
          <cell r="O3177" t="str">
            <v>Excellus Health Plan - Group</v>
          </cell>
        </row>
        <row r="3178">
          <cell r="D3178">
            <v>3839.66</v>
          </cell>
          <cell r="H3178">
            <v>45505</v>
          </cell>
          <cell r="I3178" t="str">
            <v>6040 - Employer Paid Benefits</v>
          </cell>
          <cell r="J3178">
            <v>0</v>
          </cell>
          <cell r="K3178" t="str">
            <v>Production</v>
          </cell>
          <cell r="L3178" t="str">
            <v>HQ Salaries</v>
          </cell>
          <cell r="N3178" t="str">
            <v>SG&amp;A</v>
          </cell>
          <cell r="O3178" t="str">
            <v>Excellus Health Plan - Group</v>
          </cell>
        </row>
        <row r="3179">
          <cell r="D3179">
            <v>816.95</v>
          </cell>
          <cell r="H3179">
            <v>45505</v>
          </cell>
          <cell r="I3179" t="str">
            <v>6040 - Employer Paid Benefits</v>
          </cell>
          <cell r="J3179">
            <v>0</v>
          </cell>
          <cell r="K3179" t="str">
            <v>Merchandising</v>
          </cell>
          <cell r="L3179" t="str">
            <v>HQ Salaries</v>
          </cell>
          <cell r="N3179" t="str">
            <v>SG&amp;A</v>
          </cell>
          <cell r="O3179" t="str">
            <v>Excellus Health Plan - Group</v>
          </cell>
        </row>
        <row r="3180">
          <cell r="D3180">
            <v>816.95</v>
          </cell>
          <cell r="H3180">
            <v>45505</v>
          </cell>
          <cell r="I3180" t="str">
            <v>6040 - Employer Paid Benefits</v>
          </cell>
          <cell r="J3180">
            <v>0</v>
          </cell>
          <cell r="K3180" t="str">
            <v>Brand Marketing</v>
          </cell>
          <cell r="L3180" t="str">
            <v>HQ Salaries</v>
          </cell>
          <cell r="N3180" t="str">
            <v>SG&amp;A</v>
          </cell>
          <cell r="O3180" t="str">
            <v>Excellus Health Plan - Group</v>
          </cell>
        </row>
        <row r="3181">
          <cell r="D3181">
            <v>6459.16</v>
          </cell>
          <cell r="H3181">
            <v>45505</v>
          </cell>
          <cell r="I3181" t="str">
            <v>6040 - Employer Paid Benefits</v>
          </cell>
          <cell r="J3181">
            <v>0</v>
          </cell>
          <cell r="K3181" t="str">
            <v>Executive</v>
          </cell>
          <cell r="L3181" t="str">
            <v>HQ Salaries</v>
          </cell>
          <cell r="N3181" t="str">
            <v>SG&amp;A</v>
          </cell>
          <cell r="O3181" t="str">
            <v>Excellus Health Plan - Group</v>
          </cell>
        </row>
        <row r="3182">
          <cell r="D3182">
            <v>3145.25</v>
          </cell>
          <cell r="H3182">
            <v>45505</v>
          </cell>
          <cell r="I3182" t="str">
            <v>6040 - Employer Paid Benefits</v>
          </cell>
          <cell r="J3182" t="str">
            <v>Ecommerce (US)</v>
          </cell>
          <cell r="K3182" t="str">
            <v>Ecommerce</v>
          </cell>
          <cell r="L3182" t="str">
            <v>HQ Salaries</v>
          </cell>
          <cell r="N3182" t="str">
            <v>SG&amp;A</v>
          </cell>
          <cell r="O3182" t="str">
            <v>Excellus Health Plan - Group</v>
          </cell>
        </row>
        <row r="3183">
          <cell r="D3183">
            <v>3267.79</v>
          </cell>
          <cell r="H3183">
            <v>45505</v>
          </cell>
          <cell r="I3183" t="str">
            <v>6040 - Employer Paid Benefits</v>
          </cell>
          <cell r="J3183">
            <v>0</v>
          </cell>
          <cell r="K3183" t="str">
            <v>Design</v>
          </cell>
          <cell r="L3183" t="str">
            <v>HQ Salaries</v>
          </cell>
          <cell r="N3183" t="str">
            <v>SG&amp;A</v>
          </cell>
          <cell r="O3183" t="str">
            <v>Excellus Health Plan - Group</v>
          </cell>
        </row>
        <row r="3184">
          <cell r="D3184">
            <v>6862.36</v>
          </cell>
          <cell r="H3184">
            <v>45505</v>
          </cell>
          <cell r="I3184" t="str">
            <v>6040 - Employer Paid Benefits</v>
          </cell>
          <cell r="J3184">
            <v>0</v>
          </cell>
          <cell r="K3184" t="str">
            <v>Administration</v>
          </cell>
          <cell r="L3184" t="str">
            <v>HQ Salaries</v>
          </cell>
          <cell r="N3184" t="str">
            <v>SG&amp;A</v>
          </cell>
          <cell r="O3184" t="str">
            <v>Excellus Health Plan - Group</v>
          </cell>
        </row>
        <row r="3185">
          <cell r="D3185">
            <v>110.41</v>
          </cell>
          <cell r="H3185">
            <v>45505</v>
          </cell>
          <cell r="I3185" t="str">
            <v>6040 - Employer Paid Benefits</v>
          </cell>
          <cell r="J3185" t="str">
            <v>Wholesale</v>
          </cell>
          <cell r="K3185" t="str">
            <v>Wholesale</v>
          </cell>
          <cell r="L3185" t="str">
            <v>HQ Salaries</v>
          </cell>
          <cell r="N3185" t="str">
            <v>SG&amp;A</v>
          </cell>
          <cell r="O3185" t="str">
            <v>United of Omaha Life Insurance Company</v>
          </cell>
        </row>
        <row r="3186">
          <cell r="D3186">
            <v>309.77</v>
          </cell>
          <cell r="H3186">
            <v>45505</v>
          </cell>
          <cell r="I3186" t="str">
            <v>6040 - Employer Paid Benefits</v>
          </cell>
          <cell r="J3186">
            <v>0</v>
          </cell>
          <cell r="K3186" t="str">
            <v>Production</v>
          </cell>
          <cell r="L3186" t="str">
            <v>HQ Salaries</v>
          </cell>
          <cell r="N3186" t="str">
            <v>SG&amp;A</v>
          </cell>
          <cell r="O3186" t="str">
            <v>United of Omaha Life Insurance Company</v>
          </cell>
        </row>
        <row r="3187">
          <cell r="D3187">
            <v>86.43</v>
          </cell>
          <cell r="H3187">
            <v>45505</v>
          </cell>
          <cell r="I3187" t="str">
            <v>6040 - Employer Paid Benefits</v>
          </cell>
          <cell r="J3187">
            <v>0</v>
          </cell>
          <cell r="K3187" t="str">
            <v>Merchandising</v>
          </cell>
          <cell r="L3187" t="str">
            <v>HQ Salaries</v>
          </cell>
          <cell r="N3187" t="str">
            <v>SG&amp;A</v>
          </cell>
          <cell r="O3187" t="str">
            <v>United of Omaha Life Insurance Company</v>
          </cell>
        </row>
        <row r="3188">
          <cell r="D3188">
            <v>47.05</v>
          </cell>
          <cell r="H3188">
            <v>45505</v>
          </cell>
          <cell r="I3188" t="str">
            <v>6040 - Employer Paid Benefits</v>
          </cell>
          <cell r="J3188">
            <v>0</v>
          </cell>
          <cell r="K3188" t="str">
            <v>Brand Marketing</v>
          </cell>
          <cell r="L3188" t="str">
            <v>HQ Salaries</v>
          </cell>
          <cell r="N3188" t="str">
            <v>SG&amp;A</v>
          </cell>
          <cell r="O3188" t="str">
            <v>United of Omaha Life Insurance Company</v>
          </cell>
        </row>
        <row r="3189">
          <cell r="D3189">
            <v>212.28</v>
          </cell>
          <cell r="H3189">
            <v>45505</v>
          </cell>
          <cell r="I3189" t="str">
            <v>6040 - Employer Paid Benefits</v>
          </cell>
          <cell r="J3189">
            <v>0</v>
          </cell>
          <cell r="K3189" t="str">
            <v>Executive</v>
          </cell>
          <cell r="L3189" t="str">
            <v>HQ Salaries</v>
          </cell>
          <cell r="N3189" t="str">
            <v>SG&amp;A</v>
          </cell>
          <cell r="O3189" t="str">
            <v>United of Omaha Life Insurance Company</v>
          </cell>
        </row>
        <row r="3190">
          <cell r="D3190">
            <v>173.02</v>
          </cell>
          <cell r="H3190">
            <v>45505</v>
          </cell>
          <cell r="I3190" t="str">
            <v>6040 - Employer Paid Benefits</v>
          </cell>
          <cell r="J3190" t="str">
            <v>Ecommerce (US)</v>
          </cell>
          <cell r="K3190" t="str">
            <v>Ecommerce</v>
          </cell>
          <cell r="L3190" t="str">
            <v>HQ Salaries</v>
          </cell>
          <cell r="N3190" t="str">
            <v>SG&amp;A</v>
          </cell>
          <cell r="O3190" t="str">
            <v>United of Omaha Life Insurance Company</v>
          </cell>
        </row>
        <row r="3191">
          <cell r="D3191">
            <v>223.89</v>
          </cell>
          <cell r="H3191">
            <v>45505</v>
          </cell>
          <cell r="I3191" t="str">
            <v>6040 - Employer Paid Benefits</v>
          </cell>
          <cell r="J3191">
            <v>0</v>
          </cell>
          <cell r="K3191" t="str">
            <v>Design</v>
          </cell>
          <cell r="L3191" t="str">
            <v>HQ Salaries</v>
          </cell>
          <cell r="N3191" t="str">
            <v>SG&amp;A</v>
          </cell>
          <cell r="O3191" t="str">
            <v>United of Omaha Life Insurance Company</v>
          </cell>
        </row>
        <row r="3192">
          <cell r="D3192">
            <v>432.63</v>
          </cell>
          <cell r="H3192">
            <v>45505</v>
          </cell>
          <cell r="I3192" t="str">
            <v>6040 - Employer Paid Benefits</v>
          </cell>
          <cell r="J3192">
            <v>0</v>
          </cell>
          <cell r="K3192" t="str">
            <v>Administration</v>
          </cell>
          <cell r="L3192" t="str">
            <v>HQ Salaries</v>
          </cell>
          <cell r="N3192" t="str">
            <v>SG&amp;A</v>
          </cell>
          <cell r="O3192" t="str">
            <v>United of Omaha Life Insurance Company</v>
          </cell>
        </row>
        <row r="3193">
          <cell r="D3193">
            <v>24.54</v>
          </cell>
          <cell r="H3193">
            <v>45505</v>
          </cell>
          <cell r="I3193" t="str">
            <v>6040 - Employer Paid Benefits</v>
          </cell>
          <cell r="J3193" t="str">
            <v>Wholesale</v>
          </cell>
          <cell r="K3193" t="str">
            <v>Wholesale</v>
          </cell>
          <cell r="L3193" t="str">
            <v>HQ Salaries</v>
          </cell>
          <cell r="N3193" t="str">
            <v>SG&amp;A</v>
          </cell>
          <cell r="O3193" t="str">
            <v>Allied Administrators</v>
          </cell>
        </row>
        <row r="3194">
          <cell r="D3194">
            <v>125.91</v>
          </cell>
          <cell r="H3194">
            <v>45505</v>
          </cell>
          <cell r="I3194" t="str">
            <v>6040 - Employer Paid Benefits</v>
          </cell>
          <cell r="J3194">
            <v>0</v>
          </cell>
          <cell r="K3194" t="str">
            <v>Production</v>
          </cell>
          <cell r="L3194" t="str">
            <v>HQ Salaries</v>
          </cell>
          <cell r="N3194" t="str">
            <v>SG&amp;A</v>
          </cell>
          <cell r="O3194" t="str">
            <v>Allied Administrators</v>
          </cell>
        </row>
        <row r="3195">
          <cell r="D3195">
            <v>24.54</v>
          </cell>
          <cell r="H3195">
            <v>45505</v>
          </cell>
          <cell r="I3195" t="str">
            <v>6040 - Employer Paid Benefits</v>
          </cell>
          <cell r="J3195">
            <v>0</v>
          </cell>
          <cell r="K3195" t="str">
            <v>Merchandising</v>
          </cell>
          <cell r="L3195" t="str">
            <v>HQ Salaries</v>
          </cell>
          <cell r="N3195" t="str">
            <v>SG&amp;A</v>
          </cell>
          <cell r="O3195" t="str">
            <v>Allied Administrators</v>
          </cell>
        </row>
        <row r="3196">
          <cell r="D3196">
            <v>364.5</v>
          </cell>
          <cell r="H3196">
            <v>45505</v>
          </cell>
          <cell r="I3196" t="str">
            <v>6040 - Employer Paid Benefits</v>
          </cell>
          <cell r="J3196">
            <v>0</v>
          </cell>
          <cell r="K3196" t="str">
            <v>Executive</v>
          </cell>
          <cell r="L3196" t="str">
            <v>HQ Salaries</v>
          </cell>
          <cell r="N3196" t="str">
            <v>SG&amp;A</v>
          </cell>
          <cell r="O3196" t="str">
            <v>Allied Administrators</v>
          </cell>
        </row>
        <row r="3197">
          <cell r="D3197">
            <v>76.83</v>
          </cell>
          <cell r="H3197">
            <v>45505</v>
          </cell>
          <cell r="I3197" t="str">
            <v>6040 - Employer Paid Benefits</v>
          </cell>
          <cell r="J3197" t="str">
            <v>Ecommerce (US)</v>
          </cell>
          <cell r="K3197" t="str">
            <v>Ecommerce</v>
          </cell>
          <cell r="L3197" t="str">
            <v>HQ Salaries</v>
          </cell>
          <cell r="N3197" t="str">
            <v>SG&amp;A</v>
          </cell>
          <cell r="O3197" t="str">
            <v>Allied Administrators</v>
          </cell>
        </row>
        <row r="3198">
          <cell r="D3198">
            <v>101.37</v>
          </cell>
          <cell r="H3198">
            <v>45505</v>
          </cell>
          <cell r="I3198" t="str">
            <v>6040 - Employer Paid Benefits</v>
          </cell>
          <cell r="J3198">
            <v>0</v>
          </cell>
          <cell r="K3198" t="str">
            <v>Design</v>
          </cell>
          <cell r="L3198" t="str">
            <v>HQ Salaries</v>
          </cell>
          <cell r="N3198" t="str">
            <v>SG&amp;A</v>
          </cell>
          <cell r="O3198" t="str">
            <v>Allied Administrators</v>
          </cell>
        </row>
        <row r="3199">
          <cell r="D3199">
            <v>-7.73</v>
          </cell>
          <cell r="H3199">
            <v>45505</v>
          </cell>
          <cell r="I3199" t="str">
            <v>6340 - Miscellaneous Expense</v>
          </cell>
          <cell r="J3199">
            <v>0</v>
          </cell>
          <cell r="K3199" t="str">
            <v>No Department</v>
          </cell>
          <cell r="L3199" t="str">
            <v>Other</v>
          </cell>
          <cell r="N3199" t="str">
            <v>SG&amp;A</v>
          </cell>
          <cell r="O3199" t="str">
            <v>Amazon Capital Services</v>
          </cell>
        </row>
        <row r="3200">
          <cell r="D3200">
            <v>-195.96</v>
          </cell>
          <cell r="H3200">
            <v>45505</v>
          </cell>
          <cell r="I3200" t="str">
            <v>6340 - Miscellaneous Expense</v>
          </cell>
          <cell r="J3200">
            <v>0</v>
          </cell>
          <cell r="K3200" t="str">
            <v>No Department</v>
          </cell>
          <cell r="L3200" t="str">
            <v>Other</v>
          </cell>
          <cell r="N3200" t="str">
            <v>SG&amp;A</v>
          </cell>
          <cell r="O3200" t="str">
            <v>Amazon Capital Services</v>
          </cell>
        </row>
        <row r="3201">
          <cell r="D3201">
            <v>-20892.330000000002</v>
          </cell>
          <cell r="H3201">
            <v>45505</v>
          </cell>
          <cell r="I3201" t="str">
            <v>6005 - Salaries</v>
          </cell>
          <cell r="J3201">
            <v>0</v>
          </cell>
          <cell r="K3201" t="str">
            <v>Administration</v>
          </cell>
          <cell r="L3201" t="str">
            <v>HQ Salaries</v>
          </cell>
          <cell r="N3201" t="str">
            <v>SG&amp;A</v>
          </cell>
          <cell r="O3201" t="str">
            <v>[No Vendor]</v>
          </cell>
        </row>
        <row r="3202">
          <cell r="D3202">
            <v>5616</v>
          </cell>
          <cell r="H3202">
            <v>45505</v>
          </cell>
          <cell r="I3202" t="str">
            <v>6287 - Events</v>
          </cell>
          <cell r="J3202" t="str">
            <v>Wholesale</v>
          </cell>
          <cell r="K3202" t="str">
            <v>Brand Marketing</v>
          </cell>
          <cell r="L3202" t="str">
            <v>Advertising</v>
          </cell>
          <cell r="N3202" t="str">
            <v>SG&amp;A</v>
          </cell>
          <cell r="O3202" t="str">
            <v>[No Vendor]</v>
          </cell>
        </row>
        <row r="3203">
          <cell r="D3203">
            <v>1800</v>
          </cell>
          <cell r="H3203">
            <v>45505</v>
          </cell>
          <cell r="I3203" t="str">
            <v>6205 - Contractors</v>
          </cell>
          <cell r="J3203">
            <v>0</v>
          </cell>
          <cell r="K3203" t="str">
            <v>Design</v>
          </cell>
          <cell r="L3203" t="str">
            <v>HQ Salaries</v>
          </cell>
          <cell r="N3203" t="str">
            <v>SG&amp;A</v>
          </cell>
          <cell r="O3203" t="str">
            <v>[No Vendor]</v>
          </cell>
        </row>
        <row r="3204">
          <cell r="D3204">
            <v>0</v>
          </cell>
          <cell r="H3204">
            <v>45505</v>
          </cell>
          <cell r="I3204" t="str">
            <v>6205 - Contractors</v>
          </cell>
          <cell r="J3204">
            <v>0</v>
          </cell>
          <cell r="K3204" t="str">
            <v>Design</v>
          </cell>
          <cell r="L3204" t="str">
            <v>HQ Salaries</v>
          </cell>
          <cell r="N3204" t="str">
            <v>SG&amp;A</v>
          </cell>
          <cell r="O3204" t="str">
            <v>[No Vendor]</v>
          </cell>
        </row>
        <row r="3205">
          <cell r="D3205">
            <v>0</v>
          </cell>
          <cell r="H3205">
            <v>45505</v>
          </cell>
          <cell r="I3205" t="str">
            <v>6205 - Contractors</v>
          </cell>
          <cell r="J3205">
            <v>0</v>
          </cell>
          <cell r="K3205" t="str">
            <v>Brand Marketing</v>
          </cell>
          <cell r="L3205" t="str">
            <v>HQ Salaries</v>
          </cell>
          <cell r="N3205" t="str">
            <v>SG&amp;A</v>
          </cell>
          <cell r="O3205" t="str">
            <v>[No Vendor]</v>
          </cell>
        </row>
        <row r="3206">
          <cell r="D3206">
            <v>-11521.42</v>
          </cell>
          <cell r="H3206">
            <v>45505</v>
          </cell>
          <cell r="I3206" t="str">
            <v>6205 - Contractors</v>
          </cell>
          <cell r="J3206" t="str">
            <v>Ecommerce (US)</v>
          </cell>
          <cell r="K3206" t="str">
            <v>Ecommerce</v>
          </cell>
          <cell r="L3206" t="str">
            <v>HQ Salaries</v>
          </cell>
          <cell r="N3206" t="str">
            <v>SG&amp;A</v>
          </cell>
          <cell r="O3206" t="str">
            <v>[No Vendor]</v>
          </cell>
        </row>
        <row r="3207">
          <cell r="D3207">
            <v>16.329999999999998</v>
          </cell>
          <cell r="H3207">
            <v>45505</v>
          </cell>
          <cell r="I3207" t="str">
            <v>6385 - Insurance</v>
          </cell>
          <cell r="J3207">
            <v>0</v>
          </cell>
          <cell r="K3207" t="str">
            <v>Administration</v>
          </cell>
          <cell r="L3207" t="str">
            <v>Professional Service</v>
          </cell>
          <cell r="N3207" t="str">
            <v>SG&amp;A</v>
          </cell>
          <cell r="O3207" t="str">
            <v>[No Vendor]</v>
          </cell>
        </row>
        <row r="3208">
          <cell r="D3208">
            <v>10.53</v>
          </cell>
          <cell r="H3208">
            <v>45505</v>
          </cell>
          <cell r="I3208" t="str">
            <v>6385 - Insurance</v>
          </cell>
          <cell r="J3208">
            <v>0</v>
          </cell>
          <cell r="K3208" t="str">
            <v>Administration</v>
          </cell>
          <cell r="L3208" t="str">
            <v>Professional Service</v>
          </cell>
          <cell r="N3208" t="str">
            <v>SG&amp;A</v>
          </cell>
          <cell r="O3208" t="str">
            <v>[No Vendor]</v>
          </cell>
        </row>
        <row r="3209">
          <cell r="D3209">
            <v>38.58</v>
          </cell>
          <cell r="H3209">
            <v>45505</v>
          </cell>
          <cell r="I3209" t="str">
            <v>6385 - Insurance</v>
          </cell>
          <cell r="J3209">
            <v>0</v>
          </cell>
          <cell r="K3209" t="str">
            <v>Administration</v>
          </cell>
          <cell r="L3209" t="str">
            <v>Professional Service</v>
          </cell>
          <cell r="N3209" t="str">
            <v>SG&amp;A</v>
          </cell>
          <cell r="O3209" t="str">
            <v>[No Vendor]</v>
          </cell>
        </row>
        <row r="3210">
          <cell r="D3210">
            <v>10.71</v>
          </cell>
          <cell r="H3210">
            <v>45505</v>
          </cell>
          <cell r="I3210" t="str">
            <v>6385 - Insurance</v>
          </cell>
          <cell r="J3210">
            <v>0</v>
          </cell>
          <cell r="K3210" t="str">
            <v>Administration</v>
          </cell>
          <cell r="L3210" t="str">
            <v>Professional Service</v>
          </cell>
          <cell r="N3210" t="str">
            <v>SG&amp;A</v>
          </cell>
          <cell r="O3210" t="str">
            <v>[No Vendor]</v>
          </cell>
        </row>
        <row r="3211">
          <cell r="D3211">
            <v>34.24</v>
          </cell>
          <cell r="H3211">
            <v>45505</v>
          </cell>
          <cell r="I3211" t="str">
            <v>6385 - Insurance</v>
          </cell>
          <cell r="J3211">
            <v>0</v>
          </cell>
          <cell r="K3211" t="str">
            <v>Administration</v>
          </cell>
          <cell r="L3211" t="str">
            <v>Professional Service</v>
          </cell>
          <cell r="N3211" t="str">
            <v>SG&amp;A</v>
          </cell>
          <cell r="O3211" t="str">
            <v>[No Vendor]</v>
          </cell>
        </row>
        <row r="3212">
          <cell r="D3212">
            <v>33.340000000000003</v>
          </cell>
          <cell r="H3212">
            <v>45505</v>
          </cell>
          <cell r="I3212" t="str">
            <v>6385 - Insurance</v>
          </cell>
          <cell r="J3212">
            <v>0</v>
          </cell>
          <cell r="K3212" t="str">
            <v>Administration</v>
          </cell>
          <cell r="L3212" t="str">
            <v>Professional Service</v>
          </cell>
          <cell r="N3212" t="str">
            <v>SG&amp;A</v>
          </cell>
          <cell r="O3212" t="str">
            <v>[No Vendor]</v>
          </cell>
        </row>
        <row r="3213">
          <cell r="D3213">
            <v>47.58</v>
          </cell>
          <cell r="H3213">
            <v>45505</v>
          </cell>
          <cell r="I3213" t="str">
            <v>6385 - Insurance</v>
          </cell>
          <cell r="J3213">
            <v>0</v>
          </cell>
          <cell r="K3213" t="str">
            <v>Administration</v>
          </cell>
          <cell r="L3213" t="str">
            <v>Professional Service</v>
          </cell>
          <cell r="N3213" t="str">
            <v>SG&amp;A</v>
          </cell>
          <cell r="O3213" t="str">
            <v>[No Vendor]</v>
          </cell>
        </row>
        <row r="3214">
          <cell r="D3214">
            <v>32.19</v>
          </cell>
          <cell r="H3214">
            <v>45505</v>
          </cell>
          <cell r="I3214" t="str">
            <v>6385 - Insurance</v>
          </cell>
          <cell r="J3214">
            <v>0</v>
          </cell>
          <cell r="K3214" t="str">
            <v>Administration</v>
          </cell>
          <cell r="L3214" t="str">
            <v>Professional Service</v>
          </cell>
          <cell r="N3214" t="str">
            <v>SG&amp;A</v>
          </cell>
          <cell r="O3214" t="str">
            <v>[No Vendor]</v>
          </cell>
        </row>
        <row r="3215">
          <cell r="D3215">
            <v>-769.95</v>
          </cell>
          <cell r="H3215">
            <v>45505</v>
          </cell>
          <cell r="I3215" t="str">
            <v>6400 - Utilities</v>
          </cell>
          <cell r="J3215">
            <v>0</v>
          </cell>
          <cell r="K3215" t="str">
            <v>Administration</v>
          </cell>
          <cell r="L3215" t="str">
            <v>Other</v>
          </cell>
          <cell r="N3215" t="str">
            <v>SG&amp;A</v>
          </cell>
          <cell r="O3215" t="str">
            <v>[No Vendor]</v>
          </cell>
        </row>
        <row r="3216">
          <cell r="D3216">
            <v>-463.51</v>
          </cell>
          <cell r="H3216">
            <v>45505</v>
          </cell>
          <cell r="I3216" t="str">
            <v>6055 - Employer Social Security Tax Withheld</v>
          </cell>
          <cell r="J3216">
            <v>0</v>
          </cell>
          <cell r="K3216" t="str">
            <v>Merchandising</v>
          </cell>
          <cell r="L3216" t="str">
            <v>HQ Salaries</v>
          </cell>
          <cell r="N3216" t="str">
            <v>SG&amp;A</v>
          </cell>
          <cell r="O3216" t="str">
            <v>[No Vendor]</v>
          </cell>
        </row>
        <row r="3217">
          <cell r="D3217">
            <v>-889.06</v>
          </cell>
          <cell r="H3217">
            <v>45505</v>
          </cell>
          <cell r="I3217" t="str">
            <v>6055 - Employer Social Security Tax Withheld</v>
          </cell>
          <cell r="J3217" t="str">
            <v>Wholesale</v>
          </cell>
          <cell r="K3217" t="str">
            <v>Wholesale</v>
          </cell>
          <cell r="L3217" t="str">
            <v>HQ Salaries</v>
          </cell>
          <cell r="N3217" t="str">
            <v>SG&amp;A</v>
          </cell>
          <cell r="O3217" t="str">
            <v>[No Vendor]</v>
          </cell>
        </row>
        <row r="3218">
          <cell r="D3218">
            <v>-1780.4</v>
          </cell>
          <cell r="H3218">
            <v>45505</v>
          </cell>
          <cell r="I3218" t="str">
            <v>6055 - Employer Social Security Tax Withheld</v>
          </cell>
          <cell r="J3218">
            <v>0</v>
          </cell>
          <cell r="K3218" t="str">
            <v>Production</v>
          </cell>
          <cell r="L3218" t="str">
            <v>HQ Salaries</v>
          </cell>
          <cell r="N3218" t="str">
            <v>SG&amp;A</v>
          </cell>
          <cell r="O3218" t="str">
            <v>[No Vendor]</v>
          </cell>
        </row>
        <row r="3219">
          <cell r="D3219">
            <v>-292.74</v>
          </cell>
          <cell r="H3219">
            <v>45505</v>
          </cell>
          <cell r="I3219" t="str">
            <v>6055 - Employer Social Security Tax Withheld</v>
          </cell>
          <cell r="J3219">
            <v>0</v>
          </cell>
          <cell r="K3219" t="str">
            <v>Brand Marketing</v>
          </cell>
          <cell r="L3219" t="str">
            <v>HQ Salaries</v>
          </cell>
          <cell r="N3219" t="str">
            <v>SG&amp;A</v>
          </cell>
          <cell r="O3219" t="str">
            <v>[No Vendor]</v>
          </cell>
        </row>
        <row r="3220">
          <cell r="D3220">
            <v>-1106.04</v>
          </cell>
          <cell r="H3220">
            <v>45505</v>
          </cell>
          <cell r="I3220" t="str">
            <v>6055 - Employer Social Security Tax Withheld</v>
          </cell>
          <cell r="J3220">
            <v>0</v>
          </cell>
          <cell r="K3220" t="str">
            <v>Executive</v>
          </cell>
          <cell r="L3220" t="str">
            <v>HQ Salaries</v>
          </cell>
          <cell r="N3220" t="str">
            <v>SG&amp;A</v>
          </cell>
          <cell r="O3220" t="str">
            <v>[No Vendor]</v>
          </cell>
        </row>
        <row r="3221">
          <cell r="D3221">
            <v>-1288.06</v>
          </cell>
          <cell r="H3221">
            <v>45505</v>
          </cell>
          <cell r="I3221" t="str">
            <v>6055 - Employer Social Security Tax Withheld</v>
          </cell>
          <cell r="J3221" t="str">
            <v>Ecommerce (US)</v>
          </cell>
          <cell r="K3221" t="str">
            <v>Ecommerce</v>
          </cell>
          <cell r="L3221" t="str">
            <v>HQ Salaries</v>
          </cell>
          <cell r="N3221" t="str">
            <v>SG&amp;A</v>
          </cell>
          <cell r="O3221" t="str">
            <v>[No Vendor]</v>
          </cell>
        </row>
        <row r="3222">
          <cell r="D3222">
            <v>-1770.13</v>
          </cell>
          <cell r="H3222">
            <v>45505</v>
          </cell>
          <cell r="I3222" t="str">
            <v>6055 - Employer Social Security Tax Withheld</v>
          </cell>
          <cell r="J3222">
            <v>0</v>
          </cell>
          <cell r="K3222" t="str">
            <v>Design</v>
          </cell>
          <cell r="L3222" t="str">
            <v>HQ Salaries</v>
          </cell>
          <cell r="N3222" t="str">
            <v>SG&amp;A</v>
          </cell>
          <cell r="O3222" t="str">
            <v>[No Vendor]</v>
          </cell>
        </row>
        <row r="3223">
          <cell r="D3223">
            <v>-1604.04</v>
          </cell>
          <cell r="H3223">
            <v>45505</v>
          </cell>
          <cell r="I3223" t="str">
            <v>6055 - Employer Social Security Tax Withheld</v>
          </cell>
          <cell r="J3223">
            <v>0</v>
          </cell>
          <cell r="K3223" t="str">
            <v>Administration</v>
          </cell>
          <cell r="L3223" t="str">
            <v>HQ Salaries</v>
          </cell>
          <cell r="N3223" t="str">
            <v>SG&amp;A</v>
          </cell>
          <cell r="O3223" t="str">
            <v>[No Vendor]</v>
          </cell>
        </row>
        <row r="3224">
          <cell r="D3224">
            <v>-130.22999999999999</v>
          </cell>
          <cell r="H3224">
            <v>45505</v>
          </cell>
          <cell r="I3224" t="str">
            <v>6375 - Freight Expenses</v>
          </cell>
          <cell r="J3224" t="str">
            <v>Ecommerce (US)</v>
          </cell>
          <cell r="K3224" t="str">
            <v>Ecommerce</v>
          </cell>
          <cell r="L3224" t="str">
            <v>Freight</v>
          </cell>
          <cell r="N3224" t="str">
            <v>Direct Costs</v>
          </cell>
          <cell r="O3224" t="str">
            <v>UPS Supply Chain Solutions Inc. (7F24A0)</v>
          </cell>
        </row>
        <row r="3225">
          <cell r="D3225">
            <v>0</v>
          </cell>
          <cell r="H3225">
            <v>45505</v>
          </cell>
          <cell r="I3225" t="str">
            <v>6040 - Employer Paid Benefits</v>
          </cell>
          <cell r="J3225">
            <v>0</v>
          </cell>
          <cell r="K3225" t="str">
            <v>Merchandising</v>
          </cell>
          <cell r="L3225" t="str">
            <v>HQ Salaries</v>
          </cell>
          <cell r="N3225" t="str">
            <v>SG&amp;A</v>
          </cell>
          <cell r="O3225" t="str">
            <v>[No Vendor]</v>
          </cell>
        </row>
        <row r="3226">
          <cell r="D3226">
            <v>36.130000000000003</v>
          </cell>
          <cell r="H3226">
            <v>45505</v>
          </cell>
          <cell r="I3226" t="str">
            <v>6040 - Employer Paid Benefits</v>
          </cell>
          <cell r="J3226" t="str">
            <v>Wholesale</v>
          </cell>
          <cell r="K3226" t="str">
            <v>Wholesale</v>
          </cell>
          <cell r="L3226" t="str">
            <v>HQ Salaries</v>
          </cell>
          <cell r="N3226" t="str">
            <v>SG&amp;A</v>
          </cell>
          <cell r="O3226" t="str">
            <v>[No Vendor]</v>
          </cell>
        </row>
        <row r="3227">
          <cell r="D3227">
            <v>225.1</v>
          </cell>
          <cell r="H3227">
            <v>45505</v>
          </cell>
          <cell r="I3227" t="str">
            <v>6040 - Employer Paid Benefits</v>
          </cell>
          <cell r="J3227">
            <v>0</v>
          </cell>
          <cell r="K3227" t="str">
            <v>Production</v>
          </cell>
          <cell r="L3227" t="str">
            <v>HQ Salaries</v>
          </cell>
          <cell r="N3227" t="str">
            <v>SG&amp;A</v>
          </cell>
          <cell r="O3227" t="str">
            <v>[No Vendor]</v>
          </cell>
        </row>
        <row r="3228">
          <cell r="D3228">
            <v>18.059999999999999</v>
          </cell>
          <cell r="H3228">
            <v>45505</v>
          </cell>
          <cell r="I3228" t="str">
            <v>6040 - Employer Paid Benefits</v>
          </cell>
          <cell r="J3228">
            <v>0</v>
          </cell>
          <cell r="K3228" t="str">
            <v>Brand Marketing</v>
          </cell>
          <cell r="L3228" t="str">
            <v>HQ Salaries</v>
          </cell>
          <cell r="N3228" t="str">
            <v>SG&amp;A</v>
          </cell>
          <cell r="O3228" t="str">
            <v>[No Vendor]</v>
          </cell>
        </row>
        <row r="3229">
          <cell r="D3229">
            <v>47.42</v>
          </cell>
          <cell r="H3229">
            <v>45505</v>
          </cell>
          <cell r="I3229" t="str">
            <v>6040 - Employer Paid Benefits</v>
          </cell>
          <cell r="J3229">
            <v>0</v>
          </cell>
          <cell r="K3229" t="str">
            <v>Executive</v>
          </cell>
          <cell r="L3229" t="str">
            <v>HQ Salaries</v>
          </cell>
          <cell r="N3229" t="str">
            <v>SG&amp;A</v>
          </cell>
          <cell r="O3229" t="str">
            <v>[No Vendor]</v>
          </cell>
        </row>
        <row r="3230">
          <cell r="D3230">
            <v>97.48</v>
          </cell>
          <cell r="H3230">
            <v>45505</v>
          </cell>
          <cell r="I3230" t="str">
            <v>6040 - Employer Paid Benefits</v>
          </cell>
          <cell r="J3230" t="str">
            <v>Ecommerce (US)</v>
          </cell>
          <cell r="K3230" t="str">
            <v>Ecommerce</v>
          </cell>
          <cell r="L3230" t="str">
            <v>HQ Salaries</v>
          </cell>
          <cell r="N3230" t="str">
            <v>SG&amp;A</v>
          </cell>
          <cell r="O3230" t="str">
            <v>[No Vendor]</v>
          </cell>
        </row>
        <row r="3231">
          <cell r="D3231">
            <v>290.74</v>
          </cell>
          <cell r="H3231">
            <v>45505</v>
          </cell>
          <cell r="I3231" t="str">
            <v>6040 - Employer Paid Benefits</v>
          </cell>
          <cell r="J3231">
            <v>0</v>
          </cell>
          <cell r="K3231" t="str">
            <v>Design</v>
          </cell>
          <cell r="L3231" t="str">
            <v>HQ Salaries</v>
          </cell>
          <cell r="N3231" t="str">
            <v>SG&amp;A</v>
          </cell>
          <cell r="O3231" t="str">
            <v>[No Vendor]</v>
          </cell>
        </row>
        <row r="3232">
          <cell r="D3232">
            <v>207.73</v>
          </cell>
          <cell r="H3232">
            <v>45505</v>
          </cell>
          <cell r="I3232" t="str">
            <v>6040 - Employer Paid Benefits</v>
          </cell>
          <cell r="J3232">
            <v>0</v>
          </cell>
          <cell r="K3232" t="str">
            <v>Administration</v>
          </cell>
          <cell r="L3232" t="str">
            <v>HQ Salaries</v>
          </cell>
          <cell r="N3232" t="str">
            <v>SG&amp;A</v>
          </cell>
          <cell r="O3232" t="str">
            <v>[No Vendor]</v>
          </cell>
        </row>
        <row r="3233">
          <cell r="D3233">
            <v>-94.04</v>
          </cell>
          <cell r="H3233">
            <v>45505</v>
          </cell>
          <cell r="I3233" t="str">
            <v>6040 - Employer Paid Benefits</v>
          </cell>
          <cell r="J3233">
            <v>0</v>
          </cell>
          <cell r="K3233" t="str">
            <v>Administration</v>
          </cell>
          <cell r="L3233" t="str">
            <v>HQ Salaries</v>
          </cell>
          <cell r="N3233" t="str">
            <v>SG&amp;A</v>
          </cell>
          <cell r="O3233" t="str">
            <v>[No Vendor]</v>
          </cell>
        </row>
        <row r="3234">
          <cell r="D3234">
            <v>-4120</v>
          </cell>
          <cell r="H3234">
            <v>45505</v>
          </cell>
          <cell r="I3234" t="str">
            <v>6005 - Salaries</v>
          </cell>
          <cell r="J3234">
            <v>0</v>
          </cell>
          <cell r="K3234" t="str">
            <v>Merchandising</v>
          </cell>
          <cell r="L3234" t="str">
            <v>HQ Salaries</v>
          </cell>
          <cell r="N3234" t="str">
            <v>SG&amp;A</v>
          </cell>
          <cell r="O3234" t="str">
            <v>[No Vendor]</v>
          </cell>
        </row>
        <row r="3235">
          <cell r="D3235">
            <v>-7929.26</v>
          </cell>
          <cell r="H3235">
            <v>45505</v>
          </cell>
          <cell r="I3235" t="str">
            <v>6005 - Salaries</v>
          </cell>
          <cell r="J3235" t="str">
            <v>Wholesale</v>
          </cell>
          <cell r="K3235" t="str">
            <v>Wholesale</v>
          </cell>
          <cell r="L3235" t="str">
            <v>HQ Salaries</v>
          </cell>
          <cell r="N3235" t="str">
            <v>SG&amp;A</v>
          </cell>
          <cell r="O3235" t="str">
            <v>[No Vendor]</v>
          </cell>
        </row>
        <row r="3236">
          <cell r="D3236">
            <v>-15990.79</v>
          </cell>
          <cell r="H3236">
            <v>45505</v>
          </cell>
          <cell r="I3236" t="str">
            <v>6005 - Salaries</v>
          </cell>
          <cell r="J3236">
            <v>0</v>
          </cell>
          <cell r="K3236" t="str">
            <v>Production</v>
          </cell>
          <cell r="L3236" t="str">
            <v>HQ Salaries</v>
          </cell>
          <cell r="N3236" t="str">
            <v>SG&amp;A</v>
          </cell>
          <cell r="O3236" t="str">
            <v>[No Vendor]</v>
          </cell>
        </row>
        <row r="3237">
          <cell r="D3237">
            <v>-2615.39</v>
          </cell>
          <cell r="H3237">
            <v>45505</v>
          </cell>
          <cell r="I3237" t="str">
            <v>6005 - Salaries</v>
          </cell>
          <cell r="J3237">
            <v>0</v>
          </cell>
          <cell r="K3237" t="str">
            <v>Brand Marketing</v>
          </cell>
          <cell r="L3237" t="str">
            <v>HQ Salaries</v>
          </cell>
          <cell r="N3237" t="str">
            <v>SG&amp;A</v>
          </cell>
          <cell r="O3237" t="str">
            <v>[No Vendor]</v>
          </cell>
        </row>
        <row r="3238">
          <cell r="D3238">
            <v>-8923.08</v>
          </cell>
          <cell r="H3238">
            <v>45505</v>
          </cell>
          <cell r="I3238" t="str">
            <v>6005 - Salaries</v>
          </cell>
          <cell r="J3238">
            <v>0</v>
          </cell>
          <cell r="K3238" t="str">
            <v>Executive</v>
          </cell>
          <cell r="L3238" t="str">
            <v>HQ Salaries</v>
          </cell>
          <cell r="N3238" t="str">
            <v>SG&amp;A</v>
          </cell>
          <cell r="O3238" t="str">
            <v>[No Vendor]</v>
          </cell>
        </row>
        <row r="3239">
          <cell r="D3239">
            <v>-19504.990000000002</v>
          </cell>
          <cell r="H3239">
            <v>45505</v>
          </cell>
          <cell r="I3239" t="str">
            <v>6005 - Salaries</v>
          </cell>
          <cell r="J3239" t="str">
            <v>Ecommerce (US)</v>
          </cell>
          <cell r="K3239" t="str">
            <v>Ecommerce</v>
          </cell>
          <cell r="L3239" t="str">
            <v>HQ Salaries</v>
          </cell>
          <cell r="N3239" t="str">
            <v>SG&amp;A</v>
          </cell>
          <cell r="O3239" t="str">
            <v>[No Vendor]</v>
          </cell>
        </row>
        <row r="3240">
          <cell r="D3240">
            <v>-16686.16</v>
          </cell>
          <cell r="H3240">
            <v>45505</v>
          </cell>
          <cell r="I3240" t="str">
            <v>6005 - Salaries</v>
          </cell>
          <cell r="J3240">
            <v>0</v>
          </cell>
          <cell r="K3240" t="str">
            <v>Design</v>
          </cell>
          <cell r="L3240" t="str">
            <v>HQ Salaries</v>
          </cell>
          <cell r="N3240" t="str">
            <v>SG&amp;A</v>
          </cell>
          <cell r="O3240" t="str">
            <v>[No Vendor]</v>
          </cell>
        </row>
        <row r="3241">
          <cell r="D3241">
            <v>572.79</v>
          </cell>
          <cell r="H3241">
            <v>45505</v>
          </cell>
          <cell r="I3241" t="str">
            <v>6300 - Payroll Service Fees</v>
          </cell>
          <cell r="J3241">
            <v>0</v>
          </cell>
          <cell r="K3241" t="str">
            <v>Administration</v>
          </cell>
          <cell r="L3241" t="str">
            <v>Professional Service</v>
          </cell>
          <cell r="N3241" t="str">
            <v>SG&amp;A</v>
          </cell>
          <cell r="O3241" t="str">
            <v>ADP Payroll Services</v>
          </cell>
        </row>
        <row r="3242">
          <cell r="D3242">
            <v>52.23</v>
          </cell>
          <cell r="H3242">
            <v>45505</v>
          </cell>
          <cell r="I3242" t="str">
            <v>8505 - Realized Gain/Loss</v>
          </cell>
          <cell r="J3242">
            <v>0</v>
          </cell>
          <cell r="K3242" t="str">
            <v>No Department</v>
          </cell>
          <cell r="L3242" t="str">
            <v>Realized Gain / Loss</v>
          </cell>
          <cell r="N3242" t="str">
            <v>BTL</v>
          </cell>
          <cell r="O3242" t="str">
            <v>[No Vendor]</v>
          </cell>
        </row>
        <row r="3243">
          <cell r="D3243">
            <v>334.68</v>
          </cell>
          <cell r="H3243">
            <v>45505</v>
          </cell>
          <cell r="I3243" t="str">
            <v>6300 - Payroll Service Fees</v>
          </cell>
          <cell r="J3243">
            <v>0</v>
          </cell>
          <cell r="K3243" t="str">
            <v>Administration</v>
          </cell>
          <cell r="L3243" t="str">
            <v>Professional Service</v>
          </cell>
          <cell r="N3243" t="str">
            <v>SG&amp;A</v>
          </cell>
          <cell r="O3243" t="str">
            <v>ADP Payroll Services</v>
          </cell>
        </row>
        <row r="3244">
          <cell r="D3244">
            <v>4581.84</v>
          </cell>
          <cell r="H3244">
            <v>45505</v>
          </cell>
          <cell r="I3244" t="str">
            <v>6450 - Bank &amp; Other Fees</v>
          </cell>
          <cell r="J3244" t="str">
            <v>Wholesale</v>
          </cell>
          <cell r="K3244" t="str">
            <v>Wholesale</v>
          </cell>
          <cell r="L3244" t="str">
            <v>Professional Service</v>
          </cell>
          <cell r="N3244" t="str">
            <v>Direct Costs</v>
          </cell>
          <cell r="O3244" t="str">
            <v>Paymentech</v>
          </cell>
        </row>
        <row r="3245">
          <cell r="D3245">
            <v>15907.02</v>
          </cell>
          <cell r="H3245">
            <v>45505</v>
          </cell>
          <cell r="I3245" t="str">
            <v>6375 - Freight Expenses</v>
          </cell>
          <cell r="J3245" t="str">
            <v>Ecommerce (US)</v>
          </cell>
          <cell r="K3245" t="str">
            <v>Ecommerce</v>
          </cell>
          <cell r="L3245" t="str">
            <v>Freight</v>
          </cell>
          <cell r="N3245" t="str">
            <v>Direct Costs</v>
          </cell>
          <cell r="O3245" t="str">
            <v>UPS Supply Chain Solutions Inc. (7F24A0)</v>
          </cell>
        </row>
        <row r="3246">
          <cell r="D3246">
            <v>1959.75</v>
          </cell>
          <cell r="H3246">
            <v>45505</v>
          </cell>
          <cell r="I3246" t="str">
            <v>6393 - Software</v>
          </cell>
          <cell r="J3246">
            <v>0</v>
          </cell>
          <cell r="K3246" t="str">
            <v>Administration</v>
          </cell>
          <cell r="L3246" t="str">
            <v>Professional Service</v>
          </cell>
          <cell r="N3246" t="str">
            <v>Direct Costs</v>
          </cell>
          <cell r="O3246" t="str">
            <v>Docusign</v>
          </cell>
        </row>
        <row r="3247">
          <cell r="D3247">
            <v>103.66</v>
          </cell>
          <cell r="H3247">
            <v>45505</v>
          </cell>
          <cell r="I3247" t="str">
            <v>6340 - Miscellaneous Expense</v>
          </cell>
          <cell r="J3247" t="str">
            <v>Wholesale</v>
          </cell>
          <cell r="K3247" t="str">
            <v>Wholesale</v>
          </cell>
          <cell r="L3247" t="str">
            <v>Other</v>
          </cell>
          <cell r="N3247" t="str">
            <v>SG&amp;A</v>
          </cell>
          <cell r="O3247" t="str">
            <v>Kalina Pregnolato</v>
          </cell>
        </row>
        <row r="3248">
          <cell r="D3248">
            <v>12.17</v>
          </cell>
          <cell r="H3248">
            <v>45505</v>
          </cell>
          <cell r="I3248" t="str">
            <v>6340 - Miscellaneous Expense</v>
          </cell>
          <cell r="J3248">
            <v>0</v>
          </cell>
          <cell r="K3248" t="str">
            <v>Administration</v>
          </cell>
          <cell r="L3248" t="str">
            <v>Other</v>
          </cell>
          <cell r="N3248" t="str">
            <v>SG&amp;A</v>
          </cell>
          <cell r="O3248" t="str">
            <v>[No Vendor]</v>
          </cell>
        </row>
        <row r="3249">
          <cell r="D3249">
            <v>15.47</v>
          </cell>
          <cell r="H3249">
            <v>45505</v>
          </cell>
          <cell r="I3249" t="str">
            <v>6125 - Transportation and Fuel</v>
          </cell>
          <cell r="J3249" t="str">
            <v>Wholesale</v>
          </cell>
          <cell r="K3249" t="str">
            <v>Wholesale</v>
          </cell>
          <cell r="L3249" t="str">
            <v>T&amp;E</v>
          </cell>
          <cell r="N3249" t="str">
            <v>SG&amp;A</v>
          </cell>
          <cell r="O3249" t="str">
            <v>Kalina Pregnolato</v>
          </cell>
        </row>
        <row r="3250">
          <cell r="D3250">
            <v>101.2</v>
          </cell>
          <cell r="H3250">
            <v>45505</v>
          </cell>
          <cell r="I3250" t="str">
            <v>6105 - Meals</v>
          </cell>
          <cell r="J3250" t="str">
            <v>Wholesale</v>
          </cell>
          <cell r="K3250" t="str">
            <v>Wholesale</v>
          </cell>
          <cell r="L3250" t="str">
            <v>T&amp;E</v>
          </cell>
          <cell r="N3250" t="str">
            <v>SG&amp;A</v>
          </cell>
          <cell r="O3250" t="str">
            <v>Kalina Pregnolato</v>
          </cell>
        </row>
        <row r="3251">
          <cell r="D3251">
            <v>314.14999999999998</v>
          </cell>
          <cell r="H3251">
            <v>45505</v>
          </cell>
          <cell r="I3251" t="str">
            <v>6375 - Freight Expenses</v>
          </cell>
          <cell r="J3251" t="str">
            <v>Wholesale</v>
          </cell>
          <cell r="K3251" t="str">
            <v>Wholesale</v>
          </cell>
          <cell r="L3251" t="str">
            <v>Freight</v>
          </cell>
          <cell r="N3251" t="str">
            <v>Direct Costs</v>
          </cell>
          <cell r="O3251" t="str">
            <v>UPS Supply Chain Solutions Inc. (7F24A0)</v>
          </cell>
        </row>
        <row r="3252">
          <cell r="D3252">
            <v>163.6</v>
          </cell>
          <cell r="H3252">
            <v>45505</v>
          </cell>
          <cell r="I3252" t="str">
            <v>6105 - Meals</v>
          </cell>
          <cell r="J3252">
            <v>0</v>
          </cell>
          <cell r="K3252" t="str">
            <v>Administration</v>
          </cell>
          <cell r="L3252" t="str">
            <v>T&amp;E</v>
          </cell>
          <cell r="N3252" t="str">
            <v>SG&amp;A</v>
          </cell>
          <cell r="O3252" t="str">
            <v>[No Vendor]</v>
          </cell>
        </row>
        <row r="3253">
          <cell r="D3253">
            <v>65.33</v>
          </cell>
          <cell r="H3253">
            <v>45505</v>
          </cell>
          <cell r="I3253" t="str">
            <v>6393 - Software</v>
          </cell>
          <cell r="J3253">
            <v>0</v>
          </cell>
          <cell r="K3253" t="str">
            <v>Administration</v>
          </cell>
          <cell r="L3253" t="str">
            <v>Professional Service</v>
          </cell>
          <cell r="N3253" t="str">
            <v>Direct Costs</v>
          </cell>
          <cell r="O3253" t="str">
            <v>Brivo Pass</v>
          </cell>
        </row>
        <row r="3254">
          <cell r="D3254">
            <v>1687.3</v>
          </cell>
          <cell r="H3254">
            <v>45505</v>
          </cell>
          <cell r="I3254" t="str">
            <v>6393 - Software</v>
          </cell>
          <cell r="J3254">
            <v>0</v>
          </cell>
          <cell r="K3254" t="str">
            <v>Administration</v>
          </cell>
          <cell r="L3254" t="str">
            <v>Professional Service</v>
          </cell>
          <cell r="N3254" t="str">
            <v>Direct Costs</v>
          </cell>
          <cell r="O3254" t="str">
            <v>Adobe, Inc.</v>
          </cell>
        </row>
        <row r="3255">
          <cell r="D3255">
            <v>-913.32</v>
          </cell>
          <cell r="H3255">
            <v>45505</v>
          </cell>
          <cell r="I3255" t="str">
            <v>6287 - Events</v>
          </cell>
          <cell r="J3255">
            <v>0</v>
          </cell>
          <cell r="K3255" t="str">
            <v>Brand Marketing</v>
          </cell>
          <cell r="L3255" t="str">
            <v>Advertising</v>
          </cell>
          <cell r="N3255" t="str">
            <v>SG&amp;A</v>
          </cell>
          <cell r="O3255" t="str">
            <v>[No Vendor]</v>
          </cell>
        </row>
        <row r="3256">
          <cell r="D3256">
            <v>1714.49</v>
          </cell>
          <cell r="H3256">
            <v>45505</v>
          </cell>
          <cell r="I3256" t="str">
            <v>6215 - Recruitment</v>
          </cell>
          <cell r="J3256">
            <v>0</v>
          </cell>
          <cell r="K3256" t="str">
            <v>Administration</v>
          </cell>
          <cell r="L3256" t="str">
            <v>Professional Service</v>
          </cell>
          <cell r="N3256" t="str">
            <v>SG&amp;A</v>
          </cell>
          <cell r="O3256" t="str">
            <v>LinkedIn</v>
          </cell>
        </row>
        <row r="3257">
          <cell r="D3257">
            <v>12.96</v>
          </cell>
          <cell r="H3257">
            <v>45505</v>
          </cell>
          <cell r="I3257" t="str">
            <v>6125 - Transportation and Fuel</v>
          </cell>
          <cell r="J3257">
            <v>0</v>
          </cell>
          <cell r="K3257" t="str">
            <v>Administration</v>
          </cell>
          <cell r="L3257" t="str">
            <v>T&amp;E</v>
          </cell>
          <cell r="N3257" t="str">
            <v>SG&amp;A</v>
          </cell>
          <cell r="O3257" t="str">
            <v>[No Vendor]</v>
          </cell>
        </row>
        <row r="3258">
          <cell r="D3258">
            <v>24.04</v>
          </cell>
          <cell r="H3258">
            <v>45505</v>
          </cell>
          <cell r="I3258" t="str">
            <v>6125 - Transportation and Fuel</v>
          </cell>
          <cell r="J3258">
            <v>0</v>
          </cell>
          <cell r="K3258" t="str">
            <v>Administration</v>
          </cell>
          <cell r="L3258" t="str">
            <v>T&amp;E</v>
          </cell>
          <cell r="N3258" t="str">
            <v>SG&amp;A</v>
          </cell>
          <cell r="O3258" t="str">
            <v>[No Vendor]</v>
          </cell>
        </row>
        <row r="3259">
          <cell r="D3259">
            <v>34.54</v>
          </cell>
          <cell r="H3259">
            <v>45505</v>
          </cell>
          <cell r="I3259" t="str">
            <v>6125 - Transportation and Fuel</v>
          </cell>
          <cell r="J3259">
            <v>0</v>
          </cell>
          <cell r="K3259" t="str">
            <v>Administration</v>
          </cell>
          <cell r="L3259" t="str">
            <v>T&amp;E</v>
          </cell>
          <cell r="N3259" t="str">
            <v>SG&amp;A</v>
          </cell>
          <cell r="O3259" t="str">
            <v>[No Vendor]</v>
          </cell>
        </row>
        <row r="3260">
          <cell r="D3260">
            <v>31.51</v>
          </cell>
          <cell r="H3260">
            <v>45505</v>
          </cell>
          <cell r="I3260" t="str">
            <v>6125 - Transportation and Fuel</v>
          </cell>
          <cell r="J3260">
            <v>0</v>
          </cell>
          <cell r="K3260" t="str">
            <v>Administration</v>
          </cell>
          <cell r="L3260" t="str">
            <v>T&amp;E</v>
          </cell>
          <cell r="N3260" t="str">
            <v>SG&amp;A</v>
          </cell>
          <cell r="O3260" t="str">
            <v>[No Vendor]</v>
          </cell>
        </row>
        <row r="3261">
          <cell r="D3261">
            <v>51.1</v>
          </cell>
          <cell r="H3261">
            <v>45505</v>
          </cell>
          <cell r="I3261" t="str">
            <v>6105 - Meals</v>
          </cell>
          <cell r="J3261">
            <v>0</v>
          </cell>
          <cell r="K3261" t="str">
            <v>Administration</v>
          </cell>
          <cell r="L3261" t="str">
            <v>T&amp;E</v>
          </cell>
          <cell r="N3261" t="str">
            <v>SG&amp;A</v>
          </cell>
          <cell r="O3261" t="str">
            <v>[No Vendor]</v>
          </cell>
        </row>
        <row r="3262">
          <cell r="D3262">
            <v>79.040000000000006</v>
          </cell>
          <cell r="H3262">
            <v>45505</v>
          </cell>
          <cell r="I3262" t="str">
            <v>6105 - Meals</v>
          </cell>
          <cell r="J3262">
            <v>0</v>
          </cell>
          <cell r="K3262" t="str">
            <v>Administration</v>
          </cell>
          <cell r="L3262" t="str">
            <v>T&amp;E</v>
          </cell>
          <cell r="N3262" t="str">
            <v>SG&amp;A</v>
          </cell>
          <cell r="O3262" t="str">
            <v>[No Vendor]</v>
          </cell>
        </row>
        <row r="3263">
          <cell r="D3263">
            <v>30.91</v>
          </cell>
          <cell r="H3263">
            <v>45505</v>
          </cell>
          <cell r="I3263" t="str">
            <v>6105 - Meals</v>
          </cell>
          <cell r="J3263">
            <v>0</v>
          </cell>
          <cell r="K3263" t="str">
            <v>Administration</v>
          </cell>
          <cell r="L3263" t="str">
            <v>T&amp;E</v>
          </cell>
          <cell r="N3263" t="str">
            <v>SG&amp;A</v>
          </cell>
          <cell r="O3263" t="str">
            <v>[No Vendor]</v>
          </cell>
        </row>
        <row r="3264">
          <cell r="D3264">
            <v>700</v>
          </cell>
          <cell r="H3264">
            <v>45505</v>
          </cell>
          <cell r="I3264" t="str">
            <v>6225 - Professional Services</v>
          </cell>
          <cell r="J3264">
            <v>0</v>
          </cell>
          <cell r="K3264" t="str">
            <v>Brand Marketing</v>
          </cell>
          <cell r="L3264" t="str">
            <v>Professional Service</v>
          </cell>
          <cell r="N3264" t="str">
            <v>Direct Costs</v>
          </cell>
          <cell r="O3264" t="str">
            <v>Melody  Huang</v>
          </cell>
        </row>
        <row r="3265">
          <cell r="D3265">
            <v>4875.5</v>
          </cell>
          <cell r="H3265">
            <v>45505</v>
          </cell>
          <cell r="I3265" t="str">
            <v>6240 - Product Photography</v>
          </cell>
          <cell r="J3265" t="str">
            <v>Ecommerce (US)</v>
          </cell>
          <cell r="K3265" t="str">
            <v>Brand Marketing</v>
          </cell>
          <cell r="L3265" t="str">
            <v>Advertising</v>
          </cell>
          <cell r="N3265" t="str">
            <v>SG&amp;A</v>
          </cell>
          <cell r="O3265" t="str">
            <v>Theerapol Thammasitboon</v>
          </cell>
        </row>
        <row r="3266">
          <cell r="D3266">
            <v>383.9</v>
          </cell>
          <cell r="H3266">
            <v>45505</v>
          </cell>
          <cell r="I3266" t="str">
            <v>6520 - Taxes and Licenses</v>
          </cell>
          <cell r="J3266" t="str">
            <v>Ecommerce (US)</v>
          </cell>
          <cell r="K3266" t="str">
            <v>Ecommerce</v>
          </cell>
          <cell r="L3266" t="str">
            <v>Other</v>
          </cell>
          <cell r="N3266" t="str">
            <v>SG&amp;A</v>
          </cell>
          <cell r="O3266" t="str">
            <v>Avalara, Inc</v>
          </cell>
        </row>
        <row r="3267">
          <cell r="D3267">
            <v>20</v>
          </cell>
          <cell r="H3267">
            <v>45505</v>
          </cell>
          <cell r="I3267" t="str">
            <v>6385 - Insurance</v>
          </cell>
          <cell r="J3267">
            <v>0</v>
          </cell>
          <cell r="K3267" t="str">
            <v>Administration</v>
          </cell>
          <cell r="L3267" t="str">
            <v>Professional Service</v>
          </cell>
          <cell r="N3267" t="str">
            <v>SG&amp;A</v>
          </cell>
          <cell r="O3267" t="str">
            <v>The Hartford</v>
          </cell>
        </row>
        <row r="3268">
          <cell r="D3268">
            <v>3313.96</v>
          </cell>
          <cell r="H3268">
            <v>45505</v>
          </cell>
          <cell r="I3268" t="str">
            <v>6375 - Freight Expenses</v>
          </cell>
          <cell r="J3268" t="str">
            <v>Ecommerce (EU)</v>
          </cell>
          <cell r="K3268" t="str">
            <v>Ecommerce</v>
          </cell>
          <cell r="L3268" t="str">
            <v>Freight</v>
          </cell>
          <cell r="N3268" t="str">
            <v>Direct Costs</v>
          </cell>
          <cell r="O3268" t="str">
            <v>Global E</v>
          </cell>
        </row>
        <row r="3269">
          <cell r="D3269">
            <v>8446.58</v>
          </cell>
          <cell r="H3269">
            <v>45505</v>
          </cell>
          <cell r="I3269" t="str">
            <v>6377 - Order Processing Expenses (New)</v>
          </cell>
          <cell r="J3269" t="str">
            <v>Ecommerce (EU)</v>
          </cell>
          <cell r="K3269" t="str">
            <v>Ecommerce</v>
          </cell>
          <cell r="L3269" t="str">
            <v>Order Processing</v>
          </cell>
          <cell r="N3269" t="str">
            <v>Direct Costs</v>
          </cell>
          <cell r="O3269" t="str">
            <v>[No Vendor]</v>
          </cell>
        </row>
        <row r="3270">
          <cell r="D3270">
            <v>2240.87</v>
          </cell>
          <cell r="H3270">
            <v>45505</v>
          </cell>
          <cell r="I3270" t="str">
            <v>6450 - Bank &amp; Other Fees</v>
          </cell>
          <cell r="J3270" t="str">
            <v>Ecommerce (EU)</v>
          </cell>
          <cell r="K3270" t="str">
            <v>Ecommerce</v>
          </cell>
          <cell r="L3270" t="str">
            <v>Professional Service</v>
          </cell>
          <cell r="N3270" t="str">
            <v>Direct Costs</v>
          </cell>
          <cell r="O3270" t="str">
            <v>[No Vendor]</v>
          </cell>
        </row>
        <row r="3271">
          <cell r="D3271">
            <v>627</v>
          </cell>
          <cell r="H3271">
            <v>45505</v>
          </cell>
          <cell r="I3271" t="str">
            <v>6340 - Miscellaneous Expense</v>
          </cell>
          <cell r="J3271">
            <v>0</v>
          </cell>
          <cell r="K3271" t="str">
            <v>Production</v>
          </cell>
          <cell r="L3271" t="str">
            <v>Other</v>
          </cell>
          <cell r="N3271" t="str">
            <v>SG&amp;A</v>
          </cell>
          <cell r="O3271" t="str">
            <v>Zabin Industries (Hong Kong) LTD.</v>
          </cell>
        </row>
        <row r="3272">
          <cell r="D3272">
            <v>25978.75</v>
          </cell>
          <cell r="H3272">
            <v>45505</v>
          </cell>
          <cell r="I3272" t="str">
            <v>8700 - Other Expense</v>
          </cell>
          <cell r="J3272">
            <v>0</v>
          </cell>
          <cell r="K3272" t="str">
            <v>Administration</v>
          </cell>
          <cell r="L3272" t="str">
            <v>Other Expense</v>
          </cell>
          <cell r="N3272" t="str">
            <v>BTL</v>
          </cell>
          <cell r="O3272" t="str">
            <v>Bryan Cave Leighton Paisner LLP</v>
          </cell>
        </row>
        <row r="3273">
          <cell r="D3273">
            <v>-216.18</v>
          </cell>
          <cell r="H3273">
            <v>45505</v>
          </cell>
          <cell r="I3273" t="str">
            <v>6375 - Freight Expenses</v>
          </cell>
          <cell r="J3273" t="str">
            <v>Ecommerce (US)</v>
          </cell>
          <cell r="K3273" t="str">
            <v>Ecommerce</v>
          </cell>
          <cell r="L3273" t="str">
            <v>Freight</v>
          </cell>
          <cell r="N3273" t="str">
            <v>Direct Costs</v>
          </cell>
          <cell r="O3273" t="str">
            <v>UPS Supply Chain Solutions Inc. (7F24A0)</v>
          </cell>
        </row>
        <row r="3274">
          <cell r="D3274">
            <v>-102.14</v>
          </cell>
          <cell r="H3274">
            <v>45505</v>
          </cell>
          <cell r="I3274" t="str">
            <v>6340 - Miscellaneous Expense</v>
          </cell>
          <cell r="J3274" t="str">
            <v>Wholesale</v>
          </cell>
          <cell r="K3274" t="str">
            <v>Wholesale</v>
          </cell>
          <cell r="L3274" t="str">
            <v>Other</v>
          </cell>
          <cell r="N3274" t="str">
            <v>SG&amp;A</v>
          </cell>
          <cell r="O3274" t="str">
            <v>[No Vendor]</v>
          </cell>
        </row>
        <row r="3275">
          <cell r="D3275">
            <v>410.06</v>
          </cell>
          <cell r="H3275">
            <v>45505</v>
          </cell>
          <cell r="I3275" t="str">
            <v>6375 - Freight Expenses</v>
          </cell>
          <cell r="J3275">
            <v>0</v>
          </cell>
          <cell r="K3275" t="str">
            <v>Production</v>
          </cell>
          <cell r="L3275" t="str">
            <v>Freight</v>
          </cell>
          <cell r="N3275" t="str">
            <v>Direct Costs</v>
          </cell>
          <cell r="O3275" t="str">
            <v>DHL Express - USA</v>
          </cell>
        </row>
        <row r="3276">
          <cell r="D3276">
            <v>17.329999999999998</v>
          </cell>
          <cell r="H3276">
            <v>45505</v>
          </cell>
          <cell r="I3276" t="str">
            <v>6363 - Development</v>
          </cell>
          <cell r="J3276">
            <v>0</v>
          </cell>
          <cell r="K3276" t="str">
            <v>Design</v>
          </cell>
          <cell r="L3276" t="str">
            <v>Sample</v>
          </cell>
          <cell r="N3276" t="str">
            <v>SG&amp;A</v>
          </cell>
          <cell r="O3276" t="str">
            <v>Consul + SRL</v>
          </cell>
        </row>
        <row r="3277">
          <cell r="D3277">
            <v>146</v>
          </cell>
          <cell r="H3277">
            <v>45505</v>
          </cell>
          <cell r="I3277" t="str">
            <v>6430 - Dues &amp; Memberships</v>
          </cell>
          <cell r="J3277" t="str">
            <v>Wholesale</v>
          </cell>
          <cell r="K3277" t="str">
            <v>Wholesale</v>
          </cell>
          <cell r="L3277" t="str">
            <v>Professional Service</v>
          </cell>
          <cell r="N3277" t="str">
            <v>Direct Costs</v>
          </cell>
          <cell r="O3277" t="str">
            <v>SPS Commerce</v>
          </cell>
        </row>
        <row r="3278">
          <cell r="D3278">
            <v>227.5</v>
          </cell>
          <cell r="H3278">
            <v>45505</v>
          </cell>
          <cell r="I3278" t="str">
            <v>6300 - Payroll Service Fees</v>
          </cell>
          <cell r="J3278">
            <v>0</v>
          </cell>
          <cell r="K3278" t="str">
            <v>Administration</v>
          </cell>
          <cell r="L3278" t="str">
            <v>Professional Service</v>
          </cell>
          <cell r="N3278" t="str">
            <v>SG&amp;A</v>
          </cell>
          <cell r="O3278" t="str">
            <v>OperationsInc, LLC</v>
          </cell>
        </row>
        <row r="3279">
          <cell r="D3279">
            <v>-108.09</v>
          </cell>
          <cell r="H3279">
            <v>45505</v>
          </cell>
          <cell r="I3279" t="str">
            <v>6375 - Freight Expenses</v>
          </cell>
          <cell r="J3279" t="str">
            <v>Ecommerce (US)</v>
          </cell>
          <cell r="K3279" t="str">
            <v>Ecommerce</v>
          </cell>
          <cell r="L3279" t="str">
            <v>Freight</v>
          </cell>
          <cell r="N3279" t="str">
            <v>Direct Costs</v>
          </cell>
          <cell r="O3279" t="str">
            <v>UPS Supply Chain Solutions Inc. (7F24A0)</v>
          </cell>
        </row>
        <row r="3280">
          <cell r="D3280">
            <v>325.25</v>
          </cell>
          <cell r="H3280">
            <v>45505</v>
          </cell>
          <cell r="I3280" t="str">
            <v>6300 - Payroll Service Fees</v>
          </cell>
          <cell r="J3280">
            <v>0</v>
          </cell>
          <cell r="K3280" t="str">
            <v>Administration</v>
          </cell>
          <cell r="L3280" t="str">
            <v>Professional Service</v>
          </cell>
          <cell r="N3280" t="str">
            <v>SG&amp;A</v>
          </cell>
          <cell r="O3280" t="str">
            <v>ADP Payroll Services</v>
          </cell>
        </row>
        <row r="3281">
          <cell r="D3281">
            <v>27172.91</v>
          </cell>
          <cell r="H3281">
            <v>45505</v>
          </cell>
          <cell r="I3281" t="str">
            <v>6005 - Salaries</v>
          </cell>
          <cell r="J3281">
            <v>0</v>
          </cell>
          <cell r="K3281" t="str">
            <v>Administration</v>
          </cell>
          <cell r="L3281" t="str">
            <v>HQ Salaries</v>
          </cell>
          <cell r="N3281" t="str">
            <v>SG&amp;A</v>
          </cell>
          <cell r="O3281" t="str">
            <v>[No Vendor]</v>
          </cell>
        </row>
        <row r="3282">
          <cell r="D3282">
            <v>0</v>
          </cell>
          <cell r="H3282">
            <v>45505</v>
          </cell>
          <cell r="I3282" t="str">
            <v>6205 - Contractors</v>
          </cell>
          <cell r="J3282">
            <v>0</v>
          </cell>
          <cell r="K3282" t="str">
            <v>Design</v>
          </cell>
          <cell r="L3282" t="str">
            <v>HQ Salaries</v>
          </cell>
          <cell r="N3282" t="str">
            <v>SG&amp;A</v>
          </cell>
          <cell r="O3282" t="str">
            <v>[No Vendor]</v>
          </cell>
        </row>
        <row r="3283">
          <cell r="D3283">
            <v>18333.330000000002</v>
          </cell>
          <cell r="H3283">
            <v>45505</v>
          </cell>
          <cell r="I3283" t="str">
            <v>6205 - Contractors</v>
          </cell>
          <cell r="J3283">
            <v>0</v>
          </cell>
          <cell r="K3283" t="str">
            <v>Brand Marketing</v>
          </cell>
          <cell r="L3283" t="str">
            <v>HQ Salaries</v>
          </cell>
          <cell r="N3283" t="str">
            <v>SG&amp;A</v>
          </cell>
          <cell r="O3283" t="str">
            <v>[No Vendor]</v>
          </cell>
        </row>
        <row r="3284">
          <cell r="D3284">
            <v>2950</v>
          </cell>
          <cell r="H3284">
            <v>45505</v>
          </cell>
          <cell r="I3284" t="str">
            <v>6205 - Contractors</v>
          </cell>
          <cell r="J3284" t="str">
            <v>Ecommerce (US)</v>
          </cell>
          <cell r="K3284" t="str">
            <v>Ecommerce</v>
          </cell>
          <cell r="L3284" t="str">
            <v>HQ Salaries</v>
          </cell>
          <cell r="N3284" t="str">
            <v>SG&amp;A</v>
          </cell>
          <cell r="O3284" t="str">
            <v>[No Vendor]</v>
          </cell>
        </row>
        <row r="3285">
          <cell r="D3285">
            <v>-20.41</v>
          </cell>
          <cell r="H3285">
            <v>45505</v>
          </cell>
          <cell r="I3285" t="str">
            <v>6385 - Insurance</v>
          </cell>
          <cell r="J3285">
            <v>0</v>
          </cell>
          <cell r="K3285" t="str">
            <v>Administration</v>
          </cell>
          <cell r="L3285" t="str">
            <v>Professional Service</v>
          </cell>
          <cell r="N3285" t="str">
            <v>SG&amp;A</v>
          </cell>
          <cell r="O3285" t="str">
            <v>[No Vendor]</v>
          </cell>
        </row>
        <row r="3286">
          <cell r="D3286">
            <v>-13.16</v>
          </cell>
          <cell r="H3286">
            <v>45505</v>
          </cell>
          <cell r="I3286" t="str">
            <v>6385 - Insurance</v>
          </cell>
          <cell r="J3286">
            <v>0</v>
          </cell>
          <cell r="K3286" t="str">
            <v>Administration</v>
          </cell>
          <cell r="L3286" t="str">
            <v>Professional Service</v>
          </cell>
          <cell r="N3286" t="str">
            <v>SG&amp;A</v>
          </cell>
          <cell r="O3286" t="str">
            <v>[No Vendor]</v>
          </cell>
        </row>
        <row r="3287">
          <cell r="D3287">
            <v>-35.590000000000003</v>
          </cell>
          <cell r="H3287">
            <v>45505</v>
          </cell>
          <cell r="I3287" t="str">
            <v>6385 - Insurance</v>
          </cell>
          <cell r="J3287">
            <v>0</v>
          </cell>
          <cell r="K3287" t="str">
            <v>Administration</v>
          </cell>
          <cell r="L3287" t="str">
            <v>Professional Service</v>
          </cell>
          <cell r="N3287" t="str">
            <v>SG&amp;A</v>
          </cell>
          <cell r="O3287" t="str">
            <v>[No Vendor]</v>
          </cell>
        </row>
        <row r="3288">
          <cell r="D3288">
            <v>-13.39</v>
          </cell>
          <cell r="H3288">
            <v>45505</v>
          </cell>
          <cell r="I3288" t="str">
            <v>6385 - Insurance</v>
          </cell>
          <cell r="J3288">
            <v>0</v>
          </cell>
          <cell r="K3288" t="str">
            <v>Administration</v>
          </cell>
          <cell r="L3288" t="str">
            <v>Professional Service</v>
          </cell>
          <cell r="N3288" t="str">
            <v>SG&amp;A</v>
          </cell>
          <cell r="O3288" t="str">
            <v>[No Vendor]</v>
          </cell>
        </row>
        <row r="3289">
          <cell r="D3289">
            <v>-42.8</v>
          </cell>
          <cell r="H3289">
            <v>45505</v>
          </cell>
          <cell r="I3289" t="str">
            <v>6385 - Insurance</v>
          </cell>
          <cell r="J3289">
            <v>0</v>
          </cell>
          <cell r="K3289" t="str">
            <v>Administration</v>
          </cell>
          <cell r="L3289" t="str">
            <v>Professional Service</v>
          </cell>
          <cell r="N3289" t="str">
            <v>SG&amp;A</v>
          </cell>
          <cell r="O3289" t="str">
            <v>[No Vendor]</v>
          </cell>
        </row>
        <row r="3290">
          <cell r="D3290">
            <v>-41.67</v>
          </cell>
          <cell r="H3290">
            <v>45505</v>
          </cell>
          <cell r="I3290" t="str">
            <v>6385 - Insurance</v>
          </cell>
          <cell r="J3290">
            <v>0</v>
          </cell>
          <cell r="K3290" t="str">
            <v>Administration</v>
          </cell>
          <cell r="L3290" t="str">
            <v>Professional Service</v>
          </cell>
          <cell r="N3290" t="str">
            <v>SG&amp;A</v>
          </cell>
          <cell r="O3290" t="str">
            <v>[No Vendor]</v>
          </cell>
        </row>
        <row r="3291">
          <cell r="D3291">
            <v>-57.59</v>
          </cell>
          <cell r="H3291">
            <v>45505</v>
          </cell>
          <cell r="I3291" t="str">
            <v>6385 - Insurance</v>
          </cell>
          <cell r="J3291">
            <v>0</v>
          </cell>
          <cell r="K3291" t="str">
            <v>Administration</v>
          </cell>
          <cell r="L3291" t="str">
            <v>Professional Service</v>
          </cell>
          <cell r="N3291" t="str">
            <v>SG&amp;A</v>
          </cell>
          <cell r="O3291" t="str">
            <v>[No Vendor]</v>
          </cell>
        </row>
        <row r="3292">
          <cell r="D3292">
            <v>-40.24</v>
          </cell>
          <cell r="H3292">
            <v>45505</v>
          </cell>
          <cell r="I3292" t="str">
            <v>6385 - Insurance</v>
          </cell>
          <cell r="J3292">
            <v>0</v>
          </cell>
          <cell r="K3292" t="str">
            <v>Administration</v>
          </cell>
          <cell r="L3292" t="str">
            <v>Professional Service</v>
          </cell>
          <cell r="N3292" t="str">
            <v>SG&amp;A</v>
          </cell>
          <cell r="O3292" t="str">
            <v>[No Vendor]</v>
          </cell>
        </row>
        <row r="3293">
          <cell r="D3293">
            <v>579.38</v>
          </cell>
          <cell r="H3293">
            <v>45505</v>
          </cell>
          <cell r="I3293" t="str">
            <v>6055 - Employer Social Security Tax Withheld</v>
          </cell>
          <cell r="J3293">
            <v>0</v>
          </cell>
          <cell r="K3293" t="str">
            <v>Merchandising</v>
          </cell>
          <cell r="L3293" t="str">
            <v>HQ Salaries</v>
          </cell>
          <cell r="N3293" t="str">
            <v>SG&amp;A</v>
          </cell>
          <cell r="O3293" t="str">
            <v>[No Vendor]</v>
          </cell>
        </row>
        <row r="3294">
          <cell r="D3294">
            <v>1111.33</v>
          </cell>
          <cell r="H3294">
            <v>45505</v>
          </cell>
          <cell r="I3294" t="str">
            <v>6055 - Employer Social Security Tax Withheld</v>
          </cell>
          <cell r="J3294" t="str">
            <v>Wholesale</v>
          </cell>
          <cell r="K3294" t="str">
            <v>Wholesale</v>
          </cell>
          <cell r="L3294" t="str">
            <v>HQ Salaries</v>
          </cell>
          <cell r="N3294" t="str">
            <v>SG&amp;A</v>
          </cell>
          <cell r="O3294" t="str">
            <v>[No Vendor]</v>
          </cell>
        </row>
        <row r="3295">
          <cell r="D3295">
            <v>2225.4899999999998</v>
          </cell>
          <cell r="H3295">
            <v>45505</v>
          </cell>
          <cell r="I3295" t="str">
            <v>6055 - Employer Social Security Tax Withheld</v>
          </cell>
          <cell r="J3295">
            <v>0</v>
          </cell>
          <cell r="K3295" t="str">
            <v>Production</v>
          </cell>
          <cell r="L3295" t="str">
            <v>HQ Salaries</v>
          </cell>
          <cell r="N3295" t="str">
            <v>SG&amp;A</v>
          </cell>
          <cell r="O3295" t="str">
            <v>[No Vendor]</v>
          </cell>
        </row>
        <row r="3296">
          <cell r="D3296">
            <v>365.93</v>
          </cell>
          <cell r="H3296">
            <v>45505</v>
          </cell>
          <cell r="I3296" t="str">
            <v>6055 - Employer Social Security Tax Withheld</v>
          </cell>
          <cell r="J3296">
            <v>0</v>
          </cell>
          <cell r="K3296" t="str">
            <v>Brand Marketing</v>
          </cell>
          <cell r="L3296" t="str">
            <v>HQ Salaries</v>
          </cell>
          <cell r="N3296" t="str">
            <v>SG&amp;A</v>
          </cell>
          <cell r="O3296" t="str">
            <v>[No Vendor]</v>
          </cell>
        </row>
        <row r="3297">
          <cell r="D3297">
            <v>1239.8499999999999</v>
          </cell>
          <cell r="H3297">
            <v>45505</v>
          </cell>
          <cell r="I3297" t="str">
            <v>6055 - Employer Social Security Tax Withheld</v>
          </cell>
          <cell r="J3297">
            <v>0</v>
          </cell>
          <cell r="K3297" t="str">
            <v>Executive</v>
          </cell>
          <cell r="L3297" t="str">
            <v>HQ Salaries</v>
          </cell>
          <cell r="N3297" t="str">
            <v>SG&amp;A</v>
          </cell>
          <cell r="O3297" t="str">
            <v>[No Vendor]</v>
          </cell>
        </row>
        <row r="3298">
          <cell r="D3298">
            <v>1610.08</v>
          </cell>
          <cell r="H3298">
            <v>45505</v>
          </cell>
          <cell r="I3298" t="str">
            <v>6055 - Employer Social Security Tax Withheld</v>
          </cell>
          <cell r="J3298" t="str">
            <v>Ecommerce (US)</v>
          </cell>
          <cell r="K3298" t="str">
            <v>Ecommerce</v>
          </cell>
          <cell r="L3298" t="str">
            <v>HQ Salaries</v>
          </cell>
          <cell r="N3298" t="str">
            <v>SG&amp;A</v>
          </cell>
          <cell r="O3298" t="str">
            <v>[No Vendor]</v>
          </cell>
        </row>
        <row r="3299">
          <cell r="D3299">
            <v>2212.65</v>
          </cell>
          <cell r="H3299">
            <v>45505</v>
          </cell>
          <cell r="I3299" t="str">
            <v>6055 - Employer Social Security Tax Withheld</v>
          </cell>
          <cell r="J3299">
            <v>0</v>
          </cell>
          <cell r="K3299" t="str">
            <v>Design</v>
          </cell>
          <cell r="L3299" t="str">
            <v>HQ Salaries</v>
          </cell>
          <cell r="N3299" t="str">
            <v>SG&amp;A</v>
          </cell>
          <cell r="O3299" t="str">
            <v>[No Vendor]</v>
          </cell>
        </row>
        <row r="3300">
          <cell r="D3300">
            <v>1965.22</v>
          </cell>
          <cell r="H3300">
            <v>45505</v>
          </cell>
          <cell r="I3300" t="str">
            <v>6055 - Employer Social Security Tax Withheld</v>
          </cell>
          <cell r="J3300">
            <v>0</v>
          </cell>
          <cell r="K3300" t="str">
            <v>Administration</v>
          </cell>
          <cell r="L3300" t="str">
            <v>HQ Salaries</v>
          </cell>
          <cell r="N3300" t="str">
            <v>SG&amp;A</v>
          </cell>
          <cell r="O3300" t="str">
            <v>[No Vendor]</v>
          </cell>
        </row>
        <row r="3301">
          <cell r="D3301">
            <v>0</v>
          </cell>
          <cell r="H3301">
            <v>45505</v>
          </cell>
          <cell r="I3301" t="str">
            <v>6040 - Employer Paid Benefits</v>
          </cell>
          <cell r="J3301">
            <v>0</v>
          </cell>
          <cell r="K3301" t="str">
            <v>Merchandising</v>
          </cell>
          <cell r="L3301" t="str">
            <v>HQ Salaries</v>
          </cell>
          <cell r="N3301" t="str">
            <v>SG&amp;A</v>
          </cell>
          <cell r="O3301" t="str">
            <v>[No Vendor]</v>
          </cell>
        </row>
        <row r="3302">
          <cell r="D3302">
            <v>-45.16</v>
          </cell>
          <cell r="H3302">
            <v>45505</v>
          </cell>
          <cell r="I3302" t="str">
            <v>6040 - Employer Paid Benefits</v>
          </cell>
          <cell r="J3302" t="str">
            <v>Wholesale</v>
          </cell>
          <cell r="K3302" t="str">
            <v>Wholesale</v>
          </cell>
          <cell r="L3302" t="str">
            <v>HQ Salaries</v>
          </cell>
          <cell r="N3302" t="str">
            <v>SG&amp;A</v>
          </cell>
          <cell r="O3302" t="str">
            <v>[No Vendor]</v>
          </cell>
        </row>
        <row r="3303">
          <cell r="D3303">
            <v>-281.35000000000002</v>
          </cell>
          <cell r="H3303">
            <v>45505</v>
          </cell>
          <cell r="I3303" t="str">
            <v>6040 - Employer Paid Benefits</v>
          </cell>
          <cell r="J3303">
            <v>0</v>
          </cell>
          <cell r="K3303" t="str">
            <v>Production</v>
          </cell>
          <cell r="L3303" t="str">
            <v>HQ Salaries</v>
          </cell>
          <cell r="N3303" t="str">
            <v>SG&amp;A</v>
          </cell>
          <cell r="O3303" t="str">
            <v>[No Vendor]</v>
          </cell>
        </row>
        <row r="3304">
          <cell r="D3304">
            <v>-22.58</v>
          </cell>
          <cell r="H3304">
            <v>45505</v>
          </cell>
          <cell r="I3304" t="str">
            <v>6040 - Employer Paid Benefits</v>
          </cell>
          <cell r="J3304">
            <v>0</v>
          </cell>
          <cell r="K3304" t="str">
            <v>Brand Marketing</v>
          </cell>
          <cell r="L3304" t="str">
            <v>HQ Salaries</v>
          </cell>
          <cell r="N3304" t="str">
            <v>SG&amp;A</v>
          </cell>
          <cell r="O3304" t="str">
            <v>[No Vendor]</v>
          </cell>
        </row>
        <row r="3305">
          <cell r="D3305">
            <v>-234.27</v>
          </cell>
          <cell r="H3305">
            <v>45505</v>
          </cell>
          <cell r="I3305" t="str">
            <v>6040 - Employer Paid Benefits</v>
          </cell>
          <cell r="J3305">
            <v>0</v>
          </cell>
          <cell r="K3305" t="str">
            <v>Executive</v>
          </cell>
          <cell r="L3305" t="str">
            <v>HQ Salaries</v>
          </cell>
          <cell r="N3305" t="str">
            <v>SG&amp;A</v>
          </cell>
          <cell r="O3305" t="str">
            <v>[No Vendor]</v>
          </cell>
        </row>
        <row r="3306">
          <cell r="D3306">
            <v>-121.85</v>
          </cell>
          <cell r="H3306">
            <v>45505</v>
          </cell>
          <cell r="I3306" t="str">
            <v>6040 - Employer Paid Benefits</v>
          </cell>
          <cell r="J3306" t="str">
            <v>Ecommerce (US)</v>
          </cell>
          <cell r="K3306" t="str">
            <v>Ecommerce</v>
          </cell>
          <cell r="L3306" t="str">
            <v>HQ Salaries</v>
          </cell>
          <cell r="N3306" t="str">
            <v>SG&amp;A</v>
          </cell>
          <cell r="O3306" t="str">
            <v>[No Vendor]</v>
          </cell>
        </row>
        <row r="3307">
          <cell r="D3307">
            <v>-363.42</v>
          </cell>
          <cell r="H3307">
            <v>45505</v>
          </cell>
          <cell r="I3307" t="str">
            <v>6040 - Employer Paid Benefits</v>
          </cell>
          <cell r="J3307">
            <v>0</v>
          </cell>
          <cell r="K3307" t="str">
            <v>Design</v>
          </cell>
          <cell r="L3307" t="str">
            <v>HQ Salaries</v>
          </cell>
          <cell r="N3307" t="str">
            <v>SG&amp;A</v>
          </cell>
          <cell r="O3307" t="str">
            <v>[No Vendor]</v>
          </cell>
        </row>
        <row r="3308">
          <cell r="D3308">
            <v>-200.39</v>
          </cell>
          <cell r="H3308">
            <v>45505</v>
          </cell>
          <cell r="I3308" t="str">
            <v>6040 - Employer Paid Benefits</v>
          </cell>
          <cell r="J3308">
            <v>0</v>
          </cell>
          <cell r="K3308" t="str">
            <v>Administration</v>
          </cell>
          <cell r="L3308" t="str">
            <v>HQ Salaries</v>
          </cell>
          <cell r="N3308" t="str">
            <v>SG&amp;A</v>
          </cell>
          <cell r="O3308" t="str">
            <v>[No Vendor]</v>
          </cell>
        </row>
        <row r="3309">
          <cell r="D3309">
            <v>5150</v>
          </cell>
          <cell r="H3309">
            <v>45505</v>
          </cell>
          <cell r="I3309" t="str">
            <v>6005 - Salaries</v>
          </cell>
          <cell r="J3309">
            <v>0</v>
          </cell>
          <cell r="K3309" t="str">
            <v>Merchandising</v>
          </cell>
          <cell r="L3309" t="str">
            <v>HQ Salaries</v>
          </cell>
          <cell r="N3309" t="str">
            <v>SG&amp;A</v>
          </cell>
          <cell r="O3309" t="str">
            <v>[No Vendor]</v>
          </cell>
        </row>
        <row r="3310">
          <cell r="D3310">
            <v>9911.5499999999993</v>
          </cell>
          <cell r="H3310">
            <v>45505</v>
          </cell>
          <cell r="I3310" t="str">
            <v>6005 - Salaries</v>
          </cell>
          <cell r="J3310" t="str">
            <v>Wholesale</v>
          </cell>
          <cell r="K3310" t="str">
            <v>Wholesale</v>
          </cell>
          <cell r="L3310" t="str">
            <v>HQ Salaries</v>
          </cell>
          <cell r="N3310" t="str">
            <v>SG&amp;A</v>
          </cell>
          <cell r="O3310" t="str">
            <v>[No Vendor]</v>
          </cell>
        </row>
        <row r="3311">
          <cell r="D3311">
            <v>19988.490000000002</v>
          </cell>
          <cell r="H3311">
            <v>45505</v>
          </cell>
          <cell r="I3311" t="str">
            <v>6005 - Salaries</v>
          </cell>
          <cell r="J3311">
            <v>0</v>
          </cell>
          <cell r="K3311" t="str">
            <v>Production</v>
          </cell>
          <cell r="L3311" t="str">
            <v>HQ Salaries</v>
          </cell>
          <cell r="N3311" t="str">
            <v>SG&amp;A</v>
          </cell>
          <cell r="O3311" t="str">
            <v>[No Vendor]</v>
          </cell>
        </row>
        <row r="3312">
          <cell r="D3312">
            <v>3269.24</v>
          </cell>
          <cell r="H3312">
            <v>45505</v>
          </cell>
          <cell r="I3312" t="str">
            <v>6005 - Salaries</v>
          </cell>
          <cell r="J3312">
            <v>0</v>
          </cell>
          <cell r="K3312" t="str">
            <v>Brand Marketing</v>
          </cell>
          <cell r="L3312" t="str">
            <v>HQ Salaries</v>
          </cell>
          <cell r="N3312" t="str">
            <v>SG&amp;A</v>
          </cell>
          <cell r="O3312" t="str">
            <v>[No Vendor]</v>
          </cell>
        </row>
        <row r="3313">
          <cell r="D3313">
            <v>11153.85</v>
          </cell>
          <cell r="H3313">
            <v>45505</v>
          </cell>
          <cell r="I3313" t="str">
            <v>6005 - Salaries</v>
          </cell>
          <cell r="J3313">
            <v>0</v>
          </cell>
          <cell r="K3313" t="str">
            <v>Executive</v>
          </cell>
          <cell r="L3313" t="str">
            <v>HQ Salaries</v>
          </cell>
          <cell r="N3313" t="str">
            <v>SG&amp;A</v>
          </cell>
          <cell r="O3313" t="str">
            <v>[No Vendor]</v>
          </cell>
        </row>
        <row r="3314">
          <cell r="D3314">
            <v>20780.8</v>
          </cell>
          <cell r="H3314">
            <v>45505</v>
          </cell>
          <cell r="I3314" t="str">
            <v>6005 - Salaries</v>
          </cell>
          <cell r="J3314" t="str">
            <v>Ecommerce (US)</v>
          </cell>
          <cell r="K3314" t="str">
            <v>Ecommerce</v>
          </cell>
          <cell r="L3314" t="str">
            <v>HQ Salaries</v>
          </cell>
          <cell r="N3314" t="str">
            <v>SG&amp;A</v>
          </cell>
          <cell r="O3314" t="str">
            <v>[No Vendor]</v>
          </cell>
        </row>
        <row r="3315">
          <cell r="D3315">
            <v>20857.7</v>
          </cell>
          <cell r="H3315">
            <v>45505</v>
          </cell>
          <cell r="I3315" t="str">
            <v>6005 - Salaries</v>
          </cell>
          <cell r="J3315">
            <v>0</v>
          </cell>
          <cell r="K3315" t="str">
            <v>Design</v>
          </cell>
          <cell r="L3315" t="str">
            <v>HQ Salaries</v>
          </cell>
          <cell r="N3315" t="str">
            <v>SG&amp;A</v>
          </cell>
          <cell r="O3315" t="str">
            <v>[No Vendor]</v>
          </cell>
        </row>
        <row r="3316">
          <cell r="D3316">
            <v>35792.800000000003</v>
          </cell>
          <cell r="H3316">
            <v>45505</v>
          </cell>
          <cell r="I3316" t="str">
            <v>6375 - Freight Expenses</v>
          </cell>
          <cell r="J3316" t="str">
            <v>Ecommerce (US)</v>
          </cell>
          <cell r="K3316" t="str">
            <v>Ecommerce</v>
          </cell>
          <cell r="L3316" t="str">
            <v>Freight</v>
          </cell>
          <cell r="N3316" t="str">
            <v>Direct Costs</v>
          </cell>
          <cell r="O3316" t="str">
            <v>UPS Supply Chain Solutions Inc. (7F24A0)</v>
          </cell>
        </row>
        <row r="3317">
          <cell r="D3317">
            <v>1034.31</v>
          </cell>
          <cell r="H3317">
            <v>45505</v>
          </cell>
          <cell r="I3317" t="str">
            <v>6340 - Miscellaneous Expense</v>
          </cell>
          <cell r="J3317">
            <v>0</v>
          </cell>
          <cell r="K3317" t="str">
            <v>Administration</v>
          </cell>
          <cell r="L3317" t="str">
            <v>Other</v>
          </cell>
          <cell r="N3317" t="str">
            <v>SG&amp;A</v>
          </cell>
          <cell r="O3317" t="str">
            <v>Go Gleem LLC</v>
          </cell>
        </row>
        <row r="3318">
          <cell r="D3318">
            <v>56.66</v>
          </cell>
          <cell r="H3318">
            <v>45505</v>
          </cell>
          <cell r="I3318" t="str">
            <v>6375 - Freight Expenses</v>
          </cell>
          <cell r="J3318" t="str">
            <v>Wholesale</v>
          </cell>
          <cell r="K3318" t="str">
            <v>Wholesale</v>
          </cell>
          <cell r="L3318" t="str">
            <v>Freight</v>
          </cell>
          <cell r="N3318" t="str">
            <v>Direct Costs</v>
          </cell>
          <cell r="O3318" t="str">
            <v>UPS Supply Chain Solutions Inc. (7F24A0)</v>
          </cell>
        </row>
        <row r="3319">
          <cell r="D3319">
            <v>502.46</v>
          </cell>
          <cell r="H3319">
            <v>45505</v>
          </cell>
          <cell r="I3319" t="str">
            <v>6040 - Employer Paid Benefits</v>
          </cell>
          <cell r="J3319">
            <v>0</v>
          </cell>
          <cell r="K3319" t="str">
            <v>Administration</v>
          </cell>
          <cell r="L3319" t="str">
            <v>HQ Salaries</v>
          </cell>
          <cell r="N3319" t="str">
            <v>SG&amp;A</v>
          </cell>
          <cell r="O3319" t="str">
            <v>Procyon Benefits LLC</v>
          </cell>
        </row>
        <row r="3320">
          <cell r="D3320">
            <v>21.78</v>
          </cell>
          <cell r="H3320">
            <v>45505</v>
          </cell>
          <cell r="I3320" t="str">
            <v>6393 - Software</v>
          </cell>
          <cell r="J3320">
            <v>0</v>
          </cell>
          <cell r="K3320" t="str">
            <v>Administration</v>
          </cell>
          <cell r="L3320" t="str">
            <v>Professional Service</v>
          </cell>
          <cell r="N3320" t="str">
            <v>Direct Costs</v>
          </cell>
          <cell r="O3320" t="str">
            <v>Chat GPT</v>
          </cell>
        </row>
        <row r="3321">
          <cell r="D3321">
            <v>71.040000000000006</v>
          </cell>
          <cell r="H3321">
            <v>45505</v>
          </cell>
          <cell r="I3321" t="str">
            <v>6340 - Miscellaneous Expense</v>
          </cell>
          <cell r="J3321">
            <v>0</v>
          </cell>
          <cell r="K3321" t="str">
            <v>Administration</v>
          </cell>
          <cell r="L3321" t="str">
            <v>Other</v>
          </cell>
          <cell r="N3321" t="str">
            <v>SG&amp;A</v>
          </cell>
          <cell r="O3321" t="str">
            <v>[No Vendor]</v>
          </cell>
        </row>
        <row r="3322">
          <cell r="D3322">
            <v>2551.8200000000002</v>
          </cell>
          <cell r="H3322">
            <v>45505</v>
          </cell>
          <cell r="I3322" t="str">
            <v>6287 - Events</v>
          </cell>
          <cell r="J3322">
            <v>0</v>
          </cell>
          <cell r="K3322" t="str">
            <v>Brand Marketing</v>
          </cell>
          <cell r="L3322" t="str">
            <v>Advertising</v>
          </cell>
          <cell r="N3322" t="str">
            <v>SG&amp;A</v>
          </cell>
          <cell r="O3322" t="str">
            <v>[No Vendor]</v>
          </cell>
        </row>
        <row r="3323">
          <cell r="D3323">
            <v>66</v>
          </cell>
          <cell r="H3323">
            <v>45505</v>
          </cell>
          <cell r="I3323" t="str">
            <v>6105 - Meals</v>
          </cell>
          <cell r="J3323">
            <v>0</v>
          </cell>
          <cell r="K3323" t="str">
            <v>Administration</v>
          </cell>
          <cell r="L3323" t="str">
            <v>T&amp;E</v>
          </cell>
          <cell r="N3323" t="str">
            <v>SG&amp;A</v>
          </cell>
          <cell r="O3323" t="str">
            <v>[No Vendor]</v>
          </cell>
        </row>
        <row r="3324">
          <cell r="D3324">
            <v>340.32</v>
          </cell>
          <cell r="H3324">
            <v>45505</v>
          </cell>
          <cell r="I3324" t="str">
            <v>6105 - Meals</v>
          </cell>
          <cell r="J3324">
            <v>0</v>
          </cell>
          <cell r="K3324" t="str">
            <v>Administration</v>
          </cell>
          <cell r="L3324" t="str">
            <v>T&amp;E</v>
          </cell>
          <cell r="N3324" t="str">
            <v>SG&amp;A</v>
          </cell>
          <cell r="O3324" t="str">
            <v>[No Vendor]</v>
          </cell>
        </row>
        <row r="3325">
          <cell r="D3325">
            <v>20.58</v>
          </cell>
          <cell r="H3325">
            <v>45505</v>
          </cell>
          <cell r="I3325" t="str">
            <v>6105 - Meals</v>
          </cell>
          <cell r="J3325">
            <v>0</v>
          </cell>
          <cell r="K3325" t="str">
            <v>Administration</v>
          </cell>
          <cell r="L3325" t="str">
            <v>T&amp;E</v>
          </cell>
          <cell r="N3325" t="str">
            <v>SG&amp;A</v>
          </cell>
          <cell r="O3325" t="str">
            <v>[No Vendor]</v>
          </cell>
        </row>
        <row r="3326">
          <cell r="D3326">
            <v>135.24</v>
          </cell>
          <cell r="H3326">
            <v>45505</v>
          </cell>
          <cell r="I3326" t="str">
            <v>6375 - Freight Expenses</v>
          </cell>
          <cell r="J3326" t="str">
            <v>Ecommerce (US)</v>
          </cell>
          <cell r="K3326" t="str">
            <v>Ecommerce</v>
          </cell>
          <cell r="L3326" t="str">
            <v>Freight</v>
          </cell>
          <cell r="N3326" t="str">
            <v>Direct Costs</v>
          </cell>
          <cell r="O3326" t="str">
            <v>Federal Express</v>
          </cell>
        </row>
        <row r="3327">
          <cell r="D3327">
            <v>232.4</v>
          </cell>
          <cell r="H3327">
            <v>45505</v>
          </cell>
          <cell r="I3327" t="str">
            <v>6040 - Employer Paid Benefits</v>
          </cell>
          <cell r="J3327">
            <v>0</v>
          </cell>
          <cell r="K3327" t="str">
            <v>Production</v>
          </cell>
          <cell r="L3327" t="str">
            <v>HQ Salaries</v>
          </cell>
          <cell r="N3327" t="str">
            <v>SG&amp;A</v>
          </cell>
          <cell r="O3327" t="str">
            <v>Procyon Benefits LLC</v>
          </cell>
        </row>
        <row r="3328">
          <cell r="D3328">
            <v>29</v>
          </cell>
          <cell r="H3328">
            <v>45505</v>
          </cell>
          <cell r="I3328" t="str">
            <v>6040 - Employer Paid Benefits</v>
          </cell>
          <cell r="J3328">
            <v>0</v>
          </cell>
          <cell r="K3328" t="str">
            <v>Merchandising</v>
          </cell>
          <cell r="L3328" t="str">
            <v>HQ Salaries</v>
          </cell>
          <cell r="N3328" t="str">
            <v>SG&amp;A</v>
          </cell>
          <cell r="O3328" t="str">
            <v>Procyon Benefits LLC</v>
          </cell>
        </row>
        <row r="3329">
          <cell r="D3329">
            <v>6</v>
          </cell>
          <cell r="H3329">
            <v>45505</v>
          </cell>
          <cell r="I3329" t="str">
            <v>6040 - Employer Paid Benefits</v>
          </cell>
          <cell r="J3329" t="str">
            <v>Ecommerce (US)</v>
          </cell>
          <cell r="K3329" t="str">
            <v>Ecommerce</v>
          </cell>
          <cell r="L3329" t="str">
            <v>HQ Salaries</v>
          </cell>
          <cell r="N3329" t="str">
            <v>SG&amp;A</v>
          </cell>
          <cell r="O3329" t="str">
            <v>Procyon Benefits LLC</v>
          </cell>
        </row>
        <row r="3330">
          <cell r="D3330">
            <v>2.75</v>
          </cell>
          <cell r="H3330">
            <v>45505</v>
          </cell>
          <cell r="I3330" t="str">
            <v>6040 - Employer Paid Benefits</v>
          </cell>
          <cell r="J3330">
            <v>0</v>
          </cell>
          <cell r="K3330" t="str">
            <v>Executive</v>
          </cell>
          <cell r="L3330" t="str">
            <v>HQ Salaries</v>
          </cell>
          <cell r="N3330" t="str">
            <v>SG&amp;A</v>
          </cell>
          <cell r="O3330" t="str">
            <v>Procyon Benefits LLC</v>
          </cell>
        </row>
        <row r="3331">
          <cell r="D3331">
            <v>90</v>
          </cell>
          <cell r="H3331">
            <v>45505</v>
          </cell>
          <cell r="I3331" t="str">
            <v>6040 - Employer Paid Benefits</v>
          </cell>
          <cell r="J3331">
            <v>0</v>
          </cell>
          <cell r="K3331" t="str">
            <v>Design</v>
          </cell>
          <cell r="L3331" t="str">
            <v>HQ Salaries</v>
          </cell>
          <cell r="N3331" t="str">
            <v>SG&amp;A</v>
          </cell>
          <cell r="O3331" t="str">
            <v>Procyon Benefits LLC</v>
          </cell>
        </row>
        <row r="3332">
          <cell r="D3332">
            <v>2232.4499999999998</v>
          </cell>
          <cell r="H3332">
            <v>45505</v>
          </cell>
          <cell r="I3332" t="str">
            <v>8505 - Realized Gain/Loss</v>
          </cell>
          <cell r="J3332">
            <v>0</v>
          </cell>
          <cell r="K3332" t="str">
            <v>No Department</v>
          </cell>
          <cell r="L3332" t="str">
            <v>Realized Gain / Loss</v>
          </cell>
          <cell r="N3332" t="str">
            <v>BTL</v>
          </cell>
          <cell r="O3332" t="str">
            <v>[No Vendor]</v>
          </cell>
        </row>
        <row r="3333">
          <cell r="D3333">
            <v>506.36</v>
          </cell>
          <cell r="H3333">
            <v>45505</v>
          </cell>
          <cell r="I3333" t="str">
            <v>8505 - Realized Gain/Loss</v>
          </cell>
          <cell r="J3333">
            <v>0</v>
          </cell>
          <cell r="K3333" t="str">
            <v>No Department</v>
          </cell>
          <cell r="L3333" t="str">
            <v>Realized Gain / Loss</v>
          </cell>
          <cell r="N3333" t="str">
            <v>BTL</v>
          </cell>
          <cell r="O3333" t="str">
            <v>[No Vendor]</v>
          </cell>
        </row>
        <row r="3334">
          <cell r="D3334">
            <v>7.1</v>
          </cell>
          <cell r="H3334">
            <v>45505</v>
          </cell>
          <cell r="I3334" t="str">
            <v>8505 - Realized Gain/Loss</v>
          </cell>
          <cell r="J3334">
            <v>0</v>
          </cell>
          <cell r="K3334" t="str">
            <v>No Department</v>
          </cell>
          <cell r="L3334" t="str">
            <v>Realized Gain / Loss</v>
          </cell>
          <cell r="N3334" t="str">
            <v>BTL</v>
          </cell>
          <cell r="O3334" t="str">
            <v>[No Vendor]</v>
          </cell>
        </row>
        <row r="3335">
          <cell r="D3335">
            <v>11577.18</v>
          </cell>
          <cell r="H3335">
            <v>45505</v>
          </cell>
          <cell r="I3335" t="str">
            <v>6225 - Professional Services</v>
          </cell>
          <cell r="J3335" t="str">
            <v>Ecommerce (US)</v>
          </cell>
          <cell r="K3335" t="str">
            <v>Ecommerce</v>
          </cell>
          <cell r="L3335" t="str">
            <v>Professional Service</v>
          </cell>
          <cell r="N3335" t="str">
            <v>Direct Costs</v>
          </cell>
          <cell r="O3335" t="str">
            <v>Rareview, LLC</v>
          </cell>
        </row>
        <row r="3336">
          <cell r="D3336">
            <v>664.38</v>
          </cell>
          <cell r="H3336">
            <v>45505</v>
          </cell>
          <cell r="I3336" t="str">
            <v>6040 - Employer Paid Benefits</v>
          </cell>
          <cell r="J3336">
            <v>0</v>
          </cell>
          <cell r="K3336" t="str">
            <v>Design</v>
          </cell>
          <cell r="L3336" t="str">
            <v>HQ Salaries</v>
          </cell>
          <cell r="N3336" t="str">
            <v>SG&amp;A</v>
          </cell>
          <cell r="O3336" t="str">
            <v>Procyon Benefits LLC</v>
          </cell>
        </row>
        <row r="3337">
          <cell r="D3337">
            <v>300</v>
          </cell>
          <cell r="H3337">
            <v>45505</v>
          </cell>
          <cell r="I3337" t="str">
            <v>6288 - Model</v>
          </cell>
          <cell r="J3337" t="str">
            <v>Ecommerce (US)</v>
          </cell>
          <cell r="K3337" t="str">
            <v>Brand Marketing</v>
          </cell>
          <cell r="L3337" t="str">
            <v>Advertising</v>
          </cell>
          <cell r="N3337" t="str">
            <v>SG&amp;A</v>
          </cell>
          <cell r="O3337" t="str">
            <v>State Artist Management</v>
          </cell>
        </row>
        <row r="3338">
          <cell r="D3338">
            <v>719.8</v>
          </cell>
          <cell r="H3338">
            <v>45505</v>
          </cell>
          <cell r="I3338" t="str">
            <v>6410 - Lease Expense</v>
          </cell>
          <cell r="J3338">
            <v>0</v>
          </cell>
          <cell r="K3338" t="str">
            <v>Administration</v>
          </cell>
          <cell r="L3338" t="str">
            <v>Rent</v>
          </cell>
          <cell r="N3338" t="str">
            <v>SG&amp;A</v>
          </cell>
          <cell r="O3338" t="str">
            <v>Canon Financial Services, Inc.</v>
          </cell>
        </row>
        <row r="3339">
          <cell r="D3339">
            <v>1932.5</v>
          </cell>
          <cell r="H3339">
            <v>45505</v>
          </cell>
          <cell r="I3339" t="str">
            <v>6300 - Payroll Service Fees</v>
          </cell>
          <cell r="J3339">
            <v>0</v>
          </cell>
          <cell r="K3339" t="str">
            <v>Administration</v>
          </cell>
          <cell r="L3339" t="str">
            <v>Professional Service</v>
          </cell>
          <cell r="N3339" t="str">
            <v>SG&amp;A</v>
          </cell>
          <cell r="O3339" t="str">
            <v>OperationsInc, LLC</v>
          </cell>
        </row>
        <row r="3340">
          <cell r="D3340">
            <v>23.31</v>
          </cell>
          <cell r="H3340">
            <v>45505</v>
          </cell>
          <cell r="I3340" t="str">
            <v>6135 - Parking and Tolls</v>
          </cell>
          <cell r="J3340">
            <v>0</v>
          </cell>
          <cell r="K3340" t="str">
            <v>Production</v>
          </cell>
          <cell r="L3340" t="str">
            <v>T&amp;E</v>
          </cell>
          <cell r="N3340" t="str">
            <v>SG&amp;A</v>
          </cell>
          <cell r="O3340" t="str">
            <v>Frank Dell'Aquila</v>
          </cell>
        </row>
        <row r="3341">
          <cell r="D3341">
            <v>5</v>
          </cell>
          <cell r="H3341">
            <v>45505</v>
          </cell>
          <cell r="I3341" t="str">
            <v>6135 - Parking and Tolls</v>
          </cell>
          <cell r="J3341">
            <v>0</v>
          </cell>
          <cell r="K3341" t="str">
            <v>Production</v>
          </cell>
          <cell r="L3341" t="str">
            <v>T&amp;E</v>
          </cell>
          <cell r="N3341" t="str">
            <v>SG&amp;A</v>
          </cell>
          <cell r="O3341" t="str">
            <v>Frank Dell'Aquila</v>
          </cell>
        </row>
        <row r="3342">
          <cell r="D3342">
            <v>104.64</v>
          </cell>
          <cell r="H3342">
            <v>45505</v>
          </cell>
          <cell r="I3342" t="str">
            <v>6125 - Transportation and Fuel</v>
          </cell>
          <cell r="J3342">
            <v>0</v>
          </cell>
          <cell r="K3342" t="str">
            <v>Production</v>
          </cell>
          <cell r="L3342" t="str">
            <v>T&amp;E</v>
          </cell>
          <cell r="N3342" t="str">
            <v>SG&amp;A</v>
          </cell>
          <cell r="O3342" t="str">
            <v>Frank Dell'Aquila</v>
          </cell>
        </row>
        <row r="3343">
          <cell r="D3343">
            <v>10</v>
          </cell>
          <cell r="H3343">
            <v>45505</v>
          </cell>
          <cell r="I3343" t="str">
            <v>6125 - Transportation and Fuel</v>
          </cell>
          <cell r="J3343">
            <v>0</v>
          </cell>
          <cell r="K3343" t="str">
            <v>Production</v>
          </cell>
          <cell r="L3343" t="str">
            <v>T&amp;E</v>
          </cell>
          <cell r="N3343" t="str">
            <v>SG&amp;A</v>
          </cell>
          <cell r="O3343" t="str">
            <v>Frank Dell'Aquila</v>
          </cell>
        </row>
        <row r="3344">
          <cell r="D3344">
            <v>194.7</v>
          </cell>
          <cell r="H3344">
            <v>45505</v>
          </cell>
          <cell r="I3344" t="str">
            <v>6125 - Transportation and Fuel</v>
          </cell>
          <cell r="J3344">
            <v>0</v>
          </cell>
          <cell r="K3344" t="str">
            <v>Production</v>
          </cell>
          <cell r="L3344" t="str">
            <v>T&amp;E</v>
          </cell>
          <cell r="N3344" t="str">
            <v>SG&amp;A</v>
          </cell>
          <cell r="O3344" t="str">
            <v>Frank Dell'Aquila</v>
          </cell>
        </row>
        <row r="3345">
          <cell r="D3345">
            <v>6.7</v>
          </cell>
          <cell r="H3345">
            <v>45505</v>
          </cell>
          <cell r="I3345" t="str">
            <v>6105 - Meals</v>
          </cell>
          <cell r="J3345">
            <v>0</v>
          </cell>
          <cell r="K3345" t="str">
            <v>Production</v>
          </cell>
          <cell r="L3345" t="str">
            <v>T&amp;E</v>
          </cell>
          <cell r="N3345" t="str">
            <v>SG&amp;A</v>
          </cell>
          <cell r="O3345" t="str">
            <v>Frank Dell'Aquila</v>
          </cell>
        </row>
        <row r="3346">
          <cell r="D3346">
            <v>0.1</v>
          </cell>
          <cell r="H3346">
            <v>45505</v>
          </cell>
          <cell r="I3346" t="str">
            <v>6105 - Meals</v>
          </cell>
          <cell r="J3346">
            <v>0</v>
          </cell>
          <cell r="K3346" t="str">
            <v>Production</v>
          </cell>
          <cell r="L3346" t="str">
            <v>T&amp;E</v>
          </cell>
          <cell r="N3346" t="str">
            <v>SG&amp;A</v>
          </cell>
          <cell r="O3346" t="str">
            <v>Frank Dell'Aquila</v>
          </cell>
        </row>
        <row r="3347">
          <cell r="D3347">
            <v>9.4700000000000006</v>
          </cell>
          <cell r="H3347">
            <v>45505</v>
          </cell>
          <cell r="I3347" t="str">
            <v>6105 - Meals</v>
          </cell>
          <cell r="J3347">
            <v>0</v>
          </cell>
          <cell r="K3347" t="str">
            <v>Production</v>
          </cell>
          <cell r="L3347" t="str">
            <v>T&amp;E</v>
          </cell>
          <cell r="N3347" t="str">
            <v>SG&amp;A</v>
          </cell>
          <cell r="O3347" t="str">
            <v>Frank Dell'Aquila</v>
          </cell>
        </row>
        <row r="3348">
          <cell r="D3348">
            <v>63.92</v>
          </cell>
          <cell r="H3348">
            <v>45505</v>
          </cell>
          <cell r="I3348" t="str">
            <v>6105 - Meals</v>
          </cell>
          <cell r="J3348">
            <v>0</v>
          </cell>
          <cell r="K3348" t="str">
            <v>Production</v>
          </cell>
          <cell r="L3348" t="str">
            <v>T&amp;E</v>
          </cell>
          <cell r="N3348" t="str">
            <v>SG&amp;A</v>
          </cell>
          <cell r="O3348" t="str">
            <v>Frank Dell'Aquila</v>
          </cell>
        </row>
        <row r="3349">
          <cell r="D3349">
            <v>42.32</v>
          </cell>
          <cell r="H3349">
            <v>45505</v>
          </cell>
          <cell r="I3349" t="str">
            <v>6105 - Meals</v>
          </cell>
          <cell r="J3349">
            <v>0</v>
          </cell>
          <cell r="K3349" t="str">
            <v>Production</v>
          </cell>
          <cell r="L3349" t="str">
            <v>T&amp;E</v>
          </cell>
          <cell r="N3349" t="str">
            <v>SG&amp;A</v>
          </cell>
          <cell r="O3349" t="str">
            <v>Frank Dell'Aquila</v>
          </cell>
        </row>
        <row r="3350">
          <cell r="D3350">
            <v>788.03</v>
          </cell>
          <cell r="H3350">
            <v>45505</v>
          </cell>
          <cell r="I3350" t="str">
            <v>6375 - Freight Expenses</v>
          </cell>
          <cell r="J3350">
            <v>0</v>
          </cell>
          <cell r="K3350" t="str">
            <v>Production</v>
          </cell>
          <cell r="L3350" t="str">
            <v>Freight</v>
          </cell>
          <cell r="N3350" t="str">
            <v>Direct Costs</v>
          </cell>
          <cell r="O3350" t="str">
            <v>DHL Express - USA</v>
          </cell>
        </row>
        <row r="3351">
          <cell r="D3351">
            <v>133.08000000000001</v>
          </cell>
          <cell r="H3351">
            <v>45505</v>
          </cell>
          <cell r="I3351" t="str">
            <v>6375 - Freight Expenses</v>
          </cell>
          <cell r="J3351">
            <v>0</v>
          </cell>
          <cell r="K3351" t="str">
            <v>Production</v>
          </cell>
          <cell r="L3351" t="str">
            <v>Freight</v>
          </cell>
          <cell r="N3351" t="str">
            <v>Direct Costs</v>
          </cell>
          <cell r="O3351" t="str">
            <v>DHL Express - USA</v>
          </cell>
        </row>
        <row r="3352">
          <cell r="D3352">
            <v>68.75</v>
          </cell>
          <cell r="H3352">
            <v>45505</v>
          </cell>
          <cell r="I3352" t="str">
            <v>6040 - Employer Paid Benefits</v>
          </cell>
          <cell r="J3352">
            <v>0</v>
          </cell>
          <cell r="K3352" t="str">
            <v>Production</v>
          </cell>
          <cell r="L3352" t="str">
            <v>HQ Salaries</v>
          </cell>
          <cell r="N3352" t="str">
            <v>SG&amp;A</v>
          </cell>
          <cell r="O3352" t="str">
            <v>Procyon Benefits LLC</v>
          </cell>
        </row>
        <row r="3353">
          <cell r="D3353">
            <v>34</v>
          </cell>
          <cell r="H3353">
            <v>45505</v>
          </cell>
          <cell r="I3353" t="str">
            <v>6040 - Employer Paid Benefits</v>
          </cell>
          <cell r="J3353">
            <v>0</v>
          </cell>
          <cell r="K3353" t="str">
            <v>Merchandising</v>
          </cell>
          <cell r="L3353" t="str">
            <v>HQ Salaries</v>
          </cell>
          <cell r="N3353" t="str">
            <v>SG&amp;A</v>
          </cell>
          <cell r="O3353" t="str">
            <v>Procyon Benefits LLC</v>
          </cell>
        </row>
        <row r="3354">
          <cell r="D3354">
            <v>37.049999999999997</v>
          </cell>
          <cell r="H3354">
            <v>45505</v>
          </cell>
          <cell r="I3354" t="str">
            <v>6040 - Employer Paid Benefits</v>
          </cell>
          <cell r="J3354" t="str">
            <v>Ecommerce (US)</v>
          </cell>
          <cell r="K3354" t="str">
            <v>Ecommerce</v>
          </cell>
          <cell r="L3354" t="str">
            <v>HQ Salaries</v>
          </cell>
          <cell r="N3354" t="str">
            <v>SG&amp;A</v>
          </cell>
          <cell r="O3354" t="str">
            <v>Procyon Benefits LLC</v>
          </cell>
        </row>
        <row r="3355">
          <cell r="D3355">
            <v>24.9</v>
          </cell>
          <cell r="H3355">
            <v>45505</v>
          </cell>
          <cell r="I3355" t="str">
            <v>6040 - Employer Paid Benefits</v>
          </cell>
          <cell r="J3355">
            <v>0</v>
          </cell>
          <cell r="K3355" t="str">
            <v>Executive</v>
          </cell>
          <cell r="L3355" t="str">
            <v>HQ Salaries</v>
          </cell>
          <cell r="N3355" t="str">
            <v>SG&amp;A</v>
          </cell>
          <cell r="O3355" t="str">
            <v>Procyon Benefits LLC</v>
          </cell>
        </row>
        <row r="3356">
          <cell r="D3356">
            <v>677.88</v>
          </cell>
          <cell r="H3356">
            <v>45505</v>
          </cell>
          <cell r="I3356" t="str">
            <v>6375 - Freight Expenses</v>
          </cell>
          <cell r="J3356" t="str">
            <v>Wholesale</v>
          </cell>
          <cell r="K3356" t="str">
            <v>Wholesale</v>
          </cell>
          <cell r="L3356" t="str">
            <v>Freight</v>
          </cell>
          <cell r="N3356" t="str">
            <v>Direct Costs</v>
          </cell>
          <cell r="O3356" t="str">
            <v>Bergen Logistics Corporation</v>
          </cell>
        </row>
        <row r="3357">
          <cell r="D3357">
            <v>33545.550000000003</v>
          </cell>
          <cell r="H3357">
            <v>45505</v>
          </cell>
          <cell r="I3357" t="str">
            <v>6377 - Order Processing Expenses (New)</v>
          </cell>
          <cell r="J3357" t="str">
            <v>Ecommerce (US)</v>
          </cell>
          <cell r="K3357" t="str">
            <v>Ecommerce</v>
          </cell>
          <cell r="L3357" t="str">
            <v>Order Processing</v>
          </cell>
          <cell r="N3357" t="str">
            <v>Direct Costs</v>
          </cell>
          <cell r="O3357" t="str">
            <v>Bergen Logistics Corporation</v>
          </cell>
        </row>
        <row r="3358">
          <cell r="D3358">
            <v>2701.43</v>
          </cell>
          <cell r="H3358">
            <v>45505</v>
          </cell>
          <cell r="I3358" t="str">
            <v>6377 - Order Processing Expenses (New)</v>
          </cell>
          <cell r="J3358" t="str">
            <v>Wholesale</v>
          </cell>
          <cell r="K3358" t="str">
            <v>Wholesale</v>
          </cell>
          <cell r="L3358" t="str">
            <v>Order Processing</v>
          </cell>
          <cell r="N3358" t="str">
            <v>Direct Costs</v>
          </cell>
          <cell r="O3358" t="str">
            <v>Bergen Logistics Corporation</v>
          </cell>
        </row>
        <row r="3359">
          <cell r="D3359">
            <v>4500</v>
          </cell>
          <cell r="H3359">
            <v>45505</v>
          </cell>
          <cell r="I3359" t="str">
            <v>6225 - Professional Services</v>
          </cell>
          <cell r="J3359" t="str">
            <v>Ecommerce (US)</v>
          </cell>
          <cell r="K3359" t="str">
            <v>Ecommerce</v>
          </cell>
          <cell r="L3359" t="str">
            <v>Professional Service</v>
          </cell>
          <cell r="N3359" t="str">
            <v>Direct Costs</v>
          </cell>
          <cell r="O3359" t="str">
            <v>Freeflow LLC</v>
          </cell>
        </row>
        <row r="3360">
          <cell r="D3360">
            <v>1473.86</v>
          </cell>
          <cell r="H3360">
            <v>45505</v>
          </cell>
          <cell r="I3360" t="str">
            <v>6375 - Freight Expenses</v>
          </cell>
          <cell r="J3360" t="str">
            <v>Ecommerce (US)</v>
          </cell>
          <cell r="K3360" t="str">
            <v>Ecommerce</v>
          </cell>
          <cell r="L3360" t="str">
            <v>Freight</v>
          </cell>
          <cell r="N3360" t="str">
            <v>Direct Costs</v>
          </cell>
          <cell r="O3360" t="str">
            <v>Bergen Logistics Corporation</v>
          </cell>
        </row>
        <row r="3361">
          <cell r="D3361">
            <v>-971</v>
          </cell>
          <cell r="H3361">
            <v>45505</v>
          </cell>
          <cell r="I3361" t="str">
            <v>6377 - Order Processing Expenses (New)</v>
          </cell>
          <cell r="J3361" t="str">
            <v>Ecommerce (US)</v>
          </cell>
          <cell r="K3361" t="str">
            <v>No Department</v>
          </cell>
          <cell r="L3361" t="str">
            <v>Order Processing</v>
          </cell>
          <cell r="N3361" t="str">
            <v>Direct Costs</v>
          </cell>
          <cell r="O3361" t="str">
            <v>Bergen Logistics Corporation</v>
          </cell>
        </row>
        <row r="3362">
          <cell r="D3362">
            <v>611.95000000000005</v>
          </cell>
          <cell r="H3362">
            <v>45505</v>
          </cell>
          <cell r="I3362" t="str">
            <v>6115 - Airfare</v>
          </cell>
          <cell r="J3362" t="str">
            <v>Wholesale</v>
          </cell>
          <cell r="K3362" t="str">
            <v>Wholesale</v>
          </cell>
          <cell r="L3362" t="str">
            <v>T&amp;E</v>
          </cell>
          <cell r="N3362" t="str">
            <v>SG&amp;A</v>
          </cell>
          <cell r="O3362" t="str">
            <v>[No Vendor]</v>
          </cell>
        </row>
        <row r="3363">
          <cell r="D3363">
            <v>5</v>
          </cell>
          <cell r="H3363">
            <v>45505</v>
          </cell>
          <cell r="I3363" t="str">
            <v>6140 - Other</v>
          </cell>
          <cell r="J3363" t="str">
            <v>Wholesale</v>
          </cell>
          <cell r="K3363" t="str">
            <v>Wholesale</v>
          </cell>
          <cell r="L3363" t="str">
            <v>T&amp;E</v>
          </cell>
          <cell r="N3363" t="str">
            <v>SG&amp;A</v>
          </cell>
          <cell r="O3363" t="str">
            <v>[No Vendor]</v>
          </cell>
        </row>
        <row r="3364">
          <cell r="D3364">
            <v>1808.77</v>
          </cell>
          <cell r="H3364">
            <v>45505</v>
          </cell>
          <cell r="I3364" t="str">
            <v>6120 - Lodging</v>
          </cell>
          <cell r="J3364" t="str">
            <v>Wholesale</v>
          </cell>
          <cell r="K3364" t="str">
            <v>Wholesale</v>
          </cell>
          <cell r="L3364" t="str">
            <v>T&amp;E</v>
          </cell>
          <cell r="N3364" t="str">
            <v>SG&amp;A</v>
          </cell>
          <cell r="O3364" t="str">
            <v>[No Vendor]</v>
          </cell>
        </row>
        <row r="3365">
          <cell r="D3365">
            <v>77</v>
          </cell>
          <cell r="H3365">
            <v>45505</v>
          </cell>
          <cell r="I3365" t="str">
            <v>6300 - Payroll Service Fees</v>
          </cell>
          <cell r="J3365">
            <v>0</v>
          </cell>
          <cell r="K3365" t="str">
            <v>Administration</v>
          </cell>
          <cell r="L3365" t="str">
            <v>Professional Service</v>
          </cell>
          <cell r="N3365" t="str">
            <v>SG&amp;A</v>
          </cell>
          <cell r="O3365" t="str">
            <v>ADP Payroll Services</v>
          </cell>
        </row>
        <row r="3366">
          <cell r="D3366">
            <v>103.65</v>
          </cell>
          <cell r="H3366">
            <v>45505</v>
          </cell>
          <cell r="I3366" t="str">
            <v>6393 - Software</v>
          </cell>
          <cell r="J3366">
            <v>0</v>
          </cell>
          <cell r="K3366" t="str">
            <v>Administration</v>
          </cell>
          <cell r="L3366" t="str">
            <v>Professional Service</v>
          </cell>
          <cell r="N3366" t="str">
            <v>Direct Costs</v>
          </cell>
          <cell r="O3366" t="str">
            <v>ADP Payroll Services</v>
          </cell>
        </row>
        <row r="3367">
          <cell r="D3367">
            <v>1100</v>
          </cell>
          <cell r="H3367">
            <v>45505</v>
          </cell>
          <cell r="I3367" t="str">
            <v>6360 - Model - Fitting</v>
          </cell>
          <cell r="J3367">
            <v>0</v>
          </cell>
          <cell r="K3367" t="str">
            <v>Production</v>
          </cell>
          <cell r="L3367" t="str">
            <v>Sample</v>
          </cell>
          <cell r="N3367" t="str">
            <v>SG&amp;A</v>
          </cell>
          <cell r="O3367" t="str">
            <v>Lanny K.W. Inc.</v>
          </cell>
        </row>
        <row r="3368">
          <cell r="D3368">
            <v>33586.57</v>
          </cell>
          <cell r="H3368">
            <v>45505</v>
          </cell>
          <cell r="I3368" t="str">
            <v>6375 - Freight Expenses</v>
          </cell>
          <cell r="J3368" t="str">
            <v>Ecommerce (US)</v>
          </cell>
          <cell r="K3368" t="str">
            <v>Ecommerce</v>
          </cell>
          <cell r="L3368" t="str">
            <v>Freight</v>
          </cell>
          <cell r="N3368" t="str">
            <v>Direct Costs</v>
          </cell>
          <cell r="O3368" t="str">
            <v>UPS Supply Chain Solutions Inc. (7F24A0)</v>
          </cell>
        </row>
        <row r="3369">
          <cell r="D3369">
            <v>784.22</v>
          </cell>
          <cell r="H3369">
            <v>45505</v>
          </cell>
          <cell r="I3369" t="str">
            <v>6375 - Freight Expenses</v>
          </cell>
          <cell r="J3369" t="str">
            <v>Wholesale</v>
          </cell>
          <cell r="K3369" t="str">
            <v>Wholesale</v>
          </cell>
          <cell r="L3369" t="str">
            <v>Freight</v>
          </cell>
          <cell r="N3369" t="str">
            <v>Direct Costs</v>
          </cell>
          <cell r="O3369" t="str">
            <v>UPS Supply Chain Solutions Inc. (7F24A0)</v>
          </cell>
        </row>
        <row r="3370">
          <cell r="D3370">
            <v>67.22</v>
          </cell>
          <cell r="H3370">
            <v>45505</v>
          </cell>
          <cell r="I3370" t="str">
            <v>6375 - Freight Expenses</v>
          </cell>
          <cell r="J3370" t="str">
            <v>Ecommerce (US)</v>
          </cell>
          <cell r="K3370" t="str">
            <v>Ecommerce</v>
          </cell>
          <cell r="L3370" t="str">
            <v>Freight</v>
          </cell>
          <cell r="N3370" t="str">
            <v>Direct Costs</v>
          </cell>
          <cell r="O3370" t="str">
            <v>Federal Express</v>
          </cell>
        </row>
        <row r="3371">
          <cell r="D3371">
            <v>300</v>
          </cell>
          <cell r="H3371">
            <v>45505</v>
          </cell>
          <cell r="I3371" t="str">
            <v>6288 - Model</v>
          </cell>
          <cell r="J3371" t="str">
            <v>Ecommerce (US)</v>
          </cell>
          <cell r="K3371" t="str">
            <v>Brand Marketing</v>
          </cell>
          <cell r="L3371" t="str">
            <v>Advertising</v>
          </cell>
          <cell r="N3371" t="str">
            <v>SG&amp;A</v>
          </cell>
          <cell r="O3371" t="str">
            <v>State Artist Management</v>
          </cell>
        </row>
        <row r="3372">
          <cell r="D3372">
            <v>16.989999999999998</v>
          </cell>
          <cell r="H3372">
            <v>45505</v>
          </cell>
          <cell r="I3372" t="str">
            <v>6375 - Freight Expenses</v>
          </cell>
          <cell r="J3372" t="str">
            <v>Ecommerce (US)</v>
          </cell>
          <cell r="K3372" t="str">
            <v>Ecommerce</v>
          </cell>
          <cell r="L3372" t="str">
            <v>Freight</v>
          </cell>
          <cell r="N3372" t="str">
            <v>Direct Costs</v>
          </cell>
          <cell r="O3372" t="str">
            <v>Federal Express</v>
          </cell>
        </row>
        <row r="3373">
          <cell r="D3373">
            <v>3397.79</v>
          </cell>
          <cell r="H3373">
            <v>45505</v>
          </cell>
          <cell r="I3373" t="str">
            <v>6375 - Freight Expenses</v>
          </cell>
          <cell r="J3373" t="str">
            <v>Ecommerce (EU)</v>
          </cell>
          <cell r="K3373" t="str">
            <v>Ecommerce</v>
          </cell>
          <cell r="L3373" t="str">
            <v>Freight</v>
          </cell>
          <cell r="N3373" t="str">
            <v>Direct Costs</v>
          </cell>
          <cell r="O3373" t="str">
            <v>Global E</v>
          </cell>
        </row>
        <row r="3374">
          <cell r="D3374">
            <v>11277.92</v>
          </cell>
          <cell r="H3374">
            <v>45505</v>
          </cell>
          <cell r="I3374" t="str">
            <v>6377 - Order Processing Expenses (New)</v>
          </cell>
          <cell r="J3374" t="str">
            <v>Ecommerce (EU)</v>
          </cell>
          <cell r="K3374" t="str">
            <v>Ecommerce</v>
          </cell>
          <cell r="L3374" t="str">
            <v>Order Processing</v>
          </cell>
          <cell r="N3374" t="str">
            <v>Direct Costs</v>
          </cell>
          <cell r="O3374" t="str">
            <v>[No Vendor]</v>
          </cell>
        </row>
        <row r="3375">
          <cell r="D3375">
            <v>3988.78</v>
          </cell>
          <cell r="H3375">
            <v>45505</v>
          </cell>
          <cell r="I3375" t="str">
            <v>6450 - Bank &amp; Other Fees</v>
          </cell>
          <cell r="J3375" t="str">
            <v>Ecommerce (EU)</v>
          </cell>
          <cell r="K3375" t="str">
            <v>Ecommerce</v>
          </cell>
          <cell r="L3375" t="str">
            <v>Professional Service</v>
          </cell>
          <cell r="N3375" t="str">
            <v>Direct Costs</v>
          </cell>
          <cell r="O3375" t="str">
            <v>[No Vendor]</v>
          </cell>
        </row>
        <row r="3376">
          <cell r="D3376">
            <v>1926.43</v>
          </cell>
          <cell r="H3376">
            <v>45505</v>
          </cell>
          <cell r="I3376" t="str">
            <v>6430 - Dues &amp; Memberships</v>
          </cell>
          <cell r="J3376" t="str">
            <v>Ecommerce (US)</v>
          </cell>
          <cell r="K3376" t="str">
            <v>Ecommerce</v>
          </cell>
          <cell r="L3376" t="str">
            <v>Professional Service</v>
          </cell>
          <cell r="N3376" t="str">
            <v>Direct Costs</v>
          </cell>
          <cell r="O3376" t="str">
            <v>Loop</v>
          </cell>
        </row>
        <row r="3377">
          <cell r="D3377">
            <v>57.67</v>
          </cell>
          <cell r="H3377">
            <v>45505</v>
          </cell>
          <cell r="I3377" t="str">
            <v>6125 - Transportation and Fuel</v>
          </cell>
          <cell r="J3377">
            <v>0</v>
          </cell>
          <cell r="K3377" t="str">
            <v>Design</v>
          </cell>
          <cell r="L3377" t="str">
            <v>T&amp;E</v>
          </cell>
          <cell r="N3377" t="str">
            <v>SG&amp;A</v>
          </cell>
          <cell r="O3377" t="str">
            <v>[No Vendor]</v>
          </cell>
        </row>
        <row r="3378">
          <cell r="D3378">
            <v>1245</v>
          </cell>
          <cell r="H3378">
            <v>45505</v>
          </cell>
          <cell r="I3378" t="str">
            <v>6393 - Software</v>
          </cell>
          <cell r="J3378">
            <v>0</v>
          </cell>
          <cell r="K3378" t="str">
            <v>Design</v>
          </cell>
          <cell r="L3378" t="str">
            <v>Professional Service</v>
          </cell>
          <cell r="N3378" t="str">
            <v>Direct Costs</v>
          </cell>
          <cell r="O3378">
            <v>0</v>
          </cell>
        </row>
        <row r="3379">
          <cell r="D3379">
            <v>9.3800000000000008</v>
          </cell>
          <cell r="H3379">
            <v>45505</v>
          </cell>
          <cell r="I3379" t="str">
            <v>6340 - Miscellaneous Expense</v>
          </cell>
          <cell r="J3379">
            <v>0</v>
          </cell>
          <cell r="K3379" t="str">
            <v>Design</v>
          </cell>
          <cell r="L3379" t="str">
            <v>Other</v>
          </cell>
          <cell r="N3379" t="str">
            <v>SG&amp;A</v>
          </cell>
          <cell r="O3379" t="str">
            <v>[No Vendor]</v>
          </cell>
        </row>
        <row r="3380">
          <cell r="D3380">
            <v>146.97999999999999</v>
          </cell>
          <cell r="H3380">
            <v>45505</v>
          </cell>
          <cell r="I3380" t="str">
            <v>6370 - Samples</v>
          </cell>
          <cell r="J3380">
            <v>0</v>
          </cell>
          <cell r="K3380" t="str">
            <v>Design</v>
          </cell>
          <cell r="L3380" t="str">
            <v>Sample</v>
          </cell>
          <cell r="N3380" t="str">
            <v>SG&amp;A</v>
          </cell>
          <cell r="O3380" t="str">
            <v>[No Vendor]</v>
          </cell>
        </row>
        <row r="3381">
          <cell r="D3381">
            <v>34</v>
          </cell>
          <cell r="H3381">
            <v>45505</v>
          </cell>
          <cell r="I3381" t="str">
            <v>6450 - Bank &amp; Other Fees</v>
          </cell>
          <cell r="J3381">
            <v>0</v>
          </cell>
          <cell r="K3381" t="str">
            <v>Licensing</v>
          </cell>
          <cell r="L3381" t="str">
            <v>Professional Service</v>
          </cell>
          <cell r="N3381" t="str">
            <v>SG&amp;A</v>
          </cell>
          <cell r="O3381" t="str">
            <v>LATIN SHOES</v>
          </cell>
        </row>
        <row r="3382">
          <cell r="D3382">
            <v>-90.08</v>
          </cell>
          <cell r="H3382">
            <v>45505</v>
          </cell>
          <cell r="I3382" t="str">
            <v>8000 - Interest Income</v>
          </cell>
          <cell r="J3382">
            <v>0</v>
          </cell>
          <cell r="K3382" t="str">
            <v>Administration</v>
          </cell>
          <cell r="L3382" t="str">
            <v>Other Income (BTL)</v>
          </cell>
          <cell r="N3382" t="str">
            <v>BTL</v>
          </cell>
          <cell r="O3382" t="str">
            <v>[No Vendor]</v>
          </cell>
        </row>
        <row r="3383">
          <cell r="D3383">
            <v>234.65</v>
          </cell>
          <cell r="H3383">
            <v>45505</v>
          </cell>
          <cell r="I3383" t="str">
            <v>6040 - Employer Paid Benefits</v>
          </cell>
          <cell r="J3383">
            <v>0</v>
          </cell>
          <cell r="K3383" t="str">
            <v>Design</v>
          </cell>
          <cell r="L3383" t="str">
            <v>HQ Salaries</v>
          </cell>
          <cell r="N3383" t="str">
            <v>SG&amp;A</v>
          </cell>
          <cell r="O3383" t="str">
            <v>Procyon Benefits LLC</v>
          </cell>
        </row>
        <row r="3384">
          <cell r="D3384">
            <v>30.39</v>
          </cell>
          <cell r="H3384">
            <v>45505</v>
          </cell>
          <cell r="I3384" t="str">
            <v>6340 - Miscellaneous Expense</v>
          </cell>
          <cell r="J3384">
            <v>0</v>
          </cell>
          <cell r="K3384" t="str">
            <v>Administration</v>
          </cell>
          <cell r="L3384" t="str">
            <v>Other</v>
          </cell>
          <cell r="N3384" t="str">
            <v>SG&amp;A</v>
          </cell>
          <cell r="O3384" t="str">
            <v>[No Vendor]</v>
          </cell>
        </row>
        <row r="3385">
          <cell r="D3385">
            <v>15606</v>
          </cell>
          <cell r="H3385">
            <v>45505</v>
          </cell>
          <cell r="I3385" t="str">
            <v>6340 - Miscellaneous Expense</v>
          </cell>
          <cell r="J3385" t="str">
            <v>Ecommerce (US)</v>
          </cell>
          <cell r="K3385" t="str">
            <v>Ecommerce</v>
          </cell>
          <cell r="L3385" t="str">
            <v>Other</v>
          </cell>
          <cell r="N3385" t="str">
            <v>SG&amp;A</v>
          </cell>
          <cell r="O3385" t="str">
            <v>The Apparel Group American LLC</v>
          </cell>
        </row>
        <row r="3386">
          <cell r="D3386">
            <v>-265.22000000000003</v>
          </cell>
          <cell r="H3386">
            <v>45505</v>
          </cell>
          <cell r="I3386" t="str">
            <v>6430 - Dues &amp; Memberships</v>
          </cell>
          <cell r="J3386">
            <v>0</v>
          </cell>
          <cell r="K3386" t="str">
            <v>Brand Marketing</v>
          </cell>
          <cell r="L3386" t="str">
            <v>Professional Service</v>
          </cell>
          <cell r="N3386" t="str">
            <v>Direct Costs</v>
          </cell>
          <cell r="O3386" t="str">
            <v>[No Vendor]</v>
          </cell>
        </row>
        <row r="3387">
          <cell r="D3387">
            <v>455</v>
          </cell>
          <cell r="H3387">
            <v>45505</v>
          </cell>
          <cell r="I3387" t="str">
            <v>6300 - Payroll Service Fees</v>
          </cell>
          <cell r="J3387">
            <v>0</v>
          </cell>
          <cell r="K3387" t="str">
            <v>Administration</v>
          </cell>
          <cell r="L3387" t="str">
            <v>Professional Service</v>
          </cell>
          <cell r="N3387" t="str">
            <v>SG&amp;A</v>
          </cell>
          <cell r="O3387" t="str">
            <v>OperationsInc, LLC</v>
          </cell>
        </row>
        <row r="3388">
          <cell r="D3388">
            <v>103.31</v>
          </cell>
          <cell r="H3388">
            <v>45505</v>
          </cell>
          <cell r="I3388" t="str">
            <v>6125 - Transportation and Fuel</v>
          </cell>
          <cell r="J3388">
            <v>0</v>
          </cell>
          <cell r="K3388" t="str">
            <v>Brand Marketing</v>
          </cell>
          <cell r="L3388" t="str">
            <v>T&amp;E</v>
          </cell>
          <cell r="N3388" t="str">
            <v>SG&amp;A</v>
          </cell>
          <cell r="O3388" t="str">
            <v>[No Vendor]</v>
          </cell>
        </row>
        <row r="3389">
          <cell r="D3389">
            <v>26.89</v>
          </cell>
          <cell r="H3389">
            <v>45505</v>
          </cell>
          <cell r="I3389" t="str">
            <v>6125 - Transportation and Fuel</v>
          </cell>
          <cell r="J3389">
            <v>0</v>
          </cell>
          <cell r="K3389" t="str">
            <v>Administration</v>
          </cell>
          <cell r="L3389" t="str">
            <v>T&amp;E</v>
          </cell>
          <cell r="N3389" t="str">
            <v>SG&amp;A</v>
          </cell>
          <cell r="O3389" t="str">
            <v>[No Vendor]</v>
          </cell>
        </row>
        <row r="3390">
          <cell r="D3390">
            <v>13.02</v>
          </cell>
          <cell r="H3390">
            <v>45505</v>
          </cell>
          <cell r="I3390" t="str">
            <v>6125 - Transportation and Fuel</v>
          </cell>
          <cell r="J3390">
            <v>0</v>
          </cell>
          <cell r="K3390" t="str">
            <v>Administration</v>
          </cell>
          <cell r="L3390" t="str">
            <v>T&amp;E</v>
          </cell>
          <cell r="N3390" t="str">
            <v>SG&amp;A</v>
          </cell>
          <cell r="O3390" t="str">
            <v>[No Vendor]</v>
          </cell>
        </row>
        <row r="3391">
          <cell r="D3391">
            <v>11.96</v>
          </cell>
          <cell r="H3391">
            <v>45505</v>
          </cell>
          <cell r="I3391" t="str">
            <v>6125 - Transportation and Fuel</v>
          </cell>
          <cell r="J3391">
            <v>0</v>
          </cell>
          <cell r="K3391" t="str">
            <v>Administration</v>
          </cell>
          <cell r="L3391" t="str">
            <v>T&amp;E</v>
          </cell>
          <cell r="N3391" t="str">
            <v>SG&amp;A</v>
          </cell>
          <cell r="O3391" t="str">
            <v>[No Vendor]</v>
          </cell>
        </row>
        <row r="3392">
          <cell r="D3392">
            <v>115.92</v>
          </cell>
          <cell r="H3392">
            <v>45505</v>
          </cell>
          <cell r="I3392" t="str">
            <v>6125 - Transportation and Fuel</v>
          </cell>
          <cell r="J3392">
            <v>0</v>
          </cell>
          <cell r="K3392" t="str">
            <v>Brand Marketing</v>
          </cell>
          <cell r="L3392" t="str">
            <v>T&amp;E</v>
          </cell>
          <cell r="N3392" t="str">
            <v>SG&amp;A</v>
          </cell>
          <cell r="O3392" t="str">
            <v>[No Vendor]</v>
          </cell>
        </row>
        <row r="3393">
          <cell r="D3393">
            <v>59.98</v>
          </cell>
          <cell r="H3393">
            <v>45505</v>
          </cell>
          <cell r="I3393" t="str">
            <v>6105 - Meals</v>
          </cell>
          <cell r="J3393">
            <v>0</v>
          </cell>
          <cell r="K3393" t="str">
            <v>Administration</v>
          </cell>
          <cell r="L3393" t="str">
            <v>T&amp;E</v>
          </cell>
          <cell r="N3393" t="str">
            <v>SG&amp;A</v>
          </cell>
          <cell r="O3393" t="str">
            <v>[No Vendor]</v>
          </cell>
        </row>
        <row r="3394">
          <cell r="D3394">
            <v>68.78</v>
          </cell>
          <cell r="H3394">
            <v>45505</v>
          </cell>
          <cell r="I3394" t="str">
            <v>6375 - Freight Expenses</v>
          </cell>
          <cell r="J3394">
            <v>0</v>
          </cell>
          <cell r="K3394" t="str">
            <v>Brand Marketing</v>
          </cell>
          <cell r="L3394" t="str">
            <v>Freight</v>
          </cell>
          <cell r="N3394" t="str">
            <v>Direct Costs</v>
          </cell>
          <cell r="O3394" t="str">
            <v>[No Vendor]</v>
          </cell>
        </row>
        <row r="3395">
          <cell r="D3395">
            <v>1896.25</v>
          </cell>
          <cell r="H3395">
            <v>45505</v>
          </cell>
          <cell r="I3395" t="str">
            <v>6375 - Freight Expenses</v>
          </cell>
          <cell r="J3395">
            <v>0</v>
          </cell>
          <cell r="K3395" t="str">
            <v>Brand Marketing</v>
          </cell>
          <cell r="L3395" t="str">
            <v>Freight</v>
          </cell>
          <cell r="N3395" t="str">
            <v>Direct Costs</v>
          </cell>
          <cell r="O3395" t="str">
            <v>[No Vendor]</v>
          </cell>
        </row>
        <row r="3396">
          <cell r="D3396">
            <v>571.35</v>
          </cell>
          <cell r="H3396">
            <v>45505</v>
          </cell>
          <cell r="I3396" t="str">
            <v>6375 - Freight Expenses</v>
          </cell>
          <cell r="J3396">
            <v>0</v>
          </cell>
          <cell r="K3396" t="str">
            <v>Production</v>
          </cell>
          <cell r="L3396" t="str">
            <v>Freight</v>
          </cell>
          <cell r="N3396" t="str">
            <v>Direct Costs</v>
          </cell>
          <cell r="O3396" t="str">
            <v>DHL Express - USA</v>
          </cell>
        </row>
        <row r="3397">
          <cell r="D3397">
            <v>218.5</v>
          </cell>
          <cell r="H3397">
            <v>45505</v>
          </cell>
          <cell r="I3397" t="str">
            <v>6040 - Employer Paid Benefits</v>
          </cell>
          <cell r="J3397">
            <v>0</v>
          </cell>
          <cell r="K3397" t="str">
            <v>Production</v>
          </cell>
          <cell r="L3397" t="str">
            <v>HQ Salaries</v>
          </cell>
          <cell r="N3397" t="str">
            <v>SG&amp;A</v>
          </cell>
          <cell r="O3397" t="str">
            <v>Procyon Benefits LLC</v>
          </cell>
        </row>
        <row r="3398">
          <cell r="D3398">
            <v>36.9</v>
          </cell>
          <cell r="H3398">
            <v>45505</v>
          </cell>
          <cell r="I3398" t="str">
            <v>6040 - Employer Paid Benefits</v>
          </cell>
          <cell r="J3398">
            <v>0</v>
          </cell>
          <cell r="K3398" t="str">
            <v>Merchandising</v>
          </cell>
          <cell r="L3398" t="str">
            <v>HQ Salaries</v>
          </cell>
          <cell r="N3398" t="str">
            <v>SG&amp;A</v>
          </cell>
          <cell r="O3398" t="str">
            <v>Procyon Benefits LLC</v>
          </cell>
        </row>
        <row r="3399">
          <cell r="D3399">
            <v>8.0500000000000007</v>
          </cell>
          <cell r="H3399">
            <v>45505</v>
          </cell>
          <cell r="I3399" t="str">
            <v>6040 - Employer Paid Benefits</v>
          </cell>
          <cell r="J3399" t="str">
            <v>Ecommerce (US)</v>
          </cell>
          <cell r="K3399" t="str">
            <v>Ecommerce</v>
          </cell>
          <cell r="L3399" t="str">
            <v>HQ Salaries</v>
          </cell>
          <cell r="N3399" t="str">
            <v>SG&amp;A</v>
          </cell>
          <cell r="O3399" t="str">
            <v>Procyon Benefits LLC</v>
          </cell>
        </row>
        <row r="3400">
          <cell r="D3400">
            <v>103.92</v>
          </cell>
          <cell r="H3400">
            <v>45505</v>
          </cell>
          <cell r="I3400" t="str">
            <v>6040 - Employer Paid Benefits</v>
          </cell>
          <cell r="J3400">
            <v>0</v>
          </cell>
          <cell r="K3400" t="str">
            <v>Executive</v>
          </cell>
          <cell r="L3400" t="str">
            <v>HQ Salaries</v>
          </cell>
          <cell r="N3400" t="str">
            <v>SG&amp;A</v>
          </cell>
          <cell r="O3400" t="str">
            <v>Procyon Benefits LLC</v>
          </cell>
        </row>
        <row r="3401">
          <cell r="D3401">
            <v>54.18</v>
          </cell>
          <cell r="H3401">
            <v>45505</v>
          </cell>
          <cell r="I3401" t="str">
            <v>6340 - Miscellaneous Expense</v>
          </cell>
          <cell r="J3401">
            <v>0</v>
          </cell>
          <cell r="K3401" t="str">
            <v>Executive</v>
          </cell>
          <cell r="L3401" t="str">
            <v>Other</v>
          </cell>
          <cell r="N3401" t="str">
            <v>SG&amp;A</v>
          </cell>
          <cell r="O3401" t="str">
            <v>[No Vendor]</v>
          </cell>
        </row>
        <row r="3402">
          <cell r="D3402">
            <v>34.659999999999997</v>
          </cell>
          <cell r="H3402">
            <v>45505</v>
          </cell>
          <cell r="I3402" t="str">
            <v>6340 - Miscellaneous Expense</v>
          </cell>
          <cell r="J3402">
            <v>0</v>
          </cell>
          <cell r="K3402" t="str">
            <v>Executive</v>
          </cell>
          <cell r="L3402" t="str">
            <v>Other</v>
          </cell>
          <cell r="N3402" t="str">
            <v>SG&amp;A</v>
          </cell>
          <cell r="O3402" t="str">
            <v>[No Vendor]</v>
          </cell>
        </row>
        <row r="3403">
          <cell r="D3403">
            <v>913.32</v>
          </cell>
          <cell r="H3403">
            <v>45505</v>
          </cell>
          <cell r="I3403" t="str">
            <v>6287 - Events</v>
          </cell>
          <cell r="J3403">
            <v>0</v>
          </cell>
          <cell r="K3403" t="str">
            <v>Brand Marketing</v>
          </cell>
          <cell r="L3403" t="str">
            <v>Advertising</v>
          </cell>
          <cell r="N3403" t="str">
            <v>SG&amp;A</v>
          </cell>
          <cell r="O3403" t="str">
            <v>[No Vendor]</v>
          </cell>
        </row>
        <row r="3404">
          <cell r="D3404">
            <v>25</v>
          </cell>
          <cell r="H3404">
            <v>45505</v>
          </cell>
          <cell r="I3404" t="str">
            <v>6040 - Employer Paid Benefits</v>
          </cell>
          <cell r="J3404">
            <v>0</v>
          </cell>
          <cell r="K3404" t="str">
            <v>Administration</v>
          </cell>
          <cell r="L3404" t="str">
            <v>HQ Salaries</v>
          </cell>
          <cell r="N3404" t="str">
            <v>SG&amp;A</v>
          </cell>
          <cell r="O3404" t="str">
            <v>Lifetime Benefit Solutions, Inc</v>
          </cell>
        </row>
        <row r="3405">
          <cell r="D3405">
            <v>7.53</v>
          </cell>
          <cell r="H3405">
            <v>45505</v>
          </cell>
          <cell r="I3405" t="str">
            <v>8505 - Realized Gain/Loss</v>
          </cell>
          <cell r="J3405">
            <v>0</v>
          </cell>
          <cell r="K3405" t="str">
            <v>No Department</v>
          </cell>
          <cell r="L3405" t="str">
            <v>Realized Gain / Loss</v>
          </cell>
          <cell r="N3405" t="str">
            <v>BTL</v>
          </cell>
          <cell r="O3405" t="str">
            <v>[No Vendor]</v>
          </cell>
        </row>
        <row r="3406">
          <cell r="D3406">
            <v>20857.7</v>
          </cell>
          <cell r="H3406">
            <v>45505</v>
          </cell>
          <cell r="I3406" t="str">
            <v>6005 - Salaries</v>
          </cell>
          <cell r="J3406">
            <v>0</v>
          </cell>
          <cell r="K3406" t="str">
            <v>Design</v>
          </cell>
          <cell r="L3406" t="str">
            <v>HQ Salaries</v>
          </cell>
          <cell r="N3406" t="str">
            <v>SG&amp;A</v>
          </cell>
          <cell r="O3406" t="str">
            <v>[No Vendor]</v>
          </cell>
        </row>
        <row r="3407">
          <cell r="D3407">
            <v>0</v>
          </cell>
          <cell r="H3407">
            <v>45505</v>
          </cell>
          <cell r="I3407" t="str">
            <v>6205 - Contractors</v>
          </cell>
          <cell r="J3407">
            <v>0</v>
          </cell>
          <cell r="K3407" t="str">
            <v>Brand Marketing</v>
          </cell>
          <cell r="L3407" t="str">
            <v>HQ Salaries</v>
          </cell>
          <cell r="N3407" t="str">
            <v>SG&amp;A</v>
          </cell>
          <cell r="O3407" t="str">
            <v>[No Vendor]</v>
          </cell>
        </row>
        <row r="3408">
          <cell r="D3408">
            <v>5355</v>
          </cell>
          <cell r="H3408">
            <v>45505</v>
          </cell>
          <cell r="I3408" t="str">
            <v>6205 - Contractors</v>
          </cell>
          <cell r="J3408" t="str">
            <v>Ecommerce (US)</v>
          </cell>
          <cell r="K3408" t="str">
            <v>Ecommerce</v>
          </cell>
          <cell r="L3408" t="str">
            <v>HQ Salaries</v>
          </cell>
          <cell r="N3408" t="str">
            <v>SG&amp;A</v>
          </cell>
          <cell r="O3408" t="str">
            <v>[No Vendor]</v>
          </cell>
        </row>
        <row r="3409">
          <cell r="D3409">
            <v>-20.41</v>
          </cell>
          <cell r="H3409">
            <v>45505</v>
          </cell>
          <cell r="I3409" t="str">
            <v>6385 - Insurance</v>
          </cell>
          <cell r="J3409">
            <v>0</v>
          </cell>
          <cell r="K3409" t="str">
            <v>Administration</v>
          </cell>
          <cell r="L3409" t="str">
            <v>Professional Service</v>
          </cell>
          <cell r="N3409" t="str">
            <v>SG&amp;A</v>
          </cell>
          <cell r="O3409" t="str">
            <v>[No Vendor]</v>
          </cell>
        </row>
        <row r="3410">
          <cell r="D3410">
            <v>-13.16</v>
          </cell>
          <cell r="H3410">
            <v>45505</v>
          </cell>
          <cell r="I3410" t="str">
            <v>6385 - Insurance</v>
          </cell>
          <cell r="J3410">
            <v>0</v>
          </cell>
          <cell r="K3410" t="str">
            <v>Administration</v>
          </cell>
          <cell r="L3410" t="str">
            <v>Professional Service</v>
          </cell>
          <cell r="N3410" t="str">
            <v>SG&amp;A</v>
          </cell>
          <cell r="O3410" t="str">
            <v>[No Vendor]</v>
          </cell>
        </row>
        <row r="3411">
          <cell r="D3411">
            <v>-29.56</v>
          </cell>
          <cell r="H3411">
            <v>45505</v>
          </cell>
          <cell r="I3411" t="str">
            <v>6385 - Insurance</v>
          </cell>
          <cell r="J3411">
            <v>0</v>
          </cell>
          <cell r="K3411" t="str">
            <v>Administration</v>
          </cell>
          <cell r="L3411" t="str">
            <v>Professional Service</v>
          </cell>
          <cell r="N3411" t="str">
            <v>SG&amp;A</v>
          </cell>
          <cell r="O3411" t="str">
            <v>[No Vendor]</v>
          </cell>
        </row>
        <row r="3412">
          <cell r="D3412">
            <v>-13.39</v>
          </cell>
          <cell r="H3412">
            <v>45505</v>
          </cell>
          <cell r="I3412" t="str">
            <v>6385 - Insurance</v>
          </cell>
          <cell r="J3412">
            <v>0</v>
          </cell>
          <cell r="K3412" t="str">
            <v>Administration</v>
          </cell>
          <cell r="L3412" t="str">
            <v>Professional Service</v>
          </cell>
          <cell r="N3412" t="str">
            <v>SG&amp;A</v>
          </cell>
          <cell r="O3412" t="str">
            <v>[No Vendor]</v>
          </cell>
        </row>
        <row r="3413">
          <cell r="D3413">
            <v>-40.24</v>
          </cell>
          <cell r="H3413">
            <v>45505</v>
          </cell>
          <cell r="I3413" t="str">
            <v>6385 - Insurance</v>
          </cell>
          <cell r="J3413">
            <v>0</v>
          </cell>
          <cell r="K3413" t="str">
            <v>Administration</v>
          </cell>
          <cell r="L3413" t="str">
            <v>Professional Service</v>
          </cell>
          <cell r="N3413" t="str">
            <v>SG&amp;A</v>
          </cell>
          <cell r="O3413" t="str">
            <v>[No Vendor]</v>
          </cell>
        </row>
        <row r="3414">
          <cell r="D3414">
            <v>-42.8</v>
          </cell>
          <cell r="H3414">
            <v>45505</v>
          </cell>
          <cell r="I3414" t="str">
            <v>6385 - Insurance</v>
          </cell>
          <cell r="J3414">
            <v>0</v>
          </cell>
          <cell r="K3414" t="str">
            <v>Administration</v>
          </cell>
          <cell r="L3414" t="str">
            <v>Professional Service</v>
          </cell>
          <cell r="N3414" t="str">
            <v>SG&amp;A</v>
          </cell>
          <cell r="O3414" t="str">
            <v>[No Vendor]</v>
          </cell>
        </row>
        <row r="3415">
          <cell r="D3415">
            <v>-38.44</v>
          </cell>
          <cell r="H3415">
            <v>45505</v>
          </cell>
          <cell r="I3415" t="str">
            <v>6385 - Insurance</v>
          </cell>
          <cell r="J3415">
            <v>0</v>
          </cell>
          <cell r="K3415" t="str">
            <v>Administration</v>
          </cell>
          <cell r="L3415" t="str">
            <v>Professional Service</v>
          </cell>
          <cell r="N3415" t="str">
            <v>SG&amp;A</v>
          </cell>
          <cell r="O3415" t="str">
            <v>[No Vendor]</v>
          </cell>
        </row>
        <row r="3416">
          <cell r="D3416">
            <v>-39.51</v>
          </cell>
          <cell r="H3416">
            <v>45505</v>
          </cell>
          <cell r="I3416" t="str">
            <v>6385 - Insurance</v>
          </cell>
          <cell r="J3416">
            <v>0</v>
          </cell>
          <cell r="K3416" t="str">
            <v>Administration</v>
          </cell>
          <cell r="L3416" t="str">
            <v>Professional Service</v>
          </cell>
          <cell r="N3416" t="str">
            <v>SG&amp;A</v>
          </cell>
          <cell r="O3416" t="str">
            <v>[No Vendor]</v>
          </cell>
        </row>
        <row r="3417">
          <cell r="D3417">
            <v>579.38</v>
          </cell>
          <cell r="H3417">
            <v>45505</v>
          </cell>
          <cell r="I3417" t="str">
            <v>6055 - Employer Social Security Tax Withheld</v>
          </cell>
          <cell r="J3417">
            <v>0</v>
          </cell>
          <cell r="K3417" t="str">
            <v>Merchandising</v>
          </cell>
          <cell r="L3417" t="str">
            <v>HQ Salaries</v>
          </cell>
          <cell r="N3417" t="str">
            <v>SG&amp;A</v>
          </cell>
          <cell r="O3417" t="str">
            <v>[No Vendor]</v>
          </cell>
        </row>
        <row r="3418">
          <cell r="D3418">
            <v>1111.33</v>
          </cell>
          <cell r="H3418">
            <v>45505</v>
          </cell>
          <cell r="I3418" t="str">
            <v>6055 - Employer Social Security Tax Withheld</v>
          </cell>
          <cell r="J3418" t="str">
            <v>Wholesale</v>
          </cell>
          <cell r="K3418" t="str">
            <v>Wholesale</v>
          </cell>
          <cell r="L3418" t="str">
            <v>HQ Salaries</v>
          </cell>
          <cell r="N3418" t="str">
            <v>SG&amp;A</v>
          </cell>
          <cell r="O3418" t="str">
            <v>[No Vendor]</v>
          </cell>
        </row>
        <row r="3419">
          <cell r="D3419">
            <v>1872.96</v>
          </cell>
          <cell r="H3419">
            <v>45505</v>
          </cell>
          <cell r="I3419" t="str">
            <v>6055 - Employer Social Security Tax Withheld</v>
          </cell>
          <cell r="J3419">
            <v>0</v>
          </cell>
          <cell r="K3419" t="str">
            <v>Production</v>
          </cell>
          <cell r="L3419" t="str">
            <v>HQ Salaries</v>
          </cell>
          <cell r="N3419" t="str">
            <v>SG&amp;A</v>
          </cell>
          <cell r="O3419" t="str">
            <v>[No Vendor]</v>
          </cell>
        </row>
        <row r="3420">
          <cell r="D3420">
            <v>365.93</v>
          </cell>
          <cell r="H3420">
            <v>45505</v>
          </cell>
          <cell r="I3420" t="str">
            <v>6055 - Employer Social Security Tax Withheld</v>
          </cell>
          <cell r="J3420">
            <v>0</v>
          </cell>
          <cell r="K3420" t="str">
            <v>Brand Marketing</v>
          </cell>
          <cell r="L3420" t="str">
            <v>HQ Salaries</v>
          </cell>
          <cell r="N3420" t="str">
            <v>SG&amp;A</v>
          </cell>
          <cell r="O3420" t="str">
            <v>[No Vendor]</v>
          </cell>
        </row>
        <row r="3421">
          <cell r="D3421">
            <v>1181.97</v>
          </cell>
          <cell r="H3421">
            <v>45505</v>
          </cell>
          <cell r="I3421" t="str">
            <v>6055 - Employer Social Security Tax Withheld</v>
          </cell>
          <cell r="J3421">
            <v>0</v>
          </cell>
          <cell r="K3421" t="str">
            <v>Executive</v>
          </cell>
          <cell r="L3421" t="str">
            <v>HQ Salaries</v>
          </cell>
          <cell r="N3421" t="str">
            <v>SG&amp;A</v>
          </cell>
          <cell r="O3421" t="str">
            <v>[No Vendor]</v>
          </cell>
        </row>
        <row r="3422">
          <cell r="D3422">
            <v>1913.12</v>
          </cell>
          <cell r="H3422">
            <v>45505</v>
          </cell>
          <cell r="I3422" t="str">
            <v>6055 - Employer Social Security Tax Withheld</v>
          </cell>
          <cell r="J3422">
            <v>0</v>
          </cell>
          <cell r="K3422" t="str">
            <v>Administration</v>
          </cell>
          <cell r="L3422" t="str">
            <v>HQ Salaries</v>
          </cell>
          <cell r="N3422" t="str">
            <v>SG&amp;A</v>
          </cell>
          <cell r="O3422" t="str">
            <v>[No Vendor]</v>
          </cell>
        </row>
        <row r="3423">
          <cell r="D3423">
            <v>1610.08</v>
          </cell>
          <cell r="H3423">
            <v>45505</v>
          </cell>
          <cell r="I3423" t="str">
            <v>6055 - Employer Social Security Tax Withheld</v>
          </cell>
          <cell r="J3423" t="str">
            <v>Ecommerce (US)</v>
          </cell>
          <cell r="K3423" t="str">
            <v>Ecommerce</v>
          </cell>
          <cell r="L3423" t="str">
            <v>HQ Salaries</v>
          </cell>
          <cell r="N3423" t="str">
            <v>SG&amp;A</v>
          </cell>
          <cell r="O3423" t="str">
            <v>[No Vendor]</v>
          </cell>
        </row>
        <row r="3424">
          <cell r="D3424">
            <v>2212.65</v>
          </cell>
          <cell r="H3424">
            <v>45505</v>
          </cell>
          <cell r="I3424" t="str">
            <v>6055 - Employer Social Security Tax Withheld</v>
          </cell>
          <cell r="J3424">
            <v>0</v>
          </cell>
          <cell r="K3424" t="str">
            <v>Design</v>
          </cell>
          <cell r="L3424" t="str">
            <v>HQ Salaries</v>
          </cell>
          <cell r="N3424" t="str">
            <v>SG&amp;A</v>
          </cell>
          <cell r="O3424" t="str">
            <v>[No Vendor]</v>
          </cell>
        </row>
        <row r="3425">
          <cell r="D3425">
            <v>-45.16</v>
          </cell>
          <cell r="H3425">
            <v>45505</v>
          </cell>
          <cell r="I3425" t="str">
            <v>6040 - Employer Paid Benefits</v>
          </cell>
          <cell r="J3425" t="str">
            <v>Wholesale</v>
          </cell>
          <cell r="K3425" t="str">
            <v>Wholesale</v>
          </cell>
          <cell r="L3425" t="str">
            <v>HQ Salaries</v>
          </cell>
          <cell r="N3425" t="str">
            <v>SG&amp;A</v>
          </cell>
          <cell r="O3425" t="str">
            <v>[No Vendor]</v>
          </cell>
        </row>
        <row r="3426">
          <cell r="D3426">
            <v>-281.35000000000002</v>
          </cell>
          <cell r="H3426">
            <v>45505</v>
          </cell>
          <cell r="I3426" t="str">
            <v>6040 - Employer Paid Benefits</v>
          </cell>
          <cell r="J3426">
            <v>0</v>
          </cell>
          <cell r="K3426" t="str">
            <v>Production</v>
          </cell>
          <cell r="L3426" t="str">
            <v>HQ Salaries</v>
          </cell>
          <cell r="N3426" t="str">
            <v>SG&amp;A</v>
          </cell>
          <cell r="O3426" t="str">
            <v>[No Vendor]</v>
          </cell>
        </row>
        <row r="3427">
          <cell r="D3427">
            <v>-22.58</v>
          </cell>
          <cell r="H3427">
            <v>45505</v>
          </cell>
          <cell r="I3427" t="str">
            <v>6040 - Employer Paid Benefits</v>
          </cell>
          <cell r="J3427">
            <v>0</v>
          </cell>
          <cell r="K3427" t="str">
            <v>Brand Marketing</v>
          </cell>
          <cell r="L3427" t="str">
            <v>HQ Salaries</v>
          </cell>
          <cell r="N3427" t="str">
            <v>SG&amp;A</v>
          </cell>
          <cell r="O3427" t="str">
            <v>[No Vendor]</v>
          </cell>
        </row>
        <row r="3428">
          <cell r="D3428">
            <v>-200.39</v>
          </cell>
          <cell r="H3428">
            <v>45505</v>
          </cell>
          <cell r="I3428" t="str">
            <v>6040 - Employer Paid Benefits</v>
          </cell>
          <cell r="J3428">
            <v>0</v>
          </cell>
          <cell r="K3428" t="str">
            <v>Administration</v>
          </cell>
          <cell r="L3428" t="str">
            <v>HQ Salaries</v>
          </cell>
          <cell r="N3428" t="str">
            <v>SG&amp;A</v>
          </cell>
          <cell r="O3428" t="str">
            <v>[No Vendor]</v>
          </cell>
        </row>
        <row r="3429">
          <cell r="D3429">
            <v>-234.27</v>
          </cell>
          <cell r="H3429">
            <v>45505</v>
          </cell>
          <cell r="I3429" t="str">
            <v>6040 - Employer Paid Benefits</v>
          </cell>
          <cell r="J3429">
            <v>0</v>
          </cell>
          <cell r="K3429" t="str">
            <v>Executive</v>
          </cell>
          <cell r="L3429" t="str">
            <v>HQ Salaries</v>
          </cell>
          <cell r="N3429" t="str">
            <v>SG&amp;A</v>
          </cell>
          <cell r="O3429" t="str">
            <v>[No Vendor]</v>
          </cell>
        </row>
        <row r="3430">
          <cell r="D3430">
            <v>-121.85</v>
          </cell>
          <cell r="H3430">
            <v>45505</v>
          </cell>
          <cell r="I3430" t="str">
            <v>6040 - Employer Paid Benefits</v>
          </cell>
          <cell r="J3430" t="str">
            <v>Ecommerce (US)</v>
          </cell>
          <cell r="K3430" t="str">
            <v>Ecommerce</v>
          </cell>
          <cell r="L3430" t="str">
            <v>HQ Salaries</v>
          </cell>
          <cell r="N3430" t="str">
            <v>SG&amp;A</v>
          </cell>
          <cell r="O3430" t="str">
            <v>[No Vendor]</v>
          </cell>
        </row>
        <row r="3431">
          <cell r="D3431">
            <v>-363.42</v>
          </cell>
          <cell r="H3431">
            <v>45505</v>
          </cell>
          <cell r="I3431" t="str">
            <v>6040 - Employer Paid Benefits</v>
          </cell>
          <cell r="J3431">
            <v>0</v>
          </cell>
          <cell r="K3431" t="str">
            <v>Design</v>
          </cell>
          <cell r="L3431" t="str">
            <v>HQ Salaries</v>
          </cell>
          <cell r="N3431" t="str">
            <v>SG&amp;A</v>
          </cell>
          <cell r="O3431" t="str">
            <v>[No Vendor]</v>
          </cell>
        </row>
        <row r="3432">
          <cell r="D3432">
            <v>5150</v>
          </cell>
          <cell r="H3432">
            <v>45505</v>
          </cell>
          <cell r="I3432" t="str">
            <v>6005 - Salaries</v>
          </cell>
          <cell r="J3432">
            <v>0</v>
          </cell>
          <cell r="K3432" t="str">
            <v>Merchandising</v>
          </cell>
          <cell r="L3432" t="str">
            <v>HQ Salaries</v>
          </cell>
          <cell r="N3432" t="str">
            <v>SG&amp;A</v>
          </cell>
          <cell r="O3432" t="str">
            <v>[No Vendor]</v>
          </cell>
        </row>
        <row r="3433">
          <cell r="D3433">
            <v>9911.5499999999993</v>
          </cell>
          <cell r="H3433">
            <v>45505</v>
          </cell>
          <cell r="I3433" t="str">
            <v>6005 - Salaries</v>
          </cell>
          <cell r="J3433" t="str">
            <v>Wholesale</v>
          </cell>
          <cell r="K3433" t="str">
            <v>Wholesale</v>
          </cell>
          <cell r="L3433" t="str">
            <v>HQ Salaries</v>
          </cell>
          <cell r="N3433" t="str">
            <v>SG&amp;A</v>
          </cell>
          <cell r="O3433" t="str">
            <v>[No Vendor]</v>
          </cell>
        </row>
        <row r="3434">
          <cell r="D3434">
            <v>19988.490000000002</v>
          </cell>
          <cell r="H3434">
            <v>45505</v>
          </cell>
          <cell r="I3434" t="str">
            <v>6005 - Salaries</v>
          </cell>
          <cell r="J3434">
            <v>0</v>
          </cell>
          <cell r="K3434" t="str">
            <v>Production</v>
          </cell>
          <cell r="L3434" t="str">
            <v>HQ Salaries</v>
          </cell>
          <cell r="N3434" t="str">
            <v>SG&amp;A</v>
          </cell>
          <cell r="O3434" t="str">
            <v>[No Vendor]</v>
          </cell>
        </row>
        <row r="3435">
          <cell r="D3435">
            <v>3269.24</v>
          </cell>
          <cell r="H3435">
            <v>45505</v>
          </cell>
          <cell r="I3435" t="str">
            <v>6005 - Salaries</v>
          </cell>
          <cell r="J3435">
            <v>0</v>
          </cell>
          <cell r="K3435" t="str">
            <v>Brand Marketing</v>
          </cell>
          <cell r="L3435" t="str">
            <v>HQ Salaries</v>
          </cell>
          <cell r="N3435" t="str">
            <v>SG&amp;A</v>
          </cell>
          <cell r="O3435" t="str">
            <v>[No Vendor]</v>
          </cell>
        </row>
        <row r="3436">
          <cell r="D3436">
            <v>26115.41</v>
          </cell>
          <cell r="H3436">
            <v>45505</v>
          </cell>
          <cell r="I3436" t="str">
            <v>6005 - Salaries</v>
          </cell>
          <cell r="J3436">
            <v>0</v>
          </cell>
          <cell r="K3436" t="str">
            <v>Administration</v>
          </cell>
          <cell r="L3436" t="str">
            <v>HQ Salaries</v>
          </cell>
          <cell r="N3436" t="str">
            <v>SG&amp;A</v>
          </cell>
          <cell r="O3436" t="str">
            <v>[No Vendor]</v>
          </cell>
        </row>
        <row r="3437">
          <cell r="D3437">
            <v>11153.85</v>
          </cell>
          <cell r="H3437">
            <v>45505</v>
          </cell>
          <cell r="I3437" t="str">
            <v>6005 - Salaries</v>
          </cell>
          <cell r="J3437">
            <v>0</v>
          </cell>
          <cell r="K3437" t="str">
            <v>Executive</v>
          </cell>
          <cell r="L3437" t="str">
            <v>HQ Salaries</v>
          </cell>
          <cell r="N3437" t="str">
            <v>SG&amp;A</v>
          </cell>
          <cell r="O3437" t="str">
            <v>[No Vendor]</v>
          </cell>
        </row>
        <row r="3438">
          <cell r="D3438">
            <v>20780.8</v>
          </cell>
          <cell r="H3438">
            <v>45505</v>
          </cell>
          <cell r="I3438" t="str">
            <v>6005 - Salaries</v>
          </cell>
          <cell r="J3438" t="str">
            <v>Ecommerce (US)</v>
          </cell>
          <cell r="K3438" t="str">
            <v>Ecommerce</v>
          </cell>
          <cell r="L3438" t="str">
            <v>HQ Salaries</v>
          </cell>
          <cell r="N3438" t="str">
            <v>SG&amp;A</v>
          </cell>
          <cell r="O3438" t="str">
            <v>[No Vendor]</v>
          </cell>
        </row>
        <row r="3439">
          <cell r="D3439">
            <v>20480.48</v>
          </cell>
          <cell r="H3439">
            <v>45505</v>
          </cell>
          <cell r="I3439" t="str">
            <v>6375 - Freight Expenses</v>
          </cell>
          <cell r="J3439" t="str">
            <v>Ecommerce (US)</v>
          </cell>
          <cell r="K3439" t="str">
            <v>Ecommerce</v>
          </cell>
          <cell r="L3439" t="str">
            <v>Freight</v>
          </cell>
          <cell r="N3439" t="str">
            <v>Direct Costs</v>
          </cell>
          <cell r="O3439" t="str">
            <v>UPS Supply Chain Solutions Inc. (7F24A0)</v>
          </cell>
        </row>
        <row r="3440">
          <cell r="D3440">
            <v>2176.9</v>
          </cell>
          <cell r="H3440">
            <v>45505</v>
          </cell>
          <cell r="I3440" t="str">
            <v>6375 - Freight Expenses</v>
          </cell>
          <cell r="J3440" t="str">
            <v>Wholesale</v>
          </cell>
          <cell r="K3440" t="str">
            <v>Wholesale</v>
          </cell>
          <cell r="L3440" t="str">
            <v>Freight</v>
          </cell>
          <cell r="N3440" t="str">
            <v>Direct Costs</v>
          </cell>
          <cell r="O3440" t="str">
            <v>UPS Supply Chain Solutions Inc. (7F24A0)</v>
          </cell>
        </row>
        <row r="3441">
          <cell r="D3441">
            <v>59.19</v>
          </cell>
          <cell r="H3441">
            <v>45505</v>
          </cell>
          <cell r="I3441" t="str">
            <v>6375 - Freight Expenses</v>
          </cell>
          <cell r="J3441" t="str">
            <v>Ecommerce (US)</v>
          </cell>
          <cell r="K3441" t="str">
            <v>Ecommerce</v>
          </cell>
          <cell r="L3441" t="str">
            <v>Freight</v>
          </cell>
          <cell r="N3441" t="str">
            <v>Direct Costs</v>
          </cell>
          <cell r="O3441" t="str">
            <v>Federal Express</v>
          </cell>
        </row>
        <row r="3442">
          <cell r="D3442">
            <v>847.42</v>
          </cell>
          <cell r="H3442">
            <v>45505</v>
          </cell>
          <cell r="I3442" t="str">
            <v>6430 - Dues &amp; Memberships</v>
          </cell>
          <cell r="J3442" t="str">
            <v>Wholesale</v>
          </cell>
          <cell r="K3442" t="str">
            <v>Wholesale</v>
          </cell>
          <cell r="L3442" t="str">
            <v>Professional Service</v>
          </cell>
          <cell r="N3442" t="str">
            <v>Direct Costs</v>
          </cell>
          <cell r="O3442" t="str">
            <v>SPS Commerce</v>
          </cell>
        </row>
        <row r="3443">
          <cell r="D3443">
            <v>-78.84</v>
          </cell>
          <cell r="H3443">
            <v>45505</v>
          </cell>
          <cell r="I3443" t="str">
            <v>6040 - Employer Paid Benefits</v>
          </cell>
          <cell r="J3443">
            <v>0</v>
          </cell>
          <cell r="K3443" t="str">
            <v>Administration</v>
          </cell>
          <cell r="L3443" t="str">
            <v>HQ Salaries</v>
          </cell>
          <cell r="N3443" t="str">
            <v>SG&amp;A</v>
          </cell>
          <cell r="O3443" t="str">
            <v>[No Vendor]</v>
          </cell>
        </row>
        <row r="3444">
          <cell r="D3444">
            <v>7735.78</v>
          </cell>
          <cell r="H3444">
            <v>45505</v>
          </cell>
          <cell r="I3444" t="str">
            <v>6377 - Order Processing Expenses (New)</v>
          </cell>
          <cell r="J3444" t="str">
            <v>Ecommerce (EU)</v>
          </cell>
          <cell r="K3444" t="str">
            <v>Ecommerce</v>
          </cell>
          <cell r="L3444" t="str">
            <v>Order Processing</v>
          </cell>
          <cell r="N3444" t="str">
            <v>Direct Costs</v>
          </cell>
          <cell r="O3444" t="str">
            <v>[No Vendor]</v>
          </cell>
        </row>
        <row r="3445">
          <cell r="D3445">
            <v>2089.67</v>
          </cell>
          <cell r="H3445">
            <v>45505</v>
          </cell>
          <cell r="I3445" t="str">
            <v>6450 - Bank &amp; Other Fees</v>
          </cell>
          <cell r="J3445" t="str">
            <v>Ecommerce (EU)</v>
          </cell>
          <cell r="K3445" t="str">
            <v>Ecommerce</v>
          </cell>
          <cell r="L3445" t="str">
            <v>Professional Service</v>
          </cell>
          <cell r="N3445" t="str">
            <v>Direct Costs</v>
          </cell>
          <cell r="O3445" t="str">
            <v>[No Vendor]</v>
          </cell>
        </row>
        <row r="3446">
          <cell r="D3446">
            <v>3059.43</v>
          </cell>
          <cell r="H3446">
            <v>45505</v>
          </cell>
          <cell r="I3446" t="str">
            <v>6375 - Freight Expenses</v>
          </cell>
          <cell r="J3446" t="str">
            <v>Ecommerce (EU)</v>
          </cell>
          <cell r="K3446" t="str">
            <v>Ecommerce</v>
          </cell>
          <cell r="L3446" t="str">
            <v>Freight</v>
          </cell>
          <cell r="N3446" t="str">
            <v>Direct Costs</v>
          </cell>
          <cell r="O3446" t="str">
            <v>Global E</v>
          </cell>
        </row>
        <row r="3447">
          <cell r="D3447">
            <v>71.94</v>
          </cell>
          <cell r="H3447">
            <v>45505</v>
          </cell>
          <cell r="I3447" t="str">
            <v>6375 - Freight Expenses</v>
          </cell>
          <cell r="J3447">
            <v>0</v>
          </cell>
          <cell r="K3447" t="str">
            <v>Production</v>
          </cell>
          <cell r="L3447" t="str">
            <v>Freight</v>
          </cell>
          <cell r="N3447" t="str">
            <v>Direct Costs</v>
          </cell>
          <cell r="O3447" t="str">
            <v>DHL Express - USA</v>
          </cell>
        </row>
        <row r="3448">
          <cell r="D3448">
            <v>300</v>
          </cell>
          <cell r="H3448">
            <v>45505</v>
          </cell>
          <cell r="I3448" t="str">
            <v>6288 - Model</v>
          </cell>
          <cell r="J3448" t="str">
            <v>Ecommerce (US)</v>
          </cell>
          <cell r="K3448" t="str">
            <v>Brand Marketing</v>
          </cell>
          <cell r="L3448" t="str">
            <v>Advertising</v>
          </cell>
          <cell r="N3448" t="str">
            <v>SG&amp;A</v>
          </cell>
          <cell r="O3448" t="str">
            <v>State Artist Management</v>
          </cell>
        </row>
        <row r="3449">
          <cell r="D3449">
            <v>4290.82</v>
          </cell>
          <cell r="H3449">
            <v>45505</v>
          </cell>
          <cell r="I3449" t="str">
            <v>6210 - Monitoring</v>
          </cell>
          <cell r="J3449" t="str">
            <v>Ecommerce (EU)</v>
          </cell>
          <cell r="K3449" t="str">
            <v>Ecommerce</v>
          </cell>
          <cell r="L3449" t="str">
            <v>Professional Service</v>
          </cell>
          <cell r="N3449" t="str">
            <v>Direct Costs</v>
          </cell>
          <cell r="O3449" t="str">
            <v>Convey SRL</v>
          </cell>
        </row>
        <row r="3450">
          <cell r="D3450">
            <v>1000</v>
          </cell>
          <cell r="H3450">
            <v>45505</v>
          </cell>
          <cell r="I3450" t="str">
            <v>6380 - Legal &amp; Accounting</v>
          </cell>
          <cell r="J3450">
            <v>0</v>
          </cell>
          <cell r="K3450" t="str">
            <v>Administration</v>
          </cell>
          <cell r="L3450" t="str">
            <v>Professional Service</v>
          </cell>
          <cell r="N3450" t="str">
            <v>SG&amp;A</v>
          </cell>
          <cell r="O3450" t="str">
            <v>Ko &amp; Yun, LLP - Operations</v>
          </cell>
        </row>
        <row r="3451">
          <cell r="D3451">
            <v>1000</v>
          </cell>
          <cell r="H3451">
            <v>45505</v>
          </cell>
          <cell r="I3451" t="str">
            <v>6380 - Legal &amp; Accounting</v>
          </cell>
          <cell r="J3451">
            <v>0</v>
          </cell>
          <cell r="K3451" t="str">
            <v>Administration</v>
          </cell>
          <cell r="L3451" t="str">
            <v>Professional Service</v>
          </cell>
          <cell r="N3451" t="str">
            <v>SG&amp;A</v>
          </cell>
          <cell r="O3451" t="str">
            <v>Ko &amp; Yun, LLP - IP Holding</v>
          </cell>
        </row>
        <row r="3452">
          <cell r="D3452">
            <v>264.69</v>
          </cell>
          <cell r="H3452">
            <v>45505</v>
          </cell>
          <cell r="I3452" t="str">
            <v>6400 - Utilities</v>
          </cell>
          <cell r="J3452">
            <v>0</v>
          </cell>
          <cell r="K3452" t="str">
            <v>Administration</v>
          </cell>
          <cell r="L3452" t="str">
            <v>Other</v>
          </cell>
          <cell r="N3452" t="str">
            <v>SG&amp;A</v>
          </cell>
          <cell r="O3452" t="str">
            <v>Verizon</v>
          </cell>
        </row>
        <row r="3453">
          <cell r="D3453">
            <v>270.67</v>
          </cell>
          <cell r="H3453">
            <v>45505</v>
          </cell>
          <cell r="I3453" t="str">
            <v>6040 - Employer Paid Benefits</v>
          </cell>
          <cell r="J3453">
            <v>0</v>
          </cell>
          <cell r="K3453" t="str">
            <v>Administration</v>
          </cell>
          <cell r="L3453" t="str">
            <v>HQ Salaries</v>
          </cell>
          <cell r="N3453" t="str">
            <v>SG&amp;A</v>
          </cell>
          <cell r="O3453" t="str">
            <v>Procyon Benefits LLC</v>
          </cell>
        </row>
        <row r="3454">
          <cell r="D3454">
            <v>124.81</v>
          </cell>
          <cell r="H3454">
            <v>45505</v>
          </cell>
          <cell r="I3454" t="str">
            <v>6363 - Development</v>
          </cell>
          <cell r="J3454">
            <v>0</v>
          </cell>
          <cell r="K3454" t="str">
            <v>Design</v>
          </cell>
          <cell r="L3454" t="str">
            <v>Sample</v>
          </cell>
          <cell r="N3454" t="str">
            <v>SG&amp;A</v>
          </cell>
          <cell r="O3454" t="str">
            <v>Consul + SRL</v>
          </cell>
        </row>
        <row r="3455">
          <cell r="D3455">
            <v>1462.5</v>
          </cell>
          <cell r="H3455">
            <v>45505</v>
          </cell>
          <cell r="I3455" t="str">
            <v>6300 - Payroll Service Fees</v>
          </cell>
          <cell r="J3455">
            <v>0</v>
          </cell>
          <cell r="K3455" t="str">
            <v>Administration</v>
          </cell>
          <cell r="L3455" t="str">
            <v>Professional Service</v>
          </cell>
          <cell r="N3455" t="str">
            <v>SG&amp;A</v>
          </cell>
          <cell r="O3455" t="str">
            <v>OperationsInc, LLC</v>
          </cell>
        </row>
        <row r="3456">
          <cell r="D3456">
            <v>332.96</v>
          </cell>
          <cell r="H3456">
            <v>45505</v>
          </cell>
          <cell r="I3456" t="str">
            <v>6040 - Employer Paid Benefits</v>
          </cell>
          <cell r="J3456">
            <v>0</v>
          </cell>
          <cell r="K3456" t="str">
            <v>Production</v>
          </cell>
          <cell r="L3456" t="str">
            <v>HQ Salaries</v>
          </cell>
          <cell r="N3456" t="str">
            <v>SG&amp;A</v>
          </cell>
          <cell r="O3456" t="str">
            <v>Procyon Benefits LLC</v>
          </cell>
        </row>
        <row r="3457">
          <cell r="D3457">
            <v>130.21</v>
          </cell>
          <cell r="H3457">
            <v>45505</v>
          </cell>
          <cell r="I3457" t="str">
            <v>6040 - Employer Paid Benefits</v>
          </cell>
          <cell r="J3457">
            <v>0</v>
          </cell>
          <cell r="K3457" t="str">
            <v>Merchandising</v>
          </cell>
          <cell r="L3457" t="str">
            <v>HQ Salaries</v>
          </cell>
          <cell r="N3457" t="str">
            <v>SG&amp;A</v>
          </cell>
          <cell r="O3457" t="str">
            <v>Procyon Benefits LLC</v>
          </cell>
        </row>
        <row r="3458">
          <cell r="D3458">
            <v>40.1</v>
          </cell>
          <cell r="H3458">
            <v>45505</v>
          </cell>
          <cell r="I3458" t="str">
            <v>6040 - Employer Paid Benefits</v>
          </cell>
          <cell r="J3458" t="str">
            <v>Ecommerce (US)</v>
          </cell>
          <cell r="K3458" t="str">
            <v>Ecommerce</v>
          </cell>
          <cell r="L3458" t="str">
            <v>HQ Salaries</v>
          </cell>
          <cell r="N3458" t="str">
            <v>SG&amp;A</v>
          </cell>
          <cell r="O3458" t="str">
            <v>Procyon Benefits LLC</v>
          </cell>
        </row>
        <row r="3459">
          <cell r="D3459">
            <v>16.5</v>
          </cell>
          <cell r="H3459">
            <v>45505</v>
          </cell>
          <cell r="I3459" t="str">
            <v>6040 - Employer Paid Benefits</v>
          </cell>
          <cell r="J3459">
            <v>0</v>
          </cell>
          <cell r="K3459" t="str">
            <v>Executive</v>
          </cell>
          <cell r="L3459" t="str">
            <v>HQ Salaries</v>
          </cell>
          <cell r="N3459" t="str">
            <v>SG&amp;A</v>
          </cell>
          <cell r="O3459" t="str">
            <v>Procyon Benefits LLC</v>
          </cell>
        </row>
        <row r="3460">
          <cell r="D3460">
            <v>255</v>
          </cell>
          <cell r="H3460">
            <v>45505</v>
          </cell>
          <cell r="I3460" t="str">
            <v>6040 - Employer Paid Benefits</v>
          </cell>
          <cell r="J3460">
            <v>0</v>
          </cell>
          <cell r="K3460" t="str">
            <v>Design</v>
          </cell>
          <cell r="L3460" t="str">
            <v>HQ Salaries</v>
          </cell>
          <cell r="N3460" t="str">
            <v>SG&amp;A</v>
          </cell>
          <cell r="O3460" t="str">
            <v>Procyon Benefits LLC</v>
          </cell>
        </row>
        <row r="3461">
          <cell r="D3461">
            <v>150.04</v>
          </cell>
          <cell r="H3461">
            <v>45505</v>
          </cell>
          <cell r="I3461" t="str">
            <v>6450 - Bank &amp; Other Fees</v>
          </cell>
          <cell r="J3461" t="str">
            <v>Ecommerce (US)</v>
          </cell>
          <cell r="K3461" t="str">
            <v>Ecommerce</v>
          </cell>
          <cell r="L3461" t="str">
            <v>Professional Service</v>
          </cell>
          <cell r="N3461" t="str">
            <v>Direct Costs</v>
          </cell>
          <cell r="O3461" t="str">
            <v>[No Vendor]</v>
          </cell>
        </row>
        <row r="3462">
          <cell r="D3462">
            <v>24380.81</v>
          </cell>
          <cell r="H3462">
            <v>45505</v>
          </cell>
          <cell r="I3462" t="str">
            <v>6380 - Legal &amp; Accounting</v>
          </cell>
          <cell r="J3462">
            <v>0</v>
          </cell>
          <cell r="K3462" t="str">
            <v>Administration</v>
          </cell>
          <cell r="L3462" t="str">
            <v>Professional Service</v>
          </cell>
          <cell r="N3462" t="str">
            <v>SG&amp;A</v>
          </cell>
          <cell r="O3462" t="str">
            <v>The Wave IP Law Firm</v>
          </cell>
        </row>
        <row r="3463">
          <cell r="D3463">
            <v>-2706.08</v>
          </cell>
          <cell r="H3463">
            <v>45505</v>
          </cell>
          <cell r="I3463" t="str">
            <v>8505 - Realized Gain/Loss</v>
          </cell>
          <cell r="J3463">
            <v>0</v>
          </cell>
          <cell r="K3463" t="str">
            <v>Licensing</v>
          </cell>
          <cell r="L3463" t="str">
            <v>Realized Gain / Loss</v>
          </cell>
          <cell r="N3463" t="str">
            <v>BTL</v>
          </cell>
          <cell r="O3463" t="str">
            <v>[No Vendor]</v>
          </cell>
        </row>
        <row r="3464">
          <cell r="D3464">
            <v>-50</v>
          </cell>
          <cell r="H3464">
            <v>45505</v>
          </cell>
          <cell r="I3464" t="str">
            <v>6375 - Freight Expenses</v>
          </cell>
          <cell r="J3464" t="str">
            <v>Ecommerce (US)</v>
          </cell>
          <cell r="K3464" t="str">
            <v>Ecommerce</v>
          </cell>
          <cell r="L3464" t="str">
            <v>Freight</v>
          </cell>
          <cell r="N3464" t="str">
            <v>Direct Costs</v>
          </cell>
          <cell r="O3464" t="str">
            <v>UPS Supply Chain Solutions Inc. (7F24A0)</v>
          </cell>
        </row>
        <row r="3465">
          <cell r="D3465">
            <v>29</v>
          </cell>
          <cell r="H3465">
            <v>45505</v>
          </cell>
          <cell r="I3465" t="str">
            <v>6125 - Transportation and Fuel</v>
          </cell>
          <cell r="J3465" t="str">
            <v>Ecommerce (US)</v>
          </cell>
          <cell r="K3465" t="str">
            <v>Ecommerce</v>
          </cell>
          <cell r="L3465" t="str">
            <v>T&amp;E</v>
          </cell>
          <cell r="N3465" t="str">
            <v>SG&amp;A</v>
          </cell>
          <cell r="O3465" t="str">
            <v>[No Vendor]</v>
          </cell>
        </row>
        <row r="3466">
          <cell r="D3466">
            <v>14333.85</v>
          </cell>
          <cell r="H3466">
            <v>45505</v>
          </cell>
          <cell r="I3466" t="str">
            <v>8700 - Other Expense</v>
          </cell>
          <cell r="J3466">
            <v>0</v>
          </cell>
          <cell r="K3466" t="str">
            <v>Administration</v>
          </cell>
          <cell r="L3466" t="str">
            <v>Other Expense</v>
          </cell>
          <cell r="N3466" t="str">
            <v>BTL</v>
          </cell>
          <cell r="O3466" t="str">
            <v>Bryan Cave Leighton Paisner LLP</v>
          </cell>
        </row>
        <row r="3467">
          <cell r="D3467">
            <v>114192.56</v>
          </cell>
          <cell r="H3467">
            <v>45505</v>
          </cell>
          <cell r="I3467" t="str">
            <v>8700 - Other Expense</v>
          </cell>
          <cell r="J3467">
            <v>0</v>
          </cell>
          <cell r="K3467" t="str">
            <v>Administration</v>
          </cell>
          <cell r="L3467" t="str">
            <v>Other Expense</v>
          </cell>
          <cell r="N3467" t="str">
            <v>BTL</v>
          </cell>
          <cell r="O3467" t="str">
            <v>Bryan Cave Leighton Paisner LLP</v>
          </cell>
        </row>
        <row r="3468">
          <cell r="D3468">
            <v>51.07</v>
          </cell>
          <cell r="H3468">
            <v>45505</v>
          </cell>
          <cell r="I3468" t="str">
            <v>8700 - Other Expense</v>
          </cell>
          <cell r="J3468">
            <v>0</v>
          </cell>
          <cell r="K3468" t="str">
            <v>Administration</v>
          </cell>
          <cell r="L3468" t="str">
            <v>Other Expense</v>
          </cell>
          <cell r="N3468" t="str">
            <v>BTL</v>
          </cell>
          <cell r="O3468" t="str">
            <v>Bryan Cave Leighton Paisner LLP</v>
          </cell>
        </row>
        <row r="3469">
          <cell r="D3469">
            <v>73.02</v>
          </cell>
          <cell r="H3469">
            <v>45505</v>
          </cell>
          <cell r="I3469" t="str">
            <v>6393 - Software</v>
          </cell>
          <cell r="J3469" t="str">
            <v>Wholesale</v>
          </cell>
          <cell r="K3469" t="str">
            <v>Wholesale</v>
          </cell>
          <cell r="L3469" t="str">
            <v>Professional Service</v>
          </cell>
          <cell r="N3469" t="str">
            <v>Direct Costs</v>
          </cell>
          <cell r="O3469">
            <v>0</v>
          </cell>
        </row>
        <row r="3470">
          <cell r="D3470">
            <v>37.700000000000003</v>
          </cell>
          <cell r="H3470">
            <v>45505</v>
          </cell>
          <cell r="I3470" t="str">
            <v>6393 - Software</v>
          </cell>
          <cell r="J3470" t="str">
            <v>Wholesale</v>
          </cell>
          <cell r="K3470" t="str">
            <v>Wholesale</v>
          </cell>
          <cell r="L3470" t="str">
            <v>Professional Service</v>
          </cell>
          <cell r="N3470" t="str">
            <v>Direct Costs</v>
          </cell>
          <cell r="O3470">
            <v>0</v>
          </cell>
        </row>
        <row r="3471">
          <cell r="D3471">
            <v>228.64</v>
          </cell>
          <cell r="H3471">
            <v>45505</v>
          </cell>
          <cell r="I3471" t="str">
            <v>6393 - Software</v>
          </cell>
          <cell r="J3471" t="str">
            <v>Wholesale</v>
          </cell>
          <cell r="K3471" t="str">
            <v>Wholesale</v>
          </cell>
          <cell r="L3471" t="str">
            <v>Professional Service</v>
          </cell>
          <cell r="N3471" t="str">
            <v>Direct Costs</v>
          </cell>
          <cell r="O3471">
            <v>0</v>
          </cell>
        </row>
        <row r="3472">
          <cell r="D3472">
            <v>325.25</v>
          </cell>
          <cell r="H3472">
            <v>45505</v>
          </cell>
          <cell r="I3472" t="str">
            <v>6300 - Payroll Service Fees</v>
          </cell>
          <cell r="J3472">
            <v>0</v>
          </cell>
          <cell r="K3472" t="str">
            <v>Administration</v>
          </cell>
          <cell r="L3472" t="str">
            <v>Professional Service</v>
          </cell>
          <cell r="N3472" t="str">
            <v>SG&amp;A</v>
          </cell>
          <cell r="O3472" t="str">
            <v>ADP Payroll Services</v>
          </cell>
        </row>
        <row r="3473">
          <cell r="D3473">
            <v>150</v>
          </cell>
          <cell r="H3473">
            <v>45505</v>
          </cell>
          <cell r="I3473" t="str">
            <v>6225 - Professional Services</v>
          </cell>
          <cell r="J3473">
            <v>0</v>
          </cell>
          <cell r="K3473" t="str">
            <v>Administration</v>
          </cell>
          <cell r="L3473" t="str">
            <v>Professional Service</v>
          </cell>
          <cell r="N3473" t="str">
            <v>Direct Costs</v>
          </cell>
          <cell r="O3473" t="str">
            <v>Benefit Resource, LLC</v>
          </cell>
        </row>
        <row r="3474">
          <cell r="D3474">
            <v>58</v>
          </cell>
          <cell r="H3474">
            <v>45505</v>
          </cell>
          <cell r="I3474" t="str">
            <v>6125 - Transportation and Fuel</v>
          </cell>
          <cell r="J3474" t="str">
            <v>Ecommerce (US)</v>
          </cell>
          <cell r="K3474" t="str">
            <v>Ecommerce</v>
          </cell>
          <cell r="L3474" t="str">
            <v>T&amp;E</v>
          </cell>
          <cell r="N3474" t="str">
            <v>SG&amp;A</v>
          </cell>
          <cell r="O3474" t="str">
            <v>[No Vendor]</v>
          </cell>
        </row>
        <row r="3475">
          <cell r="D3475">
            <v>3750</v>
          </cell>
          <cell r="H3475">
            <v>45505</v>
          </cell>
          <cell r="I3475" t="str">
            <v>6375 - Freight Expenses</v>
          </cell>
          <cell r="J3475" t="str">
            <v>Ecommerce (US)</v>
          </cell>
          <cell r="K3475" t="str">
            <v>Ecommerce</v>
          </cell>
          <cell r="L3475" t="str">
            <v>Freight</v>
          </cell>
          <cell r="N3475" t="str">
            <v>Direct Costs</v>
          </cell>
          <cell r="O3475" t="str">
            <v>Easy Post</v>
          </cell>
        </row>
        <row r="3476">
          <cell r="D3476">
            <v>125506.24000000001</v>
          </cell>
          <cell r="H3476">
            <v>45505</v>
          </cell>
          <cell r="I3476" t="str">
            <v>6286 - SEM</v>
          </cell>
          <cell r="J3476" t="str">
            <v>Ecommerce (US)</v>
          </cell>
          <cell r="K3476" t="str">
            <v>Ecommerce</v>
          </cell>
          <cell r="L3476" t="str">
            <v>Marketing</v>
          </cell>
          <cell r="N3476" t="str">
            <v>Direct Costs</v>
          </cell>
          <cell r="O3476" t="str">
            <v>[No Vendor]</v>
          </cell>
        </row>
        <row r="3477">
          <cell r="D3477">
            <v>34</v>
          </cell>
          <cell r="H3477">
            <v>45505</v>
          </cell>
          <cell r="I3477" t="str">
            <v>6140 - Other</v>
          </cell>
          <cell r="J3477">
            <v>0</v>
          </cell>
          <cell r="K3477" t="str">
            <v>Design</v>
          </cell>
          <cell r="L3477" t="str">
            <v>T&amp;E</v>
          </cell>
          <cell r="N3477" t="str">
            <v>SG&amp;A</v>
          </cell>
          <cell r="O3477" t="str">
            <v>[No Vendor]</v>
          </cell>
        </row>
        <row r="3478">
          <cell r="D3478">
            <v>241.8</v>
          </cell>
          <cell r="H3478">
            <v>45505</v>
          </cell>
          <cell r="I3478" t="str">
            <v>6115 - Airfare</v>
          </cell>
          <cell r="J3478">
            <v>0</v>
          </cell>
          <cell r="K3478" t="str">
            <v>Production</v>
          </cell>
          <cell r="L3478" t="str">
            <v>T&amp;E</v>
          </cell>
          <cell r="N3478" t="str">
            <v>SG&amp;A</v>
          </cell>
          <cell r="O3478" t="str">
            <v>[No Vendor]</v>
          </cell>
        </row>
        <row r="3479">
          <cell r="D3479">
            <v>288.8</v>
          </cell>
          <cell r="H3479">
            <v>45505</v>
          </cell>
          <cell r="I3479" t="str">
            <v>6115 - Airfare</v>
          </cell>
          <cell r="J3479">
            <v>0</v>
          </cell>
          <cell r="K3479" t="str">
            <v>Production</v>
          </cell>
          <cell r="L3479" t="str">
            <v>T&amp;E</v>
          </cell>
          <cell r="N3479" t="str">
            <v>SG&amp;A</v>
          </cell>
          <cell r="O3479" t="str">
            <v>[No Vendor]</v>
          </cell>
        </row>
        <row r="3480">
          <cell r="D3480">
            <v>6711.3</v>
          </cell>
          <cell r="H3480">
            <v>45505</v>
          </cell>
          <cell r="I3480" t="str">
            <v>6115 - Airfare</v>
          </cell>
          <cell r="J3480">
            <v>0</v>
          </cell>
          <cell r="K3480" t="str">
            <v>Production</v>
          </cell>
          <cell r="L3480" t="str">
            <v>T&amp;E</v>
          </cell>
          <cell r="N3480" t="str">
            <v>SG&amp;A</v>
          </cell>
          <cell r="O3480" t="str">
            <v>[No Vendor]</v>
          </cell>
        </row>
        <row r="3481">
          <cell r="D3481">
            <v>241.8</v>
          </cell>
          <cell r="H3481">
            <v>45505</v>
          </cell>
          <cell r="I3481" t="str">
            <v>6115 - Airfare</v>
          </cell>
          <cell r="J3481">
            <v>0</v>
          </cell>
          <cell r="K3481" t="str">
            <v>Design</v>
          </cell>
          <cell r="L3481" t="str">
            <v>T&amp;E</v>
          </cell>
          <cell r="N3481" t="str">
            <v>SG&amp;A</v>
          </cell>
          <cell r="O3481" t="str">
            <v>[No Vendor]</v>
          </cell>
        </row>
        <row r="3482">
          <cell r="D3482">
            <v>288.8</v>
          </cell>
          <cell r="H3482">
            <v>45505</v>
          </cell>
          <cell r="I3482" t="str">
            <v>6115 - Airfare</v>
          </cell>
          <cell r="J3482">
            <v>0</v>
          </cell>
          <cell r="K3482" t="str">
            <v>Design</v>
          </cell>
          <cell r="L3482" t="str">
            <v>T&amp;E</v>
          </cell>
          <cell r="N3482" t="str">
            <v>SG&amp;A</v>
          </cell>
          <cell r="O3482" t="str">
            <v>[No Vendor]</v>
          </cell>
        </row>
        <row r="3483">
          <cell r="D3483">
            <v>6558</v>
          </cell>
          <cell r="H3483">
            <v>45505</v>
          </cell>
          <cell r="I3483" t="str">
            <v>6115 - Airfare</v>
          </cell>
          <cell r="J3483">
            <v>0</v>
          </cell>
          <cell r="K3483" t="str">
            <v>Design</v>
          </cell>
          <cell r="L3483" t="str">
            <v>T&amp;E</v>
          </cell>
          <cell r="N3483" t="str">
            <v>SG&amp;A</v>
          </cell>
          <cell r="O3483" t="str">
            <v>[No Vendor]</v>
          </cell>
        </row>
        <row r="3484">
          <cell r="D3484">
            <v>115.5</v>
          </cell>
          <cell r="H3484">
            <v>45505</v>
          </cell>
          <cell r="I3484" t="str">
            <v>6040 - Employer Paid Benefits</v>
          </cell>
          <cell r="J3484">
            <v>0</v>
          </cell>
          <cell r="K3484" t="str">
            <v>Administration</v>
          </cell>
          <cell r="L3484" t="str">
            <v>HQ Salaries</v>
          </cell>
          <cell r="N3484" t="str">
            <v>SG&amp;A</v>
          </cell>
          <cell r="O3484" t="str">
            <v>Progressive Benefit Solutions LLC</v>
          </cell>
        </row>
        <row r="3485">
          <cell r="D3485">
            <v>32003.439999999999</v>
          </cell>
          <cell r="H3485">
            <v>45505</v>
          </cell>
          <cell r="I3485" t="str">
            <v>6377 - Order Processing Expenses (New)</v>
          </cell>
          <cell r="J3485" t="str">
            <v>Ecommerce (US)</v>
          </cell>
          <cell r="K3485" t="str">
            <v>Ecommerce</v>
          </cell>
          <cell r="L3485" t="str">
            <v>Order Processing</v>
          </cell>
          <cell r="N3485" t="str">
            <v>Direct Costs</v>
          </cell>
          <cell r="O3485" t="str">
            <v>Bergen Logistics Corporation</v>
          </cell>
        </row>
        <row r="3486">
          <cell r="D3486">
            <v>2652.09</v>
          </cell>
          <cell r="H3486">
            <v>45505</v>
          </cell>
          <cell r="I3486" t="str">
            <v>6377 - Order Processing Expenses (New)</v>
          </cell>
          <cell r="J3486" t="str">
            <v>Wholesale</v>
          </cell>
          <cell r="K3486" t="str">
            <v>Wholesale</v>
          </cell>
          <cell r="L3486" t="str">
            <v>Order Processing</v>
          </cell>
          <cell r="N3486" t="str">
            <v>Direct Costs</v>
          </cell>
          <cell r="O3486" t="str">
            <v>Bergen Logistics Corporation</v>
          </cell>
        </row>
        <row r="3487">
          <cell r="D3487">
            <v>1658.82</v>
          </cell>
          <cell r="H3487">
            <v>45505</v>
          </cell>
          <cell r="I3487" t="str">
            <v>6393 - Software</v>
          </cell>
          <cell r="J3487" t="str">
            <v>Ecommerce (US)</v>
          </cell>
          <cell r="K3487" t="str">
            <v>Ecommerce</v>
          </cell>
          <cell r="L3487" t="str">
            <v>Professional Service</v>
          </cell>
          <cell r="N3487" t="str">
            <v>Direct Costs</v>
          </cell>
          <cell r="O3487" t="str">
            <v>Robert  McKinney</v>
          </cell>
        </row>
        <row r="3488">
          <cell r="D3488">
            <v>598</v>
          </cell>
          <cell r="H3488">
            <v>45505</v>
          </cell>
          <cell r="I3488" t="str">
            <v>6393 - Software</v>
          </cell>
          <cell r="J3488" t="str">
            <v>Ecommerce (US)</v>
          </cell>
          <cell r="K3488" t="str">
            <v>Ecommerce</v>
          </cell>
          <cell r="L3488" t="str">
            <v>Professional Service</v>
          </cell>
          <cell r="N3488" t="str">
            <v>Direct Costs</v>
          </cell>
          <cell r="O3488">
            <v>0</v>
          </cell>
        </row>
        <row r="3489">
          <cell r="D3489">
            <v>21.78</v>
          </cell>
          <cell r="H3489">
            <v>45505</v>
          </cell>
          <cell r="I3489" t="str">
            <v>6393 - Software</v>
          </cell>
          <cell r="J3489" t="str">
            <v>Ecommerce (US)</v>
          </cell>
          <cell r="K3489" t="str">
            <v>Ecommerce</v>
          </cell>
          <cell r="L3489" t="str">
            <v>Professional Service</v>
          </cell>
          <cell r="N3489" t="str">
            <v>Direct Costs</v>
          </cell>
          <cell r="O3489" t="str">
            <v>Chat GPT</v>
          </cell>
        </row>
        <row r="3490">
          <cell r="D3490">
            <v>129</v>
          </cell>
          <cell r="H3490">
            <v>45505</v>
          </cell>
          <cell r="I3490" t="str">
            <v>6393 - Software</v>
          </cell>
          <cell r="J3490" t="str">
            <v>Ecommerce (US)</v>
          </cell>
          <cell r="K3490" t="str">
            <v>Ecommerce</v>
          </cell>
          <cell r="L3490" t="str">
            <v>Professional Service</v>
          </cell>
          <cell r="N3490" t="str">
            <v>Direct Costs</v>
          </cell>
          <cell r="O3490" t="str">
            <v>Integration Manager</v>
          </cell>
        </row>
        <row r="3491">
          <cell r="D3491">
            <v>2504.13</v>
          </cell>
          <cell r="H3491">
            <v>45505</v>
          </cell>
          <cell r="I3491" t="str">
            <v>6393 - Software</v>
          </cell>
          <cell r="J3491">
            <v>0</v>
          </cell>
          <cell r="K3491" t="str">
            <v>Brand Marketing</v>
          </cell>
          <cell r="L3491" t="str">
            <v>Professional Service</v>
          </cell>
          <cell r="N3491" t="str">
            <v>Direct Costs</v>
          </cell>
          <cell r="O3491">
            <v>0</v>
          </cell>
        </row>
        <row r="3492">
          <cell r="D3492">
            <v>783.9</v>
          </cell>
          <cell r="H3492">
            <v>45505</v>
          </cell>
          <cell r="I3492" t="str">
            <v>6393 - Software</v>
          </cell>
          <cell r="J3492">
            <v>0</v>
          </cell>
          <cell r="K3492" t="str">
            <v>Brand Marketing</v>
          </cell>
          <cell r="L3492" t="str">
            <v>Professional Service</v>
          </cell>
          <cell r="N3492" t="str">
            <v>Direct Costs</v>
          </cell>
          <cell r="O3492">
            <v>0</v>
          </cell>
        </row>
        <row r="3493">
          <cell r="D3493">
            <v>18.13</v>
          </cell>
          <cell r="H3493">
            <v>45505</v>
          </cell>
          <cell r="I3493" t="str">
            <v>6393 - Software</v>
          </cell>
          <cell r="J3493" t="str">
            <v>Ecommerce (US)</v>
          </cell>
          <cell r="K3493" t="str">
            <v>Ecommerce</v>
          </cell>
          <cell r="L3493" t="str">
            <v>Professional Service</v>
          </cell>
          <cell r="N3493" t="str">
            <v>Direct Costs</v>
          </cell>
          <cell r="O3493">
            <v>0</v>
          </cell>
        </row>
        <row r="3494">
          <cell r="D3494">
            <v>1164.69</v>
          </cell>
          <cell r="H3494">
            <v>45505</v>
          </cell>
          <cell r="I3494" t="str">
            <v>6393 - Software</v>
          </cell>
          <cell r="J3494" t="str">
            <v>Ecommerce (US)</v>
          </cell>
          <cell r="K3494" t="str">
            <v>Ecommerce</v>
          </cell>
          <cell r="L3494" t="str">
            <v>Professional Service</v>
          </cell>
          <cell r="N3494" t="str">
            <v>Direct Costs</v>
          </cell>
          <cell r="O3494">
            <v>0</v>
          </cell>
        </row>
        <row r="3495">
          <cell r="D3495">
            <v>5378.87</v>
          </cell>
          <cell r="H3495">
            <v>45505</v>
          </cell>
          <cell r="I3495" t="str">
            <v>6393 - Software</v>
          </cell>
          <cell r="J3495" t="str">
            <v>Ecommerce (US)</v>
          </cell>
          <cell r="K3495" t="str">
            <v>Ecommerce</v>
          </cell>
          <cell r="L3495" t="str">
            <v>Professional Service</v>
          </cell>
          <cell r="N3495" t="str">
            <v>Direct Costs</v>
          </cell>
          <cell r="O3495" t="str">
            <v>Signifyd</v>
          </cell>
        </row>
        <row r="3496">
          <cell r="D3496">
            <v>114097.84</v>
          </cell>
          <cell r="H3496">
            <v>45505</v>
          </cell>
          <cell r="I3496" t="str">
            <v>6286 - SEM</v>
          </cell>
          <cell r="J3496" t="str">
            <v>Ecommerce (US)</v>
          </cell>
          <cell r="K3496" t="str">
            <v>Ecommerce</v>
          </cell>
          <cell r="L3496" t="str">
            <v>Marketing</v>
          </cell>
          <cell r="N3496" t="str">
            <v>Direct Costs</v>
          </cell>
          <cell r="O3496" t="str">
            <v>Meta Platforms, Inc</v>
          </cell>
        </row>
        <row r="3497">
          <cell r="D3497">
            <v>12326.57</v>
          </cell>
          <cell r="H3497">
            <v>45505</v>
          </cell>
          <cell r="I3497" t="str">
            <v>6286 - SEM</v>
          </cell>
          <cell r="J3497" t="str">
            <v>Ecommerce (EU)</v>
          </cell>
          <cell r="K3497" t="str">
            <v>Ecommerce</v>
          </cell>
          <cell r="L3497" t="str">
            <v>Marketing</v>
          </cell>
          <cell r="N3497" t="str">
            <v>Direct Costs</v>
          </cell>
          <cell r="O3497" t="str">
            <v>Meta Platforms, Inc</v>
          </cell>
        </row>
        <row r="3498">
          <cell r="D3498">
            <v>16007.58</v>
          </cell>
          <cell r="H3498">
            <v>45505</v>
          </cell>
          <cell r="I3498" t="str">
            <v>6286 - SEM</v>
          </cell>
          <cell r="J3498" t="str">
            <v>Ecommerce (US)</v>
          </cell>
          <cell r="K3498" t="str">
            <v>Ecommerce</v>
          </cell>
          <cell r="L3498" t="str">
            <v>Marketing</v>
          </cell>
          <cell r="N3498" t="str">
            <v>Direct Costs</v>
          </cell>
          <cell r="O3498" t="str">
            <v>[No Vendor]</v>
          </cell>
        </row>
        <row r="3499">
          <cell r="D3499">
            <v>104.19</v>
          </cell>
          <cell r="H3499">
            <v>45505</v>
          </cell>
          <cell r="I3499" t="str">
            <v>6340 - Miscellaneous Expense</v>
          </cell>
          <cell r="J3499">
            <v>0</v>
          </cell>
          <cell r="K3499" t="str">
            <v>Brand Marketing</v>
          </cell>
          <cell r="L3499" t="str">
            <v>Other</v>
          </cell>
          <cell r="N3499" t="str">
            <v>SG&amp;A</v>
          </cell>
          <cell r="O3499" t="str">
            <v>[No Vendor]</v>
          </cell>
        </row>
        <row r="3500">
          <cell r="D3500">
            <v>742.63</v>
          </cell>
          <cell r="H3500">
            <v>45505</v>
          </cell>
          <cell r="I3500" t="str">
            <v>6340 - Miscellaneous Expense</v>
          </cell>
          <cell r="J3500">
            <v>0</v>
          </cell>
          <cell r="K3500" t="str">
            <v>Administration</v>
          </cell>
          <cell r="L3500" t="str">
            <v>Other</v>
          </cell>
          <cell r="N3500" t="str">
            <v>SG&amp;A</v>
          </cell>
          <cell r="O3500" t="str">
            <v>Amazon Capital Services</v>
          </cell>
        </row>
        <row r="3501">
          <cell r="D3501">
            <v>771.16</v>
          </cell>
          <cell r="H3501">
            <v>45505</v>
          </cell>
          <cell r="I3501" t="str">
            <v>6120 - Lodging</v>
          </cell>
          <cell r="J3501">
            <v>0</v>
          </cell>
          <cell r="K3501" t="str">
            <v>Design</v>
          </cell>
          <cell r="L3501" t="str">
            <v>T&amp;E</v>
          </cell>
          <cell r="N3501" t="str">
            <v>SG&amp;A</v>
          </cell>
          <cell r="O3501" t="str">
            <v>[No Vendor]</v>
          </cell>
        </row>
        <row r="3502">
          <cell r="D3502">
            <v>2</v>
          </cell>
          <cell r="H3502">
            <v>45505</v>
          </cell>
          <cell r="I3502" t="str">
            <v>6120 - Lodging</v>
          </cell>
          <cell r="J3502" t="str">
            <v>Ecommerce (US)</v>
          </cell>
          <cell r="K3502" t="str">
            <v>Ecommerce</v>
          </cell>
          <cell r="L3502" t="str">
            <v>T&amp;E</v>
          </cell>
          <cell r="N3502" t="str">
            <v>SG&amp;A</v>
          </cell>
          <cell r="O3502" t="str">
            <v>[No Vendor]</v>
          </cell>
        </row>
        <row r="3503">
          <cell r="D3503">
            <v>178.09</v>
          </cell>
          <cell r="H3503">
            <v>45505</v>
          </cell>
          <cell r="I3503" t="str">
            <v>6120 - Lodging</v>
          </cell>
          <cell r="J3503" t="str">
            <v>Ecommerce (US)</v>
          </cell>
          <cell r="K3503" t="str">
            <v>Ecommerce</v>
          </cell>
          <cell r="L3503" t="str">
            <v>T&amp;E</v>
          </cell>
          <cell r="N3503" t="str">
            <v>SG&amp;A</v>
          </cell>
          <cell r="O3503" t="str">
            <v>[No Vendor]</v>
          </cell>
        </row>
        <row r="3504">
          <cell r="D3504">
            <v>816.25</v>
          </cell>
          <cell r="H3504">
            <v>45505</v>
          </cell>
          <cell r="I3504" t="str">
            <v>6120 - Lodging</v>
          </cell>
          <cell r="J3504" t="str">
            <v>Ecommerce (US)</v>
          </cell>
          <cell r="K3504" t="str">
            <v>Ecommerce</v>
          </cell>
          <cell r="L3504" t="str">
            <v>T&amp;E</v>
          </cell>
          <cell r="N3504" t="str">
            <v>SG&amp;A</v>
          </cell>
          <cell r="O3504" t="str">
            <v>[No Vendor]</v>
          </cell>
        </row>
        <row r="3505">
          <cell r="D3505">
            <v>191.53</v>
          </cell>
          <cell r="H3505">
            <v>45505</v>
          </cell>
          <cell r="I3505" t="str">
            <v>6120 - Lodging</v>
          </cell>
          <cell r="J3505" t="str">
            <v>Ecommerce (US)</v>
          </cell>
          <cell r="K3505" t="str">
            <v>Ecommerce</v>
          </cell>
          <cell r="L3505" t="str">
            <v>T&amp;E</v>
          </cell>
          <cell r="N3505" t="str">
            <v>SG&amp;A</v>
          </cell>
          <cell r="O3505" t="str">
            <v>[No Vendor]</v>
          </cell>
        </row>
        <row r="3506">
          <cell r="D3506">
            <v>771.16</v>
          </cell>
          <cell r="H3506">
            <v>45505</v>
          </cell>
          <cell r="I3506" t="str">
            <v>6120 - Lodging</v>
          </cell>
          <cell r="J3506">
            <v>0</v>
          </cell>
          <cell r="K3506" t="str">
            <v>Production</v>
          </cell>
          <cell r="L3506" t="str">
            <v>T&amp;E</v>
          </cell>
          <cell r="N3506" t="str">
            <v>SG&amp;A</v>
          </cell>
          <cell r="O3506" t="str">
            <v>Frank Dell'Aquila</v>
          </cell>
        </row>
        <row r="3507">
          <cell r="D3507">
            <v>11.57</v>
          </cell>
          <cell r="H3507">
            <v>45505</v>
          </cell>
          <cell r="I3507" t="str">
            <v>6450 - Bank &amp; Other Fees</v>
          </cell>
          <cell r="J3507">
            <v>0</v>
          </cell>
          <cell r="K3507" t="str">
            <v>Design</v>
          </cell>
          <cell r="L3507" t="str">
            <v>Professional Service</v>
          </cell>
          <cell r="N3507" t="str">
            <v>SG&amp;A</v>
          </cell>
          <cell r="O3507" t="str">
            <v>[No Vendor]</v>
          </cell>
        </row>
        <row r="3508">
          <cell r="D3508">
            <v>0.37</v>
          </cell>
          <cell r="H3508">
            <v>45505</v>
          </cell>
          <cell r="I3508" t="str">
            <v>6450 - Bank &amp; Other Fees</v>
          </cell>
          <cell r="J3508" t="str">
            <v>Ecommerce (US)</v>
          </cell>
          <cell r="K3508" t="str">
            <v>Ecommerce</v>
          </cell>
          <cell r="L3508" t="str">
            <v>Professional Service</v>
          </cell>
          <cell r="N3508" t="str">
            <v>Direct Costs</v>
          </cell>
          <cell r="O3508" t="str">
            <v>[No Vendor]</v>
          </cell>
        </row>
        <row r="3509">
          <cell r="D3509">
            <v>11.57</v>
          </cell>
          <cell r="H3509">
            <v>45505</v>
          </cell>
          <cell r="I3509" t="str">
            <v>6450 - Bank &amp; Other Fees</v>
          </cell>
          <cell r="J3509">
            <v>0</v>
          </cell>
          <cell r="K3509" t="str">
            <v>Production</v>
          </cell>
          <cell r="L3509" t="str">
            <v>Professional Service</v>
          </cell>
          <cell r="N3509" t="str">
            <v>SG&amp;A</v>
          </cell>
          <cell r="O3509" t="str">
            <v>Frank Dell'Aquila</v>
          </cell>
        </row>
        <row r="3510">
          <cell r="D3510">
            <v>0.09</v>
          </cell>
          <cell r="H3510">
            <v>45505</v>
          </cell>
          <cell r="I3510" t="str">
            <v>6450 - Bank &amp; Other Fees</v>
          </cell>
          <cell r="J3510">
            <v>0</v>
          </cell>
          <cell r="K3510" t="str">
            <v>Production</v>
          </cell>
          <cell r="L3510" t="str">
            <v>Professional Service</v>
          </cell>
          <cell r="N3510" t="str">
            <v>SG&amp;A</v>
          </cell>
          <cell r="O3510" t="str">
            <v>Frank Dell'Aquila</v>
          </cell>
        </row>
        <row r="3511">
          <cell r="D3511">
            <v>88</v>
          </cell>
          <cell r="H3511">
            <v>45505</v>
          </cell>
          <cell r="I3511" t="str">
            <v>6430 - Dues &amp; Memberships</v>
          </cell>
          <cell r="J3511" t="str">
            <v>Wholesale</v>
          </cell>
          <cell r="K3511" t="str">
            <v>Wholesale</v>
          </cell>
          <cell r="L3511" t="str">
            <v>Professional Service</v>
          </cell>
          <cell r="N3511" t="str">
            <v>Direct Costs</v>
          </cell>
          <cell r="O3511" t="str">
            <v>SPS Commerce</v>
          </cell>
        </row>
        <row r="3512">
          <cell r="D3512">
            <v>110.64</v>
          </cell>
          <cell r="H3512">
            <v>45505</v>
          </cell>
          <cell r="I3512" t="str">
            <v>6125 - Transportation and Fuel</v>
          </cell>
          <cell r="J3512">
            <v>0</v>
          </cell>
          <cell r="K3512" t="str">
            <v>Production</v>
          </cell>
          <cell r="L3512" t="str">
            <v>T&amp;E</v>
          </cell>
          <cell r="N3512" t="str">
            <v>SG&amp;A</v>
          </cell>
          <cell r="O3512" t="str">
            <v>Frank Dell'Aquila</v>
          </cell>
        </row>
        <row r="3513">
          <cell r="D3513">
            <v>52.51</v>
          </cell>
          <cell r="H3513">
            <v>45505</v>
          </cell>
          <cell r="I3513" t="str">
            <v>6105 - Meals</v>
          </cell>
          <cell r="J3513">
            <v>0</v>
          </cell>
          <cell r="K3513" t="str">
            <v>Administration</v>
          </cell>
          <cell r="L3513" t="str">
            <v>T&amp;E</v>
          </cell>
          <cell r="N3513" t="str">
            <v>SG&amp;A</v>
          </cell>
          <cell r="O3513" t="str">
            <v>[No Vendor]</v>
          </cell>
        </row>
        <row r="3514">
          <cell r="D3514">
            <v>6.17</v>
          </cell>
          <cell r="H3514">
            <v>45505</v>
          </cell>
          <cell r="I3514" t="str">
            <v>6105 - Meals</v>
          </cell>
          <cell r="J3514">
            <v>0</v>
          </cell>
          <cell r="K3514" t="str">
            <v>Production</v>
          </cell>
          <cell r="L3514" t="str">
            <v>T&amp;E</v>
          </cell>
          <cell r="N3514" t="str">
            <v>SG&amp;A</v>
          </cell>
          <cell r="O3514" t="str">
            <v>Frank Dell'Aquila</v>
          </cell>
        </row>
        <row r="3515">
          <cell r="D3515">
            <v>410.4</v>
          </cell>
          <cell r="H3515">
            <v>45505</v>
          </cell>
          <cell r="I3515" t="str">
            <v>6375 - Freight Expenses</v>
          </cell>
          <cell r="J3515" t="str">
            <v>Ecommerce (US)</v>
          </cell>
          <cell r="K3515" t="str">
            <v>Ecommerce</v>
          </cell>
          <cell r="L3515" t="str">
            <v>Freight</v>
          </cell>
          <cell r="N3515" t="str">
            <v>Direct Costs</v>
          </cell>
          <cell r="O3515" t="str">
            <v>Bergen Logistics Corporation</v>
          </cell>
        </row>
        <row r="3516">
          <cell r="D3516">
            <v>443.81</v>
          </cell>
          <cell r="H3516">
            <v>45505</v>
          </cell>
          <cell r="I3516" t="str">
            <v>6375 - Freight Expenses</v>
          </cell>
          <cell r="J3516" t="str">
            <v>Wholesale</v>
          </cell>
          <cell r="K3516" t="str">
            <v>Wholesale</v>
          </cell>
          <cell r="L3516" t="str">
            <v>Freight</v>
          </cell>
          <cell r="N3516" t="str">
            <v>Direct Costs</v>
          </cell>
          <cell r="O3516" t="str">
            <v>Bergen Logistics Corporation</v>
          </cell>
        </row>
        <row r="3517">
          <cell r="D3517">
            <v>676.06</v>
          </cell>
          <cell r="H3517">
            <v>45505</v>
          </cell>
          <cell r="I3517" t="str">
            <v>6375 - Freight Expenses</v>
          </cell>
          <cell r="J3517">
            <v>0</v>
          </cell>
          <cell r="K3517" t="str">
            <v>Production</v>
          </cell>
          <cell r="L3517" t="str">
            <v>Freight</v>
          </cell>
          <cell r="N3517" t="str">
            <v>Direct Costs</v>
          </cell>
          <cell r="O3517" t="str">
            <v>DHL Express - USA</v>
          </cell>
        </row>
        <row r="3518">
          <cell r="D3518">
            <v>322.98</v>
          </cell>
          <cell r="H3518">
            <v>45505</v>
          </cell>
          <cell r="I3518" t="str">
            <v>6375 - Freight Expenses</v>
          </cell>
          <cell r="J3518">
            <v>0</v>
          </cell>
          <cell r="K3518" t="str">
            <v>Production</v>
          </cell>
          <cell r="L3518" t="str">
            <v>Freight</v>
          </cell>
          <cell r="N3518" t="str">
            <v>Direct Costs</v>
          </cell>
          <cell r="O3518" t="str">
            <v>DHL Express - USA</v>
          </cell>
        </row>
        <row r="3519">
          <cell r="D3519">
            <v>1237.01</v>
          </cell>
          <cell r="H3519">
            <v>45505</v>
          </cell>
          <cell r="I3519" t="str">
            <v>6375 - Freight Expenses</v>
          </cell>
          <cell r="J3519" t="str">
            <v>Wholesale</v>
          </cell>
          <cell r="K3519" t="str">
            <v>Wholesale</v>
          </cell>
          <cell r="L3519" t="str">
            <v>Freight</v>
          </cell>
          <cell r="N3519" t="str">
            <v>Direct Costs</v>
          </cell>
          <cell r="O3519" t="str">
            <v>UPS Supply Chain Solutions Inc. (7F24A0)</v>
          </cell>
        </row>
        <row r="3520">
          <cell r="D3520">
            <v>22262.17</v>
          </cell>
          <cell r="H3520">
            <v>45505</v>
          </cell>
          <cell r="I3520" t="str">
            <v>6375 - Freight Expenses</v>
          </cell>
          <cell r="J3520" t="str">
            <v>Ecommerce (US)</v>
          </cell>
          <cell r="K3520" t="str">
            <v>Ecommerce</v>
          </cell>
          <cell r="L3520" t="str">
            <v>Freight</v>
          </cell>
          <cell r="N3520" t="str">
            <v>Direct Costs</v>
          </cell>
          <cell r="O3520" t="str">
            <v>UPS Supply Chain Solutions Inc. (7F24A0)</v>
          </cell>
        </row>
        <row r="3521">
          <cell r="D3521">
            <v>-44040.92</v>
          </cell>
          <cell r="H3521">
            <v>45505</v>
          </cell>
          <cell r="I3521" t="str">
            <v>4010 - Revenue - Licensing Fees (Royalties)</v>
          </cell>
          <cell r="J3521">
            <v>0</v>
          </cell>
          <cell r="K3521" t="str">
            <v>Licensing</v>
          </cell>
          <cell r="L3521" t="str">
            <v>License</v>
          </cell>
          <cell r="N3521" t="str">
            <v>Revenue</v>
          </cell>
          <cell r="O3521" t="str">
            <v>[No Vendor]</v>
          </cell>
        </row>
        <row r="3522">
          <cell r="D3522">
            <v>25644.18</v>
          </cell>
          <cell r="H3522">
            <v>45505</v>
          </cell>
          <cell r="I3522" t="str">
            <v>5001 - Cost of Goods Sold - Other</v>
          </cell>
          <cell r="J3522" t="str">
            <v>Ecommerce (EU)</v>
          </cell>
          <cell r="K3522" t="str">
            <v>Ecommerce</v>
          </cell>
          <cell r="L3522" t="str">
            <v>Other COGS</v>
          </cell>
          <cell r="N3522" t="str">
            <v>COGS</v>
          </cell>
          <cell r="O3522" t="str">
            <v>Global E</v>
          </cell>
        </row>
        <row r="3523">
          <cell r="D3523">
            <v>0</v>
          </cell>
          <cell r="H3523">
            <v>45505</v>
          </cell>
          <cell r="I3523" t="str">
            <v>4045 - Sponsorships</v>
          </cell>
          <cell r="J3523">
            <v>0</v>
          </cell>
          <cell r="K3523" t="str">
            <v>Licensing</v>
          </cell>
          <cell r="L3523" t="str">
            <v>Other Income</v>
          </cell>
          <cell r="N3523" t="str">
            <v>Revenue</v>
          </cell>
          <cell r="O3523" t="str">
            <v>[No Vendor]</v>
          </cell>
        </row>
        <row r="3524">
          <cell r="D3524">
            <v>-401070.65</v>
          </cell>
          <cell r="H3524">
            <v>45505</v>
          </cell>
          <cell r="I3524" t="str">
            <v>4052 - Sales Revenue - Wholesale (US)</v>
          </cell>
          <cell r="J3524" t="str">
            <v>Wholesale</v>
          </cell>
          <cell r="K3524" t="str">
            <v>Wholesale</v>
          </cell>
          <cell r="L3524" t="str">
            <v>Wholesale</v>
          </cell>
          <cell r="N3524" t="str">
            <v>Revenue</v>
          </cell>
          <cell r="O3524" t="str">
            <v>[No Vendor]</v>
          </cell>
        </row>
        <row r="3525">
          <cell r="D3525">
            <v>-1168669.22</v>
          </cell>
          <cell r="H3525">
            <v>45505</v>
          </cell>
          <cell r="I3525" t="str">
            <v>4050 - Sales Revenue - Ecommerce (US)</v>
          </cell>
          <cell r="J3525" t="str">
            <v>Ecommerce (US)</v>
          </cell>
          <cell r="K3525" t="str">
            <v>Ecommerce</v>
          </cell>
          <cell r="L3525" t="str">
            <v>Ecommerce (US)</v>
          </cell>
          <cell r="N3525" t="str">
            <v>Revenue</v>
          </cell>
          <cell r="O3525" t="str">
            <v>[No Vendor]</v>
          </cell>
        </row>
        <row r="3526">
          <cell r="D3526">
            <v>-40600.300000000003</v>
          </cell>
          <cell r="H3526">
            <v>45505</v>
          </cell>
          <cell r="I3526" t="str">
            <v>4050 - Sales Revenue - Ecommerce (US)</v>
          </cell>
          <cell r="J3526" t="str">
            <v>Ecommerce (US)</v>
          </cell>
          <cell r="K3526" t="str">
            <v>Ecommerce</v>
          </cell>
          <cell r="L3526" t="str">
            <v>Ecommerce (US)</v>
          </cell>
          <cell r="N3526" t="str">
            <v>Revenue</v>
          </cell>
          <cell r="O3526" t="str">
            <v>[No Vendor]</v>
          </cell>
        </row>
        <row r="3527">
          <cell r="D3527">
            <v>4386.6400000000003</v>
          </cell>
          <cell r="H3527">
            <v>45505</v>
          </cell>
          <cell r="I3527" t="str">
            <v>4061 - Sales Discount - Ecomm (EU)</v>
          </cell>
          <cell r="J3527" t="str">
            <v>Ecommerce (EU)</v>
          </cell>
          <cell r="K3527" t="str">
            <v>Ecommerce</v>
          </cell>
          <cell r="L3527" t="str">
            <v>Ecommerce (EU)</v>
          </cell>
          <cell r="N3527" t="str">
            <v>Revenue</v>
          </cell>
          <cell r="O3527" t="str">
            <v>[No Vendor]</v>
          </cell>
        </row>
        <row r="3528">
          <cell r="D3528">
            <v>563.51</v>
          </cell>
          <cell r="H3528">
            <v>45505</v>
          </cell>
          <cell r="I3528" t="str">
            <v>7140 - Amortization Exp - ROU Asset</v>
          </cell>
          <cell r="J3528">
            <v>0</v>
          </cell>
          <cell r="K3528" t="str">
            <v>Administration</v>
          </cell>
          <cell r="L3528" t="str">
            <v>Rent</v>
          </cell>
          <cell r="N3528" t="str">
            <v>SG&amp;A</v>
          </cell>
          <cell r="O3528" t="str">
            <v>[No Vendor]</v>
          </cell>
        </row>
        <row r="3529">
          <cell r="D3529">
            <v>23940.66</v>
          </cell>
          <cell r="H3529">
            <v>45505</v>
          </cell>
          <cell r="I3529" t="str">
            <v>7140 - Amortization Exp - ROU Asset</v>
          </cell>
          <cell r="J3529">
            <v>0</v>
          </cell>
          <cell r="K3529" t="str">
            <v>Administration</v>
          </cell>
          <cell r="L3529" t="str">
            <v>Rent</v>
          </cell>
          <cell r="N3529" t="str">
            <v>SG&amp;A</v>
          </cell>
          <cell r="O3529" t="str">
            <v>[No Vendor]</v>
          </cell>
        </row>
        <row r="3530">
          <cell r="D3530">
            <v>21618.43</v>
          </cell>
          <cell r="H3530">
            <v>45505</v>
          </cell>
          <cell r="I3530" t="str">
            <v>4051 - Sales Revenue - Ecommerce (Intl)</v>
          </cell>
          <cell r="J3530" t="str">
            <v>Ecommerce (EU)</v>
          </cell>
          <cell r="K3530" t="str">
            <v>Ecommerce</v>
          </cell>
          <cell r="L3530" t="str">
            <v>Ecommerce (EU)</v>
          </cell>
          <cell r="N3530" t="str">
            <v>Revenue</v>
          </cell>
          <cell r="O3530" t="str">
            <v>[No Vendor]</v>
          </cell>
        </row>
        <row r="3531">
          <cell r="D3531">
            <v>-143098.63</v>
          </cell>
          <cell r="H3531">
            <v>45505</v>
          </cell>
          <cell r="I3531" t="str">
            <v>4051 - Sales Revenue - Ecommerce (Intl)</v>
          </cell>
          <cell r="J3531" t="str">
            <v>Ecommerce (EU)</v>
          </cell>
          <cell r="K3531" t="str">
            <v>Ecommerce</v>
          </cell>
          <cell r="L3531" t="str">
            <v>Ecommerce (EU)</v>
          </cell>
          <cell r="N3531" t="str">
            <v>Revenue</v>
          </cell>
          <cell r="O3531" t="str">
            <v>[No Vendor]</v>
          </cell>
        </row>
        <row r="3532">
          <cell r="D3532">
            <v>-25644.18</v>
          </cell>
          <cell r="H3532">
            <v>45505</v>
          </cell>
          <cell r="I3532" t="str">
            <v>6377 - Order Processing Expenses (New)</v>
          </cell>
          <cell r="J3532" t="str">
            <v>Ecommerce (EU)</v>
          </cell>
          <cell r="K3532" t="str">
            <v>Ecommerce</v>
          </cell>
          <cell r="L3532" t="str">
            <v>Order Processing</v>
          </cell>
          <cell r="N3532" t="str">
            <v>Direct Costs</v>
          </cell>
          <cell r="O3532" t="str">
            <v>Global E</v>
          </cell>
        </row>
        <row r="3533">
          <cell r="D3533">
            <v>-53.01</v>
          </cell>
          <cell r="H3533">
            <v>45505</v>
          </cell>
          <cell r="I3533" t="str">
            <v>4065 - Sales Freight - Wholesale (US)</v>
          </cell>
          <cell r="J3533" t="str">
            <v>Wholesale</v>
          </cell>
          <cell r="K3533" t="str">
            <v>Wholesale</v>
          </cell>
          <cell r="L3533" t="str">
            <v>Freight - Revenue</v>
          </cell>
          <cell r="N3533" t="str">
            <v>Direct Costs</v>
          </cell>
          <cell r="O3533" t="str">
            <v>[No Vendor]</v>
          </cell>
        </row>
        <row r="3534">
          <cell r="D3534">
            <v>-6429.37</v>
          </cell>
          <cell r="H3534">
            <v>45505</v>
          </cell>
          <cell r="I3534" t="str">
            <v>4065 - Sales Freight - Wholesale (US)</v>
          </cell>
          <cell r="J3534" t="str">
            <v>Wholesale</v>
          </cell>
          <cell r="K3534" t="str">
            <v>Wholesale</v>
          </cell>
          <cell r="L3534" t="str">
            <v>Freight - Revenue</v>
          </cell>
          <cell r="N3534" t="str">
            <v>Direct Costs</v>
          </cell>
          <cell r="O3534" t="str">
            <v>[No Vendor]</v>
          </cell>
        </row>
        <row r="3535">
          <cell r="D3535">
            <v>-31108</v>
          </cell>
          <cell r="H3535">
            <v>45505</v>
          </cell>
          <cell r="I3535" t="str">
            <v>4064 - Sales Freight - Ecomm (US)</v>
          </cell>
          <cell r="J3535" t="str">
            <v>Ecommerce (US)</v>
          </cell>
          <cell r="K3535" t="str">
            <v>Ecommerce</v>
          </cell>
          <cell r="L3535" t="str">
            <v>Freight - Revenue</v>
          </cell>
          <cell r="N3535" t="str">
            <v>Direct Costs</v>
          </cell>
          <cell r="O3535" t="str">
            <v>[No Vendor]</v>
          </cell>
        </row>
        <row r="3536">
          <cell r="D3536">
            <v>-2694</v>
          </cell>
          <cell r="H3536">
            <v>45505</v>
          </cell>
          <cell r="I3536" t="str">
            <v>4064 - Sales Freight - Ecomm (US)</v>
          </cell>
          <cell r="J3536" t="str">
            <v>Ecommerce (US)</v>
          </cell>
          <cell r="K3536" t="str">
            <v>Ecommerce</v>
          </cell>
          <cell r="L3536" t="str">
            <v>Freight - Revenue</v>
          </cell>
          <cell r="N3536" t="str">
            <v>Direct Costs</v>
          </cell>
          <cell r="O3536" t="str">
            <v>[No Vendor]</v>
          </cell>
        </row>
        <row r="3537">
          <cell r="D3537">
            <v>5142</v>
          </cell>
          <cell r="H3537">
            <v>45505</v>
          </cell>
          <cell r="I3537" t="str">
            <v>4063 - Sales Discount - Wholesale (US)</v>
          </cell>
          <cell r="J3537" t="str">
            <v>Wholesale</v>
          </cell>
          <cell r="K3537" t="str">
            <v>Wholesale</v>
          </cell>
          <cell r="L3537" t="str">
            <v>Wholesale</v>
          </cell>
          <cell r="N3537" t="str">
            <v>Revenue</v>
          </cell>
          <cell r="O3537" t="str">
            <v>[No Vendor]</v>
          </cell>
        </row>
        <row r="3538">
          <cell r="D3538">
            <v>10360.77</v>
          </cell>
          <cell r="H3538">
            <v>45505</v>
          </cell>
          <cell r="I3538" t="str">
            <v>5900 - Interco Royalty Expense</v>
          </cell>
          <cell r="J3538">
            <v>0</v>
          </cell>
          <cell r="K3538" t="str">
            <v>Licensing</v>
          </cell>
          <cell r="L3538">
            <v>0</v>
          </cell>
          <cell r="N3538">
            <v>0</v>
          </cell>
          <cell r="O3538" t="str">
            <v>[No Vendor]</v>
          </cell>
        </row>
        <row r="3539">
          <cell r="D3539">
            <v>91497.75</v>
          </cell>
          <cell r="H3539">
            <v>45505</v>
          </cell>
          <cell r="I3539" t="str">
            <v>4062 - Sales Discount - Ecomm (US)</v>
          </cell>
          <cell r="J3539" t="str">
            <v>Ecommerce (US)</v>
          </cell>
          <cell r="K3539" t="str">
            <v>Ecommerce</v>
          </cell>
          <cell r="L3539" t="str">
            <v>Ecommerce (US)</v>
          </cell>
          <cell r="N3539" t="str">
            <v>Revenue</v>
          </cell>
          <cell r="O3539" t="str">
            <v>[No Vendor]</v>
          </cell>
        </row>
        <row r="3540">
          <cell r="D3540">
            <v>0</v>
          </cell>
          <cell r="H3540">
            <v>45505</v>
          </cell>
          <cell r="I3540" t="str">
            <v>4062 - Sales Discount - Ecomm (US)</v>
          </cell>
          <cell r="J3540" t="str">
            <v>Ecommerce (US)</v>
          </cell>
          <cell r="K3540" t="str">
            <v>Ecommerce</v>
          </cell>
          <cell r="L3540" t="str">
            <v>Ecommerce (US)</v>
          </cell>
          <cell r="N3540" t="str">
            <v>Revenue</v>
          </cell>
          <cell r="O3540" t="str">
            <v>[No Vendor]</v>
          </cell>
        </row>
        <row r="3541">
          <cell r="D3541">
            <v>1954.72</v>
          </cell>
          <cell r="H3541">
            <v>45505</v>
          </cell>
          <cell r="I3541" t="str">
            <v>7130 - License Agreements &amp; Other Intangibles</v>
          </cell>
          <cell r="J3541">
            <v>0</v>
          </cell>
          <cell r="K3541" t="str">
            <v>Administration</v>
          </cell>
          <cell r="L3541" t="str">
            <v>Depreciation &amp; Amortization</v>
          </cell>
          <cell r="N3541" t="str">
            <v>SG&amp;A</v>
          </cell>
          <cell r="O3541" t="str">
            <v>[No Vendor]</v>
          </cell>
        </row>
        <row r="3542">
          <cell r="D3542">
            <v>-10360.77</v>
          </cell>
          <cell r="H3542">
            <v>45505</v>
          </cell>
          <cell r="I3542" t="str">
            <v>4900 - Interco Royalty Revenue</v>
          </cell>
          <cell r="J3542">
            <v>0</v>
          </cell>
          <cell r="K3542" t="str">
            <v>Licensing</v>
          </cell>
          <cell r="L3542">
            <v>0</v>
          </cell>
          <cell r="N3542">
            <v>0</v>
          </cell>
          <cell r="O3542" t="str">
            <v>[No Vendor]</v>
          </cell>
        </row>
        <row r="3543">
          <cell r="D3543">
            <v>13.65</v>
          </cell>
          <cell r="H3543">
            <v>45505</v>
          </cell>
          <cell r="I3543" t="str">
            <v>6393 - Software</v>
          </cell>
          <cell r="J3543">
            <v>0</v>
          </cell>
          <cell r="K3543" t="str">
            <v>Administration</v>
          </cell>
          <cell r="L3543" t="str">
            <v>Professional Service</v>
          </cell>
          <cell r="N3543" t="str">
            <v>Direct Costs</v>
          </cell>
          <cell r="O3543" t="str">
            <v>[No Vendor]</v>
          </cell>
        </row>
        <row r="3544">
          <cell r="D3544">
            <v>1302.44</v>
          </cell>
          <cell r="H3544">
            <v>45505</v>
          </cell>
          <cell r="I3544" t="str">
            <v>6393 - Software</v>
          </cell>
          <cell r="J3544">
            <v>0</v>
          </cell>
          <cell r="K3544" t="str">
            <v>Administration</v>
          </cell>
          <cell r="L3544" t="str">
            <v>Professional Service</v>
          </cell>
          <cell r="N3544" t="str">
            <v>Direct Costs</v>
          </cell>
          <cell r="O3544" t="str">
            <v>Avalara, Inc</v>
          </cell>
        </row>
        <row r="3545">
          <cell r="D3545">
            <v>2268.23</v>
          </cell>
          <cell r="H3545">
            <v>45505</v>
          </cell>
          <cell r="I3545" t="str">
            <v>6393 - Software</v>
          </cell>
          <cell r="J3545">
            <v>0</v>
          </cell>
          <cell r="K3545" t="str">
            <v>Brand Marketing</v>
          </cell>
          <cell r="L3545" t="str">
            <v>Professional Service</v>
          </cell>
          <cell r="N3545" t="str">
            <v>Direct Costs</v>
          </cell>
          <cell r="O3545" t="str">
            <v>Fohr</v>
          </cell>
        </row>
        <row r="3546">
          <cell r="D3546">
            <v>2198.19</v>
          </cell>
          <cell r="H3546">
            <v>45505</v>
          </cell>
          <cell r="I3546" t="str">
            <v>6393 - Software</v>
          </cell>
          <cell r="J3546">
            <v>0</v>
          </cell>
          <cell r="K3546" t="str">
            <v>Administration</v>
          </cell>
          <cell r="L3546" t="str">
            <v>Professional Service</v>
          </cell>
          <cell r="N3546" t="str">
            <v>Direct Costs</v>
          </cell>
          <cell r="O3546" t="str">
            <v>Oracle Netsuite</v>
          </cell>
        </row>
        <row r="3547">
          <cell r="D3547">
            <v>9.99</v>
          </cell>
          <cell r="H3547">
            <v>45505</v>
          </cell>
          <cell r="I3547" t="str">
            <v>6393 - Software</v>
          </cell>
          <cell r="J3547">
            <v>0</v>
          </cell>
          <cell r="K3547" t="str">
            <v>Administration</v>
          </cell>
          <cell r="L3547" t="str">
            <v>Professional Service</v>
          </cell>
          <cell r="N3547" t="str">
            <v>Direct Costs</v>
          </cell>
          <cell r="O3547" t="str">
            <v>Drop Box</v>
          </cell>
        </row>
        <row r="3548">
          <cell r="D3548">
            <v>664.18</v>
          </cell>
          <cell r="H3548">
            <v>45505</v>
          </cell>
          <cell r="I3548" t="str">
            <v>6393 - Software</v>
          </cell>
          <cell r="J3548">
            <v>0</v>
          </cell>
          <cell r="K3548" t="str">
            <v>Administration</v>
          </cell>
          <cell r="L3548" t="str">
            <v>Professional Service</v>
          </cell>
          <cell r="N3548" t="str">
            <v>Direct Costs</v>
          </cell>
          <cell r="O3548" t="str">
            <v>[No Vendor]</v>
          </cell>
        </row>
        <row r="3549">
          <cell r="D3549">
            <v>458.33</v>
          </cell>
          <cell r="H3549">
            <v>45505</v>
          </cell>
          <cell r="I3549" t="str">
            <v>6393 - Software</v>
          </cell>
          <cell r="J3549" t="str">
            <v>Wholesale</v>
          </cell>
          <cell r="K3549" t="str">
            <v>Wholesale</v>
          </cell>
          <cell r="L3549" t="str">
            <v>Professional Service</v>
          </cell>
          <cell r="N3549" t="str">
            <v>Direct Costs</v>
          </cell>
          <cell r="O3549" t="str">
            <v>Joor, Inc</v>
          </cell>
        </row>
        <row r="3550">
          <cell r="D3550">
            <v>29937.83</v>
          </cell>
          <cell r="H3550">
            <v>45505</v>
          </cell>
          <cell r="I3550" t="str">
            <v>6393 - Software</v>
          </cell>
          <cell r="J3550" t="str">
            <v>Ecommerce (US)</v>
          </cell>
          <cell r="K3550" t="str">
            <v>Brand Marketing</v>
          </cell>
          <cell r="L3550" t="str">
            <v>Professional Service</v>
          </cell>
          <cell r="N3550" t="str">
            <v>Direct Costs</v>
          </cell>
          <cell r="O3550" t="str">
            <v>Attentive Mobile Inc.</v>
          </cell>
        </row>
        <row r="3551">
          <cell r="D3551">
            <v>-31291.279999999999</v>
          </cell>
          <cell r="H3551">
            <v>45505</v>
          </cell>
          <cell r="I3551" t="str">
            <v>6286 - SEM</v>
          </cell>
          <cell r="J3551" t="str">
            <v>Ecommerce (US)</v>
          </cell>
          <cell r="K3551" t="str">
            <v>Ecommerce</v>
          </cell>
          <cell r="L3551" t="str">
            <v>Marketing</v>
          </cell>
          <cell r="N3551" t="str">
            <v>Direct Costs</v>
          </cell>
          <cell r="O3551" t="str">
            <v>[No Vendor]</v>
          </cell>
        </row>
        <row r="3552">
          <cell r="D3552">
            <v>31291.279999999999</v>
          </cell>
          <cell r="H3552">
            <v>45505</v>
          </cell>
          <cell r="I3552" t="str">
            <v>6286 - SEM</v>
          </cell>
          <cell r="J3552" t="str">
            <v>Ecommerce (EU)</v>
          </cell>
          <cell r="K3552" t="str">
            <v>Ecommerce</v>
          </cell>
          <cell r="L3552" t="str">
            <v>Marketing</v>
          </cell>
          <cell r="N3552" t="str">
            <v>Direct Costs</v>
          </cell>
          <cell r="O3552" t="str">
            <v>[No Vendor]</v>
          </cell>
        </row>
        <row r="3553">
          <cell r="D3553">
            <v>36250</v>
          </cell>
          <cell r="H3553">
            <v>45505</v>
          </cell>
          <cell r="I3553" t="str">
            <v>6240 - Product Photography</v>
          </cell>
          <cell r="J3553">
            <v>0</v>
          </cell>
          <cell r="K3553" t="str">
            <v>Brand Marketing</v>
          </cell>
          <cell r="L3553" t="str">
            <v>Advertising</v>
          </cell>
          <cell r="N3553" t="str">
            <v>SG&amp;A</v>
          </cell>
          <cell r="O3553" t="str">
            <v>[No Vendor]</v>
          </cell>
        </row>
        <row r="3554">
          <cell r="D3554">
            <v>9940.7000000000007</v>
          </cell>
          <cell r="H3554">
            <v>45505</v>
          </cell>
          <cell r="I3554" t="str">
            <v>6289 - Seeding / Product Placement</v>
          </cell>
          <cell r="J3554">
            <v>0</v>
          </cell>
          <cell r="K3554" t="str">
            <v>Brand Marketing</v>
          </cell>
          <cell r="L3554" t="str">
            <v>Advertising</v>
          </cell>
          <cell r="N3554" t="str">
            <v>SG&amp;A</v>
          </cell>
          <cell r="O3554" t="str">
            <v>[No Vendor]</v>
          </cell>
        </row>
        <row r="3555">
          <cell r="D3555">
            <v>1500</v>
          </cell>
          <cell r="H3555">
            <v>45505</v>
          </cell>
          <cell r="I3555" t="str">
            <v>6205 - Contractors</v>
          </cell>
          <cell r="J3555">
            <v>0</v>
          </cell>
          <cell r="K3555" t="str">
            <v>Production</v>
          </cell>
          <cell r="L3555" t="str">
            <v>HQ Salaries</v>
          </cell>
          <cell r="N3555" t="str">
            <v>SG&amp;A</v>
          </cell>
          <cell r="O3555" t="str">
            <v>Philip Yau</v>
          </cell>
        </row>
        <row r="3556">
          <cell r="D3556">
            <v>0</v>
          </cell>
          <cell r="H3556">
            <v>45505</v>
          </cell>
          <cell r="I3556" t="str">
            <v>6205 - Contractors</v>
          </cell>
          <cell r="J3556">
            <v>0</v>
          </cell>
          <cell r="K3556" t="str">
            <v>Brand Marketing</v>
          </cell>
          <cell r="L3556" t="str">
            <v>HQ Salaries</v>
          </cell>
          <cell r="N3556" t="str">
            <v>SG&amp;A</v>
          </cell>
          <cell r="O3556" t="str">
            <v>[No Vendor]</v>
          </cell>
        </row>
        <row r="3557">
          <cell r="D3557">
            <v>5355</v>
          </cell>
          <cell r="H3557">
            <v>45505</v>
          </cell>
          <cell r="I3557" t="str">
            <v>6205 - Contractors</v>
          </cell>
          <cell r="J3557" t="str">
            <v>Ecommerce (US)</v>
          </cell>
          <cell r="K3557" t="str">
            <v>Ecommerce</v>
          </cell>
          <cell r="L3557" t="str">
            <v>HQ Salaries</v>
          </cell>
          <cell r="N3557" t="str">
            <v>SG&amp;A</v>
          </cell>
          <cell r="O3557" t="str">
            <v>[No Vendor]</v>
          </cell>
        </row>
        <row r="3558">
          <cell r="D3558">
            <v>121.5</v>
          </cell>
          <cell r="H3558">
            <v>45505</v>
          </cell>
          <cell r="I3558" t="str">
            <v>6370 - Samples</v>
          </cell>
          <cell r="J3558">
            <v>0</v>
          </cell>
          <cell r="K3558" t="str">
            <v>Production</v>
          </cell>
          <cell r="L3558" t="str">
            <v>Sample</v>
          </cell>
          <cell r="N3558" t="str">
            <v>SG&amp;A</v>
          </cell>
          <cell r="O3558" t="str">
            <v>[No Vendor]</v>
          </cell>
        </row>
        <row r="3559">
          <cell r="D3559">
            <v>4261.28</v>
          </cell>
          <cell r="H3559">
            <v>45505</v>
          </cell>
          <cell r="I3559" t="str">
            <v>6020 - Bonus</v>
          </cell>
          <cell r="J3559">
            <v>0</v>
          </cell>
          <cell r="K3559" t="str">
            <v>Executive</v>
          </cell>
          <cell r="L3559" t="str">
            <v>HQ Salaries</v>
          </cell>
          <cell r="N3559" t="str">
            <v>SG&amp;A</v>
          </cell>
          <cell r="O3559" t="str">
            <v>[No Vendor]</v>
          </cell>
        </row>
        <row r="3560">
          <cell r="D3560">
            <v>3843.71</v>
          </cell>
          <cell r="H3560">
            <v>45505</v>
          </cell>
          <cell r="I3560" t="str">
            <v>6020 - Bonus</v>
          </cell>
          <cell r="J3560" t="str">
            <v>Wholesale</v>
          </cell>
          <cell r="K3560" t="str">
            <v>Wholesale</v>
          </cell>
          <cell r="L3560" t="str">
            <v>HQ Salaries</v>
          </cell>
          <cell r="N3560" t="str">
            <v>SG&amp;A</v>
          </cell>
          <cell r="O3560" t="str">
            <v>[No Vendor]</v>
          </cell>
        </row>
        <row r="3561">
          <cell r="D3561">
            <v>6338.75</v>
          </cell>
          <cell r="H3561">
            <v>45505</v>
          </cell>
          <cell r="I3561" t="str">
            <v>6020 - Bonus</v>
          </cell>
          <cell r="J3561">
            <v>0</v>
          </cell>
          <cell r="K3561" t="str">
            <v>Production</v>
          </cell>
          <cell r="L3561" t="str">
            <v>HQ Salaries</v>
          </cell>
          <cell r="N3561" t="str">
            <v>SG&amp;A</v>
          </cell>
          <cell r="O3561" t="str">
            <v>[No Vendor]</v>
          </cell>
        </row>
        <row r="3562">
          <cell r="D3562">
            <v>1406.25</v>
          </cell>
          <cell r="H3562">
            <v>45505</v>
          </cell>
          <cell r="I3562" t="str">
            <v>6020 - Bonus</v>
          </cell>
          <cell r="J3562">
            <v>0</v>
          </cell>
          <cell r="K3562" t="str">
            <v>Brand Marketing</v>
          </cell>
          <cell r="L3562" t="str">
            <v>HQ Salaries</v>
          </cell>
          <cell r="N3562" t="str">
            <v>SG&amp;A</v>
          </cell>
          <cell r="O3562" t="str">
            <v>[No Vendor]</v>
          </cell>
        </row>
        <row r="3563">
          <cell r="D3563">
            <v>8393.9500000000007</v>
          </cell>
          <cell r="H3563">
            <v>45505</v>
          </cell>
          <cell r="I3563" t="str">
            <v>6020 - Bonus</v>
          </cell>
          <cell r="J3563" t="str">
            <v>Ecommerce (US)</v>
          </cell>
          <cell r="K3563" t="str">
            <v>Ecommerce</v>
          </cell>
          <cell r="L3563" t="str">
            <v>HQ Salaries</v>
          </cell>
          <cell r="N3563" t="str">
            <v>SG&amp;A</v>
          </cell>
          <cell r="O3563" t="str">
            <v>[No Vendor]</v>
          </cell>
        </row>
        <row r="3564">
          <cell r="D3564">
            <v>5832.66</v>
          </cell>
          <cell r="H3564">
            <v>45505</v>
          </cell>
          <cell r="I3564" t="str">
            <v>6020 - Bonus</v>
          </cell>
          <cell r="J3564">
            <v>0</v>
          </cell>
          <cell r="K3564" t="str">
            <v>Design</v>
          </cell>
          <cell r="L3564" t="str">
            <v>HQ Salaries</v>
          </cell>
          <cell r="N3564" t="str">
            <v>SG&amp;A</v>
          </cell>
          <cell r="O3564" t="str">
            <v>[No Vendor]</v>
          </cell>
        </row>
        <row r="3565">
          <cell r="D3565">
            <v>1256.29</v>
          </cell>
          <cell r="H3565">
            <v>45505</v>
          </cell>
          <cell r="I3565" t="str">
            <v>6020 - Bonus</v>
          </cell>
          <cell r="J3565">
            <v>0</v>
          </cell>
          <cell r="K3565" t="str">
            <v>Merchandising</v>
          </cell>
          <cell r="L3565" t="str">
            <v>HQ Salaries</v>
          </cell>
          <cell r="N3565" t="str">
            <v>SG&amp;A</v>
          </cell>
          <cell r="O3565" t="str">
            <v>[No Vendor]</v>
          </cell>
        </row>
        <row r="3566">
          <cell r="D3566">
            <v>7604.61</v>
          </cell>
          <cell r="H3566">
            <v>45505</v>
          </cell>
          <cell r="I3566" t="str">
            <v>6020 - Bonus</v>
          </cell>
          <cell r="J3566">
            <v>0</v>
          </cell>
          <cell r="K3566" t="str">
            <v>Administration</v>
          </cell>
          <cell r="L3566" t="str">
            <v>HQ Salaries</v>
          </cell>
          <cell r="N3566" t="str">
            <v>SG&amp;A</v>
          </cell>
          <cell r="O3566" t="str">
            <v>[No Vendor]</v>
          </cell>
        </row>
        <row r="3567">
          <cell r="D3567">
            <v>30209.98</v>
          </cell>
          <cell r="H3567">
            <v>45505</v>
          </cell>
          <cell r="I3567" t="str">
            <v>6450 - Bank &amp; Other Fees</v>
          </cell>
          <cell r="J3567" t="str">
            <v>Ecommerce (US)</v>
          </cell>
          <cell r="K3567" t="str">
            <v>Ecommerce</v>
          </cell>
          <cell r="L3567" t="str">
            <v>Professional Service</v>
          </cell>
          <cell r="N3567" t="str">
            <v>Direct Costs</v>
          </cell>
          <cell r="O3567" t="str">
            <v>Shopify</v>
          </cell>
        </row>
        <row r="3568">
          <cell r="D3568">
            <v>5960.63</v>
          </cell>
          <cell r="H3568">
            <v>45505</v>
          </cell>
          <cell r="I3568" t="str">
            <v>6450 - Bank &amp; Other Fees</v>
          </cell>
          <cell r="J3568" t="str">
            <v>Ecommerce (US)</v>
          </cell>
          <cell r="K3568" t="str">
            <v>Ecommerce</v>
          </cell>
          <cell r="L3568" t="str">
            <v>Professional Service</v>
          </cell>
          <cell r="N3568" t="str">
            <v>Direct Costs</v>
          </cell>
          <cell r="O3568" t="str">
            <v>[No Vendor]</v>
          </cell>
        </row>
        <row r="3569">
          <cell r="D3569">
            <v>28.5</v>
          </cell>
          <cell r="H3569">
            <v>45505</v>
          </cell>
          <cell r="I3569" t="str">
            <v>6430 - Dues &amp; Memberships</v>
          </cell>
          <cell r="J3569">
            <v>0</v>
          </cell>
          <cell r="K3569" t="str">
            <v>Brand Marketing</v>
          </cell>
          <cell r="L3569" t="str">
            <v>Professional Service</v>
          </cell>
          <cell r="N3569" t="str">
            <v>Direct Costs</v>
          </cell>
          <cell r="O3569" t="str">
            <v>[No Vendor]</v>
          </cell>
        </row>
        <row r="3570">
          <cell r="D3570">
            <v>256.5</v>
          </cell>
          <cell r="H3570">
            <v>45505</v>
          </cell>
          <cell r="I3570" t="str">
            <v>6430 - Dues &amp; Memberships</v>
          </cell>
          <cell r="J3570">
            <v>0</v>
          </cell>
          <cell r="K3570" t="str">
            <v>Brand Marketing</v>
          </cell>
          <cell r="L3570" t="str">
            <v>Professional Service</v>
          </cell>
          <cell r="N3570" t="str">
            <v>Direct Costs</v>
          </cell>
          <cell r="O3570" t="str">
            <v>[No Vendor]</v>
          </cell>
        </row>
        <row r="3571">
          <cell r="D3571">
            <v>12.42</v>
          </cell>
          <cell r="H3571">
            <v>45505</v>
          </cell>
          <cell r="I3571" t="str">
            <v>6430 - Dues &amp; Memberships</v>
          </cell>
          <cell r="J3571">
            <v>0</v>
          </cell>
          <cell r="K3571" t="str">
            <v>Brand Marketing</v>
          </cell>
          <cell r="L3571" t="str">
            <v>Professional Service</v>
          </cell>
          <cell r="N3571" t="str">
            <v>Direct Costs</v>
          </cell>
          <cell r="O3571" t="str">
            <v>[No Vendor]</v>
          </cell>
        </row>
        <row r="3572">
          <cell r="D3572">
            <v>153</v>
          </cell>
          <cell r="H3572">
            <v>45505</v>
          </cell>
          <cell r="I3572" t="str">
            <v>6430 - Dues &amp; Memberships</v>
          </cell>
          <cell r="J3572">
            <v>0</v>
          </cell>
          <cell r="K3572" t="str">
            <v>Brand Marketing</v>
          </cell>
          <cell r="L3572" t="str">
            <v>Professional Service</v>
          </cell>
          <cell r="N3572" t="str">
            <v>Direct Costs</v>
          </cell>
          <cell r="O3572" t="str">
            <v>[No Vendor]</v>
          </cell>
        </row>
        <row r="3573">
          <cell r="D3573">
            <v>-606</v>
          </cell>
          <cell r="H3573">
            <v>45505</v>
          </cell>
          <cell r="I3573" t="str">
            <v>6410 - Lease Expense</v>
          </cell>
          <cell r="J3573">
            <v>0</v>
          </cell>
          <cell r="K3573" t="str">
            <v>Administration</v>
          </cell>
          <cell r="L3573" t="str">
            <v>Rent</v>
          </cell>
          <cell r="N3573" t="str">
            <v>SG&amp;A</v>
          </cell>
          <cell r="O3573" t="str">
            <v>[No Vendor]</v>
          </cell>
        </row>
        <row r="3574">
          <cell r="D3574">
            <v>947.78</v>
          </cell>
          <cell r="H3574">
            <v>45505</v>
          </cell>
          <cell r="I3574" t="str">
            <v>6385 - Insurance</v>
          </cell>
          <cell r="J3574">
            <v>0</v>
          </cell>
          <cell r="K3574" t="str">
            <v>Administration</v>
          </cell>
          <cell r="L3574" t="str">
            <v>Professional Service</v>
          </cell>
          <cell r="N3574" t="str">
            <v>SG&amp;A</v>
          </cell>
          <cell r="O3574" t="str">
            <v>[No Vendor]</v>
          </cell>
        </row>
        <row r="3575">
          <cell r="D3575">
            <v>-13.39</v>
          </cell>
          <cell r="H3575">
            <v>45505</v>
          </cell>
          <cell r="I3575" t="str">
            <v>6385 - Insurance</v>
          </cell>
          <cell r="J3575">
            <v>0</v>
          </cell>
          <cell r="K3575" t="str">
            <v>Administration</v>
          </cell>
          <cell r="L3575" t="str">
            <v>Professional Service</v>
          </cell>
          <cell r="N3575" t="str">
            <v>SG&amp;A</v>
          </cell>
          <cell r="O3575" t="str">
            <v>[No Vendor]</v>
          </cell>
        </row>
        <row r="3576">
          <cell r="D3576">
            <v>-42.8</v>
          </cell>
          <cell r="H3576">
            <v>45505</v>
          </cell>
          <cell r="I3576" t="str">
            <v>6385 - Insurance</v>
          </cell>
          <cell r="J3576">
            <v>0</v>
          </cell>
          <cell r="K3576" t="str">
            <v>Administration</v>
          </cell>
          <cell r="L3576" t="str">
            <v>Professional Service</v>
          </cell>
          <cell r="N3576" t="str">
            <v>SG&amp;A</v>
          </cell>
          <cell r="O3576" t="str">
            <v>[No Vendor]</v>
          </cell>
        </row>
        <row r="3577">
          <cell r="D3577">
            <v>-38.44</v>
          </cell>
          <cell r="H3577">
            <v>45505</v>
          </cell>
          <cell r="I3577" t="str">
            <v>6385 - Insurance</v>
          </cell>
          <cell r="J3577">
            <v>0</v>
          </cell>
          <cell r="K3577" t="str">
            <v>Administration</v>
          </cell>
          <cell r="L3577" t="str">
            <v>Professional Service</v>
          </cell>
          <cell r="N3577" t="str">
            <v>SG&amp;A</v>
          </cell>
          <cell r="O3577" t="str">
            <v>[No Vendor]</v>
          </cell>
        </row>
        <row r="3578">
          <cell r="D3578">
            <v>-39.51</v>
          </cell>
          <cell r="H3578">
            <v>45505</v>
          </cell>
          <cell r="I3578" t="str">
            <v>6385 - Insurance</v>
          </cell>
          <cell r="J3578">
            <v>0</v>
          </cell>
          <cell r="K3578" t="str">
            <v>Administration</v>
          </cell>
          <cell r="L3578" t="str">
            <v>Professional Service</v>
          </cell>
          <cell r="N3578" t="str">
            <v>SG&amp;A</v>
          </cell>
          <cell r="O3578" t="str">
            <v>[No Vendor]</v>
          </cell>
        </row>
        <row r="3579">
          <cell r="D3579">
            <v>-40.24</v>
          </cell>
          <cell r="H3579">
            <v>45505</v>
          </cell>
          <cell r="I3579" t="str">
            <v>6385 - Insurance</v>
          </cell>
          <cell r="J3579">
            <v>0</v>
          </cell>
          <cell r="K3579" t="str">
            <v>Administration</v>
          </cell>
          <cell r="L3579" t="str">
            <v>Professional Service</v>
          </cell>
          <cell r="N3579" t="str">
            <v>SG&amp;A</v>
          </cell>
          <cell r="O3579" t="str">
            <v>[No Vendor]</v>
          </cell>
        </row>
        <row r="3580">
          <cell r="D3580">
            <v>-20.41</v>
          </cell>
          <cell r="H3580">
            <v>45505</v>
          </cell>
          <cell r="I3580" t="str">
            <v>6385 - Insurance</v>
          </cell>
          <cell r="J3580">
            <v>0</v>
          </cell>
          <cell r="K3580" t="str">
            <v>Administration</v>
          </cell>
          <cell r="L3580" t="str">
            <v>Professional Service</v>
          </cell>
          <cell r="N3580" t="str">
            <v>SG&amp;A</v>
          </cell>
          <cell r="O3580" t="str">
            <v>[No Vendor]</v>
          </cell>
        </row>
        <row r="3581">
          <cell r="D3581">
            <v>-13.16</v>
          </cell>
          <cell r="H3581">
            <v>45505</v>
          </cell>
          <cell r="I3581" t="str">
            <v>6385 - Insurance</v>
          </cell>
          <cell r="J3581">
            <v>0</v>
          </cell>
          <cell r="K3581" t="str">
            <v>Administration</v>
          </cell>
          <cell r="L3581" t="str">
            <v>Professional Service</v>
          </cell>
          <cell r="N3581" t="str">
            <v>SG&amp;A</v>
          </cell>
          <cell r="O3581" t="str">
            <v>[No Vendor]</v>
          </cell>
        </row>
        <row r="3582">
          <cell r="D3582">
            <v>-29.56</v>
          </cell>
          <cell r="H3582">
            <v>45505</v>
          </cell>
          <cell r="I3582" t="str">
            <v>6385 - Insurance</v>
          </cell>
          <cell r="J3582">
            <v>0</v>
          </cell>
          <cell r="K3582" t="str">
            <v>Administration</v>
          </cell>
          <cell r="L3582" t="str">
            <v>Professional Service</v>
          </cell>
          <cell r="N3582" t="str">
            <v>SG&amp;A</v>
          </cell>
          <cell r="O3582" t="str">
            <v>[No Vendor]</v>
          </cell>
        </row>
        <row r="3583">
          <cell r="D3583">
            <v>717.74</v>
          </cell>
          <cell r="H3583">
            <v>45505</v>
          </cell>
          <cell r="I3583" t="str">
            <v>6400 - Utilities</v>
          </cell>
          <cell r="J3583">
            <v>0</v>
          </cell>
          <cell r="K3583" t="str">
            <v>Administration</v>
          </cell>
          <cell r="L3583" t="str">
            <v>Other</v>
          </cell>
          <cell r="N3583" t="str">
            <v>SG&amp;A</v>
          </cell>
          <cell r="O3583" t="str">
            <v>[No Vendor]</v>
          </cell>
        </row>
        <row r="3584">
          <cell r="D3584">
            <v>41.94</v>
          </cell>
          <cell r="H3584">
            <v>45505</v>
          </cell>
          <cell r="I3584" t="str">
            <v>7060 - Information Technology &amp; Software</v>
          </cell>
          <cell r="J3584">
            <v>0</v>
          </cell>
          <cell r="K3584" t="str">
            <v>Executive</v>
          </cell>
          <cell r="L3584" t="str">
            <v>Depreciation &amp; Amortization</v>
          </cell>
          <cell r="N3584" t="str">
            <v>SG&amp;A</v>
          </cell>
          <cell r="O3584" t="str">
            <v>[No Vendor]</v>
          </cell>
        </row>
        <row r="3585">
          <cell r="D3585">
            <v>62.78</v>
          </cell>
          <cell r="H3585">
            <v>45505</v>
          </cell>
          <cell r="I3585" t="str">
            <v>7060 - Information Technology &amp; Software</v>
          </cell>
          <cell r="J3585" t="str">
            <v>Wholesale</v>
          </cell>
          <cell r="K3585" t="str">
            <v>Wholesale</v>
          </cell>
          <cell r="L3585" t="str">
            <v>Depreciation &amp; Amortization</v>
          </cell>
          <cell r="N3585" t="str">
            <v>SG&amp;A</v>
          </cell>
          <cell r="O3585" t="str">
            <v>[No Vendor]</v>
          </cell>
        </row>
        <row r="3586">
          <cell r="D3586">
            <v>148.66999999999999</v>
          </cell>
          <cell r="H3586">
            <v>45505</v>
          </cell>
          <cell r="I3586" t="str">
            <v>7060 - Information Technology &amp; Software</v>
          </cell>
          <cell r="J3586" t="str">
            <v>Ecommerce (US)</v>
          </cell>
          <cell r="K3586" t="str">
            <v>Ecommerce</v>
          </cell>
          <cell r="L3586" t="str">
            <v>Depreciation &amp; Amortization</v>
          </cell>
          <cell r="N3586" t="str">
            <v>SG&amp;A</v>
          </cell>
          <cell r="O3586" t="str">
            <v>[No Vendor]</v>
          </cell>
        </row>
        <row r="3587">
          <cell r="D3587">
            <v>102.55</v>
          </cell>
          <cell r="H3587">
            <v>45505</v>
          </cell>
          <cell r="I3587" t="str">
            <v>7060 - Information Technology &amp; Software</v>
          </cell>
          <cell r="J3587">
            <v>0</v>
          </cell>
          <cell r="K3587" t="str">
            <v>Production</v>
          </cell>
          <cell r="L3587" t="str">
            <v>Depreciation &amp; Amortization</v>
          </cell>
          <cell r="N3587" t="str">
            <v>SG&amp;A</v>
          </cell>
          <cell r="O3587" t="str">
            <v>[No Vendor]</v>
          </cell>
        </row>
        <row r="3588">
          <cell r="D3588">
            <v>179.49</v>
          </cell>
          <cell r="H3588">
            <v>45505</v>
          </cell>
          <cell r="I3588" t="str">
            <v>7060 - Information Technology &amp; Software</v>
          </cell>
          <cell r="J3588">
            <v>0</v>
          </cell>
          <cell r="K3588" t="str">
            <v>Design</v>
          </cell>
          <cell r="L3588" t="str">
            <v>Depreciation &amp; Amortization</v>
          </cell>
          <cell r="N3588" t="str">
            <v>SG&amp;A</v>
          </cell>
          <cell r="O3588" t="str">
            <v>[No Vendor]</v>
          </cell>
        </row>
        <row r="3589">
          <cell r="D3589">
            <v>65.48</v>
          </cell>
          <cell r="H3589">
            <v>45505</v>
          </cell>
          <cell r="I3589" t="str">
            <v>7060 - Information Technology &amp; Software</v>
          </cell>
          <cell r="J3589">
            <v>0</v>
          </cell>
          <cell r="K3589" t="str">
            <v>Merchandising</v>
          </cell>
          <cell r="L3589" t="str">
            <v>Depreciation &amp; Amortization</v>
          </cell>
          <cell r="N3589" t="str">
            <v>SG&amp;A</v>
          </cell>
          <cell r="O3589" t="str">
            <v>[No Vendor]</v>
          </cell>
        </row>
        <row r="3590">
          <cell r="D3590">
            <v>166.9</v>
          </cell>
          <cell r="H3590">
            <v>45505</v>
          </cell>
          <cell r="I3590" t="str">
            <v>7060 - Information Technology &amp; Software</v>
          </cell>
          <cell r="J3590">
            <v>0</v>
          </cell>
          <cell r="K3590" t="str">
            <v>Brand Marketing</v>
          </cell>
          <cell r="L3590" t="str">
            <v>Depreciation &amp; Amortization</v>
          </cell>
          <cell r="N3590" t="str">
            <v>SG&amp;A</v>
          </cell>
          <cell r="O3590" t="str">
            <v>[No Vendor]</v>
          </cell>
        </row>
        <row r="3591">
          <cell r="D3591">
            <v>869.23</v>
          </cell>
          <cell r="H3591">
            <v>45505</v>
          </cell>
          <cell r="I3591" t="str">
            <v>7060 - Information Technology &amp; Software</v>
          </cell>
          <cell r="J3591">
            <v>0</v>
          </cell>
          <cell r="K3591" t="str">
            <v>Administration</v>
          </cell>
          <cell r="L3591" t="str">
            <v>Depreciation &amp; Amortization</v>
          </cell>
          <cell r="N3591" t="str">
            <v>SG&amp;A</v>
          </cell>
          <cell r="O3591" t="str">
            <v>[No Vendor]</v>
          </cell>
        </row>
        <row r="3592">
          <cell r="D3592">
            <v>238.77</v>
          </cell>
          <cell r="H3592">
            <v>45505</v>
          </cell>
          <cell r="I3592" t="str">
            <v>7040 - Furniture &amp; Fixtures</v>
          </cell>
          <cell r="J3592" t="str">
            <v>Wholesale</v>
          </cell>
          <cell r="K3592" t="str">
            <v>Wholesale</v>
          </cell>
          <cell r="L3592" t="str">
            <v>Depreciation &amp; Amortization</v>
          </cell>
          <cell r="N3592" t="str">
            <v>SG&amp;A</v>
          </cell>
          <cell r="O3592" t="str">
            <v>[No Vendor]</v>
          </cell>
        </row>
        <row r="3593">
          <cell r="D3593">
            <v>0</v>
          </cell>
          <cell r="H3593">
            <v>45505</v>
          </cell>
          <cell r="I3593" t="str">
            <v>7040 - Furniture &amp; Fixtures</v>
          </cell>
          <cell r="J3593">
            <v>0</v>
          </cell>
          <cell r="K3593" t="str">
            <v>Brand Marketing</v>
          </cell>
          <cell r="L3593" t="str">
            <v>Depreciation &amp; Amortization</v>
          </cell>
          <cell r="N3593" t="str">
            <v>SG&amp;A</v>
          </cell>
          <cell r="O3593" t="str">
            <v>[No Vendor]</v>
          </cell>
        </row>
        <row r="3594">
          <cell r="D3594">
            <v>269.64999999999998</v>
          </cell>
          <cell r="H3594">
            <v>45505</v>
          </cell>
          <cell r="I3594" t="str">
            <v>7040 - Furniture &amp; Fixtures</v>
          </cell>
          <cell r="J3594">
            <v>0</v>
          </cell>
          <cell r="K3594" t="str">
            <v>Administration</v>
          </cell>
          <cell r="L3594" t="str">
            <v>Depreciation &amp; Amortization</v>
          </cell>
          <cell r="N3594" t="str">
            <v>SG&amp;A</v>
          </cell>
          <cell r="O3594" t="str">
            <v>[No Vendor]</v>
          </cell>
        </row>
        <row r="3595">
          <cell r="D3595">
            <v>1181.97</v>
          </cell>
          <cell r="H3595">
            <v>45505</v>
          </cell>
          <cell r="I3595" t="str">
            <v>6055 - Employer Social Security Tax Withheld</v>
          </cell>
          <cell r="J3595">
            <v>0</v>
          </cell>
          <cell r="K3595" t="str">
            <v>Executive</v>
          </cell>
          <cell r="L3595" t="str">
            <v>HQ Salaries</v>
          </cell>
          <cell r="N3595" t="str">
            <v>SG&amp;A</v>
          </cell>
          <cell r="O3595" t="str">
            <v>[No Vendor]</v>
          </cell>
        </row>
        <row r="3596">
          <cell r="D3596">
            <v>1610.08</v>
          </cell>
          <cell r="H3596">
            <v>45505</v>
          </cell>
          <cell r="I3596" t="str">
            <v>6055 - Employer Social Security Tax Withheld</v>
          </cell>
          <cell r="J3596" t="str">
            <v>Ecommerce (US)</v>
          </cell>
          <cell r="K3596" t="str">
            <v>Ecommerce</v>
          </cell>
          <cell r="L3596" t="str">
            <v>HQ Salaries</v>
          </cell>
          <cell r="N3596" t="str">
            <v>SG&amp;A</v>
          </cell>
          <cell r="O3596" t="str">
            <v>[No Vendor]</v>
          </cell>
        </row>
        <row r="3597">
          <cell r="D3597">
            <v>1913.12</v>
          </cell>
          <cell r="H3597">
            <v>45505</v>
          </cell>
          <cell r="I3597" t="str">
            <v>6055 - Employer Social Security Tax Withheld</v>
          </cell>
          <cell r="J3597">
            <v>0</v>
          </cell>
          <cell r="K3597" t="str">
            <v>Administration</v>
          </cell>
          <cell r="L3597" t="str">
            <v>HQ Salaries</v>
          </cell>
          <cell r="N3597" t="str">
            <v>SG&amp;A</v>
          </cell>
          <cell r="O3597" t="str">
            <v>[No Vendor]</v>
          </cell>
        </row>
        <row r="3598">
          <cell r="D3598">
            <v>2212.65</v>
          </cell>
          <cell r="H3598">
            <v>45505</v>
          </cell>
          <cell r="I3598" t="str">
            <v>6055 - Employer Social Security Tax Withheld</v>
          </cell>
          <cell r="J3598">
            <v>0</v>
          </cell>
          <cell r="K3598" t="str">
            <v>Design</v>
          </cell>
          <cell r="L3598" t="str">
            <v>HQ Salaries</v>
          </cell>
          <cell r="N3598" t="str">
            <v>SG&amp;A</v>
          </cell>
          <cell r="O3598" t="str">
            <v>[No Vendor]</v>
          </cell>
        </row>
        <row r="3599">
          <cell r="D3599">
            <v>579.38</v>
          </cell>
          <cell r="H3599">
            <v>45505</v>
          </cell>
          <cell r="I3599" t="str">
            <v>6055 - Employer Social Security Tax Withheld</v>
          </cell>
          <cell r="J3599">
            <v>0</v>
          </cell>
          <cell r="K3599" t="str">
            <v>Merchandising</v>
          </cell>
          <cell r="L3599" t="str">
            <v>HQ Salaries</v>
          </cell>
          <cell r="N3599" t="str">
            <v>SG&amp;A</v>
          </cell>
          <cell r="O3599" t="str">
            <v>[No Vendor]</v>
          </cell>
        </row>
        <row r="3600">
          <cell r="D3600">
            <v>1111.33</v>
          </cell>
          <cell r="H3600">
            <v>45505</v>
          </cell>
          <cell r="I3600" t="str">
            <v>6055 - Employer Social Security Tax Withheld</v>
          </cell>
          <cell r="J3600" t="str">
            <v>Wholesale</v>
          </cell>
          <cell r="K3600" t="str">
            <v>Wholesale</v>
          </cell>
          <cell r="L3600" t="str">
            <v>HQ Salaries</v>
          </cell>
          <cell r="N3600" t="str">
            <v>SG&amp;A</v>
          </cell>
          <cell r="O3600" t="str">
            <v>[No Vendor]</v>
          </cell>
        </row>
        <row r="3601">
          <cell r="D3601">
            <v>1872.96</v>
          </cell>
          <cell r="H3601">
            <v>45505</v>
          </cell>
          <cell r="I3601" t="str">
            <v>6055 - Employer Social Security Tax Withheld</v>
          </cell>
          <cell r="J3601">
            <v>0</v>
          </cell>
          <cell r="K3601" t="str">
            <v>Production</v>
          </cell>
          <cell r="L3601" t="str">
            <v>HQ Salaries</v>
          </cell>
          <cell r="N3601" t="str">
            <v>SG&amp;A</v>
          </cell>
          <cell r="O3601" t="str">
            <v>[No Vendor]</v>
          </cell>
        </row>
        <row r="3602">
          <cell r="D3602">
            <v>365.93</v>
          </cell>
          <cell r="H3602">
            <v>45505</v>
          </cell>
          <cell r="I3602" t="str">
            <v>6055 - Employer Social Security Tax Withheld</v>
          </cell>
          <cell r="J3602">
            <v>0</v>
          </cell>
          <cell r="K3602" t="str">
            <v>Brand Marketing</v>
          </cell>
          <cell r="L3602" t="str">
            <v>HQ Salaries</v>
          </cell>
          <cell r="N3602" t="str">
            <v>SG&amp;A</v>
          </cell>
          <cell r="O3602" t="str">
            <v>[No Vendor]</v>
          </cell>
        </row>
        <row r="3603">
          <cell r="D3603">
            <v>13467.64</v>
          </cell>
          <cell r="H3603">
            <v>45505</v>
          </cell>
          <cell r="I3603" t="str">
            <v>5000 - Cost of Goods Sold</v>
          </cell>
          <cell r="J3603" t="str">
            <v>Ecommerce (US)</v>
          </cell>
          <cell r="K3603" t="str">
            <v>Ecommerce</v>
          </cell>
          <cell r="L3603" t="str">
            <v>COGS</v>
          </cell>
          <cell r="N3603" t="str">
            <v>COGS</v>
          </cell>
          <cell r="O3603" t="str">
            <v>[No Vendor]</v>
          </cell>
        </row>
        <row r="3604">
          <cell r="D3604">
            <v>-1003.37</v>
          </cell>
          <cell r="H3604">
            <v>45505</v>
          </cell>
          <cell r="I3604" t="str">
            <v>5000 - Cost of Goods Sold</v>
          </cell>
          <cell r="J3604" t="str">
            <v>Wholesale</v>
          </cell>
          <cell r="K3604" t="str">
            <v>Wholesale</v>
          </cell>
          <cell r="L3604" t="str">
            <v>COGS</v>
          </cell>
          <cell r="N3604" t="str">
            <v>COGS</v>
          </cell>
          <cell r="O3604" t="str">
            <v>[No Vendor]</v>
          </cell>
        </row>
        <row r="3605">
          <cell r="D3605">
            <v>-342.55</v>
          </cell>
          <cell r="H3605">
            <v>45505</v>
          </cell>
          <cell r="I3605" t="str">
            <v>5000 - Cost of Goods Sold</v>
          </cell>
          <cell r="J3605" t="str">
            <v>Wholesale</v>
          </cell>
          <cell r="K3605" t="str">
            <v>Wholesale</v>
          </cell>
          <cell r="L3605" t="str">
            <v>COGS</v>
          </cell>
          <cell r="N3605" t="str">
            <v>COGS</v>
          </cell>
          <cell r="O3605" t="str">
            <v>[No Vendor]</v>
          </cell>
        </row>
        <row r="3606">
          <cell r="D3606">
            <v>183066.14</v>
          </cell>
          <cell r="H3606">
            <v>45505</v>
          </cell>
          <cell r="I3606" t="str">
            <v>5000 - Cost of Goods Sold</v>
          </cell>
          <cell r="J3606" t="str">
            <v>Wholesale</v>
          </cell>
          <cell r="K3606" t="str">
            <v>Wholesale</v>
          </cell>
          <cell r="L3606" t="str">
            <v>COGS</v>
          </cell>
          <cell r="N3606" t="str">
            <v>COGS</v>
          </cell>
          <cell r="O3606" t="str">
            <v>[No Vendor]</v>
          </cell>
        </row>
        <row r="3607">
          <cell r="D3607">
            <v>380349.42</v>
          </cell>
          <cell r="H3607">
            <v>45505</v>
          </cell>
          <cell r="I3607" t="str">
            <v>5000 - Cost of Goods Sold</v>
          </cell>
          <cell r="J3607" t="str">
            <v>Ecommerce (US)</v>
          </cell>
          <cell r="K3607" t="str">
            <v>Ecommerce</v>
          </cell>
          <cell r="L3607" t="str">
            <v>COGS</v>
          </cell>
          <cell r="N3607" t="str">
            <v>COGS</v>
          </cell>
          <cell r="O3607" t="str">
            <v>[No Vendor]</v>
          </cell>
        </row>
        <row r="3608">
          <cell r="D3608">
            <v>29733.94</v>
          </cell>
          <cell r="H3608">
            <v>45505</v>
          </cell>
          <cell r="I3608" t="str">
            <v>5000 - Cost of Goods Sold</v>
          </cell>
          <cell r="J3608" t="str">
            <v>Ecommerce (EU)</v>
          </cell>
          <cell r="K3608" t="str">
            <v>Ecommerce</v>
          </cell>
          <cell r="L3608" t="str">
            <v>COGS</v>
          </cell>
          <cell r="N3608" t="str">
            <v>COGS</v>
          </cell>
          <cell r="O3608" t="str">
            <v>[No Vendor]</v>
          </cell>
        </row>
        <row r="3609">
          <cell r="D3609">
            <v>42.49</v>
          </cell>
          <cell r="H3609">
            <v>45505</v>
          </cell>
          <cell r="I3609" t="str">
            <v>6487 - Interest Expense</v>
          </cell>
          <cell r="J3609">
            <v>0</v>
          </cell>
          <cell r="K3609" t="str">
            <v>Administration</v>
          </cell>
          <cell r="L3609" t="str">
            <v>Interest</v>
          </cell>
          <cell r="N3609" t="str">
            <v>BTL</v>
          </cell>
          <cell r="O3609" t="str">
            <v>[No Vendor]</v>
          </cell>
        </row>
        <row r="3610">
          <cell r="D3610">
            <v>9079.2900000000009</v>
          </cell>
          <cell r="H3610">
            <v>45505</v>
          </cell>
          <cell r="I3610" t="str">
            <v>6487 - Interest Expense</v>
          </cell>
          <cell r="J3610">
            <v>0</v>
          </cell>
          <cell r="K3610" t="str">
            <v>Administration</v>
          </cell>
          <cell r="L3610" t="str">
            <v>Interest</v>
          </cell>
          <cell r="N3610" t="str">
            <v>BTL</v>
          </cell>
          <cell r="O3610" t="str">
            <v>[No Vendor]</v>
          </cell>
        </row>
        <row r="3611">
          <cell r="D3611">
            <v>3906.85</v>
          </cell>
          <cell r="H3611">
            <v>45505</v>
          </cell>
          <cell r="I3611" t="str">
            <v>6487 - Interest Expense</v>
          </cell>
          <cell r="J3611">
            <v>0</v>
          </cell>
          <cell r="K3611" t="str">
            <v>Administration</v>
          </cell>
          <cell r="L3611" t="str">
            <v>Interest</v>
          </cell>
          <cell r="N3611" t="str">
            <v>BTL</v>
          </cell>
          <cell r="O3611" t="str">
            <v>[No Vendor]</v>
          </cell>
        </row>
        <row r="3612">
          <cell r="D3612">
            <v>15236.71</v>
          </cell>
          <cell r="H3612">
            <v>45505</v>
          </cell>
          <cell r="I3612" t="str">
            <v>6487 - Interest Expense</v>
          </cell>
          <cell r="J3612">
            <v>0</v>
          </cell>
          <cell r="K3612" t="str">
            <v>Administration</v>
          </cell>
          <cell r="L3612" t="str">
            <v>Interest</v>
          </cell>
          <cell r="N3612" t="str">
            <v>BTL</v>
          </cell>
          <cell r="O3612" t="str">
            <v>[No Vendor]</v>
          </cell>
        </row>
        <row r="3613">
          <cell r="D3613">
            <v>5860.27</v>
          </cell>
          <cell r="H3613">
            <v>45505</v>
          </cell>
          <cell r="I3613" t="str">
            <v>6487 - Interest Expense</v>
          </cell>
          <cell r="J3613">
            <v>0</v>
          </cell>
          <cell r="K3613" t="str">
            <v>Administration</v>
          </cell>
          <cell r="L3613" t="str">
            <v>Interest</v>
          </cell>
          <cell r="N3613" t="str">
            <v>BTL</v>
          </cell>
          <cell r="O3613" t="str">
            <v>[No Vendor]</v>
          </cell>
        </row>
        <row r="3614">
          <cell r="D3614">
            <v>4297.53</v>
          </cell>
          <cell r="H3614">
            <v>45505</v>
          </cell>
          <cell r="I3614" t="str">
            <v>6487 - Interest Expense</v>
          </cell>
          <cell r="J3614">
            <v>0</v>
          </cell>
          <cell r="K3614" t="str">
            <v>Administration</v>
          </cell>
          <cell r="L3614" t="str">
            <v>Interest</v>
          </cell>
          <cell r="N3614" t="str">
            <v>BTL</v>
          </cell>
          <cell r="O3614" t="str">
            <v>[No Vendor]</v>
          </cell>
        </row>
        <row r="3615">
          <cell r="D3615">
            <v>2721.88</v>
          </cell>
          <cell r="H3615">
            <v>45505</v>
          </cell>
          <cell r="I3615" t="str">
            <v>6420 - Licenses &amp; Membership</v>
          </cell>
          <cell r="J3615">
            <v>0</v>
          </cell>
          <cell r="K3615" t="str">
            <v>Administration</v>
          </cell>
          <cell r="L3615" t="str">
            <v>Professional Service</v>
          </cell>
          <cell r="N3615" t="str">
            <v>Direct Costs</v>
          </cell>
          <cell r="O3615" t="str">
            <v>Apparel Magic</v>
          </cell>
        </row>
        <row r="3616">
          <cell r="D3616">
            <v>175</v>
          </cell>
          <cell r="H3616">
            <v>45505</v>
          </cell>
          <cell r="I3616" t="str">
            <v>6420 - Licenses &amp; Membership</v>
          </cell>
          <cell r="J3616">
            <v>0</v>
          </cell>
          <cell r="K3616" t="str">
            <v>Production</v>
          </cell>
          <cell r="L3616" t="str">
            <v>Professional Service</v>
          </cell>
          <cell r="N3616" t="str">
            <v>SG&amp;A</v>
          </cell>
          <cell r="O3616" t="str">
            <v>[No Vendor]</v>
          </cell>
        </row>
        <row r="3617">
          <cell r="D3617">
            <v>-29236.67</v>
          </cell>
          <cell r="H3617">
            <v>45505</v>
          </cell>
          <cell r="I3617" t="str">
            <v>6320 - Building Rent</v>
          </cell>
          <cell r="J3617">
            <v>0</v>
          </cell>
          <cell r="K3617" t="str">
            <v>Administration</v>
          </cell>
          <cell r="L3617" t="str">
            <v>Rent</v>
          </cell>
          <cell r="N3617" t="str">
            <v>SG&amp;A</v>
          </cell>
          <cell r="O3617" t="str">
            <v>[No Vendor]</v>
          </cell>
        </row>
        <row r="3618">
          <cell r="D3618">
            <v>15.83</v>
          </cell>
          <cell r="H3618">
            <v>45505</v>
          </cell>
          <cell r="I3618" t="str">
            <v>7030 - Plant Machinery &amp; Equipment</v>
          </cell>
          <cell r="J3618">
            <v>0</v>
          </cell>
          <cell r="K3618" t="str">
            <v>Production</v>
          </cell>
          <cell r="L3618" t="str">
            <v>Depreciation &amp; Amortization</v>
          </cell>
          <cell r="N3618" t="str">
            <v>SG&amp;A</v>
          </cell>
          <cell r="O3618" t="str">
            <v>[No Vendor]</v>
          </cell>
        </row>
        <row r="3619">
          <cell r="D3619">
            <v>14.15</v>
          </cell>
          <cell r="H3619">
            <v>45505</v>
          </cell>
          <cell r="I3619" t="str">
            <v>7030 - Plant Machinery &amp; Equipment</v>
          </cell>
          <cell r="J3619">
            <v>0</v>
          </cell>
          <cell r="K3619" t="str">
            <v>Administration</v>
          </cell>
          <cell r="L3619" t="str">
            <v>Depreciation &amp; Amortization</v>
          </cell>
          <cell r="N3619" t="str">
            <v>SG&amp;A</v>
          </cell>
          <cell r="O3619" t="str">
            <v>[No Vendor]</v>
          </cell>
        </row>
        <row r="3620">
          <cell r="D3620">
            <v>-22.58</v>
          </cell>
          <cell r="H3620">
            <v>45505</v>
          </cell>
          <cell r="I3620" t="str">
            <v>6040 - Employer Paid Benefits</v>
          </cell>
          <cell r="J3620">
            <v>0</v>
          </cell>
          <cell r="K3620" t="str">
            <v>Brand Marketing</v>
          </cell>
          <cell r="L3620" t="str">
            <v>HQ Salaries</v>
          </cell>
          <cell r="N3620" t="str">
            <v>SG&amp;A</v>
          </cell>
          <cell r="O3620" t="str">
            <v>[No Vendor]</v>
          </cell>
        </row>
        <row r="3621">
          <cell r="D3621">
            <v>-234.27</v>
          </cell>
          <cell r="H3621">
            <v>45505</v>
          </cell>
          <cell r="I3621" t="str">
            <v>6040 - Employer Paid Benefits</v>
          </cell>
          <cell r="J3621">
            <v>0</v>
          </cell>
          <cell r="K3621" t="str">
            <v>Executive</v>
          </cell>
          <cell r="L3621" t="str">
            <v>HQ Salaries</v>
          </cell>
          <cell r="N3621" t="str">
            <v>SG&amp;A</v>
          </cell>
          <cell r="O3621" t="str">
            <v>[No Vendor]</v>
          </cell>
        </row>
        <row r="3622">
          <cell r="D3622">
            <v>-121.85</v>
          </cell>
          <cell r="H3622">
            <v>45505</v>
          </cell>
          <cell r="I3622" t="str">
            <v>6040 - Employer Paid Benefits</v>
          </cell>
          <cell r="J3622" t="str">
            <v>Ecommerce (US)</v>
          </cell>
          <cell r="K3622" t="str">
            <v>Ecommerce</v>
          </cell>
          <cell r="L3622" t="str">
            <v>HQ Salaries</v>
          </cell>
          <cell r="N3622" t="str">
            <v>SG&amp;A</v>
          </cell>
          <cell r="O3622" t="str">
            <v>[No Vendor]</v>
          </cell>
        </row>
        <row r="3623">
          <cell r="D3623">
            <v>-363.42</v>
          </cell>
          <cell r="H3623">
            <v>45505</v>
          </cell>
          <cell r="I3623" t="str">
            <v>6040 - Employer Paid Benefits</v>
          </cell>
          <cell r="J3623">
            <v>0</v>
          </cell>
          <cell r="K3623" t="str">
            <v>Design</v>
          </cell>
          <cell r="L3623" t="str">
            <v>HQ Salaries</v>
          </cell>
          <cell r="N3623" t="str">
            <v>SG&amp;A</v>
          </cell>
          <cell r="O3623" t="str">
            <v>[No Vendor]</v>
          </cell>
        </row>
        <row r="3624">
          <cell r="D3624">
            <v>-200.39</v>
          </cell>
          <cell r="H3624">
            <v>45505</v>
          </cell>
          <cell r="I3624" t="str">
            <v>6040 - Employer Paid Benefits</v>
          </cell>
          <cell r="J3624">
            <v>0</v>
          </cell>
          <cell r="K3624" t="str">
            <v>Administration</v>
          </cell>
          <cell r="L3624" t="str">
            <v>HQ Salaries</v>
          </cell>
          <cell r="N3624" t="str">
            <v>SG&amp;A</v>
          </cell>
          <cell r="O3624" t="str">
            <v>[No Vendor]</v>
          </cell>
        </row>
        <row r="3625">
          <cell r="D3625">
            <v>-45.16</v>
          </cell>
          <cell r="H3625">
            <v>45505</v>
          </cell>
          <cell r="I3625" t="str">
            <v>6040 - Employer Paid Benefits</v>
          </cell>
          <cell r="J3625" t="str">
            <v>Wholesale</v>
          </cell>
          <cell r="K3625" t="str">
            <v>Wholesale</v>
          </cell>
          <cell r="L3625" t="str">
            <v>HQ Salaries</v>
          </cell>
          <cell r="N3625" t="str">
            <v>SG&amp;A</v>
          </cell>
          <cell r="O3625" t="str">
            <v>[No Vendor]</v>
          </cell>
        </row>
        <row r="3626">
          <cell r="D3626">
            <v>-281.35000000000002</v>
          </cell>
          <cell r="H3626">
            <v>45505</v>
          </cell>
          <cell r="I3626" t="str">
            <v>6040 - Employer Paid Benefits</v>
          </cell>
          <cell r="J3626">
            <v>0</v>
          </cell>
          <cell r="K3626" t="str">
            <v>Production</v>
          </cell>
          <cell r="L3626" t="str">
            <v>HQ Salaries</v>
          </cell>
          <cell r="N3626" t="str">
            <v>SG&amp;A</v>
          </cell>
          <cell r="O3626" t="str">
            <v>[No Vendor]</v>
          </cell>
        </row>
        <row r="3627">
          <cell r="D3627">
            <v>3269.24</v>
          </cell>
          <cell r="H3627">
            <v>45505</v>
          </cell>
          <cell r="I3627" t="str">
            <v>6005 - Salaries</v>
          </cell>
          <cell r="J3627">
            <v>0</v>
          </cell>
          <cell r="K3627" t="str">
            <v>Brand Marketing</v>
          </cell>
          <cell r="L3627" t="str">
            <v>HQ Salaries</v>
          </cell>
          <cell r="N3627" t="str">
            <v>SG&amp;A</v>
          </cell>
          <cell r="O3627" t="str">
            <v>[No Vendor]</v>
          </cell>
        </row>
        <row r="3628">
          <cell r="D3628">
            <v>11153.85</v>
          </cell>
          <cell r="H3628">
            <v>45505</v>
          </cell>
          <cell r="I3628" t="str">
            <v>6005 - Salaries</v>
          </cell>
          <cell r="J3628">
            <v>0</v>
          </cell>
          <cell r="K3628" t="str">
            <v>Executive</v>
          </cell>
          <cell r="L3628" t="str">
            <v>HQ Salaries</v>
          </cell>
          <cell r="N3628" t="str">
            <v>SG&amp;A</v>
          </cell>
          <cell r="O3628" t="str">
            <v>[No Vendor]</v>
          </cell>
        </row>
        <row r="3629">
          <cell r="D3629">
            <v>20780.8</v>
          </cell>
          <cell r="H3629">
            <v>45505</v>
          </cell>
          <cell r="I3629" t="str">
            <v>6005 - Salaries</v>
          </cell>
          <cell r="J3629" t="str">
            <v>Ecommerce (US)</v>
          </cell>
          <cell r="K3629" t="str">
            <v>Ecommerce</v>
          </cell>
          <cell r="L3629" t="str">
            <v>HQ Salaries</v>
          </cell>
          <cell r="N3629" t="str">
            <v>SG&amp;A</v>
          </cell>
          <cell r="O3629" t="str">
            <v>[No Vendor]</v>
          </cell>
        </row>
        <row r="3630">
          <cell r="D3630">
            <v>20857.7</v>
          </cell>
          <cell r="H3630">
            <v>45505</v>
          </cell>
          <cell r="I3630" t="str">
            <v>6005 - Salaries</v>
          </cell>
          <cell r="J3630">
            <v>0</v>
          </cell>
          <cell r="K3630" t="str">
            <v>Design</v>
          </cell>
          <cell r="L3630" t="str">
            <v>HQ Salaries</v>
          </cell>
          <cell r="N3630" t="str">
            <v>SG&amp;A</v>
          </cell>
          <cell r="O3630" t="str">
            <v>[No Vendor]</v>
          </cell>
        </row>
        <row r="3631">
          <cell r="D3631">
            <v>26115.41</v>
          </cell>
          <cell r="H3631">
            <v>45505</v>
          </cell>
          <cell r="I3631" t="str">
            <v>6005 - Salaries</v>
          </cell>
          <cell r="J3631">
            <v>0</v>
          </cell>
          <cell r="K3631" t="str">
            <v>Administration</v>
          </cell>
          <cell r="L3631" t="str">
            <v>HQ Salaries</v>
          </cell>
          <cell r="N3631" t="str">
            <v>SG&amp;A</v>
          </cell>
          <cell r="O3631" t="str">
            <v>[No Vendor]</v>
          </cell>
        </row>
        <row r="3632">
          <cell r="D3632">
            <v>5150</v>
          </cell>
          <cell r="H3632">
            <v>45505</v>
          </cell>
          <cell r="I3632" t="str">
            <v>6005 - Salaries</v>
          </cell>
          <cell r="J3632">
            <v>0</v>
          </cell>
          <cell r="K3632" t="str">
            <v>Merchandising</v>
          </cell>
          <cell r="L3632" t="str">
            <v>HQ Salaries</v>
          </cell>
          <cell r="N3632" t="str">
            <v>SG&amp;A</v>
          </cell>
          <cell r="O3632" t="str">
            <v>[No Vendor]</v>
          </cell>
        </row>
        <row r="3633">
          <cell r="D3633">
            <v>9911.5499999999993</v>
          </cell>
          <cell r="H3633">
            <v>45505</v>
          </cell>
          <cell r="I3633" t="str">
            <v>6005 - Salaries</v>
          </cell>
          <cell r="J3633" t="str">
            <v>Wholesale</v>
          </cell>
          <cell r="K3633" t="str">
            <v>Wholesale</v>
          </cell>
          <cell r="L3633" t="str">
            <v>HQ Salaries</v>
          </cell>
          <cell r="N3633" t="str">
            <v>SG&amp;A</v>
          </cell>
          <cell r="O3633" t="str">
            <v>[No Vendor]</v>
          </cell>
        </row>
        <row r="3634">
          <cell r="D3634">
            <v>19988.490000000002</v>
          </cell>
          <cell r="H3634">
            <v>45505</v>
          </cell>
          <cell r="I3634" t="str">
            <v>6005 - Salaries</v>
          </cell>
          <cell r="J3634">
            <v>0</v>
          </cell>
          <cell r="K3634" t="str">
            <v>Production</v>
          </cell>
          <cell r="L3634" t="str">
            <v>HQ Salaries</v>
          </cell>
          <cell r="N3634" t="str">
            <v>SG&amp;A</v>
          </cell>
          <cell r="O3634" t="str">
            <v>[No Vendor]</v>
          </cell>
        </row>
        <row r="3635">
          <cell r="D3635">
            <v>0</v>
          </cell>
          <cell r="H3635">
            <v>45505</v>
          </cell>
          <cell r="I3635" t="str">
            <v>4020 - Revenue - Marketing Contribution</v>
          </cell>
          <cell r="J3635">
            <v>0</v>
          </cell>
          <cell r="K3635" t="str">
            <v>Licensing</v>
          </cell>
          <cell r="L3635" t="str">
            <v>License</v>
          </cell>
          <cell r="N3635" t="str">
            <v>Revenue</v>
          </cell>
          <cell r="O3635" t="str">
            <v>[No Vendor]</v>
          </cell>
        </row>
        <row r="3636">
          <cell r="D3636">
            <v>0</v>
          </cell>
          <cell r="H3636">
            <v>45505</v>
          </cell>
          <cell r="I3636" t="str">
            <v>4010 - Revenue - Licensing Fees (Royalties)</v>
          </cell>
          <cell r="J3636">
            <v>0</v>
          </cell>
          <cell r="K3636" t="str">
            <v>Licensing</v>
          </cell>
          <cell r="L3636" t="str">
            <v>License</v>
          </cell>
          <cell r="N3636" t="str">
            <v>Revenue</v>
          </cell>
          <cell r="O3636" t="str">
            <v>[No Vendor]</v>
          </cell>
        </row>
        <row r="3637">
          <cell r="D3637">
            <v>0</v>
          </cell>
          <cell r="H3637">
            <v>45505</v>
          </cell>
          <cell r="I3637" t="str">
            <v>4010 - Revenue - Licensing Fees (Royalties)</v>
          </cell>
          <cell r="J3637">
            <v>0</v>
          </cell>
          <cell r="K3637" t="str">
            <v>Licensing</v>
          </cell>
          <cell r="L3637" t="str">
            <v>License</v>
          </cell>
          <cell r="N3637" t="str">
            <v>Revenue</v>
          </cell>
          <cell r="O3637" t="str">
            <v>[No Vendor]</v>
          </cell>
        </row>
        <row r="3638">
          <cell r="D3638">
            <v>0</v>
          </cell>
          <cell r="H3638">
            <v>45505</v>
          </cell>
          <cell r="I3638" t="str">
            <v>4010 - Revenue - Licensing Fees (Royalties)</v>
          </cell>
          <cell r="J3638">
            <v>0</v>
          </cell>
          <cell r="K3638" t="str">
            <v>Licensing</v>
          </cell>
          <cell r="L3638" t="str">
            <v>License</v>
          </cell>
          <cell r="N3638" t="str">
            <v>Revenue</v>
          </cell>
          <cell r="O3638" t="str">
            <v>[No Vendor]</v>
          </cell>
        </row>
        <row r="3639">
          <cell r="D3639">
            <v>-4166.67</v>
          </cell>
          <cell r="H3639">
            <v>45505</v>
          </cell>
          <cell r="I3639" t="str">
            <v>4010 - Revenue - Licensing Fees (Royalties)</v>
          </cell>
          <cell r="J3639">
            <v>0</v>
          </cell>
          <cell r="K3639" t="str">
            <v>Licensing</v>
          </cell>
          <cell r="L3639" t="str">
            <v>License</v>
          </cell>
          <cell r="N3639" t="str">
            <v>Revenue</v>
          </cell>
          <cell r="O3639" t="str">
            <v>[No Vendor]</v>
          </cell>
        </row>
        <row r="3640">
          <cell r="D3640">
            <v>-40339.879999999997</v>
          </cell>
          <cell r="H3640">
            <v>45505</v>
          </cell>
          <cell r="I3640" t="str">
            <v>4010 - Revenue - Licensing Fees (Royalties)</v>
          </cell>
          <cell r="J3640">
            <v>0</v>
          </cell>
          <cell r="K3640" t="str">
            <v>Licensing</v>
          </cell>
          <cell r="L3640" t="str">
            <v>License</v>
          </cell>
          <cell r="N3640" t="str">
            <v>Revenue</v>
          </cell>
          <cell r="O3640" t="str">
            <v>[No Vendor]</v>
          </cell>
        </row>
        <row r="3641">
          <cell r="D3641">
            <v>0</v>
          </cell>
          <cell r="H3641">
            <v>45505</v>
          </cell>
          <cell r="I3641" t="str">
            <v>4010 - Revenue - Licensing Fees (Royalties)</v>
          </cell>
          <cell r="J3641">
            <v>0</v>
          </cell>
          <cell r="K3641" t="str">
            <v>Licensing</v>
          </cell>
          <cell r="L3641" t="str">
            <v>License</v>
          </cell>
          <cell r="N3641" t="str">
            <v>Revenue</v>
          </cell>
          <cell r="O3641" t="str">
            <v>[No Vendor]</v>
          </cell>
        </row>
        <row r="3642">
          <cell r="D3642">
            <v>-15060.22</v>
          </cell>
          <cell r="H3642">
            <v>45505</v>
          </cell>
          <cell r="I3642" t="str">
            <v>4010 - Revenue - Licensing Fees (Royalties)</v>
          </cell>
          <cell r="J3642">
            <v>0</v>
          </cell>
          <cell r="K3642" t="str">
            <v>Licensing</v>
          </cell>
          <cell r="L3642" t="str">
            <v>License</v>
          </cell>
          <cell r="N3642" t="str">
            <v>Revenue</v>
          </cell>
          <cell r="O3642" t="str">
            <v>[No Vendor]</v>
          </cell>
        </row>
        <row r="3643">
          <cell r="D3643">
            <v>150.44999999999999</v>
          </cell>
          <cell r="H3643">
            <v>45536</v>
          </cell>
          <cell r="I3643" t="str">
            <v>6040 - Employer Paid Benefits</v>
          </cell>
          <cell r="J3643">
            <v>0</v>
          </cell>
          <cell r="K3643" t="str">
            <v>Administration</v>
          </cell>
          <cell r="L3643" t="str">
            <v>HQ Salaries</v>
          </cell>
          <cell r="N3643" t="str">
            <v>SG&amp;A</v>
          </cell>
          <cell r="O3643" t="str">
            <v>Allied Administrators</v>
          </cell>
        </row>
        <row r="3644">
          <cell r="D3644">
            <v>29937.83</v>
          </cell>
          <cell r="H3644">
            <v>45536</v>
          </cell>
          <cell r="I3644" t="str">
            <v>6393 - Software</v>
          </cell>
          <cell r="J3644" t="str">
            <v>Ecommerce (US)</v>
          </cell>
          <cell r="K3644" t="str">
            <v>Brand Marketing</v>
          </cell>
          <cell r="L3644" t="str">
            <v>Professional Service</v>
          </cell>
          <cell r="N3644" t="str">
            <v>Direct Costs</v>
          </cell>
          <cell r="O3644" t="str">
            <v>Attentive Mobile Inc.</v>
          </cell>
        </row>
        <row r="3645">
          <cell r="D3645">
            <v>920</v>
          </cell>
          <cell r="H3645">
            <v>45536</v>
          </cell>
          <cell r="I3645" t="str">
            <v>6380 - Legal &amp; Accounting</v>
          </cell>
          <cell r="J3645">
            <v>0</v>
          </cell>
          <cell r="K3645" t="str">
            <v>Administration</v>
          </cell>
          <cell r="L3645" t="str">
            <v>Professional Service</v>
          </cell>
          <cell r="N3645" t="str">
            <v>SG&amp;A</v>
          </cell>
          <cell r="O3645" t="str">
            <v>Greenwald Doherty LLP</v>
          </cell>
        </row>
        <row r="3646">
          <cell r="D3646">
            <v>413.5</v>
          </cell>
          <cell r="H3646">
            <v>45536</v>
          </cell>
          <cell r="I3646" t="str">
            <v>6380 - Legal &amp; Accounting</v>
          </cell>
          <cell r="J3646">
            <v>0</v>
          </cell>
          <cell r="K3646" t="str">
            <v>Administration</v>
          </cell>
          <cell r="L3646" t="str">
            <v>Professional Service</v>
          </cell>
          <cell r="N3646" t="str">
            <v>SG&amp;A</v>
          </cell>
          <cell r="O3646" t="str">
            <v>Greenwald Doherty LLP</v>
          </cell>
        </row>
        <row r="3647">
          <cell r="D3647">
            <v>3000</v>
          </cell>
          <cell r="H3647">
            <v>45536</v>
          </cell>
          <cell r="I3647" t="str">
            <v>6215 - Recruitment</v>
          </cell>
          <cell r="J3647">
            <v>0</v>
          </cell>
          <cell r="K3647" t="str">
            <v>Administration</v>
          </cell>
          <cell r="L3647" t="str">
            <v>Professional Service</v>
          </cell>
          <cell r="N3647" t="str">
            <v>SG&amp;A</v>
          </cell>
          <cell r="O3647" t="str">
            <v>Janou Pakter</v>
          </cell>
        </row>
        <row r="3648">
          <cell r="D3648">
            <v>1047.2</v>
          </cell>
          <cell r="H3648">
            <v>45536</v>
          </cell>
          <cell r="I3648" t="str">
            <v>6520 - Taxes and Licenses</v>
          </cell>
          <cell r="J3648" t="str">
            <v>Ecommerce (US)</v>
          </cell>
          <cell r="K3648" t="str">
            <v>Ecommerce</v>
          </cell>
          <cell r="L3648" t="str">
            <v>Other</v>
          </cell>
          <cell r="N3648" t="str">
            <v>SG&amp;A</v>
          </cell>
          <cell r="O3648" t="str">
            <v>Avalara, Inc</v>
          </cell>
        </row>
        <row r="3649">
          <cell r="D3649">
            <v>924</v>
          </cell>
          <cell r="H3649">
            <v>45536</v>
          </cell>
          <cell r="I3649" t="str">
            <v>6520 - Taxes and Licenses</v>
          </cell>
          <cell r="J3649" t="str">
            <v>Ecommerce (US)</v>
          </cell>
          <cell r="K3649" t="str">
            <v>Ecommerce</v>
          </cell>
          <cell r="L3649" t="str">
            <v>Other</v>
          </cell>
          <cell r="N3649" t="str">
            <v>SG&amp;A</v>
          </cell>
          <cell r="O3649" t="str">
            <v>Avalara, Inc</v>
          </cell>
        </row>
        <row r="3650">
          <cell r="D3650">
            <v>717.74</v>
          </cell>
          <cell r="H3650">
            <v>45536</v>
          </cell>
          <cell r="I3650" t="str">
            <v>6400 - Utilities</v>
          </cell>
          <cell r="J3650">
            <v>0</v>
          </cell>
          <cell r="K3650" t="str">
            <v>Administration</v>
          </cell>
          <cell r="L3650" t="str">
            <v>Other</v>
          </cell>
          <cell r="N3650" t="str">
            <v>SG&amp;A</v>
          </cell>
          <cell r="O3650" t="str">
            <v>Antelope LLC</v>
          </cell>
        </row>
        <row r="3651">
          <cell r="D3651">
            <v>7500</v>
          </cell>
          <cell r="H3651">
            <v>45536</v>
          </cell>
          <cell r="I3651" t="str">
            <v>6225 - Professional Services</v>
          </cell>
          <cell r="J3651">
            <v>0</v>
          </cell>
          <cell r="K3651" t="str">
            <v>Brand Marketing</v>
          </cell>
          <cell r="L3651" t="str">
            <v>Professional Service</v>
          </cell>
          <cell r="N3651" t="str">
            <v>Direct Costs</v>
          </cell>
          <cell r="O3651" t="str">
            <v>PapePR</v>
          </cell>
        </row>
        <row r="3652">
          <cell r="D3652">
            <v>3920.5</v>
          </cell>
          <cell r="H3652">
            <v>45536</v>
          </cell>
          <cell r="I3652" t="str">
            <v>6225 - Professional Services</v>
          </cell>
          <cell r="J3652">
            <v>0</v>
          </cell>
          <cell r="K3652" t="str">
            <v>Administration</v>
          </cell>
          <cell r="L3652" t="str">
            <v>Professional Service</v>
          </cell>
          <cell r="N3652" t="str">
            <v>Direct Costs</v>
          </cell>
          <cell r="O3652" t="str">
            <v>Enom Solutions, Inc-DBA 3nom</v>
          </cell>
        </row>
        <row r="3653">
          <cell r="D3653">
            <v>13286.61</v>
          </cell>
          <cell r="H3653">
            <v>45536</v>
          </cell>
          <cell r="I3653" t="str">
            <v>6225 - Professional Services</v>
          </cell>
          <cell r="J3653" t="str">
            <v>Ecommerce (US)</v>
          </cell>
          <cell r="K3653" t="str">
            <v>Ecommerce</v>
          </cell>
          <cell r="L3653" t="str">
            <v>Professional Service</v>
          </cell>
          <cell r="N3653" t="str">
            <v>Direct Costs</v>
          </cell>
          <cell r="O3653" t="str">
            <v>Rareview, LLC</v>
          </cell>
        </row>
        <row r="3654">
          <cell r="D3654">
            <v>29236.67</v>
          </cell>
          <cell r="H3654">
            <v>45536</v>
          </cell>
          <cell r="I3654" t="str">
            <v>6320 - Building Rent</v>
          </cell>
          <cell r="J3654">
            <v>0</v>
          </cell>
          <cell r="K3654" t="str">
            <v>Administration</v>
          </cell>
          <cell r="L3654" t="str">
            <v>Rent</v>
          </cell>
          <cell r="N3654" t="str">
            <v>SG&amp;A</v>
          </cell>
          <cell r="O3654" t="str">
            <v>Antelope LLC</v>
          </cell>
        </row>
        <row r="3655">
          <cell r="D3655">
            <v>3145.25</v>
          </cell>
          <cell r="H3655">
            <v>45536</v>
          </cell>
          <cell r="I3655" t="str">
            <v>6040 - Employer Paid Benefits</v>
          </cell>
          <cell r="J3655" t="str">
            <v>Ecommerce (US)</v>
          </cell>
          <cell r="K3655" t="str">
            <v>Ecommerce</v>
          </cell>
          <cell r="L3655" t="str">
            <v>HQ Salaries</v>
          </cell>
          <cell r="N3655" t="str">
            <v>SG&amp;A</v>
          </cell>
          <cell r="O3655" t="str">
            <v>Excellus Health Plan - Group</v>
          </cell>
        </row>
        <row r="3656">
          <cell r="D3656">
            <v>3267.79</v>
          </cell>
          <cell r="H3656">
            <v>45536</v>
          </cell>
          <cell r="I3656" t="str">
            <v>6040 - Employer Paid Benefits</v>
          </cell>
          <cell r="J3656">
            <v>0</v>
          </cell>
          <cell r="K3656" t="str">
            <v>Design</v>
          </cell>
          <cell r="L3656" t="str">
            <v>HQ Salaries</v>
          </cell>
          <cell r="N3656" t="str">
            <v>SG&amp;A</v>
          </cell>
          <cell r="O3656" t="str">
            <v>Excellus Health Plan - Group</v>
          </cell>
        </row>
        <row r="3657">
          <cell r="D3657">
            <v>5351.01</v>
          </cell>
          <cell r="H3657">
            <v>45536</v>
          </cell>
          <cell r="I3657" t="str">
            <v>6040 - Employer Paid Benefits</v>
          </cell>
          <cell r="J3657">
            <v>0</v>
          </cell>
          <cell r="K3657" t="str">
            <v>Administration</v>
          </cell>
          <cell r="L3657" t="str">
            <v>HQ Salaries</v>
          </cell>
          <cell r="N3657" t="str">
            <v>SG&amp;A</v>
          </cell>
          <cell r="O3657" t="str">
            <v>Excellus Health Plan - Group</v>
          </cell>
        </row>
        <row r="3658">
          <cell r="D3658">
            <v>1633.9</v>
          </cell>
          <cell r="H3658">
            <v>45536</v>
          </cell>
          <cell r="I3658" t="str">
            <v>6040 - Employer Paid Benefits</v>
          </cell>
          <cell r="J3658" t="str">
            <v>Wholesale</v>
          </cell>
          <cell r="K3658" t="str">
            <v>Wholesale</v>
          </cell>
          <cell r="L3658" t="str">
            <v>HQ Salaries</v>
          </cell>
          <cell r="N3658" t="str">
            <v>SG&amp;A</v>
          </cell>
          <cell r="O3658" t="str">
            <v>Excellus Health Plan - Group</v>
          </cell>
        </row>
        <row r="3659">
          <cell r="D3659">
            <v>3839.66</v>
          </cell>
          <cell r="H3659">
            <v>45536</v>
          </cell>
          <cell r="I3659" t="str">
            <v>6040 - Employer Paid Benefits</v>
          </cell>
          <cell r="J3659">
            <v>0</v>
          </cell>
          <cell r="K3659" t="str">
            <v>Production</v>
          </cell>
          <cell r="L3659" t="str">
            <v>HQ Salaries</v>
          </cell>
          <cell r="N3659" t="str">
            <v>SG&amp;A</v>
          </cell>
          <cell r="O3659" t="str">
            <v>Excellus Health Plan - Group</v>
          </cell>
        </row>
        <row r="3660">
          <cell r="D3660">
            <v>816.95</v>
          </cell>
          <cell r="H3660">
            <v>45536</v>
          </cell>
          <cell r="I3660" t="str">
            <v>6040 - Employer Paid Benefits</v>
          </cell>
          <cell r="J3660">
            <v>0</v>
          </cell>
          <cell r="K3660" t="str">
            <v>Merchandising</v>
          </cell>
          <cell r="L3660" t="str">
            <v>HQ Salaries</v>
          </cell>
          <cell r="N3660" t="str">
            <v>SG&amp;A</v>
          </cell>
          <cell r="O3660" t="str">
            <v>Excellus Health Plan - Group</v>
          </cell>
        </row>
        <row r="3661">
          <cell r="D3661">
            <v>816.95</v>
          </cell>
          <cell r="H3661">
            <v>45536</v>
          </cell>
          <cell r="I3661" t="str">
            <v>6040 - Employer Paid Benefits</v>
          </cell>
          <cell r="J3661">
            <v>0</v>
          </cell>
          <cell r="K3661" t="str">
            <v>Brand Marketing</v>
          </cell>
          <cell r="L3661" t="str">
            <v>HQ Salaries</v>
          </cell>
          <cell r="N3661" t="str">
            <v>SG&amp;A</v>
          </cell>
          <cell r="O3661" t="str">
            <v>Excellus Health Plan - Group</v>
          </cell>
        </row>
        <row r="3662">
          <cell r="D3662">
            <v>4656.6000000000004</v>
          </cell>
          <cell r="H3662">
            <v>45536</v>
          </cell>
          <cell r="I3662" t="str">
            <v>6040 - Employer Paid Benefits</v>
          </cell>
          <cell r="J3662">
            <v>0</v>
          </cell>
          <cell r="K3662" t="str">
            <v>Executive</v>
          </cell>
          <cell r="L3662" t="str">
            <v>HQ Salaries</v>
          </cell>
          <cell r="N3662" t="str">
            <v>SG&amp;A</v>
          </cell>
          <cell r="O3662" t="str">
            <v>Excellus Health Plan - Group</v>
          </cell>
        </row>
        <row r="3663">
          <cell r="D3663">
            <v>110.41</v>
          </cell>
          <cell r="H3663">
            <v>45536</v>
          </cell>
          <cell r="I3663" t="str">
            <v>6040 - Employer Paid Benefits</v>
          </cell>
          <cell r="J3663" t="str">
            <v>Wholesale</v>
          </cell>
          <cell r="K3663" t="str">
            <v>Wholesale</v>
          </cell>
          <cell r="L3663" t="str">
            <v>HQ Salaries</v>
          </cell>
          <cell r="N3663" t="str">
            <v>SG&amp;A</v>
          </cell>
          <cell r="O3663" t="str">
            <v>United of Omaha Life Insurance Company</v>
          </cell>
        </row>
        <row r="3664">
          <cell r="D3664">
            <v>309.77</v>
          </cell>
          <cell r="H3664">
            <v>45536</v>
          </cell>
          <cell r="I3664" t="str">
            <v>6040 - Employer Paid Benefits</v>
          </cell>
          <cell r="J3664">
            <v>0</v>
          </cell>
          <cell r="K3664" t="str">
            <v>Production</v>
          </cell>
          <cell r="L3664" t="str">
            <v>HQ Salaries</v>
          </cell>
          <cell r="N3664" t="str">
            <v>SG&amp;A</v>
          </cell>
          <cell r="O3664" t="str">
            <v>United of Omaha Life Insurance Company</v>
          </cell>
        </row>
        <row r="3665">
          <cell r="D3665">
            <v>86.43</v>
          </cell>
          <cell r="H3665">
            <v>45536</v>
          </cell>
          <cell r="I3665" t="str">
            <v>6040 - Employer Paid Benefits</v>
          </cell>
          <cell r="J3665">
            <v>0</v>
          </cell>
          <cell r="K3665" t="str">
            <v>Merchandising</v>
          </cell>
          <cell r="L3665" t="str">
            <v>HQ Salaries</v>
          </cell>
          <cell r="N3665" t="str">
            <v>SG&amp;A</v>
          </cell>
          <cell r="O3665" t="str">
            <v>United of Omaha Life Insurance Company</v>
          </cell>
        </row>
        <row r="3666">
          <cell r="D3666">
            <v>47.05</v>
          </cell>
          <cell r="H3666">
            <v>45536</v>
          </cell>
          <cell r="I3666" t="str">
            <v>6040 - Employer Paid Benefits</v>
          </cell>
          <cell r="J3666">
            <v>0</v>
          </cell>
          <cell r="K3666" t="str">
            <v>Brand Marketing</v>
          </cell>
          <cell r="L3666" t="str">
            <v>HQ Salaries</v>
          </cell>
          <cell r="N3666" t="str">
            <v>SG&amp;A</v>
          </cell>
          <cell r="O3666" t="str">
            <v>United of Omaha Life Insurance Company</v>
          </cell>
        </row>
        <row r="3667">
          <cell r="D3667">
            <v>243.56</v>
          </cell>
          <cell r="H3667">
            <v>45536</v>
          </cell>
          <cell r="I3667" t="str">
            <v>6040 - Employer Paid Benefits</v>
          </cell>
          <cell r="J3667">
            <v>0</v>
          </cell>
          <cell r="K3667" t="str">
            <v>Executive</v>
          </cell>
          <cell r="L3667" t="str">
            <v>HQ Salaries</v>
          </cell>
          <cell r="N3667" t="str">
            <v>SG&amp;A</v>
          </cell>
          <cell r="O3667" t="str">
            <v>United of Omaha Life Insurance Company</v>
          </cell>
        </row>
        <row r="3668">
          <cell r="D3668">
            <v>173.02</v>
          </cell>
          <cell r="H3668">
            <v>45536</v>
          </cell>
          <cell r="I3668" t="str">
            <v>6040 - Employer Paid Benefits</v>
          </cell>
          <cell r="J3668" t="str">
            <v>Ecommerce (US)</v>
          </cell>
          <cell r="K3668" t="str">
            <v>Ecommerce</v>
          </cell>
          <cell r="L3668" t="str">
            <v>HQ Salaries</v>
          </cell>
          <cell r="N3668" t="str">
            <v>SG&amp;A</v>
          </cell>
          <cell r="O3668" t="str">
            <v>United of Omaha Life Insurance Company</v>
          </cell>
        </row>
        <row r="3669">
          <cell r="D3669">
            <v>223.89</v>
          </cell>
          <cell r="H3669">
            <v>45536</v>
          </cell>
          <cell r="I3669" t="str">
            <v>6040 - Employer Paid Benefits</v>
          </cell>
          <cell r="J3669">
            <v>0</v>
          </cell>
          <cell r="K3669" t="str">
            <v>Design</v>
          </cell>
          <cell r="L3669" t="str">
            <v>HQ Salaries</v>
          </cell>
          <cell r="N3669" t="str">
            <v>SG&amp;A</v>
          </cell>
          <cell r="O3669" t="str">
            <v>United of Omaha Life Insurance Company</v>
          </cell>
        </row>
        <row r="3670">
          <cell r="D3670">
            <v>472.95</v>
          </cell>
          <cell r="H3670">
            <v>45536</v>
          </cell>
          <cell r="I3670" t="str">
            <v>6040 - Employer Paid Benefits</v>
          </cell>
          <cell r="J3670">
            <v>0</v>
          </cell>
          <cell r="K3670" t="str">
            <v>Administration</v>
          </cell>
          <cell r="L3670" t="str">
            <v>HQ Salaries</v>
          </cell>
          <cell r="N3670" t="str">
            <v>SG&amp;A</v>
          </cell>
          <cell r="O3670" t="str">
            <v>United of Omaha Life Insurance Company</v>
          </cell>
        </row>
        <row r="3671">
          <cell r="D3671">
            <v>24.54</v>
          </cell>
          <cell r="H3671">
            <v>45536</v>
          </cell>
          <cell r="I3671" t="str">
            <v>6040 - Employer Paid Benefits</v>
          </cell>
          <cell r="J3671" t="str">
            <v>Wholesale</v>
          </cell>
          <cell r="K3671" t="str">
            <v>Wholesale</v>
          </cell>
          <cell r="L3671" t="str">
            <v>HQ Salaries</v>
          </cell>
          <cell r="N3671" t="str">
            <v>SG&amp;A</v>
          </cell>
          <cell r="O3671" t="str">
            <v>Allied Administrators</v>
          </cell>
        </row>
        <row r="3672">
          <cell r="D3672">
            <v>125.91</v>
          </cell>
          <cell r="H3672">
            <v>45536</v>
          </cell>
          <cell r="I3672" t="str">
            <v>6040 - Employer Paid Benefits</v>
          </cell>
          <cell r="J3672">
            <v>0</v>
          </cell>
          <cell r="K3672" t="str">
            <v>Production</v>
          </cell>
          <cell r="L3672" t="str">
            <v>HQ Salaries</v>
          </cell>
          <cell r="N3672" t="str">
            <v>SG&amp;A</v>
          </cell>
          <cell r="O3672" t="str">
            <v>Allied Administrators</v>
          </cell>
        </row>
        <row r="3673">
          <cell r="D3673">
            <v>24.54</v>
          </cell>
          <cell r="H3673">
            <v>45536</v>
          </cell>
          <cell r="I3673" t="str">
            <v>6040 - Employer Paid Benefits</v>
          </cell>
          <cell r="J3673">
            <v>0</v>
          </cell>
          <cell r="K3673" t="str">
            <v>Merchandising</v>
          </cell>
          <cell r="L3673" t="str">
            <v>HQ Salaries</v>
          </cell>
          <cell r="N3673" t="str">
            <v>SG&amp;A</v>
          </cell>
          <cell r="O3673" t="str">
            <v>Allied Administrators</v>
          </cell>
        </row>
        <row r="3674">
          <cell r="D3674">
            <v>76.83</v>
          </cell>
          <cell r="H3674">
            <v>45536</v>
          </cell>
          <cell r="I3674" t="str">
            <v>6040 - Employer Paid Benefits</v>
          </cell>
          <cell r="J3674" t="str">
            <v>Ecommerce (US)</v>
          </cell>
          <cell r="K3674" t="str">
            <v>Ecommerce</v>
          </cell>
          <cell r="L3674" t="str">
            <v>HQ Salaries</v>
          </cell>
          <cell r="N3674" t="str">
            <v>SG&amp;A</v>
          </cell>
          <cell r="O3674" t="str">
            <v>Allied Administrators</v>
          </cell>
        </row>
        <row r="3675">
          <cell r="D3675">
            <v>218.7</v>
          </cell>
          <cell r="H3675">
            <v>45536</v>
          </cell>
          <cell r="I3675" t="str">
            <v>6040 - Employer Paid Benefits</v>
          </cell>
          <cell r="J3675">
            <v>0</v>
          </cell>
          <cell r="K3675" t="str">
            <v>Executive</v>
          </cell>
          <cell r="L3675" t="str">
            <v>HQ Salaries</v>
          </cell>
          <cell r="N3675" t="str">
            <v>SG&amp;A</v>
          </cell>
          <cell r="O3675" t="str">
            <v>Allied Administrators</v>
          </cell>
        </row>
        <row r="3676">
          <cell r="D3676">
            <v>101.37</v>
          </cell>
          <cell r="H3676">
            <v>45536</v>
          </cell>
          <cell r="I3676" t="str">
            <v>6040 - Employer Paid Benefits</v>
          </cell>
          <cell r="J3676">
            <v>0</v>
          </cell>
          <cell r="K3676" t="str">
            <v>Design</v>
          </cell>
          <cell r="L3676" t="str">
            <v>HQ Salaries</v>
          </cell>
          <cell r="N3676" t="str">
            <v>SG&amp;A</v>
          </cell>
          <cell r="O3676" t="str">
            <v>Allied Administrators</v>
          </cell>
        </row>
        <row r="3677">
          <cell r="D3677">
            <v>-26115.41</v>
          </cell>
          <cell r="H3677">
            <v>45536</v>
          </cell>
          <cell r="I3677" t="str">
            <v>6005 - Salaries</v>
          </cell>
          <cell r="J3677">
            <v>0</v>
          </cell>
          <cell r="K3677" t="str">
            <v>Administration</v>
          </cell>
          <cell r="L3677" t="str">
            <v>HQ Salaries</v>
          </cell>
          <cell r="N3677" t="str">
            <v>SG&amp;A</v>
          </cell>
          <cell r="O3677" t="str">
            <v>[No Vendor]</v>
          </cell>
        </row>
        <row r="3678">
          <cell r="D3678">
            <v>-29937.83</v>
          </cell>
          <cell r="H3678">
            <v>45536</v>
          </cell>
          <cell r="I3678" t="str">
            <v>6393 - Software</v>
          </cell>
          <cell r="J3678" t="str">
            <v>Ecommerce (US)</v>
          </cell>
          <cell r="K3678" t="str">
            <v>Brand Marketing</v>
          </cell>
          <cell r="L3678" t="str">
            <v>Professional Service</v>
          </cell>
          <cell r="N3678" t="str">
            <v>Direct Costs</v>
          </cell>
          <cell r="O3678" t="str">
            <v>Attentive Mobile Inc.</v>
          </cell>
        </row>
        <row r="3679">
          <cell r="D3679">
            <v>0</v>
          </cell>
          <cell r="H3679">
            <v>45536</v>
          </cell>
          <cell r="I3679" t="str">
            <v>6205 - Contractors</v>
          </cell>
          <cell r="J3679">
            <v>0</v>
          </cell>
          <cell r="K3679" t="str">
            <v>Brand Marketing</v>
          </cell>
          <cell r="L3679" t="str">
            <v>HQ Salaries</v>
          </cell>
          <cell r="N3679" t="str">
            <v>SG&amp;A</v>
          </cell>
          <cell r="O3679" t="str">
            <v>[No Vendor]</v>
          </cell>
        </row>
        <row r="3680">
          <cell r="D3680">
            <v>-5355</v>
          </cell>
          <cell r="H3680">
            <v>45536</v>
          </cell>
          <cell r="I3680" t="str">
            <v>6205 - Contractors</v>
          </cell>
          <cell r="J3680" t="str">
            <v>Ecommerce (US)</v>
          </cell>
          <cell r="K3680" t="str">
            <v>Ecommerce</v>
          </cell>
          <cell r="L3680" t="str">
            <v>HQ Salaries</v>
          </cell>
          <cell r="N3680" t="str">
            <v>SG&amp;A</v>
          </cell>
          <cell r="O3680" t="str">
            <v>[No Vendor]</v>
          </cell>
        </row>
        <row r="3681">
          <cell r="D3681">
            <v>20.41</v>
          </cell>
          <cell r="H3681">
            <v>45536</v>
          </cell>
          <cell r="I3681" t="str">
            <v>6385 - Insurance</v>
          </cell>
          <cell r="J3681">
            <v>0</v>
          </cell>
          <cell r="K3681" t="str">
            <v>Administration</v>
          </cell>
          <cell r="L3681" t="str">
            <v>Professional Service</v>
          </cell>
          <cell r="N3681" t="str">
            <v>SG&amp;A</v>
          </cell>
          <cell r="O3681" t="str">
            <v>[No Vendor]</v>
          </cell>
        </row>
        <row r="3682">
          <cell r="D3682">
            <v>13.16</v>
          </cell>
          <cell r="H3682">
            <v>45536</v>
          </cell>
          <cell r="I3682" t="str">
            <v>6385 - Insurance</v>
          </cell>
          <cell r="J3682">
            <v>0</v>
          </cell>
          <cell r="K3682" t="str">
            <v>Administration</v>
          </cell>
          <cell r="L3682" t="str">
            <v>Professional Service</v>
          </cell>
          <cell r="N3682" t="str">
            <v>SG&amp;A</v>
          </cell>
          <cell r="O3682" t="str">
            <v>[No Vendor]</v>
          </cell>
        </row>
        <row r="3683">
          <cell r="D3683">
            <v>29.56</v>
          </cell>
          <cell r="H3683">
            <v>45536</v>
          </cell>
          <cell r="I3683" t="str">
            <v>6385 - Insurance</v>
          </cell>
          <cell r="J3683">
            <v>0</v>
          </cell>
          <cell r="K3683" t="str">
            <v>Administration</v>
          </cell>
          <cell r="L3683" t="str">
            <v>Professional Service</v>
          </cell>
          <cell r="N3683" t="str">
            <v>SG&amp;A</v>
          </cell>
          <cell r="O3683" t="str">
            <v>[No Vendor]</v>
          </cell>
        </row>
        <row r="3684">
          <cell r="D3684">
            <v>13.39</v>
          </cell>
          <cell r="H3684">
            <v>45536</v>
          </cell>
          <cell r="I3684" t="str">
            <v>6385 - Insurance</v>
          </cell>
          <cell r="J3684">
            <v>0</v>
          </cell>
          <cell r="K3684" t="str">
            <v>Administration</v>
          </cell>
          <cell r="L3684" t="str">
            <v>Professional Service</v>
          </cell>
          <cell r="N3684" t="str">
            <v>SG&amp;A</v>
          </cell>
          <cell r="O3684" t="str">
            <v>[No Vendor]</v>
          </cell>
        </row>
        <row r="3685">
          <cell r="D3685">
            <v>42.8</v>
          </cell>
          <cell r="H3685">
            <v>45536</v>
          </cell>
          <cell r="I3685" t="str">
            <v>6385 - Insurance</v>
          </cell>
          <cell r="J3685">
            <v>0</v>
          </cell>
          <cell r="K3685" t="str">
            <v>Administration</v>
          </cell>
          <cell r="L3685" t="str">
            <v>Professional Service</v>
          </cell>
          <cell r="N3685" t="str">
            <v>SG&amp;A</v>
          </cell>
          <cell r="O3685" t="str">
            <v>[No Vendor]</v>
          </cell>
        </row>
        <row r="3686">
          <cell r="D3686">
            <v>38.44</v>
          </cell>
          <cell r="H3686">
            <v>45536</v>
          </cell>
          <cell r="I3686" t="str">
            <v>6385 - Insurance</v>
          </cell>
          <cell r="J3686">
            <v>0</v>
          </cell>
          <cell r="K3686" t="str">
            <v>Administration</v>
          </cell>
          <cell r="L3686" t="str">
            <v>Professional Service</v>
          </cell>
          <cell r="N3686" t="str">
            <v>SG&amp;A</v>
          </cell>
          <cell r="O3686" t="str">
            <v>[No Vendor]</v>
          </cell>
        </row>
        <row r="3687">
          <cell r="D3687">
            <v>39.51</v>
          </cell>
          <cell r="H3687">
            <v>45536</v>
          </cell>
          <cell r="I3687" t="str">
            <v>6385 - Insurance</v>
          </cell>
          <cell r="J3687">
            <v>0</v>
          </cell>
          <cell r="K3687" t="str">
            <v>Administration</v>
          </cell>
          <cell r="L3687" t="str">
            <v>Professional Service</v>
          </cell>
          <cell r="N3687" t="str">
            <v>SG&amp;A</v>
          </cell>
          <cell r="O3687" t="str">
            <v>[No Vendor]</v>
          </cell>
        </row>
        <row r="3688">
          <cell r="D3688">
            <v>40.24</v>
          </cell>
          <cell r="H3688">
            <v>45536</v>
          </cell>
          <cell r="I3688" t="str">
            <v>6385 - Insurance</v>
          </cell>
          <cell r="J3688">
            <v>0</v>
          </cell>
          <cell r="K3688" t="str">
            <v>Administration</v>
          </cell>
          <cell r="L3688" t="str">
            <v>Professional Service</v>
          </cell>
          <cell r="N3688" t="str">
            <v>SG&amp;A</v>
          </cell>
          <cell r="O3688" t="str">
            <v>[No Vendor]</v>
          </cell>
        </row>
        <row r="3689">
          <cell r="D3689">
            <v>-717.74</v>
          </cell>
          <cell r="H3689">
            <v>45536</v>
          </cell>
          <cell r="I3689" t="str">
            <v>6400 - Utilities</v>
          </cell>
          <cell r="J3689">
            <v>0</v>
          </cell>
          <cell r="K3689" t="str">
            <v>Administration</v>
          </cell>
          <cell r="L3689" t="str">
            <v>Other</v>
          </cell>
          <cell r="N3689" t="str">
            <v>SG&amp;A</v>
          </cell>
          <cell r="O3689" t="str">
            <v>[No Vendor]</v>
          </cell>
        </row>
        <row r="3690">
          <cell r="D3690">
            <v>-1111.33</v>
          </cell>
          <cell r="H3690">
            <v>45536</v>
          </cell>
          <cell r="I3690" t="str">
            <v>6055 - Employer Social Security Tax Withheld</v>
          </cell>
          <cell r="J3690" t="str">
            <v>Wholesale</v>
          </cell>
          <cell r="K3690" t="str">
            <v>Wholesale</v>
          </cell>
          <cell r="L3690" t="str">
            <v>HQ Salaries</v>
          </cell>
          <cell r="N3690" t="str">
            <v>SG&amp;A</v>
          </cell>
          <cell r="O3690" t="str">
            <v>[No Vendor]</v>
          </cell>
        </row>
        <row r="3691">
          <cell r="D3691">
            <v>-1872.96</v>
          </cell>
          <cell r="H3691">
            <v>45536</v>
          </cell>
          <cell r="I3691" t="str">
            <v>6055 - Employer Social Security Tax Withheld</v>
          </cell>
          <cell r="J3691">
            <v>0</v>
          </cell>
          <cell r="K3691" t="str">
            <v>Production</v>
          </cell>
          <cell r="L3691" t="str">
            <v>HQ Salaries</v>
          </cell>
          <cell r="N3691" t="str">
            <v>SG&amp;A</v>
          </cell>
          <cell r="O3691" t="str">
            <v>[No Vendor]</v>
          </cell>
        </row>
        <row r="3692">
          <cell r="D3692">
            <v>-365.93</v>
          </cell>
          <cell r="H3692">
            <v>45536</v>
          </cell>
          <cell r="I3692" t="str">
            <v>6055 - Employer Social Security Tax Withheld</v>
          </cell>
          <cell r="J3692">
            <v>0</v>
          </cell>
          <cell r="K3692" t="str">
            <v>Brand Marketing</v>
          </cell>
          <cell r="L3692" t="str">
            <v>HQ Salaries</v>
          </cell>
          <cell r="N3692" t="str">
            <v>SG&amp;A</v>
          </cell>
          <cell r="O3692" t="str">
            <v>[No Vendor]</v>
          </cell>
        </row>
        <row r="3693">
          <cell r="D3693">
            <v>-1181.97</v>
          </cell>
          <cell r="H3693">
            <v>45536</v>
          </cell>
          <cell r="I3693" t="str">
            <v>6055 - Employer Social Security Tax Withheld</v>
          </cell>
          <cell r="J3693">
            <v>0</v>
          </cell>
          <cell r="K3693" t="str">
            <v>Executive</v>
          </cell>
          <cell r="L3693" t="str">
            <v>HQ Salaries</v>
          </cell>
          <cell r="N3693" t="str">
            <v>SG&amp;A</v>
          </cell>
          <cell r="O3693" t="str">
            <v>[No Vendor]</v>
          </cell>
        </row>
        <row r="3694">
          <cell r="D3694">
            <v>-1610.08</v>
          </cell>
          <cell r="H3694">
            <v>45536</v>
          </cell>
          <cell r="I3694" t="str">
            <v>6055 - Employer Social Security Tax Withheld</v>
          </cell>
          <cell r="J3694" t="str">
            <v>Ecommerce (US)</v>
          </cell>
          <cell r="K3694" t="str">
            <v>Ecommerce</v>
          </cell>
          <cell r="L3694" t="str">
            <v>HQ Salaries</v>
          </cell>
          <cell r="N3694" t="str">
            <v>SG&amp;A</v>
          </cell>
          <cell r="O3694" t="str">
            <v>[No Vendor]</v>
          </cell>
        </row>
        <row r="3695">
          <cell r="D3695">
            <v>-2212.65</v>
          </cell>
          <cell r="H3695">
            <v>45536</v>
          </cell>
          <cell r="I3695" t="str">
            <v>6055 - Employer Social Security Tax Withheld</v>
          </cell>
          <cell r="J3695">
            <v>0</v>
          </cell>
          <cell r="K3695" t="str">
            <v>Design</v>
          </cell>
          <cell r="L3695" t="str">
            <v>HQ Salaries</v>
          </cell>
          <cell r="N3695" t="str">
            <v>SG&amp;A</v>
          </cell>
          <cell r="O3695" t="str">
            <v>[No Vendor]</v>
          </cell>
        </row>
        <row r="3696">
          <cell r="D3696">
            <v>-1913.12</v>
          </cell>
          <cell r="H3696">
            <v>45536</v>
          </cell>
          <cell r="I3696" t="str">
            <v>6055 - Employer Social Security Tax Withheld</v>
          </cell>
          <cell r="J3696">
            <v>0</v>
          </cell>
          <cell r="K3696" t="str">
            <v>Administration</v>
          </cell>
          <cell r="L3696" t="str">
            <v>HQ Salaries</v>
          </cell>
          <cell r="N3696" t="str">
            <v>SG&amp;A</v>
          </cell>
          <cell r="O3696" t="str">
            <v>[No Vendor]</v>
          </cell>
        </row>
        <row r="3697">
          <cell r="D3697">
            <v>-579.38</v>
          </cell>
          <cell r="H3697">
            <v>45536</v>
          </cell>
          <cell r="I3697" t="str">
            <v>6055 - Employer Social Security Tax Withheld</v>
          </cell>
          <cell r="J3697">
            <v>0</v>
          </cell>
          <cell r="K3697" t="str">
            <v>Merchandising</v>
          </cell>
          <cell r="L3697" t="str">
            <v>HQ Salaries</v>
          </cell>
          <cell r="N3697" t="str">
            <v>SG&amp;A</v>
          </cell>
          <cell r="O3697" t="str">
            <v>[No Vendor]</v>
          </cell>
        </row>
        <row r="3698">
          <cell r="D3698">
            <v>45.16</v>
          </cell>
          <cell r="H3698">
            <v>45536</v>
          </cell>
          <cell r="I3698" t="str">
            <v>6040 - Employer Paid Benefits</v>
          </cell>
          <cell r="J3698" t="str">
            <v>Wholesale</v>
          </cell>
          <cell r="K3698" t="str">
            <v>Wholesale</v>
          </cell>
          <cell r="L3698" t="str">
            <v>HQ Salaries</v>
          </cell>
          <cell r="N3698" t="str">
            <v>SG&amp;A</v>
          </cell>
          <cell r="O3698" t="str">
            <v>[No Vendor]</v>
          </cell>
        </row>
        <row r="3699">
          <cell r="D3699">
            <v>281.35000000000002</v>
          </cell>
          <cell r="H3699">
            <v>45536</v>
          </cell>
          <cell r="I3699" t="str">
            <v>6040 - Employer Paid Benefits</v>
          </cell>
          <cell r="J3699">
            <v>0</v>
          </cell>
          <cell r="K3699" t="str">
            <v>Production</v>
          </cell>
          <cell r="L3699" t="str">
            <v>HQ Salaries</v>
          </cell>
          <cell r="N3699" t="str">
            <v>SG&amp;A</v>
          </cell>
          <cell r="O3699" t="str">
            <v>[No Vendor]</v>
          </cell>
        </row>
        <row r="3700">
          <cell r="D3700">
            <v>22.58</v>
          </cell>
          <cell r="H3700">
            <v>45536</v>
          </cell>
          <cell r="I3700" t="str">
            <v>6040 - Employer Paid Benefits</v>
          </cell>
          <cell r="J3700">
            <v>0</v>
          </cell>
          <cell r="K3700" t="str">
            <v>Brand Marketing</v>
          </cell>
          <cell r="L3700" t="str">
            <v>HQ Salaries</v>
          </cell>
          <cell r="N3700" t="str">
            <v>SG&amp;A</v>
          </cell>
          <cell r="O3700" t="str">
            <v>[No Vendor]</v>
          </cell>
        </row>
        <row r="3701">
          <cell r="D3701">
            <v>234.27</v>
          </cell>
          <cell r="H3701">
            <v>45536</v>
          </cell>
          <cell r="I3701" t="str">
            <v>6040 - Employer Paid Benefits</v>
          </cell>
          <cell r="J3701">
            <v>0</v>
          </cell>
          <cell r="K3701" t="str">
            <v>Executive</v>
          </cell>
          <cell r="L3701" t="str">
            <v>HQ Salaries</v>
          </cell>
          <cell r="N3701" t="str">
            <v>SG&amp;A</v>
          </cell>
          <cell r="O3701" t="str">
            <v>[No Vendor]</v>
          </cell>
        </row>
        <row r="3702">
          <cell r="D3702">
            <v>121.85</v>
          </cell>
          <cell r="H3702">
            <v>45536</v>
          </cell>
          <cell r="I3702" t="str">
            <v>6040 - Employer Paid Benefits</v>
          </cell>
          <cell r="J3702" t="str">
            <v>Ecommerce (US)</v>
          </cell>
          <cell r="K3702" t="str">
            <v>Ecommerce</v>
          </cell>
          <cell r="L3702" t="str">
            <v>HQ Salaries</v>
          </cell>
          <cell r="N3702" t="str">
            <v>SG&amp;A</v>
          </cell>
          <cell r="O3702" t="str">
            <v>[No Vendor]</v>
          </cell>
        </row>
        <row r="3703">
          <cell r="D3703">
            <v>363.42</v>
          </cell>
          <cell r="H3703">
            <v>45536</v>
          </cell>
          <cell r="I3703" t="str">
            <v>6040 - Employer Paid Benefits</v>
          </cell>
          <cell r="J3703">
            <v>0</v>
          </cell>
          <cell r="K3703" t="str">
            <v>Design</v>
          </cell>
          <cell r="L3703" t="str">
            <v>HQ Salaries</v>
          </cell>
          <cell r="N3703" t="str">
            <v>SG&amp;A</v>
          </cell>
          <cell r="O3703" t="str">
            <v>[No Vendor]</v>
          </cell>
        </row>
        <row r="3704">
          <cell r="D3704">
            <v>200.39</v>
          </cell>
          <cell r="H3704">
            <v>45536</v>
          </cell>
          <cell r="I3704" t="str">
            <v>6040 - Employer Paid Benefits</v>
          </cell>
          <cell r="J3704">
            <v>0</v>
          </cell>
          <cell r="K3704" t="str">
            <v>Administration</v>
          </cell>
          <cell r="L3704" t="str">
            <v>HQ Salaries</v>
          </cell>
          <cell r="N3704" t="str">
            <v>SG&amp;A</v>
          </cell>
          <cell r="O3704" t="str">
            <v>[No Vendor]</v>
          </cell>
        </row>
        <row r="3705">
          <cell r="D3705">
            <v>-5150</v>
          </cell>
          <cell r="H3705">
            <v>45536</v>
          </cell>
          <cell r="I3705" t="str">
            <v>6005 - Salaries</v>
          </cell>
          <cell r="J3705">
            <v>0</v>
          </cell>
          <cell r="K3705" t="str">
            <v>Merchandising</v>
          </cell>
          <cell r="L3705" t="str">
            <v>HQ Salaries</v>
          </cell>
          <cell r="N3705" t="str">
            <v>SG&amp;A</v>
          </cell>
          <cell r="O3705" t="str">
            <v>[No Vendor]</v>
          </cell>
        </row>
        <row r="3706">
          <cell r="D3706">
            <v>-9911.5499999999993</v>
          </cell>
          <cell r="H3706">
            <v>45536</v>
          </cell>
          <cell r="I3706" t="str">
            <v>6005 - Salaries</v>
          </cell>
          <cell r="J3706" t="str">
            <v>Wholesale</v>
          </cell>
          <cell r="K3706" t="str">
            <v>Wholesale</v>
          </cell>
          <cell r="L3706" t="str">
            <v>HQ Salaries</v>
          </cell>
          <cell r="N3706" t="str">
            <v>SG&amp;A</v>
          </cell>
          <cell r="O3706" t="str">
            <v>[No Vendor]</v>
          </cell>
        </row>
        <row r="3707">
          <cell r="D3707">
            <v>-19988.490000000002</v>
          </cell>
          <cell r="H3707">
            <v>45536</v>
          </cell>
          <cell r="I3707" t="str">
            <v>6005 - Salaries</v>
          </cell>
          <cell r="J3707">
            <v>0</v>
          </cell>
          <cell r="K3707" t="str">
            <v>Production</v>
          </cell>
          <cell r="L3707" t="str">
            <v>HQ Salaries</v>
          </cell>
          <cell r="N3707" t="str">
            <v>SG&amp;A</v>
          </cell>
          <cell r="O3707" t="str">
            <v>[No Vendor]</v>
          </cell>
        </row>
        <row r="3708">
          <cell r="D3708">
            <v>-3269.24</v>
          </cell>
          <cell r="H3708">
            <v>45536</v>
          </cell>
          <cell r="I3708" t="str">
            <v>6005 - Salaries</v>
          </cell>
          <cell r="J3708">
            <v>0</v>
          </cell>
          <cell r="K3708" t="str">
            <v>Brand Marketing</v>
          </cell>
          <cell r="L3708" t="str">
            <v>HQ Salaries</v>
          </cell>
          <cell r="N3708" t="str">
            <v>SG&amp;A</v>
          </cell>
          <cell r="O3708" t="str">
            <v>[No Vendor]</v>
          </cell>
        </row>
        <row r="3709">
          <cell r="D3709">
            <v>-11153.85</v>
          </cell>
          <cell r="H3709">
            <v>45536</v>
          </cell>
          <cell r="I3709" t="str">
            <v>6005 - Salaries</v>
          </cell>
          <cell r="J3709">
            <v>0</v>
          </cell>
          <cell r="K3709" t="str">
            <v>Executive</v>
          </cell>
          <cell r="L3709" t="str">
            <v>HQ Salaries</v>
          </cell>
          <cell r="N3709" t="str">
            <v>SG&amp;A</v>
          </cell>
          <cell r="O3709" t="str">
            <v>[No Vendor]</v>
          </cell>
        </row>
        <row r="3710">
          <cell r="D3710">
            <v>-20780.8</v>
          </cell>
          <cell r="H3710">
            <v>45536</v>
          </cell>
          <cell r="I3710" t="str">
            <v>6005 - Salaries</v>
          </cell>
          <cell r="J3710" t="str">
            <v>Ecommerce (US)</v>
          </cell>
          <cell r="K3710" t="str">
            <v>Ecommerce</v>
          </cell>
          <cell r="L3710" t="str">
            <v>HQ Salaries</v>
          </cell>
          <cell r="N3710" t="str">
            <v>SG&amp;A</v>
          </cell>
          <cell r="O3710" t="str">
            <v>[No Vendor]</v>
          </cell>
        </row>
        <row r="3711">
          <cell r="D3711">
            <v>-20857.7</v>
          </cell>
          <cell r="H3711">
            <v>45536</v>
          </cell>
          <cell r="I3711" t="str">
            <v>6005 - Salaries</v>
          </cell>
          <cell r="J3711">
            <v>0</v>
          </cell>
          <cell r="K3711" t="str">
            <v>Design</v>
          </cell>
          <cell r="L3711" t="str">
            <v>HQ Salaries</v>
          </cell>
          <cell r="N3711" t="str">
            <v>SG&amp;A</v>
          </cell>
          <cell r="O3711" t="str">
            <v>[No Vendor]</v>
          </cell>
        </row>
        <row r="3712">
          <cell r="D3712">
            <v>2507.08</v>
          </cell>
          <cell r="H3712">
            <v>45536</v>
          </cell>
          <cell r="I3712" t="str">
            <v>6375 - Freight Expenses</v>
          </cell>
          <cell r="J3712" t="str">
            <v>Ecommerce (EU)</v>
          </cell>
          <cell r="K3712" t="str">
            <v>Ecommerce</v>
          </cell>
          <cell r="L3712" t="str">
            <v>Freight</v>
          </cell>
          <cell r="N3712" t="str">
            <v>Direct Costs</v>
          </cell>
          <cell r="O3712" t="str">
            <v>Global E</v>
          </cell>
        </row>
        <row r="3713">
          <cell r="D3713">
            <v>9377.76</v>
          </cell>
          <cell r="H3713">
            <v>45536</v>
          </cell>
          <cell r="I3713" t="str">
            <v>6377 - Order Processing Expenses (New)</v>
          </cell>
          <cell r="J3713" t="str">
            <v>Ecommerce (EU)</v>
          </cell>
          <cell r="K3713" t="str">
            <v>Ecommerce</v>
          </cell>
          <cell r="L3713" t="str">
            <v>Order Processing</v>
          </cell>
          <cell r="N3713" t="str">
            <v>Direct Costs</v>
          </cell>
          <cell r="O3713" t="str">
            <v>[No Vendor]</v>
          </cell>
        </row>
        <row r="3714">
          <cell r="D3714">
            <v>3845.07</v>
          </cell>
          <cell r="H3714">
            <v>45536</v>
          </cell>
          <cell r="I3714" t="str">
            <v>6450 - Bank &amp; Other Fees</v>
          </cell>
          <cell r="J3714" t="str">
            <v>Ecommerce (EU)</v>
          </cell>
          <cell r="K3714" t="str">
            <v>Ecommerce</v>
          </cell>
          <cell r="L3714" t="str">
            <v>Professional Service</v>
          </cell>
          <cell r="N3714" t="str">
            <v>Direct Costs</v>
          </cell>
          <cell r="O3714" t="str">
            <v>[No Vendor]</v>
          </cell>
        </row>
        <row r="3715">
          <cell r="D3715">
            <v>115.33</v>
          </cell>
          <cell r="H3715">
            <v>45536</v>
          </cell>
          <cell r="I3715" t="str">
            <v>6375 - Freight Expenses</v>
          </cell>
          <cell r="J3715" t="str">
            <v>Ecommerce (EU)</v>
          </cell>
          <cell r="K3715" t="str">
            <v>Ecommerce</v>
          </cell>
          <cell r="L3715" t="str">
            <v>Freight</v>
          </cell>
          <cell r="N3715" t="str">
            <v>Direct Costs</v>
          </cell>
          <cell r="O3715" t="str">
            <v>UPS Supply Chain Solutions Inc. (7F24A0)</v>
          </cell>
        </row>
        <row r="3716">
          <cell r="D3716">
            <v>5521.21</v>
          </cell>
          <cell r="H3716">
            <v>45536</v>
          </cell>
          <cell r="I3716" t="str">
            <v>6450 - Bank &amp; Other Fees</v>
          </cell>
          <cell r="J3716" t="str">
            <v>Wholesale</v>
          </cell>
          <cell r="K3716" t="str">
            <v>Wholesale</v>
          </cell>
          <cell r="L3716" t="str">
            <v>Professional Service</v>
          </cell>
          <cell r="N3716" t="str">
            <v>Direct Costs</v>
          </cell>
          <cell r="O3716" t="str">
            <v>Paymentech</v>
          </cell>
        </row>
        <row r="3717">
          <cell r="D3717">
            <v>120</v>
          </cell>
          <cell r="H3717">
            <v>45536</v>
          </cell>
          <cell r="I3717" t="str">
            <v>6040 - Employer Paid Benefits</v>
          </cell>
          <cell r="J3717">
            <v>0</v>
          </cell>
          <cell r="K3717" t="str">
            <v>Administration</v>
          </cell>
          <cell r="L3717" t="str">
            <v>HQ Salaries</v>
          </cell>
          <cell r="N3717" t="str">
            <v>SG&amp;A</v>
          </cell>
          <cell r="O3717" t="str">
            <v>Procyon Benefits LLC</v>
          </cell>
        </row>
        <row r="3718">
          <cell r="D3718">
            <v>598</v>
          </cell>
          <cell r="H3718">
            <v>45536</v>
          </cell>
          <cell r="I3718" t="str">
            <v>6393 - Software</v>
          </cell>
          <cell r="J3718" t="str">
            <v>Ecommerce (US)</v>
          </cell>
          <cell r="K3718" t="str">
            <v>Ecommerce</v>
          </cell>
          <cell r="L3718" t="str">
            <v>Professional Service</v>
          </cell>
          <cell r="N3718" t="str">
            <v>Direct Costs</v>
          </cell>
          <cell r="O3718">
            <v>0</v>
          </cell>
        </row>
        <row r="3719">
          <cell r="D3719">
            <v>6238.92</v>
          </cell>
          <cell r="H3719">
            <v>45536</v>
          </cell>
          <cell r="I3719" t="str">
            <v>6393 - Software</v>
          </cell>
          <cell r="J3719" t="str">
            <v>Ecommerce (US)</v>
          </cell>
          <cell r="K3719" t="str">
            <v>Ecommerce</v>
          </cell>
          <cell r="L3719" t="str">
            <v>Professional Service</v>
          </cell>
          <cell r="N3719" t="str">
            <v>Direct Costs</v>
          </cell>
          <cell r="O3719">
            <v>0</v>
          </cell>
        </row>
        <row r="3720">
          <cell r="D3720">
            <v>21.78</v>
          </cell>
          <cell r="H3720">
            <v>45536</v>
          </cell>
          <cell r="I3720" t="str">
            <v>6393 - Software</v>
          </cell>
          <cell r="J3720" t="str">
            <v>Ecommerce (US)</v>
          </cell>
          <cell r="K3720" t="str">
            <v>Ecommerce</v>
          </cell>
          <cell r="L3720" t="str">
            <v>Professional Service</v>
          </cell>
          <cell r="N3720" t="str">
            <v>Direct Costs</v>
          </cell>
          <cell r="O3720" t="str">
            <v>Chat GPT</v>
          </cell>
        </row>
        <row r="3721">
          <cell r="D3721">
            <v>936.33</v>
          </cell>
          <cell r="H3721">
            <v>45536</v>
          </cell>
          <cell r="I3721" t="str">
            <v>6393 - Software</v>
          </cell>
          <cell r="J3721">
            <v>0</v>
          </cell>
          <cell r="K3721" t="str">
            <v>Brand Marketing</v>
          </cell>
          <cell r="L3721" t="str">
            <v>Professional Service</v>
          </cell>
          <cell r="N3721" t="str">
            <v>Direct Costs</v>
          </cell>
          <cell r="O3721">
            <v>0</v>
          </cell>
        </row>
        <row r="3722">
          <cell r="D3722">
            <v>2629.34</v>
          </cell>
          <cell r="H3722">
            <v>45536</v>
          </cell>
          <cell r="I3722" t="str">
            <v>6393 - Software</v>
          </cell>
          <cell r="J3722">
            <v>0</v>
          </cell>
          <cell r="K3722" t="str">
            <v>Brand Marketing</v>
          </cell>
          <cell r="L3722" t="str">
            <v>Professional Service</v>
          </cell>
          <cell r="N3722" t="str">
            <v>Direct Costs</v>
          </cell>
          <cell r="O3722">
            <v>0</v>
          </cell>
        </row>
        <row r="3723">
          <cell r="D3723">
            <v>129</v>
          </cell>
          <cell r="H3723">
            <v>45536</v>
          </cell>
          <cell r="I3723" t="str">
            <v>6393 - Software</v>
          </cell>
          <cell r="J3723" t="str">
            <v>Ecommerce (US)</v>
          </cell>
          <cell r="K3723" t="str">
            <v>Ecommerce</v>
          </cell>
          <cell r="L3723" t="str">
            <v>Professional Service</v>
          </cell>
          <cell r="N3723" t="str">
            <v>Direct Costs</v>
          </cell>
          <cell r="O3723" t="str">
            <v>Integration Manager</v>
          </cell>
        </row>
        <row r="3724">
          <cell r="D3724">
            <v>76.209999999999994</v>
          </cell>
          <cell r="H3724">
            <v>45536</v>
          </cell>
          <cell r="I3724" t="str">
            <v>6393 - Software</v>
          </cell>
          <cell r="J3724">
            <v>0</v>
          </cell>
          <cell r="K3724" t="str">
            <v>Brand Marketing</v>
          </cell>
          <cell r="L3724" t="str">
            <v>Professional Service</v>
          </cell>
          <cell r="N3724" t="str">
            <v>Direct Costs</v>
          </cell>
          <cell r="O3724">
            <v>0</v>
          </cell>
        </row>
        <row r="3725">
          <cell r="D3725">
            <v>125.21</v>
          </cell>
          <cell r="H3725">
            <v>45536</v>
          </cell>
          <cell r="I3725" t="str">
            <v>6393 - Software</v>
          </cell>
          <cell r="J3725">
            <v>0</v>
          </cell>
          <cell r="K3725" t="str">
            <v>Brand Marketing</v>
          </cell>
          <cell r="L3725" t="str">
            <v>Professional Service</v>
          </cell>
          <cell r="N3725" t="str">
            <v>Direct Costs</v>
          </cell>
          <cell r="O3725">
            <v>0</v>
          </cell>
        </row>
        <row r="3726">
          <cell r="D3726">
            <v>76.209999999999994</v>
          </cell>
          <cell r="H3726">
            <v>45536</v>
          </cell>
          <cell r="I3726" t="str">
            <v>6393 - Software</v>
          </cell>
          <cell r="J3726">
            <v>0</v>
          </cell>
          <cell r="K3726" t="str">
            <v>Brand Marketing</v>
          </cell>
          <cell r="L3726" t="str">
            <v>Professional Service</v>
          </cell>
          <cell r="N3726" t="str">
            <v>Direct Costs</v>
          </cell>
          <cell r="O3726">
            <v>0</v>
          </cell>
        </row>
        <row r="3727">
          <cell r="D3727">
            <v>8922.26</v>
          </cell>
          <cell r="H3727">
            <v>45536</v>
          </cell>
          <cell r="I3727" t="str">
            <v>6393 - Software</v>
          </cell>
          <cell r="J3727" t="str">
            <v>Ecommerce (US)</v>
          </cell>
          <cell r="K3727" t="str">
            <v>Ecommerce</v>
          </cell>
          <cell r="L3727" t="str">
            <v>Professional Service</v>
          </cell>
          <cell r="N3727" t="str">
            <v>Direct Costs</v>
          </cell>
          <cell r="O3727" t="str">
            <v>Signifyd</v>
          </cell>
        </row>
        <row r="3728">
          <cell r="D3728">
            <v>9.5299999999999994</v>
          </cell>
          <cell r="H3728">
            <v>45536</v>
          </cell>
          <cell r="I3728" t="str">
            <v>6393 - Software</v>
          </cell>
          <cell r="J3728" t="str">
            <v>Ecommerce (US)</v>
          </cell>
          <cell r="K3728" t="str">
            <v>Ecommerce</v>
          </cell>
          <cell r="L3728" t="str">
            <v>Professional Service</v>
          </cell>
          <cell r="N3728" t="str">
            <v>Direct Costs</v>
          </cell>
          <cell r="O3728">
            <v>0</v>
          </cell>
        </row>
        <row r="3729">
          <cell r="D3729">
            <v>1247.3499999999999</v>
          </cell>
          <cell r="H3729">
            <v>45536</v>
          </cell>
          <cell r="I3729" t="str">
            <v>6393 - Software</v>
          </cell>
          <cell r="J3729" t="str">
            <v>Ecommerce (US)</v>
          </cell>
          <cell r="K3729" t="str">
            <v>Ecommerce</v>
          </cell>
          <cell r="L3729" t="str">
            <v>Professional Service</v>
          </cell>
          <cell r="N3729" t="str">
            <v>Direct Costs</v>
          </cell>
          <cell r="O3729">
            <v>0</v>
          </cell>
        </row>
        <row r="3730">
          <cell r="D3730">
            <v>65.33</v>
          </cell>
          <cell r="H3730">
            <v>45536</v>
          </cell>
          <cell r="I3730" t="str">
            <v>6393 - Software</v>
          </cell>
          <cell r="J3730">
            <v>0</v>
          </cell>
          <cell r="K3730" t="str">
            <v>Administration</v>
          </cell>
          <cell r="L3730" t="str">
            <v>Professional Service</v>
          </cell>
          <cell r="N3730" t="str">
            <v>Direct Costs</v>
          </cell>
          <cell r="O3730" t="str">
            <v>Brivo Pass</v>
          </cell>
        </row>
        <row r="3731">
          <cell r="D3731">
            <v>1687.3</v>
          </cell>
          <cell r="H3731">
            <v>45536</v>
          </cell>
          <cell r="I3731" t="str">
            <v>6393 - Software</v>
          </cell>
          <cell r="J3731">
            <v>0</v>
          </cell>
          <cell r="K3731" t="str">
            <v>Administration</v>
          </cell>
          <cell r="L3731" t="str">
            <v>Professional Service</v>
          </cell>
          <cell r="N3731" t="str">
            <v>Direct Costs</v>
          </cell>
          <cell r="O3731" t="str">
            <v>Adobe, Inc.</v>
          </cell>
        </row>
        <row r="3732">
          <cell r="D3732">
            <v>-1664.44</v>
          </cell>
          <cell r="H3732">
            <v>45536</v>
          </cell>
          <cell r="I3732" t="str">
            <v>6393 - Software</v>
          </cell>
          <cell r="J3732">
            <v>0</v>
          </cell>
          <cell r="K3732" t="str">
            <v>Administration</v>
          </cell>
          <cell r="L3732" t="str">
            <v>Professional Service</v>
          </cell>
          <cell r="N3732" t="str">
            <v>Direct Costs</v>
          </cell>
          <cell r="O3732" t="str">
            <v>[No Vendor]</v>
          </cell>
        </row>
        <row r="3733">
          <cell r="D3733">
            <v>60.33</v>
          </cell>
          <cell r="H3733">
            <v>45536</v>
          </cell>
          <cell r="I3733" t="str">
            <v>6393 - Software</v>
          </cell>
          <cell r="J3733">
            <v>0</v>
          </cell>
          <cell r="K3733" t="str">
            <v>Administration</v>
          </cell>
          <cell r="L3733" t="str">
            <v>Professional Service</v>
          </cell>
          <cell r="N3733" t="str">
            <v>Direct Costs</v>
          </cell>
          <cell r="O3733" t="str">
            <v>Quickbook</v>
          </cell>
        </row>
        <row r="3734">
          <cell r="D3734">
            <v>243.76</v>
          </cell>
          <cell r="H3734">
            <v>45536</v>
          </cell>
          <cell r="I3734" t="str">
            <v>6363 - Development</v>
          </cell>
          <cell r="J3734">
            <v>0</v>
          </cell>
          <cell r="K3734" t="str">
            <v>Design</v>
          </cell>
          <cell r="L3734" t="str">
            <v>Sample</v>
          </cell>
          <cell r="N3734" t="str">
            <v>SG&amp;A</v>
          </cell>
          <cell r="O3734" t="str">
            <v>Consul + SRL</v>
          </cell>
        </row>
        <row r="3735">
          <cell r="D3735">
            <v>311.87</v>
          </cell>
          <cell r="H3735">
            <v>45536</v>
          </cell>
          <cell r="I3735" t="str">
            <v>6120 - Lodging</v>
          </cell>
          <cell r="J3735" t="str">
            <v>Ecommerce (US)</v>
          </cell>
          <cell r="K3735" t="str">
            <v>Ecommerce</v>
          </cell>
          <cell r="L3735" t="str">
            <v>T&amp;E</v>
          </cell>
          <cell r="N3735" t="str">
            <v>SG&amp;A</v>
          </cell>
          <cell r="O3735" t="str">
            <v>[No Vendor]</v>
          </cell>
        </row>
        <row r="3736">
          <cell r="D3736">
            <v>245.33</v>
          </cell>
          <cell r="H3736">
            <v>45536</v>
          </cell>
          <cell r="I3736" t="str">
            <v>6120 - Lodging</v>
          </cell>
          <cell r="J3736" t="str">
            <v>Ecommerce (US)</v>
          </cell>
          <cell r="K3736" t="str">
            <v>Ecommerce</v>
          </cell>
          <cell r="L3736" t="str">
            <v>T&amp;E</v>
          </cell>
          <cell r="N3736" t="str">
            <v>SG&amp;A</v>
          </cell>
          <cell r="O3736" t="str">
            <v>[No Vendor]</v>
          </cell>
        </row>
        <row r="3737">
          <cell r="D3737">
            <v>468.05</v>
          </cell>
          <cell r="H3737">
            <v>45536</v>
          </cell>
          <cell r="I3737" t="str">
            <v>6120 - Lodging</v>
          </cell>
          <cell r="J3737" t="str">
            <v>Ecommerce (US)</v>
          </cell>
          <cell r="K3737" t="str">
            <v>Ecommerce</v>
          </cell>
          <cell r="L3737" t="str">
            <v>T&amp;E</v>
          </cell>
          <cell r="N3737" t="str">
            <v>SG&amp;A</v>
          </cell>
          <cell r="O3737" t="str">
            <v>[No Vendor]</v>
          </cell>
        </row>
        <row r="3738">
          <cell r="D3738">
            <v>417.57</v>
          </cell>
          <cell r="H3738">
            <v>45536</v>
          </cell>
          <cell r="I3738" t="str">
            <v>6120 - Lodging</v>
          </cell>
          <cell r="J3738" t="str">
            <v>Ecommerce (US)</v>
          </cell>
          <cell r="K3738" t="str">
            <v>Ecommerce</v>
          </cell>
          <cell r="L3738" t="str">
            <v>T&amp;E</v>
          </cell>
          <cell r="N3738" t="str">
            <v>SG&amp;A</v>
          </cell>
          <cell r="O3738" t="str">
            <v>[No Vendor]</v>
          </cell>
        </row>
        <row r="3739">
          <cell r="D3739">
            <v>673.35</v>
          </cell>
          <cell r="H3739">
            <v>45536</v>
          </cell>
          <cell r="I3739" t="str">
            <v>6120 - Lodging</v>
          </cell>
          <cell r="J3739" t="str">
            <v>Ecommerce (US)</v>
          </cell>
          <cell r="K3739" t="str">
            <v>Ecommerce</v>
          </cell>
          <cell r="L3739" t="str">
            <v>T&amp;E</v>
          </cell>
          <cell r="N3739" t="str">
            <v>SG&amp;A</v>
          </cell>
          <cell r="O3739" t="str">
            <v>[No Vendor]</v>
          </cell>
        </row>
        <row r="3740">
          <cell r="D3740">
            <v>0.9</v>
          </cell>
          <cell r="H3740">
            <v>45536</v>
          </cell>
          <cell r="I3740" t="str">
            <v>6450 - Bank &amp; Other Fees</v>
          </cell>
          <cell r="J3740">
            <v>0</v>
          </cell>
          <cell r="K3740" t="str">
            <v>Administration</v>
          </cell>
          <cell r="L3740" t="str">
            <v>Professional Service</v>
          </cell>
          <cell r="N3740" t="str">
            <v>SG&amp;A</v>
          </cell>
          <cell r="O3740" t="str">
            <v>Quickbook</v>
          </cell>
        </row>
        <row r="3741">
          <cell r="D3741">
            <v>292.5</v>
          </cell>
          <cell r="H3741">
            <v>45536</v>
          </cell>
          <cell r="I3741" t="str">
            <v>6300 - Payroll Service Fees</v>
          </cell>
          <cell r="J3741">
            <v>0</v>
          </cell>
          <cell r="K3741" t="str">
            <v>Administration</v>
          </cell>
          <cell r="L3741" t="str">
            <v>Professional Service</v>
          </cell>
          <cell r="N3741" t="str">
            <v>SG&amp;A</v>
          </cell>
          <cell r="O3741" t="str">
            <v>OperationsInc, LLC</v>
          </cell>
        </row>
        <row r="3742">
          <cell r="D3742">
            <v>87.34</v>
          </cell>
          <cell r="H3742">
            <v>45536</v>
          </cell>
          <cell r="I3742" t="str">
            <v>6125 - Transportation and Fuel</v>
          </cell>
          <cell r="J3742">
            <v>0</v>
          </cell>
          <cell r="K3742" t="str">
            <v>Administration</v>
          </cell>
          <cell r="L3742" t="str">
            <v>T&amp;E</v>
          </cell>
          <cell r="N3742" t="str">
            <v>SG&amp;A</v>
          </cell>
          <cell r="O3742" t="str">
            <v>[No Vendor]</v>
          </cell>
        </row>
        <row r="3743">
          <cell r="D3743">
            <v>58.7</v>
          </cell>
          <cell r="H3743">
            <v>45536</v>
          </cell>
          <cell r="I3743" t="str">
            <v>6040 - Employer Paid Benefits</v>
          </cell>
          <cell r="J3743">
            <v>0</v>
          </cell>
          <cell r="K3743" t="str">
            <v>Production</v>
          </cell>
          <cell r="L3743" t="str">
            <v>HQ Salaries</v>
          </cell>
          <cell r="N3743" t="str">
            <v>SG&amp;A</v>
          </cell>
          <cell r="O3743" t="str">
            <v>Procyon Benefits LLC</v>
          </cell>
        </row>
        <row r="3744">
          <cell r="D3744">
            <v>52.3</v>
          </cell>
          <cell r="H3744">
            <v>45536</v>
          </cell>
          <cell r="I3744" t="str">
            <v>6040 - Employer Paid Benefits</v>
          </cell>
          <cell r="J3744">
            <v>0</v>
          </cell>
          <cell r="K3744" t="str">
            <v>Merchandising</v>
          </cell>
          <cell r="L3744" t="str">
            <v>HQ Salaries</v>
          </cell>
          <cell r="N3744" t="str">
            <v>SG&amp;A</v>
          </cell>
          <cell r="O3744" t="str">
            <v>Procyon Benefits LLC</v>
          </cell>
        </row>
        <row r="3745">
          <cell r="D3745">
            <v>32</v>
          </cell>
          <cell r="H3745">
            <v>45536</v>
          </cell>
          <cell r="I3745" t="str">
            <v>6040 - Employer Paid Benefits</v>
          </cell>
          <cell r="J3745" t="str">
            <v>Ecommerce (US)</v>
          </cell>
          <cell r="K3745" t="str">
            <v>Ecommerce</v>
          </cell>
          <cell r="L3745" t="str">
            <v>HQ Salaries</v>
          </cell>
          <cell r="N3745" t="str">
            <v>SG&amp;A</v>
          </cell>
          <cell r="O3745" t="str">
            <v>Procyon Benefits LLC</v>
          </cell>
        </row>
        <row r="3746">
          <cell r="D3746">
            <v>430.94</v>
          </cell>
          <cell r="H3746">
            <v>45536</v>
          </cell>
          <cell r="I3746" t="str">
            <v>6040 - Employer Paid Benefits</v>
          </cell>
          <cell r="J3746">
            <v>0</v>
          </cell>
          <cell r="K3746" t="str">
            <v>Executive</v>
          </cell>
          <cell r="L3746" t="str">
            <v>HQ Salaries</v>
          </cell>
          <cell r="N3746" t="str">
            <v>SG&amp;A</v>
          </cell>
          <cell r="O3746" t="str">
            <v>Procyon Benefits LLC</v>
          </cell>
        </row>
        <row r="3747">
          <cell r="D3747">
            <v>121.73</v>
          </cell>
          <cell r="H3747">
            <v>45536</v>
          </cell>
          <cell r="I3747" t="str">
            <v>6375 - Freight Expenses</v>
          </cell>
          <cell r="J3747" t="str">
            <v>Ecommerce (EU)</v>
          </cell>
          <cell r="K3747" t="str">
            <v>Ecommerce</v>
          </cell>
          <cell r="L3747" t="str">
            <v>Freight</v>
          </cell>
          <cell r="N3747" t="str">
            <v>Direct Costs</v>
          </cell>
          <cell r="O3747" t="str">
            <v>UPS Supply Chain Solutions Inc. (7F24A0)</v>
          </cell>
        </row>
        <row r="3748">
          <cell r="D3748">
            <v>32897.5</v>
          </cell>
          <cell r="H3748">
            <v>45536</v>
          </cell>
          <cell r="I3748" t="str">
            <v>8700 - Other Expense</v>
          </cell>
          <cell r="J3748">
            <v>0</v>
          </cell>
          <cell r="K3748" t="str">
            <v>Administration</v>
          </cell>
          <cell r="L3748" t="str">
            <v>Other Expense</v>
          </cell>
          <cell r="N3748" t="str">
            <v>BTL</v>
          </cell>
          <cell r="O3748" t="str">
            <v>London Court of International Arbitration</v>
          </cell>
        </row>
        <row r="3749">
          <cell r="D3749">
            <v>20</v>
          </cell>
          <cell r="H3749">
            <v>45536</v>
          </cell>
          <cell r="I3749" t="str">
            <v>6385 - Insurance</v>
          </cell>
          <cell r="J3749">
            <v>0</v>
          </cell>
          <cell r="K3749" t="str">
            <v>Administration</v>
          </cell>
          <cell r="L3749" t="str">
            <v>Professional Service</v>
          </cell>
          <cell r="N3749" t="str">
            <v>SG&amp;A</v>
          </cell>
          <cell r="O3749" t="str">
            <v>The Hartford</v>
          </cell>
        </row>
        <row r="3750">
          <cell r="D3750">
            <v>763.47</v>
          </cell>
          <cell r="H3750">
            <v>45536</v>
          </cell>
          <cell r="I3750" t="str">
            <v>8505 - Realized Gain/Loss</v>
          </cell>
          <cell r="J3750">
            <v>0</v>
          </cell>
          <cell r="K3750" t="str">
            <v>No Department</v>
          </cell>
          <cell r="L3750" t="str">
            <v>Realized Gain / Loss</v>
          </cell>
          <cell r="N3750" t="str">
            <v>BTL</v>
          </cell>
          <cell r="O3750" t="str">
            <v>[No Vendor]</v>
          </cell>
        </row>
        <row r="3751">
          <cell r="D3751">
            <v>100.5</v>
          </cell>
          <cell r="H3751">
            <v>45536</v>
          </cell>
          <cell r="I3751" t="str">
            <v>6105 - Meals</v>
          </cell>
          <cell r="J3751">
            <v>0</v>
          </cell>
          <cell r="K3751" t="str">
            <v>Administration</v>
          </cell>
          <cell r="L3751" t="str">
            <v>T&amp;E</v>
          </cell>
          <cell r="N3751" t="str">
            <v>SG&amp;A</v>
          </cell>
          <cell r="O3751" t="str">
            <v>[No Vendor]</v>
          </cell>
        </row>
        <row r="3752">
          <cell r="D3752">
            <v>16.32</v>
          </cell>
          <cell r="H3752">
            <v>45536</v>
          </cell>
          <cell r="I3752" t="str">
            <v>6393 - Software</v>
          </cell>
          <cell r="J3752" t="str">
            <v>Ecommerce (US)</v>
          </cell>
          <cell r="K3752" t="str">
            <v>Ecommerce</v>
          </cell>
          <cell r="L3752" t="str">
            <v>Professional Service</v>
          </cell>
          <cell r="N3752" t="str">
            <v>Direct Costs</v>
          </cell>
          <cell r="O3752" t="str">
            <v>[No Vendor]</v>
          </cell>
        </row>
        <row r="3753">
          <cell r="D3753">
            <v>5648.99</v>
          </cell>
          <cell r="H3753">
            <v>45536</v>
          </cell>
          <cell r="I3753" t="str">
            <v>6393 - Software</v>
          </cell>
          <cell r="J3753" t="str">
            <v>Ecommerce (US)</v>
          </cell>
          <cell r="K3753" t="str">
            <v>Ecommerce</v>
          </cell>
          <cell r="L3753" t="str">
            <v>Professional Service</v>
          </cell>
          <cell r="N3753" t="str">
            <v>Direct Costs</v>
          </cell>
          <cell r="O3753">
            <v>0</v>
          </cell>
        </row>
        <row r="3754">
          <cell r="D3754">
            <v>1646.84</v>
          </cell>
          <cell r="H3754">
            <v>45536</v>
          </cell>
          <cell r="I3754" t="str">
            <v>6393 - Software</v>
          </cell>
          <cell r="J3754" t="str">
            <v>Ecommerce (US)</v>
          </cell>
          <cell r="K3754" t="str">
            <v>Ecommerce</v>
          </cell>
          <cell r="L3754" t="str">
            <v>Professional Service</v>
          </cell>
          <cell r="N3754" t="str">
            <v>Direct Costs</v>
          </cell>
          <cell r="O3754" t="str">
            <v>Robert  McKinney</v>
          </cell>
        </row>
        <row r="3755">
          <cell r="D3755">
            <v>-42.86</v>
          </cell>
          <cell r="H3755">
            <v>45536</v>
          </cell>
          <cell r="I3755" t="str">
            <v>6340 - Miscellaneous Expense</v>
          </cell>
          <cell r="J3755">
            <v>0</v>
          </cell>
          <cell r="K3755" t="str">
            <v>Administration</v>
          </cell>
          <cell r="L3755" t="str">
            <v>Other</v>
          </cell>
          <cell r="N3755" t="str">
            <v>SG&amp;A</v>
          </cell>
          <cell r="O3755" t="str">
            <v>[No Vendor]</v>
          </cell>
        </row>
        <row r="3756">
          <cell r="D3756">
            <v>-6.25</v>
          </cell>
          <cell r="H3756">
            <v>45536</v>
          </cell>
          <cell r="I3756" t="str">
            <v>6340 - Miscellaneous Expense</v>
          </cell>
          <cell r="J3756">
            <v>0</v>
          </cell>
          <cell r="K3756" t="str">
            <v>Administration</v>
          </cell>
          <cell r="L3756" t="str">
            <v>Other</v>
          </cell>
          <cell r="N3756" t="str">
            <v>SG&amp;A</v>
          </cell>
          <cell r="O3756" t="str">
            <v>[No Vendor]</v>
          </cell>
        </row>
        <row r="3757">
          <cell r="D3757">
            <v>-71.84</v>
          </cell>
          <cell r="H3757">
            <v>45536</v>
          </cell>
          <cell r="I3757" t="str">
            <v>6340 - Miscellaneous Expense</v>
          </cell>
          <cell r="J3757">
            <v>0</v>
          </cell>
          <cell r="K3757" t="str">
            <v>Administration</v>
          </cell>
          <cell r="L3757" t="str">
            <v>Other</v>
          </cell>
          <cell r="N3757" t="str">
            <v>SG&amp;A</v>
          </cell>
          <cell r="O3757" t="str">
            <v>[No Vendor]</v>
          </cell>
        </row>
        <row r="3758">
          <cell r="D3758">
            <v>71.84</v>
          </cell>
          <cell r="H3758">
            <v>45536</v>
          </cell>
          <cell r="I3758" t="str">
            <v>6340 - Miscellaneous Expense</v>
          </cell>
          <cell r="J3758">
            <v>0</v>
          </cell>
          <cell r="K3758" t="str">
            <v>Administration</v>
          </cell>
          <cell r="L3758" t="str">
            <v>Other</v>
          </cell>
          <cell r="N3758" t="str">
            <v>SG&amp;A</v>
          </cell>
          <cell r="O3758" t="str">
            <v>[No Vendor]</v>
          </cell>
        </row>
        <row r="3759">
          <cell r="D3759">
            <v>6.25</v>
          </cell>
          <cell r="H3759">
            <v>45536</v>
          </cell>
          <cell r="I3759" t="str">
            <v>6340 - Miscellaneous Expense</v>
          </cell>
          <cell r="J3759">
            <v>0</v>
          </cell>
          <cell r="K3759" t="str">
            <v>Administration</v>
          </cell>
          <cell r="L3759" t="str">
            <v>Other</v>
          </cell>
          <cell r="N3759" t="str">
            <v>SG&amp;A</v>
          </cell>
          <cell r="O3759" t="str">
            <v>[No Vendor]</v>
          </cell>
        </row>
        <row r="3760">
          <cell r="D3760">
            <v>42.86</v>
          </cell>
          <cell r="H3760">
            <v>45536</v>
          </cell>
          <cell r="I3760" t="str">
            <v>6340 - Miscellaneous Expense</v>
          </cell>
          <cell r="J3760">
            <v>0</v>
          </cell>
          <cell r="K3760" t="str">
            <v>Administration</v>
          </cell>
          <cell r="L3760" t="str">
            <v>Other</v>
          </cell>
          <cell r="N3760" t="str">
            <v>SG&amp;A</v>
          </cell>
          <cell r="O3760" t="str">
            <v>[No Vendor]</v>
          </cell>
        </row>
        <row r="3761">
          <cell r="D3761">
            <v>146</v>
          </cell>
          <cell r="H3761">
            <v>45536</v>
          </cell>
          <cell r="I3761" t="str">
            <v>6430 - Dues &amp; Memberships</v>
          </cell>
          <cell r="J3761" t="str">
            <v>Wholesale</v>
          </cell>
          <cell r="K3761" t="str">
            <v>Wholesale</v>
          </cell>
          <cell r="L3761" t="str">
            <v>Professional Service</v>
          </cell>
          <cell r="N3761" t="str">
            <v>Direct Costs</v>
          </cell>
          <cell r="O3761" t="str">
            <v>SPS Commerce</v>
          </cell>
        </row>
        <row r="3762">
          <cell r="D3762">
            <v>589.89</v>
          </cell>
          <cell r="H3762">
            <v>45536</v>
          </cell>
          <cell r="I3762" t="str">
            <v>6300 - Payroll Service Fees</v>
          </cell>
          <cell r="J3762">
            <v>0</v>
          </cell>
          <cell r="K3762" t="str">
            <v>Administration</v>
          </cell>
          <cell r="L3762" t="str">
            <v>Professional Service</v>
          </cell>
          <cell r="N3762" t="str">
            <v>SG&amp;A</v>
          </cell>
          <cell r="O3762" t="str">
            <v>ADP Payroll Services</v>
          </cell>
        </row>
        <row r="3763">
          <cell r="D3763">
            <v>61.04</v>
          </cell>
          <cell r="H3763">
            <v>45536</v>
          </cell>
          <cell r="I3763" t="str">
            <v>6105 - Meals</v>
          </cell>
          <cell r="J3763">
            <v>0</v>
          </cell>
          <cell r="K3763" t="str">
            <v>Administration</v>
          </cell>
          <cell r="L3763" t="str">
            <v>T&amp;E</v>
          </cell>
          <cell r="N3763" t="str">
            <v>SG&amp;A</v>
          </cell>
          <cell r="O3763" t="str">
            <v>[No Vendor]</v>
          </cell>
        </row>
        <row r="3764">
          <cell r="D3764">
            <v>0.76</v>
          </cell>
          <cell r="H3764">
            <v>45536</v>
          </cell>
          <cell r="I3764" t="str">
            <v>8505 - Realized Gain/Loss</v>
          </cell>
          <cell r="J3764">
            <v>0</v>
          </cell>
          <cell r="K3764" t="str">
            <v>No Department</v>
          </cell>
          <cell r="L3764" t="str">
            <v>Realized Gain / Loss</v>
          </cell>
          <cell r="N3764" t="str">
            <v>BTL</v>
          </cell>
          <cell r="O3764" t="str">
            <v>[No Vendor]</v>
          </cell>
        </row>
        <row r="3765">
          <cell r="D3765">
            <v>27015.41</v>
          </cell>
          <cell r="H3765">
            <v>45536</v>
          </cell>
          <cell r="I3765" t="str">
            <v>6005 - Salaries</v>
          </cell>
          <cell r="J3765">
            <v>0</v>
          </cell>
          <cell r="K3765" t="str">
            <v>Administration</v>
          </cell>
          <cell r="L3765" t="str">
            <v>HQ Salaries</v>
          </cell>
          <cell r="N3765" t="str">
            <v>SG&amp;A</v>
          </cell>
          <cell r="O3765" t="str">
            <v>[No Vendor]</v>
          </cell>
        </row>
        <row r="3766">
          <cell r="D3766">
            <v>-652.65</v>
          </cell>
          <cell r="H3766">
            <v>45536</v>
          </cell>
          <cell r="I3766" t="str">
            <v>6340 - Miscellaneous Expense</v>
          </cell>
          <cell r="J3766">
            <v>0</v>
          </cell>
          <cell r="K3766" t="str">
            <v>Administration</v>
          </cell>
          <cell r="L3766" t="str">
            <v>Other</v>
          </cell>
          <cell r="N3766" t="str">
            <v>SG&amp;A</v>
          </cell>
          <cell r="O3766" t="str">
            <v>[No Vendor]</v>
          </cell>
        </row>
        <row r="3767">
          <cell r="D3767">
            <v>18333.330000000002</v>
          </cell>
          <cell r="H3767">
            <v>45536</v>
          </cell>
          <cell r="I3767" t="str">
            <v>6205 - Contractors</v>
          </cell>
          <cell r="J3767">
            <v>0</v>
          </cell>
          <cell r="K3767" t="str">
            <v>Brand Marketing</v>
          </cell>
          <cell r="L3767" t="str">
            <v>HQ Salaries</v>
          </cell>
          <cell r="N3767" t="str">
            <v>SG&amp;A</v>
          </cell>
          <cell r="O3767" t="str">
            <v>[No Vendor]</v>
          </cell>
        </row>
        <row r="3768">
          <cell r="D3768">
            <v>10385.4</v>
          </cell>
          <cell r="H3768">
            <v>45536</v>
          </cell>
          <cell r="I3768" t="str">
            <v>6205 - Contractors</v>
          </cell>
          <cell r="J3768" t="str">
            <v>Ecommerce (US)</v>
          </cell>
          <cell r="K3768" t="str">
            <v>Ecommerce</v>
          </cell>
          <cell r="L3768" t="str">
            <v>HQ Salaries</v>
          </cell>
          <cell r="N3768" t="str">
            <v>SG&amp;A</v>
          </cell>
          <cell r="O3768" t="str">
            <v>[No Vendor]</v>
          </cell>
        </row>
        <row r="3769">
          <cell r="D3769">
            <v>-8.77</v>
          </cell>
          <cell r="H3769">
            <v>45536</v>
          </cell>
          <cell r="I3769" t="str">
            <v>6385 - Insurance</v>
          </cell>
          <cell r="J3769">
            <v>0</v>
          </cell>
          <cell r="K3769" t="str">
            <v>Administration</v>
          </cell>
          <cell r="L3769" t="str">
            <v>Professional Service</v>
          </cell>
          <cell r="N3769" t="str">
            <v>SG&amp;A</v>
          </cell>
          <cell r="O3769" t="str">
            <v>[No Vendor]</v>
          </cell>
        </row>
        <row r="3770">
          <cell r="D3770">
            <v>-13.16</v>
          </cell>
          <cell r="H3770">
            <v>45536</v>
          </cell>
          <cell r="I3770" t="str">
            <v>6385 - Insurance</v>
          </cell>
          <cell r="J3770">
            <v>0</v>
          </cell>
          <cell r="K3770" t="str">
            <v>Administration</v>
          </cell>
          <cell r="L3770" t="str">
            <v>Professional Service</v>
          </cell>
          <cell r="N3770" t="str">
            <v>SG&amp;A</v>
          </cell>
          <cell r="O3770" t="str">
            <v>[No Vendor]</v>
          </cell>
        </row>
        <row r="3771">
          <cell r="D3771">
            <v>-29.56</v>
          </cell>
          <cell r="H3771">
            <v>45536</v>
          </cell>
          <cell r="I3771" t="str">
            <v>6385 - Insurance</v>
          </cell>
          <cell r="J3771">
            <v>0</v>
          </cell>
          <cell r="K3771" t="str">
            <v>Administration</v>
          </cell>
          <cell r="L3771" t="str">
            <v>Professional Service</v>
          </cell>
          <cell r="N3771" t="str">
            <v>SG&amp;A</v>
          </cell>
          <cell r="O3771" t="str">
            <v>[No Vendor]</v>
          </cell>
        </row>
        <row r="3772">
          <cell r="D3772">
            <v>-13.39</v>
          </cell>
          <cell r="H3772">
            <v>45536</v>
          </cell>
          <cell r="I3772" t="str">
            <v>6385 - Insurance</v>
          </cell>
          <cell r="J3772">
            <v>0</v>
          </cell>
          <cell r="K3772" t="str">
            <v>Administration</v>
          </cell>
          <cell r="L3772" t="str">
            <v>Professional Service</v>
          </cell>
          <cell r="N3772" t="str">
            <v>SG&amp;A</v>
          </cell>
          <cell r="O3772" t="str">
            <v>[No Vendor]</v>
          </cell>
        </row>
        <row r="3773">
          <cell r="D3773">
            <v>-42.8</v>
          </cell>
          <cell r="H3773">
            <v>45536</v>
          </cell>
          <cell r="I3773" t="str">
            <v>6385 - Insurance</v>
          </cell>
          <cell r="J3773">
            <v>0</v>
          </cell>
          <cell r="K3773" t="str">
            <v>Administration</v>
          </cell>
          <cell r="L3773" t="str">
            <v>Professional Service</v>
          </cell>
          <cell r="N3773" t="str">
            <v>SG&amp;A</v>
          </cell>
          <cell r="O3773" t="str">
            <v>[No Vendor]</v>
          </cell>
        </row>
        <row r="3774">
          <cell r="D3774">
            <v>-24.45</v>
          </cell>
          <cell r="H3774">
            <v>45536</v>
          </cell>
          <cell r="I3774" t="str">
            <v>6385 - Insurance</v>
          </cell>
          <cell r="J3774">
            <v>0</v>
          </cell>
          <cell r="K3774" t="str">
            <v>Administration</v>
          </cell>
          <cell r="L3774" t="str">
            <v>Professional Service</v>
          </cell>
          <cell r="N3774" t="str">
            <v>SG&amp;A</v>
          </cell>
          <cell r="O3774" t="str">
            <v>[No Vendor]</v>
          </cell>
        </row>
        <row r="3775">
          <cell r="D3775">
            <v>-39.51</v>
          </cell>
          <cell r="H3775">
            <v>45536</v>
          </cell>
          <cell r="I3775" t="str">
            <v>6385 - Insurance</v>
          </cell>
          <cell r="J3775">
            <v>0</v>
          </cell>
          <cell r="K3775" t="str">
            <v>Administration</v>
          </cell>
          <cell r="L3775" t="str">
            <v>Professional Service</v>
          </cell>
          <cell r="N3775" t="str">
            <v>SG&amp;A</v>
          </cell>
          <cell r="O3775" t="str">
            <v>[No Vendor]</v>
          </cell>
        </row>
        <row r="3776">
          <cell r="D3776">
            <v>-40.24</v>
          </cell>
          <cell r="H3776">
            <v>45536</v>
          </cell>
          <cell r="I3776" t="str">
            <v>6385 - Insurance</v>
          </cell>
          <cell r="J3776">
            <v>0</v>
          </cell>
          <cell r="K3776" t="str">
            <v>Administration</v>
          </cell>
          <cell r="L3776" t="str">
            <v>Professional Service</v>
          </cell>
          <cell r="N3776" t="str">
            <v>SG&amp;A</v>
          </cell>
          <cell r="O3776" t="str">
            <v>[No Vendor]</v>
          </cell>
        </row>
        <row r="3777">
          <cell r="D3777">
            <v>579.38</v>
          </cell>
          <cell r="H3777">
            <v>45536</v>
          </cell>
          <cell r="I3777" t="str">
            <v>6055 - Employer Social Security Tax Withheld</v>
          </cell>
          <cell r="J3777">
            <v>0</v>
          </cell>
          <cell r="K3777" t="str">
            <v>Merchandising</v>
          </cell>
          <cell r="L3777" t="str">
            <v>HQ Salaries</v>
          </cell>
          <cell r="N3777" t="str">
            <v>SG&amp;A</v>
          </cell>
          <cell r="O3777" t="str">
            <v>[No Vendor]</v>
          </cell>
        </row>
        <row r="3778">
          <cell r="D3778">
            <v>1111.33</v>
          </cell>
          <cell r="H3778">
            <v>45536</v>
          </cell>
          <cell r="I3778" t="str">
            <v>6055 - Employer Social Security Tax Withheld</v>
          </cell>
          <cell r="J3778" t="str">
            <v>Wholesale</v>
          </cell>
          <cell r="K3778" t="str">
            <v>Wholesale</v>
          </cell>
          <cell r="L3778" t="str">
            <v>HQ Salaries</v>
          </cell>
          <cell r="N3778" t="str">
            <v>SG&amp;A</v>
          </cell>
          <cell r="O3778" t="str">
            <v>[No Vendor]</v>
          </cell>
        </row>
        <row r="3779">
          <cell r="D3779">
            <v>1709.43</v>
          </cell>
          <cell r="H3779">
            <v>45536</v>
          </cell>
          <cell r="I3779" t="str">
            <v>6055 - Employer Social Security Tax Withheld</v>
          </cell>
          <cell r="J3779">
            <v>0</v>
          </cell>
          <cell r="K3779" t="str">
            <v>Production</v>
          </cell>
          <cell r="L3779" t="str">
            <v>HQ Salaries</v>
          </cell>
          <cell r="N3779" t="str">
            <v>SG&amp;A</v>
          </cell>
          <cell r="O3779" t="str">
            <v>[No Vendor]</v>
          </cell>
        </row>
        <row r="3780">
          <cell r="D3780">
            <v>365.94</v>
          </cell>
          <cell r="H3780">
            <v>45536</v>
          </cell>
          <cell r="I3780" t="str">
            <v>6055 - Employer Social Security Tax Withheld</v>
          </cell>
          <cell r="J3780">
            <v>0</v>
          </cell>
          <cell r="K3780" t="str">
            <v>Brand Marketing</v>
          </cell>
          <cell r="L3780" t="str">
            <v>HQ Salaries</v>
          </cell>
          <cell r="N3780" t="str">
            <v>SG&amp;A</v>
          </cell>
          <cell r="O3780" t="str">
            <v>[No Vendor]</v>
          </cell>
        </row>
        <row r="3781">
          <cell r="D3781">
            <v>1181.97</v>
          </cell>
          <cell r="H3781">
            <v>45536</v>
          </cell>
          <cell r="I3781" t="str">
            <v>6055 - Employer Social Security Tax Withheld</v>
          </cell>
          <cell r="J3781">
            <v>0</v>
          </cell>
          <cell r="K3781" t="str">
            <v>Executive</v>
          </cell>
          <cell r="L3781" t="str">
            <v>HQ Salaries</v>
          </cell>
          <cell r="N3781" t="str">
            <v>SG&amp;A</v>
          </cell>
          <cell r="O3781" t="str">
            <v>[No Vendor]</v>
          </cell>
        </row>
        <row r="3782">
          <cell r="D3782">
            <v>1610.08</v>
          </cell>
          <cell r="H3782">
            <v>45536</v>
          </cell>
          <cell r="I3782" t="str">
            <v>6055 - Employer Social Security Tax Withheld</v>
          </cell>
          <cell r="J3782" t="str">
            <v>Ecommerce (US)</v>
          </cell>
          <cell r="K3782" t="str">
            <v>Ecommerce</v>
          </cell>
          <cell r="L3782" t="str">
            <v>HQ Salaries</v>
          </cell>
          <cell r="N3782" t="str">
            <v>SG&amp;A</v>
          </cell>
          <cell r="O3782" t="str">
            <v>[No Vendor]</v>
          </cell>
        </row>
        <row r="3783">
          <cell r="D3783">
            <v>2212.65</v>
          </cell>
          <cell r="H3783">
            <v>45536</v>
          </cell>
          <cell r="I3783" t="str">
            <v>6055 - Employer Social Security Tax Withheld</v>
          </cell>
          <cell r="J3783">
            <v>0</v>
          </cell>
          <cell r="K3783" t="str">
            <v>Design</v>
          </cell>
          <cell r="L3783" t="str">
            <v>HQ Salaries</v>
          </cell>
          <cell r="N3783" t="str">
            <v>SG&amp;A</v>
          </cell>
          <cell r="O3783" t="str">
            <v>[No Vendor]</v>
          </cell>
        </row>
        <row r="3784">
          <cell r="D3784">
            <v>1953.17</v>
          </cell>
          <cell r="H3784">
            <v>45536</v>
          </cell>
          <cell r="I3784" t="str">
            <v>6055 - Employer Social Security Tax Withheld</v>
          </cell>
          <cell r="J3784">
            <v>0</v>
          </cell>
          <cell r="K3784" t="str">
            <v>Administration</v>
          </cell>
          <cell r="L3784" t="str">
            <v>HQ Salaries</v>
          </cell>
          <cell r="N3784" t="str">
            <v>SG&amp;A</v>
          </cell>
          <cell r="O3784" t="str">
            <v>[No Vendor]</v>
          </cell>
        </row>
        <row r="3785">
          <cell r="D3785">
            <v>-45.16</v>
          </cell>
          <cell r="H3785">
            <v>45536</v>
          </cell>
          <cell r="I3785" t="str">
            <v>6040 - Employer Paid Benefits</v>
          </cell>
          <cell r="J3785" t="str">
            <v>Wholesale</v>
          </cell>
          <cell r="K3785" t="str">
            <v>Wholesale</v>
          </cell>
          <cell r="L3785" t="str">
            <v>HQ Salaries</v>
          </cell>
          <cell r="N3785" t="str">
            <v>SG&amp;A</v>
          </cell>
          <cell r="O3785" t="str">
            <v>[No Vendor]</v>
          </cell>
        </row>
        <row r="3786">
          <cell r="D3786">
            <v>-281.35000000000002</v>
          </cell>
          <cell r="H3786">
            <v>45536</v>
          </cell>
          <cell r="I3786" t="str">
            <v>6040 - Employer Paid Benefits</v>
          </cell>
          <cell r="J3786">
            <v>0</v>
          </cell>
          <cell r="K3786" t="str">
            <v>Production</v>
          </cell>
          <cell r="L3786" t="str">
            <v>HQ Salaries</v>
          </cell>
          <cell r="N3786" t="str">
            <v>SG&amp;A</v>
          </cell>
          <cell r="O3786" t="str">
            <v>[No Vendor]</v>
          </cell>
        </row>
        <row r="3787">
          <cell r="D3787">
            <v>-22.58</v>
          </cell>
          <cell r="H3787">
            <v>45536</v>
          </cell>
          <cell r="I3787" t="str">
            <v>6040 - Employer Paid Benefits</v>
          </cell>
          <cell r="J3787">
            <v>0</v>
          </cell>
          <cell r="K3787" t="str">
            <v>Brand Marketing</v>
          </cell>
          <cell r="L3787" t="str">
            <v>HQ Salaries</v>
          </cell>
          <cell r="N3787" t="str">
            <v>SG&amp;A</v>
          </cell>
          <cell r="O3787" t="str">
            <v>[No Vendor]</v>
          </cell>
        </row>
        <row r="3788">
          <cell r="D3788">
            <v>-234.27</v>
          </cell>
          <cell r="H3788">
            <v>45536</v>
          </cell>
          <cell r="I3788" t="str">
            <v>6040 - Employer Paid Benefits</v>
          </cell>
          <cell r="J3788">
            <v>0</v>
          </cell>
          <cell r="K3788" t="str">
            <v>Executive</v>
          </cell>
          <cell r="L3788" t="str">
            <v>HQ Salaries</v>
          </cell>
          <cell r="N3788" t="str">
            <v>SG&amp;A</v>
          </cell>
          <cell r="O3788" t="str">
            <v>[No Vendor]</v>
          </cell>
        </row>
        <row r="3789">
          <cell r="D3789">
            <v>-121.85</v>
          </cell>
          <cell r="H3789">
            <v>45536</v>
          </cell>
          <cell r="I3789" t="str">
            <v>6040 - Employer Paid Benefits</v>
          </cell>
          <cell r="J3789" t="str">
            <v>Ecommerce (US)</v>
          </cell>
          <cell r="K3789" t="str">
            <v>Ecommerce</v>
          </cell>
          <cell r="L3789" t="str">
            <v>HQ Salaries</v>
          </cell>
          <cell r="N3789" t="str">
            <v>SG&amp;A</v>
          </cell>
          <cell r="O3789" t="str">
            <v>[No Vendor]</v>
          </cell>
        </row>
        <row r="3790">
          <cell r="D3790">
            <v>-363.42</v>
          </cell>
          <cell r="H3790">
            <v>45536</v>
          </cell>
          <cell r="I3790" t="str">
            <v>6040 - Employer Paid Benefits</v>
          </cell>
          <cell r="J3790">
            <v>0</v>
          </cell>
          <cell r="K3790" t="str">
            <v>Design</v>
          </cell>
          <cell r="L3790" t="str">
            <v>HQ Salaries</v>
          </cell>
          <cell r="N3790" t="str">
            <v>SG&amp;A</v>
          </cell>
          <cell r="O3790" t="str">
            <v>[No Vendor]</v>
          </cell>
        </row>
        <row r="3791">
          <cell r="D3791">
            <v>-200.39</v>
          </cell>
          <cell r="H3791">
            <v>45536</v>
          </cell>
          <cell r="I3791" t="str">
            <v>6040 - Employer Paid Benefits</v>
          </cell>
          <cell r="J3791">
            <v>0</v>
          </cell>
          <cell r="K3791" t="str">
            <v>Administration</v>
          </cell>
          <cell r="L3791" t="str">
            <v>HQ Salaries</v>
          </cell>
          <cell r="N3791" t="str">
            <v>SG&amp;A</v>
          </cell>
          <cell r="O3791" t="str">
            <v>[No Vendor]</v>
          </cell>
        </row>
        <row r="3792">
          <cell r="D3792">
            <v>5150</v>
          </cell>
          <cell r="H3792">
            <v>45536</v>
          </cell>
          <cell r="I3792" t="str">
            <v>6005 - Salaries</v>
          </cell>
          <cell r="J3792">
            <v>0</v>
          </cell>
          <cell r="K3792" t="str">
            <v>Merchandising</v>
          </cell>
          <cell r="L3792" t="str">
            <v>HQ Salaries</v>
          </cell>
          <cell r="N3792" t="str">
            <v>SG&amp;A</v>
          </cell>
          <cell r="O3792" t="str">
            <v>[No Vendor]</v>
          </cell>
        </row>
        <row r="3793">
          <cell r="D3793">
            <v>9911.5499999999993</v>
          </cell>
          <cell r="H3793">
            <v>45536</v>
          </cell>
          <cell r="I3793" t="str">
            <v>6005 - Salaries</v>
          </cell>
          <cell r="J3793" t="str">
            <v>Wholesale</v>
          </cell>
          <cell r="K3793" t="str">
            <v>Wholesale</v>
          </cell>
          <cell r="L3793" t="str">
            <v>HQ Salaries</v>
          </cell>
          <cell r="N3793" t="str">
            <v>SG&amp;A</v>
          </cell>
          <cell r="O3793" t="str">
            <v>[No Vendor]</v>
          </cell>
        </row>
        <row r="3794">
          <cell r="D3794">
            <v>19988.490000000002</v>
          </cell>
          <cell r="H3794">
            <v>45536</v>
          </cell>
          <cell r="I3794" t="str">
            <v>6005 - Salaries</v>
          </cell>
          <cell r="J3794">
            <v>0</v>
          </cell>
          <cell r="K3794" t="str">
            <v>Production</v>
          </cell>
          <cell r="L3794" t="str">
            <v>HQ Salaries</v>
          </cell>
          <cell r="N3794" t="str">
            <v>SG&amp;A</v>
          </cell>
          <cell r="O3794" t="str">
            <v>[No Vendor]</v>
          </cell>
        </row>
        <row r="3795">
          <cell r="D3795">
            <v>3269.24</v>
          </cell>
          <cell r="H3795">
            <v>45536</v>
          </cell>
          <cell r="I3795" t="str">
            <v>6005 - Salaries</v>
          </cell>
          <cell r="J3795">
            <v>0</v>
          </cell>
          <cell r="K3795" t="str">
            <v>Brand Marketing</v>
          </cell>
          <cell r="L3795" t="str">
            <v>HQ Salaries</v>
          </cell>
          <cell r="N3795" t="str">
            <v>SG&amp;A</v>
          </cell>
          <cell r="O3795" t="str">
            <v>[No Vendor]</v>
          </cell>
        </row>
        <row r="3796">
          <cell r="D3796">
            <v>11153.85</v>
          </cell>
          <cell r="H3796">
            <v>45536</v>
          </cell>
          <cell r="I3796" t="str">
            <v>6005 - Salaries</v>
          </cell>
          <cell r="J3796">
            <v>0</v>
          </cell>
          <cell r="K3796" t="str">
            <v>Executive</v>
          </cell>
          <cell r="L3796" t="str">
            <v>HQ Salaries</v>
          </cell>
          <cell r="N3796" t="str">
            <v>SG&amp;A</v>
          </cell>
          <cell r="O3796" t="str">
            <v>[No Vendor]</v>
          </cell>
        </row>
        <row r="3797">
          <cell r="D3797">
            <v>20780.8</v>
          </cell>
          <cell r="H3797">
            <v>45536</v>
          </cell>
          <cell r="I3797" t="str">
            <v>6005 - Salaries</v>
          </cell>
          <cell r="J3797" t="str">
            <v>Ecommerce (US)</v>
          </cell>
          <cell r="K3797" t="str">
            <v>Ecommerce</v>
          </cell>
          <cell r="L3797" t="str">
            <v>HQ Salaries</v>
          </cell>
          <cell r="N3797" t="str">
            <v>SG&amp;A</v>
          </cell>
          <cell r="O3797" t="str">
            <v>[No Vendor]</v>
          </cell>
        </row>
        <row r="3798">
          <cell r="D3798">
            <v>20857.7</v>
          </cell>
          <cell r="H3798">
            <v>45536</v>
          </cell>
          <cell r="I3798" t="str">
            <v>6005 - Salaries</v>
          </cell>
          <cell r="J3798">
            <v>0</v>
          </cell>
          <cell r="K3798" t="str">
            <v>Design</v>
          </cell>
          <cell r="L3798" t="str">
            <v>HQ Salaries</v>
          </cell>
          <cell r="N3798" t="str">
            <v>SG&amp;A</v>
          </cell>
          <cell r="O3798" t="str">
            <v>[No Vendor]</v>
          </cell>
        </row>
        <row r="3799">
          <cell r="D3799">
            <v>607.63</v>
          </cell>
          <cell r="H3799">
            <v>45536</v>
          </cell>
          <cell r="I3799" t="str">
            <v>6375 - Freight Expenses</v>
          </cell>
          <cell r="J3799" t="str">
            <v>Wholesale</v>
          </cell>
          <cell r="K3799" t="str">
            <v>Wholesale</v>
          </cell>
          <cell r="L3799" t="str">
            <v>Freight</v>
          </cell>
          <cell r="N3799" t="str">
            <v>Direct Costs</v>
          </cell>
          <cell r="O3799" t="str">
            <v>UPS Supply Chain Solutions Inc. (7F24A0)</v>
          </cell>
        </row>
        <row r="3800">
          <cell r="D3800">
            <v>22638.35</v>
          </cell>
          <cell r="H3800">
            <v>45536</v>
          </cell>
          <cell r="I3800" t="str">
            <v>6375 - Freight Expenses</v>
          </cell>
          <cell r="J3800" t="str">
            <v>Ecommerce (US)</v>
          </cell>
          <cell r="K3800" t="str">
            <v>Ecommerce</v>
          </cell>
          <cell r="L3800" t="str">
            <v>Freight</v>
          </cell>
          <cell r="N3800" t="str">
            <v>Direct Costs</v>
          </cell>
          <cell r="O3800" t="str">
            <v>UPS Supply Chain Solutions Inc. (7F24A0)</v>
          </cell>
        </row>
        <row r="3801">
          <cell r="D3801">
            <v>200.18</v>
          </cell>
          <cell r="H3801">
            <v>45536</v>
          </cell>
          <cell r="I3801" t="str">
            <v>6375 - Freight Expenses</v>
          </cell>
          <cell r="J3801" t="str">
            <v>Ecommerce (EU)</v>
          </cell>
          <cell r="K3801" t="str">
            <v>Ecommerce</v>
          </cell>
          <cell r="L3801" t="str">
            <v>Freight</v>
          </cell>
          <cell r="N3801" t="str">
            <v>Direct Costs</v>
          </cell>
          <cell r="O3801" t="str">
            <v>UPS Supply Chain Solutions Inc. (7F24A0)</v>
          </cell>
        </row>
        <row r="3802">
          <cell r="D3802">
            <v>370.5</v>
          </cell>
          <cell r="H3802">
            <v>45536</v>
          </cell>
          <cell r="I3802" t="str">
            <v>6240 - Product Photography</v>
          </cell>
          <cell r="J3802" t="str">
            <v>Ecommerce (US)</v>
          </cell>
          <cell r="K3802" t="str">
            <v>Brand Marketing</v>
          </cell>
          <cell r="L3802" t="str">
            <v>Advertising</v>
          </cell>
          <cell r="N3802" t="str">
            <v>SG&amp;A</v>
          </cell>
          <cell r="O3802" t="str">
            <v>LENFLASH dot COM</v>
          </cell>
        </row>
        <row r="3803">
          <cell r="D3803">
            <v>282.04000000000002</v>
          </cell>
          <cell r="H3803">
            <v>45536</v>
          </cell>
          <cell r="I3803" t="str">
            <v>6120 - Lodging</v>
          </cell>
          <cell r="J3803">
            <v>0</v>
          </cell>
          <cell r="K3803" t="str">
            <v>Production</v>
          </cell>
          <cell r="L3803" t="str">
            <v>T&amp;E</v>
          </cell>
          <cell r="N3803" t="str">
            <v>SG&amp;A</v>
          </cell>
          <cell r="O3803" t="str">
            <v>Frank Dell'Aquila</v>
          </cell>
        </row>
        <row r="3804">
          <cell r="D3804">
            <v>0.33</v>
          </cell>
          <cell r="H3804">
            <v>45536</v>
          </cell>
          <cell r="I3804" t="str">
            <v>6450 - Bank &amp; Other Fees</v>
          </cell>
          <cell r="J3804">
            <v>0</v>
          </cell>
          <cell r="K3804" t="str">
            <v>Production</v>
          </cell>
          <cell r="L3804" t="str">
            <v>Professional Service</v>
          </cell>
          <cell r="N3804" t="str">
            <v>SG&amp;A</v>
          </cell>
          <cell r="O3804" t="str">
            <v>Frank Dell'Aquila</v>
          </cell>
        </row>
        <row r="3805">
          <cell r="D3805">
            <v>4.2300000000000004</v>
          </cell>
          <cell r="H3805">
            <v>45536</v>
          </cell>
          <cell r="I3805" t="str">
            <v>6450 - Bank &amp; Other Fees</v>
          </cell>
          <cell r="J3805">
            <v>0</v>
          </cell>
          <cell r="K3805" t="str">
            <v>Production</v>
          </cell>
          <cell r="L3805" t="str">
            <v>Professional Service</v>
          </cell>
          <cell r="N3805" t="str">
            <v>SG&amp;A</v>
          </cell>
          <cell r="O3805" t="str">
            <v>Frank Dell'Aquila</v>
          </cell>
        </row>
        <row r="3806">
          <cell r="D3806">
            <v>22.12</v>
          </cell>
          <cell r="H3806">
            <v>45536</v>
          </cell>
          <cell r="I3806" t="str">
            <v>6105 - Meals</v>
          </cell>
          <cell r="J3806">
            <v>0</v>
          </cell>
          <cell r="K3806" t="str">
            <v>Production</v>
          </cell>
          <cell r="L3806" t="str">
            <v>T&amp;E</v>
          </cell>
          <cell r="N3806" t="str">
            <v>SG&amp;A</v>
          </cell>
          <cell r="O3806" t="str">
            <v>Frank Dell'Aquila</v>
          </cell>
        </row>
        <row r="3807">
          <cell r="D3807">
            <v>45.8</v>
          </cell>
          <cell r="H3807">
            <v>45536</v>
          </cell>
          <cell r="I3807" t="str">
            <v>6375 - Freight Expenses</v>
          </cell>
          <cell r="J3807" t="str">
            <v>Ecommerce (US)</v>
          </cell>
          <cell r="K3807" t="str">
            <v>Ecommerce</v>
          </cell>
          <cell r="L3807" t="str">
            <v>Freight</v>
          </cell>
          <cell r="N3807" t="str">
            <v>Direct Costs</v>
          </cell>
          <cell r="O3807" t="str">
            <v>Federal Express</v>
          </cell>
        </row>
        <row r="3808">
          <cell r="D3808">
            <v>44.4</v>
          </cell>
          <cell r="H3808">
            <v>45536</v>
          </cell>
          <cell r="I3808" t="str">
            <v>6375 - Freight Expenses</v>
          </cell>
          <cell r="J3808" t="str">
            <v>Ecommerce (US)</v>
          </cell>
          <cell r="K3808" t="str">
            <v>Ecommerce</v>
          </cell>
          <cell r="L3808" t="str">
            <v>Freight</v>
          </cell>
          <cell r="N3808" t="str">
            <v>Direct Costs</v>
          </cell>
          <cell r="O3808" t="str">
            <v>Federal Express</v>
          </cell>
        </row>
        <row r="3809">
          <cell r="D3809">
            <v>709.61</v>
          </cell>
          <cell r="H3809">
            <v>45536</v>
          </cell>
          <cell r="I3809" t="str">
            <v>6040 - Employer Paid Benefits</v>
          </cell>
          <cell r="J3809">
            <v>0</v>
          </cell>
          <cell r="K3809" t="str">
            <v>Administration</v>
          </cell>
          <cell r="L3809" t="str">
            <v>HQ Salaries</v>
          </cell>
          <cell r="N3809" t="str">
            <v>SG&amp;A</v>
          </cell>
          <cell r="O3809" t="str">
            <v>[No Vendor]</v>
          </cell>
        </row>
        <row r="3810">
          <cell r="D3810">
            <v>9443.57</v>
          </cell>
          <cell r="H3810">
            <v>45536</v>
          </cell>
          <cell r="I3810" t="str">
            <v>6377 - Order Processing Expenses (New)</v>
          </cell>
          <cell r="J3810" t="str">
            <v>Ecommerce (EU)</v>
          </cell>
          <cell r="K3810" t="str">
            <v>Ecommerce</v>
          </cell>
          <cell r="L3810" t="str">
            <v>Order Processing</v>
          </cell>
          <cell r="N3810" t="str">
            <v>Direct Costs</v>
          </cell>
          <cell r="O3810" t="str">
            <v>[No Vendor]</v>
          </cell>
        </row>
        <row r="3811">
          <cell r="D3811">
            <v>2863.98</v>
          </cell>
          <cell r="H3811">
            <v>45536</v>
          </cell>
          <cell r="I3811" t="str">
            <v>6450 - Bank &amp; Other Fees</v>
          </cell>
          <cell r="J3811" t="str">
            <v>Ecommerce (EU)</v>
          </cell>
          <cell r="K3811" t="str">
            <v>Ecommerce</v>
          </cell>
          <cell r="L3811" t="str">
            <v>Professional Service</v>
          </cell>
          <cell r="N3811" t="str">
            <v>Direct Costs</v>
          </cell>
          <cell r="O3811" t="str">
            <v>[No Vendor]</v>
          </cell>
        </row>
        <row r="3812">
          <cell r="D3812">
            <v>4206.25</v>
          </cell>
          <cell r="H3812">
            <v>45536</v>
          </cell>
          <cell r="I3812" t="str">
            <v>6375 - Freight Expenses</v>
          </cell>
          <cell r="J3812" t="str">
            <v>Ecommerce (EU)</v>
          </cell>
          <cell r="K3812" t="str">
            <v>Ecommerce</v>
          </cell>
          <cell r="L3812" t="str">
            <v>Freight</v>
          </cell>
          <cell r="N3812" t="str">
            <v>Direct Costs</v>
          </cell>
          <cell r="O3812" t="str">
            <v>Global E</v>
          </cell>
        </row>
        <row r="3813">
          <cell r="D3813">
            <v>31.31</v>
          </cell>
          <cell r="H3813">
            <v>45536</v>
          </cell>
          <cell r="I3813" t="str">
            <v>6375 - Freight Expenses</v>
          </cell>
          <cell r="J3813" t="str">
            <v>Ecommerce (US)</v>
          </cell>
          <cell r="K3813" t="str">
            <v>Ecommerce</v>
          </cell>
          <cell r="L3813" t="str">
            <v>Freight</v>
          </cell>
          <cell r="N3813" t="str">
            <v>Direct Costs</v>
          </cell>
          <cell r="O3813" t="str">
            <v>Federal Express</v>
          </cell>
        </row>
        <row r="3814">
          <cell r="D3814">
            <v>760</v>
          </cell>
          <cell r="H3814">
            <v>45536</v>
          </cell>
          <cell r="I3814" t="str">
            <v>6380 - Legal &amp; Accounting</v>
          </cell>
          <cell r="J3814">
            <v>0</v>
          </cell>
          <cell r="K3814" t="str">
            <v>Administration</v>
          </cell>
          <cell r="L3814" t="str">
            <v>Professional Service</v>
          </cell>
          <cell r="N3814" t="str">
            <v>SG&amp;A</v>
          </cell>
          <cell r="O3814" t="str">
            <v>Korus Legal P.C.</v>
          </cell>
        </row>
        <row r="3815">
          <cell r="D3815">
            <v>1034.31</v>
          </cell>
          <cell r="H3815">
            <v>45536</v>
          </cell>
          <cell r="I3815" t="str">
            <v>6340 - Miscellaneous Expense</v>
          </cell>
          <cell r="J3815">
            <v>0</v>
          </cell>
          <cell r="K3815" t="str">
            <v>Administration</v>
          </cell>
          <cell r="L3815" t="str">
            <v>Other</v>
          </cell>
          <cell r="N3815" t="str">
            <v>SG&amp;A</v>
          </cell>
          <cell r="O3815" t="str">
            <v>Go Gleem LLC</v>
          </cell>
        </row>
        <row r="3816">
          <cell r="D3816">
            <v>274.74</v>
          </cell>
          <cell r="H3816">
            <v>45536</v>
          </cell>
          <cell r="I3816" t="str">
            <v>6040 - Employer Paid Benefits</v>
          </cell>
          <cell r="J3816">
            <v>0</v>
          </cell>
          <cell r="K3816" t="str">
            <v>Design</v>
          </cell>
          <cell r="L3816" t="str">
            <v>HQ Salaries</v>
          </cell>
          <cell r="N3816" t="str">
            <v>SG&amp;A</v>
          </cell>
          <cell r="O3816" t="str">
            <v>Procyon Benefits LLC</v>
          </cell>
        </row>
        <row r="3817">
          <cell r="D3817">
            <v>1527.5</v>
          </cell>
          <cell r="H3817">
            <v>45536</v>
          </cell>
          <cell r="I3817" t="str">
            <v>6300 - Payroll Service Fees</v>
          </cell>
          <cell r="J3817">
            <v>0</v>
          </cell>
          <cell r="K3817" t="str">
            <v>Administration</v>
          </cell>
          <cell r="L3817" t="str">
            <v>Professional Service</v>
          </cell>
          <cell r="N3817" t="str">
            <v>SG&amp;A</v>
          </cell>
          <cell r="O3817" t="str">
            <v>OperationsInc, LLC</v>
          </cell>
        </row>
        <row r="3818">
          <cell r="D3818">
            <v>3282.59</v>
          </cell>
          <cell r="H3818">
            <v>45536</v>
          </cell>
          <cell r="I3818" t="str">
            <v>6375 - Freight Expenses</v>
          </cell>
          <cell r="J3818">
            <v>0</v>
          </cell>
          <cell r="K3818" t="str">
            <v>Production</v>
          </cell>
          <cell r="L3818" t="str">
            <v>Freight</v>
          </cell>
          <cell r="N3818" t="str">
            <v>Direct Costs</v>
          </cell>
          <cell r="O3818" t="str">
            <v>DHL Express - USA</v>
          </cell>
        </row>
        <row r="3819">
          <cell r="D3819">
            <v>23.2</v>
          </cell>
          <cell r="H3819">
            <v>45536</v>
          </cell>
          <cell r="I3819" t="str">
            <v>6040 - Employer Paid Benefits</v>
          </cell>
          <cell r="J3819">
            <v>0</v>
          </cell>
          <cell r="K3819" t="str">
            <v>Production</v>
          </cell>
          <cell r="L3819" t="str">
            <v>HQ Salaries</v>
          </cell>
          <cell r="N3819" t="str">
            <v>SG&amp;A</v>
          </cell>
          <cell r="O3819" t="str">
            <v>Procyon Benefits LLC</v>
          </cell>
        </row>
        <row r="3820">
          <cell r="D3820">
            <v>31.1</v>
          </cell>
          <cell r="H3820">
            <v>45536</v>
          </cell>
          <cell r="I3820" t="str">
            <v>6040 - Employer Paid Benefits</v>
          </cell>
          <cell r="J3820">
            <v>0</v>
          </cell>
          <cell r="K3820" t="str">
            <v>Merchandising</v>
          </cell>
          <cell r="L3820" t="str">
            <v>HQ Salaries</v>
          </cell>
          <cell r="N3820" t="str">
            <v>SG&amp;A</v>
          </cell>
          <cell r="O3820" t="str">
            <v>Procyon Benefits LLC</v>
          </cell>
        </row>
        <row r="3821">
          <cell r="D3821">
            <v>21.6</v>
          </cell>
          <cell r="H3821">
            <v>45536</v>
          </cell>
          <cell r="I3821" t="str">
            <v>6040 - Employer Paid Benefits</v>
          </cell>
          <cell r="J3821">
            <v>0</v>
          </cell>
          <cell r="K3821" t="str">
            <v>Brand Marketing</v>
          </cell>
          <cell r="L3821" t="str">
            <v>HQ Salaries</v>
          </cell>
          <cell r="N3821" t="str">
            <v>SG&amp;A</v>
          </cell>
          <cell r="O3821" t="str">
            <v>Procyon Benefits LLC</v>
          </cell>
        </row>
        <row r="3822">
          <cell r="D3822">
            <v>373.54</v>
          </cell>
          <cell r="H3822">
            <v>45536</v>
          </cell>
          <cell r="I3822" t="str">
            <v>6040 - Employer Paid Benefits</v>
          </cell>
          <cell r="J3822">
            <v>0</v>
          </cell>
          <cell r="K3822" t="str">
            <v>Executive</v>
          </cell>
          <cell r="L3822" t="str">
            <v>HQ Salaries</v>
          </cell>
          <cell r="N3822" t="str">
            <v>SG&amp;A</v>
          </cell>
          <cell r="O3822" t="str">
            <v>Procyon Benefits LLC</v>
          </cell>
        </row>
        <row r="3823">
          <cell r="D3823">
            <v>-5.71</v>
          </cell>
          <cell r="H3823">
            <v>45536</v>
          </cell>
          <cell r="I3823" t="str">
            <v>6377 - Order Processing Expenses (New)</v>
          </cell>
          <cell r="J3823" t="str">
            <v>Ecommerce (US)</v>
          </cell>
          <cell r="K3823" t="str">
            <v>No Department</v>
          </cell>
          <cell r="L3823" t="str">
            <v>Order Processing</v>
          </cell>
          <cell r="N3823" t="str">
            <v>Direct Costs</v>
          </cell>
          <cell r="O3823" t="str">
            <v>Bergen Logistics Corporation</v>
          </cell>
        </row>
        <row r="3824">
          <cell r="D3824">
            <v>723.72</v>
          </cell>
          <cell r="H3824">
            <v>45536</v>
          </cell>
          <cell r="I3824" t="str">
            <v>6375 - Freight Expenses</v>
          </cell>
          <cell r="J3824" t="str">
            <v>Ecommerce (EU)</v>
          </cell>
          <cell r="K3824" t="str">
            <v>Ecommerce</v>
          </cell>
          <cell r="L3824" t="str">
            <v>Freight</v>
          </cell>
          <cell r="N3824" t="str">
            <v>Direct Costs</v>
          </cell>
          <cell r="O3824" t="str">
            <v>UPS Supply Chain Solutions Inc. (7F24A0)</v>
          </cell>
        </row>
        <row r="3825">
          <cell r="D3825">
            <v>4500</v>
          </cell>
          <cell r="H3825">
            <v>45536</v>
          </cell>
          <cell r="I3825" t="str">
            <v>6225 - Professional Services</v>
          </cell>
          <cell r="J3825" t="str">
            <v>Ecommerce (US)</v>
          </cell>
          <cell r="K3825" t="str">
            <v>Ecommerce</v>
          </cell>
          <cell r="L3825" t="str">
            <v>Professional Service</v>
          </cell>
          <cell r="N3825" t="str">
            <v>Direct Costs</v>
          </cell>
          <cell r="O3825" t="str">
            <v>Freeflow LLC</v>
          </cell>
        </row>
        <row r="3826">
          <cell r="D3826">
            <v>-304.10000000000002</v>
          </cell>
          <cell r="H3826">
            <v>45536</v>
          </cell>
          <cell r="I3826" t="str">
            <v>8505 - Realized Gain/Loss</v>
          </cell>
          <cell r="J3826">
            <v>0</v>
          </cell>
          <cell r="K3826" t="str">
            <v>No Department</v>
          </cell>
          <cell r="L3826" t="str">
            <v>Realized Gain / Loss</v>
          </cell>
          <cell r="N3826" t="str">
            <v>BTL</v>
          </cell>
          <cell r="O3826" t="str">
            <v>[No Vendor]</v>
          </cell>
        </row>
        <row r="3827">
          <cell r="D3827">
            <v>325.25</v>
          </cell>
          <cell r="H3827">
            <v>45536</v>
          </cell>
          <cell r="I3827" t="str">
            <v>6300 - Payroll Service Fees</v>
          </cell>
          <cell r="J3827">
            <v>0</v>
          </cell>
          <cell r="K3827" t="str">
            <v>Administration</v>
          </cell>
          <cell r="L3827" t="str">
            <v>Professional Service</v>
          </cell>
          <cell r="N3827" t="str">
            <v>SG&amp;A</v>
          </cell>
          <cell r="O3827" t="str">
            <v>ADP Payroll Services</v>
          </cell>
        </row>
        <row r="3828">
          <cell r="D3828">
            <v>25917.08</v>
          </cell>
          <cell r="H3828">
            <v>45536</v>
          </cell>
          <cell r="I3828" t="str">
            <v>6375 - Freight Expenses</v>
          </cell>
          <cell r="J3828" t="str">
            <v>Ecommerce (US)</v>
          </cell>
          <cell r="K3828" t="str">
            <v>Ecommerce</v>
          </cell>
          <cell r="L3828" t="str">
            <v>Freight</v>
          </cell>
          <cell r="N3828" t="str">
            <v>Direct Costs</v>
          </cell>
          <cell r="O3828" t="str">
            <v>UPS Supply Chain Solutions Inc. (7F24A0)</v>
          </cell>
        </row>
        <row r="3829">
          <cell r="D3829">
            <v>719.8</v>
          </cell>
          <cell r="H3829">
            <v>45536</v>
          </cell>
          <cell r="I3829" t="str">
            <v>6410 - Lease Expense</v>
          </cell>
          <cell r="J3829">
            <v>0</v>
          </cell>
          <cell r="K3829" t="str">
            <v>Administration</v>
          </cell>
          <cell r="L3829" t="str">
            <v>Rent</v>
          </cell>
          <cell r="N3829" t="str">
            <v>SG&amp;A</v>
          </cell>
          <cell r="O3829" t="str">
            <v>Canon Financial Services, Inc.</v>
          </cell>
        </row>
        <row r="3830">
          <cell r="D3830">
            <v>1208.0899999999999</v>
          </cell>
          <cell r="H3830">
            <v>45536</v>
          </cell>
          <cell r="I3830" t="str">
            <v>6375 - Freight Expenses</v>
          </cell>
          <cell r="J3830" t="str">
            <v>Wholesale</v>
          </cell>
          <cell r="K3830" t="str">
            <v>Wholesale</v>
          </cell>
          <cell r="L3830" t="str">
            <v>Freight</v>
          </cell>
          <cell r="N3830" t="str">
            <v>Direct Costs</v>
          </cell>
          <cell r="O3830" t="str">
            <v>UPS Supply Chain Solutions Inc. (7F24A0)</v>
          </cell>
        </row>
        <row r="3831">
          <cell r="D3831">
            <v>343.99</v>
          </cell>
          <cell r="H3831">
            <v>45536</v>
          </cell>
          <cell r="I3831" t="str">
            <v>6375 - Freight Expenses</v>
          </cell>
          <cell r="J3831" t="str">
            <v>Wholesale</v>
          </cell>
          <cell r="K3831" t="str">
            <v>Wholesale</v>
          </cell>
          <cell r="L3831" t="str">
            <v>Freight</v>
          </cell>
          <cell r="N3831" t="str">
            <v>Direct Costs</v>
          </cell>
          <cell r="O3831" t="str">
            <v>Bergen Logistics Corporation</v>
          </cell>
        </row>
        <row r="3832">
          <cell r="D3832">
            <v>30939.86</v>
          </cell>
          <cell r="H3832">
            <v>45536</v>
          </cell>
          <cell r="I3832" t="str">
            <v>6377 - Order Processing Expenses (New)</v>
          </cell>
          <cell r="J3832" t="str">
            <v>Ecommerce (US)</v>
          </cell>
          <cell r="K3832" t="str">
            <v>Ecommerce</v>
          </cell>
          <cell r="L3832" t="str">
            <v>Order Processing</v>
          </cell>
          <cell r="N3832" t="str">
            <v>Direct Costs</v>
          </cell>
          <cell r="O3832" t="str">
            <v>Bergen Logistics Corporation</v>
          </cell>
        </row>
        <row r="3833">
          <cell r="D3833">
            <v>2614.17</v>
          </cell>
          <cell r="H3833">
            <v>45536</v>
          </cell>
          <cell r="I3833" t="str">
            <v>6377 - Order Processing Expenses (New)</v>
          </cell>
          <cell r="J3833" t="str">
            <v>Wholesale</v>
          </cell>
          <cell r="K3833" t="str">
            <v>Wholesale</v>
          </cell>
          <cell r="L3833" t="str">
            <v>Order Processing</v>
          </cell>
          <cell r="N3833" t="str">
            <v>Direct Costs</v>
          </cell>
          <cell r="O3833" t="str">
            <v>Bergen Logistics Corporation</v>
          </cell>
        </row>
        <row r="3834">
          <cell r="D3834">
            <v>199.6</v>
          </cell>
          <cell r="H3834">
            <v>45536</v>
          </cell>
          <cell r="I3834" t="str">
            <v>6375 - Freight Expenses</v>
          </cell>
          <cell r="J3834" t="str">
            <v>Ecommerce (US)</v>
          </cell>
          <cell r="K3834" t="str">
            <v>Ecommerce</v>
          </cell>
          <cell r="L3834" t="str">
            <v>Freight</v>
          </cell>
          <cell r="N3834" t="str">
            <v>Direct Costs</v>
          </cell>
          <cell r="O3834" t="str">
            <v>Bergen Logistics Corporation</v>
          </cell>
        </row>
        <row r="3835">
          <cell r="D3835">
            <v>391.18</v>
          </cell>
          <cell r="H3835">
            <v>45536</v>
          </cell>
          <cell r="I3835" t="str">
            <v>6375 - Freight Expenses</v>
          </cell>
          <cell r="J3835" t="str">
            <v>Ecommerce (EU)</v>
          </cell>
          <cell r="K3835" t="str">
            <v>Ecommerce</v>
          </cell>
          <cell r="L3835" t="str">
            <v>Freight</v>
          </cell>
          <cell r="N3835" t="str">
            <v>Direct Costs</v>
          </cell>
          <cell r="O3835" t="str">
            <v>UPS Supply Chain Solutions Inc. (7F24A0)</v>
          </cell>
        </row>
        <row r="3836">
          <cell r="D3836">
            <v>4272.53</v>
          </cell>
          <cell r="H3836">
            <v>45536</v>
          </cell>
          <cell r="I3836" t="str">
            <v>6210 - Monitoring</v>
          </cell>
          <cell r="J3836" t="str">
            <v>Ecommerce (EU)</v>
          </cell>
          <cell r="K3836" t="str">
            <v>Ecommerce</v>
          </cell>
          <cell r="L3836" t="str">
            <v>Professional Service</v>
          </cell>
          <cell r="N3836" t="str">
            <v>Direct Costs</v>
          </cell>
          <cell r="O3836" t="str">
            <v>Convey SRL</v>
          </cell>
        </row>
        <row r="3837">
          <cell r="D3837">
            <v>60.68</v>
          </cell>
          <cell r="H3837">
            <v>45536</v>
          </cell>
          <cell r="I3837" t="str">
            <v>6340 - Miscellaneous Expense</v>
          </cell>
          <cell r="J3837">
            <v>0</v>
          </cell>
          <cell r="K3837" t="str">
            <v>Executive</v>
          </cell>
          <cell r="L3837" t="str">
            <v>Other</v>
          </cell>
          <cell r="N3837" t="str">
            <v>SG&amp;A</v>
          </cell>
          <cell r="O3837" t="str">
            <v>[No Vendor]</v>
          </cell>
        </row>
        <row r="3838">
          <cell r="D3838">
            <v>65.010000000000005</v>
          </cell>
          <cell r="H3838">
            <v>45536</v>
          </cell>
          <cell r="I3838" t="str">
            <v>6340 - Miscellaneous Expense</v>
          </cell>
          <cell r="J3838">
            <v>0</v>
          </cell>
          <cell r="K3838" t="str">
            <v>Executive</v>
          </cell>
          <cell r="L3838" t="str">
            <v>Other</v>
          </cell>
          <cell r="N3838" t="str">
            <v>SG&amp;A</v>
          </cell>
          <cell r="O3838" t="str">
            <v>[No Vendor]</v>
          </cell>
        </row>
        <row r="3839">
          <cell r="D3839">
            <v>-65.010000000000005</v>
          </cell>
          <cell r="H3839">
            <v>45536</v>
          </cell>
          <cell r="I3839" t="str">
            <v>6340 - Miscellaneous Expense</v>
          </cell>
          <cell r="J3839">
            <v>0</v>
          </cell>
          <cell r="K3839" t="str">
            <v>Executive</v>
          </cell>
          <cell r="L3839" t="str">
            <v>Other</v>
          </cell>
          <cell r="N3839" t="str">
            <v>SG&amp;A</v>
          </cell>
          <cell r="O3839" t="str">
            <v>[No Vendor]</v>
          </cell>
        </row>
        <row r="3840">
          <cell r="D3840">
            <v>49.93</v>
          </cell>
          <cell r="H3840">
            <v>45536</v>
          </cell>
          <cell r="I3840" t="str">
            <v>6340 - Miscellaneous Expense</v>
          </cell>
          <cell r="J3840">
            <v>0</v>
          </cell>
          <cell r="K3840" t="str">
            <v>Executive</v>
          </cell>
          <cell r="L3840" t="str">
            <v>Other</v>
          </cell>
          <cell r="N3840" t="str">
            <v>SG&amp;A</v>
          </cell>
          <cell r="O3840" t="str">
            <v>[No Vendor]</v>
          </cell>
        </row>
        <row r="3841">
          <cell r="D3841">
            <v>92.61</v>
          </cell>
          <cell r="H3841">
            <v>45536</v>
          </cell>
          <cell r="I3841" t="str">
            <v>6340 - Miscellaneous Expense</v>
          </cell>
          <cell r="J3841">
            <v>0</v>
          </cell>
          <cell r="K3841" t="str">
            <v>Executive</v>
          </cell>
          <cell r="L3841" t="str">
            <v>Other</v>
          </cell>
          <cell r="N3841" t="str">
            <v>SG&amp;A</v>
          </cell>
          <cell r="O3841" t="str">
            <v>[No Vendor]</v>
          </cell>
        </row>
        <row r="3842">
          <cell r="D3842">
            <v>151.66999999999999</v>
          </cell>
          <cell r="H3842">
            <v>45536</v>
          </cell>
          <cell r="I3842" t="str">
            <v>6340 - Miscellaneous Expense</v>
          </cell>
          <cell r="J3842">
            <v>0</v>
          </cell>
          <cell r="K3842" t="str">
            <v>Executive</v>
          </cell>
          <cell r="L3842" t="str">
            <v>Other</v>
          </cell>
          <cell r="N3842" t="str">
            <v>SG&amp;A</v>
          </cell>
          <cell r="O3842" t="str">
            <v>[No Vendor]</v>
          </cell>
        </row>
        <row r="3843">
          <cell r="D3843">
            <v>130.52000000000001</v>
          </cell>
          <cell r="H3843">
            <v>45536</v>
          </cell>
          <cell r="I3843" t="str">
            <v>6340 - Miscellaneous Expense</v>
          </cell>
          <cell r="J3843">
            <v>0</v>
          </cell>
          <cell r="K3843" t="str">
            <v>Production</v>
          </cell>
          <cell r="L3843" t="str">
            <v>Other</v>
          </cell>
          <cell r="N3843" t="str">
            <v>SG&amp;A</v>
          </cell>
          <cell r="O3843" t="str">
            <v>Frank Dell'Aquila</v>
          </cell>
        </row>
        <row r="3844">
          <cell r="D3844">
            <v>6.5</v>
          </cell>
          <cell r="H3844">
            <v>45536</v>
          </cell>
          <cell r="I3844" t="str">
            <v>6340 - Miscellaneous Expense</v>
          </cell>
          <cell r="J3844">
            <v>0</v>
          </cell>
          <cell r="K3844" t="str">
            <v>Production</v>
          </cell>
          <cell r="L3844" t="str">
            <v>Other</v>
          </cell>
          <cell r="N3844" t="str">
            <v>SG&amp;A</v>
          </cell>
          <cell r="O3844" t="str">
            <v>Frank Dell'Aquila</v>
          </cell>
        </row>
        <row r="3845">
          <cell r="D3845">
            <v>26.99</v>
          </cell>
          <cell r="H3845">
            <v>45536</v>
          </cell>
          <cell r="I3845" t="str">
            <v>6370 - Samples</v>
          </cell>
          <cell r="J3845">
            <v>0</v>
          </cell>
          <cell r="K3845" t="str">
            <v>Production</v>
          </cell>
          <cell r="L3845" t="str">
            <v>Sample</v>
          </cell>
          <cell r="N3845" t="str">
            <v>SG&amp;A</v>
          </cell>
          <cell r="O3845" t="str">
            <v>Frank Dell'Aquila</v>
          </cell>
        </row>
        <row r="3846">
          <cell r="D3846">
            <v>5</v>
          </cell>
          <cell r="H3846">
            <v>45536</v>
          </cell>
          <cell r="I3846" t="str">
            <v>6140 - Other</v>
          </cell>
          <cell r="J3846">
            <v>0</v>
          </cell>
          <cell r="K3846" t="str">
            <v>Executive</v>
          </cell>
          <cell r="L3846" t="str">
            <v>T&amp;E</v>
          </cell>
          <cell r="N3846" t="str">
            <v>SG&amp;A</v>
          </cell>
          <cell r="O3846" t="str">
            <v>[No Vendor]</v>
          </cell>
        </row>
        <row r="3847">
          <cell r="D3847">
            <v>65</v>
          </cell>
          <cell r="H3847">
            <v>45536</v>
          </cell>
          <cell r="I3847" t="str">
            <v>6140 - Other</v>
          </cell>
          <cell r="J3847">
            <v>0</v>
          </cell>
          <cell r="K3847" t="str">
            <v>Executive</v>
          </cell>
          <cell r="L3847" t="str">
            <v>T&amp;E</v>
          </cell>
          <cell r="N3847" t="str">
            <v>SG&amp;A</v>
          </cell>
          <cell r="O3847" t="str">
            <v>[No Vendor]</v>
          </cell>
        </row>
        <row r="3848">
          <cell r="D3848">
            <v>5</v>
          </cell>
          <cell r="H3848">
            <v>45536</v>
          </cell>
          <cell r="I3848" t="str">
            <v>6140 - Other</v>
          </cell>
          <cell r="J3848">
            <v>0</v>
          </cell>
          <cell r="K3848" t="str">
            <v>Executive</v>
          </cell>
          <cell r="L3848" t="str">
            <v>T&amp;E</v>
          </cell>
          <cell r="N3848" t="str">
            <v>SG&amp;A</v>
          </cell>
          <cell r="O3848" t="str">
            <v>[No Vendor]</v>
          </cell>
        </row>
        <row r="3849">
          <cell r="D3849">
            <v>-192</v>
          </cell>
          <cell r="H3849">
            <v>45536</v>
          </cell>
          <cell r="I3849" t="str">
            <v>6140 - Other</v>
          </cell>
          <cell r="J3849">
            <v>0</v>
          </cell>
          <cell r="K3849" t="str">
            <v>Executive</v>
          </cell>
          <cell r="L3849" t="str">
            <v>T&amp;E</v>
          </cell>
          <cell r="N3849" t="str">
            <v>SG&amp;A</v>
          </cell>
          <cell r="O3849" t="str">
            <v>[No Vendor]</v>
          </cell>
        </row>
        <row r="3850">
          <cell r="D3850">
            <v>192</v>
          </cell>
          <cell r="H3850">
            <v>45536</v>
          </cell>
          <cell r="I3850" t="str">
            <v>6140 - Other</v>
          </cell>
          <cell r="J3850">
            <v>0</v>
          </cell>
          <cell r="K3850" t="str">
            <v>Executive</v>
          </cell>
          <cell r="L3850" t="str">
            <v>T&amp;E</v>
          </cell>
          <cell r="N3850" t="str">
            <v>SG&amp;A</v>
          </cell>
          <cell r="O3850" t="str">
            <v>[No Vendor]</v>
          </cell>
        </row>
        <row r="3851">
          <cell r="D3851">
            <v>5</v>
          </cell>
          <cell r="H3851">
            <v>45536</v>
          </cell>
          <cell r="I3851" t="str">
            <v>6140 - Other</v>
          </cell>
          <cell r="J3851">
            <v>0</v>
          </cell>
          <cell r="K3851" t="str">
            <v>Executive</v>
          </cell>
          <cell r="L3851" t="str">
            <v>T&amp;E</v>
          </cell>
          <cell r="N3851" t="str">
            <v>SG&amp;A</v>
          </cell>
          <cell r="O3851" t="str">
            <v>[No Vendor]</v>
          </cell>
        </row>
        <row r="3852">
          <cell r="D3852">
            <v>5</v>
          </cell>
          <cell r="H3852">
            <v>45536</v>
          </cell>
          <cell r="I3852" t="str">
            <v>6140 - Other</v>
          </cell>
          <cell r="J3852">
            <v>0</v>
          </cell>
          <cell r="K3852" t="str">
            <v>Executive</v>
          </cell>
          <cell r="L3852" t="str">
            <v>T&amp;E</v>
          </cell>
          <cell r="N3852" t="str">
            <v>SG&amp;A</v>
          </cell>
          <cell r="O3852" t="str">
            <v>[No Vendor]</v>
          </cell>
        </row>
        <row r="3853">
          <cell r="D3853">
            <v>65</v>
          </cell>
          <cell r="H3853">
            <v>45536</v>
          </cell>
          <cell r="I3853" t="str">
            <v>6140 - Other</v>
          </cell>
          <cell r="J3853">
            <v>0</v>
          </cell>
          <cell r="K3853" t="str">
            <v>Production</v>
          </cell>
          <cell r="L3853" t="str">
            <v>T&amp;E</v>
          </cell>
          <cell r="N3853" t="str">
            <v>SG&amp;A</v>
          </cell>
          <cell r="O3853" t="str">
            <v>Frank Dell'Aquila</v>
          </cell>
        </row>
        <row r="3854">
          <cell r="D3854">
            <v>40</v>
          </cell>
          <cell r="H3854">
            <v>45536</v>
          </cell>
          <cell r="I3854" t="str">
            <v>6140 - Other</v>
          </cell>
          <cell r="J3854">
            <v>0</v>
          </cell>
          <cell r="K3854" t="str">
            <v>Production</v>
          </cell>
          <cell r="L3854" t="str">
            <v>T&amp;E</v>
          </cell>
          <cell r="N3854" t="str">
            <v>SG&amp;A</v>
          </cell>
          <cell r="O3854" t="str">
            <v>Frank Dell'Aquila</v>
          </cell>
        </row>
        <row r="3855">
          <cell r="D3855">
            <v>53.64</v>
          </cell>
          <cell r="H3855">
            <v>45536</v>
          </cell>
          <cell r="I3855" t="str">
            <v>6105 - Meals</v>
          </cell>
          <cell r="J3855">
            <v>0</v>
          </cell>
          <cell r="K3855" t="str">
            <v>Executive</v>
          </cell>
          <cell r="L3855" t="str">
            <v>T&amp;E</v>
          </cell>
          <cell r="N3855" t="str">
            <v>SG&amp;A</v>
          </cell>
          <cell r="O3855" t="str">
            <v>[No Vendor]</v>
          </cell>
        </row>
        <row r="3856">
          <cell r="D3856">
            <v>128.88</v>
          </cell>
          <cell r="H3856">
            <v>45536</v>
          </cell>
          <cell r="I3856" t="str">
            <v>6105 - Meals</v>
          </cell>
          <cell r="J3856">
            <v>0</v>
          </cell>
          <cell r="K3856" t="str">
            <v>Executive</v>
          </cell>
          <cell r="L3856" t="str">
            <v>T&amp;E</v>
          </cell>
          <cell r="N3856" t="str">
            <v>SG&amp;A</v>
          </cell>
          <cell r="O3856" t="str">
            <v>[No Vendor]</v>
          </cell>
        </row>
        <row r="3857">
          <cell r="D3857">
            <v>83.77</v>
          </cell>
          <cell r="H3857">
            <v>45536</v>
          </cell>
          <cell r="I3857" t="str">
            <v>6105 - Meals</v>
          </cell>
          <cell r="J3857">
            <v>0</v>
          </cell>
          <cell r="K3857" t="str">
            <v>Executive</v>
          </cell>
          <cell r="L3857" t="str">
            <v>T&amp;E</v>
          </cell>
          <cell r="N3857" t="str">
            <v>SG&amp;A</v>
          </cell>
          <cell r="O3857" t="str">
            <v>[No Vendor]</v>
          </cell>
        </row>
        <row r="3858">
          <cell r="D3858">
            <v>79.06</v>
          </cell>
          <cell r="H3858">
            <v>45536</v>
          </cell>
          <cell r="I3858" t="str">
            <v>8505 - Realized Gain/Loss</v>
          </cell>
          <cell r="J3858">
            <v>0</v>
          </cell>
          <cell r="K3858" t="str">
            <v>No Department</v>
          </cell>
          <cell r="L3858" t="str">
            <v>Realized Gain / Loss</v>
          </cell>
          <cell r="N3858" t="str">
            <v>BTL</v>
          </cell>
          <cell r="O3858" t="str">
            <v>[No Vendor]</v>
          </cell>
        </row>
        <row r="3859">
          <cell r="D3859">
            <v>3467.22</v>
          </cell>
          <cell r="H3859">
            <v>45536</v>
          </cell>
          <cell r="I3859" t="str">
            <v>6375 - Freight Expenses</v>
          </cell>
          <cell r="J3859" t="str">
            <v>Ecommerce (EU)</v>
          </cell>
          <cell r="K3859" t="str">
            <v>Ecommerce</v>
          </cell>
          <cell r="L3859" t="str">
            <v>Freight</v>
          </cell>
          <cell r="N3859" t="str">
            <v>Direct Costs</v>
          </cell>
          <cell r="O3859" t="str">
            <v>Global E</v>
          </cell>
        </row>
        <row r="3860">
          <cell r="D3860">
            <v>9057.16</v>
          </cell>
          <cell r="H3860">
            <v>45536</v>
          </cell>
          <cell r="I3860" t="str">
            <v>6377 - Order Processing Expenses (New)</v>
          </cell>
          <cell r="J3860" t="str">
            <v>Ecommerce (EU)</v>
          </cell>
          <cell r="K3860" t="str">
            <v>Ecommerce</v>
          </cell>
          <cell r="L3860" t="str">
            <v>Order Processing</v>
          </cell>
          <cell r="N3860" t="str">
            <v>Direct Costs</v>
          </cell>
          <cell r="O3860" t="str">
            <v>[No Vendor]</v>
          </cell>
        </row>
        <row r="3861">
          <cell r="D3861">
            <v>2587.5500000000002</v>
          </cell>
          <cell r="H3861">
            <v>45536</v>
          </cell>
          <cell r="I3861" t="str">
            <v>6450 - Bank &amp; Other Fees</v>
          </cell>
          <cell r="J3861" t="str">
            <v>Ecommerce (EU)</v>
          </cell>
          <cell r="K3861" t="str">
            <v>Ecommerce</v>
          </cell>
          <cell r="L3861" t="str">
            <v>Professional Service</v>
          </cell>
          <cell r="N3861" t="str">
            <v>Direct Costs</v>
          </cell>
          <cell r="O3861" t="str">
            <v>[No Vendor]</v>
          </cell>
        </row>
        <row r="3862">
          <cell r="D3862">
            <v>31.31</v>
          </cell>
          <cell r="H3862">
            <v>45536</v>
          </cell>
          <cell r="I3862" t="str">
            <v>6375 - Freight Expenses</v>
          </cell>
          <cell r="J3862" t="str">
            <v>Ecommerce (US)</v>
          </cell>
          <cell r="K3862" t="str">
            <v>Ecommerce</v>
          </cell>
          <cell r="L3862" t="str">
            <v>Freight</v>
          </cell>
          <cell r="N3862" t="str">
            <v>Direct Costs</v>
          </cell>
          <cell r="O3862" t="str">
            <v>Federal Express</v>
          </cell>
        </row>
        <row r="3863">
          <cell r="D3863">
            <v>-138.53</v>
          </cell>
          <cell r="H3863">
            <v>45536</v>
          </cell>
          <cell r="I3863" t="str">
            <v>6377 - Order Processing Expenses (New)</v>
          </cell>
          <cell r="J3863" t="str">
            <v>Ecommerce (US)</v>
          </cell>
          <cell r="K3863" t="str">
            <v>No Department</v>
          </cell>
          <cell r="L3863" t="str">
            <v>Order Processing</v>
          </cell>
          <cell r="N3863" t="str">
            <v>Direct Costs</v>
          </cell>
          <cell r="O3863" t="str">
            <v>Bergen Logistics Corporation</v>
          </cell>
        </row>
        <row r="3864">
          <cell r="D3864">
            <v>68.099999999999994</v>
          </cell>
          <cell r="H3864">
            <v>45536</v>
          </cell>
          <cell r="I3864" t="str">
            <v>6040 - Employer Paid Benefits</v>
          </cell>
          <cell r="J3864">
            <v>0</v>
          </cell>
          <cell r="K3864" t="str">
            <v>Administration</v>
          </cell>
          <cell r="L3864" t="str">
            <v>HQ Salaries</v>
          </cell>
          <cell r="N3864" t="str">
            <v>SG&amp;A</v>
          </cell>
          <cell r="O3864" t="str">
            <v>Procyon Benefits LLC</v>
          </cell>
        </row>
        <row r="3865">
          <cell r="D3865">
            <v>1300</v>
          </cell>
          <cell r="H3865">
            <v>45536</v>
          </cell>
          <cell r="I3865" t="str">
            <v>6300 - Payroll Service Fees</v>
          </cell>
          <cell r="J3865">
            <v>0</v>
          </cell>
          <cell r="K3865" t="str">
            <v>Administration</v>
          </cell>
          <cell r="L3865" t="str">
            <v>Professional Service</v>
          </cell>
          <cell r="N3865" t="str">
            <v>SG&amp;A</v>
          </cell>
          <cell r="O3865" t="str">
            <v>OperationsInc, LLC</v>
          </cell>
        </row>
        <row r="3866">
          <cell r="D3866">
            <v>56.01</v>
          </cell>
          <cell r="H3866">
            <v>45536</v>
          </cell>
          <cell r="I3866" t="str">
            <v>6375 - Freight Expenses</v>
          </cell>
          <cell r="J3866">
            <v>0</v>
          </cell>
          <cell r="K3866" t="str">
            <v>Production</v>
          </cell>
          <cell r="L3866" t="str">
            <v>Freight</v>
          </cell>
          <cell r="N3866" t="str">
            <v>Direct Costs</v>
          </cell>
          <cell r="O3866" t="str">
            <v>DHL Express - USA</v>
          </cell>
        </row>
        <row r="3867">
          <cell r="D3867">
            <v>2529.13</v>
          </cell>
          <cell r="H3867">
            <v>45536</v>
          </cell>
          <cell r="I3867" t="str">
            <v>6375 - Freight Expenses</v>
          </cell>
          <cell r="J3867">
            <v>0</v>
          </cell>
          <cell r="K3867" t="str">
            <v>Production</v>
          </cell>
          <cell r="L3867" t="str">
            <v>Freight</v>
          </cell>
          <cell r="N3867" t="str">
            <v>Direct Costs</v>
          </cell>
          <cell r="O3867" t="str">
            <v>DHL Express - USA</v>
          </cell>
        </row>
        <row r="3868">
          <cell r="D3868">
            <v>85.7</v>
          </cell>
          <cell r="H3868">
            <v>45536</v>
          </cell>
          <cell r="I3868" t="str">
            <v>6040 - Employer Paid Benefits</v>
          </cell>
          <cell r="J3868">
            <v>0</v>
          </cell>
          <cell r="K3868" t="str">
            <v>Production</v>
          </cell>
          <cell r="L3868" t="str">
            <v>HQ Salaries</v>
          </cell>
          <cell r="N3868" t="str">
            <v>SG&amp;A</v>
          </cell>
          <cell r="O3868" t="str">
            <v>Procyon Benefits LLC</v>
          </cell>
        </row>
        <row r="3869">
          <cell r="D3869">
            <v>63.7</v>
          </cell>
          <cell r="H3869">
            <v>45536</v>
          </cell>
          <cell r="I3869" t="str">
            <v>6040 - Employer Paid Benefits</v>
          </cell>
          <cell r="J3869">
            <v>0</v>
          </cell>
          <cell r="K3869" t="str">
            <v>Merchandising</v>
          </cell>
          <cell r="L3869" t="str">
            <v>HQ Salaries</v>
          </cell>
          <cell r="N3869" t="str">
            <v>SG&amp;A</v>
          </cell>
          <cell r="O3869" t="str">
            <v>Procyon Benefits LLC</v>
          </cell>
        </row>
        <row r="3870">
          <cell r="D3870">
            <v>138.04</v>
          </cell>
          <cell r="H3870">
            <v>45536</v>
          </cell>
          <cell r="I3870" t="str">
            <v>6040 - Employer Paid Benefits</v>
          </cell>
          <cell r="J3870">
            <v>0</v>
          </cell>
          <cell r="K3870" t="str">
            <v>Executive</v>
          </cell>
          <cell r="L3870" t="str">
            <v>HQ Salaries</v>
          </cell>
          <cell r="N3870" t="str">
            <v>SG&amp;A</v>
          </cell>
          <cell r="O3870" t="str">
            <v>Procyon Benefits LLC</v>
          </cell>
        </row>
        <row r="3871">
          <cell r="D3871">
            <v>1208.5</v>
          </cell>
          <cell r="H3871">
            <v>45536</v>
          </cell>
          <cell r="I3871" t="str">
            <v>6040 - Employer Paid Benefits</v>
          </cell>
          <cell r="J3871">
            <v>0</v>
          </cell>
          <cell r="K3871" t="str">
            <v>Design</v>
          </cell>
          <cell r="L3871" t="str">
            <v>HQ Salaries</v>
          </cell>
          <cell r="N3871" t="str">
            <v>SG&amp;A</v>
          </cell>
          <cell r="O3871" t="str">
            <v>Procyon Benefits LLC</v>
          </cell>
        </row>
        <row r="3872">
          <cell r="D3872">
            <v>1926.43</v>
          </cell>
          <cell r="H3872">
            <v>45536</v>
          </cell>
          <cell r="I3872" t="str">
            <v>6430 - Dues &amp; Memberships</v>
          </cell>
          <cell r="J3872" t="str">
            <v>Ecommerce (US)</v>
          </cell>
          <cell r="K3872" t="str">
            <v>Ecommerce</v>
          </cell>
          <cell r="L3872" t="str">
            <v>Professional Service</v>
          </cell>
          <cell r="N3872" t="str">
            <v>Direct Costs</v>
          </cell>
          <cell r="O3872" t="str">
            <v>Loop</v>
          </cell>
        </row>
        <row r="3873">
          <cell r="D3873">
            <v>200</v>
          </cell>
          <cell r="H3873">
            <v>45536</v>
          </cell>
          <cell r="I3873" t="str">
            <v>6363 - Development</v>
          </cell>
          <cell r="J3873" t="str">
            <v>Wholesale</v>
          </cell>
          <cell r="K3873" t="str">
            <v>Production</v>
          </cell>
          <cell r="L3873" t="str">
            <v>Sample</v>
          </cell>
          <cell r="N3873" t="str">
            <v>SG&amp;A</v>
          </cell>
          <cell r="O3873" t="str">
            <v>Porta Asiatica Enterprises Inc</v>
          </cell>
        </row>
        <row r="3874">
          <cell r="D3874">
            <v>617.5</v>
          </cell>
          <cell r="H3874">
            <v>45536</v>
          </cell>
          <cell r="I3874" t="str">
            <v>6240 - Product Photography</v>
          </cell>
          <cell r="J3874" t="str">
            <v>Ecommerce (US)</v>
          </cell>
          <cell r="K3874" t="str">
            <v>Brand Marketing</v>
          </cell>
          <cell r="L3874" t="str">
            <v>Advertising</v>
          </cell>
          <cell r="N3874" t="str">
            <v>SG&amp;A</v>
          </cell>
          <cell r="O3874" t="str">
            <v>LENFLASH dot COM</v>
          </cell>
        </row>
        <row r="3875">
          <cell r="D3875">
            <v>-78.3</v>
          </cell>
          <cell r="H3875">
            <v>45536</v>
          </cell>
          <cell r="I3875" t="str">
            <v>6375 - Freight Expenses</v>
          </cell>
          <cell r="J3875" t="str">
            <v>Ecommerce (US)</v>
          </cell>
          <cell r="K3875" t="str">
            <v>Ecommerce</v>
          </cell>
          <cell r="L3875" t="str">
            <v>Freight</v>
          </cell>
          <cell r="N3875" t="str">
            <v>Direct Costs</v>
          </cell>
          <cell r="O3875" t="str">
            <v>UPS Supply Chain Solutions Inc. (7F24A0)</v>
          </cell>
        </row>
        <row r="3876">
          <cell r="D3876">
            <v>402.25</v>
          </cell>
          <cell r="H3876">
            <v>45536</v>
          </cell>
          <cell r="I3876" t="str">
            <v>6300 - Payroll Service Fees</v>
          </cell>
          <cell r="J3876">
            <v>0</v>
          </cell>
          <cell r="K3876" t="str">
            <v>Administration</v>
          </cell>
          <cell r="L3876" t="str">
            <v>Professional Service</v>
          </cell>
          <cell r="N3876" t="str">
            <v>SG&amp;A</v>
          </cell>
          <cell r="O3876" t="str">
            <v>ADP Payroll Services</v>
          </cell>
        </row>
        <row r="3877">
          <cell r="D3877">
            <v>103.65</v>
          </cell>
          <cell r="H3877">
            <v>45536</v>
          </cell>
          <cell r="I3877" t="str">
            <v>6393 - Software</v>
          </cell>
          <cell r="J3877">
            <v>0</v>
          </cell>
          <cell r="K3877" t="str">
            <v>Administration</v>
          </cell>
          <cell r="L3877" t="str">
            <v>Professional Service</v>
          </cell>
          <cell r="N3877" t="str">
            <v>Direct Costs</v>
          </cell>
          <cell r="O3877" t="str">
            <v>ADP Payroll Services</v>
          </cell>
        </row>
        <row r="3878">
          <cell r="D3878">
            <v>26115.41</v>
          </cell>
          <cell r="H3878">
            <v>45536</v>
          </cell>
          <cell r="I3878" t="str">
            <v>6005 - Salaries</v>
          </cell>
          <cell r="J3878">
            <v>0</v>
          </cell>
          <cell r="K3878" t="str">
            <v>Administration</v>
          </cell>
          <cell r="L3878" t="str">
            <v>HQ Salaries</v>
          </cell>
          <cell r="N3878" t="str">
            <v>SG&amp;A</v>
          </cell>
          <cell r="O3878" t="str">
            <v>[No Vendor]</v>
          </cell>
        </row>
        <row r="3879">
          <cell r="D3879">
            <v>0</v>
          </cell>
          <cell r="H3879">
            <v>45536</v>
          </cell>
          <cell r="I3879" t="str">
            <v>6205 - Contractors</v>
          </cell>
          <cell r="J3879">
            <v>0</v>
          </cell>
          <cell r="K3879" t="str">
            <v>Brand Marketing</v>
          </cell>
          <cell r="L3879" t="str">
            <v>HQ Salaries</v>
          </cell>
          <cell r="N3879" t="str">
            <v>SG&amp;A</v>
          </cell>
          <cell r="O3879" t="str">
            <v>[No Vendor]</v>
          </cell>
        </row>
        <row r="3880">
          <cell r="D3880">
            <v>4925</v>
          </cell>
          <cell r="H3880">
            <v>45536</v>
          </cell>
          <cell r="I3880" t="str">
            <v>6205 - Contractors</v>
          </cell>
          <cell r="J3880" t="str">
            <v>Ecommerce (US)</v>
          </cell>
          <cell r="K3880" t="str">
            <v>Ecommerce</v>
          </cell>
          <cell r="L3880" t="str">
            <v>HQ Salaries</v>
          </cell>
          <cell r="N3880" t="str">
            <v>SG&amp;A</v>
          </cell>
          <cell r="O3880" t="str">
            <v>[No Vendor]</v>
          </cell>
        </row>
        <row r="3881">
          <cell r="D3881">
            <v>2590</v>
          </cell>
          <cell r="H3881">
            <v>45536</v>
          </cell>
          <cell r="I3881" t="str">
            <v>6205 - Contractors</v>
          </cell>
          <cell r="J3881">
            <v>0</v>
          </cell>
          <cell r="K3881" t="str">
            <v>Design</v>
          </cell>
          <cell r="L3881" t="str">
            <v>HQ Salaries</v>
          </cell>
          <cell r="N3881" t="str">
            <v>SG&amp;A</v>
          </cell>
          <cell r="O3881" t="str">
            <v>[No Vendor]</v>
          </cell>
        </row>
        <row r="3882">
          <cell r="D3882">
            <v>-1.2</v>
          </cell>
          <cell r="H3882">
            <v>45536</v>
          </cell>
          <cell r="I3882" t="str">
            <v>6385 - Insurance</v>
          </cell>
          <cell r="J3882">
            <v>0</v>
          </cell>
          <cell r="K3882" t="str">
            <v>Administration</v>
          </cell>
          <cell r="L3882" t="str">
            <v>Professional Service</v>
          </cell>
          <cell r="N3882" t="str">
            <v>SG&amp;A</v>
          </cell>
          <cell r="O3882" t="str">
            <v>[No Vendor]</v>
          </cell>
        </row>
        <row r="3883">
          <cell r="D3883">
            <v>-13.16</v>
          </cell>
          <cell r="H3883">
            <v>45536</v>
          </cell>
          <cell r="I3883" t="str">
            <v>6385 - Insurance</v>
          </cell>
          <cell r="J3883">
            <v>0</v>
          </cell>
          <cell r="K3883" t="str">
            <v>Administration</v>
          </cell>
          <cell r="L3883" t="str">
            <v>Professional Service</v>
          </cell>
          <cell r="N3883" t="str">
            <v>SG&amp;A</v>
          </cell>
          <cell r="O3883" t="str">
            <v>[No Vendor]</v>
          </cell>
        </row>
        <row r="3884">
          <cell r="D3884">
            <v>-29.56</v>
          </cell>
          <cell r="H3884">
            <v>45536</v>
          </cell>
          <cell r="I3884" t="str">
            <v>6385 - Insurance</v>
          </cell>
          <cell r="J3884">
            <v>0</v>
          </cell>
          <cell r="K3884" t="str">
            <v>Administration</v>
          </cell>
          <cell r="L3884" t="str">
            <v>Professional Service</v>
          </cell>
          <cell r="N3884" t="str">
            <v>SG&amp;A</v>
          </cell>
          <cell r="O3884" t="str">
            <v>[No Vendor]</v>
          </cell>
        </row>
        <row r="3885">
          <cell r="D3885">
            <v>-13.39</v>
          </cell>
          <cell r="H3885">
            <v>45536</v>
          </cell>
          <cell r="I3885" t="str">
            <v>6385 - Insurance</v>
          </cell>
          <cell r="J3885">
            <v>0</v>
          </cell>
          <cell r="K3885" t="str">
            <v>Administration</v>
          </cell>
          <cell r="L3885" t="str">
            <v>Professional Service</v>
          </cell>
          <cell r="N3885" t="str">
            <v>SG&amp;A</v>
          </cell>
          <cell r="O3885" t="str">
            <v>[No Vendor]</v>
          </cell>
        </row>
        <row r="3886">
          <cell r="D3886">
            <v>-42.8</v>
          </cell>
          <cell r="H3886">
            <v>45536</v>
          </cell>
          <cell r="I3886" t="str">
            <v>6385 - Insurance</v>
          </cell>
          <cell r="J3886">
            <v>0</v>
          </cell>
          <cell r="K3886" t="str">
            <v>Administration</v>
          </cell>
          <cell r="L3886" t="str">
            <v>Professional Service</v>
          </cell>
          <cell r="N3886" t="str">
            <v>SG&amp;A</v>
          </cell>
          <cell r="O3886" t="str">
            <v>[No Vendor]</v>
          </cell>
        </row>
        <row r="3887">
          <cell r="D3887">
            <v>-24.45</v>
          </cell>
          <cell r="H3887">
            <v>45536</v>
          </cell>
          <cell r="I3887" t="str">
            <v>6385 - Insurance</v>
          </cell>
          <cell r="J3887">
            <v>0</v>
          </cell>
          <cell r="K3887" t="str">
            <v>Administration</v>
          </cell>
          <cell r="L3887" t="str">
            <v>Professional Service</v>
          </cell>
          <cell r="N3887" t="str">
            <v>SG&amp;A</v>
          </cell>
          <cell r="O3887" t="str">
            <v>[No Vendor]</v>
          </cell>
        </row>
        <row r="3888">
          <cell r="D3888">
            <v>-39.51</v>
          </cell>
          <cell r="H3888">
            <v>45536</v>
          </cell>
          <cell r="I3888" t="str">
            <v>6385 - Insurance</v>
          </cell>
          <cell r="J3888">
            <v>0</v>
          </cell>
          <cell r="K3888" t="str">
            <v>Administration</v>
          </cell>
          <cell r="L3888" t="str">
            <v>Professional Service</v>
          </cell>
          <cell r="N3888" t="str">
            <v>SG&amp;A</v>
          </cell>
          <cell r="O3888" t="str">
            <v>[No Vendor]</v>
          </cell>
        </row>
        <row r="3889">
          <cell r="D3889">
            <v>-40.24</v>
          </cell>
          <cell r="H3889">
            <v>45536</v>
          </cell>
          <cell r="I3889" t="str">
            <v>6385 - Insurance</v>
          </cell>
          <cell r="J3889">
            <v>0</v>
          </cell>
          <cell r="K3889" t="str">
            <v>Administration</v>
          </cell>
          <cell r="L3889" t="str">
            <v>Professional Service</v>
          </cell>
          <cell r="N3889" t="str">
            <v>SG&amp;A</v>
          </cell>
          <cell r="O3889" t="str">
            <v>[No Vendor]</v>
          </cell>
        </row>
        <row r="3890">
          <cell r="D3890">
            <v>579.38</v>
          </cell>
          <cell r="H3890">
            <v>45536</v>
          </cell>
          <cell r="I3890" t="str">
            <v>6055 - Employer Social Security Tax Withheld</v>
          </cell>
          <cell r="J3890">
            <v>0</v>
          </cell>
          <cell r="K3890" t="str">
            <v>Merchandising</v>
          </cell>
          <cell r="L3890" t="str">
            <v>HQ Salaries</v>
          </cell>
          <cell r="N3890" t="str">
            <v>SG&amp;A</v>
          </cell>
          <cell r="O3890" t="str">
            <v>[No Vendor]</v>
          </cell>
        </row>
        <row r="3891">
          <cell r="D3891">
            <v>1111.33</v>
          </cell>
          <cell r="H3891">
            <v>45536</v>
          </cell>
          <cell r="I3891" t="str">
            <v>6055 - Employer Social Security Tax Withheld</v>
          </cell>
          <cell r="J3891" t="str">
            <v>Wholesale</v>
          </cell>
          <cell r="K3891" t="str">
            <v>Wholesale</v>
          </cell>
          <cell r="L3891" t="str">
            <v>HQ Salaries</v>
          </cell>
          <cell r="N3891" t="str">
            <v>SG&amp;A</v>
          </cell>
          <cell r="O3891" t="str">
            <v>[No Vendor]</v>
          </cell>
        </row>
        <row r="3892">
          <cell r="D3892">
            <v>1709.43</v>
          </cell>
          <cell r="H3892">
            <v>45536</v>
          </cell>
          <cell r="I3892" t="str">
            <v>6055 - Employer Social Security Tax Withheld</v>
          </cell>
          <cell r="J3892">
            <v>0</v>
          </cell>
          <cell r="K3892" t="str">
            <v>Production</v>
          </cell>
          <cell r="L3892" t="str">
            <v>HQ Salaries</v>
          </cell>
          <cell r="N3892" t="str">
            <v>SG&amp;A</v>
          </cell>
          <cell r="O3892" t="str">
            <v>[No Vendor]</v>
          </cell>
        </row>
        <row r="3893">
          <cell r="D3893">
            <v>365.93</v>
          </cell>
          <cell r="H3893">
            <v>45536</v>
          </cell>
          <cell r="I3893" t="str">
            <v>6055 - Employer Social Security Tax Withheld</v>
          </cell>
          <cell r="J3893">
            <v>0</v>
          </cell>
          <cell r="K3893" t="str">
            <v>Brand Marketing</v>
          </cell>
          <cell r="L3893" t="str">
            <v>HQ Salaries</v>
          </cell>
          <cell r="N3893" t="str">
            <v>SG&amp;A</v>
          </cell>
          <cell r="O3893" t="str">
            <v>[No Vendor]</v>
          </cell>
        </row>
        <row r="3894">
          <cell r="D3894">
            <v>1181.97</v>
          </cell>
          <cell r="H3894">
            <v>45536</v>
          </cell>
          <cell r="I3894" t="str">
            <v>6055 - Employer Social Security Tax Withheld</v>
          </cell>
          <cell r="J3894">
            <v>0</v>
          </cell>
          <cell r="K3894" t="str">
            <v>Executive</v>
          </cell>
          <cell r="L3894" t="str">
            <v>HQ Salaries</v>
          </cell>
          <cell r="N3894" t="str">
            <v>SG&amp;A</v>
          </cell>
          <cell r="O3894" t="str">
            <v>[No Vendor]</v>
          </cell>
        </row>
        <row r="3895">
          <cell r="D3895">
            <v>1610.08</v>
          </cell>
          <cell r="H3895">
            <v>45536</v>
          </cell>
          <cell r="I3895" t="str">
            <v>6055 - Employer Social Security Tax Withheld</v>
          </cell>
          <cell r="J3895" t="str">
            <v>Ecommerce (US)</v>
          </cell>
          <cell r="K3895" t="str">
            <v>Ecommerce</v>
          </cell>
          <cell r="L3895" t="str">
            <v>HQ Salaries</v>
          </cell>
          <cell r="N3895" t="str">
            <v>SG&amp;A</v>
          </cell>
          <cell r="O3895" t="str">
            <v>[No Vendor]</v>
          </cell>
        </row>
        <row r="3896">
          <cell r="D3896">
            <v>2212.64</v>
          </cell>
          <cell r="H3896">
            <v>45536</v>
          </cell>
          <cell r="I3896" t="str">
            <v>6055 - Employer Social Security Tax Withheld</v>
          </cell>
          <cell r="J3896">
            <v>0</v>
          </cell>
          <cell r="K3896" t="str">
            <v>Design</v>
          </cell>
          <cell r="L3896" t="str">
            <v>HQ Salaries</v>
          </cell>
          <cell r="N3896" t="str">
            <v>SG&amp;A</v>
          </cell>
          <cell r="O3896" t="str">
            <v>[No Vendor]</v>
          </cell>
        </row>
        <row r="3897">
          <cell r="D3897">
            <v>1913.12</v>
          </cell>
          <cell r="H3897">
            <v>45536</v>
          </cell>
          <cell r="I3897" t="str">
            <v>6055 - Employer Social Security Tax Withheld</v>
          </cell>
          <cell r="J3897">
            <v>0</v>
          </cell>
          <cell r="K3897" t="str">
            <v>Administration</v>
          </cell>
          <cell r="L3897" t="str">
            <v>HQ Salaries</v>
          </cell>
          <cell r="N3897" t="str">
            <v>SG&amp;A</v>
          </cell>
          <cell r="O3897" t="str">
            <v>[No Vendor]</v>
          </cell>
        </row>
        <row r="3898">
          <cell r="D3898">
            <v>-45.16</v>
          </cell>
          <cell r="H3898">
            <v>45536</v>
          </cell>
          <cell r="I3898" t="str">
            <v>6040 - Employer Paid Benefits</v>
          </cell>
          <cell r="J3898" t="str">
            <v>Wholesale</v>
          </cell>
          <cell r="K3898" t="str">
            <v>Wholesale</v>
          </cell>
          <cell r="L3898" t="str">
            <v>HQ Salaries</v>
          </cell>
          <cell r="N3898" t="str">
            <v>SG&amp;A</v>
          </cell>
          <cell r="O3898" t="str">
            <v>[No Vendor]</v>
          </cell>
        </row>
        <row r="3899">
          <cell r="D3899">
            <v>-281.35000000000002</v>
          </cell>
          <cell r="H3899">
            <v>45536</v>
          </cell>
          <cell r="I3899" t="str">
            <v>6040 - Employer Paid Benefits</v>
          </cell>
          <cell r="J3899">
            <v>0</v>
          </cell>
          <cell r="K3899" t="str">
            <v>Production</v>
          </cell>
          <cell r="L3899" t="str">
            <v>HQ Salaries</v>
          </cell>
          <cell r="N3899" t="str">
            <v>SG&amp;A</v>
          </cell>
          <cell r="O3899" t="str">
            <v>[No Vendor]</v>
          </cell>
        </row>
        <row r="3900">
          <cell r="D3900">
            <v>-22.58</v>
          </cell>
          <cell r="H3900">
            <v>45536</v>
          </cell>
          <cell r="I3900" t="str">
            <v>6040 - Employer Paid Benefits</v>
          </cell>
          <cell r="J3900">
            <v>0</v>
          </cell>
          <cell r="K3900" t="str">
            <v>Brand Marketing</v>
          </cell>
          <cell r="L3900" t="str">
            <v>HQ Salaries</v>
          </cell>
          <cell r="N3900" t="str">
            <v>SG&amp;A</v>
          </cell>
          <cell r="O3900" t="str">
            <v>[No Vendor]</v>
          </cell>
        </row>
        <row r="3901">
          <cell r="D3901">
            <v>-234.27</v>
          </cell>
          <cell r="H3901">
            <v>45536</v>
          </cell>
          <cell r="I3901" t="str">
            <v>6040 - Employer Paid Benefits</v>
          </cell>
          <cell r="J3901">
            <v>0</v>
          </cell>
          <cell r="K3901" t="str">
            <v>Executive</v>
          </cell>
          <cell r="L3901" t="str">
            <v>HQ Salaries</v>
          </cell>
          <cell r="N3901" t="str">
            <v>SG&amp;A</v>
          </cell>
          <cell r="O3901" t="str">
            <v>[No Vendor]</v>
          </cell>
        </row>
        <row r="3902">
          <cell r="D3902">
            <v>-121.85</v>
          </cell>
          <cell r="H3902">
            <v>45536</v>
          </cell>
          <cell r="I3902" t="str">
            <v>6040 - Employer Paid Benefits</v>
          </cell>
          <cell r="J3902" t="str">
            <v>Ecommerce (US)</v>
          </cell>
          <cell r="K3902" t="str">
            <v>Ecommerce</v>
          </cell>
          <cell r="L3902" t="str">
            <v>HQ Salaries</v>
          </cell>
          <cell r="N3902" t="str">
            <v>SG&amp;A</v>
          </cell>
          <cell r="O3902" t="str">
            <v>[No Vendor]</v>
          </cell>
        </row>
        <row r="3903">
          <cell r="D3903">
            <v>-363.43</v>
          </cell>
          <cell r="H3903">
            <v>45536</v>
          </cell>
          <cell r="I3903" t="str">
            <v>6040 - Employer Paid Benefits</v>
          </cell>
          <cell r="J3903">
            <v>0</v>
          </cell>
          <cell r="K3903" t="str">
            <v>Design</v>
          </cell>
          <cell r="L3903" t="str">
            <v>HQ Salaries</v>
          </cell>
          <cell r="N3903" t="str">
            <v>SG&amp;A</v>
          </cell>
          <cell r="O3903" t="str">
            <v>[No Vendor]</v>
          </cell>
        </row>
        <row r="3904">
          <cell r="D3904">
            <v>-200.39</v>
          </cell>
          <cell r="H3904">
            <v>45536</v>
          </cell>
          <cell r="I3904" t="str">
            <v>6040 - Employer Paid Benefits</v>
          </cell>
          <cell r="J3904">
            <v>0</v>
          </cell>
          <cell r="K3904" t="str">
            <v>Administration</v>
          </cell>
          <cell r="L3904" t="str">
            <v>HQ Salaries</v>
          </cell>
          <cell r="N3904" t="str">
            <v>SG&amp;A</v>
          </cell>
          <cell r="O3904" t="str">
            <v>[No Vendor]</v>
          </cell>
        </row>
        <row r="3905">
          <cell r="D3905">
            <v>5150</v>
          </cell>
          <cell r="H3905">
            <v>45536</v>
          </cell>
          <cell r="I3905" t="str">
            <v>6005 - Salaries</v>
          </cell>
          <cell r="J3905">
            <v>0</v>
          </cell>
          <cell r="K3905" t="str">
            <v>Merchandising</v>
          </cell>
          <cell r="L3905" t="str">
            <v>HQ Salaries</v>
          </cell>
          <cell r="N3905" t="str">
            <v>SG&amp;A</v>
          </cell>
          <cell r="O3905" t="str">
            <v>[No Vendor]</v>
          </cell>
        </row>
        <row r="3906">
          <cell r="D3906">
            <v>9911.5499999999993</v>
          </cell>
          <cell r="H3906">
            <v>45536</v>
          </cell>
          <cell r="I3906" t="str">
            <v>6005 - Salaries</v>
          </cell>
          <cell r="J3906" t="str">
            <v>Wholesale</v>
          </cell>
          <cell r="K3906" t="str">
            <v>Wholesale</v>
          </cell>
          <cell r="L3906" t="str">
            <v>HQ Salaries</v>
          </cell>
          <cell r="N3906" t="str">
            <v>SG&amp;A</v>
          </cell>
          <cell r="O3906" t="str">
            <v>[No Vendor]</v>
          </cell>
        </row>
        <row r="3907">
          <cell r="D3907">
            <v>19988.490000000002</v>
          </cell>
          <cell r="H3907">
            <v>45536</v>
          </cell>
          <cell r="I3907" t="str">
            <v>6005 - Salaries</v>
          </cell>
          <cell r="J3907">
            <v>0</v>
          </cell>
          <cell r="K3907" t="str">
            <v>Production</v>
          </cell>
          <cell r="L3907" t="str">
            <v>HQ Salaries</v>
          </cell>
          <cell r="N3907" t="str">
            <v>SG&amp;A</v>
          </cell>
          <cell r="O3907" t="str">
            <v>[No Vendor]</v>
          </cell>
        </row>
        <row r="3908">
          <cell r="D3908">
            <v>3269.24</v>
          </cell>
          <cell r="H3908">
            <v>45536</v>
          </cell>
          <cell r="I3908" t="str">
            <v>6005 - Salaries</v>
          </cell>
          <cell r="J3908">
            <v>0</v>
          </cell>
          <cell r="K3908" t="str">
            <v>Brand Marketing</v>
          </cell>
          <cell r="L3908" t="str">
            <v>HQ Salaries</v>
          </cell>
          <cell r="N3908" t="str">
            <v>SG&amp;A</v>
          </cell>
          <cell r="O3908" t="str">
            <v>[No Vendor]</v>
          </cell>
        </row>
        <row r="3909">
          <cell r="D3909">
            <v>11153.85</v>
          </cell>
          <cell r="H3909">
            <v>45536</v>
          </cell>
          <cell r="I3909" t="str">
            <v>6005 - Salaries</v>
          </cell>
          <cell r="J3909">
            <v>0</v>
          </cell>
          <cell r="K3909" t="str">
            <v>Executive</v>
          </cell>
          <cell r="L3909" t="str">
            <v>HQ Salaries</v>
          </cell>
          <cell r="N3909" t="str">
            <v>SG&amp;A</v>
          </cell>
          <cell r="O3909" t="str">
            <v>[No Vendor]</v>
          </cell>
        </row>
        <row r="3910">
          <cell r="D3910">
            <v>20780.8</v>
          </cell>
          <cell r="H3910">
            <v>45536</v>
          </cell>
          <cell r="I3910" t="str">
            <v>6005 - Salaries</v>
          </cell>
          <cell r="J3910" t="str">
            <v>Ecommerce (US)</v>
          </cell>
          <cell r="K3910" t="str">
            <v>Ecommerce</v>
          </cell>
          <cell r="L3910" t="str">
            <v>HQ Salaries</v>
          </cell>
          <cell r="N3910" t="str">
            <v>SG&amp;A</v>
          </cell>
          <cell r="O3910" t="str">
            <v>[No Vendor]</v>
          </cell>
        </row>
        <row r="3911">
          <cell r="D3911">
            <v>20857.7</v>
          </cell>
          <cell r="H3911">
            <v>45536</v>
          </cell>
          <cell r="I3911" t="str">
            <v>6005 - Salaries</v>
          </cell>
          <cell r="J3911">
            <v>0</v>
          </cell>
          <cell r="K3911" t="str">
            <v>Design</v>
          </cell>
          <cell r="L3911" t="str">
            <v>HQ Salaries</v>
          </cell>
          <cell r="N3911" t="str">
            <v>SG&amp;A</v>
          </cell>
          <cell r="O3911" t="str">
            <v>[No Vendor]</v>
          </cell>
        </row>
        <row r="3912">
          <cell r="D3912">
            <v>951.51</v>
          </cell>
          <cell r="H3912">
            <v>45536</v>
          </cell>
          <cell r="I3912" t="str">
            <v>6375 - Freight Expenses</v>
          </cell>
          <cell r="J3912" t="str">
            <v>Wholesale</v>
          </cell>
          <cell r="K3912" t="str">
            <v>Wholesale</v>
          </cell>
          <cell r="L3912" t="str">
            <v>Freight</v>
          </cell>
          <cell r="N3912" t="str">
            <v>Direct Costs</v>
          </cell>
          <cell r="O3912" t="str">
            <v>UPS Supply Chain Solutions Inc. (7F24A0)</v>
          </cell>
        </row>
        <row r="3913">
          <cell r="D3913">
            <v>20972.27</v>
          </cell>
          <cell r="H3913">
            <v>45536</v>
          </cell>
          <cell r="I3913" t="str">
            <v>6375 - Freight Expenses</v>
          </cell>
          <cell r="J3913" t="str">
            <v>Ecommerce (US)</v>
          </cell>
          <cell r="K3913" t="str">
            <v>Ecommerce</v>
          </cell>
          <cell r="L3913" t="str">
            <v>Freight</v>
          </cell>
          <cell r="N3913" t="str">
            <v>Direct Costs</v>
          </cell>
          <cell r="O3913" t="str">
            <v>UPS Supply Chain Solutions Inc. (7F24A0)</v>
          </cell>
        </row>
        <row r="3914">
          <cell r="D3914">
            <v>53.13</v>
          </cell>
          <cell r="H3914">
            <v>45536</v>
          </cell>
          <cell r="I3914" t="str">
            <v>6375 - Freight Expenses</v>
          </cell>
          <cell r="J3914" t="str">
            <v>Ecommerce (US)</v>
          </cell>
          <cell r="K3914" t="str">
            <v>Ecommerce</v>
          </cell>
          <cell r="L3914" t="str">
            <v>Freight</v>
          </cell>
          <cell r="N3914" t="str">
            <v>Direct Costs</v>
          </cell>
          <cell r="O3914" t="str">
            <v>Federal Express</v>
          </cell>
        </row>
        <row r="3915">
          <cell r="D3915">
            <v>808.52</v>
          </cell>
          <cell r="H3915">
            <v>45536</v>
          </cell>
          <cell r="I3915" t="str">
            <v>6210 - Monitoring</v>
          </cell>
          <cell r="J3915" t="str">
            <v>Ecommerce (EU)</v>
          </cell>
          <cell r="K3915" t="str">
            <v>Ecommerce</v>
          </cell>
          <cell r="L3915" t="str">
            <v>Professional Service</v>
          </cell>
          <cell r="N3915" t="str">
            <v>Direct Costs</v>
          </cell>
          <cell r="O3915" t="str">
            <v>Convey SRL</v>
          </cell>
        </row>
        <row r="3916">
          <cell r="D3916">
            <v>1786.24</v>
          </cell>
          <cell r="H3916">
            <v>45536</v>
          </cell>
          <cell r="I3916" t="str">
            <v>6385 - Insurance</v>
          </cell>
          <cell r="J3916">
            <v>0</v>
          </cell>
          <cell r="K3916" t="str">
            <v>Administration</v>
          </cell>
          <cell r="L3916" t="str">
            <v>Professional Service</v>
          </cell>
          <cell r="N3916" t="str">
            <v>SG&amp;A</v>
          </cell>
          <cell r="O3916" t="str">
            <v>The Hartford</v>
          </cell>
        </row>
        <row r="3917">
          <cell r="D3917">
            <v>-91</v>
          </cell>
          <cell r="H3917">
            <v>45536</v>
          </cell>
          <cell r="I3917" t="str">
            <v>6040 - Employer Paid Benefits</v>
          </cell>
          <cell r="J3917">
            <v>0</v>
          </cell>
          <cell r="K3917" t="str">
            <v>Administration</v>
          </cell>
          <cell r="L3917" t="str">
            <v>HQ Salaries</v>
          </cell>
          <cell r="N3917" t="str">
            <v>SG&amp;A</v>
          </cell>
          <cell r="O3917" t="str">
            <v>[No Vendor]</v>
          </cell>
        </row>
        <row r="3918">
          <cell r="D3918">
            <v>12671.3</v>
          </cell>
          <cell r="H3918">
            <v>45536</v>
          </cell>
          <cell r="I3918" t="str">
            <v>6377 - Order Processing Expenses (New)</v>
          </cell>
          <cell r="J3918" t="str">
            <v>Ecommerce (EU)</v>
          </cell>
          <cell r="K3918" t="str">
            <v>Ecommerce</v>
          </cell>
          <cell r="L3918" t="str">
            <v>Order Processing</v>
          </cell>
          <cell r="N3918" t="str">
            <v>Direct Costs</v>
          </cell>
          <cell r="O3918" t="str">
            <v>[No Vendor]</v>
          </cell>
        </row>
        <row r="3919">
          <cell r="D3919">
            <v>3422.32</v>
          </cell>
          <cell r="H3919">
            <v>45536</v>
          </cell>
          <cell r="I3919" t="str">
            <v>6450 - Bank &amp; Other Fees</v>
          </cell>
          <cell r="J3919" t="str">
            <v>Ecommerce (EU)</v>
          </cell>
          <cell r="K3919" t="str">
            <v>Ecommerce</v>
          </cell>
          <cell r="L3919" t="str">
            <v>Professional Service</v>
          </cell>
          <cell r="N3919" t="str">
            <v>Direct Costs</v>
          </cell>
          <cell r="O3919" t="str">
            <v>[No Vendor]</v>
          </cell>
        </row>
        <row r="3920">
          <cell r="D3920">
            <v>3900.83</v>
          </cell>
          <cell r="H3920">
            <v>45536</v>
          </cell>
          <cell r="I3920" t="str">
            <v>6375 - Freight Expenses</v>
          </cell>
          <cell r="J3920" t="str">
            <v>Ecommerce (EU)</v>
          </cell>
          <cell r="K3920" t="str">
            <v>Ecommerce</v>
          </cell>
          <cell r="L3920" t="str">
            <v>Freight</v>
          </cell>
          <cell r="N3920" t="str">
            <v>Direct Costs</v>
          </cell>
          <cell r="O3920" t="str">
            <v>Global E</v>
          </cell>
        </row>
        <row r="3921">
          <cell r="D3921">
            <v>847.42</v>
          </cell>
          <cell r="H3921">
            <v>45536</v>
          </cell>
          <cell r="I3921" t="str">
            <v>6430 - Dues &amp; Memberships</v>
          </cell>
          <cell r="J3921" t="str">
            <v>Wholesale</v>
          </cell>
          <cell r="K3921" t="str">
            <v>Wholesale</v>
          </cell>
          <cell r="L3921" t="str">
            <v>Professional Service</v>
          </cell>
          <cell r="N3921" t="str">
            <v>Direct Costs</v>
          </cell>
          <cell r="O3921" t="str">
            <v>SPS Commerce</v>
          </cell>
        </row>
        <row r="3922">
          <cell r="D3922">
            <v>1000</v>
          </cell>
          <cell r="H3922">
            <v>45536</v>
          </cell>
          <cell r="I3922" t="str">
            <v>6380 - Legal &amp; Accounting</v>
          </cell>
          <cell r="J3922">
            <v>0</v>
          </cell>
          <cell r="K3922" t="str">
            <v>Administration</v>
          </cell>
          <cell r="L3922" t="str">
            <v>Professional Service</v>
          </cell>
          <cell r="N3922" t="str">
            <v>SG&amp;A</v>
          </cell>
          <cell r="O3922" t="str">
            <v>Ko &amp; Yun, LLP - Operations</v>
          </cell>
        </row>
        <row r="3923">
          <cell r="D3923">
            <v>500</v>
          </cell>
          <cell r="H3923">
            <v>45536</v>
          </cell>
          <cell r="I3923" t="str">
            <v>6380 - Legal &amp; Accounting</v>
          </cell>
          <cell r="J3923">
            <v>0</v>
          </cell>
          <cell r="K3923" t="str">
            <v>Administration</v>
          </cell>
          <cell r="L3923" t="str">
            <v>Professional Service</v>
          </cell>
          <cell r="N3923" t="str">
            <v>SG&amp;A</v>
          </cell>
          <cell r="O3923" t="str">
            <v>Ko &amp; Yun, LLP - IP Holding</v>
          </cell>
        </row>
        <row r="3924">
          <cell r="D3924">
            <v>-561.47</v>
          </cell>
          <cell r="H3924">
            <v>45536</v>
          </cell>
          <cell r="I3924" t="str">
            <v>6377 - Order Processing Expenses (New)</v>
          </cell>
          <cell r="J3924" t="str">
            <v>Ecommerce (US)</v>
          </cell>
          <cell r="K3924" t="str">
            <v>No Department</v>
          </cell>
          <cell r="L3924" t="str">
            <v>Order Processing</v>
          </cell>
          <cell r="N3924" t="str">
            <v>Direct Costs</v>
          </cell>
          <cell r="O3924" t="str">
            <v>Bergen Logistics Corporation</v>
          </cell>
        </row>
        <row r="3925">
          <cell r="D3925">
            <v>6000</v>
          </cell>
          <cell r="H3925">
            <v>45536</v>
          </cell>
          <cell r="I3925" t="str">
            <v>6440 - Bad Debt Expenses</v>
          </cell>
          <cell r="J3925" t="str">
            <v>Wholesale</v>
          </cell>
          <cell r="K3925" t="str">
            <v>Wholesale</v>
          </cell>
          <cell r="L3925" t="str">
            <v>Other</v>
          </cell>
          <cell r="N3925" t="str">
            <v>SG&amp;A</v>
          </cell>
          <cell r="O3925" t="str">
            <v>[No Vendor]</v>
          </cell>
        </row>
        <row r="3926">
          <cell r="D3926">
            <v>173.3</v>
          </cell>
          <cell r="H3926">
            <v>45536</v>
          </cell>
          <cell r="I3926" t="str">
            <v>4052 - Sales Revenue - Wholesale (US)</v>
          </cell>
          <cell r="J3926" t="str">
            <v>Wholesale</v>
          </cell>
          <cell r="K3926" t="str">
            <v>Wholesale</v>
          </cell>
          <cell r="L3926" t="str">
            <v>Wholesale</v>
          </cell>
          <cell r="N3926" t="str">
            <v>Revenue</v>
          </cell>
          <cell r="O3926" t="str">
            <v>[No Vendor]</v>
          </cell>
        </row>
        <row r="3927">
          <cell r="D3927">
            <v>661.7</v>
          </cell>
          <cell r="H3927">
            <v>45536</v>
          </cell>
          <cell r="I3927" t="str">
            <v>4052 - Sales Revenue - Wholesale (US)</v>
          </cell>
          <cell r="J3927" t="str">
            <v>Wholesale</v>
          </cell>
          <cell r="K3927" t="str">
            <v>Wholesale</v>
          </cell>
          <cell r="L3927" t="str">
            <v>Wholesale</v>
          </cell>
          <cell r="N3927" t="str">
            <v>Revenue</v>
          </cell>
          <cell r="O3927" t="str">
            <v>[No Vendor]</v>
          </cell>
        </row>
        <row r="3928">
          <cell r="D3928">
            <v>3279.4</v>
          </cell>
          <cell r="H3928">
            <v>45536</v>
          </cell>
          <cell r="I3928" t="str">
            <v>4052 - Sales Revenue - Wholesale (US)</v>
          </cell>
          <cell r="J3928" t="str">
            <v>Wholesale</v>
          </cell>
          <cell r="K3928" t="str">
            <v>Wholesale</v>
          </cell>
          <cell r="L3928" t="str">
            <v>Wholesale</v>
          </cell>
          <cell r="N3928" t="str">
            <v>Revenue</v>
          </cell>
          <cell r="O3928" t="str">
            <v>[No Vendor]</v>
          </cell>
        </row>
        <row r="3929">
          <cell r="D3929">
            <v>173.73</v>
          </cell>
          <cell r="H3929">
            <v>45536</v>
          </cell>
          <cell r="I3929" t="str">
            <v>6375 - Freight Expenses</v>
          </cell>
          <cell r="J3929" t="str">
            <v>Ecommerce (EU)</v>
          </cell>
          <cell r="K3929" t="str">
            <v>Ecommerce</v>
          </cell>
          <cell r="L3929" t="str">
            <v>Freight</v>
          </cell>
          <cell r="N3929" t="str">
            <v>Direct Costs</v>
          </cell>
          <cell r="O3929" t="str">
            <v>UPS Supply Chain Solutions Inc. (7F24A0)</v>
          </cell>
        </row>
        <row r="3930">
          <cell r="D3930">
            <v>1282.5</v>
          </cell>
          <cell r="H3930">
            <v>45536</v>
          </cell>
          <cell r="I3930" t="str">
            <v>6300 - Payroll Service Fees</v>
          </cell>
          <cell r="J3930">
            <v>0</v>
          </cell>
          <cell r="K3930" t="str">
            <v>Administration</v>
          </cell>
          <cell r="L3930" t="str">
            <v>Professional Service</v>
          </cell>
          <cell r="N3930" t="str">
            <v>SG&amp;A</v>
          </cell>
          <cell r="O3930" t="str">
            <v>OperationsInc, LLC</v>
          </cell>
        </row>
        <row r="3931">
          <cell r="D3931">
            <v>32.520000000000003</v>
          </cell>
          <cell r="H3931">
            <v>45536</v>
          </cell>
          <cell r="I3931" t="str">
            <v>6375 - Freight Expenses</v>
          </cell>
          <cell r="J3931">
            <v>0</v>
          </cell>
          <cell r="K3931" t="str">
            <v>Production</v>
          </cell>
          <cell r="L3931" t="str">
            <v>Freight</v>
          </cell>
          <cell r="N3931" t="str">
            <v>Direct Costs</v>
          </cell>
          <cell r="O3931" t="str">
            <v>DHL Express - USA</v>
          </cell>
        </row>
        <row r="3932">
          <cell r="D3932">
            <v>1028.04</v>
          </cell>
          <cell r="H3932">
            <v>45536</v>
          </cell>
          <cell r="I3932" t="str">
            <v>6375 - Freight Expenses</v>
          </cell>
          <cell r="J3932">
            <v>0</v>
          </cell>
          <cell r="K3932" t="str">
            <v>Production</v>
          </cell>
          <cell r="L3932" t="str">
            <v>Freight</v>
          </cell>
          <cell r="N3932" t="str">
            <v>Direct Costs</v>
          </cell>
          <cell r="O3932" t="str">
            <v>DHL Express - USA</v>
          </cell>
        </row>
        <row r="3933">
          <cell r="D3933">
            <v>56.69</v>
          </cell>
          <cell r="H3933">
            <v>45536</v>
          </cell>
          <cell r="I3933" t="str">
            <v>6375 - Freight Expenses</v>
          </cell>
          <cell r="J3933">
            <v>0</v>
          </cell>
          <cell r="K3933" t="str">
            <v>Production</v>
          </cell>
          <cell r="L3933" t="str">
            <v>Freight</v>
          </cell>
          <cell r="N3933" t="str">
            <v>Direct Costs</v>
          </cell>
          <cell r="O3933" t="str">
            <v>DHL Express - USA</v>
          </cell>
        </row>
        <row r="3934">
          <cell r="D3934">
            <v>20</v>
          </cell>
          <cell r="H3934">
            <v>45536</v>
          </cell>
          <cell r="I3934" t="str">
            <v>6450 - Bank &amp; Other Fees</v>
          </cell>
          <cell r="J3934">
            <v>0</v>
          </cell>
          <cell r="K3934" t="str">
            <v>Licensing</v>
          </cell>
          <cell r="L3934" t="str">
            <v>Professional Service</v>
          </cell>
          <cell r="N3934" t="str">
            <v>SG&amp;A</v>
          </cell>
          <cell r="O3934" t="str">
            <v>LATIN SHOES</v>
          </cell>
        </row>
        <row r="3935">
          <cell r="D3935">
            <v>1714.49</v>
          </cell>
          <cell r="H3935">
            <v>45536</v>
          </cell>
          <cell r="I3935" t="str">
            <v>6215 - Recruitment</v>
          </cell>
          <cell r="J3935">
            <v>0</v>
          </cell>
          <cell r="K3935" t="str">
            <v>Administration</v>
          </cell>
          <cell r="L3935" t="str">
            <v>Professional Service</v>
          </cell>
          <cell r="N3935" t="str">
            <v>SG&amp;A</v>
          </cell>
          <cell r="O3935" t="str">
            <v>[No Vendor]</v>
          </cell>
        </row>
        <row r="3936">
          <cell r="D3936">
            <v>89.87</v>
          </cell>
          <cell r="H3936">
            <v>45536</v>
          </cell>
          <cell r="I3936" t="str">
            <v>6040 - Employer Paid Benefits</v>
          </cell>
          <cell r="J3936">
            <v>0</v>
          </cell>
          <cell r="K3936" t="str">
            <v>Administration</v>
          </cell>
          <cell r="L3936" t="str">
            <v>HQ Salaries</v>
          </cell>
          <cell r="N3936" t="str">
            <v>SG&amp;A</v>
          </cell>
          <cell r="O3936" t="str">
            <v>Procyon Benefits LLC</v>
          </cell>
        </row>
        <row r="3937">
          <cell r="D3937">
            <v>927.44</v>
          </cell>
          <cell r="H3937">
            <v>45536</v>
          </cell>
          <cell r="I3937" t="str">
            <v>6370 - Samples</v>
          </cell>
          <cell r="J3937" t="str">
            <v>Wholesale</v>
          </cell>
          <cell r="K3937" t="str">
            <v>Production</v>
          </cell>
          <cell r="L3937" t="str">
            <v>Sample</v>
          </cell>
          <cell r="N3937" t="str">
            <v>SG&amp;A</v>
          </cell>
          <cell r="O3937" t="str">
            <v>Porta Asiatica Enterprises Inc</v>
          </cell>
        </row>
        <row r="3938">
          <cell r="D3938">
            <v>666.74</v>
          </cell>
          <cell r="H3938">
            <v>45536</v>
          </cell>
          <cell r="I3938" t="str">
            <v>6040 - Employer Paid Benefits</v>
          </cell>
          <cell r="J3938">
            <v>0</v>
          </cell>
          <cell r="K3938" t="str">
            <v>Production</v>
          </cell>
          <cell r="L3938" t="str">
            <v>HQ Salaries</v>
          </cell>
          <cell r="N3938" t="str">
            <v>SG&amp;A</v>
          </cell>
          <cell r="O3938" t="str">
            <v>Procyon Benefits LLC</v>
          </cell>
        </row>
        <row r="3939">
          <cell r="D3939">
            <v>30.9</v>
          </cell>
          <cell r="H3939">
            <v>45536</v>
          </cell>
          <cell r="I3939" t="str">
            <v>6040 - Employer Paid Benefits</v>
          </cell>
          <cell r="J3939">
            <v>0</v>
          </cell>
          <cell r="K3939" t="str">
            <v>Merchandising</v>
          </cell>
          <cell r="L3939" t="str">
            <v>HQ Salaries</v>
          </cell>
          <cell r="N3939" t="str">
            <v>SG&amp;A</v>
          </cell>
          <cell r="O3939" t="str">
            <v>Procyon Benefits LLC</v>
          </cell>
        </row>
        <row r="3940">
          <cell r="D3940">
            <v>23.5</v>
          </cell>
          <cell r="H3940">
            <v>45536</v>
          </cell>
          <cell r="I3940" t="str">
            <v>6040 - Employer Paid Benefits</v>
          </cell>
          <cell r="J3940" t="str">
            <v>Ecommerce (US)</v>
          </cell>
          <cell r="K3940" t="str">
            <v>Ecommerce</v>
          </cell>
          <cell r="L3940" t="str">
            <v>HQ Salaries</v>
          </cell>
          <cell r="N3940" t="str">
            <v>SG&amp;A</v>
          </cell>
          <cell r="O3940" t="str">
            <v>Procyon Benefits LLC</v>
          </cell>
        </row>
        <row r="3941">
          <cell r="D3941">
            <v>1276.5999999999999</v>
          </cell>
          <cell r="H3941">
            <v>45536</v>
          </cell>
          <cell r="I3941" t="str">
            <v>6040 - Employer Paid Benefits</v>
          </cell>
          <cell r="J3941">
            <v>0</v>
          </cell>
          <cell r="K3941" t="str">
            <v>Executive</v>
          </cell>
          <cell r="L3941" t="str">
            <v>HQ Salaries</v>
          </cell>
          <cell r="N3941" t="str">
            <v>SG&amp;A</v>
          </cell>
          <cell r="O3941" t="str">
            <v>Procyon Benefits LLC</v>
          </cell>
        </row>
        <row r="3942">
          <cell r="D3942">
            <v>136.38999999999999</v>
          </cell>
          <cell r="H3942">
            <v>45536</v>
          </cell>
          <cell r="I3942" t="str">
            <v>6375 - Freight Expenses</v>
          </cell>
          <cell r="J3942" t="str">
            <v>Ecommerce (EU)</v>
          </cell>
          <cell r="K3942" t="str">
            <v>Ecommerce</v>
          </cell>
          <cell r="L3942" t="str">
            <v>Freight</v>
          </cell>
          <cell r="N3942" t="str">
            <v>Direct Costs</v>
          </cell>
          <cell r="O3942" t="str">
            <v>UPS Supply Chain Solutions Inc. (7F24A0)</v>
          </cell>
        </row>
        <row r="3943">
          <cell r="D3943">
            <v>264.69</v>
          </cell>
          <cell r="H3943">
            <v>45536</v>
          </cell>
          <cell r="I3943" t="str">
            <v>6400 - Utilities</v>
          </cell>
          <cell r="J3943">
            <v>0</v>
          </cell>
          <cell r="K3943" t="str">
            <v>Administration</v>
          </cell>
          <cell r="L3943" t="str">
            <v>Other</v>
          </cell>
          <cell r="N3943" t="str">
            <v>SG&amp;A</v>
          </cell>
          <cell r="O3943" t="str">
            <v>Verizon</v>
          </cell>
        </row>
        <row r="3944">
          <cell r="D3944">
            <v>3.43</v>
          </cell>
          <cell r="H3944">
            <v>45536</v>
          </cell>
          <cell r="I3944" t="str">
            <v>8505 - Realized Gain/Loss</v>
          </cell>
          <cell r="J3944">
            <v>0</v>
          </cell>
          <cell r="K3944" t="str">
            <v>No Department</v>
          </cell>
          <cell r="L3944" t="str">
            <v>Realized Gain / Loss</v>
          </cell>
          <cell r="N3944" t="str">
            <v>BTL</v>
          </cell>
          <cell r="O3944" t="str">
            <v>[No Vendor]</v>
          </cell>
        </row>
        <row r="3945">
          <cell r="D3945">
            <v>123.35</v>
          </cell>
          <cell r="H3945">
            <v>45536</v>
          </cell>
          <cell r="I3945" t="str">
            <v>8505 - Realized Gain/Loss</v>
          </cell>
          <cell r="J3945">
            <v>0</v>
          </cell>
          <cell r="K3945" t="str">
            <v>No Department</v>
          </cell>
          <cell r="L3945" t="str">
            <v>Realized Gain / Loss</v>
          </cell>
          <cell r="N3945" t="str">
            <v>BTL</v>
          </cell>
          <cell r="O3945" t="str">
            <v>[No Vendor]</v>
          </cell>
        </row>
        <row r="3946">
          <cell r="D3946">
            <v>384.25</v>
          </cell>
          <cell r="H3946">
            <v>45536</v>
          </cell>
          <cell r="I3946" t="str">
            <v>6375 - Freight Expenses</v>
          </cell>
          <cell r="J3946" t="str">
            <v>Wholesale</v>
          </cell>
          <cell r="K3946" t="str">
            <v>Wholesale</v>
          </cell>
          <cell r="L3946" t="str">
            <v>Freight</v>
          </cell>
          <cell r="N3946" t="str">
            <v>Direct Costs</v>
          </cell>
          <cell r="O3946" t="str">
            <v>UPS Supply Chain Solutions Inc. (7F24A0)</v>
          </cell>
        </row>
        <row r="3947">
          <cell r="D3947">
            <v>19611.39</v>
          </cell>
          <cell r="H3947">
            <v>45536</v>
          </cell>
          <cell r="I3947" t="str">
            <v>6375 - Freight Expenses</v>
          </cell>
          <cell r="J3947" t="str">
            <v>Ecommerce (US)</v>
          </cell>
          <cell r="K3947" t="str">
            <v>Ecommerce</v>
          </cell>
          <cell r="L3947" t="str">
            <v>Freight</v>
          </cell>
          <cell r="N3947" t="str">
            <v>Direct Costs</v>
          </cell>
          <cell r="O3947" t="str">
            <v>UPS Supply Chain Solutions Inc. (7F24A0)</v>
          </cell>
        </row>
        <row r="3948">
          <cell r="D3948">
            <v>115.5</v>
          </cell>
          <cell r="H3948">
            <v>45536</v>
          </cell>
          <cell r="I3948" t="str">
            <v>6040 - Employer Paid Benefits</v>
          </cell>
          <cell r="J3948">
            <v>0</v>
          </cell>
          <cell r="K3948" t="str">
            <v>Administration</v>
          </cell>
          <cell r="L3948" t="str">
            <v>HQ Salaries</v>
          </cell>
          <cell r="N3948" t="str">
            <v>SG&amp;A</v>
          </cell>
          <cell r="O3948" t="str">
            <v>Progressive Benefit Solutions LLC</v>
          </cell>
        </row>
        <row r="3949">
          <cell r="D3949">
            <v>30703.8</v>
          </cell>
          <cell r="H3949">
            <v>45536</v>
          </cell>
          <cell r="I3949" t="str">
            <v>6377 - Order Processing Expenses (New)</v>
          </cell>
          <cell r="J3949" t="str">
            <v>Ecommerce (US)</v>
          </cell>
          <cell r="K3949" t="str">
            <v>Ecommerce</v>
          </cell>
          <cell r="L3949" t="str">
            <v>Order Processing</v>
          </cell>
          <cell r="N3949" t="str">
            <v>Direct Costs</v>
          </cell>
          <cell r="O3949" t="str">
            <v>Bergen Logistics Corporation</v>
          </cell>
        </row>
        <row r="3950">
          <cell r="D3950">
            <v>2445.2199999999998</v>
          </cell>
          <cell r="H3950">
            <v>45536</v>
          </cell>
          <cell r="I3950" t="str">
            <v>6377 - Order Processing Expenses (New)</v>
          </cell>
          <cell r="J3950" t="str">
            <v>Wholesale</v>
          </cell>
          <cell r="K3950" t="str">
            <v>Wholesale</v>
          </cell>
          <cell r="L3950" t="str">
            <v>Order Processing</v>
          </cell>
          <cell r="N3950" t="str">
            <v>Direct Costs</v>
          </cell>
          <cell r="O3950" t="str">
            <v>Bergen Logistics Corporation</v>
          </cell>
        </row>
        <row r="3951">
          <cell r="D3951">
            <v>204.09</v>
          </cell>
          <cell r="H3951">
            <v>45536</v>
          </cell>
          <cell r="I3951" t="str">
            <v>6377 - Order Processing Expenses (New)</v>
          </cell>
          <cell r="J3951" t="str">
            <v>Ecommerce (US)</v>
          </cell>
          <cell r="K3951" t="str">
            <v>Ecommerce</v>
          </cell>
          <cell r="L3951" t="str">
            <v>Order Processing</v>
          </cell>
          <cell r="N3951" t="str">
            <v>Direct Costs</v>
          </cell>
          <cell r="O3951" t="str">
            <v>Bergen Logistics Corporation</v>
          </cell>
        </row>
        <row r="3952">
          <cell r="D3952">
            <v>204.09</v>
          </cell>
          <cell r="H3952">
            <v>45536</v>
          </cell>
          <cell r="I3952" t="str">
            <v>6377 - Order Processing Expenses (New)</v>
          </cell>
          <cell r="J3952" t="str">
            <v>Wholesale</v>
          </cell>
          <cell r="K3952" t="str">
            <v>Wholesale</v>
          </cell>
          <cell r="L3952" t="str">
            <v>Order Processing</v>
          </cell>
          <cell r="N3952" t="str">
            <v>Direct Costs</v>
          </cell>
          <cell r="O3952" t="str">
            <v>Bergen Logistics Corporation</v>
          </cell>
        </row>
        <row r="3953">
          <cell r="D3953">
            <v>21.78</v>
          </cell>
          <cell r="H3953">
            <v>45536</v>
          </cell>
          <cell r="I3953" t="str">
            <v>6393 - Software</v>
          </cell>
          <cell r="J3953">
            <v>0</v>
          </cell>
          <cell r="K3953" t="str">
            <v>Administration</v>
          </cell>
          <cell r="L3953" t="str">
            <v>Professional Service</v>
          </cell>
          <cell r="N3953" t="str">
            <v>Direct Costs</v>
          </cell>
          <cell r="O3953" t="str">
            <v>Chat GPT</v>
          </cell>
        </row>
        <row r="3954">
          <cell r="D3954">
            <v>1245</v>
          </cell>
          <cell r="H3954">
            <v>45536</v>
          </cell>
          <cell r="I3954" t="str">
            <v>6393 - Software</v>
          </cell>
          <cell r="J3954">
            <v>0</v>
          </cell>
          <cell r="K3954" t="str">
            <v>Design</v>
          </cell>
          <cell r="L3954" t="str">
            <v>Professional Service</v>
          </cell>
          <cell r="N3954" t="str">
            <v>Direct Costs</v>
          </cell>
          <cell r="O3954">
            <v>0</v>
          </cell>
        </row>
        <row r="3955">
          <cell r="D3955">
            <v>228.64</v>
          </cell>
          <cell r="H3955">
            <v>45536</v>
          </cell>
          <cell r="I3955" t="str">
            <v>6393 - Software</v>
          </cell>
          <cell r="J3955" t="str">
            <v>Wholesale</v>
          </cell>
          <cell r="K3955" t="str">
            <v>Wholesale</v>
          </cell>
          <cell r="L3955" t="str">
            <v>Professional Service</v>
          </cell>
          <cell r="N3955" t="str">
            <v>Direct Costs</v>
          </cell>
          <cell r="O3955" t="str">
            <v>[No Vendor]</v>
          </cell>
        </row>
        <row r="3956">
          <cell r="D3956">
            <v>43.9</v>
          </cell>
          <cell r="H3956">
            <v>45536</v>
          </cell>
          <cell r="I3956" t="str">
            <v>6393 - Software</v>
          </cell>
          <cell r="J3956" t="str">
            <v>Wholesale</v>
          </cell>
          <cell r="K3956" t="str">
            <v>Wholesale</v>
          </cell>
          <cell r="L3956" t="str">
            <v>Professional Service</v>
          </cell>
          <cell r="N3956" t="str">
            <v>Direct Costs</v>
          </cell>
          <cell r="O3956" t="str">
            <v>[No Vendor]</v>
          </cell>
        </row>
        <row r="3957">
          <cell r="D3957">
            <v>112257.59</v>
          </cell>
          <cell r="H3957">
            <v>45536</v>
          </cell>
          <cell r="I3957" t="str">
            <v>6286 - SEM</v>
          </cell>
          <cell r="J3957" t="str">
            <v>Ecommerce (US)</v>
          </cell>
          <cell r="K3957" t="str">
            <v>Ecommerce</v>
          </cell>
          <cell r="L3957" t="str">
            <v>Marketing</v>
          </cell>
          <cell r="N3957" t="str">
            <v>Direct Costs</v>
          </cell>
          <cell r="O3957" t="str">
            <v>Meta Platforms, Inc</v>
          </cell>
        </row>
        <row r="3958">
          <cell r="D3958">
            <v>10751.85</v>
          </cell>
          <cell r="H3958">
            <v>45536</v>
          </cell>
          <cell r="I3958" t="str">
            <v>6286 - SEM</v>
          </cell>
          <cell r="J3958" t="str">
            <v>Ecommerce (EU)</v>
          </cell>
          <cell r="K3958" t="str">
            <v>Ecommerce</v>
          </cell>
          <cell r="L3958" t="str">
            <v>Marketing</v>
          </cell>
          <cell r="N3958" t="str">
            <v>Direct Costs</v>
          </cell>
          <cell r="O3958" t="str">
            <v>Meta Platforms, Inc</v>
          </cell>
        </row>
        <row r="3959">
          <cell r="D3959">
            <v>1483.32</v>
          </cell>
          <cell r="H3959">
            <v>45536</v>
          </cell>
          <cell r="I3959" t="str">
            <v>6286 - SEM</v>
          </cell>
          <cell r="J3959" t="str">
            <v>Ecommerce (US)</v>
          </cell>
          <cell r="K3959" t="str">
            <v>Ecommerce</v>
          </cell>
          <cell r="L3959" t="str">
            <v>Marketing</v>
          </cell>
          <cell r="N3959" t="str">
            <v>Direct Costs</v>
          </cell>
          <cell r="O3959" t="str">
            <v>Tiktok</v>
          </cell>
        </row>
        <row r="3960">
          <cell r="D3960">
            <v>14562.71</v>
          </cell>
          <cell r="H3960">
            <v>45536</v>
          </cell>
          <cell r="I3960" t="str">
            <v>6286 - SEM</v>
          </cell>
          <cell r="J3960" t="str">
            <v>Ecommerce (US)</v>
          </cell>
          <cell r="K3960" t="str">
            <v>Ecommerce</v>
          </cell>
          <cell r="L3960" t="str">
            <v>Marketing</v>
          </cell>
          <cell r="N3960" t="str">
            <v>Direct Costs</v>
          </cell>
          <cell r="O3960" t="str">
            <v>Amazon</v>
          </cell>
        </row>
        <row r="3961">
          <cell r="D3961">
            <v>11704.76</v>
          </cell>
          <cell r="H3961">
            <v>45536</v>
          </cell>
          <cell r="I3961" t="str">
            <v>6380 - Legal &amp; Accounting</v>
          </cell>
          <cell r="J3961">
            <v>0</v>
          </cell>
          <cell r="K3961" t="str">
            <v>Administration</v>
          </cell>
          <cell r="L3961" t="str">
            <v>Professional Service</v>
          </cell>
          <cell r="N3961" t="str">
            <v>SG&amp;A</v>
          </cell>
          <cell r="O3961" t="str">
            <v>The Wave IP Law Firm</v>
          </cell>
        </row>
        <row r="3962">
          <cell r="D3962">
            <v>229.42</v>
          </cell>
          <cell r="H3962">
            <v>45536</v>
          </cell>
          <cell r="I3962" t="str">
            <v>6340 - Miscellaneous Expense</v>
          </cell>
          <cell r="J3962">
            <v>0</v>
          </cell>
          <cell r="K3962" t="str">
            <v>Administration</v>
          </cell>
          <cell r="L3962" t="str">
            <v>Other</v>
          </cell>
          <cell r="N3962" t="str">
            <v>SG&amp;A</v>
          </cell>
          <cell r="O3962" t="str">
            <v>Amazon Capital Services</v>
          </cell>
        </row>
        <row r="3963">
          <cell r="D3963">
            <v>193.25</v>
          </cell>
          <cell r="H3963">
            <v>45536</v>
          </cell>
          <cell r="I3963" t="str">
            <v>6340 - Miscellaneous Expense</v>
          </cell>
          <cell r="J3963">
            <v>0</v>
          </cell>
          <cell r="K3963" t="str">
            <v>Administration</v>
          </cell>
          <cell r="L3963" t="str">
            <v>Other</v>
          </cell>
          <cell r="N3963" t="str">
            <v>SG&amp;A</v>
          </cell>
          <cell r="O3963" t="str">
            <v>[No Vendor]</v>
          </cell>
        </row>
        <row r="3964">
          <cell r="D3964">
            <v>41.23</v>
          </cell>
          <cell r="H3964">
            <v>45536</v>
          </cell>
          <cell r="I3964" t="str">
            <v>6340 - Miscellaneous Expense</v>
          </cell>
          <cell r="J3964">
            <v>0</v>
          </cell>
          <cell r="K3964" t="str">
            <v>Administration</v>
          </cell>
          <cell r="L3964" t="str">
            <v>Other</v>
          </cell>
          <cell r="N3964" t="str">
            <v>SG&amp;A</v>
          </cell>
          <cell r="O3964" t="str">
            <v>[No Vendor]</v>
          </cell>
        </row>
        <row r="3965">
          <cell r="D3965">
            <v>3.9</v>
          </cell>
          <cell r="H3965">
            <v>45536</v>
          </cell>
          <cell r="I3965" t="str">
            <v>6340 - Miscellaneous Expense</v>
          </cell>
          <cell r="J3965">
            <v>0</v>
          </cell>
          <cell r="K3965" t="str">
            <v>Administration</v>
          </cell>
          <cell r="L3965" t="str">
            <v>Other</v>
          </cell>
          <cell r="N3965" t="str">
            <v>SG&amp;A</v>
          </cell>
          <cell r="O3965" t="str">
            <v>[No Vendor]</v>
          </cell>
        </row>
        <row r="3966">
          <cell r="D3966">
            <v>693.53</v>
          </cell>
          <cell r="H3966">
            <v>45536</v>
          </cell>
          <cell r="I3966" t="str">
            <v>6340 - Miscellaneous Expense</v>
          </cell>
          <cell r="J3966">
            <v>0</v>
          </cell>
          <cell r="K3966" t="str">
            <v>Administration</v>
          </cell>
          <cell r="L3966" t="str">
            <v>Other</v>
          </cell>
          <cell r="N3966" t="str">
            <v>SG&amp;A</v>
          </cell>
          <cell r="O3966" t="str">
            <v>[No Vendor]</v>
          </cell>
        </row>
        <row r="3967">
          <cell r="D3967">
            <v>298.3</v>
          </cell>
          <cell r="H3967">
            <v>45536</v>
          </cell>
          <cell r="I3967" t="str">
            <v>6340 - Miscellaneous Expense</v>
          </cell>
          <cell r="J3967">
            <v>0</v>
          </cell>
          <cell r="K3967" t="str">
            <v>Administration</v>
          </cell>
          <cell r="L3967" t="str">
            <v>Other</v>
          </cell>
          <cell r="N3967" t="str">
            <v>SG&amp;A</v>
          </cell>
          <cell r="O3967" t="str">
            <v>[No Vendor]</v>
          </cell>
        </row>
        <row r="3968">
          <cell r="D3968">
            <v>78.900000000000006</v>
          </cell>
          <cell r="H3968">
            <v>45536</v>
          </cell>
          <cell r="I3968" t="str">
            <v>6340 - Miscellaneous Expense</v>
          </cell>
          <cell r="J3968">
            <v>0</v>
          </cell>
          <cell r="K3968" t="str">
            <v>Design</v>
          </cell>
          <cell r="L3968" t="str">
            <v>Other</v>
          </cell>
          <cell r="N3968" t="str">
            <v>SG&amp;A</v>
          </cell>
          <cell r="O3968" t="str">
            <v>[No Vendor]</v>
          </cell>
        </row>
        <row r="3969">
          <cell r="D3969">
            <v>347.16</v>
          </cell>
          <cell r="H3969">
            <v>45536</v>
          </cell>
          <cell r="I3969" t="str">
            <v>6340 - Miscellaneous Expense</v>
          </cell>
          <cell r="J3969">
            <v>0</v>
          </cell>
          <cell r="K3969" t="str">
            <v>Design</v>
          </cell>
          <cell r="L3969" t="str">
            <v>Other</v>
          </cell>
          <cell r="N3969" t="str">
            <v>SG&amp;A</v>
          </cell>
          <cell r="O3969" t="str">
            <v>[No Vendor]</v>
          </cell>
        </row>
        <row r="3970">
          <cell r="D3970">
            <v>-78.900000000000006</v>
          </cell>
          <cell r="H3970">
            <v>45536</v>
          </cell>
          <cell r="I3970" t="str">
            <v>6340 - Miscellaneous Expense</v>
          </cell>
          <cell r="J3970">
            <v>0</v>
          </cell>
          <cell r="K3970" t="str">
            <v>Design</v>
          </cell>
          <cell r="L3970" t="str">
            <v>Other</v>
          </cell>
          <cell r="N3970" t="str">
            <v>SG&amp;A</v>
          </cell>
          <cell r="O3970" t="str">
            <v>[No Vendor]</v>
          </cell>
        </row>
        <row r="3971">
          <cell r="D3971">
            <v>102</v>
          </cell>
          <cell r="H3971">
            <v>45536</v>
          </cell>
          <cell r="I3971" t="str">
            <v>6405 - Telephone</v>
          </cell>
          <cell r="J3971">
            <v>0</v>
          </cell>
          <cell r="K3971" t="str">
            <v>Production</v>
          </cell>
          <cell r="L3971" t="str">
            <v>Other</v>
          </cell>
          <cell r="N3971" t="str">
            <v>SG&amp;A</v>
          </cell>
          <cell r="O3971" t="str">
            <v>Frank Dell'Aquila</v>
          </cell>
        </row>
        <row r="3972">
          <cell r="D3972">
            <v>51</v>
          </cell>
          <cell r="H3972">
            <v>45536</v>
          </cell>
          <cell r="I3972" t="str">
            <v>6405 - Telephone</v>
          </cell>
          <cell r="J3972">
            <v>0</v>
          </cell>
          <cell r="K3972" t="str">
            <v>Production</v>
          </cell>
          <cell r="L3972" t="str">
            <v>Other</v>
          </cell>
          <cell r="N3972" t="str">
            <v>SG&amp;A</v>
          </cell>
          <cell r="O3972" t="str">
            <v>Frank Dell'Aquila</v>
          </cell>
        </row>
        <row r="3973">
          <cell r="D3973">
            <v>252.57</v>
          </cell>
          <cell r="H3973">
            <v>45536</v>
          </cell>
          <cell r="I3973" t="str">
            <v>6120 - Lodging</v>
          </cell>
          <cell r="J3973">
            <v>0</v>
          </cell>
          <cell r="K3973" t="str">
            <v>Design</v>
          </cell>
          <cell r="L3973" t="str">
            <v>T&amp;E</v>
          </cell>
          <cell r="N3973" t="str">
            <v>SG&amp;A</v>
          </cell>
          <cell r="O3973" t="str">
            <v>[No Vendor]</v>
          </cell>
        </row>
        <row r="3974">
          <cell r="D3974">
            <v>168.46</v>
          </cell>
          <cell r="H3974">
            <v>45536</v>
          </cell>
          <cell r="I3974" t="str">
            <v>6120 - Lodging</v>
          </cell>
          <cell r="J3974">
            <v>0</v>
          </cell>
          <cell r="K3974" t="str">
            <v>Design</v>
          </cell>
          <cell r="L3974" t="str">
            <v>T&amp;E</v>
          </cell>
          <cell r="N3974" t="str">
            <v>SG&amp;A</v>
          </cell>
          <cell r="O3974" t="str">
            <v>[No Vendor]</v>
          </cell>
        </row>
        <row r="3975">
          <cell r="D3975">
            <v>3.79</v>
          </cell>
          <cell r="H3975">
            <v>45536</v>
          </cell>
          <cell r="I3975" t="str">
            <v>6450 - Bank &amp; Other Fees</v>
          </cell>
          <cell r="J3975">
            <v>0</v>
          </cell>
          <cell r="K3975" t="str">
            <v>Design</v>
          </cell>
          <cell r="L3975" t="str">
            <v>Professional Service</v>
          </cell>
          <cell r="N3975" t="str">
            <v>SG&amp;A</v>
          </cell>
          <cell r="O3975" t="str">
            <v>[No Vendor]</v>
          </cell>
        </row>
        <row r="3976">
          <cell r="D3976">
            <v>2.5299999999999998</v>
          </cell>
          <cell r="H3976">
            <v>45536</v>
          </cell>
          <cell r="I3976" t="str">
            <v>6450 - Bank &amp; Other Fees</v>
          </cell>
          <cell r="J3976">
            <v>0</v>
          </cell>
          <cell r="K3976" t="str">
            <v>Design</v>
          </cell>
          <cell r="L3976" t="str">
            <v>Professional Service</v>
          </cell>
          <cell r="N3976" t="str">
            <v>SG&amp;A</v>
          </cell>
          <cell r="O3976" t="str">
            <v>[No Vendor]</v>
          </cell>
        </row>
        <row r="3977">
          <cell r="D3977">
            <v>0.13</v>
          </cell>
          <cell r="H3977">
            <v>45536</v>
          </cell>
          <cell r="I3977" t="str">
            <v>6450 - Bank &amp; Other Fees</v>
          </cell>
          <cell r="J3977">
            <v>0</v>
          </cell>
          <cell r="K3977" t="str">
            <v>Design</v>
          </cell>
          <cell r="L3977" t="str">
            <v>Professional Service</v>
          </cell>
          <cell r="N3977" t="str">
            <v>SG&amp;A</v>
          </cell>
          <cell r="O3977" t="str">
            <v>[No Vendor]</v>
          </cell>
        </row>
        <row r="3978">
          <cell r="D3978">
            <v>0.36</v>
          </cell>
          <cell r="H3978">
            <v>45536</v>
          </cell>
          <cell r="I3978" t="str">
            <v>6450 - Bank &amp; Other Fees</v>
          </cell>
          <cell r="J3978" t="str">
            <v>Ecommerce (US)</v>
          </cell>
          <cell r="K3978" t="str">
            <v>Ecommerce</v>
          </cell>
          <cell r="L3978" t="str">
            <v>Professional Service</v>
          </cell>
          <cell r="N3978" t="str">
            <v>Direct Costs</v>
          </cell>
          <cell r="O3978" t="str">
            <v>[No Vendor]</v>
          </cell>
        </row>
        <row r="3979">
          <cell r="D3979">
            <v>88</v>
          </cell>
          <cell r="H3979">
            <v>45536</v>
          </cell>
          <cell r="I3979" t="str">
            <v>6430 - Dues &amp; Memberships</v>
          </cell>
          <cell r="J3979" t="str">
            <v>Wholesale</v>
          </cell>
          <cell r="K3979" t="str">
            <v>Wholesale</v>
          </cell>
          <cell r="L3979" t="str">
            <v>Professional Service</v>
          </cell>
          <cell r="N3979" t="str">
            <v>Direct Costs</v>
          </cell>
          <cell r="O3979" t="str">
            <v>SPS Commerce</v>
          </cell>
        </row>
        <row r="3980">
          <cell r="D3980">
            <v>150</v>
          </cell>
          <cell r="H3980">
            <v>45536</v>
          </cell>
          <cell r="I3980" t="str">
            <v>6225 - Professional Services</v>
          </cell>
          <cell r="J3980">
            <v>0</v>
          </cell>
          <cell r="K3980" t="str">
            <v>Administration</v>
          </cell>
          <cell r="L3980" t="str">
            <v>Professional Service</v>
          </cell>
          <cell r="N3980" t="str">
            <v>Direct Costs</v>
          </cell>
          <cell r="O3980" t="str">
            <v>Benefit Resource, LLC</v>
          </cell>
        </row>
        <row r="3981">
          <cell r="D3981">
            <v>45.52</v>
          </cell>
          <cell r="H3981">
            <v>45536</v>
          </cell>
          <cell r="I3981" t="str">
            <v>6125 - Transportation and Fuel</v>
          </cell>
          <cell r="J3981">
            <v>0</v>
          </cell>
          <cell r="K3981" t="str">
            <v>Administration</v>
          </cell>
          <cell r="L3981" t="str">
            <v>T&amp;E</v>
          </cell>
          <cell r="N3981" t="str">
            <v>SG&amp;A</v>
          </cell>
          <cell r="O3981" t="str">
            <v>[No Vendor]</v>
          </cell>
        </row>
        <row r="3982">
          <cell r="D3982">
            <v>23.52</v>
          </cell>
          <cell r="H3982">
            <v>45536</v>
          </cell>
          <cell r="I3982" t="str">
            <v>6125 - Transportation and Fuel</v>
          </cell>
          <cell r="J3982">
            <v>0</v>
          </cell>
          <cell r="K3982" t="str">
            <v>Administration</v>
          </cell>
          <cell r="L3982" t="str">
            <v>T&amp;E</v>
          </cell>
          <cell r="N3982" t="str">
            <v>SG&amp;A</v>
          </cell>
          <cell r="O3982" t="str">
            <v>[No Vendor]</v>
          </cell>
        </row>
        <row r="3983">
          <cell r="D3983">
            <v>27.97</v>
          </cell>
          <cell r="H3983">
            <v>45536</v>
          </cell>
          <cell r="I3983" t="str">
            <v>6125 - Transportation and Fuel</v>
          </cell>
          <cell r="J3983">
            <v>0</v>
          </cell>
          <cell r="K3983" t="str">
            <v>Administration</v>
          </cell>
          <cell r="L3983" t="str">
            <v>T&amp;E</v>
          </cell>
          <cell r="N3983" t="str">
            <v>SG&amp;A</v>
          </cell>
          <cell r="O3983" t="str">
            <v>[No Vendor]</v>
          </cell>
        </row>
        <row r="3984">
          <cell r="D3984">
            <v>178.52</v>
          </cell>
          <cell r="H3984">
            <v>45536</v>
          </cell>
          <cell r="I3984" t="str">
            <v>6125 - Transportation and Fuel</v>
          </cell>
          <cell r="J3984">
            <v>0</v>
          </cell>
          <cell r="K3984" t="str">
            <v>Merchandising</v>
          </cell>
          <cell r="L3984" t="str">
            <v>T&amp;E</v>
          </cell>
          <cell r="N3984" t="str">
            <v>SG&amp;A</v>
          </cell>
          <cell r="O3984" t="str">
            <v>[No Vendor]</v>
          </cell>
        </row>
        <row r="3985">
          <cell r="D3985">
            <v>22.02</v>
          </cell>
          <cell r="H3985">
            <v>45536</v>
          </cell>
          <cell r="I3985" t="str">
            <v>6125 - Transportation and Fuel</v>
          </cell>
          <cell r="J3985">
            <v>0</v>
          </cell>
          <cell r="K3985" t="str">
            <v>Administration</v>
          </cell>
          <cell r="L3985" t="str">
            <v>T&amp;E</v>
          </cell>
          <cell r="N3985" t="str">
            <v>SG&amp;A</v>
          </cell>
          <cell r="O3985" t="str">
            <v>[No Vendor]</v>
          </cell>
        </row>
        <row r="3986">
          <cell r="D3986">
            <v>54.94</v>
          </cell>
          <cell r="H3986">
            <v>45536</v>
          </cell>
          <cell r="I3986" t="str">
            <v>6125 - Transportation and Fuel</v>
          </cell>
          <cell r="J3986">
            <v>0</v>
          </cell>
          <cell r="K3986" t="str">
            <v>Design</v>
          </cell>
          <cell r="L3986" t="str">
            <v>T&amp;E</v>
          </cell>
          <cell r="N3986" t="str">
            <v>SG&amp;A</v>
          </cell>
          <cell r="O3986" t="str">
            <v>[No Vendor]</v>
          </cell>
        </row>
        <row r="3987">
          <cell r="D3987">
            <v>-118.6</v>
          </cell>
          <cell r="H3987">
            <v>45536</v>
          </cell>
          <cell r="I3987" t="str">
            <v>6115 - Airfare</v>
          </cell>
          <cell r="J3987">
            <v>0</v>
          </cell>
          <cell r="K3987" t="str">
            <v>Design</v>
          </cell>
          <cell r="L3987" t="str">
            <v>T&amp;E</v>
          </cell>
          <cell r="N3987" t="str">
            <v>SG&amp;A</v>
          </cell>
          <cell r="O3987" t="str">
            <v>[No Vendor]</v>
          </cell>
        </row>
        <row r="3988">
          <cell r="D3988">
            <v>118.6</v>
          </cell>
          <cell r="H3988">
            <v>45536</v>
          </cell>
          <cell r="I3988" t="str">
            <v>6115 - Airfare</v>
          </cell>
          <cell r="J3988">
            <v>0</v>
          </cell>
          <cell r="K3988" t="str">
            <v>Design</v>
          </cell>
          <cell r="L3988" t="str">
            <v>T&amp;E</v>
          </cell>
          <cell r="N3988" t="str">
            <v>SG&amp;A</v>
          </cell>
          <cell r="O3988" t="str">
            <v>[No Vendor]</v>
          </cell>
        </row>
        <row r="3989">
          <cell r="D3989">
            <v>313.08</v>
          </cell>
          <cell r="H3989">
            <v>45536</v>
          </cell>
          <cell r="I3989" t="str">
            <v>6105 - Meals</v>
          </cell>
          <cell r="J3989">
            <v>0</v>
          </cell>
          <cell r="K3989" t="str">
            <v>Administration</v>
          </cell>
          <cell r="L3989" t="str">
            <v>T&amp;E</v>
          </cell>
          <cell r="N3989" t="str">
            <v>SG&amp;A</v>
          </cell>
          <cell r="O3989" t="str">
            <v>[No Vendor]</v>
          </cell>
        </row>
        <row r="3990">
          <cell r="D3990">
            <v>66</v>
          </cell>
          <cell r="H3990">
            <v>45536</v>
          </cell>
          <cell r="I3990" t="str">
            <v>6105 - Meals</v>
          </cell>
          <cell r="J3990">
            <v>0</v>
          </cell>
          <cell r="K3990" t="str">
            <v>Administration</v>
          </cell>
          <cell r="L3990" t="str">
            <v>T&amp;E</v>
          </cell>
          <cell r="N3990" t="str">
            <v>SG&amp;A</v>
          </cell>
          <cell r="O3990" t="str">
            <v>[No Vendor]</v>
          </cell>
        </row>
        <row r="3991">
          <cell r="D3991">
            <v>72.81</v>
          </cell>
          <cell r="H3991">
            <v>45536</v>
          </cell>
          <cell r="I3991" t="str">
            <v>6105 - Meals</v>
          </cell>
          <cell r="J3991">
            <v>0</v>
          </cell>
          <cell r="K3991" t="str">
            <v>Administration</v>
          </cell>
          <cell r="L3991" t="str">
            <v>T&amp;E</v>
          </cell>
          <cell r="N3991" t="str">
            <v>SG&amp;A</v>
          </cell>
          <cell r="O3991" t="str">
            <v>[No Vendor]</v>
          </cell>
        </row>
        <row r="3992">
          <cell r="D3992">
            <v>71.14</v>
          </cell>
          <cell r="H3992">
            <v>45536</v>
          </cell>
          <cell r="I3992" t="str">
            <v>6105 - Meals</v>
          </cell>
          <cell r="J3992">
            <v>0</v>
          </cell>
          <cell r="K3992" t="str">
            <v>Administration</v>
          </cell>
          <cell r="L3992" t="str">
            <v>T&amp;E</v>
          </cell>
          <cell r="N3992" t="str">
            <v>SG&amp;A</v>
          </cell>
          <cell r="O3992" t="str">
            <v>[No Vendor]</v>
          </cell>
        </row>
        <row r="3993">
          <cell r="D3993">
            <v>100.5</v>
          </cell>
          <cell r="H3993">
            <v>45536</v>
          </cell>
          <cell r="I3993" t="str">
            <v>6105 - Meals</v>
          </cell>
          <cell r="J3993">
            <v>0</v>
          </cell>
          <cell r="K3993" t="str">
            <v>Administration</v>
          </cell>
          <cell r="L3993" t="str">
            <v>T&amp;E</v>
          </cell>
          <cell r="N3993" t="str">
            <v>SG&amp;A</v>
          </cell>
          <cell r="O3993" t="str">
            <v>[No Vendor]</v>
          </cell>
        </row>
        <row r="3994">
          <cell r="D3994">
            <v>53.56</v>
          </cell>
          <cell r="H3994">
            <v>45536</v>
          </cell>
          <cell r="I3994" t="str">
            <v>6105 - Meals</v>
          </cell>
          <cell r="J3994">
            <v>0</v>
          </cell>
          <cell r="K3994" t="str">
            <v>Design</v>
          </cell>
          <cell r="L3994" t="str">
            <v>T&amp;E</v>
          </cell>
          <cell r="N3994" t="str">
            <v>SG&amp;A</v>
          </cell>
          <cell r="O3994" t="str">
            <v>[No Vendor]</v>
          </cell>
        </row>
        <row r="3995">
          <cell r="D3995">
            <v>8.8800000000000008</v>
          </cell>
          <cell r="H3995">
            <v>45536</v>
          </cell>
          <cell r="I3995" t="str">
            <v>6105 - Meals</v>
          </cell>
          <cell r="J3995">
            <v>0</v>
          </cell>
          <cell r="K3995" t="str">
            <v>Design</v>
          </cell>
          <cell r="L3995" t="str">
            <v>T&amp;E</v>
          </cell>
          <cell r="N3995" t="str">
            <v>SG&amp;A</v>
          </cell>
          <cell r="O3995" t="str">
            <v>[No Vendor]</v>
          </cell>
        </row>
        <row r="3996">
          <cell r="D3996">
            <v>10.39</v>
          </cell>
          <cell r="H3996">
            <v>45536</v>
          </cell>
          <cell r="I3996" t="str">
            <v>6105 - Meals</v>
          </cell>
          <cell r="J3996">
            <v>0</v>
          </cell>
          <cell r="K3996" t="str">
            <v>Production</v>
          </cell>
          <cell r="L3996" t="str">
            <v>T&amp;E</v>
          </cell>
          <cell r="N3996" t="str">
            <v>SG&amp;A</v>
          </cell>
          <cell r="O3996" t="str">
            <v>Frank Dell'Aquila</v>
          </cell>
        </row>
        <row r="3997">
          <cell r="D3997">
            <v>46.14</v>
          </cell>
          <cell r="H3997">
            <v>45536</v>
          </cell>
          <cell r="I3997" t="str">
            <v>6375 - Freight Expenses</v>
          </cell>
          <cell r="J3997">
            <v>0</v>
          </cell>
          <cell r="K3997" t="str">
            <v>Brand Marketing</v>
          </cell>
          <cell r="L3997" t="str">
            <v>Freight</v>
          </cell>
          <cell r="N3997" t="str">
            <v>Direct Costs</v>
          </cell>
          <cell r="O3997" t="str">
            <v>Flatlay</v>
          </cell>
        </row>
        <row r="3998">
          <cell r="D3998">
            <v>361.51</v>
          </cell>
          <cell r="H3998">
            <v>45536</v>
          </cell>
          <cell r="I3998" t="str">
            <v>6375 - Freight Expenses</v>
          </cell>
          <cell r="J3998">
            <v>0</v>
          </cell>
          <cell r="K3998" t="str">
            <v>Brand Marketing</v>
          </cell>
          <cell r="L3998" t="str">
            <v>Freight</v>
          </cell>
          <cell r="N3998" t="str">
            <v>Direct Costs</v>
          </cell>
          <cell r="O3998" t="str">
            <v>[No Vendor]</v>
          </cell>
        </row>
        <row r="3999">
          <cell r="D3999">
            <v>56.87</v>
          </cell>
          <cell r="H3999">
            <v>45536</v>
          </cell>
          <cell r="I3999" t="str">
            <v>6375 - Freight Expenses</v>
          </cell>
          <cell r="J3999" t="str">
            <v>Ecommerce (US)</v>
          </cell>
          <cell r="K3999" t="str">
            <v>Ecommerce</v>
          </cell>
          <cell r="L3999" t="str">
            <v>Freight</v>
          </cell>
          <cell r="N3999" t="str">
            <v>Direct Costs</v>
          </cell>
          <cell r="O3999" t="str">
            <v>Bergen Logistics Corporation</v>
          </cell>
        </row>
        <row r="4000">
          <cell r="D4000">
            <v>258.45</v>
          </cell>
          <cell r="H4000">
            <v>45536</v>
          </cell>
          <cell r="I4000" t="str">
            <v>6375 - Freight Expenses</v>
          </cell>
          <cell r="J4000" t="str">
            <v>Wholesale</v>
          </cell>
          <cell r="K4000" t="str">
            <v>Wholesale</v>
          </cell>
          <cell r="L4000" t="str">
            <v>Freight</v>
          </cell>
          <cell r="N4000" t="str">
            <v>Direct Costs</v>
          </cell>
          <cell r="O4000" t="str">
            <v>Bergen Logistics Corporation</v>
          </cell>
        </row>
        <row r="4001">
          <cell r="D4001">
            <v>2046.58</v>
          </cell>
          <cell r="H4001">
            <v>45536</v>
          </cell>
          <cell r="I4001" t="str">
            <v>6375 - Freight Expenses</v>
          </cell>
          <cell r="J4001">
            <v>0</v>
          </cell>
          <cell r="K4001" t="str">
            <v>Production</v>
          </cell>
          <cell r="L4001" t="str">
            <v>Freight</v>
          </cell>
          <cell r="N4001" t="str">
            <v>Direct Costs</v>
          </cell>
          <cell r="O4001" t="str">
            <v>DHL Express - USA</v>
          </cell>
        </row>
        <row r="4002">
          <cell r="D4002">
            <v>71.930000000000007</v>
          </cell>
          <cell r="H4002">
            <v>45536</v>
          </cell>
          <cell r="I4002" t="str">
            <v>6375 - Freight Expenses</v>
          </cell>
          <cell r="J4002">
            <v>0</v>
          </cell>
          <cell r="K4002" t="str">
            <v>Production</v>
          </cell>
          <cell r="L4002" t="str">
            <v>Freight</v>
          </cell>
          <cell r="N4002" t="str">
            <v>Direct Costs</v>
          </cell>
          <cell r="O4002" t="str">
            <v>DHL Express - USA</v>
          </cell>
        </row>
        <row r="4003">
          <cell r="D4003">
            <v>119.7</v>
          </cell>
          <cell r="H4003">
            <v>45536</v>
          </cell>
          <cell r="I4003" t="str">
            <v>6375 - Freight Expenses</v>
          </cell>
          <cell r="J4003" t="str">
            <v>Ecommerce (US)</v>
          </cell>
          <cell r="K4003" t="str">
            <v>Ecommerce</v>
          </cell>
          <cell r="L4003" t="str">
            <v>Freight</v>
          </cell>
          <cell r="N4003" t="str">
            <v>Direct Costs</v>
          </cell>
          <cell r="O4003" t="str">
            <v>Federal Express</v>
          </cell>
        </row>
        <row r="4004">
          <cell r="D4004">
            <v>-134.37</v>
          </cell>
          <cell r="H4004">
            <v>45536</v>
          </cell>
          <cell r="I4004" t="str">
            <v>6377 - Order Processing Expenses (New)</v>
          </cell>
          <cell r="J4004" t="str">
            <v>Ecommerce (US)</v>
          </cell>
          <cell r="K4004" t="str">
            <v>No Department</v>
          </cell>
          <cell r="L4004" t="str">
            <v>Order Processing</v>
          </cell>
          <cell r="N4004" t="str">
            <v>Direct Costs</v>
          </cell>
          <cell r="O4004" t="str">
            <v>Bergen Logistics Corporation</v>
          </cell>
        </row>
        <row r="4005">
          <cell r="D4005">
            <v>-465.63</v>
          </cell>
          <cell r="H4005">
            <v>45536</v>
          </cell>
          <cell r="I4005" t="str">
            <v>6377 - Order Processing Expenses (New)</v>
          </cell>
          <cell r="J4005" t="str">
            <v>Ecommerce (US)</v>
          </cell>
          <cell r="K4005" t="str">
            <v>No Department</v>
          </cell>
          <cell r="L4005" t="str">
            <v>Order Processing</v>
          </cell>
          <cell r="N4005" t="str">
            <v>Direct Costs</v>
          </cell>
          <cell r="O4005" t="str">
            <v>Bergen Logistics Corporation</v>
          </cell>
        </row>
        <row r="4006">
          <cell r="D4006">
            <v>0</v>
          </cell>
          <cell r="H4006">
            <v>45536</v>
          </cell>
          <cell r="I4006" t="str">
            <v>4010 - Revenue - Licensing Fees (Royalties)</v>
          </cell>
          <cell r="J4006">
            <v>0</v>
          </cell>
          <cell r="K4006" t="str">
            <v>Licensing</v>
          </cell>
          <cell r="L4006" t="str">
            <v>License</v>
          </cell>
          <cell r="N4006" t="str">
            <v>Revenue</v>
          </cell>
          <cell r="O4006" t="str">
            <v>[No Vendor]</v>
          </cell>
        </row>
        <row r="4007">
          <cell r="D4007">
            <v>52387.66</v>
          </cell>
          <cell r="H4007">
            <v>45536</v>
          </cell>
          <cell r="I4007" t="str">
            <v>5001 - Cost of Goods Sold - Other</v>
          </cell>
          <cell r="J4007" t="str">
            <v>Ecommerce (EU)</v>
          </cell>
          <cell r="K4007" t="str">
            <v>Ecommerce</v>
          </cell>
          <cell r="L4007" t="str">
            <v>Other COGS</v>
          </cell>
          <cell r="N4007" t="str">
            <v>COGS</v>
          </cell>
          <cell r="O4007" t="str">
            <v>Global E</v>
          </cell>
        </row>
        <row r="4008">
          <cell r="D4008">
            <v>53633.47</v>
          </cell>
          <cell r="H4008">
            <v>45536</v>
          </cell>
          <cell r="I4008" t="str">
            <v>6445 - Inventory Write Down</v>
          </cell>
          <cell r="J4008" t="str">
            <v>Ecommerce (US)</v>
          </cell>
          <cell r="K4008" t="str">
            <v>Ecommerce</v>
          </cell>
          <cell r="L4008" t="str">
            <v>Other</v>
          </cell>
          <cell r="N4008" t="str">
            <v>SG&amp;A</v>
          </cell>
          <cell r="O4008" t="str">
            <v>[No Vendor]</v>
          </cell>
        </row>
        <row r="4009">
          <cell r="D4009">
            <v>35755.65</v>
          </cell>
          <cell r="H4009">
            <v>45536</v>
          </cell>
          <cell r="I4009" t="str">
            <v>6445 - Inventory Write Down</v>
          </cell>
          <cell r="J4009" t="str">
            <v>Wholesale</v>
          </cell>
          <cell r="K4009" t="str">
            <v>Wholesale</v>
          </cell>
          <cell r="L4009" t="str">
            <v>Other</v>
          </cell>
          <cell r="N4009" t="str">
            <v>SG&amp;A</v>
          </cell>
          <cell r="O4009" t="str">
            <v>[No Vendor]</v>
          </cell>
        </row>
        <row r="4010">
          <cell r="D4010">
            <v>0</v>
          </cell>
          <cell r="H4010">
            <v>45536</v>
          </cell>
          <cell r="I4010" t="str">
            <v>4045 - Sponsorships</v>
          </cell>
          <cell r="J4010">
            <v>0</v>
          </cell>
          <cell r="K4010" t="str">
            <v>Licensing</v>
          </cell>
          <cell r="L4010" t="str">
            <v>Other Income</v>
          </cell>
          <cell r="N4010" t="str">
            <v>Revenue</v>
          </cell>
          <cell r="O4010" t="str">
            <v>[No Vendor]</v>
          </cell>
        </row>
        <row r="4011">
          <cell r="D4011">
            <v>-394914.5</v>
          </cell>
          <cell r="H4011">
            <v>45536</v>
          </cell>
          <cell r="I4011" t="str">
            <v>4052 - Sales Revenue - Wholesale (US)</v>
          </cell>
          <cell r="J4011" t="str">
            <v>Wholesale</v>
          </cell>
          <cell r="K4011" t="str">
            <v>Wholesale</v>
          </cell>
          <cell r="L4011" t="str">
            <v>Wholesale</v>
          </cell>
          <cell r="N4011" t="str">
            <v>Revenue</v>
          </cell>
          <cell r="O4011" t="str">
            <v>[No Vendor]</v>
          </cell>
        </row>
        <row r="4012">
          <cell r="D4012">
            <v>-1152334.01</v>
          </cell>
          <cell r="H4012">
            <v>45536</v>
          </cell>
          <cell r="I4012" t="str">
            <v>4050 - Sales Revenue - Ecommerce (US)</v>
          </cell>
          <cell r="J4012" t="str">
            <v>Ecommerce (US)</v>
          </cell>
          <cell r="K4012" t="str">
            <v>Ecommerce</v>
          </cell>
          <cell r="L4012" t="str">
            <v>Ecommerce (US)</v>
          </cell>
          <cell r="N4012" t="str">
            <v>Revenue</v>
          </cell>
          <cell r="O4012" t="str">
            <v>[No Vendor]</v>
          </cell>
        </row>
        <row r="4013">
          <cell r="D4013">
            <v>-47808.97</v>
          </cell>
          <cell r="H4013">
            <v>45536</v>
          </cell>
          <cell r="I4013" t="str">
            <v>4050 - Sales Revenue - Ecommerce (US)</v>
          </cell>
          <cell r="J4013" t="str">
            <v>Ecommerce (US)</v>
          </cell>
          <cell r="K4013" t="str">
            <v>Ecommerce</v>
          </cell>
          <cell r="L4013" t="str">
            <v>Ecommerce (US)</v>
          </cell>
          <cell r="N4013" t="str">
            <v>Revenue</v>
          </cell>
          <cell r="O4013" t="str">
            <v>[No Vendor]</v>
          </cell>
        </row>
        <row r="4014">
          <cell r="D4014">
            <v>13475.54</v>
          </cell>
          <cell r="H4014">
            <v>45536</v>
          </cell>
          <cell r="I4014" t="str">
            <v>4061 - Sales Discount - Ecomm (EU)</v>
          </cell>
          <cell r="J4014" t="str">
            <v>Ecommerce (EU)</v>
          </cell>
          <cell r="K4014" t="str">
            <v>Ecommerce</v>
          </cell>
          <cell r="L4014" t="str">
            <v>Ecommerce (EU)</v>
          </cell>
          <cell r="N4014" t="str">
            <v>Revenue</v>
          </cell>
          <cell r="O4014" t="str">
            <v>[No Vendor]</v>
          </cell>
        </row>
        <row r="4015">
          <cell r="D4015">
            <v>1226.23</v>
          </cell>
          <cell r="H4015">
            <v>45536</v>
          </cell>
          <cell r="I4015" t="str">
            <v>6041 - Employee Benefit Other</v>
          </cell>
          <cell r="J4015">
            <v>0</v>
          </cell>
          <cell r="K4015" t="str">
            <v>Administration</v>
          </cell>
          <cell r="L4015" t="str">
            <v>HQ Salaries</v>
          </cell>
          <cell r="N4015" t="str">
            <v>SG&amp;A</v>
          </cell>
          <cell r="O4015" t="str">
            <v>[No Vendor]</v>
          </cell>
        </row>
        <row r="4016">
          <cell r="D4016">
            <v>84.78</v>
          </cell>
          <cell r="H4016">
            <v>45536</v>
          </cell>
          <cell r="I4016" t="str">
            <v>6041 - Employee Benefit Other</v>
          </cell>
          <cell r="J4016">
            <v>0</v>
          </cell>
          <cell r="K4016" t="str">
            <v>Merchandising</v>
          </cell>
          <cell r="L4016" t="str">
            <v>HQ Salaries</v>
          </cell>
          <cell r="N4016" t="str">
            <v>SG&amp;A</v>
          </cell>
          <cell r="O4016" t="str">
            <v>[No Vendor]</v>
          </cell>
        </row>
        <row r="4017">
          <cell r="D4017">
            <v>101.05</v>
          </cell>
          <cell r="H4017">
            <v>45536</v>
          </cell>
          <cell r="I4017" t="str">
            <v>6041 - Employee Benefit Other</v>
          </cell>
          <cell r="J4017" t="str">
            <v>Ecommerce (US)</v>
          </cell>
          <cell r="K4017" t="str">
            <v>Ecommerce</v>
          </cell>
          <cell r="L4017" t="str">
            <v>HQ Salaries</v>
          </cell>
          <cell r="N4017" t="str">
            <v>SG&amp;A</v>
          </cell>
          <cell r="O4017" t="str">
            <v>[No Vendor]</v>
          </cell>
        </row>
        <row r="4018">
          <cell r="D4018">
            <v>224.15</v>
          </cell>
          <cell r="H4018">
            <v>45536</v>
          </cell>
          <cell r="I4018" t="str">
            <v>6041 - Employee Benefit Other</v>
          </cell>
          <cell r="J4018" t="str">
            <v>Wholesale</v>
          </cell>
          <cell r="K4018" t="str">
            <v>Wholesale</v>
          </cell>
          <cell r="L4018" t="str">
            <v>HQ Salaries</v>
          </cell>
          <cell r="N4018" t="str">
            <v>SG&amp;A</v>
          </cell>
          <cell r="O4018" t="str">
            <v>[No Vendor]</v>
          </cell>
        </row>
        <row r="4019">
          <cell r="D4019">
            <v>101.34</v>
          </cell>
          <cell r="H4019">
            <v>45536</v>
          </cell>
          <cell r="I4019" t="str">
            <v>6041 - Employee Benefit Other</v>
          </cell>
          <cell r="J4019">
            <v>0</v>
          </cell>
          <cell r="K4019" t="str">
            <v>Design</v>
          </cell>
          <cell r="L4019" t="str">
            <v>HQ Salaries</v>
          </cell>
          <cell r="N4019" t="str">
            <v>SG&amp;A</v>
          </cell>
          <cell r="O4019" t="str">
            <v>[No Vendor]</v>
          </cell>
        </row>
        <row r="4020">
          <cell r="D4020">
            <v>215.2</v>
          </cell>
          <cell r="H4020">
            <v>45536</v>
          </cell>
          <cell r="I4020" t="str">
            <v>6041 - Employee Benefit Other</v>
          </cell>
          <cell r="J4020">
            <v>0</v>
          </cell>
          <cell r="K4020" t="str">
            <v>Administration</v>
          </cell>
          <cell r="L4020" t="str">
            <v>HQ Salaries</v>
          </cell>
          <cell r="N4020" t="str">
            <v>SG&amp;A</v>
          </cell>
          <cell r="O4020" t="str">
            <v>[No Vendor]</v>
          </cell>
        </row>
        <row r="4021">
          <cell r="D4021">
            <v>565.66999999999996</v>
          </cell>
          <cell r="H4021">
            <v>45536</v>
          </cell>
          <cell r="I4021" t="str">
            <v>7140 - Amortization Exp - ROU Asset</v>
          </cell>
          <cell r="J4021">
            <v>0</v>
          </cell>
          <cell r="K4021" t="str">
            <v>Administration</v>
          </cell>
          <cell r="L4021" t="str">
            <v>Rent</v>
          </cell>
          <cell r="N4021" t="str">
            <v>SG&amp;A</v>
          </cell>
          <cell r="O4021" t="str">
            <v>[No Vendor]</v>
          </cell>
        </row>
        <row r="4022">
          <cell r="D4022">
            <v>23940.66</v>
          </cell>
          <cell r="H4022">
            <v>45536</v>
          </cell>
          <cell r="I4022" t="str">
            <v>7140 - Amortization Exp - ROU Asset</v>
          </cell>
          <cell r="J4022">
            <v>0</v>
          </cell>
          <cell r="K4022" t="str">
            <v>Administration</v>
          </cell>
          <cell r="L4022" t="str">
            <v>Rent</v>
          </cell>
          <cell r="N4022" t="str">
            <v>SG&amp;A</v>
          </cell>
          <cell r="O4022" t="str">
            <v>[No Vendor]</v>
          </cell>
        </row>
        <row r="4023">
          <cell r="D4023">
            <v>30912.959999999999</v>
          </cell>
          <cell r="H4023">
            <v>45536</v>
          </cell>
          <cell r="I4023" t="str">
            <v>4051 - Sales Revenue - Ecommerce (Intl)</v>
          </cell>
          <cell r="J4023" t="str">
            <v>Ecommerce (EU)</v>
          </cell>
          <cell r="K4023" t="str">
            <v>Ecommerce</v>
          </cell>
          <cell r="L4023" t="str">
            <v>Ecommerce (EU)</v>
          </cell>
          <cell r="N4023" t="str">
            <v>Revenue</v>
          </cell>
          <cell r="O4023" t="str">
            <v>[No Vendor]</v>
          </cell>
        </row>
        <row r="4024">
          <cell r="D4024">
            <v>-209664.76</v>
          </cell>
          <cell r="H4024">
            <v>45536</v>
          </cell>
          <cell r="I4024" t="str">
            <v>4051 - Sales Revenue - Ecommerce (Intl)</v>
          </cell>
          <cell r="J4024" t="str">
            <v>Ecommerce (EU)</v>
          </cell>
          <cell r="K4024" t="str">
            <v>Ecommerce</v>
          </cell>
          <cell r="L4024" t="str">
            <v>Ecommerce (EU)</v>
          </cell>
          <cell r="N4024" t="str">
            <v>Revenue</v>
          </cell>
          <cell r="O4024" t="str">
            <v>[No Vendor]</v>
          </cell>
        </row>
        <row r="4025">
          <cell r="D4025">
            <v>-52387.66</v>
          </cell>
          <cell r="H4025">
            <v>45536</v>
          </cell>
          <cell r="I4025" t="str">
            <v>6377 - Order Processing Expenses (New)</v>
          </cell>
          <cell r="J4025" t="str">
            <v>Ecommerce (EU)</v>
          </cell>
          <cell r="K4025" t="str">
            <v>Ecommerce</v>
          </cell>
          <cell r="L4025" t="str">
            <v>Order Processing</v>
          </cell>
          <cell r="N4025" t="str">
            <v>Direct Costs</v>
          </cell>
          <cell r="O4025" t="str">
            <v>Global E</v>
          </cell>
        </row>
        <row r="4026">
          <cell r="D4026">
            <v>13908.69</v>
          </cell>
          <cell r="H4026">
            <v>45536</v>
          </cell>
          <cell r="I4026" t="str">
            <v>6377 - Order Processing Expenses (New)</v>
          </cell>
          <cell r="J4026" t="str">
            <v>Ecommerce (EU)</v>
          </cell>
          <cell r="K4026" t="str">
            <v>Ecommerce</v>
          </cell>
          <cell r="L4026" t="str">
            <v>Order Processing</v>
          </cell>
          <cell r="N4026" t="str">
            <v>Direct Costs</v>
          </cell>
          <cell r="O4026" t="str">
            <v>[No Vendor]</v>
          </cell>
        </row>
        <row r="4027">
          <cell r="D4027">
            <v>2027.9</v>
          </cell>
          <cell r="H4027">
            <v>45536</v>
          </cell>
          <cell r="I4027" t="str">
            <v>6377 - Order Processing Expenses (New)</v>
          </cell>
          <cell r="J4027" t="str">
            <v>Ecommerce (US)</v>
          </cell>
          <cell r="K4027" t="str">
            <v>Ecommerce</v>
          </cell>
          <cell r="L4027" t="str">
            <v>Order Processing</v>
          </cell>
          <cell r="N4027" t="str">
            <v>Direct Costs</v>
          </cell>
          <cell r="O4027" t="str">
            <v>[No Vendor]</v>
          </cell>
        </row>
        <row r="4028">
          <cell r="D4028">
            <v>-9300.7099999999991</v>
          </cell>
          <cell r="H4028">
            <v>45536</v>
          </cell>
          <cell r="I4028" t="str">
            <v>4065 - Sales Freight - Wholesale (US)</v>
          </cell>
          <cell r="J4028" t="str">
            <v>Wholesale</v>
          </cell>
          <cell r="K4028" t="str">
            <v>Wholesale</v>
          </cell>
          <cell r="L4028" t="str">
            <v>Freight - Revenue</v>
          </cell>
          <cell r="N4028" t="str">
            <v>Direct Costs</v>
          </cell>
          <cell r="O4028" t="str">
            <v>[No Vendor]</v>
          </cell>
        </row>
        <row r="4029">
          <cell r="D4029">
            <v>-28129.58</v>
          </cell>
          <cell r="H4029">
            <v>45536</v>
          </cell>
          <cell r="I4029" t="str">
            <v>4064 - Sales Freight - Ecomm (US)</v>
          </cell>
          <cell r="J4029" t="str">
            <v>Ecommerce (US)</v>
          </cell>
          <cell r="K4029" t="str">
            <v>Ecommerce</v>
          </cell>
          <cell r="L4029" t="str">
            <v>Freight - Revenue</v>
          </cell>
          <cell r="N4029" t="str">
            <v>Direct Costs</v>
          </cell>
          <cell r="O4029" t="str">
            <v>[No Vendor]</v>
          </cell>
        </row>
        <row r="4030">
          <cell r="D4030">
            <v>-2287</v>
          </cell>
          <cell r="H4030">
            <v>45536</v>
          </cell>
          <cell r="I4030" t="str">
            <v>4064 - Sales Freight - Ecomm (US)</v>
          </cell>
          <cell r="J4030" t="str">
            <v>Ecommerce (US)</v>
          </cell>
          <cell r="K4030" t="str">
            <v>Ecommerce</v>
          </cell>
          <cell r="L4030" t="str">
            <v>Freight - Revenue</v>
          </cell>
          <cell r="N4030" t="str">
            <v>Direct Costs</v>
          </cell>
          <cell r="O4030" t="str">
            <v>[No Vendor]</v>
          </cell>
        </row>
        <row r="4031">
          <cell r="D4031">
            <v>2760.1</v>
          </cell>
          <cell r="H4031">
            <v>45536</v>
          </cell>
          <cell r="I4031" t="str">
            <v>4063 - Sales Discount - Wholesale (US)</v>
          </cell>
          <cell r="J4031" t="str">
            <v>Wholesale</v>
          </cell>
          <cell r="K4031" t="str">
            <v>Wholesale</v>
          </cell>
          <cell r="L4031" t="str">
            <v>Wholesale</v>
          </cell>
          <cell r="N4031" t="str">
            <v>Revenue</v>
          </cell>
          <cell r="O4031" t="str">
            <v>[No Vendor]</v>
          </cell>
        </row>
        <row r="4032">
          <cell r="D4032">
            <v>9174.74</v>
          </cell>
          <cell r="H4032">
            <v>45536</v>
          </cell>
          <cell r="I4032" t="str">
            <v>5900 - Interco Royalty Expense</v>
          </cell>
          <cell r="J4032">
            <v>0</v>
          </cell>
          <cell r="K4032" t="str">
            <v>Licensing</v>
          </cell>
          <cell r="L4032">
            <v>0</v>
          </cell>
          <cell r="N4032">
            <v>0</v>
          </cell>
          <cell r="O4032" t="str">
            <v>[No Vendor]</v>
          </cell>
        </row>
        <row r="4033">
          <cell r="D4033">
            <v>117721.61</v>
          </cell>
          <cell r="H4033">
            <v>45536</v>
          </cell>
          <cell r="I4033" t="str">
            <v>4062 - Sales Discount - Ecomm (US)</v>
          </cell>
          <cell r="J4033" t="str">
            <v>Ecommerce (US)</v>
          </cell>
          <cell r="K4033" t="str">
            <v>Ecommerce</v>
          </cell>
          <cell r="L4033" t="str">
            <v>Ecommerce (US)</v>
          </cell>
          <cell r="N4033" t="str">
            <v>Revenue</v>
          </cell>
          <cell r="O4033" t="str">
            <v>[No Vendor]</v>
          </cell>
        </row>
        <row r="4034">
          <cell r="D4034">
            <v>0</v>
          </cell>
          <cell r="H4034">
            <v>45536</v>
          </cell>
          <cell r="I4034" t="str">
            <v>4062 - Sales Discount - Ecomm (US)</v>
          </cell>
          <cell r="J4034" t="str">
            <v>Ecommerce (US)</v>
          </cell>
          <cell r="K4034" t="str">
            <v>Ecommerce</v>
          </cell>
          <cell r="L4034" t="str">
            <v>Ecommerce (US)</v>
          </cell>
          <cell r="N4034" t="str">
            <v>Revenue</v>
          </cell>
          <cell r="O4034" t="str">
            <v>[No Vendor]</v>
          </cell>
        </row>
        <row r="4035">
          <cell r="D4035">
            <v>1954.72</v>
          </cell>
          <cell r="H4035">
            <v>45536</v>
          </cell>
          <cell r="I4035" t="str">
            <v>7130 - License Agreements &amp; Other Intangibles</v>
          </cell>
          <cell r="J4035">
            <v>0</v>
          </cell>
          <cell r="K4035" t="str">
            <v>Administration</v>
          </cell>
          <cell r="L4035" t="str">
            <v>Depreciation &amp; Amortization</v>
          </cell>
          <cell r="N4035" t="str">
            <v>SG&amp;A</v>
          </cell>
          <cell r="O4035" t="str">
            <v>[No Vendor]</v>
          </cell>
        </row>
        <row r="4036">
          <cell r="D4036">
            <v>-9174.74</v>
          </cell>
          <cell r="H4036">
            <v>45536</v>
          </cell>
          <cell r="I4036" t="str">
            <v>4900 - Interco Royalty Revenue</v>
          </cell>
          <cell r="J4036">
            <v>0</v>
          </cell>
          <cell r="K4036" t="str">
            <v>Licensing</v>
          </cell>
          <cell r="L4036">
            <v>0</v>
          </cell>
          <cell r="N4036">
            <v>0</v>
          </cell>
          <cell r="O4036" t="str">
            <v>[No Vendor]</v>
          </cell>
        </row>
        <row r="4037">
          <cell r="D4037">
            <v>22218.62</v>
          </cell>
          <cell r="H4037">
            <v>45536</v>
          </cell>
          <cell r="I4037" t="str">
            <v>6393 - Software</v>
          </cell>
          <cell r="J4037" t="str">
            <v>Ecommerce (US)</v>
          </cell>
          <cell r="K4037" t="str">
            <v>Brand Marketing</v>
          </cell>
          <cell r="L4037" t="str">
            <v>Professional Service</v>
          </cell>
          <cell r="N4037" t="str">
            <v>Direct Costs</v>
          </cell>
          <cell r="O4037" t="str">
            <v>Attentive Mobile Inc.</v>
          </cell>
        </row>
        <row r="4038">
          <cell r="D4038">
            <v>458.37</v>
          </cell>
          <cell r="H4038">
            <v>45536</v>
          </cell>
          <cell r="I4038" t="str">
            <v>6393 - Software</v>
          </cell>
          <cell r="J4038" t="str">
            <v>Wholesale</v>
          </cell>
          <cell r="K4038" t="str">
            <v>Wholesale</v>
          </cell>
          <cell r="L4038" t="str">
            <v>Professional Service</v>
          </cell>
          <cell r="N4038" t="str">
            <v>Direct Costs</v>
          </cell>
          <cell r="O4038" t="str">
            <v>Joor, Inc</v>
          </cell>
        </row>
        <row r="4039">
          <cell r="D4039">
            <v>2268.23</v>
          </cell>
          <cell r="H4039">
            <v>45536</v>
          </cell>
          <cell r="I4039" t="str">
            <v>6393 - Software</v>
          </cell>
          <cell r="J4039">
            <v>0</v>
          </cell>
          <cell r="K4039" t="str">
            <v>Brand Marketing</v>
          </cell>
          <cell r="L4039" t="str">
            <v>Professional Service</v>
          </cell>
          <cell r="N4039" t="str">
            <v>Direct Costs</v>
          </cell>
          <cell r="O4039" t="str">
            <v>Fohr</v>
          </cell>
        </row>
        <row r="4040">
          <cell r="D4040">
            <v>9.99</v>
          </cell>
          <cell r="H4040">
            <v>45536</v>
          </cell>
          <cell r="I4040" t="str">
            <v>6393 - Software</v>
          </cell>
          <cell r="J4040">
            <v>0</v>
          </cell>
          <cell r="K4040" t="str">
            <v>Administration</v>
          </cell>
          <cell r="L4040" t="str">
            <v>Professional Service</v>
          </cell>
          <cell r="N4040" t="str">
            <v>Direct Costs</v>
          </cell>
          <cell r="O4040" t="str">
            <v>Drop Box</v>
          </cell>
        </row>
        <row r="4041">
          <cell r="D4041">
            <v>664.18</v>
          </cell>
          <cell r="H4041">
            <v>45536</v>
          </cell>
          <cell r="I4041" t="str">
            <v>6393 - Software</v>
          </cell>
          <cell r="J4041">
            <v>0</v>
          </cell>
          <cell r="K4041" t="str">
            <v>Administration</v>
          </cell>
          <cell r="L4041" t="str">
            <v>Professional Service</v>
          </cell>
          <cell r="N4041" t="str">
            <v>Direct Costs</v>
          </cell>
          <cell r="O4041" t="str">
            <v>[No Vendor]</v>
          </cell>
        </row>
        <row r="4042">
          <cell r="D4042">
            <v>2198.19</v>
          </cell>
          <cell r="H4042">
            <v>45536</v>
          </cell>
          <cell r="I4042" t="str">
            <v>6393 - Software</v>
          </cell>
          <cell r="J4042">
            <v>0</v>
          </cell>
          <cell r="K4042" t="str">
            <v>Administration</v>
          </cell>
          <cell r="L4042" t="str">
            <v>Professional Service</v>
          </cell>
          <cell r="N4042" t="str">
            <v>Direct Costs</v>
          </cell>
          <cell r="O4042" t="str">
            <v>Oracle Netsuite</v>
          </cell>
        </row>
        <row r="4043">
          <cell r="D4043">
            <v>13.65</v>
          </cell>
          <cell r="H4043">
            <v>45536</v>
          </cell>
          <cell r="I4043" t="str">
            <v>6393 - Software</v>
          </cell>
          <cell r="J4043">
            <v>0</v>
          </cell>
          <cell r="K4043" t="str">
            <v>Administration</v>
          </cell>
          <cell r="L4043" t="str">
            <v>Professional Service</v>
          </cell>
          <cell r="N4043" t="str">
            <v>Direct Costs</v>
          </cell>
          <cell r="O4043" t="str">
            <v>[No Vendor]</v>
          </cell>
        </row>
        <row r="4044">
          <cell r="D4044">
            <v>1302.44</v>
          </cell>
          <cell r="H4044">
            <v>45536</v>
          </cell>
          <cell r="I4044" t="str">
            <v>6393 - Software</v>
          </cell>
          <cell r="J4044">
            <v>0</v>
          </cell>
          <cell r="K4044" t="str">
            <v>Administration</v>
          </cell>
          <cell r="L4044" t="str">
            <v>Professional Service</v>
          </cell>
          <cell r="N4044" t="str">
            <v>Direct Costs</v>
          </cell>
          <cell r="O4044" t="str">
            <v>Avalara, Inc</v>
          </cell>
        </row>
        <row r="4045">
          <cell r="D4045">
            <v>-42702.28</v>
          </cell>
          <cell r="H4045">
            <v>45536</v>
          </cell>
          <cell r="I4045" t="str">
            <v>6286 - SEM</v>
          </cell>
          <cell r="J4045" t="str">
            <v>Ecommerce (US)</v>
          </cell>
          <cell r="K4045" t="str">
            <v>Ecommerce</v>
          </cell>
          <cell r="L4045" t="str">
            <v>Marketing</v>
          </cell>
          <cell r="N4045" t="str">
            <v>Direct Costs</v>
          </cell>
          <cell r="O4045" t="str">
            <v>[No Vendor]</v>
          </cell>
        </row>
        <row r="4046">
          <cell r="D4046">
            <v>42702.28</v>
          </cell>
          <cell r="H4046">
            <v>45536</v>
          </cell>
          <cell r="I4046" t="str">
            <v>6286 - SEM</v>
          </cell>
          <cell r="J4046" t="str">
            <v>Ecommerce (EU)</v>
          </cell>
          <cell r="K4046" t="str">
            <v>Ecommerce</v>
          </cell>
          <cell r="L4046" t="str">
            <v>Marketing</v>
          </cell>
          <cell r="N4046" t="str">
            <v>Direct Costs</v>
          </cell>
          <cell r="O4046" t="str">
            <v>[No Vendor]</v>
          </cell>
        </row>
        <row r="4047">
          <cell r="D4047">
            <v>26028.6</v>
          </cell>
          <cell r="H4047">
            <v>45536</v>
          </cell>
          <cell r="I4047" t="str">
            <v>6286 - SEM</v>
          </cell>
          <cell r="J4047" t="str">
            <v>Ecommerce (US)</v>
          </cell>
          <cell r="K4047" t="str">
            <v>Ecommerce</v>
          </cell>
          <cell r="L4047" t="str">
            <v>Marketing</v>
          </cell>
          <cell r="N4047" t="str">
            <v>Direct Costs</v>
          </cell>
          <cell r="O4047" t="str">
            <v>[No Vendor]</v>
          </cell>
        </row>
        <row r="4048">
          <cell r="D4048">
            <v>139698.71</v>
          </cell>
          <cell r="H4048">
            <v>45536</v>
          </cell>
          <cell r="I4048" t="str">
            <v>6286 - SEM</v>
          </cell>
          <cell r="J4048" t="str">
            <v>Ecommerce (US)</v>
          </cell>
          <cell r="K4048" t="str">
            <v>Ecommerce</v>
          </cell>
          <cell r="L4048" t="str">
            <v>Marketing</v>
          </cell>
          <cell r="N4048" t="str">
            <v>Direct Costs</v>
          </cell>
          <cell r="O4048" t="str">
            <v>[No Vendor]</v>
          </cell>
        </row>
        <row r="4049">
          <cell r="D4049">
            <v>-3400</v>
          </cell>
          <cell r="H4049">
            <v>45536</v>
          </cell>
          <cell r="I4049" t="str">
            <v>6380 - Legal &amp; Accounting</v>
          </cell>
          <cell r="J4049">
            <v>0</v>
          </cell>
          <cell r="K4049" t="str">
            <v>Administration</v>
          </cell>
          <cell r="L4049" t="str">
            <v>Professional Service</v>
          </cell>
          <cell r="N4049" t="str">
            <v>SG&amp;A</v>
          </cell>
          <cell r="O4049" t="str">
            <v>[No Vendor]</v>
          </cell>
        </row>
        <row r="4050">
          <cell r="D4050">
            <v>44.52</v>
          </cell>
          <cell r="H4050">
            <v>45536</v>
          </cell>
          <cell r="I4050" t="str">
            <v>6340 - Miscellaneous Expense</v>
          </cell>
          <cell r="J4050" t="str">
            <v>Ecommerce (US)</v>
          </cell>
          <cell r="K4050" t="str">
            <v>Ecommerce</v>
          </cell>
          <cell r="L4050" t="str">
            <v>Other</v>
          </cell>
          <cell r="N4050" t="str">
            <v>SG&amp;A</v>
          </cell>
          <cell r="O4050" t="str">
            <v>[No Vendor]</v>
          </cell>
        </row>
        <row r="4051">
          <cell r="D4051">
            <v>38242.51</v>
          </cell>
          <cell r="H4051">
            <v>45536</v>
          </cell>
          <cell r="I4051" t="str">
            <v>6240 - Product Photography</v>
          </cell>
          <cell r="J4051">
            <v>0</v>
          </cell>
          <cell r="K4051" t="str">
            <v>Brand Marketing</v>
          </cell>
          <cell r="L4051" t="str">
            <v>Advertising</v>
          </cell>
          <cell r="N4051" t="str">
            <v>SG&amp;A</v>
          </cell>
          <cell r="O4051" t="str">
            <v>GOSFilms LLC</v>
          </cell>
        </row>
        <row r="4052">
          <cell r="D4052">
            <v>53852.55</v>
          </cell>
          <cell r="H4052">
            <v>45536</v>
          </cell>
          <cell r="I4052" t="str">
            <v>6030 - Commissions Expense - Non Employee</v>
          </cell>
          <cell r="J4052" t="str">
            <v>Ecommerce (US)</v>
          </cell>
          <cell r="K4052" t="str">
            <v>Ecommerce</v>
          </cell>
          <cell r="L4052" t="str">
            <v>HQ Salaries</v>
          </cell>
          <cell r="N4052" t="str">
            <v>SG&amp;A</v>
          </cell>
          <cell r="O4052" t="str">
            <v>Amazon</v>
          </cell>
        </row>
        <row r="4053">
          <cell r="D4053">
            <v>-24.64</v>
          </cell>
          <cell r="H4053">
            <v>45536</v>
          </cell>
          <cell r="I4053" t="str">
            <v>6289 - Seeding / Product Placement</v>
          </cell>
          <cell r="J4053">
            <v>0</v>
          </cell>
          <cell r="K4053" t="str">
            <v>Brand Marketing</v>
          </cell>
          <cell r="L4053" t="str">
            <v>Advertising</v>
          </cell>
          <cell r="N4053" t="str">
            <v>SG&amp;A</v>
          </cell>
          <cell r="O4053" t="str">
            <v>[No Vendor]</v>
          </cell>
        </row>
        <row r="4054">
          <cell r="D4054">
            <v>8767.36</v>
          </cell>
          <cell r="H4054">
            <v>45536</v>
          </cell>
          <cell r="I4054" t="str">
            <v>6289 - Seeding / Product Placement</v>
          </cell>
          <cell r="J4054">
            <v>0</v>
          </cell>
          <cell r="K4054" t="str">
            <v>Brand Marketing</v>
          </cell>
          <cell r="L4054" t="str">
            <v>Advertising</v>
          </cell>
          <cell r="N4054" t="str">
            <v>SG&amp;A</v>
          </cell>
          <cell r="O4054" t="str">
            <v>[No Vendor]</v>
          </cell>
        </row>
        <row r="4055">
          <cell r="D4055">
            <v>578.65</v>
          </cell>
          <cell r="H4055">
            <v>45536</v>
          </cell>
          <cell r="I4055" t="str">
            <v>6289 - Seeding / Product Placement</v>
          </cell>
          <cell r="J4055">
            <v>0</v>
          </cell>
          <cell r="K4055" t="str">
            <v>Brand Marketing</v>
          </cell>
          <cell r="L4055" t="str">
            <v>Advertising</v>
          </cell>
          <cell r="N4055" t="str">
            <v>SG&amp;A</v>
          </cell>
          <cell r="O4055" t="str">
            <v>[No Vendor]</v>
          </cell>
        </row>
        <row r="4056">
          <cell r="D4056">
            <v>833.33</v>
          </cell>
          <cell r="H4056">
            <v>45536</v>
          </cell>
          <cell r="I4056" t="str">
            <v>6284 - Advertising</v>
          </cell>
          <cell r="J4056">
            <v>0</v>
          </cell>
          <cell r="K4056" t="str">
            <v>Brand Marketing</v>
          </cell>
          <cell r="L4056" t="str">
            <v>Advertising</v>
          </cell>
          <cell r="N4056" t="str">
            <v>SG&amp;A</v>
          </cell>
          <cell r="O4056" t="str">
            <v>[No Vendor]</v>
          </cell>
        </row>
        <row r="4057">
          <cell r="D4057">
            <v>1500</v>
          </cell>
          <cell r="H4057">
            <v>45536</v>
          </cell>
          <cell r="I4057" t="str">
            <v>6205 - Contractors</v>
          </cell>
          <cell r="J4057">
            <v>0</v>
          </cell>
          <cell r="K4057" t="str">
            <v>Production</v>
          </cell>
          <cell r="L4057" t="str">
            <v>HQ Salaries</v>
          </cell>
          <cell r="N4057" t="str">
            <v>SG&amp;A</v>
          </cell>
          <cell r="O4057" t="str">
            <v>Philip Yau</v>
          </cell>
        </row>
        <row r="4058">
          <cell r="D4058">
            <v>0</v>
          </cell>
          <cell r="H4058">
            <v>45536</v>
          </cell>
          <cell r="I4058" t="str">
            <v>6205 - Contractors</v>
          </cell>
          <cell r="J4058">
            <v>0</v>
          </cell>
          <cell r="K4058" t="str">
            <v>Brand Marketing</v>
          </cell>
          <cell r="L4058" t="str">
            <v>HQ Salaries</v>
          </cell>
          <cell r="N4058" t="str">
            <v>SG&amp;A</v>
          </cell>
          <cell r="O4058" t="str">
            <v>[No Vendor]</v>
          </cell>
        </row>
        <row r="4059">
          <cell r="D4059">
            <v>5959.25</v>
          </cell>
          <cell r="H4059">
            <v>45536</v>
          </cell>
          <cell r="I4059" t="str">
            <v>6205 - Contractors</v>
          </cell>
          <cell r="J4059" t="str">
            <v>Ecommerce (US)</v>
          </cell>
          <cell r="K4059" t="str">
            <v>Ecommerce</v>
          </cell>
          <cell r="L4059" t="str">
            <v>HQ Salaries</v>
          </cell>
          <cell r="N4059" t="str">
            <v>SG&amp;A</v>
          </cell>
          <cell r="O4059" t="str">
            <v>[No Vendor]</v>
          </cell>
        </row>
        <row r="4060">
          <cell r="D4060">
            <v>3133.9</v>
          </cell>
          <cell r="H4060">
            <v>45536</v>
          </cell>
          <cell r="I4060" t="str">
            <v>6205 - Contractors</v>
          </cell>
          <cell r="J4060">
            <v>0</v>
          </cell>
          <cell r="K4060" t="str">
            <v>Design</v>
          </cell>
          <cell r="L4060" t="str">
            <v>HQ Salaries</v>
          </cell>
          <cell r="N4060" t="str">
            <v>SG&amp;A</v>
          </cell>
          <cell r="O4060" t="str">
            <v>[No Vendor]</v>
          </cell>
        </row>
        <row r="4061">
          <cell r="D4061">
            <v>4261.28</v>
          </cell>
          <cell r="H4061">
            <v>45536</v>
          </cell>
          <cell r="I4061" t="str">
            <v>6020 - Bonus</v>
          </cell>
          <cell r="J4061">
            <v>0</v>
          </cell>
          <cell r="K4061" t="str">
            <v>Executive</v>
          </cell>
          <cell r="L4061" t="str">
            <v>HQ Salaries</v>
          </cell>
          <cell r="N4061" t="str">
            <v>SG&amp;A</v>
          </cell>
          <cell r="O4061" t="str">
            <v>[No Vendor]</v>
          </cell>
        </row>
        <row r="4062">
          <cell r="D4062">
            <v>3843.71</v>
          </cell>
          <cell r="H4062">
            <v>45536</v>
          </cell>
          <cell r="I4062" t="str">
            <v>6020 - Bonus</v>
          </cell>
          <cell r="J4062" t="str">
            <v>Wholesale</v>
          </cell>
          <cell r="K4062" t="str">
            <v>Wholesale</v>
          </cell>
          <cell r="L4062" t="str">
            <v>HQ Salaries</v>
          </cell>
          <cell r="N4062" t="str">
            <v>SG&amp;A</v>
          </cell>
          <cell r="O4062" t="str">
            <v>[No Vendor]</v>
          </cell>
        </row>
        <row r="4063">
          <cell r="D4063">
            <v>6338.75</v>
          </cell>
          <cell r="H4063">
            <v>45536</v>
          </cell>
          <cell r="I4063" t="str">
            <v>6020 - Bonus</v>
          </cell>
          <cell r="J4063">
            <v>0</v>
          </cell>
          <cell r="K4063" t="str">
            <v>Production</v>
          </cell>
          <cell r="L4063" t="str">
            <v>HQ Salaries</v>
          </cell>
          <cell r="N4063" t="str">
            <v>SG&amp;A</v>
          </cell>
          <cell r="O4063" t="str">
            <v>[No Vendor]</v>
          </cell>
        </row>
        <row r="4064">
          <cell r="D4064">
            <v>1406.25</v>
          </cell>
          <cell r="H4064">
            <v>45536</v>
          </cell>
          <cell r="I4064" t="str">
            <v>6020 - Bonus</v>
          </cell>
          <cell r="J4064">
            <v>0</v>
          </cell>
          <cell r="K4064" t="str">
            <v>Brand Marketing</v>
          </cell>
          <cell r="L4064" t="str">
            <v>HQ Salaries</v>
          </cell>
          <cell r="N4064" t="str">
            <v>SG&amp;A</v>
          </cell>
          <cell r="O4064" t="str">
            <v>[No Vendor]</v>
          </cell>
        </row>
        <row r="4065">
          <cell r="D4065">
            <v>8393.9500000000007</v>
          </cell>
          <cell r="H4065">
            <v>45536</v>
          </cell>
          <cell r="I4065" t="str">
            <v>6020 - Bonus</v>
          </cell>
          <cell r="J4065" t="str">
            <v>Ecommerce (US)</v>
          </cell>
          <cell r="K4065" t="str">
            <v>Ecommerce</v>
          </cell>
          <cell r="L4065" t="str">
            <v>HQ Salaries</v>
          </cell>
          <cell r="N4065" t="str">
            <v>SG&amp;A</v>
          </cell>
          <cell r="O4065" t="str">
            <v>[No Vendor]</v>
          </cell>
        </row>
        <row r="4066">
          <cell r="D4066">
            <v>5832.66</v>
          </cell>
          <cell r="H4066">
            <v>45536</v>
          </cell>
          <cell r="I4066" t="str">
            <v>6020 - Bonus</v>
          </cell>
          <cell r="J4066">
            <v>0</v>
          </cell>
          <cell r="K4066" t="str">
            <v>Design</v>
          </cell>
          <cell r="L4066" t="str">
            <v>HQ Salaries</v>
          </cell>
          <cell r="N4066" t="str">
            <v>SG&amp;A</v>
          </cell>
          <cell r="O4066" t="str">
            <v>[No Vendor]</v>
          </cell>
        </row>
        <row r="4067">
          <cell r="D4067">
            <v>1256.29</v>
          </cell>
          <cell r="H4067">
            <v>45536</v>
          </cell>
          <cell r="I4067" t="str">
            <v>6020 - Bonus</v>
          </cell>
          <cell r="J4067">
            <v>0</v>
          </cell>
          <cell r="K4067" t="str">
            <v>Merchandising</v>
          </cell>
          <cell r="L4067" t="str">
            <v>HQ Salaries</v>
          </cell>
          <cell r="N4067" t="str">
            <v>SG&amp;A</v>
          </cell>
          <cell r="O4067" t="str">
            <v>[No Vendor]</v>
          </cell>
        </row>
        <row r="4068">
          <cell r="D4068">
            <v>7604.61</v>
          </cell>
          <cell r="H4068">
            <v>45536</v>
          </cell>
          <cell r="I4068" t="str">
            <v>6020 - Bonus</v>
          </cell>
          <cell r="J4068">
            <v>0</v>
          </cell>
          <cell r="K4068" t="str">
            <v>Administration</v>
          </cell>
          <cell r="L4068" t="str">
            <v>HQ Salaries</v>
          </cell>
          <cell r="N4068" t="str">
            <v>SG&amp;A</v>
          </cell>
          <cell r="O4068" t="str">
            <v>[No Vendor]</v>
          </cell>
        </row>
        <row r="4069">
          <cell r="D4069">
            <v>3858.84</v>
          </cell>
          <cell r="H4069">
            <v>45536</v>
          </cell>
          <cell r="I4069" t="str">
            <v>6450 - Bank &amp; Other Fees</v>
          </cell>
          <cell r="J4069" t="str">
            <v>Ecommerce (EU)</v>
          </cell>
          <cell r="K4069" t="str">
            <v>Ecommerce</v>
          </cell>
          <cell r="L4069" t="str">
            <v>Professional Service</v>
          </cell>
          <cell r="N4069" t="str">
            <v>Direct Costs</v>
          </cell>
          <cell r="O4069" t="str">
            <v>[No Vendor]</v>
          </cell>
        </row>
        <row r="4070">
          <cell r="D4070">
            <v>6529.45</v>
          </cell>
          <cell r="H4070">
            <v>45536</v>
          </cell>
          <cell r="I4070" t="str">
            <v>6450 - Bank &amp; Other Fees</v>
          </cell>
          <cell r="J4070" t="str">
            <v>Ecommerce (US)</v>
          </cell>
          <cell r="K4070" t="str">
            <v>Ecommerce</v>
          </cell>
          <cell r="L4070" t="str">
            <v>Professional Service</v>
          </cell>
          <cell r="N4070" t="str">
            <v>Direct Costs</v>
          </cell>
          <cell r="O4070" t="str">
            <v>[No Vendor]</v>
          </cell>
        </row>
        <row r="4071">
          <cell r="D4071">
            <v>31451.040000000001</v>
          </cell>
          <cell r="H4071">
            <v>45536</v>
          </cell>
          <cell r="I4071" t="str">
            <v>6450 - Bank &amp; Other Fees</v>
          </cell>
          <cell r="J4071" t="str">
            <v>Ecommerce (US)</v>
          </cell>
          <cell r="K4071" t="str">
            <v>Ecommerce</v>
          </cell>
          <cell r="L4071" t="str">
            <v>Professional Service</v>
          </cell>
          <cell r="N4071" t="str">
            <v>Direct Costs</v>
          </cell>
          <cell r="O4071" t="str">
            <v>Shopify</v>
          </cell>
        </row>
        <row r="4072">
          <cell r="D4072">
            <v>12.42</v>
          </cell>
          <cell r="H4072">
            <v>45536</v>
          </cell>
          <cell r="I4072" t="str">
            <v>6430 - Dues &amp; Memberships</v>
          </cell>
          <cell r="J4072">
            <v>0</v>
          </cell>
          <cell r="K4072" t="str">
            <v>Brand Marketing</v>
          </cell>
          <cell r="L4072" t="str">
            <v>Professional Service</v>
          </cell>
          <cell r="N4072" t="str">
            <v>Direct Costs</v>
          </cell>
          <cell r="O4072" t="str">
            <v>[No Vendor]</v>
          </cell>
        </row>
        <row r="4073">
          <cell r="D4073">
            <v>153</v>
          </cell>
          <cell r="H4073">
            <v>45536</v>
          </cell>
          <cell r="I4073" t="str">
            <v>6430 - Dues &amp; Memberships</v>
          </cell>
          <cell r="J4073">
            <v>0</v>
          </cell>
          <cell r="K4073" t="str">
            <v>Brand Marketing</v>
          </cell>
          <cell r="L4073" t="str">
            <v>Professional Service</v>
          </cell>
          <cell r="N4073" t="str">
            <v>Direct Costs</v>
          </cell>
          <cell r="O4073" t="str">
            <v>[No Vendor]</v>
          </cell>
        </row>
        <row r="4074">
          <cell r="D4074">
            <v>-606</v>
          </cell>
          <cell r="H4074">
            <v>45536</v>
          </cell>
          <cell r="I4074" t="str">
            <v>6410 - Lease Expense</v>
          </cell>
          <cell r="J4074">
            <v>0</v>
          </cell>
          <cell r="K4074" t="str">
            <v>Administration</v>
          </cell>
          <cell r="L4074" t="str">
            <v>Rent</v>
          </cell>
          <cell r="N4074" t="str">
            <v>SG&amp;A</v>
          </cell>
          <cell r="O4074" t="str">
            <v>[No Vendor]</v>
          </cell>
        </row>
        <row r="4075">
          <cell r="D4075">
            <v>-1.32</v>
          </cell>
          <cell r="H4075">
            <v>45536</v>
          </cell>
          <cell r="I4075" t="str">
            <v>6385 - Insurance</v>
          </cell>
          <cell r="J4075">
            <v>0</v>
          </cell>
          <cell r="K4075" t="str">
            <v>Administration</v>
          </cell>
          <cell r="L4075" t="str">
            <v>Professional Service</v>
          </cell>
          <cell r="N4075" t="str">
            <v>SG&amp;A</v>
          </cell>
          <cell r="O4075" t="str">
            <v>[No Vendor]</v>
          </cell>
        </row>
        <row r="4076">
          <cell r="D4076">
            <v>-14.48</v>
          </cell>
          <cell r="H4076">
            <v>45536</v>
          </cell>
          <cell r="I4076" t="str">
            <v>6385 - Insurance</v>
          </cell>
          <cell r="J4076">
            <v>0</v>
          </cell>
          <cell r="K4076" t="str">
            <v>Administration</v>
          </cell>
          <cell r="L4076" t="str">
            <v>Professional Service</v>
          </cell>
          <cell r="N4076" t="str">
            <v>SG&amp;A</v>
          </cell>
          <cell r="O4076" t="str">
            <v>[No Vendor]</v>
          </cell>
        </row>
        <row r="4077">
          <cell r="D4077">
            <v>-32.520000000000003</v>
          </cell>
          <cell r="H4077">
            <v>45536</v>
          </cell>
          <cell r="I4077" t="str">
            <v>6385 - Insurance</v>
          </cell>
          <cell r="J4077">
            <v>0</v>
          </cell>
          <cell r="K4077" t="str">
            <v>Administration</v>
          </cell>
          <cell r="L4077" t="str">
            <v>Professional Service</v>
          </cell>
          <cell r="N4077" t="str">
            <v>SG&amp;A</v>
          </cell>
          <cell r="O4077" t="str">
            <v>[No Vendor]</v>
          </cell>
        </row>
        <row r="4078">
          <cell r="D4078">
            <v>-14.73</v>
          </cell>
          <cell r="H4078">
            <v>45536</v>
          </cell>
          <cell r="I4078" t="str">
            <v>6385 - Insurance</v>
          </cell>
          <cell r="J4078">
            <v>0</v>
          </cell>
          <cell r="K4078" t="str">
            <v>Administration</v>
          </cell>
          <cell r="L4078" t="str">
            <v>Professional Service</v>
          </cell>
          <cell r="N4078" t="str">
            <v>SG&amp;A</v>
          </cell>
          <cell r="O4078" t="str">
            <v>[No Vendor]</v>
          </cell>
        </row>
        <row r="4079">
          <cell r="D4079">
            <v>-47.08</v>
          </cell>
          <cell r="H4079">
            <v>45536</v>
          </cell>
          <cell r="I4079" t="str">
            <v>6385 - Insurance</v>
          </cell>
          <cell r="J4079">
            <v>0</v>
          </cell>
          <cell r="K4079" t="str">
            <v>Administration</v>
          </cell>
          <cell r="L4079" t="str">
            <v>Professional Service</v>
          </cell>
          <cell r="N4079" t="str">
            <v>SG&amp;A</v>
          </cell>
          <cell r="O4079" t="str">
            <v>[No Vendor]</v>
          </cell>
        </row>
        <row r="4080">
          <cell r="D4080">
            <v>-26.9</v>
          </cell>
          <cell r="H4080">
            <v>45536</v>
          </cell>
          <cell r="I4080" t="str">
            <v>6385 - Insurance</v>
          </cell>
          <cell r="J4080">
            <v>0</v>
          </cell>
          <cell r="K4080" t="str">
            <v>Administration</v>
          </cell>
          <cell r="L4080" t="str">
            <v>Professional Service</v>
          </cell>
          <cell r="N4080" t="str">
            <v>SG&amp;A</v>
          </cell>
          <cell r="O4080" t="str">
            <v>[No Vendor]</v>
          </cell>
        </row>
        <row r="4081">
          <cell r="D4081">
            <v>-43.46</v>
          </cell>
          <cell r="H4081">
            <v>45536</v>
          </cell>
          <cell r="I4081" t="str">
            <v>6385 - Insurance</v>
          </cell>
          <cell r="J4081">
            <v>0</v>
          </cell>
          <cell r="K4081" t="str">
            <v>Administration</v>
          </cell>
          <cell r="L4081" t="str">
            <v>Professional Service</v>
          </cell>
          <cell r="N4081" t="str">
            <v>SG&amp;A</v>
          </cell>
          <cell r="O4081" t="str">
            <v>[No Vendor]</v>
          </cell>
        </row>
        <row r="4082">
          <cell r="D4082">
            <v>-44.26</v>
          </cell>
          <cell r="H4082">
            <v>45536</v>
          </cell>
          <cell r="I4082" t="str">
            <v>6385 - Insurance</v>
          </cell>
          <cell r="J4082">
            <v>0</v>
          </cell>
          <cell r="K4082" t="str">
            <v>Administration</v>
          </cell>
          <cell r="L4082" t="str">
            <v>Professional Service</v>
          </cell>
          <cell r="N4082" t="str">
            <v>SG&amp;A</v>
          </cell>
          <cell r="O4082" t="str">
            <v>[No Vendor]</v>
          </cell>
        </row>
        <row r="4083">
          <cell r="D4083">
            <v>947.78</v>
          </cell>
          <cell r="H4083">
            <v>45536</v>
          </cell>
          <cell r="I4083" t="str">
            <v>6385 - Insurance</v>
          </cell>
          <cell r="J4083">
            <v>0</v>
          </cell>
          <cell r="K4083" t="str">
            <v>Administration</v>
          </cell>
          <cell r="L4083" t="str">
            <v>Professional Service</v>
          </cell>
          <cell r="N4083" t="str">
            <v>SG&amp;A</v>
          </cell>
          <cell r="O4083" t="str">
            <v>[No Vendor]</v>
          </cell>
        </row>
        <row r="4084">
          <cell r="D4084">
            <v>640.42999999999995</v>
          </cell>
          <cell r="H4084">
            <v>45536</v>
          </cell>
          <cell r="I4084" t="str">
            <v>6400 - Utilities</v>
          </cell>
          <cell r="J4084">
            <v>0</v>
          </cell>
          <cell r="K4084" t="str">
            <v>Administration</v>
          </cell>
          <cell r="L4084" t="str">
            <v>Other</v>
          </cell>
          <cell r="N4084" t="str">
            <v>SG&amp;A</v>
          </cell>
          <cell r="O4084" t="str">
            <v>[No Vendor]</v>
          </cell>
        </row>
        <row r="4085">
          <cell r="D4085">
            <v>48.61</v>
          </cell>
          <cell r="H4085">
            <v>45536</v>
          </cell>
          <cell r="I4085" t="str">
            <v>7060 - Information Technology &amp; Software</v>
          </cell>
          <cell r="J4085">
            <v>0</v>
          </cell>
          <cell r="K4085" t="str">
            <v>Executive</v>
          </cell>
          <cell r="L4085" t="str">
            <v>Depreciation &amp; Amortization</v>
          </cell>
          <cell r="N4085" t="str">
            <v>SG&amp;A</v>
          </cell>
          <cell r="O4085" t="str">
            <v>[No Vendor]</v>
          </cell>
        </row>
        <row r="4086">
          <cell r="D4086">
            <v>68.33</v>
          </cell>
          <cell r="H4086">
            <v>45536</v>
          </cell>
          <cell r="I4086" t="str">
            <v>7060 - Information Technology &amp; Software</v>
          </cell>
          <cell r="J4086" t="str">
            <v>Wholesale</v>
          </cell>
          <cell r="K4086" t="str">
            <v>Wholesale</v>
          </cell>
          <cell r="L4086" t="str">
            <v>Depreciation &amp; Amortization</v>
          </cell>
          <cell r="N4086" t="str">
            <v>SG&amp;A</v>
          </cell>
          <cell r="O4086" t="str">
            <v>[No Vendor]</v>
          </cell>
        </row>
        <row r="4087">
          <cell r="D4087">
            <v>148.66999999999999</v>
          </cell>
          <cell r="H4087">
            <v>45536</v>
          </cell>
          <cell r="I4087" t="str">
            <v>7060 - Information Technology &amp; Software</v>
          </cell>
          <cell r="J4087" t="str">
            <v>Ecommerce (US)</v>
          </cell>
          <cell r="K4087" t="str">
            <v>Ecommerce</v>
          </cell>
          <cell r="L4087" t="str">
            <v>Depreciation &amp; Amortization</v>
          </cell>
          <cell r="N4087" t="str">
            <v>SG&amp;A</v>
          </cell>
          <cell r="O4087" t="str">
            <v>[No Vendor]</v>
          </cell>
        </row>
        <row r="4088">
          <cell r="D4088">
            <v>102.55</v>
          </cell>
          <cell r="H4088">
            <v>45536</v>
          </cell>
          <cell r="I4088" t="str">
            <v>7060 - Information Technology &amp; Software</v>
          </cell>
          <cell r="J4088">
            <v>0</v>
          </cell>
          <cell r="K4088" t="str">
            <v>Production</v>
          </cell>
          <cell r="L4088" t="str">
            <v>Depreciation &amp; Amortization</v>
          </cell>
          <cell r="N4088" t="str">
            <v>SG&amp;A</v>
          </cell>
          <cell r="O4088" t="str">
            <v>[No Vendor]</v>
          </cell>
        </row>
        <row r="4089">
          <cell r="D4089">
            <v>179.49</v>
          </cell>
          <cell r="H4089">
            <v>45536</v>
          </cell>
          <cell r="I4089" t="str">
            <v>7060 - Information Technology &amp; Software</v>
          </cell>
          <cell r="J4089">
            <v>0</v>
          </cell>
          <cell r="K4089" t="str">
            <v>Design</v>
          </cell>
          <cell r="L4089" t="str">
            <v>Depreciation &amp; Amortization</v>
          </cell>
          <cell r="N4089" t="str">
            <v>SG&amp;A</v>
          </cell>
          <cell r="O4089" t="str">
            <v>[No Vendor]</v>
          </cell>
        </row>
        <row r="4090">
          <cell r="D4090">
            <v>65.48</v>
          </cell>
          <cell r="H4090">
            <v>45536</v>
          </cell>
          <cell r="I4090" t="str">
            <v>7060 - Information Technology &amp; Software</v>
          </cell>
          <cell r="J4090">
            <v>0</v>
          </cell>
          <cell r="K4090" t="str">
            <v>Merchandising</v>
          </cell>
          <cell r="L4090" t="str">
            <v>Depreciation &amp; Amortization</v>
          </cell>
          <cell r="N4090" t="str">
            <v>SG&amp;A</v>
          </cell>
          <cell r="O4090" t="str">
            <v>[No Vendor]</v>
          </cell>
        </row>
        <row r="4091">
          <cell r="D4091">
            <v>166.9</v>
          </cell>
          <cell r="H4091">
            <v>45536</v>
          </cell>
          <cell r="I4091" t="str">
            <v>7060 - Information Technology &amp; Software</v>
          </cell>
          <cell r="J4091">
            <v>0</v>
          </cell>
          <cell r="K4091" t="str">
            <v>Brand Marketing</v>
          </cell>
          <cell r="L4091" t="str">
            <v>Depreciation &amp; Amortization</v>
          </cell>
          <cell r="N4091" t="str">
            <v>SG&amp;A</v>
          </cell>
          <cell r="O4091" t="str">
            <v>[No Vendor]</v>
          </cell>
        </row>
        <row r="4092">
          <cell r="D4092">
            <v>869.23</v>
          </cell>
          <cell r="H4092">
            <v>45536</v>
          </cell>
          <cell r="I4092" t="str">
            <v>7060 - Information Technology &amp; Software</v>
          </cell>
          <cell r="J4092">
            <v>0</v>
          </cell>
          <cell r="K4092" t="str">
            <v>Administration</v>
          </cell>
          <cell r="L4092" t="str">
            <v>Depreciation &amp; Amortization</v>
          </cell>
          <cell r="N4092" t="str">
            <v>SG&amp;A</v>
          </cell>
          <cell r="O4092" t="str">
            <v>[No Vendor]</v>
          </cell>
        </row>
        <row r="4093">
          <cell r="D4093">
            <v>238.77</v>
          </cell>
          <cell r="H4093">
            <v>45536</v>
          </cell>
          <cell r="I4093" t="str">
            <v>7040 - Furniture &amp; Fixtures</v>
          </cell>
          <cell r="J4093" t="str">
            <v>Wholesale</v>
          </cell>
          <cell r="K4093" t="str">
            <v>Wholesale</v>
          </cell>
          <cell r="L4093" t="str">
            <v>Depreciation &amp; Amortization</v>
          </cell>
          <cell r="N4093" t="str">
            <v>SG&amp;A</v>
          </cell>
          <cell r="O4093" t="str">
            <v>[No Vendor]</v>
          </cell>
        </row>
        <row r="4094">
          <cell r="D4094">
            <v>0</v>
          </cell>
          <cell r="H4094">
            <v>45536</v>
          </cell>
          <cell r="I4094" t="str">
            <v>7040 - Furniture &amp; Fixtures</v>
          </cell>
          <cell r="J4094">
            <v>0</v>
          </cell>
          <cell r="K4094" t="str">
            <v>Brand Marketing</v>
          </cell>
          <cell r="L4094" t="str">
            <v>Depreciation &amp; Amortization</v>
          </cell>
          <cell r="N4094" t="str">
            <v>SG&amp;A</v>
          </cell>
          <cell r="O4094" t="str">
            <v>[No Vendor]</v>
          </cell>
        </row>
        <row r="4095">
          <cell r="D4095">
            <v>269.64999999999998</v>
          </cell>
          <cell r="H4095">
            <v>45536</v>
          </cell>
          <cell r="I4095" t="str">
            <v>7040 - Furniture &amp; Fixtures</v>
          </cell>
          <cell r="J4095">
            <v>0</v>
          </cell>
          <cell r="K4095" t="str">
            <v>Administration</v>
          </cell>
          <cell r="L4095" t="str">
            <v>Depreciation &amp; Amortization</v>
          </cell>
          <cell r="N4095" t="str">
            <v>SG&amp;A</v>
          </cell>
          <cell r="O4095" t="str">
            <v>[No Vendor]</v>
          </cell>
        </row>
        <row r="4096">
          <cell r="D4096">
            <v>637.32000000000005</v>
          </cell>
          <cell r="H4096">
            <v>45536</v>
          </cell>
          <cell r="I4096" t="str">
            <v>6055 - Employer Social Security Tax Withheld</v>
          </cell>
          <cell r="J4096">
            <v>0</v>
          </cell>
          <cell r="K4096" t="str">
            <v>Merchandising</v>
          </cell>
          <cell r="L4096" t="str">
            <v>HQ Salaries</v>
          </cell>
          <cell r="N4096" t="str">
            <v>SG&amp;A</v>
          </cell>
          <cell r="O4096" t="str">
            <v>[No Vendor]</v>
          </cell>
        </row>
        <row r="4097">
          <cell r="D4097">
            <v>1222.46</v>
          </cell>
          <cell r="H4097">
            <v>45536</v>
          </cell>
          <cell r="I4097" t="str">
            <v>6055 - Employer Social Security Tax Withheld</v>
          </cell>
          <cell r="J4097" t="str">
            <v>Wholesale</v>
          </cell>
          <cell r="K4097" t="str">
            <v>Wholesale</v>
          </cell>
          <cell r="L4097" t="str">
            <v>HQ Salaries</v>
          </cell>
          <cell r="N4097" t="str">
            <v>SG&amp;A</v>
          </cell>
          <cell r="O4097" t="str">
            <v>[No Vendor]</v>
          </cell>
        </row>
        <row r="4098">
          <cell r="D4098">
            <v>1880.37</v>
          </cell>
          <cell r="H4098">
            <v>45536</v>
          </cell>
          <cell r="I4098" t="str">
            <v>6055 - Employer Social Security Tax Withheld</v>
          </cell>
          <cell r="J4098">
            <v>0</v>
          </cell>
          <cell r="K4098" t="str">
            <v>Production</v>
          </cell>
          <cell r="L4098" t="str">
            <v>HQ Salaries</v>
          </cell>
          <cell r="N4098" t="str">
            <v>SG&amp;A</v>
          </cell>
          <cell r="O4098" t="str">
            <v>[No Vendor]</v>
          </cell>
        </row>
        <row r="4099">
          <cell r="D4099">
            <v>402.52</v>
          </cell>
          <cell r="H4099">
            <v>45536</v>
          </cell>
          <cell r="I4099" t="str">
            <v>6055 - Employer Social Security Tax Withheld</v>
          </cell>
          <cell r="J4099">
            <v>0</v>
          </cell>
          <cell r="K4099" t="str">
            <v>Brand Marketing</v>
          </cell>
          <cell r="L4099" t="str">
            <v>HQ Salaries</v>
          </cell>
          <cell r="N4099" t="str">
            <v>SG&amp;A</v>
          </cell>
          <cell r="O4099" t="str">
            <v>[No Vendor]</v>
          </cell>
        </row>
        <row r="4100">
          <cell r="D4100">
            <v>1300.17</v>
          </cell>
          <cell r="H4100">
            <v>45536</v>
          </cell>
          <cell r="I4100" t="str">
            <v>6055 - Employer Social Security Tax Withheld</v>
          </cell>
          <cell r="J4100">
            <v>0</v>
          </cell>
          <cell r="K4100" t="str">
            <v>Executive</v>
          </cell>
          <cell r="L4100" t="str">
            <v>HQ Salaries</v>
          </cell>
          <cell r="N4100" t="str">
            <v>SG&amp;A</v>
          </cell>
          <cell r="O4100" t="str">
            <v>[No Vendor]</v>
          </cell>
        </row>
        <row r="4101">
          <cell r="D4101">
            <v>1771.09</v>
          </cell>
          <cell r="H4101">
            <v>45536</v>
          </cell>
          <cell r="I4101" t="str">
            <v>6055 - Employer Social Security Tax Withheld</v>
          </cell>
          <cell r="J4101" t="str">
            <v>Ecommerce (US)</v>
          </cell>
          <cell r="K4101" t="str">
            <v>Ecommerce</v>
          </cell>
          <cell r="L4101" t="str">
            <v>HQ Salaries</v>
          </cell>
          <cell r="N4101" t="str">
            <v>SG&amp;A</v>
          </cell>
          <cell r="O4101" t="str">
            <v>[No Vendor]</v>
          </cell>
        </row>
        <row r="4102">
          <cell r="D4102">
            <v>2433.9</v>
          </cell>
          <cell r="H4102">
            <v>45536</v>
          </cell>
          <cell r="I4102" t="str">
            <v>6055 - Employer Social Security Tax Withheld</v>
          </cell>
          <cell r="J4102">
            <v>0</v>
          </cell>
          <cell r="K4102" t="str">
            <v>Design</v>
          </cell>
          <cell r="L4102" t="str">
            <v>HQ Salaries</v>
          </cell>
          <cell r="N4102" t="str">
            <v>SG&amp;A</v>
          </cell>
          <cell r="O4102" t="str">
            <v>[No Vendor]</v>
          </cell>
        </row>
        <row r="4103">
          <cell r="D4103">
            <v>2104.4299999999998</v>
          </cell>
          <cell r="H4103">
            <v>45536</v>
          </cell>
          <cell r="I4103" t="str">
            <v>6055 - Employer Social Security Tax Withheld</v>
          </cell>
          <cell r="J4103">
            <v>0</v>
          </cell>
          <cell r="K4103" t="str">
            <v>Administration</v>
          </cell>
          <cell r="L4103" t="str">
            <v>HQ Salaries</v>
          </cell>
          <cell r="N4103" t="str">
            <v>SG&amp;A</v>
          </cell>
          <cell r="O4103" t="str">
            <v>[No Vendor]</v>
          </cell>
        </row>
        <row r="4104">
          <cell r="D4104">
            <v>-94.23</v>
          </cell>
          <cell r="H4104">
            <v>45536</v>
          </cell>
          <cell r="I4104" t="str">
            <v>5000 - Cost of Goods Sold</v>
          </cell>
          <cell r="J4104" t="str">
            <v>Wholesale</v>
          </cell>
          <cell r="K4104" t="str">
            <v>Wholesale</v>
          </cell>
          <cell r="L4104" t="str">
            <v>COGS</v>
          </cell>
          <cell r="N4104" t="str">
            <v>COGS</v>
          </cell>
          <cell r="O4104" t="str">
            <v>[No Vendor]</v>
          </cell>
        </row>
        <row r="4105">
          <cell r="D4105">
            <v>-37.700000000000003</v>
          </cell>
          <cell r="H4105">
            <v>45536</v>
          </cell>
          <cell r="I4105" t="str">
            <v>5000 - Cost of Goods Sold</v>
          </cell>
          <cell r="J4105" t="str">
            <v>Ecommerce (EU)</v>
          </cell>
          <cell r="K4105" t="str">
            <v>Ecommerce</v>
          </cell>
          <cell r="L4105" t="str">
            <v>COGS</v>
          </cell>
          <cell r="N4105" t="str">
            <v>COGS</v>
          </cell>
          <cell r="O4105" t="str">
            <v>[No Vendor]</v>
          </cell>
        </row>
        <row r="4106">
          <cell r="D4106">
            <v>-32775.64</v>
          </cell>
          <cell r="H4106">
            <v>45536</v>
          </cell>
          <cell r="I4106" t="str">
            <v>5000 - Cost of Goods Sold</v>
          </cell>
          <cell r="J4106" t="str">
            <v>Ecommerce (US)</v>
          </cell>
          <cell r="K4106" t="str">
            <v>Ecommerce</v>
          </cell>
          <cell r="L4106" t="str">
            <v>COGS</v>
          </cell>
          <cell r="N4106" t="str">
            <v>COGS</v>
          </cell>
          <cell r="O4106" t="str">
            <v>[No Vendor]</v>
          </cell>
        </row>
        <row r="4107">
          <cell r="D4107">
            <v>-773.4</v>
          </cell>
          <cell r="H4107">
            <v>45536</v>
          </cell>
          <cell r="I4107" t="str">
            <v>5000 - Cost of Goods Sold</v>
          </cell>
          <cell r="J4107" t="str">
            <v>Wholesale</v>
          </cell>
          <cell r="K4107" t="str">
            <v>Wholesale</v>
          </cell>
          <cell r="L4107" t="str">
            <v>COGS</v>
          </cell>
          <cell r="N4107" t="str">
            <v>COGS</v>
          </cell>
          <cell r="O4107" t="str">
            <v>[No Vendor]</v>
          </cell>
        </row>
        <row r="4108">
          <cell r="D4108">
            <v>188254.24</v>
          </cell>
          <cell r="H4108">
            <v>45536</v>
          </cell>
          <cell r="I4108" t="str">
            <v>5000 - Cost of Goods Sold</v>
          </cell>
          <cell r="J4108" t="str">
            <v>Wholesale</v>
          </cell>
          <cell r="K4108" t="str">
            <v>Wholesale</v>
          </cell>
          <cell r="L4108" t="str">
            <v>COGS</v>
          </cell>
          <cell r="N4108" t="str">
            <v>COGS</v>
          </cell>
          <cell r="O4108" t="str">
            <v>[No Vendor]</v>
          </cell>
        </row>
        <row r="4109">
          <cell r="D4109">
            <v>14492.88</v>
          </cell>
          <cell r="H4109">
            <v>45536</v>
          </cell>
          <cell r="I4109" t="str">
            <v>5000 - Cost of Goods Sold</v>
          </cell>
          <cell r="J4109" t="str">
            <v>Ecommerce (US)</v>
          </cell>
          <cell r="K4109" t="str">
            <v>Ecommerce</v>
          </cell>
          <cell r="L4109" t="str">
            <v>COGS</v>
          </cell>
          <cell r="N4109" t="str">
            <v>COGS</v>
          </cell>
          <cell r="O4109" t="str">
            <v>[No Vendor]</v>
          </cell>
        </row>
        <row r="4110">
          <cell r="D4110">
            <v>320402.96000000002</v>
          </cell>
          <cell r="H4110">
            <v>45536</v>
          </cell>
          <cell r="I4110" t="str">
            <v>5000 - Cost of Goods Sold</v>
          </cell>
          <cell r="J4110" t="str">
            <v>Ecommerce (US)</v>
          </cell>
          <cell r="K4110" t="str">
            <v>Ecommerce</v>
          </cell>
          <cell r="L4110" t="str">
            <v>COGS</v>
          </cell>
          <cell r="N4110" t="str">
            <v>COGS</v>
          </cell>
          <cell r="O4110" t="str">
            <v>[No Vendor]</v>
          </cell>
        </row>
        <row r="4111">
          <cell r="D4111">
            <v>39489.769999999997</v>
          </cell>
          <cell r="H4111">
            <v>45536</v>
          </cell>
          <cell r="I4111" t="str">
            <v>5000 - Cost of Goods Sold</v>
          </cell>
          <cell r="J4111" t="str">
            <v>Ecommerce (EU)</v>
          </cell>
          <cell r="K4111" t="str">
            <v>Ecommerce</v>
          </cell>
          <cell r="L4111" t="str">
            <v>COGS</v>
          </cell>
          <cell r="N4111" t="str">
            <v>COGS</v>
          </cell>
          <cell r="O4111" t="str">
            <v>[No Vendor]</v>
          </cell>
        </row>
        <row r="4112">
          <cell r="D4112">
            <v>-81571.149999999994</v>
          </cell>
          <cell r="H4112">
            <v>45536</v>
          </cell>
          <cell r="I4112" t="str">
            <v>8000 - Interest Income</v>
          </cell>
          <cell r="J4112">
            <v>0</v>
          </cell>
          <cell r="K4112" t="str">
            <v>Licensing</v>
          </cell>
          <cell r="L4112" t="str">
            <v>Other Income (BTL)</v>
          </cell>
          <cell r="N4112" t="str">
            <v>BTL</v>
          </cell>
          <cell r="O4112" t="str">
            <v>[No Vendor]</v>
          </cell>
        </row>
        <row r="4113">
          <cell r="D4113">
            <v>40.33</v>
          </cell>
          <cell r="H4113">
            <v>45536</v>
          </cell>
          <cell r="I4113" t="str">
            <v>6487 - Interest Expense</v>
          </cell>
          <cell r="J4113">
            <v>0</v>
          </cell>
          <cell r="K4113" t="str">
            <v>Administration</v>
          </cell>
          <cell r="L4113" t="str">
            <v>Interest</v>
          </cell>
          <cell r="N4113" t="str">
            <v>BTL</v>
          </cell>
          <cell r="O4113" t="str">
            <v>[No Vendor]</v>
          </cell>
        </row>
        <row r="4114">
          <cell r="D4114">
            <v>8911.31</v>
          </cell>
          <cell r="H4114">
            <v>45536</v>
          </cell>
          <cell r="I4114" t="str">
            <v>6487 - Interest Expense</v>
          </cell>
          <cell r="J4114">
            <v>0</v>
          </cell>
          <cell r="K4114" t="str">
            <v>Administration</v>
          </cell>
          <cell r="L4114" t="str">
            <v>Interest</v>
          </cell>
          <cell r="N4114" t="str">
            <v>BTL</v>
          </cell>
          <cell r="O4114" t="str">
            <v>[No Vendor]</v>
          </cell>
        </row>
        <row r="4115">
          <cell r="D4115">
            <v>3780.82</v>
          </cell>
          <cell r="H4115">
            <v>45536</v>
          </cell>
          <cell r="I4115" t="str">
            <v>6487 - Interest Expense</v>
          </cell>
          <cell r="J4115">
            <v>0</v>
          </cell>
          <cell r="K4115" t="str">
            <v>Administration</v>
          </cell>
          <cell r="L4115" t="str">
            <v>Interest</v>
          </cell>
          <cell r="N4115" t="str">
            <v>BTL</v>
          </cell>
          <cell r="O4115" t="str">
            <v>[No Vendor]</v>
          </cell>
        </row>
        <row r="4116">
          <cell r="D4116">
            <v>14745.21</v>
          </cell>
          <cell r="H4116">
            <v>45536</v>
          </cell>
          <cell r="I4116" t="str">
            <v>6487 - Interest Expense</v>
          </cell>
          <cell r="J4116">
            <v>0</v>
          </cell>
          <cell r="K4116" t="str">
            <v>Administration</v>
          </cell>
          <cell r="L4116" t="str">
            <v>Interest</v>
          </cell>
          <cell r="N4116" t="str">
            <v>BTL</v>
          </cell>
          <cell r="O4116" t="str">
            <v>[No Vendor]</v>
          </cell>
        </row>
        <row r="4117">
          <cell r="D4117">
            <v>5671.23</v>
          </cell>
          <cell r="H4117">
            <v>45536</v>
          </cell>
          <cell r="I4117" t="str">
            <v>6487 - Interest Expense</v>
          </cell>
          <cell r="J4117">
            <v>0</v>
          </cell>
          <cell r="K4117" t="str">
            <v>Administration</v>
          </cell>
          <cell r="L4117" t="str">
            <v>Interest</v>
          </cell>
          <cell r="N4117" t="str">
            <v>BTL</v>
          </cell>
          <cell r="O4117" t="str">
            <v>[No Vendor]</v>
          </cell>
        </row>
        <row r="4118">
          <cell r="D4118">
            <v>4158.8999999999996</v>
          </cell>
          <cell r="H4118">
            <v>45536</v>
          </cell>
          <cell r="I4118" t="str">
            <v>6487 - Interest Expense</v>
          </cell>
          <cell r="J4118">
            <v>0</v>
          </cell>
          <cell r="K4118" t="str">
            <v>Administration</v>
          </cell>
          <cell r="L4118" t="str">
            <v>Interest</v>
          </cell>
          <cell r="N4118" t="str">
            <v>BTL</v>
          </cell>
          <cell r="O4118" t="str">
            <v>[No Vendor]</v>
          </cell>
        </row>
        <row r="4119">
          <cell r="D4119">
            <v>-106883</v>
          </cell>
          <cell r="H4119">
            <v>45536</v>
          </cell>
          <cell r="I4119" t="str">
            <v>6440 - Bad Debt Expenses</v>
          </cell>
          <cell r="J4119">
            <v>0</v>
          </cell>
          <cell r="K4119" t="str">
            <v>Licensing</v>
          </cell>
          <cell r="L4119" t="str">
            <v>Other</v>
          </cell>
          <cell r="N4119" t="str">
            <v>SG&amp;A</v>
          </cell>
          <cell r="O4119" t="str">
            <v>[No Vendor]</v>
          </cell>
        </row>
        <row r="4120">
          <cell r="D4120">
            <v>175</v>
          </cell>
          <cell r="H4120">
            <v>45536</v>
          </cell>
          <cell r="I4120" t="str">
            <v>6420 - Licenses &amp; Membership</v>
          </cell>
          <cell r="J4120">
            <v>0</v>
          </cell>
          <cell r="K4120" t="str">
            <v>Production</v>
          </cell>
          <cell r="L4120" t="str">
            <v>Professional Service</v>
          </cell>
          <cell r="N4120" t="str">
            <v>SG&amp;A</v>
          </cell>
          <cell r="O4120" t="str">
            <v>[No Vendor]</v>
          </cell>
        </row>
        <row r="4121">
          <cell r="D4121">
            <v>2721.88</v>
          </cell>
          <cell r="H4121">
            <v>45536</v>
          </cell>
          <cell r="I4121" t="str">
            <v>6420 - Licenses &amp; Membership</v>
          </cell>
          <cell r="J4121">
            <v>0</v>
          </cell>
          <cell r="K4121" t="str">
            <v>Administration</v>
          </cell>
          <cell r="L4121" t="str">
            <v>Professional Service</v>
          </cell>
          <cell r="N4121" t="str">
            <v>Direct Costs</v>
          </cell>
          <cell r="O4121" t="str">
            <v>Apparel Magic</v>
          </cell>
        </row>
        <row r="4122">
          <cell r="D4122">
            <v>-29236.67</v>
          </cell>
          <cell r="H4122">
            <v>45536</v>
          </cell>
          <cell r="I4122" t="str">
            <v>6320 - Building Rent</v>
          </cell>
          <cell r="J4122">
            <v>0</v>
          </cell>
          <cell r="K4122" t="str">
            <v>Administration</v>
          </cell>
          <cell r="L4122" t="str">
            <v>Rent</v>
          </cell>
          <cell r="N4122" t="str">
            <v>SG&amp;A</v>
          </cell>
          <cell r="O4122" t="str">
            <v>[No Vendor]</v>
          </cell>
        </row>
        <row r="4123">
          <cell r="D4123">
            <v>4500</v>
          </cell>
          <cell r="H4123">
            <v>45536</v>
          </cell>
          <cell r="I4123" t="str">
            <v>6375 - Freight Expenses</v>
          </cell>
          <cell r="J4123" t="str">
            <v>Ecommerce (US)</v>
          </cell>
          <cell r="K4123" t="str">
            <v>Ecommerce</v>
          </cell>
          <cell r="L4123" t="str">
            <v>Freight</v>
          </cell>
          <cell r="N4123" t="str">
            <v>Direct Costs</v>
          </cell>
          <cell r="O4123" t="str">
            <v>Easy Post</v>
          </cell>
        </row>
        <row r="4124">
          <cell r="D4124">
            <v>5409.93</v>
          </cell>
          <cell r="H4124">
            <v>45536</v>
          </cell>
          <cell r="I4124" t="str">
            <v>6375 - Freight Expenses</v>
          </cell>
          <cell r="J4124" t="str">
            <v>Ecommerce (EU)</v>
          </cell>
          <cell r="K4124" t="str">
            <v>Ecommerce</v>
          </cell>
          <cell r="L4124" t="str">
            <v>Freight</v>
          </cell>
          <cell r="N4124" t="str">
            <v>Direct Costs</v>
          </cell>
          <cell r="O4124" t="str">
            <v>Global E</v>
          </cell>
        </row>
        <row r="4125">
          <cell r="D4125">
            <v>5175.28</v>
          </cell>
          <cell r="H4125">
            <v>45536</v>
          </cell>
          <cell r="I4125" t="str">
            <v>6375 - Freight Expenses</v>
          </cell>
          <cell r="J4125" t="str">
            <v>Ecommerce (US)</v>
          </cell>
          <cell r="K4125" t="str">
            <v>Ecommerce</v>
          </cell>
          <cell r="L4125" t="str">
            <v>Freight</v>
          </cell>
          <cell r="N4125" t="str">
            <v>Direct Costs</v>
          </cell>
          <cell r="O4125" t="str">
            <v>Amazon</v>
          </cell>
        </row>
        <row r="4126">
          <cell r="D4126">
            <v>15.83</v>
          </cell>
          <cell r="H4126">
            <v>45536</v>
          </cell>
          <cell r="I4126" t="str">
            <v>7030 - Plant Machinery &amp; Equipment</v>
          </cell>
          <cell r="J4126">
            <v>0</v>
          </cell>
          <cell r="K4126" t="str">
            <v>Production</v>
          </cell>
          <cell r="L4126" t="str">
            <v>Depreciation &amp; Amortization</v>
          </cell>
          <cell r="N4126" t="str">
            <v>SG&amp;A</v>
          </cell>
          <cell r="O4126" t="str">
            <v>[No Vendor]</v>
          </cell>
        </row>
        <row r="4127">
          <cell r="D4127">
            <v>14.15</v>
          </cell>
          <cell r="H4127">
            <v>45536</v>
          </cell>
          <cell r="I4127" t="str">
            <v>7030 - Plant Machinery &amp; Equipment</v>
          </cell>
          <cell r="J4127">
            <v>0</v>
          </cell>
          <cell r="K4127" t="str">
            <v>Administration</v>
          </cell>
          <cell r="L4127" t="str">
            <v>Depreciation &amp; Amortization</v>
          </cell>
          <cell r="N4127" t="str">
            <v>SG&amp;A</v>
          </cell>
          <cell r="O4127" t="str">
            <v>[No Vendor]</v>
          </cell>
        </row>
        <row r="4128">
          <cell r="D4128">
            <v>-49.68</v>
          </cell>
          <cell r="H4128">
            <v>45536</v>
          </cell>
          <cell r="I4128" t="str">
            <v>6040 - Employer Paid Benefits</v>
          </cell>
          <cell r="J4128" t="str">
            <v>Wholesale</v>
          </cell>
          <cell r="K4128" t="str">
            <v>Wholesale</v>
          </cell>
          <cell r="L4128" t="str">
            <v>HQ Salaries</v>
          </cell>
          <cell r="N4128" t="str">
            <v>SG&amp;A</v>
          </cell>
          <cell r="O4128" t="str">
            <v>[No Vendor]</v>
          </cell>
        </row>
        <row r="4129">
          <cell r="D4129">
            <v>-309.49</v>
          </cell>
          <cell r="H4129">
            <v>45536</v>
          </cell>
          <cell r="I4129" t="str">
            <v>6040 - Employer Paid Benefits</v>
          </cell>
          <cell r="J4129">
            <v>0</v>
          </cell>
          <cell r="K4129" t="str">
            <v>Production</v>
          </cell>
          <cell r="L4129" t="str">
            <v>HQ Salaries</v>
          </cell>
          <cell r="N4129" t="str">
            <v>SG&amp;A</v>
          </cell>
          <cell r="O4129" t="str">
            <v>[No Vendor]</v>
          </cell>
        </row>
        <row r="4130">
          <cell r="D4130">
            <v>-24.84</v>
          </cell>
          <cell r="H4130">
            <v>45536</v>
          </cell>
          <cell r="I4130" t="str">
            <v>6040 - Employer Paid Benefits</v>
          </cell>
          <cell r="J4130">
            <v>0</v>
          </cell>
          <cell r="K4130" t="str">
            <v>Brand Marketing</v>
          </cell>
          <cell r="L4130" t="str">
            <v>HQ Salaries</v>
          </cell>
          <cell r="N4130" t="str">
            <v>SG&amp;A</v>
          </cell>
          <cell r="O4130" t="str">
            <v>[No Vendor]</v>
          </cell>
        </row>
        <row r="4131">
          <cell r="D4131">
            <v>-257.7</v>
          </cell>
          <cell r="H4131">
            <v>45536</v>
          </cell>
          <cell r="I4131" t="str">
            <v>6040 - Employer Paid Benefits</v>
          </cell>
          <cell r="J4131">
            <v>0</v>
          </cell>
          <cell r="K4131" t="str">
            <v>Executive</v>
          </cell>
          <cell r="L4131" t="str">
            <v>HQ Salaries</v>
          </cell>
          <cell r="N4131" t="str">
            <v>SG&amp;A</v>
          </cell>
          <cell r="O4131" t="str">
            <v>[No Vendor]</v>
          </cell>
        </row>
        <row r="4132">
          <cell r="D4132">
            <v>-134.04</v>
          </cell>
          <cell r="H4132">
            <v>45536</v>
          </cell>
          <cell r="I4132" t="str">
            <v>6040 - Employer Paid Benefits</v>
          </cell>
          <cell r="J4132" t="str">
            <v>Ecommerce (US)</v>
          </cell>
          <cell r="K4132" t="str">
            <v>Ecommerce</v>
          </cell>
          <cell r="L4132" t="str">
            <v>HQ Salaries</v>
          </cell>
          <cell r="N4132" t="str">
            <v>SG&amp;A</v>
          </cell>
          <cell r="O4132" t="str">
            <v>[No Vendor]</v>
          </cell>
        </row>
        <row r="4133">
          <cell r="D4133">
            <v>-399.77</v>
          </cell>
          <cell r="H4133">
            <v>45536</v>
          </cell>
          <cell r="I4133" t="str">
            <v>6040 - Employer Paid Benefits</v>
          </cell>
          <cell r="J4133">
            <v>0</v>
          </cell>
          <cell r="K4133" t="str">
            <v>Design</v>
          </cell>
          <cell r="L4133" t="str">
            <v>HQ Salaries</v>
          </cell>
          <cell r="N4133" t="str">
            <v>SG&amp;A</v>
          </cell>
          <cell r="O4133" t="str">
            <v>[No Vendor]</v>
          </cell>
        </row>
        <row r="4134">
          <cell r="D4134">
            <v>-220.43</v>
          </cell>
          <cell r="H4134">
            <v>45536</v>
          </cell>
          <cell r="I4134" t="str">
            <v>6040 - Employer Paid Benefits</v>
          </cell>
          <cell r="J4134">
            <v>0</v>
          </cell>
          <cell r="K4134" t="str">
            <v>Administration</v>
          </cell>
          <cell r="L4134" t="str">
            <v>HQ Salaries</v>
          </cell>
          <cell r="N4134" t="str">
            <v>SG&amp;A</v>
          </cell>
          <cell r="O4134" t="str">
            <v>[No Vendor]</v>
          </cell>
        </row>
        <row r="4135">
          <cell r="D4135">
            <v>5665</v>
          </cell>
          <cell r="H4135">
            <v>45536</v>
          </cell>
          <cell r="I4135" t="str">
            <v>6005 - Salaries</v>
          </cell>
          <cell r="J4135">
            <v>0</v>
          </cell>
          <cell r="K4135" t="str">
            <v>Merchandising</v>
          </cell>
          <cell r="L4135" t="str">
            <v>HQ Salaries</v>
          </cell>
          <cell r="N4135" t="str">
            <v>SG&amp;A</v>
          </cell>
          <cell r="O4135" t="str">
            <v>[No Vendor]</v>
          </cell>
        </row>
        <row r="4136">
          <cell r="D4136">
            <v>10902.71</v>
          </cell>
          <cell r="H4136">
            <v>45536</v>
          </cell>
          <cell r="I4136" t="str">
            <v>6005 - Salaries</v>
          </cell>
          <cell r="J4136" t="str">
            <v>Wholesale</v>
          </cell>
          <cell r="K4136" t="str">
            <v>Wholesale</v>
          </cell>
          <cell r="L4136" t="str">
            <v>HQ Salaries</v>
          </cell>
          <cell r="N4136" t="str">
            <v>SG&amp;A</v>
          </cell>
          <cell r="O4136" t="str">
            <v>[No Vendor]</v>
          </cell>
        </row>
        <row r="4137">
          <cell r="D4137">
            <v>21987.34</v>
          </cell>
          <cell r="H4137">
            <v>45536</v>
          </cell>
          <cell r="I4137" t="str">
            <v>6005 - Salaries</v>
          </cell>
          <cell r="J4137">
            <v>0</v>
          </cell>
          <cell r="K4137" t="str">
            <v>Production</v>
          </cell>
          <cell r="L4137" t="str">
            <v>HQ Salaries</v>
          </cell>
          <cell r="N4137" t="str">
            <v>SG&amp;A</v>
          </cell>
          <cell r="O4137" t="str">
            <v>[No Vendor]</v>
          </cell>
        </row>
        <row r="4138">
          <cell r="D4138">
            <v>3596.16</v>
          </cell>
          <cell r="H4138">
            <v>45536</v>
          </cell>
          <cell r="I4138" t="str">
            <v>6005 - Salaries</v>
          </cell>
          <cell r="J4138">
            <v>0</v>
          </cell>
          <cell r="K4138" t="str">
            <v>Brand Marketing</v>
          </cell>
          <cell r="L4138" t="str">
            <v>HQ Salaries</v>
          </cell>
          <cell r="N4138" t="str">
            <v>SG&amp;A</v>
          </cell>
          <cell r="O4138" t="str">
            <v>[No Vendor]</v>
          </cell>
        </row>
        <row r="4139">
          <cell r="D4139">
            <v>12269.24</v>
          </cell>
          <cell r="H4139">
            <v>45536</v>
          </cell>
          <cell r="I4139" t="str">
            <v>6005 - Salaries</v>
          </cell>
          <cell r="J4139">
            <v>0</v>
          </cell>
          <cell r="K4139" t="str">
            <v>Executive</v>
          </cell>
          <cell r="L4139" t="str">
            <v>HQ Salaries</v>
          </cell>
          <cell r="N4139" t="str">
            <v>SG&amp;A</v>
          </cell>
          <cell r="O4139" t="str">
            <v>[No Vendor]</v>
          </cell>
        </row>
        <row r="4140">
          <cell r="D4140">
            <v>22317.13</v>
          </cell>
          <cell r="H4140">
            <v>45536</v>
          </cell>
          <cell r="I4140" t="str">
            <v>6005 - Salaries</v>
          </cell>
          <cell r="J4140" t="str">
            <v>Ecommerce (US)</v>
          </cell>
          <cell r="K4140" t="str">
            <v>Ecommerce</v>
          </cell>
          <cell r="L4140" t="str">
            <v>HQ Salaries</v>
          </cell>
          <cell r="N4140" t="str">
            <v>SG&amp;A</v>
          </cell>
          <cell r="O4140" t="str">
            <v>[No Vendor]</v>
          </cell>
        </row>
        <row r="4141">
          <cell r="D4141">
            <v>22658.57</v>
          </cell>
          <cell r="H4141">
            <v>45536</v>
          </cell>
          <cell r="I4141" t="str">
            <v>6005 - Salaries</v>
          </cell>
          <cell r="J4141">
            <v>0</v>
          </cell>
          <cell r="K4141" t="str">
            <v>Design</v>
          </cell>
          <cell r="L4141" t="str">
            <v>HQ Salaries</v>
          </cell>
          <cell r="N4141" t="str">
            <v>SG&amp;A</v>
          </cell>
          <cell r="O4141" t="str">
            <v>[No Vendor]</v>
          </cell>
        </row>
        <row r="4142">
          <cell r="D4142">
            <v>28726.95</v>
          </cell>
          <cell r="H4142">
            <v>45536</v>
          </cell>
          <cell r="I4142" t="str">
            <v>6005 - Salaries</v>
          </cell>
          <cell r="J4142">
            <v>0</v>
          </cell>
          <cell r="K4142" t="str">
            <v>Administration</v>
          </cell>
          <cell r="L4142" t="str">
            <v>HQ Salaries</v>
          </cell>
          <cell r="N4142" t="str">
            <v>SG&amp;A</v>
          </cell>
          <cell r="O4142" t="str">
            <v>[No Vendor]</v>
          </cell>
        </row>
        <row r="4143">
          <cell r="D4143">
            <v>0</v>
          </cell>
          <cell r="H4143">
            <v>45536</v>
          </cell>
          <cell r="I4143" t="str">
            <v>4020 - Revenue - Marketing Contribution</v>
          </cell>
          <cell r="J4143">
            <v>0</v>
          </cell>
          <cell r="K4143" t="str">
            <v>Licensing</v>
          </cell>
          <cell r="L4143" t="str">
            <v>License</v>
          </cell>
          <cell r="N4143" t="str">
            <v>Revenue</v>
          </cell>
          <cell r="O4143" t="str">
            <v>[No Vendor]</v>
          </cell>
        </row>
        <row r="4144">
          <cell r="D4144">
            <v>0</v>
          </cell>
          <cell r="H4144">
            <v>45536</v>
          </cell>
          <cell r="I4144" t="str">
            <v>4010 - Revenue - Licensing Fees (Royalties)</v>
          </cell>
          <cell r="J4144">
            <v>0</v>
          </cell>
          <cell r="K4144" t="str">
            <v>Licensing</v>
          </cell>
          <cell r="L4144" t="str">
            <v>License</v>
          </cell>
          <cell r="N4144" t="str">
            <v>Revenue</v>
          </cell>
          <cell r="O4144" t="str">
            <v>[No Vendor]</v>
          </cell>
        </row>
        <row r="4145">
          <cell r="D4145">
            <v>-4166.67</v>
          </cell>
          <cell r="H4145">
            <v>45536</v>
          </cell>
          <cell r="I4145" t="str">
            <v>4010 - Revenue - Licensing Fees (Royalties)</v>
          </cell>
          <cell r="J4145">
            <v>0</v>
          </cell>
          <cell r="K4145" t="str">
            <v>Licensing</v>
          </cell>
          <cell r="L4145" t="str">
            <v>License</v>
          </cell>
          <cell r="N4145" t="str">
            <v>Revenue</v>
          </cell>
          <cell r="O4145" t="str">
            <v>[No Vendor]</v>
          </cell>
        </row>
        <row r="4146">
          <cell r="D4146">
            <v>-40339.879999999997</v>
          </cell>
          <cell r="H4146">
            <v>45536</v>
          </cell>
          <cell r="I4146" t="str">
            <v>4010 - Revenue - Licensing Fees (Royalties)</v>
          </cell>
          <cell r="J4146">
            <v>0</v>
          </cell>
          <cell r="K4146" t="str">
            <v>Licensing</v>
          </cell>
          <cell r="L4146" t="str">
            <v>License</v>
          </cell>
          <cell r="N4146" t="str">
            <v>Revenue</v>
          </cell>
          <cell r="O4146" t="str">
            <v>[No Vendor]</v>
          </cell>
        </row>
        <row r="4147">
          <cell r="D4147">
            <v>0</v>
          </cell>
          <cell r="H4147">
            <v>45536</v>
          </cell>
          <cell r="I4147" t="str">
            <v>4010 - Revenue - Licensing Fees (Royalties)</v>
          </cell>
          <cell r="J4147">
            <v>0</v>
          </cell>
          <cell r="K4147" t="str">
            <v>Licensing</v>
          </cell>
          <cell r="L4147" t="str">
            <v>License</v>
          </cell>
          <cell r="N4147" t="str">
            <v>Revenue</v>
          </cell>
          <cell r="O4147" t="str">
            <v>[No Vendor]</v>
          </cell>
        </row>
        <row r="4148">
          <cell r="D4148">
            <v>-15060.22</v>
          </cell>
          <cell r="H4148">
            <v>45536</v>
          </cell>
          <cell r="I4148" t="str">
            <v>4010 - Revenue - Licensing Fees (Royalties)</v>
          </cell>
          <cell r="J4148">
            <v>0</v>
          </cell>
          <cell r="K4148" t="str">
            <v>Licensing</v>
          </cell>
          <cell r="L4148" t="str">
            <v>License</v>
          </cell>
          <cell r="N4148" t="str">
            <v>Revenue</v>
          </cell>
          <cell r="O4148" t="str">
            <v>[No Vendor]</v>
          </cell>
        </row>
        <row r="4149">
          <cell r="D4149">
            <v>-32180.69</v>
          </cell>
          <cell r="H4149">
            <v>45536</v>
          </cell>
          <cell r="I4149" t="str">
            <v>4010 - Revenue - Licensing Fees (Royalties)</v>
          </cell>
          <cell r="J4149">
            <v>0</v>
          </cell>
          <cell r="K4149" t="str">
            <v>Licensing</v>
          </cell>
          <cell r="L4149" t="str">
            <v>License</v>
          </cell>
          <cell r="N4149" t="str">
            <v>Revenue</v>
          </cell>
          <cell r="O4149" t="str">
            <v>[No Vendor]</v>
          </cell>
        </row>
        <row r="4150">
          <cell r="D4150">
            <v>0</v>
          </cell>
          <cell r="H4150">
            <v>45536</v>
          </cell>
          <cell r="I4150" t="str">
            <v>4010 - Revenue - Licensing Fees (Royalties)</v>
          </cell>
          <cell r="J4150">
            <v>0</v>
          </cell>
          <cell r="K4150" t="str">
            <v>Licensing</v>
          </cell>
          <cell r="L4150" t="str">
            <v>License</v>
          </cell>
          <cell r="N4150" t="str">
            <v>Revenue</v>
          </cell>
          <cell r="O4150" t="str">
            <v>[No Vendor]</v>
          </cell>
        </row>
        <row r="4151">
          <cell r="D4151">
            <v>150.44999999999999</v>
          </cell>
          <cell r="H4151">
            <v>45566</v>
          </cell>
          <cell r="I4151" t="str">
            <v>6040 - Employer Paid Benefits</v>
          </cell>
          <cell r="J4151">
            <v>0</v>
          </cell>
          <cell r="K4151" t="str">
            <v>Administration</v>
          </cell>
          <cell r="L4151" t="str">
            <v>HQ Salaries</v>
          </cell>
          <cell r="N4151" t="str">
            <v>SG&amp;A</v>
          </cell>
          <cell r="O4151" t="str">
            <v>Allied Administrators</v>
          </cell>
        </row>
        <row r="4152">
          <cell r="D4152">
            <v>9472.2000000000007</v>
          </cell>
          <cell r="H4152">
            <v>45566</v>
          </cell>
          <cell r="I4152" t="str">
            <v>8700 - Other Expense</v>
          </cell>
          <cell r="J4152">
            <v>0</v>
          </cell>
          <cell r="K4152" t="str">
            <v>Administration</v>
          </cell>
          <cell r="L4152" t="str">
            <v>Other Expense</v>
          </cell>
          <cell r="N4152" t="str">
            <v>BTL</v>
          </cell>
          <cell r="O4152" t="str">
            <v>Bryan Cave Leighton Paisner LLP</v>
          </cell>
        </row>
        <row r="4153">
          <cell r="D4153">
            <v>22720.38</v>
          </cell>
          <cell r="H4153">
            <v>45566</v>
          </cell>
          <cell r="I4153" t="str">
            <v>6393 - Software</v>
          </cell>
          <cell r="J4153" t="str">
            <v>Ecommerce (US)</v>
          </cell>
          <cell r="K4153" t="str">
            <v>Brand Marketing</v>
          </cell>
          <cell r="L4153" t="str">
            <v>Professional Service</v>
          </cell>
          <cell r="N4153" t="str">
            <v>Direct Costs</v>
          </cell>
          <cell r="O4153" t="str">
            <v>Attentive Mobile Inc.</v>
          </cell>
        </row>
        <row r="4154">
          <cell r="D4154">
            <v>450</v>
          </cell>
          <cell r="H4154">
            <v>45566</v>
          </cell>
          <cell r="I4154" t="str">
            <v>6288 - Model</v>
          </cell>
          <cell r="J4154" t="str">
            <v>Ecommerce (US)</v>
          </cell>
          <cell r="K4154" t="str">
            <v>Brand Marketing</v>
          </cell>
          <cell r="L4154" t="str">
            <v>Advertising</v>
          </cell>
          <cell r="N4154" t="str">
            <v>SG&amp;A</v>
          </cell>
          <cell r="O4154" t="str">
            <v>State Artist Management</v>
          </cell>
        </row>
        <row r="4155">
          <cell r="D4155">
            <v>300</v>
          </cell>
          <cell r="H4155">
            <v>45566</v>
          </cell>
          <cell r="I4155" t="str">
            <v>6288 - Model</v>
          </cell>
          <cell r="J4155" t="str">
            <v>Ecommerce (US)</v>
          </cell>
          <cell r="K4155" t="str">
            <v>Brand Marketing</v>
          </cell>
          <cell r="L4155" t="str">
            <v>Advertising</v>
          </cell>
          <cell r="N4155" t="str">
            <v>SG&amp;A</v>
          </cell>
          <cell r="O4155" t="str">
            <v>State Artist Management</v>
          </cell>
        </row>
        <row r="4156">
          <cell r="D4156">
            <v>240</v>
          </cell>
          <cell r="H4156">
            <v>45566</v>
          </cell>
          <cell r="I4156" t="str">
            <v>6360 - Model - Fitting</v>
          </cell>
          <cell r="J4156">
            <v>0</v>
          </cell>
          <cell r="K4156" t="str">
            <v>Production</v>
          </cell>
          <cell r="L4156" t="str">
            <v>Sample</v>
          </cell>
          <cell r="N4156" t="str">
            <v>SG&amp;A</v>
          </cell>
          <cell r="O4156" t="str">
            <v>Bridge Models Limited</v>
          </cell>
        </row>
        <row r="4157">
          <cell r="D4157">
            <v>100</v>
          </cell>
          <cell r="H4157">
            <v>45566</v>
          </cell>
          <cell r="I4157" t="str">
            <v>6360 - Model - Fitting</v>
          </cell>
          <cell r="J4157" t="str">
            <v>Wholesale</v>
          </cell>
          <cell r="K4157" t="str">
            <v>Production</v>
          </cell>
          <cell r="L4157" t="str">
            <v>Sample</v>
          </cell>
          <cell r="N4157" t="str">
            <v>SG&amp;A</v>
          </cell>
          <cell r="O4157" t="str">
            <v>Lamar J Ballard</v>
          </cell>
        </row>
        <row r="4158">
          <cell r="D4158">
            <v>1437.5</v>
          </cell>
          <cell r="H4158">
            <v>45566</v>
          </cell>
          <cell r="I4158" t="str">
            <v>6380 - Legal &amp; Accounting</v>
          </cell>
          <cell r="J4158">
            <v>0</v>
          </cell>
          <cell r="K4158" t="str">
            <v>Administration</v>
          </cell>
          <cell r="L4158" t="str">
            <v>Professional Service</v>
          </cell>
          <cell r="N4158" t="str">
            <v>SG&amp;A</v>
          </cell>
          <cell r="O4158" t="str">
            <v>Greenwald Doherty LLP</v>
          </cell>
        </row>
        <row r="4159">
          <cell r="D4159">
            <v>2584.1999999999998</v>
          </cell>
          <cell r="H4159">
            <v>45566</v>
          </cell>
          <cell r="I4159" t="str">
            <v>6370 - Samples</v>
          </cell>
          <cell r="J4159" t="str">
            <v>Ecommerce (US)</v>
          </cell>
          <cell r="K4159" t="str">
            <v>Production</v>
          </cell>
          <cell r="L4159" t="str">
            <v>Sample</v>
          </cell>
          <cell r="N4159" t="str">
            <v>SG&amp;A</v>
          </cell>
          <cell r="O4159" t="str">
            <v>Xiamen Fynex Imp&amp;Exp Co. LTD</v>
          </cell>
        </row>
        <row r="4160">
          <cell r="D4160">
            <v>640.42999999999995</v>
          </cell>
          <cell r="H4160">
            <v>45566</v>
          </cell>
          <cell r="I4160" t="str">
            <v>6400 - Utilities</v>
          </cell>
          <cell r="J4160">
            <v>0</v>
          </cell>
          <cell r="K4160" t="str">
            <v>Administration</v>
          </cell>
          <cell r="L4160" t="str">
            <v>Other</v>
          </cell>
          <cell r="N4160" t="str">
            <v>SG&amp;A</v>
          </cell>
          <cell r="O4160" t="str">
            <v>Antelope LLC</v>
          </cell>
        </row>
        <row r="4161">
          <cell r="D4161">
            <v>7500</v>
          </cell>
          <cell r="H4161">
            <v>45566</v>
          </cell>
          <cell r="I4161" t="str">
            <v>6225 - Professional Services</v>
          </cell>
          <cell r="J4161">
            <v>0</v>
          </cell>
          <cell r="K4161" t="str">
            <v>Brand Marketing</v>
          </cell>
          <cell r="L4161" t="str">
            <v>Professional Service</v>
          </cell>
          <cell r="N4161" t="str">
            <v>Direct Costs</v>
          </cell>
          <cell r="O4161" t="str">
            <v>PapePR</v>
          </cell>
        </row>
        <row r="4162">
          <cell r="D4162">
            <v>3920.5</v>
          </cell>
          <cell r="H4162">
            <v>45566</v>
          </cell>
          <cell r="I4162" t="str">
            <v>6225 - Professional Services</v>
          </cell>
          <cell r="J4162">
            <v>0</v>
          </cell>
          <cell r="K4162" t="str">
            <v>Administration</v>
          </cell>
          <cell r="L4162" t="str">
            <v>Professional Service</v>
          </cell>
          <cell r="N4162" t="str">
            <v>Direct Costs</v>
          </cell>
          <cell r="O4162" t="str">
            <v>Enom Solutions, Inc-DBA 3nom</v>
          </cell>
        </row>
        <row r="4163">
          <cell r="D4163">
            <v>13530.97</v>
          </cell>
          <cell r="H4163">
            <v>45566</v>
          </cell>
          <cell r="I4163" t="str">
            <v>6225 - Professional Services</v>
          </cell>
          <cell r="J4163" t="str">
            <v>Ecommerce (US)</v>
          </cell>
          <cell r="K4163" t="str">
            <v>Ecommerce</v>
          </cell>
          <cell r="L4163" t="str">
            <v>Professional Service</v>
          </cell>
          <cell r="N4163" t="str">
            <v>Direct Costs</v>
          </cell>
          <cell r="O4163" t="str">
            <v>Rareview, LLC</v>
          </cell>
        </row>
        <row r="4164">
          <cell r="D4164">
            <v>29236.67</v>
          </cell>
          <cell r="H4164">
            <v>45566</v>
          </cell>
          <cell r="I4164" t="str">
            <v>6320 - Building Rent</v>
          </cell>
          <cell r="J4164">
            <v>0</v>
          </cell>
          <cell r="K4164" t="str">
            <v>Administration</v>
          </cell>
          <cell r="L4164" t="str">
            <v>Rent</v>
          </cell>
          <cell r="N4164" t="str">
            <v>SG&amp;A</v>
          </cell>
          <cell r="O4164" t="str">
            <v>Antelope LLC</v>
          </cell>
        </row>
        <row r="4165">
          <cell r="D4165">
            <v>25</v>
          </cell>
          <cell r="H4165">
            <v>45566</v>
          </cell>
          <cell r="I4165" t="str">
            <v>6040 - Employer Paid Benefits</v>
          </cell>
          <cell r="J4165">
            <v>0</v>
          </cell>
          <cell r="K4165" t="str">
            <v>Administration</v>
          </cell>
          <cell r="L4165" t="str">
            <v>HQ Salaries</v>
          </cell>
          <cell r="N4165" t="str">
            <v>SG&amp;A</v>
          </cell>
          <cell r="O4165" t="str">
            <v>Lifetime Benefit Solutions, Inc</v>
          </cell>
        </row>
        <row r="4166">
          <cell r="D4166">
            <v>1633.9</v>
          </cell>
          <cell r="H4166">
            <v>45566</v>
          </cell>
          <cell r="I4166" t="str">
            <v>6040 - Employer Paid Benefits</v>
          </cell>
          <cell r="J4166" t="str">
            <v>Wholesale</v>
          </cell>
          <cell r="K4166" t="str">
            <v>Wholesale</v>
          </cell>
          <cell r="L4166" t="str">
            <v>HQ Salaries</v>
          </cell>
          <cell r="N4166" t="str">
            <v>SG&amp;A</v>
          </cell>
          <cell r="O4166" t="str">
            <v>Excellus Health Plan - Group</v>
          </cell>
        </row>
        <row r="4167">
          <cell r="D4167">
            <v>3839.66</v>
          </cell>
          <cell r="H4167">
            <v>45566</v>
          </cell>
          <cell r="I4167" t="str">
            <v>6040 - Employer Paid Benefits</v>
          </cell>
          <cell r="J4167">
            <v>0</v>
          </cell>
          <cell r="K4167" t="str">
            <v>Production</v>
          </cell>
          <cell r="L4167" t="str">
            <v>HQ Salaries</v>
          </cell>
          <cell r="N4167" t="str">
            <v>SG&amp;A</v>
          </cell>
          <cell r="O4167" t="str">
            <v>Excellus Health Plan - Group</v>
          </cell>
        </row>
        <row r="4168">
          <cell r="D4168">
            <v>816.95</v>
          </cell>
          <cell r="H4168">
            <v>45566</v>
          </cell>
          <cell r="I4168" t="str">
            <v>6040 - Employer Paid Benefits</v>
          </cell>
          <cell r="J4168">
            <v>0</v>
          </cell>
          <cell r="K4168" t="str">
            <v>Merchandising</v>
          </cell>
          <cell r="L4168" t="str">
            <v>HQ Salaries</v>
          </cell>
          <cell r="N4168" t="str">
            <v>SG&amp;A</v>
          </cell>
          <cell r="O4168" t="str">
            <v>Excellus Health Plan - Group</v>
          </cell>
        </row>
        <row r="4169">
          <cell r="D4169">
            <v>816.95</v>
          </cell>
          <cell r="H4169">
            <v>45566</v>
          </cell>
          <cell r="I4169" t="str">
            <v>6040 - Employer Paid Benefits</v>
          </cell>
          <cell r="J4169">
            <v>0</v>
          </cell>
          <cell r="K4169" t="str">
            <v>Brand Marketing</v>
          </cell>
          <cell r="L4169" t="str">
            <v>HQ Salaries</v>
          </cell>
          <cell r="N4169" t="str">
            <v>SG&amp;A</v>
          </cell>
          <cell r="O4169" t="str">
            <v>Excellus Health Plan - Group</v>
          </cell>
        </row>
        <row r="4170">
          <cell r="D4170">
            <v>4656.6000000000004</v>
          </cell>
          <cell r="H4170">
            <v>45566</v>
          </cell>
          <cell r="I4170" t="str">
            <v>6040 - Employer Paid Benefits</v>
          </cell>
          <cell r="J4170">
            <v>0</v>
          </cell>
          <cell r="K4170" t="str">
            <v>Executive</v>
          </cell>
          <cell r="L4170" t="str">
            <v>HQ Salaries</v>
          </cell>
          <cell r="N4170" t="str">
            <v>SG&amp;A</v>
          </cell>
          <cell r="O4170" t="str">
            <v>Excellus Health Plan - Group</v>
          </cell>
        </row>
        <row r="4171">
          <cell r="D4171">
            <v>3145.25</v>
          </cell>
          <cell r="H4171">
            <v>45566</v>
          </cell>
          <cell r="I4171" t="str">
            <v>6040 - Employer Paid Benefits</v>
          </cell>
          <cell r="J4171" t="str">
            <v>Ecommerce (US)</v>
          </cell>
          <cell r="K4171" t="str">
            <v>Ecommerce</v>
          </cell>
          <cell r="L4171" t="str">
            <v>HQ Salaries</v>
          </cell>
          <cell r="N4171" t="str">
            <v>SG&amp;A</v>
          </cell>
          <cell r="O4171" t="str">
            <v>Excellus Health Plan - Group</v>
          </cell>
        </row>
        <row r="4172">
          <cell r="D4172">
            <v>3267.79</v>
          </cell>
          <cell r="H4172">
            <v>45566</v>
          </cell>
          <cell r="I4172" t="str">
            <v>6040 - Employer Paid Benefits</v>
          </cell>
          <cell r="J4172">
            <v>0</v>
          </cell>
          <cell r="K4172" t="str">
            <v>Design</v>
          </cell>
          <cell r="L4172" t="str">
            <v>HQ Salaries</v>
          </cell>
          <cell r="N4172" t="str">
            <v>SG&amp;A</v>
          </cell>
          <cell r="O4172" t="str">
            <v>Excellus Health Plan - Group</v>
          </cell>
        </row>
        <row r="4173">
          <cell r="D4173">
            <v>5351.01</v>
          </cell>
          <cell r="H4173">
            <v>45566</v>
          </cell>
          <cell r="I4173" t="str">
            <v>6040 - Employer Paid Benefits</v>
          </cell>
          <cell r="J4173">
            <v>0</v>
          </cell>
          <cell r="K4173" t="str">
            <v>Administration</v>
          </cell>
          <cell r="L4173" t="str">
            <v>HQ Salaries</v>
          </cell>
          <cell r="N4173" t="str">
            <v>SG&amp;A</v>
          </cell>
          <cell r="O4173" t="str">
            <v>Excellus Health Plan - Group</v>
          </cell>
        </row>
        <row r="4174">
          <cell r="D4174">
            <v>110.41</v>
          </cell>
          <cell r="H4174">
            <v>45566</v>
          </cell>
          <cell r="I4174" t="str">
            <v>6040 - Employer Paid Benefits</v>
          </cell>
          <cell r="J4174" t="str">
            <v>Wholesale</v>
          </cell>
          <cell r="K4174" t="str">
            <v>Wholesale</v>
          </cell>
          <cell r="L4174" t="str">
            <v>HQ Salaries</v>
          </cell>
          <cell r="N4174" t="str">
            <v>SG&amp;A</v>
          </cell>
          <cell r="O4174" t="str">
            <v>United of Omaha Life Insurance Company</v>
          </cell>
        </row>
        <row r="4175">
          <cell r="D4175">
            <v>309.77</v>
          </cell>
          <cell r="H4175">
            <v>45566</v>
          </cell>
          <cell r="I4175" t="str">
            <v>6040 - Employer Paid Benefits</v>
          </cell>
          <cell r="J4175">
            <v>0</v>
          </cell>
          <cell r="K4175" t="str">
            <v>Production</v>
          </cell>
          <cell r="L4175" t="str">
            <v>HQ Salaries</v>
          </cell>
          <cell r="N4175" t="str">
            <v>SG&amp;A</v>
          </cell>
          <cell r="O4175" t="str">
            <v>United of Omaha Life Insurance Company</v>
          </cell>
        </row>
        <row r="4176">
          <cell r="D4176">
            <v>86.43</v>
          </cell>
          <cell r="H4176">
            <v>45566</v>
          </cell>
          <cell r="I4176" t="str">
            <v>6040 - Employer Paid Benefits</v>
          </cell>
          <cell r="J4176">
            <v>0</v>
          </cell>
          <cell r="K4176" t="str">
            <v>Merchandising</v>
          </cell>
          <cell r="L4176" t="str">
            <v>HQ Salaries</v>
          </cell>
          <cell r="N4176" t="str">
            <v>SG&amp;A</v>
          </cell>
          <cell r="O4176" t="str">
            <v>United of Omaha Life Insurance Company</v>
          </cell>
        </row>
        <row r="4177">
          <cell r="D4177">
            <v>47.05</v>
          </cell>
          <cell r="H4177">
            <v>45566</v>
          </cell>
          <cell r="I4177" t="str">
            <v>6040 - Employer Paid Benefits</v>
          </cell>
          <cell r="J4177">
            <v>0</v>
          </cell>
          <cell r="K4177" t="str">
            <v>Brand Marketing</v>
          </cell>
          <cell r="L4177" t="str">
            <v>HQ Salaries</v>
          </cell>
          <cell r="N4177" t="str">
            <v>SG&amp;A</v>
          </cell>
          <cell r="O4177" t="str">
            <v>United of Omaha Life Insurance Company</v>
          </cell>
        </row>
        <row r="4178">
          <cell r="D4178">
            <v>243.56</v>
          </cell>
          <cell r="H4178">
            <v>45566</v>
          </cell>
          <cell r="I4178" t="str">
            <v>6040 - Employer Paid Benefits</v>
          </cell>
          <cell r="J4178">
            <v>0</v>
          </cell>
          <cell r="K4178" t="str">
            <v>Executive</v>
          </cell>
          <cell r="L4178" t="str">
            <v>HQ Salaries</v>
          </cell>
          <cell r="N4178" t="str">
            <v>SG&amp;A</v>
          </cell>
          <cell r="O4178" t="str">
            <v>United of Omaha Life Insurance Company</v>
          </cell>
        </row>
        <row r="4179">
          <cell r="D4179">
            <v>173.02</v>
          </cell>
          <cell r="H4179">
            <v>45566</v>
          </cell>
          <cell r="I4179" t="str">
            <v>6040 - Employer Paid Benefits</v>
          </cell>
          <cell r="J4179" t="str">
            <v>Ecommerce (US)</v>
          </cell>
          <cell r="K4179" t="str">
            <v>Ecommerce</v>
          </cell>
          <cell r="L4179" t="str">
            <v>HQ Salaries</v>
          </cell>
          <cell r="N4179" t="str">
            <v>SG&amp;A</v>
          </cell>
          <cell r="O4179" t="str">
            <v>United of Omaha Life Insurance Company</v>
          </cell>
        </row>
        <row r="4180">
          <cell r="D4180">
            <v>223.89</v>
          </cell>
          <cell r="H4180">
            <v>45566</v>
          </cell>
          <cell r="I4180" t="str">
            <v>6040 - Employer Paid Benefits</v>
          </cell>
          <cell r="J4180">
            <v>0</v>
          </cell>
          <cell r="K4180" t="str">
            <v>Design</v>
          </cell>
          <cell r="L4180" t="str">
            <v>HQ Salaries</v>
          </cell>
          <cell r="N4180" t="str">
            <v>SG&amp;A</v>
          </cell>
          <cell r="O4180" t="str">
            <v>United of Omaha Life Insurance Company</v>
          </cell>
        </row>
        <row r="4181">
          <cell r="D4181">
            <v>446.07</v>
          </cell>
          <cell r="H4181">
            <v>45566</v>
          </cell>
          <cell r="I4181" t="str">
            <v>6040 - Employer Paid Benefits</v>
          </cell>
          <cell r="J4181">
            <v>0</v>
          </cell>
          <cell r="K4181" t="str">
            <v>Administration</v>
          </cell>
          <cell r="L4181" t="str">
            <v>HQ Salaries</v>
          </cell>
          <cell r="N4181" t="str">
            <v>SG&amp;A</v>
          </cell>
          <cell r="O4181" t="str">
            <v>United of Omaha Life Insurance Company</v>
          </cell>
        </row>
        <row r="4182">
          <cell r="D4182">
            <v>24.54</v>
          </cell>
          <cell r="H4182">
            <v>45566</v>
          </cell>
          <cell r="I4182" t="str">
            <v>6040 - Employer Paid Benefits</v>
          </cell>
          <cell r="J4182" t="str">
            <v>Wholesale</v>
          </cell>
          <cell r="K4182" t="str">
            <v>Wholesale</v>
          </cell>
          <cell r="L4182" t="str">
            <v>HQ Salaries</v>
          </cell>
          <cell r="N4182" t="str">
            <v>SG&amp;A</v>
          </cell>
          <cell r="O4182" t="str">
            <v>Allied Administrators</v>
          </cell>
        </row>
        <row r="4183">
          <cell r="D4183">
            <v>125.91</v>
          </cell>
          <cell r="H4183">
            <v>45566</v>
          </cell>
          <cell r="I4183" t="str">
            <v>6040 - Employer Paid Benefits</v>
          </cell>
          <cell r="J4183">
            <v>0</v>
          </cell>
          <cell r="K4183" t="str">
            <v>Production</v>
          </cell>
          <cell r="L4183" t="str">
            <v>HQ Salaries</v>
          </cell>
          <cell r="N4183" t="str">
            <v>SG&amp;A</v>
          </cell>
          <cell r="O4183" t="str">
            <v>Allied Administrators</v>
          </cell>
        </row>
        <row r="4184">
          <cell r="D4184">
            <v>24.54</v>
          </cell>
          <cell r="H4184">
            <v>45566</v>
          </cell>
          <cell r="I4184" t="str">
            <v>6040 - Employer Paid Benefits</v>
          </cell>
          <cell r="J4184">
            <v>0</v>
          </cell>
          <cell r="K4184" t="str">
            <v>Merchandising</v>
          </cell>
          <cell r="L4184" t="str">
            <v>HQ Salaries</v>
          </cell>
          <cell r="N4184" t="str">
            <v>SG&amp;A</v>
          </cell>
          <cell r="O4184" t="str">
            <v>Allied Administrators</v>
          </cell>
        </row>
        <row r="4185">
          <cell r="D4185">
            <v>76.83</v>
          </cell>
          <cell r="H4185">
            <v>45566</v>
          </cell>
          <cell r="I4185" t="str">
            <v>6040 - Employer Paid Benefits</v>
          </cell>
          <cell r="J4185" t="str">
            <v>Ecommerce (US)</v>
          </cell>
          <cell r="K4185" t="str">
            <v>Ecommerce</v>
          </cell>
          <cell r="L4185" t="str">
            <v>HQ Salaries</v>
          </cell>
          <cell r="N4185" t="str">
            <v>SG&amp;A</v>
          </cell>
          <cell r="O4185" t="str">
            <v>Allied Administrators</v>
          </cell>
        </row>
        <row r="4186">
          <cell r="D4186">
            <v>218.7</v>
          </cell>
          <cell r="H4186">
            <v>45566</v>
          </cell>
          <cell r="I4186" t="str">
            <v>6040 - Employer Paid Benefits</v>
          </cell>
          <cell r="J4186">
            <v>0</v>
          </cell>
          <cell r="K4186" t="str">
            <v>Executive</v>
          </cell>
          <cell r="L4186" t="str">
            <v>HQ Salaries</v>
          </cell>
          <cell r="N4186" t="str">
            <v>SG&amp;A</v>
          </cell>
          <cell r="O4186" t="str">
            <v>Allied Administrators</v>
          </cell>
        </row>
        <row r="4187">
          <cell r="D4187">
            <v>101.37</v>
          </cell>
          <cell r="H4187">
            <v>45566</v>
          </cell>
          <cell r="I4187" t="str">
            <v>6040 - Employer Paid Benefits</v>
          </cell>
          <cell r="J4187">
            <v>0</v>
          </cell>
          <cell r="K4187" t="str">
            <v>Design</v>
          </cell>
          <cell r="L4187" t="str">
            <v>HQ Salaries</v>
          </cell>
          <cell r="N4187" t="str">
            <v>SG&amp;A</v>
          </cell>
          <cell r="O4187" t="str">
            <v>Allied Administrators</v>
          </cell>
        </row>
        <row r="4188">
          <cell r="D4188">
            <v>-21987.34</v>
          </cell>
          <cell r="H4188">
            <v>45566</v>
          </cell>
          <cell r="I4188" t="str">
            <v>6005 - Salaries</v>
          </cell>
          <cell r="J4188">
            <v>0</v>
          </cell>
          <cell r="K4188" t="str">
            <v>Production</v>
          </cell>
          <cell r="L4188" t="str">
            <v>HQ Salaries</v>
          </cell>
          <cell r="N4188" t="str">
            <v>SG&amp;A</v>
          </cell>
          <cell r="O4188" t="str">
            <v>[No Vendor]</v>
          </cell>
        </row>
        <row r="4189">
          <cell r="D4189">
            <v>-22218.62</v>
          </cell>
          <cell r="H4189">
            <v>45566</v>
          </cell>
          <cell r="I4189" t="str">
            <v>6393 - Software</v>
          </cell>
          <cell r="J4189" t="str">
            <v>Ecommerce (US)</v>
          </cell>
          <cell r="K4189" t="str">
            <v>Brand Marketing</v>
          </cell>
          <cell r="L4189" t="str">
            <v>Professional Service</v>
          </cell>
          <cell r="N4189" t="str">
            <v>Direct Costs</v>
          </cell>
          <cell r="O4189" t="str">
            <v>Attentive Mobile Inc.</v>
          </cell>
        </row>
        <row r="4190">
          <cell r="D4190">
            <v>0</v>
          </cell>
          <cell r="H4190">
            <v>45566</v>
          </cell>
          <cell r="I4190" t="str">
            <v>6205 - Contractors</v>
          </cell>
          <cell r="J4190">
            <v>0</v>
          </cell>
          <cell r="K4190" t="str">
            <v>Brand Marketing</v>
          </cell>
          <cell r="L4190" t="str">
            <v>HQ Salaries</v>
          </cell>
          <cell r="N4190" t="str">
            <v>SG&amp;A</v>
          </cell>
          <cell r="O4190" t="str">
            <v>[No Vendor]</v>
          </cell>
        </row>
        <row r="4191">
          <cell r="D4191">
            <v>-5959.25</v>
          </cell>
          <cell r="H4191">
            <v>45566</v>
          </cell>
          <cell r="I4191" t="str">
            <v>6205 - Contractors</v>
          </cell>
          <cell r="J4191" t="str">
            <v>Ecommerce (US)</v>
          </cell>
          <cell r="K4191" t="str">
            <v>Ecommerce</v>
          </cell>
          <cell r="L4191" t="str">
            <v>HQ Salaries</v>
          </cell>
          <cell r="N4191" t="str">
            <v>SG&amp;A</v>
          </cell>
          <cell r="O4191" t="str">
            <v>[No Vendor]</v>
          </cell>
        </row>
        <row r="4192">
          <cell r="D4192">
            <v>-3133.9</v>
          </cell>
          <cell r="H4192">
            <v>45566</v>
          </cell>
          <cell r="I4192" t="str">
            <v>6205 - Contractors</v>
          </cell>
          <cell r="J4192">
            <v>0</v>
          </cell>
          <cell r="K4192" t="str">
            <v>Design</v>
          </cell>
          <cell r="L4192" t="str">
            <v>HQ Salaries</v>
          </cell>
          <cell r="N4192" t="str">
            <v>SG&amp;A</v>
          </cell>
          <cell r="O4192" t="str">
            <v>[No Vendor]</v>
          </cell>
        </row>
        <row r="4193">
          <cell r="D4193">
            <v>14.73</v>
          </cell>
          <cell r="H4193">
            <v>45566</v>
          </cell>
          <cell r="I4193" t="str">
            <v>6385 - Insurance</v>
          </cell>
          <cell r="J4193">
            <v>0</v>
          </cell>
          <cell r="K4193" t="str">
            <v>Administration</v>
          </cell>
          <cell r="L4193" t="str">
            <v>Professional Service</v>
          </cell>
          <cell r="N4193" t="str">
            <v>SG&amp;A</v>
          </cell>
          <cell r="O4193" t="str">
            <v>[No Vendor]</v>
          </cell>
        </row>
        <row r="4194">
          <cell r="D4194">
            <v>47.08</v>
          </cell>
          <cell r="H4194">
            <v>45566</v>
          </cell>
          <cell r="I4194" t="str">
            <v>6385 - Insurance</v>
          </cell>
          <cell r="J4194">
            <v>0</v>
          </cell>
          <cell r="K4194" t="str">
            <v>Administration</v>
          </cell>
          <cell r="L4194" t="str">
            <v>Professional Service</v>
          </cell>
          <cell r="N4194" t="str">
            <v>SG&amp;A</v>
          </cell>
          <cell r="O4194" t="str">
            <v>[No Vendor]</v>
          </cell>
        </row>
        <row r="4195">
          <cell r="D4195">
            <v>26.9</v>
          </cell>
          <cell r="H4195">
            <v>45566</v>
          </cell>
          <cell r="I4195" t="str">
            <v>6385 - Insurance</v>
          </cell>
          <cell r="J4195">
            <v>0</v>
          </cell>
          <cell r="K4195" t="str">
            <v>Administration</v>
          </cell>
          <cell r="L4195" t="str">
            <v>Professional Service</v>
          </cell>
          <cell r="N4195" t="str">
            <v>SG&amp;A</v>
          </cell>
          <cell r="O4195" t="str">
            <v>[No Vendor]</v>
          </cell>
        </row>
        <row r="4196">
          <cell r="D4196">
            <v>43.46</v>
          </cell>
          <cell r="H4196">
            <v>45566</v>
          </cell>
          <cell r="I4196" t="str">
            <v>6385 - Insurance</v>
          </cell>
          <cell r="J4196">
            <v>0</v>
          </cell>
          <cell r="K4196" t="str">
            <v>Administration</v>
          </cell>
          <cell r="L4196" t="str">
            <v>Professional Service</v>
          </cell>
          <cell r="N4196" t="str">
            <v>SG&amp;A</v>
          </cell>
          <cell r="O4196" t="str">
            <v>[No Vendor]</v>
          </cell>
        </row>
        <row r="4197">
          <cell r="D4197">
            <v>44.26</v>
          </cell>
          <cell r="H4197">
            <v>45566</v>
          </cell>
          <cell r="I4197" t="str">
            <v>6385 - Insurance</v>
          </cell>
          <cell r="J4197">
            <v>0</v>
          </cell>
          <cell r="K4197" t="str">
            <v>Administration</v>
          </cell>
          <cell r="L4197" t="str">
            <v>Professional Service</v>
          </cell>
          <cell r="N4197" t="str">
            <v>SG&amp;A</v>
          </cell>
          <cell r="O4197" t="str">
            <v>[No Vendor]</v>
          </cell>
        </row>
        <row r="4198">
          <cell r="D4198">
            <v>1.32</v>
          </cell>
          <cell r="H4198">
            <v>45566</v>
          </cell>
          <cell r="I4198" t="str">
            <v>6385 - Insurance</v>
          </cell>
          <cell r="J4198">
            <v>0</v>
          </cell>
          <cell r="K4198" t="str">
            <v>Administration</v>
          </cell>
          <cell r="L4198" t="str">
            <v>Professional Service</v>
          </cell>
          <cell r="N4198" t="str">
            <v>SG&amp;A</v>
          </cell>
          <cell r="O4198" t="str">
            <v>[No Vendor]</v>
          </cell>
        </row>
        <row r="4199">
          <cell r="D4199">
            <v>14.48</v>
          </cell>
          <cell r="H4199">
            <v>45566</v>
          </cell>
          <cell r="I4199" t="str">
            <v>6385 - Insurance</v>
          </cell>
          <cell r="J4199">
            <v>0</v>
          </cell>
          <cell r="K4199" t="str">
            <v>Administration</v>
          </cell>
          <cell r="L4199" t="str">
            <v>Professional Service</v>
          </cell>
          <cell r="N4199" t="str">
            <v>SG&amp;A</v>
          </cell>
          <cell r="O4199" t="str">
            <v>[No Vendor]</v>
          </cell>
        </row>
        <row r="4200">
          <cell r="D4200">
            <v>32.520000000000003</v>
          </cell>
          <cell r="H4200">
            <v>45566</v>
          </cell>
          <cell r="I4200" t="str">
            <v>6385 - Insurance</v>
          </cell>
          <cell r="J4200">
            <v>0</v>
          </cell>
          <cell r="K4200" t="str">
            <v>Administration</v>
          </cell>
          <cell r="L4200" t="str">
            <v>Professional Service</v>
          </cell>
          <cell r="N4200" t="str">
            <v>SG&amp;A</v>
          </cell>
          <cell r="O4200" t="str">
            <v>[No Vendor]</v>
          </cell>
        </row>
        <row r="4201">
          <cell r="D4201">
            <v>-640.42999999999995</v>
          </cell>
          <cell r="H4201">
            <v>45566</v>
          </cell>
          <cell r="I4201" t="str">
            <v>6400 - Utilities</v>
          </cell>
          <cell r="J4201">
            <v>0</v>
          </cell>
          <cell r="K4201" t="str">
            <v>Administration</v>
          </cell>
          <cell r="L4201" t="str">
            <v>Other</v>
          </cell>
          <cell r="N4201" t="str">
            <v>SG&amp;A</v>
          </cell>
          <cell r="O4201" t="str">
            <v>[No Vendor]</v>
          </cell>
        </row>
        <row r="4202">
          <cell r="D4202">
            <v>-1300.17</v>
          </cell>
          <cell r="H4202">
            <v>45566</v>
          </cell>
          <cell r="I4202" t="str">
            <v>6055 - Employer Social Security Tax Withheld</v>
          </cell>
          <cell r="J4202">
            <v>0</v>
          </cell>
          <cell r="K4202" t="str">
            <v>Executive</v>
          </cell>
          <cell r="L4202" t="str">
            <v>HQ Salaries</v>
          </cell>
          <cell r="N4202" t="str">
            <v>SG&amp;A</v>
          </cell>
          <cell r="O4202" t="str">
            <v>[No Vendor]</v>
          </cell>
        </row>
        <row r="4203">
          <cell r="D4203">
            <v>-1771.09</v>
          </cell>
          <cell r="H4203">
            <v>45566</v>
          </cell>
          <cell r="I4203" t="str">
            <v>6055 - Employer Social Security Tax Withheld</v>
          </cell>
          <cell r="J4203" t="str">
            <v>Ecommerce (US)</v>
          </cell>
          <cell r="K4203" t="str">
            <v>Ecommerce</v>
          </cell>
          <cell r="L4203" t="str">
            <v>HQ Salaries</v>
          </cell>
          <cell r="N4203" t="str">
            <v>SG&amp;A</v>
          </cell>
          <cell r="O4203" t="str">
            <v>[No Vendor]</v>
          </cell>
        </row>
        <row r="4204">
          <cell r="D4204">
            <v>-2433.9</v>
          </cell>
          <cell r="H4204">
            <v>45566</v>
          </cell>
          <cell r="I4204" t="str">
            <v>6055 - Employer Social Security Tax Withheld</v>
          </cell>
          <cell r="J4204">
            <v>0</v>
          </cell>
          <cell r="K4204" t="str">
            <v>Design</v>
          </cell>
          <cell r="L4204" t="str">
            <v>HQ Salaries</v>
          </cell>
          <cell r="N4204" t="str">
            <v>SG&amp;A</v>
          </cell>
          <cell r="O4204" t="str">
            <v>[No Vendor]</v>
          </cell>
        </row>
        <row r="4205">
          <cell r="D4205">
            <v>-2104.4299999999998</v>
          </cell>
          <cell r="H4205">
            <v>45566</v>
          </cell>
          <cell r="I4205" t="str">
            <v>6055 - Employer Social Security Tax Withheld</v>
          </cell>
          <cell r="J4205">
            <v>0</v>
          </cell>
          <cell r="K4205" t="str">
            <v>Administration</v>
          </cell>
          <cell r="L4205" t="str">
            <v>HQ Salaries</v>
          </cell>
          <cell r="N4205" t="str">
            <v>SG&amp;A</v>
          </cell>
          <cell r="O4205" t="str">
            <v>[No Vendor]</v>
          </cell>
        </row>
        <row r="4206">
          <cell r="D4206">
            <v>-637.32000000000005</v>
          </cell>
          <cell r="H4206">
            <v>45566</v>
          </cell>
          <cell r="I4206" t="str">
            <v>6055 - Employer Social Security Tax Withheld</v>
          </cell>
          <cell r="J4206">
            <v>0</v>
          </cell>
          <cell r="K4206" t="str">
            <v>Merchandising</v>
          </cell>
          <cell r="L4206" t="str">
            <v>HQ Salaries</v>
          </cell>
          <cell r="N4206" t="str">
            <v>SG&amp;A</v>
          </cell>
          <cell r="O4206" t="str">
            <v>[No Vendor]</v>
          </cell>
        </row>
        <row r="4207">
          <cell r="D4207">
            <v>-1222.46</v>
          </cell>
          <cell r="H4207">
            <v>45566</v>
          </cell>
          <cell r="I4207" t="str">
            <v>6055 - Employer Social Security Tax Withheld</v>
          </cell>
          <cell r="J4207" t="str">
            <v>Wholesale</v>
          </cell>
          <cell r="K4207" t="str">
            <v>Wholesale</v>
          </cell>
          <cell r="L4207" t="str">
            <v>HQ Salaries</v>
          </cell>
          <cell r="N4207" t="str">
            <v>SG&amp;A</v>
          </cell>
          <cell r="O4207" t="str">
            <v>[No Vendor]</v>
          </cell>
        </row>
        <row r="4208">
          <cell r="D4208">
            <v>-1880.37</v>
          </cell>
          <cell r="H4208">
            <v>45566</v>
          </cell>
          <cell r="I4208" t="str">
            <v>6055 - Employer Social Security Tax Withheld</v>
          </cell>
          <cell r="J4208">
            <v>0</v>
          </cell>
          <cell r="K4208" t="str">
            <v>Production</v>
          </cell>
          <cell r="L4208" t="str">
            <v>HQ Salaries</v>
          </cell>
          <cell r="N4208" t="str">
            <v>SG&amp;A</v>
          </cell>
          <cell r="O4208" t="str">
            <v>[No Vendor]</v>
          </cell>
        </row>
        <row r="4209">
          <cell r="D4209">
            <v>-402.52</v>
          </cell>
          <cell r="H4209">
            <v>45566</v>
          </cell>
          <cell r="I4209" t="str">
            <v>6055 - Employer Social Security Tax Withheld</v>
          </cell>
          <cell r="J4209">
            <v>0</v>
          </cell>
          <cell r="K4209" t="str">
            <v>Brand Marketing</v>
          </cell>
          <cell r="L4209" t="str">
            <v>HQ Salaries</v>
          </cell>
          <cell r="N4209" t="str">
            <v>SG&amp;A</v>
          </cell>
          <cell r="O4209" t="str">
            <v>[No Vendor]</v>
          </cell>
        </row>
        <row r="4210">
          <cell r="D4210">
            <v>24.84</v>
          </cell>
          <cell r="H4210">
            <v>45566</v>
          </cell>
          <cell r="I4210" t="str">
            <v>6040 - Employer Paid Benefits</v>
          </cell>
          <cell r="J4210">
            <v>0</v>
          </cell>
          <cell r="K4210" t="str">
            <v>Brand Marketing</v>
          </cell>
          <cell r="L4210" t="str">
            <v>HQ Salaries</v>
          </cell>
          <cell r="N4210" t="str">
            <v>SG&amp;A</v>
          </cell>
          <cell r="O4210" t="str">
            <v>[No Vendor]</v>
          </cell>
        </row>
        <row r="4211">
          <cell r="D4211">
            <v>257.7</v>
          </cell>
          <cell r="H4211">
            <v>45566</v>
          </cell>
          <cell r="I4211" t="str">
            <v>6040 - Employer Paid Benefits</v>
          </cell>
          <cell r="J4211">
            <v>0</v>
          </cell>
          <cell r="K4211" t="str">
            <v>Executive</v>
          </cell>
          <cell r="L4211" t="str">
            <v>HQ Salaries</v>
          </cell>
          <cell r="N4211" t="str">
            <v>SG&amp;A</v>
          </cell>
          <cell r="O4211" t="str">
            <v>[No Vendor]</v>
          </cell>
        </row>
        <row r="4212">
          <cell r="D4212">
            <v>134.04</v>
          </cell>
          <cell r="H4212">
            <v>45566</v>
          </cell>
          <cell r="I4212" t="str">
            <v>6040 - Employer Paid Benefits</v>
          </cell>
          <cell r="J4212" t="str">
            <v>Ecommerce (US)</v>
          </cell>
          <cell r="K4212" t="str">
            <v>Ecommerce</v>
          </cell>
          <cell r="L4212" t="str">
            <v>HQ Salaries</v>
          </cell>
          <cell r="N4212" t="str">
            <v>SG&amp;A</v>
          </cell>
          <cell r="O4212" t="str">
            <v>[No Vendor]</v>
          </cell>
        </row>
        <row r="4213">
          <cell r="D4213">
            <v>399.77</v>
          </cell>
          <cell r="H4213">
            <v>45566</v>
          </cell>
          <cell r="I4213" t="str">
            <v>6040 - Employer Paid Benefits</v>
          </cell>
          <cell r="J4213">
            <v>0</v>
          </cell>
          <cell r="K4213" t="str">
            <v>Design</v>
          </cell>
          <cell r="L4213" t="str">
            <v>HQ Salaries</v>
          </cell>
          <cell r="N4213" t="str">
            <v>SG&amp;A</v>
          </cell>
          <cell r="O4213" t="str">
            <v>[No Vendor]</v>
          </cell>
        </row>
        <row r="4214">
          <cell r="D4214">
            <v>220.43</v>
          </cell>
          <cell r="H4214">
            <v>45566</v>
          </cell>
          <cell r="I4214" t="str">
            <v>6040 - Employer Paid Benefits</v>
          </cell>
          <cell r="J4214">
            <v>0</v>
          </cell>
          <cell r="K4214" t="str">
            <v>Administration</v>
          </cell>
          <cell r="L4214" t="str">
            <v>HQ Salaries</v>
          </cell>
          <cell r="N4214" t="str">
            <v>SG&amp;A</v>
          </cell>
          <cell r="O4214" t="str">
            <v>[No Vendor]</v>
          </cell>
        </row>
        <row r="4215">
          <cell r="D4215">
            <v>49.68</v>
          </cell>
          <cell r="H4215">
            <v>45566</v>
          </cell>
          <cell r="I4215" t="str">
            <v>6040 - Employer Paid Benefits</v>
          </cell>
          <cell r="J4215" t="str">
            <v>Wholesale</v>
          </cell>
          <cell r="K4215" t="str">
            <v>Wholesale</v>
          </cell>
          <cell r="L4215" t="str">
            <v>HQ Salaries</v>
          </cell>
          <cell r="N4215" t="str">
            <v>SG&amp;A</v>
          </cell>
          <cell r="O4215" t="str">
            <v>[No Vendor]</v>
          </cell>
        </row>
        <row r="4216">
          <cell r="D4216">
            <v>309.49</v>
          </cell>
          <cell r="H4216">
            <v>45566</v>
          </cell>
          <cell r="I4216" t="str">
            <v>6040 - Employer Paid Benefits</v>
          </cell>
          <cell r="J4216">
            <v>0</v>
          </cell>
          <cell r="K4216" t="str">
            <v>Production</v>
          </cell>
          <cell r="L4216" t="str">
            <v>HQ Salaries</v>
          </cell>
          <cell r="N4216" t="str">
            <v>SG&amp;A</v>
          </cell>
          <cell r="O4216" t="str">
            <v>[No Vendor]</v>
          </cell>
        </row>
        <row r="4217">
          <cell r="D4217">
            <v>-3596.16</v>
          </cell>
          <cell r="H4217">
            <v>45566</v>
          </cell>
          <cell r="I4217" t="str">
            <v>6005 - Salaries</v>
          </cell>
          <cell r="J4217">
            <v>0</v>
          </cell>
          <cell r="K4217" t="str">
            <v>Brand Marketing</v>
          </cell>
          <cell r="L4217" t="str">
            <v>HQ Salaries</v>
          </cell>
          <cell r="N4217" t="str">
            <v>SG&amp;A</v>
          </cell>
          <cell r="O4217" t="str">
            <v>[No Vendor]</v>
          </cell>
        </row>
        <row r="4218">
          <cell r="D4218">
            <v>-12269.24</v>
          </cell>
          <cell r="H4218">
            <v>45566</v>
          </cell>
          <cell r="I4218" t="str">
            <v>6005 - Salaries</v>
          </cell>
          <cell r="J4218">
            <v>0</v>
          </cell>
          <cell r="K4218" t="str">
            <v>Executive</v>
          </cell>
          <cell r="L4218" t="str">
            <v>HQ Salaries</v>
          </cell>
          <cell r="N4218" t="str">
            <v>SG&amp;A</v>
          </cell>
          <cell r="O4218" t="str">
            <v>[No Vendor]</v>
          </cell>
        </row>
        <row r="4219">
          <cell r="D4219">
            <v>-22317.13</v>
          </cell>
          <cell r="H4219">
            <v>45566</v>
          </cell>
          <cell r="I4219" t="str">
            <v>6005 - Salaries</v>
          </cell>
          <cell r="J4219" t="str">
            <v>Ecommerce (US)</v>
          </cell>
          <cell r="K4219" t="str">
            <v>Ecommerce</v>
          </cell>
          <cell r="L4219" t="str">
            <v>HQ Salaries</v>
          </cell>
          <cell r="N4219" t="str">
            <v>SG&amp;A</v>
          </cell>
          <cell r="O4219" t="str">
            <v>[No Vendor]</v>
          </cell>
        </row>
        <row r="4220">
          <cell r="D4220">
            <v>-22658.57</v>
          </cell>
          <cell r="H4220">
            <v>45566</v>
          </cell>
          <cell r="I4220" t="str">
            <v>6005 - Salaries</v>
          </cell>
          <cell r="J4220">
            <v>0</v>
          </cell>
          <cell r="K4220" t="str">
            <v>Design</v>
          </cell>
          <cell r="L4220" t="str">
            <v>HQ Salaries</v>
          </cell>
          <cell r="N4220" t="str">
            <v>SG&amp;A</v>
          </cell>
          <cell r="O4220" t="str">
            <v>[No Vendor]</v>
          </cell>
        </row>
        <row r="4221">
          <cell r="D4221">
            <v>-28726.95</v>
          </cell>
          <cell r="H4221">
            <v>45566</v>
          </cell>
          <cell r="I4221" t="str">
            <v>6005 - Salaries</v>
          </cell>
          <cell r="J4221">
            <v>0</v>
          </cell>
          <cell r="K4221" t="str">
            <v>Administration</v>
          </cell>
          <cell r="L4221" t="str">
            <v>HQ Salaries</v>
          </cell>
          <cell r="N4221" t="str">
            <v>SG&amp;A</v>
          </cell>
          <cell r="O4221" t="str">
            <v>[No Vendor]</v>
          </cell>
        </row>
        <row r="4222">
          <cell r="D4222">
            <v>-5665</v>
          </cell>
          <cell r="H4222">
            <v>45566</v>
          </cell>
          <cell r="I4222" t="str">
            <v>6005 - Salaries</v>
          </cell>
          <cell r="J4222">
            <v>0</v>
          </cell>
          <cell r="K4222" t="str">
            <v>Merchandising</v>
          </cell>
          <cell r="L4222" t="str">
            <v>HQ Salaries</v>
          </cell>
          <cell r="N4222" t="str">
            <v>SG&amp;A</v>
          </cell>
          <cell r="O4222" t="str">
            <v>[No Vendor]</v>
          </cell>
        </row>
        <row r="4223">
          <cell r="D4223">
            <v>-10902.71</v>
          </cell>
          <cell r="H4223">
            <v>45566</v>
          </cell>
          <cell r="I4223" t="str">
            <v>6005 - Salaries</v>
          </cell>
          <cell r="J4223" t="str">
            <v>Wholesale</v>
          </cell>
          <cell r="K4223" t="str">
            <v>Wholesale</v>
          </cell>
          <cell r="L4223" t="str">
            <v>HQ Salaries</v>
          </cell>
          <cell r="N4223" t="str">
            <v>SG&amp;A</v>
          </cell>
          <cell r="O4223" t="str">
            <v>[No Vendor]</v>
          </cell>
        </row>
        <row r="4224">
          <cell r="D4224">
            <v>255</v>
          </cell>
          <cell r="H4224">
            <v>45566</v>
          </cell>
          <cell r="I4224" t="str">
            <v>6040 - Employer Paid Benefits</v>
          </cell>
          <cell r="J4224">
            <v>0</v>
          </cell>
          <cell r="K4224" t="str">
            <v>Design</v>
          </cell>
          <cell r="L4224" t="str">
            <v>HQ Salaries</v>
          </cell>
          <cell r="N4224" t="str">
            <v>SG&amp;A</v>
          </cell>
          <cell r="O4224" t="str">
            <v>Procyon Benefits LLC</v>
          </cell>
        </row>
        <row r="4225">
          <cell r="D4225">
            <v>146442.6</v>
          </cell>
          <cell r="H4225">
            <v>45566</v>
          </cell>
          <cell r="I4225" t="str">
            <v>8700 - Other Expense</v>
          </cell>
          <cell r="J4225">
            <v>0</v>
          </cell>
          <cell r="K4225" t="str">
            <v>Administration</v>
          </cell>
          <cell r="L4225" t="str">
            <v>Other Expense</v>
          </cell>
          <cell r="N4225" t="str">
            <v>BTL</v>
          </cell>
          <cell r="O4225" t="str">
            <v>Bryan Cave Leighton Paisner LLP</v>
          </cell>
        </row>
        <row r="4226">
          <cell r="D4226">
            <v>20587.71</v>
          </cell>
          <cell r="H4226">
            <v>45566</v>
          </cell>
          <cell r="I4226" t="str">
            <v>8700 - Other Expense</v>
          </cell>
          <cell r="J4226">
            <v>0</v>
          </cell>
          <cell r="K4226" t="str">
            <v>Administration</v>
          </cell>
          <cell r="L4226" t="str">
            <v>Other Expense</v>
          </cell>
          <cell r="N4226" t="str">
            <v>BTL</v>
          </cell>
          <cell r="O4226" t="str">
            <v>Bryan Cave Leighton Paisner LLP</v>
          </cell>
        </row>
        <row r="4227">
          <cell r="D4227">
            <v>190</v>
          </cell>
          <cell r="H4227">
            <v>45566</v>
          </cell>
          <cell r="I4227" t="str">
            <v>6340 - Miscellaneous Expense</v>
          </cell>
          <cell r="J4227" t="str">
            <v>Ecommerce (US)</v>
          </cell>
          <cell r="K4227" t="str">
            <v>Ecommerce</v>
          </cell>
          <cell r="L4227" t="str">
            <v>Other</v>
          </cell>
          <cell r="N4227" t="str">
            <v>SG&amp;A</v>
          </cell>
          <cell r="O4227" t="str">
            <v>Zabin Industries (Hong Kong) LTD.</v>
          </cell>
        </row>
        <row r="4228">
          <cell r="D4228">
            <v>1.31</v>
          </cell>
          <cell r="H4228">
            <v>45566</v>
          </cell>
          <cell r="I4228" t="str">
            <v>6450 - Bank &amp; Other Fees</v>
          </cell>
          <cell r="J4228">
            <v>0</v>
          </cell>
          <cell r="K4228" t="str">
            <v>Production</v>
          </cell>
          <cell r="L4228" t="str">
            <v>Professional Service</v>
          </cell>
          <cell r="N4228" t="str">
            <v>SG&amp;A</v>
          </cell>
          <cell r="O4228" t="str">
            <v>Frank Dell'Aquila</v>
          </cell>
        </row>
        <row r="4229">
          <cell r="D4229">
            <v>65</v>
          </cell>
          <cell r="H4229">
            <v>45566</v>
          </cell>
          <cell r="I4229" t="str">
            <v>6300 - Payroll Service Fees</v>
          </cell>
          <cell r="J4229">
            <v>0</v>
          </cell>
          <cell r="K4229" t="str">
            <v>Administration</v>
          </cell>
          <cell r="L4229" t="str">
            <v>Professional Service</v>
          </cell>
          <cell r="N4229" t="str">
            <v>SG&amp;A</v>
          </cell>
          <cell r="O4229" t="str">
            <v>OperationsInc, LLC</v>
          </cell>
        </row>
        <row r="4230">
          <cell r="D4230">
            <v>104.64</v>
          </cell>
          <cell r="H4230">
            <v>45566</v>
          </cell>
          <cell r="I4230" t="str">
            <v>6125 - Transportation and Fuel</v>
          </cell>
          <cell r="J4230">
            <v>0</v>
          </cell>
          <cell r="K4230" t="str">
            <v>Production</v>
          </cell>
          <cell r="L4230" t="str">
            <v>T&amp;E</v>
          </cell>
          <cell r="N4230" t="str">
            <v>SG&amp;A</v>
          </cell>
          <cell r="O4230" t="str">
            <v>Frank Dell'Aquila</v>
          </cell>
        </row>
        <row r="4231">
          <cell r="D4231">
            <v>172.06</v>
          </cell>
          <cell r="H4231">
            <v>45566</v>
          </cell>
          <cell r="I4231" t="str">
            <v>6105 - Meals</v>
          </cell>
          <cell r="J4231">
            <v>0</v>
          </cell>
          <cell r="K4231" t="str">
            <v>Production</v>
          </cell>
          <cell r="L4231" t="str">
            <v>T&amp;E</v>
          </cell>
          <cell r="N4231" t="str">
            <v>SG&amp;A</v>
          </cell>
          <cell r="O4231" t="str">
            <v>Frank Dell'Aquila</v>
          </cell>
        </row>
        <row r="4232">
          <cell r="D4232">
            <v>210.98</v>
          </cell>
          <cell r="H4232">
            <v>45566</v>
          </cell>
          <cell r="I4232" t="str">
            <v>6105 - Meals</v>
          </cell>
          <cell r="J4232">
            <v>0</v>
          </cell>
          <cell r="K4232" t="str">
            <v>Production</v>
          </cell>
          <cell r="L4232" t="str">
            <v>T&amp;E</v>
          </cell>
          <cell r="N4232" t="str">
            <v>SG&amp;A</v>
          </cell>
          <cell r="O4232" t="str">
            <v>Frank Dell'Aquila</v>
          </cell>
        </row>
        <row r="4233">
          <cell r="D4233">
            <v>140.82</v>
          </cell>
          <cell r="H4233">
            <v>45566</v>
          </cell>
          <cell r="I4233" t="str">
            <v>6105 - Meals</v>
          </cell>
          <cell r="J4233">
            <v>0</v>
          </cell>
          <cell r="K4233" t="str">
            <v>Production</v>
          </cell>
          <cell r="L4233" t="str">
            <v>T&amp;E</v>
          </cell>
          <cell r="N4233" t="str">
            <v>SG&amp;A</v>
          </cell>
          <cell r="O4233" t="str">
            <v>Frank Dell'Aquila</v>
          </cell>
        </row>
        <row r="4234">
          <cell r="D4234">
            <v>87.4</v>
          </cell>
          <cell r="H4234">
            <v>45566</v>
          </cell>
          <cell r="I4234" t="str">
            <v>6105 - Meals</v>
          </cell>
          <cell r="J4234">
            <v>0</v>
          </cell>
          <cell r="K4234" t="str">
            <v>Production</v>
          </cell>
          <cell r="L4234" t="str">
            <v>T&amp;E</v>
          </cell>
          <cell r="N4234" t="str">
            <v>SG&amp;A</v>
          </cell>
          <cell r="O4234" t="str">
            <v>Frank Dell'Aquila</v>
          </cell>
        </row>
        <row r="4235">
          <cell r="D4235">
            <v>103.27</v>
          </cell>
          <cell r="H4235">
            <v>45566</v>
          </cell>
          <cell r="I4235" t="str">
            <v>6375 - Freight Expenses</v>
          </cell>
          <cell r="J4235" t="str">
            <v>Ecommerce (US)</v>
          </cell>
          <cell r="K4235" t="str">
            <v>Ecommerce</v>
          </cell>
          <cell r="L4235" t="str">
            <v>Freight</v>
          </cell>
          <cell r="N4235" t="str">
            <v>Direct Costs</v>
          </cell>
          <cell r="O4235" t="str">
            <v>UPS Supply Chain Solutions Inc. (7F24A0)</v>
          </cell>
        </row>
        <row r="4236">
          <cell r="D4236">
            <v>26.5</v>
          </cell>
          <cell r="H4236">
            <v>45566</v>
          </cell>
          <cell r="I4236" t="str">
            <v>6040 - Employer Paid Benefits</v>
          </cell>
          <cell r="J4236">
            <v>0</v>
          </cell>
          <cell r="K4236" t="str">
            <v>Production</v>
          </cell>
          <cell r="L4236" t="str">
            <v>HQ Salaries</v>
          </cell>
          <cell r="N4236" t="str">
            <v>SG&amp;A</v>
          </cell>
          <cell r="O4236" t="str">
            <v>Procyon Benefits LLC</v>
          </cell>
        </row>
        <row r="4237">
          <cell r="D4237">
            <v>139.80000000000001</v>
          </cell>
          <cell r="H4237">
            <v>45566</v>
          </cell>
          <cell r="I4237" t="str">
            <v>6040 - Employer Paid Benefits</v>
          </cell>
          <cell r="J4237">
            <v>0</v>
          </cell>
          <cell r="K4237" t="str">
            <v>Merchandising</v>
          </cell>
          <cell r="L4237" t="str">
            <v>HQ Salaries</v>
          </cell>
          <cell r="N4237" t="str">
            <v>SG&amp;A</v>
          </cell>
          <cell r="O4237" t="str">
            <v>Procyon Benefits LLC</v>
          </cell>
        </row>
        <row r="4238">
          <cell r="D4238">
            <v>815.46</v>
          </cell>
          <cell r="H4238">
            <v>45566</v>
          </cell>
          <cell r="I4238" t="str">
            <v>6040 - Employer Paid Benefits</v>
          </cell>
          <cell r="J4238">
            <v>0</v>
          </cell>
          <cell r="K4238" t="str">
            <v>Executive</v>
          </cell>
          <cell r="L4238" t="str">
            <v>HQ Salaries</v>
          </cell>
          <cell r="N4238" t="str">
            <v>SG&amp;A</v>
          </cell>
          <cell r="O4238" t="str">
            <v>Procyon Benefits LLC</v>
          </cell>
        </row>
        <row r="4239">
          <cell r="D4239">
            <v>8164.72</v>
          </cell>
          <cell r="H4239">
            <v>45566</v>
          </cell>
          <cell r="I4239" t="str">
            <v>6450 - Bank &amp; Other Fees</v>
          </cell>
          <cell r="J4239" t="str">
            <v>Wholesale</v>
          </cell>
          <cell r="K4239" t="str">
            <v>Wholesale</v>
          </cell>
          <cell r="L4239" t="str">
            <v>Professional Service</v>
          </cell>
          <cell r="N4239" t="str">
            <v>Direct Costs</v>
          </cell>
          <cell r="O4239" t="str">
            <v>Paymentech</v>
          </cell>
        </row>
        <row r="4240">
          <cell r="D4240">
            <v>89.97</v>
          </cell>
          <cell r="H4240">
            <v>45566</v>
          </cell>
          <cell r="I4240" t="str">
            <v>6105 - Meals</v>
          </cell>
          <cell r="J4240">
            <v>0</v>
          </cell>
          <cell r="K4240" t="str">
            <v>Administration</v>
          </cell>
          <cell r="L4240" t="str">
            <v>T&amp;E</v>
          </cell>
          <cell r="N4240" t="str">
            <v>SG&amp;A</v>
          </cell>
          <cell r="O4240" t="str">
            <v>[No Vendor]</v>
          </cell>
        </row>
        <row r="4241">
          <cell r="D4241">
            <v>61.25</v>
          </cell>
          <cell r="H4241">
            <v>45566</v>
          </cell>
          <cell r="I4241" t="str">
            <v>6393 - Software</v>
          </cell>
          <cell r="J4241">
            <v>0</v>
          </cell>
          <cell r="K4241" t="str">
            <v>Administration</v>
          </cell>
          <cell r="L4241" t="str">
            <v>Professional Service</v>
          </cell>
          <cell r="N4241" t="str">
            <v>Direct Costs</v>
          </cell>
          <cell r="O4241" t="str">
            <v>Quickbook</v>
          </cell>
        </row>
        <row r="4242">
          <cell r="D4242">
            <v>78</v>
          </cell>
          <cell r="H4242">
            <v>45566</v>
          </cell>
          <cell r="I4242" t="str">
            <v>6380 - Legal &amp; Accounting</v>
          </cell>
          <cell r="J4242">
            <v>0</v>
          </cell>
          <cell r="K4242" t="str">
            <v>Administration</v>
          </cell>
          <cell r="L4242" t="str">
            <v>Professional Service</v>
          </cell>
          <cell r="N4242" t="str">
            <v>SG&amp;A</v>
          </cell>
          <cell r="O4242" t="str">
            <v>[No Vendor]</v>
          </cell>
        </row>
        <row r="4243">
          <cell r="D4243">
            <v>44.5</v>
          </cell>
          <cell r="H4243">
            <v>45566</v>
          </cell>
          <cell r="I4243" t="str">
            <v>6340 - Miscellaneous Expense</v>
          </cell>
          <cell r="J4243">
            <v>0</v>
          </cell>
          <cell r="K4243" t="str">
            <v>Administration</v>
          </cell>
          <cell r="L4243" t="str">
            <v>Other</v>
          </cell>
          <cell r="N4243" t="str">
            <v>SG&amp;A</v>
          </cell>
          <cell r="O4243" t="str">
            <v>[No Vendor]</v>
          </cell>
        </row>
        <row r="4244">
          <cell r="D4244">
            <v>44.5</v>
          </cell>
          <cell r="H4244">
            <v>45566</v>
          </cell>
          <cell r="I4244" t="str">
            <v>6340 - Miscellaneous Expense</v>
          </cell>
          <cell r="J4244">
            <v>0</v>
          </cell>
          <cell r="K4244" t="str">
            <v>Administration</v>
          </cell>
          <cell r="L4244" t="str">
            <v>Other</v>
          </cell>
          <cell r="N4244" t="str">
            <v>SG&amp;A</v>
          </cell>
          <cell r="O4244" t="str">
            <v>[No Vendor]</v>
          </cell>
        </row>
        <row r="4245">
          <cell r="D4245">
            <v>-6.25</v>
          </cell>
          <cell r="H4245">
            <v>45566</v>
          </cell>
          <cell r="I4245" t="str">
            <v>6340 - Miscellaneous Expense</v>
          </cell>
          <cell r="J4245">
            <v>0</v>
          </cell>
          <cell r="K4245" t="str">
            <v>Administration</v>
          </cell>
          <cell r="L4245" t="str">
            <v>Other</v>
          </cell>
          <cell r="N4245" t="str">
            <v>SG&amp;A</v>
          </cell>
          <cell r="O4245" t="str">
            <v>[No Vendor]</v>
          </cell>
        </row>
        <row r="4246">
          <cell r="D4246">
            <v>6.25</v>
          </cell>
          <cell r="H4246">
            <v>45566</v>
          </cell>
          <cell r="I4246" t="str">
            <v>6340 - Miscellaneous Expense</v>
          </cell>
          <cell r="J4246">
            <v>0</v>
          </cell>
          <cell r="K4246" t="str">
            <v>Administration</v>
          </cell>
          <cell r="L4246" t="str">
            <v>Other</v>
          </cell>
          <cell r="N4246" t="str">
            <v>SG&amp;A</v>
          </cell>
          <cell r="O4246" t="str">
            <v>[No Vendor]</v>
          </cell>
        </row>
        <row r="4247">
          <cell r="D4247">
            <v>42.86</v>
          </cell>
          <cell r="H4247">
            <v>45566</v>
          </cell>
          <cell r="I4247" t="str">
            <v>6340 - Miscellaneous Expense</v>
          </cell>
          <cell r="J4247">
            <v>0</v>
          </cell>
          <cell r="K4247" t="str">
            <v>Administration</v>
          </cell>
          <cell r="L4247" t="str">
            <v>Other</v>
          </cell>
          <cell r="N4247" t="str">
            <v>SG&amp;A</v>
          </cell>
          <cell r="O4247" t="str">
            <v>[No Vendor]</v>
          </cell>
        </row>
        <row r="4248">
          <cell r="D4248">
            <v>71.84</v>
          </cell>
          <cell r="H4248">
            <v>45566</v>
          </cell>
          <cell r="I4248" t="str">
            <v>6340 - Miscellaneous Expense</v>
          </cell>
          <cell r="J4248">
            <v>0</v>
          </cell>
          <cell r="K4248" t="str">
            <v>Administration</v>
          </cell>
          <cell r="L4248" t="str">
            <v>Other</v>
          </cell>
          <cell r="N4248" t="str">
            <v>SG&amp;A</v>
          </cell>
          <cell r="O4248" t="str">
            <v>[No Vendor]</v>
          </cell>
        </row>
        <row r="4249">
          <cell r="D4249">
            <v>0.92</v>
          </cell>
          <cell r="H4249">
            <v>45566</v>
          </cell>
          <cell r="I4249" t="str">
            <v>6450 - Bank &amp; Other Fees</v>
          </cell>
          <cell r="J4249">
            <v>0</v>
          </cell>
          <cell r="K4249" t="str">
            <v>Administration</v>
          </cell>
          <cell r="L4249" t="str">
            <v>Professional Service</v>
          </cell>
          <cell r="N4249" t="str">
            <v>SG&amp;A</v>
          </cell>
          <cell r="O4249" t="str">
            <v>Quickbook</v>
          </cell>
        </row>
        <row r="4250">
          <cell r="D4250">
            <v>146</v>
          </cell>
          <cell r="H4250">
            <v>45566</v>
          </cell>
          <cell r="I4250" t="str">
            <v>6430 - Dues &amp; Memberships</v>
          </cell>
          <cell r="J4250" t="str">
            <v>Wholesale</v>
          </cell>
          <cell r="K4250" t="str">
            <v>Wholesale</v>
          </cell>
          <cell r="L4250" t="str">
            <v>Professional Service</v>
          </cell>
          <cell r="N4250" t="str">
            <v>Direct Costs</v>
          </cell>
          <cell r="O4250" t="str">
            <v>SPS Commerce</v>
          </cell>
        </row>
        <row r="4251">
          <cell r="D4251">
            <v>15.06</v>
          </cell>
          <cell r="H4251">
            <v>45566</v>
          </cell>
          <cell r="I4251" t="str">
            <v>6125 - Transportation and Fuel</v>
          </cell>
          <cell r="J4251" t="str">
            <v>Wholesale</v>
          </cell>
          <cell r="K4251" t="str">
            <v>Wholesale</v>
          </cell>
          <cell r="L4251" t="str">
            <v>T&amp;E</v>
          </cell>
          <cell r="N4251" t="str">
            <v>SG&amp;A</v>
          </cell>
          <cell r="O4251" t="str">
            <v>Kalina Pregnolato</v>
          </cell>
        </row>
        <row r="4252">
          <cell r="D4252">
            <v>26.69</v>
          </cell>
          <cell r="H4252">
            <v>45566</v>
          </cell>
          <cell r="I4252" t="str">
            <v>6125 - Transportation and Fuel</v>
          </cell>
          <cell r="J4252">
            <v>0</v>
          </cell>
          <cell r="K4252" t="str">
            <v>Administration</v>
          </cell>
          <cell r="L4252" t="str">
            <v>T&amp;E</v>
          </cell>
          <cell r="N4252" t="str">
            <v>SG&amp;A</v>
          </cell>
          <cell r="O4252" t="str">
            <v>[No Vendor]</v>
          </cell>
        </row>
        <row r="4253">
          <cell r="D4253">
            <v>24.84</v>
          </cell>
          <cell r="H4253">
            <v>45566</v>
          </cell>
          <cell r="I4253" t="str">
            <v>6125 - Transportation and Fuel</v>
          </cell>
          <cell r="J4253">
            <v>0</v>
          </cell>
          <cell r="K4253" t="str">
            <v>Administration</v>
          </cell>
          <cell r="L4253" t="str">
            <v>T&amp;E</v>
          </cell>
          <cell r="N4253" t="str">
            <v>SG&amp;A</v>
          </cell>
          <cell r="O4253" t="str">
            <v>[No Vendor]</v>
          </cell>
        </row>
        <row r="4254">
          <cell r="D4254">
            <v>245.4</v>
          </cell>
          <cell r="H4254">
            <v>45566</v>
          </cell>
          <cell r="I4254" t="str">
            <v>6375 - Freight Expenses</v>
          </cell>
          <cell r="J4254" t="str">
            <v>Ecommerce (EU)</v>
          </cell>
          <cell r="K4254" t="str">
            <v>Ecommerce</v>
          </cell>
          <cell r="L4254" t="str">
            <v>Freight</v>
          </cell>
          <cell r="N4254" t="str">
            <v>Direct Costs</v>
          </cell>
          <cell r="O4254" t="str">
            <v>UPS Supply Chain Solutions Inc. (7F24A0)</v>
          </cell>
        </row>
        <row r="4255">
          <cell r="D4255">
            <v>65.33</v>
          </cell>
          <cell r="H4255">
            <v>45566</v>
          </cell>
          <cell r="I4255" t="str">
            <v>6393 - Software</v>
          </cell>
          <cell r="J4255">
            <v>0</v>
          </cell>
          <cell r="K4255" t="str">
            <v>Administration</v>
          </cell>
          <cell r="L4255" t="str">
            <v>Professional Service</v>
          </cell>
          <cell r="N4255" t="str">
            <v>Direct Costs</v>
          </cell>
          <cell r="O4255" t="str">
            <v>[No Vendor]</v>
          </cell>
        </row>
        <row r="4256">
          <cell r="D4256">
            <v>1265.06</v>
          </cell>
          <cell r="H4256">
            <v>45566</v>
          </cell>
          <cell r="I4256" t="str">
            <v>6393 - Software</v>
          </cell>
          <cell r="J4256">
            <v>0</v>
          </cell>
          <cell r="K4256" t="str">
            <v>Administration</v>
          </cell>
          <cell r="L4256" t="str">
            <v>Professional Service</v>
          </cell>
          <cell r="N4256" t="str">
            <v>Direct Costs</v>
          </cell>
          <cell r="O4256" t="str">
            <v>Docusign</v>
          </cell>
        </row>
        <row r="4257">
          <cell r="D4257">
            <v>1687.3</v>
          </cell>
          <cell r="H4257">
            <v>45566</v>
          </cell>
          <cell r="I4257" t="str">
            <v>6393 - Software</v>
          </cell>
          <cell r="J4257">
            <v>0</v>
          </cell>
          <cell r="K4257" t="str">
            <v>Administration</v>
          </cell>
          <cell r="L4257" t="str">
            <v>Professional Service</v>
          </cell>
          <cell r="N4257" t="str">
            <v>Direct Costs</v>
          </cell>
          <cell r="O4257" t="str">
            <v>Adobe, Inc.</v>
          </cell>
        </row>
        <row r="4258">
          <cell r="D4258">
            <v>545.35</v>
          </cell>
          <cell r="H4258">
            <v>45566</v>
          </cell>
          <cell r="I4258" t="str">
            <v>6300 - Payroll Service Fees</v>
          </cell>
          <cell r="J4258">
            <v>0</v>
          </cell>
          <cell r="K4258" t="str">
            <v>Administration</v>
          </cell>
          <cell r="L4258" t="str">
            <v>Professional Service</v>
          </cell>
          <cell r="N4258" t="str">
            <v>SG&amp;A</v>
          </cell>
          <cell r="O4258" t="str">
            <v>ADP Payroll Services</v>
          </cell>
        </row>
        <row r="4259">
          <cell r="D4259">
            <v>12.41</v>
          </cell>
          <cell r="H4259">
            <v>45566</v>
          </cell>
          <cell r="I4259" t="str">
            <v>6105 - Meals</v>
          </cell>
          <cell r="J4259">
            <v>0</v>
          </cell>
          <cell r="K4259" t="str">
            <v>Administration</v>
          </cell>
          <cell r="L4259" t="str">
            <v>T&amp;E</v>
          </cell>
          <cell r="N4259" t="str">
            <v>SG&amp;A</v>
          </cell>
          <cell r="O4259" t="str">
            <v>[No Vendor]</v>
          </cell>
        </row>
        <row r="4260">
          <cell r="D4260">
            <v>9.64</v>
          </cell>
          <cell r="H4260">
            <v>45566</v>
          </cell>
          <cell r="I4260" t="str">
            <v>8505 - Realized Gain/Loss</v>
          </cell>
          <cell r="J4260">
            <v>0</v>
          </cell>
          <cell r="K4260" t="str">
            <v>No Department</v>
          </cell>
          <cell r="L4260" t="str">
            <v>Realized Gain / Loss</v>
          </cell>
          <cell r="N4260" t="str">
            <v>BTL</v>
          </cell>
          <cell r="O4260" t="str">
            <v>[No Vendor]</v>
          </cell>
        </row>
        <row r="4261">
          <cell r="D4261">
            <v>4.08</v>
          </cell>
          <cell r="H4261">
            <v>45566</v>
          </cell>
          <cell r="I4261" t="str">
            <v>8505 - Realized Gain/Loss</v>
          </cell>
          <cell r="J4261">
            <v>0</v>
          </cell>
          <cell r="K4261" t="str">
            <v>No Department</v>
          </cell>
          <cell r="L4261" t="str">
            <v>Realized Gain / Loss</v>
          </cell>
          <cell r="N4261" t="str">
            <v>BTL</v>
          </cell>
          <cell r="O4261" t="str">
            <v>[No Vendor]</v>
          </cell>
        </row>
        <row r="4262">
          <cell r="D4262">
            <v>27015.41</v>
          </cell>
          <cell r="H4262">
            <v>45566</v>
          </cell>
          <cell r="I4262" t="str">
            <v>6005 - Salaries</v>
          </cell>
          <cell r="J4262">
            <v>0</v>
          </cell>
          <cell r="K4262" t="str">
            <v>Administration</v>
          </cell>
          <cell r="L4262" t="str">
            <v>HQ Salaries</v>
          </cell>
          <cell r="N4262" t="str">
            <v>SG&amp;A</v>
          </cell>
          <cell r="O4262" t="str">
            <v>[No Vendor]</v>
          </cell>
        </row>
        <row r="4263">
          <cell r="D4263">
            <v>18333.330000000002</v>
          </cell>
          <cell r="H4263">
            <v>45566</v>
          </cell>
          <cell r="I4263" t="str">
            <v>6205 - Contractors</v>
          </cell>
          <cell r="J4263">
            <v>0</v>
          </cell>
          <cell r="K4263" t="str">
            <v>Brand Marketing</v>
          </cell>
          <cell r="L4263" t="str">
            <v>HQ Salaries</v>
          </cell>
          <cell r="N4263" t="str">
            <v>SG&amp;A</v>
          </cell>
          <cell r="O4263" t="str">
            <v>[No Vendor]</v>
          </cell>
        </row>
        <row r="4264">
          <cell r="D4264">
            <v>19821</v>
          </cell>
          <cell r="H4264">
            <v>45566</v>
          </cell>
          <cell r="I4264" t="str">
            <v>6205 - Contractors</v>
          </cell>
          <cell r="J4264" t="str">
            <v>Ecommerce (US)</v>
          </cell>
          <cell r="K4264" t="str">
            <v>Ecommerce</v>
          </cell>
          <cell r="L4264" t="str">
            <v>HQ Salaries</v>
          </cell>
          <cell r="N4264" t="str">
            <v>SG&amp;A</v>
          </cell>
          <cell r="O4264" t="str">
            <v>[No Vendor]</v>
          </cell>
        </row>
        <row r="4265">
          <cell r="D4265">
            <v>0</v>
          </cell>
          <cell r="H4265">
            <v>45566</v>
          </cell>
          <cell r="I4265" t="str">
            <v>6205 - Contractors</v>
          </cell>
          <cell r="J4265">
            <v>0</v>
          </cell>
          <cell r="K4265" t="str">
            <v>Design</v>
          </cell>
          <cell r="L4265" t="str">
            <v>HQ Salaries</v>
          </cell>
          <cell r="N4265" t="str">
            <v>SG&amp;A</v>
          </cell>
          <cell r="O4265" t="str">
            <v>[No Vendor]</v>
          </cell>
        </row>
        <row r="4266">
          <cell r="D4266">
            <v>-1.2</v>
          </cell>
          <cell r="H4266">
            <v>45566</v>
          </cell>
          <cell r="I4266" t="str">
            <v>6385 - Insurance</v>
          </cell>
          <cell r="J4266">
            <v>0</v>
          </cell>
          <cell r="K4266" t="str">
            <v>Administration</v>
          </cell>
          <cell r="L4266" t="str">
            <v>Professional Service</v>
          </cell>
          <cell r="N4266" t="str">
            <v>SG&amp;A</v>
          </cell>
          <cell r="O4266" t="str">
            <v>[No Vendor]</v>
          </cell>
        </row>
        <row r="4267">
          <cell r="D4267">
            <v>-13.16</v>
          </cell>
          <cell r="H4267">
            <v>45566</v>
          </cell>
          <cell r="I4267" t="str">
            <v>6385 - Insurance</v>
          </cell>
          <cell r="J4267">
            <v>0</v>
          </cell>
          <cell r="K4267" t="str">
            <v>Administration</v>
          </cell>
          <cell r="L4267" t="str">
            <v>Professional Service</v>
          </cell>
          <cell r="N4267" t="str">
            <v>SG&amp;A</v>
          </cell>
          <cell r="O4267" t="str">
            <v>[No Vendor]</v>
          </cell>
        </row>
        <row r="4268">
          <cell r="D4268">
            <v>-29.56</v>
          </cell>
          <cell r="H4268">
            <v>45566</v>
          </cell>
          <cell r="I4268" t="str">
            <v>6385 - Insurance</v>
          </cell>
          <cell r="J4268">
            <v>0</v>
          </cell>
          <cell r="K4268" t="str">
            <v>Administration</v>
          </cell>
          <cell r="L4268" t="str">
            <v>Professional Service</v>
          </cell>
          <cell r="N4268" t="str">
            <v>SG&amp;A</v>
          </cell>
          <cell r="O4268" t="str">
            <v>[No Vendor]</v>
          </cell>
        </row>
        <row r="4269">
          <cell r="D4269">
            <v>-13.39</v>
          </cell>
          <cell r="H4269">
            <v>45566</v>
          </cell>
          <cell r="I4269" t="str">
            <v>6385 - Insurance</v>
          </cell>
          <cell r="J4269">
            <v>0</v>
          </cell>
          <cell r="K4269" t="str">
            <v>Administration</v>
          </cell>
          <cell r="L4269" t="str">
            <v>Professional Service</v>
          </cell>
          <cell r="N4269" t="str">
            <v>SG&amp;A</v>
          </cell>
          <cell r="O4269" t="str">
            <v>[No Vendor]</v>
          </cell>
        </row>
        <row r="4270">
          <cell r="D4270">
            <v>-42.8</v>
          </cell>
          <cell r="H4270">
            <v>45566</v>
          </cell>
          <cell r="I4270" t="str">
            <v>6385 - Insurance</v>
          </cell>
          <cell r="J4270">
            <v>0</v>
          </cell>
          <cell r="K4270" t="str">
            <v>Administration</v>
          </cell>
          <cell r="L4270" t="str">
            <v>Professional Service</v>
          </cell>
          <cell r="N4270" t="str">
            <v>SG&amp;A</v>
          </cell>
          <cell r="O4270" t="str">
            <v>[No Vendor]</v>
          </cell>
        </row>
        <row r="4271">
          <cell r="D4271">
            <v>-24.45</v>
          </cell>
          <cell r="H4271">
            <v>45566</v>
          </cell>
          <cell r="I4271" t="str">
            <v>6385 - Insurance</v>
          </cell>
          <cell r="J4271">
            <v>0</v>
          </cell>
          <cell r="K4271" t="str">
            <v>Administration</v>
          </cell>
          <cell r="L4271" t="str">
            <v>Professional Service</v>
          </cell>
          <cell r="N4271" t="str">
            <v>SG&amp;A</v>
          </cell>
          <cell r="O4271" t="str">
            <v>[No Vendor]</v>
          </cell>
        </row>
        <row r="4272">
          <cell r="D4272">
            <v>-39.51</v>
          </cell>
          <cell r="H4272">
            <v>45566</v>
          </cell>
          <cell r="I4272" t="str">
            <v>6385 - Insurance</v>
          </cell>
          <cell r="J4272">
            <v>0</v>
          </cell>
          <cell r="K4272" t="str">
            <v>Administration</v>
          </cell>
          <cell r="L4272" t="str">
            <v>Professional Service</v>
          </cell>
          <cell r="N4272" t="str">
            <v>SG&amp;A</v>
          </cell>
          <cell r="O4272" t="str">
            <v>[No Vendor]</v>
          </cell>
        </row>
        <row r="4273">
          <cell r="D4273">
            <v>-40.24</v>
          </cell>
          <cell r="H4273">
            <v>45566</v>
          </cell>
          <cell r="I4273" t="str">
            <v>6385 - Insurance</v>
          </cell>
          <cell r="J4273">
            <v>0</v>
          </cell>
          <cell r="K4273" t="str">
            <v>Administration</v>
          </cell>
          <cell r="L4273" t="str">
            <v>Professional Service</v>
          </cell>
          <cell r="N4273" t="str">
            <v>SG&amp;A</v>
          </cell>
          <cell r="O4273" t="str">
            <v>[No Vendor]</v>
          </cell>
        </row>
        <row r="4274">
          <cell r="D4274">
            <v>579.38</v>
          </cell>
          <cell r="H4274">
            <v>45566</v>
          </cell>
          <cell r="I4274" t="str">
            <v>6055 - Employer Social Security Tax Withheld</v>
          </cell>
          <cell r="J4274">
            <v>0</v>
          </cell>
          <cell r="K4274" t="str">
            <v>Merchandising</v>
          </cell>
          <cell r="L4274" t="str">
            <v>HQ Salaries</v>
          </cell>
          <cell r="N4274" t="str">
            <v>SG&amp;A</v>
          </cell>
          <cell r="O4274" t="str">
            <v>[No Vendor]</v>
          </cell>
        </row>
        <row r="4275">
          <cell r="D4275">
            <v>1111.33</v>
          </cell>
          <cell r="H4275">
            <v>45566</v>
          </cell>
          <cell r="I4275" t="str">
            <v>6055 - Employer Social Security Tax Withheld</v>
          </cell>
          <cell r="J4275" t="str">
            <v>Wholesale</v>
          </cell>
          <cell r="K4275" t="str">
            <v>Wholesale</v>
          </cell>
          <cell r="L4275" t="str">
            <v>HQ Salaries</v>
          </cell>
          <cell r="N4275" t="str">
            <v>SG&amp;A</v>
          </cell>
          <cell r="O4275" t="str">
            <v>[No Vendor]</v>
          </cell>
        </row>
        <row r="4276">
          <cell r="D4276">
            <v>1709.08</v>
          </cell>
          <cell r="H4276">
            <v>45566</v>
          </cell>
          <cell r="I4276" t="str">
            <v>6055 - Employer Social Security Tax Withheld</v>
          </cell>
          <cell r="J4276">
            <v>0</v>
          </cell>
          <cell r="K4276" t="str">
            <v>Production</v>
          </cell>
          <cell r="L4276" t="str">
            <v>HQ Salaries</v>
          </cell>
          <cell r="N4276" t="str">
            <v>SG&amp;A</v>
          </cell>
          <cell r="O4276" t="str">
            <v>[No Vendor]</v>
          </cell>
        </row>
        <row r="4277">
          <cell r="D4277">
            <v>365.93</v>
          </cell>
          <cell r="H4277">
            <v>45566</v>
          </cell>
          <cell r="I4277" t="str">
            <v>6055 - Employer Social Security Tax Withheld</v>
          </cell>
          <cell r="J4277">
            <v>0</v>
          </cell>
          <cell r="K4277" t="str">
            <v>Brand Marketing</v>
          </cell>
          <cell r="L4277" t="str">
            <v>HQ Salaries</v>
          </cell>
          <cell r="N4277" t="str">
            <v>SG&amp;A</v>
          </cell>
          <cell r="O4277" t="str">
            <v>[No Vendor]</v>
          </cell>
        </row>
        <row r="4278">
          <cell r="D4278">
            <v>1181.97</v>
          </cell>
          <cell r="H4278">
            <v>45566</v>
          </cell>
          <cell r="I4278" t="str">
            <v>6055 - Employer Social Security Tax Withheld</v>
          </cell>
          <cell r="J4278">
            <v>0</v>
          </cell>
          <cell r="K4278" t="str">
            <v>Executive</v>
          </cell>
          <cell r="L4278" t="str">
            <v>HQ Salaries</v>
          </cell>
          <cell r="N4278" t="str">
            <v>SG&amp;A</v>
          </cell>
          <cell r="O4278" t="str">
            <v>[No Vendor]</v>
          </cell>
        </row>
        <row r="4279">
          <cell r="D4279">
            <v>1610.08</v>
          </cell>
          <cell r="H4279">
            <v>45566</v>
          </cell>
          <cell r="I4279" t="str">
            <v>6055 - Employer Social Security Tax Withheld</v>
          </cell>
          <cell r="J4279" t="str">
            <v>Ecommerce (US)</v>
          </cell>
          <cell r="K4279" t="str">
            <v>Ecommerce</v>
          </cell>
          <cell r="L4279" t="str">
            <v>HQ Salaries</v>
          </cell>
          <cell r="N4279" t="str">
            <v>SG&amp;A</v>
          </cell>
          <cell r="O4279" t="str">
            <v>[No Vendor]</v>
          </cell>
        </row>
        <row r="4280">
          <cell r="D4280">
            <v>2212.64</v>
          </cell>
          <cell r="H4280">
            <v>45566</v>
          </cell>
          <cell r="I4280" t="str">
            <v>6055 - Employer Social Security Tax Withheld</v>
          </cell>
          <cell r="J4280">
            <v>0</v>
          </cell>
          <cell r="K4280" t="str">
            <v>Design</v>
          </cell>
          <cell r="L4280" t="str">
            <v>HQ Salaries</v>
          </cell>
          <cell r="N4280" t="str">
            <v>SG&amp;A</v>
          </cell>
          <cell r="O4280" t="str">
            <v>[No Vendor]</v>
          </cell>
        </row>
        <row r="4281">
          <cell r="D4281">
            <v>1953.17</v>
          </cell>
          <cell r="H4281">
            <v>45566</v>
          </cell>
          <cell r="I4281" t="str">
            <v>6055 - Employer Social Security Tax Withheld</v>
          </cell>
          <cell r="J4281">
            <v>0</v>
          </cell>
          <cell r="K4281" t="str">
            <v>Administration</v>
          </cell>
          <cell r="L4281" t="str">
            <v>HQ Salaries</v>
          </cell>
          <cell r="N4281" t="str">
            <v>SG&amp;A</v>
          </cell>
          <cell r="O4281" t="str">
            <v>[No Vendor]</v>
          </cell>
        </row>
        <row r="4282">
          <cell r="D4282">
            <v>-45.16</v>
          </cell>
          <cell r="H4282">
            <v>45566</v>
          </cell>
          <cell r="I4282" t="str">
            <v>6040 - Employer Paid Benefits</v>
          </cell>
          <cell r="J4282" t="str">
            <v>Wholesale</v>
          </cell>
          <cell r="K4282" t="str">
            <v>Wholesale</v>
          </cell>
          <cell r="L4282" t="str">
            <v>HQ Salaries</v>
          </cell>
          <cell r="N4282" t="str">
            <v>SG&amp;A</v>
          </cell>
          <cell r="O4282" t="str">
            <v>[No Vendor]</v>
          </cell>
        </row>
        <row r="4283">
          <cell r="D4283">
            <v>-285.61</v>
          </cell>
          <cell r="H4283">
            <v>45566</v>
          </cell>
          <cell r="I4283" t="str">
            <v>6040 - Employer Paid Benefits</v>
          </cell>
          <cell r="J4283">
            <v>0</v>
          </cell>
          <cell r="K4283" t="str">
            <v>Production</v>
          </cell>
          <cell r="L4283" t="str">
            <v>HQ Salaries</v>
          </cell>
          <cell r="N4283" t="str">
            <v>SG&amp;A</v>
          </cell>
          <cell r="O4283" t="str">
            <v>[No Vendor]</v>
          </cell>
        </row>
        <row r="4284">
          <cell r="D4284">
            <v>-22.58</v>
          </cell>
          <cell r="H4284">
            <v>45566</v>
          </cell>
          <cell r="I4284" t="str">
            <v>6040 - Employer Paid Benefits</v>
          </cell>
          <cell r="J4284">
            <v>0</v>
          </cell>
          <cell r="K4284" t="str">
            <v>Brand Marketing</v>
          </cell>
          <cell r="L4284" t="str">
            <v>HQ Salaries</v>
          </cell>
          <cell r="N4284" t="str">
            <v>SG&amp;A</v>
          </cell>
          <cell r="O4284" t="str">
            <v>[No Vendor]</v>
          </cell>
        </row>
        <row r="4285">
          <cell r="D4285">
            <v>-234.27</v>
          </cell>
          <cell r="H4285">
            <v>45566</v>
          </cell>
          <cell r="I4285" t="str">
            <v>6040 - Employer Paid Benefits</v>
          </cell>
          <cell r="J4285">
            <v>0</v>
          </cell>
          <cell r="K4285" t="str">
            <v>Executive</v>
          </cell>
          <cell r="L4285" t="str">
            <v>HQ Salaries</v>
          </cell>
          <cell r="N4285" t="str">
            <v>SG&amp;A</v>
          </cell>
          <cell r="O4285" t="str">
            <v>[No Vendor]</v>
          </cell>
        </row>
        <row r="4286">
          <cell r="D4286">
            <v>-121.85</v>
          </cell>
          <cell r="H4286">
            <v>45566</v>
          </cell>
          <cell r="I4286" t="str">
            <v>6040 - Employer Paid Benefits</v>
          </cell>
          <cell r="J4286" t="str">
            <v>Ecommerce (US)</v>
          </cell>
          <cell r="K4286" t="str">
            <v>Ecommerce</v>
          </cell>
          <cell r="L4286" t="str">
            <v>HQ Salaries</v>
          </cell>
          <cell r="N4286" t="str">
            <v>SG&amp;A</v>
          </cell>
          <cell r="O4286" t="str">
            <v>[No Vendor]</v>
          </cell>
        </row>
        <row r="4287">
          <cell r="D4287">
            <v>-363.43</v>
          </cell>
          <cell r="H4287">
            <v>45566</v>
          </cell>
          <cell r="I4287" t="str">
            <v>6040 - Employer Paid Benefits</v>
          </cell>
          <cell r="J4287">
            <v>0</v>
          </cell>
          <cell r="K4287" t="str">
            <v>Design</v>
          </cell>
          <cell r="L4287" t="str">
            <v>HQ Salaries</v>
          </cell>
          <cell r="N4287" t="str">
            <v>SG&amp;A</v>
          </cell>
          <cell r="O4287" t="str">
            <v>[No Vendor]</v>
          </cell>
        </row>
        <row r="4288">
          <cell r="D4288">
            <v>-200.39</v>
          </cell>
          <cell r="H4288">
            <v>45566</v>
          </cell>
          <cell r="I4288" t="str">
            <v>6040 - Employer Paid Benefits</v>
          </cell>
          <cell r="J4288">
            <v>0</v>
          </cell>
          <cell r="K4288" t="str">
            <v>Administration</v>
          </cell>
          <cell r="L4288" t="str">
            <v>HQ Salaries</v>
          </cell>
          <cell r="N4288" t="str">
            <v>SG&amp;A</v>
          </cell>
          <cell r="O4288" t="str">
            <v>[No Vendor]</v>
          </cell>
        </row>
        <row r="4289">
          <cell r="D4289">
            <v>5150</v>
          </cell>
          <cell r="H4289">
            <v>45566</v>
          </cell>
          <cell r="I4289" t="str">
            <v>6005 - Salaries</v>
          </cell>
          <cell r="J4289">
            <v>0</v>
          </cell>
          <cell r="K4289" t="str">
            <v>Merchandising</v>
          </cell>
          <cell r="L4289" t="str">
            <v>HQ Salaries</v>
          </cell>
          <cell r="N4289" t="str">
            <v>SG&amp;A</v>
          </cell>
          <cell r="O4289" t="str">
            <v>[No Vendor]</v>
          </cell>
        </row>
        <row r="4290">
          <cell r="D4290">
            <v>9911.5499999999993</v>
          </cell>
          <cell r="H4290">
            <v>45566</v>
          </cell>
          <cell r="I4290" t="str">
            <v>6005 - Salaries</v>
          </cell>
          <cell r="J4290" t="str">
            <v>Wholesale</v>
          </cell>
          <cell r="K4290" t="str">
            <v>Wholesale</v>
          </cell>
          <cell r="L4290" t="str">
            <v>HQ Salaries</v>
          </cell>
          <cell r="N4290" t="str">
            <v>SG&amp;A</v>
          </cell>
          <cell r="O4290" t="str">
            <v>[No Vendor]</v>
          </cell>
        </row>
        <row r="4291">
          <cell r="D4291">
            <v>19988.490000000002</v>
          </cell>
          <cell r="H4291">
            <v>45566</v>
          </cell>
          <cell r="I4291" t="str">
            <v>6005 - Salaries</v>
          </cell>
          <cell r="J4291">
            <v>0</v>
          </cell>
          <cell r="K4291" t="str">
            <v>Production</v>
          </cell>
          <cell r="L4291" t="str">
            <v>HQ Salaries</v>
          </cell>
          <cell r="N4291" t="str">
            <v>SG&amp;A</v>
          </cell>
          <cell r="O4291" t="str">
            <v>[No Vendor]</v>
          </cell>
        </row>
        <row r="4292">
          <cell r="D4292">
            <v>3269.24</v>
          </cell>
          <cell r="H4292">
            <v>45566</v>
          </cell>
          <cell r="I4292" t="str">
            <v>6005 - Salaries</v>
          </cell>
          <cell r="J4292">
            <v>0</v>
          </cell>
          <cell r="K4292" t="str">
            <v>Brand Marketing</v>
          </cell>
          <cell r="L4292" t="str">
            <v>HQ Salaries</v>
          </cell>
          <cell r="N4292" t="str">
            <v>SG&amp;A</v>
          </cell>
          <cell r="O4292" t="str">
            <v>[No Vendor]</v>
          </cell>
        </row>
        <row r="4293">
          <cell r="D4293">
            <v>11153.85</v>
          </cell>
          <cell r="H4293">
            <v>45566</v>
          </cell>
          <cell r="I4293" t="str">
            <v>6005 - Salaries</v>
          </cell>
          <cell r="J4293">
            <v>0</v>
          </cell>
          <cell r="K4293" t="str">
            <v>Executive</v>
          </cell>
          <cell r="L4293" t="str">
            <v>HQ Salaries</v>
          </cell>
          <cell r="N4293" t="str">
            <v>SG&amp;A</v>
          </cell>
          <cell r="O4293" t="str">
            <v>[No Vendor]</v>
          </cell>
        </row>
        <row r="4294">
          <cell r="D4294">
            <v>20780.8</v>
          </cell>
          <cell r="H4294">
            <v>45566</v>
          </cell>
          <cell r="I4294" t="str">
            <v>6005 - Salaries</v>
          </cell>
          <cell r="J4294" t="str">
            <v>Ecommerce (US)</v>
          </cell>
          <cell r="K4294" t="str">
            <v>Ecommerce</v>
          </cell>
          <cell r="L4294" t="str">
            <v>HQ Salaries</v>
          </cell>
          <cell r="N4294" t="str">
            <v>SG&amp;A</v>
          </cell>
          <cell r="O4294" t="str">
            <v>[No Vendor]</v>
          </cell>
        </row>
        <row r="4295">
          <cell r="D4295">
            <v>20857.7</v>
          </cell>
          <cell r="H4295">
            <v>45566</v>
          </cell>
          <cell r="I4295" t="str">
            <v>6005 - Salaries</v>
          </cell>
          <cell r="J4295">
            <v>0</v>
          </cell>
          <cell r="K4295" t="str">
            <v>Design</v>
          </cell>
          <cell r="L4295" t="str">
            <v>HQ Salaries</v>
          </cell>
          <cell r="N4295" t="str">
            <v>SG&amp;A</v>
          </cell>
          <cell r="O4295" t="str">
            <v>[No Vendor]</v>
          </cell>
        </row>
        <row r="4296">
          <cell r="D4296">
            <v>375.14</v>
          </cell>
          <cell r="H4296">
            <v>45566</v>
          </cell>
          <cell r="I4296" t="str">
            <v>6375 - Freight Expenses</v>
          </cell>
          <cell r="J4296" t="str">
            <v>Wholesale</v>
          </cell>
          <cell r="K4296" t="str">
            <v>Wholesale</v>
          </cell>
          <cell r="L4296" t="str">
            <v>Freight</v>
          </cell>
          <cell r="N4296" t="str">
            <v>Direct Costs</v>
          </cell>
          <cell r="O4296" t="str">
            <v>UPS Supply Chain Solutions Inc. (7F24A0)</v>
          </cell>
        </row>
        <row r="4297">
          <cell r="D4297">
            <v>21991.02</v>
          </cell>
          <cell r="H4297">
            <v>45566</v>
          </cell>
          <cell r="I4297" t="str">
            <v>6375 - Freight Expenses</v>
          </cell>
          <cell r="J4297" t="str">
            <v>Ecommerce (US)</v>
          </cell>
          <cell r="K4297" t="str">
            <v>Ecommerce</v>
          </cell>
          <cell r="L4297" t="str">
            <v>Freight</v>
          </cell>
          <cell r="N4297" t="str">
            <v>Direct Costs</v>
          </cell>
          <cell r="O4297" t="str">
            <v>UPS Supply Chain Solutions Inc. (7F24A0)</v>
          </cell>
        </row>
        <row r="4298">
          <cell r="D4298">
            <v>169.15</v>
          </cell>
          <cell r="H4298">
            <v>45566</v>
          </cell>
          <cell r="I4298" t="str">
            <v>6375 - Freight Expenses</v>
          </cell>
          <cell r="J4298" t="str">
            <v>Ecommerce (US)</v>
          </cell>
          <cell r="K4298" t="str">
            <v>Ecommerce</v>
          </cell>
          <cell r="L4298" t="str">
            <v>Freight</v>
          </cell>
          <cell r="N4298" t="str">
            <v>Direct Costs</v>
          </cell>
          <cell r="O4298" t="str">
            <v>UPS Supply Chain Solutions Inc. (7F24A0)</v>
          </cell>
        </row>
        <row r="4299">
          <cell r="D4299">
            <v>500</v>
          </cell>
          <cell r="H4299">
            <v>45566</v>
          </cell>
          <cell r="I4299" t="str">
            <v>6360 - Model - Fitting</v>
          </cell>
          <cell r="J4299" t="str">
            <v>Wholesale</v>
          </cell>
          <cell r="K4299" t="str">
            <v>Production</v>
          </cell>
          <cell r="L4299" t="str">
            <v>Sample</v>
          </cell>
          <cell r="N4299" t="str">
            <v>SG&amp;A</v>
          </cell>
          <cell r="O4299" t="str">
            <v>Lamar J Ballard</v>
          </cell>
        </row>
        <row r="4300">
          <cell r="D4300">
            <v>1003.42</v>
          </cell>
          <cell r="H4300">
            <v>45566</v>
          </cell>
          <cell r="I4300" t="str">
            <v>6370 - Samples</v>
          </cell>
          <cell r="J4300">
            <v>0</v>
          </cell>
          <cell r="K4300" t="str">
            <v>Production</v>
          </cell>
          <cell r="L4300" t="str">
            <v>Sample</v>
          </cell>
          <cell r="N4300" t="str">
            <v>SG&amp;A</v>
          </cell>
          <cell r="O4300" t="str">
            <v>Shanghai Hesrro Garment Co., Ltd</v>
          </cell>
        </row>
        <row r="4301">
          <cell r="D4301">
            <v>1003.42</v>
          </cell>
          <cell r="H4301">
            <v>45566</v>
          </cell>
          <cell r="I4301" t="str">
            <v>6370 - Samples</v>
          </cell>
          <cell r="J4301">
            <v>0</v>
          </cell>
          <cell r="K4301" t="str">
            <v>Production</v>
          </cell>
          <cell r="L4301" t="str">
            <v>Sample</v>
          </cell>
          <cell r="N4301" t="str">
            <v>SG&amp;A</v>
          </cell>
          <cell r="O4301" t="str">
            <v>Shanghai Hesrro Garment Co., Ltd</v>
          </cell>
        </row>
        <row r="4302">
          <cell r="D4302">
            <v>2006.85</v>
          </cell>
          <cell r="H4302">
            <v>45566</v>
          </cell>
          <cell r="I4302" t="str">
            <v>6370 - Samples</v>
          </cell>
          <cell r="J4302" t="str">
            <v>Wholesale</v>
          </cell>
          <cell r="K4302" t="str">
            <v>Production</v>
          </cell>
          <cell r="L4302" t="str">
            <v>Sample</v>
          </cell>
          <cell r="N4302" t="str">
            <v>SG&amp;A</v>
          </cell>
          <cell r="O4302" t="str">
            <v>Shanghai Hesrro Garment Co., Ltd</v>
          </cell>
        </row>
        <row r="4303">
          <cell r="D4303">
            <v>193.32</v>
          </cell>
          <cell r="H4303">
            <v>45566</v>
          </cell>
          <cell r="I4303" t="str">
            <v>6363 - Development</v>
          </cell>
          <cell r="J4303">
            <v>0</v>
          </cell>
          <cell r="K4303" t="str">
            <v>Design</v>
          </cell>
          <cell r="L4303" t="str">
            <v>Sample</v>
          </cell>
          <cell r="N4303" t="str">
            <v>SG&amp;A</v>
          </cell>
          <cell r="O4303" t="str">
            <v>Consul + SRL</v>
          </cell>
        </row>
        <row r="4304">
          <cell r="D4304">
            <v>34.97</v>
          </cell>
          <cell r="H4304">
            <v>45566</v>
          </cell>
          <cell r="I4304" t="str">
            <v>6375 - Freight Expenses</v>
          </cell>
          <cell r="J4304" t="str">
            <v>Ecommerce (US)</v>
          </cell>
          <cell r="K4304" t="str">
            <v>Ecommerce</v>
          </cell>
          <cell r="L4304" t="str">
            <v>Freight</v>
          </cell>
          <cell r="N4304" t="str">
            <v>Direct Costs</v>
          </cell>
          <cell r="O4304" t="str">
            <v>Federal Express</v>
          </cell>
        </row>
        <row r="4305">
          <cell r="D4305">
            <v>6674.94</v>
          </cell>
          <cell r="H4305">
            <v>45566</v>
          </cell>
          <cell r="I4305" t="str">
            <v>6375 - Freight Expenses</v>
          </cell>
          <cell r="J4305" t="str">
            <v>Ecommerce (EU)</v>
          </cell>
          <cell r="K4305" t="str">
            <v>Ecommerce</v>
          </cell>
          <cell r="L4305" t="str">
            <v>Freight</v>
          </cell>
          <cell r="N4305" t="str">
            <v>Direct Costs</v>
          </cell>
          <cell r="O4305" t="str">
            <v>Global E</v>
          </cell>
        </row>
        <row r="4306">
          <cell r="D4306">
            <v>16970.79</v>
          </cell>
          <cell r="H4306">
            <v>45566</v>
          </cell>
          <cell r="I4306" t="str">
            <v>5001 - Cost of Goods Sold - Other</v>
          </cell>
          <cell r="J4306" t="str">
            <v>Ecommerce (EU)</v>
          </cell>
          <cell r="K4306" t="str">
            <v>Ecommerce</v>
          </cell>
          <cell r="L4306" t="str">
            <v>Other COGS</v>
          </cell>
          <cell r="N4306" t="str">
            <v>COGS</v>
          </cell>
          <cell r="O4306" t="str">
            <v>[No Vendor]</v>
          </cell>
        </row>
        <row r="4307">
          <cell r="D4307">
            <v>831.59</v>
          </cell>
          <cell r="H4307">
            <v>45566</v>
          </cell>
          <cell r="I4307" t="str">
            <v>6377 - Order Processing Expenses (New)</v>
          </cell>
          <cell r="J4307" t="str">
            <v>Ecommerce (EU)</v>
          </cell>
          <cell r="K4307" t="str">
            <v>Ecommerce</v>
          </cell>
          <cell r="L4307" t="str">
            <v>Order Processing</v>
          </cell>
          <cell r="N4307" t="str">
            <v>Direct Costs</v>
          </cell>
          <cell r="O4307" t="str">
            <v>[No Vendor]</v>
          </cell>
        </row>
        <row r="4308">
          <cell r="D4308">
            <v>4976.05</v>
          </cell>
          <cell r="H4308">
            <v>45566</v>
          </cell>
          <cell r="I4308" t="str">
            <v>6450 - Bank &amp; Other Fees</v>
          </cell>
          <cell r="J4308" t="str">
            <v>Ecommerce (EU)</v>
          </cell>
          <cell r="K4308" t="str">
            <v>Ecommerce</v>
          </cell>
          <cell r="L4308" t="str">
            <v>Professional Service</v>
          </cell>
          <cell r="N4308" t="str">
            <v>Direct Costs</v>
          </cell>
          <cell r="O4308" t="str">
            <v>[No Vendor]</v>
          </cell>
        </row>
        <row r="4309">
          <cell r="D4309">
            <v>4811</v>
          </cell>
          <cell r="H4309">
            <v>45566</v>
          </cell>
          <cell r="I4309" t="str">
            <v>6385 - Insurance</v>
          </cell>
          <cell r="J4309">
            <v>0</v>
          </cell>
          <cell r="K4309" t="str">
            <v>Administration</v>
          </cell>
          <cell r="L4309" t="str">
            <v>Professional Service</v>
          </cell>
          <cell r="N4309" t="str">
            <v>SG&amp;A</v>
          </cell>
          <cell r="O4309" t="str">
            <v>The Hartford</v>
          </cell>
        </row>
        <row r="4310">
          <cell r="D4310">
            <v>304.5</v>
          </cell>
          <cell r="H4310">
            <v>45566</v>
          </cell>
          <cell r="I4310" t="str">
            <v>6370 - Samples</v>
          </cell>
          <cell r="J4310">
            <v>0</v>
          </cell>
          <cell r="K4310" t="str">
            <v>Production</v>
          </cell>
          <cell r="L4310" t="str">
            <v>Sample</v>
          </cell>
          <cell r="N4310" t="str">
            <v>SG&amp;A</v>
          </cell>
          <cell r="O4310" t="str">
            <v>Porta Asiatica Enterprises Inc</v>
          </cell>
        </row>
        <row r="4311">
          <cell r="D4311">
            <v>304.5</v>
          </cell>
          <cell r="H4311">
            <v>45566</v>
          </cell>
          <cell r="I4311" t="str">
            <v>6370 - Samples</v>
          </cell>
          <cell r="J4311" t="str">
            <v>Ecommerce (US)</v>
          </cell>
          <cell r="K4311" t="str">
            <v>Production</v>
          </cell>
          <cell r="L4311" t="str">
            <v>Sample</v>
          </cell>
          <cell r="N4311" t="str">
            <v>SG&amp;A</v>
          </cell>
          <cell r="O4311" t="str">
            <v>Porta Asiatica Enterprises Inc</v>
          </cell>
        </row>
        <row r="4312">
          <cell r="D4312">
            <v>609</v>
          </cell>
          <cell r="H4312">
            <v>45566</v>
          </cell>
          <cell r="I4312" t="str">
            <v>6370 - Samples</v>
          </cell>
          <cell r="J4312" t="str">
            <v>Wholesale</v>
          </cell>
          <cell r="K4312" t="str">
            <v>Production</v>
          </cell>
          <cell r="L4312" t="str">
            <v>Sample</v>
          </cell>
          <cell r="N4312" t="str">
            <v>SG&amp;A</v>
          </cell>
          <cell r="O4312" t="str">
            <v>Porta Asiatica Enterprises Inc</v>
          </cell>
        </row>
        <row r="4313">
          <cell r="D4313">
            <v>1492.89</v>
          </cell>
          <cell r="H4313">
            <v>45566</v>
          </cell>
          <cell r="I4313" t="str">
            <v>6370 - Samples</v>
          </cell>
          <cell r="J4313">
            <v>0</v>
          </cell>
          <cell r="K4313" t="str">
            <v>Production</v>
          </cell>
          <cell r="L4313" t="str">
            <v>Sample</v>
          </cell>
          <cell r="N4313" t="str">
            <v>SG&amp;A</v>
          </cell>
          <cell r="O4313" t="str">
            <v>Porta Asiatica Enterprises Inc</v>
          </cell>
        </row>
        <row r="4314">
          <cell r="D4314">
            <v>1492.89</v>
          </cell>
          <cell r="H4314">
            <v>45566</v>
          </cell>
          <cell r="I4314" t="str">
            <v>6370 - Samples</v>
          </cell>
          <cell r="J4314" t="str">
            <v>Ecommerce (US)</v>
          </cell>
          <cell r="K4314" t="str">
            <v>Production</v>
          </cell>
          <cell r="L4314" t="str">
            <v>Sample</v>
          </cell>
          <cell r="N4314" t="str">
            <v>SG&amp;A</v>
          </cell>
          <cell r="O4314" t="str">
            <v>Porta Asiatica Enterprises Inc</v>
          </cell>
        </row>
        <row r="4315">
          <cell r="D4315">
            <v>2985.78</v>
          </cell>
          <cell r="H4315">
            <v>45566</v>
          </cell>
          <cell r="I4315" t="str">
            <v>6370 - Samples</v>
          </cell>
          <cell r="J4315" t="str">
            <v>Wholesale</v>
          </cell>
          <cell r="K4315" t="str">
            <v>Production</v>
          </cell>
          <cell r="L4315" t="str">
            <v>Sample</v>
          </cell>
          <cell r="N4315" t="str">
            <v>SG&amp;A</v>
          </cell>
          <cell r="O4315" t="str">
            <v>Porta Asiatica Enterprises Inc</v>
          </cell>
        </row>
        <row r="4316">
          <cell r="D4316">
            <v>401.5</v>
          </cell>
          <cell r="H4316">
            <v>45566</v>
          </cell>
          <cell r="I4316" t="str">
            <v>6363 - Development</v>
          </cell>
          <cell r="J4316" t="str">
            <v>Ecommerce (US)</v>
          </cell>
          <cell r="K4316" t="str">
            <v>Production</v>
          </cell>
          <cell r="L4316" t="str">
            <v>Sample</v>
          </cell>
          <cell r="N4316" t="str">
            <v>SG&amp;A</v>
          </cell>
          <cell r="O4316" t="str">
            <v>Porta Asiatica Enterprises Inc</v>
          </cell>
        </row>
        <row r="4317">
          <cell r="D4317">
            <v>401.5</v>
          </cell>
          <cell r="H4317">
            <v>45566</v>
          </cell>
          <cell r="I4317" t="str">
            <v>6363 - Development</v>
          </cell>
          <cell r="J4317">
            <v>0</v>
          </cell>
          <cell r="K4317" t="str">
            <v>Production</v>
          </cell>
          <cell r="L4317" t="str">
            <v>Sample</v>
          </cell>
          <cell r="N4317" t="str">
            <v>SG&amp;A</v>
          </cell>
          <cell r="O4317" t="str">
            <v>Porta Asiatica Enterprises Inc</v>
          </cell>
        </row>
        <row r="4318">
          <cell r="D4318">
            <v>803</v>
          </cell>
          <cell r="H4318">
            <v>45566</v>
          </cell>
          <cell r="I4318" t="str">
            <v>6363 - Development</v>
          </cell>
          <cell r="J4318" t="str">
            <v>Wholesale</v>
          </cell>
          <cell r="K4318" t="str">
            <v>Production</v>
          </cell>
          <cell r="L4318" t="str">
            <v>Sample</v>
          </cell>
          <cell r="N4318" t="str">
            <v>SG&amp;A</v>
          </cell>
          <cell r="O4318" t="str">
            <v>Porta Asiatica Enterprises Inc</v>
          </cell>
        </row>
        <row r="4319">
          <cell r="D4319">
            <v>750</v>
          </cell>
          <cell r="H4319">
            <v>45566</v>
          </cell>
          <cell r="I4319" t="str">
            <v>6040 - Employer Paid Benefits</v>
          </cell>
          <cell r="J4319">
            <v>0</v>
          </cell>
          <cell r="K4319" t="str">
            <v>Administration</v>
          </cell>
          <cell r="L4319" t="str">
            <v>HQ Salaries</v>
          </cell>
          <cell r="N4319" t="str">
            <v>SG&amp;A</v>
          </cell>
          <cell r="O4319" t="str">
            <v>Procyon Benefits LLC</v>
          </cell>
        </row>
        <row r="4320">
          <cell r="D4320">
            <v>1105</v>
          </cell>
          <cell r="H4320">
            <v>45566</v>
          </cell>
          <cell r="I4320" t="str">
            <v>6300 - Payroll Service Fees</v>
          </cell>
          <cell r="J4320">
            <v>0</v>
          </cell>
          <cell r="K4320" t="str">
            <v>Administration</v>
          </cell>
          <cell r="L4320" t="str">
            <v>Professional Service</v>
          </cell>
          <cell r="N4320" t="str">
            <v>SG&amp;A</v>
          </cell>
          <cell r="O4320" t="str">
            <v>OperationsInc, LLC</v>
          </cell>
        </row>
        <row r="4321">
          <cell r="D4321">
            <v>2779.4</v>
          </cell>
          <cell r="H4321">
            <v>45566</v>
          </cell>
          <cell r="I4321" t="str">
            <v>6375 - Freight Expenses</v>
          </cell>
          <cell r="J4321">
            <v>0</v>
          </cell>
          <cell r="K4321" t="str">
            <v>Production</v>
          </cell>
          <cell r="L4321" t="str">
            <v>Freight</v>
          </cell>
          <cell r="N4321" t="str">
            <v>Direct Costs</v>
          </cell>
          <cell r="O4321" t="str">
            <v>DHL Express - USA</v>
          </cell>
        </row>
        <row r="4322">
          <cell r="D4322">
            <v>58.95</v>
          </cell>
          <cell r="H4322">
            <v>45566</v>
          </cell>
          <cell r="I4322" t="str">
            <v>6040 - Employer Paid Benefits</v>
          </cell>
          <cell r="J4322">
            <v>0</v>
          </cell>
          <cell r="K4322" t="str">
            <v>Production</v>
          </cell>
          <cell r="L4322" t="str">
            <v>HQ Salaries</v>
          </cell>
          <cell r="N4322" t="str">
            <v>SG&amp;A</v>
          </cell>
          <cell r="O4322" t="str">
            <v>Procyon Benefits LLC</v>
          </cell>
        </row>
        <row r="4323">
          <cell r="D4323">
            <v>45.18</v>
          </cell>
          <cell r="H4323">
            <v>45566</v>
          </cell>
          <cell r="I4323" t="str">
            <v>6040 - Employer Paid Benefits</v>
          </cell>
          <cell r="J4323">
            <v>0</v>
          </cell>
          <cell r="K4323" t="str">
            <v>Merchandising</v>
          </cell>
          <cell r="L4323" t="str">
            <v>HQ Salaries</v>
          </cell>
          <cell r="N4323" t="str">
            <v>SG&amp;A</v>
          </cell>
          <cell r="O4323" t="str">
            <v>Procyon Benefits LLC</v>
          </cell>
        </row>
        <row r="4324">
          <cell r="D4324">
            <v>20</v>
          </cell>
          <cell r="H4324">
            <v>45566</v>
          </cell>
          <cell r="I4324" t="str">
            <v>6040 - Employer Paid Benefits</v>
          </cell>
          <cell r="J4324" t="str">
            <v>Ecommerce (US)</v>
          </cell>
          <cell r="K4324" t="str">
            <v>Ecommerce</v>
          </cell>
          <cell r="L4324" t="str">
            <v>HQ Salaries</v>
          </cell>
          <cell r="N4324" t="str">
            <v>SG&amp;A</v>
          </cell>
          <cell r="O4324" t="str">
            <v>Procyon Benefits LLC</v>
          </cell>
        </row>
        <row r="4325">
          <cell r="D4325">
            <v>480.79</v>
          </cell>
          <cell r="H4325">
            <v>45566</v>
          </cell>
          <cell r="I4325" t="str">
            <v>6040 - Employer Paid Benefits</v>
          </cell>
          <cell r="J4325">
            <v>0</v>
          </cell>
          <cell r="K4325" t="str">
            <v>Executive</v>
          </cell>
          <cell r="L4325" t="str">
            <v>HQ Salaries</v>
          </cell>
          <cell r="N4325" t="str">
            <v>SG&amp;A</v>
          </cell>
          <cell r="O4325" t="str">
            <v>Procyon Benefits LLC</v>
          </cell>
        </row>
        <row r="4326">
          <cell r="D4326">
            <v>104</v>
          </cell>
          <cell r="H4326">
            <v>45566</v>
          </cell>
          <cell r="I4326" t="str">
            <v>6040 - Employer Paid Benefits</v>
          </cell>
          <cell r="J4326">
            <v>0</v>
          </cell>
          <cell r="K4326" t="str">
            <v>Design</v>
          </cell>
          <cell r="L4326" t="str">
            <v>HQ Salaries</v>
          </cell>
          <cell r="N4326" t="str">
            <v>SG&amp;A</v>
          </cell>
          <cell r="O4326" t="str">
            <v>Procyon Benefits LLC</v>
          </cell>
        </row>
        <row r="4327">
          <cell r="D4327">
            <v>146.69999999999999</v>
          </cell>
          <cell r="H4327">
            <v>45566</v>
          </cell>
          <cell r="I4327" t="str">
            <v>6115 - Airfare</v>
          </cell>
          <cell r="J4327">
            <v>0</v>
          </cell>
          <cell r="K4327" t="str">
            <v>Executive</v>
          </cell>
          <cell r="L4327" t="str">
            <v>T&amp;E</v>
          </cell>
          <cell r="N4327" t="str">
            <v>SG&amp;A</v>
          </cell>
          <cell r="O4327" t="str">
            <v>[No Vendor]</v>
          </cell>
        </row>
        <row r="4328">
          <cell r="D4328">
            <v>1034.31</v>
          </cell>
          <cell r="H4328">
            <v>45566</v>
          </cell>
          <cell r="I4328" t="str">
            <v>6340 - Miscellaneous Expense</v>
          </cell>
          <cell r="J4328">
            <v>0</v>
          </cell>
          <cell r="K4328" t="str">
            <v>Administration</v>
          </cell>
          <cell r="L4328" t="str">
            <v>Other</v>
          </cell>
          <cell r="N4328" t="str">
            <v>SG&amp;A</v>
          </cell>
          <cell r="O4328" t="str">
            <v>Go Gleem LLC</v>
          </cell>
        </row>
        <row r="4329">
          <cell r="D4329">
            <v>24.99</v>
          </cell>
          <cell r="H4329">
            <v>45566</v>
          </cell>
          <cell r="I4329" t="str">
            <v>6340 - Miscellaneous Expense</v>
          </cell>
          <cell r="J4329">
            <v>0</v>
          </cell>
          <cell r="K4329" t="str">
            <v>Executive</v>
          </cell>
          <cell r="L4329" t="str">
            <v>Other</v>
          </cell>
          <cell r="N4329" t="str">
            <v>SG&amp;A</v>
          </cell>
          <cell r="O4329" t="str">
            <v>[No Vendor]</v>
          </cell>
        </row>
        <row r="4330">
          <cell r="D4330">
            <v>-19.43</v>
          </cell>
          <cell r="H4330">
            <v>45566</v>
          </cell>
          <cell r="I4330" t="str">
            <v>6340 - Miscellaneous Expense</v>
          </cell>
          <cell r="J4330">
            <v>0</v>
          </cell>
          <cell r="K4330" t="str">
            <v>Executive</v>
          </cell>
          <cell r="L4330" t="str">
            <v>Other</v>
          </cell>
          <cell r="N4330" t="str">
            <v>SG&amp;A</v>
          </cell>
          <cell r="O4330" t="str">
            <v>[No Vendor]</v>
          </cell>
        </row>
        <row r="4331">
          <cell r="D4331">
            <v>17.62</v>
          </cell>
          <cell r="H4331">
            <v>45566</v>
          </cell>
          <cell r="I4331" t="str">
            <v>6340 - Miscellaneous Expense</v>
          </cell>
          <cell r="J4331">
            <v>0</v>
          </cell>
          <cell r="K4331" t="str">
            <v>Executive</v>
          </cell>
          <cell r="L4331" t="str">
            <v>Other</v>
          </cell>
          <cell r="N4331" t="str">
            <v>SG&amp;A</v>
          </cell>
          <cell r="O4331" t="str">
            <v>[No Vendor]</v>
          </cell>
        </row>
        <row r="4332">
          <cell r="D4332">
            <v>19.43</v>
          </cell>
          <cell r="H4332">
            <v>45566</v>
          </cell>
          <cell r="I4332" t="str">
            <v>6340 - Miscellaneous Expense</v>
          </cell>
          <cell r="J4332">
            <v>0</v>
          </cell>
          <cell r="K4332" t="str">
            <v>Executive</v>
          </cell>
          <cell r="L4332" t="str">
            <v>Other</v>
          </cell>
          <cell r="N4332" t="str">
            <v>SG&amp;A</v>
          </cell>
          <cell r="O4332" t="str">
            <v>[No Vendor]</v>
          </cell>
        </row>
        <row r="4333">
          <cell r="D4333">
            <v>230.73</v>
          </cell>
          <cell r="H4333">
            <v>45566</v>
          </cell>
          <cell r="I4333" t="str">
            <v>6140 - Other</v>
          </cell>
          <cell r="J4333">
            <v>0</v>
          </cell>
          <cell r="K4333" t="str">
            <v>Executive</v>
          </cell>
          <cell r="L4333" t="str">
            <v>T&amp;E</v>
          </cell>
          <cell r="N4333" t="str">
            <v>SG&amp;A</v>
          </cell>
          <cell r="O4333" t="str">
            <v>[No Vendor]</v>
          </cell>
        </row>
        <row r="4334">
          <cell r="D4334">
            <v>5</v>
          </cell>
          <cell r="H4334">
            <v>45566</v>
          </cell>
          <cell r="I4334" t="str">
            <v>6140 - Other</v>
          </cell>
          <cell r="J4334">
            <v>0</v>
          </cell>
          <cell r="K4334" t="str">
            <v>Executive</v>
          </cell>
          <cell r="L4334" t="str">
            <v>T&amp;E</v>
          </cell>
          <cell r="N4334" t="str">
            <v>SG&amp;A</v>
          </cell>
          <cell r="O4334" t="str">
            <v>[No Vendor]</v>
          </cell>
        </row>
        <row r="4335">
          <cell r="D4335">
            <v>10</v>
          </cell>
          <cell r="H4335">
            <v>45566</v>
          </cell>
          <cell r="I4335" t="str">
            <v>6140 - Other</v>
          </cell>
          <cell r="J4335">
            <v>0</v>
          </cell>
          <cell r="K4335" t="str">
            <v>Executive</v>
          </cell>
          <cell r="L4335" t="str">
            <v>T&amp;E</v>
          </cell>
          <cell r="N4335" t="str">
            <v>SG&amp;A</v>
          </cell>
          <cell r="O4335" t="str">
            <v>[No Vendor]</v>
          </cell>
        </row>
        <row r="4336">
          <cell r="D4336">
            <v>2500</v>
          </cell>
          <cell r="H4336">
            <v>45566</v>
          </cell>
          <cell r="I4336" t="str">
            <v>6225 - Professional Services</v>
          </cell>
          <cell r="J4336">
            <v>0</v>
          </cell>
          <cell r="K4336" t="str">
            <v>Administration</v>
          </cell>
          <cell r="L4336" t="str">
            <v>Professional Service</v>
          </cell>
          <cell r="N4336" t="str">
            <v>Direct Costs</v>
          </cell>
          <cell r="O4336" t="str">
            <v>Procyon Benefits LLC</v>
          </cell>
        </row>
        <row r="4337">
          <cell r="D4337">
            <v>19</v>
          </cell>
          <cell r="H4337">
            <v>45566</v>
          </cell>
          <cell r="I4337" t="str">
            <v>6115 - Airfare</v>
          </cell>
          <cell r="J4337">
            <v>0</v>
          </cell>
          <cell r="K4337" t="str">
            <v>Executive</v>
          </cell>
          <cell r="L4337" t="str">
            <v>T&amp;E</v>
          </cell>
          <cell r="N4337" t="str">
            <v>SG&amp;A</v>
          </cell>
          <cell r="O4337" t="str">
            <v>[No Vendor]</v>
          </cell>
        </row>
        <row r="4338">
          <cell r="D4338">
            <v>-22.25</v>
          </cell>
          <cell r="H4338">
            <v>45566</v>
          </cell>
          <cell r="I4338" t="str">
            <v>6115 - Airfare</v>
          </cell>
          <cell r="J4338">
            <v>0</v>
          </cell>
          <cell r="K4338" t="str">
            <v>Executive</v>
          </cell>
          <cell r="L4338" t="str">
            <v>T&amp;E</v>
          </cell>
          <cell r="N4338" t="str">
            <v>SG&amp;A</v>
          </cell>
          <cell r="O4338" t="str">
            <v>[No Vendor]</v>
          </cell>
        </row>
        <row r="4339">
          <cell r="D4339">
            <v>344.11</v>
          </cell>
          <cell r="H4339">
            <v>45566</v>
          </cell>
          <cell r="I4339" t="str">
            <v>6300 - Payroll Service Fees</v>
          </cell>
          <cell r="J4339">
            <v>0</v>
          </cell>
          <cell r="K4339" t="str">
            <v>Administration</v>
          </cell>
          <cell r="L4339" t="str">
            <v>Professional Service</v>
          </cell>
          <cell r="N4339" t="str">
            <v>SG&amp;A</v>
          </cell>
          <cell r="O4339" t="str">
            <v>ADP Payroll Services</v>
          </cell>
        </row>
        <row r="4340">
          <cell r="D4340">
            <v>169.95</v>
          </cell>
          <cell r="H4340">
            <v>45566</v>
          </cell>
          <cell r="I4340" t="str">
            <v>6375 - Freight Expenses</v>
          </cell>
          <cell r="J4340" t="str">
            <v>Wholesale</v>
          </cell>
          <cell r="K4340" t="str">
            <v>Wholesale</v>
          </cell>
          <cell r="L4340" t="str">
            <v>Freight</v>
          </cell>
          <cell r="N4340" t="str">
            <v>Direct Costs</v>
          </cell>
          <cell r="O4340" t="str">
            <v>UPS Supply Chain Solutions Inc. (7F24A0)</v>
          </cell>
        </row>
        <row r="4341">
          <cell r="D4341">
            <v>20598.48</v>
          </cell>
          <cell r="H4341">
            <v>45566</v>
          </cell>
          <cell r="I4341" t="str">
            <v>6375 - Freight Expenses</v>
          </cell>
          <cell r="J4341" t="str">
            <v>Ecommerce (US)</v>
          </cell>
          <cell r="K4341" t="str">
            <v>Ecommerce</v>
          </cell>
          <cell r="L4341" t="str">
            <v>Freight</v>
          </cell>
          <cell r="N4341" t="str">
            <v>Direct Costs</v>
          </cell>
          <cell r="O4341" t="str">
            <v>UPS Supply Chain Solutions Inc. (7F24A0)</v>
          </cell>
        </row>
        <row r="4342">
          <cell r="D4342">
            <v>719.8</v>
          </cell>
          <cell r="H4342">
            <v>45566</v>
          </cell>
          <cell r="I4342" t="str">
            <v>6410 - Lease Expense</v>
          </cell>
          <cell r="J4342">
            <v>0</v>
          </cell>
          <cell r="K4342" t="str">
            <v>Administration</v>
          </cell>
          <cell r="L4342" t="str">
            <v>Rent</v>
          </cell>
          <cell r="N4342" t="str">
            <v>SG&amp;A</v>
          </cell>
          <cell r="O4342" t="str">
            <v>Canon Financial Services, Inc.</v>
          </cell>
        </row>
        <row r="4343">
          <cell r="D4343">
            <v>4205.4399999999996</v>
          </cell>
          <cell r="H4343">
            <v>45566</v>
          </cell>
          <cell r="I4343" t="str">
            <v>6375 - Freight Expenses</v>
          </cell>
          <cell r="J4343" t="str">
            <v>Ecommerce (EU)</v>
          </cell>
          <cell r="K4343" t="str">
            <v>Ecommerce</v>
          </cell>
          <cell r="L4343" t="str">
            <v>Freight</v>
          </cell>
          <cell r="N4343" t="str">
            <v>Direct Costs</v>
          </cell>
          <cell r="O4343" t="str">
            <v>Global E</v>
          </cell>
        </row>
        <row r="4344">
          <cell r="D4344">
            <v>11580.73</v>
          </cell>
          <cell r="H4344">
            <v>45566</v>
          </cell>
          <cell r="I4344" t="str">
            <v>5001 - Cost of Goods Sold - Other</v>
          </cell>
          <cell r="J4344" t="str">
            <v>Ecommerce (EU)</v>
          </cell>
          <cell r="K4344" t="str">
            <v>Ecommerce</v>
          </cell>
          <cell r="L4344" t="str">
            <v>Other COGS</v>
          </cell>
          <cell r="N4344" t="str">
            <v>COGS</v>
          </cell>
          <cell r="O4344" t="str">
            <v>[No Vendor]</v>
          </cell>
        </row>
        <row r="4345">
          <cell r="D4345">
            <v>986.47</v>
          </cell>
          <cell r="H4345">
            <v>45566</v>
          </cell>
          <cell r="I4345" t="str">
            <v>6377 - Order Processing Expenses (New)</v>
          </cell>
          <cell r="J4345" t="str">
            <v>Ecommerce (EU)</v>
          </cell>
          <cell r="K4345" t="str">
            <v>Ecommerce</v>
          </cell>
          <cell r="L4345" t="str">
            <v>Order Processing</v>
          </cell>
          <cell r="N4345" t="str">
            <v>Direct Costs</v>
          </cell>
          <cell r="O4345" t="str">
            <v>[No Vendor]</v>
          </cell>
        </row>
        <row r="4346">
          <cell r="D4346">
            <v>3403.09</v>
          </cell>
          <cell r="H4346">
            <v>45566</v>
          </cell>
          <cell r="I4346" t="str">
            <v>6450 - Bank &amp; Other Fees</v>
          </cell>
          <cell r="J4346" t="str">
            <v>Ecommerce (EU)</v>
          </cell>
          <cell r="K4346" t="str">
            <v>Ecommerce</v>
          </cell>
          <cell r="L4346" t="str">
            <v>Professional Service</v>
          </cell>
          <cell r="N4346" t="str">
            <v>Direct Costs</v>
          </cell>
          <cell r="O4346" t="str">
            <v>[No Vendor]</v>
          </cell>
        </row>
        <row r="4347">
          <cell r="D4347">
            <v>274.02999999999997</v>
          </cell>
          <cell r="H4347">
            <v>45566</v>
          </cell>
          <cell r="I4347" t="str">
            <v>6375 - Freight Expenses</v>
          </cell>
          <cell r="J4347" t="str">
            <v>Wholesale</v>
          </cell>
          <cell r="K4347" t="str">
            <v>Wholesale</v>
          </cell>
          <cell r="L4347" t="str">
            <v>Freight</v>
          </cell>
          <cell r="N4347" t="str">
            <v>Direct Costs</v>
          </cell>
          <cell r="O4347" t="str">
            <v>Bergen Logistics Corporation</v>
          </cell>
        </row>
        <row r="4348">
          <cell r="D4348">
            <v>32876.449999999997</v>
          </cell>
          <cell r="H4348">
            <v>45566</v>
          </cell>
          <cell r="I4348" t="str">
            <v>6377 - Order Processing Expenses (New)</v>
          </cell>
          <cell r="J4348" t="str">
            <v>Ecommerce (US)</v>
          </cell>
          <cell r="K4348" t="str">
            <v>Ecommerce</v>
          </cell>
          <cell r="L4348" t="str">
            <v>Order Processing</v>
          </cell>
          <cell r="N4348" t="str">
            <v>Direct Costs</v>
          </cell>
          <cell r="O4348" t="str">
            <v>Bergen Logistics Corporation</v>
          </cell>
        </row>
        <row r="4349">
          <cell r="D4349">
            <v>1644.78</v>
          </cell>
          <cell r="H4349">
            <v>45566</v>
          </cell>
          <cell r="I4349" t="str">
            <v>6377 - Order Processing Expenses (New)</v>
          </cell>
          <cell r="J4349" t="str">
            <v>Wholesale</v>
          </cell>
          <cell r="K4349" t="str">
            <v>Wholesale</v>
          </cell>
          <cell r="L4349" t="str">
            <v>Order Processing</v>
          </cell>
          <cell r="N4349" t="str">
            <v>Direct Costs</v>
          </cell>
          <cell r="O4349" t="str">
            <v>Bergen Logistics Corporation</v>
          </cell>
        </row>
        <row r="4350">
          <cell r="D4350">
            <v>4750</v>
          </cell>
          <cell r="H4350">
            <v>45566</v>
          </cell>
          <cell r="I4350" t="str">
            <v>6225 - Professional Services</v>
          </cell>
          <cell r="J4350">
            <v>0</v>
          </cell>
          <cell r="K4350" t="str">
            <v>Brand Marketing</v>
          </cell>
          <cell r="L4350" t="str">
            <v>Professional Service</v>
          </cell>
          <cell r="N4350" t="str">
            <v>Direct Costs</v>
          </cell>
          <cell r="O4350" t="str">
            <v>Melody  Huang</v>
          </cell>
        </row>
        <row r="4351">
          <cell r="D4351">
            <v>72.38</v>
          </cell>
          <cell r="H4351">
            <v>45566</v>
          </cell>
          <cell r="I4351" t="str">
            <v>6375 - Freight Expenses</v>
          </cell>
          <cell r="J4351" t="str">
            <v>Ecommerce (US)</v>
          </cell>
          <cell r="K4351" t="str">
            <v>Ecommerce</v>
          </cell>
          <cell r="L4351" t="str">
            <v>Freight</v>
          </cell>
          <cell r="N4351" t="str">
            <v>Direct Costs</v>
          </cell>
          <cell r="O4351" t="str">
            <v>Bergen Logistics Corporation</v>
          </cell>
        </row>
        <row r="4352">
          <cell r="D4352">
            <v>-5.56</v>
          </cell>
          <cell r="H4352">
            <v>45566</v>
          </cell>
          <cell r="I4352" t="str">
            <v>6377 - Order Processing Expenses (New)</v>
          </cell>
          <cell r="J4352" t="str">
            <v>Ecommerce (US)</v>
          </cell>
          <cell r="K4352" t="str">
            <v>No Department</v>
          </cell>
          <cell r="L4352" t="str">
            <v>Order Processing</v>
          </cell>
          <cell r="N4352" t="str">
            <v>Direct Costs</v>
          </cell>
          <cell r="O4352" t="str">
            <v>Bergen Logistics Corporation</v>
          </cell>
        </row>
        <row r="4353">
          <cell r="D4353">
            <v>-51.02</v>
          </cell>
          <cell r="H4353">
            <v>45566</v>
          </cell>
          <cell r="I4353" t="str">
            <v>6377 - Order Processing Expenses (New)</v>
          </cell>
          <cell r="J4353" t="str">
            <v>Ecommerce (US)</v>
          </cell>
          <cell r="K4353" t="str">
            <v>No Department</v>
          </cell>
          <cell r="L4353" t="str">
            <v>Order Processing</v>
          </cell>
          <cell r="N4353" t="str">
            <v>Direct Costs</v>
          </cell>
          <cell r="O4353" t="str">
            <v>Bergen Logistics Corporation</v>
          </cell>
        </row>
        <row r="4354">
          <cell r="D4354">
            <v>14.5</v>
          </cell>
          <cell r="H4354">
            <v>45566</v>
          </cell>
          <cell r="I4354" t="str">
            <v>6040 - Employer Paid Benefits</v>
          </cell>
          <cell r="J4354">
            <v>0</v>
          </cell>
          <cell r="K4354" t="str">
            <v>Design</v>
          </cell>
          <cell r="L4354" t="str">
            <v>HQ Salaries</v>
          </cell>
          <cell r="N4354" t="str">
            <v>SG&amp;A</v>
          </cell>
          <cell r="O4354" t="str">
            <v>Procyon Benefits LLC</v>
          </cell>
        </row>
        <row r="4355">
          <cell r="D4355">
            <v>682.5</v>
          </cell>
          <cell r="H4355">
            <v>45566</v>
          </cell>
          <cell r="I4355" t="str">
            <v>6300 - Payroll Service Fees</v>
          </cell>
          <cell r="J4355">
            <v>0</v>
          </cell>
          <cell r="K4355" t="str">
            <v>Administration</v>
          </cell>
          <cell r="L4355" t="str">
            <v>Professional Service</v>
          </cell>
          <cell r="N4355" t="str">
            <v>SG&amp;A</v>
          </cell>
          <cell r="O4355" t="str">
            <v>OperationsInc, LLC</v>
          </cell>
        </row>
        <row r="4356">
          <cell r="D4356">
            <v>1365.28</v>
          </cell>
          <cell r="H4356">
            <v>45566</v>
          </cell>
          <cell r="I4356" t="str">
            <v>6375 - Freight Expenses</v>
          </cell>
          <cell r="J4356">
            <v>0</v>
          </cell>
          <cell r="K4356" t="str">
            <v>Production</v>
          </cell>
          <cell r="L4356" t="str">
            <v>Freight</v>
          </cell>
          <cell r="N4356" t="str">
            <v>Direct Costs</v>
          </cell>
          <cell r="O4356" t="str">
            <v>DHL Express - USA</v>
          </cell>
        </row>
        <row r="4357">
          <cell r="D4357">
            <v>44.9</v>
          </cell>
          <cell r="H4357">
            <v>45566</v>
          </cell>
          <cell r="I4357" t="str">
            <v>6375 - Freight Expenses</v>
          </cell>
          <cell r="J4357">
            <v>0</v>
          </cell>
          <cell r="K4357" t="str">
            <v>Production</v>
          </cell>
          <cell r="L4357" t="str">
            <v>Freight</v>
          </cell>
          <cell r="N4357" t="str">
            <v>Direct Costs</v>
          </cell>
          <cell r="O4357" t="str">
            <v>DHL Express - USA</v>
          </cell>
        </row>
        <row r="4358">
          <cell r="D4358">
            <v>63.13</v>
          </cell>
          <cell r="H4358">
            <v>45566</v>
          </cell>
          <cell r="I4358" t="str">
            <v>6375 - Freight Expenses</v>
          </cell>
          <cell r="J4358">
            <v>0</v>
          </cell>
          <cell r="K4358" t="str">
            <v>Production</v>
          </cell>
          <cell r="L4358" t="str">
            <v>Freight</v>
          </cell>
          <cell r="N4358" t="str">
            <v>Direct Costs</v>
          </cell>
          <cell r="O4358" t="str">
            <v>DHL Express - USA</v>
          </cell>
        </row>
        <row r="4359">
          <cell r="D4359">
            <v>87.8</v>
          </cell>
          <cell r="H4359">
            <v>45566</v>
          </cell>
          <cell r="I4359" t="str">
            <v>6040 - Employer Paid Benefits</v>
          </cell>
          <cell r="J4359">
            <v>0</v>
          </cell>
          <cell r="K4359" t="str">
            <v>Production</v>
          </cell>
          <cell r="L4359" t="str">
            <v>HQ Salaries</v>
          </cell>
          <cell r="N4359" t="str">
            <v>SG&amp;A</v>
          </cell>
          <cell r="O4359" t="str">
            <v>Procyon Benefits LLC</v>
          </cell>
        </row>
        <row r="4360">
          <cell r="D4360">
            <v>118.8</v>
          </cell>
          <cell r="H4360">
            <v>45566</v>
          </cell>
          <cell r="I4360" t="str">
            <v>6040 - Employer Paid Benefits</v>
          </cell>
          <cell r="J4360">
            <v>0</v>
          </cell>
          <cell r="K4360" t="str">
            <v>Merchandising</v>
          </cell>
          <cell r="L4360" t="str">
            <v>HQ Salaries</v>
          </cell>
          <cell r="N4360" t="str">
            <v>SG&amp;A</v>
          </cell>
          <cell r="O4360" t="str">
            <v>Procyon Benefits LLC</v>
          </cell>
        </row>
        <row r="4361">
          <cell r="D4361">
            <v>711</v>
          </cell>
          <cell r="H4361">
            <v>45566</v>
          </cell>
          <cell r="I4361" t="str">
            <v>6040 - Employer Paid Benefits</v>
          </cell>
          <cell r="J4361">
            <v>0</v>
          </cell>
          <cell r="K4361" t="str">
            <v>Executive</v>
          </cell>
          <cell r="L4361" t="str">
            <v>HQ Salaries</v>
          </cell>
          <cell r="N4361" t="str">
            <v>SG&amp;A</v>
          </cell>
          <cell r="O4361" t="str">
            <v>Procyon Benefits LLC</v>
          </cell>
        </row>
        <row r="4362">
          <cell r="D4362">
            <v>27</v>
          </cell>
          <cell r="H4362">
            <v>45566</v>
          </cell>
          <cell r="I4362" t="str">
            <v>6520 - Taxes and Licenses</v>
          </cell>
          <cell r="J4362">
            <v>0</v>
          </cell>
          <cell r="K4362" t="str">
            <v>Administration</v>
          </cell>
          <cell r="L4362" t="str">
            <v>Other</v>
          </cell>
          <cell r="N4362" t="str">
            <v>SG&amp;A</v>
          </cell>
          <cell r="O4362" t="str">
            <v>[No Vendor]</v>
          </cell>
        </row>
        <row r="4363">
          <cell r="D4363">
            <v>3206</v>
          </cell>
          <cell r="H4363">
            <v>45566</v>
          </cell>
          <cell r="I4363" t="str">
            <v>6520 - Taxes and Licenses</v>
          </cell>
          <cell r="J4363">
            <v>0</v>
          </cell>
          <cell r="K4363" t="str">
            <v>Administration</v>
          </cell>
          <cell r="L4363" t="str">
            <v>Other</v>
          </cell>
          <cell r="N4363" t="str">
            <v>SG&amp;A</v>
          </cell>
          <cell r="O4363" t="str">
            <v>[No Vendor]</v>
          </cell>
        </row>
        <row r="4364">
          <cell r="D4364">
            <v>1175</v>
          </cell>
          <cell r="H4364">
            <v>45566</v>
          </cell>
          <cell r="I4364" t="str">
            <v>6520 - Taxes and Licenses</v>
          </cell>
          <cell r="J4364">
            <v>0</v>
          </cell>
          <cell r="K4364" t="str">
            <v>Administration</v>
          </cell>
          <cell r="L4364" t="str">
            <v>Other</v>
          </cell>
          <cell r="N4364" t="str">
            <v>SG&amp;A</v>
          </cell>
          <cell r="O4364" t="str">
            <v>[No Vendor]</v>
          </cell>
        </row>
        <row r="4365">
          <cell r="D4365">
            <v>203</v>
          </cell>
          <cell r="H4365">
            <v>45566</v>
          </cell>
          <cell r="I4365" t="str">
            <v>6520 - Taxes and Licenses</v>
          </cell>
          <cell r="J4365">
            <v>0</v>
          </cell>
          <cell r="K4365" t="str">
            <v>Administration</v>
          </cell>
          <cell r="L4365" t="str">
            <v>Other</v>
          </cell>
          <cell r="N4365" t="str">
            <v>SG&amp;A</v>
          </cell>
          <cell r="O4365" t="str">
            <v>[No Vendor]</v>
          </cell>
        </row>
        <row r="4366">
          <cell r="D4366">
            <v>41</v>
          </cell>
          <cell r="H4366">
            <v>45566</v>
          </cell>
          <cell r="I4366" t="str">
            <v>6520 - Taxes and Licenses</v>
          </cell>
          <cell r="J4366">
            <v>0</v>
          </cell>
          <cell r="K4366" t="str">
            <v>Administration</v>
          </cell>
          <cell r="L4366" t="str">
            <v>Other</v>
          </cell>
          <cell r="N4366" t="str">
            <v>SG&amp;A</v>
          </cell>
          <cell r="O4366" t="str">
            <v>[No Vendor]</v>
          </cell>
        </row>
        <row r="4367">
          <cell r="D4367">
            <v>239.47</v>
          </cell>
          <cell r="H4367">
            <v>45566</v>
          </cell>
          <cell r="I4367" t="str">
            <v>6363 - Development</v>
          </cell>
          <cell r="J4367">
            <v>0</v>
          </cell>
          <cell r="K4367" t="str">
            <v>Design</v>
          </cell>
          <cell r="L4367" t="str">
            <v>Sample</v>
          </cell>
          <cell r="N4367" t="str">
            <v>SG&amp;A</v>
          </cell>
          <cell r="O4367" t="str">
            <v>Consul + SRL</v>
          </cell>
        </row>
        <row r="4368">
          <cell r="D4368">
            <v>4166.34</v>
          </cell>
          <cell r="H4368">
            <v>45566</v>
          </cell>
          <cell r="I4368" t="str">
            <v>6210 - Monitoring</v>
          </cell>
          <cell r="J4368" t="str">
            <v>Ecommerce (EU)</v>
          </cell>
          <cell r="K4368" t="str">
            <v>Ecommerce</v>
          </cell>
          <cell r="L4368" t="str">
            <v>Professional Service</v>
          </cell>
          <cell r="N4368" t="str">
            <v>Direct Costs</v>
          </cell>
          <cell r="O4368" t="str">
            <v>Convey SRL</v>
          </cell>
        </row>
        <row r="4369">
          <cell r="D4369">
            <v>11153.85</v>
          </cell>
          <cell r="H4369">
            <v>45566</v>
          </cell>
          <cell r="I4369" t="str">
            <v>6005 - Salaries</v>
          </cell>
          <cell r="J4369">
            <v>0</v>
          </cell>
          <cell r="K4369" t="str">
            <v>Executive</v>
          </cell>
          <cell r="L4369" t="str">
            <v>HQ Salaries</v>
          </cell>
          <cell r="N4369" t="str">
            <v>SG&amp;A</v>
          </cell>
          <cell r="O4369" t="str">
            <v>[No Vendor]</v>
          </cell>
        </row>
        <row r="4370">
          <cell r="D4370">
            <v>0</v>
          </cell>
          <cell r="H4370">
            <v>45566</v>
          </cell>
          <cell r="I4370" t="str">
            <v>6205 - Contractors</v>
          </cell>
          <cell r="J4370" t="str">
            <v>Ecommerce (US)</v>
          </cell>
          <cell r="K4370" t="str">
            <v>Ecommerce</v>
          </cell>
          <cell r="L4370" t="str">
            <v>HQ Salaries</v>
          </cell>
          <cell r="N4370" t="str">
            <v>SG&amp;A</v>
          </cell>
          <cell r="O4370" t="str">
            <v>[No Vendor]</v>
          </cell>
        </row>
        <row r="4371">
          <cell r="D4371">
            <v>910</v>
          </cell>
          <cell r="H4371">
            <v>45566</v>
          </cell>
          <cell r="I4371" t="str">
            <v>6205 - Contractors</v>
          </cell>
          <cell r="J4371">
            <v>0</v>
          </cell>
          <cell r="K4371" t="str">
            <v>Design</v>
          </cell>
          <cell r="L4371" t="str">
            <v>HQ Salaries</v>
          </cell>
          <cell r="N4371" t="str">
            <v>SG&amp;A</v>
          </cell>
          <cell r="O4371" t="str">
            <v>[No Vendor]</v>
          </cell>
        </row>
        <row r="4372">
          <cell r="D4372">
            <v>0</v>
          </cell>
          <cell r="H4372">
            <v>45566</v>
          </cell>
          <cell r="I4372" t="str">
            <v>6205 - Contractors</v>
          </cell>
          <cell r="J4372">
            <v>0</v>
          </cell>
          <cell r="K4372" t="str">
            <v>Brand Marketing</v>
          </cell>
          <cell r="L4372" t="str">
            <v>HQ Salaries</v>
          </cell>
          <cell r="N4372" t="str">
            <v>SG&amp;A</v>
          </cell>
          <cell r="O4372" t="str">
            <v>[No Vendor]</v>
          </cell>
        </row>
        <row r="4373">
          <cell r="D4373">
            <v>1926.43</v>
          </cell>
          <cell r="H4373">
            <v>45566</v>
          </cell>
          <cell r="I4373" t="str">
            <v>6430 - Dues &amp; Memberships</v>
          </cell>
          <cell r="J4373" t="str">
            <v>Ecommerce (US)</v>
          </cell>
          <cell r="K4373" t="str">
            <v>Ecommerce</v>
          </cell>
          <cell r="L4373" t="str">
            <v>Professional Service</v>
          </cell>
          <cell r="N4373" t="str">
            <v>Direct Costs</v>
          </cell>
          <cell r="O4373" t="str">
            <v>Loop</v>
          </cell>
        </row>
        <row r="4374">
          <cell r="D4374">
            <v>-24.45</v>
          </cell>
          <cell r="H4374">
            <v>45566</v>
          </cell>
          <cell r="I4374" t="str">
            <v>6385 - Insurance</v>
          </cell>
          <cell r="J4374">
            <v>0</v>
          </cell>
          <cell r="K4374" t="str">
            <v>Administration</v>
          </cell>
          <cell r="L4374" t="str">
            <v>Professional Service</v>
          </cell>
          <cell r="N4374" t="str">
            <v>SG&amp;A</v>
          </cell>
          <cell r="O4374" t="str">
            <v>[No Vendor]</v>
          </cell>
        </row>
        <row r="4375">
          <cell r="D4375">
            <v>-39.51</v>
          </cell>
          <cell r="H4375">
            <v>45566</v>
          </cell>
          <cell r="I4375" t="str">
            <v>6385 - Insurance</v>
          </cell>
          <cell r="J4375">
            <v>0</v>
          </cell>
          <cell r="K4375" t="str">
            <v>Administration</v>
          </cell>
          <cell r="L4375" t="str">
            <v>Professional Service</v>
          </cell>
          <cell r="N4375" t="str">
            <v>SG&amp;A</v>
          </cell>
          <cell r="O4375" t="str">
            <v>[No Vendor]</v>
          </cell>
        </row>
        <row r="4376">
          <cell r="D4376">
            <v>-40.24</v>
          </cell>
          <cell r="H4376">
            <v>45566</v>
          </cell>
          <cell r="I4376" t="str">
            <v>6385 - Insurance</v>
          </cell>
          <cell r="J4376">
            <v>0</v>
          </cell>
          <cell r="K4376" t="str">
            <v>Administration</v>
          </cell>
          <cell r="L4376" t="str">
            <v>Professional Service</v>
          </cell>
          <cell r="N4376" t="str">
            <v>SG&amp;A</v>
          </cell>
          <cell r="O4376" t="str">
            <v>[No Vendor]</v>
          </cell>
        </row>
        <row r="4377">
          <cell r="D4377">
            <v>-1.2</v>
          </cell>
          <cell r="H4377">
            <v>45566</v>
          </cell>
          <cell r="I4377" t="str">
            <v>6385 - Insurance</v>
          </cell>
          <cell r="J4377">
            <v>0</v>
          </cell>
          <cell r="K4377" t="str">
            <v>Administration</v>
          </cell>
          <cell r="L4377" t="str">
            <v>Professional Service</v>
          </cell>
          <cell r="N4377" t="str">
            <v>SG&amp;A</v>
          </cell>
          <cell r="O4377" t="str">
            <v>[No Vendor]</v>
          </cell>
        </row>
        <row r="4378">
          <cell r="D4378">
            <v>-13.16</v>
          </cell>
          <cell r="H4378">
            <v>45566</v>
          </cell>
          <cell r="I4378" t="str">
            <v>6385 - Insurance</v>
          </cell>
          <cell r="J4378">
            <v>0</v>
          </cell>
          <cell r="K4378" t="str">
            <v>Administration</v>
          </cell>
          <cell r="L4378" t="str">
            <v>Professional Service</v>
          </cell>
          <cell r="N4378" t="str">
            <v>SG&amp;A</v>
          </cell>
          <cell r="O4378" t="str">
            <v>[No Vendor]</v>
          </cell>
        </row>
        <row r="4379">
          <cell r="D4379">
            <v>-29.56</v>
          </cell>
          <cell r="H4379">
            <v>45566</v>
          </cell>
          <cell r="I4379" t="str">
            <v>6385 - Insurance</v>
          </cell>
          <cell r="J4379">
            <v>0</v>
          </cell>
          <cell r="K4379" t="str">
            <v>Administration</v>
          </cell>
          <cell r="L4379" t="str">
            <v>Professional Service</v>
          </cell>
          <cell r="N4379" t="str">
            <v>SG&amp;A</v>
          </cell>
          <cell r="O4379" t="str">
            <v>[No Vendor]</v>
          </cell>
        </row>
        <row r="4380">
          <cell r="D4380">
            <v>-13.39</v>
          </cell>
          <cell r="H4380">
            <v>45566</v>
          </cell>
          <cell r="I4380" t="str">
            <v>6385 - Insurance</v>
          </cell>
          <cell r="J4380">
            <v>0</v>
          </cell>
          <cell r="K4380" t="str">
            <v>Administration</v>
          </cell>
          <cell r="L4380" t="str">
            <v>Professional Service</v>
          </cell>
          <cell r="N4380" t="str">
            <v>SG&amp;A</v>
          </cell>
          <cell r="O4380" t="str">
            <v>[No Vendor]</v>
          </cell>
        </row>
        <row r="4381">
          <cell r="D4381">
            <v>-42.8</v>
          </cell>
          <cell r="H4381">
            <v>45566</v>
          </cell>
          <cell r="I4381" t="str">
            <v>6385 - Insurance</v>
          </cell>
          <cell r="J4381">
            <v>0</v>
          </cell>
          <cell r="K4381" t="str">
            <v>Administration</v>
          </cell>
          <cell r="L4381" t="str">
            <v>Professional Service</v>
          </cell>
          <cell r="N4381" t="str">
            <v>SG&amp;A</v>
          </cell>
          <cell r="O4381" t="str">
            <v>[No Vendor]</v>
          </cell>
        </row>
        <row r="4382">
          <cell r="D4382">
            <v>1858.53</v>
          </cell>
          <cell r="H4382">
            <v>45566</v>
          </cell>
          <cell r="I4382" t="str">
            <v>6055 - Employer Social Security Tax Withheld</v>
          </cell>
          <cell r="J4382">
            <v>0</v>
          </cell>
          <cell r="K4382" t="str">
            <v>Design</v>
          </cell>
          <cell r="L4382" t="str">
            <v>HQ Salaries</v>
          </cell>
          <cell r="N4382" t="str">
            <v>SG&amp;A</v>
          </cell>
          <cell r="O4382" t="str">
            <v>[No Vendor]</v>
          </cell>
        </row>
        <row r="4383">
          <cell r="D4383">
            <v>1913.12</v>
          </cell>
          <cell r="H4383">
            <v>45566</v>
          </cell>
          <cell r="I4383" t="str">
            <v>6055 - Employer Social Security Tax Withheld</v>
          </cell>
          <cell r="J4383">
            <v>0</v>
          </cell>
          <cell r="K4383" t="str">
            <v>Administration</v>
          </cell>
          <cell r="L4383" t="str">
            <v>HQ Salaries</v>
          </cell>
          <cell r="N4383" t="str">
            <v>SG&amp;A</v>
          </cell>
          <cell r="O4383" t="str">
            <v>[No Vendor]</v>
          </cell>
        </row>
        <row r="4384">
          <cell r="D4384">
            <v>579.38</v>
          </cell>
          <cell r="H4384">
            <v>45566</v>
          </cell>
          <cell r="I4384" t="str">
            <v>6055 - Employer Social Security Tax Withheld</v>
          </cell>
          <cell r="J4384">
            <v>0</v>
          </cell>
          <cell r="K4384" t="str">
            <v>Merchandising</v>
          </cell>
          <cell r="L4384" t="str">
            <v>HQ Salaries</v>
          </cell>
          <cell r="N4384" t="str">
            <v>SG&amp;A</v>
          </cell>
          <cell r="O4384" t="str">
            <v>[No Vendor]</v>
          </cell>
        </row>
        <row r="4385">
          <cell r="D4385">
            <v>1111.33</v>
          </cell>
          <cell r="H4385">
            <v>45566</v>
          </cell>
          <cell r="I4385" t="str">
            <v>6055 - Employer Social Security Tax Withheld</v>
          </cell>
          <cell r="J4385" t="str">
            <v>Wholesale</v>
          </cell>
          <cell r="K4385" t="str">
            <v>Wholesale</v>
          </cell>
          <cell r="L4385" t="str">
            <v>HQ Salaries</v>
          </cell>
          <cell r="N4385" t="str">
            <v>SG&amp;A</v>
          </cell>
          <cell r="O4385" t="str">
            <v>[No Vendor]</v>
          </cell>
        </row>
        <row r="4386">
          <cell r="D4386">
            <v>1709.08</v>
          </cell>
          <cell r="H4386">
            <v>45566</v>
          </cell>
          <cell r="I4386" t="str">
            <v>6055 - Employer Social Security Tax Withheld</v>
          </cell>
          <cell r="J4386">
            <v>0</v>
          </cell>
          <cell r="K4386" t="str">
            <v>Production</v>
          </cell>
          <cell r="L4386" t="str">
            <v>HQ Salaries</v>
          </cell>
          <cell r="N4386" t="str">
            <v>SG&amp;A</v>
          </cell>
          <cell r="O4386" t="str">
            <v>[No Vendor]</v>
          </cell>
        </row>
        <row r="4387">
          <cell r="D4387">
            <v>365.93</v>
          </cell>
          <cell r="H4387">
            <v>45566</v>
          </cell>
          <cell r="I4387" t="str">
            <v>6055 - Employer Social Security Tax Withheld</v>
          </cell>
          <cell r="J4387">
            <v>0</v>
          </cell>
          <cell r="K4387" t="str">
            <v>Brand Marketing</v>
          </cell>
          <cell r="L4387" t="str">
            <v>HQ Salaries</v>
          </cell>
          <cell r="N4387" t="str">
            <v>SG&amp;A</v>
          </cell>
          <cell r="O4387" t="str">
            <v>[No Vendor]</v>
          </cell>
        </row>
        <row r="4388">
          <cell r="D4388">
            <v>1181.97</v>
          </cell>
          <cell r="H4388">
            <v>45566</v>
          </cell>
          <cell r="I4388" t="str">
            <v>6055 - Employer Social Security Tax Withheld</v>
          </cell>
          <cell r="J4388">
            <v>0</v>
          </cell>
          <cell r="K4388" t="str">
            <v>Executive</v>
          </cell>
          <cell r="L4388" t="str">
            <v>HQ Salaries</v>
          </cell>
          <cell r="N4388" t="str">
            <v>SG&amp;A</v>
          </cell>
          <cell r="O4388" t="str">
            <v>[No Vendor]</v>
          </cell>
        </row>
        <row r="4389">
          <cell r="D4389">
            <v>1610.08</v>
          </cell>
          <cell r="H4389">
            <v>45566</v>
          </cell>
          <cell r="I4389" t="str">
            <v>6055 - Employer Social Security Tax Withheld</v>
          </cell>
          <cell r="J4389" t="str">
            <v>Ecommerce (US)</v>
          </cell>
          <cell r="K4389" t="str">
            <v>Ecommerce</v>
          </cell>
          <cell r="L4389" t="str">
            <v>HQ Salaries</v>
          </cell>
          <cell r="N4389" t="str">
            <v>SG&amp;A</v>
          </cell>
          <cell r="O4389" t="str">
            <v>[No Vendor]</v>
          </cell>
        </row>
        <row r="4390">
          <cell r="D4390">
            <v>-121.85</v>
          </cell>
          <cell r="H4390">
            <v>45566</v>
          </cell>
          <cell r="I4390" t="str">
            <v>6040 - Employer Paid Benefits</v>
          </cell>
          <cell r="J4390" t="str">
            <v>Ecommerce (US)</v>
          </cell>
          <cell r="K4390" t="str">
            <v>Ecommerce</v>
          </cell>
          <cell r="L4390" t="str">
            <v>HQ Salaries</v>
          </cell>
          <cell r="N4390" t="str">
            <v>SG&amp;A</v>
          </cell>
          <cell r="O4390" t="str">
            <v>[No Vendor]</v>
          </cell>
        </row>
        <row r="4391">
          <cell r="D4391">
            <v>-363.43</v>
          </cell>
          <cell r="H4391">
            <v>45566</v>
          </cell>
          <cell r="I4391" t="str">
            <v>6040 - Employer Paid Benefits</v>
          </cell>
          <cell r="J4391">
            <v>0</v>
          </cell>
          <cell r="K4391" t="str">
            <v>Design</v>
          </cell>
          <cell r="L4391" t="str">
            <v>HQ Salaries</v>
          </cell>
          <cell r="N4391" t="str">
            <v>SG&amp;A</v>
          </cell>
          <cell r="O4391" t="str">
            <v>[No Vendor]</v>
          </cell>
        </row>
        <row r="4392">
          <cell r="D4392">
            <v>-200.39</v>
          </cell>
          <cell r="H4392">
            <v>45566</v>
          </cell>
          <cell r="I4392" t="str">
            <v>6040 - Employer Paid Benefits</v>
          </cell>
          <cell r="J4392">
            <v>0</v>
          </cell>
          <cell r="K4392" t="str">
            <v>Administration</v>
          </cell>
          <cell r="L4392" t="str">
            <v>HQ Salaries</v>
          </cell>
          <cell r="N4392" t="str">
            <v>SG&amp;A</v>
          </cell>
          <cell r="O4392" t="str">
            <v>[No Vendor]</v>
          </cell>
        </row>
        <row r="4393">
          <cell r="D4393">
            <v>-45.16</v>
          </cell>
          <cell r="H4393">
            <v>45566</v>
          </cell>
          <cell r="I4393" t="str">
            <v>6040 - Employer Paid Benefits</v>
          </cell>
          <cell r="J4393" t="str">
            <v>Wholesale</v>
          </cell>
          <cell r="K4393" t="str">
            <v>Wholesale</v>
          </cell>
          <cell r="L4393" t="str">
            <v>HQ Salaries</v>
          </cell>
          <cell r="N4393" t="str">
            <v>SG&amp;A</v>
          </cell>
          <cell r="O4393" t="str">
            <v>[No Vendor]</v>
          </cell>
        </row>
        <row r="4394">
          <cell r="D4394">
            <v>-285.62</v>
          </cell>
          <cell r="H4394">
            <v>45566</v>
          </cell>
          <cell r="I4394" t="str">
            <v>6040 - Employer Paid Benefits</v>
          </cell>
          <cell r="J4394">
            <v>0</v>
          </cell>
          <cell r="K4394" t="str">
            <v>Production</v>
          </cell>
          <cell r="L4394" t="str">
            <v>HQ Salaries</v>
          </cell>
          <cell r="N4394" t="str">
            <v>SG&amp;A</v>
          </cell>
          <cell r="O4394" t="str">
            <v>[No Vendor]</v>
          </cell>
        </row>
        <row r="4395">
          <cell r="D4395">
            <v>-22.58</v>
          </cell>
          <cell r="H4395">
            <v>45566</v>
          </cell>
          <cell r="I4395" t="str">
            <v>6040 - Employer Paid Benefits</v>
          </cell>
          <cell r="J4395">
            <v>0</v>
          </cell>
          <cell r="K4395" t="str">
            <v>Brand Marketing</v>
          </cell>
          <cell r="L4395" t="str">
            <v>HQ Salaries</v>
          </cell>
          <cell r="N4395" t="str">
            <v>SG&amp;A</v>
          </cell>
          <cell r="O4395" t="str">
            <v>[No Vendor]</v>
          </cell>
        </row>
        <row r="4396">
          <cell r="D4396">
            <v>-234.27</v>
          </cell>
          <cell r="H4396">
            <v>45566</v>
          </cell>
          <cell r="I4396" t="str">
            <v>6040 - Employer Paid Benefits</v>
          </cell>
          <cell r="J4396">
            <v>0</v>
          </cell>
          <cell r="K4396" t="str">
            <v>Executive</v>
          </cell>
          <cell r="L4396" t="str">
            <v>HQ Salaries</v>
          </cell>
          <cell r="N4396" t="str">
            <v>SG&amp;A</v>
          </cell>
          <cell r="O4396" t="str">
            <v>[No Vendor]</v>
          </cell>
        </row>
        <row r="4397">
          <cell r="D4397">
            <v>20780.8</v>
          </cell>
          <cell r="H4397">
            <v>45566</v>
          </cell>
          <cell r="I4397" t="str">
            <v>6005 - Salaries</v>
          </cell>
          <cell r="J4397" t="str">
            <v>Ecommerce (US)</v>
          </cell>
          <cell r="K4397" t="str">
            <v>Ecommerce</v>
          </cell>
          <cell r="L4397" t="str">
            <v>HQ Salaries</v>
          </cell>
          <cell r="N4397" t="str">
            <v>SG&amp;A</v>
          </cell>
          <cell r="O4397" t="str">
            <v>[No Vendor]</v>
          </cell>
        </row>
        <row r="4398">
          <cell r="D4398">
            <v>20857.7</v>
          </cell>
          <cell r="H4398">
            <v>45566</v>
          </cell>
          <cell r="I4398" t="str">
            <v>6005 - Salaries</v>
          </cell>
          <cell r="J4398">
            <v>0</v>
          </cell>
          <cell r="K4398" t="str">
            <v>Design</v>
          </cell>
          <cell r="L4398" t="str">
            <v>HQ Salaries</v>
          </cell>
          <cell r="N4398" t="str">
            <v>SG&amp;A</v>
          </cell>
          <cell r="O4398" t="str">
            <v>[No Vendor]</v>
          </cell>
        </row>
        <row r="4399">
          <cell r="D4399">
            <v>26115.41</v>
          </cell>
          <cell r="H4399">
            <v>45566</v>
          </cell>
          <cell r="I4399" t="str">
            <v>6005 - Salaries</v>
          </cell>
          <cell r="J4399">
            <v>0</v>
          </cell>
          <cell r="K4399" t="str">
            <v>Administration</v>
          </cell>
          <cell r="L4399" t="str">
            <v>HQ Salaries</v>
          </cell>
          <cell r="N4399" t="str">
            <v>SG&amp;A</v>
          </cell>
          <cell r="O4399" t="str">
            <v>[No Vendor]</v>
          </cell>
        </row>
        <row r="4400">
          <cell r="D4400">
            <v>5150</v>
          </cell>
          <cell r="H4400">
            <v>45566</v>
          </cell>
          <cell r="I4400" t="str">
            <v>6005 - Salaries</v>
          </cell>
          <cell r="J4400">
            <v>0</v>
          </cell>
          <cell r="K4400" t="str">
            <v>Merchandising</v>
          </cell>
          <cell r="L4400" t="str">
            <v>HQ Salaries</v>
          </cell>
          <cell r="N4400" t="str">
            <v>SG&amp;A</v>
          </cell>
          <cell r="O4400" t="str">
            <v>[No Vendor]</v>
          </cell>
        </row>
        <row r="4401">
          <cell r="D4401">
            <v>9911.5499999999993</v>
          </cell>
          <cell r="H4401">
            <v>45566</v>
          </cell>
          <cell r="I4401" t="str">
            <v>6005 - Salaries</v>
          </cell>
          <cell r="J4401" t="str">
            <v>Wholesale</v>
          </cell>
          <cell r="K4401" t="str">
            <v>Wholesale</v>
          </cell>
          <cell r="L4401" t="str">
            <v>HQ Salaries</v>
          </cell>
          <cell r="N4401" t="str">
            <v>SG&amp;A</v>
          </cell>
          <cell r="O4401" t="str">
            <v>[No Vendor]</v>
          </cell>
        </row>
        <row r="4402">
          <cell r="D4402">
            <v>19988.490000000002</v>
          </cell>
          <cell r="H4402">
            <v>45566</v>
          </cell>
          <cell r="I4402" t="str">
            <v>6005 - Salaries</v>
          </cell>
          <cell r="J4402">
            <v>0</v>
          </cell>
          <cell r="K4402" t="str">
            <v>Production</v>
          </cell>
          <cell r="L4402" t="str">
            <v>HQ Salaries</v>
          </cell>
          <cell r="N4402" t="str">
            <v>SG&amp;A</v>
          </cell>
          <cell r="O4402" t="str">
            <v>[No Vendor]</v>
          </cell>
        </row>
        <row r="4403">
          <cell r="D4403">
            <v>3269.24</v>
          </cell>
          <cell r="H4403">
            <v>45566</v>
          </cell>
          <cell r="I4403" t="str">
            <v>6005 - Salaries</v>
          </cell>
          <cell r="J4403">
            <v>0</v>
          </cell>
          <cell r="K4403" t="str">
            <v>Brand Marketing</v>
          </cell>
          <cell r="L4403" t="str">
            <v>HQ Salaries</v>
          </cell>
          <cell r="N4403" t="str">
            <v>SG&amp;A</v>
          </cell>
          <cell r="O4403" t="str">
            <v>[No Vendor]</v>
          </cell>
        </row>
        <row r="4404">
          <cell r="D4404">
            <v>544.76</v>
          </cell>
          <cell r="H4404">
            <v>45566</v>
          </cell>
          <cell r="I4404" t="str">
            <v>6375 - Freight Expenses</v>
          </cell>
          <cell r="J4404" t="str">
            <v>Wholesale</v>
          </cell>
          <cell r="K4404" t="str">
            <v>Wholesale</v>
          </cell>
          <cell r="L4404" t="str">
            <v>Freight</v>
          </cell>
          <cell r="N4404" t="str">
            <v>Direct Costs</v>
          </cell>
          <cell r="O4404" t="str">
            <v>UPS Supply Chain Solutions Inc. (7F24A0)</v>
          </cell>
        </row>
        <row r="4405">
          <cell r="D4405">
            <v>4500</v>
          </cell>
          <cell r="H4405">
            <v>45566</v>
          </cell>
          <cell r="I4405" t="str">
            <v>6225 - Professional Services</v>
          </cell>
          <cell r="J4405" t="str">
            <v>Ecommerce (US)</v>
          </cell>
          <cell r="K4405" t="str">
            <v>Ecommerce</v>
          </cell>
          <cell r="L4405" t="str">
            <v>Professional Service</v>
          </cell>
          <cell r="N4405" t="str">
            <v>Direct Costs</v>
          </cell>
          <cell r="O4405" t="str">
            <v>Freeflow LLC</v>
          </cell>
        </row>
        <row r="4406">
          <cell r="D4406">
            <v>20242.38</v>
          </cell>
          <cell r="H4406">
            <v>45566</v>
          </cell>
          <cell r="I4406" t="str">
            <v>6375 - Freight Expenses</v>
          </cell>
          <cell r="J4406" t="str">
            <v>Ecommerce (US)</v>
          </cell>
          <cell r="K4406" t="str">
            <v>Ecommerce</v>
          </cell>
          <cell r="L4406" t="str">
            <v>Freight</v>
          </cell>
          <cell r="N4406" t="str">
            <v>Direct Costs</v>
          </cell>
          <cell r="O4406" t="str">
            <v>UPS Supply Chain Solutions Inc. (7F24A0)</v>
          </cell>
        </row>
        <row r="4407">
          <cell r="D4407">
            <v>2803.13</v>
          </cell>
          <cell r="H4407">
            <v>45566</v>
          </cell>
          <cell r="I4407" t="str">
            <v>6385 - Insurance</v>
          </cell>
          <cell r="J4407">
            <v>0</v>
          </cell>
          <cell r="K4407" t="str">
            <v>Administration</v>
          </cell>
          <cell r="L4407" t="str">
            <v>Professional Service</v>
          </cell>
          <cell r="N4407" t="str">
            <v>SG&amp;A</v>
          </cell>
          <cell r="O4407" t="str">
            <v>The Hartford</v>
          </cell>
        </row>
        <row r="4408">
          <cell r="D4408">
            <v>4338.6400000000003</v>
          </cell>
          <cell r="H4408">
            <v>45566</v>
          </cell>
          <cell r="I4408" t="str">
            <v>6380 - Legal &amp; Accounting</v>
          </cell>
          <cell r="J4408">
            <v>0</v>
          </cell>
          <cell r="K4408" t="str">
            <v>Administration</v>
          </cell>
          <cell r="L4408" t="str">
            <v>Professional Service</v>
          </cell>
          <cell r="N4408" t="str">
            <v>SG&amp;A</v>
          </cell>
          <cell r="O4408" t="str">
            <v>Sociedade Rebelo de Sousa &amp; Advogados Associados, SPRL</v>
          </cell>
        </row>
        <row r="4409">
          <cell r="D4409">
            <v>29.19</v>
          </cell>
          <cell r="H4409">
            <v>45566</v>
          </cell>
          <cell r="I4409" t="str">
            <v>6363 - Development</v>
          </cell>
          <cell r="J4409">
            <v>0</v>
          </cell>
          <cell r="K4409" t="str">
            <v>Design</v>
          </cell>
          <cell r="L4409" t="str">
            <v>Sample</v>
          </cell>
          <cell r="N4409" t="str">
            <v>SG&amp;A</v>
          </cell>
          <cell r="O4409" t="str">
            <v>Consul + SRL</v>
          </cell>
        </row>
        <row r="4410">
          <cell r="D4410">
            <v>-1306.21</v>
          </cell>
          <cell r="H4410">
            <v>45566</v>
          </cell>
          <cell r="I4410" t="str">
            <v>8505 - Realized Gain/Loss</v>
          </cell>
          <cell r="J4410">
            <v>0</v>
          </cell>
          <cell r="K4410" t="str">
            <v>Licensing</v>
          </cell>
          <cell r="L4410" t="str">
            <v>Realized Gain / Loss</v>
          </cell>
          <cell r="N4410" t="str">
            <v>BTL</v>
          </cell>
          <cell r="O4410" t="str">
            <v>[No Vendor]</v>
          </cell>
        </row>
        <row r="4411">
          <cell r="D4411">
            <v>-91</v>
          </cell>
          <cell r="H4411">
            <v>45566</v>
          </cell>
          <cell r="I4411" t="str">
            <v>6040 - Employer Paid Benefits</v>
          </cell>
          <cell r="J4411">
            <v>0</v>
          </cell>
          <cell r="K4411" t="str">
            <v>Administration</v>
          </cell>
          <cell r="L4411" t="str">
            <v>HQ Salaries</v>
          </cell>
          <cell r="N4411" t="str">
            <v>SG&amp;A</v>
          </cell>
          <cell r="O4411" t="str">
            <v>[No Vendor]</v>
          </cell>
        </row>
        <row r="4412">
          <cell r="D4412">
            <v>9750.24</v>
          </cell>
          <cell r="H4412">
            <v>45566</v>
          </cell>
          <cell r="I4412" t="str">
            <v>5001 - Cost of Goods Sold - Other</v>
          </cell>
          <cell r="J4412" t="str">
            <v>Ecommerce (EU)</v>
          </cell>
          <cell r="K4412" t="str">
            <v>Ecommerce</v>
          </cell>
          <cell r="L4412" t="str">
            <v>Other COGS</v>
          </cell>
          <cell r="N4412" t="str">
            <v>COGS</v>
          </cell>
          <cell r="O4412" t="str">
            <v>[No Vendor]</v>
          </cell>
        </row>
        <row r="4413">
          <cell r="D4413">
            <v>590.23</v>
          </cell>
          <cell r="H4413">
            <v>45566</v>
          </cell>
          <cell r="I4413" t="str">
            <v>6377 - Order Processing Expenses (New)</v>
          </cell>
          <cell r="J4413" t="str">
            <v>Ecommerce (EU)</v>
          </cell>
          <cell r="K4413" t="str">
            <v>Ecommerce</v>
          </cell>
          <cell r="L4413" t="str">
            <v>Order Processing</v>
          </cell>
          <cell r="N4413" t="str">
            <v>Direct Costs</v>
          </cell>
          <cell r="O4413" t="str">
            <v>[No Vendor]</v>
          </cell>
        </row>
        <row r="4414">
          <cell r="D4414">
            <v>2864.17</v>
          </cell>
          <cell r="H4414">
            <v>45566</v>
          </cell>
          <cell r="I4414" t="str">
            <v>6450 - Bank &amp; Other Fees</v>
          </cell>
          <cell r="J4414" t="str">
            <v>Ecommerce (EU)</v>
          </cell>
          <cell r="K4414" t="str">
            <v>Ecommerce</v>
          </cell>
          <cell r="L4414" t="str">
            <v>Professional Service</v>
          </cell>
          <cell r="N4414" t="str">
            <v>Direct Costs</v>
          </cell>
          <cell r="O4414" t="str">
            <v>[No Vendor]</v>
          </cell>
        </row>
        <row r="4415">
          <cell r="D4415">
            <v>3967.08</v>
          </cell>
          <cell r="H4415">
            <v>45566</v>
          </cell>
          <cell r="I4415" t="str">
            <v>6375 - Freight Expenses</v>
          </cell>
          <cell r="J4415" t="str">
            <v>Ecommerce (EU)</v>
          </cell>
          <cell r="K4415" t="str">
            <v>Ecommerce</v>
          </cell>
          <cell r="L4415" t="str">
            <v>Freight</v>
          </cell>
          <cell r="N4415" t="str">
            <v>Direct Costs</v>
          </cell>
          <cell r="O4415" t="str">
            <v>Global E</v>
          </cell>
        </row>
        <row r="4416">
          <cell r="D4416">
            <v>-108.39</v>
          </cell>
          <cell r="H4416">
            <v>45566</v>
          </cell>
          <cell r="I4416" t="str">
            <v>6375 - Freight Expenses</v>
          </cell>
          <cell r="J4416" t="str">
            <v>Ecommerce (US)</v>
          </cell>
          <cell r="K4416" t="str">
            <v>Ecommerce</v>
          </cell>
          <cell r="L4416" t="str">
            <v>Freight</v>
          </cell>
          <cell r="N4416" t="str">
            <v>Direct Costs</v>
          </cell>
          <cell r="O4416" t="str">
            <v>UPS Supply Chain Solutions Inc. (7F24A0)</v>
          </cell>
        </row>
        <row r="4417">
          <cell r="D4417">
            <v>18.36</v>
          </cell>
          <cell r="H4417">
            <v>45566</v>
          </cell>
          <cell r="I4417" t="str">
            <v>6375 - Freight Expenses</v>
          </cell>
          <cell r="J4417">
            <v>0</v>
          </cell>
          <cell r="K4417" t="str">
            <v>Production</v>
          </cell>
          <cell r="L4417" t="str">
            <v>Freight</v>
          </cell>
          <cell r="N4417" t="str">
            <v>Direct Costs</v>
          </cell>
          <cell r="O4417" t="str">
            <v>DHL Express - USA</v>
          </cell>
        </row>
        <row r="4418">
          <cell r="D4418">
            <v>3280</v>
          </cell>
          <cell r="H4418">
            <v>45566</v>
          </cell>
          <cell r="I4418" t="str">
            <v>6240 - Product Photography</v>
          </cell>
          <cell r="J4418" t="str">
            <v>Ecommerce (US)</v>
          </cell>
          <cell r="K4418" t="str">
            <v>Brand Marketing</v>
          </cell>
          <cell r="L4418" t="str">
            <v>Advertising</v>
          </cell>
          <cell r="N4418" t="str">
            <v>SG&amp;A</v>
          </cell>
          <cell r="O4418" t="str">
            <v>LENFLASH dot COM</v>
          </cell>
        </row>
        <row r="4419">
          <cell r="D4419">
            <v>1085</v>
          </cell>
          <cell r="H4419">
            <v>45566</v>
          </cell>
          <cell r="I4419" t="str">
            <v>6240 - Product Photography</v>
          </cell>
          <cell r="J4419" t="str">
            <v>Ecommerce (US)</v>
          </cell>
          <cell r="K4419" t="str">
            <v>Brand Marketing</v>
          </cell>
          <cell r="L4419" t="str">
            <v>Advertising</v>
          </cell>
          <cell r="N4419" t="str">
            <v>SG&amp;A</v>
          </cell>
          <cell r="O4419" t="str">
            <v>LENFLASH dot COM</v>
          </cell>
        </row>
        <row r="4420">
          <cell r="D4420">
            <v>1100</v>
          </cell>
          <cell r="H4420">
            <v>45566</v>
          </cell>
          <cell r="I4420" t="str">
            <v>6240 - Product Photography</v>
          </cell>
          <cell r="J4420" t="str">
            <v>Ecommerce (US)</v>
          </cell>
          <cell r="K4420" t="str">
            <v>Brand Marketing</v>
          </cell>
          <cell r="L4420" t="str">
            <v>Advertising</v>
          </cell>
          <cell r="N4420" t="str">
            <v>SG&amp;A</v>
          </cell>
          <cell r="O4420" t="str">
            <v>LENFLASH dot COM</v>
          </cell>
        </row>
        <row r="4421">
          <cell r="D4421">
            <v>4240</v>
          </cell>
          <cell r="H4421">
            <v>45566</v>
          </cell>
          <cell r="I4421" t="str">
            <v>6240 - Product Photography</v>
          </cell>
          <cell r="J4421" t="str">
            <v>Ecommerce (US)</v>
          </cell>
          <cell r="K4421" t="str">
            <v>Brand Marketing</v>
          </cell>
          <cell r="L4421" t="str">
            <v>Advertising</v>
          </cell>
          <cell r="N4421" t="str">
            <v>SG&amp;A</v>
          </cell>
          <cell r="O4421" t="str">
            <v>LENFLASH dot COM</v>
          </cell>
        </row>
        <row r="4422">
          <cell r="D4422">
            <v>18.63</v>
          </cell>
          <cell r="H4422">
            <v>45566</v>
          </cell>
          <cell r="I4422" t="str">
            <v>6125 - Transportation and Fuel</v>
          </cell>
          <cell r="J4422" t="str">
            <v>Wholesale</v>
          </cell>
          <cell r="K4422" t="str">
            <v>Wholesale</v>
          </cell>
          <cell r="L4422" t="str">
            <v>T&amp;E</v>
          </cell>
          <cell r="N4422" t="str">
            <v>SG&amp;A</v>
          </cell>
          <cell r="O4422" t="str">
            <v>Kalina Pregnolato</v>
          </cell>
        </row>
        <row r="4423">
          <cell r="D4423">
            <v>2.9</v>
          </cell>
          <cell r="H4423">
            <v>45566</v>
          </cell>
          <cell r="I4423" t="str">
            <v>6125 - Transportation and Fuel</v>
          </cell>
          <cell r="J4423" t="str">
            <v>Wholesale</v>
          </cell>
          <cell r="K4423" t="str">
            <v>Wholesale</v>
          </cell>
          <cell r="L4423" t="str">
            <v>T&amp;E</v>
          </cell>
          <cell r="N4423" t="str">
            <v>SG&amp;A</v>
          </cell>
          <cell r="O4423" t="str">
            <v>Kalina Pregnolato</v>
          </cell>
        </row>
        <row r="4424">
          <cell r="D4424">
            <v>2.9</v>
          </cell>
          <cell r="H4424">
            <v>45566</v>
          </cell>
          <cell r="I4424" t="str">
            <v>6125 - Transportation and Fuel</v>
          </cell>
          <cell r="J4424" t="str">
            <v>Wholesale</v>
          </cell>
          <cell r="K4424" t="str">
            <v>Wholesale</v>
          </cell>
          <cell r="L4424" t="str">
            <v>T&amp;E</v>
          </cell>
          <cell r="N4424" t="str">
            <v>SG&amp;A</v>
          </cell>
          <cell r="O4424" t="str">
            <v>Kalina Pregnolato</v>
          </cell>
        </row>
        <row r="4425">
          <cell r="D4425">
            <v>2.9</v>
          </cell>
          <cell r="H4425">
            <v>45566</v>
          </cell>
          <cell r="I4425" t="str">
            <v>6125 - Transportation and Fuel</v>
          </cell>
          <cell r="J4425" t="str">
            <v>Wholesale</v>
          </cell>
          <cell r="K4425" t="str">
            <v>Wholesale</v>
          </cell>
          <cell r="L4425" t="str">
            <v>T&amp;E</v>
          </cell>
          <cell r="N4425" t="str">
            <v>SG&amp;A</v>
          </cell>
          <cell r="O4425" t="str">
            <v>Kalina Pregnolato</v>
          </cell>
        </row>
        <row r="4426">
          <cell r="D4426">
            <v>2.9</v>
          </cell>
          <cell r="H4426">
            <v>45566</v>
          </cell>
          <cell r="I4426" t="str">
            <v>6125 - Transportation and Fuel</v>
          </cell>
          <cell r="J4426" t="str">
            <v>Wholesale</v>
          </cell>
          <cell r="K4426" t="str">
            <v>Wholesale</v>
          </cell>
          <cell r="L4426" t="str">
            <v>T&amp;E</v>
          </cell>
          <cell r="N4426" t="str">
            <v>SG&amp;A</v>
          </cell>
          <cell r="O4426" t="str">
            <v>Kalina Pregnolato</v>
          </cell>
        </row>
        <row r="4427">
          <cell r="D4427">
            <v>19.420000000000002</v>
          </cell>
          <cell r="H4427">
            <v>45566</v>
          </cell>
          <cell r="I4427" t="str">
            <v>6125 - Transportation and Fuel</v>
          </cell>
          <cell r="J4427" t="str">
            <v>Wholesale</v>
          </cell>
          <cell r="K4427" t="str">
            <v>Wholesale</v>
          </cell>
          <cell r="L4427" t="str">
            <v>T&amp;E</v>
          </cell>
          <cell r="N4427" t="str">
            <v>SG&amp;A</v>
          </cell>
          <cell r="O4427" t="str">
            <v>Kalina Pregnolato</v>
          </cell>
        </row>
        <row r="4428">
          <cell r="D4428">
            <v>-79.3</v>
          </cell>
          <cell r="H4428">
            <v>45566</v>
          </cell>
          <cell r="I4428" t="str">
            <v>6375 - Freight Expenses</v>
          </cell>
          <cell r="J4428" t="str">
            <v>Ecommerce (US)</v>
          </cell>
          <cell r="K4428" t="str">
            <v>Ecommerce</v>
          </cell>
          <cell r="L4428" t="str">
            <v>Freight</v>
          </cell>
          <cell r="N4428" t="str">
            <v>Direct Costs</v>
          </cell>
          <cell r="O4428" t="str">
            <v>UPS Supply Chain Solutions Inc. (7F24A0)</v>
          </cell>
        </row>
        <row r="4429">
          <cell r="D4429">
            <v>-1924.59</v>
          </cell>
          <cell r="H4429">
            <v>45566</v>
          </cell>
          <cell r="I4429" t="str">
            <v>6520 - Taxes and Licenses</v>
          </cell>
          <cell r="J4429">
            <v>0</v>
          </cell>
          <cell r="K4429" t="str">
            <v>Administration</v>
          </cell>
          <cell r="L4429" t="str">
            <v>Other</v>
          </cell>
          <cell r="N4429" t="str">
            <v>SG&amp;A</v>
          </cell>
          <cell r="O4429" t="str">
            <v>[No Vendor]</v>
          </cell>
        </row>
        <row r="4430">
          <cell r="D4430">
            <v>776.25</v>
          </cell>
          <cell r="H4430">
            <v>45566</v>
          </cell>
          <cell r="I4430" t="str">
            <v>6040 - Employer Paid Benefits</v>
          </cell>
          <cell r="J4430">
            <v>0</v>
          </cell>
          <cell r="K4430" t="str">
            <v>Administration</v>
          </cell>
          <cell r="L4430" t="str">
            <v>HQ Salaries</v>
          </cell>
          <cell r="N4430" t="str">
            <v>SG&amp;A</v>
          </cell>
          <cell r="O4430" t="str">
            <v>Procyon Benefits LLC</v>
          </cell>
        </row>
        <row r="4431">
          <cell r="D4431">
            <v>18000</v>
          </cell>
          <cell r="H4431">
            <v>45566</v>
          </cell>
          <cell r="I4431" t="str">
            <v>6380 - Legal &amp; Accounting</v>
          </cell>
          <cell r="J4431">
            <v>0</v>
          </cell>
          <cell r="K4431" t="str">
            <v>Administration</v>
          </cell>
          <cell r="L4431" t="str">
            <v>Professional Service</v>
          </cell>
          <cell r="N4431" t="str">
            <v>SG&amp;A</v>
          </cell>
          <cell r="O4431" t="str">
            <v>Ko &amp; Yun, LLP - Operations</v>
          </cell>
        </row>
        <row r="4432">
          <cell r="D4432">
            <v>6500</v>
          </cell>
          <cell r="H4432">
            <v>45566</v>
          </cell>
          <cell r="I4432" t="str">
            <v>6380 - Legal &amp; Accounting</v>
          </cell>
          <cell r="J4432">
            <v>0</v>
          </cell>
          <cell r="K4432" t="str">
            <v>Administration</v>
          </cell>
          <cell r="L4432" t="str">
            <v>Professional Service</v>
          </cell>
          <cell r="N4432" t="str">
            <v>SG&amp;A</v>
          </cell>
          <cell r="O4432" t="str">
            <v>Ko &amp; Yun, LLP - IP Holding</v>
          </cell>
        </row>
        <row r="4433">
          <cell r="D4433">
            <v>860</v>
          </cell>
          <cell r="H4433">
            <v>45566</v>
          </cell>
          <cell r="I4433" t="str">
            <v>6300 - Payroll Service Fees</v>
          </cell>
          <cell r="J4433">
            <v>0</v>
          </cell>
          <cell r="K4433" t="str">
            <v>Administration</v>
          </cell>
          <cell r="L4433" t="str">
            <v>Professional Service</v>
          </cell>
          <cell r="N4433" t="str">
            <v>SG&amp;A</v>
          </cell>
          <cell r="O4433" t="str">
            <v>OperationsInc, LLC</v>
          </cell>
        </row>
        <row r="4434">
          <cell r="D4434">
            <v>32.68</v>
          </cell>
          <cell r="H4434">
            <v>45566</v>
          </cell>
          <cell r="I4434" t="str">
            <v>6375 - Freight Expenses</v>
          </cell>
          <cell r="J4434">
            <v>0</v>
          </cell>
          <cell r="K4434" t="str">
            <v>Production</v>
          </cell>
          <cell r="L4434" t="str">
            <v>Freight</v>
          </cell>
          <cell r="N4434" t="str">
            <v>Direct Costs</v>
          </cell>
          <cell r="O4434" t="str">
            <v>DHL Express - USA</v>
          </cell>
        </row>
        <row r="4435">
          <cell r="D4435">
            <v>682.33</v>
          </cell>
          <cell r="H4435">
            <v>45566</v>
          </cell>
          <cell r="I4435" t="str">
            <v>6375 - Freight Expenses</v>
          </cell>
          <cell r="J4435">
            <v>0</v>
          </cell>
          <cell r="K4435" t="str">
            <v>Production</v>
          </cell>
          <cell r="L4435" t="str">
            <v>Freight</v>
          </cell>
          <cell r="N4435" t="str">
            <v>Direct Costs</v>
          </cell>
          <cell r="O4435" t="str">
            <v>DHL Express - USA</v>
          </cell>
        </row>
        <row r="4436">
          <cell r="D4436">
            <v>642.29</v>
          </cell>
          <cell r="H4436">
            <v>45566</v>
          </cell>
          <cell r="I4436" t="str">
            <v>6375 - Freight Expenses</v>
          </cell>
          <cell r="J4436">
            <v>0</v>
          </cell>
          <cell r="K4436" t="str">
            <v>Production</v>
          </cell>
          <cell r="L4436" t="str">
            <v>Freight</v>
          </cell>
          <cell r="N4436" t="str">
            <v>Direct Costs</v>
          </cell>
          <cell r="O4436" t="str">
            <v>DHL Express - USA</v>
          </cell>
        </row>
        <row r="4437">
          <cell r="D4437">
            <v>25</v>
          </cell>
          <cell r="H4437">
            <v>45566</v>
          </cell>
          <cell r="I4437" t="str">
            <v>6040 - Employer Paid Benefits</v>
          </cell>
          <cell r="J4437">
            <v>0</v>
          </cell>
          <cell r="K4437" t="str">
            <v>Administration</v>
          </cell>
          <cell r="L4437" t="str">
            <v>HQ Salaries</v>
          </cell>
          <cell r="N4437" t="str">
            <v>SG&amp;A</v>
          </cell>
          <cell r="O4437" t="str">
            <v>Lifetime Benefit Solutions, Inc</v>
          </cell>
        </row>
        <row r="4438">
          <cell r="D4438">
            <v>25.49</v>
          </cell>
          <cell r="H4438">
            <v>45566</v>
          </cell>
          <cell r="I4438" t="str">
            <v>6040 - Employer Paid Benefits</v>
          </cell>
          <cell r="J4438" t="str">
            <v>Wholesale</v>
          </cell>
          <cell r="K4438" t="str">
            <v>Wholesale</v>
          </cell>
          <cell r="L4438" t="str">
            <v>HQ Salaries</v>
          </cell>
          <cell r="N4438" t="str">
            <v>SG&amp;A</v>
          </cell>
          <cell r="O4438" t="str">
            <v>Procyon Benefits LLC</v>
          </cell>
        </row>
        <row r="4439">
          <cell r="D4439">
            <v>126.12</v>
          </cell>
          <cell r="H4439">
            <v>45566</v>
          </cell>
          <cell r="I4439" t="str">
            <v>6040 - Employer Paid Benefits</v>
          </cell>
          <cell r="J4439">
            <v>0</v>
          </cell>
          <cell r="K4439" t="str">
            <v>Production</v>
          </cell>
          <cell r="L4439" t="str">
            <v>HQ Salaries</v>
          </cell>
          <cell r="N4439" t="str">
            <v>SG&amp;A</v>
          </cell>
          <cell r="O4439" t="str">
            <v>Procyon Benefits LLC</v>
          </cell>
        </row>
        <row r="4440">
          <cell r="D4440">
            <v>26.1</v>
          </cell>
          <cell r="H4440">
            <v>45566</v>
          </cell>
          <cell r="I4440" t="str">
            <v>6040 - Employer Paid Benefits</v>
          </cell>
          <cell r="J4440">
            <v>0</v>
          </cell>
          <cell r="K4440" t="str">
            <v>Merchandising</v>
          </cell>
          <cell r="L4440" t="str">
            <v>HQ Salaries</v>
          </cell>
          <cell r="N4440" t="str">
            <v>SG&amp;A</v>
          </cell>
          <cell r="O4440" t="str">
            <v>Procyon Benefits LLC</v>
          </cell>
        </row>
        <row r="4441">
          <cell r="D4441">
            <v>585.91</v>
          </cell>
          <cell r="H4441">
            <v>45566</v>
          </cell>
          <cell r="I4441" t="str">
            <v>6040 - Employer Paid Benefits</v>
          </cell>
          <cell r="J4441">
            <v>0</v>
          </cell>
          <cell r="K4441" t="str">
            <v>Executive</v>
          </cell>
          <cell r="L4441" t="str">
            <v>HQ Salaries</v>
          </cell>
          <cell r="N4441" t="str">
            <v>SG&amp;A</v>
          </cell>
          <cell r="O4441" t="str">
            <v>Procyon Benefits LLC</v>
          </cell>
        </row>
        <row r="4442">
          <cell r="D4442">
            <v>87</v>
          </cell>
          <cell r="H4442">
            <v>45566</v>
          </cell>
          <cell r="I4442" t="str">
            <v>6040 - Employer Paid Benefits</v>
          </cell>
          <cell r="J4442">
            <v>0</v>
          </cell>
          <cell r="K4442" t="str">
            <v>Design</v>
          </cell>
          <cell r="L4442" t="str">
            <v>HQ Salaries</v>
          </cell>
          <cell r="N4442" t="str">
            <v>SG&amp;A</v>
          </cell>
          <cell r="O4442" t="str">
            <v>Procyon Benefits LLC</v>
          </cell>
        </row>
        <row r="4443">
          <cell r="D4443">
            <v>39.58</v>
          </cell>
          <cell r="H4443">
            <v>45566</v>
          </cell>
          <cell r="I4443" t="str">
            <v>6105 - Meals</v>
          </cell>
          <cell r="J4443">
            <v>0</v>
          </cell>
          <cell r="K4443" t="str">
            <v>Administration</v>
          </cell>
          <cell r="L4443" t="str">
            <v>T&amp;E</v>
          </cell>
          <cell r="N4443" t="str">
            <v>SG&amp;A</v>
          </cell>
          <cell r="O4443" t="str">
            <v>[No Vendor]</v>
          </cell>
        </row>
        <row r="4444">
          <cell r="D4444">
            <v>21.78</v>
          </cell>
          <cell r="H4444">
            <v>45566</v>
          </cell>
          <cell r="I4444" t="str">
            <v>6393 - Software</v>
          </cell>
          <cell r="J4444">
            <v>0</v>
          </cell>
          <cell r="K4444" t="str">
            <v>Administration</v>
          </cell>
          <cell r="L4444" t="str">
            <v>Professional Service</v>
          </cell>
          <cell r="N4444" t="str">
            <v>Direct Costs</v>
          </cell>
          <cell r="O4444" t="str">
            <v>Chat GPT</v>
          </cell>
        </row>
        <row r="4445">
          <cell r="D4445">
            <v>8.69</v>
          </cell>
          <cell r="H4445">
            <v>45566</v>
          </cell>
          <cell r="I4445" t="str">
            <v>6340 - Miscellaneous Expense</v>
          </cell>
          <cell r="J4445">
            <v>0</v>
          </cell>
          <cell r="K4445" t="str">
            <v>Administration</v>
          </cell>
          <cell r="L4445" t="str">
            <v>Other</v>
          </cell>
          <cell r="N4445" t="str">
            <v>SG&amp;A</v>
          </cell>
          <cell r="O4445" t="str">
            <v>[No Vendor]</v>
          </cell>
        </row>
        <row r="4446">
          <cell r="D4446">
            <v>847.42</v>
          </cell>
          <cell r="H4446">
            <v>45566</v>
          </cell>
          <cell r="I4446" t="str">
            <v>6430 - Dues &amp; Memberships</v>
          </cell>
          <cell r="J4446" t="str">
            <v>Wholesale</v>
          </cell>
          <cell r="K4446" t="str">
            <v>Wholesale</v>
          </cell>
          <cell r="L4446" t="str">
            <v>Professional Service</v>
          </cell>
          <cell r="N4446" t="str">
            <v>Direct Costs</v>
          </cell>
          <cell r="O4446" t="str">
            <v>SPS Commerce</v>
          </cell>
        </row>
        <row r="4447">
          <cell r="D4447">
            <v>9500</v>
          </cell>
          <cell r="H4447">
            <v>45566</v>
          </cell>
          <cell r="I4447" t="str">
            <v>6225 - Professional Services</v>
          </cell>
          <cell r="J4447">
            <v>0</v>
          </cell>
          <cell r="K4447" t="str">
            <v>Brand Marketing</v>
          </cell>
          <cell r="L4447" t="str">
            <v>Professional Service</v>
          </cell>
          <cell r="N4447" t="str">
            <v>Direct Costs</v>
          </cell>
          <cell r="O4447" t="str">
            <v>Melody  Huang</v>
          </cell>
        </row>
        <row r="4448">
          <cell r="D4448">
            <v>4750</v>
          </cell>
          <cell r="H4448">
            <v>45566</v>
          </cell>
          <cell r="I4448" t="str">
            <v>6225 - Professional Services</v>
          </cell>
          <cell r="J4448">
            <v>0</v>
          </cell>
          <cell r="K4448" t="str">
            <v>Brand Marketing</v>
          </cell>
          <cell r="L4448" t="str">
            <v>Professional Service</v>
          </cell>
          <cell r="N4448" t="str">
            <v>Direct Costs</v>
          </cell>
          <cell r="O4448" t="str">
            <v>Melody  Huang</v>
          </cell>
        </row>
        <row r="4449">
          <cell r="D4449">
            <v>15.98</v>
          </cell>
          <cell r="H4449">
            <v>45566</v>
          </cell>
          <cell r="I4449" t="str">
            <v>6125 - Transportation and Fuel</v>
          </cell>
          <cell r="J4449">
            <v>0</v>
          </cell>
          <cell r="K4449" t="str">
            <v>Administration</v>
          </cell>
          <cell r="L4449" t="str">
            <v>T&amp;E</v>
          </cell>
          <cell r="N4449" t="str">
            <v>SG&amp;A</v>
          </cell>
          <cell r="O4449" t="str">
            <v>[No Vendor]</v>
          </cell>
        </row>
        <row r="4450">
          <cell r="D4450">
            <v>12.96</v>
          </cell>
          <cell r="H4450">
            <v>45566</v>
          </cell>
          <cell r="I4450" t="str">
            <v>6125 - Transportation and Fuel</v>
          </cell>
          <cell r="J4450">
            <v>0</v>
          </cell>
          <cell r="K4450" t="str">
            <v>Administration</v>
          </cell>
          <cell r="L4450" t="str">
            <v>T&amp;E</v>
          </cell>
          <cell r="N4450" t="str">
            <v>SG&amp;A</v>
          </cell>
          <cell r="O4450" t="str">
            <v>[No Vendor]</v>
          </cell>
        </row>
        <row r="4451">
          <cell r="D4451">
            <v>19.899999999999999</v>
          </cell>
          <cell r="H4451">
            <v>45566</v>
          </cell>
          <cell r="I4451" t="str">
            <v>6125 - Transportation and Fuel</v>
          </cell>
          <cell r="J4451">
            <v>0</v>
          </cell>
          <cell r="K4451" t="str">
            <v>Administration</v>
          </cell>
          <cell r="L4451" t="str">
            <v>T&amp;E</v>
          </cell>
          <cell r="N4451" t="str">
            <v>SG&amp;A</v>
          </cell>
          <cell r="O4451" t="str">
            <v>[No Vendor]</v>
          </cell>
        </row>
        <row r="4452">
          <cell r="D4452">
            <v>19.79</v>
          </cell>
          <cell r="H4452">
            <v>45566</v>
          </cell>
          <cell r="I4452" t="str">
            <v>6105 - Meals</v>
          </cell>
          <cell r="J4452">
            <v>0</v>
          </cell>
          <cell r="K4452" t="str">
            <v>Administration</v>
          </cell>
          <cell r="L4452" t="str">
            <v>T&amp;E</v>
          </cell>
          <cell r="N4452" t="str">
            <v>SG&amp;A</v>
          </cell>
          <cell r="O4452" t="str">
            <v>[No Vendor]</v>
          </cell>
        </row>
        <row r="4453">
          <cell r="D4453">
            <v>83.29</v>
          </cell>
          <cell r="H4453">
            <v>45566</v>
          </cell>
          <cell r="I4453" t="str">
            <v>6105 - Meals</v>
          </cell>
          <cell r="J4453">
            <v>0</v>
          </cell>
          <cell r="K4453" t="str">
            <v>Administration</v>
          </cell>
          <cell r="L4453" t="str">
            <v>T&amp;E</v>
          </cell>
          <cell r="N4453" t="str">
            <v>SG&amp;A</v>
          </cell>
          <cell r="O4453" t="str">
            <v>[No Vendor]</v>
          </cell>
        </row>
        <row r="4454">
          <cell r="D4454">
            <v>61.51</v>
          </cell>
          <cell r="H4454">
            <v>45566</v>
          </cell>
          <cell r="I4454" t="str">
            <v>6105 - Meals</v>
          </cell>
          <cell r="J4454">
            <v>0</v>
          </cell>
          <cell r="K4454" t="str">
            <v>Administration</v>
          </cell>
          <cell r="L4454" t="str">
            <v>T&amp;E</v>
          </cell>
          <cell r="N4454" t="str">
            <v>SG&amp;A</v>
          </cell>
          <cell r="O4454" t="str">
            <v>[No Vendor]</v>
          </cell>
        </row>
        <row r="4455">
          <cell r="D4455">
            <v>56.68</v>
          </cell>
          <cell r="H4455">
            <v>45566</v>
          </cell>
          <cell r="I4455" t="str">
            <v>6105 - Meals</v>
          </cell>
          <cell r="J4455">
            <v>0</v>
          </cell>
          <cell r="K4455" t="str">
            <v>Administration</v>
          </cell>
          <cell r="L4455" t="str">
            <v>T&amp;E</v>
          </cell>
          <cell r="N4455" t="str">
            <v>SG&amp;A</v>
          </cell>
          <cell r="O4455" t="str">
            <v>[No Vendor]</v>
          </cell>
        </row>
        <row r="4456">
          <cell r="D4456">
            <v>38.700000000000003</v>
          </cell>
          <cell r="H4456">
            <v>45566</v>
          </cell>
          <cell r="I4456" t="str">
            <v>6105 - Meals</v>
          </cell>
          <cell r="J4456">
            <v>0</v>
          </cell>
          <cell r="K4456" t="str">
            <v>Administration</v>
          </cell>
          <cell r="L4456" t="str">
            <v>T&amp;E</v>
          </cell>
          <cell r="N4456" t="str">
            <v>SG&amp;A</v>
          </cell>
          <cell r="O4456" t="str">
            <v>[No Vendor]</v>
          </cell>
        </row>
        <row r="4457">
          <cell r="D4457">
            <v>30236.68</v>
          </cell>
          <cell r="H4457">
            <v>45566</v>
          </cell>
          <cell r="I4457" t="str">
            <v>6286 - SEM</v>
          </cell>
          <cell r="J4457" t="str">
            <v>Ecommerce (EU)</v>
          </cell>
          <cell r="K4457" t="str">
            <v>Ecommerce</v>
          </cell>
          <cell r="L4457" t="str">
            <v>Marketing</v>
          </cell>
          <cell r="N4457" t="str">
            <v>Direct Costs</v>
          </cell>
          <cell r="O4457" t="str">
            <v>[No Vendor]</v>
          </cell>
        </row>
        <row r="4458">
          <cell r="D4458">
            <v>56695.02</v>
          </cell>
          <cell r="H4458">
            <v>45566</v>
          </cell>
          <cell r="I4458" t="str">
            <v>6286 - SEM</v>
          </cell>
          <cell r="J4458" t="str">
            <v>Ecommerce (US)</v>
          </cell>
          <cell r="K4458" t="str">
            <v>Ecommerce</v>
          </cell>
          <cell r="L4458" t="str">
            <v>Marketing</v>
          </cell>
          <cell r="N4458" t="str">
            <v>Direct Costs</v>
          </cell>
          <cell r="O4458" t="str">
            <v>[No Vendor]</v>
          </cell>
        </row>
        <row r="4459">
          <cell r="D4459">
            <v>114.5</v>
          </cell>
          <cell r="H4459">
            <v>45566</v>
          </cell>
          <cell r="I4459" t="str">
            <v>6375 - Freight Expenses</v>
          </cell>
          <cell r="J4459" t="str">
            <v>Ecommerce (EU)</v>
          </cell>
          <cell r="K4459" t="str">
            <v>Ecommerce</v>
          </cell>
          <cell r="L4459" t="str">
            <v>Freight</v>
          </cell>
          <cell r="N4459" t="str">
            <v>Direct Costs</v>
          </cell>
          <cell r="O4459" t="str">
            <v>UPS Supply Chain Solutions Inc. (7F24A0)</v>
          </cell>
        </row>
        <row r="4460">
          <cell r="D4460">
            <v>97.34</v>
          </cell>
          <cell r="H4460">
            <v>45566</v>
          </cell>
          <cell r="I4460" t="str">
            <v>8505 - Realized Gain/Loss</v>
          </cell>
          <cell r="J4460">
            <v>0</v>
          </cell>
          <cell r="K4460" t="str">
            <v>No Department</v>
          </cell>
          <cell r="L4460" t="str">
            <v>Realized Gain / Loss</v>
          </cell>
          <cell r="N4460" t="str">
            <v>BTL</v>
          </cell>
          <cell r="O4460" t="str">
            <v>[No Vendor]</v>
          </cell>
        </row>
        <row r="4461">
          <cell r="D4461">
            <v>496.47</v>
          </cell>
          <cell r="H4461">
            <v>45566</v>
          </cell>
          <cell r="I4461" t="str">
            <v>6300 - Payroll Service Fees</v>
          </cell>
          <cell r="J4461">
            <v>0</v>
          </cell>
          <cell r="K4461" t="str">
            <v>Administration</v>
          </cell>
          <cell r="L4461" t="str">
            <v>Professional Service</v>
          </cell>
          <cell r="N4461" t="str">
            <v>SG&amp;A</v>
          </cell>
          <cell r="O4461" t="str">
            <v>ADP Payroll Services</v>
          </cell>
        </row>
        <row r="4462">
          <cell r="D4462">
            <v>674</v>
          </cell>
          <cell r="H4462">
            <v>45566</v>
          </cell>
          <cell r="I4462" t="str">
            <v>6375 - Freight Expenses</v>
          </cell>
          <cell r="J4462" t="str">
            <v>Wholesale</v>
          </cell>
          <cell r="K4462" t="str">
            <v>Wholesale</v>
          </cell>
          <cell r="L4462" t="str">
            <v>Freight</v>
          </cell>
          <cell r="N4462" t="str">
            <v>Direct Costs</v>
          </cell>
          <cell r="O4462" t="str">
            <v>UPS Supply Chain Solutions Inc. (7F24A0)</v>
          </cell>
        </row>
        <row r="4463">
          <cell r="D4463">
            <v>24023.21</v>
          </cell>
          <cell r="H4463">
            <v>45566</v>
          </cell>
          <cell r="I4463" t="str">
            <v>6375 - Freight Expenses</v>
          </cell>
          <cell r="J4463" t="str">
            <v>Ecommerce (US)</v>
          </cell>
          <cell r="K4463" t="str">
            <v>Ecommerce</v>
          </cell>
          <cell r="L4463" t="str">
            <v>Freight</v>
          </cell>
          <cell r="N4463" t="str">
            <v>Direct Costs</v>
          </cell>
          <cell r="O4463" t="str">
            <v>UPS Supply Chain Solutions Inc. (7F24A0)</v>
          </cell>
        </row>
        <row r="4464">
          <cell r="D4464">
            <v>4031.98</v>
          </cell>
          <cell r="H4464">
            <v>45566</v>
          </cell>
          <cell r="I4464" t="str">
            <v>6375 - Freight Expenses</v>
          </cell>
          <cell r="J4464" t="str">
            <v>Ecommerce (EU)</v>
          </cell>
          <cell r="K4464" t="str">
            <v>Ecommerce</v>
          </cell>
          <cell r="L4464" t="str">
            <v>Freight</v>
          </cell>
          <cell r="N4464" t="str">
            <v>Direct Costs</v>
          </cell>
          <cell r="O4464" t="str">
            <v>Global E</v>
          </cell>
        </row>
        <row r="4465">
          <cell r="D4465">
            <v>10955.39</v>
          </cell>
          <cell r="H4465">
            <v>45566</v>
          </cell>
          <cell r="I4465" t="str">
            <v>5001 - Cost of Goods Sold - Other</v>
          </cell>
          <cell r="J4465" t="str">
            <v>Ecommerce (EU)</v>
          </cell>
          <cell r="K4465" t="str">
            <v>Ecommerce</v>
          </cell>
          <cell r="L4465" t="str">
            <v>Other COGS</v>
          </cell>
          <cell r="N4465" t="str">
            <v>COGS</v>
          </cell>
          <cell r="O4465" t="str">
            <v>[No Vendor]</v>
          </cell>
        </row>
        <row r="4466">
          <cell r="D4466">
            <v>778.64</v>
          </cell>
          <cell r="H4466">
            <v>45566</v>
          </cell>
          <cell r="I4466" t="str">
            <v>6377 - Order Processing Expenses (New)</v>
          </cell>
          <cell r="J4466" t="str">
            <v>Ecommerce (EU)</v>
          </cell>
          <cell r="K4466" t="str">
            <v>Ecommerce</v>
          </cell>
          <cell r="L4466" t="str">
            <v>Order Processing</v>
          </cell>
          <cell r="N4466" t="str">
            <v>Direct Costs</v>
          </cell>
          <cell r="O4466" t="str">
            <v>[No Vendor]</v>
          </cell>
        </row>
        <row r="4467">
          <cell r="D4467">
            <v>3151.27</v>
          </cell>
          <cell r="H4467">
            <v>45566</v>
          </cell>
          <cell r="I4467" t="str">
            <v>6450 - Bank &amp; Other Fees</v>
          </cell>
          <cell r="J4467" t="str">
            <v>Ecommerce (EU)</v>
          </cell>
          <cell r="K4467" t="str">
            <v>Ecommerce</v>
          </cell>
          <cell r="L4467" t="str">
            <v>Professional Service</v>
          </cell>
          <cell r="N4467" t="str">
            <v>Direct Costs</v>
          </cell>
          <cell r="O4467" t="str">
            <v>[No Vendor]</v>
          </cell>
        </row>
        <row r="4468">
          <cell r="D4468">
            <v>136.57</v>
          </cell>
          <cell r="H4468">
            <v>45566</v>
          </cell>
          <cell r="I4468" t="str">
            <v>6040 - Employer Paid Benefits</v>
          </cell>
          <cell r="J4468">
            <v>0</v>
          </cell>
          <cell r="K4468" t="str">
            <v>Administration</v>
          </cell>
          <cell r="L4468" t="str">
            <v>HQ Salaries</v>
          </cell>
          <cell r="N4468" t="str">
            <v>SG&amp;A</v>
          </cell>
          <cell r="O4468" t="str">
            <v>Procyon Benefits LLC</v>
          </cell>
        </row>
        <row r="4469">
          <cell r="D4469">
            <v>1397.5</v>
          </cell>
          <cell r="H4469">
            <v>45566</v>
          </cell>
          <cell r="I4469" t="str">
            <v>6300 - Payroll Service Fees</v>
          </cell>
          <cell r="J4469">
            <v>0</v>
          </cell>
          <cell r="K4469" t="str">
            <v>Administration</v>
          </cell>
          <cell r="L4469" t="str">
            <v>Professional Service</v>
          </cell>
          <cell r="N4469" t="str">
            <v>SG&amp;A</v>
          </cell>
          <cell r="O4469" t="str">
            <v>OperationsInc, LLC</v>
          </cell>
        </row>
        <row r="4470">
          <cell r="D4470">
            <v>267.54000000000002</v>
          </cell>
          <cell r="H4470">
            <v>45566</v>
          </cell>
          <cell r="I4470" t="str">
            <v>6040 - Employer Paid Benefits</v>
          </cell>
          <cell r="J4470">
            <v>0</v>
          </cell>
          <cell r="K4470" t="str">
            <v>Production</v>
          </cell>
          <cell r="L4470" t="str">
            <v>HQ Salaries</v>
          </cell>
          <cell r="N4470" t="str">
            <v>SG&amp;A</v>
          </cell>
          <cell r="O4470" t="str">
            <v>Procyon Benefits LLC</v>
          </cell>
        </row>
        <row r="4471">
          <cell r="D4471">
            <v>34.799999999999997</v>
          </cell>
          <cell r="H4471">
            <v>45566</v>
          </cell>
          <cell r="I4471" t="str">
            <v>6040 - Employer Paid Benefits</v>
          </cell>
          <cell r="J4471">
            <v>0</v>
          </cell>
          <cell r="K4471" t="str">
            <v>Merchandising</v>
          </cell>
          <cell r="L4471" t="str">
            <v>HQ Salaries</v>
          </cell>
          <cell r="N4471" t="str">
            <v>SG&amp;A</v>
          </cell>
          <cell r="O4471" t="str">
            <v>Procyon Benefits LLC</v>
          </cell>
        </row>
        <row r="4472">
          <cell r="D4472">
            <v>22</v>
          </cell>
          <cell r="H4472">
            <v>45566</v>
          </cell>
          <cell r="I4472" t="str">
            <v>6040 - Employer Paid Benefits</v>
          </cell>
          <cell r="J4472">
            <v>0</v>
          </cell>
          <cell r="K4472" t="str">
            <v>Executive</v>
          </cell>
          <cell r="L4472" t="str">
            <v>HQ Salaries</v>
          </cell>
          <cell r="N4472" t="str">
            <v>SG&amp;A</v>
          </cell>
          <cell r="O4472" t="str">
            <v>Procyon Benefits LLC</v>
          </cell>
        </row>
        <row r="4473">
          <cell r="D4473">
            <v>369.98</v>
          </cell>
          <cell r="H4473">
            <v>45566</v>
          </cell>
          <cell r="I4473" t="str">
            <v>6040 - Employer Paid Benefits</v>
          </cell>
          <cell r="J4473">
            <v>0</v>
          </cell>
          <cell r="K4473" t="str">
            <v>Design</v>
          </cell>
          <cell r="L4473" t="str">
            <v>HQ Salaries</v>
          </cell>
          <cell r="N4473" t="str">
            <v>SG&amp;A</v>
          </cell>
          <cell r="O4473" t="str">
            <v>Procyon Benefits LLC</v>
          </cell>
        </row>
        <row r="4474">
          <cell r="D4474">
            <v>-27.82</v>
          </cell>
          <cell r="H4474">
            <v>45566</v>
          </cell>
          <cell r="I4474" t="str">
            <v>6377 - Order Processing Expenses (New)</v>
          </cell>
          <cell r="J4474" t="str">
            <v>Ecommerce (US)</v>
          </cell>
          <cell r="K4474" t="str">
            <v>No Department</v>
          </cell>
          <cell r="L4474" t="str">
            <v>Order Processing</v>
          </cell>
          <cell r="N4474" t="str">
            <v>Direct Costs</v>
          </cell>
          <cell r="O4474" t="str">
            <v>Bergen Logistics Corporation</v>
          </cell>
        </row>
        <row r="4475">
          <cell r="D4475">
            <v>806.04</v>
          </cell>
          <cell r="H4475">
            <v>45566</v>
          </cell>
          <cell r="I4475" t="str">
            <v>6450 - Bank &amp; Other Fees</v>
          </cell>
          <cell r="J4475" t="str">
            <v>Ecommerce (US)</v>
          </cell>
          <cell r="K4475" t="str">
            <v>Ecommerce</v>
          </cell>
          <cell r="L4475" t="str">
            <v>Professional Service</v>
          </cell>
          <cell r="N4475" t="str">
            <v>Direct Costs</v>
          </cell>
          <cell r="O4475" t="str">
            <v>[No Vendor]</v>
          </cell>
        </row>
        <row r="4476">
          <cell r="D4476">
            <v>115.5</v>
          </cell>
          <cell r="H4476">
            <v>45566</v>
          </cell>
          <cell r="I4476" t="str">
            <v>6040 - Employer Paid Benefits</v>
          </cell>
          <cell r="J4476">
            <v>0</v>
          </cell>
          <cell r="K4476" t="str">
            <v>Administration</v>
          </cell>
          <cell r="L4476" t="str">
            <v>HQ Salaries</v>
          </cell>
          <cell r="N4476" t="str">
            <v>SG&amp;A</v>
          </cell>
          <cell r="O4476" t="str">
            <v>Progressive Benefit Solutions LLC</v>
          </cell>
        </row>
        <row r="4477">
          <cell r="D4477">
            <v>32847.53</v>
          </cell>
          <cell r="H4477">
            <v>45566</v>
          </cell>
          <cell r="I4477" t="str">
            <v>6377 - Order Processing Expenses (New)</v>
          </cell>
          <cell r="J4477" t="str">
            <v>Ecommerce (US)</v>
          </cell>
          <cell r="K4477" t="str">
            <v>Ecommerce</v>
          </cell>
          <cell r="L4477" t="str">
            <v>Order Processing</v>
          </cell>
          <cell r="N4477" t="str">
            <v>Direct Costs</v>
          </cell>
          <cell r="O4477" t="str">
            <v>Bergen Logistics Corporation</v>
          </cell>
        </row>
        <row r="4478">
          <cell r="D4478">
            <v>1307.24</v>
          </cell>
          <cell r="H4478">
            <v>45566</v>
          </cell>
          <cell r="I4478" t="str">
            <v>6377 - Order Processing Expenses (New)</v>
          </cell>
          <cell r="J4478" t="str">
            <v>Wholesale</v>
          </cell>
          <cell r="K4478" t="str">
            <v>Wholesale</v>
          </cell>
          <cell r="L4478" t="str">
            <v>Order Processing</v>
          </cell>
          <cell r="N4478" t="str">
            <v>Direct Costs</v>
          </cell>
          <cell r="O4478" t="str">
            <v>Bergen Logistics Corporation</v>
          </cell>
        </row>
        <row r="4479">
          <cell r="D4479">
            <v>16.329999999999998</v>
          </cell>
          <cell r="H4479">
            <v>45566</v>
          </cell>
          <cell r="I4479" t="str">
            <v>6393 - Software</v>
          </cell>
          <cell r="J4479">
            <v>0</v>
          </cell>
          <cell r="K4479" t="str">
            <v>Brand Marketing</v>
          </cell>
          <cell r="L4479" t="str">
            <v>Professional Service</v>
          </cell>
          <cell r="N4479" t="str">
            <v>Direct Costs</v>
          </cell>
          <cell r="O4479">
            <v>0</v>
          </cell>
        </row>
        <row r="4480">
          <cell r="D4480">
            <v>5.44</v>
          </cell>
          <cell r="H4480">
            <v>45566</v>
          </cell>
          <cell r="I4480" t="str">
            <v>6393 - Software</v>
          </cell>
          <cell r="J4480">
            <v>0</v>
          </cell>
          <cell r="K4480" t="str">
            <v>Brand Marketing</v>
          </cell>
          <cell r="L4480" t="str">
            <v>Professional Service</v>
          </cell>
          <cell r="N4480" t="str">
            <v>Direct Costs</v>
          </cell>
          <cell r="O4480">
            <v>0</v>
          </cell>
        </row>
        <row r="4481">
          <cell r="D4481">
            <v>21.78</v>
          </cell>
          <cell r="H4481">
            <v>45566</v>
          </cell>
          <cell r="I4481" t="str">
            <v>6393 - Software</v>
          </cell>
          <cell r="J4481">
            <v>0</v>
          </cell>
          <cell r="K4481" t="str">
            <v>Brand Marketing</v>
          </cell>
          <cell r="L4481" t="str">
            <v>Professional Service</v>
          </cell>
          <cell r="N4481" t="str">
            <v>Direct Costs</v>
          </cell>
          <cell r="O4481" t="str">
            <v>[No Vendor]</v>
          </cell>
        </row>
        <row r="4482">
          <cell r="D4482">
            <v>10.89</v>
          </cell>
          <cell r="H4482">
            <v>45566</v>
          </cell>
          <cell r="I4482" t="str">
            <v>6393 - Software</v>
          </cell>
          <cell r="J4482">
            <v>0</v>
          </cell>
          <cell r="K4482" t="str">
            <v>Brand Marketing</v>
          </cell>
          <cell r="L4482" t="str">
            <v>Professional Service</v>
          </cell>
          <cell r="N4482" t="str">
            <v>Direct Costs</v>
          </cell>
          <cell r="O4482">
            <v>0</v>
          </cell>
        </row>
        <row r="4483">
          <cell r="D4483">
            <v>30276.09</v>
          </cell>
          <cell r="H4483">
            <v>45566</v>
          </cell>
          <cell r="I4483" t="str">
            <v>6393 - Software</v>
          </cell>
          <cell r="J4483" t="str">
            <v>Ecommerce (US)</v>
          </cell>
          <cell r="K4483" t="str">
            <v>Brand Marketing</v>
          </cell>
          <cell r="L4483" t="str">
            <v>Professional Service</v>
          </cell>
          <cell r="N4483" t="str">
            <v>Direct Costs</v>
          </cell>
          <cell r="O4483" t="str">
            <v>Attentive Mobile Inc.</v>
          </cell>
        </row>
        <row r="4484">
          <cell r="D4484">
            <v>1245</v>
          </cell>
          <cell r="H4484">
            <v>45566</v>
          </cell>
          <cell r="I4484" t="str">
            <v>6393 - Software</v>
          </cell>
          <cell r="J4484">
            <v>0</v>
          </cell>
          <cell r="K4484" t="str">
            <v>Design</v>
          </cell>
          <cell r="L4484" t="str">
            <v>Professional Service</v>
          </cell>
          <cell r="N4484" t="str">
            <v>Direct Costs</v>
          </cell>
          <cell r="O4484">
            <v>0</v>
          </cell>
        </row>
        <row r="4485">
          <cell r="D4485">
            <v>16.32</v>
          </cell>
          <cell r="H4485">
            <v>45566</v>
          </cell>
          <cell r="I4485" t="str">
            <v>6393 - Software</v>
          </cell>
          <cell r="J4485" t="str">
            <v>Ecommerce (US)</v>
          </cell>
          <cell r="K4485" t="str">
            <v>Ecommerce</v>
          </cell>
          <cell r="L4485" t="str">
            <v>Professional Service</v>
          </cell>
          <cell r="N4485" t="str">
            <v>Direct Costs</v>
          </cell>
          <cell r="O4485" t="str">
            <v>[No Vendor]</v>
          </cell>
        </row>
        <row r="4486">
          <cell r="D4486">
            <v>6736.53</v>
          </cell>
          <cell r="H4486">
            <v>45566</v>
          </cell>
          <cell r="I4486" t="str">
            <v>6393 - Software</v>
          </cell>
          <cell r="J4486" t="str">
            <v>Ecommerce (US)</v>
          </cell>
          <cell r="K4486" t="str">
            <v>Ecommerce</v>
          </cell>
          <cell r="L4486" t="str">
            <v>Professional Service</v>
          </cell>
          <cell r="N4486" t="str">
            <v>Direct Costs</v>
          </cell>
          <cell r="O4486" t="str">
            <v>Shopify</v>
          </cell>
        </row>
        <row r="4487">
          <cell r="D4487">
            <v>598</v>
          </cell>
          <cell r="H4487">
            <v>45566</v>
          </cell>
          <cell r="I4487" t="str">
            <v>6393 - Software</v>
          </cell>
          <cell r="J4487" t="str">
            <v>Ecommerce (US)</v>
          </cell>
          <cell r="K4487" t="str">
            <v>Ecommerce</v>
          </cell>
          <cell r="L4487" t="str">
            <v>Professional Service</v>
          </cell>
          <cell r="N4487" t="str">
            <v>Direct Costs</v>
          </cell>
          <cell r="O4487">
            <v>0</v>
          </cell>
        </row>
        <row r="4488">
          <cell r="D4488">
            <v>21.78</v>
          </cell>
          <cell r="H4488">
            <v>45566</v>
          </cell>
          <cell r="I4488" t="str">
            <v>6393 - Software</v>
          </cell>
          <cell r="J4488" t="str">
            <v>Ecommerce (US)</v>
          </cell>
          <cell r="K4488" t="str">
            <v>Ecommerce</v>
          </cell>
          <cell r="L4488" t="str">
            <v>Professional Service</v>
          </cell>
          <cell r="N4488" t="str">
            <v>Direct Costs</v>
          </cell>
          <cell r="O4488" t="str">
            <v>Chat GPT</v>
          </cell>
        </row>
        <row r="4489">
          <cell r="D4489">
            <v>159</v>
          </cell>
          <cell r="H4489">
            <v>45566</v>
          </cell>
          <cell r="I4489" t="str">
            <v>6393 - Software</v>
          </cell>
          <cell r="J4489" t="str">
            <v>Ecommerce (US)</v>
          </cell>
          <cell r="K4489" t="str">
            <v>Ecommerce</v>
          </cell>
          <cell r="L4489" t="str">
            <v>Professional Service</v>
          </cell>
          <cell r="N4489" t="str">
            <v>Direct Costs</v>
          </cell>
          <cell r="O4489" t="str">
            <v>Integration Manager</v>
          </cell>
        </row>
        <row r="4490">
          <cell r="D4490">
            <v>936.33</v>
          </cell>
          <cell r="H4490">
            <v>45566</v>
          </cell>
          <cell r="I4490" t="str">
            <v>6393 - Software</v>
          </cell>
          <cell r="J4490" t="str">
            <v>Ecommerce (US)</v>
          </cell>
          <cell r="K4490" t="str">
            <v>Ecommerce</v>
          </cell>
          <cell r="L4490" t="str">
            <v>Professional Service</v>
          </cell>
          <cell r="N4490" t="str">
            <v>Direct Costs</v>
          </cell>
          <cell r="O4490">
            <v>0</v>
          </cell>
        </row>
        <row r="4491">
          <cell r="D4491">
            <v>2629.34</v>
          </cell>
          <cell r="H4491">
            <v>45566</v>
          </cell>
          <cell r="I4491" t="str">
            <v>6393 - Software</v>
          </cell>
          <cell r="J4491" t="str">
            <v>Ecommerce (US)</v>
          </cell>
          <cell r="K4491" t="str">
            <v>Ecommerce</v>
          </cell>
          <cell r="L4491" t="str">
            <v>Professional Service</v>
          </cell>
          <cell r="N4491" t="str">
            <v>Direct Costs</v>
          </cell>
          <cell r="O4491">
            <v>0</v>
          </cell>
        </row>
        <row r="4492">
          <cell r="D4492">
            <v>9034.65</v>
          </cell>
          <cell r="H4492">
            <v>45566</v>
          </cell>
          <cell r="I4492" t="str">
            <v>6393 - Software</v>
          </cell>
          <cell r="J4492" t="str">
            <v>Ecommerce (US)</v>
          </cell>
          <cell r="K4492" t="str">
            <v>Ecommerce</v>
          </cell>
          <cell r="L4492" t="str">
            <v>Professional Service</v>
          </cell>
          <cell r="N4492" t="str">
            <v>Direct Costs</v>
          </cell>
          <cell r="O4492" t="str">
            <v>Signifyd</v>
          </cell>
        </row>
        <row r="4493">
          <cell r="D4493">
            <v>1088.55</v>
          </cell>
          <cell r="H4493">
            <v>45566</v>
          </cell>
          <cell r="I4493" t="str">
            <v>6393 - Software</v>
          </cell>
          <cell r="J4493" t="str">
            <v>Ecommerce (US)</v>
          </cell>
          <cell r="K4493" t="str">
            <v>Ecommerce</v>
          </cell>
          <cell r="L4493" t="str">
            <v>Professional Service</v>
          </cell>
          <cell r="N4493" t="str">
            <v>Direct Costs</v>
          </cell>
          <cell r="O4493">
            <v>0</v>
          </cell>
        </row>
        <row r="4494">
          <cell r="D4494">
            <v>9.5299999999999994</v>
          </cell>
          <cell r="H4494">
            <v>45566</v>
          </cell>
          <cell r="I4494" t="str">
            <v>6393 - Software</v>
          </cell>
          <cell r="J4494" t="str">
            <v>Ecommerce (US)</v>
          </cell>
          <cell r="K4494" t="str">
            <v>Ecommerce</v>
          </cell>
          <cell r="L4494" t="str">
            <v>Professional Service</v>
          </cell>
          <cell r="N4494" t="str">
            <v>Direct Costs</v>
          </cell>
          <cell r="O4494">
            <v>0</v>
          </cell>
        </row>
        <row r="4495">
          <cell r="D4495">
            <v>16.32</v>
          </cell>
          <cell r="H4495">
            <v>45566</v>
          </cell>
          <cell r="I4495" t="str">
            <v>6393 - Software</v>
          </cell>
          <cell r="J4495" t="str">
            <v>Ecommerce (US)</v>
          </cell>
          <cell r="K4495" t="str">
            <v>Ecommerce</v>
          </cell>
          <cell r="L4495" t="str">
            <v>Professional Service</v>
          </cell>
          <cell r="N4495" t="str">
            <v>Direct Costs</v>
          </cell>
          <cell r="O4495" t="str">
            <v>[No Vendor]</v>
          </cell>
        </row>
        <row r="4496">
          <cell r="D4496">
            <v>1649.24</v>
          </cell>
          <cell r="H4496">
            <v>45566</v>
          </cell>
          <cell r="I4496" t="str">
            <v>6393 - Software</v>
          </cell>
          <cell r="J4496" t="str">
            <v>Ecommerce (US)</v>
          </cell>
          <cell r="K4496" t="str">
            <v>Ecommerce</v>
          </cell>
          <cell r="L4496" t="str">
            <v>Professional Service</v>
          </cell>
          <cell r="N4496" t="str">
            <v>Direct Costs</v>
          </cell>
          <cell r="O4496" t="str">
            <v>Robert  McKinney</v>
          </cell>
        </row>
        <row r="4497">
          <cell r="D4497">
            <v>1208.77</v>
          </cell>
          <cell r="H4497">
            <v>45566</v>
          </cell>
          <cell r="I4497" t="str">
            <v>6393 - Software</v>
          </cell>
          <cell r="J4497" t="str">
            <v>Ecommerce (US)</v>
          </cell>
          <cell r="K4497" t="str">
            <v>Ecommerce</v>
          </cell>
          <cell r="L4497" t="str">
            <v>Professional Service</v>
          </cell>
          <cell r="N4497" t="str">
            <v>Direct Costs</v>
          </cell>
          <cell r="O4497" t="str">
            <v>Robert  McKinney</v>
          </cell>
        </row>
        <row r="4498">
          <cell r="D4498">
            <v>59.38</v>
          </cell>
          <cell r="H4498">
            <v>45566</v>
          </cell>
          <cell r="I4498" t="str">
            <v>6393 - Software</v>
          </cell>
          <cell r="J4498">
            <v>0</v>
          </cell>
          <cell r="K4498" t="str">
            <v>Administration</v>
          </cell>
          <cell r="L4498" t="str">
            <v>Professional Service</v>
          </cell>
          <cell r="N4498" t="str">
            <v>Direct Costs</v>
          </cell>
          <cell r="O4498" t="str">
            <v>Quickbook</v>
          </cell>
        </row>
        <row r="4499">
          <cell r="D4499">
            <v>42.9</v>
          </cell>
          <cell r="H4499">
            <v>45566</v>
          </cell>
          <cell r="I4499" t="str">
            <v>6393 - Software</v>
          </cell>
          <cell r="J4499" t="str">
            <v>Wholesale</v>
          </cell>
          <cell r="K4499" t="str">
            <v>Wholesale</v>
          </cell>
          <cell r="L4499" t="str">
            <v>Professional Service</v>
          </cell>
          <cell r="N4499" t="str">
            <v>Direct Costs</v>
          </cell>
          <cell r="O4499">
            <v>0</v>
          </cell>
        </row>
        <row r="4500">
          <cell r="D4500">
            <v>228.64</v>
          </cell>
          <cell r="H4500">
            <v>45566</v>
          </cell>
          <cell r="I4500" t="str">
            <v>6393 - Software</v>
          </cell>
          <cell r="J4500" t="str">
            <v>Wholesale</v>
          </cell>
          <cell r="K4500" t="str">
            <v>Wholesale</v>
          </cell>
          <cell r="L4500" t="str">
            <v>Professional Service</v>
          </cell>
          <cell r="N4500" t="str">
            <v>Direct Costs</v>
          </cell>
          <cell r="O4500">
            <v>0</v>
          </cell>
        </row>
        <row r="4501">
          <cell r="D4501">
            <v>87011.17</v>
          </cell>
          <cell r="H4501">
            <v>45566</v>
          </cell>
          <cell r="I4501" t="str">
            <v>6286 - SEM</v>
          </cell>
          <cell r="J4501" t="str">
            <v>Ecommerce (US)</v>
          </cell>
          <cell r="K4501" t="str">
            <v>Ecommerce</v>
          </cell>
          <cell r="L4501" t="str">
            <v>Marketing</v>
          </cell>
          <cell r="N4501" t="str">
            <v>Direct Costs</v>
          </cell>
          <cell r="O4501" t="str">
            <v>Meta Platforms, Inc</v>
          </cell>
        </row>
        <row r="4502">
          <cell r="D4502">
            <v>27269.63</v>
          </cell>
          <cell r="H4502">
            <v>45566</v>
          </cell>
          <cell r="I4502" t="str">
            <v>6286 - SEM</v>
          </cell>
          <cell r="J4502" t="str">
            <v>Ecommerce (EU)</v>
          </cell>
          <cell r="K4502" t="str">
            <v>Ecommerce</v>
          </cell>
          <cell r="L4502" t="str">
            <v>Marketing</v>
          </cell>
          <cell r="N4502" t="str">
            <v>Direct Costs</v>
          </cell>
          <cell r="O4502" t="str">
            <v>Meta Platforms, Inc</v>
          </cell>
        </row>
        <row r="4503">
          <cell r="D4503">
            <v>25000</v>
          </cell>
          <cell r="H4503">
            <v>45566</v>
          </cell>
          <cell r="I4503" t="str">
            <v>6286 - SEM</v>
          </cell>
          <cell r="J4503" t="str">
            <v>Ecommerce (US)</v>
          </cell>
          <cell r="K4503" t="str">
            <v>Ecommerce</v>
          </cell>
          <cell r="L4503" t="str">
            <v>Marketing</v>
          </cell>
          <cell r="N4503" t="str">
            <v>Direct Costs</v>
          </cell>
          <cell r="O4503" t="str">
            <v>Google</v>
          </cell>
        </row>
        <row r="4504">
          <cell r="D4504">
            <v>2111.9899999999998</v>
          </cell>
          <cell r="H4504">
            <v>45566</v>
          </cell>
          <cell r="I4504" t="str">
            <v>6286 - SEM</v>
          </cell>
          <cell r="J4504" t="str">
            <v>Ecommerce (US)</v>
          </cell>
          <cell r="K4504" t="str">
            <v>Ecommerce</v>
          </cell>
          <cell r="L4504" t="str">
            <v>Marketing</v>
          </cell>
          <cell r="N4504" t="str">
            <v>Direct Costs</v>
          </cell>
          <cell r="O4504" t="str">
            <v>Tiktok</v>
          </cell>
        </row>
        <row r="4505">
          <cell r="D4505">
            <v>11535.41</v>
          </cell>
          <cell r="H4505">
            <v>45566</v>
          </cell>
          <cell r="I4505" t="str">
            <v>6286 - SEM</v>
          </cell>
          <cell r="J4505" t="str">
            <v>Ecommerce (US)</v>
          </cell>
          <cell r="K4505" t="str">
            <v>Ecommerce</v>
          </cell>
          <cell r="L4505" t="str">
            <v>Marketing</v>
          </cell>
          <cell r="N4505" t="str">
            <v>Direct Costs</v>
          </cell>
          <cell r="O4505" t="str">
            <v>Amazon</v>
          </cell>
        </row>
        <row r="4506">
          <cell r="D4506">
            <v>151.34</v>
          </cell>
          <cell r="H4506">
            <v>45566</v>
          </cell>
          <cell r="I4506" t="str">
            <v>6340 - Miscellaneous Expense</v>
          </cell>
          <cell r="J4506">
            <v>0</v>
          </cell>
          <cell r="K4506" t="str">
            <v>Brand Marketing</v>
          </cell>
          <cell r="L4506" t="str">
            <v>Other</v>
          </cell>
          <cell r="N4506" t="str">
            <v>SG&amp;A</v>
          </cell>
          <cell r="O4506" t="str">
            <v>[No Vendor]</v>
          </cell>
        </row>
        <row r="4507">
          <cell r="D4507">
            <v>6.5</v>
          </cell>
          <cell r="H4507">
            <v>45566</v>
          </cell>
          <cell r="I4507" t="str">
            <v>6340 - Miscellaneous Expense</v>
          </cell>
          <cell r="J4507">
            <v>0</v>
          </cell>
          <cell r="K4507" t="str">
            <v>Administration</v>
          </cell>
          <cell r="L4507" t="str">
            <v>Other</v>
          </cell>
          <cell r="N4507" t="str">
            <v>SG&amp;A</v>
          </cell>
          <cell r="O4507" t="str">
            <v>[No Vendor]</v>
          </cell>
        </row>
        <row r="4508">
          <cell r="D4508">
            <v>19.579999999999998</v>
          </cell>
          <cell r="H4508">
            <v>45566</v>
          </cell>
          <cell r="I4508" t="str">
            <v>6340 - Miscellaneous Expense</v>
          </cell>
          <cell r="J4508">
            <v>0</v>
          </cell>
          <cell r="K4508" t="str">
            <v>Administration</v>
          </cell>
          <cell r="L4508" t="str">
            <v>Other</v>
          </cell>
          <cell r="N4508" t="str">
            <v>SG&amp;A</v>
          </cell>
          <cell r="O4508" t="str">
            <v>[No Vendor]</v>
          </cell>
        </row>
        <row r="4509">
          <cell r="D4509">
            <v>-12.88</v>
          </cell>
          <cell r="H4509">
            <v>45566</v>
          </cell>
          <cell r="I4509" t="str">
            <v>6340 - Miscellaneous Expense</v>
          </cell>
          <cell r="J4509">
            <v>0</v>
          </cell>
          <cell r="K4509" t="str">
            <v>Executive</v>
          </cell>
          <cell r="L4509" t="str">
            <v>Other</v>
          </cell>
          <cell r="N4509" t="str">
            <v>SG&amp;A</v>
          </cell>
          <cell r="O4509" t="str">
            <v>[No Vendor]</v>
          </cell>
        </row>
        <row r="4510">
          <cell r="D4510">
            <v>177.45</v>
          </cell>
          <cell r="H4510">
            <v>45566</v>
          </cell>
          <cell r="I4510" t="str">
            <v>6340 - Miscellaneous Expense</v>
          </cell>
          <cell r="J4510">
            <v>0</v>
          </cell>
          <cell r="K4510" t="str">
            <v>Administration</v>
          </cell>
          <cell r="L4510" t="str">
            <v>Other</v>
          </cell>
          <cell r="N4510" t="str">
            <v>SG&amp;A</v>
          </cell>
          <cell r="O4510" t="str">
            <v>Amazon Capital Services</v>
          </cell>
        </row>
        <row r="4511">
          <cell r="D4511">
            <v>170.34</v>
          </cell>
          <cell r="H4511">
            <v>45566</v>
          </cell>
          <cell r="I4511" t="str">
            <v>6120 - Lodging</v>
          </cell>
          <cell r="J4511" t="str">
            <v>Ecommerce (US)</v>
          </cell>
          <cell r="K4511" t="str">
            <v>Ecommerce</v>
          </cell>
          <cell r="L4511" t="str">
            <v>T&amp;E</v>
          </cell>
          <cell r="N4511" t="str">
            <v>SG&amp;A</v>
          </cell>
          <cell r="O4511" t="str">
            <v>[No Vendor]</v>
          </cell>
        </row>
        <row r="4512">
          <cell r="D4512">
            <v>673.35</v>
          </cell>
          <cell r="H4512">
            <v>45566</v>
          </cell>
          <cell r="I4512" t="str">
            <v>6120 - Lodging</v>
          </cell>
          <cell r="J4512" t="str">
            <v>Ecommerce (US)</v>
          </cell>
          <cell r="K4512" t="str">
            <v>Ecommerce</v>
          </cell>
          <cell r="L4512" t="str">
            <v>T&amp;E</v>
          </cell>
          <cell r="N4512" t="str">
            <v>SG&amp;A</v>
          </cell>
          <cell r="O4512" t="str">
            <v>[No Vendor]</v>
          </cell>
        </row>
        <row r="4513">
          <cell r="D4513">
            <v>0.54</v>
          </cell>
          <cell r="H4513">
            <v>45566</v>
          </cell>
          <cell r="I4513" t="str">
            <v>6450 - Bank &amp; Other Fees</v>
          </cell>
          <cell r="J4513">
            <v>0</v>
          </cell>
          <cell r="K4513" t="str">
            <v>Executive</v>
          </cell>
          <cell r="L4513" t="str">
            <v>Professional Service</v>
          </cell>
          <cell r="N4513" t="str">
            <v>SG&amp;A</v>
          </cell>
          <cell r="O4513" t="str">
            <v>[No Vendor]</v>
          </cell>
        </row>
        <row r="4514">
          <cell r="D4514">
            <v>0.36</v>
          </cell>
          <cell r="H4514">
            <v>45566</v>
          </cell>
          <cell r="I4514" t="str">
            <v>6450 - Bank &amp; Other Fees</v>
          </cell>
          <cell r="J4514" t="str">
            <v>Ecommerce (US)</v>
          </cell>
          <cell r="K4514" t="str">
            <v>Ecommerce</v>
          </cell>
          <cell r="L4514" t="str">
            <v>Professional Service</v>
          </cell>
          <cell r="N4514" t="str">
            <v>Direct Costs</v>
          </cell>
          <cell r="O4514" t="str">
            <v>[No Vendor]</v>
          </cell>
        </row>
        <row r="4515">
          <cell r="D4515">
            <v>0.89</v>
          </cell>
          <cell r="H4515">
            <v>45566</v>
          </cell>
          <cell r="I4515" t="str">
            <v>6450 - Bank &amp; Other Fees</v>
          </cell>
          <cell r="J4515">
            <v>0</v>
          </cell>
          <cell r="K4515" t="str">
            <v>Administration</v>
          </cell>
          <cell r="L4515" t="str">
            <v>Professional Service</v>
          </cell>
          <cell r="N4515" t="str">
            <v>SG&amp;A</v>
          </cell>
          <cell r="O4515" t="str">
            <v>Quickbook</v>
          </cell>
        </row>
        <row r="4516">
          <cell r="D4516">
            <v>88</v>
          </cell>
          <cell r="H4516">
            <v>45566</v>
          </cell>
          <cell r="I4516" t="str">
            <v>6430 - Dues &amp; Memberships</v>
          </cell>
          <cell r="J4516" t="str">
            <v>Wholesale</v>
          </cell>
          <cell r="K4516" t="str">
            <v>Wholesale</v>
          </cell>
          <cell r="L4516" t="str">
            <v>Professional Service</v>
          </cell>
          <cell r="N4516" t="str">
            <v>Direct Costs</v>
          </cell>
          <cell r="O4516" t="str">
            <v>SPS Commerce</v>
          </cell>
        </row>
        <row r="4517">
          <cell r="D4517">
            <v>264.86</v>
          </cell>
          <cell r="H4517">
            <v>45566</v>
          </cell>
          <cell r="I4517" t="str">
            <v>6400 - Utilities</v>
          </cell>
          <cell r="J4517">
            <v>0</v>
          </cell>
          <cell r="K4517" t="str">
            <v>Administration</v>
          </cell>
          <cell r="L4517" t="str">
            <v>Other</v>
          </cell>
          <cell r="N4517" t="str">
            <v>SG&amp;A</v>
          </cell>
          <cell r="O4517" t="str">
            <v>Verizon</v>
          </cell>
        </row>
        <row r="4518">
          <cell r="D4518">
            <v>150</v>
          </cell>
          <cell r="H4518">
            <v>45566</v>
          </cell>
          <cell r="I4518" t="str">
            <v>6225 - Professional Services</v>
          </cell>
          <cell r="J4518">
            <v>0</v>
          </cell>
          <cell r="K4518" t="str">
            <v>Administration</v>
          </cell>
          <cell r="L4518" t="str">
            <v>Professional Service</v>
          </cell>
          <cell r="N4518" t="str">
            <v>Direct Costs</v>
          </cell>
          <cell r="O4518" t="str">
            <v>Benefit Resource, LLC</v>
          </cell>
        </row>
        <row r="4519">
          <cell r="D4519">
            <v>114.01</v>
          </cell>
          <cell r="H4519">
            <v>45566</v>
          </cell>
          <cell r="I4519" t="str">
            <v>6125 - Transportation and Fuel</v>
          </cell>
          <cell r="J4519">
            <v>0</v>
          </cell>
          <cell r="K4519" t="str">
            <v>Brand Marketing</v>
          </cell>
          <cell r="L4519" t="str">
            <v>T&amp;E</v>
          </cell>
          <cell r="N4519" t="str">
            <v>SG&amp;A</v>
          </cell>
          <cell r="O4519" t="str">
            <v>[No Vendor]</v>
          </cell>
        </row>
        <row r="4520">
          <cell r="D4520">
            <v>29.11</v>
          </cell>
          <cell r="H4520">
            <v>45566</v>
          </cell>
          <cell r="I4520" t="str">
            <v>6125 - Transportation and Fuel</v>
          </cell>
          <cell r="J4520">
            <v>0</v>
          </cell>
          <cell r="K4520" t="str">
            <v>Brand Marketing</v>
          </cell>
          <cell r="L4520" t="str">
            <v>T&amp;E</v>
          </cell>
          <cell r="N4520" t="str">
            <v>SG&amp;A</v>
          </cell>
          <cell r="O4520" t="str">
            <v>[No Vendor]</v>
          </cell>
        </row>
        <row r="4521">
          <cell r="D4521">
            <v>50.46</v>
          </cell>
          <cell r="H4521">
            <v>45566</v>
          </cell>
          <cell r="I4521" t="str">
            <v>6125 - Transportation and Fuel</v>
          </cell>
          <cell r="J4521">
            <v>0</v>
          </cell>
          <cell r="K4521" t="str">
            <v>Brand Marketing</v>
          </cell>
          <cell r="L4521" t="str">
            <v>T&amp;E</v>
          </cell>
          <cell r="N4521" t="str">
            <v>SG&amp;A</v>
          </cell>
          <cell r="O4521" t="str">
            <v>[No Vendor]</v>
          </cell>
        </row>
        <row r="4522">
          <cell r="D4522">
            <v>87.27</v>
          </cell>
          <cell r="H4522">
            <v>45566</v>
          </cell>
          <cell r="I4522" t="str">
            <v>6125 - Transportation and Fuel</v>
          </cell>
          <cell r="J4522">
            <v>0</v>
          </cell>
          <cell r="K4522" t="str">
            <v>Brand Marketing</v>
          </cell>
          <cell r="L4522" t="str">
            <v>T&amp;E</v>
          </cell>
          <cell r="N4522" t="str">
            <v>SG&amp;A</v>
          </cell>
          <cell r="O4522" t="str">
            <v>[No Vendor]</v>
          </cell>
        </row>
        <row r="4523">
          <cell r="D4523">
            <v>116.42</v>
          </cell>
          <cell r="H4523">
            <v>45566</v>
          </cell>
          <cell r="I4523" t="str">
            <v>6125 - Transportation and Fuel</v>
          </cell>
          <cell r="J4523">
            <v>0</v>
          </cell>
          <cell r="K4523" t="str">
            <v>Brand Marketing</v>
          </cell>
          <cell r="L4523" t="str">
            <v>T&amp;E</v>
          </cell>
          <cell r="N4523" t="str">
            <v>SG&amp;A</v>
          </cell>
          <cell r="O4523" t="str">
            <v>[No Vendor]</v>
          </cell>
        </row>
        <row r="4524">
          <cell r="D4524">
            <v>132.91999999999999</v>
          </cell>
          <cell r="H4524">
            <v>45566</v>
          </cell>
          <cell r="I4524" t="str">
            <v>6125 - Transportation and Fuel</v>
          </cell>
          <cell r="J4524">
            <v>0</v>
          </cell>
          <cell r="K4524" t="str">
            <v>Executive</v>
          </cell>
          <cell r="L4524" t="str">
            <v>T&amp;E</v>
          </cell>
          <cell r="N4524" t="str">
            <v>SG&amp;A</v>
          </cell>
          <cell r="O4524" t="str">
            <v>[No Vendor]</v>
          </cell>
        </row>
        <row r="4525">
          <cell r="D4525">
            <v>35.72</v>
          </cell>
          <cell r="H4525">
            <v>45566</v>
          </cell>
          <cell r="I4525" t="str">
            <v>6125 - Transportation and Fuel</v>
          </cell>
          <cell r="J4525">
            <v>0</v>
          </cell>
          <cell r="K4525" t="str">
            <v>Executive</v>
          </cell>
          <cell r="L4525" t="str">
            <v>T&amp;E</v>
          </cell>
          <cell r="N4525" t="str">
            <v>SG&amp;A</v>
          </cell>
          <cell r="O4525" t="str">
            <v>[No Vendor]</v>
          </cell>
        </row>
        <row r="4526">
          <cell r="D4526">
            <v>19.95</v>
          </cell>
          <cell r="H4526">
            <v>45566</v>
          </cell>
          <cell r="I4526" t="str">
            <v>6115 - Airfare</v>
          </cell>
          <cell r="J4526">
            <v>0</v>
          </cell>
          <cell r="K4526" t="str">
            <v>Executive</v>
          </cell>
          <cell r="L4526" t="str">
            <v>T&amp;E</v>
          </cell>
          <cell r="N4526" t="str">
            <v>SG&amp;A</v>
          </cell>
          <cell r="O4526" t="str">
            <v>[No Vendor]</v>
          </cell>
        </row>
        <row r="4527">
          <cell r="D4527">
            <v>23.58</v>
          </cell>
          <cell r="H4527">
            <v>45566</v>
          </cell>
          <cell r="I4527" t="str">
            <v>6105 - Meals</v>
          </cell>
          <cell r="J4527">
            <v>0</v>
          </cell>
          <cell r="K4527" t="str">
            <v>Brand Marketing</v>
          </cell>
          <cell r="L4527" t="str">
            <v>T&amp;E</v>
          </cell>
          <cell r="N4527" t="str">
            <v>SG&amp;A</v>
          </cell>
          <cell r="O4527" t="str">
            <v>[No Vendor]</v>
          </cell>
        </row>
        <row r="4528">
          <cell r="D4528">
            <v>102.21</v>
          </cell>
          <cell r="H4528">
            <v>45566</v>
          </cell>
          <cell r="I4528" t="str">
            <v>6105 - Meals</v>
          </cell>
          <cell r="J4528">
            <v>0</v>
          </cell>
          <cell r="K4528" t="str">
            <v>Brand Marketing</v>
          </cell>
          <cell r="L4528" t="str">
            <v>T&amp;E</v>
          </cell>
          <cell r="N4528" t="str">
            <v>SG&amp;A</v>
          </cell>
          <cell r="O4528" t="str">
            <v>[No Vendor]</v>
          </cell>
        </row>
        <row r="4529">
          <cell r="D4529">
            <v>143.69</v>
          </cell>
          <cell r="H4529">
            <v>45566</v>
          </cell>
          <cell r="I4529" t="str">
            <v>6105 - Meals</v>
          </cell>
          <cell r="J4529">
            <v>0</v>
          </cell>
          <cell r="K4529" t="str">
            <v>Brand Marketing</v>
          </cell>
          <cell r="L4529" t="str">
            <v>T&amp;E</v>
          </cell>
          <cell r="N4529" t="str">
            <v>SG&amp;A</v>
          </cell>
          <cell r="O4529" t="str">
            <v>[No Vendor]</v>
          </cell>
        </row>
        <row r="4530">
          <cell r="D4530">
            <v>21</v>
          </cell>
          <cell r="H4530">
            <v>45566</v>
          </cell>
          <cell r="I4530" t="str">
            <v>6105 - Meals</v>
          </cell>
          <cell r="J4530">
            <v>0</v>
          </cell>
          <cell r="K4530" t="str">
            <v>Brand Marketing</v>
          </cell>
          <cell r="L4530" t="str">
            <v>T&amp;E</v>
          </cell>
          <cell r="N4530" t="str">
            <v>SG&amp;A</v>
          </cell>
          <cell r="O4530" t="str">
            <v>[No Vendor]</v>
          </cell>
        </row>
        <row r="4531">
          <cell r="D4531">
            <v>18.170000000000002</v>
          </cell>
          <cell r="H4531">
            <v>45566</v>
          </cell>
          <cell r="I4531" t="str">
            <v>6105 - Meals</v>
          </cell>
          <cell r="J4531">
            <v>0</v>
          </cell>
          <cell r="K4531" t="str">
            <v>Executive</v>
          </cell>
          <cell r="L4531" t="str">
            <v>T&amp;E</v>
          </cell>
          <cell r="N4531" t="str">
            <v>SG&amp;A</v>
          </cell>
          <cell r="O4531" t="str">
            <v>[No Vendor]</v>
          </cell>
        </row>
        <row r="4532">
          <cell r="D4532">
            <v>6.47</v>
          </cell>
          <cell r="H4532">
            <v>45566</v>
          </cell>
          <cell r="I4532" t="str">
            <v>6105 - Meals</v>
          </cell>
          <cell r="J4532">
            <v>0</v>
          </cell>
          <cell r="K4532" t="str">
            <v>Executive</v>
          </cell>
          <cell r="L4532" t="str">
            <v>T&amp;E</v>
          </cell>
          <cell r="N4532" t="str">
            <v>SG&amp;A</v>
          </cell>
          <cell r="O4532" t="str">
            <v>[No Vendor]</v>
          </cell>
        </row>
        <row r="4533">
          <cell r="D4533">
            <v>140.83000000000001</v>
          </cell>
          <cell r="H4533">
            <v>45566</v>
          </cell>
          <cell r="I4533" t="str">
            <v>6105 - Meals</v>
          </cell>
          <cell r="J4533">
            <v>0</v>
          </cell>
          <cell r="K4533" t="str">
            <v>Design</v>
          </cell>
          <cell r="L4533" t="str">
            <v>T&amp;E</v>
          </cell>
          <cell r="N4533" t="str">
            <v>SG&amp;A</v>
          </cell>
          <cell r="O4533" t="str">
            <v>[No Vendor]</v>
          </cell>
        </row>
        <row r="4534">
          <cell r="D4534">
            <v>138.41999999999999</v>
          </cell>
          <cell r="H4534">
            <v>45566</v>
          </cell>
          <cell r="I4534" t="str">
            <v>6375 - Freight Expenses</v>
          </cell>
          <cell r="J4534">
            <v>0</v>
          </cell>
          <cell r="K4534" t="str">
            <v>Brand Marketing</v>
          </cell>
          <cell r="L4534" t="str">
            <v>Freight</v>
          </cell>
          <cell r="N4534" t="str">
            <v>Direct Costs</v>
          </cell>
          <cell r="O4534" t="str">
            <v>Flatlay</v>
          </cell>
        </row>
        <row r="4535">
          <cell r="D4535">
            <v>67.510000000000005</v>
          </cell>
          <cell r="H4535">
            <v>45566</v>
          </cell>
          <cell r="I4535" t="str">
            <v>6375 - Freight Expenses</v>
          </cell>
          <cell r="J4535" t="str">
            <v>Ecommerce (US)</v>
          </cell>
          <cell r="K4535" t="str">
            <v>Ecommerce</v>
          </cell>
          <cell r="L4535" t="str">
            <v>Freight</v>
          </cell>
          <cell r="N4535" t="str">
            <v>Direct Costs</v>
          </cell>
          <cell r="O4535" t="str">
            <v>Bergen Logistics Corporation</v>
          </cell>
        </row>
        <row r="4536">
          <cell r="D4536">
            <v>113.43</v>
          </cell>
          <cell r="H4536">
            <v>45566</v>
          </cell>
          <cell r="I4536" t="str">
            <v>6375 - Freight Expenses</v>
          </cell>
          <cell r="J4536" t="str">
            <v>Wholesale</v>
          </cell>
          <cell r="K4536" t="str">
            <v>Wholesale</v>
          </cell>
          <cell r="L4536" t="str">
            <v>Freight</v>
          </cell>
          <cell r="N4536" t="str">
            <v>Direct Costs</v>
          </cell>
          <cell r="O4536" t="str">
            <v>Bergen Logistics Corporation</v>
          </cell>
        </row>
        <row r="4537">
          <cell r="D4537">
            <v>23.14</v>
          </cell>
          <cell r="H4537">
            <v>45566</v>
          </cell>
          <cell r="I4537" t="str">
            <v>6375 - Freight Expenses</v>
          </cell>
          <cell r="J4537">
            <v>0</v>
          </cell>
          <cell r="K4537" t="str">
            <v>Production</v>
          </cell>
          <cell r="L4537" t="str">
            <v>Freight</v>
          </cell>
          <cell r="N4537" t="str">
            <v>Direct Costs</v>
          </cell>
          <cell r="O4537" t="str">
            <v>DHL Express - USA</v>
          </cell>
        </row>
        <row r="4538">
          <cell r="D4538">
            <v>2071.79</v>
          </cell>
          <cell r="H4538">
            <v>45566</v>
          </cell>
          <cell r="I4538" t="str">
            <v>6375 - Freight Expenses</v>
          </cell>
          <cell r="J4538">
            <v>0</v>
          </cell>
          <cell r="K4538" t="str">
            <v>Production</v>
          </cell>
          <cell r="L4538" t="str">
            <v>Freight</v>
          </cell>
          <cell r="N4538" t="str">
            <v>Direct Costs</v>
          </cell>
          <cell r="O4538" t="str">
            <v>DHL Express - USA</v>
          </cell>
        </row>
        <row r="4539">
          <cell r="D4539">
            <v>508.75</v>
          </cell>
          <cell r="H4539">
            <v>45566</v>
          </cell>
          <cell r="I4539" t="str">
            <v>6375 - Freight Expenses</v>
          </cell>
          <cell r="J4539">
            <v>0</v>
          </cell>
          <cell r="K4539" t="str">
            <v>Production</v>
          </cell>
          <cell r="L4539" t="str">
            <v>Freight</v>
          </cell>
          <cell r="N4539" t="str">
            <v>Direct Costs</v>
          </cell>
          <cell r="O4539" t="str">
            <v>DHL Express - USA</v>
          </cell>
        </row>
        <row r="4540">
          <cell r="D4540">
            <v>-38669.730000000003</v>
          </cell>
          <cell r="H4540">
            <v>45566</v>
          </cell>
          <cell r="I4540" t="str">
            <v>4010 - Revenue - Licensing Fees (Royalties)</v>
          </cell>
          <cell r="J4540">
            <v>0</v>
          </cell>
          <cell r="K4540" t="str">
            <v>Licensing</v>
          </cell>
          <cell r="L4540" t="str">
            <v>License</v>
          </cell>
          <cell r="N4540" t="str">
            <v>Revenue</v>
          </cell>
          <cell r="O4540" t="str">
            <v>[No Vendor]</v>
          </cell>
        </row>
        <row r="4541">
          <cell r="D4541">
            <v>150000</v>
          </cell>
          <cell r="H4541">
            <v>45566</v>
          </cell>
          <cell r="I4541" t="str">
            <v>8700 - Other Expense</v>
          </cell>
          <cell r="J4541">
            <v>0</v>
          </cell>
          <cell r="K4541" t="str">
            <v>Administration</v>
          </cell>
          <cell r="L4541" t="str">
            <v>Other Expense</v>
          </cell>
          <cell r="N4541" t="str">
            <v>BTL</v>
          </cell>
          <cell r="O4541" t="str">
            <v>[No Vendor]</v>
          </cell>
        </row>
        <row r="4542">
          <cell r="D4542">
            <v>2941.74</v>
          </cell>
          <cell r="H4542">
            <v>45566</v>
          </cell>
          <cell r="I4542" t="str">
            <v>5001 - Cost of Goods Sold - Other</v>
          </cell>
          <cell r="J4542" t="str">
            <v>Ecommerce (EU)</v>
          </cell>
          <cell r="K4542" t="str">
            <v>Ecommerce</v>
          </cell>
          <cell r="L4542" t="str">
            <v>Other COGS</v>
          </cell>
          <cell r="N4542" t="str">
            <v>COGS</v>
          </cell>
          <cell r="O4542" t="str">
            <v>[No Vendor]</v>
          </cell>
        </row>
        <row r="4543">
          <cell r="D4543">
            <v>0</v>
          </cell>
          <cell r="H4543">
            <v>45566</v>
          </cell>
          <cell r="I4543" t="str">
            <v>4045 - Sponsorships</v>
          </cell>
          <cell r="J4543">
            <v>0</v>
          </cell>
          <cell r="K4543" t="str">
            <v>Licensing</v>
          </cell>
          <cell r="L4543" t="str">
            <v>Other Income</v>
          </cell>
          <cell r="N4543" t="str">
            <v>Revenue</v>
          </cell>
          <cell r="O4543" t="str">
            <v>[No Vendor]</v>
          </cell>
        </row>
        <row r="4544">
          <cell r="D4544">
            <v>-197185</v>
          </cell>
          <cell r="H4544">
            <v>45566</v>
          </cell>
          <cell r="I4544" t="str">
            <v>4052 - Sales Revenue - Wholesale (US)</v>
          </cell>
          <cell r="J4544" t="str">
            <v>Wholesale</v>
          </cell>
          <cell r="K4544" t="str">
            <v>Wholesale</v>
          </cell>
          <cell r="L4544" t="str">
            <v>Wholesale</v>
          </cell>
          <cell r="N4544" t="str">
            <v>Revenue</v>
          </cell>
          <cell r="O4544" t="str">
            <v>[No Vendor]</v>
          </cell>
        </row>
        <row r="4545">
          <cell r="D4545">
            <v>14794</v>
          </cell>
          <cell r="H4545">
            <v>45566</v>
          </cell>
          <cell r="I4545" t="str">
            <v>4052 - Sales Revenue - Wholesale (US)</v>
          </cell>
          <cell r="J4545" t="str">
            <v>Wholesale</v>
          </cell>
          <cell r="K4545" t="str">
            <v>Wholesale</v>
          </cell>
          <cell r="L4545" t="str">
            <v>Wholesale</v>
          </cell>
          <cell r="N4545" t="str">
            <v>Revenue</v>
          </cell>
          <cell r="O4545" t="str">
            <v>[No Vendor]</v>
          </cell>
        </row>
        <row r="4546">
          <cell r="D4546">
            <v>-43256.51</v>
          </cell>
          <cell r="H4546">
            <v>45566</v>
          </cell>
          <cell r="I4546" t="str">
            <v>4050 - Sales Revenue - Ecommerce (US)</v>
          </cell>
          <cell r="J4546" t="str">
            <v>Ecommerce (US)</v>
          </cell>
          <cell r="K4546" t="str">
            <v>Ecommerce</v>
          </cell>
          <cell r="L4546" t="str">
            <v>Ecommerce (US)</v>
          </cell>
          <cell r="N4546" t="str">
            <v>Revenue</v>
          </cell>
          <cell r="O4546" t="str">
            <v>[No Vendor]</v>
          </cell>
        </row>
        <row r="4547">
          <cell r="D4547">
            <v>-1450586.82</v>
          </cell>
          <cell r="H4547">
            <v>45566</v>
          </cell>
          <cell r="I4547" t="str">
            <v>4050 - Sales Revenue - Ecommerce (US)</v>
          </cell>
          <cell r="J4547" t="str">
            <v>Ecommerce (US)</v>
          </cell>
          <cell r="K4547" t="str">
            <v>Ecommerce</v>
          </cell>
          <cell r="L4547" t="str">
            <v>Ecommerce (US)</v>
          </cell>
          <cell r="N4547" t="str">
            <v>Revenue</v>
          </cell>
          <cell r="O4547" t="str">
            <v>[No Vendor]</v>
          </cell>
        </row>
        <row r="4548">
          <cell r="D4548">
            <v>29065.02</v>
          </cell>
          <cell r="H4548">
            <v>45566</v>
          </cell>
          <cell r="I4548" t="str">
            <v>4061 - Sales Discount - Ecomm (EU)</v>
          </cell>
          <cell r="J4548" t="str">
            <v>Ecommerce (EU)</v>
          </cell>
          <cell r="K4548" t="str">
            <v>Ecommerce</v>
          </cell>
          <cell r="L4548" t="str">
            <v>Ecommerce (EU)</v>
          </cell>
          <cell r="N4548" t="str">
            <v>Revenue</v>
          </cell>
          <cell r="O4548" t="str">
            <v>[No Vendor]</v>
          </cell>
        </row>
        <row r="4549">
          <cell r="D4549">
            <v>151.18</v>
          </cell>
          <cell r="H4549">
            <v>45566</v>
          </cell>
          <cell r="I4549" t="str">
            <v>6041 - Employee Benefit Other</v>
          </cell>
          <cell r="J4549">
            <v>0</v>
          </cell>
          <cell r="K4549" t="str">
            <v>Brand Marketing</v>
          </cell>
          <cell r="L4549" t="str">
            <v>HQ Salaries</v>
          </cell>
          <cell r="N4549" t="str">
            <v>SG&amp;A</v>
          </cell>
          <cell r="O4549" t="str">
            <v>[No Vendor]</v>
          </cell>
        </row>
        <row r="4550">
          <cell r="D4550">
            <v>96.17</v>
          </cell>
          <cell r="H4550">
            <v>45566</v>
          </cell>
          <cell r="I4550" t="str">
            <v>6041 - Employee Benefit Other</v>
          </cell>
          <cell r="J4550" t="str">
            <v>Ecommerce (US)</v>
          </cell>
          <cell r="K4550" t="str">
            <v>Ecommerce</v>
          </cell>
          <cell r="L4550" t="str">
            <v>HQ Salaries</v>
          </cell>
          <cell r="N4550" t="str">
            <v>SG&amp;A</v>
          </cell>
          <cell r="O4550" t="str">
            <v>[No Vendor]</v>
          </cell>
        </row>
        <row r="4551">
          <cell r="D4551">
            <v>186.29</v>
          </cell>
          <cell r="H4551">
            <v>45566</v>
          </cell>
          <cell r="I4551" t="str">
            <v>6041 - Employee Benefit Other</v>
          </cell>
          <cell r="J4551">
            <v>0</v>
          </cell>
          <cell r="K4551" t="str">
            <v>Production</v>
          </cell>
          <cell r="L4551" t="str">
            <v>HQ Salaries</v>
          </cell>
          <cell r="N4551" t="str">
            <v>SG&amp;A</v>
          </cell>
          <cell r="O4551" t="str">
            <v>[No Vendor]</v>
          </cell>
        </row>
        <row r="4552">
          <cell r="D4552">
            <v>88.06</v>
          </cell>
          <cell r="H4552">
            <v>45566</v>
          </cell>
          <cell r="I4552" t="str">
            <v>6041 - Employee Benefit Other</v>
          </cell>
          <cell r="J4552">
            <v>0</v>
          </cell>
          <cell r="K4552" t="str">
            <v>Design</v>
          </cell>
          <cell r="L4552" t="str">
            <v>HQ Salaries</v>
          </cell>
          <cell r="N4552" t="str">
            <v>SG&amp;A</v>
          </cell>
          <cell r="O4552" t="str">
            <v>[No Vendor]</v>
          </cell>
        </row>
        <row r="4553">
          <cell r="D4553">
            <v>201.55</v>
          </cell>
          <cell r="H4553">
            <v>45566</v>
          </cell>
          <cell r="I4553" t="str">
            <v>6041 - Employee Benefit Other</v>
          </cell>
          <cell r="J4553">
            <v>0</v>
          </cell>
          <cell r="K4553" t="str">
            <v>Administration</v>
          </cell>
          <cell r="L4553" t="str">
            <v>HQ Salaries</v>
          </cell>
          <cell r="N4553" t="str">
            <v>SG&amp;A</v>
          </cell>
          <cell r="O4553" t="str">
            <v>[No Vendor]</v>
          </cell>
        </row>
        <row r="4554">
          <cell r="D4554">
            <v>567.84</v>
          </cell>
          <cell r="H4554">
            <v>45566</v>
          </cell>
          <cell r="I4554" t="str">
            <v>7140 - Amortization Exp - ROU Asset</v>
          </cell>
          <cell r="J4554">
            <v>0</v>
          </cell>
          <cell r="K4554" t="str">
            <v>Administration</v>
          </cell>
          <cell r="L4554" t="str">
            <v>Rent</v>
          </cell>
          <cell r="N4554" t="str">
            <v>SG&amp;A</v>
          </cell>
          <cell r="O4554" t="str">
            <v>[No Vendor]</v>
          </cell>
        </row>
        <row r="4555">
          <cell r="D4555">
            <v>23940.66</v>
          </cell>
          <cell r="H4555">
            <v>45566</v>
          </cell>
          <cell r="I4555" t="str">
            <v>7140 - Amortization Exp - ROU Asset</v>
          </cell>
          <cell r="J4555">
            <v>0</v>
          </cell>
          <cell r="K4555" t="str">
            <v>Administration</v>
          </cell>
          <cell r="L4555" t="str">
            <v>Rent</v>
          </cell>
          <cell r="N4555" t="str">
            <v>SG&amp;A</v>
          </cell>
          <cell r="O4555" t="str">
            <v>[No Vendor]</v>
          </cell>
        </row>
        <row r="4556">
          <cell r="D4556">
            <v>0</v>
          </cell>
          <cell r="H4556">
            <v>45566</v>
          </cell>
          <cell r="I4556" t="str">
            <v>6015 - Vacation - PTO Exp</v>
          </cell>
          <cell r="J4556" t="str">
            <v>Wholesale</v>
          </cell>
          <cell r="K4556" t="str">
            <v>Wholesale</v>
          </cell>
          <cell r="L4556" t="str">
            <v>HQ Salaries</v>
          </cell>
          <cell r="N4556" t="str">
            <v>SG&amp;A</v>
          </cell>
          <cell r="O4556" t="str">
            <v>[No Vendor]</v>
          </cell>
        </row>
        <row r="4557">
          <cell r="D4557">
            <v>27177.73</v>
          </cell>
          <cell r="H4557">
            <v>45566</v>
          </cell>
          <cell r="I4557" t="str">
            <v>4051 - Sales Revenue - Ecommerce (Intl)</v>
          </cell>
          <cell r="J4557" t="str">
            <v>Ecommerce (EU)</v>
          </cell>
          <cell r="K4557" t="str">
            <v>Ecommerce</v>
          </cell>
          <cell r="L4557" t="str">
            <v>Ecommerce (EU)</v>
          </cell>
          <cell r="N4557" t="str">
            <v>Revenue</v>
          </cell>
          <cell r="O4557" t="str">
            <v>[No Vendor]</v>
          </cell>
        </row>
        <row r="4558">
          <cell r="D4558">
            <v>-204951.71</v>
          </cell>
          <cell r="H4558">
            <v>45566</v>
          </cell>
          <cell r="I4558" t="str">
            <v>4051 - Sales Revenue - Ecommerce (Intl)</v>
          </cell>
          <cell r="J4558" t="str">
            <v>Ecommerce (EU)</v>
          </cell>
          <cell r="K4558" t="str">
            <v>Ecommerce</v>
          </cell>
          <cell r="L4558" t="str">
            <v>Ecommerce (EU)</v>
          </cell>
          <cell r="N4558" t="str">
            <v>Revenue</v>
          </cell>
          <cell r="O4558" t="str">
            <v>[No Vendor]</v>
          </cell>
        </row>
        <row r="4559">
          <cell r="D4559">
            <v>272.75</v>
          </cell>
          <cell r="H4559">
            <v>45566</v>
          </cell>
          <cell r="I4559" t="str">
            <v>6377 - Order Processing Expenses (New)</v>
          </cell>
          <cell r="J4559" t="str">
            <v>Ecommerce (US)</v>
          </cell>
          <cell r="K4559" t="str">
            <v>Ecommerce</v>
          </cell>
          <cell r="L4559" t="str">
            <v>Order Processing</v>
          </cell>
          <cell r="N4559" t="str">
            <v>Direct Costs</v>
          </cell>
          <cell r="O4559" t="str">
            <v>[No Vendor]</v>
          </cell>
        </row>
        <row r="4560">
          <cell r="D4560">
            <v>214.07</v>
          </cell>
          <cell r="H4560">
            <v>45566</v>
          </cell>
          <cell r="I4560" t="str">
            <v>6377 - Order Processing Expenses (New)</v>
          </cell>
          <cell r="J4560" t="str">
            <v>Ecommerce (EU)</v>
          </cell>
          <cell r="K4560" t="str">
            <v>Ecommerce</v>
          </cell>
          <cell r="L4560" t="str">
            <v>Order Processing</v>
          </cell>
          <cell r="N4560" t="str">
            <v>Direct Costs</v>
          </cell>
          <cell r="O4560" t="str">
            <v>[No Vendor]</v>
          </cell>
        </row>
        <row r="4561">
          <cell r="D4561">
            <v>-2778.92</v>
          </cell>
          <cell r="H4561">
            <v>45566</v>
          </cell>
          <cell r="I4561" t="str">
            <v>4065 - Sales Freight - Wholesale (US)</v>
          </cell>
          <cell r="J4561" t="str">
            <v>Wholesale</v>
          </cell>
          <cell r="K4561" t="str">
            <v>Wholesale</v>
          </cell>
          <cell r="L4561" t="str">
            <v>Freight - Revenue</v>
          </cell>
          <cell r="N4561" t="str">
            <v>Direct Costs</v>
          </cell>
          <cell r="O4561" t="str">
            <v>[No Vendor]</v>
          </cell>
        </row>
        <row r="4562">
          <cell r="D4562">
            <v>-2015</v>
          </cell>
          <cell r="H4562">
            <v>45566</v>
          </cell>
          <cell r="I4562" t="str">
            <v>4064 - Sales Freight - Ecomm (US)</v>
          </cell>
          <cell r="J4562" t="str">
            <v>Ecommerce (US)</v>
          </cell>
          <cell r="K4562" t="str">
            <v>Ecommerce</v>
          </cell>
          <cell r="L4562" t="str">
            <v>Freight - Revenue</v>
          </cell>
          <cell r="N4562" t="str">
            <v>Direct Costs</v>
          </cell>
          <cell r="O4562" t="str">
            <v>[No Vendor]</v>
          </cell>
        </row>
        <row r="4563">
          <cell r="D4563">
            <v>-35699</v>
          </cell>
          <cell r="H4563">
            <v>45566</v>
          </cell>
          <cell r="I4563" t="str">
            <v>4064 - Sales Freight - Ecomm (US)</v>
          </cell>
          <cell r="J4563" t="str">
            <v>Ecommerce (US)</v>
          </cell>
          <cell r="K4563" t="str">
            <v>Ecommerce</v>
          </cell>
          <cell r="L4563" t="str">
            <v>Freight - Revenue</v>
          </cell>
          <cell r="N4563" t="str">
            <v>Direct Costs</v>
          </cell>
          <cell r="O4563" t="str">
            <v>[No Vendor]</v>
          </cell>
        </row>
        <row r="4564">
          <cell r="D4564">
            <v>6967.3</v>
          </cell>
          <cell r="H4564">
            <v>45566</v>
          </cell>
          <cell r="I4564" t="str">
            <v>4063 - Sales Discount - Wholesale (US)</v>
          </cell>
          <cell r="J4564" t="str">
            <v>Wholesale</v>
          </cell>
          <cell r="K4564" t="str">
            <v>Wholesale</v>
          </cell>
          <cell r="L4564" t="str">
            <v>Wholesale</v>
          </cell>
          <cell r="N4564" t="str">
            <v>Revenue</v>
          </cell>
          <cell r="O4564" t="str">
            <v>[No Vendor]</v>
          </cell>
        </row>
        <row r="4565">
          <cell r="D4565">
            <v>9997.67</v>
          </cell>
          <cell r="H4565">
            <v>45566</v>
          </cell>
          <cell r="I4565" t="str">
            <v>5900 - Interco Royalty Expense</v>
          </cell>
          <cell r="J4565">
            <v>0</v>
          </cell>
          <cell r="K4565" t="str">
            <v>Licensing</v>
          </cell>
          <cell r="L4565">
            <v>0</v>
          </cell>
          <cell r="N4565">
            <v>0</v>
          </cell>
          <cell r="O4565" t="str">
            <v>[No Vendor]</v>
          </cell>
        </row>
        <row r="4566">
          <cell r="D4566">
            <v>0</v>
          </cell>
          <cell r="H4566">
            <v>45566</v>
          </cell>
          <cell r="I4566" t="str">
            <v>4062 - Sales Discount - Ecomm (US)</v>
          </cell>
          <cell r="J4566" t="str">
            <v>Ecommerce (US)</v>
          </cell>
          <cell r="K4566" t="str">
            <v>Ecommerce</v>
          </cell>
          <cell r="L4566" t="str">
            <v>Ecommerce (US)</v>
          </cell>
          <cell r="N4566" t="str">
            <v>Revenue</v>
          </cell>
          <cell r="O4566" t="str">
            <v>[No Vendor]</v>
          </cell>
        </row>
        <row r="4567">
          <cell r="D4567">
            <v>237711.54</v>
          </cell>
          <cell r="H4567">
            <v>45566</v>
          </cell>
          <cell r="I4567" t="str">
            <v>4062 - Sales Discount - Ecomm (US)</v>
          </cell>
          <cell r="J4567" t="str">
            <v>Ecommerce (US)</v>
          </cell>
          <cell r="K4567" t="str">
            <v>Ecommerce</v>
          </cell>
          <cell r="L4567" t="str">
            <v>Ecommerce (US)</v>
          </cell>
          <cell r="N4567" t="str">
            <v>Revenue</v>
          </cell>
          <cell r="O4567" t="str">
            <v>[No Vendor]</v>
          </cell>
        </row>
        <row r="4568">
          <cell r="D4568">
            <v>1954.72</v>
          </cell>
          <cell r="H4568">
            <v>45566</v>
          </cell>
          <cell r="I4568" t="str">
            <v>7130 - License Agreements &amp; Other Intangibles</v>
          </cell>
          <cell r="J4568">
            <v>0</v>
          </cell>
          <cell r="K4568" t="str">
            <v>Administration</v>
          </cell>
          <cell r="L4568" t="str">
            <v>Depreciation &amp; Amortization</v>
          </cell>
          <cell r="N4568" t="str">
            <v>SG&amp;A</v>
          </cell>
          <cell r="O4568" t="str">
            <v>[No Vendor]</v>
          </cell>
        </row>
        <row r="4569">
          <cell r="D4569">
            <v>-9997.67</v>
          </cell>
          <cell r="H4569">
            <v>45566</v>
          </cell>
          <cell r="I4569" t="str">
            <v>4900 - Interco Royalty Revenue</v>
          </cell>
          <cell r="J4569">
            <v>0</v>
          </cell>
          <cell r="K4569" t="str">
            <v>Licensing</v>
          </cell>
          <cell r="L4569">
            <v>0</v>
          </cell>
          <cell r="N4569">
            <v>0</v>
          </cell>
          <cell r="O4569" t="str">
            <v>[No Vendor]</v>
          </cell>
        </row>
        <row r="4570">
          <cell r="D4570">
            <v>1302.44</v>
          </cell>
          <cell r="H4570">
            <v>45566</v>
          </cell>
          <cell r="I4570" t="str">
            <v>6393 - Software</v>
          </cell>
          <cell r="J4570">
            <v>0</v>
          </cell>
          <cell r="K4570" t="str">
            <v>Administration</v>
          </cell>
          <cell r="L4570" t="str">
            <v>Professional Service</v>
          </cell>
          <cell r="N4570" t="str">
            <v>Direct Costs</v>
          </cell>
          <cell r="O4570" t="str">
            <v>Avalara, Inc</v>
          </cell>
        </row>
        <row r="4571">
          <cell r="D4571">
            <v>664.18</v>
          </cell>
          <cell r="H4571">
            <v>45566</v>
          </cell>
          <cell r="I4571" t="str">
            <v>6393 - Software</v>
          </cell>
          <cell r="J4571">
            <v>0</v>
          </cell>
          <cell r="K4571" t="str">
            <v>Administration</v>
          </cell>
          <cell r="L4571" t="str">
            <v>Professional Service</v>
          </cell>
          <cell r="N4571" t="str">
            <v>Direct Costs</v>
          </cell>
          <cell r="O4571" t="str">
            <v>[No Vendor]</v>
          </cell>
        </row>
        <row r="4572">
          <cell r="D4572">
            <v>9.99</v>
          </cell>
          <cell r="H4572">
            <v>45566</v>
          </cell>
          <cell r="I4572" t="str">
            <v>6393 - Software</v>
          </cell>
          <cell r="J4572">
            <v>0</v>
          </cell>
          <cell r="K4572" t="str">
            <v>Administration</v>
          </cell>
          <cell r="L4572" t="str">
            <v>Professional Service</v>
          </cell>
          <cell r="N4572" t="str">
            <v>Direct Costs</v>
          </cell>
          <cell r="O4572" t="str">
            <v>Drop Box</v>
          </cell>
        </row>
        <row r="4573">
          <cell r="D4573">
            <v>2198.19</v>
          </cell>
          <cell r="H4573">
            <v>45566</v>
          </cell>
          <cell r="I4573" t="str">
            <v>6393 - Software</v>
          </cell>
          <cell r="J4573">
            <v>0</v>
          </cell>
          <cell r="K4573" t="str">
            <v>Administration</v>
          </cell>
          <cell r="L4573" t="str">
            <v>Professional Service</v>
          </cell>
          <cell r="N4573" t="str">
            <v>Direct Costs</v>
          </cell>
          <cell r="O4573" t="str">
            <v>Oracle Netsuite</v>
          </cell>
        </row>
        <row r="4574">
          <cell r="D4574">
            <v>13.65</v>
          </cell>
          <cell r="H4574">
            <v>45566</v>
          </cell>
          <cell r="I4574" t="str">
            <v>6393 - Software</v>
          </cell>
          <cell r="J4574">
            <v>0</v>
          </cell>
          <cell r="K4574" t="str">
            <v>Administration</v>
          </cell>
          <cell r="L4574" t="str">
            <v>Professional Service</v>
          </cell>
          <cell r="N4574" t="str">
            <v>Direct Costs</v>
          </cell>
          <cell r="O4574" t="str">
            <v>[No Vendor]</v>
          </cell>
        </row>
        <row r="4575">
          <cell r="D4575">
            <v>2268.23</v>
          </cell>
          <cell r="H4575">
            <v>45566</v>
          </cell>
          <cell r="I4575" t="str">
            <v>6393 - Software</v>
          </cell>
          <cell r="J4575">
            <v>0</v>
          </cell>
          <cell r="K4575" t="str">
            <v>Brand Marketing</v>
          </cell>
          <cell r="L4575" t="str">
            <v>Professional Service</v>
          </cell>
          <cell r="N4575" t="str">
            <v>Direct Costs</v>
          </cell>
          <cell r="O4575" t="str">
            <v>Fohr</v>
          </cell>
        </row>
        <row r="4576">
          <cell r="D4576">
            <v>0</v>
          </cell>
          <cell r="H4576">
            <v>45566</v>
          </cell>
          <cell r="I4576" t="str">
            <v>6286 - SEM</v>
          </cell>
          <cell r="J4576" t="str">
            <v>Ecommerce (US)</v>
          </cell>
          <cell r="K4576" t="str">
            <v>Ecommerce</v>
          </cell>
          <cell r="L4576" t="str">
            <v>Marketing</v>
          </cell>
          <cell r="N4576" t="str">
            <v>Direct Costs</v>
          </cell>
          <cell r="O4576" t="str">
            <v>[No Vendor]</v>
          </cell>
        </row>
        <row r="4577">
          <cell r="D4577">
            <v>17000</v>
          </cell>
          <cell r="H4577">
            <v>45566</v>
          </cell>
          <cell r="I4577" t="str">
            <v>6380 - Legal &amp; Accounting</v>
          </cell>
          <cell r="J4577">
            <v>0</v>
          </cell>
          <cell r="K4577" t="str">
            <v>Administration</v>
          </cell>
          <cell r="L4577" t="str">
            <v>Professional Service</v>
          </cell>
          <cell r="N4577" t="str">
            <v>SG&amp;A</v>
          </cell>
          <cell r="O4577" t="str">
            <v>The Wave IP Law Firm</v>
          </cell>
        </row>
        <row r="4578">
          <cell r="D4578">
            <v>0</v>
          </cell>
          <cell r="H4578">
            <v>45566</v>
          </cell>
          <cell r="I4578" t="str">
            <v>6340 - Miscellaneous Expense</v>
          </cell>
          <cell r="J4578" t="str">
            <v>Ecommerce (US)</v>
          </cell>
          <cell r="K4578" t="str">
            <v>Ecommerce</v>
          </cell>
          <cell r="L4578" t="str">
            <v>Other</v>
          </cell>
          <cell r="N4578" t="str">
            <v>SG&amp;A</v>
          </cell>
          <cell r="O4578" t="str">
            <v>[No Vendor]</v>
          </cell>
        </row>
        <row r="4579">
          <cell r="D4579">
            <v>38242.51</v>
          </cell>
          <cell r="H4579">
            <v>45566</v>
          </cell>
          <cell r="I4579" t="str">
            <v>6240 - Product Photography</v>
          </cell>
          <cell r="J4579">
            <v>0</v>
          </cell>
          <cell r="K4579" t="str">
            <v>Brand Marketing</v>
          </cell>
          <cell r="L4579" t="str">
            <v>Advertising</v>
          </cell>
          <cell r="N4579" t="str">
            <v>SG&amp;A</v>
          </cell>
          <cell r="O4579" t="str">
            <v>GOSFilms LLC</v>
          </cell>
        </row>
        <row r="4580">
          <cell r="D4580">
            <v>4776.6499999999996</v>
          </cell>
          <cell r="H4580">
            <v>45566</v>
          </cell>
          <cell r="I4580" t="str">
            <v>6030 - Commissions Expense - Non Employee</v>
          </cell>
          <cell r="J4580" t="str">
            <v>Ecommerce (US)</v>
          </cell>
          <cell r="K4580" t="str">
            <v>Ecommerce</v>
          </cell>
          <cell r="L4580" t="str">
            <v>HQ Salaries</v>
          </cell>
          <cell r="N4580" t="str">
            <v>SG&amp;A</v>
          </cell>
          <cell r="O4580" t="str">
            <v>Amazon</v>
          </cell>
        </row>
        <row r="4581">
          <cell r="D4581">
            <v>5897.27</v>
          </cell>
          <cell r="H4581">
            <v>45566</v>
          </cell>
          <cell r="I4581" t="str">
            <v>6289 - Seeding / Product Placement</v>
          </cell>
          <cell r="J4581">
            <v>0</v>
          </cell>
          <cell r="K4581" t="str">
            <v>Brand Marketing</v>
          </cell>
          <cell r="L4581" t="str">
            <v>Advertising</v>
          </cell>
          <cell r="N4581" t="str">
            <v>SG&amp;A</v>
          </cell>
          <cell r="O4581" t="str">
            <v>[No Vendor]</v>
          </cell>
        </row>
        <row r="4582">
          <cell r="D4582">
            <v>14583.33</v>
          </cell>
          <cell r="H4582">
            <v>45566</v>
          </cell>
          <cell r="I4582" t="str">
            <v>6284 - Advertising</v>
          </cell>
          <cell r="J4582">
            <v>0</v>
          </cell>
          <cell r="K4582" t="str">
            <v>Brand Marketing</v>
          </cell>
          <cell r="L4582" t="str">
            <v>Advertising</v>
          </cell>
          <cell r="N4582" t="str">
            <v>SG&amp;A</v>
          </cell>
          <cell r="O4582" t="str">
            <v>[No Vendor]</v>
          </cell>
        </row>
        <row r="4583">
          <cell r="D4583">
            <v>1666.67</v>
          </cell>
          <cell r="H4583">
            <v>45566</v>
          </cell>
          <cell r="I4583" t="str">
            <v>6284 - Advertising</v>
          </cell>
          <cell r="J4583">
            <v>0</v>
          </cell>
          <cell r="K4583" t="str">
            <v>Brand Marketing</v>
          </cell>
          <cell r="L4583" t="str">
            <v>Advertising</v>
          </cell>
          <cell r="N4583" t="str">
            <v>SG&amp;A</v>
          </cell>
          <cell r="O4583" t="str">
            <v>[No Vendor]</v>
          </cell>
        </row>
        <row r="4584">
          <cell r="D4584">
            <v>0</v>
          </cell>
          <cell r="H4584">
            <v>45566</v>
          </cell>
          <cell r="I4584" t="str">
            <v>6205 - Contractors</v>
          </cell>
          <cell r="J4584">
            <v>0</v>
          </cell>
          <cell r="K4584" t="str">
            <v>Brand Marketing</v>
          </cell>
          <cell r="L4584" t="str">
            <v>HQ Salaries</v>
          </cell>
          <cell r="N4584" t="str">
            <v>SG&amp;A</v>
          </cell>
          <cell r="O4584" t="str">
            <v>[No Vendor]</v>
          </cell>
        </row>
        <row r="4585">
          <cell r="D4585">
            <v>20851.8</v>
          </cell>
          <cell r="H4585">
            <v>45566</v>
          </cell>
          <cell r="I4585" t="str">
            <v>6205 - Contractors</v>
          </cell>
          <cell r="J4585" t="str">
            <v>Ecommerce (US)</v>
          </cell>
          <cell r="K4585" t="str">
            <v>Ecommerce</v>
          </cell>
          <cell r="L4585" t="str">
            <v>HQ Salaries</v>
          </cell>
          <cell r="N4585" t="str">
            <v>SG&amp;A</v>
          </cell>
          <cell r="O4585" t="str">
            <v>[No Vendor]</v>
          </cell>
        </row>
        <row r="4586">
          <cell r="D4586">
            <v>0</v>
          </cell>
          <cell r="H4586">
            <v>45566</v>
          </cell>
          <cell r="I4586" t="str">
            <v>6205 - Contractors</v>
          </cell>
          <cell r="J4586">
            <v>0</v>
          </cell>
          <cell r="K4586" t="str">
            <v>Design</v>
          </cell>
          <cell r="L4586" t="str">
            <v>HQ Salaries</v>
          </cell>
          <cell r="N4586" t="str">
            <v>SG&amp;A</v>
          </cell>
          <cell r="O4586" t="str">
            <v>[No Vendor]</v>
          </cell>
        </row>
        <row r="4587">
          <cell r="D4587">
            <v>1500</v>
          </cell>
          <cell r="H4587">
            <v>45566</v>
          </cell>
          <cell r="I4587" t="str">
            <v>6205 - Contractors</v>
          </cell>
          <cell r="J4587">
            <v>0</v>
          </cell>
          <cell r="K4587" t="str">
            <v>Production</v>
          </cell>
          <cell r="L4587" t="str">
            <v>HQ Salaries</v>
          </cell>
          <cell r="N4587" t="str">
            <v>SG&amp;A</v>
          </cell>
          <cell r="O4587" t="str">
            <v>Philip Yau</v>
          </cell>
        </row>
        <row r="4588">
          <cell r="D4588">
            <v>722.45</v>
          </cell>
          <cell r="H4588">
            <v>45566</v>
          </cell>
          <cell r="I4588" t="str">
            <v>6370 - Samples</v>
          </cell>
          <cell r="J4588">
            <v>0</v>
          </cell>
          <cell r="K4588" t="str">
            <v>Production</v>
          </cell>
          <cell r="L4588" t="str">
            <v>Sample</v>
          </cell>
          <cell r="N4588" t="str">
            <v>SG&amp;A</v>
          </cell>
          <cell r="O4588" t="str">
            <v>[No Vendor]</v>
          </cell>
        </row>
        <row r="4589">
          <cell r="D4589">
            <v>4261.28</v>
          </cell>
          <cell r="H4589">
            <v>45566</v>
          </cell>
          <cell r="I4589" t="str">
            <v>6020 - Bonus</v>
          </cell>
          <cell r="J4589">
            <v>0</v>
          </cell>
          <cell r="K4589" t="str">
            <v>Executive</v>
          </cell>
          <cell r="L4589" t="str">
            <v>HQ Salaries</v>
          </cell>
          <cell r="N4589" t="str">
            <v>SG&amp;A</v>
          </cell>
          <cell r="O4589" t="str">
            <v>[No Vendor]</v>
          </cell>
        </row>
        <row r="4590">
          <cell r="D4590">
            <v>3843.71</v>
          </cell>
          <cell r="H4590">
            <v>45566</v>
          </cell>
          <cell r="I4590" t="str">
            <v>6020 - Bonus</v>
          </cell>
          <cell r="J4590" t="str">
            <v>Wholesale</v>
          </cell>
          <cell r="K4590" t="str">
            <v>Wholesale</v>
          </cell>
          <cell r="L4590" t="str">
            <v>HQ Salaries</v>
          </cell>
          <cell r="N4590" t="str">
            <v>SG&amp;A</v>
          </cell>
          <cell r="O4590" t="str">
            <v>[No Vendor]</v>
          </cell>
        </row>
        <row r="4591">
          <cell r="D4591">
            <v>6338.75</v>
          </cell>
          <cell r="H4591">
            <v>45566</v>
          </cell>
          <cell r="I4591" t="str">
            <v>6020 - Bonus</v>
          </cell>
          <cell r="J4591">
            <v>0</v>
          </cell>
          <cell r="K4591" t="str">
            <v>Production</v>
          </cell>
          <cell r="L4591" t="str">
            <v>HQ Salaries</v>
          </cell>
          <cell r="N4591" t="str">
            <v>SG&amp;A</v>
          </cell>
          <cell r="O4591" t="str">
            <v>[No Vendor]</v>
          </cell>
        </row>
        <row r="4592">
          <cell r="D4592">
            <v>1406.25</v>
          </cell>
          <cell r="H4592">
            <v>45566</v>
          </cell>
          <cell r="I4592" t="str">
            <v>6020 - Bonus</v>
          </cell>
          <cell r="J4592">
            <v>0</v>
          </cell>
          <cell r="K4592" t="str">
            <v>Brand Marketing</v>
          </cell>
          <cell r="L4592" t="str">
            <v>HQ Salaries</v>
          </cell>
          <cell r="N4592" t="str">
            <v>SG&amp;A</v>
          </cell>
          <cell r="O4592" t="str">
            <v>[No Vendor]</v>
          </cell>
        </row>
        <row r="4593">
          <cell r="D4593">
            <v>8393.9500000000007</v>
          </cell>
          <cell r="H4593">
            <v>45566</v>
          </cell>
          <cell r="I4593" t="str">
            <v>6020 - Bonus</v>
          </cell>
          <cell r="J4593" t="str">
            <v>Ecommerce (US)</v>
          </cell>
          <cell r="K4593" t="str">
            <v>Ecommerce</v>
          </cell>
          <cell r="L4593" t="str">
            <v>HQ Salaries</v>
          </cell>
          <cell r="N4593" t="str">
            <v>SG&amp;A</v>
          </cell>
          <cell r="O4593" t="str">
            <v>[No Vendor]</v>
          </cell>
        </row>
        <row r="4594">
          <cell r="D4594">
            <v>5832.66</v>
          </cell>
          <cell r="H4594">
            <v>45566</v>
          </cell>
          <cell r="I4594" t="str">
            <v>6020 - Bonus</v>
          </cell>
          <cell r="J4594">
            <v>0</v>
          </cell>
          <cell r="K4594" t="str">
            <v>Design</v>
          </cell>
          <cell r="L4594" t="str">
            <v>HQ Salaries</v>
          </cell>
          <cell r="N4594" t="str">
            <v>SG&amp;A</v>
          </cell>
          <cell r="O4594" t="str">
            <v>[No Vendor]</v>
          </cell>
        </row>
        <row r="4595">
          <cell r="D4595">
            <v>1256.29</v>
          </cell>
          <cell r="H4595">
            <v>45566</v>
          </cell>
          <cell r="I4595" t="str">
            <v>6020 - Bonus</v>
          </cell>
          <cell r="J4595">
            <v>0</v>
          </cell>
          <cell r="K4595" t="str">
            <v>Merchandising</v>
          </cell>
          <cell r="L4595" t="str">
            <v>HQ Salaries</v>
          </cell>
          <cell r="N4595" t="str">
            <v>SG&amp;A</v>
          </cell>
          <cell r="O4595" t="str">
            <v>[No Vendor]</v>
          </cell>
        </row>
        <row r="4596">
          <cell r="D4596">
            <v>7604.61</v>
          </cell>
          <cell r="H4596">
            <v>45566</v>
          </cell>
          <cell r="I4596" t="str">
            <v>6020 - Bonus</v>
          </cell>
          <cell r="J4596">
            <v>0</v>
          </cell>
          <cell r="K4596" t="str">
            <v>Administration</v>
          </cell>
          <cell r="L4596" t="str">
            <v>HQ Salaries</v>
          </cell>
          <cell r="N4596" t="str">
            <v>SG&amp;A</v>
          </cell>
          <cell r="O4596" t="str">
            <v>[No Vendor]</v>
          </cell>
        </row>
        <row r="4597">
          <cell r="D4597">
            <v>860.58</v>
          </cell>
          <cell r="H4597">
            <v>45566</v>
          </cell>
          <cell r="I4597" t="str">
            <v>6450 - Bank &amp; Other Fees</v>
          </cell>
          <cell r="J4597" t="str">
            <v>Ecommerce (EU)</v>
          </cell>
          <cell r="K4597" t="str">
            <v>Ecommerce</v>
          </cell>
          <cell r="L4597" t="str">
            <v>Professional Service</v>
          </cell>
          <cell r="N4597" t="str">
            <v>Direct Costs</v>
          </cell>
          <cell r="O4597" t="str">
            <v>[No Vendor]</v>
          </cell>
        </row>
        <row r="4598">
          <cell r="D4598">
            <v>39220.120000000003</v>
          </cell>
          <cell r="H4598">
            <v>45566</v>
          </cell>
          <cell r="I4598" t="str">
            <v>6450 - Bank &amp; Other Fees</v>
          </cell>
          <cell r="J4598" t="str">
            <v>Ecommerce (US)</v>
          </cell>
          <cell r="K4598" t="str">
            <v>Ecommerce</v>
          </cell>
          <cell r="L4598" t="str">
            <v>Professional Service</v>
          </cell>
          <cell r="N4598" t="str">
            <v>Direct Costs</v>
          </cell>
          <cell r="O4598" t="str">
            <v>Shopify</v>
          </cell>
        </row>
        <row r="4599">
          <cell r="D4599">
            <v>5494.11</v>
          </cell>
          <cell r="H4599">
            <v>45566</v>
          </cell>
          <cell r="I4599" t="str">
            <v>6450 - Bank &amp; Other Fees</v>
          </cell>
          <cell r="J4599" t="str">
            <v>Ecommerce (US)</v>
          </cell>
          <cell r="K4599" t="str">
            <v>Ecommerce</v>
          </cell>
          <cell r="L4599" t="str">
            <v>Professional Service</v>
          </cell>
          <cell r="N4599" t="str">
            <v>Direct Costs</v>
          </cell>
          <cell r="O4599" t="str">
            <v>[No Vendor]</v>
          </cell>
        </row>
        <row r="4600">
          <cell r="D4600">
            <v>153</v>
          </cell>
          <cell r="H4600">
            <v>45566</v>
          </cell>
          <cell r="I4600" t="str">
            <v>6430 - Dues &amp; Memberships</v>
          </cell>
          <cell r="J4600">
            <v>0</v>
          </cell>
          <cell r="K4600" t="str">
            <v>Brand Marketing</v>
          </cell>
          <cell r="L4600" t="str">
            <v>Professional Service</v>
          </cell>
          <cell r="N4600" t="str">
            <v>Direct Costs</v>
          </cell>
          <cell r="O4600" t="str">
            <v>[No Vendor]</v>
          </cell>
        </row>
        <row r="4601">
          <cell r="D4601">
            <v>12.42</v>
          </cell>
          <cell r="H4601">
            <v>45566</v>
          </cell>
          <cell r="I4601" t="str">
            <v>6430 - Dues &amp; Memberships</v>
          </cell>
          <cell r="J4601">
            <v>0</v>
          </cell>
          <cell r="K4601" t="str">
            <v>Brand Marketing</v>
          </cell>
          <cell r="L4601" t="str">
            <v>Professional Service</v>
          </cell>
          <cell r="N4601" t="str">
            <v>Direct Costs</v>
          </cell>
          <cell r="O4601" t="str">
            <v>[No Vendor]</v>
          </cell>
        </row>
        <row r="4602">
          <cell r="D4602">
            <v>-606</v>
          </cell>
          <cell r="H4602">
            <v>45566</v>
          </cell>
          <cell r="I4602" t="str">
            <v>6410 - Lease Expense</v>
          </cell>
          <cell r="J4602">
            <v>0</v>
          </cell>
          <cell r="K4602" t="str">
            <v>Administration</v>
          </cell>
          <cell r="L4602" t="str">
            <v>Rent</v>
          </cell>
          <cell r="N4602" t="str">
            <v>SG&amp;A</v>
          </cell>
          <cell r="O4602" t="str">
            <v>[No Vendor]</v>
          </cell>
        </row>
        <row r="4603">
          <cell r="D4603">
            <v>-1.68</v>
          </cell>
          <cell r="H4603">
            <v>45566</v>
          </cell>
          <cell r="I4603" t="str">
            <v>6385 - Insurance</v>
          </cell>
          <cell r="J4603">
            <v>0</v>
          </cell>
          <cell r="K4603" t="str">
            <v>Administration</v>
          </cell>
          <cell r="L4603" t="str">
            <v>Professional Service</v>
          </cell>
          <cell r="N4603" t="str">
            <v>SG&amp;A</v>
          </cell>
          <cell r="O4603" t="str">
            <v>[No Vendor]</v>
          </cell>
        </row>
        <row r="4604">
          <cell r="D4604">
            <v>-17.8</v>
          </cell>
          <cell r="H4604">
            <v>45566</v>
          </cell>
          <cell r="I4604" t="str">
            <v>6385 - Insurance</v>
          </cell>
          <cell r="J4604">
            <v>0</v>
          </cell>
          <cell r="K4604" t="str">
            <v>Administration</v>
          </cell>
          <cell r="L4604" t="str">
            <v>Professional Service</v>
          </cell>
          <cell r="N4604" t="str">
            <v>SG&amp;A</v>
          </cell>
          <cell r="O4604" t="str">
            <v>[No Vendor]</v>
          </cell>
        </row>
        <row r="4605">
          <cell r="D4605">
            <v>-41.38</v>
          </cell>
          <cell r="H4605">
            <v>45566</v>
          </cell>
          <cell r="I4605" t="str">
            <v>6385 - Insurance</v>
          </cell>
          <cell r="J4605">
            <v>0</v>
          </cell>
          <cell r="K4605" t="str">
            <v>Administration</v>
          </cell>
          <cell r="L4605" t="str">
            <v>Professional Service</v>
          </cell>
          <cell r="N4605" t="str">
            <v>SG&amp;A</v>
          </cell>
          <cell r="O4605" t="str">
            <v>[No Vendor]</v>
          </cell>
        </row>
        <row r="4606">
          <cell r="D4606">
            <v>-18.75</v>
          </cell>
          <cell r="H4606">
            <v>45566</v>
          </cell>
          <cell r="I4606" t="str">
            <v>6385 - Insurance</v>
          </cell>
          <cell r="J4606">
            <v>0</v>
          </cell>
          <cell r="K4606" t="str">
            <v>Administration</v>
          </cell>
          <cell r="L4606" t="str">
            <v>Professional Service</v>
          </cell>
          <cell r="N4606" t="str">
            <v>SG&amp;A</v>
          </cell>
          <cell r="O4606" t="str">
            <v>[No Vendor]</v>
          </cell>
        </row>
        <row r="4607">
          <cell r="D4607">
            <v>-59.92</v>
          </cell>
          <cell r="H4607">
            <v>45566</v>
          </cell>
          <cell r="I4607" t="str">
            <v>6385 - Insurance</v>
          </cell>
          <cell r="J4607">
            <v>0</v>
          </cell>
          <cell r="K4607" t="str">
            <v>Administration</v>
          </cell>
          <cell r="L4607" t="str">
            <v>Professional Service</v>
          </cell>
          <cell r="N4607" t="str">
            <v>SG&amp;A</v>
          </cell>
          <cell r="O4607" t="str">
            <v>[No Vendor]</v>
          </cell>
        </row>
        <row r="4608">
          <cell r="D4608">
            <v>-34.229999999999997</v>
          </cell>
          <cell r="H4608">
            <v>45566</v>
          </cell>
          <cell r="I4608" t="str">
            <v>6385 - Insurance</v>
          </cell>
          <cell r="J4608">
            <v>0</v>
          </cell>
          <cell r="K4608" t="str">
            <v>Administration</v>
          </cell>
          <cell r="L4608" t="str">
            <v>Professional Service</v>
          </cell>
          <cell r="N4608" t="str">
            <v>SG&amp;A</v>
          </cell>
          <cell r="O4608" t="str">
            <v>[No Vendor]</v>
          </cell>
        </row>
        <row r="4609">
          <cell r="D4609">
            <v>-55.31</v>
          </cell>
          <cell r="H4609">
            <v>45566</v>
          </cell>
          <cell r="I4609" t="str">
            <v>6385 - Insurance</v>
          </cell>
          <cell r="J4609">
            <v>0</v>
          </cell>
          <cell r="K4609" t="str">
            <v>Administration</v>
          </cell>
          <cell r="L4609" t="str">
            <v>Professional Service</v>
          </cell>
          <cell r="N4609" t="str">
            <v>SG&amp;A</v>
          </cell>
          <cell r="O4609" t="str">
            <v>[No Vendor]</v>
          </cell>
        </row>
        <row r="4610">
          <cell r="D4610">
            <v>-56.34</v>
          </cell>
          <cell r="H4610">
            <v>45566</v>
          </cell>
          <cell r="I4610" t="str">
            <v>6385 - Insurance</v>
          </cell>
          <cell r="J4610">
            <v>0</v>
          </cell>
          <cell r="K4610" t="str">
            <v>Administration</v>
          </cell>
          <cell r="L4610" t="str">
            <v>Professional Service</v>
          </cell>
          <cell r="N4610" t="str">
            <v>SG&amp;A</v>
          </cell>
          <cell r="O4610" t="str">
            <v>[No Vendor]</v>
          </cell>
        </row>
        <row r="4611">
          <cell r="D4611">
            <v>947.78</v>
          </cell>
          <cell r="H4611">
            <v>45566</v>
          </cell>
          <cell r="I4611" t="str">
            <v>6385 - Insurance</v>
          </cell>
          <cell r="J4611">
            <v>0</v>
          </cell>
          <cell r="K4611" t="str">
            <v>Administration</v>
          </cell>
          <cell r="L4611" t="str">
            <v>Professional Service</v>
          </cell>
          <cell r="N4611" t="str">
            <v>SG&amp;A</v>
          </cell>
          <cell r="O4611" t="str">
            <v>[No Vendor]</v>
          </cell>
        </row>
        <row r="4612">
          <cell r="D4612">
            <v>458.45</v>
          </cell>
          <cell r="H4612">
            <v>45566</v>
          </cell>
          <cell r="I4612" t="str">
            <v>6400 - Utilities</v>
          </cell>
          <cell r="J4612">
            <v>0</v>
          </cell>
          <cell r="K4612" t="str">
            <v>Administration</v>
          </cell>
          <cell r="L4612" t="str">
            <v>Other</v>
          </cell>
          <cell r="N4612" t="str">
            <v>SG&amp;A</v>
          </cell>
          <cell r="O4612" t="str">
            <v>[No Vendor]</v>
          </cell>
        </row>
        <row r="4613">
          <cell r="D4613">
            <v>48.61</v>
          </cell>
          <cell r="H4613">
            <v>45566</v>
          </cell>
          <cell r="I4613" t="str">
            <v>7060 - Information Technology &amp; Software</v>
          </cell>
          <cell r="J4613">
            <v>0</v>
          </cell>
          <cell r="K4613" t="str">
            <v>Executive</v>
          </cell>
          <cell r="L4613" t="str">
            <v>Depreciation &amp; Amortization</v>
          </cell>
          <cell r="N4613" t="str">
            <v>SG&amp;A</v>
          </cell>
          <cell r="O4613" t="str">
            <v>[No Vendor]</v>
          </cell>
        </row>
        <row r="4614">
          <cell r="D4614">
            <v>68.33</v>
          </cell>
          <cell r="H4614">
            <v>45566</v>
          </cell>
          <cell r="I4614" t="str">
            <v>7060 - Information Technology &amp; Software</v>
          </cell>
          <cell r="J4614" t="str">
            <v>Wholesale</v>
          </cell>
          <cell r="K4614" t="str">
            <v>Wholesale</v>
          </cell>
          <cell r="L4614" t="str">
            <v>Depreciation &amp; Amortization</v>
          </cell>
          <cell r="N4614" t="str">
            <v>SG&amp;A</v>
          </cell>
          <cell r="O4614" t="str">
            <v>[No Vendor]</v>
          </cell>
        </row>
        <row r="4615">
          <cell r="D4615">
            <v>148.66999999999999</v>
          </cell>
          <cell r="H4615">
            <v>45566</v>
          </cell>
          <cell r="I4615" t="str">
            <v>7060 - Information Technology &amp; Software</v>
          </cell>
          <cell r="J4615" t="str">
            <v>Ecommerce (US)</v>
          </cell>
          <cell r="K4615" t="str">
            <v>Ecommerce</v>
          </cell>
          <cell r="L4615" t="str">
            <v>Depreciation &amp; Amortization</v>
          </cell>
          <cell r="N4615" t="str">
            <v>SG&amp;A</v>
          </cell>
          <cell r="O4615" t="str">
            <v>[No Vendor]</v>
          </cell>
        </row>
        <row r="4616">
          <cell r="D4616">
            <v>102.55</v>
          </cell>
          <cell r="H4616">
            <v>45566</v>
          </cell>
          <cell r="I4616" t="str">
            <v>7060 - Information Technology &amp; Software</v>
          </cell>
          <cell r="J4616">
            <v>0</v>
          </cell>
          <cell r="K4616" t="str">
            <v>Production</v>
          </cell>
          <cell r="L4616" t="str">
            <v>Depreciation &amp; Amortization</v>
          </cell>
          <cell r="N4616" t="str">
            <v>SG&amp;A</v>
          </cell>
          <cell r="O4616" t="str">
            <v>[No Vendor]</v>
          </cell>
        </row>
        <row r="4617">
          <cell r="D4617">
            <v>179.49</v>
          </cell>
          <cell r="H4617">
            <v>45566</v>
          </cell>
          <cell r="I4617" t="str">
            <v>7060 - Information Technology &amp; Software</v>
          </cell>
          <cell r="J4617">
            <v>0</v>
          </cell>
          <cell r="K4617" t="str">
            <v>Design</v>
          </cell>
          <cell r="L4617" t="str">
            <v>Depreciation &amp; Amortization</v>
          </cell>
          <cell r="N4617" t="str">
            <v>SG&amp;A</v>
          </cell>
          <cell r="O4617" t="str">
            <v>[No Vendor]</v>
          </cell>
        </row>
        <row r="4618">
          <cell r="D4618">
            <v>65.48</v>
          </cell>
          <cell r="H4618">
            <v>45566</v>
          </cell>
          <cell r="I4618" t="str">
            <v>7060 - Information Technology &amp; Software</v>
          </cell>
          <cell r="J4618">
            <v>0</v>
          </cell>
          <cell r="K4618" t="str">
            <v>Merchandising</v>
          </cell>
          <cell r="L4618" t="str">
            <v>Depreciation &amp; Amortization</v>
          </cell>
          <cell r="N4618" t="str">
            <v>SG&amp;A</v>
          </cell>
          <cell r="O4618" t="str">
            <v>[No Vendor]</v>
          </cell>
        </row>
        <row r="4619">
          <cell r="D4619">
            <v>166.9</v>
          </cell>
          <cell r="H4619">
            <v>45566</v>
          </cell>
          <cell r="I4619" t="str">
            <v>7060 - Information Technology &amp; Software</v>
          </cell>
          <cell r="J4619">
            <v>0</v>
          </cell>
          <cell r="K4619" t="str">
            <v>Brand Marketing</v>
          </cell>
          <cell r="L4619" t="str">
            <v>Depreciation &amp; Amortization</v>
          </cell>
          <cell r="N4619" t="str">
            <v>SG&amp;A</v>
          </cell>
          <cell r="O4619" t="str">
            <v>[No Vendor]</v>
          </cell>
        </row>
        <row r="4620">
          <cell r="D4620">
            <v>869.23</v>
          </cell>
          <cell r="H4620">
            <v>45566</v>
          </cell>
          <cell r="I4620" t="str">
            <v>7060 - Information Technology &amp; Software</v>
          </cell>
          <cell r="J4620">
            <v>0</v>
          </cell>
          <cell r="K4620" t="str">
            <v>Administration</v>
          </cell>
          <cell r="L4620" t="str">
            <v>Depreciation &amp; Amortization</v>
          </cell>
          <cell r="N4620" t="str">
            <v>SG&amp;A</v>
          </cell>
          <cell r="O4620" t="str">
            <v>[No Vendor]</v>
          </cell>
        </row>
        <row r="4621">
          <cell r="D4621">
            <v>238.77</v>
          </cell>
          <cell r="H4621">
            <v>45566</v>
          </cell>
          <cell r="I4621" t="str">
            <v>7040 - Furniture &amp; Fixtures</v>
          </cell>
          <cell r="J4621" t="str">
            <v>Wholesale</v>
          </cell>
          <cell r="K4621" t="str">
            <v>Wholesale</v>
          </cell>
          <cell r="L4621" t="str">
            <v>Depreciation &amp; Amortization</v>
          </cell>
          <cell r="N4621" t="str">
            <v>SG&amp;A</v>
          </cell>
          <cell r="O4621" t="str">
            <v>[No Vendor]</v>
          </cell>
        </row>
        <row r="4622">
          <cell r="D4622">
            <v>0</v>
          </cell>
          <cell r="H4622">
            <v>45566</v>
          </cell>
          <cell r="I4622" t="str">
            <v>7040 - Furniture &amp; Fixtures</v>
          </cell>
          <cell r="J4622">
            <v>0</v>
          </cell>
          <cell r="K4622" t="str">
            <v>Brand Marketing</v>
          </cell>
          <cell r="L4622" t="str">
            <v>Depreciation &amp; Amortization</v>
          </cell>
          <cell r="N4622" t="str">
            <v>SG&amp;A</v>
          </cell>
          <cell r="O4622" t="str">
            <v>[No Vendor]</v>
          </cell>
        </row>
        <row r="4623">
          <cell r="D4623">
            <v>269.64999999999998</v>
          </cell>
          <cell r="H4623">
            <v>45566</v>
          </cell>
          <cell r="I4623" t="str">
            <v>7040 - Furniture &amp; Fixtures</v>
          </cell>
          <cell r="J4623">
            <v>0</v>
          </cell>
          <cell r="K4623" t="str">
            <v>Administration</v>
          </cell>
          <cell r="L4623" t="str">
            <v>Depreciation &amp; Amortization</v>
          </cell>
          <cell r="N4623" t="str">
            <v>SG&amp;A</v>
          </cell>
          <cell r="O4623" t="str">
            <v>[No Vendor]</v>
          </cell>
        </row>
        <row r="4624">
          <cell r="D4624">
            <v>811.13</v>
          </cell>
          <cell r="H4624">
            <v>45566</v>
          </cell>
          <cell r="I4624" t="str">
            <v>6055 - Employer Social Security Tax Withheld</v>
          </cell>
          <cell r="J4624">
            <v>0</v>
          </cell>
          <cell r="K4624" t="str">
            <v>Merchandising</v>
          </cell>
          <cell r="L4624" t="str">
            <v>HQ Salaries</v>
          </cell>
          <cell r="N4624" t="str">
            <v>SG&amp;A</v>
          </cell>
          <cell r="O4624" t="str">
            <v>[No Vendor]</v>
          </cell>
        </row>
        <row r="4625">
          <cell r="D4625">
            <v>1908.17</v>
          </cell>
          <cell r="H4625">
            <v>45566</v>
          </cell>
          <cell r="I4625" t="str">
            <v>6055 - Employer Social Security Tax Withheld</v>
          </cell>
          <cell r="J4625" t="str">
            <v>Wholesale</v>
          </cell>
          <cell r="K4625" t="str">
            <v>Wholesale</v>
          </cell>
          <cell r="L4625" t="str">
            <v>HQ Salaries</v>
          </cell>
          <cell r="N4625" t="str">
            <v>SG&amp;A</v>
          </cell>
          <cell r="O4625" t="str">
            <v>[No Vendor]</v>
          </cell>
        </row>
        <row r="4626">
          <cell r="D4626">
            <v>2042.18</v>
          </cell>
          <cell r="H4626">
            <v>45566</v>
          </cell>
          <cell r="I4626" t="str">
            <v>6055 - Employer Social Security Tax Withheld</v>
          </cell>
          <cell r="J4626">
            <v>0</v>
          </cell>
          <cell r="K4626" t="str">
            <v>Production</v>
          </cell>
          <cell r="L4626" t="str">
            <v>HQ Salaries</v>
          </cell>
          <cell r="N4626" t="str">
            <v>SG&amp;A</v>
          </cell>
          <cell r="O4626" t="str">
            <v>[No Vendor]</v>
          </cell>
        </row>
        <row r="4627">
          <cell r="D4627">
            <v>512.29999999999995</v>
          </cell>
          <cell r="H4627">
            <v>45566</v>
          </cell>
          <cell r="I4627" t="str">
            <v>6055 - Employer Social Security Tax Withheld</v>
          </cell>
          <cell r="J4627">
            <v>0</v>
          </cell>
          <cell r="K4627" t="str">
            <v>Brand Marketing</v>
          </cell>
          <cell r="L4627" t="str">
            <v>HQ Salaries</v>
          </cell>
          <cell r="N4627" t="str">
            <v>SG&amp;A</v>
          </cell>
          <cell r="O4627" t="str">
            <v>[No Vendor]</v>
          </cell>
        </row>
        <row r="4628">
          <cell r="D4628">
            <v>1654.76</v>
          </cell>
          <cell r="H4628">
            <v>45566</v>
          </cell>
          <cell r="I4628" t="str">
            <v>6055 - Employer Social Security Tax Withheld</v>
          </cell>
          <cell r="J4628">
            <v>0</v>
          </cell>
          <cell r="K4628" t="str">
            <v>Executive</v>
          </cell>
          <cell r="L4628" t="str">
            <v>HQ Salaries</v>
          </cell>
          <cell r="N4628" t="str">
            <v>SG&amp;A</v>
          </cell>
          <cell r="O4628" t="str">
            <v>[No Vendor]</v>
          </cell>
        </row>
        <row r="4629">
          <cell r="D4629">
            <v>2254.11</v>
          </cell>
          <cell r="H4629">
            <v>45566</v>
          </cell>
          <cell r="I4629" t="str">
            <v>6055 - Employer Social Security Tax Withheld</v>
          </cell>
          <cell r="J4629" t="str">
            <v>Ecommerce (US)</v>
          </cell>
          <cell r="K4629" t="str">
            <v>Ecommerce</v>
          </cell>
          <cell r="L4629" t="str">
            <v>HQ Salaries</v>
          </cell>
          <cell r="N4629" t="str">
            <v>SG&amp;A</v>
          </cell>
          <cell r="O4629" t="str">
            <v>[No Vendor]</v>
          </cell>
        </row>
        <row r="4630">
          <cell r="D4630">
            <v>2533.4499999999998</v>
          </cell>
          <cell r="H4630">
            <v>45566</v>
          </cell>
          <cell r="I4630" t="str">
            <v>6055 - Employer Social Security Tax Withheld</v>
          </cell>
          <cell r="J4630">
            <v>0</v>
          </cell>
          <cell r="K4630" t="str">
            <v>Design</v>
          </cell>
          <cell r="L4630" t="str">
            <v>HQ Salaries</v>
          </cell>
          <cell r="N4630" t="str">
            <v>SG&amp;A</v>
          </cell>
          <cell r="O4630" t="str">
            <v>[No Vendor]</v>
          </cell>
        </row>
        <row r="4631">
          <cell r="D4631">
            <v>2678.37</v>
          </cell>
          <cell r="H4631">
            <v>45566</v>
          </cell>
          <cell r="I4631" t="str">
            <v>6055 - Employer Social Security Tax Withheld</v>
          </cell>
          <cell r="J4631">
            <v>0</v>
          </cell>
          <cell r="K4631" t="str">
            <v>Administration</v>
          </cell>
          <cell r="L4631" t="str">
            <v>HQ Salaries</v>
          </cell>
          <cell r="N4631" t="str">
            <v>SG&amp;A</v>
          </cell>
          <cell r="O4631" t="str">
            <v>[No Vendor]</v>
          </cell>
        </row>
        <row r="4632">
          <cell r="D4632">
            <v>-1833.53</v>
          </cell>
          <cell r="H4632">
            <v>45566</v>
          </cell>
          <cell r="I4632" t="str">
            <v>5000 - Cost of Goods Sold</v>
          </cell>
          <cell r="J4632" t="str">
            <v>Wholesale</v>
          </cell>
          <cell r="K4632" t="str">
            <v>Wholesale</v>
          </cell>
          <cell r="L4632" t="str">
            <v>COGS</v>
          </cell>
          <cell r="N4632" t="str">
            <v>COGS</v>
          </cell>
          <cell r="O4632" t="str">
            <v>[No Vendor]</v>
          </cell>
        </row>
        <row r="4633">
          <cell r="D4633">
            <v>98422.46</v>
          </cell>
          <cell r="H4633">
            <v>45566</v>
          </cell>
          <cell r="I4633" t="str">
            <v>5000 - Cost of Goods Sold</v>
          </cell>
          <cell r="J4633" t="str">
            <v>Wholesale</v>
          </cell>
          <cell r="K4633" t="str">
            <v>Wholesale</v>
          </cell>
          <cell r="L4633" t="str">
            <v>COGS</v>
          </cell>
          <cell r="N4633" t="str">
            <v>COGS</v>
          </cell>
          <cell r="O4633" t="str">
            <v>[No Vendor]</v>
          </cell>
        </row>
        <row r="4634">
          <cell r="D4634">
            <v>36508.839999999997</v>
          </cell>
          <cell r="H4634">
            <v>45566</v>
          </cell>
          <cell r="I4634" t="str">
            <v>5000 - Cost of Goods Sold</v>
          </cell>
          <cell r="J4634" t="str">
            <v>Ecommerce (EU)</v>
          </cell>
          <cell r="K4634" t="str">
            <v>Ecommerce</v>
          </cell>
          <cell r="L4634" t="str">
            <v>COGS</v>
          </cell>
          <cell r="N4634" t="str">
            <v>COGS</v>
          </cell>
          <cell r="O4634" t="str">
            <v>[No Vendor]</v>
          </cell>
        </row>
        <row r="4635">
          <cell r="D4635">
            <v>13526.79</v>
          </cell>
          <cell r="H4635">
            <v>45566</v>
          </cell>
          <cell r="I4635" t="str">
            <v>5000 - Cost of Goods Sold</v>
          </cell>
          <cell r="J4635" t="str">
            <v>Ecommerce (US)</v>
          </cell>
          <cell r="K4635" t="str">
            <v>Ecommerce</v>
          </cell>
          <cell r="L4635" t="str">
            <v>COGS</v>
          </cell>
          <cell r="N4635" t="str">
            <v>COGS</v>
          </cell>
          <cell r="O4635" t="str">
            <v>[No Vendor]</v>
          </cell>
        </row>
        <row r="4636">
          <cell r="D4636">
            <v>370163.94</v>
          </cell>
          <cell r="H4636">
            <v>45566</v>
          </cell>
          <cell r="I4636" t="str">
            <v>5000 - Cost of Goods Sold</v>
          </cell>
          <cell r="J4636" t="str">
            <v>Ecommerce (US)</v>
          </cell>
          <cell r="K4636" t="str">
            <v>Ecommerce</v>
          </cell>
          <cell r="L4636" t="str">
            <v>COGS</v>
          </cell>
          <cell r="N4636" t="str">
            <v>COGS</v>
          </cell>
          <cell r="O4636" t="str">
            <v>[No Vendor]</v>
          </cell>
        </row>
        <row r="4637">
          <cell r="D4637">
            <v>0</v>
          </cell>
          <cell r="H4637">
            <v>45566</v>
          </cell>
          <cell r="I4637" t="str">
            <v>8000 - Interest Income</v>
          </cell>
          <cell r="J4637">
            <v>0</v>
          </cell>
          <cell r="K4637" t="str">
            <v>Licensing</v>
          </cell>
          <cell r="L4637" t="str">
            <v>Other Income (BTL)</v>
          </cell>
          <cell r="N4637" t="str">
            <v>BTL</v>
          </cell>
          <cell r="O4637" t="str">
            <v>[No Vendor]</v>
          </cell>
        </row>
        <row r="4638">
          <cell r="D4638">
            <v>3906.85</v>
          </cell>
          <cell r="H4638">
            <v>45566</v>
          </cell>
          <cell r="I4638" t="str">
            <v>6487 - Interest Expense</v>
          </cell>
          <cell r="J4638">
            <v>0</v>
          </cell>
          <cell r="K4638" t="str">
            <v>Administration</v>
          </cell>
          <cell r="L4638" t="str">
            <v>Interest</v>
          </cell>
          <cell r="N4638" t="str">
            <v>BTL</v>
          </cell>
          <cell r="O4638" t="str">
            <v>[No Vendor]</v>
          </cell>
        </row>
        <row r="4639">
          <cell r="D4639">
            <v>15236.71</v>
          </cell>
          <cell r="H4639">
            <v>45566</v>
          </cell>
          <cell r="I4639" t="str">
            <v>6487 - Interest Expense</v>
          </cell>
          <cell r="J4639">
            <v>0</v>
          </cell>
          <cell r="K4639" t="str">
            <v>Administration</v>
          </cell>
          <cell r="L4639" t="str">
            <v>Interest</v>
          </cell>
          <cell r="N4639" t="str">
            <v>BTL</v>
          </cell>
          <cell r="O4639" t="str">
            <v>[No Vendor]</v>
          </cell>
        </row>
        <row r="4640">
          <cell r="D4640">
            <v>5860.27</v>
          </cell>
          <cell r="H4640">
            <v>45566</v>
          </cell>
          <cell r="I4640" t="str">
            <v>6487 - Interest Expense</v>
          </cell>
          <cell r="J4640">
            <v>0</v>
          </cell>
          <cell r="K4640" t="str">
            <v>Administration</v>
          </cell>
          <cell r="L4640" t="str">
            <v>Interest</v>
          </cell>
          <cell r="N4640" t="str">
            <v>BTL</v>
          </cell>
          <cell r="O4640" t="str">
            <v>[No Vendor]</v>
          </cell>
        </row>
        <row r="4641">
          <cell r="D4641">
            <v>4297.53</v>
          </cell>
          <cell r="H4641">
            <v>45566</v>
          </cell>
          <cell r="I4641" t="str">
            <v>6487 - Interest Expense</v>
          </cell>
          <cell r="J4641">
            <v>0</v>
          </cell>
          <cell r="K4641" t="str">
            <v>Administration</v>
          </cell>
          <cell r="L4641" t="str">
            <v>Interest</v>
          </cell>
          <cell r="N4641" t="str">
            <v>BTL</v>
          </cell>
          <cell r="O4641" t="str">
            <v>[No Vendor]</v>
          </cell>
        </row>
        <row r="4642">
          <cell r="D4642">
            <v>38.159999999999997</v>
          </cell>
          <cell r="H4642">
            <v>45566</v>
          </cell>
          <cell r="I4642" t="str">
            <v>6487 - Interest Expense</v>
          </cell>
          <cell r="J4642">
            <v>0</v>
          </cell>
          <cell r="K4642" t="str">
            <v>Administration</v>
          </cell>
          <cell r="L4642" t="str">
            <v>Interest</v>
          </cell>
          <cell r="N4642" t="str">
            <v>BTL</v>
          </cell>
          <cell r="O4642" t="str">
            <v>[No Vendor]</v>
          </cell>
        </row>
        <row r="4643">
          <cell r="D4643">
            <v>8741.93</v>
          </cell>
          <cell r="H4643">
            <v>45566</v>
          </cell>
          <cell r="I4643" t="str">
            <v>6487 - Interest Expense</v>
          </cell>
          <cell r="J4643">
            <v>0</v>
          </cell>
          <cell r="K4643" t="str">
            <v>Administration</v>
          </cell>
          <cell r="L4643" t="str">
            <v>Interest</v>
          </cell>
          <cell r="N4643" t="str">
            <v>BTL</v>
          </cell>
          <cell r="O4643" t="str">
            <v>[No Vendor]</v>
          </cell>
        </row>
        <row r="4644">
          <cell r="D4644">
            <v>2721.88</v>
          </cell>
          <cell r="H4644">
            <v>45566</v>
          </cell>
          <cell r="I4644" t="str">
            <v>6420 - Licenses &amp; Membership</v>
          </cell>
          <cell r="J4644">
            <v>0</v>
          </cell>
          <cell r="K4644" t="str">
            <v>Administration</v>
          </cell>
          <cell r="L4644" t="str">
            <v>Professional Service</v>
          </cell>
          <cell r="N4644" t="str">
            <v>Direct Costs</v>
          </cell>
          <cell r="O4644" t="str">
            <v>Apparel Magic</v>
          </cell>
        </row>
        <row r="4645">
          <cell r="D4645">
            <v>175</v>
          </cell>
          <cell r="H4645">
            <v>45566</v>
          </cell>
          <cell r="I4645" t="str">
            <v>6420 - Licenses &amp; Membership</v>
          </cell>
          <cell r="J4645">
            <v>0</v>
          </cell>
          <cell r="K4645" t="str">
            <v>Production</v>
          </cell>
          <cell r="L4645" t="str">
            <v>Professional Service</v>
          </cell>
          <cell r="N4645" t="str">
            <v>SG&amp;A</v>
          </cell>
          <cell r="O4645" t="str">
            <v>[No Vendor]</v>
          </cell>
        </row>
        <row r="4646">
          <cell r="D4646">
            <v>-29236.67</v>
          </cell>
          <cell r="H4646">
            <v>45566</v>
          </cell>
          <cell r="I4646" t="str">
            <v>6320 - Building Rent</v>
          </cell>
          <cell r="J4646">
            <v>0</v>
          </cell>
          <cell r="K4646" t="str">
            <v>Administration</v>
          </cell>
          <cell r="L4646" t="str">
            <v>Rent</v>
          </cell>
          <cell r="N4646" t="str">
            <v>SG&amp;A</v>
          </cell>
          <cell r="O4646" t="str">
            <v>[No Vendor]</v>
          </cell>
        </row>
        <row r="4647">
          <cell r="D4647">
            <v>20944.740000000002</v>
          </cell>
          <cell r="H4647">
            <v>45566</v>
          </cell>
          <cell r="I4647" t="str">
            <v>6375 - Freight Expenses</v>
          </cell>
          <cell r="J4647" t="str">
            <v>Ecommerce (US)</v>
          </cell>
          <cell r="K4647" t="str">
            <v>Ecommerce</v>
          </cell>
          <cell r="L4647" t="str">
            <v>Freight</v>
          </cell>
          <cell r="N4647" t="str">
            <v>Direct Costs</v>
          </cell>
          <cell r="O4647" t="str">
            <v>UPS Supply Chain Solutions Inc. (7F24A0)</v>
          </cell>
        </row>
        <row r="4648">
          <cell r="D4648">
            <v>622.44000000000005</v>
          </cell>
          <cell r="H4648">
            <v>45566</v>
          </cell>
          <cell r="I4648" t="str">
            <v>6375 - Freight Expenses</v>
          </cell>
          <cell r="J4648" t="str">
            <v>Ecommerce (US)</v>
          </cell>
          <cell r="K4648" t="str">
            <v>Ecommerce</v>
          </cell>
          <cell r="L4648" t="str">
            <v>Freight</v>
          </cell>
          <cell r="N4648" t="str">
            <v>Direct Costs</v>
          </cell>
          <cell r="O4648" t="str">
            <v>Amazon</v>
          </cell>
        </row>
        <row r="4649">
          <cell r="D4649">
            <v>5750</v>
          </cell>
          <cell r="H4649">
            <v>45566</v>
          </cell>
          <cell r="I4649" t="str">
            <v>6375 - Freight Expenses</v>
          </cell>
          <cell r="J4649" t="str">
            <v>Ecommerce (US)</v>
          </cell>
          <cell r="K4649" t="str">
            <v>Ecommerce</v>
          </cell>
          <cell r="L4649" t="str">
            <v>Freight</v>
          </cell>
          <cell r="N4649" t="str">
            <v>Direct Costs</v>
          </cell>
          <cell r="O4649" t="str">
            <v>Easy Post</v>
          </cell>
        </row>
        <row r="4650">
          <cell r="D4650">
            <v>1050.4000000000001</v>
          </cell>
          <cell r="H4650">
            <v>45566</v>
          </cell>
          <cell r="I4650" t="str">
            <v>6375 - Freight Expenses</v>
          </cell>
          <cell r="J4650" t="str">
            <v>Ecommerce (EU)</v>
          </cell>
          <cell r="K4650" t="str">
            <v>Ecommerce</v>
          </cell>
          <cell r="L4650" t="str">
            <v>Freight</v>
          </cell>
          <cell r="N4650" t="str">
            <v>Direct Costs</v>
          </cell>
          <cell r="O4650" t="str">
            <v>Global E</v>
          </cell>
        </row>
        <row r="4651">
          <cell r="D4651">
            <v>15.83</v>
          </cell>
          <cell r="H4651">
            <v>45566</v>
          </cell>
          <cell r="I4651" t="str">
            <v>7030 - Plant Machinery &amp; Equipment</v>
          </cell>
          <cell r="J4651">
            <v>0</v>
          </cell>
          <cell r="K4651" t="str">
            <v>Production</v>
          </cell>
          <cell r="L4651" t="str">
            <v>Depreciation &amp; Amortization</v>
          </cell>
          <cell r="N4651" t="str">
            <v>SG&amp;A</v>
          </cell>
          <cell r="O4651" t="str">
            <v>[No Vendor]</v>
          </cell>
        </row>
        <row r="4652">
          <cell r="D4652">
            <v>14.15</v>
          </cell>
          <cell r="H4652">
            <v>45566</v>
          </cell>
          <cell r="I4652" t="str">
            <v>7030 - Plant Machinery &amp; Equipment</v>
          </cell>
          <cell r="J4652">
            <v>0</v>
          </cell>
          <cell r="K4652" t="str">
            <v>Administration</v>
          </cell>
          <cell r="L4652" t="str">
            <v>Depreciation &amp; Amortization</v>
          </cell>
          <cell r="N4652" t="str">
            <v>SG&amp;A</v>
          </cell>
          <cell r="O4652" t="str">
            <v>[No Vendor]</v>
          </cell>
        </row>
        <row r="4653">
          <cell r="D4653">
            <v>-63.22</v>
          </cell>
          <cell r="H4653">
            <v>45566</v>
          </cell>
          <cell r="I4653" t="str">
            <v>6040 - Employer Paid Benefits</v>
          </cell>
          <cell r="J4653" t="str">
            <v>Wholesale</v>
          </cell>
          <cell r="K4653" t="str">
            <v>Wholesale</v>
          </cell>
          <cell r="L4653" t="str">
            <v>HQ Salaries</v>
          </cell>
          <cell r="N4653" t="str">
            <v>SG&amp;A</v>
          </cell>
          <cell r="O4653" t="str">
            <v>[No Vendor]</v>
          </cell>
        </row>
        <row r="4654">
          <cell r="D4654">
            <v>-399.87</v>
          </cell>
          <cell r="H4654">
            <v>45566</v>
          </cell>
          <cell r="I4654" t="str">
            <v>6040 - Employer Paid Benefits</v>
          </cell>
          <cell r="J4654">
            <v>0</v>
          </cell>
          <cell r="K4654" t="str">
            <v>Production</v>
          </cell>
          <cell r="L4654" t="str">
            <v>HQ Salaries</v>
          </cell>
          <cell r="N4654" t="str">
            <v>SG&amp;A</v>
          </cell>
          <cell r="O4654" t="str">
            <v>[No Vendor]</v>
          </cell>
        </row>
        <row r="4655">
          <cell r="D4655">
            <v>-31.61</v>
          </cell>
          <cell r="H4655">
            <v>45566</v>
          </cell>
          <cell r="I4655" t="str">
            <v>6040 - Employer Paid Benefits</v>
          </cell>
          <cell r="J4655">
            <v>0</v>
          </cell>
          <cell r="K4655" t="str">
            <v>Brand Marketing</v>
          </cell>
          <cell r="L4655" t="str">
            <v>HQ Salaries</v>
          </cell>
          <cell r="N4655" t="str">
            <v>SG&amp;A</v>
          </cell>
          <cell r="O4655" t="str">
            <v>[No Vendor]</v>
          </cell>
        </row>
        <row r="4656">
          <cell r="D4656">
            <v>-327.98</v>
          </cell>
          <cell r="H4656">
            <v>45566</v>
          </cell>
          <cell r="I4656" t="str">
            <v>6040 - Employer Paid Benefits</v>
          </cell>
          <cell r="J4656">
            <v>0</v>
          </cell>
          <cell r="K4656" t="str">
            <v>Executive</v>
          </cell>
          <cell r="L4656" t="str">
            <v>HQ Salaries</v>
          </cell>
          <cell r="N4656" t="str">
            <v>SG&amp;A</v>
          </cell>
          <cell r="O4656" t="str">
            <v>[No Vendor]</v>
          </cell>
        </row>
        <row r="4657">
          <cell r="D4657">
            <v>-170.59</v>
          </cell>
          <cell r="H4657">
            <v>45566</v>
          </cell>
          <cell r="I4657" t="str">
            <v>6040 - Employer Paid Benefits</v>
          </cell>
          <cell r="J4657" t="str">
            <v>Ecommerce (US)</v>
          </cell>
          <cell r="K4657" t="str">
            <v>Ecommerce</v>
          </cell>
          <cell r="L4657" t="str">
            <v>HQ Salaries</v>
          </cell>
          <cell r="N4657" t="str">
            <v>SG&amp;A</v>
          </cell>
          <cell r="O4657" t="str">
            <v>[No Vendor]</v>
          </cell>
        </row>
        <row r="4658">
          <cell r="D4658">
            <v>-508.8</v>
          </cell>
          <cell r="H4658">
            <v>45566</v>
          </cell>
          <cell r="I4658" t="str">
            <v>6040 - Employer Paid Benefits</v>
          </cell>
          <cell r="J4658">
            <v>0</v>
          </cell>
          <cell r="K4658" t="str">
            <v>Design</v>
          </cell>
          <cell r="L4658" t="str">
            <v>HQ Salaries</v>
          </cell>
          <cell r="N4658" t="str">
            <v>SG&amp;A</v>
          </cell>
          <cell r="O4658" t="str">
            <v>[No Vendor]</v>
          </cell>
        </row>
        <row r="4659">
          <cell r="D4659">
            <v>-280.54000000000002</v>
          </cell>
          <cell r="H4659">
            <v>45566</v>
          </cell>
          <cell r="I4659" t="str">
            <v>6040 - Employer Paid Benefits</v>
          </cell>
          <cell r="J4659">
            <v>0</v>
          </cell>
          <cell r="K4659" t="str">
            <v>Administration</v>
          </cell>
          <cell r="L4659" t="str">
            <v>HQ Salaries</v>
          </cell>
          <cell r="N4659" t="str">
            <v>SG&amp;A</v>
          </cell>
          <cell r="O4659" t="str">
            <v>[No Vendor]</v>
          </cell>
        </row>
        <row r="4660">
          <cell r="D4660">
            <v>7210</v>
          </cell>
          <cell r="H4660">
            <v>45566</v>
          </cell>
          <cell r="I4660" t="str">
            <v>6005 - Salaries</v>
          </cell>
          <cell r="J4660">
            <v>0</v>
          </cell>
          <cell r="K4660" t="str">
            <v>Merchandising</v>
          </cell>
          <cell r="L4660" t="str">
            <v>HQ Salaries</v>
          </cell>
          <cell r="N4660" t="str">
            <v>SG&amp;A</v>
          </cell>
          <cell r="O4660" t="str">
            <v>[No Vendor]</v>
          </cell>
        </row>
        <row r="4661">
          <cell r="D4661">
            <v>15119.06</v>
          </cell>
          <cell r="H4661">
            <v>45566</v>
          </cell>
          <cell r="I4661" t="str">
            <v>6005 - Salaries</v>
          </cell>
          <cell r="J4661" t="str">
            <v>Wholesale</v>
          </cell>
          <cell r="K4661" t="str">
            <v>Wholesale</v>
          </cell>
          <cell r="L4661" t="str">
            <v>HQ Salaries</v>
          </cell>
          <cell r="N4661" t="str">
            <v>SG&amp;A</v>
          </cell>
          <cell r="O4661" t="str">
            <v>[No Vendor]</v>
          </cell>
        </row>
        <row r="4662">
          <cell r="D4662">
            <v>27983.89</v>
          </cell>
          <cell r="H4662">
            <v>45566</v>
          </cell>
          <cell r="I4662" t="str">
            <v>6005 - Salaries</v>
          </cell>
          <cell r="J4662">
            <v>0</v>
          </cell>
          <cell r="K4662" t="str">
            <v>Production</v>
          </cell>
          <cell r="L4662" t="str">
            <v>HQ Salaries</v>
          </cell>
          <cell r="N4662" t="str">
            <v>SG&amp;A</v>
          </cell>
          <cell r="O4662" t="str">
            <v>[No Vendor]</v>
          </cell>
        </row>
        <row r="4663">
          <cell r="D4663">
            <v>4576.9399999999996</v>
          </cell>
          <cell r="H4663">
            <v>45566</v>
          </cell>
          <cell r="I4663" t="str">
            <v>6005 - Salaries</v>
          </cell>
          <cell r="J4663">
            <v>0</v>
          </cell>
          <cell r="K4663" t="str">
            <v>Brand Marketing</v>
          </cell>
          <cell r="L4663" t="str">
            <v>HQ Salaries</v>
          </cell>
          <cell r="N4663" t="str">
            <v>SG&amp;A</v>
          </cell>
          <cell r="O4663" t="str">
            <v>[No Vendor]</v>
          </cell>
        </row>
        <row r="4664">
          <cell r="D4664">
            <v>15615.39</v>
          </cell>
          <cell r="H4664">
            <v>45566</v>
          </cell>
          <cell r="I4664" t="str">
            <v>6005 - Salaries</v>
          </cell>
          <cell r="J4664">
            <v>0</v>
          </cell>
          <cell r="K4664" t="str">
            <v>Executive</v>
          </cell>
          <cell r="L4664" t="str">
            <v>HQ Salaries</v>
          </cell>
          <cell r="N4664" t="str">
            <v>SG&amp;A</v>
          </cell>
          <cell r="O4664" t="str">
            <v>[No Vendor]</v>
          </cell>
        </row>
        <row r="4665">
          <cell r="D4665">
            <v>29093.119999999999</v>
          </cell>
          <cell r="H4665">
            <v>45566</v>
          </cell>
          <cell r="I4665" t="str">
            <v>6005 - Salaries</v>
          </cell>
          <cell r="J4665" t="str">
            <v>Ecommerce (US)</v>
          </cell>
          <cell r="K4665" t="str">
            <v>Ecommerce</v>
          </cell>
          <cell r="L4665" t="str">
            <v>HQ Salaries</v>
          </cell>
          <cell r="N4665" t="str">
            <v>SG&amp;A</v>
          </cell>
          <cell r="O4665" t="str">
            <v>[No Vendor]</v>
          </cell>
        </row>
        <row r="4666">
          <cell r="D4666">
            <v>29200.78</v>
          </cell>
          <cell r="H4666">
            <v>45566</v>
          </cell>
          <cell r="I4666" t="str">
            <v>6005 - Salaries</v>
          </cell>
          <cell r="J4666">
            <v>0</v>
          </cell>
          <cell r="K4666" t="str">
            <v>Design</v>
          </cell>
          <cell r="L4666" t="str">
            <v>HQ Salaries</v>
          </cell>
          <cell r="N4666" t="str">
            <v>SG&amp;A</v>
          </cell>
          <cell r="O4666" t="str">
            <v>[No Vendor]</v>
          </cell>
        </row>
        <row r="4667">
          <cell r="D4667">
            <v>36561.57</v>
          </cell>
          <cell r="H4667">
            <v>45566</v>
          </cell>
          <cell r="I4667" t="str">
            <v>6005 - Salaries</v>
          </cell>
          <cell r="J4667">
            <v>0</v>
          </cell>
          <cell r="K4667" t="str">
            <v>Administration</v>
          </cell>
          <cell r="L4667" t="str">
            <v>HQ Salaries</v>
          </cell>
          <cell r="N4667" t="str">
            <v>SG&amp;A</v>
          </cell>
          <cell r="O4667" t="str">
            <v>[No Vendor]</v>
          </cell>
        </row>
        <row r="4668">
          <cell r="D4668">
            <v>0</v>
          </cell>
          <cell r="H4668">
            <v>45566</v>
          </cell>
          <cell r="I4668" t="str">
            <v>4020 - Revenue - Marketing Contribution</v>
          </cell>
          <cell r="J4668">
            <v>0</v>
          </cell>
          <cell r="K4668" t="str">
            <v>Licensing</v>
          </cell>
          <cell r="L4668" t="str">
            <v>License</v>
          </cell>
          <cell r="N4668" t="str">
            <v>Revenue</v>
          </cell>
          <cell r="O4668" t="str">
            <v>[No Vendor]</v>
          </cell>
        </row>
        <row r="4669">
          <cell r="D4669">
            <v>0</v>
          </cell>
          <cell r="H4669">
            <v>45566</v>
          </cell>
          <cell r="I4669" t="str">
            <v>4010 - Revenue - Licensing Fees (Royalties)</v>
          </cell>
          <cell r="J4669">
            <v>0</v>
          </cell>
          <cell r="K4669" t="str">
            <v>Licensing</v>
          </cell>
          <cell r="L4669" t="str">
            <v>License</v>
          </cell>
          <cell r="N4669" t="str">
            <v>Revenue</v>
          </cell>
          <cell r="O4669" t="str">
            <v>[No Vendor]</v>
          </cell>
        </row>
        <row r="4670">
          <cell r="D4670">
            <v>-4166.67</v>
          </cell>
          <cell r="H4670">
            <v>45566</v>
          </cell>
          <cell r="I4670" t="str">
            <v>4010 - Revenue - Licensing Fees (Royalties)</v>
          </cell>
          <cell r="J4670">
            <v>0</v>
          </cell>
          <cell r="K4670" t="str">
            <v>Licensing</v>
          </cell>
          <cell r="L4670" t="str">
            <v>License</v>
          </cell>
          <cell r="N4670" t="str">
            <v>Revenue</v>
          </cell>
          <cell r="O4670" t="str">
            <v>[No Vendor]</v>
          </cell>
        </row>
        <row r="4671">
          <cell r="D4671">
            <v>-41607</v>
          </cell>
          <cell r="H4671">
            <v>45566</v>
          </cell>
          <cell r="I4671" t="str">
            <v>4010 - Revenue - Licensing Fees (Royalties)</v>
          </cell>
          <cell r="J4671">
            <v>0</v>
          </cell>
          <cell r="K4671" t="str">
            <v>Licensing</v>
          </cell>
          <cell r="L4671" t="str">
            <v>License</v>
          </cell>
          <cell r="N4671" t="str">
            <v>Revenue</v>
          </cell>
          <cell r="O4671" t="str">
            <v>[No Vendor]</v>
          </cell>
        </row>
        <row r="4672">
          <cell r="D4672">
            <v>0</v>
          </cell>
          <cell r="H4672">
            <v>45566</v>
          </cell>
          <cell r="I4672" t="str">
            <v>4010 - Revenue - Licensing Fees (Royalties)</v>
          </cell>
          <cell r="J4672">
            <v>0</v>
          </cell>
          <cell r="K4672" t="str">
            <v>Licensing</v>
          </cell>
          <cell r="L4672" t="str">
            <v>License</v>
          </cell>
          <cell r="N4672" t="str">
            <v>Revenue</v>
          </cell>
          <cell r="O4672" t="str">
            <v>[No Vendor]</v>
          </cell>
        </row>
        <row r="4673">
          <cell r="D4673">
            <v>-15533.28</v>
          </cell>
          <cell r="H4673">
            <v>45566</v>
          </cell>
          <cell r="I4673" t="str">
            <v>4010 - Revenue - Licensing Fees (Royalties)</v>
          </cell>
          <cell r="J4673">
            <v>0</v>
          </cell>
          <cell r="K4673" t="str">
            <v>Licensing</v>
          </cell>
          <cell r="L4673" t="str">
            <v>License</v>
          </cell>
          <cell r="N4673" t="str">
            <v>Revenue</v>
          </cell>
          <cell r="O4673" t="str">
            <v>[No Vendor]</v>
          </cell>
        </row>
        <row r="4674">
          <cell r="D4674">
            <v>0</v>
          </cell>
          <cell r="H4674">
            <v>45566</v>
          </cell>
          <cell r="I4674" t="str">
            <v>4010 - Revenue - Licensing Fees (Royalties)</v>
          </cell>
          <cell r="J4674">
            <v>0</v>
          </cell>
          <cell r="K4674" t="str">
            <v>Licensing</v>
          </cell>
          <cell r="L4674" t="str">
            <v>License</v>
          </cell>
          <cell r="N4674" t="str">
            <v>Revenue</v>
          </cell>
          <cell r="O4674" t="str">
            <v>[No Vendor]</v>
          </cell>
        </row>
        <row r="4675">
          <cell r="D4675">
            <v>0</v>
          </cell>
          <cell r="H4675">
            <v>45566</v>
          </cell>
          <cell r="I4675" t="str">
            <v>4010 - Revenue - Licensing Fees (Royalties)</v>
          </cell>
          <cell r="J4675">
            <v>0</v>
          </cell>
          <cell r="K4675" t="str">
            <v>Licensing</v>
          </cell>
          <cell r="L4675" t="str">
            <v>License</v>
          </cell>
          <cell r="N4675" t="str">
            <v>Revenue</v>
          </cell>
          <cell r="O4675" t="str">
            <v>[No Vendor]</v>
          </cell>
        </row>
        <row r="4676">
          <cell r="D4676">
            <v>150.44999999999999</v>
          </cell>
          <cell r="H4676">
            <v>45597</v>
          </cell>
          <cell r="I4676" t="str">
            <v>6040 - Employer Paid Benefits</v>
          </cell>
          <cell r="J4676">
            <v>0</v>
          </cell>
          <cell r="K4676" t="str">
            <v>Administration</v>
          </cell>
          <cell r="L4676" t="str">
            <v>HQ Salaries</v>
          </cell>
          <cell r="N4676" t="str">
            <v>SG&amp;A</v>
          </cell>
          <cell r="O4676" t="str">
            <v>Allied Administrators</v>
          </cell>
        </row>
        <row r="4677">
          <cell r="D4677">
            <v>300</v>
          </cell>
          <cell r="H4677">
            <v>45597</v>
          </cell>
          <cell r="I4677" t="str">
            <v>6288 - Model</v>
          </cell>
          <cell r="J4677" t="str">
            <v>Ecommerce (US)</v>
          </cell>
          <cell r="K4677" t="str">
            <v>Brand Marketing</v>
          </cell>
          <cell r="L4677" t="str">
            <v>Advertising</v>
          </cell>
          <cell r="N4677" t="str">
            <v>SG&amp;A</v>
          </cell>
          <cell r="O4677" t="str">
            <v>State Artist Management</v>
          </cell>
        </row>
        <row r="4678">
          <cell r="D4678">
            <v>750</v>
          </cell>
          <cell r="H4678">
            <v>45597</v>
          </cell>
          <cell r="I4678" t="str">
            <v>6288 - Model</v>
          </cell>
          <cell r="J4678" t="str">
            <v>Ecommerce (US)</v>
          </cell>
          <cell r="K4678" t="str">
            <v>Brand Marketing</v>
          </cell>
          <cell r="L4678" t="str">
            <v>Advertising</v>
          </cell>
          <cell r="N4678" t="str">
            <v>SG&amp;A</v>
          </cell>
          <cell r="O4678" t="str">
            <v>State Artist Management</v>
          </cell>
        </row>
        <row r="4679">
          <cell r="D4679">
            <v>240</v>
          </cell>
          <cell r="H4679">
            <v>45597</v>
          </cell>
          <cell r="I4679" t="str">
            <v>6288 - Model</v>
          </cell>
          <cell r="J4679" t="str">
            <v>Ecommerce (US)</v>
          </cell>
          <cell r="K4679" t="str">
            <v>Brand Marketing</v>
          </cell>
          <cell r="L4679" t="str">
            <v>Advertising</v>
          </cell>
          <cell r="N4679" t="str">
            <v>SG&amp;A</v>
          </cell>
          <cell r="O4679" t="str">
            <v>State Artist Management</v>
          </cell>
        </row>
        <row r="4680">
          <cell r="D4680">
            <v>300</v>
          </cell>
          <cell r="H4680">
            <v>45597</v>
          </cell>
          <cell r="I4680" t="str">
            <v>6288 - Model</v>
          </cell>
          <cell r="J4680" t="str">
            <v>Ecommerce (US)</v>
          </cell>
          <cell r="K4680" t="str">
            <v>Brand Marketing</v>
          </cell>
          <cell r="L4680" t="str">
            <v>Advertising</v>
          </cell>
          <cell r="N4680" t="str">
            <v>SG&amp;A</v>
          </cell>
          <cell r="O4680" t="str">
            <v>State Artist Management</v>
          </cell>
        </row>
        <row r="4681">
          <cell r="D4681">
            <v>1293</v>
          </cell>
          <cell r="H4681">
            <v>45597</v>
          </cell>
          <cell r="I4681" t="str">
            <v>6380 - Legal &amp; Accounting</v>
          </cell>
          <cell r="J4681">
            <v>0</v>
          </cell>
          <cell r="K4681" t="str">
            <v>Administration</v>
          </cell>
          <cell r="L4681" t="str">
            <v>Professional Service</v>
          </cell>
          <cell r="N4681" t="str">
            <v>SG&amp;A</v>
          </cell>
          <cell r="O4681" t="str">
            <v>Greenwald Doherty LLP</v>
          </cell>
        </row>
        <row r="4682">
          <cell r="D4682">
            <v>12905.65</v>
          </cell>
          <cell r="H4682">
            <v>45597</v>
          </cell>
          <cell r="I4682" t="str">
            <v>6380 - Legal &amp; Accounting</v>
          </cell>
          <cell r="J4682">
            <v>0</v>
          </cell>
          <cell r="K4682" t="str">
            <v>Administration</v>
          </cell>
          <cell r="L4682" t="str">
            <v>Professional Service</v>
          </cell>
          <cell r="N4682" t="str">
            <v>SG&amp;A</v>
          </cell>
          <cell r="O4682" t="str">
            <v>The Wave IP Law Firm</v>
          </cell>
        </row>
        <row r="4683">
          <cell r="D4683">
            <v>40.6</v>
          </cell>
          <cell r="H4683">
            <v>45597</v>
          </cell>
          <cell r="I4683" t="str">
            <v>6370 - Samples</v>
          </cell>
          <cell r="J4683">
            <v>0</v>
          </cell>
          <cell r="K4683" t="str">
            <v>Production</v>
          </cell>
          <cell r="L4683" t="str">
            <v>Sample</v>
          </cell>
          <cell r="N4683" t="str">
            <v>SG&amp;A</v>
          </cell>
          <cell r="O4683" t="str">
            <v>BB (UK) Limited</v>
          </cell>
        </row>
        <row r="4684">
          <cell r="D4684">
            <v>40.6</v>
          </cell>
          <cell r="H4684">
            <v>45597</v>
          </cell>
          <cell r="I4684" t="str">
            <v>6370 - Samples</v>
          </cell>
          <cell r="J4684" t="str">
            <v>Wholesale</v>
          </cell>
          <cell r="K4684" t="str">
            <v>Production</v>
          </cell>
          <cell r="L4684" t="str">
            <v>Sample</v>
          </cell>
          <cell r="N4684" t="str">
            <v>SG&amp;A</v>
          </cell>
          <cell r="O4684" t="str">
            <v>BB (UK) Limited</v>
          </cell>
        </row>
        <row r="4685">
          <cell r="D4685">
            <v>81.2</v>
          </cell>
          <cell r="H4685">
            <v>45597</v>
          </cell>
          <cell r="I4685" t="str">
            <v>6370 - Samples</v>
          </cell>
          <cell r="J4685" t="str">
            <v>Ecommerce (US)</v>
          </cell>
          <cell r="K4685" t="str">
            <v>Production</v>
          </cell>
          <cell r="L4685" t="str">
            <v>Sample</v>
          </cell>
          <cell r="N4685" t="str">
            <v>SG&amp;A</v>
          </cell>
          <cell r="O4685" t="str">
            <v>BB (UK) Limited</v>
          </cell>
        </row>
        <row r="4686">
          <cell r="D4686">
            <v>338.72</v>
          </cell>
          <cell r="H4686">
            <v>45597</v>
          </cell>
          <cell r="I4686" t="str">
            <v>6370 - Samples</v>
          </cell>
          <cell r="J4686">
            <v>0</v>
          </cell>
          <cell r="K4686" t="str">
            <v>Production</v>
          </cell>
          <cell r="L4686" t="str">
            <v>Sample</v>
          </cell>
          <cell r="N4686" t="str">
            <v>SG&amp;A</v>
          </cell>
          <cell r="O4686" t="str">
            <v>Sara Fashion Wear Ltd.</v>
          </cell>
        </row>
        <row r="4687">
          <cell r="D4687">
            <v>677.44</v>
          </cell>
          <cell r="H4687">
            <v>45597</v>
          </cell>
          <cell r="I4687" t="str">
            <v>6370 - Samples</v>
          </cell>
          <cell r="J4687" t="str">
            <v>Wholesale</v>
          </cell>
          <cell r="K4687" t="str">
            <v>Production</v>
          </cell>
          <cell r="L4687" t="str">
            <v>Sample</v>
          </cell>
          <cell r="N4687" t="str">
            <v>SG&amp;A</v>
          </cell>
          <cell r="O4687" t="str">
            <v>Sara Fashion Wear Ltd.</v>
          </cell>
        </row>
        <row r="4688">
          <cell r="D4688">
            <v>338.72</v>
          </cell>
          <cell r="H4688">
            <v>45597</v>
          </cell>
          <cell r="I4688" t="str">
            <v>6370 - Samples</v>
          </cell>
          <cell r="J4688">
            <v>0</v>
          </cell>
          <cell r="K4688" t="str">
            <v>Production</v>
          </cell>
          <cell r="L4688" t="str">
            <v>Sample</v>
          </cell>
          <cell r="N4688" t="str">
            <v>SG&amp;A</v>
          </cell>
          <cell r="O4688" t="str">
            <v>Sara Fashion Wear Ltd.</v>
          </cell>
        </row>
        <row r="4689">
          <cell r="D4689">
            <v>1280.6199999999999</v>
          </cell>
          <cell r="H4689">
            <v>45597</v>
          </cell>
          <cell r="I4689" t="str">
            <v>6385 - Insurance</v>
          </cell>
          <cell r="J4689">
            <v>0</v>
          </cell>
          <cell r="K4689" t="str">
            <v>Administration</v>
          </cell>
          <cell r="L4689" t="str">
            <v>Professional Service</v>
          </cell>
          <cell r="N4689" t="str">
            <v>SG&amp;A</v>
          </cell>
          <cell r="O4689" t="str">
            <v>The Hartford</v>
          </cell>
        </row>
        <row r="4690">
          <cell r="D4690">
            <v>458.45</v>
          </cell>
          <cell r="H4690">
            <v>45597</v>
          </cell>
          <cell r="I4690" t="str">
            <v>6400 - Utilities</v>
          </cell>
          <cell r="J4690">
            <v>0</v>
          </cell>
          <cell r="K4690" t="str">
            <v>Administration</v>
          </cell>
          <cell r="L4690" t="str">
            <v>Other</v>
          </cell>
          <cell r="N4690" t="str">
            <v>SG&amp;A</v>
          </cell>
          <cell r="O4690" t="str">
            <v>Antelope LLC</v>
          </cell>
        </row>
        <row r="4691">
          <cell r="D4691">
            <v>563.02</v>
          </cell>
          <cell r="H4691">
            <v>45597</v>
          </cell>
          <cell r="I4691" t="str">
            <v>6300 - Payroll Service Fees</v>
          </cell>
          <cell r="J4691">
            <v>0</v>
          </cell>
          <cell r="K4691" t="str">
            <v>Administration</v>
          </cell>
          <cell r="L4691" t="str">
            <v>Professional Service</v>
          </cell>
          <cell r="N4691" t="str">
            <v>SG&amp;A</v>
          </cell>
          <cell r="O4691" t="str">
            <v>ADP Payroll Services</v>
          </cell>
        </row>
        <row r="4692">
          <cell r="D4692">
            <v>7500</v>
          </cell>
          <cell r="H4692">
            <v>45597</v>
          </cell>
          <cell r="I4692" t="str">
            <v>6225 - Professional Services</v>
          </cell>
          <cell r="J4692">
            <v>0</v>
          </cell>
          <cell r="K4692" t="str">
            <v>Brand Marketing</v>
          </cell>
          <cell r="L4692" t="str">
            <v>Professional Service</v>
          </cell>
          <cell r="N4692" t="str">
            <v>Direct Costs</v>
          </cell>
          <cell r="O4692" t="str">
            <v>PapePR</v>
          </cell>
        </row>
        <row r="4693">
          <cell r="D4693">
            <v>4750</v>
          </cell>
          <cell r="H4693">
            <v>45597</v>
          </cell>
          <cell r="I4693" t="str">
            <v>6225 - Professional Services</v>
          </cell>
          <cell r="J4693">
            <v>0</v>
          </cell>
          <cell r="K4693" t="str">
            <v>Brand Marketing</v>
          </cell>
          <cell r="L4693" t="str">
            <v>Professional Service</v>
          </cell>
          <cell r="N4693" t="str">
            <v>Direct Costs</v>
          </cell>
          <cell r="O4693" t="str">
            <v>Melody  Huang</v>
          </cell>
        </row>
        <row r="4694">
          <cell r="D4694">
            <v>3292</v>
          </cell>
          <cell r="H4694">
            <v>45597</v>
          </cell>
          <cell r="I4694" t="str">
            <v>6225 - Professional Services</v>
          </cell>
          <cell r="J4694">
            <v>0</v>
          </cell>
          <cell r="K4694" t="str">
            <v>Administration</v>
          </cell>
          <cell r="L4694" t="str">
            <v>Professional Service</v>
          </cell>
          <cell r="N4694" t="str">
            <v>Direct Costs</v>
          </cell>
          <cell r="O4694" t="str">
            <v>Enom Solutions, Inc-DBA 3nom</v>
          </cell>
        </row>
        <row r="4695">
          <cell r="D4695">
            <v>29236.67</v>
          </cell>
          <cell r="H4695">
            <v>45597</v>
          </cell>
          <cell r="I4695" t="str">
            <v>6320 - Building Rent</v>
          </cell>
          <cell r="J4695">
            <v>0</v>
          </cell>
          <cell r="K4695" t="str">
            <v>Administration</v>
          </cell>
          <cell r="L4695" t="str">
            <v>Rent</v>
          </cell>
          <cell r="N4695" t="str">
            <v>SG&amp;A</v>
          </cell>
          <cell r="O4695" t="str">
            <v>Antelope LLC</v>
          </cell>
        </row>
        <row r="4696">
          <cell r="D4696">
            <v>1633.9</v>
          </cell>
          <cell r="H4696">
            <v>45597</v>
          </cell>
          <cell r="I4696" t="str">
            <v>6040 - Employer Paid Benefits</v>
          </cell>
          <cell r="J4696" t="str">
            <v>Wholesale</v>
          </cell>
          <cell r="K4696" t="str">
            <v>Wholesale</v>
          </cell>
          <cell r="L4696" t="str">
            <v>HQ Salaries</v>
          </cell>
          <cell r="N4696" t="str">
            <v>SG&amp;A</v>
          </cell>
          <cell r="O4696" t="str">
            <v>Excellus Health Plan - Group</v>
          </cell>
        </row>
        <row r="4697">
          <cell r="D4697">
            <v>3839.66</v>
          </cell>
          <cell r="H4697">
            <v>45597</v>
          </cell>
          <cell r="I4697" t="str">
            <v>6040 - Employer Paid Benefits</v>
          </cell>
          <cell r="J4697">
            <v>0</v>
          </cell>
          <cell r="K4697" t="str">
            <v>Production</v>
          </cell>
          <cell r="L4697" t="str">
            <v>HQ Salaries</v>
          </cell>
          <cell r="N4697" t="str">
            <v>SG&amp;A</v>
          </cell>
          <cell r="O4697" t="str">
            <v>Excellus Health Plan - Group</v>
          </cell>
        </row>
        <row r="4698">
          <cell r="D4698">
            <v>816.95</v>
          </cell>
          <cell r="H4698">
            <v>45597</v>
          </cell>
          <cell r="I4698" t="str">
            <v>6040 - Employer Paid Benefits</v>
          </cell>
          <cell r="J4698">
            <v>0</v>
          </cell>
          <cell r="K4698" t="str">
            <v>Merchandising</v>
          </cell>
          <cell r="L4698" t="str">
            <v>HQ Salaries</v>
          </cell>
          <cell r="N4698" t="str">
            <v>SG&amp;A</v>
          </cell>
          <cell r="O4698" t="str">
            <v>Excellus Health Plan - Group</v>
          </cell>
        </row>
        <row r="4699">
          <cell r="D4699">
            <v>816.95</v>
          </cell>
          <cell r="H4699">
            <v>45597</v>
          </cell>
          <cell r="I4699" t="str">
            <v>6040 - Employer Paid Benefits</v>
          </cell>
          <cell r="J4699">
            <v>0</v>
          </cell>
          <cell r="K4699" t="str">
            <v>Brand Marketing</v>
          </cell>
          <cell r="L4699" t="str">
            <v>HQ Salaries</v>
          </cell>
          <cell r="N4699" t="str">
            <v>SG&amp;A</v>
          </cell>
          <cell r="O4699" t="str">
            <v>Excellus Health Plan - Group</v>
          </cell>
        </row>
        <row r="4700">
          <cell r="D4700">
            <v>4656.6000000000004</v>
          </cell>
          <cell r="H4700">
            <v>45597</v>
          </cell>
          <cell r="I4700" t="str">
            <v>6040 - Employer Paid Benefits</v>
          </cell>
          <cell r="J4700">
            <v>0</v>
          </cell>
          <cell r="K4700" t="str">
            <v>Executive</v>
          </cell>
          <cell r="L4700" t="str">
            <v>HQ Salaries</v>
          </cell>
          <cell r="N4700" t="str">
            <v>SG&amp;A</v>
          </cell>
          <cell r="O4700" t="str">
            <v>Excellus Health Plan - Group</v>
          </cell>
        </row>
        <row r="4701">
          <cell r="D4701">
            <v>3145.25</v>
          </cell>
          <cell r="H4701">
            <v>45597</v>
          </cell>
          <cell r="I4701" t="str">
            <v>6040 - Employer Paid Benefits</v>
          </cell>
          <cell r="J4701" t="str">
            <v>Ecommerce (US)</v>
          </cell>
          <cell r="K4701" t="str">
            <v>Ecommerce</v>
          </cell>
          <cell r="L4701" t="str">
            <v>HQ Salaries</v>
          </cell>
          <cell r="N4701" t="str">
            <v>SG&amp;A</v>
          </cell>
          <cell r="O4701" t="str">
            <v>Excellus Health Plan - Group</v>
          </cell>
        </row>
        <row r="4702">
          <cell r="D4702">
            <v>3267.79</v>
          </cell>
          <cell r="H4702">
            <v>45597</v>
          </cell>
          <cell r="I4702" t="str">
            <v>6040 - Employer Paid Benefits</v>
          </cell>
          <cell r="J4702">
            <v>0</v>
          </cell>
          <cell r="K4702" t="str">
            <v>Design</v>
          </cell>
          <cell r="L4702" t="str">
            <v>HQ Salaries</v>
          </cell>
          <cell r="N4702" t="str">
            <v>SG&amp;A</v>
          </cell>
          <cell r="O4702" t="str">
            <v>Excellus Health Plan - Group</v>
          </cell>
        </row>
        <row r="4703">
          <cell r="D4703">
            <v>5351.01</v>
          </cell>
          <cell r="H4703">
            <v>45597</v>
          </cell>
          <cell r="I4703" t="str">
            <v>6040 - Employer Paid Benefits</v>
          </cell>
          <cell r="J4703">
            <v>0</v>
          </cell>
          <cell r="K4703" t="str">
            <v>Administration</v>
          </cell>
          <cell r="L4703" t="str">
            <v>HQ Salaries</v>
          </cell>
          <cell r="N4703" t="str">
            <v>SG&amp;A</v>
          </cell>
          <cell r="O4703" t="str">
            <v>Excellus Health Plan - Group</v>
          </cell>
        </row>
        <row r="4704">
          <cell r="D4704">
            <v>110.41</v>
          </cell>
          <cell r="H4704">
            <v>45597</v>
          </cell>
          <cell r="I4704" t="str">
            <v>6040 - Employer Paid Benefits</v>
          </cell>
          <cell r="J4704" t="str">
            <v>Wholesale</v>
          </cell>
          <cell r="K4704" t="str">
            <v>Wholesale</v>
          </cell>
          <cell r="L4704" t="str">
            <v>HQ Salaries</v>
          </cell>
          <cell r="N4704" t="str">
            <v>SG&amp;A</v>
          </cell>
          <cell r="O4704" t="str">
            <v>United of Omaha Life Insurance Company</v>
          </cell>
        </row>
        <row r="4705">
          <cell r="D4705">
            <v>309.77</v>
          </cell>
          <cell r="H4705">
            <v>45597</v>
          </cell>
          <cell r="I4705" t="str">
            <v>6040 - Employer Paid Benefits</v>
          </cell>
          <cell r="J4705">
            <v>0</v>
          </cell>
          <cell r="K4705" t="str">
            <v>Production</v>
          </cell>
          <cell r="L4705" t="str">
            <v>HQ Salaries</v>
          </cell>
          <cell r="N4705" t="str">
            <v>SG&amp;A</v>
          </cell>
          <cell r="O4705" t="str">
            <v>United of Omaha Life Insurance Company</v>
          </cell>
        </row>
        <row r="4706">
          <cell r="D4706">
            <v>86.43</v>
          </cell>
          <cell r="H4706">
            <v>45597</v>
          </cell>
          <cell r="I4706" t="str">
            <v>6040 - Employer Paid Benefits</v>
          </cell>
          <cell r="J4706">
            <v>0</v>
          </cell>
          <cell r="K4706" t="str">
            <v>Merchandising</v>
          </cell>
          <cell r="L4706" t="str">
            <v>HQ Salaries</v>
          </cell>
          <cell r="N4706" t="str">
            <v>SG&amp;A</v>
          </cell>
          <cell r="O4706" t="str">
            <v>United of Omaha Life Insurance Company</v>
          </cell>
        </row>
        <row r="4707">
          <cell r="D4707">
            <v>47.05</v>
          </cell>
          <cell r="H4707">
            <v>45597</v>
          </cell>
          <cell r="I4707" t="str">
            <v>6040 - Employer Paid Benefits</v>
          </cell>
          <cell r="J4707">
            <v>0</v>
          </cell>
          <cell r="K4707" t="str">
            <v>Brand Marketing</v>
          </cell>
          <cell r="L4707" t="str">
            <v>HQ Salaries</v>
          </cell>
          <cell r="N4707" t="str">
            <v>SG&amp;A</v>
          </cell>
          <cell r="O4707" t="str">
            <v>United of Omaha Life Insurance Company</v>
          </cell>
        </row>
        <row r="4708">
          <cell r="D4708">
            <v>243.56</v>
          </cell>
          <cell r="H4708">
            <v>45597</v>
          </cell>
          <cell r="I4708" t="str">
            <v>6040 - Employer Paid Benefits</v>
          </cell>
          <cell r="J4708">
            <v>0</v>
          </cell>
          <cell r="K4708" t="str">
            <v>Executive</v>
          </cell>
          <cell r="L4708" t="str">
            <v>HQ Salaries</v>
          </cell>
          <cell r="N4708" t="str">
            <v>SG&amp;A</v>
          </cell>
          <cell r="O4708" t="str">
            <v>United of Omaha Life Insurance Company</v>
          </cell>
        </row>
        <row r="4709">
          <cell r="D4709">
            <v>173.02</v>
          </cell>
          <cell r="H4709">
            <v>45597</v>
          </cell>
          <cell r="I4709" t="str">
            <v>6040 - Employer Paid Benefits</v>
          </cell>
          <cell r="J4709" t="str">
            <v>Ecommerce (US)</v>
          </cell>
          <cell r="K4709" t="str">
            <v>Ecommerce</v>
          </cell>
          <cell r="L4709" t="str">
            <v>HQ Salaries</v>
          </cell>
          <cell r="N4709" t="str">
            <v>SG&amp;A</v>
          </cell>
          <cell r="O4709" t="str">
            <v>United of Omaha Life Insurance Company</v>
          </cell>
        </row>
        <row r="4710">
          <cell r="D4710">
            <v>223.89</v>
          </cell>
          <cell r="H4710">
            <v>45597</v>
          </cell>
          <cell r="I4710" t="str">
            <v>6040 - Employer Paid Benefits</v>
          </cell>
          <cell r="J4710">
            <v>0</v>
          </cell>
          <cell r="K4710" t="str">
            <v>Design</v>
          </cell>
          <cell r="L4710" t="str">
            <v>HQ Salaries</v>
          </cell>
          <cell r="N4710" t="str">
            <v>SG&amp;A</v>
          </cell>
          <cell r="O4710" t="str">
            <v>United of Omaha Life Insurance Company</v>
          </cell>
        </row>
        <row r="4711">
          <cell r="D4711">
            <v>446.07</v>
          </cell>
          <cell r="H4711">
            <v>45597</v>
          </cell>
          <cell r="I4711" t="str">
            <v>6040 - Employer Paid Benefits</v>
          </cell>
          <cell r="J4711">
            <v>0</v>
          </cell>
          <cell r="K4711" t="str">
            <v>Administration</v>
          </cell>
          <cell r="L4711" t="str">
            <v>HQ Salaries</v>
          </cell>
          <cell r="N4711" t="str">
            <v>SG&amp;A</v>
          </cell>
          <cell r="O4711" t="str">
            <v>United of Omaha Life Insurance Company</v>
          </cell>
        </row>
        <row r="4712">
          <cell r="D4712">
            <v>24.54</v>
          </cell>
          <cell r="H4712">
            <v>45597</v>
          </cell>
          <cell r="I4712" t="str">
            <v>6040 - Employer Paid Benefits</v>
          </cell>
          <cell r="J4712" t="str">
            <v>Wholesale</v>
          </cell>
          <cell r="K4712" t="str">
            <v>Wholesale</v>
          </cell>
          <cell r="L4712" t="str">
            <v>HQ Salaries</v>
          </cell>
          <cell r="N4712" t="str">
            <v>SG&amp;A</v>
          </cell>
          <cell r="O4712" t="str">
            <v>Allied Administrators</v>
          </cell>
        </row>
        <row r="4713">
          <cell r="D4713">
            <v>125.91</v>
          </cell>
          <cell r="H4713">
            <v>45597</v>
          </cell>
          <cell r="I4713" t="str">
            <v>6040 - Employer Paid Benefits</v>
          </cell>
          <cell r="J4713">
            <v>0</v>
          </cell>
          <cell r="K4713" t="str">
            <v>Production</v>
          </cell>
          <cell r="L4713" t="str">
            <v>HQ Salaries</v>
          </cell>
          <cell r="N4713" t="str">
            <v>SG&amp;A</v>
          </cell>
          <cell r="O4713" t="str">
            <v>Allied Administrators</v>
          </cell>
        </row>
        <row r="4714">
          <cell r="D4714">
            <v>24.54</v>
          </cell>
          <cell r="H4714">
            <v>45597</v>
          </cell>
          <cell r="I4714" t="str">
            <v>6040 - Employer Paid Benefits</v>
          </cell>
          <cell r="J4714">
            <v>0</v>
          </cell>
          <cell r="K4714" t="str">
            <v>Merchandising</v>
          </cell>
          <cell r="L4714" t="str">
            <v>HQ Salaries</v>
          </cell>
          <cell r="N4714" t="str">
            <v>SG&amp;A</v>
          </cell>
          <cell r="O4714" t="str">
            <v>Allied Administrators</v>
          </cell>
        </row>
        <row r="4715">
          <cell r="D4715">
            <v>76.83</v>
          </cell>
          <cell r="H4715">
            <v>45597</v>
          </cell>
          <cell r="I4715" t="str">
            <v>6040 - Employer Paid Benefits</v>
          </cell>
          <cell r="J4715" t="str">
            <v>Ecommerce (US)</v>
          </cell>
          <cell r="K4715" t="str">
            <v>Ecommerce</v>
          </cell>
          <cell r="L4715" t="str">
            <v>HQ Salaries</v>
          </cell>
          <cell r="N4715" t="str">
            <v>SG&amp;A</v>
          </cell>
          <cell r="O4715" t="str">
            <v>Allied Administrators</v>
          </cell>
        </row>
        <row r="4716">
          <cell r="D4716">
            <v>218.7</v>
          </cell>
          <cell r="H4716">
            <v>45597</v>
          </cell>
          <cell r="I4716" t="str">
            <v>6040 - Employer Paid Benefits</v>
          </cell>
          <cell r="J4716">
            <v>0</v>
          </cell>
          <cell r="K4716" t="str">
            <v>Executive</v>
          </cell>
          <cell r="L4716" t="str">
            <v>HQ Salaries</v>
          </cell>
          <cell r="N4716" t="str">
            <v>SG&amp;A</v>
          </cell>
          <cell r="O4716" t="str">
            <v>Allied Administrators</v>
          </cell>
        </row>
        <row r="4717">
          <cell r="D4717">
            <v>101.37</v>
          </cell>
          <cell r="H4717">
            <v>45597</v>
          </cell>
          <cell r="I4717" t="str">
            <v>6040 - Employer Paid Benefits</v>
          </cell>
          <cell r="J4717">
            <v>0</v>
          </cell>
          <cell r="K4717" t="str">
            <v>Design</v>
          </cell>
          <cell r="L4717" t="str">
            <v>HQ Salaries</v>
          </cell>
          <cell r="N4717" t="str">
            <v>SG&amp;A</v>
          </cell>
          <cell r="O4717" t="str">
            <v>Allied Administrators</v>
          </cell>
        </row>
        <row r="4718">
          <cell r="D4718">
            <v>119.18</v>
          </cell>
          <cell r="H4718">
            <v>45597</v>
          </cell>
          <cell r="I4718" t="str">
            <v>8505 - Realized Gain/Loss</v>
          </cell>
          <cell r="J4718">
            <v>0</v>
          </cell>
          <cell r="K4718" t="str">
            <v>No Department</v>
          </cell>
          <cell r="L4718" t="str">
            <v>Realized Gain / Loss</v>
          </cell>
          <cell r="N4718" t="str">
            <v>BTL</v>
          </cell>
          <cell r="O4718" t="str">
            <v>[No Vendor]</v>
          </cell>
        </row>
        <row r="4719">
          <cell r="D4719">
            <v>3.28</v>
          </cell>
          <cell r="H4719">
            <v>45597</v>
          </cell>
          <cell r="I4719" t="str">
            <v>8505 - Realized Gain/Loss</v>
          </cell>
          <cell r="J4719">
            <v>0</v>
          </cell>
          <cell r="K4719" t="str">
            <v>No Department</v>
          </cell>
          <cell r="L4719" t="str">
            <v>Realized Gain / Loss</v>
          </cell>
          <cell r="N4719" t="str">
            <v>BTL</v>
          </cell>
          <cell r="O4719" t="str">
            <v>[No Vendor]</v>
          </cell>
        </row>
        <row r="4720">
          <cell r="D4720">
            <v>26115.41</v>
          </cell>
          <cell r="H4720">
            <v>45597</v>
          </cell>
          <cell r="I4720" t="str">
            <v>6005 - Salaries</v>
          </cell>
          <cell r="J4720">
            <v>0</v>
          </cell>
          <cell r="K4720" t="str">
            <v>Administration</v>
          </cell>
          <cell r="L4720" t="str">
            <v>HQ Salaries</v>
          </cell>
          <cell r="N4720" t="str">
            <v>SG&amp;A</v>
          </cell>
          <cell r="O4720" t="str">
            <v>[No Vendor]</v>
          </cell>
        </row>
        <row r="4721">
          <cell r="D4721">
            <v>-150000</v>
          </cell>
          <cell r="H4721">
            <v>45597</v>
          </cell>
          <cell r="I4721" t="str">
            <v>8700 - Other Expense</v>
          </cell>
          <cell r="J4721">
            <v>0</v>
          </cell>
          <cell r="K4721" t="str">
            <v>Administration</v>
          </cell>
          <cell r="L4721" t="str">
            <v>Other Expense</v>
          </cell>
          <cell r="N4721" t="str">
            <v>BTL</v>
          </cell>
          <cell r="O4721" t="str">
            <v>[No Vendor]</v>
          </cell>
        </row>
        <row r="4722">
          <cell r="D4722">
            <v>-2941.74</v>
          </cell>
          <cell r="H4722">
            <v>45597</v>
          </cell>
          <cell r="I4722" t="str">
            <v>5001 - Cost of Goods Sold - Other</v>
          </cell>
          <cell r="J4722" t="str">
            <v>Ecommerce (EU)</v>
          </cell>
          <cell r="K4722" t="str">
            <v>Ecommerce</v>
          </cell>
          <cell r="L4722" t="str">
            <v>Other COGS</v>
          </cell>
          <cell r="N4722" t="str">
            <v>COGS</v>
          </cell>
          <cell r="O4722" t="str">
            <v>[No Vendor]</v>
          </cell>
        </row>
        <row r="4723">
          <cell r="D4723">
            <v>0</v>
          </cell>
          <cell r="H4723">
            <v>45597</v>
          </cell>
          <cell r="I4723" t="str">
            <v>6015 - Vacation - PTO Exp</v>
          </cell>
          <cell r="J4723" t="str">
            <v>Wholesale</v>
          </cell>
          <cell r="K4723" t="str">
            <v>Wholesale</v>
          </cell>
          <cell r="L4723" t="str">
            <v>HQ Salaries</v>
          </cell>
          <cell r="N4723" t="str">
            <v>SG&amp;A</v>
          </cell>
          <cell r="O4723" t="str">
            <v>[No Vendor]</v>
          </cell>
        </row>
        <row r="4724">
          <cell r="D4724">
            <v>0</v>
          </cell>
          <cell r="H4724">
            <v>45597</v>
          </cell>
          <cell r="I4724" t="str">
            <v>6015 - Vacation - PTO Exp</v>
          </cell>
          <cell r="J4724" t="str">
            <v>Wholesale</v>
          </cell>
          <cell r="K4724" t="str">
            <v>Wholesale</v>
          </cell>
          <cell r="L4724" t="str">
            <v>HQ Salaries</v>
          </cell>
          <cell r="N4724" t="str">
            <v>SG&amp;A</v>
          </cell>
          <cell r="O4724" t="str">
            <v>[No Vendor]</v>
          </cell>
        </row>
        <row r="4725">
          <cell r="D4725">
            <v>-214.07</v>
          </cell>
          <cell r="H4725">
            <v>45597</v>
          </cell>
          <cell r="I4725" t="str">
            <v>6377 - Order Processing Expenses (New)</v>
          </cell>
          <cell r="J4725" t="str">
            <v>Ecommerce (EU)</v>
          </cell>
          <cell r="K4725" t="str">
            <v>Ecommerce</v>
          </cell>
          <cell r="L4725" t="str">
            <v>Order Processing</v>
          </cell>
          <cell r="N4725" t="str">
            <v>Direct Costs</v>
          </cell>
          <cell r="O4725" t="str">
            <v>[No Vendor]</v>
          </cell>
        </row>
        <row r="4726">
          <cell r="D4726">
            <v>-17000</v>
          </cell>
          <cell r="H4726">
            <v>45597</v>
          </cell>
          <cell r="I4726" t="str">
            <v>6380 - Legal &amp; Accounting</v>
          </cell>
          <cell r="J4726">
            <v>0</v>
          </cell>
          <cell r="K4726" t="str">
            <v>Administration</v>
          </cell>
          <cell r="L4726" t="str">
            <v>Professional Service</v>
          </cell>
          <cell r="N4726" t="str">
            <v>SG&amp;A</v>
          </cell>
          <cell r="O4726" t="str">
            <v>The Wave IP Law Firm</v>
          </cell>
        </row>
        <row r="4727">
          <cell r="D4727">
            <v>0</v>
          </cell>
          <cell r="H4727">
            <v>45597</v>
          </cell>
          <cell r="I4727" t="str">
            <v>6205 - Contractors</v>
          </cell>
          <cell r="J4727">
            <v>0</v>
          </cell>
          <cell r="K4727" t="str">
            <v>Brand Marketing</v>
          </cell>
          <cell r="L4727" t="str">
            <v>HQ Salaries</v>
          </cell>
          <cell r="N4727" t="str">
            <v>SG&amp;A</v>
          </cell>
          <cell r="O4727" t="str">
            <v>[No Vendor]</v>
          </cell>
        </row>
        <row r="4728">
          <cell r="D4728">
            <v>-20851.8</v>
          </cell>
          <cell r="H4728">
            <v>45597</v>
          </cell>
          <cell r="I4728" t="str">
            <v>6205 - Contractors</v>
          </cell>
          <cell r="J4728" t="str">
            <v>Ecommerce (US)</v>
          </cell>
          <cell r="K4728" t="str">
            <v>Ecommerce</v>
          </cell>
          <cell r="L4728" t="str">
            <v>HQ Salaries</v>
          </cell>
          <cell r="N4728" t="str">
            <v>SG&amp;A</v>
          </cell>
          <cell r="O4728" t="str">
            <v>[No Vendor]</v>
          </cell>
        </row>
        <row r="4729">
          <cell r="D4729">
            <v>0</v>
          </cell>
          <cell r="H4729">
            <v>45597</v>
          </cell>
          <cell r="I4729" t="str">
            <v>6205 - Contractors</v>
          </cell>
          <cell r="J4729">
            <v>0</v>
          </cell>
          <cell r="K4729" t="str">
            <v>Design</v>
          </cell>
          <cell r="L4729" t="str">
            <v>HQ Salaries</v>
          </cell>
          <cell r="N4729" t="str">
            <v>SG&amp;A</v>
          </cell>
          <cell r="O4729" t="str">
            <v>[No Vendor]</v>
          </cell>
        </row>
        <row r="4730">
          <cell r="D4730">
            <v>18333.330000000002</v>
          </cell>
          <cell r="H4730">
            <v>45597</v>
          </cell>
          <cell r="I4730" t="str">
            <v>6205 - Contractors</v>
          </cell>
          <cell r="J4730">
            <v>0</v>
          </cell>
          <cell r="K4730" t="str">
            <v>Brand Marketing</v>
          </cell>
          <cell r="L4730" t="str">
            <v>HQ Salaries</v>
          </cell>
          <cell r="N4730" t="str">
            <v>SG&amp;A</v>
          </cell>
          <cell r="O4730" t="str">
            <v>[No Vendor]</v>
          </cell>
        </row>
        <row r="4731">
          <cell r="D4731">
            <v>20851.8</v>
          </cell>
          <cell r="H4731">
            <v>45597</v>
          </cell>
          <cell r="I4731" t="str">
            <v>6205 - Contractors</v>
          </cell>
          <cell r="J4731" t="str">
            <v>Ecommerce (US)</v>
          </cell>
          <cell r="K4731" t="str">
            <v>Ecommerce</v>
          </cell>
          <cell r="L4731" t="str">
            <v>HQ Salaries</v>
          </cell>
          <cell r="N4731" t="str">
            <v>SG&amp;A</v>
          </cell>
          <cell r="O4731" t="str">
            <v>[No Vendor]</v>
          </cell>
        </row>
        <row r="4732">
          <cell r="D4732">
            <v>0</v>
          </cell>
          <cell r="H4732">
            <v>45597</v>
          </cell>
          <cell r="I4732" t="str">
            <v>6205 - Contractors</v>
          </cell>
          <cell r="J4732">
            <v>0</v>
          </cell>
          <cell r="K4732" t="str">
            <v>Design</v>
          </cell>
          <cell r="L4732" t="str">
            <v>HQ Salaries</v>
          </cell>
          <cell r="N4732" t="str">
            <v>SG&amp;A</v>
          </cell>
          <cell r="O4732" t="str">
            <v>[No Vendor]</v>
          </cell>
        </row>
        <row r="4733">
          <cell r="D4733">
            <v>-860.58</v>
          </cell>
          <cell r="H4733">
            <v>45597</v>
          </cell>
          <cell r="I4733" t="str">
            <v>6450 - Bank &amp; Other Fees</v>
          </cell>
          <cell r="J4733" t="str">
            <v>Ecommerce (EU)</v>
          </cell>
          <cell r="K4733" t="str">
            <v>Ecommerce</v>
          </cell>
          <cell r="L4733" t="str">
            <v>Professional Service</v>
          </cell>
          <cell r="N4733" t="str">
            <v>Direct Costs</v>
          </cell>
          <cell r="O4733" t="str">
            <v>[No Vendor]</v>
          </cell>
        </row>
        <row r="4734">
          <cell r="D4734">
            <v>1449.7</v>
          </cell>
          <cell r="H4734">
            <v>45597</v>
          </cell>
          <cell r="I4734" t="str">
            <v>6385 - Insurance</v>
          </cell>
          <cell r="J4734">
            <v>0</v>
          </cell>
          <cell r="K4734" t="str">
            <v>Administration</v>
          </cell>
          <cell r="L4734" t="str">
            <v>Professional Service</v>
          </cell>
          <cell r="N4734" t="str">
            <v>SG&amp;A</v>
          </cell>
          <cell r="O4734" t="str">
            <v>[No Vendor]</v>
          </cell>
        </row>
        <row r="4735">
          <cell r="D4735">
            <v>-4811</v>
          </cell>
          <cell r="H4735">
            <v>45597</v>
          </cell>
          <cell r="I4735" t="str">
            <v>6385 - Insurance</v>
          </cell>
          <cell r="J4735">
            <v>0</v>
          </cell>
          <cell r="K4735" t="str">
            <v>Administration</v>
          </cell>
          <cell r="L4735" t="str">
            <v>Professional Service</v>
          </cell>
          <cell r="N4735" t="str">
            <v>SG&amp;A</v>
          </cell>
          <cell r="O4735" t="str">
            <v>[No Vendor]</v>
          </cell>
        </row>
        <row r="4736">
          <cell r="D4736">
            <v>1.68</v>
          </cell>
          <cell r="H4736">
            <v>45597</v>
          </cell>
          <cell r="I4736" t="str">
            <v>6385 - Insurance</v>
          </cell>
          <cell r="J4736">
            <v>0</v>
          </cell>
          <cell r="K4736" t="str">
            <v>Administration</v>
          </cell>
          <cell r="L4736" t="str">
            <v>Professional Service</v>
          </cell>
          <cell r="N4736" t="str">
            <v>SG&amp;A</v>
          </cell>
          <cell r="O4736" t="str">
            <v>[No Vendor]</v>
          </cell>
        </row>
        <row r="4737">
          <cell r="D4737">
            <v>17.8</v>
          </cell>
          <cell r="H4737">
            <v>45597</v>
          </cell>
          <cell r="I4737" t="str">
            <v>6385 - Insurance</v>
          </cell>
          <cell r="J4737">
            <v>0</v>
          </cell>
          <cell r="K4737" t="str">
            <v>Administration</v>
          </cell>
          <cell r="L4737" t="str">
            <v>Professional Service</v>
          </cell>
          <cell r="N4737" t="str">
            <v>SG&amp;A</v>
          </cell>
          <cell r="O4737" t="str">
            <v>[No Vendor]</v>
          </cell>
        </row>
        <row r="4738">
          <cell r="D4738">
            <v>41.38</v>
          </cell>
          <cell r="H4738">
            <v>45597</v>
          </cell>
          <cell r="I4738" t="str">
            <v>6385 - Insurance</v>
          </cell>
          <cell r="J4738">
            <v>0</v>
          </cell>
          <cell r="K4738" t="str">
            <v>Administration</v>
          </cell>
          <cell r="L4738" t="str">
            <v>Professional Service</v>
          </cell>
          <cell r="N4738" t="str">
            <v>SG&amp;A</v>
          </cell>
          <cell r="O4738" t="str">
            <v>[No Vendor]</v>
          </cell>
        </row>
        <row r="4739">
          <cell r="D4739">
            <v>18.75</v>
          </cell>
          <cell r="H4739">
            <v>45597</v>
          </cell>
          <cell r="I4739" t="str">
            <v>6385 - Insurance</v>
          </cell>
          <cell r="J4739">
            <v>0</v>
          </cell>
          <cell r="K4739" t="str">
            <v>Administration</v>
          </cell>
          <cell r="L4739" t="str">
            <v>Professional Service</v>
          </cell>
          <cell r="N4739" t="str">
            <v>SG&amp;A</v>
          </cell>
          <cell r="O4739" t="str">
            <v>[No Vendor]</v>
          </cell>
        </row>
        <row r="4740">
          <cell r="D4740">
            <v>59.92</v>
          </cell>
          <cell r="H4740">
            <v>45597</v>
          </cell>
          <cell r="I4740" t="str">
            <v>6385 - Insurance</v>
          </cell>
          <cell r="J4740">
            <v>0</v>
          </cell>
          <cell r="K4740" t="str">
            <v>Administration</v>
          </cell>
          <cell r="L4740" t="str">
            <v>Professional Service</v>
          </cell>
          <cell r="N4740" t="str">
            <v>SG&amp;A</v>
          </cell>
          <cell r="O4740" t="str">
            <v>[No Vendor]</v>
          </cell>
        </row>
        <row r="4741">
          <cell r="D4741">
            <v>34.229999999999997</v>
          </cell>
          <cell r="H4741">
            <v>45597</v>
          </cell>
          <cell r="I4741" t="str">
            <v>6385 - Insurance</v>
          </cell>
          <cell r="J4741">
            <v>0</v>
          </cell>
          <cell r="K4741" t="str">
            <v>Administration</v>
          </cell>
          <cell r="L4741" t="str">
            <v>Professional Service</v>
          </cell>
          <cell r="N4741" t="str">
            <v>SG&amp;A</v>
          </cell>
          <cell r="O4741" t="str">
            <v>[No Vendor]</v>
          </cell>
        </row>
        <row r="4742">
          <cell r="D4742">
            <v>55.31</v>
          </cell>
          <cell r="H4742">
            <v>45597</v>
          </cell>
          <cell r="I4742" t="str">
            <v>6385 - Insurance</v>
          </cell>
          <cell r="J4742">
            <v>0</v>
          </cell>
          <cell r="K4742" t="str">
            <v>Administration</v>
          </cell>
          <cell r="L4742" t="str">
            <v>Professional Service</v>
          </cell>
          <cell r="N4742" t="str">
            <v>SG&amp;A</v>
          </cell>
          <cell r="O4742" t="str">
            <v>[No Vendor]</v>
          </cell>
        </row>
        <row r="4743">
          <cell r="D4743">
            <v>56.34</v>
          </cell>
          <cell r="H4743">
            <v>45597</v>
          </cell>
          <cell r="I4743" t="str">
            <v>6385 - Insurance</v>
          </cell>
          <cell r="J4743">
            <v>0</v>
          </cell>
          <cell r="K4743" t="str">
            <v>Administration</v>
          </cell>
          <cell r="L4743" t="str">
            <v>Professional Service</v>
          </cell>
          <cell r="N4743" t="str">
            <v>SG&amp;A</v>
          </cell>
          <cell r="O4743" t="str">
            <v>[No Vendor]</v>
          </cell>
        </row>
        <row r="4744">
          <cell r="D4744">
            <v>-1.2</v>
          </cell>
          <cell r="H4744">
            <v>45597</v>
          </cell>
          <cell r="I4744" t="str">
            <v>6385 - Insurance</v>
          </cell>
          <cell r="J4744">
            <v>0</v>
          </cell>
          <cell r="K4744" t="str">
            <v>Administration</v>
          </cell>
          <cell r="L4744" t="str">
            <v>Professional Service</v>
          </cell>
          <cell r="N4744" t="str">
            <v>SG&amp;A</v>
          </cell>
          <cell r="O4744" t="str">
            <v>[No Vendor]</v>
          </cell>
        </row>
        <row r="4745">
          <cell r="D4745">
            <v>-12.71</v>
          </cell>
          <cell r="H4745">
            <v>45597</v>
          </cell>
          <cell r="I4745" t="str">
            <v>6385 - Insurance</v>
          </cell>
          <cell r="J4745">
            <v>0</v>
          </cell>
          <cell r="K4745" t="str">
            <v>Administration</v>
          </cell>
          <cell r="L4745" t="str">
            <v>Professional Service</v>
          </cell>
          <cell r="N4745" t="str">
            <v>SG&amp;A</v>
          </cell>
          <cell r="O4745" t="str">
            <v>[No Vendor]</v>
          </cell>
        </row>
        <row r="4746">
          <cell r="D4746">
            <v>-29.56</v>
          </cell>
          <cell r="H4746">
            <v>45597</v>
          </cell>
          <cell r="I4746" t="str">
            <v>6385 - Insurance</v>
          </cell>
          <cell r="J4746">
            <v>0</v>
          </cell>
          <cell r="K4746" t="str">
            <v>Administration</v>
          </cell>
          <cell r="L4746" t="str">
            <v>Professional Service</v>
          </cell>
          <cell r="N4746" t="str">
            <v>SG&amp;A</v>
          </cell>
          <cell r="O4746" t="str">
            <v>[No Vendor]</v>
          </cell>
        </row>
        <row r="4747">
          <cell r="D4747">
            <v>-13.39</v>
          </cell>
          <cell r="H4747">
            <v>45597</v>
          </cell>
          <cell r="I4747" t="str">
            <v>6385 - Insurance</v>
          </cell>
          <cell r="J4747">
            <v>0</v>
          </cell>
          <cell r="K4747" t="str">
            <v>Administration</v>
          </cell>
          <cell r="L4747" t="str">
            <v>Professional Service</v>
          </cell>
          <cell r="N4747" t="str">
            <v>SG&amp;A</v>
          </cell>
          <cell r="O4747" t="str">
            <v>[No Vendor]</v>
          </cell>
        </row>
        <row r="4748">
          <cell r="D4748">
            <v>-42.8</v>
          </cell>
          <cell r="H4748">
            <v>45597</v>
          </cell>
          <cell r="I4748" t="str">
            <v>6385 - Insurance</v>
          </cell>
          <cell r="J4748">
            <v>0</v>
          </cell>
          <cell r="K4748" t="str">
            <v>Administration</v>
          </cell>
          <cell r="L4748" t="str">
            <v>Professional Service</v>
          </cell>
          <cell r="N4748" t="str">
            <v>SG&amp;A</v>
          </cell>
          <cell r="O4748" t="str">
            <v>[No Vendor]</v>
          </cell>
        </row>
        <row r="4749">
          <cell r="D4749">
            <v>-24.45</v>
          </cell>
          <cell r="H4749">
            <v>45597</v>
          </cell>
          <cell r="I4749" t="str">
            <v>6385 - Insurance</v>
          </cell>
          <cell r="J4749">
            <v>0</v>
          </cell>
          <cell r="K4749" t="str">
            <v>Administration</v>
          </cell>
          <cell r="L4749" t="str">
            <v>Professional Service</v>
          </cell>
          <cell r="N4749" t="str">
            <v>SG&amp;A</v>
          </cell>
          <cell r="O4749" t="str">
            <v>[No Vendor]</v>
          </cell>
        </row>
        <row r="4750">
          <cell r="D4750">
            <v>-39.51</v>
          </cell>
          <cell r="H4750">
            <v>45597</v>
          </cell>
          <cell r="I4750" t="str">
            <v>6385 - Insurance</v>
          </cell>
          <cell r="J4750">
            <v>0</v>
          </cell>
          <cell r="K4750" t="str">
            <v>Administration</v>
          </cell>
          <cell r="L4750" t="str">
            <v>Professional Service</v>
          </cell>
          <cell r="N4750" t="str">
            <v>SG&amp;A</v>
          </cell>
          <cell r="O4750" t="str">
            <v>[No Vendor]</v>
          </cell>
        </row>
        <row r="4751">
          <cell r="D4751">
            <v>-40.24</v>
          </cell>
          <cell r="H4751">
            <v>45597</v>
          </cell>
          <cell r="I4751" t="str">
            <v>6385 - Insurance</v>
          </cell>
          <cell r="J4751">
            <v>0</v>
          </cell>
          <cell r="K4751" t="str">
            <v>Administration</v>
          </cell>
          <cell r="L4751" t="str">
            <v>Professional Service</v>
          </cell>
          <cell r="N4751" t="str">
            <v>SG&amp;A</v>
          </cell>
          <cell r="O4751" t="str">
            <v>[No Vendor]</v>
          </cell>
        </row>
        <row r="4752">
          <cell r="D4752">
            <v>-458.45</v>
          </cell>
          <cell r="H4752">
            <v>45597</v>
          </cell>
          <cell r="I4752" t="str">
            <v>6400 - Utilities</v>
          </cell>
          <cell r="J4752">
            <v>0</v>
          </cell>
          <cell r="K4752" t="str">
            <v>Administration</v>
          </cell>
          <cell r="L4752" t="str">
            <v>Other</v>
          </cell>
          <cell r="N4752" t="str">
            <v>SG&amp;A</v>
          </cell>
          <cell r="O4752" t="str">
            <v>[No Vendor]</v>
          </cell>
        </row>
        <row r="4753">
          <cell r="D4753">
            <v>-811.13</v>
          </cell>
          <cell r="H4753">
            <v>45597</v>
          </cell>
          <cell r="I4753" t="str">
            <v>6055 - Employer Social Security Tax Withheld</v>
          </cell>
          <cell r="J4753">
            <v>0</v>
          </cell>
          <cell r="K4753" t="str">
            <v>Merchandising</v>
          </cell>
          <cell r="L4753" t="str">
            <v>HQ Salaries</v>
          </cell>
          <cell r="N4753" t="str">
            <v>SG&amp;A</v>
          </cell>
          <cell r="O4753" t="str">
            <v>[No Vendor]</v>
          </cell>
        </row>
        <row r="4754">
          <cell r="D4754">
            <v>-1908.17</v>
          </cell>
          <cell r="H4754">
            <v>45597</v>
          </cell>
          <cell r="I4754" t="str">
            <v>6055 - Employer Social Security Tax Withheld</v>
          </cell>
          <cell r="J4754" t="str">
            <v>Wholesale</v>
          </cell>
          <cell r="K4754" t="str">
            <v>Wholesale</v>
          </cell>
          <cell r="L4754" t="str">
            <v>HQ Salaries</v>
          </cell>
          <cell r="N4754" t="str">
            <v>SG&amp;A</v>
          </cell>
          <cell r="O4754" t="str">
            <v>[No Vendor]</v>
          </cell>
        </row>
        <row r="4755">
          <cell r="D4755">
            <v>-2042.18</v>
          </cell>
          <cell r="H4755">
            <v>45597</v>
          </cell>
          <cell r="I4755" t="str">
            <v>6055 - Employer Social Security Tax Withheld</v>
          </cell>
          <cell r="J4755">
            <v>0</v>
          </cell>
          <cell r="K4755" t="str">
            <v>Production</v>
          </cell>
          <cell r="L4755" t="str">
            <v>HQ Salaries</v>
          </cell>
          <cell r="N4755" t="str">
            <v>SG&amp;A</v>
          </cell>
          <cell r="O4755" t="str">
            <v>[No Vendor]</v>
          </cell>
        </row>
        <row r="4756">
          <cell r="D4756">
            <v>-512.29999999999995</v>
          </cell>
          <cell r="H4756">
            <v>45597</v>
          </cell>
          <cell r="I4756" t="str">
            <v>6055 - Employer Social Security Tax Withheld</v>
          </cell>
          <cell r="J4756">
            <v>0</v>
          </cell>
          <cell r="K4756" t="str">
            <v>Brand Marketing</v>
          </cell>
          <cell r="L4756" t="str">
            <v>HQ Salaries</v>
          </cell>
          <cell r="N4756" t="str">
            <v>SG&amp;A</v>
          </cell>
          <cell r="O4756" t="str">
            <v>[No Vendor]</v>
          </cell>
        </row>
        <row r="4757">
          <cell r="D4757">
            <v>-1654.76</v>
          </cell>
          <cell r="H4757">
            <v>45597</v>
          </cell>
          <cell r="I4757" t="str">
            <v>6055 - Employer Social Security Tax Withheld</v>
          </cell>
          <cell r="J4757">
            <v>0</v>
          </cell>
          <cell r="K4757" t="str">
            <v>Executive</v>
          </cell>
          <cell r="L4757" t="str">
            <v>HQ Salaries</v>
          </cell>
          <cell r="N4757" t="str">
            <v>SG&amp;A</v>
          </cell>
          <cell r="O4757" t="str">
            <v>[No Vendor]</v>
          </cell>
        </row>
        <row r="4758">
          <cell r="D4758">
            <v>-2254.11</v>
          </cell>
          <cell r="H4758">
            <v>45597</v>
          </cell>
          <cell r="I4758" t="str">
            <v>6055 - Employer Social Security Tax Withheld</v>
          </cell>
          <cell r="J4758" t="str">
            <v>Ecommerce (US)</v>
          </cell>
          <cell r="K4758" t="str">
            <v>Ecommerce</v>
          </cell>
          <cell r="L4758" t="str">
            <v>HQ Salaries</v>
          </cell>
          <cell r="N4758" t="str">
            <v>SG&amp;A</v>
          </cell>
          <cell r="O4758" t="str">
            <v>[No Vendor]</v>
          </cell>
        </row>
        <row r="4759">
          <cell r="D4759">
            <v>-2533.4499999999998</v>
          </cell>
          <cell r="H4759">
            <v>45597</v>
          </cell>
          <cell r="I4759" t="str">
            <v>6055 - Employer Social Security Tax Withheld</v>
          </cell>
          <cell r="J4759">
            <v>0</v>
          </cell>
          <cell r="K4759" t="str">
            <v>Design</v>
          </cell>
          <cell r="L4759" t="str">
            <v>HQ Salaries</v>
          </cell>
          <cell r="N4759" t="str">
            <v>SG&amp;A</v>
          </cell>
          <cell r="O4759" t="str">
            <v>[No Vendor]</v>
          </cell>
        </row>
        <row r="4760">
          <cell r="D4760">
            <v>-2678.37</v>
          </cell>
          <cell r="H4760">
            <v>45597</v>
          </cell>
          <cell r="I4760" t="str">
            <v>6055 - Employer Social Security Tax Withheld</v>
          </cell>
          <cell r="J4760">
            <v>0</v>
          </cell>
          <cell r="K4760" t="str">
            <v>Administration</v>
          </cell>
          <cell r="L4760" t="str">
            <v>HQ Salaries</v>
          </cell>
          <cell r="N4760" t="str">
            <v>SG&amp;A</v>
          </cell>
          <cell r="O4760" t="str">
            <v>[No Vendor]</v>
          </cell>
        </row>
        <row r="4761">
          <cell r="D4761">
            <v>579.38</v>
          </cell>
          <cell r="H4761">
            <v>45597</v>
          </cell>
          <cell r="I4761" t="str">
            <v>6055 - Employer Social Security Tax Withheld</v>
          </cell>
          <cell r="J4761">
            <v>0</v>
          </cell>
          <cell r="K4761" t="str">
            <v>Merchandising</v>
          </cell>
          <cell r="L4761" t="str">
            <v>HQ Salaries</v>
          </cell>
          <cell r="N4761" t="str">
            <v>SG&amp;A</v>
          </cell>
          <cell r="O4761" t="str">
            <v>[No Vendor]</v>
          </cell>
        </row>
        <row r="4762">
          <cell r="D4762">
            <v>1362.98</v>
          </cell>
          <cell r="H4762">
            <v>45597</v>
          </cell>
          <cell r="I4762" t="str">
            <v>6055 - Employer Social Security Tax Withheld</v>
          </cell>
          <cell r="J4762" t="str">
            <v>Wholesale</v>
          </cell>
          <cell r="K4762" t="str">
            <v>Wholesale</v>
          </cell>
          <cell r="L4762" t="str">
            <v>HQ Salaries</v>
          </cell>
          <cell r="N4762" t="str">
            <v>SG&amp;A</v>
          </cell>
          <cell r="O4762" t="str">
            <v>[No Vendor]</v>
          </cell>
        </row>
        <row r="4763">
          <cell r="D4763">
            <v>1458.7</v>
          </cell>
          <cell r="H4763">
            <v>45597</v>
          </cell>
          <cell r="I4763" t="str">
            <v>6055 - Employer Social Security Tax Withheld</v>
          </cell>
          <cell r="J4763">
            <v>0</v>
          </cell>
          <cell r="K4763" t="str">
            <v>Production</v>
          </cell>
          <cell r="L4763" t="str">
            <v>HQ Salaries</v>
          </cell>
          <cell r="N4763" t="str">
            <v>SG&amp;A</v>
          </cell>
          <cell r="O4763" t="str">
            <v>[No Vendor]</v>
          </cell>
        </row>
        <row r="4764">
          <cell r="D4764">
            <v>365.93</v>
          </cell>
          <cell r="H4764">
            <v>45597</v>
          </cell>
          <cell r="I4764" t="str">
            <v>6055 - Employer Social Security Tax Withheld</v>
          </cell>
          <cell r="J4764">
            <v>0</v>
          </cell>
          <cell r="K4764" t="str">
            <v>Brand Marketing</v>
          </cell>
          <cell r="L4764" t="str">
            <v>HQ Salaries</v>
          </cell>
          <cell r="N4764" t="str">
            <v>SG&amp;A</v>
          </cell>
          <cell r="O4764" t="str">
            <v>[No Vendor]</v>
          </cell>
        </row>
        <row r="4765">
          <cell r="D4765">
            <v>1181.97</v>
          </cell>
          <cell r="H4765">
            <v>45597</v>
          </cell>
          <cell r="I4765" t="str">
            <v>6055 - Employer Social Security Tax Withheld</v>
          </cell>
          <cell r="J4765">
            <v>0</v>
          </cell>
          <cell r="K4765" t="str">
            <v>Executive</v>
          </cell>
          <cell r="L4765" t="str">
            <v>HQ Salaries</v>
          </cell>
          <cell r="N4765" t="str">
            <v>SG&amp;A</v>
          </cell>
          <cell r="O4765" t="str">
            <v>[No Vendor]</v>
          </cell>
        </row>
        <row r="4766">
          <cell r="D4766">
            <v>1610.08</v>
          </cell>
          <cell r="H4766">
            <v>45597</v>
          </cell>
          <cell r="I4766" t="str">
            <v>6055 - Employer Social Security Tax Withheld</v>
          </cell>
          <cell r="J4766" t="str">
            <v>Ecommerce (US)</v>
          </cell>
          <cell r="K4766" t="str">
            <v>Ecommerce</v>
          </cell>
          <cell r="L4766" t="str">
            <v>HQ Salaries</v>
          </cell>
          <cell r="N4766" t="str">
            <v>SG&amp;A</v>
          </cell>
          <cell r="O4766" t="str">
            <v>[No Vendor]</v>
          </cell>
        </row>
        <row r="4767">
          <cell r="D4767">
            <v>1809.61</v>
          </cell>
          <cell r="H4767">
            <v>45597</v>
          </cell>
          <cell r="I4767" t="str">
            <v>6055 - Employer Social Security Tax Withheld</v>
          </cell>
          <cell r="J4767">
            <v>0</v>
          </cell>
          <cell r="K4767" t="str">
            <v>Design</v>
          </cell>
          <cell r="L4767" t="str">
            <v>HQ Salaries</v>
          </cell>
          <cell r="N4767" t="str">
            <v>SG&amp;A</v>
          </cell>
          <cell r="O4767" t="str">
            <v>[No Vendor]</v>
          </cell>
        </row>
        <row r="4768">
          <cell r="D4768">
            <v>1913.12</v>
          </cell>
          <cell r="H4768">
            <v>45597</v>
          </cell>
          <cell r="I4768" t="str">
            <v>6055 - Employer Social Security Tax Withheld</v>
          </cell>
          <cell r="J4768">
            <v>0</v>
          </cell>
          <cell r="K4768" t="str">
            <v>Administration</v>
          </cell>
          <cell r="L4768" t="str">
            <v>HQ Salaries</v>
          </cell>
          <cell r="N4768" t="str">
            <v>SG&amp;A</v>
          </cell>
          <cell r="O4768" t="str">
            <v>[No Vendor]</v>
          </cell>
        </row>
        <row r="4769">
          <cell r="D4769">
            <v>-20944.740000000002</v>
          </cell>
          <cell r="H4769">
            <v>45597</v>
          </cell>
          <cell r="I4769" t="str">
            <v>6375 - Freight Expenses</v>
          </cell>
          <cell r="J4769" t="str">
            <v>Ecommerce (US)</v>
          </cell>
          <cell r="K4769" t="str">
            <v>Ecommerce</v>
          </cell>
          <cell r="L4769" t="str">
            <v>Freight</v>
          </cell>
          <cell r="N4769" t="str">
            <v>Direct Costs</v>
          </cell>
          <cell r="O4769" t="str">
            <v>UPS Supply Chain Solutions Inc. (7F24A0)</v>
          </cell>
        </row>
        <row r="4770">
          <cell r="D4770">
            <v>-1050.4000000000001</v>
          </cell>
          <cell r="H4770">
            <v>45597</v>
          </cell>
          <cell r="I4770" t="str">
            <v>6375 - Freight Expenses</v>
          </cell>
          <cell r="J4770" t="str">
            <v>Ecommerce (EU)</v>
          </cell>
          <cell r="K4770" t="str">
            <v>Ecommerce</v>
          </cell>
          <cell r="L4770" t="str">
            <v>Freight</v>
          </cell>
          <cell r="N4770" t="str">
            <v>Direct Costs</v>
          </cell>
          <cell r="O4770" t="str">
            <v>Global E</v>
          </cell>
        </row>
        <row r="4771">
          <cell r="D4771">
            <v>63.22</v>
          </cell>
          <cell r="H4771">
            <v>45597</v>
          </cell>
          <cell r="I4771" t="str">
            <v>6040 - Employer Paid Benefits</v>
          </cell>
          <cell r="J4771" t="str">
            <v>Wholesale</v>
          </cell>
          <cell r="K4771" t="str">
            <v>Wholesale</v>
          </cell>
          <cell r="L4771" t="str">
            <v>HQ Salaries</v>
          </cell>
          <cell r="N4771" t="str">
            <v>SG&amp;A</v>
          </cell>
          <cell r="O4771" t="str">
            <v>[No Vendor]</v>
          </cell>
        </row>
        <row r="4772">
          <cell r="D4772">
            <v>399.87</v>
          </cell>
          <cell r="H4772">
            <v>45597</v>
          </cell>
          <cell r="I4772" t="str">
            <v>6040 - Employer Paid Benefits</v>
          </cell>
          <cell r="J4772">
            <v>0</v>
          </cell>
          <cell r="K4772" t="str">
            <v>Production</v>
          </cell>
          <cell r="L4772" t="str">
            <v>HQ Salaries</v>
          </cell>
          <cell r="N4772" t="str">
            <v>SG&amp;A</v>
          </cell>
          <cell r="O4772" t="str">
            <v>[No Vendor]</v>
          </cell>
        </row>
        <row r="4773">
          <cell r="D4773">
            <v>31.61</v>
          </cell>
          <cell r="H4773">
            <v>45597</v>
          </cell>
          <cell r="I4773" t="str">
            <v>6040 - Employer Paid Benefits</v>
          </cell>
          <cell r="J4773">
            <v>0</v>
          </cell>
          <cell r="K4773" t="str">
            <v>Brand Marketing</v>
          </cell>
          <cell r="L4773" t="str">
            <v>HQ Salaries</v>
          </cell>
          <cell r="N4773" t="str">
            <v>SG&amp;A</v>
          </cell>
          <cell r="O4773" t="str">
            <v>[No Vendor]</v>
          </cell>
        </row>
        <row r="4774">
          <cell r="D4774">
            <v>327.98</v>
          </cell>
          <cell r="H4774">
            <v>45597</v>
          </cell>
          <cell r="I4774" t="str">
            <v>6040 - Employer Paid Benefits</v>
          </cell>
          <cell r="J4774">
            <v>0</v>
          </cell>
          <cell r="K4774" t="str">
            <v>Executive</v>
          </cell>
          <cell r="L4774" t="str">
            <v>HQ Salaries</v>
          </cell>
          <cell r="N4774" t="str">
            <v>SG&amp;A</v>
          </cell>
          <cell r="O4774" t="str">
            <v>[No Vendor]</v>
          </cell>
        </row>
        <row r="4775">
          <cell r="D4775">
            <v>170.59</v>
          </cell>
          <cell r="H4775">
            <v>45597</v>
          </cell>
          <cell r="I4775" t="str">
            <v>6040 - Employer Paid Benefits</v>
          </cell>
          <cell r="J4775" t="str">
            <v>Ecommerce (US)</v>
          </cell>
          <cell r="K4775" t="str">
            <v>Ecommerce</v>
          </cell>
          <cell r="L4775" t="str">
            <v>HQ Salaries</v>
          </cell>
          <cell r="N4775" t="str">
            <v>SG&amp;A</v>
          </cell>
          <cell r="O4775" t="str">
            <v>[No Vendor]</v>
          </cell>
        </row>
        <row r="4776">
          <cell r="D4776">
            <v>508.8</v>
          </cell>
          <cell r="H4776">
            <v>45597</v>
          </cell>
          <cell r="I4776" t="str">
            <v>6040 - Employer Paid Benefits</v>
          </cell>
          <cell r="J4776">
            <v>0</v>
          </cell>
          <cell r="K4776" t="str">
            <v>Design</v>
          </cell>
          <cell r="L4776" t="str">
            <v>HQ Salaries</v>
          </cell>
          <cell r="N4776" t="str">
            <v>SG&amp;A</v>
          </cell>
          <cell r="O4776" t="str">
            <v>[No Vendor]</v>
          </cell>
        </row>
        <row r="4777">
          <cell r="D4777">
            <v>280.54000000000002</v>
          </cell>
          <cell r="H4777">
            <v>45597</v>
          </cell>
          <cell r="I4777" t="str">
            <v>6040 - Employer Paid Benefits</v>
          </cell>
          <cell r="J4777">
            <v>0</v>
          </cell>
          <cell r="K4777" t="str">
            <v>Administration</v>
          </cell>
          <cell r="L4777" t="str">
            <v>HQ Salaries</v>
          </cell>
          <cell r="N4777" t="str">
            <v>SG&amp;A</v>
          </cell>
          <cell r="O4777" t="str">
            <v>[No Vendor]</v>
          </cell>
        </row>
        <row r="4778">
          <cell r="D4778">
            <v>-45.16</v>
          </cell>
          <cell r="H4778">
            <v>45597</v>
          </cell>
          <cell r="I4778" t="str">
            <v>6040 - Employer Paid Benefits</v>
          </cell>
          <cell r="J4778" t="str">
            <v>Wholesale</v>
          </cell>
          <cell r="K4778" t="str">
            <v>Wholesale</v>
          </cell>
          <cell r="L4778" t="str">
            <v>HQ Salaries</v>
          </cell>
          <cell r="N4778" t="str">
            <v>SG&amp;A</v>
          </cell>
          <cell r="O4778" t="str">
            <v>[No Vendor]</v>
          </cell>
        </row>
        <row r="4779">
          <cell r="D4779">
            <v>-285.62</v>
          </cell>
          <cell r="H4779">
            <v>45597</v>
          </cell>
          <cell r="I4779" t="str">
            <v>6040 - Employer Paid Benefits</v>
          </cell>
          <cell r="J4779">
            <v>0</v>
          </cell>
          <cell r="K4779" t="str">
            <v>Production</v>
          </cell>
          <cell r="L4779" t="str">
            <v>HQ Salaries</v>
          </cell>
          <cell r="N4779" t="str">
            <v>SG&amp;A</v>
          </cell>
          <cell r="O4779" t="str">
            <v>[No Vendor]</v>
          </cell>
        </row>
        <row r="4780">
          <cell r="D4780">
            <v>-22.58</v>
          </cell>
          <cell r="H4780">
            <v>45597</v>
          </cell>
          <cell r="I4780" t="str">
            <v>6040 - Employer Paid Benefits</v>
          </cell>
          <cell r="J4780">
            <v>0</v>
          </cell>
          <cell r="K4780" t="str">
            <v>Brand Marketing</v>
          </cell>
          <cell r="L4780" t="str">
            <v>HQ Salaries</v>
          </cell>
          <cell r="N4780" t="str">
            <v>SG&amp;A</v>
          </cell>
          <cell r="O4780" t="str">
            <v>[No Vendor]</v>
          </cell>
        </row>
        <row r="4781">
          <cell r="D4781">
            <v>-234.27</v>
          </cell>
          <cell r="H4781">
            <v>45597</v>
          </cell>
          <cell r="I4781" t="str">
            <v>6040 - Employer Paid Benefits</v>
          </cell>
          <cell r="J4781">
            <v>0</v>
          </cell>
          <cell r="K4781" t="str">
            <v>Executive</v>
          </cell>
          <cell r="L4781" t="str">
            <v>HQ Salaries</v>
          </cell>
          <cell r="N4781" t="str">
            <v>SG&amp;A</v>
          </cell>
          <cell r="O4781" t="str">
            <v>[No Vendor]</v>
          </cell>
        </row>
        <row r="4782">
          <cell r="D4782">
            <v>-121.85</v>
          </cell>
          <cell r="H4782">
            <v>45597</v>
          </cell>
          <cell r="I4782" t="str">
            <v>6040 - Employer Paid Benefits</v>
          </cell>
          <cell r="J4782" t="str">
            <v>Ecommerce (US)</v>
          </cell>
          <cell r="K4782" t="str">
            <v>Ecommerce</v>
          </cell>
          <cell r="L4782" t="str">
            <v>HQ Salaries</v>
          </cell>
          <cell r="N4782" t="str">
            <v>SG&amp;A</v>
          </cell>
          <cell r="O4782" t="str">
            <v>[No Vendor]</v>
          </cell>
        </row>
        <row r="4783">
          <cell r="D4783">
            <v>-363.43</v>
          </cell>
          <cell r="H4783">
            <v>45597</v>
          </cell>
          <cell r="I4783" t="str">
            <v>6040 - Employer Paid Benefits</v>
          </cell>
          <cell r="J4783">
            <v>0</v>
          </cell>
          <cell r="K4783" t="str">
            <v>Design</v>
          </cell>
          <cell r="L4783" t="str">
            <v>HQ Salaries</v>
          </cell>
          <cell r="N4783" t="str">
            <v>SG&amp;A</v>
          </cell>
          <cell r="O4783" t="str">
            <v>[No Vendor]</v>
          </cell>
        </row>
        <row r="4784">
          <cell r="D4784">
            <v>-200.39</v>
          </cell>
          <cell r="H4784">
            <v>45597</v>
          </cell>
          <cell r="I4784" t="str">
            <v>6040 - Employer Paid Benefits</v>
          </cell>
          <cell r="J4784">
            <v>0</v>
          </cell>
          <cell r="K4784" t="str">
            <v>Administration</v>
          </cell>
          <cell r="L4784" t="str">
            <v>HQ Salaries</v>
          </cell>
          <cell r="N4784" t="str">
            <v>SG&amp;A</v>
          </cell>
          <cell r="O4784" t="str">
            <v>[No Vendor]</v>
          </cell>
        </row>
        <row r="4785">
          <cell r="D4785">
            <v>-7210</v>
          </cell>
          <cell r="H4785">
            <v>45597</v>
          </cell>
          <cell r="I4785" t="str">
            <v>6005 - Salaries</v>
          </cell>
          <cell r="J4785">
            <v>0</v>
          </cell>
          <cell r="K4785" t="str">
            <v>Merchandising</v>
          </cell>
          <cell r="L4785" t="str">
            <v>HQ Salaries</v>
          </cell>
          <cell r="N4785" t="str">
            <v>SG&amp;A</v>
          </cell>
          <cell r="O4785" t="str">
            <v>[No Vendor]</v>
          </cell>
        </row>
        <row r="4786">
          <cell r="D4786">
            <v>-15119.06</v>
          </cell>
          <cell r="H4786">
            <v>45597</v>
          </cell>
          <cell r="I4786" t="str">
            <v>6005 - Salaries</v>
          </cell>
          <cell r="J4786" t="str">
            <v>Wholesale</v>
          </cell>
          <cell r="K4786" t="str">
            <v>Wholesale</v>
          </cell>
          <cell r="L4786" t="str">
            <v>HQ Salaries</v>
          </cell>
          <cell r="N4786" t="str">
            <v>SG&amp;A</v>
          </cell>
          <cell r="O4786" t="str">
            <v>[No Vendor]</v>
          </cell>
        </row>
        <row r="4787">
          <cell r="D4787">
            <v>-27983.89</v>
          </cell>
          <cell r="H4787">
            <v>45597</v>
          </cell>
          <cell r="I4787" t="str">
            <v>6005 - Salaries</v>
          </cell>
          <cell r="J4787">
            <v>0</v>
          </cell>
          <cell r="K4787" t="str">
            <v>Production</v>
          </cell>
          <cell r="L4787" t="str">
            <v>HQ Salaries</v>
          </cell>
          <cell r="N4787" t="str">
            <v>SG&amp;A</v>
          </cell>
          <cell r="O4787" t="str">
            <v>[No Vendor]</v>
          </cell>
        </row>
        <row r="4788">
          <cell r="D4788">
            <v>-4576.9399999999996</v>
          </cell>
          <cell r="H4788">
            <v>45597</v>
          </cell>
          <cell r="I4788" t="str">
            <v>6005 - Salaries</v>
          </cell>
          <cell r="J4788">
            <v>0</v>
          </cell>
          <cell r="K4788" t="str">
            <v>Brand Marketing</v>
          </cell>
          <cell r="L4788" t="str">
            <v>HQ Salaries</v>
          </cell>
          <cell r="N4788" t="str">
            <v>SG&amp;A</v>
          </cell>
          <cell r="O4788" t="str">
            <v>[No Vendor]</v>
          </cell>
        </row>
        <row r="4789">
          <cell r="D4789">
            <v>-15615.39</v>
          </cell>
          <cell r="H4789">
            <v>45597</v>
          </cell>
          <cell r="I4789" t="str">
            <v>6005 - Salaries</v>
          </cell>
          <cell r="J4789">
            <v>0</v>
          </cell>
          <cell r="K4789" t="str">
            <v>Executive</v>
          </cell>
          <cell r="L4789" t="str">
            <v>HQ Salaries</v>
          </cell>
          <cell r="N4789" t="str">
            <v>SG&amp;A</v>
          </cell>
          <cell r="O4789" t="str">
            <v>[No Vendor]</v>
          </cell>
        </row>
        <row r="4790">
          <cell r="D4790">
            <v>-29093.119999999999</v>
          </cell>
          <cell r="H4790">
            <v>45597</v>
          </cell>
          <cell r="I4790" t="str">
            <v>6005 - Salaries</v>
          </cell>
          <cell r="J4790" t="str">
            <v>Ecommerce (US)</v>
          </cell>
          <cell r="K4790" t="str">
            <v>Ecommerce</v>
          </cell>
          <cell r="L4790" t="str">
            <v>HQ Salaries</v>
          </cell>
          <cell r="N4790" t="str">
            <v>SG&amp;A</v>
          </cell>
          <cell r="O4790" t="str">
            <v>[No Vendor]</v>
          </cell>
        </row>
        <row r="4791">
          <cell r="D4791">
            <v>-29200.78</v>
          </cell>
          <cell r="H4791">
            <v>45597</v>
          </cell>
          <cell r="I4791" t="str">
            <v>6005 - Salaries</v>
          </cell>
          <cell r="J4791">
            <v>0</v>
          </cell>
          <cell r="K4791" t="str">
            <v>Design</v>
          </cell>
          <cell r="L4791" t="str">
            <v>HQ Salaries</v>
          </cell>
          <cell r="N4791" t="str">
            <v>SG&amp;A</v>
          </cell>
          <cell r="O4791" t="str">
            <v>[No Vendor]</v>
          </cell>
        </row>
        <row r="4792">
          <cell r="D4792">
            <v>-36561.57</v>
          </cell>
          <cell r="H4792">
            <v>45597</v>
          </cell>
          <cell r="I4792" t="str">
            <v>6005 - Salaries</v>
          </cell>
          <cell r="J4792">
            <v>0</v>
          </cell>
          <cell r="K4792" t="str">
            <v>Administration</v>
          </cell>
          <cell r="L4792" t="str">
            <v>HQ Salaries</v>
          </cell>
          <cell r="N4792" t="str">
            <v>SG&amp;A</v>
          </cell>
          <cell r="O4792" t="str">
            <v>[No Vendor]</v>
          </cell>
        </row>
        <row r="4793">
          <cell r="D4793">
            <v>5150</v>
          </cell>
          <cell r="H4793">
            <v>45597</v>
          </cell>
          <cell r="I4793" t="str">
            <v>6005 - Salaries</v>
          </cell>
          <cell r="J4793">
            <v>0</v>
          </cell>
          <cell r="K4793" t="str">
            <v>Merchandising</v>
          </cell>
          <cell r="L4793" t="str">
            <v>HQ Salaries</v>
          </cell>
          <cell r="N4793" t="str">
            <v>SG&amp;A</v>
          </cell>
          <cell r="O4793" t="str">
            <v>[No Vendor]</v>
          </cell>
        </row>
        <row r="4794">
          <cell r="D4794">
            <v>11154.44</v>
          </cell>
          <cell r="H4794">
            <v>45597</v>
          </cell>
          <cell r="I4794" t="str">
            <v>6005 - Salaries</v>
          </cell>
          <cell r="J4794" t="str">
            <v>Wholesale</v>
          </cell>
          <cell r="K4794" t="str">
            <v>Wholesale</v>
          </cell>
          <cell r="L4794" t="str">
            <v>HQ Salaries</v>
          </cell>
          <cell r="N4794" t="str">
            <v>SG&amp;A</v>
          </cell>
          <cell r="O4794" t="str">
            <v>[No Vendor]</v>
          </cell>
        </row>
        <row r="4795">
          <cell r="D4795">
            <v>19988.490000000002</v>
          </cell>
          <cell r="H4795">
            <v>45597</v>
          </cell>
          <cell r="I4795" t="str">
            <v>6005 - Salaries</v>
          </cell>
          <cell r="J4795">
            <v>0</v>
          </cell>
          <cell r="K4795" t="str">
            <v>Production</v>
          </cell>
          <cell r="L4795" t="str">
            <v>HQ Salaries</v>
          </cell>
          <cell r="N4795" t="str">
            <v>SG&amp;A</v>
          </cell>
          <cell r="O4795" t="str">
            <v>[No Vendor]</v>
          </cell>
        </row>
        <row r="4796">
          <cell r="D4796">
            <v>3269.24</v>
          </cell>
          <cell r="H4796">
            <v>45597</v>
          </cell>
          <cell r="I4796" t="str">
            <v>6005 - Salaries</v>
          </cell>
          <cell r="J4796">
            <v>0</v>
          </cell>
          <cell r="K4796" t="str">
            <v>Brand Marketing</v>
          </cell>
          <cell r="L4796" t="str">
            <v>HQ Salaries</v>
          </cell>
          <cell r="N4796" t="str">
            <v>SG&amp;A</v>
          </cell>
          <cell r="O4796" t="str">
            <v>[No Vendor]</v>
          </cell>
        </row>
        <row r="4797">
          <cell r="D4797">
            <v>11153.85</v>
          </cell>
          <cell r="H4797">
            <v>45597</v>
          </cell>
          <cell r="I4797" t="str">
            <v>6005 - Salaries</v>
          </cell>
          <cell r="J4797">
            <v>0</v>
          </cell>
          <cell r="K4797" t="str">
            <v>Executive</v>
          </cell>
          <cell r="L4797" t="str">
            <v>HQ Salaries</v>
          </cell>
          <cell r="N4797" t="str">
            <v>SG&amp;A</v>
          </cell>
          <cell r="O4797" t="str">
            <v>[No Vendor]</v>
          </cell>
        </row>
        <row r="4798">
          <cell r="D4798">
            <v>20780.8</v>
          </cell>
          <cell r="H4798">
            <v>45597</v>
          </cell>
          <cell r="I4798" t="str">
            <v>6005 - Salaries</v>
          </cell>
          <cell r="J4798" t="str">
            <v>Ecommerce (US)</v>
          </cell>
          <cell r="K4798" t="str">
            <v>Ecommerce</v>
          </cell>
          <cell r="L4798" t="str">
            <v>HQ Salaries</v>
          </cell>
          <cell r="N4798" t="str">
            <v>SG&amp;A</v>
          </cell>
          <cell r="O4798" t="str">
            <v>[No Vendor]</v>
          </cell>
        </row>
        <row r="4799">
          <cell r="D4799">
            <v>20857.7</v>
          </cell>
          <cell r="H4799">
            <v>45597</v>
          </cell>
          <cell r="I4799" t="str">
            <v>6005 - Salaries</v>
          </cell>
          <cell r="J4799">
            <v>0</v>
          </cell>
          <cell r="K4799" t="str">
            <v>Design</v>
          </cell>
          <cell r="L4799" t="str">
            <v>HQ Salaries</v>
          </cell>
          <cell r="N4799" t="str">
            <v>SG&amp;A</v>
          </cell>
          <cell r="O4799" t="str">
            <v>[No Vendor]</v>
          </cell>
        </row>
        <row r="4800">
          <cell r="D4800">
            <v>189.95</v>
          </cell>
          <cell r="H4800">
            <v>45597</v>
          </cell>
          <cell r="I4800" t="str">
            <v>6375 - Freight Expenses</v>
          </cell>
          <cell r="J4800" t="str">
            <v>Wholesale</v>
          </cell>
          <cell r="K4800" t="str">
            <v>Wholesale</v>
          </cell>
          <cell r="L4800" t="str">
            <v>Freight</v>
          </cell>
          <cell r="N4800" t="str">
            <v>Direct Costs</v>
          </cell>
          <cell r="O4800" t="str">
            <v>UPS Supply Chain Solutions Inc. (7F24A0)</v>
          </cell>
        </row>
        <row r="4801">
          <cell r="D4801">
            <v>20754.79</v>
          </cell>
          <cell r="H4801">
            <v>45597</v>
          </cell>
          <cell r="I4801" t="str">
            <v>6375 - Freight Expenses</v>
          </cell>
          <cell r="J4801" t="str">
            <v>Ecommerce (US)</v>
          </cell>
          <cell r="K4801" t="str">
            <v>Ecommerce</v>
          </cell>
          <cell r="L4801" t="str">
            <v>Freight</v>
          </cell>
          <cell r="N4801" t="str">
            <v>Direct Costs</v>
          </cell>
          <cell r="O4801" t="str">
            <v>UPS Supply Chain Solutions Inc. (7F24A0)</v>
          </cell>
        </row>
        <row r="4802">
          <cell r="D4802">
            <v>20.170000000000002</v>
          </cell>
          <cell r="H4802">
            <v>45597</v>
          </cell>
          <cell r="I4802" t="str">
            <v>6375 - Freight Expenses</v>
          </cell>
          <cell r="J4802">
            <v>0</v>
          </cell>
          <cell r="K4802" t="str">
            <v>Production</v>
          </cell>
          <cell r="L4802" t="str">
            <v>Freight</v>
          </cell>
          <cell r="N4802" t="str">
            <v>Direct Costs</v>
          </cell>
          <cell r="O4802" t="str">
            <v>DHL Express - USA</v>
          </cell>
        </row>
        <row r="4803">
          <cell r="D4803">
            <v>16827.3</v>
          </cell>
          <cell r="H4803">
            <v>45597</v>
          </cell>
          <cell r="I4803" t="str">
            <v>8700 - Other Expense</v>
          </cell>
          <cell r="J4803">
            <v>0</v>
          </cell>
          <cell r="K4803" t="str">
            <v>Administration</v>
          </cell>
          <cell r="L4803" t="str">
            <v>Other Expense</v>
          </cell>
          <cell r="N4803" t="str">
            <v>BTL</v>
          </cell>
          <cell r="O4803" t="str">
            <v>Bryan Cave Leighton Paisner LLP</v>
          </cell>
        </row>
        <row r="4804">
          <cell r="D4804">
            <v>180696.6</v>
          </cell>
          <cell r="H4804">
            <v>45597</v>
          </cell>
          <cell r="I4804" t="str">
            <v>8700 - Other Expense</v>
          </cell>
          <cell r="J4804">
            <v>0</v>
          </cell>
          <cell r="K4804" t="str">
            <v>Administration</v>
          </cell>
          <cell r="L4804" t="str">
            <v>Other Expense</v>
          </cell>
          <cell r="N4804" t="str">
            <v>BTL</v>
          </cell>
          <cell r="O4804" t="str">
            <v>Bryan Cave Leighton Paisner LLP</v>
          </cell>
        </row>
        <row r="4805">
          <cell r="D4805">
            <v>55750</v>
          </cell>
          <cell r="H4805">
            <v>45597</v>
          </cell>
          <cell r="I4805" t="str">
            <v>6215 - Recruitment</v>
          </cell>
          <cell r="J4805">
            <v>0</v>
          </cell>
          <cell r="K4805" t="str">
            <v>Administration</v>
          </cell>
          <cell r="L4805" t="str">
            <v>Professional Service</v>
          </cell>
          <cell r="N4805" t="str">
            <v>SG&amp;A</v>
          </cell>
          <cell r="O4805" t="str">
            <v>Janou Pakter</v>
          </cell>
        </row>
        <row r="4806">
          <cell r="D4806">
            <v>632.05999999999995</v>
          </cell>
          <cell r="H4806">
            <v>45597</v>
          </cell>
          <cell r="I4806" t="str">
            <v>6120 - Lodging</v>
          </cell>
          <cell r="J4806">
            <v>0</v>
          </cell>
          <cell r="K4806" t="str">
            <v>Production</v>
          </cell>
          <cell r="L4806" t="str">
            <v>T&amp;E</v>
          </cell>
          <cell r="N4806" t="str">
            <v>SG&amp;A</v>
          </cell>
          <cell r="O4806" t="str">
            <v>Frank Dell'Aquila</v>
          </cell>
        </row>
        <row r="4807">
          <cell r="D4807">
            <v>692.66</v>
          </cell>
          <cell r="H4807">
            <v>45597</v>
          </cell>
          <cell r="I4807" t="str">
            <v>6120 - Lodging</v>
          </cell>
          <cell r="J4807">
            <v>0</v>
          </cell>
          <cell r="K4807" t="str">
            <v>Production</v>
          </cell>
          <cell r="L4807" t="str">
            <v>T&amp;E</v>
          </cell>
          <cell r="N4807" t="str">
            <v>SG&amp;A</v>
          </cell>
          <cell r="O4807" t="str">
            <v>Frank Dell'Aquila</v>
          </cell>
        </row>
        <row r="4808">
          <cell r="D4808">
            <v>311.35000000000002</v>
          </cell>
          <cell r="H4808">
            <v>45597</v>
          </cell>
          <cell r="I4808" t="str">
            <v>6120 - Lodging</v>
          </cell>
          <cell r="J4808">
            <v>0</v>
          </cell>
          <cell r="K4808" t="str">
            <v>Production</v>
          </cell>
          <cell r="L4808" t="str">
            <v>T&amp;E</v>
          </cell>
          <cell r="N4808" t="str">
            <v>SG&amp;A</v>
          </cell>
          <cell r="O4808" t="str">
            <v>Frank Dell'Aquila</v>
          </cell>
        </row>
        <row r="4809">
          <cell r="D4809">
            <v>0.05</v>
          </cell>
          <cell r="H4809">
            <v>45597</v>
          </cell>
          <cell r="I4809" t="str">
            <v>6450 - Bank &amp; Other Fees</v>
          </cell>
          <cell r="J4809">
            <v>0</v>
          </cell>
          <cell r="K4809" t="str">
            <v>Production</v>
          </cell>
          <cell r="L4809" t="str">
            <v>Professional Service</v>
          </cell>
          <cell r="N4809" t="str">
            <v>SG&amp;A</v>
          </cell>
          <cell r="O4809" t="str">
            <v>Frank Dell'Aquila</v>
          </cell>
        </row>
        <row r="4810">
          <cell r="D4810">
            <v>0.05</v>
          </cell>
          <cell r="H4810">
            <v>45597</v>
          </cell>
          <cell r="I4810" t="str">
            <v>6450 - Bank &amp; Other Fees</v>
          </cell>
          <cell r="J4810">
            <v>0</v>
          </cell>
          <cell r="K4810" t="str">
            <v>Production</v>
          </cell>
          <cell r="L4810" t="str">
            <v>Professional Service</v>
          </cell>
          <cell r="N4810" t="str">
            <v>SG&amp;A</v>
          </cell>
          <cell r="O4810" t="str">
            <v>Frank Dell'Aquila</v>
          </cell>
        </row>
        <row r="4811">
          <cell r="D4811">
            <v>0.05</v>
          </cell>
          <cell r="H4811">
            <v>45597</v>
          </cell>
          <cell r="I4811" t="str">
            <v>6450 - Bank &amp; Other Fees</v>
          </cell>
          <cell r="J4811">
            <v>0</v>
          </cell>
          <cell r="K4811" t="str">
            <v>Production</v>
          </cell>
          <cell r="L4811" t="str">
            <v>Professional Service</v>
          </cell>
          <cell r="N4811" t="str">
            <v>SG&amp;A</v>
          </cell>
          <cell r="O4811" t="str">
            <v>Frank Dell'Aquila</v>
          </cell>
        </row>
        <row r="4812">
          <cell r="D4812">
            <v>0.17</v>
          </cell>
          <cell r="H4812">
            <v>45597</v>
          </cell>
          <cell r="I4812" t="str">
            <v>6450 - Bank &amp; Other Fees</v>
          </cell>
          <cell r="J4812">
            <v>0</v>
          </cell>
          <cell r="K4812" t="str">
            <v>Production</v>
          </cell>
          <cell r="L4812" t="str">
            <v>Professional Service</v>
          </cell>
          <cell r="N4812" t="str">
            <v>SG&amp;A</v>
          </cell>
          <cell r="O4812" t="str">
            <v>Frank Dell'Aquila</v>
          </cell>
        </row>
        <row r="4813">
          <cell r="D4813">
            <v>131.91</v>
          </cell>
          <cell r="H4813">
            <v>45597</v>
          </cell>
          <cell r="I4813" t="str">
            <v>6125 - Transportation and Fuel</v>
          </cell>
          <cell r="J4813">
            <v>0</v>
          </cell>
          <cell r="K4813" t="str">
            <v>Production</v>
          </cell>
          <cell r="L4813" t="str">
            <v>T&amp;E</v>
          </cell>
          <cell r="N4813" t="str">
            <v>SG&amp;A</v>
          </cell>
          <cell r="O4813" t="str">
            <v>Frank Dell'Aquila</v>
          </cell>
        </row>
        <row r="4814">
          <cell r="D4814">
            <v>37.299999999999997</v>
          </cell>
          <cell r="H4814">
            <v>45597</v>
          </cell>
          <cell r="I4814" t="str">
            <v>6125 - Transportation and Fuel</v>
          </cell>
          <cell r="J4814">
            <v>0</v>
          </cell>
          <cell r="K4814" t="str">
            <v>Production</v>
          </cell>
          <cell r="L4814" t="str">
            <v>T&amp;E</v>
          </cell>
          <cell r="N4814" t="str">
            <v>SG&amp;A</v>
          </cell>
          <cell r="O4814" t="str">
            <v>Frank Dell'Aquila</v>
          </cell>
        </row>
        <row r="4815">
          <cell r="D4815">
            <v>3.15</v>
          </cell>
          <cell r="H4815">
            <v>45597</v>
          </cell>
          <cell r="I4815" t="str">
            <v>6125 - Transportation and Fuel</v>
          </cell>
          <cell r="J4815">
            <v>0</v>
          </cell>
          <cell r="K4815" t="str">
            <v>Production</v>
          </cell>
          <cell r="L4815" t="str">
            <v>T&amp;E</v>
          </cell>
          <cell r="N4815" t="str">
            <v>SG&amp;A</v>
          </cell>
          <cell r="O4815" t="str">
            <v>Frank Dell'Aquila</v>
          </cell>
        </row>
        <row r="4816">
          <cell r="D4816">
            <v>5.4</v>
          </cell>
          <cell r="H4816">
            <v>45597</v>
          </cell>
          <cell r="I4816" t="str">
            <v>6105 - Meals</v>
          </cell>
          <cell r="J4816">
            <v>0</v>
          </cell>
          <cell r="K4816" t="str">
            <v>Production</v>
          </cell>
          <cell r="L4816" t="str">
            <v>T&amp;E</v>
          </cell>
          <cell r="N4816" t="str">
            <v>SG&amp;A</v>
          </cell>
          <cell r="O4816" t="str">
            <v>Frank Dell'Aquila</v>
          </cell>
        </row>
        <row r="4817">
          <cell r="D4817">
            <v>9.48</v>
          </cell>
          <cell r="H4817">
            <v>45597</v>
          </cell>
          <cell r="I4817" t="str">
            <v>6105 - Meals</v>
          </cell>
          <cell r="J4817">
            <v>0</v>
          </cell>
          <cell r="K4817" t="str">
            <v>Production</v>
          </cell>
          <cell r="L4817" t="str">
            <v>T&amp;E</v>
          </cell>
          <cell r="N4817" t="str">
            <v>SG&amp;A</v>
          </cell>
          <cell r="O4817" t="str">
            <v>Frank Dell'Aquila</v>
          </cell>
        </row>
        <row r="4818">
          <cell r="D4818">
            <v>3.24</v>
          </cell>
          <cell r="H4818">
            <v>45597</v>
          </cell>
          <cell r="I4818" t="str">
            <v>6105 - Meals</v>
          </cell>
          <cell r="J4818">
            <v>0</v>
          </cell>
          <cell r="K4818" t="str">
            <v>Production</v>
          </cell>
          <cell r="L4818" t="str">
            <v>T&amp;E</v>
          </cell>
          <cell r="N4818" t="str">
            <v>SG&amp;A</v>
          </cell>
          <cell r="O4818" t="str">
            <v>Frank Dell'Aquila</v>
          </cell>
        </row>
        <row r="4819">
          <cell r="D4819">
            <v>10.39</v>
          </cell>
          <cell r="H4819">
            <v>45597</v>
          </cell>
          <cell r="I4819" t="str">
            <v>6105 - Meals</v>
          </cell>
          <cell r="J4819">
            <v>0</v>
          </cell>
          <cell r="K4819" t="str">
            <v>Production</v>
          </cell>
          <cell r="L4819" t="str">
            <v>T&amp;E</v>
          </cell>
          <cell r="N4819" t="str">
            <v>SG&amp;A</v>
          </cell>
          <cell r="O4819" t="str">
            <v>Frank Dell'Aquila</v>
          </cell>
        </row>
        <row r="4820">
          <cell r="D4820">
            <v>4.67</v>
          </cell>
          <cell r="H4820">
            <v>45597</v>
          </cell>
          <cell r="I4820" t="str">
            <v>6105 - Meals</v>
          </cell>
          <cell r="J4820">
            <v>0</v>
          </cell>
          <cell r="K4820" t="str">
            <v>Production</v>
          </cell>
          <cell r="L4820" t="str">
            <v>T&amp;E</v>
          </cell>
          <cell r="N4820" t="str">
            <v>SG&amp;A</v>
          </cell>
          <cell r="O4820" t="str">
            <v>Frank Dell'Aquila</v>
          </cell>
        </row>
        <row r="4821">
          <cell r="D4821">
            <v>3.58</v>
          </cell>
          <cell r="H4821">
            <v>45597</v>
          </cell>
          <cell r="I4821" t="str">
            <v>6105 - Meals</v>
          </cell>
          <cell r="J4821">
            <v>0</v>
          </cell>
          <cell r="K4821" t="str">
            <v>Production</v>
          </cell>
          <cell r="L4821" t="str">
            <v>T&amp;E</v>
          </cell>
          <cell r="N4821" t="str">
            <v>SG&amp;A</v>
          </cell>
          <cell r="O4821" t="str">
            <v>Frank Dell'Aquila</v>
          </cell>
        </row>
        <row r="4822">
          <cell r="D4822">
            <v>11.33</v>
          </cell>
          <cell r="H4822">
            <v>45597</v>
          </cell>
          <cell r="I4822" t="str">
            <v>6105 - Meals</v>
          </cell>
          <cell r="J4822">
            <v>0</v>
          </cell>
          <cell r="K4822" t="str">
            <v>Production</v>
          </cell>
          <cell r="L4822" t="str">
            <v>T&amp;E</v>
          </cell>
          <cell r="N4822" t="str">
            <v>SG&amp;A</v>
          </cell>
          <cell r="O4822" t="str">
            <v>Frank Dell'Aquila</v>
          </cell>
        </row>
        <row r="4823">
          <cell r="D4823">
            <v>2450.94</v>
          </cell>
          <cell r="H4823">
            <v>45597</v>
          </cell>
          <cell r="I4823" t="str">
            <v>6375 - Freight Expenses</v>
          </cell>
          <cell r="J4823" t="str">
            <v>Ecommerce (EU)</v>
          </cell>
          <cell r="K4823" t="str">
            <v>Ecommerce</v>
          </cell>
          <cell r="L4823" t="str">
            <v>Freight</v>
          </cell>
          <cell r="N4823" t="str">
            <v>Direct Costs</v>
          </cell>
          <cell r="O4823" t="str">
            <v>Global E</v>
          </cell>
        </row>
        <row r="4824">
          <cell r="D4824">
            <v>6864.05</v>
          </cell>
          <cell r="H4824">
            <v>45597</v>
          </cell>
          <cell r="I4824" t="str">
            <v>5001 - Cost of Goods Sold - Other</v>
          </cell>
          <cell r="J4824" t="str">
            <v>Ecommerce (EU)</v>
          </cell>
          <cell r="K4824" t="str">
            <v>Ecommerce</v>
          </cell>
          <cell r="L4824" t="str">
            <v>Other COGS</v>
          </cell>
          <cell r="N4824" t="str">
            <v>COGS</v>
          </cell>
          <cell r="O4824" t="str">
            <v>[No Vendor]</v>
          </cell>
        </row>
        <row r="4825">
          <cell r="D4825">
            <v>499.5</v>
          </cell>
          <cell r="H4825">
            <v>45597</v>
          </cell>
          <cell r="I4825" t="str">
            <v>6377 - Order Processing Expenses (New)</v>
          </cell>
          <cell r="J4825" t="str">
            <v>Ecommerce (EU)</v>
          </cell>
          <cell r="K4825" t="str">
            <v>Ecommerce</v>
          </cell>
          <cell r="L4825" t="str">
            <v>Order Processing</v>
          </cell>
          <cell r="N4825" t="str">
            <v>Direct Costs</v>
          </cell>
          <cell r="O4825" t="str">
            <v>[No Vendor]</v>
          </cell>
        </row>
        <row r="4826">
          <cell r="D4826">
            <v>3530.35</v>
          </cell>
          <cell r="H4826">
            <v>45597</v>
          </cell>
          <cell r="I4826" t="str">
            <v>6450 - Bank &amp; Other Fees</v>
          </cell>
          <cell r="J4826" t="str">
            <v>Wholesale</v>
          </cell>
          <cell r="K4826" t="str">
            <v>Wholesale</v>
          </cell>
          <cell r="L4826" t="str">
            <v>Professional Service</v>
          </cell>
          <cell r="N4826" t="str">
            <v>Direct Costs</v>
          </cell>
          <cell r="O4826" t="str">
            <v>Paymentech</v>
          </cell>
        </row>
        <row r="4827">
          <cell r="D4827">
            <v>2008.01</v>
          </cell>
          <cell r="H4827">
            <v>45597</v>
          </cell>
          <cell r="I4827" t="str">
            <v>6450 - Bank &amp; Other Fees</v>
          </cell>
          <cell r="J4827" t="str">
            <v>Ecommerce (EU)</v>
          </cell>
          <cell r="K4827" t="str">
            <v>Ecommerce</v>
          </cell>
          <cell r="L4827" t="str">
            <v>Professional Service</v>
          </cell>
          <cell r="N4827" t="str">
            <v>Direct Costs</v>
          </cell>
          <cell r="O4827" t="str">
            <v>[No Vendor]</v>
          </cell>
        </row>
        <row r="4828">
          <cell r="D4828">
            <v>-136.80000000000001</v>
          </cell>
          <cell r="H4828">
            <v>45597</v>
          </cell>
          <cell r="I4828" t="str">
            <v>6375 - Freight Expenses</v>
          </cell>
          <cell r="J4828" t="str">
            <v>Ecommerce (US)</v>
          </cell>
          <cell r="K4828" t="str">
            <v>Ecommerce</v>
          </cell>
          <cell r="L4828" t="str">
            <v>Freight</v>
          </cell>
          <cell r="N4828" t="str">
            <v>Direct Costs</v>
          </cell>
          <cell r="O4828" t="str">
            <v>UPS Supply Chain Solutions Inc. (7F24A0)</v>
          </cell>
        </row>
        <row r="4829">
          <cell r="D4829">
            <v>-28.18</v>
          </cell>
          <cell r="H4829">
            <v>45597</v>
          </cell>
          <cell r="I4829" t="str">
            <v>6340 - Miscellaneous Expense</v>
          </cell>
          <cell r="J4829">
            <v>0</v>
          </cell>
          <cell r="K4829" t="str">
            <v>No Department</v>
          </cell>
          <cell r="L4829" t="str">
            <v>Other</v>
          </cell>
          <cell r="N4829" t="str">
            <v>SG&amp;A</v>
          </cell>
          <cell r="O4829" t="str">
            <v>Amazon Capital Services</v>
          </cell>
        </row>
        <row r="4830">
          <cell r="D4830">
            <v>144.77000000000001</v>
          </cell>
          <cell r="H4830">
            <v>45597</v>
          </cell>
          <cell r="I4830" t="str">
            <v>6375 - Freight Expenses</v>
          </cell>
          <cell r="J4830" t="str">
            <v>Ecommerce (EU)</v>
          </cell>
          <cell r="K4830" t="str">
            <v>Ecommerce</v>
          </cell>
          <cell r="L4830" t="str">
            <v>Freight</v>
          </cell>
          <cell r="N4830" t="str">
            <v>Direct Costs</v>
          </cell>
          <cell r="O4830" t="str">
            <v>UPS Supply Chain Solutions Inc. (7F24A0)</v>
          </cell>
        </row>
        <row r="4831">
          <cell r="D4831">
            <v>21.78</v>
          </cell>
          <cell r="H4831">
            <v>45597</v>
          </cell>
          <cell r="I4831" t="str">
            <v>6393 - Software</v>
          </cell>
          <cell r="J4831">
            <v>0</v>
          </cell>
          <cell r="K4831" t="str">
            <v>Executive</v>
          </cell>
          <cell r="L4831" t="str">
            <v>Professional Service</v>
          </cell>
          <cell r="N4831" t="str">
            <v>Direct Costs</v>
          </cell>
          <cell r="O4831" t="str">
            <v>Chat GPT</v>
          </cell>
        </row>
        <row r="4832">
          <cell r="D4832">
            <v>1779.84</v>
          </cell>
          <cell r="H4832">
            <v>45597</v>
          </cell>
          <cell r="I4832" t="str">
            <v>6393 - Software</v>
          </cell>
          <cell r="J4832">
            <v>0</v>
          </cell>
          <cell r="K4832" t="str">
            <v>Administration</v>
          </cell>
          <cell r="L4832" t="str">
            <v>Professional Service</v>
          </cell>
          <cell r="N4832" t="str">
            <v>Direct Costs</v>
          </cell>
          <cell r="O4832" t="str">
            <v>Adobe, Inc.</v>
          </cell>
        </row>
        <row r="4833">
          <cell r="D4833">
            <v>65.33</v>
          </cell>
          <cell r="H4833">
            <v>45597</v>
          </cell>
          <cell r="I4833" t="str">
            <v>6393 - Software</v>
          </cell>
          <cell r="J4833">
            <v>0</v>
          </cell>
          <cell r="K4833" t="str">
            <v>Administration</v>
          </cell>
          <cell r="L4833" t="str">
            <v>Professional Service</v>
          </cell>
          <cell r="N4833" t="str">
            <v>Direct Costs</v>
          </cell>
          <cell r="O4833" t="str">
            <v>Brivo Pass</v>
          </cell>
        </row>
        <row r="4834">
          <cell r="D4834">
            <v>1747.1</v>
          </cell>
          <cell r="H4834">
            <v>45597</v>
          </cell>
          <cell r="I4834" t="str">
            <v>6340 - Miscellaneous Expense</v>
          </cell>
          <cell r="J4834">
            <v>0</v>
          </cell>
          <cell r="K4834" t="str">
            <v>Administration</v>
          </cell>
          <cell r="L4834" t="str">
            <v>Other</v>
          </cell>
          <cell r="N4834" t="str">
            <v>SG&amp;A</v>
          </cell>
          <cell r="O4834" t="str">
            <v>[No Vendor]</v>
          </cell>
        </row>
        <row r="4835">
          <cell r="D4835">
            <v>63.89</v>
          </cell>
          <cell r="H4835">
            <v>45597</v>
          </cell>
          <cell r="I4835" t="str">
            <v>6340 - Miscellaneous Expense</v>
          </cell>
          <cell r="J4835">
            <v>0</v>
          </cell>
          <cell r="K4835" t="str">
            <v>Administration</v>
          </cell>
          <cell r="L4835" t="str">
            <v>Other</v>
          </cell>
          <cell r="N4835" t="str">
            <v>SG&amp;A</v>
          </cell>
          <cell r="O4835" t="str">
            <v>[No Vendor]</v>
          </cell>
        </row>
        <row r="4836">
          <cell r="D4836">
            <v>-32.47</v>
          </cell>
          <cell r="H4836">
            <v>45597</v>
          </cell>
          <cell r="I4836" t="str">
            <v>6340 - Miscellaneous Expense</v>
          </cell>
          <cell r="J4836">
            <v>0</v>
          </cell>
          <cell r="K4836" t="str">
            <v>Administration</v>
          </cell>
          <cell r="L4836" t="str">
            <v>Other</v>
          </cell>
          <cell r="N4836" t="str">
            <v>SG&amp;A</v>
          </cell>
          <cell r="O4836" t="str">
            <v>[No Vendor]</v>
          </cell>
        </row>
        <row r="4837">
          <cell r="D4837">
            <v>32.47</v>
          </cell>
          <cell r="H4837">
            <v>45597</v>
          </cell>
          <cell r="I4837" t="str">
            <v>6340 - Miscellaneous Expense</v>
          </cell>
          <cell r="J4837">
            <v>0</v>
          </cell>
          <cell r="K4837" t="str">
            <v>Administration</v>
          </cell>
          <cell r="L4837" t="str">
            <v>Other</v>
          </cell>
          <cell r="N4837" t="str">
            <v>SG&amp;A</v>
          </cell>
          <cell r="O4837" t="str">
            <v>[No Vendor]</v>
          </cell>
        </row>
        <row r="4838">
          <cell r="D4838">
            <v>13.99</v>
          </cell>
          <cell r="H4838">
            <v>45597</v>
          </cell>
          <cell r="I4838" t="str">
            <v>6120 - Lodging</v>
          </cell>
          <cell r="J4838">
            <v>0</v>
          </cell>
          <cell r="K4838" t="str">
            <v>Executive</v>
          </cell>
          <cell r="L4838" t="str">
            <v>T&amp;E</v>
          </cell>
          <cell r="N4838" t="str">
            <v>SG&amp;A</v>
          </cell>
          <cell r="O4838" t="str">
            <v>[No Vendor]</v>
          </cell>
        </row>
        <row r="4839">
          <cell r="D4839">
            <v>139.87</v>
          </cell>
          <cell r="H4839">
            <v>45597</v>
          </cell>
          <cell r="I4839" t="str">
            <v>6120 - Lodging</v>
          </cell>
          <cell r="J4839">
            <v>0</v>
          </cell>
          <cell r="K4839" t="str">
            <v>Executive</v>
          </cell>
          <cell r="L4839" t="str">
            <v>T&amp;E</v>
          </cell>
          <cell r="N4839" t="str">
            <v>SG&amp;A</v>
          </cell>
          <cell r="O4839" t="str">
            <v>[No Vendor]</v>
          </cell>
        </row>
        <row r="4840">
          <cell r="D4840">
            <v>13.99</v>
          </cell>
          <cell r="H4840">
            <v>45597</v>
          </cell>
          <cell r="I4840" t="str">
            <v>6120 - Lodging</v>
          </cell>
          <cell r="J4840">
            <v>0</v>
          </cell>
          <cell r="K4840" t="str">
            <v>Executive</v>
          </cell>
          <cell r="L4840" t="str">
            <v>T&amp;E</v>
          </cell>
          <cell r="N4840" t="str">
            <v>SG&amp;A</v>
          </cell>
          <cell r="O4840" t="str">
            <v>[No Vendor]</v>
          </cell>
        </row>
        <row r="4841">
          <cell r="D4841">
            <v>139.87</v>
          </cell>
          <cell r="H4841">
            <v>45597</v>
          </cell>
          <cell r="I4841" t="str">
            <v>6120 - Lodging</v>
          </cell>
          <cell r="J4841">
            <v>0</v>
          </cell>
          <cell r="K4841" t="str">
            <v>Executive</v>
          </cell>
          <cell r="L4841" t="str">
            <v>T&amp;E</v>
          </cell>
          <cell r="N4841" t="str">
            <v>SG&amp;A</v>
          </cell>
          <cell r="O4841" t="str">
            <v>[No Vendor]</v>
          </cell>
        </row>
        <row r="4842">
          <cell r="D4842">
            <v>737.97</v>
          </cell>
          <cell r="H4842">
            <v>45597</v>
          </cell>
          <cell r="I4842" t="str">
            <v>6120 - Lodging</v>
          </cell>
          <cell r="J4842">
            <v>0</v>
          </cell>
          <cell r="K4842" t="str">
            <v>Executive</v>
          </cell>
          <cell r="L4842" t="str">
            <v>T&amp;E</v>
          </cell>
          <cell r="N4842" t="str">
            <v>SG&amp;A</v>
          </cell>
          <cell r="O4842" t="str">
            <v>[No Vendor]</v>
          </cell>
        </row>
        <row r="4843">
          <cell r="D4843">
            <v>252.9</v>
          </cell>
          <cell r="H4843">
            <v>45597</v>
          </cell>
          <cell r="I4843" t="str">
            <v>6120 - Lodging</v>
          </cell>
          <cell r="J4843">
            <v>0</v>
          </cell>
          <cell r="K4843" t="str">
            <v>Executive</v>
          </cell>
          <cell r="L4843" t="str">
            <v>T&amp;E</v>
          </cell>
          <cell r="N4843" t="str">
            <v>SG&amp;A</v>
          </cell>
          <cell r="O4843" t="str">
            <v>[No Vendor]</v>
          </cell>
        </row>
        <row r="4844">
          <cell r="D4844">
            <v>4.62</v>
          </cell>
          <cell r="H4844">
            <v>45597</v>
          </cell>
          <cell r="I4844" t="str">
            <v>6450 - Bank &amp; Other Fees</v>
          </cell>
          <cell r="J4844">
            <v>0</v>
          </cell>
          <cell r="K4844" t="str">
            <v>Executive</v>
          </cell>
          <cell r="L4844" t="str">
            <v>Professional Service</v>
          </cell>
          <cell r="N4844" t="str">
            <v>SG&amp;A</v>
          </cell>
          <cell r="O4844" t="str">
            <v>[No Vendor]</v>
          </cell>
        </row>
        <row r="4845">
          <cell r="D4845">
            <v>1.65</v>
          </cell>
          <cell r="H4845">
            <v>45597</v>
          </cell>
          <cell r="I4845" t="str">
            <v>6450 - Bank &amp; Other Fees</v>
          </cell>
          <cell r="J4845">
            <v>0</v>
          </cell>
          <cell r="K4845" t="str">
            <v>Executive</v>
          </cell>
          <cell r="L4845" t="str">
            <v>Professional Service</v>
          </cell>
          <cell r="N4845" t="str">
            <v>SG&amp;A</v>
          </cell>
          <cell r="O4845" t="str">
            <v>[No Vendor]</v>
          </cell>
        </row>
        <row r="4846">
          <cell r="D4846">
            <v>0.24</v>
          </cell>
          <cell r="H4846">
            <v>45597</v>
          </cell>
          <cell r="I4846" t="str">
            <v>6450 - Bank &amp; Other Fees</v>
          </cell>
          <cell r="J4846">
            <v>0</v>
          </cell>
          <cell r="K4846" t="str">
            <v>Executive</v>
          </cell>
          <cell r="L4846" t="str">
            <v>Professional Service</v>
          </cell>
          <cell r="N4846" t="str">
            <v>SG&amp;A</v>
          </cell>
          <cell r="O4846" t="str">
            <v>[No Vendor]</v>
          </cell>
        </row>
        <row r="4847">
          <cell r="D4847">
            <v>0.03</v>
          </cell>
          <cell r="H4847">
            <v>45597</v>
          </cell>
          <cell r="I4847" t="str">
            <v>6450 - Bank &amp; Other Fees</v>
          </cell>
          <cell r="J4847">
            <v>0</v>
          </cell>
          <cell r="K4847" t="str">
            <v>Executive</v>
          </cell>
          <cell r="L4847" t="str">
            <v>Professional Service</v>
          </cell>
          <cell r="N4847" t="str">
            <v>SG&amp;A</v>
          </cell>
          <cell r="O4847" t="str">
            <v>[No Vendor]</v>
          </cell>
        </row>
        <row r="4848">
          <cell r="D4848">
            <v>0.12</v>
          </cell>
          <cell r="H4848">
            <v>45597</v>
          </cell>
          <cell r="I4848" t="str">
            <v>6450 - Bank &amp; Other Fees</v>
          </cell>
          <cell r="J4848">
            <v>0</v>
          </cell>
          <cell r="K4848" t="str">
            <v>Executive</v>
          </cell>
          <cell r="L4848" t="str">
            <v>Professional Service</v>
          </cell>
          <cell r="N4848" t="str">
            <v>SG&amp;A</v>
          </cell>
          <cell r="O4848" t="str">
            <v>[No Vendor]</v>
          </cell>
        </row>
        <row r="4849">
          <cell r="D4849">
            <v>0.13</v>
          </cell>
          <cell r="H4849">
            <v>45597</v>
          </cell>
          <cell r="I4849" t="str">
            <v>6450 - Bank &amp; Other Fees</v>
          </cell>
          <cell r="J4849">
            <v>0</v>
          </cell>
          <cell r="K4849" t="str">
            <v>Executive</v>
          </cell>
          <cell r="L4849" t="str">
            <v>Professional Service</v>
          </cell>
          <cell r="N4849" t="str">
            <v>SG&amp;A</v>
          </cell>
          <cell r="O4849" t="str">
            <v>[No Vendor]</v>
          </cell>
        </row>
        <row r="4850">
          <cell r="D4850">
            <v>0.12</v>
          </cell>
          <cell r="H4850">
            <v>45597</v>
          </cell>
          <cell r="I4850" t="str">
            <v>6450 - Bank &amp; Other Fees</v>
          </cell>
          <cell r="J4850">
            <v>0</v>
          </cell>
          <cell r="K4850" t="str">
            <v>Executive</v>
          </cell>
          <cell r="L4850" t="str">
            <v>Professional Service</v>
          </cell>
          <cell r="N4850" t="str">
            <v>SG&amp;A</v>
          </cell>
          <cell r="O4850" t="str">
            <v>[No Vendor]</v>
          </cell>
        </row>
        <row r="4851">
          <cell r="D4851">
            <v>0.08</v>
          </cell>
          <cell r="H4851">
            <v>45597</v>
          </cell>
          <cell r="I4851" t="str">
            <v>6450 - Bank &amp; Other Fees</v>
          </cell>
          <cell r="J4851">
            <v>0</v>
          </cell>
          <cell r="K4851" t="str">
            <v>Executive</v>
          </cell>
          <cell r="L4851" t="str">
            <v>Professional Service</v>
          </cell>
          <cell r="N4851" t="str">
            <v>SG&amp;A</v>
          </cell>
          <cell r="O4851" t="str">
            <v>[No Vendor]</v>
          </cell>
        </row>
        <row r="4852">
          <cell r="D4852">
            <v>3.34</v>
          </cell>
          <cell r="H4852">
            <v>45597</v>
          </cell>
          <cell r="I4852" t="str">
            <v>6450 - Bank &amp; Other Fees</v>
          </cell>
          <cell r="J4852">
            <v>0</v>
          </cell>
          <cell r="K4852" t="str">
            <v>Executive</v>
          </cell>
          <cell r="L4852" t="str">
            <v>Professional Service</v>
          </cell>
          <cell r="N4852" t="str">
            <v>SG&amp;A</v>
          </cell>
          <cell r="O4852" t="str">
            <v>[No Vendor]</v>
          </cell>
        </row>
        <row r="4853">
          <cell r="D4853">
            <v>0.71</v>
          </cell>
          <cell r="H4853">
            <v>45597</v>
          </cell>
          <cell r="I4853" t="str">
            <v>6450 - Bank &amp; Other Fees</v>
          </cell>
          <cell r="J4853">
            <v>0</v>
          </cell>
          <cell r="K4853" t="str">
            <v>Executive</v>
          </cell>
          <cell r="L4853" t="str">
            <v>Professional Service</v>
          </cell>
          <cell r="N4853" t="str">
            <v>SG&amp;A</v>
          </cell>
          <cell r="O4853" t="str">
            <v>[No Vendor]</v>
          </cell>
        </row>
        <row r="4854">
          <cell r="D4854">
            <v>11.07</v>
          </cell>
          <cell r="H4854">
            <v>45597</v>
          </cell>
          <cell r="I4854" t="str">
            <v>6450 - Bank &amp; Other Fees</v>
          </cell>
          <cell r="J4854">
            <v>0</v>
          </cell>
          <cell r="K4854" t="str">
            <v>Executive</v>
          </cell>
          <cell r="L4854" t="str">
            <v>Professional Service</v>
          </cell>
          <cell r="N4854" t="str">
            <v>SG&amp;A</v>
          </cell>
          <cell r="O4854" t="str">
            <v>[No Vendor]</v>
          </cell>
        </row>
        <row r="4855">
          <cell r="D4855">
            <v>1.03</v>
          </cell>
          <cell r="H4855">
            <v>45597</v>
          </cell>
          <cell r="I4855" t="str">
            <v>6450 - Bank &amp; Other Fees</v>
          </cell>
          <cell r="J4855">
            <v>0</v>
          </cell>
          <cell r="K4855" t="str">
            <v>Executive</v>
          </cell>
          <cell r="L4855" t="str">
            <v>Professional Service</v>
          </cell>
          <cell r="N4855" t="str">
            <v>SG&amp;A</v>
          </cell>
          <cell r="O4855" t="str">
            <v>[No Vendor]</v>
          </cell>
        </row>
        <row r="4856">
          <cell r="D4856">
            <v>3.79</v>
          </cell>
          <cell r="H4856">
            <v>45597</v>
          </cell>
          <cell r="I4856" t="str">
            <v>6450 - Bank &amp; Other Fees</v>
          </cell>
          <cell r="J4856">
            <v>0</v>
          </cell>
          <cell r="K4856" t="str">
            <v>Executive</v>
          </cell>
          <cell r="L4856" t="str">
            <v>Professional Service</v>
          </cell>
          <cell r="N4856" t="str">
            <v>SG&amp;A</v>
          </cell>
          <cell r="O4856" t="str">
            <v>[No Vendor]</v>
          </cell>
        </row>
        <row r="4857">
          <cell r="D4857">
            <v>0.17</v>
          </cell>
          <cell r="H4857">
            <v>45597</v>
          </cell>
          <cell r="I4857" t="str">
            <v>6450 - Bank &amp; Other Fees</v>
          </cell>
          <cell r="J4857">
            <v>0</v>
          </cell>
          <cell r="K4857" t="str">
            <v>Executive</v>
          </cell>
          <cell r="L4857" t="str">
            <v>Professional Service</v>
          </cell>
          <cell r="N4857" t="str">
            <v>SG&amp;A</v>
          </cell>
          <cell r="O4857" t="str">
            <v>[No Vendor]</v>
          </cell>
        </row>
        <row r="4858">
          <cell r="D4858">
            <v>146</v>
          </cell>
          <cell r="H4858">
            <v>45597</v>
          </cell>
          <cell r="I4858" t="str">
            <v>6430 - Dues &amp; Memberships</v>
          </cell>
          <cell r="J4858" t="str">
            <v>Wholesale</v>
          </cell>
          <cell r="K4858" t="str">
            <v>Wholesale</v>
          </cell>
          <cell r="L4858" t="str">
            <v>Professional Service</v>
          </cell>
          <cell r="N4858" t="str">
            <v>Direct Costs</v>
          </cell>
          <cell r="O4858" t="str">
            <v>SPS Commerce</v>
          </cell>
        </row>
        <row r="4859">
          <cell r="D4859">
            <v>910</v>
          </cell>
          <cell r="H4859">
            <v>45597</v>
          </cell>
          <cell r="I4859" t="str">
            <v>6300 - Payroll Service Fees</v>
          </cell>
          <cell r="J4859">
            <v>0</v>
          </cell>
          <cell r="K4859" t="str">
            <v>Administration</v>
          </cell>
          <cell r="L4859" t="str">
            <v>Professional Service</v>
          </cell>
          <cell r="N4859" t="str">
            <v>SG&amp;A</v>
          </cell>
          <cell r="O4859" t="str">
            <v>OperationsInc, LLC</v>
          </cell>
        </row>
        <row r="4860">
          <cell r="D4860">
            <v>110.05</v>
          </cell>
          <cell r="H4860">
            <v>45597</v>
          </cell>
          <cell r="I4860" t="str">
            <v>6125 - Transportation and Fuel</v>
          </cell>
          <cell r="J4860">
            <v>0</v>
          </cell>
          <cell r="K4860" t="str">
            <v>Executive</v>
          </cell>
          <cell r="L4860" t="str">
            <v>T&amp;E</v>
          </cell>
          <cell r="N4860" t="str">
            <v>SG&amp;A</v>
          </cell>
          <cell r="O4860" t="str">
            <v>[No Vendor]</v>
          </cell>
        </row>
        <row r="4861">
          <cell r="D4861">
            <v>245.19</v>
          </cell>
          <cell r="H4861">
            <v>45597</v>
          </cell>
          <cell r="I4861" t="str">
            <v>6125 - Transportation and Fuel</v>
          </cell>
          <cell r="J4861">
            <v>0</v>
          </cell>
          <cell r="K4861" t="str">
            <v>Executive</v>
          </cell>
          <cell r="L4861" t="str">
            <v>T&amp;E</v>
          </cell>
          <cell r="N4861" t="str">
            <v>SG&amp;A</v>
          </cell>
          <cell r="O4861" t="str">
            <v>[No Vendor]</v>
          </cell>
        </row>
        <row r="4862">
          <cell r="D4862">
            <v>8.1999999999999993</v>
          </cell>
          <cell r="H4862">
            <v>45597</v>
          </cell>
          <cell r="I4862" t="str">
            <v>6125 - Transportation and Fuel</v>
          </cell>
          <cell r="J4862">
            <v>0</v>
          </cell>
          <cell r="K4862" t="str">
            <v>Executive</v>
          </cell>
          <cell r="L4862" t="str">
            <v>T&amp;E</v>
          </cell>
          <cell r="N4862" t="str">
            <v>SG&amp;A</v>
          </cell>
          <cell r="O4862" t="str">
            <v>[No Vendor]</v>
          </cell>
        </row>
        <row r="4863">
          <cell r="D4863">
            <v>8.17</v>
          </cell>
          <cell r="H4863">
            <v>45597</v>
          </cell>
          <cell r="I4863" t="str">
            <v>6125 - Transportation and Fuel</v>
          </cell>
          <cell r="J4863">
            <v>0</v>
          </cell>
          <cell r="K4863" t="str">
            <v>Executive</v>
          </cell>
          <cell r="L4863" t="str">
            <v>T&amp;E</v>
          </cell>
          <cell r="N4863" t="str">
            <v>SG&amp;A</v>
          </cell>
          <cell r="O4863" t="str">
            <v>[No Vendor]</v>
          </cell>
        </row>
        <row r="4864">
          <cell r="D4864">
            <v>5.0999999999999996</v>
          </cell>
          <cell r="H4864">
            <v>45597</v>
          </cell>
          <cell r="I4864" t="str">
            <v>6125 - Transportation and Fuel</v>
          </cell>
          <cell r="J4864">
            <v>0</v>
          </cell>
          <cell r="K4864" t="str">
            <v>Executive</v>
          </cell>
          <cell r="L4864" t="str">
            <v>T&amp;E</v>
          </cell>
          <cell r="N4864" t="str">
            <v>SG&amp;A</v>
          </cell>
          <cell r="O4864" t="str">
            <v>[No Vendor]</v>
          </cell>
        </row>
        <row r="4865">
          <cell r="D4865">
            <v>47.12</v>
          </cell>
          <cell r="H4865">
            <v>45597</v>
          </cell>
          <cell r="I4865" t="str">
            <v>6125 - Transportation and Fuel</v>
          </cell>
          <cell r="J4865">
            <v>0</v>
          </cell>
          <cell r="K4865" t="str">
            <v>Executive</v>
          </cell>
          <cell r="L4865" t="str">
            <v>T&amp;E</v>
          </cell>
          <cell r="N4865" t="str">
            <v>SG&amp;A</v>
          </cell>
          <cell r="O4865" t="str">
            <v>[No Vendor]</v>
          </cell>
        </row>
        <row r="4866">
          <cell r="D4866">
            <v>68.98</v>
          </cell>
          <cell r="H4866">
            <v>45597</v>
          </cell>
          <cell r="I4866" t="str">
            <v>6125 - Transportation and Fuel</v>
          </cell>
          <cell r="J4866">
            <v>0</v>
          </cell>
          <cell r="K4866" t="str">
            <v>Executive</v>
          </cell>
          <cell r="L4866" t="str">
            <v>T&amp;E</v>
          </cell>
          <cell r="N4866" t="str">
            <v>SG&amp;A</v>
          </cell>
          <cell r="O4866" t="str">
            <v>[No Vendor]</v>
          </cell>
        </row>
        <row r="4867">
          <cell r="D4867">
            <v>24.32</v>
          </cell>
          <cell r="H4867">
            <v>45597</v>
          </cell>
          <cell r="I4867" t="str">
            <v>6125 - Transportation and Fuel</v>
          </cell>
          <cell r="J4867">
            <v>0</v>
          </cell>
          <cell r="K4867" t="str">
            <v>Executive</v>
          </cell>
          <cell r="L4867" t="str">
            <v>T&amp;E</v>
          </cell>
          <cell r="N4867" t="str">
            <v>SG&amp;A</v>
          </cell>
          <cell r="O4867" t="str">
            <v>[No Vendor]</v>
          </cell>
        </row>
        <row r="4868">
          <cell r="D4868">
            <v>23.41</v>
          </cell>
          <cell r="H4868">
            <v>45597</v>
          </cell>
          <cell r="I4868" t="str">
            <v>6125 - Transportation and Fuel</v>
          </cell>
          <cell r="J4868">
            <v>0</v>
          </cell>
          <cell r="K4868" t="str">
            <v>Executive</v>
          </cell>
          <cell r="L4868" t="str">
            <v>T&amp;E</v>
          </cell>
          <cell r="N4868" t="str">
            <v>SG&amp;A</v>
          </cell>
          <cell r="O4868" t="str">
            <v>[No Vendor]</v>
          </cell>
        </row>
        <row r="4869">
          <cell r="D4869">
            <v>16</v>
          </cell>
          <cell r="H4869">
            <v>45597</v>
          </cell>
          <cell r="I4869" t="str">
            <v>6105 - Meals</v>
          </cell>
          <cell r="J4869">
            <v>0</v>
          </cell>
          <cell r="K4869" t="str">
            <v>Executive</v>
          </cell>
          <cell r="L4869" t="str">
            <v>T&amp;E</v>
          </cell>
          <cell r="N4869" t="str">
            <v>SG&amp;A</v>
          </cell>
          <cell r="O4869" t="str">
            <v>[No Vendor]</v>
          </cell>
        </row>
        <row r="4870">
          <cell r="D4870">
            <v>8.7100000000000009</v>
          </cell>
          <cell r="H4870">
            <v>45597</v>
          </cell>
          <cell r="I4870" t="str">
            <v>6105 - Meals</v>
          </cell>
          <cell r="J4870">
            <v>0</v>
          </cell>
          <cell r="K4870" t="str">
            <v>Executive</v>
          </cell>
          <cell r="L4870" t="str">
            <v>T&amp;E</v>
          </cell>
          <cell r="N4870" t="str">
            <v>SG&amp;A</v>
          </cell>
          <cell r="O4870" t="str">
            <v>[No Vendor]</v>
          </cell>
        </row>
        <row r="4871">
          <cell r="D4871">
            <v>2.11</v>
          </cell>
          <cell r="H4871">
            <v>45597</v>
          </cell>
          <cell r="I4871" t="str">
            <v>6105 - Meals</v>
          </cell>
          <cell r="J4871">
            <v>0</v>
          </cell>
          <cell r="K4871" t="str">
            <v>Executive</v>
          </cell>
          <cell r="L4871" t="str">
            <v>T&amp;E</v>
          </cell>
          <cell r="N4871" t="str">
            <v>SG&amp;A</v>
          </cell>
          <cell r="O4871" t="str">
            <v>[No Vendor]</v>
          </cell>
        </row>
        <row r="4872">
          <cell r="D4872">
            <v>222.43</v>
          </cell>
          <cell r="H4872">
            <v>45597</v>
          </cell>
          <cell r="I4872" t="str">
            <v>6105 - Meals</v>
          </cell>
          <cell r="J4872">
            <v>0</v>
          </cell>
          <cell r="K4872" t="str">
            <v>Executive</v>
          </cell>
          <cell r="L4872" t="str">
            <v>T&amp;E</v>
          </cell>
          <cell r="N4872" t="str">
            <v>SG&amp;A</v>
          </cell>
          <cell r="O4872" t="str">
            <v>[No Vendor]</v>
          </cell>
        </row>
        <row r="4873">
          <cell r="D4873">
            <v>11.45</v>
          </cell>
          <cell r="H4873">
            <v>45597</v>
          </cell>
          <cell r="I4873" t="str">
            <v>6105 - Meals</v>
          </cell>
          <cell r="J4873">
            <v>0</v>
          </cell>
          <cell r="K4873" t="str">
            <v>Executive</v>
          </cell>
          <cell r="L4873" t="str">
            <v>T&amp;E</v>
          </cell>
          <cell r="N4873" t="str">
            <v>SG&amp;A</v>
          </cell>
          <cell r="O4873" t="str">
            <v>[No Vendor]</v>
          </cell>
        </row>
        <row r="4874">
          <cell r="D4874">
            <v>52.87</v>
          </cell>
          <cell r="H4874">
            <v>45597</v>
          </cell>
          <cell r="I4874" t="str">
            <v>6105 - Meals</v>
          </cell>
          <cell r="J4874">
            <v>0</v>
          </cell>
          <cell r="K4874" t="str">
            <v>Administration</v>
          </cell>
          <cell r="L4874" t="str">
            <v>T&amp;E</v>
          </cell>
          <cell r="N4874" t="str">
            <v>SG&amp;A</v>
          </cell>
          <cell r="O4874" t="str">
            <v>[No Vendor]</v>
          </cell>
        </row>
        <row r="4875">
          <cell r="D4875">
            <v>-30.05</v>
          </cell>
          <cell r="H4875">
            <v>45597</v>
          </cell>
          <cell r="I4875" t="str">
            <v>6105 - Meals</v>
          </cell>
          <cell r="J4875">
            <v>0</v>
          </cell>
          <cell r="K4875" t="str">
            <v>Executive</v>
          </cell>
          <cell r="L4875" t="str">
            <v>T&amp;E</v>
          </cell>
          <cell r="N4875" t="str">
            <v>SG&amp;A</v>
          </cell>
          <cell r="O4875" t="str">
            <v>[No Vendor]</v>
          </cell>
        </row>
        <row r="4876">
          <cell r="D4876">
            <v>-10.76</v>
          </cell>
          <cell r="H4876">
            <v>45597</v>
          </cell>
          <cell r="I4876" t="str">
            <v>6105 - Meals</v>
          </cell>
          <cell r="J4876">
            <v>0</v>
          </cell>
          <cell r="K4876" t="str">
            <v>Executive</v>
          </cell>
          <cell r="L4876" t="str">
            <v>T&amp;E</v>
          </cell>
          <cell r="N4876" t="str">
            <v>SG&amp;A</v>
          </cell>
          <cell r="O4876" t="str">
            <v>[No Vendor]</v>
          </cell>
        </row>
        <row r="4877">
          <cell r="D4877">
            <v>10.76</v>
          </cell>
          <cell r="H4877">
            <v>45597</v>
          </cell>
          <cell r="I4877" t="str">
            <v>6105 - Meals</v>
          </cell>
          <cell r="J4877">
            <v>0</v>
          </cell>
          <cell r="K4877" t="str">
            <v>Executive</v>
          </cell>
          <cell r="L4877" t="str">
            <v>T&amp;E</v>
          </cell>
          <cell r="N4877" t="str">
            <v>SG&amp;A</v>
          </cell>
          <cell r="O4877" t="str">
            <v>[No Vendor]</v>
          </cell>
        </row>
        <row r="4878">
          <cell r="D4878">
            <v>30.05</v>
          </cell>
          <cell r="H4878">
            <v>45597</v>
          </cell>
          <cell r="I4878" t="str">
            <v>6105 - Meals</v>
          </cell>
          <cell r="J4878">
            <v>0</v>
          </cell>
          <cell r="K4878" t="str">
            <v>Executive</v>
          </cell>
          <cell r="L4878" t="str">
            <v>T&amp;E</v>
          </cell>
          <cell r="N4878" t="str">
            <v>SG&amp;A</v>
          </cell>
          <cell r="O4878" t="str">
            <v>[No Vendor]</v>
          </cell>
        </row>
        <row r="4879">
          <cell r="D4879">
            <v>90.07</v>
          </cell>
          <cell r="H4879">
            <v>45597</v>
          </cell>
          <cell r="I4879" t="str">
            <v>6105 - Meals</v>
          </cell>
          <cell r="J4879">
            <v>0</v>
          </cell>
          <cell r="K4879" t="str">
            <v>Administration</v>
          </cell>
          <cell r="L4879" t="str">
            <v>T&amp;E</v>
          </cell>
          <cell r="N4879" t="str">
            <v>SG&amp;A</v>
          </cell>
          <cell r="O4879" t="str">
            <v>[No Vendor]</v>
          </cell>
        </row>
        <row r="4880">
          <cell r="D4880">
            <v>175.63</v>
          </cell>
          <cell r="H4880">
            <v>45597</v>
          </cell>
          <cell r="I4880" t="str">
            <v>6375 - Freight Expenses</v>
          </cell>
          <cell r="J4880">
            <v>0</v>
          </cell>
          <cell r="K4880" t="str">
            <v>Production</v>
          </cell>
          <cell r="L4880" t="str">
            <v>Freight</v>
          </cell>
          <cell r="N4880" t="str">
            <v>Direct Costs</v>
          </cell>
          <cell r="O4880" t="str">
            <v>DHL Express - USA</v>
          </cell>
        </row>
        <row r="4881">
          <cell r="D4881">
            <v>218.05</v>
          </cell>
          <cell r="H4881">
            <v>45597</v>
          </cell>
          <cell r="I4881" t="str">
            <v>6375 - Freight Expenses</v>
          </cell>
          <cell r="J4881">
            <v>0</v>
          </cell>
          <cell r="K4881" t="str">
            <v>Production</v>
          </cell>
          <cell r="L4881" t="str">
            <v>Freight</v>
          </cell>
          <cell r="N4881" t="str">
            <v>Direct Costs</v>
          </cell>
          <cell r="O4881" t="str">
            <v>DHL Express - USA</v>
          </cell>
        </row>
        <row r="4882">
          <cell r="D4882">
            <v>1031.32</v>
          </cell>
          <cell r="H4882">
            <v>45597</v>
          </cell>
          <cell r="I4882" t="str">
            <v>6450 - Bank &amp; Other Fees</v>
          </cell>
          <cell r="J4882" t="str">
            <v>Ecommerce (US)</v>
          </cell>
          <cell r="K4882" t="str">
            <v>Ecommerce</v>
          </cell>
          <cell r="L4882" t="str">
            <v>Professional Service</v>
          </cell>
          <cell r="N4882" t="str">
            <v>Direct Costs</v>
          </cell>
          <cell r="O4882" t="str">
            <v>[No Vendor]</v>
          </cell>
        </row>
        <row r="4883">
          <cell r="D4883">
            <v>47.38</v>
          </cell>
          <cell r="H4883">
            <v>45597</v>
          </cell>
          <cell r="I4883" t="str">
            <v>6375 - Freight Expenses</v>
          </cell>
          <cell r="J4883">
            <v>0</v>
          </cell>
          <cell r="K4883" t="str">
            <v>Production</v>
          </cell>
          <cell r="L4883" t="str">
            <v>Freight</v>
          </cell>
          <cell r="N4883" t="str">
            <v>Direct Costs</v>
          </cell>
          <cell r="O4883" t="str">
            <v>DHL Express - USA</v>
          </cell>
        </row>
        <row r="4884">
          <cell r="D4884">
            <v>10777.84</v>
          </cell>
          <cell r="H4884">
            <v>45597</v>
          </cell>
          <cell r="I4884" t="str">
            <v>6225 - Professional Services</v>
          </cell>
          <cell r="J4884" t="str">
            <v>Ecommerce (US)</v>
          </cell>
          <cell r="K4884" t="str">
            <v>Ecommerce</v>
          </cell>
          <cell r="L4884" t="str">
            <v>Professional Service</v>
          </cell>
          <cell r="N4884" t="str">
            <v>Direct Costs</v>
          </cell>
          <cell r="O4884" t="str">
            <v>Rareview, LLC</v>
          </cell>
        </row>
        <row r="4885">
          <cell r="D4885">
            <v>353.54</v>
          </cell>
          <cell r="H4885">
            <v>45597</v>
          </cell>
          <cell r="I4885" t="str">
            <v>6300 - Payroll Service Fees</v>
          </cell>
          <cell r="J4885">
            <v>0</v>
          </cell>
          <cell r="K4885" t="str">
            <v>Administration</v>
          </cell>
          <cell r="L4885" t="str">
            <v>Professional Service</v>
          </cell>
          <cell r="N4885" t="str">
            <v>SG&amp;A</v>
          </cell>
          <cell r="O4885" t="str">
            <v>ADP Payroll Services</v>
          </cell>
        </row>
        <row r="4886">
          <cell r="D4886">
            <v>3.67</v>
          </cell>
          <cell r="H4886">
            <v>45597</v>
          </cell>
          <cell r="I4886" t="str">
            <v>8505 - Realized Gain/Loss</v>
          </cell>
          <cell r="J4886">
            <v>0</v>
          </cell>
          <cell r="K4886" t="str">
            <v>No Department</v>
          </cell>
          <cell r="L4886" t="str">
            <v>Realized Gain / Loss</v>
          </cell>
          <cell r="N4886" t="str">
            <v>BTL</v>
          </cell>
          <cell r="O4886" t="str">
            <v>[No Vendor]</v>
          </cell>
        </row>
        <row r="4887">
          <cell r="D4887">
            <v>405.18</v>
          </cell>
          <cell r="H4887">
            <v>45597</v>
          </cell>
          <cell r="I4887" t="str">
            <v>6375 - Freight Expenses</v>
          </cell>
          <cell r="J4887" t="str">
            <v>Wholesale</v>
          </cell>
          <cell r="K4887" t="str">
            <v>Wholesale</v>
          </cell>
          <cell r="L4887" t="str">
            <v>Freight</v>
          </cell>
          <cell r="N4887" t="str">
            <v>Direct Costs</v>
          </cell>
          <cell r="O4887" t="str">
            <v>UPS Supply Chain Solutions Inc. (7F24A0)</v>
          </cell>
        </row>
        <row r="4888">
          <cell r="D4888">
            <v>16987.98</v>
          </cell>
          <cell r="H4888">
            <v>45597</v>
          </cell>
          <cell r="I4888" t="str">
            <v>6375 - Freight Expenses</v>
          </cell>
          <cell r="J4888" t="str">
            <v>Ecommerce (US)</v>
          </cell>
          <cell r="K4888" t="str">
            <v>Ecommerce</v>
          </cell>
          <cell r="L4888" t="str">
            <v>Freight</v>
          </cell>
          <cell r="N4888" t="str">
            <v>Direct Costs</v>
          </cell>
          <cell r="O4888" t="str">
            <v>UPS Supply Chain Solutions Inc. (7F24A0)</v>
          </cell>
        </row>
        <row r="4889">
          <cell r="D4889">
            <v>1034.31</v>
          </cell>
          <cell r="H4889">
            <v>45597</v>
          </cell>
          <cell r="I4889" t="str">
            <v>6340 - Miscellaneous Expense</v>
          </cell>
          <cell r="J4889">
            <v>0</v>
          </cell>
          <cell r="K4889" t="str">
            <v>Administration</v>
          </cell>
          <cell r="L4889" t="str">
            <v>Other</v>
          </cell>
          <cell r="N4889" t="str">
            <v>SG&amp;A</v>
          </cell>
          <cell r="O4889" t="str">
            <v>Go Gleem LLC</v>
          </cell>
        </row>
        <row r="4890">
          <cell r="D4890">
            <v>25.65</v>
          </cell>
          <cell r="H4890">
            <v>45597</v>
          </cell>
          <cell r="I4890" t="str">
            <v>6375 - Freight Expenses</v>
          </cell>
          <cell r="J4890">
            <v>0</v>
          </cell>
          <cell r="K4890" t="str">
            <v>Production</v>
          </cell>
          <cell r="L4890" t="str">
            <v>Freight</v>
          </cell>
          <cell r="N4890" t="str">
            <v>Direct Costs</v>
          </cell>
          <cell r="O4890" t="str">
            <v>DHL Express - USA</v>
          </cell>
        </row>
        <row r="4891">
          <cell r="D4891">
            <v>54.15</v>
          </cell>
          <cell r="H4891">
            <v>45597</v>
          </cell>
          <cell r="I4891" t="str">
            <v>6040 - Employer Paid Benefits</v>
          </cell>
          <cell r="J4891">
            <v>0</v>
          </cell>
          <cell r="K4891" t="str">
            <v>Administration</v>
          </cell>
          <cell r="L4891" t="str">
            <v>HQ Salaries</v>
          </cell>
          <cell r="N4891" t="str">
            <v>SG&amp;A</v>
          </cell>
          <cell r="O4891" t="str">
            <v>Procyon Benefits LLC</v>
          </cell>
        </row>
        <row r="4892">
          <cell r="D4892">
            <v>1030</v>
          </cell>
          <cell r="H4892">
            <v>45597</v>
          </cell>
          <cell r="I4892" t="str">
            <v>6240 - Product Photography</v>
          </cell>
          <cell r="J4892" t="str">
            <v>Ecommerce (US)</v>
          </cell>
          <cell r="K4892" t="str">
            <v>Brand Marketing</v>
          </cell>
          <cell r="L4892" t="str">
            <v>Advertising</v>
          </cell>
          <cell r="N4892" t="str">
            <v>SG&amp;A</v>
          </cell>
          <cell r="O4892" t="str">
            <v>LENFLASH dot COM</v>
          </cell>
        </row>
        <row r="4893">
          <cell r="D4893">
            <v>4410</v>
          </cell>
          <cell r="H4893">
            <v>45597</v>
          </cell>
          <cell r="I4893" t="str">
            <v>6240 - Product Photography</v>
          </cell>
          <cell r="J4893" t="str">
            <v>Ecommerce (US)</v>
          </cell>
          <cell r="K4893" t="str">
            <v>Brand Marketing</v>
          </cell>
          <cell r="L4893" t="str">
            <v>Advertising</v>
          </cell>
          <cell r="N4893" t="str">
            <v>SG&amp;A</v>
          </cell>
          <cell r="O4893" t="str">
            <v>LENFLASH dot COM</v>
          </cell>
        </row>
        <row r="4894">
          <cell r="D4894">
            <v>1915</v>
          </cell>
          <cell r="H4894">
            <v>45597</v>
          </cell>
          <cell r="I4894" t="str">
            <v>6240 - Product Photography</v>
          </cell>
          <cell r="J4894" t="str">
            <v>Ecommerce (US)</v>
          </cell>
          <cell r="K4894" t="str">
            <v>Brand Marketing</v>
          </cell>
          <cell r="L4894" t="str">
            <v>Advertising</v>
          </cell>
          <cell r="N4894" t="str">
            <v>SG&amp;A</v>
          </cell>
          <cell r="O4894" t="str">
            <v>LENFLASH dot COM</v>
          </cell>
        </row>
        <row r="4895">
          <cell r="D4895">
            <v>3670</v>
          </cell>
          <cell r="H4895">
            <v>45597</v>
          </cell>
          <cell r="I4895" t="str">
            <v>6240 - Product Photography</v>
          </cell>
          <cell r="J4895" t="str">
            <v>Ecommerce (US)</v>
          </cell>
          <cell r="K4895" t="str">
            <v>Brand Marketing</v>
          </cell>
          <cell r="L4895" t="str">
            <v>Advertising</v>
          </cell>
          <cell r="N4895" t="str">
            <v>SG&amp;A</v>
          </cell>
          <cell r="O4895" t="str">
            <v>LENFLASH dot COM</v>
          </cell>
        </row>
        <row r="4896">
          <cell r="D4896">
            <v>10150</v>
          </cell>
          <cell r="H4896">
            <v>45597</v>
          </cell>
          <cell r="I4896" t="str">
            <v>6240 - Product Photography</v>
          </cell>
          <cell r="J4896" t="str">
            <v>Ecommerce (US)</v>
          </cell>
          <cell r="K4896" t="str">
            <v>Brand Marketing</v>
          </cell>
          <cell r="L4896" t="str">
            <v>Advertising</v>
          </cell>
          <cell r="N4896" t="str">
            <v>SG&amp;A</v>
          </cell>
          <cell r="O4896" t="str">
            <v>Theerapol Thammasitboon</v>
          </cell>
        </row>
        <row r="4897">
          <cell r="D4897">
            <v>2100</v>
          </cell>
          <cell r="H4897">
            <v>45597</v>
          </cell>
          <cell r="I4897" t="str">
            <v>6205 - Contractors</v>
          </cell>
          <cell r="J4897">
            <v>0</v>
          </cell>
          <cell r="K4897" t="str">
            <v>Brand Marketing</v>
          </cell>
          <cell r="L4897" t="str">
            <v>HQ Salaries</v>
          </cell>
          <cell r="N4897" t="str">
            <v>SG&amp;A</v>
          </cell>
          <cell r="O4897" t="str">
            <v>Ammy  Thitichaya Chan</v>
          </cell>
        </row>
        <row r="4898">
          <cell r="D4898">
            <v>2100</v>
          </cell>
          <cell r="H4898">
            <v>45597</v>
          </cell>
          <cell r="I4898" t="str">
            <v>6225 - Professional Services</v>
          </cell>
          <cell r="J4898">
            <v>0</v>
          </cell>
          <cell r="K4898" t="str">
            <v>Brand Marketing</v>
          </cell>
          <cell r="L4898" t="str">
            <v>Professional Service</v>
          </cell>
          <cell r="N4898" t="str">
            <v>Direct Costs</v>
          </cell>
          <cell r="O4898" t="str">
            <v>Melody  Huang</v>
          </cell>
        </row>
        <row r="4899">
          <cell r="D4899">
            <v>4750</v>
          </cell>
          <cell r="H4899">
            <v>45597</v>
          </cell>
          <cell r="I4899" t="str">
            <v>6225 - Professional Services</v>
          </cell>
          <cell r="J4899">
            <v>0</v>
          </cell>
          <cell r="K4899" t="str">
            <v>Brand Marketing</v>
          </cell>
          <cell r="L4899" t="str">
            <v>Professional Service</v>
          </cell>
          <cell r="N4899" t="str">
            <v>Direct Costs</v>
          </cell>
          <cell r="O4899" t="str">
            <v>Melody  Huang</v>
          </cell>
        </row>
        <row r="4900">
          <cell r="D4900">
            <v>17.989999999999998</v>
          </cell>
          <cell r="H4900">
            <v>45597</v>
          </cell>
          <cell r="I4900" t="str">
            <v>6040 - Employer Paid Benefits</v>
          </cell>
          <cell r="J4900" t="str">
            <v>Wholesale</v>
          </cell>
          <cell r="K4900" t="str">
            <v>Wholesale</v>
          </cell>
          <cell r="L4900" t="str">
            <v>HQ Salaries</v>
          </cell>
          <cell r="N4900" t="str">
            <v>SG&amp;A</v>
          </cell>
          <cell r="O4900" t="str">
            <v>Procyon Benefits LLC</v>
          </cell>
        </row>
        <row r="4901">
          <cell r="D4901">
            <v>47.8</v>
          </cell>
          <cell r="H4901">
            <v>45597</v>
          </cell>
          <cell r="I4901" t="str">
            <v>6040 - Employer Paid Benefits</v>
          </cell>
          <cell r="J4901" t="str">
            <v>Ecommerce (US)</v>
          </cell>
          <cell r="K4901" t="str">
            <v>Ecommerce</v>
          </cell>
          <cell r="L4901" t="str">
            <v>HQ Salaries</v>
          </cell>
          <cell r="N4901" t="str">
            <v>SG&amp;A</v>
          </cell>
          <cell r="O4901" t="str">
            <v>Procyon Benefits LLC</v>
          </cell>
        </row>
        <row r="4902">
          <cell r="D4902">
            <v>11.6</v>
          </cell>
          <cell r="H4902">
            <v>45597</v>
          </cell>
          <cell r="I4902" t="str">
            <v>6040 - Employer Paid Benefits</v>
          </cell>
          <cell r="J4902">
            <v>0</v>
          </cell>
          <cell r="K4902" t="str">
            <v>Production</v>
          </cell>
          <cell r="L4902" t="str">
            <v>HQ Salaries</v>
          </cell>
          <cell r="N4902" t="str">
            <v>SG&amp;A</v>
          </cell>
          <cell r="O4902" t="str">
            <v>Procyon Benefits LLC</v>
          </cell>
        </row>
        <row r="4903">
          <cell r="D4903">
            <v>31.9</v>
          </cell>
          <cell r="H4903">
            <v>45597</v>
          </cell>
          <cell r="I4903" t="str">
            <v>6040 - Employer Paid Benefits</v>
          </cell>
          <cell r="J4903">
            <v>0</v>
          </cell>
          <cell r="K4903" t="str">
            <v>Merchandising</v>
          </cell>
          <cell r="L4903" t="str">
            <v>HQ Salaries</v>
          </cell>
          <cell r="N4903" t="str">
            <v>SG&amp;A</v>
          </cell>
          <cell r="O4903" t="str">
            <v>Procyon Benefits LLC</v>
          </cell>
        </row>
        <row r="4904">
          <cell r="D4904">
            <v>31.82</v>
          </cell>
          <cell r="H4904">
            <v>45597</v>
          </cell>
          <cell r="I4904" t="str">
            <v>6040 - Employer Paid Benefits</v>
          </cell>
          <cell r="J4904">
            <v>0</v>
          </cell>
          <cell r="K4904" t="str">
            <v>Executive</v>
          </cell>
          <cell r="L4904" t="str">
            <v>HQ Salaries</v>
          </cell>
          <cell r="N4904" t="str">
            <v>SG&amp;A</v>
          </cell>
          <cell r="O4904" t="str">
            <v>Procyon Benefits LLC</v>
          </cell>
        </row>
        <row r="4905">
          <cell r="D4905">
            <v>400</v>
          </cell>
          <cell r="H4905">
            <v>45597</v>
          </cell>
          <cell r="I4905" t="str">
            <v>6040 - Employer Paid Benefits</v>
          </cell>
          <cell r="J4905">
            <v>0</v>
          </cell>
          <cell r="K4905" t="str">
            <v>Design</v>
          </cell>
          <cell r="L4905" t="str">
            <v>HQ Salaries</v>
          </cell>
          <cell r="N4905" t="str">
            <v>SG&amp;A</v>
          </cell>
          <cell r="O4905" t="str">
            <v>Procyon Benefits LLC</v>
          </cell>
        </row>
        <row r="4906">
          <cell r="D4906">
            <v>907.4</v>
          </cell>
          <cell r="H4906">
            <v>45597</v>
          </cell>
          <cell r="I4906" t="str">
            <v>6040 - Employer Paid Benefits</v>
          </cell>
          <cell r="J4906">
            <v>0</v>
          </cell>
          <cell r="K4906" t="str">
            <v>Executive</v>
          </cell>
          <cell r="L4906" t="str">
            <v>HQ Salaries</v>
          </cell>
          <cell r="N4906" t="str">
            <v>SG&amp;A</v>
          </cell>
          <cell r="O4906" t="str">
            <v>Procyon Benefits LLC</v>
          </cell>
        </row>
        <row r="4907">
          <cell r="D4907">
            <v>1245</v>
          </cell>
          <cell r="H4907">
            <v>45597</v>
          </cell>
          <cell r="I4907" t="str">
            <v>6393 - Software</v>
          </cell>
          <cell r="J4907">
            <v>0</v>
          </cell>
          <cell r="K4907" t="str">
            <v>Design</v>
          </cell>
          <cell r="L4907" t="str">
            <v>Professional Service</v>
          </cell>
          <cell r="N4907" t="str">
            <v>Direct Costs</v>
          </cell>
          <cell r="O4907" t="str">
            <v>Backbone</v>
          </cell>
        </row>
        <row r="4908">
          <cell r="D4908">
            <v>3537</v>
          </cell>
          <cell r="H4908">
            <v>45597</v>
          </cell>
          <cell r="I4908" t="str">
            <v>6240 - Product Photography</v>
          </cell>
          <cell r="J4908" t="str">
            <v>Ecommerce (US)</v>
          </cell>
          <cell r="K4908" t="str">
            <v>Brand Marketing</v>
          </cell>
          <cell r="L4908" t="str">
            <v>Advertising</v>
          </cell>
          <cell r="N4908" t="str">
            <v>SG&amp;A</v>
          </cell>
          <cell r="O4908" t="str">
            <v>Theerapol Thammasitboon</v>
          </cell>
        </row>
        <row r="4909">
          <cell r="D4909">
            <v>146</v>
          </cell>
          <cell r="H4909">
            <v>45597</v>
          </cell>
          <cell r="I4909" t="str">
            <v>6370 - Samples</v>
          </cell>
          <cell r="J4909">
            <v>0</v>
          </cell>
          <cell r="K4909" t="str">
            <v>Design</v>
          </cell>
          <cell r="L4909" t="str">
            <v>Sample</v>
          </cell>
          <cell r="N4909" t="str">
            <v>SG&amp;A</v>
          </cell>
          <cell r="O4909" t="str">
            <v>[No Vendor]</v>
          </cell>
        </row>
        <row r="4910">
          <cell r="D4910">
            <v>682.5</v>
          </cell>
          <cell r="H4910">
            <v>45597</v>
          </cell>
          <cell r="I4910" t="str">
            <v>6300 - Payroll Service Fees</v>
          </cell>
          <cell r="J4910">
            <v>0</v>
          </cell>
          <cell r="K4910" t="str">
            <v>Administration</v>
          </cell>
          <cell r="L4910" t="str">
            <v>Professional Service</v>
          </cell>
          <cell r="N4910" t="str">
            <v>SG&amp;A</v>
          </cell>
          <cell r="O4910" t="str">
            <v>OperationsInc, LLC</v>
          </cell>
        </row>
        <row r="4911">
          <cell r="D4911">
            <v>188.94</v>
          </cell>
          <cell r="H4911">
            <v>45597</v>
          </cell>
          <cell r="I4911" t="str">
            <v>6375 - Freight Expenses</v>
          </cell>
          <cell r="J4911">
            <v>0</v>
          </cell>
          <cell r="K4911" t="str">
            <v>Production</v>
          </cell>
          <cell r="L4911" t="str">
            <v>Freight</v>
          </cell>
          <cell r="N4911" t="str">
            <v>Direct Costs</v>
          </cell>
          <cell r="O4911" t="str">
            <v>DHL Express - USA</v>
          </cell>
        </row>
        <row r="4912">
          <cell r="D4912">
            <v>845.77</v>
          </cell>
          <cell r="H4912">
            <v>45597</v>
          </cell>
          <cell r="I4912" t="str">
            <v>6375 - Freight Expenses</v>
          </cell>
          <cell r="J4912">
            <v>0</v>
          </cell>
          <cell r="K4912" t="str">
            <v>Production</v>
          </cell>
          <cell r="L4912" t="str">
            <v>Freight</v>
          </cell>
          <cell r="N4912" t="str">
            <v>Direct Costs</v>
          </cell>
          <cell r="O4912" t="str">
            <v>DHL Express - USA</v>
          </cell>
        </row>
        <row r="4913">
          <cell r="D4913">
            <v>8.94</v>
          </cell>
          <cell r="H4913">
            <v>45597</v>
          </cell>
          <cell r="I4913" t="str">
            <v>6040 - Employer Paid Benefits</v>
          </cell>
          <cell r="J4913" t="str">
            <v>Wholesale</v>
          </cell>
          <cell r="K4913" t="str">
            <v>Wholesale</v>
          </cell>
          <cell r="L4913" t="str">
            <v>HQ Salaries</v>
          </cell>
          <cell r="N4913" t="str">
            <v>SG&amp;A</v>
          </cell>
          <cell r="O4913" t="str">
            <v>Procyon Benefits LLC</v>
          </cell>
        </row>
        <row r="4914">
          <cell r="D4914">
            <v>12</v>
          </cell>
          <cell r="H4914">
            <v>45597</v>
          </cell>
          <cell r="I4914" t="str">
            <v>6040 - Employer Paid Benefits</v>
          </cell>
          <cell r="J4914" t="str">
            <v>Ecommerce (US)</v>
          </cell>
          <cell r="K4914" t="str">
            <v>Ecommerce</v>
          </cell>
          <cell r="L4914" t="str">
            <v>HQ Salaries</v>
          </cell>
          <cell r="N4914" t="str">
            <v>SG&amp;A</v>
          </cell>
          <cell r="O4914" t="str">
            <v>Procyon Benefits LLC</v>
          </cell>
        </row>
        <row r="4915">
          <cell r="D4915">
            <v>436.46</v>
          </cell>
          <cell r="H4915">
            <v>45597</v>
          </cell>
          <cell r="I4915" t="str">
            <v>6040 - Employer Paid Benefits</v>
          </cell>
          <cell r="J4915">
            <v>0</v>
          </cell>
          <cell r="K4915" t="str">
            <v>Production</v>
          </cell>
          <cell r="L4915" t="str">
            <v>HQ Salaries</v>
          </cell>
          <cell r="N4915" t="str">
            <v>SG&amp;A</v>
          </cell>
          <cell r="O4915" t="str">
            <v>Procyon Benefits LLC</v>
          </cell>
        </row>
        <row r="4916">
          <cell r="D4916">
            <v>43.6</v>
          </cell>
          <cell r="H4916">
            <v>45597</v>
          </cell>
          <cell r="I4916" t="str">
            <v>6040 - Employer Paid Benefits</v>
          </cell>
          <cell r="J4916">
            <v>0</v>
          </cell>
          <cell r="K4916" t="str">
            <v>Merchandising</v>
          </cell>
          <cell r="L4916" t="str">
            <v>HQ Salaries</v>
          </cell>
          <cell r="N4916" t="str">
            <v>SG&amp;A</v>
          </cell>
          <cell r="O4916" t="str">
            <v>Procyon Benefits LLC</v>
          </cell>
        </row>
        <row r="4917">
          <cell r="D4917">
            <v>93.05</v>
          </cell>
          <cell r="H4917">
            <v>45597</v>
          </cell>
          <cell r="I4917" t="str">
            <v>6105 - Meals</v>
          </cell>
          <cell r="J4917">
            <v>0</v>
          </cell>
          <cell r="K4917" t="str">
            <v>Administration</v>
          </cell>
          <cell r="L4917" t="str">
            <v>T&amp;E</v>
          </cell>
          <cell r="N4917" t="str">
            <v>SG&amp;A</v>
          </cell>
          <cell r="O4917" t="str">
            <v>[No Vendor]</v>
          </cell>
        </row>
        <row r="4918">
          <cell r="D4918">
            <v>2400</v>
          </cell>
          <cell r="H4918">
            <v>45597</v>
          </cell>
          <cell r="I4918" t="str">
            <v>6288 - Model</v>
          </cell>
          <cell r="J4918" t="str">
            <v>Ecommerce (US)</v>
          </cell>
          <cell r="K4918" t="str">
            <v>Brand Marketing</v>
          </cell>
          <cell r="L4918" t="str">
            <v>Advertising</v>
          </cell>
          <cell r="N4918" t="str">
            <v>SG&amp;A</v>
          </cell>
          <cell r="O4918" t="str">
            <v>New York Model Management, Inc.</v>
          </cell>
        </row>
        <row r="4919">
          <cell r="D4919">
            <v>6.25</v>
          </cell>
          <cell r="H4919">
            <v>45597</v>
          </cell>
          <cell r="I4919" t="str">
            <v>6340 - Miscellaneous Expense</v>
          </cell>
          <cell r="J4919">
            <v>0</v>
          </cell>
          <cell r="K4919" t="str">
            <v>Administration</v>
          </cell>
          <cell r="L4919" t="str">
            <v>Other</v>
          </cell>
          <cell r="N4919" t="str">
            <v>SG&amp;A</v>
          </cell>
          <cell r="O4919" t="str">
            <v>[No Vendor]</v>
          </cell>
        </row>
        <row r="4920">
          <cell r="D4920">
            <v>719.8</v>
          </cell>
          <cell r="H4920">
            <v>45597</v>
          </cell>
          <cell r="I4920" t="str">
            <v>6410 - Lease Expense</v>
          </cell>
          <cell r="J4920">
            <v>0</v>
          </cell>
          <cell r="K4920" t="str">
            <v>Administration</v>
          </cell>
          <cell r="L4920" t="str">
            <v>Rent</v>
          </cell>
          <cell r="N4920" t="str">
            <v>SG&amp;A</v>
          </cell>
          <cell r="O4920" t="str">
            <v>Canon Financial Services, Inc.</v>
          </cell>
        </row>
        <row r="4921">
          <cell r="D4921">
            <v>16.97</v>
          </cell>
          <cell r="H4921">
            <v>45597</v>
          </cell>
          <cell r="I4921" t="str">
            <v>6105 - Meals</v>
          </cell>
          <cell r="J4921">
            <v>0</v>
          </cell>
          <cell r="K4921" t="str">
            <v>Administration</v>
          </cell>
          <cell r="L4921" t="str">
            <v>T&amp;E</v>
          </cell>
          <cell r="N4921" t="str">
            <v>SG&amp;A</v>
          </cell>
          <cell r="O4921" t="str">
            <v>[No Vendor]</v>
          </cell>
        </row>
        <row r="4922">
          <cell r="D4922">
            <v>45.66</v>
          </cell>
          <cell r="H4922">
            <v>45597</v>
          </cell>
          <cell r="I4922" t="str">
            <v>6375 - Freight Expenses</v>
          </cell>
          <cell r="J4922" t="str">
            <v>Wholesale</v>
          </cell>
          <cell r="K4922" t="str">
            <v>Wholesale</v>
          </cell>
          <cell r="L4922" t="str">
            <v>Freight</v>
          </cell>
          <cell r="N4922" t="str">
            <v>Direct Costs</v>
          </cell>
          <cell r="O4922" t="str">
            <v>Bergen Logistics Corporation</v>
          </cell>
        </row>
        <row r="4923">
          <cell r="D4923">
            <v>33519.9</v>
          </cell>
          <cell r="H4923">
            <v>45597</v>
          </cell>
          <cell r="I4923" t="str">
            <v>6377 - Order Processing Expenses (New)</v>
          </cell>
          <cell r="J4923" t="str">
            <v>Ecommerce (US)</v>
          </cell>
          <cell r="K4923" t="str">
            <v>Ecommerce</v>
          </cell>
          <cell r="L4923" t="str">
            <v>Order Processing</v>
          </cell>
          <cell r="N4923" t="str">
            <v>Direct Costs</v>
          </cell>
          <cell r="O4923" t="str">
            <v>Bergen Logistics Corporation</v>
          </cell>
        </row>
        <row r="4924">
          <cell r="D4924">
            <v>1650.51</v>
          </cell>
          <cell r="H4924">
            <v>45597</v>
          </cell>
          <cell r="I4924" t="str">
            <v>6377 - Order Processing Expenses (New)</v>
          </cell>
          <cell r="J4924" t="str">
            <v>Wholesale</v>
          </cell>
          <cell r="K4924" t="str">
            <v>Wholesale</v>
          </cell>
          <cell r="L4924" t="str">
            <v>Order Processing</v>
          </cell>
          <cell r="N4924" t="str">
            <v>Direct Costs</v>
          </cell>
          <cell r="O4924" t="str">
            <v>Bergen Logistics Corporation</v>
          </cell>
        </row>
        <row r="4925">
          <cell r="D4925">
            <v>20</v>
          </cell>
          <cell r="H4925">
            <v>45597</v>
          </cell>
          <cell r="I4925" t="str">
            <v>6340 - Miscellaneous Expense</v>
          </cell>
          <cell r="J4925">
            <v>0</v>
          </cell>
          <cell r="K4925" t="str">
            <v>Administration</v>
          </cell>
          <cell r="L4925" t="str">
            <v>Other</v>
          </cell>
          <cell r="N4925" t="str">
            <v>SG&amp;A</v>
          </cell>
          <cell r="O4925" t="str">
            <v>[No Vendor]</v>
          </cell>
        </row>
        <row r="4926">
          <cell r="D4926">
            <v>4500</v>
          </cell>
          <cell r="H4926">
            <v>45597</v>
          </cell>
          <cell r="I4926" t="str">
            <v>6225 - Professional Services</v>
          </cell>
          <cell r="J4926" t="str">
            <v>Ecommerce (US)</v>
          </cell>
          <cell r="K4926" t="str">
            <v>Ecommerce</v>
          </cell>
          <cell r="L4926" t="str">
            <v>Professional Service</v>
          </cell>
          <cell r="N4926" t="str">
            <v>Direct Costs</v>
          </cell>
          <cell r="O4926" t="str">
            <v>Freeflow LLC</v>
          </cell>
        </row>
        <row r="4927">
          <cell r="D4927">
            <v>71.150000000000006</v>
          </cell>
          <cell r="H4927">
            <v>45597</v>
          </cell>
          <cell r="I4927" t="str">
            <v>6375 - Freight Expenses</v>
          </cell>
          <cell r="J4927" t="str">
            <v>Ecommerce (US)</v>
          </cell>
          <cell r="K4927" t="str">
            <v>Ecommerce</v>
          </cell>
          <cell r="L4927" t="str">
            <v>Freight</v>
          </cell>
          <cell r="N4927" t="str">
            <v>Direct Costs</v>
          </cell>
          <cell r="O4927" t="str">
            <v>Bergen Logistics Corporation</v>
          </cell>
        </row>
        <row r="4928">
          <cell r="D4928">
            <v>27015.41</v>
          </cell>
          <cell r="H4928">
            <v>45597</v>
          </cell>
          <cell r="I4928" t="str">
            <v>6005 - Salaries</v>
          </cell>
          <cell r="J4928">
            <v>0</v>
          </cell>
          <cell r="K4928" t="str">
            <v>Administration</v>
          </cell>
          <cell r="L4928" t="str">
            <v>HQ Salaries</v>
          </cell>
          <cell r="N4928" t="str">
            <v>SG&amp;A</v>
          </cell>
          <cell r="O4928" t="str">
            <v>[No Vendor]</v>
          </cell>
        </row>
        <row r="4929">
          <cell r="D4929">
            <v>1249.23</v>
          </cell>
          <cell r="H4929">
            <v>45597</v>
          </cell>
          <cell r="I4929" t="str">
            <v>6015 - Vacation - PTO Exp</v>
          </cell>
          <cell r="J4929">
            <v>0</v>
          </cell>
          <cell r="K4929" t="str">
            <v>Design</v>
          </cell>
          <cell r="L4929" t="str">
            <v>HQ Salaries</v>
          </cell>
          <cell r="N4929" t="str">
            <v>SG&amp;A</v>
          </cell>
          <cell r="O4929" t="str">
            <v>[No Vendor]</v>
          </cell>
        </row>
        <row r="4930">
          <cell r="D4930">
            <v>30450.03</v>
          </cell>
          <cell r="H4930">
            <v>45597</v>
          </cell>
          <cell r="I4930" t="str">
            <v>6035 - Severance Expense</v>
          </cell>
          <cell r="J4930" t="str">
            <v>Wholesale</v>
          </cell>
          <cell r="K4930" t="str">
            <v>Wholesale</v>
          </cell>
          <cell r="L4930" t="str">
            <v>HQ Salaries</v>
          </cell>
          <cell r="N4930" t="str">
            <v>SG&amp;A</v>
          </cell>
          <cell r="O4930" t="str">
            <v>[No Vendor]</v>
          </cell>
        </row>
        <row r="4931">
          <cell r="D4931">
            <v>0</v>
          </cell>
          <cell r="H4931">
            <v>45597</v>
          </cell>
          <cell r="I4931" t="str">
            <v>6205 - Contractors</v>
          </cell>
          <cell r="J4931">
            <v>0</v>
          </cell>
          <cell r="K4931" t="str">
            <v>Brand Marketing</v>
          </cell>
          <cell r="L4931" t="str">
            <v>HQ Salaries</v>
          </cell>
          <cell r="N4931" t="str">
            <v>SG&amp;A</v>
          </cell>
          <cell r="O4931" t="str">
            <v>[No Vendor]</v>
          </cell>
        </row>
        <row r="4932">
          <cell r="D4932">
            <v>0</v>
          </cell>
          <cell r="H4932">
            <v>45597</v>
          </cell>
          <cell r="I4932" t="str">
            <v>6205 - Contractors</v>
          </cell>
          <cell r="J4932" t="str">
            <v>Ecommerce (US)</v>
          </cell>
          <cell r="K4932" t="str">
            <v>Ecommerce</v>
          </cell>
          <cell r="L4932" t="str">
            <v>HQ Salaries</v>
          </cell>
          <cell r="N4932" t="str">
            <v>SG&amp;A</v>
          </cell>
          <cell r="O4932" t="str">
            <v>[No Vendor]</v>
          </cell>
        </row>
        <row r="4933">
          <cell r="D4933">
            <v>0</v>
          </cell>
          <cell r="H4933">
            <v>45597</v>
          </cell>
          <cell r="I4933" t="str">
            <v>6205 - Contractors</v>
          </cell>
          <cell r="J4933">
            <v>0</v>
          </cell>
          <cell r="K4933" t="str">
            <v>Design</v>
          </cell>
          <cell r="L4933" t="str">
            <v>HQ Salaries</v>
          </cell>
          <cell r="N4933" t="str">
            <v>SG&amp;A</v>
          </cell>
          <cell r="O4933" t="str">
            <v>[No Vendor]</v>
          </cell>
        </row>
        <row r="4934">
          <cell r="D4934">
            <v>-28.82</v>
          </cell>
          <cell r="H4934">
            <v>45597</v>
          </cell>
          <cell r="I4934" t="str">
            <v>6385 - Insurance</v>
          </cell>
          <cell r="J4934">
            <v>0</v>
          </cell>
          <cell r="K4934" t="str">
            <v>Administration</v>
          </cell>
          <cell r="L4934" t="str">
            <v>Professional Service</v>
          </cell>
          <cell r="N4934" t="str">
            <v>SG&amp;A</v>
          </cell>
          <cell r="O4934" t="str">
            <v>[No Vendor]</v>
          </cell>
        </row>
        <row r="4935">
          <cell r="D4935">
            <v>-29.56</v>
          </cell>
          <cell r="H4935">
            <v>45597</v>
          </cell>
          <cell r="I4935" t="str">
            <v>6385 - Insurance</v>
          </cell>
          <cell r="J4935">
            <v>0</v>
          </cell>
          <cell r="K4935" t="str">
            <v>Administration</v>
          </cell>
          <cell r="L4935" t="str">
            <v>Professional Service</v>
          </cell>
          <cell r="N4935" t="str">
            <v>SG&amp;A</v>
          </cell>
          <cell r="O4935" t="str">
            <v>[No Vendor]</v>
          </cell>
        </row>
        <row r="4936">
          <cell r="D4936">
            <v>-13.39</v>
          </cell>
          <cell r="H4936">
            <v>45597</v>
          </cell>
          <cell r="I4936" t="str">
            <v>6385 - Insurance</v>
          </cell>
          <cell r="J4936">
            <v>0</v>
          </cell>
          <cell r="K4936" t="str">
            <v>Administration</v>
          </cell>
          <cell r="L4936" t="str">
            <v>Professional Service</v>
          </cell>
          <cell r="N4936" t="str">
            <v>SG&amp;A</v>
          </cell>
          <cell r="O4936" t="str">
            <v>[No Vendor]</v>
          </cell>
        </row>
        <row r="4937">
          <cell r="D4937">
            <v>-1.65</v>
          </cell>
          <cell r="H4937">
            <v>45597</v>
          </cell>
          <cell r="I4937" t="str">
            <v>6385 - Insurance</v>
          </cell>
          <cell r="J4937">
            <v>0</v>
          </cell>
          <cell r="K4937" t="str">
            <v>Administration</v>
          </cell>
          <cell r="L4937" t="str">
            <v>Professional Service</v>
          </cell>
          <cell r="N4937" t="str">
            <v>SG&amp;A</v>
          </cell>
          <cell r="O4937" t="str">
            <v>[No Vendor]</v>
          </cell>
        </row>
        <row r="4938">
          <cell r="D4938">
            <v>-24.28</v>
          </cell>
          <cell r="H4938">
            <v>45597</v>
          </cell>
          <cell r="I4938" t="str">
            <v>6385 - Insurance</v>
          </cell>
          <cell r="J4938">
            <v>0</v>
          </cell>
          <cell r="K4938" t="str">
            <v>Administration</v>
          </cell>
          <cell r="L4938" t="str">
            <v>Professional Service</v>
          </cell>
          <cell r="N4938" t="str">
            <v>SG&amp;A</v>
          </cell>
          <cell r="O4938" t="str">
            <v>[No Vendor]</v>
          </cell>
        </row>
        <row r="4939">
          <cell r="D4939">
            <v>-44.31</v>
          </cell>
          <cell r="H4939">
            <v>45597</v>
          </cell>
          <cell r="I4939" t="str">
            <v>6385 - Insurance</v>
          </cell>
          <cell r="J4939">
            <v>0</v>
          </cell>
          <cell r="K4939" t="str">
            <v>Administration</v>
          </cell>
          <cell r="L4939" t="str">
            <v>Professional Service</v>
          </cell>
          <cell r="N4939" t="str">
            <v>SG&amp;A</v>
          </cell>
          <cell r="O4939" t="str">
            <v>[No Vendor]</v>
          </cell>
        </row>
        <row r="4940">
          <cell r="D4940">
            <v>-40.24</v>
          </cell>
          <cell r="H4940">
            <v>45597</v>
          </cell>
          <cell r="I4940" t="str">
            <v>6385 - Insurance</v>
          </cell>
          <cell r="J4940">
            <v>0</v>
          </cell>
          <cell r="K4940" t="str">
            <v>Administration</v>
          </cell>
          <cell r="L4940" t="str">
            <v>Professional Service</v>
          </cell>
          <cell r="N4940" t="str">
            <v>SG&amp;A</v>
          </cell>
          <cell r="O4940" t="str">
            <v>[No Vendor]</v>
          </cell>
        </row>
        <row r="4941">
          <cell r="D4941">
            <v>-1.2</v>
          </cell>
          <cell r="H4941">
            <v>45597</v>
          </cell>
          <cell r="I4941" t="str">
            <v>6385 - Insurance</v>
          </cell>
          <cell r="J4941">
            <v>0</v>
          </cell>
          <cell r="K4941" t="str">
            <v>Administration</v>
          </cell>
          <cell r="L4941" t="str">
            <v>Professional Service</v>
          </cell>
          <cell r="N4941" t="str">
            <v>SG&amp;A</v>
          </cell>
          <cell r="O4941" t="str">
            <v>[No Vendor]</v>
          </cell>
        </row>
        <row r="4942">
          <cell r="D4942">
            <v>1724.63</v>
          </cell>
          <cell r="H4942">
            <v>45597</v>
          </cell>
          <cell r="I4942" t="str">
            <v>6055 - Employer Social Security Tax Withheld</v>
          </cell>
          <cell r="J4942" t="str">
            <v>Wholesale</v>
          </cell>
          <cell r="K4942" t="str">
            <v>Wholesale</v>
          </cell>
          <cell r="L4942" t="str">
            <v>HQ Salaries</v>
          </cell>
          <cell r="N4942" t="str">
            <v>SG&amp;A</v>
          </cell>
          <cell r="O4942" t="str">
            <v>[No Vendor]</v>
          </cell>
        </row>
        <row r="4943">
          <cell r="D4943">
            <v>1458.7</v>
          </cell>
          <cell r="H4943">
            <v>45597</v>
          </cell>
          <cell r="I4943" t="str">
            <v>6055 - Employer Social Security Tax Withheld</v>
          </cell>
          <cell r="J4943">
            <v>0</v>
          </cell>
          <cell r="K4943" t="str">
            <v>Production</v>
          </cell>
          <cell r="L4943" t="str">
            <v>HQ Salaries</v>
          </cell>
          <cell r="N4943" t="str">
            <v>SG&amp;A</v>
          </cell>
          <cell r="O4943" t="str">
            <v>[No Vendor]</v>
          </cell>
        </row>
        <row r="4944">
          <cell r="D4944">
            <v>365.93</v>
          </cell>
          <cell r="H4944">
            <v>45597</v>
          </cell>
          <cell r="I4944" t="str">
            <v>6055 - Employer Social Security Tax Withheld</v>
          </cell>
          <cell r="J4944">
            <v>0</v>
          </cell>
          <cell r="K4944" t="str">
            <v>Brand Marketing</v>
          </cell>
          <cell r="L4944" t="str">
            <v>HQ Salaries</v>
          </cell>
          <cell r="N4944" t="str">
            <v>SG&amp;A</v>
          </cell>
          <cell r="O4944" t="str">
            <v>[No Vendor]</v>
          </cell>
        </row>
        <row r="4945">
          <cell r="D4945">
            <v>1181.97</v>
          </cell>
          <cell r="H4945">
            <v>45597</v>
          </cell>
          <cell r="I4945" t="str">
            <v>6055 - Employer Social Security Tax Withheld</v>
          </cell>
          <cell r="J4945">
            <v>0</v>
          </cell>
          <cell r="K4945" t="str">
            <v>Executive</v>
          </cell>
          <cell r="L4945" t="str">
            <v>HQ Salaries</v>
          </cell>
          <cell r="N4945" t="str">
            <v>SG&amp;A</v>
          </cell>
          <cell r="O4945" t="str">
            <v>[No Vendor]</v>
          </cell>
        </row>
        <row r="4946">
          <cell r="D4946">
            <v>1610.08</v>
          </cell>
          <cell r="H4946">
            <v>45597</v>
          </cell>
          <cell r="I4946" t="str">
            <v>6055 - Employer Social Security Tax Withheld</v>
          </cell>
          <cell r="J4946" t="str">
            <v>Ecommerce (US)</v>
          </cell>
          <cell r="K4946" t="str">
            <v>Ecommerce</v>
          </cell>
          <cell r="L4946" t="str">
            <v>HQ Salaries</v>
          </cell>
          <cell r="N4946" t="str">
            <v>SG&amp;A</v>
          </cell>
          <cell r="O4946" t="str">
            <v>[No Vendor]</v>
          </cell>
        </row>
        <row r="4947">
          <cell r="D4947">
            <v>1972.43</v>
          </cell>
          <cell r="H4947">
            <v>45597</v>
          </cell>
          <cell r="I4947" t="str">
            <v>6055 - Employer Social Security Tax Withheld</v>
          </cell>
          <cell r="J4947">
            <v>0</v>
          </cell>
          <cell r="K4947" t="str">
            <v>Design</v>
          </cell>
          <cell r="L4947" t="str">
            <v>HQ Salaries</v>
          </cell>
          <cell r="N4947" t="str">
            <v>SG&amp;A</v>
          </cell>
          <cell r="O4947" t="str">
            <v>[No Vendor]</v>
          </cell>
        </row>
        <row r="4948">
          <cell r="D4948">
            <v>1953.17</v>
          </cell>
          <cell r="H4948">
            <v>45597</v>
          </cell>
          <cell r="I4948" t="str">
            <v>6055 - Employer Social Security Tax Withheld</v>
          </cell>
          <cell r="J4948">
            <v>0</v>
          </cell>
          <cell r="K4948" t="str">
            <v>Administration</v>
          </cell>
          <cell r="L4948" t="str">
            <v>HQ Salaries</v>
          </cell>
          <cell r="N4948" t="str">
            <v>SG&amp;A</v>
          </cell>
          <cell r="O4948" t="str">
            <v>[No Vendor]</v>
          </cell>
        </row>
        <row r="4949">
          <cell r="D4949">
            <v>579.38</v>
          </cell>
          <cell r="H4949">
            <v>45597</v>
          </cell>
          <cell r="I4949" t="str">
            <v>6055 - Employer Social Security Tax Withheld</v>
          </cell>
          <cell r="J4949">
            <v>0</v>
          </cell>
          <cell r="K4949" t="str">
            <v>Merchandising</v>
          </cell>
          <cell r="L4949" t="str">
            <v>HQ Salaries</v>
          </cell>
          <cell r="N4949" t="str">
            <v>SG&amp;A</v>
          </cell>
          <cell r="O4949" t="str">
            <v>[No Vendor]</v>
          </cell>
        </row>
        <row r="4950">
          <cell r="D4950">
            <v>-64.92</v>
          </cell>
          <cell r="H4950">
            <v>45597</v>
          </cell>
          <cell r="I4950" t="str">
            <v>6040 - Employer Paid Benefits</v>
          </cell>
          <cell r="J4950" t="str">
            <v>Wholesale</v>
          </cell>
          <cell r="K4950" t="str">
            <v>Wholesale</v>
          </cell>
          <cell r="L4950" t="str">
            <v>HQ Salaries</v>
          </cell>
          <cell r="N4950" t="str">
            <v>SG&amp;A</v>
          </cell>
          <cell r="O4950" t="str">
            <v>[No Vendor]</v>
          </cell>
        </row>
        <row r="4951">
          <cell r="D4951">
            <v>-285.62</v>
          </cell>
          <cell r="H4951">
            <v>45597</v>
          </cell>
          <cell r="I4951" t="str">
            <v>6040 - Employer Paid Benefits</v>
          </cell>
          <cell r="J4951">
            <v>0</v>
          </cell>
          <cell r="K4951" t="str">
            <v>Production</v>
          </cell>
          <cell r="L4951" t="str">
            <v>HQ Salaries</v>
          </cell>
          <cell r="N4951" t="str">
            <v>SG&amp;A</v>
          </cell>
          <cell r="O4951" t="str">
            <v>[No Vendor]</v>
          </cell>
        </row>
        <row r="4952">
          <cell r="D4952">
            <v>-22.58</v>
          </cell>
          <cell r="H4952">
            <v>45597</v>
          </cell>
          <cell r="I4952" t="str">
            <v>6040 - Employer Paid Benefits</v>
          </cell>
          <cell r="J4952">
            <v>0</v>
          </cell>
          <cell r="K4952" t="str">
            <v>Brand Marketing</v>
          </cell>
          <cell r="L4952" t="str">
            <v>HQ Salaries</v>
          </cell>
          <cell r="N4952" t="str">
            <v>SG&amp;A</v>
          </cell>
          <cell r="O4952" t="str">
            <v>[No Vendor]</v>
          </cell>
        </row>
        <row r="4953">
          <cell r="D4953">
            <v>-234.27</v>
          </cell>
          <cell r="H4953">
            <v>45597</v>
          </cell>
          <cell r="I4953" t="str">
            <v>6040 - Employer Paid Benefits</v>
          </cell>
          <cell r="J4953">
            <v>0</v>
          </cell>
          <cell r="K4953" t="str">
            <v>Executive</v>
          </cell>
          <cell r="L4953" t="str">
            <v>HQ Salaries</v>
          </cell>
          <cell r="N4953" t="str">
            <v>SG&amp;A</v>
          </cell>
          <cell r="O4953" t="str">
            <v>[No Vendor]</v>
          </cell>
        </row>
        <row r="4954">
          <cell r="D4954">
            <v>-121.85</v>
          </cell>
          <cell r="H4954">
            <v>45597</v>
          </cell>
          <cell r="I4954" t="str">
            <v>6040 - Employer Paid Benefits</v>
          </cell>
          <cell r="J4954" t="str">
            <v>Ecommerce (US)</v>
          </cell>
          <cell r="K4954" t="str">
            <v>Ecommerce</v>
          </cell>
          <cell r="L4954" t="str">
            <v>HQ Salaries</v>
          </cell>
          <cell r="N4954" t="str">
            <v>SG&amp;A</v>
          </cell>
          <cell r="O4954" t="str">
            <v>[No Vendor]</v>
          </cell>
        </row>
        <row r="4955">
          <cell r="D4955">
            <v>-363.43</v>
          </cell>
          <cell r="H4955">
            <v>45597</v>
          </cell>
          <cell r="I4955" t="str">
            <v>6040 - Employer Paid Benefits</v>
          </cell>
          <cell r="J4955">
            <v>0</v>
          </cell>
          <cell r="K4955" t="str">
            <v>Design</v>
          </cell>
          <cell r="L4955" t="str">
            <v>HQ Salaries</v>
          </cell>
          <cell r="N4955" t="str">
            <v>SG&amp;A</v>
          </cell>
          <cell r="O4955" t="str">
            <v>[No Vendor]</v>
          </cell>
        </row>
        <row r="4956">
          <cell r="D4956">
            <v>-200.39</v>
          </cell>
          <cell r="H4956">
            <v>45597</v>
          </cell>
          <cell r="I4956" t="str">
            <v>6040 - Employer Paid Benefits</v>
          </cell>
          <cell r="J4956">
            <v>0</v>
          </cell>
          <cell r="K4956" t="str">
            <v>Administration</v>
          </cell>
          <cell r="L4956" t="str">
            <v>HQ Salaries</v>
          </cell>
          <cell r="N4956" t="str">
            <v>SG&amp;A</v>
          </cell>
          <cell r="O4956" t="str">
            <v>[No Vendor]</v>
          </cell>
        </row>
        <row r="4957">
          <cell r="D4957">
            <v>5150</v>
          </cell>
          <cell r="H4957">
            <v>45597</v>
          </cell>
          <cell r="I4957" t="str">
            <v>6005 - Salaries</v>
          </cell>
          <cell r="J4957">
            <v>0</v>
          </cell>
          <cell r="K4957" t="str">
            <v>Merchandising</v>
          </cell>
          <cell r="L4957" t="str">
            <v>HQ Salaries</v>
          </cell>
          <cell r="N4957" t="str">
            <v>SG&amp;A</v>
          </cell>
          <cell r="O4957" t="str">
            <v>[No Vendor]</v>
          </cell>
        </row>
        <row r="4958">
          <cell r="D4958">
            <v>7403.85</v>
          </cell>
          <cell r="H4958">
            <v>45597</v>
          </cell>
          <cell r="I4958" t="str">
            <v>6005 - Salaries</v>
          </cell>
          <cell r="J4958" t="str">
            <v>Wholesale</v>
          </cell>
          <cell r="K4958" t="str">
            <v>Wholesale</v>
          </cell>
          <cell r="L4958" t="str">
            <v>HQ Salaries</v>
          </cell>
          <cell r="N4958" t="str">
            <v>SG&amp;A</v>
          </cell>
          <cell r="O4958" t="str">
            <v>[No Vendor]</v>
          </cell>
        </row>
        <row r="4959">
          <cell r="D4959">
            <v>19988.490000000002</v>
          </cell>
          <cell r="H4959">
            <v>45597</v>
          </cell>
          <cell r="I4959" t="str">
            <v>6005 - Salaries</v>
          </cell>
          <cell r="J4959">
            <v>0</v>
          </cell>
          <cell r="K4959" t="str">
            <v>Production</v>
          </cell>
          <cell r="L4959" t="str">
            <v>HQ Salaries</v>
          </cell>
          <cell r="N4959" t="str">
            <v>SG&amp;A</v>
          </cell>
          <cell r="O4959" t="str">
            <v>[No Vendor]</v>
          </cell>
        </row>
        <row r="4960">
          <cell r="D4960">
            <v>3269.24</v>
          </cell>
          <cell r="H4960">
            <v>45597</v>
          </cell>
          <cell r="I4960" t="str">
            <v>6005 - Salaries</v>
          </cell>
          <cell r="J4960">
            <v>0</v>
          </cell>
          <cell r="K4960" t="str">
            <v>Brand Marketing</v>
          </cell>
          <cell r="L4960" t="str">
            <v>HQ Salaries</v>
          </cell>
          <cell r="N4960" t="str">
            <v>SG&amp;A</v>
          </cell>
          <cell r="O4960" t="str">
            <v>[No Vendor]</v>
          </cell>
        </row>
        <row r="4961">
          <cell r="D4961">
            <v>11153.85</v>
          </cell>
          <cell r="H4961">
            <v>45597</v>
          </cell>
          <cell r="I4961" t="str">
            <v>6005 - Salaries</v>
          </cell>
          <cell r="J4961">
            <v>0</v>
          </cell>
          <cell r="K4961" t="str">
            <v>Executive</v>
          </cell>
          <cell r="L4961" t="str">
            <v>HQ Salaries</v>
          </cell>
          <cell r="N4961" t="str">
            <v>SG&amp;A</v>
          </cell>
          <cell r="O4961" t="str">
            <v>[No Vendor]</v>
          </cell>
        </row>
        <row r="4962">
          <cell r="D4962">
            <v>20780.8</v>
          </cell>
          <cell r="H4962">
            <v>45597</v>
          </cell>
          <cell r="I4962" t="str">
            <v>6005 - Salaries</v>
          </cell>
          <cell r="J4962" t="str">
            <v>Ecommerce (US)</v>
          </cell>
          <cell r="K4962" t="str">
            <v>Ecommerce</v>
          </cell>
          <cell r="L4962" t="str">
            <v>HQ Salaries</v>
          </cell>
          <cell r="N4962" t="str">
            <v>SG&amp;A</v>
          </cell>
          <cell r="O4962" t="str">
            <v>[No Vendor]</v>
          </cell>
        </row>
        <row r="4963">
          <cell r="D4963">
            <v>20857.7</v>
          </cell>
          <cell r="H4963">
            <v>45597</v>
          </cell>
          <cell r="I4963" t="str">
            <v>6005 - Salaries</v>
          </cell>
          <cell r="J4963">
            <v>0</v>
          </cell>
          <cell r="K4963" t="str">
            <v>Design</v>
          </cell>
          <cell r="L4963" t="str">
            <v>HQ Salaries</v>
          </cell>
          <cell r="N4963" t="str">
            <v>SG&amp;A</v>
          </cell>
          <cell r="O4963" t="str">
            <v>[No Vendor]</v>
          </cell>
        </row>
        <row r="4964">
          <cell r="D4964">
            <v>26958.58</v>
          </cell>
          <cell r="H4964">
            <v>45597</v>
          </cell>
          <cell r="I4964" t="str">
            <v>6375 - Freight Expenses</v>
          </cell>
          <cell r="J4964" t="str">
            <v>Ecommerce (US)</v>
          </cell>
          <cell r="K4964" t="str">
            <v>Ecommerce</v>
          </cell>
          <cell r="L4964" t="str">
            <v>Freight</v>
          </cell>
          <cell r="N4964" t="str">
            <v>Direct Costs</v>
          </cell>
          <cell r="O4964" t="str">
            <v>UPS Supply Chain Solutions Inc. (7F24A0)</v>
          </cell>
        </row>
        <row r="4965">
          <cell r="D4965">
            <v>2880</v>
          </cell>
          <cell r="H4965">
            <v>45597</v>
          </cell>
          <cell r="I4965" t="str">
            <v>6288 - Model</v>
          </cell>
          <cell r="J4965">
            <v>0</v>
          </cell>
          <cell r="K4965" t="str">
            <v>Brand Marketing</v>
          </cell>
          <cell r="L4965" t="str">
            <v>Advertising</v>
          </cell>
          <cell r="N4965" t="str">
            <v>SG&amp;A</v>
          </cell>
          <cell r="O4965" t="str">
            <v>Soul Artist Management</v>
          </cell>
        </row>
        <row r="4966">
          <cell r="D4966">
            <v>46.48</v>
          </cell>
          <cell r="H4966">
            <v>45597</v>
          </cell>
          <cell r="I4966" t="str">
            <v>6375 - Freight Expenses</v>
          </cell>
          <cell r="J4966" t="str">
            <v>Wholesale</v>
          </cell>
          <cell r="K4966" t="str">
            <v>Wholesale</v>
          </cell>
          <cell r="L4966" t="str">
            <v>Freight</v>
          </cell>
          <cell r="N4966" t="str">
            <v>Direct Costs</v>
          </cell>
          <cell r="O4966" t="str">
            <v>UPS Supply Chain Solutions Inc. (7F24A0)</v>
          </cell>
        </row>
        <row r="4967">
          <cell r="D4967">
            <v>2455</v>
          </cell>
          <cell r="H4967">
            <v>45597</v>
          </cell>
          <cell r="I4967" t="str">
            <v>6380 - Legal &amp; Accounting</v>
          </cell>
          <cell r="J4967">
            <v>0</v>
          </cell>
          <cell r="K4967" t="str">
            <v>Administration</v>
          </cell>
          <cell r="L4967" t="str">
            <v>Professional Service</v>
          </cell>
          <cell r="N4967" t="str">
            <v>SG&amp;A</v>
          </cell>
          <cell r="O4967" t="str">
            <v>Korus Legal P.C.</v>
          </cell>
        </row>
        <row r="4968">
          <cell r="D4968">
            <v>47.45</v>
          </cell>
          <cell r="H4968">
            <v>45597</v>
          </cell>
          <cell r="I4968" t="str">
            <v>6375 - Freight Expenses</v>
          </cell>
          <cell r="J4968">
            <v>0</v>
          </cell>
          <cell r="K4968" t="str">
            <v>Production</v>
          </cell>
          <cell r="L4968" t="str">
            <v>Freight</v>
          </cell>
          <cell r="N4968" t="str">
            <v>Direct Costs</v>
          </cell>
          <cell r="O4968" t="str">
            <v>DHL Express - USA</v>
          </cell>
        </row>
        <row r="4969">
          <cell r="D4969">
            <v>-182</v>
          </cell>
          <cell r="H4969">
            <v>45597</v>
          </cell>
          <cell r="I4969" t="str">
            <v>6040 - Employer Paid Benefits</v>
          </cell>
          <cell r="J4969">
            <v>0</v>
          </cell>
          <cell r="K4969" t="str">
            <v>Administration</v>
          </cell>
          <cell r="L4969" t="str">
            <v>HQ Salaries</v>
          </cell>
          <cell r="N4969" t="str">
            <v>SG&amp;A</v>
          </cell>
          <cell r="O4969" t="str">
            <v>[No Vendor]</v>
          </cell>
        </row>
        <row r="4970">
          <cell r="D4970">
            <v>-8326.23</v>
          </cell>
          <cell r="H4970">
            <v>45597</v>
          </cell>
          <cell r="I4970" t="str">
            <v>6450 - Bank &amp; Other Fees</v>
          </cell>
          <cell r="J4970">
            <v>0</v>
          </cell>
          <cell r="K4970" t="str">
            <v>Administration</v>
          </cell>
          <cell r="L4970" t="str">
            <v>Professional Service</v>
          </cell>
          <cell r="N4970" t="str">
            <v>SG&amp;A</v>
          </cell>
          <cell r="O4970" t="str">
            <v>[No Vendor]</v>
          </cell>
        </row>
        <row r="4971">
          <cell r="D4971">
            <v>2003.48</v>
          </cell>
          <cell r="H4971">
            <v>45597</v>
          </cell>
          <cell r="I4971" t="str">
            <v>6430 - Dues &amp; Memberships</v>
          </cell>
          <cell r="J4971" t="str">
            <v>Ecommerce (US)</v>
          </cell>
          <cell r="K4971" t="str">
            <v>Ecommerce</v>
          </cell>
          <cell r="L4971" t="str">
            <v>Professional Service</v>
          </cell>
          <cell r="N4971" t="str">
            <v>Direct Costs</v>
          </cell>
          <cell r="O4971" t="str">
            <v>Loop</v>
          </cell>
        </row>
        <row r="4972">
          <cell r="D4972">
            <v>-74.14</v>
          </cell>
          <cell r="H4972">
            <v>45597</v>
          </cell>
          <cell r="I4972" t="str">
            <v>6375 - Freight Expenses</v>
          </cell>
          <cell r="J4972" t="str">
            <v>Ecommerce (US)</v>
          </cell>
          <cell r="K4972" t="str">
            <v>Ecommerce</v>
          </cell>
          <cell r="L4972" t="str">
            <v>Freight</v>
          </cell>
          <cell r="N4972" t="str">
            <v>Direct Costs</v>
          </cell>
          <cell r="O4972" t="str">
            <v>UPS Supply Chain Solutions Inc. (7F24A0)</v>
          </cell>
        </row>
        <row r="4973">
          <cell r="D4973">
            <v>21.35</v>
          </cell>
          <cell r="H4973">
            <v>45597</v>
          </cell>
          <cell r="I4973" t="str">
            <v>6375 - Freight Expenses</v>
          </cell>
          <cell r="J4973">
            <v>0</v>
          </cell>
          <cell r="K4973" t="str">
            <v>Production</v>
          </cell>
          <cell r="L4973" t="str">
            <v>Freight</v>
          </cell>
          <cell r="N4973" t="str">
            <v>Direct Costs</v>
          </cell>
          <cell r="O4973" t="str">
            <v>DHL Express - USA</v>
          </cell>
        </row>
        <row r="4974">
          <cell r="D4974">
            <v>21.78</v>
          </cell>
          <cell r="H4974">
            <v>45597</v>
          </cell>
          <cell r="I4974" t="str">
            <v>6393 - Software</v>
          </cell>
          <cell r="J4974">
            <v>0</v>
          </cell>
          <cell r="K4974" t="str">
            <v>Brand Marketing</v>
          </cell>
          <cell r="L4974" t="str">
            <v>Professional Service</v>
          </cell>
          <cell r="N4974" t="str">
            <v>Direct Costs</v>
          </cell>
          <cell r="O4974" t="str">
            <v>Chat GPT</v>
          </cell>
        </row>
        <row r="4975">
          <cell r="D4975">
            <v>23.73</v>
          </cell>
          <cell r="H4975">
            <v>45597</v>
          </cell>
          <cell r="I4975" t="str">
            <v>6340 - Miscellaneous Expense</v>
          </cell>
          <cell r="J4975">
            <v>0</v>
          </cell>
          <cell r="K4975" t="str">
            <v>Administration</v>
          </cell>
          <cell r="L4975" t="str">
            <v>Other</v>
          </cell>
          <cell r="N4975" t="str">
            <v>SG&amp;A</v>
          </cell>
          <cell r="O4975" t="str">
            <v>[No Vendor]</v>
          </cell>
        </row>
        <row r="4976">
          <cell r="D4976">
            <v>87</v>
          </cell>
          <cell r="H4976">
            <v>45597</v>
          </cell>
          <cell r="I4976" t="str">
            <v>6340 - Miscellaneous Expense</v>
          </cell>
          <cell r="J4976">
            <v>0</v>
          </cell>
          <cell r="K4976" t="str">
            <v>Brand Marketing</v>
          </cell>
          <cell r="L4976" t="str">
            <v>Other</v>
          </cell>
          <cell r="N4976" t="str">
            <v>SG&amp;A</v>
          </cell>
          <cell r="O4976" t="str">
            <v>[No Vendor]</v>
          </cell>
        </row>
        <row r="4977">
          <cell r="D4977">
            <v>1381.98</v>
          </cell>
          <cell r="H4977">
            <v>45597</v>
          </cell>
          <cell r="I4977" t="str">
            <v>6340 - Miscellaneous Expense</v>
          </cell>
          <cell r="J4977">
            <v>0</v>
          </cell>
          <cell r="K4977" t="str">
            <v>Brand Marketing</v>
          </cell>
          <cell r="L4977" t="str">
            <v>Other</v>
          </cell>
          <cell r="N4977" t="str">
            <v>SG&amp;A</v>
          </cell>
          <cell r="O4977" t="str">
            <v>[No Vendor]</v>
          </cell>
        </row>
        <row r="4978">
          <cell r="D4978">
            <v>16.32</v>
          </cell>
          <cell r="H4978">
            <v>45597</v>
          </cell>
          <cell r="I4978" t="str">
            <v>6340 - Miscellaneous Expense</v>
          </cell>
          <cell r="J4978">
            <v>0</v>
          </cell>
          <cell r="K4978" t="str">
            <v>Administration</v>
          </cell>
          <cell r="L4978" t="str">
            <v>Other</v>
          </cell>
          <cell r="N4978" t="str">
            <v>SG&amp;A</v>
          </cell>
          <cell r="O4978" t="str">
            <v>[No Vendor]</v>
          </cell>
        </row>
        <row r="4979">
          <cell r="D4979">
            <v>345.39</v>
          </cell>
          <cell r="H4979">
            <v>45597</v>
          </cell>
          <cell r="I4979" t="str">
            <v>6340 - Miscellaneous Expense</v>
          </cell>
          <cell r="J4979">
            <v>0</v>
          </cell>
          <cell r="K4979" t="str">
            <v>Administration</v>
          </cell>
          <cell r="L4979" t="str">
            <v>Other</v>
          </cell>
          <cell r="N4979" t="str">
            <v>SG&amp;A</v>
          </cell>
          <cell r="O4979" t="str">
            <v>[No Vendor]</v>
          </cell>
        </row>
        <row r="4980">
          <cell r="D4980">
            <v>29.08</v>
          </cell>
          <cell r="H4980">
            <v>45597</v>
          </cell>
          <cell r="I4980" t="str">
            <v>6340 - Miscellaneous Expense</v>
          </cell>
          <cell r="J4980">
            <v>0</v>
          </cell>
          <cell r="K4980" t="str">
            <v>Brand Marketing</v>
          </cell>
          <cell r="L4980" t="str">
            <v>Other</v>
          </cell>
          <cell r="N4980" t="str">
            <v>SG&amp;A</v>
          </cell>
          <cell r="O4980" t="str">
            <v>[No Vendor]</v>
          </cell>
        </row>
        <row r="4981">
          <cell r="D4981">
            <v>122.22</v>
          </cell>
          <cell r="H4981">
            <v>45597</v>
          </cell>
          <cell r="I4981" t="str">
            <v>6125 - Transportation and Fuel</v>
          </cell>
          <cell r="J4981">
            <v>0</v>
          </cell>
          <cell r="K4981" t="str">
            <v>Brand Marketing</v>
          </cell>
          <cell r="L4981" t="str">
            <v>T&amp;E</v>
          </cell>
          <cell r="N4981" t="str">
            <v>SG&amp;A</v>
          </cell>
          <cell r="O4981" t="str">
            <v>[No Vendor]</v>
          </cell>
        </row>
        <row r="4982">
          <cell r="D4982">
            <v>58.41</v>
          </cell>
          <cell r="H4982">
            <v>45597</v>
          </cell>
          <cell r="I4982" t="str">
            <v>6125 - Transportation and Fuel</v>
          </cell>
          <cell r="J4982">
            <v>0</v>
          </cell>
          <cell r="K4982" t="str">
            <v>Brand Marketing</v>
          </cell>
          <cell r="L4982" t="str">
            <v>T&amp;E</v>
          </cell>
          <cell r="N4982" t="str">
            <v>SG&amp;A</v>
          </cell>
          <cell r="O4982" t="str">
            <v>[No Vendor]</v>
          </cell>
        </row>
        <row r="4983">
          <cell r="D4983">
            <v>102.52</v>
          </cell>
          <cell r="H4983">
            <v>45597</v>
          </cell>
          <cell r="I4983" t="str">
            <v>6125 - Transportation and Fuel</v>
          </cell>
          <cell r="J4983">
            <v>0</v>
          </cell>
          <cell r="K4983" t="str">
            <v>Brand Marketing</v>
          </cell>
          <cell r="L4983" t="str">
            <v>T&amp;E</v>
          </cell>
          <cell r="N4983" t="str">
            <v>SG&amp;A</v>
          </cell>
          <cell r="O4983" t="str">
            <v>[No Vendor]</v>
          </cell>
        </row>
        <row r="4984">
          <cell r="D4984">
            <v>135.97999999999999</v>
          </cell>
          <cell r="H4984">
            <v>45597</v>
          </cell>
          <cell r="I4984" t="str">
            <v>6125 - Transportation and Fuel</v>
          </cell>
          <cell r="J4984">
            <v>0</v>
          </cell>
          <cell r="K4984" t="str">
            <v>Brand Marketing</v>
          </cell>
          <cell r="L4984" t="str">
            <v>T&amp;E</v>
          </cell>
          <cell r="N4984" t="str">
            <v>SG&amp;A</v>
          </cell>
          <cell r="O4984" t="str">
            <v>[No Vendor]</v>
          </cell>
        </row>
        <row r="4985">
          <cell r="D4985">
            <v>114.89</v>
          </cell>
          <cell r="H4985">
            <v>45597</v>
          </cell>
          <cell r="I4985" t="str">
            <v>6125 - Transportation and Fuel</v>
          </cell>
          <cell r="J4985">
            <v>0</v>
          </cell>
          <cell r="K4985" t="str">
            <v>Brand Marketing</v>
          </cell>
          <cell r="L4985" t="str">
            <v>T&amp;E</v>
          </cell>
          <cell r="N4985" t="str">
            <v>SG&amp;A</v>
          </cell>
          <cell r="O4985" t="str">
            <v>[No Vendor]</v>
          </cell>
        </row>
        <row r="4986">
          <cell r="D4986">
            <v>88.98</v>
          </cell>
          <cell r="H4986">
            <v>45597</v>
          </cell>
          <cell r="I4986" t="str">
            <v>6125 - Transportation and Fuel</v>
          </cell>
          <cell r="J4986">
            <v>0</v>
          </cell>
          <cell r="K4986" t="str">
            <v>Brand Marketing</v>
          </cell>
          <cell r="L4986" t="str">
            <v>T&amp;E</v>
          </cell>
          <cell r="N4986" t="str">
            <v>SG&amp;A</v>
          </cell>
          <cell r="O4986" t="str">
            <v>[No Vendor]</v>
          </cell>
        </row>
        <row r="4987">
          <cell r="D4987">
            <v>114.92</v>
          </cell>
          <cell r="H4987">
            <v>45597</v>
          </cell>
          <cell r="I4987" t="str">
            <v>6125 - Transportation and Fuel</v>
          </cell>
          <cell r="J4987">
            <v>0</v>
          </cell>
          <cell r="K4987" t="str">
            <v>Brand Marketing</v>
          </cell>
          <cell r="L4987" t="str">
            <v>T&amp;E</v>
          </cell>
          <cell r="N4987" t="str">
            <v>SG&amp;A</v>
          </cell>
          <cell r="O4987" t="str">
            <v>[No Vendor]</v>
          </cell>
        </row>
        <row r="4988">
          <cell r="D4988">
            <v>144.91</v>
          </cell>
          <cell r="H4988">
            <v>45597</v>
          </cell>
          <cell r="I4988" t="str">
            <v>6125 - Transportation and Fuel</v>
          </cell>
          <cell r="J4988">
            <v>0</v>
          </cell>
          <cell r="K4988" t="str">
            <v>Brand Marketing</v>
          </cell>
          <cell r="L4988" t="str">
            <v>T&amp;E</v>
          </cell>
          <cell r="N4988" t="str">
            <v>SG&amp;A</v>
          </cell>
          <cell r="O4988" t="str">
            <v>[No Vendor]</v>
          </cell>
        </row>
        <row r="4989">
          <cell r="D4989">
            <v>111.97</v>
          </cell>
          <cell r="H4989">
            <v>45597</v>
          </cell>
          <cell r="I4989" t="str">
            <v>6125 - Transportation and Fuel</v>
          </cell>
          <cell r="J4989">
            <v>0</v>
          </cell>
          <cell r="K4989" t="str">
            <v>Brand Marketing</v>
          </cell>
          <cell r="L4989" t="str">
            <v>T&amp;E</v>
          </cell>
          <cell r="N4989" t="str">
            <v>SG&amp;A</v>
          </cell>
          <cell r="O4989" t="str">
            <v>[No Vendor]</v>
          </cell>
        </row>
        <row r="4990">
          <cell r="D4990">
            <v>27.22</v>
          </cell>
          <cell r="H4990">
            <v>45597</v>
          </cell>
          <cell r="I4990" t="str">
            <v>6125 - Transportation and Fuel</v>
          </cell>
          <cell r="J4990">
            <v>0</v>
          </cell>
          <cell r="K4990" t="str">
            <v>Brand Marketing</v>
          </cell>
          <cell r="L4990" t="str">
            <v>T&amp;E</v>
          </cell>
          <cell r="N4990" t="str">
            <v>SG&amp;A</v>
          </cell>
          <cell r="O4990" t="str">
            <v>[No Vendor]</v>
          </cell>
        </row>
        <row r="4991">
          <cell r="D4991">
            <v>88.99</v>
          </cell>
          <cell r="H4991">
            <v>45597</v>
          </cell>
          <cell r="I4991" t="str">
            <v>6125 - Transportation and Fuel</v>
          </cell>
          <cell r="J4991">
            <v>0</v>
          </cell>
          <cell r="K4991" t="str">
            <v>Brand Marketing</v>
          </cell>
          <cell r="L4991" t="str">
            <v>T&amp;E</v>
          </cell>
          <cell r="N4991" t="str">
            <v>SG&amp;A</v>
          </cell>
          <cell r="O4991" t="str">
            <v>[No Vendor]</v>
          </cell>
        </row>
        <row r="4992">
          <cell r="D4992">
            <v>38.49</v>
          </cell>
          <cell r="H4992">
            <v>45597</v>
          </cell>
          <cell r="I4992" t="str">
            <v>6125 - Transportation and Fuel</v>
          </cell>
          <cell r="J4992">
            <v>0</v>
          </cell>
          <cell r="K4992" t="str">
            <v>Brand Marketing</v>
          </cell>
          <cell r="L4992" t="str">
            <v>T&amp;E</v>
          </cell>
          <cell r="N4992" t="str">
            <v>SG&amp;A</v>
          </cell>
          <cell r="O4992" t="str">
            <v>[No Vendor]</v>
          </cell>
        </row>
        <row r="4993">
          <cell r="D4993">
            <v>23.91</v>
          </cell>
          <cell r="H4993">
            <v>45597</v>
          </cell>
          <cell r="I4993" t="str">
            <v>6105 - Meals</v>
          </cell>
          <cell r="J4993">
            <v>0</v>
          </cell>
          <cell r="K4993" t="str">
            <v>Brand Marketing</v>
          </cell>
          <cell r="L4993" t="str">
            <v>T&amp;E</v>
          </cell>
          <cell r="N4993" t="str">
            <v>SG&amp;A</v>
          </cell>
          <cell r="O4993" t="str">
            <v>[No Vendor]</v>
          </cell>
        </row>
        <row r="4994">
          <cell r="D4994">
            <v>74.680000000000007</v>
          </cell>
          <cell r="H4994">
            <v>45597</v>
          </cell>
          <cell r="I4994" t="str">
            <v>6105 - Meals</v>
          </cell>
          <cell r="J4994">
            <v>0</v>
          </cell>
          <cell r="K4994" t="str">
            <v>Brand Marketing</v>
          </cell>
          <cell r="L4994" t="str">
            <v>T&amp;E</v>
          </cell>
          <cell r="N4994" t="str">
            <v>SG&amp;A</v>
          </cell>
          <cell r="O4994" t="str">
            <v>[No Vendor]</v>
          </cell>
        </row>
        <row r="4995">
          <cell r="D4995">
            <v>424.44</v>
          </cell>
          <cell r="H4995">
            <v>45597</v>
          </cell>
          <cell r="I4995" t="str">
            <v>6375 - Freight Expenses</v>
          </cell>
          <cell r="J4995">
            <v>0</v>
          </cell>
          <cell r="K4995" t="str">
            <v>Brand Marketing</v>
          </cell>
          <cell r="L4995" t="str">
            <v>Freight</v>
          </cell>
          <cell r="N4995" t="str">
            <v>Direct Costs</v>
          </cell>
          <cell r="O4995" t="str">
            <v>[No Vendor]</v>
          </cell>
        </row>
        <row r="4996">
          <cell r="D4996">
            <v>494.56</v>
          </cell>
          <cell r="H4996">
            <v>45597</v>
          </cell>
          <cell r="I4996" t="str">
            <v>6375 - Freight Expenses</v>
          </cell>
          <cell r="J4996">
            <v>0</v>
          </cell>
          <cell r="K4996" t="str">
            <v>Brand Marketing</v>
          </cell>
          <cell r="L4996" t="str">
            <v>Freight</v>
          </cell>
          <cell r="N4996" t="str">
            <v>Direct Costs</v>
          </cell>
          <cell r="O4996" t="str">
            <v>[No Vendor]</v>
          </cell>
        </row>
        <row r="4997">
          <cell r="D4997">
            <v>30.44</v>
          </cell>
          <cell r="H4997">
            <v>45597</v>
          </cell>
          <cell r="I4997" t="str">
            <v>6375 - Freight Expenses</v>
          </cell>
          <cell r="J4997">
            <v>0</v>
          </cell>
          <cell r="K4997" t="str">
            <v>Production</v>
          </cell>
          <cell r="L4997" t="str">
            <v>Freight</v>
          </cell>
          <cell r="N4997" t="str">
            <v>Direct Costs</v>
          </cell>
          <cell r="O4997" t="str">
            <v>DHL Express - USA</v>
          </cell>
        </row>
        <row r="4998">
          <cell r="D4998">
            <v>21.78</v>
          </cell>
          <cell r="H4998">
            <v>45597</v>
          </cell>
          <cell r="I4998" t="str">
            <v>6393 - Software</v>
          </cell>
          <cell r="J4998">
            <v>0</v>
          </cell>
          <cell r="K4998" t="str">
            <v>Administration</v>
          </cell>
          <cell r="L4998" t="str">
            <v>Professional Service</v>
          </cell>
          <cell r="N4998" t="str">
            <v>Direct Costs</v>
          </cell>
          <cell r="O4998">
            <v>0</v>
          </cell>
        </row>
        <row r="4999">
          <cell r="D4999">
            <v>109.9</v>
          </cell>
          <cell r="H4999">
            <v>45597</v>
          </cell>
          <cell r="I4999" t="str">
            <v>6340 - Miscellaneous Expense</v>
          </cell>
          <cell r="J4999">
            <v>0</v>
          </cell>
          <cell r="K4999" t="str">
            <v>Administration</v>
          </cell>
          <cell r="L4999" t="str">
            <v>Other</v>
          </cell>
          <cell r="N4999" t="str">
            <v>SG&amp;A</v>
          </cell>
          <cell r="O4999" t="str">
            <v>[No Vendor]</v>
          </cell>
        </row>
        <row r="5000">
          <cell r="D5000">
            <v>-52.18</v>
          </cell>
          <cell r="H5000">
            <v>45597</v>
          </cell>
          <cell r="I5000" t="str">
            <v>6340 - Miscellaneous Expense</v>
          </cell>
          <cell r="J5000">
            <v>0</v>
          </cell>
          <cell r="K5000" t="str">
            <v>Administration</v>
          </cell>
          <cell r="L5000" t="str">
            <v>Other</v>
          </cell>
          <cell r="N5000" t="str">
            <v>SG&amp;A</v>
          </cell>
          <cell r="O5000" t="str">
            <v>[No Vendor]</v>
          </cell>
        </row>
        <row r="5001">
          <cell r="D5001">
            <v>-10.82</v>
          </cell>
          <cell r="H5001">
            <v>45597</v>
          </cell>
          <cell r="I5001" t="str">
            <v>6340 - Miscellaneous Expense</v>
          </cell>
          <cell r="J5001">
            <v>0</v>
          </cell>
          <cell r="K5001" t="str">
            <v>Administration</v>
          </cell>
          <cell r="L5001" t="str">
            <v>Other</v>
          </cell>
          <cell r="N5001" t="str">
            <v>SG&amp;A</v>
          </cell>
          <cell r="O5001" t="str">
            <v>[No Vendor]</v>
          </cell>
        </row>
        <row r="5002">
          <cell r="D5002">
            <v>154.85</v>
          </cell>
          <cell r="H5002">
            <v>45597</v>
          </cell>
          <cell r="I5002" t="str">
            <v>6340 - Miscellaneous Expense</v>
          </cell>
          <cell r="J5002">
            <v>0</v>
          </cell>
          <cell r="K5002" t="str">
            <v>Administration</v>
          </cell>
          <cell r="L5002" t="str">
            <v>Other</v>
          </cell>
          <cell r="N5002" t="str">
            <v>SG&amp;A</v>
          </cell>
          <cell r="O5002" t="str">
            <v>[No Vendor]</v>
          </cell>
        </row>
        <row r="5003">
          <cell r="D5003">
            <v>82.92</v>
          </cell>
          <cell r="H5003">
            <v>45597</v>
          </cell>
          <cell r="I5003" t="str">
            <v>6340 - Miscellaneous Expense</v>
          </cell>
          <cell r="J5003">
            <v>0</v>
          </cell>
          <cell r="K5003" t="str">
            <v>Administration</v>
          </cell>
          <cell r="L5003" t="str">
            <v>Other</v>
          </cell>
          <cell r="N5003" t="str">
            <v>SG&amp;A</v>
          </cell>
          <cell r="O5003" t="str">
            <v>[No Vendor]</v>
          </cell>
        </row>
        <row r="5004">
          <cell r="D5004">
            <v>69.45</v>
          </cell>
          <cell r="H5004">
            <v>45597</v>
          </cell>
          <cell r="I5004" t="str">
            <v>6340 - Miscellaneous Expense</v>
          </cell>
          <cell r="J5004">
            <v>0</v>
          </cell>
          <cell r="K5004" t="str">
            <v>Administration</v>
          </cell>
          <cell r="L5004" t="str">
            <v>Other</v>
          </cell>
          <cell r="N5004" t="str">
            <v>SG&amp;A</v>
          </cell>
          <cell r="O5004" t="str">
            <v>[No Vendor]</v>
          </cell>
        </row>
        <row r="5005">
          <cell r="D5005">
            <v>108.86</v>
          </cell>
          <cell r="H5005">
            <v>45597</v>
          </cell>
          <cell r="I5005" t="str">
            <v>6340 - Miscellaneous Expense</v>
          </cell>
          <cell r="J5005">
            <v>0</v>
          </cell>
          <cell r="K5005" t="str">
            <v>Administration</v>
          </cell>
          <cell r="L5005" t="str">
            <v>Other</v>
          </cell>
          <cell r="N5005" t="str">
            <v>SG&amp;A</v>
          </cell>
          <cell r="O5005" t="str">
            <v>[No Vendor]</v>
          </cell>
        </row>
        <row r="5006">
          <cell r="D5006">
            <v>473.17</v>
          </cell>
          <cell r="H5006">
            <v>45597</v>
          </cell>
          <cell r="I5006" t="str">
            <v>6340 - Miscellaneous Expense</v>
          </cell>
          <cell r="J5006">
            <v>0</v>
          </cell>
          <cell r="K5006" t="str">
            <v>Production</v>
          </cell>
          <cell r="L5006" t="str">
            <v>Other</v>
          </cell>
          <cell r="N5006" t="str">
            <v>SG&amp;A</v>
          </cell>
          <cell r="O5006" t="str">
            <v>[No Vendor]</v>
          </cell>
        </row>
        <row r="5007">
          <cell r="D5007">
            <v>567.5</v>
          </cell>
          <cell r="H5007">
            <v>45597</v>
          </cell>
          <cell r="I5007" t="str">
            <v>6300 - Payroll Service Fees</v>
          </cell>
          <cell r="J5007">
            <v>0</v>
          </cell>
          <cell r="K5007" t="str">
            <v>Administration</v>
          </cell>
          <cell r="L5007" t="str">
            <v>Professional Service</v>
          </cell>
          <cell r="N5007" t="str">
            <v>SG&amp;A</v>
          </cell>
          <cell r="O5007" t="str">
            <v>OperationsInc, LLC</v>
          </cell>
        </row>
        <row r="5008">
          <cell r="D5008">
            <v>135.88999999999999</v>
          </cell>
          <cell r="H5008">
            <v>45597</v>
          </cell>
          <cell r="I5008" t="str">
            <v>6125 - Transportation and Fuel</v>
          </cell>
          <cell r="J5008">
            <v>0</v>
          </cell>
          <cell r="K5008" t="str">
            <v>Brand Marketing</v>
          </cell>
          <cell r="L5008" t="str">
            <v>T&amp;E</v>
          </cell>
          <cell r="N5008" t="str">
            <v>SG&amp;A</v>
          </cell>
          <cell r="O5008" t="str">
            <v>[No Vendor]</v>
          </cell>
        </row>
        <row r="5009">
          <cell r="D5009">
            <v>16.91</v>
          </cell>
          <cell r="H5009">
            <v>45597</v>
          </cell>
          <cell r="I5009" t="str">
            <v>6125 - Transportation and Fuel</v>
          </cell>
          <cell r="J5009">
            <v>0</v>
          </cell>
          <cell r="K5009" t="str">
            <v>Administration</v>
          </cell>
          <cell r="L5009" t="str">
            <v>T&amp;E</v>
          </cell>
          <cell r="N5009" t="str">
            <v>SG&amp;A</v>
          </cell>
          <cell r="O5009" t="str">
            <v>[No Vendor]</v>
          </cell>
        </row>
        <row r="5010">
          <cell r="D5010">
            <v>18.93</v>
          </cell>
          <cell r="H5010">
            <v>45597</v>
          </cell>
          <cell r="I5010" t="str">
            <v>6125 - Transportation and Fuel</v>
          </cell>
          <cell r="J5010">
            <v>0</v>
          </cell>
          <cell r="K5010" t="str">
            <v>Administration</v>
          </cell>
          <cell r="L5010" t="str">
            <v>T&amp;E</v>
          </cell>
          <cell r="N5010" t="str">
            <v>SG&amp;A</v>
          </cell>
          <cell r="O5010" t="str">
            <v>[No Vendor]</v>
          </cell>
        </row>
        <row r="5011">
          <cell r="D5011">
            <v>237.5</v>
          </cell>
          <cell r="H5011">
            <v>45597</v>
          </cell>
          <cell r="I5011" t="str">
            <v>6105 - Meals</v>
          </cell>
          <cell r="J5011">
            <v>0</v>
          </cell>
          <cell r="K5011" t="str">
            <v>Administration</v>
          </cell>
          <cell r="L5011" t="str">
            <v>T&amp;E</v>
          </cell>
          <cell r="N5011" t="str">
            <v>SG&amp;A</v>
          </cell>
          <cell r="O5011" t="str">
            <v>[No Vendor]</v>
          </cell>
        </row>
        <row r="5012">
          <cell r="D5012">
            <v>20.94</v>
          </cell>
          <cell r="H5012">
            <v>45597</v>
          </cell>
          <cell r="I5012" t="str">
            <v>6105 - Meals</v>
          </cell>
          <cell r="J5012">
            <v>0</v>
          </cell>
          <cell r="K5012" t="str">
            <v>Administration</v>
          </cell>
          <cell r="L5012" t="str">
            <v>T&amp;E</v>
          </cell>
          <cell r="N5012" t="str">
            <v>SG&amp;A</v>
          </cell>
          <cell r="O5012" t="str">
            <v>[No Vendor]</v>
          </cell>
        </row>
        <row r="5013">
          <cell r="D5013">
            <v>21.31</v>
          </cell>
          <cell r="H5013">
            <v>45597</v>
          </cell>
          <cell r="I5013" t="str">
            <v>6105 - Meals</v>
          </cell>
          <cell r="J5013">
            <v>0</v>
          </cell>
          <cell r="K5013" t="str">
            <v>Administration</v>
          </cell>
          <cell r="L5013" t="str">
            <v>T&amp;E</v>
          </cell>
          <cell r="N5013" t="str">
            <v>SG&amp;A</v>
          </cell>
          <cell r="O5013" t="str">
            <v>[No Vendor]</v>
          </cell>
        </row>
        <row r="5014">
          <cell r="D5014">
            <v>100.25</v>
          </cell>
          <cell r="H5014">
            <v>45597</v>
          </cell>
          <cell r="I5014" t="str">
            <v>6105 - Meals</v>
          </cell>
          <cell r="J5014">
            <v>0</v>
          </cell>
          <cell r="K5014" t="str">
            <v>Administration</v>
          </cell>
          <cell r="L5014" t="str">
            <v>T&amp;E</v>
          </cell>
          <cell r="N5014" t="str">
            <v>SG&amp;A</v>
          </cell>
          <cell r="O5014" t="str">
            <v>[No Vendor]</v>
          </cell>
        </row>
        <row r="5015">
          <cell r="D5015">
            <v>425.88</v>
          </cell>
          <cell r="H5015">
            <v>45597</v>
          </cell>
          <cell r="I5015" t="str">
            <v>6105 - Meals</v>
          </cell>
          <cell r="J5015">
            <v>0</v>
          </cell>
          <cell r="K5015" t="str">
            <v>Administration</v>
          </cell>
          <cell r="L5015" t="str">
            <v>T&amp;E</v>
          </cell>
          <cell r="N5015" t="str">
            <v>SG&amp;A</v>
          </cell>
          <cell r="O5015" t="str">
            <v>[No Vendor]</v>
          </cell>
        </row>
        <row r="5016">
          <cell r="D5016">
            <v>362.95</v>
          </cell>
          <cell r="H5016">
            <v>45597</v>
          </cell>
          <cell r="I5016" t="str">
            <v>6105 - Meals</v>
          </cell>
          <cell r="J5016">
            <v>0</v>
          </cell>
          <cell r="K5016" t="str">
            <v>Administration</v>
          </cell>
          <cell r="L5016" t="str">
            <v>T&amp;E</v>
          </cell>
          <cell r="N5016" t="str">
            <v>SG&amp;A</v>
          </cell>
          <cell r="O5016" t="str">
            <v>[No Vendor]</v>
          </cell>
        </row>
        <row r="5017">
          <cell r="D5017">
            <v>147.19999999999999</v>
          </cell>
          <cell r="H5017">
            <v>45597</v>
          </cell>
          <cell r="I5017" t="str">
            <v>6105 - Meals</v>
          </cell>
          <cell r="J5017">
            <v>0</v>
          </cell>
          <cell r="K5017" t="str">
            <v>Administration</v>
          </cell>
          <cell r="L5017" t="str">
            <v>T&amp;E</v>
          </cell>
          <cell r="N5017" t="str">
            <v>SG&amp;A</v>
          </cell>
          <cell r="O5017" t="str">
            <v>[No Vendor]</v>
          </cell>
        </row>
        <row r="5018">
          <cell r="D5018">
            <v>52</v>
          </cell>
          <cell r="H5018">
            <v>45597</v>
          </cell>
          <cell r="I5018" t="str">
            <v>6105 - Meals</v>
          </cell>
          <cell r="J5018">
            <v>0</v>
          </cell>
          <cell r="K5018" t="str">
            <v>Administration</v>
          </cell>
          <cell r="L5018" t="str">
            <v>T&amp;E</v>
          </cell>
          <cell r="N5018" t="str">
            <v>SG&amp;A</v>
          </cell>
          <cell r="O5018" t="str">
            <v>[No Vendor]</v>
          </cell>
        </row>
        <row r="5019">
          <cell r="D5019">
            <v>10.84</v>
          </cell>
          <cell r="H5019">
            <v>45597</v>
          </cell>
          <cell r="I5019" t="str">
            <v>6105 - Meals</v>
          </cell>
          <cell r="J5019">
            <v>0</v>
          </cell>
          <cell r="K5019" t="str">
            <v>Administration</v>
          </cell>
          <cell r="L5019" t="str">
            <v>T&amp;E</v>
          </cell>
          <cell r="N5019" t="str">
            <v>SG&amp;A</v>
          </cell>
          <cell r="O5019" t="str">
            <v>[No Vendor]</v>
          </cell>
        </row>
        <row r="5020">
          <cell r="D5020">
            <v>314.72000000000003</v>
          </cell>
          <cell r="H5020">
            <v>45597</v>
          </cell>
          <cell r="I5020" t="str">
            <v>6375 - Freight Expenses</v>
          </cell>
          <cell r="J5020">
            <v>0</v>
          </cell>
          <cell r="K5020" t="str">
            <v>Production</v>
          </cell>
          <cell r="L5020" t="str">
            <v>Freight</v>
          </cell>
          <cell r="N5020" t="str">
            <v>Direct Costs</v>
          </cell>
          <cell r="O5020" t="str">
            <v>DHL Express - USA</v>
          </cell>
        </row>
        <row r="5021">
          <cell r="D5021">
            <v>827.06</v>
          </cell>
          <cell r="H5021">
            <v>45597</v>
          </cell>
          <cell r="I5021" t="str">
            <v>6375 - Freight Expenses</v>
          </cell>
          <cell r="J5021">
            <v>0</v>
          </cell>
          <cell r="K5021" t="str">
            <v>Production</v>
          </cell>
          <cell r="L5021" t="str">
            <v>Freight</v>
          </cell>
          <cell r="N5021" t="str">
            <v>Direct Costs</v>
          </cell>
          <cell r="O5021" t="str">
            <v>DHL Express - USA</v>
          </cell>
        </row>
        <row r="5022">
          <cell r="D5022">
            <v>4042.13</v>
          </cell>
          <cell r="H5022">
            <v>45597</v>
          </cell>
          <cell r="I5022" t="str">
            <v>6210 - Monitoring</v>
          </cell>
          <cell r="J5022" t="str">
            <v>Ecommerce (EU)</v>
          </cell>
          <cell r="K5022" t="str">
            <v>Ecommerce</v>
          </cell>
          <cell r="L5022" t="str">
            <v>Professional Service</v>
          </cell>
          <cell r="N5022" t="str">
            <v>Direct Costs</v>
          </cell>
          <cell r="O5022" t="str">
            <v>Convey SRL</v>
          </cell>
        </row>
        <row r="5023">
          <cell r="D5023">
            <v>3241.41</v>
          </cell>
          <cell r="H5023">
            <v>45597</v>
          </cell>
          <cell r="I5023" t="str">
            <v>6377 - Order Processing Expenses (New)</v>
          </cell>
          <cell r="J5023" t="str">
            <v>Ecommerce (US)</v>
          </cell>
          <cell r="K5023" t="str">
            <v>Ecommerce</v>
          </cell>
          <cell r="L5023" t="str">
            <v>Order Processing</v>
          </cell>
          <cell r="N5023" t="str">
            <v>Direct Costs</v>
          </cell>
          <cell r="O5023" t="str">
            <v>Robert Karp Container Corp</v>
          </cell>
        </row>
        <row r="5024">
          <cell r="D5024">
            <v>2880</v>
          </cell>
          <cell r="H5024">
            <v>45597</v>
          </cell>
          <cell r="I5024" t="str">
            <v>6288 - Model</v>
          </cell>
          <cell r="J5024" t="str">
            <v>Ecommerce (US)</v>
          </cell>
          <cell r="K5024" t="str">
            <v>Brand Marketing</v>
          </cell>
          <cell r="L5024" t="str">
            <v>Advertising</v>
          </cell>
          <cell r="N5024" t="str">
            <v>SG&amp;A</v>
          </cell>
          <cell r="O5024" t="str">
            <v>State Artist Management</v>
          </cell>
        </row>
        <row r="5025">
          <cell r="D5025">
            <v>516.05999999999995</v>
          </cell>
          <cell r="H5025">
            <v>45597</v>
          </cell>
          <cell r="I5025" t="str">
            <v>6520 - Taxes and Licenses</v>
          </cell>
          <cell r="J5025" t="str">
            <v>Ecommerce (US)</v>
          </cell>
          <cell r="K5025" t="str">
            <v>Ecommerce</v>
          </cell>
          <cell r="L5025" t="str">
            <v>Other</v>
          </cell>
          <cell r="N5025" t="str">
            <v>SG&amp;A</v>
          </cell>
          <cell r="O5025" t="str">
            <v>[No Vendor]</v>
          </cell>
        </row>
        <row r="5026">
          <cell r="D5026">
            <v>500</v>
          </cell>
          <cell r="H5026">
            <v>45597</v>
          </cell>
          <cell r="I5026" t="str">
            <v>6380 - Legal &amp; Accounting</v>
          </cell>
          <cell r="J5026">
            <v>0</v>
          </cell>
          <cell r="K5026" t="str">
            <v>Administration</v>
          </cell>
          <cell r="L5026" t="str">
            <v>Professional Service</v>
          </cell>
          <cell r="N5026" t="str">
            <v>SG&amp;A</v>
          </cell>
          <cell r="O5026" t="str">
            <v>Ko &amp; Yun, LLP - IP Holding</v>
          </cell>
        </row>
        <row r="5027">
          <cell r="D5027">
            <v>1000</v>
          </cell>
          <cell r="H5027">
            <v>45597</v>
          </cell>
          <cell r="I5027" t="str">
            <v>6380 - Legal &amp; Accounting</v>
          </cell>
          <cell r="J5027">
            <v>0</v>
          </cell>
          <cell r="K5027" t="str">
            <v>Administration</v>
          </cell>
          <cell r="L5027" t="str">
            <v>Professional Service</v>
          </cell>
          <cell r="N5027" t="str">
            <v>SG&amp;A</v>
          </cell>
          <cell r="O5027" t="str">
            <v>Ko &amp; Yun, LLP - Operations</v>
          </cell>
        </row>
        <row r="5028">
          <cell r="D5028">
            <v>-0.31</v>
          </cell>
          <cell r="H5028">
            <v>45597</v>
          </cell>
          <cell r="I5028" t="str">
            <v>8505 - Realized Gain/Loss</v>
          </cell>
          <cell r="J5028">
            <v>0</v>
          </cell>
          <cell r="K5028" t="str">
            <v>No Department</v>
          </cell>
          <cell r="L5028" t="str">
            <v>Realized Gain / Loss</v>
          </cell>
          <cell r="N5028" t="str">
            <v>BTL</v>
          </cell>
          <cell r="O5028" t="str">
            <v>[No Vendor]</v>
          </cell>
        </row>
        <row r="5029">
          <cell r="D5029">
            <v>402.24</v>
          </cell>
          <cell r="H5029">
            <v>45597</v>
          </cell>
          <cell r="I5029" t="str">
            <v>6300 - Payroll Service Fees</v>
          </cell>
          <cell r="J5029">
            <v>0</v>
          </cell>
          <cell r="K5029" t="str">
            <v>Administration</v>
          </cell>
          <cell r="L5029" t="str">
            <v>Professional Service</v>
          </cell>
          <cell r="N5029" t="str">
            <v>SG&amp;A</v>
          </cell>
          <cell r="O5029" t="str">
            <v>ADP Payroll Services</v>
          </cell>
        </row>
        <row r="5030">
          <cell r="D5030">
            <v>107.35</v>
          </cell>
          <cell r="H5030">
            <v>45597</v>
          </cell>
          <cell r="I5030" t="str">
            <v>6393 - Software</v>
          </cell>
          <cell r="J5030">
            <v>0</v>
          </cell>
          <cell r="K5030" t="str">
            <v>Administration</v>
          </cell>
          <cell r="L5030" t="str">
            <v>Professional Service</v>
          </cell>
          <cell r="N5030" t="str">
            <v>Direct Costs</v>
          </cell>
          <cell r="O5030" t="str">
            <v>[No Vendor]</v>
          </cell>
        </row>
        <row r="5031">
          <cell r="D5031">
            <v>25</v>
          </cell>
          <cell r="H5031">
            <v>45597</v>
          </cell>
          <cell r="I5031" t="str">
            <v>6040 - Employer Paid Benefits</v>
          </cell>
          <cell r="J5031">
            <v>0</v>
          </cell>
          <cell r="K5031" t="str">
            <v>Administration</v>
          </cell>
          <cell r="L5031" t="str">
            <v>HQ Salaries</v>
          </cell>
          <cell r="N5031" t="str">
            <v>SG&amp;A</v>
          </cell>
          <cell r="O5031" t="str">
            <v>Lifetime Benefit Solutions, Inc</v>
          </cell>
        </row>
        <row r="5032">
          <cell r="D5032">
            <v>700</v>
          </cell>
          <cell r="H5032">
            <v>45597</v>
          </cell>
          <cell r="I5032" t="str">
            <v>6205 - Contractors</v>
          </cell>
          <cell r="J5032">
            <v>0</v>
          </cell>
          <cell r="K5032" t="str">
            <v>Brand Marketing</v>
          </cell>
          <cell r="L5032" t="str">
            <v>HQ Salaries</v>
          </cell>
          <cell r="N5032" t="str">
            <v>SG&amp;A</v>
          </cell>
          <cell r="O5032" t="str">
            <v>Ammy  Thitichaya Chan</v>
          </cell>
        </row>
        <row r="5033">
          <cell r="D5033">
            <v>27768.28</v>
          </cell>
          <cell r="H5033">
            <v>45597</v>
          </cell>
          <cell r="I5033" t="str">
            <v>6375 - Freight Expenses</v>
          </cell>
          <cell r="J5033" t="str">
            <v>Ecommerce (US)</v>
          </cell>
          <cell r="K5033" t="str">
            <v>Ecommerce</v>
          </cell>
          <cell r="L5033" t="str">
            <v>Freight</v>
          </cell>
          <cell r="N5033" t="str">
            <v>Direct Costs</v>
          </cell>
          <cell r="O5033" t="str">
            <v>UPS Supply Chain Solutions Inc. (7F24A0)</v>
          </cell>
        </row>
        <row r="5034">
          <cell r="D5034">
            <v>137.79</v>
          </cell>
          <cell r="H5034">
            <v>45597</v>
          </cell>
          <cell r="I5034" t="str">
            <v>6375 - Freight Expenses</v>
          </cell>
          <cell r="J5034" t="str">
            <v>Wholesale</v>
          </cell>
          <cell r="K5034" t="str">
            <v>Wholesale</v>
          </cell>
          <cell r="L5034" t="str">
            <v>Freight</v>
          </cell>
          <cell r="N5034" t="str">
            <v>Direct Costs</v>
          </cell>
          <cell r="O5034" t="str">
            <v>UPS Supply Chain Solutions Inc. (7F24A0)</v>
          </cell>
        </row>
        <row r="5035">
          <cell r="D5035">
            <v>122.75</v>
          </cell>
          <cell r="H5035">
            <v>45597</v>
          </cell>
          <cell r="I5035" t="str">
            <v>6040 - Employer Paid Benefits</v>
          </cell>
          <cell r="J5035">
            <v>0</v>
          </cell>
          <cell r="K5035" t="str">
            <v>Executive</v>
          </cell>
          <cell r="L5035" t="str">
            <v>HQ Salaries</v>
          </cell>
          <cell r="N5035" t="str">
            <v>SG&amp;A</v>
          </cell>
          <cell r="O5035" t="str">
            <v>Procyon Benefits LLC</v>
          </cell>
        </row>
        <row r="5036">
          <cell r="D5036">
            <v>1440</v>
          </cell>
          <cell r="H5036">
            <v>45597</v>
          </cell>
          <cell r="I5036" t="str">
            <v>6288 - Model</v>
          </cell>
          <cell r="J5036">
            <v>0</v>
          </cell>
          <cell r="K5036" t="str">
            <v>Brand Marketing</v>
          </cell>
          <cell r="L5036" t="str">
            <v>Advertising</v>
          </cell>
          <cell r="N5036" t="str">
            <v>SG&amp;A</v>
          </cell>
          <cell r="O5036" t="str">
            <v>Soul Artist Management</v>
          </cell>
        </row>
        <row r="5037">
          <cell r="D5037">
            <v>1440</v>
          </cell>
          <cell r="H5037">
            <v>45597</v>
          </cell>
          <cell r="I5037" t="str">
            <v>6288 - Model</v>
          </cell>
          <cell r="J5037" t="str">
            <v>Ecommerce (US)</v>
          </cell>
          <cell r="K5037" t="str">
            <v>Brand Marketing</v>
          </cell>
          <cell r="L5037" t="str">
            <v>Advertising</v>
          </cell>
          <cell r="N5037" t="str">
            <v>SG&amp;A</v>
          </cell>
          <cell r="O5037" t="str">
            <v>State Artist Management</v>
          </cell>
        </row>
        <row r="5038">
          <cell r="D5038">
            <v>4813</v>
          </cell>
          <cell r="H5038">
            <v>45597</v>
          </cell>
          <cell r="I5038" t="str">
            <v>6240 - Product Photography</v>
          </cell>
          <cell r="J5038" t="str">
            <v>Ecommerce (US)</v>
          </cell>
          <cell r="K5038" t="str">
            <v>Brand Marketing</v>
          </cell>
          <cell r="L5038" t="str">
            <v>Advertising</v>
          </cell>
          <cell r="N5038" t="str">
            <v>SG&amp;A</v>
          </cell>
          <cell r="O5038" t="str">
            <v>Theerapol Thammasitboon</v>
          </cell>
        </row>
        <row r="5039">
          <cell r="D5039">
            <v>23750</v>
          </cell>
          <cell r="H5039">
            <v>45597</v>
          </cell>
          <cell r="I5039" t="str">
            <v>6215 - Recruitment</v>
          </cell>
          <cell r="J5039">
            <v>0</v>
          </cell>
          <cell r="K5039" t="str">
            <v>Administration</v>
          </cell>
          <cell r="L5039" t="str">
            <v>Professional Service</v>
          </cell>
          <cell r="N5039" t="str">
            <v>SG&amp;A</v>
          </cell>
          <cell r="O5039" t="str">
            <v>Janou Pakter</v>
          </cell>
        </row>
        <row r="5040">
          <cell r="D5040">
            <v>847.42</v>
          </cell>
          <cell r="H5040">
            <v>45597</v>
          </cell>
          <cell r="I5040" t="str">
            <v>6430 - Dues &amp; Memberships</v>
          </cell>
          <cell r="J5040" t="str">
            <v>Wholesale</v>
          </cell>
          <cell r="K5040" t="str">
            <v>Wholesale</v>
          </cell>
          <cell r="L5040" t="str">
            <v>Professional Service</v>
          </cell>
          <cell r="N5040" t="str">
            <v>Direct Costs</v>
          </cell>
          <cell r="O5040" t="str">
            <v>SPS Commerce</v>
          </cell>
        </row>
        <row r="5041">
          <cell r="D5041">
            <v>700</v>
          </cell>
          <cell r="H5041">
            <v>45597</v>
          </cell>
          <cell r="I5041" t="str">
            <v>6225 - Professional Services</v>
          </cell>
          <cell r="J5041">
            <v>0</v>
          </cell>
          <cell r="K5041" t="str">
            <v>Brand Marketing</v>
          </cell>
          <cell r="L5041" t="str">
            <v>Professional Service</v>
          </cell>
          <cell r="N5041" t="str">
            <v>Direct Costs</v>
          </cell>
          <cell r="O5041" t="str">
            <v>Melody  Huang</v>
          </cell>
        </row>
        <row r="5042">
          <cell r="D5042">
            <v>70.89</v>
          </cell>
          <cell r="H5042">
            <v>45597</v>
          </cell>
          <cell r="I5042" t="str">
            <v>6375 - Freight Expenses</v>
          </cell>
          <cell r="J5042" t="str">
            <v>Ecommerce (US)</v>
          </cell>
          <cell r="K5042" t="str">
            <v>Ecommerce</v>
          </cell>
          <cell r="L5042" t="str">
            <v>Freight</v>
          </cell>
          <cell r="N5042" t="str">
            <v>Direct Costs</v>
          </cell>
          <cell r="O5042" t="str">
            <v>Federal Express</v>
          </cell>
        </row>
        <row r="5043">
          <cell r="D5043">
            <v>127.8</v>
          </cell>
          <cell r="H5043">
            <v>45597</v>
          </cell>
          <cell r="I5043" t="str">
            <v>6040 - Employer Paid Benefits</v>
          </cell>
          <cell r="J5043">
            <v>0</v>
          </cell>
          <cell r="K5043" t="str">
            <v>Design</v>
          </cell>
          <cell r="L5043" t="str">
            <v>HQ Salaries</v>
          </cell>
          <cell r="N5043" t="str">
            <v>SG&amp;A</v>
          </cell>
          <cell r="O5043" t="str">
            <v>Procyon Benefits LLC</v>
          </cell>
        </row>
        <row r="5044">
          <cell r="D5044">
            <v>187.14</v>
          </cell>
          <cell r="H5044">
            <v>45597</v>
          </cell>
          <cell r="I5044" t="str">
            <v>6040 - Employer Paid Benefits</v>
          </cell>
          <cell r="J5044">
            <v>0</v>
          </cell>
          <cell r="K5044" t="str">
            <v>Administration</v>
          </cell>
          <cell r="L5044" t="str">
            <v>HQ Salaries</v>
          </cell>
          <cell r="N5044" t="str">
            <v>SG&amp;A</v>
          </cell>
          <cell r="O5044" t="str">
            <v>Procyon Benefits LLC</v>
          </cell>
        </row>
        <row r="5045">
          <cell r="D5045">
            <v>372.05</v>
          </cell>
          <cell r="H5045">
            <v>45597</v>
          </cell>
          <cell r="I5045" t="str">
            <v>6040 - Employer Paid Benefits</v>
          </cell>
          <cell r="J5045">
            <v>0</v>
          </cell>
          <cell r="K5045" t="str">
            <v>Production</v>
          </cell>
          <cell r="L5045" t="str">
            <v>HQ Salaries</v>
          </cell>
          <cell r="N5045" t="str">
            <v>SG&amp;A</v>
          </cell>
          <cell r="O5045" t="str">
            <v>Procyon Benefits LLC</v>
          </cell>
        </row>
        <row r="5046">
          <cell r="D5046">
            <v>20.3</v>
          </cell>
          <cell r="H5046">
            <v>45597</v>
          </cell>
          <cell r="I5046" t="str">
            <v>6040 - Employer Paid Benefits</v>
          </cell>
          <cell r="J5046">
            <v>0</v>
          </cell>
          <cell r="K5046" t="str">
            <v>Merchandising</v>
          </cell>
          <cell r="L5046" t="str">
            <v>HQ Salaries</v>
          </cell>
          <cell r="N5046" t="str">
            <v>SG&amp;A</v>
          </cell>
          <cell r="O5046" t="str">
            <v>Procyon Benefits LLC</v>
          </cell>
        </row>
        <row r="5047">
          <cell r="D5047">
            <v>1225.49</v>
          </cell>
          <cell r="H5047">
            <v>45597</v>
          </cell>
          <cell r="I5047" t="str">
            <v>6040 - Employer Paid Benefits</v>
          </cell>
          <cell r="J5047" t="str">
            <v>Ecommerce (US)</v>
          </cell>
          <cell r="K5047" t="str">
            <v>Ecommerce</v>
          </cell>
          <cell r="L5047" t="str">
            <v>HQ Salaries</v>
          </cell>
          <cell r="N5047" t="str">
            <v>SG&amp;A</v>
          </cell>
          <cell r="O5047" t="str">
            <v>Procyon Benefits LLC</v>
          </cell>
        </row>
        <row r="5048">
          <cell r="D5048">
            <v>5575.95</v>
          </cell>
          <cell r="H5048">
            <v>45597</v>
          </cell>
          <cell r="I5048" t="str">
            <v>6375 - Freight Expenses</v>
          </cell>
          <cell r="J5048" t="str">
            <v>Ecommerce (EU)</v>
          </cell>
          <cell r="K5048" t="str">
            <v>Ecommerce</v>
          </cell>
          <cell r="L5048" t="str">
            <v>Freight</v>
          </cell>
          <cell r="N5048" t="str">
            <v>Direct Costs</v>
          </cell>
          <cell r="O5048" t="str">
            <v>Global E</v>
          </cell>
        </row>
        <row r="5049">
          <cell r="D5049">
            <v>23134.27</v>
          </cell>
          <cell r="H5049">
            <v>45597</v>
          </cell>
          <cell r="I5049" t="str">
            <v>5001 - Cost of Goods Sold - Other</v>
          </cell>
          <cell r="J5049" t="str">
            <v>Ecommerce (EU)</v>
          </cell>
          <cell r="K5049" t="str">
            <v>Ecommerce</v>
          </cell>
          <cell r="L5049" t="str">
            <v>Other COGS</v>
          </cell>
          <cell r="N5049" t="str">
            <v>COGS</v>
          </cell>
          <cell r="O5049" t="str">
            <v>[No Vendor]</v>
          </cell>
        </row>
        <row r="5050">
          <cell r="D5050">
            <v>1193.76</v>
          </cell>
          <cell r="H5050">
            <v>45597</v>
          </cell>
          <cell r="I5050" t="str">
            <v>6377 - Order Processing Expenses (New)</v>
          </cell>
          <cell r="J5050" t="str">
            <v>Ecommerce (EU)</v>
          </cell>
          <cell r="K5050" t="str">
            <v>Ecommerce</v>
          </cell>
          <cell r="L5050" t="str">
            <v>Order Processing</v>
          </cell>
          <cell r="N5050" t="str">
            <v>Direct Costs</v>
          </cell>
          <cell r="O5050" t="str">
            <v>[No Vendor]</v>
          </cell>
        </row>
        <row r="5051">
          <cell r="D5051">
            <v>6046.04</v>
          </cell>
          <cell r="H5051">
            <v>45597</v>
          </cell>
          <cell r="I5051" t="str">
            <v>6450 - Bank &amp; Other Fees</v>
          </cell>
          <cell r="J5051" t="str">
            <v>Ecommerce (EU)</v>
          </cell>
          <cell r="K5051" t="str">
            <v>Ecommerce</v>
          </cell>
          <cell r="L5051" t="str">
            <v>Professional Service</v>
          </cell>
          <cell r="N5051" t="str">
            <v>Direct Costs</v>
          </cell>
          <cell r="O5051" t="str">
            <v>[No Vendor]</v>
          </cell>
        </row>
        <row r="5052">
          <cell r="D5052">
            <v>1312.85</v>
          </cell>
          <cell r="H5052">
            <v>45597</v>
          </cell>
          <cell r="I5052" t="str">
            <v>6377 - Order Processing Expenses (New)</v>
          </cell>
          <cell r="J5052" t="str">
            <v>Wholesale</v>
          </cell>
          <cell r="K5052" t="str">
            <v>Wholesale</v>
          </cell>
          <cell r="L5052" t="str">
            <v>Order Processing</v>
          </cell>
          <cell r="N5052" t="str">
            <v>Direct Costs</v>
          </cell>
          <cell r="O5052" t="str">
            <v>Bergen Logistics Corporation</v>
          </cell>
        </row>
        <row r="5053">
          <cell r="D5053">
            <v>1312.85</v>
          </cell>
          <cell r="H5053">
            <v>45597</v>
          </cell>
          <cell r="I5053" t="str">
            <v>6377 - Order Processing Expenses (New)</v>
          </cell>
          <cell r="J5053" t="str">
            <v>Ecommerce (US)</v>
          </cell>
          <cell r="K5053" t="str">
            <v>Ecommerce</v>
          </cell>
          <cell r="L5053" t="str">
            <v>Order Processing</v>
          </cell>
          <cell r="N5053" t="str">
            <v>Direct Costs</v>
          </cell>
          <cell r="O5053" t="str">
            <v>Bergen Logistics Corporation</v>
          </cell>
        </row>
        <row r="5054">
          <cell r="D5054">
            <v>331.02</v>
          </cell>
          <cell r="H5054">
            <v>45597</v>
          </cell>
          <cell r="I5054" t="str">
            <v>6375 - Freight Expenses</v>
          </cell>
          <cell r="J5054" t="str">
            <v>Ecommerce (EU)</v>
          </cell>
          <cell r="K5054" t="str">
            <v>Ecommerce</v>
          </cell>
          <cell r="L5054" t="str">
            <v>Freight</v>
          </cell>
          <cell r="N5054" t="str">
            <v>Direct Costs</v>
          </cell>
          <cell r="O5054" t="str">
            <v>UPS Supply Chain Solutions Inc. (7F24A0)</v>
          </cell>
        </row>
        <row r="5055">
          <cell r="D5055">
            <v>84</v>
          </cell>
          <cell r="H5055">
            <v>45597</v>
          </cell>
          <cell r="I5055" t="str">
            <v>6405 - Telephone</v>
          </cell>
          <cell r="J5055">
            <v>0</v>
          </cell>
          <cell r="K5055" t="str">
            <v>Executive</v>
          </cell>
          <cell r="L5055" t="str">
            <v>Other</v>
          </cell>
          <cell r="N5055" t="str">
            <v>SG&amp;A</v>
          </cell>
          <cell r="O5055" t="str">
            <v>[No Vendor]</v>
          </cell>
        </row>
        <row r="5056">
          <cell r="D5056">
            <v>31.59</v>
          </cell>
          <cell r="H5056">
            <v>45597</v>
          </cell>
          <cell r="I5056" t="str">
            <v>6363 - Development</v>
          </cell>
          <cell r="J5056">
            <v>0</v>
          </cell>
          <cell r="K5056" t="str">
            <v>Design</v>
          </cell>
          <cell r="L5056" t="str">
            <v>Sample</v>
          </cell>
          <cell r="N5056" t="str">
            <v>SG&amp;A</v>
          </cell>
          <cell r="O5056" t="str">
            <v>Consul + SRL</v>
          </cell>
        </row>
        <row r="5057">
          <cell r="D5057">
            <v>617.5</v>
          </cell>
          <cell r="H5057">
            <v>45597</v>
          </cell>
          <cell r="I5057" t="str">
            <v>6300 - Payroll Service Fees</v>
          </cell>
          <cell r="J5057">
            <v>0</v>
          </cell>
          <cell r="K5057" t="str">
            <v>Administration</v>
          </cell>
          <cell r="L5057" t="str">
            <v>Professional Service</v>
          </cell>
          <cell r="N5057" t="str">
            <v>SG&amp;A</v>
          </cell>
          <cell r="O5057" t="str">
            <v>OperationsInc, LLC</v>
          </cell>
        </row>
        <row r="5058">
          <cell r="D5058">
            <v>43.84</v>
          </cell>
          <cell r="H5058">
            <v>45597</v>
          </cell>
          <cell r="I5058" t="str">
            <v>6375 - Freight Expenses</v>
          </cell>
          <cell r="J5058">
            <v>0</v>
          </cell>
          <cell r="K5058" t="str">
            <v>Production</v>
          </cell>
          <cell r="L5058" t="str">
            <v>Freight</v>
          </cell>
          <cell r="N5058" t="str">
            <v>Direct Costs</v>
          </cell>
          <cell r="O5058" t="str">
            <v>DHL Express - USA</v>
          </cell>
        </row>
        <row r="5059">
          <cell r="D5059">
            <v>-40.159999999999997</v>
          </cell>
          <cell r="H5059">
            <v>45597</v>
          </cell>
          <cell r="I5059" t="str">
            <v>6377 - Order Processing Expenses (New)</v>
          </cell>
          <cell r="J5059" t="str">
            <v>Ecommerce (US)</v>
          </cell>
          <cell r="K5059" t="str">
            <v>No Department</v>
          </cell>
          <cell r="L5059" t="str">
            <v>Order Processing</v>
          </cell>
          <cell r="N5059" t="str">
            <v>Direct Costs</v>
          </cell>
          <cell r="O5059" t="str">
            <v>Bergen Logistics Corporation</v>
          </cell>
        </row>
        <row r="5060">
          <cell r="D5060">
            <v>129.24</v>
          </cell>
          <cell r="H5060">
            <v>45597</v>
          </cell>
          <cell r="I5060" t="str">
            <v>6040 - Employer Paid Benefits</v>
          </cell>
          <cell r="J5060">
            <v>0</v>
          </cell>
          <cell r="K5060" t="str">
            <v>Administration</v>
          </cell>
          <cell r="L5060" t="str">
            <v>HQ Salaries</v>
          </cell>
          <cell r="N5060" t="str">
            <v>SG&amp;A</v>
          </cell>
          <cell r="O5060" t="str">
            <v>Procyon Benefits LLC</v>
          </cell>
        </row>
        <row r="5061">
          <cell r="D5061">
            <v>101.1</v>
          </cell>
          <cell r="H5061">
            <v>45597</v>
          </cell>
          <cell r="I5061" t="str">
            <v>6040 - Employer Paid Benefits</v>
          </cell>
          <cell r="J5061">
            <v>0</v>
          </cell>
          <cell r="K5061" t="str">
            <v>Production</v>
          </cell>
          <cell r="L5061" t="str">
            <v>HQ Salaries</v>
          </cell>
          <cell r="N5061" t="str">
            <v>SG&amp;A</v>
          </cell>
          <cell r="O5061" t="str">
            <v>Procyon Benefits LLC</v>
          </cell>
        </row>
        <row r="5062">
          <cell r="D5062">
            <v>63.4</v>
          </cell>
          <cell r="H5062">
            <v>45597</v>
          </cell>
          <cell r="I5062" t="str">
            <v>6040 - Employer Paid Benefits</v>
          </cell>
          <cell r="J5062">
            <v>0</v>
          </cell>
          <cell r="K5062" t="str">
            <v>Merchandising</v>
          </cell>
          <cell r="L5062" t="str">
            <v>HQ Salaries</v>
          </cell>
          <cell r="N5062" t="str">
            <v>SG&amp;A</v>
          </cell>
          <cell r="O5062" t="str">
            <v>Procyon Benefits LLC</v>
          </cell>
        </row>
        <row r="5063">
          <cell r="D5063">
            <v>599.54999999999995</v>
          </cell>
          <cell r="H5063">
            <v>45597</v>
          </cell>
          <cell r="I5063" t="str">
            <v>6040 - Employer Paid Benefits</v>
          </cell>
          <cell r="J5063" t="str">
            <v>Ecommerce (US)</v>
          </cell>
          <cell r="K5063" t="str">
            <v>Ecommerce</v>
          </cell>
          <cell r="L5063" t="str">
            <v>HQ Salaries</v>
          </cell>
          <cell r="N5063" t="str">
            <v>SG&amp;A</v>
          </cell>
          <cell r="O5063" t="str">
            <v>Procyon Benefits LLC</v>
          </cell>
        </row>
        <row r="5064">
          <cell r="D5064">
            <v>812.5</v>
          </cell>
          <cell r="H5064">
            <v>45597</v>
          </cell>
          <cell r="I5064" t="str">
            <v>6040 - Employer Paid Benefits</v>
          </cell>
          <cell r="J5064">
            <v>0</v>
          </cell>
          <cell r="K5064" t="str">
            <v>Executive</v>
          </cell>
          <cell r="L5064" t="str">
            <v>HQ Salaries</v>
          </cell>
          <cell r="N5064" t="str">
            <v>SG&amp;A</v>
          </cell>
          <cell r="O5064" t="str">
            <v>Procyon Benefits LLC</v>
          </cell>
        </row>
        <row r="5065">
          <cell r="D5065">
            <v>355</v>
          </cell>
          <cell r="H5065">
            <v>45597</v>
          </cell>
          <cell r="I5065" t="str">
            <v>6040 - Employer Paid Benefits</v>
          </cell>
          <cell r="J5065">
            <v>0</v>
          </cell>
          <cell r="K5065" t="str">
            <v>Design</v>
          </cell>
          <cell r="L5065" t="str">
            <v>HQ Salaries</v>
          </cell>
          <cell r="N5065" t="str">
            <v>SG&amp;A</v>
          </cell>
          <cell r="O5065" t="str">
            <v>Procyon Benefits LLC</v>
          </cell>
        </row>
        <row r="5066">
          <cell r="D5066">
            <v>89.44</v>
          </cell>
          <cell r="H5066">
            <v>45597</v>
          </cell>
          <cell r="I5066" t="str">
            <v>6300 - Payroll Service Fees</v>
          </cell>
          <cell r="J5066">
            <v>0</v>
          </cell>
          <cell r="K5066" t="str">
            <v>Administration</v>
          </cell>
          <cell r="L5066" t="str">
            <v>Professional Service</v>
          </cell>
          <cell r="N5066" t="str">
            <v>SG&amp;A</v>
          </cell>
          <cell r="O5066" t="str">
            <v>ADP Payroll Services</v>
          </cell>
        </row>
        <row r="5067">
          <cell r="D5067">
            <v>11465.72</v>
          </cell>
          <cell r="H5067">
            <v>45597</v>
          </cell>
          <cell r="I5067" t="str">
            <v>6380 - Legal &amp; Accounting</v>
          </cell>
          <cell r="J5067">
            <v>0</v>
          </cell>
          <cell r="K5067" t="str">
            <v>Administration</v>
          </cell>
          <cell r="L5067" t="str">
            <v>Professional Service</v>
          </cell>
          <cell r="N5067" t="str">
            <v>SG&amp;A</v>
          </cell>
          <cell r="O5067" t="str">
            <v>The Wave IP Law Firm</v>
          </cell>
        </row>
        <row r="5068">
          <cell r="D5068">
            <v>-170.98</v>
          </cell>
          <cell r="H5068">
            <v>45597</v>
          </cell>
          <cell r="I5068" t="str">
            <v>6377 - Order Processing Expenses (New)</v>
          </cell>
          <cell r="J5068" t="str">
            <v>Ecommerce (US)</v>
          </cell>
          <cell r="K5068" t="str">
            <v>No Department</v>
          </cell>
          <cell r="L5068" t="str">
            <v>Order Processing</v>
          </cell>
          <cell r="N5068" t="str">
            <v>Direct Costs</v>
          </cell>
          <cell r="O5068" t="str">
            <v>Bergen Logistics Corporation</v>
          </cell>
        </row>
        <row r="5069">
          <cell r="D5069">
            <v>25800.41</v>
          </cell>
          <cell r="H5069">
            <v>45597</v>
          </cell>
          <cell r="I5069" t="str">
            <v>6005 - Salaries</v>
          </cell>
          <cell r="J5069">
            <v>0</v>
          </cell>
          <cell r="K5069" t="str">
            <v>Administration</v>
          </cell>
          <cell r="L5069" t="str">
            <v>HQ Salaries</v>
          </cell>
          <cell r="N5069" t="str">
            <v>SG&amp;A</v>
          </cell>
          <cell r="O5069" t="str">
            <v>[No Vendor]</v>
          </cell>
        </row>
        <row r="5070">
          <cell r="D5070">
            <v>0</v>
          </cell>
          <cell r="H5070">
            <v>45597</v>
          </cell>
          <cell r="I5070" t="str">
            <v>6035 - Severance Expense</v>
          </cell>
          <cell r="J5070" t="str">
            <v>Wholesale</v>
          </cell>
          <cell r="K5070" t="str">
            <v>Wholesale</v>
          </cell>
          <cell r="L5070" t="str">
            <v>HQ Salaries</v>
          </cell>
          <cell r="N5070" t="str">
            <v>SG&amp;A</v>
          </cell>
          <cell r="O5070" t="str">
            <v>[No Vendor]</v>
          </cell>
        </row>
        <row r="5071">
          <cell r="D5071">
            <v>14136.31</v>
          </cell>
          <cell r="H5071">
            <v>45597</v>
          </cell>
          <cell r="I5071" t="str">
            <v>6286 - SEM</v>
          </cell>
          <cell r="J5071" t="str">
            <v>Ecommerce (US)</v>
          </cell>
          <cell r="K5071" t="str">
            <v>Ecommerce</v>
          </cell>
          <cell r="L5071" t="str">
            <v>Marketing</v>
          </cell>
          <cell r="N5071" t="str">
            <v>Direct Costs</v>
          </cell>
          <cell r="O5071" t="str">
            <v>[No Vendor]</v>
          </cell>
        </row>
        <row r="5072">
          <cell r="D5072">
            <v>0</v>
          </cell>
          <cell r="H5072">
            <v>45597</v>
          </cell>
          <cell r="I5072" t="str">
            <v>6205 - Contractors</v>
          </cell>
          <cell r="J5072">
            <v>0</v>
          </cell>
          <cell r="K5072" t="str">
            <v>Brand Marketing</v>
          </cell>
          <cell r="L5072" t="str">
            <v>HQ Salaries</v>
          </cell>
          <cell r="N5072" t="str">
            <v>SG&amp;A</v>
          </cell>
          <cell r="O5072" t="str">
            <v>[No Vendor]</v>
          </cell>
        </row>
        <row r="5073">
          <cell r="D5073">
            <v>4875</v>
          </cell>
          <cell r="H5073">
            <v>45597</v>
          </cell>
          <cell r="I5073" t="str">
            <v>6205 - Contractors</v>
          </cell>
          <cell r="J5073" t="str">
            <v>Ecommerce (US)</v>
          </cell>
          <cell r="K5073" t="str">
            <v>Ecommerce</v>
          </cell>
          <cell r="L5073" t="str">
            <v>HQ Salaries</v>
          </cell>
          <cell r="N5073" t="str">
            <v>SG&amp;A</v>
          </cell>
          <cell r="O5073" t="str">
            <v>[No Vendor]</v>
          </cell>
        </row>
        <row r="5074">
          <cell r="D5074">
            <v>-1.2</v>
          </cell>
          <cell r="H5074">
            <v>45597</v>
          </cell>
          <cell r="I5074" t="str">
            <v>6385 - Insurance</v>
          </cell>
          <cell r="J5074">
            <v>0</v>
          </cell>
          <cell r="K5074" t="str">
            <v>Administration</v>
          </cell>
          <cell r="L5074" t="str">
            <v>Professional Service</v>
          </cell>
          <cell r="N5074" t="str">
            <v>SG&amp;A</v>
          </cell>
          <cell r="O5074" t="str">
            <v>[No Vendor]</v>
          </cell>
        </row>
        <row r="5075">
          <cell r="D5075">
            <v>-45.67</v>
          </cell>
          <cell r="H5075">
            <v>45597</v>
          </cell>
          <cell r="I5075" t="str">
            <v>6385 - Insurance</v>
          </cell>
          <cell r="J5075">
            <v>0</v>
          </cell>
          <cell r="K5075" t="str">
            <v>Administration</v>
          </cell>
          <cell r="L5075" t="str">
            <v>Professional Service</v>
          </cell>
          <cell r="N5075" t="str">
            <v>SG&amp;A</v>
          </cell>
          <cell r="O5075" t="str">
            <v>[No Vendor]</v>
          </cell>
        </row>
        <row r="5076">
          <cell r="D5076">
            <v>-29.56</v>
          </cell>
          <cell r="H5076">
            <v>45597</v>
          </cell>
          <cell r="I5076" t="str">
            <v>6385 - Insurance</v>
          </cell>
          <cell r="J5076">
            <v>0</v>
          </cell>
          <cell r="K5076" t="str">
            <v>Administration</v>
          </cell>
          <cell r="L5076" t="str">
            <v>Professional Service</v>
          </cell>
          <cell r="N5076" t="str">
            <v>SG&amp;A</v>
          </cell>
          <cell r="O5076" t="str">
            <v>[No Vendor]</v>
          </cell>
        </row>
        <row r="5077">
          <cell r="D5077">
            <v>-13.39</v>
          </cell>
          <cell r="H5077">
            <v>45597</v>
          </cell>
          <cell r="I5077" t="str">
            <v>6385 - Insurance</v>
          </cell>
          <cell r="J5077">
            <v>0</v>
          </cell>
          <cell r="K5077" t="str">
            <v>Administration</v>
          </cell>
          <cell r="L5077" t="str">
            <v>Professional Service</v>
          </cell>
          <cell r="N5077" t="str">
            <v>SG&amp;A</v>
          </cell>
          <cell r="O5077" t="str">
            <v>[No Vendor]</v>
          </cell>
        </row>
        <row r="5078">
          <cell r="D5078">
            <v>-1.2</v>
          </cell>
          <cell r="H5078">
            <v>45597</v>
          </cell>
          <cell r="I5078" t="str">
            <v>6385 - Insurance</v>
          </cell>
          <cell r="J5078">
            <v>0</v>
          </cell>
          <cell r="K5078" t="str">
            <v>Administration</v>
          </cell>
          <cell r="L5078" t="str">
            <v>Professional Service</v>
          </cell>
          <cell r="N5078" t="str">
            <v>SG&amp;A</v>
          </cell>
          <cell r="O5078" t="str">
            <v>[No Vendor]</v>
          </cell>
        </row>
        <row r="5079">
          <cell r="D5079">
            <v>-23.25</v>
          </cell>
          <cell r="H5079">
            <v>45597</v>
          </cell>
          <cell r="I5079" t="str">
            <v>6385 - Insurance</v>
          </cell>
          <cell r="J5079">
            <v>0</v>
          </cell>
          <cell r="K5079" t="str">
            <v>Administration</v>
          </cell>
          <cell r="L5079" t="str">
            <v>Professional Service</v>
          </cell>
          <cell r="N5079" t="str">
            <v>SG&amp;A</v>
          </cell>
          <cell r="O5079" t="str">
            <v>[No Vendor]</v>
          </cell>
        </row>
        <row r="5080">
          <cell r="D5080">
            <v>-25.46</v>
          </cell>
          <cell r="H5080">
            <v>45597</v>
          </cell>
          <cell r="I5080" t="str">
            <v>6385 - Insurance</v>
          </cell>
          <cell r="J5080">
            <v>0</v>
          </cell>
          <cell r="K5080" t="str">
            <v>Administration</v>
          </cell>
          <cell r="L5080" t="str">
            <v>Professional Service</v>
          </cell>
          <cell r="N5080" t="str">
            <v>SG&amp;A</v>
          </cell>
          <cell r="O5080" t="str">
            <v>[No Vendor]</v>
          </cell>
        </row>
        <row r="5081">
          <cell r="D5081">
            <v>-40.24</v>
          </cell>
          <cell r="H5081">
            <v>45597</v>
          </cell>
          <cell r="I5081" t="str">
            <v>6385 - Insurance</v>
          </cell>
          <cell r="J5081">
            <v>0</v>
          </cell>
          <cell r="K5081" t="str">
            <v>Administration</v>
          </cell>
          <cell r="L5081" t="str">
            <v>Professional Service</v>
          </cell>
          <cell r="N5081" t="str">
            <v>SG&amp;A</v>
          </cell>
          <cell r="O5081" t="str">
            <v>[No Vendor]</v>
          </cell>
        </row>
        <row r="5082">
          <cell r="D5082">
            <v>579.38</v>
          </cell>
          <cell r="H5082">
            <v>45597</v>
          </cell>
          <cell r="I5082" t="str">
            <v>6055 - Employer Social Security Tax Withheld</v>
          </cell>
          <cell r="J5082">
            <v>0</v>
          </cell>
          <cell r="K5082" t="str">
            <v>Merchandising</v>
          </cell>
          <cell r="L5082" t="str">
            <v>HQ Salaries</v>
          </cell>
          <cell r="N5082" t="str">
            <v>SG&amp;A</v>
          </cell>
          <cell r="O5082" t="str">
            <v>[No Vendor]</v>
          </cell>
        </row>
        <row r="5083">
          <cell r="D5083">
            <v>1369.17</v>
          </cell>
          <cell r="H5083">
            <v>45597</v>
          </cell>
          <cell r="I5083" t="str">
            <v>6055 - Employer Social Security Tax Withheld</v>
          </cell>
          <cell r="J5083" t="str">
            <v>Wholesale</v>
          </cell>
          <cell r="K5083" t="str">
            <v>Wholesale</v>
          </cell>
          <cell r="L5083" t="str">
            <v>HQ Salaries</v>
          </cell>
          <cell r="N5083" t="str">
            <v>SG&amp;A</v>
          </cell>
          <cell r="O5083" t="str">
            <v>[No Vendor]</v>
          </cell>
        </row>
        <row r="5084">
          <cell r="D5084">
            <v>1458.7</v>
          </cell>
          <cell r="H5084">
            <v>45597</v>
          </cell>
          <cell r="I5084" t="str">
            <v>6055 - Employer Social Security Tax Withheld</v>
          </cell>
          <cell r="J5084">
            <v>0</v>
          </cell>
          <cell r="K5084" t="str">
            <v>Production</v>
          </cell>
          <cell r="L5084" t="str">
            <v>HQ Salaries</v>
          </cell>
          <cell r="N5084" t="str">
            <v>SG&amp;A</v>
          </cell>
          <cell r="O5084" t="str">
            <v>[No Vendor]</v>
          </cell>
        </row>
        <row r="5085">
          <cell r="D5085">
            <v>365.93</v>
          </cell>
          <cell r="H5085">
            <v>45597</v>
          </cell>
          <cell r="I5085" t="str">
            <v>6055 - Employer Social Security Tax Withheld</v>
          </cell>
          <cell r="J5085">
            <v>0</v>
          </cell>
          <cell r="K5085" t="str">
            <v>Brand Marketing</v>
          </cell>
          <cell r="L5085" t="str">
            <v>HQ Salaries</v>
          </cell>
          <cell r="N5085" t="str">
            <v>SG&amp;A</v>
          </cell>
          <cell r="O5085" t="str">
            <v>[No Vendor]</v>
          </cell>
        </row>
        <row r="5086">
          <cell r="D5086">
            <v>1181.97</v>
          </cell>
          <cell r="H5086">
            <v>45597</v>
          </cell>
          <cell r="I5086" t="str">
            <v>6055 - Employer Social Security Tax Withheld</v>
          </cell>
          <cell r="J5086">
            <v>0</v>
          </cell>
          <cell r="K5086" t="str">
            <v>Executive</v>
          </cell>
          <cell r="L5086" t="str">
            <v>HQ Salaries</v>
          </cell>
          <cell r="N5086" t="str">
            <v>SG&amp;A</v>
          </cell>
          <cell r="O5086" t="str">
            <v>[No Vendor]</v>
          </cell>
        </row>
        <row r="5087">
          <cell r="D5087">
            <v>1610.08</v>
          </cell>
          <cell r="H5087">
            <v>45597</v>
          </cell>
          <cell r="I5087" t="str">
            <v>6055 - Employer Social Security Tax Withheld</v>
          </cell>
          <cell r="J5087" t="str">
            <v>Ecommerce (US)</v>
          </cell>
          <cell r="K5087" t="str">
            <v>Ecommerce</v>
          </cell>
          <cell r="L5087" t="str">
            <v>HQ Salaries</v>
          </cell>
          <cell r="N5087" t="str">
            <v>SG&amp;A</v>
          </cell>
          <cell r="O5087" t="str">
            <v>[No Vendor]</v>
          </cell>
        </row>
        <row r="5088">
          <cell r="D5088">
            <v>1461.77</v>
          </cell>
          <cell r="H5088">
            <v>45597</v>
          </cell>
          <cell r="I5088" t="str">
            <v>6055 - Employer Social Security Tax Withheld</v>
          </cell>
          <cell r="J5088">
            <v>0</v>
          </cell>
          <cell r="K5088" t="str">
            <v>Design</v>
          </cell>
          <cell r="L5088" t="str">
            <v>HQ Salaries</v>
          </cell>
          <cell r="N5088" t="str">
            <v>SG&amp;A</v>
          </cell>
          <cell r="O5088" t="str">
            <v>[No Vendor]</v>
          </cell>
        </row>
        <row r="5089">
          <cell r="D5089">
            <v>1889.02</v>
          </cell>
          <cell r="H5089">
            <v>45597</v>
          </cell>
          <cell r="I5089" t="str">
            <v>6055 - Employer Social Security Tax Withheld</v>
          </cell>
          <cell r="J5089">
            <v>0</v>
          </cell>
          <cell r="K5089" t="str">
            <v>Administration</v>
          </cell>
          <cell r="L5089" t="str">
            <v>HQ Salaries</v>
          </cell>
          <cell r="N5089" t="str">
            <v>SG&amp;A</v>
          </cell>
          <cell r="O5089" t="str">
            <v>[No Vendor]</v>
          </cell>
        </row>
        <row r="5090">
          <cell r="D5090">
            <v>3700</v>
          </cell>
          <cell r="H5090">
            <v>45597</v>
          </cell>
          <cell r="I5090" t="str">
            <v>6375 - Freight Expenses</v>
          </cell>
          <cell r="J5090" t="str">
            <v>Ecommerce (US)</v>
          </cell>
          <cell r="K5090" t="str">
            <v>Ecommerce</v>
          </cell>
          <cell r="L5090" t="str">
            <v>Freight</v>
          </cell>
          <cell r="N5090" t="str">
            <v>Direct Costs</v>
          </cell>
          <cell r="O5090" t="str">
            <v>Easy Post</v>
          </cell>
        </row>
        <row r="5091">
          <cell r="D5091">
            <v>-64.92</v>
          </cell>
          <cell r="H5091">
            <v>45597</v>
          </cell>
          <cell r="I5091" t="str">
            <v>6040 - Employer Paid Benefits</v>
          </cell>
          <cell r="J5091" t="str">
            <v>Wholesale</v>
          </cell>
          <cell r="K5091" t="str">
            <v>Wholesale</v>
          </cell>
          <cell r="L5091" t="str">
            <v>HQ Salaries</v>
          </cell>
          <cell r="N5091" t="str">
            <v>SG&amp;A</v>
          </cell>
          <cell r="O5091" t="str">
            <v>[No Vendor]</v>
          </cell>
        </row>
        <row r="5092">
          <cell r="D5092">
            <v>-285.62</v>
          </cell>
          <cell r="H5092">
            <v>45597</v>
          </cell>
          <cell r="I5092" t="str">
            <v>6040 - Employer Paid Benefits</v>
          </cell>
          <cell r="J5092">
            <v>0</v>
          </cell>
          <cell r="K5092" t="str">
            <v>Production</v>
          </cell>
          <cell r="L5092" t="str">
            <v>HQ Salaries</v>
          </cell>
          <cell r="N5092" t="str">
            <v>SG&amp;A</v>
          </cell>
          <cell r="O5092" t="str">
            <v>[No Vendor]</v>
          </cell>
        </row>
        <row r="5093">
          <cell r="D5093">
            <v>-22.58</v>
          </cell>
          <cell r="H5093">
            <v>45597</v>
          </cell>
          <cell r="I5093" t="str">
            <v>6040 - Employer Paid Benefits</v>
          </cell>
          <cell r="J5093">
            <v>0</v>
          </cell>
          <cell r="K5093" t="str">
            <v>Brand Marketing</v>
          </cell>
          <cell r="L5093" t="str">
            <v>HQ Salaries</v>
          </cell>
          <cell r="N5093" t="str">
            <v>SG&amp;A</v>
          </cell>
          <cell r="O5093" t="str">
            <v>[No Vendor]</v>
          </cell>
        </row>
        <row r="5094">
          <cell r="D5094">
            <v>-234.27</v>
          </cell>
          <cell r="H5094">
            <v>45597</v>
          </cell>
          <cell r="I5094" t="str">
            <v>6040 - Employer Paid Benefits</v>
          </cell>
          <cell r="J5094">
            <v>0</v>
          </cell>
          <cell r="K5094" t="str">
            <v>Executive</v>
          </cell>
          <cell r="L5094" t="str">
            <v>HQ Salaries</v>
          </cell>
          <cell r="N5094" t="str">
            <v>SG&amp;A</v>
          </cell>
          <cell r="O5094" t="str">
            <v>[No Vendor]</v>
          </cell>
        </row>
        <row r="5095">
          <cell r="D5095">
            <v>-121.85</v>
          </cell>
          <cell r="H5095">
            <v>45597</v>
          </cell>
          <cell r="I5095" t="str">
            <v>6040 - Employer Paid Benefits</v>
          </cell>
          <cell r="J5095" t="str">
            <v>Ecommerce (US)</v>
          </cell>
          <cell r="K5095" t="str">
            <v>Ecommerce</v>
          </cell>
          <cell r="L5095" t="str">
            <v>HQ Salaries</v>
          </cell>
          <cell r="N5095" t="str">
            <v>SG&amp;A</v>
          </cell>
          <cell r="O5095" t="str">
            <v>[No Vendor]</v>
          </cell>
        </row>
        <row r="5096">
          <cell r="D5096">
            <v>-321.10000000000002</v>
          </cell>
          <cell r="H5096">
            <v>45597</v>
          </cell>
          <cell r="I5096" t="str">
            <v>6040 - Employer Paid Benefits</v>
          </cell>
          <cell r="J5096">
            <v>0</v>
          </cell>
          <cell r="K5096" t="str">
            <v>Design</v>
          </cell>
          <cell r="L5096" t="str">
            <v>HQ Salaries</v>
          </cell>
          <cell r="N5096" t="str">
            <v>SG&amp;A</v>
          </cell>
          <cell r="O5096" t="str">
            <v>[No Vendor]</v>
          </cell>
        </row>
        <row r="5097">
          <cell r="D5097">
            <v>-200.39</v>
          </cell>
          <cell r="H5097">
            <v>45597</v>
          </cell>
          <cell r="I5097" t="str">
            <v>6040 - Employer Paid Benefits</v>
          </cell>
          <cell r="J5097">
            <v>0</v>
          </cell>
          <cell r="K5097" t="str">
            <v>Administration</v>
          </cell>
          <cell r="L5097" t="str">
            <v>HQ Salaries</v>
          </cell>
          <cell r="N5097" t="str">
            <v>SG&amp;A</v>
          </cell>
          <cell r="O5097" t="str">
            <v>[No Vendor]</v>
          </cell>
        </row>
        <row r="5098">
          <cell r="D5098">
            <v>5150</v>
          </cell>
          <cell r="H5098">
            <v>45597</v>
          </cell>
          <cell r="I5098" t="str">
            <v>6005 - Salaries</v>
          </cell>
          <cell r="J5098">
            <v>0</v>
          </cell>
          <cell r="K5098" t="str">
            <v>Merchandising</v>
          </cell>
          <cell r="L5098" t="str">
            <v>HQ Salaries</v>
          </cell>
          <cell r="N5098" t="str">
            <v>SG&amp;A</v>
          </cell>
          <cell r="O5098" t="str">
            <v>[No Vendor]</v>
          </cell>
        </row>
        <row r="5099">
          <cell r="D5099">
            <v>11923.08</v>
          </cell>
          <cell r="H5099">
            <v>45597</v>
          </cell>
          <cell r="I5099" t="str">
            <v>6005 - Salaries</v>
          </cell>
          <cell r="J5099" t="str">
            <v>Wholesale</v>
          </cell>
          <cell r="K5099" t="str">
            <v>Wholesale</v>
          </cell>
          <cell r="L5099" t="str">
            <v>HQ Salaries</v>
          </cell>
          <cell r="N5099" t="str">
            <v>SG&amp;A</v>
          </cell>
          <cell r="O5099" t="str">
            <v>[No Vendor]</v>
          </cell>
        </row>
        <row r="5100">
          <cell r="D5100">
            <v>19988.490000000002</v>
          </cell>
          <cell r="H5100">
            <v>45597</v>
          </cell>
          <cell r="I5100" t="str">
            <v>6005 - Salaries</v>
          </cell>
          <cell r="J5100">
            <v>0</v>
          </cell>
          <cell r="K5100" t="str">
            <v>Production</v>
          </cell>
          <cell r="L5100" t="str">
            <v>HQ Salaries</v>
          </cell>
          <cell r="N5100" t="str">
            <v>SG&amp;A</v>
          </cell>
          <cell r="O5100" t="str">
            <v>[No Vendor]</v>
          </cell>
        </row>
        <row r="5101">
          <cell r="D5101">
            <v>3269.24</v>
          </cell>
          <cell r="H5101">
            <v>45597</v>
          </cell>
          <cell r="I5101" t="str">
            <v>6005 - Salaries</v>
          </cell>
          <cell r="J5101">
            <v>0</v>
          </cell>
          <cell r="K5101" t="str">
            <v>Brand Marketing</v>
          </cell>
          <cell r="L5101" t="str">
            <v>HQ Salaries</v>
          </cell>
          <cell r="N5101" t="str">
            <v>SG&amp;A</v>
          </cell>
          <cell r="O5101" t="str">
            <v>[No Vendor]</v>
          </cell>
        </row>
        <row r="5102">
          <cell r="D5102">
            <v>11153.85</v>
          </cell>
          <cell r="H5102">
            <v>45597</v>
          </cell>
          <cell r="I5102" t="str">
            <v>6005 - Salaries</v>
          </cell>
          <cell r="J5102">
            <v>0</v>
          </cell>
          <cell r="K5102" t="str">
            <v>Executive</v>
          </cell>
          <cell r="L5102" t="str">
            <v>HQ Salaries</v>
          </cell>
          <cell r="N5102" t="str">
            <v>SG&amp;A</v>
          </cell>
          <cell r="O5102" t="str">
            <v>[No Vendor]</v>
          </cell>
        </row>
        <row r="5103">
          <cell r="D5103">
            <v>20780.8</v>
          </cell>
          <cell r="H5103">
            <v>45597</v>
          </cell>
          <cell r="I5103" t="str">
            <v>6005 - Salaries</v>
          </cell>
          <cell r="J5103" t="str">
            <v>Ecommerce (US)</v>
          </cell>
          <cell r="K5103" t="str">
            <v>Ecommerce</v>
          </cell>
          <cell r="L5103" t="str">
            <v>HQ Salaries</v>
          </cell>
          <cell r="N5103" t="str">
            <v>SG&amp;A</v>
          </cell>
          <cell r="O5103" t="str">
            <v>[No Vendor]</v>
          </cell>
        </row>
        <row r="5104">
          <cell r="D5104">
            <v>17734.62</v>
          </cell>
          <cell r="H5104">
            <v>45597</v>
          </cell>
          <cell r="I5104" t="str">
            <v>6005 - Salaries</v>
          </cell>
          <cell r="J5104">
            <v>0</v>
          </cell>
          <cell r="K5104" t="str">
            <v>Design</v>
          </cell>
          <cell r="L5104" t="str">
            <v>HQ Salaries</v>
          </cell>
          <cell r="N5104" t="str">
            <v>SG&amp;A</v>
          </cell>
          <cell r="O5104" t="str">
            <v>[No Vendor]</v>
          </cell>
        </row>
        <row r="5105">
          <cell r="D5105">
            <v>115.5</v>
          </cell>
          <cell r="H5105">
            <v>45597</v>
          </cell>
          <cell r="I5105" t="str">
            <v>6040 - Employer Paid Benefits</v>
          </cell>
          <cell r="J5105">
            <v>0</v>
          </cell>
          <cell r="K5105" t="str">
            <v>Administration</v>
          </cell>
          <cell r="L5105" t="str">
            <v>HQ Salaries</v>
          </cell>
          <cell r="N5105" t="str">
            <v>SG&amp;A</v>
          </cell>
          <cell r="O5105" t="str">
            <v>Progressive Benefit Solutions LLC</v>
          </cell>
        </row>
        <row r="5106">
          <cell r="D5106">
            <v>41681.949999999997</v>
          </cell>
          <cell r="H5106">
            <v>45597</v>
          </cell>
          <cell r="I5106" t="str">
            <v>6377 - Order Processing Expenses (New)</v>
          </cell>
          <cell r="J5106" t="str">
            <v>Ecommerce (US)</v>
          </cell>
          <cell r="K5106" t="str">
            <v>Ecommerce</v>
          </cell>
          <cell r="L5106" t="str">
            <v>Order Processing</v>
          </cell>
          <cell r="N5106" t="str">
            <v>Direct Costs</v>
          </cell>
          <cell r="O5106" t="str">
            <v>Bergen Logistics Corporation</v>
          </cell>
        </row>
        <row r="5107">
          <cell r="D5107">
            <v>1648.85</v>
          </cell>
          <cell r="H5107">
            <v>45597</v>
          </cell>
          <cell r="I5107" t="str">
            <v>6377 - Order Processing Expenses (New)</v>
          </cell>
          <cell r="J5107" t="str">
            <v>Wholesale</v>
          </cell>
          <cell r="K5107" t="str">
            <v>Wholesale</v>
          </cell>
          <cell r="L5107" t="str">
            <v>Order Processing</v>
          </cell>
          <cell r="N5107" t="str">
            <v>Direct Costs</v>
          </cell>
          <cell r="O5107" t="str">
            <v>Bergen Logistics Corporation</v>
          </cell>
        </row>
        <row r="5108">
          <cell r="D5108">
            <v>43156.03</v>
          </cell>
          <cell r="H5108">
            <v>45597</v>
          </cell>
          <cell r="I5108" t="str">
            <v>6393 - Software</v>
          </cell>
          <cell r="J5108" t="str">
            <v>Ecommerce (US)</v>
          </cell>
          <cell r="K5108" t="str">
            <v>Brand Marketing</v>
          </cell>
          <cell r="L5108" t="str">
            <v>Professional Service</v>
          </cell>
          <cell r="N5108" t="str">
            <v>Direct Costs</v>
          </cell>
          <cell r="O5108" t="str">
            <v>Attentive Mobile Inc.</v>
          </cell>
        </row>
        <row r="5109">
          <cell r="D5109">
            <v>1704.33</v>
          </cell>
          <cell r="H5109">
            <v>45597</v>
          </cell>
          <cell r="I5109" t="str">
            <v>6393 - Software</v>
          </cell>
          <cell r="J5109" t="str">
            <v>Ecommerce (US)</v>
          </cell>
          <cell r="K5109" t="str">
            <v>Ecommerce</v>
          </cell>
          <cell r="L5109" t="str">
            <v>Professional Service</v>
          </cell>
          <cell r="N5109" t="str">
            <v>Direct Costs</v>
          </cell>
          <cell r="O5109" t="str">
            <v>Robert  McKinney</v>
          </cell>
        </row>
        <row r="5110">
          <cell r="D5110">
            <v>598</v>
          </cell>
          <cell r="H5110">
            <v>45597</v>
          </cell>
          <cell r="I5110" t="str">
            <v>6393 - Software</v>
          </cell>
          <cell r="J5110" t="str">
            <v>Ecommerce (US)</v>
          </cell>
          <cell r="K5110" t="str">
            <v>Ecommerce</v>
          </cell>
          <cell r="L5110" t="str">
            <v>Professional Service</v>
          </cell>
          <cell r="N5110" t="str">
            <v>Direct Costs</v>
          </cell>
          <cell r="O5110">
            <v>0</v>
          </cell>
        </row>
        <row r="5111">
          <cell r="D5111">
            <v>21.78</v>
          </cell>
          <cell r="H5111">
            <v>45597</v>
          </cell>
          <cell r="I5111" t="str">
            <v>6393 - Software</v>
          </cell>
          <cell r="J5111" t="str">
            <v>Ecommerce (US)</v>
          </cell>
          <cell r="K5111" t="str">
            <v>Ecommerce</v>
          </cell>
          <cell r="L5111" t="str">
            <v>Professional Service</v>
          </cell>
          <cell r="N5111" t="str">
            <v>Direct Costs</v>
          </cell>
          <cell r="O5111" t="str">
            <v>Chat GPT</v>
          </cell>
        </row>
        <row r="5112">
          <cell r="D5112">
            <v>936.33</v>
          </cell>
          <cell r="H5112">
            <v>45597</v>
          </cell>
          <cell r="I5112" t="str">
            <v>6393 - Software</v>
          </cell>
          <cell r="J5112" t="str">
            <v>Ecommerce (US)</v>
          </cell>
          <cell r="K5112" t="str">
            <v>Ecommerce</v>
          </cell>
          <cell r="L5112" t="str">
            <v>Professional Service</v>
          </cell>
          <cell r="N5112" t="str">
            <v>Direct Costs</v>
          </cell>
          <cell r="O5112">
            <v>0</v>
          </cell>
        </row>
        <row r="5113">
          <cell r="D5113">
            <v>159</v>
          </cell>
          <cell r="H5113">
            <v>45597</v>
          </cell>
          <cell r="I5113" t="str">
            <v>6393 - Software</v>
          </cell>
          <cell r="J5113" t="str">
            <v>Ecommerce (US)</v>
          </cell>
          <cell r="K5113" t="str">
            <v>Ecommerce</v>
          </cell>
          <cell r="L5113" t="str">
            <v>Professional Service</v>
          </cell>
          <cell r="N5113" t="str">
            <v>Direct Costs</v>
          </cell>
          <cell r="O5113" t="str">
            <v>Integration Manager</v>
          </cell>
        </row>
        <row r="5114">
          <cell r="D5114">
            <v>2629.34</v>
          </cell>
          <cell r="H5114">
            <v>45597</v>
          </cell>
          <cell r="I5114" t="str">
            <v>6393 - Software</v>
          </cell>
          <cell r="J5114" t="str">
            <v>Ecommerce (US)</v>
          </cell>
          <cell r="K5114" t="str">
            <v>Ecommerce</v>
          </cell>
          <cell r="L5114" t="str">
            <v>Professional Service</v>
          </cell>
          <cell r="N5114" t="str">
            <v>Direct Costs</v>
          </cell>
          <cell r="O5114">
            <v>0</v>
          </cell>
        </row>
        <row r="5115">
          <cell r="D5115">
            <v>11052.74</v>
          </cell>
          <cell r="H5115">
            <v>45597</v>
          </cell>
          <cell r="I5115" t="str">
            <v>6393 - Software</v>
          </cell>
          <cell r="J5115" t="str">
            <v>Ecommerce (US)</v>
          </cell>
          <cell r="K5115" t="str">
            <v>Ecommerce</v>
          </cell>
          <cell r="L5115" t="str">
            <v>Professional Service</v>
          </cell>
          <cell r="N5115" t="str">
            <v>Direct Costs</v>
          </cell>
          <cell r="O5115" t="str">
            <v>Signifyd</v>
          </cell>
        </row>
        <row r="5116">
          <cell r="D5116">
            <v>1159.67</v>
          </cell>
          <cell r="H5116">
            <v>45597</v>
          </cell>
          <cell r="I5116" t="str">
            <v>6393 - Software</v>
          </cell>
          <cell r="J5116" t="str">
            <v>Ecommerce (US)</v>
          </cell>
          <cell r="K5116" t="str">
            <v>Ecommerce</v>
          </cell>
          <cell r="L5116" t="str">
            <v>Professional Service</v>
          </cell>
          <cell r="N5116" t="str">
            <v>Direct Costs</v>
          </cell>
          <cell r="O5116">
            <v>0</v>
          </cell>
        </row>
        <row r="5117">
          <cell r="D5117">
            <v>9.5299999999999994</v>
          </cell>
          <cell r="H5117">
            <v>45597</v>
          </cell>
          <cell r="I5117" t="str">
            <v>6393 - Software</v>
          </cell>
          <cell r="J5117" t="str">
            <v>Ecommerce (US)</v>
          </cell>
          <cell r="K5117" t="str">
            <v>Ecommerce</v>
          </cell>
          <cell r="L5117" t="str">
            <v>Professional Service</v>
          </cell>
          <cell r="N5117" t="str">
            <v>Direct Costs</v>
          </cell>
          <cell r="O5117">
            <v>0</v>
          </cell>
        </row>
        <row r="5118">
          <cell r="D5118">
            <v>50.05</v>
          </cell>
          <cell r="H5118">
            <v>45597</v>
          </cell>
          <cell r="I5118" t="str">
            <v>6393 - Software</v>
          </cell>
          <cell r="J5118" t="str">
            <v>Wholesale</v>
          </cell>
          <cell r="K5118" t="str">
            <v>Wholesale</v>
          </cell>
          <cell r="L5118" t="str">
            <v>Professional Service</v>
          </cell>
          <cell r="N5118" t="str">
            <v>Direct Costs</v>
          </cell>
          <cell r="O5118" t="str">
            <v>Authorize.net</v>
          </cell>
        </row>
        <row r="5119">
          <cell r="D5119">
            <v>228.64</v>
          </cell>
          <cell r="H5119">
            <v>45597</v>
          </cell>
          <cell r="I5119" t="str">
            <v>6393 - Software</v>
          </cell>
          <cell r="J5119" t="str">
            <v>Wholesale</v>
          </cell>
          <cell r="K5119" t="str">
            <v>Wholesale</v>
          </cell>
          <cell r="L5119" t="str">
            <v>Professional Service</v>
          </cell>
          <cell r="N5119" t="str">
            <v>Direct Costs</v>
          </cell>
          <cell r="O5119" t="str">
            <v>Open Text</v>
          </cell>
        </row>
        <row r="5120">
          <cell r="D5120">
            <v>99496.28</v>
          </cell>
          <cell r="H5120">
            <v>45597</v>
          </cell>
          <cell r="I5120" t="str">
            <v>6286 - SEM</v>
          </cell>
          <cell r="J5120" t="str">
            <v>Ecommerce (US)</v>
          </cell>
          <cell r="K5120" t="str">
            <v>Ecommerce</v>
          </cell>
          <cell r="L5120" t="str">
            <v>Marketing</v>
          </cell>
          <cell r="N5120" t="str">
            <v>Direct Costs</v>
          </cell>
          <cell r="O5120" t="str">
            <v>Meta Platforms, Inc</v>
          </cell>
        </row>
        <row r="5121">
          <cell r="D5121">
            <v>34899.269999999997</v>
          </cell>
          <cell r="H5121">
            <v>45597</v>
          </cell>
          <cell r="I5121" t="str">
            <v>6286 - SEM</v>
          </cell>
          <cell r="J5121" t="str">
            <v>Ecommerce (EU)</v>
          </cell>
          <cell r="K5121" t="str">
            <v>Ecommerce</v>
          </cell>
          <cell r="L5121" t="str">
            <v>Marketing</v>
          </cell>
          <cell r="N5121" t="str">
            <v>Direct Costs</v>
          </cell>
          <cell r="O5121" t="str">
            <v>Meta Platforms, Inc</v>
          </cell>
        </row>
        <row r="5122">
          <cell r="D5122">
            <v>97351.15</v>
          </cell>
          <cell r="H5122">
            <v>45597</v>
          </cell>
          <cell r="I5122" t="str">
            <v>6286 - SEM</v>
          </cell>
          <cell r="J5122" t="str">
            <v>Ecommerce (US)</v>
          </cell>
          <cell r="K5122" t="str">
            <v>Ecommerce</v>
          </cell>
          <cell r="L5122" t="str">
            <v>Marketing</v>
          </cell>
          <cell r="N5122" t="str">
            <v>Direct Costs</v>
          </cell>
          <cell r="O5122" t="str">
            <v>Google</v>
          </cell>
        </row>
        <row r="5123">
          <cell r="D5123">
            <v>1322.34</v>
          </cell>
          <cell r="H5123">
            <v>45597</v>
          </cell>
          <cell r="I5123" t="str">
            <v>6286 - SEM</v>
          </cell>
          <cell r="J5123" t="str">
            <v>Ecommerce (US)</v>
          </cell>
          <cell r="K5123" t="str">
            <v>Ecommerce</v>
          </cell>
          <cell r="L5123" t="str">
            <v>Marketing</v>
          </cell>
          <cell r="N5123" t="str">
            <v>Direct Costs</v>
          </cell>
          <cell r="O5123" t="str">
            <v>Tiktok</v>
          </cell>
        </row>
        <row r="5124">
          <cell r="D5124">
            <v>20899.919999999998</v>
          </cell>
          <cell r="H5124">
            <v>45597</v>
          </cell>
          <cell r="I5124" t="str">
            <v>6286 - SEM</v>
          </cell>
          <cell r="J5124" t="str">
            <v>Ecommerce (US)</v>
          </cell>
          <cell r="K5124" t="str">
            <v>Ecommerce</v>
          </cell>
          <cell r="L5124" t="str">
            <v>Marketing</v>
          </cell>
          <cell r="N5124" t="str">
            <v>Direct Costs</v>
          </cell>
          <cell r="O5124" t="str">
            <v>Amazon</v>
          </cell>
        </row>
        <row r="5125">
          <cell r="D5125">
            <v>1575.8</v>
          </cell>
          <cell r="H5125">
            <v>45597</v>
          </cell>
          <cell r="I5125" t="str">
            <v>6340 - Miscellaneous Expense</v>
          </cell>
          <cell r="J5125" t="str">
            <v>Wholesale</v>
          </cell>
          <cell r="K5125" t="str">
            <v>Wholesale</v>
          </cell>
          <cell r="L5125" t="str">
            <v>Other</v>
          </cell>
          <cell r="N5125" t="str">
            <v>SG&amp;A</v>
          </cell>
          <cell r="O5125" t="str">
            <v>Chris Suterko</v>
          </cell>
        </row>
        <row r="5126">
          <cell r="D5126">
            <v>913.65</v>
          </cell>
          <cell r="H5126">
            <v>45597</v>
          </cell>
          <cell r="I5126" t="str">
            <v>6340 - Miscellaneous Expense</v>
          </cell>
          <cell r="J5126">
            <v>0</v>
          </cell>
          <cell r="K5126" t="str">
            <v>Administration</v>
          </cell>
          <cell r="L5126" t="str">
            <v>Other</v>
          </cell>
          <cell r="N5126" t="str">
            <v>SG&amp;A</v>
          </cell>
          <cell r="O5126" t="str">
            <v>Amazon Capital Services</v>
          </cell>
        </row>
        <row r="5127">
          <cell r="D5127">
            <v>1413.6</v>
          </cell>
          <cell r="H5127">
            <v>45597</v>
          </cell>
          <cell r="I5127" t="str">
            <v>6120 - Lodging</v>
          </cell>
          <cell r="J5127" t="str">
            <v>Ecommerce (US)</v>
          </cell>
          <cell r="K5127" t="str">
            <v>Ecommerce</v>
          </cell>
          <cell r="L5127" t="str">
            <v>T&amp;E</v>
          </cell>
          <cell r="N5127" t="str">
            <v>SG&amp;A</v>
          </cell>
          <cell r="O5127" t="str">
            <v>[No Vendor]</v>
          </cell>
        </row>
        <row r="5128">
          <cell r="D5128">
            <v>958.23</v>
          </cell>
          <cell r="H5128">
            <v>45597</v>
          </cell>
          <cell r="I5128" t="str">
            <v>6120 - Lodging</v>
          </cell>
          <cell r="J5128" t="str">
            <v>Ecommerce (US)</v>
          </cell>
          <cell r="K5128" t="str">
            <v>Ecommerce</v>
          </cell>
          <cell r="L5128" t="str">
            <v>T&amp;E</v>
          </cell>
          <cell r="N5128" t="str">
            <v>SG&amp;A</v>
          </cell>
          <cell r="O5128" t="str">
            <v>[No Vendor]</v>
          </cell>
        </row>
        <row r="5129">
          <cell r="D5129">
            <v>178.09</v>
          </cell>
          <cell r="H5129">
            <v>45597</v>
          </cell>
          <cell r="I5129" t="str">
            <v>6120 - Lodging</v>
          </cell>
          <cell r="J5129" t="str">
            <v>Ecommerce (US)</v>
          </cell>
          <cell r="K5129" t="str">
            <v>Ecommerce</v>
          </cell>
          <cell r="L5129" t="str">
            <v>T&amp;E</v>
          </cell>
          <cell r="N5129" t="str">
            <v>SG&amp;A</v>
          </cell>
          <cell r="O5129" t="str">
            <v>[No Vendor]</v>
          </cell>
        </row>
        <row r="5130">
          <cell r="D5130">
            <v>0.35</v>
          </cell>
          <cell r="H5130">
            <v>45597</v>
          </cell>
          <cell r="I5130" t="str">
            <v>6450 - Bank &amp; Other Fees</v>
          </cell>
          <cell r="J5130" t="str">
            <v>Ecommerce (US)</v>
          </cell>
          <cell r="K5130" t="str">
            <v>Ecommerce</v>
          </cell>
          <cell r="L5130" t="str">
            <v>Professional Service</v>
          </cell>
          <cell r="N5130" t="str">
            <v>Direct Costs</v>
          </cell>
          <cell r="O5130" t="str">
            <v>[No Vendor]</v>
          </cell>
        </row>
        <row r="5131">
          <cell r="D5131">
            <v>88</v>
          </cell>
          <cell r="H5131">
            <v>45597</v>
          </cell>
          <cell r="I5131" t="str">
            <v>6430 - Dues &amp; Memberships</v>
          </cell>
          <cell r="J5131" t="str">
            <v>Wholesale</v>
          </cell>
          <cell r="K5131" t="str">
            <v>Wholesale</v>
          </cell>
          <cell r="L5131" t="str">
            <v>Professional Service</v>
          </cell>
          <cell r="N5131" t="str">
            <v>Direct Costs</v>
          </cell>
          <cell r="O5131" t="str">
            <v>SPS Commerce</v>
          </cell>
        </row>
        <row r="5132">
          <cell r="D5132">
            <v>150</v>
          </cell>
          <cell r="H5132">
            <v>45597</v>
          </cell>
          <cell r="I5132" t="str">
            <v>6225 - Professional Services</v>
          </cell>
          <cell r="J5132">
            <v>0</v>
          </cell>
          <cell r="K5132" t="str">
            <v>Administration</v>
          </cell>
          <cell r="L5132" t="str">
            <v>Professional Service</v>
          </cell>
          <cell r="N5132" t="str">
            <v>Direct Costs</v>
          </cell>
          <cell r="O5132" t="str">
            <v>Benefit Resource, LLC</v>
          </cell>
        </row>
        <row r="5133">
          <cell r="D5133">
            <v>100</v>
          </cell>
          <cell r="H5133">
            <v>45597</v>
          </cell>
          <cell r="I5133" t="str">
            <v>6375 - Freight Expenses</v>
          </cell>
          <cell r="J5133" t="str">
            <v>Ecommerce (US)</v>
          </cell>
          <cell r="K5133" t="str">
            <v>Ecommerce</v>
          </cell>
          <cell r="L5133" t="str">
            <v>Freight</v>
          </cell>
          <cell r="N5133" t="str">
            <v>Direct Costs</v>
          </cell>
          <cell r="O5133" t="str">
            <v>[No Vendor]</v>
          </cell>
        </row>
        <row r="5134">
          <cell r="D5134">
            <v>100</v>
          </cell>
          <cell r="H5134">
            <v>45597</v>
          </cell>
          <cell r="I5134" t="str">
            <v>6375 - Freight Expenses</v>
          </cell>
          <cell r="J5134" t="str">
            <v>Ecommerce (US)</v>
          </cell>
          <cell r="K5134" t="str">
            <v>Ecommerce</v>
          </cell>
          <cell r="L5134" t="str">
            <v>Freight</v>
          </cell>
          <cell r="N5134" t="str">
            <v>Direct Costs</v>
          </cell>
          <cell r="O5134" t="str">
            <v>[No Vendor]</v>
          </cell>
        </row>
        <row r="5135">
          <cell r="D5135">
            <v>100</v>
          </cell>
          <cell r="H5135">
            <v>45597</v>
          </cell>
          <cell r="I5135" t="str">
            <v>6375 - Freight Expenses</v>
          </cell>
          <cell r="J5135" t="str">
            <v>Ecommerce (US)</v>
          </cell>
          <cell r="K5135" t="str">
            <v>Ecommerce</v>
          </cell>
          <cell r="L5135" t="str">
            <v>Freight</v>
          </cell>
          <cell r="N5135" t="str">
            <v>Direct Costs</v>
          </cell>
          <cell r="O5135" t="str">
            <v>[No Vendor]</v>
          </cell>
        </row>
        <row r="5136">
          <cell r="D5136">
            <v>100</v>
          </cell>
          <cell r="H5136">
            <v>45597</v>
          </cell>
          <cell r="I5136" t="str">
            <v>6375 - Freight Expenses</v>
          </cell>
          <cell r="J5136" t="str">
            <v>Ecommerce (US)</v>
          </cell>
          <cell r="K5136" t="str">
            <v>Ecommerce</v>
          </cell>
          <cell r="L5136" t="str">
            <v>Freight</v>
          </cell>
          <cell r="N5136" t="str">
            <v>Direct Costs</v>
          </cell>
          <cell r="O5136" t="str">
            <v>[No Vendor]</v>
          </cell>
        </row>
        <row r="5137">
          <cell r="D5137">
            <v>100</v>
          </cell>
          <cell r="H5137">
            <v>45597</v>
          </cell>
          <cell r="I5137" t="str">
            <v>6375 - Freight Expenses</v>
          </cell>
          <cell r="J5137" t="str">
            <v>Ecommerce (US)</v>
          </cell>
          <cell r="K5137" t="str">
            <v>Ecommerce</v>
          </cell>
          <cell r="L5137" t="str">
            <v>Freight</v>
          </cell>
          <cell r="N5137" t="str">
            <v>Direct Costs</v>
          </cell>
          <cell r="O5137" t="str">
            <v>[No Vendor]</v>
          </cell>
        </row>
        <row r="5138">
          <cell r="D5138">
            <v>74.55</v>
          </cell>
          <cell r="H5138">
            <v>45597</v>
          </cell>
          <cell r="I5138" t="str">
            <v>6375 - Freight Expenses</v>
          </cell>
          <cell r="J5138" t="str">
            <v>Ecommerce (US)</v>
          </cell>
          <cell r="K5138" t="str">
            <v>Ecommerce</v>
          </cell>
          <cell r="L5138" t="str">
            <v>Freight</v>
          </cell>
          <cell r="N5138" t="str">
            <v>Direct Costs</v>
          </cell>
          <cell r="O5138" t="str">
            <v>Bergen Logistics Corporation</v>
          </cell>
        </row>
        <row r="5139">
          <cell r="D5139">
            <v>44.38</v>
          </cell>
          <cell r="H5139">
            <v>45597</v>
          </cell>
          <cell r="I5139" t="str">
            <v>6375 - Freight Expenses</v>
          </cell>
          <cell r="J5139" t="str">
            <v>Wholesale</v>
          </cell>
          <cell r="K5139" t="str">
            <v>Wholesale</v>
          </cell>
          <cell r="L5139" t="str">
            <v>Freight</v>
          </cell>
          <cell r="N5139" t="str">
            <v>Direct Costs</v>
          </cell>
          <cell r="O5139" t="str">
            <v>Bergen Logistics Corporation</v>
          </cell>
        </row>
        <row r="5140">
          <cell r="D5140">
            <v>2330.35</v>
          </cell>
          <cell r="H5140">
            <v>45597</v>
          </cell>
          <cell r="I5140" t="str">
            <v>6375 - Freight Expenses</v>
          </cell>
          <cell r="J5140">
            <v>0</v>
          </cell>
          <cell r="K5140" t="str">
            <v>Production</v>
          </cell>
          <cell r="L5140" t="str">
            <v>Freight</v>
          </cell>
          <cell r="N5140" t="str">
            <v>Direct Costs</v>
          </cell>
          <cell r="O5140" t="str">
            <v>DHL Express - USA</v>
          </cell>
        </row>
        <row r="5141">
          <cell r="D5141">
            <v>332.79</v>
          </cell>
          <cell r="H5141">
            <v>45597</v>
          </cell>
          <cell r="I5141" t="str">
            <v>6375 - Freight Expenses</v>
          </cell>
          <cell r="J5141">
            <v>0</v>
          </cell>
          <cell r="K5141" t="str">
            <v>Production</v>
          </cell>
          <cell r="L5141" t="str">
            <v>Freight</v>
          </cell>
          <cell r="N5141" t="str">
            <v>Direct Costs</v>
          </cell>
          <cell r="O5141" t="str">
            <v>DHL Express - USA</v>
          </cell>
        </row>
        <row r="5142">
          <cell r="D5142">
            <v>30068.82</v>
          </cell>
          <cell r="H5142">
            <v>45597</v>
          </cell>
          <cell r="I5142" t="str">
            <v>6375 - Freight Expenses</v>
          </cell>
          <cell r="J5142" t="str">
            <v>Ecommerce (US)</v>
          </cell>
          <cell r="K5142" t="str">
            <v>Ecommerce</v>
          </cell>
          <cell r="L5142" t="str">
            <v>Freight</v>
          </cell>
          <cell r="N5142" t="str">
            <v>Direct Costs</v>
          </cell>
          <cell r="O5142" t="str">
            <v>UPS Supply Chain Solutions Inc. (7F24A0)</v>
          </cell>
        </row>
        <row r="5143">
          <cell r="D5143">
            <v>54.27</v>
          </cell>
          <cell r="H5143">
            <v>45597</v>
          </cell>
          <cell r="I5143" t="str">
            <v>6375 - Freight Expenses</v>
          </cell>
          <cell r="J5143" t="str">
            <v>Wholesale</v>
          </cell>
          <cell r="K5143" t="str">
            <v>Wholesale</v>
          </cell>
          <cell r="L5143" t="str">
            <v>Freight</v>
          </cell>
          <cell r="N5143" t="str">
            <v>Direct Costs</v>
          </cell>
          <cell r="O5143" t="str">
            <v>UPS Supply Chain Solutions Inc. (7F24A0)</v>
          </cell>
        </row>
        <row r="5144">
          <cell r="D5144">
            <v>0</v>
          </cell>
          <cell r="H5144">
            <v>45597</v>
          </cell>
          <cell r="I5144" t="str">
            <v>4010 - Revenue - Licensing Fees (Royalties)</v>
          </cell>
          <cell r="J5144">
            <v>0</v>
          </cell>
          <cell r="K5144" t="str">
            <v>Licensing</v>
          </cell>
          <cell r="L5144" t="str">
            <v>License</v>
          </cell>
          <cell r="N5144" t="str">
            <v>Revenue</v>
          </cell>
          <cell r="O5144" t="str">
            <v>[No Vendor]</v>
          </cell>
        </row>
        <row r="5145">
          <cell r="D5145">
            <v>200000</v>
          </cell>
          <cell r="H5145">
            <v>45597</v>
          </cell>
          <cell r="I5145" t="str">
            <v>8700 - Other Expense</v>
          </cell>
          <cell r="J5145">
            <v>0</v>
          </cell>
          <cell r="K5145" t="str">
            <v>Administration</v>
          </cell>
          <cell r="L5145" t="str">
            <v>Other Expense</v>
          </cell>
          <cell r="N5145" t="str">
            <v>BTL</v>
          </cell>
          <cell r="O5145" t="str">
            <v>[No Vendor]</v>
          </cell>
        </row>
        <row r="5146">
          <cell r="D5146">
            <v>25961.67</v>
          </cell>
          <cell r="H5146">
            <v>45597</v>
          </cell>
          <cell r="I5146" t="str">
            <v>5001 - Cost of Goods Sold - Other</v>
          </cell>
          <cell r="J5146" t="str">
            <v>Ecommerce (EU)</v>
          </cell>
          <cell r="K5146" t="str">
            <v>Ecommerce</v>
          </cell>
          <cell r="L5146" t="str">
            <v>Other COGS</v>
          </cell>
          <cell r="N5146" t="str">
            <v>COGS</v>
          </cell>
          <cell r="O5146" t="str">
            <v>[No Vendor]</v>
          </cell>
        </row>
        <row r="5147">
          <cell r="D5147">
            <v>0</v>
          </cell>
          <cell r="H5147">
            <v>45597</v>
          </cell>
          <cell r="I5147" t="str">
            <v>4045 - Sponsorships</v>
          </cell>
          <cell r="J5147">
            <v>0</v>
          </cell>
          <cell r="K5147" t="str">
            <v>Licensing</v>
          </cell>
          <cell r="L5147" t="str">
            <v>Other Income</v>
          </cell>
          <cell r="N5147" t="str">
            <v>Revenue</v>
          </cell>
          <cell r="O5147" t="str">
            <v>[No Vendor]</v>
          </cell>
        </row>
        <row r="5148">
          <cell r="D5148">
            <v>-47508</v>
          </cell>
          <cell r="H5148">
            <v>45597</v>
          </cell>
          <cell r="I5148" t="str">
            <v>4052 - Sales Revenue - Wholesale (US)</v>
          </cell>
          <cell r="J5148" t="str">
            <v>Wholesale</v>
          </cell>
          <cell r="K5148" t="str">
            <v>Wholesale</v>
          </cell>
          <cell r="L5148" t="str">
            <v>Wholesale</v>
          </cell>
          <cell r="N5148" t="str">
            <v>Revenue</v>
          </cell>
          <cell r="O5148" t="str">
            <v>[No Vendor]</v>
          </cell>
        </row>
        <row r="5149">
          <cell r="D5149">
            <v>1897</v>
          </cell>
          <cell r="H5149">
            <v>45597</v>
          </cell>
          <cell r="I5149" t="str">
            <v>4052 - Sales Revenue - Wholesale (US)</v>
          </cell>
          <cell r="J5149" t="str">
            <v>Wholesale</v>
          </cell>
          <cell r="K5149" t="str">
            <v>Wholesale</v>
          </cell>
          <cell r="L5149" t="str">
            <v>Wholesale</v>
          </cell>
          <cell r="N5149" t="str">
            <v>Revenue</v>
          </cell>
          <cell r="O5149" t="str">
            <v>[No Vendor]</v>
          </cell>
        </row>
        <row r="5150">
          <cell r="D5150">
            <v>-1740521.25</v>
          </cell>
          <cell r="H5150">
            <v>45597</v>
          </cell>
          <cell r="I5150" t="str">
            <v>4050 - Sales Revenue - Ecommerce (US)</v>
          </cell>
          <cell r="J5150" t="str">
            <v>Ecommerce (US)</v>
          </cell>
          <cell r="K5150" t="str">
            <v>Ecommerce</v>
          </cell>
          <cell r="L5150" t="str">
            <v>Ecommerce (US)</v>
          </cell>
          <cell r="N5150" t="str">
            <v>Revenue</v>
          </cell>
          <cell r="O5150" t="str">
            <v>[No Vendor]</v>
          </cell>
        </row>
        <row r="5151">
          <cell r="D5151">
            <v>-54708.65</v>
          </cell>
          <cell r="H5151">
            <v>45597</v>
          </cell>
          <cell r="I5151" t="str">
            <v>4050 - Sales Revenue - Ecommerce (US)</v>
          </cell>
          <cell r="J5151" t="str">
            <v>Ecommerce (US)</v>
          </cell>
          <cell r="K5151" t="str">
            <v>Ecommerce</v>
          </cell>
          <cell r="L5151" t="str">
            <v>Ecommerce (US)</v>
          </cell>
          <cell r="N5151" t="str">
            <v>Revenue</v>
          </cell>
          <cell r="O5151" t="str">
            <v>[No Vendor]</v>
          </cell>
        </row>
        <row r="5152">
          <cell r="D5152">
            <v>16630.79</v>
          </cell>
          <cell r="H5152">
            <v>45597</v>
          </cell>
          <cell r="I5152" t="str">
            <v>4061 - Sales Discount - Ecomm (EU)</v>
          </cell>
          <cell r="J5152" t="str">
            <v>Ecommerce (EU)</v>
          </cell>
          <cell r="K5152" t="str">
            <v>Ecommerce</v>
          </cell>
          <cell r="L5152" t="str">
            <v>Ecommerce (EU)</v>
          </cell>
          <cell r="N5152" t="str">
            <v>Revenue</v>
          </cell>
          <cell r="O5152" t="str">
            <v>[No Vendor]</v>
          </cell>
        </row>
        <row r="5153">
          <cell r="D5153">
            <v>105.7</v>
          </cell>
          <cell r="H5153">
            <v>45597</v>
          </cell>
          <cell r="I5153" t="str">
            <v>6041 - Employee Benefit Other</v>
          </cell>
          <cell r="J5153" t="str">
            <v>Ecommerce (US)</v>
          </cell>
          <cell r="K5153" t="str">
            <v>Ecommerce</v>
          </cell>
          <cell r="L5153" t="str">
            <v>HQ Salaries</v>
          </cell>
          <cell r="N5153" t="str">
            <v>SG&amp;A</v>
          </cell>
          <cell r="O5153" t="str">
            <v>[No Vendor]</v>
          </cell>
        </row>
        <row r="5154">
          <cell r="D5154">
            <v>91.66</v>
          </cell>
          <cell r="H5154">
            <v>45597</v>
          </cell>
          <cell r="I5154" t="str">
            <v>6041 - Employee Benefit Other</v>
          </cell>
          <cell r="J5154">
            <v>0</v>
          </cell>
          <cell r="K5154" t="str">
            <v>Production</v>
          </cell>
          <cell r="L5154" t="str">
            <v>HQ Salaries</v>
          </cell>
          <cell r="N5154" t="str">
            <v>SG&amp;A</v>
          </cell>
          <cell r="O5154" t="str">
            <v>[No Vendor]</v>
          </cell>
        </row>
        <row r="5155">
          <cell r="D5155">
            <v>95.05</v>
          </cell>
          <cell r="H5155">
            <v>45597</v>
          </cell>
          <cell r="I5155" t="str">
            <v>6041 - Employee Benefit Other</v>
          </cell>
          <cell r="J5155">
            <v>0</v>
          </cell>
          <cell r="K5155" t="str">
            <v>Design</v>
          </cell>
          <cell r="L5155" t="str">
            <v>HQ Salaries</v>
          </cell>
          <cell r="N5155" t="str">
            <v>SG&amp;A</v>
          </cell>
          <cell r="O5155" t="str">
            <v>[No Vendor]</v>
          </cell>
        </row>
        <row r="5156">
          <cell r="D5156">
            <v>82.88</v>
          </cell>
          <cell r="H5156">
            <v>45597</v>
          </cell>
          <cell r="I5156" t="str">
            <v>6041 - Employee Benefit Other</v>
          </cell>
          <cell r="J5156">
            <v>0</v>
          </cell>
          <cell r="K5156" t="str">
            <v>Administration</v>
          </cell>
          <cell r="L5156" t="str">
            <v>HQ Salaries</v>
          </cell>
          <cell r="N5156" t="str">
            <v>SG&amp;A</v>
          </cell>
          <cell r="O5156" t="str">
            <v>[No Vendor]</v>
          </cell>
        </row>
        <row r="5157">
          <cell r="D5157">
            <v>570.02</v>
          </cell>
          <cell r="H5157">
            <v>45597</v>
          </cell>
          <cell r="I5157" t="str">
            <v>7140 - Amortization Exp - ROU Asset</v>
          </cell>
          <cell r="J5157">
            <v>0</v>
          </cell>
          <cell r="K5157" t="str">
            <v>Administration</v>
          </cell>
          <cell r="L5157" t="str">
            <v>Rent</v>
          </cell>
          <cell r="N5157" t="str">
            <v>SG&amp;A</v>
          </cell>
          <cell r="O5157" t="str">
            <v>[No Vendor]</v>
          </cell>
        </row>
        <row r="5158">
          <cell r="D5158">
            <v>23940.66</v>
          </cell>
          <cell r="H5158">
            <v>45597</v>
          </cell>
          <cell r="I5158" t="str">
            <v>7140 - Amortization Exp - ROU Asset</v>
          </cell>
          <cell r="J5158">
            <v>0</v>
          </cell>
          <cell r="K5158" t="str">
            <v>Administration</v>
          </cell>
          <cell r="L5158" t="str">
            <v>Rent</v>
          </cell>
          <cell r="N5158" t="str">
            <v>SG&amp;A</v>
          </cell>
          <cell r="O5158" t="str">
            <v>[No Vendor]</v>
          </cell>
        </row>
        <row r="5159">
          <cell r="D5159">
            <v>29085.3</v>
          </cell>
          <cell r="H5159">
            <v>45597</v>
          </cell>
          <cell r="I5159" t="str">
            <v>4051 - Sales Revenue - Ecommerce (Intl)</v>
          </cell>
          <cell r="J5159" t="str">
            <v>Ecommerce (EU)</v>
          </cell>
          <cell r="K5159" t="str">
            <v>Ecommerce</v>
          </cell>
          <cell r="L5159" t="str">
            <v>Ecommerce (EU)</v>
          </cell>
          <cell r="N5159" t="str">
            <v>Revenue</v>
          </cell>
          <cell r="O5159" t="str">
            <v>[No Vendor]</v>
          </cell>
        </row>
        <row r="5160">
          <cell r="D5160">
            <v>-202702.56</v>
          </cell>
          <cell r="H5160">
            <v>45597</v>
          </cell>
          <cell r="I5160" t="str">
            <v>4051 - Sales Revenue - Ecommerce (Intl)</v>
          </cell>
          <cell r="J5160" t="str">
            <v>Ecommerce (EU)</v>
          </cell>
          <cell r="K5160" t="str">
            <v>Ecommerce</v>
          </cell>
          <cell r="L5160" t="str">
            <v>Ecommerce (EU)</v>
          </cell>
          <cell r="N5160" t="str">
            <v>Revenue</v>
          </cell>
          <cell r="O5160" t="str">
            <v>[No Vendor]</v>
          </cell>
        </row>
        <row r="5161">
          <cell r="D5161">
            <v>0</v>
          </cell>
          <cell r="H5161">
            <v>45597</v>
          </cell>
          <cell r="I5161" t="str">
            <v>6035 - Severance Expense</v>
          </cell>
          <cell r="J5161" t="str">
            <v>Wholesale</v>
          </cell>
          <cell r="K5161" t="str">
            <v>Wholesale</v>
          </cell>
          <cell r="L5161" t="str">
            <v>HQ Salaries</v>
          </cell>
          <cell r="N5161" t="str">
            <v>SG&amp;A</v>
          </cell>
          <cell r="O5161" t="str">
            <v>[No Vendor]</v>
          </cell>
        </row>
        <row r="5162">
          <cell r="D5162">
            <v>218.4</v>
          </cell>
          <cell r="H5162">
            <v>45597</v>
          </cell>
          <cell r="I5162" t="str">
            <v>6377 - Order Processing Expenses (New)</v>
          </cell>
          <cell r="J5162" t="str">
            <v>Ecommerce (EU)</v>
          </cell>
          <cell r="K5162" t="str">
            <v>Ecommerce</v>
          </cell>
          <cell r="L5162" t="str">
            <v>Order Processing</v>
          </cell>
          <cell r="N5162" t="str">
            <v>Direct Costs</v>
          </cell>
          <cell r="O5162" t="str">
            <v>[No Vendor]</v>
          </cell>
        </row>
        <row r="5163">
          <cell r="D5163">
            <v>170.15</v>
          </cell>
          <cell r="H5163">
            <v>45597</v>
          </cell>
          <cell r="I5163" t="str">
            <v>6377 - Order Processing Expenses (New)</v>
          </cell>
          <cell r="J5163" t="str">
            <v>Ecommerce (US)</v>
          </cell>
          <cell r="K5163" t="str">
            <v>Ecommerce</v>
          </cell>
          <cell r="L5163" t="str">
            <v>Order Processing</v>
          </cell>
          <cell r="N5163" t="str">
            <v>Direct Costs</v>
          </cell>
          <cell r="O5163" t="str">
            <v>[No Vendor]</v>
          </cell>
        </row>
        <row r="5164">
          <cell r="D5164">
            <v>-1481.23</v>
          </cell>
          <cell r="H5164">
            <v>45597</v>
          </cell>
          <cell r="I5164" t="str">
            <v>4065 - Sales Freight - Wholesale (US)</v>
          </cell>
          <cell r="J5164" t="str">
            <v>Wholesale</v>
          </cell>
          <cell r="K5164" t="str">
            <v>Wholesale</v>
          </cell>
          <cell r="L5164" t="str">
            <v>Freight - Revenue</v>
          </cell>
          <cell r="N5164" t="str">
            <v>Direct Costs</v>
          </cell>
          <cell r="O5164" t="str">
            <v>[No Vendor]</v>
          </cell>
        </row>
        <row r="5165">
          <cell r="D5165">
            <v>39.69</v>
          </cell>
          <cell r="H5165">
            <v>45597</v>
          </cell>
          <cell r="I5165" t="str">
            <v>4065 - Sales Freight - Wholesale (US)</v>
          </cell>
          <cell r="J5165" t="str">
            <v>Wholesale</v>
          </cell>
          <cell r="K5165" t="str">
            <v>Wholesale</v>
          </cell>
          <cell r="L5165" t="str">
            <v>Freight - Revenue</v>
          </cell>
          <cell r="N5165" t="str">
            <v>Direct Costs</v>
          </cell>
          <cell r="O5165" t="str">
            <v>[No Vendor]</v>
          </cell>
        </row>
        <row r="5166">
          <cell r="D5166">
            <v>-49002</v>
          </cell>
          <cell r="H5166">
            <v>45597</v>
          </cell>
          <cell r="I5166" t="str">
            <v>4064 - Sales Freight - Ecomm (US)</v>
          </cell>
          <cell r="J5166" t="str">
            <v>Ecommerce (US)</v>
          </cell>
          <cell r="K5166" t="str">
            <v>Ecommerce</v>
          </cell>
          <cell r="L5166" t="str">
            <v>Freight - Revenue</v>
          </cell>
          <cell r="N5166" t="str">
            <v>Direct Costs</v>
          </cell>
          <cell r="O5166" t="str">
            <v>[No Vendor]</v>
          </cell>
        </row>
        <row r="5167">
          <cell r="D5167">
            <v>-2432</v>
          </cell>
          <cell r="H5167">
            <v>45597</v>
          </cell>
          <cell r="I5167" t="str">
            <v>4064 - Sales Freight - Ecomm (US)</v>
          </cell>
          <cell r="J5167" t="str">
            <v>Ecommerce (US)</v>
          </cell>
          <cell r="K5167" t="str">
            <v>Ecommerce</v>
          </cell>
          <cell r="L5167" t="str">
            <v>Freight - Revenue</v>
          </cell>
          <cell r="N5167" t="str">
            <v>Direct Costs</v>
          </cell>
          <cell r="O5167" t="str">
            <v>[No Vendor]</v>
          </cell>
        </row>
        <row r="5168">
          <cell r="D5168">
            <v>5266.35</v>
          </cell>
          <cell r="H5168">
            <v>45597</v>
          </cell>
          <cell r="I5168" t="str">
            <v>4063 - Sales Discount - Wholesale (US)</v>
          </cell>
          <cell r="J5168" t="str">
            <v>Wholesale</v>
          </cell>
          <cell r="K5168" t="str">
            <v>Wholesale</v>
          </cell>
          <cell r="L5168" t="str">
            <v>Wholesale</v>
          </cell>
          <cell r="N5168" t="str">
            <v>Revenue</v>
          </cell>
          <cell r="O5168" t="str">
            <v>[No Vendor]</v>
          </cell>
        </row>
        <row r="5169">
          <cell r="D5169">
            <v>-189.7</v>
          </cell>
          <cell r="H5169">
            <v>45597</v>
          </cell>
          <cell r="I5169" t="str">
            <v>4063 - Sales Discount - Wholesale (US)</v>
          </cell>
          <cell r="J5169" t="str">
            <v>Wholesale</v>
          </cell>
          <cell r="K5169" t="str">
            <v>Wholesale</v>
          </cell>
          <cell r="L5169" t="str">
            <v>Wholesale</v>
          </cell>
          <cell r="N5169" t="str">
            <v>Revenue</v>
          </cell>
          <cell r="O5169" t="str">
            <v>[No Vendor]</v>
          </cell>
        </row>
        <row r="5170">
          <cell r="D5170">
            <v>6130.69</v>
          </cell>
          <cell r="H5170">
            <v>45597</v>
          </cell>
          <cell r="I5170" t="str">
            <v>5900 - Interco Royalty Expense</v>
          </cell>
          <cell r="J5170">
            <v>0</v>
          </cell>
          <cell r="K5170" t="str">
            <v>Licensing</v>
          </cell>
          <cell r="L5170">
            <v>0</v>
          </cell>
          <cell r="N5170">
            <v>0</v>
          </cell>
          <cell r="O5170" t="str">
            <v>[No Vendor]</v>
          </cell>
        </row>
        <row r="5171">
          <cell r="D5171">
            <v>161529.70000000001</v>
          </cell>
          <cell r="H5171">
            <v>45597</v>
          </cell>
          <cell r="I5171" t="str">
            <v>4062 - Sales Discount - Ecomm (US)</v>
          </cell>
          <cell r="J5171" t="str">
            <v>Ecommerce (US)</v>
          </cell>
          <cell r="K5171" t="str">
            <v>Ecommerce</v>
          </cell>
          <cell r="L5171" t="str">
            <v>Ecommerce (US)</v>
          </cell>
          <cell r="N5171" t="str">
            <v>Revenue</v>
          </cell>
          <cell r="O5171" t="str">
            <v>[No Vendor]</v>
          </cell>
        </row>
        <row r="5172">
          <cell r="D5172">
            <v>0</v>
          </cell>
          <cell r="H5172">
            <v>45597</v>
          </cell>
          <cell r="I5172" t="str">
            <v>4062 - Sales Discount - Ecomm (US)</v>
          </cell>
          <cell r="J5172" t="str">
            <v>Ecommerce (US)</v>
          </cell>
          <cell r="K5172" t="str">
            <v>Ecommerce</v>
          </cell>
          <cell r="L5172" t="str">
            <v>Ecommerce (US)</v>
          </cell>
          <cell r="N5172" t="str">
            <v>Revenue</v>
          </cell>
          <cell r="O5172" t="str">
            <v>[No Vendor]</v>
          </cell>
        </row>
        <row r="5173">
          <cell r="D5173">
            <v>1954.72</v>
          </cell>
          <cell r="H5173">
            <v>45597</v>
          </cell>
          <cell r="I5173" t="str">
            <v>7130 - License Agreements &amp; Other Intangibles</v>
          </cell>
          <cell r="J5173">
            <v>0</v>
          </cell>
          <cell r="K5173" t="str">
            <v>Administration</v>
          </cell>
          <cell r="L5173" t="str">
            <v>Depreciation &amp; Amortization</v>
          </cell>
          <cell r="N5173" t="str">
            <v>SG&amp;A</v>
          </cell>
          <cell r="O5173" t="str">
            <v>[No Vendor]</v>
          </cell>
        </row>
        <row r="5174">
          <cell r="D5174">
            <v>-6130.69</v>
          </cell>
          <cell r="H5174">
            <v>45597</v>
          </cell>
          <cell r="I5174" t="str">
            <v>4900 - Interco Royalty Revenue</v>
          </cell>
          <cell r="J5174">
            <v>0</v>
          </cell>
          <cell r="K5174" t="str">
            <v>Licensing</v>
          </cell>
          <cell r="L5174">
            <v>0</v>
          </cell>
          <cell r="N5174">
            <v>0</v>
          </cell>
          <cell r="O5174" t="str">
            <v>[No Vendor]</v>
          </cell>
        </row>
        <row r="5175">
          <cell r="D5175">
            <v>9.99</v>
          </cell>
          <cell r="H5175">
            <v>45597</v>
          </cell>
          <cell r="I5175" t="str">
            <v>6393 - Software</v>
          </cell>
          <cell r="J5175">
            <v>0</v>
          </cell>
          <cell r="K5175" t="str">
            <v>Administration</v>
          </cell>
          <cell r="L5175" t="str">
            <v>Professional Service</v>
          </cell>
          <cell r="N5175" t="str">
            <v>Direct Costs</v>
          </cell>
          <cell r="O5175" t="str">
            <v>Drop Box</v>
          </cell>
        </row>
        <row r="5176">
          <cell r="D5176">
            <v>664.18</v>
          </cell>
          <cell r="H5176">
            <v>45597</v>
          </cell>
          <cell r="I5176" t="str">
            <v>6393 - Software</v>
          </cell>
          <cell r="J5176">
            <v>0</v>
          </cell>
          <cell r="K5176" t="str">
            <v>Administration</v>
          </cell>
          <cell r="L5176" t="str">
            <v>Professional Service</v>
          </cell>
          <cell r="N5176" t="str">
            <v>Direct Costs</v>
          </cell>
          <cell r="O5176" t="str">
            <v>[No Vendor]</v>
          </cell>
        </row>
        <row r="5177">
          <cell r="D5177">
            <v>13.65</v>
          </cell>
          <cell r="H5177">
            <v>45597</v>
          </cell>
          <cell r="I5177" t="str">
            <v>6393 - Software</v>
          </cell>
          <cell r="J5177">
            <v>0</v>
          </cell>
          <cell r="K5177" t="str">
            <v>Administration</v>
          </cell>
          <cell r="L5177" t="str">
            <v>Professional Service</v>
          </cell>
          <cell r="N5177" t="str">
            <v>Direct Costs</v>
          </cell>
          <cell r="O5177" t="str">
            <v>[No Vendor]</v>
          </cell>
        </row>
        <row r="5178">
          <cell r="D5178">
            <v>1302.44</v>
          </cell>
          <cell r="H5178">
            <v>45597</v>
          </cell>
          <cell r="I5178" t="str">
            <v>6393 - Software</v>
          </cell>
          <cell r="J5178">
            <v>0</v>
          </cell>
          <cell r="K5178" t="str">
            <v>Administration</v>
          </cell>
          <cell r="L5178" t="str">
            <v>Professional Service</v>
          </cell>
          <cell r="N5178" t="str">
            <v>Direct Costs</v>
          </cell>
          <cell r="O5178" t="str">
            <v>Avalara, Inc</v>
          </cell>
        </row>
        <row r="5179">
          <cell r="D5179">
            <v>2268.23</v>
          </cell>
          <cell r="H5179">
            <v>45597</v>
          </cell>
          <cell r="I5179" t="str">
            <v>6393 - Software</v>
          </cell>
          <cell r="J5179">
            <v>0</v>
          </cell>
          <cell r="K5179" t="str">
            <v>Brand Marketing</v>
          </cell>
          <cell r="L5179" t="str">
            <v>Professional Service</v>
          </cell>
          <cell r="N5179" t="str">
            <v>Direct Costs</v>
          </cell>
          <cell r="O5179" t="str">
            <v>Fohr</v>
          </cell>
        </row>
        <row r="5180">
          <cell r="D5180">
            <v>2198.19</v>
          </cell>
          <cell r="H5180">
            <v>45597</v>
          </cell>
          <cell r="I5180" t="str">
            <v>6393 - Software</v>
          </cell>
          <cell r="J5180">
            <v>0</v>
          </cell>
          <cell r="K5180" t="str">
            <v>Administration</v>
          </cell>
          <cell r="L5180" t="str">
            <v>Professional Service</v>
          </cell>
          <cell r="N5180" t="str">
            <v>Direct Costs</v>
          </cell>
          <cell r="O5180" t="str">
            <v>Oracle Netsuite</v>
          </cell>
        </row>
        <row r="5181">
          <cell r="D5181">
            <v>839</v>
          </cell>
          <cell r="H5181">
            <v>45597</v>
          </cell>
          <cell r="I5181" t="str">
            <v>6393 - Software</v>
          </cell>
          <cell r="J5181">
            <v>0</v>
          </cell>
          <cell r="K5181" t="str">
            <v>Administration</v>
          </cell>
          <cell r="L5181" t="str">
            <v>Professional Service</v>
          </cell>
          <cell r="N5181" t="str">
            <v>Direct Costs</v>
          </cell>
          <cell r="O5181" t="str">
            <v>Oracle Netsuite</v>
          </cell>
        </row>
        <row r="5182">
          <cell r="D5182">
            <v>0</v>
          </cell>
          <cell r="H5182">
            <v>45597</v>
          </cell>
          <cell r="I5182" t="str">
            <v>6286 - SEM</v>
          </cell>
          <cell r="J5182" t="str">
            <v>Ecommerce (US)</v>
          </cell>
          <cell r="K5182" t="str">
            <v>Ecommerce</v>
          </cell>
          <cell r="L5182" t="str">
            <v>Marketing</v>
          </cell>
          <cell r="N5182" t="str">
            <v>Direct Costs</v>
          </cell>
          <cell r="O5182" t="str">
            <v>[No Vendor]</v>
          </cell>
        </row>
        <row r="5183">
          <cell r="D5183">
            <v>0</v>
          </cell>
          <cell r="H5183">
            <v>45597</v>
          </cell>
          <cell r="I5183" t="str">
            <v>6340 - Miscellaneous Expense</v>
          </cell>
          <cell r="J5183" t="str">
            <v>Ecommerce (US)</v>
          </cell>
          <cell r="K5183" t="str">
            <v>Ecommerce</v>
          </cell>
          <cell r="L5183" t="str">
            <v>Other</v>
          </cell>
          <cell r="N5183" t="str">
            <v>SG&amp;A</v>
          </cell>
          <cell r="O5183" t="str">
            <v>[No Vendor]</v>
          </cell>
        </row>
        <row r="5184">
          <cell r="D5184">
            <v>38242.51</v>
          </cell>
          <cell r="H5184">
            <v>45597</v>
          </cell>
          <cell r="I5184" t="str">
            <v>6240 - Product Photography</v>
          </cell>
          <cell r="J5184">
            <v>0</v>
          </cell>
          <cell r="K5184" t="str">
            <v>Brand Marketing</v>
          </cell>
          <cell r="L5184" t="str">
            <v>Advertising</v>
          </cell>
          <cell r="N5184" t="str">
            <v>SG&amp;A</v>
          </cell>
          <cell r="O5184" t="str">
            <v>GOSFilms LLC</v>
          </cell>
        </row>
        <row r="5185">
          <cell r="D5185">
            <v>5578.62</v>
          </cell>
          <cell r="H5185">
            <v>45597</v>
          </cell>
          <cell r="I5185" t="str">
            <v>6030 - Commissions Expense - Non Employee</v>
          </cell>
          <cell r="J5185" t="str">
            <v>Ecommerce (US)</v>
          </cell>
          <cell r="K5185" t="str">
            <v>Ecommerce</v>
          </cell>
          <cell r="L5185" t="str">
            <v>HQ Salaries</v>
          </cell>
          <cell r="N5185" t="str">
            <v>SG&amp;A</v>
          </cell>
          <cell r="O5185" t="str">
            <v>Amazon</v>
          </cell>
        </row>
        <row r="5186">
          <cell r="D5186">
            <v>7613.46</v>
          </cell>
          <cell r="H5186">
            <v>45597</v>
          </cell>
          <cell r="I5186" t="str">
            <v>6289 - Seeding / Product Placement</v>
          </cell>
          <cell r="J5186">
            <v>0</v>
          </cell>
          <cell r="K5186" t="str">
            <v>Brand Marketing</v>
          </cell>
          <cell r="L5186" t="str">
            <v>Advertising</v>
          </cell>
          <cell r="N5186" t="str">
            <v>SG&amp;A</v>
          </cell>
          <cell r="O5186" t="str">
            <v>[No Vendor]</v>
          </cell>
        </row>
        <row r="5187">
          <cell r="D5187">
            <v>833.33</v>
          </cell>
          <cell r="H5187">
            <v>45597</v>
          </cell>
          <cell r="I5187" t="str">
            <v>6284 - Advertising</v>
          </cell>
          <cell r="J5187">
            <v>0</v>
          </cell>
          <cell r="K5187" t="str">
            <v>Brand Marketing</v>
          </cell>
          <cell r="L5187" t="str">
            <v>Advertising</v>
          </cell>
          <cell r="N5187" t="str">
            <v>SG&amp;A</v>
          </cell>
          <cell r="O5187" t="str">
            <v>[No Vendor]</v>
          </cell>
        </row>
        <row r="5188">
          <cell r="D5188">
            <v>1458.33</v>
          </cell>
          <cell r="H5188">
            <v>45597</v>
          </cell>
          <cell r="I5188" t="str">
            <v>6284 - Advertising</v>
          </cell>
          <cell r="J5188">
            <v>0</v>
          </cell>
          <cell r="K5188" t="str">
            <v>Brand Marketing</v>
          </cell>
          <cell r="L5188" t="str">
            <v>Advertising</v>
          </cell>
          <cell r="N5188" t="str">
            <v>SG&amp;A</v>
          </cell>
          <cell r="O5188" t="str">
            <v>[No Vendor]</v>
          </cell>
        </row>
        <row r="5189">
          <cell r="D5189">
            <v>1500</v>
          </cell>
          <cell r="H5189">
            <v>45597</v>
          </cell>
          <cell r="I5189" t="str">
            <v>6205 - Contractors</v>
          </cell>
          <cell r="J5189">
            <v>0</v>
          </cell>
          <cell r="K5189" t="str">
            <v>Production</v>
          </cell>
          <cell r="L5189" t="str">
            <v>HQ Salaries</v>
          </cell>
          <cell r="N5189" t="str">
            <v>SG&amp;A</v>
          </cell>
          <cell r="O5189" t="str">
            <v>Philip Yau</v>
          </cell>
        </row>
        <row r="5190">
          <cell r="D5190">
            <v>10736.4</v>
          </cell>
          <cell r="H5190">
            <v>45597</v>
          </cell>
          <cell r="I5190" t="str">
            <v>6205 - Contractors</v>
          </cell>
          <cell r="J5190" t="str">
            <v>Ecommerce (US)</v>
          </cell>
          <cell r="K5190" t="str">
            <v>Ecommerce</v>
          </cell>
          <cell r="L5190" t="str">
            <v>HQ Salaries</v>
          </cell>
          <cell r="N5190" t="str">
            <v>SG&amp;A</v>
          </cell>
          <cell r="O5190" t="str">
            <v>[No Vendor]</v>
          </cell>
        </row>
        <row r="5191">
          <cell r="D5191">
            <v>5737.5</v>
          </cell>
          <cell r="H5191">
            <v>45597</v>
          </cell>
          <cell r="I5191" t="str">
            <v>6205 - Contractors</v>
          </cell>
          <cell r="J5191" t="str">
            <v>Ecommerce (US)</v>
          </cell>
          <cell r="K5191" t="str">
            <v>Ecommerce</v>
          </cell>
          <cell r="L5191" t="str">
            <v>HQ Salaries</v>
          </cell>
          <cell r="N5191" t="str">
            <v>SG&amp;A</v>
          </cell>
          <cell r="O5191" t="str">
            <v>[No Vendor]</v>
          </cell>
        </row>
        <row r="5192">
          <cell r="D5192">
            <v>5325</v>
          </cell>
          <cell r="H5192">
            <v>45597</v>
          </cell>
          <cell r="I5192" t="str">
            <v>6205 - Contractors</v>
          </cell>
          <cell r="J5192" t="str">
            <v>Ecommerce (US)</v>
          </cell>
          <cell r="K5192" t="str">
            <v>Ecommerce</v>
          </cell>
          <cell r="L5192" t="str">
            <v>HQ Salaries</v>
          </cell>
          <cell r="N5192" t="str">
            <v>SG&amp;A</v>
          </cell>
          <cell r="O5192" t="str">
            <v>[No Vendor]</v>
          </cell>
        </row>
        <row r="5193">
          <cell r="D5193">
            <v>9838.7999999999993</v>
          </cell>
          <cell r="H5193">
            <v>45597</v>
          </cell>
          <cell r="I5193" t="str">
            <v>6205 - Contractors</v>
          </cell>
          <cell r="J5193" t="str">
            <v>Ecommerce (US)</v>
          </cell>
          <cell r="K5193" t="str">
            <v>Ecommerce</v>
          </cell>
          <cell r="L5193" t="str">
            <v>HQ Salaries</v>
          </cell>
          <cell r="N5193" t="str">
            <v>SG&amp;A</v>
          </cell>
          <cell r="O5193" t="str">
            <v>[No Vendor]</v>
          </cell>
        </row>
        <row r="5194">
          <cell r="D5194">
            <v>0</v>
          </cell>
          <cell r="H5194">
            <v>45597</v>
          </cell>
          <cell r="I5194" t="str">
            <v>6205 - Contractors</v>
          </cell>
          <cell r="J5194">
            <v>0</v>
          </cell>
          <cell r="K5194" t="str">
            <v>Brand Marketing</v>
          </cell>
          <cell r="L5194" t="str">
            <v>HQ Salaries</v>
          </cell>
          <cell r="N5194" t="str">
            <v>SG&amp;A</v>
          </cell>
          <cell r="O5194" t="str">
            <v>[No Vendor]</v>
          </cell>
        </row>
        <row r="5195">
          <cell r="D5195">
            <v>0</v>
          </cell>
          <cell r="H5195">
            <v>45597</v>
          </cell>
          <cell r="I5195" t="str">
            <v>6205 - Contractors</v>
          </cell>
          <cell r="J5195" t="str">
            <v>Ecommerce (US)</v>
          </cell>
          <cell r="K5195" t="str">
            <v>Ecommerce</v>
          </cell>
          <cell r="L5195" t="str">
            <v>HQ Salaries</v>
          </cell>
          <cell r="N5195" t="str">
            <v>SG&amp;A</v>
          </cell>
          <cell r="O5195" t="str">
            <v>[No Vendor]</v>
          </cell>
        </row>
        <row r="5196">
          <cell r="D5196">
            <v>3832.82</v>
          </cell>
          <cell r="H5196">
            <v>45597</v>
          </cell>
          <cell r="I5196" t="str">
            <v>6370 - Samples</v>
          </cell>
          <cell r="J5196">
            <v>0</v>
          </cell>
          <cell r="K5196" t="str">
            <v>Production</v>
          </cell>
          <cell r="L5196" t="str">
            <v>Sample</v>
          </cell>
          <cell r="N5196" t="str">
            <v>SG&amp;A</v>
          </cell>
          <cell r="O5196" t="str">
            <v>[No Vendor]</v>
          </cell>
        </row>
        <row r="5197">
          <cell r="D5197">
            <v>4261.28</v>
          </cell>
          <cell r="H5197">
            <v>45597</v>
          </cell>
          <cell r="I5197" t="str">
            <v>6020 - Bonus</v>
          </cell>
          <cell r="J5197">
            <v>0</v>
          </cell>
          <cell r="K5197" t="str">
            <v>Executive</v>
          </cell>
          <cell r="L5197" t="str">
            <v>HQ Salaries</v>
          </cell>
          <cell r="N5197" t="str">
            <v>SG&amp;A</v>
          </cell>
          <cell r="O5197" t="str">
            <v>[No Vendor]</v>
          </cell>
        </row>
        <row r="5198">
          <cell r="D5198">
            <v>3843.71</v>
          </cell>
          <cell r="H5198">
            <v>45597</v>
          </cell>
          <cell r="I5198" t="str">
            <v>6020 - Bonus</v>
          </cell>
          <cell r="J5198" t="str">
            <v>Wholesale</v>
          </cell>
          <cell r="K5198" t="str">
            <v>Wholesale</v>
          </cell>
          <cell r="L5198" t="str">
            <v>HQ Salaries</v>
          </cell>
          <cell r="N5198" t="str">
            <v>SG&amp;A</v>
          </cell>
          <cell r="O5198" t="str">
            <v>[No Vendor]</v>
          </cell>
        </row>
        <row r="5199">
          <cell r="D5199">
            <v>6338.75</v>
          </cell>
          <cell r="H5199">
            <v>45597</v>
          </cell>
          <cell r="I5199" t="str">
            <v>6020 - Bonus</v>
          </cell>
          <cell r="J5199">
            <v>0</v>
          </cell>
          <cell r="K5199" t="str">
            <v>Production</v>
          </cell>
          <cell r="L5199" t="str">
            <v>HQ Salaries</v>
          </cell>
          <cell r="N5199" t="str">
            <v>SG&amp;A</v>
          </cell>
          <cell r="O5199" t="str">
            <v>[No Vendor]</v>
          </cell>
        </row>
        <row r="5200">
          <cell r="D5200">
            <v>1406.25</v>
          </cell>
          <cell r="H5200">
            <v>45597</v>
          </cell>
          <cell r="I5200" t="str">
            <v>6020 - Bonus</v>
          </cell>
          <cell r="J5200">
            <v>0</v>
          </cell>
          <cell r="K5200" t="str">
            <v>Brand Marketing</v>
          </cell>
          <cell r="L5200" t="str">
            <v>HQ Salaries</v>
          </cell>
          <cell r="N5200" t="str">
            <v>SG&amp;A</v>
          </cell>
          <cell r="O5200" t="str">
            <v>[No Vendor]</v>
          </cell>
        </row>
        <row r="5201">
          <cell r="D5201">
            <v>8393.9500000000007</v>
          </cell>
          <cell r="H5201">
            <v>45597</v>
          </cell>
          <cell r="I5201" t="str">
            <v>6020 - Bonus</v>
          </cell>
          <cell r="J5201" t="str">
            <v>Ecommerce (US)</v>
          </cell>
          <cell r="K5201" t="str">
            <v>Ecommerce</v>
          </cell>
          <cell r="L5201" t="str">
            <v>HQ Salaries</v>
          </cell>
          <cell r="N5201" t="str">
            <v>SG&amp;A</v>
          </cell>
          <cell r="O5201" t="str">
            <v>[No Vendor]</v>
          </cell>
        </row>
        <row r="5202">
          <cell r="D5202">
            <v>5832.66</v>
          </cell>
          <cell r="H5202">
            <v>45597</v>
          </cell>
          <cell r="I5202" t="str">
            <v>6020 - Bonus</v>
          </cell>
          <cell r="J5202">
            <v>0</v>
          </cell>
          <cell r="K5202" t="str">
            <v>Design</v>
          </cell>
          <cell r="L5202" t="str">
            <v>HQ Salaries</v>
          </cell>
          <cell r="N5202" t="str">
            <v>SG&amp;A</v>
          </cell>
          <cell r="O5202" t="str">
            <v>[No Vendor]</v>
          </cell>
        </row>
        <row r="5203">
          <cell r="D5203">
            <v>1256.29</v>
          </cell>
          <cell r="H5203">
            <v>45597</v>
          </cell>
          <cell r="I5203" t="str">
            <v>6020 - Bonus</v>
          </cell>
          <cell r="J5203">
            <v>0</v>
          </cell>
          <cell r="K5203" t="str">
            <v>Merchandising</v>
          </cell>
          <cell r="L5203" t="str">
            <v>HQ Salaries</v>
          </cell>
          <cell r="N5203" t="str">
            <v>SG&amp;A</v>
          </cell>
          <cell r="O5203" t="str">
            <v>[No Vendor]</v>
          </cell>
        </row>
        <row r="5204">
          <cell r="D5204">
            <v>7604.61</v>
          </cell>
          <cell r="H5204">
            <v>45597</v>
          </cell>
          <cell r="I5204" t="str">
            <v>6020 - Bonus</v>
          </cell>
          <cell r="J5204">
            <v>0</v>
          </cell>
          <cell r="K5204" t="str">
            <v>Administration</v>
          </cell>
          <cell r="L5204" t="str">
            <v>HQ Salaries</v>
          </cell>
          <cell r="N5204" t="str">
            <v>SG&amp;A</v>
          </cell>
          <cell r="O5204" t="str">
            <v>[No Vendor]</v>
          </cell>
        </row>
        <row r="5205">
          <cell r="D5205">
            <v>192</v>
          </cell>
          <cell r="H5205">
            <v>45597</v>
          </cell>
          <cell r="I5205" t="str">
            <v>6140 - Other</v>
          </cell>
          <cell r="J5205">
            <v>0</v>
          </cell>
          <cell r="K5205" t="str">
            <v>Executive</v>
          </cell>
          <cell r="L5205" t="str">
            <v>T&amp;E</v>
          </cell>
          <cell r="N5205" t="str">
            <v>SG&amp;A</v>
          </cell>
          <cell r="O5205" t="str">
            <v>[No Vendor]</v>
          </cell>
        </row>
        <row r="5206">
          <cell r="D5206">
            <v>165.2</v>
          </cell>
          <cell r="H5206">
            <v>45597</v>
          </cell>
          <cell r="I5206" t="str">
            <v>6140 - Other</v>
          </cell>
          <cell r="J5206">
            <v>0</v>
          </cell>
          <cell r="K5206" t="str">
            <v>Production</v>
          </cell>
          <cell r="L5206" t="str">
            <v>T&amp;E</v>
          </cell>
          <cell r="N5206" t="str">
            <v>SG&amp;A</v>
          </cell>
          <cell r="O5206" t="str">
            <v>[No Vendor]</v>
          </cell>
        </row>
        <row r="5207">
          <cell r="D5207">
            <v>6791.68</v>
          </cell>
          <cell r="H5207">
            <v>45597</v>
          </cell>
          <cell r="I5207" t="str">
            <v>6450 - Bank &amp; Other Fees</v>
          </cell>
          <cell r="J5207" t="str">
            <v>Ecommerce (EU)</v>
          </cell>
          <cell r="K5207" t="str">
            <v>Ecommerce</v>
          </cell>
          <cell r="L5207" t="str">
            <v>Professional Service</v>
          </cell>
          <cell r="N5207" t="str">
            <v>Direct Costs</v>
          </cell>
          <cell r="O5207" t="str">
            <v>[No Vendor]</v>
          </cell>
        </row>
        <row r="5208">
          <cell r="D5208">
            <v>45473.38</v>
          </cell>
          <cell r="H5208">
            <v>45597</v>
          </cell>
          <cell r="I5208" t="str">
            <v>6450 - Bank &amp; Other Fees</v>
          </cell>
          <cell r="J5208" t="str">
            <v>Ecommerce (US)</v>
          </cell>
          <cell r="K5208" t="str">
            <v>Ecommerce</v>
          </cell>
          <cell r="L5208" t="str">
            <v>Professional Service</v>
          </cell>
          <cell r="N5208" t="str">
            <v>Direct Costs</v>
          </cell>
          <cell r="O5208" t="str">
            <v>Shopify</v>
          </cell>
        </row>
        <row r="5209">
          <cell r="D5209">
            <v>370.32</v>
          </cell>
          <cell r="H5209">
            <v>45597</v>
          </cell>
          <cell r="I5209" t="str">
            <v>6450 - Bank &amp; Other Fees</v>
          </cell>
          <cell r="J5209" t="str">
            <v>Ecommerce (US)</v>
          </cell>
          <cell r="K5209" t="str">
            <v>Ecommerce</v>
          </cell>
          <cell r="L5209" t="str">
            <v>Professional Service</v>
          </cell>
          <cell r="N5209" t="str">
            <v>Direct Costs</v>
          </cell>
          <cell r="O5209" t="str">
            <v>[No Vendor]</v>
          </cell>
        </row>
        <row r="5210">
          <cell r="D5210">
            <v>153</v>
          </cell>
          <cell r="H5210">
            <v>45597</v>
          </cell>
          <cell r="I5210" t="str">
            <v>6430 - Dues &amp; Memberships</v>
          </cell>
          <cell r="J5210">
            <v>0</v>
          </cell>
          <cell r="K5210" t="str">
            <v>Brand Marketing</v>
          </cell>
          <cell r="L5210" t="str">
            <v>Professional Service</v>
          </cell>
          <cell r="N5210" t="str">
            <v>Direct Costs</v>
          </cell>
          <cell r="O5210" t="str">
            <v>[No Vendor]</v>
          </cell>
        </row>
        <row r="5211">
          <cell r="D5211">
            <v>12.42</v>
          </cell>
          <cell r="H5211">
            <v>45597</v>
          </cell>
          <cell r="I5211" t="str">
            <v>6430 - Dues &amp; Memberships</v>
          </cell>
          <cell r="J5211">
            <v>0</v>
          </cell>
          <cell r="K5211" t="str">
            <v>Brand Marketing</v>
          </cell>
          <cell r="L5211" t="str">
            <v>Professional Service</v>
          </cell>
          <cell r="N5211" t="str">
            <v>Direct Costs</v>
          </cell>
          <cell r="O5211" t="str">
            <v>[No Vendor]</v>
          </cell>
        </row>
        <row r="5212">
          <cell r="D5212">
            <v>-606</v>
          </cell>
          <cell r="H5212">
            <v>45597</v>
          </cell>
          <cell r="I5212" t="str">
            <v>6410 - Lease Expense</v>
          </cell>
          <cell r="J5212">
            <v>0</v>
          </cell>
          <cell r="K5212" t="str">
            <v>Administration</v>
          </cell>
          <cell r="L5212" t="str">
            <v>Rent</v>
          </cell>
          <cell r="N5212" t="str">
            <v>SG&amp;A</v>
          </cell>
          <cell r="O5212" t="str">
            <v>[No Vendor]</v>
          </cell>
        </row>
        <row r="5213">
          <cell r="D5213">
            <v>-0.6</v>
          </cell>
          <cell r="H5213">
            <v>45597</v>
          </cell>
          <cell r="I5213" t="str">
            <v>6385 - Insurance</v>
          </cell>
          <cell r="J5213">
            <v>0</v>
          </cell>
          <cell r="K5213" t="str">
            <v>Administration</v>
          </cell>
          <cell r="L5213" t="str">
            <v>Professional Service</v>
          </cell>
          <cell r="N5213" t="str">
            <v>SG&amp;A</v>
          </cell>
          <cell r="O5213" t="str">
            <v>[No Vendor]</v>
          </cell>
        </row>
        <row r="5214">
          <cell r="D5214">
            <v>-22.84</v>
          </cell>
          <cell r="H5214">
            <v>45597</v>
          </cell>
          <cell r="I5214" t="str">
            <v>6385 - Insurance</v>
          </cell>
          <cell r="J5214">
            <v>0</v>
          </cell>
          <cell r="K5214" t="str">
            <v>Administration</v>
          </cell>
          <cell r="L5214" t="str">
            <v>Professional Service</v>
          </cell>
          <cell r="N5214" t="str">
            <v>SG&amp;A</v>
          </cell>
          <cell r="O5214" t="str">
            <v>[No Vendor]</v>
          </cell>
        </row>
        <row r="5215">
          <cell r="D5215">
            <v>-14.78</v>
          </cell>
          <cell r="H5215">
            <v>45597</v>
          </cell>
          <cell r="I5215" t="str">
            <v>6385 - Insurance</v>
          </cell>
          <cell r="J5215">
            <v>0</v>
          </cell>
          <cell r="K5215" t="str">
            <v>Administration</v>
          </cell>
          <cell r="L5215" t="str">
            <v>Professional Service</v>
          </cell>
          <cell r="N5215" t="str">
            <v>SG&amp;A</v>
          </cell>
          <cell r="O5215" t="str">
            <v>[No Vendor]</v>
          </cell>
        </row>
        <row r="5216">
          <cell r="D5216">
            <v>-6.7</v>
          </cell>
          <cell r="H5216">
            <v>45597</v>
          </cell>
          <cell r="I5216" t="str">
            <v>6385 - Insurance</v>
          </cell>
          <cell r="J5216">
            <v>0</v>
          </cell>
          <cell r="K5216" t="str">
            <v>Administration</v>
          </cell>
          <cell r="L5216" t="str">
            <v>Professional Service</v>
          </cell>
          <cell r="N5216" t="str">
            <v>SG&amp;A</v>
          </cell>
          <cell r="O5216" t="str">
            <v>[No Vendor]</v>
          </cell>
        </row>
        <row r="5217">
          <cell r="D5217">
            <v>-0.6</v>
          </cell>
          <cell r="H5217">
            <v>45597</v>
          </cell>
          <cell r="I5217" t="str">
            <v>6385 - Insurance</v>
          </cell>
          <cell r="J5217">
            <v>0</v>
          </cell>
          <cell r="K5217" t="str">
            <v>Administration</v>
          </cell>
          <cell r="L5217" t="str">
            <v>Professional Service</v>
          </cell>
          <cell r="N5217" t="str">
            <v>SG&amp;A</v>
          </cell>
          <cell r="O5217" t="str">
            <v>[No Vendor]</v>
          </cell>
        </row>
        <row r="5218">
          <cell r="D5218">
            <v>-11.63</v>
          </cell>
          <cell r="H5218">
            <v>45597</v>
          </cell>
          <cell r="I5218" t="str">
            <v>6385 - Insurance</v>
          </cell>
          <cell r="J5218">
            <v>0</v>
          </cell>
          <cell r="K5218" t="str">
            <v>Administration</v>
          </cell>
          <cell r="L5218" t="str">
            <v>Professional Service</v>
          </cell>
          <cell r="N5218" t="str">
            <v>SG&amp;A</v>
          </cell>
          <cell r="O5218" t="str">
            <v>[No Vendor]</v>
          </cell>
        </row>
        <row r="5219">
          <cell r="D5219">
            <v>-12.73</v>
          </cell>
          <cell r="H5219">
            <v>45597</v>
          </cell>
          <cell r="I5219" t="str">
            <v>6385 - Insurance</v>
          </cell>
          <cell r="J5219">
            <v>0</v>
          </cell>
          <cell r="K5219" t="str">
            <v>Administration</v>
          </cell>
          <cell r="L5219" t="str">
            <v>Professional Service</v>
          </cell>
          <cell r="N5219" t="str">
            <v>SG&amp;A</v>
          </cell>
          <cell r="O5219" t="str">
            <v>[No Vendor]</v>
          </cell>
        </row>
        <row r="5220">
          <cell r="D5220">
            <v>-20.12</v>
          </cell>
          <cell r="H5220">
            <v>45597</v>
          </cell>
          <cell r="I5220" t="str">
            <v>6385 - Insurance</v>
          </cell>
          <cell r="J5220">
            <v>0</v>
          </cell>
          <cell r="K5220" t="str">
            <v>Administration</v>
          </cell>
          <cell r="L5220" t="str">
            <v>Professional Service</v>
          </cell>
          <cell r="N5220" t="str">
            <v>SG&amp;A</v>
          </cell>
          <cell r="O5220" t="str">
            <v>[No Vendor]</v>
          </cell>
        </row>
        <row r="5221">
          <cell r="D5221">
            <v>947.78</v>
          </cell>
          <cell r="H5221">
            <v>45597</v>
          </cell>
          <cell r="I5221" t="str">
            <v>6385 - Insurance</v>
          </cell>
          <cell r="J5221">
            <v>0</v>
          </cell>
          <cell r="K5221" t="str">
            <v>Administration</v>
          </cell>
          <cell r="L5221" t="str">
            <v>Professional Service</v>
          </cell>
          <cell r="N5221" t="str">
            <v>SG&amp;A</v>
          </cell>
          <cell r="O5221" t="str">
            <v>[No Vendor]</v>
          </cell>
        </row>
        <row r="5222">
          <cell r="D5222">
            <v>242.29</v>
          </cell>
          <cell r="H5222">
            <v>45597</v>
          </cell>
          <cell r="I5222" t="str">
            <v>6400 - Utilities</v>
          </cell>
          <cell r="J5222">
            <v>0</v>
          </cell>
          <cell r="K5222" t="str">
            <v>Administration</v>
          </cell>
          <cell r="L5222" t="str">
            <v>Other</v>
          </cell>
          <cell r="N5222" t="str">
            <v>SG&amp;A</v>
          </cell>
          <cell r="O5222" t="str">
            <v>[No Vendor]</v>
          </cell>
        </row>
        <row r="5223">
          <cell r="D5223">
            <v>-242.29</v>
          </cell>
          <cell r="H5223">
            <v>45597</v>
          </cell>
          <cell r="I5223" t="str">
            <v>6400 - Utilities</v>
          </cell>
          <cell r="J5223">
            <v>0</v>
          </cell>
          <cell r="K5223" t="str">
            <v>Administration</v>
          </cell>
          <cell r="L5223" t="str">
            <v>Other</v>
          </cell>
          <cell r="N5223" t="str">
            <v>SG&amp;A</v>
          </cell>
          <cell r="O5223" t="str">
            <v>[No Vendor]</v>
          </cell>
        </row>
        <row r="5224">
          <cell r="D5224">
            <v>48.61</v>
          </cell>
          <cell r="H5224">
            <v>45597</v>
          </cell>
          <cell r="I5224" t="str">
            <v>7060 - Information Technology &amp; Software</v>
          </cell>
          <cell r="J5224">
            <v>0</v>
          </cell>
          <cell r="K5224" t="str">
            <v>Executive</v>
          </cell>
          <cell r="L5224" t="str">
            <v>Depreciation &amp; Amortization</v>
          </cell>
          <cell r="N5224" t="str">
            <v>SG&amp;A</v>
          </cell>
          <cell r="O5224" t="str">
            <v>[No Vendor]</v>
          </cell>
        </row>
        <row r="5225">
          <cell r="D5225">
            <v>113.67</v>
          </cell>
          <cell r="H5225">
            <v>45597</v>
          </cell>
          <cell r="I5225" t="str">
            <v>7060 - Information Technology &amp; Software</v>
          </cell>
          <cell r="J5225" t="str">
            <v>Wholesale</v>
          </cell>
          <cell r="K5225" t="str">
            <v>Wholesale</v>
          </cell>
          <cell r="L5225" t="str">
            <v>Depreciation &amp; Amortization</v>
          </cell>
          <cell r="N5225" t="str">
            <v>SG&amp;A</v>
          </cell>
          <cell r="O5225" t="str">
            <v>[No Vendor]</v>
          </cell>
        </row>
        <row r="5226">
          <cell r="D5226">
            <v>148.66999999999999</v>
          </cell>
          <cell r="H5226">
            <v>45597</v>
          </cell>
          <cell r="I5226" t="str">
            <v>7060 - Information Technology &amp; Software</v>
          </cell>
          <cell r="J5226" t="str">
            <v>Ecommerce (US)</v>
          </cell>
          <cell r="K5226" t="str">
            <v>Ecommerce</v>
          </cell>
          <cell r="L5226" t="str">
            <v>Depreciation &amp; Amortization</v>
          </cell>
          <cell r="N5226" t="str">
            <v>SG&amp;A</v>
          </cell>
          <cell r="O5226" t="str">
            <v>[No Vendor]</v>
          </cell>
        </row>
        <row r="5227">
          <cell r="D5227">
            <v>147.88999999999999</v>
          </cell>
          <cell r="H5227">
            <v>45597</v>
          </cell>
          <cell r="I5227" t="str">
            <v>7060 - Information Technology &amp; Software</v>
          </cell>
          <cell r="J5227">
            <v>0</v>
          </cell>
          <cell r="K5227" t="str">
            <v>Production</v>
          </cell>
          <cell r="L5227" t="str">
            <v>Depreciation &amp; Amortization</v>
          </cell>
          <cell r="N5227" t="str">
            <v>SG&amp;A</v>
          </cell>
          <cell r="O5227" t="str">
            <v>[No Vendor]</v>
          </cell>
        </row>
        <row r="5228">
          <cell r="D5228">
            <v>246.28</v>
          </cell>
          <cell r="H5228">
            <v>45597</v>
          </cell>
          <cell r="I5228" t="str">
            <v>7060 - Information Technology &amp; Software</v>
          </cell>
          <cell r="J5228">
            <v>0</v>
          </cell>
          <cell r="K5228" t="str">
            <v>Design</v>
          </cell>
          <cell r="L5228" t="str">
            <v>Depreciation &amp; Amortization</v>
          </cell>
          <cell r="N5228" t="str">
            <v>SG&amp;A</v>
          </cell>
          <cell r="O5228" t="str">
            <v>[No Vendor]</v>
          </cell>
        </row>
        <row r="5229">
          <cell r="D5229">
            <v>65.48</v>
          </cell>
          <cell r="H5229">
            <v>45597</v>
          </cell>
          <cell r="I5229" t="str">
            <v>7060 - Information Technology &amp; Software</v>
          </cell>
          <cell r="J5229">
            <v>0</v>
          </cell>
          <cell r="K5229" t="str">
            <v>Merchandising</v>
          </cell>
          <cell r="L5229" t="str">
            <v>Depreciation &amp; Amortization</v>
          </cell>
          <cell r="N5229" t="str">
            <v>SG&amp;A</v>
          </cell>
          <cell r="O5229" t="str">
            <v>[No Vendor]</v>
          </cell>
        </row>
        <row r="5230">
          <cell r="D5230">
            <v>166.9</v>
          </cell>
          <cell r="H5230">
            <v>45597</v>
          </cell>
          <cell r="I5230" t="str">
            <v>7060 - Information Technology &amp; Software</v>
          </cell>
          <cell r="J5230">
            <v>0</v>
          </cell>
          <cell r="K5230" t="str">
            <v>Brand Marketing</v>
          </cell>
          <cell r="L5230" t="str">
            <v>Depreciation &amp; Amortization</v>
          </cell>
          <cell r="N5230" t="str">
            <v>SG&amp;A</v>
          </cell>
          <cell r="O5230" t="str">
            <v>[No Vendor]</v>
          </cell>
        </row>
        <row r="5231">
          <cell r="D5231">
            <v>869.23</v>
          </cell>
          <cell r="H5231">
            <v>45597</v>
          </cell>
          <cell r="I5231" t="str">
            <v>7060 - Information Technology &amp; Software</v>
          </cell>
          <cell r="J5231">
            <v>0</v>
          </cell>
          <cell r="K5231" t="str">
            <v>Administration</v>
          </cell>
          <cell r="L5231" t="str">
            <v>Depreciation &amp; Amortization</v>
          </cell>
          <cell r="N5231" t="str">
            <v>SG&amp;A</v>
          </cell>
          <cell r="O5231" t="str">
            <v>[No Vendor]</v>
          </cell>
        </row>
        <row r="5232">
          <cell r="D5232">
            <v>238.77</v>
          </cell>
          <cell r="H5232">
            <v>45597</v>
          </cell>
          <cell r="I5232" t="str">
            <v>7040 - Furniture &amp; Fixtures</v>
          </cell>
          <cell r="J5232" t="str">
            <v>Wholesale</v>
          </cell>
          <cell r="K5232" t="str">
            <v>Wholesale</v>
          </cell>
          <cell r="L5232" t="str">
            <v>Depreciation &amp; Amortization</v>
          </cell>
          <cell r="N5232" t="str">
            <v>SG&amp;A</v>
          </cell>
          <cell r="O5232" t="str">
            <v>[No Vendor]</v>
          </cell>
        </row>
        <row r="5233">
          <cell r="D5233">
            <v>0</v>
          </cell>
          <cell r="H5233">
            <v>45597</v>
          </cell>
          <cell r="I5233" t="str">
            <v>7040 - Furniture &amp; Fixtures</v>
          </cell>
          <cell r="J5233">
            <v>0</v>
          </cell>
          <cell r="K5233" t="str">
            <v>Brand Marketing</v>
          </cell>
          <cell r="L5233" t="str">
            <v>Depreciation &amp; Amortization</v>
          </cell>
          <cell r="N5233" t="str">
            <v>SG&amp;A</v>
          </cell>
          <cell r="O5233" t="str">
            <v>[No Vendor]</v>
          </cell>
        </row>
        <row r="5234">
          <cell r="D5234">
            <v>269.64</v>
          </cell>
          <cell r="H5234">
            <v>45597</v>
          </cell>
          <cell r="I5234" t="str">
            <v>7040 - Furniture &amp; Fixtures</v>
          </cell>
          <cell r="J5234">
            <v>0</v>
          </cell>
          <cell r="K5234" t="str">
            <v>Administration</v>
          </cell>
          <cell r="L5234" t="str">
            <v>Depreciation &amp; Amortization</v>
          </cell>
          <cell r="N5234" t="str">
            <v>SG&amp;A</v>
          </cell>
          <cell r="O5234" t="str">
            <v>[No Vendor]</v>
          </cell>
        </row>
        <row r="5235">
          <cell r="D5235">
            <v>289.69</v>
          </cell>
          <cell r="H5235">
            <v>45597</v>
          </cell>
          <cell r="I5235" t="str">
            <v>6055 - Employer Social Security Tax Withheld</v>
          </cell>
          <cell r="J5235">
            <v>0</v>
          </cell>
          <cell r="K5235" t="str">
            <v>Merchandising</v>
          </cell>
          <cell r="L5235" t="str">
            <v>HQ Salaries</v>
          </cell>
          <cell r="N5235" t="str">
            <v>SG&amp;A</v>
          </cell>
          <cell r="O5235" t="str">
            <v>[No Vendor]</v>
          </cell>
        </row>
        <row r="5236">
          <cell r="D5236">
            <v>684.59</v>
          </cell>
          <cell r="H5236">
            <v>45597</v>
          </cell>
          <cell r="I5236" t="str">
            <v>6055 - Employer Social Security Tax Withheld</v>
          </cell>
          <cell r="J5236" t="str">
            <v>Wholesale</v>
          </cell>
          <cell r="K5236" t="str">
            <v>Wholesale</v>
          </cell>
          <cell r="L5236" t="str">
            <v>HQ Salaries</v>
          </cell>
          <cell r="N5236" t="str">
            <v>SG&amp;A</v>
          </cell>
          <cell r="O5236" t="str">
            <v>[No Vendor]</v>
          </cell>
        </row>
        <row r="5237">
          <cell r="D5237">
            <v>729.35</v>
          </cell>
          <cell r="H5237">
            <v>45597</v>
          </cell>
          <cell r="I5237" t="str">
            <v>6055 - Employer Social Security Tax Withheld</v>
          </cell>
          <cell r="J5237">
            <v>0</v>
          </cell>
          <cell r="K5237" t="str">
            <v>Production</v>
          </cell>
          <cell r="L5237" t="str">
            <v>HQ Salaries</v>
          </cell>
          <cell r="N5237" t="str">
            <v>SG&amp;A</v>
          </cell>
          <cell r="O5237" t="str">
            <v>[No Vendor]</v>
          </cell>
        </row>
        <row r="5238">
          <cell r="D5238">
            <v>182.98</v>
          </cell>
          <cell r="H5238">
            <v>45597</v>
          </cell>
          <cell r="I5238" t="str">
            <v>6055 - Employer Social Security Tax Withheld</v>
          </cell>
          <cell r="J5238">
            <v>0</v>
          </cell>
          <cell r="K5238" t="str">
            <v>Brand Marketing</v>
          </cell>
          <cell r="L5238" t="str">
            <v>HQ Salaries</v>
          </cell>
          <cell r="N5238" t="str">
            <v>SG&amp;A</v>
          </cell>
          <cell r="O5238" t="str">
            <v>[No Vendor]</v>
          </cell>
        </row>
        <row r="5239">
          <cell r="D5239">
            <v>591</v>
          </cell>
          <cell r="H5239">
            <v>45597</v>
          </cell>
          <cell r="I5239" t="str">
            <v>6055 - Employer Social Security Tax Withheld</v>
          </cell>
          <cell r="J5239">
            <v>0</v>
          </cell>
          <cell r="K5239" t="str">
            <v>Executive</v>
          </cell>
          <cell r="L5239" t="str">
            <v>HQ Salaries</v>
          </cell>
          <cell r="N5239" t="str">
            <v>SG&amp;A</v>
          </cell>
          <cell r="O5239" t="str">
            <v>[No Vendor]</v>
          </cell>
        </row>
        <row r="5240">
          <cell r="D5240">
            <v>805.05</v>
          </cell>
          <cell r="H5240">
            <v>45597</v>
          </cell>
          <cell r="I5240" t="str">
            <v>6055 - Employer Social Security Tax Withheld</v>
          </cell>
          <cell r="J5240" t="str">
            <v>Ecommerce (US)</v>
          </cell>
          <cell r="K5240" t="str">
            <v>Ecommerce</v>
          </cell>
          <cell r="L5240" t="str">
            <v>HQ Salaries</v>
          </cell>
          <cell r="N5240" t="str">
            <v>SG&amp;A</v>
          </cell>
          <cell r="O5240" t="str">
            <v>[No Vendor]</v>
          </cell>
        </row>
        <row r="5241">
          <cell r="D5241">
            <v>730.89</v>
          </cell>
          <cell r="H5241">
            <v>45597</v>
          </cell>
          <cell r="I5241" t="str">
            <v>6055 - Employer Social Security Tax Withheld</v>
          </cell>
          <cell r="J5241">
            <v>0</v>
          </cell>
          <cell r="K5241" t="str">
            <v>Design</v>
          </cell>
          <cell r="L5241" t="str">
            <v>HQ Salaries</v>
          </cell>
          <cell r="N5241" t="str">
            <v>SG&amp;A</v>
          </cell>
          <cell r="O5241" t="str">
            <v>[No Vendor]</v>
          </cell>
        </row>
        <row r="5242">
          <cell r="D5242">
            <v>944.51</v>
          </cell>
          <cell r="H5242">
            <v>45597</v>
          </cell>
          <cell r="I5242" t="str">
            <v>6055 - Employer Social Security Tax Withheld</v>
          </cell>
          <cell r="J5242">
            <v>0</v>
          </cell>
          <cell r="K5242" t="str">
            <v>Administration</v>
          </cell>
          <cell r="L5242" t="str">
            <v>HQ Salaries</v>
          </cell>
          <cell r="N5242" t="str">
            <v>SG&amp;A</v>
          </cell>
          <cell r="O5242" t="str">
            <v>[No Vendor]</v>
          </cell>
        </row>
        <row r="5243">
          <cell r="D5243">
            <v>17241.669999999998</v>
          </cell>
          <cell r="H5243">
            <v>45597</v>
          </cell>
          <cell r="I5243" t="str">
            <v>5000 - Cost of Goods Sold</v>
          </cell>
          <cell r="J5243" t="str">
            <v>Ecommerce (US)</v>
          </cell>
          <cell r="K5243" t="str">
            <v>Ecommerce</v>
          </cell>
          <cell r="L5243" t="str">
            <v>COGS</v>
          </cell>
          <cell r="N5243" t="str">
            <v>COGS</v>
          </cell>
          <cell r="O5243" t="str">
            <v>[No Vendor]</v>
          </cell>
        </row>
        <row r="5244">
          <cell r="D5244">
            <v>532167.87</v>
          </cell>
          <cell r="H5244">
            <v>45597</v>
          </cell>
          <cell r="I5244" t="str">
            <v>5000 - Cost of Goods Sold</v>
          </cell>
          <cell r="J5244" t="str">
            <v>Ecommerce (US)</v>
          </cell>
          <cell r="K5244" t="str">
            <v>Ecommerce</v>
          </cell>
          <cell r="L5244" t="str">
            <v>COGS</v>
          </cell>
          <cell r="N5244" t="str">
            <v>COGS</v>
          </cell>
          <cell r="O5244" t="str">
            <v>[No Vendor]</v>
          </cell>
        </row>
        <row r="5245">
          <cell r="D5245">
            <v>38331.980000000003</v>
          </cell>
          <cell r="H5245">
            <v>45597</v>
          </cell>
          <cell r="I5245" t="str">
            <v>5000 - Cost of Goods Sold</v>
          </cell>
          <cell r="J5245" t="str">
            <v>Ecommerce (EU)</v>
          </cell>
          <cell r="K5245" t="str">
            <v>Ecommerce</v>
          </cell>
          <cell r="L5245" t="str">
            <v>COGS</v>
          </cell>
          <cell r="N5245" t="str">
            <v>COGS</v>
          </cell>
          <cell r="O5245" t="str">
            <v>[No Vendor]</v>
          </cell>
        </row>
        <row r="5246">
          <cell r="D5246">
            <v>-866.45</v>
          </cell>
          <cell r="H5246">
            <v>45597</v>
          </cell>
          <cell r="I5246" t="str">
            <v>5000 - Cost of Goods Sold</v>
          </cell>
          <cell r="J5246" t="str">
            <v>Wholesale</v>
          </cell>
          <cell r="K5246" t="str">
            <v>Wholesale</v>
          </cell>
          <cell r="L5246" t="str">
            <v>COGS</v>
          </cell>
          <cell r="N5246" t="str">
            <v>COGS</v>
          </cell>
          <cell r="O5246" t="str">
            <v>[No Vendor]</v>
          </cell>
        </row>
        <row r="5247">
          <cell r="D5247">
            <v>22976.62</v>
          </cell>
          <cell r="H5247">
            <v>45597</v>
          </cell>
          <cell r="I5247" t="str">
            <v>5000 - Cost of Goods Sold</v>
          </cell>
          <cell r="J5247" t="str">
            <v>Wholesale</v>
          </cell>
          <cell r="K5247" t="str">
            <v>Wholesale</v>
          </cell>
          <cell r="L5247" t="str">
            <v>COGS</v>
          </cell>
          <cell r="N5247" t="str">
            <v>COGS</v>
          </cell>
          <cell r="O5247" t="str">
            <v>[No Vendor]</v>
          </cell>
        </row>
        <row r="5248">
          <cell r="D5248">
            <v>0</v>
          </cell>
          <cell r="H5248">
            <v>45597</v>
          </cell>
          <cell r="I5248" t="str">
            <v>8000 - Interest Income</v>
          </cell>
          <cell r="J5248">
            <v>0</v>
          </cell>
          <cell r="K5248" t="str">
            <v>Licensing</v>
          </cell>
          <cell r="L5248" t="str">
            <v>Other Income (BTL)</v>
          </cell>
          <cell r="N5248" t="str">
            <v>BTL</v>
          </cell>
          <cell r="O5248" t="str">
            <v>[No Vendor]</v>
          </cell>
        </row>
        <row r="5249">
          <cell r="D5249">
            <v>35.979999999999997</v>
          </cell>
          <cell r="H5249">
            <v>45597</v>
          </cell>
          <cell r="I5249" t="str">
            <v>6487 - Interest Expense</v>
          </cell>
          <cell r="J5249">
            <v>0</v>
          </cell>
          <cell r="K5249" t="str">
            <v>Administration</v>
          </cell>
          <cell r="L5249" t="str">
            <v>Interest</v>
          </cell>
          <cell r="N5249" t="str">
            <v>BTL</v>
          </cell>
          <cell r="O5249" t="str">
            <v>[No Vendor]</v>
          </cell>
        </row>
        <row r="5250">
          <cell r="D5250">
            <v>8571.14</v>
          </cell>
          <cell r="H5250">
            <v>45597</v>
          </cell>
          <cell r="I5250" t="str">
            <v>6487 - Interest Expense</v>
          </cell>
          <cell r="J5250">
            <v>0</v>
          </cell>
          <cell r="K5250" t="str">
            <v>Administration</v>
          </cell>
          <cell r="L5250" t="str">
            <v>Interest</v>
          </cell>
          <cell r="N5250" t="str">
            <v>BTL</v>
          </cell>
          <cell r="O5250" t="str">
            <v>[No Vendor]</v>
          </cell>
        </row>
        <row r="5251">
          <cell r="D5251">
            <v>3780.82</v>
          </cell>
          <cell r="H5251">
            <v>45597</v>
          </cell>
          <cell r="I5251" t="str">
            <v>6487 - Interest Expense</v>
          </cell>
          <cell r="J5251">
            <v>0</v>
          </cell>
          <cell r="K5251" t="str">
            <v>Administration</v>
          </cell>
          <cell r="L5251" t="str">
            <v>Interest</v>
          </cell>
          <cell r="N5251" t="str">
            <v>BTL</v>
          </cell>
          <cell r="O5251" t="str">
            <v>[No Vendor]</v>
          </cell>
        </row>
        <row r="5252">
          <cell r="D5252">
            <v>14745.21</v>
          </cell>
          <cell r="H5252">
            <v>45597</v>
          </cell>
          <cell r="I5252" t="str">
            <v>6487 - Interest Expense</v>
          </cell>
          <cell r="J5252">
            <v>0</v>
          </cell>
          <cell r="K5252" t="str">
            <v>Administration</v>
          </cell>
          <cell r="L5252" t="str">
            <v>Interest</v>
          </cell>
          <cell r="N5252" t="str">
            <v>BTL</v>
          </cell>
          <cell r="O5252" t="str">
            <v>[No Vendor]</v>
          </cell>
        </row>
        <row r="5253">
          <cell r="D5253">
            <v>5671.23</v>
          </cell>
          <cell r="H5253">
            <v>45597</v>
          </cell>
          <cell r="I5253" t="str">
            <v>6487 - Interest Expense</v>
          </cell>
          <cell r="J5253">
            <v>0</v>
          </cell>
          <cell r="K5253" t="str">
            <v>Administration</v>
          </cell>
          <cell r="L5253" t="str">
            <v>Interest</v>
          </cell>
          <cell r="N5253" t="str">
            <v>BTL</v>
          </cell>
          <cell r="O5253" t="str">
            <v>[No Vendor]</v>
          </cell>
        </row>
        <row r="5254">
          <cell r="D5254">
            <v>4158.8999999999996</v>
          </cell>
          <cell r="H5254">
            <v>45597</v>
          </cell>
          <cell r="I5254" t="str">
            <v>6487 - Interest Expense</v>
          </cell>
          <cell r="J5254">
            <v>0</v>
          </cell>
          <cell r="K5254" t="str">
            <v>Administration</v>
          </cell>
          <cell r="L5254" t="str">
            <v>Interest</v>
          </cell>
          <cell r="N5254" t="str">
            <v>BTL</v>
          </cell>
          <cell r="O5254" t="str">
            <v>[No Vendor]</v>
          </cell>
        </row>
        <row r="5255">
          <cell r="D5255">
            <v>7086.5</v>
          </cell>
          <cell r="H5255">
            <v>45597</v>
          </cell>
          <cell r="I5255" t="str">
            <v>6115 - Airfare</v>
          </cell>
          <cell r="J5255">
            <v>0</v>
          </cell>
          <cell r="K5255" t="str">
            <v>Production</v>
          </cell>
          <cell r="L5255" t="str">
            <v>T&amp;E</v>
          </cell>
          <cell r="N5255" t="str">
            <v>SG&amp;A</v>
          </cell>
          <cell r="O5255" t="str">
            <v>[No Vendor]</v>
          </cell>
        </row>
        <row r="5256">
          <cell r="D5256">
            <v>6448.4</v>
          </cell>
          <cell r="H5256">
            <v>45597</v>
          </cell>
          <cell r="I5256" t="str">
            <v>6115 - Airfare</v>
          </cell>
          <cell r="J5256">
            <v>0</v>
          </cell>
          <cell r="K5256" t="str">
            <v>Executive</v>
          </cell>
          <cell r="L5256" t="str">
            <v>T&amp;E</v>
          </cell>
          <cell r="N5256" t="str">
            <v>SG&amp;A</v>
          </cell>
          <cell r="O5256" t="str">
            <v>[No Vendor]</v>
          </cell>
        </row>
        <row r="5257">
          <cell r="D5257">
            <v>175</v>
          </cell>
          <cell r="H5257">
            <v>45597</v>
          </cell>
          <cell r="I5257" t="str">
            <v>6420 - Licenses &amp; Membership</v>
          </cell>
          <cell r="J5257">
            <v>0</v>
          </cell>
          <cell r="K5257" t="str">
            <v>Production</v>
          </cell>
          <cell r="L5257" t="str">
            <v>Professional Service</v>
          </cell>
          <cell r="N5257" t="str">
            <v>SG&amp;A</v>
          </cell>
          <cell r="O5257" t="str">
            <v>[No Vendor]</v>
          </cell>
        </row>
        <row r="5258">
          <cell r="D5258">
            <v>2721.88</v>
          </cell>
          <cell r="H5258">
            <v>45597</v>
          </cell>
          <cell r="I5258" t="str">
            <v>6420 - Licenses &amp; Membership</v>
          </cell>
          <cell r="J5258">
            <v>0</v>
          </cell>
          <cell r="K5258" t="str">
            <v>Administration</v>
          </cell>
          <cell r="L5258" t="str">
            <v>Professional Service</v>
          </cell>
          <cell r="N5258" t="str">
            <v>Direct Costs</v>
          </cell>
          <cell r="O5258" t="str">
            <v>Apparel Magic</v>
          </cell>
        </row>
        <row r="5259">
          <cell r="D5259">
            <v>-29236.67</v>
          </cell>
          <cell r="H5259">
            <v>45597</v>
          </cell>
          <cell r="I5259" t="str">
            <v>6320 - Building Rent</v>
          </cell>
          <cell r="J5259">
            <v>0</v>
          </cell>
          <cell r="K5259" t="str">
            <v>Administration</v>
          </cell>
          <cell r="L5259" t="str">
            <v>Rent</v>
          </cell>
          <cell r="N5259" t="str">
            <v>SG&amp;A</v>
          </cell>
          <cell r="O5259" t="str">
            <v>[No Vendor]</v>
          </cell>
        </row>
        <row r="5260">
          <cell r="D5260">
            <v>2861.51</v>
          </cell>
          <cell r="H5260">
            <v>45597</v>
          </cell>
          <cell r="I5260" t="str">
            <v>6375 - Freight Expenses</v>
          </cell>
          <cell r="J5260" t="str">
            <v>Ecommerce (EU)</v>
          </cell>
          <cell r="K5260" t="str">
            <v>Ecommerce</v>
          </cell>
          <cell r="L5260" t="str">
            <v>Freight</v>
          </cell>
          <cell r="N5260" t="str">
            <v>Direct Costs</v>
          </cell>
          <cell r="O5260" t="str">
            <v>Global E</v>
          </cell>
        </row>
        <row r="5261">
          <cell r="D5261">
            <v>467.78</v>
          </cell>
          <cell r="H5261">
            <v>45597</v>
          </cell>
          <cell r="I5261" t="str">
            <v>6375 - Freight Expenses</v>
          </cell>
          <cell r="J5261" t="str">
            <v>Ecommerce (US)</v>
          </cell>
          <cell r="K5261" t="str">
            <v>Ecommerce</v>
          </cell>
          <cell r="L5261" t="str">
            <v>Freight</v>
          </cell>
          <cell r="N5261" t="str">
            <v>Direct Costs</v>
          </cell>
          <cell r="O5261" t="str">
            <v>Amazon</v>
          </cell>
        </row>
        <row r="5262">
          <cell r="D5262">
            <v>15.83</v>
          </cell>
          <cell r="H5262">
            <v>45597</v>
          </cell>
          <cell r="I5262" t="str">
            <v>7030 - Plant Machinery &amp; Equipment</v>
          </cell>
          <cell r="J5262">
            <v>0</v>
          </cell>
          <cell r="K5262" t="str">
            <v>Production</v>
          </cell>
          <cell r="L5262" t="str">
            <v>Depreciation &amp; Amortization</v>
          </cell>
          <cell r="N5262" t="str">
            <v>SG&amp;A</v>
          </cell>
          <cell r="O5262" t="str">
            <v>[No Vendor]</v>
          </cell>
        </row>
        <row r="5263">
          <cell r="D5263">
            <v>14.15</v>
          </cell>
          <cell r="H5263">
            <v>45597</v>
          </cell>
          <cell r="I5263" t="str">
            <v>7030 - Plant Machinery &amp; Equipment</v>
          </cell>
          <cell r="J5263">
            <v>0</v>
          </cell>
          <cell r="K5263" t="str">
            <v>Administration</v>
          </cell>
          <cell r="L5263" t="str">
            <v>Depreciation &amp; Amortization</v>
          </cell>
          <cell r="N5263" t="str">
            <v>SG&amp;A</v>
          </cell>
          <cell r="O5263" t="str">
            <v>[No Vendor]</v>
          </cell>
        </row>
        <row r="5264">
          <cell r="D5264">
            <v>-32.46</v>
          </cell>
          <cell r="H5264">
            <v>45597</v>
          </cell>
          <cell r="I5264" t="str">
            <v>6040 - Employer Paid Benefits</v>
          </cell>
          <cell r="J5264" t="str">
            <v>Wholesale</v>
          </cell>
          <cell r="K5264" t="str">
            <v>Wholesale</v>
          </cell>
          <cell r="L5264" t="str">
            <v>HQ Salaries</v>
          </cell>
          <cell r="N5264" t="str">
            <v>SG&amp;A</v>
          </cell>
          <cell r="O5264" t="str">
            <v>[No Vendor]</v>
          </cell>
        </row>
        <row r="5265">
          <cell r="D5265">
            <v>-142.81</v>
          </cell>
          <cell r="H5265">
            <v>45597</v>
          </cell>
          <cell r="I5265" t="str">
            <v>6040 - Employer Paid Benefits</v>
          </cell>
          <cell r="J5265">
            <v>0</v>
          </cell>
          <cell r="K5265" t="str">
            <v>Production</v>
          </cell>
          <cell r="L5265" t="str">
            <v>HQ Salaries</v>
          </cell>
          <cell r="N5265" t="str">
            <v>SG&amp;A</v>
          </cell>
          <cell r="O5265" t="str">
            <v>[No Vendor]</v>
          </cell>
        </row>
        <row r="5266">
          <cell r="D5266">
            <v>-11.29</v>
          </cell>
          <cell r="H5266">
            <v>45597</v>
          </cell>
          <cell r="I5266" t="str">
            <v>6040 - Employer Paid Benefits</v>
          </cell>
          <cell r="J5266">
            <v>0</v>
          </cell>
          <cell r="K5266" t="str">
            <v>Brand Marketing</v>
          </cell>
          <cell r="L5266" t="str">
            <v>HQ Salaries</v>
          </cell>
          <cell r="N5266" t="str">
            <v>SG&amp;A</v>
          </cell>
          <cell r="O5266" t="str">
            <v>[No Vendor]</v>
          </cell>
        </row>
        <row r="5267">
          <cell r="D5267">
            <v>-117.14</v>
          </cell>
          <cell r="H5267">
            <v>45597</v>
          </cell>
          <cell r="I5267" t="str">
            <v>6040 - Employer Paid Benefits</v>
          </cell>
          <cell r="J5267">
            <v>0</v>
          </cell>
          <cell r="K5267" t="str">
            <v>Executive</v>
          </cell>
          <cell r="L5267" t="str">
            <v>HQ Salaries</v>
          </cell>
          <cell r="N5267" t="str">
            <v>SG&amp;A</v>
          </cell>
          <cell r="O5267" t="str">
            <v>[No Vendor]</v>
          </cell>
        </row>
        <row r="5268">
          <cell r="D5268">
            <v>-60.93</v>
          </cell>
          <cell r="H5268">
            <v>45597</v>
          </cell>
          <cell r="I5268" t="str">
            <v>6040 - Employer Paid Benefits</v>
          </cell>
          <cell r="J5268" t="str">
            <v>Ecommerce (US)</v>
          </cell>
          <cell r="K5268" t="str">
            <v>Ecommerce</v>
          </cell>
          <cell r="L5268" t="str">
            <v>HQ Salaries</v>
          </cell>
          <cell r="N5268" t="str">
            <v>SG&amp;A</v>
          </cell>
          <cell r="O5268" t="str">
            <v>[No Vendor]</v>
          </cell>
        </row>
        <row r="5269">
          <cell r="D5269">
            <v>-160.55000000000001</v>
          </cell>
          <cell r="H5269">
            <v>45597</v>
          </cell>
          <cell r="I5269" t="str">
            <v>6040 - Employer Paid Benefits</v>
          </cell>
          <cell r="J5269">
            <v>0</v>
          </cell>
          <cell r="K5269" t="str">
            <v>Design</v>
          </cell>
          <cell r="L5269" t="str">
            <v>HQ Salaries</v>
          </cell>
          <cell r="N5269" t="str">
            <v>SG&amp;A</v>
          </cell>
          <cell r="O5269" t="str">
            <v>[No Vendor]</v>
          </cell>
        </row>
        <row r="5270">
          <cell r="D5270">
            <v>-100.2</v>
          </cell>
          <cell r="H5270">
            <v>45597</v>
          </cell>
          <cell r="I5270" t="str">
            <v>6040 - Employer Paid Benefits</v>
          </cell>
          <cell r="J5270">
            <v>0</v>
          </cell>
          <cell r="K5270" t="str">
            <v>Administration</v>
          </cell>
          <cell r="L5270" t="str">
            <v>HQ Salaries</v>
          </cell>
          <cell r="N5270" t="str">
            <v>SG&amp;A</v>
          </cell>
          <cell r="O5270" t="str">
            <v>[No Vendor]</v>
          </cell>
        </row>
        <row r="5271">
          <cell r="D5271">
            <v>2575</v>
          </cell>
          <cell r="H5271">
            <v>45597</v>
          </cell>
          <cell r="I5271" t="str">
            <v>6005 - Salaries</v>
          </cell>
          <cell r="J5271">
            <v>0</v>
          </cell>
          <cell r="K5271" t="str">
            <v>Merchandising</v>
          </cell>
          <cell r="L5271" t="str">
            <v>HQ Salaries</v>
          </cell>
          <cell r="N5271" t="str">
            <v>SG&amp;A</v>
          </cell>
          <cell r="O5271" t="str">
            <v>[No Vendor]</v>
          </cell>
        </row>
        <row r="5272">
          <cell r="D5272">
            <v>5961.54</v>
          </cell>
          <cell r="H5272">
            <v>45597</v>
          </cell>
          <cell r="I5272" t="str">
            <v>6005 - Salaries</v>
          </cell>
          <cell r="J5272" t="str">
            <v>Wholesale</v>
          </cell>
          <cell r="K5272" t="str">
            <v>Wholesale</v>
          </cell>
          <cell r="L5272" t="str">
            <v>HQ Salaries</v>
          </cell>
          <cell r="N5272" t="str">
            <v>SG&amp;A</v>
          </cell>
          <cell r="O5272" t="str">
            <v>[No Vendor]</v>
          </cell>
        </row>
        <row r="5273">
          <cell r="D5273">
            <v>9994.25</v>
          </cell>
          <cell r="H5273">
            <v>45597</v>
          </cell>
          <cell r="I5273" t="str">
            <v>6005 - Salaries</v>
          </cell>
          <cell r="J5273">
            <v>0</v>
          </cell>
          <cell r="K5273" t="str">
            <v>Production</v>
          </cell>
          <cell r="L5273" t="str">
            <v>HQ Salaries</v>
          </cell>
          <cell r="N5273" t="str">
            <v>SG&amp;A</v>
          </cell>
          <cell r="O5273" t="str">
            <v>[No Vendor]</v>
          </cell>
        </row>
        <row r="5274">
          <cell r="D5274">
            <v>1634.62</v>
          </cell>
          <cell r="H5274">
            <v>45597</v>
          </cell>
          <cell r="I5274" t="str">
            <v>6005 - Salaries</v>
          </cell>
          <cell r="J5274">
            <v>0</v>
          </cell>
          <cell r="K5274" t="str">
            <v>Brand Marketing</v>
          </cell>
          <cell r="L5274" t="str">
            <v>HQ Salaries</v>
          </cell>
          <cell r="N5274" t="str">
            <v>SG&amp;A</v>
          </cell>
          <cell r="O5274" t="str">
            <v>[No Vendor]</v>
          </cell>
        </row>
        <row r="5275">
          <cell r="D5275">
            <v>5576.93</v>
          </cell>
          <cell r="H5275">
            <v>45597</v>
          </cell>
          <cell r="I5275" t="str">
            <v>6005 - Salaries</v>
          </cell>
          <cell r="J5275">
            <v>0</v>
          </cell>
          <cell r="K5275" t="str">
            <v>Executive</v>
          </cell>
          <cell r="L5275" t="str">
            <v>HQ Salaries</v>
          </cell>
          <cell r="N5275" t="str">
            <v>SG&amp;A</v>
          </cell>
          <cell r="O5275" t="str">
            <v>[No Vendor]</v>
          </cell>
        </row>
        <row r="5276">
          <cell r="D5276">
            <v>10390.4</v>
          </cell>
          <cell r="H5276">
            <v>45597</v>
          </cell>
          <cell r="I5276" t="str">
            <v>6005 - Salaries</v>
          </cell>
          <cell r="J5276" t="str">
            <v>Ecommerce (US)</v>
          </cell>
          <cell r="K5276" t="str">
            <v>Ecommerce</v>
          </cell>
          <cell r="L5276" t="str">
            <v>HQ Salaries</v>
          </cell>
          <cell r="N5276" t="str">
            <v>SG&amp;A</v>
          </cell>
          <cell r="O5276" t="str">
            <v>[No Vendor]</v>
          </cell>
        </row>
        <row r="5277">
          <cell r="D5277">
            <v>8867.31</v>
          </cell>
          <cell r="H5277">
            <v>45597</v>
          </cell>
          <cell r="I5277" t="str">
            <v>6005 - Salaries</v>
          </cell>
          <cell r="J5277">
            <v>0</v>
          </cell>
          <cell r="K5277" t="str">
            <v>Design</v>
          </cell>
          <cell r="L5277" t="str">
            <v>HQ Salaries</v>
          </cell>
          <cell r="N5277" t="str">
            <v>SG&amp;A</v>
          </cell>
          <cell r="O5277" t="str">
            <v>[No Vendor]</v>
          </cell>
        </row>
        <row r="5278">
          <cell r="D5278">
            <v>12900.21</v>
          </cell>
          <cell r="H5278">
            <v>45597</v>
          </cell>
          <cell r="I5278" t="str">
            <v>6005 - Salaries</v>
          </cell>
          <cell r="J5278">
            <v>0</v>
          </cell>
          <cell r="K5278" t="str">
            <v>Administration</v>
          </cell>
          <cell r="L5278" t="str">
            <v>HQ Salaries</v>
          </cell>
          <cell r="N5278" t="str">
            <v>SG&amp;A</v>
          </cell>
          <cell r="O5278" t="str">
            <v>[No Vendor]</v>
          </cell>
        </row>
        <row r="5279">
          <cell r="D5279">
            <v>0</v>
          </cell>
          <cell r="H5279">
            <v>45597</v>
          </cell>
          <cell r="I5279" t="str">
            <v>4020 - Revenue - Marketing Contribution</v>
          </cell>
          <cell r="J5279">
            <v>0</v>
          </cell>
          <cell r="K5279" t="str">
            <v>Licensing</v>
          </cell>
          <cell r="L5279" t="str">
            <v>License</v>
          </cell>
          <cell r="N5279" t="str">
            <v>Revenue</v>
          </cell>
          <cell r="O5279" t="str">
            <v>[No Vendor]</v>
          </cell>
        </row>
        <row r="5280">
          <cell r="D5280">
            <v>0</v>
          </cell>
          <cell r="H5280">
            <v>45597</v>
          </cell>
          <cell r="I5280" t="str">
            <v>4010 - Revenue - Licensing Fees (Royalties)</v>
          </cell>
          <cell r="J5280">
            <v>0</v>
          </cell>
          <cell r="K5280" t="str">
            <v>Licensing</v>
          </cell>
          <cell r="L5280" t="str">
            <v>License</v>
          </cell>
          <cell r="N5280" t="str">
            <v>Revenue</v>
          </cell>
          <cell r="O5280" t="str">
            <v>[No Vendor]</v>
          </cell>
        </row>
        <row r="5281">
          <cell r="D5281">
            <v>0</v>
          </cell>
          <cell r="H5281">
            <v>45597</v>
          </cell>
          <cell r="I5281" t="str">
            <v>4010 - Revenue - Licensing Fees (Royalties)</v>
          </cell>
          <cell r="J5281">
            <v>0</v>
          </cell>
          <cell r="K5281" t="str">
            <v>Licensing</v>
          </cell>
          <cell r="L5281" t="str">
            <v>License</v>
          </cell>
          <cell r="N5281" t="str">
            <v>Revenue</v>
          </cell>
          <cell r="O5281" t="str">
            <v>[No Vendor]</v>
          </cell>
        </row>
        <row r="5282">
          <cell r="D5282">
            <v>-15533.28</v>
          </cell>
          <cell r="H5282">
            <v>45597</v>
          </cell>
          <cell r="I5282" t="str">
            <v>4010 - Revenue - Licensing Fees (Royalties)</v>
          </cell>
          <cell r="J5282">
            <v>0</v>
          </cell>
          <cell r="K5282" t="str">
            <v>Licensing</v>
          </cell>
          <cell r="L5282" t="str">
            <v>License</v>
          </cell>
          <cell r="N5282" t="str">
            <v>Revenue</v>
          </cell>
          <cell r="O5282" t="str">
            <v>[No Vendor]</v>
          </cell>
        </row>
        <row r="5283">
          <cell r="D5283">
            <v>0</v>
          </cell>
          <cell r="H5283">
            <v>45597</v>
          </cell>
          <cell r="I5283" t="str">
            <v>4010 - Revenue - Licensing Fees (Royalties)</v>
          </cell>
          <cell r="J5283">
            <v>0</v>
          </cell>
          <cell r="K5283" t="str">
            <v>Licensing</v>
          </cell>
          <cell r="L5283" t="str">
            <v>License</v>
          </cell>
          <cell r="N5283" t="str">
            <v>Revenue</v>
          </cell>
          <cell r="O5283" t="str">
            <v>[No Vendor]</v>
          </cell>
        </row>
        <row r="5284">
          <cell r="D5284">
            <v>-41607</v>
          </cell>
          <cell r="H5284">
            <v>45597</v>
          </cell>
          <cell r="I5284" t="str">
            <v>4010 - Revenue - Licensing Fees (Royalties)</v>
          </cell>
          <cell r="J5284">
            <v>0</v>
          </cell>
          <cell r="K5284" t="str">
            <v>Licensing</v>
          </cell>
          <cell r="L5284" t="str">
            <v>License</v>
          </cell>
          <cell r="N5284" t="str">
            <v>Revenue</v>
          </cell>
          <cell r="O5284" t="str">
            <v>[No Vendor]</v>
          </cell>
        </row>
        <row r="5285">
          <cell r="D5285">
            <v>-4166.67</v>
          </cell>
          <cell r="H5285">
            <v>45597</v>
          </cell>
          <cell r="I5285" t="str">
            <v>4010 - Revenue - Licensing Fees (Royalties)</v>
          </cell>
          <cell r="J5285">
            <v>0</v>
          </cell>
          <cell r="K5285" t="str">
            <v>Licensing</v>
          </cell>
          <cell r="L5285" t="str">
            <v>License</v>
          </cell>
          <cell r="N5285" t="str">
            <v>Revenue</v>
          </cell>
          <cell r="O5285" t="str">
            <v>[No Vendor]</v>
          </cell>
        </row>
        <row r="5286">
          <cell r="D5286">
            <v>0</v>
          </cell>
          <cell r="H5286">
            <v>45597</v>
          </cell>
          <cell r="I5286" t="str">
            <v>4010 - Revenue - Licensing Fees (Royalties)</v>
          </cell>
          <cell r="J5286">
            <v>0</v>
          </cell>
          <cell r="K5286" t="str">
            <v>Licensing</v>
          </cell>
          <cell r="L5286" t="str">
            <v>License</v>
          </cell>
          <cell r="N5286" t="str">
            <v>Revenue</v>
          </cell>
          <cell r="O5286" t="str">
            <v>[No Vendor]</v>
          </cell>
        </row>
        <row r="5287">
          <cell r="D5287">
            <v>150.44999999999999</v>
          </cell>
          <cell r="H5287">
            <v>45627</v>
          </cell>
          <cell r="I5287" t="str">
            <v>6040 - Employer Paid Benefits</v>
          </cell>
          <cell r="J5287">
            <v>0</v>
          </cell>
          <cell r="K5287" t="str">
            <v>Administration</v>
          </cell>
          <cell r="L5287" t="str">
            <v>HQ Salaries</v>
          </cell>
          <cell r="N5287" t="str">
            <v>SG&amp;A</v>
          </cell>
          <cell r="O5287" t="str">
            <v>Allied Administrators</v>
          </cell>
        </row>
        <row r="5288">
          <cell r="D5288">
            <v>575</v>
          </cell>
          <cell r="H5288">
            <v>45627</v>
          </cell>
          <cell r="I5288" t="str">
            <v>6380 - Legal &amp; Accounting</v>
          </cell>
          <cell r="J5288">
            <v>0</v>
          </cell>
          <cell r="K5288" t="str">
            <v>Administration</v>
          </cell>
          <cell r="L5288" t="str">
            <v>Professional Service</v>
          </cell>
          <cell r="N5288" t="str">
            <v>SG&amp;A</v>
          </cell>
          <cell r="O5288" t="str">
            <v>Greenwald Doherty LLP</v>
          </cell>
        </row>
        <row r="5289">
          <cell r="D5289">
            <v>446.19</v>
          </cell>
          <cell r="H5289">
            <v>45627</v>
          </cell>
          <cell r="I5289" t="str">
            <v>6340 - Miscellaneous Expense</v>
          </cell>
          <cell r="J5289" t="str">
            <v>Ecommerce (US)</v>
          </cell>
          <cell r="K5289" t="str">
            <v>Ecommerce</v>
          </cell>
          <cell r="L5289" t="str">
            <v>Other</v>
          </cell>
          <cell r="N5289" t="str">
            <v>SG&amp;A</v>
          </cell>
          <cell r="O5289" t="str">
            <v>The Apparel Group American LLC</v>
          </cell>
        </row>
        <row r="5290">
          <cell r="D5290">
            <v>1280.6199999999999</v>
          </cell>
          <cell r="H5290">
            <v>45627</v>
          </cell>
          <cell r="I5290" t="str">
            <v>6385 - Insurance</v>
          </cell>
          <cell r="J5290">
            <v>0</v>
          </cell>
          <cell r="K5290" t="str">
            <v>Administration</v>
          </cell>
          <cell r="L5290" t="str">
            <v>Professional Service</v>
          </cell>
          <cell r="N5290" t="str">
            <v>SG&amp;A</v>
          </cell>
          <cell r="O5290" t="str">
            <v>The Hartford</v>
          </cell>
        </row>
        <row r="5291">
          <cell r="D5291">
            <v>242.29</v>
          </cell>
          <cell r="H5291">
            <v>45627</v>
          </cell>
          <cell r="I5291" t="str">
            <v>6400 - Utilities</v>
          </cell>
          <cell r="J5291">
            <v>0</v>
          </cell>
          <cell r="K5291" t="str">
            <v>Administration</v>
          </cell>
          <cell r="L5291" t="str">
            <v>Other</v>
          </cell>
          <cell r="N5291" t="str">
            <v>SG&amp;A</v>
          </cell>
          <cell r="O5291" t="str">
            <v>Antelope LLC</v>
          </cell>
        </row>
        <row r="5292">
          <cell r="D5292">
            <v>7500</v>
          </cell>
          <cell r="H5292">
            <v>45627</v>
          </cell>
          <cell r="I5292" t="str">
            <v>6225 - Professional Services</v>
          </cell>
          <cell r="J5292">
            <v>0</v>
          </cell>
          <cell r="K5292" t="str">
            <v>Brand Marketing</v>
          </cell>
          <cell r="L5292" t="str">
            <v>Professional Service</v>
          </cell>
          <cell r="N5292" t="str">
            <v>Direct Costs</v>
          </cell>
          <cell r="O5292" t="str">
            <v>PapePR</v>
          </cell>
        </row>
        <row r="5293">
          <cell r="D5293">
            <v>3292</v>
          </cell>
          <cell r="H5293">
            <v>45627</v>
          </cell>
          <cell r="I5293" t="str">
            <v>6225 - Professional Services</v>
          </cell>
          <cell r="J5293">
            <v>0</v>
          </cell>
          <cell r="K5293" t="str">
            <v>Administration</v>
          </cell>
          <cell r="L5293" t="str">
            <v>Professional Service</v>
          </cell>
          <cell r="N5293" t="str">
            <v>Direct Costs</v>
          </cell>
          <cell r="O5293" t="str">
            <v>Enom Solutions, Inc-DBA 3nom</v>
          </cell>
        </row>
        <row r="5294">
          <cell r="D5294">
            <v>12957.12</v>
          </cell>
          <cell r="H5294">
            <v>45627</v>
          </cell>
          <cell r="I5294" t="str">
            <v>6225 - Professional Services</v>
          </cell>
          <cell r="J5294" t="str">
            <v>Ecommerce (US)</v>
          </cell>
          <cell r="K5294" t="str">
            <v>Ecommerce</v>
          </cell>
          <cell r="L5294" t="str">
            <v>Professional Service</v>
          </cell>
          <cell r="N5294" t="str">
            <v>Direct Costs</v>
          </cell>
          <cell r="O5294" t="str">
            <v>Rareview, LLC</v>
          </cell>
        </row>
        <row r="5295">
          <cell r="D5295">
            <v>30113.77</v>
          </cell>
          <cell r="H5295">
            <v>45627</v>
          </cell>
          <cell r="I5295" t="str">
            <v>6320 - Building Rent</v>
          </cell>
          <cell r="J5295">
            <v>0</v>
          </cell>
          <cell r="K5295" t="str">
            <v>Administration</v>
          </cell>
          <cell r="L5295" t="str">
            <v>Rent</v>
          </cell>
          <cell r="N5295" t="str">
            <v>SG&amp;A</v>
          </cell>
          <cell r="O5295" t="str">
            <v>Antelope LLC</v>
          </cell>
        </row>
        <row r="5296">
          <cell r="D5296">
            <v>4738.3</v>
          </cell>
          <cell r="H5296">
            <v>45627</v>
          </cell>
          <cell r="I5296" t="str">
            <v>6040 - Employer Paid Benefits</v>
          </cell>
          <cell r="J5296" t="str">
            <v>Wholesale</v>
          </cell>
          <cell r="K5296" t="str">
            <v>Wholesale</v>
          </cell>
          <cell r="L5296" t="str">
            <v>HQ Salaries</v>
          </cell>
          <cell r="N5296" t="str">
            <v>SG&amp;A</v>
          </cell>
          <cell r="O5296" t="str">
            <v>Excellus Health Plan - Group</v>
          </cell>
        </row>
        <row r="5297">
          <cell r="D5297">
            <v>3839.66</v>
          </cell>
          <cell r="H5297">
            <v>45627</v>
          </cell>
          <cell r="I5297" t="str">
            <v>6040 - Employer Paid Benefits</v>
          </cell>
          <cell r="J5297">
            <v>0</v>
          </cell>
          <cell r="K5297" t="str">
            <v>Production</v>
          </cell>
          <cell r="L5297" t="str">
            <v>HQ Salaries</v>
          </cell>
          <cell r="N5297" t="str">
            <v>SG&amp;A</v>
          </cell>
          <cell r="O5297" t="str">
            <v>Excellus Health Plan - Group</v>
          </cell>
        </row>
        <row r="5298">
          <cell r="D5298">
            <v>816.95</v>
          </cell>
          <cell r="H5298">
            <v>45627</v>
          </cell>
          <cell r="I5298" t="str">
            <v>6040 - Employer Paid Benefits</v>
          </cell>
          <cell r="J5298">
            <v>0</v>
          </cell>
          <cell r="K5298" t="str">
            <v>Merchandising</v>
          </cell>
          <cell r="L5298" t="str">
            <v>HQ Salaries</v>
          </cell>
          <cell r="N5298" t="str">
            <v>SG&amp;A</v>
          </cell>
          <cell r="O5298" t="str">
            <v>Excellus Health Plan - Group</v>
          </cell>
        </row>
        <row r="5299">
          <cell r="D5299">
            <v>816.95</v>
          </cell>
          <cell r="H5299">
            <v>45627</v>
          </cell>
          <cell r="I5299" t="str">
            <v>6040 - Employer Paid Benefits</v>
          </cell>
          <cell r="J5299">
            <v>0</v>
          </cell>
          <cell r="K5299" t="str">
            <v>Brand Marketing</v>
          </cell>
          <cell r="L5299" t="str">
            <v>HQ Salaries</v>
          </cell>
          <cell r="N5299" t="str">
            <v>SG&amp;A</v>
          </cell>
          <cell r="O5299" t="str">
            <v>Excellus Health Plan - Group</v>
          </cell>
        </row>
        <row r="5300">
          <cell r="D5300">
            <v>4656.6000000000004</v>
          </cell>
          <cell r="H5300">
            <v>45627</v>
          </cell>
          <cell r="I5300" t="str">
            <v>6040 - Employer Paid Benefits</v>
          </cell>
          <cell r="J5300">
            <v>0</v>
          </cell>
          <cell r="K5300" t="str">
            <v>Executive</v>
          </cell>
          <cell r="L5300" t="str">
            <v>HQ Salaries</v>
          </cell>
          <cell r="N5300" t="str">
            <v>SG&amp;A</v>
          </cell>
          <cell r="O5300" t="str">
            <v>Excellus Health Plan - Group</v>
          </cell>
        </row>
        <row r="5301">
          <cell r="D5301">
            <v>3145.25</v>
          </cell>
          <cell r="H5301">
            <v>45627</v>
          </cell>
          <cell r="I5301" t="str">
            <v>6040 - Employer Paid Benefits</v>
          </cell>
          <cell r="J5301" t="str">
            <v>Ecommerce (US)</v>
          </cell>
          <cell r="K5301" t="str">
            <v>Ecommerce</v>
          </cell>
          <cell r="L5301" t="str">
            <v>HQ Salaries</v>
          </cell>
          <cell r="N5301" t="str">
            <v>SG&amp;A</v>
          </cell>
          <cell r="O5301" t="str">
            <v>Excellus Health Plan - Group</v>
          </cell>
        </row>
        <row r="5302">
          <cell r="D5302">
            <v>3267.79</v>
          </cell>
          <cell r="H5302">
            <v>45627</v>
          </cell>
          <cell r="I5302" t="str">
            <v>6040 - Employer Paid Benefits</v>
          </cell>
          <cell r="J5302">
            <v>0</v>
          </cell>
          <cell r="K5302" t="str">
            <v>Design</v>
          </cell>
          <cell r="L5302" t="str">
            <v>HQ Salaries</v>
          </cell>
          <cell r="N5302" t="str">
            <v>SG&amp;A</v>
          </cell>
          <cell r="O5302" t="str">
            <v>Excellus Health Plan - Group</v>
          </cell>
        </row>
        <row r="5303">
          <cell r="D5303">
            <v>5351.01</v>
          </cell>
          <cell r="H5303">
            <v>45627</v>
          </cell>
          <cell r="I5303" t="str">
            <v>6040 - Employer Paid Benefits</v>
          </cell>
          <cell r="J5303">
            <v>0</v>
          </cell>
          <cell r="K5303" t="str">
            <v>Administration</v>
          </cell>
          <cell r="L5303" t="str">
            <v>HQ Salaries</v>
          </cell>
          <cell r="N5303" t="str">
            <v>SG&amp;A</v>
          </cell>
          <cell r="O5303" t="str">
            <v>Excellus Health Plan - Group</v>
          </cell>
        </row>
        <row r="5304">
          <cell r="D5304">
            <v>191.18</v>
          </cell>
          <cell r="H5304">
            <v>45627</v>
          </cell>
          <cell r="I5304" t="str">
            <v>6040 - Employer Paid Benefits</v>
          </cell>
          <cell r="J5304" t="str">
            <v>Wholesale</v>
          </cell>
          <cell r="K5304" t="str">
            <v>Wholesale</v>
          </cell>
          <cell r="L5304" t="str">
            <v>HQ Salaries</v>
          </cell>
          <cell r="N5304" t="str">
            <v>SG&amp;A</v>
          </cell>
          <cell r="O5304" t="str">
            <v>United of Omaha Life Insurance Company</v>
          </cell>
        </row>
        <row r="5305">
          <cell r="D5305">
            <v>309.77</v>
          </cell>
          <cell r="H5305">
            <v>45627</v>
          </cell>
          <cell r="I5305" t="str">
            <v>6040 - Employer Paid Benefits</v>
          </cell>
          <cell r="J5305">
            <v>0</v>
          </cell>
          <cell r="K5305" t="str">
            <v>Production</v>
          </cell>
          <cell r="L5305" t="str">
            <v>HQ Salaries</v>
          </cell>
          <cell r="N5305" t="str">
            <v>SG&amp;A</v>
          </cell>
          <cell r="O5305" t="str">
            <v>United of Omaha Life Insurance Company</v>
          </cell>
        </row>
        <row r="5306">
          <cell r="D5306">
            <v>86.43</v>
          </cell>
          <cell r="H5306">
            <v>45627</v>
          </cell>
          <cell r="I5306" t="str">
            <v>6040 - Employer Paid Benefits</v>
          </cell>
          <cell r="J5306">
            <v>0</v>
          </cell>
          <cell r="K5306" t="str">
            <v>Merchandising</v>
          </cell>
          <cell r="L5306" t="str">
            <v>HQ Salaries</v>
          </cell>
          <cell r="N5306" t="str">
            <v>SG&amp;A</v>
          </cell>
          <cell r="O5306" t="str">
            <v>United of Omaha Life Insurance Company</v>
          </cell>
        </row>
        <row r="5307">
          <cell r="D5307">
            <v>47.05</v>
          </cell>
          <cell r="H5307">
            <v>45627</v>
          </cell>
          <cell r="I5307" t="str">
            <v>6040 - Employer Paid Benefits</v>
          </cell>
          <cell r="J5307">
            <v>0</v>
          </cell>
          <cell r="K5307" t="str">
            <v>Brand Marketing</v>
          </cell>
          <cell r="L5307" t="str">
            <v>HQ Salaries</v>
          </cell>
          <cell r="N5307" t="str">
            <v>SG&amp;A</v>
          </cell>
          <cell r="O5307" t="str">
            <v>United of Omaha Life Insurance Company</v>
          </cell>
        </row>
        <row r="5308">
          <cell r="D5308">
            <v>243.56</v>
          </cell>
          <cell r="H5308">
            <v>45627</v>
          </cell>
          <cell r="I5308" t="str">
            <v>6040 - Employer Paid Benefits</v>
          </cell>
          <cell r="J5308">
            <v>0</v>
          </cell>
          <cell r="K5308" t="str">
            <v>Executive</v>
          </cell>
          <cell r="L5308" t="str">
            <v>HQ Salaries</v>
          </cell>
          <cell r="N5308" t="str">
            <v>SG&amp;A</v>
          </cell>
          <cell r="O5308" t="str">
            <v>United of Omaha Life Insurance Company</v>
          </cell>
        </row>
        <row r="5309">
          <cell r="D5309">
            <v>173.02</v>
          </cell>
          <cell r="H5309">
            <v>45627</v>
          </cell>
          <cell r="I5309" t="str">
            <v>6040 - Employer Paid Benefits</v>
          </cell>
          <cell r="J5309" t="str">
            <v>Ecommerce (US)</v>
          </cell>
          <cell r="K5309" t="str">
            <v>Ecommerce</v>
          </cell>
          <cell r="L5309" t="str">
            <v>HQ Salaries</v>
          </cell>
          <cell r="N5309" t="str">
            <v>SG&amp;A</v>
          </cell>
          <cell r="O5309" t="str">
            <v>United of Omaha Life Insurance Company</v>
          </cell>
        </row>
        <row r="5310">
          <cell r="D5310">
            <v>223.89</v>
          </cell>
          <cell r="H5310">
            <v>45627</v>
          </cell>
          <cell r="I5310" t="str">
            <v>6040 - Employer Paid Benefits</v>
          </cell>
          <cell r="J5310">
            <v>0</v>
          </cell>
          <cell r="K5310" t="str">
            <v>Design</v>
          </cell>
          <cell r="L5310" t="str">
            <v>HQ Salaries</v>
          </cell>
          <cell r="N5310" t="str">
            <v>SG&amp;A</v>
          </cell>
          <cell r="O5310" t="str">
            <v>United of Omaha Life Insurance Company</v>
          </cell>
        </row>
        <row r="5311">
          <cell r="D5311">
            <v>446.07</v>
          </cell>
          <cell r="H5311">
            <v>45627</v>
          </cell>
          <cell r="I5311" t="str">
            <v>6040 - Employer Paid Benefits</v>
          </cell>
          <cell r="J5311">
            <v>0</v>
          </cell>
          <cell r="K5311" t="str">
            <v>Administration</v>
          </cell>
          <cell r="L5311" t="str">
            <v>HQ Salaries</v>
          </cell>
          <cell r="N5311" t="str">
            <v>SG&amp;A</v>
          </cell>
          <cell r="O5311" t="str">
            <v>United of Omaha Life Insurance Company</v>
          </cell>
        </row>
        <row r="5312">
          <cell r="D5312">
            <v>181.41</v>
          </cell>
          <cell r="H5312">
            <v>45627</v>
          </cell>
          <cell r="I5312" t="str">
            <v>6040 - Employer Paid Benefits</v>
          </cell>
          <cell r="J5312" t="str">
            <v>Wholesale</v>
          </cell>
          <cell r="K5312" t="str">
            <v>Wholesale</v>
          </cell>
          <cell r="L5312" t="str">
            <v>HQ Salaries</v>
          </cell>
          <cell r="N5312" t="str">
            <v>SG&amp;A</v>
          </cell>
          <cell r="O5312" t="str">
            <v>Allied Administrators</v>
          </cell>
        </row>
        <row r="5313">
          <cell r="D5313">
            <v>125.91</v>
          </cell>
          <cell r="H5313">
            <v>45627</v>
          </cell>
          <cell r="I5313" t="str">
            <v>6040 - Employer Paid Benefits</v>
          </cell>
          <cell r="J5313">
            <v>0</v>
          </cell>
          <cell r="K5313" t="str">
            <v>Production</v>
          </cell>
          <cell r="L5313" t="str">
            <v>HQ Salaries</v>
          </cell>
          <cell r="N5313" t="str">
            <v>SG&amp;A</v>
          </cell>
          <cell r="O5313" t="str">
            <v>Allied Administrators</v>
          </cell>
        </row>
        <row r="5314">
          <cell r="D5314">
            <v>24.54</v>
          </cell>
          <cell r="H5314">
            <v>45627</v>
          </cell>
          <cell r="I5314" t="str">
            <v>6040 - Employer Paid Benefits</v>
          </cell>
          <cell r="J5314">
            <v>0</v>
          </cell>
          <cell r="K5314" t="str">
            <v>Merchandising</v>
          </cell>
          <cell r="L5314" t="str">
            <v>HQ Salaries</v>
          </cell>
          <cell r="N5314" t="str">
            <v>SG&amp;A</v>
          </cell>
          <cell r="O5314" t="str">
            <v>Allied Administrators</v>
          </cell>
        </row>
        <row r="5315">
          <cell r="D5315">
            <v>76.83</v>
          </cell>
          <cell r="H5315">
            <v>45627</v>
          </cell>
          <cell r="I5315" t="str">
            <v>6040 - Employer Paid Benefits</v>
          </cell>
          <cell r="J5315" t="str">
            <v>Ecommerce (US)</v>
          </cell>
          <cell r="K5315" t="str">
            <v>Ecommerce</v>
          </cell>
          <cell r="L5315" t="str">
            <v>HQ Salaries</v>
          </cell>
          <cell r="N5315" t="str">
            <v>SG&amp;A</v>
          </cell>
          <cell r="O5315" t="str">
            <v>Allied Administrators</v>
          </cell>
        </row>
        <row r="5316">
          <cell r="D5316">
            <v>218.7</v>
          </cell>
          <cell r="H5316">
            <v>45627</v>
          </cell>
          <cell r="I5316" t="str">
            <v>6040 - Employer Paid Benefits</v>
          </cell>
          <cell r="J5316">
            <v>0</v>
          </cell>
          <cell r="K5316" t="str">
            <v>Executive</v>
          </cell>
          <cell r="L5316" t="str">
            <v>HQ Salaries</v>
          </cell>
          <cell r="N5316" t="str">
            <v>SG&amp;A</v>
          </cell>
          <cell r="O5316" t="str">
            <v>Allied Administrators</v>
          </cell>
        </row>
        <row r="5317">
          <cell r="D5317">
            <v>101.37</v>
          </cell>
          <cell r="H5317">
            <v>45627</v>
          </cell>
          <cell r="I5317" t="str">
            <v>6040 - Employer Paid Benefits</v>
          </cell>
          <cell r="J5317">
            <v>0</v>
          </cell>
          <cell r="K5317" t="str">
            <v>Design</v>
          </cell>
          <cell r="L5317" t="str">
            <v>HQ Salaries</v>
          </cell>
          <cell r="N5317" t="str">
            <v>SG&amp;A</v>
          </cell>
          <cell r="O5317" t="str">
            <v>Allied Administrators</v>
          </cell>
        </row>
        <row r="5318">
          <cell r="D5318">
            <v>994</v>
          </cell>
          <cell r="H5318">
            <v>45627</v>
          </cell>
          <cell r="I5318" t="str">
            <v>6005 - Salaries</v>
          </cell>
          <cell r="J5318" t="str">
            <v>Wholesale</v>
          </cell>
          <cell r="K5318" t="str">
            <v>Wholesale</v>
          </cell>
          <cell r="L5318" t="str">
            <v>HQ Salaries</v>
          </cell>
          <cell r="N5318" t="str">
            <v>SG&amp;A</v>
          </cell>
          <cell r="O5318" t="str">
            <v>[No Vendor]</v>
          </cell>
        </row>
        <row r="5319">
          <cell r="D5319">
            <v>-200000</v>
          </cell>
          <cell r="H5319">
            <v>45627</v>
          </cell>
          <cell r="I5319" t="str">
            <v>8700 - Other Expense</v>
          </cell>
          <cell r="J5319">
            <v>0</v>
          </cell>
          <cell r="K5319" t="str">
            <v>Administration</v>
          </cell>
          <cell r="L5319" t="str">
            <v>Other Expense</v>
          </cell>
          <cell r="N5319" t="str">
            <v>BTL</v>
          </cell>
          <cell r="O5319" t="str">
            <v>[No Vendor]</v>
          </cell>
        </row>
        <row r="5320">
          <cell r="D5320">
            <v>-25961.67</v>
          </cell>
          <cell r="H5320">
            <v>45627</v>
          </cell>
          <cell r="I5320" t="str">
            <v>5001 - Cost of Goods Sold - Other</v>
          </cell>
          <cell r="J5320" t="str">
            <v>Ecommerce (EU)</v>
          </cell>
          <cell r="K5320" t="str">
            <v>Ecommerce</v>
          </cell>
          <cell r="L5320" t="str">
            <v>Other COGS</v>
          </cell>
          <cell r="N5320" t="str">
            <v>COGS</v>
          </cell>
          <cell r="O5320" t="str">
            <v>[No Vendor]</v>
          </cell>
        </row>
        <row r="5321">
          <cell r="D5321">
            <v>0</v>
          </cell>
          <cell r="H5321">
            <v>45627</v>
          </cell>
          <cell r="I5321" t="str">
            <v>5001 - Cost of Goods Sold - Other</v>
          </cell>
          <cell r="J5321" t="str">
            <v>Ecommerce (EU)</v>
          </cell>
          <cell r="K5321" t="str">
            <v>Ecommerce</v>
          </cell>
          <cell r="L5321" t="str">
            <v>Other COGS</v>
          </cell>
          <cell r="N5321" t="str">
            <v>COGS</v>
          </cell>
          <cell r="O5321" t="str">
            <v>[No Vendor]</v>
          </cell>
        </row>
        <row r="5322">
          <cell r="D5322">
            <v>16954.87</v>
          </cell>
          <cell r="H5322">
            <v>45627</v>
          </cell>
          <cell r="I5322" t="str">
            <v>4052 - Sales Revenue - Wholesale (US)</v>
          </cell>
          <cell r="J5322" t="str">
            <v>Wholesale</v>
          </cell>
          <cell r="K5322" t="str">
            <v>Wholesale</v>
          </cell>
          <cell r="L5322" t="str">
            <v>Wholesale</v>
          </cell>
          <cell r="N5322" t="str">
            <v>Revenue</v>
          </cell>
          <cell r="O5322" t="str">
            <v>[No Vendor]</v>
          </cell>
        </row>
        <row r="5323">
          <cell r="D5323">
            <v>0</v>
          </cell>
          <cell r="H5323">
            <v>45627</v>
          </cell>
          <cell r="I5323" t="str">
            <v>6035 - Severance Expense</v>
          </cell>
          <cell r="J5323" t="str">
            <v>Wholesale</v>
          </cell>
          <cell r="K5323" t="str">
            <v>Wholesale</v>
          </cell>
          <cell r="L5323" t="str">
            <v>HQ Salaries</v>
          </cell>
          <cell r="N5323" t="str">
            <v>SG&amp;A</v>
          </cell>
          <cell r="O5323" t="str">
            <v>[No Vendor]</v>
          </cell>
        </row>
        <row r="5324">
          <cell r="D5324">
            <v>-218.4</v>
          </cell>
          <cell r="H5324">
            <v>45627</v>
          </cell>
          <cell r="I5324" t="str">
            <v>6377 - Order Processing Expenses (New)</v>
          </cell>
          <cell r="J5324" t="str">
            <v>Ecommerce (EU)</v>
          </cell>
          <cell r="K5324" t="str">
            <v>Ecommerce</v>
          </cell>
          <cell r="L5324" t="str">
            <v>Order Processing</v>
          </cell>
          <cell r="N5324" t="str">
            <v>Direct Costs</v>
          </cell>
          <cell r="O5324" t="str">
            <v>[No Vendor]</v>
          </cell>
        </row>
        <row r="5325">
          <cell r="D5325">
            <v>0</v>
          </cell>
          <cell r="H5325">
            <v>45627</v>
          </cell>
          <cell r="I5325" t="str">
            <v>6377 - Order Processing Expenses (New)</v>
          </cell>
          <cell r="J5325" t="str">
            <v>Ecommerce (EU)</v>
          </cell>
          <cell r="K5325" t="str">
            <v>Ecommerce</v>
          </cell>
          <cell r="L5325" t="str">
            <v>Order Processing</v>
          </cell>
          <cell r="N5325" t="str">
            <v>Direct Costs</v>
          </cell>
          <cell r="O5325" t="str">
            <v>[No Vendor]</v>
          </cell>
        </row>
        <row r="5326">
          <cell r="D5326">
            <v>0</v>
          </cell>
          <cell r="H5326">
            <v>45627</v>
          </cell>
          <cell r="I5326" t="str">
            <v>6205 - Contractors</v>
          </cell>
          <cell r="J5326">
            <v>0</v>
          </cell>
          <cell r="K5326" t="str">
            <v>Brand Marketing</v>
          </cell>
          <cell r="L5326" t="str">
            <v>HQ Salaries</v>
          </cell>
          <cell r="N5326" t="str">
            <v>SG&amp;A</v>
          </cell>
          <cell r="O5326" t="str">
            <v>[No Vendor]</v>
          </cell>
        </row>
        <row r="5327">
          <cell r="D5327">
            <v>0</v>
          </cell>
          <cell r="H5327">
            <v>45627</v>
          </cell>
          <cell r="I5327" t="str">
            <v>6205 - Contractors</v>
          </cell>
          <cell r="J5327" t="str">
            <v>Ecommerce (US)</v>
          </cell>
          <cell r="K5327" t="str">
            <v>Ecommerce</v>
          </cell>
          <cell r="L5327" t="str">
            <v>HQ Salaries</v>
          </cell>
          <cell r="N5327" t="str">
            <v>SG&amp;A</v>
          </cell>
          <cell r="O5327" t="str">
            <v>[No Vendor]</v>
          </cell>
        </row>
        <row r="5328">
          <cell r="D5328">
            <v>-5325</v>
          </cell>
          <cell r="H5328">
            <v>45627</v>
          </cell>
          <cell r="I5328" t="str">
            <v>6205 - Contractors</v>
          </cell>
          <cell r="J5328" t="str">
            <v>Ecommerce (US)</v>
          </cell>
          <cell r="K5328" t="str">
            <v>Ecommerce</v>
          </cell>
          <cell r="L5328" t="str">
            <v>HQ Salaries</v>
          </cell>
          <cell r="N5328" t="str">
            <v>SG&amp;A</v>
          </cell>
          <cell r="O5328" t="str">
            <v>[No Vendor]</v>
          </cell>
        </row>
        <row r="5329">
          <cell r="D5329">
            <v>-9838.7999999999993</v>
          </cell>
          <cell r="H5329">
            <v>45627</v>
          </cell>
          <cell r="I5329" t="str">
            <v>6205 - Contractors</v>
          </cell>
          <cell r="J5329" t="str">
            <v>Ecommerce (US)</v>
          </cell>
          <cell r="K5329" t="str">
            <v>Ecommerce</v>
          </cell>
          <cell r="L5329" t="str">
            <v>HQ Salaries</v>
          </cell>
          <cell r="N5329" t="str">
            <v>SG&amp;A</v>
          </cell>
          <cell r="O5329" t="str">
            <v>[No Vendor]</v>
          </cell>
        </row>
        <row r="5330">
          <cell r="D5330">
            <v>-10736.4</v>
          </cell>
          <cell r="H5330">
            <v>45627</v>
          </cell>
          <cell r="I5330" t="str">
            <v>6205 - Contractors</v>
          </cell>
          <cell r="J5330" t="str">
            <v>Ecommerce (US)</v>
          </cell>
          <cell r="K5330" t="str">
            <v>Ecommerce</v>
          </cell>
          <cell r="L5330" t="str">
            <v>HQ Salaries</v>
          </cell>
          <cell r="N5330" t="str">
            <v>SG&amp;A</v>
          </cell>
          <cell r="O5330" t="str">
            <v>[No Vendor]</v>
          </cell>
        </row>
        <row r="5331">
          <cell r="D5331">
            <v>-5737.5</v>
          </cell>
          <cell r="H5331">
            <v>45627</v>
          </cell>
          <cell r="I5331" t="str">
            <v>6205 - Contractors</v>
          </cell>
          <cell r="J5331" t="str">
            <v>Ecommerce (US)</v>
          </cell>
          <cell r="K5331" t="str">
            <v>Ecommerce</v>
          </cell>
          <cell r="L5331" t="str">
            <v>HQ Salaries</v>
          </cell>
          <cell r="N5331" t="str">
            <v>SG&amp;A</v>
          </cell>
          <cell r="O5331" t="str">
            <v>[No Vendor]</v>
          </cell>
        </row>
        <row r="5332">
          <cell r="D5332">
            <v>-6791.68</v>
          </cell>
          <cell r="H5332">
            <v>45627</v>
          </cell>
          <cell r="I5332" t="str">
            <v>6450 - Bank &amp; Other Fees</v>
          </cell>
          <cell r="J5332" t="str">
            <v>Ecommerce (EU)</v>
          </cell>
          <cell r="K5332" t="str">
            <v>Ecommerce</v>
          </cell>
          <cell r="L5332" t="str">
            <v>Professional Service</v>
          </cell>
          <cell r="N5332" t="str">
            <v>Direct Costs</v>
          </cell>
          <cell r="O5332" t="str">
            <v>[No Vendor]</v>
          </cell>
        </row>
        <row r="5333">
          <cell r="D5333">
            <v>14.78</v>
          </cell>
          <cell r="H5333">
            <v>45627</v>
          </cell>
          <cell r="I5333" t="str">
            <v>6385 - Insurance</v>
          </cell>
          <cell r="J5333">
            <v>0</v>
          </cell>
          <cell r="K5333" t="str">
            <v>Administration</v>
          </cell>
          <cell r="L5333" t="str">
            <v>Professional Service</v>
          </cell>
          <cell r="N5333" t="str">
            <v>SG&amp;A</v>
          </cell>
          <cell r="O5333" t="str">
            <v>[No Vendor]</v>
          </cell>
        </row>
        <row r="5334">
          <cell r="D5334">
            <v>6.7</v>
          </cell>
          <cell r="H5334">
            <v>45627</v>
          </cell>
          <cell r="I5334" t="str">
            <v>6385 - Insurance</v>
          </cell>
          <cell r="J5334">
            <v>0</v>
          </cell>
          <cell r="K5334" t="str">
            <v>Administration</v>
          </cell>
          <cell r="L5334" t="str">
            <v>Professional Service</v>
          </cell>
          <cell r="N5334" t="str">
            <v>SG&amp;A</v>
          </cell>
          <cell r="O5334" t="str">
            <v>[No Vendor]</v>
          </cell>
        </row>
        <row r="5335">
          <cell r="D5335">
            <v>0.6</v>
          </cell>
          <cell r="H5335">
            <v>45627</v>
          </cell>
          <cell r="I5335" t="str">
            <v>6385 - Insurance</v>
          </cell>
          <cell r="J5335">
            <v>0</v>
          </cell>
          <cell r="K5335" t="str">
            <v>Administration</v>
          </cell>
          <cell r="L5335" t="str">
            <v>Professional Service</v>
          </cell>
          <cell r="N5335" t="str">
            <v>SG&amp;A</v>
          </cell>
          <cell r="O5335" t="str">
            <v>[No Vendor]</v>
          </cell>
        </row>
        <row r="5336">
          <cell r="D5336">
            <v>11.63</v>
          </cell>
          <cell r="H5336">
            <v>45627</v>
          </cell>
          <cell r="I5336" t="str">
            <v>6385 - Insurance</v>
          </cell>
          <cell r="J5336">
            <v>0</v>
          </cell>
          <cell r="K5336" t="str">
            <v>Administration</v>
          </cell>
          <cell r="L5336" t="str">
            <v>Professional Service</v>
          </cell>
          <cell r="N5336" t="str">
            <v>SG&amp;A</v>
          </cell>
          <cell r="O5336" t="str">
            <v>[No Vendor]</v>
          </cell>
        </row>
        <row r="5337">
          <cell r="D5337">
            <v>12.73</v>
          </cell>
          <cell r="H5337">
            <v>45627</v>
          </cell>
          <cell r="I5337" t="str">
            <v>6385 - Insurance</v>
          </cell>
          <cell r="J5337">
            <v>0</v>
          </cell>
          <cell r="K5337" t="str">
            <v>Administration</v>
          </cell>
          <cell r="L5337" t="str">
            <v>Professional Service</v>
          </cell>
          <cell r="N5337" t="str">
            <v>SG&amp;A</v>
          </cell>
          <cell r="O5337" t="str">
            <v>[No Vendor]</v>
          </cell>
        </row>
        <row r="5338">
          <cell r="D5338">
            <v>20.12</v>
          </cell>
          <cell r="H5338">
            <v>45627</v>
          </cell>
          <cell r="I5338" t="str">
            <v>6385 - Insurance</v>
          </cell>
          <cell r="J5338">
            <v>0</v>
          </cell>
          <cell r="K5338" t="str">
            <v>Administration</v>
          </cell>
          <cell r="L5338" t="str">
            <v>Professional Service</v>
          </cell>
          <cell r="N5338" t="str">
            <v>SG&amp;A</v>
          </cell>
          <cell r="O5338" t="str">
            <v>[No Vendor]</v>
          </cell>
        </row>
        <row r="5339">
          <cell r="D5339">
            <v>0.6</v>
          </cell>
          <cell r="H5339">
            <v>45627</v>
          </cell>
          <cell r="I5339" t="str">
            <v>6385 - Insurance</v>
          </cell>
          <cell r="J5339">
            <v>0</v>
          </cell>
          <cell r="K5339" t="str">
            <v>Administration</v>
          </cell>
          <cell r="L5339" t="str">
            <v>Professional Service</v>
          </cell>
          <cell r="N5339" t="str">
            <v>SG&amp;A</v>
          </cell>
          <cell r="O5339" t="str">
            <v>[No Vendor]</v>
          </cell>
        </row>
        <row r="5340">
          <cell r="D5340">
            <v>22.84</v>
          </cell>
          <cell r="H5340">
            <v>45627</v>
          </cell>
          <cell r="I5340" t="str">
            <v>6385 - Insurance</v>
          </cell>
          <cell r="J5340">
            <v>0</v>
          </cell>
          <cell r="K5340" t="str">
            <v>Administration</v>
          </cell>
          <cell r="L5340" t="str">
            <v>Professional Service</v>
          </cell>
          <cell r="N5340" t="str">
            <v>SG&amp;A</v>
          </cell>
          <cell r="O5340" t="str">
            <v>[No Vendor]</v>
          </cell>
        </row>
        <row r="5341">
          <cell r="D5341">
            <v>-182.98</v>
          </cell>
          <cell r="H5341">
            <v>45627</v>
          </cell>
          <cell r="I5341" t="str">
            <v>6055 - Employer Social Security Tax Withheld</v>
          </cell>
          <cell r="J5341">
            <v>0</v>
          </cell>
          <cell r="K5341" t="str">
            <v>Brand Marketing</v>
          </cell>
          <cell r="L5341" t="str">
            <v>HQ Salaries</v>
          </cell>
          <cell r="N5341" t="str">
            <v>SG&amp;A</v>
          </cell>
          <cell r="O5341" t="str">
            <v>[No Vendor]</v>
          </cell>
        </row>
        <row r="5342">
          <cell r="D5342">
            <v>-591</v>
          </cell>
          <cell r="H5342">
            <v>45627</v>
          </cell>
          <cell r="I5342" t="str">
            <v>6055 - Employer Social Security Tax Withheld</v>
          </cell>
          <cell r="J5342">
            <v>0</v>
          </cell>
          <cell r="K5342" t="str">
            <v>Executive</v>
          </cell>
          <cell r="L5342" t="str">
            <v>HQ Salaries</v>
          </cell>
          <cell r="N5342" t="str">
            <v>SG&amp;A</v>
          </cell>
          <cell r="O5342" t="str">
            <v>[No Vendor]</v>
          </cell>
        </row>
        <row r="5343">
          <cell r="D5343">
            <v>-805.05</v>
          </cell>
          <cell r="H5343">
            <v>45627</v>
          </cell>
          <cell r="I5343" t="str">
            <v>6055 - Employer Social Security Tax Withheld</v>
          </cell>
          <cell r="J5343" t="str">
            <v>Ecommerce (US)</v>
          </cell>
          <cell r="K5343" t="str">
            <v>Ecommerce</v>
          </cell>
          <cell r="L5343" t="str">
            <v>HQ Salaries</v>
          </cell>
          <cell r="N5343" t="str">
            <v>SG&amp;A</v>
          </cell>
          <cell r="O5343" t="str">
            <v>[No Vendor]</v>
          </cell>
        </row>
        <row r="5344">
          <cell r="D5344">
            <v>-730.89</v>
          </cell>
          <cell r="H5344">
            <v>45627</v>
          </cell>
          <cell r="I5344" t="str">
            <v>6055 - Employer Social Security Tax Withheld</v>
          </cell>
          <cell r="J5344">
            <v>0</v>
          </cell>
          <cell r="K5344" t="str">
            <v>Design</v>
          </cell>
          <cell r="L5344" t="str">
            <v>HQ Salaries</v>
          </cell>
          <cell r="N5344" t="str">
            <v>SG&amp;A</v>
          </cell>
          <cell r="O5344" t="str">
            <v>[No Vendor]</v>
          </cell>
        </row>
        <row r="5345">
          <cell r="D5345">
            <v>-944.51</v>
          </cell>
          <cell r="H5345">
            <v>45627</v>
          </cell>
          <cell r="I5345" t="str">
            <v>6055 - Employer Social Security Tax Withheld</v>
          </cell>
          <cell r="J5345">
            <v>0</v>
          </cell>
          <cell r="K5345" t="str">
            <v>Administration</v>
          </cell>
          <cell r="L5345" t="str">
            <v>HQ Salaries</v>
          </cell>
          <cell r="N5345" t="str">
            <v>SG&amp;A</v>
          </cell>
          <cell r="O5345" t="str">
            <v>[No Vendor]</v>
          </cell>
        </row>
        <row r="5346">
          <cell r="D5346">
            <v>-289.69</v>
          </cell>
          <cell r="H5346">
            <v>45627</v>
          </cell>
          <cell r="I5346" t="str">
            <v>6055 - Employer Social Security Tax Withheld</v>
          </cell>
          <cell r="J5346">
            <v>0</v>
          </cell>
          <cell r="K5346" t="str">
            <v>Merchandising</v>
          </cell>
          <cell r="L5346" t="str">
            <v>HQ Salaries</v>
          </cell>
          <cell r="N5346" t="str">
            <v>SG&amp;A</v>
          </cell>
          <cell r="O5346" t="str">
            <v>[No Vendor]</v>
          </cell>
        </row>
        <row r="5347">
          <cell r="D5347">
            <v>-684.59</v>
          </cell>
          <cell r="H5347">
            <v>45627</v>
          </cell>
          <cell r="I5347" t="str">
            <v>6055 - Employer Social Security Tax Withheld</v>
          </cell>
          <cell r="J5347" t="str">
            <v>Wholesale</v>
          </cell>
          <cell r="K5347" t="str">
            <v>Wholesale</v>
          </cell>
          <cell r="L5347" t="str">
            <v>HQ Salaries</v>
          </cell>
          <cell r="N5347" t="str">
            <v>SG&amp;A</v>
          </cell>
          <cell r="O5347" t="str">
            <v>[No Vendor]</v>
          </cell>
        </row>
        <row r="5348">
          <cell r="D5348">
            <v>-729.35</v>
          </cell>
          <cell r="H5348">
            <v>45627</v>
          </cell>
          <cell r="I5348" t="str">
            <v>6055 - Employer Social Security Tax Withheld</v>
          </cell>
          <cell r="J5348">
            <v>0</v>
          </cell>
          <cell r="K5348" t="str">
            <v>Production</v>
          </cell>
          <cell r="L5348" t="str">
            <v>HQ Salaries</v>
          </cell>
          <cell r="N5348" t="str">
            <v>SG&amp;A</v>
          </cell>
          <cell r="O5348" t="str">
            <v>[No Vendor]</v>
          </cell>
        </row>
        <row r="5349">
          <cell r="D5349">
            <v>-2861.51</v>
          </cell>
          <cell r="H5349">
            <v>45627</v>
          </cell>
          <cell r="I5349" t="str">
            <v>6375 - Freight Expenses</v>
          </cell>
          <cell r="J5349" t="str">
            <v>Ecommerce (EU)</v>
          </cell>
          <cell r="K5349" t="str">
            <v>Ecommerce</v>
          </cell>
          <cell r="L5349" t="str">
            <v>Freight</v>
          </cell>
          <cell r="N5349" t="str">
            <v>Direct Costs</v>
          </cell>
          <cell r="O5349" t="str">
            <v>Global E</v>
          </cell>
        </row>
        <row r="5350">
          <cell r="D5350">
            <v>142.81</v>
          </cell>
          <cell r="H5350">
            <v>45627</v>
          </cell>
          <cell r="I5350" t="str">
            <v>6040 - Employer Paid Benefits</v>
          </cell>
          <cell r="J5350">
            <v>0</v>
          </cell>
          <cell r="K5350" t="str">
            <v>Production</v>
          </cell>
          <cell r="L5350" t="str">
            <v>HQ Salaries</v>
          </cell>
          <cell r="N5350" t="str">
            <v>SG&amp;A</v>
          </cell>
          <cell r="O5350" t="str">
            <v>[No Vendor]</v>
          </cell>
        </row>
        <row r="5351">
          <cell r="D5351">
            <v>11.29</v>
          </cell>
          <cell r="H5351">
            <v>45627</v>
          </cell>
          <cell r="I5351" t="str">
            <v>6040 - Employer Paid Benefits</v>
          </cell>
          <cell r="J5351">
            <v>0</v>
          </cell>
          <cell r="K5351" t="str">
            <v>Brand Marketing</v>
          </cell>
          <cell r="L5351" t="str">
            <v>HQ Salaries</v>
          </cell>
          <cell r="N5351" t="str">
            <v>SG&amp;A</v>
          </cell>
          <cell r="O5351" t="str">
            <v>[No Vendor]</v>
          </cell>
        </row>
        <row r="5352">
          <cell r="D5352">
            <v>117.14</v>
          </cell>
          <cell r="H5352">
            <v>45627</v>
          </cell>
          <cell r="I5352" t="str">
            <v>6040 - Employer Paid Benefits</v>
          </cell>
          <cell r="J5352">
            <v>0</v>
          </cell>
          <cell r="K5352" t="str">
            <v>Executive</v>
          </cell>
          <cell r="L5352" t="str">
            <v>HQ Salaries</v>
          </cell>
          <cell r="N5352" t="str">
            <v>SG&amp;A</v>
          </cell>
          <cell r="O5352" t="str">
            <v>[No Vendor]</v>
          </cell>
        </row>
        <row r="5353">
          <cell r="D5353">
            <v>60.93</v>
          </cell>
          <cell r="H5353">
            <v>45627</v>
          </cell>
          <cell r="I5353" t="str">
            <v>6040 - Employer Paid Benefits</v>
          </cell>
          <cell r="J5353" t="str">
            <v>Ecommerce (US)</v>
          </cell>
          <cell r="K5353" t="str">
            <v>Ecommerce</v>
          </cell>
          <cell r="L5353" t="str">
            <v>HQ Salaries</v>
          </cell>
          <cell r="N5353" t="str">
            <v>SG&amp;A</v>
          </cell>
          <cell r="O5353" t="str">
            <v>[No Vendor]</v>
          </cell>
        </row>
        <row r="5354">
          <cell r="D5354">
            <v>160.55000000000001</v>
          </cell>
          <cell r="H5354">
            <v>45627</v>
          </cell>
          <cell r="I5354" t="str">
            <v>6040 - Employer Paid Benefits</v>
          </cell>
          <cell r="J5354">
            <v>0</v>
          </cell>
          <cell r="K5354" t="str">
            <v>Design</v>
          </cell>
          <cell r="L5354" t="str">
            <v>HQ Salaries</v>
          </cell>
          <cell r="N5354" t="str">
            <v>SG&amp;A</v>
          </cell>
          <cell r="O5354" t="str">
            <v>[No Vendor]</v>
          </cell>
        </row>
        <row r="5355">
          <cell r="D5355">
            <v>100.2</v>
          </cell>
          <cell r="H5355">
            <v>45627</v>
          </cell>
          <cell r="I5355" t="str">
            <v>6040 - Employer Paid Benefits</v>
          </cell>
          <cell r="J5355">
            <v>0</v>
          </cell>
          <cell r="K5355" t="str">
            <v>Administration</v>
          </cell>
          <cell r="L5355" t="str">
            <v>HQ Salaries</v>
          </cell>
          <cell r="N5355" t="str">
            <v>SG&amp;A</v>
          </cell>
          <cell r="O5355" t="str">
            <v>[No Vendor]</v>
          </cell>
        </row>
        <row r="5356">
          <cell r="D5356">
            <v>32.46</v>
          </cell>
          <cell r="H5356">
            <v>45627</v>
          </cell>
          <cell r="I5356" t="str">
            <v>6040 - Employer Paid Benefits</v>
          </cell>
          <cell r="J5356" t="str">
            <v>Wholesale</v>
          </cell>
          <cell r="K5356" t="str">
            <v>Wholesale</v>
          </cell>
          <cell r="L5356" t="str">
            <v>HQ Salaries</v>
          </cell>
          <cell r="N5356" t="str">
            <v>SG&amp;A</v>
          </cell>
          <cell r="O5356" t="str">
            <v>[No Vendor]</v>
          </cell>
        </row>
        <row r="5357">
          <cell r="D5357">
            <v>-198</v>
          </cell>
          <cell r="H5357">
            <v>45627</v>
          </cell>
          <cell r="I5357" t="str">
            <v>6040 - Employer Paid Benefits</v>
          </cell>
          <cell r="J5357">
            <v>0</v>
          </cell>
          <cell r="K5357" t="str">
            <v>Design</v>
          </cell>
          <cell r="L5357" t="str">
            <v>HQ Salaries</v>
          </cell>
          <cell r="N5357" t="str">
            <v>SG&amp;A</v>
          </cell>
          <cell r="O5357" t="str">
            <v>[No Vendor]</v>
          </cell>
        </row>
        <row r="5358">
          <cell r="D5358">
            <v>-994</v>
          </cell>
          <cell r="H5358">
            <v>45627</v>
          </cell>
          <cell r="I5358" t="str">
            <v>6040 - Employer Paid Benefits</v>
          </cell>
          <cell r="J5358" t="str">
            <v>Wholesale</v>
          </cell>
          <cell r="K5358" t="str">
            <v>Wholesale</v>
          </cell>
          <cell r="L5358" t="str">
            <v>HQ Salaries</v>
          </cell>
          <cell r="N5358" t="str">
            <v>SG&amp;A</v>
          </cell>
          <cell r="O5358" t="str">
            <v>[No Vendor]</v>
          </cell>
        </row>
        <row r="5359">
          <cell r="D5359">
            <v>-9994.25</v>
          </cell>
          <cell r="H5359">
            <v>45627</v>
          </cell>
          <cell r="I5359" t="str">
            <v>6005 - Salaries</v>
          </cell>
          <cell r="J5359">
            <v>0</v>
          </cell>
          <cell r="K5359" t="str">
            <v>Production</v>
          </cell>
          <cell r="L5359" t="str">
            <v>HQ Salaries</v>
          </cell>
          <cell r="N5359" t="str">
            <v>SG&amp;A</v>
          </cell>
          <cell r="O5359" t="str">
            <v>[No Vendor]</v>
          </cell>
        </row>
        <row r="5360">
          <cell r="D5360">
            <v>-1634.62</v>
          </cell>
          <cell r="H5360">
            <v>45627</v>
          </cell>
          <cell r="I5360" t="str">
            <v>6005 - Salaries</v>
          </cell>
          <cell r="J5360">
            <v>0</v>
          </cell>
          <cell r="K5360" t="str">
            <v>Brand Marketing</v>
          </cell>
          <cell r="L5360" t="str">
            <v>HQ Salaries</v>
          </cell>
          <cell r="N5360" t="str">
            <v>SG&amp;A</v>
          </cell>
          <cell r="O5360" t="str">
            <v>[No Vendor]</v>
          </cell>
        </row>
        <row r="5361">
          <cell r="D5361">
            <v>-5576.93</v>
          </cell>
          <cell r="H5361">
            <v>45627</v>
          </cell>
          <cell r="I5361" t="str">
            <v>6005 - Salaries</v>
          </cell>
          <cell r="J5361">
            <v>0</v>
          </cell>
          <cell r="K5361" t="str">
            <v>Executive</v>
          </cell>
          <cell r="L5361" t="str">
            <v>HQ Salaries</v>
          </cell>
          <cell r="N5361" t="str">
            <v>SG&amp;A</v>
          </cell>
          <cell r="O5361" t="str">
            <v>[No Vendor]</v>
          </cell>
        </row>
        <row r="5362">
          <cell r="D5362">
            <v>-10390.4</v>
          </cell>
          <cell r="H5362">
            <v>45627</v>
          </cell>
          <cell r="I5362" t="str">
            <v>6005 - Salaries</v>
          </cell>
          <cell r="J5362" t="str">
            <v>Ecommerce (US)</v>
          </cell>
          <cell r="K5362" t="str">
            <v>Ecommerce</v>
          </cell>
          <cell r="L5362" t="str">
            <v>HQ Salaries</v>
          </cell>
          <cell r="N5362" t="str">
            <v>SG&amp;A</v>
          </cell>
          <cell r="O5362" t="str">
            <v>[No Vendor]</v>
          </cell>
        </row>
        <row r="5363">
          <cell r="D5363">
            <v>-8867.31</v>
          </cell>
          <cell r="H5363">
            <v>45627</v>
          </cell>
          <cell r="I5363" t="str">
            <v>6005 - Salaries</v>
          </cell>
          <cell r="J5363">
            <v>0</v>
          </cell>
          <cell r="K5363" t="str">
            <v>Design</v>
          </cell>
          <cell r="L5363" t="str">
            <v>HQ Salaries</v>
          </cell>
          <cell r="N5363" t="str">
            <v>SG&amp;A</v>
          </cell>
          <cell r="O5363" t="str">
            <v>[No Vendor]</v>
          </cell>
        </row>
        <row r="5364">
          <cell r="D5364">
            <v>-12900.21</v>
          </cell>
          <cell r="H5364">
            <v>45627</v>
          </cell>
          <cell r="I5364" t="str">
            <v>6005 - Salaries</v>
          </cell>
          <cell r="J5364">
            <v>0</v>
          </cell>
          <cell r="K5364" t="str">
            <v>Administration</v>
          </cell>
          <cell r="L5364" t="str">
            <v>HQ Salaries</v>
          </cell>
          <cell r="N5364" t="str">
            <v>SG&amp;A</v>
          </cell>
          <cell r="O5364" t="str">
            <v>[No Vendor]</v>
          </cell>
        </row>
        <row r="5365">
          <cell r="D5365">
            <v>-2575</v>
          </cell>
          <cell r="H5365">
            <v>45627</v>
          </cell>
          <cell r="I5365" t="str">
            <v>6005 - Salaries</v>
          </cell>
          <cell r="J5365">
            <v>0</v>
          </cell>
          <cell r="K5365" t="str">
            <v>Merchandising</v>
          </cell>
          <cell r="L5365" t="str">
            <v>HQ Salaries</v>
          </cell>
          <cell r="N5365" t="str">
            <v>SG&amp;A</v>
          </cell>
          <cell r="O5365" t="str">
            <v>[No Vendor]</v>
          </cell>
        </row>
        <row r="5366">
          <cell r="D5366">
            <v>-5961.54</v>
          </cell>
          <cell r="H5366">
            <v>45627</v>
          </cell>
          <cell r="I5366" t="str">
            <v>6005 - Salaries</v>
          </cell>
          <cell r="J5366" t="str">
            <v>Wholesale</v>
          </cell>
          <cell r="K5366" t="str">
            <v>Wholesale</v>
          </cell>
          <cell r="L5366" t="str">
            <v>HQ Salaries</v>
          </cell>
          <cell r="N5366" t="str">
            <v>SG&amp;A</v>
          </cell>
          <cell r="O5366" t="str">
            <v>[No Vendor]</v>
          </cell>
        </row>
        <row r="5367">
          <cell r="D5367">
            <v>198</v>
          </cell>
          <cell r="H5367">
            <v>45627</v>
          </cell>
          <cell r="I5367" t="str">
            <v>6005 - Salaries</v>
          </cell>
          <cell r="J5367">
            <v>0</v>
          </cell>
          <cell r="K5367" t="str">
            <v>Design</v>
          </cell>
          <cell r="L5367" t="str">
            <v>HQ Salaries</v>
          </cell>
          <cell r="N5367" t="str">
            <v>SG&amp;A</v>
          </cell>
          <cell r="O5367" t="str">
            <v>[No Vendor]</v>
          </cell>
        </row>
        <row r="5368">
          <cell r="D5368">
            <v>218.86</v>
          </cell>
          <cell r="H5368">
            <v>45627</v>
          </cell>
          <cell r="I5368" t="str">
            <v>6375 - Freight Expenses</v>
          </cell>
          <cell r="J5368" t="str">
            <v>Ecommerce (EU)</v>
          </cell>
          <cell r="K5368" t="str">
            <v>Ecommerce</v>
          </cell>
          <cell r="L5368" t="str">
            <v>Freight</v>
          </cell>
          <cell r="N5368" t="str">
            <v>Direct Costs</v>
          </cell>
          <cell r="O5368" t="str">
            <v>UPS Supply Chain Solutions Inc. (7F24A0)</v>
          </cell>
        </row>
        <row r="5369">
          <cell r="D5369">
            <v>40.520000000000003</v>
          </cell>
          <cell r="H5369">
            <v>45627</v>
          </cell>
          <cell r="I5369" t="str">
            <v>6375 - Freight Expenses</v>
          </cell>
          <cell r="J5369" t="str">
            <v>Ecommerce (US)</v>
          </cell>
          <cell r="K5369" t="str">
            <v>Ecommerce</v>
          </cell>
          <cell r="L5369" t="str">
            <v>Freight</v>
          </cell>
          <cell r="N5369" t="str">
            <v>Direct Costs</v>
          </cell>
          <cell r="O5369" t="str">
            <v>Federal Express</v>
          </cell>
        </row>
        <row r="5370">
          <cell r="D5370">
            <v>2861.51</v>
          </cell>
          <cell r="H5370">
            <v>45627</v>
          </cell>
          <cell r="I5370" t="str">
            <v>6375 - Freight Expenses</v>
          </cell>
          <cell r="J5370" t="str">
            <v>Ecommerce (EU)</v>
          </cell>
          <cell r="K5370" t="str">
            <v>Ecommerce</v>
          </cell>
          <cell r="L5370" t="str">
            <v>Freight</v>
          </cell>
          <cell r="N5370" t="str">
            <v>Direct Costs</v>
          </cell>
          <cell r="O5370" t="str">
            <v>Global E</v>
          </cell>
        </row>
        <row r="5371">
          <cell r="D5371">
            <v>25961.67</v>
          </cell>
          <cell r="H5371">
            <v>45627</v>
          </cell>
          <cell r="I5371" t="str">
            <v>5001 - Cost of Goods Sold - Other</v>
          </cell>
          <cell r="J5371" t="str">
            <v>Ecommerce (EU)</v>
          </cell>
          <cell r="K5371" t="str">
            <v>Ecommerce</v>
          </cell>
          <cell r="L5371" t="str">
            <v>Other COGS</v>
          </cell>
          <cell r="N5371" t="str">
            <v>COGS</v>
          </cell>
          <cell r="O5371" t="str">
            <v>[No Vendor]</v>
          </cell>
        </row>
        <row r="5372">
          <cell r="D5372">
            <v>218.4</v>
          </cell>
          <cell r="H5372">
            <v>45627</v>
          </cell>
          <cell r="I5372" t="str">
            <v>6377 - Order Processing Expenses (New)</v>
          </cell>
          <cell r="J5372" t="str">
            <v>Ecommerce (EU)</v>
          </cell>
          <cell r="K5372" t="str">
            <v>Ecommerce</v>
          </cell>
          <cell r="L5372" t="str">
            <v>Order Processing</v>
          </cell>
          <cell r="N5372" t="str">
            <v>Direct Costs</v>
          </cell>
          <cell r="O5372" t="str">
            <v>[No Vendor]</v>
          </cell>
        </row>
        <row r="5373">
          <cell r="D5373">
            <v>6791.68</v>
          </cell>
          <cell r="H5373">
            <v>45627</v>
          </cell>
          <cell r="I5373" t="str">
            <v>6450 - Bank &amp; Other Fees</v>
          </cell>
          <cell r="J5373" t="str">
            <v>Ecommerce (EU)</v>
          </cell>
          <cell r="K5373" t="str">
            <v>Ecommerce</v>
          </cell>
          <cell r="L5373" t="str">
            <v>Professional Service</v>
          </cell>
          <cell r="N5373" t="str">
            <v>Direct Costs</v>
          </cell>
          <cell r="O5373" t="str">
            <v>[No Vendor]</v>
          </cell>
        </row>
        <row r="5374">
          <cell r="D5374">
            <v>4913.2700000000004</v>
          </cell>
          <cell r="H5374">
            <v>45627</v>
          </cell>
          <cell r="I5374" t="str">
            <v>6450 - Bank &amp; Other Fees</v>
          </cell>
          <cell r="J5374" t="str">
            <v>Wholesale</v>
          </cell>
          <cell r="K5374" t="str">
            <v>Wholesale</v>
          </cell>
          <cell r="L5374" t="str">
            <v>Professional Service</v>
          </cell>
          <cell r="N5374" t="str">
            <v>Direct Costs</v>
          </cell>
          <cell r="O5374" t="str">
            <v>Paymentech</v>
          </cell>
        </row>
        <row r="5375">
          <cell r="D5375">
            <v>77.73</v>
          </cell>
          <cell r="H5375">
            <v>45627</v>
          </cell>
          <cell r="I5375" t="str">
            <v>6375 - Freight Expenses</v>
          </cell>
          <cell r="J5375" t="str">
            <v>Ecommerce (EU)</v>
          </cell>
          <cell r="K5375" t="str">
            <v>Ecommerce</v>
          </cell>
          <cell r="L5375" t="str">
            <v>Freight</v>
          </cell>
          <cell r="N5375" t="str">
            <v>Direct Costs</v>
          </cell>
          <cell r="O5375" t="str">
            <v>UPS Supply Chain Solutions Inc. (7F24A0)</v>
          </cell>
        </row>
        <row r="5376">
          <cell r="D5376">
            <v>21114.36</v>
          </cell>
          <cell r="H5376">
            <v>45627</v>
          </cell>
          <cell r="I5376" t="str">
            <v>8700 - Other Expense</v>
          </cell>
          <cell r="J5376">
            <v>0</v>
          </cell>
          <cell r="K5376" t="str">
            <v>Administration</v>
          </cell>
          <cell r="L5376" t="str">
            <v>Other Expense</v>
          </cell>
          <cell r="N5376" t="str">
            <v>BTL</v>
          </cell>
          <cell r="O5376" t="str">
            <v>Bryan Cave Leighton Paisner LLP</v>
          </cell>
        </row>
        <row r="5377">
          <cell r="D5377">
            <v>234639.08</v>
          </cell>
          <cell r="H5377">
            <v>45627</v>
          </cell>
          <cell r="I5377" t="str">
            <v>8700 - Other Expense</v>
          </cell>
          <cell r="J5377">
            <v>0</v>
          </cell>
          <cell r="K5377" t="str">
            <v>Administration</v>
          </cell>
          <cell r="L5377" t="str">
            <v>Other Expense</v>
          </cell>
          <cell r="N5377" t="str">
            <v>BTL</v>
          </cell>
          <cell r="O5377" t="str">
            <v>Bryan Cave Leighton Paisner LLP</v>
          </cell>
        </row>
        <row r="5378">
          <cell r="D5378">
            <v>29.6</v>
          </cell>
          <cell r="H5378">
            <v>45627</v>
          </cell>
          <cell r="I5378" t="str">
            <v>6340 - Miscellaneous Expense</v>
          </cell>
          <cell r="J5378">
            <v>0</v>
          </cell>
          <cell r="K5378" t="str">
            <v>Administration</v>
          </cell>
          <cell r="L5378" t="str">
            <v>Other</v>
          </cell>
          <cell r="N5378" t="str">
            <v>SG&amp;A</v>
          </cell>
          <cell r="O5378" t="str">
            <v>[No Vendor]</v>
          </cell>
        </row>
        <row r="5379">
          <cell r="D5379">
            <v>274.92</v>
          </cell>
          <cell r="H5379">
            <v>45627</v>
          </cell>
          <cell r="I5379" t="str">
            <v>6340 - Miscellaneous Expense</v>
          </cell>
          <cell r="J5379">
            <v>0</v>
          </cell>
          <cell r="K5379" t="str">
            <v>Administration</v>
          </cell>
          <cell r="L5379" t="str">
            <v>Other</v>
          </cell>
          <cell r="N5379" t="str">
            <v>SG&amp;A</v>
          </cell>
          <cell r="O5379" t="str">
            <v>[No Vendor]</v>
          </cell>
        </row>
        <row r="5380">
          <cell r="D5380">
            <v>65.989999999999995</v>
          </cell>
          <cell r="H5380">
            <v>45627</v>
          </cell>
          <cell r="I5380" t="str">
            <v>6405 - Telephone</v>
          </cell>
          <cell r="J5380">
            <v>0</v>
          </cell>
          <cell r="K5380" t="str">
            <v>Production</v>
          </cell>
          <cell r="L5380" t="str">
            <v>Other</v>
          </cell>
          <cell r="N5380" t="str">
            <v>SG&amp;A</v>
          </cell>
          <cell r="O5380" t="str">
            <v>Frank Dell'Aquila</v>
          </cell>
        </row>
        <row r="5381">
          <cell r="D5381">
            <v>65.989999999999995</v>
          </cell>
          <cell r="H5381">
            <v>45627</v>
          </cell>
          <cell r="I5381" t="str">
            <v>6405 - Telephone</v>
          </cell>
          <cell r="J5381">
            <v>0</v>
          </cell>
          <cell r="K5381" t="str">
            <v>Production</v>
          </cell>
          <cell r="L5381" t="str">
            <v>Other</v>
          </cell>
          <cell r="N5381" t="str">
            <v>SG&amp;A</v>
          </cell>
          <cell r="O5381" t="str">
            <v>Frank Dell'Aquila</v>
          </cell>
        </row>
        <row r="5382">
          <cell r="D5382">
            <v>185</v>
          </cell>
          <cell r="H5382">
            <v>45627</v>
          </cell>
          <cell r="I5382" t="str">
            <v>6520 - Taxes and Licenses</v>
          </cell>
          <cell r="J5382">
            <v>0</v>
          </cell>
          <cell r="K5382" t="str">
            <v>Administration</v>
          </cell>
          <cell r="L5382" t="str">
            <v>Other</v>
          </cell>
          <cell r="N5382" t="str">
            <v>SG&amp;A</v>
          </cell>
          <cell r="O5382" t="str">
            <v>[No Vendor]</v>
          </cell>
        </row>
        <row r="5383">
          <cell r="D5383">
            <v>-20</v>
          </cell>
          <cell r="H5383">
            <v>45627</v>
          </cell>
          <cell r="I5383" t="str">
            <v>6340 - Miscellaneous Expense</v>
          </cell>
          <cell r="J5383">
            <v>0</v>
          </cell>
          <cell r="K5383" t="str">
            <v>Administration</v>
          </cell>
          <cell r="L5383" t="str">
            <v>Other</v>
          </cell>
          <cell r="N5383" t="str">
            <v>SG&amp;A</v>
          </cell>
          <cell r="O5383" t="str">
            <v>[No Vendor]</v>
          </cell>
        </row>
        <row r="5384">
          <cell r="D5384">
            <v>36.590000000000003</v>
          </cell>
          <cell r="H5384">
            <v>45627</v>
          </cell>
          <cell r="I5384" t="str">
            <v>6040 - Employer Paid Benefits</v>
          </cell>
          <cell r="J5384">
            <v>0</v>
          </cell>
          <cell r="K5384" t="str">
            <v>Administration</v>
          </cell>
          <cell r="L5384" t="str">
            <v>HQ Salaries</v>
          </cell>
          <cell r="N5384" t="str">
            <v>SG&amp;A</v>
          </cell>
          <cell r="O5384" t="str">
            <v>Procyon Benefits LLC</v>
          </cell>
        </row>
        <row r="5385">
          <cell r="D5385">
            <v>21.78</v>
          </cell>
          <cell r="H5385">
            <v>45627</v>
          </cell>
          <cell r="I5385" t="str">
            <v>6393 - Software</v>
          </cell>
          <cell r="J5385">
            <v>0</v>
          </cell>
          <cell r="K5385" t="str">
            <v>Executive</v>
          </cell>
          <cell r="L5385" t="str">
            <v>Professional Service</v>
          </cell>
          <cell r="N5385" t="str">
            <v>Direct Costs</v>
          </cell>
          <cell r="O5385" t="str">
            <v>Chat GPT</v>
          </cell>
        </row>
        <row r="5386">
          <cell r="D5386">
            <v>58.18</v>
          </cell>
          <cell r="H5386">
            <v>45627</v>
          </cell>
          <cell r="I5386" t="str">
            <v>6393 - Software</v>
          </cell>
          <cell r="J5386">
            <v>0</v>
          </cell>
          <cell r="K5386" t="str">
            <v>Administration</v>
          </cell>
          <cell r="L5386" t="str">
            <v>Professional Service</v>
          </cell>
          <cell r="N5386" t="str">
            <v>Direct Costs</v>
          </cell>
          <cell r="O5386" t="str">
            <v>Quickbook</v>
          </cell>
        </row>
        <row r="5387">
          <cell r="D5387">
            <v>65.33</v>
          </cell>
          <cell r="H5387">
            <v>45627</v>
          </cell>
          <cell r="I5387" t="str">
            <v>6393 - Software</v>
          </cell>
          <cell r="J5387">
            <v>0</v>
          </cell>
          <cell r="K5387" t="str">
            <v>Administration</v>
          </cell>
          <cell r="L5387" t="str">
            <v>Professional Service</v>
          </cell>
          <cell r="N5387" t="str">
            <v>Direct Costs</v>
          </cell>
          <cell r="O5387" t="str">
            <v>Brivo Pass</v>
          </cell>
        </row>
        <row r="5388">
          <cell r="D5388">
            <v>1779.84</v>
          </cell>
          <cell r="H5388">
            <v>45627</v>
          </cell>
          <cell r="I5388" t="str">
            <v>6393 - Software</v>
          </cell>
          <cell r="J5388">
            <v>0</v>
          </cell>
          <cell r="K5388" t="str">
            <v>Administration</v>
          </cell>
          <cell r="L5388" t="str">
            <v>Professional Service</v>
          </cell>
          <cell r="N5388" t="str">
            <v>Direct Costs</v>
          </cell>
          <cell r="O5388" t="str">
            <v>Adobe, Inc.</v>
          </cell>
        </row>
        <row r="5389">
          <cell r="D5389">
            <v>600</v>
          </cell>
          <cell r="H5389">
            <v>45627</v>
          </cell>
          <cell r="I5389" t="str">
            <v>6288 - Model</v>
          </cell>
          <cell r="J5389" t="str">
            <v>Ecommerce (US)</v>
          </cell>
          <cell r="K5389" t="str">
            <v>Brand Marketing</v>
          </cell>
          <cell r="L5389" t="str">
            <v>Advertising</v>
          </cell>
          <cell r="N5389" t="str">
            <v>SG&amp;A</v>
          </cell>
          <cell r="O5389" t="str">
            <v>State Artist Management</v>
          </cell>
        </row>
        <row r="5390">
          <cell r="D5390">
            <v>0.87</v>
          </cell>
          <cell r="H5390">
            <v>45627</v>
          </cell>
          <cell r="I5390" t="str">
            <v>6450 - Bank &amp; Other Fees</v>
          </cell>
          <cell r="J5390">
            <v>0</v>
          </cell>
          <cell r="K5390" t="str">
            <v>Administration</v>
          </cell>
          <cell r="L5390" t="str">
            <v>Professional Service</v>
          </cell>
          <cell r="N5390" t="str">
            <v>SG&amp;A</v>
          </cell>
          <cell r="O5390" t="str">
            <v>Quickbook</v>
          </cell>
        </row>
        <row r="5391">
          <cell r="D5391">
            <v>57.73</v>
          </cell>
          <cell r="H5391">
            <v>45627</v>
          </cell>
          <cell r="I5391" t="str">
            <v>6135 - Parking and Tolls</v>
          </cell>
          <cell r="J5391">
            <v>0</v>
          </cell>
          <cell r="K5391" t="str">
            <v>Executive</v>
          </cell>
          <cell r="L5391" t="str">
            <v>T&amp;E</v>
          </cell>
          <cell r="N5391" t="str">
            <v>SG&amp;A</v>
          </cell>
          <cell r="O5391" t="str">
            <v>[No Vendor]</v>
          </cell>
        </row>
        <row r="5392">
          <cell r="D5392">
            <v>29.48</v>
          </cell>
          <cell r="H5392">
            <v>45627</v>
          </cell>
          <cell r="I5392" t="str">
            <v>6135 - Parking and Tolls</v>
          </cell>
          <cell r="J5392">
            <v>0</v>
          </cell>
          <cell r="K5392" t="str">
            <v>Executive</v>
          </cell>
          <cell r="L5392" t="str">
            <v>T&amp;E</v>
          </cell>
          <cell r="N5392" t="str">
            <v>SG&amp;A</v>
          </cell>
          <cell r="O5392" t="str">
            <v>[No Vendor]</v>
          </cell>
        </row>
        <row r="5393">
          <cell r="D5393">
            <v>24.32</v>
          </cell>
          <cell r="H5393">
            <v>45627</v>
          </cell>
          <cell r="I5393" t="str">
            <v>6135 - Parking and Tolls</v>
          </cell>
          <cell r="J5393">
            <v>0</v>
          </cell>
          <cell r="K5393" t="str">
            <v>Executive</v>
          </cell>
          <cell r="L5393" t="str">
            <v>T&amp;E</v>
          </cell>
          <cell r="N5393" t="str">
            <v>SG&amp;A</v>
          </cell>
          <cell r="O5393" t="str">
            <v>[No Vendor]</v>
          </cell>
        </row>
        <row r="5394">
          <cell r="D5394">
            <v>44.44</v>
          </cell>
          <cell r="H5394">
            <v>45627</v>
          </cell>
          <cell r="I5394" t="str">
            <v>6125 - Transportation and Fuel</v>
          </cell>
          <cell r="J5394">
            <v>0</v>
          </cell>
          <cell r="K5394" t="str">
            <v>Executive</v>
          </cell>
          <cell r="L5394" t="str">
            <v>T&amp;E</v>
          </cell>
          <cell r="N5394" t="str">
            <v>SG&amp;A</v>
          </cell>
          <cell r="O5394" t="str">
            <v>[No Vendor]</v>
          </cell>
        </row>
        <row r="5395">
          <cell r="D5395">
            <v>32.58</v>
          </cell>
          <cell r="H5395">
            <v>45627</v>
          </cell>
          <cell r="I5395" t="str">
            <v>6125 - Transportation and Fuel</v>
          </cell>
          <cell r="J5395">
            <v>0</v>
          </cell>
          <cell r="K5395" t="str">
            <v>Executive</v>
          </cell>
          <cell r="L5395" t="str">
            <v>T&amp;E</v>
          </cell>
          <cell r="N5395" t="str">
            <v>SG&amp;A</v>
          </cell>
          <cell r="O5395" t="str">
            <v>[No Vendor]</v>
          </cell>
        </row>
        <row r="5396">
          <cell r="D5396">
            <v>82.5</v>
          </cell>
          <cell r="H5396">
            <v>45627</v>
          </cell>
          <cell r="I5396" t="str">
            <v>6125 - Transportation and Fuel</v>
          </cell>
          <cell r="J5396">
            <v>0</v>
          </cell>
          <cell r="K5396" t="str">
            <v>Executive</v>
          </cell>
          <cell r="L5396" t="str">
            <v>T&amp;E</v>
          </cell>
          <cell r="N5396" t="str">
            <v>SG&amp;A</v>
          </cell>
          <cell r="O5396" t="str">
            <v>[No Vendor]</v>
          </cell>
        </row>
        <row r="5397">
          <cell r="D5397">
            <v>63.66</v>
          </cell>
          <cell r="H5397">
            <v>45627</v>
          </cell>
          <cell r="I5397" t="str">
            <v>6125 - Transportation and Fuel</v>
          </cell>
          <cell r="J5397">
            <v>0</v>
          </cell>
          <cell r="K5397" t="str">
            <v>Executive</v>
          </cell>
          <cell r="L5397" t="str">
            <v>T&amp;E</v>
          </cell>
          <cell r="N5397" t="str">
            <v>SG&amp;A</v>
          </cell>
          <cell r="O5397" t="str">
            <v>[No Vendor]</v>
          </cell>
        </row>
        <row r="5398">
          <cell r="D5398">
            <v>62.42</v>
          </cell>
          <cell r="H5398">
            <v>45627</v>
          </cell>
          <cell r="I5398" t="str">
            <v>6125 - Transportation and Fuel</v>
          </cell>
          <cell r="J5398">
            <v>0</v>
          </cell>
          <cell r="K5398" t="str">
            <v>Executive</v>
          </cell>
          <cell r="L5398" t="str">
            <v>T&amp;E</v>
          </cell>
          <cell r="N5398" t="str">
            <v>SG&amp;A</v>
          </cell>
          <cell r="O5398" t="str">
            <v>[No Vendor]</v>
          </cell>
        </row>
        <row r="5399">
          <cell r="D5399">
            <v>44.63</v>
          </cell>
          <cell r="H5399">
            <v>45627</v>
          </cell>
          <cell r="I5399" t="str">
            <v>6125 - Transportation and Fuel</v>
          </cell>
          <cell r="J5399">
            <v>0</v>
          </cell>
          <cell r="K5399" t="str">
            <v>Executive</v>
          </cell>
          <cell r="L5399" t="str">
            <v>T&amp;E</v>
          </cell>
          <cell r="N5399" t="str">
            <v>SG&amp;A</v>
          </cell>
          <cell r="O5399" t="str">
            <v>[No Vendor]</v>
          </cell>
        </row>
        <row r="5400">
          <cell r="D5400">
            <v>21</v>
          </cell>
          <cell r="H5400">
            <v>45627</v>
          </cell>
          <cell r="I5400" t="str">
            <v>6125 - Transportation and Fuel</v>
          </cell>
          <cell r="J5400">
            <v>0</v>
          </cell>
          <cell r="K5400" t="str">
            <v>Executive</v>
          </cell>
          <cell r="L5400" t="str">
            <v>T&amp;E</v>
          </cell>
          <cell r="N5400" t="str">
            <v>SG&amp;A</v>
          </cell>
          <cell r="O5400" t="str">
            <v>[No Vendor]</v>
          </cell>
        </row>
        <row r="5401">
          <cell r="D5401">
            <v>72.48</v>
          </cell>
          <cell r="H5401">
            <v>45627</v>
          </cell>
          <cell r="I5401" t="str">
            <v>6125 - Transportation and Fuel</v>
          </cell>
          <cell r="J5401">
            <v>0</v>
          </cell>
          <cell r="K5401" t="str">
            <v>Executive</v>
          </cell>
          <cell r="L5401" t="str">
            <v>T&amp;E</v>
          </cell>
          <cell r="N5401" t="str">
            <v>SG&amp;A</v>
          </cell>
          <cell r="O5401" t="str">
            <v>[No Vendor]</v>
          </cell>
        </row>
        <row r="5402">
          <cell r="D5402">
            <v>122.33</v>
          </cell>
          <cell r="H5402">
            <v>45627</v>
          </cell>
          <cell r="I5402" t="str">
            <v>6105 - Meals</v>
          </cell>
          <cell r="J5402">
            <v>0</v>
          </cell>
          <cell r="K5402" t="str">
            <v>Executive</v>
          </cell>
          <cell r="L5402" t="str">
            <v>T&amp;E</v>
          </cell>
          <cell r="N5402" t="str">
            <v>SG&amp;A</v>
          </cell>
          <cell r="O5402" t="str">
            <v>[No Vendor]</v>
          </cell>
        </row>
        <row r="5403">
          <cell r="D5403">
            <v>214.06</v>
          </cell>
          <cell r="H5403">
            <v>45627</v>
          </cell>
          <cell r="I5403" t="str">
            <v>6105 - Meals</v>
          </cell>
          <cell r="J5403">
            <v>0</v>
          </cell>
          <cell r="K5403" t="str">
            <v>Administration</v>
          </cell>
          <cell r="L5403" t="str">
            <v>T&amp;E</v>
          </cell>
          <cell r="N5403" t="str">
            <v>SG&amp;A</v>
          </cell>
          <cell r="O5403" t="str">
            <v>[No Vendor]</v>
          </cell>
        </row>
        <row r="5404">
          <cell r="D5404">
            <v>110.23</v>
          </cell>
          <cell r="H5404">
            <v>45627</v>
          </cell>
          <cell r="I5404" t="str">
            <v>6375 - Freight Expenses</v>
          </cell>
          <cell r="J5404">
            <v>0</v>
          </cell>
          <cell r="K5404" t="str">
            <v>Administration</v>
          </cell>
          <cell r="L5404" t="str">
            <v>Freight</v>
          </cell>
          <cell r="N5404" t="str">
            <v>Direct Costs</v>
          </cell>
          <cell r="O5404" t="str">
            <v>[No Vendor]</v>
          </cell>
        </row>
        <row r="5405">
          <cell r="D5405">
            <v>22</v>
          </cell>
          <cell r="H5405">
            <v>45627</v>
          </cell>
          <cell r="I5405" t="str">
            <v>6040 - Employer Paid Benefits</v>
          </cell>
          <cell r="J5405">
            <v>0</v>
          </cell>
          <cell r="K5405" t="str">
            <v>Merchandising</v>
          </cell>
          <cell r="L5405" t="str">
            <v>HQ Salaries</v>
          </cell>
          <cell r="N5405" t="str">
            <v>SG&amp;A</v>
          </cell>
          <cell r="O5405" t="str">
            <v>Procyon Benefits LLC</v>
          </cell>
        </row>
        <row r="5406">
          <cell r="D5406">
            <v>11.6</v>
          </cell>
          <cell r="H5406">
            <v>45627</v>
          </cell>
          <cell r="I5406" t="str">
            <v>6040 - Employer Paid Benefits</v>
          </cell>
          <cell r="J5406">
            <v>0</v>
          </cell>
          <cell r="K5406" t="str">
            <v>Production</v>
          </cell>
          <cell r="L5406" t="str">
            <v>HQ Salaries</v>
          </cell>
          <cell r="N5406" t="str">
            <v>SG&amp;A</v>
          </cell>
          <cell r="O5406" t="str">
            <v>Procyon Benefits LLC</v>
          </cell>
        </row>
        <row r="5407">
          <cell r="D5407">
            <v>11</v>
          </cell>
          <cell r="H5407">
            <v>45627</v>
          </cell>
          <cell r="I5407" t="str">
            <v>6040 - Employer Paid Benefits</v>
          </cell>
          <cell r="J5407">
            <v>0</v>
          </cell>
          <cell r="K5407" t="str">
            <v>Executive</v>
          </cell>
          <cell r="L5407" t="str">
            <v>HQ Salaries</v>
          </cell>
          <cell r="N5407" t="str">
            <v>SG&amp;A</v>
          </cell>
          <cell r="O5407" t="str">
            <v>Procyon Benefits LLC</v>
          </cell>
        </row>
        <row r="5408">
          <cell r="D5408">
            <v>45.73</v>
          </cell>
          <cell r="H5408">
            <v>45627</v>
          </cell>
          <cell r="I5408" t="str">
            <v>6375 - Freight Expenses</v>
          </cell>
          <cell r="J5408" t="str">
            <v>Ecommerce (EU)</v>
          </cell>
          <cell r="K5408" t="str">
            <v>Ecommerce</v>
          </cell>
          <cell r="L5408" t="str">
            <v>Freight</v>
          </cell>
          <cell r="N5408" t="str">
            <v>Direct Costs</v>
          </cell>
          <cell r="O5408" t="str">
            <v>UPS Supply Chain Solutions Inc. (7F24A0)</v>
          </cell>
        </row>
        <row r="5409">
          <cell r="D5409">
            <v>2880</v>
          </cell>
          <cell r="H5409">
            <v>45627</v>
          </cell>
          <cell r="I5409" t="str">
            <v>6288 - Model</v>
          </cell>
          <cell r="J5409">
            <v>0</v>
          </cell>
          <cell r="K5409" t="str">
            <v>Brand Marketing</v>
          </cell>
          <cell r="L5409" t="str">
            <v>Advertising</v>
          </cell>
          <cell r="N5409" t="str">
            <v>SG&amp;A</v>
          </cell>
          <cell r="O5409" t="str">
            <v>Que Management, Inc</v>
          </cell>
        </row>
        <row r="5410">
          <cell r="D5410">
            <v>239.53</v>
          </cell>
          <cell r="H5410">
            <v>45627</v>
          </cell>
          <cell r="I5410" t="str">
            <v>6340 - Miscellaneous Expense</v>
          </cell>
          <cell r="J5410">
            <v>0</v>
          </cell>
          <cell r="K5410" t="str">
            <v>Administration</v>
          </cell>
          <cell r="L5410" t="str">
            <v>Other</v>
          </cell>
          <cell r="N5410" t="str">
            <v>SG&amp;A</v>
          </cell>
          <cell r="O5410" t="str">
            <v>Go Gleem LLC</v>
          </cell>
        </row>
        <row r="5411">
          <cell r="D5411">
            <v>146</v>
          </cell>
          <cell r="H5411">
            <v>45627</v>
          </cell>
          <cell r="I5411" t="str">
            <v>6430 - Dues &amp; Memberships</v>
          </cell>
          <cell r="J5411" t="str">
            <v>Wholesale</v>
          </cell>
          <cell r="K5411" t="str">
            <v>Wholesale</v>
          </cell>
          <cell r="L5411" t="str">
            <v>Professional Service</v>
          </cell>
          <cell r="N5411" t="str">
            <v>Direct Costs</v>
          </cell>
          <cell r="O5411" t="str">
            <v>SPS Commerce</v>
          </cell>
        </row>
        <row r="5412">
          <cell r="D5412">
            <v>82.11</v>
          </cell>
          <cell r="H5412">
            <v>45627</v>
          </cell>
          <cell r="I5412" t="str">
            <v>6125 - Transportation and Fuel</v>
          </cell>
          <cell r="J5412">
            <v>0</v>
          </cell>
          <cell r="K5412" t="str">
            <v>Administration</v>
          </cell>
          <cell r="L5412" t="str">
            <v>T&amp;E</v>
          </cell>
          <cell r="N5412" t="str">
            <v>SG&amp;A</v>
          </cell>
          <cell r="O5412" t="str">
            <v>[No Vendor]</v>
          </cell>
        </row>
        <row r="5413">
          <cell r="D5413">
            <v>73.010000000000005</v>
          </cell>
          <cell r="H5413">
            <v>45627</v>
          </cell>
          <cell r="I5413" t="str">
            <v>6125 - Transportation and Fuel</v>
          </cell>
          <cell r="J5413">
            <v>0</v>
          </cell>
          <cell r="K5413" t="str">
            <v>Administration</v>
          </cell>
          <cell r="L5413" t="str">
            <v>T&amp;E</v>
          </cell>
          <cell r="N5413" t="str">
            <v>SG&amp;A</v>
          </cell>
          <cell r="O5413" t="str">
            <v>[No Vendor]</v>
          </cell>
        </row>
        <row r="5414">
          <cell r="D5414">
            <v>55.98</v>
          </cell>
          <cell r="H5414">
            <v>45627</v>
          </cell>
          <cell r="I5414" t="str">
            <v>6125 - Transportation and Fuel</v>
          </cell>
          <cell r="J5414">
            <v>0</v>
          </cell>
          <cell r="K5414" t="str">
            <v>Administration</v>
          </cell>
          <cell r="L5414" t="str">
            <v>T&amp;E</v>
          </cell>
          <cell r="N5414" t="str">
            <v>SG&amp;A</v>
          </cell>
          <cell r="O5414" t="str">
            <v>[No Vendor]</v>
          </cell>
        </row>
        <row r="5415">
          <cell r="D5415">
            <v>885.96</v>
          </cell>
          <cell r="H5415">
            <v>45627</v>
          </cell>
          <cell r="I5415" t="str">
            <v>6105 - Meals</v>
          </cell>
          <cell r="J5415">
            <v>0</v>
          </cell>
          <cell r="K5415" t="str">
            <v>Administration</v>
          </cell>
          <cell r="L5415" t="str">
            <v>T&amp;E</v>
          </cell>
          <cell r="N5415" t="str">
            <v>SG&amp;A</v>
          </cell>
          <cell r="O5415" t="str">
            <v>[No Vendor]</v>
          </cell>
        </row>
        <row r="5416">
          <cell r="D5416">
            <v>10.97</v>
          </cell>
          <cell r="H5416">
            <v>45627</v>
          </cell>
          <cell r="I5416" t="str">
            <v>6105 - Meals</v>
          </cell>
          <cell r="J5416">
            <v>0</v>
          </cell>
          <cell r="K5416" t="str">
            <v>Administration</v>
          </cell>
          <cell r="L5416" t="str">
            <v>T&amp;E</v>
          </cell>
          <cell r="N5416" t="str">
            <v>SG&amp;A</v>
          </cell>
          <cell r="O5416" t="str">
            <v>[No Vendor]</v>
          </cell>
        </row>
        <row r="5417">
          <cell r="D5417">
            <v>95.99</v>
          </cell>
          <cell r="H5417">
            <v>45627</v>
          </cell>
          <cell r="I5417" t="str">
            <v>6105 - Meals</v>
          </cell>
          <cell r="J5417">
            <v>0</v>
          </cell>
          <cell r="K5417" t="str">
            <v>Administration</v>
          </cell>
          <cell r="L5417" t="str">
            <v>T&amp;E</v>
          </cell>
          <cell r="N5417" t="str">
            <v>SG&amp;A</v>
          </cell>
          <cell r="O5417" t="str">
            <v>[No Vendor]</v>
          </cell>
        </row>
        <row r="5418">
          <cell r="D5418">
            <v>49.38</v>
          </cell>
          <cell r="H5418">
            <v>45627</v>
          </cell>
          <cell r="I5418" t="str">
            <v>6105 - Meals</v>
          </cell>
          <cell r="J5418">
            <v>0</v>
          </cell>
          <cell r="K5418" t="str">
            <v>Administration</v>
          </cell>
          <cell r="L5418" t="str">
            <v>T&amp;E</v>
          </cell>
          <cell r="N5418" t="str">
            <v>SG&amp;A</v>
          </cell>
          <cell r="O5418" t="str">
            <v>[No Vendor]</v>
          </cell>
        </row>
        <row r="5419">
          <cell r="D5419">
            <v>443.09</v>
          </cell>
          <cell r="H5419">
            <v>45627</v>
          </cell>
          <cell r="I5419" t="str">
            <v>6375 - Freight Expenses</v>
          </cell>
          <cell r="J5419" t="str">
            <v>Ecommerce (EU)</v>
          </cell>
          <cell r="K5419" t="str">
            <v>Ecommerce</v>
          </cell>
          <cell r="L5419" t="str">
            <v>Freight</v>
          </cell>
          <cell r="N5419" t="str">
            <v>Direct Costs</v>
          </cell>
          <cell r="O5419" t="str">
            <v>UPS Supply Chain Solutions Inc. (7F24A0)</v>
          </cell>
        </row>
        <row r="5420">
          <cell r="D5420">
            <v>2880</v>
          </cell>
          <cell r="H5420">
            <v>45627</v>
          </cell>
          <cell r="I5420" t="str">
            <v>6288 - Model</v>
          </cell>
          <cell r="J5420">
            <v>0</v>
          </cell>
          <cell r="K5420" t="str">
            <v>Brand Marketing</v>
          </cell>
          <cell r="L5420" t="str">
            <v>Advertising</v>
          </cell>
          <cell r="N5420" t="str">
            <v>SG&amp;A</v>
          </cell>
          <cell r="O5420" t="str">
            <v>Soul Artist Management</v>
          </cell>
        </row>
        <row r="5421">
          <cell r="D5421">
            <v>315.82</v>
          </cell>
          <cell r="H5421">
            <v>45627</v>
          </cell>
          <cell r="I5421" t="str">
            <v>6300 - Payroll Service Fees</v>
          </cell>
          <cell r="J5421">
            <v>0</v>
          </cell>
          <cell r="K5421" t="str">
            <v>Administration</v>
          </cell>
          <cell r="L5421" t="str">
            <v>Professional Service</v>
          </cell>
          <cell r="N5421" t="str">
            <v>SG&amp;A</v>
          </cell>
          <cell r="O5421" t="str">
            <v>ADP Payroll Services</v>
          </cell>
        </row>
        <row r="5422">
          <cell r="D5422">
            <v>594.37</v>
          </cell>
          <cell r="H5422">
            <v>45627</v>
          </cell>
          <cell r="I5422" t="str">
            <v>6300 - Payroll Service Fees</v>
          </cell>
          <cell r="J5422">
            <v>0</v>
          </cell>
          <cell r="K5422" t="str">
            <v>Administration</v>
          </cell>
          <cell r="L5422" t="str">
            <v>Professional Service</v>
          </cell>
          <cell r="N5422" t="str">
            <v>SG&amp;A</v>
          </cell>
          <cell r="O5422" t="str">
            <v>ADP Payroll Services</v>
          </cell>
        </row>
        <row r="5423">
          <cell r="D5423">
            <v>308.45999999999998</v>
          </cell>
          <cell r="H5423">
            <v>45627</v>
          </cell>
          <cell r="I5423" t="str">
            <v>6450 - Bank &amp; Other Fees</v>
          </cell>
          <cell r="J5423" t="str">
            <v>Ecommerce (US)</v>
          </cell>
          <cell r="K5423" t="str">
            <v>Ecommerce</v>
          </cell>
          <cell r="L5423" t="str">
            <v>Professional Service</v>
          </cell>
          <cell r="N5423" t="str">
            <v>Direct Costs</v>
          </cell>
          <cell r="O5423" t="str">
            <v>[No Vendor]</v>
          </cell>
        </row>
        <row r="5424">
          <cell r="D5424">
            <v>11062.5</v>
          </cell>
          <cell r="H5424">
            <v>45627</v>
          </cell>
          <cell r="I5424" t="str">
            <v>6205 - Contractors</v>
          </cell>
          <cell r="J5424" t="str">
            <v>Ecommerce (US)</v>
          </cell>
          <cell r="K5424" t="str">
            <v>Ecommerce</v>
          </cell>
          <cell r="L5424" t="str">
            <v>HQ Salaries</v>
          </cell>
          <cell r="N5424" t="str">
            <v>SG&amp;A</v>
          </cell>
          <cell r="O5424" t="str">
            <v>[No Vendor]</v>
          </cell>
        </row>
        <row r="5425">
          <cell r="D5425">
            <v>48611.83</v>
          </cell>
          <cell r="H5425">
            <v>45627</v>
          </cell>
          <cell r="I5425" t="str">
            <v>6375 - Freight Expenses</v>
          </cell>
          <cell r="J5425" t="str">
            <v>Ecommerce (US)</v>
          </cell>
          <cell r="K5425" t="str">
            <v>Ecommerce</v>
          </cell>
          <cell r="L5425" t="str">
            <v>Freight</v>
          </cell>
          <cell r="N5425" t="str">
            <v>Direct Costs</v>
          </cell>
          <cell r="O5425" t="str">
            <v>UPS Supply Chain Solutions Inc. (7F24A0)</v>
          </cell>
        </row>
        <row r="5426">
          <cell r="D5426">
            <v>2800</v>
          </cell>
          <cell r="H5426">
            <v>45627</v>
          </cell>
          <cell r="I5426" t="str">
            <v>6205 - Contractors</v>
          </cell>
          <cell r="J5426">
            <v>0</v>
          </cell>
          <cell r="K5426" t="str">
            <v>Brand Marketing</v>
          </cell>
          <cell r="L5426" t="str">
            <v>HQ Salaries</v>
          </cell>
          <cell r="N5426" t="str">
            <v>SG&amp;A</v>
          </cell>
          <cell r="O5426" t="str">
            <v>Ammy  Thitichaya Chan</v>
          </cell>
        </row>
        <row r="5427">
          <cell r="D5427">
            <v>17.600000000000001</v>
          </cell>
          <cell r="H5427">
            <v>45627</v>
          </cell>
          <cell r="I5427" t="str">
            <v>6375 - Freight Expenses</v>
          </cell>
          <cell r="J5427" t="str">
            <v>Wholesale</v>
          </cell>
          <cell r="K5427" t="str">
            <v>Wholesale</v>
          </cell>
          <cell r="L5427" t="str">
            <v>Freight</v>
          </cell>
          <cell r="N5427" t="str">
            <v>Direct Costs</v>
          </cell>
          <cell r="O5427" t="str">
            <v>UPS Supply Chain Solutions Inc. (7F24A0)</v>
          </cell>
        </row>
        <row r="5428">
          <cell r="D5428">
            <v>51.24</v>
          </cell>
          <cell r="H5428">
            <v>45627</v>
          </cell>
          <cell r="I5428" t="str">
            <v>6375 - Freight Expenses</v>
          </cell>
          <cell r="J5428" t="str">
            <v>Ecommerce (EU)</v>
          </cell>
          <cell r="K5428" t="str">
            <v>Ecommerce</v>
          </cell>
          <cell r="L5428" t="str">
            <v>Freight</v>
          </cell>
          <cell r="N5428" t="str">
            <v>Direct Costs</v>
          </cell>
          <cell r="O5428" t="str">
            <v>UPS Supply Chain Solutions Inc. (7F24A0)</v>
          </cell>
        </row>
        <row r="5429">
          <cell r="D5429">
            <v>4800</v>
          </cell>
          <cell r="H5429">
            <v>45627</v>
          </cell>
          <cell r="I5429" t="str">
            <v>6288 - Model</v>
          </cell>
          <cell r="J5429" t="str">
            <v>Ecommerce (US)</v>
          </cell>
          <cell r="K5429" t="str">
            <v>Brand Marketing</v>
          </cell>
          <cell r="L5429" t="str">
            <v>Advertising</v>
          </cell>
          <cell r="N5429" t="str">
            <v>SG&amp;A</v>
          </cell>
          <cell r="O5429" t="str">
            <v>New York Model Management, Inc.</v>
          </cell>
        </row>
        <row r="5430">
          <cell r="D5430">
            <v>500</v>
          </cell>
          <cell r="H5430">
            <v>45627</v>
          </cell>
          <cell r="I5430" t="str">
            <v>6380 - Legal &amp; Accounting</v>
          </cell>
          <cell r="J5430">
            <v>0</v>
          </cell>
          <cell r="K5430" t="str">
            <v>Administration</v>
          </cell>
          <cell r="L5430" t="str">
            <v>Professional Service</v>
          </cell>
          <cell r="N5430" t="str">
            <v>SG&amp;A</v>
          </cell>
          <cell r="O5430" t="str">
            <v>Korus Legal P.C.</v>
          </cell>
        </row>
        <row r="5431">
          <cell r="D5431">
            <v>4960</v>
          </cell>
          <cell r="H5431">
            <v>45627</v>
          </cell>
          <cell r="I5431" t="str">
            <v>6240 - Product Photography</v>
          </cell>
          <cell r="J5431" t="str">
            <v>Ecommerce (US)</v>
          </cell>
          <cell r="K5431" t="str">
            <v>Brand Marketing</v>
          </cell>
          <cell r="L5431" t="str">
            <v>Advertising</v>
          </cell>
          <cell r="N5431" t="str">
            <v>SG&amp;A</v>
          </cell>
          <cell r="O5431" t="str">
            <v>LENFLASH dot COM</v>
          </cell>
        </row>
        <row r="5432">
          <cell r="D5432">
            <v>2100</v>
          </cell>
          <cell r="H5432">
            <v>45627</v>
          </cell>
          <cell r="I5432" t="str">
            <v>6225 - Professional Services</v>
          </cell>
          <cell r="J5432">
            <v>0</v>
          </cell>
          <cell r="K5432" t="str">
            <v>Brand Marketing</v>
          </cell>
          <cell r="L5432" t="str">
            <v>Professional Service</v>
          </cell>
          <cell r="N5432" t="str">
            <v>Direct Costs</v>
          </cell>
          <cell r="O5432" t="str">
            <v>Melody  Huang</v>
          </cell>
        </row>
        <row r="5433">
          <cell r="D5433">
            <v>38.270000000000003</v>
          </cell>
          <cell r="H5433">
            <v>45627</v>
          </cell>
          <cell r="I5433" t="str">
            <v>6375 - Freight Expenses</v>
          </cell>
          <cell r="J5433" t="str">
            <v>Ecommerce (US)</v>
          </cell>
          <cell r="K5433" t="str">
            <v>Ecommerce</v>
          </cell>
          <cell r="L5433" t="str">
            <v>Freight</v>
          </cell>
          <cell r="N5433" t="str">
            <v>Direct Costs</v>
          </cell>
          <cell r="O5433" t="str">
            <v>Federal Express</v>
          </cell>
        </row>
        <row r="5434">
          <cell r="D5434">
            <v>-22.61</v>
          </cell>
          <cell r="H5434">
            <v>45627</v>
          </cell>
          <cell r="I5434" t="str">
            <v>6375 - Freight Expenses</v>
          </cell>
          <cell r="J5434" t="str">
            <v>Ecommerce (US)</v>
          </cell>
          <cell r="K5434" t="str">
            <v>Ecommerce</v>
          </cell>
          <cell r="L5434" t="str">
            <v>Freight</v>
          </cell>
          <cell r="N5434" t="str">
            <v>Direct Costs</v>
          </cell>
          <cell r="O5434" t="str">
            <v>UPS Supply Chain Solutions Inc. (7F24A0)</v>
          </cell>
        </row>
        <row r="5435">
          <cell r="D5435">
            <v>20191.82</v>
          </cell>
          <cell r="H5435">
            <v>45627</v>
          </cell>
          <cell r="I5435" t="str">
            <v>6286 - SEM</v>
          </cell>
          <cell r="J5435" t="str">
            <v>Ecommerce (EU)</v>
          </cell>
          <cell r="K5435" t="str">
            <v>Ecommerce</v>
          </cell>
          <cell r="L5435" t="str">
            <v>Marketing</v>
          </cell>
          <cell r="N5435" t="str">
            <v>Direct Costs</v>
          </cell>
          <cell r="O5435" t="str">
            <v>[No Vendor]</v>
          </cell>
        </row>
        <row r="5436">
          <cell r="D5436">
            <v>7.69</v>
          </cell>
          <cell r="H5436">
            <v>45627</v>
          </cell>
          <cell r="I5436" t="str">
            <v>6375 - Freight Expenses</v>
          </cell>
          <cell r="J5436" t="str">
            <v>Ecommerce (EU)</v>
          </cell>
          <cell r="K5436" t="str">
            <v>Ecommerce</v>
          </cell>
          <cell r="L5436" t="str">
            <v>Freight</v>
          </cell>
          <cell r="N5436" t="str">
            <v>Direct Costs</v>
          </cell>
          <cell r="O5436" t="str">
            <v>UPS Supply Chain Solutions Inc. (7F24A0)</v>
          </cell>
        </row>
        <row r="5437">
          <cell r="D5437">
            <v>600</v>
          </cell>
          <cell r="H5437">
            <v>45627</v>
          </cell>
          <cell r="I5437" t="str">
            <v>6288 - Model</v>
          </cell>
          <cell r="J5437" t="str">
            <v>Ecommerce (US)</v>
          </cell>
          <cell r="K5437" t="str">
            <v>Brand Marketing</v>
          </cell>
          <cell r="L5437" t="str">
            <v>Advertising</v>
          </cell>
          <cell r="N5437" t="str">
            <v>SG&amp;A</v>
          </cell>
          <cell r="O5437" t="str">
            <v>State Artist Management</v>
          </cell>
        </row>
        <row r="5438">
          <cell r="D5438">
            <v>4044.9</v>
          </cell>
          <cell r="H5438">
            <v>45627</v>
          </cell>
          <cell r="I5438" t="str">
            <v>6210 - Monitoring</v>
          </cell>
          <cell r="J5438" t="str">
            <v>Ecommerce (EU)</v>
          </cell>
          <cell r="K5438" t="str">
            <v>Ecommerce</v>
          </cell>
          <cell r="L5438" t="str">
            <v>Professional Service</v>
          </cell>
          <cell r="N5438" t="str">
            <v>Direct Costs</v>
          </cell>
          <cell r="O5438" t="str">
            <v>Convey SRL</v>
          </cell>
        </row>
        <row r="5439">
          <cell r="D5439">
            <v>1034.31</v>
          </cell>
          <cell r="H5439">
            <v>45627</v>
          </cell>
          <cell r="I5439" t="str">
            <v>6340 - Miscellaneous Expense</v>
          </cell>
          <cell r="J5439">
            <v>0</v>
          </cell>
          <cell r="K5439" t="str">
            <v>Administration</v>
          </cell>
          <cell r="L5439" t="str">
            <v>Other</v>
          </cell>
          <cell r="N5439" t="str">
            <v>SG&amp;A</v>
          </cell>
          <cell r="O5439" t="str">
            <v>Go Gleem LLC</v>
          </cell>
        </row>
        <row r="5440">
          <cell r="D5440">
            <v>-0.01</v>
          </cell>
          <cell r="H5440">
            <v>45627</v>
          </cell>
          <cell r="I5440" t="str">
            <v>8590 - Rounding Gain/Loss</v>
          </cell>
          <cell r="J5440">
            <v>0</v>
          </cell>
          <cell r="K5440" t="str">
            <v>No Department</v>
          </cell>
          <cell r="L5440" t="str">
            <v>Realized Gain / Loss</v>
          </cell>
          <cell r="N5440" t="str">
            <v>BTL</v>
          </cell>
          <cell r="O5440" t="str">
            <v>[No Vendor]</v>
          </cell>
        </row>
        <row r="5441">
          <cell r="D5441">
            <v>139</v>
          </cell>
          <cell r="H5441">
            <v>45627</v>
          </cell>
          <cell r="I5441" t="str">
            <v>6040 - Employer Paid Benefits</v>
          </cell>
          <cell r="J5441">
            <v>0</v>
          </cell>
          <cell r="K5441" t="str">
            <v>Design</v>
          </cell>
          <cell r="L5441" t="str">
            <v>HQ Salaries</v>
          </cell>
          <cell r="N5441" t="str">
            <v>SG&amp;A</v>
          </cell>
          <cell r="O5441" t="str">
            <v>Procyon Benefits LLC</v>
          </cell>
        </row>
        <row r="5442">
          <cell r="D5442">
            <v>1890</v>
          </cell>
          <cell r="H5442">
            <v>45627</v>
          </cell>
          <cell r="I5442" t="str">
            <v>6240 - Product Photography</v>
          </cell>
          <cell r="J5442" t="str">
            <v>Ecommerce (US)</v>
          </cell>
          <cell r="K5442" t="str">
            <v>Brand Marketing</v>
          </cell>
          <cell r="L5442" t="str">
            <v>Advertising</v>
          </cell>
          <cell r="N5442" t="str">
            <v>SG&amp;A</v>
          </cell>
          <cell r="O5442" t="str">
            <v>LENFLASH dot COM</v>
          </cell>
        </row>
        <row r="5443">
          <cell r="D5443">
            <v>13450</v>
          </cell>
          <cell r="H5443">
            <v>45627</v>
          </cell>
          <cell r="I5443" t="str">
            <v>6240 - Product Photography</v>
          </cell>
          <cell r="J5443" t="str">
            <v>Ecommerce (US)</v>
          </cell>
          <cell r="K5443" t="str">
            <v>Brand Marketing</v>
          </cell>
          <cell r="L5443" t="str">
            <v>Advertising</v>
          </cell>
          <cell r="N5443" t="str">
            <v>SG&amp;A</v>
          </cell>
          <cell r="O5443" t="str">
            <v>Theerapol Thammasitboon</v>
          </cell>
        </row>
        <row r="5444">
          <cell r="D5444">
            <v>600</v>
          </cell>
          <cell r="H5444">
            <v>45627</v>
          </cell>
          <cell r="I5444" t="str">
            <v>6240 - Product Photography</v>
          </cell>
          <cell r="J5444" t="str">
            <v>Ecommerce (US)</v>
          </cell>
          <cell r="K5444" t="str">
            <v>Brand Marketing</v>
          </cell>
          <cell r="L5444" t="str">
            <v>Advertising</v>
          </cell>
          <cell r="N5444" t="str">
            <v>SG&amp;A</v>
          </cell>
          <cell r="O5444" t="str">
            <v>Theerapol Thammasitboon</v>
          </cell>
        </row>
        <row r="5445">
          <cell r="D5445">
            <v>4212</v>
          </cell>
          <cell r="H5445">
            <v>45627</v>
          </cell>
          <cell r="I5445" t="str">
            <v>6240 - Product Photography</v>
          </cell>
          <cell r="J5445" t="str">
            <v>Ecommerce (US)</v>
          </cell>
          <cell r="K5445" t="str">
            <v>Brand Marketing</v>
          </cell>
          <cell r="L5445" t="str">
            <v>Advertising</v>
          </cell>
          <cell r="N5445" t="str">
            <v>SG&amp;A</v>
          </cell>
          <cell r="O5445" t="str">
            <v>Theerapol Thammasitboon</v>
          </cell>
        </row>
        <row r="5446">
          <cell r="D5446">
            <v>942.5</v>
          </cell>
          <cell r="H5446">
            <v>45627</v>
          </cell>
          <cell r="I5446" t="str">
            <v>6300 - Payroll Service Fees</v>
          </cell>
          <cell r="J5446">
            <v>0</v>
          </cell>
          <cell r="K5446" t="str">
            <v>Administration</v>
          </cell>
          <cell r="L5446" t="str">
            <v>Professional Service</v>
          </cell>
          <cell r="N5446" t="str">
            <v>SG&amp;A</v>
          </cell>
          <cell r="O5446" t="str">
            <v>OperationsInc, LLC</v>
          </cell>
        </row>
        <row r="5447">
          <cell r="D5447">
            <v>1833.07</v>
          </cell>
          <cell r="H5447">
            <v>45627</v>
          </cell>
          <cell r="I5447" t="str">
            <v>6375 - Freight Expenses</v>
          </cell>
          <cell r="J5447">
            <v>0</v>
          </cell>
          <cell r="K5447" t="str">
            <v>Production</v>
          </cell>
          <cell r="L5447" t="str">
            <v>Freight</v>
          </cell>
          <cell r="N5447" t="str">
            <v>Direct Costs</v>
          </cell>
          <cell r="O5447" t="str">
            <v>DHL Express - USA</v>
          </cell>
        </row>
        <row r="5448">
          <cell r="D5448">
            <v>759.81</v>
          </cell>
          <cell r="H5448">
            <v>45627</v>
          </cell>
          <cell r="I5448" t="str">
            <v>6375 - Freight Expenses</v>
          </cell>
          <cell r="J5448" t="str">
            <v>Ecommerce (EU)</v>
          </cell>
          <cell r="K5448" t="str">
            <v>Ecommerce</v>
          </cell>
          <cell r="L5448" t="str">
            <v>Freight</v>
          </cell>
          <cell r="N5448" t="str">
            <v>Direct Costs</v>
          </cell>
          <cell r="O5448" t="str">
            <v>UPS Supply Chain Solutions Inc. (7F24A0)</v>
          </cell>
        </row>
        <row r="5449">
          <cell r="D5449">
            <v>894.52</v>
          </cell>
          <cell r="H5449">
            <v>45627</v>
          </cell>
          <cell r="I5449" t="str">
            <v>6040 - Employer Paid Benefits</v>
          </cell>
          <cell r="J5449" t="str">
            <v>Wholesale</v>
          </cell>
          <cell r="K5449" t="str">
            <v>Wholesale</v>
          </cell>
          <cell r="L5449" t="str">
            <v>HQ Salaries</v>
          </cell>
          <cell r="N5449" t="str">
            <v>SG&amp;A</v>
          </cell>
          <cell r="O5449" t="str">
            <v>Procyon Benefits LLC</v>
          </cell>
        </row>
        <row r="5450">
          <cell r="D5450">
            <v>99.4</v>
          </cell>
          <cell r="H5450">
            <v>45627</v>
          </cell>
          <cell r="I5450" t="str">
            <v>6040 - Employer Paid Benefits</v>
          </cell>
          <cell r="J5450">
            <v>0</v>
          </cell>
          <cell r="K5450" t="str">
            <v>Production</v>
          </cell>
          <cell r="L5450" t="str">
            <v>HQ Salaries</v>
          </cell>
          <cell r="N5450" t="str">
            <v>SG&amp;A</v>
          </cell>
          <cell r="O5450" t="str">
            <v>Procyon Benefits LLC</v>
          </cell>
        </row>
        <row r="5451">
          <cell r="D5451">
            <v>39.799999999999997</v>
          </cell>
          <cell r="H5451">
            <v>45627</v>
          </cell>
          <cell r="I5451" t="str">
            <v>6040 - Employer Paid Benefits</v>
          </cell>
          <cell r="J5451">
            <v>0</v>
          </cell>
          <cell r="K5451" t="str">
            <v>Merchandising</v>
          </cell>
          <cell r="L5451" t="str">
            <v>HQ Salaries</v>
          </cell>
          <cell r="N5451" t="str">
            <v>SG&amp;A</v>
          </cell>
          <cell r="O5451" t="str">
            <v>Procyon Benefits LLC</v>
          </cell>
        </row>
        <row r="5452">
          <cell r="D5452">
            <v>111.75</v>
          </cell>
          <cell r="H5452">
            <v>45627</v>
          </cell>
          <cell r="I5452" t="str">
            <v>6040 - Employer Paid Benefits</v>
          </cell>
          <cell r="J5452">
            <v>0</v>
          </cell>
          <cell r="K5452" t="str">
            <v>Executive</v>
          </cell>
          <cell r="L5452" t="str">
            <v>HQ Salaries</v>
          </cell>
          <cell r="N5452" t="str">
            <v>SG&amp;A</v>
          </cell>
          <cell r="O5452" t="str">
            <v>Procyon Benefits LLC</v>
          </cell>
        </row>
        <row r="5453">
          <cell r="D5453">
            <v>1613.81</v>
          </cell>
          <cell r="H5453">
            <v>45627</v>
          </cell>
          <cell r="I5453" t="str">
            <v>6375 - Freight Expenses</v>
          </cell>
          <cell r="J5453" t="str">
            <v>Ecommerce (US)</v>
          </cell>
          <cell r="K5453" t="str">
            <v>Ecommerce</v>
          </cell>
          <cell r="L5453" t="str">
            <v>Freight</v>
          </cell>
          <cell r="N5453" t="str">
            <v>Direct Costs</v>
          </cell>
          <cell r="O5453" t="str">
            <v>UPS Supply Chain Solutions Inc. (7F24A0)</v>
          </cell>
        </row>
        <row r="5454">
          <cell r="D5454">
            <v>9921.98</v>
          </cell>
          <cell r="H5454">
            <v>45627</v>
          </cell>
          <cell r="I5454" t="str">
            <v>6205 - Contractors</v>
          </cell>
          <cell r="J5454">
            <v>0</v>
          </cell>
          <cell r="K5454" t="str">
            <v>Production</v>
          </cell>
          <cell r="L5454" t="str">
            <v>HQ Salaries</v>
          </cell>
          <cell r="N5454" t="str">
            <v>SG&amp;A</v>
          </cell>
          <cell r="O5454" t="str">
            <v>Philip Yau</v>
          </cell>
        </row>
        <row r="5455">
          <cell r="D5455">
            <v>23.27</v>
          </cell>
          <cell r="H5455">
            <v>45627</v>
          </cell>
          <cell r="I5455" t="str">
            <v>6135 - Parking and Tolls</v>
          </cell>
          <cell r="J5455" t="str">
            <v>Wholesale</v>
          </cell>
          <cell r="K5455" t="str">
            <v>Wholesale</v>
          </cell>
          <cell r="L5455" t="str">
            <v>T&amp;E</v>
          </cell>
          <cell r="N5455" t="str">
            <v>SG&amp;A</v>
          </cell>
          <cell r="O5455" t="str">
            <v>Chris Suterko</v>
          </cell>
        </row>
        <row r="5456">
          <cell r="D5456">
            <v>18</v>
          </cell>
          <cell r="H5456">
            <v>45627</v>
          </cell>
          <cell r="I5456" t="str">
            <v>6135 - Parking and Tolls</v>
          </cell>
          <cell r="J5456" t="str">
            <v>Wholesale</v>
          </cell>
          <cell r="K5456" t="str">
            <v>Wholesale</v>
          </cell>
          <cell r="L5456" t="str">
            <v>T&amp;E</v>
          </cell>
          <cell r="N5456" t="str">
            <v>SG&amp;A</v>
          </cell>
          <cell r="O5456" t="str">
            <v>Chris Suterko</v>
          </cell>
        </row>
        <row r="5457">
          <cell r="D5457">
            <v>47.73</v>
          </cell>
          <cell r="H5457">
            <v>45627</v>
          </cell>
          <cell r="I5457" t="str">
            <v>6375 - Freight Expenses</v>
          </cell>
          <cell r="J5457" t="str">
            <v>Ecommerce (EU)</v>
          </cell>
          <cell r="K5457" t="str">
            <v>Ecommerce</v>
          </cell>
          <cell r="L5457" t="str">
            <v>Freight</v>
          </cell>
          <cell r="N5457" t="str">
            <v>Direct Costs</v>
          </cell>
          <cell r="O5457" t="str">
            <v>UPS Supply Chain Solutions Inc. (7F24A0)</v>
          </cell>
        </row>
        <row r="5458">
          <cell r="D5458">
            <v>18.87</v>
          </cell>
          <cell r="H5458">
            <v>45627</v>
          </cell>
          <cell r="I5458" t="str">
            <v>6300 - Payroll Service Fees</v>
          </cell>
          <cell r="J5458">
            <v>0</v>
          </cell>
          <cell r="K5458" t="str">
            <v>Administration</v>
          </cell>
          <cell r="L5458" t="str">
            <v>Professional Service</v>
          </cell>
          <cell r="N5458" t="str">
            <v>SG&amp;A</v>
          </cell>
          <cell r="O5458" t="str">
            <v>ADP Payroll Services</v>
          </cell>
        </row>
        <row r="5459">
          <cell r="D5459">
            <v>4500</v>
          </cell>
          <cell r="H5459">
            <v>45627</v>
          </cell>
          <cell r="I5459" t="str">
            <v>6225 - Professional Services</v>
          </cell>
          <cell r="J5459" t="str">
            <v>Ecommerce (US)</v>
          </cell>
          <cell r="K5459" t="str">
            <v>Ecommerce</v>
          </cell>
          <cell r="L5459" t="str">
            <v>Professional Service</v>
          </cell>
          <cell r="N5459" t="str">
            <v>Direct Costs</v>
          </cell>
          <cell r="O5459" t="str">
            <v>Freeflow LLC</v>
          </cell>
        </row>
        <row r="5460">
          <cell r="D5460">
            <v>3269.24</v>
          </cell>
          <cell r="H5460">
            <v>45627</v>
          </cell>
          <cell r="I5460" t="str">
            <v>6005 - Salaries</v>
          </cell>
          <cell r="J5460">
            <v>0</v>
          </cell>
          <cell r="K5460" t="str">
            <v>Brand Marketing</v>
          </cell>
          <cell r="L5460" t="str">
            <v>HQ Salaries</v>
          </cell>
          <cell r="N5460" t="str">
            <v>SG&amp;A</v>
          </cell>
          <cell r="O5460" t="str">
            <v>[No Vendor]</v>
          </cell>
        </row>
        <row r="5461">
          <cell r="D5461">
            <v>0</v>
          </cell>
          <cell r="H5461">
            <v>45627</v>
          </cell>
          <cell r="I5461" t="str">
            <v>6035 - Severance Expense</v>
          </cell>
          <cell r="J5461" t="str">
            <v>Wholesale</v>
          </cell>
          <cell r="K5461" t="str">
            <v>Wholesale</v>
          </cell>
          <cell r="L5461" t="str">
            <v>HQ Salaries</v>
          </cell>
          <cell r="N5461" t="str">
            <v>SG&amp;A</v>
          </cell>
          <cell r="O5461" t="str">
            <v>[No Vendor]</v>
          </cell>
        </row>
        <row r="5462">
          <cell r="D5462">
            <v>20575.2</v>
          </cell>
          <cell r="H5462">
            <v>45627</v>
          </cell>
          <cell r="I5462" t="str">
            <v>6205 - Contractors</v>
          </cell>
          <cell r="J5462" t="str">
            <v>Ecommerce (US)</v>
          </cell>
          <cell r="K5462" t="str">
            <v>Ecommerce</v>
          </cell>
          <cell r="L5462" t="str">
            <v>HQ Salaries</v>
          </cell>
          <cell r="N5462" t="str">
            <v>SG&amp;A</v>
          </cell>
          <cell r="O5462" t="str">
            <v>[No Vendor]</v>
          </cell>
        </row>
        <row r="5463">
          <cell r="D5463">
            <v>18333.330000000002</v>
          </cell>
          <cell r="H5463">
            <v>45627</v>
          </cell>
          <cell r="I5463" t="str">
            <v>6205 - Contractors</v>
          </cell>
          <cell r="J5463">
            <v>0</v>
          </cell>
          <cell r="K5463" t="str">
            <v>Brand Marketing</v>
          </cell>
          <cell r="L5463" t="str">
            <v>HQ Salaries</v>
          </cell>
          <cell r="N5463" t="str">
            <v>SG&amp;A</v>
          </cell>
          <cell r="O5463" t="str">
            <v>[No Vendor]</v>
          </cell>
        </row>
        <row r="5464">
          <cell r="D5464">
            <v>-22.05</v>
          </cell>
          <cell r="H5464">
            <v>45627</v>
          </cell>
          <cell r="I5464" t="str">
            <v>6385 - Insurance</v>
          </cell>
          <cell r="J5464">
            <v>0</v>
          </cell>
          <cell r="K5464" t="str">
            <v>Administration</v>
          </cell>
          <cell r="L5464" t="str">
            <v>Professional Service</v>
          </cell>
          <cell r="N5464" t="str">
            <v>SG&amp;A</v>
          </cell>
          <cell r="O5464" t="str">
            <v>[No Vendor]</v>
          </cell>
        </row>
        <row r="5465">
          <cell r="D5465">
            <v>-39.46</v>
          </cell>
          <cell r="H5465">
            <v>45627</v>
          </cell>
          <cell r="I5465" t="str">
            <v>6385 - Insurance</v>
          </cell>
          <cell r="J5465">
            <v>0</v>
          </cell>
          <cell r="K5465" t="str">
            <v>Administration</v>
          </cell>
          <cell r="L5465" t="str">
            <v>Professional Service</v>
          </cell>
          <cell r="N5465" t="str">
            <v>SG&amp;A</v>
          </cell>
          <cell r="O5465" t="str">
            <v>[No Vendor]</v>
          </cell>
        </row>
        <row r="5466">
          <cell r="D5466">
            <v>-40.24</v>
          </cell>
          <cell r="H5466">
            <v>45627</v>
          </cell>
          <cell r="I5466" t="str">
            <v>6385 - Insurance</v>
          </cell>
          <cell r="J5466">
            <v>0</v>
          </cell>
          <cell r="K5466" t="str">
            <v>Administration</v>
          </cell>
          <cell r="L5466" t="str">
            <v>Professional Service</v>
          </cell>
          <cell r="N5466" t="str">
            <v>SG&amp;A</v>
          </cell>
          <cell r="O5466" t="str">
            <v>[No Vendor]</v>
          </cell>
        </row>
        <row r="5467">
          <cell r="D5467">
            <v>-1.2</v>
          </cell>
          <cell r="H5467">
            <v>45627</v>
          </cell>
          <cell r="I5467" t="str">
            <v>6385 - Insurance</v>
          </cell>
          <cell r="J5467">
            <v>0</v>
          </cell>
          <cell r="K5467" t="str">
            <v>Administration</v>
          </cell>
          <cell r="L5467" t="str">
            <v>Professional Service</v>
          </cell>
          <cell r="N5467" t="str">
            <v>SG&amp;A</v>
          </cell>
          <cell r="O5467" t="str">
            <v>[No Vendor]</v>
          </cell>
        </row>
        <row r="5468">
          <cell r="D5468">
            <v>-45.67</v>
          </cell>
          <cell r="H5468">
            <v>45627</v>
          </cell>
          <cell r="I5468" t="str">
            <v>6385 - Insurance</v>
          </cell>
          <cell r="J5468">
            <v>0</v>
          </cell>
          <cell r="K5468" t="str">
            <v>Administration</v>
          </cell>
          <cell r="L5468" t="str">
            <v>Professional Service</v>
          </cell>
          <cell r="N5468" t="str">
            <v>SG&amp;A</v>
          </cell>
          <cell r="O5468" t="str">
            <v>[No Vendor]</v>
          </cell>
        </row>
        <row r="5469">
          <cell r="D5469">
            <v>-29.41</v>
          </cell>
          <cell r="H5469">
            <v>45627</v>
          </cell>
          <cell r="I5469" t="str">
            <v>6385 - Insurance</v>
          </cell>
          <cell r="J5469">
            <v>0</v>
          </cell>
          <cell r="K5469" t="str">
            <v>Administration</v>
          </cell>
          <cell r="L5469" t="str">
            <v>Professional Service</v>
          </cell>
          <cell r="N5469" t="str">
            <v>SG&amp;A</v>
          </cell>
          <cell r="O5469" t="str">
            <v>[No Vendor]</v>
          </cell>
        </row>
        <row r="5470">
          <cell r="D5470">
            <v>-12.19</v>
          </cell>
          <cell r="H5470">
            <v>45627</v>
          </cell>
          <cell r="I5470" t="str">
            <v>6385 - Insurance</v>
          </cell>
          <cell r="J5470">
            <v>0</v>
          </cell>
          <cell r="K5470" t="str">
            <v>Administration</v>
          </cell>
          <cell r="L5470" t="str">
            <v>Professional Service</v>
          </cell>
          <cell r="N5470" t="str">
            <v>SG&amp;A</v>
          </cell>
          <cell r="O5470" t="str">
            <v>[No Vendor]</v>
          </cell>
        </row>
        <row r="5471">
          <cell r="D5471">
            <v>-1.2</v>
          </cell>
          <cell r="H5471">
            <v>45627</v>
          </cell>
          <cell r="I5471" t="str">
            <v>6385 - Insurance</v>
          </cell>
          <cell r="J5471">
            <v>0</v>
          </cell>
          <cell r="K5471" t="str">
            <v>Administration</v>
          </cell>
          <cell r="L5471" t="str">
            <v>Professional Service</v>
          </cell>
          <cell r="N5471" t="str">
            <v>SG&amp;A</v>
          </cell>
          <cell r="O5471" t="str">
            <v>[No Vendor]</v>
          </cell>
        </row>
        <row r="5472">
          <cell r="D5472">
            <v>1610.07</v>
          </cell>
          <cell r="H5472">
            <v>45627</v>
          </cell>
          <cell r="I5472" t="str">
            <v>6055 - Employer Social Security Tax Withheld</v>
          </cell>
          <cell r="J5472" t="str">
            <v>Ecommerce (US)</v>
          </cell>
          <cell r="K5472" t="str">
            <v>Ecommerce</v>
          </cell>
          <cell r="L5472" t="str">
            <v>HQ Salaries</v>
          </cell>
          <cell r="N5472" t="str">
            <v>SG&amp;A</v>
          </cell>
          <cell r="O5472" t="str">
            <v>[No Vendor]</v>
          </cell>
        </row>
        <row r="5473">
          <cell r="D5473">
            <v>1942.25</v>
          </cell>
          <cell r="H5473">
            <v>45627</v>
          </cell>
          <cell r="I5473" t="str">
            <v>6055 - Employer Social Security Tax Withheld</v>
          </cell>
          <cell r="J5473">
            <v>0</v>
          </cell>
          <cell r="K5473" t="str">
            <v>Design</v>
          </cell>
          <cell r="L5473" t="str">
            <v>HQ Salaries</v>
          </cell>
          <cell r="N5473" t="str">
            <v>SG&amp;A</v>
          </cell>
          <cell r="O5473" t="str">
            <v>[No Vendor]</v>
          </cell>
        </row>
        <row r="5474">
          <cell r="D5474">
            <v>1953.17</v>
          </cell>
          <cell r="H5474">
            <v>45627</v>
          </cell>
          <cell r="I5474" t="str">
            <v>6055 - Employer Social Security Tax Withheld</v>
          </cell>
          <cell r="J5474">
            <v>0</v>
          </cell>
          <cell r="K5474" t="str">
            <v>Administration</v>
          </cell>
          <cell r="L5474" t="str">
            <v>HQ Salaries</v>
          </cell>
          <cell r="N5474" t="str">
            <v>SG&amp;A</v>
          </cell>
          <cell r="O5474" t="str">
            <v>[No Vendor]</v>
          </cell>
        </row>
        <row r="5475">
          <cell r="D5475">
            <v>579.38</v>
          </cell>
          <cell r="H5475">
            <v>45627</v>
          </cell>
          <cell r="I5475" t="str">
            <v>6055 - Employer Social Security Tax Withheld</v>
          </cell>
          <cell r="J5475">
            <v>0</v>
          </cell>
          <cell r="K5475" t="str">
            <v>Merchandising</v>
          </cell>
          <cell r="L5475" t="str">
            <v>HQ Salaries</v>
          </cell>
          <cell r="N5475" t="str">
            <v>SG&amp;A</v>
          </cell>
          <cell r="O5475" t="str">
            <v>[No Vendor]</v>
          </cell>
        </row>
        <row r="5476">
          <cell r="D5476">
            <v>1010.86</v>
          </cell>
          <cell r="H5476">
            <v>45627</v>
          </cell>
          <cell r="I5476" t="str">
            <v>6055 - Employer Social Security Tax Withheld</v>
          </cell>
          <cell r="J5476" t="str">
            <v>Wholesale</v>
          </cell>
          <cell r="K5476" t="str">
            <v>Wholesale</v>
          </cell>
          <cell r="L5476" t="str">
            <v>HQ Salaries</v>
          </cell>
          <cell r="N5476" t="str">
            <v>SG&amp;A</v>
          </cell>
          <cell r="O5476" t="str">
            <v>[No Vendor]</v>
          </cell>
        </row>
        <row r="5477">
          <cell r="D5477">
            <v>1458.7</v>
          </cell>
          <cell r="H5477">
            <v>45627</v>
          </cell>
          <cell r="I5477" t="str">
            <v>6055 - Employer Social Security Tax Withheld</v>
          </cell>
          <cell r="J5477">
            <v>0</v>
          </cell>
          <cell r="K5477" t="str">
            <v>Production</v>
          </cell>
          <cell r="L5477" t="str">
            <v>HQ Salaries</v>
          </cell>
          <cell r="N5477" t="str">
            <v>SG&amp;A</v>
          </cell>
          <cell r="O5477" t="str">
            <v>[No Vendor]</v>
          </cell>
        </row>
        <row r="5478">
          <cell r="D5478">
            <v>365.93</v>
          </cell>
          <cell r="H5478">
            <v>45627</v>
          </cell>
          <cell r="I5478" t="str">
            <v>6055 - Employer Social Security Tax Withheld</v>
          </cell>
          <cell r="J5478">
            <v>0</v>
          </cell>
          <cell r="K5478" t="str">
            <v>Brand Marketing</v>
          </cell>
          <cell r="L5478" t="str">
            <v>HQ Salaries</v>
          </cell>
          <cell r="N5478" t="str">
            <v>SG&amp;A</v>
          </cell>
          <cell r="O5478" t="str">
            <v>[No Vendor]</v>
          </cell>
        </row>
        <row r="5479">
          <cell r="D5479">
            <v>1181.97</v>
          </cell>
          <cell r="H5479">
            <v>45627</v>
          </cell>
          <cell r="I5479" t="str">
            <v>6055 - Employer Social Security Tax Withheld</v>
          </cell>
          <cell r="J5479">
            <v>0</v>
          </cell>
          <cell r="K5479" t="str">
            <v>Executive</v>
          </cell>
          <cell r="L5479" t="str">
            <v>HQ Salaries</v>
          </cell>
          <cell r="N5479" t="str">
            <v>SG&amp;A</v>
          </cell>
          <cell r="O5479" t="str">
            <v>[No Vendor]</v>
          </cell>
        </row>
        <row r="5480">
          <cell r="D5480">
            <v>-121.85</v>
          </cell>
          <cell r="H5480">
            <v>45627</v>
          </cell>
          <cell r="I5480" t="str">
            <v>6040 - Employer Paid Benefits</v>
          </cell>
          <cell r="J5480" t="str">
            <v>Ecommerce (US)</v>
          </cell>
          <cell r="K5480" t="str">
            <v>Ecommerce</v>
          </cell>
          <cell r="L5480" t="str">
            <v>HQ Salaries</v>
          </cell>
          <cell r="N5480" t="str">
            <v>SG&amp;A</v>
          </cell>
          <cell r="O5480" t="str">
            <v>[No Vendor]</v>
          </cell>
        </row>
        <row r="5481">
          <cell r="D5481">
            <v>-321.10000000000002</v>
          </cell>
          <cell r="H5481">
            <v>45627</v>
          </cell>
          <cell r="I5481" t="str">
            <v>6040 - Employer Paid Benefits</v>
          </cell>
          <cell r="J5481">
            <v>0</v>
          </cell>
          <cell r="K5481" t="str">
            <v>Design</v>
          </cell>
          <cell r="L5481" t="str">
            <v>HQ Salaries</v>
          </cell>
          <cell r="N5481" t="str">
            <v>SG&amp;A</v>
          </cell>
          <cell r="O5481" t="str">
            <v>[No Vendor]</v>
          </cell>
        </row>
        <row r="5482">
          <cell r="D5482">
            <v>-200.39</v>
          </cell>
          <cell r="H5482">
            <v>45627</v>
          </cell>
          <cell r="I5482" t="str">
            <v>6040 - Employer Paid Benefits</v>
          </cell>
          <cell r="J5482">
            <v>0</v>
          </cell>
          <cell r="K5482" t="str">
            <v>Administration</v>
          </cell>
          <cell r="L5482" t="str">
            <v>HQ Salaries</v>
          </cell>
          <cell r="N5482" t="str">
            <v>SG&amp;A</v>
          </cell>
          <cell r="O5482" t="str">
            <v>[No Vendor]</v>
          </cell>
        </row>
        <row r="5483">
          <cell r="D5483">
            <v>-64.92</v>
          </cell>
          <cell r="H5483">
            <v>45627</v>
          </cell>
          <cell r="I5483" t="str">
            <v>6040 - Employer Paid Benefits</v>
          </cell>
          <cell r="J5483" t="str">
            <v>Wholesale</v>
          </cell>
          <cell r="K5483" t="str">
            <v>Wholesale</v>
          </cell>
          <cell r="L5483" t="str">
            <v>HQ Salaries</v>
          </cell>
          <cell r="N5483" t="str">
            <v>SG&amp;A</v>
          </cell>
          <cell r="O5483" t="str">
            <v>[No Vendor]</v>
          </cell>
        </row>
        <row r="5484">
          <cell r="D5484">
            <v>-285.62</v>
          </cell>
          <cell r="H5484">
            <v>45627</v>
          </cell>
          <cell r="I5484" t="str">
            <v>6040 - Employer Paid Benefits</v>
          </cell>
          <cell r="J5484">
            <v>0</v>
          </cell>
          <cell r="K5484" t="str">
            <v>Production</v>
          </cell>
          <cell r="L5484" t="str">
            <v>HQ Salaries</v>
          </cell>
          <cell r="N5484" t="str">
            <v>SG&amp;A</v>
          </cell>
          <cell r="O5484" t="str">
            <v>[No Vendor]</v>
          </cell>
        </row>
        <row r="5485">
          <cell r="D5485">
            <v>-22.58</v>
          </cell>
          <cell r="H5485">
            <v>45627</v>
          </cell>
          <cell r="I5485" t="str">
            <v>6040 - Employer Paid Benefits</v>
          </cell>
          <cell r="J5485">
            <v>0</v>
          </cell>
          <cell r="K5485" t="str">
            <v>Brand Marketing</v>
          </cell>
          <cell r="L5485" t="str">
            <v>HQ Salaries</v>
          </cell>
          <cell r="N5485" t="str">
            <v>SG&amp;A</v>
          </cell>
          <cell r="O5485" t="str">
            <v>[No Vendor]</v>
          </cell>
        </row>
        <row r="5486">
          <cell r="D5486">
            <v>-234.27</v>
          </cell>
          <cell r="H5486">
            <v>45627</v>
          </cell>
          <cell r="I5486" t="str">
            <v>6040 - Employer Paid Benefits</v>
          </cell>
          <cell r="J5486">
            <v>0</v>
          </cell>
          <cell r="K5486" t="str">
            <v>Executive</v>
          </cell>
          <cell r="L5486" t="str">
            <v>HQ Salaries</v>
          </cell>
          <cell r="N5486" t="str">
            <v>SG&amp;A</v>
          </cell>
          <cell r="O5486" t="str">
            <v>[No Vendor]</v>
          </cell>
        </row>
        <row r="5487">
          <cell r="D5487">
            <v>11153.85</v>
          </cell>
          <cell r="H5487">
            <v>45627</v>
          </cell>
          <cell r="I5487" t="str">
            <v>6005 - Salaries</v>
          </cell>
          <cell r="J5487">
            <v>0</v>
          </cell>
          <cell r="K5487" t="str">
            <v>Executive</v>
          </cell>
          <cell r="L5487" t="str">
            <v>HQ Salaries</v>
          </cell>
          <cell r="N5487" t="str">
            <v>SG&amp;A</v>
          </cell>
          <cell r="O5487" t="str">
            <v>[No Vendor]</v>
          </cell>
        </row>
        <row r="5488">
          <cell r="D5488">
            <v>20780.8</v>
          </cell>
          <cell r="H5488">
            <v>45627</v>
          </cell>
          <cell r="I5488" t="str">
            <v>6005 - Salaries</v>
          </cell>
          <cell r="J5488" t="str">
            <v>Ecommerce (US)</v>
          </cell>
          <cell r="K5488" t="str">
            <v>Ecommerce</v>
          </cell>
          <cell r="L5488" t="str">
            <v>HQ Salaries</v>
          </cell>
          <cell r="N5488" t="str">
            <v>SG&amp;A</v>
          </cell>
          <cell r="O5488" t="str">
            <v>[No Vendor]</v>
          </cell>
        </row>
        <row r="5489">
          <cell r="D5489">
            <v>21388.47</v>
          </cell>
          <cell r="H5489">
            <v>45627</v>
          </cell>
          <cell r="I5489" t="str">
            <v>6005 - Salaries</v>
          </cell>
          <cell r="J5489">
            <v>0</v>
          </cell>
          <cell r="K5489" t="str">
            <v>Design</v>
          </cell>
          <cell r="L5489" t="str">
            <v>HQ Salaries</v>
          </cell>
          <cell r="N5489" t="str">
            <v>SG&amp;A</v>
          </cell>
          <cell r="O5489" t="str">
            <v>[No Vendor]</v>
          </cell>
        </row>
        <row r="5490">
          <cell r="D5490">
            <v>27015.41</v>
          </cell>
          <cell r="H5490">
            <v>45627</v>
          </cell>
          <cell r="I5490" t="str">
            <v>6005 - Salaries</v>
          </cell>
          <cell r="J5490">
            <v>0</v>
          </cell>
          <cell r="K5490" t="str">
            <v>Administration</v>
          </cell>
          <cell r="L5490" t="str">
            <v>HQ Salaries</v>
          </cell>
          <cell r="N5490" t="str">
            <v>SG&amp;A</v>
          </cell>
          <cell r="O5490" t="str">
            <v>[No Vendor]</v>
          </cell>
        </row>
        <row r="5491">
          <cell r="D5491">
            <v>5150</v>
          </cell>
          <cell r="H5491">
            <v>45627</v>
          </cell>
          <cell r="I5491" t="str">
            <v>6005 - Salaries</v>
          </cell>
          <cell r="J5491">
            <v>0</v>
          </cell>
          <cell r="K5491" t="str">
            <v>Merchandising</v>
          </cell>
          <cell r="L5491" t="str">
            <v>HQ Salaries</v>
          </cell>
          <cell r="N5491" t="str">
            <v>SG&amp;A</v>
          </cell>
          <cell r="O5491" t="str">
            <v>[No Vendor]</v>
          </cell>
        </row>
        <row r="5492">
          <cell r="D5492">
            <v>11923.08</v>
          </cell>
          <cell r="H5492">
            <v>45627</v>
          </cell>
          <cell r="I5492" t="str">
            <v>6005 - Salaries</v>
          </cell>
          <cell r="J5492" t="str">
            <v>Wholesale</v>
          </cell>
          <cell r="K5492" t="str">
            <v>Wholesale</v>
          </cell>
          <cell r="L5492" t="str">
            <v>HQ Salaries</v>
          </cell>
          <cell r="N5492" t="str">
            <v>SG&amp;A</v>
          </cell>
          <cell r="O5492" t="str">
            <v>[No Vendor]</v>
          </cell>
        </row>
        <row r="5493">
          <cell r="D5493">
            <v>19988.490000000002</v>
          </cell>
          <cell r="H5493">
            <v>45627</v>
          </cell>
          <cell r="I5493" t="str">
            <v>6005 - Salaries</v>
          </cell>
          <cell r="J5493">
            <v>0</v>
          </cell>
          <cell r="K5493" t="str">
            <v>Production</v>
          </cell>
          <cell r="L5493" t="str">
            <v>HQ Salaries</v>
          </cell>
          <cell r="N5493" t="str">
            <v>SG&amp;A</v>
          </cell>
          <cell r="O5493" t="str">
            <v>[No Vendor]</v>
          </cell>
        </row>
        <row r="5494">
          <cell r="D5494">
            <v>35912.86</v>
          </cell>
          <cell r="H5494">
            <v>45627</v>
          </cell>
          <cell r="I5494" t="str">
            <v>6375 - Freight Expenses</v>
          </cell>
          <cell r="J5494" t="str">
            <v>Ecommerce (US)</v>
          </cell>
          <cell r="K5494" t="str">
            <v>Ecommerce</v>
          </cell>
          <cell r="L5494" t="str">
            <v>Freight</v>
          </cell>
          <cell r="N5494" t="str">
            <v>Direct Costs</v>
          </cell>
          <cell r="O5494" t="str">
            <v>UPS Supply Chain Solutions Inc. (7F24A0)</v>
          </cell>
        </row>
        <row r="5495">
          <cell r="D5495">
            <v>719.8</v>
          </cell>
          <cell r="H5495">
            <v>45627</v>
          </cell>
          <cell r="I5495" t="str">
            <v>6410 - Lease Expense</v>
          </cell>
          <cell r="J5495">
            <v>0</v>
          </cell>
          <cell r="K5495" t="str">
            <v>Administration</v>
          </cell>
          <cell r="L5495" t="str">
            <v>Rent</v>
          </cell>
          <cell r="N5495" t="str">
            <v>SG&amp;A</v>
          </cell>
          <cell r="O5495" t="str">
            <v>Canon Financial Services, Inc.</v>
          </cell>
        </row>
        <row r="5496">
          <cell r="D5496">
            <v>449.92</v>
          </cell>
          <cell r="H5496">
            <v>45627</v>
          </cell>
          <cell r="I5496" t="str">
            <v>6375 - Freight Expenses</v>
          </cell>
          <cell r="J5496" t="str">
            <v>Wholesale</v>
          </cell>
          <cell r="K5496" t="str">
            <v>Wholesale</v>
          </cell>
          <cell r="L5496" t="str">
            <v>Freight</v>
          </cell>
          <cell r="N5496" t="str">
            <v>Direct Costs</v>
          </cell>
          <cell r="O5496" t="str">
            <v>UPS Supply Chain Solutions Inc. (7F24A0)</v>
          </cell>
        </row>
        <row r="5497">
          <cell r="D5497">
            <v>52.64</v>
          </cell>
          <cell r="H5497">
            <v>45627</v>
          </cell>
          <cell r="I5497" t="str">
            <v>6375 - Freight Expenses</v>
          </cell>
          <cell r="J5497" t="str">
            <v>Wholesale</v>
          </cell>
          <cell r="K5497" t="str">
            <v>Wholesale</v>
          </cell>
          <cell r="L5497" t="str">
            <v>Freight</v>
          </cell>
          <cell r="N5497" t="str">
            <v>Direct Costs</v>
          </cell>
          <cell r="O5497" t="str">
            <v>Bergen Logistics Corporation</v>
          </cell>
        </row>
        <row r="5498">
          <cell r="D5498">
            <v>42059.15</v>
          </cell>
          <cell r="H5498">
            <v>45627</v>
          </cell>
          <cell r="I5498" t="str">
            <v>6377 - Order Processing Expenses (New)</v>
          </cell>
          <cell r="J5498" t="str">
            <v>Ecommerce (US)</v>
          </cell>
          <cell r="K5498" t="str">
            <v>Ecommerce</v>
          </cell>
          <cell r="L5498" t="str">
            <v>Order Processing</v>
          </cell>
          <cell r="N5498" t="str">
            <v>Direct Costs</v>
          </cell>
          <cell r="O5498" t="str">
            <v>Bergen Logistics Corporation</v>
          </cell>
        </row>
        <row r="5499">
          <cell r="D5499">
            <v>1694.12</v>
          </cell>
          <cell r="H5499">
            <v>45627</v>
          </cell>
          <cell r="I5499" t="str">
            <v>6377 - Order Processing Expenses (New)</v>
          </cell>
          <cell r="J5499" t="str">
            <v>Wholesale</v>
          </cell>
          <cell r="K5499" t="str">
            <v>Wholesale</v>
          </cell>
          <cell r="L5499" t="str">
            <v>Order Processing</v>
          </cell>
          <cell r="N5499" t="str">
            <v>Direct Costs</v>
          </cell>
          <cell r="O5499" t="str">
            <v>Bergen Logistics Corporation</v>
          </cell>
        </row>
        <row r="5500">
          <cell r="D5500">
            <v>183.7</v>
          </cell>
          <cell r="H5500">
            <v>45627</v>
          </cell>
          <cell r="I5500" t="str">
            <v>6375 - Freight Expenses</v>
          </cell>
          <cell r="J5500" t="str">
            <v>Ecommerce (US)</v>
          </cell>
          <cell r="K5500" t="str">
            <v>Ecommerce</v>
          </cell>
          <cell r="L5500" t="str">
            <v>Freight</v>
          </cell>
          <cell r="N5500" t="str">
            <v>Direct Costs</v>
          </cell>
          <cell r="O5500" t="str">
            <v>Bergen Logistics Corporation</v>
          </cell>
        </row>
        <row r="5501">
          <cell r="D5501">
            <v>44.8</v>
          </cell>
          <cell r="H5501">
            <v>45627</v>
          </cell>
          <cell r="I5501" t="str">
            <v>6375 - Freight Expenses</v>
          </cell>
          <cell r="J5501">
            <v>0</v>
          </cell>
          <cell r="K5501" t="str">
            <v>Production</v>
          </cell>
          <cell r="L5501" t="str">
            <v>Freight</v>
          </cell>
          <cell r="N5501" t="str">
            <v>Direct Costs</v>
          </cell>
          <cell r="O5501" t="str">
            <v>DHL Express - USA</v>
          </cell>
        </row>
        <row r="5502">
          <cell r="D5502">
            <v>96.62</v>
          </cell>
          <cell r="H5502">
            <v>45627</v>
          </cell>
          <cell r="I5502" t="str">
            <v>8505 - Realized Gain/Loss</v>
          </cell>
          <cell r="J5502">
            <v>0</v>
          </cell>
          <cell r="K5502" t="str">
            <v>No Department</v>
          </cell>
          <cell r="L5502" t="str">
            <v>Realized Gain / Loss</v>
          </cell>
          <cell r="N5502" t="str">
            <v>BTL</v>
          </cell>
          <cell r="O5502" t="str">
            <v>[No Vendor]</v>
          </cell>
        </row>
        <row r="5503">
          <cell r="D5503">
            <v>25</v>
          </cell>
          <cell r="H5503">
            <v>45627</v>
          </cell>
          <cell r="I5503" t="str">
            <v>6450 - Bank &amp; Other Fees</v>
          </cell>
          <cell r="J5503">
            <v>0</v>
          </cell>
          <cell r="K5503" t="str">
            <v>Administration</v>
          </cell>
          <cell r="L5503" t="str">
            <v>Professional Service</v>
          </cell>
          <cell r="N5503" t="str">
            <v>SG&amp;A</v>
          </cell>
          <cell r="O5503" t="str">
            <v>[No Vendor]</v>
          </cell>
        </row>
        <row r="5504">
          <cell r="D5504">
            <v>19.72</v>
          </cell>
          <cell r="H5504">
            <v>45627</v>
          </cell>
          <cell r="I5504" t="str">
            <v>6375 - Freight Expenses</v>
          </cell>
          <cell r="J5504">
            <v>0</v>
          </cell>
          <cell r="K5504" t="str">
            <v>Production</v>
          </cell>
          <cell r="L5504" t="str">
            <v>Freight</v>
          </cell>
          <cell r="N5504" t="str">
            <v>Direct Costs</v>
          </cell>
          <cell r="O5504" t="str">
            <v>DHL Express - USA</v>
          </cell>
        </row>
        <row r="5505">
          <cell r="D5505">
            <v>2880</v>
          </cell>
          <cell r="H5505">
            <v>45627</v>
          </cell>
          <cell r="I5505" t="str">
            <v>6288 - Model</v>
          </cell>
          <cell r="J5505" t="str">
            <v>Ecommerce (US)</v>
          </cell>
          <cell r="K5505" t="str">
            <v>Brand Marketing</v>
          </cell>
          <cell r="L5505" t="str">
            <v>Advertising</v>
          </cell>
          <cell r="N5505" t="str">
            <v>SG&amp;A</v>
          </cell>
          <cell r="O5505" t="str">
            <v>State Artist Management</v>
          </cell>
        </row>
        <row r="5506">
          <cell r="D5506">
            <v>300</v>
          </cell>
          <cell r="H5506">
            <v>45627</v>
          </cell>
          <cell r="I5506" t="str">
            <v>6288 - Model</v>
          </cell>
          <cell r="J5506" t="str">
            <v>Ecommerce (US)</v>
          </cell>
          <cell r="K5506" t="str">
            <v>Brand Marketing</v>
          </cell>
          <cell r="L5506" t="str">
            <v>Advertising</v>
          </cell>
          <cell r="N5506" t="str">
            <v>SG&amp;A</v>
          </cell>
          <cell r="O5506" t="str">
            <v>State Artist Management</v>
          </cell>
        </row>
        <row r="5507">
          <cell r="D5507">
            <v>700</v>
          </cell>
          <cell r="H5507">
            <v>45627</v>
          </cell>
          <cell r="I5507" t="str">
            <v>6205 - Contractors</v>
          </cell>
          <cell r="J5507">
            <v>0</v>
          </cell>
          <cell r="K5507" t="str">
            <v>Brand Marketing</v>
          </cell>
          <cell r="L5507" t="str">
            <v>HQ Salaries</v>
          </cell>
          <cell r="N5507" t="str">
            <v>SG&amp;A</v>
          </cell>
          <cell r="O5507" t="str">
            <v>Gabe Hultberg</v>
          </cell>
        </row>
        <row r="5508">
          <cell r="D5508">
            <v>-3039.21</v>
          </cell>
          <cell r="H5508">
            <v>45627</v>
          </cell>
          <cell r="I5508" t="str">
            <v>5001 - Cost of Goods Sold - Other</v>
          </cell>
          <cell r="J5508" t="str">
            <v>Ecommerce (EU)</v>
          </cell>
          <cell r="K5508" t="str">
            <v>Ecommerce</v>
          </cell>
          <cell r="L5508" t="str">
            <v>Other COGS</v>
          </cell>
          <cell r="N5508" t="str">
            <v>COGS</v>
          </cell>
          <cell r="O5508" t="str">
            <v>Global-E</v>
          </cell>
        </row>
        <row r="5509">
          <cell r="D5509">
            <v>35</v>
          </cell>
          <cell r="H5509">
            <v>45627</v>
          </cell>
          <cell r="I5509" t="str">
            <v>6040 - Employer Paid Benefits</v>
          </cell>
          <cell r="J5509">
            <v>0</v>
          </cell>
          <cell r="K5509" t="str">
            <v>Design</v>
          </cell>
          <cell r="L5509" t="str">
            <v>HQ Salaries</v>
          </cell>
          <cell r="N5509" t="str">
            <v>SG&amp;A</v>
          </cell>
          <cell r="O5509" t="str">
            <v>Procyon Benefits LLC</v>
          </cell>
        </row>
        <row r="5510">
          <cell r="D5510">
            <v>480</v>
          </cell>
          <cell r="H5510">
            <v>45627</v>
          </cell>
          <cell r="I5510" t="str">
            <v>6288 - Model</v>
          </cell>
          <cell r="J5510" t="str">
            <v>Ecommerce (US)</v>
          </cell>
          <cell r="K5510" t="str">
            <v>Brand Marketing</v>
          </cell>
          <cell r="L5510" t="str">
            <v>Advertising</v>
          </cell>
          <cell r="N5510" t="str">
            <v>SG&amp;A</v>
          </cell>
          <cell r="O5510" t="str">
            <v>State Artist Management</v>
          </cell>
        </row>
        <row r="5511">
          <cell r="D5511">
            <v>520</v>
          </cell>
          <cell r="H5511">
            <v>45627</v>
          </cell>
          <cell r="I5511" t="str">
            <v>6300 - Payroll Service Fees</v>
          </cell>
          <cell r="J5511">
            <v>0</v>
          </cell>
          <cell r="K5511" t="str">
            <v>Administration</v>
          </cell>
          <cell r="L5511" t="str">
            <v>Professional Service</v>
          </cell>
          <cell r="N5511" t="str">
            <v>SG&amp;A</v>
          </cell>
          <cell r="O5511" t="str">
            <v>OperationsInc, LLC</v>
          </cell>
        </row>
        <row r="5512">
          <cell r="D5512">
            <v>684.37</v>
          </cell>
          <cell r="H5512">
            <v>45627</v>
          </cell>
          <cell r="I5512" t="str">
            <v>6375 - Freight Expenses</v>
          </cell>
          <cell r="J5512">
            <v>0</v>
          </cell>
          <cell r="K5512" t="str">
            <v>Production</v>
          </cell>
          <cell r="L5512" t="str">
            <v>Freight</v>
          </cell>
          <cell r="N5512" t="str">
            <v>Direct Costs</v>
          </cell>
          <cell r="O5512" t="str">
            <v>DHL Express - USA</v>
          </cell>
        </row>
        <row r="5513">
          <cell r="D5513">
            <v>105.88</v>
          </cell>
          <cell r="H5513">
            <v>45627</v>
          </cell>
          <cell r="I5513" t="str">
            <v>6375 - Freight Expenses</v>
          </cell>
          <cell r="J5513">
            <v>0</v>
          </cell>
          <cell r="K5513" t="str">
            <v>Production</v>
          </cell>
          <cell r="L5513" t="str">
            <v>Freight</v>
          </cell>
          <cell r="N5513" t="str">
            <v>Direct Costs</v>
          </cell>
          <cell r="O5513" t="str">
            <v>DHL Express - USA</v>
          </cell>
        </row>
        <row r="5514">
          <cell r="D5514">
            <v>1389.33</v>
          </cell>
          <cell r="H5514">
            <v>45627</v>
          </cell>
          <cell r="I5514" t="str">
            <v>6375 - Freight Expenses</v>
          </cell>
          <cell r="J5514">
            <v>0</v>
          </cell>
          <cell r="K5514" t="str">
            <v>Production</v>
          </cell>
          <cell r="L5514" t="str">
            <v>Freight</v>
          </cell>
          <cell r="N5514" t="str">
            <v>Direct Costs</v>
          </cell>
          <cell r="O5514" t="str">
            <v>DHL Express - USA</v>
          </cell>
        </row>
        <row r="5515">
          <cell r="D5515">
            <v>1878.15</v>
          </cell>
          <cell r="H5515">
            <v>45627</v>
          </cell>
          <cell r="I5515" t="str">
            <v>6375 - Freight Expenses</v>
          </cell>
          <cell r="J5515" t="str">
            <v>Ecommerce (US)</v>
          </cell>
          <cell r="K5515" t="str">
            <v>Ecommerce</v>
          </cell>
          <cell r="L5515" t="str">
            <v>Freight</v>
          </cell>
          <cell r="N5515" t="str">
            <v>Direct Costs</v>
          </cell>
          <cell r="O5515" t="str">
            <v>UPS Supply Chain Solutions Inc. (7F24A0)</v>
          </cell>
        </row>
        <row r="5516">
          <cell r="D5516">
            <v>594.86</v>
          </cell>
          <cell r="H5516">
            <v>45627</v>
          </cell>
          <cell r="I5516" t="str">
            <v>6040 - Employer Paid Benefits</v>
          </cell>
          <cell r="J5516">
            <v>0</v>
          </cell>
          <cell r="K5516" t="str">
            <v>Production</v>
          </cell>
          <cell r="L5516" t="str">
            <v>HQ Salaries</v>
          </cell>
          <cell r="N5516" t="str">
            <v>SG&amp;A</v>
          </cell>
          <cell r="O5516" t="str">
            <v>Procyon Benefits LLC</v>
          </cell>
        </row>
        <row r="5517">
          <cell r="D5517">
            <v>55.05</v>
          </cell>
          <cell r="H5517">
            <v>45627</v>
          </cell>
          <cell r="I5517" t="str">
            <v>6040 - Employer Paid Benefits</v>
          </cell>
          <cell r="J5517">
            <v>0</v>
          </cell>
          <cell r="K5517" t="str">
            <v>Merchandising</v>
          </cell>
          <cell r="L5517" t="str">
            <v>HQ Salaries</v>
          </cell>
          <cell r="N5517" t="str">
            <v>SG&amp;A</v>
          </cell>
          <cell r="O5517" t="str">
            <v>Procyon Benefits LLC</v>
          </cell>
        </row>
        <row r="5518">
          <cell r="D5518">
            <v>796</v>
          </cell>
          <cell r="H5518">
            <v>45627</v>
          </cell>
          <cell r="I5518" t="str">
            <v>6040 - Employer Paid Benefits</v>
          </cell>
          <cell r="J5518">
            <v>0</v>
          </cell>
          <cell r="K5518" t="str">
            <v>Brand Marketing</v>
          </cell>
          <cell r="L5518" t="str">
            <v>HQ Salaries</v>
          </cell>
          <cell r="N5518" t="str">
            <v>SG&amp;A</v>
          </cell>
          <cell r="O5518" t="str">
            <v>Procyon Benefits LLC</v>
          </cell>
        </row>
        <row r="5519">
          <cell r="D5519">
            <v>808</v>
          </cell>
          <cell r="H5519">
            <v>45627</v>
          </cell>
          <cell r="I5519" t="str">
            <v>6040 - Employer Paid Benefits</v>
          </cell>
          <cell r="J5519">
            <v>0</v>
          </cell>
          <cell r="K5519" t="str">
            <v>Executive</v>
          </cell>
          <cell r="L5519" t="str">
            <v>HQ Salaries</v>
          </cell>
          <cell r="N5519" t="str">
            <v>SG&amp;A</v>
          </cell>
          <cell r="O5519" t="str">
            <v>Procyon Benefits LLC</v>
          </cell>
        </row>
        <row r="5520">
          <cell r="D5520">
            <v>2003.48</v>
          </cell>
          <cell r="H5520">
            <v>45627</v>
          </cell>
          <cell r="I5520" t="str">
            <v>6430 - Dues &amp; Memberships</v>
          </cell>
          <cell r="J5520" t="str">
            <v>Ecommerce (US)</v>
          </cell>
          <cell r="K5520" t="str">
            <v>Ecommerce</v>
          </cell>
          <cell r="L5520" t="str">
            <v>Professional Service</v>
          </cell>
          <cell r="N5520" t="str">
            <v>Direct Costs</v>
          </cell>
          <cell r="O5520" t="str">
            <v>Loop</v>
          </cell>
        </row>
        <row r="5521">
          <cell r="D5521">
            <v>100</v>
          </cell>
          <cell r="H5521">
            <v>45627</v>
          </cell>
          <cell r="I5521" t="str">
            <v>6450 - Bank &amp; Other Fees</v>
          </cell>
          <cell r="J5521">
            <v>0</v>
          </cell>
          <cell r="K5521" t="str">
            <v>Administration</v>
          </cell>
          <cell r="L5521" t="str">
            <v>Professional Service</v>
          </cell>
          <cell r="N5521" t="str">
            <v>SG&amp;A</v>
          </cell>
          <cell r="O5521" t="str">
            <v>[No Vendor]</v>
          </cell>
        </row>
        <row r="5522">
          <cell r="D5522">
            <v>737.74</v>
          </cell>
          <cell r="H5522">
            <v>45627</v>
          </cell>
          <cell r="I5522" t="str">
            <v>6375 - Freight Expenses</v>
          </cell>
          <cell r="J5522" t="str">
            <v>Ecommerce (US)</v>
          </cell>
          <cell r="K5522" t="str">
            <v>Ecommerce</v>
          </cell>
          <cell r="L5522" t="str">
            <v>Freight</v>
          </cell>
          <cell r="N5522" t="str">
            <v>Direct Costs</v>
          </cell>
          <cell r="O5522" t="str">
            <v>UPS Supply Chain Solutions Inc. (7F24A0)</v>
          </cell>
        </row>
        <row r="5523">
          <cell r="D5523">
            <v>57.44</v>
          </cell>
          <cell r="H5523">
            <v>45627</v>
          </cell>
          <cell r="I5523" t="str">
            <v>6393 - Software</v>
          </cell>
          <cell r="J5523">
            <v>0</v>
          </cell>
          <cell r="K5523" t="str">
            <v>Administration</v>
          </cell>
          <cell r="L5523" t="str">
            <v>Professional Service</v>
          </cell>
          <cell r="N5523" t="str">
            <v>Direct Costs</v>
          </cell>
          <cell r="O5523" t="str">
            <v>Quickbook</v>
          </cell>
        </row>
        <row r="5524">
          <cell r="D5524">
            <v>1265.06</v>
          </cell>
          <cell r="H5524">
            <v>45627</v>
          </cell>
          <cell r="I5524" t="str">
            <v>6393 - Software</v>
          </cell>
          <cell r="J5524">
            <v>0</v>
          </cell>
          <cell r="K5524" t="str">
            <v>Administration</v>
          </cell>
          <cell r="L5524" t="str">
            <v>Professional Service</v>
          </cell>
          <cell r="N5524" t="str">
            <v>Direct Costs</v>
          </cell>
          <cell r="O5524" t="str">
            <v>Docusign</v>
          </cell>
        </row>
        <row r="5525">
          <cell r="D5525">
            <v>1245</v>
          </cell>
          <cell r="H5525">
            <v>45627</v>
          </cell>
          <cell r="I5525" t="str">
            <v>6393 - Software</v>
          </cell>
          <cell r="J5525">
            <v>0</v>
          </cell>
          <cell r="K5525" t="str">
            <v>Design</v>
          </cell>
          <cell r="L5525" t="str">
            <v>Professional Service</v>
          </cell>
          <cell r="N5525" t="str">
            <v>Direct Costs</v>
          </cell>
          <cell r="O5525">
            <v>0</v>
          </cell>
        </row>
        <row r="5526">
          <cell r="D5526">
            <v>272.19</v>
          </cell>
          <cell r="H5526">
            <v>45627</v>
          </cell>
          <cell r="I5526" t="str">
            <v>6393 - Software</v>
          </cell>
          <cell r="J5526">
            <v>0</v>
          </cell>
          <cell r="K5526" t="str">
            <v>Administration</v>
          </cell>
          <cell r="L5526" t="str">
            <v>Professional Service</v>
          </cell>
          <cell r="N5526" t="str">
            <v>Direct Costs</v>
          </cell>
          <cell r="O5526">
            <v>0</v>
          </cell>
        </row>
        <row r="5527">
          <cell r="D5527">
            <v>383.9</v>
          </cell>
          <cell r="H5527">
            <v>45627</v>
          </cell>
          <cell r="I5527" t="str">
            <v>6393 - Software</v>
          </cell>
          <cell r="J5527">
            <v>0</v>
          </cell>
          <cell r="K5527" t="str">
            <v>Administration</v>
          </cell>
          <cell r="L5527" t="str">
            <v>Professional Service</v>
          </cell>
          <cell r="N5527" t="str">
            <v>Direct Costs</v>
          </cell>
          <cell r="O5527">
            <v>0</v>
          </cell>
        </row>
        <row r="5528">
          <cell r="D5528">
            <v>1106.8599999999999</v>
          </cell>
          <cell r="H5528">
            <v>45627</v>
          </cell>
          <cell r="I5528" t="str">
            <v>6340 - Miscellaneous Expense</v>
          </cell>
          <cell r="J5528">
            <v>0</v>
          </cell>
          <cell r="K5528" t="str">
            <v>Administration</v>
          </cell>
          <cell r="L5528" t="str">
            <v>Other</v>
          </cell>
          <cell r="N5528" t="str">
            <v>SG&amp;A</v>
          </cell>
          <cell r="O5528" t="str">
            <v>[No Vendor]</v>
          </cell>
        </row>
        <row r="5529">
          <cell r="D5529">
            <v>274.27</v>
          </cell>
          <cell r="H5529">
            <v>45627</v>
          </cell>
          <cell r="I5529" t="str">
            <v>6340 - Miscellaneous Expense</v>
          </cell>
          <cell r="J5529">
            <v>0</v>
          </cell>
          <cell r="K5529" t="str">
            <v>Administration</v>
          </cell>
          <cell r="L5529" t="str">
            <v>Other</v>
          </cell>
          <cell r="N5529" t="str">
            <v>SG&amp;A</v>
          </cell>
          <cell r="O5529" t="str">
            <v>[No Vendor]</v>
          </cell>
        </row>
        <row r="5530">
          <cell r="D5530">
            <v>998.08</v>
          </cell>
          <cell r="H5530">
            <v>45627</v>
          </cell>
          <cell r="I5530" t="str">
            <v>6340 - Miscellaneous Expense</v>
          </cell>
          <cell r="J5530">
            <v>0</v>
          </cell>
          <cell r="K5530" t="str">
            <v>Administration</v>
          </cell>
          <cell r="L5530" t="str">
            <v>Other</v>
          </cell>
          <cell r="N5530" t="str">
            <v>SG&amp;A</v>
          </cell>
          <cell r="O5530" t="str">
            <v>[No Vendor]</v>
          </cell>
        </row>
        <row r="5531">
          <cell r="D5531">
            <v>333.84</v>
          </cell>
          <cell r="H5531">
            <v>45627</v>
          </cell>
          <cell r="I5531" t="str">
            <v>6340 - Miscellaneous Expense</v>
          </cell>
          <cell r="J5531">
            <v>0</v>
          </cell>
          <cell r="K5531" t="str">
            <v>Administration</v>
          </cell>
          <cell r="L5531" t="str">
            <v>Other</v>
          </cell>
          <cell r="N5531" t="str">
            <v>SG&amp;A</v>
          </cell>
          <cell r="O5531" t="str">
            <v>[No Vendor]</v>
          </cell>
        </row>
        <row r="5532">
          <cell r="D5532">
            <v>114.04</v>
          </cell>
          <cell r="H5532">
            <v>45627</v>
          </cell>
          <cell r="I5532" t="str">
            <v>6340 - Miscellaneous Expense</v>
          </cell>
          <cell r="J5532">
            <v>0</v>
          </cell>
          <cell r="K5532" t="str">
            <v>Administration</v>
          </cell>
          <cell r="L5532" t="str">
            <v>Other</v>
          </cell>
          <cell r="N5532" t="str">
            <v>SG&amp;A</v>
          </cell>
          <cell r="O5532" t="str">
            <v>[No Vendor]</v>
          </cell>
        </row>
        <row r="5533">
          <cell r="D5533">
            <v>117</v>
          </cell>
          <cell r="H5533">
            <v>45627</v>
          </cell>
          <cell r="I5533" t="str">
            <v>6340 - Miscellaneous Expense</v>
          </cell>
          <cell r="J5533">
            <v>0</v>
          </cell>
          <cell r="K5533" t="str">
            <v>Administration</v>
          </cell>
          <cell r="L5533" t="str">
            <v>Other</v>
          </cell>
          <cell r="N5533" t="str">
            <v>SG&amp;A</v>
          </cell>
          <cell r="O5533" t="str">
            <v>[No Vendor]</v>
          </cell>
        </row>
        <row r="5534">
          <cell r="D5534">
            <v>0.86</v>
          </cell>
          <cell r="H5534">
            <v>45627</v>
          </cell>
          <cell r="I5534" t="str">
            <v>6450 - Bank &amp; Other Fees</v>
          </cell>
          <cell r="J5534">
            <v>0</v>
          </cell>
          <cell r="K5534" t="str">
            <v>Administration</v>
          </cell>
          <cell r="L5534" t="str">
            <v>Professional Service</v>
          </cell>
          <cell r="N5534" t="str">
            <v>SG&amp;A</v>
          </cell>
          <cell r="O5534" t="str">
            <v>[No Vendor]</v>
          </cell>
        </row>
        <row r="5535">
          <cell r="D5535">
            <v>264.86</v>
          </cell>
          <cell r="H5535">
            <v>45627</v>
          </cell>
          <cell r="I5535" t="str">
            <v>6400 - Utilities</v>
          </cell>
          <cell r="J5535">
            <v>0</v>
          </cell>
          <cell r="K5535" t="str">
            <v>Administration</v>
          </cell>
          <cell r="L5535" t="str">
            <v>Other</v>
          </cell>
          <cell r="N5535" t="str">
            <v>SG&amp;A</v>
          </cell>
          <cell r="O5535" t="str">
            <v>Verizon</v>
          </cell>
        </row>
        <row r="5536">
          <cell r="D5536">
            <v>-163.75</v>
          </cell>
          <cell r="H5536">
            <v>45627</v>
          </cell>
          <cell r="I5536" t="str">
            <v>6377 - Order Processing Expenses (New)</v>
          </cell>
          <cell r="J5536" t="str">
            <v>Ecommerce (US)</v>
          </cell>
          <cell r="K5536" t="str">
            <v>No Department</v>
          </cell>
          <cell r="L5536" t="str">
            <v>Order Processing</v>
          </cell>
          <cell r="N5536" t="str">
            <v>Direct Costs</v>
          </cell>
          <cell r="O5536" t="str">
            <v>Bergen Logistics Corporation</v>
          </cell>
        </row>
        <row r="5537">
          <cell r="D5537">
            <v>25.49</v>
          </cell>
          <cell r="H5537">
            <v>45627</v>
          </cell>
          <cell r="I5537" t="str">
            <v>6375 - Freight Expenses</v>
          </cell>
          <cell r="J5537" t="str">
            <v>Ecommerce (EU)</v>
          </cell>
          <cell r="K5537" t="str">
            <v>Ecommerce</v>
          </cell>
          <cell r="L5537" t="str">
            <v>Freight</v>
          </cell>
          <cell r="N5537" t="str">
            <v>Direct Costs</v>
          </cell>
          <cell r="O5537" t="str">
            <v>UPS Supply Chain Solutions Inc. (7F24A0)</v>
          </cell>
        </row>
        <row r="5538">
          <cell r="D5538">
            <v>334.68</v>
          </cell>
          <cell r="H5538">
            <v>45627</v>
          </cell>
          <cell r="I5538" t="str">
            <v>6300 - Payroll Service Fees</v>
          </cell>
          <cell r="J5538">
            <v>0</v>
          </cell>
          <cell r="K5538" t="str">
            <v>Administration</v>
          </cell>
          <cell r="L5538" t="str">
            <v>Professional Service</v>
          </cell>
          <cell r="N5538" t="str">
            <v>SG&amp;A</v>
          </cell>
          <cell r="O5538" t="str">
            <v>ADP Payroll Services</v>
          </cell>
        </row>
        <row r="5539">
          <cell r="D5539">
            <v>39233.47</v>
          </cell>
          <cell r="H5539">
            <v>45627</v>
          </cell>
          <cell r="I5539" t="str">
            <v>6375 - Freight Expenses</v>
          </cell>
          <cell r="J5539" t="str">
            <v>Ecommerce (US)</v>
          </cell>
          <cell r="K5539" t="str">
            <v>Ecommerce</v>
          </cell>
          <cell r="L5539" t="str">
            <v>Freight</v>
          </cell>
          <cell r="N5539" t="str">
            <v>Direct Costs</v>
          </cell>
          <cell r="O5539" t="str">
            <v>UPS Supply Chain Solutions Inc. (7F24A0)</v>
          </cell>
        </row>
        <row r="5540">
          <cell r="D5540">
            <v>311.64</v>
          </cell>
          <cell r="H5540">
            <v>45627</v>
          </cell>
          <cell r="I5540" t="str">
            <v>6375 - Freight Expenses</v>
          </cell>
          <cell r="J5540" t="str">
            <v>Wholesale</v>
          </cell>
          <cell r="K5540" t="str">
            <v>Wholesale</v>
          </cell>
          <cell r="L5540" t="str">
            <v>Freight</v>
          </cell>
          <cell r="N5540" t="str">
            <v>Direct Costs</v>
          </cell>
          <cell r="O5540" t="str">
            <v>UPS Supply Chain Solutions Inc. (7F24A0)</v>
          </cell>
        </row>
        <row r="5541">
          <cell r="D5541">
            <v>90</v>
          </cell>
          <cell r="H5541">
            <v>45627</v>
          </cell>
          <cell r="I5541" t="str">
            <v>6340 - Miscellaneous Expense</v>
          </cell>
          <cell r="J5541">
            <v>0</v>
          </cell>
          <cell r="K5541" t="str">
            <v>Production</v>
          </cell>
          <cell r="L5541" t="str">
            <v>Other</v>
          </cell>
          <cell r="N5541" t="str">
            <v>SG&amp;A</v>
          </cell>
          <cell r="O5541" t="str">
            <v>Frank Dell'Aquila</v>
          </cell>
        </row>
        <row r="5542">
          <cell r="D5542">
            <v>25.54</v>
          </cell>
          <cell r="H5542">
            <v>45627</v>
          </cell>
          <cell r="I5542" t="str">
            <v>6375 - Freight Expenses</v>
          </cell>
          <cell r="J5542" t="str">
            <v>Ecommerce (EU)</v>
          </cell>
          <cell r="K5542" t="str">
            <v>Ecommerce</v>
          </cell>
          <cell r="L5542" t="str">
            <v>Freight</v>
          </cell>
          <cell r="N5542" t="str">
            <v>Direct Costs</v>
          </cell>
          <cell r="O5542" t="str">
            <v>UPS Supply Chain Solutions Inc. (7F24A0)</v>
          </cell>
        </row>
        <row r="5543">
          <cell r="D5543">
            <v>5.44</v>
          </cell>
          <cell r="H5543">
            <v>45627</v>
          </cell>
          <cell r="I5543" t="str">
            <v>6393 - Software</v>
          </cell>
          <cell r="J5543">
            <v>0</v>
          </cell>
          <cell r="K5543" t="str">
            <v>Brand Marketing</v>
          </cell>
          <cell r="L5543" t="str">
            <v>Professional Service</v>
          </cell>
          <cell r="N5543" t="str">
            <v>Direct Costs</v>
          </cell>
          <cell r="O5543">
            <v>0</v>
          </cell>
        </row>
        <row r="5544">
          <cell r="D5544">
            <v>10.89</v>
          </cell>
          <cell r="H5544">
            <v>45627</v>
          </cell>
          <cell r="I5544" t="str">
            <v>6393 - Software</v>
          </cell>
          <cell r="J5544">
            <v>0</v>
          </cell>
          <cell r="K5544" t="str">
            <v>Brand Marketing</v>
          </cell>
          <cell r="L5544" t="str">
            <v>Professional Service</v>
          </cell>
          <cell r="N5544" t="str">
            <v>Direct Costs</v>
          </cell>
          <cell r="O5544">
            <v>0</v>
          </cell>
        </row>
        <row r="5545">
          <cell r="D5545">
            <v>16.329999999999998</v>
          </cell>
          <cell r="H5545">
            <v>45627</v>
          </cell>
          <cell r="I5545" t="str">
            <v>6393 - Software</v>
          </cell>
          <cell r="J5545">
            <v>0</v>
          </cell>
          <cell r="K5545" t="str">
            <v>Brand Marketing</v>
          </cell>
          <cell r="L5545" t="str">
            <v>Professional Service</v>
          </cell>
          <cell r="N5545" t="str">
            <v>Direct Costs</v>
          </cell>
          <cell r="O5545">
            <v>0</v>
          </cell>
        </row>
        <row r="5546">
          <cell r="D5546">
            <v>21.78</v>
          </cell>
          <cell r="H5546">
            <v>45627</v>
          </cell>
          <cell r="I5546" t="str">
            <v>6393 - Software</v>
          </cell>
          <cell r="J5546">
            <v>0</v>
          </cell>
          <cell r="K5546" t="str">
            <v>Brand Marketing</v>
          </cell>
          <cell r="L5546" t="str">
            <v>Professional Service</v>
          </cell>
          <cell r="N5546" t="str">
            <v>Direct Costs</v>
          </cell>
          <cell r="O5546" t="str">
            <v>Chat GPT</v>
          </cell>
        </row>
        <row r="5547">
          <cell r="D5547">
            <v>10500</v>
          </cell>
          <cell r="H5547">
            <v>45627</v>
          </cell>
          <cell r="I5547" t="str">
            <v>6380 - Legal &amp; Accounting</v>
          </cell>
          <cell r="J5547">
            <v>0</v>
          </cell>
          <cell r="K5547" t="str">
            <v>Administration</v>
          </cell>
          <cell r="L5547" t="str">
            <v>Professional Service</v>
          </cell>
          <cell r="N5547" t="str">
            <v>SG&amp;A</v>
          </cell>
          <cell r="O5547" t="str">
            <v>Ko &amp; Yun, LLP - Operations</v>
          </cell>
        </row>
        <row r="5548">
          <cell r="D5548">
            <v>500</v>
          </cell>
          <cell r="H5548">
            <v>45627</v>
          </cell>
          <cell r="I5548" t="str">
            <v>6380 - Legal &amp; Accounting</v>
          </cell>
          <cell r="J5548">
            <v>0</v>
          </cell>
          <cell r="K5548" t="str">
            <v>Administration</v>
          </cell>
          <cell r="L5548" t="str">
            <v>Professional Service</v>
          </cell>
          <cell r="N5548" t="str">
            <v>SG&amp;A</v>
          </cell>
          <cell r="O5548" t="str">
            <v>Ko &amp; Yun, LLP - IP Holding</v>
          </cell>
        </row>
        <row r="5549">
          <cell r="D5549">
            <v>169.43</v>
          </cell>
          <cell r="H5549">
            <v>45627</v>
          </cell>
          <cell r="I5549" t="str">
            <v>6340 - Miscellaneous Expense</v>
          </cell>
          <cell r="J5549">
            <v>0</v>
          </cell>
          <cell r="K5549" t="str">
            <v>Brand Marketing</v>
          </cell>
          <cell r="L5549" t="str">
            <v>Other</v>
          </cell>
          <cell r="N5549" t="str">
            <v>SG&amp;A</v>
          </cell>
          <cell r="O5549" t="str">
            <v>[No Vendor]</v>
          </cell>
        </row>
        <row r="5550">
          <cell r="D5550">
            <v>20.13</v>
          </cell>
          <cell r="H5550">
            <v>45627</v>
          </cell>
          <cell r="I5550" t="str">
            <v>6340 - Miscellaneous Expense</v>
          </cell>
          <cell r="J5550">
            <v>0</v>
          </cell>
          <cell r="K5550" t="str">
            <v>Brand Marketing</v>
          </cell>
          <cell r="L5550" t="str">
            <v>Other</v>
          </cell>
          <cell r="N5550" t="str">
            <v>SG&amp;A</v>
          </cell>
          <cell r="O5550" t="str">
            <v>[No Vendor]</v>
          </cell>
        </row>
        <row r="5551">
          <cell r="D5551">
            <v>96.68</v>
          </cell>
          <cell r="H5551">
            <v>45627</v>
          </cell>
          <cell r="I5551" t="str">
            <v>6340 - Miscellaneous Expense</v>
          </cell>
          <cell r="J5551">
            <v>0</v>
          </cell>
          <cell r="K5551" t="str">
            <v>Brand Marketing</v>
          </cell>
          <cell r="L5551" t="str">
            <v>Other</v>
          </cell>
          <cell r="N5551" t="str">
            <v>SG&amp;A</v>
          </cell>
          <cell r="O5551" t="str">
            <v>[No Vendor]</v>
          </cell>
        </row>
        <row r="5552">
          <cell r="D5552">
            <v>147.44999999999999</v>
          </cell>
          <cell r="H5552">
            <v>45627</v>
          </cell>
          <cell r="I5552" t="str">
            <v>6125 - Transportation and Fuel</v>
          </cell>
          <cell r="J5552">
            <v>0</v>
          </cell>
          <cell r="K5552" t="str">
            <v>Brand Marketing</v>
          </cell>
          <cell r="L5552" t="str">
            <v>T&amp;E</v>
          </cell>
          <cell r="N5552" t="str">
            <v>SG&amp;A</v>
          </cell>
          <cell r="O5552" t="str">
            <v>Caroline  Seong</v>
          </cell>
        </row>
        <row r="5553">
          <cell r="D5553">
            <v>115.88</v>
          </cell>
          <cell r="H5553">
            <v>45627</v>
          </cell>
          <cell r="I5553" t="str">
            <v>6125 - Transportation and Fuel</v>
          </cell>
          <cell r="J5553">
            <v>0</v>
          </cell>
          <cell r="K5553" t="str">
            <v>Brand Marketing</v>
          </cell>
          <cell r="L5553" t="str">
            <v>T&amp;E</v>
          </cell>
          <cell r="N5553" t="str">
            <v>SG&amp;A</v>
          </cell>
          <cell r="O5553" t="str">
            <v>[No Vendor]</v>
          </cell>
        </row>
        <row r="5554">
          <cell r="D5554">
            <v>183.03</v>
          </cell>
          <cell r="H5554">
            <v>45627</v>
          </cell>
          <cell r="I5554" t="str">
            <v>6125 - Transportation and Fuel</v>
          </cell>
          <cell r="J5554">
            <v>0</v>
          </cell>
          <cell r="K5554" t="str">
            <v>Brand Marketing</v>
          </cell>
          <cell r="L5554" t="str">
            <v>T&amp;E</v>
          </cell>
          <cell r="N5554" t="str">
            <v>SG&amp;A</v>
          </cell>
          <cell r="O5554" t="str">
            <v>[No Vendor]</v>
          </cell>
        </row>
        <row r="5555">
          <cell r="D5555">
            <v>80.790000000000006</v>
          </cell>
          <cell r="H5555">
            <v>45627</v>
          </cell>
          <cell r="I5555" t="str">
            <v>6125 - Transportation and Fuel</v>
          </cell>
          <cell r="J5555">
            <v>0</v>
          </cell>
          <cell r="K5555" t="str">
            <v>Administration</v>
          </cell>
          <cell r="L5555" t="str">
            <v>T&amp;E</v>
          </cell>
          <cell r="N5555" t="str">
            <v>SG&amp;A</v>
          </cell>
          <cell r="O5555" t="str">
            <v>[No Vendor]</v>
          </cell>
        </row>
        <row r="5556">
          <cell r="D5556">
            <v>81.96</v>
          </cell>
          <cell r="H5556">
            <v>45627</v>
          </cell>
          <cell r="I5556" t="str">
            <v>6125 - Transportation and Fuel</v>
          </cell>
          <cell r="J5556">
            <v>0</v>
          </cell>
          <cell r="K5556" t="str">
            <v>Brand Marketing</v>
          </cell>
          <cell r="L5556" t="str">
            <v>T&amp;E</v>
          </cell>
          <cell r="N5556" t="str">
            <v>SG&amp;A</v>
          </cell>
          <cell r="O5556" t="str">
            <v>[No Vendor]</v>
          </cell>
        </row>
        <row r="5557">
          <cell r="D5557">
            <v>97.33</v>
          </cell>
          <cell r="H5557">
            <v>45627</v>
          </cell>
          <cell r="I5557" t="str">
            <v>6125 - Transportation and Fuel</v>
          </cell>
          <cell r="J5557">
            <v>0</v>
          </cell>
          <cell r="K5557" t="str">
            <v>Brand Marketing</v>
          </cell>
          <cell r="L5557" t="str">
            <v>T&amp;E</v>
          </cell>
          <cell r="N5557" t="str">
            <v>SG&amp;A</v>
          </cell>
          <cell r="O5557" t="str">
            <v>[No Vendor]</v>
          </cell>
        </row>
        <row r="5558">
          <cell r="D5558">
            <v>77.44</v>
          </cell>
          <cell r="H5558">
            <v>45627</v>
          </cell>
          <cell r="I5558" t="str">
            <v>6125 - Transportation and Fuel</v>
          </cell>
          <cell r="J5558">
            <v>0</v>
          </cell>
          <cell r="K5558" t="str">
            <v>Brand Marketing</v>
          </cell>
          <cell r="L5558" t="str">
            <v>T&amp;E</v>
          </cell>
          <cell r="N5558" t="str">
            <v>SG&amp;A</v>
          </cell>
          <cell r="O5558" t="str">
            <v>[No Vendor]</v>
          </cell>
        </row>
        <row r="5559">
          <cell r="D5559">
            <v>84.9</v>
          </cell>
          <cell r="H5559">
            <v>45627</v>
          </cell>
          <cell r="I5559" t="str">
            <v>6125 - Transportation and Fuel</v>
          </cell>
          <cell r="J5559">
            <v>0</v>
          </cell>
          <cell r="K5559" t="str">
            <v>Brand Marketing</v>
          </cell>
          <cell r="L5559" t="str">
            <v>T&amp;E</v>
          </cell>
          <cell r="N5559" t="str">
            <v>SG&amp;A</v>
          </cell>
          <cell r="O5559" t="str">
            <v>[No Vendor]</v>
          </cell>
        </row>
        <row r="5560">
          <cell r="D5560">
            <v>71.56</v>
          </cell>
          <cell r="H5560">
            <v>45627</v>
          </cell>
          <cell r="I5560" t="str">
            <v>6125 - Transportation and Fuel</v>
          </cell>
          <cell r="J5560">
            <v>0</v>
          </cell>
          <cell r="K5560" t="str">
            <v>Brand Marketing</v>
          </cell>
          <cell r="L5560" t="str">
            <v>T&amp;E</v>
          </cell>
          <cell r="N5560" t="str">
            <v>SG&amp;A</v>
          </cell>
          <cell r="O5560" t="str">
            <v>[No Vendor]</v>
          </cell>
        </row>
        <row r="5561">
          <cell r="D5561">
            <v>145.25</v>
          </cell>
          <cell r="H5561">
            <v>45627</v>
          </cell>
          <cell r="I5561" t="str">
            <v>6125 - Transportation and Fuel</v>
          </cell>
          <cell r="J5561">
            <v>0</v>
          </cell>
          <cell r="K5561" t="str">
            <v>Brand Marketing</v>
          </cell>
          <cell r="L5561" t="str">
            <v>T&amp;E</v>
          </cell>
          <cell r="N5561" t="str">
            <v>SG&amp;A</v>
          </cell>
          <cell r="O5561" t="str">
            <v>[No Vendor]</v>
          </cell>
        </row>
        <row r="5562">
          <cell r="D5562">
            <v>99.64</v>
          </cell>
          <cell r="H5562">
            <v>45627</v>
          </cell>
          <cell r="I5562" t="str">
            <v>6125 - Transportation and Fuel</v>
          </cell>
          <cell r="J5562">
            <v>0</v>
          </cell>
          <cell r="K5562" t="str">
            <v>Brand Marketing</v>
          </cell>
          <cell r="L5562" t="str">
            <v>T&amp;E</v>
          </cell>
          <cell r="N5562" t="str">
            <v>SG&amp;A</v>
          </cell>
          <cell r="O5562" t="str">
            <v>[No Vendor]</v>
          </cell>
        </row>
        <row r="5563">
          <cell r="D5563">
            <v>208.92</v>
          </cell>
          <cell r="H5563">
            <v>45627</v>
          </cell>
          <cell r="I5563" t="str">
            <v>6125 - Transportation and Fuel</v>
          </cell>
          <cell r="J5563">
            <v>0</v>
          </cell>
          <cell r="K5563" t="str">
            <v>Brand Marketing</v>
          </cell>
          <cell r="L5563" t="str">
            <v>T&amp;E</v>
          </cell>
          <cell r="N5563" t="str">
            <v>SG&amp;A</v>
          </cell>
          <cell r="O5563" t="str">
            <v>[No Vendor]</v>
          </cell>
        </row>
        <row r="5564">
          <cell r="D5564">
            <v>90.12</v>
          </cell>
          <cell r="H5564">
            <v>45627</v>
          </cell>
          <cell r="I5564" t="str">
            <v>6105 - Meals</v>
          </cell>
          <cell r="J5564">
            <v>0</v>
          </cell>
          <cell r="K5564" t="str">
            <v>Brand Marketing</v>
          </cell>
          <cell r="L5564" t="str">
            <v>T&amp;E</v>
          </cell>
          <cell r="N5564" t="str">
            <v>SG&amp;A</v>
          </cell>
          <cell r="O5564" t="str">
            <v>[No Vendor]</v>
          </cell>
        </row>
        <row r="5565">
          <cell r="D5565">
            <v>63.38</v>
          </cell>
          <cell r="H5565">
            <v>45627</v>
          </cell>
          <cell r="I5565" t="str">
            <v>6105 - Meals</v>
          </cell>
          <cell r="J5565">
            <v>0</v>
          </cell>
          <cell r="K5565" t="str">
            <v>Brand Marketing</v>
          </cell>
          <cell r="L5565" t="str">
            <v>T&amp;E</v>
          </cell>
          <cell r="N5565" t="str">
            <v>SG&amp;A</v>
          </cell>
          <cell r="O5565" t="str">
            <v>[No Vendor]</v>
          </cell>
        </row>
        <row r="5566">
          <cell r="D5566">
            <v>2128.34</v>
          </cell>
          <cell r="H5566">
            <v>45627</v>
          </cell>
          <cell r="I5566" t="str">
            <v>6375 - Freight Expenses</v>
          </cell>
          <cell r="J5566">
            <v>0</v>
          </cell>
          <cell r="K5566" t="str">
            <v>Brand Marketing</v>
          </cell>
          <cell r="L5566" t="str">
            <v>Freight</v>
          </cell>
          <cell r="N5566" t="str">
            <v>Direct Costs</v>
          </cell>
          <cell r="O5566" t="str">
            <v>Flatlay</v>
          </cell>
        </row>
        <row r="5567">
          <cell r="D5567">
            <v>421.02</v>
          </cell>
          <cell r="H5567">
            <v>45627</v>
          </cell>
          <cell r="I5567" t="str">
            <v>6375 - Freight Expenses</v>
          </cell>
          <cell r="J5567">
            <v>0</v>
          </cell>
          <cell r="K5567" t="str">
            <v>Brand Marketing</v>
          </cell>
          <cell r="L5567" t="str">
            <v>Freight</v>
          </cell>
          <cell r="N5567" t="str">
            <v>Direct Costs</v>
          </cell>
          <cell r="O5567" t="str">
            <v>Flatlay</v>
          </cell>
        </row>
        <row r="5568">
          <cell r="D5568">
            <v>318.17</v>
          </cell>
          <cell r="H5568">
            <v>45627</v>
          </cell>
          <cell r="I5568" t="str">
            <v>6375 - Freight Expenses</v>
          </cell>
          <cell r="J5568">
            <v>0</v>
          </cell>
          <cell r="K5568" t="str">
            <v>Brand Marketing</v>
          </cell>
          <cell r="L5568" t="str">
            <v>Freight</v>
          </cell>
          <cell r="N5568" t="str">
            <v>Direct Costs</v>
          </cell>
          <cell r="O5568" t="str">
            <v>Caroline  Seong</v>
          </cell>
        </row>
        <row r="5569">
          <cell r="D5569">
            <v>101.34</v>
          </cell>
          <cell r="H5569">
            <v>45627</v>
          </cell>
          <cell r="I5569" t="str">
            <v>6375 - Freight Expenses</v>
          </cell>
          <cell r="J5569">
            <v>0</v>
          </cell>
          <cell r="K5569" t="str">
            <v>Brand Marketing</v>
          </cell>
          <cell r="L5569" t="str">
            <v>Freight</v>
          </cell>
          <cell r="N5569" t="str">
            <v>Direct Costs</v>
          </cell>
          <cell r="O5569" t="str">
            <v>[No Vendor]</v>
          </cell>
        </row>
        <row r="5570">
          <cell r="D5570">
            <v>17.62</v>
          </cell>
          <cell r="H5570">
            <v>45627</v>
          </cell>
          <cell r="I5570" t="str">
            <v>6375 - Freight Expenses</v>
          </cell>
          <cell r="J5570" t="str">
            <v>Ecommerce (US)</v>
          </cell>
          <cell r="K5570" t="str">
            <v>Ecommerce</v>
          </cell>
          <cell r="L5570" t="str">
            <v>Freight</v>
          </cell>
          <cell r="N5570" t="str">
            <v>Direct Costs</v>
          </cell>
          <cell r="O5570" t="str">
            <v>Federal Express</v>
          </cell>
        </row>
        <row r="5571">
          <cell r="D5571">
            <v>3565.56</v>
          </cell>
          <cell r="H5571">
            <v>45627</v>
          </cell>
          <cell r="I5571" t="str">
            <v>8505 - Realized Gain/Loss</v>
          </cell>
          <cell r="J5571">
            <v>0</v>
          </cell>
          <cell r="K5571" t="str">
            <v>No Department</v>
          </cell>
          <cell r="L5571" t="str">
            <v>Realized Gain / Loss</v>
          </cell>
          <cell r="N5571" t="str">
            <v>BTL</v>
          </cell>
          <cell r="O5571" t="str">
            <v>[No Vendor]</v>
          </cell>
        </row>
        <row r="5572">
          <cell r="D5572">
            <v>1222.8699999999999</v>
          </cell>
          <cell r="H5572">
            <v>45627</v>
          </cell>
          <cell r="I5572" t="str">
            <v>8505 - Realized Gain/Loss</v>
          </cell>
          <cell r="J5572">
            <v>0</v>
          </cell>
          <cell r="K5572" t="str">
            <v>No Department</v>
          </cell>
          <cell r="L5572" t="str">
            <v>Realized Gain / Loss</v>
          </cell>
          <cell r="N5572" t="str">
            <v>BTL</v>
          </cell>
          <cell r="O5572" t="str">
            <v>[No Vendor]</v>
          </cell>
        </row>
        <row r="5573">
          <cell r="D5573">
            <v>135.38999999999999</v>
          </cell>
          <cell r="H5573">
            <v>45627</v>
          </cell>
          <cell r="I5573" t="str">
            <v>6375 - Freight Expenses</v>
          </cell>
          <cell r="J5573" t="str">
            <v>Ecommerce (EU)</v>
          </cell>
          <cell r="K5573" t="str">
            <v>Ecommerce</v>
          </cell>
          <cell r="L5573" t="str">
            <v>Freight</v>
          </cell>
          <cell r="N5573" t="str">
            <v>Direct Costs</v>
          </cell>
          <cell r="O5573" t="str">
            <v>UPS Supply Chain Solutions Inc. (7F24A0)</v>
          </cell>
        </row>
        <row r="5574">
          <cell r="D5574">
            <v>1947.3</v>
          </cell>
          <cell r="H5574">
            <v>45627</v>
          </cell>
          <cell r="I5574" t="str">
            <v>6210 - Monitoring</v>
          </cell>
          <cell r="J5574" t="str">
            <v>Ecommerce (EU)</v>
          </cell>
          <cell r="K5574" t="str">
            <v>Ecommerce</v>
          </cell>
          <cell r="L5574" t="str">
            <v>Professional Service</v>
          </cell>
          <cell r="N5574" t="str">
            <v>Direct Costs</v>
          </cell>
          <cell r="O5574" t="str">
            <v>Convey SRL</v>
          </cell>
        </row>
        <row r="5575">
          <cell r="D5575">
            <v>886.82</v>
          </cell>
          <cell r="H5575">
            <v>45627</v>
          </cell>
          <cell r="I5575" t="str">
            <v>6430 - Dues &amp; Memberships</v>
          </cell>
          <cell r="J5575" t="str">
            <v>Wholesale</v>
          </cell>
          <cell r="K5575" t="str">
            <v>Wholesale</v>
          </cell>
          <cell r="L5575" t="str">
            <v>Professional Service</v>
          </cell>
          <cell r="N5575" t="str">
            <v>Direct Costs</v>
          </cell>
          <cell r="O5575" t="str">
            <v>SPS Commerce</v>
          </cell>
        </row>
        <row r="5576">
          <cell r="D5576">
            <v>520</v>
          </cell>
          <cell r="H5576">
            <v>45627</v>
          </cell>
          <cell r="I5576" t="str">
            <v>6300 - Payroll Service Fees</v>
          </cell>
          <cell r="J5576">
            <v>0</v>
          </cell>
          <cell r="K5576" t="str">
            <v>Administration</v>
          </cell>
          <cell r="L5576" t="str">
            <v>Professional Service</v>
          </cell>
          <cell r="N5576" t="str">
            <v>SG&amp;A</v>
          </cell>
          <cell r="O5576" t="str">
            <v>OperationsInc, LLC</v>
          </cell>
        </row>
        <row r="5577">
          <cell r="D5577">
            <v>57.5</v>
          </cell>
          <cell r="H5577">
            <v>45627</v>
          </cell>
          <cell r="I5577" t="str">
            <v>6375 - Freight Expenses</v>
          </cell>
          <cell r="J5577">
            <v>0</v>
          </cell>
          <cell r="K5577" t="str">
            <v>Production</v>
          </cell>
          <cell r="L5577" t="str">
            <v>Freight</v>
          </cell>
          <cell r="N5577" t="str">
            <v>Direct Costs</v>
          </cell>
          <cell r="O5577" t="str">
            <v>DHL Express - USA</v>
          </cell>
        </row>
        <row r="5578">
          <cell r="D5578">
            <v>172.25</v>
          </cell>
          <cell r="H5578">
            <v>45627</v>
          </cell>
          <cell r="I5578" t="str">
            <v>6040 - Employer Paid Benefits</v>
          </cell>
          <cell r="J5578">
            <v>0</v>
          </cell>
          <cell r="K5578" t="str">
            <v>Executive</v>
          </cell>
          <cell r="L5578" t="str">
            <v>HQ Salaries</v>
          </cell>
          <cell r="N5578" t="str">
            <v>SG&amp;A</v>
          </cell>
          <cell r="O5578" t="str">
            <v>Procyon Benefits LLC</v>
          </cell>
        </row>
        <row r="5579">
          <cell r="D5579">
            <v>127.7</v>
          </cell>
          <cell r="H5579">
            <v>45627</v>
          </cell>
          <cell r="I5579" t="str">
            <v>6040 - Employer Paid Benefits</v>
          </cell>
          <cell r="J5579">
            <v>0</v>
          </cell>
          <cell r="K5579" t="str">
            <v>Production</v>
          </cell>
          <cell r="L5579" t="str">
            <v>HQ Salaries</v>
          </cell>
          <cell r="N5579" t="str">
            <v>SG&amp;A</v>
          </cell>
          <cell r="O5579" t="str">
            <v>Procyon Benefits LLC</v>
          </cell>
        </row>
        <row r="5580">
          <cell r="D5580">
            <v>57.9</v>
          </cell>
          <cell r="H5580">
            <v>45627</v>
          </cell>
          <cell r="I5580" t="str">
            <v>6040 - Employer Paid Benefits</v>
          </cell>
          <cell r="J5580">
            <v>0</v>
          </cell>
          <cell r="K5580" t="str">
            <v>Merchandising</v>
          </cell>
          <cell r="L5580" t="str">
            <v>HQ Salaries</v>
          </cell>
          <cell r="N5580" t="str">
            <v>SG&amp;A</v>
          </cell>
          <cell r="O5580" t="str">
            <v>Procyon Benefits LLC</v>
          </cell>
        </row>
        <row r="5581">
          <cell r="D5581">
            <v>597</v>
          </cell>
          <cell r="H5581">
            <v>45627</v>
          </cell>
          <cell r="I5581" t="str">
            <v>6040 - Employer Paid Benefits</v>
          </cell>
          <cell r="J5581">
            <v>0</v>
          </cell>
          <cell r="K5581" t="str">
            <v>Brand Marketing</v>
          </cell>
          <cell r="L5581" t="str">
            <v>HQ Salaries</v>
          </cell>
          <cell r="N5581" t="str">
            <v>SG&amp;A</v>
          </cell>
          <cell r="O5581" t="str">
            <v>Procyon Benefits LLC</v>
          </cell>
        </row>
        <row r="5582">
          <cell r="D5582">
            <v>25</v>
          </cell>
          <cell r="H5582">
            <v>45627</v>
          </cell>
          <cell r="I5582" t="str">
            <v>6040 - Employer Paid Benefits</v>
          </cell>
          <cell r="J5582">
            <v>0</v>
          </cell>
          <cell r="K5582" t="str">
            <v>Administration</v>
          </cell>
          <cell r="L5582" t="str">
            <v>HQ Salaries</v>
          </cell>
          <cell r="N5582" t="str">
            <v>SG&amp;A</v>
          </cell>
          <cell r="O5582" t="str">
            <v>Lifetime Benefit Solutions, Inc</v>
          </cell>
        </row>
        <row r="5583">
          <cell r="D5583">
            <v>209.83</v>
          </cell>
          <cell r="H5583">
            <v>45627</v>
          </cell>
          <cell r="I5583" t="str">
            <v>6375 - Freight Expenses</v>
          </cell>
          <cell r="J5583" t="str">
            <v>Ecommerce (EU)</v>
          </cell>
          <cell r="K5583" t="str">
            <v>Ecommerce</v>
          </cell>
          <cell r="L5583" t="str">
            <v>Freight</v>
          </cell>
          <cell r="N5583" t="str">
            <v>Direct Costs</v>
          </cell>
          <cell r="O5583" t="str">
            <v>UPS Supply Chain Solutions Inc. (7F24A0)</v>
          </cell>
        </row>
        <row r="5584">
          <cell r="D5584">
            <v>184.35</v>
          </cell>
          <cell r="H5584">
            <v>45627</v>
          </cell>
          <cell r="I5584" t="str">
            <v>6300 - Payroll Service Fees</v>
          </cell>
          <cell r="J5584">
            <v>0</v>
          </cell>
          <cell r="K5584" t="str">
            <v>Administration</v>
          </cell>
          <cell r="L5584" t="str">
            <v>Professional Service</v>
          </cell>
          <cell r="N5584" t="str">
            <v>SG&amp;A</v>
          </cell>
          <cell r="O5584" t="str">
            <v>ADP Payroll Services</v>
          </cell>
        </row>
        <row r="5585">
          <cell r="D5585">
            <v>4144.6000000000004</v>
          </cell>
          <cell r="H5585">
            <v>45627</v>
          </cell>
          <cell r="I5585" t="str">
            <v>6380 - Legal &amp; Accounting</v>
          </cell>
          <cell r="J5585">
            <v>0</v>
          </cell>
          <cell r="K5585" t="str">
            <v>Administration</v>
          </cell>
          <cell r="L5585" t="str">
            <v>Professional Service</v>
          </cell>
          <cell r="N5585" t="str">
            <v>SG&amp;A</v>
          </cell>
          <cell r="O5585" t="str">
            <v>Sociedade Rebelo de Sousa &amp; Advogados Associados, SPRL</v>
          </cell>
        </row>
        <row r="5586">
          <cell r="D5586">
            <v>4216.24</v>
          </cell>
          <cell r="H5586">
            <v>45627</v>
          </cell>
          <cell r="I5586" t="str">
            <v>6005 - Salaries</v>
          </cell>
          <cell r="J5586">
            <v>0</v>
          </cell>
          <cell r="K5586" t="str">
            <v>Brand Marketing</v>
          </cell>
          <cell r="L5586" t="str">
            <v>HQ Salaries</v>
          </cell>
          <cell r="N5586" t="str">
            <v>SG&amp;A</v>
          </cell>
          <cell r="O5586" t="str">
            <v>[No Vendor]</v>
          </cell>
        </row>
        <row r="5587">
          <cell r="D5587">
            <v>0</v>
          </cell>
          <cell r="H5587">
            <v>45627</v>
          </cell>
          <cell r="I5587" t="str">
            <v>6035 - Severance Expense</v>
          </cell>
          <cell r="J5587" t="str">
            <v>Wholesale</v>
          </cell>
          <cell r="K5587" t="str">
            <v>Wholesale</v>
          </cell>
          <cell r="L5587" t="str">
            <v>HQ Salaries</v>
          </cell>
          <cell r="N5587" t="str">
            <v>SG&amp;A</v>
          </cell>
          <cell r="O5587" t="str">
            <v>[No Vendor]</v>
          </cell>
        </row>
        <row r="5588">
          <cell r="D5588">
            <v>10150</v>
          </cell>
          <cell r="H5588">
            <v>45627</v>
          </cell>
          <cell r="I5588" t="str">
            <v>6205 - Contractors</v>
          </cell>
          <cell r="J5588" t="str">
            <v>Ecommerce (US)</v>
          </cell>
          <cell r="K5588" t="str">
            <v>Ecommerce</v>
          </cell>
          <cell r="L5588" t="str">
            <v>HQ Salaries</v>
          </cell>
          <cell r="N5588" t="str">
            <v>SG&amp;A</v>
          </cell>
          <cell r="O5588" t="str">
            <v>[No Vendor]</v>
          </cell>
        </row>
        <row r="5589">
          <cell r="D5589">
            <v>1458</v>
          </cell>
          <cell r="H5589">
            <v>45627</v>
          </cell>
          <cell r="I5589" t="str">
            <v>6205 - Contractors</v>
          </cell>
          <cell r="J5589">
            <v>0</v>
          </cell>
          <cell r="K5589" t="str">
            <v>Design</v>
          </cell>
          <cell r="L5589" t="str">
            <v>HQ Salaries</v>
          </cell>
          <cell r="N5589" t="str">
            <v>SG&amp;A</v>
          </cell>
          <cell r="O5589" t="str">
            <v>[No Vendor]</v>
          </cell>
        </row>
        <row r="5590">
          <cell r="D5590">
            <v>0</v>
          </cell>
          <cell r="H5590">
            <v>45627</v>
          </cell>
          <cell r="I5590" t="str">
            <v>6205 - Contractors</v>
          </cell>
          <cell r="J5590">
            <v>0</v>
          </cell>
          <cell r="K5590" t="str">
            <v>Brand Marketing</v>
          </cell>
          <cell r="L5590" t="str">
            <v>HQ Salaries</v>
          </cell>
          <cell r="N5590" t="str">
            <v>SG&amp;A</v>
          </cell>
          <cell r="O5590" t="str">
            <v>[No Vendor]</v>
          </cell>
        </row>
        <row r="5591">
          <cell r="D5591">
            <v>-28.94</v>
          </cell>
          <cell r="H5591">
            <v>45627</v>
          </cell>
          <cell r="I5591" t="str">
            <v>6385 - Insurance</v>
          </cell>
          <cell r="J5591">
            <v>0</v>
          </cell>
          <cell r="K5591" t="str">
            <v>Administration</v>
          </cell>
          <cell r="L5591" t="str">
            <v>Professional Service</v>
          </cell>
          <cell r="N5591" t="str">
            <v>SG&amp;A</v>
          </cell>
          <cell r="O5591" t="str">
            <v>[No Vendor]</v>
          </cell>
        </row>
        <row r="5592">
          <cell r="D5592">
            <v>-47.16</v>
          </cell>
          <cell r="H5592">
            <v>45627</v>
          </cell>
          <cell r="I5592" t="str">
            <v>6385 - Insurance</v>
          </cell>
          <cell r="J5592">
            <v>0</v>
          </cell>
          <cell r="K5592" t="str">
            <v>Administration</v>
          </cell>
          <cell r="L5592" t="str">
            <v>Professional Service</v>
          </cell>
          <cell r="N5592" t="str">
            <v>SG&amp;A</v>
          </cell>
          <cell r="O5592" t="str">
            <v>[No Vendor]</v>
          </cell>
        </row>
        <row r="5593">
          <cell r="D5593">
            <v>-50.32</v>
          </cell>
          <cell r="H5593">
            <v>45627</v>
          </cell>
          <cell r="I5593" t="str">
            <v>6385 - Insurance</v>
          </cell>
          <cell r="J5593">
            <v>0</v>
          </cell>
          <cell r="K5593" t="str">
            <v>Administration</v>
          </cell>
          <cell r="L5593" t="str">
            <v>Professional Service</v>
          </cell>
          <cell r="N5593" t="str">
            <v>SG&amp;A</v>
          </cell>
          <cell r="O5593" t="str">
            <v>[No Vendor]</v>
          </cell>
        </row>
        <row r="5594">
          <cell r="D5594">
            <v>-1.2</v>
          </cell>
          <cell r="H5594">
            <v>45627</v>
          </cell>
          <cell r="I5594" t="str">
            <v>6385 - Insurance</v>
          </cell>
          <cell r="J5594">
            <v>0</v>
          </cell>
          <cell r="K5594" t="str">
            <v>Administration</v>
          </cell>
          <cell r="L5594" t="str">
            <v>Professional Service</v>
          </cell>
          <cell r="N5594" t="str">
            <v>SG&amp;A</v>
          </cell>
          <cell r="O5594" t="str">
            <v>[No Vendor]</v>
          </cell>
        </row>
        <row r="5595">
          <cell r="D5595">
            <v>-1.2</v>
          </cell>
          <cell r="H5595">
            <v>45627</v>
          </cell>
          <cell r="I5595" t="str">
            <v>6385 - Insurance</v>
          </cell>
          <cell r="J5595">
            <v>0</v>
          </cell>
          <cell r="K5595" t="str">
            <v>Administration</v>
          </cell>
          <cell r="L5595" t="str">
            <v>Professional Service</v>
          </cell>
          <cell r="N5595" t="str">
            <v>SG&amp;A</v>
          </cell>
          <cell r="O5595" t="str">
            <v>[No Vendor]</v>
          </cell>
        </row>
        <row r="5596">
          <cell r="D5596">
            <v>-51.2</v>
          </cell>
          <cell r="H5596">
            <v>45627</v>
          </cell>
          <cell r="I5596" t="str">
            <v>6385 - Insurance</v>
          </cell>
          <cell r="J5596">
            <v>0</v>
          </cell>
          <cell r="K5596" t="str">
            <v>Administration</v>
          </cell>
          <cell r="L5596" t="str">
            <v>Professional Service</v>
          </cell>
          <cell r="N5596" t="str">
            <v>SG&amp;A</v>
          </cell>
          <cell r="O5596" t="str">
            <v>[No Vendor]</v>
          </cell>
        </row>
        <row r="5597">
          <cell r="D5597">
            <v>-14.18</v>
          </cell>
          <cell r="H5597">
            <v>45627</v>
          </cell>
          <cell r="I5597" t="str">
            <v>6385 - Insurance</v>
          </cell>
          <cell r="J5597">
            <v>0</v>
          </cell>
          <cell r="K5597" t="str">
            <v>Administration</v>
          </cell>
          <cell r="L5597" t="str">
            <v>Professional Service</v>
          </cell>
          <cell r="N5597" t="str">
            <v>SG&amp;A</v>
          </cell>
          <cell r="O5597" t="str">
            <v>[No Vendor]</v>
          </cell>
        </row>
        <row r="5598">
          <cell r="D5598">
            <v>-15.73</v>
          </cell>
          <cell r="H5598">
            <v>45627</v>
          </cell>
          <cell r="I5598" t="str">
            <v>6385 - Insurance</v>
          </cell>
          <cell r="J5598">
            <v>0</v>
          </cell>
          <cell r="K5598" t="str">
            <v>Administration</v>
          </cell>
          <cell r="L5598" t="str">
            <v>Professional Service</v>
          </cell>
          <cell r="N5598" t="str">
            <v>SG&amp;A</v>
          </cell>
          <cell r="O5598" t="str">
            <v>[No Vendor]</v>
          </cell>
        </row>
        <row r="5599">
          <cell r="D5599">
            <v>1982.2</v>
          </cell>
          <cell r="H5599">
            <v>45627</v>
          </cell>
          <cell r="I5599" t="str">
            <v>6055 - Employer Social Security Tax Withheld</v>
          </cell>
          <cell r="J5599" t="str">
            <v>Ecommerce (US)</v>
          </cell>
          <cell r="K5599" t="str">
            <v>Ecommerce</v>
          </cell>
          <cell r="L5599" t="str">
            <v>HQ Salaries</v>
          </cell>
          <cell r="N5599" t="str">
            <v>SG&amp;A</v>
          </cell>
          <cell r="O5599" t="str">
            <v>[No Vendor]</v>
          </cell>
        </row>
        <row r="5600">
          <cell r="D5600">
            <v>2292.06</v>
          </cell>
          <cell r="H5600">
            <v>45627</v>
          </cell>
          <cell r="I5600" t="str">
            <v>6055 - Employer Social Security Tax Withheld</v>
          </cell>
          <cell r="J5600">
            <v>0</v>
          </cell>
          <cell r="K5600" t="str">
            <v>Design</v>
          </cell>
          <cell r="L5600" t="str">
            <v>HQ Salaries</v>
          </cell>
          <cell r="N5600" t="str">
            <v>SG&amp;A</v>
          </cell>
          <cell r="O5600" t="str">
            <v>[No Vendor]</v>
          </cell>
        </row>
        <row r="5601">
          <cell r="D5601">
            <v>2393.23</v>
          </cell>
          <cell r="H5601">
            <v>45627</v>
          </cell>
          <cell r="I5601" t="str">
            <v>6055 - Employer Social Security Tax Withheld</v>
          </cell>
          <cell r="J5601">
            <v>0</v>
          </cell>
          <cell r="K5601" t="str">
            <v>Administration</v>
          </cell>
          <cell r="L5601" t="str">
            <v>HQ Salaries</v>
          </cell>
          <cell r="N5601" t="str">
            <v>SG&amp;A</v>
          </cell>
          <cell r="O5601" t="str">
            <v>[No Vendor]</v>
          </cell>
        </row>
        <row r="5602">
          <cell r="D5602">
            <v>676.8</v>
          </cell>
          <cell r="H5602">
            <v>45627</v>
          </cell>
          <cell r="I5602" t="str">
            <v>6055 - Employer Social Security Tax Withheld</v>
          </cell>
          <cell r="J5602">
            <v>0</v>
          </cell>
          <cell r="K5602" t="str">
            <v>Merchandising</v>
          </cell>
          <cell r="L5602" t="str">
            <v>HQ Salaries</v>
          </cell>
          <cell r="N5602" t="str">
            <v>SG&amp;A</v>
          </cell>
          <cell r="O5602" t="str">
            <v>[No Vendor]</v>
          </cell>
        </row>
        <row r="5603">
          <cell r="D5603">
            <v>1159.58</v>
          </cell>
          <cell r="H5603">
            <v>45627</v>
          </cell>
          <cell r="I5603" t="str">
            <v>6055 - Employer Social Security Tax Withheld</v>
          </cell>
          <cell r="J5603" t="str">
            <v>Wholesale</v>
          </cell>
          <cell r="K5603" t="str">
            <v>Wholesale</v>
          </cell>
          <cell r="L5603" t="str">
            <v>HQ Salaries</v>
          </cell>
          <cell r="N5603" t="str">
            <v>SG&amp;A</v>
          </cell>
          <cell r="O5603" t="str">
            <v>[No Vendor]</v>
          </cell>
        </row>
        <row r="5604">
          <cell r="D5604">
            <v>1801.8</v>
          </cell>
          <cell r="H5604">
            <v>45627</v>
          </cell>
          <cell r="I5604" t="str">
            <v>6055 - Employer Social Security Tax Withheld</v>
          </cell>
          <cell r="J5604">
            <v>0</v>
          </cell>
          <cell r="K5604" t="str">
            <v>Production</v>
          </cell>
          <cell r="L5604" t="str">
            <v>HQ Salaries</v>
          </cell>
          <cell r="N5604" t="str">
            <v>SG&amp;A</v>
          </cell>
          <cell r="O5604" t="str">
            <v>[No Vendor]</v>
          </cell>
        </row>
        <row r="5605">
          <cell r="D5605">
            <v>472.47</v>
          </cell>
          <cell r="H5605">
            <v>45627</v>
          </cell>
          <cell r="I5605" t="str">
            <v>6055 - Employer Social Security Tax Withheld</v>
          </cell>
          <cell r="J5605">
            <v>0</v>
          </cell>
          <cell r="K5605" t="str">
            <v>Brand Marketing</v>
          </cell>
          <cell r="L5605" t="str">
            <v>HQ Salaries</v>
          </cell>
          <cell r="N5605" t="str">
            <v>SG&amp;A</v>
          </cell>
          <cell r="O5605" t="str">
            <v>[No Vendor]</v>
          </cell>
        </row>
        <row r="5606">
          <cell r="D5606">
            <v>1278.93</v>
          </cell>
          <cell r="H5606">
            <v>45627</v>
          </cell>
          <cell r="I5606" t="str">
            <v>6055 - Employer Social Security Tax Withheld</v>
          </cell>
          <cell r="J5606">
            <v>0</v>
          </cell>
          <cell r="K5606" t="str">
            <v>Executive</v>
          </cell>
          <cell r="L5606" t="str">
            <v>HQ Salaries</v>
          </cell>
          <cell r="N5606" t="str">
            <v>SG&amp;A</v>
          </cell>
          <cell r="O5606" t="str">
            <v>[No Vendor]</v>
          </cell>
        </row>
        <row r="5607">
          <cell r="D5607">
            <v>-4012.85</v>
          </cell>
          <cell r="H5607">
            <v>45627</v>
          </cell>
          <cell r="I5607" t="str">
            <v>6040 - Employer Paid Benefits</v>
          </cell>
          <cell r="J5607" t="str">
            <v>Ecommerce (US)</v>
          </cell>
          <cell r="K5607" t="str">
            <v>Ecommerce</v>
          </cell>
          <cell r="L5607" t="str">
            <v>HQ Salaries</v>
          </cell>
          <cell r="N5607" t="str">
            <v>SG&amp;A</v>
          </cell>
          <cell r="O5607" t="str">
            <v>[No Vendor]</v>
          </cell>
        </row>
        <row r="5608">
          <cell r="D5608">
            <v>-4229.68</v>
          </cell>
          <cell r="H5608">
            <v>45627</v>
          </cell>
          <cell r="I5608" t="str">
            <v>6040 - Employer Paid Benefits</v>
          </cell>
          <cell r="J5608">
            <v>0</v>
          </cell>
          <cell r="K5608" t="str">
            <v>Design</v>
          </cell>
          <cell r="L5608" t="str">
            <v>HQ Salaries</v>
          </cell>
          <cell r="N5608" t="str">
            <v>SG&amp;A</v>
          </cell>
          <cell r="O5608" t="str">
            <v>[No Vendor]</v>
          </cell>
        </row>
        <row r="5609">
          <cell r="D5609">
            <v>-6021.39</v>
          </cell>
          <cell r="H5609">
            <v>45627</v>
          </cell>
          <cell r="I5609" t="str">
            <v>6040 - Employer Paid Benefits</v>
          </cell>
          <cell r="J5609">
            <v>0</v>
          </cell>
          <cell r="K5609" t="str">
            <v>Administration</v>
          </cell>
          <cell r="L5609" t="str">
            <v>HQ Salaries</v>
          </cell>
          <cell r="N5609" t="str">
            <v>SG&amp;A</v>
          </cell>
          <cell r="O5609" t="str">
            <v>[No Vendor]</v>
          </cell>
        </row>
        <row r="5610">
          <cell r="D5610">
            <v>-1135.27</v>
          </cell>
          <cell r="H5610">
            <v>45627</v>
          </cell>
          <cell r="I5610" t="str">
            <v>6040 - Employer Paid Benefits</v>
          </cell>
          <cell r="J5610">
            <v>0</v>
          </cell>
          <cell r="K5610" t="str">
            <v>Executive</v>
          </cell>
          <cell r="L5610" t="str">
            <v>HQ Salaries</v>
          </cell>
          <cell r="N5610" t="str">
            <v>SG&amp;A</v>
          </cell>
          <cell r="O5610" t="str">
            <v>[No Vendor]</v>
          </cell>
        </row>
        <row r="5611">
          <cell r="D5611">
            <v>-4140.12</v>
          </cell>
          <cell r="H5611">
            <v>45627</v>
          </cell>
          <cell r="I5611" t="str">
            <v>6040 - Employer Paid Benefits</v>
          </cell>
          <cell r="J5611">
            <v>0</v>
          </cell>
          <cell r="K5611" t="str">
            <v>Production</v>
          </cell>
          <cell r="L5611" t="str">
            <v>HQ Salaries</v>
          </cell>
          <cell r="N5611" t="str">
            <v>SG&amp;A</v>
          </cell>
          <cell r="O5611" t="str">
            <v>[No Vendor]</v>
          </cell>
        </row>
        <row r="5612">
          <cell r="D5612">
            <v>-866</v>
          </cell>
          <cell r="H5612">
            <v>45627</v>
          </cell>
          <cell r="I5612" t="str">
            <v>6040 - Employer Paid Benefits</v>
          </cell>
          <cell r="J5612">
            <v>0</v>
          </cell>
          <cell r="K5612" t="str">
            <v>Merchandising</v>
          </cell>
          <cell r="L5612" t="str">
            <v>HQ Salaries</v>
          </cell>
          <cell r="N5612" t="str">
            <v>SG&amp;A</v>
          </cell>
          <cell r="O5612" t="str">
            <v>[No Vendor]</v>
          </cell>
        </row>
        <row r="5613">
          <cell r="D5613">
            <v>-1546.92</v>
          </cell>
          <cell r="H5613">
            <v>45627</v>
          </cell>
          <cell r="I5613" t="str">
            <v>6040 - Employer Paid Benefits</v>
          </cell>
          <cell r="J5613" t="str">
            <v>Wholesale</v>
          </cell>
          <cell r="K5613" t="str">
            <v>Wholesale</v>
          </cell>
          <cell r="L5613" t="str">
            <v>HQ Salaries</v>
          </cell>
          <cell r="N5613" t="str">
            <v>SG&amp;A</v>
          </cell>
          <cell r="O5613" t="str">
            <v>[No Vendor]</v>
          </cell>
        </row>
        <row r="5614">
          <cell r="D5614">
            <v>-969.58</v>
          </cell>
          <cell r="H5614">
            <v>45627</v>
          </cell>
          <cell r="I5614" t="str">
            <v>6040 - Employer Paid Benefits</v>
          </cell>
          <cell r="J5614">
            <v>0</v>
          </cell>
          <cell r="K5614" t="str">
            <v>Brand Marketing</v>
          </cell>
          <cell r="L5614" t="str">
            <v>HQ Salaries</v>
          </cell>
          <cell r="N5614" t="str">
            <v>SG&amp;A</v>
          </cell>
          <cell r="O5614" t="str">
            <v>[No Vendor]</v>
          </cell>
        </row>
        <row r="5615">
          <cell r="D5615">
            <v>24671.8</v>
          </cell>
          <cell r="H5615">
            <v>45627</v>
          </cell>
          <cell r="I5615" t="str">
            <v>6005 - Salaries</v>
          </cell>
          <cell r="J5615" t="str">
            <v>Ecommerce (US)</v>
          </cell>
          <cell r="K5615" t="str">
            <v>Ecommerce</v>
          </cell>
          <cell r="L5615" t="str">
            <v>HQ Salaries</v>
          </cell>
          <cell r="N5615" t="str">
            <v>SG&amp;A</v>
          </cell>
          <cell r="O5615" t="str">
            <v>[No Vendor]</v>
          </cell>
        </row>
        <row r="5616">
          <cell r="D5616">
            <v>25274.47</v>
          </cell>
          <cell r="H5616">
            <v>45627</v>
          </cell>
          <cell r="I5616" t="str">
            <v>6005 - Salaries</v>
          </cell>
          <cell r="J5616">
            <v>0</v>
          </cell>
          <cell r="K5616" t="str">
            <v>Design</v>
          </cell>
          <cell r="L5616" t="str">
            <v>HQ Salaries</v>
          </cell>
          <cell r="N5616" t="str">
            <v>SG&amp;A</v>
          </cell>
          <cell r="O5616" t="str">
            <v>[No Vendor]</v>
          </cell>
        </row>
        <row r="5617">
          <cell r="D5617">
            <v>31866.41</v>
          </cell>
          <cell r="H5617">
            <v>45627</v>
          </cell>
          <cell r="I5617" t="str">
            <v>6005 - Salaries</v>
          </cell>
          <cell r="J5617">
            <v>0</v>
          </cell>
          <cell r="K5617" t="str">
            <v>Administration</v>
          </cell>
          <cell r="L5617" t="str">
            <v>HQ Salaries</v>
          </cell>
          <cell r="N5617" t="str">
            <v>SG&amp;A</v>
          </cell>
          <cell r="O5617" t="str">
            <v>[No Vendor]</v>
          </cell>
        </row>
        <row r="5618">
          <cell r="D5618">
            <v>12054.85</v>
          </cell>
          <cell r="H5618">
            <v>45627</v>
          </cell>
          <cell r="I5618" t="str">
            <v>6005 - Salaries</v>
          </cell>
          <cell r="J5618">
            <v>0</v>
          </cell>
          <cell r="K5618" t="str">
            <v>Executive</v>
          </cell>
          <cell r="L5618" t="str">
            <v>HQ Salaries</v>
          </cell>
          <cell r="N5618" t="str">
            <v>SG&amp;A</v>
          </cell>
          <cell r="O5618" t="str">
            <v>[No Vendor]</v>
          </cell>
        </row>
        <row r="5619">
          <cell r="D5619">
            <v>6016</v>
          </cell>
          <cell r="H5619">
            <v>45627</v>
          </cell>
          <cell r="I5619" t="str">
            <v>6005 - Salaries</v>
          </cell>
          <cell r="J5619">
            <v>0</v>
          </cell>
          <cell r="K5619" t="str">
            <v>Merchandising</v>
          </cell>
          <cell r="L5619" t="str">
            <v>HQ Salaries</v>
          </cell>
          <cell r="N5619" t="str">
            <v>SG&amp;A</v>
          </cell>
          <cell r="O5619" t="str">
            <v>[No Vendor]</v>
          </cell>
        </row>
        <row r="5620">
          <cell r="D5620">
            <v>13405.08</v>
          </cell>
          <cell r="H5620">
            <v>45627</v>
          </cell>
          <cell r="I5620" t="str">
            <v>6005 - Salaries</v>
          </cell>
          <cell r="J5620" t="str">
            <v>Wholesale</v>
          </cell>
          <cell r="K5620" t="str">
            <v>Wholesale</v>
          </cell>
          <cell r="L5620" t="str">
            <v>HQ Salaries</v>
          </cell>
          <cell r="N5620" t="str">
            <v>SG&amp;A</v>
          </cell>
          <cell r="O5620" t="str">
            <v>[No Vendor]</v>
          </cell>
        </row>
        <row r="5621">
          <cell r="D5621">
            <v>23842.99</v>
          </cell>
          <cell r="H5621">
            <v>45627</v>
          </cell>
          <cell r="I5621" t="str">
            <v>6005 - Salaries</v>
          </cell>
          <cell r="J5621">
            <v>0</v>
          </cell>
          <cell r="K5621" t="str">
            <v>Production</v>
          </cell>
          <cell r="L5621" t="str">
            <v>HQ Salaries</v>
          </cell>
          <cell r="N5621" t="str">
            <v>SG&amp;A</v>
          </cell>
          <cell r="O5621" t="str">
            <v>[No Vendor]</v>
          </cell>
        </row>
        <row r="5622">
          <cell r="D5622">
            <v>25865.040000000001</v>
          </cell>
          <cell r="H5622">
            <v>45627</v>
          </cell>
          <cell r="I5622" t="str">
            <v>6375 - Freight Expenses</v>
          </cell>
          <cell r="J5622" t="str">
            <v>Ecommerce (US)</v>
          </cell>
          <cell r="K5622" t="str">
            <v>Ecommerce</v>
          </cell>
          <cell r="L5622" t="str">
            <v>Freight</v>
          </cell>
          <cell r="N5622" t="str">
            <v>Direct Costs</v>
          </cell>
          <cell r="O5622" t="str">
            <v>UPS Supply Chain Solutions Inc. (7F24A0)</v>
          </cell>
        </row>
        <row r="5623">
          <cell r="D5623">
            <v>49.93</v>
          </cell>
          <cell r="H5623">
            <v>45627</v>
          </cell>
          <cell r="I5623" t="str">
            <v>6375 - Freight Expenses</v>
          </cell>
          <cell r="J5623" t="str">
            <v>Wholesale</v>
          </cell>
          <cell r="K5623" t="str">
            <v>Wholesale</v>
          </cell>
          <cell r="L5623" t="str">
            <v>Freight</v>
          </cell>
          <cell r="N5623" t="str">
            <v>Direct Costs</v>
          </cell>
          <cell r="O5623" t="str">
            <v>UPS Supply Chain Solutions Inc. (7F24A0)</v>
          </cell>
        </row>
        <row r="5624">
          <cell r="D5624">
            <v>3.48</v>
          </cell>
          <cell r="H5624">
            <v>45627</v>
          </cell>
          <cell r="I5624" t="str">
            <v>6375 - Freight Expenses</v>
          </cell>
          <cell r="J5624" t="str">
            <v>Ecommerce (US)</v>
          </cell>
          <cell r="K5624" t="str">
            <v>Ecommerce</v>
          </cell>
          <cell r="L5624" t="str">
            <v>Freight</v>
          </cell>
          <cell r="N5624" t="str">
            <v>Direct Costs</v>
          </cell>
          <cell r="O5624" t="str">
            <v>Federal Express</v>
          </cell>
        </row>
        <row r="5625">
          <cell r="D5625">
            <v>1300</v>
          </cell>
          <cell r="H5625">
            <v>45627</v>
          </cell>
          <cell r="I5625" t="str">
            <v>6360 - Model - Fitting</v>
          </cell>
          <cell r="J5625">
            <v>0</v>
          </cell>
          <cell r="K5625" t="str">
            <v>Production</v>
          </cell>
          <cell r="L5625" t="str">
            <v>Sample</v>
          </cell>
          <cell r="N5625" t="str">
            <v>SG&amp;A</v>
          </cell>
          <cell r="O5625" t="str">
            <v>Lanny K.W. Inc.</v>
          </cell>
        </row>
        <row r="5626">
          <cell r="D5626">
            <v>0.4</v>
          </cell>
          <cell r="H5626">
            <v>45627</v>
          </cell>
          <cell r="I5626" t="str">
            <v>8505 - Realized Gain/Loss</v>
          </cell>
          <cell r="J5626">
            <v>0</v>
          </cell>
          <cell r="K5626" t="str">
            <v>No Department</v>
          </cell>
          <cell r="L5626" t="str">
            <v>Realized Gain / Loss</v>
          </cell>
          <cell r="N5626" t="str">
            <v>BTL</v>
          </cell>
          <cell r="O5626" t="str">
            <v>[No Vendor]</v>
          </cell>
        </row>
        <row r="5627">
          <cell r="D5627">
            <v>50.62</v>
          </cell>
          <cell r="H5627">
            <v>45627</v>
          </cell>
          <cell r="I5627" t="str">
            <v>8505 - Realized Gain/Loss</v>
          </cell>
          <cell r="J5627">
            <v>0</v>
          </cell>
          <cell r="K5627" t="str">
            <v>No Department</v>
          </cell>
          <cell r="L5627" t="str">
            <v>Realized Gain / Loss</v>
          </cell>
          <cell r="N5627" t="str">
            <v>BTL</v>
          </cell>
          <cell r="O5627" t="str">
            <v>[No Vendor]</v>
          </cell>
        </row>
        <row r="5628">
          <cell r="D5628">
            <v>4524.0600000000004</v>
          </cell>
          <cell r="H5628">
            <v>45627</v>
          </cell>
          <cell r="I5628" t="str">
            <v>6375 - Freight Expenses</v>
          </cell>
          <cell r="J5628" t="str">
            <v>Ecommerce (EU)</v>
          </cell>
          <cell r="K5628" t="str">
            <v>Ecommerce</v>
          </cell>
          <cell r="L5628" t="str">
            <v>Freight</v>
          </cell>
          <cell r="N5628" t="str">
            <v>Direct Costs</v>
          </cell>
          <cell r="O5628" t="str">
            <v>Global E</v>
          </cell>
        </row>
        <row r="5629">
          <cell r="D5629">
            <v>47197.32</v>
          </cell>
          <cell r="H5629">
            <v>45627</v>
          </cell>
          <cell r="I5629" t="str">
            <v>5001 - Cost of Goods Sold - Other</v>
          </cell>
          <cell r="J5629" t="str">
            <v>Ecommerce (EU)</v>
          </cell>
          <cell r="K5629" t="str">
            <v>Ecommerce</v>
          </cell>
          <cell r="L5629" t="str">
            <v>Other COGS</v>
          </cell>
          <cell r="N5629" t="str">
            <v>COGS</v>
          </cell>
          <cell r="O5629" t="str">
            <v>[No Vendor]</v>
          </cell>
        </row>
        <row r="5630">
          <cell r="D5630">
            <v>884.29</v>
          </cell>
          <cell r="H5630">
            <v>45627</v>
          </cell>
          <cell r="I5630" t="str">
            <v>6377 - Order Processing Expenses (New)</v>
          </cell>
          <cell r="J5630" t="str">
            <v>Ecommerce (EU)</v>
          </cell>
          <cell r="K5630" t="str">
            <v>Ecommerce</v>
          </cell>
          <cell r="L5630" t="str">
            <v>Order Processing</v>
          </cell>
          <cell r="N5630" t="str">
            <v>Direct Costs</v>
          </cell>
          <cell r="O5630" t="str">
            <v>[No Vendor]</v>
          </cell>
        </row>
        <row r="5631">
          <cell r="D5631">
            <v>12348.25</v>
          </cell>
          <cell r="H5631">
            <v>45627</v>
          </cell>
          <cell r="I5631" t="str">
            <v>6450 - Bank &amp; Other Fees</v>
          </cell>
          <cell r="J5631" t="str">
            <v>Ecommerce (EU)</v>
          </cell>
          <cell r="K5631" t="str">
            <v>Ecommerce</v>
          </cell>
          <cell r="L5631" t="str">
            <v>Professional Service</v>
          </cell>
          <cell r="N5631" t="str">
            <v>Direct Costs</v>
          </cell>
          <cell r="O5631" t="str">
            <v>[No Vendor]</v>
          </cell>
        </row>
        <row r="5632">
          <cell r="D5632">
            <v>131</v>
          </cell>
          <cell r="H5632">
            <v>45627</v>
          </cell>
          <cell r="I5632" t="str">
            <v>6040 - Employer Paid Benefits</v>
          </cell>
          <cell r="J5632">
            <v>0</v>
          </cell>
          <cell r="K5632" t="str">
            <v>Administration</v>
          </cell>
          <cell r="L5632" t="str">
            <v>HQ Salaries</v>
          </cell>
          <cell r="N5632" t="str">
            <v>SG&amp;A</v>
          </cell>
          <cell r="O5632" t="str">
            <v>Progressive Benefit Solutions LLC</v>
          </cell>
        </row>
        <row r="5633">
          <cell r="D5633">
            <v>79134.27</v>
          </cell>
          <cell r="H5633">
            <v>45627</v>
          </cell>
          <cell r="I5633" t="str">
            <v>8700 - Other Expense</v>
          </cell>
          <cell r="J5633">
            <v>0</v>
          </cell>
          <cell r="K5633" t="str">
            <v>Administration</v>
          </cell>
          <cell r="L5633" t="str">
            <v>Other Expense</v>
          </cell>
          <cell r="N5633" t="str">
            <v>BTL</v>
          </cell>
          <cell r="O5633" t="str">
            <v>Bryan Cave Leighton Paisner LLP</v>
          </cell>
        </row>
        <row r="5634">
          <cell r="D5634">
            <v>7375.5</v>
          </cell>
          <cell r="H5634">
            <v>45627</v>
          </cell>
          <cell r="I5634" t="str">
            <v>8700 - Other Expense</v>
          </cell>
          <cell r="J5634">
            <v>0</v>
          </cell>
          <cell r="K5634" t="str">
            <v>Administration</v>
          </cell>
          <cell r="L5634" t="str">
            <v>Other Expense</v>
          </cell>
          <cell r="N5634" t="str">
            <v>BTL</v>
          </cell>
          <cell r="O5634" t="str">
            <v>Bryan Cave Leighton Paisner LLP</v>
          </cell>
        </row>
        <row r="5635">
          <cell r="D5635">
            <v>37269.21</v>
          </cell>
          <cell r="H5635">
            <v>45627</v>
          </cell>
          <cell r="I5635" t="str">
            <v>6377 - Order Processing Expenses (New)</v>
          </cell>
          <cell r="J5635" t="str">
            <v>Ecommerce (US)</v>
          </cell>
          <cell r="K5635" t="str">
            <v>Ecommerce</v>
          </cell>
          <cell r="L5635" t="str">
            <v>Order Processing</v>
          </cell>
          <cell r="N5635" t="str">
            <v>Direct Costs</v>
          </cell>
          <cell r="O5635" t="str">
            <v>Bergen Logistics Corporation</v>
          </cell>
        </row>
        <row r="5636">
          <cell r="D5636">
            <v>1189.8699999999999</v>
          </cell>
          <cell r="H5636">
            <v>45627</v>
          </cell>
          <cell r="I5636" t="str">
            <v>6377 - Order Processing Expenses (New)</v>
          </cell>
          <cell r="J5636" t="str">
            <v>Wholesale</v>
          </cell>
          <cell r="K5636" t="str">
            <v>Wholesale</v>
          </cell>
          <cell r="L5636" t="str">
            <v>Order Processing</v>
          </cell>
          <cell r="N5636" t="str">
            <v>Direct Costs</v>
          </cell>
          <cell r="O5636" t="str">
            <v>Bergen Logistics Corporation</v>
          </cell>
        </row>
        <row r="5637">
          <cell r="D5637">
            <v>11.99</v>
          </cell>
          <cell r="H5637">
            <v>45627</v>
          </cell>
          <cell r="I5637" t="str">
            <v>6393 - Software</v>
          </cell>
          <cell r="J5637">
            <v>0</v>
          </cell>
          <cell r="K5637" t="str">
            <v>Administration</v>
          </cell>
          <cell r="L5637" t="str">
            <v>Professional Service</v>
          </cell>
          <cell r="N5637" t="str">
            <v>Direct Costs</v>
          </cell>
          <cell r="O5637">
            <v>0</v>
          </cell>
        </row>
        <row r="5638">
          <cell r="D5638">
            <v>21.78</v>
          </cell>
          <cell r="H5638">
            <v>45627</v>
          </cell>
          <cell r="I5638" t="str">
            <v>6393 - Software</v>
          </cell>
          <cell r="J5638">
            <v>0</v>
          </cell>
          <cell r="K5638" t="str">
            <v>Administration</v>
          </cell>
          <cell r="L5638" t="str">
            <v>Professional Service</v>
          </cell>
          <cell r="N5638" t="str">
            <v>Direct Costs</v>
          </cell>
          <cell r="O5638" t="str">
            <v>Chat GPT</v>
          </cell>
        </row>
        <row r="5639">
          <cell r="D5639">
            <v>19234.53</v>
          </cell>
          <cell r="H5639">
            <v>45627</v>
          </cell>
          <cell r="I5639" t="str">
            <v>6393 - Software</v>
          </cell>
          <cell r="J5639" t="str">
            <v>Ecommerce (US)</v>
          </cell>
          <cell r="K5639" t="str">
            <v>Brand Marketing</v>
          </cell>
          <cell r="L5639" t="str">
            <v>Professional Service</v>
          </cell>
          <cell r="N5639" t="str">
            <v>Direct Costs</v>
          </cell>
          <cell r="O5639" t="str">
            <v>Attentive Mobile Inc.</v>
          </cell>
        </row>
        <row r="5640">
          <cell r="D5640">
            <v>16.32</v>
          </cell>
          <cell r="H5640">
            <v>45627</v>
          </cell>
          <cell r="I5640" t="str">
            <v>6393 - Software</v>
          </cell>
          <cell r="J5640" t="str">
            <v>Ecommerce (US)</v>
          </cell>
          <cell r="K5640" t="str">
            <v>Ecommerce</v>
          </cell>
          <cell r="L5640" t="str">
            <v>Professional Service</v>
          </cell>
          <cell r="N5640" t="str">
            <v>Direct Costs</v>
          </cell>
          <cell r="O5640" t="str">
            <v>[No Vendor]</v>
          </cell>
        </row>
        <row r="5641">
          <cell r="D5641">
            <v>598</v>
          </cell>
          <cell r="H5641">
            <v>45627</v>
          </cell>
          <cell r="I5641" t="str">
            <v>6393 - Software</v>
          </cell>
          <cell r="J5641" t="str">
            <v>Ecommerce (US)</v>
          </cell>
          <cell r="K5641" t="str">
            <v>Ecommerce</v>
          </cell>
          <cell r="L5641" t="str">
            <v>Professional Service</v>
          </cell>
          <cell r="N5641" t="str">
            <v>Direct Costs</v>
          </cell>
          <cell r="O5641">
            <v>0</v>
          </cell>
        </row>
        <row r="5642">
          <cell r="D5642">
            <v>8939.08</v>
          </cell>
          <cell r="H5642">
            <v>45627</v>
          </cell>
          <cell r="I5642" t="str">
            <v>6393 - Software</v>
          </cell>
          <cell r="J5642" t="str">
            <v>Ecommerce (US)</v>
          </cell>
          <cell r="K5642" t="str">
            <v>Ecommerce</v>
          </cell>
          <cell r="L5642" t="str">
            <v>Professional Service</v>
          </cell>
          <cell r="N5642" t="str">
            <v>Direct Costs</v>
          </cell>
          <cell r="O5642" t="str">
            <v>Shopify</v>
          </cell>
        </row>
        <row r="5643">
          <cell r="D5643">
            <v>21.78</v>
          </cell>
          <cell r="H5643">
            <v>45627</v>
          </cell>
          <cell r="I5643" t="str">
            <v>6393 - Software</v>
          </cell>
          <cell r="J5643" t="str">
            <v>Ecommerce (US)</v>
          </cell>
          <cell r="K5643" t="str">
            <v>Ecommerce</v>
          </cell>
          <cell r="L5643" t="str">
            <v>Professional Service</v>
          </cell>
          <cell r="N5643" t="str">
            <v>Direct Costs</v>
          </cell>
          <cell r="O5643" t="str">
            <v>Chat GPT</v>
          </cell>
        </row>
        <row r="5644">
          <cell r="D5644">
            <v>159</v>
          </cell>
          <cell r="H5644">
            <v>45627</v>
          </cell>
          <cell r="I5644" t="str">
            <v>6393 - Software</v>
          </cell>
          <cell r="J5644" t="str">
            <v>Ecommerce (US)</v>
          </cell>
          <cell r="K5644" t="str">
            <v>Ecommerce</v>
          </cell>
          <cell r="L5644" t="str">
            <v>Professional Service</v>
          </cell>
          <cell r="N5644" t="str">
            <v>Direct Costs</v>
          </cell>
          <cell r="O5644" t="str">
            <v>Integration Manager</v>
          </cell>
        </row>
        <row r="5645">
          <cell r="D5645">
            <v>2830.75</v>
          </cell>
          <cell r="H5645">
            <v>45627</v>
          </cell>
          <cell r="I5645" t="str">
            <v>6393 - Software</v>
          </cell>
          <cell r="J5645" t="str">
            <v>Ecommerce (US)</v>
          </cell>
          <cell r="K5645" t="str">
            <v>Ecommerce</v>
          </cell>
          <cell r="L5645" t="str">
            <v>Professional Service</v>
          </cell>
          <cell r="N5645" t="str">
            <v>Direct Costs</v>
          </cell>
          <cell r="O5645">
            <v>0</v>
          </cell>
        </row>
        <row r="5646">
          <cell r="D5646">
            <v>1012.54</v>
          </cell>
          <cell r="H5646">
            <v>45627</v>
          </cell>
          <cell r="I5646" t="str">
            <v>6393 - Software</v>
          </cell>
          <cell r="J5646" t="str">
            <v>Ecommerce (US)</v>
          </cell>
          <cell r="K5646" t="str">
            <v>Ecommerce</v>
          </cell>
          <cell r="L5646" t="str">
            <v>Professional Service</v>
          </cell>
          <cell r="N5646" t="str">
            <v>Direct Costs</v>
          </cell>
          <cell r="O5646">
            <v>0</v>
          </cell>
        </row>
        <row r="5647">
          <cell r="D5647">
            <v>201.42</v>
          </cell>
          <cell r="H5647">
            <v>45627</v>
          </cell>
          <cell r="I5647" t="str">
            <v>6393 - Software</v>
          </cell>
          <cell r="J5647" t="str">
            <v>Ecommerce (US)</v>
          </cell>
          <cell r="K5647" t="str">
            <v>Ecommerce</v>
          </cell>
          <cell r="L5647" t="str">
            <v>Professional Service</v>
          </cell>
          <cell r="N5647" t="str">
            <v>Direct Costs</v>
          </cell>
          <cell r="O5647">
            <v>0</v>
          </cell>
        </row>
        <row r="5648">
          <cell r="D5648">
            <v>76.209999999999994</v>
          </cell>
          <cell r="H5648">
            <v>45627</v>
          </cell>
          <cell r="I5648" t="str">
            <v>6393 - Software</v>
          </cell>
          <cell r="J5648" t="str">
            <v>Ecommerce (US)</v>
          </cell>
          <cell r="K5648" t="str">
            <v>Ecommerce</v>
          </cell>
          <cell r="L5648" t="str">
            <v>Professional Service</v>
          </cell>
          <cell r="N5648" t="str">
            <v>Direct Costs</v>
          </cell>
          <cell r="O5648">
            <v>0</v>
          </cell>
        </row>
        <row r="5649">
          <cell r="D5649">
            <v>14111.3</v>
          </cell>
          <cell r="H5649">
            <v>45627</v>
          </cell>
          <cell r="I5649" t="str">
            <v>6393 - Software</v>
          </cell>
          <cell r="J5649" t="str">
            <v>Ecommerce (US)</v>
          </cell>
          <cell r="K5649" t="str">
            <v>Ecommerce</v>
          </cell>
          <cell r="L5649" t="str">
            <v>Professional Service</v>
          </cell>
          <cell r="N5649" t="str">
            <v>Direct Costs</v>
          </cell>
          <cell r="O5649" t="str">
            <v>Signifyd</v>
          </cell>
        </row>
        <row r="5650">
          <cell r="D5650">
            <v>1107.67</v>
          </cell>
          <cell r="H5650">
            <v>45627</v>
          </cell>
          <cell r="I5650" t="str">
            <v>6393 - Software</v>
          </cell>
          <cell r="J5650" t="str">
            <v>Ecommerce (US)</v>
          </cell>
          <cell r="K5650" t="str">
            <v>Ecommerce</v>
          </cell>
          <cell r="L5650" t="str">
            <v>Professional Service</v>
          </cell>
          <cell r="N5650" t="str">
            <v>Direct Costs</v>
          </cell>
          <cell r="O5650">
            <v>0</v>
          </cell>
        </row>
        <row r="5651">
          <cell r="D5651">
            <v>9.5299999999999994</v>
          </cell>
          <cell r="H5651">
            <v>45627</v>
          </cell>
          <cell r="I5651" t="str">
            <v>6393 - Software</v>
          </cell>
          <cell r="J5651" t="str">
            <v>Ecommerce (US)</v>
          </cell>
          <cell r="K5651" t="str">
            <v>Ecommerce</v>
          </cell>
          <cell r="L5651" t="str">
            <v>Professional Service</v>
          </cell>
          <cell r="N5651" t="str">
            <v>Direct Costs</v>
          </cell>
          <cell r="O5651">
            <v>0</v>
          </cell>
        </row>
        <row r="5652">
          <cell r="D5652">
            <v>16.32</v>
          </cell>
          <cell r="H5652">
            <v>45627</v>
          </cell>
          <cell r="I5652" t="str">
            <v>6393 - Software</v>
          </cell>
          <cell r="J5652" t="str">
            <v>Ecommerce (US)</v>
          </cell>
          <cell r="K5652" t="str">
            <v>Ecommerce</v>
          </cell>
          <cell r="L5652" t="str">
            <v>Professional Service</v>
          </cell>
          <cell r="N5652" t="str">
            <v>Direct Costs</v>
          </cell>
          <cell r="O5652" t="str">
            <v>[No Vendor]</v>
          </cell>
        </row>
        <row r="5653">
          <cell r="D5653">
            <v>1711.52</v>
          </cell>
          <cell r="H5653">
            <v>45627</v>
          </cell>
          <cell r="I5653" t="str">
            <v>6393 - Software</v>
          </cell>
          <cell r="J5653" t="str">
            <v>Ecommerce (US)</v>
          </cell>
          <cell r="K5653" t="str">
            <v>Ecommerce</v>
          </cell>
          <cell r="L5653" t="str">
            <v>Professional Service</v>
          </cell>
          <cell r="N5653" t="str">
            <v>Direct Costs</v>
          </cell>
          <cell r="O5653" t="str">
            <v>Robert  McKinney</v>
          </cell>
        </row>
        <row r="5654">
          <cell r="D5654">
            <v>7724.24</v>
          </cell>
          <cell r="H5654">
            <v>45627</v>
          </cell>
          <cell r="I5654" t="str">
            <v>6393 - Software</v>
          </cell>
          <cell r="J5654" t="str">
            <v>Ecommerce (US)</v>
          </cell>
          <cell r="K5654" t="str">
            <v>Ecommerce</v>
          </cell>
          <cell r="L5654" t="str">
            <v>Professional Service</v>
          </cell>
          <cell r="N5654" t="str">
            <v>Direct Costs</v>
          </cell>
          <cell r="O5654" t="str">
            <v>Shopify</v>
          </cell>
        </row>
        <row r="5655">
          <cell r="D5655">
            <v>228.64</v>
          </cell>
          <cell r="H5655">
            <v>45627</v>
          </cell>
          <cell r="I5655" t="str">
            <v>6393 - Software</v>
          </cell>
          <cell r="J5655" t="str">
            <v>Wholesale</v>
          </cell>
          <cell r="K5655" t="str">
            <v>Wholesale</v>
          </cell>
          <cell r="L5655" t="str">
            <v>Professional Service</v>
          </cell>
          <cell r="N5655" t="str">
            <v>Direct Costs</v>
          </cell>
          <cell r="O5655">
            <v>0</v>
          </cell>
        </row>
        <row r="5656">
          <cell r="D5656">
            <v>49.5</v>
          </cell>
          <cell r="H5656">
            <v>45627</v>
          </cell>
          <cell r="I5656" t="str">
            <v>6393 - Software</v>
          </cell>
          <cell r="J5656" t="str">
            <v>Wholesale</v>
          </cell>
          <cell r="K5656" t="str">
            <v>Wholesale</v>
          </cell>
          <cell r="L5656" t="str">
            <v>Professional Service</v>
          </cell>
          <cell r="N5656" t="str">
            <v>Direct Costs</v>
          </cell>
          <cell r="O5656">
            <v>0</v>
          </cell>
        </row>
        <row r="5657">
          <cell r="D5657">
            <v>102931.77</v>
          </cell>
          <cell r="H5657">
            <v>45627</v>
          </cell>
          <cell r="I5657" t="str">
            <v>6286 - SEM</v>
          </cell>
          <cell r="J5657" t="str">
            <v>Ecommerce (US)</v>
          </cell>
          <cell r="K5657" t="str">
            <v>Ecommerce</v>
          </cell>
          <cell r="L5657" t="str">
            <v>Marketing</v>
          </cell>
          <cell r="N5657" t="str">
            <v>Direct Costs</v>
          </cell>
          <cell r="O5657" t="str">
            <v>Google</v>
          </cell>
        </row>
        <row r="5658">
          <cell r="D5658">
            <v>16456.169999999998</v>
          </cell>
          <cell r="H5658">
            <v>45627</v>
          </cell>
          <cell r="I5658" t="str">
            <v>6286 - SEM</v>
          </cell>
          <cell r="J5658" t="str">
            <v>Ecommerce (US)</v>
          </cell>
          <cell r="K5658" t="str">
            <v>Ecommerce</v>
          </cell>
          <cell r="L5658" t="str">
            <v>Marketing</v>
          </cell>
          <cell r="N5658" t="str">
            <v>Direct Costs</v>
          </cell>
          <cell r="O5658" t="str">
            <v>Google</v>
          </cell>
        </row>
        <row r="5659">
          <cell r="D5659">
            <v>23692.48</v>
          </cell>
          <cell r="H5659">
            <v>45627</v>
          </cell>
          <cell r="I5659" t="str">
            <v>6286 - SEM</v>
          </cell>
          <cell r="J5659" t="str">
            <v>Ecommerce (EU)</v>
          </cell>
          <cell r="K5659" t="str">
            <v>Ecommerce</v>
          </cell>
          <cell r="L5659" t="str">
            <v>Marketing</v>
          </cell>
          <cell r="N5659" t="str">
            <v>Direct Costs</v>
          </cell>
          <cell r="O5659" t="str">
            <v>Google</v>
          </cell>
        </row>
        <row r="5660">
          <cell r="D5660">
            <v>30443.59</v>
          </cell>
          <cell r="H5660">
            <v>45627</v>
          </cell>
          <cell r="I5660" t="str">
            <v>6286 - SEM</v>
          </cell>
          <cell r="J5660" t="str">
            <v>Ecommerce (EU)</v>
          </cell>
          <cell r="K5660" t="str">
            <v>Ecommerce</v>
          </cell>
          <cell r="L5660" t="str">
            <v>Marketing</v>
          </cell>
          <cell r="N5660" t="str">
            <v>Direct Costs</v>
          </cell>
          <cell r="O5660" t="str">
            <v>Meta Platforms, Inc</v>
          </cell>
        </row>
        <row r="5661">
          <cell r="D5661">
            <v>120992.33</v>
          </cell>
          <cell r="H5661">
            <v>45627</v>
          </cell>
          <cell r="I5661" t="str">
            <v>6286 - SEM</v>
          </cell>
          <cell r="J5661" t="str">
            <v>Ecommerce (US)</v>
          </cell>
          <cell r="K5661" t="str">
            <v>Ecommerce</v>
          </cell>
          <cell r="L5661" t="str">
            <v>Marketing</v>
          </cell>
          <cell r="N5661" t="str">
            <v>Direct Costs</v>
          </cell>
          <cell r="O5661" t="str">
            <v>Meta Platforms, Inc</v>
          </cell>
        </row>
        <row r="5662">
          <cell r="D5662">
            <v>21599.66</v>
          </cell>
          <cell r="H5662">
            <v>45627</v>
          </cell>
          <cell r="I5662" t="str">
            <v>6286 - SEM</v>
          </cell>
          <cell r="J5662" t="str">
            <v>Ecommerce (US)</v>
          </cell>
          <cell r="K5662" t="str">
            <v>Ecommerce</v>
          </cell>
          <cell r="L5662" t="str">
            <v>Marketing</v>
          </cell>
          <cell r="N5662" t="str">
            <v>Direct Costs</v>
          </cell>
          <cell r="O5662" t="str">
            <v>Amazon</v>
          </cell>
        </row>
        <row r="5663">
          <cell r="D5663">
            <v>12246.5</v>
          </cell>
          <cell r="H5663">
            <v>45627</v>
          </cell>
          <cell r="I5663" t="str">
            <v>6286 - SEM</v>
          </cell>
          <cell r="J5663" t="str">
            <v>Ecommerce (US)</v>
          </cell>
          <cell r="K5663" t="str">
            <v>Ecommerce</v>
          </cell>
          <cell r="L5663" t="str">
            <v>Marketing</v>
          </cell>
          <cell r="N5663" t="str">
            <v>Direct Costs</v>
          </cell>
          <cell r="O5663" t="str">
            <v>Tiktok</v>
          </cell>
        </row>
        <row r="5664">
          <cell r="D5664">
            <v>700</v>
          </cell>
          <cell r="H5664">
            <v>45627</v>
          </cell>
          <cell r="I5664" t="str">
            <v>6360 - Model - Fitting</v>
          </cell>
          <cell r="J5664">
            <v>0</v>
          </cell>
          <cell r="K5664" t="str">
            <v>Production</v>
          </cell>
          <cell r="L5664" t="str">
            <v>Sample</v>
          </cell>
          <cell r="N5664" t="str">
            <v>SG&amp;A</v>
          </cell>
          <cell r="O5664" t="str">
            <v>Lanny K.W. Inc.</v>
          </cell>
        </row>
        <row r="5665">
          <cell r="D5665">
            <v>1800</v>
          </cell>
          <cell r="H5665">
            <v>45627</v>
          </cell>
          <cell r="I5665" t="str">
            <v>6360 - Model - Fitting</v>
          </cell>
          <cell r="J5665">
            <v>0</v>
          </cell>
          <cell r="K5665" t="str">
            <v>Production</v>
          </cell>
          <cell r="L5665" t="str">
            <v>Sample</v>
          </cell>
          <cell r="N5665" t="str">
            <v>SG&amp;A</v>
          </cell>
          <cell r="O5665" t="str">
            <v>Lanny K.W. Inc.</v>
          </cell>
        </row>
        <row r="5666">
          <cell r="D5666">
            <v>1500</v>
          </cell>
          <cell r="H5666">
            <v>45627</v>
          </cell>
          <cell r="I5666" t="str">
            <v>6360 - Model - Fitting</v>
          </cell>
          <cell r="J5666">
            <v>0</v>
          </cell>
          <cell r="K5666" t="str">
            <v>Production</v>
          </cell>
          <cell r="L5666" t="str">
            <v>Sample</v>
          </cell>
          <cell r="N5666" t="str">
            <v>SG&amp;A</v>
          </cell>
          <cell r="O5666" t="str">
            <v>Lanny K.W. Inc.</v>
          </cell>
        </row>
        <row r="5667">
          <cell r="D5667">
            <v>1100</v>
          </cell>
          <cell r="H5667">
            <v>45627</v>
          </cell>
          <cell r="I5667" t="str">
            <v>6360 - Model - Fitting</v>
          </cell>
          <cell r="J5667">
            <v>0</v>
          </cell>
          <cell r="K5667" t="str">
            <v>Production</v>
          </cell>
          <cell r="L5667" t="str">
            <v>Sample</v>
          </cell>
          <cell r="N5667" t="str">
            <v>SG&amp;A</v>
          </cell>
          <cell r="O5667" t="str">
            <v>Lanny K.W. Inc.</v>
          </cell>
        </row>
        <row r="5668">
          <cell r="D5668">
            <v>1200</v>
          </cell>
          <cell r="H5668">
            <v>45627</v>
          </cell>
          <cell r="I5668" t="str">
            <v>6360 - Model - Fitting</v>
          </cell>
          <cell r="J5668">
            <v>0</v>
          </cell>
          <cell r="K5668" t="str">
            <v>Production</v>
          </cell>
          <cell r="L5668" t="str">
            <v>Sample</v>
          </cell>
          <cell r="N5668" t="str">
            <v>SG&amp;A</v>
          </cell>
          <cell r="O5668" t="str">
            <v>Lanny K.W. Inc.</v>
          </cell>
        </row>
        <row r="5669">
          <cell r="D5669">
            <v>3242.58</v>
          </cell>
          <cell r="H5669">
            <v>45627</v>
          </cell>
          <cell r="I5669" t="str">
            <v>6380 - Legal &amp; Accounting</v>
          </cell>
          <cell r="J5669">
            <v>0</v>
          </cell>
          <cell r="K5669" t="str">
            <v>Administration</v>
          </cell>
          <cell r="L5669" t="str">
            <v>Professional Service</v>
          </cell>
          <cell r="N5669" t="str">
            <v>SG&amp;A</v>
          </cell>
          <cell r="O5669" t="str">
            <v>The Wave IP Law Firm</v>
          </cell>
        </row>
        <row r="5670">
          <cell r="D5670">
            <v>527.48</v>
          </cell>
          <cell r="H5670">
            <v>45627</v>
          </cell>
          <cell r="I5670" t="str">
            <v>6340 - Miscellaneous Expense</v>
          </cell>
          <cell r="J5670">
            <v>0</v>
          </cell>
          <cell r="K5670" t="str">
            <v>Administration</v>
          </cell>
          <cell r="L5670" t="str">
            <v>Other</v>
          </cell>
          <cell r="N5670" t="str">
            <v>SG&amp;A</v>
          </cell>
          <cell r="O5670" t="str">
            <v>Amazon Capital Services</v>
          </cell>
        </row>
        <row r="5671">
          <cell r="D5671">
            <v>-109.9</v>
          </cell>
          <cell r="H5671">
            <v>45627</v>
          </cell>
          <cell r="I5671" t="str">
            <v>6340 - Miscellaneous Expense</v>
          </cell>
          <cell r="J5671">
            <v>0</v>
          </cell>
          <cell r="K5671" t="str">
            <v>Administration</v>
          </cell>
          <cell r="L5671" t="str">
            <v>Other</v>
          </cell>
          <cell r="N5671" t="str">
            <v>SG&amp;A</v>
          </cell>
          <cell r="O5671" t="str">
            <v>[No Vendor]</v>
          </cell>
        </row>
        <row r="5672">
          <cell r="D5672">
            <v>113.22</v>
          </cell>
          <cell r="H5672">
            <v>45627</v>
          </cell>
          <cell r="I5672" t="str">
            <v>6340 - Miscellaneous Expense</v>
          </cell>
          <cell r="J5672">
            <v>0</v>
          </cell>
          <cell r="K5672" t="str">
            <v>Administration</v>
          </cell>
          <cell r="L5672" t="str">
            <v>Other</v>
          </cell>
          <cell r="N5672" t="str">
            <v>SG&amp;A</v>
          </cell>
          <cell r="O5672" t="str">
            <v>[No Vendor]</v>
          </cell>
        </row>
        <row r="5673">
          <cell r="D5673">
            <v>107.79</v>
          </cell>
          <cell r="H5673">
            <v>45627</v>
          </cell>
          <cell r="I5673" t="str">
            <v>6340 - Miscellaneous Expense</v>
          </cell>
          <cell r="J5673">
            <v>0</v>
          </cell>
          <cell r="K5673" t="str">
            <v>Executive</v>
          </cell>
          <cell r="L5673" t="str">
            <v>Other</v>
          </cell>
          <cell r="N5673" t="str">
            <v>SG&amp;A</v>
          </cell>
          <cell r="O5673" t="str">
            <v>[No Vendor]</v>
          </cell>
        </row>
        <row r="5674">
          <cell r="D5674">
            <v>10.88</v>
          </cell>
          <cell r="H5674">
            <v>45627</v>
          </cell>
          <cell r="I5674" t="str">
            <v>6340 - Miscellaneous Expense</v>
          </cell>
          <cell r="J5674">
            <v>0</v>
          </cell>
          <cell r="K5674" t="str">
            <v>Administration</v>
          </cell>
          <cell r="L5674" t="str">
            <v>Other</v>
          </cell>
          <cell r="N5674" t="str">
            <v>SG&amp;A</v>
          </cell>
          <cell r="O5674" t="str">
            <v>[No Vendor]</v>
          </cell>
        </row>
        <row r="5675">
          <cell r="D5675">
            <v>325.54000000000002</v>
          </cell>
          <cell r="H5675">
            <v>45627</v>
          </cell>
          <cell r="I5675" t="str">
            <v>6340 - Miscellaneous Expense</v>
          </cell>
          <cell r="J5675">
            <v>0</v>
          </cell>
          <cell r="K5675" t="str">
            <v>Executive</v>
          </cell>
          <cell r="L5675" t="str">
            <v>Other</v>
          </cell>
          <cell r="N5675" t="str">
            <v>SG&amp;A</v>
          </cell>
          <cell r="O5675" t="str">
            <v>[No Vendor]</v>
          </cell>
        </row>
        <row r="5676">
          <cell r="D5676">
            <v>1714.49</v>
          </cell>
          <cell r="H5676">
            <v>45627</v>
          </cell>
          <cell r="I5676" t="str">
            <v>6215 - Recruitment</v>
          </cell>
          <cell r="J5676">
            <v>0</v>
          </cell>
          <cell r="K5676" t="str">
            <v>Administration</v>
          </cell>
          <cell r="L5676" t="str">
            <v>Professional Service</v>
          </cell>
          <cell r="N5676" t="str">
            <v>SG&amp;A</v>
          </cell>
          <cell r="O5676" t="str">
            <v>LinkedIN Corporation</v>
          </cell>
        </row>
        <row r="5677">
          <cell r="D5677">
            <v>1714.55</v>
          </cell>
          <cell r="H5677">
            <v>45627</v>
          </cell>
          <cell r="I5677" t="str">
            <v>6215 - Recruitment</v>
          </cell>
          <cell r="J5677">
            <v>0</v>
          </cell>
          <cell r="K5677" t="str">
            <v>Administration</v>
          </cell>
          <cell r="L5677" t="str">
            <v>Professional Service</v>
          </cell>
          <cell r="N5677" t="str">
            <v>SG&amp;A</v>
          </cell>
          <cell r="O5677" t="str">
            <v>LinkedIN Corporation</v>
          </cell>
        </row>
        <row r="5678">
          <cell r="D5678">
            <v>1301.44</v>
          </cell>
          <cell r="H5678">
            <v>45627</v>
          </cell>
          <cell r="I5678" t="str">
            <v>6120 - Lodging</v>
          </cell>
          <cell r="J5678" t="str">
            <v>Ecommerce (US)</v>
          </cell>
          <cell r="K5678" t="str">
            <v>Ecommerce</v>
          </cell>
          <cell r="L5678" t="str">
            <v>T&amp;E</v>
          </cell>
          <cell r="N5678" t="str">
            <v>SG&amp;A</v>
          </cell>
          <cell r="O5678" t="str">
            <v>[No Vendor]</v>
          </cell>
        </row>
        <row r="5679">
          <cell r="D5679">
            <v>1791.13</v>
          </cell>
          <cell r="H5679">
            <v>45627</v>
          </cell>
          <cell r="I5679" t="str">
            <v>6120 - Lodging</v>
          </cell>
          <cell r="J5679" t="str">
            <v>Ecommerce (US)</v>
          </cell>
          <cell r="K5679" t="str">
            <v>Ecommerce</v>
          </cell>
          <cell r="L5679" t="str">
            <v>T&amp;E</v>
          </cell>
          <cell r="N5679" t="str">
            <v>SG&amp;A</v>
          </cell>
          <cell r="O5679" t="str">
            <v>[No Vendor]</v>
          </cell>
        </row>
        <row r="5680">
          <cell r="D5680">
            <v>321.07</v>
          </cell>
          <cell r="H5680">
            <v>45627</v>
          </cell>
          <cell r="I5680" t="str">
            <v>6120 - Lodging</v>
          </cell>
          <cell r="J5680" t="str">
            <v>Ecommerce (US)</v>
          </cell>
          <cell r="K5680" t="str">
            <v>Ecommerce</v>
          </cell>
          <cell r="L5680" t="str">
            <v>T&amp;E</v>
          </cell>
          <cell r="N5680" t="str">
            <v>SG&amp;A</v>
          </cell>
          <cell r="O5680" t="str">
            <v>[No Vendor]</v>
          </cell>
        </row>
        <row r="5681">
          <cell r="D5681">
            <v>0.36</v>
          </cell>
          <cell r="H5681">
            <v>45627</v>
          </cell>
          <cell r="I5681" t="str">
            <v>6450 - Bank &amp; Other Fees</v>
          </cell>
          <cell r="J5681" t="str">
            <v>Ecommerce (US)</v>
          </cell>
          <cell r="K5681" t="str">
            <v>Ecommerce</v>
          </cell>
          <cell r="L5681" t="str">
            <v>Professional Service</v>
          </cell>
          <cell r="N5681" t="str">
            <v>Direct Costs</v>
          </cell>
          <cell r="O5681" t="str">
            <v>[No Vendor]</v>
          </cell>
        </row>
        <row r="5682">
          <cell r="D5682">
            <v>88</v>
          </cell>
          <cell r="H5682">
            <v>45627</v>
          </cell>
          <cell r="I5682" t="str">
            <v>6430 - Dues &amp; Memberships</v>
          </cell>
          <cell r="J5682" t="str">
            <v>Wholesale</v>
          </cell>
          <cell r="K5682" t="str">
            <v>Wholesale</v>
          </cell>
          <cell r="L5682" t="str">
            <v>Professional Service</v>
          </cell>
          <cell r="N5682" t="str">
            <v>Direct Costs</v>
          </cell>
          <cell r="O5682" t="str">
            <v>SPS Commerce</v>
          </cell>
        </row>
        <row r="5683">
          <cell r="D5683">
            <v>325</v>
          </cell>
          <cell r="H5683">
            <v>45627</v>
          </cell>
          <cell r="I5683" t="str">
            <v>6300 - Payroll Service Fees</v>
          </cell>
          <cell r="J5683">
            <v>0</v>
          </cell>
          <cell r="K5683" t="str">
            <v>Administration</v>
          </cell>
          <cell r="L5683" t="str">
            <v>Professional Service</v>
          </cell>
          <cell r="N5683" t="str">
            <v>SG&amp;A</v>
          </cell>
          <cell r="O5683" t="str">
            <v>OperationsInc, LLC</v>
          </cell>
        </row>
        <row r="5684">
          <cell r="D5684">
            <v>150</v>
          </cell>
          <cell r="H5684">
            <v>45627</v>
          </cell>
          <cell r="I5684" t="str">
            <v>6225 - Professional Services</v>
          </cell>
          <cell r="J5684">
            <v>0</v>
          </cell>
          <cell r="K5684" t="str">
            <v>Administration</v>
          </cell>
          <cell r="L5684" t="str">
            <v>Professional Service</v>
          </cell>
          <cell r="N5684" t="str">
            <v>Direct Costs</v>
          </cell>
          <cell r="O5684" t="str">
            <v>Benefit Resource, LLC</v>
          </cell>
        </row>
        <row r="5685">
          <cell r="D5685">
            <v>16</v>
          </cell>
          <cell r="H5685">
            <v>45627</v>
          </cell>
          <cell r="I5685" t="str">
            <v>6135 - Parking and Tolls</v>
          </cell>
          <cell r="J5685" t="str">
            <v>Ecommerce (US)</v>
          </cell>
          <cell r="K5685" t="str">
            <v>Ecommerce</v>
          </cell>
          <cell r="L5685" t="str">
            <v>T&amp;E</v>
          </cell>
          <cell r="N5685" t="str">
            <v>SG&amp;A</v>
          </cell>
          <cell r="O5685" t="str">
            <v>[No Vendor]</v>
          </cell>
        </row>
        <row r="5686">
          <cell r="D5686">
            <v>23.9</v>
          </cell>
          <cell r="H5686">
            <v>45627</v>
          </cell>
          <cell r="I5686" t="str">
            <v>6125 - Transportation and Fuel</v>
          </cell>
          <cell r="J5686">
            <v>0</v>
          </cell>
          <cell r="K5686" t="str">
            <v>Administration</v>
          </cell>
          <cell r="L5686" t="str">
            <v>T&amp;E</v>
          </cell>
          <cell r="N5686" t="str">
            <v>SG&amp;A</v>
          </cell>
          <cell r="O5686" t="str">
            <v>[No Vendor]</v>
          </cell>
        </row>
        <row r="5687">
          <cell r="D5687">
            <v>13.91</v>
          </cell>
          <cell r="H5687">
            <v>45627</v>
          </cell>
          <cell r="I5687" t="str">
            <v>6125 - Transportation and Fuel</v>
          </cell>
          <cell r="J5687">
            <v>0</v>
          </cell>
          <cell r="K5687" t="str">
            <v>Administration</v>
          </cell>
          <cell r="L5687" t="str">
            <v>T&amp;E</v>
          </cell>
          <cell r="N5687" t="str">
            <v>SG&amp;A</v>
          </cell>
          <cell r="O5687" t="str">
            <v>[No Vendor]</v>
          </cell>
        </row>
        <row r="5688">
          <cell r="D5688">
            <v>18.920000000000002</v>
          </cell>
          <cell r="H5688">
            <v>45627</v>
          </cell>
          <cell r="I5688" t="str">
            <v>6125 - Transportation and Fuel</v>
          </cell>
          <cell r="J5688">
            <v>0</v>
          </cell>
          <cell r="K5688" t="str">
            <v>Administration</v>
          </cell>
          <cell r="L5688" t="str">
            <v>T&amp;E</v>
          </cell>
          <cell r="N5688" t="str">
            <v>SG&amp;A</v>
          </cell>
          <cell r="O5688" t="str">
            <v>[No Vendor]</v>
          </cell>
        </row>
        <row r="5689">
          <cell r="D5689">
            <v>16.98</v>
          </cell>
          <cell r="H5689">
            <v>45627</v>
          </cell>
          <cell r="I5689" t="str">
            <v>6125 - Transportation and Fuel</v>
          </cell>
          <cell r="J5689">
            <v>0</v>
          </cell>
          <cell r="K5689" t="str">
            <v>Administration</v>
          </cell>
          <cell r="L5689" t="str">
            <v>T&amp;E</v>
          </cell>
          <cell r="N5689" t="str">
            <v>SG&amp;A</v>
          </cell>
          <cell r="O5689" t="str">
            <v>[No Vendor]</v>
          </cell>
        </row>
        <row r="5690">
          <cell r="D5690">
            <v>2.9</v>
          </cell>
          <cell r="H5690">
            <v>45627</v>
          </cell>
          <cell r="I5690" t="str">
            <v>6125 - Transportation and Fuel</v>
          </cell>
          <cell r="J5690">
            <v>0</v>
          </cell>
          <cell r="K5690" t="str">
            <v>Design</v>
          </cell>
          <cell r="L5690" t="str">
            <v>T&amp;E</v>
          </cell>
          <cell r="N5690" t="str">
            <v>SG&amp;A</v>
          </cell>
          <cell r="O5690" t="str">
            <v>[No Vendor]</v>
          </cell>
        </row>
        <row r="5691">
          <cell r="D5691">
            <v>103.22</v>
          </cell>
          <cell r="H5691">
            <v>45627</v>
          </cell>
          <cell r="I5691" t="str">
            <v>6125 - Transportation and Fuel</v>
          </cell>
          <cell r="J5691" t="str">
            <v>Ecommerce (US)</v>
          </cell>
          <cell r="K5691" t="str">
            <v>Ecommerce</v>
          </cell>
          <cell r="L5691" t="str">
            <v>T&amp;E</v>
          </cell>
          <cell r="N5691" t="str">
            <v>SG&amp;A</v>
          </cell>
          <cell r="O5691" t="str">
            <v>[No Vendor]</v>
          </cell>
        </row>
        <row r="5692">
          <cell r="D5692">
            <v>80.17</v>
          </cell>
          <cell r="H5692">
            <v>45627</v>
          </cell>
          <cell r="I5692" t="str">
            <v>6125 - Transportation and Fuel</v>
          </cell>
          <cell r="J5692" t="str">
            <v>Ecommerce (US)</v>
          </cell>
          <cell r="K5692" t="str">
            <v>Ecommerce</v>
          </cell>
          <cell r="L5692" t="str">
            <v>T&amp;E</v>
          </cell>
          <cell r="N5692" t="str">
            <v>SG&amp;A</v>
          </cell>
          <cell r="O5692" t="str">
            <v>[No Vendor]</v>
          </cell>
        </row>
        <row r="5693">
          <cell r="D5693">
            <v>58</v>
          </cell>
          <cell r="H5693">
            <v>45627</v>
          </cell>
          <cell r="I5693" t="str">
            <v>6125 - Transportation and Fuel</v>
          </cell>
          <cell r="J5693" t="str">
            <v>Ecommerce (US)</v>
          </cell>
          <cell r="K5693" t="str">
            <v>Ecommerce</v>
          </cell>
          <cell r="L5693" t="str">
            <v>T&amp;E</v>
          </cell>
          <cell r="N5693" t="str">
            <v>SG&amp;A</v>
          </cell>
          <cell r="O5693" t="str">
            <v>[No Vendor]</v>
          </cell>
        </row>
        <row r="5694">
          <cell r="D5694">
            <v>29</v>
          </cell>
          <cell r="H5694">
            <v>45627</v>
          </cell>
          <cell r="I5694" t="str">
            <v>6125 - Transportation and Fuel</v>
          </cell>
          <cell r="J5694" t="str">
            <v>Ecommerce (US)</v>
          </cell>
          <cell r="K5694" t="str">
            <v>Ecommerce</v>
          </cell>
          <cell r="L5694" t="str">
            <v>T&amp;E</v>
          </cell>
          <cell r="N5694" t="str">
            <v>SG&amp;A</v>
          </cell>
          <cell r="O5694" t="str">
            <v>[No Vendor]</v>
          </cell>
        </row>
        <row r="5695">
          <cell r="D5695">
            <v>832.7</v>
          </cell>
          <cell r="H5695">
            <v>45627</v>
          </cell>
          <cell r="I5695" t="str">
            <v>6105 - Meals</v>
          </cell>
          <cell r="J5695">
            <v>0</v>
          </cell>
          <cell r="K5695" t="str">
            <v>Administration</v>
          </cell>
          <cell r="L5695" t="str">
            <v>T&amp;E</v>
          </cell>
          <cell r="N5695" t="str">
            <v>SG&amp;A</v>
          </cell>
          <cell r="O5695" t="str">
            <v>[No Vendor]</v>
          </cell>
        </row>
        <row r="5696">
          <cell r="D5696">
            <v>100.5</v>
          </cell>
          <cell r="H5696">
            <v>45627</v>
          </cell>
          <cell r="I5696" t="str">
            <v>6105 - Meals</v>
          </cell>
          <cell r="J5696">
            <v>0</v>
          </cell>
          <cell r="K5696" t="str">
            <v>Administration</v>
          </cell>
          <cell r="L5696" t="str">
            <v>T&amp;E</v>
          </cell>
          <cell r="N5696" t="str">
            <v>SG&amp;A</v>
          </cell>
          <cell r="O5696" t="str">
            <v>[No Vendor]</v>
          </cell>
        </row>
        <row r="5697">
          <cell r="D5697">
            <v>19.79</v>
          </cell>
          <cell r="H5697">
            <v>45627</v>
          </cell>
          <cell r="I5697" t="str">
            <v>6105 - Meals</v>
          </cell>
          <cell r="J5697">
            <v>0</v>
          </cell>
          <cell r="K5697" t="str">
            <v>Administration</v>
          </cell>
          <cell r="L5697" t="str">
            <v>T&amp;E</v>
          </cell>
          <cell r="N5697" t="str">
            <v>SG&amp;A</v>
          </cell>
          <cell r="O5697" t="str">
            <v>[No Vendor]</v>
          </cell>
        </row>
        <row r="5698">
          <cell r="D5698">
            <v>2400.7800000000002</v>
          </cell>
          <cell r="H5698">
            <v>45627</v>
          </cell>
          <cell r="I5698" t="str">
            <v>6105 - Meals</v>
          </cell>
          <cell r="J5698">
            <v>0</v>
          </cell>
          <cell r="K5698" t="str">
            <v>Administration</v>
          </cell>
          <cell r="L5698" t="str">
            <v>T&amp;E</v>
          </cell>
          <cell r="N5698" t="str">
            <v>SG&amp;A</v>
          </cell>
          <cell r="O5698" t="str">
            <v>[No Vendor]</v>
          </cell>
        </row>
        <row r="5699">
          <cell r="D5699">
            <v>183.04</v>
          </cell>
          <cell r="H5699">
            <v>45627</v>
          </cell>
          <cell r="I5699" t="str">
            <v>6105 - Meals</v>
          </cell>
          <cell r="J5699">
            <v>0</v>
          </cell>
          <cell r="K5699" t="str">
            <v>Design</v>
          </cell>
          <cell r="L5699" t="str">
            <v>T&amp;E</v>
          </cell>
          <cell r="N5699" t="str">
            <v>SG&amp;A</v>
          </cell>
          <cell r="O5699" t="str">
            <v>[No Vendor]</v>
          </cell>
        </row>
        <row r="5700">
          <cell r="D5700">
            <v>685.57</v>
          </cell>
          <cell r="H5700">
            <v>45627</v>
          </cell>
          <cell r="I5700" t="str">
            <v>6105 - Meals</v>
          </cell>
          <cell r="J5700" t="str">
            <v>Ecommerce (US)</v>
          </cell>
          <cell r="K5700" t="str">
            <v>Ecommerce</v>
          </cell>
          <cell r="L5700" t="str">
            <v>T&amp;E</v>
          </cell>
          <cell r="N5700" t="str">
            <v>SG&amp;A</v>
          </cell>
          <cell r="O5700" t="str">
            <v>[No Vendor]</v>
          </cell>
        </row>
        <row r="5701">
          <cell r="D5701">
            <v>100</v>
          </cell>
          <cell r="H5701">
            <v>45627</v>
          </cell>
          <cell r="I5701" t="str">
            <v>6375 - Freight Expenses</v>
          </cell>
          <cell r="J5701" t="str">
            <v>Ecommerce (US)</v>
          </cell>
          <cell r="K5701" t="str">
            <v>Ecommerce</v>
          </cell>
          <cell r="L5701" t="str">
            <v>Freight</v>
          </cell>
          <cell r="N5701" t="str">
            <v>Direct Costs</v>
          </cell>
          <cell r="O5701" t="str">
            <v>[No Vendor]</v>
          </cell>
        </row>
        <row r="5702">
          <cell r="D5702">
            <v>100</v>
          </cell>
          <cell r="H5702">
            <v>45627</v>
          </cell>
          <cell r="I5702" t="str">
            <v>6375 - Freight Expenses</v>
          </cell>
          <cell r="J5702" t="str">
            <v>Ecommerce (US)</v>
          </cell>
          <cell r="K5702" t="str">
            <v>Ecommerce</v>
          </cell>
          <cell r="L5702" t="str">
            <v>Freight</v>
          </cell>
          <cell r="N5702" t="str">
            <v>Direct Costs</v>
          </cell>
          <cell r="O5702" t="str">
            <v>[No Vendor]</v>
          </cell>
        </row>
        <row r="5703">
          <cell r="D5703">
            <v>100</v>
          </cell>
          <cell r="H5703">
            <v>45627</v>
          </cell>
          <cell r="I5703" t="str">
            <v>6375 - Freight Expenses</v>
          </cell>
          <cell r="J5703" t="str">
            <v>Ecommerce (US)</v>
          </cell>
          <cell r="K5703" t="str">
            <v>Ecommerce</v>
          </cell>
          <cell r="L5703" t="str">
            <v>Freight</v>
          </cell>
          <cell r="N5703" t="str">
            <v>Direct Costs</v>
          </cell>
          <cell r="O5703" t="str">
            <v>[No Vendor]</v>
          </cell>
        </row>
        <row r="5704">
          <cell r="D5704">
            <v>100</v>
          </cell>
          <cell r="H5704">
            <v>45627</v>
          </cell>
          <cell r="I5704" t="str">
            <v>6375 - Freight Expenses</v>
          </cell>
          <cell r="J5704" t="str">
            <v>Ecommerce (US)</v>
          </cell>
          <cell r="K5704" t="str">
            <v>Ecommerce</v>
          </cell>
          <cell r="L5704" t="str">
            <v>Freight</v>
          </cell>
          <cell r="N5704" t="str">
            <v>Direct Costs</v>
          </cell>
          <cell r="O5704" t="str">
            <v>[No Vendor]</v>
          </cell>
        </row>
        <row r="5705">
          <cell r="D5705">
            <v>100</v>
          </cell>
          <cell r="H5705">
            <v>45627</v>
          </cell>
          <cell r="I5705" t="str">
            <v>6375 - Freight Expenses</v>
          </cell>
          <cell r="J5705" t="str">
            <v>Ecommerce (US)</v>
          </cell>
          <cell r="K5705" t="str">
            <v>Ecommerce</v>
          </cell>
          <cell r="L5705" t="str">
            <v>Freight</v>
          </cell>
          <cell r="N5705" t="str">
            <v>Direct Costs</v>
          </cell>
          <cell r="O5705" t="str">
            <v>[No Vendor]</v>
          </cell>
        </row>
        <row r="5706">
          <cell r="D5706">
            <v>65.48</v>
          </cell>
          <cell r="H5706">
            <v>45627</v>
          </cell>
          <cell r="I5706" t="str">
            <v>6375 - Freight Expenses</v>
          </cell>
          <cell r="J5706" t="str">
            <v>Ecommerce (US)</v>
          </cell>
          <cell r="K5706" t="str">
            <v>Ecommerce</v>
          </cell>
          <cell r="L5706" t="str">
            <v>Freight</v>
          </cell>
          <cell r="N5706" t="str">
            <v>Direct Costs</v>
          </cell>
          <cell r="O5706" t="str">
            <v>Bergen Logistics Corporation</v>
          </cell>
        </row>
        <row r="5707">
          <cell r="D5707">
            <v>13.23</v>
          </cell>
          <cell r="H5707">
            <v>45627</v>
          </cell>
          <cell r="I5707" t="str">
            <v>6375 - Freight Expenses</v>
          </cell>
          <cell r="J5707" t="str">
            <v>Wholesale</v>
          </cell>
          <cell r="K5707" t="str">
            <v>Wholesale</v>
          </cell>
          <cell r="L5707" t="str">
            <v>Freight</v>
          </cell>
          <cell r="N5707" t="str">
            <v>Direct Costs</v>
          </cell>
          <cell r="O5707" t="str">
            <v>Bergen Logistics Corporation</v>
          </cell>
        </row>
        <row r="5708">
          <cell r="D5708">
            <v>130.62</v>
          </cell>
          <cell r="H5708">
            <v>45627</v>
          </cell>
          <cell r="I5708" t="str">
            <v>6375 - Freight Expenses</v>
          </cell>
          <cell r="J5708">
            <v>0</v>
          </cell>
          <cell r="K5708" t="str">
            <v>Production</v>
          </cell>
          <cell r="L5708" t="str">
            <v>Freight</v>
          </cell>
          <cell r="N5708" t="str">
            <v>Direct Costs</v>
          </cell>
          <cell r="O5708" t="str">
            <v>DHL Express - USA</v>
          </cell>
        </row>
        <row r="5709">
          <cell r="D5709">
            <v>893.22</v>
          </cell>
          <cell r="H5709">
            <v>45627</v>
          </cell>
          <cell r="I5709" t="str">
            <v>6375 - Freight Expenses</v>
          </cell>
          <cell r="J5709">
            <v>0</v>
          </cell>
          <cell r="K5709" t="str">
            <v>Production</v>
          </cell>
          <cell r="L5709" t="str">
            <v>Freight</v>
          </cell>
          <cell r="N5709" t="str">
            <v>Direct Costs</v>
          </cell>
          <cell r="O5709" t="str">
            <v>DHL Express - USA</v>
          </cell>
        </row>
        <row r="5710">
          <cell r="D5710">
            <v>-20000</v>
          </cell>
          <cell r="H5710">
            <v>45627</v>
          </cell>
          <cell r="I5710" t="str">
            <v>4010 - Revenue - Licensing Fees (Royalties)</v>
          </cell>
          <cell r="J5710">
            <v>0</v>
          </cell>
          <cell r="K5710" t="str">
            <v>Licensing</v>
          </cell>
          <cell r="L5710" t="str">
            <v>License</v>
          </cell>
          <cell r="N5710" t="str">
            <v>Revenue</v>
          </cell>
          <cell r="O5710" t="str">
            <v>[No Vendor]</v>
          </cell>
        </row>
        <row r="5711">
          <cell r="D5711">
            <v>10000</v>
          </cell>
          <cell r="H5711">
            <v>45627</v>
          </cell>
          <cell r="I5711" t="str">
            <v>8700 - Other Expense</v>
          </cell>
          <cell r="J5711">
            <v>0</v>
          </cell>
          <cell r="K5711" t="str">
            <v>Administration</v>
          </cell>
          <cell r="L5711" t="str">
            <v>Other Expense</v>
          </cell>
          <cell r="N5711" t="str">
            <v>BTL</v>
          </cell>
          <cell r="O5711" t="str">
            <v>[No Vendor]</v>
          </cell>
        </row>
        <row r="5712">
          <cell r="D5712">
            <v>4243.8999999999996</v>
          </cell>
          <cell r="H5712">
            <v>45627</v>
          </cell>
          <cell r="I5712" t="str">
            <v>8700 - Other Expense</v>
          </cell>
          <cell r="J5712">
            <v>0</v>
          </cell>
          <cell r="K5712" t="str">
            <v>Administration</v>
          </cell>
          <cell r="L5712" t="str">
            <v>Other Expense</v>
          </cell>
          <cell r="N5712" t="str">
            <v>BTL</v>
          </cell>
          <cell r="O5712" t="str">
            <v>[No Vendor]</v>
          </cell>
        </row>
        <row r="5713">
          <cell r="D5713">
            <v>537.13</v>
          </cell>
          <cell r="H5713">
            <v>45627</v>
          </cell>
          <cell r="I5713" t="str">
            <v>8700 - Other Expense</v>
          </cell>
          <cell r="J5713">
            <v>0</v>
          </cell>
          <cell r="K5713" t="str">
            <v>Administration</v>
          </cell>
          <cell r="L5713" t="str">
            <v>Other Expense</v>
          </cell>
          <cell r="N5713" t="str">
            <v>BTL</v>
          </cell>
          <cell r="O5713" t="str">
            <v>[No Vendor]</v>
          </cell>
        </row>
        <row r="5714">
          <cell r="D5714">
            <v>20415</v>
          </cell>
          <cell r="H5714">
            <v>45627</v>
          </cell>
          <cell r="I5714" t="str">
            <v>8700 - Other Expense</v>
          </cell>
          <cell r="J5714">
            <v>0</v>
          </cell>
          <cell r="K5714" t="str">
            <v>Administration</v>
          </cell>
          <cell r="L5714" t="str">
            <v>Other Expense</v>
          </cell>
          <cell r="N5714" t="str">
            <v>BTL</v>
          </cell>
          <cell r="O5714" t="str">
            <v>[No Vendor]</v>
          </cell>
        </row>
        <row r="5715">
          <cell r="D5715">
            <v>-48261.8</v>
          </cell>
          <cell r="H5715">
            <v>45627</v>
          </cell>
          <cell r="I5715" t="str">
            <v>6445 - Inventory Write Down</v>
          </cell>
          <cell r="J5715" t="str">
            <v>Ecommerce (US)</v>
          </cell>
          <cell r="K5715" t="str">
            <v>Ecommerce</v>
          </cell>
          <cell r="L5715" t="str">
            <v>Other</v>
          </cell>
          <cell r="N5715" t="str">
            <v>SG&amp;A</v>
          </cell>
          <cell r="O5715" t="str">
            <v>[No Vendor]</v>
          </cell>
        </row>
        <row r="5716">
          <cell r="D5716">
            <v>-32174.53</v>
          </cell>
          <cell r="H5716">
            <v>45627</v>
          </cell>
          <cell r="I5716" t="str">
            <v>6445 - Inventory Write Down</v>
          </cell>
          <cell r="J5716" t="str">
            <v>Wholesale</v>
          </cell>
          <cell r="K5716" t="str">
            <v>Wholesale</v>
          </cell>
          <cell r="L5716" t="str">
            <v>Other</v>
          </cell>
          <cell r="N5716" t="str">
            <v>SG&amp;A</v>
          </cell>
          <cell r="O5716" t="str">
            <v>[No Vendor]</v>
          </cell>
        </row>
        <row r="5717">
          <cell r="D5717">
            <v>61115.6</v>
          </cell>
          <cell r="H5717">
            <v>45627</v>
          </cell>
          <cell r="I5717" t="str">
            <v>6445 - Inventory Write Down</v>
          </cell>
          <cell r="J5717" t="str">
            <v>Ecommerce (US)</v>
          </cell>
          <cell r="K5717" t="str">
            <v>Ecommerce</v>
          </cell>
          <cell r="L5717" t="str">
            <v>Other</v>
          </cell>
          <cell r="N5717" t="str">
            <v>SG&amp;A</v>
          </cell>
          <cell r="O5717" t="str">
            <v>[No Vendor]</v>
          </cell>
        </row>
        <row r="5718">
          <cell r="D5718">
            <v>0</v>
          </cell>
          <cell r="H5718">
            <v>45627</v>
          </cell>
          <cell r="I5718" t="str">
            <v>4045 - Sponsorships</v>
          </cell>
          <cell r="J5718">
            <v>0</v>
          </cell>
          <cell r="K5718" t="str">
            <v>Licensing</v>
          </cell>
          <cell r="L5718" t="str">
            <v>Other Income</v>
          </cell>
          <cell r="N5718" t="str">
            <v>Revenue</v>
          </cell>
          <cell r="O5718" t="str">
            <v>[No Vendor]</v>
          </cell>
        </row>
        <row r="5719">
          <cell r="D5719">
            <v>-48039.34</v>
          </cell>
          <cell r="H5719">
            <v>45627</v>
          </cell>
          <cell r="I5719" t="str">
            <v>4052 - Sales Revenue - Wholesale (US)</v>
          </cell>
          <cell r="J5719" t="str">
            <v>Wholesale</v>
          </cell>
          <cell r="K5719" t="str">
            <v>Wholesale</v>
          </cell>
          <cell r="L5719" t="str">
            <v>Wholesale</v>
          </cell>
          <cell r="N5719" t="str">
            <v>Revenue</v>
          </cell>
          <cell r="O5719" t="str">
            <v>[No Vendor]</v>
          </cell>
        </row>
        <row r="5720">
          <cell r="D5720">
            <v>-138237.39000000001</v>
          </cell>
          <cell r="H5720">
            <v>45627</v>
          </cell>
          <cell r="I5720" t="str">
            <v>4050 - Sales Revenue - Ecommerce (US)</v>
          </cell>
          <cell r="J5720" t="str">
            <v>Ecommerce (US)</v>
          </cell>
          <cell r="K5720" t="str">
            <v>Ecommerce</v>
          </cell>
          <cell r="L5720" t="str">
            <v>Ecommerce (US)</v>
          </cell>
          <cell r="N5720" t="str">
            <v>Revenue</v>
          </cell>
          <cell r="O5720" t="str">
            <v>[No Vendor]</v>
          </cell>
        </row>
        <row r="5721">
          <cell r="D5721">
            <v>19952</v>
          </cell>
          <cell r="H5721">
            <v>45627</v>
          </cell>
          <cell r="I5721" t="str">
            <v>4050 - Sales Revenue - Ecommerce (US)</v>
          </cell>
          <cell r="J5721" t="str">
            <v>Ecommerce (US)</v>
          </cell>
          <cell r="K5721" t="str">
            <v>Ecommerce</v>
          </cell>
          <cell r="L5721" t="str">
            <v>Ecommerce (US)</v>
          </cell>
          <cell r="N5721" t="str">
            <v>Revenue</v>
          </cell>
          <cell r="O5721" t="str">
            <v>[No Vendor]</v>
          </cell>
        </row>
        <row r="5722">
          <cell r="D5722">
            <v>-1967586.69</v>
          </cell>
          <cell r="H5722">
            <v>45627</v>
          </cell>
          <cell r="I5722" t="str">
            <v>4050 - Sales Revenue - Ecommerce (US)</v>
          </cell>
          <cell r="J5722" t="str">
            <v>Ecommerce (US)</v>
          </cell>
          <cell r="K5722" t="str">
            <v>Ecommerce</v>
          </cell>
          <cell r="L5722" t="str">
            <v>Ecommerce (US)</v>
          </cell>
          <cell r="N5722" t="str">
            <v>Revenue</v>
          </cell>
          <cell r="O5722" t="str">
            <v>[No Vendor]</v>
          </cell>
        </row>
        <row r="5723">
          <cell r="D5723">
            <v>30.65</v>
          </cell>
          <cell r="H5723">
            <v>45627</v>
          </cell>
          <cell r="I5723" t="str">
            <v>4066 - Sales Freight - Ecomm (EU)</v>
          </cell>
          <cell r="J5723" t="str">
            <v>Ecommerce (EU)</v>
          </cell>
          <cell r="K5723" t="str">
            <v>Ecommerce</v>
          </cell>
          <cell r="L5723" t="str">
            <v>Freight - Revenue</v>
          </cell>
          <cell r="N5723" t="str">
            <v>Direct Costs</v>
          </cell>
          <cell r="O5723" t="str">
            <v>[No Vendor]</v>
          </cell>
        </row>
        <row r="5724">
          <cell r="D5724">
            <v>-196.74</v>
          </cell>
          <cell r="H5724">
            <v>45627</v>
          </cell>
          <cell r="I5724" t="str">
            <v>4061 - Sales Discount - Ecomm (EU)</v>
          </cell>
          <cell r="J5724" t="str">
            <v>Ecommerce (EU)</v>
          </cell>
          <cell r="K5724" t="str">
            <v>Ecommerce</v>
          </cell>
          <cell r="L5724" t="str">
            <v>Ecommerce (EU)</v>
          </cell>
          <cell r="N5724" t="str">
            <v>Revenue</v>
          </cell>
          <cell r="O5724" t="str">
            <v>[No Vendor]</v>
          </cell>
        </row>
        <row r="5725">
          <cell r="D5725">
            <v>12555.2</v>
          </cell>
          <cell r="H5725">
            <v>45627</v>
          </cell>
          <cell r="I5725" t="str">
            <v>4061 - Sales Discount - Ecomm (EU)</v>
          </cell>
          <cell r="J5725" t="str">
            <v>Ecommerce (EU)</v>
          </cell>
          <cell r="K5725" t="str">
            <v>Ecommerce</v>
          </cell>
          <cell r="L5725" t="str">
            <v>Ecommerce (EU)</v>
          </cell>
          <cell r="N5725" t="str">
            <v>Revenue</v>
          </cell>
          <cell r="O5725" t="str">
            <v>[No Vendor]</v>
          </cell>
        </row>
        <row r="5726">
          <cell r="D5726">
            <v>103.33</v>
          </cell>
          <cell r="H5726">
            <v>45627</v>
          </cell>
          <cell r="I5726" t="str">
            <v>6041 - Employee Benefit Other</v>
          </cell>
          <cell r="J5726" t="str">
            <v>Wholesale</v>
          </cell>
          <cell r="K5726" t="str">
            <v>Wholesale</v>
          </cell>
          <cell r="L5726" t="str">
            <v>HQ Salaries</v>
          </cell>
          <cell r="N5726" t="str">
            <v>SG&amp;A</v>
          </cell>
          <cell r="O5726" t="str">
            <v>[No Vendor]</v>
          </cell>
        </row>
        <row r="5727">
          <cell r="D5727">
            <v>102.87</v>
          </cell>
          <cell r="H5727">
            <v>45627</v>
          </cell>
          <cell r="I5727" t="str">
            <v>6041 - Employee Benefit Other</v>
          </cell>
          <cell r="J5727" t="str">
            <v>Ecommerce (US)</v>
          </cell>
          <cell r="K5727" t="str">
            <v>Ecommerce</v>
          </cell>
          <cell r="L5727" t="str">
            <v>HQ Salaries</v>
          </cell>
          <cell r="N5727" t="str">
            <v>SG&amp;A</v>
          </cell>
          <cell r="O5727" t="str">
            <v>[No Vendor]</v>
          </cell>
        </row>
        <row r="5728">
          <cell r="D5728">
            <v>120.3</v>
          </cell>
          <cell r="H5728">
            <v>45627</v>
          </cell>
          <cell r="I5728" t="str">
            <v>6041 - Employee Benefit Other</v>
          </cell>
          <cell r="J5728">
            <v>0</v>
          </cell>
          <cell r="K5728" t="str">
            <v>Production</v>
          </cell>
          <cell r="L5728" t="str">
            <v>HQ Salaries</v>
          </cell>
          <cell r="N5728" t="str">
            <v>SG&amp;A</v>
          </cell>
          <cell r="O5728" t="str">
            <v>[No Vendor]</v>
          </cell>
        </row>
        <row r="5729">
          <cell r="D5729">
            <v>152.80000000000001</v>
          </cell>
          <cell r="H5729">
            <v>45627</v>
          </cell>
          <cell r="I5729" t="str">
            <v>6041 - Employee Benefit Other</v>
          </cell>
          <cell r="J5729">
            <v>0</v>
          </cell>
          <cell r="K5729" t="str">
            <v>Design</v>
          </cell>
          <cell r="L5729" t="str">
            <v>HQ Salaries</v>
          </cell>
          <cell r="N5729" t="str">
            <v>SG&amp;A</v>
          </cell>
          <cell r="O5729" t="str">
            <v>[No Vendor]</v>
          </cell>
        </row>
        <row r="5730">
          <cell r="D5730">
            <v>270.58999999999997</v>
          </cell>
          <cell r="H5730">
            <v>45627</v>
          </cell>
          <cell r="I5730" t="str">
            <v>6041 - Employee Benefit Other</v>
          </cell>
          <cell r="J5730">
            <v>0</v>
          </cell>
          <cell r="K5730" t="str">
            <v>Administration</v>
          </cell>
          <cell r="L5730" t="str">
            <v>HQ Salaries</v>
          </cell>
          <cell r="N5730" t="str">
            <v>SG&amp;A</v>
          </cell>
          <cell r="O5730" t="str">
            <v>[No Vendor]</v>
          </cell>
        </row>
        <row r="5731">
          <cell r="D5731">
            <v>1233.6500000000001</v>
          </cell>
          <cell r="H5731">
            <v>45627</v>
          </cell>
          <cell r="I5731" t="str">
            <v>6041 - Employee Benefit Other</v>
          </cell>
          <cell r="J5731">
            <v>0</v>
          </cell>
          <cell r="K5731" t="str">
            <v>Administration</v>
          </cell>
          <cell r="L5731" t="str">
            <v>HQ Salaries</v>
          </cell>
          <cell r="N5731" t="str">
            <v>SG&amp;A</v>
          </cell>
          <cell r="O5731" t="str">
            <v>[No Vendor]</v>
          </cell>
        </row>
        <row r="5732">
          <cell r="D5732">
            <v>572.20000000000005</v>
          </cell>
          <cell r="H5732">
            <v>45627</v>
          </cell>
          <cell r="I5732" t="str">
            <v>7140 - Amortization Exp - ROU Asset</v>
          </cell>
          <cell r="J5732">
            <v>0</v>
          </cell>
          <cell r="K5732" t="str">
            <v>Administration</v>
          </cell>
          <cell r="L5732" t="str">
            <v>Rent</v>
          </cell>
          <cell r="N5732" t="str">
            <v>SG&amp;A</v>
          </cell>
          <cell r="O5732" t="str">
            <v>[No Vendor]</v>
          </cell>
        </row>
        <row r="5733">
          <cell r="D5733">
            <v>23940.66</v>
          </cell>
          <cell r="H5733">
            <v>45627</v>
          </cell>
          <cell r="I5733" t="str">
            <v>7140 - Amortization Exp - ROU Asset</v>
          </cell>
          <cell r="J5733">
            <v>0</v>
          </cell>
          <cell r="K5733" t="str">
            <v>Administration</v>
          </cell>
          <cell r="L5733" t="str">
            <v>Rent</v>
          </cell>
          <cell r="N5733" t="str">
            <v>SG&amp;A</v>
          </cell>
          <cell r="O5733" t="str">
            <v>[No Vendor]</v>
          </cell>
        </row>
        <row r="5734">
          <cell r="D5734">
            <v>655.81</v>
          </cell>
          <cell r="H5734">
            <v>45627</v>
          </cell>
          <cell r="I5734" t="str">
            <v>4051 - Sales Revenue - Ecommerce (Intl)</v>
          </cell>
          <cell r="J5734" t="str">
            <v>Ecommerce (EU)</v>
          </cell>
          <cell r="K5734" t="str">
            <v>Ecommerce</v>
          </cell>
          <cell r="L5734" t="str">
            <v>Ecommerce (EU)</v>
          </cell>
          <cell r="N5734" t="str">
            <v>Revenue</v>
          </cell>
          <cell r="O5734" t="str">
            <v>[No Vendor]</v>
          </cell>
        </row>
        <row r="5735">
          <cell r="D5735">
            <v>33624.120000000003</v>
          </cell>
          <cell r="H5735">
            <v>45627</v>
          </cell>
          <cell r="I5735" t="str">
            <v>4051 - Sales Revenue - Ecommerce (Intl)</v>
          </cell>
          <cell r="J5735" t="str">
            <v>Ecommerce (EU)</v>
          </cell>
          <cell r="K5735" t="str">
            <v>Ecommerce</v>
          </cell>
          <cell r="L5735" t="str">
            <v>Ecommerce (EU)</v>
          </cell>
          <cell r="N5735" t="str">
            <v>Revenue</v>
          </cell>
          <cell r="O5735" t="str">
            <v>[No Vendor]</v>
          </cell>
        </row>
        <row r="5736">
          <cell r="D5736">
            <v>-222794.98</v>
          </cell>
          <cell r="H5736">
            <v>45627</v>
          </cell>
          <cell r="I5736" t="str">
            <v>4051 - Sales Revenue - Ecommerce (Intl)</v>
          </cell>
          <cell r="J5736" t="str">
            <v>Ecommerce (EU)</v>
          </cell>
          <cell r="K5736" t="str">
            <v>Ecommerce</v>
          </cell>
          <cell r="L5736" t="str">
            <v>Ecommerce (EU)</v>
          </cell>
          <cell r="N5736" t="str">
            <v>Revenue</v>
          </cell>
          <cell r="O5736" t="str">
            <v>[No Vendor]</v>
          </cell>
        </row>
        <row r="5737">
          <cell r="D5737">
            <v>0</v>
          </cell>
          <cell r="H5737">
            <v>45627</v>
          </cell>
          <cell r="I5737" t="str">
            <v>6035 - Severance Expense</v>
          </cell>
          <cell r="J5737" t="str">
            <v>Wholesale</v>
          </cell>
          <cell r="K5737" t="str">
            <v>Wholesale</v>
          </cell>
          <cell r="L5737" t="str">
            <v>HQ Salaries</v>
          </cell>
          <cell r="N5737" t="str">
            <v>SG&amp;A</v>
          </cell>
          <cell r="O5737" t="str">
            <v>[No Vendor]</v>
          </cell>
        </row>
        <row r="5738">
          <cell r="D5738">
            <v>452.44</v>
          </cell>
          <cell r="H5738">
            <v>45627</v>
          </cell>
          <cell r="I5738" t="str">
            <v>6377 - Order Processing Expenses (New)</v>
          </cell>
          <cell r="J5738" t="str">
            <v>Ecommerce (US)</v>
          </cell>
          <cell r="K5738" t="str">
            <v>Ecommerce</v>
          </cell>
          <cell r="L5738" t="str">
            <v>Order Processing</v>
          </cell>
          <cell r="N5738" t="str">
            <v>Direct Costs</v>
          </cell>
          <cell r="O5738" t="str">
            <v>[No Vendor]</v>
          </cell>
        </row>
        <row r="5739">
          <cell r="D5739">
            <v>-170</v>
          </cell>
          <cell r="H5739">
            <v>45627</v>
          </cell>
          <cell r="I5739" t="str">
            <v>4065 - Sales Freight - Wholesale (US)</v>
          </cell>
          <cell r="J5739" t="str">
            <v>Wholesale</v>
          </cell>
          <cell r="K5739" t="str">
            <v>Wholesale</v>
          </cell>
          <cell r="L5739" t="str">
            <v>Freight - Revenue</v>
          </cell>
          <cell r="N5739" t="str">
            <v>Direct Costs</v>
          </cell>
          <cell r="O5739" t="str">
            <v>[No Vendor]</v>
          </cell>
        </row>
        <row r="5740">
          <cell r="D5740">
            <v>-889.17</v>
          </cell>
          <cell r="H5740">
            <v>45627</v>
          </cell>
          <cell r="I5740" t="str">
            <v>4065 - Sales Freight - Wholesale (US)</v>
          </cell>
          <cell r="J5740" t="str">
            <v>Wholesale</v>
          </cell>
          <cell r="K5740" t="str">
            <v>Wholesale</v>
          </cell>
          <cell r="L5740" t="str">
            <v>Freight - Revenue</v>
          </cell>
          <cell r="N5740" t="str">
            <v>Direct Costs</v>
          </cell>
          <cell r="O5740" t="str">
            <v>[No Vendor]</v>
          </cell>
        </row>
        <row r="5741">
          <cell r="D5741">
            <v>-2223</v>
          </cell>
          <cell r="H5741">
            <v>45627</v>
          </cell>
          <cell r="I5741" t="str">
            <v>4064 - Sales Freight - Ecomm (US)</v>
          </cell>
          <cell r="J5741" t="str">
            <v>Ecommerce (US)</v>
          </cell>
          <cell r="K5741" t="str">
            <v>Ecommerce</v>
          </cell>
          <cell r="L5741" t="str">
            <v>Freight - Revenue</v>
          </cell>
          <cell r="N5741" t="str">
            <v>Direct Costs</v>
          </cell>
          <cell r="O5741" t="str">
            <v>[No Vendor]</v>
          </cell>
        </row>
        <row r="5742">
          <cell r="D5742">
            <v>659</v>
          </cell>
          <cell r="H5742">
            <v>45627</v>
          </cell>
          <cell r="I5742" t="str">
            <v>4064 - Sales Freight - Ecomm (US)</v>
          </cell>
          <cell r="J5742" t="str">
            <v>Ecommerce (US)</v>
          </cell>
          <cell r="K5742" t="str">
            <v>Ecommerce</v>
          </cell>
          <cell r="L5742" t="str">
            <v>Freight - Revenue</v>
          </cell>
          <cell r="N5742" t="str">
            <v>Direct Costs</v>
          </cell>
          <cell r="O5742" t="str">
            <v>[No Vendor]</v>
          </cell>
        </row>
        <row r="5743">
          <cell r="D5743">
            <v>-62686</v>
          </cell>
          <cell r="H5743">
            <v>45627</v>
          </cell>
          <cell r="I5743" t="str">
            <v>4064 - Sales Freight - Ecomm (US)</v>
          </cell>
          <cell r="J5743" t="str">
            <v>Ecommerce (US)</v>
          </cell>
          <cell r="K5743" t="str">
            <v>Ecommerce</v>
          </cell>
          <cell r="L5743" t="str">
            <v>Freight - Revenue</v>
          </cell>
          <cell r="N5743" t="str">
            <v>Direct Costs</v>
          </cell>
          <cell r="O5743" t="str">
            <v>[No Vendor]</v>
          </cell>
        </row>
        <row r="5744">
          <cell r="D5744">
            <v>1166.0999999999999</v>
          </cell>
          <cell r="H5744">
            <v>45627</v>
          </cell>
          <cell r="I5744" t="str">
            <v>4063 - Sales Discount - Wholesale (US)</v>
          </cell>
          <cell r="J5744" t="str">
            <v>Wholesale</v>
          </cell>
          <cell r="K5744" t="str">
            <v>Wholesale</v>
          </cell>
          <cell r="L5744" t="str">
            <v>Wholesale</v>
          </cell>
          <cell r="N5744" t="str">
            <v>Revenue</v>
          </cell>
          <cell r="O5744" t="str">
            <v>[No Vendor]</v>
          </cell>
        </row>
        <row r="5745">
          <cell r="D5745">
            <v>3770.5</v>
          </cell>
          <cell r="H5745">
            <v>45627</v>
          </cell>
          <cell r="I5745" t="str">
            <v>4063 - Sales Discount - Wholesale (US)</v>
          </cell>
          <cell r="J5745" t="str">
            <v>Wholesale</v>
          </cell>
          <cell r="K5745" t="str">
            <v>Wholesale</v>
          </cell>
          <cell r="L5745" t="str">
            <v>Wholesale</v>
          </cell>
          <cell r="N5745" t="str">
            <v>Revenue</v>
          </cell>
          <cell r="O5745" t="str">
            <v>[No Vendor]</v>
          </cell>
        </row>
        <row r="5746">
          <cell r="D5746">
            <v>11364.93</v>
          </cell>
          <cell r="H5746">
            <v>45627</v>
          </cell>
          <cell r="I5746" t="str">
            <v>5900 - Interco Royalty Expense</v>
          </cell>
          <cell r="J5746">
            <v>0</v>
          </cell>
          <cell r="K5746" t="str">
            <v>Licensing</v>
          </cell>
          <cell r="L5746">
            <v>0</v>
          </cell>
          <cell r="N5746">
            <v>0</v>
          </cell>
          <cell r="O5746" t="str">
            <v>[No Vendor]</v>
          </cell>
        </row>
        <row r="5747">
          <cell r="D5747">
            <v>0</v>
          </cell>
          <cell r="H5747">
            <v>45627</v>
          </cell>
          <cell r="I5747" t="str">
            <v>4062 - Sales Discount - Ecomm (US)</v>
          </cell>
          <cell r="J5747" t="str">
            <v>Ecommerce (US)</v>
          </cell>
          <cell r="K5747" t="str">
            <v>Ecommerce</v>
          </cell>
          <cell r="L5747" t="str">
            <v>Ecommerce (US)</v>
          </cell>
          <cell r="N5747" t="str">
            <v>Revenue</v>
          </cell>
          <cell r="O5747" t="str">
            <v>[No Vendor]</v>
          </cell>
        </row>
        <row r="5748">
          <cell r="D5748">
            <v>-1034</v>
          </cell>
          <cell r="H5748">
            <v>45627</v>
          </cell>
          <cell r="I5748" t="str">
            <v>4062 - Sales Discount - Ecomm (US)</v>
          </cell>
          <cell r="J5748" t="str">
            <v>Ecommerce (US)</v>
          </cell>
          <cell r="K5748" t="str">
            <v>Ecommerce</v>
          </cell>
          <cell r="L5748" t="str">
            <v>Ecommerce (US)</v>
          </cell>
          <cell r="N5748" t="str">
            <v>Revenue</v>
          </cell>
          <cell r="O5748" t="str">
            <v>[No Vendor]</v>
          </cell>
        </row>
        <row r="5749">
          <cell r="D5749">
            <v>127464.21</v>
          </cell>
          <cell r="H5749">
            <v>45627</v>
          </cell>
          <cell r="I5749" t="str">
            <v>4062 - Sales Discount - Ecomm (US)</v>
          </cell>
          <cell r="J5749" t="str">
            <v>Ecommerce (US)</v>
          </cell>
          <cell r="K5749" t="str">
            <v>Ecommerce</v>
          </cell>
          <cell r="L5749" t="str">
            <v>Ecommerce (US)</v>
          </cell>
          <cell r="N5749" t="str">
            <v>Revenue</v>
          </cell>
          <cell r="O5749" t="str">
            <v>[No Vendor]</v>
          </cell>
        </row>
        <row r="5750">
          <cell r="D5750">
            <v>1954.72</v>
          </cell>
          <cell r="H5750">
            <v>45627</v>
          </cell>
          <cell r="I5750" t="str">
            <v>7130 - License Agreements &amp; Other Intangibles</v>
          </cell>
          <cell r="J5750">
            <v>0</v>
          </cell>
          <cell r="K5750" t="str">
            <v>Administration</v>
          </cell>
          <cell r="L5750" t="str">
            <v>Depreciation &amp; Amortization</v>
          </cell>
          <cell r="N5750" t="str">
            <v>SG&amp;A</v>
          </cell>
          <cell r="O5750" t="str">
            <v>[No Vendor]</v>
          </cell>
        </row>
        <row r="5751">
          <cell r="D5751">
            <v>-11364.93</v>
          </cell>
          <cell r="H5751">
            <v>45627</v>
          </cell>
          <cell r="I5751" t="str">
            <v>4900 - Interco Royalty Revenue</v>
          </cell>
          <cell r="J5751">
            <v>0</v>
          </cell>
          <cell r="K5751" t="str">
            <v>Licensing</v>
          </cell>
          <cell r="L5751">
            <v>0</v>
          </cell>
          <cell r="N5751">
            <v>0</v>
          </cell>
          <cell r="O5751" t="str">
            <v>[No Vendor]</v>
          </cell>
        </row>
        <row r="5752">
          <cell r="D5752">
            <v>20826</v>
          </cell>
          <cell r="H5752">
            <v>45627</v>
          </cell>
          <cell r="I5752" t="str">
            <v>6282 - Royalty Expense</v>
          </cell>
          <cell r="J5752">
            <v>0</v>
          </cell>
          <cell r="K5752" t="str">
            <v>Brand Marketing</v>
          </cell>
          <cell r="L5752" t="str">
            <v>Advertising</v>
          </cell>
          <cell r="N5752" t="str">
            <v>SG&amp;A</v>
          </cell>
          <cell r="O5752" t="str">
            <v>[No Vendor]</v>
          </cell>
        </row>
        <row r="5753">
          <cell r="D5753">
            <v>839</v>
          </cell>
          <cell r="H5753">
            <v>45627</v>
          </cell>
          <cell r="I5753" t="str">
            <v>6393 - Software</v>
          </cell>
          <cell r="J5753">
            <v>0</v>
          </cell>
          <cell r="K5753" t="str">
            <v>Administration</v>
          </cell>
          <cell r="L5753" t="str">
            <v>Professional Service</v>
          </cell>
          <cell r="N5753" t="str">
            <v>Direct Costs</v>
          </cell>
          <cell r="O5753" t="str">
            <v>Oracle Netsuite</v>
          </cell>
        </row>
        <row r="5754">
          <cell r="D5754">
            <v>9.99</v>
          </cell>
          <cell r="H5754">
            <v>45627</v>
          </cell>
          <cell r="I5754" t="str">
            <v>6393 - Software</v>
          </cell>
          <cell r="J5754">
            <v>0</v>
          </cell>
          <cell r="K5754" t="str">
            <v>Administration</v>
          </cell>
          <cell r="L5754" t="str">
            <v>Professional Service</v>
          </cell>
          <cell r="N5754" t="str">
            <v>Direct Costs</v>
          </cell>
          <cell r="O5754" t="str">
            <v>Drop Box</v>
          </cell>
        </row>
        <row r="5755">
          <cell r="D5755">
            <v>664.18</v>
          </cell>
          <cell r="H5755">
            <v>45627</v>
          </cell>
          <cell r="I5755" t="str">
            <v>6393 - Software</v>
          </cell>
          <cell r="J5755">
            <v>0</v>
          </cell>
          <cell r="K5755" t="str">
            <v>Administration</v>
          </cell>
          <cell r="L5755" t="str">
            <v>Professional Service</v>
          </cell>
          <cell r="N5755" t="str">
            <v>Direct Costs</v>
          </cell>
          <cell r="O5755" t="str">
            <v>[No Vendor]</v>
          </cell>
        </row>
        <row r="5756">
          <cell r="D5756">
            <v>1302.44</v>
          </cell>
          <cell r="H5756">
            <v>45627</v>
          </cell>
          <cell r="I5756" t="str">
            <v>6393 - Software</v>
          </cell>
          <cell r="J5756">
            <v>0</v>
          </cell>
          <cell r="K5756" t="str">
            <v>Administration</v>
          </cell>
          <cell r="L5756" t="str">
            <v>Professional Service</v>
          </cell>
          <cell r="N5756" t="str">
            <v>Direct Costs</v>
          </cell>
          <cell r="O5756" t="str">
            <v>Avalara, Inc</v>
          </cell>
        </row>
        <row r="5757">
          <cell r="D5757">
            <v>2268.23</v>
          </cell>
          <cell r="H5757">
            <v>45627</v>
          </cell>
          <cell r="I5757" t="str">
            <v>6393 - Software</v>
          </cell>
          <cell r="J5757">
            <v>0</v>
          </cell>
          <cell r="K5757" t="str">
            <v>Brand Marketing</v>
          </cell>
          <cell r="L5757" t="str">
            <v>Professional Service</v>
          </cell>
          <cell r="N5757" t="str">
            <v>Direct Costs</v>
          </cell>
          <cell r="O5757" t="str">
            <v>Fohr</v>
          </cell>
        </row>
        <row r="5758">
          <cell r="D5758">
            <v>2198.19</v>
          </cell>
          <cell r="H5758">
            <v>45627</v>
          </cell>
          <cell r="I5758" t="str">
            <v>6393 - Software</v>
          </cell>
          <cell r="J5758">
            <v>0</v>
          </cell>
          <cell r="K5758" t="str">
            <v>Administration</v>
          </cell>
          <cell r="L5758" t="str">
            <v>Professional Service</v>
          </cell>
          <cell r="N5758" t="str">
            <v>Direct Costs</v>
          </cell>
          <cell r="O5758" t="str">
            <v>Oracle Netsuite</v>
          </cell>
        </row>
        <row r="5759">
          <cell r="D5759">
            <v>13.65</v>
          </cell>
          <cell r="H5759">
            <v>45627</v>
          </cell>
          <cell r="I5759" t="str">
            <v>6393 - Software</v>
          </cell>
          <cell r="J5759">
            <v>0</v>
          </cell>
          <cell r="K5759" t="str">
            <v>Administration</v>
          </cell>
          <cell r="L5759" t="str">
            <v>Professional Service</v>
          </cell>
          <cell r="N5759" t="str">
            <v>Direct Costs</v>
          </cell>
          <cell r="O5759" t="str">
            <v>[No Vendor]</v>
          </cell>
        </row>
        <row r="5760">
          <cell r="D5760">
            <v>0</v>
          </cell>
          <cell r="H5760">
            <v>45627</v>
          </cell>
          <cell r="I5760" t="str">
            <v>6286 - SEM</v>
          </cell>
          <cell r="J5760" t="str">
            <v>Ecommerce (US)</v>
          </cell>
          <cell r="K5760" t="str">
            <v>Ecommerce</v>
          </cell>
          <cell r="L5760" t="str">
            <v>Marketing</v>
          </cell>
          <cell r="N5760" t="str">
            <v>Direct Costs</v>
          </cell>
          <cell r="O5760" t="str">
            <v>[No Vendor]</v>
          </cell>
        </row>
        <row r="5761">
          <cell r="D5761">
            <v>6000</v>
          </cell>
          <cell r="H5761">
            <v>45627</v>
          </cell>
          <cell r="I5761" t="str">
            <v>6380 - Legal &amp; Accounting</v>
          </cell>
          <cell r="J5761">
            <v>0</v>
          </cell>
          <cell r="K5761" t="str">
            <v>Administration</v>
          </cell>
          <cell r="L5761" t="str">
            <v>Professional Service</v>
          </cell>
          <cell r="N5761" t="str">
            <v>SG&amp;A</v>
          </cell>
          <cell r="O5761" t="str">
            <v>[No Vendor]</v>
          </cell>
        </row>
        <row r="5762">
          <cell r="D5762">
            <v>19000</v>
          </cell>
          <cell r="H5762">
            <v>45627</v>
          </cell>
          <cell r="I5762" t="str">
            <v>6380 - Legal &amp; Accounting</v>
          </cell>
          <cell r="J5762">
            <v>0</v>
          </cell>
          <cell r="K5762" t="str">
            <v>Administration</v>
          </cell>
          <cell r="L5762" t="str">
            <v>Professional Service</v>
          </cell>
          <cell r="N5762" t="str">
            <v>SG&amp;A</v>
          </cell>
          <cell r="O5762" t="str">
            <v>[No Vendor]</v>
          </cell>
        </row>
        <row r="5763">
          <cell r="D5763">
            <v>8000</v>
          </cell>
          <cell r="H5763">
            <v>45627</v>
          </cell>
          <cell r="I5763" t="str">
            <v>6380 - Legal &amp; Accounting</v>
          </cell>
          <cell r="J5763">
            <v>0</v>
          </cell>
          <cell r="K5763" t="str">
            <v>Administration</v>
          </cell>
          <cell r="L5763" t="str">
            <v>Professional Service</v>
          </cell>
          <cell r="N5763" t="str">
            <v>SG&amp;A</v>
          </cell>
          <cell r="O5763" t="str">
            <v>[No Vendor]</v>
          </cell>
        </row>
        <row r="5764">
          <cell r="D5764">
            <v>35000</v>
          </cell>
          <cell r="H5764">
            <v>45627</v>
          </cell>
          <cell r="I5764" t="str">
            <v>6380 - Legal &amp; Accounting</v>
          </cell>
          <cell r="J5764">
            <v>0</v>
          </cell>
          <cell r="K5764" t="str">
            <v>Administration</v>
          </cell>
          <cell r="L5764" t="str">
            <v>Professional Service</v>
          </cell>
          <cell r="N5764" t="str">
            <v>SG&amp;A</v>
          </cell>
          <cell r="O5764" t="str">
            <v>[No Vendor]</v>
          </cell>
        </row>
        <row r="5765">
          <cell r="D5765">
            <v>1000</v>
          </cell>
          <cell r="H5765">
            <v>45627</v>
          </cell>
          <cell r="I5765" t="str">
            <v>6380 - Legal &amp; Accounting</v>
          </cell>
          <cell r="J5765">
            <v>0</v>
          </cell>
          <cell r="K5765" t="str">
            <v>Administration</v>
          </cell>
          <cell r="L5765" t="str">
            <v>Professional Service</v>
          </cell>
          <cell r="N5765" t="str">
            <v>SG&amp;A</v>
          </cell>
          <cell r="O5765" t="str">
            <v>[No Vendor]</v>
          </cell>
        </row>
        <row r="5766">
          <cell r="D5766">
            <v>0</v>
          </cell>
          <cell r="H5766">
            <v>45627</v>
          </cell>
          <cell r="I5766" t="str">
            <v>6340 - Miscellaneous Expense</v>
          </cell>
          <cell r="J5766" t="str">
            <v>Ecommerce (US)</v>
          </cell>
          <cell r="K5766" t="str">
            <v>Ecommerce</v>
          </cell>
          <cell r="L5766" t="str">
            <v>Other</v>
          </cell>
          <cell r="N5766" t="str">
            <v>SG&amp;A</v>
          </cell>
          <cell r="O5766" t="str">
            <v>[No Vendor]</v>
          </cell>
        </row>
        <row r="5767">
          <cell r="D5767">
            <v>38242.51</v>
          </cell>
          <cell r="H5767">
            <v>45627</v>
          </cell>
          <cell r="I5767" t="str">
            <v>6240 - Product Photography</v>
          </cell>
          <cell r="J5767">
            <v>0</v>
          </cell>
          <cell r="K5767" t="str">
            <v>Brand Marketing</v>
          </cell>
          <cell r="L5767" t="str">
            <v>Advertising</v>
          </cell>
          <cell r="N5767" t="str">
            <v>SG&amp;A</v>
          </cell>
          <cell r="O5767" t="str">
            <v>GOSFilms LLC</v>
          </cell>
        </row>
        <row r="5768">
          <cell r="D5768">
            <v>19542.05</v>
          </cell>
          <cell r="H5768">
            <v>45627</v>
          </cell>
          <cell r="I5768" t="str">
            <v>6030 - Commissions Expense - Non Employee</v>
          </cell>
          <cell r="J5768" t="str">
            <v>Ecommerce (US)</v>
          </cell>
          <cell r="K5768" t="str">
            <v>Ecommerce</v>
          </cell>
          <cell r="L5768" t="str">
            <v>HQ Salaries</v>
          </cell>
          <cell r="N5768" t="str">
            <v>SG&amp;A</v>
          </cell>
          <cell r="O5768" t="str">
            <v>Amazon</v>
          </cell>
        </row>
        <row r="5769">
          <cell r="D5769">
            <v>15004.94</v>
          </cell>
          <cell r="H5769">
            <v>45627</v>
          </cell>
          <cell r="I5769" t="str">
            <v>6289 - Seeding / Product Placement</v>
          </cell>
          <cell r="J5769">
            <v>0</v>
          </cell>
          <cell r="K5769" t="str">
            <v>Brand Marketing</v>
          </cell>
          <cell r="L5769" t="str">
            <v>Advertising</v>
          </cell>
          <cell r="N5769" t="str">
            <v>SG&amp;A</v>
          </cell>
          <cell r="O5769" t="str">
            <v>[No Vendor]</v>
          </cell>
        </row>
        <row r="5770">
          <cell r="D5770">
            <v>-691</v>
          </cell>
          <cell r="H5770">
            <v>45627</v>
          </cell>
          <cell r="I5770" t="str">
            <v>6289 - Seeding / Product Placement</v>
          </cell>
          <cell r="J5770">
            <v>0</v>
          </cell>
          <cell r="K5770" t="str">
            <v>Brand Marketing</v>
          </cell>
          <cell r="L5770" t="str">
            <v>Advertising</v>
          </cell>
          <cell r="N5770" t="str">
            <v>SG&amp;A</v>
          </cell>
          <cell r="O5770" t="str">
            <v>[No Vendor]</v>
          </cell>
        </row>
        <row r="5771">
          <cell r="D5771">
            <v>1458.34</v>
          </cell>
          <cell r="H5771">
            <v>45627</v>
          </cell>
          <cell r="I5771" t="str">
            <v>6284 - Advertising</v>
          </cell>
          <cell r="J5771">
            <v>0</v>
          </cell>
          <cell r="K5771" t="str">
            <v>Brand Marketing</v>
          </cell>
          <cell r="L5771" t="str">
            <v>Advertising</v>
          </cell>
          <cell r="N5771" t="str">
            <v>SG&amp;A</v>
          </cell>
          <cell r="O5771" t="str">
            <v>[No Vendor]</v>
          </cell>
        </row>
        <row r="5772">
          <cell r="D5772">
            <v>833.33</v>
          </cell>
          <cell r="H5772">
            <v>45627</v>
          </cell>
          <cell r="I5772" t="str">
            <v>6284 - Advertising</v>
          </cell>
          <cell r="J5772">
            <v>0</v>
          </cell>
          <cell r="K5772" t="str">
            <v>Brand Marketing</v>
          </cell>
          <cell r="L5772" t="str">
            <v>Advertising</v>
          </cell>
          <cell r="N5772" t="str">
            <v>SG&amp;A</v>
          </cell>
          <cell r="O5772" t="str">
            <v>[No Vendor]</v>
          </cell>
        </row>
        <row r="5773">
          <cell r="D5773">
            <v>-7500</v>
          </cell>
          <cell r="H5773">
            <v>45627</v>
          </cell>
          <cell r="I5773" t="str">
            <v>6205 - Contractors</v>
          </cell>
          <cell r="J5773">
            <v>0</v>
          </cell>
          <cell r="K5773" t="str">
            <v>Production</v>
          </cell>
          <cell r="L5773" t="str">
            <v>HQ Salaries</v>
          </cell>
          <cell r="N5773" t="str">
            <v>SG&amp;A</v>
          </cell>
          <cell r="O5773" t="str">
            <v>Philip Yau</v>
          </cell>
        </row>
        <row r="5774">
          <cell r="D5774">
            <v>0</v>
          </cell>
          <cell r="H5774">
            <v>45627</v>
          </cell>
          <cell r="I5774" t="str">
            <v>6205 - Contractors</v>
          </cell>
          <cell r="J5774">
            <v>0</v>
          </cell>
          <cell r="K5774" t="str">
            <v>Brand Marketing</v>
          </cell>
          <cell r="L5774" t="str">
            <v>HQ Salaries</v>
          </cell>
          <cell r="N5774" t="str">
            <v>SG&amp;A</v>
          </cell>
          <cell r="O5774" t="str">
            <v>[No Vendor]</v>
          </cell>
        </row>
        <row r="5775">
          <cell r="D5775">
            <v>0</v>
          </cell>
          <cell r="H5775">
            <v>45627</v>
          </cell>
          <cell r="I5775" t="str">
            <v>6205 - Contractors</v>
          </cell>
          <cell r="J5775" t="str">
            <v>Ecommerce (US)</v>
          </cell>
          <cell r="K5775" t="str">
            <v>Ecommerce</v>
          </cell>
          <cell r="L5775" t="str">
            <v>HQ Salaries</v>
          </cell>
          <cell r="N5775" t="str">
            <v>SG&amp;A</v>
          </cell>
          <cell r="O5775" t="str">
            <v>[No Vendor]</v>
          </cell>
        </row>
        <row r="5776">
          <cell r="D5776">
            <v>8104.2</v>
          </cell>
          <cell r="H5776">
            <v>45627</v>
          </cell>
          <cell r="I5776" t="str">
            <v>6205 - Contractors</v>
          </cell>
          <cell r="J5776" t="str">
            <v>Ecommerce (US)</v>
          </cell>
          <cell r="K5776" t="str">
            <v>Ecommerce</v>
          </cell>
          <cell r="L5776" t="str">
            <v>HQ Salaries</v>
          </cell>
          <cell r="N5776" t="str">
            <v>SG&amp;A</v>
          </cell>
          <cell r="O5776" t="str">
            <v>[No Vendor]</v>
          </cell>
        </row>
        <row r="5777">
          <cell r="D5777">
            <v>713.89</v>
          </cell>
          <cell r="H5777">
            <v>45627</v>
          </cell>
          <cell r="I5777" t="str">
            <v>6370 - Samples</v>
          </cell>
          <cell r="J5777">
            <v>0</v>
          </cell>
          <cell r="K5777" t="str">
            <v>Production</v>
          </cell>
          <cell r="L5777" t="str">
            <v>Sample</v>
          </cell>
          <cell r="N5777" t="str">
            <v>SG&amp;A</v>
          </cell>
          <cell r="O5777" t="str">
            <v>[No Vendor]</v>
          </cell>
        </row>
        <row r="5778">
          <cell r="D5778">
            <v>-16.77</v>
          </cell>
          <cell r="H5778">
            <v>45627</v>
          </cell>
          <cell r="I5778" t="str">
            <v>6370 - Samples</v>
          </cell>
          <cell r="J5778">
            <v>0</v>
          </cell>
          <cell r="K5778" t="str">
            <v>Production</v>
          </cell>
          <cell r="L5778" t="str">
            <v>Sample</v>
          </cell>
          <cell r="N5778" t="str">
            <v>SG&amp;A</v>
          </cell>
          <cell r="O5778" t="str">
            <v>[No Vendor]</v>
          </cell>
        </row>
        <row r="5779">
          <cell r="D5779">
            <v>-111500</v>
          </cell>
          <cell r="H5779">
            <v>45627</v>
          </cell>
          <cell r="I5779" t="str">
            <v>6020 - Bonus</v>
          </cell>
          <cell r="J5779">
            <v>0</v>
          </cell>
          <cell r="K5779" t="str">
            <v>Administration</v>
          </cell>
          <cell r="L5779" t="str">
            <v>HQ Salaries</v>
          </cell>
          <cell r="N5779" t="str">
            <v>SG&amp;A</v>
          </cell>
          <cell r="O5779" t="str">
            <v>[No Vendor]</v>
          </cell>
        </row>
        <row r="5780">
          <cell r="D5780">
            <v>9332</v>
          </cell>
          <cell r="H5780">
            <v>45627</v>
          </cell>
          <cell r="I5780" t="str">
            <v>6520 - Taxes and Licenses</v>
          </cell>
          <cell r="J5780">
            <v>0</v>
          </cell>
          <cell r="K5780" t="str">
            <v>Administration</v>
          </cell>
          <cell r="L5780" t="str">
            <v>Other</v>
          </cell>
          <cell r="N5780" t="str">
            <v>SG&amp;A</v>
          </cell>
          <cell r="O5780" t="str">
            <v>[No Vendor]</v>
          </cell>
        </row>
        <row r="5781">
          <cell r="D5781">
            <v>72004.87</v>
          </cell>
          <cell r="H5781">
            <v>45627</v>
          </cell>
          <cell r="I5781" t="str">
            <v>6450 - Bank &amp; Other Fees</v>
          </cell>
          <cell r="J5781" t="str">
            <v>Ecommerce (US)</v>
          </cell>
          <cell r="K5781" t="str">
            <v>Ecommerce</v>
          </cell>
          <cell r="L5781" t="str">
            <v>Professional Service</v>
          </cell>
          <cell r="N5781" t="str">
            <v>Direct Costs</v>
          </cell>
          <cell r="O5781" t="str">
            <v>Shopify</v>
          </cell>
        </row>
        <row r="5782">
          <cell r="D5782">
            <v>19.18</v>
          </cell>
          <cell r="H5782">
            <v>45627</v>
          </cell>
          <cell r="I5782" t="str">
            <v>6450 - Bank &amp; Other Fees</v>
          </cell>
          <cell r="J5782" t="str">
            <v>Ecommerce (US)</v>
          </cell>
          <cell r="K5782" t="str">
            <v>Ecommerce</v>
          </cell>
          <cell r="L5782" t="str">
            <v>Professional Service</v>
          </cell>
          <cell r="N5782" t="str">
            <v>Direct Costs</v>
          </cell>
          <cell r="O5782" t="str">
            <v>[No Vendor]</v>
          </cell>
        </row>
        <row r="5783">
          <cell r="D5783">
            <v>153</v>
          </cell>
          <cell r="H5783">
            <v>45627</v>
          </cell>
          <cell r="I5783" t="str">
            <v>6430 - Dues &amp; Memberships</v>
          </cell>
          <cell r="J5783">
            <v>0</v>
          </cell>
          <cell r="K5783" t="str">
            <v>Brand Marketing</v>
          </cell>
          <cell r="L5783" t="str">
            <v>Professional Service</v>
          </cell>
          <cell r="N5783" t="str">
            <v>Direct Costs</v>
          </cell>
          <cell r="O5783" t="str">
            <v>[No Vendor]</v>
          </cell>
        </row>
        <row r="5784">
          <cell r="D5784">
            <v>12.42</v>
          </cell>
          <cell r="H5784">
            <v>45627</v>
          </cell>
          <cell r="I5784" t="str">
            <v>6430 - Dues &amp; Memberships</v>
          </cell>
          <cell r="J5784">
            <v>0</v>
          </cell>
          <cell r="K5784" t="str">
            <v>Brand Marketing</v>
          </cell>
          <cell r="L5784" t="str">
            <v>Professional Service</v>
          </cell>
          <cell r="N5784" t="str">
            <v>Direct Costs</v>
          </cell>
          <cell r="O5784" t="str">
            <v>[No Vendor]</v>
          </cell>
        </row>
        <row r="5785">
          <cell r="D5785">
            <v>-606</v>
          </cell>
          <cell r="H5785">
            <v>45627</v>
          </cell>
          <cell r="I5785" t="str">
            <v>6410 - Lease Expense</v>
          </cell>
          <cell r="J5785">
            <v>0</v>
          </cell>
          <cell r="K5785" t="str">
            <v>Administration</v>
          </cell>
          <cell r="L5785" t="str">
            <v>Rent</v>
          </cell>
          <cell r="N5785" t="str">
            <v>SG&amp;A</v>
          </cell>
          <cell r="O5785" t="str">
            <v>[No Vendor]</v>
          </cell>
        </row>
        <row r="5786">
          <cell r="D5786">
            <v>-0.84</v>
          </cell>
          <cell r="H5786">
            <v>45627</v>
          </cell>
          <cell r="I5786" t="str">
            <v>6385 - Insurance</v>
          </cell>
          <cell r="J5786">
            <v>0</v>
          </cell>
          <cell r="K5786" t="str">
            <v>Administration</v>
          </cell>
          <cell r="L5786" t="str">
            <v>Professional Service</v>
          </cell>
          <cell r="N5786" t="str">
            <v>SG&amp;A</v>
          </cell>
          <cell r="O5786" t="str">
            <v>[No Vendor]</v>
          </cell>
        </row>
        <row r="5787">
          <cell r="D5787">
            <v>-31.98</v>
          </cell>
          <cell r="H5787">
            <v>45627</v>
          </cell>
          <cell r="I5787" t="str">
            <v>6385 - Insurance</v>
          </cell>
          <cell r="J5787">
            <v>0</v>
          </cell>
          <cell r="K5787" t="str">
            <v>Administration</v>
          </cell>
          <cell r="L5787" t="str">
            <v>Professional Service</v>
          </cell>
          <cell r="N5787" t="str">
            <v>SG&amp;A</v>
          </cell>
          <cell r="O5787" t="str">
            <v>[No Vendor]</v>
          </cell>
        </row>
        <row r="5788">
          <cell r="D5788">
            <v>-20.59</v>
          </cell>
          <cell r="H5788">
            <v>45627</v>
          </cell>
          <cell r="I5788" t="str">
            <v>6385 - Insurance</v>
          </cell>
          <cell r="J5788">
            <v>0</v>
          </cell>
          <cell r="K5788" t="str">
            <v>Administration</v>
          </cell>
          <cell r="L5788" t="str">
            <v>Professional Service</v>
          </cell>
          <cell r="N5788" t="str">
            <v>SG&amp;A</v>
          </cell>
          <cell r="O5788" t="str">
            <v>[No Vendor]</v>
          </cell>
        </row>
        <row r="5789">
          <cell r="D5789">
            <v>-8.5299999999999994</v>
          </cell>
          <cell r="H5789">
            <v>45627</v>
          </cell>
          <cell r="I5789" t="str">
            <v>6385 - Insurance</v>
          </cell>
          <cell r="J5789">
            <v>0</v>
          </cell>
          <cell r="K5789" t="str">
            <v>Administration</v>
          </cell>
          <cell r="L5789" t="str">
            <v>Professional Service</v>
          </cell>
          <cell r="N5789" t="str">
            <v>SG&amp;A</v>
          </cell>
          <cell r="O5789" t="str">
            <v>[No Vendor]</v>
          </cell>
        </row>
        <row r="5790">
          <cell r="D5790">
            <v>-0.84</v>
          </cell>
          <cell r="H5790">
            <v>45627</v>
          </cell>
          <cell r="I5790" t="str">
            <v>6385 - Insurance</v>
          </cell>
          <cell r="J5790">
            <v>0</v>
          </cell>
          <cell r="K5790" t="str">
            <v>Administration</v>
          </cell>
          <cell r="L5790" t="str">
            <v>Professional Service</v>
          </cell>
          <cell r="N5790" t="str">
            <v>SG&amp;A</v>
          </cell>
          <cell r="O5790" t="str">
            <v>[No Vendor]</v>
          </cell>
        </row>
        <row r="5791">
          <cell r="D5791">
            <v>-15.43</v>
          </cell>
          <cell r="H5791">
            <v>45627</v>
          </cell>
          <cell r="I5791" t="str">
            <v>6385 - Insurance</v>
          </cell>
          <cell r="J5791">
            <v>0</v>
          </cell>
          <cell r="K5791" t="str">
            <v>Administration</v>
          </cell>
          <cell r="L5791" t="str">
            <v>Professional Service</v>
          </cell>
          <cell r="N5791" t="str">
            <v>SG&amp;A</v>
          </cell>
          <cell r="O5791" t="str">
            <v>[No Vendor]</v>
          </cell>
        </row>
        <row r="5792">
          <cell r="D5792">
            <v>-27.63</v>
          </cell>
          <cell r="H5792">
            <v>45627</v>
          </cell>
          <cell r="I5792" t="str">
            <v>6385 - Insurance</v>
          </cell>
          <cell r="J5792">
            <v>0</v>
          </cell>
          <cell r="K5792" t="str">
            <v>Administration</v>
          </cell>
          <cell r="L5792" t="str">
            <v>Professional Service</v>
          </cell>
          <cell r="N5792" t="str">
            <v>SG&amp;A</v>
          </cell>
          <cell r="O5792" t="str">
            <v>[No Vendor]</v>
          </cell>
        </row>
        <row r="5793">
          <cell r="D5793">
            <v>-28.17</v>
          </cell>
          <cell r="H5793">
            <v>45627</v>
          </cell>
          <cell r="I5793" t="str">
            <v>6385 - Insurance</v>
          </cell>
          <cell r="J5793">
            <v>0</v>
          </cell>
          <cell r="K5793" t="str">
            <v>Administration</v>
          </cell>
          <cell r="L5793" t="str">
            <v>Professional Service</v>
          </cell>
          <cell r="N5793" t="str">
            <v>SG&amp;A</v>
          </cell>
          <cell r="O5793" t="str">
            <v>[No Vendor]</v>
          </cell>
        </row>
        <row r="5794">
          <cell r="D5794">
            <v>501.9</v>
          </cell>
          <cell r="H5794">
            <v>45627</v>
          </cell>
          <cell r="I5794" t="str">
            <v>6385 - Insurance</v>
          </cell>
          <cell r="J5794">
            <v>0</v>
          </cell>
          <cell r="K5794" t="str">
            <v>Administration</v>
          </cell>
          <cell r="L5794" t="str">
            <v>Professional Service</v>
          </cell>
          <cell r="N5794" t="str">
            <v>SG&amp;A</v>
          </cell>
          <cell r="O5794" t="str">
            <v>[No Vendor]</v>
          </cell>
        </row>
        <row r="5795">
          <cell r="D5795">
            <v>947.81</v>
          </cell>
          <cell r="H5795">
            <v>45627</v>
          </cell>
          <cell r="I5795" t="str">
            <v>6385 - Insurance</v>
          </cell>
          <cell r="J5795">
            <v>0</v>
          </cell>
          <cell r="K5795" t="str">
            <v>Administration</v>
          </cell>
          <cell r="L5795" t="str">
            <v>Professional Service</v>
          </cell>
          <cell r="N5795" t="str">
            <v>SG&amp;A</v>
          </cell>
          <cell r="O5795" t="str">
            <v>[No Vendor]</v>
          </cell>
        </row>
        <row r="5796">
          <cell r="D5796">
            <v>456.67</v>
          </cell>
          <cell r="H5796">
            <v>45627</v>
          </cell>
          <cell r="I5796" t="str">
            <v>6400 - Utilities</v>
          </cell>
          <cell r="J5796">
            <v>0</v>
          </cell>
          <cell r="K5796" t="str">
            <v>Administration</v>
          </cell>
          <cell r="L5796" t="str">
            <v>Other</v>
          </cell>
          <cell r="N5796" t="str">
            <v>SG&amp;A</v>
          </cell>
          <cell r="O5796" t="str">
            <v>[No Vendor]</v>
          </cell>
        </row>
        <row r="5797">
          <cell r="D5797">
            <v>66.72</v>
          </cell>
          <cell r="H5797">
            <v>45627</v>
          </cell>
          <cell r="I5797" t="str">
            <v>7060 - Information Technology &amp; Software</v>
          </cell>
          <cell r="J5797">
            <v>0</v>
          </cell>
          <cell r="K5797" t="str">
            <v>Executive</v>
          </cell>
          <cell r="L5797" t="str">
            <v>Depreciation &amp; Amortization</v>
          </cell>
          <cell r="N5797" t="str">
            <v>SG&amp;A</v>
          </cell>
          <cell r="O5797" t="str">
            <v>[No Vendor]</v>
          </cell>
        </row>
        <row r="5798">
          <cell r="D5798">
            <v>113.67</v>
          </cell>
          <cell r="H5798">
            <v>45627</v>
          </cell>
          <cell r="I5798" t="str">
            <v>7060 - Information Technology &amp; Software</v>
          </cell>
          <cell r="J5798" t="str">
            <v>Wholesale</v>
          </cell>
          <cell r="K5798" t="str">
            <v>Wholesale</v>
          </cell>
          <cell r="L5798" t="str">
            <v>Depreciation &amp; Amortization</v>
          </cell>
          <cell r="N5798" t="str">
            <v>SG&amp;A</v>
          </cell>
          <cell r="O5798" t="str">
            <v>[No Vendor]</v>
          </cell>
        </row>
        <row r="5799">
          <cell r="D5799">
            <v>148.66999999999999</v>
          </cell>
          <cell r="H5799">
            <v>45627</v>
          </cell>
          <cell r="I5799" t="str">
            <v>7060 - Information Technology &amp; Software</v>
          </cell>
          <cell r="J5799" t="str">
            <v>Ecommerce (US)</v>
          </cell>
          <cell r="K5799" t="str">
            <v>Ecommerce</v>
          </cell>
          <cell r="L5799" t="str">
            <v>Depreciation &amp; Amortization</v>
          </cell>
          <cell r="N5799" t="str">
            <v>SG&amp;A</v>
          </cell>
          <cell r="O5799" t="str">
            <v>[No Vendor]</v>
          </cell>
        </row>
        <row r="5800">
          <cell r="D5800">
            <v>147.88999999999999</v>
          </cell>
          <cell r="H5800">
            <v>45627</v>
          </cell>
          <cell r="I5800" t="str">
            <v>7060 - Information Technology &amp; Software</v>
          </cell>
          <cell r="J5800">
            <v>0</v>
          </cell>
          <cell r="K5800" t="str">
            <v>Production</v>
          </cell>
          <cell r="L5800" t="str">
            <v>Depreciation &amp; Amortization</v>
          </cell>
          <cell r="N5800" t="str">
            <v>SG&amp;A</v>
          </cell>
          <cell r="O5800" t="str">
            <v>[No Vendor]</v>
          </cell>
        </row>
        <row r="5801">
          <cell r="D5801">
            <v>246.28</v>
          </cell>
          <cell r="H5801">
            <v>45627</v>
          </cell>
          <cell r="I5801" t="str">
            <v>7060 - Information Technology &amp; Software</v>
          </cell>
          <cell r="J5801">
            <v>0</v>
          </cell>
          <cell r="K5801" t="str">
            <v>Design</v>
          </cell>
          <cell r="L5801" t="str">
            <v>Depreciation &amp; Amortization</v>
          </cell>
          <cell r="N5801" t="str">
            <v>SG&amp;A</v>
          </cell>
          <cell r="O5801" t="str">
            <v>[No Vendor]</v>
          </cell>
        </row>
        <row r="5802">
          <cell r="D5802">
            <v>65.48</v>
          </cell>
          <cell r="H5802">
            <v>45627</v>
          </cell>
          <cell r="I5802" t="str">
            <v>7060 - Information Technology &amp; Software</v>
          </cell>
          <cell r="J5802">
            <v>0</v>
          </cell>
          <cell r="K5802" t="str">
            <v>Merchandising</v>
          </cell>
          <cell r="L5802" t="str">
            <v>Depreciation &amp; Amortization</v>
          </cell>
          <cell r="N5802" t="str">
            <v>SG&amp;A</v>
          </cell>
          <cell r="O5802" t="str">
            <v>[No Vendor]</v>
          </cell>
        </row>
        <row r="5803">
          <cell r="D5803">
            <v>166.9</v>
          </cell>
          <cell r="H5803">
            <v>45627</v>
          </cell>
          <cell r="I5803" t="str">
            <v>7060 - Information Technology &amp; Software</v>
          </cell>
          <cell r="J5803">
            <v>0</v>
          </cell>
          <cell r="K5803" t="str">
            <v>Brand Marketing</v>
          </cell>
          <cell r="L5803" t="str">
            <v>Depreciation &amp; Amortization</v>
          </cell>
          <cell r="N5803" t="str">
            <v>SG&amp;A</v>
          </cell>
          <cell r="O5803" t="str">
            <v>[No Vendor]</v>
          </cell>
        </row>
        <row r="5804">
          <cell r="D5804">
            <v>869.23</v>
          </cell>
          <cell r="H5804">
            <v>45627</v>
          </cell>
          <cell r="I5804" t="str">
            <v>7060 - Information Technology &amp; Software</v>
          </cell>
          <cell r="J5804">
            <v>0</v>
          </cell>
          <cell r="K5804" t="str">
            <v>Administration</v>
          </cell>
          <cell r="L5804" t="str">
            <v>Depreciation &amp; Amortization</v>
          </cell>
          <cell r="N5804" t="str">
            <v>SG&amp;A</v>
          </cell>
          <cell r="O5804" t="str">
            <v>[No Vendor]</v>
          </cell>
        </row>
        <row r="5805">
          <cell r="D5805">
            <v>0.52</v>
          </cell>
          <cell r="H5805">
            <v>45627</v>
          </cell>
          <cell r="I5805" t="str">
            <v>7060 - Information Technology &amp; Software</v>
          </cell>
          <cell r="J5805">
            <v>0</v>
          </cell>
          <cell r="K5805" t="str">
            <v>Administration</v>
          </cell>
          <cell r="L5805" t="str">
            <v>Depreciation &amp; Amortization</v>
          </cell>
          <cell r="N5805" t="str">
            <v>SG&amp;A</v>
          </cell>
          <cell r="O5805" t="str">
            <v>[No Vendor]</v>
          </cell>
        </row>
        <row r="5806">
          <cell r="D5806">
            <v>0.03</v>
          </cell>
          <cell r="H5806">
            <v>45627</v>
          </cell>
          <cell r="I5806" t="str">
            <v>7060 - Information Technology &amp; Software</v>
          </cell>
          <cell r="J5806">
            <v>0</v>
          </cell>
          <cell r="K5806" t="str">
            <v>Administration</v>
          </cell>
          <cell r="L5806" t="str">
            <v>Depreciation &amp; Amortization</v>
          </cell>
          <cell r="N5806" t="str">
            <v>SG&amp;A</v>
          </cell>
          <cell r="O5806" t="str">
            <v>[No Vendor]</v>
          </cell>
        </row>
        <row r="5807">
          <cell r="D5807">
            <v>238.77</v>
          </cell>
          <cell r="H5807">
            <v>45627</v>
          </cell>
          <cell r="I5807" t="str">
            <v>7040 - Furniture &amp; Fixtures</v>
          </cell>
          <cell r="J5807" t="str">
            <v>Wholesale</v>
          </cell>
          <cell r="K5807" t="str">
            <v>Wholesale</v>
          </cell>
          <cell r="L5807" t="str">
            <v>Depreciation &amp; Amortization</v>
          </cell>
          <cell r="N5807" t="str">
            <v>SG&amp;A</v>
          </cell>
          <cell r="O5807" t="str">
            <v>[No Vendor]</v>
          </cell>
        </row>
        <row r="5808">
          <cell r="D5808">
            <v>0</v>
          </cell>
          <cell r="H5808">
            <v>45627</v>
          </cell>
          <cell r="I5808" t="str">
            <v>7040 - Furniture &amp; Fixtures</v>
          </cell>
          <cell r="J5808">
            <v>0</v>
          </cell>
          <cell r="K5808" t="str">
            <v>Brand Marketing</v>
          </cell>
          <cell r="L5808" t="str">
            <v>Depreciation &amp; Amortization</v>
          </cell>
          <cell r="N5808" t="str">
            <v>SG&amp;A</v>
          </cell>
          <cell r="O5808" t="str">
            <v>[No Vendor]</v>
          </cell>
        </row>
        <row r="5809">
          <cell r="D5809">
            <v>269.64999999999998</v>
          </cell>
          <cell r="H5809">
            <v>45627</v>
          </cell>
          <cell r="I5809" t="str">
            <v>7040 - Furniture &amp; Fixtures</v>
          </cell>
          <cell r="J5809">
            <v>0</v>
          </cell>
          <cell r="K5809" t="str">
            <v>Administration</v>
          </cell>
          <cell r="L5809" t="str">
            <v>Depreciation &amp; Amortization</v>
          </cell>
          <cell r="N5809" t="str">
            <v>SG&amp;A</v>
          </cell>
          <cell r="O5809" t="str">
            <v>[No Vendor]</v>
          </cell>
        </row>
        <row r="5810">
          <cell r="D5810">
            <v>405.57</v>
          </cell>
          <cell r="H5810">
            <v>45627</v>
          </cell>
          <cell r="I5810" t="str">
            <v>6055 - Employer Social Security Tax Withheld</v>
          </cell>
          <cell r="J5810">
            <v>0</v>
          </cell>
          <cell r="K5810" t="str">
            <v>Merchandising</v>
          </cell>
          <cell r="L5810" t="str">
            <v>HQ Salaries</v>
          </cell>
          <cell r="N5810" t="str">
            <v>SG&amp;A</v>
          </cell>
          <cell r="O5810" t="str">
            <v>[No Vendor]</v>
          </cell>
        </row>
        <row r="5811">
          <cell r="D5811">
            <v>707.6</v>
          </cell>
          <cell r="H5811">
            <v>45627</v>
          </cell>
          <cell r="I5811" t="str">
            <v>6055 - Employer Social Security Tax Withheld</v>
          </cell>
          <cell r="J5811" t="str">
            <v>Wholesale</v>
          </cell>
          <cell r="K5811" t="str">
            <v>Wholesale</v>
          </cell>
          <cell r="L5811" t="str">
            <v>HQ Salaries</v>
          </cell>
          <cell r="N5811" t="str">
            <v>SG&amp;A</v>
          </cell>
          <cell r="O5811" t="str">
            <v>[No Vendor]</v>
          </cell>
        </row>
        <row r="5812">
          <cell r="D5812">
            <v>1021.09</v>
          </cell>
          <cell r="H5812">
            <v>45627</v>
          </cell>
          <cell r="I5812" t="str">
            <v>6055 - Employer Social Security Tax Withheld</v>
          </cell>
          <cell r="J5812">
            <v>0</v>
          </cell>
          <cell r="K5812" t="str">
            <v>Production</v>
          </cell>
          <cell r="L5812" t="str">
            <v>HQ Salaries</v>
          </cell>
          <cell r="N5812" t="str">
            <v>SG&amp;A</v>
          </cell>
          <cell r="O5812" t="str">
            <v>[No Vendor]</v>
          </cell>
        </row>
        <row r="5813">
          <cell r="D5813">
            <v>256.14999999999998</v>
          </cell>
          <cell r="H5813">
            <v>45627</v>
          </cell>
          <cell r="I5813" t="str">
            <v>6055 - Employer Social Security Tax Withheld</v>
          </cell>
          <cell r="J5813">
            <v>0</v>
          </cell>
          <cell r="K5813" t="str">
            <v>Brand Marketing</v>
          </cell>
          <cell r="L5813" t="str">
            <v>HQ Salaries</v>
          </cell>
          <cell r="N5813" t="str">
            <v>SG&amp;A</v>
          </cell>
          <cell r="O5813" t="str">
            <v>[No Vendor]</v>
          </cell>
        </row>
        <row r="5814">
          <cell r="D5814">
            <v>827.38</v>
          </cell>
          <cell r="H5814">
            <v>45627</v>
          </cell>
          <cell r="I5814" t="str">
            <v>6055 - Employer Social Security Tax Withheld</v>
          </cell>
          <cell r="J5814">
            <v>0</v>
          </cell>
          <cell r="K5814" t="str">
            <v>Executive</v>
          </cell>
          <cell r="L5814" t="str">
            <v>HQ Salaries</v>
          </cell>
          <cell r="N5814" t="str">
            <v>SG&amp;A</v>
          </cell>
          <cell r="O5814" t="str">
            <v>[No Vendor]</v>
          </cell>
        </row>
        <row r="5815">
          <cell r="D5815">
            <v>1127.05</v>
          </cell>
          <cell r="H5815">
            <v>45627</v>
          </cell>
          <cell r="I5815" t="str">
            <v>6055 - Employer Social Security Tax Withheld</v>
          </cell>
          <cell r="J5815" t="str">
            <v>Ecommerce (US)</v>
          </cell>
          <cell r="K5815" t="str">
            <v>Ecommerce</v>
          </cell>
          <cell r="L5815" t="str">
            <v>HQ Salaries</v>
          </cell>
          <cell r="N5815" t="str">
            <v>SG&amp;A</v>
          </cell>
          <cell r="O5815" t="str">
            <v>[No Vendor]</v>
          </cell>
        </row>
        <row r="5816">
          <cell r="D5816">
            <v>1359.58</v>
          </cell>
          <cell r="H5816">
            <v>45627</v>
          </cell>
          <cell r="I5816" t="str">
            <v>6055 - Employer Social Security Tax Withheld</v>
          </cell>
          <cell r="J5816">
            <v>0</v>
          </cell>
          <cell r="K5816" t="str">
            <v>Design</v>
          </cell>
          <cell r="L5816" t="str">
            <v>HQ Salaries</v>
          </cell>
          <cell r="N5816" t="str">
            <v>SG&amp;A</v>
          </cell>
          <cell r="O5816" t="str">
            <v>[No Vendor]</v>
          </cell>
        </row>
        <row r="5817">
          <cell r="D5817">
            <v>1367.22</v>
          </cell>
          <cell r="H5817">
            <v>45627</v>
          </cell>
          <cell r="I5817" t="str">
            <v>6055 - Employer Social Security Tax Withheld</v>
          </cell>
          <cell r="J5817">
            <v>0</v>
          </cell>
          <cell r="K5817" t="str">
            <v>Administration</v>
          </cell>
          <cell r="L5817" t="str">
            <v>HQ Salaries</v>
          </cell>
          <cell r="N5817" t="str">
            <v>SG&amp;A</v>
          </cell>
          <cell r="O5817" t="str">
            <v>[No Vendor]</v>
          </cell>
        </row>
        <row r="5818">
          <cell r="D5818">
            <v>15818.25</v>
          </cell>
          <cell r="H5818">
            <v>45627</v>
          </cell>
          <cell r="I5818" t="str">
            <v>5000 - Cost of Goods Sold</v>
          </cell>
          <cell r="J5818" t="str">
            <v>Ecommerce (US)</v>
          </cell>
          <cell r="K5818" t="str">
            <v>Ecommerce</v>
          </cell>
          <cell r="L5818" t="str">
            <v>COGS</v>
          </cell>
          <cell r="N5818" t="str">
            <v>COGS</v>
          </cell>
          <cell r="O5818" t="str">
            <v>[No Vendor]</v>
          </cell>
        </row>
        <row r="5819">
          <cell r="D5819">
            <v>38936.559999999998</v>
          </cell>
          <cell r="H5819">
            <v>45627</v>
          </cell>
          <cell r="I5819" t="str">
            <v>5000 - Cost of Goods Sold</v>
          </cell>
          <cell r="J5819" t="str">
            <v>Ecommerce (US)</v>
          </cell>
          <cell r="K5819" t="str">
            <v>Ecommerce</v>
          </cell>
          <cell r="L5819" t="str">
            <v>COGS</v>
          </cell>
          <cell r="N5819" t="str">
            <v>COGS</v>
          </cell>
          <cell r="O5819" t="str">
            <v>[No Vendor]</v>
          </cell>
        </row>
        <row r="5820">
          <cell r="D5820">
            <v>0</v>
          </cell>
          <cell r="H5820">
            <v>45627</v>
          </cell>
          <cell r="I5820" t="str">
            <v>5000 - Cost of Goods Sold</v>
          </cell>
          <cell r="J5820" t="str">
            <v>Wholesale</v>
          </cell>
          <cell r="K5820" t="str">
            <v>Wholesale</v>
          </cell>
          <cell r="L5820" t="str">
            <v>COGS</v>
          </cell>
          <cell r="N5820" t="str">
            <v>COGS</v>
          </cell>
          <cell r="O5820" t="str">
            <v>[No Vendor]</v>
          </cell>
        </row>
        <row r="5821">
          <cell r="D5821">
            <v>13836.79</v>
          </cell>
          <cell r="H5821">
            <v>45627</v>
          </cell>
          <cell r="I5821" t="str">
            <v>5000 - Cost of Goods Sold</v>
          </cell>
          <cell r="J5821" t="str">
            <v>Wholesale</v>
          </cell>
          <cell r="K5821" t="str">
            <v>Wholesale</v>
          </cell>
          <cell r="L5821" t="str">
            <v>COGS</v>
          </cell>
          <cell r="N5821" t="str">
            <v>COGS</v>
          </cell>
          <cell r="O5821" t="str">
            <v>[No Vendor]</v>
          </cell>
        </row>
        <row r="5822">
          <cell r="D5822">
            <v>-101048.03</v>
          </cell>
          <cell r="H5822">
            <v>45627</v>
          </cell>
          <cell r="I5822" t="str">
            <v>5000 - Cost of Goods Sold</v>
          </cell>
          <cell r="J5822" t="str">
            <v>Ecommerce (US)</v>
          </cell>
          <cell r="K5822" t="str">
            <v>Ecommerce</v>
          </cell>
          <cell r="L5822" t="str">
            <v>COGS</v>
          </cell>
          <cell r="N5822" t="str">
            <v>COGS</v>
          </cell>
          <cell r="O5822" t="str">
            <v>[No Vendor]</v>
          </cell>
        </row>
        <row r="5823">
          <cell r="D5823">
            <v>-2.99</v>
          </cell>
          <cell r="H5823">
            <v>45627</v>
          </cell>
          <cell r="I5823" t="str">
            <v>5000 - Cost of Goods Sold</v>
          </cell>
          <cell r="J5823" t="str">
            <v>Ecommerce (EU)</v>
          </cell>
          <cell r="K5823" t="str">
            <v>Ecommerce</v>
          </cell>
          <cell r="L5823" t="str">
            <v>COGS</v>
          </cell>
          <cell r="N5823" t="str">
            <v>COGS</v>
          </cell>
          <cell r="O5823" t="str">
            <v>[No Vendor]</v>
          </cell>
        </row>
        <row r="5824">
          <cell r="D5824">
            <v>44371.75</v>
          </cell>
          <cell r="H5824">
            <v>45627</v>
          </cell>
          <cell r="I5824" t="str">
            <v>5000 - Cost of Goods Sold</v>
          </cell>
          <cell r="J5824" t="str">
            <v>Ecommerce (EU)</v>
          </cell>
          <cell r="K5824" t="str">
            <v>Ecommerce</v>
          </cell>
          <cell r="L5824" t="str">
            <v>COGS</v>
          </cell>
          <cell r="N5824" t="str">
            <v>COGS</v>
          </cell>
          <cell r="O5824" t="str">
            <v>[No Vendor]</v>
          </cell>
        </row>
        <row r="5825">
          <cell r="D5825">
            <v>0</v>
          </cell>
          <cell r="H5825">
            <v>45627</v>
          </cell>
          <cell r="I5825" t="str">
            <v>5000 - Cost of Goods Sold</v>
          </cell>
          <cell r="J5825" t="str">
            <v>Wholesale</v>
          </cell>
          <cell r="K5825" t="str">
            <v>Wholesale</v>
          </cell>
          <cell r="L5825" t="str">
            <v>COGS</v>
          </cell>
          <cell r="N5825" t="str">
            <v>COGS</v>
          </cell>
          <cell r="O5825" t="str">
            <v>[No Vendor]</v>
          </cell>
        </row>
        <row r="5826">
          <cell r="D5826">
            <v>34508.949999999997</v>
          </cell>
          <cell r="H5826">
            <v>45627</v>
          </cell>
          <cell r="I5826" t="str">
            <v>5000 - Cost of Goods Sold</v>
          </cell>
          <cell r="J5826" t="str">
            <v>Wholesale</v>
          </cell>
          <cell r="K5826" t="str">
            <v>Wholesale</v>
          </cell>
          <cell r="L5826" t="str">
            <v>COGS</v>
          </cell>
          <cell r="N5826" t="str">
            <v>COGS</v>
          </cell>
          <cell r="O5826" t="str">
            <v>[No Vendor]</v>
          </cell>
        </row>
        <row r="5827">
          <cell r="D5827">
            <v>-650.71</v>
          </cell>
          <cell r="H5827">
            <v>45627</v>
          </cell>
          <cell r="I5827" t="str">
            <v>5000 - Cost of Goods Sold</v>
          </cell>
          <cell r="J5827" t="str">
            <v>Ecommerce (EU)</v>
          </cell>
          <cell r="K5827" t="str">
            <v>Ecommerce</v>
          </cell>
          <cell r="L5827" t="str">
            <v>COGS</v>
          </cell>
          <cell r="N5827" t="str">
            <v>COGS</v>
          </cell>
          <cell r="O5827" t="str">
            <v>[No Vendor]</v>
          </cell>
        </row>
        <row r="5828">
          <cell r="D5828">
            <v>-20984</v>
          </cell>
          <cell r="H5828">
            <v>45627</v>
          </cell>
          <cell r="I5828" t="str">
            <v>5000 - Cost of Goods Sold</v>
          </cell>
          <cell r="J5828" t="str">
            <v>Ecommerce (US)</v>
          </cell>
          <cell r="K5828" t="str">
            <v>Ecommerce</v>
          </cell>
          <cell r="L5828" t="str">
            <v>COGS</v>
          </cell>
          <cell r="N5828" t="str">
            <v>COGS</v>
          </cell>
          <cell r="O5828" t="str">
            <v>[No Vendor]</v>
          </cell>
        </row>
        <row r="5829">
          <cell r="D5829">
            <v>1036.8</v>
          </cell>
          <cell r="H5829">
            <v>45627</v>
          </cell>
          <cell r="I5829" t="str">
            <v>5000 - Cost of Goods Sold</v>
          </cell>
          <cell r="J5829" t="str">
            <v>Ecommerce (EU)</v>
          </cell>
          <cell r="K5829" t="str">
            <v>Ecommerce</v>
          </cell>
          <cell r="L5829" t="str">
            <v>COGS</v>
          </cell>
          <cell r="N5829" t="str">
            <v>COGS</v>
          </cell>
          <cell r="O5829" t="str">
            <v>[No Vendor]</v>
          </cell>
        </row>
        <row r="5830">
          <cell r="D5830">
            <v>579124.69999999995</v>
          </cell>
          <cell r="H5830">
            <v>45627</v>
          </cell>
          <cell r="I5830" t="str">
            <v>5000 - Cost of Goods Sold</v>
          </cell>
          <cell r="J5830" t="str">
            <v>Ecommerce (US)</v>
          </cell>
          <cell r="K5830" t="str">
            <v>Ecommerce</v>
          </cell>
          <cell r="L5830" t="str">
            <v>COGS</v>
          </cell>
          <cell r="N5830" t="str">
            <v>COGS</v>
          </cell>
          <cell r="O5830" t="str">
            <v>[No Vendor]</v>
          </cell>
        </row>
        <row r="5831">
          <cell r="D5831">
            <v>520.70000000000005</v>
          </cell>
          <cell r="H5831">
            <v>45627</v>
          </cell>
          <cell r="I5831" t="str">
            <v>5000 - Cost of Goods Sold</v>
          </cell>
          <cell r="J5831" t="str">
            <v>Ecommerce (US)</v>
          </cell>
          <cell r="K5831" t="str">
            <v>Ecommerce</v>
          </cell>
          <cell r="L5831" t="str">
            <v>COGS</v>
          </cell>
          <cell r="N5831" t="str">
            <v>COGS</v>
          </cell>
          <cell r="O5831" t="str">
            <v>[No Vendor]</v>
          </cell>
        </row>
        <row r="5832">
          <cell r="D5832">
            <v>-20415</v>
          </cell>
          <cell r="H5832">
            <v>45627</v>
          </cell>
          <cell r="I5832" t="str">
            <v>8600 - Income Tax Expense</v>
          </cell>
          <cell r="J5832">
            <v>0</v>
          </cell>
          <cell r="K5832" t="str">
            <v>Administration</v>
          </cell>
          <cell r="L5832" t="str">
            <v>Tax</v>
          </cell>
          <cell r="N5832" t="str">
            <v>BTL</v>
          </cell>
          <cell r="O5832" t="str">
            <v>[No Vendor]</v>
          </cell>
        </row>
        <row r="5833">
          <cell r="D5833">
            <v>0</v>
          </cell>
          <cell r="H5833">
            <v>45627</v>
          </cell>
          <cell r="I5833" t="str">
            <v>8000 - Interest Income</v>
          </cell>
          <cell r="J5833">
            <v>0</v>
          </cell>
          <cell r="K5833" t="str">
            <v>Licensing</v>
          </cell>
          <cell r="L5833" t="str">
            <v>Other Income (BTL)</v>
          </cell>
          <cell r="N5833" t="str">
            <v>BTL</v>
          </cell>
          <cell r="O5833" t="str">
            <v>[No Vendor]</v>
          </cell>
        </row>
        <row r="5834">
          <cell r="D5834">
            <v>4915.07</v>
          </cell>
          <cell r="H5834">
            <v>45627</v>
          </cell>
          <cell r="I5834" t="str">
            <v>6487 - Interest Expense</v>
          </cell>
          <cell r="J5834">
            <v>0</v>
          </cell>
          <cell r="K5834" t="str">
            <v>Administration</v>
          </cell>
          <cell r="L5834" t="str">
            <v>Interest</v>
          </cell>
          <cell r="N5834" t="str">
            <v>BTL</v>
          </cell>
          <cell r="O5834" t="str">
            <v>[No Vendor]</v>
          </cell>
        </row>
        <row r="5835">
          <cell r="D5835">
            <v>3906.85</v>
          </cell>
          <cell r="H5835">
            <v>45627</v>
          </cell>
          <cell r="I5835" t="str">
            <v>6487 - Interest Expense</v>
          </cell>
          <cell r="J5835">
            <v>0</v>
          </cell>
          <cell r="K5835" t="str">
            <v>Administration</v>
          </cell>
          <cell r="L5835" t="str">
            <v>Interest</v>
          </cell>
          <cell r="N5835" t="str">
            <v>BTL</v>
          </cell>
          <cell r="O5835" t="str">
            <v>[No Vendor]</v>
          </cell>
        </row>
        <row r="5836">
          <cell r="D5836">
            <v>15236.71</v>
          </cell>
          <cell r="H5836">
            <v>45627</v>
          </cell>
          <cell r="I5836" t="str">
            <v>6487 - Interest Expense</v>
          </cell>
          <cell r="J5836">
            <v>0</v>
          </cell>
          <cell r="K5836" t="str">
            <v>Administration</v>
          </cell>
          <cell r="L5836" t="str">
            <v>Interest</v>
          </cell>
          <cell r="N5836" t="str">
            <v>BTL</v>
          </cell>
          <cell r="O5836" t="str">
            <v>[No Vendor]</v>
          </cell>
        </row>
        <row r="5837">
          <cell r="D5837">
            <v>5860.27</v>
          </cell>
          <cell r="H5837">
            <v>45627</v>
          </cell>
          <cell r="I5837" t="str">
            <v>6487 - Interest Expense</v>
          </cell>
          <cell r="J5837">
            <v>0</v>
          </cell>
          <cell r="K5837" t="str">
            <v>Administration</v>
          </cell>
          <cell r="L5837" t="str">
            <v>Interest</v>
          </cell>
          <cell r="N5837" t="str">
            <v>BTL</v>
          </cell>
          <cell r="O5837" t="str">
            <v>[No Vendor]</v>
          </cell>
        </row>
        <row r="5838">
          <cell r="D5838">
            <v>4297.53</v>
          </cell>
          <cell r="H5838">
            <v>45627</v>
          </cell>
          <cell r="I5838" t="str">
            <v>6487 - Interest Expense</v>
          </cell>
          <cell r="J5838">
            <v>0</v>
          </cell>
          <cell r="K5838" t="str">
            <v>Administration</v>
          </cell>
          <cell r="L5838" t="str">
            <v>Interest</v>
          </cell>
          <cell r="N5838" t="str">
            <v>BTL</v>
          </cell>
          <cell r="O5838" t="str">
            <v>[No Vendor]</v>
          </cell>
        </row>
        <row r="5839">
          <cell r="D5839">
            <v>33.799999999999997</v>
          </cell>
          <cell r="H5839">
            <v>45627</v>
          </cell>
          <cell r="I5839" t="str">
            <v>6487 - Interest Expense</v>
          </cell>
          <cell r="J5839">
            <v>0</v>
          </cell>
          <cell r="K5839" t="str">
            <v>Administration</v>
          </cell>
          <cell r="L5839" t="str">
            <v>Interest</v>
          </cell>
          <cell r="N5839" t="str">
            <v>BTL</v>
          </cell>
          <cell r="O5839" t="str">
            <v>[No Vendor]</v>
          </cell>
        </row>
        <row r="5840">
          <cell r="D5840">
            <v>8398.93</v>
          </cell>
          <cell r="H5840">
            <v>45627</v>
          </cell>
          <cell r="I5840" t="str">
            <v>6487 - Interest Expense</v>
          </cell>
          <cell r="J5840">
            <v>0</v>
          </cell>
          <cell r="K5840" t="str">
            <v>Administration</v>
          </cell>
          <cell r="L5840" t="str">
            <v>Interest</v>
          </cell>
          <cell r="N5840" t="str">
            <v>BTL</v>
          </cell>
          <cell r="O5840" t="str">
            <v>[No Vendor]</v>
          </cell>
        </row>
        <row r="5841">
          <cell r="D5841">
            <v>2400.7800000000002</v>
          </cell>
          <cell r="H5841">
            <v>45627</v>
          </cell>
          <cell r="I5841" t="str">
            <v>6105 - Meals</v>
          </cell>
          <cell r="J5841">
            <v>0</v>
          </cell>
          <cell r="K5841" t="str">
            <v>Administration</v>
          </cell>
          <cell r="L5841" t="str">
            <v>T&amp;E</v>
          </cell>
          <cell r="N5841" t="str">
            <v>SG&amp;A</v>
          </cell>
          <cell r="O5841" t="str">
            <v>[No Vendor]</v>
          </cell>
        </row>
        <row r="5842">
          <cell r="D5842">
            <v>428552.94</v>
          </cell>
          <cell r="H5842">
            <v>45627</v>
          </cell>
          <cell r="I5842" t="str">
            <v>6440 - Bad Debt Expenses</v>
          </cell>
          <cell r="J5842" t="str">
            <v>Ecommerce (EU)</v>
          </cell>
          <cell r="K5842" t="str">
            <v>Ecommerce</v>
          </cell>
          <cell r="L5842" t="str">
            <v>Other</v>
          </cell>
          <cell r="N5842" t="str">
            <v>SG&amp;A</v>
          </cell>
          <cell r="O5842" t="str">
            <v>[No Vendor]</v>
          </cell>
        </row>
        <row r="5843">
          <cell r="D5843">
            <v>175</v>
          </cell>
          <cell r="H5843">
            <v>45627</v>
          </cell>
          <cell r="I5843" t="str">
            <v>6420 - Licenses &amp; Membership</v>
          </cell>
          <cell r="J5843">
            <v>0</v>
          </cell>
          <cell r="K5843" t="str">
            <v>Production</v>
          </cell>
          <cell r="L5843" t="str">
            <v>Professional Service</v>
          </cell>
          <cell r="N5843" t="str">
            <v>SG&amp;A</v>
          </cell>
          <cell r="O5843" t="str">
            <v>[No Vendor]</v>
          </cell>
        </row>
        <row r="5844">
          <cell r="D5844">
            <v>2721.88</v>
          </cell>
          <cell r="H5844">
            <v>45627</v>
          </cell>
          <cell r="I5844" t="str">
            <v>6420 - Licenses &amp; Membership</v>
          </cell>
          <cell r="J5844">
            <v>0</v>
          </cell>
          <cell r="K5844" t="str">
            <v>Administration</v>
          </cell>
          <cell r="L5844" t="str">
            <v>Professional Service</v>
          </cell>
          <cell r="N5844" t="str">
            <v>Direct Costs</v>
          </cell>
          <cell r="O5844" t="str">
            <v>Apparel Magic</v>
          </cell>
        </row>
        <row r="5845">
          <cell r="D5845">
            <v>-30113.77</v>
          </cell>
          <cell r="H5845">
            <v>45627</v>
          </cell>
          <cell r="I5845" t="str">
            <v>6320 - Building Rent</v>
          </cell>
          <cell r="J5845">
            <v>0</v>
          </cell>
          <cell r="K5845" t="str">
            <v>Administration</v>
          </cell>
          <cell r="L5845" t="str">
            <v>Rent</v>
          </cell>
          <cell r="N5845" t="str">
            <v>SG&amp;A</v>
          </cell>
          <cell r="O5845" t="str">
            <v>[No Vendor]</v>
          </cell>
        </row>
        <row r="5846">
          <cell r="D5846">
            <v>1157.5999999999999</v>
          </cell>
          <cell r="H5846">
            <v>45627</v>
          </cell>
          <cell r="I5846" t="str">
            <v>6375 - Freight Expenses</v>
          </cell>
          <cell r="J5846" t="str">
            <v>Ecommerce (US)</v>
          </cell>
          <cell r="K5846" t="str">
            <v>Ecommerce</v>
          </cell>
          <cell r="L5846" t="str">
            <v>Freight</v>
          </cell>
          <cell r="N5846" t="str">
            <v>Direct Costs</v>
          </cell>
          <cell r="O5846" t="str">
            <v>Amazon</v>
          </cell>
        </row>
        <row r="5847">
          <cell r="D5847">
            <v>8000</v>
          </cell>
          <cell r="H5847">
            <v>45627</v>
          </cell>
          <cell r="I5847" t="str">
            <v>6375 - Freight Expenses</v>
          </cell>
          <cell r="J5847" t="str">
            <v>Ecommerce (US)</v>
          </cell>
          <cell r="K5847" t="str">
            <v>Ecommerce</v>
          </cell>
          <cell r="L5847" t="str">
            <v>Freight</v>
          </cell>
          <cell r="N5847" t="str">
            <v>Direct Costs</v>
          </cell>
          <cell r="O5847" t="str">
            <v>UPS Supply Chain Solutions Inc. (7F24A0)</v>
          </cell>
        </row>
        <row r="5848">
          <cell r="D5848">
            <v>7500</v>
          </cell>
          <cell r="H5848">
            <v>45627</v>
          </cell>
          <cell r="I5848" t="str">
            <v>6375 - Freight Expenses</v>
          </cell>
          <cell r="J5848" t="str">
            <v>Ecommerce (US)</v>
          </cell>
          <cell r="K5848" t="str">
            <v>Ecommerce</v>
          </cell>
          <cell r="L5848" t="str">
            <v>Freight</v>
          </cell>
          <cell r="N5848" t="str">
            <v>Direct Costs</v>
          </cell>
          <cell r="O5848" t="str">
            <v>Easy Post</v>
          </cell>
        </row>
        <row r="5849">
          <cell r="D5849">
            <v>15.83</v>
          </cell>
          <cell r="H5849">
            <v>45627</v>
          </cell>
          <cell r="I5849" t="str">
            <v>7030 - Plant Machinery &amp; Equipment</v>
          </cell>
          <cell r="J5849">
            <v>0</v>
          </cell>
          <cell r="K5849" t="str">
            <v>Production</v>
          </cell>
          <cell r="L5849" t="str">
            <v>Depreciation &amp; Amortization</v>
          </cell>
          <cell r="N5849" t="str">
            <v>SG&amp;A</v>
          </cell>
          <cell r="O5849" t="str">
            <v>[No Vendor]</v>
          </cell>
        </row>
        <row r="5850">
          <cell r="D5850">
            <v>14.15</v>
          </cell>
          <cell r="H5850">
            <v>45627</v>
          </cell>
          <cell r="I5850" t="str">
            <v>7030 - Plant Machinery &amp; Equipment</v>
          </cell>
          <cell r="J5850">
            <v>0</v>
          </cell>
          <cell r="K5850" t="str">
            <v>Administration</v>
          </cell>
          <cell r="L5850" t="str">
            <v>Depreciation &amp; Amortization</v>
          </cell>
          <cell r="N5850" t="str">
            <v>SG&amp;A</v>
          </cell>
          <cell r="O5850" t="str">
            <v>[No Vendor]</v>
          </cell>
        </row>
        <row r="5851">
          <cell r="D5851">
            <v>-45.44</v>
          </cell>
          <cell r="H5851">
            <v>45627</v>
          </cell>
          <cell r="I5851" t="str">
            <v>6040 - Employer Paid Benefits</v>
          </cell>
          <cell r="J5851" t="str">
            <v>Wholesale</v>
          </cell>
          <cell r="K5851" t="str">
            <v>Wholesale</v>
          </cell>
          <cell r="L5851" t="str">
            <v>HQ Salaries</v>
          </cell>
          <cell r="N5851" t="str">
            <v>SG&amp;A</v>
          </cell>
          <cell r="O5851" t="str">
            <v>[No Vendor]</v>
          </cell>
        </row>
        <row r="5852">
          <cell r="D5852">
            <v>-199.93</v>
          </cell>
          <cell r="H5852">
            <v>45627</v>
          </cell>
          <cell r="I5852" t="str">
            <v>6040 - Employer Paid Benefits</v>
          </cell>
          <cell r="J5852">
            <v>0</v>
          </cell>
          <cell r="K5852" t="str">
            <v>Production</v>
          </cell>
          <cell r="L5852" t="str">
            <v>HQ Salaries</v>
          </cell>
          <cell r="N5852" t="str">
            <v>SG&amp;A</v>
          </cell>
          <cell r="O5852" t="str">
            <v>[No Vendor]</v>
          </cell>
        </row>
        <row r="5853">
          <cell r="D5853">
            <v>-15.81</v>
          </cell>
          <cell r="H5853">
            <v>45627</v>
          </cell>
          <cell r="I5853" t="str">
            <v>6040 - Employer Paid Benefits</v>
          </cell>
          <cell r="J5853">
            <v>0</v>
          </cell>
          <cell r="K5853" t="str">
            <v>Brand Marketing</v>
          </cell>
          <cell r="L5853" t="str">
            <v>HQ Salaries</v>
          </cell>
          <cell r="N5853" t="str">
            <v>SG&amp;A</v>
          </cell>
          <cell r="O5853" t="str">
            <v>[No Vendor]</v>
          </cell>
        </row>
        <row r="5854">
          <cell r="D5854">
            <v>-163.99</v>
          </cell>
          <cell r="H5854">
            <v>45627</v>
          </cell>
          <cell r="I5854" t="str">
            <v>6040 - Employer Paid Benefits</v>
          </cell>
          <cell r="J5854">
            <v>0</v>
          </cell>
          <cell r="K5854" t="str">
            <v>Executive</v>
          </cell>
          <cell r="L5854" t="str">
            <v>HQ Salaries</v>
          </cell>
          <cell r="N5854" t="str">
            <v>SG&amp;A</v>
          </cell>
          <cell r="O5854" t="str">
            <v>[No Vendor]</v>
          </cell>
        </row>
        <row r="5855">
          <cell r="D5855">
            <v>-85.3</v>
          </cell>
          <cell r="H5855">
            <v>45627</v>
          </cell>
          <cell r="I5855" t="str">
            <v>6040 - Employer Paid Benefits</v>
          </cell>
          <cell r="J5855" t="str">
            <v>Ecommerce (US)</v>
          </cell>
          <cell r="K5855" t="str">
            <v>Ecommerce</v>
          </cell>
          <cell r="L5855" t="str">
            <v>HQ Salaries</v>
          </cell>
          <cell r="N5855" t="str">
            <v>SG&amp;A</v>
          </cell>
          <cell r="O5855" t="str">
            <v>[No Vendor]</v>
          </cell>
        </row>
        <row r="5856">
          <cell r="D5856">
            <v>-224.77</v>
          </cell>
          <cell r="H5856">
            <v>45627</v>
          </cell>
          <cell r="I5856" t="str">
            <v>6040 - Employer Paid Benefits</v>
          </cell>
          <cell r="J5856">
            <v>0</v>
          </cell>
          <cell r="K5856" t="str">
            <v>Design</v>
          </cell>
          <cell r="L5856" t="str">
            <v>HQ Salaries</v>
          </cell>
          <cell r="N5856" t="str">
            <v>SG&amp;A</v>
          </cell>
          <cell r="O5856" t="str">
            <v>[No Vendor]</v>
          </cell>
        </row>
        <row r="5857">
          <cell r="D5857">
            <v>-140.27000000000001</v>
          </cell>
          <cell r="H5857">
            <v>45627</v>
          </cell>
          <cell r="I5857" t="str">
            <v>6040 - Employer Paid Benefits</v>
          </cell>
          <cell r="J5857">
            <v>0</v>
          </cell>
          <cell r="K5857" t="str">
            <v>Administration</v>
          </cell>
          <cell r="L5857" t="str">
            <v>HQ Salaries</v>
          </cell>
          <cell r="N5857" t="str">
            <v>SG&amp;A</v>
          </cell>
          <cell r="O5857" t="str">
            <v>[No Vendor]</v>
          </cell>
        </row>
        <row r="5858">
          <cell r="D5858">
            <v>22840.5</v>
          </cell>
          <cell r="H5858">
            <v>45627</v>
          </cell>
          <cell r="I5858" t="str">
            <v>6040 - Employer Paid Benefits</v>
          </cell>
          <cell r="J5858">
            <v>0</v>
          </cell>
          <cell r="K5858" t="str">
            <v>Administration</v>
          </cell>
          <cell r="L5858" t="str">
            <v>HQ Salaries</v>
          </cell>
          <cell r="N5858" t="str">
            <v>SG&amp;A</v>
          </cell>
          <cell r="O5858" t="str">
            <v>[No Vendor]</v>
          </cell>
        </row>
        <row r="5859">
          <cell r="D5859">
            <v>3605</v>
          </cell>
          <cell r="H5859">
            <v>45627</v>
          </cell>
          <cell r="I5859" t="str">
            <v>6005 - Salaries</v>
          </cell>
          <cell r="J5859">
            <v>0</v>
          </cell>
          <cell r="K5859" t="str">
            <v>Merchandising</v>
          </cell>
          <cell r="L5859" t="str">
            <v>HQ Salaries</v>
          </cell>
          <cell r="N5859" t="str">
            <v>SG&amp;A</v>
          </cell>
          <cell r="O5859" t="str">
            <v>[No Vendor]</v>
          </cell>
        </row>
        <row r="5860">
          <cell r="D5860">
            <v>8346.16</v>
          </cell>
          <cell r="H5860">
            <v>45627</v>
          </cell>
          <cell r="I5860" t="str">
            <v>6005 - Salaries</v>
          </cell>
          <cell r="J5860" t="str">
            <v>Wholesale</v>
          </cell>
          <cell r="K5860" t="str">
            <v>Wholesale</v>
          </cell>
          <cell r="L5860" t="str">
            <v>HQ Salaries</v>
          </cell>
          <cell r="N5860" t="str">
            <v>SG&amp;A</v>
          </cell>
          <cell r="O5860" t="str">
            <v>[No Vendor]</v>
          </cell>
        </row>
        <row r="5861">
          <cell r="D5861">
            <v>13991.94</v>
          </cell>
          <cell r="H5861">
            <v>45627</v>
          </cell>
          <cell r="I5861" t="str">
            <v>6005 - Salaries</v>
          </cell>
          <cell r="J5861">
            <v>0</v>
          </cell>
          <cell r="K5861" t="str">
            <v>Production</v>
          </cell>
          <cell r="L5861" t="str">
            <v>HQ Salaries</v>
          </cell>
          <cell r="N5861" t="str">
            <v>SG&amp;A</v>
          </cell>
          <cell r="O5861" t="str">
            <v>[No Vendor]</v>
          </cell>
        </row>
        <row r="5862">
          <cell r="D5862">
            <v>2288.4699999999998</v>
          </cell>
          <cell r="H5862">
            <v>45627</v>
          </cell>
          <cell r="I5862" t="str">
            <v>6005 - Salaries</v>
          </cell>
          <cell r="J5862">
            <v>0</v>
          </cell>
          <cell r="K5862" t="str">
            <v>Brand Marketing</v>
          </cell>
          <cell r="L5862" t="str">
            <v>HQ Salaries</v>
          </cell>
          <cell r="N5862" t="str">
            <v>SG&amp;A</v>
          </cell>
          <cell r="O5862" t="str">
            <v>[No Vendor]</v>
          </cell>
        </row>
        <row r="5863">
          <cell r="D5863">
            <v>7807.7</v>
          </cell>
          <cell r="H5863">
            <v>45627</v>
          </cell>
          <cell r="I5863" t="str">
            <v>6005 - Salaries</v>
          </cell>
          <cell r="J5863">
            <v>0</v>
          </cell>
          <cell r="K5863" t="str">
            <v>Executive</v>
          </cell>
          <cell r="L5863" t="str">
            <v>HQ Salaries</v>
          </cell>
          <cell r="N5863" t="str">
            <v>SG&amp;A</v>
          </cell>
          <cell r="O5863" t="str">
            <v>[No Vendor]</v>
          </cell>
        </row>
        <row r="5864">
          <cell r="D5864">
            <v>14546.56</v>
          </cell>
          <cell r="H5864">
            <v>45627</v>
          </cell>
          <cell r="I5864" t="str">
            <v>6005 - Salaries</v>
          </cell>
          <cell r="J5864" t="str">
            <v>Ecommerce (US)</v>
          </cell>
          <cell r="K5864" t="str">
            <v>Ecommerce</v>
          </cell>
          <cell r="L5864" t="str">
            <v>HQ Salaries</v>
          </cell>
          <cell r="N5864" t="str">
            <v>SG&amp;A</v>
          </cell>
          <cell r="O5864" t="str">
            <v>[No Vendor]</v>
          </cell>
        </row>
        <row r="5865">
          <cell r="D5865">
            <v>14971.93</v>
          </cell>
          <cell r="H5865">
            <v>45627</v>
          </cell>
          <cell r="I5865" t="str">
            <v>6005 - Salaries</v>
          </cell>
          <cell r="J5865">
            <v>0</v>
          </cell>
          <cell r="K5865" t="str">
            <v>Design</v>
          </cell>
          <cell r="L5865" t="str">
            <v>HQ Salaries</v>
          </cell>
          <cell r="N5865" t="str">
            <v>SG&amp;A</v>
          </cell>
          <cell r="O5865" t="str">
            <v>[No Vendor]</v>
          </cell>
        </row>
        <row r="5866">
          <cell r="D5866">
            <v>18910.79</v>
          </cell>
          <cell r="H5866">
            <v>45627</v>
          </cell>
          <cell r="I5866" t="str">
            <v>6005 - Salaries</v>
          </cell>
          <cell r="J5866">
            <v>0</v>
          </cell>
          <cell r="K5866" t="str">
            <v>Administration</v>
          </cell>
          <cell r="L5866" t="str">
            <v>HQ Salaries</v>
          </cell>
          <cell r="N5866" t="str">
            <v>SG&amp;A</v>
          </cell>
          <cell r="O5866" t="str">
            <v>[No Vendor]</v>
          </cell>
        </row>
        <row r="5867">
          <cell r="D5867">
            <v>-22840.5</v>
          </cell>
          <cell r="H5867">
            <v>45627</v>
          </cell>
          <cell r="I5867" t="str">
            <v>6005 - Salaries</v>
          </cell>
          <cell r="J5867">
            <v>0</v>
          </cell>
          <cell r="K5867" t="str">
            <v>Administration</v>
          </cell>
          <cell r="L5867" t="str">
            <v>HQ Salaries</v>
          </cell>
          <cell r="N5867" t="str">
            <v>SG&amp;A</v>
          </cell>
          <cell r="O5867" t="str">
            <v>[No Vendor]</v>
          </cell>
        </row>
        <row r="5868">
          <cell r="D5868">
            <v>0</v>
          </cell>
          <cell r="H5868">
            <v>45627</v>
          </cell>
          <cell r="I5868" t="str">
            <v>4020 - Revenue - Marketing Contribution</v>
          </cell>
          <cell r="J5868">
            <v>0</v>
          </cell>
          <cell r="K5868" t="str">
            <v>Licensing</v>
          </cell>
          <cell r="L5868" t="str">
            <v>License</v>
          </cell>
          <cell r="N5868" t="str">
            <v>Revenue</v>
          </cell>
          <cell r="O5868" t="str">
            <v>[No Vendor]</v>
          </cell>
        </row>
        <row r="5869">
          <cell r="D5869">
            <v>0</v>
          </cell>
          <cell r="H5869">
            <v>45627</v>
          </cell>
          <cell r="I5869" t="str">
            <v>4010 - Revenue - Licensing Fees (Royalties)</v>
          </cell>
          <cell r="J5869">
            <v>0</v>
          </cell>
          <cell r="K5869" t="str">
            <v>Licensing</v>
          </cell>
          <cell r="L5869" t="str">
            <v>License</v>
          </cell>
          <cell r="N5869" t="str">
            <v>Revenue</v>
          </cell>
          <cell r="O5869" t="str">
            <v>[No Vendor]</v>
          </cell>
        </row>
        <row r="5870">
          <cell r="D5870">
            <v>0</v>
          </cell>
          <cell r="H5870">
            <v>45627</v>
          </cell>
          <cell r="I5870" t="str">
            <v>4010 - Revenue - Licensing Fees (Royalties)</v>
          </cell>
          <cell r="J5870">
            <v>0</v>
          </cell>
          <cell r="K5870" t="str">
            <v>Licensing</v>
          </cell>
          <cell r="L5870" t="str">
            <v>License</v>
          </cell>
          <cell r="N5870" t="str">
            <v>Revenue</v>
          </cell>
          <cell r="O5870" t="str">
            <v>[No Vendor]</v>
          </cell>
        </row>
        <row r="5871">
          <cell r="D5871">
            <v>-15533.28</v>
          </cell>
          <cell r="H5871">
            <v>45627</v>
          </cell>
          <cell r="I5871" t="str">
            <v>4010 - Revenue - Licensing Fees (Royalties)</v>
          </cell>
          <cell r="J5871">
            <v>0</v>
          </cell>
          <cell r="K5871" t="str">
            <v>Licensing</v>
          </cell>
          <cell r="L5871" t="str">
            <v>License</v>
          </cell>
          <cell r="N5871" t="str">
            <v>Revenue</v>
          </cell>
          <cell r="O5871" t="str">
            <v>[No Vendor]</v>
          </cell>
        </row>
        <row r="5872">
          <cell r="D5872">
            <v>0</v>
          </cell>
          <cell r="H5872">
            <v>45627</v>
          </cell>
          <cell r="I5872" t="str">
            <v>4010 - Revenue - Licensing Fees (Royalties)</v>
          </cell>
          <cell r="J5872">
            <v>0</v>
          </cell>
          <cell r="K5872" t="str">
            <v>Licensing</v>
          </cell>
          <cell r="L5872" t="str">
            <v>License</v>
          </cell>
          <cell r="N5872" t="str">
            <v>Revenue</v>
          </cell>
          <cell r="O5872" t="str">
            <v>[No Vendor]</v>
          </cell>
        </row>
        <row r="5873">
          <cell r="D5873">
            <v>-41607</v>
          </cell>
          <cell r="H5873">
            <v>45627</v>
          </cell>
          <cell r="I5873" t="str">
            <v>4010 - Revenue - Licensing Fees (Royalties)</v>
          </cell>
          <cell r="J5873">
            <v>0</v>
          </cell>
          <cell r="K5873" t="str">
            <v>Licensing</v>
          </cell>
          <cell r="L5873" t="str">
            <v>License</v>
          </cell>
          <cell r="N5873" t="str">
            <v>Revenue</v>
          </cell>
          <cell r="O5873" t="str">
            <v>[No Vendor]</v>
          </cell>
        </row>
        <row r="5874">
          <cell r="D5874">
            <v>-4166.67</v>
          </cell>
          <cell r="H5874">
            <v>45627</v>
          </cell>
          <cell r="I5874" t="str">
            <v>4010 - Revenue - Licensing Fees (Royalties)</v>
          </cell>
          <cell r="J5874">
            <v>0</v>
          </cell>
          <cell r="K5874" t="str">
            <v>Licensing</v>
          </cell>
          <cell r="L5874" t="str">
            <v>License</v>
          </cell>
          <cell r="N5874" t="str">
            <v>Revenue</v>
          </cell>
          <cell r="O5874" t="str">
            <v>[No Vendor]</v>
          </cell>
        </row>
        <row r="5875">
          <cell r="D5875">
            <v>-32342.32</v>
          </cell>
          <cell r="H5875">
            <v>45627</v>
          </cell>
          <cell r="I5875" t="str">
            <v>4010 - Revenue - Licensing Fees (Royalties)</v>
          </cell>
          <cell r="J5875">
            <v>0</v>
          </cell>
          <cell r="K5875" t="str">
            <v>Licensing</v>
          </cell>
          <cell r="L5875" t="str">
            <v>License</v>
          </cell>
          <cell r="N5875" t="str">
            <v>Revenue</v>
          </cell>
          <cell r="O5875" t="str">
            <v>[No Vendor]</v>
          </cell>
        </row>
        <row r="5876">
          <cell r="D5876">
            <v>0</v>
          </cell>
          <cell r="H5876">
            <v>45627</v>
          </cell>
          <cell r="I5876" t="str">
            <v>4010 - Revenue - Licensing Fees (Royalties)</v>
          </cell>
          <cell r="J5876">
            <v>0</v>
          </cell>
          <cell r="K5876" t="str">
            <v>Licensing</v>
          </cell>
          <cell r="L5876" t="str">
            <v>License</v>
          </cell>
          <cell r="N5876" t="str">
            <v>Revenue</v>
          </cell>
          <cell r="O5876" t="str">
            <v>[No Vendor]</v>
          </cell>
        </row>
        <row r="5877">
          <cell r="D5877">
            <v>150.44999999999999</v>
          </cell>
          <cell r="H5877">
            <v>45658</v>
          </cell>
          <cell r="I5877" t="str">
            <v>6040 - Employer Paid Benefits</v>
          </cell>
          <cell r="J5877">
            <v>0</v>
          </cell>
          <cell r="K5877" t="str">
            <v>Administration</v>
          </cell>
          <cell r="L5877" t="str">
            <v>HQ Salaries</v>
          </cell>
          <cell r="N5877" t="str">
            <v>SG&amp;A</v>
          </cell>
          <cell r="O5877" t="str">
            <v>Allied Administrators</v>
          </cell>
        </row>
        <row r="5878">
          <cell r="D5878">
            <v>1440</v>
          </cell>
          <cell r="H5878">
            <v>45658</v>
          </cell>
          <cell r="I5878" t="str">
            <v>6288 - Model</v>
          </cell>
          <cell r="J5878" t="str">
            <v>Ecommerce (US)</v>
          </cell>
          <cell r="K5878" t="str">
            <v>Brand Marketing</v>
          </cell>
          <cell r="L5878" t="str">
            <v>Advertising</v>
          </cell>
          <cell r="N5878" t="str">
            <v>SG&amp;A</v>
          </cell>
          <cell r="O5878" t="str">
            <v>Que Management, Inc</v>
          </cell>
        </row>
        <row r="5879">
          <cell r="D5879">
            <v>761.5</v>
          </cell>
          <cell r="H5879">
            <v>45658</v>
          </cell>
          <cell r="I5879" t="str">
            <v>6380 - Legal &amp; Accounting</v>
          </cell>
          <cell r="J5879">
            <v>0</v>
          </cell>
          <cell r="K5879" t="str">
            <v>Administration</v>
          </cell>
          <cell r="L5879" t="str">
            <v>Professional Service</v>
          </cell>
          <cell r="N5879" t="str">
            <v>SG&amp;A</v>
          </cell>
          <cell r="O5879" t="str">
            <v>Greenwald Doherty LLP</v>
          </cell>
        </row>
        <row r="5880">
          <cell r="D5880">
            <v>65.33</v>
          </cell>
          <cell r="H5880">
            <v>45658</v>
          </cell>
          <cell r="I5880" t="str">
            <v>6400 - Utilities</v>
          </cell>
          <cell r="J5880">
            <v>0</v>
          </cell>
          <cell r="K5880" t="str">
            <v>Administration</v>
          </cell>
          <cell r="L5880" t="str">
            <v>Other</v>
          </cell>
          <cell r="N5880" t="str">
            <v>SG&amp;A</v>
          </cell>
          <cell r="O5880" t="str">
            <v>NYC Intercom Inc</v>
          </cell>
        </row>
        <row r="5881">
          <cell r="D5881">
            <v>456.67</v>
          </cell>
          <cell r="H5881">
            <v>45658</v>
          </cell>
          <cell r="I5881" t="str">
            <v>6400 - Utilities</v>
          </cell>
          <cell r="J5881">
            <v>0</v>
          </cell>
          <cell r="K5881" t="str">
            <v>Administration</v>
          </cell>
          <cell r="L5881" t="str">
            <v>Other</v>
          </cell>
          <cell r="N5881" t="str">
            <v>SG&amp;A</v>
          </cell>
          <cell r="O5881" t="str">
            <v>Antelope LLC</v>
          </cell>
        </row>
        <row r="5882">
          <cell r="D5882">
            <v>269.87</v>
          </cell>
          <cell r="H5882">
            <v>45658</v>
          </cell>
          <cell r="I5882" t="str">
            <v>6400 - Utilities</v>
          </cell>
          <cell r="J5882">
            <v>0</v>
          </cell>
          <cell r="K5882" t="str">
            <v>Administration</v>
          </cell>
          <cell r="L5882" t="str">
            <v>Other</v>
          </cell>
          <cell r="N5882" t="str">
            <v>SG&amp;A</v>
          </cell>
          <cell r="O5882" t="str">
            <v>Verizon</v>
          </cell>
        </row>
        <row r="5883">
          <cell r="D5883">
            <v>7500</v>
          </cell>
          <cell r="H5883">
            <v>45658</v>
          </cell>
          <cell r="I5883" t="str">
            <v>6225 - Professional Services</v>
          </cell>
          <cell r="J5883">
            <v>0</v>
          </cell>
          <cell r="K5883" t="str">
            <v>Brand Marketing</v>
          </cell>
          <cell r="L5883" t="str">
            <v>Professional Service</v>
          </cell>
          <cell r="N5883" t="str">
            <v>Direct Costs</v>
          </cell>
          <cell r="O5883" t="str">
            <v>PapePR</v>
          </cell>
        </row>
        <row r="5884">
          <cell r="D5884">
            <v>3292</v>
          </cell>
          <cell r="H5884">
            <v>45658</v>
          </cell>
          <cell r="I5884" t="str">
            <v>6225 - Professional Services</v>
          </cell>
          <cell r="J5884">
            <v>0</v>
          </cell>
          <cell r="K5884" t="str">
            <v>Administration</v>
          </cell>
          <cell r="L5884" t="str">
            <v>Professional Service</v>
          </cell>
          <cell r="N5884" t="str">
            <v>Direct Costs</v>
          </cell>
          <cell r="O5884" t="str">
            <v>Enom Solutions, Inc-DBA 3nom</v>
          </cell>
        </row>
        <row r="5885">
          <cell r="D5885">
            <v>30113.77</v>
          </cell>
          <cell r="H5885">
            <v>45658</v>
          </cell>
          <cell r="I5885" t="str">
            <v>6320 - Building Rent</v>
          </cell>
          <cell r="J5885">
            <v>0</v>
          </cell>
          <cell r="K5885" t="str">
            <v>Administration</v>
          </cell>
          <cell r="L5885" t="str">
            <v>Rent</v>
          </cell>
          <cell r="N5885" t="str">
            <v>SG&amp;A</v>
          </cell>
          <cell r="O5885" t="str">
            <v>Antelope LLC</v>
          </cell>
        </row>
        <row r="5886">
          <cell r="D5886">
            <v>116.05</v>
          </cell>
          <cell r="H5886">
            <v>45658</v>
          </cell>
          <cell r="I5886" t="str">
            <v>6040 - Employer Paid Benefits</v>
          </cell>
          <cell r="J5886">
            <v>0</v>
          </cell>
          <cell r="K5886" t="str">
            <v>Production</v>
          </cell>
          <cell r="L5886" t="str">
            <v>HQ Salaries</v>
          </cell>
          <cell r="N5886" t="str">
            <v>SG&amp;A</v>
          </cell>
          <cell r="O5886" t="str">
            <v>Procyon Benefits LLC</v>
          </cell>
        </row>
        <row r="5887">
          <cell r="D5887">
            <v>180.2</v>
          </cell>
          <cell r="H5887">
            <v>45658</v>
          </cell>
          <cell r="I5887" t="str">
            <v>6040 - Employer Paid Benefits</v>
          </cell>
          <cell r="J5887">
            <v>0</v>
          </cell>
          <cell r="K5887" t="str">
            <v>Executive</v>
          </cell>
          <cell r="L5887" t="str">
            <v>HQ Salaries</v>
          </cell>
          <cell r="N5887" t="str">
            <v>SG&amp;A</v>
          </cell>
          <cell r="O5887" t="str">
            <v>Procyon Benefits LLC</v>
          </cell>
        </row>
        <row r="5888">
          <cell r="D5888">
            <v>65.430000000000007</v>
          </cell>
          <cell r="H5888">
            <v>45658</v>
          </cell>
          <cell r="I5888" t="str">
            <v>6040 - Employer Paid Benefits</v>
          </cell>
          <cell r="J5888">
            <v>0</v>
          </cell>
          <cell r="K5888" t="str">
            <v>Administration</v>
          </cell>
          <cell r="L5888" t="str">
            <v>HQ Salaries</v>
          </cell>
          <cell r="N5888" t="str">
            <v>SG&amp;A</v>
          </cell>
          <cell r="O5888" t="str">
            <v>Procyon Benefits LLC</v>
          </cell>
        </row>
        <row r="5889">
          <cell r="D5889">
            <v>3267.79</v>
          </cell>
          <cell r="H5889">
            <v>45658</v>
          </cell>
          <cell r="I5889" t="str">
            <v>6040 - Employer Paid Benefits</v>
          </cell>
          <cell r="J5889" t="str">
            <v>Wholesale</v>
          </cell>
          <cell r="K5889" t="str">
            <v>Wholesale</v>
          </cell>
          <cell r="L5889" t="str">
            <v>HQ Salaries</v>
          </cell>
          <cell r="N5889" t="str">
            <v>SG&amp;A</v>
          </cell>
          <cell r="O5889" t="str">
            <v>Excellus Health Plan - Group</v>
          </cell>
        </row>
        <row r="5890">
          <cell r="D5890">
            <v>3839.66</v>
          </cell>
          <cell r="H5890">
            <v>45658</v>
          </cell>
          <cell r="I5890" t="str">
            <v>6040 - Employer Paid Benefits</v>
          </cell>
          <cell r="J5890">
            <v>0</v>
          </cell>
          <cell r="K5890" t="str">
            <v>Production</v>
          </cell>
          <cell r="L5890" t="str">
            <v>HQ Salaries</v>
          </cell>
          <cell r="N5890" t="str">
            <v>SG&amp;A</v>
          </cell>
          <cell r="O5890" t="str">
            <v>Excellus Health Plan - Group</v>
          </cell>
        </row>
        <row r="5891">
          <cell r="D5891">
            <v>816.95</v>
          </cell>
          <cell r="H5891">
            <v>45658</v>
          </cell>
          <cell r="I5891" t="str">
            <v>6040 - Employer Paid Benefits</v>
          </cell>
          <cell r="J5891">
            <v>0</v>
          </cell>
          <cell r="K5891" t="str">
            <v>Merchandising</v>
          </cell>
          <cell r="L5891" t="str">
            <v>HQ Salaries</v>
          </cell>
          <cell r="N5891" t="str">
            <v>SG&amp;A</v>
          </cell>
          <cell r="O5891" t="str">
            <v>Excellus Health Plan - Group</v>
          </cell>
        </row>
        <row r="5892">
          <cell r="D5892">
            <v>816.95</v>
          </cell>
          <cell r="H5892">
            <v>45658</v>
          </cell>
          <cell r="I5892" t="str">
            <v>6040 - Employer Paid Benefits</v>
          </cell>
          <cell r="J5892">
            <v>0</v>
          </cell>
          <cell r="K5892" t="str">
            <v>Brand Marketing</v>
          </cell>
          <cell r="L5892" t="str">
            <v>HQ Salaries</v>
          </cell>
          <cell r="N5892" t="str">
            <v>SG&amp;A</v>
          </cell>
          <cell r="O5892" t="str">
            <v>Excellus Health Plan - Group</v>
          </cell>
        </row>
        <row r="5893">
          <cell r="D5893">
            <v>4656.6000000000004</v>
          </cell>
          <cell r="H5893">
            <v>45658</v>
          </cell>
          <cell r="I5893" t="str">
            <v>6040 - Employer Paid Benefits</v>
          </cell>
          <cell r="J5893">
            <v>0</v>
          </cell>
          <cell r="K5893" t="str">
            <v>Executive</v>
          </cell>
          <cell r="L5893" t="str">
            <v>HQ Salaries</v>
          </cell>
          <cell r="N5893" t="str">
            <v>SG&amp;A</v>
          </cell>
          <cell r="O5893" t="str">
            <v>Excellus Health Plan - Group</v>
          </cell>
        </row>
        <row r="5894">
          <cell r="D5894">
            <v>3145.25</v>
          </cell>
          <cell r="H5894">
            <v>45658</v>
          </cell>
          <cell r="I5894" t="str">
            <v>6040 - Employer Paid Benefits</v>
          </cell>
          <cell r="J5894" t="str">
            <v>Ecommerce (US)</v>
          </cell>
          <cell r="K5894" t="str">
            <v>Ecommerce</v>
          </cell>
          <cell r="L5894" t="str">
            <v>HQ Salaries</v>
          </cell>
          <cell r="N5894" t="str">
            <v>SG&amp;A</v>
          </cell>
          <cell r="O5894" t="str">
            <v>Excellus Health Plan - Group</v>
          </cell>
        </row>
        <row r="5895">
          <cell r="D5895">
            <v>-1579.42</v>
          </cell>
          <cell r="H5895">
            <v>45658</v>
          </cell>
          <cell r="I5895" t="str">
            <v>6040 - Employer Paid Benefits</v>
          </cell>
          <cell r="J5895">
            <v>0</v>
          </cell>
          <cell r="K5895" t="str">
            <v>Design</v>
          </cell>
          <cell r="L5895" t="str">
            <v>HQ Salaries</v>
          </cell>
          <cell r="N5895" t="str">
            <v>SG&amp;A</v>
          </cell>
          <cell r="O5895" t="str">
            <v>Excellus Health Plan - Group</v>
          </cell>
        </row>
        <row r="5896">
          <cell r="D5896">
            <v>5351.01</v>
          </cell>
          <cell r="H5896">
            <v>45658</v>
          </cell>
          <cell r="I5896" t="str">
            <v>6040 - Employer Paid Benefits</v>
          </cell>
          <cell r="J5896">
            <v>0</v>
          </cell>
          <cell r="K5896" t="str">
            <v>Administration</v>
          </cell>
          <cell r="L5896" t="str">
            <v>HQ Salaries</v>
          </cell>
          <cell r="N5896" t="str">
            <v>SG&amp;A</v>
          </cell>
          <cell r="O5896" t="str">
            <v>Excellus Health Plan - Group</v>
          </cell>
        </row>
        <row r="5897">
          <cell r="D5897">
            <v>222.46</v>
          </cell>
          <cell r="H5897">
            <v>45658</v>
          </cell>
          <cell r="I5897" t="str">
            <v>6040 - Employer Paid Benefits</v>
          </cell>
          <cell r="J5897" t="str">
            <v>Wholesale</v>
          </cell>
          <cell r="K5897" t="str">
            <v>Wholesale</v>
          </cell>
          <cell r="L5897" t="str">
            <v>HQ Salaries</v>
          </cell>
          <cell r="N5897" t="str">
            <v>SG&amp;A</v>
          </cell>
          <cell r="O5897" t="str">
            <v>United of Omaha Life Insurance Company</v>
          </cell>
        </row>
        <row r="5898">
          <cell r="D5898">
            <v>309.77</v>
          </cell>
          <cell r="H5898">
            <v>45658</v>
          </cell>
          <cell r="I5898" t="str">
            <v>6040 - Employer Paid Benefits</v>
          </cell>
          <cell r="J5898">
            <v>0</v>
          </cell>
          <cell r="K5898" t="str">
            <v>Production</v>
          </cell>
          <cell r="L5898" t="str">
            <v>HQ Salaries</v>
          </cell>
          <cell r="N5898" t="str">
            <v>SG&amp;A</v>
          </cell>
          <cell r="O5898" t="str">
            <v>United of Omaha Life Insurance Company</v>
          </cell>
        </row>
        <row r="5899">
          <cell r="D5899">
            <v>86.43</v>
          </cell>
          <cell r="H5899">
            <v>45658</v>
          </cell>
          <cell r="I5899" t="str">
            <v>6040 - Employer Paid Benefits</v>
          </cell>
          <cell r="J5899">
            <v>0</v>
          </cell>
          <cell r="K5899" t="str">
            <v>Merchandising</v>
          </cell>
          <cell r="L5899" t="str">
            <v>HQ Salaries</v>
          </cell>
          <cell r="N5899" t="str">
            <v>SG&amp;A</v>
          </cell>
          <cell r="O5899" t="str">
            <v>United of Omaha Life Insurance Company</v>
          </cell>
        </row>
        <row r="5900">
          <cell r="D5900">
            <v>47.05</v>
          </cell>
          <cell r="H5900">
            <v>45658</v>
          </cell>
          <cell r="I5900" t="str">
            <v>6040 - Employer Paid Benefits</v>
          </cell>
          <cell r="J5900">
            <v>0</v>
          </cell>
          <cell r="K5900" t="str">
            <v>Brand Marketing</v>
          </cell>
          <cell r="L5900" t="str">
            <v>HQ Salaries</v>
          </cell>
          <cell r="N5900" t="str">
            <v>SG&amp;A</v>
          </cell>
          <cell r="O5900" t="str">
            <v>United of Omaha Life Insurance Company</v>
          </cell>
        </row>
        <row r="5901">
          <cell r="D5901">
            <v>243.56</v>
          </cell>
          <cell r="H5901">
            <v>45658</v>
          </cell>
          <cell r="I5901" t="str">
            <v>6040 - Employer Paid Benefits</v>
          </cell>
          <cell r="J5901">
            <v>0</v>
          </cell>
          <cell r="K5901" t="str">
            <v>Executive</v>
          </cell>
          <cell r="L5901" t="str">
            <v>HQ Salaries</v>
          </cell>
          <cell r="N5901" t="str">
            <v>SG&amp;A</v>
          </cell>
          <cell r="O5901" t="str">
            <v>United of Omaha Life Insurance Company</v>
          </cell>
        </row>
        <row r="5902">
          <cell r="D5902">
            <v>173.02</v>
          </cell>
          <cell r="H5902">
            <v>45658</v>
          </cell>
          <cell r="I5902" t="str">
            <v>6040 - Employer Paid Benefits</v>
          </cell>
          <cell r="J5902" t="str">
            <v>Ecommerce (US)</v>
          </cell>
          <cell r="K5902" t="str">
            <v>Ecommerce</v>
          </cell>
          <cell r="L5902" t="str">
            <v>HQ Salaries</v>
          </cell>
          <cell r="N5902" t="str">
            <v>SG&amp;A</v>
          </cell>
          <cell r="O5902" t="str">
            <v>United of Omaha Life Insurance Company</v>
          </cell>
        </row>
        <row r="5903">
          <cell r="D5903">
            <v>119.53</v>
          </cell>
          <cell r="H5903">
            <v>45658</v>
          </cell>
          <cell r="I5903" t="str">
            <v>6040 - Employer Paid Benefits</v>
          </cell>
          <cell r="J5903">
            <v>0</v>
          </cell>
          <cell r="K5903" t="str">
            <v>Design</v>
          </cell>
          <cell r="L5903" t="str">
            <v>HQ Salaries</v>
          </cell>
          <cell r="N5903" t="str">
            <v>SG&amp;A</v>
          </cell>
          <cell r="O5903" t="str">
            <v>United of Omaha Life Insurance Company</v>
          </cell>
        </row>
        <row r="5904">
          <cell r="D5904">
            <v>466.42</v>
          </cell>
          <cell r="H5904">
            <v>45658</v>
          </cell>
          <cell r="I5904" t="str">
            <v>6040 - Employer Paid Benefits</v>
          </cell>
          <cell r="J5904">
            <v>0</v>
          </cell>
          <cell r="K5904" t="str">
            <v>Administration</v>
          </cell>
          <cell r="L5904" t="str">
            <v>HQ Salaries</v>
          </cell>
          <cell r="N5904" t="str">
            <v>SG&amp;A</v>
          </cell>
          <cell r="O5904" t="str">
            <v>United of Omaha Life Insurance Company</v>
          </cell>
        </row>
        <row r="5905">
          <cell r="D5905">
            <v>76.83</v>
          </cell>
          <cell r="H5905">
            <v>45658</v>
          </cell>
          <cell r="I5905" t="str">
            <v>6040 - Employer Paid Benefits</v>
          </cell>
          <cell r="J5905" t="str">
            <v>Ecommerce (US)</v>
          </cell>
          <cell r="K5905" t="str">
            <v>Ecommerce</v>
          </cell>
          <cell r="L5905" t="str">
            <v>HQ Salaries</v>
          </cell>
          <cell r="N5905" t="str">
            <v>SG&amp;A</v>
          </cell>
          <cell r="O5905" t="str">
            <v>Allied Administrators</v>
          </cell>
        </row>
        <row r="5906">
          <cell r="D5906">
            <v>76.83</v>
          </cell>
          <cell r="H5906">
            <v>45658</v>
          </cell>
          <cell r="I5906" t="str">
            <v>6040 - Employer Paid Benefits</v>
          </cell>
          <cell r="J5906" t="str">
            <v>Wholesale</v>
          </cell>
          <cell r="K5906" t="str">
            <v>Wholesale</v>
          </cell>
          <cell r="L5906" t="str">
            <v>HQ Salaries</v>
          </cell>
          <cell r="N5906" t="str">
            <v>SG&amp;A</v>
          </cell>
          <cell r="O5906" t="str">
            <v>Allied Administrators</v>
          </cell>
        </row>
        <row r="5907">
          <cell r="D5907">
            <v>125.91</v>
          </cell>
          <cell r="H5907">
            <v>45658</v>
          </cell>
          <cell r="I5907" t="str">
            <v>6040 - Employer Paid Benefits</v>
          </cell>
          <cell r="J5907">
            <v>0</v>
          </cell>
          <cell r="K5907" t="str">
            <v>Production</v>
          </cell>
          <cell r="L5907" t="str">
            <v>HQ Salaries</v>
          </cell>
          <cell r="N5907" t="str">
            <v>SG&amp;A</v>
          </cell>
          <cell r="O5907" t="str">
            <v>Allied Administrators</v>
          </cell>
        </row>
        <row r="5908">
          <cell r="D5908">
            <v>24.54</v>
          </cell>
          <cell r="H5908">
            <v>45658</v>
          </cell>
          <cell r="I5908" t="str">
            <v>6040 - Employer Paid Benefits</v>
          </cell>
          <cell r="J5908">
            <v>0</v>
          </cell>
          <cell r="K5908" t="str">
            <v>Merchandising</v>
          </cell>
          <cell r="L5908" t="str">
            <v>HQ Salaries</v>
          </cell>
          <cell r="N5908" t="str">
            <v>SG&amp;A</v>
          </cell>
          <cell r="O5908" t="str">
            <v>Allied Administrators</v>
          </cell>
        </row>
        <row r="5909">
          <cell r="D5909">
            <v>218.7</v>
          </cell>
          <cell r="H5909">
            <v>45658</v>
          </cell>
          <cell r="I5909" t="str">
            <v>6040 - Employer Paid Benefits</v>
          </cell>
          <cell r="J5909">
            <v>0</v>
          </cell>
          <cell r="K5909" t="str">
            <v>Executive</v>
          </cell>
          <cell r="L5909" t="str">
            <v>HQ Salaries</v>
          </cell>
          <cell r="N5909" t="str">
            <v>SG&amp;A</v>
          </cell>
          <cell r="O5909" t="str">
            <v>Allied Administrators</v>
          </cell>
        </row>
        <row r="5910">
          <cell r="D5910">
            <v>-55.5</v>
          </cell>
          <cell r="H5910">
            <v>45658</v>
          </cell>
          <cell r="I5910" t="str">
            <v>6040 - Employer Paid Benefits</v>
          </cell>
          <cell r="J5910">
            <v>0</v>
          </cell>
          <cell r="K5910" t="str">
            <v>Design</v>
          </cell>
          <cell r="L5910" t="str">
            <v>HQ Salaries</v>
          </cell>
          <cell r="N5910" t="str">
            <v>SG&amp;A</v>
          </cell>
          <cell r="O5910" t="str">
            <v>Allied Administrators</v>
          </cell>
        </row>
        <row r="5911">
          <cell r="D5911">
            <v>-597</v>
          </cell>
          <cell r="H5911">
            <v>45658</v>
          </cell>
          <cell r="I5911" t="str">
            <v>6040 - Employer Paid Benefits</v>
          </cell>
          <cell r="J5911">
            <v>0</v>
          </cell>
          <cell r="K5911" t="str">
            <v>No Department</v>
          </cell>
          <cell r="L5911" t="str">
            <v>HQ Salaries</v>
          </cell>
          <cell r="N5911" t="str">
            <v>SG&amp;A</v>
          </cell>
          <cell r="O5911" t="str">
            <v>Procyon Benefits LLC</v>
          </cell>
        </row>
        <row r="5912">
          <cell r="D5912">
            <v>20000</v>
          </cell>
          <cell r="H5912">
            <v>45658</v>
          </cell>
          <cell r="I5912" t="str">
            <v>4010 - Revenue - Licensing Fees (Royalties)</v>
          </cell>
          <cell r="J5912">
            <v>0</v>
          </cell>
          <cell r="K5912" t="str">
            <v>Licensing</v>
          </cell>
          <cell r="L5912" t="str">
            <v>License</v>
          </cell>
          <cell r="N5912" t="str">
            <v>Revenue</v>
          </cell>
          <cell r="O5912" t="str">
            <v>[No Vendor]</v>
          </cell>
        </row>
        <row r="5913">
          <cell r="D5913">
            <v>-1594.64</v>
          </cell>
          <cell r="H5913">
            <v>45658</v>
          </cell>
          <cell r="I5913" t="str">
            <v>6379 - Warehouse Storage</v>
          </cell>
          <cell r="J5913" t="str">
            <v>Ecommerce (US)</v>
          </cell>
          <cell r="K5913" t="str">
            <v>Ecommerce</v>
          </cell>
          <cell r="L5913" t="str">
            <v>Order Processing</v>
          </cell>
          <cell r="N5913" t="str">
            <v>Direct Costs</v>
          </cell>
          <cell r="O5913" t="str">
            <v>Bergen Logistics Corporation</v>
          </cell>
        </row>
        <row r="5914">
          <cell r="D5914">
            <v>1594.64</v>
          </cell>
          <cell r="H5914">
            <v>45658</v>
          </cell>
          <cell r="I5914" t="str">
            <v>6379 - Warehouse Storage</v>
          </cell>
          <cell r="J5914" t="str">
            <v>Ecommerce (EU)</v>
          </cell>
          <cell r="K5914" t="str">
            <v>Ecommerce</v>
          </cell>
          <cell r="L5914" t="str">
            <v>Order Processing</v>
          </cell>
          <cell r="N5914" t="str">
            <v>Direct Costs</v>
          </cell>
          <cell r="O5914" t="str">
            <v>Bergen Logistics Corporation</v>
          </cell>
        </row>
        <row r="5915">
          <cell r="D5915">
            <v>-4243.8999999999996</v>
          </cell>
          <cell r="H5915">
            <v>45658</v>
          </cell>
          <cell r="I5915" t="str">
            <v>8700 - Other Expense</v>
          </cell>
          <cell r="J5915">
            <v>0</v>
          </cell>
          <cell r="K5915" t="str">
            <v>Administration</v>
          </cell>
          <cell r="L5915" t="str">
            <v>Other Expense</v>
          </cell>
          <cell r="N5915" t="str">
            <v>BTL</v>
          </cell>
          <cell r="O5915" t="str">
            <v>[No Vendor]</v>
          </cell>
        </row>
        <row r="5916">
          <cell r="D5916">
            <v>-537.13</v>
          </cell>
          <cell r="H5916">
            <v>45658</v>
          </cell>
          <cell r="I5916" t="str">
            <v>8700 - Other Expense</v>
          </cell>
          <cell r="J5916">
            <v>0</v>
          </cell>
          <cell r="K5916" t="str">
            <v>Administration</v>
          </cell>
          <cell r="L5916" t="str">
            <v>Other Expense</v>
          </cell>
          <cell r="N5916" t="str">
            <v>BTL</v>
          </cell>
          <cell r="O5916" t="str">
            <v>[No Vendor]</v>
          </cell>
        </row>
        <row r="5917">
          <cell r="D5917">
            <v>-49448.72</v>
          </cell>
          <cell r="H5917">
            <v>45658</v>
          </cell>
          <cell r="I5917" t="str">
            <v>5001 - Cost of Goods Sold - Other</v>
          </cell>
          <cell r="J5917" t="str">
            <v>Ecommerce (US)</v>
          </cell>
          <cell r="K5917" t="str">
            <v>Ecommerce</v>
          </cell>
          <cell r="L5917" t="str">
            <v>Other COGS</v>
          </cell>
          <cell r="N5917" t="str">
            <v>COGS</v>
          </cell>
          <cell r="O5917" t="str">
            <v>[No Vendor]</v>
          </cell>
        </row>
        <row r="5918">
          <cell r="D5918">
            <v>-19952</v>
          </cell>
          <cell r="H5918">
            <v>45658</v>
          </cell>
          <cell r="I5918" t="str">
            <v>4050 - Sales Revenue - Ecommerce (US)</v>
          </cell>
          <cell r="J5918" t="str">
            <v>Ecommerce (US)</v>
          </cell>
          <cell r="K5918" t="str">
            <v>Ecommerce</v>
          </cell>
          <cell r="L5918" t="str">
            <v>Ecommerce (US)</v>
          </cell>
          <cell r="N5918" t="str">
            <v>Revenue</v>
          </cell>
          <cell r="O5918" t="str">
            <v>[No Vendor]</v>
          </cell>
        </row>
        <row r="5919">
          <cell r="D5919">
            <v>-30.65</v>
          </cell>
          <cell r="H5919">
            <v>45658</v>
          </cell>
          <cell r="I5919" t="str">
            <v>4066 - Sales Freight - Ecomm (EU)</v>
          </cell>
          <cell r="J5919" t="str">
            <v>Ecommerce (EU)</v>
          </cell>
          <cell r="K5919" t="str">
            <v>Ecommerce</v>
          </cell>
          <cell r="L5919" t="str">
            <v>Freight - Revenue</v>
          </cell>
          <cell r="N5919" t="str">
            <v>Direct Costs</v>
          </cell>
          <cell r="O5919" t="str">
            <v>[No Vendor]</v>
          </cell>
        </row>
        <row r="5920">
          <cell r="D5920">
            <v>196.74</v>
          </cell>
          <cell r="H5920">
            <v>45658</v>
          </cell>
          <cell r="I5920" t="str">
            <v>4061 - Sales Discount - Ecomm (EU)</v>
          </cell>
          <cell r="J5920" t="str">
            <v>Ecommerce (EU)</v>
          </cell>
          <cell r="K5920" t="str">
            <v>Ecommerce</v>
          </cell>
          <cell r="L5920" t="str">
            <v>Ecommerce (EU)</v>
          </cell>
          <cell r="N5920" t="str">
            <v>Revenue</v>
          </cell>
          <cell r="O5920" t="str">
            <v>[No Vendor]</v>
          </cell>
        </row>
        <row r="5921">
          <cell r="D5921">
            <v>-655.81</v>
          </cell>
          <cell r="H5921">
            <v>45658</v>
          </cell>
          <cell r="I5921" t="str">
            <v>4051 - Sales Revenue - Ecommerce (Intl)</v>
          </cell>
          <cell r="J5921" t="str">
            <v>Ecommerce (EU)</v>
          </cell>
          <cell r="K5921" t="str">
            <v>Ecommerce</v>
          </cell>
          <cell r="L5921" t="str">
            <v>Ecommerce (EU)</v>
          </cell>
          <cell r="N5921" t="str">
            <v>Revenue</v>
          </cell>
          <cell r="O5921" t="str">
            <v>[No Vendor]</v>
          </cell>
        </row>
        <row r="5922">
          <cell r="D5922">
            <v>0</v>
          </cell>
          <cell r="H5922">
            <v>45658</v>
          </cell>
          <cell r="I5922" t="str">
            <v>6035 - Severance Expense</v>
          </cell>
          <cell r="J5922" t="str">
            <v>Wholesale</v>
          </cell>
          <cell r="K5922" t="str">
            <v>Wholesale</v>
          </cell>
          <cell r="L5922" t="str">
            <v>HQ Salaries</v>
          </cell>
          <cell r="N5922" t="str">
            <v>SG&amp;A</v>
          </cell>
          <cell r="O5922" t="str">
            <v>[No Vendor]</v>
          </cell>
        </row>
        <row r="5923">
          <cell r="D5923">
            <v>-659</v>
          </cell>
          <cell r="H5923">
            <v>45658</v>
          </cell>
          <cell r="I5923" t="str">
            <v>4064 - Sales Freight - Ecomm (US)</v>
          </cell>
          <cell r="J5923" t="str">
            <v>Ecommerce (US)</v>
          </cell>
          <cell r="K5923" t="str">
            <v>Ecommerce</v>
          </cell>
          <cell r="L5923" t="str">
            <v>Freight - Revenue</v>
          </cell>
          <cell r="N5923" t="str">
            <v>Direct Costs</v>
          </cell>
          <cell r="O5923" t="str">
            <v>[No Vendor]</v>
          </cell>
        </row>
        <row r="5924">
          <cell r="D5924">
            <v>1034</v>
          </cell>
          <cell r="H5924">
            <v>45658</v>
          </cell>
          <cell r="I5924" t="str">
            <v>4062 - Sales Discount - Ecomm (US)</v>
          </cell>
          <cell r="J5924" t="str">
            <v>Ecommerce (US)</v>
          </cell>
          <cell r="K5924" t="str">
            <v>Ecommerce</v>
          </cell>
          <cell r="L5924" t="str">
            <v>Ecommerce (US)</v>
          </cell>
          <cell r="N5924" t="str">
            <v>Revenue</v>
          </cell>
          <cell r="O5924" t="str">
            <v>[No Vendor]</v>
          </cell>
        </row>
        <row r="5925">
          <cell r="D5925">
            <v>-1000</v>
          </cell>
          <cell r="H5925">
            <v>45658</v>
          </cell>
          <cell r="I5925" t="str">
            <v>6380 - Legal &amp; Accounting</v>
          </cell>
          <cell r="J5925">
            <v>0</v>
          </cell>
          <cell r="K5925" t="str">
            <v>Administration</v>
          </cell>
          <cell r="L5925" t="str">
            <v>Professional Service</v>
          </cell>
          <cell r="N5925" t="str">
            <v>SG&amp;A</v>
          </cell>
          <cell r="O5925" t="str">
            <v>[No Vendor]</v>
          </cell>
        </row>
        <row r="5926">
          <cell r="D5926">
            <v>0</v>
          </cell>
          <cell r="H5926">
            <v>45658</v>
          </cell>
          <cell r="I5926" t="str">
            <v>6205 - Contractors</v>
          </cell>
          <cell r="J5926">
            <v>0</v>
          </cell>
          <cell r="K5926" t="str">
            <v>Brand Marketing</v>
          </cell>
          <cell r="L5926" t="str">
            <v>HQ Salaries</v>
          </cell>
          <cell r="N5926" t="str">
            <v>SG&amp;A</v>
          </cell>
          <cell r="O5926" t="str">
            <v>[No Vendor]</v>
          </cell>
        </row>
        <row r="5927">
          <cell r="D5927">
            <v>0</v>
          </cell>
          <cell r="H5927">
            <v>45658</v>
          </cell>
          <cell r="I5927" t="str">
            <v>6205 - Contractors</v>
          </cell>
          <cell r="J5927" t="str">
            <v>Ecommerce (US)</v>
          </cell>
          <cell r="K5927" t="str">
            <v>Ecommerce</v>
          </cell>
          <cell r="L5927" t="str">
            <v>HQ Salaries</v>
          </cell>
          <cell r="N5927" t="str">
            <v>SG&amp;A</v>
          </cell>
          <cell r="O5927" t="str">
            <v>[No Vendor]</v>
          </cell>
        </row>
        <row r="5928">
          <cell r="D5928">
            <v>-8104.2</v>
          </cell>
          <cell r="H5928">
            <v>45658</v>
          </cell>
          <cell r="I5928" t="str">
            <v>6205 - Contractors</v>
          </cell>
          <cell r="J5928" t="str">
            <v>Ecommerce (US)</v>
          </cell>
          <cell r="K5928" t="str">
            <v>Ecommerce</v>
          </cell>
          <cell r="L5928" t="str">
            <v>HQ Salaries</v>
          </cell>
          <cell r="N5928" t="str">
            <v>SG&amp;A</v>
          </cell>
          <cell r="O5928" t="str">
            <v>[No Vendor]</v>
          </cell>
        </row>
        <row r="5929">
          <cell r="D5929">
            <v>0.84</v>
          </cell>
          <cell r="H5929">
            <v>45658</v>
          </cell>
          <cell r="I5929" t="str">
            <v>6385 - Insurance</v>
          </cell>
          <cell r="J5929">
            <v>0</v>
          </cell>
          <cell r="K5929" t="str">
            <v>Administration</v>
          </cell>
          <cell r="L5929" t="str">
            <v>Professional Service</v>
          </cell>
          <cell r="N5929" t="str">
            <v>SG&amp;A</v>
          </cell>
          <cell r="O5929" t="str">
            <v>[No Vendor]</v>
          </cell>
        </row>
        <row r="5930">
          <cell r="D5930">
            <v>31.98</v>
          </cell>
          <cell r="H5930">
            <v>45658</v>
          </cell>
          <cell r="I5930" t="str">
            <v>6385 - Insurance</v>
          </cell>
          <cell r="J5930">
            <v>0</v>
          </cell>
          <cell r="K5930" t="str">
            <v>Administration</v>
          </cell>
          <cell r="L5930" t="str">
            <v>Professional Service</v>
          </cell>
          <cell r="N5930" t="str">
            <v>SG&amp;A</v>
          </cell>
          <cell r="O5930" t="str">
            <v>[No Vendor]</v>
          </cell>
        </row>
        <row r="5931">
          <cell r="D5931">
            <v>20.59</v>
          </cell>
          <cell r="H5931">
            <v>45658</v>
          </cell>
          <cell r="I5931" t="str">
            <v>6385 - Insurance</v>
          </cell>
          <cell r="J5931">
            <v>0</v>
          </cell>
          <cell r="K5931" t="str">
            <v>Administration</v>
          </cell>
          <cell r="L5931" t="str">
            <v>Professional Service</v>
          </cell>
          <cell r="N5931" t="str">
            <v>SG&amp;A</v>
          </cell>
          <cell r="O5931" t="str">
            <v>[No Vendor]</v>
          </cell>
        </row>
        <row r="5932">
          <cell r="D5932">
            <v>8.5299999999999994</v>
          </cell>
          <cell r="H5932">
            <v>45658</v>
          </cell>
          <cell r="I5932" t="str">
            <v>6385 - Insurance</v>
          </cell>
          <cell r="J5932">
            <v>0</v>
          </cell>
          <cell r="K5932" t="str">
            <v>Administration</v>
          </cell>
          <cell r="L5932" t="str">
            <v>Professional Service</v>
          </cell>
          <cell r="N5932" t="str">
            <v>SG&amp;A</v>
          </cell>
          <cell r="O5932" t="str">
            <v>[No Vendor]</v>
          </cell>
        </row>
        <row r="5933">
          <cell r="D5933">
            <v>0.84</v>
          </cell>
          <cell r="H5933">
            <v>45658</v>
          </cell>
          <cell r="I5933" t="str">
            <v>6385 - Insurance</v>
          </cell>
          <cell r="J5933">
            <v>0</v>
          </cell>
          <cell r="K5933" t="str">
            <v>Administration</v>
          </cell>
          <cell r="L5933" t="str">
            <v>Professional Service</v>
          </cell>
          <cell r="N5933" t="str">
            <v>SG&amp;A</v>
          </cell>
          <cell r="O5933" t="str">
            <v>[No Vendor]</v>
          </cell>
        </row>
        <row r="5934">
          <cell r="D5934">
            <v>15.43</v>
          </cell>
          <cell r="H5934">
            <v>45658</v>
          </cell>
          <cell r="I5934" t="str">
            <v>6385 - Insurance</v>
          </cell>
          <cell r="J5934">
            <v>0</v>
          </cell>
          <cell r="K5934" t="str">
            <v>Administration</v>
          </cell>
          <cell r="L5934" t="str">
            <v>Professional Service</v>
          </cell>
          <cell r="N5934" t="str">
            <v>SG&amp;A</v>
          </cell>
          <cell r="O5934" t="str">
            <v>[No Vendor]</v>
          </cell>
        </row>
        <row r="5935">
          <cell r="D5935">
            <v>27.63</v>
          </cell>
          <cell r="H5935">
            <v>45658</v>
          </cell>
          <cell r="I5935" t="str">
            <v>6385 - Insurance</v>
          </cell>
          <cell r="J5935">
            <v>0</v>
          </cell>
          <cell r="K5935" t="str">
            <v>Administration</v>
          </cell>
          <cell r="L5935" t="str">
            <v>Professional Service</v>
          </cell>
          <cell r="N5935" t="str">
            <v>SG&amp;A</v>
          </cell>
          <cell r="O5935" t="str">
            <v>[No Vendor]</v>
          </cell>
        </row>
        <row r="5936">
          <cell r="D5936">
            <v>28.17</v>
          </cell>
          <cell r="H5936">
            <v>45658</v>
          </cell>
          <cell r="I5936" t="str">
            <v>6385 - Insurance</v>
          </cell>
          <cell r="J5936">
            <v>0</v>
          </cell>
          <cell r="K5936" t="str">
            <v>Administration</v>
          </cell>
          <cell r="L5936" t="str">
            <v>Professional Service</v>
          </cell>
          <cell r="N5936" t="str">
            <v>SG&amp;A</v>
          </cell>
          <cell r="O5936" t="str">
            <v>[No Vendor]</v>
          </cell>
        </row>
        <row r="5937">
          <cell r="D5937">
            <v>-456.67</v>
          </cell>
          <cell r="H5937">
            <v>45658</v>
          </cell>
          <cell r="I5937" t="str">
            <v>6400 - Utilities</v>
          </cell>
          <cell r="J5937">
            <v>0</v>
          </cell>
          <cell r="K5937" t="str">
            <v>Administration</v>
          </cell>
          <cell r="L5937" t="str">
            <v>Other</v>
          </cell>
          <cell r="N5937" t="str">
            <v>SG&amp;A</v>
          </cell>
          <cell r="O5937" t="str">
            <v>[No Vendor]</v>
          </cell>
        </row>
        <row r="5938">
          <cell r="D5938">
            <v>-405.57</v>
          </cell>
          <cell r="H5938">
            <v>45658</v>
          </cell>
          <cell r="I5938" t="str">
            <v>6055 - Employer Social Security Tax Withheld</v>
          </cell>
          <cell r="J5938">
            <v>0</v>
          </cell>
          <cell r="K5938" t="str">
            <v>Merchandising</v>
          </cell>
          <cell r="L5938" t="str">
            <v>HQ Salaries</v>
          </cell>
          <cell r="N5938" t="str">
            <v>SG&amp;A</v>
          </cell>
          <cell r="O5938" t="str">
            <v>[No Vendor]</v>
          </cell>
        </row>
        <row r="5939">
          <cell r="D5939">
            <v>-707.6</v>
          </cell>
          <cell r="H5939">
            <v>45658</v>
          </cell>
          <cell r="I5939" t="str">
            <v>6055 - Employer Social Security Tax Withheld</v>
          </cell>
          <cell r="J5939" t="str">
            <v>Wholesale</v>
          </cell>
          <cell r="K5939" t="str">
            <v>Wholesale</v>
          </cell>
          <cell r="L5939" t="str">
            <v>HQ Salaries</v>
          </cell>
          <cell r="N5939" t="str">
            <v>SG&amp;A</v>
          </cell>
          <cell r="O5939" t="str">
            <v>[No Vendor]</v>
          </cell>
        </row>
        <row r="5940">
          <cell r="D5940">
            <v>-1021.09</v>
          </cell>
          <cell r="H5940">
            <v>45658</v>
          </cell>
          <cell r="I5940" t="str">
            <v>6055 - Employer Social Security Tax Withheld</v>
          </cell>
          <cell r="J5940">
            <v>0</v>
          </cell>
          <cell r="K5940" t="str">
            <v>Production</v>
          </cell>
          <cell r="L5940" t="str">
            <v>HQ Salaries</v>
          </cell>
          <cell r="N5940" t="str">
            <v>SG&amp;A</v>
          </cell>
          <cell r="O5940" t="str">
            <v>[No Vendor]</v>
          </cell>
        </row>
        <row r="5941">
          <cell r="D5941">
            <v>-256.14999999999998</v>
          </cell>
          <cell r="H5941">
            <v>45658</v>
          </cell>
          <cell r="I5941" t="str">
            <v>6055 - Employer Social Security Tax Withheld</v>
          </cell>
          <cell r="J5941">
            <v>0</v>
          </cell>
          <cell r="K5941" t="str">
            <v>Brand Marketing</v>
          </cell>
          <cell r="L5941" t="str">
            <v>HQ Salaries</v>
          </cell>
          <cell r="N5941" t="str">
            <v>SG&amp;A</v>
          </cell>
          <cell r="O5941" t="str">
            <v>[No Vendor]</v>
          </cell>
        </row>
        <row r="5942">
          <cell r="D5942">
            <v>-827.38</v>
          </cell>
          <cell r="H5942">
            <v>45658</v>
          </cell>
          <cell r="I5942" t="str">
            <v>6055 - Employer Social Security Tax Withheld</v>
          </cell>
          <cell r="J5942">
            <v>0</v>
          </cell>
          <cell r="K5942" t="str">
            <v>Executive</v>
          </cell>
          <cell r="L5942" t="str">
            <v>HQ Salaries</v>
          </cell>
          <cell r="N5942" t="str">
            <v>SG&amp;A</v>
          </cell>
          <cell r="O5942" t="str">
            <v>[No Vendor]</v>
          </cell>
        </row>
        <row r="5943">
          <cell r="D5943">
            <v>-1127.05</v>
          </cell>
          <cell r="H5943">
            <v>45658</v>
          </cell>
          <cell r="I5943" t="str">
            <v>6055 - Employer Social Security Tax Withheld</v>
          </cell>
          <cell r="J5943" t="str">
            <v>Ecommerce (US)</v>
          </cell>
          <cell r="K5943" t="str">
            <v>Ecommerce</v>
          </cell>
          <cell r="L5943" t="str">
            <v>HQ Salaries</v>
          </cell>
          <cell r="N5943" t="str">
            <v>SG&amp;A</v>
          </cell>
          <cell r="O5943" t="str">
            <v>[No Vendor]</v>
          </cell>
        </row>
        <row r="5944">
          <cell r="D5944">
            <v>-1359.58</v>
          </cell>
          <cell r="H5944">
            <v>45658</v>
          </cell>
          <cell r="I5944" t="str">
            <v>6055 - Employer Social Security Tax Withheld</v>
          </cell>
          <cell r="J5944">
            <v>0</v>
          </cell>
          <cell r="K5944" t="str">
            <v>Design</v>
          </cell>
          <cell r="L5944" t="str">
            <v>HQ Salaries</v>
          </cell>
          <cell r="N5944" t="str">
            <v>SG&amp;A</v>
          </cell>
          <cell r="O5944" t="str">
            <v>[No Vendor]</v>
          </cell>
        </row>
        <row r="5945">
          <cell r="D5945">
            <v>-1367.22</v>
          </cell>
          <cell r="H5945">
            <v>45658</v>
          </cell>
          <cell r="I5945" t="str">
            <v>6055 - Employer Social Security Tax Withheld</v>
          </cell>
          <cell r="J5945">
            <v>0</v>
          </cell>
          <cell r="K5945" t="str">
            <v>Administration</v>
          </cell>
          <cell r="L5945" t="str">
            <v>HQ Salaries</v>
          </cell>
          <cell r="N5945" t="str">
            <v>SG&amp;A</v>
          </cell>
          <cell r="O5945" t="str">
            <v>[No Vendor]</v>
          </cell>
        </row>
        <row r="5946">
          <cell r="D5946">
            <v>650.71</v>
          </cell>
          <cell r="H5946">
            <v>45658</v>
          </cell>
          <cell r="I5946" t="str">
            <v>5000 - Cost of Goods Sold</v>
          </cell>
          <cell r="J5946" t="str">
            <v>Ecommerce (EU)</v>
          </cell>
          <cell r="K5946" t="str">
            <v>Ecommerce</v>
          </cell>
          <cell r="L5946" t="str">
            <v>COGS</v>
          </cell>
          <cell r="N5946" t="str">
            <v>COGS</v>
          </cell>
          <cell r="O5946" t="str">
            <v>[No Vendor]</v>
          </cell>
        </row>
        <row r="5947">
          <cell r="D5947">
            <v>20984</v>
          </cell>
          <cell r="H5947">
            <v>45658</v>
          </cell>
          <cell r="I5947" t="str">
            <v>5000 - Cost of Goods Sold</v>
          </cell>
          <cell r="J5947" t="str">
            <v>Ecommerce (US)</v>
          </cell>
          <cell r="K5947" t="str">
            <v>Ecommerce</v>
          </cell>
          <cell r="L5947" t="str">
            <v>COGS</v>
          </cell>
          <cell r="N5947" t="str">
            <v>COGS</v>
          </cell>
          <cell r="O5947" t="str">
            <v>[No Vendor]</v>
          </cell>
        </row>
        <row r="5948">
          <cell r="D5948">
            <v>-8000</v>
          </cell>
          <cell r="H5948">
            <v>45658</v>
          </cell>
          <cell r="I5948" t="str">
            <v>6375 - Freight Expenses</v>
          </cell>
          <cell r="J5948" t="str">
            <v>Ecommerce (US)</v>
          </cell>
          <cell r="K5948" t="str">
            <v>Ecommerce</v>
          </cell>
          <cell r="L5948" t="str">
            <v>Freight</v>
          </cell>
          <cell r="N5948" t="str">
            <v>Direct Costs</v>
          </cell>
          <cell r="O5948" t="str">
            <v>UPS Supply Chain Solutions Inc. (7F24A0)</v>
          </cell>
        </row>
        <row r="5949">
          <cell r="D5949">
            <v>45.44</v>
          </cell>
          <cell r="H5949">
            <v>45658</v>
          </cell>
          <cell r="I5949" t="str">
            <v>6040 - Employer Paid Benefits</v>
          </cell>
          <cell r="J5949" t="str">
            <v>Wholesale</v>
          </cell>
          <cell r="K5949" t="str">
            <v>Wholesale</v>
          </cell>
          <cell r="L5949" t="str">
            <v>HQ Salaries</v>
          </cell>
          <cell r="N5949" t="str">
            <v>SG&amp;A</v>
          </cell>
          <cell r="O5949" t="str">
            <v>[No Vendor]</v>
          </cell>
        </row>
        <row r="5950">
          <cell r="D5950">
            <v>199.93</v>
          </cell>
          <cell r="H5950">
            <v>45658</v>
          </cell>
          <cell r="I5950" t="str">
            <v>6040 - Employer Paid Benefits</v>
          </cell>
          <cell r="J5950">
            <v>0</v>
          </cell>
          <cell r="K5950" t="str">
            <v>Production</v>
          </cell>
          <cell r="L5950" t="str">
            <v>HQ Salaries</v>
          </cell>
          <cell r="N5950" t="str">
            <v>SG&amp;A</v>
          </cell>
          <cell r="O5950" t="str">
            <v>[No Vendor]</v>
          </cell>
        </row>
        <row r="5951">
          <cell r="D5951">
            <v>15.81</v>
          </cell>
          <cell r="H5951">
            <v>45658</v>
          </cell>
          <cell r="I5951" t="str">
            <v>6040 - Employer Paid Benefits</v>
          </cell>
          <cell r="J5951">
            <v>0</v>
          </cell>
          <cell r="K5951" t="str">
            <v>Brand Marketing</v>
          </cell>
          <cell r="L5951" t="str">
            <v>HQ Salaries</v>
          </cell>
          <cell r="N5951" t="str">
            <v>SG&amp;A</v>
          </cell>
          <cell r="O5951" t="str">
            <v>[No Vendor]</v>
          </cell>
        </row>
        <row r="5952">
          <cell r="D5952">
            <v>163.99</v>
          </cell>
          <cell r="H5952">
            <v>45658</v>
          </cell>
          <cell r="I5952" t="str">
            <v>6040 - Employer Paid Benefits</v>
          </cell>
          <cell r="J5952">
            <v>0</v>
          </cell>
          <cell r="K5952" t="str">
            <v>Executive</v>
          </cell>
          <cell r="L5952" t="str">
            <v>HQ Salaries</v>
          </cell>
          <cell r="N5952" t="str">
            <v>SG&amp;A</v>
          </cell>
          <cell r="O5952" t="str">
            <v>[No Vendor]</v>
          </cell>
        </row>
        <row r="5953">
          <cell r="D5953">
            <v>85.3</v>
          </cell>
          <cell r="H5953">
            <v>45658</v>
          </cell>
          <cell r="I5953" t="str">
            <v>6040 - Employer Paid Benefits</v>
          </cell>
          <cell r="J5953" t="str">
            <v>Ecommerce (US)</v>
          </cell>
          <cell r="K5953" t="str">
            <v>Ecommerce</v>
          </cell>
          <cell r="L5953" t="str">
            <v>HQ Salaries</v>
          </cell>
          <cell r="N5953" t="str">
            <v>SG&amp;A</v>
          </cell>
          <cell r="O5953" t="str">
            <v>[No Vendor]</v>
          </cell>
        </row>
        <row r="5954">
          <cell r="D5954">
            <v>224.77</v>
          </cell>
          <cell r="H5954">
            <v>45658</v>
          </cell>
          <cell r="I5954" t="str">
            <v>6040 - Employer Paid Benefits</v>
          </cell>
          <cell r="J5954">
            <v>0</v>
          </cell>
          <cell r="K5954" t="str">
            <v>Design</v>
          </cell>
          <cell r="L5954" t="str">
            <v>HQ Salaries</v>
          </cell>
          <cell r="N5954" t="str">
            <v>SG&amp;A</v>
          </cell>
          <cell r="O5954" t="str">
            <v>[No Vendor]</v>
          </cell>
        </row>
        <row r="5955">
          <cell r="D5955">
            <v>140.27000000000001</v>
          </cell>
          <cell r="H5955">
            <v>45658</v>
          </cell>
          <cell r="I5955" t="str">
            <v>6040 - Employer Paid Benefits</v>
          </cell>
          <cell r="J5955">
            <v>0</v>
          </cell>
          <cell r="K5955" t="str">
            <v>Administration</v>
          </cell>
          <cell r="L5955" t="str">
            <v>HQ Salaries</v>
          </cell>
          <cell r="N5955" t="str">
            <v>SG&amp;A</v>
          </cell>
          <cell r="O5955" t="str">
            <v>[No Vendor]</v>
          </cell>
        </row>
        <row r="5956">
          <cell r="D5956">
            <v>-3605</v>
          </cell>
          <cell r="H5956">
            <v>45658</v>
          </cell>
          <cell r="I5956" t="str">
            <v>6005 - Salaries</v>
          </cell>
          <cell r="J5956">
            <v>0</v>
          </cell>
          <cell r="K5956" t="str">
            <v>Merchandising</v>
          </cell>
          <cell r="L5956" t="str">
            <v>HQ Salaries</v>
          </cell>
          <cell r="N5956" t="str">
            <v>SG&amp;A</v>
          </cell>
          <cell r="O5956" t="str">
            <v>[No Vendor]</v>
          </cell>
        </row>
        <row r="5957">
          <cell r="D5957">
            <v>-8346.16</v>
          </cell>
          <cell r="H5957">
            <v>45658</v>
          </cell>
          <cell r="I5957" t="str">
            <v>6005 - Salaries</v>
          </cell>
          <cell r="J5957" t="str">
            <v>Wholesale</v>
          </cell>
          <cell r="K5957" t="str">
            <v>Wholesale</v>
          </cell>
          <cell r="L5957" t="str">
            <v>HQ Salaries</v>
          </cell>
          <cell r="N5957" t="str">
            <v>SG&amp;A</v>
          </cell>
          <cell r="O5957" t="str">
            <v>[No Vendor]</v>
          </cell>
        </row>
        <row r="5958">
          <cell r="D5958">
            <v>-13991.94</v>
          </cell>
          <cell r="H5958">
            <v>45658</v>
          </cell>
          <cell r="I5958" t="str">
            <v>6005 - Salaries</v>
          </cell>
          <cell r="J5958">
            <v>0</v>
          </cell>
          <cell r="K5958" t="str">
            <v>Production</v>
          </cell>
          <cell r="L5958" t="str">
            <v>HQ Salaries</v>
          </cell>
          <cell r="N5958" t="str">
            <v>SG&amp;A</v>
          </cell>
          <cell r="O5958" t="str">
            <v>[No Vendor]</v>
          </cell>
        </row>
        <row r="5959">
          <cell r="D5959">
            <v>-2288.4699999999998</v>
          </cell>
          <cell r="H5959">
            <v>45658</v>
          </cell>
          <cell r="I5959" t="str">
            <v>6005 - Salaries</v>
          </cell>
          <cell r="J5959">
            <v>0</v>
          </cell>
          <cell r="K5959" t="str">
            <v>Brand Marketing</v>
          </cell>
          <cell r="L5959" t="str">
            <v>HQ Salaries</v>
          </cell>
          <cell r="N5959" t="str">
            <v>SG&amp;A</v>
          </cell>
          <cell r="O5959" t="str">
            <v>[No Vendor]</v>
          </cell>
        </row>
        <row r="5960">
          <cell r="D5960">
            <v>-7807.7</v>
          </cell>
          <cell r="H5960">
            <v>45658</v>
          </cell>
          <cell r="I5960" t="str">
            <v>6005 - Salaries</v>
          </cell>
          <cell r="J5960">
            <v>0</v>
          </cell>
          <cell r="K5960" t="str">
            <v>Executive</v>
          </cell>
          <cell r="L5960" t="str">
            <v>HQ Salaries</v>
          </cell>
          <cell r="N5960" t="str">
            <v>SG&amp;A</v>
          </cell>
          <cell r="O5960" t="str">
            <v>[No Vendor]</v>
          </cell>
        </row>
        <row r="5961">
          <cell r="D5961">
            <v>-14546.56</v>
          </cell>
          <cell r="H5961">
            <v>45658</v>
          </cell>
          <cell r="I5961" t="str">
            <v>6005 - Salaries</v>
          </cell>
          <cell r="J5961" t="str">
            <v>Ecommerce (US)</v>
          </cell>
          <cell r="K5961" t="str">
            <v>Ecommerce</v>
          </cell>
          <cell r="L5961" t="str">
            <v>HQ Salaries</v>
          </cell>
          <cell r="N5961" t="str">
            <v>SG&amp;A</v>
          </cell>
          <cell r="O5961" t="str">
            <v>[No Vendor]</v>
          </cell>
        </row>
        <row r="5962">
          <cell r="D5962">
            <v>-14971.93</v>
          </cell>
          <cell r="H5962">
            <v>45658</v>
          </cell>
          <cell r="I5962" t="str">
            <v>6005 - Salaries</v>
          </cell>
          <cell r="J5962">
            <v>0</v>
          </cell>
          <cell r="K5962" t="str">
            <v>Design</v>
          </cell>
          <cell r="L5962" t="str">
            <v>HQ Salaries</v>
          </cell>
          <cell r="N5962" t="str">
            <v>SG&amp;A</v>
          </cell>
          <cell r="O5962" t="str">
            <v>[No Vendor]</v>
          </cell>
        </row>
        <row r="5963">
          <cell r="D5963">
            <v>-18910.79</v>
          </cell>
          <cell r="H5963">
            <v>45658</v>
          </cell>
          <cell r="I5963" t="str">
            <v>6005 - Salaries</v>
          </cell>
          <cell r="J5963">
            <v>0</v>
          </cell>
          <cell r="K5963" t="str">
            <v>Administration</v>
          </cell>
          <cell r="L5963" t="str">
            <v>HQ Salaries</v>
          </cell>
          <cell r="N5963" t="str">
            <v>SG&amp;A</v>
          </cell>
          <cell r="O5963" t="str">
            <v>[No Vendor]</v>
          </cell>
        </row>
        <row r="5964">
          <cell r="D5964">
            <v>100</v>
          </cell>
          <cell r="H5964">
            <v>45658</v>
          </cell>
          <cell r="I5964" t="str">
            <v>6450 - Bank &amp; Other Fees</v>
          </cell>
          <cell r="J5964">
            <v>0</v>
          </cell>
          <cell r="K5964" t="str">
            <v>Administration</v>
          </cell>
          <cell r="L5964" t="str">
            <v>Professional Service</v>
          </cell>
          <cell r="N5964" t="str">
            <v>SG&amp;A</v>
          </cell>
          <cell r="O5964" t="str">
            <v>[No Vendor]</v>
          </cell>
        </row>
        <row r="5965">
          <cell r="D5965">
            <v>2170.3200000000002</v>
          </cell>
          <cell r="H5965">
            <v>45658</v>
          </cell>
          <cell r="I5965" t="str">
            <v>6451 - Service Processing Fee</v>
          </cell>
          <cell r="J5965" t="str">
            <v>Wholesale</v>
          </cell>
          <cell r="K5965" t="str">
            <v>Wholesale</v>
          </cell>
          <cell r="L5965" t="str">
            <v>Professional Service</v>
          </cell>
          <cell r="N5965" t="str">
            <v>Direct Costs</v>
          </cell>
          <cell r="O5965" t="str">
            <v>Paymentech</v>
          </cell>
        </row>
        <row r="5966">
          <cell r="D5966">
            <v>482.06</v>
          </cell>
          <cell r="H5966">
            <v>45658</v>
          </cell>
          <cell r="I5966" t="str">
            <v>6451 - Service Processing Fee</v>
          </cell>
          <cell r="J5966" t="str">
            <v>Ecommerce (US)</v>
          </cell>
          <cell r="K5966" t="str">
            <v>Ecommerce</v>
          </cell>
          <cell r="L5966" t="str">
            <v>Professional Service</v>
          </cell>
          <cell r="N5966" t="str">
            <v>Direct Costs</v>
          </cell>
          <cell r="O5966" t="str">
            <v>Shopify</v>
          </cell>
        </row>
        <row r="5967">
          <cell r="D5967">
            <v>3387.04</v>
          </cell>
          <cell r="H5967">
            <v>45658</v>
          </cell>
          <cell r="I5967" t="str">
            <v>8700 - Other Expense</v>
          </cell>
          <cell r="J5967">
            <v>0</v>
          </cell>
          <cell r="K5967" t="str">
            <v>Administration</v>
          </cell>
          <cell r="L5967" t="str">
            <v>Other Expense</v>
          </cell>
          <cell r="N5967" t="str">
            <v>BTL</v>
          </cell>
          <cell r="O5967" t="str">
            <v>[No Vendor]</v>
          </cell>
        </row>
        <row r="5968">
          <cell r="D5968">
            <v>438.11</v>
          </cell>
          <cell r="H5968">
            <v>45658</v>
          </cell>
          <cell r="I5968" t="str">
            <v>6375 - Freight Expenses</v>
          </cell>
          <cell r="J5968" t="str">
            <v>Ecommerce (EU)</v>
          </cell>
          <cell r="K5968" t="str">
            <v>Ecommerce</v>
          </cell>
          <cell r="L5968" t="str">
            <v>Freight</v>
          </cell>
          <cell r="N5968" t="str">
            <v>Direct Costs</v>
          </cell>
          <cell r="O5968" t="str">
            <v>UPS Supply Chain Solutions Inc. (7F24A0)</v>
          </cell>
        </row>
        <row r="5969">
          <cell r="D5969">
            <v>334.68</v>
          </cell>
          <cell r="H5969">
            <v>45658</v>
          </cell>
          <cell r="I5969" t="str">
            <v>6300 - Payroll Service Fees</v>
          </cell>
          <cell r="J5969">
            <v>0</v>
          </cell>
          <cell r="K5969" t="str">
            <v>Administration</v>
          </cell>
          <cell r="L5969" t="str">
            <v>Professional Service</v>
          </cell>
          <cell r="N5969" t="str">
            <v>SG&amp;A</v>
          </cell>
          <cell r="O5969" t="str">
            <v>ADP Payroll Services</v>
          </cell>
        </row>
        <row r="5970">
          <cell r="D5970">
            <v>565.76</v>
          </cell>
          <cell r="H5970">
            <v>45658</v>
          </cell>
          <cell r="I5970" t="str">
            <v>6300 - Payroll Service Fees</v>
          </cell>
          <cell r="J5970">
            <v>0</v>
          </cell>
          <cell r="K5970" t="str">
            <v>Administration</v>
          </cell>
          <cell r="L5970" t="str">
            <v>Professional Service</v>
          </cell>
          <cell r="N5970" t="str">
            <v>SG&amp;A</v>
          </cell>
          <cell r="O5970" t="str">
            <v>ADP Payroll Services</v>
          </cell>
        </row>
        <row r="5971">
          <cell r="D5971">
            <v>20958.349999999999</v>
          </cell>
          <cell r="H5971">
            <v>45658</v>
          </cell>
          <cell r="I5971" t="str">
            <v>6375 - Freight Expenses</v>
          </cell>
          <cell r="J5971" t="str">
            <v>Ecommerce (US)</v>
          </cell>
          <cell r="K5971" t="str">
            <v>Ecommerce</v>
          </cell>
          <cell r="L5971" t="str">
            <v>Freight</v>
          </cell>
          <cell r="N5971" t="str">
            <v>Direct Costs</v>
          </cell>
          <cell r="O5971" t="str">
            <v>UPS Supply Chain Solutions Inc. (7F24A0)</v>
          </cell>
        </row>
        <row r="5972">
          <cell r="D5972">
            <v>1893.34</v>
          </cell>
          <cell r="H5972">
            <v>45658</v>
          </cell>
          <cell r="I5972" t="str">
            <v>6393 - Software</v>
          </cell>
          <cell r="J5972" t="str">
            <v>Ecommerce (US)</v>
          </cell>
          <cell r="K5972" t="str">
            <v>Ecommerce</v>
          </cell>
          <cell r="L5972" t="str">
            <v>Professional Service</v>
          </cell>
          <cell r="N5972" t="str">
            <v>Direct Costs</v>
          </cell>
          <cell r="O5972" t="str">
            <v>GORGIAS INC</v>
          </cell>
        </row>
        <row r="5973">
          <cell r="D5973">
            <v>16.32</v>
          </cell>
          <cell r="H5973">
            <v>45658</v>
          </cell>
          <cell r="I5973" t="str">
            <v>6393 - Software</v>
          </cell>
          <cell r="J5973" t="str">
            <v>Ecommerce (US)</v>
          </cell>
          <cell r="K5973" t="str">
            <v>Ecommerce</v>
          </cell>
          <cell r="L5973" t="str">
            <v>Professional Service</v>
          </cell>
          <cell r="N5973" t="str">
            <v>Direct Costs</v>
          </cell>
          <cell r="O5973" t="str">
            <v>[No Vendor]</v>
          </cell>
        </row>
        <row r="5974">
          <cell r="D5974">
            <v>6097.61</v>
          </cell>
          <cell r="H5974">
            <v>45658</v>
          </cell>
          <cell r="I5974" t="str">
            <v>6393 - Software</v>
          </cell>
          <cell r="J5974" t="str">
            <v>Ecommerce (US)</v>
          </cell>
          <cell r="K5974" t="str">
            <v>Ecommerce</v>
          </cell>
          <cell r="L5974" t="str">
            <v>Professional Service</v>
          </cell>
          <cell r="N5974" t="str">
            <v>Direct Costs</v>
          </cell>
          <cell r="O5974" t="str">
            <v>Shopify</v>
          </cell>
        </row>
        <row r="5975">
          <cell r="D5975">
            <v>598</v>
          </cell>
          <cell r="H5975">
            <v>45658</v>
          </cell>
          <cell r="I5975" t="str">
            <v>6393 - Software</v>
          </cell>
          <cell r="J5975" t="str">
            <v>Ecommerce (US)</v>
          </cell>
          <cell r="K5975" t="str">
            <v>Ecommerce</v>
          </cell>
          <cell r="L5975" t="str">
            <v>Professional Service</v>
          </cell>
          <cell r="N5975" t="str">
            <v>Direct Costs</v>
          </cell>
          <cell r="O5975" t="str">
            <v>GODATAFEED</v>
          </cell>
        </row>
        <row r="5976">
          <cell r="D5976">
            <v>9.73</v>
          </cell>
          <cell r="H5976">
            <v>45658</v>
          </cell>
          <cell r="I5976" t="str">
            <v>6393 - Software</v>
          </cell>
          <cell r="J5976" t="str">
            <v>Ecommerce (US)</v>
          </cell>
          <cell r="K5976" t="str">
            <v>Ecommerce</v>
          </cell>
          <cell r="L5976" t="str">
            <v>Professional Service</v>
          </cell>
          <cell r="N5976" t="str">
            <v>Direct Costs</v>
          </cell>
          <cell r="O5976" t="str">
            <v>[No Vendor]</v>
          </cell>
        </row>
        <row r="5977">
          <cell r="D5977">
            <v>21.78</v>
          </cell>
          <cell r="H5977">
            <v>45658</v>
          </cell>
          <cell r="I5977" t="str">
            <v>6393 - Software</v>
          </cell>
          <cell r="J5977" t="str">
            <v>Ecommerce (US)</v>
          </cell>
          <cell r="K5977" t="str">
            <v>Ecommerce</v>
          </cell>
          <cell r="L5977" t="str">
            <v>Professional Service</v>
          </cell>
          <cell r="N5977" t="str">
            <v>Direct Costs</v>
          </cell>
          <cell r="O5977" t="str">
            <v>Chat GPT</v>
          </cell>
        </row>
        <row r="5978">
          <cell r="D5978">
            <v>1012.54</v>
          </cell>
          <cell r="H5978">
            <v>45658</v>
          </cell>
          <cell r="I5978" t="str">
            <v>6393 - Software</v>
          </cell>
          <cell r="J5978" t="str">
            <v>Ecommerce (US)</v>
          </cell>
          <cell r="K5978" t="str">
            <v>Ecommerce</v>
          </cell>
          <cell r="L5978" t="str">
            <v>Professional Service</v>
          </cell>
          <cell r="N5978" t="str">
            <v>Direct Costs</v>
          </cell>
          <cell r="O5978" t="str">
            <v>Klaviyo</v>
          </cell>
        </row>
        <row r="5979">
          <cell r="D5979">
            <v>159</v>
          </cell>
          <cell r="H5979">
            <v>45658</v>
          </cell>
          <cell r="I5979" t="str">
            <v>6393 - Software</v>
          </cell>
          <cell r="J5979" t="str">
            <v>Ecommerce (US)</v>
          </cell>
          <cell r="K5979" t="str">
            <v>Ecommerce</v>
          </cell>
          <cell r="L5979" t="str">
            <v>Professional Service</v>
          </cell>
          <cell r="N5979" t="str">
            <v>Direct Costs</v>
          </cell>
          <cell r="O5979" t="str">
            <v>INTEGRATION MANAGER</v>
          </cell>
        </row>
        <row r="5980">
          <cell r="D5980">
            <v>2830.75</v>
          </cell>
          <cell r="H5980">
            <v>45658</v>
          </cell>
          <cell r="I5980" t="str">
            <v>6393 - Software</v>
          </cell>
          <cell r="J5980" t="str">
            <v>Ecommerce (US)</v>
          </cell>
          <cell r="K5980" t="str">
            <v>Ecommerce</v>
          </cell>
          <cell r="L5980" t="str">
            <v>Professional Service</v>
          </cell>
          <cell r="N5980" t="str">
            <v>Direct Costs</v>
          </cell>
          <cell r="O5980" t="str">
            <v>Klaviyo</v>
          </cell>
        </row>
        <row r="5981">
          <cell r="D5981">
            <v>12140.62</v>
          </cell>
          <cell r="H5981">
            <v>45658</v>
          </cell>
          <cell r="I5981" t="str">
            <v>6393 - Software</v>
          </cell>
          <cell r="J5981" t="str">
            <v>Ecommerce (US)</v>
          </cell>
          <cell r="K5981" t="str">
            <v>Ecommerce</v>
          </cell>
          <cell r="L5981" t="str">
            <v>Professional Service</v>
          </cell>
          <cell r="N5981" t="str">
            <v>Direct Costs</v>
          </cell>
          <cell r="O5981" t="str">
            <v>Signifyd</v>
          </cell>
        </row>
        <row r="5982">
          <cell r="D5982">
            <v>9.5299999999999994</v>
          </cell>
          <cell r="H5982">
            <v>45658</v>
          </cell>
          <cell r="I5982" t="str">
            <v>6393 - Software</v>
          </cell>
          <cell r="J5982" t="str">
            <v>Ecommerce (US)</v>
          </cell>
          <cell r="K5982" t="str">
            <v>Ecommerce</v>
          </cell>
          <cell r="L5982" t="str">
            <v>Professional Service</v>
          </cell>
          <cell r="N5982" t="str">
            <v>Direct Costs</v>
          </cell>
          <cell r="O5982" t="str">
            <v>Slack</v>
          </cell>
        </row>
        <row r="5983">
          <cell r="D5983">
            <v>1170.27</v>
          </cell>
          <cell r="H5983">
            <v>45658</v>
          </cell>
          <cell r="I5983" t="str">
            <v>6393 - Software</v>
          </cell>
          <cell r="J5983" t="str">
            <v>Ecommerce (US)</v>
          </cell>
          <cell r="K5983" t="str">
            <v>Ecommerce</v>
          </cell>
          <cell r="L5983" t="str">
            <v>Professional Service</v>
          </cell>
          <cell r="N5983" t="str">
            <v>Direct Costs</v>
          </cell>
          <cell r="O5983" t="str">
            <v>Google Cloud</v>
          </cell>
        </row>
        <row r="5984">
          <cell r="D5984">
            <v>1779.84</v>
          </cell>
          <cell r="H5984">
            <v>45658</v>
          </cell>
          <cell r="I5984" t="str">
            <v>6393 - Software</v>
          </cell>
          <cell r="J5984">
            <v>0</v>
          </cell>
          <cell r="K5984" t="str">
            <v>Administration</v>
          </cell>
          <cell r="L5984" t="str">
            <v>Professional Service</v>
          </cell>
          <cell r="N5984" t="str">
            <v>Direct Costs</v>
          </cell>
          <cell r="O5984" t="str">
            <v>Adobe, Inc.</v>
          </cell>
        </row>
        <row r="5985">
          <cell r="D5985">
            <v>5000</v>
          </cell>
          <cell r="H5985">
            <v>45658</v>
          </cell>
          <cell r="I5985" t="str">
            <v>6286 - SEM</v>
          </cell>
          <cell r="J5985" t="str">
            <v>Ecommerce (US)</v>
          </cell>
          <cell r="K5985" t="str">
            <v>Ecommerce</v>
          </cell>
          <cell r="L5985" t="str">
            <v>Marketing</v>
          </cell>
          <cell r="N5985" t="str">
            <v>Direct Costs</v>
          </cell>
          <cell r="O5985" t="str">
            <v>Tiktok</v>
          </cell>
        </row>
        <row r="5986">
          <cell r="D5986">
            <v>2024.88</v>
          </cell>
          <cell r="H5986">
            <v>45658</v>
          </cell>
          <cell r="I5986" t="str">
            <v>6286 - SEM</v>
          </cell>
          <cell r="J5986" t="str">
            <v>Ecommerce (US)</v>
          </cell>
          <cell r="K5986" t="str">
            <v>Ecommerce</v>
          </cell>
          <cell r="L5986" t="str">
            <v>Marketing</v>
          </cell>
          <cell r="N5986" t="str">
            <v>Direct Costs</v>
          </cell>
          <cell r="O5986" t="str">
            <v>Amazon</v>
          </cell>
        </row>
        <row r="5987">
          <cell r="D5987">
            <v>2014.39</v>
          </cell>
          <cell r="H5987">
            <v>45658</v>
          </cell>
          <cell r="I5987" t="str">
            <v>6286 - SEM</v>
          </cell>
          <cell r="J5987" t="str">
            <v>Ecommerce (US)</v>
          </cell>
          <cell r="K5987" t="str">
            <v>Ecommerce</v>
          </cell>
          <cell r="L5987" t="str">
            <v>Marketing</v>
          </cell>
          <cell r="N5987" t="str">
            <v>Direct Costs</v>
          </cell>
          <cell r="O5987" t="str">
            <v>Amazon</v>
          </cell>
        </row>
        <row r="5988">
          <cell r="D5988">
            <v>2017.24</v>
          </cell>
          <cell r="H5988">
            <v>45658</v>
          </cell>
          <cell r="I5988" t="str">
            <v>6286 - SEM</v>
          </cell>
          <cell r="J5988" t="str">
            <v>Ecommerce (US)</v>
          </cell>
          <cell r="K5988" t="str">
            <v>Ecommerce</v>
          </cell>
          <cell r="L5988" t="str">
            <v>Marketing</v>
          </cell>
          <cell r="N5988" t="str">
            <v>Direct Costs</v>
          </cell>
          <cell r="O5988" t="str">
            <v>Amazon</v>
          </cell>
        </row>
        <row r="5989">
          <cell r="D5989">
            <v>2003.38</v>
          </cell>
          <cell r="H5989">
            <v>45658</v>
          </cell>
          <cell r="I5989" t="str">
            <v>6286 - SEM</v>
          </cell>
          <cell r="J5989" t="str">
            <v>Ecommerce (US)</v>
          </cell>
          <cell r="K5989" t="str">
            <v>Ecommerce</v>
          </cell>
          <cell r="L5989" t="str">
            <v>Marketing</v>
          </cell>
          <cell r="N5989" t="str">
            <v>Direct Costs</v>
          </cell>
          <cell r="O5989" t="str">
            <v>Amazon</v>
          </cell>
        </row>
        <row r="5990">
          <cell r="D5990">
            <v>2008.62</v>
          </cell>
          <cell r="H5990">
            <v>45658</v>
          </cell>
          <cell r="I5990" t="str">
            <v>6286 - SEM</v>
          </cell>
          <cell r="J5990" t="str">
            <v>Ecommerce (US)</v>
          </cell>
          <cell r="K5990" t="str">
            <v>Ecommerce</v>
          </cell>
          <cell r="L5990" t="str">
            <v>Marketing</v>
          </cell>
          <cell r="N5990" t="str">
            <v>Direct Costs</v>
          </cell>
          <cell r="O5990" t="str">
            <v>Amazon</v>
          </cell>
        </row>
        <row r="5991">
          <cell r="D5991">
            <v>3436.26</v>
          </cell>
          <cell r="H5991">
            <v>45658</v>
          </cell>
          <cell r="I5991" t="str">
            <v>6286 - SEM</v>
          </cell>
          <cell r="J5991" t="str">
            <v>Ecommerce (US)</v>
          </cell>
          <cell r="K5991" t="str">
            <v>Ecommerce</v>
          </cell>
          <cell r="L5991" t="str">
            <v>Marketing</v>
          </cell>
          <cell r="N5991" t="str">
            <v>Direct Costs</v>
          </cell>
          <cell r="O5991" t="str">
            <v>Tiktok</v>
          </cell>
        </row>
        <row r="5992">
          <cell r="D5992">
            <v>2005.96</v>
          </cell>
          <cell r="H5992">
            <v>45658</v>
          </cell>
          <cell r="I5992" t="str">
            <v>6286 - SEM</v>
          </cell>
          <cell r="J5992" t="str">
            <v>Ecommerce (US)</v>
          </cell>
          <cell r="K5992" t="str">
            <v>Ecommerce</v>
          </cell>
          <cell r="L5992" t="str">
            <v>Marketing</v>
          </cell>
          <cell r="N5992" t="str">
            <v>Direct Costs</v>
          </cell>
          <cell r="O5992" t="str">
            <v>Amazon</v>
          </cell>
        </row>
        <row r="5993">
          <cell r="D5993">
            <v>2003.57</v>
          </cell>
          <cell r="H5993">
            <v>45658</v>
          </cell>
          <cell r="I5993" t="str">
            <v>6286 - SEM</v>
          </cell>
          <cell r="J5993" t="str">
            <v>Ecommerce (US)</v>
          </cell>
          <cell r="K5993" t="str">
            <v>Ecommerce</v>
          </cell>
          <cell r="L5993" t="str">
            <v>Marketing</v>
          </cell>
          <cell r="N5993" t="str">
            <v>Direct Costs</v>
          </cell>
          <cell r="O5993" t="str">
            <v>Amazon</v>
          </cell>
        </row>
        <row r="5994">
          <cell r="D5994">
            <v>1691.18</v>
          </cell>
          <cell r="H5994">
            <v>45658</v>
          </cell>
          <cell r="I5994" t="str">
            <v>6286 - SEM</v>
          </cell>
          <cell r="J5994" t="str">
            <v>Ecommerce (US)</v>
          </cell>
          <cell r="K5994" t="str">
            <v>Ecommerce</v>
          </cell>
          <cell r="L5994" t="str">
            <v>Marketing</v>
          </cell>
          <cell r="N5994" t="str">
            <v>Direct Costs</v>
          </cell>
          <cell r="O5994" t="str">
            <v>Amazon</v>
          </cell>
        </row>
        <row r="5995">
          <cell r="D5995">
            <v>219.84</v>
          </cell>
          <cell r="H5995">
            <v>45658</v>
          </cell>
          <cell r="I5995" t="str">
            <v>6286 - SEM</v>
          </cell>
          <cell r="J5995" t="str">
            <v>Ecommerce (US)</v>
          </cell>
          <cell r="K5995" t="str">
            <v>Ecommerce</v>
          </cell>
          <cell r="L5995" t="str">
            <v>Marketing</v>
          </cell>
          <cell r="N5995" t="str">
            <v>Direct Costs</v>
          </cell>
          <cell r="O5995" t="str">
            <v>Tiktok</v>
          </cell>
        </row>
        <row r="5996">
          <cell r="D5996">
            <v>100</v>
          </cell>
          <cell r="H5996">
            <v>45658</v>
          </cell>
          <cell r="I5996" t="str">
            <v>6340 - Miscellaneous Expense</v>
          </cell>
          <cell r="J5996" t="str">
            <v>Ecommerce (US)</v>
          </cell>
          <cell r="K5996" t="str">
            <v>Ecommerce</v>
          </cell>
          <cell r="L5996" t="str">
            <v>Other</v>
          </cell>
          <cell r="N5996" t="str">
            <v>SG&amp;A</v>
          </cell>
          <cell r="O5996" t="str">
            <v>[No Vendor]</v>
          </cell>
        </row>
        <row r="5997">
          <cell r="D5997">
            <v>445.29</v>
          </cell>
          <cell r="H5997">
            <v>45658</v>
          </cell>
          <cell r="I5997" t="str">
            <v>6340 - Miscellaneous Expense</v>
          </cell>
          <cell r="J5997">
            <v>0</v>
          </cell>
          <cell r="K5997" t="str">
            <v>Administration</v>
          </cell>
          <cell r="L5997" t="str">
            <v>Other</v>
          </cell>
          <cell r="N5997" t="str">
            <v>SG&amp;A</v>
          </cell>
          <cell r="O5997" t="str">
            <v>[No Vendor]</v>
          </cell>
        </row>
        <row r="5998">
          <cell r="D5998">
            <v>580.58000000000004</v>
          </cell>
          <cell r="H5998">
            <v>45658</v>
          </cell>
          <cell r="I5998" t="str">
            <v>6120 - Lodging</v>
          </cell>
          <cell r="J5998" t="str">
            <v>Ecommerce (US)</v>
          </cell>
          <cell r="K5998" t="str">
            <v>Ecommerce</v>
          </cell>
          <cell r="L5998" t="str">
            <v>T&amp;E</v>
          </cell>
          <cell r="N5998" t="str">
            <v>SG&amp;A</v>
          </cell>
          <cell r="O5998" t="str">
            <v>[No Vendor]</v>
          </cell>
        </row>
        <row r="5999">
          <cell r="D5999">
            <v>257.72000000000003</v>
          </cell>
          <cell r="H5999">
            <v>45658</v>
          </cell>
          <cell r="I5999" t="str">
            <v>6120 - Lodging</v>
          </cell>
          <cell r="J5999" t="str">
            <v>Ecommerce (US)</v>
          </cell>
          <cell r="K5999" t="str">
            <v>Ecommerce</v>
          </cell>
          <cell r="L5999" t="str">
            <v>T&amp;E</v>
          </cell>
          <cell r="N5999" t="str">
            <v>SG&amp;A</v>
          </cell>
          <cell r="O5999" t="str">
            <v>[No Vendor]</v>
          </cell>
        </row>
        <row r="6000">
          <cell r="D6000">
            <v>0.15</v>
          </cell>
          <cell r="H6000">
            <v>45658</v>
          </cell>
          <cell r="I6000" t="str">
            <v>6450 - Bank &amp; Other Fees</v>
          </cell>
          <cell r="J6000" t="str">
            <v>Ecommerce (US)</v>
          </cell>
          <cell r="K6000" t="str">
            <v>Ecommerce</v>
          </cell>
          <cell r="L6000" t="str">
            <v>Professional Service</v>
          </cell>
          <cell r="N6000" t="str">
            <v>Direct Costs</v>
          </cell>
          <cell r="O6000" t="str">
            <v>[No Vendor]</v>
          </cell>
        </row>
        <row r="6001">
          <cell r="D6001">
            <v>54.78</v>
          </cell>
          <cell r="H6001">
            <v>45658</v>
          </cell>
          <cell r="I6001" t="str">
            <v>6125 - Transportation and Fuel</v>
          </cell>
          <cell r="J6001" t="str">
            <v>Ecommerce (US)</v>
          </cell>
          <cell r="K6001" t="str">
            <v>Ecommerce</v>
          </cell>
          <cell r="L6001" t="str">
            <v>T&amp;E</v>
          </cell>
          <cell r="N6001" t="str">
            <v>SG&amp;A</v>
          </cell>
          <cell r="O6001" t="str">
            <v>[No Vendor]</v>
          </cell>
        </row>
        <row r="6002">
          <cell r="D6002">
            <v>73.489999999999995</v>
          </cell>
          <cell r="H6002">
            <v>45658</v>
          </cell>
          <cell r="I6002" t="str">
            <v>6125 - Transportation and Fuel</v>
          </cell>
          <cell r="J6002" t="str">
            <v>Ecommerce (US)</v>
          </cell>
          <cell r="K6002" t="str">
            <v>Ecommerce</v>
          </cell>
          <cell r="L6002" t="str">
            <v>T&amp;E</v>
          </cell>
          <cell r="N6002" t="str">
            <v>SG&amp;A</v>
          </cell>
          <cell r="O6002" t="str">
            <v>[No Vendor]</v>
          </cell>
        </row>
        <row r="6003">
          <cell r="D6003">
            <v>199.59</v>
          </cell>
          <cell r="H6003">
            <v>45658</v>
          </cell>
          <cell r="I6003" t="str">
            <v>6105 - Meals</v>
          </cell>
          <cell r="J6003">
            <v>0</v>
          </cell>
          <cell r="K6003" t="str">
            <v>Administration</v>
          </cell>
          <cell r="L6003" t="str">
            <v>T&amp;E</v>
          </cell>
          <cell r="N6003" t="str">
            <v>SG&amp;A</v>
          </cell>
          <cell r="O6003" t="str">
            <v>[No Vendor]</v>
          </cell>
        </row>
        <row r="6004">
          <cell r="D6004">
            <v>139.5</v>
          </cell>
          <cell r="H6004">
            <v>45658</v>
          </cell>
          <cell r="I6004" t="str">
            <v>6105 - Meals</v>
          </cell>
          <cell r="J6004">
            <v>0</v>
          </cell>
          <cell r="K6004" t="str">
            <v>Administration</v>
          </cell>
          <cell r="L6004" t="str">
            <v>T&amp;E</v>
          </cell>
          <cell r="N6004" t="str">
            <v>SG&amp;A</v>
          </cell>
          <cell r="O6004" t="str">
            <v>[No Vendor]</v>
          </cell>
        </row>
        <row r="6005">
          <cell r="D6005">
            <v>256.17</v>
          </cell>
          <cell r="H6005">
            <v>45658</v>
          </cell>
          <cell r="I6005" t="str">
            <v>6105 - Meals</v>
          </cell>
          <cell r="J6005">
            <v>0</v>
          </cell>
          <cell r="K6005" t="str">
            <v>Administration</v>
          </cell>
          <cell r="L6005" t="str">
            <v>T&amp;E</v>
          </cell>
          <cell r="N6005" t="str">
            <v>SG&amp;A</v>
          </cell>
          <cell r="O6005" t="str">
            <v>[No Vendor]</v>
          </cell>
        </row>
        <row r="6006">
          <cell r="D6006">
            <v>62.97</v>
          </cell>
          <cell r="H6006">
            <v>45658</v>
          </cell>
          <cell r="I6006" t="str">
            <v>6105 - Meals</v>
          </cell>
          <cell r="J6006">
            <v>0</v>
          </cell>
          <cell r="K6006" t="str">
            <v>Administration</v>
          </cell>
          <cell r="L6006" t="str">
            <v>T&amp;E</v>
          </cell>
          <cell r="N6006" t="str">
            <v>SG&amp;A</v>
          </cell>
          <cell r="O6006" t="str">
            <v>[No Vendor]</v>
          </cell>
        </row>
        <row r="6007">
          <cell r="D6007">
            <v>108.82</v>
          </cell>
          <cell r="H6007">
            <v>45658</v>
          </cell>
          <cell r="I6007" t="str">
            <v>6105 - Meals</v>
          </cell>
          <cell r="J6007">
            <v>0</v>
          </cell>
          <cell r="K6007" t="str">
            <v>Administration</v>
          </cell>
          <cell r="L6007" t="str">
            <v>T&amp;E</v>
          </cell>
          <cell r="N6007" t="str">
            <v>SG&amp;A</v>
          </cell>
          <cell r="O6007" t="str">
            <v>[No Vendor]</v>
          </cell>
        </row>
        <row r="6008">
          <cell r="D6008">
            <v>444.1</v>
          </cell>
          <cell r="H6008">
            <v>45658</v>
          </cell>
          <cell r="I6008" t="str">
            <v>6105 - Meals</v>
          </cell>
          <cell r="J6008">
            <v>0</v>
          </cell>
          <cell r="K6008" t="str">
            <v>Administration</v>
          </cell>
          <cell r="L6008" t="str">
            <v>T&amp;E</v>
          </cell>
          <cell r="N6008" t="str">
            <v>SG&amp;A</v>
          </cell>
          <cell r="O6008" t="str">
            <v>[No Vendor]</v>
          </cell>
        </row>
        <row r="6009">
          <cell r="D6009">
            <v>155.88</v>
          </cell>
          <cell r="H6009">
            <v>45658</v>
          </cell>
          <cell r="I6009" t="str">
            <v>6105 - Meals</v>
          </cell>
          <cell r="J6009">
            <v>0</v>
          </cell>
          <cell r="K6009" t="str">
            <v>Administration</v>
          </cell>
          <cell r="L6009" t="str">
            <v>T&amp;E</v>
          </cell>
          <cell r="N6009" t="str">
            <v>SG&amp;A</v>
          </cell>
          <cell r="O6009" t="str">
            <v>[No Vendor]</v>
          </cell>
        </row>
        <row r="6010">
          <cell r="D6010">
            <v>128.81</v>
          </cell>
          <cell r="H6010">
            <v>45658</v>
          </cell>
          <cell r="I6010" t="str">
            <v>6105 - Meals</v>
          </cell>
          <cell r="J6010">
            <v>0</v>
          </cell>
          <cell r="K6010" t="str">
            <v>Administration</v>
          </cell>
          <cell r="L6010" t="str">
            <v>T&amp;E</v>
          </cell>
          <cell r="N6010" t="str">
            <v>SG&amp;A</v>
          </cell>
          <cell r="O6010" t="str">
            <v>[No Vendor]</v>
          </cell>
        </row>
        <row r="6011">
          <cell r="D6011">
            <v>1000</v>
          </cell>
          <cell r="H6011">
            <v>45658</v>
          </cell>
          <cell r="I6011" t="str">
            <v>6375 - Freight Expenses</v>
          </cell>
          <cell r="J6011" t="str">
            <v>Ecommerce (US)</v>
          </cell>
          <cell r="K6011" t="str">
            <v>Ecommerce</v>
          </cell>
          <cell r="L6011" t="str">
            <v>Freight</v>
          </cell>
          <cell r="N6011" t="str">
            <v>Direct Costs</v>
          </cell>
          <cell r="O6011" t="str">
            <v>[No Vendor]</v>
          </cell>
        </row>
        <row r="6012">
          <cell r="D6012">
            <v>1.05</v>
          </cell>
          <cell r="H6012">
            <v>45658</v>
          </cell>
          <cell r="I6012" t="str">
            <v>6450 - Bank &amp; Other Fees</v>
          </cell>
          <cell r="J6012">
            <v>0</v>
          </cell>
          <cell r="K6012" t="str">
            <v>Administration</v>
          </cell>
          <cell r="L6012" t="str">
            <v>Professional Service</v>
          </cell>
          <cell r="N6012" t="str">
            <v>SG&amp;A</v>
          </cell>
          <cell r="O6012" t="str">
            <v>[No Vendor]</v>
          </cell>
        </row>
        <row r="6013">
          <cell r="D6013">
            <v>70.31</v>
          </cell>
          <cell r="H6013">
            <v>45658</v>
          </cell>
          <cell r="I6013" t="str">
            <v>6393 - Software</v>
          </cell>
          <cell r="J6013">
            <v>0</v>
          </cell>
          <cell r="K6013" t="str">
            <v>Administration</v>
          </cell>
          <cell r="L6013" t="str">
            <v>Professional Service</v>
          </cell>
          <cell r="N6013" t="str">
            <v>Direct Costs</v>
          </cell>
          <cell r="O6013" t="str">
            <v>QBO</v>
          </cell>
        </row>
        <row r="6014">
          <cell r="D6014">
            <v>1245</v>
          </cell>
          <cell r="H6014">
            <v>45658</v>
          </cell>
          <cell r="I6014" t="str">
            <v>6393 - Software</v>
          </cell>
          <cell r="J6014">
            <v>0</v>
          </cell>
          <cell r="K6014" t="str">
            <v>Design</v>
          </cell>
          <cell r="L6014" t="str">
            <v>Professional Service</v>
          </cell>
          <cell r="N6014" t="str">
            <v>Direct Costs</v>
          </cell>
          <cell r="O6014" t="str">
            <v>Backbone</v>
          </cell>
        </row>
        <row r="6015">
          <cell r="D6015">
            <v>48.4</v>
          </cell>
          <cell r="H6015">
            <v>45658</v>
          </cell>
          <cell r="I6015" t="str">
            <v>6393 - Software</v>
          </cell>
          <cell r="J6015" t="str">
            <v>Wholesale</v>
          </cell>
          <cell r="K6015" t="str">
            <v>Wholesale</v>
          </cell>
          <cell r="L6015" t="str">
            <v>Professional Service</v>
          </cell>
          <cell r="N6015" t="str">
            <v>Direct Costs</v>
          </cell>
          <cell r="O6015" t="str">
            <v>Authorize.net</v>
          </cell>
        </row>
        <row r="6016">
          <cell r="D6016">
            <v>121.51</v>
          </cell>
          <cell r="H6016">
            <v>45658</v>
          </cell>
          <cell r="I6016" t="str">
            <v>6375 - Freight Expenses</v>
          </cell>
          <cell r="J6016" t="str">
            <v>Ecommerce (EU)</v>
          </cell>
          <cell r="K6016" t="str">
            <v>Ecommerce</v>
          </cell>
          <cell r="L6016" t="str">
            <v>Freight</v>
          </cell>
          <cell r="N6016" t="str">
            <v>Direct Costs</v>
          </cell>
          <cell r="O6016" t="str">
            <v>UPS Supply Chain Solutions Inc. (7F24A0)</v>
          </cell>
        </row>
        <row r="6017">
          <cell r="D6017">
            <v>146</v>
          </cell>
          <cell r="H6017">
            <v>45658</v>
          </cell>
          <cell r="I6017" t="str">
            <v>6393 - Software</v>
          </cell>
          <cell r="J6017" t="str">
            <v>Wholesale</v>
          </cell>
          <cell r="K6017" t="str">
            <v>Wholesale</v>
          </cell>
          <cell r="L6017" t="str">
            <v>Professional Service</v>
          </cell>
          <cell r="N6017" t="str">
            <v>Direct Costs</v>
          </cell>
          <cell r="O6017" t="str">
            <v>SPS Commerce</v>
          </cell>
        </row>
        <row r="6018">
          <cell r="D6018">
            <v>47.61</v>
          </cell>
          <cell r="H6018">
            <v>45658</v>
          </cell>
          <cell r="I6018" t="str">
            <v>6375 - Freight Expenses</v>
          </cell>
          <cell r="J6018">
            <v>0</v>
          </cell>
          <cell r="K6018" t="str">
            <v>Production</v>
          </cell>
          <cell r="L6018" t="str">
            <v>Freight</v>
          </cell>
          <cell r="N6018" t="str">
            <v>Direct Costs</v>
          </cell>
          <cell r="O6018" t="str">
            <v>Federal Express</v>
          </cell>
        </row>
        <row r="6019">
          <cell r="D6019">
            <v>-2302.3200000000002</v>
          </cell>
          <cell r="H6019">
            <v>45658</v>
          </cell>
          <cell r="I6019" t="str">
            <v>6040 - Employer Paid Benefits</v>
          </cell>
          <cell r="J6019">
            <v>0</v>
          </cell>
          <cell r="K6019" t="str">
            <v>Administration</v>
          </cell>
          <cell r="L6019" t="str">
            <v>HQ Salaries</v>
          </cell>
          <cell r="N6019" t="str">
            <v>SG&amp;A</v>
          </cell>
          <cell r="O6019" t="str">
            <v>[No Vendor]</v>
          </cell>
        </row>
        <row r="6020">
          <cell r="D6020">
            <v>-68.8</v>
          </cell>
          <cell r="H6020">
            <v>45658</v>
          </cell>
          <cell r="I6020" t="str">
            <v>6375 - Freight Expenses</v>
          </cell>
          <cell r="J6020" t="str">
            <v>Ecommerce (US)</v>
          </cell>
          <cell r="K6020" t="str">
            <v>Ecommerce</v>
          </cell>
          <cell r="L6020" t="str">
            <v>Freight</v>
          </cell>
          <cell r="N6020" t="str">
            <v>Direct Costs</v>
          </cell>
          <cell r="O6020" t="str">
            <v>UPS Supply Chain Solutions Inc. (7F24A0)</v>
          </cell>
        </row>
        <row r="6021">
          <cell r="D6021">
            <v>-91</v>
          </cell>
          <cell r="H6021">
            <v>45658</v>
          </cell>
          <cell r="I6021" t="str">
            <v>6040 - Employer Paid Benefits</v>
          </cell>
          <cell r="J6021">
            <v>0</v>
          </cell>
          <cell r="K6021" t="str">
            <v>Administration</v>
          </cell>
          <cell r="L6021" t="str">
            <v>HQ Salaries</v>
          </cell>
          <cell r="N6021" t="str">
            <v>SG&amp;A</v>
          </cell>
          <cell r="O6021" t="str">
            <v>[No Vendor]</v>
          </cell>
        </row>
        <row r="6022">
          <cell r="D6022">
            <v>66</v>
          </cell>
          <cell r="H6022">
            <v>45658</v>
          </cell>
          <cell r="I6022" t="str">
            <v>6450 - Bank &amp; Other Fees</v>
          </cell>
          <cell r="J6022">
            <v>0</v>
          </cell>
          <cell r="K6022" t="str">
            <v>Licensing</v>
          </cell>
          <cell r="L6022" t="str">
            <v>Professional Service</v>
          </cell>
          <cell r="N6022" t="str">
            <v>SG&amp;A</v>
          </cell>
          <cell r="O6022" t="str">
            <v>ESSA GRUP DIS TIC LTD STI</v>
          </cell>
        </row>
        <row r="6023">
          <cell r="D6023">
            <v>252.29</v>
          </cell>
          <cell r="H6023">
            <v>45658</v>
          </cell>
          <cell r="I6023" t="str">
            <v>6040 - Employer Paid Benefits</v>
          </cell>
          <cell r="J6023">
            <v>0</v>
          </cell>
          <cell r="K6023" t="str">
            <v>Administration</v>
          </cell>
          <cell r="L6023" t="str">
            <v>HQ Salaries</v>
          </cell>
          <cell r="N6023" t="str">
            <v>SG&amp;A</v>
          </cell>
          <cell r="O6023" t="str">
            <v>Procyon Benefits LLC</v>
          </cell>
        </row>
        <row r="6024">
          <cell r="D6024">
            <v>227.5</v>
          </cell>
          <cell r="H6024">
            <v>45658</v>
          </cell>
          <cell r="I6024" t="str">
            <v>6300 - Payroll Service Fees</v>
          </cell>
          <cell r="J6024">
            <v>0</v>
          </cell>
          <cell r="K6024" t="str">
            <v>Administration</v>
          </cell>
          <cell r="L6024" t="str">
            <v>Professional Service</v>
          </cell>
          <cell r="N6024" t="str">
            <v>SG&amp;A</v>
          </cell>
          <cell r="O6024" t="str">
            <v>OperationsInc, LLC</v>
          </cell>
        </row>
        <row r="6025">
          <cell r="D6025">
            <v>246.12</v>
          </cell>
          <cell r="H6025">
            <v>45658</v>
          </cell>
          <cell r="I6025" t="str">
            <v>6375 - Freight Expenses</v>
          </cell>
          <cell r="J6025">
            <v>0</v>
          </cell>
          <cell r="K6025" t="str">
            <v>Production</v>
          </cell>
          <cell r="L6025" t="str">
            <v>Freight</v>
          </cell>
          <cell r="N6025" t="str">
            <v>Direct Costs</v>
          </cell>
          <cell r="O6025" t="str">
            <v>DHL Express - USA</v>
          </cell>
        </row>
        <row r="6026">
          <cell r="D6026">
            <v>8.49</v>
          </cell>
          <cell r="H6026">
            <v>45658</v>
          </cell>
          <cell r="I6026" t="str">
            <v>6040 - Employer Paid Benefits</v>
          </cell>
          <cell r="J6026" t="str">
            <v>Wholesale</v>
          </cell>
          <cell r="K6026" t="str">
            <v>Wholesale</v>
          </cell>
          <cell r="L6026" t="str">
            <v>HQ Salaries</v>
          </cell>
          <cell r="N6026" t="str">
            <v>SG&amp;A</v>
          </cell>
          <cell r="O6026" t="str">
            <v>Procyon Benefits LLC</v>
          </cell>
        </row>
        <row r="6027">
          <cell r="D6027">
            <v>256.26</v>
          </cell>
          <cell r="H6027">
            <v>45658</v>
          </cell>
          <cell r="I6027" t="str">
            <v>6040 - Employer Paid Benefits</v>
          </cell>
          <cell r="J6027">
            <v>0</v>
          </cell>
          <cell r="K6027" t="str">
            <v>Production</v>
          </cell>
          <cell r="L6027" t="str">
            <v>HQ Salaries</v>
          </cell>
          <cell r="N6027" t="str">
            <v>SG&amp;A</v>
          </cell>
          <cell r="O6027" t="str">
            <v>Procyon Benefits LLC</v>
          </cell>
        </row>
        <row r="6028">
          <cell r="D6028">
            <v>8.6999999999999993</v>
          </cell>
          <cell r="H6028">
            <v>45658</v>
          </cell>
          <cell r="I6028" t="str">
            <v>6040 - Employer Paid Benefits</v>
          </cell>
          <cell r="J6028">
            <v>0</v>
          </cell>
          <cell r="K6028" t="str">
            <v>Merchandising</v>
          </cell>
          <cell r="L6028" t="str">
            <v>HQ Salaries</v>
          </cell>
          <cell r="N6028" t="str">
            <v>SG&amp;A</v>
          </cell>
          <cell r="O6028" t="str">
            <v>Procyon Benefits LLC</v>
          </cell>
        </row>
        <row r="6029">
          <cell r="D6029">
            <v>5.5</v>
          </cell>
          <cell r="H6029">
            <v>45658</v>
          </cell>
          <cell r="I6029" t="str">
            <v>6040 - Employer Paid Benefits</v>
          </cell>
          <cell r="J6029">
            <v>0</v>
          </cell>
          <cell r="K6029" t="str">
            <v>Executive</v>
          </cell>
          <cell r="L6029" t="str">
            <v>HQ Salaries</v>
          </cell>
          <cell r="N6029" t="str">
            <v>SG&amp;A</v>
          </cell>
          <cell r="O6029" t="str">
            <v>Procyon Benefits LLC</v>
          </cell>
        </row>
        <row r="6030">
          <cell r="D6030">
            <v>1000</v>
          </cell>
          <cell r="H6030">
            <v>45658</v>
          </cell>
          <cell r="I6030" t="str">
            <v>6225 - Professional Services</v>
          </cell>
          <cell r="J6030" t="str">
            <v>Wholesale</v>
          </cell>
          <cell r="K6030" t="str">
            <v>Wholesale</v>
          </cell>
          <cell r="L6030" t="str">
            <v>Professional Service</v>
          </cell>
          <cell r="N6030" t="str">
            <v>Direct Costs</v>
          </cell>
          <cell r="O6030" t="str">
            <v>Star Fashion</v>
          </cell>
        </row>
        <row r="6031">
          <cell r="D6031">
            <v>15012.98</v>
          </cell>
          <cell r="H6031">
            <v>45658</v>
          </cell>
          <cell r="I6031" t="str">
            <v>6225 - Professional Services</v>
          </cell>
          <cell r="J6031" t="str">
            <v>Ecommerce (US)</v>
          </cell>
          <cell r="K6031" t="str">
            <v>Ecommerce</v>
          </cell>
          <cell r="L6031" t="str">
            <v>Professional Service</v>
          </cell>
          <cell r="N6031" t="str">
            <v>Direct Costs</v>
          </cell>
          <cell r="O6031" t="str">
            <v>Rareview, LLC</v>
          </cell>
        </row>
        <row r="6032">
          <cell r="D6032">
            <v>600</v>
          </cell>
          <cell r="H6032">
            <v>45658</v>
          </cell>
          <cell r="I6032" t="str">
            <v>6288 - Model</v>
          </cell>
          <cell r="J6032" t="str">
            <v>Ecommerce (US)</v>
          </cell>
          <cell r="K6032" t="str">
            <v>Brand Marketing</v>
          </cell>
          <cell r="L6032" t="str">
            <v>Advertising</v>
          </cell>
          <cell r="N6032" t="str">
            <v>SG&amp;A</v>
          </cell>
          <cell r="O6032" t="str">
            <v>State Artist Management</v>
          </cell>
        </row>
        <row r="6033">
          <cell r="D6033">
            <v>-0.01</v>
          </cell>
          <cell r="H6033">
            <v>45658</v>
          </cell>
          <cell r="I6033" t="str">
            <v>6340 - Miscellaneous Expense</v>
          </cell>
          <cell r="J6033" t="str">
            <v>Ecommerce (US)</v>
          </cell>
          <cell r="K6033" t="str">
            <v>Ecommerce</v>
          </cell>
          <cell r="L6033" t="str">
            <v>Other</v>
          </cell>
          <cell r="N6033" t="str">
            <v>SG&amp;A</v>
          </cell>
          <cell r="O6033" t="str">
            <v>[No Vendor]</v>
          </cell>
        </row>
        <row r="6034">
          <cell r="D6034">
            <v>0.01</v>
          </cell>
          <cell r="H6034">
            <v>45658</v>
          </cell>
          <cell r="I6034" t="str">
            <v>6340 - Miscellaneous Expense</v>
          </cell>
          <cell r="J6034" t="str">
            <v>Ecommerce (US)</v>
          </cell>
          <cell r="K6034" t="str">
            <v>Ecommerce</v>
          </cell>
          <cell r="L6034" t="str">
            <v>Other</v>
          </cell>
          <cell r="N6034" t="str">
            <v>SG&amp;A</v>
          </cell>
          <cell r="O6034" t="str">
            <v>[No Vendor]</v>
          </cell>
        </row>
        <row r="6035">
          <cell r="D6035">
            <v>220.15</v>
          </cell>
          <cell r="H6035">
            <v>45658</v>
          </cell>
          <cell r="I6035" t="str">
            <v>6375 - Freight Expenses</v>
          </cell>
          <cell r="J6035" t="str">
            <v>Ecommerce (EU)</v>
          </cell>
          <cell r="K6035" t="str">
            <v>Ecommerce</v>
          </cell>
          <cell r="L6035" t="str">
            <v>Freight</v>
          </cell>
          <cell r="N6035" t="str">
            <v>Direct Costs</v>
          </cell>
          <cell r="O6035" t="str">
            <v>UPS Supply Chain Solutions Inc. (7F24A0)</v>
          </cell>
        </row>
        <row r="6036">
          <cell r="D6036">
            <v>1034.31</v>
          </cell>
          <cell r="H6036">
            <v>45658</v>
          </cell>
          <cell r="I6036" t="str">
            <v>6340 - Miscellaneous Expense</v>
          </cell>
          <cell r="J6036">
            <v>0</v>
          </cell>
          <cell r="K6036" t="str">
            <v>Administration</v>
          </cell>
          <cell r="L6036" t="str">
            <v>Other</v>
          </cell>
          <cell r="N6036" t="str">
            <v>SG&amp;A</v>
          </cell>
          <cell r="O6036" t="str">
            <v>Go Gleem LLC</v>
          </cell>
        </row>
        <row r="6037">
          <cell r="D6037">
            <v>27015.41</v>
          </cell>
          <cell r="H6037">
            <v>45658</v>
          </cell>
          <cell r="I6037" t="str">
            <v>6005 - Salaries</v>
          </cell>
          <cell r="J6037">
            <v>0</v>
          </cell>
          <cell r="K6037" t="str">
            <v>Administration</v>
          </cell>
          <cell r="L6037" t="str">
            <v>HQ Salaries</v>
          </cell>
          <cell r="N6037" t="str">
            <v>SG&amp;A</v>
          </cell>
          <cell r="O6037" t="str">
            <v>[No Vendor]</v>
          </cell>
        </row>
        <row r="6038">
          <cell r="D6038">
            <v>4243.8999999999996</v>
          </cell>
          <cell r="H6038">
            <v>45658</v>
          </cell>
          <cell r="I6038" t="str">
            <v>8700 - Other Expense</v>
          </cell>
          <cell r="J6038">
            <v>0</v>
          </cell>
          <cell r="K6038" t="str">
            <v>Administration</v>
          </cell>
          <cell r="L6038" t="str">
            <v>Other Expense</v>
          </cell>
          <cell r="N6038" t="str">
            <v>BTL</v>
          </cell>
          <cell r="O6038" t="str">
            <v>[No Vendor]</v>
          </cell>
        </row>
        <row r="6039">
          <cell r="D6039">
            <v>537.13</v>
          </cell>
          <cell r="H6039">
            <v>45658</v>
          </cell>
          <cell r="I6039" t="str">
            <v>8700 - Other Expense</v>
          </cell>
          <cell r="J6039">
            <v>0</v>
          </cell>
          <cell r="K6039" t="str">
            <v>Administration</v>
          </cell>
          <cell r="L6039" t="str">
            <v>Other Expense</v>
          </cell>
          <cell r="N6039" t="str">
            <v>BTL</v>
          </cell>
          <cell r="O6039" t="str">
            <v>[No Vendor]</v>
          </cell>
        </row>
        <row r="6040">
          <cell r="D6040">
            <v>0</v>
          </cell>
          <cell r="H6040">
            <v>45658</v>
          </cell>
          <cell r="I6040" t="str">
            <v>6035 - Severance Expense</v>
          </cell>
          <cell r="J6040" t="str">
            <v>Wholesale</v>
          </cell>
          <cell r="K6040" t="str">
            <v>Wholesale</v>
          </cell>
          <cell r="L6040" t="str">
            <v>HQ Salaries</v>
          </cell>
          <cell r="N6040" t="str">
            <v>SG&amp;A</v>
          </cell>
          <cell r="O6040" t="str">
            <v>[No Vendor]</v>
          </cell>
        </row>
        <row r="6041">
          <cell r="D6041">
            <v>18333.330000000002</v>
          </cell>
          <cell r="H6041">
            <v>45658</v>
          </cell>
          <cell r="I6041" t="str">
            <v>6205 - Contractors</v>
          </cell>
          <cell r="J6041">
            <v>0</v>
          </cell>
          <cell r="K6041" t="str">
            <v>Brand Marketing</v>
          </cell>
          <cell r="L6041" t="str">
            <v>HQ Salaries</v>
          </cell>
          <cell r="N6041" t="str">
            <v>SG&amp;A</v>
          </cell>
          <cell r="O6041" t="str">
            <v>[No Vendor]</v>
          </cell>
        </row>
        <row r="6042">
          <cell r="D6042">
            <v>8104.2</v>
          </cell>
          <cell r="H6042">
            <v>45658</v>
          </cell>
          <cell r="I6042" t="str">
            <v>6205 - Contractors</v>
          </cell>
          <cell r="J6042" t="str">
            <v>Ecommerce (US)</v>
          </cell>
          <cell r="K6042" t="str">
            <v>Ecommerce</v>
          </cell>
          <cell r="L6042" t="str">
            <v>HQ Salaries</v>
          </cell>
          <cell r="N6042" t="str">
            <v>SG&amp;A</v>
          </cell>
          <cell r="O6042" t="str">
            <v>[No Vendor]</v>
          </cell>
        </row>
        <row r="6043">
          <cell r="D6043">
            <v>0</v>
          </cell>
          <cell r="H6043">
            <v>45658</v>
          </cell>
          <cell r="I6043" t="str">
            <v>6205 - Contractors</v>
          </cell>
          <cell r="J6043">
            <v>0</v>
          </cell>
          <cell r="K6043" t="str">
            <v>Design</v>
          </cell>
          <cell r="L6043" t="str">
            <v>HQ Salaries</v>
          </cell>
          <cell r="N6043" t="str">
            <v>SG&amp;A</v>
          </cell>
          <cell r="O6043" t="str">
            <v>[No Vendor]</v>
          </cell>
        </row>
        <row r="6044">
          <cell r="D6044">
            <v>-21.18</v>
          </cell>
          <cell r="H6044">
            <v>45658</v>
          </cell>
          <cell r="I6044" t="str">
            <v>6385 - Insurance</v>
          </cell>
          <cell r="J6044">
            <v>0</v>
          </cell>
          <cell r="K6044" t="str">
            <v>Administration</v>
          </cell>
          <cell r="L6044" t="str">
            <v>Professional Service</v>
          </cell>
          <cell r="N6044" t="str">
            <v>SG&amp;A</v>
          </cell>
          <cell r="O6044" t="str">
            <v>[No Vendor]</v>
          </cell>
        </row>
        <row r="6045">
          <cell r="D6045">
            <v>-48.66</v>
          </cell>
          <cell r="H6045">
            <v>45658</v>
          </cell>
          <cell r="I6045" t="str">
            <v>6385 - Insurance</v>
          </cell>
          <cell r="J6045">
            <v>0</v>
          </cell>
          <cell r="K6045" t="str">
            <v>Administration</v>
          </cell>
          <cell r="L6045" t="str">
            <v>Professional Service</v>
          </cell>
          <cell r="N6045" t="str">
            <v>SG&amp;A</v>
          </cell>
          <cell r="O6045" t="str">
            <v>[No Vendor]</v>
          </cell>
        </row>
        <row r="6046">
          <cell r="D6046">
            <v>-82.34</v>
          </cell>
          <cell r="H6046">
            <v>45658</v>
          </cell>
          <cell r="I6046" t="str">
            <v>6385 - Insurance</v>
          </cell>
          <cell r="J6046">
            <v>0</v>
          </cell>
          <cell r="K6046" t="str">
            <v>Administration</v>
          </cell>
          <cell r="L6046" t="str">
            <v>Professional Service</v>
          </cell>
          <cell r="N6046" t="str">
            <v>SG&amp;A</v>
          </cell>
          <cell r="O6046" t="str">
            <v>[No Vendor]</v>
          </cell>
        </row>
        <row r="6047">
          <cell r="D6047">
            <v>-13.88</v>
          </cell>
          <cell r="H6047">
            <v>45658</v>
          </cell>
          <cell r="I6047" t="str">
            <v>6385 - Insurance</v>
          </cell>
          <cell r="J6047">
            <v>0</v>
          </cell>
          <cell r="K6047" t="str">
            <v>Administration</v>
          </cell>
          <cell r="L6047" t="str">
            <v>Professional Service</v>
          </cell>
          <cell r="N6047" t="str">
            <v>SG&amp;A</v>
          </cell>
          <cell r="O6047" t="str">
            <v>[No Vendor]</v>
          </cell>
        </row>
        <row r="6048">
          <cell r="D6048">
            <v>-44.48</v>
          </cell>
          <cell r="H6048">
            <v>45658</v>
          </cell>
          <cell r="I6048" t="str">
            <v>6385 - Insurance</v>
          </cell>
          <cell r="J6048">
            <v>0</v>
          </cell>
          <cell r="K6048" t="str">
            <v>Administration</v>
          </cell>
          <cell r="L6048" t="str">
            <v>Professional Service</v>
          </cell>
          <cell r="N6048" t="str">
            <v>SG&amp;A</v>
          </cell>
          <cell r="O6048" t="str">
            <v>[No Vendor]</v>
          </cell>
        </row>
        <row r="6049">
          <cell r="D6049">
            <v>-43.2</v>
          </cell>
          <cell r="H6049">
            <v>45658</v>
          </cell>
          <cell r="I6049" t="str">
            <v>6385 - Insurance</v>
          </cell>
          <cell r="J6049">
            <v>0</v>
          </cell>
          <cell r="K6049" t="str">
            <v>Administration</v>
          </cell>
          <cell r="L6049" t="str">
            <v>Professional Service</v>
          </cell>
          <cell r="N6049" t="str">
            <v>SG&amp;A</v>
          </cell>
          <cell r="O6049" t="str">
            <v>[No Vendor]</v>
          </cell>
        </row>
        <row r="6050">
          <cell r="D6050">
            <v>-88.99</v>
          </cell>
          <cell r="H6050">
            <v>45658</v>
          </cell>
          <cell r="I6050" t="str">
            <v>6385 - Insurance</v>
          </cell>
          <cell r="J6050">
            <v>0</v>
          </cell>
          <cell r="K6050" t="str">
            <v>Administration</v>
          </cell>
          <cell r="L6050" t="str">
            <v>Professional Service</v>
          </cell>
          <cell r="N6050" t="str">
            <v>SG&amp;A</v>
          </cell>
          <cell r="O6050" t="str">
            <v>[No Vendor]</v>
          </cell>
        </row>
        <row r="6051">
          <cell r="D6051">
            <v>-41.72</v>
          </cell>
          <cell r="H6051">
            <v>45658</v>
          </cell>
          <cell r="I6051" t="str">
            <v>6385 - Insurance</v>
          </cell>
          <cell r="J6051">
            <v>0</v>
          </cell>
          <cell r="K6051" t="str">
            <v>Administration</v>
          </cell>
          <cell r="L6051" t="str">
            <v>Professional Service</v>
          </cell>
          <cell r="N6051" t="str">
            <v>SG&amp;A</v>
          </cell>
          <cell r="O6051" t="str">
            <v>[No Vendor]</v>
          </cell>
        </row>
        <row r="6052">
          <cell r="D6052">
            <v>831.73</v>
          </cell>
          <cell r="H6052">
            <v>45658</v>
          </cell>
          <cell r="I6052" t="str">
            <v>6055 - Employer Social Security Tax Withheld</v>
          </cell>
          <cell r="J6052">
            <v>0</v>
          </cell>
          <cell r="K6052" t="str">
            <v>Merchandising</v>
          </cell>
          <cell r="L6052" t="str">
            <v>HQ Salaries</v>
          </cell>
          <cell r="N6052" t="str">
            <v>SG&amp;A</v>
          </cell>
          <cell r="O6052" t="str">
            <v>[No Vendor]</v>
          </cell>
        </row>
        <row r="6053">
          <cell r="D6053">
            <v>1853.87</v>
          </cell>
          <cell r="H6053">
            <v>45658</v>
          </cell>
          <cell r="I6053" t="str">
            <v>6055 - Employer Social Security Tax Withheld</v>
          </cell>
          <cell r="J6053" t="str">
            <v>Wholesale</v>
          </cell>
          <cell r="K6053" t="str">
            <v>Wholesale</v>
          </cell>
          <cell r="L6053" t="str">
            <v>HQ Salaries</v>
          </cell>
          <cell r="N6053" t="str">
            <v>SG&amp;A</v>
          </cell>
          <cell r="O6053" t="str">
            <v>[No Vendor]</v>
          </cell>
        </row>
        <row r="6054">
          <cell r="D6054">
            <v>3194.93</v>
          </cell>
          <cell r="H6054">
            <v>45658</v>
          </cell>
          <cell r="I6054" t="str">
            <v>6055 - Employer Social Security Tax Withheld</v>
          </cell>
          <cell r="J6054">
            <v>0</v>
          </cell>
          <cell r="K6054" t="str">
            <v>Production</v>
          </cell>
          <cell r="L6054" t="str">
            <v>HQ Salaries</v>
          </cell>
          <cell r="N6054" t="str">
            <v>SG&amp;A</v>
          </cell>
          <cell r="O6054" t="str">
            <v>[No Vendor]</v>
          </cell>
        </row>
        <row r="6055">
          <cell r="D6055">
            <v>525.99</v>
          </cell>
          <cell r="H6055">
            <v>45658</v>
          </cell>
          <cell r="I6055" t="str">
            <v>6055 - Employer Social Security Tax Withheld</v>
          </cell>
          <cell r="J6055">
            <v>0</v>
          </cell>
          <cell r="K6055" t="str">
            <v>Brand Marketing</v>
          </cell>
          <cell r="L6055" t="str">
            <v>HQ Salaries</v>
          </cell>
          <cell r="N6055" t="str">
            <v>SG&amp;A</v>
          </cell>
          <cell r="O6055" t="str">
            <v>[No Vendor]</v>
          </cell>
        </row>
        <row r="6056">
          <cell r="D6056">
            <v>1703.59</v>
          </cell>
          <cell r="H6056">
            <v>45658</v>
          </cell>
          <cell r="I6056" t="str">
            <v>6055 - Employer Social Security Tax Withheld</v>
          </cell>
          <cell r="J6056">
            <v>0</v>
          </cell>
          <cell r="K6056" t="str">
            <v>Executive</v>
          </cell>
          <cell r="L6056" t="str">
            <v>HQ Salaries</v>
          </cell>
          <cell r="N6056" t="str">
            <v>SG&amp;A</v>
          </cell>
          <cell r="O6056" t="str">
            <v>[No Vendor]</v>
          </cell>
        </row>
        <row r="6057">
          <cell r="D6057">
            <v>3127.74</v>
          </cell>
          <cell r="H6057">
            <v>45658</v>
          </cell>
          <cell r="I6057" t="str">
            <v>6055 - Employer Social Security Tax Withheld</v>
          </cell>
          <cell r="J6057" t="str">
            <v>Ecommerce (US)</v>
          </cell>
          <cell r="K6057" t="str">
            <v>Ecommerce</v>
          </cell>
          <cell r="L6057" t="str">
            <v>HQ Salaries</v>
          </cell>
          <cell r="N6057" t="str">
            <v>SG&amp;A</v>
          </cell>
          <cell r="O6057" t="str">
            <v>[No Vendor]</v>
          </cell>
        </row>
        <row r="6058">
          <cell r="D6058">
            <v>3210.35</v>
          </cell>
          <cell r="H6058">
            <v>45658</v>
          </cell>
          <cell r="I6058" t="str">
            <v>6055 - Employer Social Security Tax Withheld</v>
          </cell>
          <cell r="J6058">
            <v>0</v>
          </cell>
          <cell r="K6058" t="str">
            <v>Design</v>
          </cell>
          <cell r="L6058" t="str">
            <v>HQ Salaries</v>
          </cell>
          <cell r="N6058" t="str">
            <v>SG&amp;A</v>
          </cell>
          <cell r="O6058" t="str">
            <v>[No Vendor]</v>
          </cell>
        </row>
        <row r="6059">
          <cell r="D6059">
            <v>3537.31</v>
          </cell>
          <cell r="H6059">
            <v>45658</v>
          </cell>
          <cell r="I6059" t="str">
            <v>6055 - Employer Social Security Tax Withheld</v>
          </cell>
          <cell r="J6059">
            <v>0</v>
          </cell>
          <cell r="K6059" t="str">
            <v>Administration</v>
          </cell>
          <cell r="L6059" t="str">
            <v>HQ Salaries</v>
          </cell>
          <cell r="N6059" t="str">
            <v>SG&amp;A</v>
          </cell>
          <cell r="O6059" t="str">
            <v>[No Vendor]</v>
          </cell>
        </row>
        <row r="6060">
          <cell r="D6060">
            <v>0</v>
          </cell>
          <cell r="H6060">
            <v>45658</v>
          </cell>
          <cell r="I6060" t="str">
            <v>6040 - Employer Paid Benefits</v>
          </cell>
          <cell r="J6060">
            <v>0</v>
          </cell>
          <cell r="K6060" t="str">
            <v>Merchandising</v>
          </cell>
          <cell r="L6060" t="str">
            <v>HQ Salaries</v>
          </cell>
          <cell r="N6060" t="str">
            <v>SG&amp;A</v>
          </cell>
          <cell r="O6060" t="str">
            <v>[No Vendor]</v>
          </cell>
        </row>
        <row r="6061">
          <cell r="D6061">
            <v>-64.92</v>
          </cell>
          <cell r="H6061">
            <v>45658</v>
          </cell>
          <cell r="I6061" t="str">
            <v>6040 - Employer Paid Benefits</v>
          </cell>
          <cell r="J6061" t="str">
            <v>Wholesale</v>
          </cell>
          <cell r="K6061" t="str">
            <v>Wholesale</v>
          </cell>
          <cell r="L6061" t="str">
            <v>HQ Salaries</v>
          </cell>
          <cell r="N6061" t="str">
            <v>SG&amp;A</v>
          </cell>
          <cell r="O6061" t="str">
            <v>[No Vendor]</v>
          </cell>
        </row>
        <row r="6062">
          <cell r="D6062">
            <v>-285.62</v>
          </cell>
          <cell r="H6062">
            <v>45658</v>
          </cell>
          <cell r="I6062" t="str">
            <v>6040 - Employer Paid Benefits</v>
          </cell>
          <cell r="J6062">
            <v>0</v>
          </cell>
          <cell r="K6062" t="str">
            <v>Production</v>
          </cell>
          <cell r="L6062" t="str">
            <v>HQ Salaries</v>
          </cell>
          <cell r="N6062" t="str">
            <v>SG&amp;A</v>
          </cell>
          <cell r="O6062" t="str">
            <v>[No Vendor]</v>
          </cell>
        </row>
        <row r="6063">
          <cell r="D6063">
            <v>-22.58</v>
          </cell>
          <cell r="H6063">
            <v>45658</v>
          </cell>
          <cell r="I6063" t="str">
            <v>6040 - Employer Paid Benefits</v>
          </cell>
          <cell r="J6063">
            <v>0</v>
          </cell>
          <cell r="K6063" t="str">
            <v>Brand Marketing</v>
          </cell>
          <cell r="L6063" t="str">
            <v>HQ Salaries</v>
          </cell>
          <cell r="N6063" t="str">
            <v>SG&amp;A</v>
          </cell>
          <cell r="O6063" t="str">
            <v>[No Vendor]</v>
          </cell>
        </row>
        <row r="6064">
          <cell r="D6064">
            <v>-234.27</v>
          </cell>
          <cell r="H6064">
            <v>45658</v>
          </cell>
          <cell r="I6064" t="str">
            <v>6040 - Employer Paid Benefits</v>
          </cell>
          <cell r="J6064">
            <v>0</v>
          </cell>
          <cell r="K6064" t="str">
            <v>Executive</v>
          </cell>
          <cell r="L6064" t="str">
            <v>HQ Salaries</v>
          </cell>
          <cell r="N6064" t="str">
            <v>SG&amp;A</v>
          </cell>
          <cell r="O6064" t="str">
            <v>[No Vendor]</v>
          </cell>
        </row>
        <row r="6065">
          <cell r="D6065">
            <v>-121.85</v>
          </cell>
          <cell r="H6065">
            <v>45658</v>
          </cell>
          <cell r="I6065" t="str">
            <v>6040 - Employer Paid Benefits</v>
          </cell>
          <cell r="J6065" t="str">
            <v>Ecommerce (US)</v>
          </cell>
          <cell r="K6065" t="str">
            <v>Ecommerce</v>
          </cell>
          <cell r="L6065" t="str">
            <v>HQ Salaries</v>
          </cell>
          <cell r="N6065" t="str">
            <v>SG&amp;A</v>
          </cell>
          <cell r="O6065" t="str">
            <v>[No Vendor]</v>
          </cell>
        </row>
        <row r="6066">
          <cell r="D6066">
            <v>-343.68</v>
          </cell>
          <cell r="H6066">
            <v>45658</v>
          </cell>
          <cell r="I6066" t="str">
            <v>6040 - Employer Paid Benefits</v>
          </cell>
          <cell r="J6066">
            <v>0</v>
          </cell>
          <cell r="K6066" t="str">
            <v>Design</v>
          </cell>
          <cell r="L6066" t="str">
            <v>HQ Salaries</v>
          </cell>
          <cell r="N6066" t="str">
            <v>SG&amp;A</v>
          </cell>
          <cell r="O6066" t="str">
            <v>[No Vendor]</v>
          </cell>
        </row>
        <row r="6067">
          <cell r="D6067">
            <v>-200.39</v>
          </cell>
          <cell r="H6067">
            <v>45658</v>
          </cell>
          <cell r="I6067" t="str">
            <v>6040 - Employer Paid Benefits</v>
          </cell>
          <cell r="J6067">
            <v>0</v>
          </cell>
          <cell r="K6067" t="str">
            <v>Administration</v>
          </cell>
          <cell r="L6067" t="str">
            <v>HQ Salaries</v>
          </cell>
          <cell r="N6067" t="str">
            <v>SG&amp;A</v>
          </cell>
          <cell r="O6067" t="str">
            <v>[No Vendor]</v>
          </cell>
        </row>
        <row r="6068">
          <cell r="D6068">
            <v>5150</v>
          </cell>
          <cell r="H6068">
            <v>45658</v>
          </cell>
          <cell r="I6068" t="str">
            <v>6005 - Salaries</v>
          </cell>
          <cell r="J6068">
            <v>0</v>
          </cell>
          <cell r="K6068" t="str">
            <v>Merchandising</v>
          </cell>
          <cell r="L6068" t="str">
            <v>HQ Salaries</v>
          </cell>
          <cell r="N6068" t="str">
            <v>SG&amp;A</v>
          </cell>
          <cell r="O6068" t="str">
            <v>[No Vendor]</v>
          </cell>
        </row>
        <row r="6069">
          <cell r="D6069">
            <v>11923.08</v>
          </cell>
          <cell r="H6069">
            <v>45658</v>
          </cell>
          <cell r="I6069" t="str">
            <v>6005 - Salaries</v>
          </cell>
          <cell r="J6069" t="str">
            <v>Wholesale</v>
          </cell>
          <cell r="K6069" t="str">
            <v>Wholesale</v>
          </cell>
          <cell r="L6069" t="str">
            <v>HQ Salaries</v>
          </cell>
          <cell r="N6069" t="str">
            <v>SG&amp;A</v>
          </cell>
          <cell r="O6069" t="str">
            <v>[No Vendor]</v>
          </cell>
        </row>
        <row r="6070">
          <cell r="D6070">
            <v>19988.490000000002</v>
          </cell>
          <cell r="H6070">
            <v>45658</v>
          </cell>
          <cell r="I6070" t="str">
            <v>6005 - Salaries</v>
          </cell>
          <cell r="J6070">
            <v>0</v>
          </cell>
          <cell r="K6070" t="str">
            <v>Production</v>
          </cell>
          <cell r="L6070" t="str">
            <v>HQ Salaries</v>
          </cell>
          <cell r="N6070" t="str">
            <v>SG&amp;A</v>
          </cell>
          <cell r="O6070" t="str">
            <v>[No Vendor]</v>
          </cell>
        </row>
        <row r="6071">
          <cell r="D6071">
            <v>3269.24</v>
          </cell>
          <cell r="H6071">
            <v>45658</v>
          </cell>
          <cell r="I6071" t="str">
            <v>6005 - Salaries</v>
          </cell>
          <cell r="J6071">
            <v>0</v>
          </cell>
          <cell r="K6071" t="str">
            <v>Brand Marketing</v>
          </cell>
          <cell r="L6071" t="str">
            <v>HQ Salaries</v>
          </cell>
          <cell r="N6071" t="str">
            <v>SG&amp;A</v>
          </cell>
          <cell r="O6071" t="str">
            <v>[No Vendor]</v>
          </cell>
        </row>
        <row r="6072">
          <cell r="D6072">
            <v>11153.85</v>
          </cell>
          <cell r="H6072">
            <v>45658</v>
          </cell>
          <cell r="I6072" t="str">
            <v>6005 - Salaries</v>
          </cell>
          <cell r="J6072">
            <v>0</v>
          </cell>
          <cell r="K6072" t="str">
            <v>Executive</v>
          </cell>
          <cell r="L6072" t="str">
            <v>HQ Salaries</v>
          </cell>
          <cell r="N6072" t="str">
            <v>SG&amp;A</v>
          </cell>
          <cell r="O6072" t="str">
            <v>[No Vendor]</v>
          </cell>
        </row>
        <row r="6073">
          <cell r="D6073">
            <v>20780.8</v>
          </cell>
          <cell r="H6073">
            <v>45658</v>
          </cell>
          <cell r="I6073" t="str">
            <v>6005 - Salaries</v>
          </cell>
          <cell r="J6073" t="str">
            <v>Ecommerce (US)</v>
          </cell>
          <cell r="K6073" t="str">
            <v>Ecommerce</v>
          </cell>
          <cell r="L6073" t="str">
            <v>HQ Salaries</v>
          </cell>
          <cell r="N6073" t="str">
            <v>SG&amp;A</v>
          </cell>
          <cell r="O6073" t="str">
            <v>[No Vendor]</v>
          </cell>
        </row>
        <row r="6074">
          <cell r="D6074">
            <v>21388.47</v>
          </cell>
          <cell r="H6074">
            <v>45658</v>
          </cell>
          <cell r="I6074" t="str">
            <v>6005 - Salaries</v>
          </cell>
          <cell r="J6074">
            <v>0</v>
          </cell>
          <cell r="K6074" t="str">
            <v>Design</v>
          </cell>
          <cell r="L6074" t="str">
            <v>HQ Salaries</v>
          </cell>
          <cell r="N6074" t="str">
            <v>SG&amp;A</v>
          </cell>
          <cell r="O6074" t="str">
            <v>[No Vendor]</v>
          </cell>
        </row>
        <row r="6075">
          <cell r="D6075">
            <v>26.88</v>
          </cell>
          <cell r="H6075">
            <v>45658</v>
          </cell>
          <cell r="I6075" t="str">
            <v>6375 - Freight Expenses</v>
          </cell>
          <cell r="J6075" t="str">
            <v>Wholesale</v>
          </cell>
          <cell r="K6075" t="str">
            <v>Wholesale</v>
          </cell>
          <cell r="L6075" t="str">
            <v>Freight</v>
          </cell>
          <cell r="N6075" t="str">
            <v>Direct Costs</v>
          </cell>
          <cell r="O6075" t="str">
            <v>UPS Supply Chain Solutions Inc. (7F24A0)</v>
          </cell>
        </row>
        <row r="6076">
          <cell r="D6076">
            <v>5140</v>
          </cell>
          <cell r="H6076">
            <v>45658</v>
          </cell>
          <cell r="I6076" t="str">
            <v>6363 - Development</v>
          </cell>
          <cell r="J6076" t="str">
            <v>Wholesale</v>
          </cell>
          <cell r="K6076" t="str">
            <v>Production</v>
          </cell>
          <cell r="L6076" t="str">
            <v>Sample</v>
          </cell>
          <cell r="N6076" t="str">
            <v>SG&amp;A</v>
          </cell>
          <cell r="O6076" t="str">
            <v>Porta Asiatica Enterprises Inc</v>
          </cell>
        </row>
        <row r="6077">
          <cell r="D6077">
            <v>4473</v>
          </cell>
          <cell r="H6077">
            <v>45658</v>
          </cell>
          <cell r="I6077" t="str">
            <v>6363 - Development</v>
          </cell>
          <cell r="J6077" t="str">
            <v>Wholesale</v>
          </cell>
          <cell r="K6077" t="str">
            <v>Production</v>
          </cell>
          <cell r="L6077" t="str">
            <v>Sample</v>
          </cell>
          <cell r="N6077" t="str">
            <v>SG&amp;A</v>
          </cell>
          <cell r="O6077" t="str">
            <v>Porta Asiatica Enterprises Inc</v>
          </cell>
        </row>
        <row r="6078">
          <cell r="D6078">
            <v>3080</v>
          </cell>
          <cell r="H6078">
            <v>45658</v>
          </cell>
          <cell r="I6078" t="str">
            <v>6363 - Development</v>
          </cell>
          <cell r="J6078" t="str">
            <v>Wholesale</v>
          </cell>
          <cell r="K6078" t="str">
            <v>Production</v>
          </cell>
          <cell r="L6078" t="str">
            <v>Sample</v>
          </cell>
          <cell r="N6078" t="str">
            <v>SG&amp;A</v>
          </cell>
          <cell r="O6078" t="str">
            <v>Porta Asiatica Enterprises Inc</v>
          </cell>
        </row>
        <row r="6079">
          <cell r="D6079">
            <v>4376</v>
          </cell>
          <cell r="H6079">
            <v>45658</v>
          </cell>
          <cell r="I6079" t="str">
            <v>6363 - Development</v>
          </cell>
          <cell r="J6079" t="str">
            <v>Wholesale</v>
          </cell>
          <cell r="K6079" t="str">
            <v>Production</v>
          </cell>
          <cell r="L6079" t="str">
            <v>Sample</v>
          </cell>
          <cell r="N6079" t="str">
            <v>SG&amp;A</v>
          </cell>
          <cell r="O6079" t="str">
            <v>Porta Asiatica Enterprises Inc</v>
          </cell>
        </row>
        <row r="6080">
          <cell r="D6080">
            <v>5276</v>
          </cell>
          <cell r="H6080">
            <v>45658</v>
          </cell>
          <cell r="I6080" t="str">
            <v>6363 - Development</v>
          </cell>
          <cell r="J6080" t="str">
            <v>Wholesale</v>
          </cell>
          <cell r="K6080" t="str">
            <v>Production</v>
          </cell>
          <cell r="L6080" t="str">
            <v>Sample</v>
          </cell>
          <cell r="N6080" t="str">
            <v>SG&amp;A</v>
          </cell>
          <cell r="O6080" t="str">
            <v>Porta Asiatica Enterprises Inc</v>
          </cell>
        </row>
        <row r="6081">
          <cell r="D6081">
            <v>24531.14</v>
          </cell>
          <cell r="H6081">
            <v>45658</v>
          </cell>
          <cell r="I6081" t="str">
            <v>6375 - Freight Expenses</v>
          </cell>
          <cell r="J6081" t="str">
            <v>Ecommerce (US)</v>
          </cell>
          <cell r="K6081" t="str">
            <v>Ecommerce</v>
          </cell>
          <cell r="L6081" t="str">
            <v>Freight</v>
          </cell>
          <cell r="N6081" t="str">
            <v>Direct Costs</v>
          </cell>
          <cell r="O6081" t="str">
            <v>UPS Supply Chain Solutions Inc. (7F24A0)</v>
          </cell>
        </row>
        <row r="6082">
          <cell r="D6082">
            <v>209.14</v>
          </cell>
          <cell r="H6082">
            <v>45658</v>
          </cell>
          <cell r="I6082" t="str">
            <v>6375 - Freight Expenses</v>
          </cell>
          <cell r="J6082" t="str">
            <v>Ecommerce (EU)</v>
          </cell>
          <cell r="K6082" t="str">
            <v>Ecommerce</v>
          </cell>
          <cell r="L6082" t="str">
            <v>Freight</v>
          </cell>
          <cell r="N6082" t="str">
            <v>Direct Costs</v>
          </cell>
          <cell r="O6082" t="str">
            <v>UPS Supply Chain Solutions Inc. (7F24A0)</v>
          </cell>
        </row>
        <row r="6083">
          <cell r="D6083">
            <v>513.71</v>
          </cell>
          <cell r="H6083">
            <v>45658</v>
          </cell>
          <cell r="I6083" t="str">
            <v>6105 - Meals</v>
          </cell>
          <cell r="J6083">
            <v>0</v>
          </cell>
          <cell r="K6083" t="str">
            <v>Production</v>
          </cell>
          <cell r="L6083" t="str">
            <v>T&amp;E</v>
          </cell>
          <cell r="N6083" t="str">
            <v>SG&amp;A</v>
          </cell>
          <cell r="O6083" t="str">
            <v>Frank Dell'Aquila</v>
          </cell>
        </row>
        <row r="6084">
          <cell r="D6084">
            <v>44.91</v>
          </cell>
          <cell r="H6084">
            <v>45658</v>
          </cell>
          <cell r="I6084" t="str">
            <v>6375 - Freight Expenses</v>
          </cell>
          <cell r="J6084">
            <v>0</v>
          </cell>
          <cell r="K6084" t="str">
            <v>Production</v>
          </cell>
          <cell r="L6084" t="str">
            <v>Freight</v>
          </cell>
          <cell r="N6084" t="str">
            <v>Direct Costs</v>
          </cell>
          <cell r="O6084" t="str">
            <v>DHL Express - USA</v>
          </cell>
        </row>
        <row r="6085">
          <cell r="D6085">
            <v>-234.08</v>
          </cell>
          <cell r="H6085">
            <v>45658</v>
          </cell>
          <cell r="I6085" t="str">
            <v>6340 - Miscellaneous Expense</v>
          </cell>
          <cell r="J6085">
            <v>0</v>
          </cell>
          <cell r="K6085" t="str">
            <v>Administration</v>
          </cell>
          <cell r="L6085" t="str">
            <v>Other</v>
          </cell>
          <cell r="N6085" t="str">
            <v>SG&amp;A</v>
          </cell>
          <cell r="O6085" t="str">
            <v>[No Vendor]</v>
          </cell>
        </row>
        <row r="6086">
          <cell r="D6086">
            <v>4500</v>
          </cell>
          <cell r="H6086">
            <v>45658</v>
          </cell>
          <cell r="I6086" t="str">
            <v>6225 - Professional Services</v>
          </cell>
          <cell r="J6086" t="str">
            <v>Ecommerce (US)</v>
          </cell>
          <cell r="K6086" t="str">
            <v>Ecommerce</v>
          </cell>
          <cell r="L6086" t="str">
            <v>Professional Service</v>
          </cell>
          <cell r="N6086" t="str">
            <v>Direct Costs</v>
          </cell>
          <cell r="O6086" t="str">
            <v>Freeflow LLC</v>
          </cell>
        </row>
        <row r="6087">
          <cell r="D6087">
            <v>1670</v>
          </cell>
          <cell r="H6087">
            <v>45658</v>
          </cell>
          <cell r="I6087" t="str">
            <v>6363 - Development</v>
          </cell>
          <cell r="J6087" t="str">
            <v>Wholesale</v>
          </cell>
          <cell r="K6087" t="str">
            <v>Production</v>
          </cell>
          <cell r="L6087" t="str">
            <v>Sample</v>
          </cell>
          <cell r="N6087" t="str">
            <v>SG&amp;A</v>
          </cell>
          <cell r="O6087" t="str">
            <v>Porta Asiatica Enterprises Inc</v>
          </cell>
        </row>
        <row r="6088">
          <cell r="D6088">
            <v>740.48</v>
          </cell>
          <cell r="H6088">
            <v>45658</v>
          </cell>
          <cell r="I6088" t="str">
            <v>6410 - Lease Expense</v>
          </cell>
          <cell r="J6088">
            <v>0</v>
          </cell>
          <cell r="K6088" t="str">
            <v>Administration</v>
          </cell>
          <cell r="L6088" t="str">
            <v>Rent</v>
          </cell>
          <cell r="N6088" t="str">
            <v>SG&amp;A</v>
          </cell>
          <cell r="O6088" t="str">
            <v>Canon Financial Services, Inc.</v>
          </cell>
        </row>
        <row r="6089">
          <cell r="D6089">
            <v>93.95</v>
          </cell>
          <cell r="H6089">
            <v>45658</v>
          </cell>
          <cell r="I6089" t="str">
            <v>6040 - Employer Paid Benefits</v>
          </cell>
          <cell r="J6089">
            <v>0</v>
          </cell>
          <cell r="K6089" t="str">
            <v>Design</v>
          </cell>
          <cell r="L6089" t="str">
            <v>HQ Salaries</v>
          </cell>
          <cell r="N6089" t="str">
            <v>SG&amp;A</v>
          </cell>
          <cell r="O6089" t="str">
            <v>Procyon Benefits LLC</v>
          </cell>
        </row>
        <row r="6090">
          <cell r="D6090">
            <v>558.89</v>
          </cell>
          <cell r="H6090">
            <v>45658</v>
          </cell>
          <cell r="I6090" t="str">
            <v>6379 - Warehouse Storage</v>
          </cell>
          <cell r="J6090" t="str">
            <v>Wholesale</v>
          </cell>
          <cell r="K6090" t="str">
            <v>Wholesale</v>
          </cell>
          <cell r="L6090" t="str">
            <v>Order Processing</v>
          </cell>
          <cell r="N6090" t="str">
            <v>Direct Costs</v>
          </cell>
          <cell r="O6090" t="str">
            <v>Bergen Logistics Corporation</v>
          </cell>
        </row>
        <row r="6091">
          <cell r="D6091">
            <v>9321.4699999999993</v>
          </cell>
          <cell r="H6091">
            <v>45658</v>
          </cell>
          <cell r="I6091" t="str">
            <v>6379 - Warehouse Storage</v>
          </cell>
          <cell r="J6091" t="str">
            <v>Ecommerce (US)</v>
          </cell>
          <cell r="K6091" t="str">
            <v>Ecommerce</v>
          </cell>
          <cell r="L6091" t="str">
            <v>Order Processing</v>
          </cell>
          <cell r="N6091" t="str">
            <v>Direct Costs</v>
          </cell>
          <cell r="O6091" t="str">
            <v>Bergen Logistics Corporation</v>
          </cell>
        </row>
        <row r="6092">
          <cell r="D6092">
            <v>338.5</v>
          </cell>
          <cell r="H6092">
            <v>45658</v>
          </cell>
          <cell r="I6092" t="str">
            <v>6376 - Freight Supplies Other</v>
          </cell>
          <cell r="J6092" t="str">
            <v>Wholesale</v>
          </cell>
          <cell r="K6092" t="str">
            <v>Wholesale</v>
          </cell>
          <cell r="L6092" t="str">
            <v>Order Processing</v>
          </cell>
          <cell r="N6092" t="str">
            <v>Direct Costs</v>
          </cell>
          <cell r="O6092" t="str">
            <v>Bergen Logistics Corporation</v>
          </cell>
        </row>
        <row r="6093">
          <cell r="D6093">
            <v>150.99</v>
          </cell>
          <cell r="H6093">
            <v>45658</v>
          </cell>
          <cell r="I6093" t="str">
            <v>6376 - Freight Supplies Other</v>
          </cell>
          <cell r="J6093" t="str">
            <v>Ecommerce (EU)</v>
          </cell>
          <cell r="K6093" t="str">
            <v>Ecommerce</v>
          </cell>
          <cell r="L6093" t="str">
            <v>Order Processing</v>
          </cell>
          <cell r="N6093" t="str">
            <v>Direct Costs</v>
          </cell>
          <cell r="O6093" t="str">
            <v>Bergen Logistics Corporation</v>
          </cell>
        </row>
        <row r="6094">
          <cell r="D6094">
            <v>2386.4299999999998</v>
          </cell>
          <cell r="H6094">
            <v>45658</v>
          </cell>
          <cell r="I6094" t="str">
            <v>6376 - Freight Supplies Other</v>
          </cell>
          <cell r="J6094" t="str">
            <v>Ecommerce (US)</v>
          </cell>
          <cell r="K6094" t="str">
            <v>Ecommerce</v>
          </cell>
          <cell r="L6094" t="str">
            <v>Order Processing</v>
          </cell>
          <cell r="N6094" t="str">
            <v>Direct Costs</v>
          </cell>
          <cell r="O6094" t="str">
            <v>Bergen Logistics Corporation</v>
          </cell>
        </row>
        <row r="6095">
          <cell r="D6095">
            <v>961.14</v>
          </cell>
          <cell r="H6095">
            <v>45658</v>
          </cell>
          <cell r="I6095" t="str">
            <v>6377 - Order Processing Expenses (New)</v>
          </cell>
          <cell r="J6095" t="str">
            <v>Wholesale</v>
          </cell>
          <cell r="K6095" t="str">
            <v>Wholesale</v>
          </cell>
          <cell r="L6095" t="str">
            <v>Order Processing</v>
          </cell>
          <cell r="N6095" t="str">
            <v>Direct Costs</v>
          </cell>
          <cell r="O6095" t="str">
            <v>Bergen Logistics Corporation</v>
          </cell>
        </row>
        <row r="6096">
          <cell r="D6096">
            <v>1029.6300000000001</v>
          </cell>
          <cell r="H6096">
            <v>45658</v>
          </cell>
          <cell r="I6096" t="str">
            <v>6377 - Order Processing Expenses (New)</v>
          </cell>
          <cell r="J6096" t="str">
            <v>Ecommerce (EU)</v>
          </cell>
          <cell r="K6096" t="str">
            <v>Ecommerce</v>
          </cell>
          <cell r="L6096" t="str">
            <v>Order Processing</v>
          </cell>
          <cell r="N6096" t="str">
            <v>Direct Costs</v>
          </cell>
          <cell r="O6096" t="str">
            <v>Bergen Logistics Corporation</v>
          </cell>
        </row>
        <row r="6097">
          <cell r="D6097">
            <v>14212.22</v>
          </cell>
          <cell r="H6097">
            <v>45658</v>
          </cell>
          <cell r="I6097" t="str">
            <v>6377 - Order Processing Expenses (New)</v>
          </cell>
          <cell r="J6097" t="str">
            <v>Ecommerce (US)</v>
          </cell>
          <cell r="K6097" t="str">
            <v>Ecommerce</v>
          </cell>
          <cell r="L6097" t="str">
            <v>Order Processing</v>
          </cell>
          <cell r="N6097" t="str">
            <v>Direct Costs</v>
          </cell>
          <cell r="O6097" t="str">
            <v>Bergen Logistics Corporation</v>
          </cell>
        </row>
        <row r="6098">
          <cell r="D6098">
            <v>1188.8800000000001</v>
          </cell>
          <cell r="H6098">
            <v>45658</v>
          </cell>
          <cell r="I6098" t="str">
            <v>6377 - Order Processing Expenses (New)</v>
          </cell>
          <cell r="J6098" t="str">
            <v>Ecommerce (US)</v>
          </cell>
          <cell r="K6098" t="str">
            <v>Ecommerce</v>
          </cell>
          <cell r="L6098" t="str">
            <v>Order Processing</v>
          </cell>
          <cell r="N6098" t="str">
            <v>Direct Costs</v>
          </cell>
          <cell r="O6098" t="str">
            <v>Robert Karp Container Corp</v>
          </cell>
        </row>
        <row r="6099">
          <cell r="D6099">
            <v>21.78</v>
          </cell>
          <cell r="H6099">
            <v>45658</v>
          </cell>
          <cell r="I6099" t="str">
            <v>6393 - Software</v>
          </cell>
          <cell r="J6099">
            <v>0</v>
          </cell>
          <cell r="K6099" t="str">
            <v>Executive</v>
          </cell>
          <cell r="L6099" t="str">
            <v>Professional Service</v>
          </cell>
          <cell r="N6099" t="str">
            <v>Direct Costs</v>
          </cell>
          <cell r="O6099" t="str">
            <v>Chat GPT</v>
          </cell>
        </row>
        <row r="6100">
          <cell r="D6100">
            <v>7.58</v>
          </cell>
          <cell r="H6100">
            <v>45658</v>
          </cell>
          <cell r="I6100" t="str">
            <v>6340 - Miscellaneous Expense</v>
          </cell>
          <cell r="J6100">
            <v>0</v>
          </cell>
          <cell r="K6100" t="str">
            <v>Executive</v>
          </cell>
          <cell r="L6100" t="str">
            <v>Other</v>
          </cell>
          <cell r="N6100" t="str">
            <v>SG&amp;A</v>
          </cell>
          <cell r="O6100" t="str">
            <v>[No Vendor]</v>
          </cell>
        </row>
        <row r="6101">
          <cell r="D6101">
            <v>84.78</v>
          </cell>
          <cell r="H6101">
            <v>45658</v>
          </cell>
          <cell r="I6101" t="str">
            <v>6340 - Miscellaneous Expense</v>
          </cell>
          <cell r="J6101">
            <v>0</v>
          </cell>
          <cell r="K6101" t="str">
            <v>Executive</v>
          </cell>
          <cell r="L6101" t="str">
            <v>Other</v>
          </cell>
          <cell r="N6101" t="str">
            <v>SG&amp;A</v>
          </cell>
          <cell r="O6101" t="str">
            <v>[No Vendor]</v>
          </cell>
        </row>
        <row r="6102">
          <cell r="D6102">
            <v>540</v>
          </cell>
          <cell r="H6102">
            <v>45658</v>
          </cell>
          <cell r="I6102" t="str">
            <v>6300 - Payroll Service Fees</v>
          </cell>
          <cell r="J6102">
            <v>0</v>
          </cell>
          <cell r="K6102" t="str">
            <v>Administration</v>
          </cell>
          <cell r="L6102" t="str">
            <v>Professional Service</v>
          </cell>
          <cell r="N6102" t="str">
            <v>SG&amp;A</v>
          </cell>
          <cell r="O6102" t="str">
            <v>OperationsInc, LLC</v>
          </cell>
        </row>
        <row r="6103">
          <cell r="D6103">
            <v>17.22</v>
          </cell>
          <cell r="H6103">
            <v>45658</v>
          </cell>
          <cell r="I6103" t="str">
            <v>6125 - Transportation and Fuel</v>
          </cell>
          <cell r="J6103">
            <v>0</v>
          </cell>
          <cell r="K6103" t="str">
            <v>Executive</v>
          </cell>
          <cell r="L6103" t="str">
            <v>T&amp;E</v>
          </cell>
          <cell r="N6103" t="str">
            <v>SG&amp;A</v>
          </cell>
          <cell r="O6103" t="str">
            <v>[No Vendor]</v>
          </cell>
        </row>
        <row r="6104">
          <cell r="D6104">
            <v>62.17</v>
          </cell>
          <cell r="H6104">
            <v>45658</v>
          </cell>
          <cell r="I6104" t="str">
            <v>6105 - Meals</v>
          </cell>
          <cell r="J6104">
            <v>0</v>
          </cell>
          <cell r="K6104" t="str">
            <v>Executive</v>
          </cell>
          <cell r="L6104" t="str">
            <v>T&amp;E</v>
          </cell>
          <cell r="N6104" t="str">
            <v>SG&amp;A</v>
          </cell>
          <cell r="O6104" t="str">
            <v>[No Vendor]</v>
          </cell>
        </row>
        <row r="6105">
          <cell r="D6105">
            <v>68.62</v>
          </cell>
          <cell r="H6105">
            <v>45658</v>
          </cell>
          <cell r="I6105" t="str">
            <v>6105 - Meals</v>
          </cell>
          <cell r="J6105">
            <v>0</v>
          </cell>
          <cell r="K6105" t="str">
            <v>Executive</v>
          </cell>
          <cell r="L6105" t="str">
            <v>T&amp;E</v>
          </cell>
          <cell r="N6105" t="str">
            <v>SG&amp;A</v>
          </cell>
          <cell r="O6105" t="str">
            <v>[No Vendor]</v>
          </cell>
        </row>
        <row r="6106">
          <cell r="D6106">
            <v>192.24</v>
          </cell>
          <cell r="H6106">
            <v>45658</v>
          </cell>
          <cell r="I6106" t="str">
            <v>6375 - Freight Expenses</v>
          </cell>
          <cell r="J6106">
            <v>0</v>
          </cell>
          <cell r="K6106" t="str">
            <v>Production</v>
          </cell>
          <cell r="L6106" t="str">
            <v>Freight</v>
          </cell>
          <cell r="N6106" t="str">
            <v>Direct Costs</v>
          </cell>
          <cell r="O6106" t="str">
            <v>DHL Express - USA</v>
          </cell>
        </row>
        <row r="6107">
          <cell r="D6107">
            <v>316.93</v>
          </cell>
          <cell r="H6107">
            <v>45658</v>
          </cell>
          <cell r="I6107" t="str">
            <v>6375 - Freight Expenses</v>
          </cell>
          <cell r="J6107" t="str">
            <v>Ecommerce (EU)</v>
          </cell>
          <cell r="K6107" t="str">
            <v>Ecommerce</v>
          </cell>
          <cell r="L6107" t="str">
            <v>Freight</v>
          </cell>
          <cell r="N6107" t="str">
            <v>Direct Costs</v>
          </cell>
          <cell r="O6107" t="str">
            <v>UPS Supply Chain Solutions Inc. (7F24A0)</v>
          </cell>
        </row>
        <row r="6108">
          <cell r="D6108">
            <v>43.25</v>
          </cell>
          <cell r="H6108">
            <v>45658</v>
          </cell>
          <cell r="I6108" t="str">
            <v>6040 - Employer Paid Benefits</v>
          </cell>
          <cell r="J6108" t="str">
            <v>Wholesale</v>
          </cell>
          <cell r="K6108" t="str">
            <v>Wholesale</v>
          </cell>
          <cell r="L6108" t="str">
            <v>HQ Salaries</v>
          </cell>
          <cell r="N6108" t="str">
            <v>SG&amp;A</v>
          </cell>
          <cell r="O6108" t="str">
            <v>Procyon Benefits LLC</v>
          </cell>
        </row>
        <row r="6109">
          <cell r="D6109">
            <v>107.62</v>
          </cell>
          <cell r="H6109">
            <v>45658</v>
          </cell>
          <cell r="I6109" t="str">
            <v>6040 - Employer Paid Benefits</v>
          </cell>
          <cell r="J6109">
            <v>0</v>
          </cell>
          <cell r="K6109" t="str">
            <v>Production</v>
          </cell>
          <cell r="L6109" t="str">
            <v>HQ Salaries</v>
          </cell>
          <cell r="N6109" t="str">
            <v>SG&amp;A</v>
          </cell>
          <cell r="O6109" t="str">
            <v>Procyon Benefits LLC</v>
          </cell>
        </row>
        <row r="6110">
          <cell r="D6110">
            <v>31.1</v>
          </cell>
          <cell r="H6110">
            <v>45658</v>
          </cell>
          <cell r="I6110" t="str">
            <v>6040 - Employer Paid Benefits</v>
          </cell>
          <cell r="J6110">
            <v>0</v>
          </cell>
          <cell r="K6110" t="str">
            <v>Merchandising</v>
          </cell>
          <cell r="L6110" t="str">
            <v>HQ Salaries</v>
          </cell>
          <cell r="N6110" t="str">
            <v>SG&amp;A</v>
          </cell>
          <cell r="O6110" t="str">
            <v>Procyon Benefits LLC</v>
          </cell>
        </row>
        <row r="6111">
          <cell r="D6111">
            <v>42</v>
          </cell>
          <cell r="H6111">
            <v>45658</v>
          </cell>
          <cell r="I6111" t="str">
            <v>6040 - Employer Paid Benefits</v>
          </cell>
          <cell r="J6111" t="str">
            <v>Ecommerce (US)</v>
          </cell>
          <cell r="K6111" t="str">
            <v>Ecommerce</v>
          </cell>
          <cell r="L6111" t="str">
            <v>HQ Salaries</v>
          </cell>
          <cell r="N6111" t="str">
            <v>SG&amp;A</v>
          </cell>
          <cell r="O6111" t="str">
            <v>Procyon Benefits LLC</v>
          </cell>
        </row>
        <row r="6112">
          <cell r="D6112">
            <v>30.75</v>
          </cell>
          <cell r="H6112">
            <v>45658</v>
          </cell>
          <cell r="I6112" t="str">
            <v>6040 - Employer Paid Benefits</v>
          </cell>
          <cell r="J6112">
            <v>0</v>
          </cell>
          <cell r="K6112" t="str">
            <v>Executive</v>
          </cell>
          <cell r="L6112" t="str">
            <v>HQ Salaries</v>
          </cell>
          <cell r="N6112" t="str">
            <v>SG&amp;A</v>
          </cell>
          <cell r="O6112" t="str">
            <v>Procyon Benefits LLC</v>
          </cell>
        </row>
        <row r="6113">
          <cell r="D6113">
            <v>0.01</v>
          </cell>
          <cell r="H6113">
            <v>45658</v>
          </cell>
          <cell r="I6113" t="str">
            <v>8590 - Rounding Gain/Loss</v>
          </cell>
          <cell r="J6113">
            <v>0</v>
          </cell>
          <cell r="K6113" t="str">
            <v>No Department</v>
          </cell>
          <cell r="L6113" t="str">
            <v>Realized Gain / Loss</v>
          </cell>
          <cell r="N6113" t="str">
            <v>BTL</v>
          </cell>
          <cell r="O6113" t="str">
            <v>[No Vendor]</v>
          </cell>
        </row>
        <row r="6114">
          <cell r="D6114">
            <v>368.84</v>
          </cell>
          <cell r="H6114">
            <v>45658</v>
          </cell>
          <cell r="I6114" t="str">
            <v>6450 - Bank &amp; Other Fees</v>
          </cell>
          <cell r="J6114">
            <v>0</v>
          </cell>
          <cell r="K6114" t="str">
            <v>Administration</v>
          </cell>
          <cell r="L6114" t="str">
            <v>Professional Service</v>
          </cell>
          <cell r="N6114" t="str">
            <v>SG&amp;A</v>
          </cell>
          <cell r="O6114" t="str">
            <v>[No Vendor]</v>
          </cell>
        </row>
        <row r="6115">
          <cell r="D6115">
            <v>373.2</v>
          </cell>
          <cell r="H6115">
            <v>45658</v>
          </cell>
          <cell r="I6115" t="str">
            <v>6451 - Service Processing Fee</v>
          </cell>
          <cell r="J6115" t="str">
            <v>Ecommerce (US)</v>
          </cell>
          <cell r="K6115" t="str">
            <v>Ecommerce</v>
          </cell>
          <cell r="L6115" t="str">
            <v>Professional Service</v>
          </cell>
          <cell r="N6115" t="str">
            <v>Direct Costs</v>
          </cell>
          <cell r="O6115" t="str">
            <v>Shopify</v>
          </cell>
        </row>
        <row r="6116">
          <cell r="D6116">
            <v>234.08</v>
          </cell>
          <cell r="H6116">
            <v>45658</v>
          </cell>
          <cell r="I6116" t="str">
            <v>6340 - Miscellaneous Expense</v>
          </cell>
          <cell r="J6116">
            <v>0</v>
          </cell>
          <cell r="K6116" t="str">
            <v>Administration</v>
          </cell>
          <cell r="L6116" t="str">
            <v>Other</v>
          </cell>
          <cell r="N6116" t="str">
            <v>SG&amp;A</v>
          </cell>
          <cell r="O6116" t="str">
            <v>[No Vendor]</v>
          </cell>
        </row>
        <row r="6117">
          <cell r="D6117">
            <v>600</v>
          </cell>
          <cell r="H6117">
            <v>45658</v>
          </cell>
          <cell r="I6117" t="str">
            <v>6288 - Model</v>
          </cell>
          <cell r="J6117" t="str">
            <v>Ecommerce (US)</v>
          </cell>
          <cell r="K6117" t="str">
            <v>Brand Marketing</v>
          </cell>
          <cell r="L6117" t="str">
            <v>Advertising</v>
          </cell>
          <cell r="N6117" t="str">
            <v>SG&amp;A</v>
          </cell>
          <cell r="O6117" t="str">
            <v>State Artist Management</v>
          </cell>
        </row>
        <row r="6118">
          <cell r="D6118">
            <v>101.4</v>
          </cell>
          <cell r="H6118">
            <v>45658</v>
          </cell>
          <cell r="I6118" t="str">
            <v>6105 - Meals</v>
          </cell>
          <cell r="J6118">
            <v>0</v>
          </cell>
          <cell r="K6118" t="str">
            <v>Administration</v>
          </cell>
          <cell r="L6118" t="str">
            <v>T&amp;E</v>
          </cell>
          <cell r="N6118" t="str">
            <v>SG&amp;A</v>
          </cell>
          <cell r="O6118" t="str">
            <v>[No Vendor]</v>
          </cell>
        </row>
        <row r="6119">
          <cell r="D6119">
            <v>-217.11</v>
          </cell>
          <cell r="H6119">
            <v>45658</v>
          </cell>
          <cell r="I6119" t="str">
            <v>6340 - Miscellaneous Expense</v>
          </cell>
          <cell r="J6119">
            <v>0</v>
          </cell>
          <cell r="K6119" t="str">
            <v>Administration</v>
          </cell>
          <cell r="L6119" t="str">
            <v>Other</v>
          </cell>
          <cell r="N6119" t="str">
            <v>SG&amp;A</v>
          </cell>
          <cell r="O6119" t="str">
            <v>[No Vendor]</v>
          </cell>
        </row>
        <row r="6120">
          <cell r="D6120">
            <v>217.11</v>
          </cell>
          <cell r="H6120">
            <v>45658</v>
          </cell>
          <cell r="I6120" t="str">
            <v>6340 - Miscellaneous Expense</v>
          </cell>
          <cell r="J6120">
            <v>0</v>
          </cell>
          <cell r="K6120" t="str">
            <v>Administration</v>
          </cell>
          <cell r="L6120" t="str">
            <v>Other</v>
          </cell>
          <cell r="N6120" t="str">
            <v>SG&amp;A</v>
          </cell>
          <cell r="O6120" t="str">
            <v>[No Vendor]</v>
          </cell>
        </row>
        <row r="6121">
          <cell r="D6121">
            <v>217.11</v>
          </cell>
          <cell r="H6121">
            <v>45658</v>
          </cell>
          <cell r="I6121" t="str">
            <v>6120 - Lodging</v>
          </cell>
          <cell r="J6121">
            <v>0</v>
          </cell>
          <cell r="K6121" t="str">
            <v>Administration</v>
          </cell>
          <cell r="L6121" t="str">
            <v>T&amp;E</v>
          </cell>
          <cell r="N6121" t="str">
            <v>SG&amp;A</v>
          </cell>
          <cell r="O6121" t="str">
            <v>[No Vendor]</v>
          </cell>
        </row>
        <row r="6122">
          <cell r="D6122">
            <v>194.49</v>
          </cell>
          <cell r="H6122">
            <v>45658</v>
          </cell>
          <cell r="I6122" t="str">
            <v>6120 - Lodging</v>
          </cell>
          <cell r="J6122">
            <v>0</v>
          </cell>
          <cell r="K6122" t="str">
            <v>Administration</v>
          </cell>
          <cell r="L6122" t="str">
            <v>T&amp;E</v>
          </cell>
          <cell r="N6122" t="str">
            <v>SG&amp;A</v>
          </cell>
          <cell r="O6122" t="str">
            <v>[No Vendor]</v>
          </cell>
        </row>
        <row r="6123">
          <cell r="D6123">
            <v>325.25</v>
          </cell>
          <cell r="H6123">
            <v>45658</v>
          </cell>
          <cell r="I6123" t="str">
            <v>6300 - Payroll Service Fees</v>
          </cell>
          <cell r="J6123">
            <v>0</v>
          </cell>
          <cell r="K6123" t="str">
            <v>Administration</v>
          </cell>
          <cell r="L6123" t="str">
            <v>Professional Service</v>
          </cell>
          <cell r="N6123" t="str">
            <v>SG&amp;A</v>
          </cell>
          <cell r="O6123" t="str">
            <v>ADP Payroll Services</v>
          </cell>
        </row>
        <row r="6124">
          <cell r="D6124">
            <v>24338.81</v>
          </cell>
          <cell r="H6124">
            <v>45658</v>
          </cell>
          <cell r="I6124" t="str">
            <v>6375 - Freight Expenses</v>
          </cell>
          <cell r="J6124" t="str">
            <v>Ecommerce (US)</v>
          </cell>
          <cell r="K6124" t="str">
            <v>Ecommerce</v>
          </cell>
          <cell r="L6124" t="str">
            <v>Freight</v>
          </cell>
          <cell r="N6124" t="str">
            <v>Direct Costs</v>
          </cell>
          <cell r="O6124" t="str">
            <v>UPS Supply Chain Solutions Inc. (7F24A0)</v>
          </cell>
        </row>
        <row r="6125">
          <cell r="D6125">
            <v>91.24</v>
          </cell>
          <cell r="H6125">
            <v>45658</v>
          </cell>
          <cell r="I6125" t="str">
            <v>6375 - Freight Expenses</v>
          </cell>
          <cell r="J6125" t="str">
            <v>Wholesale</v>
          </cell>
          <cell r="K6125" t="str">
            <v>Wholesale</v>
          </cell>
          <cell r="L6125" t="str">
            <v>Freight</v>
          </cell>
          <cell r="N6125" t="str">
            <v>Direct Costs</v>
          </cell>
          <cell r="O6125" t="str">
            <v>UPS Supply Chain Solutions Inc. (7F24A0)</v>
          </cell>
        </row>
        <row r="6126">
          <cell r="D6126">
            <v>47.54</v>
          </cell>
          <cell r="H6126">
            <v>45658</v>
          </cell>
          <cell r="I6126" t="str">
            <v>6375 - Freight Expenses</v>
          </cell>
          <cell r="J6126">
            <v>0</v>
          </cell>
          <cell r="K6126" t="str">
            <v>Production</v>
          </cell>
          <cell r="L6126" t="str">
            <v>Freight</v>
          </cell>
          <cell r="N6126" t="str">
            <v>Direct Costs</v>
          </cell>
          <cell r="O6126" t="str">
            <v>Federal Express</v>
          </cell>
        </row>
        <row r="6127">
          <cell r="D6127">
            <v>1283.29</v>
          </cell>
          <cell r="H6127">
            <v>45658</v>
          </cell>
          <cell r="I6127" t="str">
            <v>6375 - Freight Expenses</v>
          </cell>
          <cell r="J6127" t="str">
            <v>Ecommerce (US)</v>
          </cell>
          <cell r="K6127" t="str">
            <v>Ecommerce</v>
          </cell>
          <cell r="L6127" t="str">
            <v>Freight</v>
          </cell>
          <cell r="N6127" t="str">
            <v>Direct Costs</v>
          </cell>
          <cell r="O6127" t="str">
            <v>UPS Supply Chain Solutions Inc. (7F24A0)</v>
          </cell>
        </row>
        <row r="6128">
          <cell r="D6128">
            <v>1626.4</v>
          </cell>
          <cell r="H6128">
            <v>45658</v>
          </cell>
          <cell r="I6128" t="str">
            <v>8700 - Other Expense</v>
          </cell>
          <cell r="J6128">
            <v>0</v>
          </cell>
          <cell r="K6128" t="str">
            <v>Administration</v>
          </cell>
          <cell r="L6128" t="str">
            <v>Other Expense</v>
          </cell>
          <cell r="N6128" t="str">
            <v>BTL</v>
          </cell>
          <cell r="O6128" t="str">
            <v>ADP Payroll Services</v>
          </cell>
        </row>
        <row r="6129">
          <cell r="D6129">
            <v>1394.02</v>
          </cell>
          <cell r="H6129">
            <v>45658</v>
          </cell>
          <cell r="I6129" t="str">
            <v>8505 - Realized Gain/Loss</v>
          </cell>
          <cell r="J6129">
            <v>0</v>
          </cell>
          <cell r="K6129" t="str">
            <v>No Department</v>
          </cell>
          <cell r="L6129" t="str">
            <v>Realized Gain / Loss</v>
          </cell>
          <cell r="N6129" t="str">
            <v>BTL</v>
          </cell>
          <cell r="O6129" t="str">
            <v>[No Vendor]</v>
          </cell>
        </row>
        <row r="6130">
          <cell r="D6130">
            <v>2996.92</v>
          </cell>
          <cell r="H6130">
            <v>45658</v>
          </cell>
          <cell r="I6130" t="str">
            <v>6450 - Bank &amp; Other Fees</v>
          </cell>
          <cell r="J6130">
            <v>0</v>
          </cell>
          <cell r="K6130" t="str">
            <v>Administration</v>
          </cell>
          <cell r="L6130" t="str">
            <v>Professional Service</v>
          </cell>
          <cell r="N6130" t="str">
            <v>SG&amp;A</v>
          </cell>
          <cell r="O6130" t="str">
            <v>[No Vendor]</v>
          </cell>
        </row>
        <row r="6131">
          <cell r="D6131">
            <v>13927.84</v>
          </cell>
          <cell r="H6131">
            <v>45658</v>
          </cell>
          <cell r="I6131" t="str">
            <v>6451 - Service Processing Fee</v>
          </cell>
          <cell r="J6131" t="str">
            <v>Ecommerce (US)</v>
          </cell>
          <cell r="K6131" t="str">
            <v>Ecommerce</v>
          </cell>
          <cell r="L6131" t="str">
            <v>Professional Service</v>
          </cell>
          <cell r="N6131" t="str">
            <v>Direct Costs</v>
          </cell>
          <cell r="O6131" t="str">
            <v>Loop</v>
          </cell>
        </row>
        <row r="6132">
          <cell r="D6132">
            <v>123.62</v>
          </cell>
          <cell r="H6132">
            <v>45658</v>
          </cell>
          <cell r="I6132" t="str">
            <v>6040 - Employer Paid Benefits</v>
          </cell>
          <cell r="J6132">
            <v>0</v>
          </cell>
          <cell r="K6132" t="str">
            <v>Administration</v>
          </cell>
          <cell r="L6132" t="str">
            <v>HQ Salaries</v>
          </cell>
          <cell r="N6132" t="str">
            <v>SG&amp;A</v>
          </cell>
          <cell r="O6132" t="str">
            <v>Procyon Benefits LLC</v>
          </cell>
        </row>
        <row r="6133">
          <cell r="D6133">
            <v>720</v>
          </cell>
          <cell r="H6133">
            <v>45658</v>
          </cell>
          <cell r="I6133" t="str">
            <v>6288 - Model</v>
          </cell>
          <cell r="J6133" t="str">
            <v>Ecommerce (US)</v>
          </cell>
          <cell r="K6133" t="str">
            <v>Brand Marketing</v>
          </cell>
          <cell r="L6133" t="str">
            <v>Advertising</v>
          </cell>
          <cell r="N6133" t="str">
            <v>SG&amp;A</v>
          </cell>
          <cell r="O6133" t="str">
            <v>Women Management LLC</v>
          </cell>
        </row>
        <row r="6134">
          <cell r="D6134">
            <v>387.5</v>
          </cell>
          <cell r="H6134">
            <v>45658</v>
          </cell>
          <cell r="I6134" t="str">
            <v>6300 - Payroll Service Fees</v>
          </cell>
          <cell r="J6134">
            <v>0</v>
          </cell>
          <cell r="K6134" t="str">
            <v>Administration</v>
          </cell>
          <cell r="L6134" t="str">
            <v>Professional Service</v>
          </cell>
          <cell r="N6134" t="str">
            <v>SG&amp;A</v>
          </cell>
          <cell r="O6134" t="str">
            <v>OperationsInc, LLC</v>
          </cell>
        </row>
        <row r="6135">
          <cell r="D6135">
            <v>107.89</v>
          </cell>
          <cell r="H6135">
            <v>45658</v>
          </cell>
          <cell r="I6135" t="str">
            <v>6125 - Transportation and Fuel</v>
          </cell>
          <cell r="J6135" t="str">
            <v>Ecommerce (US)</v>
          </cell>
          <cell r="K6135" t="str">
            <v>Ecommerce</v>
          </cell>
          <cell r="L6135" t="str">
            <v>T&amp;E</v>
          </cell>
          <cell r="N6135" t="str">
            <v>SG&amp;A</v>
          </cell>
          <cell r="O6135" t="str">
            <v>[No Vendor]</v>
          </cell>
        </row>
        <row r="6136">
          <cell r="D6136">
            <v>107.89</v>
          </cell>
          <cell r="H6136">
            <v>45658</v>
          </cell>
          <cell r="I6136" t="str">
            <v>6125 - Transportation and Fuel</v>
          </cell>
          <cell r="J6136" t="str">
            <v>Ecommerce (US)</v>
          </cell>
          <cell r="K6136" t="str">
            <v>Ecommerce</v>
          </cell>
          <cell r="L6136" t="str">
            <v>T&amp;E</v>
          </cell>
          <cell r="N6136" t="str">
            <v>SG&amp;A</v>
          </cell>
          <cell r="O6136" t="str">
            <v>[No Vendor]</v>
          </cell>
        </row>
        <row r="6137">
          <cell r="D6137">
            <v>21.16</v>
          </cell>
          <cell r="H6137">
            <v>45658</v>
          </cell>
          <cell r="I6137" t="str">
            <v>6375 - Freight Expenses</v>
          </cell>
          <cell r="J6137">
            <v>0</v>
          </cell>
          <cell r="K6137" t="str">
            <v>Production</v>
          </cell>
          <cell r="L6137" t="str">
            <v>Freight</v>
          </cell>
          <cell r="N6137" t="str">
            <v>Direct Costs</v>
          </cell>
          <cell r="O6137" t="str">
            <v>DHL Express - USA</v>
          </cell>
        </row>
        <row r="6138">
          <cell r="D6138">
            <v>96.33</v>
          </cell>
          <cell r="H6138">
            <v>45658</v>
          </cell>
          <cell r="I6138" t="str">
            <v>6375 - Freight Expenses</v>
          </cell>
          <cell r="J6138">
            <v>0</v>
          </cell>
          <cell r="K6138" t="str">
            <v>Production</v>
          </cell>
          <cell r="L6138" t="str">
            <v>Freight</v>
          </cell>
          <cell r="N6138" t="str">
            <v>Direct Costs</v>
          </cell>
          <cell r="O6138" t="str">
            <v>DHL Express - USA</v>
          </cell>
        </row>
        <row r="6139">
          <cell r="D6139">
            <v>125.03</v>
          </cell>
          <cell r="H6139">
            <v>45658</v>
          </cell>
          <cell r="I6139" t="str">
            <v>6375 - Freight Expenses</v>
          </cell>
          <cell r="J6139" t="str">
            <v>Ecommerce (US)</v>
          </cell>
          <cell r="K6139" t="str">
            <v>Ecommerce</v>
          </cell>
          <cell r="L6139" t="str">
            <v>Freight</v>
          </cell>
          <cell r="N6139" t="str">
            <v>Direct Costs</v>
          </cell>
          <cell r="O6139" t="str">
            <v>UPS Supply Chain Solutions Inc. (7F24A0)</v>
          </cell>
        </row>
        <row r="6140">
          <cell r="D6140">
            <v>30.77</v>
          </cell>
          <cell r="H6140">
            <v>45658</v>
          </cell>
          <cell r="I6140" t="str">
            <v>6040 - Employer Paid Benefits</v>
          </cell>
          <cell r="J6140" t="str">
            <v>Wholesale</v>
          </cell>
          <cell r="K6140" t="str">
            <v>Wholesale</v>
          </cell>
          <cell r="L6140" t="str">
            <v>HQ Salaries</v>
          </cell>
          <cell r="N6140" t="str">
            <v>SG&amp;A</v>
          </cell>
          <cell r="O6140" t="str">
            <v>Procyon Benefits LLC</v>
          </cell>
        </row>
        <row r="6141">
          <cell r="D6141">
            <v>73.3</v>
          </cell>
          <cell r="H6141">
            <v>45658</v>
          </cell>
          <cell r="I6141" t="str">
            <v>6040 - Employer Paid Benefits</v>
          </cell>
          <cell r="J6141">
            <v>0</v>
          </cell>
          <cell r="K6141" t="str">
            <v>Production</v>
          </cell>
          <cell r="L6141" t="str">
            <v>HQ Salaries</v>
          </cell>
          <cell r="N6141" t="str">
            <v>SG&amp;A</v>
          </cell>
          <cell r="O6141" t="str">
            <v>Procyon Benefits LLC</v>
          </cell>
        </row>
        <row r="6142">
          <cell r="D6142">
            <v>28.2</v>
          </cell>
          <cell r="H6142">
            <v>45658</v>
          </cell>
          <cell r="I6142" t="str">
            <v>6040 - Employer Paid Benefits</v>
          </cell>
          <cell r="J6142">
            <v>0</v>
          </cell>
          <cell r="K6142" t="str">
            <v>Merchandising</v>
          </cell>
          <cell r="L6142" t="str">
            <v>HQ Salaries</v>
          </cell>
          <cell r="N6142" t="str">
            <v>SG&amp;A</v>
          </cell>
          <cell r="O6142" t="str">
            <v>Procyon Benefits LLC</v>
          </cell>
        </row>
        <row r="6143">
          <cell r="D6143">
            <v>290.61</v>
          </cell>
          <cell r="H6143">
            <v>45658</v>
          </cell>
          <cell r="I6143" t="str">
            <v>6040 - Employer Paid Benefits</v>
          </cell>
          <cell r="J6143">
            <v>0</v>
          </cell>
          <cell r="K6143" t="str">
            <v>Brand Marketing</v>
          </cell>
          <cell r="L6143" t="str">
            <v>HQ Salaries</v>
          </cell>
          <cell r="N6143" t="str">
            <v>SG&amp;A</v>
          </cell>
          <cell r="O6143" t="str">
            <v>Procyon Benefits LLC</v>
          </cell>
        </row>
        <row r="6144">
          <cell r="D6144">
            <v>54</v>
          </cell>
          <cell r="H6144">
            <v>45658</v>
          </cell>
          <cell r="I6144" t="str">
            <v>6040 - Employer Paid Benefits</v>
          </cell>
          <cell r="J6144" t="str">
            <v>Ecommerce (US)</v>
          </cell>
          <cell r="K6144" t="str">
            <v>Ecommerce</v>
          </cell>
          <cell r="L6144" t="str">
            <v>HQ Salaries</v>
          </cell>
          <cell r="N6144" t="str">
            <v>SG&amp;A</v>
          </cell>
          <cell r="O6144" t="str">
            <v>Procyon Benefits LLC</v>
          </cell>
        </row>
        <row r="6145">
          <cell r="D6145">
            <v>12</v>
          </cell>
          <cell r="H6145">
            <v>45658</v>
          </cell>
          <cell r="I6145" t="str">
            <v>6040 - Employer Paid Benefits</v>
          </cell>
          <cell r="J6145">
            <v>0</v>
          </cell>
          <cell r="K6145" t="str">
            <v>Executive</v>
          </cell>
          <cell r="L6145" t="str">
            <v>HQ Salaries</v>
          </cell>
          <cell r="N6145" t="str">
            <v>SG&amp;A</v>
          </cell>
          <cell r="O6145" t="str">
            <v>Procyon Benefits LLC</v>
          </cell>
        </row>
        <row r="6146">
          <cell r="D6146">
            <v>2.9</v>
          </cell>
          <cell r="H6146">
            <v>45658</v>
          </cell>
          <cell r="I6146" t="str">
            <v>6040 - Employer Paid Benefits</v>
          </cell>
          <cell r="J6146">
            <v>0</v>
          </cell>
          <cell r="K6146" t="str">
            <v>Design</v>
          </cell>
          <cell r="L6146" t="str">
            <v>HQ Salaries</v>
          </cell>
          <cell r="N6146" t="str">
            <v>SG&amp;A</v>
          </cell>
          <cell r="O6146" t="str">
            <v>Procyon Benefits LLC</v>
          </cell>
        </row>
        <row r="6147">
          <cell r="D6147">
            <v>-91</v>
          </cell>
          <cell r="H6147">
            <v>45658</v>
          </cell>
          <cell r="I6147" t="str">
            <v>6040 - Employer Paid Benefits</v>
          </cell>
          <cell r="J6147">
            <v>0</v>
          </cell>
          <cell r="K6147" t="str">
            <v>Administration</v>
          </cell>
          <cell r="L6147" t="str">
            <v>HQ Salaries</v>
          </cell>
          <cell r="N6147" t="str">
            <v>SG&amp;A</v>
          </cell>
          <cell r="O6147" t="str">
            <v>[No Vendor]</v>
          </cell>
        </row>
        <row r="6148">
          <cell r="D6148">
            <v>-0.05</v>
          </cell>
          <cell r="H6148">
            <v>45658</v>
          </cell>
          <cell r="I6148" t="str">
            <v>6340 - Miscellaneous Expense</v>
          </cell>
          <cell r="J6148">
            <v>0</v>
          </cell>
          <cell r="K6148" t="str">
            <v>Administration</v>
          </cell>
          <cell r="L6148" t="str">
            <v>Other</v>
          </cell>
          <cell r="N6148" t="str">
            <v>SG&amp;A</v>
          </cell>
          <cell r="O6148" t="str">
            <v>[No Vendor]</v>
          </cell>
        </row>
        <row r="6149">
          <cell r="D6149">
            <v>-2532.5500000000002</v>
          </cell>
          <cell r="H6149">
            <v>45658</v>
          </cell>
          <cell r="I6149" t="str">
            <v>6040 - Employer Paid Benefits</v>
          </cell>
          <cell r="J6149">
            <v>0</v>
          </cell>
          <cell r="K6149" t="str">
            <v>Administration</v>
          </cell>
          <cell r="L6149" t="str">
            <v>HQ Salaries</v>
          </cell>
          <cell r="N6149" t="str">
            <v>SG&amp;A</v>
          </cell>
          <cell r="O6149" t="str">
            <v>[No Vendor]</v>
          </cell>
        </row>
        <row r="6150">
          <cell r="D6150">
            <v>25</v>
          </cell>
          <cell r="H6150">
            <v>45658</v>
          </cell>
          <cell r="I6150" t="str">
            <v>6040 - Employer Paid Benefits</v>
          </cell>
          <cell r="J6150">
            <v>0</v>
          </cell>
          <cell r="K6150" t="str">
            <v>Administration</v>
          </cell>
          <cell r="L6150" t="str">
            <v>HQ Salaries</v>
          </cell>
          <cell r="N6150" t="str">
            <v>SG&amp;A</v>
          </cell>
          <cell r="O6150" t="str">
            <v>Lifetime Benefit Solutions, Inc</v>
          </cell>
        </row>
        <row r="6151">
          <cell r="D6151">
            <v>600</v>
          </cell>
          <cell r="H6151">
            <v>45658</v>
          </cell>
          <cell r="I6151" t="str">
            <v>6288 - Model</v>
          </cell>
          <cell r="J6151" t="str">
            <v>Ecommerce (US)</v>
          </cell>
          <cell r="K6151" t="str">
            <v>Brand Marketing</v>
          </cell>
          <cell r="L6151" t="str">
            <v>Advertising</v>
          </cell>
          <cell r="N6151" t="str">
            <v>SG&amp;A</v>
          </cell>
          <cell r="O6151" t="str">
            <v>State Artist Management</v>
          </cell>
        </row>
        <row r="6152">
          <cell r="D6152">
            <v>5333.5</v>
          </cell>
          <cell r="H6152">
            <v>45658</v>
          </cell>
          <cell r="I6152" t="str">
            <v>6363 - Development</v>
          </cell>
          <cell r="J6152" t="str">
            <v>Wholesale</v>
          </cell>
          <cell r="K6152" t="str">
            <v>Production</v>
          </cell>
          <cell r="L6152" t="str">
            <v>Sample</v>
          </cell>
          <cell r="N6152" t="str">
            <v>SG&amp;A</v>
          </cell>
          <cell r="O6152" t="str">
            <v>Porta Asiatica Enterprises Inc</v>
          </cell>
        </row>
        <row r="6153">
          <cell r="D6153">
            <v>4194</v>
          </cell>
          <cell r="H6153">
            <v>45658</v>
          </cell>
          <cell r="I6153" t="str">
            <v>6363 - Development</v>
          </cell>
          <cell r="J6153" t="str">
            <v>Wholesale</v>
          </cell>
          <cell r="K6153" t="str">
            <v>Production</v>
          </cell>
          <cell r="L6153" t="str">
            <v>Sample</v>
          </cell>
          <cell r="N6153" t="str">
            <v>SG&amp;A</v>
          </cell>
          <cell r="O6153" t="str">
            <v>Porta Asiatica Enterprises Inc</v>
          </cell>
        </row>
        <row r="6154">
          <cell r="D6154">
            <v>43.83</v>
          </cell>
          <cell r="H6154">
            <v>45658</v>
          </cell>
          <cell r="I6154" t="str">
            <v>6375 - Freight Expenses</v>
          </cell>
          <cell r="J6154">
            <v>0</v>
          </cell>
          <cell r="K6154" t="str">
            <v>Production</v>
          </cell>
          <cell r="L6154" t="str">
            <v>Freight</v>
          </cell>
          <cell r="N6154" t="str">
            <v>Direct Costs</v>
          </cell>
          <cell r="O6154" t="str">
            <v>DHL Express - USA</v>
          </cell>
        </row>
        <row r="6155">
          <cell r="D6155">
            <v>113.16</v>
          </cell>
          <cell r="H6155">
            <v>45658</v>
          </cell>
          <cell r="I6155" t="str">
            <v>6375 - Freight Expenses</v>
          </cell>
          <cell r="J6155" t="str">
            <v>Ecommerce (US)</v>
          </cell>
          <cell r="K6155" t="str">
            <v>Ecommerce</v>
          </cell>
          <cell r="L6155" t="str">
            <v>Freight</v>
          </cell>
          <cell r="N6155" t="str">
            <v>Direct Costs</v>
          </cell>
          <cell r="O6155" t="str">
            <v>UPS Supply Chain Solutions Inc. (7F24A0)</v>
          </cell>
        </row>
        <row r="6156">
          <cell r="D6156">
            <v>184.35</v>
          </cell>
          <cell r="H6156">
            <v>45658</v>
          </cell>
          <cell r="I6156" t="str">
            <v>6300 - Payroll Service Fees</v>
          </cell>
          <cell r="J6156">
            <v>0</v>
          </cell>
          <cell r="K6156" t="str">
            <v>Administration</v>
          </cell>
          <cell r="L6156" t="str">
            <v>Professional Service</v>
          </cell>
          <cell r="N6156" t="str">
            <v>SG&amp;A</v>
          </cell>
          <cell r="O6156" t="str">
            <v>ADP Payroll Services</v>
          </cell>
        </row>
        <row r="6157">
          <cell r="D6157">
            <v>4029.95</v>
          </cell>
          <cell r="H6157">
            <v>45658</v>
          </cell>
          <cell r="I6157" t="str">
            <v>6210 - Monitoring</v>
          </cell>
          <cell r="J6157" t="str">
            <v>Ecommerce (EU)</v>
          </cell>
          <cell r="K6157" t="str">
            <v>Ecommerce</v>
          </cell>
          <cell r="L6157" t="str">
            <v>Professional Service</v>
          </cell>
          <cell r="N6157" t="str">
            <v>Direct Costs</v>
          </cell>
          <cell r="O6157" t="str">
            <v>Convey SRL</v>
          </cell>
        </row>
        <row r="6158">
          <cell r="D6158">
            <v>26115.41</v>
          </cell>
          <cell r="H6158">
            <v>45658</v>
          </cell>
          <cell r="I6158" t="str">
            <v>6005 - Salaries</v>
          </cell>
          <cell r="J6158">
            <v>0</v>
          </cell>
          <cell r="K6158" t="str">
            <v>Administration</v>
          </cell>
          <cell r="L6158" t="str">
            <v>HQ Salaries</v>
          </cell>
          <cell r="N6158" t="str">
            <v>SG&amp;A</v>
          </cell>
          <cell r="O6158" t="str">
            <v>[No Vendor]</v>
          </cell>
        </row>
        <row r="6159">
          <cell r="D6159">
            <v>0</v>
          </cell>
          <cell r="H6159">
            <v>45658</v>
          </cell>
          <cell r="I6159" t="str">
            <v>6035 - Severance Expense</v>
          </cell>
          <cell r="J6159" t="str">
            <v>Wholesale</v>
          </cell>
          <cell r="K6159" t="str">
            <v>Wholesale</v>
          </cell>
          <cell r="L6159" t="str">
            <v>HQ Salaries</v>
          </cell>
          <cell r="N6159" t="str">
            <v>SG&amp;A</v>
          </cell>
          <cell r="O6159" t="str">
            <v>[No Vendor]</v>
          </cell>
        </row>
        <row r="6160">
          <cell r="D6160">
            <v>0</v>
          </cell>
          <cell r="H6160">
            <v>45658</v>
          </cell>
          <cell r="I6160" t="str">
            <v>6205 - Contractors</v>
          </cell>
          <cell r="J6160">
            <v>0</v>
          </cell>
          <cell r="K6160" t="str">
            <v>Brand Marketing</v>
          </cell>
          <cell r="L6160" t="str">
            <v>HQ Salaries</v>
          </cell>
          <cell r="N6160" t="str">
            <v>SG&amp;A</v>
          </cell>
          <cell r="O6160" t="str">
            <v>[No Vendor]</v>
          </cell>
        </row>
        <row r="6161">
          <cell r="D6161">
            <v>9850</v>
          </cell>
          <cell r="H6161">
            <v>45658</v>
          </cell>
          <cell r="I6161" t="str">
            <v>6205 - Contractors</v>
          </cell>
          <cell r="J6161" t="str">
            <v>Ecommerce (US)</v>
          </cell>
          <cell r="K6161" t="str">
            <v>Ecommerce</v>
          </cell>
          <cell r="L6161" t="str">
            <v>HQ Salaries</v>
          </cell>
          <cell r="N6161" t="str">
            <v>SG&amp;A</v>
          </cell>
          <cell r="O6161" t="str">
            <v>[No Vendor]</v>
          </cell>
        </row>
        <row r="6162">
          <cell r="D6162">
            <v>0</v>
          </cell>
          <cell r="H6162">
            <v>45658</v>
          </cell>
          <cell r="I6162" t="str">
            <v>6205 - Contractors</v>
          </cell>
          <cell r="J6162">
            <v>0</v>
          </cell>
          <cell r="K6162" t="str">
            <v>Design</v>
          </cell>
          <cell r="L6162" t="str">
            <v>HQ Salaries</v>
          </cell>
          <cell r="N6162" t="str">
            <v>SG&amp;A</v>
          </cell>
          <cell r="O6162" t="str">
            <v>[No Vendor]</v>
          </cell>
        </row>
        <row r="6163">
          <cell r="D6163">
            <v>-21.18</v>
          </cell>
          <cell r="H6163">
            <v>45658</v>
          </cell>
          <cell r="I6163" t="str">
            <v>6385 - Insurance</v>
          </cell>
          <cell r="J6163">
            <v>0</v>
          </cell>
          <cell r="K6163" t="str">
            <v>Administration</v>
          </cell>
          <cell r="L6163" t="str">
            <v>Professional Service</v>
          </cell>
          <cell r="N6163" t="str">
            <v>SG&amp;A</v>
          </cell>
          <cell r="O6163" t="str">
            <v>[No Vendor]</v>
          </cell>
        </row>
        <row r="6164">
          <cell r="D6164">
            <v>-48.66</v>
          </cell>
          <cell r="H6164">
            <v>45658</v>
          </cell>
          <cell r="I6164" t="str">
            <v>6385 - Insurance</v>
          </cell>
          <cell r="J6164">
            <v>0</v>
          </cell>
          <cell r="K6164" t="str">
            <v>Administration</v>
          </cell>
          <cell r="L6164" t="str">
            <v>Professional Service</v>
          </cell>
          <cell r="N6164" t="str">
            <v>SG&amp;A</v>
          </cell>
          <cell r="O6164" t="str">
            <v>[No Vendor]</v>
          </cell>
        </row>
        <row r="6165">
          <cell r="D6165">
            <v>-82.34</v>
          </cell>
          <cell r="H6165">
            <v>45658</v>
          </cell>
          <cell r="I6165" t="str">
            <v>6385 - Insurance</v>
          </cell>
          <cell r="J6165">
            <v>0</v>
          </cell>
          <cell r="K6165" t="str">
            <v>Administration</v>
          </cell>
          <cell r="L6165" t="str">
            <v>Professional Service</v>
          </cell>
          <cell r="N6165" t="str">
            <v>SG&amp;A</v>
          </cell>
          <cell r="O6165" t="str">
            <v>[No Vendor]</v>
          </cell>
        </row>
        <row r="6166">
          <cell r="D6166">
            <v>-13.88</v>
          </cell>
          <cell r="H6166">
            <v>45658</v>
          </cell>
          <cell r="I6166" t="str">
            <v>6385 - Insurance</v>
          </cell>
          <cell r="J6166">
            <v>0</v>
          </cell>
          <cell r="K6166" t="str">
            <v>Administration</v>
          </cell>
          <cell r="L6166" t="str">
            <v>Professional Service</v>
          </cell>
          <cell r="N6166" t="str">
            <v>SG&amp;A</v>
          </cell>
          <cell r="O6166" t="str">
            <v>[No Vendor]</v>
          </cell>
        </row>
        <row r="6167">
          <cell r="D6167">
            <v>-44.48</v>
          </cell>
          <cell r="H6167">
            <v>45658</v>
          </cell>
          <cell r="I6167" t="str">
            <v>6385 - Insurance</v>
          </cell>
          <cell r="J6167">
            <v>0</v>
          </cell>
          <cell r="K6167" t="str">
            <v>Administration</v>
          </cell>
          <cell r="L6167" t="str">
            <v>Professional Service</v>
          </cell>
          <cell r="N6167" t="str">
            <v>SG&amp;A</v>
          </cell>
          <cell r="O6167" t="str">
            <v>[No Vendor]</v>
          </cell>
        </row>
        <row r="6168">
          <cell r="D6168">
            <v>-43.2</v>
          </cell>
          <cell r="H6168">
            <v>45658</v>
          </cell>
          <cell r="I6168" t="str">
            <v>6385 - Insurance</v>
          </cell>
          <cell r="J6168">
            <v>0</v>
          </cell>
          <cell r="K6168" t="str">
            <v>Administration</v>
          </cell>
          <cell r="L6168" t="str">
            <v>Professional Service</v>
          </cell>
          <cell r="N6168" t="str">
            <v>SG&amp;A</v>
          </cell>
          <cell r="O6168" t="str">
            <v>[No Vendor]</v>
          </cell>
        </row>
        <row r="6169">
          <cell r="D6169">
            <v>-88.99</v>
          </cell>
          <cell r="H6169">
            <v>45658</v>
          </cell>
          <cell r="I6169" t="str">
            <v>6385 - Insurance</v>
          </cell>
          <cell r="J6169">
            <v>0</v>
          </cell>
          <cell r="K6169" t="str">
            <v>Administration</v>
          </cell>
          <cell r="L6169" t="str">
            <v>Professional Service</v>
          </cell>
          <cell r="N6169" t="str">
            <v>SG&amp;A</v>
          </cell>
          <cell r="O6169" t="str">
            <v>[No Vendor]</v>
          </cell>
        </row>
        <row r="6170">
          <cell r="D6170">
            <v>-41.72</v>
          </cell>
          <cell r="H6170">
            <v>45658</v>
          </cell>
          <cell r="I6170" t="str">
            <v>6385 - Insurance</v>
          </cell>
          <cell r="J6170">
            <v>0</v>
          </cell>
          <cell r="K6170" t="str">
            <v>Administration</v>
          </cell>
          <cell r="L6170" t="str">
            <v>Professional Service</v>
          </cell>
          <cell r="N6170" t="str">
            <v>SG&amp;A</v>
          </cell>
          <cell r="O6170" t="str">
            <v>[No Vendor]</v>
          </cell>
        </row>
        <row r="6171">
          <cell r="D6171">
            <v>1584.96</v>
          </cell>
          <cell r="H6171">
            <v>45658</v>
          </cell>
          <cell r="I6171" t="str">
            <v>6055 - Employer Social Security Tax Withheld</v>
          </cell>
          <cell r="J6171" t="str">
            <v>Wholesale</v>
          </cell>
          <cell r="K6171" t="str">
            <v>Wholesale</v>
          </cell>
          <cell r="L6171" t="str">
            <v>HQ Salaries</v>
          </cell>
          <cell r="N6171" t="str">
            <v>SG&amp;A</v>
          </cell>
          <cell r="O6171" t="str">
            <v>[No Vendor]</v>
          </cell>
        </row>
        <row r="6172">
          <cell r="D6172">
            <v>2969.63</v>
          </cell>
          <cell r="H6172">
            <v>45658</v>
          </cell>
          <cell r="I6172" t="str">
            <v>6055 - Employer Social Security Tax Withheld</v>
          </cell>
          <cell r="J6172">
            <v>0</v>
          </cell>
          <cell r="K6172" t="str">
            <v>Production</v>
          </cell>
          <cell r="L6172" t="str">
            <v>HQ Salaries</v>
          </cell>
          <cell r="N6172" t="str">
            <v>SG&amp;A</v>
          </cell>
          <cell r="O6172" t="str">
            <v>[No Vendor]</v>
          </cell>
        </row>
        <row r="6173">
          <cell r="D6173">
            <v>525.99</v>
          </cell>
          <cell r="H6173">
            <v>45658</v>
          </cell>
          <cell r="I6173" t="str">
            <v>6055 - Employer Social Security Tax Withheld</v>
          </cell>
          <cell r="J6173">
            <v>0</v>
          </cell>
          <cell r="K6173" t="str">
            <v>Brand Marketing</v>
          </cell>
          <cell r="L6173" t="str">
            <v>HQ Salaries</v>
          </cell>
          <cell r="N6173" t="str">
            <v>SG&amp;A</v>
          </cell>
          <cell r="O6173" t="str">
            <v>[No Vendor]</v>
          </cell>
        </row>
        <row r="6174">
          <cell r="D6174">
            <v>1252.75</v>
          </cell>
          <cell r="H6174">
            <v>45658</v>
          </cell>
          <cell r="I6174" t="str">
            <v>6055 - Employer Social Security Tax Withheld</v>
          </cell>
          <cell r="J6174">
            <v>0</v>
          </cell>
          <cell r="K6174" t="str">
            <v>Executive</v>
          </cell>
          <cell r="L6174" t="str">
            <v>HQ Salaries</v>
          </cell>
          <cell r="N6174" t="str">
            <v>SG&amp;A</v>
          </cell>
          <cell r="O6174" t="str">
            <v>[No Vendor]</v>
          </cell>
        </row>
        <row r="6175">
          <cell r="D6175">
            <v>2855.54</v>
          </cell>
          <cell r="H6175">
            <v>45658</v>
          </cell>
          <cell r="I6175" t="str">
            <v>6055 - Employer Social Security Tax Withheld</v>
          </cell>
          <cell r="J6175" t="str">
            <v>Ecommerce (US)</v>
          </cell>
          <cell r="K6175" t="str">
            <v>Ecommerce</v>
          </cell>
          <cell r="L6175" t="str">
            <v>HQ Salaries</v>
          </cell>
          <cell r="N6175" t="str">
            <v>SG&amp;A</v>
          </cell>
          <cell r="O6175" t="str">
            <v>[No Vendor]</v>
          </cell>
        </row>
        <row r="6176">
          <cell r="D6176">
            <v>3141.1</v>
          </cell>
          <cell r="H6176">
            <v>45658</v>
          </cell>
          <cell r="I6176" t="str">
            <v>6055 - Employer Social Security Tax Withheld</v>
          </cell>
          <cell r="J6176">
            <v>0</v>
          </cell>
          <cell r="K6176" t="str">
            <v>Design</v>
          </cell>
          <cell r="L6176" t="str">
            <v>HQ Salaries</v>
          </cell>
          <cell r="N6176" t="str">
            <v>SG&amp;A</v>
          </cell>
          <cell r="O6176" t="str">
            <v>[No Vendor]</v>
          </cell>
        </row>
        <row r="6177">
          <cell r="D6177">
            <v>3138.71</v>
          </cell>
          <cell r="H6177">
            <v>45658</v>
          </cell>
          <cell r="I6177" t="str">
            <v>6055 - Employer Social Security Tax Withheld</v>
          </cell>
          <cell r="J6177">
            <v>0</v>
          </cell>
          <cell r="K6177" t="str">
            <v>Administration</v>
          </cell>
          <cell r="L6177" t="str">
            <v>HQ Salaries</v>
          </cell>
          <cell r="N6177" t="str">
            <v>SG&amp;A</v>
          </cell>
          <cell r="O6177" t="str">
            <v>[No Vendor]</v>
          </cell>
        </row>
        <row r="6178">
          <cell r="D6178">
            <v>811.93</v>
          </cell>
          <cell r="H6178">
            <v>45658</v>
          </cell>
          <cell r="I6178" t="str">
            <v>6055 - Employer Social Security Tax Withheld</v>
          </cell>
          <cell r="J6178">
            <v>0</v>
          </cell>
          <cell r="K6178" t="str">
            <v>Merchandising</v>
          </cell>
          <cell r="L6178" t="str">
            <v>HQ Salaries</v>
          </cell>
          <cell r="N6178" t="str">
            <v>SG&amp;A</v>
          </cell>
          <cell r="O6178" t="str">
            <v>[No Vendor]</v>
          </cell>
        </row>
        <row r="6179">
          <cell r="D6179">
            <v>0</v>
          </cell>
          <cell r="H6179">
            <v>45658</v>
          </cell>
          <cell r="I6179" t="str">
            <v>6040 - Employer Paid Benefits</v>
          </cell>
          <cell r="J6179">
            <v>0</v>
          </cell>
          <cell r="K6179" t="str">
            <v>Merchandising</v>
          </cell>
          <cell r="L6179" t="str">
            <v>HQ Salaries</v>
          </cell>
          <cell r="N6179" t="str">
            <v>SG&amp;A</v>
          </cell>
          <cell r="O6179" t="str">
            <v>[No Vendor]</v>
          </cell>
        </row>
        <row r="6180">
          <cell r="D6180">
            <v>-64.92</v>
          </cell>
          <cell r="H6180">
            <v>45658</v>
          </cell>
          <cell r="I6180" t="str">
            <v>6040 - Employer Paid Benefits</v>
          </cell>
          <cell r="J6180" t="str">
            <v>Wholesale</v>
          </cell>
          <cell r="K6180" t="str">
            <v>Wholesale</v>
          </cell>
          <cell r="L6180" t="str">
            <v>HQ Salaries</v>
          </cell>
          <cell r="N6180" t="str">
            <v>SG&amp;A</v>
          </cell>
          <cell r="O6180" t="str">
            <v>[No Vendor]</v>
          </cell>
        </row>
        <row r="6181">
          <cell r="D6181">
            <v>-285.62</v>
          </cell>
          <cell r="H6181">
            <v>45658</v>
          </cell>
          <cell r="I6181" t="str">
            <v>6040 - Employer Paid Benefits</v>
          </cell>
          <cell r="J6181">
            <v>0</v>
          </cell>
          <cell r="K6181" t="str">
            <v>Production</v>
          </cell>
          <cell r="L6181" t="str">
            <v>HQ Salaries</v>
          </cell>
          <cell r="N6181" t="str">
            <v>SG&amp;A</v>
          </cell>
          <cell r="O6181" t="str">
            <v>[No Vendor]</v>
          </cell>
        </row>
        <row r="6182">
          <cell r="D6182">
            <v>-22.58</v>
          </cell>
          <cell r="H6182">
            <v>45658</v>
          </cell>
          <cell r="I6182" t="str">
            <v>6040 - Employer Paid Benefits</v>
          </cell>
          <cell r="J6182">
            <v>0</v>
          </cell>
          <cell r="K6182" t="str">
            <v>Brand Marketing</v>
          </cell>
          <cell r="L6182" t="str">
            <v>HQ Salaries</v>
          </cell>
          <cell r="N6182" t="str">
            <v>SG&amp;A</v>
          </cell>
          <cell r="O6182" t="str">
            <v>[No Vendor]</v>
          </cell>
        </row>
        <row r="6183">
          <cell r="D6183">
            <v>-234.27</v>
          </cell>
          <cell r="H6183">
            <v>45658</v>
          </cell>
          <cell r="I6183" t="str">
            <v>6040 - Employer Paid Benefits</v>
          </cell>
          <cell r="J6183">
            <v>0</v>
          </cell>
          <cell r="K6183" t="str">
            <v>Executive</v>
          </cell>
          <cell r="L6183" t="str">
            <v>HQ Salaries</v>
          </cell>
          <cell r="N6183" t="str">
            <v>SG&amp;A</v>
          </cell>
          <cell r="O6183" t="str">
            <v>[No Vendor]</v>
          </cell>
        </row>
        <row r="6184">
          <cell r="D6184">
            <v>-121.85</v>
          </cell>
          <cell r="H6184">
            <v>45658</v>
          </cell>
          <cell r="I6184" t="str">
            <v>6040 - Employer Paid Benefits</v>
          </cell>
          <cell r="J6184" t="str">
            <v>Ecommerce (US)</v>
          </cell>
          <cell r="K6184" t="str">
            <v>Ecommerce</v>
          </cell>
          <cell r="L6184" t="str">
            <v>HQ Salaries</v>
          </cell>
          <cell r="N6184" t="str">
            <v>SG&amp;A</v>
          </cell>
          <cell r="O6184" t="str">
            <v>[No Vendor]</v>
          </cell>
        </row>
        <row r="6185">
          <cell r="D6185">
            <v>-343.68</v>
          </cell>
          <cell r="H6185">
            <v>45658</v>
          </cell>
          <cell r="I6185" t="str">
            <v>6040 - Employer Paid Benefits</v>
          </cell>
          <cell r="J6185">
            <v>0</v>
          </cell>
          <cell r="K6185" t="str">
            <v>Design</v>
          </cell>
          <cell r="L6185" t="str">
            <v>HQ Salaries</v>
          </cell>
          <cell r="N6185" t="str">
            <v>SG&amp;A</v>
          </cell>
          <cell r="O6185" t="str">
            <v>[No Vendor]</v>
          </cell>
        </row>
        <row r="6186">
          <cell r="D6186">
            <v>-200.39</v>
          </cell>
          <cell r="H6186">
            <v>45658</v>
          </cell>
          <cell r="I6186" t="str">
            <v>6040 - Employer Paid Benefits</v>
          </cell>
          <cell r="J6186">
            <v>0</v>
          </cell>
          <cell r="K6186" t="str">
            <v>Administration</v>
          </cell>
          <cell r="L6186" t="str">
            <v>HQ Salaries</v>
          </cell>
          <cell r="N6186" t="str">
            <v>SG&amp;A</v>
          </cell>
          <cell r="O6186" t="str">
            <v>[No Vendor]</v>
          </cell>
        </row>
        <row r="6187">
          <cell r="D6187">
            <v>5150</v>
          </cell>
          <cell r="H6187">
            <v>45658</v>
          </cell>
          <cell r="I6187" t="str">
            <v>6005 - Salaries</v>
          </cell>
          <cell r="J6187">
            <v>0</v>
          </cell>
          <cell r="K6187" t="str">
            <v>Merchandising</v>
          </cell>
          <cell r="L6187" t="str">
            <v>HQ Salaries</v>
          </cell>
          <cell r="N6187" t="str">
            <v>SG&amp;A</v>
          </cell>
          <cell r="O6187" t="str">
            <v>[No Vendor]</v>
          </cell>
        </row>
        <row r="6188">
          <cell r="D6188">
            <v>11923.08</v>
          </cell>
          <cell r="H6188">
            <v>45658</v>
          </cell>
          <cell r="I6188" t="str">
            <v>6005 - Salaries</v>
          </cell>
          <cell r="J6188" t="str">
            <v>Wholesale</v>
          </cell>
          <cell r="K6188" t="str">
            <v>Wholesale</v>
          </cell>
          <cell r="L6188" t="str">
            <v>HQ Salaries</v>
          </cell>
          <cell r="N6188" t="str">
            <v>SG&amp;A</v>
          </cell>
          <cell r="O6188" t="str">
            <v>[No Vendor]</v>
          </cell>
        </row>
        <row r="6189">
          <cell r="D6189">
            <v>19988.490000000002</v>
          </cell>
          <cell r="H6189">
            <v>45658</v>
          </cell>
          <cell r="I6189" t="str">
            <v>6005 - Salaries</v>
          </cell>
          <cell r="J6189">
            <v>0</v>
          </cell>
          <cell r="K6189" t="str">
            <v>Production</v>
          </cell>
          <cell r="L6189" t="str">
            <v>HQ Salaries</v>
          </cell>
          <cell r="N6189" t="str">
            <v>SG&amp;A</v>
          </cell>
          <cell r="O6189" t="str">
            <v>[No Vendor]</v>
          </cell>
        </row>
        <row r="6190">
          <cell r="D6190">
            <v>3269.24</v>
          </cell>
          <cell r="H6190">
            <v>45658</v>
          </cell>
          <cell r="I6190" t="str">
            <v>6005 - Salaries</v>
          </cell>
          <cell r="J6190">
            <v>0</v>
          </cell>
          <cell r="K6190" t="str">
            <v>Brand Marketing</v>
          </cell>
          <cell r="L6190" t="str">
            <v>HQ Salaries</v>
          </cell>
          <cell r="N6190" t="str">
            <v>SG&amp;A</v>
          </cell>
          <cell r="O6190" t="str">
            <v>[No Vendor]</v>
          </cell>
        </row>
        <row r="6191">
          <cell r="D6191">
            <v>11153.85</v>
          </cell>
          <cell r="H6191">
            <v>45658</v>
          </cell>
          <cell r="I6191" t="str">
            <v>6005 - Salaries</v>
          </cell>
          <cell r="J6191">
            <v>0</v>
          </cell>
          <cell r="K6191" t="str">
            <v>Executive</v>
          </cell>
          <cell r="L6191" t="str">
            <v>HQ Salaries</v>
          </cell>
          <cell r="N6191" t="str">
            <v>SG&amp;A</v>
          </cell>
          <cell r="O6191" t="str">
            <v>[No Vendor]</v>
          </cell>
        </row>
        <row r="6192">
          <cell r="D6192">
            <v>20780.8</v>
          </cell>
          <cell r="H6192">
            <v>45658</v>
          </cell>
          <cell r="I6192" t="str">
            <v>6005 - Salaries</v>
          </cell>
          <cell r="J6192" t="str">
            <v>Ecommerce (US)</v>
          </cell>
          <cell r="K6192" t="str">
            <v>Ecommerce</v>
          </cell>
          <cell r="L6192" t="str">
            <v>HQ Salaries</v>
          </cell>
          <cell r="N6192" t="str">
            <v>SG&amp;A</v>
          </cell>
          <cell r="O6192" t="str">
            <v>[No Vendor]</v>
          </cell>
        </row>
        <row r="6193">
          <cell r="D6193">
            <v>21388.47</v>
          </cell>
          <cell r="H6193">
            <v>45658</v>
          </cell>
          <cell r="I6193" t="str">
            <v>6005 - Salaries</v>
          </cell>
          <cell r="J6193">
            <v>0</v>
          </cell>
          <cell r="K6193" t="str">
            <v>Design</v>
          </cell>
          <cell r="L6193" t="str">
            <v>HQ Salaries</v>
          </cell>
          <cell r="N6193" t="str">
            <v>SG&amp;A</v>
          </cell>
          <cell r="O6193" t="str">
            <v>[No Vendor]</v>
          </cell>
        </row>
        <row r="6194">
          <cell r="D6194">
            <v>15422.09</v>
          </cell>
          <cell r="H6194">
            <v>45658</v>
          </cell>
          <cell r="I6194" t="str">
            <v>6375 - Freight Expenses</v>
          </cell>
          <cell r="J6194" t="str">
            <v>Ecommerce (US)</v>
          </cell>
          <cell r="K6194" t="str">
            <v>Ecommerce</v>
          </cell>
          <cell r="L6194" t="str">
            <v>Freight</v>
          </cell>
          <cell r="N6194" t="str">
            <v>Direct Costs</v>
          </cell>
          <cell r="O6194" t="str">
            <v>UPS Supply Chain Solutions Inc. (7F24A0)</v>
          </cell>
        </row>
        <row r="6195">
          <cell r="D6195">
            <v>886.82</v>
          </cell>
          <cell r="H6195">
            <v>45658</v>
          </cell>
          <cell r="I6195" t="str">
            <v>6393 - Software</v>
          </cell>
          <cell r="J6195" t="str">
            <v>Wholesale</v>
          </cell>
          <cell r="K6195" t="str">
            <v>Wholesale</v>
          </cell>
          <cell r="L6195" t="str">
            <v>Professional Service</v>
          </cell>
          <cell r="N6195" t="str">
            <v>Direct Costs</v>
          </cell>
          <cell r="O6195" t="str">
            <v>SPS Commerce</v>
          </cell>
        </row>
        <row r="6196">
          <cell r="D6196">
            <v>1000</v>
          </cell>
          <cell r="H6196">
            <v>45658</v>
          </cell>
          <cell r="I6196" t="str">
            <v>6380 - Legal &amp; Accounting</v>
          </cell>
          <cell r="J6196">
            <v>0</v>
          </cell>
          <cell r="K6196" t="str">
            <v>Administration</v>
          </cell>
          <cell r="L6196" t="str">
            <v>Professional Service</v>
          </cell>
          <cell r="N6196" t="str">
            <v>SG&amp;A</v>
          </cell>
          <cell r="O6196" t="str">
            <v>Ko &amp; Yun, LLP - Operations</v>
          </cell>
        </row>
        <row r="6197">
          <cell r="D6197">
            <v>500</v>
          </cell>
          <cell r="H6197">
            <v>45658</v>
          </cell>
          <cell r="I6197" t="str">
            <v>6380 - Legal &amp; Accounting</v>
          </cell>
          <cell r="J6197">
            <v>0</v>
          </cell>
          <cell r="K6197" t="str">
            <v>Administration</v>
          </cell>
          <cell r="L6197" t="str">
            <v>Professional Service</v>
          </cell>
          <cell r="N6197" t="str">
            <v>SG&amp;A</v>
          </cell>
          <cell r="O6197" t="str">
            <v>Ko &amp; Yun, LLP - IP Holding</v>
          </cell>
        </row>
        <row r="6198">
          <cell r="D6198">
            <v>194.68</v>
          </cell>
          <cell r="H6198">
            <v>45658</v>
          </cell>
          <cell r="I6198" t="str">
            <v>6375 - Freight Expenses</v>
          </cell>
          <cell r="J6198" t="str">
            <v>Wholesale</v>
          </cell>
          <cell r="K6198" t="str">
            <v>Wholesale</v>
          </cell>
          <cell r="L6198" t="str">
            <v>Freight</v>
          </cell>
          <cell r="N6198" t="str">
            <v>Direct Costs</v>
          </cell>
          <cell r="O6198" t="str">
            <v>UPS Supply Chain Solutions Inc. (7F24A0)</v>
          </cell>
        </row>
        <row r="6199">
          <cell r="D6199">
            <v>48.17</v>
          </cell>
          <cell r="H6199">
            <v>45658</v>
          </cell>
          <cell r="I6199" t="str">
            <v>6375 - Freight Expenses</v>
          </cell>
          <cell r="J6199" t="str">
            <v>Ecommerce (US)</v>
          </cell>
          <cell r="K6199" t="str">
            <v>Ecommerce</v>
          </cell>
          <cell r="L6199" t="str">
            <v>Freight</v>
          </cell>
          <cell r="N6199" t="str">
            <v>Direct Costs</v>
          </cell>
          <cell r="O6199" t="str">
            <v>UPS Supply Chain Solutions Inc. (7F24A0)</v>
          </cell>
        </row>
        <row r="6200">
          <cell r="D6200">
            <v>61.28</v>
          </cell>
          <cell r="H6200">
            <v>45658</v>
          </cell>
          <cell r="I6200" t="str">
            <v>8505 - Realized Gain/Loss</v>
          </cell>
          <cell r="J6200">
            <v>0</v>
          </cell>
          <cell r="K6200" t="str">
            <v>No Department</v>
          </cell>
          <cell r="L6200" t="str">
            <v>Realized Gain / Loss</v>
          </cell>
          <cell r="N6200" t="str">
            <v>BTL</v>
          </cell>
          <cell r="O6200" t="str">
            <v>[No Vendor]</v>
          </cell>
        </row>
        <row r="6201">
          <cell r="D6201">
            <v>5200</v>
          </cell>
          <cell r="H6201">
            <v>45658</v>
          </cell>
          <cell r="I6201" t="str">
            <v>6375 - Freight Expenses</v>
          </cell>
          <cell r="J6201" t="str">
            <v>Ecommerce (US)</v>
          </cell>
          <cell r="K6201" t="str">
            <v>Ecommerce</v>
          </cell>
          <cell r="L6201" t="str">
            <v>Freight</v>
          </cell>
          <cell r="N6201" t="str">
            <v>Direct Costs</v>
          </cell>
          <cell r="O6201" t="str">
            <v>Easy Post</v>
          </cell>
        </row>
        <row r="6202">
          <cell r="D6202">
            <v>221.54</v>
          </cell>
          <cell r="H6202">
            <v>45658</v>
          </cell>
          <cell r="I6202" t="str">
            <v>6451 - Service Processing Fee</v>
          </cell>
          <cell r="J6202" t="str">
            <v>Ecommerce (US)</v>
          </cell>
          <cell r="K6202" t="str">
            <v>Ecommerce</v>
          </cell>
          <cell r="L6202" t="str">
            <v>Professional Service</v>
          </cell>
          <cell r="N6202" t="str">
            <v>Direct Costs</v>
          </cell>
          <cell r="O6202" t="str">
            <v>Shopify</v>
          </cell>
        </row>
        <row r="6203">
          <cell r="D6203">
            <v>107.67</v>
          </cell>
          <cell r="H6203">
            <v>45658</v>
          </cell>
          <cell r="I6203" t="str">
            <v>6375 - Freight Expenses</v>
          </cell>
          <cell r="J6203" t="str">
            <v>Ecommerce (US)</v>
          </cell>
          <cell r="K6203" t="str">
            <v>Ecommerce</v>
          </cell>
          <cell r="L6203" t="str">
            <v>Freight</v>
          </cell>
          <cell r="N6203" t="str">
            <v>Direct Costs</v>
          </cell>
          <cell r="O6203" t="str">
            <v>UPS Supply Chain Solutions Inc. (7F24A0)</v>
          </cell>
        </row>
        <row r="6204">
          <cell r="D6204">
            <v>11.99</v>
          </cell>
          <cell r="H6204">
            <v>45658</v>
          </cell>
          <cell r="I6204" t="str">
            <v>6393 - Software</v>
          </cell>
          <cell r="J6204">
            <v>0</v>
          </cell>
          <cell r="K6204" t="str">
            <v>Administration</v>
          </cell>
          <cell r="L6204" t="str">
            <v>Professional Service</v>
          </cell>
          <cell r="N6204" t="str">
            <v>Direct Costs</v>
          </cell>
          <cell r="O6204" t="str">
            <v>Spotify</v>
          </cell>
        </row>
        <row r="6205">
          <cell r="D6205">
            <v>21.78</v>
          </cell>
          <cell r="H6205">
            <v>45658</v>
          </cell>
          <cell r="I6205" t="str">
            <v>6393 - Software</v>
          </cell>
          <cell r="J6205">
            <v>0</v>
          </cell>
          <cell r="K6205" t="str">
            <v>Administration</v>
          </cell>
          <cell r="L6205" t="str">
            <v>Professional Service</v>
          </cell>
          <cell r="N6205" t="str">
            <v>Direct Costs</v>
          </cell>
          <cell r="O6205" t="str">
            <v>Chat GPT</v>
          </cell>
        </row>
        <row r="6206">
          <cell r="D6206">
            <v>89.99</v>
          </cell>
          <cell r="H6206">
            <v>45658</v>
          </cell>
          <cell r="I6206" t="str">
            <v>6393 - Software</v>
          </cell>
          <cell r="J6206">
            <v>0</v>
          </cell>
          <cell r="K6206" t="str">
            <v>Design</v>
          </cell>
          <cell r="L6206" t="str">
            <v>Professional Service</v>
          </cell>
          <cell r="N6206" t="str">
            <v>Direct Costs</v>
          </cell>
          <cell r="O6206" t="str">
            <v>Pantone</v>
          </cell>
        </row>
        <row r="6207">
          <cell r="D6207">
            <v>2643.63</v>
          </cell>
          <cell r="H6207">
            <v>45658</v>
          </cell>
          <cell r="I6207" t="str">
            <v>6352 - Fabric &amp; Materials</v>
          </cell>
          <cell r="J6207">
            <v>0</v>
          </cell>
          <cell r="K6207" t="str">
            <v>Production</v>
          </cell>
          <cell r="L6207" t="str">
            <v>Sample</v>
          </cell>
          <cell r="N6207" t="str">
            <v>SG&amp;A</v>
          </cell>
          <cell r="O6207" t="str">
            <v>Zabin Industries (Hong Kong) LTD.</v>
          </cell>
        </row>
        <row r="6208">
          <cell r="D6208">
            <v>16.28</v>
          </cell>
          <cell r="H6208">
            <v>45658</v>
          </cell>
          <cell r="I6208" t="str">
            <v>6340 - Miscellaneous Expense</v>
          </cell>
          <cell r="J6208">
            <v>0</v>
          </cell>
          <cell r="K6208" t="str">
            <v>Administration</v>
          </cell>
          <cell r="L6208" t="str">
            <v>Other</v>
          </cell>
          <cell r="N6208" t="str">
            <v>SG&amp;A</v>
          </cell>
          <cell r="O6208" t="str">
            <v>[No Vendor]</v>
          </cell>
        </row>
        <row r="6209">
          <cell r="D6209">
            <v>126</v>
          </cell>
          <cell r="H6209">
            <v>45658</v>
          </cell>
          <cell r="I6209" t="str">
            <v>6370 - Samples</v>
          </cell>
          <cell r="J6209">
            <v>0</v>
          </cell>
          <cell r="K6209" t="str">
            <v>Design</v>
          </cell>
          <cell r="L6209" t="str">
            <v>Sample</v>
          </cell>
          <cell r="N6209" t="str">
            <v>SG&amp;A</v>
          </cell>
          <cell r="O6209" t="str">
            <v>[No Vendor]</v>
          </cell>
        </row>
        <row r="6210">
          <cell r="D6210">
            <v>109.64</v>
          </cell>
          <cell r="H6210">
            <v>45658</v>
          </cell>
          <cell r="I6210" t="str">
            <v>6105 - Meals</v>
          </cell>
          <cell r="J6210">
            <v>0</v>
          </cell>
          <cell r="K6210" t="str">
            <v>Administration</v>
          </cell>
          <cell r="L6210" t="str">
            <v>T&amp;E</v>
          </cell>
          <cell r="N6210" t="str">
            <v>SG&amp;A</v>
          </cell>
          <cell r="O6210" t="str">
            <v>[No Vendor]</v>
          </cell>
        </row>
        <row r="6211">
          <cell r="D6211">
            <v>207.04</v>
          </cell>
          <cell r="H6211">
            <v>45658</v>
          </cell>
          <cell r="I6211" t="str">
            <v>6375 - Freight Expenses</v>
          </cell>
          <cell r="J6211">
            <v>0</v>
          </cell>
          <cell r="K6211" t="str">
            <v>Production</v>
          </cell>
          <cell r="L6211" t="str">
            <v>Freight</v>
          </cell>
          <cell r="N6211" t="str">
            <v>Direct Costs</v>
          </cell>
          <cell r="O6211" t="str">
            <v>DHL Express - USA</v>
          </cell>
        </row>
        <row r="6212">
          <cell r="D6212">
            <v>26.1</v>
          </cell>
          <cell r="H6212">
            <v>45658</v>
          </cell>
          <cell r="I6212" t="str">
            <v>6040 - Employer Paid Benefits</v>
          </cell>
          <cell r="J6212">
            <v>0</v>
          </cell>
          <cell r="K6212" t="str">
            <v>Design</v>
          </cell>
          <cell r="L6212" t="str">
            <v>HQ Salaries</v>
          </cell>
          <cell r="N6212" t="str">
            <v>SG&amp;A</v>
          </cell>
          <cell r="O6212" t="str">
            <v>Procyon Benefits LLC</v>
          </cell>
        </row>
        <row r="6213">
          <cell r="D6213">
            <v>978.75</v>
          </cell>
          <cell r="H6213">
            <v>45658</v>
          </cell>
          <cell r="I6213" t="str">
            <v>6300 - Payroll Service Fees</v>
          </cell>
          <cell r="J6213">
            <v>0</v>
          </cell>
          <cell r="K6213" t="str">
            <v>Administration</v>
          </cell>
          <cell r="L6213" t="str">
            <v>Professional Service</v>
          </cell>
          <cell r="N6213" t="str">
            <v>SG&amp;A</v>
          </cell>
          <cell r="O6213" t="str">
            <v>OperationsInc, LLC</v>
          </cell>
        </row>
        <row r="6214">
          <cell r="D6214">
            <v>52.14</v>
          </cell>
          <cell r="H6214">
            <v>45658</v>
          </cell>
          <cell r="I6214" t="str">
            <v>6375 - Freight Expenses</v>
          </cell>
          <cell r="J6214">
            <v>0</v>
          </cell>
          <cell r="K6214" t="str">
            <v>Production</v>
          </cell>
          <cell r="L6214" t="str">
            <v>Freight</v>
          </cell>
          <cell r="N6214" t="str">
            <v>Direct Costs</v>
          </cell>
          <cell r="O6214" t="str">
            <v>DHL Express - USA</v>
          </cell>
        </row>
        <row r="6215">
          <cell r="D6215">
            <v>170.2</v>
          </cell>
          <cell r="H6215">
            <v>45658</v>
          </cell>
          <cell r="I6215" t="str">
            <v>6375 - Freight Expenses</v>
          </cell>
          <cell r="J6215" t="str">
            <v>Ecommerce (US)</v>
          </cell>
          <cell r="K6215" t="str">
            <v>Ecommerce</v>
          </cell>
          <cell r="L6215" t="str">
            <v>Freight</v>
          </cell>
          <cell r="N6215" t="str">
            <v>Direct Costs</v>
          </cell>
          <cell r="O6215" t="str">
            <v>UPS Supply Chain Solutions Inc. (7F24A0)</v>
          </cell>
        </row>
        <row r="6216">
          <cell r="D6216">
            <v>1064.58</v>
          </cell>
          <cell r="H6216">
            <v>45658</v>
          </cell>
          <cell r="I6216" t="str">
            <v>6040 - Employer Paid Benefits</v>
          </cell>
          <cell r="J6216" t="str">
            <v>Wholesale</v>
          </cell>
          <cell r="K6216" t="str">
            <v>Wholesale</v>
          </cell>
          <cell r="L6216" t="str">
            <v>HQ Salaries</v>
          </cell>
          <cell r="N6216" t="str">
            <v>SG&amp;A</v>
          </cell>
          <cell r="O6216" t="str">
            <v>Procyon Benefits LLC</v>
          </cell>
        </row>
        <row r="6217">
          <cell r="D6217">
            <v>334.27</v>
          </cell>
          <cell r="H6217">
            <v>45658</v>
          </cell>
          <cell r="I6217" t="str">
            <v>6040 - Employer Paid Benefits</v>
          </cell>
          <cell r="J6217">
            <v>0</v>
          </cell>
          <cell r="K6217" t="str">
            <v>Production</v>
          </cell>
          <cell r="L6217" t="str">
            <v>HQ Salaries</v>
          </cell>
          <cell r="N6217" t="str">
            <v>SG&amp;A</v>
          </cell>
          <cell r="O6217" t="str">
            <v>Procyon Benefits LLC</v>
          </cell>
        </row>
        <row r="6218">
          <cell r="D6218">
            <v>44.6</v>
          </cell>
          <cell r="H6218">
            <v>45658</v>
          </cell>
          <cell r="I6218" t="str">
            <v>6040 - Employer Paid Benefits</v>
          </cell>
          <cell r="J6218">
            <v>0</v>
          </cell>
          <cell r="K6218" t="str">
            <v>Merchandising</v>
          </cell>
          <cell r="L6218" t="str">
            <v>HQ Salaries</v>
          </cell>
          <cell r="N6218" t="str">
            <v>SG&amp;A</v>
          </cell>
          <cell r="O6218" t="str">
            <v>Procyon Benefits LLC</v>
          </cell>
        </row>
        <row r="6219">
          <cell r="D6219">
            <v>218.64</v>
          </cell>
          <cell r="H6219">
            <v>45658</v>
          </cell>
          <cell r="I6219" t="str">
            <v>6040 - Employer Paid Benefits</v>
          </cell>
          <cell r="J6219">
            <v>0</v>
          </cell>
          <cell r="K6219" t="str">
            <v>Brand Marketing</v>
          </cell>
          <cell r="L6219" t="str">
            <v>HQ Salaries</v>
          </cell>
          <cell r="N6219" t="str">
            <v>SG&amp;A</v>
          </cell>
          <cell r="O6219" t="str">
            <v>Procyon Benefits LLC</v>
          </cell>
        </row>
        <row r="6220">
          <cell r="D6220">
            <v>41</v>
          </cell>
          <cell r="H6220">
            <v>45658</v>
          </cell>
          <cell r="I6220" t="str">
            <v>6040 - Employer Paid Benefits</v>
          </cell>
          <cell r="J6220" t="str">
            <v>Ecommerce (US)</v>
          </cell>
          <cell r="K6220" t="str">
            <v>Ecommerce</v>
          </cell>
          <cell r="L6220" t="str">
            <v>HQ Salaries</v>
          </cell>
          <cell r="N6220" t="str">
            <v>SG&amp;A</v>
          </cell>
          <cell r="O6220" t="str">
            <v>Procyon Benefits LLC</v>
          </cell>
        </row>
        <row r="6221">
          <cell r="D6221">
            <v>24</v>
          </cell>
          <cell r="H6221">
            <v>45658</v>
          </cell>
          <cell r="I6221" t="str">
            <v>6040 - Employer Paid Benefits</v>
          </cell>
          <cell r="J6221">
            <v>0</v>
          </cell>
          <cell r="K6221" t="str">
            <v>Executive</v>
          </cell>
          <cell r="L6221" t="str">
            <v>HQ Salaries</v>
          </cell>
          <cell r="N6221" t="str">
            <v>SG&amp;A</v>
          </cell>
          <cell r="O6221" t="str">
            <v>Procyon Benefits LLC</v>
          </cell>
        </row>
        <row r="6222">
          <cell r="D6222">
            <v>836.43</v>
          </cell>
          <cell r="H6222">
            <v>45658</v>
          </cell>
          <cell r="I6222" t="str">
            <v>6375 - Freight Expenses</v>
          </cell>
          <cell r="J6222" t="str">
            <v>Ecommerce (US)</v>
          </cell>
          <cell r="K6222" t="str">
            <v>Ecommerce</v>
          </cell>
          <cell r="L6222" t="str">
            <v>Freight</v>
          </cell>
          <cell r="N6222" t="str">
            <v>Direct Costs</v>
          </cell>
          <cell r="O6222" t="str">
            <v>UPS Supply Chain Solutions Inc. (7F24A0)</v>
          </cell>
        </row>
        <row r="6223">
          <cell r="D6223">
            <v>1440</v>
          </cell>
          <cell r="H6223">
            <v>45658</v>
          </cell>
          <cell r="I6223" t="str">
            <v>6288 - Model</v>
          </cell>
          <cell r="J6223" t="str">
            <v>Ecommerce (US)</v>
          </cell>
          <cell r="K6223" t="str">
            <v>Brand Marketing</v>
          </cell>
          <cell r="L6223" t="str">
            <v>Advertising</v>
          </cell>
          <cell r="N6223" t="str">
            <v>SG&amp;A</v>
          </cell>
          <cell r="O6223" t="str">
            <v>State Artist Management</v>
          </cell>
        </row>
        <row r="6224">
          <cell r="D6224">
            <v>600</v>
          </cell>
          <cell r="H6224">
            <v>45658</v>
          </cell>
          <cell r="I6224" t="str">
            <v>6288 - Model</v>
          </cell>
          <cell r="J6224" t="str">
            <v>Ecommerce (US)</v>
          </cell>
          <cell r="K6224" t="str">
            <v>Brand Marketing</v>
          </cell>
          <cell r="L6224" t="str">
            <v>Advertising</v>
          </cell>
          <cell r="N6224" t="str">
            <v>SG&amp;A</v>
          </cell>
          <cell r="O6224" t="str">
            <v>State Artist Management</v>
          </cell>
        </row>
        <row r="6225">
          <cell r="D6225">
            <v>1041.1099999999999</v>
          </cell>
          <cell r="H6225">
            <v>45658</v>
          </cell>
          <cell r="I6225" t="str">
            <v>6210 - Monitoring</v>
          </cell>
          <cell r="J6225" t="str">
            <v>Ecommerce (EU)</v>
          </cell>
          <cell r="K6225" t="str">
            <v>Ecommerce</v>
          </cell>
          <cell r="L6225" t="str">
            <v>Professional Service</v>
          </cell>
          <cell r="N6225" t="str">
            <v>Direct Costs</v>
          </cell>
          <cell r="O6225" t="str">
            <v>Convey SRL</v>
          </cell>
        </row>
        <row r="6226">
          <cell r="D6226">
            <v>-65</v>
          </cell>
          <cell r="H6226">
            <v>45658</v>
          </cell>
          <cell r="I6226" t="str">
            <v>6375 - Freight Expenses</v>
          </cell>
          <cell r="J6226" t="str">
            <v>Ecommerce (US)</v>
          </cell>
          <cell r="K6226" t="str">
            <v>Ecommerce</v>
          </cell>
          <cell r="L6226" t="str">
            <v>Freight</v>
          </cell>
          <cell r="N6226" t="str">
            <v>Direct Costs</v>
          </cell>
          <cell r="O6226" t="str">
            <v>UPS Supply Chain Solutions Inc. (7F24A0)</v>
          </cell>
        </row>
        <row r="6227">
          <cell r="D6227">
            <v>186.5</v>
          </cell>
          <cell r="H6227">
            <v>45658</v>
          </cell>
          <cell r="I6227" t="str">
            <v>6040 - Employer Paid Benefits</v>
          </cell>
          <cell r="J6227">
            <v>0</v>
          </cell>
          <cell r="K6227" t="str">
            <v>Administration</v>
          </cell>
          <cell r="L6227" t="str">
            <v>HQ Salaries</v>
          </cell>
          <cell r="N6227" t="str">
            <v>SG&amp;A</v>
          </cell>
          <cell r="O6227" t="str">
            <v>Progressive Benefit Solutions LLC</v>
          </cell>
        </row>
        <row r="6228">
          <cell r="D6228">
            <v>1418.87</v>
          </cell>
          <cell r="H6228">
            <v>45658</v>
          </cell>
          <cell r="I6228" t="str">
            <v>6379 - Warehouse Storage</v>
          </cell>
          <cell r="J6228" t="str">
            <v>Wholesale</v>
          </cell>
          <cell r="K6228" t="str">
            <v>Wholesale</v>
          </cell>
          <cell r="L6228" t="str">
            <v>Order Processing</v>
          </cell>
          <cell r="N6228" t="str">
            <v>Direct Costs</v>
          </cell>
          <cell r="O6228" t="str">
            <v>Bergen Logistics Corporation</v>
          </cell>
        </row>
        <row r="6229">
          <cell r="D6229">
            <v>11274.93</v>
          </cell>
          <cell r="H6229">
            <v>45658</v>
          </cell>
          <cell r="I6229" t="str">
            <v>6379 - Warehouse Storage</v>
          </cell>
          <cell r="J6229" t="str">
            <v>Ecommerce (US)</v>
          </cell>
          <cell r="K6229" t="str">
            <v>Ecommerce</v>
          </cell>
          <cell r="L6229" t="str">
            <v>Order Processing</v>
          </cell>
          <cell r="N6229" t="str">
            <v>Direct Costs</v>
          </cell>
          <cell r="O6229" t="str">
            <v>Bergen Logistics Corporation</v>
          </cell>
        </row>
        <row r="6230">
          <cell r="D6230">
            <v>246.94</v>
          </cell>
          <cell r="H6230">
            <v>45658</v>
          </cell>
          <cell r="I6230" t="str">
            <v>6376 - Freight Supplies Other</v>
          </cell>
          <cell r="J6230" t="str">
            <v>Wholesale</v>
          </cell>
          <cell r="K6230" t="str">
            <v>Wholesale</v>
          </cell>
          <cell r="L6230" t="str">
            <v>Order Processing</v>
          </cell>
          <cell r="N6230" t="str">
            <v>Direct Costs</v>
          </cell>
          <cell r="O6230" t="str">
            <v>Bergen Logistics Corporation</v>
          </cell>
        </row>
        <row r="6231">
          <cell r="D6231">
            <v>276.39</v>
          </cell>
          <cell r="H6231">
            <v>45658</v>
          </cell>
          <cell r="I6231" t="str">
            <v>6376 - Freight Supplies Other</v>
          </cell>
          <cell r="J6231" t="str">
            <v>Ecommerce (EU)</v>
          </cell>
          <cell r="K6231" t="str">
            <v>Ecommerce</v>
          </cell>
          <cell r="L6231" t="str">
            <v>Order Processing</v>
          </cell>
          <cell r="N6231" t="str">
            <v>Direct Costs</v>
          </cell>
          <cell r="O6231" t="str">
            <v>Bergen Logistics Corporation</v>
          </cell>
        </row>
        <row r="6232">
          <cell r="D6232">
            <v>4184.9399999999996</v>
          </cell>
          <cell r="H6232">
            <v>45658</v>
          </cell>
          <cell r="I6232" t="str">
            <v>6376 - Freight Supplies Other</v>
          </cell>
          <cell r="J6232" t="str">
            <v>Ecommerce (US)</v>
          </cell>
          <cell r="K6232" t="str">
            <v>Ecommerce</v>
          </cell>
          <cell r="L6232" t="str">
            <v>Order Processing</v>
          </cell>
          <cell r="N6232" t="str">
            <v>Direct Costs</v>
          </cell>
          <cell r="O6232" t="str">
            <v>Bergen Logistics Corporation</v>
          </cell>
        </row>
        <row r="6233">
          <cell r="D6233">
            <v>43520.79</v>
          </cell>
          <cell r="H6233">
            <v>45658</v>
          </cell>
          <cell r="I6233" t="str">
            <v>6285 - SEM Brand Marketing</v>
          </cell>
          <cell r="J6233" t="str">
            <v>Ecommerce (US)</v>
          </cell>
          <cell r="K6233" t="str">
            <v>Brand Marketing</v>
          </cell>
          <cell r="L6233" t="str">
            <v>Advertising</v>
          </cell>
          <cell r="N6233" t="str">
            <v>SG&amp;A</v>
          </cell>
          <cell r="O6233" t="str">
            <v>Google</v>
          </cell>
        </row>
        <row r="6234">
          <cell r="D6234">
            <v>9388.9599999999991</v>
          </cell>
          <cell r="H6234">
            <v>45658</v>
          </cell>
          <cell r="I6234" t="str">
            <v>6285 - SEM Brand Marketing</v>
          </cell>
          <cell r="J6234" t="str">
            <v>Ecommerce (EU)</v>
          </cell>
          <cell r="K6234" t="str">
            <v>Brand Marketing</v>
          </cell>
          <cell r="L6234" t="str">
            <v>Advertising</v>
          </cell>
          <cell r="N6234" t="str">
            <v>SG&amp;A</v>
          </cell>
          <cell r="O6234" t="str">
            <v>Google</v>
          </cell>
        </row>
        <row r="6235">
          <cell r="D6235">
            <v>1157.8599999999999</v>
          </cell>
          <cell r="H6235">
            <v>45658</v>
          </cell>
          <cell r="I6235" t="str">
            <v>6377 - Order Processing Expenses (New)</v>
          </cell>
          <cell r="J6235" t="str">
            <v>Wholesale</v>
          </cell>
          <cell r="K6235" t="str">
            <v>Wholesale</v>
          </cell>
          <cell r="L6235" t="str">
            <v>Order Processing</v>
          </cell>
          <cell r="N6235" t="str">
            <v>Direct Costs</v>
          </cell>
          <cell r="O6235" t="str">
            <v>Bergen Logistics Corporation</v>
          </cell>
        </row>
        <row r="6236">
          <cell r="D6236">
            <v>1129.95</v>
          </cell>
          <cell r="H6236">
            <v>45658</v>
          </cell>
          <cell r="I6236" t="str">
            <v>6377 - Order Processing Expenses (New)</v>
          </cell>
          <cell r="J6236" t="str">
            <v>Ecommerce (EU)</v>
          </cell>
          <cell r="K6236" t="str">
            <v>Ecommerce</v>
          </cell>
          <cell r="L6236" t="str">
            <v>Order Processing</v>
          </cell>
          <cell r="N6236" t="str">
            <v>Direct Costs</v>
          </cell>
          <cell r="O6236" t="str">
            <v>Bergen Logistics Corporation</v>
          </cell>
        </row>
        <row r="6237">
          <cell r="D6237">
            <v>13550.75</v>
          </cell>
          <cell r="H6237">
            <v>45658</v>
          </cell>
          <cell r="I6237" t="str">
            <v>6377 - Order Processing Expenses (New)</v>
          </cell>
          <cell r="J6237" t="str">
            <v>Ecommerce (US)</v>
          </cell>
          <cell r="K6237" t="str">
            <v>Ecommerce</v>
          </cell>
          <cell r="L6237" t="str">
            <v>Order Processing</v>
          </cell>
          <cell r="N6237" t="str">
            <v>Direct Costs</v>
          </cell>
          <cell r="O6237" t="str">
            <v>Bergen Logistics Corporation</v>
          </cell>
        </row>
        <row r="6238">
          <cell r="D6238">
            <v>29.99</v>
          </cell>
          <cell r="H6238">
            <v>45658</v>
          </cell>
          <cell r="I6238" t="str">
            <v>6393 - Software</v>
          </cell>
          <cell r="J6238">
            <v>0</v>
          </cell>
          <cell r="K6238" t="str">
            <v>Brand Marketing</v>
          </cell>
          <cell r="L6238" t="str">
            <v>Professional Service</v>
          </cell>
          <cell r="N6238" t="str">
            <v>Direct Costs</v>
          </cell>
          <cell r="O6238" t="str">
            <v>GQ</v>
          </cell>
        </row>
        <row r="6239">
          <cell r="D6239">
            <v>21.78</v>
          </cell>
          <cell r="H6239">
            <v>45658</v>
          </cell>
          <cell r="I6239" t="str">
            <v>6393 - Software</v>
          </cell>
          <cell r="J6239">
            <v>0</v>
          </cell>
          <cell r="K6239" t="str">
            <v>Brand Marketing</v>
          </cell>
          <cell r="L6239" t="str">
            <v>Professional Service</v>
          </cell>
          <cell r="N6239" t="str">
            <v>Direct Costs</v>
          </cell>
          <cell r="O6239" t="str">
            <v>Chat GPT</v>
          </cell>
        </row>
        <row r="6240">
          <cell r="D6240">
            <v>30</v>
          </cell>
          <cell r="H6240">
            <v>45658</v>
          </cell>
          <cell r="I6240" t="str">
            <v>6393 - Software</v>
          </cell>
          <cell r="J6240">
            <v>0</v>
          </cell>
          <cell r="K6240" t="str">
            <v>Brand Marketing</v>
          </cell>
          <cell r="L6240" t="str">
            <v>Professional Service</v>
          </cell>
          <cell r="N6240" t="str">
            <v>Direct Costs</v>
          </cell>
          <cell r="O6240" t="str">
            <v>Canva</v>
          </cell>
        </row>
        <row r="6241">
          <cell r="D6241">
            <v>21411.200000000001</v>
          </cell>
          <cell r="H6241">
            <v>45658</v>
          </cell>
          <cell r="I6241" t="str">
            <v>6393 - Software</v>
          </cell>
          <cell r="J6241" t="str">
            <v>Ecommerce (US)</v>
          </cell>
          <cell r="K6241" t="str">
            <v>Ecommerce</v>
          </cell>
          <cell r="L6241" t="str">
            <v>Professional Service</v>
          </cell>
          <cell r="N6241" t="str">
            <v>Direct Costs</v>
          </cell>
          <cell r="O6241" t="str">
            <v>Attentive Mobile Inc.</v>
          </cell>
        </row>
        <row r="6242">
          <cell r="D6242">
            <v>88</v>
          </cell>
          <cell r="H6242">
            <v>45658</v>
          </cell>
          <cell r="I6242" t="str">
            <v>6393 - Software</v>
          </cell>
          <cell r="J6242" t="str">
            <v>Wholesale</v>
          </cell>
          <cell r="K6242" t="str">
            <v>Wholesale</v>
          </cell>
          <cell r="L6242" t="str">
            <v>Professional Service</v>
          </cell>
          <cell r="N6242" t="str">
            <v>Direct Costs</v>
          </cell>
          <cell r="O6242" t="str">
            <v>SPS Commerce</v>
          </cell>
        </row>
        <row r="6243">
          <cell r="D6243">
            <v>228.64</v>
          </cell>
          <cell r="H6243">
            <v>45658</v>
          </cell>
          <cell r="I6243" t="str">
            <v>6393 - Software</v>
          </cell>
          <cell r="J6243" t="str">
            <v>Wholesale</v>
          </cell>
          <cell r="K6243" t="str">
            <v>Wholesale</v>
          </cell>
          <cell r="L6243" t="str">
            <v>Professional Service</v>
          </cell>
          <cell r="N6243" t="str">
            <v>Direct Costs</v>
          </cell>
          <cell r="O6243" t="str">
            <v>[No Vendor]</v>
          </cell>
        </row>
        <row r="6244">
          <cell r="D6244">
            <v>1440</v>
          </cell>
          <cell r="H6244">
            <v>45658</v>
          </cell>
          <cell r="I6244" t="str">
            <v>6288 - Model</v>
          </cell>
          <cell r="J6244" t="str">
            <v>Ecommerce (US)</v>
          </cell>
          <cell r="K6244" t="str">
            <v>Brand Marketing</v>
          </cell>
          <cell r="L6244" t="str">
            <v>Advertising</v>
          </cell>
          <cell r="N6244" t="str">
            <v>SG&amp;A</v>
          </cell>
          <cell r="O6244" t="str">
            <v>Soul Artist Management</v>
          </cell>
        </row>
        <row r="6245">
          <cell r="D6245">
            <v>46795.73</v>
          </cell>
          <cell r="H6245">
            <v>45658</v>
          </cell>
          <cell r="I6245" t="str">
            <v>6286 - SEM</v>
          </cell>
          <cell r="J6245" t="str">
            <v>Ecommerce (US)</v>
          </cell>
          <cell r="K6245" t="str">
            <v>Ecommerce</v>
          </cell>
          <cell r="L6245" t="str">
            <v>Marketing</v>
          </cell>
          <cell r="N6245" t="str">
            <v>Direct Costs</v>
          </cell>
          <cell r="O6245" t="str">
            <v>Google</v>
          </cell>
        </row>
        <row r="6246">
          <cell r="D6246">
            <v>6433.16</v>
          </cell>
          <cell r="H6246">
            <v>45658</v>
          </cell>
          <cell r="I6246" t="str">
            <v>6286 - SEM</v>
          </cell>
          <cell r="J6246" t="str">
            <v>Ecommerce (US)</v>
          </cell>
          <cell r="K6246" t="str">
            <v>Ecommerce</v>
          </cell>
          <cell r="L6246" t="str">
            <v>Marketing</v>
          </cell>
          <cell r="N6246" t="str">
            <v>Direct Costs</v>
          </cell>
          <cell r="O6246" t="str">
            <v>Google</v>
          </cell>
        </row>
        <row r="6247">
          <cell r="D6247">
            <v>177.03</v>
          </cell>
          <cell r="H6247">
            <v>45658</v>
          </cell>
          <cell r="I6247" t="str">
            <v>6286 - SEM</v>
          </cell>
          <cell r="J6247" t="str">
            <v>Ecommerce (EU)</v>
          </cell>
          <cell r="K6247" t="str">
            <v>Ecommerce</v>
          </cell>
          <cell r="L6247" t="str">
            <v>Marketing</v>
          </cell>
          <cell r="N6247" t="str">
            <v>Direct Costs</v>
          </cell>
          <cell r="O6247" t="str">
            <v>Google</v>
          </cell>
        </row>
        <row r="6248">
          <cell r="D6248">
            <v>1318.72</v>
          </cell>
          <cell r="H6248">
            <v>45658</v>
          </cell>
          <cell r="I6248" t="str">
            <v>6286 - SEM</v>
          </cell>
          <cell r="J6248" t="str">
            <v>Ecommerce (EU)</v>
          </cell>
          <cell r="K6248" t="str">
            <v>Ecommerce</v>
          </cell>
          <cell r="L6248" t="str">
            <v>Marketing</v>
          </cell>
          <cell r="N6248" t="str">
            <v>Direct Costs</v>
          </cell>
          <cell r="O6248" t="str">
            <v>Google</v>
          </cell>
        </row>
        <row r="6249">
          <cell r="D6249">
            <v>9672.82</v>
          </cell>
          <cell r="H6249">
            <v>45658</v>
          </cell>
          <cell r="I6249" t="str">
            <v>6286 - SEM</v>
          </cell>
          <cell r="J6249" t="str">
            <v>Ecommerce (EU)</v>
          </cell>
          <cell r="K6249" t="str">
            <v>Ecommerce</v>
          </cell>
          <cell r="L6249" t="str">
            <v>Marketing</v>
          </cell>
          <cell r="N6249" t="str">
            <v>Direct Costs</v>
          </cell>
          <cell r="O6249" t="str">
            <v>Google</v>
          </cell>
        </row>
        <row r="6250">
          <cell r="D6250">
            <v>99834.559999999998</v>
          </cell>
          <cell r="H6250">
            <v>45658</v>
          </cell>
          <cell r="I6250" t="str">
            <v>6286 - SEM</v>
          </cell>
          <cell r="J6250" t="str">
            <v>Ecommerce (US)</v>
          </cell>
          <cell r="K6250" t="str">
            <v>Ecommerce</v>
          </cell>
          <cell r="L6250" t="str">
            <v>Marketing</v>
          </cell>
          <cell r="N6250" t="str">
            <v>Direct Costs</v>
          </cell>
          <cell r="O6250" t="str">
            <v>Meta Platforms, Inc</v>
          </cell>
        </row>
        <row r="6251">
          <cell r="D6251">
            <v>4895.66</v>
          </cell>
          <cell r="H6251">
            <v>45658</v>
          </cell>
          <cell r="I6251" t="str">
            <v>6286 - SEM</v>
          </cell>
          <cell r="J6251" t="str">
            <v>Ecommerce (EU)</v>
          </cell>
          <cell r="K6251" t="str">
            <v>Ecommerce</v>
          </cell>
          <cell r="L6251" t="str">
            <v>Marketing</v>
          </cell>
          <cell r="N6251" t="str">
            <v>Direct Costs</v>
          </cell>
          <cell r="O6251" t="str">
            <v>Meta Platforms, Inc</v>
          </cell>
        </row>
        <row r="6252">
          <cell r="D6252">
            <v>1500</v>
          </cell>
          <cell r="H6252">
            <v>45658</v>
          </cell>
          <cell r="I6252" t="str">
            <v>6360 - Model - Fitting</v>
          </cell>
          <cell r="J6252">
            <v>0</v>
          </cell>
          <cell r="K6252" t="str">
            <v>Production</v>
          </cell>
          <cell r="L6252" t="str">
            <v>Sample</v>
          </cell>
          <cell r="N6252" t="str">
            <v>SG&amp;A</v>
          </cell>
          <cell r="O6252" t="str">
            <v>Lanny K.W. Inc.</v>
          </cell>
        </row>
        <row r="6253">
          <cell r="D6253">
            <v>16833.400000000001</v>
          </cell>
          <cell r="H6253">
            <v>45658</v>
          </cell>
          <cell r="I6253" t="str">
            <v>6380 - Legal &amp; Accounting</v>
          </cell>
          <cell r="J6253">
            <v>0</v>
          </cell>
          <cell r="K6253" t="str">
            <v>Administration</v>
          </cell>
          <cell r="L6253" t="str">
            <v>Professional Service</v>
          </cell>
          <cell r="N6253" t="str">
            <v>SG&amp;A</v>
          </cell>
          <cell r="O6253" t="str">
            <v>The Wave IP Law Firm</v>
          </cell>
        </row>
        <row r="6254">
          <cell r="D6254">
            <v>71.13</v>
          </cell>
          <cell r="H6254">
            <v>45658</v>
          </cell>
          <cell r="I6254" t="str">
            <v>6340 - Miscellaneous Expense</v>
          </cell>
          <cell r="J6254">
            <v>0</v>
          </cell>
          <cell r="K6254" t="str">
            <v>Brand Marketing</v>
          </cell>
          <cell r="L6254" t="str">
            <v>Other</v>
          </cell>
          <cell r="N6254" t="str">
            <v>SG&amp;A</v>
          </cell>
          <cell r="O6254" t="str">
            <v>[No Vendor]</v>
          </cell>
        </row>
        <row r="6255">
          <cell r="D6255">
            <v>10.69</v>
          </cell>
          <cell r="H6255">
            <v>45658</v>
          </cell>
          <cell r="I6255" t="str">
            <v>6340 - Miscellaneous Expense</v>
          </cell>
          <cell r="J6255">
            <v>0</v>
          </cell>
          <cell r="K6255" t="str">
            <v>Brand Marketing</v>
          </cell>
          <cell r="L6255" t="str">
            <v>Other</v>
          </cell>
          <cell r="N6255" t="str">
            <v>SG&amp;A</v>
          </cell>
          <cell r="O6255" t="str">
            <v>[No Vendor]</v>
          </cell>
        </row>
        <row r="6256">
          <cell r="D6256">
            <v>-56.41</v>
          </cell>
          <cell r="H6256">
            <v>45658</v>
          </cell>
          <cell r="I6256" t="str">
            <v>6340 - Miscellaneous Expense</v>
          </cell>
          <cell r="J6256">
            <v>0</v>
          </cell>
          <cell r="K6256" t="str">
            <v>Brand Marketing</v>
          </cell>
          <cell r="L6256" t="str">
            <v>Other</v>
          </cell>
          <cell r="N6256" t="str">
            <v>SG&amp;A</v>
          </cell>
          <cell r="O6256" t="str">
            <v>[No Vendor]</v>
          </cell>
        </row>
        <row r="6257">
          <cell r="D6257">
            <v>38.19</v>
          </cell>
          <cell r="H6257">
            <v>45658</v>
          </cell>
          <cell r="I6257" t="str">
            <v>6340 - Miscellaneous Expense</v>
          </cell>
          <cell r="J6257">
            <v>0</v>
          </cell>
          <cell r="K6257" t="str">
            <v>Brand Marketing</v>
          </cell>
          <cell r="L6257" t="str">
            <v>Other</v>
          </cell>
          <cell r="N6257" t="str">
            <v>SG&amp;A</v>
          </cell>
          <cell r="O6257" t="str">
            <v>[No Vendor]</v>
          </cell>
        </row>
        <row r="6258">
          <cell r="D6258">
            <v>1291.55</v>
          </cell>
          <cell r="H6258">
            <v>45658</v>
          </cell>
          <cell r="I6258" t="str">
            <v>6340 - Miscellaneous Expense</v>
          </cell>
          <cell r="J6258">
            <v>0</v>
          </cell>
          <cell r="K6258" t="str">
            <v>Administration</v>
          </cell>
          <cell r="L6258" t="str">
            <v>Other</v>
          </cell>
          <cell r="N6258" t="str">
            <v>SG&amp;A</v>
          </cell>
          <cell r="O6258" t="str">
            <v>Amazon Capital Services</v>
          </cell>
        </row>
        <row r="6259">
          <cell r="D6259">
            <v>111</v>
          </cell>
          <cell r="H6259">
            <v>45658</v>
          </cell>
          <cell r="I6259" t="str">
            <v>6340 - Miscellaneous Expense</v>
          </cell>
          <cell r="J6259" t="str">
            <v>Wholesale</v>
          </cell>
          <cell r="K6259" t="str">
            <v>Wholesale</v>
          </cell>
          <cell r="L6259" t="str">
            <v>Other</v>
          </cell>
          <cell r="N6259" t="str">
            <v>SG&amp;A</v>
          </cell>
          <cell r="O6259" t="str">
            <v>[No Vendor]</v>
          </cell>
        </row>
        <row r="6260">
          <cell r="D6260">
            <v>36</v>
          </cell>
          <cell r="H6260">
            <v>45658</v>
          </cell>
          <cell r="I6260" t="str">
            <v>6340 - Miscellaneous Expense</v>
          </cell>
          <cell r="J6260" t="str">
            <v>Wholesale</v>
          </cell>
          <cell r="K6260" t="str">
            <v>Wholesale</v>
          </cell>
          <cell r="L6260" t="str">
            <v>Other</v>
          </cell>
          <cell r="N6260" t="str">
            <v>SG&amp;A</v>
          </cell>
          <cell r="O6260" t="str">
            <v>[No Vendor]</v>
          </cell>
        </row>
        <row r="6261">
          <cell r="D6261">
            <v>4718</v>
          </cell>
          <cell r="H6261">
            <v>45658</v>
          </cell>
          <cell r="I6261" t="str">
            <v>6240 - Product Photography</v>
          </cell>
          <cell r="J6261" t="str">
            <v>Ecommerce (US)</v>
          </cell>
          <cell r="K6261" t="str">
            <v>Brand Marketing</v>
          </cell>
          <cell r="L6261" t="str">
            <v>Advertising</v>
          </cell>
          <cell r="N6261" t="str">
            <v>SG&amp;A</v>
          </cell>
          <cell r="O6261" t="str">
            <v>Theerapol Thammasitboon</v>
          </cell>
        </row>
        <row r="6262">
          <cell r="D6262">
            <v>700</v>
          </cell>
          <cell r="H6262">
            <v>45658</v>
          </cell>
          <cell r="I6262" t="str">
            <v>6205 - Contractors</v>
          </cell>
          <cell r="J6262">
            <v>0</v>
          </cell>
          <cell r="K6262" t="str">
            <v>Brand Marketing</v>
          </cell>
          <cell r="L6262" t="str">
            <v>HQ Salaries</v>
          </cell>
          <cell r="N6262" t="str">
            <v>SG&amp;A</v>
          </cell>
          <cell r="O6262" t="str">
            <v>Ammy  Thitichaya Chan</v>
          </cell>
        </row>
        <row r="6263">
          <cell r="D6263">
            <v>568.6</v>
          </cell>
          <cell r="H6263">
            <v>45658</v>
          </cell>
          <cell r="I6263" t="str">
            <v>6300 - Payroll Service Fees</v>
          </cell>
          <cell r="J6263">
            <v>0</v>
          </cell>
          <cell r="K6263" t="str">
            <v>Administration</v>
          </cell>
          <cell r="L6263" t="str">
            <v>Professional Service</v>
          </cell>
          <cell r="N6263" t="str">
            <v>SG&amp;A</v>
          </cell>
          <cell r="O6263" t="str">
            <v>ADP Payroll Services</v>
          </cell>
        </row>
        <row r="6264">
          <cell r="D6264">
            <v>325.25</v>
          </cell>
          <cell r="H6264">
            <v>45658</v>
          </cell>
          <cell r="I6264" t="str">
            <v>6300 - Payroll Service Fees</v>
          </cell>
          <cell r="J6264">
            <v>0</v>
          </cell>
          <cell r="K6264" t="str">
            <v>Administration</v>
          </cell>
          <cell r="L6264" t="str">
            <v>Professional Service</v>
          </cell>
          <cell r="N6264" t="str">
            <v>SG&amp;A</v>
          </cell>
          <cell r="O6264" t="str">
            <v>ADP Payroll Services</v>
          </cell>
        </row>
        <row r="6265">
          <cell r="D6265">
            <v>700</v>
          </cell>
          <cell r="H6265">
            <v>45658</v>
          </cell>
          <cell r="I6265" t="str">
            <v>6225 - Professional Services</v>
          </cell>
          <cell r="J6265">
            <v>0</v>
          </cell>
          <cell r="K6265" t="str">
            <v>Brand Marketing</v>
          </cell>
          <cell r="L6265" t="str">
            <v>Professional Service</v>
          </cell>
          <cell r="N6265" t="str">
            <v>Direct Costs</v>
          </cell>
          <cell r="O6265" t="str">
            <v>Melody  Huang</v>
          </cell>
        </row>
        <row r="6266">
          <cell r="D6266">
            <v>150</v>
          </cell>
          <cell r="H6266">
            <v>45658</v>
          </cell>
          <cell r="I6266" t="str">
            <v>6225 - Professional Services</v>
          </cell>
          <cell r="J6266">
            <v>0</v>
          </cell>
          <cell r="K6266" t="str">
            <v>Administration</v>
          </cell>
          <cell r="L6266" t="str">
            <v>Professional Service</v>
          </cell>
          <cell r="N6266" t="str">
            <v>Direct Costs</v>
          </cell>
          <cell r="O6266" t="str">
            <v>Benefit Resource, LLC</v>
          </cell>
        </row>
        <row r="6267">
          <cell r="D6267">
            <v>45.06</v>
          </cell>
          <cell r="H6267">
            <v>45658</v>
          </cell>
          <cell r="I6267" t="str">
            <v>6125 - Transportation and Fuel</v>
          </cell>
          <cell r="J6267">
            <v>0</v>
          </cell>
          <cell r="K6267" t="str">
            <v>Brand Marketing</v>
          </cell>
          <cell r="L6267" t="str">
            <v>T&amp;E</v>
          </cell>
          <cell r="N6267" t="str">
            <v>SG&amp;A</v>
          </cell>
          <cell r="O6267" t="str">
            <v>[No Vendor]</v>
          </cell>
        </row>
        <row r="6268">
          <cell r="D6268">
            <v>85.6</v>
          </cell>
          <cell r="H6268">
            <v>45658</v>
          </cell>
          <cell r="I6268" t="str">
            <v>6125 - Transportation and Fuel</v>
          </cell>
          <cell r="J6268">
            <v>0</v>
          </cell>
          <cell r="K6268" t="str">
            <v>Brand Marketing</v>
          </cell>
          <cell r="L6268" t="str">
            <v>T&amp;E</v>
          </cell>
          <cell r="N6268" t="str">
            <v>SG&amp;A</v>
          </cell>
          <cell r="O6268" t="str">
            <v>[No Vendor]</v>
          </cell>
        </row>
        <row r="6269">
          <cell r="D6269">
            <v>18.989999999999998</v>
          </cell>
          <cell r="H6269">
            <v>45658</v>
          </cell>
          <cell r="I6269" t="str">
            <v>6125 - Transportation and Fuel</v>
          </cell>
          <cell r="J6269">
            <v>0</v>
          </cell>
          <cell r="K6269" t="str">
            <v>Brand Marketing</v>
          </cell>
          <cell r="L6269" t="str">
            <v>T&amp;E</v>
          </cell>
          <cell r="N6269" t="str">
            <v>SG&amp;A</v>
          </cell>
          <cell r="O6269" t="str">
            <v>[No Vendor]</v>
          </cell>
        </row>
        <row r="6270">
          <cell r="D6270">
            <v>10.99</v>
          </cell>
          <cell r="H6270">
            <v>45658</v>
          </cell>
          <cell r="I6270" t="str">
            <v>6125 - Transportation and Fuel</v>
          </cell>
          <cell r="J6270">
            <v>0</v>
          </cell>
          <cell r="K6270" t="str">
            <v>Brand Marketing</v>
          </cell>
          <cell r="L6270" t="str">
            <v>T&amp;E</v>
          </cell>
          <cell r="N6270" t="str">
            <v>SG&amp;A</v>
          </cell>
          <cell r="O6270" t="str">
            <v>[No Vendor]</v>
          </cell>
        </row>
        <row r="6271">
          <cell r="D6271">
            <v>10.119999999999999</v>
          </cell>
          <cell r="H6271">
            <v>45658</v>
          </cell>
          <cell r="I6271" t="str">
            <v>6125 - Transportation and Fuel</v>
          </cell>
          <cell r="J6271">
            <v>0</v>
          </cell>
          <cell r="K6271" t="str">
            <v>Brand Marketing</v>
          </cell>
          <cell r="L6271" t="str">
            <v>T&amp;E</v>
          </cell>
          <cell r="N6271" t="str">
            <v>SG&amp;A</v>
          </cell>
          <cell r="O6271" t="str">
            <v>[No Vendor]</v>
          </cell>
        </row>
        <row r="6272">
          <cell r="D6272">
            <v>28.98</v>
          </cell>
          <cell r="H6272">
            <v>45658</v>
          </cell>
          <cell r="I6272" t="str">
            <v>6125 - Transportation and Fuel</v>
          </cell>
          <cell r="J6272">
            <v>0</v>
          </cell>
          <cell r="K6272" t="str">
            <v>Brand Marketing</v>
          </cell>
          <cell r="L6272" t="str">
            <v>T&amp;E</v>
          </cell>
          <cell r="N6272" t="str">
            <v>SG&amp;A</v>
          </cell>
          <cell r="O6272" t="str">
            <v>[No Vendor]</v>
          </cell>
        </row>
        <row r="6273">
          <cell r="D6273">
            <v>96.7</v>
          </cell>
          <cell r="H6273">
            <v>45658</v>
          </cell>
          <cell r="I6273" t="str">
            <v>6125 - Transportation and Fuel</v>
          </cell>
          <cell r="J6273">
            <v>0</v>
          </cell>
          <cell r="K6273" t="str">
            <v>Brand Marketing</v>
          </cell>
          <cell r="L6273" t="str">
            <v>T&amp;E</v>
          </cell>
          <cell r="N6273" t="str">
            <v>SG&amp;A</v>
          </cell>
          <cell r="O6273" t="str">
            <v>[No Vendor]</v>
          </cell>
        </row>
        <row r="6274">
          <cell r="D6274">
            <v>14.35</v>
          </cell>
          <cell r="H6274">
            <v>45658</v>
          </cell>
          <cell r="I6274" t="str">
            <v>6125 - Transportation and Fuel</v>
          </cell>
          <cell r="J6274">
            <v>0</v>
          </cell>
          <cell r="K6274" t="str">
            <v>Brand Marketing</v>
          </cell>
          <cell r="L6274" t="str">
            <v>T&amp;E</v>
          </cell>
          <cell r="N6274" t="str">
            <v>SG&amp;A</v>
          </cell>
          <cell r="O6274" t="str">
            <v>[No Vendor]</v>
          </cell>
        </row>
        <row r="6275">
          <cell r="D6275">
            <v>37.380000000000003</v>
          </cell>
          <cell r="H6275">
            <v>45658</v>
          </cell>
          <cell r="I6275" t="str">
            <v>6125 - Transportation and Fuel</v>
          </cell>
          <cell r="J6275">
            <v>0</v>
          </cell>
          <cell r="K6275" t="str">
            <v>Brand Marketing</v>
          </cell>
          <cell r="L6275" t="str">
            <v>T&amp;E</v>
          </cell>
          <cell r="N6275" t="str">
            <v>SG&amp;A</v>
          </cell>
          <cell r="O6275" t="str">
            <v>[No Vendor]</v>
          </cell>
        </row>
        <row r="6276">
          <cell r="D6276">
            <v>47.46</v>
          </cell>
          <cell r="H6276">
            <v>45658</v>
          </cell>
          <cell r="I6276" t="str">
            <v>6125 - Transportation and Fuel</v>
          </cell>
          <cell r="J6276">
            <v>0</v>
          </cell>
          <cell r="K6276" t="str">
            <v>Brand Marketing</v>
          </cell>
          <cell r="L6276" t="str">
            <v>T&amp;E</v>
          </cell>
          <cell r="N6276" t="str">
            <v>SG&amp;A</v>
          </cell>
          <cell r="O6276" t="str">
            <v>[No Vendor]</v>
          </cell>
        </row>
        <row r="6277">
          <cell r="D6277">
            <v>67.87</v>
          </cell>
          <cell r="H6277">
            <v>45658</v>
          </cell>
          <cell r="I6277" t="str">
            <v>6125 - Transportation and Fuel</v>
          </cell>
          <cell r="J6277">
            <v>0</v>
          </cell>
          <cell r="K6277" t="str">
            <v>Brand Marketing</v>
          </cell>
          <cell r="L6277" t="str">
            <v>T&amp;E</v>
          </cell>
          <cell r="N6277" t="str">
            <v>SG&amp;A</v>
          </cell>
          <cell r="O6277" t="str">
            <v>[No Vendor]</v>
          </cell>
        </row>
        <row r="6278">
          <cell r="D6278">
            <v>128.55000000000001</v>
          </cell>
          <cell r="H6278">
            <v>45658</v>
          </cell>
          <cell r="I6278" t="str">
            <v>6125 - Transportation and Fuel</v>
          </cell>
          <cell r="J6278">
            <v>0</v>
          </cell>
          <cell r="K6278" t="str">
            <v>Brand Marketing</v>
          </cell>
          <cell r="L6278" t="str">
            <v>T&amp;E</v>
          </cell>
          <cell r="N6278" t="str">
            <v>SG&amp;A</v>
          </cell>
          <cell r="O6278" t="str">
            <v>[No Vendor]</v>
          </cell>
        </row>
        <row r="6279">
          <cell r="D6279">
            <v>87.39</v>
          </cell>
          <cell r="H6279">
            <v>45658</v>
          </cell>
          <cell r="I6279" t="str">
            <v>6125 - Transportation and Fuel</v>
          </cell>
          <cell r="J6279">
            <v>0</v>
          </cell>
          <cell r="K6279" t="str">
            <v>Brand Marketing</v>
          </cell>
          <cell r="L6279" t="str">
            <v>T&amp;E</v>
          </cell>
          <cell r="N6279" t="str">
            <v>SG&amp;A</v>
          </cell>
          <cell r="O6279" t="str">
            <v>[No Vendor]</v>
          </cell>
        </row>
        <row r="6280">
          <cell r="D6280">
            <v>123.15</v>
          </cell>
          <cell r="H6280">
            <v>45658</v>
          </cell>
          <cell r="I6280" t="str">
            <v>6125 - Transportation and Fuel</v>
          </cell>
          <cell r="J6280">
            <v>0</v>
          </cell>
          <cell r="K6280" t="str">
            <v>Brand Marketing</v>
          </cell>
          <cell r="L6280" t="str">
            <v>T&amp;E</v>
          </cell>
          <cell r="N6280" t="str">
            <v>SG&amp;A</v>
          </cell>
          <cell r="O6280" t="str">
            <v>[No Vendor]</v>
          </cell>
        </row>
        <row r="6281">
          <cell r="D6281">
            <v>18.170000000000002</v>
          </cell>
          <cell r="H6281">
            <v>45658</v>
          </cell>
          <cell r="I6281" t="str">
            <v>6105 - Meals</v>
          </cell>
          <cell r="J6281">
            <v>0</v>
          </cell>
          <cell r="K6281" t="str">
            <v>Brand Marketing</v>
          </cell>
          <cell r="L6281" t="str">
            <v>T&amp;E</v>
          </cell>
          <cell r="N6281" t="str">
            <v>SG&amp;A</v>
          </cell>
          <cell r="O6281" t="str">
            <v>[No Vendor]</v>
          </cell>
        </row>
        <row r="6282">
          <cell r="D6282">
            <v>34.79</v>
          </cell>
          <cell r="H6282">
            <v>45658</v>
          </cell>
          <cell r="I6282" t="str">
            <v>6105 - Meals</v>
          </cell>
          <cell r="J6282">
            <v>0</v>
          </cell>
          <cell r="K6282" t="str">
            <v>Brand Marketing</v>
          </cell>
          <cell r="L6282" t="str">
            <v>T&amp;E</v>
          </cell>
          <cell r="N6282" t="str">
            <v>SG&amp;A</v>
          </cell>
          <cell r="O6282" t="str">
            <v>[No Vendor]</v>
          </cell>
        </row>
        <row r="6283">
          <cell r="D6283">
            <v>53.23</v>
          </cell>
          <cell r="H6283">
            <v>45658</v>
          </cell>
          <cell r="I6283" t="str">
            <v>6105 - Meals</v>
          </cell>
          <cell r="J6283">
            <v>0</v>
          </cell>
          <cell r="K6283" t="str">
            <v>Brand Marketing</v>
          </cell>
          <cell r="L6283" t="str">
            <v>T&amp;E</v>
          </cell>
          <cell r="N6283" t="str">
            <v>SG&amp;A</v>
          </cell>
          <cell r="O6283" t="str">
            <v>[No Vendor]</v>
          </cell>
        </row>
        <row r="6284">
          <cell r="D6284">
            <v>45.68</v>
          </cell>
          <cell r="H6284">
            <v>45658</v>
          </cell>
          <cell r="I6284" t="str">
            <v>6105 - Meals</v>
          </cell>
          <cell r="J6284">
            <v>0</v>
          </cell>
          <cell r="K6284" t="str">
            <v>Brand Marketing</v>
          </cell>
          <cell r="L6284" t="str">
            <v>T&amp;E</v>
          </cell>
          <cell r="N6284" t="str">
            <v>SG&amp;A</v>
          </cell>
          <cell r="O6284" t="str">
            <v>[No Vendor]</v>
          </cell>
        </row>
        <row r="6285">
          <cell r="D6285">
            <v>22.25</v>
          </cell>
          <cell r="H6285">
            <v>45658</v>
          </cell>
          <cell r="I6285" t="str">
            <v>6105 - Meals</v>
          </cell>
          <cell r="J6285">
            <v>0</v>
          </cell>
          <cell r="K6285" t="str">
            <v>Brand Marketing</v>
          </cell>
          <cell r="L6285" t="str">
            <v>T&amp;E</v>
          </cell>
          <cell r="N6285" t="str">
            <v>SG&amp;A</v>
          </cell>
          <cell r="O6285" t="str">
            <v>[No Vendor]</v>
          </cell>
        </row>
        <row r="6286">
          <cell r="D6286">
            <v>11.13</v>
          </cell>
          <cell r="H6286">
            <v>45658</v>
          </cell>
          <cell r="I6286" t="str">
            <v>6105 - Meals</v>
          </cell>
          <cell r="J6286">
            <v>0</v>
          </cell>
          <cell r="K6286" t="str">
            <v>Brand Marketing</v>
          </cell>
          <cell r="L6286" t="str">
            <v>T&amp;E</v>
          </cell>
          <cell r="N6286" t="str">
            <v>SG&amp;A</v>
          </cell>
          <cell r="O6286" t="str">
            <v>[No Vendor]</v>
          </cell>
        </row>
        <row r="6287">
          <cell r="D6287">
            <v>3.76</v>
          </cell>
          <cell r="H6287">
            <v>45658</v>
          </cell>
          <cell r="I6287" t="str">
            <v>6105 - Meals</v>
          </cell>
          <cell r="J6287" t="str">
            <v>Wholesale</v>
          </cell>
          <cell r="K6287" t="str">
            <v>Wholesale</v>
          </cell>
          <cell r="L6287" t="str">
            <v>T&amp;E</v>
          </cell>
          <cell r="N6287" t="str">
            <v>SG&amp;A</v>
          </cell>
          <cell r="O6287" t="str">
            <v>[No Vendor]</v>
          </cell>
        </row>
        <row r="6288">
          <cell r="D6288">
            <v>789</v>
          </cell>
          <cell r="H6288">
            <v>45658</v>
          </cell>
          <cell r="I6288" t="str">
            <v>6375 - Freight Expenses</v>
          </cell>
          <cell r="J6288">
            <v>0</v>
          </cell>
          <cell r="K6288" t="str">
            <v>Brand Marketing</v>
          </cell>
          <cell r="L6288" t="str">
            <v>Freight</v>
          </cell>
          <cell r="N6288" t="str">
            <v>Direct Costs</v>
          </cell>
          <cell r="O6288" t="str">
            <v>[No Vendor]</v>
          </cell>
        </row>
        <row r="6289">
          <cell r="D6289">
            <v>152.28</v>
          </cell>
          <cell r="H6289">
            <v>45658</v>
          </cell>
          <cell r="I6289" t="str">
            <v>6375 - Freight Expenses</v>
          </cell>
          <cell r="J6289">
            <v>0</v>
          </cell>
          <cell r="K6289" t="str">
            <v>Brand Marketing</v>
          </cell>
          <cell r="L6289" t="str">
            <v>Freight</v>
          </cell>
          <cell r="N6289" t="str">
            <v>Direct Costs</v>
          </cell>
          <cell r="O6289" t="str">
            <v>[No Vendor]</v>
          </cell>
        </row>
        <row r="6290">
          <cell r="D6290">
            <v>1023.54</v>
          </cell>
          <cell r="H6290">
            <v>45658</v>
          </cell>
          <cell r="I6290" t="str">
            <v>6375 - Freight Expenses</v>
          </cell>
          <cell r="J6290">
            <v>0</v>
          </cell>
          <cell r="K6290" t="str">
            <v>Brand Marketing</v>
          </cell>
          <cell r="L6290" t="str">
            <v>Freight</v>
          </cell>
          <cell r="N6290" t="str">
            <v>Direct Costs</v>
          </cell>
          <cell r="O6290" t="str">
            <v>GFD Courier Corporation</v>
          </cell>
        </row>
        <row r="6291">
          <cell r="D6291">
            <v>1214.52</v>
          </cell>
          <cell r="H6291">
            <v>45658</v>
          </cell>
          <cell r="I6291" t="str">
            <v>6375 - Freight Expenses</v>
          </cell>
          <cell r="J6291">
            <v>0</v>
          </cell>
          <cell r="K6291" t="str">
            <v>Production</v>
          </cell>
          <cell r="L6291" t="str">
            <v>Freight</v>
          </cell>
          <cell r="N6291" t="str">
            <v>Direct Costs</v>
          </cell>
          <cell r="O6291" t="str">
            <v>DHL Express - USA</v>
          </cell>
        </row>
        <row r="6292">
          <cell r="D6292">
            <v>29.56</v>
          </cell>
          <cell r="H6292">
            <v>45658</v>
          </cell>
          <cell r="I6292" t="str">
            <v>6375 - Freight Expenses</v>
          </cell>
          <cell r="J6292">
            <v>0</v>
          </cell>
          <cell r="K6292" t="str">
            <v>Production</v>
          </cell>
          <cell r="L6292" t="str">
            <v>Freight</v>
          </cell>
          <cell r="N6292" t="str">
            <v>Direct Costs</v>
          </cell>
          <cell r="O6292" t="str">
            <v>DHL Express - USA</v>
          </cell>
        </row>
        <row r="6293">
          <cell r="D6293">
            <v>353.44</v>
          </cell>
          <cell r="H6293">
            <v>45658</v>
          </cell>
          <cell r="I6293" t="str">
            <v>6375 - Freight Expenses</v>
          </cell>
          <cell r="J6293" t="str">
            <v>Ecommerce (US)</v>
          </cell>
          <cell r="K6293" t="str">
            <v>Ecommerce</v>
          </cell>
          <cell r="L6293" t="str">
            <v>Freight</v>
          </cell>
          <cell r="N6293" t="str">
            <v>Direct Costs</v>
          </cell>
          <cell r="O6293" t="str">
            <v>UPS Supply Chain Solutions Inc. (7F24A0)</v>
          </cell>
        </row>
        <row r="6294">
          <cell r="D6294">
            <v>-62326.94</v>
          </cell>
          <cell r="H6294">
            <v>45658</v>
          </cell>
          <cell r="I6294" t="str">
            <v>4010 - Revenue - Licensing Fees (Royalties)</v>
          </cell>
          <cell r="J6294">
            <v>0</v>
          </cell>
          <cell r="K6294" t="str">
            <v>Licensing</v>
          </cell>
          <cell r="L6294" t="str">
            <v>License</v>
          </cell>
          <cell r="N6294" t="str">
            <v>Revenue</v>
          </cell>
          <cell r="O6294" t="str">
            <v>[No Vendor]</v>
          </cell>
        </row>
        <row r="6295">
          <cell r="D6295">
            <v>5196.25</v>
          </cell>
          <cell r="H6295">
            <v>45658</v>
          </cell>
          <cell r="I6295" t="str">
            <v>6451 - Service Processing Fee</v>
          </cell>
          <cell r="J6295" t="str">
            <v>Ecommerce (EU)</v>
          </cell>
          <cell r="K6295" t="str">
            <v>Ecommerce</v>
          </cell>
          <cell r="L6295" t="str">
            <v>Professional Service</v>
          </cell>
          <cell r="N6295" t="str">
            <v>Direct Costs</v>
          </cell>
          <cell r="O6295" t="str">
            <v>[No Vendor]</v>
          </cell>
        </row>
        <row r="6296">
          <cell r="D6296">
            <v>35383.24</v>
          </cell>
          <cell r="H6296">
            <v>45658</v>
          </cell>
          <cell r="I6296" t="str">
            <v>6451 - Service Processing Fee</v>
          </cell>
          <cell r="J6296" t="str">
            <v>Ecommerce (US)</v>
          </cell>
          <cell r="K6296" t="str">
            <v>Ecommerce</v>
          </cell>
          <cell r="L6296" t="str">
            <v>Professional Service</v>
          </cell>
          <cell r="N6296" t="str">
            <v>Direct Costs</v>
          </cell>
          <cell r="O6296" t="str">
            <v>Shopify</v>
          </cell>
        </row>
        <row r="6297">
          <cell r="D6297">
            <v>13008.93</v>
          </cell>
          <cell r="H6297">
            <v>45658</v>
          </cell>
          <cell r="I6297" t="str">
            <v>6451 - Service Processing Fee</v>
          </cell>
          <cell r="J6297" t="str">
            <v>Ecommerce (US)</v>
          </cell>
          <cell r="K6297" t="str">
            <v>Ecommerce</v>
          </cell>
          <cell r="L6297" t="str">
            <v>Professional Service</v>
          </cell>
          <cell r="N6297" t="str">
            <v>Direct Costs</v>
          </cell>
          <cell r="O6297" t="str">
            <v>Amazon</v>
          </cell>
        </row>
        <row r="6298">
          <cell r="D6298">
            <v>-148</v>
          </cell>
          <cell r="H6298">
            <v>45658</v>
          </cell>
          <cell r="I6298" t="str">
            <v>6451 - Service Processing Fee</v>
          </cell>
          <cell r="J6298" t="str">
            <v>Ecommerce (US)</v>
          </cell>
          <cell r="K6298" t="str">
            <v>Ecommerce</v>
          </cell>
          <cell r="L6298" t="str">
            <v>Professional Service</v>
          </cell>
          <cell r="N6298" t="str">
            <v>Direct Costs</v>
          </cell>
          <cell r="O6298" t="str">
            <v>Paypal</v>
          </cell>
        </row>
        <row r="6299">
          <cell r="D6299">
            <v>180000</v>
          </cell>
          <cell r="H6299">
            <v>45658</v>
          </cell>
          <cell r="I6299" t="str">
            <v>8700 - Other Expense</v>
          </cell>
          <cell r="J6299">
            <v>0</v>
          </cell>
          <cell r="K6299" t="str">
            <v>Administration</v>
          </cell>
          <cell r="L6299" t="str">
            <v>Other Expense</v>
          </cell>
          <cell r="N6299" t="str">
            <v>BTL</v>
          </cell>
          <cell r="O6299" t="str">
            <v>[No Vendor]</v>
          </cell>
        </row>
        <row r="6300">
          <cell r="D6300">
            <v>0</v>
          </cell>
          <cell r="H6300">
            <v>45658</v>
          </cell>
          <cell r="I6300" t="str">
            <v>4045 - Sponsorships</v>
          </cell>
          <cell r="J6300">
            <v>0</v>
          </cell>
          <cell r="K6300" t="str">
            <v>Licensing</v>
          </cell>
          <cell r="L6300" t="str">
            <v>Other Income</v>
          </cell>
          <cell r="N6300" t="str">
            <v>Revenue</v>
          </cell>
          <cell r="O6300" t="str">
            <v>[No Vendor]</v>
          </cell>
        </row>
        <row r="6301">
          <cell r="D6301">
            <v>-90060.2</v>
          </cell>
          <cell r="H6301">
            <v>45658</v>
          </cell>
          <cell r="I6301" t="str">
            <v>4052 - Sales Revenue - Wholesale (US)</v>
          </cell>
          <cell r="J6301" t="str">
            <v>Wholesale</v>
          </cell>
          <cell r="K6301" t="str">
            <v>Wholesale</v>
          </cell>
          <cell r="L6301" t="str">
            <v>Wholesale</v>
          </cell>
          <cell r="N6301" t="str">
            <v>Revenue</v>
          </cell>
          <cell r="O6301" t="str">
            <v>[No Vendor]</v>
          </cell>
        </row>
        <row r="6302">
          <cell r="D6302">
            <v>-1061940.6399999999</v>
          </cell>
          <cell r="H6302">
            <v>45658</v>
          </cell>
          <cell r="I6302" t="str">
            <v>4050 - Sales Revenue - Ecommerce (US)</v>
          </cell>
          <cell r="J6302" t="str">
            <v>Ecommerce (US)</v>
          </cell>
          <cell r="K6302" t="str">
            <v>Ecommerce</v>
          </cell>
          <cell r="L6302" t="str">
            <v>Ecommerce (US)</v>
          </cell>
          <cell r="N6302" t="str">
            <v>Revenue</v>
          </cell>
          <cell r="O6302" t="str">
            <v>[No Vendor]</v>
          </cell>
        </row>
        <row r="6303">
          <cell r="D6303">
            <v>-71222.490000000005</v>
          </cell>
          <cell r="H6303">
            <v>45658</v>
          </cell>
          <cell r="I6303" t="str">
            <v>4050 - Sales Revenue - Ecommerce (US)</v>
          </cell>
          <cell r="J6303" t="str">
            <v>Ecommerce (US)</v>
          </cell>
          <cell r="K6303" t="str">
            <v>Ecommerce</v>
          </cell>
          <cell r="L6303" t="str">
            <v>Ecommerce (US)</v>
          </cell>
          <cell r="N6303" t="str">
            <v>Revenue</v>
          </cell>
          <cell r="O6303" t="str">
            <v>[No Vendor]</v>
          </cell>
        </row>
        <row r="6304">
          <cell r="D6304">
            <v>574.39</v>
          </cell>
          <cell r="H6304">
            <v>45658</v>
          </cell>
          <cell r="I6304" t="str">
            <v>7140 - Amortization Exp - ROU Asset</v>
          </cell>
          <cell r="J6304">
            <v>0</v>
          </cell>
          <cell r="K6304" t="str">
            <v>Administration</v>
          </cell>
          <cell r="L6304" t="str">
            <v>Rent</v>
          </cell>
          <cell r="N6304" t="str">
            <v>SG&amp;A</v>
          </cell>
          <cell r="O6304" t="str">
            <v>[No Vendor]</v>
          </cell>
        </row>
        <row r="6305">
          <cell r="D6305">
            <v>23940.66</v>
          </cell>
          <cell r="H6305">
            <v>45658</v>
          </cell>
          <cell r="I6305" t="str">
            <v>7140 - Amortization Exp - ROU Asset</v>
          </cell>
          <cell r="J6305">
            <v>0</v>
          </cell>
          <cell r="K6305" t="str">
            <v>Administration</v>
          </cell>
          <cell r="L6305" t="str">
            <v>Rent</v>
          </cell>
          <cell r="N6305" t="str">
            <v>SG&amp;A</v>
          </cell>
          <cell r="O6305" t="str">
            <v>[No Vendor]</v>
          </cell>
        </row>
        <row r="6306">
          <cell r="D6306">
            <v>-89234.91</v>
          </cell>
          <cell r="H6306">
            <v>45658</v>
          </cell>
          <cell r="I6306" t="str">
            <v>4051 - Sales Revenue - Ecommerce (Intl)</v>
          </cell>
          <cell r="J6306" t="str">
            <v>Ecommerce (EU)</v>
          </cell>
          <cell r="K6306" t="str">
            <v>Ecommerce</v>
          </cell>
          <cell r="L6306" t="str">
            <v>Ecommerce (EU)</v>
          </cell>
          <cell r="N6306" t="str">
            <v>Revenue</v>
          </cell>
          <cell r="O6306" t="str">
            <v>[No Vendor]</v>
          </cell>
        </row>
        <row r="6307">
          <cell r="D6307">
            <v>0</v>
          </cell>
          <cell r="H6307">
            <v>45658</v>
          </cell>
          <cell r="I6307" t="str">
            <v>6035 - Severance Expense</v>
          </cell>
          <cell r="J6307" t="str">
            <v>Wholesale</v>
          </cell>
          <cell r="K6307" t="str">
            <v>Wholesale</v>
          </cell>
          <cell r="L6307" t="str">
            <v>HQ Salaries</v>
          </cell>
          <cell r="N6307" t="str">
            <v>SG&amp;A</v>
          </cell>
          <cell r="O6307" t="str">
            <v>[No Vendor]</v>
          </cell>
        </row>
        <row r="6308">
          <cell r="D6308">
            <v>4636.6400000000003</v>
          </cell>
          <cell r="H6308">
            <v>45658</v>
          </cell>
          <cell r="I6308" t="str">
            <v>6377 - Order Processing Expenses (New)</v>
          </cell>
          <cell r="J6308" t="str">
            <v>Ecommerce (EU)</v>
          </cell>
          <cell r="K6308" t="str">
            <v>Ecommerce</v>
          </cell>
          <cell r="L6308" t="str">
            <v>Order Processing</v>
          </cell>
          <cell r="N6308" t="str">
            <v>Direct Costs</v>
          </cell>
          <cell r="O6308" t="str">
            <v>[No Vendor]</v>
          </cell>
        </row>
        <row r="6309">
          <cell r="D6309">
            <v>513.19000000000005</v>
          </cell>
          <cell r="H6309">
            <v>45658</v>
          </cell>
          <cell r="I6309" t="str">
            <v>6377 - Order Processing Expenses (New)</v>
          </cell>
          <cell r="J6309" t="str">
            <v>Ecommerce (US)</v>
          </cell>
          <cell r="K6309" t="str">
            <v>Ecommerce</v>
          </cell>
          <cell r="L6309" t="str">
            <v>Order Processing</v>
          </cell>
          <cell r="N6309" t="str">
            <v>Direct Costs</v>
          </cell>
          <cell r="O6309" t="str">
            <v>[No Vendor]</v>
          </cell>
        </row>
        <row r="6310">
          <cell r="D6310">
            <v>-1373.24</v>
          </cell>
          <cell r="H6310">
            <v>45658</v>
          </cell>
          <cell r="I6310" t="str">
            <v>4065 - Sales Freight - Wholesale (US)</v>
          </cell>
          <cell r="J6310" t="str">
            <v>Wholesale</v>
          </cell>
          <cell r="K6310" t="str">
            <v>Wholesale</v>
          </cell>
          <cell r="L6310" t="str">
            <v>Freight - Revenue</v>
          </cell>
          <cell r="N6310" t="str">
            <v>Direct Costs</v>
          </cell>
          <cell r="O6310" t="str">
            <v>[No Vendor]</v>
          </cell>
        </row>
        <row r="6311">
          <cell r="D6311">
            <v>774.75</v>
          </cell>
          <cell r="H6311">
            <v>45658</v>
          </cell>
          <cell r="I6311" t="str">
            <v>4063 - Sales Discount - Wholesale (US)</v>
          </cell>
          <cell r="J6311" t="str">
            <v>Wholesale</v>
          </cell>
          <cell r="K6311" t="str">
            <v>Wholesale</v>
          </cell>
          <cell r="L6311" t="str">
            <v>Wholesale</v>
          </cell>
          <cell r="N6311" t="str">
            <v>Revenue</v>
          </cell>
          <cell r="O6311" t="str">
            <v>[No Vendor]</v>
          </cell>
        </row>
        <row r="6312">
          <cell r="D6312">
            <v>8856.75</v>
          </cell>
          <cell r="H6312">
            <v>45658</v>
          </cell>
          <cell r="I6312" t="str">
            <v>5900 - Interco Royalty Expense</v>
          </cell>
          <cell r="J6312">
            <v>0</v>
          </cell>
          <cell r="K6312" t="str">
            <v>Licensing</v>
          </cell>
          <cell r="L6312">
            <v>0</v>
          </cell>
          <cell r="N6312">
            <v>0</v>
          </cell>
          <cell r="O6312" t="str">
            <v>[No Vendor]</v>
          </cell>
        </row>
        <row r="6313">
          <cell r="D6313">
            <v>83576.61</v>
          </cell>
          <cell r="H6313">
            <v>45658</v>
          </cell>
          <cell r="I6313" t="str">
            <v>4062 - Sales Discount - Ecomm (US)</v>
          </cell>
          <cell r="J6313" t="str">
            <v>Ecommerce (US)</v>
          </cell>
          <cell r="K6313" t="str">
            <v>Ecommerce</v>
          </cell>
          <cell r="L6313" t="str">
            <v>Ecommerce (US)</v>
          </cell>
          <cell r="N6313" t="str">
            <v>Revenue</v>
          </cell>
          <cell r="O6313" t="str">
            <v>[No Vendor]</v>
          </cell>
        </row>
        <row r="6314">
          <cell r="D6314">
            <v>0</v>
          </cell>
          <cell r="H6314">
            <v>45658</v>
          </cell>
          <cell r="I6314" t="str">
            <v>4062 - Sales Discount - Ecomm (US)</v>
          </cell>
          <cell r="J6314" t="str">
            <v>Ecommerce (US)</v>
          </cell>
          <cell r="K6314" t="str">
            <v>Ecommerce</v>
          </cell>
          <cell r="L6314" t="str">
            <v>Ecommerce (US)</v>
          </cell>
          <cell r="N6314" t="str">
            <v>Revenue</v>
          </cell>
          <cell r="O6314" t="str">
            <v>[No Vendor]</v>
          </cell>
        </row>
        <row r="6315">
          <cell r="D6315">
            <v>1954.72</v>
          </cell>
          <cell r="H6315">
            <v>45658</v>
          </cell>
          <cell r="I6315" t="str">
            <v>7130 - License Agreements &amp; Other Intangibles</v>
          </cell>
          <cell r="J6315">
            <v>0</v>
          </cell>
          <cell r="K6315" t="str">
            <v>Administration</v>
          </cell>
          <cell r="L6315" t="str">
            <v>Depreciation &amp; Amortization</v>
          </cell>
          <cell r="N6315" t="str">
            <v>SG&amp;A</v>
          </cell>
          <cell r="O6315" t="str">
            <v>[No Vendor]</v>
          </cell>
        </row>
        <row r="6316">
          <cell r="D6316">
            <v>-8856.75</v>
          </cell>
          <cell r="H6316">
            <v>45658</v>
          </cell>
          <cell r="I6316" t="str">
            <v>4900 - Interco Royalty Revenue</v>
          </cell>
          <cell r="J6316">
            <v>0</v>
          </cell>
          <cell r="K6316" t="str">
            <v>Licensing</v>
          </cell>
          <cell r="L6316">
            <v>0</v>
          </cell>
          <cell r="N6316">
            <v>0</v>
          </cell>
          <cell r="O6316" t="str">
            <v>[No Vendor]</v>
          </cell>
        </row>
        <row r="6317">
          <cell r="D6317">
            <v>839</v>
          </cell>
          <cell r="H6317">
            <v>45658</v>
          </cell>
          <cell r="I6317" t="str">
            <v>6393 - Software</v>
          </cell>
          <cell r="J6317">
            <v>0</v>
          </cell>
          <cell r="K6317" t="str">
            <v>Administration</v>
          </cell>
          <cell r="L6317" t="str">
            <v>Professional Service</v>
          </cell>
          <cell r="N6317" t="str">
            <v>Direct Costs</v>
          </cell>
          <cell r="O6317" t="str">
            <v>Oracle Netsuite</v>
          </cell>
        </row>
        <row r="6318">
          <cell r="D6318">
            <v>2198.19</v>
          </cell>
          <cell r="H6318">
            <v>45658</v>
          </cell>
          <cell r="I6318" t="str">
            <v>6393 - Software</v>
          </cell>
          <cell r="J6318">
            <v>0</v>
          </cell>
          <cell r="K6318" t="str">
            <v>Administration</v>
          </cell>
          <cell r="L6318" t="str">
            <v>Professional Service</v>
          </cell>
          <cell r="N6318" t="str">
            <v>Direct Costs</v>
          </cell>
          <cell r="O6318" t="str">
            <v>Oracle Netsuite</v>
          </cell>
        </row>
        <row r="6319">
          <cell r="D6319">
            <v>2721.88</v>
          </cell>
          <cell r="H6319">
            <v>45658</v>
          </cell>
          <cell r="I6319" t="str">
            <v>6393 - Software</v>
          </cell>
          <cell r="J6319">
            <v>0</v>
          </cell>
          <cell r="K6319" t="str">
            <v>Administration</v>
          </cell>
          <cell r="L6319" t="str">
            <v>Professional Service</v>
          </cell>
          <cell r="N6319" t="str">
            <v>Direct Costs</v>
          </cell>
          <cell r="O6319" t="str">
            <v>Apparel Magic</v>
          </cell>
        </row>
        <row r="6320">
          <cell r="D6320">
            <v>13.65</v>
          </cell>
          <cell r="H6320">
            <v>45658</v>
          </cell>
          <cell r="I6320" t="str">
            <v>6393 - Software</v>
          </cell>
          <cell r="J6320">
            <v>0</v>
          </cell>
          <cell r="K6320" t="str">
            <v>Administration</v>
          </cell>
          <cell r="L6320" t="str">
            <v>Professional Service</v>
          </cell>
          <cell r="N6320" t="str">
            <v>Direct Costs</v>
          </cell>
          <cell r="O6320" t="str">
            <v>Zoom</v>
          </cell>
        </row>
        <row r="6321">
          <cell r="D6321">
            <v>1302.44</v>
          </cell>
          <cell r="H6321">
            <v>45658</v>
          </cell>
          <cell r="I6321" t="str">
            <v>6393 - Software</v>
          </cell>
          <cell r="J6321">
            <v>0</v>
          </cell>
          <cell r="K6321" t="str">
            <v>Administration</v>
          </cell>
          <cell r="L6321" t="str">
            <v>Professional Service</v>
          </cell>
          <cell r="N6321" t="str">
            <v>Direct Costs</v>
          </cell>
          <cell r="O6321" t="str">
            <v>Avalara, Inc</v>
          </cell>
        </row>
        <row r="6322">
          <cell r="D6322">
            <v>2268.23</v>
          </cell>
          <cell r="H6322">
            <v>45658</v>
          </cell>
          <cell r="I6322" t="str">
            <v>6393 - Software</v>
          </cell>
          <cell r="J6322">
            <v>0</v>
          </cell>
          <cell r="K6322" t="str">
            <v>Brand Marketing</v>
          </cell>
          <cell r="L6322" t="str">
            <v>Professional Service</v>
          </cell>
          <cell r="N6322" t="str">
            <v>Direct Costs</v>
          </cell>
          <cell r="O6322" t="str">
            <v>Fohr</v>
          </cell>
        </row>
        <row r="6323">
          <cell r="D6323">
            <v>9.99</v>
          </cell>
          <cell r="H6323">
            <v>45658</v>
          </cell>
          <cell r="I6323" t="str">
            <v>6393 - Software</v>
          </cell>
          <cell r="J6323">
            <v>0</v>
          </cell>
          <cell r="K6323" t="str">
            <v>Administration</v>
          </cell>
          <cell r="L6323" t="str">
            <v>Professional Service</v>
          </cell>
          <cell r="N6323" t="str">
            <v>Direct Costs</v>
          </cell>
          <cell r="O6323" t="str">
            <v>Drop Box</v>
          </cell>
        </row>
        <row r="6324">
          <cell r="D6324">
            <v>664.18</v>
          </cell>
          <cell r="H6324">
            <v>45658</v>
          </cell>
          <cell r="I6324" t="str">
            <v>6393 - Software</v>
          </cell>
          <cell r="J6324">
            <v>0</v>
          </cell>
          <cell r="K6324" t="str">
            <v>Administration</v>
          </cell>
          <cell r="L6324" t="str">
            <v>Professional Service</v>
          </cell>
          <cell r="N6324" t="str">
            <v>Direct Costs</v>
          </cell>
          <cell r="O6324" t="str">
            <v>Avalara, Inc</v>
          </cell>
        </row>
        <row r="6325">
          <cell r="D6325">
            <v>0</v>
          </cell>
          <cell r="H6325">
            <v>45658</v>
          </cell>
          <cell r="I6325" t="str">
            <v>6286 - SEM</v>
          </cell>
          <cell r="J6325" t="str">
            <v>Ecommerce (US)</v>
          </cell>
          <cell r="K6325" t="str">
            <v>Ecommerce</v>
          </cell>
          <cell r="L6325" t="str">
            <v>Marketing</v>
          </cell>
          <cell r="N6325" t="str">
            <v>Direct Costs</v>
          </cell>
          <cell r="O6325" t="str">
            <v>[No Vendor]</v>
          </cell>
        </row>
        <row r="6326">
          <cell r="D6326">
            <v>500</v>
          </cell>
          <cell r="H6326">
            <v>45658</v>
          </cell>
          <cell r="I6326" t="str">
            <v>6380 - Legal &amp; Accounting</v>
          </cell>
          <cell r="J6326">
            <v>0</v>
          </cell>
          <cell r="K6326" t="str">
            <v>Administration</v>
          </cell>
          <cell r="L6326" t="str">
            <v>Professional Service</v>
          </cell>
          <cell r="N6326" t="str">
            <v>SG&amp;A</v>
          </cell>
          <cell r="O6326" t="str">
            <v>[No Vendor]</v>
          </cell>
        </row>
        <row r="6327">
          <cell r="D6327">
            <v>0</v>
          </cell>
          <cell r="H6327">
            <v>45658</v>
          </cell>
          <cell r="I6327" t="str">
            <v>6340 - Miscellaneous Expense</v>
          </cell>
          <cell r="J6327" t="str">
            <v>Ecommerce (US)</v>
          </cell>
          <cell r="K6327" t="str">
            <v>Ecommerce</v>
          </cell>
          <cell r="L6327" t="str">
            <v>Other</v>
          </cell>
          <cell r="N6327" t="str">
            <v>SG&amp;A</v>
          </cell>
          <cell r="O6327" t="str">
            <v>[No Vendor]</v>
          </cell>
        </row>
        <row r="6328">
          <cell r="D6328">
            <v>10297.92</v>
          </cell>
          <cell r="H6328">
            <v>45658</v>
          </cell>
          <cell r="I6328" t="str">
            <v>6240 - Product Photography</v>
          </cell>
          <cell r="J6328">
            <v>0</v>
          </cell>
          <cell r="K6328" t="str">
            <v>Brand Marketing</v>
          </cell>
          <cell r="L6328" t="str">
            <v>Advertising</v>
          </cell>
          <cell r="N6328" t="str">
            <v>SG&amp;A</v>
          </cell>
          <cell r="O6328" t="str">
            <v>GOSFilms LLC</v>
          </cell>
        </row>
        <row r="6329">
          <cell r="D6329">
            <v>38242.51</v>
          </cell>
          <cell r="H6329">
            <v>45658</v>
          </cell>
          <cell r="I6329" t="str">
            <v>6240 - Product Photography</v>
          </cell>
          <cell r="J6329">
            <v>0</v>
          </cell>
          <cell r="K6329" t="str">
            <v>Brand Marketing</v>
          </cell>
          <cell r="L6329" t="str">
            <v>Advertising</v>
          </cell>
          <cell r="N6329" t="str">
            <v>SG&amp;A</v>
          </cell>
          <cell r="O6329" t="str">
            <v>GOSFilms LLC</v>
          </cell>
        </row>
        <row r="6330">
          <cell r="D6330">
            <v>2935.36</v>
          </cell>
          <cell r="H6330">
            <v>45658</v>
          </cell>
          <cell r="I6330" t="str">
            <v>6289 - Seeding / Product Placement</v>
          </cell>
          <cell r="J6330">
            <v>0</v>
          </cell>
          <cell r="K6330" t="str">
            <v>Brand Marketing</v>
          </cell>
          <cell r="L6330" t="str">
            <v>Advertising</v>
          </cell>
          <cell r="N6330" t="str">
            <v>SG&amp;A</v>
          </cell>
          <cell r="O6330" t="str">
            <v>[No Vendor]</v>
          </cell>
        </row>
        <row r="6331">
          <cell r="D6331">
            <v>833.33</v>
          </cell>
          <cell r="H6331">
            <v>45658</v>
          </cell>
          <cell r="I6331" t="str">
            <v>6284 - Advertising</v>
          </cell>
          <cell r="J6331">
            <v>0</v>
          </cell>
          <cell r="K6331" t="str">
            <v>Brand Marketing</v>
          </cell>
          <cell r="L6331" t="str">
            <v>Advertising</v>
          </cell>
          <cell r="N6331" t="str">
            <v>SG&amp;A</v>
          </cell>
          <cell r="O6331" t="str">
            <v>[No Vendor]</v>
          </cell>
        </row>
        <row r="6332">
          <cell r="D6332">
            <v>833.34</v>
          </cell>
          <cell r="H6332">
            <v>45658</v>
          </cell>
          <cell r="I6332" t="str">
            <v>6284 - Advertising</v>
          </cell>
          <cell r="J6332">
            <v>0</v>
          </cell>
          <cell r="K6332" t="str">
            <v>Brand Marketing</v>
          </cell>
          <cell r="L6332" t="str">
            <v>Advertising</v>
          </cell>
          <cell r="N6332" t="str">
            <v>SG&amp;A</v>
          </cell>
          <cell r="O6332" t="str">
            <v>[No Vendor]</v>
          </cell>
        </row>
        <row r="6333">
          <cell r="D6333">
            <v>11772</v>
          </cell>
          <cell r="H6333">
            <v>45658</v>
          </cell>
          <cell r="I6333" t="str">
            <v>6205 - Contractors</v>
          </cell>
          <cell r="J6333" t="str">
            <v>Ecommerce (US)</v>
          </cell>
          <cell r="K6333" t="str">
            <v>Ecommerce</v>
          </cell>
          <cell r="L6333" t="str">
            <v>HQ Salaries</v>
          </cell>
          <cell r="N6333" t="str">
            <v>SG&amp;A</v>
          </cell>
          <cell r="O6333" t="str">
            <v>[No Vendor]</v>
          </cell>
        </row>
        <row r="6334">
          <cell r="D6334">
            <v>0</v>
          </cell>
          <cell r="H6334">
            <v>45658</v>
          </cell>
          <cell r="I6334" t="str">
            <v>6205 - Contractors</v>
          </cell>
          <cell r="J6334">
            <v>0</v>
          </cell>
          <cell r="K6334" t="str">
            <v>Brand Marketing</v>
          </cell>
          <cell r="L6334" t="str">
            <v>HQ Salaries</v>
          </cell>
          <cell r="N6334" t="str">
            <v>SG&amp;A</v>
          </cell>
          <cell r="O6334" t="str">
            <v>[No Vendor]</v>
          </cell>
        </row>
        <row r="6335">
          <cell r="D6335">
            <v>0</v>
          </cell>
          <cell r="H6335">
            <v>45658</v>
          </cell>
          <cell r="I6335" t="str">
            <v>6205 - Contractors</v>
          </cell>
          <cell r="J6335" t="str">
            <v>Ecommerce (US)</v>
          </cell>
          <cell r="K6335" t="str">
            <v>Ecommerce</v>
          </cell>
          <cell r="L6335" t="str">
            <v>HQ Salaries</v>
          </cell>
          <cell r="N6335" t="str">
            <v>SG&amp;A</v>
          </cell>
          <cell r="O6335" t="str">
            <v>[No Vendor]</v>
          </cell>
        </row>
        <row r="6336">
          <cell r="D6336">
            <v>0</v>
          </cell>
          <cell r="H6336">
            <v>45658</v>
          </cell>
          <cell r="I6336" t="str">
            <v>6205 - Contractors</v>
          </cell>
          <cell r="J6336">
            <v>0</v>
          </cell>
          <cell r="K6336" t="str">
            <v>Design</v>
          </cell>
          <cell r="L6336" t="str">
            <v>HQ Salaries</v>
          </cell>
          <cell r="N6336" t="str">
            <v>SG&amp;A</v>
          </cell>
          <cell r="O6336" t="str">
            <v>[No Vendor]</v>
          </cell>
        </row>
        <row r="6337">
          <cell r="D6337">
            <v>3050</v>
          </cell>
          <cell r="H6337">
            <v>45658</v>
          </cell>
          <cell r="I6337" t="str">
            <v>6205 - Contractors</v>
          </cell>
          <cell r="J6337" t="str">
            <v>Ecommerce (US)</v>
          </cell>
          <cell r="K6337" t="str">
            <v>Ecommerce</v>
          </cell>
          <cell r="L6337" t="str">
            <v>HQ Salaries</v>
          </cell>
          <cell r="N6337" t="str">
            <v>SG&amp;A</v>
          </cell>
          <cell r="O6337" t="str">
            <v>[No Vendor]</v>
          </cell>
        </row>
        <row r="6338">
          <cell r="D6338">
            <v>305.04000000000002</v>
          </cell>
          <cell r="H6338">
            <v>45658</v>
          </cell>
          <cell r="I6338" t="str">
            <v>6370 - Samples</v>
          </cell>
          <cell r="J6338">
            <v>0</v>
          </cell>
          <cell r="K6338" t="str">
            <v>Production</v>
          </cell>
          <cell r="L6338" t="str">
            <v>Sample</v>
          </cell>
          <cell r="N6338" t="str">
            <v>SG&amp;A</v>
          </cell>
          <cell r="O6338" t="str">
            <v>[No Vendor]</v>
          </cell>
        </row>
        <row r="6339">
          <cell r="D6339">
            <v>-606</v>
          </cell>
          <cell r="H6339">
            <v>45658</v>
          </cell>
          <cell r="I6339" t="str">
            <v>6410 - Lease Expense</v>
          </cell>
          <cell r="J6339">
            <v>0</v>
          </cell>
          <cell r="K6339" t="str">
            <v>Administration</v>
          </cell>
          <cell r="L6339" t="str">
            <v>Rent</v>
          </cell>
          <cell r="N6339" t="str">
            <v>SG&amp;A</v>
          </cell>
          <cell r="O6339" t="str">
            <v>[No Vendor]</v>
          </cell>
        </row>
        <row r="6340">
          <cell r="D6340">
            <v>1062.5</v>
          </cell>
          <cell r="H6340">
            <v>45658</v>
          </cell>
          <cell r="I6340" t="str">
            <v>6385 - Insurance</v>
          </cell>
          <cell r="J6340">
            <v>0</v>
          </cell>
          <cell r="K6340" t="str">
            <v>Administration</v>
          </cell>
          <cell r="L6340" t="str">
            <v>Professional Service</v>
          </cell>
          <cell r="N6340" t="str">
            <v>SG&amp;A</v>
          </cell>
          <cell r="O6340" t="str">
            <v>[No Vendor]</v>
          </cell>
        </row>
        <row r="6341">
          <cell r="D6341">
            <v>-21.18</v>
          </cell>
          <cell r="H6341">
            <v>45658</v>
          </cell>
          <cell r="I6341" t="str">
            <v>6385 - Insurance</v>
          </cell>
          <cell r="J6341">
            <v>0</v>
          </cell>
          <cell r="K6341" t="str">
            <v>Administration</v>
          </cell>
          <cell r="L6341" t="str">
            <v>Professional Service</v>
          </cell>
          <cell r="N6341" t="str">
            <v>SG&amp;A</v>
          </cell>
          <cell r="O6341" t="str">
            <v>[No Vendor]</v>
          </cell>
        </row>
        <row r="6342">
          <cell r="D6342">
            <v>-48.66</v>
          </cell>
          <cell r="H6342">
            <v>45658</v>
          </cell>
          <cell r="I6342" t="str">
            <v>6385 - Insurance</v>
          </cell>
          <cell r="J6342">
            <v>0</v>
          </cell>
          <cell r="K6342" t="str">
            <v>Administration</v>
          </cell>
          <cell r="L6342" t="str">
            <v>Professional Service</v>
          </cell>
          <cell r="N6342" t="str">
            <v>SG&amp;A</v>
          </cell>
          <cell r="O6342" t="str">
            <v>[No Vendor]</v>
          </cell>
        </row>
        <row r="6343">
          <cell r="D6343">
            <v>-82.34</v>
          </cell>
          <cell r="H6343">
            <v>45658</v>
          </cell>
          <cell r="I6343" t="str">
            <v>6385 - Insurance</v>
          </cell>
          <cell r="J6343">
            <v>0</v>
          </cell>
          <cell r="K6343" t="str">
            <v>Administration</v>
          </cell>
          <cell r="L6343" t="str">
            <v>Professional Service</v>
          </cell>
          <cell r="N6343" t="str">
            <v>SG&amp;A</v>
          </cell>
          <cell r="O6343" t="str">
            <v>[No Vendor]</v>
          </cell>
        </row>
        <row r="6344">
          <cell r="D6344">
            <v>-13.88</v>
          </cell>
          <cell r="H6344">
            <v>45658</v>
          </cell>
          <cell r="I6344" t="str">
            <v>6385 - Insurance</v>
          </cell>
          <cell r="J6344">
            <v>0</v>
          </cell>
          <cell r="K6344" t="str">
            <v>Administration</v>
          </cell>
          <cell r="L6344" t="str">
            <v>Professional Service</v>
          </cell>
          <cell r="N6344" t="str">
            <v>SG&amp;A</v>
          </cell>
          <cell r="O6344" t="str">
            <v>[No Vendor]</v>
          </cell>
        </row>
        <row r="6345">
          <cell r="D6345">
            <v>-44.48</v>
          </cell>
          <cell r="H6345">
            <v>45658</v>
          </cell>
          <cell r="I6345" t="str">
            <v>6385 - Insurance</v>
          </cell>
          <cell r="J6345">
            <v>0</v>
          </cell>
          <cell r="K6345" t="str">
            <v>Administration</v>
          </cell>
          <cell r="L6345" t="str">
            <v>Professional Service</v>
          </cell>
          <cell r="N6345" t="str">
            <v>SG&amp;A</v>
          </cell>
          <cell r="O6345" t="str">
            <v>[No Vendor]</v>
          </cell>
        </row>
        <row r="6346">
          <cell r="D6346">
            <v>-43.2</v>
          </cell>
          <cell r="H6346">
            <v>45658</v>
          </cell>
          <cell r="I6346" t="str">
            <v>6385 - Insurance</v>
          </cell>
          <cell r="J6346">
            <v>0</v>
          </cell>
          <cell r="K6346" t="str">
            <v>Administration</v>
          </cell>
          <cell r="L6346" t="str">
            <v>Professional Service</v>
          </cell>
          <cell r="N6346" t="str">
            <v>SG&amp;A</v>
          </cell>
          <cell r="O6346" t="str">
            <v>[No Vendor]</v>
          </cell>
        </row>
        <row r="6347">
          <cell r="D6347">
            <v>-88.99</v>
          </cell>
          <cell r="H6347">
            <v>45658</v>
          </cell>
          <cell r="I6347" t="str">
            <v>6385 - Insurance</v>
          </cell>
          <cell r="J6347">
            <v>0</v>
          </cell>
          <cell r="K6347" t="str">
            <v>Administration</v>
          </cell>
          <cell r="L6347" t="str">
            <v>Professional Service</v>
          </cell>
          <cell r="N6347" t="str">
            <v>SG&amp;A</v>
          </cell>
          <cell r="O6347" t="str">
            <v>[No Vendor]</v>
          </cell>
        </row>
        <row r="6348">
          <cell r="D6348">
            <v>-41.72</v>
          </cell>
          <cell r="H6348">
            <v>45658</v>
          </cell>
          <cell r="I6348" t="str">
            <v>6385 - Insurance</v>
          </cell>
          <cell r="J6348">
            <v>0</v>
          </cell>
          <cell r="K6348" t="str">
            <v>Administration</v>
          </cell>
          <cell r="L6348" t="str">
            <v>Professional Service</v>
          </cell>
          <cell r="N6348" t="str">
            <v>SG&amp;A</v>
          </cell>
          <cell r="O6348" t="str">
            <v>[No Vendor]</v>
          </cell>
        </row>
        <row r="6349">
          <cell r="D6349">
            <v>501.9</v>
          </cell>
          <cell r="H6349">
            <v>45658</v>
          </cell>
          <cell r="I6349" t="str">
            <v>6385 - Insurance</v>
          </cell>
          <cell r="J6349">
            <v>0</v>
          </cell>
          <cell r="K6349" t="str">
            <v>Administration</v>
          </cell>
          <cell r="L6349" t="str">
            <v>Professional Service</v>
          </cell>
          <cell r="N6349" t="str">
            <v>SG&amp;A</v>
          </cell>
          <cell r="O6349" t="str">
            <v>[No Vendor]</v>
          </cell>
        </row>
        <row r="6350">
          <cell r="D6350">
            <v>389.69</v>
          </cell>
          <cell r="H6350">
            <v>45658</v>
          </cell>
          <cell r="I6350" t="str">
            <v>6400 - Utilities</v>
          </cell>
          <cell r="J6350">
            <v>0</v>
          </cell>
          <cell r="K6350" t="str">
            <v>Administration</v>
          </cell>
          <cell r="L6350" t="str">
            <v>Other</v>
          </cell>
          <cell r="N6350" t="str">
            <v>SG&amp;A</v>
          </cell>
          <cell r="O6350" t="str">
            <v>[No Vendor]</v>
          </cell>
        </row>
        <row r="6351">
          <cell r="D6351">
            <v>66.72</v>
          </cell>
          <cell r="H6351">
            <v>45658</v>
          </cell>
          <cell r="I6351" t="str">
            <v>7060 - Information Technology &amp; Software</v>
          </cell>
          <cell r="J6351">
            <v>0</v>
          </cell>
          <cell r="K6351" t="str">
            <v>Executive</v>
          </cell>
          <cell r="L6351" t="str">
            <v>Depreciation &amp; Amortization</v>
          </cell>
          <cell r="N6351" t="str">
            <v>SG&amp;A</v>
          </cell>
          <cell r="O6351" t="str">
            <v>[No Vendor]</v>
          </cell>
        </row>
        <row r="6352">
          <cell r="D6352">
            <v>113.67</v>
          </cell>
          <cell r="H6352">
            <v>45658</v>
          </cell>
          <cell r="I6352" t="str">
            <v>7060 - Information Technology &amp; Software</v>
          </cell>
          <cell r="J6352" t="str">
            <v>Wholesale</v>
          </cell>
          <cell r="K6352" t="str">
            <v>Wholesale</v>
          </cell>
          <cell r="L6352" t="str">
            <v>Depreciation &amp; Amortization</v>
          </cell>
          <cell r="N6352" t="str">
            <v>SG&amp;A</v>
          </cell>
          <cell r="O6352" t="str">
            <v>[No Vendor]</v>
          </cell>
        </row>
        <row r="6353">
          <cell r="D6353">
            <v>148.66999999999999</v>
          </cell>
          <cell r="H6353">
            <v>45658</v>
          </cell>
          <cell r="I6353" t="str">
            <v>7060 - Information Technology &amp; Software</v>
          </cell>
          <cell r="J6353" t="str">
            <v>Ecommerce (US)</v>
          </cell>
          <cell r="K6353" t="str">
            <v>Ecommerce</v>
          </cell>
          <cell r="L6353" t="str">
            <v>Depreciation &amp; Amortization</v>
          </cell>
          <cell r="N6353" t="str">
            <v>SG&amp;A</v>
          </cell>
          <cell r="O6353" t="str">
            <v>[No Vendor]</v>
          </cell>
        </row>
        <row r="6354">
          <cell r="D6354">
            <v>147.88999999999999</v>
          </cell>
          <cell r="H6354">
            <v>45658</v>
          </cell>
          <cell r="I6354" t="str">
            <v>7060 - Information Technology &amp; Software</v>
          </cell>
          <cell r="J6354">
            <v>0</v>
          </cell>
          <cell r="K6354" t="str">
            <v>Production</v>
          </cell>
          <cell r="L6354" t="str">
            <v>Depreciation &amp; Amortization</v>
          </cell>
          <cell r="N6354" t="str">
            <v>SG&amp;A</v>
          </cell>
          <cell r="O6354" t="str">
            <v>[No Vendor]</v>
          </cell>
        </row>
        <row r="6355">
          <cell r="D6355">
            <v>246.28</v>
          </cell>
          <cell r="H6355">
            <v>45658</v>
          </cell>
          <cell r="I6355" t="str">
            <v>7060 - Information Technology &amp; Software</v>
          </cell>
          <cell r="J6355">
            <v>0</v>
          </cell>
          <cell r="K6355" t="str">
            <v>Design</v>
          </cell>
          <cell r="L6355" t="str">
            <v>Depreciation &amp; Amortization</v>
          </cell>
          <cell r="N6355" t="str">
            <v>SG&amp;A</v>
          </cell>
          <cell r="O6355" t="str">
            <v>[No Vendor]</v>
          </cell>
        </row>
        <row r="6356">
          <cell r="D6356">
            <v>65.48</v>
          </cell>
          <cell r="H6356">
            <v>45658</v>
          </cell>
          <cell r="I6356" t="str">
            <v>7060 - Information Technology &amp; Software</v>
          </cell>
          <cell r="J6356">
            <v>0</v>
          </cell>
          <cell r="K6356" t="str">
            <v>Merchandising</v>
          </cell>
          <cell r="L6356" t="str">
            <v>Depreciation &amp; Amortization</v>
          </cell>
          <cell r="N6356" t="str">
            <v>SG&amp;A</v>
          </cell>
          <cell r="O6356" t="str">
            <v>[No Vendor]</v>
          </cell>
        </row>
        <row r="6357">
          <cell r="D6357">
            <v>166.9</v>
          </cell>
          <cell r="H6357">
            <v>45658</v>
          </cell>
          <cell r="I6357" t="str">
            <v>7060 - Information Technology &amp; Software</v>
          </cell>
          <cell r="J6357">
            <v>0</v>
          </cell>
          <cell r="K6357" t="str">
            <v>Brand Marketing</v>
          </cell>
          <cell r="L6357" t="str">
            <v>Depreciation &amp; Amortization</v>
          </cell>
          <cell r="N6357" t="str">
            <v>SG&amp;A</v>
          </cell>
          <cell r="O6357" t="str">
            <v>[No Vendor]</v>
          </cell>
        </row>
        <row r="6358">
          <cell r="D6358">
            <v>862.73</v>
          </cell>
          <cell r="H6358">
            <v>45658</v>
          </cell>
          <cell r="I6358" t="str">
            <v>7060 - Information Technology &amp; Software</v>
          </cell>
          <cell r="J6358">
            <v>0</v>
          </cell>
          <cell r="K6358" t="str">
            <v>Administration</v>
          </cell>
          <cell r="L6358" t="str">
            <v>Depreciation &amp; Amortization</v>
          </cell>
          <cell r="N6358" t="str">
            <v>SG&amp;A</v>
          </cell>
          <cell r="O6358" t="str">
            <v>[No Vendor]</v>
          </cell>
        </row>
        <row r="6359">
          <cell r="D6359">
            <v>238.77</v>
          </cell>
          <cell r="H6359">
            <v>45658</v>
          </cell>
          <cell r="I6359" t="str">
            <v>7040 - Furniture &amp; Fixtures</v>
          </cell>
          <cell r="J6359" t="str">
            <v>Wholesale</v>
          </cell>
          <cell r="K6359" t="str">
            <v>Wholesale</v>
          </cell>
          <cell r="L6359" t="str">
            <v>Depreciation &amp; Amortization</v>
          </cell>
          <cell r="N6359" t="str">
            <v>SG&amp;A</v>
          </cell>
          <cell r="O6359" t="str">
            <v>[No Vendor]</v>
          </cell>
        </row>
        <row r="6360">
          <cell r="D6360">
            <v>0</v>
          </cell>
          <cell r="H6360">
            <v>45658</v>
          </cell>
          <cell r="I6360" t="str">
            <v>7040 - Furniture &amp; Fixtures</v>
          </cell>
          <cell r="J6360">
            <v>0</v>
          </cell>
          <cell r="K6360" t="str">
            <v>Brand Marketing</v>
          </cell>
          <cell r="L6360" t="str">
            <v>Depreciation &amp; Amortization</v>
          </cell>
          <cell r="N6360" t="str">
            <v>SG&amp;A</v>
          </cell>
          <cell r="O6360" t="str">
            <v>[No Vendor]</v>
          </cell>
        </row>
        <row r="6361">
          <cell r="D6361">
            <v>269.64999999999998</v>
          </cell>
          <cell r="H6361">
            <v>45658</v>
          </cell>
          <cell r="I6361" t="str">
            <v>7040 - Furniture &amp; Fixtures</v>
          </cell>
          <cell r="J6361">
            <v>0</v>
          </cell>
          <cell r="K6361" t="str">
            <v>Administration</v>
          </cell>
          <cell r="L6361" t="str">
            <v>Depreciation &amp; Amortization</v>
          </cell>
          <cell r="N6361" t="str">
            <v>SG&amp;A</v>
          </cell>
          <cell r="O6361" t="str">
            <v>[No Vendor]</v>
          </cell>
        </row>
        <row r="6362">
          <cell r="D6362">
            <v>811.93</v>
          </cell>
          <cell r="H6362">
            <v>45658</v>
          </cell>
          <cell r="I6362" t="str">
            <v>6055 - Employer Social Security Tax Withheld</v>
          </cell>
          <cell r="J6362">
            <v>0</v>
          </cell>
          <cell r="K6362" t="str">
            <v>Merchandising</v>
          </cell>
          <cell r="L6362" t="str">
            <v>HQ Salaries</v>
          </cell>
          <cell r="N6362" t="str">
            <v>SG&amp;A</v>
          </cell>
          <cell r="O6362" t="str">
            <v>[No Vendor]</v>
          </cell>
        </row>
        <row r="6363">
          <cell r="D6363">
            <v>1584.96</v>
          </cell>
          <cell r="H6363">
            <v>45658</v>
          </cell>
          <cell r="I6363" t="str">
            <v>6055 - Employer Social Security Tax Withheld</v>
          </cell>
          <cell r="J6363" t="str">
            <v>Wholesale</v>
          </cell>
          <cell r="K6363" t="str">
            <v>Wholesale</v>
          </cell>
          <cell r="L6363" t="str">
            <v>HQ Salaries</v>
          </cell>
          <cell r="N6363" t="str">
            <v>SG&amp;A</v>
          </cell>
          <cell r="O6363" t="str">
            <v>[No Vendor]</v>
          </cell>
        </row>
        <row r="6364">
          <cell r="D6364">
            <v>2969.63</v>
          </cell>
          <cell r="H6364">
            <v>45658</v>
          </cell>
          <cell r="I6364" t="str">
            <v>6055 - Employer Social Security Tax Withheld</v>
          </cell>
          <cell r="J6364">
            <v>0</v>
          </cell>
          <cell r="K6364" t="str">
            <v>Production</v>
          </cell>
          <cell r="L6364" t="str">
            <v>HQ Salaries</v>
          </cell>
          <cell r="N6364" t="str">
            <v>SG&amp;A</v>
          </cell>
          <cell r="O6364" t="str">
            <v>[No Vendor]</v>
          </cell>
        </row>
        <row r="6365">
          <cell r="D6365">
            <v>525.99</v>
          </cell>
          <cell r="H6365">
            <v>45658</v>
          </cell>
          <cell r="I6365" t="str">
            <v>6055 - Employer Social Security Tax Withheld</v>
          </cell>
          <cell r="J6365">
            <v>0</v>
          </cell>
          <cell r="K6365" t="str">
            <v>Brand Marketing</v>
          </cell>
          <cell r="L6365" t="str">
            <v>HQ Salaries</v>
          </cell>
          <cell r="N6365" t="str">
            <v>SG&amp;A</v>
          </cell>
          <cell r="O6365" t="str">
            <v>[No Vendor]</v>
          </cell>
        </row>
        <row r="6366">
          <cell r="D6366">
            <v>1252.75</v>
          </cell>
          <cell r="H6366">
            <v>45658</v>
          </cell>
          <cell r="I6366" t="str">
            <v>6055 - Employer Social Security Tax Withheld</v>
          </cell>
          <cell r="J6366">
            <v>0</v>
          </cell>
          <cell r="K6366" t="str">
            <v>Executive</v>
          </cell>
          <cell r="L6366" t="str">
            <v>HQ Salaries</v>
          </cell>
          <cell r="N6366" t="str">
            <v>SG&amp;A</v>
          </cell>
          <cell r="O6366" t="str">
            <v>[No Vendor]</v>
          </cell>
        </row>
        <row r="6367">
          <cell r="D6367">
            <v>2855.54</v>
          </cell>
          <cell r="H6367">
            <v>45658</v>
          </cell>
          <cell r="I6367" t="str">
            <v>6055 - Employer Social Security Tax Withheld</v>
          </cell>
          <cell r="J6367" t="str">
            <v>Ecommerce (US)</v>
          </cell>
          <cell r="K6367" t="str">
            <v>Ecommerce</v>
          </cell>
          <cell r="L6367" t="str">
            <v>HQ Salaries</v>
          </cell>
          <cell r="N6367" t="str">
            <v>SG&amp;A</v>
          </cell>
          <cell r="O6367" t="str">
            <v>[No Vendor]</v>
          </cell>
        </row>
        <row r="6368">
          <cell r="D6368">
            <v>3141.1</v>
          </cell>
          <cell r="H6368">
            <v>45658</v>
          </cell>
          <cell r="I6368" t="str">
            <v>6055 - Employer Social Security Tax Withheld</v>
          </cell>
          <cell r="J6368">
            <v>0</v>
          </cell>
          <cell r="K6368" t="str">
            <v>Design</v>
          </cell>
          <cell r="L6368" t="str">
            <v>HQ Salaries</v>
          </cell>
          <cell r="N6368" t="str">
            <v>SG&amp;A</v>
          </cell>
          <cell r="O6368" t="str">
            <v>[No Vendor]</v>
          </cell>
        </row>
        <row r="6369">
          <cell r="D6369">
            <v>3138.71</v>
          </cell>
          <cell r="H6369">
            <v>45658</v>
          </cell>
          <cell r="I6369" t="str">
            <v>6055 - Employer Social Security Tax Withheld</v>
          </cell>
          <cell r="J6369">
            <v>0</v>
          </cell>
          <cell r="K6369" t="str">
            <v>Administration</v>
          </cell>
          <cell r="L6369" t="str">
            <v>HQ Salaries</v>
          </cell>
          <cell r="N6369" t="str">
            <v>SG&amp;A</v>
          </cell>
          <cell r="O6369" t="str">
            <v>[No Vendor]</v>
          </cell>
        </row>
        <row r="6370">
          <cell r="D6370">
            <v>19727.59</v>
          </cell>
          <cell r="H6370">
            <v>45658</v>
          </cell>
          <cell r="I6370" t="str">
            <v>5000 - Cost of Goods Sold</v>
          </cell>
          <cell r="J6370" t="str">
            <v>Ecommerce (US)</v>
          </cell>
          <cell r="K6370" t="str">
            <v>Ecommerce</v>
          </cell>
          <cell r="L6370" t="str">
            <v>COGS</v>
          </cell>
          <cell r="N6370" t="str">
            <v>COGS</v>
          </cell>
          <cell r="O6370" t="str">
            <v>[No Vendor]</v>
          </cell>
        </row>
        <row r="6371">
          <cell r="D6371">
            <v>26181.18</v>
          </cell>
          <cell r="H6371">
            <v>45658</v>
          </cell>
          <cell r="I6371" t="str">
            <v>5000 - Cost of Goods Sold</v>
          </cell>
          <cell r="J6371" t="str">
            <v>Ecommerce (EU)</v>
          </cell>
          <cell r="K6371" t="str">
            <v>Ecommerce</v>
          </cell>
          <cell r="L6371" t="str">
            <v>COGS</v>
          </cell>
          <cell r="N6371" t="str">
            <v>COGS</v>
          </cell>
          <cell r="O6371" t="str">
            <v>[No Vendor]</v>
          </cell>
        </row>
        <row r="6372">
          <cell r="D6372">
            <v>324384.76</v>
          </cell>
          <cell r="H6372">
            <v>45658</v>
          </cell>
          <cell r="I6372" t="str">
            <v>5000 - Cost of Goods Sold</v>
          </cell>
          <cell r="J6372" t="str">
            <v>Ecommerce (US)</v>
          </cell>
          <cell r="K6372" t="str">
            <v>Ecommerce</v>
          </cell>
          <cell r="L6372" t="str">
            <v>COGS</v>
          </cell>
          <cell r="N6372" t="str">
            <v>COGS</v>
          </cell>
          <cell r="O6372" t="str">
            <v>[No Vendor]</v>
          </cell>
        </row>
        <row r="6373">
          <cell r="D6373">
            <v>-8204.48</v>
          </cell>
          <cell r="H6373">
            <v>45658</v>
          </cell>
          <cell r="I6373" t="str">
            <v>5000 - Cost of Goods Sold</v>
          </cell>
          <cell r="J6373" t="str">
            <v>Wholesale</v>
          </cell>
          <cell r="K6373" t="str">
            <v>Wholesale</v>
          </cell>
          <cell r="L6373" t="str">
            <v>COGS</v>
          </cell>
          <cell r="N6373" t="str">
            <v>COGS</v>
          </cell>
          <cell r="O6373" t="str">
            <v>[No Vendor]</v>
          </cell>
        </row>
        <row r="6374">
          <cell r="D6374">
            <v>-2491.1799999999998</v>
          </cell>
          <cell r="H6374">
            <v>45658</v>
          </cell>
          <cell r="I6374" t="str">
            <v>5000 - Cost of Goods Sold</v>
          </cell>
          <cell r="J6374" t="str">
            <v>Wholesale</v>
          </cell>
          <cell r="K6374" t="str">
            <v>Wholesale</v>
          </cell>
          <cell r="L6374" t="str">
            <v>COGS</v>
          </cell>
          <cell r="N6374" t="str">
            <v>COGS</v>
          </cell>
          <cell r="O6374" t="str">
            <v>[No Vendor]</v>
          </cell>
        </row>
        <row r="6375">
          <cell r="D6375">
            <v>50650.87</v>
          </cell>
          <cell r="H6375">
            <v>45658</v>
          </cell>
          <cell r="I6375" t="str">
            <v>5000 - Cost of Goods Sold</v>
          </cell>
          <cell r="J6375" t="str">
            <v>Wholesale</v>
          </cell>
          <cell r="K6375" t="str">
            <v>Wholesale</v>
          </cell>
          <cell r="L6375" t="str">
            <v>COGS</v>
          </cell>
          <cell r="N6375" t="str">
            <v>COGS</v>
          </cell>
          <cell r="O6375" t="str">
            <v>[No Vendor]</v>
          </cell>
        </row>
        <row r="6376">
          <cell r="D6376">
            <v>0</v>
          </cell>
          <cell r="H6376">
            <v>45658</v>
          </cell>
          <cell r="I6376" t="str">
            <v>8000 - Interest Income</v>
          </cell>
          <cell r="J6376">
            <v>0</v>
          </cell>
          <cell r="K6376" t="str">
            <v>Licensing</v>
          </cell>
          <cell r="L6376" t="str">
            <v>Other Income (BTL)</v>
          </cell>
          <cell r="N6376" t="str">
            <v>BTL</v>
          </cell>
          <cell r="O6376" t="str">
            <v>[No Vendor]</v>
          </cell>
        </row>
        <row r="6377">
          <cell r="D6377">
            <v>31.61</v>
          </cell>
          <cell r="H6377">
            <v>45658</v>
          </cell>
          <cell r="I6377" t="str">
            <v>6487 - Interest Expense</v>
          </cell>
          <cell r="J6377">
            <v>0</v>
          </cell>
          <cell r="K6377" t="str">
            <v>Administration</v>
          </cell>
          <cell r="L6377" t="str">
            <v>Interest</v>
          </cell>
          <cell r="N6377" t="str">
            <v>BTL</v>
          </cell>
          <cell r="O6377" t="str">
            <v>[No Vendor]</v>
          </cell>
        </row>
        <row r="6378">
          <cell r="D6378">
            <v>8217.9699999999993</v>
          </cell>
          <cell r="H6378">
            <v>45658</v>
          </cell>
          <cell r="I6378" t="str">
            <v>6487 - Interest Expense</v>
          </cell>
          <cell r="J6378">
            <v>0</v>
          </cell>
          <cell r="K6378" t="str">
            <v>Administration</v>
          </cell>
          <cell r="L6378" t="str">
            <v>Interest</v>
          </cell>
          <cell r="N6378" t="str">
            <v>BTL</v>
          </cell>
          <cell r="O6378" t="str">
            <v>[No Vendor]</v>
          </cell>
        </row>
        <row r="6379">
          <cell r="D6379">
            <v>11720.55</v>
          </cell>
          <cell r="H6379">
            <v>45658</v>
          </cell>
          <cell r="I6379" t="str">
            <v>6487 - Interest Expense</v>
          </cell>
          <cell r="J6379">
            <v>0</v>
          </cell>
          <cell r="K6379" t="str">
            <v>Administration</v>
          </cell>
          <cell r="L6379" t="str">
            <v>Interest</v>
          </cell>
          <cell r="N6379" t="str">
            <v>BTL</v>
          </cell>
          <cell r="O6379" t="str">
            <v>[No Vendor]</v>
          </cell>
        </row>
        <row r="6380">
          <cell r="D6380">
            <v>3906.85</v>
          </cell>
          <cell r="H6380">
            <v>45658</v>
          </cell>
          <cell r="I6380" t="str">
            <v>6487 - Interest Expense</v>
          </cell>
          <cell r="J6380">
            <v>0</v>
          </cell>
          <cell r="K6380" t="str">
            <v>Administration</v>
          </cell>
          <cell r="L6380" t="str">
            <v>Interest</v>
          </cell>
          <cell r="N6380" t="str">
            <v>BTL</v>
          </cell>
          <cell r="O6380" t="str">
            <v>[No Vendor]</v>
          </cell>
        </row>
        <row r="6381">
          <cell r="D6381">
            <v>15236.71</v>
          </cell>
          <cell r="H6381">
            <v>45658</v>
          </cell>
          <cell r="I6381" t="str">
            <v>6487 - Interest Expense</v>
          </cell>
          <cell r="J6381">
            <v>0</v>
          </cell>
          <cell r="K6381" t="str">
            <v>Administration</v>
          </cell>
          <cell r="L6381" t="str">
            <v>Interest</v>
          </cell>
          <cell r="N6381" t="str">
            <v>BTL</v>
          </cell>
          <cell r="O6381" t="str">
            <v>[No Vendor]</v>
          </cell>
        </row>
        <row r="6382">
          <cell r="D6382">
            <v>5860.27</v>
          </cell>
          <cell r="H6382">
            <v>45658</v>
          </cell>
          <cell r="I6382" t="str">
            <v>6487 - Interest Expense</v>
          </cell>
          <cell r="J6382">
            <v>0</v>
          </cell>
          <cell r="K6382" t="str">
            <v>Administration</v>
          </cell>
          <cell r="L6382" t="str">
            <v>Interest</v>
          </cell>
          <cell r="N6382" t="str">
            <v>BTL</v>
          </cell>
          <cell r="O6382" t="str">
            <v>[No Vendor]</v>
          </cell>
        </row>
        <row r="6383">
          <cell r="D6383">
            <v>4297.53</v>
          </cell>
          <cell r="H6383">
            <v>45658</v>
          </cell>
          <cell r="I6383" t="str">
            <v>6487 - Interest Expense</v>
          </cell>
          <cell r="J6383">
            <v>0</v>
          </cell>
          <cell r="K6383" t="str">
            <v>Administration</v>
          </cell>
          <cell r="L6383" t="str">
            <v>Interest</v>
          </cell>
          <cell r="N6383" t="str">
            <v>BTL</v>
          </cell>
          <cell r="O6383" t="str">
            <v>[No Vendor]</v>
          </cell>
        </row>
        <row r="6384">
          <cell r="D6384">
            <v>175</v>
          </cell>
          <cell r="H6384">
            <v>45658</v>
          </cell>
          <cell r="I6384" t="str">
            <v>6420 - Licenses &amp; Membership</v>
          </cell>
          <cell r="J6384">
            <v>0</v>
          </cell>
          <cell r="K6384" t="str">
            <v>Production</v>
          </cell>
          <cell r="L6384" t="str">
            <v>Professional Service</v>
          </cell>
          <cell r="N6384" t="str">
            <v>SG&amp;A</v>
          </cell>
          <cell r="O6384" t="str">
            <v>GS1</v>
          </cell>
        </row>
        <row r="6385">
          <cell r="D6385">
            <v>226.82</v>
          </cell>
          <cell r="H6385">
            <v>45658</v>
          </cell>
          <cell r="I6385" t="str">
            <v>6420 - Licenses &amp; Membership</v>
          </cell>
          <cell r="J6385">
            <v>0</v>
          </cell>
          <cell r="K6385" t="str">
            <v>Administration</v>
          </cell>
          <cell r="L6385" t="str">
            <v>Professional Service</v>
          </cell>
          <cell r="N6385" t="str">
            <v>SG&amp;A</v>
          </cell>
          <cell r="O6385" t="str">
            <v>Avalara, Inc</v>
          </cell>
        </row>
        <row r="6386">
          <cell r="D6386">
            <v>12.42</v>
          </cell>
          <cell r="H6386">
            <v>45658</v>
          </cell>
          <cell r="I6386" t="str">
            <v>6420 - Licenses &amp; Membership</v>
          </cell>
          <cell r="J6386">
            <v>0</v>
          </cell>
          <cell r="K6386" t="str">
            <v>Brand Marketing</v>
          </cell>
          <cell r="L6386" t="str">
            <v>Professional Service</v>
          </cell>
          <cell r="N6386" t="str">
            <v>SG&amp;A</v>
          </cell>
          <cell r="O6386" t="str">
            <v>[No Vendor]</v>
          </cell>
        </row>
        <row r="6387">
          <cell r="D6387">
            <v>153</v>
          </cell>
          <cell r="H6387">
            <v>45658</v>
          </cell>
          <cell r="I6387" t="str">
            <v>6420 - Licenses &amp; Membership</v>
          </cell>
          <cell r="J6387">
            <v>0</v>
          </cell>
          <cell r="K6387" t="str">
            <v>Brand Marketing</v>
          </cell>
          <cell r="L6387" t="str">
            <v>Professional Service</v>
          </cell>
          <cell r="N6387" t="str">
            <v>SG&amp;A</v>
          </cell>
          <cell r="O6387" t="str">
            <v>[No Vendor]</v>
          </cell>
        </row>
        <row r="6388">
          <cell r="D6388">
            <v>-30113.77</v>
          </cell>
          <cell r="H6388">
            <v>45658</v>
          </cell>
          <cell r="I6388" t="str">
            <v>6320 - Building Rent</v>
          </cell>
          <cell r="J6388">
            <v>0</v>
          </cell>
          <cell r="K6388" t="str">
            <v>Administration</v>
          </cell>
          <cell r="L6388" t="str">
            <v>Rent</v>
          </cell>
          <cell r="N6388" t="str">
            <v>SG&amp;A</v>
          </cell>
          <cell r="O6388" t="str">
            <v>[No Vendor]</v>
          </cell>
        </row>
        <row r="6389">
          <cell r="D6389">
            <v>5348.29</v>
          </cell>
          <cell r="H6389">
            <v>45658</v>
          </cell>
          <cell r="I6389" t="str">
            <v>6375 - Freight Expenses</v>
          </cell>
          <cell r="J6389" t="str">
            <v>Ecommerce (EU)</v>
          </cell>
          <cell r="K6389" t="str">
            <v>Ecommerce</v>
          </cell>
          <cell r="L6389" t="str">
            <v>Freight</v>
          </cell>
          <cell r="N6389" t="str">
            <v>Direct Costs</v>
          </cell>
          <cell r="O6389" t="str">
            <v>Global E</v>
          </cell>
        </row>
        <row r="6390">
          <cell r="D6390">
            <v>273.79000000000002</v>
          </cell>
          <cell r="H6390">
            <v>45658</v>
          </cell>
          <cell r="I6390" t="str">
            <v>6375 - Freight Expenses</v>
          </cell>
          <cell r="J6390" t="str">
            <v>Wholesale</v>
          </cell>
          <cell r="K6390" t="str">
            <v>Wholesale</v>
          </cell>
          <cell r="L6390" t="str">
            <v>Freight</v>
          </cell>
          <cell r="N6390" t="str">
            <v>Direct Costs</v>
          </cell>
          <cell r="O6390" t="str">
            <v>UPS Supply Chain Solutions Inc. (7F24A0)</v>
          </cell>
        </row>
        <row r="6391">
          <cell r="D6391">
            <v>23752.48</v>
          </cell>
          <cell r="H6391">
            <v>45658</v>
          </cell>
          <cell r="I6391" t="str">
            <v>6375 - Freight Expenses</v>
          </cell>
          <cell r="J6391" t="str">
            <v>Ecommerce (US)</v>
          </cell>
          <cell r="K6391" t="str">
            <v>Ecommerce</v>
          </cell>
          <cell r="L6391" t="str">
            <v>Freight</v>
          </cell>
          <cell r="N6391" t="str">
            <v>Direct Costs</v>
          </cell>
          <cell r="O6391" t="str">
            <v>UPS Supply Chain Solutions Inc. (7F24A0)</v>
          </cell>
        </row>
        <row r="6392">
          <cell r="D6392">
            <v>1145.3399999999999</v>
          </cell>
          <cell r="H6392">
            <v>45658</v>
          </cell>
          <cell r="I6392" t="str">
            <v>6375 - Freight Expenses</v>
          </cell>
          <cell r="J6392" t="str">
            <v>Ecommerce (US)</v>
          </cell>
          <cell r="K6392" t="str">
            <v>Ecommerce</v>
          </cell>
          <cell r="L6392" t="str">
            <v>Freight</v>
          </cell>
          <cell r="N6392" t="str">
            <v>Direct Costs</v>
          </cell>
          <cell r="O6392" t="str">
            <v>Amazon</v>
          </cell>
        </row>
        <row r="6393">
          <cell r="D6393">
            <v>-43106</v>
          </cell>
          <cell r="H6393">
            <v>45658</v>
          </cell>
          <cell r="I6393" t="str">
            <v>6375 - Freight Expenses</v>
          </cell>
          <cell r="J6393" t="str">
            <v>Ecommerce (US)</v>
          </cell>
          <cell r="K6393" t="str">
            <v>Ecommerce</v>
          </cell>
          <cell r="L6393" t="str">
            <v>Freight</v>
          </cell>
          <cell r="N6393" t="str">
            <v>Direct Costs</v>
          </cell>
          <cell r="O6393" t="str">
            <v>[No Vendor]</v>
          </cell>
        </row>
        <row r="6394">
          <cell r="D6394">
            <v>-991</v>
          </cell>
          <cell r="H6394">
            <v>45658</v>
          </cell>
          <cell r="I6394" t="str">
            <v>6375 - Freight Expenses</v>
          </cell>
          <cell r="J6394" t="str">
            <v>Ecommerce (US)</v>
          </cell>
          <cell r="K6394" t="str">
            <v>Ecommerce</v>
          </cell>
          <cell r="L6394" t="str">
            <v>Freight</v>
          </cell>
          <cell r="N6394" t="str">
            <v>Direct Costs</v>
          </cell>
          <cell r="O6394" t="str">
            <v>[No Vendor]</v>
          </cell>
        </row>
        <row r="6395">
          <cell r="D6395">
            <v>15.83</v>
          </cell>
          <cell r="H6395">
            <v>45658</v>
          </cell>
          <cell r="I6395" t="str">
            <v>7030 - Plant Machinery &amp; Equipment</v>
          </cell>
          <cell r="J6395">
            <v>0</v>
          </cell>
          <cell r="K6395" t="str">
            <v>Production</v>
          </cell>
          <cell r="L6395" t="str">
            <v>Depreciation &amp; Amortization</v>
          </cell>
          <cell r="N6395" t="str">
            <v>SG&amp;A</v>
          </cell>
          <cell r="O6395" t="str">
            <v>[No Vendor]</v>
          </cell>
        </row>
        <row r="6396">
          <cell r="D6396">
            <v>14.15</v>
          </cell>
          <cell r="H6396">
            <v>45658</v>
          </cell>
          <cell r="I6396" t="str">
            <v>7030 - Plant Machinery &amp; Equipment</v>
          </cell>
          <cell r="J6396">
            <v>0</v>
          </cell>
          <cell r="K6396" t="str">
            <v>Administration</v>
          </cell>
          <cell r="L6396" t="str">
            <v>Depreciation &amp; Amortization</v>
          </cell>
          <cell r="N6396" t="str">
            <v>SG&amp;A</v>
          </cell>
          <cell r="O6396" t="str">
            <v>[No Vendor]</v>
          </cell>
        </row>
        <row r="6397">
          <cell r="D6397">
            <v>0</v>
          </cell>
          <cell r="H6397">
            <v>45658</v>
          </cell>
          <cell r="I6397" t="str">
            <v>6040 - Employer Paid Benefits</v>
          </cell>
          <cell r="J6397">
            <v>0</v>
          </cell>
          <cell r="K6397" t="str">
            <v>Merchandising</v>
          </cell>
          <cell r="L6397" t="str">
            <v>HQ Salaries</v>
          </cell>
          <cell r="N6397" t="str">
            <v>SG&amp;A</v>
          </cell>
          <cell r="O6397" t="str">
            <v>[No Vendor]</v>
          </cell>
        </row>
        <row r="6398">
          <cell r="D6398">
            <v>-64.92</v>
          </cell>
          <cell r="H6398">
            <v>45658</v>
          </cell>
          <cell r="I6398" t="str">
            <v>6040 - Employer Paid Benefits</v>
          </cell>
          <cell r="J6398" t="str">
            <v>Wholesale</v>
          </cell>
          <cell r="K6398" t="str">
            <v>Wholesale</v>
          </cell>
          <cell r="L6398" t="str">
            <v>HQ Salaries</v>
          </cell>
          <cell r="N6398" t="str">
            <v>SG&amp;A</v>
          </cell>
          <cell r="O6398" t="str">
            <v>[No Vendor]</v>
          </cell>
        </row>
        <row r="6399">
          <cell r="D6399">
            <v>-285.62</v>
          </cell>
          <cell r="H6399">
            <v>45658</v>
          </cell>
          <cell r="I6399" t="str">
            <v>6040 - Employer Paid Benefits</v>
          </cell>
          <cell r="J6399">
            <v>0</v>
          </cell>
          <cell r="K6399" t="str">
            <v>Production</v>
          </cell>
          <cell r="L6399" t="str">
            <v>HQ Salaries</v>
          </cell>
          <cell r="N6399" t="str">
            <v>SG&amp;A</v>
          </cell>
          <cell r="O6399" t="str">
            <v>[No Vendor]</v>
          </cell>
        </row>
        <row r="6400">
          <cell r="D6400">
            <v>-22.58</v>
          </cell>
          <cell r="H6400">
            <v>45658</v>
          </cell>
          <cell r="I6400" t="str">
            <v>6040 - Employer Paid Benefits</v>
          </cell>
          <cell r="J6400">
            <v>0</v>
          </cell>
          <cell r="K6400" t="str">
            <v>Brand Marketing</v>
          </cell>
          <cell r="L6400" t="str">
            <v>HQ Salaries</v>
          </cell>
          <cell r="N6400" t="str">
            <v>SG&amp;A</v>
          </cell>
          <cell r="O6400" t="str">
            <v>[No Vendor]</v>
          </cell>
        </row>
        <row r="6401">
          <cell r="D6401">
            <v>-234.27</v>
          </cell>
          <cell r="H6401">
            <v>45658</v>
          </cell>
          <cell r="I6401" t="str">
            <v>6040 - Employer Paid Benefits</v>
          </cell>
          <cell r="J6401">
            <v>0</v>
          </cell>
          <cell r="K6401" t="str">
            <v>Executive</v>
          </cell>
          <cell r="L6401" t="str">
            <v>HQ Salaries</v>
          </cell>
          <cell r="N6401" t="str">
            <v>SG&amp;A</v>
          </cell>
          <cell r="O6401" t="str">
            <v>[No Vendor]</v>
          </cell>
        </row>
        <row r="6402">
          <cell r="D6402">
            <v>-121.85</v>
          </cell>
          <cell r="H6402">
            <v>45658</v>
          </cell>
          <cell r="I6402" t="str">
            <v>6040 - Employer Paid Benefits</v>
          </cell>
          <cell r="J6402" t="str">
            <v>Ecommerce (US)</v>
          </cell>
          <cell r="K6402" t="str">
            <v>Ecommerce</v>
          </cell>
          <cell r="L6402" t="str">
            <v>HQ Salaries</v>
          </cell>
          <cell r="N6402" t="str">
            <v>SG&amp;A</v>
          </cell>
          <cell r="O6402" t="str">
            <v>[No Vendor]</v>
          </cell>
        </row>
        <row r="6403">
          <cell r="D6403">
            <v>-343.68</v>
          </cell>
          <cell r="H6403">
            <v>45658</v>
          </cell>
          <cell r="I6403" t="str">
            <v>6040 - Employer Paid Benefits</v>
          </cell>
          <cell r="J6403">
            <v>0</v>
          </cell>
          <cell r="K6403" t="str">
            <v>Design</v>
          </cell>
          <cell r="L6403" t="str">
            <v>HQ Salaries</v>
          </cell>
          <cell r="N6403" t="str">
            <v>SG&amp;A</v>
          </cell>
          <cell r="O6403" t="str">
            <v>[No Vendor]</v>
          </cell>
        </row>
        <row r="6404">
          <cell r="D6404">
            <v>-200.39</v>
          </cell>
          <cell r="H6404">
            <v>45658</v>
          </cell>
          <cell r="I6404" t="str">
            <v>6040 - Employer Paid Benefits</v>
          </cell>
          <cell r="J6404">
            <v>0</v>
          </cell>
          <cell r="K6404" t="str">
            <v>Administration</v>
          </cell>
          <cell r="L6404" t="str">
            <v>HQ Salaries</v>
          </cell>
          <cell r="N6404" t="str">
            <v>SG&amp;A</v>
          </cell>
          <cell r="O6404" t="str">
            <v>[No Vendor]</v>
          </cell>
        </row>
        <row r="6405">
          <cell r="D6405">
            <v>5150</v>
          </cell>
          <cell r="H6405">
            <v>45658</v>
          </cell>
          <cell r="I6405" t="str">
            <v>6005 - Salaries</v>
          </cell>
          <cell r="J6405">
            <v>0</v>
          </cell>
          <cell r="K6405" t="str">
            <v>Merchandising</v>
          </cell>
          <cell r="L6405" t="str">
            <v>HQ Salaries</v>
          </cell>
          <cell r="N6405" t="str">
            <v>SG&amp;A</v>
          </cell>
          <cell r="O6405" t="str">
            <v>[No Vendor]</v>
          </cell>
        </row>
        <row r="6406">
          <cell r="D6406">
            <v>11923.08</v>
          </cell>
          <cell r="H6406">
            <v>45658</v>
          </cell>
          <cell r="I6406" t="str">
            <v>6005 - Salaries</v>
          </cell>
          <cell r="J6406" t="str">
            <v>Wholesale</v>
          </cell>
          <cell r="K6406" t="str">
            <v>Wholesale</v>
          </cell>
          <cell r="L6406" t="str">
            <v>HQ Salaries</v>
          </cell>
          <cell r="N6406" t="str">
            <v>SG&amp;A</v>
          </cell>
          <cell r="O6406" t="str">
            <v>[No Vendor]</v>
          </cell>
        </row>
        <row r="6407">
          <cell r="D6407">
            <v>19988.490000000002</v>
          </cell>
          <cell r="H6407">
            <v>45658</v>
          </cell>
          <cell r="I6407" t="str">
            <v>6005 - Salaries</v>
          </cell>
          <cell r="J6407">
            <v>0</v>
          </cell>
          <cell r="K6407" t="str">
            <v>Production</v>
          </cell>
          <cell r="L6407" t="str">
            <v>HQ Salaries</v>
          </cell>
          <cell r="N6407" t="str">
            <v>SG&amp;A</v>
          </cell>
          <cell r="O6407" t="str">
            <v>[No Vendor]</v>
          </cell>
        </row>
        <row r="6408">
          <cell r="D6408">
            <v>3269.24</v>
          </cell>
          <cell r="H6408">
            <v>45658</v>
          </cell>
          <cell r="I6408" t="str">
            <v>6005 - Salaries</v>
          </cell>
          <cell r="J6408">
            <v>0</v>
          </cell>
          <cell r="K6408" t="str">
            <v>Brand Marketing</v>
          </cell>
          <cell r="L6408" t="str">
            <v>HQ Salaries</v>
          </cell>
          <cell r="N6408" t="str">
            <v>SG&amp;A</v>
          </cell>
          <cell r="O6408" t="str">
            <v>[No Vendor]</v>
          </cell>
        </row>
        <row r="6409">
          <cell r="D6409">
            <v>11153.85</v>
          </cell>
          <cell r="H6409">
            <v>45658</v>
          </cell>
          <cell r="I6409" t="str">
            <v>6005 - Salaries</v>
          </cell>
          <cell r="J6409">
            <v>0</v>
          </cell>
          <cell r="K6409" t="str">
            <v>Executive</v>
          </cell>
          <cell r="L6409" t="str">
            <v>HQ Salaries</v>
          </cell>
          <cell r="N6409" t="str">
            <v>SG&amp;A</v>
          </cell>
          <cell r="O6409" t="str">
            <v>[No Vendor]</v>
          </cell>
        </row>
        <row r="6410">
          <cell r="D6410">
            <v>20780.8</v>
          </cell>
          <cell r="H6410">
            <v>45658</v>
          </cell>
          <cell r="I6410" t="str">
            <v>6005 - Salaries</v>
          </cell>
          <cell r="J6410" t="str">
            <v>Ecommerce (US)</v>
          </cell>
          <cell r="K6410" t="str">
            <v>Ecommerce</v>
          </cell>
          <cell r="L6410" t="str">
            <v>HQ Salaries</v>
          </cell>
          <cell r="N6410" t="str">
            <v>SG&amp;A</v>
          </cell>
          <cell r="O6410" t="str">
            <v>[No Vendor]</v>
          </cell>
        </row>
        <row r="6411">
          <cell r="D6411">
            <v>21388.47</v>
          </cell>
          <cell r="H6411">
            <v>45658</v>
          </cell>
          <cell r="I6411" t="str">
            <v>6005 - Salaries</v>
          </cell>
          <cell r="J6411">
            <v>0</v>
          </cell>
          <cell r="K6411" t="str">
            <v>Design</v>
          </cell>
          <cell r="L6411" t="str">
            <v>HQ Salaries</v>
          </cell>
          <cell r="N6411" t="str">
            <v>SG&amp;A</v>
          </cell>
          <cell r="O6411" t="str">
            <v>[No Vendor]</v>
          </cell>
        </row>
        <row r="6412">
          <cell r="D6412">
            <v>26115.41</v>
          </cell>
          <cell r="H6412">
            <v>45658</v>
          </cell>
          <cell r="I6412" t="str">
            <v>6005 - Salaries</v>
          </cell>
          <cell r="J6412">
            <v>0</v>
          </cell>
          <cell r="K6412" t="str">
            <v>Administration</v>
          </cell>
          <cell r="L6412" t="str">
            <v>HQ Salaries</v>
          </cell>
          <cell r="N6412" t="str">
            <v>SG&amp;A</v>
          </cell>
          <cell r="O6412" t="str">
            <v>[No Vendor]</v>
          </cell>
        </row>
        <row r="6413">
          <cell r="D6413">
            <v>0</v>
          </cell>
          <cell r="H6413">
            <v>45658</v>
          </cell>
          <cell r="I6413" t="str">
            <v>4020 - Revenue - Marketing Contribution</v>
          </cell>
          <cell r="J6413">
            <v>0</v>
          </cell>
          <cell r="K6413" t="str">
            <v>Licensing</v>
          </cell>
          <cell r="L6413" t="str">
            <v>License</v>
          </cell>
          <cell r="N6413" t="str">
            <v>Revenue</v>
          </cell>
          <cell r="O6413" t="str">
            <v>[No Vendor]</v>
          </cell>
        </row>
        <row r="6414">
          <cell r="D6414">
            <v>0</v>
          </cell>
          <cell r="H6414">
            <v>45658</v>
          </cell>
          <cell r="I6414" t="str">
            <v>4010 - Revenue - Licensing Fees (Royalties)</v>
          </cell>
          <cell r="J6414">
            <v>0</v>
          </cell>
          <cell r="K6414" t="str">
            <v>Licensing</v>
          </cell>
          <cell r="L6414" t="str">
            <v>License</v>
          </cell>
          <cell r="N6414" t="str">
            <v>Revenue</v>
          </cell>
          <cell r="O6414" t="str">
            <v>[No Vendor]</v>
          </cell>
        </row>
        <row r="6415">
          <cell r="D6415">
            <v>-4166.67</v>
          </cell>
          <cell r="H6415">
            <v>45658</v>
          </cell>
          <cell r="I6415" t="str">
            <v>4010 - Revenue - Licensing Fees (Royalties)</v>
          </cell>
          <cell r="J6415">
            <v>0</v>
          </cell>
          <cell r="K6415" t="str">
            <v>Licensing</v>
          </cell>
          <cell r="L6415" t="str">
            <v>License</v>
          </cell>
          <cell r="N6415" t="str">
            <v>Revenue</v>
          </cell>
          <cell r="O6415" t="str">
            <v>[No Vendor]</v>
          </cell>
        </row>
        <row r="6416">
          <cell r="D6416">
            <v>-42073.85</v>
          </cell>
          <cell r="H6416">
            <v>45658</v>
          </cell>
          <cell r="I6416" t="str">
            <v>4010 - Revenue - Licensing Fees (Royalties)</v>
          </cell>
          <cell r="J6416">
            <v>0</v>
          </cell>
          <cell r="K6416" t="str">
            <v>Licensing</v>
          </cell>
          <cell r="L6416" t="str">
            <v>License</v>
          </cell>
          <cell r="N6416" t="str">
            <v>Revenue</v>
          </cell>
          <cell r="O6416" t="str">
            <v>[No Vendor]</v>
          </cell>
        </row>
        <row r="6417">
          <cell r="D6417">
            <v>0</v>
          </cell>
          <cell r="H6417">
            <v>45658</v>
          </cell>
          <cell r="I6417" t="str">
            <v>4010 - Revenue - Licensing Fees (Royalties)</v>
          </cell>
          <cell r="J6417">
            <v>0</v>
          </cell>
          <cell r="K6417" t="str">
            <v>Licensing</v>
          </cell>
          <cell r="L6417" t="str">
            <v>License</v>
          </cell>
          <cell r="N6417" t="str">
            <v>Revenue</v>
          </cell>
          <cell r="O6417" t="str">
            <v>[No Vendor]</v>
          </cell>
        </row>
        <row r="6418">
          <cell r="D6418">
            <v>0</v>
          </cell>
          <cell r="H6418">
            <v>45658</v>
          </cell>
          <cell r="I6418" t="str">
            <v>4010 - Revenue - Licensing Fees (Royalties)</v>
          </cell>
          <cell r="J6418">
            <v>0</v>
          </cell>
          <cell r="K6418" t="str">
            <v>Licensing</v>
          </cell>
          <cell r="L6418" t="str">
            <v>License</v>
          </cell>
          <cell r="N6418" t="str">
            <v>Revenue</v>
          </cell>
          <cell r="O6418" t="str">
            <v>[No Vendor]</v>
          </cell>
        </row>
        <row r="6419">
          <cell r="D6419">
            <v>0</v>
          </cell>
          <cell r="H6419">
            <v>45658</v>
          </cell>
          <cell r="I6419" t="str">
            <v>4010 - Revenue - Licensing Fees (Royalties)</v>
          </cell>
          <cell r="J6419">
            <v>0</v>
          </cell>
          <cell r="K6419" t="str">
            <v>Licensing</v>
          </cell>
          <cell r="L6419" t="str">
            <v>License</v>
          </cell>
          <cell r="N6419" t="str">
            <v>Revenue</v>
          </cell>
          <cell r="O6419" t="str">
            <v>[No Vendor]</v>
          </cell>
        </row>
        <row r="6420">
          <cell r="D6420">
            <v>0</v>
          </cell>
          <cell r="H6420">
            <v>45658</v>
          </cell>
          <cell r="I6420" t="str">
            <v>4010 - Revenue - Licensing Fees (Royalties)</v>
          </cell>
          <cell r="J6420">
            <v>0</v>
          </cell>
          <cell r="K6420" t="str">
            <v>Licensing</v>
          </cell>
          <cell r="L6420" t="str">
            <v>License</v>
          </cell>
          <cell r="N6420" t="str">
            <v>Revenue</v>
          </cell>
          <cell r="O6420" t="str">
            <v>[No Vendor]</v>
          </cell>
        </row>
        <row r="6421">
          <cell r="D6421">
            <v>223.35</v>
          </cell>
          <cell r="H6421">
            <v>45689</v>
          </cell>
          <cell r="I6421" t="str">
            <v>6040 - Employer Paid Benefits</v>
          </cell>
          <cell r="J6421">
            <v>0</v>
          </cell>
          <cell r="K6421" t="str">
            <v>Administration</v>
          </cell>
          <cell r="L6421" t="str">
            <v>HQ Salaries</v>
          </cell>
          <cell r="N6421" t="str">
            <v>SG&amp;A</v>
          </cell>
          <cell r="O6421" t="str">
            <v>Allied Administrators</v>
          </cell>
        </row>
        <row r="6422">
          <cell r="D6422">
            <v>20718.400000000001</v>
          </cell>
          <cell r="H6422">
            <v>45689</v>
          </cell>
          <cell r="I6422" t="str">
            <v>6282 - Royalty Expense</v>
          </cell>
          <cell r="J6422">
            <v>0</v>
          </cell>
          <cell r="K6422" t="str">
            <v>Brand Marketing</v>
          </cell>
          <cell r="L6422" t="str">
            <v>Advertising</v>
          </cell>
          <cell r="N6422" t="str">
            <v>SG&amp;A</v>
          </cell>
          <cell r="O6422" t="str">
            <v>Monte Carlo Country Club</v>
          </cell>
        </row>
        <row r="6423">
          <cell r="D6423">
            <v>543.53</v>
          </cell>
          <cell r="H6423">
            <v>45689</v>
          </cell>
          <cell r="I6423" t="str">
            <v>6393 - Software</v>
          </cell>
          <cell r="J6423">
            <v>0</v>
          </cell>
          <cell r="K6423" t="str">
            <v>Administration</v>
          </cell>
          <cell r="L6423" t="str">
            <v>Professional Service</v>
          </cell>
          <cell r="N6423" t="str">
            <v>Direct Costs</v>
          </cell>
          <cell r="O6423" t="str">
            <v>Concur Technologies, Inc.</v>
          </cell>
        </row>
        <row r="6424">
          <cell r="D6424">
            <v>543.53</v>
          </cell>
          <cell r="H6424">
            <v>45689</v>
          </cell>
          <cell r="I6424" t="str">
            <v>6393 - Software</v>
          </cell>
          <cell r="J6424">
            <v>0</v>
          </cell>
          <cell r="K6424" t="str">
            <v>Administration</v>
          </cell>
          <cell r="L6424" t="str">
            <v>Professional Service</v>
          </cell>
          <cell r="N6424" t="str">
            <v>Direct Costs</v>
          </cell>
          <cell r="O6424" t="str">
            <v>Concur Technologies, Inc.</v>
          </cell>
        </row>
        <row r="6425">
          <cell r="D6425">
            <v>543.53</v>
          </cell>
          <cell r="H6425">
            <v>45689</v>
          </cell>
          <cell r="I6425" t="str">
            <v>6393 - Software</v>
          </cell>
          <cell r="J6425">
            <v>0</v>
          </cell>
          <cell r="K6425" t="str">
            <v>Administration</v>
          </cell>
          <cell r="L6425" t="str">
            <v>Professional Service</v>
          </cell>
          <cell r="N6425" t="str">
            <v>Direct Costs</v>
          </cell>
          <cell r="O6425" t="str">
            <v>Concur Technologies, Inc.</v>
          </cell>
        </row>
        <row r="6426">
          <cell r="D6426">
            <v>543.53</v>
          </cell>
          <cell r="H6426">
            <v>45689</v>
          </cell>
          <cell r="I6426" t="str">
            <v>6393 - Software</v>
          </cell>
          <cell r="J6426">
            <v>0</v>
          </cell>
          <cell r="K6426" t="str">
            <v>Administration</v>
          </cell>
          <cell r="L6426" t="str">
            <v>Professional Service</v>
          </cell>
          <cell r="N6426" t="str">
            <v>Direct Costs</v>
          </cell>
          <cell r="O6426" t="str">
            <v>Concur Technologies, Inc.</v>
          </cell>
        </row>
        <row r="6427">
          <cell r="D6427">
            <v>543.53</v>
          </cell>
          <cell r="H6427">
            <v>45689</v>
          </cell>
          <cell r="I6427" t="str">
            <v>6393 - Software</v>
          </cell>
          <cell r="J6427">
            <v>0</v>
          </cell>
          <cell r="K6427" t="str">
            <v>Administration</v>
          </cell>
          <cell r="L6427" t="str">
            <v>Professional Service</v>
          </cell>
          <cell r="N6427" t="str">
            <v>Direct Costs</v>
          </cell>
          <cell r="O6427" t="str">
            <v>Concur Technologies, Inc.</v>
          </cell>
        </row>
        <row r="6428">
          <cell r="D6428">
            <v>544.02</v>
          </cell>
          <cell r="H6428">
            <v>45689</v>
          </cell>
          <cell r="I6428" t="str">
            <v>6393 - Software</v>
          </cell>
          <cell r="J6428">
            <v>0</v>
          </cell>
          <cell r="K6428" t="str">
            <v>Administration</v>
          </cell>
          <cell r="L6428" t="str">
            <v>Professional Service</v>
          </cell>
          <cell r="N6428" t="str">
            <v>Direct Costs</v>
          </cell>
          <cell r="O6428" t="str">
            <v>Concur Technologies, Inc.</v>
          </cell>
        </row>
        <row r="6429">
          <cell r="D6429">
            <v>625.35</v>
          </cell>
          <cell r="H6429">
            <v>45689</v>
          </cell>
          <cell r="I6429" t="str">
            <v>6393 - Software</v>
          </cell>
          <cell r="J6429">
            <v>0</v>
          </cell>
          <cell r="K6429" t="str">
            <v>Administration</v>
          </cell>
          <cell r="L6429" t="str">
            <v>Professional Service</v>
          </cell>
          <cell r="N6429" t="str">
            <v>Direct Costs</v>
          </cell>
          <cell r="O6429" t="str">
            <v>Concur Technologies, Inc.</v>
          </cell>
        </row>
        <row r="6430">
          <cell r="D6430">
            <v>667.68</v>
          </cell>
          <cell r="H6430">
            <v>45689</v>
          </cell>
          <cell r="I6430" t="str">
            <v>6393 - Software</v>
          </cell>
          <cell r="J6430">
            <v>0</v>
          </cell>
          <cell r="K6430" t="str">
            <v>Administration</v>
          </cell>
          <cell r="L6430" t="str">
            <v>Professional Service</v>
          </cell>
          <cell r="N6430" t="str">
            <v>Direct Costs</v>
          </cell>
          <cell r="O6430" t="str">
            <v>Concur Technologies, Inc.</v>
          </cell>
        </row>
        <row r="6431">
          <cell r="D6431">
            <v>65.33</v>
          </cell>
          <cell r="H6431">
            <v>45689</v>
          </cell>
          <cell r="I6431" t="str">
            <v>6400 - Utilities</v>
          </cell>
          <cell r="J6431">
            <v>0</v>
          </cell>
          <cell r="K6431" t="str">
            <v>Administration</v>
          </cell>
          <cell r="L6431" t="str">
            <v>Other</v>
          </cell>
          <cell r="N6431" t="str">
            <v>SG&amp;A</v>
          </cell>
          <cell r="O6431" t="str">
            <v>NYC Intercom Inc</v>
          </cell>
        </row>
        <row r="6432">
          <cell r="D6432">
            <v>389.69</v>
          </cell>
          <cell r="H6432">
            <v>45689</v>
          </cell>
          <cell r="I6432" t="str">
            <v>6400 - Utilities</v>
          </cell>
          <cell r="J6432">
            <v>0</v>
          </cell>
          <cell r="K6432" t="str">
            <v>Administration</v>
          </cell>
          <cell r="L6432" t="str">
            <v>Other</v>
          </cell>
          <cell r="N6432" t="str">
            <v>SG&amp;A</v>
          </cell>
          <cell r="O6432" t="str">
            <v>Antelope LLC</v>
          </cell>
        </row>
        <row r="6433">
          <cell r="D6433">
            <v>269.93</v>
          </cell>
          <cell r="H6433">
            <v>45689</v>
          </cell>
          <cell r="I6433" t="str">
            <v>6400 - Utilities</v>
          </cell>
          <cell r="J6433">
            <v>0</v>
          </cell>
          <cell r="K6433" t="str">
            <v>Administration</v>
          </cell>
          <cell r="L6433" t="str">
            <v>Other</v>
          </cell>
          <cell r="N6433" t="str">
            <v>SG&amp;A</v>
          </cell>
          <cell r="O6433" t="str">
            <v>Verizon</v>
          </cell>
        </row>
        <row r="6434">
          <cell r="D6434">
            <v>7500</v>
          </cell>
          <cell r="H6434">
            <v>45689</v>
          </cell>
          <cell r="I6434" t="str">
            <v>6225 - Professional Services</v>
          </cell>
          <cell r="J6434">
            <v>0</v>
          </cell>
          <cell r="K6434" t="str">
            <v>Brand Marketing</v>
          </cell>
          <cell r="L6434" t="str">
            <v>Professional Service</v>
          </cell>
          <cell r="N6434" t="str">
            <v>Direct Costs</v>
          </cell>
          <cell r="O6434" t="str">
            <v>PapePR</v>
          </cell>
        </row>
        <row r="6435">
          <cell r="D6435">
            <v>3292</v>
          </cell>
          <cell r="H6435">
            <v>45689</v>
          </cell>
          <cell r="I6435" t="str">
            <v>6225 - Professional Services</v>
          </cell>
          <cell r="J6435">
            <v>0</v>
          </cell>
          <cell r="K6435" t="str">
            <v>Administration</v>
          </cell>
          <cell r="L6435" t="str">
            <v>Professional Service</v>
          </cell>
          <cell r="N6435" t="str">
            <v>Direct Costs</v>
          </cell>
          <cell r="O6435" t="str">
            <v>Enom Solutions, Inc-DBA 3nom</v>
          </cell>
        </row>
        <row r="6436">
          <cell r="D6436">
            <v>30113.77</v>
          </cell>
          <cell r="H6436">
            <v>45689</v>
          </cell>
          <cell r="I6436" t="str">
            <v>6320 - Building Rent</v>
          </cell>
          <cell r="J6436">
            <v>0</v>
          </cell>
          <cell r="K6436" t="str">
            <v>Administration</v>
          </cell>
          <cell r="L6436" t="str">
            <v>Rent</v>
          </cell>
          <cell r="N6436" t="str">
            <v>SG&amp;A</v>
          </cell>
          <cell r="O6436" t="str">
            <v>Antelope LLC</v>
          </cell>
        </row>
        <row r="6437">
          <cell r="D6437">
            <v>1054.3800000000001</v>
          </cell>
          <cell r="H6437">
            <v>45689</v>
          </cell>
          <cell r="I6437" t="str">
            <v>6375 - Freight Expenses</v>
          </cell>
          <cell r="J6437">
            <v>0</v>
          </cell>
          <cell r="K6437" t="str">
            <v>Production</v>
          </cell>
          <cell r="L6437" t="str">
            <v>Freight</v>
          </cell>
          <cell r="N6437" t="str">
            <v>Direct Costs</v>
          </cell>
          <cell r="O6437" t="str">
            <v>DHL Express - USA</v>
          </cell>
        </row>
        <row r="6438">
          <cell r="D6438">
            <v>1760.91</v>
          </cell>
          <cell r="H6438">
            <v>45689</v>
          </cell>
          <cell r="I6438" t="str">
            <v>6375 - Freight Expenses</v>
          </cell>
          <cell r="J6438">
            <v>0</v>
          </cell>
          <cell r="K6438" t="str">
            <v>Production</v>
          </cell>
          <cell r="L6438" t="str">
            <v>Freight</v>
          </cell>
          <cell r="N6438" t="str">
            <v>Direct Costs</v>
          </cell>
          <cell r="O6438" t="str">
            <v>DHL Express - USA</v>
          </cell>
        </row>
        <row r="6439">
          <cell r="D6439">
            <v>823.65</v>
          </cell>
          <cell r="H6439">
            <v>45689</v>
          </cell>
          <cell r="I6439" t="str">
            <v>6375 - Freight Expenses</v>
          </cell>
          <cell r="J6439">
            <v>0</v>
          </cell>
          <cell r="K6439" t="str">
            <v>Production</v>
          </cell>
          <cell r="L6439" t="str">
            <v>Freight</v>
          </cell>
          <cell r="N6439" t="str">
            <v>Direct Costs</v>
          </cell>
          <cell r="O6439" t="str">
            <v>DHL Express - USA</v>
          </cell>
        </row>
        <row r="6440">
          <cell r="D6440">
            <v>839.17</v>
          </cell>
          <cell r="H6440">
            <v>45689</v>
          </cell>
          <cell r="I6440" t="str">
            <v>6375 - Freight Expenses</v>
          </cell>
          <cell r="J6440">
            <v>0</v>
          </cell>
          <cell r="K6440" t="str">
            <v>Production</v>
          </cell>
          <cell r="L6440" t="str">
            <v>Freight</v>
          </cell>
          <cell r="N6440" t="str">
            <v>Direct Costs</v>
          </cell>
          <cell r="O6440" t="str">
            <v>DHL Express - USA</v>
          </cell>
        </row>
        <row r="6441">
          <cell r="D6441">
            <v>273.79000000000002</v>
          </cell>
          <cell r="H6441">
            <v>45689</v>
          </cell>
          <cell r="I6441" t="str">
            <v>6375 - Freight Expenses</v>
          </cell>
          <cell r="J6441" t="str">
            <v>Wholesale</v>
          </cell>
          <cell r="K6441" t="str">
            <v>Wholesale</v>
          </cell>
          <cell r="L6441" t="str">
            <v>Freight</v>
          </cell>
          <cell r="N6441" t="str">
            <v>Direct Costs</v>
          </cell>
          <cell r="O6441" t="str">
            <v>UPS Supply Chain Solutions Inc. (7F24A0)</v>
          </cell>
        </row>
        <row r="6442">
          <cell r="D6442">
            <v>23752.48</v>
          </cell>
          <cell r="H6442">
            <v>45689</v>
          </cell>
          <cell r="I6442" t="str">
            <v>6375 - Freight Expenses</v>
          </cell>
          <cell r="J6442" t="str">
            <v>Ecommerce (US)</v>
          </cell>
          <cell r="K6442" t="str">
            <v>Ecommerce</v>
          </cell>
          <cell r="L6442" t="str">
            <v>Freight</v>
          </cell>
          <cell r="N6442" t="str">
            <v>Direct Costs</v>
          </cell>
          <cell r="O6442" t="str">
            <v>UPS Supply Chain Solutions Inc. (7F24A0)</v>
          </cell>
        </row>
        <row r="6443">
          <cell r="D6443">
            <v>1633.89</v>
          </cell>
          <cell r="H6443">
            <v>45689</v>
          </cell>
          <cell r="I6443" t="str">
            <v>6040 - Employer Paid Benefits</v>
          </cell>
          <cell r="J6443" t="str">
            <v>Wholesale</v>
          </cell>
          <cell r="K6443" t="str">
            <v>Wholesale</v>
          </cell>
          <cell r="L6443" t="str">
            <v>HQ Salaries</v>
          </cell>
          <cell r="N6443" t="str">
            <v>SG&amp;A</v>
          </cell>
          <cell r="O6443" t="str">
            <v>Excellus Health Plan - Group</v>
          </cell>
        </row>
        <row r="6444">
          <cell r="D6444">
            <v>3839.66</v>
          </cell>
          <cell r="H6444">
            <v>45689</v>
          </cell>
          <cell r="I6444" t="str">
            <v>6040 - Employer Paid Benefits</v>
          </cell>
          <cell r="J6444">
            <v>0</v>
          </cell>
          <cell r="K6444" t="str">
            <v>Production</v>
          </cell>
          <cell r="L6444" t="str">
            <v>HQ Salaries</v>
          </cell>
          <cell r="N6444" t="str">
            <v>SG&amp;A</v>
          </cell>
          <cell r="O6444" t="str">
            <v>Excellus Health Plan - Group</v>
          </cell>
        </row>
        <row r="6445">
          <cell r="D6445">
            <v>816.95</v>
          </cell>
          <cell r="H6445">
            <v>45689</v>
          </cell>
          <cell r="I6445" t="str">
            <v>6040 - Employer Paid Benefits</v>
          </cell>
          <cell r="J6445">
            <v>0</v>
          </cell>
          <cell r="K6445" t="str">
            <v>Merchandising</v>
          </cell>
          <cell r="L6445" t="str">
            <v>HQ Salaries</v>
          </cell>
          <cell r="N6445" t="str">
            <v>SG&amp;A</v>
          </cell>
          <cell r="O6445" t="str">
            <v>Excellus Health Plan - Group</v>
          </cell>
        </row>
        <row r="6446">
          <cell r="D6446">
            <v>816.95</v>
          </cell>
          <cell r="H6446">
            <v>45689</v>
          </cell>
          <cell r="I6446" t="str">
            <v>6040 - Employer Paid Benefits</v>
          </cell>
          <cell r="J6446">
            <v>0</v>
          </cell>
          <cell r="K6446" t="str">
            <v>Brand Marketing</v>
          </cell>
          <cell r="L6446" t="str">
            <v>HQ Salaries</v>
          </cell>
          <cell r="N6446" t="str">
            <v>SG&amp;A</v>
          </cell>
          <cell r="O6446" t="str">
            <v>Excellus Health Plan - Group</v>
          </cell>
        </row>
        <row r="6447">
          <cell r="D6447">
            <v>3145.25</v>
          </cell>
          <cell r="H6447">
            <v>45689</v>
          </cell>
          <cell r="I6447" t="str">
            <v>6040 - Employer Paid Benefits</v>
          </cell>
          <cell r="J6447" t="str">
            <v>Ecommerce (US)</v>
          </cell>
          <cell r="K6447" t="str">
            <v>Ecommerce</v>
          </cell>
          <cell r="L6447" t="str">
            <v>HQ Salaries</v>
          </cell>
          <cell r="N6447" t="str">
            <v>SG&amp;A</v>
          </cell>
          <cell r="O6447" t="str">
            <v>Excellus Health Plan - Group</v>
          </cell>
        </row>
        <row r="6448">
          <cell r="D6448">
            <v>3504.98</v>
          </cell>
          <cell r="H6448">
            <v>45689</v>
          </cell>
          <cell r="I6448" t="str">
            <v>6040 - Employer Paid Benefits</v>
          </cell>
          <cell r="J6448">
            <v>0</v>
          </cell>
          <cell r="K6448" t="str">
            <v>Design</v>
          </cell>
          <cell r="L6448" t="str">
            <v>HQ Salaries</v>
          </cell>
          <cell r="N6448" t="str">
            <v>SG&amp;A</v>
          </cell>
          <cell r="O6448" t="str">
            <v>Excellus Health Plan - Group</v>
          </cell>
        </row>
        <row r="6449">
          <cell r="D6449">
            <v>10007.61</v>
          </cell>
          <cell r="H6449">
            <v>45689</v>
          </cell>
          <cell r="I6449" t="str">
            <v>6040 - Employer Paid Benefits</v>
          </cell>
          <cell r="J6449">
            <v>0</v>
          </cell>
          <cell r="K6449" t="str">
            <v>Administration</v>
          </cell>
          <cell r="L6449" t="str">
            <v>HQ Salaries</v>
          </cell>
          <cell r="N6449" t="str">
            <v>SG&amp;A</v>
          </cell>
          <cell r="O6449" t="str">
            <v>Excellus Health Plan - Group</v>
          </cell>
        </row>
        <row r="6450">
          <cell r="D6450">
            <v>82.72</v>
          </cell>
          <cell r="H6450">
            <v>45689</v>
          </cell>
          <cell r="I6450" t="str">
            <v>6040 - Employer Paid Benefits</v>
          </cell>
          <cell r="J6450" t="str">
            <v>Wholesale</v>
          </cell>
          <cell r="K6450" t="str">
            <v>Wholesale</v>
          </cell>
          <cell r="L6450" t="str">
            <v>HQ Salaries</v>
          </cell>
          <cell r="N6450" t="str">
            <v>SG&amp;A</v>
          </cell>
          <cell r="O6450" t="str">
            <v>United of Omaha Life Insurance Company</v>
          </cell>
        </row>
        <row r="6451">
          <cell r="D6451">
            <v>309.77</v>
          </cell>
          <cell r="H6451">
            <v>45689</v>
          </cell>
          <cell r="I6451" t="str">
            <v>6040 - Employer Paid Benefits</v>
          </cell>
          <cell r="J6451">
            <v>0</v>
          </cell>
          <cell r="K6451" t="str">
            <v>Production</v>
          </cell>
          <cell r="L6451" t="str">
            <v>HQ Salaries</v>
          </cell>
          <cell r="N6451" t="str">
            <v>SG&amp;A</v>
          </cell>
          <cell r="O6451" t="str">
            <v>United of Omaha Life Insurance Company</v>
          </cell>
        </row>
        <row r="6452">
          <cell r="D6452">
            <v>86.43</v>
          </cell>
          <cell r="H6452">
            <v>45689</v>
          </cell>
          <cell r="I6452" t="str">
            <v>6040 - Employer Paid Benefits</v>
          </cell>
          <cell r="J6452">
            <v>0</v>
          </cell>
          <cell r="K6452" t="str">
            <v>Merchandising</v>
          </cell>
          <cell r="L6452" t="str">
            <v>HQ Salaries</v>
          </cell>
          <cell r="N6452" t="str">
            <v>SG&amp;A</v>
          </cell>
          <cell r="O6452" t="str">
            <v>United of Omaha Life Insurance Company</v>
          </cell>
        </row>
        <row r="6453">
          <cell r="D6453">
            <v>47.05</v>
          </cell>
          <cell r="H6453">
            <v>45689</v>
          </cell>
          <cell r="I6453" t="str">
            <v>6040 - Employer Paid Benefits</v>
          </cell>
          <cell r="J6453">
            <v>0</v>
          </cell>
          <cell r="K6453" t="str">
            <v>Brand Marketing</v>
          </cell>
          <cell r="L6453" t="str">
            <v>HQ Salaries</v>
          </cell>
          <cell r="N6453" t="str">
            <v>SG&amp;A</v>
          </cell>
          <cell r="O6453" t="str">
            <v>United of Omaha Life Insurance Company</v>
          </cell>
        </row>
        <row r="6454">
          <cell r="D6454">
            <v>243.56</v>
          </cell>
          <cell r="H6454">
            <v>45689</v>
          </cell>
          <cell r="I6454" t="str">
            <v>6040 - Employer Paid Benefits</v>
          </cell>
          <cell r="J6454">
            <v>0</v>
          </cell>
          <cell r="K6454" t="str">
            <v>Executive</v>
          </cell>
          <cell r="L6454" t="str">
            <v>HQ Salaries</v>
          </cell>
          <cell r="N6454" t="str">
            <v>SG&amp;A</v>
          </cell>
          <cell r="O6454" t="str">
            <v>United of Omaha Life Insurance Company</v>
          </cell>
        </row>
        <row r="6455">
          <cell r="D6455">
            <v>173.02</v>
          </cell>
          <cell r="H6455">
            <v>45689</v>
          </cell>
          <cell r="I6455" t="str">
            <v>6040 - Employer Paid Benefits</v>
          </cell>
          <cell r="J6455" t="str">
            <v>Ecommerce (US)</v>
          </cell>
          <cell r="K6455" t="str">
            <v>Ecommerce</v>
          </cell>
          <cell r="L6455" t="str">
            <v>HQ Salaries</v>
          </cell>
          <cell r="N6455" t="str">
            <v>SG&amp;A</v>
          </cell>
          <cell r="O6455" t="str">
            <v>United of Omaha Life Insurance Company</v>
          </cell>
        </row>
        <row r="6456">
          <cell r="D6456">
            <v>337.42</v>
          </cell>
          <cell r="H6456">
            <v>45689</v>
          </cell>
          <cell r="I6456" t="str">
            <v>6040 - Employer Paid Benefits</v>
          </cell>
          <cell r="J6456">
            <v>0</v>
          </cell>
          <cell r="K6456" t="str">
            <v>Design</v>
          </cell>
          <cell r="L6456" t="str">
            <v>HQ Salaries</v>
          </cell>
          <cell r="N6456" t="str">
            <v>SG&amp;A</v>
          </cell>
          <cell r="O6456" t="str">
            <v>United of Omaha Life Insurance Company</v>
          </cell>
        </row>
        <row r="6457">
          <cell r="D6457">
            <v>447.92</v>
          </cell>
          <cell r="H6457">
            <v>45689</v>
          </cell>
          <cell r="I6457" t="str">
            <v>6040 - Employer Paid Benefits</v>
          </cell>
          <cell r="J6457">
            <v>0</v>
          </cell>
          <cell r="K6457" t="str">
            <v>Administration</v>
          </cell>
          <cell r="L6457" t="str">
            <v>HQ Salaries</v>
          </cell>
          <cell r="N6457" t="str">
            <v>SG&amp;A</v>
          </cell>
          <cell r="O6457" t="str">
            <v>United of Omaha Life Insurance Company</v>
          </cell>
        </row>
        <row r="6458">
          <cell r="D6458">
            <v>76.83</v>
          </cell>
          <cell r="H6458">
            <v>45689</v>
          </cell>
          <cell r="I6458" t="str">
            <v>6040 - Employer Paid Benefits</v>
          </cell>
          <cell r="J6458" t="str">
            <v>Ecommerce (US)</v>
          </cell>
          <cell r="K6458" t="str">
            <v>Ecommerce</v>
          </cell>
          <cell r="L6458" t="str">
            <v>HQ Salaries</v>
          </cell>
          <cell r="N6458" t="str">
            <v>SG&amp;A</v>
          </cell>
          <cell r="O6458" t="str">
            <v>Allied Administrators</v>
          </cell>
        </row>
        <row r="6459">
          <cell r="D6459">
            <v>3.21</v>
          </cell>
          <cell r="H6459">
            <v>45689</v>
          </cell>
          <cell r="I6459" t="str">
            <v>6040 - Employer Paid Benefits</v>
          </cell>
          <cell r="J6459" t="str">
            <v>Wholesale</v>
          </cell>
          <cell r="K6459" t="str">
            <v>Wholesale</v>
          </cell>
          <cell r="L6459" t="str">
            <v>HQ Salaries</v>
          </cell>
          <cell r="N6459" t="str">
            <v>SG&amp;A</v>
          </cell>
          <cell r="O6459" t="str">
            <v>Allied Administrators</v>
          </cell>
        </row>
        <row r="6460">
          <cell r="D6460">
            <v>125.91</v>
          </cell>
          <cell r="H6460">
            <v>45689</v>
          </cell>
          <cell r="I6460" t="str">
            <v>6040 - Employer Paid Benefits</v>
          </cell>
          <cell r="J6460">
            <v>0</v>
          </cell>
          <cell r="K6460" t="str">
            <v>Production</v>
          </cell>
          <cell r="L6460" t="str">
            <v>HQ Salaries</v>
          </cell>
          <cell r="N6460" t="str">
            <v>SG&amp;A</v>
          </cell>
          <cell r="O6460" t="str">
            <v>Allied Administrators</v>
          </cell>
        </row>
        <row r="6461">
          <cell r="D6461">
            <v>24.54</v>
          </cell>
          <cell r="H6461">
            <v>45689</v>
          </cell>
          <cell r="I6461" t="str">
            <v>6040 - Employer Paid Benefits</v>
          </cell>
          <cell r="J6461">
            <v>0</v>
          </cell>
          <cell r="K6461" t="str">
            <v>Merchandising</v>
          </cell>
          <cell r="L6461" t="str">
            <v>HQ Salaries</v>
          </cell>
          <cell r="N6461" t="str">
            <v>SG&amp;A</v>
          </cell>
          <cell r="O6461" t="str">
            <v>Allied Administrators</v>
          </cell>
        </row>
        <row r="6462">
          <cell r="D6462">
            <v>145.80000000000001</v>
          </cell>
          <cell r="H6462">
            <v>45689</v>
          </cell>
          <cell r="I6462" t="str">
            <v>6040 - Employer Paid Benefits</v>
          </cell>
          <cell r="J6462">
            <v>0</v>
          </cell>
          <cell r="K6462" t="str">
            <v>Executive</v>
          </cell>
          <cell r="L6462" t="str">
            <v>HQ Salaries</v>
          </cell>
          <cell r="N6462" t="str">
            <v>SG&amp;A</v>
          </cell>
          <cell r="O6462" t="str">
            <v>Allied Administrators</v>
          </cell>
        </row>
        <row r="6463">
          <cell r="D6463">
            <v>147.24</v>
          </cell>
          <cell r="H6463">
            <v>45689</v>
          </cell>
          <cell r="I6463" t="str">
            <v>6040 - Employer Paid Benefits</v>
          </cell>
          <cell r="J6463">
            <v>0</v>
          </cell>
          <cell r="K6463" t="str">
            <v>Design</v>
          </cell>
          <cell r="L6463" t="str">
            <v>HQ Salaries</v>
          </cell>
          <cell r="N6463" t="str">
            <v>SG&amp;A</v>
          </cell>
          <cell r="O6463" t="str">
            <v>Allied Administrators</v>
          </cell>
        </row>
        <row r="6464">
          <cell r="D6464">
            <v>0.01</v>
          </cell>
          <cell r="H6464">
            <v>45689</v>
          </cell>
          <cell r="I6464" t="str">
            <v>8590 - Rounding Gain/Loss</v>
          </cell>
          <cell r="J6464">
            <v>0</v>
          </cell>
          <cell r="K6464" t="str">
            <v>No Department</v>
          </cell>
          <cell r="L6464" t="str">
            <v>Realized Gain / Loss</v>
          </cell>
          <cell r="N6464" t="str">
            <v>BTL</v>
          </cell>
          <cell r="O6464" t="str">
            <v>[No Vendor]</v>
          </cell>
        </row>
        <row r="6465">
          <cell r="D6465">
            <v>-26115.41</v>
          </cell>
          <cell r="H6465">
            <v>45689</v>
          </cell>
          <cell r="I6465" t="str">
            <v>6005 - Salaries</v>
          </cell>
          <cell r="J6465">
            <v>0</v>
          </cell>
          <cell r="K6465" t="str">
            <v>Administration</v>
          </cell>
          <cell r="L6465" t="str">
            <v>HQ Salaries</v>
          </cell>
          <cell r="N6465" t="str">
            <v>SG&amp;A</v>
          </cell>
          <cell r="O6465" t="str">
            <v>[No Vendor]</v>
          </cell>
        </row>
        <row r="6466">
          <cell r="D6466">
            <v>0</v>
          </cell>
          <cell r="H6466">
            <v>45689</v>
          </cell>
          <cell r="I6466" t="str">
            <v>6035 - Severance Expense</v>
          </cell>
          <cell r="J6466" t="str">
            <v>Wholesale</v>
          </cell>
          <cell r="K6466" t="str">
            <v>Wholesale</v>
          </cell>
          <cell r="L6466" t="str">
            <v>HQ Salaries</v>
          </cell>
          <cell r="N6466" t="str">
            <v>SG&amp;A</v>
          </cell>
          <cell r="O6466" t="str">
            <v>[No Vendor]</v>
          </cell>
        </row>
        <row r="6467">
          <cell r="D6467">
            <v>-20826</v>
          </cell>
          <cell r="H6467">
            <v>45689</v>
          </cell>
          <cell r="I6467" t="str">
            <v>6282 - Royalty Expense</v>
          </cell>
          <cell r="J6467">
            <v>0</v>
          </cell>
          <cell r="K6467" t="str">
            <v>Brand Marketing</v>
          </cell>
          <cell r="L6467" t="str">
            <v>Advertising</v>
          </cell>
          <cell r="N6467" t="str">
            <v>SG&amp;A</v>
          </cell>
          <cell r="O6467" t="str">
            <v>[No Vendor]</v>
          </cell>
        </row>
        <row r="6468">
          <cell r="D6468">
            <v>-500</v>
          </cell>
          <cell r="H6468">
            <v>45689</v>
          </cell>
          <cell r="I6468" t="str">
            <v>6380 - Legal &amp; Accounting</v>
          </cell>
          <cell r="J6468">
            <v>0</v>
          </cell>
          <cell r="K6468" t="str">
            <v>Administration</v>
          </cell>
          <cell r="L6468" t="str">
            <v>Professional Service</v>
          </cell>
          <cell r="N6468" t="str">
            <v>SG&amp;A</v>
          </cell>
          <cell r="O6468" t="str">
            <v>[No Vendor]</v>
          </cell>
        </row>
        <row r="6469">
          <cell r="D6469">
            <v>-11772</v>
          </cell>
          <cell r="H6469">
            <v>45689</v>
          </cell>
          <cell r="I6469" t="str">
            <v>6205 - Contractors</v>
          </cell>
          <cell r="J6469" t="str">
            <v>Ecommerce (US)</v>
          </cell>
          <cell r="K6469" t="str">
            <v>Ecommerce</v>
          </cell>
          <cell r="L6469" t="str">
            <v>HQ Salaries</v>
          </cell>
          <cell r="N6469" t="str">
            <v>SG&amp;A</v>
          </cell>
          <cell r="O6469" t="str">
            <v>[No Vendor]</v>
          </cell>
        </row>
        <row r="6470">
          <cell r="D6470">
            <v>0</v>
          </cell>
          <cell r="H6470">
            <v>45689</v>
          </cell>
          <cell r="I6470" t="str">
            <v>6205 - Contractors</v>
          </cell>
          <cell r="J6470">
            <v>0</v>
          </cell>
          <cell r="K6470" t="str">
            <v>Brand Marketing</v>
          </cell>
          <cell r="L6470" t="str">
            <v>HQ Salaries</v>
          </cell>
          <cell r="N6470" t="str">
            <v>SG&amp;A</v>
          </cell>
          <cell r="O6470" t="str">
            <v>[No Vendor]</v>
          </cell>
        </row>
        <row r="6471">
          <cell r="D6471">
            <v>0</v>
          </cell>
          <cell r="H6471">
            <v>45689</v>
          </cell>
          <cell r="I6471" t="str">
            <v>6205 - Contractors</v>
          </cell>
          <cell r="J6471" t="str">
            <v>Ecommerce (US)</v>
          </cell>
          <cell r="K6471" t="str">
            <v>Ecommerce</v>
          </cell>
          <cell r="L6471" t="str">
            <v>HQ Salaries</v>
          </cell>
          <cell r="N6471" t="str">
            <v>SG&amp;A</v>
          </cell>
          <cell r="O6471" t="str">
            <v>[No Vendor]</v>
          </cell>
        </row>
        <row r="6472">
          <cell r="D6472">
            <v>0</v>
          </cell>
          <cell r="H6472">
            <v>45689</v>
          </cell>
          <cell r="I6472" t="str">
            <v>6205 - Contractors</v>
          </cell>
          <cell r="J6472">
            <v>0</v>
          </cell>
          <cell r="K6472" t="str">
            <v>Design</v>
          </cell>
          <cell r="L6472" t="str">
            <v>HQ Salaries</v>
          </cell>
          <cell r="N6472" t="str">
            <v>SG&amp;A</v>
          </cell>
          <cell r="O6472" t="str">
            <v>[No Vendor]</v>
          </cell>
        </row>
        <row r="6473">
          <cell r="D6473">
            <v>-3050</v>
          </cell>
          <cell r="H6473">
            <v>45689</v>
          </cell>
          <cell r="I6473" t="str">
            <v>6205 - Contractors</v>
          </cell>
          <cell r="J6473" t="str">
            <v>Ecommerce (US)</v>
          </cell>
          <cell r="K6473" t="str">
            <v>Ecommerce</v>
          </cell>
          <cell r="L6473" t="str">
            <v>HQ Salaries</v>
          </cell>
          <cell r="N6473" t="str">
            <v>SG&amp;A</v>
          </cell>
          <cell r="O6473" t="str">
            <v>[No Vendor]</v>
          </cell>
        </row>
        <row r="6474">
          <cell r="D6474">
            <v>21.18</v>
          </cell>
          <cell r="H6474">
            <v>45689</v>
          </cell>
          <cell r="I6474" t="str">
            <v>6385 - Insurance</v>
          </cell>
          <cell r="J6474">
            <v>0</v>
          </cell>
          <cell r="K6474" t="str">
            <v>Administration</v>
          </cell>
          <cell r="L6474" t="str">
            <v>Professional Service</v>
          </cell>
          <cell r="N6474" t="str">
            <v>SG&amp;A</v>
          </cell>
          <cell r="O6474" t="str">
            <v>[No Vendor]</v>
          </cell>
        </row>
        <row r="6475">
          <cell r="D6475">
            <v>48.66</v>
          </cell>
          <cell r="H6475">
            <v>45689</v>
          </cell>
          <cell r="I6475" t="str">
            <v>6385 - Insurance</v>
          </cell>
          <cell r="J6475">
            <v>0</v>
          </cell>
          <cell r="K6475" t="str">
            <v>Administration</v>
          </cell>
          <cell r="L6475" t="str">
            <v>Professional Service</v>
          </cell>
          <cell r="N6475" t="str">
            <v>SG&amp;A</v>
          </cell>
          <cell r="O6475" t="str">
            <v>[No Vendor]</v>
          </cell>
        </row>
        <row r="6476">
          <cell r="D6476">
            <v>82.34</v>
          </cell>
          <cell r="H6476">
            <v>45689</v>
          </cell>
          <cell r="I6476" t="str">
            <v>6385 - Insurance</v>
          </cell>
          <cell r="J6476">
            <v>0</v>
          </cell>
          <cell r="K6476" t="str">
            <v>Administration</v>
          </cell>
          <cell r="L6476" t="str">
            <v>Professional Service</v>
          </cell>
          <cell r="N6476" t="str">
            <v>SG&amp;A</v>
          </cell>
          <cell r="O6476" t="str">
            <v>[No Vendor]</v>
          </cell>
        </row>
        <row r="6477">
          <cell r="D6477">
            <v>13.88</v>
          </cell>
          <cell r="H6477">
            <v>45689</v>
          </cell>
          <cell r="I6477" t="str">
            <v>6385 - Insurance</v>
          </cell>
          <cell r="J6477">
            <v>0</v>
          </cell>
          <cell r="K6477" t="str">
            <v>Administration</v>
          </cell>
          <cell r="L6477" t="str">
            <v>Professional Service</v>
          </cell>
          <cell r="N6477" t="str">
            <v>SG&amp;A</v>
          </cell>
          <cell r="O6477" t="str">
            <v>[No Vendor]</v>
          </cell>
        </row>
        <row r="6478">
          <cell r="D6478">
            <v>44.48</v>
          </cell>
          <cell r="H6478">
            <v>45689</v>
          </cell>
          <cell r="I6478" t="str">
            <v>6385 - Insurance</v>
          </cell>
          <cell r="J6478">
            <v>0</v>
          </cell>
          <cell r="K6478" t="str">
            <v>Administration</v>
          </cell>
          <cell r="L6478" t="str">
            <v>Professional Service</v>
          </cell>
          <cell r="N6478" t="str">
            <v>SG&amp;A</v>
          </cell>
          <cell r="O6478" t="str">
            <v>[No Vendor]</v>
          </cell>
        </row>
        <row r="6479">
          <cell r="D6479">
            <v>43.2</v>
          </cell>
          <cell r="H6479">
            <v>45689</v>
          </cell>
          <cell r="I6479" t="str">
            <v>6385 - Insurance</v>
          </cell>
          <cell r="J6479">
            <v>0</v>
          </cell>
          <cell r="K6479" t="str">
            <v>Administration</v>
          </cell>
          <cell r="L6479" t="str">
            <v>Professional Service</v>
          </cell>
          <cell r="N6479" t="str">
            <v>SG&amp;A</v>
          </cell>
          <cell r="O6479" t="str">
            <v>[No Vendor]</v>
          </cell>
        </row>
        <row r="6480">
          <cell r="D6480">
            <v>88.99</v>
          </cell>
          <cell r="H6480">
            <v>45689</v>
          </cell>
          <cell r="I6480" t="str">
            <v>6385 - Insurance</v>
          </cell>
          <cell r="J6480">
            <v>0</v>
          </cell>
          <cell r="K6480" t="str">
            <v>Administration</v>
          </cell>
          <cell r="L6480" t="str">
            <v>Professional Service</v>
          </cell>
          <cell r="N6480" t="str">
            <v>SG&amp;A</v>
          </cell>
          <cell r="O6480" t="str">
            <v>[No Vendor]</v>
          </cell>
        </row>
        <row r="6481">
          <cell r="D6481">
            <v>41.72</v>
          </cell>
          <cell r="H6481">
            <v>45689</v>
          </cell>
          <cell r="I6481" t="str">
            <v>6385 - Insurance</v>
          </cell>
          <cell r="J6481">
            <v>0</v>
          </cell>
          <cell r="K6481" t="str">
            <v>Administration</v>
          </cell>
          <cell r="L6481" t="str">
            <v>Professional Service</v>
          </cell>
          <cell r="N6481" t="str">
            <v>SG&amp;A</v>
          </cell>
          <cell r="O6481" t="str">
            <v>[No Vendor]</v>
          </cell>
        </row>
        <row r="6482">
          <cell r="D6482">
            <v>-389.69</v>
          </cell>
          <cell r="H6482">
            <v>45689</v>
          </cell>
          <cell r="I6482" t="str">
            <v>6400 - Utilities</v>
          </cell>
          <cell r="J6482">
            <v>0</v>
          </cell>
          <cell r="K6482" t="str">
            <v>Administration</v>
          </cell>
          <cell r="L6482" t="str">
            <v>Other</v>
          </cell>
          <cell r="N6482" t="str">
            <v>SG&amp;A</v>
          </cell>
          <cell r="O6482" t="str">
            <v>[No Vendor]</v>
          </cell>
        </row>
        <row r="6483">
          <cell r="D6483">
            <v>-811.93</v>
          </cell>
          <cell r="H6483">
            <v>45689</v>
          </cell>
          <cell r="I6483" t="str">
            <v>6055 - Employer Social Security Tax Withheld</v>
          </cell>
          <cell r="J6483">
            <v>0</v>
          </cell>
          <cell r="K6483" t="str">
            <v>Merchandising</v>
          </cell>
          <cell r="L6483" t="str">
            <v>HQ Salaries</v>
          </cell>
          <cell r="N6483" t="str">
            <v>SG&amp;A</v>
          </cell>
          <cell r="O6483" t="str">
            <v>[No Vendor]</v>
          </cell>
        </row>
        <row r="6484">
          <cell r="D6484">
            <v>-1584.96</v>
          </cell>
          <cell r="H6484">
            <v>45689</v>
          </cell>
          <cell r="I6484" t="str">
            <v>6055 - Employer Social Security Tax Withheld</v>
          </cell>
          <cell r="J6484" t="str">
            <v>Wholesale</v>
          </cell>
          <cell r="K6484" t="str">
            <v>Wholesale</v>
          </cell>
          <cell r="L6484" t="str">
            <v>HQ Salaries</v>
          </cell>
          <cell r="N6484" t="str">
            <v>SG&amp;A</v>
          </cell>
          <cell r="O6484" t="str">
            <v>[No Vendor]</v>
          </cell>
        </row>
        <row r="6485">
          <cell r="D6485">
            <v>-2969.63</v>
          </cell>
          <cell r="H6485">
            <v>45689</v>
          </cell>
          <cell r="I6485" t="str">
            <v>6055 - Employer Social Security Tax Withheld</v>
          </cell>
          <cell r="J6485">
            <v>0</v>
          </cell>
          <cell r="K6485" t="str">
            <v>Production</v>
          </cell>
          <cell r="L6485" t="str">
            <v>HQ Salaries</v>
          </cell>
          <cell r="N6485" t="str">
            <v>SG&amp;A</v>
          </cell>
          <cell r="O6485" t="str">
            <v>[No Vendor]</v>
          </cell>
        </row>
        <row r="6486">
          <cell r="D6486">
            <v>-525.99</v>
          </cell>
          <cell r="H6486">
            <v>45689</v>
          </cell>
          <cell r="I6486" t="str">
            <v>6055 - Employer Social Security Tax Withheld</v>
          </cell>
          <cell r="J6486">
            <v>0</v>
          </cell>
          <cell r="K6486" t="str">
            <v>Brand Marketing</v>
          </cell>
          <cell r="L6486" t="str">
            <v>HQ Salaries</v>
          </cell>
          <cell r="N6486" t="str">
            <v>SG&amp;A</v>
          </cell>
          <cell r="O6486" t="str">
            <v>[No Vendor]</v>
          </cell>
        </row>
        <row r="6487">
          <cell r="D6487">
            <v>-1252.75</v>
          </cell>
          <cell r="H6487">
            <v>45689</v>
          </cell>
          <cell r="I6487" t="str">
            <v>6055 - Employer Social Security Tax Withheld</v>
          </cell>
          <cell r="J6487">
            <v>0</v>
          </cell>
          <cell r="K6487" t="str">
            <v>Executive</v>
          </cell>
          <cell r="L6487" t="str">
            <v>HQ Salaries</v>
          </cell>
          <cell r="N6487" t="str">
            <v>SG&amp;A</v>
          </cell>
          <cell r="O6487" t="str">
            <v>[No Vendor]</v>
          </cell>
        </row>
        <row r="6488">
          <cell r="D6488">
            <v>-2855.54</v>
          </cell>
          <cell r="H6488">
            <v>45689</v>
          </cell>
          <cell r="I6488" t="str">
            <v>6055 - Employer Social Security Tax Withheld</v>
          </cell>
          <cell r="J6488" t="str">
            <v>Ecommerce (US)</v>
          </cell>
          <cell r="K6488" t="str">
            <v>Ecommerce</v>
          </cell>
          <cell r="L6488" t="str">
            <v>HQ Salaries</v>
          </cell>
          <cell r="N6488" t="str">
            <v>SG&amp;A</v>
          </cell>
          <cell r="O6488" t="str">
            <v>[No Vendor]</v>
          </cell>
        </row>
        <row r="6489">
          <cell r="D6489">
            <v>-3141.1</v>
          </cell>
          <cell r="H6489">
            <v>45689</v>
          </cell>
          <cell r="I6489" t="str">
            <v>6055 - Employer Social Security Tax Withheld</v>
          </cell>
          <cell r="J6489">
            <v>0</v>
          </cell>
          <cell r="K6489" t="str">
            <v>Design</v>
          </cell>
          <cell r="L6489" t="str">
            <v>HQ Salaries</v>
          </cell>
          <cell r="N6489" t="str">
            <v>SG&amp;A</v>
          </cell>
          <cell r="O6489" t="str">
            <v>[No Vendor]</v>
          </cell>
        </row>
        <row r="6490">
          <cell r="D6490">
            <v>-3138.71</v>
          </cell>
          <cell r="H6490">
            <v>45689</v>
          </cell>
          <cell r="I6490" t="str">
            <v>6055 - Employer Social Security Tax Withheld</v>
          </cell>
          <cell r="J6490">
            <v>0</v>
          </cell>
          <cell r="K6490" t="str">
            <v>Administration</v>
          </cell>
          <cell r="L6490" t="str">
            <v>HQ Salaries</v>
          </cell>
          <cell r="N6490" t="str">
            <v>SG&amp;A</v>
          </cell>
          <cell r="O6490" t="str">
            <v>[No Vendor]</v>
          </cell>
        </row>
        <row r="6491">
          <cell r="D6491">
            <v>-273.79000000000002</v>
          </cell>
          <cell r="H6491">
            <v>45689</v>
          </cell>
          <cell r="I6491" t="str">
            <v>6375 - Freight Expenses</v>
          </cell>
          <cell r="J6491" t="str">
            <v>Wholesale</v>
          </cell>
          <cell r="K6491" t="str">
            <v>Wholesale</v>
          </cell>
          <cell r="L6491" t="str">
            <v>Freight</v>
          </cell>
          <cell r="N6491" t="str">
            <v>Direct Costs</v>
          </cell>
          <cell r="O6491" t="str">
            <v>UPS Supply Chain Solutions Inc. (7F24A0)</v>
          </cell>
        </row>
        <row r="6492">
          <cell r="D6492">
            <v>-23752.48</v>
          </cell>
          <cell r="H6492">
            <v>45689</v>
          </cell>
          <cell r="I6492" t="str">
            <v>6375 - Freight Expenses</v>
          </cell>
          <cell r="J6492" t="str">
            <v>Ecommerce (US)</v>
          </cell>
          <cell r="K6492" t="str">
            <v>Ecommerce</v>
          </cell>
          <cell r="L6492" t="str">
            <v>Freight</v>
          </cell>
          <cell r="N6492" t="str">
            <v>Direct Costs</v>
          </cell>
          <cell r="O6492" t="str">
            <v>UPS Supply Chain Solutions Inc. (7F24A0)</v>
          </cell>
        </row>
        <row r="6493">
          <cell r="D6493">
            <v>0</v>
          </cell>
          <cell r="H6493">
            <v>45689</v>
          </cell>
          <cell r="I6493" t="str">
            <v>6040 - Employer Paid Benefits</v>
          </cell>
          <cell r="J6493">
            <v>0</v>
          </cell>
          <cell r="K6493" t="str">
            <v>Merchandising</v>
          </cell>
          <cell r="L6493" t="str">
            <v>HQ Salaries</v>
          </cell>
          <cell r="N6493" t="str">
            <v>SG&amp;A</v>
          </cell>
          <cell r="O6493" t="str">
            <v>[No Vendor]</v>
          </cell>
        </row>
        <row r="6494">
          <cell r="D6494">
            <v>64.92</v>
          </cell>
          <cell r="H6494">
            <v>45689</v>
          </cell>
          <cell r="I6494" t="str">
            <v>6040 - Employer Paid Benefits</v>
          </cell>
          <cell r="J6494" t="str">
            <v>Wholesale</v>
          </cell>
          <cell r="K6494" t="str">
            <v>Wholesale</v>
          </cell>
          <cell r="L6494" t="str">
            <v>HQ Salaries</v>
          </cell>
          <cell r="N6494" t="str">
            <v>SG&amp;A</v>
          </cell>
          <cell r="O6494" t="str">
            <v>[No Vendor]</v>
          </cell>
        </row>
        <row r="6495">
          <cell r="D6495">
            <v>285.62</v>
          </cell>
          <cell r="H6495">
            <v>45689</v>
          </cell>
          <cell r="I6495" t="str">
            <v>6040 - Employer Paid Benefits</v>
          </cell>
          <cell r="J6495">
            <v>0</v>
          </cell>
          <cell r="K6495" t="str">
            <v>Production</v>
          </cell>
          <cell r="L6495" t="str">
            <v>HQ Salaries</v>
          </cell>
          <cell r="N6495" t="str">
            <v>SG&amp;A</v>
          </cell>
          <cell r="O6495" t="str">
            <v>[No Vendor]</v>
          </cell>
        </row>
        <row r="6496">
          <cell r="D6496">
            <v>22.58</v>
          </cell>
          <cell r="H6496">
            <v>45689</v>
          </cell>
          <cell r="I6496" t="str">
            <v>6040 - Employer Paid Benefits</v>
          </cell>
          <cell r="J6496">
            <v>0</v>
          </cell>
          <cell r="K6496" t="str">
            <v>Brand Marketing</v>
          </cell>
          <cell r="L6496" t="str">
            <v>HQ Salaries</v>
          </cell>
          <cell r="N6496" t="str">
            <v>SG&amp;A</v>
          </cell>
          <cell r="O6496" t="str">
            <v>[No Vendor]</v>
          </cell>
        </row>
        <row r="6497">
          <cell r="D6497">
            <v>234.27</v>
          </cell>
          <cell r="H6497">
            <v>45689</v>
          </cell>
          <cell r="I6497" t="str">
            <v>6040 - Employer Paid Benefits</v>
          </cell>
          <cell r="J6497">
            <v>0</v>
          </cell>
          <cell r="K6497" t="str">
            <v>Executive</v>
          </cell>
          <cell r="L6497" t="str">
            <v>HQ Salaries</v>
          </cell>
          <cell r="N6497" t="str">
            <v>SG&amp;A</v>
          </cell>
          <cell r="O6497" t="str">
            <v>[No Vendor]</v>
          </cell>
        </row>
        <row r="6498">
          <cell r="D6498">
            <v>121.85</v>
          </cell>
          <cell r="H6498">
            <v>45689</v>
          </cell>
          <cell r="I6498" t="str">
            <v>6040 - Employer Paid Benefits</v>
          </cell>
          <cell r="J6498" t="str">
            <v>Ecommerce (US)</v>
          </cell>
          <cell r="K6498" t="str">
            <v>Ecommerce</v>
          </cell>
          <cell r="L6498" t="str">
            <v>HQ Salaries</v>
          </cell>
          <cell r="N6498" t="str">
            <v>SG&amp;A</v>
          </cell>
          <cell r="O6498" t="str">
            <v>[No Vendor]</v>
          </cell>
        </row>
        <row r="6499">
          <cell r="D6499">
            <v>343.68</v>
          </cell>
          <cell r="H6499">
            <v>45689</v>
          </cell>
          <cell r="I6499" t="str">
            <v>6040 - Employer Paid Benefits</v>
          </cell>
          <cell r="J6499">
            <v>0</v>
          </cell>
          <cell r="K6499" t="str">
            <v>Design</v>
          </cell>
          <cell r="L6499" t="str">
            <v>HQ Salaries</v>
          </cell>
          <cell r="N6499" t="str">
            <v>SG&amp;A</v>
          </cell>
          <cell r="O6499" t="str">
            <v>[No Vendor]</v>
          </cell>
        </row>
        <row r="6500">
          <cell r="D6500">
            <v>200.39</v>
          </cell>
          <cell r="H6500">
            <v>45689</v>
          </cell>
          <cell r="I6500" t="str">
            <v>6040 - Employer Paid Benefits</v>
          </cell>
          <cell r="J6500">
            <v>0</v>
          </cell>
          <cell r="K6500" t="str">
            <v>Administration</v>
          </cell>
          <cell r="L6500" t="str">
            <v>HQ Salaries</v>
          </cell>
          <cell r="N6500" t="str">
            <v>SG&amp;A</v>
          </cell>
          <cell r="O6500" t="str">
            <v>[No Vendor]</v>
          </cell>
        </row>
        <row r="6501">
          <cell r="D6501">
            <v>-5150</v>
          </cell>
          <cell r="H6501">
            <v>45689</v>
          </cell>
          <cell r="I6501" t="str">
            <v>6005 - Salaries</v>
          </cell>
          <cell r="J6501">
            <v>0</v>
          </cell>
          <cell r="K6501" t="str">
            <v>Merchandising</v>
          </cell>
          <cell r="L6501" t="str">
            <v>HQ Salaries</v>
          </cell>
          <cell r="N6501" t="str">
            <v>SG&amp;A</v>
          </cell>
          <cell r="O6501" t="str">
            <v>[No Vendor]</v>
          </cell>
        </row>
        <row r="6502">
          <cell r="D6502">
            <v>-11923.08</v>
          </cell>
          <cell r="H6502">
            <v>45689</v>
          </cell>
          <cell r="I6502" t="str">
            <v>6005 - Salaries</v>
          </cell>
          <cell r="J6502" t="str">
            <v>Wholesale</v>
          </cell>
          <cell r="K6502" t="str">
            <v>Wholesale</v>
          </cell>
          <cell r="L6502" t="str">
            <v>HQ Salaries</v>
          </cell>
          <cell r="N6502" t="str">
            <v>SG&amp;A</v>
          </cell>
          <cell r="O6502" t="str">
            <v>[No Vendor]</v>
          </cell>
        </row>
        <row r="6503">
          <cell r="D6503">
            <v>-19988.490000000002</v>
          </cell>
          <cell r="H6503">
            <v>45689</v>
          </cell>
          <cell r="I6503" t="str">
            <v>6005 - Salaries</v>
          </cell>
          <cell r="J6503">
            <v>0</v>
          </cell>
          <cell r="K6503" t="str">
            <v>Production</v>
          </cell>
          <cell r="L6503" t="str">
            <v>HQ Salaries</v>
          </cell>
          <cell r="N6503" t="str">
            <v>SG&amp;A</v>
          </cell>
          <cell r="O6503" t="str">
            <v>[No Vendor]</v>
          </cell>
        </row>
        <row r="6504">
          <cell r="D6504">
            <v>-3269.24</v>
          </cell>
          <cell r="H6504">
            <v>45689</v>
          </cell>
          <cell r="I6504" t="str">
            <v>6005 - Salaries</v>
          </cell>
          <cell r="J6504">
            <v>0</v>
          </cell>
          <cell r="K6504" t="str">
            <v>Brand Marketing</v>
          </cell>
          <cell r="L6504" t="str">
            <v>HQ Salaries</v>
          </cell>
          <cell r="N6504" t="str">
            <v>SG&amp;A</v>
          </cell>
          <cell r="O6504" t="str">
            <v>[No Vendor]</v>
          </cell>
        </row>
        <row r="6505">
          <cell r="D6505">
            <v>-11153.85</v>
          </cell>
          <cell r="H6505">
            <v>45689</v>
          </cell>
          <cell r="I6505" t="str">
            <v>6005 - Salaries</v>
          </cell>
          <cell r="J6505">
            <v>0</v>
          </cell>
          <cell r="K6505" t="str">
            <v>Executive</v>
          </cell>
          <cell r="L6505" t="str">
            <v>HQ Salaries</v>
          </cell>
          <cell r="N6505" t="str">
            <v>SG&amp;A</v>
          </cell>
          <cell r="O6505" t="str">
            <v>[No Vendor]</v>
          </cell>
        </row>
        <row r="6506">
          <cell r="D6506">
            <v>-20780.8</v>
          </cell>
          <cell r="H6506">
            <v>45689</v>
          </cell>
          <cell r="I6506" t="str">
            <v>6005 - Salaries</v>
          </cell>
          <cell r="J6506" t="str">
            <v>Ecommerce (US)</v>
          </cell>
          <cell r="K6506" t="str">
            <v>Ecommerce</v>
          </cell>
          <cell r="L6506" t="str">
            <v>HQ Salaries</v>
          </cell>
          <cell r="N6506" t="str">
            <v>SG&amp;A</v>
          </cell>
          <cell r="O6506" t="str">
            <v>[No Vendor]</v>
          </cell>
        </row>
        <row r="6507">
          <cell r="D6507">
            <v>-21388.47</v>
          </cell>
          <cell r="H6507">
            <v>45689</v>
          </cell>
          <cell r="I6507" t="str">
            <v>6005 - Salaries</v>
          </cell>
          <cell r="J6507">
            <v>0</v>
          </cell>
          <cell r="K6507" t="str">
            <v>Design</v>
          </cell>
          <cell r="L6507" t="str">
            <v>HQ Salaries</v>
          </cell>
          <cell r="N6507" t="str">
            <v>SG&amp;A</v>
          </cell>
          <cell r="O6507" t="str">
            <v>[No Vendor]</v>
          </cell>
        </row>
        <row r="6508">
          <cell r="D6508">
            <v>286.36</v>
          </cell>
          <cell r="H6508">
            <v>45689</v>
          </cell>
          <cell r="I6508" t="str">
            <v>6375 - Freight Expenses</v>
          </cell>
          <cell r="J6508" t="str">
            <v>Ecommerce (US)</v>
          </cell>
          <cell r="K6508" t="str">
            <v>Ecommerce</v>
          </cell>
          <cell r="L6508" t="str">
            <v>Freight</v>
          </cell>
          <cell r="N6508" t="str">
            <v>Direct Costs</v>
          </cell>
          <cell r="O6508" t="str">
            <v>UPS Supply Chain Solutions Inc. (7F24A0)</v>
          </cell>
        </row>
        <row r="6509">
          <cell r="D6509">
            <v>25000</v>
          </cell>
          <cell r="H6509">
            <v>45689</v>
          </cell>
          <cell r="I6509" t="str">
            <v>6215 - Recruitment</v>
          </cell>
          <cell r="J6509">
            <v>0</v>
          </cell>
          <cell r="K6509" t="str">
            <v>Administration</v>
          </cell>
          <cell r="L6509" t="str">
            <v>Professional Service</v>
          </cell>
          <cell r="N6509" t="str">
            <v>SG&amp;A</v>
          </cell>
          <cell r="O6509" t="str">
            <v>Janou Pakter</v>
          </cell>
        </row>
        <row r="6510">
          <cell r="D6510">
            <v>11797.46</v>
          </cell>
          <cell r="H6510">
            <v>45689</v>
          </cell>
          <cell r="I6510" t="str">
            <v>6225 - Professional Services</v>
          </cell>
          <cell r="J6510" t="str">
            <v>Ecommerce (US)</v>
          </cell>
          <cell r="K6510" t="str">
            <v>Ecommerce</v>
          </cell>
          <cell r="L6510" t="str">
            <v>Professional Service</v>
          </cell>
          <cell r="N6510" t="str">
            <v>Direct Costs</v>
          </cell>
          <cell r="O6510" t="str">
            <v>Rareview, LLC</v>
          </cell>
        </row>
        <row r="6511">
          <cell r="D6511">
            <v>-2302.3200000000002</v>
          </cell>
          <cell r="H6511">
            <v>45689</v>
          </cell>
          <cell r="I6511" t="str">
            <v>6040 - Employer Paid Benefits</v>
          </cell>
          <cell r="J6511">
            <v>0</v>
          </cell>
          <cell r="K6511" t="str">
            <v>Administration</v>
          </cell>
          <cell r="L6511" t="str">
            <v>HQ Salaries</v>
          </cell>
          <cell r="N6511" t="str">
            <v>SG&amp;A</v>
          </cell>
          <cell r="O6511" t="str">
            <v>[No Vendor]</v>
          </cell>
        </row>
        <row r="6512">
          <cell r="D6512">
            <v>1784.61</v>
          </cell>
          <cell r="H6512">
            <v>45689</v>
          </cell>
          <cell r="I6512" t="str">
            <v>6451 - Service Processing Fee</v>
          </cell>
          <cell r="J6512" t="str">
            <v>Wholesale</v>
          </cell>
          <cell r="K6512" t="str">
            <v>Wholesale</v>
          </cell>
          <cell r="L6512" t="str">
            <v>Professional Service</v>
          </cell>
          <cell r="N6512" t="str">
            <v>Direct Costs</v>
          </cell>
          <cell r="O6512" t="str">
            <v>Paymentech</v>
          </cell>
        </row>
        <row r="6513">
          <cell r="D6513">
            <v>-9.56</v>
          </cell>
          <cell r="H6513">
            <v>45689</v>
          </cell>
          <cell r="I6513" t="str">
            <v>6375 - Freight Expenses</v>
          </cell>
          <cell r="J6513" t="str">
            <v>Ecommerce (US)</v>
          </cell>
          <cell r="K6513" t="str">
            <v>Ecommerce</v>
          </cell>
          <cell r="L6513" t="str">
            <v>Freight</v>
          </cell>
          <cell r="N6513" t="str">
            <v>Direct Costs</v>
          </cell>
          <cell r="O6513" t="str">
            <v>UPS Supply Chain Solutions Inc. (7F24A0)</v>
          </cell>
        </row>
        <row r="6514">
          <cell r="D6514">
            <v>56</v>
          </cell>
          <cell r="H6514">
            <v>45689</v>
          </cell>
          <cell r="I6514" t="str">
            <v>6375 - Freight Expenses</v>
          </cell>
          <cell r="J6514" t="str">
            <v>Ecommerce (US)</v>
          </cell>
          <cell r="K6514" t="str">
            <v>Ecommerce</v>
          </cell>
          <cell r="L6514" t="str">
            <v>Freight</v>
          </cell>
          <cell r="N6514" t="str">
            <v>Direct Costs</v>
          </cell>
          <cell r="O6514" t="str">
            <v>UPS Supply Chain Solutions Inc. (7F24A0)</v>
          </cell>
        </row>
        <row r="6515">
          <cell r="D6515">
            <v>543.85</v>
          </cell>
          <cell r="H6515">
            <v>45689</v>
          </cell>
          <cell r="I6515" t="str">
            <v>6393 - Software</v>
          </cell>
          <cell r="J6515">
            <v>0</v>
          </cell>
          <cell r="K6515" t="str">
            <v>Administration</v>
          </cell>
          <cell r="L6515" t="str">
            <v>Professional Service</v>
          </cell>
          <cell r="N6515" t="str">
            <v>Direct Costs</v>
          </cell>
          <cell r="O6515" t="str">
            <v>Concur Technologies, Inc.</v>
          </cell>
        </row>
        <row r="6516">
          <cell r="D6516">
            <v>323.63</v>
          </cell>
          <cell r="H6516">
            <v>45689</v>
          </cell>
          <cell r="I6516" t="str">
            <v>6375 - Freight Expenses</v>
          </cell>
          <cell r="J6516" t="str">
            <v>Ecommerce (US)</v>
          </cell>
          <cell r="K6516" t="str">
            <v>Ecommerce</v>
          </cell>
          <cell r="L6516" t="str">
            <v>Freight</v>
          </cell>
          <cell r="N6516" t="str">
            <v>Direct Costs</v>
          </cell>
          <cell r="O6516" t="str">
            <v>UPS Supply Chain Solutions Inc. (7F24A0)</v>
          </cell>
        </row>
        <row r="6517">
          <cell r="D6517">
            <v>1245</v>
          </cell>
          <cell r="H6517">
            <v>45689</v>
          </cell>
          <cell r="I6517" t="str">
            <v>6393 - Software</v>
          </cell>
          <cell r="J6517">
            <v>0</v>
          </cell>
          <cell r="K6517" t="str">
            <v>Design</v>
          </cell>
          <cell r="L6517" t="str">
            <v>Professional Service</v>
          </cell>
          <cell r="N6517" t="str">
            <v>Direct Costs</v>
          </cell>
          <cell r="O6517" t="str">
            <v>Backbone</v>
          </cell>
        </row>
        <row r="6518">
          <cell r="D6518">
            <v>48.3</v>
          </cell>
          <cell r="H6518">
            <v>45689</v>
          </cell>
          <cell r="I6518" t="str">
            <v>6393 - Software</v>
          </cell>
          <cell r="J6518" t="str">
            <v>Wholesale</v>
          </cell>
          <cell r="K6518" t="str">
            <v>Wholesale</v>
          </cell>
          <cell r="L6518" t="str">
            <v>Professional Service</v>
          </cell>
          <cell r="N6518" t="str">
            <v>Direct Costs</v>
          </cell>
          <cell r="O6518" t="str">
            <v>Authorize.net</v>
          </cell>
        </row>
        <row r="6519">
          <cell r="D6519">
            <v>1779.84</v>
          </cell>
          <cell r="H6519">
            <v>45689</v>
          </cell>
          <cell r="I6519" t="str">
            <v>6393 - Software</v>
          </cell>
          <cell r="J6519">
            <v>0</v>
          </cell>
          <cell r="K6519" t="str">
            <v>Administration</v>
          </cell>
          <cell r="L6519" t="str">
            <v>Professional Service</v>
          </cell>
          <cell r="N6519" t="str">
            <v>Direct Costs</v>
          </cell>
          <cell r="O6519" t="str">
            <v>Adobe, Inc.</v>
          </cell>
        </row>
        <row r="6520">
          <cell r="D6520">
            <v>598</v>
          </cell>
          <cell r="H6520">
            <v>45689</v>
          </cell>
          <cell r="I6520" t="str">
            <v>6393 - Software</v>
          </cell>
          <cell r="J6520" t="str">
            <v>Ecommerce (US)</v>
          </cell>
          <cell r="K6520" t="str">
            <v>Ecommerce</v>
          </cell>
          <cell r="L6520" t="str">
            <v>Professional Service</v>
          </cell>
          <cell r="N6520" t="str">
            <v>Direct Costs</v>
          </cell>
          <cell r="O6520" t="str">
            <v>GODATAFEED</v>
          </cell>
        </row>
        <row r="6521">
          <cell r="D6521">
            <v>5379.36</v>
          </cell>
          <cell r="H6521">
            <v>45689</v>
          </cell>
          <cell r="I6521" t="str">
            <v>6393 - Software</v>
          </cell>
          <cell r="J6521" t="str">
            <v>Ecommerce (US)</v>
          </cell>
          <cell r="K6521" t="str">
            <v>Ecommerce</v>
          </cell>
          <cell r="L6521" t="str">
            <v>Professional Service</v>
          </cell>
          <cell r="N6521" t="str">
            <v>Direct Costs</v>
          </cell>
          <cell r="O6521" t="str">
            <v>Shopify</v>
          </cell>
        </row>
        <row r="6522">
          <cell r="D6522">
            <v>21.78</v>
          </cell>
          <cell r="H6522">
            <v>45689</v>
          </cell>
          <cell r="I6522" t="str">
            <v>6393 - Software</v>
          </cell>
          <cell r="J6522" t="str">
            <v>Ecommerce (US)</v>
          </cell>
          <cell r="K6522" t="str">
            <v>Ecommerce</v>
          </cell>
          <cell r="L6522" t="str">
            <v>Professional Service</v>
          </cell>
          <cell r="N6522" t="str">
            <v>Direct Costs</v>
          </cell>
          <cell r="O6522" t="str">
            <v>Chat GPT</v>
          </cell>
        </row>
        <row r="6523">
          <cell r="D6523">
            <v>2830.75</v>
          </cell>
          <cell r="H6523">
            <v>45689</v>
          </cell>
          <cell r="I6523" t="str">
            <v>6393 - Software</v>
          </cell>
          <cell r="J6523" t="str">
            <v>Ecommerce (US)</v>
          </cell>
          <cell r="K6523" t="str">
            <v>Ecommerce</v>
          </cell>
          <cell r="L6523" t="str">
            <v>Professional Service</v>
          </cell>
          <cell r="N6523" t="str">
            <v>Direct Costs</v>
          </cell>
          <cell r="O6523" t="str">
            <v>Klaviyo</v>
          </cell>
        </row>
        <row r="6524">
          <cell r="D6524">
            <v>159</v>
          </cell>
          <cell r="H6524">
            <v>45689</v>
          </cell>
          <cell r="I6524" t="str">
            <v>6393 - Software</v>
          </cell>
          <cell r="J6524" t="str">
            <v>Ecommerce (US)</v>
          </cell>
          <cell r="K6524" t="str">
            <v>Ecommerce</v>
          </cell>
          <cell r="L6524" t="str">
            <v>Professional Service</v>
          </cell>
          <cell r="N6524" t="str">
            <v>Direct Costs</v>
          </cell>
          <cell r="O6524" t="str">
            <v>INTEGRATION MANAGER</v>
          </cell>
        </row>
        <row r="6525">
          <cell r="D6525">
            <v>1012.54</v>
          </cell>
          <cell r="H6525">
            <v>45689</v>
          </cell>
          <cell r="I6525" t="str">
            <v>6393 - Software</v>
          </cell>
          <cell r="J6525" t="str">
            <v>Ecommerce (US)</v>
          </cell>
          <cell r="K6525" t="str">
            <v>Ecommerce</v>
          </cell>
          <cell r="L6525" t="str">
            <v>Professional Service</v>
          </cell>
          <cell r="N6525" t="str">
            <v>Direct Costs</v>
          </cell>
          <cell r="O6525" t="str">
            <v>Klaviyo</v>
          </cell>
        </row>
        <row r="6526">
          <cell r="D6526">
            <v>3551.71</v>
          </cell>
          <cell r="H6526">
            <v>45689</v>
          </cell>
          <cell r="I6526" t="str">
            <v>6393 - Software</v>
          </cell>
          <cell r="J6526" t="str">
            <v>Ecommerce (US)</v>
          </cell>
          <cell r="K6526" t="str">
            <v>Ecommerce</v>
          </cell>
          <cell r="L6526" t="str">
            <v>Professional Service</v>
          </cell>
          <cell r="N6526" t="str">
            <v>Direct Costs</v>
          </cell>
          <cell r="O6526" t="str">
            <v>Signifyd</v>
          </cell>
        </row>
        <row r="6527">
          <cell r="D6527">
            <v>1129.69</v>
          </cell>
          <cell r="H6527">
            <v>45689</v>
          </cell>
          <cell r="I6527" t="str">
            <v>6393 - Software</v>
          </cell>
          <cell r="J6527" t="str">
            <v>Ecommerce (US)</v>
          </cell>
          <cell r="K6527" t="str">
            <v>Ecommerce</v>
          </cell>
          <cell r="L6527" t="str">
            <v>Professional Service</v>
          </cell>
          <cell r="N6527" t="str">
            <v>Direct Costs</v>
          </cell>
          <cell r="O6527" t="str">
            <v>Google Cloud</v>
          </cell>
        </row>
        <row r="6528">
          <cell r="D6528">
            <v>31.4</v>
          </cell>
          <cell r="H6528">
            <v>45689</v>
          </cell>
          <cell r="I6528" t="str">
            <v>6340 - Miscellaneous Expense</v>
          </cell>
          <cell r="J6528">
            <v>0</v>
          </cell>
          <cell r="K6528" t="str">
            <v>Administration</v>
          </cell>
          <cell r="L6528" t="str">
            <v>Other</v>
          </cell>
          <cell r="N6528" t="str">
            <v>SG&amp;A</v>
          </cell>
          <cell r="O6528" t="str">
            <v>[No Vendor]</v>
          </cell>
        </row>
        <row r="6529">
          <cell r="D6529">
            <v>270</v>
          </cell>
          <cell r="H6529">
            <v>45689</v>
          </cell>
          <cell r="I6529" t="str">
            <v>6240 - Product Photography</v>
          </cell>
          <cell r="J6529" t="str">
            <v>Ecommerce (US)</v>
          </cell>
          <cell r="K6529" t="str">
            <v>Brand Marketing</v>
          </cell>
          <cell r="L6529" t="str">
            <v>Advertising</v>
          </cell>
          <cell r="N6529" t="str">
            <v>SG&amp;A</v>
          </cell>
          <cell r="O6529" t="str">
            <v>LENFLASH dot COM</v>
          </cell>
        </row>
        <row r="6530">
          <cell r="D6530">
            <v>70</v>
          </cell>
          <cell r="H6530">
            <v>45689</v>
          </cell>
          <cell r="I6530" t="str">
            <v>6240 - Product Photography</v>
          </cell>
          <cell r="J6530" t="str">
            <v>Ecommerce (US)</v>
          </cell>
          <cell r="K6530" t="str">
            <v>Brand Marketing</v>
          </cell>
          <cell r="L6530" t="str">
            <v>Advertising</v>
          </cell>
          <cell r="N6530" t="str">
            <v>SG&amp;A</v>
          </cell>
          <cell r="O6530" t="str">
            <v>LENFLASH dot COM</v>
          </cell>
        </row>
        <row r="6531">
          <cell r="D6531">
            <v>927.5</v>
          </cell>
          <cell r="H6531">
            <v>45689</v>
          </cell>
          <cell r="I6531" t="str">
            <v>6300 - Payroll Service Fees</v>
          </cell>
          <cell r="J6531">
            <v>0</v>
          </cell>
          <cell r="K6531" t="str">
            <v>Administration</v>
          </cell>
          <cell r="L6531" t="str">
            <v>Professional Service</v>
          </cell>
          <cell r="N6531" t="str">
            <v>SG&amp;A</v>
          </cell>
          <cell r="O6531" t="str">
            <v>OperationsInc, LLC</v>
          </cell>
        </row>
        <row r="6532">
          <cell r="D6532">
            <v>99.72</v>
          </cell>
          <cell r="H6532">
            <v>45689</v>
          </cell>
          <cell r="I6532" t="str">
            <v>6375 - Freight Expenses</v>
          </cell>
          <cell r="J6532">
            <v>0</v>
          </cell>
          <cell r="K6532" t="str">
            <v>Production</v>
          </cell>
          <cell r="L6532" t="str">
            <v>Freight</v>
          </cell>
          <cell r="N6532" t="str">
            <v>Direct Costs</v>
          </cell>
          <cell r="O6532" t="str">
            <v>DHL Express - USA</v>
          </cell>
        </row>
        <row r="6533">
          <cell r="D6533">
            <v>105.74</v>
          </cell>
          <cell r="H6533">
            <v>45689</v>
          </cell>
          <cell r="I6533" t="str">
            <v>6375 - Freight Expenses</v>
          </cell>
          <cell r="J6533">
            <v>0</v>
          </cell>
          <cell r="K6533" t="str">
            <v>Production</v>
          </cell>
          <cell r="L6533" t="str">
            <v>Freight</v>
          </cell>
          <cell r="N6533" t="str">
            <v>Direct Costs</v>
          </cell>
          <cell r="O6533" t="str">
            <v>DHL Express - USA</v>
          </cell>
        </row>
        <row r="6534">
          <cell r="D6534">
            <v>270.76</v>
          </cell>
          <cell r="H6534">
            <v>45689</v>
          </cell>
          <cell r="I6534" t="str">
            <v>6451 - Service Processing Fee</v>
          </cell>
          <cell r="J6534" t="str">
            <v>Ecommerce (US)</v>
          </cell>
          <cell r="K6534" t="str">
            <v>Ecommerce</v>
          </cell>
          <cell r="L6534" t="str">
            <v>Professional Service</v>
          </cell>
          <cell r="N6534" t="str">
            <v>Direct Costs</v>
          </cell>
          <cell r="O6534" t="str">
            <v>Shopify</v>
          </cell>
        </row>
        <row r="6535">
          <cell r="D6535">
            <v>78.08</v>
          </cell>
          <cell r="H6535">
            <v>45689</v>
          </cell>
          <cell r="I6535" t="str">
            <v>6375 - Freight Expenses</v>
          </cell>
          <cell r="J6535" t="str">
            <v>Ecommerce (US)</v>
          </cell>
          <cell r="K6535" t="str">
            <v>Ecommerce</v>
          </cell>
          <cell r="L6535" t="str">
            <v>Freight</v>
          </cell>
          <cell r="N6535" t="str">
            <v>Direct Costs</v>
          </cell>
          <cell r="O6535" t="str">
            <v>UPS Supply Chain Solutions Inc. (7F24A0)</v>
          </cell>
        </row>
        <row r="6536">
          <cell r="D6536">
            <v>146</v>
          </cell>
          <cell r="H6536">
            <v>45689</v>
          </cell>
          <cell r="I6536" t="str">
            <v>6393 - Software</v>
          </cell>
          <cell r="J6536" t="str">
            <v>Wholesale</v>
          </cell>
          <cell r="K6536" t="str">
            <v>Wholesale</v>
          </cell>
          <cell r="L6536" t="str">
            <v>Professional Service</v>
          </cell>
          <cell r="N6536" t="str">
            <v>Direct Costs</v>
          </cell>
          <cell r="O6536" t="str">
            <v>SPS Commerce</v>
          </cell>
        </row>
        <row r="6537">
          <cell r="D6537">
            <v>600</v>
          </cell>
          <cell r="H6537">
            <v>45689</v>
          </cell>
          <cell r="I6537" t="str">
            <v>6288 - Model</v>
          </cell>
          <cell r="J6537" t="str">
            <v>Ecommerce (US)</v>
          </cell>
          <cell r="K6537" t="str">
            <v>Brand Marketing</v>
          </cell>
          <cell r="L6537" t="str">
            <v>Advertising</v>
          </cell>
          <cell r="N6537" t="str">
            <v>SG&amp;A</v>
          </cell>
          <cell r="O6537" t="str">
            <v>State Artist Management</v>
          </cell>
        </row>
        <row r="6538">
          <cell r="D6538">
            <v>1450</v>
          </cell>
          <cell r="H6538">
            <v>45689</v>
          </cell>
          <cell r="I6538" t="str">
            <v>6240 - Product Photography</v>
          </cell>
          <cell r="J6538" t="str">
            <v>Ecommerce (US)</v>
          </cell>
          <cell r="K6538" t="str">
            <v>Brand Marketing</v>
          </cell>
          <cell r="L6538" t="str">
            <v>Advertising</v>
          </cell>
          <cell r="N6538" t="str">
            <v>SG&amp;A</v>
          </cell>
          <cell r="O6538" t="str">
            <v>LENFLASH dot COM</v>
          </cell>
        </row>
        <row r="6539">
          <cell r="D6539">
            <v>250.7</v>
          </cell>
          <cell r="H6539">
            <v>45689</v>
          </cell>
          <cell r="I6539" t="str">
            <v>6375 - Freight Expenses</v>
          </cell>
          <cell r="J6539" t="str">
            <v>Ecommerce (US)</v>
          </cell>
          <cell r="K6539" t="str">
            <v>Ecommerce</v>
          </cell>
          <cell r="L6539" t="str">
            <v>Freight</v>
          </cell>
          <cell r="N6539" t="str">
            <v>Direct Costs</v>
          </cell>
          <cell r="O6539" t="str">
            <v>UPS Supply Chain Solutions Inc. (7F24A0)</v>
          </cell>
        </row>
        <row r="6540">
          <cell r="D6540">
            <v>300</v>
          </cell>
          <cell r="H6540">
            <v>45689</v>
          </cell>
          <cell r="I6540" t="str">
            <v>6360 - Model - Fitting</v>
          </cell>
          <cell r="J6540" t="str">
            <v>Wholesale</v>
          </cell>
          <cell r="K6540" t="str">
            <v>Production</v>
          </cell>
          <cell r="L6540" t="str">
            <v>Sample</v>
          </cell>
          <cell r="N6540" t="str">
            <v>SG&amp;A</v>
          </cell>
          <cell r="O6540" t="str">
            <v>Lamar J Ballard</v>
          </cell>
        </row>
        <row r="6541">
          <cell r="D6541">
            <v>1990</v>
          </cell>
          <cell r="H6541">
            <v>45689</v>
          </cell>
          <cell r="I6541" t="str">
            <v>6240 - Product Photography</v>
          </cell>
          <cell r="J6541" t="str">
            <v>Ecommerce (US)</v>
          </cell>
          <cell r="K6541" t="str">
            <v>Brand Marketing</v>
          </cell>
          <cell r="L6541" t="str">
            <v>Advertising</v>
          </cell>
          <cell r="N6541" t="str">
            <v>SG&amp;A</v>
          </cell>
          <cell r="O6541" t="str">
            <v>LENFLASH dot COM</v>
          </cell>
        </row>
        <row r="6542">
          <cell r="D6542">
            <v>49.87</v>
          </cell>
          <cell r="H6542">
            <v>45689</v>
          </cell>
          <cell r="I6542" t="str">
            <v>6375 - Freight Expenses</v>
          </cell>
          <cell r="J6542">
            <v>0</v>
          </cell>
          <cell r="K6542" t="str">
            <v>Production</v>
          </cell>
          <cell r="L6542" t="str">
            <v>Freight</v>
          </cell>
          <cell r="N6542" t="str">
            <v>Direct Costs</v>
          </cell>
          <cell r="O6542" t="str">
            <v>DHL Express - USA</v>
          </cell>
        </row>
        <row r="6543">
          <cell r="D6543">
            <v>23.44</v>
          </cell>
          <cell r="H6543">
            <v>45689</v>
          </cell>
          <cell r="I6543" t="str">
            <v>8505 - Realized Gain/Loss</v>
          </cell>
          <cell r="J6543">
            <v>0</v>
          </cell>
          <cell r="K6543" t="str">
            <v>No Department</v>
          </cell>
          <cell r="L6543" t="str">
            <v>Realized Gain / Loss</v>
          </cell>
          <cell r="N6543" t="str">
            <v>BTL</v>
          </cell>
          <cell r="O6543" t="str">
            <v>[No Vendor]</v>
          </cell>
        </row>
        <row r="6544">
          <cell r="D6544">
            <v>3269.24</v>
          </cell>
          <cell r="H6544">
            <v>45689</v>
          </cell>
          <cell r="I6544" t="str">
            <v>6005 - Salaries</v>
          </cell>
          <cell r="J6544">
            <v>0</v>
          </cell>
          <cell r="K6544" t="str">
            <v>Brand Marketing</v>
          </cell>
          <cell r="L6544" t="str">
            <v>HQ Salaries</v>
          </cell>
          <cell r="N6544" t="str">
            <v>SG&amp;A</v>
          </cell>
          <cell r="O6544" t="str">
            <v>[No Vendor]</v>
          </cell>
        </row>
        <row r="6545">
          <cell r="D6545">
            <v>0</v>
          </cell>
          <cell r="H6545">
            <v>45689</v>
          </cell>
          <cell r="I6545" t="str">
            <v>6035 - Severance Expense</v>
          </cell>
          <cell r="J6545" t="str">
            <v>Wholesale</v>
          </cell>
          <cell r="K6545" t="str">
            <v>Wholesale</v>
          </cell>
          <cell r="L6545" t="str">
            <v>HQ Salaries</v>
          </cell>
          <cell r="N6545" t="str">
            <v>SG&amp;A</v>
          </cell>
          <cell r="O6545" t="str">
            <v>[No Vendor]</v>
          </cell>
        </row>
        <row r="6546">
          <cell r="D6546">
            <v>0</v>
          </cell>
          <cell r="H6546">
            <v>45689</v>
          </cell>
          <cell r="I6546" t="str">
            <v>6205 - Contractors</v>
          </cell>
          <cell r="J6546">
            <v>0</v>
          </cell>
          <cell r="K6546" t="str">
            <v>Design</v>
          </cell>
          <cell r="L6546" t="str">
            <v>HQ Salaries</v>
          </cell>
          <cell r="N6546" t="str">
            <v>SG&amp;A</v>
          </cell>
          <cell r="O6546" t="str">
            <v>[No Vendor]</v>
          </cell>
        </row>
        <row r="6547">
          <cell r="D6547">
            <v>14822</v>
          </cell>
          <cell r="H6547">
            <v>45689</v>
          </cell>
          <cell r="I6547" t="str">
            <v>6205 - Contractors</v>
          </cell>
          <cell r="J6547" t="str">
            <v>Ecommerce (US)</v>
          </cell>
          <cell r="K6547" t="str">
            <v>Ecommerce</v>
          </cell>
          <cell r="L6547" t="str">
            <v>HQ Salaries</v>
          </cell>
          <cell r="N6547" t="str">
            <v>SG&amp;A</v>
          </cell>
          <cell r="O6547" t="str">
            <v>[No Vendor]</v>
          </cell>
        </row>
        <row r="6548">
          <cell r="D6548">
            <v>18333.330000000002</v>
          </cell>
          <cell r="H6548">
            <v>45689</v>
          </cell>
          <cell r="I6548" t="str">
            <v>6205 - Contractors</v>
          </cell>
          <cell r="J6548">
            <v>0</v>
          </cell>
          <cell r="K6548" t="str">
            <v>Brand Marketing</v>
          </cell>
          <cell r="L6548" t="str">
            <v>HQ Salaries</v>
          </cell>
          <cell r="N6548" t="str">
            <v>SG&amp;A</v>
          </cell>
          <cell r="O6548" t="str">
            <v>[No Vendor]</v>
          </cell>
        </row>
        <row r="6549">
          <cell r="D6549">
            <v>2531.84</v>
          </cell>
          <cell r="H6549">
            <v>45689</v>
          </cell>
          <cell r="I6549" t="str">
            <v>6450 - Bank &amp; Other Fees</v>
          </cell>
          <cell r="J6549">
            <v>0</v>
          </cell>
          <cell r="K6549" t="str">
            <v>Administration</v>
          </cell>
          <cell r="L6549" t="str">
            <v>Professional Service</v>
          </cell>
          <cell r="N6549" t="str">
            <v>SG&amp;A</v>
          </cell>
          <cell r="O6549" t="str">
            <v>[No Vendor]</v>
          </cell>
        </row>
        <row r="6550">
          <cell r="D6550">
            <v>-88.99</v>
          </cell>
          <cell r="H6550">
            <v>45689</v>
          </cell>
          <cell r="I6550" t="str">
            <v>6385 - Insurance</v>
          </cell>
          <cell r="J6550">
            <v>0</v>
          </cell>
          <cell r="K6550" t="str">
            <v>Administration</v>
          </cell>
          <cell r="L6550" t="str">
            <v>Professional Service</v>
          </cell>
          <cell r="N6550" t="str">
            <v>SG&amp;A</v>
          </cell>
          <cell r="O6550" t="str">
            <v>[No Vendor]</v>
          </cell>
        </row>
        <row r="6551">
          <cell r="D6551">
            <v>-41.72</v>
          </cell>
          <cell r="H6551">
            <v>45689</v>
          </cell>
          <cell r="I6551" t="str">
            <v>6385 - Insurance</v>
          </cell>
          <cell r="J6551">
            <v>0</v>
          </cell>
          <cell r="K6551" t="str">
            <v>Administration</v>
          </cell>
          <cell r="L6551" t="str">
            <v>Professional Service</v>
          </cell>
          <cell r="N6551" t="str">
            <v>SG&amp;A</v>
          </cell>
          <cell r="O6551" t="str">
            <v>[No Vendor]</v>
          </cell>
        </row>
        <row r="6552">
          <cell r="D6552">
            <v>-44.48</v>
          </cell>
          <cell r="H6552">
            <v>45689</v>
          </cell>
          <cell r="I6552" t="str">
            <v>6385 - Insurance</v>
          </cell>
          <cell r="J6552">
            <v>0</v>
          </cell>
          <cell r="K6552" t="str">
            <v>Administration</v>
          </cell>
          <cell r="L6552" t="str">
            <v>Professional Service</v>
          </cell>
          <cell r="N6552" t="str">
            <v>SG&amp;A</v>
          </cell>
          <cell r="O6552" t="str">
            <v>[No Vendor]</v>
          </cell>
        </row>
        <row r="6553">
          <cell r="D6553">
            <v>-43.2</v>
          </cell>
          <cell r="H6553">
            <v>45689</v>
          </cell>
          <cell r="I6553" t="str">
            <v>6385 - Insurance</v>
          </cell>
          <cell r="J6553">
            <v>0</v>
          </cell>
          <cell r="K6553" t="str">
            <v>Administration</v>
          </cell>
          <cell r="L6553" t="str">
            <v>Professional Service</v>
          </cell>
          <cell r="N6553" t="str">
            <v>SG&amp;A</v>
          </cell>
          <cell r="O6553" t="str">
            <v>[No Vendor]</v>
          </cell>
        </row>
        <row r="6554">
          <cell r="D6554">
            <v>-21.18</v>
          </cell>
          <cell r="H6554">
            <v>45689</v>
          </cell>
          <cell r="I6554" t="str">
            <v>6385 - Insurance</v>
          </cell>
          <cell r="J6554">
            <v>0</v>
          </cell>
          <cell r="K6554" t="str">
            <v>Administration</v>
          </cell>
          <cell r="L6554" t="str">
            <v>Professional Service</v>
          </cell>
          <cell r="N6554" t="str">
            <v>SG&amp;A</v>
          </cell>
          <cell r="O6554" t="str">
            <v>[No Vendor]</v>
          </cell>
        </row>
        <row r="6555">
          <cell r="D6555">
            <v>-48.66</v>
          </cell>
          <cell r="H6555">
            <v>45689</v>
          </cell>
          <cell r="I6555" t="str">
            <v>6385 - Insurance</v>
          </cell>
          <cell r="J6555">
            <v>0</v>
          </cell>
          <cell r="K6555" t="str">
            <v>Administration</v>
          </cell>
          <cell r="L6555" t="str">
            <v>Professional Service</v>
          </cell>
          <cell r="N6555" t="str">
            <v>SG&amp;A</v>
          </cell>
          <cell r="O6555" t="str">
            <v>[No Vendor]</v>
          </cell>
        </row>
        <row r="6556">
          <cell r="D6556">
            <v>-82.34</v>
          </cell>
          <cell r="H6556">
            <v>45689</v>
          </cell>
          <cell r="I6556" t="str">
            <v>6385 - Insurance</v>
          </cell>
          <cell r="J6556">
            <v>0</v>
          </cell>
          <cell r="K6556" t="str">
            <v>Administration</v>
          </cell>
          <cell r="L6556" t="str">
            <v>Professional Service</v>
          </cell>
          <cell r="N6556" t="str">
            <v>SG&amp;A</v>
          </cell>
          <cell r="O6556" t="str">
            <v>[No Vendor]</v>
          </cell>
        </row>
        <row r="6557">
          <cell r="D6557">
            <v>-13.88</v>
          </cell>
          <cell r="H6557">
            <v>45689</v>
          </cell>
          <cell r="I6557" t="str">
            <v>6385 - Insurance</v>
          </cell>
          <cell r="J6557">
            <v>0</v>
          </cell>
          <cell r="K6557" t="str">
            <v>Administration</v>
          </cell>
          <cell r="L6557" t="str">
            <v>Professional Service</v>
          </cell>
          <cell r="N6557" t="str">
            <v>SG&amp;A</v>
          </cell>
          <cell r="O6557" t="str">
            <v>[No Vendor]</v>
          </cell>
        </row>
        <row r="6558">
          <cell r="D6558">
            <v>3063.61</v>
          </cell>
          <cell r="H6558">
            <v>45689</v>
          </cell>
          <cell r="I6558" t="str">
            <v>6055 - Employer Social Security Tax Withheld</v>
          </cell>
          <cell r="J6558">
            <v>0</v>
          </cell>
          <cell r="K6558" t="str">
            <v>Administration</v>
          </cell>
          <cell r="L6558" t="str">
            <v>HQ Salaries</v>
          </cell>
          <cell r="N6558" t="str">
            <v>SG&amp;A</v>
          </cell>
          <cell r="O6558" t="str">
            <v>[No Vendor]</v>
          </cell>
        </row>
        <row r="6559">
          <cell r="D6559">
            <v>2676.35</v>
          </cell>
          <cell r="H6559">
            <v>45689</v>
          </cell>
          <cell r="I6559" t="str">
            <v>6055 - Employer Social Security Tax Withheld</v>
          </cell>
          <cell r="J6559" t="str">
            <v>Ecommerce (US)</v>
          </cell>
          <cell r="K6559" t="str">
            <v>Ecommerce</v>
          </cell>
          <cell r="L6559" t="str">
            <v>HQ Salaries</v>
          </cell>
          <cell r="N6559" t="str">
            <v>SG&amp;A</v>
          </cell>
          <cell r="O6559" t="str">
            <v>[No Vendor]</v>
          </cell>
        </row>
        <row r="6560">
          <cell r="D6560">
            <v>2679.97</v>
          </cell>
          <cell r="H6560">
            <v>45689</v>
          </cell>
          <cell r="I6560" t="str">
            <v>6055 - Employer Social Security Tax Withheld</v>
          </cell>
          <cell r="J6560">
            <v>0</v>
          </cell>
          <cell r="K6560" t="str">
            <v>Design</v>
          </cell>
          <cell r="L6560" t="str">
            <v>HQ Salaries</v>
          </cell>
          <cell r="N6560" t="str">
            <v>SG&amp;A</v>
          </cell>
          <cell r="O6560" t="str">
            <v>[No Vendor]</v>
          </cell>
        </row>
        <row r="6561">
          <cell r="D6561">
            <v>686.88</v>
          </cell>
          <cell r="H6561">
            <v>45689</v>
          </cell>
          <cell r="I6561" t="str">
            <v>6055 - Employer Social Security Tax Withheld</v>
          </cell>
          <cell r="J6561">
            <v>0</v>
          </cell>
          <cell r="K6561" t="str">
            <v>Merchandising</v>
          </cell>
          <cell r="L6561" t="str">
            <v>HQ Salaries</v>
          </cell>
          <cell r="N6561" t="str">
            <v>SG&amp;A</v>
          </cell>
          <cell r="O6561" t="str">
            <v>[No Vendor]</v>
          </cell>
        </row>
        <row r="6562">
          <cell r="D6562">
            <v>1413.71</v>
          </cell>
          <cell r="H6562">
            <v>45689</v>
          </cell>
          <cell r="I6562" t="str">
            <v>6055 - Employer Social Security Tax Withheld</v>
          </cell>
          <cell r="J6562" t="str">
            <v>Wholesale</v>
          </cell>
          <cell r="K6562" t="str">
            <v>Wholesale</v>
          </cell>
          <cell r="L6562" t="str">
            <v>HQ Salaries</v>
          </cell>
          <cell r="N6562" t="str">
            <v>SG&amp;A</v>
          </cell>
          <cell r="O6562" t="str">
            <v>[No Vendor]</v>
          </cell>
        </row>
        <row r="6563">
          <cell r="D6563">
            <v>2636.03</v>
          </cell>
          <cell r="H6563">
            <v>45689</v>
          </cell>
          <cell r="I6563" t="str">
            <v>6055 - Employer Social Security Tax Withheld</v>
          </cell>
          <cell r="J6563">
            <v>0</v>
          </cell>
          <cell r="K6563" t="str">
            <v>Production</v>
          </cell>
          <cell r="L6563" t="str">
            <v>HQ Salaries</v>
          </cell>
          <cell r="N6563" t="str">
            <v>SG&amp;A</v>
          </cell>
          <cell r="O6563" t="str">
            <v>[No Vendor]</v>
          </cell>
        </row>
        <row r="6564">
          <cell r="D6564">
            <v>509.55</v>
          </cell>
          <cell r="H6564">
            <v>45689</v>
          </cell>
          <cell r="I6564" t="str">
            <v>6055 - Employer Social Security Tax Withheld</v>
          </cell>
          <cell r="J6564">
            <v>0</v>
          </cell>
          <cell r="K6564" t="str">
            <v>Brand Marketing</v>
          </cell>
          <cell r="L6564" t="str">
            <v>HQ Salaries</v>
          </cell>
          <cell r="N6564" t="str">
            <v>SG&amp;A</v>
          </cell>
          <cell r="O6564" t="str">
            <v>[No Vendor]</v>
          </cell>
        </row>
        <row r="6565">
          <cell r="D6565">
            <v>1181.97</v>
          </cell>
          <cell r="H6565">
            <v>45689</v>
          </cell>
          <cell r="I6565" t="str">
            <v>6055 - Employer Social Security Tax Withheld</v>
          </cell>
          <cell r="J6565">
            <v>0</v>
          </cell>
          <cell r="K6565" t="str">
            <v>Executive</v>
          </cell>
          <cell r="L6565" t="str">
            <v>HQ Salaries</v>
          </cell>
          <cell r="N6565" t="str">
            <v>SG&amp;A</v>
          </cell>
          <cell r="O6565" t="str">
            <v>[No Vendor]</v>
          </cell>
        </row>
        <row r="6566">
          <cell r="D6566">
            <v>-200.39</v>
          </cell>
          <cell r="H6566">
            <v>45689</v>
          </cell>
          <cell r="I6566" t="str">
            <v>6040 - Employer Paid Benefits</v>
          </cell>
          <cell r="J6566">
            <v>0</v>
          </cell>
          <cell r="K6566" t="str">
            <v>Administration</v>
          </cell>
          <cell r="L6566" t="str">
            <v>HQ Salaries</v>
          </cell>
          <cell r="N6566" t="str">
            <v>SG&amp;A</v>
          </cell>
          <cell r="O6566" t="str">
            <v>[No Vendor]</v>
          </cell>
        </row>
        <row r="6567">
          <cell r="D6567">
            <v>-234.27</v>
          </cell>
          <cell r="H6567">
            <v>45689</v>
          </cell>
          <cell r="I6567" t="str">
            <v>6040 - Employer Paid Benefits</v>
          </cell>
          <cell r="J6567">
            <v>0</v>
          </cell>
          <cell r="K6567" t="str">
            <v>Executive</v>
          </cell>
          <cell r="L6567" t="str">
            <v>HQ Salaries</v>
          </cell>
          <cell r="N6567" t="str">
            <v>SG&amp;A</v>
          </cell>
          <cell r="O6567" t="str">
            <v>[No Vendor]</v>
          </cell>
        </row>
        <row r="6568">
          <cell r="D6568">
            <v>-121.85</v>
          </cell>
          <cell r="H6568">
            <v>45689</v>
          </cell>
          <cell r="I6568" t="str">
            <v>6040 - Employer Paid Benefits</v>
          </cell>
          <cell r="J6568" t="str">
            <v>Ecommerce (US)</v>
          </cell>
          <cell r="K6568" t="str">
            <v>Ecommerce</v>
          </cell>
          <cell r="L6568" t="str">
            <v>HQ Salaries</v>
          </cell>
          <cell r="N6568" t="str">
            <v>SG&amp;A</v>
          </cell>
          <cell r="O6568" t="str">
            <v>[No Vendor]</v>
          </cell>
        </row>
        <row r="6569">
          <cell r="D6569">
            <v>-343.68</v>
          </cell>
          <cell r="H6569">
            <v>45689</v>
          </cell>
          <cell r="I6569" t="str">
            <v>6040 - Employer Paid Benefits</v>
          </cell>
          <cell r="J6569">
            <v>0</v>
          </cell>
          <cell r="K6569" t="str">
            <v>Design</v>
          </cell>
          <cell r="L6569" t="str">
            <v>HQ Salaries</v>
          </cell>
          <cell r="N6569" t="str">
            <v>SG&amp;A</v>
          </cell>
          <cell r="O6569" t="str">
            <v>[No Vendor]</v>
          </cell>
        </row>
        <row r="6570">
          <cell r="D6570">
            <v>0</v>
          </cell>
          <cell r="H6570">
            <v>45689</v>
          </cell>
          <cell r="I6570" t="str">
            <v>6040 - Employer Paid Benefits</v>
          </cell>
          <cell r="J6570">
            <v>0</v>
          </cell>
          <cell r="K6570" t="str">
            <v>Merchandising</v>
          </cell>
          <cell r="L6570" t="str">
            <v>HQ Salaries</v>
          </cell>
          <cell r="N6570" t="str">
            <v>SG&amp;A</v>
          </cell>
          <cell r="O6570" t="str">
            <v>[No Vendor]</v>
          </cell>
        </row>
        <row r="6571">
          <cell r="D6571">
            <v>-64.92</v>
          </cell>
          <cell r="H6571">
            <v>45689</v>
          </cell>
          <cell r="I6571" t="str">
            <v>6040 - Employer Paid Benefits</v>
          </cell>
          <cell r="J6571" t="str">
            <v>Wholesale</v>
          </cell>
          <cell r="K6571" t="str">
            <v>Wholesale</v>
          </cell>
          <cell r="L6571" t="str">
            <v>HQ Salaries</v>
          </cell>
          <cell r="N6571" t="str">
            <v>SG&amp;A</v>
          </cell>
          <cell r="O6571" t="str">
            <v>[No Vendor]</v>
          </cell>
        </row>
        <row r="6572">
          <cell r="D6572">
            <v>-285.62</v>
          </cell>
          <cell r="H6572">
            <v>45689</v>
          </cell>
          <cell r="I6572" t="str">
            <v>6040 - Employer Paid Benefits</v>
          </cell>
          <cell r="J6572">
            <v>0</v>
          </cell>
          <cell r="K6572" t="str">
            <v>Production</v>
          </cell>
          <cell r="L6572" t="str">
            <v>HQ Salaries</v>
          </cell>
          <cell r="N6572" t="str">
            <v>SG&amp;A</v>
          </cell>
          <cell r="O6572" t="str">
            <v>[No Vendor]</v>
          </cell>
        </row>
        <row r="6573">
          <cell r="D6573">
            <v>-22.58</v>
          </cell>
          <cell r="H6573">
            <v>45689</v>
          </cell>
          <cell r="I6573" t="str">
            <v>6040 - Employer Paid Benefits</v>
          </cell>
          <cell r="J6573">
            <v>0</v>
          </cell>
          <cell r="K6573" t="str">
            <v>Brand Marketing</v>
          </cell>
          <cell r="L6573" t="str">
            <v>HQ Salaries</v>
          </cell>
          <cell r="N6573" t="str">
            <v>SG&amp;A</v>
          </cell>
          <cell r="O6573" t="str">
            <v>[No Vendor]</v>
          </cell>
        </row>
        <row r="6574">
          <cell r="D6574">
            <v>21388.47</v>
          </cell>
          <cell r="H6574">
            <v>45689</v>
          </cell>
          <cell r="I6574" t="str">
            <v>6005 - Salaries</v>
          </cell>
          <cell r="J6574">
            <v>0</v>
          </cell>
          <cell r="K6574" t="str">
            <v>Design</v>
          </cell>
          <cell r="L6574" t="str">
            <v>HQ Salaries</v>
          </cell>
          <cell r="N6574" t="str">
            <v>SG&amp;A</v>
          </cell>
          <cell r="O6574" t="str">
            <v>[No Vendor]</v>
          </cell>
        </row>
        <row r="6575">
          <cell r="D6575">
            <v>27015.41</v>
          </cell>
          <cell r="H6575">
            <v>45689</v>
          </cell>
          <cell r="I6575" t="str">
            <v>6005 - Salaries</v>
          </cell>
          <cell r="J6575">
            <v>0</v>
          </cell>
          <cell r="K6575" t="str">
            <v>Administration</v>
          </cell>
          <cell r="L6575" t="str">
            <v>HQ Salaries</v>
          </cell>
          <cell r="N6575" t="str">
            <v>SG&amp;A</v>
          </cell>
          <cell r="O6575" t="str">
            <v>[No Vendor]</v>
          </cell>
        </row>
        <row r="6576">
          <cell r="D6576">
            <v>11153.85</v>
          </cell>
          <cell r="H6576">
            <v>45689</v>
          </cell>
          <cell r="I6576" t="str">
            <v>6005 - Salaries</v>
          </cell>
          <cell r="J6576">
            <v>0</v>
          </cell>
          <cell r="K6576" t="str">
            <v>Executive</v>
          </cell>
          <cell r="L6576" t="str">
            <v>HQ Salaries</v>
          </cell>
          <cell r="N6576" t="str">
            <v>SG&amp;A</v>
          </cell>
          <cell r="O6576" t="str">
            <v>[No Vendor]</v>
          </cell>
        </row>
        <row r="6577">
          <cell r="D6577">
            <v>20780.8</v>
          </cell>
          <cell r="H6577">
            <v>45689</v>
          </cell>
          <cell r="I6577" t="str">
            <v>6005 - Salaries</v>
          </cell>
          <cell r="J6577" t="str">
            <v>Ecommerce (US)</v>
          </cell>
          <cell r="K6577" t="str">
            <v>Ecommerce</v>
          </cell>
          <cell r="L6577" t="str">
            <v>HQ Salaries</v>
          </cell>
          <cell r="N6577" t="str">
            <v>SG&amp;A</v>
          </cell>
          <cell r="O6577" t="str">
            <v>[No Vendor]</v>
          </cell>
        </row>
        <row r="6578">
          <cell r="D6578">
            <v>5150</v>
          </cell>
          <cell r="H6578">
            <v>45689</v>
          </cell>
          <cell r="I6578" t="str">
            <v>6005 - Salaries</v>
          </cell>
          <cell r="J6578">
            <v>0</v>
          </cell>
          <cell r="K6578" t="str">
            <v>Merchandising</v>
          </cell>
          <cell r="L6578" t="str">
            <v>HQ Salaries</v>
          </cell>
          <cell r="N6578" t="str">
            <v>SG&amp;A</v>
          </cell>
          <cell r="O6578" t="str">
            <v>[No Vendor]</v>
          </cell>
        </row>
        <row r="6579">
          <cell r="D6579">
            <v>11923.08</v>
          </cell>
          <cell r="H6579">
            <v>45689</v>
          </cell>
          <cell r="I6579" t="str">
            <v>6005 - Salaries</v>
          </cell>
          <cell r="J6579" t="str">
            <v>Wholesale</v>
          </cell>
          <cell r="K6579" t="str">
            <v>Wholesale</v>
          </cell>
          <cell r="L6579" t="str">
            <v>HQ Salaries</v>
          </cell>
          <cell r="N6579" t="str">
            <v>SG&amp;A</v>
          </cell>
          <cell r="O6579" t="str">
            <v>[No Vendor]</v>
          </cell>
        </row>
        <row r="6580">
          <cell r="D6580">
            <v>19988.490000000002</v>
          </cell>
          <cell r="H6580">
            <v>45689</v>
          </cell>
          <cell r="I6580" t="str">
            <v>6005 - Salaries</v>
          </cell>
          <cell r="J6580">
            <v>0</v>
          </cell>
          <cell r="K6580" t="str">
            <v>Production</v>
          </cell>
          <cell r="L6580" t="str">
            <v>HQ Salaries</v>
          </cell>
          <cell r="N6580" t="str">
            <v>SG&amp;A</v>
          </cell>
          <cell r="O6580" t="str">
            <v>[No Vendor]</v>
          </cell>
        </row>
        <row r="6581">
          <cell r="D6581">
            <v>693.43</v>
          </cell>
          <cell r="H6581">
            <v>45689</v>
          </cell>
          <cell r="I6581" t="str">
            <v>6375 - Freight Expenses</v>
          </cell>
          <cell r="J6581" t="str">
            <v>Wholesale</v>
          </cell>
          <cell r="K6581" t="str">
            <v>Wholesale</v>
          </cell>
          <cell r="L6581" t="str">
            <v>Freight</v>
          </cell>
          <cell r="N6581" t="str">
            <v>Direct Costs</v>
          </cell>
          <cell r="O6581" t="str">
            <v>UPS Supply Chain Solutions Inc. (7F24A0)</v>
          </cell>
        </row>
        <row r="6582">
          <cell r="D6582">
            <v>20145.939999999999</v>
          </cell>
          <cell r="H6582">
            <v>45689</v>
          </cell>
          <cell r="I6582" t="str">
            <v>6375 - Freight Expenses</v>
          </cell>
          <cell r="J6582" t="str">
            <v>Ecommerce (US)</v>
          </cell>
          <cell r="K6582" t="str">
            <v>Ecommerce</v>
          </cell>
          <cell r="L6582" t="str">
            <v>Freight</v>
          </cell>
          <cell r="N6582" t="str">
            <v>Direct Costs</v>
          </cell>
          <cell r="O6582" t="str">
            <v>UPS Supply Chain Solutions Inc. (7F24A0)</v>
          </cell>
        </row>
        <row r="6583">
          <cell r="D6583">
            <v>77.3</v>
          </cell>
          <cell r="H6583">
            <v>45689</v>
          </cell>
          <cell r="I6583" t="str">
            <v>6040 - Employer Paid Benefits</v>
          </cell>
          <cell r="J6583">
            <v>0</v>
          </cell>
          <cell r="K6583" t="str">
            <v>Administration</v>
          </cell>
          <cell r="L6583" t="str">
            <v>HQ Salaries</v>
          </cell>
          <cell r="N6583" t="str">
            <v>SG&amp;A</v>
          </cell>
          <cell r="O6583" t="str">
            <v>Procyon Benefits LLC</v>
          </cell>
        </row>
        <row r="6584">
          <cell r="D6584">
            <v>1034.31</v>
          </cell>
          <cell r="H6584">
            <v>45689</v>
          </cell>
          <cell r="I6584" t="str">
            <v>6340 - Miscellaneous Expense</v>
          </cell>
          <cell r="J6584">
            <v>0</v>
          </cell>
          <cell r="K6584" t="str">
            <v>Administration</v>
          </cell>
          <cell r="L6584" t="str">
            <v>Other</v>
          </cell>
          <cell r="N6584" t="str">
            <v>SG&amp;A</v>
          </cell>
          <cell r="O6584" t="str">
            <v>Go Gleem LLC</v>
          </cell>
        </row>
        <row r="6585">
          <cell r="D6585">
            <v>42.7</v>
          </cell>
          <cell r="H6585">
            <v>45689</v>
          </cell>
          <cell r="I6585" t="str">
            <v>6375 - Freight Expenses</v>
          </cell>
          <cell r="J6585" t="str">
            <v>Ecommerce (US)</v>
          </cell>
          <cell r="K6585" t="str">
            <v>Ecommerce</v>
          </cell>
          <cell r="L6585" t="str">
            <v>Freight</v>
          </cell>
          <cell r="N6585" t="str">
            <v>Direct Costs</v>
          </cell>
          <cell r="O6585" t="str">
            <v>UPS Supply Chain Solutions Inc. (7F24A0)</v>
          </cell>
        </row>
        <row r="6586">
          <cell r="D6586">
            <v>827.88</v>
          </cell>
          <cell r="H6586">
            <v>45689</v>
          </cell>
          <cell r="I6586" t="str">
            <v>6040 - Employer Paid Benefits</v>
          </cell>
          <cell r="J6586" t="str">
            <v>Wholesale</v>
          </cell>
          <cell r="K6586" t="str">
            <v>Wholesale</v>
          </cell>
          <cell r="L6586" t="str">
            <v>HQ Salaries</v>
          </cell>
          <cell r="N6586" t="str">
            <v>SG&amp;A</v>
          </cell>
          <cell r="O6586" t="str">
            <v>Procyon Benefits LLC</v>
          </cell>
        </row>
        <row r="6587">
          <cell r="D6587">
            <v>1164.1500000000001</v>
          </cell>
          <cell r="H6587">
            <v>45689</v>
          </cell>
          <cell r="I6587" t="str">
            <v>6040 - Employer Paid Benefits</v>
          </cell>
          <cell r="J6587">
            <v>0</v>
          </cell>
          <cell r="K6587" t="str">
            <v>Production</v>
          </cell>
          <cell r="L6587" t="str">
            <v>HQ Salaries</v>
          </cell>
          <cell r="N6587" t="str">
            <v>SG&amp;A</v>
          </cell>
          <cell r="O6587" t="str">
            <v>Procyon Benefits LLC</v>
          </cell>
        </row>
        <row r="6588">
          <cell r="D6588">
            <v>140</v>
          </cell>
          <cell r="H6588">
            <v>45689</v>
          </cell>
          <cell r="I6588" t="str">
            <v>6040 - Employer Paid Benefits</v>
          </cell>
          <cell r="J6588">
            <v>0</v>
          </cell>
          <cell r="K6588" t="str">
            <v>Merchandising</v>
          </cell>
          <cell r="L6588" t="str">
            <v>HQ Salaries</v>
          </cell>
          <cell r="N6588" t="str">
            <v>SG&amp;A</v>
          </cell>
          <cell r="O6588" t="str">
            <v>Procyon Benefits LLC</v>
          </cell>
        </row>
        <row r="6589">
          <cell r="D6589">
            <v>21.75</v>
          </cell>
          <cell r="H6589">
            <v>45689</v>
          </cell>
          <cell r="I6589" t="str">
            <v>6040 - Employer Paid Benefits</v>
          </cell>
          <cell r="J6589" t="str">
            <v>Ecommerce (US)</v>
          </cell>
          <cell r="K6589" t="str">
            <v>Ecommerce</v>
          </cell>
          <cell r="L6589" t="str">
            <v>HQ Salaries</v>
          </cell>
          <cell r="N6589" t="str">
            <v>SG&amp;A</v>
          </cell>
          <cell r="O6589" t="str">
            <v>Procyon Benefits LLC</v>
          </cell>
        </row>
        <row r="6590">
          <cell r="D6590">
            <v>785.89</v>
          </cell>
          <cell r="H6590">
            <v>45689</v>
          </cell>
          <cell r="I6590" t="str">
            <v>6040 - Employer Paid Benefits</v>
          </cell>
          <cell r="J6590">
            <v>0</v>
          </cell>
          <cell r="K6590" t="str">
            <v>Executive</v>
          </cell>
          <cell r="L6590" t="str">
            <v>HQ Salaries</v>
          </cell>
          <cell r="N6590" t="str">
            <v>SG&amp;A</v>
          </cell>
          <cell r="O6590" t="str">
            <v>Procyon Benefits LLC</v>
          </cell>
        </row>
        <row r="6591">
          <cell r="D6591">
            <v>12762.29</v>
          </cell>
          <cell r="H6591">
            <v>45689</v>
          </cell>
          <cell r="I6591" t="str">
            <v>8700 - Other Expense</v>
          </cell>
          <cell r="J6591">
            <v>0</v>
          </cell>
          <cell r="K6591" t="str">
            <v>Administration</v>
          </cell>
          <cell r="L6591" t="str">
            <v>Other Expense</v>
          </cell>
          <cell r="N6591" t="str">
            <v>BTL</v>
          </cell>
          <cell r="O6591" t="str">
            <v>[No Vendor]</v>
          </cell>
        </row>
        <row r="6592">
          <cell r="D6592">
            <v>24.36</v>
          </cell>
          <cell r="H6592">
            <v>45689</v>
          </cell>
          <cell r="I6592" t="str">
            <v>6375 - Freight Expenses</v>
          </cell>
          <cell r="J6592">
            <v>0</v>
          </cell>
          <cell r="K6592" t="str">
            <v>Production</v>
          </cell>
          <cell r="L6592" t="str">
            <v>Freight</v>
          </cell>
          <cell r="N6592" t="str">
            <v>Direct Costs</v>
          </cell>
          <cell r="O6592" t="str">
            <v>DHL Express - USA</v>
          </cell>
        </row>
        <row r="6593">
          <cell r="D6593">
            <v>21.78</v>
          </cell>
          <cell r="H6593">
            <v>45689</v>
          </cell>
          <cell r="I6593" t="str">
            <v>6393 - Software</v>
          </cell>
          <cell r="J6593">
            <v>0</v>
          </cell>
          <cell r="K6593" t="str">
            <v>Executive</v>
          </cell>
          <cell r="L6593" t="str">
            <v>Professional Service</v>
          </cell>
          <cell r="N6593" t="str">
            <v>Direct Costs</v>
          </cell>
          <cell r="O6593" t="str">
            <v>Chat GPT</v>
          </cell>
        </row>
        <row r="6594">
          <cell r="D6594">
            <v>4500</v>
          </cell>
          <cell r="H6594">
            <v>45689</v>
          </cell>
          <cell r="I6594" t="str">
            <v>6225 - Professional Services</v>
          </cell>
          <cell r="J6594" t="str">
            <v>Ecommerce (US)</v>
          </cell>
          <cell r="K6594" t="str">
            <v>Ecommerce</v>
          </cell>
          <cell r="L6594" t="str">
            <v>Professional Service</v>
          </cell>
          <cell r="N6594" t="str">
            <v>Direct Costs</v>
          </cell>
          <cell r="O6594" t="str">
            <v>Freeflow LLC</v>
          </cell>
        </row>
        <row r="6595">
          <cell r="D6595">
            <v>13.86</v>
          </cell>
          <cell r="H6595">
            <v>45689</v>
          </cell>
          <cell r="I6595" t="str">
            <v>6125 - Transportation and Fuel</v>
          </cell>
          <cell r="J6595">
            <v>0</v>
          </cell>
          <cell r="K6595" t="str">
            <v>Executive</v>
          </cell>
          <cell r="L6595" t="str">
            <v>T&amp;E</v>
          </cell>
          <cell r="N6595" t="str">
            <v>SG&amp;A</v>
          </cell>
          <cell r="O6595" t="str">
            <v>[No Vendor]</v>
          </cell>
        </row>
        <row r="6596">
          <cell r="D6596">
            <v>119.84</v>
          </cell>
          <cell r="H6596">
            <v>45689</v>
          </cell>
          <cell r="I6596" t="str">
            <v>6105 - Meals</v>
          </cell>
          <cell r="J6596">
            <v>0</v>
          </cell>
          <cell r="K6596" t="str">
            <v>Executive</v>
          </cell>
          <cell r="L6596" t="str">
            <v>T&amp;E</v>
          </cell>
          <cell r="N6596" t="str">
            <v>SG&amp;A</v>
          </cell>
          <cell r="O6596" t="str">
            <v>[No Vendor]</v>
          </cell>
        </row>
        <row r="6597">
          <cell r="D6597">
            <v>61.26</v>
          </cell>
          <cell r="H6597">
            <v>45689</v>
          </cell>
          <cell r="I6597" t="str">
            <v>6105 - Meals</v>
          </cell>
          <cell r="J6597">
            <v>0</v>
          </cell>
          <cell r="K6597" t="str">
            <v>Executive</v>
          </cell>
          <cell r="L6597" t="str">
            <v>T&amp;E</v>
          </cell>
          <cell r="N6597" t="str">
            <v>SG&amp;A</v>
          </cell>
          <cell r="O6597" t="str">
            <v>[No Vendor]</v>
          </cell>
        </row>
        <row r="6598">
          <cell r="D6598">
            <v>86.35</v>
          </cell>
          <cell r="H6598">
            <v>45689</v>
          </cell>
          <cell r="I6598" t="str">
            <v>6105 - Meals</v>
          </cell>
          <cell r="J6598">
            <v>0</v>
          </cell>
          <cell r="K6598" t="str">
            <v>Executive</v>
          </cell>
          <cell r="L6598" t="str">
            <v>T&amp;E</v>
          </cell>
          <cell r="N6598" t="str">
            <v>SG&amp;A</v>
          </cell>
          <cell r="O6598" t="str">
            <v>[No Vendor]</v>
          </cell>
        </row>
        <row r="6599">
          <cell r="D6599">
            <v>106.14</v>
          </cell>
          <cell r="H6599">
            <v>45689</v>
          </cell>
          <cell r="I6599" t="str">
            <v>6105 - Meals</v>
          </cell>
          <cell r="J6599">
            <v>0</v>
          </cell>
          <cell r="K6599" t="str">
            <v>Executive</v>
          </cell>
          <cell r="L6599" t="str">
            <v>T&amp;E</v>
          </cell>
          <cell r="N6599" t="str">
            <v>SG&amp;A</v>
          </cell>
          <cell r="O6599" t="str">
            <v>[No Vendor]</v>
          </cell>
        </row>
        <row r="6600">
          <cell r="D6600">
            <v>69.790000000000006</v>
          </cell>
          <cell r="H6600">
            <v>45689</v>
          </cell>
          <cell r="I6600" t="str">
            <v>6105 - Meals</v>
          </cell>
          <cell r="J6600">
            <v>0</v>
          </cell>
          <cell r="K6600" t="str">
            <v>Executive</v>
          </cell>
          <cell r="L6600" t="str">
            <v>T&amp;E</v>
          </cell>
          <cell r="N6600" t="str">
            <v>SG&amp;A</v>
          </cell>
          <cell r="O6600" t="str">
            <v>[No Vendor]</v>
          </cell>
        </row>
        <row r="6601">
          <cell r="D6601">
            <v>108.99</v>
          </cell>
          <cell r="H6601">
            <v>45689</v>
          </cell>
          <cell r="I6601" t="str">
            <v>6040 - Employer Paid Benefits</v>
          </cell>
          <cell r="J6601">
            <v>0</v>
          </cell>
          <cell r="K6601" t="str">
            <v>Administration</v>
          </cell>
          <cell r="L6601" t="str">
            <v>HQ Salaries</v>
          </cell>
          <cell r="N6601" t="str">
            <v>SG&amp;A</v>
          </cell>
          <cell r="O6601" t="str">
            <v>Procyon Benefits LLC</v>
          </cell>
        </row>
        <row r="6602">
          <cell r="D6602">
            <v>99535.2</v>
          </cell>
          <cell r="H6602">
            <v>45689</v>
          </cell>
          <cell r="I6602" t="str">
            <v>8700 - Other Expense</v>
          </cell>
          <cell r="J6602">
            <v>0</v>
          </cell>
          <cell r="K6602" t="str">
            <v>Administration</v>
          </cell>
          <cell r="L6602" t="str">
            <v>Other Expense</v>
          </cell>
          <cell r="N6602" t="str">
            <v>BTL</v>
          </cell>
          <cell r="O6602" t="str">
            <v>London Court of International Arbitration</v>
          </cell>
        </row>
        <row r="6603">
          <cell r="D6603">
            <v>300</v>
          </cell>
          <cell r="H6603">
            <v>45689</v>
          </cell>
          <cell r="I6603" t="str">
            <v>6288 - Model</v>
          </cell>
          <cell r="J6603" t="str">
            <v>Ecommerce (US)</v>
          </cell>
          <cell r="K6603" t="str">
            <v>Brand Marketing</v>
          </cell>
          <cell r="L6603" t="str">
            <v>Advertising</v>
          </cell>
          <cell r="N6603" t="str">
            <v>SG&amp;A</v>
          </cell>
          <cell r="O6603" t="str">
            <v>State Artist Management</v>
          </cell>
        </row>
        <row r="6604">
          <cell r="D6604">
            <v>1113.75</v>
          </cell>
          <cell r="H6604">
            <v>45689</v>
          </cell>
          <cell r="I6604" t="str">
            <v>6300 - Payroll Service Fees</v>
          </cell>
          <cell r="J6604">
            <v>0</v>
          </cell>
          <cell r="K6604" t="str">
            <v>Administration</v>
          </cell>
          <cell r="L6604" t="str">
            <v>Professional Service</v>
          </cell>
          <cell r="N6604" t="str">
            <v>SG&amp;A</v>
          </cell>
          <cell r="O6604" t="str">
            <v>OperationsInc, LLC</v>
          </cell>
        </row>
        <row r="6605">
          <cell r="D6605">
            <v>134.24</v>
          </cell>
          <cell r="H6605">
            <v>45689</v>
          </cell>
          <cell r="I6605" t="str">
            <v>6375 - Freight Expenses</v>
          </cell>
          <cell r="J6605">
            <v>0</v>
          </cell>
          <cell r="K6605" t="str">
            <v>Production</v>
          </cell>
          <cell r="L6605" t="str">
            <v>Freight</v>
          </cell>
          <cell r="N6605" t="str">
            <v>Direct Costs</v>
          </cell>
          <cell r="O6605" t="str">
            <v>DHL Express - USA</v>
          </cell>
        </row>
        <row r="6606">
          <cell r="D6606">
            <v>90.44</v>
          </cell>
          <cell r="H6606">
            <v>45689</v>
          </cell>
          <cell r="I6606" t="str">
            <v>6375 - Freight Expenses</v>
          </cell>
          <cell r="J6606">
            <v>0</v>
          </cell>
          <cell r="K6606" t="str">
            <v>Production</v>
          </cell>
          <cell r="L6606" t="str">
            <v>Freight</v>
          </cell>
          <cell r="N6606" t="str">
            <v>Direct Costs</v>
          </cell>
          <cell r="O6606" t="str">
            <v>DHL Express - USA</v>
          </cell>
        </row>
        <row r="6607">
          <cell r="D6607">
            <v>1257.42</v>
          </cell>
          <cell r="H6607">
            <v>45689</v>
          </cell>
          <cell r="I6607" t="str">
            <v>6375 - Freight Expenses</v>
          </cell>
          <cell r="J6607">
            <v>0</v>
          </cell>
          <cell r="K6607" t="str">
            <v>Production</v>
          </cell>
          <cell r="L6607" t="str">
            <v>Freight</v>
          </cell>
          <cell r="N6607" t="str">
            <v>Direct Costs</v>
          </cell>
          <cell r="O6607" t="str">
            <v>DHL Express - USA</v>
          </cell>
        </row>
        <row r="6608">
          <cell r="D6608">
            <v>183.44</v>
          </cell>
          <cell r="H6608">
            <v>45689</v>
          </cell>
          <cell r="I6608" t="str">
            <v>6040 - Employer Paid Benefits</v>
          </cell>
          <cell r="J6608" t="str">
            <v>Wholesale</v>
          </cell>
          <cell r="K6608" t="str">
            <v>Wholesale</v>
          </cell>
          <cell r="L6608" t="str">
            <v>HQ Salaries</v>
          </cell>
          <cell r="N6608" t="str">
            <v>SG&amp;A</v>
          </cell>
          <cell r="O6608" t="str">
            <v>Procyon Benefits LLC</v>
          </cell>
        </row>
        <row r="6609">
          <cell r="D6609">
            <v>149.27000000000001</v>
          </cell>
          <cell r="H6609">
            <v>45689</v>
          </cell>
          <cell r="I6609" t="str">
            <v>6040 - Employer Paid Benefits</v>
          </cell>
          <cell r="J6609">
            <v>0</v>
          </cell>
          <cell r="K6609" t="str">
            <v>Production</v>
          </cell>
          <cell r="L6609" t="str">
            <v>HQ Salaries</v>
          </cell>
          <cell r="N6609" t="str">
            <v>SG&amp;A</v>
          </cell>
          <cell r="O6609" t="str">
            <v>Procyon Benefits LLC</v>
          </cell>
        </row>
        <row r="6610">
          <cell r="D6610">
            <v>34</v>
          </cell>
          <cell r="H6610">
            <v>45689</v>
          </cell>
          <cell r="I6610" t="str">
            <v>6040 - Employer Paid Benefits</v>
          </cell>
          <cell r="J6610">
            <v>0</v>
          </cell>
          <cell r="K6610" t="str">
            <v>Merchandising</v>
          </cell>
          <cell r="L6610" t="str">
            <v>HQ Salaries</v>
          </cell>
          <cell r="N6610" t="str">
            <v>SG&amp;A</v>
          </cell>
          <cell r="O6610" t="str">
            <v>Procyon Benefits LLC</v>
          </cell>
        </row>
        <row r="6611">
          <cell r="D6611">
            <v>41.25</v>
          </cell>
          <cell r="H6611">
            <v>45689</v>
          </cell>
          <cell r="I6611" t="str">
            <v>6040 - Employer Paid Benefits</v>
          </cell>
          <cell r="J6611" t="str">
            <v>Ecommerce (US)</v>
          </cell>
          <cell r="K6611" t="str">
            <v>Ecommerce</v>
          </cell>
          <cell r="L6611" t="str">
            <v>HQ Salaries</v>
          </cell>
          <cell r="N6611" t="str">
            <v>SG&amp;A</v>
          </cell>
          <cell r="O6611" t="str">
            <v>Procyon Benefits LLC</v>
          </cell>
        </row>
        <row r="6612">
          <cell r="D6612">
            <v>6</v>
          </cell>
          <cell r="H6612">
            <v>45689</v>
          </cell>
          <cell r="I6612" t="str">
            <v>6040 - Employer Paid Benefits</v>
          </cell>
          <cell r="J6612">
            <v>0</v>
          </cell>
          <cell r="K6612" t="str">
            <v>Executive</v>
          </cell>
          <cell r="L6612" t="str">
            <v>HQ Salaries</v>
          </cell>
          <cell r="N6612" t="str">
            <v>SG&amp;A</v>
          </cell>
          <cell r="O6612" t="str">
            <v>Procyon Benefits LLC</v>
          </cell>
        </row>
        <row r="6613">
          <cell r="D6613">
            <v>20.3</v>
          </cell>
          <cell r="H6613">
            <v>45689</v>
          </cell>
          <cell r="I6613" t="str">
            <v>6040 - Employer Paid Benefits</v>
          </cell>
          <cell r="J6613">
            <v>0</v>
          </cell>
          <cell r="K6613" t="str">
            <v>Design</v>
          </cell>
          <cell r="L6613" t="str">
            <v>HQ Salaries</v>
          </cell>
          <cell r="N6613" t="str">
            <v>SG&amp;A</v>
          </cell>
          <cell r="O6613" t="str">
            <v>Procyon Benefits LLC</v>
          </cell>
        </row>
        <row r="6614">
          <cell r="D6614">
            <v>9065.94</v>
          </cell>
          <cell r="H6614">
            <v>45689</v>
          </cell>
          <cell r="I6614" t="str">
            <v>6375 - Freight Expenses</v>
          </cell>
          <cell r="J6614" t="str">
            <v>Ecommerce (US)</v>
          </cell>
          <cell r="K6614" t="str">
            <v>Ecommerce</v>
          </cell>
          <cell r="L6614" t="str">
            <v>Freight</v>
          </cell>
          <cell r="N6614" t="str">
            <v>Direct Costs</v>
          </cell>
          <cell r="O6614" t="str">
            <v>UPS Supply Chain Solutions Inc. (7F24A0)</v>
          </cell>
        </row>
        <row r="6615">
          <cell r="D6615">
            <v>2500</v>
          </cell>
          <cell r="H6615">
            <v>45689</v>
          </cell>
          <cell r="I6615" t="str">
            <v>6225 - Professional Services</v>
          </cell>
          <cell r="J6615">
            <v>0</v>
          </cell>
          <cell r="K6615" t="str">
            <v>Administration</v>
          </cell>
          <cell r="L6615" t="str">
            <v>Professional Service</v>
          </cell>
          <cell r="N6615" t="str">
            <v>Direct Costs</v>
          </cell>
          <cell r="O6615" t="str">
            <v>Procyon Benefits LLC</v>
          </cell>
        </row>
        <row r="6616">
          <cell r="D6616">
            <v>2440.58</v>
          </cell>
          <cell r="H6616">
            <v>45689</v>
          </cell>
          <cell r="I6616" t="str">
            <v>8505 - Realized Gain/Loss</v>
          </cell>
          <cell r="J6616">
            <v>0</v>
          </cell>
          <cell r="K6616" t="str">
            <v>No Department</v>
          </cell>
          <cell r="L6616" t="str">
            <v>Realized Gain / Loss</v>
          </cell>
          <cell r="N6616" t="str">
            <v>BTL</v>
          </cell>
          <cell r="O6616" t="str">
            <v>[No Vendor]</v>
          </cell>
        </row>
        <row r="6617">
          <cell r="D6617">
            <v>110.86</v>
          </cell>
          <cell r="H6617">
            <v>45689</v>
          </cell>
          <cell r="I6617" t="str">
            <v>8505 - Realized Gain/Loss</v>
          </cell>
          <cell r="J6617">
            <v>0</v>
          </cell>
          <cell r="K6617" t="str">
            <v>No Department</v>
          </cell>
          <cell r="L6617" t="str">
            <v>Realized Gain / Loss</v>
          </cell>
          <cell r="N6617" t="str">
            <v>BTL</v>
          </cell>
          <cell r="O6617" t="str">
            <v>[No Vendor]</v>
          </cell>
        </row>
        <row r="6618">
          <cell r="D6618">
            <v>292.57</v>
          </cell>
          <cell r="H6618">
            <v>45689</v>
          </cell>
          <cell r="I6618" t="str">
            <v>6375 - Freight Expenses</v>
          </cell>
          <cell r="J6618" t="str">
            <v>Ecommerce (US)</v>
          </cell>
          <cell r="K6618" t="str">
            <v>Ecommerce</v>
          </cell>
          <cell r="L6618" t="str">
            <v>Freight</v>
          </cell>
          <cell r="N6618" t="str">
            <v>Direct Costs</v>
          </cell>
          <cell r="O6618" t="str">
            <v>UPS Supply Chain Solutions Inc. (7F24A0)</v>
          </cell>
        </row>
        <row r="6619">
          <cell r="D6619">
            <v>740.48</v>
          </cell>
          <cell r="H6619">
            <v>45689</v>
          </cell>
          <cell r="I6619" t="str">
            <v>6410 - Lease Expense</v>
          </cell>
          <cell r="J6619">
            <v>0</v>
          </cell>
          <cell r="K6619" t="str">
            <v>Administration</v>
          </cell>
          <cell r="L6619" t="str">
            <v>Rent</v>
          </cell>
          <cell r="N6619" t="str">
            <v>SG&amp;A</v>
          </cell>
          <cell r="O6619" t="str">
            <v>Canon Financial Services, Inc.</v>
          </cell>
        </row>
        <row r="6620">
          <cell r="D6620">
            <v>334.68</v>
          </cell>
          <cell r="H6620">
            <v>45689</v>
          </cell>
          <cell r="I6620" t="str">
            <v>6300 - Payroll Service Fees</v>
          </cell>
          <cell r="J6620">
            <v>0</v>
          </cell>
          <cell r="K6620" t="str">
            <v>Administration</v>
          </cell>
          <cell r="L6620" t="str">
            <v>Professional Service</v>
          </cell>
          <cell r="N6620" t="str">
            <v>SG&amp;A</v>
          </cell>
          <cell r="O6620" t="str">
            <v>ADP Payroll Services</v>
          </cell>
        </row>
        <row r="6621">
          <cell r="D6621">
            <v>33.979999999999997</v>
          </cell>
          <cell r="H6621">
            <v>45689</v>
          </cell>
          <cell r="I6621" t="str">
            <v>6125 - Transportation and Fuel</v>
          </cell>
          <cell r="J6621">
            <v>0</v>
          </cell>
          <cell r="K6621" t="str">
            <v>Administration</v>
          </cell>
          <cell r="L6621" t="str">
            <v>T&amp;E</v>
          </cell>
          <cell r="N6621" t="str">
            <v>SG&amp;A</v>
          </cell>
          <cell r="O6621" t="str">
            <v>[No Vendor]</v>
          </cell>
        </row>
        <row r="6622">
          <cell r="D6622">
            <v>111.66</v>
          </cell>
          <cell r="H6622">
            <v>45689</v>
          </cell>
          <cell r="I6622" t="str">
            <v>6125 - Transportation and Fuel</v>
          </cell>
          <cell r="J6622">
            <v>0</v>
          </cell>
          <cell r="K6622" t="str">
            <v>Administration</v>
          </cell>
          <cell r="L6622" t="str">
            <v>T&amp;E</v>
          </cell>
          <cell r="N6622" t="str">
            <v>SG&amp;A</v>
          </cell>
          <cell r="O6622" t="str">
            <v>[No Vendor]</v>
          </cell>
        </row>
        <row r="6623">
          <cell r="D6623">
            <v>31.22</v>
          </cell>
          <cell r="H6623">
            <v>45689</v>
          </cell>
          <cell r="I6623" t="str">
            <v>6105 - Meals</v>
          </cell>
          <cell r="J6623">
            <v>0</v>
          </cell>
          <cell r="K6623" t="str">
            <v>Administration</v>
          </cell>
          <cell r="L6623" t="str">
            <v>T&amp;E</v>
          </cell>
          <cell r="N6623" t="str">
            <v>SG&amp;A</v>
          </cell>
          <cell r="O6623" t="str">
            <v>[No Vendor]</v>
          </cell>
        </row>
        <row r="6624">
          <cell r="D6624">
            <v>42.53</v>
          </cell>
          <cell r="H6624">
            <v>45689</v>
          </cell>
          <cell r="I6624" t="str">
            <v>6105 - Meals</v>
          </cell>
          <cell r="J6624">
            <v>0</v>
          </cell>
          <cell r="K6624" t="str">
            <v>Administration</v>
          </cell>
          <cell r="L6624" t="str">
            <v>T&amp;E</v>
          </cell>
          <cell r="N6624" t="str">
            <v>SG&amp;A</v>
          </cell>
          <cell r="O6624" t="str">
            <v>[No Vendor]</v>
          </cell>
        </row>
        <row r="6625">
          <cell r="D6625">
            <v>13.55</v>
          </cell>
          <cell r="H6625">
            <v>45689</v>
          </cell>
          <cell r="I6625" t="str">
            <v>6105 - Meals</v>
          </cell>
          <cell r="J6625">
            <v>0</v>
          </cell>
          <cell r="K6625" t="str">
            <v>Administration</v>
          </cell>
          <cell r="L6625" t="str">
            <v>T&amp;E</v>
          </cell>
          <cell r="N6625" t="str">
            <v>SG&amp;A</v>
          </cell>
          <cell r="O6625" t="str">
            <v>[No Vendor]</v>
          </cell>
        </row>
        <row r="6626">
          <cell r="D6626">
            <v>6.72</v>
          </cell>
          <cell r="H6626">
            <v>45689</v>
          </cell>
          <cell r="I6626" t="str">
            <v>6105 - Meals</v>
          </cell>
          <cell r="J6626">
            <v>0</v>
          </cell>
          <cell r="K6626" t="str">
            <v>Administration</v>
          </cell>
          <cell r="L6626" t="str">
            <v>T&amp;E</v>
          </cell>
          <cell r="N6626" t="str">
            <v>SG&amp;A</v>
          </cell>
          <cell r="O6626" t="str">
            <v>[No Vendor]</v>
          </cell>
        </row>
        <row r="6627">
          <cell r="D6627">
            <v>10.7</v>
          </cell>
          <cell r="H6627">
            <v>45689</v>
          </cell>
          <cell r="I6627" t="str">
            <v>6105 - Meals</v>
          </cell>
          <cell r="J6627">
            <v>0</v>
          </cell>
          <cell r="K6627" t="str">
            <v>Administration</v>
          </cell>
          <cell r="L6627" t="str">
            <v>T&amp;E</v>
          </cell>
          <cell r="N6627" t="str">
            <v>SG&amp;A</v>
          </cell>
          <cell r="O6627" t="str">
            <v>[No Vendor]</v>
          </cell>
        </row>
        <row r="6628">
          <cell r="D6628">
            <v>18.91</v>
          </cell>
          <cell r="H6628">
            <v>45689</v>
          </cell>
          <cell r="I6628" t="str">
            <v>6375 - Freight Expenses</v>
          </cell>
          <cell r="J6628">
            <v>0</v>
          </cell>
          <cell r="K6628" t="str">
            <v>Production</v>
          </cell>
          <cell r="L6628" t="str">
            <v>Freight</v>
          </cell>
          <cell r="N6628" t="str">
            <v>Direct Costs</v>
          </cell>
          <cell r="O6628" t="str">
            <v>DHL Express - USA</v>
          </cell>
        </row>
        <row r="6629">
          <cell r="D6629">
            <v>20507.64</v>
          </cell>
          <cell r="H6629">
            <v>45689</v>
          </cell>
          <cell r="I6629" t="str">
            <v>6375 - Freight Expenses</v>
          </cell>
          <cell r="J6629" t="str">
            <v>Ecommerce (US)</v>
          </cell>
          <cell r="K6629" t="str">
            <v>Ecommerce</v>
          </cell>
          <cell r="L6629" t="str">
            <v>Freight</v>
          </cell>
          <cell r="N6629" t="str">
            <v>Direct Costs</v>
          </cell>
          <cell r="O6629" t="str">
            <v>UPS Supply Chain Solutions Inc. (7F24A0)</v>
          </cell>
        </row>
        <row r="6630">
          <cell r="D6630">
            <v>2954.67</v>
          </cell>
          <cell r="H6630">
            <v>45689</v>
          </cell>
          <cell r="I6630" t="str">
            <v>6379 - Warehouse Storage</v>
          </cell>
          <cell r="J6630" t="str">
            <v>Wholesale</v>
          </cell>
          <cell r="K6630" t="str">
            <v>Wholesale</v>
          </cell>
          <cell r="L6630" t="str">
            <v>Order Processing</v>
          </cell>
          <cell r="N6630" t="str">
            <v>Direct Costs</v>
          </cell>
          <cell r="O6630" t="str">
            <v>Bergen Logistics Corporation</v>
          </cell>
        </row>
        <row r="6631">
          <cell r="D6631">
            <v>9786.2999999999993</v>
          </cell>
          <cell r="H6631">
            <v>45689</v>
          </cell>
          <cell r="I6631" t="str">
            <v>6379 - Warehouse Storage</v>
          </cell>
          <cell r="J6631" t="str">
            <v>Ecommerce (US)</v>
          </cell>
          <cell r="K6631" t="str">
            <v>Ecommerce</v>
          </cell>
          <cell r="L6631" t="str">
            <v>Order Processing</v>
          </cell>
          <cell r="N6631" t="str">
            <v>Direct Costs</v>
          </cell>
          <cell r="O6631" t="str">
            <v>Bergen Logistics Corporation</v>
          </cell>
        </row>
        <row r="6632">
          <cell r="D6632">
            <v>347.57</v>
          </cell>
          <cell r="H6632">
            <v>45689</v>
          </cell>
          <cell r="I6632" t="str">
            <v>6376 - Freight Supplies Other</v>
          </cell>
          <cell r="J6632" t="str">
            <v>Wholesale</v>
          </cell>
          <cell r="K6632" t="str">
            <v>Wholesale</v>
          </cell>
          <cell r="L6632" t="str">
            <v>Order Processing</v>
          </cell>
          <cell r="N6632" t="str">
            <v>Direct Costs</v>
          </cell>
          <cell r="O6632" t="str">
            <v>Bergen Logistics Corporation</v>
          </cell>
        </row>
        <row r="6633">
          <cell r="D6633">
            <v>170.36</v>
          </cell>
          <cell r="H6633">
            <v>45689</v>
          </cell>
          <cell r="I6633" t="str">
            <v>6376 - Freight Supplies Other</v>
          </cell>
          <cell r="J6633" t="str">
            <v>Ecommerce (EU)</v>
          </cell>
          <cell r="K6633" t="str">
            <v>Ecommerce</v>
          </cell>
          <cell r="L6633" t="str">
            <v>Order Processing</v>
          </cell>
          <cell r="N6633" t="str">
            <v>Direct Costs</v>
          </cell>
          <cell r="O6633" t="str">
            <v>Bergen Logistics Corporation</v>
          </cell>
        </row>
        <row r="6634">
          <cell r="D6634">
            <v>2574.36</v>
          </cell>
          <cell r="H6634">
            <v>45689</v>
          </cell>
          <cell r="I6634" t="str">
            <v>6376 - Freight Supplies Other</v>
          </cell>
          <cell r="J6634" t="str">
            <v>Ecommerce (US)</v>
          </cell>
          <cell r="K6634" t="str">
            <v>Ecommerce</v>
          </cell>
          <cell r="L6634" t="str">
            <v>Order Processing</v>
          </cell>
          <cell r="N6634" t="str">
            <v>Direct Costs</v>
          </cell>
          <cell r="O6634" t="str">
            <v>Bergen Logistics Corporation</v>
          </cell>
        </row>
        <row r="6635">
          <cell r="D6635">
            <v>2302.65</v>
          </cell>
          <cell r="H6635">
            <v>45689</v>
          </cell>
          <cell r="I6635" t="str">
            <v>6377 - Order Processing Expenses (New)</v>
          </cell>
          <cell r="J6635" t="str">
            <v>Wholesale</v>
          </cell>
          <cell r="K6635" t="str">
            <v>Wholesale</v>
          </cell>
          <cell r="L6635" t="str">
            <v>Order Processing</v>
          </cell>
          <cell r="N6635" t="str">
            <v>Direct Costs</v>
          </cell>
          <cell r="O6635" t="str">
            <v>Bergen Logistics Corporation</v>
          </cell>
        </row>
        <row r="6636">
          <cell r="D6636">
            <v>1331.3</v>
          </cell>
          <cell r="H6636">
            <v>45689</v>
          </cell>
          <cell r="I6636" t="str">
            <v>6377 - Order Processing Expenses (New)</v>
          </cell>
          <cell r="J6636" t="str">
            <v>Ecommerce (EU)</v>
          </cell>
          <cell r="K6636" t="str">
            <v>Ecommerce</v>
          </cell>
          <cell r="L6636" t="str">
            <v>Order Processing</v>
          </cell>
          <cell r="N6636" t="str">
            <v>Direct Costs</v>
          </cell>
          <cell r="O6636" t="str">
            <v>Bergen Logistics Corporation</v>
          </cell>
        </row>
        <row r="6637">
          <cell r="D6637">
            <v>15493.08</v>
          </cell>
          <cell r="H6637">
            <v>45689</v>
          </cell>
          <cell r="I6637" t="str">
            <v>6377 - Order Processing Expenses (New)</v>
          </cell>
          <cell r="J6637" t="str">
            <v>Ecommerce (US)</v>
          </cell>
          <cell r="K6637" t="str">
            <v>Ecommerce</v>
          </cell>
          <cell r="L6637" t="str">
            <v>Order Processing</v>
          </cell>
          <cell r="N6637" t="str">
            <v>Direct Costs</v>
          </cell>
          <cell r="O6637" t="str">
            <v>Bergen Logistics Corporation</v>
          </cell>
        </row>
        <row r="6638">
          <cell r="D6638">
            <v>47.58</v>
          </cell>
          <cell r="H6638">
            <v>45689</v>
          </cell>
          <cell r="I6638" t="str">
            <v>6125 - Transportation and Fuel</v>
          </cell>
          <cell r="J6638">
            <v>0</v>
          </cell>
          <cell r="K6638" t="str">
            <v>Administration</v>
          </cell>
          <cell r="L6638" t="str">
            <v>T&amp;E</v>
          </cell>
          <cell r="N6638" t="str">
            <v>SG&amp;A</v>
          </cell>
          <cell r="O6638" t="str">
            <v>[No Vendor]</v>
          </cell>
        </row>
        <row r="6639">
          <cell r="D6639">
            <v>85.43</v>
          </cell>
          <cell r="H6639">
            <v>45689</v>
          </cell>
          <cell r="I6639" t="str">
            <v>6105 - Meals</v>
          </cell>
          <cell r="J6639">
            <v>0</v>
          </cell>
          <cell r="K6639" t="str">
            <v>Administration</v>
          </cell>
          <cell r="L6639" t="str">
            <v>T&amp;E</v>
          </cell>
          <cell r="N6639" t="str">
            <v>SG&amp;A</v>
          </cell>
          <cell r="O6639" t="str">
            <v>[No Vendor]</v>
          </cell>
        </row>
        <row r="6640">
          <cell r="D6640">
            <v>325.69</v>
          </cell>
          <cell r="H6640">
            <v>45689</v>
          </cell>
          <cell r="I6640" t="str">
            <v>6375 - Freight Expenses</v>
          </cell>
          <cell r="J6640" t="str">
            <v>Wholesale</v>
          </cell>
          <cell r="K6640" t="str">
            <v>Wholesale</v>
          </cell>
          <cell r="L6640" t="str">
            <v>Freight</v>
          </cell>
          <cell r="N6640" t="str">
            <v>Direct Costs</v>
          </cell>
          <cell r="O6640" t="str">
            <v>UPS Supply Chain Solutions Inc. (7F24A0)</v>
          </cell>
        </row>
        <row r="6641">
          <cell r="D6641">
            <v>185.5</v>
          </cell>
          <cell r="H6641">
            <v>45689</v>
          </cell>
          <cell r="I6641" t="str">
            <v>6375 - Freight Expenses</v>
          </cell>
          <cell r="J6641" t="str">
            <v>Ecommerce (US)</v>
          </cell>
          <cell r="K6641" t="str">
            <v>Ecommerce</v>
          </cell>
          <cell r="L6641" t="str">
            <v>Freight</v>
          </cell>
          <cell r="N6641" t="str">
            <v>Direct Costs</v>
          </cell>
          <cell r="O6641" t="str">
            <v>UPS Supply Chain Solutions Inc. (7F24A0)</v>
          </cell>
        </row>
        <row r="6642">
          <cell r="D6642">
            <v>2960.54</v>
          </cell>
          <cell r="H6642">
            <v>45689</v>
          </cell>
          <cell r="I6642" t="str">
            <v>6363 - Development</v>
          </cell>
          <cell r="J6642">
            <v>0</v>
          </cell>
          <cell r="K6642" t="str">
            <v>Design</v>
          </cell>
          <cell r="L6642" t="str">
            <v>Sample</v>
          </cell>
          <cell r="N6642" t="str">
            <v>SG&amp;A</v>
          </cell>
          <cell r="O6642" t="str">
            <v>Consul + SRL</v>
          </cell>
        </row>
        <row r="6643">
          <cell r="D6643">
            <v>533.03</v>
          </cell>
          <cell r="H6643">
            <v>45689</v>
          </cell>
          <cell r="I6643" t="str">
            <v>6363 - Development</v>
          </cell>
          <cell r="J6643">
            <v>0</v>
          </cell>
          <cell r="K6643" t="str">
            <v>Design</v>
          </cell>
          <cell r="L6643" t="str">
            <v>Sample</v>
          </cell>
          <cell r="N6643" t="str">
            <v>SG&amp;A</v>
          </cell>
          <cell r="O6643" t="str">
            <v>Consul + SRL</v>
          </cell>
        </row>
        <row r="6644">
          <cell r="D6644">
            <v>0.01</v>
          </cell>
          <cell r="H6644">
            <v>45689</v>
          </cell>
          <cell r="I6644" t="str">
            <v>8590 - Rounding Gain/Loss</v>
          </cell>
          <cell r="J6644">
            <v>0</v>
          </cell>
          <cell r="K6644" t="str">
            <v>No Department</v>
          </cell>
          <cell r="L6644" t="str">
            <v>Realized Gain / Loss</v>
          </cell>
          <cell r="N6644" t="str">
            <v>BTL</v>
          </cell>
          <cell r="O6644" t="str">
            <v>[No Vendor]</v>
          </cell>
        </row>
        <row r="6645">
          <cell r="D6645">
            <v>88.32</v>
          </cell>
          <cell r="H6645">
            <v>45689</v>
          </cell>
          <cell r="I6645" t="str">
            <v>6125 - Transportation and Fuel</v>
          </cell>
          <cell r="J6645">
            <v>0</v>
          </cell>
          <cell r="K6645" t="str">
            <v>Administration</v>
          </cell>
          <cell r="L6645" t="str">
            <v>T&amp;E</v>
          </cell>
          <cell r="N6645" t="str">
            <v>SG&amp;A</v>
          </cell>
          <cell r="O6645" t="str">
            <v>[No Vendor]</v>
          </cell>
        </row>
        <row r="6646">
          <cell r="D6646">
            <v>4019.62</v>
          </cell>
          <cell r="H6646">
            <v>45689</v>
          </cell>
          <cell r="I6646" t="str">
            <v>6210 - Monitoring</v>
          </cell>
          <cell r="J6646" t="str">
            <v>Ecommerce (EU)</v>
          </cell>
          <cell r="K6646" t="str">
            <v>Ecommerce</v>
          </cell>
          <cell r="L6646" t="str">
            <v>Professional Service</v>
          </cell>
          <cell r="N6646" t="str">
            <v>Direct Costs</v>
          </cell>
          <cell r="O6646" t="str">
            <v>Convey SRL</v>
          </cell>
        </row>
        <row r="6647">
          <cell r="D6647">
            <v>56.02</v>
          </cell>
          <cell r="H6647">
            <v>45689</v>
          </cell>
          <cell r="I6647" t="str">
            <v>6125 - Transportation and Fuel</v>
          </cell>
          <cell r="J6647">
            <v>0</v>
          </cell>
          <cell r="K6647" t="str">
            <v>Administration</v>
          </cell>
          <cell r="L6647" t="str">
            <v>T&amp;E</v>
          </cell>
          <cell r="N6647" t="str">
            <v>SG&amp;A</v>
          </cell>
          <cell r="O6647" t="str">
            <v>[No Vendor]</v>
          </cell>
        </row>
        <row r="6648">
          <cell r="D6648">
            <v>36.700000000000003</v>
          </cell>
          <cell r="H6648">
            <v>45689</v>
          </cell>
          <cell r="I6648" t="str">
            <v>6125 - Transportation and Fuel</v>
          </cell>
          <cell r="J6648">
            <v>0</v>
          </cell>
          <cell r="K6648" t="str">
            <v>Administration</v>
          </cell>
          <cell r="L6648" t="str">
            <v>T&amp;E</v>
          </cell>
          <cell r="N6648" t="str">
            <v>SG&amp;A</v>
          </cell>
          <cell r="O6648" t="str">
            <v>[No Vendor]</v>
          </cell>
        </row>
        <row r="6649">
          <cell r="D6649">
            <v>2003.48</v>
          </cell>
          <cell r="H6649">
            <v>45689</v>
          </cell>
          <cell r="I6649" t="str">
            <v>6451 - Service Processing Fee</v>
          </cell>
          <cell r="J6649" t="str">
            <v>Ecommerce (US)</v>
          </cell>
          <cell r="K6649" t="str">
            <v>Ecommerce</v>
          </cell>
          <cell r="L6649" t="str">
            <v>Professional Service</v>
          </cell>
          <cell r="N6649" t="str">
            <v>Direct Costs</v>
          </cell>
          <cell r="O6649" t="str">
            <v>Loop</v>
          </cell>
        </row>
        <row r="6650">
          <cell r="D6650">
            <v>37.700000000000003</v>
          </cell>
          <cell r="H6650">
            <v>45689</v>
          </cell>
          <cell r="I6650" t="str">
            <v>6040 - Employer Paid Benefits</v>
          </cell>
          <cell r="J6650">
            <v>0</v>
          </cell>
          <cell r="K6650" t="str">
            <v>Design</v>
          </cell>
          <cell r="L6650" t="str">
            <v>HQ Salaries</v>
          </cell>
          <cell r="N6650" t="str">
            <v>SG&amp;A</v>
          </cell>
          <cell r="O6650" t="str">
            <v>Procyon Benefits LLC</v>
          </cell>
        </row>
        <row r="6651">
          <cell r="D6651">
            <v>21.58</v>
          </cell>
          <cell r="H6651">
            <v>45689</v>
          </cell>
          <cell r="I6651" t="str">
            <v>6340 - Miscellaneous Expense</v>
          </cell>
          <cell r="J6651">
            <v>0</v>
          </cell>
          <cell r="K6651" t="str">
            <v>Design</v>
          </cell>
          <cell r="L6651" t="str">
            <v>Other</v>
          </cell>
          <cell r="N6651" t="str">
            <v>SG&amp;A</v>
          </cell>
          <cell r="O6651" t="str">
            <v>[No Vendor]</v>
          </cell>
        </row>
        <row r="6652">
          <cell r="D6652">
            <v>38.299999999999997</v>
          </cell>
          <cell r="H6652">
            <v>45689</v>
          </cell>
          <cell r="I6652" t="str">
            <v>6370 - Samples</v>
          </cell>
          <cell r="J6652">
            <v>0</v>
          </cell>
          <cell r="K6652" t="str">
            <v>Design</v>
          </cell>
          <cell r="L6652" t="str">
            <v>Sample</v>
          </cell>
          <cell r="N6652" t="str">
            <v>SG&amp;A</v>
          </cell>
          <cell r="O6652" t="str">
            <v>[No Vendor]</v>
          </cell>
        </row>
        <row r="6653">
          <cell r="D6653">
            <v>66.25</v>
          </cell>
          <cell r="H6653">
            <v>45689</v>
          </cell>
          <cell r="I6653" t="str">
            <v>6370 - Samples</v>
          </cell>
          <cell r="J6653">
            <v>0</v>
          </cell>
          <cell r="K6653" t="str">
            <v>Design</v>
          </cell>
          <cell r="L6653" t="str">
            <v>Sample</v>
          </cell>
          <cell r="N6653" t="str">
            <v>SG&amp;A</v>
          </cell>
          <cell r="O6653" t="str">
            <v>[No Vendor]</v>
          </cell>
        </row>
        <row r="6654">
          <cell r="D6654">
            <v>90</v>
          </cell>
          <cell r="H6654">
            <v>45689</v>
          </cell>
          <cell r="I6654" t="str">
            <v>6370 - Samples</v>
          </cell>
          <cell r="J6654">
            <v>0</v>
          </cell>
          <cell r="K6654" t="str">
            <v>Design</v>
          </cell>
          <cell r="L6654" t="str">
            <v>Sample</v>
          </cell>
          <cell r="N6654" t="str">
            <v>SG&amp;A</v>
          </cell>
          <cell r="O6654" t="str">
            <v>[No Vendor]</v>
          </cell>
        </row>
        <row r="6655">
          <cell r="D6655">
            <v>68</v>
          </cell>
          <cell r="H6655">
            <v>45689</v>
          </cell>
          <cell r="I6655" t="str">
            <v>6370 - Samples</v>
          </cell>
          <cell r="J6655">
            <v>0</v>
          </cell>
          <cell r="K6655" t="str">
            <v>Design</v>
          </cell>
          <cell r="L6655" t="str">
            <v>Sample</v>
          </cell>
          <cell r="N6655" t="str">
            <v>SG&amp;A</v>
          </cell>
          <cell r="O6655" t="str">
            <v>[No Vendor]</v>
          </cell>
        </row>
        <row r="6656">
          <cell r="D6656">
            <v>78</v>
          </cell>
          <cell r="H6656">
            <v>45689</v>
          </cell>
          <cell r="I6656" t="str">
            <v>6370 - Samples</v>
          </cell>
          <cell r="J6656">
            <v>0</v>
          </cell>
          <cell r="K6656" t="str">
            <v>Design</v>
          </cell>
          <cell r="L6656" t="str">
            <v>Sample</v>
          </cell>
          <cell r="N6656" t="str">
            <v>SG&amp;A</v>
          </cell>
          <cell r="O6656" t="str">
            <v>[No Vendor]</v>
          </cell>
        </row>
        <row r="6657">
          <cell r="D6657">
            <v>48</v>
          </cell>
          <cell r="H6657">
            <v>45689</v>
          </cell>
          <cell r="I6657" t="str">
            <v>6370 - Samples</v>
          </cell>
          <cell r="J6657">
            <v>0</v>
          </cell>
          <cell r="K6657" t="str">
            <v>Design</v>
          </cell>
          <cell r="L6657" t="str">
            <v>Sample</v>
          </cell>
          <cell r="N6657" t="str">
            <v>SG&amp;A</v>
          </cell>
          <cell r="O6657" t="str">
            <v>[No Vendor]</v>
          </cell>
        </row>
        <row r="6658">
          <cell r="D6658">
            <v>124.85</v>
          </cell>
          <cell r="H6658">
            <v>45689</v>
          </cell>
          <cell r="I6658" t="str">
            <v>6370 - Samples</v>
          </cell>
          <cell r="J6658">
            <v>0</v>
          </cell>
          <cell r="K6658" t="str">
            <v>Design</v>
          </cell>
          <cell r="L6658" t="str">
            <v>Sample</v>
          </cell>
          <cell r="N6658" t="str">
            <v>SG&amp;A</v>
          </cell>
          <cell r="O6658" t="str">
            <v>[No Vendor]</v>
          </cell>
        </row>
        <row r="6659">
          <cell r="D6659">
            <v>82.09</v>
          </cell>
          <cell r="H6659">
            <v>45689</v>
          </cell>
          <cell r="I6659" t="str">
            <v>6370 - Samples</v>
          </cell>
          <cell r="J6659">
            <v>0</v>
          </cell>
          <cell r="K6659" t="str">
            <v>Design</v>
          </cell>
          <cell r="L6659" t="str">
            <v>Sample</v>
          </cell>
          <cell r="N6659" t="str">
            <v>SG&amp;A</v>
          </cell>
          <cell r="O6659" t="str">
            <v>[No Vendor]</v>
          </cell>
        </row>
        <row r="6660">
          <cell r="D6660">
            <v>40</v>
          </cell>
          <cell r="H6660">
            <v>45689</v>
          </cell>
          <cell r="I6660" t="str">
            <v>6370 - Samples</v>
          </cell>
          <cell r="J6660">
            <v>0</v>
          </cell>
          <cell r="K6660" t="str">
            <v>Design</v>
          </cell>
          <cell r="L6660" t="str">
            <v>Sample</v>
          </cell>
          <cell r="N6660" t="str">
            <v>SG&amp;A</v>
          </cell>
          <cell r="O6660" t="str">
            <v>[No Vendor]</v>
          </cell>
        </row>
        <row r="6661">
          <cell r="D6661">
            <v>607.5</v>
          </cell>
          <cell r="H6661">
            <v>45689</v>
          </cell>
          <cell r="I6661" t="str">
            <v>6300 - Payroll Service Fees</v>
          </cell>
          <cell r="J6661">
            <v>0</v>
          </cell>
          <cell r="K6661" t="str">
            <v>Administration</v>
          </cell>
          <cell r="L6661" t="str">
            <v>Professional Service</v>
          </cell>
          <cell r="N6661" t="str">
            <v>SG&amp;A</v>
          </cell>
          <cell r="O6661" t="str">
            <v>OperationsInc, LLC</v>
          </cell>
        </row>
        <row r="6662">
          <cell r="D6662">
            <v>528.41999999999996</v>
          </cell>
          <cell r="H6662">
            <v>45689</v>
          </cell>
          <cell r="I6662" t="str">
            <v>6375 - Freight Expenses</v>
          </cell>
          <cell r="J6662">
            <v>0</v>
          </cell>
          <cell r="K6662" t="str">
            <v>Production</v>
          </cell>
          <cell r="L6662" t="str">
            <v>Freight</v>
          </cell>
          <cell r="N6662" t="str">
            <v>Direct Costs</v>
          </cell>
          <cell r="O6662" t="str">
            <v>DHL Express - USA</v>
          </cell>
        </row>
        <row r="6663">
          <cell r="D6663">
            <v>269.39999999999998</v>
          </cell>
          <cell r="H6663">
            <v>45689</v>
          </cell>
          <cell r="I6663" t="str">
            <v>6375 - Freight Expenses</v>
          </cell>
          <cell r="J6663">
            <v>0</v>
          </cell>
          <cell r="K6663" t="str">
            <v>Production</v>
          </cell>
          <cell r="L6663" t="str">
            <v>Freight</v>
          </cell>
          <cell r="N6663" t="str">
            <v>Direct Costs</v>
          </cell>
          <cell r="O6663" t="str">
            <v>DHL Express - USA</v>
          </cell>
        </row>
        <row r="6664">
          <cell r="D6664">
            <v>66.39</v>
          </cell>
          <cell r="H6664">
            <v>45689</v>
          </cell>
          <cell r="I6664" t="str">
            <v>6375 - Freight Expenses</v>
          </cell>
          <cell r="J6664" t="str">
            <v>Ecommerce (US)</v>
          </cell>
          <cell r="K6664" t="str">
            <v>Ecommerce</v>
          </cell>
          <cell r="L6664" t="str">
            <v>Freight</v>
          </cell>
          <cell r="N6664" t="str">
            <v>Direct Costs</v>
          </cell>
          <cell r="O6664" t="str">
            <v>UPS Supply Chain Solutions Inc. (7F24A0)</v>
          </cell>
        </row>
        <row r="6665">
          <cell r="D6665">
            <v>222.39</v>
          </cell>
          <cell r="H6665">
            <v>45689</v>
          </cell>
          <cell r="I6665" t="str">
            <v>6040 - Employer Paid Benefits</v>
          </cell>
          <cell r="J6665">
            <v>0</v>
          </cell>
          <cell r="K6665" t="str">
            <v>Production</v>
          </cell>
          <cell r="L6665" t="str">
            <v>HQ Salaries</v>
          </cell>
          <cell r="N6665" t="str">
            <v>SG&amp;A</v>
          </cell>
          <cell r="O6665" t="str">
            <v>Procyon Benefits LLC</v>
          </cell>
        </row>
        <row r="6666">
          <cell r="D6666">
            <v>140</v>
          </cell>
          <cell r="H6666">
            <v>45689</v>
          </cell>
          <cell r="I6666" t="str">
            <v>6040 - Employer Paid Benefits</v>
          </cell>
          <cell r="J6666">
            <v>0</v>
          </cell>
          <cell r="K6666" t="str">
            <v>Merchandising</v>
          </cell>
          <cell r="L6666" t="str">
            <v>HQ Salaries</v>
          </cell>
          <cell r="N6666" t="str">
            <v>SG&amp;A</v>
          </cell>
          <cell r="O6666" t="str">
            <v>Procyon Benefits LLC</v>
          </cell>
        </row>
        <row r="6667">
          <cell r="D6667">
            <v>41.25</v>
          </cell>
          <cell r="H6667">
            <v>45689</v>
          </cell>
          <cell r="I6667" t="str">
            <v>6040 - Employer Paid Benefits</v>
          </cell>
          <cell r="J6667" t="str">
            <v>Ecommerce (US)</v>
          </cell>
          <cell r="K6667" t="str">
            <v>Ecommerce</v>
          </cell>
          <cell r="L6667" t="str">
            <v>HQ Salaries</v>
          </cell>
          <cell r="N6667" t="str">
            <v>SG&amp;A</v>
          </cell>
          <cell r="O6667" t="str">
            <v>Procyon Benefits LLC</v>
          </cell>
        </row>
        <row r="6668">
          <cell r="D6668">
            <v>28</v>
          </cell>
          <cell r="H6668">
            <v>45689</v>
          </cell>
          <cell r="I6668" t="str">
            <v>6040 - Employer Paid Benefits</v>
          </cell>
          <cell r="J6668">
            <v>0</v>
          </cell>
          <cell r="K6668" t="str">
            <v>Executive</v>
          </cell>
          <cell r="L6668" t="str">
            <v>HQ Salaries</v>
          </cell>
          <cell r="N6668" t="str">
            <v>SG&amp;A</v>
          </cell>
          <cell r="O6668" t="str">
            <v>Procyon Benefits LLC</v>
          </cell>
        </row>
        <row r="6669">
          <cell r="D6669">
            <v>59.66</v>
          </cell>
          <cell r="H6669">
            <v>45689</v>
          </cell>
          <cell r="I6669" t="str">
            <v>6375 - Freight Expenses</v>
          </cell>
          <cell r="J6669" t="str">
            <v>Ecommerce (US)</v>
          </cell>
          <cell r="K6669" t="str">
            <v>Ecommerce</v>
          </cell>
          <cell r="L6669" t="str">
            <v>Freight</v>
          </cell>
          <cell r="N6669" t="str">
            <v>Direct Costs</v>
          </cell>
          <cell r="O6669" t="str">
            <v>UPS Supply Chain Solutions Inc. (7F24A0)</v>
          </cell>
        </row>
        <row r="6670">
          <cell r="D6670">
            <v>695.7</v>
          </cell>
          <cell r="H6670">
            <v>45689</v>
          </cell>
          <cell r="I6670" t="str">
            <v>6375 - Freight Expenses</v>
          </cell>
          <cell r="J6670" t="str">
            <v>Ecommerce (US)</v>
          </cell>
          <cell r="K6670" t="str">
            <v>Ecommerce</v>
          </cell>
          <cell r="L6670" t="str">
            <v>Freight</v>
          </cell>
          <cell r="N6670" t="str">
            <v>Direct Costs</v>
          </cell>
          <cell r="O6670" t="str">
            <v>UPS Supply Chain Solutions Inc. (7F24A0)</v>
          </cell>
        </row>
        <row r="6671">
          <cell r="D6671">
            <v>180.65</v>
          </cell>
          <cell r="H6671">
            <v>45689</v>
          </cell>
          <cell r="I6671" t="str">
            <v>6300 - Payroll Service Fees</v>
          </cell>
          <cell r="J6671">
            <v>0</v>
          </cell>
          <cell r="K6671" t="str">
            <v>Administration</v>
          </cell>
          <cell r="L6671" t="str">
            <v>Professional Service</v>
          </cell>
          <cell r="N6671" t="str">
            <v>SG&amp;A</v>
          </cell>
          <cell r="O6671" t="str">
            <v>ADP Payroll Services</v>
          </cell>
        </row>
        <row r="6672">
          <cell r="D6672">
            <v>26115.41</v>
          </cell>
          <cell r="H6672">
            <v>45689</v>
          </cell>
          <cell r="I6672" t="str">
            <v>6005 - Salaries</v>
          </cell>
          <cell r="J6672">
            <v>0</v>
          </cell>
          <cell r="K6672" t="str">
            <v>Administration</v>
          </cell>
          <cell r="L6672" t="str">
            <v>HQ Salaries</v>
          </cell>
          <cell r="N6672" t="str">
            <v>SG&amp;A</v>
          </cell>
          <cell r="O6672" t="str">
            <v>[No Vendor]</v>
          </cell>
        </row>
        <row r="6673">
          <cell r="D6673">
            <v>0</v>
          </cell>
          <cell r="H6673">
            <v>45689</v>
          </cell>
          <cell r="I6673" t="str">
            <v>6035 - Severance Expense</v>
          </cell>
          <cell r="J6673" t="str">
            <v>Wholesale</v>
          </cell>
          <cell r="K6673" t="str">
            <v>Wholesale</v>
          </cell>
          <cell r="L6673" t="str">
            <v>HQ Salaries</v>
          </cell>
          <cell r="N6673" t="str">
            <v>SG&amp;A</v>
          </cell>
          <cell r="O6673" t="str">
            <v>[No Vendor]</v>
          </cell>
        </row>
        <row r="6674">
          <cell r="D6674">
            <v>0</v>
          </cell>
          <cell r="H6674">
            <v>45689</v>
          </cell>
          <cell r="I6674" t="str">
            <v>6205 - Contractors</v>
          </cell>
          <cell r="J6674" t="str">
            <v>Ecommerce (US)</v>
          </cell>
          <cell r="K6674" t="str">
            <v>Ecommerce</v>
          </cell>
          <cell r="L6674" t="str">
            <v>HQ Salaries</v>
          </cell>
          <cell r="N6674" t="str">
            <v>SG&amp;A</v>
          </cell>
          <cell r="O6674" t="str">
            <v>[No Vendor]</v>
          </cell>
        </row>
        <row r="6675">
          <cell r="D6675">
            <v>0</v>
          </cell>
          <cell r="H6675">
            <v>45689</v>
          </cell>
          <cell r="I6675" t="str">
            <v>6205 - Contractors</v>
          </cell>
          <cell r="J6675">
            <v>0</v>
          </cell>
          <cell r="K6675" t="str">
            <v>Design</v>
          </cell>
          <cell r="L6675" t="str">
            <v>HQ Salaries</v>
          </cell>
          <cell r="N6675" t="str">
            <v>SG&amp;A</v>
          </cell>
          <cell r="O6675" t="str">
            <v>[No Vendor]</v>
          </cell>
        </row>
        <row r="6676">
          <cell r="D6676">
            <v>0</v>
          </cell>
          <cell r="H6676">
            <v>45689</v>
          </cell>
          <cell r="I6676" t="str">
            <v>6205 - Contractors</v>
          </cell>
          <cell r="J6676">
            <v>0</v>
          </cell>
          <cell r="K6676" t="str">
            <v>Brand Marketing</v>
          </cell>
          <cell r="L6676" t="str">
            <v>HQ Salaries</v>
          </cell>
          <cell r="N6676" t="str">
            <v>SG&amp;A</v>
          </cell>
          <cell r="O6676" t="str">
            <v>[No Vendor]</v>
          </cell>
        </row>
        <row r="6677">
          <cell r="D6677">
            <v>-44.48</v>
          </cell>
          <cell r="H6677">
            <v>45689</v>
          </cell>
          <cell r="I6677" t="str">
            <v>6385 - Insurance</v>
          </cell>
          <cell r="J6677">
            <v>0</v>
          </cell>
          <cell r="K6677" t="str">
            <v>Administration</v>
          </cell>
          <cell r="L6677" t="str">
            <v>Professional Service</v>
          </cell>
          <cell r="N6677" t="str">
            <v>SG&amp;A</v>
          </cell>
          <cell r="O6677" t="str">
            <v>[No Vendor]</v>
          </cell>
        </row>
        <row r="6678">
          <cell r="D6678">
            <v>-43.2</v>
          </cell>
          <cell r="H6678">
            <v>45689</v>
          </cell>
          <cell r="I6678" t="str">
            <v>6385 - Insurance</v>
          </cell>
          <cell r="J6678">
            <v>0</v>
          </cell>
          <cell r="K6678" t="str">
            <v>Administration</v>
          </cell>
          <cell r="L6678" t="str">
            <v>Professional Service</v>
          </cell>
          <cell r="N6678" t="str">
            <v>SG&amp;A</v>
          </cell>
          <cell r="O6678" t="str">
            <v>[No Vendor]</v>
          </cell>
        </row>
        <row r="6679">
          <cell r="D6679">
            <v>-88.99</v>
          </cell>
          <cell r="H6679">
            <v>45689</v>
          </cell>
          <cell r="I6679" t="str">
            <v>6385 - Insurance</v>
          </cell>
          <cell r="J6679">
            <v>0</v>
          </cell>
          <cell r="K6679" t="str">
            <v>Administration</v>
          </cell>
          <cell r="L6679" t="str">
            <v>Professional Service</v>
          </cell>
          <cell r="N6679" t="str">
            <v>SG&amp;A</v>
          </cell>
          <cell r="O6679" t="str">
            <v>[No Vendor]</v>
          </cell>
        </row>
        <row r="6680">
          <cell r="D6680">
            <v>-41.72</v>
          </cell>
          <cell r="H6680">
            <v>45689</v>
          </cell>
          <cell r="I6680" t="str">
            <v>6385 - Insurance</v>
          </cell>
          <cell r="J6680">
            <v>0</v>
          </cell>
          <cell r="K6680" t="str">
            <v>Administration</v>
          </cell>
          <cell r="L6680" t="str">
            <v>Professional Service</v>
          </cell>
          <cell r="N6680" t="str">
            <v>SG&amp;A</v>
          </cell>
          <cell r="O6680" t="str">
            <v>[No Vendor]</v>
          </cell>
        </row>
        <row r="6681">
          <cell r="D6681">
            <v>-16.12</v>
          </cell>
          <cell r="H6681">
            <v>45689</v>
          </cell>
          <cell r="I6681" t="str">
            <v>6385 - Insurance</v>
          </cell>
          <cell r="J6681">
            <v>0</v>
          </cell>
          <cell r="K6681" t="str">
            <v>Administration</v>
          </cell>
          <cell r="L6681" t="str">
            <v>Professional Service</v>
          </cell>
          <cell r="N6681" t="str">
            <v>SG&amp;A</v>
          </cell>
          <cell r="O6681" t="str">
            <v>[No Vendor]</v>
          </cell>
        </row>
        <row r="6682">
          <cell r="D6682">
            <v>-48.66</v>
          </cell>
          <cell r="H6682">
            <v>45689</v>
          </cell>
          <cell r="I6682" t="str">
            <v>6385 - Insurance</v>
          </cell>
          <cell r="J6682">
            <v>0</v>
          </cell>
          <cell r="K6682" t="str">
            <v>Administration</v>
          </cell>
          <cell r="L6682" t="str">
            <v>Professional Service</v>
          </cell>
          <cell r="N6682" t="str">
            <v>SG&amp;A</v>
          </cell>
          <cell r="O6682" t="str">
            <v>[No Vendor]</v>
          </cell>
        </row>
        <row r="6683">
          <cell r="D6683">
            <v>-48.76</v>
          </cell>
          <cell r="H6683">
            <v>45689</v>
          </cell>
          <cell r="I6683" t="str">
            <v>6385 - Insurance</v>
          </cell>
          <cell r="J6683">
            <v>0</v>
          </cell>
          <cell r="K6683" t="str">
            <v>Administration</v>
          </cell>
          <cell r="L6683" t="str">
            <v>Professional Service</v>
          </cell>
          <cell r="N6683" t="str">
            <v>SG&amp;A</v>
          </cell>
          <cell r="O6683" t="str">
            <v>[No Vendor]</v>
          </cell>
        </row>
        <row r="6684">
          <cell r="D6684">
            <v>-13.88</v>
          </cell>
          <cell r="H6684">
            <v>45689</v>
          </cell>
          <cell r="I6684" t="str">
            <v>6385 - Insurance</v>
          </cell>
          <cell r="J6684">
            <v>0</v>
          </cell>
          <cell r="K6684" t="str">
            <v>Administration</v>
          </cell>
          <cell r="L6684" t="str">
            <v>Professional Service</v>
          </cell>
          <cell r="N6684" t="str">
            <v>SG&amp;A</v>
          </cell>
          <cell r="O6684" t="str">
            <v>[No Vendor]</v>
          </cell>
        </row>
        <row r="6685">
          <cell r="D6685">
            <v>1181.97</v>
          </cell>
          <cell r="H6685">
            <v>45689</v>
          </cell>
          <cell r="I6685" t="str">
            <v>6055 - Employer Social Security Tax Withheld</v>
          </cell>
          <cell r="J6685">
            <v>0</v>
          </cell>
          <cell r="K6685" t="str">
            <v>Executive</v>
          </cell>
          <cell r="L6685" t="str">
            <v>HQ Salaries</v>
          </cell>
          <cell r="N6685" t="str">
            <v>SG&amp;A</v>
          </cell>
          <cell r="O6685" t="str">
            <v>[No Vendor]</v>
          </cell>
        </row>
        <row r="6686">
          <cell r="D6686">
            <v>2504.7399999999998</v>
          </cell>
          <cell r="H6686">
            <v>45689</v>
          </cell>
          <cell r="I6686" t="str">
            <v>6055 - Employer Social Security Tax Withheld</v>
          </cell>
          <cell r="J6686" t="str">
            <v>Ecommerce (US)</v>
          </cell>
          <cell r="K6686" t="str">
            <v>Ecommerce</v>
          </cell>
          <cell r="L6686" t="str">
            <v>HQ Salaries</v>
          </cell>
          <cell r="N6686" t="str">
            <v>SG&amp;A</v>
          </cell>
          <cell r="O6686" t="str">
            <v>[No Vendor]</v>
          </cell>
        </row>
        <row r="6687">
          <cell r="D6687">
            <v>2450.4899999999998</v>
          </cell>
          <cell r="H6687">
            <v>45689</v>
          </cell>
          <cell r="I6687" t="str">
            <v>6055 - Employer Social Security Tax Withheld</v>
          </cell>
          <cell r="J6687">
            <v>0</v>
          </cell>
          <cell r="K6687" t="str">
            <v>Design</v>
          </cell>
          <cell r="L6687" t="str">
            <v>HQ Salaries</v>
          </cell>
          <cell r="N6687" t="str">
            <v>SG&amp;A</v>
          </cell>
          <cell r="O6687" t="str">
            <v>[No Vendor]</v>
          </cell>
        </row>
        <row r="6688">
          <cell r="D6688">
            <v>2872.01</v>
          </cell>
          <cell r="H6688">
            <v>45689</v>
          </cell>
          <cell r="I6688" t="str">
            <v>6055 - Employer Social Security Tax Withheld</v>
          </cell>
          <cell r="J6688">
            <v>0</v>
          </cell>
          <cell r="K6688" t="str">
            <v>Administration</v>
          </cell>
          <cell r="L6688" t="str">
            <v>HQ Salaries</v>
          </cell>
          <cell r="N6688" t="str">
            <v>SG&amp;A</v>
          </cell>
          <cell r="O6688" t="str">
            <v>[No Vendor]</v>
          </cell>
        </row>
        <row r="6689">
          <cell r="D6689">
            <v>480.82</v>
          </cell>
          <cell r="H6689">
            <v>45689</v>
          </cell>
          <cell r="I6689" t="str">
            <v>6055 - Employer Social Security Tax Withheld</v>
          </cell>
          <cell r="J6689">
            <v>0</v>
          </cell>
          <cell r="K6689" t="str">
            <v>Merchandising</v>
          </cell>
          <cell r="L6689" t="str">
            <v>HQ Salaries</v>
          </cell>
          <cell r="N6689" t="str">
            <v>SG&amp;A</v>
          </cell>
          <cell r="O6689" t="str">
            <v>[No Vendor]</v>
          </cell>
        </row>
        <row r="6690">
          <cell r="D6690">
            <v>1406.05</v>
          </cell>
          <cell r="H6690">
            <v>45689</v>
          </cell>
          <cell r="I6690" t="str">
            <v>6055 - Employer Social Security Tax Withheld</v>
          </cell>
          <cell r="J6690" t="str">
            <v>Wholesale</v>
          </cell>
          <cell r="K6690" t="str">
            <v>Wholesale</v>
          </cell>
          <cell r="L6690" t="str">
            <v>HQ Salaries</v>
          </cell>
          <cell r="N6690" t="str">
            <v>SG&amp;A</v>
          </cell>
          <cell r="O6690" t="str">
            <v>[No Vendor]</v>
          </cell>
        </row>
        <row r="6691">
          <cell r="D6691">
            <v>1534.31</v>
          </cell>
          <cell r="H6691">
            <v>45689</v>
          </cell>
          <cell r="I6691" t="str">
            <v>6055 - Employer Social Security Tax Withheld</v>
          </cell>
          <cell r="J6691">
            <v>0</v>
          </cell>
          <cell r="K6691" t="str">
            <v>Production</v>
          </cell>
          <cell r="L6691" t="str">
            <v>HQ Salaries</v>
          </cell>
          <cell r="N6691" t="str">
            <v>SG&amp;A</v>
          </cell>
          <cell r="O6691" t="str">
            <v>[No Vendor]</v>
          </cell>
        </row>
        <row r="6692">
          <cell r="D6692">
            <v>494.6</v>
          </cell>
          <cell r="H6692">
            <v>45689</v>
          </cell>
          <cell r="I6692" t="str">
            <v>6055 - Employer Social Security Tax Withheld</v>
          </cell>
          <cell r="J6692">
            <v>0</v>
          </cell>
          <cell r="K6692" t="str">
            <v>Brand Marketing</v>
          </cell>
          <cell r="L6692" t="str">
            <v>HQ Salaries</v>
          </cell>
          <cell r="N6692" t="str">
            <v>SG&amp;A</v>
          </cell>
          <cell r="O6692" t="str">
            <v>[No Vendor]</v>
          </cell>
        </row>
        <row r="6693">
          <cell r="D6693">
            <v>-234.27</v>
          </cell>
          <cell r="H6693">
            <v>45689</v>
          </cell>
          <cell r="I6693" t="str">
            <v>6040 - Employer Paid Benefits</v>
          </cell>
          <cell r="J6693">
            <v>0</v>
          </cell>
          <cell r="K6693" t="str">
            <v>Executive</v>
          </cell>
          <cell r="L6693" t="str">
            <v>HQ Salaries</v>
          </cell>
          <cell r="N6693" t="str">
            <v>SG&amp;A</v>
          </cell>
          <cell r="O6693" t="str">
            <v>[No Vendor]</v>
          </cell>
        </row>
        <row r="6694">
          <cell r="D6694">
            <v>-121.85</v>
          </cell>
          <cell r="H6694">
            <v>45689</v>
          </cell>
          <cell r="I6694" t="str">
            <v>6040 - Employer Paid Benefits</v>
          </cell>
          <cell r="J6694" t="str">
            <v>Ecommerce (US)</v>
          </cell>
          <cell r="K6694" t="str">
            <v>Ecommerce</v>
          </cell>
          <cell r="L6694" t="str">
            <v>HQ Salaries</v>
          </cell>
          <cell r="N6694" t="str">
            <v>SG&amp;A</v>
          </cell>
          <cell r="O6694" t="str">
            <v>[No Vendor]</v>
          </cell>
        </row>
        <row r="6695">
          <cell r="D6695">
            <v>-343.68</v>
          </cell>
          <cell r="H6695">
            <v>45689</v>
          </cell>
          <cell r="I6695" t="str">
            <v>6040 - Employer Paid Benefits</v>
          </cell>
          <cell r="J6695">
            <v>0</v>
          </cell>
          <cell r="K6695" t="str">
            <v>Design</v>
          </cell>
          <cell r="L6695" t="str">
            <v>HQ Salaries</v>
          </cell>
          <cell r="N6695" t="str">
            <v>SG&amp;A</v>
          </cell>
          <cell r="O6695" t="str">
            <v>[No Vendor]</v>
          </cell>
        </row>
        <row r="6696">
          <cell r="D6696">
            <v>-200.39</v>
          </cell>
          <cell r="H6696">
            <v>45689</v>
          </cell>
          <cell r="I6696" t="str">
            <v>6040 - Employer Paid Benefits</v>
          </cell>
          <cell r="J6696">
            <v>0</v>
          </cell>
          <cell r="K6696" t="str">
            <v>Administration</v>
          </cell>
          <cell r="L6696" t="str">
            <v>HQ Salaries</v>
          </cell>
          <cell r="N6696" t="str">
            <v>SG&amp;A</v>
          </cell>
          <cell r="O6696" t="str">
            <v>[No Vendor]</v>
          </cell>
        </row>
        <row r="6697">
          <cell r="D6697">
            <v>-22.58</v>
          </cell>
          <cell r="H6697">
            <v>45689</v>
          </cell>
          <cell r="I6697" t="str">
            <v>6040 - Employer Paid Benefits</v>
          </cell>
          <cell r="J6697">
            <v>0</v>
          </cell>
          <cell r="K6697" t="str">
            <v>Merchandising</v>
          </cell>
          <cell r="L6697" t="str">
            <v>HQ Salaries</v>
          </cell>
          <cell r="N6697" t="str">
            <v>SG&amp;A</v>
          </cell>
          <cell r="O6697" t="str">
            <v>[No Vendor]</v>
          </cell>
        </row>
        <row r="6698">
          <cell r="D6698">
            <v>-64.92</v>
          </cell>
          <cell r="H6698">
            <v>45689</v>
          </cell>
          <cell r="I6698" t="str">
            <v>6040 - Employer Paid Benefits</v>
          </cell>
          <cell r="J6698" t="str">
            <v>Wholesale</v>
          </cell>
          <cell r="K6698" t="str">
            <v>Wholesale</v>
          </cell>
          <cell r="L6698" t="str">
            <v>HQ Salaries</v>
          </cell>
          <cell r="N6698" t="str">
            <v>SG&amp;A</v>
          </cell>
          <cell r="O6698" t="str">
            <v>[No Vendor]</v>
          </cell>
        </row>
        <row r="6699">
          <cell r="D6699">
            <v>-241.2</v>
          </cell>
          <cell r="H6699">
            <v>45689</v>
          </cell>
          <cell r="I6699" t="str">
            <v>6040 - Employer Paid Benefits</v>
          </cell>
          <cell r="J6699">
            <v>0</v>
          </cell>
          <cell r="K6699" t="str">
            <v>Production</v>
          </cell>
          <cell r="L6699" t="str">
            <v>HQ Salaries</v>
          </cell>
          <cell r="N6699" t="str">
            <v>SG&amp;A</v>
          </cell>
          <cell r="O6699" t="str">
            <v>[No Vendor]</v>
          </cell>
        </row>
        <row r="6700">
          <cell r="D6700">
            <v>-22.58</v>
          </cell>
          <cell r="H6700">
            <v>45689</v>
          </cell>
          <cell r="I6700" t="str">
            <v>6040 - Employer Paid Benefits</v>
          </cell>
          <cell r="J6700">
            <v>0</v>
          </cell>
          <cell r="K6700" t="str">
            <v>Brand Marketing</v>
          </cell>
          <cell r="L6700" t="str">
            <v>HQ Salaries</v>
          </cell>
          <cell r="N6700" t="str">
            <v>SG&amp;A</v>
          </cell>
          <cell r="O6700" t="str">
            <v>[No Vendor]</v>
          </cell>
        </row>
        <row r="6701">
          <cell r="D6701">
            <v>11153.85</v>
          </cell>
          <cell r="H6701">
            <v>45689</v>
          </cell>
          <cell r="I6701" t="str">
            <v>6005 - Salaries</v>
          </cell>
          <cell r="J6701">
            <v>0</v>
          </cell>
          <cell r="K6701" t="str">
            <v>Executive</v>
          </cell>
          <cell r="L6701" t="str">
            <v>HQ Salaries</v>
          </cell>
          <cell r="N6701" t="str">
            <v>SG&amp;A</v>
          </cell>
          <cell r="O6701" t="str">
            <v>[No Vendor]</v>
          </cell>
        </row>
        <row r="6702">
          <cell r="D6702">
            <v>20780.8</v>
          </cell>
          <cell r="H6702">
            <v>45689</v>
          </cell>
          <cell r="I6702" t="str">
            <v>6005 - Salaries</v>
          </cell>
          <cell r="J6702" t="str">
            <v>Ecommerce (US)</v>
          </cell>
          <cell r="K6702" t="str">
            <v>Ecommerce</v>
          </cell>
          <cell r="L6702" t="str">
            <v>HQ Salaries</v>
          </cell>
          <cell r="N6702" t="str">
            <v>SG&amp;A</v>
          </cell>
          <cell r="O6702" t="str">
            <v>[No Vendor]</v>
          </cell>
        </row>
        <row r="6703">
          <cell r="D6703">
            <v>21388.47</v>
          </cell>
          <cell r="H6703">
            <v>45689</v>
          </cell>
          <cell r="I6703" t="str">
            <v>6005 - Salaries</v>
          </cell>
          <cell r="J6703">
            <v>0</v>
          </cell>
          <cell r="K6703" t="str">
            <v>Design</v>
          </cell>
          <cell r="L6703" t="str">
            <v>HQ Salaries</v>
          </cell>
          <cell r="N6703" t="str">
            <v>SG&amp;A</v>
          </cell>
          <cell r="O6703" t="str">
            <v>[No Vendor]</v>
          </cell>
        </row>
        <row r="6704">
          <cell r="D6704">
            <v>3846.15</v>
          </cell>
          <cell r="H6704">
            <v>45689</v>
          </cell>
          <cell r="I6704" t="str">
            <v>6005 - Salaries</v>
          </cell>
          <cell r="J6704">
            <v>0</v>
          </cell>
          <cell r="K6704" t="str">
            <v>Merchandising</v>
          </cell>
          <cell r="L6704" t="str">
            <v>HQ Salaries</v>
          </cell>
          <cell r="N6704" t="str">
            <v>SG&amp;A</v>
          </cell>
          <cell r="O6704" t="str">
            <v>[No Vendor]</v>
          </cell>
        </row>
        <row r="6705">
          <cell r="D6705">
            <v>11923.08</v>
          </cell>
          <cell r="H6705">
            <v>45689</v>
          </cell>
          <cell r="I6705" t="str">
            <v>6005 - Salaries</v>
          </cell>
          <cell r="J6705" t="str">
            <v>Wholesale</v>
          </cell>
          <cell r="K6705" t="str">
            <v>Wholesale</v>
          </cell>
          <cell r="L6705" t="str">
            <v>HQ Salaries</v>
          </cell>
          <cell r="N6705" t="str">
            <v>SG&amp;A</v>
          </cell>
          <cell r="O6705" t="str">
            <v>[No Vendor]</v>
          </cell>
        </row>
        <row r="6706">
          <cell r="D6706">
            <v>11642.33</v>
          </cell>
          <cell r="H6706">
            <v>45689</v>
          </cell>
          <cell r="I6706" t="str">
            <v>6005 - Salaries</v>
          </cell>
          <cell r="J6706">
            <v>0</v>
          </cell>
          <cell r="K6706" t="str">
            <v>Production</v>
          </cell>
          <cell r="L6706" t="str">
            <v>HQ Salaries</v>
          </cell>
          <cell r="N6706" t="str">
            <v>SG&amp;A</v>
          </cell>
          <cell r="O6706" t="str">
            <v>[No Vendor]</v>
          </cell>
        </row>
        <row r="6707">
          <cell r="D6707">
            <v>3269.24</v>
          </cell>
          <cell r="H6707">
            <v>45689</v>
          </cell>
          <cell r="I6707" t="str">
            <v>6005 - Salaries</v>
          </cell>
          <cell r="J6707">
            <v>0</v>
          </cell>
          <cell r="K6707" t="str">
            <v>Brand Marketing</v>
          </cell>
          <cell r="L6707" t="str">
            <v>HQ Salaries</v>
          </cell>
          <cell r="N6707" t="str">
            <v>SG&amp;A</v>
          </cell>
          <cell r="O6707" t="str">
            <v>[No Vendor]</v>
          </cell>
        </row>
        <row r="6708">
          <cell r="D6708">
            <v>428.93</v>
          </cell>
          <cell r="H6708">
            <v>45689</v>
          </cell>
          <cell r="I6708" t="str">
            <v>6375 - Freight Expenses</v>
          </cell>
          <cell r="J6708" t="str">
            <v>Wholesale</v>
          </cell>
          <cell r="K6708" t="str">
            <v>Wholesale</v>
          </cell>
          <cell r="L6708" t="str">
            <v>Freight</v>
          </cell>
          <cell r="N6708" t="str">
            <v>Direct Costs</v>
          </cell>
          <cell r="O6708" t="str">
            <v>UPS Supply Chain Solutions Inc. (7F24A0)</v>
          </cell>
        </row>
        <row r="6709">
          <cell r="D6709">
            <v>17356.55</v>
          </cell>
          <cell r="H6709">
            <v>45689</v>
          </cell>
          <cell r="I6709" t="str">
            <v>6375 - Freight Expenses</v>
          </cell>
          <cell r="J6709" t="str">
            <v>Ecommerce (US)</v>
          </cell>
          <cell r="K6709" t="str">
            <v>Ecommerce</v>
          </cell>
          <cell r="L6709" t="str">
            <v>Freight</v>
          </cell>
          <cell r="N6709" t="str">
            <v>Direct Costs</v>
          </cell>
          <cell r="O6709" t="str">
            <v>UPS Supply Chain Solutions Inc. (7F24A0)</v>
          </cell>
        </row>
        <row r="6710">
          <cell r="D6710">
            <v>616.02</v>
          </cell>
          <cell r="H6710">
            <v>45689</v>
          </cell>
          <cell r="I6710" t="str">
            <v>6105 - Meals</v>
          </cell>
          <cell r="J6710">
            <v>0</v>
          </cell>
          <cell r="K6710" t="str">
            <v>Administration</v>
          </cell>
          <cell r="L6710" t="str">
            <v>T&amp;E</v>
          </cell>
          <cell r="N6710" t="str">
            <v>SG&amp;A</v>
          </cell>
          <cell r="O6710" t="str">
            <v>[No Vendor]</v>
          </cell>
        </row>
        <row r="6711">
          <cell r="D6711">
            <v>139.07</v>
          </cell>
          <cell r="H6711">
            <v>45689</v>
          </cell>
          <cell r="I6711" t="str">
            <v>6125 - Transportation and Fuel</v>
          </cell>
          <cell r="J6711">
            <v>0</v>
          </cell>
          <cell r="K6711" t="str">
            <v>Merchandising</v>
          </cell>
          <cell r="L6711" t="str">
            <v>T&amp;E</v>
          </cell>
          <cell r="N6711" t="str">
            <v>SG&amp;A</v>
          </cell>
          <cell r="O6711" t="str">
            <v>[No Vendor]</v>
          </cell>
        </row>
        <row r="6712">
          <cell r="D6712">
            <v>34.22</v>
          </cell>
          <cell r="H6712">
            <v>45689</v>
          </cell>
          <cell r="I6712" t="str">
            <v>6375 - Freight Expenses</v>
          </cell>
          <cell r="J6712" t="str">
            <v>Ecommerce (US)</v>
          </cell>
          <cell r="K6712" t="str">
            <v>Ecommerce</v>
          </cell>
          <cell r="L6712" t="str">
            <v>Freight</v>
          </cell>
          <cell r="N6712" t="str">
            <v>Direct Costs</v>
          </cell>
          <cell r="O6712" t="str">
            <v>UPS Supply Chain Solutions Inc. (7F24A0)</v>
          </cell>
        </row>
        <row r="6713">
          <cell r="D6713">
            <v>1370</v>
          </cell>
          <cell r="H6713">
            <v>45689</v>
          </cell>
          <cell r="I6713" t="str">
            <v>6380 - Legal &amp; Accounting</v>
          </cell>
          <cell r="J6713">
            <v>0</v>
          </cell>
          <cell r="K6713" t="str">
            <v>Administration</v>
          </cell>
          <cell r="L6713" t="str">
            <v>Professional Service</v>
          </cell>
          <cell r="N6713" t="str">
            <v>SG&amp;A</v>
          </cell>
          <cell r="O6713" t="str">
            <v>Ko &amp; Yun, LLP - Operations</v>
          </cell>
        </row>
        <row r="6714">
          <cell r="D6714">
            <v>610</v>
          </cell>
          <cell r="H6714">
            <v>45689</v>
          </cell>
          <cell r="I6714" t="str">
            <v>6380 - Legal &amp; Accounting</v>
          </cell>
          <cell r="J6714">
            <v>0</v>
          </cell>
          <cell r="K6714" t="str">
            <v>Administration</v>
          </cell>
          <cell r="L6714" t="str">
            <v>Professional Service</v>
          </cell>
          <cell r="N6714" t="str">
            <v>SG&amp;A</v>
          </cell>
          <cell r="O6714" t="str">
            <v>Ko &amp; Yun, LLP - IP Holding</v>
          </cell>
        </row>
        <row r="6715">
          <cell r="D6715">
            <v>75</v>
          </cell>
          <cell r="H6715">
            <v>45689</v>
          </cell>
          <cell r="I6715" t="str">
            <v>6240 - Product Photography</v>
          </cell>
          <cell r="J6715" t="str">
            <v>Ecommerce (US)</v>
          </cell>
          <cell r="K6715" t="str">
            <v>Brand Marketing</v>
          </cell>
          <cell r="L6715" t="str">
            <v>Advertising</v>
          </cell>
          <cell r="N6715" t="str">
            <v>SG&amp;A</v>
          </cell>
          <cell r="O6715" t="str">
            <v>LENFLASH dot COM</v>
          </cell>
        </row>
        <row r="6716">
          <cell r="D6716">
            <v>35.53</v>
          </cell>
          <cell r="H6716">
            <v>45689</v>
          </cell>
          <cell r="I6716" t="str">
            <v>6375 - Freight Expenses</v>
          </cell>
          <cell r="J6716">
            <v>0</v>
          </cell>
          <cell r="K6716" t="str">
            <v>Production</v>
          </cell>
          <cell r="L6716" t="str">
            <v>Freight</v>
          </cell>
          <cell r="N6716" t="str">
            <v>Direct Costs</v>
          </cell>
          <cell r="O6716" t="str">
            <v>Federal Express</v>
          </cell>
        </row>
        <row r="6717">
          <cell r="D6717">
            <v>-2473.92</v>
          </cell>
          <cell r="H6717">
            <v>45689</v>
          </cell>
          <cell r="I6717" t="str">
            <v>8700 - Other Expense</v>
          </cell>
          <cell r="J6717">
            <v>0</v>
          </cell>
          <cell r="K6717" t="str">
            <v>Administration</v>
          </cell>
          <cell r="L6717" t="str">
            <v>Other Expense</v>
          </cell>
          <cell r="N6717" t="str">
            <v>BTL</v>
          </cell>
          <cell r="O6717" t="str">
            <v>Bryan Cave Leighton Paisner LLP</v>
          </cell>
        </row>
        <row r="6718">
          <cell r="D6718">
            <v>-245.85</v>
          </cell>
          <cell r="H6718">
            <v>45689</v>
          </cell>
          <cell r="I6718" t="str">
            <v>8700 - Other Expense</v>
          </cell>
          <cell r="J6718">
            <v>0</v>
          </cell>
          <cell r="K6718" t="str">
            <v>Administration</v>
          </cell>
          <cell r="L6718" t="str">
            <v>Other Expense</v>
          </cell>
          <cell r="N6718" t="str">
            <v>BTL</v>
          </cell>
          <cell r="O6718" t="str">
            <v>Bryan Cave Leighton Paisner LLP</v>
          </cell>
        </row>
        <row r="6719">
          <cell r="D6719">
            <v>90.6</v>
          </cell>
          <cell r="H6719">
            <v>45689</v>
          </cell>
          <cell r="I6719" t="str">
            <v>8505 - Realized Gain/Loss</v>
          </cell>
          <cell r="J6719">
            <v>0</v>
          </cell>
          <cell r="K6719" t="str">
            <v>No Department</v>
          </cell>
          <cell r="L6719" t="str">
            <v>Realized Gain / Loss</v>
          </cell>
          <cell r="N6719" t="str">
            <v>BTL</v>
          </cell>
          <cell r="O6719" t="str">
            <v>[No Vendor]</v>
          </cell>
        </row>
        <row r="6720">
          <cell r="D6720">
            <v>4000</v>
          </cell>
          <cell r="H6720">
            <v>45689</v>
          </cell>
          <cell r="I6720" t="str">
            <v>6375 - Freight Expenses</v>
          </cell>
          <cell r="J6720" t="str">
            <v>Ecommerce (US)</v>
          </cell>
          <cell r="K6720" t="str">
            <v>Ecommerce</v>
          </cell>
          <cell r="L6720" t="str">
            <v>Freight</v>
          </cell>
          <cell r="N6720" t="str">
            <v>Direct Costs</v>
          </cell>
          <cell r="O6720" t="str">
            <v>Easy Post</v>
          </cell>
        </row>
        <row r="6721">
          <cell r="D6721">
            <v>25</v>
          </cell>
          <cell r="H6721">
            <v>45689</v>
          </cell>
          <cell r="I6721" t="str">
            <v>6040 - Employer Paid Benefits</v>
          </cell>
          <cell r="J6721">
            <v>0</v>
          </cell>
          <cell r="K6721" t="str">
            <v>Administration</v>
          </cell>
          <cell r="L6721" t="str">
            <v>HQ Salaries</v>
          </cell>
          <cell r="N6721" t="str">
            <v>SG&amp;A</v>
          </cell>
          <cell r="O6721" t="str">
            <v>Lifetime Benefit Solutions, Inc</v>
          </cell>
        </row>
        <row r="6722">
          <cell r="D6722">
            <v>886.82</v>
          </cell>
          <cell r="H6722">
            <v>45689</v>
          </cell>
          <cell r="I6722" t="str">
            <v>6393 - Software</v>
          </cell>
          <cell r="J6722" t="str">
            <v>Wholesale</v>
          </cell>
          <cell r="K6722" t="str">
            <v>Wholesale</v>
          </cell>
          <cell r="L6722" t="str">
            <v>Professional Service</v>
          </cell>
          <cell r="N6722" t="str">
            <v>Direct Costs</v>
          </cell>
          <cell r="O6722" t="str">
            <v>SPS Commerce</v>
          </cell>
        </row>
        <row r="6723">
          <cell r="D6723">
            <v>5788.43</v>
          </cell>
          <cell r="H6723">
            <v>45689</v>
          </cell>
          <cell r="I6723" t="str">
            <v>6210 - Monitoring</v>
          </cell>
          <cell r="J6723" t="str">
            <v>Ecommerce (EU)</v>
          </cell>
          <cell r="K6723" t="str">
            <v>Ecommerce</v>
          </cell>
          <cell r="L6723" t="str">
            <v>Professional Service</v>
          </cell>
          <cell r="N6723" t="str">
            <v>Direct Costs</v>
          </cell>
          <cell r="O6723" t="str">
            <v>Convey SRL</v>
          </cell>
        </row>
        <row r="6724">
          <cell r="D6724">
            <v>47.56</v>
          </cell>
          <cell r="H6724">
            <v>45689</v>
          </cell>
          <cell r="I6724" t="str">
            <v>6375 - Freight Expenses</v>
          </cell>
          <cell r="J6724">
            <v>0</v>
          </cell>
          <cell r="K6724" t="str">
            <v>Production</v>
          </cell>
          <cell r="L6724" t="str">
            <v>Freight</v>
          </cell>
          <cell r="N6724" t="str">
            <v>Direct Costs</v>
          </cell>
          <cell r="O6724" t="str">
            <v>DHL Express - USA</v>
          </cell>
        </row>
        <row r="6725">
          <cell r="D6725">
            <v>252.32</v>
          </cell>
          <cell r="H6725">
            <v>45689</v>
          </cell>
          <cell r="I6725" t="str">
            <v>6040 - Employer Paid Benefits</v>
          </cell>
          <cell r="J6725">
            <v>0</v>
          </cell>
          <cell r="K6725" t="str">
            <v>Administration</v>
          </cell>
          <cell r="L6725" t="str">
            <v>HQ Salaries</v>
          </cell>
          <cell r="N6725" t="str">
            <v>SG&amp;A</v>
          </cell>
          <cell r="O6725" t="str">
            <v>Procyon Benefits LLC</v>
          </cell>
        </row>
        <row r="6726">
          <cell r="D6726">
            <v>675</v>
          </cell>
          <cell r="H6726">
            <v>45689</v>
          </cell>
          <cell r="I6726" t="str">
            <v>6300 - Payroll Service Fees</v>
          </cell>
          <cell r="J6726">
            <v>0</v>
          </cell>
          <cell r="K6726" t="str">
            <v>Administration</v>
          </cell>
          <cell r="L6726" t="str">
            <v>Professional Service</v>
          </cell>
          <cell r="N6726" t="str">
            <v>SG&amp;A</v>
          </cell>
          <cell r="O6726" t="str">
            <v>OperationsInc, LLC</v>
          </cell>
        </row>
        <row r="6727">
          <cell r="D6727">
            <v>191.16</v>
          </cell>
          <cell r="H6727">
            <v>45689</v>
          </cell>
          <cell r="I6727" t="str">
            <v>6300 - Payroll Service Fees</v>
          </cell>
          <cell r="J6727">
            <v>0</v>
          </cell>
          <cell r="K6727" t="str">
            <v>Administration</v>
          </cell>
          <cell r="L6727" t="str">
            <v>Professional Service</v>
          </cell>
          <cell r="N6727" t="str">
            <v>SG&amp;A</v>
          </cell>
          <cell r="O6727" t="str">
            <v>ADP Payroll Services</v>
          </cell>
        </row>
        <row r="6728">
          <cell r="D6728">
            <v>43.5</v>
          </cell>
          <cell r="H6728">
            <v>45689</v>
          </cell>
          <cell r="I6728" t="str">
            <v>6375 - Freight Expenses</v>
          </cell>
          <cell r="J6728">
            <v>0</v>
          </cell>
          <cell r="K6728" t="str">
            <v>Production</v>
          </cell>
          <cell r="L6728" t="str">
            <v>Freight</v>
          </cell>
          <cell r="N6728" t="str">
            <v>Direct Costs</v>
          </cell>
          <cell r="O6728" t="str">
            <v>DHL Express - USA</v>
          </cell>
        </row>
        <row r="6729">
          <cell r="D6729">
            <v>755.32</v>
          </cell>
          <cell r="H6729">
            <v>45689</v>
          </cell>
          <cell r="I6729" t="str">
            <v>6375 - Freight Expenses</v>
          </cell>
          <cell r="J6729" t="str">
            <v>Ecommerce (US)</v>
          </cell>
          <cell r="K6729" t="str">
            <v>Ecommerce</v>
          </cell>
          <cell r="L6729" t="str">
            <v>Freight</v>
          </cell>
          <cell r="N6729" t="str">
            <v>Direct Costs</v>
          </cell>
          <cell r="O6729" t="str">
            <v>UPS Supply Chain Solutions Inc. (7F24A0)</v>
          </cell>
        </row>
        <row r="6730">
          <cell r="D6730">
            <v>548.66999999999996</v>
          </cell>
          <cell r="H6730">
            <v>45689</v>
          </cell>
          <cell r="I6730" t="str">
            <v>6040 - Employer Paid Benefits</v>
          </cell>
          <cell r="J6730" t="str">
            <v>Wholesale</v>
          </cell>
          <cell r="K6730" t="str">
            <v>Wholesale</v>
          </cell>
          <cell r="L6730" t="str">
            <v>HQ Salaries</v>
          </cell>
          <cell r="N6730" t="str">
            <v>SG&amp;A</v>
          </cell>
          <cell r="O6730" t="str">
            <v>Procyon Benefits LLC</v>
          </cell>
        </row>
        <row r="6731">
          <cell r="D6731">
            <v>241.2</v>
          </cell>
          <cell r="H6731">
            <v>45689</v>
          </cell>
          <cell r="I6731" t="str">
            <v>6040 - Employer Paid Benefits</v>
          </cell>
          <cell r="J6731">
            <v>0</v>
          </cell>
          <cell r="K6731" t="str">
            <v>Production</v>
          </cell>
          <cell r="L6731" t="str">
            <v>HQ Salaries</v>
          </cell>
          <cell r="N6731" t="str">
            <v>SG&amp;A</v>
          </cell>
          <cell r="O6731" t="str">
            <v>Procyon Benefits LLC</v>
          </cell>
        </row>
        <row r="6732">
          <cell r="D6732">
            <v>34</v>
          </cell>
          <cell r="H6732">
            <v>45689</v>
          </cell>
          <cell r="I6732" t="str">
            <v>6040 - Employer Paid Benefits</v>
          </cell>
          <cell r="J6732">
            <v>0</v>
          </cell>
          <cell r="K6732" t="str">
            <v>Brand Marketing</v>
          </cell>
          <cell r="L6732" t="str">
            <v>HQ Salaries</v>
          </cell>
          <cell r="N6732" t="str">
            <v>SG&amp;A</v>
          </cell>
          <cell r="O6732" t="str">
            <v>Procyon Benefits LLC</v>
          </cell>
        </row>
        <row r="6733">
          <cell r="D6733">
            <v>86</v>
          </cell>
          <cell r="H6733">
            <v>45689</v>
          </cell>
          <cell r="I6733" t="str">
            <v>6040 - Employer Paid Benefits</v>
          </cell>
          <cell r="J6733" t="str">
            <v>Ecommerce (US)</v>
          </cell>
          <cell r="K6733" t="str">
            <v>Ecommerce</v>
          </cell>
          <cell r="L6733" t="str">
            <v>HQ Salaries</v>
          </cell>
          <cell r="N6733" t="str">
            <v>SG&amp;A</v>
          </cell>
          <cell r="O6733" t="str">
            <v>Procyon Benefits LLC</v>
          </cell>
        </row>
        <row r="6734">
          <cell r="D6734">
            <v>71</v>
          </cell>
          <cell r="H6734">
            <v>45689</v>
          </cell>
          <cell r="I6734" t="str">
            <v>6040 - Employer Paid Benefits</v>
          </cell>
          <cell r="J6734">
            <v>0</v>
          </cell>
          <cell r="K6734" t="str">
            <v>Executive</v>
          </cell>
          <cell r="L6734" t="str">
            <v>HQ Salaries</v>
          </cell>
          <cell r="N6734" t="str">
            <v>SG&amp;A</v>
          </cell>
          <cell r="O6734" t="str">
            <v>Procyon Benefits LLC</v>
          </cell>
        </row>
        <row r="6735">
          <cell r="D6735">
            <v>74.400000000000006</v>
          </cell>
          <cell r="H6735">
            <v>45689</v>
          </cell>
          <cell r="I6735" t="str">
            <v>6040 - Employer Paid Benefits</v>
          </cell>
          <cell r="J6735">
            <v>0</v>
          </cell>
          <cell r="K6735" t="str">
            <v>Design</v>
          </cell>
          <cell r="L6735" t="str">
            <v>HQ Salaries</v>
          </cell>
          <cell r="N6735" t="str">
            <v>SG&amp;A</v>
          </cell>
          <cell r="O6735" t="str">
            <v>Procyon Benefits LLC</v>
          </cell>
        </row>
        <row r="6736">
          <cell r="D6736">
            <v>801.09</v>
          </cell>
          <cell r="H6736">
            <v>45689</v>
          </cell>
          <cell r="I6736" t="str">
            <v>6040 - Employer Paid Benefits</v>
          </cell>
          <cell r="J6736">
            <v>0</v>
          </cell>
          <cell r="K6736" t="str">
            <v>Administration</v>
          </cell>
          <cell r="L6736" t="str">
            <v>HQ Salaries</v>
          </cell>
          <cell r="N6736" t="str">
            <v>SG&amp;A</v>
          </cell>
          <cell r="O6736" t="str">
            <v>Procyon Benefits LLC</v>
          </cell>
        </row>
        <row r="6737">
          <cell r="D6737">
            <v>-119.57</v>
          </cell>
          <cell r="H6737">
            <v>45689</v>
          </cell>
          <cell r="I6737" t="str">
            <v>6375 - Freight Expenses</v>
          </cell>
          <cell r="J6737">
            <v>0</v>
          </cell>
          <cell r="K6737" t="str">
            <v>No Department</v>
          </cell>
          <cell r="L6737" t="str">
            <v>Freight</v>
          </cell>
          <cell r="N6737" t="str">
            <v>Direct Costs</v>
          </cell>
          <cell r="O6737" t="str">
            <v>Bergen Logistics Corporation</v>
          </cell>
        </row>
        <row r="6738">
          <cell r="D6738">
            <v>80.010000000000005</v>
          </cell>
          <cell r="H6738">
            <v>45689</v>
          </cell>
          <cell r="I6738" t="str">
            <v>6375 - Freight Expenses</v>
          </cell>
          <cell r="J6738" t="str">
            <v>Ecommerce (US)</v>
          </cell>
          <cell r="K6738" t="str">
            <v>Ecommerce</v>
          </cell>
          <cell r="L6738" t="str">
            <v>Freight</v>
          </cell>
          <cell r="N6738" t="str">
            <v>Direct Costs</v>
          </cell>
          <cell r="O6738" t="str">
            <v>UPS Supply Chain Solutions Inc. (7F24A0)</v>
          </cell>
        </row>
        <row r="6739">
          <cell r="D6739">
            <v>600</v>
          </cell>
          <cell r="H6739">
            <v>45689</v>
          </cell>
          <cell r="I6739" t="str">
            <v>6288 - Model</v>
          </cell>
          <cell r="J6739" t="str">
            <v>Ecommerce (US)</v>
          </cell>
          <cell r="K6739" t="str">
            <v>Brand Marketing</v>
          </cell>
          <cell r="L6739" t="str">
            <v>Advertising</v>
          </cell>
          <cell r="N6739" t="str">
            <v>SG&amp;A</v>
          </cell>
          <cell r="O6739" t="str">
            <v>State Artist Management</v>
          </cell>
        </row>
        <row r="6740">
          <cell r="D6740">
            <v>126.5</v>
          </cell>
          <cell r="H6740">
            <v>45689</v>
          </cell>
          <cell r="I6740" t="str">
            <v>6040 - Employer Paid Benefits</v>
          </cell>
          <cell r="J6740">
            <v>0</v>
          </cell>
          <cell r="K6740" t="str">
            <v>Administration</v>
          </cell>
          <cell r="L6740" t="str">
            <v>HQ Salaries</v>
          </cell>
          <cell r="N6740" t="str">
            <v>SG&amp;A</v>
          </cell>
          <cell r="O6740" t="str">
            <v>Progressive Benefit Solutions LLC</v>
          </cell>
        </row>
        <row r="6741">
          <cell r="D6741">
            <v>2757.57</v>
          </cell>
          <cell r="H6741">
            <v>45689</v>
          </cell>
          <cell r="I6741" t="str">
            <v>6379 - Warehouse Storage</v>
          </cell>
          <cell r="J6741" t="str">
            <v>Wholesale</v>
          </cell>
          <cell r="K6741" t="str">
            <v>Wholesale</v>
          </cell>
          <cell r="L6741" t="str">
            <v>Order Processing</v>
          </cell>
          <cell r="N6741" t="str">
            <v>Direct Costs</v>
          </cell>
          <cell r="O6741" t="str">
            <v>Bergen Logistics Corporation</v>
          </cell>
        </row>
        <row r="6742">
          <cell r="D6742">
            <v>10710.73</v>
          </cell>
          <cell r="H6742">
            <v>45689</v>
          </cell>
          <cell r="I6742" t="str">
            <v>6379 - Warehouse Storage</v>
          </cell>
          <cell r="J6742" t="str">
            <v>Ecommerce (US)</v>
          </cell>
          <cell r="K6742" t="str">
            <v>Ecommerce</v>
          </cell>
          <cell r="L6742" t="str">
            <v>Order Processing</v>
          </cell>
          <cell r="N6742" t="str">
            <v>Direct Costs</v>
          </cell>
          <cell r="O6742" t="str">
            <v>Bergen Logistics Corporation</v>
          </cell>
        </row>
        <row r="6743">
          <cell r="D6743">
            <v>297.04000000000002</v>
          </cell>
          <cell r="H6743">
            <v>45689</v>
          </cell>
          <cell r="I6743" t="str">
            <v>6376 - Freight Supplies Other</v>
          </cell>
          <cell r="J6743" t="str">
            <v>Wholesale</v>
          </cell>
          <cell r="K6743" t="str">
            <v>Wholesale</v>
          </cell>
          <cell r="L6743" t="str">
            <v>Order Processing</v>
          </cell>
          <cell r="N6743" t="str">
            <v>Direct Costs</v>
          </cell>
          <cell r="O6743" t="str">
            <v>Bergen Logistics Corporation</v>
          </cell>
        </row>
        <row r="6744">
          <cell r="D6744">
            <v>118.92</v>
          </cell>
          <cell r="H6744">
            <v>45689</v>
          </cell>
          <cell r="I6744" t="str">
            <v>6376 - Freight Supplies Other</v>
          </cell>
          <cell r="J6744" t="str">
            <v>Ecommerce (EU)</v>
          </cell>
          <cell r="K6744" t="str">
            <v>Ecommerce</v>
          </cell>
          <cell r="L6744" t="str">
            <v>Order Processing</v>
          </cell>
          <cell r="N6744" t="str">
            <v>Direct Costs</v>
          </cell>
          <cell r="O6744" t="str">
            <v>Bergen Logistics Corporation</v>
          </cell>
        </row>
        <row r="6745">
          <cell r="D6745">
            <v>1848.99</v>
          </cell>
          <cell r="H6745">
            <v>45689</v>
          </cell>
          <cell r="I6745" t="str">
            <v>6376 - Freight Supplies Other</v>
          </cell>
          <cell r="J6745" t="str">
            <v>Ecommerce (US)</v>
          </cell>
          <cell r="K6745" t="str">
            <v>Ecommerce</v>
          </cell>
          <cell r="L6745" t="str">
            <v>Order Processing</v>
          </cell>
          <cell r="N6745" t="str">
            <v>Direct Costs</v>
          </cell>
          <cell r="O6745" t="str">
            <v>Bergen Logistics Corporation</v>
          </cell>
        </row>
        <row r="6746">
          <cell r="D6746">
            <v>679.23</v>
          </cell>
          <cell r="H6746">
            <v>45689</v>
          </cell>
          <cell r="I6746" t="str">
            <v>6285 - SEM Brand Marketing</v>
          </cell>
          <cell r="J6746" t="str">
            <v>Ecommerce (EU)</v>
          </cell>
          <cell r="K6746" t="str">
            <v>Brand Marketing</v>
          </cell>
          <cell r="L6746" t="str">
            <v>Advertising</v>
          </cell>
          <cell r="N6746" t="str">
            <v>SG&amp;A</v>
          </cell>
          <cell r="O6746" t="str">
            <v>Google</v>
          </cell>
        </row>
        <row r="6747">
          <cell r="D6747">
            <v>12166.8</v>
          </cell>
          <cell r="H6747">
            <v>45689</v>
          </cell>
          <cell r="I6747" t="str">
            <v>6285 - SEM Brand Marketing</v>
          </cell>
          <cell r="J6747" t="str">
            <v>Ecommerce (US)</v>
          </cell>
          <cell r="K6747" t="str">
            <v>Brand Marketing</v>
          </cell>
          <cell r="L6747" t="str">
            <v>Advertising</v>
          </cell>
          <cell r="N6747" t="str">
            <v>SG&amp;A</v>
          </cell>
          <cell r="O6747" t="str">
            <v>Google</v>
          </cell>
        </row>
        <row r="6748">
          <cell r="D6748">
            <v>2211.9699999999998</v>
          </cell>
          <cell r="H6748">
            <v>45689</v>
          </cell>
          <cell r="I6748" t="str">
            <v>6377 - Order Processing Expenses (New)</v>
          </cell>
          <cell r="J6748" t="str">
            <v>Wholesale</v>
          </cell>
          <cell r="K6748" t="str">
            <v>Wholesale</v>
          </cell>
          <cell r="L6748" t="str">
            <v>Order Processing</v>
          </cell>
          <cell r="N6748" t="str">
            <v>Direct Costs</v>
          </cell>
          <cell r="O6748" t="str">
            <v>Bergen Logistics Corporation</v>
          </cell>
        </row>
        <row r="6749">
          <cell r="D6749">
            <v>861.83</v>
          </cell>
          <cell r="H6749">
            <v>45689</v>
          </cell>
          <cell r="I6749" t="str">
            <v>6377 - Order Processing Expenses (New)</v>
          </cell>
          <cell r="J6749" t="str">
            <v>Ecommerce (EU)</v>
          </cell>
          <cell r="K6749" t="str">
            <v>Ecommerce</v>
          </cell>
          <cell r="L6749" t="str">
            <v>Order Processing</v>
          </cell>
          <cell r="N6749" t="str">
            <v>Direct Costs</v>
          </cell>
          <cell r="O6749" t="str">
            <v>Bergen Logistics Corporation</v>
          </cell>
        </row>
        <row r="6750">
          <cell r="D6750">
            <v>12026.34</v>
          </cell>
          <cell r="H6750">
            <v>45689</v>
          </cell>
          <cell r="I6750" t="str">
            <v>6377 - Order Processing Expenses (New)</v>
          </cell>
          <cell r="J6750" t="str">
            <v>Ecommerce (US)</v>
          </cell>
          <cell r="K6750" t="str">
            <v>Ecommerce</v>
          </cell>
          <cell r="L6750" t="str">
            <v>Order Processing</v>
          </cell>
          <cell r="N6750" t="str">
            <v>Direct Costs</v>
          </cell>
          <cell r="O6750" t="str">
            <v>Bergen Logistics Corporation</v>
          </cell>
        </row>
        <row r="6751">
          <cell r="D6751">
            <v>30</v>
          </cell>
          <cell r="H6751">
            <v>45689</v>
          </cell>
          <cell r="I6751" t="str">
            <v>6393 - Software</v>
          </cell>
          <cell r="J6751">
            <v>0</v>
          </cell>
          <cell r="K6751" t="str">
            <v>Brand Marketing</v>
          </cell>
          <cell r="L6751" t="str">
            <v>Professional Service</v>
          </cell>
          <cell r="N6751" t="str">
            <v>Direct Costs</v>
          </cell>
          <cell r="O6751" t="str">
            <v>Canva</v>
          </cell>
        </row>
        <row r="6752">
          <cell r="D6752">
            <v>21.78</v>
          </cell>
          <cell r="H6752">
            <v>45689</v>
          </cell>
          <cell r="I6752" t="str">
            <v>6393 - Software</v>
          </cell>
          <cell r="J6752">
            <v>0</v>
          </cell>
          <cell r="K6752" t="str">
            <v>Administration</v>
          </cell>
          <cell r="L6752" t="str">
            <v>Professional Service</v>
          </cell>
          <cell r="N6752" t="str">
            <v>Direct Costs</v>
          </cell>
          <cell r="O6752" t="str">
            <v>Chat GPT</v>
          </cell>
        </row>
        <row r="6753">
          <cell r="D6753">
            <v>11.99</v>
          </cell>
          <cell r="H6753">
            <v>45689</v>
          </cell>
          <cell r="I6753" t="str">
            <v>6393 - Software</v>
          </cell>
          <cell r="J6753">
            <v>0</v>
          </cell>
          <cell r="K6753" t="str">
            <v>Administration</v>
          </cell>
          <cell r="L6753" t="str">
            <v>Professional Service</v>
          </cell>
          <cell r="N6753" t="str">
            <v>Direct Costs</v>
          </cell>
          <cell r="O6753" t="str">
            <v>Spotify</v>
          </cell>
        </row>
        <row r="6754">
          <cell r="D6754">
            <v>107.79</v>
          </cell>
          <cell r="H6754">
            <v>45689</v>
          </cell>
          <cell r="I6754" t="str">
            <v>6393 - Software</v>
          </cell>
          <cell r="J6754">
            <v>0</v>
          </cell>
          <cell r="K6754" t="str">
            <v>Administration</v>
          </cell>
          <cell r="L6754" t="str">
            <v>Professional Service</v>
          </cell>
          <cell r="N6754" t="str">
            <v>Direct Costs</v>
          </cell>
          <cell r="O6754" t="str">
            <v>Windows</v>
          </cell>
        </row>
        <row r="6755">
          <cell r="D6755">
            <v>28611.29</v>
          </cell>
          <cell r="H6755">
            <v>45689</v>
          </cell>
          <cell r="I6755" t="str">
            <v>6393 - Software</v>
          </cell>
          <cell r="J6755" t="str">
            <v>Ecommerce (US)</v>
          </cell>
          <cell r="K6755" t="str">
            <v>Ecommerce</v>
          </cell>
          <cell r="L6755" t="str">
            <v>Professional Service</v>
          </cell>
          <cell r="N6755" t="str">
            <v>Direct Costs</v>
          </cell>
          <cell r="O6755" t="str">
            <v>Attentive Mobile Inc.</v>
          </cell>
        </row>
        <row r="6756">
          <cell r="D6756">
            <v>1735.47</v>
          </cell>
          <cell r="H6756">
            <v>45689</v>
          </cell>
          <cell r="I6756" t="str">
            <v>6393 - Software</v>
          </cell>
          <cell r="J6756" t="str">
            <v>Ecommerce (US)</v>
          </cell>
          <cell r="K6756" t="str">
            <v>Ecommerce</v>
          </cell>
          <cell r="L6756" t="str">
            <v>Professional Service</v>
          </cell>
          <cell r="N6756" t="str">
            <v>Direct Costs</v>
          </cell>
          <cell r="O6756" t="str">
            <v>GORGIAS INC</v>
          </cell>
        </row>
        <row r="6757">
          <cell r="D6757">
            <v>9.82</v>
          </cell>
          <cell r="H6757">
            <v>45689</v>
          </cell>
          <cell r="I6757" t="str">
            <v>6393 - Software</v>
          </cell>
          <cell r="J6757" t="str">
            <v>Ecommerce (US)</v>
          </cell>
          <cell r="K6757" t="str">
            <v>Ecommerce</v>
          </cell>
          <cell r="L6757" t="str">
            <v>Professional Service</v>
          </cell>
          <cell r="N6757" t="str">
            <v>Direct Costs</v>
          </cell>
          <cell r="O6757" t="str">
            <v>[No Vendor]</v>
          </cell>
        </row>
        <row r="6758">
          <cell r="D6758">
            <v>18.62</v>
          </cell>
          <cell r="H6758">
            <v>45689</v>
          </cell>
          <cell r="I6758" t="str">
            <v>6393 - Software</v>
          </cell>
          <cell r="J6758" t="str">
            <v>Ecommerce (US)</v>
          </cell>
          <cell r="K6758" t="str">
            <v>Ecommerce</v>
          </cell>
          <cell r="L6758" t="str">
            <v>Professional Service</v>
          </cell>
          <cell r="N6758" t="str">
            <v>Direct Costs</v>
          </cell>
          <cell r="O6758" t="str">
            <v>[No Vendor]</v>
          </cell>
        </row>
        <row r="6759">
          <cell r="D6759">
            <v>9.5299999999999994</v>
          </cell>
          <cell r="H6759">
            <v>45689</v>
          </cell>
          <cell r="I6759" t="str">
            <v>6393 - Software</v>
          </cell>
          <cell r="J6759" t="str">
            <v>Ecommerce (US)</v>
          </cell>
          <cell r="K6759" t="str">
            <v>Ecommerce</v>
          </cell>
          <cell r="L6759" t="str">
            <v>Professional Service</v>
          </cell>
          <cell r="N6759" t="str">
            <v>Direct Costs</v>
          </cell>
          <cell r="O6759" t="str">
            <v>Slack</v>
          </cell>
        </row>
        <row r="6760">
          <cell r="D6760">
            <v>88</v>
          </cell>
          <cell r="H6760">
            <v>45689</v>
          </cell>
          <cell r="I6760" t="str">
            <v>6393 - Software</v>
          </cell>
          <cell r="J6760" t="str">
            <v>Wholesale</v>
          </cell>
          <cell r="K6760" t="str">
            <v>Wholesale</v>
          </cell>
          <cell r="L6760" t="str">
            <v>Professional Service</v>
          </cell>
          <cell r="N6760" t="str">
            <v>Direct Costs</v>
          </cell>
          <cell r="O6760" t="str">
            <v>SPS Commerce</v>
          </cell>
        </row>
        <row r="6761">
          <cell r="D6761">
            <v>228.64</v>
          </cell>
          <cell r="H6761">
            <v>45689</v>
          </cell>
          <cell r="I6761" t="str">
            <v>6393 - Software</v>
          </cell>
          <cell r="J6761" t="str">
            <v>Wholesale</v>
          </cell>
          <cell r="K6761" t="str">
            <v>Wholesale</v>
          </cell>
          <cell r="L6761" t="str">
            <v>Professional Service</v>
          </cell>
          <cell r="N6761" t="str">
            <v>Direct Costs</v>
          </cell>
          <cell r="O6761" t="str">
            <v>Open Text</v>
          </cell>
        </row>
        <row r="6762">
          <cell r="D6762">
            <v>21201.59</v>
          </cell>
          <cell r="H6762">
            <v>45689</v>
          </cell>
          <cell r="I6762" t="str">
            <v>6286 - SEM</v>
          </cell>
          <cell r="J6762" t="str">
            <v>Ecommerce (EU)</v>
          </cell>
          <cell r="K6762" t="str">
            <v>Ecommerce</v>
          </cell>
          <cell r="L6762" t="str">
            <v>Marketing</v>
          </cell>
          <cell r="N6762" t="str">
            <v>Direct Costs</v>
          </cell>
          <cell r="O6762" t="str">
            <v>Google</v>
          </cell>
        </row>
        <row r="6763">
          <cell r="D6763">
            <v>82867.39</v>
          </cell>
          <cell r="H6763">
            <v>45689</v>
          </cell>
          <cell r="I6763" t="str">
            <v>6286 - SEM</v>
          </cell>
          <cell r="J6763" t="str">
            <v>Ecommerce (US)</v>
          </cell>
          <cell r="K6763" t="str">
            <v>Ecommerce</v>
          </cell>
          <cell r="L6763" t="str">
            <v>Marketing</v>
          </cell>
          <cell r="N6763" t="str">
            <v>Direct Costs</v>
          </cell>
          <cell r="O6763" t="str">
            <v>Google</v>
          </cell>
        </row>
        <row r="6764">
          <cell r="D6764">
            <v>4131.79</v>
          </cell>
          <cell r="H6764">
            <v>45689</v>
          </cell>
          <cell r="I6764" t="str">
            <v>6286 - SEM</v>
          </cell>
          <cell r="J6764" t="str">
            <v>Ecommerce (EU)</v>
          </cell>
          <cell r="K6764" t="str">
            <v>Ecommerce</v>
          </cell>
          <cell r="L6764" t="str">
            <v>Marketing</v>
          </cell>
          <cell r="N6764" t="str">
            <v>Direct Costs</v>
          </cell>
          <cell r="O6764" t="str">
            <v>Meta Platforms, Inc</v>
          </cell>
        </row>
        <row r="6765">
          <cell r="D6765">
            <v>64610.15</v>
          </cell>
          <cell r="H6765">
            <v>45689</v>
          </cell>
          <cell r="I6765" t="str">
            <v>6286 - SEM</v>
          </cell>
          <cell r="J6765" t="str">
            <v>Ecommerce (US)</v>
          </cell>
          <cell r="K6765" t="str">
            <v>Ecommerce</v>
          </cell>
          <cell r="L6765" t="str">
            <v>Marketing</v>
          </cell>
          <cell r="N6765" t="str">
            <v>Direct Costs</v>
          </cell>
          <cell r="O6765" t="str">
            <v>Meta Platforms, Inc</v>
          </cell>
        </row>
        <row r="6766">
          <cell r="D6766">
            <v>2003.62</v>
          </cell>
          <cell r="H6766">
            <v>45689</v>
          </cell>
          <cell r="I6766" t="str">
            <v>6286 - SEM</v>
          </cell>
          <cell r="J6766" t="str">
            <v>Ecommerce (US)</v>
          </cell>
          <cell r="K6766" t="str">
            <v>Ecommerce</v>
          </cell>
          <cell r="L6766" t="str">
            <v>Marketing</v>
          </cell>
          <cell r="N6766" t="str">
            <v>Direct Costs</v>
          </cell>
          <cell r="O6766" t="str">
            <v>Amazon</v>
          </cell>
        </row>
        <row r="6767">
          <cell r="D6767">
            <v>2020.06</v>
          </cell>
          <cell r="H6767">
            <v>45689</v>
          </cell>
          <cell r="I6767" t="str">
            <v>6286 - SEM</v>
          </cell>
          <cell r="J6767" t="str">
            <v>Ecommerce (US)</v>
          </cell>
          <cell r="K6767" t="str">
            <v>Ecommerce</v>
          </cell>
          <cell r="L6767" t="str">
            <v>Marketing</v>
          </cell>
          <cell r="N6767" t="str">
            <v>Direct Costs</v>
          </cell>
          <cell r="O6767" t="str">
            <v>Amazon</v>
          </cell>
        </row>
        <row r="6768">
          <cell r="D6768">
            <v>2002.76</v>
          </cell>
          <cell r="H6768">
            <v>45689</v>
          </cell>
          <cell r="I6768" t="str">
            <v>6286 - SEM</v>
          </cell>
          <cell r="J6768" t="str">
            <v>Ecommerce (US)</v>
          </cell>
          <cell r="K6768" t="str">
            <v>Ecommerce</v>
          </cell>
          <cell r="L6768" t="str">
            <v>Marketing</v>
          </cell>
          <cell r="N6768" t="str">
            <v>Direct Costs</v>
          </cell>
          <cell r="O6768" t="str">
            <v>Amazon</v>
          </cell>
        </row>
        <row r="6769">
          <cell r="D6769">
            <v>2000.23</v>
          </cell>
          <cell r="H6769">
            <v>45689</v>
          </cell>
          <cell r="I6769" t="str">
            <v>6286 - SEM</v>
          </cell>
          <cell r="J6769" t="str">
            <v>Ecommerce (US)</v>
          </cell>
          <cell r="K6769" t="str">
            <v>Ecommerce</v>
          </cell>
          <cell r="L6769" t="str">
            <v>Marketing</v>
          </cell>
          <cell r="N6769" t="str">
            <v>Direct Costs</v>
          </cell>
          <cell r="O6769" t="str">
            <v>Amazon</v>
          </cell>
        </row>
        <row r="6770">
          <cell r="D6770">
            <v>2004.71</v>
          </cell>
          <cell r="H6770">
            <v>45689</v>
          </cell>
          <cell r="I6770" t="str">
            <v>6286 - SEM</v>
          </cell>
          <cell r="J6770" t="str">
            <v>Ecommerce (US)</v>
          </cell>
          <cell r="K6770" t="str">
            <v>Ecommerce</v>
          </cell>
          <cell r="L6770" t="str">
            <v>Marketing</v>
          </cell>
          <cell r="N6770" t="str">
            <v>Direct Costs</v>
          </cell>
          <cell r="O6770" t="str">
            <v>Amazon</v>
          </cell>
        </row>
        <row r="6771">
          <cell r="D6771">
            <v>2000.1</v>
          </cell>
          <cell r="H6771">
            <v>45689</v>
          </cell>
          <cell r="I6771" t="str">
            <v>6286 - SEM</v>
          </cell>
          <cell r="J6771" t="str">
            <v>Ecommerce (US)</v>
          </cell>
          <cell r="K6771" t="str">
            <v>Ecommerce</v>
          </cell>
          <cell r="L6771" t="str">
            <v>Marketing</v>
          </cell>
          <cell r="N6771" t="str">
            <v>Direct Costs</v>
          </cell>
          <cell r="O6771" t="str">
            <v>Amazon</v>
          </cell>
        </row>
        <row r="6772">
          <cell r="D6772">
            <v>1402.83</v>
          </cell>
          <cell r="H6772">
            <v>45689</v>
          </cell>
          <cell r="I6772" t="str">
            <v>6286 - SEM</v>
          </cell>
          <cell r="J6772" t="str">
            <v>Ecommerce (US)</v>
          </cell>
          <cell r="K6772" t="str">
            <v>Ecommerce</v>
          </cell>
          <cell r="L6772" t="str">
            <v>Marketing</v>
          </cell>
          <cell r="N6772" t="str">
            <v>Direct Costs</v>
          </cell>
          <cell r="O6772" t="str">
            <v>Amazon</v>
          </cell>
        </row>
        <row r="6773">
          <cell r="D6773">
            <v>11810.98</v>
          </cell>
          <cell r="H6773">
            <v>45689</v>
          </cell>
          <cell r="I6773" t="str">
            <v>6380 - Legal &amp; Accounting</v>
          </cell>
          <cell r="J6773">
            <v>0</v>
          </cell>
          <cell r="K6773" t="str">
            <v>Administration</v>
          </cell>
          <cell r="L6773" t="str">
            <v>Professional Service</v>
          </cell>
          <cell r="N6773" t="str">
            <v>SG&amp;A</v>
          </cell>
          <cell r="O6773" t="str">
            <v>The Wave IP Law Firm</v>
          </cell>
        </row>
        <row r="6774">
          <cell r="D6774">
            <v>365</v>
          </cell>
          <cell r="H6774">
            <v>45689</v>
          </cell>
          <cell r="I6774" t="str">
            <v>6340 - Miscellaneous Expense</v>
          </cell>
          <cell r="J6774">
            <v>0</v>
          </cell>
          <cell r="K6774" t="str">
            <v>Brand Marketing</v>
          </cell>
          <cell r="L6774" t="str">
            <v>Other</v>
          </cell>
          <cell r="N6774" t="str">
            <v>SG&amp;A</v>
          </cell>
          <cell r="O6774" t="str">
            <v>[No Vendor]</v>
          </cell>
        </row>
        <row r="6775">
          <cell r="D6775">
            <v>93.62</v>
          </cell>
          <cell r="H6775">
            <v>45689</v>
          </cell>
          <cell r="I6775" t="str">
            <v>6340 - Miscellaneous Expense</v>
          </cell>
          <cell r="J6775">
            <v>0</v>
          </cell>
          <cell r="K6775" t="str">
            <v>Brand Marketing</v>
          </cell>
          <cell r="L6775" t="str">
            <v>Other</v>
          </cell>
          <cell r="N6775" t="str">
            <v>SG&amp;A</v>
          </cell>
          <cell r="O6775" t="str">
            <v>[No Vendor]</v>
          </cell>
        </row>
        <row r="6776">
          <cell r="D6776">
            <v>93.62</v>
          </cell>
          <cell r="H6776">
            <v>45689</v>
          </cell>
          <cell r="I6776" t="str">
            <v>6340 - Miscellaneous Expense</v>
          </cell>
          <cell r="J6776">
            <v>0</v>
          </cell>
          <cell r="K6776" t="str">
            <v>Brand Marketing</v>
          </cell>
          <cell r="L6776" t="str">
            <v>Other</v>
          </cell>
          <cell r="N6776" t="str">
            <v>SG&amp;A</v>
          </cell>
          <cell r="O6776" t="str">
            <v>[No Vendor]</v>
          </cell>
        </row>
        <row r="6777">
          <cell r="D6777">
            <v>23.36</v>
          </cell>
          <cell r="H6777">
            <v>45689</v>
          </cell>
          <cell r="I6777" t="str">
            <v>6340 - Miscellaneous Expense</v>
          </cell>
          <cell r="J6777">
            <v>0</v>
          </cell>
          <cell r="K6777" t="str">
            <v>Brand Marketing</v>
          </cell>
          <cell r="L6777" t="str">
            <v>Other</v>
          </cell>
          <cell r="N6777" t="str">
            <v>SG&amp;A</v>
          </cell>
          <cell r="O6777" t="str">
            <v>[No Vendor]</v>
          </cell>
        </row>
        <row r="6778">
          <cell r="D6778">
            <v>252.1</v>
          </cell>
          <cell r="H6778">
            <v>45689</v>
          </cell>
          <cell r="I6778" t="str">
            <v>6340 - Miscellaneous Expense</v>
          </cell>
          <cell r="J6778">
            <v>0</v>
          </cell>
          <cell r="K6778" t="str">
            <v>Administration</v>
          </cell>
          <cell r="L6778" t="str">
            <v>Other</v>
          </cell>
          <cell r="N6778" t="str">
            <v>SG&amp;A</v>
          </cell>
          <cell r="O6778" t="str">
            <v>Amazon Capital Services</v>
          </cell>
        </row>
        <row r="6779">
          <cell r="D6779">
            <v>5</v>
          </cell>
          <cell r="H6779">
            <v>45689</v>
          </cell>
          <cell r="I6779" t="str">
            <v>6140 - Other</v>
          </cell>
          <cell r="J6779">
            <v>0</v>
          </cell>
          <cell r="K6779" t="str">
            <v>Brand Marketing</v>
          </cell>
          <cell r="L6779" t="str">
            <v>T&amp;E</v>
          </cell>
          <cell r="N6779" t="str">
            <v>SG&amp;A</v>
          </cell>
          <cell r="O6779" t="str">
            <v>[No Vendor]</v>
          </cell>
        </row>
        <row r="6780">
          <cell r="D6780">
            <v>244.75</v>
          </cell>
          <cell r="H6780">
            <v>45689</v>
          </cell>
          <cell r="I6780" t="str">
            <v>6120 - Lodging</v>
          </cell>
          <cell r="J6780" t="str">
            <v>Ecommerce (US)</v>
          </cell>
          <cell r="K6780" t="str">
            <v>Ecommerce</v>
          </cell>
          <cell r="L6780" t="str">
            <v>T&amp;E</v>
          </cell>
          <cell r="N6780" t="str">
            <v>SG&amp;A</v>
          </cell>
          <cell r="O6780" t="str">
            <v>[No Vendor]</v>
          </cell>
        </row>
        <row r="6781">
          <cell r="D6781">
            <v>157.02000000000001</v>
          </cell>
          <cell r="H6781">
            <v>45689</v>
          </cell>
          <cell r="I6781" t="str">
            <v>6120 - Lodging</v>
          </cell>
          <cell r="J6781" t="str">
            <v>Ecommerce (US)</v>
          </cell>
          <cell r="K6781" t="str">
            <v>Ecommerce</v>
          </cell>
          <cell r="L6781" t="str">
            <v>T&amp;E</v>
          </cell>
          <cell r="N6781" t="str">
            <v>SG&amp;A</v>
          </cell>
          <cell r="O6781" t="str">
            <v>[No Vendor]</v>
          </cell>
        </row>
        <row r="6782">
          <cell r="D6782">
            <v>590.29999999999995</v>
          </cell>
          <cell r="H6782">
            <v>45689</v>
          </cell>
          <cell r="I6782" t="str">
            <v>6120 - Lodging</v>
          </cell>
          <cell r="J6782" t="str">
            <v>Ecommerce (US)</v>
          </cell>
          <cell r="K6782" t="str">
            <v>Ecommerce</v>
          </cell>
          <cell r="L6782" t="str">
            <v>T&amp;E</v>
          </cell>
          <cell r="N6782" t="str">
            <v>SG&amp;A</v>
          </cell>
          <cell r="O6782" t="str">
            <v>[No Vendor]</v>
          </cell>
        </row>
        <row r="6783">
          <cell r="D6783">
            <v>130.29</v>
          </cell>
          <cell r="H6783">
            <v>45689</v>
          </cell>
          <cell r="I6783" t="str">
            <v>6120 - Lodging</v>
          </cell>
          <cell r="J6783" t="str">
            <v>Ecommerce (US)</v>
          </cell>
          <cell r="K6783" t="str">
            <v>Ecommerce</v>
          </cell>
          <cell r="L6783" t="str">
            <v>T&amp;E</v>
          </cell>
          <cell r="N6783" t="str">
            <v>SG&amp;A</v>
          </cell>
          <cell r="O6783" t="str">
            <v>[No Vendor]</v>
          </cell>
        </row>
        <row r="6784">
          <cell r="D6784">
            <v>0.28000000000000003</v>
          </cell>
          <cell r="H6784">
            <v>45689</v>
          </cell>
          <cell r="I6784" t="str">
            <v>6450 - Bank &amp; Other Fees</v>
          </cell>
          <cell r="J6784" t="str">
            <v>Ecommerce (US)</v>
          </cell>
          <cell r="K6784" t="str">
            <v>Ecommerce</v>
          </cell>
          <cell r="L6784" t="str">
            <v>Professional Service</v>
          </cell>
          <cell r="N6784" t="str">
            <v>Direct Costs</v>
          </cell>
          <cell r="O6784" t="str">
            <v>[No Vendor]</v>
          </cell>
        </row>
        <row r="6785">
          <cell r="D6785">
            <v>0.15</v>
          </cell>
          <cell r="H6785">
            <v>45689</v>
          </cell>
          <cell r="I6785" t="str">
            <v>6450 - Bank &amp; Other Fees</v>
          </cell>
          <cell r="J6785" t="str">
            <v>Ecommerce (US)</v>
          </cell>
          <cell r="K6785" t="str">
            <v>Ecommerce</v>
          </cell>
          <cell r="L6785" t="str">
            <v>Professional Service</v>
          </cell>
          <cell r="N6785" t="str">
            <v>Direct Costs</v>
          </cell>
          <cell r="O6785" t="str">
            <v>[No Vendor]</v>
          </cell>
        </row>
        <row r="6786">
          <cell r="D6786">
            <v>371.25</v>
          </cell>
          <cell r="H6786">
            <v>45689</v>
          </cell>
          <cell r="I6786" t="str">
            <v>6300 - Payroll Service Fees</v>
          </cell>
          <cell r="J6786">
            <v>0</v>
          </cell>
          <cell r="K6786" t="str">
            <v>Administration</v>
          </cell>
          <cell r="L6786" t="str">
            <v>Professional Service</v>
          </cell>
          <cell r="N6786" t="str">
            <v>SG&amp;A</v>
          </cell>
          <cell r="O6786" t="str">
            <v>OperationsInc, LLC</v>
          </cell>
        </row>
        <row r="6787">
          <cell r="D6787">
            <v>296.95</v>
          </cell>
          <cell r="H6787">
            <v>45689</v>
          </cell>
          <cell r="I6787" t="str">
            <v>6300 - Payroll Service Fees</v>
          </cell>
          <cell r="J6787">
            <v>0</v>
          </cell>
          <cell r="K6787" t="str">
            <v>Administration</v>
          </cell>
          <cell r="L6787" t="str">
            <v>Professional Service</v>
          </cell>
          <cell r="N6787" t="str">
            <v>SG&amp;A</v>
          </cell>
          <cell r="O6787" t="str">
            <v>ADP Payroll Services</v>
          </cell>
        </row>
        <row r="6788">
          <cell r="D6788">
            <v>9918.2199999999993</v>
          </cell>
          <cell r="H6788">
            <v>45689</v>
          </cell>
          <cell r="I6788" t="str">
            <v>6225 - Professional Services</v>
          </cell>
          <cell r="J6788" t="str">
            <v>Ecommerce (US)</v>
          </cell>
          <cell r="K6788" t="str">
            <v>Ecommerce</v>
          </cell>
          <cell r="L6788" t="str">
            <v>Professional Service</v>
          </cell>
          <cell r="N6788" t="str">
            <v>Direct Costs</v>
          </cell>
          <cell r="O6788" t="str">
            <v>Rareview, LLC</v>
          </cell>
        </row>
        <row r="6789">
          <cell r="D6789">
            <v>150</v>
          </cell>
          <cell r="H6789">
            <v>45689</v>
          </cell>
          <cell r="I6789" t="str">
            <v>6225 - Professional Services</v>
          </cell>
          <cell r="J6789">
            <v>0</v>
          </cell>
          <cell r="K6789" t="str">
            <v>Administration</v>
          </cell>
          <cell r="L6789" t="str">
            <v>Professional Service</v>
          </cell>
          <cell r="N6789" t="str">
            <v>Direct Costs</v>
          </cell>
          <cell r="O6789" t="str">
            <v>Benefit Resource, LLC</v>
          </cell>
        </row>
        <row r="6790">
          <cell r="D6790">
            <v>29.46</v>
          </cell>
          <cell r="H6790">
            <v>45689</v>
          </cell>
          <cell r="I6790" t="str">
            <v>6125 - Transportation and Fuel</v>
          </cell>
          <cell r="J6790" t="str">
            <v>Wholesale</v>
          </cell>
          <cell r="K6790" t="str">
            <v>Wholesale</v>
          </cell>
          <cell r="L6790" t="str">
            <v>T&amp;E</v>
          </cell>
          <cell r="N6790" t="str">
            <v>SG&amp;A</v>
          </cell>
          <cell r="O6790" t="str">
            <v>Chris Suterko</v>
          </cell>
        </row>
        <row r="6791">
          <cell r="D6791">
            <v>20.2</v>
          </cell>
          <cell r="H6791">
            <v>45689</v>
          </cell>
          <cell r="I6791" t="str">
            <v>6125 - Transportation and Fuel</v>
          </cell>
          <cell r="J6791" t="str">
            <v>Wholesale</v>
          </cell>
          <cell r="K6791" t="str">
            <v>Wholesale</v>
          </cell>
          <cell r="L6791" t="str">
            <v>T&amp;E</v>
          </cell>
          <cell r="N6791" t="str">
            <v>SG&amp;A</v>
          </cell>
          <cell r="O6791" t="str">
            <v>Chris Suterko</v>
          </cell>
        </row>
        <row r="6792">
          <cell r="D6792">
            <v>78.31</v>
          </cell>
          <cell r="H6792">
            <v>45689</v>
          </cell>
          <cell r="I6792" t="str">
            <v>6125 - Transportation and Fuel</v>
          </cell>
          <cell r="J6792">
            <v>0</v>
          </cell>
          <cell r="K6792" t="str">
            <v>Brand Marketing</v>
          </cell>
          <cell r="L6792" t="str">
            <v>T&amp;E</v>
          </cell>
          <cell r="N6792" t="str">
            <v>SG&amp;A</v>
          </cell>
          <cell r="O6792" t="str">
            <v>[No Vendor]</v>
          </cell>
        </row>
        <row r="6793">
          <cell r="D6793">
            <v>120.08</v>
          </cell>
          <cell r="H6793">
            <v>45689</v>
          </cell>
          <cell r="I6793" t="str">
            <v>6125 - Transportation and Fuel</v>
          </cell>
          <cell r="J6793">
            <v>0</v>
          </cell>
          <cell r="K6793" t="str">
            <v>Brand Marketing</v>
          </cell>
          <cell r="L6793" t="str">
            <v>T&amp;E</v>
          </cell>
          <cell r="N6793" t="str">
            <v>SG&amp;A</v>
          </cell>
          <cell r="O6793" t="str">
            <v>[No Vendor]</v>
          </cell>
        </row>
        <row r="6794">
          <cell r="D6794">
            <v>106.07</v>
          </cell>
          <cell r="H6794">
            <v>45689</v>
          </cell>
          <cell r="I6794" t="str">
            <v>6125 - Transportation and Fuel</v>
          </cell>
          <cell r="J6794">
            <v>0</v>
          </cell>
          <cell r="K6794" t="str">
            <v>Brand Marketing</v>
          </cell>
          <cell r="L6794" t="str">
            <v>T&amp;E</v>
          </cell>
          <cell r="N6794" t="str">
            <v>SG&amp;A</v>
          </cell>
          <cell r="O6794" t="str">
            <v>[No Vendor]</v>
          </cell>
        </row>
        <row r="6795">
          <cell r="D6795">
            <v>117.37</v>
          </cell>
          <cell r="H6795">
            <v>45689</v>
          </cell>
          <cell r="I6795" t="str">
            <v>6125 - Transportation and Fuel</v>
          </cell>
          <cell r="J6795">
            <v>0</v>
          </cell>
          <cell r="K6795" t="str">
            <v>Brand Marketing</v>
          </cell>
          <cell r="L6795" t="str">
            <v>T&amp;E</v>
          </cell>
          <cell r="N6795" t="str">
            <v>SG&amp;A</v>
          </cell>
          <cell r="O6795" t="str">
            <v>[No Vendor]</v>
          </cell>
        </row>
        <row r="6796">
          <cell r="D6796">
            <v>21.54</v>
          </cell>
          <cell r="H6796">
            <v>45689</v>
          </cell>
          <cell r="I6796" t="str">
            <v>6125 - Transportation and Fuel</v>
          </cell>
          <cell r="J6796">
            <v>0</v>
          </cell>
          <cell r="K6796" t="str">
            <v>Administration</v>
          </cell>
          <cell r="L6796" t="str">
            <v>T&amp;E</v>
          </cell>
          <cell r="N6796" t="str">
            <v>SG&amp;A</v>
          </cell>
          <cell r="O6796" t="str">
            <v>[No Vendor]</v>
          </cell>
        </row>
        <row r="6797">
          <cell r="D6797">
            <v>14.58</v>
          </cell>
          <cell r="H6797">
            <v>45689</v>
          </cell>
          <cell r="I6797" t="str">
            <v>6125 - Transportation and Fuel</v>
          </cell>
          <cell r="J6797">
            <v>0</v>
          </cell>
          <cell r="K6797" t="str">
            <v>Administration</v>
          </cell>
          <cell r="L6797" t="str">
            <v>T&amp;E</v>
          </cell>
          <cell r="N6797" t="str">
            <v>SG&amp;A</v>
          </cell>
          <cell r="O6797" t="str">
            <v>[No Vendor]</v>
          </cell>
        </row>
        <row r="6798">
          <cell r="D6798">
            <v>466.96</v>
          </cell>
          <cell r="H6798">
            <v>45689</v>
          </cell>
          <cell r="I6798" t="str">
            <v>6115 - Airfare</v>
          </cell>
          <cell r="J6798">
            <v>0</v>
          </cell>
          <cell r="K6798" t="str">
            <v>Brand Marketing</v>
          </cell>
          <cell r="L6798" t="str">
            <v>T&amp;E</v>
          </cell>
          <cell r="N6798" t="str">
            <v>SG&amp;A</v>
          </cell>
          <cell r="O6798" t="str">
            <v>[No Vendor]</v>
          </cell>
        </row>
        <row r="6799">
          <cell r="D6799">
            <v>27.22</v>
          </cell>
          <cell r="H6799">
            <v>45689</v>
          </cell>
          <cell r="I6799" t="str">
            <v>6105 - Meals</v>
          </cell>
          <cell r="J6799">
            <v>0</v>
          </cell>
          <cell r="K6799" t="str">
            <v>Brand Marketing</v>
          </cell>
          <cell r="L6799" t="str">
            <v>T&amp;E</v>
          </cell>
          <cell r="N6799" t="str">
            <v>SG&amp;A</v>
          </cell>
          <cell r="O6799" t="str">
            <v>[No Vendor]</v>
          </cell>
        </row>
        <row r="6800">
          <cell r="D6800">
            <v>181.99</v>
          </cell>
          <cell r="H6800">
            <v>45689</v>
          </cell>
          <cell r="I6800" t="str">
            <v>6105 - Meals</v>
          </cell>
          <cell r="J6800">
            <v>0</v>
          </cell>
          <cell r="K6800" t="str">
            <v>Administration</v>
          </cell>
          <cell r="L6800" t="str">
            <v>T&amp;E</v>
          </cell>
          <cell r="N6800" t="str">
            <v>SG&amp;A</v>
          </cell>
          <cell r="O6800" t="str">
            <v>[No Vendor]</v>
          </cell>
        </row>
        <row r="6801">
          <cell r="D6801">
            <v>46.04</v>
          </cell>
          <cell r="H6801">
            <v>45689</v>
          </cell>
          <cell r="I6801" t="str">
            <v>6105 - Meals</v>
          </cell>
          <cell r="J6801">
            <v>0</v>
          </cell>
          <cell r="K6801" t="str">
            <v>Administration</v>
          </cell>
          <cell r="L6801" t="str">
            <v>T&amp;E</v>
          </cell>
          <cell r="N6801" t="str">
            <v>SG&amp;A</v>
          </cell>
          <cell r="O6801" t="str">
            <v>[No Vendor]</v>
          </cell>
        </row>
        <row r="6802">
          <cell r="D6802">
            <v>371.26</v>
          </cell>
          <cell r="H6802">
            <v>45689</v>
          </cell>
          <cell r="I6802" t="str">
            <v>6105 - Meals</v>
          </cell>
          <cell r="J6802">
            <v>0</v>
          </cell>
          <cell r="K6802" t="str">
            <v>Administration</v>
          </cell>
          <cell r="L6802" t="str">
            <v>T&amp;E</v>
          </cell>
          <cell r="N6802" t="str">
            <v>SG&amp;A</v>
          </cell>
          <cell r="O6802" t="str">
            <v>[No Vendor]</v>
          </cell>
        </row>
        <row r="6803">
          <cell r="D6803">
            <v>1023.54</v>
          </cell>
          <cell r="H6803">
            <v>45689</v>
          </cell>
          <cell r="I6803" t="str">
            <v>6375 - Freight Expenses</v>
          </cell>
          <cell r="J6803">
            <v>0</v>
          </cell>
          <cell r="K6803" t="str">
            <v>Brand Marketing</v>
          </cell>
          <cell r="L6803" t="str">
            <v>Freight</v>
          </cell>
          <cell r="N6803" t="str">
            <v>Direct Costs</v>
          </cell>
          <cell r="O6803" t="str">
            <v>[No Vendor]</v>
          </cell>
        </row>
        <row r="6804">
          <cell r="D6804">
            <v>-1023.54</v>
          </cell>
          <cell r="H6804">
            <v>45689</v>
          </cell>
          <cell r="I6804" t="str">
            <v>6375 - Freight Expenses</v>
          </cell>
          <cell r="J6804">
            <v>0</v>
          </cell>
          <cell r="K6804" t="str">
            <v>Brand Marketing</v>
          </cell>
          <cell r="L6804" t="str">
            <v>Freight</v>
          </cell>
          <cell r="N6804" t="str">
            <v>Direct Costs</v>
          </cell>
          <cell r="O6804" t="str">
            <v>[No Vendor]</v>
          </cell>
        </row>
        <row r="6805">
          <cell r="D6805">
            <v>1617.25</v>
          </cell>
          <cell r="H6805">
            <v>45689</v>
          </cell>
          <cell r="I6805" t="str">
            <v>6375 - Freight Expenses</v>
          </cell>
          <cell r="J6805">
            <v>0</v>
          </cell>
          <cell r="K6805" t="str">
            <v>Production</v>
          </cell>
          <cell r="L6805" t="str">
            <v>Freight</v>
          </cell>
          <cell r="N6805" t="str">
            <v>Direct Costs</v>
          </cell>
          <cell r="O6805" t="str">
            <v>DHL Express - USA</v>
          </cell>
        </row>
        <row r="6806">
          <cell r="D6806">
            <v>863.56</v>
          </cell>
          <cell r="H6806">
            <v>45689</v>
          </cell>
          <cell r="I6806" t="str">
            <v>6375 - Freight Expenses</v>
          </cell>
          <cell r="J6806">
            <v>0</v>
          </cell>
          <cell r="K6806" t="str">
            <v>Production</v>
          </cell>
          <cell r="L6806" t="str">
            <v>Freight</v>
          </cell>
          <cell r="N6806" t="str">
            <v>Direct Costs</v>
          </cell>
          <cell r="O6806" t="str">
            <v>DHL Express - USA</v>
          </cell>
        </row>
        <row r="6807">
          <cell r="D6807">
            <v>0</v>
          </cell>
          <cell r="H6807">
            <v>45689</v>
          </cell>
          <cell r="I6807" t="str">
            <v>4010 - Revenue - Licensing Fees (Royalties)</v>
          </cell>
          <cell r="J6807">
            <v>0</v>
          </cell>
          <cell r="K6807" t="str">
            <v>Licensing</v>
          </cell>
          <cell r="L6807" t="str">
            <v>License</v>
          </cell>
          <cell r="N6807" t="str">
            <v>Revenue</v>
          </cell>
          <cell r="O6807" t="str">
            <v>[No Vendor]</v>
          </cell>
        </row>
        <row r="6808">
          <cell r="D6808">
            <v>-1294.3399999999999</v>
          </cell>
          <cell r="H6808">
            <v>45689</v>
          </cell>
          <cell r="I6808" t="str">
            <v>6379 - Warehouse Storage</v>
          </cell>
          <cell r="J6808" t="str">
            <v>Ecommerce (US)</v>
          </cell>
          <cell r="K6808" t="str">
            <v>Ecommerce</v>
          </cell>
          <cell r="L6808" t="str">
            <v>Order Processing</v>
          </cell>
          <cell r="N6808" t="str">
            <v>Direct Costs</v>
          </cell>
          <cell r="O6808" t="str">
            <v>Bergen Logistics Corporation</v>
          </cell>
        </row>
        <row r="6809">
          <cell r="D6809">
            <v>1294.3399999999999</v>
          </cell>
          <cell r="H6809">
            <v>45689</v>
          </cell>
          <cell r="I6809" t="str">
            <v>6379 - Warehouse Storage</v>
          </cell>
          <cell r="J6809" t="str">
            <v>Ecommerce (EU)</v>
          </cell>
          <cell r="K6809" t="str">
            <v>Ecommerce</v>
          </cell>
          <cell r="L6809" t="str">
            <v>Order Processing</v>
          </cell>
          <cell r="N6809" t="str">
            <v>Direct Costs</v>
          </cell>
          <cell r="O6809" t="str">
            <v>Bergen Logistics Corporation</v>
          </cell>
        </row>
        <row r="6810">
          <cell r="D6810">
            <v>3834.04</v>
          </cell>
          <cell r="H6810">
            <v>45689</v>
          </cell>
          <cell r="I6810" t="str">
            <v>6451 - Service Processing Fee</v>
          </cell>
          <cell r="J6810" t="str">
            <v>Ecommerce (EU)</v>
          </cell>
          <cell r="K6810" t="str">
            <v>Ecommerce</v>
          </cell>
          <cell r="L6810" t="str">
            <v>Professional Service</v>
          </cell>
          <cell r="N6810" t="str">
            <v>Direct Costs</v>
          </cell>
          <cell r="O6810" t="str">
            <v>[No Vendor]</v>
          </cell>
        </row>
        <row r="6811">
          <cell r="D6811">
            <v>31532.45</v>
          </cell>
          <cell r="H6811">
            <v>45689</v>
          </cell>
          <cell r="I6811" t="str">
            <v>6451 - Service Processing Fee</v>
          </cell>
          <cell r="J6811" t="str">
            <v>Ecommerce (US)</v>
          </cell>
          <cell r="K6811" t="str">
            <v>Ecommerce</v>
          </cell>
          <cell r="L6811" t="str">
            <v>Professional Service</v>
          </cell>
          <cell r="N6811" t="str">
            <v>Direct Costs</v>
          </cell>
          <cell r="O6811" t="str">
            <v>Shopify</v>
          </cell>
        </row>
        <row r="6812">
          <cell r="D6812">
            <v>7291.98</v>
          </cell>
          <cell r="H6812">
            <v>45689</v>
          </cell>
          <cell r="I6812" t="str">
            <v>6451 - Service Processing Fee</v>
          </cell>
          <cell r="J6812" t="str">
            <v>Ecommerce (US)</v>
          </cell>
          <cell r="K6812" t="str">
            <v>Ecommerce</v>
          </cell>
          <cell r="L6812" t="str">
            <v>Professional Service</v>
          </cell>
          <cell r="N6812" t="str">
            <v>Direct Costs</v>
          </cell>
          <cell r="O6812" t="str">
            <v>Amazon</v>
          </cell>
        </row>
        <row r="6813">
          <cell r="D6813">
            <v>150000</v>
          </cell>
          <cell r="H6813">
            <v>45689</v>
          </cell>
          <cell r="I6813" t="str">
            <v>8700 - Other Expense</v>
          </cell>
          <cell r="J6813">
            <v>0</v>
          </cell>
          <cell r="K6813" t="str">
            <v>Administration</v>
          </cell>
          <cell r="L6813" t="str">
            <v>Other Expense</v>
          </cell>
          <cell r="N6813" t="str">
            <v>BTL</v>
          </cell>
          <cell r="O6813" t="str">
            <v>[No Vendor]</v>
          </cell>
        </row>
        <row r="6814">
          <cell r="D6814">
            <v>-45644.97</v>
          </cell>
          <cell r="H6814">
            <v>45689</v>
          </cell>
          <cell r="I6814" t="str">
            <v>5001 - Cost of Goods Sold - Other</v>
          </cell>
          <cell r="J6814" t="str">
            <v>Ecommerce (US)</v>
          </cell>
          <cell r="K6814" t="str">
            <v>Ecommerce</v>
          </cell>
          <cell r="L6814" t="str">
            <v>Other COGS</v>
          </cell>
          <cell r="N6814" t="str">
            <v>COGS</v>
          </cell>
          <cell r="O6814" t="str">
            <v>[No Vendor]</v>
          </cell>
        </row>
        <row r="6815">
          <cell r="D6815">
            <v>0</v>
          </cell>
          <cell r="H6815">
            <v>45689</v>
          </cell>
          <cell r="I6815" t="str">
            <v>4045 - Sponsorships</v>
          </cell>
          <cell r="J6815">
            <v>0</v>
          </cell>
          <cell r="K6815" t="str">
            <v>Licensing</v>
          </cell>
          <cell r="L6815" t="str">
            <v>Other Income</v>
          </cell>
          <cell r="N6815" t="str">
            <v>Revenue</v>
          </cell>
          <cell r="O6815" t="str">
            <v>[No Vendor]</v>
          </cell>
        </row>
        <row r="6816">
          <cell r="D6816">
            <v>-181651.4</v>
          </cell>
          <cell r="H6816">
            <v>45689</v>
          </cell>
          <cell r="I6816" t="str">
            <v>4052 - Sales Revenue - Wholesale (US)</v>
          </cell>
          <cell r="J6816" t="str">
            <v>Wholesale</v>
          </cell>
          <cell r="K6816" t="str">
            <v>Wholesale</v>
          </cell>
          <cell r="L6816" t="str">
            <v>Wholesale</v>
          </cell>
          <cell r="N6816" t="str">
            <v>Revenue</v>
          </cell>
          <cell r="O6816" t="str">
            <v>[No Vendor]</v>
          </cell>
        </row>
        <row r="6817">
          <cell r="D6817">
            <v>-48042.33</v>
          </cell>
          <cell r="H6817">
            <v>45689</v>
          </cell>
          <cell r="I6817" t="str">
            <v>4050 - Sales Revenue - Ecommerce (US)</v>
          </cell>
          <cell r="J6817" t="str">
            <v>Ecommerce (US)</v>
          </cell>
          <cell r="K6817" t="str">
            <v>Ecommerce</v>
          </cell>
          <cell r="L6817" t="str">
            <v>Ecommerce (US)</v>
          </cell>
          <cell r="N6817" t="str">
            <v>Revenue</v>
          </cell>
          <cell r="O6817" t="str">
            <v>[No Vendor]</v>
          </cell>
        </row>
        <row r="6818">
          <cell r="D6818">
            <v>-970584.47</v>
          </cell>
          <cell r="H6818">
            <v>45689</v>
          </cell>
          <cell r="I6818" t="str">
            <v>4050 - Sales Revenue - Ecommerce (US)</v>
          </cell>
          <cell r="J6818" t="str">
            <v>Ecommerce (US)</v>
          </cell>
          <cell r="K6818" t="str">
            <v>Ecommerce</v>
          </cell>
          <cell r="L6818" t="str">
            <v>Ecommerce (US)</v>
          </cell>
          <cell r="N6818" t="str">
            <v>Revenue</v>
          </cell>
          <cell r="O6818" t="str">
            <v>[No Vendor]</v>
          </cell>
        </row>
        <row r="6819">
          <cell r="D6819">
            <v>576.6</v>
          </cell>
          <cell r="H6819">
            <v>45689</v>
          </cell>
          <cell r="I6819" t="str">
            <v>7140 - Amortization Exp - ROU Asset</v>
          </cell>
          <cell r="J6819">
            <v>0</v>
          </cell>
          <cell r="K6819" t="str">
            <v>Administration</v>
          </cell>
          <cell r="L6819" t="str">
            <v>Rent</v>
          </cell>
          <cell r="N6819" t="str">
            <v>SG&amp;A</v>
          </cell>
          <cell r="O6819" t="str">
            <v>[No Vendor]</v>
          </cell>
        </row>
        <row r="6820">
          <cell r="D6820">
            <v>23940.66</v>
          </cell>
          <cell r="H6820">
            <v>45689</v>
          </cell>
          <cell r="I6820" t="str">
            <v>7140 - Amortization Exp - ROU Asset</v>
          </cell>
          <cell r="J6820">
            <v>0</v>
          </cell>
          <cell r="K6820" t="str">
            <v>Administration</v>
          </cell>
          <cell r="L6820" t="str">
            <v>Rent</v>
          </cell>
          <cell r="N6820" t="str">
            <v>SG&amp;A</v>
          </cell>
          <cell r="O6820" t="str">
            <v>[No Vendor]</v>
          </cell>
        </row>
        <row r="6821">
          <cell r="D6821">
            <v>-64526.95</v>
          </cell>
          <cell r="H6821">
            <v>45689</v>
          </cell>
          <cell r="I6821" t="str">
            <v>4051 - Sales Revenue - Ecommerce (Intl)</v>
          </cell>
          <cell r="J6821" t="str">
            <v>Ecommerce (EU)</v>
          </cell>
          <cell r="K6821" t="str">
            <v>Ecommerce</v>
          </cell>
          <cell r="L6821" t="str">
            <v>Ecommerce (EU)</v>
          </cell>
          <cell r="N6821" t="str">
            <v>Revenue</v>
          </cell>
          <cell r="O6821" t="str">
            <v>[No Vendor]</v>
          </cell>
        </row>
        <row r="6822">
          <cell r="D6822">
            <v>0</v>
          </cell>
          <cell r="H6822">
            <v>45689</v>
          </cell>
          <cell r="I6822" t="str">
            <v>6035 - Severance Expense</v>
          </cell>
          <cell r="J6822" t="str">
            <v>Wholesale</v>
          </cell>
          <cell r="K6822" t="str">
            <v>Wholesale</v>
          </cell>
          <cell r="L6822" t="str">
            <v>HQ Salaries</v>
          </cell>
          <cell r="N6822" t="str">
            <v>SG&amp;A</v>
          </cell>
          <cell r="O6822" t="str">
            <v>[No Vendor]</v>
          </cell>
        </row>
        <row r="6823">
          <cell r="D6823">
            <v>3421.14</v>
          </cell>
          <cell r="H6823">
            <v>45689</v>
          </cell>
          <cell r="I6823" t="str">
            <v>6377 - Order Processing Expenses (New)</v>
          </cell>
          <cell r="J6823" t="str">
            <v>Ecommerce (EU)</v>
          </cell>
          <cell r="K6823" t="str">
            <v>Ecommerce</v>
          </cell>
          <cell r="L6823" t="str">
            <v>Order Processing</v>
          </cell>
          <cell r="N6823" t="str">
            <v>Direct Costs</v>
          </cell>
          <cell r="O6823" t="str">
            <v>[No Vendor]</v>
          </cell>
        </row>
        <row r="6824">
          <cell r="D6824">
            <v>481.1</v>
          </cell>
          <cell r="H6824">
            <v>45689</v>
          </cell>
          <cell r="I6824" t="str">
            <v>6377 - Order Processing Expenses (New)</v>
          </cell>
          <cell r="J6824" t="str">
            <v>Ecommerce (US)</v>
          </cell>
          <cell r="K6824" t="str">
            <v>Ecommerce</v>
          </cell>
          <cell r="L6824" t="str">
            <v>Order Processing</v>
          </cell>
          <cell r="N6824" t="str">
            <v>Direct Costs</v>
          </cell>
          <cell r="O6824" t="str">
            <v>[No Vendor]</v>
          </cell>
        </row>
        <row r="6825">
          <cell r="D6825">
            <v>3807.15</v>
          </cell>
          <cell r="H6825">
            <v>45689</v>
          </cell>
          <cell r="I6825" t="str">
            <v>4063 - Sales Discount - Wholesale (US)</v>
          </cell>
          <cell r="J6825" t="str">
            <v>Wholesale</v>
          </cell>
          <cell r="K6825" t="str">
            <v>Wholesale</v>
          </cell>
          <cell r="L6825" t="str">
            <v>Wholesale</v>
          </cell>
          <cell r="N6825" t="str">
            <v>Revenue</v>
          </cell>
          <cell r="O6825" t="str">
            <v>[No Vendor]</v>
          </cell>
        </row>
        <row r="6826">
          <cell r="D6826">
            <v>4624.05</v>
          </cell>
          <cell r="H6826">
            <v>45689</v>
          </cell>
          <cell r="I6826" t="str">
            <v>5900 - Interco Royalty Expense</v>
          </cell>
          <cell r="J6826">
            <v>0</v>
          </cell>
          <cell r="K6826" t="str">
            <v>Licensing</v>
          </cell>
          <cell r="L6826">
            <v>0</v>
          </cell>
          <cell r="N6826">
            <v>0</v>
          </cell>
          <cell r="O6826" t="str">
            <v>[No Vendor]</v>
          </cell>
        </row>
        <row r="6827">
          <cell r="D6827">
            <v>0</v>
          </cell>
          <cell r="H6827">
            <v>45689</v>
          </cell>
          <cell r="I6827" t="str">
            <v>4062 - Sales Discount - Ecomm (US)</v>
          </cell>
          <cell r="J6827" t="str">
            <v>Ecommerce (US)</v>
          </cell>
          <cell r="K6827" t="str">
            <v>Ecommerce</v>
          </cell>
          <cell r="L6827" t="str">
            <v>Ecommerce (US)</v>
          </cell>
          <cell r="N6827" t="str">
            <v>Revenue</v>
          </cell>
          <cell r="O6827" t="str">
            <v>[No Vendor]</v>
          </cell>
        </row>
        <row r="6828">
          <cell r="D6828">
            <v>61308.84</v>
          </cell>
          <cell r="H6828">
            <v>45689</v>
          </cell>
          <cell r="I6828" t="str">
            <v>4062 - Sales Discount - Ecomm (US)</v>
          </cell>
          <cell r="J6828" t="str">
            <v>Ecommerce (US)</v>
          </cell>
          <cell r="K6828" t="str">
            <v>Ecommerce</v>
          </cell>
          <cell r="L6828" t="str">
            <v>Ecommerce (US)</v>
          </cell>
          <cell r="N6828" t="str">
            <v>Revenue</v>
          </cell>
          <cell r="O6828" t="str">
            <v>[No Vendor]</v>
          </cell>
        </row>
        <row r="6829">
          <cell r="D6829">
            <v>1954.72</v>
          </cell>
          <cell r="H6829">
            <v>45689</v>
          </cell>
          <cell r="I6829" t="str">
            <v>7130 - License Agreements &amp; Other Intangibles</v>
          </cell>
          <cell r="J6829">
            <v>0</v>
          </cell>
          <cell r="K6829" t="str">
            <v>Administration</v>
          </cell>
          <cell r="L6829" t="str">
            <v>Depreciation &amp; Amortization</v>
          </cell>
          <cell r="N6829" t="str">
            <v>SG&amp;A</v>
          </cell>
          <cell r="O6829" t="str">
            <v>[No Vendor]</v>
          </cell>
        </row>
        <row r="6830">
          <cell r="D6830">
            <v>-4624.05</v>
          </cell>
          <cell r="H6830">
            <v>45689</v>
          </cell>
          <cell r="I6830" t="str">
            <v>4900 - Interco Royalty Revenue</v>
          </cell>
          <cell r="J6830">
            <v>0</v>
          </cell>
          <cell r="K6830" t="str">
            <v>Licensing</v>
          </cell>
          <cell r="L6830">
            <v>0</v>
          </cell>
          <cell r="N6830">
            <v>0</v>
          </cell>
          <cell r="O6830" t="str">
            <v>[No Vendor]</v>
          </cell>
        </row>
        <row r="6831">
          <cell r="D6831">
            <v>3019.92</v>
          </cell>
          <cell r="H6831">
            <v>45689</v>
          </cell>
          <cell r="I6831" t="str">
            <v>6393 - Software</v>
          </cell>
          <cell r="J6831">
            <v>0</v>
          </cell>
          <cell r="K6831" t="str">
            <v>Administration</v>
          </cell>
          <cell r="L6831" t="str">
            <v>Professional Service</v>
          </cell>
          <cell r="N6831" t="str">
            <v>Direct Costs</v>
          </cell>
          <cell r="O6831" t="str">
            <v>MS Office 365</v>
          </cell>
        </row>
        <row r="6832">
          <cell r="D6832">
            <v>839</v>
          </cell>
          <cell r="H6832">
            <v>45689</v>
          </cell>
          <cell r="I6832" t="str">
            <v>6393 - Software</v>
          </cell>
          <cell r="J6832">
            <v>0</v>
          </cell>
          <cell r="K6832" t="str">
            <v>Administration</v>
          </cell>
          <cell r="L6832" t="str">
            <v>Professional Service</v>
          </cell>
          <cell r="N6832" t="str">
            <v>Direct Costs</v>
          </cell>
          <cell r="O6832" t="str">
            <v>Oracle Netsuite</v>
          </cell>
        </row>
        <row r="6833">
          <cell r="D6833">
            <v>9.99</v>
          </cell>
          <cell r="H6833">
            <v>45689</v>
          </cell>
          <cell r="I6833" t="str">
            <v>6393 - Software</v>
          </cell>
          <cell r="J6833">
            <v>0</v>
          </cell>
          <cell r="K6833" t="str">
            <v>Administration</v>
          </cell>
          <cell r="L6833" t="str">
            <v>Professional Service</v>
          </cell>
          <cell r="N6833" t="str">
            <v>Direct Costs</v>
          </cell>
          <cell r="O6833" t="str">
            <v>Drop Box</v>
          </cell>
        </row>
        <row r="6834">
          <cell r="D6834">
            <v>2198.19</v>
          </cell>
          <cell r="H6834">
            <v>45689</v>
          </cell>
          <cell r="I6834" t="str">
            <v>6393 - Software</v>
          </cell>
          <cell r="J6834">
            <v>0</v>
          </cell>
          <cell r="K6834" t="str">
            <v>Administration</v>
          </cell>
          <cell r="L6834" t="str">
            <v>Professional Service</v>
          </cell>
          <cell r="N6834" t="str">
            <v>Direct Costs</v>
          </cell>
          <cell r="O6834" t="str">
            <v>Oracle Netsuite</v>
          </cell>
        </row>
        <row r="6835">
          <cell r="D6835">
            <v>664.18</v>
          </cell>
          <cell r="H6835">
            <v>45689</v>
          </cell>
          <cell r="I6835" t="str">
            <v>6393 - Software</v>
          </cell>
          <cell r="J6835">
            <v>0</v>
          </cell>
          <cell r="K6835" t="str">
            <v>Administration</v>
          </cell>
          <cell r="L6835" t="str">
            <v>Professional Service</v>
          </cell>
          <cell r="N6835" t="str">
            <v>Direct Costs</v>
          </cell>
          <cell r="O6835" t="str">
            <v>Avalara, Inc</v>
          </cell>
        </row>
        <row r="6836">
          <cell r="D6836">
            <v>2721.88</v>
          </cell>
          <cell r="H6836">
            <v>45689</v>
          </cell>
          <cell r="I6836" t="str">
            <v>6393 - Software</v>
          </cell>
          <cell r="J6836">
            <v>0</v>
          </cell>
          <cell r="K6836" t="str">
            <v>Administration</v>
          </cell>
          <cell r="L6836" t="str">
            <v>Professional Service</v>
          </cell>
          <cell r="N6836" t="str">
            <v>Direct Costs</v>
          </cell>
          <cell r="O6836" t="str">
            <v>Apparel Magic</v>
          </cell>
        </row>
        <row r="6837">
          <cell r="D6837">
            <v>13.65</v>
          </cell>
          <cell r="H6837">
            <v>45689</v>
          </cell>
          <cell r="I6837" t="str">
            <v>6393 - Software</v>
          </cell>
          <cell r="J6837">
            <v>0</v>
          </cell>
          <cell r="K6837" t="str">
            <v>Administration</v>
          </cell>
          <cell r="L6837" t="str">
            <v>Professional Service</v>
          </cell>
          <cell r="N6837" t="str">
            <v>Direct Costs</v>
          </cell>
          <cell r="O6837" t="str">
            <v>Zoom</v>
          </cell>
        </row>
        <row r="6838">
          <cell r="D6838">
            <v>1302.44</v>
          </cell>
          <cell r="H6838">
            <v>45689</v>
          </cell>
          <cell r="I6838" t="str">
            <v>6393 - Software</v>
          </cell>
          <cell r="J6838">
            <v>0</v>
          </cell>
          <cell r="K6838" t="str">
            <v>Administration</v>
          </cell>
          <cell r="L6838" t="str">
            <v>Professional Service</v>
          </cell>
          <cell r="N6838" t="str">
            <v>Direct Costs</v>
          </cell>
          <cell r="O6838" t="str">
            <v>Avalara, Inc</v>
          </cell>
        </row>
        <row r="6839">
          <cell r="D6839">
            <v>2268.23</v>
          </cell>
          <cell r="H6839">
            <v>45689</v>
          </cell>
          <cell r="I6839" t="str">
            <v>6393 - Software</v>
          </cell>
          <cell r="J6839">
            <v>0</v>
          </cell>
          <cell r="K6839" t="str">
            <v>Brand Marketing</v>
          </cell>
          <cell r="L6839" t="str">
            <v>Professional Service</v>
          </cell>
          <cell r="N6839" t="str">
            <v>Direct Costs</v>
          </cell>
          <cell r="O6839" t="str">
            <v>Fohr</v>
          </cell>
        </row>
        <row r="6840">
          <cell r="D6840">
            <v>0</v>
          </cell>
          <cell r="H6840">
            <v>45689</v>
          </cell>
          <cell r="I6840" t="str">
            <v>6286 - SEM</v>
          </cell>
          <cell r="J6840" t="str">
            <v>Ecommerce (US)</v>
          </cell>
          <cell r="K6840" t="str">
            <v>Ecommerce</v>
          </cell>
          <cell r="L6840" t="str">
            <v>Marketing</v>
          </cell>
          <cell r="N6840" t="str">
            <v>Direct Costs</v>
          </cell>
          <cell r="O6840" t="str">
            <v>[No Vendor]</v>
          </cell>
        </row>
        <row r="6841">
          <cell r="D6841">
            <v>0</v>
          </cell>
          <cell r="H6841">
            <v>45689</v>
          </cell>
          <cell r="I6841" t="str">
            <v>6340 - Miscellaneous Expense</v>
          </cell>
          <cell r="J6841" t="str">
            <v>Ecommerce (US)</v>
          </cell>
          <cell r="K6841" t="str">
            <v>Ecommerce</v>
          </cell>
          <cell r="L6841" t="str">
            <v>Other</v>
          </cell>
          <cell r="N6841" t="str">
            <v>SG&amp;A</v>
          </cell>
          <cell r="O6841" t="str">
            <v>[No Vendor]</v>
          </cell>
        </row>
        <row r="6842">
          <cell r="D6842">
            <v>38242.449999999997</v>
          </cell>
          <cell r="H6842">
            <v>45689</v>
          </cell>
          <cell r="I6842" t="str">
            <v>6240 - Product Photography</v>
          </cell>
          <cell r="J6842">
            <v>0</v>
          </cell>
          <cell r="K6842" t="str">
            <v>Brand Marketing</v>
          </cell>
          <cell r="L6842" t="str">
            <v>Advertising</v>
          </cell>
          <cell r="N6842" t="str">
            <v>SG&amp;A</v>
          </cell>
          <cell r="O6842" t="str">
            <v>GOSFilms LLC</v>
          </cell>
        </row>
        <row r="6843">
          <cell r="D6843">
            <v>12496.96</v>
          </cell>
          <cell r="H6843">
            <v>45689</v>
          </cell>
          <cell r="I6843" t="str">
            <v>6289 - Seeding / Product Placement</v>
          </cell>
          <cell r="J6843">
            <v>0</v>
          </cell>
          <cell r="K6843" t="str">
            <v>Brand Marketing</v>
          </cell>
          <cell r="L6843" t="str">
            <v>Advertising</v>
          </cell>
          <cell r="N6843" t="str">
            <v>SG&amp;A</v>
          </cell>
          <cell r="O6843" t="str">
            <v>[No Vendor]</v>
          </cell>
        </row>
        <row r="6844">
          <cell r="D6844">
            <v>833.33</v>
          </cell>
          <cell r="H6844">
            <v>45689</v>
          </cell>
          <cell r="I6844" t="str">
            <v>6284 - Advertising</v>
          </cell>
          <cell r="J6844">
            <v>0</v>
          </cell>
          <cell r="K6844" t="str">
            <v>Brand Marketing</v>
          </cell>
          <cell r="L6844" t="str">
            <v>Advertising</v>
          </cell>
          <cell r="N6844" t="str">
            <v>SG&amp;A</v>
          </cell>
          <cell r="O6844" t="str">
            <v>[No Vendor]</v>
          </cell>
        </row>
        <row r="6845">
          <cell r="D6845">
            <v>833.33</v>
          </cell>
          <cell r="H6845">
            <v>45689</v>
          </cell>
          <cell r="I6845" t="str">
            <v>6284 - Advertising</v>
          </cell>
          <cell r="J6845">
            <v>0</v>
          </cell>
          <cell r="K6845" t="str">
            <v>Brand Marketing</v>
          </cell>
          <cell r="L6845" t="str">
            <v>Advertising</v>
          </cell>
          <cell r="N6845" t="str">
            <v>SG&amp;A</v>
          </cell>
          <cell r="O6845" t="str">
            <v>[No Vendor]</v>
          </cell>
        </row>
        <row r="6846">
          <cell r="D6846">
            <v>0</v>
          </cell>
          <cell r="H6846">
            <v>45689</v>
          </cell>
          <cell r="I6846" t="str">
            <v>6205 - Contractors</v>
          </cell>
          <cell r="J6846">
            <v>0</v>
          </cell>
          <cell r="K6846" t="str">
            <v>Brand Marketing</v>
          </cell>
          <cell r="L6846" t="str">
            <v>HQ Salaries</v>
          </cell>
          <cell r="N6846" t="str">
            <v>SG&amp;A</v>
          </cell>
          <cell r="O6846" t="str">
            <v>[No Vendor]</v>
          </cell>
        </row>
        <row r="6847">
          <cell r="D6847">
            <v>20125.3</v>
          </cell>
          <cell r="H6847">
            <v>45689</v>
          </cell>
          <cell r="I6847" t="str">
            <v>6205 - Contractors</v>
          </cell>
          <cell r="J6847" t="str">
            <v>Ecommerce (US)</v>
          </cell>
          <cell r="K6847" t="str">
            <v>Ecommerce</v>
          </cell>
          <cell r="L6847" t="str">
            <v>HQ Salaries</v>
          </cell>
          <cell r="N6847" t="str">
            <v>SG&amp;A</v>
          </cell>
          <cell r="O6847" t="str">
            <v>[No Vendor]</v>
          </cell>
        </row>
        <row r="6848">
          <cell r="D6848">
            <v>0</v>
          </cell>
          <cell r="H6848">
            <v>45689</v>
          </cell>
          <cell r="I6848" t="str">
            <v>6205 - Contractors</v>
          </cell>
          <cell r="J6848">
            <v>0</v>
          </cell>
          <cell r="K6848" t="str">
            <v>Design</v>
          </cell>
          <cell r="L6848" t="str">
            <v>HQ Salaries</v>
          </cell>
          <cell r="N6848" t="str">
            <v>SG&amp;A</v>
          </cell>
          <cell r="O6848" t="str">
            <v>[No Vendor]</v>
          </cell>
        </row>
        <row r="6849">
          <cell r="D6849">
            <v>3000</v>
          </cell>
          <cell r="H6849">
            <v>45689</v>
          </cell>
          <cell r="I6849" t="str">
            <v>6205 - Contractors</v>
          </cell>
          <cell r="J6849">
            <v>0</v>
          </cell>
          <cell r="K6849" t="str">
            <v>Production</v>
          </cell>
          <cell r="L6849" t="str">
            <v>HQ Salaries</v>
          </cell>
          <cell r="N6849" t="str">
            <v>SG&amp;A</v>
          </cell>
          <cell r="O6849" t="str">
            <v>Philip Yau</v>
          </cell>
        </row>
        <row r="6850">
          <cell r="D6850">
            <v>697.61</v>
          </cell>
          <cell r="H6850">
            <v>45689</v>
          </cell>
          <cell r="I6850" t="str">
            <v>6370 - Samples</v>
          </cell>
          <cell r="J6850">
            <v>0</v>
          </cell>
          <cell r="K6850" t="str">
            <v>Production</v>
          </cell>
          <cell r="L6850" t="str">
            <v>Sample</v>
          </cell>
          <cell r="N6850" t="str">
            <v>SG&amp;A</v>
          </cell>
          <cell r="O6850" t="str">
            <v>[No Vendor]</v>
          </cell>
        </row>
        <row r="6851">
          <cell r="D6851">
            <v>-606</v>
          </cell>
          <cell r="H6851">
            <v>45689</v>
          </cell>
          <cell r="I6851" t="str">
            <v>6410 - Lease Expense</v>
          </cell>
          <cell r="J6851">
            <v>0</v>
          </cell>
          <cell r="K6851" t="str">
            <v>Administration</v>
          </cell>
          <cell r="L6851" t="str">
            <v>Rent</v>
          </cell>
          <cell r="N6851" t="str">
            <v>SG&amp;A</v>
          </cell>
          <cell r="O6851" t="str">
            <v>[No Vendor]</v>
          </cell>
        </row>
        <row r="6852">
          <cell r="D6852">
            <v>1062.5</v>
          </cell>
          <cell r="H6852">
            <v>45689</v>
          </cell>
          <cell r="I6852" t="str">
            <v>6385 - Insurance</v>
          </cell>
          <cell r="J6852">
            <v>0</v>
          </cell>
          <cell r="K6852" t="str">
            <v>Administration</v>
          </cell>
          <cell r="L6852" t="str">
            <v>Professional Service</v>
          </cell>
          <cell r="N6852" t="str">
            <v>SG&amp;A</v>
          </cell>
          <cell r="O6852" t="str">
            <v>[No Vendor]</v>
          </cell>
        </row>
        <row r="6853">
          <cell r="D6853">
            <v>501.9</v>
          </cell>
          <cell r="H6853">
            <v>45689</v>
          </cell>
          <cell r="I6853" t="str">
            <v>6385 - Insurance</v>
          </cell>
          <cell r="J6853">
            <v>0</v>
          </cell>
          <cell r="K6853" t="str">
            <v>Administration</v>
          </cell>
          <cell r="L6853" t="str">
            <v>Professional Service</v>
          </cell>
          <cell r="N6853" t="str">
            <v>SG&amp;A</v>
          </cell>
          <cell r="O6853" t="str">
            <v>[No Vendor]</v>
          </cell>
        </row>
        <row r="6854">
          <cell r="D6854">
            <v>-37.299999999999997</v>
          </cell>
          <cell r="H6854">
            <v>45689</v>
          </cell>
          <cell r="I6854" t="str">
            <v>6385 - Insurance</v>
          </cell>
          <cell r="J6854">
            <v>0</v>
          </cell>
          <cell r="K6854" t="str">
            <v>Administration</v>
          </cell>
          <cell r="L6854" t="str">
            <v>Professional Service</v>
          </cell>
          <cell r="N6854" t="str">
            <v>SG&amp;A</v>
          </cell>
          <cell r="O6854" t="str">
            <v>[No Vendor]</v>
          </cell>
        </row>
        <row r="6855">
          <cell r="D6855">
            <v>-48.66</v>
          </cell>
          <cell r="H6855">
            <v>45689</v>
          </cell>
          <cell r="I6855" t="str">
            <v>6385 - Insurance</v>
          </cell>
          <cell r="J6855">
            <v>0</v>
          </cell>
          <cell r="K6855" t="str">
            <v>Administration</v>
          </cell>
          <cell r="L6855" t="str">
            <v>Professional Service</v>
          </cell>
          <cell r="N6855" t="str">
            <v>SG&amp;A</v>
          </cell>
          <cell r="O6855" t="str">
            <v>[No Vendor]</v>
          </cell>
        </row>
        <row r="6856">
          <cell r="D6856">
            <v>-54.44</v>
          </cell>
          <cell r="H6856">
            <v>45689</v>
          </cell>
          <cell r="I6856" t="str">
            <v>6385 - Insurance</v>
          </cell>
          <cell r="J6856">
            <v>0</v>
          </cell>
          <cell r="K6856" t="str">
            <v>Administration</v>
          </cell>
          <cell r="L6856" t="str">
            <v>Professional Service</v>
          </cell>
          <cell r="N6856" t="str">
            <v>SG&amp;A</v>
          </cell>
          <cell r="O6856" t="str">
            <v>[No Vendor]</v>
          </cell>
        </row>
        <row r="6857">
          <cell r="D6857">
            <v>-13.88</v>
          </cell>
          <cell r="H6857">
            <v>45689</v>
          </cell>
          <cell r="I6857" t="str">
            <v>6385 - Insurance</v>
          </cell>
          <cell r="J6857">
            <v>0</v>
          </cell>
          <cell r="K6857" t="str">
            <v>Administration</v>
          </cell>
          <cell r="L6857" t="str">
            <v>Professional Service</v>
          </cell>
          <cell r="N6857" t="str">
            <v>SG&amp;A</v>
          </cell>
          <cell r="O6857" t="str">
            <v>[No Vendor]</v>
          </cell>
        </row>
        <row r="6858">
          <cell r="D6858">
            <v>-44.48</v>
          </cell>
          <cell r="H6858">
            <v>45689</v>
          </cell>
          <cell r="I6858" t="str">
            <v>6385 - Insurance</v>
          </cell>
          <cell r="J6858">
            <v>0</v>
          </cell>
          <cell r="K6858" t="str">
            <v>Administration</v>
          </cell>
          <cell r="L6858" t="str">
            <v>Professional Service</v>
          </cell>
          <cell r="N6858" t="str">
            <v>SG&amp;A</v>
          </cell>
          <cell r="O6858" t="str">
            <v>[No Vendor]</v>
          </cell>
        </row>
        <row r="6859">
          <cell r="D6859">
            <v>-43.2</v>
          </cell>
          <cell r="H6859">
            <v>45689</v>
          </cell>
          <cell r="I6859" t="str">
            <v>6385 - Insurance</v>
          </cell>
          <cell r="J6859">
            <v>0</v>
          </cell>
          <cell r="K6859" t="str">
            <v>Administration</v>
          </cell>
          <cell r="L6859" t="str">
            <v>Professional Service</v>
          </cell>
          <cell r="N6859" t="str">
            <v>SG&amp;A</v>
          </cell>
          <cell r="O6859" t="str">
            <v>[No Vendor]</v>
          </cell>
        </row>
        <row r="6860">
          <cell r="D6860">
            <v>-88.99</v>
          </cell>
          <cell r="H6860">
            <v>45689</v>
          </cell>
          <cell r="I6860" t="str">
            <v>6385 - Insurance</v>
          </cell>
          <cell r="J6860">
            <v>0</v>
          </cell>
          <cell r="K6860" t="str">
            <v>Administration</v>
          </cell>
          <cell r="L6860" t="str">
            <v>Professional Service</v>
          </cell>
          <cell r="N6860" t="str">
            <v>SG&amp;A</v>
          </cell>
          <cell r="O6860" t="str">
            <v>[No Vendor]</v>
          </cell>
        </row>
        <row r="6861">
          <cell r="D6861">
            <v>-41.72</v>
          </cell>
          <cell r="H6861">
            <v>45689</v>
          </cell>
          <cell r="I6861" t="str">
            <v>6385 - Insurance</v>
          </cell>
          <cell r="J6861">
            <v>0</v>
          </cell>
          <cell r="K6861" t="str">
            <v>Administration</v>
          </cell>
          <cell r="L6861" t="str">
            <v>Professional Service</v>
          </cell>
          <cell r="N6861" t="str">
            <v>SG&amp;A</v>
          </cell>
          <cell r="O6861" t="str">
            <v>[No Vendor]</v>
          </cell>
        </row>
        <row r="6862">
          <cell r="D6862">
            <v>346.63</v>
          </cell>
          <cell r="H6862">
            <v>45689</v>
          </cell>
          <cell r="I6862" t="str">
            <v>6400 - Utilities</v>
          </cell>
          <cell r="J6862">
            <v>0</v>
          </cell>
          <cell r="K6862" t="str">
            <v>Administration</v>
          </cell>
          <cell r="L6862" t="str">
            <v>Other</v>
          </cell>
          <cell r="N6862" t="str">
            <v>SG&amp;A</v>
          </cell>
          <cell r="O6862" t="str">
            <v>[No Vendor]</v>
          </cell>
        </row>
        <row r="6863">
          <cell r="D6863">
            <v>66.72</v>
          </cell>
          <cell r="H6863">
            <v>45689</v>
          </cell>
          <cell r="I6863" t="str">
            <v>7060 - Information Technology &amp; Software</v>
          </cell>
          <cell r="J6863">
            <v>0</v>
          </cell>
          <cell r="K6863" t="str">
            <v>Executive</v>
          </cell>
          <cell r="L6863" t="str">
            <v>Depreciation &amp; Amortization</v>
          </cell>
          <cell r="N6863" t="str">
            <v>SG&amp;A</v>
          </cell>
          <cell r="O6863" t="str">
            <v>[No Vendor]</v>
          </cell>
        </row>
        <row r="6864">
          <cell r="D6864">
            <v>113.67</v>
          </cell>
          <cell r="H6864">
            <v>45689</v>
          </cell>
          <cell r="I6864" t="str">
            <v>7060 - Information Technology &amp; Software</v>
          </cell>
          <cell r="J6864" t="str">
            <v>Wholesale</v>
          </cell>
          <cell r="K6864" t="str">
            <v>Wholesale</v>
          </cell>
          <cell r="L6864" t="str">
            <v>Depreciation &amp; Amortization</v>
          </cell>
          <cell r="N6864" t="str">
            <v>SG&amp;A</v>
          </cell>
          <cell r="O6864" t="str">
            <v>[No Vendor]</v>
          </cell>
        </row>
        <row r="6865">
          <cell r="D6865">
            <v>148.66999999999999</v>
          </cell>
          <cell r="H6865">
            <v>45689</v>
          </cell>
          <cell r="I6865" t="str">
            <v>7060 - Information Technology &amp; Software</v>
          </cell>
          <cell r="J6865" t="str">
            <v>Ecommerce (US)</v>
          </cell>
          <cell r="K6865" t="str">
            <v>Ecommerce</v>
          </cell>
          <cell r="L6865" t="str">
            <v>Depreciation &amp; Amortization</v>
          </cell>
          <cell r="N6865" t="str">
            <v>SG&amp;A</v>
          </cell>
          <cell r="O6865" t="str">
            <v>[No Vendor]</v>
          </cell>
        </row>
        <row r="6866">
          <cell r="D6866">
            <v>147.88999999999999</v>
          </cell>
          <cell r="H6866">
            <v>45689</v>
          </cell>
          <cell r="I6866" t="str">
            <v>7060 - Information Technology &amp; Software</v>
          </cell>
          <cell r="J6866">
            <v>0</v>
          </cell>
          <cell r="K6866" t="str">
            <v>Production</v>
          </cell>
          <cell r="L6866" t="str">
            <v>Depreciation &amp; Amortization</v>
          </cell>
          <cell r="N6866" t="str">
            <v>SG&amp;A</v>
          </cell>
          <cell r="O6866" t="str">
            <v>[No Vendor]</v>
          </cell>
        </row>
        <row r="6867">
          <cell r="D6867">
            <v>246.28</v>
          </cell>
          <cell r="H6867">
            <v>45689</v>
          </cell>
          <cell r="I6867" t="str">
            <v>7060 - Information Technology &amp; Software</v>
          </cell>
          <cell r="J6867">
            <v>0</v>
          </cell>
          <cell r="K6867" t="str">
            <v>Design</v>
          </cell>
          <cell r="L6867" t="str">
            <v>Depreciation &amp; Amortization</v>
          </cell>
          <cell r="N6867" t="str">
            <v>SG&amp;A</v>
          </cell>
          <cell r="O6867" t="str">
            <v>[No Vendor]</v>
          </cell>
        </row>
        <row r="6868">
          <cell r="D6868">
            <v>65.48</v>
          </cell>
          <cell r="H6868">
            <v>45689</v>
          </cell>
          <cell r="I6868" t="str">
            <v>7060 - Information Technology &amp; Software</v>
          </cell>
          <cell r="J6868">
            <v>0</v>
          </cell>
          <cell r="K6868" t="str">
            <v>Merchandising</v>
          </cell>
          <cell r="L6868" t="str">
            <v>Depreciation &amp; Amortization</v>
          </cell>
          <cell r="N6868" t="str">
            <v>SG&amp;A</v>
          </cell>
          <cell r="O6868" t="str">
            <v>[No Vendor]</v>
          </cell>
        </row>
        <row r="6869">
          <cell r="D6869">
            <v>166.9</v>
          </cell>
          <cell r="H6869">
            <v>45689</v>
          </cell>
          <cell r="I6869" t="str">
            <v>7060 - Information Technology &amp; Software</v>
          </cell>
          <cell r="J6869">
            <v>0</v>
          </cell>
          <cell r="K6869" t="str">
            <v>Brand Marketing</v>
          </cell>
          <cell r="L6869" t="str">
            <v>Depreciation &amp; Amortization</v>
          </cell>
          <cell r="N6869" t="str">
            <v>SG&amp;A</v>
          </cell>
          <cell r="O6869" t="str">
            <v>[No Vendor]</v>
          </cell>
        </row>
        <row r="6870">
          <cell r="D6870">
            <v>862.73</v>
          </cell>
          <cell r="H6870">
            <v>45689</v>
          </cell>
          <cell r="I6870" t="str">
            <v>7060 - Information Technology &amp; Software</v>
          </cell>
          <cell r="J6870">
            <v>0</v>
          </cell>
          <cell r="K6870" t="str">
            <v>Administration</v>
          </cell>
          <cell r="L6870" t="str">
            <v>Depreciation &amp; Amortization</v>
          </cell>
          <cell r="N6870" t="str">
            <v>SG&amp;A</v>
          </cell>
          <cell r="O6870" t="str">
            <v>[No Vendor]</v>
          </cell>
        </row>
        <row r="6871">
          <cell r="D6871">
            <v>238.77</v>
          </cell>
          <cell r="H6871">
            <v>45689</v>
          </cell>
          <cell r="I6871" t="str">
            <v>7040 - Furniture &amp; Fixtures</v>
          </cell>
          <cell r="J6871" t="str">
            <v>Wholesale</v>
          </cell>
          <cell r="K6871" t="str">
            <v>Wholesale</v>
          </cell>
          <cell r="L6871" t="str">
            <v>Depreciation &amp; Amortization</v>
          </cell>
          <cell r="N6871" t="str">
            <v>SG&amp;A</v>
          </cell>
          <cell r="O6871" t="str">
            <v>[No Vendor]</v>
          </cell>
        </row>
        <row r="6872">
          <cell r="D6872">
            <v>0</v>
          </cell>
          <cell r="H6872">
            <v>45689</v>
          </cell>
          <cell r="I6872" t="str">
            <v>7040 - Furniture &amp; Fixtures</v>
          </cell>
          <cell r="J6872">
            <v>0</v>
          </cell>
          <cell r="K6872" t="str">
            <v>Brand Marketing</v>
          </cell>
          <cell r="L6872" t="str">
            <v>Depreciation &amp; Amortization</v>
          </cell>
          <cell r="N6872" t="str">
            <v>SG&amp;A</v>
          </cell>
          <cell r="O6872" t="str">
            <v>[No Vendor]</v>
          </cell>
        </row>
        <row r="6873">
          <cell r="D6873">
            <v>275.64</v>
          </cell>
          <cell r="H6873">
            <v>45689</v>
          </cell>
          <cell r="I6873" t="str">
            <v>7040 - Furniture &amp; Fixtures</v>
          </cell>
          <cell r="J6873">
            <v>0</v>
          </cell>
          <cell r="K6873" t="str">
            <v>Administration</v>
          </cell>
          <cell r="L6873" t="str">
            <v>Depreciation &amp; Amortization</v>
          </cell>
          <cell r="N6873" t="str">
            <v>SG&amp;A</v>
          </cell>
          <cell r="O6873" t="str">
            <v>[No Vendor]</v>
          </cell>
        </row>
        <row r="6874">
          <cell r="D6874">
            <v>1163.08</v>
          </cell>
          <cell r="H6874">
            <v>45689</v>
          </cell>
          <cell r="I6874" t="str">
            <v>6055 - Employer Social Security Tax Withheld</v>
          </cell>
          <cell r="J6874">
            <v>0</v>
          </cell>
          <cell r="K6874" t="str">
            <v>Merchandising</v>
          </cell>
          <cell r="L6874" t="str">
            <v>HQ Salaries</v>
          </cell>
          <cell r="N6874" t="str">
            <v>SG&amp;A</v>
          </cell>
          <cell r="O6874" t="str">
            <v>[No Vendor]</v>
          </cell>
        </row>
        <row r="6875">
          <cell r="D6875">
            <v>1368.47</v>
          </cell>
          <cell r="H6875">
            <v>45689</v>
          </cell>
          <cell r="I6875" t="str">
            <v>6055 - Employer Social Security Tax Withheld</v>
          </cell>
          <cell r="J6875" t="str">
            <v>Wholesale</v>
          </cell>
          <cell r="K6875" t="str">
            <v>Wholesale</v>
          </cell>
          <cell r="L6875" t="str">
            <v>HQ Salaries</v>
          </cell>
          <cell r="N6875" t="str">
            <v>SG&amp;A</v>
          </cell>
          <cell r="O6875" t="str">
            <v>[No Vendor]</v>
          </cell>
        </row>
        <row r="6876">
          <cell r="D6876">
            <v>1374.88</v>
          </cell>
          <cell r="H6876">
            <v>45689</v>
          </cell>
          <cell r="I6876" t="str">
            <v>6055 - Employer Social Security Tax Withheld</v>
          </cell>
          <cell r="J6876">
            <v>0</v>
          </cell>
          <cell r="K6876" t="str">
            <v>Production</v>
          </cell>
          <cell r="L6876" t="str">
            <v>HQ Salaries</v>
          </cell>
          <cell r="N6876" t="str">
            <v>SG&amp;A</v>
          </cell>
          <cell r="O6876" t="str">
            <v>[No Vendor]</v>
          </cell>
        </row>
        <row r="6877">
          <cell r="D6877">
            <v>364.92</v>
          </cell>
          <cell r="H6877">
            <v>45689</v>
          </cell>
          <cell r="I6877" t="str">
            <v>6055 - Employer Social Security Tax Withheld</v>
          </cell>
          <cell r="J6877">
            <v>0</v>
          </cell>
          <cell r="K6877" t="str">
            <v>Brand Marketing</v>
          </cell>
          <cell r="L6877" t="str">
            <v>HQ Salaries</v>
          </cell>
          <cell r="N6877" t="str">
            <v>SG&amp;A</v>
          </cell>
          <cell r="O6877" t="str">
            <v>[No Vendor]</v>
          </cell>
        </row>
        <row r="6878">
          <cell r="D6878">
            <v>1174.3499999999999</v>
          </cell>
          <cell r="H6878">
            <v>45689</v>
          </cell>
          <cell r="I6878" t="str">
            <v>6055 - Employer Social Security Tax Withheld</v>
          </cell>
          <cell r="J6878">
            <v>0</v>
          </cell>
          <cell r="K6878" t="str">
            <v>Executive</v>
          </cell>
          <cell r="L6878" t="str">
            <v>HQ Salaries</v>
          </cell>
          <cell r="N6878" t="str">
            <v>SG&amp;A</v>
          </cell>
          <cell r="O6878" t="str">
            <v>[No Vendor]</v>
          </cell>
        </row>
        <row r="6879">
          <cell r="D6879">
            <v>2484.96</v>
          </cell>
          <cell r="H6879">
            <v>45689</v>
          </cell>
          <cell r="I6879" t="str">
            <v>6055 - Employer Social Security Tax Withheld</v>
          </cell>
          <cell r="J6879" t="str">
            <v>Ecommerce (US)</v>
          </cell>
          <cell r="K6879" t="str">
            <v>Ecommerce</v>
          </cell>
          <cell r="L6879" t="str">
            <v>HQ Salaries</v>
          </cell>
          <cell r="N6879" t="str">
            <v>SG&amp;A</v>
          </cell>
          <cell r="O6879" t="str">
            <v>[No Vendor]</v>
          </cell>
        </row>
        <row r="6880">
          <cell r="D6880">
            <v>2318.6999999999998</v>
          </cell>
          <cell r="H6880">
            <v>45689</v>
          </cell>
          <cell r="I6880" t="str">
            <v>6055 - Employer Social Security Tax Withheld</v>
          </cell>
          <cell r="J6880">
            <v>0</v>
          </cell>
          <cell r="K6880" t="str">
            <v>Design</v>
          </cell>
          <cell r="L6880" t="str">
            <v>HQ Salaries</v>
          </cell>
          <cell r="N6880" t="str">
            <v>SG&amp;A</v>
          </cell>
          <cell r="O6880" t="str">
            <v>[No Vendor]</v>
          </cell>
        </row>
        <row r="6881">
          <cell r="D6881">
            <v>2606.11</v>
          </cell>
          <cell r="H6881">
            <v>45689</v>
          </cell>
          <cell r="I6881" t="str">
            <v>6055 - Employer Social Security Tax Withheld</v>
          </cell>
          <cell r="J6881">
            <v>0</v>
          </cell>
          <cell r="K6881" t="str">
            <v>Administration</v>
          </cell>
          <cell r="L6881" t="str">
            <v>HQ Salaries</v>
          </cell>
          <cell r="N6881" t="str">
            <v>SG&amp;A</v>
          </cell>
          <cell r="O6881" t="str">
            <v>[No Vendor]</v>
          </cell>
        </row>
        <row r="6882">
          <cell r="D6882">
            <v>13899.97</v>
          </cell>
          <cell r="H6882">
            <v>45689</v>
          </cell>
          <cell r="I6882" t="str">
            <v>5000 - Cost of Goods Sold</v>
          </cell>
          <cell r="J6882" t="str">
            <v>Ecommerce (US)</v>
          </cell>
          <cell r="K6882" t="str">
            <v>Ecommerce</v>
          </cell>
          <cell r="L6882" t="str">
            <v>COGS</v>
          </cell>
          <cell r="N6882" t="str">
            <v>COGS</v>
          </cell>
          <cell r="O6882" t="str">
            <v>[No Vendor]</v>
          </cell>
        </row>
        <row r="6883">
          <cell r="D6883">
            <v>87361.17</v>
          </cell>
          <cell r="H6883">
            <v>45689</v>
          </cell>
          <cell r="I6883" t="str">
            <v>5000 - Cost of Goods Sold</v>
          </cell>
          <cell r="J6883" t="str">
            <v>Wholesale</v>
          </cell>
          <cell r="K6883" t="str">
            <v>Wholesale</v>
          </cell>
          <cell r="L6883" t="str">
            <v>COGS</v>
          </cell>
          <cell r="N6883" t="str">
            <v>COGS</v>
          </cell>
          <cell r="O6883" t="str">
            <v>[No Vendor]</v>
          </cell>
        </row>
        <row r="6884">
          <cell r="D6884">
            <v>-3424.73</v>
          </cell>
          <cell r="H6884">
            <v>45689</v>
          </cell>
          <cell r="I6884" t="str">
            <v>5000 - Cost of Goods Sold</v>
          </cell>
          <cell r="J6884" t="str">
            <v>Wholesale</v>
          </cell>
          <cell r="K6884" t="str">
            <v>Wholesale</v>
          </cell>
          <cell r="L6884" t="str">
            <v>COGS</v>
          </cell>
          <cell r="N6884" t="str">
            <v>COGS</v>
          </cell>
          <cell r="O6884" t="str">
            <v>[No Vendor]</v>
          </cell>
        </row>
        <row r="6885">
          <cell r="D6885">
            <v>312502.18</v>
          </cell>
          <cell r="H6885">
            <v>45689</v>
          </cell>
          <cell r="I6885" t="str">
            <v>5000 - Cost of Goods Sold</v>
          </cell>
          <cell r="J6885" t="str">
            <v>Ecommerce (US)</v>
          </cell>
          <cell r="K6885" t="str">
            <v>Ecommerce</v>
          </cell>
          <cell r="L6885" t="str">
            <v>COGS</v>
          </cell>
          <cell r="N6885" t="str">
            <v>COGS</v>
          </cell>
          <cell r="O6885" t="str">
            <v>[No Vendor]</v>
          </cell>
        </row>
        <row r="6886">
          <cell r="D6886">
            <v>25299.74</v>
          </cell>
          <cell r="H6886">
            <v>45689</v>
          </cell>
          <cell r="I6886" t="str">
            <v>5000 - Cost of Goods Sold</v>
          </cell>
          <cell r="J6886" t="str">
            <v>Ecommerce (EU)</v>
          </cell>
          <cell r="K6886" t="str">
            <v>Ecommerce</v>
          </cell>
          <cell r="L6886" t="str">
            <v>COGS</v>
          </cell>
          <cell r="N6886" t="str">
            <v>COGS</v>
          </cell>
          <cell r="O6886" t="str">
            <v>[No Vendor]</v>
          </cell>
        </row>
        <row r="6887">
          <cell r="D6887">
            <v>0</v>
          </cell>
          <cell r="H6887">
            <v>45689</v>
          </cell>
          <cell r="I6887" t="str">
            <v>8000 - Interest Income</v>
          </cell>
          <cell r="J6887">
            <v>0</v>
          </cell>
          <cell r="K6887" t="str">
            <v>Licensing</v>
          </cell>
          <cell r="L6887" t="str">
            <v>Other Income (BTL)</v>
          </cell>
          <cell r="N6887" t="str">
            <v>BTL</v>
          </cell>
          <cell r="O6887" t="str">
            <v>[No Vendor]</v>
          </cell>
        </row>
        <row r="6888">
          <cell r="D6888">
            <v>29.4</v>
          </cell>
          <cell r="H6888">
            <v>45689</v>
          </cell>
          <cell r="I6888" t="str">
            <v>6487 - Interest Expense</v>
          </cell>
          <cell r="J6888">
            <v>0</v>
          </cell>
          <cell r="K6888" t="str">
            <v>Administration</v>
          </cell>
          <cell r="L6888" t="str">
            <v>Interest</v>
          </cell>
          <cell r="N6888" t="str">
            <v>BTL</v>
          </cell>
          <cell r="O6888" t="str">
            <v>[No Vendor]</v>
          </cell>
        </row>
        <row r="6889">
          <cell r="D6889">
            <v>8035.51</v>
          </cell>
          <cell r="H6889">
            <v>45689</v>
          </cell>
          <cell r="I6889" t="str">
            <v>6487 - Interest Expense</v>
          </cell>
          <cell r="J6889">
            <v>0</v>
          </cell>
          <cell r="K6889" t="str">
            <v>Administration</v>
          </cell>
          <cell r="L6889" t="str">
            <v>Interest</v>
          </cell>
          <cell r="N6889" t="str">
            <v>BTL</v>
          </cell>
          <cell r="O6889" t="str">
            <v>[No Vendor]</v>
          </cell>
        </row>
        <row r="6890">
          <cell r="D6890">
            <v>10586.3</v>
          </cell>
          <cell r="H6890">
            <v>45689</v>
          </cell>
          <cell r="I6890" t="str">
            <v>6487 - Interest Expense</v>
          </cell>
          <cell r="J6890">
            <v>0</v>
          </cell>
          <cell r="K6890" t="str">
            <v>Administration</v>
          </cell>
          <cell r="L6890" t="str">
            <v>Interest</v>
          </cell>
          <cell r="N6890" t="str">
            <v>BTL</v>
          </cell>
          <cell r="O6890" t="str">
            <v>[No Vendor]</v>
          </cell>
        </row>
        <row r="6891">
          <cell r="D6891">
            <v>3528.77</v>
          </cell>
          <cell r="H6891">
            <v>45689</v>
          </cell>
          <cell r="I6891" t="str">
            <v>6487 - Interest Expense</v>
          </cell>
          <cell r="J6891">
            <v>0</v>
          </cell>
          <cell r="K6891" t="str">
            <v>Administration</v>
          </cell>
          <cell r="L6891" t="str">
            <v>Interest</v>
          </cell>
          <cell r="N6891" t="str">
            <v>BTL</v>
          </cell>
          <cell r="O6891" t="str">
            <v>[No Vendor]</v>
          </cell>
        </row>
        <row r="6892">
          <cell r="D6892">
            <v>13762.19</v>
          </cell>
          <cell r="H6892">
            <v>45689</v>
          </cell>
          <cell r="I6892" t="str">
            <v>6487 - Interest Expense</v>
          </cell>
          <cell r="J6892">
            <v>0</v>
          </cell>
          <cell r="K6892" t="str">
            <v>Administration</v>
          </cell>
          <cell r="L6892" t="str">
            <v>Interest</v>
          </cell>
          <cell r="N6892" t="str">
            <v>BTL</v>
          </cell>
          <cell r="O6892" t="str">
            <v>[No Vendor]</v>
          </cell>
        </row>
        <row r="6893">
          <cell r="D6893">
            <v>5293.15</v>
          </cell>
          <cell r="H6893">
            <v>45689</v>
          </cell>
          <cell r="I6893" t="str">
            <v>6487 - Interest Expense</v>
          </cell>
          <cell r="J6893">
            <v>0</v>
          </cell>
          <cell r="K6893" t="str">
            <v>Administration</v>
          </cell>
          <cell r="L6893" t="str">
            <v>Interest</v>
          </cell>
          <cell r="N6893" t="str">
            <v>BTL</v>
          </cell>
          <cell r="O6893" t="str">
            <v>[No Vendor]</v>
          </cell>
        </row>
        <row r="6894">
          <cell r="D6894">
            <v>3881.64</v>
          </cell>
          <cell r="H6894">
            <v>45689</v>
          </cell>
          <cell r="I6894" t="str">
            <v>6487 - Interest Expense</v>
          </cell>
          <cell r="J6894">
            <v>0</v>
          </cell>
          <cell r="K6894" t="str">
            <v>Administration</v>
          </cell>
          <cell r="L6894" t="str">
            <v>Interest</v>
          </cell>
          <cell r="N6894" t="str">
            <v>BTL</v>
          </cell>
          <cell r="O6894" t="str">
            <v>[No Vendor]</v>
          </cell>
        </row>
        <row r="6895">
          <cell r="D6895">
            <v>226.82</v>
          </cell>
          <cell r="H6895">
            <v>45689</v>
          </cell>
          <cell r="I6895" t="str">
            <v>6420 - Licenses &amp; Membership</v>
          </cell>
          <cell r="J6895">
            <v>0</v>
          </cell>
          <cell r="K6895" t="str">
            <v>Administration</v>
          </cell>
          <cell r="L6895" t="str">
            <v>Professional Service</v>
          </cell>
          <cell r="N6895" t="str">
            <v>SG&amp;A</v>
          </cell>
          <cell r="O6895" t="str">
            <v>Avalara, Inc</v>
          </cell>
        </row>
        <row r="6896">
          <cell r="D6896">
            <v>12.38</v>
          </cell>
          <cell r="H6896">
            <v>45689</v>
          </cell>
          <cell r="I6896" t="str">
            <v>6420 - Licenses &amp; Membership</v>
          </cell>
          <cell r="J6896">
            <v>0</v>
          </cell>
          <cell r="K6896" t="str">
            <v>Brand Marketing</v>
          </cell>
          <cell r="L6896" t="str">
            <v>Professional Service</v>
          </cell>
          <cell r="N6896" t="str">
            <v>SG&amp;A</v>
          </cell>
          <cell r="O6896" t="str">
            <v>[No Vendor]</v>
          </cell>
        </row>
        <row r="6897">
          <cell r="D6897">
            <v>175</v>
          </cell>
          <cell r="H6897">
            <v>45689</v>
          </cell>
          <cell r="I6897" t="str">
            <v>6420 - Licenses &amp; Membership</v>
          </cell>
          <cell r="J6897">
            <v>0</v>
          </cell>
          <cell r="K6897" t="str">
            <v>Production</v>
          </cell>
          <cell r="L6897" t="str">
            <v>Professional Service</v>
          </cell>
          <cell r="N6897" t="str">
            <v>SG&amp;A</v>
          </cell>
          <cell r="O6897" t="str">
            <v>GS1</v>
          </cell>
        </row>
        <row r="6898">
          <cell r="D6898">
            <v>153</v>
          </cell>
          <cell r="H6898">
            <v>45689</v>
          </cell>
          <cell r="I6898" t="str">
            <v>6420 - Licenses &amp; Membership</v>
          </cell>
          <cell r="J6898">
            <v>0</v>
          </cell>
          <cell r="K6898" t="str">
            <v>Brand Marketing</v>
          </cell>
          <cell r="L6898" t="str">
            <v>Professional Service</v>
          </cell>
          <cell r="N6898" t="str">
            <v>SG&amp;A</v>
          </cell>
          <cell r="O6898" t="str">
            <v>[No Vendor]</v>
          </cell>
        </row>
        <row r="6899">
          <cell r="D6899">
            <v>-30113.77</v>
          </cell>
          <cell r="H6899">
            <v>45689</v>
          </cell>
          <cell r="I6899" t="str">
            <v>6320 - Building Rent</v>
          </cell>
          <cell r="J6899">
            <v>0</v>
          </cell>
          <cell r="K6899" t="str">
            <v>Administration</v>
          </cell>
          <cell r="L6899" t="str">
            <v>Rent</v>
          </cell>
          <cell r="N6899" t="str">
            <v>SG&amp;A</v>
          </cell>
          <cell r="O6899" t="str">
            <v>[No Vendor]</v>
          </cell>
        </row>
        <row r="6900">
          <cell r="D6900">
            <v>4038.73</v>
          </cell>
          <cell r="H6900">
            <v>45689</v>
          </cell>
          <cell r="I6900" t="str">
            <v>6375 - Freight Expenses</v>
          </cell>
          <cell r="J6900" t="str">
            <v>Ecommerce (EU)</v>
          </cell>
          <cell r="K6900" t="str">
            <v>Ecommerce</v>
          </cell>
          <cell r="L6900" t="str">
            <v>Freight</v>
          </cell>
          <cell r="N6900" t="str">
            <v>Direct Costs</v>
          </cell>
          <cell r="O6900" t="str">
            <v>Global E</v>
          </cell>
        </row>
        <row r="6901">
          <cell r="D6901">
            <v>-1064</v>
          </cell>
          <cell r="H6901">
            <v>45689</v>
          </cell>
          <cell r="I6901" t="str">
            <v>6375 - Freight Expenses</v>
          </cell>
          <cell r="J6901" t="str">
            <v>Ecommerce (US)</v>
          </cell>
          <cell r="K6901" t="str">
            <v>Ecommerce</v>
          </cell>
          <cell r="L6901" t="str">
            <v>Freight</v>
          </cell>
          <cell r="N6901" t="str">
            <v>Direct Costs</v>
          </cell>
          <cell r="O6901" t="str">
            <v>[No Vendor]</v>
          </cell>
        </row>
        <row r="6902">
          <cell r="D6902">
            <v>833.03</v>
          </cell>
          <cell r="H6902">
            <v>45689</v>
          </cell>
          <cell r="I6902" t="str">
            <v>6375 - Freight Expenses</v>
          </cell>
          <cell r="J6902" t="str">
            <v>Wholesale</v>
          </cell>
          <cell r="K6902" t="str">
            <v>Wholesale</v>
          </cell>
          <cell r="L6902" t="str">
            <v>Freight</v>
          </cell>
          <cell r="N6902" t="str">
            <v>Direct Costs</v>
          </cell>
          <cell r="O6902" t="str">
            <v>UPS Supply Chain Solutions Inc. (7F24A0)</v>
          </cell>
        </row>
        <row r="6903">
          <cell r="D6903">
            <v>20703.25</v>
          </cell>
          <cell r="H6903">
            <v>45689</v>
          </cell>
          <cell r="I6903" t="str">
            <v>6375 - Freight Expenses</v>
          </cell>
          <cell r="J6903" t="str">
            <v>Ecommerce (US)</v>
          </cell>
          <cell r="K6903" t="str">
            <v>Ecommerce</v>
          </cell>
          <cell r="L6903" t="str">
            <v>Freight</v>
          </cell>
          <cell r="N6903" t="str">
            <v>Direct Costs</v>
          </cell>
          <cell r="O6903" t="str">
            <v>UPS Supply Chain Solutions Inc. (7F24A0)</v>
          </cell>
        </row>
        <row r="6904">
          <cell r="D6904">
            <v>-4476.05</v>
          </cell>
          <cell r="H6904">
            <v>45689</v>
          </cell>
          <cell r="I6904" t="str">
            <v>6375 - Freight Expenses</v>
          </cell>
          <cell r="J6904" t="str">
            <v>Wholesale</v>
          </cell>
          <cell r="K6904" t="str">
            <v>Wholesale</v>
          </cell>
          <cell r="L6904" t="str">
            <v>Freight</v>
          </cell>
          <cell r="N6904" t="str">
            <v>Direct Costs</v>
          </cell>
          <cell r="O6904" t="str">
            <v>[No Vendor]</v>
          </cell>
        </row>
        <row r="6905">
          <cell r="D6905">
            <v>809.72</v>
          </cell>
          <cell r="H6905">
            <v>45689</v>
          </cell>
          <cell r="I6905" t="str">
            <v>6375 - Freight Expenses</v>
          </cell>
          <cell r="J6905" t="str">
            <v>Ecommerce (US)</v>
          </cell>
          <cell r="K6905" t="str">
            <v>Ecommerce</v>
          </cell>
          <cell r="L6905" t="str">
            <v>Freight</v>
          </cell>
          <cell r="N6905" t="str">
            <v>Direct Costs</v>
          </cell>
          <cell r="O6905" t="str">
            <v>Amazon</v>
          </cell>
        </row>
        <row r="6906">
          <cell r="D6906">
            <v>-40671</v>
          </cell>
          <cell r="H6906">
            <v>45689</v>
          </cell>
          <cell r="I6906" t="str">
            <v>6375 - Freight Expenses</v>
          </cell>
          <cell r="J6906" t="str">
            <v>Ecommerce (US)</v>
          </cell>
          <cell r="K6906" t="str">
            <v>Ecommerce</v>
          </cell>
          <cell r="L6906" t="str">
            <v>Freight</v>
          </cell>
          <cell r="N6906" t="str">
            <v>Direct Costs</v>
          </cell>
          <cell r="O6906" t="str">
            <v>[No Vendor]</v>
          </cell>
        </row>
        <row r="6907">
          <cell r="D6907">
            <v>15.83</v>
          </cell>
          <cell r="H6907">
            <v>45689</v>
          </cell>
          <cell r="I6907" t="str">
            <v>7030 - Plant Machinery &amp; Equipment</v>
          </cell>
          <cell r="J6907">
            <v>0</v>
          </cell>
          <cell r="K6907" t="str">
            <v>Production</v>
          </cell>
          <cell r="L6907" t="str">
            <v>Depreciation &amp; Amortization</v>
          </cell>
          <cell r="N6907" t="str">
            <v>SG&amp;A</v>
          </cell>
          <cell r="O6907" t="str">
            <v>[No Vendor]</v>
          </cell>
        </row>
        <row r="6908">
          <cell r="D6908">
            <v>14.15</v>
          </cell>
          <cell r="H6908">
            <v>45689</v>
          </cell>
          <cell r="I6908" t="str">
            <v>7030 - Plant Machinery &amp; Equipment</v>
          </cell>
          <cell r="J6908">
            <v>0</v>
          </cell>
          <cell r="K6908" t="str">
            <v>Administration</v>
          </cell>
          <cell r="L6908" t="str">
            <v>Depreciation &amp; Amortization</v>
          </cell>
          <cell r="N6908" t="str">
            <v>SG&amp;A</v>
          </cell>
          <cell r="O6908" t="str">
            <v>[No Vendor]</v>
          </cell>
        </row>
        <row r="6909">
          <cell r="D6909">
            <v>-34.9</v>
          </cell>
          <cell r="H6909">
            <v>45689</v>
          </cell>
          <cell r="I6909" t="str">
            <v>6040 - Employer Paid Benefits</v>
          </cell>
          <cell r="J6909">
            <v>0</v>
          </cell>
          <cell r="K6909" t="str">
            <v>Merchandising</v>
          </cell>
          <cell r="L6909" t="str">
            <v>HQ Salaries</v>
          </cell>
          <cell r="N6909" t="str">
            <v>SG&amp;A</v>
          </cell>
          <cell r="O6909" t="str">
            <v>[No Vendor]</v>
          </cell>
        </row>
        <row r="6910">
          <cell r="D6910">
            <v>-104.69</v>
          </cell>
          <cell r="H6910">
            <v>45689</v>
          </cell>
          <cell r="I6910" t="str">
            <v>6040 - Employer Paid Benefits</v>
          </cell>
          <cell r="J6910" t="str">
            <v>Wholesale</v>
          </cell>
          <cell r="K6910" t="str">
            <v>Wholesale</v>
          </cell>
          <cell r="L6910" t="str">
            <v>HQ Salaries</v>
          </cell>
          <cell r="N6910" t="str">
            <v>SG&amp;A</v>
          </cell>
          <cell r="O6910" t="str">
            <v>[No Vendor]</v>
          </cell>
        </row>
        <row r="6911">
          <cell r="D6911">
            <v>-365.83</v>
          </cell>
          <cell r="H6911">
            <v>45689</v>
          </cell>
          <cell r="I6911" t="str">
            <v>6040 - Employer Paid Benefits</v>
          </cell>
          <cell r="J6911">
            <v>0</v>
          </cell>
          <cell r="K6911" t="str">
            <v>Production</v>
          </cell>
          <cell r="L6911" t="str">
            <v>HQ Salaries</v>
          </cell>
          <cell r="N6911" t="str">
            <v>SG&amp;A</v>
          </cell>
          <cell r="O6911" t="str">
            <v>[No Vendor]</v>
          </cell>
        </row>
        <row r="6912">
          <cell r="D6912">
            <v>-34.9</v>
          </cell>
          <cell r="H6912">
            <v>45689</v>
          </cell>
          <cell r="I6912" t="str">
            <v>6040 - Employer Paid Benefits</v>
          </cell>
          <cell r="J6912">
            <v>0</v>
          </cell>
          <cell r="K6912" t="str">
            <v>Brand Marketing</v>
          </cell>
          <cell r="L6912" t="str">
            <v>HQ Salaries</v>
          </cell>
          <cell r="N6912" t="str">
            <v>SG&amp;A</v>
          </cell>
          <cell r="O6912" t="str">
            <v>[No Vendor]</v>
          </cell>
        </row>
        <row r="6913">
          <cell r="D6913">
            <v>-332.52</v>
          </cell>
          <cell r="H6913">
            <v>45689</v>
          </cell>
          <cell r="I6913" t="str">
            <v>6040 - Employer Paid Benefits</v>
          </cell>
          <cell r="J6913">
            <v>0</v>
          </cell>
          <cell r="K6913" t="str">
            <v>Executive</v>
          </cell>
          <cell r="L6913" t="str">
            <v>HQ Salaries</v>
          </cell>
          <cell r="N6913" t="str">
            <v>SG&amp;A</v>
          </cell>
          <cell r="O6913" t="str">
            <v>[No Vendor]</v>
          </cell>
        </row>
        <row r="6914">
          <cell r="D6914">
            <v>-250.5</v>
          </cell>
          <cell r="H6914">
            <v>45689</v>
          </cell>
          <cell r="I6914" t="str">
            <v>6040 - Employer Paid Benefits</v>
          </cell>
          <cell r="J6914" t="str">
            <v>Ecommerce (US)</v>
          </cell>
          <cell r="K6914" t="str">
            <v>Ecommerce</v>
          </cell>
          <cell r="L6914" t="str">
            <v>HQ Salaries</v>
          </cell>
          <cell r="N6914" t="str">
            <v>SG&amp;A</v>
          </cell>
          <cell r="O6914" t="str">
            <v>[No Vendor]</v>
          </cell>
        </row>
        <row r="6915">
          <cell r="D6915">
            <v>-538.55999999999995</v>
          </cell>
          <cell r="H6915">
            <v>45689</v>
          </cell>
          <cell r="I6915" t="str">
            <v>6040 - Employer Paid Benefits</v>
          </cell>
          <cell r="J6915">
            <v>0</v>
          </cell>
          <cell r="K6915" t="str">
            <v>Design</v>
          </cell>
          <cell r="L6915" t="str">
            <v>HQ Salaries</v>
          </cell>
          <cell r="N6915" t="str">
            <v>SG&amp;A</v>
          </cell>
          <cell r="O6915" t="str">
            <v>[No Vendor]</v>
          </cell>
        </row>
        <row r="6916">
          <cell r="D6916">
            <v>-624.54999999999995</v>
          </cell>
          <cell r="H6916">
            <v>45689</v>
          </cell>
          <cell r="I6916" t="str">
            <v>6040 - Employer Paid Benefits</v>
          </cell>
          <cell r="J6916">
            <v>0</v>
          </cell>
          <cell r="K6916" t="str">
            <v>Administration</v>
          </cell>
          <cell r="L6916" t="str">
            <v>HQ Salaries</v>
          </cell>
          <cell r="N6916" t="str">
            <v>SG&amp;A</v>
          </cell>
          <cell r="O6916" t="str">
            <v>[No Vendor]</v>
          </cell>
        </row>
        <row r="6917">
          <cell r="D6917">
            <v>8996.15</v>
          </cell>
          <cell r="H6917">
            <v>45689</v>
          </cell>
          <cell r="I6917" t="str">
            <v>6005 - Salaries</v>
          </cell>
          <cell r="J6917">
            <v>0</v>
          </cell>
          <cell r="K6917" t="str">
            <v>Merchandising</v>
          </cell>
          <cell r="L6917" t="str">
            <v>HQ Salaries</v>
          </cell>
          <cell r="N6917" t="str">
            <v>SG&amp;A</v>
          </cell>
          <cell r="O6917" t="str">
            <v>[No Vendor]</v>
          </cell>
        </row>
        <row r="6918">
          <cell r="D6918">
            <v>11923.08</v>
          </cell>
          <cell r="H6918">
            <v>45689</v>
          </cell>
          <cell r="I6918" t="str">
            <v>6005 - Salaries</v>
          </cell>
          <cell r="J6918" t="str">
            <v>Wholesale</v>
          </cell>
          <cell r="K6918" t="str">
            <v>Wholesale</v>
          </cell>
          <cell r="L6918" t="str">
            <v>HQ Salaries</v>
          </cell>
          <cell r="N6918" t="str">
            <v>SG&amp;A</v>
          </cell>
          <cell r="O6918" t="str">
            <v>[No Vendor]</v>
          </cell>
        </row>
        <row r="6919">
          <cell r="D6919">
            <v>12797.33</v>
          </cell>
          <cell r="H6919">
            <v>45689</v>
          </cell>
          <cell r="I6919" t="str">
            <v>6005 - Salaries</v>
          </cell>
          <cell r="J6919">
            <v>0</v>
          </cell>
          <cell r="K6919" t="str">
            <v>Production</v>
          </cell>
          <cell r="L6919" t="str">
            <v>HQ Salaries</v>
          </cell>
          <cell r="N6919" t="str">
            <v>SG&amp;A</v>
          </cell>
          <cell r="O6919" t="str">
            <v>[No Vendor]</v>
          </cell>
        </row>
        <row r="6920">
          <cell r="D6920">
            <v>3269.24</v>
          </cell>
          <cell r="H6920">
            <v>45689</v>
          </cell>
          <cell r="I6920" t="str">
            <v>6005 - Salaries</v>
          </cell>
          <cell r="J6920">
            <v>0</v>
          </cell>
          <cell r="K6920" t="str">
            <v>Brand Marketing</v>
          </cell>
          <cell r="L6920" t="str">
            <v>HQ Salaries</v>
          </cell>
          <cell r="N6920" t="str">
            <v>SG&amp;A</v>
          </cell>
          <cell r="O6920" t="str">
            <v>[No Vendor]</v>
          </cell>
        </row>
        <row r="6921">
          <cell r="D6921">
            <v>11153.85</v>
          </cell>
          <cell r="H6921">
            <v>45689</v>
          </cell>
          <cell r="I6921" t="str">
            <v>6005 - Salaries</v>
          </cell>
          <cell r="J6921">
            <v>0</v>
          </cell>
          <cell r="K6921" t="str">
            <v>Executive</v>
          </cell>
          <cell r="L6921" t="str">
            <v>HQ Salaries</v>
          </cell>
          <cell r="N6921" t="str">
            <v>SG&amp;A</v>
          </cell>
          <cell r="O6921" t="str">
            <v>[No Vendor]</v>
          </cell>
        </row>
        <row r="6922">
          <cell r="D6922">
            <v>20780.8</v>
          </cell>
          <cell r="H6922">
            <v>45689</v>
          </cell>
          <cell r="I6922" t="str">
            <v>6005 - Salaries</v>
          </cell>
          <cell r="J6922" t="str">
            <v>Ecommerce (US)</v>
          </cell>
          <cell r="K6922" t="str">
            <v>Ecommerce</v>
          </cell>
          <cell r="L6922" t="str">
            <v>HQ Salaries</v>
          </cell>
          <cell r="N6922" t="str">
            <v>SG&amp;A</v>
          </cell>
          <cell r="O6922" t="str">
            <v>[No Vendor]</v>
          </cell>
        </row>
        <row r="6923">
          <cell r="D6923">
            <v>21388.47</v>
          </cell>
          <cell r="H6923">
            <v>45689</v>
          </cell>
          <cell r="I6923" t="str">
            <v>6005 - Salaries</v>
          </cell>
          <cell r="J6923">
            <v>0</v>
          </cell>
          <cell r="K6923" t="str">
            <v>Design</v>
          </cell>
          <cell r="L6923" t="str">
            <v>HQ Salaries</v>
          </cell>
          <cell r="N6923" t="str">
            <v>SG&amp;A</v>
          </cell>
          <cell r="O6923" t="str">
            <v>[No Vendor]</v>
          </cell>
        </row>
        <row r="6924">
          <cell r="D6924">
            <v>27015.41</v>
          </cell>
          <cell r="H6924">
            <v>45689</v>
          </cell>
          <cell r="I6924" t="str">
            <v>6005 - Salaries</v>
          </cell>
          <cell r="J6924">
            <v>0</v>
          </cell>
          <cell r="K6924" t="str">
            <v>Administration</v>
          </cell>
          <cell r="L6924" t="str">
            <v>HQ Salaries</v>
          </cell>
          <cell r="N6924" t="str">
            <v>SG&amp;A</v>
          </cell>
          <cell r="O6924" t="str">
            <v>[No Vendor]</v>
          </cell>
        </row>
        <row r="6925">
          <cell r="D6925">
            <v>0</v>
          </cell>
          <cell r="H6925">
            <v>45689</v>
          </cell>
          <cell r="I6925" t="str">
            <v>4020 - Revenue - Marketing Contribution</v>
          </cell>
          <cell r="J6925">
            <v>0</v>
          </cell>
          <cell r="K6925" t="str">
            <v>Licensing</v>
          </cell>
          <cell r="L6925" t="str">
            <v>License</v>
          </cell>
          <cell r="N6925" t="str">
            <v>Revenue</v>
          </cell>
          <cell r="O6925" t="str">
            <v>[No Vendor]</v>
          </cell>
        </row>
        <row r="6926">
          <cell r="D6926">
            <v>0</v>
          </cell>
          <cell r="H6926">
            <v>45689</v>
          </cell>
          <cell r="I6926" t="str">
            <v>4010 - Revenue - Licensing Fees (Royalties)</v>
          </cell>
          <cell r="J6926">
            <v>0</v>
          </cell>
          <cell r="K6926" t="str">
            <v>Licensing</v>
          </cell>
          <cell r="L6926" t="str">
            <v>License</v>
          </cell>
          <cell r="N6926" t="str">
            <v>Revenue</v>
          </cell>
          <cell r="O6926" t="str">
            <v>[No Vendor]</v>
          </cell>
        </row>
        <row r="6927">
          <cell r="D6927">
            <v>-4166.67</v>
          </cell>
          <cell r="H6927">
            <v>45689</v>
          </cell>
          <cell r="I6927" t="str">
            <v>4010 - Revenue - Licensing Fees (Royalties)</v>
          </cell>
          <cell r="J6927">
            <v>0</v>
          </cell>
          <cell r="K6927" t="str">
            <v>Licensing</v>
          </cell>
          <cell r="L6927" t="str">
            <v>License</v>
          </cell>
          <cell r="N6927" t="str">
            <v>Revenue</v>
          </cell>
          <cell r="O6927" t="str">
            <v>[No Vendor]</v>
          </cell>
        </row>
        <row r="6928">
          <cell r="D6928">
            <v>-42073.85</v>
          </cell>
          <cell r="H6928">
            <v>45689</v>
          </cell>
          <cell r="I6928" t="str">
            <v>4010 - Revenue - Licensing Fees (Royalties)</v>
          </cell>
          <cell r="J6928">
            <v>0</v>
          </cell>
          <cell r="K6928" t="str">
            <v>Licensing</v>
          </cell>
          <cell r="L6928" t="str">
            <v>License</v>
          </cell>
          <cell r="N6928" t="str">
            <v>Revenue</v>
          </cell>
          <cell r="O6928" t="str">
            <v>[No Vendor]</v>
          </cell>
        </row>
        <row r="6929">
          <cell r="D6929">
            <v>0</v>
          </cell>
          <cell r="H6929">
            <v>45689</v>
          </cell>
          <cell r="I6929" t="str">
            <v>4010 - Revenue - Licensing Fees (Royalties)</v>
          </cell>
          <cell r="J6929">
            <v>0</v>
          </cell>
          <cell r="K6929" t="str">
            <v>Licensing</v>
          </cell>
          <cell r="L6929" t="str">
            <v>License</v>
          </cell>
          <cell r="N6929" t="str">
            <v>Revenue</v>
          </cell>
          <cell r="O6929" t="str">
            <v>[No Vendor]</v>
          </cell>
        </row>
        <row r="6930">
          <cell r="D6930">
            <v>0</v>
          </cell>
          <cell r="H6930">
            <v>45689</v>
          </cell>
          <cell r="I6930" t="str">
            <v>4010 - Revenue - Licensing Fees (Royalties)</v>
          </cell>
          <cell r="J6930">
            <v>0</v>
          </cell>
          <cell r="K6930" t="str">
            <v>Licensing</v>
          </cell>
          <cell r="L6930" t="str">
            <v>License</v>
          </cell>
          <cell r="N6930" t="str">
            <v>Revenue</v>
          </cell>
          <cell r="O6930" t="str">
            <v>[No Vendor]</v>
          </cell>
        </row>
        <row r="6931">
          <cell r="D6931">
            <v>0</v>
          </cell>
          <cell r="H6931">
            <v>45689</v>
          </cell>
          <cell r="I6931" t="str">
            <v>4010 - Revenue - Licensing Fees (Royalties)</v>
          </cell>
          <cell r="J6931">
            <v>0</v>
          </cell>
          <cell r="K6931" t="str">
            <v>Licensing</v>
          </cell>
          <cell r="L6931" t="str">
            <v>License</v>
          </cell>
          <cell r="N6931" t="str">
            <v>Revenue</v>
          </cell>
          <cell r="O6931" t="str">
            <v>[No Vendor]</v>
          </cell>
        </row>
        <row r="6932">
          <cell r="D6932">
            <v>0</v>
          </cell>
          <cell r="H6932">
            <v>45689</v>
          </cell>
          <cell r="I6932" t="str">
            <v>4010 - Revenue - Licensing Fees (Royalties)</v>
          </cell>
          <cell r="J6932">
            <v>0</v>
          </cell>
          <cell r="K6932" t="str">
            <v>Licensing</v>
          </cell>
          <cell r="L6932" t="str">
            <v>License</v>
          </cell>
          <cell r="N6932" t="str">
            <v>Revenue</v>
          </cell>
          <cell r="O6932" t="str">
            <v>[No Vendor]</v>
          </cell>
        </row>
        <row r="6933">
          <cell r="D6933">
            <v>391.27</v>
          </cell>
          <cell r="H6933">
            <v>45717</v>
          </cell>
          <cell r="I6933" t="str">
            <v>6040 - Employer Paid Benefits</v>
          </cell>
          <cell r="J6933">
            <v>0</v>
          </cell>
          <cell r="K6933" t="str">
            <v>Administration</v>
          </cell>
          <cell r="L6933" t="str">
            <v>HQ Salaries</v>
          </cell>
          <cell r="N6933" t="str">
            <v>SG&amp;A</v>
          </cell>
          <cell r="O6933" t="str">
            <v>Allied Administrators</v>
          </cell>
        </row>
        <row r="6934">
          <cell r="D6934">
            <v>45164.74</v>
          </cell>
          <cell r="H6934">
            <v>45717</v>
          </cell>
          <cell r="I6934" t="str">
            <v>8700 - Other Expense</v>
          </cell>
          <cell r="J6934">
            <v>0</v>
          </cell>
          <cell r="K6934" t="str">
            <v>Administration</v>
          </cell>
          <cell r="L6934" t="str">
            <v>Other Expense</v>
          </cell>
          <cell r="N6934" t="str">
            <v>BTL</v>
          </cell>
          <cell r="O6934" t="str">
            <v>Bryan Cave Leighton Paisner LLP</v>
          </cell>
        </row>
        <row r="6935">
          <cell r="D6935">
            <v>293374.37</v>
          </cell>
          <cell r="H6935">
            <v>45717</v>
          </cell>
          <cell r="I6935" t="str">
            <v>8700 - Other Expense</v>
          </cell>
          <cell r="J6935">
            <v>0</v>
          </cell>
          <cell r="K6935" t="str">
            <v>Administration</v>
          </cell>
          <cell r="L6935" t="str">
            <v>Other Expense</v>
          </cell>
          <cell r="N6935" t="str">
            <v>BTL</v>
          </cell>
          <cell r="O6935" t="str">
            <v>Bryan Cave Leighton Paisner LLP</v>
          </cell>
        </row>
        <row r="6936">
          <cell r="D6936">
            <v>400</v>
          </cell>
          <cell r="H6936">
            <v>45717</v>
          </cell>
          <cell r="I6936" t="str">
            <v>6340 - Miscellaneous Expense</v>
          </cell>
          <cell r="J6936">
            <v>0</v>
          </cell>
          <cell r="K6936" t="str">
            <v>Administration</v>
          </cell>
          <cell r="L6936" t="str">
            <v>Other</v>
          </cell>
          <cell r="N6936" t="str">
            <v>SG&amp;A</v>
          </cell>
          <cell r="O6936" t="str">
            <v>Antelope LLC</v>
          </cell>
        </row>
        <row r="6937">
          <cell r="D6937">
            <v>1973.84</v>
          </cell>
          <cell r="H6937">
            <v>45717</v>
          </cell>
          <cell r="I6937" t="str">
            <v>6385 - Insurance</v>
          </cell>
          <cell r="J6937">
            <v>0</v>
          </cell>
          <cell r="K6937" t="str">
            <v>Administration</v>
          </cell>
          <cell r="L6937" t="str">
            <v>Professional Service</v>
          </cell>
          <cell r="N6937" t="str">
            <v>SG&amp;A</v>
          </cell>
          <cell r="O6937" t="str">
            <v>The Hartford</v>
          </cell>
        </row>
        <row r="6938">
          <cell r="D6938">
            <v>65.33</v>
          </cell>
          <cell r="H6938">
            <v>45717</v>
          </cell>
          <cell r="I6938" t="str">
            <v>6400 - Utilities</v>
          </cell>
          <cell r="J6938">
            <v>0</v>
          </cell>
          <cell r="K6938" t="str">
            <v>Administration</v>
          </cell>
          <cell r="L6938" t="str">
            <v>Other</v>
          </cell>
          <cell r="N6938" t="str">
            <v>SG&amp;A</v>
          </cell>
          <cell r="O6938" t="str">
            <v>NYC Intercom Inc</v>
          </cell>
        </row>
        <row r="6939">
          <cell r="D6939">
            <v>346.63</v>
          </cell>
          <cell r="H6939">
            <v>45717</v>
          </cell>
          <cell r="I6939" t="str">
            <v>6400 - Utilities</v>
          </cell>
          <cell r="J6939">
            <v>0</v>
          </cell>
          <cell r="K6939" t="str">
            <v>Administration</v>
          </cell>
          <cell r="L6939" t="str">
            <v>Other</v>
          </cell>
          <cell r="N6939" t="str">
            <v>SG&amp;A</v>
          </cell>
          <cell r="O6939" t="str">
            <v>Antelope LLC</v>
          </cell>
        </row>
        <row r="6940">
          <cell r="D6940">
            <v>269.93</v>
          </cell>
          <cell r="H6940">
            <v>45717</v>
          </cell>
          <cell r="I6940" t="str">
            <v>6400 - Utilities</v>
          </cell>
          <cell r="J6940">
            <v>0</v>
          </cell>
          <cell r="K6940" t="str">
            <v>Administration</v>
          </cell>
          <cell r="L6940" t="str">
            <v>Other</v>
          </cell>
          <cell r="N6940" t="str">
            <v>SG&amp;A</v>
          </cell>
          <cell r="O6940" t="str">
            <v>Verizon</v>
          </cell>
        </row>
        <row r="6941">
          <cell r="D6941">
            <v>3292</v>
          </cell>
          <cell r="H6941">
            <v>45717</v>
          </cell>
          <cell r="I6941" t="str">
            <v>6225 - Professional Services</v>
          </cell>
          <cell r="J6941">
            <v>0</v>
          </cell>
          <cell r="K6941" t="str">
            <v>Administration</v>
          </cell>
          <cell r="L6941" t="str">
            <v>Professional Service</v>
          </cell>
          <cell r="N6941" t="str">
            <v>Direct Costs</v>
          </cell>
          <cell r="O6941" t="str">
            <v>Enom Solutions, Inc-DBA 3nom</v>
          </cell>
        </row>
        <row r="6942">
          <cell r="D6942">
            <v>30113.77</v>
          </cell>
          <cell r="H6942">
            <v>45717</v>
          </cell>
          <cell r="I6942" t="str">
            <v>6320 - Building Rent</v>
          </cell>
          <cell r="J6942">
            <v>0</v>
          </cell>
          <cell r="K6942" t="str">
            <v>Administration</v>
          </cell>
          <cell r="L6942" t="str">
            <v>Rent</v>
          </cell>
          <cell r="N6942" t="str">
            <v>SG&amp;A</v>
          </cell>
          <cell r="O6942" t="str">
            <v>Antelope LLC</v>
          </cell>
        </row>
        <row r="6943">
          <cell r="D6943">
            <v>20706.25</v>
          </cell>
          <cell r="H6943">
            <v>45717</v>
          </cell>
          <cell r="I6943" t="str">
            <v>6375 - Freight Expenses</v>
          </cell>
          <cell r="J6943" t="str">
            <v>Ecommerce (US)</v>
          </cell>
          <cell r="K6943" t="str">
            <v>Ecommerce</v>
          </cell>
          <cell r="L6943" t="str">
            <v>Freight</v>
          </cell>
          <cell r="N6943" t="str">
            <v>Direct Costs</v>
          </cell>
          <cell r="O6943" t="str">
            <v>UPS Supply Chain Solutions Inc. (7F24A0)</v>
          </cell>
        </row>
        <row r="6944">
          <cell r="D6944">
            <v>833</v>
          </cell>
          <cell r="H6944">
            <v>45717</v>
          </cell>
          <cell r="I6944" t="str">
            <v>6375 - Freight Expenses</v>
          </cell>
          <cell r="J6944" t="str">
            <v>Wholesale</v>
          </cell>
          <cell r="K6944" t="str">
            <v>Wholesale</v>
          </cell>
          <cell r="L6944" t="str">
            <v>Freight</v>
          </cell>
          <cell r="N6944" t="str">
            <v>Direct Costs</v>
          </cell>
          <cell r="O6944" t="str">
            <v>UPS Supply Chain Solutions Inc. (7F24A0)</v>
          </cell>
        </row>
        <row r="6945">
          <cell r="D6945">
            <v>152.59</v>
          </cell>
          <cell r="H6945">
            <v>45717</v>
          </cell>
          <cell r="I6945" t="str">
            <v>6040 - Employer Paid Benefits</v>
          </cell>
          <cell r="J6945" t="str">
            <v>Wholesale</v>
          </cell>
          <cell r="K6945" t="str">
            <v>Wholesale</v>
          </cell>
          <cell r="L6945" t="str">
            <v>HQ Salaries</v>
          </cell>
          <cell r="N6945" t="str">
            <v>SG&amp;A</v>
          </cell>
          <cell r="O6945" t="str">
            <v>United of Omaha Life Insurance Company</v>
          </cell>
        </row>
        <row r="6946">
          <cell r="D6946">
            <v>309.77</v>
          </cell>
          <cell r="H6946">
            <v>45717</v>
          </cell>
          <cell r="I6946" t="str">
            <v>6040 - Employer Paid Benefits</v>
          </cell>
          <cell r="J6946">
            <v>0</v>
          </cell>
          <cell r="K6946" t="str">
            <v>Production</v>
          </cell>
          <cell r="L6946" t="str">
            <v>HQ Salaries</v>
          </cell>
          <cell r="N6946" t="str">
            <v>SG&amp;A</v>
          </cell>
          <cell r="O6946" t="str">
            <v>United of Omaha Life Insurance Company</v>
          </cell>
        </row>
        <row r="6947">
          <cell r="D6947">
            <v>86.43</v>
          </cell>
          <cell r="H6947">
            <v>45717</v>
          </cell>
          <cell r="I6947" t="str">
            <v>6040 - Employer Paid Benefits</v>
          </cell>
          <cell r="J6947">
            <v>0</v>
          </cell>
          <cell r="K6947" t="str">
            <v>Merchandising</v>
          </cell>
          <cell r="L6947" t="str">
            <v>HQ Salaries</v>
          </cell>
          <cell r="N6947" t="str">
            <v>SG&amp;A</v>
          </cell>
          <cell r="O6947" t="str">
            <v>United of Omaha Life Insurance Company</v>
          </cell>
        </row>
        <row r="6948">
          <cell r="D6948">
            <v>47.05</v>
          </cell>
          <cell r="H6948">
            <v>45717</v>
          </cell>
          <cell r="I6948" t="str">
            <v>6040 - Employer Paid Benefits</v>
          </cell>
          <cell r="J6948">
            <v>0</v>
          </cell>
          <cell r="K6948" t="str">
            <v>Brand Marketing</v>
          </cell>
          <cell r="L6948" t="str">
            <v>HQ Salaries</v>
          </cell>
          <cell r="N6948" t="str">
            <v>SG&amp;A</v>
          </cell>
          <cell r="O6948" t="str">
            <v>United of Omaha Life Insurance Company</v>
          </cell>
        </row>
        <row r="6949">
          <cell r="D6949">
            <v>243.56</v>
          </cell>
          <cell r="H6949">
            <v>45717</v>
          </cell>
          <cell r="I6949" t="str">
            <v>6040 - Employer Paid Benefits</v>
          </cell>
          <cell r="J6949">
            <v>0</v>
          </cell>
          <cell r="K6949" t="str">
            <v>Executive</v>
          </cell>
          <cell r="L6949" t="str">
            <v>HQ Salaries</v>
          </cell>
          <cell r="N6949" t="str">
            <v>SG&amp;A</v>
          </cell>
          <cell r="O6949" t="str">
            <v>United of Omaha Life Insurance Company</v>
          </cell>
        </row>
        <row r="6950">
          <cell r="D6950">
            <v>173.02</v>
          </cell>
          <cell r="H6950">
            <v>45717</v>
          </cell>
          <cell r="I6950" t="str">
            <v>6040 - Employer Paid Benefits</v>
          </cell>
          <cell r="J6950" t="str">
            <v>Ecommerce (US)</v>
          </cell>
          <cell r="K6950" t="str">
            <v>Ecommerce</v>
          </cell>
          <cell r="L6950" t="str">
            <v>HQ Salaries</v>
          </cell>
          <cell r="N6950" t="str">
            <v>SG&amp;A</v>
          </cell>
          <cell r="O6950" t="str">
            <v>United of Omaha Life Insurance Company</v>
          </cell>
        </row>
        <row r="6951">
          <cell r="D6951">
            <v>233.67</v>
          </cell>
          <cell r="H6951">
            <v>45717</v>
          </cell>
          <cell r="I6951" t="str">
            <v>6040 - Employer Paid Benefits</v>
          </cell>
          <cell r="J6951">
            <v>0</v>
          </cell>
          <cell r="K6951" t="str">
            <v>Design</v>
          </cell>
          <cell r="L6951" t="str">
            <v>HQ Salaries</v>
          </cell>
          <cell r="N6951" t="str">
            <v>SG&amp;A</v>
          </cell>
          <cell r="O6951" t="str">
            <v>United of Omaha Life Insurance Company</v>
          </cell>
        </row>
        <row r="6952">
          <cell r="D6952">
            <v>447.92</v>
          </cell>
          <cell r="H6952">
            <v>45717</v>
          </cell>
          <cell r="I6952" t="str">
            <v>6040 - Employer Paid Benefits</v>
          </cell>
          <cell r="J6952">
            <v>0</v>
          </cell>
          <cell r="K6952" t="str">
            <v>Administration</v>
          </cell>
          <cell r="L6952" t="str">
            <v>HQ Salaries</v>
          </cell>
          <cell r="N6952" t="str">
            <v>SG&amp;A</v>
          </cell>
          <cell r="O6952" t="str">
            <v>United of Omaha Life Insurance Company</v>
          </cell>
        </row>
        <row r="6953">
          <cell r="D6953">
            <v>89.53</v>
          </cell>
          <cell r="H6953">
            <v>45717</v>
          </cell>
          <cell r="I6953" t="str">
            <v>6040 - Employer Paid Benefits</v>
          </cell>
          <cell r="J6953" t="str">
            <v>Ecommerce (US)</v>
          </cell>
          <cell r="K6953" t="str">
            <v>Ecommerce</v>
          </cell>
          <cell r="L6953" t="str">
            <v>HQ Salaries</v>
          </cell>
          <cell r="N6953" t="str">
            <v>SG&amp;A</v>
          </cell>
          <cell r="O6953" t="str">
            <v>Allied Administrators</v>
          </cell>
        </row>
        <row r="6954">
          <cell r="D6954">
            <v>61.65</v>
          </cell>
          <cell r="H6954">
            <v>45717</v>
          </cell>
          <cell r="I6954" t="str">
            <v>6040 - Employer Paid Benefits</v>
          </cell>
          <cell r="J6954" t="str">
            <v>Wholesale</v>
          </cell>
          <cell r="K6954" t="str">
            <v>Wholesale</v>
          </cell>
          <cell r="L6954" t="str">
            <v>HQ Salaries</v>
          </cell>
          <cell r="N6954" t="str">
            <v>SG&amp;A</v>
          </cell>
          <cell r="O6954" t="str">
            <v>Allied Administrators</v>
          </cell>
        </row>
        <row r="6955">
          <cell r="D6955">
            <v>145.29</v>
          </cell>
          <cell r="H6955">
            <v>45717</v>
          </cell>
          <cell r="I6955" t="str">
            <v>6040 - Employer Paid Benefits</v>
          </cell>
          <cell r="J6955">
            <v>0</v>
          </cell>
          <cell r="K6955" t="str">
            <v>Production</v>
          </cell>
          <cell r="L6955" t="str">
            <v>HQ Salaries</v>
          </cell>
          <cell r="N6955" t="str">
            <v>SG&amp;A</v>
          </cell>
          <cell r="O6955" t="str">
            <v>Allied Administrators</v>
          </cell>
        </row>
        <row r="6956">
          <cell r="D6956">
            <v>27.88</v>
          </cell>
          <cell r="H6956">
            <v>45717</v>
          </cell>
          <cell r="I6956" t="str">
            <v>6040 - Employer Paid Benefits</v>
          </cell>
          <cell r="J6956">
            <v>0</v>
          </cell>
          <cell r="K6956" t="str">
            <v>Merchandising</v>
          </cell>
          <cell r="L6956" t="str">
            <v>HQ Salaries</v>
          </cell>
          <cell r="N6956" t="str">
            <v>SG&amp;A</v>
          </cell>
          <cell r="O6956" t="str">
            <v>Allied Administrators</v>
          </cell>
        </row>
        <row r="6957">
          <cell r="D6957">
            <v>179.64</v>
          </cell>
          <cell r="H6957">
            <v>45717</v>
          </cell>
          <cell r="I6957" t="str">
            <v>6040 - Employer Paid Benefits</v>
          </cell>
          <cell r="J6957">
            <v>0</v>
          </cell>
          <cell r="K6957" t="str">
            <v>Executive</v>
          </cell>
          <cell r="L6957" t="str">
            <v>HQ Salaries</v>
          </cell>
          <cell r="N6957" t="str">
            <v>SG&amp;A</v>
          </cell>
          <cell r="O6957" t="str">
            <v>Allied Administrators</v>
          </cell>
        </row>
        <row r="6958">
          <cell r="D6958">
            <v>83.64</v>
          </cell>
          <cell r="H6958">
            <v>45717</v>
          </cell>
          <cell r="I6958" t="str">
            <v>6040 - Employer Paid Benefits</v>
          </cell>
          <cell r="J6958">
            <v>0</v>
          </cell>
          <cell r="K6958" t="str">
            <v>Design</v>
          </cell>
          <cell r="L6958" t="str">
            <v>HQ Salaries</v>
          </cell>
          <cell r="N6958" t="str">
            <v>SG&amp;A</v>
          </cell>
          <cell r="O6958" t="str">
            <v>Allied Administrators</v>
          </cell>
        </row>
        <row r="6959">
          <cell r="D6959">
            <v>-27015.41</v>
          </cell>
          <cell r="H6959">
            <v>45717</v>
          </cell>
          <cell r="I6959" t="str">
            <v>6005 - Salaries</v>
          </cell>
          <cell r="J6959">
            <v>0</v>
          </cell>
          <cell r="K6959" t="str">
            <v>Administration</v>
          </cell>
          <cell r="L6959" t="str">
            <v>HQ Salaries</v>
          </cell>
          <cell r="N6959" t="str">
            <v>SG&amp;A</v>
          </cell>
          <cell r="O6959" t="str">
            <v>[No Vendor]</v>
          </cell>
        </row>
        <row r="6960">
          <cell r="D6960">
            <v>-180000</v>
          </cell>
          <cell r="H6960">
            <v>45717</v>
          </cell>
          <cell r="I6960" t="str">
            <v>8700 - Other Expense</v>
          </cell>
          <cell r="J6960">
            <v>0</v>
          </cell>
          <cell r="K6960" t="str">
            <v>Administration</v>
          </cell>
          <cell r="L6960" t="str">
            <v>Other Expense</v>
          </cell>
          <cell r="N6960" t="str">
            <v>BTL</v>
          </cell>
          <cell r="O6960" t="str">
            <v>[No Vendor]</v>
          </cell>
        </row>
        <row r="6961">
          <cell r="D6961">
            <v>0</v>
          </cell>
          <cell r="H6961">
            <v>45717</v>
          </cell>
          <cell r="I6961" t="str">
            <v>6035 - Severance Expense</v>
          </cell>
          <cell r="J6961" t="str">
            <v>Wholesale</v>
          </cell>
          <cell r="K6961" t="str">
            <v>Wholesale</v>
          </cell>
          <cell r="L6961" t="str">
            <v>HQ Salaries</v>
          </cell>
          <cell r="N6961" t="str">
            <v>SG&amp;A</v>
          </cell>
          <cell r="O6961" t="str">
            <v>[No Vendor]</v>
          </cell>
        </row>
        <row r="6962">
          <cell r="D6962">
            <v>-6000</v>
          </cell>
          <cell r="H6962">
            <v>45717</v>
          </cell>
          <cell r="I6962" t="str">
            <v>6380 - Legal &amp; Accounting</v>
          </cell>
          <cell r="J6962">
            <v>0</v>
          </cell>
          <cell r="K6962" t="str">
            <v>Administration</v>
          </cell>
          <cell r="L6962" t="str">
            <v>Professional Service</v>
          </cell>
          <cell r="N6962" t="str">
            <v>SG&amp;A</v>
          </cell>
          <cell r="O6962" t="str">
            <v>[No Vendor]</v>
          </cell>
        </row>
        <row r="6963">
          <cell r="D6963">
            <v>-19000</v>
          </cell>
          <cell r="H6963">
            <v>45717</v>
          </cell>
          <cell r="I6963" t="str">
            <v>6380 - Legal &amp; Accounting</v>
          </cell>
          <cell r="J6963">
            <v>0</v>
          </cell>
          <cell r="K6963" t="str">
            <v>Administration</v>
          </cell>
          <cell r="L6963" t="str">
            <v>Professional Service</v>
          </cell>
          <cell r="N6963" t="str">
            <v>SG&amp;A</v>
          </cell>
          <cell r="O6963" t="str">
            <v>[No Vendor]</v>
          </cell>
        </row>
        <row r="6964">
          <cell r="D6964">
            <v>-8000</v>
          </cell>
          <cell r="H6964">
            <v>45717</v>
          </cell>
          <cell r="I6964" t="str">
            <v>6380 - Legal &amp; Accounting</v>
          </cell>
          <cell r="J6964">
            <v>0</v>
          </cell>
          <cell r="K6964" t="str">
            <v>Administration</v>
          </cell>
          <cell r="L6964" t="str">
            <v>Professional Service</v>
          </cell>
          <cell r="N6964" t="str">
            <v>SG&amp;A</v>
          </cell>
          <cell r="O6964" t="str">
            <v>[No Vendor]</v>
          </cell>
        </row>
        <row r="6965">
          <cell r="D6965">
            <v>-35000</v>
          </cell>
          <cell r="H6965">
            <v>45717</v>
          </cell>
          <cell r="I6965" t="str">
            <v>6380 - Legal &amp; Accounting</v>
          </cell>
          <cell r="J6965">
            <v>0</v>
          </cell>
          <cell r="K6965" t="str">
            <v>Administration</v>
          </cell>
          <cell r="L6965" t="str">
            <v>Professional Service</v>
          </cell>
          <cell r="N6965" t="str">
            <v>SG&amp;A</v>
          </cell>
          <cell r="O6965" t="str">
            <v>[No Vendor]</v>
          </cell>
        </row>
        <row r="6966">
          <cell r="D6966">
            <v>0</v>
          </cell>
          <cell r="H6966">
            <v>45717</v>
          </cell>
          <cell r="I6966" t="str">
            <v>6205 - Contractors</v>
          </cell>
          <cell r="J6966">
            <v>0</v>
          </cell>
          <cell r="K6966" t="str">
            <v>Brand Marketing</v>
          </cell>
          <cell r="L6966" t="str">
            <v>HQ Salaries</v>
          </cell>
          <cell r="N6966" t="str">
            <v>SG&amp;A</v>
          </cell>
          <cell r="O6966" t="str">
            <v>[No Vendor]</v>
          </cell>
        </row>
        <row r="6967">
          <cell r="D6967">
            <v>-20125.3</v>
          </cell>
          <cell r="H6967">
            <v>45717</v>
          </cell>
          <cell r="I6967" t="str">
            <v>6205 - Contractors</v>
          </cell>
          <cell r="J6967" t="str">
            <v>Ecommerce (US)</v>
          </cell>
          <cell r="K6967" t="str">
            <v>Ecommerce</v>
          </cell>
          <cell r="L6967" t="str">
            <v>HQ Salaries</v>
          </cell>
          <cell r="N6967" t="str">
            <v>SG&amp;A</v>
          </cell>
          <cell r="O6967" t="str">
            <v>[No Vendor]</v>
          </cell>
        </row>
        <row r="6968">
          <cell r="D6968">
            <v>0</v>
          </cell>
          <cell r="H6968">
            <v>45717</v>
          </cell>
          <cell r="I6968" t="str">
            <v>6205 - Contractors</v>
          </cell>
          <cell r="J6968">
            <v>0</v>
          </cell>
          <cell r="K6968" t="str">
            <v>Design</v>
          </cell>
          <cell r="L6968" t="str">
            <v>HQ Salaries</v>
          </cell>
          <cell r="N6968" t="str">
            <v>SG&amp;A</v>
          </cell>
          <cell r="O6968" t="str">
            <v>[No Vendor]</v>
          </cell>
        </row>
        <row r="6969">
          <cell r="D6969">
            <v>-2996.92</v>
          </cell>
          <cell r="H6969">
            <v>45717</v>
          </cell>
          <cell r="I6969" t="str">
            <v>6450 - Bank &amp; Other Fees</v>
          </cell>
          <cell r="J6969">
            <v>0</v>
          </cell>
          <cell r="K6969" t="str">
            <v>Administration</v>
          </cell>
          <cell r="L6969" t="str">
            <v>Professional Service</v>
          </cell>
          <cell r="N6969" t="str">
            <v>SG&amp;A</v>
          </cell>
          <cell r="O6969" t="str">
            <v>[No Vendor]</v>
          </cell>
        </row>
        <row r="6970">
          <cell r="D6970">
            <v>37.299999999999997</v>
          </cell>
          <cell r="H6970">
            <v>45717</v>
          </cell>
          <cell r="I6970" t="str">
            <v>6385 - Insurance</v>
          </cell>
          <cell r="J6970">
            <v>0</v>
          </cell>
          <cell r="K6970" t="str">
            <v>Administration</v>
          </cell>
          <cell r="L6970" t="str">
            <v>Professional Service</v>
          </cell>
          <cell r="N6970" t="str">
            <v>SG&amp;A</v>
          </cell>
          <cell r="O6970" t="str">
            <v>[No Vendor]</v>
          </cell>
        </row>
        <row r="6971">
          <cell r="D6971">
            <v>48.66</v>
          </cell>
          <cell r="H6971">
            <v>45717</v>
          </cell>
          <cell r="I6971" t="str">
            <v>6385 - Insurance</v>
          </cell>
          <cell r="J6971">
            <v>0</v>
          </cell>
          <cell r="K6971" t="str">
            <v>Administration</v>
          </cell>
          <cell r="L6971" t="str">
            <v>Professional Service</v>
          </cell>
          <cell r="N6971" t="str">
            <v>SG&amp;A</v>
          </cell>
          <cell r="O6971" t="str">
            <v>[No Vendor]</v>
          </cell>
        </row>
        <row r="6972">
          <cell r="D6972">
            <v>54.44</v>
          </cell>
          <cell r="H6972">
            <v>45717</v>
          </cell>
          <cell r="I6972" t="str">
            <v>6385 - Insurance</v>
          </cell>
          <cell r="J6972">
            <v>0</v>
          </cell>
          <cell r="K6972" t="str">
            <v>Administration</v>
          </cell>
          <cell r="L6972" t="str">
            <v>Professional Service</v>
          </cell>
          <cell r="N6972" t="str">
            <v>SG&amp;A</v>
          </cell>
          <cell r="O6972" t="str">
            <v>[No Vendor]</v>
          </cell>
        </row>
        <row r="6973">
          <cell r="D6973">
            <v>13.88</v>
          </cell>
          <cell r="H6973">
            <v>45717</v>
          </cell>
          <cell r="I6973" t="str">
            <v>6385 - Insurance</v>
          </cell>
          <cell r="J6973">
            <v>0</v>
          </cell>
          <cell r="K6973" t="str">
            <v>Administration</v>
          </cell>
          <cell r="L6973" t="str">
            <v>Professional Service</v>
          </cell>
          <cell r="N6973" t="str">
            <v>SG&amp;A</v>
          </cell>
          <cell r="O6973" t="str">
            <v>[No Vendor]</v>
          </cell>
        </row>
        <row r="6974">
          <cell r="D6974">
            <v>44.48</v>
          </cell>
          <cell r="H6974">
            <v>45717</v>
          </cell>
          <cell r="I6974" t="str">
            <v>6385 - Insurance</v>
          </cell>
          <cell r="J6974">
            <v>0</v>
          </cell>
          <cell r="K6974" t="str">
            <v>Administration</v>
          </cell>
          <cell r="L6974" t="str">
            <v>Professional Service</v>
          </cell>
          <cell r="N6974" t="str">
            <v>SG&amp;A</v>
          </cell>
          <cell r="O6974" t="str">
            <v>[No Vendor]</v>
          </cell>
        </row>
        <row r="6975">
          <cell r="D6975">
            <v>43.2</v>
          </cell>
          <cell r="H6975">
            <v>45717</v>
          </cell>
          <cell r="I6975" t="str">
            <v>6385 - Insurance</v>
          </cell>
          <cell r="J6975">
            <v>0</v>
          </cell>
          <cell r="K6975" t="str">
            <v>Administration</v>
          </cell>
          <cell r="L6975" t="str">
            <v>Professional Service</v>
          </cell>
          <cell r="N6975" t="str">
            <v>SG&amp;A</v>
          </cell>
          <cell r="O6975" t="str">
            <v>[No Vendor]</v>
          </cell>
        </row>
        <row r="6976">
          <cell r="D6976">
            <v>88.99</v>
          </cell>
          <cell r="H6976">
            <v>45717</v>
          </cell>
          <cell r="I6976" t="str">
            <v>6385 - Insurance</v>
          </cell>
          <cell r="J6976">
            <v>0</v>
          </cell>
          <cell r="K6976" t="str">
            <v>Administration</v>
          </cell>
          <cell r="L6976" t="str">
            <v>Professional Service</v>
          </cell>
          <cell r="N6976" t="str">
            <v>SG&amp;A</v>
          </cell>
          <cell r="O6976" t="str">
            <v>[No Vendor]</v>
          </cell>
        </row>
        <row r="6977">
          <cell r="D6977">
            <v>41.72</v>
          </cell>
          <cell r="H6977">
            <v>45717</v>
          </cell>
          <cell r="I6977" t="str">
            <v>6385 - Insurance</v>
          </cell>
          <cell r="J6977">
            <v>0</v>
          </cell>
          <cell r="K6977" t="str">
            <v>Administration</v>
          </cell>
          <cell r="L6977" t="str">
            <v>Professional Service</v>
          </cell>
          <cell r="N6977" t="str">
            <v>SG&amp;A</v>
          </cell>
          <cell r="O6977" t="str">
            <v>[No Vendor]</v>
          </cell>
        </row>
        <row r="6978">
          <cell r="D6978">
            <v>-346.63</v>
          </cell>
          <cell r="H6978">
            <v>45717</v>
          </cell>
          <cell r="I6978" t="str">
            <v>6400 - Utilities</v>
          </cell>
          <cell r="J6978">
            <v>0</v>
          </cell>
          <cell r="K6978" t="str">
            <v>Administration</v>
          </cell>
          <cell r="L6978" t="str">
            <v>Other</v>
          </cell>
          <cell r="N6978" t="str">
            <v>SG&amp;A</v>
          </cell>
          <cell r="O6978" t="str">
            <v>[No Vendor]</v>
          </cell>
        </row>
        <row r="6979">
          <cell r="D6979">
            <v>-1057.04</v>
          </cell>
          <cell r="H6979">
            <v>45717</v>
          </cell>
          <cell r="I6979" t="str">
            <v>7060 - Information Technology &amp; Software</v>
          </cell>
          <cell r="J6979">
            <v>0</v>
          </cell>
          <cell r="K6979" t="str">
            <v>Administration</v>
          </cell>
          <cell r="L6979" t="str">
            <v>Depreciation &amp; Amortization</v>
          </cell>
          <cell r="N6979" t="str">
            <v>SG&amp;A</v>
          </cell>
          <cell r="O6979" t="str">
            <v>[No Vendor]</v>
          </cell>
        </row>
        <row r="6980">
          <cell r="D6980">
            <v>-402.84</v>
          </cell>
          <cell r="H6980">
            <v>45717</v>
          </cell>
          <cell r="I6980" t="str">
            <v>7040 - Furniture &amp; Fixtures</v>
          </cell>
          <cell r="J6980">
            <v>0</v>
          </cell>
          <cell r="K6980" t="str">
            <v>Administration</v>
          </cell>
          <cell r="L6980" t="str">
            <v>Depreciation &amp; Amortization</v>
          </cell>
          <cell r="N6980" t="str">
            <v>SG&amp;A</v>
          </cell>
          <cell r="O6980" t="str">
            <v>[No Vendor]</v>
          </cell>
        </row>
        <row r="6981">
          <cell r="D6981">
            <v>-1163.08</v>
          </cell>
          <cell r="H6981">
            <v>45717</v>
          </cell>
          <cell r="I6981" t="str">
            <v>6055 - Employer Social Security Tax Withheld</v>
          </cell>
          <cell r="J6981">
            <v>0</v>
          </cell>
          <cell r="K6981" t="str">
            <v>Merchandising</v>
          </cell>
          <cell r="L6981" t="str">
            <v>HQ Salaries</v>
          </cell>
          <cell r="N6981" t="str">
            <v>SG&amp;A</v>
          </cell>
          <cell r="O6981" t="str">
            <v>[No Vendor]</v>
          </cell>
        </row>
        <row r="6982">
          <cell r="D6982">
            <v>-1368.47</v>
          </cell>
          <cell r="H6982">
            <v>45717</v>
          </cell>
          <cell r="I6982" t="str">
            <v>6055 - Employer Social Security Tax Withheld</v>
          </cell>
          <cell r="J6982" t="str">
            <v>Wholesale</v>
          </cell>
          <cell r="K6982" t="str">
            <v>Wholesale</v>
          </cell>
          <cell r="L6982" t="str">
            <v>HQ Salaries</v>
          </cell>
          <cell r="N6982" t="str">
            <v>SG&amp;A</v>
          </cell>
          <cell r="O6982" t="str">
            <v>[No Vendor]</v>
          </cell>
        </row>
        <row r="6983">
          <cell r="D6983">
            <v>-1374.88</v>
          </cell>
          <cell r="H6983">
            <v>45717</v>
          </cell>
          <cell r="I6983" t="str">
            <v>6055 - Employer Social Security Tax Withheld</v>
          </cell>
          <cell r="J6983">
            <v>0</v>
          </cell>
          <cell r="K6983" t="str">
            <v>Production</v>
          </cell>
          <cell r="L6983" t="str">
            <v>HQ Salaries</v>
          </cell>
          <cell r="N6983" t="str">
            <v>SG&amp;A</v>
          </cell>
          <cell r="O6983" t="str">
            <v>[No Vendor]</v>
          </cell>
        </row>
        <row r="6984">
          <cell r="D6984">
            <v>-364.92</v>
          </cell>
          <cell r="H6984">
            <v>45717</v>
          </cell>
          <cell r="I6984" t="str">
            <v>6055 - Employer Social Security Tax Withheld</v>
          </cell>
          <cell r="J6984">
            <v>0</v>
          </cell>
          <cell r="K6984" t="str">
            <v>Brand Marketing</v>
          </cell>
          <cell r="L6984" t="str">
            <v>HQ Salaries</v>
          </cell>
          <cell r="N6984" t="str">
            <v>SG&amp;A</v>
          </cell>
          <cell r="O6984" t="str">
            <v>[No Vendor]</v>
          </cell>
        </row>
        <row r="6985">
          <cell r="D6985">
            <v>-1174.3499999999999</v>
          </cell>
          <cell r="H6985">
            <v>45717</v>
          </cell>
          <cell r="I6985" t="str">
            <v>6055 - Employer Social Security Tax Withheld</v>
          </cell>
          <cell r="J6985">
            <v>0</v>
          </cell>
          <cell r="K6985" t="str">
            <v>Executive</v>
          </cell>
          <cell r="L6985" t="str">
            <v>HQ Salaries</v>
          </cell>
          <cell r="N6985" t="str">
            <v>SG&amp;A</v>
          </cell>
          <cell r="O6985" t="str">
            <v>[No Vendor]</v>
          </cell>
        </row>
        <row r="6986">
          <cell r="D6986">
            <v>-2484.96</v>
          </cell>
          <cell r="H6986">
            <v>45717</v>
          </cell>
          <cell r="I6986" t="str">
            <v>6055 - Employer Social Security Tax Withheld</v>
          </cell>
          <cell r="J6986" t="str">
            <v>Ecommerce (US)</v>
          </cell>
          <cell r="K6986" t="str">
            <v>Ecommerce</v>
          </cell>
          <cell r="L6986" t="str">
            <v>HQ Salaries</v>
          </cell>
          <cell r="N6986" t="str">
            <v>SG&amp;A</v>
          </cell>
          <cell r="O6986" t="str">
            <v>[No Vendor]</v>
          </cell>
        </row>
        <row r="6987">
          <cell r="D6987">
            <v>-2318.6999999999998</v>
          </cell>
          <cell r="H6987">
            <v>45717</v>
          </cell>
          <cell r="I6987" t="str">
            <v>6055 - Employer Social Security Tax Withheld</v>
          </cell>
          <cell r="J6987">
            <v>0</v>
          </cell>
          <cell r="K6987" t="str">
            <v>Design</v>
          </cell>
          <cell r="L6987" t="str">
            <v>HQ Salaries</v>
          </cell>
          <cell r="N6987" t="str">
            <v>SG&amp;A</v>
          </cell>
          <cell r="O6987" t="str">
            <v>[No Vendor]</v>
          </cell>
        </row>
        <row r="6988">
          <cell r="D6988">
            <v>-2606.11</v>
          </cell>
          <cell r="H6988">
            <v>45717</v>
          </cell>
          <cell r="I6988" t="str">
            <v>6055 - Employer Social Security Tax Withheld</v>
          </cell>
          <cell r="J6988">
            <v>0</v>
          </cell>
          <cell r="K6988" t="str">
            <v>Administration</v>
          </cell>
          <cell r="L6988" t="str">
            <v>HQ Salaries</v>
          </cell>
          <cell r="N6988" t="str">
            <v>SG&amp;A</v>
          </cell>
          <cell r="O6988" t="str">
            <v>[No Vendor]</v>
          </cell>
        </row>
        <row r="6989">
          <cell r="D6989">
            <v>-20415</v>
          </cell>
          <cell r="H6989">
            <v>45717</v>
          </cell>
          <cell r="I6989" t="str">
            <v>8600 - Income Tax Expense</v>
          </cell>
          <cell r="J6989">
            <v>0</v>
          </cell>
          <cell r="K6989" t="str">
            <v>Administration</v>
          </cell>
          <cell r="L6989" t="str">
            <v>Tax</v>
          </cell>
          <cell r="N6989" t="str">
            <v>BTL</v>
          </cell>
          <cell r="O6989" t="str">
            <v>[No Vendor]</v>
          </cell>
        </row>
        <row r="6990">
          <cell r="D6990">
            <v>-833.03</v>
          </cell>
          <cell r="H6990">
            <v>45717</v>
          </cell>
          <cell r="I6990" t="str">
            <v>6375 - Freight Expenses</v>
          </cell>
          <cell r="J6990" t="str">
            <v>Wholesale</v>
          </cell>
          <cell r="K6990" t="str">
            <v>Wholesale</v>
          </cell>
          <cell r="L6990" t="str">
            <v>Freight</v>
          </cell>
          <cell r="N6990" t="str">
            <v>Direct Costs</v>
          </cell>
          <cell r="O6990" t="str">
            <v>UPS Supply Chain Solutions Inc. (7F24A0)</v>
          </cell>
        </row>
        <row r="6991">
          <cell r="D6991">
            <v>-20703.25</v>
          </cell>
          <cell r="H6991">
            <v>45717</v>
          </cell>
          <cell r="I6991" t="str">
            <v>6375 - Freight Expenses</v>
          </cell>
          <cell r="J6991" t="str">
            <v>Ecommerce (US)</v>
          </cell>
          <cell r="K6991" t="str">
            <v>Ecommerce</v>
          </cell>
          <cell r="L6991" t="str">
            <v>Freight</v>
          </cell>
          <cell r="N6991" t="str">
            <v>Direct Costs</v>
          </cell>
          <cell r="O6991" t="str">
            <v>UPS Supply Chain Solutions Inc. (7F24A0)</v>
          </cell>
        </row>
        <row r="6992">
          <cell r="D6992">
            <v>34.9</v>
          </cell>
          <cell r="H6992">
            <v>45717</v>
          </cell>
          <cell r="I6992" t="str">
            <v>6040 - Employer Paid Benefits</v>
          </cell>
          <cell r="J6992">
            <v>0</v>
          </cell>
          <cell r="K6992" t="str">
            <v>Merchandising</v>
          </cell>
          <cell r="L6992" t="str">
            <v>HQ Salaries</v>
          </cell>
          <cell r="N6992" t="str">
            <v>SG&amp;A</v>
          </cell>
          <cell r="O6992" t="str">
            <v>[No Vendor]</v>
          </cell>
        </row>
        <row r="6993">
          <cell r="D6993">
            <v>104.69</v>
          </cell>
          <cell r="H6993">
            <v>45717</v>
          </cell>
          <cell r="I6993" t="str">
            <v>6040 - Employer Paid Benefits</v>
          </cell>
          <cell r="J6993" t="str">
            <v>Wholesale</v>
          </cell>
          <cell r="K6993" t="str">
            <v>Wholesale</v>
          </cell>
          <cell r="L6993" t="str">
            <v>HQ Salaries</v>
          </cell>
          <cell r="N6993" t="str">
            <v>SG&amp;A</v>
          </cell>
          <cell r="O6993" t="str">
            <v>[No Vendor]</v>
          </cell>
        </row>
        <row r="6994">
          <cell r="D6994">
            <v>365.83</v>
          </cell>
          <cell r="H6994">
            <v>45717</v>
          </cell>
          <cell r="I6994" t="str">
            <v>6040 - Employer Paid Benefits</v>
          </cell>
          <cell r="J6994">
            <v>0</v>
          </cell>
          <cell r="K6994" t="str">
            <v>Production</v>
          </cell>
          <cell r="L6994" t="str">
            <v>HQ Salaries</v>
          </cell>
          <cell r="N6994" t="str">
            <v>SG&amp;A</v>
          </cell>
          <cell r="O6994" t="str">
            <v>[No Vendor]</v>
          </cell>
        </row>
        <row r="6995">
          <cell r="D6995">
            <v>34.9</v>
          </cell>
          <cell r="H6995">
            <v>45717</v>
          </cell>
          <cell r="I6995" t="str">
            <v>6040 - Employer Paid Benefits</v>
          </cell>
          <cell r="J6995">
            <v>0</v>
          </cell>
          <cell r="K6995" t="str">
            <v>Brand Marketing</v>
          </cell>
          <cell r="L6995" t="str">
            <v>HQ Salaries</v>
          </cell>
          <cell r="N6995" t="str">
            <v>SG&amp;A</v>
          </cell>
          <cell r="O6995" t="str">
            <v>[No Vendor]</v>
          </cell>
        </row>
        <row r="6996">
          <cell r="D6996">
            <v>332.52</v>
          </cell>
          <cell r="H6996">
            <v>45717</v>
          </cell>
          <cell r="I6996" t="str">
            <v>6040 - Employer Paid Benefits</v>
          </cell>
          <cell r="J6996">
            <v>0</v>
          </cell>
          <cell r="K6996" t="str">
            <v>Executive</v>
          </cell>
          <cell r="L6996" t="str">
            <v>HQ Salaries</v>
          </cell>
          <cell r="N6996" t="str">
            <v>SG&amp;A</v>
          </cell>
          <cell r="O6996" t="str">
            <v>[No Vendor]</v>
          </cell>
        </row>
        <row r="6997">
          <cell r="D6997">
            <v>250.5</v>
          </cell>
          <cell r="H6997">
            <v>45717</v>
          </cell>
          <cell r="I6997" t="str">
            <v>6040 - Employer Paid Benefits</v>
          </cell>
          <cell r="J6997" t="str">
            <v>Ecommerce (US)</v>
          </cell>
          <cell r="K6997" t="str">
            <v>Ecommerce</v>
          </cell>
          <cell r="L6997" t="str">
            <v>HQ Salaries</v>
          </cell>
          <cell r="N6997" t="str">
            <v>SG&amp;A</v>
          </cell>
          <cell r="O6997" t="str">
            <v>[No Vendor]</v>
          </cell>
        </row>
        <row r="6998">
          <cell r="D6998">
            <v>538.55999999999995</v>
          </cell>
          <cell r="H6998">
            <v>45717</v>
          </cell>
          <cell r="I6998" t="str">
            <v>6040 - Employer Paid Benefits</v>
          </cell>
          <cell r="J6998">
            <v>0</v>
          </cell>
          <cell r="K6998" t="str">
            <v>Design</v>
          </cell>
          <cell r="L6998" t="str">
            <v>HQ Salaries</v>
          </cell>
          <cell r="N6998" t="str">
            <v>SG&amp;A</v>
          </cell>
          <cell r="O6998" t="str">
            <v>[No Vendor]</v>
          </cell>
        </row>
        <row r="6999">
          <cell r="D6999">
            <v>624.54999999999995</v>
          </cell>
          <cell r="H6999">
            <v>45717</v>
          </cell>
          <cell r="I6999" t="str">
            <v>6040 - Employer Paid Benefits</v>
          </cell>
          <cell r="J6999">
            <v>0</v>
          </cell>
          <cell r="K6999" t="str">
            <v>Administration</v>
          </cell>
          <cell r="L6999" t="str">
            <v>HQ Salaries</v>
          </cell>
          <cell r="N6999" t="str">
            <v>SG&amp;A</v>
          </cell>
          <cell r="O6999" t="str">
            <v>[No Vendor]</v>
          </cell>
        </row>
        <row r="7000">
          <cell r="D7000">
            <v>-8996.15</v>
          </cell>
          <cell r="H7000">
            <v>45717</v>
          </cell>
          <cell r="I7000" t="str">
            <v>6005 - Salaries</v>
          </cell>
          <cell r="J7000">
            <v>0</v>
          </cell>
          <cell r="K7000" t="str">
            <v>Merchandising</v>
          </cell>
          <cell r="L7000" t="str">
            <v>HQ Salaries</v>
          </cell>
          <cell r="N7000" t="str">
            <v>SG&amp;A</v>
          </cell>
          <cell r="O7000" t="str">
            <v>[No Vendor]</v>
          </cell>
        </row>
        <row r="7001">
          <cell r="D7001">
            <v>-11923.08</v>
          </cell>
          <cell r="H7001">
            <v>45717</v>
          </cell>
          <cell r="I7001" t="str">
            <v>6005 - Salaries</v>
          </cell>
          <cell r="J7001" t="str">
            <v>Wholesale</v>
          </cell>
          <cell r="K7001" t="str">
            <v>Wholesale</v>
          </cell>
          <cell r="L7001" t="str">
            <v>HQ Salaries</v>
          </cell>
          <cell r="N7001" t="str">
            <v>SG&amp;A</v>
          </cell>
          <cell r="O7001" t="str">
            <v>[No Vendor]</v>
          </cell>
        </row>
        <row r="7002">
          <cell r="D7002">
            <v>-12797.33</v>
          </cell>
          <cell r="H7002">
            <v>45717</v>
          </cell>
          <cell r="I7002" t="str">
            <v>6005 - Salaries</v>
          </cell>
          <cell r="J7002">
            <v>0</v>
          </cell>
          <cell r="K7002" t="str">
            <v>Production</v>
          </cell>
          <cell r="L7002" t="str">
            <v>HQ Salaries</v>
          </cell>
          <cell r="N7002" t="str">
            <v>SG&amp;A</v>
          </cell>
          <cell r="O7002" t="str">
            <v>[No Vendor]</v>
          </cell>
        </row>
        <row r="7003">
          <cell r="D7003">
            <v>-3269.24</v>
          </cell>
          <cell r="H7003">
            <v>45717</v>
          </cell>
          <cell r="I7003" t="str">
            <v>6005 - Salaries</v>
          </cell>
          <cell r="J7003">
            <v>0</v>
          </cell>
          <cell r="K7003" t="str">
            <v>Brand Marketing</v>
          </cell>
          <cell r="L7003" t="str">
            <v>HQ Salaries</v>
          </cell>
          <cell r="N7003" t="str">
            <v>SG&amp;A</v>
          </cell>
          <cell r="O7003" t="str">
            <v>[No Vendor]</v>
          </cell>
        </row>
        <row r="7004">
          <cell r="D7004">
            <v>-11153.85</v>
          </cell>
          <cell r="H7004">
            <v>45717</v>
          </cell>
          <cell r="I7004" t="str">
            <v>6005 - Salaries</v>
          </cell>
          <cell r="J7004">
            <v>0</v>
          </cell>
          <cell r="K7004" t="str">
            <v>Executive</v>
          </cell>
          <cell r="L7004" t="str">
            <v>HQ Salaries</v>
          </cell>
          <cell r="N7004" t="str">
            <v>SG&amp;A</v>
          </cell>
          <cell r="O7004" t="str">
            <v>[No Vendor]</v>
          </cell>
        </row>
        <row r="7005">
          <cell r="D7005">
            <v>-20780.8</v>
          </cell>
          <cell r="H7005">
            <v>45717</v>
          </cell>
          <cell r="I7005" t="str">
            <v>6005 - Salaries</v>
          </cell>
          <cell r="J7005" t="str">
            <v>Ecommerce (US)</v>
          </cell>
          <cell r="K7005" t="str">
            <v>Ecommerce</v>
          </cell>
          <cell r="L7005" t="str">
            <v>HQ Salaries</v>
          </cell>
          <cell r="N7005" t="str">
            <v>SG&amp;A</v>
          </cell>
          <cell r="O7005" t="str">
            <v>[No Vendor]</v>
          </cell>
        </row>
        <row r="7006">
          <cell r="D7006">
            <v>-21388.47</v>
          </cell>
          <cell r="H7006">
            <v>45717</v>
          </cell>
          <cell r="I7006" t="str">
            <v>6005 - Salaries</v>
          </cell>
          <cell r="J7006">
            <v>0</v>
          </cell>
          <cell r="K7006" t="str">
            <v>Design</v>
          </cell>
          <cell r="L7006" t="str">
            <v>HQ Salaries</v>
          </cell>
          <cell r="N7006" t="str">
            <v>SG&amp;A</v>
          </cell>
          <cell r="O7006" t="str">
            <v>[No Vendor]</v>
          </cell>
        </row>
        <row r="7007">
          <cell r="D7007">
            <v>75.39</v>
          </cell>
          <cell r="H7007">
            <v>45717</v>
          </cell>
          <cell r="I7007" t="str">
            <v>6375 - Freight Expenses</v>
          </cell>
          <cell r="J7007">
            <v>0</v>
          </cell>
          <cell r="K7007" t="str">
            <v>Production</v>
          </cell>
          <cell r="L7007" t="str">
            <v>Freight</v>
          </cell>
          <cell r="N7007" t="str">
            <v>Direct Costs</v>
          </cell>
          <cell r="O7007" t="str">
            <v>Federal Express</v>
          </cell>
        </row>
        <row r="7008">
          <cell r="D7008">
            <v>21.78</v>
          </cell>
          <cell r="H7008">
            <v>45717</v>
          </cell>
          <cell r="I7008" t="str">
            <v>6393 - Software</v>
          </cell>
          <cell r="J7008">
            <v>0</v>
          </cell>
          <cell r="K7008" t="str">
            <v>Executive</v>
          </cell>
          <cell r="L7008" t="str">
            <v>Professional Service</v>
          </cell>
          <cell r="N7008" t="str">
            <v>Direct Costs</v>
          </cell>
          <cell r="O7008" t="str">
            <v>Chat GPT</v>
          </cell>
        </row>
        <row r="7009">
          <cell r="D7009">
            <v>7.28</v>
          </cell>
          <cell r="H7009">
            <v>45717</v>
          </cell>
          <cell r="I7009" t="str">
            <v>6140 - Other</v>
          </cell>
          <cell r="J7009">
            <v>0</v>
          </cell>
          <cell r="K7009" t="str">
            <v>Executive</v>
          </cell>
          <cell r="L7009" t="str">
            <v>T&amp;E</v>
          </cell>
          <cell r="N7009" t="str">
            <v>SG&amp;A</v>
          </cell>
          <cell r="O7009" t="str">
            <v>[No Vendor]</v>
          </cell>
        </row>
        <row r="7010">
          <cell r="D7010">
            <v>5</v>
          </cell>
          <cell r="H7010">
            <v>45717</v>
          </cell>
          <cell r="I7010" t="str">
            <v>6140 - Other</v>
          </cell>
          <cell r="J7010">
            <v>0</v>
          </cell>
          <cell r="K7010" t="str">
            <v>Executive</v>
          </cell>
          <cell r="L7010" t="str">
            <v>T&amp;E</v>
          </cell>
          <cell r="N7010" t="str">
            <v>SG&amp;A</v>
          </cell>
          <cell r="O7010" t="str">
            <v>[No Vendor]</v>
          </cell>
        </row>
        <row r="7011">
          <cell r="D7011">
            <v>5</v>
          </cell>
          <cell r="H7011">
            <v>45717</v>
          </cell>
          <cell r="I7011" t="str">
            <v>6140 - Other</v>
          </cell>
          <cell r="J7011">
            <v>0</v>
          </cell>
          <cell r="K7011" t="str">
            <v>Executive</v>
          </cell>
          <cell r="L7011" t="str">
            <v>T&amp;E</v>
          </cell>
          <cell r="N7011" t="str">
            <v>SG&amp;A</v>
          </cell>
          <cell r="O7011" t="str">
            <v>[No Vendor]</v>
          </cell>
        </row>
        <row r="7012">
          <cell r="D7012">
            <v>0.05</v>
          </cell>
          <cell r="H7012">
            <v>45717</v>
          </cell>
          <cell r="I7012" t="str">
            <v>6450 - Bank &amp; Other Fees</v>
          </cell>
          <cell r="J7012">
            <v>0</v>
          </cell>
          <cell r="K7012" t="str">
            <v>Executive</v>
          </cell>
          <cell r="L7012" t="str">
            <v>Professional Service</v>
          </cell>
          <cell r="N7012" t="str">
            <v>SG&amp;A</v>
          </cell>
          <cell r="O7012" t="str">
            <v>[No Vendor]</v>
          </cell>
        </row>
        <row r="7013">
          <cell r="D7013">
            <v>0.23</v>
          </cell>
          <cell r="H7013">
            <v>45717</v>
          </cell>
          <cell r="I7013" t="str">
            <v>6450 - Bank &amp; Other Fees</v>
          </cell>
          <cell r="J7013">
            <v>0</v>
          </cell>
          <cell r="K7013" t="str">
            <v>Executive</v>
          </cell>
          <cell r="L7013" t="str">
            <v>Professional Service</v>
          </cell>
          <cell r="N7013" t="str">
            <v>SG&amp;A</v>
          </cell>
          <cell r="O7013" t="str">
            <v>[No Vendor]</v>
          </cell>
        </row>
        <row r="7014">
          <cell r="D7014">
            <v>0.06</v>
          </cell>
          <cell r="H7014">
            <v>45717</v>
          </cell>
          <cell r="I7014" t="str">
            <v>6450 - Bank &amp; Other Fees</v>
          </cell>
          <cell r="J7014">
            <v>0</v>
          </cell>
          <cell r="K7014" t="str">
            <v>Executive</v>
          </cell>
          <cell r="L7014" t="str">
            <v>Professional Service</v>
          </cell>
          <cell r="N7014" t="str">
            <v>SG&amp;A</v>
          </cell>
          <cell r="O7014" t="str">
            <v>[No Vendor]</v>
          </cell>
        </row>
        <row r="7015">
          <cell r="D7015">
            <v>0.09</v>
          </cell>
          <cell r="H7015">
            <v>45717</v>
          </cell>
          <cell r="I7015" t="str">
            <v>6450 - Bank &amp; Other Fees</v>
          </cell>
          <cell r="J7015">
            <v>0</v>
          </cell>
          <cell r="K7015" t="str">
            <v>Executive</v>
          </cell>
          <cell r="L7015" t="str">
            <v>Professional Service</v>
          </cell>
          <cell r="N7015" t="str">
            <v>SG&amp;A</v>
          </cell>
          <cell r="O7015" t="str">
            <v>[No Vendor]</v>
          </cell>
        </row>
        <row r="7016">
          <cell r="D7016">
            <v>0.05</v>
          </cell>
          <cell r="H7016">
            <v>45717</v>
          </cell>
          <cell r="I7016" t="str">
            <v>6450 - Bank &amp; Other Fees</v>
          </cell>
          <cell r="J7016">
            <v>0</v>
          </cell>
          <cell r="K7016" t="str">
            <v>Executive</v>
          </cell>
          <cell r="L7016" t="str">
            <v>Professional Service</v>
          </cell>
          <cell r="N7016" t="str">
            <v>SG&amp;A</v>
          </cell>
          <cell r="O7016" t="str">
            <v>[No Vendor]</v>
          </cell>
        </row>
        <row r="7017">
          <cell r="D7017">
            <v>3.68</v>
          </cell>
          <cell r="H7017">
            <v>45717</v>
          </cell>
          <cell r="I7017" t="str">
            <v>6125 - Transportation and Fuel</v>
          </cell>
          <cell r="J7017">
            <v>0</v>
          </cell>
          <cell r="K7017" t="str">
            <v>Executive</v>
          </cell>
          <cell r="L7017" t="str">
            <v>T&amp;E</v>
          </cell>
          <cell r="N7017" t="str">
            <v>SG&amp;A</v>
          </cell>
          <cell r="O7017" t="str">
            <v>[No Vendor]</v>
          </cell>
        </row>
        <row r="7018">
          <cell r="D7018">
            <v>3.1</v>
          </cell>
          <cell r="H7018">
            <v>45717</v>
          </cell>
          <cell r="I7018" t="str">
            <v>6125 - Transportation and Fuel</v>
          </cell>
          <cell r="J7018">
            <v>0</v>
          </cell>
          <cell r="K7018" t="str">
            <v>Executive</v>
          </cell>
          <cell r="L7018" t="str">
            <v>T&amp;E</v>
          </cell>
          <cell r="N7018" t="str">
            <v>SG&amp;A</v>
          </cell>
          <cell r="O7018" t="str">
            <v>[No Vendor]</v>
          </cell>
        </row>
        <row r="7019">
          <cell r="D7019">
            <v>5.8</v>
          </cell>
          <cell r="H7019">
            <v>45717</v>
          </cell>
          <cell r="I7019" t="str">
            <v>6125 - Transportation and Fuel</v>
          </cell>
          <cell r="J7019">
            <v>0</v>
          </cell>
          <cell r="K7019" t="str">
            <v>Executive</v>
          </cell>
          <cell r="L7019" t="str">
            <v>T&amp;E</v>
          </cell>
          <cell r="N7019" t="str">
            <v>SG&amp;A</v>
          </cell>
          <cell r="O7019" t="str">
            <v>[No Vendor]</v>
          </cell>
        </row>
        <row r="7020">
          <cell r="D7020">
            <v>3.43</v>
          </cell>
          <cell r="H7020">
            <v>45717</v>
          </cell>
          <cell r="I7020" t="str">
            <v>6125 - Transportation and Fuel</v>
          </cell>
          <cell r="J7020">
            <v>0</v>
          </cell>
          <cell r="K7020" t="str">
            <v>Executive</v>
          </cell>
          <cell r="L7020" t="str">
            <v>T&amp;E</v>
          </cell>
          <cell r="N7020" t="str">
            <v>SG&amp;A</v>
          </cell>
          <cell r="O7020" t="str">
            <v>[No Vendor]</v>
          </cell>
        </row>
        <row r="7021">
          <cell r="D7021">
            <v>9.19</v>
          </cell>
          <cell r="H7021">
            <v>45717</v>
          </cell>
          <cell r="I7021" t="str">
            <v>6125 - Transportation and Fuel</v>
          </cell>
          <cell r="J7021">
            <v>0</v>
          </cell>
          <cell r="K7021" t="str">
            <v>Executive</v>
          </cell>
          <cell r="L7021" t="str">
            <v>T&amp;E</v>
          </cell>
          <cell r="N7021" t="str">
            <v>SG&amp;A</v>
          </cell>
          <cell r="O7021" t="str">
            <v>[No Vendor]</v>
          </cell>
        </row>
        <row r="7022">
          <cell r="D7022">
            <v>91.92</v>
          </cell>
          <cell r="H7022">
            <v>45717</v>
          </cell>
          <cell r="I7022" t="str">
            <v>6125 - Transportation and Fuel</v>
          </cell>
          <cell r="J7022">
            <v>0</v>
          </cell>
          <cell r="K7022" t="str">
            <v>Executive</v>
          </cell>
          <cell r="L7022" t="str">
            <v>T&amp;E</v>
          </cell>
          <cell r="N7022" t="str">
            <v>SG&amp;A</v>
          </cell>
          <cell r="O7022" t="str">
            <v>[No Vendor]</v>
          </cell>
        </row>
        <row r="7023">
          <cell r="D7023">
            <v>15.54</v>
          </cell>
          <cell r="H7023">
            <v>45717</v>
          </cell>
          <cell r="I7023" t="str">
            <v>6125 - Transportation and Fuel</v>
          </cell>
          <cell r="J7023">
            <v>0</v>
          </cell>
          <cell r="K7023" t="str">
            <v>Executive</v>
          </cell>
          <cell r="L7023" t="str">
            <v>T&amp;E</v>
          </cell>
          <cell r="N7023" t="str">
            <v>SG&amp;A</v>
          </cell>
          <cell r="O7023" t="str">
            <v>[No Vendor]</v>
          </cell>
        </row>
        <row r="7024">
          <cell r="D7024">
            <v>15.54</v>
          </cell>
          <cell r="H7024">
            <v>45717</v>
          </cell>
          <cell r="I7024" t="str">
            <v>6125 - Transportation and Fuel</v>
          </cell>
          <cell r="J7024">
            <v>0</v>
          </cell>
          <cell r="K7024" t="str">
            <v>Executive</v>
          </cell>
          <cell r="L7024" t="str">
            <v>T&amp;E</v>
          </cell>
          <cell r="N7024" t="str">
            <v>SG&amp;A</v>
          </cell>
          <cell r="O7024" t="str">
            <v>[No Vendor]</v>
          </cell>
        </row>
        <row r="7025">
          <cell r="D7025">
            <v>-199.22</v>
          </cell>
          <cell r="H7025">
            <v>45717</v>
          </cell>
          <cell r="I7025" t="str">
            <v>6115 - Airfare</v>
          </cell>
          <cell r="J7025">
            <v>0</v>
          </cell>
          <cell r="K7025" t="str">
            <v>Executive</v>
          </cell>
          <cell r="L7025" t="str">
            <v>T&amp;E</v>
          </cell>
          <cell r="N7025" t="str">
            <v>SG&amp;A</v>
          </cell>
          <cell r="O7025" t="str">
            <v>[No Vendor]</v>
          </cell>
        </row>
        <row r="7026">
          <cell r="D7026">
            <v>-109.81</v>
          </cell>
          <cell r="H7026">
            <v>45717</v>
          </cell>
          <cell r="I7026" t="str">
            <v>6115 - Airfare</v>
          </cell>
          <cell r="J7026">
            <v>0</v>
          </cell>
          <cell r="K7026" t="str">
            <v>Executive</v>
          </cell>
          <cell r="L7026" t="str">
            <v>T&amp;E</v>
          </cell>
          <cell r="N7026" t="str">
            <v>SG&amp;A</v>
          </cell>
          <cell r="O7026" t="str">
            <v>[No Vendor]</v>
          </cell>
        </row>
        <row r="7027">
          <cell r="D7027">
            <v>171.4</v>
          </cell>
          <cell r="H7027">
            <v>45717</v>
          </cell>
          <cell r="I7027" t="str">
            <v>6115 - Airfare</v>
          </cell>
          <cell r="J7027">
            <v>0</v>
          </cell>
          <cell r="K7027" t="str">
            <v>Executive</v>
          </cell>
          <cell r="L7027" t="str">
            <v>T&amp;E</v>
          </cell>
          <cell r="N7027" t="str">
            <v>SG&amp;A</v>
          </cell>
          <cell r="O7027" t="str">
            <v>[No Vendor]</v>
          </cell>
        </row>
        <row r="7028">
          <cell r="D7028">
            <v>287.39999999999998</v>
          </cell>
          <cell r="H7028">
            <v>45717</v>
          </cell>
          <cell r="I7028" t="str">
            <v>6115 - Airfare</v>
          </cell>
          <cell r="J7028">
            <v>0</v>
          </cell>
          <cell r="K7028" t="str">
            <v>Executive</v>
          </cell>
          <cell r="L7028" t="str">
            <v>T&amp;E</v>
          </cell>
          <cell r="N7028" t="str">
            <v>SG&amp;A</v>
          </cell>
          <cell r="O7028" t="str">
            <v>[No Vendor]</v>
          </cell>
        </row>
        <row r="7029">
          <cell r="D7029">
            <v>268.39999999999998</v>
          </cell>
          <cell r="H7029">
            <v>45717</v>
          </cell>
          <cell r="I7029" t="str">
            <v>6115 - Airfare</v>
          </cell>
          <cell r="J7029">
            <v>0</v>
          </cell>
          <cell r="K7029" t="str">
            <v>Executive</v>
          </cell>
          <cell r="L7029" t="str">
            <v>T&amp;E</v>
          </cell>
          <cell r="N7029" t="str">
            <v>SG&amp;A</v>
          </cell>
          <cell r="O7029" t="str">
            <v>[No Vendor]</v>
          </cell>
        </row>
        <row r="7030">
          <cell r="D7030">
            <v>15.16</v>
          </cell>
          <cell r="H7030">
            <v>45717</v>
          </cell>
          <cell r="I7030" t="str">
            <v>6105 - Meals</v>
          </cell>
          <cell r="J7030">
            <v>0</v>
          </cell>
          <cell r="K7030" t="str">
            <v>Executive</v>
          </cell>
          <cell r="L7030" t="str">
            <v>T&amp;E</v>
          </cell>
          <cell r="N7030" t="str">
            <v>SG&amp;A</v>
          </cell>
          <cell r="O7030" t="str">
            <v>[No Vendor]</v>
          </cell>
        </row>
        <row r="7031">
          <cell r="D7031">
            <v>38.28</v>
          </cell>
          <cell r="H7031">
            <v>45717</v>
          </cell>
          <cell r="I7031" t="str">
            <v>6105 - Meals</v>
          </cell>
          <cell r="J7031">
            <v>0</v>
          </cell>
          <cell r="K7031" t="str">
            <v>Executive</v>
          </cell>
          <cell r="L7031" t="str">
            <v>T&amp;E</v>
          </cell>
          <cell r="N7031" t="str">
            <v>SG&amp;A</v>
          </cell>
          <cell r="O7031" t="str">
            <v>[No Vendor]</v>
          </cell>
        </row>
        <row r="7032">
          <cell r="D7032">
            <v>125.01</v>
          </cell>
          <cell r="H7032">
            <v>45717</v>
          </cell>
          <cell r="I7032" t="str">
            <v>6105 - Meals</v>
          </cell>
          <cell r="J7032">
            <v>0</v>
          </cell>
          <cell r="K7032" t="str">
            <v>Executive</v>
          </cell>
          <cell r="L7032" t="str">
            <v>T&amp;E</v>
          </cell>
          <cell r="N7032" t="str">
            <v>SG&amp;A</v>
          </cell>
          <cell r="O7032" t="str">
            <v>[No Vendor]</v>
          </cell>
        </row>
        <row r="7033">
          <cell r="D7033">
            <v>82.47</v>
          </cell>
          <cell r="H7033">
            <v>45717</v>
          </cell>
          <cell r="I7033" t="str">
            <v>6105 - Meals</v>
          </cell>
          <cell r="J7033">
            <v>0</v>
          </cell>
          <cell r="K7033" t="str">
            <v>Executive</v>
          </cell>
          <cell r="L7033" t="str">
            <v>T&amp;E</v>
          </cell>
          <cell r="N7033" t="str">
            <v>SG&amp;A</v>
          </cell>
          <cell r="O7033" t="str">
            <v>[No Vendor]</v>
          </cell>
        </row>
        <row r="7034">
          <cell r="D7034">
            <v>176.59</v>
          </cell>
          <cell r="H7034">
            <v>45717</v>
          </cell>
          <cell r="I7034" t="str">
            <v>6105 - Meals</v>
          </cell>
          <cell r="J7034">
            <v>0</v>
          </cell>
          <cell r="K7034" t="str">
            <v>Executive</v>
          </cell>
          <cell r="L7034" t="str">
            <v>T&amp;E</v>
          </cell>
          <cell r="N7034" t="str">
            <v>SG&amp;A</v>
          </cell>
          <cell r="O7034" t="str">
            <v>[No Vendor]</v>
          </cell>
        </row>
        <row r="7035">
          <cell r="D7035">
            <v>49.96</v>
          </cell>
          <cell r="H7035">
            <v>45717</v>
          </cell>
          <cell r="I7035" t="str">
            <v>6105 - Meals</v>
          </cell>
          <cell r="J7035">
            <v>0</v>
          </cell>
          <cell r="K7035" t="str">
            <v>Executive</v>
          </cell>
          <cell r="L7035" t="str">
            <v>T&amp;E</v>
          </cell>
          <cell r="N7035" t="str">
            <v>SG&amp;A</v>
          </cell>
          <cell r="O7035" t="str">
            <v>[No Vendor]</v>
          </cell>
        </row>
        <row r="7036">
          <cell r="D7036">
            <v>449.04</v>
          </cell>
          <cell r="H7036">
            <v>45717</v>
          </cell>
          <cell r="I7036" t="str">
            <v>6375 - Freight Expenses</v>
          </cell>
          <cell r="J7036">
            <v>0</v>
          </cell>
          <cell r="K7036" t="str">
            <v>Production</v>
          </cell>
          <cell r="L7036" t="str">
            <v>Freight</v>
          </cell>
          <cell r="N7036" t="str">
            <v>Direct Costs</v>
          </cell>
          <cell r="O7036" t="str">
            <v>DHL Express - USA</v>
          </cell>
        </row>
        <row r="7037">
          <cell r="D7037">
            <v>-28.78</v>
          </cell>
          <cell r="H7037">
            <v>45717</v>
          </cell>
          <cell r="I7037" t="str">
            <v>6300 - Payroll Service Fees</v>
          </cell>
          <cell r="J7037">
            <v>0</v>
          </cell>
          <cell r="K7037" t="str">
            <v>Administration</v>
          </cell>
          <cell r="L7037" t="str">
            <v>Professional Service</v>
          </cell>
          <cell r="N7037" t="str">
            <v>SG&amp;A</v>
          </cell>
          <cell r="O7037" t="str">
            <v>ADP Payroll Services</v>
          </cell>
        </row>
        <row r="7038">
          <cell r="D7038">
            <v>2381.4899999999998</v>
          </cell>
          <cell r="H7038">
            <v>45717</v>
          </cell>
          <cell r="I7038" t="str">
            <v>6451 - Service Processing Fee</v>
          </cell>
          <cell r="J7038" t="str">
            <v>Wholesale</v>
          </cell>
          <cell r="K7038" t="str">
            <v>Wholesale</v>
          </cell>
          <cell r="L7038" t="str">
            <v>Professional Service</v>
          </cell>
          <cell r="N7038" t="str">
            <v>Direct Costs</v>
          </cell>
          <cell r="O7038" t="str">
            <v>Paymentech</v>
          </cell>
        </row>
        <row r="7039">
          <cell r="D7039">
            <v>225</v>
          </cell>
          <cell r="H7039">
            <v>45717</v>
          </cell>
          <cell r="I7039" t="str">
            <v>6520 - Taxes and Licenses</v>
          </cell>
          <cell r="J7039">
            <v>0</v>
          </cell>
          <cell r="K7039" t="str">
            <v>Administration</v>
          </cell>
          <cell r="L7039" t="str">
            <v>Other</v>
          </cell>
          <cell r="N7039" t="str">
            <v>SG&amp;A</v>
          </cell>
          <cell r="O7039" t="str">
            <v>[No Vendor]</v>
          </cell>
        </row>
        <row r="7040">
          <cell r="D7040">
            <v>225</v>
          </cell>
          <cell r="H7040">
            <v>45717</v>
          </cell>
          <cell r="I7040" t="str">
            <v>6520 - Taxes and Licenses</v>
          </cell>
          <cell r="J7040">
            <v>0</v>
          </cell>
          <cell r="K7040" t="str">
            <v>Administration</v>
          </cell>
          <cell r="L7040" t="str">
            <v>Other</v>
          </cell>
          <cell r="N7040" t="str">
            <v>SG&amp;A</v>
          </cell>
          <cell r="O7040" t="str">
            <v>[No Vendor]</v>
          </cell>
        </row>
        <row r="7041">
          <cell r="D7041">
            <v>1120</v>
          </cell>
          <cell r="H7041">
            <v>45717</v>
          </cell>
          <cell r="I7041" t="str">
            <v>6240 - Product Photography</v>
          </cell>
          <cell r="J7041" t="str">
            <v>Ecommerce (US)</v>
          </cell>
          <cell r="K7041" t="str">
            <v>Brand Marketing</v>
          </cell>
          <cell r="L7041" t="str">
            <v>Advertising</v>
          </cell>
          <cell r="N7041" t="str">
            <v>SG&amp;A</v>
          </cell>
          <cell r="O7041" t="str">
            <v>LENFLASH dot COM</v>
          </cell>
        </row>
        <row r="7042">
          <cell r="D7042">
            <v>195.4</v>
          </cell>
          <cell r="H7042">
            <v>45717</v>
          </cell>
          <cell r="I7042" t="str">
            <v>6040 - Employer Paid Benefits</v>
          </cell>
          <cell r="J7042">
            <v>0</v>
          </cell>
          <cell r="K7042" t="str">
            <v>Design</v>
          </cell>
          <cell r="L7042" t="str">
            <v>HQ Salaries</v>
          </cell>
          <cell r="N7042" t="str">
            <v>SG&amp;A</v>
          </cell>
          <cell r="O7042" t="str">
            <v>Procyon Benefits LLC</v>
          </cell>
        </row>
        <row r="7043">
          <cell r="D7043">
            <v>544.02</v>
          </cell>
          <cell r="H7043">
            <v>45717</v>
          </cell>
          <cell r="I7043" t="str">
            <v>6393 - Software</v>
          </cell>
          <cell r="J7043">
            <v>0</v>
          </cell>
          <cell r="K7043" t="str">
            <v>Administration</v>
          </cell>
          <cell r="L7043" t="str">
            <v>Professional Service</v>
          </cell>
          <cell r="N7043" t="str">
            <v>Direct Costs</v>
          </cell>
          <cell r="O7043" t="str">
            <v>Concur Technologies, Inc.</v>
          </cell>
        </row>
        <row r="7044">
          <cell r="D7044">
            <v>49</v>
          </cell>
          <cell r="H7044">
            <v>45717</v>
          </cell>
          <cell r="I7044" t="str">
            <v>6393 - Software</v>
          </cell>
          <cell r="J7044" t="str">
            <v>Wholesale</v>
          </cell>
          <cell r="K7044" t="str">
            <v>Wholesale</v>
          </cell>
          <cell r="L7044" t="str">
            <v>Professional Service</v>
          </cell>
          <cell r="N7044" t="str">
            <v>Direct Costs</v>
          </cell>
          <cell r="O7044" t="str">
            <v>Authorize.net</v>
          </cell>
        </row>
        <row r="7045">
          <cell r="D7045">
            <v>71.209999999999994</v>
          </cell>
          <cell r="H7045">
            <v>45717</v>
          </cell>
          <cell r="I7045" t="str">
            <v>6393 - Software</v>
          </cell>
          <cell r="J7045">
            <v>0</v>
          </cell>
          <cell r="K7045" t="str">
            <v>Administration</v>
          </cell>
          <cell r="L7045" t="str">
            <v>Professional Service</v>
          </cell>
          <cell r="N7045" t="str">
            <v>Direct Costs</v>
          </cell>
          <cell r="O7045" t="str">
            <v>Quickbook</v>
          </cell>
        </row>
        <row r="7046">
          <cell r="D7046">
            <v>1779.84</v>
          </cell>
          <cell r="H7046">
            <v>45717</v>
          </cell>
          <cell r="I7046" t="str">
            <v>6393 - Software</v>
          </cell>
          <cell r="J7046">
            <v>0</v>
          </cell>
          <cell r="K7046" t="str">
            <v>Administration</v>
          </cell>
          <cell r="L7046" t="str">
            <v>Professional Service</v>
          </cell>
          <cell r="N7046" t="str">
            <v>Direct Costs</v>
          </cell>
          <cell r="O7046" t="str">
            <v>Adobe, Inc.</v>
          </cell>
        </row>
        <row r="7047">
          <cell r="D7047">
            <v>7718.43</v>
          </cell>
          <cell r="H7047">
            <v>45717</v>
          </cell>
          <cell r="I7047" t="str">
            <v>6393 - Software</v>
          </cell>
          <cell r="J7047" t="str">
            <v>Ecommerce (US)</v>
          </cell>
          <cell r="K7047" t="str">
            <v>Ecommerce</v>
          </cell>
          <cell r="L7047" t="str">
            <v>Professional Service</v>
          </cell>
          <cell r="N7047" t="str">
            <v>Direct Costs</v>
          </cell>
          <cell r="O7047" t="str">
            <v>Signifyd</v>
          </cell>
        </row>
        <row r="7048">
          <cell r="D7048">
            <v>1044.26</v>
          </cell>
          <cell r="H7048">
            <v>45717</v>
          </cell>
          <cell r="I7048" t="str">
            <v>6393 - Software</v>
          </cell>
          <cell r="J7048" t="str">
            <v>Ecommerce (US)</v>
          </cell>
          <cell r="K7048" t="str">
            <v>Ecommerce</v>
          </cell>
          <cell r="L7048" t="str">
            <v>Professional Service</v>
          </cell>
          <cell r="N7048" t="str">
            <v>Direct Costs</v>
          </cell>
          <cell r="O7048" t="str">
            <v>Google Cloud</v>
          </cell>
        </row>
        <row r="7049">
          <cell r="D7049">
            <v>8044.94</v>
          </cell>
          <cell r="H7049">
            <v>45717</v>
          </cell>
          <cell r="I7049" t="str">
            <v>6393 - Software</v>
          </cell>
          <cell r="J7049" t="str">
            <v>Ecommerce (US)</v>
          </cell>
          <cell r="K7049" t="str">
            <v>Ecommerce</v>
          </cell>
          <cell r="L7049" t="str">
            <v>Professional Service</v>
          </cell>
          <cell r="N7049" t="str">
            <v>Direct Costs</v>
          </cell>
          <cell r="O7049" t="str">
            <v>Shopify</v>
          </cell>
        </row>
        <row r="7050">
          <cell r="D7050">
            <v>598</v>
          </cell>
          <cell r="H7050">
            <v>45717</v>
          </cell>
          <cell r="I7050" t="str">
            <v>6393 - Software</v>
          </cell>
          <cell r="J7050" t="str">
            <v>Ecommerce (US)</v>
          </cell>
          <cell r="K7050" t="str">
            <v>Ecommerce</v>
          </cell>
          <cell r="L7050" t="str">
            <v>Professional Service</v>
          </cell>
          <cell r="N7050" t="str">
            <v>Direct Costs</v>
          </cell>
          <cell r="O7050" t="str">
            <v>GODATAFEED</v>
          </cell>
        </row>
        <row r="7051">
          <cell r="D7051">
            <v>21.78</v>
          </cell>
          <cell r="H7051">
            <v>45717</v>
          </cell>
          <cell r="I7051" t="str">
            <v>6393 - Software</v>
          </cell>
          <cell r="J7051" t="str">
            <v>Ecommerce (US)</v>
          </cell>
          <cell r="K7051" t="str">
            <v>Ecommerce</v>
          </cell>
          <cell r="L7051" t="str">
            <v>Professional Service</v>
          </cell>
          <cell r="N7051" t="str">
            <v>Direct Costs</v>
          </cell>
          <cell r="O7051" t="str">
            <v>Chat GPT</v>
          </cell>
        </row>
        <row r="7052">
          <cell r="D7052">
            <v>2830.75</v>
          </cell>
          <cell r="H7052">
            <v>45717</v>
          </cell>
          <cell r="I7052" t="str">
            <v>6393 - Software</v>
          </cell>
          <cell r="J7052" t="str">
            <v>Ecommerce (US)</v>
          </cell>
          <cell r="K7052" t="str">
            <v>Ecommerce</v>
          </cell>
          <cell r="L7052" t="str">
            <v>Professional Service</v>
          </cell>
          <cell r="N7052" t="str">
            <v>Direct Costs</v>
          </cell>
          <cell r="O7052" t="str">
            <v>Klaviyo</v>
          </cell>
        </row>
        <row r="7053">
          <cell r="D7053">
            <v>159</v>
          </cell>
          <cell r="H7053">
            <v>45717</v>
          </cell>
          <cell r="I7053" t="str">
            <v>6393 - Software</v>
          </cell>
          <cell r="J7053" t="str">
            <v>Ecommerce (US)</v>
          </cell>
          <cell r="K7053" t="str">
            <v>Ecommerce</v>
          </cell>
          <cell r="L7053" t="str">
            <v>Professional Service</v>
          </cell>
          <cell r="N7053" t="str">
            <v>Direct Costs</v>
          </cell>
          <cell r="O7053" t="str">
            <v>INTEGRATION MANAGER</v>
          </cell>
        </row>
        <row r="7054">
          <cell r="D7054">
            <v>1012.54</v>
          </cell>
          <cell r="H7054">
            <v>45717</v>
          </cell>
          <cell r="I7054" t="str">
            <v>6393 - Software</v>
          </cell>
          <cell r="J7054" t="str">
            <v>Ecommerce (US)</v>
          </cell>
          <cell r="K7054" t="str">
            <v>Ecommerce</v>
          </cell>
          <cell r="L7054" t="str">
            <v>Professional Service</v>
          </cell>
          <cell r="N7054" t="str">
            <v>Direct Costs</v>
          </cell>
          <cell r="O7054" t="str">
            <v>Klaviyo</v>
          </cell>
        </row>
        <row r="7055">
          <cell r="D7055">
            <v>1866.97</v>
          </cell>
          <cell r="H7055">
            <v>45717</v>
          </cell>
          <cell r="I7055" t="str">
            <v>6286 - SEM</v>
          </cell>
          <cell r="J7055" t="str">
            <v>Ecommerce (US)</v>
          </cell>
          <cell r="K7055" t="str">
            <v>Ecommerce</v>
          </cell>
          <cell r="L7055" t="str">
            <v>Marketing</v>
          </cell>
          <cell r="N7055" t="str">
            <v>Direct Costs</v>
          </cell>
          <cell r="O7055" t="str">
            <v>Amazon</v>
          </cell>
        </row>
        <row r="7056">
          <cell r="D7056">
            <v>2003.51</v>
          </cell>
          <cell r="H7056">
            <v>45717</v>
          </cell>
          <cell r="I7056" t="str">
            <v>6286 - SEM</v>
          </cell>
          <cell r="J7056" t="str">
            <v>Ecommerce (US)</v>
          </cell>
          <cell r="K7056" t="str">
            <v>Ecommerce</v>
          </cell>
          <cell r="L7056" t="str">
            <v>Marketing</v>
          </cell>
          <cell r="N7056" t="str">
            <v>Direct Costs</v>
          </cell>
          <cell r="O7056" t="str">
            <v>Amazon</v>
          </cell>
        </row>
        <row r="7057">
          <cell r="D7057">
            <v>2015.09</v>
          </cell>
          <cell r="H7057">
            <v>45717</v>
          </cell>
          <cell r="I7057" t="str">
            <v>6286 - SEM</v>
          </cell>
          <cell r="J7057" t="str">
            <v>Ecommerce (US)</v>
          </cell>
          <cell r="K7057" t="str">
            <v>Ecommerce</v>
          </cell>
          <cell r="L7057" t="str">
            <v>Marketing</v>
          </cell>
          <cell r="N7057" t="str">
            <v>Direct Costs</v>
          </cell>
          <cell r="O7057" t="str">
            <v>Amazon</v>
          </cell>
        </row>
        <row r="7058">
          <cell r="D7058">
            <v>2016.26</v>
          </cell>
          <cell r="H7058">
            <v>45717</v>
          </cell>
          <cell r="I7058" t="str">
            <v>6286 - SEM</v>
          </cell>
          <cell r="J7058" t="str">
            <v>Ecommerce (US)</v>
          </cell>
          <cell r="K7058" t="str">
            <v>Ecommerce</v>
          </cell>
          <cell r="L7058" t="str">
            <v>Marketing</v>
          </cell>
          <cell r="N7058" t="str">
            <v>Direct Costs</v>
          </cell>
          <cell r="O7058" t="str">
            <v>Amazon</v>
          </cell>
        </row>
        <row r="7059">
          <cell r="D7059">
            <v>2025.46</v>
          </cell>
          <cell r="H7059">
            <v>45717</v>
          </cell>
          <cell r="I7059" t="str">
            <v>6286 - SEM</v>
          </cell>
          <cell r="J7059" t="str">
            <v>Ecommerce (US)</v>
          </cell>
          <cell r="K7059" t="str">
            <v>Ecommerce</v>
          </cell>
          <cell r="L7059" t="str">
            <v>Marketing</v>
          </cell>
          <cell r="N7059" t="str">
            <v>Direct Costs</v>
          </cell>
          <cell r="O7059" t="str">
            <v>Amazon</v>
          </cell>
        </row>
        <row r="7060">
          <cell r="D7060">
            <v>2007.28</v>
          </cell>
          <cell r="H7060">
            <v>45717</v>
          </cell>
          <cell r="I7060" t="str">
            <v>6286 - SEM</v>
          </cell>
          <cell r="J7060" t="str">
            <v>Ecommerce (US)</v>
          </cell>
          <cell r="K7060" t="str">
            <v>Ecommerce</v>
          </cell>
          <cell r="L7060" t="str">
            <v>Marketing</v>
          </cell>
          <cell r="N7060" t="str">
            <v>Direct Costs</v>
          </cell>
          <cell r="O7060" t="str">
            <v>Amazon</v>
          </cell>
        </row>
        <row r="7061">
          <cell r="D7061">
            <v>2006.6</v>
          </cell>
          <cell r="H7061">
            <v>45717</v>
          </cell>
          <cell r="I7061" t="str">
            <v>6286 - SEM</v>
          </cell>
          <cell r="J7061" t="str">
            <v>Ecommerce (US)</v>
          </cell>
          <cell r="K7061" t="str">
            <v>Ecommerce</v>
          </cell>
          <cell r="L7061" t="str">
            <v>Marketing</v>
          </cell>
          <cell r="N7061" t="str">
            <v>Direct Costs</v>
          </cell>
          <cell r="O7061" t="str">
            <v>Amazon</v>
          </cell>
        </row>
        <row r="7062">
          <cell r="D7062">
            <v>2005.26</v>
          </cell>
          <cell r="H7062">
            <v>45717</v>
          </cell>
          <cell r="I7062" t="str">
            <v>6286 - SEM</v>
          </cell>
          <cell r="J7062" t="str">
            <v>Ecommerce (US)</v>
          </cell>
          <cell r="K7062" t="str">
            <v>Ecommerce</v>
          </cell>
          <cell r="L7062" t="str">
            <v>Marketing</v>
          </cell>
          <cell r="N7062" t="str">
            <v>Direct Costs</v>
          </cell>
          <cell r="O7062" t="str">
            <v>Amazon</v>
          </cell>
        </row>
        <row r="7063">
          <cell r="D7063">
            <v>5</v>
          </cell>
          <cell r="H7063">
            <v>45717</v>
          </cell>
          <cell r="I7063" t="str">
            <v>6140 - Other</v>
          </cell>
          <cell r="J7063">
            <v>0</v>
          </cell>
          <cell r="K7063" t="str">
            <v>Design</v>
          </cell>
          <cell r="L7063" t="str">
            <v>T&amp;E</v>
          </cell>
          <cell r="N7063" t="str">
            <v>SG&amp;A</v>
          </cell>
          <cell r="O7063" t="str">
            <v>[No Vendor]</v>
          </cell>
        </row>
        <row r="7064">
          <cell r="D7064">
            <v>35</v>
          </cell>
          <cell r="H7064">
            <v>45717</v>
          </cell>
          <cell r="I7064" t="str">
            <v>6140 - Other</v>
          </cell>
          <cell r="J7064">
            <v>0</v>
          </cell>
          <cell r="K7064" t="str">
            <v>Design</v>
          </cell>
          <cell r="L7064" t="str">
            <v>T&amp;E</v>
          </cell>
          <cell r="N7064" t="str">
            <v>SG&amp;A</v>
          </cell>
          <cell r="O7064" t="str">
            <v>[No Vendor]</v>
          </cell>
        </row>
        <row r="7065">
          <cell r="D7065">
            <v>5</v>
          </cell>
          <cell r="H7065">
            <v>45717</v>
          </cell>
          <cell r="I7065" t="str">
            <v>6140 - Other</v>
          </cell>
          <cell r="J7065">
            <v>0</v>
          </cell>
          <cell r="K7065" t="str">
            <v>Design</v>
          </cell>
          <cell r="L7065" t="str">
            <v>T&amp;E</v>
          </cell>
          <cell r="N7065" t="str">
            <v>SG&amp;A</v>
          </cell>
          <cell r="O7065" t="str">
            <v>[No Vendor]</v>
          </cell>
        </row>
        <row r="7066">
          <cell r="D7066">
            <v>5</v>
          </cell>
          <cell r="H7066">
            <v>45717</v>
          </cell>
          <cell r="I7066" t="str">
            <v>6140 - Other</v>
          </cell>
          <cell r="J7066">
            <v>0</v>
          </cell>
          <cell r="K7066" t="str">
            <v>Design</v>
          </cell>
          <cell r="L7066" t="str">
            <v>T&amp;E</v>
          </cell>
          <cell r="N7066" t="str">
            <v>SG&amp;A</v>
          </cell>
          <cell r="O7066" t="str">
            <v>[No Vendor]</v>
          </cell>
        </row>
        <row r="7067">
          <cell r="D7067">
            <v>5</v>
          </cell>
          <cell r="H7067">
            <v>45717</v>
          </cell>
          <cell r="I7067" t="str">
            <v>6140 - Other</v>
          </cell>
          <cell r="J7067">
            <v>0</v>
          </cell>
          <cell r="K7067" t="str">
            <v>Design</v>
          </cell>
          <cell r="L7067" t="str">
            <v>T&amp;E</v>
          </cell>
          <cell r="N7067" t="str">
            <v>SG&amp;A</v>
          </cell>
          <cell r="O7067" t="str">
            <v>[No Vendor]</v>
          </cell>
        </row>
        <row r="7068">
          <cell r="D7068">
            <v>5</v>
          </cell>
          <cell r="H7068">
            <v>45717</v>
          </cell>
          <cell r="I7068" t="str">
            <v>6140 - Other</v>
          </cell>
          <cell r="J7068">
            <v>0</v>
          </cell>
          <cell r="K7068" t="str">
            <v>Design</v>
          </cell>
          <cell r="L7068" t="str">
            <v>T&amp;E</v>
          </cell>
          <cell r="N7068" t="str">
            <v>SG&amp;A</v>
          </cell>
          <cell r="O7068" t="str">
            <v>[No Vendor]</v>
          </cell>
        </row>
        <row r="7069">
          <cell r="D7069">
            <v>2447.2800000000002</v>
          </cell>
          <cell r="H7069">
            <v>45717</v>
          </cell>
          <cell r="I7069" t="str">
            <v>6450 - Bank &amp; Other Fees</v>
          </cell>
          <cell r="J7069">
            <v>0</v>
          </cell>
          <cell r="K7069" t="str">
            <v>Administration</v>
          </cell>
          <cell r="L7069" t="str">
            <v>Professional Service</v>
          </cell>
          <cell r="N7069" t="str">
            <v>SG&amp;A</v>
          </cell>
          <cell r="O7069" t="str">
            <v>[No Vendor]</v>
          </cell>
        </row>
        <row r="7070">
          <cell r="D7070">
            <v>12.46</v>
          </cell>
          <cell r="H7070">
            <v>45717</v>
          </cell>
          <cell r="I7070" t="str">
            <v>6450 - Bank &amp; Other Fees</v>
          </cell>
          <cell r="J7070">
            <v>0</v>
          </cell>
          <cell r="K7070" t="str">
            <v>Administration</v>
          </cell>
          <cell r="L7070" t="str">
            <v>Professional Service</v>
          </cell>
          <cell r="N7070" t="str">
            <v>SG&amp;A</v>
          </cell>
          <cell r="O7070" t="str">
            <v>[No Vendor]</v>
          </cell>
        </row>
        <row r="7071">
          <cell r="D7071">
            <v>6.19</v>
          </cell>
          <cell r="H7071">
            <v>45717</v>
          </cell>
          <cell r="I7071" t="str">
            <v>6450 - Bank &amp; Other Fees</v>
          </cell>
          <cell r="J7071">
            <v>0</v>
          </cell>
          <cell r="K7071" t="str">
            <v>Administration</v>
          </cell>
          <cell r="L7071" t="str">
            <v>Professional Service</v>
          </cell>
          <cell r="N7071" t="str">
            <v>SG&amp;A</v>
          </cell>
          <cell r="O7071" t="str">
            <v>[No Vendor]</v>
          </cell>
        </row>
        <row r="7072">
          <cell r="D7072">
            <v>10.67</v>
          </cell>
          <cell r="H7072">
            <v>45717</v>
          </cell>
          <cell r="I7072" t="str">
            <v>6450 - Bank &amp; Other Fees</v>
          </cell>
          <cell r="J7072">
            <v>0</v>
          </cell>
          <cell r="K7072" t="str">
            <v>Administration</v>
          </cell>
          <cell r="L7072" t="str">
            <v>Professional Service</v>
          </cell>
          <cell r="N7072" t="str">
            <v>SG&amp;A</v>
          </cell>
          <cell r="O7072" t="str">
            <v>[No Vendor]</v>
          </cell>
        </row>
        <row r="7073">
          <cell r="D7073">
            <v>7.01</v>
          </cell>
          <cell r="H7073">
            <v>45717</v>
          </cell>
          <cell r="I7073" t="str">
            <v>6450 - Bank &amp; Other Fees</v>
          </cell>
          <cell r="J7073">
            <v>0</v>
          </cell>
          <cell r="K7073" t="str">
            <v>Administration</v>
          </cell>
          <cell r="L7073" t="str">
            <v>Professional Service</v>
          </cell>
          <cell r="N7073" t="str">
            <v>SG&amp;A</v>
          </cell>
          <cell r="O7073" t="str">
            <v>[No Vendor]</v>
          </cell>
        </row>
        <row r="7074">
          <cell r="D7074">
            <v>1.07</v>
          </cell>
          <cell r="H7074">
            <v>45717</v>
          </cell>
          <cell r="I7074" t="str">
            <v>6450 - Bank &amp; Other Fees</v>
          </cell>
          <cell r="J7074">
            <v>0</v>
          </cell>
          <cell r="K7074" t="str">
            <v>Administration</v>
          </cell>
          <cell r="L7074" t="str">
            <v>Professional Service</v>
          </cell>
          <cell r="N7074" t="str">
            <v>SG&amp;A</v>
          </cell>
          <cell r="O7074" t="str">
            <v>[No Vendor]</v>
          </cell>
        </row>
        <row r="7075">
          <cell r="D7075">
            <v>577.79999999999995</v>
          </cell>
          <cell r="H7075">
            <v>45717</v>
          </cell>
          <cell r="I7075" t="str">
            <v>6115 - Airfare</v>
          </cell>
          <cell r="J7075">
            <v>0</v>
          </cell>
          <cell r="K7075" t="str">
            <v>Production</v>
          </cell>
          <cell r="L7075" t="str">
            <v>T&amp;E</v>
          </cell>
          <cell r="N7075" t="str">
            <v>SG&amp;A</v>
          </cell>
          <cell r="O7075" t="str">
            <v>[No Vendor]</v>
          </cell>
        </row>
        <row r="7076">
          <cell r="D7076">
            <v>3838.31</v>
          </cell>
          <cell r="H7076">
            <v>45717</v>
          </cell>
          <cell r="I7076" t="str">
            <v>6115 - Airfare</v>
          </cell>
          <cell r="J7076">
            <v>0</v>
          </cell>
          <cell r="K7076" t="str">
            <v>Production</v>
          </cell>
          <cell r="L7076" t="str">
            <v>T&amp;E</v>
          </cell>
          <cell r="N7076" t="str">
            <v>SG&amp;A</v>
          </cell>
          <cell r="O7076" t="str">
            <v>[No Vendor]</v>
          </cell>
        </row>
        <row r="7077">
          <cell r="D7077">
            <v>210</v>
          </cell>
          <cell r="H7077">
            <v>45717</v>
          </cell>
          <cell r="I7077" t="str">
            <v>6115 - Airfare</v>
          </cell>
          <cell r="J7077">
            <v>0</v>
          </cell>
          <cell r="K7077" t="str">
            <v>Production</v>
          </cell>
          <cell r="L7077" t="str">
            <v>T&amp;E</v>
          </cell>
          <cell r="N7077" t="str">
            <v>SG&amp;A</v>
          </cell>
          <cell r="O7077" t="str">
            <v>[No Vendor]</v>
          </cell>
        </row>
        <row r="7078">
          <cell r="D7078">
            <v>-525</v>
          </cell>
          <cell r="H7078">
            <v>45717</v>
          </cell>
          <cell r="I7078" t="str">
            <v>6115 - Airfare</v>
          </cell>
          <cell r="J7078">
            <v>0</v>
          </cell>
          <cell r="K7078" t="str">
            <v>Executive</v>
          </cell>
          <cell r="L7078" t="str">
            <v>T&amp;E</v>
          </cell>
          <cell r="N7078" t="str">
            <v>SG&amp;A</v>
          </cell>
          <cell r="O7078" t="str">
            <v>[No Vendor]</v>
          </cell>
        </row>
        <row r="7079">
          <cell r="D7079">
            <v>1672.5</v>
          </cell>
          <cell r="H7079">
            <v>45717</v>
          </cell>
          <cell r="I7079" t="str">
            <v>6115 - Airfare</v>
          </cell>
          <cell r="J7079">
            <v>0</v>
          </cell>
          <cell r="K7079" t="str">
            <v>Executive</v>
          </cell>
          <cell r="L7079" t="str">
            <v>T&amp;E</v>
          </cell>
          <cell r="N7079" t="str">
            <v>SG&amp;A</v>
          </cell>
          <cell r="O7079" t="str">
            <v>[No Vendor]</v>
          </cell>
        </row>
        <row r="7080">
          <cell r="D7080">
            <v>2812.11</v>
          </cell>
          <cell r="H7080">
            <v>45717</v>
          </cell>
          <cell r="I7080" t="str">
            <v>6115 - Airfare</v>
          </cell>
          <cell r="J7080">
            <v>0</v>
          </cell>
          <cell r="K7080" t="str">
            <v>Executive</v>
          </cell>
          <cell r="L7080" t="str">
            <v>T&amp;E</v>
          </cell>
          <cell r="N7080" t="str">
            <v>SG&amp;A</v>
          </cell>
          <cell r="O7080" t="str">
            <v>[No Vendor]</v>
          </cell>
        </row>
        <row r="7081">
          <cell r="D7081">
            <v>498.1</v>
          </cell>
          <cell r="H7081">
            <v>45717</v>
          </cell>
          <cell r="I7081" t="str">
            <v>6115 - Airfare</v>
          </cell>
          <cell r="J7081">
            <v>0</v>
          </cell>
          <cell r="K7081" t="str">
            <v>Executive</v>
          </cell>
          <cell r="L7081" t="str">
            <v>T&amp;E</v>
          </cell>
          <cell r="N7081" t="str">
            <v>SG&amp;A</v>
          </cell>
          <cell r="O7081" t="str">
            <v>[No Vendor]</v>
          </cell>
        </row>
        <row r="7082">
          <cell r="D7082">
            <v>1277.5</v>
          </cell>
          <cell r="H7082">
            <v>45717</v>
          </cell>
          <cell r="I7082" t="str">
            <v>6115 - Airfare</v>
          </cell>
          <cell r="J7082">
            <v>0</v>
          </cell>
          <cell r="K7082" t="str">
            <v>Design</v>
          </cell>
          <cell r="L7082" t="str">
            <v>T&amp;E</v>
          </cell>
          <cell r="N7082" t="str">
            <v>SG&amp;A</v>
          </cell>
          <cell r="O7082" t="str">
            <v>[No Vendor]</v>
          </cell>
        </row>
        <row r="7083">
          <cell r="D7083">
            <v>6144.91</v>
          </cell>
          <cell r="H7083">
            <v>45717</v>
          </cell>
          <cell r="I7083" t="str">
            <v>6115 - Airfare</v>
          </cell>
          <cell r="J7083">
            <v>0</v>
          </cell>
          <cell r="K7083" t="str">
            <v>Executive</v>
          </cell>
          <cell r="L7083" t="str">
            <v>T&amp;E</v>
          </cell>
          <cell r="N7083" t="str">
            <v>SG&amp;A</v>
          </cell>
          <cell r="O7083" t="str">
            <v>[No Vendor]</v>
          </cell>
        </row>
        <row r="7084">
          <cell r="D7084">
            <v>464.56</v>
          </cell>
          <cell r="H7084">
            <v>45717</v>
          </cell>
          <cell r="I7084" t="str">
            <v>6105 - Meals</v>
          </cell>
          <cell r="J7084">
            <v>0</v>
          </cell>
          <cell r="K7084" t="str">
            <v>Administration</v>
          </cell>
          <cell r="L7084" t="str">
            <v>T&amp;E</v>
          </cell>
          <cell r="N7084" t="str">
            <v>SG&amp;A</v>
          </cell>
          <cell r="O7084" t="str">
            <v>[No Vendor]</v>
          </cell>
        </row>
        <row r="7085">
          <cell r="D7085">
            <v>122.42</v>
          </cell>
          <cell r="H7085">
            <v>45717</v>
          </cell>
          <cell r="I7085" t="str">
            <v>6375 - Freight Expenses</v>
          </cell>
          <cell r="J7085">
            <v>0</v>
          </cell>
          <cell r="K7085" t="str">
            <v>Production</v>
          </cell>
          <cell r="L7085" t="str">
            <v>Freight</v>
          </cell>
          <cell r="N7085" t="str">
            <v>Direct Costs</v>
          </cell>
          <cell r="O7085" t="str">
            <v>DHL Express - USA</v>
          </cell>
        </row>
        <row r="7086">
          <cell r="D7086">
            <v>655.42</v>
          </cell>
          <cell r="H7086">
            <v>45717</v>
          </cell>
          <cell r="I7086" t="str">
            <v>6375 - Freight Expenses</v>
          </cell>
          <cell r="J7086">
            <v>0</v>
          </cell>
          <cell r="K7086" t="str">
            <v>Production</v>
          </cell>
          <cell r="L7086" t="str">
            <v>Freight</v>
          </cell>
          <cell r="N7086" t="str">
            <v>Direct Costs</v>
          </cell>
          <cell r="O7086" t="str">
            <v>DHL Express - USA</v>
          </cell>
        </row>
        <row r="7087">
          <cell r="D7087">
            <v>19.420000000000002</v>
          </cell>
          <cell r="H7087">
            <v>45717</v>
          </cell>
          <cell r="I7087" t="str">
            <v>6375 - Freight Expenses</v>
          </cell>
          <cell r="J7087">
            <v>0</v>
          </cell>
          <cell r="K7087" t="str">
            <v>Production</v>
          </cell>
          <cell r="L7087" t="str">
            <v>Freight</v>
          </cell>
          <cell r="N7087" t="str">
            <v>Direct Costs</v>
          </cell>
          <cell r="O7087" t="str">
            <v>DHL Express - USA</v>
          </cell>
        </row>
        <row r="7088">
          <cell r="D7088">
            <v>270.06</v>
          </cell>
          <cell r="H7088">
            <v>45717</v>
          </cell>
          <cell r="I7088" t="str">
            <v>6375 - Freight Expenses</v>
          </cell>
          <cell r="J7088" t="str">
            <v>Ecommerce (US)</v>
          </cell>
          <cell r="K7088" t="str">
            <v>Ecommerce</v>
          </cell>
          <cell r="L7088" t="str">
            <v>Freight</v>
          </cell>
          <cell r="N7088" t="str">
            <v>Direct Costs</v>
          </cell>
          <cell r="O7088" t="str">
            <v>UPS Supply Chain Solutions Inc. (7F24A0)</v>
          </cell>
        </row>
        <row r="7089">
          <cell r="D7089">
            <v>3780.36</v>
          </cell>
          <cell r="H7089">
            <v>45717</v>
          </cell>
          <cell r="I7089" t="str">
            <v>6040 - Employer Paid Benefits</v>
          </cell>
          <cell r="J7089" t="str">
            <v>Wholesale</v>
          </cell>
          <cell r="K7089" t="str">
            <v>Wholesale</v>
          </cell>
          <cell r="L7089" t="str">
            <v>HQ Salaries</v>
          </cell>
          <cell r="N7089" t="str">
            <v>SG&amp;A</v>
          </cell>
          <cell r="O7089" t="str">
            <v>Anthem Blue Cross and Blue Shield</v>
          </cell>
        </row>
        <row r="7090">
          <cell r="D7090">
            <v>6111.58</v>
          </cell>
          <cell r="H7090">
            <v>45717</v>
          </cell>
          <cell r="I7090" t="str">
            <v>6040 - Employer Paid Benefits</v>
          </cell>
          <cell r="J7090">
            <v>0</v>
          </cell>
          <cell r="K7090" t="str">
            <v>Production</v>
          </cell>
          <cell r="L7090" t="str">
            <v>HQ Salaries</v>
          </cell>
          <cell r="N7090" t="str">
            <v>SG&amp;A</v>
          </cell>
          <cell r="O7090" t="str">
            <v>Anthem Blue Cross and Blue Shield</v>
          </cell>
        </row>
        <row r="7091">
          <cell r="D7091">
            <v>1260.1199999999999</v>
          </cell>
          <cell r="H7091">
            <v>45717</v>
          </cell>
          <cell r="I7091" t="str">
            <v>6040 - Employer Paid Benefits</v>
          </cell>
          <cell r="J7091">
            <v>0</v>
          </cell>
          <cell r="K7091" t="str">
            <v>Merchandising</v>
          </cell>
          <cell r="L7091" t="str">
            <v>HQ Salaries</v>
          </cell>
          <cell r="N7091" t="str">
            <v>SG&amp;A</v>
          </cell>
          <cell r="O7091" t="str">
            <v>Anthem Blue Cross and Blue Shield</v>
          </cell>
        </row>
        <row r="7092">
          <cell r="D7092">
            <v>1260.1199999999999</v>
          </cell>
          <cell r="H7092">
            <v>45717</v>
          </cell>
          <cell r="I7092" t="str">
            <v>6040 - Employer Paid Benefits</v>
          </cell>
          <cell r="J7092">
            <v>0</v>
          </cell>
          <cell r="K7092" t="str">
            <v>Brand Marketing</v>
          </cell>
          <cell r="L7092" t="str">
            <v>HQ Salaries</v>
          </cell>
          <cell r="N7092" t="str">
            <v>SG&amp;A</v>
          </cell>
          <cell r="O7092" t="str">
            <v>Anthem Blue Cross and Blue Shield</v>
          </cell>
        </row>
        <row r="7093">
          <cell r="D7093">
            <v>4851.46</v>
          </cell>
          <cell r="H7093">
            <v>45717</v>
          </cell>
          <cell r="I7093" t="str">
            <v>6040 - Employer Paid Benefits</v>
          </cell>
          <cell r="J7093" t="str">
            <v>Ecommerce (US)</v>
          </cell>
          <cell r="K7093" t="str">
            <v>Ecommerce</v>
          </cell>
          <cell r="L7093" t="str">
            <v>HQ Salaries</v>
          </cell>
          <cell r="N7093" t="str">
            <v>SG&amp;A</v>
          </cell>
          <cell r="O7093" t="str">
            <v>Anthem Blue Cross and Blue Shield</v>
          </cell>
        </row>
        <row r="7094">
          <cell r="D7094">
            <v>5040.4799999999996</v>
          </cell>
          <cell r="H7094">
            <v>45717</v>
          </cell>
          <cell r="I7094" t="str">
            <v>6040 - Employer Paid Benefits</v>
          </cell>
          <cell r="J7094">
            <v>0</v>
          </cell>
          <cell r="K7094" t="str">
            <v>Design</v>
          </cell>
          <cell r="L7094" t="str">
            <v>HQ Salaries</v>
          </cell>
          <cell r="N7094" t="str">
            <v>SG&amp;A</v>
          </cell>
          <cell r="O7094" t="str">
            <v>Anthem Blue Cross and Blue Shield</v>
          </cell>
        </row>
        <row r="7095">
          <cell r="D7095">
            <v>15436.46</v>
          </cell>
          <cell r="H7095">
            <v>45717</v>
          </cell>
          <cell r="I7095" t="str">
            <v>6040 - Employer Paid Benefits</v>
          </cell>
          <cell r="J7095">
            <v>0</v>
          </cell>
          <cell r="K7095" t="str">
            <v>Administration</v>
          </cell>
          <cell r="L7095" t="str">
            <v>HQ Salaries</v>
          </cell>
          <cell r="N7095" t="str">
            <v>SG&amp;A</v>
          </cell>
          <cell r="O7095" t="str">
            <v>Anthem Blue Cross and Blue Shield</v>
          </cell>
        </row>
        <row r="7096">
          <cell r="D7096">
            <v>1410.19</v>
          </cell>
          <cell r="H7096">
            <v>45717</v>
          </cell>
          <cell r="I7096" t="str">
            <v>6040 - Employer Paid Benefits</v>
          </cell>
          <cell r="J7096" t="str">
            <v>Wholesale</v>
          </cell>
          <cell r="K7096" t="str">
            <v>Wholesale</v>
          </cell>
          <cell r="L7096" t="str">
            <v>HQ Salaries</v>
          </cell>
          <cell r="N7096" t="str">
            <v>SG&amp;A</v>
          </cell>
          <cell r="O7096" t="str">
            <v>Procyon Benefits LLC</v>
          </cell>
        </row>
        <row r="7097">
          <cell r="D7097">
            <v>656.44</v>
          </cell>
          <cell r="H7097">
            <v>45717</v>
          </cell>
          <cell r="I7097" t="str">
            <v>6040 - Employer Paid Benefits</v>
          </cell>
          <cell r="J7097">
            <v>0</v>
          </cell>
          <cell r="K7097" t="str">
            <v>Production</v>
          </cell>
          <cell r="L7097" t="str">
            <v>HQ Salaries</v>
          </cell>
          <cell r="N7097" t="str">
            <v>SG&amp;A</v>
          </cell>
          <cell r="O7097" t="str">
            <v>Procyon Benefits LLC</v>
          </cell>
        </row>
        <row r="7098">
          <cell r="D7098">
            <v>142.9</v>
          </cell>
          <cell r="H7098">
            <v>45717</v>
          </cell>
          <cell r="I7098" t="str">
            <v>6040 - Employer Paid Benefits</v>
          </cell>
          <cell r="J7098">
            <v>0</v>
          </cell>
          <cell r="K7098" t="str">
            <v>Merchandising</v>
          </cell>
          <cell r="L7098" t="str">
            <v>HQ Salaries</v>
          </cell>
          <cell r="N7098" t="str">
            <v>SG&amp;A</v>
          </cell>
          <cell r="O7098" t="str">
            <v>Procyon Benefits LLC</v>
          </cell>
        </row>
        <row r="7099">
          <cell r="D7099">
            <v>258.61</v>
          </cell>
          <cell r="H7099">
            <v>45717</v>
          </cell>
          <cell r="I7099" t="str">
            <v>6040 - Employer Paid Benefits</v>
          </cell>
          <cell r="J7099">
            <v>0</v>
          </cell>
          <cell r="K7099" t="str">
            <v>Brand Marketing</v>
          </cell>
          <cell r="L7099" t="str">
            <v>HQ Salaries</v>
          </cell>
          <cell r="N7099" t="str">
            <v>SG&amp;A</v>
          </cell>
          <cell r="O7099" t="str">
            <v>Procyon Benefits LLC</v>
          </cell>
        </row>
        <row r="7100">
          <cell r="D7100">
            <v>147.88999999999999</v>
          </cell>
          <cell r="H7100">
            <v>45717</v>
          </cell>
          <cell r="I7100" t="str">
            <v>6040 - Employer Paid Benefits</v>
          </cell>
          <cell r="J7100" t="str">
            <v>Ecommerce (US)</v>
          </cell>
          <cell r="K7100" t="str">
            <v>Ecommerce</v>
          </cell>
          <cell r="L7100" t="str">
            <v>HQ Salaries</v>
          </cell>
          <cell r="N7100" t="str">
            <v>SG&amp;A</v>
          </cell>
          <cell r="O7100" t="str">
            <v>Procyon Benefits LLC</v>
          </cell>
        </row>
        <row r="7101">
          <cell r="D7101">
            <v>241.25</v>
          </cell>
          <cell r="H7101">
            <v>45717</v>
          </cell>
          <cell r="I7101" t="str">
            <v>6040 - Employer Paid Benefits</v>
          </cell>
          <cell r="J7101">
            <v>0</v>
          </cell>
          <cell r="K7101" t="str">
            <v>Executive</v>
          </cell>
          <cell r="L7101" t="str">
            <v>HQ Salaries</v>
          </cell>
          <cell r="N7101" t="str">
            <v>SG&amp;A</v>
          </cell>
          <cell r="O7101" t="str">
            <v>Procyon Benefits LLC</v>
          </cell>
        </row>
        <row r="7102">
          <cell r="D7102">
            <v>108.92</v>
          </cell>
          <cell r="H7102">
            <v>45717</v>
          </cell>
          <cell r="I7102" t="str">
            <v>6375 - Freight Expenses</v>
          </cell>
          <cell r="J7102" t="str">
            <v>Ecommerce (US)</v>
          </cell>
          <cell r="K7102" t="str">
            <v>Ecommerce</v>
          </cell>
          <cell r="L7102" t="str">
            <v>Freight</v>
          </cell>
          <cell r="N7102" t="str">
            <v>Direct Costs</v>
          </cell>
          <cell r="O7102" t="str">
            <v>UPS Supply Chain Solutions Inc. (7F24A0)</v>
          </cell>
        </row>
        <row r="7103">
          <cell r="D7103">
            <v>146</v>
          </cell>
          <cell r="H7103">
            <v>45717</v>
          </cell>
          <cell r="I7103" t="str">
            <v>6393 - Software</v>
          </cell>
          <cell r="J7103" t="str">
            <v>Wholesale</v>
          </cell>
          <cell r="K7103" t="str">
            <v>Wholesale</v>
          </cell>
          <cell r="L7103" t="str">
            <v>Professional Service</v>
          </cell>
          <cell r="N7103" t="str">
            <v>Direct Costs</v>
          </cell>
          <cell r="O7103" t="str">
            <v>SPS Commerce</v>
          </cell>
        </row>
        <row r="7104">
          <cell r="D7104">
            <v>240</v>
          </cell>
          <cell r="H7104">
            <v>45717</v>
          </cell>
          <cell r="I7104" t="str">
            <v>6288 - Model</v>
          </cell>
          <cell r="J7104" t="str">
            <v>Ecommerce (US)</v>
          </cell>
          <cell r="K7104" t="str">
            <v>Brand Marketing</v>
          </cell>
          <cell r="L7104" t="str">
            <v>Advertising</v>
          </cell>
          <cell r="N7104" t="str">
            <v>SG&amp;A</v>
          </cell>
          <cell r="O7104" t="str">
            <v>State Artist Management</v>
          </cell>
        </row>
        <row r="7105">
          <cell r="D7105">
            <v>221.13</v>
          </cell>
          <cell r="H7105">
            <v>45717</v>
          </cell>
          <cell r="I7105" t="str">
            <v>6375 - Freight Expenses</v>
          </cell>
          <cell r="J7105" t="str">
            <v>Ecommerce (US)</v>
          </cell>
          <cell r="K7105" t="str">
            <v>Ecommerce</v>
          </cell>
          <cell r="L7105" t="str">
            <v>Freight</v>
          </cell>
          <cell r="N7105" t="str">
            <v>Direct Costs</v>
          </cell>
          <cell r="O7105" t="str">
            <v>UPS Supply Chain Solutions Inc. (7F24A0)</v>
          </cell>
        </row>
        <row r="7106">
          <cell r="D7106">
            <v>637.01</v>
          </cell>
          <cell r="H7106">
            <v>45717</v>
          </cell>
          <cell r="I7106" t="str">
            <v>6300 - Payroll Service Fees</v>
          </cell>
          <cell r="J7106">
            <v>0</v>
          </cell>
          <cell r="K7106" t="str">
            <v>Administration</v>
          </cell>
          <cell r="L7106" t="str">
            <v>Professional Service</v>
          </cell>
          <cell r="N7106" t="str">
            <v>SG&amp;A</v>
          </cell>
          <cell r="O7106" t="str">
            <v>ADP Payroll Services</v>
          </cell>
        </row>
        <row r="7107">
          <cell r="D7107">
            <v>11923.08</v>
          </cell>
          <cell r="H7107">
            <v>45717</v>
          </cell>
          <cell r="I7107" t="str">
            <v>6005 - Salaries</v>
          </cell>
          <cell r="J7107" t="str">
            <v>Wholesale</v>
          </cell>
          <cell r="K7107" t="str">
            <v>Wholesale</v>
          </cell>
          <cell r="L7107" t="str">
            <v>HQ Salaries</v>
          </cell>
          <cell r="N7107" t="str">
            <v>SG&amp;A</v>
          </cell>
          <cell r="O7107" t="str">
            <v>[No Vendor]</v>
          </cell>
        </row>
        <row r="7108">
          <cell r="D7108">
            <v>0</v>
          </cell>
          <cell r="H7108">
            <v>45717</v>
          </cell>
          <cell r="I7108" t="str">
            <v>6035 - Severance Expense</v>
          </cell>
          <cell r="J7108" t="str">
            <v>Wholesale</v>
          </cell>
          <cell r="K7108" t="str">
            <v>Wholesale</v>
          </cell>
          <cell r="L7108" t="str">
            <v>HQ Salaries</v>
          </cell>
          <cell r="N7108" t="str">
            <v>SG&amp;A</v>
          </cell>
          <cell r="O7108" t="str">
            <v>[No Vendor]</v>
          </cell>
        </row>
        <row r="7109">
          <cell r="D7109">
            <v>18333.330000000002</v>
          </cell>
          <cell r="H7109">
            <v>45717</v>
          </cell>
          <cell r="I7109" t="str">
            <v>6205 - Contractors</v>
          </cell>
          <cell r="J7109">
            <v>0</v>
          </cell>
          <cell r="K7109" t="str">
            <v>Brand Marketing</v>
          </cell>
          <cell r="L7109" t="str">
            <v>HQ Salaries</v>
          </cell>
          <cell r="N7109" t="str">
            <v>SG&amp;A</v>
          </cell>
          <cell r="O7109" t="str">
            <v>[No Vendor]</v>
          </cell>
        </row>
        <row r="7110">
          <cell r="D7110">
            <v>20125.3</v>
          </cell>
          <cell r="H7110">
            <v>45717</v>
          </cell>
          <cell r="I7110" t="str">
            <v>6205 - Contractors</v>
          </cell>
          <cell r="J7110" t="str">
            <v>Ecommerce (US)</v>
          </cell>
          <cell r="K7110" t="str">
            <v>Ecommerce</v>
          </cell>
          <cell r="L7110" t="str">
            <v>HQ Salaries</v>
          </cell>
          <cell r="N7110" t="str">
            <v>SG&amp;A</v>
          </cell>
          <cell r="O7110" t="str">
            <v>[No Vendor]</v>
          </cell>
        </row>
        <row r="7111">
          <cell r="D7111">
            <v>0</v>
          </cell>
          <cell r="H7111">
            <v>45717</v>
          </cell>
          <cell r="I7111" t="str">
            <v>6205 - Contractors</v>
          </cell>
          <cell r="J7111">
            <v>0</v>
          </cell>
          <cell r="K7111" t="str">
            <v>Design</v>
          </cell>
          <cell r="L7111" t="str">
            <v>HQ Salaries</v>
          </cell>
          <cell r="N7111" t="str">
            <v>SG&amp;A</v>
          </cell>
          <cell r="O7111" t="str">
            <v>[No Vendor]</v>
          </cell>
        </row>
        <row r="7112">
          <cell r="D7112">
            <v>-13.88</v>
          </cell>
          <cell r="H7112">
            <v>45717</v>
          </cell>
          <cell r="I7112" t="str">
            <v>6385 - Insurance</v>
          </cell>
          <cell r="J7112">
            <v>0</v>
          </cell>
          <cell r="K7112" t="str">
            <v>Administration</v>
          </cell>
          <cell r="L7112" t="str">
            <v>Professional Service</v>
          </cell>
          <cell r="N7112" t="str">
            <v>SG&amp;A</v>
          </cell>
          <cell r="O7112" t="str">
            <v>[No Vendor]</v>
          </cell>
        </row>
        <row r="7113">
          <cell r="D7113">
            <v>-44.48</v>
          </cell>
          <cell r="H7113">
            <v>45717</v>
          </cell>
          <cell r="I7113" t="str">
            <v>6385 - Insurance</v>
          </cell>
          <cell r="J7113">
            <v>0</v>
          </cell>
          <cell r="K7113" t="str">
            <v>Administration</v>
          </cell>
          <cell r="L7113" t="str">
            <v>Professional Service</v>
          </cell>
          <cell r="N7113" t="str">
            <v>SG&amp;A</v>
          </cell>
          <cell r="O7113" t="str">
            <v>[No Vendor]</v>
          </cell>
        </row>
        <row r="7114">
          <cell r="D7114">
            <v>-43.2</v>
          </cell>
          <cell r="H7114">
            <v>45717</v>
          </cell>
          <cell r="I7114" t="str">
            <v>6385 - Insurance</v>
          </cell>
          <cell r="J7114">
            <v>0</v>
          </cell>
          <cell r="K7114" t="str">
            <v>Administration</v>
          </cell>
          <cell r="L7114" t="str">
            <v>Professional Service</v>
          </cell>
          <cell r="N7114" t="str">
            <v>SG&amp;A</v>
          </cell>
          <cell r="O7114" t="str">
            <v>[No Vendor]</v>
          </cell>
        </row>
        <row r="7115">
          <cell r="D7115">
            <v>-88.99</v>
          </cell>
          <cell r="H7115">
            <v>45717</v>
          </cell>
          <cell r="I7115" t="str">
            <v>6385 - Insurance</v>
          </cell>
          <cell r="J7115">
            <v>0</v>
          </cell>
          <cell r="K7115" t="str">
            <v>Administration</v>
          </cell>
          <cell r="L7115" t="str">
            <v>Professional Service</v>
          </cell>
          <cell r="N7115" t="str">
            <v>SG&amp;A</v>
          </cell>
          <cell r="O7115" t="str">
            <v>[No Vendor]</v>
          </cell>
        </row>
        <row r="7116">
          <cell r="D7116">
            <v>-41.72</v>
          </cell>
          <cell r="H7116">
            <v>45717</v>
          </cell>
          <cell r="I7116" t="str">
            <v>6385 - Insurance</v>
          </cell>
          <cell r="J7116">
            <v>0</v>
          </cell>
          <cell r="K7116" t="str">
            <v>Administration</v>
          </cell>
          <cell r="L7116" t="str">
            <v>Professional Service</v>
          </cell>
          <cell r="N7116" t="str">
            <v>SG&amp;A</v>
          </cell>
          <cell r="O7116" t="str">
            <v>[No Vendor]</v>
          </cell>
        </row>
        <row r="7117">
          <cell r="D7117">
            <v>-37.299999999999997</v>
          </cell>
          <cell r="H7117">
            <v>45717</v>
          </cell>
          <cell r="I7117" t="str">
            <v>6385 - Insurance</v>
          </cell>
          <cell r="J7117">
            <v>0</v>
          </cell>
          <cell r="K7117" t="str">
            <v>Administration</v>
          </cell>
          <cell r="L7117" t="str">
            <v>Professional Service</v>
          </cell>
          <cell r="N7117" t="str">
            <v>SG&amp;A</v>
          </cell>
          <cell r="O7117" t="str">
            <v>[No Vendor]</v>
          </cell>
        </row>
        <row r="7118">
          <cell r="D7118">
            <v>-48.66</v>
          </cell>
          <cell r="H7118">
            <v>45717</v>
          </cell>
          <cell r="I7118" t="str">
            <v>6385 - Insurance</v>
          </cell>
          <cell r="J7118">
            <v>0</v>
          </cell>
          <cell r="K7118" t="str">
            <v>Administration</v>
          </cell>
          <cell r="L7118" t="str">
            <v>Professional Service</v>
          </cell>
          <cell r="N7118" t="str">
            <v>SG&amp;A</v>
          </cell>
          <cell r="O7118" t="str">
            <v>[No Vendor]</v>
          </cell>
        </row>
        <row r="7119">
          <cell r="D7119">
            <v>-54.44</v>
          </cell>
          <cell r="H7119">
            <v>45717</v>
          </cell>
          <cell r="I7119" t="str">
            <v>6385 - Insurance</v>
          </cell>
          <cell r="J7119">
            <v>0</v>
          </cell>
          <cell r="K7119" t="str">
            <v>Administration</v>
          </cell>
          <cell r="L7119" t="str">
            <v>Professional Service</v>
          </cell>
          <cell r="N7119" t="str">
            <v>SG&amp;A</v>
          </cell>
          <cell r="O7119" t="str">
            <v>[No Vendor]</v>
          </cell>
        </row>
        <row r="7120">
          <cell r="D7120">
            <v>364.92</v>
          </cell>
          <cell r="H7120">
            <v>45717</v>
          </cell>
          <cell r="I7120" t="str">
            <v>6055 - Employer Social Security Tax Withheld</v>
          </cell>
          <cell r="J7120">
            <v>0</v>
          </cell>
          <cell r="K7120" t="str">
            <v>Brand Marketing</v>
          </cell>
          <cell r="L7120" t="str">
            <v>HQ Salaries</v>
          </cell>
          <cell r="N7120" t="str">
            <v>SG&amp;A</v>
          </cell>
          <cell r="O7120" t="str">
            <v>[No Vendor]</v>
          </cell>
        </row>
        <row r="7121">
          <cell r="D7121">
            <v>1174.3499999999999</v>
          </cell>
          <cell r="H7121">
            <v>45717</v>
          </cell>
          <cell r="I7121" t="str">
            <v>6055 - Employer Social Security Tax Withheld</v>
          </cell>
          <cell r="J7121">
            <v>0</v>
          </cell>
          <cell r="K7121" t="str">
            <v>Executive</v>
          </cell>
          <cell r="L7121" t="str">
            <v>HQ Salaries</v>
          </cell>
          <cell r="N7121" t="str">
            <v>SG&amp;A</v>
          </cell>
          <cell r="O7121" t="str">
            <v>[No Vendor]</v>
          </cell>
        </row>
        <row r="7122">
          <cell r="D7122">
            <v>2484.96</v>
          </cell>
          <cell r="H7122">
            <v>45717</v>
          </cell>
          <cell r="I7122" t="str">
            <v>6055 - Employer Social Security Tax Withheld</v>
          </cell>
          <cell r="J7122" t="str">
            <v>Ecommerce (US)</v>
          </cell>
          <cell r="K7122" t="str">
            <v>Ecommerce</v>
          </cell>
          <cell r="L7122" t="str">
            <v>HQ Salaries</v>
          </cell>
          <cell r="N7122" t="str">
            <v>SG&amp;A</v>
          </cell>
          <cell r="O7122" t="str">
            <v>[No Vendor]</v>
          </cell>
        </row>
        <row r="7123">
          <cell r="D7123">
            <v>2318.6999999999998</v>
          </cell>
          <cell r="H7123">
            <v>45717</v>
          </cell>
          <cell r="I7123" t="str">
            <v>6055 - Employer Social Security Tax Withheld</v>
          </cell>
          <cell r="J7123">
            <v>0</v>
          </cell>
          <cell r="K7123" t="str">
            <v>Design</v>
          </cell>
          <cell r="L7123" t="str">
            <v>HQ Salaries</v>
          </cell>
          <cell r="N7123" t="str">
            <v>SG&amp;A</v>
          </cell>
          <cell r="O7123" t="str">
            <v>[No Vendor]</v>
          </cell>
        </row>
        <row r="7124">
          <cell r="D7124">
            <v>2606.11</v>
          </cell>
          <cell r="H7124">
            <v>45717</v>
          </cell>
          <cell r="I7124" t="str">
            <v>6055 - Employer Social Security Tax Withheld</v>
          </cell>
          <cell r="J7124">
            <v>0</v>
          </cell>
          <cell r="K7124" t="str">
            <v>Administration</v>
          </cell>
          <cell r="L7124" t="str">
            <v>HQ Salaries</v>
          </cell>
          <cell r="N7124" t="str">
            <v>SG&amp;A</v>
          </cell>
          <cell r="O7124" t="str">
            <v>[No Vendor]</v>
          </cell>
        </row>
        <row r="7125">
          <cell r="D7125">
            <v>1163.08</v>
          </cell>
          <cell r="H7125">
            <v>45717</v>
          </cell>
          <cell r="I7125" t="str">
            <v>6055 - Employer Social Security Tax Withheld</v>
          </cell>
          <cell r="J7125">
            <v>0</v>
          </cell>
          <cell r="K7125" t="str">
            <v>Merchandising</v>
          </cell>
          <cell r="L7125" t="str">
            <v>HQ Salaries</v>
          </cell>
          <cell r="N7125" t="str">
            <v>SG&amp;A</v>
          </cell>
          <cell r="O7125" t="str">
            <v>[No Vendor]</v>
          </cell>
        </row>
        <row r="7126">
          <cell r="D7126">
            <v>1368.47</v>
          </cell>
          <cell r="H7126">
            <v>45717</v>
          </cell>
          <cell r="I7126" t="str">
            <v>6055 - Employer Social Security Tax Withheld</v>
          </cell>
          <cell r="J7126" t="str">
            <v>Wholesale</v>
          </cell>
          <cell r="K7126" t="str">
            <v>Wholesale</v>
          </cell>
          <cell r="L7126" t="str">
            <v>HQ Salaries</v>
          </cell>
          <cell r="N7126" t="str">
            <v>SG&amp;A</v>
          </cell>
          <cell r="O7126" t="str">
            <v>[No Vendor]</v>
          </cell>
        </row>
        <row r="7127">
          <cell r="D7127">
            <v>1374.88</v>
          </cell>
          <cell r="H7127">
            <v>45717</v>
          </cell>
          <cell r="I7127" t="str">
            <v>6055 - Employer Social Security Tax Withheld</v>
          </cell>
          <cell r="J7127">
            <v>0</v>
          </cell>
          <cell r="K7127" t="str">
            <v>Production</v>
          </cell>
          <cell r="L7127" t="str">
            <v>HQ Salaries</v>
          </cell>
          <cell r="N7127" t="str">
            <v>SG&amp;A</v>
          </cell>
          <cell r="O7127" t="str">
            <v>[No Vendor]</v>
          </cell>
        </row>
        <row r="7128">
          <cell r="D7128">
            <v>-34.9</v>
          </cell>
          <cell r="H7128">
            <v>45717</v>
          </cell>
          <cell r="I7128" t="str">
            <v>6040 - Employer Paid Benefits</v>
          </cell>
          <cell r="J7128">
            <v>0</v>
          </cell>
          <cell r="K7128" t="str">
            <v>Brand Marketing</v>
          </cell>
          <cell r="L7128" t="str">
            <v>HQ Salaries</v>
          </cell>
          <cell r="N7128" t="str">
            <v>SG&amp;A</v>
          </cell>
          <cell r="O7128" t="str">
            <v>[No Vendor]</v>
          </cell>
        </row>
        <row r="7129">
          <cell r="D7129">
            <v>-332.52</v>
          </cell>
          <cell r="H7129">
            <v>45717</v>
          </cell>
          <cell r="I7129" t="str">
            <v>6040 - Employer Paid Benefits</v>
          </cell>
          <cell r="J7129">
            <v>0</v>
          </cell>
          <cell r="K7129" t="str">
            <v>Executive</v>
          </cell>
          <cell r="L7129" t="str">
            <v>HQ Salaries</v>
          </cell>
          <cell r="N7129" t="str">
            <v>SG&amp;A</v>
          </cell>
          <cell r="O7129" t="str">
            <v>[No Vendor]</v>
          </cell>
        </row>
        <row r="7130">
          <cell r="D7130">
            <v>-250.5</v>
          </cell>
          <cell r="H7130">
            <v>45717</v>
          </cell>
          <cell r="I7130" t="str">
            <v>6040 - Employer Paid Benefits</v>
          </cell>
          <cell r="J7130" t="str">
            <v>Ecommerce (US)</v>
          </cell>
          <cell r="K7130" t="str">
            <v>Ecommerce</v>
          </cell>
          <cell r="L7130" t="str">
            <v>HQ Salaries</v>
          </cell>
          <cell r="N7130" t="str">
            <v>SG&amp;A</v>
          </cell>
          <cell r="O7130" t="str">
            <v>[No Vendor]</v>
          </cell>
        </row>
        <row r="7131">
          <cell r="D7131">
            <v>-538.55999999999995</v>
          </cell>
          <cell r="H7131">
            <v>45717</v>
          </cell>
          <cell r="I7131" t="str">
            <v>6040 - Employer Paid Benefits</v>
          </cell>
          <cell r="J7131">
            <v>0</v>
          </cell>
          <cell r="K7131" t="str">
            <v>Design</v>
          </cell>
          <cell r="L7131" t="str">
            <v>HQ Salaries</v>
          </cell>
          <cell r="N7131" t="str">
            <v>SG&amp;A</v>
          </cell>
          <cell r="O7131" t="str">
            <v>[No Vendor]</v>
          </cell>
        </row>
        <row r="7132">
          <cell r="D7132">
            <v>-624.54999999999995</v>
          </cell>
          <cell r="H7132">
            <v>45717</v>
          </cell>
          <cell r="I7132" t="str">
            <v>6040 - Employer Paid Benefits</v>
          </cell>
          <cell r="J7132">
            <v>0</v>
          </cell>
          <cell r="K7132" t="str">
            <v>Administration</v>
          </cell>
          <cell r="L7132" t="str">
            <v>HQ Salaries</v>
          </cell>
          <cell r="N7132" t="str">
            <v>SG&amp;A</v>
          </cell>
          <cell r="O7132" t="str">
            <v>[No Vendor]</v>
          </cell>
        </row>
        <row r="7133">
          <cell r="D7133">
            <v>-34.9</v>
          </cell>
          <cell r="H7133">
            <v>45717</v>
          </cell>
          <cell r="I7133" t="str">
            <v>6040 - Employer Paid Benefits</v>
          </cell>
          <cell r="J7133">
            <v>0</v>
          </cell>
          <cell r="K7133" t="str">
            <v>Merchandising</v>
          </cell>
          <cell r="L7133" t="str">
            <v>HQ Salaries</v>
          </cell>
          <cell r="N7133" t="str">
            <v>SG&amp;A</v>
          </cell>
          <cell r="O7133" t="str">
            <v>[No Vendor]</v>
          </cell>
        </row>
        <row r="7134">
          <cell r="D7134">
            <v>-104.69</v>
          </cell>
          <cell r="H7134">
            <v>45717</v>
          </cell>
          <cell r="I7134" t="str">
            <v>6040 - Employer Paid Benefits</v>
          </cell>
          <cell r="J7134" t="str">
            <v>Wholesale</v>
          </cell>
          <cell r="K7134" t="str">
            <v>Wholesale</v>
          </cell>
          <cell r="L7134" t="str">
            <v>HQ Salaries</v>
          </cell>
          <cell r="N7134" t="str">
            <v>SG&amp;A</v>
          </cell>
          <cell r="O7134" t="str">
            <v>[No Vendor]</v>
          </cell>
        </row>
        <row r="7135">
          <cell r="D7135">
            <v>-365.83</v>
          </cell>
          <cell r="H7135">
            <v>45717</v>
          </cell>
          <cell r="I7135" t="str">
            <v>6040 - Employer Paid Benefits</v>
          </cell>
          <cell r="J7135">
            <v>0</v>
          </cell>
          <cell r="K7135" t="str">
            <v>Production</v>
          </cell>
          <cell r="L7135" t="str">
            <v>HQ Salaries</v>
          </cell>
          <cell r="N7135" t="str">
            <v>SG&amp;A</v>
          </cell>
          <cell r="O7135" t="str">
            <v>[No Vendor]</v>
          </cell>
        </row>
        <row r="7136">
          <cell r="D7136">
            <v>12797.33</v>
          </cell>
          <cell r="H7136">
            <v>45717</v>
          </cell>
          <cell r="I7136" t="str">
            <v>6005 - Salaries</v>
          </cell>
          <cell r="J7136">
            <v>0</v>
          </cell>
          <cell r="K7136" t="str">
            <v>Production</v>
          </cell>
          <cell r="L7136" t="str">
            <v>HQ Salaries</v>
          </cell>
          <cell r="N7136" t="str">
            <v>SG&amp;A</v>
          </cell>
          <cell r="O7136" t="str">
            <v>[No Vendor]</v>
          </cell>
        </row>
        <row r="7137">
          <cell r="D7137">
            <v>3269.24</v>
          </cell>
          <cell r="H7137">
            <v>45717</v>
          </cell>
          <cell r="I7137" t="str">
            <v>6005 - Salaries</v>
          </cell>
          <cell r="J7137">
            <v>0</v>
          </cell>
          <cell r="K7137" t="str">
            <v>Brand Marketing</v>
          </cell>
          <cell r="L7137" t="str">
            <v>HQ Salaries</v>
          </cell>
          <cell r="N7137" t="str">
            <v>SG&amp;A</v>
          </cell>
          <cell r="O7137" t="str">
            <v>[No Vendor]</v>
          </cell>
        </row>
        <row r="7138">
          <cell r="D7138">
            <v>11153.85</v>
          </cell>
          <cell r="H7138">
            <v>45717</v>
          </cell>
          <cell r="I7138" t="str">
            <v>6005 - Salaries</v>
          </cell>
          <cell r="J7138">
            <v>0</v>
          </cell>
          <cell r="K7138" t="str">
            <v>Executive</v>
          </cell>
          <cell r="L7138" t="str">
            <v>HQ Salaries</v>
          </cell>
          <cell r="N7138" t="str">
            <v>SG&amp;A</v>
          </cell>
          <cell r="O7138" t="str">
            <v>[No Vendor]</v>
          </cell>
        </row>
        <row r="7139">
          <cell r="D7139">
            <v>20780.8</v>
          </cell>
          <cell r="H7139">
            <v>45717</v>
          </cell>
          <cell r="I7139" t="str">
            <v>6005 - Salaries</v>
          </cell>
          <cell r="J7139" t="str">
            <v>Ecommerce (US)</v>
          </cell>
          <cell r="K7139" t="str">
            <v>Ecommerce</v>
          </cell>
          <cell r="L7139" t="str">
            <v>HQ Salaries</v>
          </cell>
          <cell r="N7139" t="str">
            <v>SG&amp;A</v>
          </cell>
          <cell r="O7139" t="str">
            <v>[No Vendor]</v>
          </cell>
        </row>
        <row r="7140">
          <cell r="D7140">
            <v>21388.47</v>
          </cell>
          <cell r="H7140">
            <v>45717</v>
          </cell>
          <cell r="I7140" t="str">
            <v>6005 - Salaries</v>
          </cell>
          <cell r="J7140">
            <v>0</v>
          </cell>
          <cell r="K7140" t="str">
            <v>Design</v>
          </cell>
          <cell r="L7140" t="str">
            <v>HQ Salaries</v>
          </cell>
          <cell r="N7140" t="str">
            <v>SG&amp;A</v>
          </cell>
          <cell r="O7140" t="str">
            <v>[No Vendor]</v>
          </cell>
        </row>
        <row r="7141">
          <cell r="D7141">
            <v>27015.41</v>
          </cell>
          <cell r="H7141">
            <v>45717</v>
          </cell>
          <cell r="I7141" t="str">
            <v>6005 - Salaries</v>
          </cell>
          <cell r="J7141">
            <v>0</v>
          </cell>
          <cell r="K7141" t="str">
            <v>Administration</v>
          </cell>
          <cell r="L7141" t="str">
            <v>HQ Salaries</v>
          </cell>
          <cell r="N7141" t="str">
            <v>SG&amp;A</v>
          </cell>
          <cell r="O7141" t="str">
            <v>[No Vendor]</v>
          </cell>
        </row>
        <row r="7142">
          <cell r="D7142">
            <v>8996.15</v>
          </cell>
          <cell r="H7142">
            <v>45717</v>
          </cell>
          <cell r="I7142" t="str">
            <v>6005 - Salaries</v>
          </cell>
          <cell r="J7142">
            <v>0</v>
          </cell>
          <cell r="K7142" t="str">
            <v>Merchandising</v>
          </cell>
          <cell r="L7142" t="str">
            <v>HQ Salaries</v>
          </cell>
          <cell r="N7142" t="str">
            <v>SG&amp;A</v>
          </cell>
          <cell r="O7142" t="str">
            <v>[No Vendor]</v>
          </cell>
        </row>
        <row r="7143">
          <cell r="D7143">
            <v>20482.48</v>
          </cell>
          <cell r="H7143">
            <v>45717</v>
          </cell>
          <cell r="I7143" t="str">
            <v>6375 - Freight Expenses</v>
          </cell>
          <cell r="J7143" t="str">
            <v>Ecommerce (US)</v>
          </cell>
          <cell r="K7143" t="str">
            <v>Ecommerce</v>
          </cell>
          <cell r="L7143" t="str">
            <v>Freight</v>
          </cell>
          <cell r="N7143" t="str">
            <v>Direct Costs</v>
          </cell>
          <cell r="O7143" t="str">
            <v>UPS Supply Chain Solutions Inc. (7F24A0)</v>
          </cell>
        </row>
        <row r="7144">
          <cell r="D7144">
            <v>1223.23</v>
          </cell>
          <cell r="H7144">
            <v>45717</v>
          </cell>
          <cell r="I7144" t="str">
            <v>6375 - Freight Expenses</v>
          </cell>
          <cell r="J7144" t="str">
            <v>Wholesale</v>
          </cell>
          <cell r="K7144" t="str">
            <v>Wholesale</v>
          </cell>
          <cell r="L7144" t="str">
            <v>Freight</v>
          </cell>
          <cell r="N7144" t="str">
            <v>Direct Costs</v>
          </cell>
          <cell r="O7144" t="str">
            <v>UPS Supply Chain Solutions Inc. (7F24A0)</v>
          </cell>
        </row>
        <row r="7145">
          <cell r="D7145">
            <v>28.52</v>
          </cell>
          <cell r="H7145">
            <v>45717</v>
          </cell>
          <cell r="I7145" t="str">
            <v>6105 - Meals</v>
          </cell>
          <cell r="J7145">
            <v>0</v>
          </cell>
          <cell r="K7145" t="str">
            <v>Brand Marketing</v>
          </cell>
          <cell r="L7145" t="str">
            <v>T&amp;E</v>
          </cell>
          <cell r="N7145" t="str">
            <v>SG&amp;A</v>
          </cell>
          <cell r="O7145" t="str">
            <v>[No Vendor]</v>
          </cell>
        </row>
        <row r="7146">
          <cell r="D7146">
            <v>284000.2</v>
          </cell>
          <cell r="H7146">
            <v>45717</v>
          </cell>
          <cell r="I7146" t="str">
            <v>8700 - Other Expense</v>
          </cell>
          <cell r="J7146">
            <v>0</v>
          </cell>
          <cell r="K7146" t="str">
            <v>Administration</v>
          </cell>
          <cell r="L7146" t="str">
            <v>Other Expense</v>
          </cell>
          <cell r="N7146" t="str">
            <v>BTL</v>
          </cell>
          <cell r="O7146" t="str">
            <v>London Court of International Arbitration</v>
          </cell>
        </row>
        <row r="7147">
          <cell r="D7147">
            <v>21.78</v>
          </cell>
          <cell r="H7147">
            <v>45717</v>
          </cell>
          <cell r="I7147" t="str">
            <v>6393 - Software</v>
          </cell>
          <cell r="J7147">
            <v>0</v>
          </cell>
          <cell r="K7147" t="str">
            <v>Brand Marketing</v>
          </cell>
          <cell r="L7147" t="str">
            <v>Professional Service</v>
          </cell>
          <cell r="N7147" t="str">
            <v>Direct Costs</v>
          </cell>
          <cell r="O7147" t="str">
            <v>Chat GPT</v>
          </cell>
        </row>
        <row r="7148">
          <cell r="D7148">
            <v>30</v>
          </cell>
          <cell r="H7148">
            <v>45717</v>
          </cell>
          <cell r="I7148" t="str">
            <v>6393 - Software</v>
          </cell>
          <cell r="J7148">
            <v>0</v>
          </cell>
          <cell r="K7148" t="str">
            <v>Brand Marketing</v>
          </cell>
          <cell r="L7148" t="str">
            <v>Professional Service</v>
          </cell>
          <cell r="N7148" t="str">
            <v>Direct Costs</v>
          </cell>
          <cell r="O7148" t="str">
            <v>Canva</v>
          </cell>
        </row>
        <row r="7149">
          <cell r="D7149">
            <v>269</v>
          </cell>
          <cell r="H7149">
            <v>45717</v>
          </cell>
          <cell r="I7149" t="str">
            <v>6393 - Software</v>
          </cell>
          <cell r="J7149">
            <v>0</v>
          </cell>
          <cell r="K7149" t="str">
            <v>Brand Marketing</v>
          </cell>
          <cell r="L7149" t="str">
            <v>Professional Service</v>
          </cell>
          <cell r="N7149" t="str">
            <v>Direct Costs</v>
          </cell>
          <cell r="O7149" t="str">
            <v>WMD</v>
          </cell>
        </row>
        <row r="7150">
          <cell r="D7150">
            <v>1034.31</v>
          </cell>
          <cell r="H7150">
            <v>45717</v>
          </cell>
          <cell r="I7150" t="str">
            <v>6340 - Miscellaneous Expense</v>
          </cell>
          <cell r="J7150">
            <v>0</v>
          </cell>
          <cell r="K7150" t="str">
            <v>Administration</v>
          </cell>
          <cell r="L7150" t="str">
            <v>Other</v>
          </cell>
          <cell r="N7150" t="str">
            <v>SG&amp;A</v>
          </cell>
          <cell r="O7150" t="str">
            <v>Go Gleem LLC</v>
          </cell>
        </row>
        <row r="7151">
          <cell r="D7151">
            <v>135</v>
          </cell>
          <cell r="H7151">
            <v>45717</v>
          </cell>
          <cell r="I7151" t="str">
            <v>6140 - Other</v>
          </cell>
          <cell r="J7151">
            <v>0</v>
          </cell>
          <cell r="K7151" t="str">
            <v>Brand Marketing</v>
          </cell>
          <cell r="L7151" t="str">
            <v>T&amp;E</v>
          </cell>
          <cell r="N7151" t="str">
            <v>SG&amp;A</v>
          </cell>
          <cell r="O7151" t="str">
            <v>[No Vendor]</v>
          </cell>
        </row>
        <row r="7152">
          <cell r="D7152">
            <v>35</v>
          </cell>
          <cell r="H7152">
            <v>45717</v>
          </cell>
          <cell r="I7152" t="str">
            <v>6140 - Other</v>
          </cell>
          <cell r="J7152">
            <v>0</v>
          </cell>
          <cell r="K7152" t="str">
            <v>Brand Marketing</v>
          </cell>
          <cell r="L7152" t="str">
            <v>T&amp;E</v>
          </cell>
          <cell r="N7152" t="str">
            <v>SG&amp;A</v>
          </cell>
          <cell r="O7152" t="str">
            <v>[No Vendor]</v>
          </cell>
        </row>
        <row r="7153">
          <cell r="D7153">
            <v>90.09</v>
          </cell>
          <cell r="H7153">
            <v>45717</v>
          </cell>
          <cell r="I7153" t="str">
            <v>6125 - Transportation and Fuel</v>
          </cell>
          <cell r="J7153">
            <v>0</v>
          </cell>
          <cell r="K7153" t="str">
            <v>Brand Marketing</v>
          </cell>
          <cell r="L7153" t="str">
            <v>T&amp;E</v>
          </cell>
          <cell r="N7153" t="str">
            <v>SG&amp;A</v>
          </cell>
          <cell r="O7153" t="str">
            <v>[No Vendor]</v>
          </cell>
        </row>
        <row r="7154">
          <cell r="D7154">
            <v>123.91</v>
          </cell>
          <cell r="H7154">
            <v>45717</v>
          </cell>
          <cell r="I7154" t="str">
            <v>6125 - Transportation and Fuel</v>
          </cell>
          <cell r="J7154">
            <v>0</v>
          </cell>
          <cell r="K7154" t="str">
            <v>Brand Marketing</v>
          </cell>
          <cell r="L7154" t="str">
            <v>T&amp;E</v>
          </cell>
          <cell r="N7154" t="str">
            <v>SG&amp;A</v>
          </cell>
          <cell r="O7154" t="str">
            <v>[No Vendor]</v>
          </cell>
        </row>
        <row r="7155">
          <cell r="D7155">
            <v>115</v>
          </cell>
          <cell r="H7155">
            <v>45717</v>
          </cell>
          <cell r="I7155" t="str">
            <v>6125 - Transportation and Fuel</v>
          </cell>
          <cell r="J7155">
            <v>0</v>
          </cell>
          <cell r="K7155" t="str">
            <v>Brand Marketing</v>
          </cell>
          <cell r="L7155" t="str">
            <v>T&amp;E</v>
          </cell>
          <cell r="N7155" t="str">
            <v>SG&amp;A</v>
          </cell>
          <cell r="O7155" t="str">
            <v>[No Vendor]</v>
          </cell>
        </row>
        <row r="7156">
          <cell r="D7156">
            <v>80.760000000000005</v>
          </cell>
          <cell r="H7156">
            <v>45717</v>
          </cell>
          <cell r="I7156" t="str">
            <v>6125 - Transportation and Fuel</v>
          </cell>
          <cell r="J7156">
            <v>0</v>
          </cell>
          <cell r="K7156" t="str">
            <v>Brand Marketing</v>
          </cell>
          <cell r="L7156" t="str">
            <v>T&amp;E</v>
          </cell>
          <cell r="N7156" t="str">
            <v>SG&amp;A</v>
          </cell>
          <cell r="O7156" t="str">
            <v>[No Vendor]</v>
          </cell>
        </row>
        <row r="7157">
          <cell r="D7157">
            <v>117</v>
          </cell>
          <cell r="H7157">
            <v>45717</v>
          </cell>
          <cell r="I7157" t="str">
            <v>6125 - Transportation and Fuel</v>
          </cell>
          <cell r="J7157">
            <v>0</v>
          </cell>
          <cell r="K7157" t="str">
            <v>Brand Marketing</v>
          </cell>
          <cell r="L7157" t="str">
            <v>T&amp;E</v>
          </cell>
          <cell r="N7157" t="str">
            <v>SG&amp;A</v>
          </cell>
          <cell r="O7157" t="str">
            <v>[No Vendor]</v>
          </cell>
        </row>
        <row r="7158">
          <cell r="D7158">
            <v>206.07</v>
          </cell>
          <cell r="H7158">
            <v>45717</v>
          </cell>
          <cell r="I7158" t="str">
            <v>6125 - Transportation and Fuel</v>
          </cell>
          <cell r="J7158">
            <v>0</v>
          </cell>
          <cell r="K7158" t="str">
            <v>Brand Marketing</v>
          </cell>
          <cell r="L7158" t="str">
            <v>T&amp;E</v>
          </cell>
          <cell r="N7158" t="str">
            <v>SG&amp;A</v>
          </cell>
          <cell r="O7158" t="str">
            <v>[No Vendor]</v>
          </cell>
        </row>
        <row r="7159">
          <cell r="D7159">
            <v>36.67</v>
          </cell>
          <cell r="H7159">
            <v>45717</v>
          </cell>
          <cell r="I7159" t="str">
            <v>6105 - Meals</v>
          </cell>
          <cell r="J7159">
            <v>0</v>
          </cell>
          <cell r="K7159" t="str">
            <v>Brand Marketing</v>
          </cell>
          <cell r="L7159" t="str">
            <v>T&amp;E</v>
          </cell>
          <cell r="N7159" t="str">
            <v>SG&amp;A</v>
          </cell>
          <cell r="O7159" t="str">
            <v>[No Vendor]</v>
          </cell>
        </row>
        <row r="7160">
          <cell r="D7160">
            <v>14.62</v>
          </cell>
          <cell r="H7160">
            <v>45717</v>
          </cell>
          <cell r="I7160" t="str">
            <v>6105 - Meals</v>
          </cell>
          <cell r="J7160">
            <v>0</v>
          </cell>
          <cell r="K7160" t="str">
            <v>Brand Marketing</v>
          </cell>
          <cell r="L7160" t="str">
            <v>T&amp;E</v>
          </cell>
          <cell r="N7160" t="str">
            <v>SG&amp;A</v>
          </cell>
          <cell r="O7160" t="str">
            <v>[No Vendor]</v>
          </cell>
        </row>
        <row r="7161">
          <cell r="D7161">
            <v>19.98</v>
          </cell>
          <cell r="H7161">
            <v>45717</v>
          </cell>
          <cell r="I7161" t="str">
            <v>6105 - Meals</v>
          </cell>
          <cell r="J7161">
            <v>0</v>
          </cell>
          <cell r="K7161" t="str">
            <v>Brand Marketing</v>
          </cell>
          <cell r="L7161" t="str">
            <v>T&amp;E</v>
          </cell>
          <cell r="N7161" t="str">
            <v>SG&amp;A</v>
          </cell>
          <cell r="O7161" t="str">
            <v>[No Vendor]</v>
          </cell>
        </row>
        <row r="7162">
          <cell r="D7162">
            <v>25.02</v>
          </cell>
          <cell r="H7162">
            <v>45717</v>
          </cell>
          <cell r="I7162" t="str">
            <v>6105 - Meals</v>
          </cell>
          <cell r="J7162">
            <v>0</v>
          </cell>
          <cell r="K7162" t="str">
            <v>Brand Marketing</v>
          </cell>
          <cell r="L7162" t="str">
            <v>T&amp;E</v>
          </cell>
          <cell r="N7162" t="str">
            <v>SG&amp;A</v>
          </cell>
          <cell r="O7162" t="str">
            <v>[No Vendor]</v>
          </cell>
        </row>
        <row r="7163">
          <cell r="D7163">
            <v>150</v>
          </cell>
          <cell r="H7163">
            <v>45717</v>
          </cell>
          <cell r="I7163" t="str">
            <v>6240 - Product Photography</v>
          </cell>
          <cell r="J7163" t="str">
            <v>Ecommerce (US)</v>
          </cell>
          <cell r="K7163" t="str">
            <v>Brand Marketing</v>
          </cell>
          <cell r="L7163" t="str">
            <v>Advertising</v>
          </cell>
          <cell r="N7163" t="str">
            <v>SG&amp;A</v>
          </cell>
          <cell r="O7163" t="str">
            <v>LENFLASH dot COM</v>
          </cell>
        </row>
        <row r="7164">
          <cell r="D7164">
            <v>284.74</v>
          </cell>
          <cell r="H7164">
            <v>45717</v>
          </cell>
          <cell r="I7164" t="str">
            <v>6040 - Employer Paid Benefits</v>
          </cell>
          <cell r="J7164">
            <v>0</v>
          </cell>
          <cell r="K7164" t="str">
            <v>Administration</v>
          </cell>
          <cell r="L7164" t="str">
            <v>HQ Salaries</v>
          </cell>
          <cell r="N7164" t="str">
            <v>SG&amp;A</v>
          </cell>
          <cell r="O7164" t="str">
            <v>Procyon Benefits LLC</v>
          </cell>
        </row>
        <row r="7165">
          <cell r="D7165">
            <v>911.25</v>
          </cell>
          <cell r="H7165">
            <v>45717</v>
          </cell>
          <cell r="I7165" t="str">
            <v>6300 - Payroll Service Fees</v>
          </cell>
          <cell r="J7165">
            <v>0</v>
          </cell>
          <cell r="K7165" t="str">
            <v>Administration</v>
          </cell>
          <cell r="L7165" t="str">
            <v>Professional Service</v>
          </cell>
          <cell r="N7165" t="str">
            <v>SG&amp;A</v>
          </cell>
          <cell r="O7165" t="str">
            <v>OperationsInc, LLC</v>
          </cell>
        </row>
        <row r="7166">
          <cell r="D7166">
            <v>722.99</v>
          </cell>
          <cell r="H7166">
            <v>45717</v>
          </cell>
          <cell r="I7166" t="str">
            <v>6375 - Freight Expenses</v>
          </cell>
          <cell r="J7166">
            <v>0</v>
          </cell>
          <cell r="K7166" t="str">
            <v>Production</v>
          </cell>
          <cell r="L7166" t="str">
            <v>Freight</v>
          </cell>
          <cell r="N7166" t="str">
            <v>Direct Costs</v>
          </cell>
          <cell r="O7166" t="str">
            <v>DHL Express - USA</v>
          </cell>
        </row>
        <row r="7167">
          <cell r="D7167">
            <v>84.27</v>
          </cell>
          <cell r="H7167">
            <v>45717</v>
          </cell>
          <cell r="I7167" t="str">
            <v>6375 - Freight Expenses</v>
          </cell>
          <cell r="J7167" t="str">
            <v>Ecommerce (US)</v>
          </cell>
          <cell r="K7167" t="str">
            <v>Ecommerce</v>
          </cell>
          <cell r="L7167" t="str">
            <v>Freight</v>
          </cell>
          <cell r="N7167" t="str">
            <v>Direct Costs</v>
          </cell>
          <cell r="O7167" t="str">
            <v>UPS Supply Chain Solutions Inc. (7F24A0)</v>
          </cell>
        </row>
        <row r="7168">
          <cell r="D7168">
            <v>1250.76</v>
          </cell>
          <cell r="H7168">
            <v>45717</v>
          </cell>
          <cell r="I7168" t="str">
            <v>6040 - Employer Paid Benefits</v>
          </cell>
          <cell r="J7168" t="str">
            <v>Wholesale</v>
          </cell>
          <cell r="K7168" t="str">
            <v>Wholesale</v>
          </cell>
          <cell r="L7168" t="str">
            <v>HQ Salaries</v>
          </cell>
          <cell r="N7168" t="str">
            <v>SG&amp;A</v>
          </cell>
          <cell r="O7168" t="str">
            <v>Procyon Benefits LLC</v>
          </cell>
        </row>
        <row r="7169">
          <cell r="D7169">
            <v>173.6</v>
          </cell>
          <cell r="H7169">
            <v>45717</v>
          </cell>
          <cell r="I7169" t="str">
            <v>6040 - Employer Paid Benefits</v>
          </cell>
          <cell r="J7169">
            <v>0</v>
          </cell>
          <cell r="K7169" t="str">
            <v>Production</v>
          </cell>
          <cell r="L7169" t="str">
            <v>HQ Salaries</v>
          </cell>
          <cell r="N7169" t="str">
            <v>SG&amp;A</v>
          </cell>
          <cell r="O7169" t="str">
            <v>Procyon Benefits LLC</v>
          </cell>
        </row>
        <row r="7170">
          <cell r="D7170">
            <v>34</v>
          </cell>
          <cell r="H7170">
            <v>45717</v>
          </cell>
          <cell r="I7170" t="str">
            <v>6040 - Employer Paid Benefits</v>
          </cell>
          <cell r="J7170">
            <v>0</v>
          </cell>
          <cell r="K7170" t="str">
            <v>Merchandising</v>
          </cell>
          <cell r="L7170" t="str">
            <v>HQ Salaries</v>
          </cell>
          <cell r="N7170" t="str">
            <v>SG&amp;A</v>
          </cell>
          <cell r="O7170" t="str">
            <v>Procyon Benefits LLC</v>
          </cell>
        </row>
        <row r="7171">
          <cell r="D7171">
            <v>199</v>
          </cell>
          <cell r="H7171">
            <v>45717</v>
          </cell>
          <cell r="I7171" t="str">
            <v>6040 - Employer Paid Benefits</v>
          </cell>
          <cell r="J7171">
            <v>0</v>
          </cell>
          <cell r="K7171" t="str">
            <v>Brand Marketing</v>
          </cell>
          <cell r="L7171" t="str">
            <v>HQ Salaries</v>
          </cell>
          <cell r="N7171" t="str">
            <v>SG&amp;A</v>
          </cell>
          <cell r="O7171" t="str">
            <v>Procyon Benefits LLC</v>
          </cell>
        </row>
        <row r="7172">
          <cell r="D7172">
            <v>62.75</v>
          </cell>
          <cell r="H7172">
            <v>45717</v>
          </cell>
          <cell r="I7172" t="str">
            <v>6040 - Employer Paid Benefits</v>
          </cell>
          <cell r="J7172" t="str">
            <v>Ecommerce (US)</v>
          </cell>
          <cell r="K7172" t="str">
            <v>Ecommerce</v>
          </cell>
          <cell r="L7172" t="str">
            <v>HQ Salaries</v>
          </cell>
          <cell r="N7172" t="str">
            <v>SG&amp;A</v>
          </cell>
          <cell r="O7172" t="str">
            <v>Procyon Benefits LLC</v>
          </cell>
        </row>
        <row r="7173">
          <cell r="D7173">
            <v>12</v>
          </cell>
          <cell r="H7173">
            <v>45717</v>
          </cell>
          <cell r="I7173" t="str">
            <v>6040 - Employer Paid Benefits</v>
          </cell>
          <cell r="J7173">
            <v>0</v>
          </cell>
          <cell r="K7173" t="str">
            <v>Executive</v>
          </cell>
          <cell r="L7173" t="str">
            <v>HQ Salaries</v>
          </cell>
          <cell r="N7173" t="str">
            <v>SG&amp;A</v>
          </cell>
          <cell r="O7173" t="str">
            <v>Procyon Benefits LLC</v>
          </cell>
        </row>
        <row r="7174">
          <cell r="D7174">
            <v>20.89</v>
          </cell>
          <cell r="H7174">
            <v>45717</v>
          </cell>
          <cell r="I7174" t="str">
            <v>6040 - Employer Paid Benefits</v>
          </cell>
          <cell r="J7174">
            <v>0</v>
          </cell>
          <cell r="K7174" t="str">
            <v>Design</v>
          </cell>
          <cell r="L7174" t="str">
            <v>HQ Salaries</v>
          </cell>
          <cell r="N7174" t="str">
            <v>SG&amp;A</v>
          </cell>
          <cell r="O7174" t="str">
            <v>Procyon Benefits LLC</v>
          </cell>
        </row>
        <row r="7175">
          <cell r="D7175">
            <v>135.13999999999999</v>
          </cell>
          <cell r="H7175">
            <v>45717</v>
          </cell>
          <cell r="I7175" t="str">
            <v>6375 - Freight Expenses</v>
          </cell>
          <cell r="J7175" t="str">
            <v>Ecommerce (US)</v>
          </cell>
          <cell r="K7175" t="str">
            <v>Ecommerce</v>
          </cell>
          <cell r="L7175" t="str">
            <v>Freight</v>
          </cell>
          <cell r="N7175" t="str">
            <v>Direct Costs</v>
          </cell>
          <cell r="O7175" t="str">
            <v>UPS Supply Chain Solutions Inc. (7F24A0)</v>
          </cell>
        </row>
        <row r="7176">
          <cell r="D7176">
            <v>7046.1</v>
          </cell>
          <cell r="H7176">
            <v>45717</v>
          </cell>
          <cell r="I7176" t="str">
            <v>6055 - Employer Social Security Tax Withheld</v>
          </cell>
          <cell r="J7176">
            <v>0</v>
          </cell>
          <cell r="K7176" t="str">
            <v>Administration</v>
          </cell>
          <cell r="L7176" t="str">
            <v>HQ Salaries</v>
          </cell>
          <cell r="N7176" t="str">
            <v>SG&amp;A</v>
          </cell>
          <cell r="O7176" t="str">
            <v>ADP Payroll Services</v>
          </cell>
        </row>
        <row r="7177">
          <cell r="D7177">
            <v>740.48</v>
          </cell>
          <cell r="H7177">
            <v>45717</v>
          </cell>
          <cell r="I7177" t="str">
            <v>6410 - Lease Expense</v>
          </cell>
          <cell r="J7177">
            <v>0</v>
          </cell>
          <cell r="K7177" t="str">
            <v>Administration</v>
          </cell>
          <cell r="L7177" t="str">
            <v>Rent</v>
          </cell>
          <cell r="N7177" t="str">
            <v>SG&amp;A</v>
          </cell>
          <cell r="O7177" t="str">
            <v>Canon Financial Services, Inc.</v>
          </cell>
        </row>
        <row r="7178">
          <cell r="D7178">
            <v>353.54</v>
          </cell>
          <cell r="H7178">
            <v>45717</v>
          </cell>
          <cell r="I7178" t="str">
            <v>6300 - Payroll Service Fees</v>
          </cell>
          <cell r="J7178">
            <v>0</v>
          </cell>
          <cell r="K7178" t="str">
            <v>Administration</v>
          </cell>
          <cell r="L7178" t="str">
            <v>Professional Service</v>
          </cell>
          <cell r="N7178" t="str">
            <v>SG&amp;A</v>
          </cell>
          <cell r="O7178" t="str">
            <v>ADP Payroll Services</v>
          </cell>
        </row>
        <row r="7179">
          <cell r="D7179">
            <v>25384.86</v>
          </cell>
          <cell r="H7179">
            <v>45717</v>
          </cell>
          <cell r="I7179" t="str">
            <v>6375 - Freight Expenses</v>
          </cell>
          <cell r="J7179" t="str">
            <v>Ecommerce (US)</v>
          </cell>
          <cell r="K7179" t="str">
            <v>Ecommerce</v>
          </cell>
          <cell r="L7179" t="str">
            <v>Freight</v>
          </cell>
          <cell r="N7179" t="str">
            <v>Direct Costs</v>
          </cell>
          <cell r="O7179" t="str">
            <v>UPS Supply Chain Solutions Inc. (7F24A0)</v>
          </cell>
        </row>
        <row r="7180">
          <cell r="D7180">
            <v>3079.74</v>
          </cell>
          <cell r="H7180">
            <v>45717</v>
          </cell>
          <cell r="I7180" t="str">
            <v>6379 - Warehouse Storage</v>
          </cell>
          <cell r="J7180" t="str">
            <v>Wholesale</v>
          </cell>
          <cell r="K7180" t="str">
            <v>Wholesale</v>
          </cell>
          <cell r="L7180" t="str">
            <v>Order Processing</v>
          </cell>
          <cell r="N7180" t="str">
            <v>Direct Costs</v>
          </cell>
          <cell r="O7180" t="str">
            <v>Bergen Logistics Corporation</v>
          </cell>
        </row>
        <row r="7181">
          <cell r="D7181">
            <v>12536.58</v>
          </cell>
          <cell r="H7181">
            <v>45717</v>
          </cell>
          <cell r="I7181" t="str">
            <v>6379 - Warehouse Storage</v>
          </cell>
          <cell r="J7181" t="str">
            <v>Ecommerce (US)</v>
          </cell>
          <cell r="K7181" t="str">
            <v>Ecommerce</v>
          </cell>
          <cell r="L7181" t="str">
            <v>Order Processing</v>
          </cell>
          <cell r="N7181" t="str">
            <v>Direct Costs</v>
          </cell>
          <cell r="O7181" t="str">
            <v>Bergen Logistics Corporation</v>
          </cell>
        </row>
        <row r="7182">
          <cell r="D7182">
            <v>907.76</v>
          </cell>
          <cell r="H7182">
            <v>45717</v>
          </cell>
          <cell r="I7182" t="str">
            <v>6376 - Freight Supplies Other</v>
          </cell>
          <cell r="J7182" t="str">
            <v>Wholesale</v>
          </cell>
          <cell r="K7182" t="str">
            <v>Wholesale</v>
          </cell>
          <cell r="L7182" t="str">
            <v>Order Processing</v>
          </cell>
          <cell r="N7182" t="str">
            <v>Direct Costs</v>
          </cell>
          <cell r="O7182" t="str">
            <v>Bergen Logistics Corporation</v>
          </cell>
        </row>
        <row r="7183">
          <cell r="D7183">
            <v>315.95</v>
          </cell>
          <cell r="H7183">
            <v>45717</v>
          </cell>
          <cell r="I7183" t="str">
            <v>6376 - Freight Supplies Other</v>
          </cell>
          <cell r="J7183" t="str">
            <v>Ecommerce (EU)</v>
          </cell>
          <cell r="K7183" t="str">
            <v>Ecommerce</v>
          </cell>
          <cell r="L7183" t="str">
            <v>Order Processing</v>
          </cell>
          <cell r="N7183" t="str">
            <v>Direct Costs</v>
          </cell>
          <cell r="O7183" t="str">
            <v>Bergen Logistics Corporation</v>
          </cell>
        </row>
        <row r="7184">
          <cell r="D7184">
            <v>4779.0600000000004</v>
          </cell>
          <cell r="H7184">
            <v>45717</v>
          </cell>
          <cell r="I7184" t="str">
            <v>6376 - Freight Supplies Other</v>
          </cell>
          <cell r="J7184" t="str">
            <v>Ecommerce (US)</v>
          </cell>
          <cell r="K7184" t="str">
            <v>Ecommerce</v>
          </cell>
          <cell r="L7184" t="str">
            <v>Order Processing</v>
          </cell>
          <cell r="N7184" t="str">
            <v>Direct Costs</v>
          </cell>
          <cell r="O7184" t="str">
            <v>Bergen Logistics Corporation</v>
          </cell>
        </row>
        <row r="7185">
          <cell r="D7185">
            <v>4912.01</v>
          </cell>
          <cell r="H7185">
            <v>45717</v>
          </cell>
          <cell r="I7185" t="str">
            <v>6377 - Order Processing Expenses (New)</v>
          </cell>
          <cell r="J7185" t="str">
            <v>Wholesale</v>
          </cell>
          <cell r="K7185" t="str">
            <v>Wholesale</v>
          </cell>
          <cell r="L7185" t="str">
            <v>Order Processing</v>
          </cell>
          <cell r="N7185" t="str">
            <v>Direct Costs</v>
          </cell>
          <cell r="O7185" t="str">
            <v>Bergen Logistics Corporation</v>
          </cell>
        </row>
        <row r="7186">
          <cell r="D7186">
            <v>1214.05</v>
          </cell>
          <cell r="H7186">
            <v>45717</v>
          </cell>
          <cell r="I7186" t="str">
            <v>6377 - Order Processing Expenses (New)</v>
          </cell>
          <cell r="J7186" t="str">
            <v>Ecommerce (EU)</v>
          </cell>
          <cell r="K7186" t="str">
            <v>Ecommerce</v>
          </cell>
          <cell r="L7186" t="str">
            <v>Order Processing</v>
          </cell>
          <cell r="N7186" t="str">
            <v>Direct Costs</v>
          </cell>
          <cell r="O7186" t="str">
            <v>Bergen Logistics Corporation</v>
          </cell>
        </row>
        <row r="7187">
          <cell r="D7187">
            <v>17907.75</v>
          </cell>
          <cell r="H7187">
            <v>45717</v>
          </cell>
          <cell r="I7187" t="str">
            <v>6377 - Order Processing Expenses (New)</v>
          </cell>
          <cell r="J7187" t="str">
            <v>Ecommerce (US)</v>
          </cell>
          <cell r="K7187" t="str">
            <v>Ecommerce</v>
          </cell>
          <cell r="L7187" t="str">
            <v>Order Processing</v>
          </cell>
          <cell r="N7187" t="str">
            <v>Direct Costs</v>
          </cell>
          <cell r="O7187" t="str">
            <v>Bergen Logistics Corporation</v>
          </cell>
        </row>
        <row r="7188">
          <cell r="D7188">
            <v>473.33</v>
          </cell>
          <cell r="H7188">
            <v>45717</v>
          </cell>
          <cell r="I7188" t="str">
            <v>6375 - Freight Expenses</v>
          </cell>
          <cell r="J7188" t="str">
            <v>Wholesale</v>
          </cell>
          <cell r="K7188" t="str">
            <v>Wholesale</v>
          </cell>
          <cell r="L7188" t="str">
            <v>Freight</v>
          </cell>
          <cell r="N7188" t="str">
            <v>Direct Costs</v>
          </cell>
          <cell r="O7188" t="str">
            <v>UPS Supply Chain Solutions Inc. (7F24A0)</v>
          </cell>
        </row>
        <row r="7189">
          <cell r="D7189">
            <v>1000</v>
          </cell>
          <cell r="H7189">
            <v>45717</v>
          </cell>
          <cell r="I7189" t="str">
            <v>6360 - Model - Fitting</v>
          </cell>
          <cell r="J7189">
            <v>0</v>
          </cell>
          <cell r="K7189" t="str">
            <v>Production</v>
          </cell>
          <cell r="L7189" t="str">
            <v>Sample</v>
          </cell>
          <cell r="N7189" t="str">
            <v>SG&amp;A</v>
          </cell>
          <cell r="O7189" t="str">
            <v>Lanny K.W. Inc.</v>
          </cell>
        </row>
        <row r="7190">
          <cell r="D7190">
            <v>4500</v>
          </cell>
          <cell r="H7190">
            <v>45717</v>
          </cell>
          <cell r="I7190" t="str">
            <v>6225 - Professional Services</v>
          </cell>
          <cell r="J7190" t="str">
            <v>Ecommerce (US)</v>
          </cell>
          <cell r="K7190" t="str">
            <v>Ecommerce</v>
          </cell>
          <cell r="L7190" t="str">
            <v>Professional Service</v>
          </cell>
          <cell r="N7190" t="str">
            <v>Direct Costs</v>
          </cell>
          <cell r="O7190" t="str">
            <v>Freeflow LLC</v>
          </cell>
        </row>
        <row r="7191">
          <cell r="D7191">
            <v>575.24</v>
          </cell>
          <cell r="H7191">
            <v>45717</v>
          </cell>
          <cell r="I7191" t="str">
            <v>6450 - Bank &amp; Other Fees</v>
          </cell>
          <cell r="J7191">
            <v>0</v>
          </cell>
          <cell r="K7191" t="str">
            <v>Administration</v>
          </cell>
          <cell r="L7191" t="str">
            <v>Professional Service</v>
          </cell>
          <cell r="N7191" t="str">
            <v>SG&amp;A</v>
          </cell>
          <cell r="O7191" t="str">
            <v>[No Vendor]</v>
          </cell>
        </row>
        <row r="7192">
          <cell r="D7192">
            <v>29.85</v>
          </cell>
          <cell r="H7192">
            <v>45717</v>
          </cell>
          <cell r="I7192" t="str">
            <v>6375 - Freight Expenses</v>
          </cell>
          <cell r="J7192" t="str">
            <v>Ecommerce (US)</v>
          </cell>
          <cell r="K7192" t="str">
            <v>Ecommerce</v>
          </cell>
          <cell r="L7192" t="str">
            <v>Freight</v>
          </cell>
          <cell r="N7192" t="str">
            <v>Direct Costs</v>
          </cell>
          <cell r="O7192" t="str">
            <v>UPS Supply Chain Solutions Inc. (7F24A0)</v>
          </cell>
        </row>
        <row r="7193">
          <cell r="D7193">
            <v>3805.46</v>
          </cell>
          <cell r="H7193">
            <v>45717</v>
          </cell>
          <cell r="I7193" t="str">
            <v>6376 - Freight Supplies Other</v>
          </cell>
          <cell r="J7193" t="str">
            <v>Ecommerce (US)</v>
          </cell>
          <cell r="K7193" t="str">
            <v>Ecommerce</v>
          </cell>
          <cell r="L7193" t="str">
            <v>Order Processing</v>
          </cell>
          <cell r="N7193" t="str">
            <v>Direct Costs</v>
          </cell>
          <cell r="O7193" t="str">
            <v>Robert Karp Container Corp</v>
          </cell>
        </row>
        <row r="7194">
          <cell r="D7194">
            <v>35.869999999999997</v>
          </cell>
          <cell r="H7194">
            <v>45717</v>
          </cell>
          <cell r="I7194" t="str">
            <v>6375 - Freight Expenses</v>
          </cell>
          <cell r="J7194">
            <v>0</v>
          </cell>
          <cell r="K7194" t="str">
            <v>Production</v>
          </cell>
          <cell r="L7194" t="str">
            <v>Freight</v>
          </cell>
          <cell r="N7194" t="str">
            <v>Direct Costs</v>
          </cell>
          <cell r="O7194" t="str">
            <v>Federal Express</v>
          </cell>
        </row>
        <row r="7195">
          <cell r="D7195">
            <v>-68.73</v>
          </cell>
          <cell r="H7195">
            <v>45717</v>
          </cell>
          <cell r="I7195" t="str">
            <v>6375 - Freight Expenses</v>
          </cell>
          <cell r="J7195" t="str">
            <v>Ecommerce (US)</v>
          </cell>
          <cell r="K7195" t="str">
            <v>Ecommerce</v>
          </cell>
          <cell r="L7195" t="str">
            <v>Freight</v>
          </cell>
          <cell r="N7195" t="str">
            <v>Direct Costs</v>
          </cell>
          <cell r="O7195" t="str">
            <v>UPS Supply Chain Solutions Inc. (7F24A0)</v>
          </cell>
        </row>
        <row r="7196">
          <cell r="D7196">
            <v>2003.48</v>
          </cell>
          <cell r="H7196">
            <v>45717</v>
          </cell>
          <cell r="I7196" t="str">
            <v>6451 - Service Processing Fee</v>
          </cell>
          <cell r="J7196" t="str">
            <v>Ecommerce (US)</v>
          </cell>
          <cell r="K7196" t="str">
            <v>Ecommerce</v>
          </cell>
          <cell r="L7196" t="str">
            <v>Professional Service</v>
          </cell>
          <cell r="N7196" t="str">
            <v>Direct Costs</v>
          </cell>
          <cell r="O7196" t="str">
            <v>Loop</v>
          </cell>
        </row>
        <row r="7197">
          <cell r="D7197">
            <v>20.9</v>
          </cell>
          <cell r="H7197">
            <v>45717</v>
          </cell>
          <cell r="I7197" t="str">
            <v>6040 - Employer Paid Benefits</v>
          </cell>
          <cell r="J7197">
            <v>0</v>
          </cell>
          <cell r="K7197" t="str">
            <v>Administration</v>
          </cell>
          <cell r="L7197" t="str">
            <v>HQ Salaries</v>
          </cell>
          <cell r="N7197" t="str">
            <v>SG&amp;A</v>
          </cell>
          <cell r="O7197" t="str">
            <v>Procyon Benefits LLC</v>
          </cell>
        </row>
        <row r="7198">
          <cell r="D7198">
            <v>300</v>
          </cell>
          <cell r="H7198">
            <v>45717</v>
          </cell>
          <cell r="I7198" t="str">
            <v>6288 - Model</v>
          </cell>
          <cell r="J7198" t="str">
            <v>Ecommerce (US)</v>
          </cell>
          <cell r="K7198" t="str">
            <v>Brand Marketing</v>
          </cell>
          <cell r="L7198" t="str">
            <v>Advertising</v>
          </cell>
          <cell r="N7198" t="str">
            <v>SG&amp;A</v>
          </cell>
          <cell r="O7198" t="str">
            <v>State Artist Management</v>
          </cell>
        </row>
        <row r="7199">
          <cell r="D7199">
            <v>810</v>
          </cell>
          <cell r="H7199">
            <v>45717</v>
          </cell>
          <cell r="I7199" t="str">
            <v>6300 - Payroll Service Fees</v>
          </cell>
          <cell r="J7199">
            <v>0</v>
          </cell>
          <cell r="K7199" t="str">
            <v>Administration</v>
          </cell>
          <cell r="L7199" t="str">
            <v>Professional Service</v>
          </cell>
          <cell r="N7199" t="str">
            <v>SG&amp;A</v>
          </cell>
          <cell r="O7199" t="str">
            <v>OperationsInc, LLC</v>
          </cell>
        </row>
        <row r="7200">
          <cell r="D7200">
            <v>429.45</v>
          </cell>
          <cell r="H7200">
            <v>45717</v>
          </cell>
          <cell r="I7200" t="str">
            <v>6375 - Freight Expenses</v>
          </cell>
          <cell r="J7200">
            <v>0</v>
          </cell>
          <cell r="K7200" t="str">
            <v>Production</v>
          </cell>
          <cell r="L7200" t="str">
            <v>Freight</v>
          </cell>
          <cell r="N7200" t="str">
            <v>Direct Costs</v>
          </cell>
          <cell r="O7200" t="str">
            <v>DHL Express - USA</v>
          </cell>
        </row>
        <row r="7201">
          <cell r="D7201">
            <v>928.06</v>
          </cell>
          <cell r="H7201">
            <v>45717</v>
          </cell>
          <cell r="I7201" t="str">
            <v>6375 - Freight Expenses</v>
          </cell>
          <cell r="J7201">
            <v>0</v>
          </cell>
          <cell r="K7201" t="str">
            <v>Production</v>
          </cell>
          <cell r="L7201" t="str">
            <v>Freight</v>
          </cell>
          <cell r="N7201" t="str">
            <v>Direct Costs</v>
          </cell>
          <cell r="O7201" t="str">
            <v>DHL Express - USA</v>
          </cell>
        </row>
        <row r="7202">
          <cell r="D7202">
            <v>121</v>
          </cell>
          <cell r="H7202">
            <v>45717</v>
          </cell>
          <cell r="I7202" t="str">
            <v>6375 - Freight Expenses</v>
          </cell>
          <cell r="J7202" t="str">
            <v>Ecommerce (US)</v>
          </cell>
          <cell r="K7202" t="str">
            <v>Ecommerce</v>
          </cell>
          <cell r="L7202" t="str">
            <v>Freight</v>
          </cell>
          <cell r="N7202" t="str">
            <v>Direct Costs</v>
          </cell>
          <cell r="O7202" t="str">
            <v>UPS Supply Chain Solutions Inc. (7F24A0)</v>
          </cell>
        </row>
        <row r="7203">
          <cell r="D7203">
            <v>1632.23</v>
          </cell>
          <cell r="H7203">
            <v>45717</v>
          </cell>
          <cell r="I7203" t="str">
            <v>6040 - Employer Paid Benefits</v>
          </cell>
          <cell r="J7203" t="str">
            <v>Wholesale</v>
          </cell>
          <cell r="K7203" t="str">
            <v>Wholesale</v>
          </cell>
          <cell r="L7203" t="str">
            <v>HQ Salaries</v>
          </cell>
          <cell r="N7203" t="str">
            <v>SG&amp;A</v>
          </cell>
          <cell r="O7203" t="str">
            <v>Procyon Benefits LLC</v>
          </cell>
        </row>
        <row r="7204">
          <cell r="D7204">
            <v>248.3</v>
          </cell>
          <cell r="H7204">
            <v>45717</v>
          </cell>
          <cell r="I7204" t="str">
            <v>6040 - Employer Paid Benefits</v>
          </cell>
          <cell r="J7204">
            <v>0</v>
          </cell>
          <cell r="K7204" t="str">
            <v>Production</v>
          </cell>
          <cell r="L7204" t="str">
            <v>HQ Salaries</v>
          </cell>
          <cell r="N7204" t="str">
            <v>SG&amp;A</v>
          </cell>
          <cell r="O7204" t="str">
            <v>Procyon Benefits LLC</v>
          </cell>
        </row>
        <row r="7205">
          <cell r="D7205">
            <v>140</v>
          </cell>
          <cell r="H7205">
            <v>45717</v>
          </cell>
          <cell r="I7205" t="str">
            <v>6040 - Employer Paid Benefits</v>
          </cell>
          <cell r="J7205">
            <v>0</v>
          </cell>
          <cell r="K7205" t="str">
            <v>Merchandising</v>
          </cell>
          <cell r="L7205" t="str">
            <v>HQ Salaries</v>
          </cell>
          <cell r="N7205" t="str">
            <v>SG&amp;A</v>
          </cell>
          <cell r="O7205" t="str">
            <v>Procyon Benefits LLC</v>
          </cell>
        </row>
        <row r="7206">
          <cell r="D7206">
            <v>33.75</v>
          </cell>
          <cell r="H7206">
            <v>45717</v>
          </cell>
          <cell r="I7206" t="str">
            <v>6040 - Employer Paid Benefits</v>
          </cell>
          <cell r="J7206" t="str">
            <v>Ecommerce (US)</v>
          </cell>
          <cell r="K7206" t="str">
            <v>Ecommerce</v>
          </cell>
          <cell r="L7206" t="str">
            <v>HQ Salaries</v>
          </cell>
          <cell r="N7206" t="str">
            <v>SG&amp;A</v>
          </cell>
          <cell r="O7206" t="str">
            <v>Procyon Benefits LLC</v>
          </cell>
        </row>
        <row r="7207">
          <cell r="D7207">
            <v>94.77</v>
          </cell>
          <cell r="H7207">
            <v>45717</v>
          </cell>
          <cell r="I7207" t="str">
            <v>6040 - Employer Paid Benefits</v>
          </cell>
          <cell r="J7207">
            <v>0</v>
          </cell>
          <cell r="K7207" t="str">
            <v>Executive</v>
          </cell>
          <cell r="L7207" t="str">
            <v>HQ Salaries</v>
          </cell>
          <cell r="N7207" t="str">
            <v>SG&amp;A</v>
          </cell>
          <cell r="O7207" t="str">
            <v>Procyon Benefits LLC</v>
          </cell>
        </row>
        <row r="7208">
          <cell r="D7208">
            <v>100</v>
          </cell>
          <cell r="H7208">
            <v>45717</v>
          </cell>
          <cell r="I7208" t="str">
            <v>6520 - Taxes and Licenses</v>
          </cell>
          <cell r="J7208">
            <v>0</v>
          </cell>
          <cell r="K7208" t="str">
            <v>Administration</v>
          </cell>
          <cell r="L7208" t="str">
            <v>Other</v>
          </cell>
          <cell r="N7208" t="str">
            <v>SG&amp;A</v>
          </cell>
          <cell r="O7208" t="str">
            <v>[No Vendor]</v>
          </cell>
        </row>
        <row r="7209">
          <cell r="D7209">
            <v>209.62</v>
          </cell>
          <cell r="H7209">
            <v>45717</v>
          </cell>
          <cell r="I7209" t="str">
            <v>6375 - Freight Expenses</v>
          </cell>
          <cell r="J7209" t="str">
            <v>Ecommerce (US)</v>
          </cell>
          <cell r="K7209" t="str">
            <v>Ecommerce</v>
          </cell>
          <cell r="L7209" t="str">
            <v>Freight</v>
          </cell>
          <cell r="N7209" t="str">
            <v>Direct Costs</v>
          </cell>
          <cell r="O7209" t="str">
            <v>UPS Supply Chain Solutions Inc. (7F24A0)</v>
          </cell>
        </row>
        <row r="7210">
          <cell r="D7210">
            <v>560.26</v>
          </cell>
          <cell r="H7210">
            <v>45717</v>
          </cell>
          <cell r="I7210" t="str">
            <v>6375 - Freight Expenses</v>
          </cell>
          <cell r="J7210" t="str">
            <v>Ecommerce (US)</v>
          </cell>
          <cell r="K7210" t="str">
            <v>Ecommerce</v>
          </cell>
          <cell r="L7210" t="str">
            <v>Freight</v>
          </cell>
          <cell r="N7210" t="str">
            <v>Direct Costs</v>
          </cell>
          <cell r="O7210" t="str">
            <v>UPS Supply Chain Solutions Inc. (7F24A0)</v>
          </cell>
        </row>
        <row r="7211">
          <cell r="D7211">
            <v>4159.3100000000004</v>
          </cell>
          <cell r="H7211">
            <v>45717</v>
          </cell>
          <cell r="I7211" t="str">
            <v>6210 - Monitoring</v>
          </cell>
          <cell r="J7211" t="str">
            <v>Ecommerce (EU)</v>
          </cell>
          <cell r="K7211" t="str">
            <v>Ecommerce</v>
          </cell>
          <cell r="L7211" t="str">
            <v>Professional Service</v>
          </cell>
          <cell r="N7211" t="str">
            <v>Direct Costs</v>
          </cell>
          <cell r="O7211" t="str">
            <v>Convey SRL</v>
          </cell>
        </row>
        <row r="7212">
          <cell r="D7212">
            <v>-42.44</v>
          </cell>
          <cell r="H7212">
            <v>45717</v>
          </cell>
          <cell r="I7212" t="str">
            <v>6376 - Freight Supplies Other</v>
          </cell>
          <cell r="J7212" t="str">
            <v>Ecommerce (US)</v>
          </cell>
          <cell r="K7212" t="str">
            <v>Ecommerce</v>
          </cell>
          <cell r="L7212" t="str">
            <v>Order Processing</v>
          </cell>
          <cell r="N7212" t="str">
            <v>Direct Costs</v>
          </cell>
          <cell r="O7212" t="str">
            <v>Robert Karp Container Corp</v>
          </cell>
        </row>
        <row r="7213">
          <cell r="D7213">
            <v>0.01</v>
          </cell>
          <cell r="H7213">
            <v>45717</v>
          </cell>
          <cell r="I7213" t="str">
            <v>8590 - Rounding Gain/Loss</v>
          </cell>
          <cell r="J7213">
            <v>0</v>
          </cell>
          <cell r="K7213" t="str">
            <v>No Department</v>
          </cell>
          <cell r="L7213" t="str">
            <v>Realized Gain / Loss</v>
          </cell>
          <cell r="N7213" t="str">
            <v>BTL</v>
          </cell>
          <cell r="O7213" t="str">
            <v>[No Vendor]</v>
          </cell>
        </row>
        <row r="7214">
          <cell r="D7214">
            <v>279.2</v>
          </cell>
          <cell r="H7214">
            <v>45717</v>
          </cell>
          <cell r="I7214" t="str">
            <v>8505 - Realized Gain/Loss</v>
          </cell>
          <cell r="J7214">
            <v>0</v>
          </cell>
          <cell r="K7214" t="str">
            <v>No Department</v>
          </cell>
          <cell r="L7214" t="str">
            <v>Realized Gain / Loss</v>
          </cell>
          <cell r="N7214" t="str">
            <v>BTL</v>
          </cell>
          <cell r="O7214" t="str">
            <v>[No Vendor]</v>
          </cell>
        </row>
        <row r="7215">
          <cell r="D7215">
            <v>198.15</v>
          </cell>
          <cell r="H7215">
            <v>45717</v>
          </cell>
          <cell r="I7215" t="str">
            <v>8505 - Realized Gain/Loss</v>
          </cell>
          <cell r="J7215">
            <v>0</v>
          </cell>
          <cell r="K7215" t="str">
            <v>No Department</v>
          </cell>
          <cell r="L7215" t="str">
            <v>Realized Gain / Loss</v>
          </cell>
          <cell r="N7215" t="str">
            <v>BTL</v>
          </cell>
          <cell r="O7215" t="str">
            <v>[No Vendor]</v>
          </cell>
        </row>
        <row r="7216">
          <cell r="D7216">
            <v>238.86</v>
          </cell>
          <cell r="H7216">
            <v>45717</v>
          </cell>
          <cell r="I7216" t="str">
            <v>8505 - Realized Gain/Loss</v>
          </cell>
          <cell r="J7216">
            <v>0</v>
          </cell>
          <cell r="K7216" t="str">
            <v>No Department</v>
          </cell>
          <cell r="L7216" t="str">
            <v>Realized Gain / Loss</v>
          </cell>
          <cell r="N7216" t="str">
            <v>BTL</v>
          </cell>
          <cell r="O7216" t="str">
            <v>[No Vendor]</v>
          </cell>
        </row>
        <row r="7217">
          <cell r="D7217">
            <v>26115.41</v>
          </cell>
          <cell r="H7217">
            <v>45717</v>
          </cell>
          <cell r="I7217" t="str">
            <v>6005 - Salaries</v>
          </cell>
          <cell r="J7217">
            <v>0</v>
          </cell>
          <cell r="K7217" t="str">
            <v>Administration</v>
          </cell>
          <cell r="L7217" t="str">
            <v>HQ Salaries</v>
          </cell>
          <cell r="N7217" t="str">
            <v>SG&amp;A</v>
          </cell>
          <cell r="O7217" t="str">
            <v>[No Vendor]</v>
          </cell>
        </row>
        <row r="7218">
          <cell r="D7218">
            <v>0</v>
          </cell>
          <cell r="H7218">
            <v>45717</v>
          </cell>
          <cell r="I7218" t="str">
            <v>6035 - Severance Expense</v>
          </cell>
          <cell r="J7218" t="str">
            <v>Wholesale</v>
          </cell>
          <cell r="K7218" t="str">
            <v>Wholesale</v>
          </cell>
          <cell r="L7218" t="str">
            <v>HQ Salaries</v>
          </cell>
          <cell r="N7218" t="str">
            <v>SG&amp;A</v>
          </cell>
          <cell r="O7218" t="str">
            <v>[No Vendor]</v>
          </cell>
        </row>
        <row r="7219">
          <cell r="D7219">
            <v>0</v>
          </cell>
          <cell r="H7219">
            <v>45717</v>
          </cell>
          <cell r="I7219" t="str">
            <v>6205 - Contractors</v>
          </cell>
          <cell r="J7219">
            <v>0</v>
          </cell>
          <cell r="K7219" t="str">
            <v>Brand Marketing</v>
          </cell>
          <cell r="L7219" t="str">
            <v>HQ Salaries</v>
          </cell>
          <cell r="N7219" t="str">
            <v>SG&amp;A</v>
          </cell>
          <cell r="O7219" t="str">
            <v>[No Vendor]</v>
          </cell>
        </row>
        <row r="7220">
          <cell r="D7220">
            <v>4875</v>
          </cell>
          <cell r="H7220">
            <v>45717</v>
          </cell>
          <cell r="I7220" t="str">
            <v>6205 - Contractors</v>
          </cell>
          <cell r="J7220" t="str">
            <v>Ecommerce (US)</v>
          </cell>
          <cell r="K7220" t="str">
            <v>Ecommerce</v>
          </cell>
          <cell r="L7220" t="str">
            <v>HQ Salaries</v>
          </cell>
          <cell r="N7220" t="str">
            <v>SG&amp;A</v>
          </cell>
          <cell r="O7220" t="str">
            <v>[No Vendor]</v>
          </cell>
        </row>
        <row r="7221">
          <cell r="D7221">
            <v>0</v>
          </cell>
          <cell r="H7221">
            <v>45717</v>
          </cell>
          <cell r="I7221" t="str">
            <v>6205 - Contractors</v>
          </cell>
          <cell r="J7221">
            <v>0</v>
          </cell>
          <cell r="K7221" t="str">
            <v>Design</v>
          </cell>
          <cell r="L7221" t="str">
            <v>HQ Salaries</v>
          </cell>
          <cell r="N7221" t="str">
            <v>SG&amp;A</v>
          </cell>
          <cell r="O7221" t="str">
            <v>[No Vendor]</v>
          </cell>
        </row>
        <row r="7222">
          <cell r="D7222">
            <v>-37.299999999999997</v>
          </cell>
          <cell r="H7222">
            <v>45717</v>
          </cell>
          <cell r="I7222" t="str">
            <v>6385 - Insurance</v>
          </cell>
          <cell r="J7222">
            <v>0</v>
          </cell>
          <cell r="K7222" t="str">
            <v>Administration</v>
          </cell>
          <cell r="L7222" t="str">
            <v>Professional Service</v>
          </cell>
          <cell r="N7222" t="str">
            <v>SG&amp;A</v>
          </cell>
          <cell r="O7222" t="str">
            <v>[No Vendor]</v>
          </cell>
        </row>
        <row r="7223">
          <cell r="D7223">
            <v>-48.66</v>
          </cell>
          <cell r="H7223">
            <v>45717</v>
          </cell>
          <cell r="I7223" t="str">
            <v>6385 - Insurance</v>
          </cell>
          <cell r="J7223">
            <v>0</v>
          </cell>
          <cell r="K7223" t="str">
            <v>Administration</v>
          </cell>
          <cell r="L7223" t="str">
            <v>Professional Service</v>
          </cell>
          <cell r="N7223" t="str">
            <v>SG&amp;A</v>
          </cell>
          <cell r="O7223" t="str">
            <v>[No Vendor]</v>
          </cell>
        </row>
        <row r="7224">
          <cell r="D7224">
            <v>-56.79</v>
          </cell>
          <cell r="H7224">
            <v>45717</v>
          </cell>
          <cell r="I7224" t="str">
            <v>6385 - Insurance</v>
          </cell>
          <cell r="J7224">
            <v>0</v>
          </cell>
          <cell r="K7224" t="str">
            <v>Administration</v>
          </cell>
          <cell r="L7224" t="str">
            <v>Professional Service</v>
          </cell>
          <cell r="N7224" t="str">
            <v>SG&amp;A</v>
          </cell>
          <cell r="O7224" t="str">
            <v>[No Vendor]</v>
          </cell>
        </row>
        <row r="7225">
          <cell r="D7225">
            <v>-13.88</v>
          </cell>
          <cell r="H7225">
            <v>45717</v>
          </cell>
          <cell r="I7225" t="str">
            <v>6385 - Insurance</v>
          </cell>
          <cell r="J7225">
            <v>0</v>
          </cell>
          <cell r="K7225" t="str">
            <v>Administration</v>
          </cell>
          <cell r="L7225" t="str">
            <v>Professional Service</v>
          </cell>
          <cell r="N7225" t="str">
            <v>SG&amp;A</v>
          </cell>
          <cell r="O7225" t="str">
            <v>[No Vendor]</v>
          </cell>
        </row>
        <row r="7226">
          <cell r="D7226">
            <v>-44.48</v>
          </cell>
          <cell r="H7226">
            <v>45717</v>
          </cell>
          <cell r="I7226" t="str">
            <v>6385 - Insurance</v>
          </cell>
          <cell r="J7226">
            <v>0</v>
          </cell>
          <cell r="K7226" t="str">
            <v>Administration</v>
          </cell>
          <cell r="L7226" t="str">
            <v>Professional Service</v>
          </cell>
          <cell r="N7226" t="str">
            <v>SG&amp;A</v>
          </cell>
          <cell r="O7226" t="str">
            <v>[No Vendor]</v>
          </cell>
        </row>
        <row r="7227">
          <cell r="D7227">
            <v>-43.2</v>
          </cell>
          <cell r="H7227">
            <v>45717</v>
          </cell>
          <cell r="I7227" t="str">
            <v>6385 - Insurance</v>
          </cell>
          <cell r="J7227">
            <v>0</v>
          </cell>
          <cell r="K7227" t="str">
            <v>Administration</v>
          </cell>
          <cell r="L7227" t="str">
            <v>Professional Service</v>
          </cell>
          <cell r="N7227" t="str">
            <v>SG&amp;A</v>
          </cell>
          <cell r="O7227" t="str">
            <v>[No Vendor]</v>
          </cell>
        </row>
        <row r="7228">
          <cell r="D7228">
            <v>-88.99</v>
          </cell>
          <cell r="H7228">
            <v>45717</v>
          </cell>
          <cell r="I7228" t="str">
            <v>6385 - Insurance</v>
          </cell>
          <cell r="J7228">
            <v>0</v>
          </cell>
          <cell r="K7228" t="str">
            <v>Administration</v>
          </cell>
          <cell r="L7228" t="str">
            <v>Professional Service</v>
          </cell>
          <cell r="N7228" t="str">
            <v>SG&amp;A</v>
          </cell>
          <cell r="O7228" t="str">
            <v>[No Vendor]</v>
          </cell>
        </row>
        <row r="7229">
          <cell r="D7229">
            <v>-41.72</v>
          </cell>
          <cell r="H7229">
            <v>45717</v>
          </cell>
          <cell r="I7229" t="str">
            <v>6385 - Insurance</v>
          </cell>
          <cell r="J7229">
            <v>0</v>
          </cell>
          <cell r="K7229" t="str">
            <v>Administration</v>
          </cell>
          <cell r="L7229" t="str">
            <v>Professional Service</v>
          </cell>
          <cell r="N7229" t="str">
            <v>SG&amp;A</v>
          </cell>
          <cell r="O7229" t="str">
            <v>[No Vendor]</v>
          </cell>
        </row>
        <row r="7230">
          <cell r="D7230">
            <v>1144.02</v>
          </cell>
          <cell r="H7230">
            <v>45717</v>
          </cell>
          <cell r="I7230" t="str">
            <v>6055 - Employer Social Security Tax Withheld</v>
          </cell>
          <cell r="J7230">
            <v>0</v>
          </cell>
          <cell r="K7230" t="str">
            <v>Merchandising</v>
          </cell>
          <cell r="L7230" t="str">
            <v>HQ Salaries</v>
          </cell>
          <cell r="N7230" t="str">
            <v>SG&amp;A</v>
          </cell>
          <cell r="O7230" t="str">
            <v>[No Vendor]</v>
          </cell>
        </row>
        <row r="7231">
          <cell r="D7231">
            <v>1278.9000000000001</v>
          </cell>
          <cell r="H7231">
            <v>45717</v>
          </cell>
          <cell r="I7231" t="str">
            <v>6055 - Employer Social Security Tax Withheld</v>
          </cell>
          <cell r="J7231" t="str">
            <v>Wholesale</v>
          </cell>
          <cell r="K7231" t="str">
            <v>Wholesale</v>
          </cell>
          <cell r="L7231" t="str">
            <v>HQ Salaries</v>
          </cell>
          <cell r="N7231" t="str">
            <v>SG&amp;A</v>
          </cell>
          <cell r="O7231" t="str">
            <v>[No Vendor]</v>
          </cell>
        </row>
        <row r="7232">
          <cell r="D7232">
            <v>1424.79</v>
          </cell>
          <cell r="H7232">
            <v>45717</v>
          </cell>
          <cell r="I7232" t="str">
            <v>6055 - Employer Social Security Tax Withheld</v>
          </cell>
          <cell r="J7232">
            <v>0</v>
          </cell>
          <cell r="K7232" t="str">
            <v>Production</v>
          </cell>
          <cell r="L7232" t="str">
            <v>HQ Salaries</v>
          </cell>
          <cell r="N7232" t="str">
            <v>SG&amp;A</v>
          </cell>
          <cell r="O7232" t="str">
            <v>[No Vendor]</v>
          </cell>
        </row>
        <row r="7233">
          <cell r="D7233">
            <v>364.92</v>
          </cell>
          <cell r="H7233">
            <v>45717</v>
          </cell>
          <cell r="I7233" t="str">
            <v>6055 - Employer Social Security Tax Withheld</v>
          </cell>
          <cell r="J7233">
            <v>0</v>
          </cell>
          <cell r="K7233" t="str">
            <v>Brand Marketing</v>
          </cell>
          <cell r="L7233" t="str">
            <v>HQ Salaries</v>
          </cell>
          <cell r="N7233" t="str">
            <v>SG&amp;A</v>
          </cell>
          <cell r="O7233" t="str">
            <v>[No Vendor]</v>
          </cell>
        </row>
        <row r="7234">
          <cell r="D7234">
            <v>1174.3499999999999</v>
          </cell>
          <cell r="H7234">
            <v>45717</v>
          </cell>
          <cell r="I7234" t="str">
            <v>6055 - Employer Social Security Tax Withheld</v>
          </cell>
          <cell r="J7234">
            <v>0</v>
          </cell>
          <cell r="K7234" t="str">
            <v>Executive</v>
          </cell>
          <cell r="L7234" t="str">
            <v>HQ Salaries</v>
          </cell>
          <cell r="N7234" t="str">
            <v>SG&amp;A</v>
          </cell>
          <cell r="O7234" t="str">
            <v>[No Vendor]</v>
          </cell>
        </row>
        <row r="7235">
          <cell r="D7235">
            <v>2254.4899999999998</v>
          </cell>
          <cell r="H7235">
            <v>45717</v>
          </cell>
          <cell r="I7235" t="str">
            <v>6055 - Employer Social Security Tax Withheld</v>
          </cell>
          <cell r="J7235" t="str">
            <v>Ecommerce (US)</v>
          </cell>
          <cell r="K7235" t="str">
            <v>Ecommerce</v>
          </cell>
          <cell r="L7235" t="str">
            <v>HQ Salaries</v>
          </cell>
          <cell r="N7235" t="str">
            <v>SG&amp;A</v>
          </cell>
          <cell r="O7235" t="str">
            <v>[No Vendor]</v>
          </cell>
        </row>
        <row r="7236">
          <cell r="D7236">
            <v>2210.19</v>
          </cell>
          <cell r="H7236">
            <v>45717</v>
          </cell>
          <cell r="I7236" t="str">
            <v>6055 - Employer Social Security Tax Withheld</v>
          </cell>
          <cell r="J7236">
            <v>0</v>
          </cell>
          <cell r="K7236" t="str">
            <v>Design</v>
          </cell>
          <cell r="L7236" t="str">
            <v>HQ Salaries</v>
          </cell>
          <cell r="N7236" t="str">
            <v>SG&amp;A</v>
          </cell>
          <cell r="O7236" t="str">
            <v>[No Vendor]</v>
          </cell>
        </row>
        <row r="7237">
          <cell r="D7237">
            <v>2473.89</v>
          </cell>
          <cell r="H7237">
            <v>45717</v>
          </cell>
          <cell r="I7237" t="str">
            <v>6055 - Employer Social Security Tax Withheld</v>
          </cell>
          <cell r="J7237">
            <v>0</v>
          </cell>
          <cell r="K7237" t="str">
            <v>Administration</v>
          </cell>
          <cell r="L7237" t="str">
            <v>HQ Salaries</v>
          </cell>
          <cell r="N7237" t="str">
            <v>SG&amp;A</v>
          </cell>
          <cell r="O7237" t="str">
            <v>[No Vendor]</v>
          </cell>
        </row>
        <row r="7238">
          <cell r="D7238">
            <v>5000</v>
          </cell>
          <cell r="H7238">
            <v>45717</v>
          </cell>
          <cell r="I7238" t="str">
            <v>6375 - Freight Expenses</v>
          </cell>
          <cell r="J7238" t="str">
            <v>Ecommerce (US)</v>
          </cell>
          <cell r="K7238" t="str">
            <v>Ecommerce</v>
          </cell>
          <cell r="L7238" t="str">
            <v>Freight</v>
          </cell>
          <cell r="N7238" t="str">
            <v>Direct Costs</v>
          </cell>
          <cell r="O7238" t="str">
            <v>Easy Post</v>
          </cell>
        </row>
        <row r="7239">
          <cell r="D7239">
            <v>-34.9</v>
          </cell>
          <cell r="H7239">
            <v>45717</v>
          </cell>
          <cell r="I7239" t="str">
            <v>6040 - Employer Paid Benefits</v>
          </cell>
          <cell r="J7239">
            <v>0</v>
          </cell>
          <cell r="K7239" t="str">
            <v>Merchandising</v>
          </cell>
          <cell r="L7239" t="str">
            <v>HQ Salaries</v>
          </cell>
          <cell r="N7239" t="str">
            <v>SG&amp;A</v>
          </cell>
          <cell r="O7239" t="str">
            <v>[No Vendor]</v>
          </cell>
        </row>
        <row r="7240">
          <cell r="D7240">
            <v>-104.69</v>
          </cell>
          <cell r="H7240">
            <v>45717</v>
          </cell>
          <cell r="I7240" t="str">
            <v>6040 - Employer Paid Benefits</v>
          </cell>
          <cell r="J7240" t="str">
            <v>Wholesale</v>
          </cell>
          <cell r="K7240" t="str">
            <v>Wholesale</v>
          </cell>
          <cell r="L7240" t="str">
            <v>HQ Salaries</v>
          </cell>
          <cell r="N7240" t="str">
            <v>SG&amp;A</v>
          </cell>
          <cell r="O7240" t="str">
            <v>[No Vendor]</v>
          </cell>
        </row>
        <row r="7241">
          <cell r="D7241">
            <v>-365.83</v>
          </cell>
          <cell r="H7241">
            <v>45717</v>
          </cell>
          <cell r="I7241" t="str">
            <v>6040 - Employer Paid Benefits</v>
          </cell>
          <cell r="J7241">
            <v>0</v>
          </cell>
          <cell r="K7241" t="str">
            <v>Production</v>
          </cell>
          <cell r="L7241" t="str">
            <v>HQ Salaries</v>
          </cell>
          <cell r="N7241" t="str">
            <v>SG&amp;A</v>
          </cell>
          <cell r="O7241" t="str">
            <v>[No Vendor]</v>
          </cell>
        </row>
        <row r="7242">
          <cell r="D7242">
            <v>-34.9</v>
          </cell>
          <cell r="H7242">
            <v>45717</v>
          </cell>
          <cell r="I7242" t="str">
            <v>6040 - Employer Paid Benefits</v>
          </cell>
          <cell r="J7242">
            <v>0</v>
          </cell>
          <cell r="K7242" t="str">
            <v>Brand Marketing</v>
          </cell>
          <cell r="L7242" t="str">
            <v>HQ Salaries</v>
          </cell>
          <cell r="N7242" t="str">
            <v>SG&amp;A</v>
          </cell>
          <cell r="O7242" t="str">
            <v>[No Vendor]</v>
          </cell>
        </row>
        <row r="7243">
          <cell r="D7243">
            <v>-332.52</v>
          </cell>
          <cell r="H7243">
            <v>45717</v>
          </cell>
          <cell r="I7243" t="str">
            <v>6040 - Employer Paid Benefits</v>
          </cell>
          <cell r="J7243">
            <v>0</v>
          </cell>
          <cell r="K7243" t="str">
            <v>Executive</v>
          </cell>
          <cell r="L7243" t="str">
            <v>HQ Salaries</v>
          </cell>
          <cell r="N7243" t="str">
            <v>SG&amp;A</v>
          </cell>
          <cell r="O7243" t="str">
            <v>[No Vendor]</v>
          </cell>
        </row>
        <row r="7244">
          <cell r="D7244">
            <v>-250.5</v>
          </cell>
          <cell r="H7244">
            <v>45717</v>
          </cell>
          <cell r="I7244" t="str">
            <v>6040 - Employer Paid Benefits</v>
          </cell>
          <cell r="J7244" t="str">
            <v>Ecommerce (US)</v>
          </cell>
          <cell r="K7244" t="str">
            <v>Ecommerce</v>
          </cell>
          <cell r="L7244" t="str">
            <v>HQ Salaries</v>
          </cell>
          <cell r="N7244" t="str">
            <v>SG&amp;A</v>
          </cell>
          <cell r="O7244" t="str">
            <v>[No Vendor]</v>
          </cell>
        </row>
        <row r="7245">
          <cell r="D7245">
            <v>-477.03</v>
          </cell>
          <cell r="H7245">
            <v>45717</v>
          </cell>
          <cell r="I7245" t="str">
            <v>6040 - Employer Paid Benefits</v>
          </cell>
          <cell r="J7245">
            <v>0</v>
          </cell>
          <cell r="K7245" t="str">
            <v>Design</v>
          </cell>
          <cell r="L7245" t="str">
            <v>HQ Salaries</v>
          </cell>
          <cell r="N7245" t="str">
            <v>SG&amp;A</v>
          </cell>
          <cell r="O7245" t="str">
            <v>[No Vendor]</v>
          </cell>
        </row>
        <row r="7246">
          <cell r="D7246">
            <v>-624.54999999999995</v>
          </cell>
          <cell r="H7246">
            <v>45717</v>
          </cell>
          <cell r="I7246" t="str">
            <v>6040 - Employer Paid Benefits</v>
          </cell>
          <cell r="J7246">
            <v>0</v>
          </cell>
          <cell r="K7246" t="str">
            <v>Administration</v>
          </cell>
          <cell r="L7246" t="str">
            <v>HQ Salaries</v>
          </cell>
          <cell r="N7246" t="str">
            <v>SG&amp;A</v>
          </cell>
          <cell r="O7246" t="str">
            <v>[No Vendor]</v>
          </cell>
        </row>
        <row r="7247">
          <cell r="D7247">
            <v>8996.15</v>
          </cell>
          <cell r="H7247">
            <v>45717</v>
          </cell>
          <cell r="I7247" t="str">
            <v>6005 - Salaries</v>
          </cell>
          <cell r="J7247">
            <v>0</v>
          </cell>
          <cell r="K7247" t="str">
            <v>Merchandising</v>
          </cell>
          <cell r="L7247" t="str">
            <v>HQ Salaries</v>
          </cell>
          <cell r="N7247" t="str">
            <v>SG&amp;A</v>
          </cell>
          <cell r="O7247" t="str">
            <v>[No Vendor]</v>
          </cell>
        </row>
        <row r="7248">
          <cell r="D7248">
            <v>11923.08</v>
          </cell>
          <cell r="H7248">
            <v>45717</v>
          </cell>
          <cell r="I7248" t="str">
            <v>6005 - Salaries</v>
          </cell>
          <cell r="J7248" t="str">
            <v>Wholesale</v>
          </cell>
          <cell r="K7248" t="str">
            <v>Wholesale</v>
          </cell>
          <cell r="L7248" t="str">
            <v>HQ Salaries</v>
          </cell>
          <cell r="N7248" t="str">
            <v>SG&amp;A</v>
          </cell>
          <cell r="O7248" t="str">
            <v>[No Vendor]</v>
          </cell>
        </row>
        <row r="7249">
          <cell r="D7249">
            <v>13402.33</v>
          </cell>
          <cell r="H7249">
            <v>45717</v>
          </cell>
          <cell r="I7249" t="str">
            <v>6005 - Salaries</v>
          </cell>
          <cell r="J7249">
            <v>0</v>
          </cell>
          <cell r="K7249" t="str">
            <v>Production</v>
          </cell>
          <cell r="L7249" t="str">
            <v>HQ Salaries</v>
          </cell>
          <cell r="N7249" t="str">
            <v>SG&amp;A</v>
          </cell>
          <cell r="O7249" t="str">
            <v>[No Vendor]</v>
          </cell>
        </row>
        <row r="7250">
          <cell r="D7250">
            <v>3269.24</v>
          </cell>
          <cell r="H7250">
            <v>45717</v>
          </cell>
          <cell r="I7250" t="str">
            <v>6005 - Salaries</v>
          </cell>
          <cell r="J7250">
            <v>0</v>
          </cell>
          <cell r="K7250" t="str">
            <v>Brand Marketing</v>
          </cell>
          <cell r="L7250" t="str">
            <v>HQ Salaries</v>
          </cell>
          <cell r="N7250" t="str">
            <v>SG&amp;A</v>
          </cell>
          <cell r="O7250" t="str">
            <v>[No Vendor]</v>
          </cell>
        </row>
        <row r="7251">
          <cell r="D7251">
            <v>11153.85</v>
          </cell>
          <cell r="H7251">
            <v>45717</v>
          </cell>
          <cell r="I7251" t="str">
            <v>6005 - Salaries</v>
          </cell>
          <cell r="J7251">
            <v>0</v>
          </cell>
          <cell r="K7251" t="str">
            <v>Executive</v>
          </cell>
          <cell r="L7251" t="str">
            <v>HQ Salaries</v>
          </cell>
          <cell r="N7251" t="str">
            <v>SG&amp;A</v>
          </cell>
          <cell r="O7251" t="str">
            <v>[No Vendor]</v>
          </cell>
        </row>
        <row r="7252">
          <cell r="D7252">
            <v>20780.8</v>
          </cell>
          <cell r="H7252">
            <v>45717</v>
          </cell>
          <cell r="I7252" t="str">
            <v>6005 - Salaries</v>
          </cell>
          <cell r="J7252" t="str">
            <v>Ecommerce (US)</v>
          </cell>
          <cell r="K7252" t="str">
            <v>Ecommerce</v>
          </cell>
          <cell r="L7252" t="str">
            <v>HQ Salaries</v>
          </cell>
          <cell r="N7252" t="str">
            <v>SG&amp;A</v>
          </cell>
          <cell r="O7252" t="str">
            <v>[No Vendor]</v>
          </cell>
        </row>
        <row r="7253">
          <cell r="D7253">
            <v>21388.47</v>
          </cell>
          <cell r="H7253">
            <v>45717</v>
          </cell>
          <cell r="I7253" t="str">
            <v>6005 - Salaries</v>
          </cell>
          <cell r="J7253">
            <v>0</v>
          </cell>
          <cell r="K7253" t="str">
            <v>Design</v>
          </cell>
          <cell r="L7253" t="str">
            <v>HQ Salaries</v>
          </cell>
          <cell r="N7253" t="str">
            <v>SG&amp;A</v>
          </cell>
          <cell r="O7253" t="str">
            <v>[No Vendor]</v>
          </cell>
        </row>
        <row r="7254">
          <cell r="D7254">
            <v>696.73</v>
          </cell>
          <cell r="H7254">
            <v>45717</v>
          </cell>
          <cell r="I7254" t="str">
            <v>6375 - Freight Expenses</v>
          </cell>
          <cell r="J7254" t="str">
            <v>Wholesale</v>
          </cell>
          <cell r="K7254" t="str">
            <v>Wholesale</v>
          </cell>
          <cell r="L7254" t="str">
            <v>Freight</v>
          </cell>
          <cell r="N7254" t="str">
            <v>Direct Costs</v>
          </cell>
          <cell r="O7254" t="str">
            <v>UPS Supply Chain Solutions Inc. (7F24A0)</v>
          </cell>
        </row>
        <row r="7255">
          <cell r="D7255">
            <v>25201.11</v>
          </cell>
          <cell r="H7255">
            <v>45717</v>
          </cell>
          <cell r="I7255" t="str">
            <v>6375 - Freight Expenses</v>
          </cell>
          <cell r="J7255" t="str">
            <v>Ecommerce (US)</v>
          </cell>
          <cell r="K7255" t="str">
            <v>Ecommerce</v>
          </cell>
          <cell r="L7255" t="str">
            <v>Freight</v>
          </cell>
          <cell r="N7255" t="str">
            <v>Direct Costs</v>
          </cell>
          <cell r="O7255" t="str">
            <v>UPS Supply Chain Solutions Inc. (7F24A0)</v>
          </cell>
        </row>
        <row r="7256">
          <cell r="D7256">
            <v>10</v>
          </cell>
          <cell r="H7256">
            <v>45717</v>
          </cell>
          <cell r="I7256" t="str">
            <v>6375 - Freight Expenses</v>
          </cell>
          <cell r="J7256">
            <v>0</v>
          </cell>
          <cell r="K7256" t="str">
            <v>Production</v>
          </cell>
          <cell r="L7256" t="str">
            <v>Freight</v>
          </cell>
          <cell r="N7256" t="str">
            <v>Direct Costs</v>
          </cell>
          <cell r="O7256" t="str">
            <v>Federal Express</v>
          </cell>
        </row>
        <row r="7257">
          <cell r="D7257">
            <v>886.82</v>
          </cell>
          <cell r="H7257">
            <v>45717</v>
          </cell>
          <cell r="I7257" t="str">
            <v>6393 - Software</v>
          </cell>
          <cell r="J7257" t="str">
            <v>Wholesale</v>
          </cell>
          <cell r="K7257" t="str">
            <v>Wholesale</v>
          </cell>
          <cell r="L7257" t="str">
            <v>Professional Service</v>
          </cell>
          <cell r="N7257" t="str">
            <v>Direct Costs</v>
          </cell>
          <cell r="O7257" t="str">
            <v>SPS Commerce</v>
          </cell>
        </row>
        <row r="7258">
          <cell r="D7258">
            <v>1078.51</v>
          </cell>
          <cell r="H7258">
            <v>45717</v>
          </cell>
          <cell r="I7258" t="str">
            <v>6210 - Monitoring</v>
          </cell>
          <cell r="J7258" t="str">
            <v>Ecommerce (EU)</v>
          </cell>
          <cell r="K7258" t="str">
            <v>Ecommerce</v>
          </cell>
          <cell r="L7258" t="str">
            <v>Professional Service</v>
          </cell>
          <cell r="N7258" t="str">
            <v>Direct Costs</v>
          </cell>
          <cell r="O7258" t="str">
            <v>Convey SRL</v>
          </cell>
        </row>
        <row r="7259">
          <cell r="D7259">
            <v>48022.46</v>
          </cell>
          <cell r="H7259">
            <v>45717</v>
          </cell>
          <cell r="I7259" t="str">
            <v>6380 - Legal &amp; Accounting</v>
          </cell>
          <cell r="J7259">
            <v>0</v>
          </cell>
          <cell r="K7259" t="str">
            <v>Administration</v>
          </cell>
          <cell r="L7259" t="str">
            <v>Professional Service</v>
          </cell>
          <cell r="N7259" t="str">
            <v>SG&amp;A</v>
          </cell>
          <cell r="O7259" t="str">
            <v>Ko &amp; Yun, LLP - Operations</v>
          </cell>
        </row>
        <row r="7260">
          <cell r="D7260">
            <v>25000</v>
          </cell>
          <cell r="H7260">
            <v>45717</v>
          </cell>
          <cell r="I7260" t="str">
            <v>6380 - Legal &amp; Accounting</v>
          </cell>
          <cell r="J7260">
            <v>0</v>
          </cell>
          <cell r="K7260" t="str">
            <v>Administration</v>
          </cell>
          <cell r="L7260" t="str">
            <v>Professional Service</v>
          </cell>
          <cell r="N7260" t="str">
            <v>SG&amp;A</v>
          </cell>
          <cell r="O7260" t="str">
            <v>Ko &amp; Yun, LLP - IP Holding</v>
          </cell>
        </row>
        <row r="7261">
          <cell r="D7261">
            <v>11250</v>
          </cell>
          <cell r="H7261">
            <v>45717</v>
          </cell>
          <cell r="I7261" t="str">
            <v>6225 - Professional Services</v>
          </cell>
          <cell r="J7261">
            <v>0</v>
          </cell>
          <cell r="K7261" t="str">
            <v>Brand Marketing</v>
          </cell>
          <cell r="L7261" t="str">
            <v>Professional Service</v>
          </cell>
          <cell r="N7261" t="str">
            <v>Direct Costs</v>
          </cell>
          <cell r="O7261" t="str">
            <v>The Lede Company, LLC</v>
          </cell>
        </row>
        <row r="7262">
          <cell r="D7262">
            <v>4000</v>
          </cell>
          <cell r="H7262">
            <v>45717</v>
          </cell>
          <cell r="I7262" t="str">
            <v>6375 - Freight Expenses</v>
          </cell>
          <cell r="J7262" t="str">
            <v>Ecommerce (US)</v>
          </cell>
          <cell r="K7262" t="str">
            <v>Ecommerce</v>
          </cell>
          <cell r="L7262" t="str">
            <v>Freight</v>
          </cell>
          <cell r="N7262" t="str">
            <v>Direct Costs</v>
          </cell>
          <cell r="O7262" t="str">
            <v>Easy Post</v>
          </cell>
        </row>
        <row r="7263">
          <cell r="D7263">
            <v>31.32</v>
          </cell>
          <cell r="H7263">
            <v>45717</v>
          </cell>
          <cell r="I7263" t="str">
            <v>6375 - Freight Expenses</v>
          </cell>
          <cell r="J7263" t="str">
            <v>Ecommerce (US)</v>
          </cell>
          <cell r="K7263" t="str">
            <v>Ecommerce</v>
          </cell>
          <cell r="L7263" t="str">
            <v>Freight</v>
          </cell>
          <cell r="N7263" t="str">
            <v>Direct Costs</v>
          </cell>
          <cell r="O7263" t="str">
            <v>UPS Supply Chain Solutions Inc. (7F24A0)</v>
          </cell>
        </row>
        <row r="7264">
          <cell r="D7264">
            <v>144</v>
          </cell>
          <cell r="H7264">
            <v>45717</v>
          </cell>
          <cell r="I7264" t="str">
            <v>6352 - Fabric &amp; Materials</v>
          </cell>
          <cell r="J7264">
            <v>0</v>
          </cell>
          <cell r="K7264" t="str">
            <v>Design</v>
          </cell>
          <cell r="L7264" t="str">
            <v>Sample</v>
          </cell>
          <cell r="N7264" t="str">
            <v>SG&amp;A</v>
          </cell>
          <cell r="O7264" t="str">
            <v>EU-NY Trading, Inc</v>
          </cell>
        </row>
        <row r="7265">
          <cell r="D7265">
            <v>233.92</v>
          </cell>
          <cell r="H7265">
            <v>45717</v>
          </cell>
          <cell r="I7265" t="str">
            <v>6375 - Freight Expenses</v>
          </cell>
          <cell r="J7265">
            <v>0</v>
          </cell>
          <cell r="K7265" t="str">
            <v>Production</v>
          </cell>
          <cell r="L7265" t="str">
            <v>Freight</v>
          </cell>
          <cell r="N7265" t="str">
            <v>Direct Costs</v>
          </cell>
          <cell r="O7265" t="str">
            <v>Federal Express</v>
          </cell>
        </row>
        <row r="7266">
          <cell r="D7266">
            <v>-17</v>
          </cell>
          <cell r="H7266">
            <v>45717</v>
          </cell>
          <cell r="I7266" t="str">
            <v>6040 - Employer Paid Benefits</v>
          </cell>
          <cell r="J7266">
            <v>0</v>
          </cell>
          <cell r="K7266" t="str">
            <v>Administration</v>
          </cell>
          <cell r="L7266" t="str">
            <v>HQ Salaries</v>
          </cell>
          <cell r="N7266" t="str">
            <v>SG&amp;A</v>
          </cell>
          <cell r="O7266" t="str">
            <v>Procyon Benefits LLC</v>
          </cell>
        </row>
        <row r="7267">
          <cell r="D7267">
            <v>-235.32</v>
          </cell>
          <cell r="H7267">
            <v>45717</v>
          </cell>
          <cell r="I7267" t="str">
            <v>6040 - Employer Paid Benefits</v>
          </cell>
          <cell r="J7267">
            <v>0</v>
          </cell>
          <cell r="K7267" t="str">
            <v>Administration</v>
          </cell>
          <cell r="L7267" t="str">
            <v>HQ Salaries</v>
          </cell>
          <cell r="N7267" t="str">
            <v>SG&amp;A</v>
          </cell>
          <cell r="O7267" t="str">
            <v>[No Vendor]</v>
          </cell>
        </row>
        <row r="7268">
          <cell r="D7268">
            <v>1382.21</v>
          </cell>
          <cell r="H7268">
            <v>45717</v>
          </cell>
          <cell r="I7268" t="str">
            <v>6450 - Bank &amp; Other Fees</v>
          </cell>
          <cell r="J7268">
            <v>0</v>
          </cell>
          <cell r="K7268" t="str">
            <v>Administration</v>
          </cell>
          <cell r="L7268" t="str">
            <v>Professional Service</v>
          </cell>
          <cell r="N7268" t="str">
            <v>SG&amp;A</v>
          </cell>
          <cell r="O7268" t="str">
            <v>[No Vendor]</v>
          </cell>
        </row>
        <row r="7269">
          <cell r="D7269">
            <v>50</v>
          </cell>
          <cell r="H7269">
            <v>45717</v>
          </cell>
          <cell r="I7269" t="str">
            <v>6450 - Bank &amp; Other Fees</v>
          </cell>
          <cell r="J7269">
            <v>0</v>
          </cell>
          <cell r="K7269" t="str">
            <v>Administration</v>
          </cell>
          <cell r="L7269" t="str">
            <v>Professional Service</v>
          </cell>
          <cell r="N7269" t="str">
            <v>SG&amp;A</v>
          </cell>
          <cell r="O7269" t="str">
            <v>[No Vendor]</v>
          </cell>
        </row>
        <row r="7270">
          <cell r="D7270">
            <v>-68.56</v>
          </cell>
          <cell r="H7270">
            <v>45717</v>
          </cell>
          <cell r="I7270" t="str">
            <v>6375 - Freight Expenses</v>
          </cell>
          <cell r="J7270" t="str">
            <v>Ecommerce (US)</v>
          </cell>
          <cell r="K7270" t="str">
            <v>Ecommerce</v>
          </cell>
          <cell r="L7270" t="str">
            <v>Freight</v>
          </cell>
          <cell r="N7270" t="str">
            <v>Direct Costs</v>
          </cell>
          <cell r="O7270" t="str">
            <v>UPS Supply Chain Solutions Inc. (7F24A0)</v>
          </cell>
        </row>
        <row r="7271">
          <cell r="D7271">
            <v>150</v>
          </cell>
          <cell r="H7271">
            <v>45717</v>
          </cell>
          <cell r="I7271" t="str">
            <v>6040 - Employer Paid Benefits</v>
          </cell>
          <cell r="J7271">
            <v>0</v>
          </cell>
          <cell r="K7271" t="str">
            <v>Administration</v>
          </cell>
          <cell r="L7271" t="str">
            <v>HQ Salaries</v>
          </cell>
          <cell r="N7271" t="str">
            <v>SG&amp;A</v>
          </cell>
          <cell r="O7271" t="str">
            <v>Procyon Benefits LLC</v>
          </cell>
        </row>
        <row r="7272">
          <cell r="D7272">
            <v>300</v>
          </cell>
          <cell r="H7272">
            <v>45717</v>
          </cell>
          <cell r="I7272" t="str">
            <v>6288 - Model</v>
          </cell>
          <cell r="J7272" t="str">
            <v>Ecommerce (US)</v>
          </cell>
          <cell r="K7272" t="str">
            <v>Brand Marketing</v>
          </cell>
          <cell r="L7272" t="str">
            <v>Advertising</v>
          </cell>
          <cell r="N7272" t="str">
            <v>SG&amp;A</v>
          </cell>
          <cell r="O7272" t="str">
            <v>State Artist Management</v>
          </cell>
        </row>
        <row r="7273">
          <cell r="D7273">
            <v>877.5</v>
          </cell>
          <cell r="H7273">
            <v>45717</v>
          </cell>
          <cell r="I7273" t="str">
            <v>6300 - Payroll Service Fees</v>
          </cell>
          <cell r="J7273">
            <v>0</v>
          </cell>
          <cell r="K7273" t="str">
            <v>Administration</v>
          </cell>
          <cell r="L7273" t="str">
            <v>Professional Service</v>
          </cell>
          <cell r="N7273" t="str">
            <v>SG&amp;A</v>
          </cell>
          <cell r="O7273" t="str">
            <v>OperationsInc, LLC</v>
          </cell>
        </row>
        <row r="7274">
          <cell r="D7274">
            <v>468.43</v>
          </cell>
          <cell r="H7274">
            <v>45717</v>
          </cell>
          <cell r="I7274" t="str">
            <v>6375 - Freight Expenses</v>
          </cell>
          <cell r="J7274">
            <v>0</v>
          </cell>
          <cell r="K7274" t="str">
            <v>Production</v>
          </cell>
          <cell r="L7274" t="str">
            <v>Freight</v>
          </cell>
          <cell r="N7274" t="str">
            <v>Direct Costs</v>
          </cell>
          <cell r="O7274" t="str">
            <v>DHL Express - USA</v>
          </cell>
        </row>
        <row r="7275">
          <cell r="D7275">
            <v>1158.26</v>
          </cell>
          <cell r="H7275">
            <v>45717</v>
          </cell>
          <cell r="I7275" t="str">
            <v>6375 - Freight Expenses</v>
          </cell>
          <cell r="J7275">
            <v>0</v>
          </cell>
          <cell r="K7275" t="str">
            <v>Production</v>
          </cell>
          <cell r="L7275" t="str">
            <v>Freight</v>
          </cell>
          <cell r="N7275" t="str">
            <v>Direct Costs</v>
          </cell>
          <cell r="O7275" t="str">
            <v>DHL Express - USA</v>
          </cell>
        </row>
        <row r="7276">
          <cell r="D7276">
            <v>1157.8499999999999</v>
          </cell>
          <cell r="H7276">
            <v>45717</v>
          </cell>
          <cell r="I7276" t="str">
            <v>6375 - Freight Expenses</v>
          </cell>
          <cell r="J7276" t="str">
            <v>Ecommerce (US)</v>
          </cell>
          <cell r="K7276" t="str">
            <v>Ecommerce</v>
          </cell>
          <cell r="L7276" t="str">
            <v>Freight</v>
          </cell>
          <cell r="N7276" t="str">
            <v>Direct Costs</v>
          </cell>
          <cell r="O7276" t="str">
            <v>UPS Supply Chain Solutions Inc. (7F24A0)</v>
          </cell>
        </row>
        <row r="7277">
          <cell r="D7277">
            <v>315</v>
          </cell>
          <cell r="H7277">
            <v>45717</v>
          </cell>
          <cell r="I7277" t="str">
            <v>6040 - Employer Paid Benefits</v>
          </cell>
          <cell r="J7277">
            <v>0</v>
          </cell>
          <cell r="K7277" t="str">
            <v>Production</v>
          </cell>
          <cell r="L7277" t="str">
            <v>HQ Salaries</v>
          </cell>
          <cell r="N7277" t="str">
            <v>SG&amp;A</v>
          </cell>
          <cell r="O7277" t="str">
            <v>Procyon Benefits LLC</v>
          </cell>
        </row>
        <row r="7278">
          <cell r="D7278">
            <v>180.45</v>
          </cell>
          <cell r="H7278">
            <v>45717</v>
          </cell>
          <cell r="I7278" t="str">
            <v>6040 - Employer Paid Benefits</v>
          </cell>
          <cell r="J7278">
            <v>0</v>
          </cell>
          <cell r="K7278" t="str">
            <v>Merchandising</v>
          </cell>
          <cell r="L7278" t="str">
            <v>HQ Salaries</v>
          </cell>
          <cell r="N7278" t="str">
            <v>SG&amp;A</v>
          </cell>
          <cell r="O7278" t="str">
            <v>Procyon Benefits LLC</v>
          </cell>
        </row>
        <row r="7279">
          <cell r="D7279">
            <v>1068.9000000000001</v>
          </cell>
          <cell r="H7279">
            <v>45717</v>
          </cell>
          <cell r="I7279" t="str">
            <v>6040 - Employer Paid Benefits</v>
          </cell>
          <cell r="J7279">
            <v>0</v>
          </cell>
          <cell r="K7279" t="str">
            <v>Brand Marketing</v>
          </cell>
          <cell r="L7279" t="str">
            <v>HQ Salaries</v>
          </cell>
          <cell r="N7279" t="str">
            <v>SG&amp;A</v>
          </cell>
          <cell r="O7279" t="str">
            <v>Procyon Benefits LLC</v>
          </cell>
        </row>
        <row r="7280">
          <cell r="D7280">
            <v>21.75</v>
          </cell>
          <cell r="H7280">
            <v>45717</v>
          </cell>
          <cell r="I7280" t="str">
            <v>6040 - Employer Paid Benefits</v>
          </cell>
          <cell r="J7280" t="str">
            <v>Ecommerce (US)</v>
          </cell>
          <cell r="K7280" t="str">
            <v>Ecommerce</v>
          </cell>
          <cell r="L7280" t="str">
            <v>HQ Salaries</v>
          </cell>
          <cell r="N7280" t="str">
            <v>SG&amp;A</v>
          </cell>
          <cell r="O7280" t="str">
            <v>Procyon Benefits LLC</v>
          </cell>
        </row>
        <row r="7281">
          <cell r="D7281">
            <v>348.01</v>
          </cell>
          <cell r="H7281">
            <v>45717</v>
          </cell>
          <cell r="I7281" t="str">
            <v>6040 - Employer Paid Benefits</v>
          </cell>
          <cell r="J7281">
            <v>0</v>
          </cell>
          <cell r="K7281" t="str">
            <v>Executive</v>
          </cell>
          <cell r="L7281" t="str">
            <v>HQ Salaries</v>
          </cell>
          <cell r="N7281" t="str">
            <v>SG&amp;A</v>
          </cell>
          <cell r="O7281" t="str">
            <v>Procyon Benefits LLC</v>
          </cell>
        </row>
        <row r="7282">
          <cell r="D7282">
            <v>913.13</v>
          </cell>
          <cell r="H7282">
            <v>45717</v>
          </cell>
          <cell r="I7282" t="str">
            <v>6375 - Freight Expenses</v>
          </cell>
          <cell r="J7282" t="str">
            <v>Ecommerce (US)</v>
          </cell>
          <cell r="K7282" t="str">
            <v>Ecommerce</v>
          </cell>
          <cell r="L7282" t="str">
            <v>Freight</v>
          </cell>
          <cell r="N7282" t="str">
            <v>Direct Costs</v>
          </cell>
          <cell r="O7282" t="str">
            <v>UPS Supply Chain Solutions Inc. (7F24A0)</v>
          </cell>
        </row>
        <row r="7283">
          <cell r="D7283">
            <v>325.70999999999998</v>
          </cell>
          <cell r="H7283">
            <v>45717</v>
          </cell>
          <cell r="I7283" t="str">
            <v>6375 - Freight Expenses</v>
          </cell>
          <cell r="J7283" t="str">
            <v>Ecommerce (US)</v>
          </cell>
          <cell r="K7283" t="str">
            <v>Ecommerce</v>
          </cell>
          <cell r="L7283" t="str">
            <v>Freight</v>
          </cell>
          <cell r="N7283" t="str">
            <v>Direct Costs</v>
          </cell>
          <cell r="O7283" t="str">
            <v>UPS Supply Chain Solutions Inc. (7F24A0)</v>
          </cell>
        </row>
        <row r="7284">
          <cell r="D7284">
            <v>4984.91</v>
          </cell>
          <cell r="H7284">
            <v>45717</v>
          </cell>
          <cell r="I7284" t="str">
            <v>6450 - Bank &amp; Other Fees</v>
          </cell>
          <cell r="J7284">
            <v>0</v>
          </cell>
          <cell r="K7284" t="str">
            <v>Brand Marketing</v>
          </cell>
          <cell r="L7284" t="str">
            <v>Professional Service</v>
          </cell>
          <cell r="N7284" t="str">
            <v>SG&amp;A</v>
          </cell>
          <cell r="O7284" t="str">
            <v>S.M.E.T.T</v>
          </cell>
        </row>
        <row r="7285">
          <cell r="D7285">
            <v>525.70000000000005</v>
          </cell>
          <cell r="H7285">
            <v>45717</v>
          </cell>
          <cell r="I7285" t="str">
            <v>6300 - Payroll Service Fees</v>
          </cell>
          <cell r="J7285">
            <v>0</v>
          </cell>
          <cell r="K7285" t="str">
            <v>Administration</v>
          </cell>
          <cell r="L7285" t="str">
            <v>Professional Service</v>
          </cell>
          <cell r="N7285" t="str">
            <v>SG&amp;A</v>
          </cell>
          <cell r="O7285" t="str">
            <v>ADP Payroll Services</v>
          </cell>
        </row>
        <row r="7286">
          <cell r="D7286">
            <v>5040.5200000000004</v>
          </cell>
          <cell r="H7286">
            <v>45717</v>
          </cell>
          <cell r="I7286" t="str">
            <v>8505 - Realized Gain/Loss</v>
          </cell>
          <cell r="J7286">
            <v>0</v>
          </cell>
          <cell r="K7286" t="str">
            <v>No Department</v>
          </cell>
          <cell r="L7286" t="str">
            <v>Realized Gain / Loss</v>
          </cell>
          <cell r="N7286" t="str">
            <v>BTL</v>
          </cell>
          <cell r="O7286" t="str">
            <v>[No Vendor]</v>
          </cell>
        </row>
        <row r="7287">
          <cell r="D7287">
            <v>1476.69</v>
          </cell>
          <cell r="H7287">
            <v>45717</v>
          </cell>
          <cell r="I7287" t="str">
            <v>8505 - Realized Gain/Loss</v>
          </cell>
          <cell r="J7287">
            <v>0</v>
          </cell>
          <cell r="K7287" t="str">
            <v>No Department</v>
          </cell>
          <cell r="L7287" t="str">
            <v>Realized Gain / Loss</v>
          </cell>
          <cell r="N7287" t="str">
            <v>BTL</v>
          </cell>
          <cell r="O7287" t="str">
            <v>[No Vendor]</v>
          </cell>
        </row>
        <row r="7288">
          <cell r="D7288">
            <v>345.18</v>
          </cell>
          <cell r="H7288">
            <v>45717</v>
          </cell>
          <cell r="I7288" t="str">
            <v>8505 - Realized Gain/Loss</v>
          </cell>
          <cell r="J7288">
            <v>0</v>
          </cell>
          <cell r="K7288" t="str">
            <v>No Department</v>
          </cell>
          <cell r="L7288" t="str">
            <v>Realized Gain / Loss</v>
          </cell>
          <cell r="N7288" t="str">
            <v>BTL</v>
          </cell>
          <cell r="O7288" t="str">
            <v>[No Vendor]</v>
          </cell>
        </row>
        <row r="7289">
          <cell r="D7289">
            <v>4184.24</v>
          </cell>
          <cell r="H7289">
            <v>45717</v>
          </cell>
          <cell r="I7289" t="str">
            <v>8505 - Realized Gain/Loss</v>
          </cell>
          <cell r="J7289">
            <v>0</v>
          </cell>
          <cell r="K7289" t="str">
            <v>No Department</v>
          </cell>
          <cell r="L7289" t="str">
            <v>Realized Gain / Loss</v>
          </cell>
          <cell r="N7289" t="str">
            <v>BTL</v>
          </cell>
          <cell r="O7289" t="str">
            <v>[No Vendor]</v>
          </cell>
        </row>
        <row r="7290">
          <cell r="D7290">
            <v>10920.6</v>
          </cell>
          <cell r="H7290">
            <v>45717</v>
          </cell>
          <cell r="I7290" t="str">
            <v>6205 - Contractors</v>
          </cell>
          <cell r="J7290" t="str">
            <v>Ecommerce (US)</v>
          </cell>
          <cell r="K7290" t="str">
            <v>Ecommerce</v>
          </cell>
          <cell r="L7290" t="str">
            <v>HQ Salaries</v>
          </cell>
          <cell r="N7290" t="str">
            <v>SG&amp;A</v>
          </cell>
          <cell r="O7290" t="str">
            <v>[No Vendor]</v>
          </cell>
        </row>
        <row r="7291">
          <cell r="D7291">
            <v>23765.34</v>
          </cell>
          <cell r="H7291">
            <v>45717</v>
          </cell>
          <cell r="I7291" t="str">
            <v>6375 - Freight Expenses</v>
          </cell>
          <cell r="J7291" t="str">
            <v>Ecommerce (US)</v>
          </cell>
          <cell r="K7291" t="str">
            <v>Ecommerce</v>
          </cell>
          <cell r="L7291" t="str">
            <v>Freight</v>
          </cell>
          <cell r="N7291" t="str">
            <v>Direct Costs</v>
          </cell>
          <cell r="O7291" t="str">
            <v>UPS Supply Chain Solutions Inc. (7F24A0)</v>
          </cell>
        </row>
        <row r="7292">
          <cell r="D7292">
            <v>249.33</v>
          </cell>
          <cell r="H7292">
            <v>45717</v>
          </cell>
          <cell r="I7292" t="str">
            <v>6105 - Meals</v>
          </cell>
          <cell r="J7292">
            <v>0</v>
          </cell>
          <cell r="K7292" t="str">
            <v>Administration</v>
          </cell>
          <cell r="L7292" t="str">
            <v>T&amp;E</v>
          </cell>
          <cell r="N7292" t="str">
            <v>SG&amp;A</v>
          </cell>
          <cell r="O7292" t="str">
            <v>[No Vendor]</v>
          </cell>
        </row>
        <row r="7293">
          <cell r="D7293">
            <v>1162.17</v>
          </cell>
          <cell r="H7293">
            <v>45717</v>
          </cell>
          <cell r="I7293" t="str">
            <v>6375 - Freight Expenses</v>
          </cell>
          <cell r="J7293" t="str">
            <v>Wholesale</v>
          </cell>
          <cell r="K7293" t="str">
            <v>Wholesale</v>
          </cell>
          <cell r="L7293" t="str">
            <v>Freight</v>
          </cell>
          <cell r="N7293" t="str">
            <v>Direct Costs</v>
          </cell>
          <cell r="O7293" t="str">
            <v>UPS Supply Chain Solutions Inc. (7F24A0)</v>
          </cell>
        </row>
        <row r="7294">
          <cell r="D7294">
            <v>0.01</v>
          </cell>
          <cell r="H7294">
            <v>45717</v>
          </cell>
          <cell r="I7294" t="str">
            <v>8590 - Rounding Gain/Loss</v>
          </cell>
          <cell r="J7294">
            <v>0</v>
          </cell>
          <cell r="K7294" t="str">
            <v>No Department</v>
          </cell>
          <cell r="L7294" t="str">
            <v>Realized Gain / Loss</v>
          </cell>
          <cell r="N7294" t="str">
            <v>BTL</v>
          </cell>
          <cell r="O7294" t="str">
            <v>[No Vendor]</v>
          </cell>
        </row>
        <row r="7295">
          <cell r="D7295">
            <v>286.5</v>
          </cell>
          <cell r="H7295">
            <v>45717</v>
          </cell>
          <cell r="I7295" t="str">
            <v>6040 - Employer Paid Benefits</v>
          </cell>
          <cell r="J7295">
            <v>0</v>
          </cell>
          <cell r="K7295" t="str">
            <v>Administration</v>
          </cell>
          <cell r="L7295" t="str">
            <v>HQ Salaries</v>
          </cell>
          <cell r="N7295" t="str">
            <v>SG&amp;A</v>
          </cell>
          <cell r="O7295" t="str">
            <v>Progressive Benefit Solutions LLC</v>
          </cell>
        </row>
        <row r="7296">
          <cell r="D7296">
            <v>11305.54</v>
          </cell>
          <cell r="H7296">
            <v>45717</v>
          </cell>
          <cell r="I7296" t="str">
            <v>8700 - Other Expense</v>
          </cell>
          <cell r="J7296">
            <v>0</v>
          </cell>
          <cell r="K7296" t="str">
            <v>Administration</v>
          </cell>
          <cell r="L7296" t="str">
            <v>Other Expense</v>
          </cell>
          <cell r="N7296" t="str">
            <v>BTL</v>
          </cell>
          <cell r="O7296" t="str">
            <v>Ontier UK</v>
          </cell>
        </row>
        <row r="7297">
          <cell r="D7297">
            <v>556.66999999999996</v>
          </cell>
          <cell r="H7297">
            <v>45717</v>
          </cell>
          <cell r="I7297" t="str">
            <v>6285 - SEM Brand Marketing</v>
          </cell>
          <cell r="J7297" t="str">
            <v>Ecommerce (EU)</v>
          </cell>
          <cell r="K7297" t="str">
            <v>Brand Marketing</v>
          </cell>
          <cell r="L7297" t="str">
            <v>Advertising</v>
          </cell>
          <cell r="N7297" t="str">
            <v>SG&amp;A</v>
          </cell>
          <cell r="O7297" t="str">
            <v>Google</v>
          </cell>
        </row>
        <row r="7298">
          <cell r="D7298">
            <v>22223.02</v>
          </cell>
          <cell r="H7298">
            <v>45717</v>
          </cell>
          <cell r="I7298" t="str">
            <v>6285 - SEM Brand Marketing</v>
          </cell>
          <cell r="J7298" t="str">
            <v>Ecommerce (US)</v>
          </cell>
          <cell r="K7298" t="str">
            <v>Brand Marketing</v>
          </cell>
          <cell r="L7298" t="str">
            <v>Advertising</v>
          </cell>
          <cell r="N7298" t="str">
            <v>SG&amp;A</v>
          </cell>
          <cell r="O7298" t="str">
            <v>Google</v>
          </cell>
        </row>
        <row r="7299">
          <cell r="D7299">
            <v>21.78</v>
          </cell>
          <cell r="H7299">
            <v>45717</v>
          </cell>
          <cell r="I7299" t="str">
            <v>6393 - Software</v>
          </cell>
          <cell r="J7299">
            <v>0</v>
          </cell>
          <cell r="K7299" t="str">
            <v>Administration</v>
          </cell>
          <cell r="L7299" t="str">
            <v>Professional Service</v>
          </cell>
          <cell r="N7299" t="str">
            <v>Direct Costs</v>
          </cell>
          <cell r="O7299" t="str">
            <v>Chat GPT</v>
          </cell>
        </row>
        <row r="7300">
          <cell r="D7300">
            <v>11.99</v>
          </cell>
          <cell r="H7300">
            <v>45717</v>
          </cell>
          <cell r="I7300" t="str">
            <v>6393 - Software</v>
          </cell>
          <cell r="J7300">
            <v>0</v>
          </cell>
          <cell r="K7300" t="str">
            <v>Administration</v>
          </cell>
          <cell r="L7300" t="str">
            <v>Professional Service</v>
          </cell>
          <cell r="N7300" t="str">
            <v>Direct Costs</v>
          </cell>
          <cell r="O7300" t="str">
            <v>Spotify</v>
          </cell>
        </row>
        <row r="7301">
          <cell r="D7301">
            <v>16.989999999999998</v>
          </cell>
          <cell r="H7301">
            <v>45717</v>
          </cell>
          <cell r="I7301" t="str">
            <v>6393 - Software</v>
          </cell>
          <cell r="J7301">
            <v>0</v>
          </cell>
          <cell r="K7301" t="str">
            <v>Administration</v>
          </cell>
          <cell r="L7301" t="str">
            <v>Professional Service</v>
          </cell>
          <cell r="N7301" t="str">
            <v>Direct Costs</v>
          </cell>
          <cell r="O7301" t="str">
            <v>Otter</v>
          </cell>
        </row>
        <row r="7302">
          <cell r="D7302">
            <v>52932.95</v>
          </cell>
          <cell r="H7302">
            <v>45717</v>
          </cell>
          <cell r="I7302" t="str">
            <v>6393 - Software</v>
          </cell>
          <cell r="J7302" t="str">
            <v>Ecommerce (US)</v>
          </cell>
          <cell r="K7302" t="str">
            <v>Ecommerce</v>
          </cell>
          <cell r="L7302" t="str">
            <v>Professional Service</v>
          </cell>
          <cell r="N7302" t="str">
            <v>Direct Costs</v>
          </cell>
          <cell r="O7302" t="str">
            <v>Attentive Mobile Inc.</v>
          </cell>
        </row>
        <row r="7303">
          <cell r="D7303">
            <v>16.32</v>
          </cell>
          <cell r="H7303">
            <v>45717</v>
          </cell>
          <cell r="I7303" t="str">
            <v>6393 - Software</v>
          </cell>
          <cell r="J7303" t="str">
            <v>Ecommerce (US)</v>
          </cell>
          <cell r="K7303" t="str">
            <v>Ecommerce</v>
          </cell>
          <cell r="L7303" t="str">
            <v>Professional Service</v>
          </cell>
          <cell r="N7303" t="str">
            <v>Direct Costs</v>
          </cell>
          <cell r="O7303" t="str">
            <v>[No Vendor]</v>
          </cell>
        </row>
        <row r="7304">
          <cell r="D7304">
            <v>13.96</v>
          </cell>
          <cell r="H7304">
            <v>45717</v>
          </cell>
          <cell r="I7304" t="str">
            <v>6393 - Software</v>
          </cell>
          <cell r="J7304" t="str">
            <v>Ecommerce (US)</v>
          </cell>
          <cell r="K7304" t="str">
            <v>Ecommerce</v>
          </cell>
          <cell r="L7304" t="str">
            <v>Professional Service</v>
          </cell>
          <cell r="N7304" t="str">
            <v>Direct Costs</v>
          </cell>
          <cell r="O7304" t="str">
            <v>[No Vendor]</v>
          </cell>
        </row>
        <row r="7305">
          <cell r="D7305">
            <v>9.73</v>
          </cell>
          <cell r="H7305">
            <v>45717</v>
          </cell>
          <cell r="I7305" t="str">
            <v>6393 - Software</v>
          </cell>
          <cell r="J7305" t="str">
            <v>Ecommerce (US)</v>
          </cell>
          <cell r="K7305" t="str">
            <v>Ecommerce</v>
          </cell>
          <cell r="L7305" t="str">
            <v>Professional Service</v>
          </cell>
          <cell r="N7305" t="str">
            <v>Direct Costs</v>
          </cell>
          <cell r="O7305" t="str">
            <v>[No Vendor]</v>
          </cell>
        </row>
        <row r="7306">
          <cell r="D7306">
            <v>1651.63</v>
          </cell>
          <cell r="H7306">
            <v>45717</v>
          </cell>
          <cell r="I7306" t="str">
            <v>6393 - Software</v>
          </cell>
          <cell r="J7306" t="str">
            <v>Ecommerce (US)</v>
          </cell>
          <cell r="K7306" t="str">
            <v>Ecommerce</v>
          </cell>
          <cell r="L7306" t="str">
            <v>Professional Service</v>
          </cell>
          <cell r="N7306" t="str">
            <v>Direct Costs</v>
          </cell>
          <cell r="O7306" t="str">
            <v>GORGIAS INC</v>
          </cell>
        </row>
        <row r="7307">
          <cell r="D7307">
            <v>16.32</v>
          </cell>
          <cell r="H7307">
            <v>45717</v>
          </cell>
          <cell r="I7307" t="str">
            <v>6393 - Software</v>
          </cell>
          <cell r="J7307" t="str">
            <v>Ecommerce (US)</v>
          </cell>
          <cell r="K7307" t="str">
            <v>Ecommerce</v>
          </cell>
          <cell r="L7307" t="str">
            <v>Professional Service</v>
          </cell>
          <cell r="N7307" t="str">
            <v>Direct Costs</v>
          </cell>
          <cell r="O7307" t="str">
            <v>[No Vendor]</v>
          </cell>
        </row>
        <row r="7308">
          <cell r="D7308">
            <v>9.5299999999999994</v>
          </cell>
          <cell r="H7308">
            <v>45717</v>
          </cell>
          <cell r="I7308" t="str">
            <v>6393 - Software</v>
          </cell>
          <cell r="J7308" t="str">
            <v>Ecommerce (US)</v>
          </cell>
          <cell r="K7308" t="str">
            <v>Ecommerce</v>
          </cell>
          <cell r="L7308" t="str">
            <v>Professional Service</v>
          </cell>
          <cell r="N7308" t="str">
            <v>Direct Costs</v>
          </cell>
          <cell r="O7308" t="str">
            <v>Slack</v>
          </cell>
        </row>
        <row r="7309">
          <cell r="D7309">
            <v>88</v>
          </cell>
          <cell r="H7309">
            <v>45717</v>
          </cell>
          <cell r="I7309" t="str">
            <v>6393 - Software</v>
          </cell>
          <cell r="J7309" t="str">
            <v>Wholesale</v>
          </cell>
          <cell r="K7309" t="str">
            <v>Wholesale</v>
          </cell>
          <cell r="L7309" t="str">
            <v>Professional Service</v>
          </cell>
          <cell r="N7309" t="str">
            <v>Direct Costs</v>
          </cell>
          <cell r="O7309" t="str">
            <v>SPS Commerce</v>
          </cell>
        </row>
        <row r="7310">
          <cell r="D7310">
            <v>228.64</v>
          </cell>
          <cell r="H7310">
            <v>45717</v>
          </cell>
          <cell r="I7310" t="str">
            <v>6393 - Software</v>
          </cell>
          <cell r="J7310" t="str">
            <v>Wholesale</v>
          </cell>
          <cell r="K7310" t="str">
            <v>Wholesale</v>
          </cell>
          <cell r="L7310" t="str">
            <v>Professional Service</v>
          </cell>
          <cell r="N7310" t="str">
            <v>Direct Costs</v>
          </cell>
          <cell r="O7310" t="str">
            <v>OPEN TEXT INC</v>
          </cell>
        </row>
        <row r="7311">
          <cell r="D7311">
            <v>16466.439999999999</v>
          </cell>
          <cell r="H7311">
            <v>45717</v>
          </cell>
          <cell r="I7311" t="str">
            <v>6286 - SEM</v>
          </cell>
          <cell r="J7311" t="str">
            <v>Ecommerce (EU)</v>
          </cell>
          <cell r="K7311" t="str">
            <v>Ecommerce</v>
          </cell>
          <cell r="L7311" t="str">
            <v>Marketing</v>
          </cell>
          <cell r="N7311" t="str">
            <v>Direct Costs</v>
          </cell>
          <cell r="O7311" t="str">
            <v>Google</v>
          </cell>
        </row>
        <row r="7312">
          <cell r="D7312">
            <v>87131.34</v>
          </cell>
          <cell r="H7312">
            <v>45717</v>
          </cell>
          <cell r="I7312" t="str">
            <v>6286 - SEM</v>
          </cell>
          <cell r="J7312" t="str">
            <v>Ecommerce (US)</v>
          </cell>
          <cell r="K7312" t="str">
            <v>Ecommerce</v>
          </cell>
          <cell r="L7312" t="str">
            <v>Marketing</v>
          </cell>
          <cell r="N7312" t="str">
            <v>Direct Costs</v>
          </cell>
          <cell r="O7312" t="str">
            <v>Google</v>
          </cell>
        </row>
        <row r="7313">
          <cell r="D7313">
            <v>67.06</v>
          </cell>
          <cell r="H7313">
            <v>45717</v>
          </cell>
          <cell r="I7313" t="str">
            <v>6286 - SEM</v>
          </cell>
          <cell r="J7313" t="str">
            <v>Ecommerce (US)</v>
          </cell>
          <cell r="K7313" t="str">
            <v>Ecommerce</v>
          </cell>
          <cell r="L7313" t="str">
            <v>Marketing</v>
          </cell>
          <cell r="N7313" t="str">
            <v>Direct Costs</v>
          </cell>
          <cell r="O7313" t="str">
            <v>Google</v>
          </cell>
        </row>
        <row r="7314">
          <cell r="D7314">
            <v>8777.2999999999993</v>
          </cell>
          <cell r="H7314">
            <v>45717</v>
          </cell>
          <cell r="I7314" t="str">
            <v>6286 - SEM</v>
          </cell>
          <cell r="J7314" t="str">
            <v>Ecommerce (EU)</v>
          </cell>
          <cell r="K7314" t="str">
            <v>Ecommerce</v>
          </cell>
          <cell r="L7314" t="str">
            <v>Marketing</v>
          </cell>
          <cell r="N7314" t="str">
            <v>Direct Costs</v>
          </cell>
          <cell r="O7314" t="str">
            <v>Meta Platforms, Inc</v>
          </cell>
        </row>
        <row r="7315">
          <cell r="D7315">
            <v>130187.44</v>
          </cell>
          <cell r="H7315">
            <v>45717</v>
          </cell>
          <cell r="I7315" t="str">
            <v>6286 - SEM</v>
          </cell>
          <cell r="J7315" t="str">
            <v>Ecommerce (US)</v>
          </cell>
          <cell r="K7315" t="str">
            <v>Ecommerce</v>
          </cell>
          <cell r="L7315" t="str">
            <v>Marketing</v>
          </cell>
          <cell r="N7315" t="str">
            <v>Direct Costs</v>
          </cell>
          <cell r="O7315" t="str">
            <v>Meta Platforms, Inc</v>
          </cell>
        </row>
        <row r="7316">
          <cell r="D7316">
            <v>5903.69</v>
          </cell>
          <cell r="H7316">
            <v>45717</v>
          </cell>
          <cell r="I7316" t="str">
            <v>6380 - Legal &amp; Accounting</v>
          </cell>
          <cell r="J7316">
            <v>0</v>
          </cell>
          <cell r="K7316" t="str">
            <v>Administration</v>
          </cell>
          <cell r="L7316" t="str">
            <v>Professional Service</v>
          </cell>
          <cell r="N7316" t="str">
            <v>SG&amp;A</v>
          </cell>
          <cell r="O7316" t="str">
            <v>The Wave IP Law Firm</v>
          </cell>
        </row>
        <row r="7317">
          <cell r="D7317">
            <v>366.2</v>
          </cell>
          <cell r="H7317">
            <v>45717</v>
          </cell>
          <cell r="I7317" t="str">
            <v>6340 - Miscellaneous Expense</v>
          </cell>
          <cell r="J7317">
            <v>0</v>
          </cell>
          <cell r="K7317" t="str">
            <v>Administration</v>
          </cell>
          <cell r="L7317" t="str">
            <v>Other</v>
          </cell>
          <cell r="N7317" t="str">
            <v>SG&amp;A</v>
          </cell>
          <cell r="O7317" t="str">
            <v>Amazon Capital Services</v>
          </cell>
        </row>
        <row r="7318">
          <cell r="D7318">
            <v>113.22</v>
          </cell>
          <cell r="H7318">
            <v>45717</v>
          </cell>
          <cell r="I7318" t="str">
            <v>6340 - Miscellaneous Expense</v>
          </cell>
          <cell r="J7318">
            <v>0</v>
          </cell>
          <cell r="K7318" t="str">
            <v>Administration</v>
          </cell>
          <cell r="L7318" t="str">
            <v>Other</v>
          </cell>
          <cell r="N7318" t="str">
            <v>SG&amp;A</v>
          </cell>
          <cell r="O7318" t="str">
            <v>[No Vendor]</v>
          </cell>
        </row>
        <row r="7319">
          <cell r="D7319">
            <v>363.72</v>
          </cell>
          <cell r="H7319">
            <v>45717</v>
          </cell>
          <cell r="I7319" t="str">
            <v>6340 - Miscellaneous Expense</v>
          </cell>
          <cell r="J7319">
            <v>0</v>
          </cell>
          <cell r="K7319" t="str">
            <v>Design</v>
          </cell>
          <cell r="L7319" t="str">
            <v>Other</v>
          </cell>
          <cell r="N7319" t="str">
            <v>SG&amp;A</v>
          </cell>
          <cell r="O7319" t="str">
            <v>[No Vendor]</v>
          </cell>
        </row>
        <row r="7320">
          <cell r="D7320">
            <v>47.62</v>
          </cell>
          <cell r="H7320">
            <v>45717</v>
          </cell>
          <cell r="I7320" t="str">
            <v>6340 - Miscellaneous Expense</v>
          </cell>
          <cell r="J7320" t="str">
            <v>Wholesale</v>
          </cell>
          <cell r="K7320" t="str">
            <v>Wholesale</v>
          </cell>
          <cell r="L7320" t="str">
            <v>Other</v>
          </cell>
          <cell r="N7320" t="str">
            <v>SG&amp;A</v>
          </cell>
          <cell r="O7320" t="str">
            <v>[No Vendor]</v>
          </cell>
        </row>
        <row r="7321">
          <cell r="D7321">
            <v>103.5</v>
          </cell>
          <cell r="H7321">
            <v>45717</v>
          </cell>
          <cell r="I7321" t="str">
            <v>6370 - Samples</v>
          </cell>
          <cell r="J7321">
            <v>0</v>
          </cell>
          <cell r="K7321" t="str">
            <v>Design</v>
          </cell>
          <cell r="L7321" t="str">
            <v>Sample</v>
          </cell>
          <cell r="N7321" t="str">
            <v>SG&amp;A</v>
          </cell>
          <cell r="O7321" t="str">
            <v>[No Vendor]</v>
          </cell>
        </row>
        <row r="7322">
          <cell r="D7322">
            <v>5</v>
          </cell>
          <cell r="H7322">
            <v>45717</v>
          </cell>
          <cell r="I7322" t="str">
            <v>6140 - Other</v>
          </cell>
          <cell r="J7322">
            <v>0</v>
          </cell>
          <cell r="K7322" t="str">
            <v>Design</v>
          </cell>
          <cell r="L7322" t="str">
            <v>T&amp;E</v>
          </cell>
          <cell r="N7322" t="str">
            <v>SG&amp;A</v>
          </cell>
          <cell r="O7322" t="str">
            <v>[No Vendor]</v>
          </cell>
        </row>
        <row r="7323">
          <cell r="D7323">
            <v>5</v>
          </cell>
          <cell r="H7323">
            <v>45717</v>
          </cell>
          <cell r="I7323" t="str">
            <v>6140 - Other</v>
          </cell>
          <cell r="J7323">
            <v>0</v>
          </cell>
          <cell r="K7323" t="str">
            <v>Design</v>
          </cell>
          <cell r="L7323" t="str">
            <v>T&amp;E</v>
          </cell>
          <cell r="N7323" t="str">
            <v>SG&amp;A</v>
          </cell>
          <cell r="O7323" t="str">
            <v>[No Vendor]</v>
          </cell>
        </row>
        <row r="7324">
          <cell r="D7324">
            <v>5</v>
          </cell>
          <cell r="H7324">
            <v>45717</v>
          </cell>
          <cell r="I7324" t="str">
            <v>6140 - Other</v>
          </cell>
          <cell r="J7324">
            <v>0</v>
          </cell>
          <cell r="K7324" t="str">
            <v>Design</v>
          </cell>
          <cell r="L7324" t="str">
            <v>T&amp;E</v>
          </cell>
          <cell r="N7324" t="str">
            <v>SG&amp;A</v>
          </cell>
          <cell r="O7324" t="str">
            <v>[No Vendor]</v>
          </cell>
        </row>
        <row r="7325">
          <cell r="D7325">
            <v>34</v>
          </cell>
          <cell r="H7325">
            <v>45717</v>
          </cell>
          <cell r="I7325" t="str">
            <v>6140 - Other</v>
          </cell>
          <cell r="J7325">
            <v>0</v>
          </cell>
          <cell r="K7325" t="str">
            <v>Design</v>
          </cell>
          <cell r="L7325" t="str">
            <v>T&amp;E</v>
          </cell>
          <cell r="N7325" t="str">
            <v>SG&amp;A</v>
          </cell>
          <cell r="O7325" t="str">
            <v>[No Vendor]</v>
          </cell>
        </row>
        <row r="7326">
          <cell r="D7326">
            <v>306.97000000000003</v>
          </cell>
          <cell r="H7326">
            <v>45717</v>
          </cell>
          <cell r="I7326" t="str">
            <v>6120 - Lodging</v>
          </cell>
          <cell r="J7326" t="str">
            <v>Ecommerce (US)</v>
          </cell>
          <cell r="K7326" t="str">
            <v>Ecommerce</v>
          </cell>
          <cell r="L7326" t="str">
            <v>T&amp;E</v>
          </cell>
          <cell r="N7326" t="str">
            <v>SG&amp;A</v>
          </cell>
          <cell r="O7326" t="str">
            <v>[No Vendor]</v>
          </cell>
        </row>
        <row r="7327">
          <cell r="D7327">
            <v>178.98</v>
          </cell>
          <cell r="H7327">
            <v>45717</v>
          </cell>
          <cell r="I7327" t="str">
            <v>6120 - Lodging</v>
          </cell>
          <cell r="J7327" t="str">
            <v>Ecommerce (US)</v>
          </cell>
          <cell r="K7327" t="str">
            <v>Ecommerce</v>
          </cell>
          <cell r="L7327" t="str">
            <v>T&amp;E</v>
          </cell>
          <cell r="N7327" t="str">
            <v>SG&amp;A</v>
          </cell>
          <cell r="O7327" t="str">
            <v>[No Vendor]</v>
          </cell>
        </row>
        <row r="7328">
          <cell r="D7328">
            <v>1138.81</v>
          </cell>
          <cell r="H7328">
            <v>45717</v>
          </cell>
          <cell r="I7328" t="str">
            <v>6120 - Lodging</v>
          </cell>
          <cell r="J7328" t="str">
            <v>Ecommerce (US)</v>
          </cell>
          <cell r="K7328" t="str">
            <v>Ecommerce</v>
          </cell>
          <cell r="L7328" t="str">
            <v>T&amp;E</v>
          </cell>
          <cell r="N7328" t="str">
            <v>SG&amp;A</v>
          </cell>
          <cell r="O7328" t="str">
            <v>[No Vendor]</v>
          </cell>
        </row>
        <row r="7329">
          <cell r="D7329">
            <v>272.7</v>
          </cell>
          <cell r="H7329">
            <v>45717</v>
          </cell>
          <cell r="I7329" t="str">
            <v>6120 - Lodging</v>
          </cell>
          <cell r="J7329" t="str">
            <v>Ecommerce (US)</v>
          </cell>
          <cell r="K7329" t="str">
            <v>Ecommerce</v>
          </cell>
          <cell r="L7329" t="str">
            <v>T&amp;E</v>
          </cell>
          <cell r="N7329" t="str">
            <v>SG&amp;A</v>
          </cell>
          <cell r="O7329" t="str">
            <v>[No Vendor]</v>
          </cell>
        </row>
        <row r="7330">
          <cell r="D7330">
            <v>0.15</v>
          </cell>
          <cell r="H7330">
            <v>45717</v>
          </cell>
          <cell r="I7330" t="str">
            <v>6450 - Bank &amp; Other Fees</v>
          </cell>
          <cell r="J7330" t="str">
            <v>Ecommerce (US)</v>
          </cell>
          <cell r="K7330" t="str">
            <v>Ecommerce</v>
          </cell>
          <cell r="L7330" t="str">
            <v>Professional Service</v>
          </cell>
          <cell r="N7330" t="str">
            <v>Direct Costs</v>
          </cell>
          <cell r="O7330" t="str">
            <v>[No Vendor]</v>
          </cell>
        </row>
        <row r="7331">
          <cell r="D7331">
            <v>0.21</v>
          </cell>
          <cell r="H7331">
            <v>45717</v>
          </cell>
          <cell r="I7331" t="str">
            <v>6450 - Bank &amp; Other Fees</v>
          </cell>
          <cell r="J7331" t="str">
            <v>Ecommerce (US)</v>
          </cell>
          <cell r="K7331" t="str">
            <v>Ecommerce</v>
          </cell>
          <cell r="L7331" t="str">
            <v>Professional Service</v>
          </cell>
          <cell r="N7331" t="str">
            <v>Direct Costs</v>
          </cell>
          <cell r="O7331" t="str">
            <v>[No Vendor]</v>
          </cell>
        </row>
        <row r="7332">
          <cell r="D7332">
            <v>506.25</v>
          </cell>
          <cell r="H7332">
            <v>45717</v>
          </cell>
          <cell r="I7332" t="str">
            <v>6300 - Payroll Service Fees</v>
          </cell>
          <cell r="J7332">
            <v>0</v>
          </cell>
          <cell r="K7332" t="str">
            <v>Administration</v>
          </cell>
          <cell r="L7332" t="str">
            <v>Professional Service</v>
          </cell>
          <cell r="N7332" t="str">
            <v>SG&amp;A</v>
          </cell>
          <cell r="O7332" t="str">
            <v>OperationsInc, LLC</v>
          </cell>
        </row>
        <row r="7333">
          <cell r="D7333">
            <v>13808.01</v>
          </cell>
          <cell r="H7333">
            <v>45717</v>
          </cell>
          <cell r="I7333" t="str">
            <v>6225 - Professional Services</v>
          </cell>
          <cell r="J7333" t="str">
            <v>Ecommerce (US)</v>
          </cell>
          <cell r="K7333" t="str">
            <v>Ecommerce</v>
          </cell>
          <cell r="L7333" t="str">
            <v>Professional Service</v>
          </cell>
          <cell r="N7333" t="str">
            <v>Direct Costs</v>
          </cell>
          <cell r="O7333" t="str">
            <v>Rareview, LLC</v>
          </cell>
        </row>
        <row r="7334">
          <cell r="D7334">
            <v>150</v>
          </cell>
          <cell r="H7334">
            <v>45717</v>
          </cell>
          <cell r="I7334" t="str">
            <v>6225 - Professional Services</v>
          </cell>
          <cell r="J7334">
            <v>0</v>
          </cell>
          <cell r="K7334" t="str">
            <v>Administration</v>
          </cell>
          <cell r="L7334" t="str">
            <v>Professional Service</v>
          </cell>
          <cell r="N7334" t="str">
            <v>Direct Costs</v>
          </cell>
          <cell r="O7334" t="str">
            <v>Benefit Resource, LLC</v>
          </cell>
        </row>
        <row r="7335">
          <cell r="D7335">
            <v>28.93</v>
          </cell>
          <cell r="H7335">
            <v>45717</v>
          </cell>
          <cell r="I7335" t="str">
            <v>6125 - Transportation and Fuel</v>
          </cell>
          <cell r="J7335">
            <v>0</v>
          </cell>
          <cell r="K7335" t="str">
            <v>Administration</v>
          </cell>
          <cell r="L7335" t="str">
            <v>T&amp;E</v>
          </cell>
          <cell r="N7335" t="str">
            <v>SG&amp;A</v>
          </cell>
          <cell r="O7335" t="str">
            <v>[No Vendor]</v>
          </cell>
        </row>
        <row r="7336">
          <cell r="D7336">
            <v>44.97</v>
          </cell>
          <cell r="H7336">
            <v>45717</v>
          </cell>
          <cell r="I7336" t="str">
            <v>6125 - Transportation and Fuel</v>
          </cell>
          <cell r="J7336">
            <v>0</v>
          </cell>
          <cell r="K7336" t="str">
            <v>Design</v>
          </cell>
          <cell r="L7336" t="str">
            <v>T&amp;E</v>
          </cell>
          <cell r="N7336" t="str">
            <v>SG&amp;A</v>
          </cell>
          <cell r="O7336" t="str">
            <v>[No Vendor]</v>
          </cell>
        </row>
        <row r="7337">
          <cell r="D7337">
            <v>287.39999999999998</v>
          </cell>
          <cell r="H7337">
            <v>45717</v>
          </cell>
          <cell r="I7337" t="str">
            <v>6115 - Airfare</v>
          </cell>
          <cell r="J7337">
            <v>0</v>
          </cell>
          <cell r="K7337" t="str">
            <v>Design</v>
          </cell>
          <cell r="L7337" t="str">
            <v>T&amp;E</v>
          </cell>
          <cell r="N7337" t="str">
            <v>SG&amp;A</v>
          </cell>
          <cell r="O7337" t="str">
            <v>[No Vendor]</v>
          </cell>
        </row>
        <row r="7338">
          <cell r="D7338">
            <v>169.9</v>
          </cell>
          <cell r="H7338">
            <v>45717</v>
          </cell>
          <cell r="I7338" t="str">
            <v>6115 - Airfare</v>
          </cell>
          <cell r="J7338">
            <v>0</v>
          </cell>
          <cell r="K7338" t="str">
            <v>Design</v>
          </cell>
          <cell r="L7338" t="str">
            <v>T&amp;E</v>
          </cell>
          <cell r="N7338" t="str">
            <v>SG&amp;A</v>
          </cell>
          <cell r="O7338" t="str">
            <v>[No Vendor]</v>
          </cell>
        </row>
        <row r="7339">
          <cell r="D7339">
            <v>276.3</v>
          </cell>
          <cell r="H7339">
            <v>45717</v>
          </cell>
          <cell r="I7339" t="str">
            <v>6115 - Airfare</v>
          </cell>
          <cell r="J7339">
            <v>0</v>
          </cell>
          <cell r="K7339" t="str">
            <v>Design</v>
          </cell>
          <cell r="L7339" t="str">
            <v>T&amp;E</v>
          </cell>
          <cell r="N7339" t="str">
            <v>SG&amp;A</v>
          </cell>
          <cell r="O7339" t="str">
            <v>[No Vendor]</v>
          </cell>
        </row>
        <row r="7340">
          <cell r="D7340">
            <v>1503.61</v>
          </cell>
          <cell r="H7340">
            <v>45717</v>
          </cell>
          <cell r="I7340" t="str">
            <v>6115 - Airfare</v>
          </cell>
          <cell r="J7340">
            <v>0</v>
          </cell>
          <cell r="K7340" t="str">
            <v>Design</v>
          </cell>
          <cell r="L7340" t="str">
            <v>T&amp;E</v>
          </cell>
          <cell r="N7340" t="str">
            <v>SG&amp;A</v>
          </cell>
          <cell r="O7340" t="str">
            <v>[No Vendor]</v>
          </cell>
        </row>
        <row r="7341">
          <cell r="D7341">
            <v>94.91</v>
          </cell>
          <cell r="H7341">
            <v>45717</v>
          </cell>
          <cell r="I7341" t="str">
            <v>6105 - Meals</v>
          </cell>
          <cell r="J7341">
            <v>0</v>
          </cell>
          <cell r="K7341" t="str">
            <v>Administration</v>
          </cell>
          <cell r="L7341" t="str">
            <v>T&amp;E</v>
          </cell>
          <cell r="N7341" t="str">
            <v>SG&amp;A</v>
          </cell>
          <cell r="O7341" t="str">
            <v>[No Vendor]</v>
          </cell>
        </row>
        <row r="7342">
          <cell r="D7342">
            <v>389.84</v>
          </cell>
          <cell r="H7342">
            <v>45717</v>
          </cell>
          <cell r="I7342" t="str">
            <v>6375 - Freight Expenses</v>
          </cell>
          <cell r="J7342">
            <v>0</v>
          </cell>
          <cell r="K7342" t="str">
            <v>Brand Marketing</v>
          </cell>
          <cell r="L7342" t="str">
            <v>Freight</v>
          </cell>
          <cell r="N7342" t="str">
            <v>Direct Costs</v>
          </cell>
          <cell r="O7342" t="str">
            <v>GFD Courier Corporation</v>
          </cell>
        </row>
        <row r="7343">
          <cell r="D7343">
            <v>958.81</v>
          </cell>
          <cell r="H7343">
            <v>45717</v>
          </cell>
          <cell r="I7343" t="str">
            <v>6375 - Freight Expenses</v>
          </cell>
          <cell r="J7343">
            <v>0</v>
          </cell>
          <cell r="K7343" t="str">
            <v>Production</v>
          </cell>
          <cell r="L7343" t="str">
            <v>Freight</v>
          </cell>
          <cell r="N7343" t="str">
            <v>Direct Costs</v>
          </cell>
          <cell r="O7343" t="str">
            <v>DHL Express - USA</v>
          </cell>
        </row>
        <row r="7344">
          <cell r="D7344">
            <v>653.39</v>
          </cell>
          <cell r="H7344">
            <v>45717</v>
          </cell>
          <cell r="I7344" t="str">
            <v>6375 - Freight Expenses</v>
          </cell>
          <cell r="J7344">
            <v>0</v>
          </cell>
          <cell r="K7344" t="str">
            <v>Production</v>
          </cell>
          <cell r="L7344" t="str">
            <v>Freight</v>
          </cell>
          <cell r="N7344" t="str">
            <v>Direct Costs</v>
          </cell>
          <cell r="O7344" t="str">
            <v>DHL Express - USA</v>
          </cell>
        </row>
        <row r="7345">
          <cell r="D7345">
            <v>-0.01</v>
          </cell>
          <cell r="H7345">
            <v>45717</v>
          </cell>
          <cell r="I7345" t="str">
            <v>8590 - Rounding Gain/Loss</v>
          </cell>
          <cell r="J7345">
            <v>0</v>
          </cell>
          <cell r="K7345" t="str">
            <v>No Department</v>
          </cell>
          <cell r="L7345" t="str">
            <v>Realized Gain / Loss</v>
          </cell>
          <cell r="N7345" t="str">
            <v>BTL</v>
          </cell>
          <cell r="O7345" t="str">
            <v>[No Vendor]</v>
          </cell>
        </row>
        <row r="7346">
          <cell r="D7346">
            <v>-37000</v>
          </cell>
          <cell r="H7346">
            <v>45717</v>
          </cell>
          <cell r="I7346" t="str">
            <v>4010 - Revenue - Licensing Fees (Royalties)</v>
          </cell>
          <cell r="J7346">
            <v>0</v>
          </cell>
          <cell r="K7346" t="str">
            <v>Licensing</v>
          </cell>
          <cell r="L7346" t="str">
            <v>License</v>
          </cell>
          <cell r="N7346" t="str">
            <v>Revenue</v>
          </cell>
          <cell r="O7346" t="str">
            <v>[No Vendor]</v>
          </cell>
        </row>
        <row r="7347">
          <cell r="D7347">
            <v>59747.35</v>
          </cell>
          <cell r="H7347">
            <v>45717</v>
          </cell>
          <cell r="I7347" t="str">
            <v>8050 - Other Income</v>
          </cell>
          <cell r="J7347">
            <v>0</v>
          </cell>
          <cell r="K7347" t="str">
            <v>Licensing</v>
          </cell>
          <cell r="L7347" t="str">
            <v>Other Income (BTL)</v>
          </cell>
          <cell r="N7347" t="str">
            <v>BTL</v>
          </cell>
          <cell r="O7347" t="str">
            <v>[No Vendor]</v>
          </cell>
        </row>
        <row r="7348">
          <cell r="D7348">
            <v>-9973.5300000000007</v>
          </cell>
          <cell r="H7348">
            <v>45717</v>
          </cell>
          <cell r="I7348" t="str">
            <v>8050 - Other Income</v>
          </cell>
          <cell r="J7348">
            <v>0</v>
          </cell>
          <cell r="K7348" t="str">
            <v>Administration</v>
          </cell>
          <cell r="L7348" t="str">
            <v>Other Income (BTL)</v>
          </cell>
          <cell r="N7348" t="str">
            <v>BTL</v>
          </cell>
          <cell r="O7348" t="str">
            <v>[No Vendor]</v>
          </cell>
        </row>
        <row r="7349">
          <cell r="D7349">
            <v>-1519.05</v>
          </cell>
          <cell r="H7349">
            <v>45717</v>
          </cell>
          <cell r="I7349" t="str">
            <v>6379 - Warehouse Storage</v>
          </cell>
          <cell r="J7349" t="str">
            <v>Ecommerce (US)</v>
          </cell>
          <cell r="K7349" t="str">
            <v>Ecommerce</v>
          </cell>
          <cell r="L7349" t="str">
            <v>Order Processing</v>
          </cell>
          <cell r="N7349" t="str">
            <v>Direct Costs</v>
          </cell>
          <cell r="O7349" t="str">
            <v>Bergen Logistics Corporation</v>
          </cell>
        </row>
        <row r="7350">
          <cell r="D7350">
            <v>1519.05</v>
          </cell>
          <cell r="H7350">
            <v>45717</v>
          </cell>
          <cell r="I7350" t="str">
            <v>6379 - Warehouse Storage</v>
          </cell>
          <cell r="J7350" t="str">
            <v>Ecommerce (EU)</v>
          </cell>
          <cell r="K7350" t="str">
            <v>Ecommerce</v>
          </cell>
          <cell r="L7350" t="str">
            <v>Order Processing</v>
          </cell>
          <cell r="N7350" t="str">
            <v>Direct Costs</v>
          </cell>
          <cell r="O7350" t="str">
            <v>Bergen Logistics Corporation</v>
          </cell>
        </row>
        <row r="7351">
          <cell r="D7351">
            <v>3000</v>
          </cell>
          <cell r="H7351">
            <v>45717</v>
          </cell>
          <cell r="I7351" t="str">
            <v>6379 - Warehouse Storage</v>
          </cell>
          <cell r="J7351" t="str">
            <v>Wholesale</v>
          </cell>
          <cell r="K7351" t="str">
            <v>Wholesale</v>
          </cell>
          <cell r="L7351" t="str">
            <v>Order Processing</v>
          </cell>
          <cell r="N7351" t="str">
            <v>Direct Costs</v>
          </cell>
          <cell r="O7351" t="str">
            <v>Bergen Logistics Corporation</v>
          </cell>
        </row>
        <row r="7352">
          <cell r="D7352">
            <v>13000</v>
          </cell>
          <cell r="H7352">
            <v>45717</v>
          </cell>
          <cell r="I7352" t="str">
            <v>6379 - Warehouse Storage</v>
          </cell>
          <cell r="J7352" t="str">
            <v>Ecommerce (US)</v>
          </cell>
          <cell r="K7352" t="str">
            <v>Ecommerce</v>
          </cell>
          <cell r="L7352" t="str">
            <v>Order Processing</v>
          </cell>
          <cell r="N7352" t="str">
            <v>Direct Costs</v>
          </cell>
          <cell r="O7352" t="str">
            <v>Bergen Logistics Corporation</v>
          </cell>
        </row>
        <row r="7353">
          <cell r="D7353">
            <v>300</v>
          </cell>
          <cell r="H7353">
            <v>45717</v>
          </cell>
          <cell r="I7353" t="str">
            <v>6376 - Freight Supplies Other</v>
          </cell>
          <cell r="J7353" t="str">
            <v>Ecommerce (EU)</v>
          </cell>
          <cell r="K7353" t="str">
            <v>Ecommerce</v>
          </cell>
          <cell r="L7353" t="str">
            <v>Order Processing</v>
          </cell>
          <cell r="N7353" t="str">
            <v>Direct Costs</v>
          </cell>
          <cell r="O7353" t="str">
            <v>Bergen Logistics Corporation</v>
          </cell>
        </row>
        <row r="7354">
          <cell r="D7354">
            <v>5000</v>
          </cell>
          <cell r="H7354">
            <v>45717</v>
          </cell>
          <cell r="I7354" t="str">
            <v>6376 - Freight Supplies Other</v>
          </cell>
          <cell r="J7354" t="str">
            <v>Ecommerce (US)</v>
          </cell>
          <cell r="K7354" t="str">
            <v>Ecommerce</v>
          </cell>
          <cell r="L7354" t="str">
            <v>Order Processing</v>
          </cell>
          <cell r="N7354" t="str">
            <v>Direct Costs</v>
          </cell>
          <cell r="O7354" t="str">
            <v>Bergen Logistics Corporation</v>
          </cell>
        </row>
        <row r="7355">
          <cell r="D7355">
            <v>5038.8900000000003</v>
          </cell>
          <cell r="H7355">
            <v>45717</v>
          </cell>
          <cell r="I7355" t="str">
            <v>6451 - Service Processing Fee</v>
          </cell>
          <cell r="J7355" t="str">
            <v>Ecommerce (EU)</v>
          </cell>
          <cell r="K7355" t="str">
            <v>Ecommerce</v>
          </cell>
          <cell r="L7355" t="str">
            <v>Professional Service</v>
          </cell>
          <cell r="N7355" t="str">
            <v>Direct Costs</v>
          </cell>
          <cell r="O7355" t="str">
            <v>[No Vendor]</v>
          </cell>
        </row>
        <row r="7356">
          <cell r="D7356">
            <v>7815.32</v>
          </cell>
          <cell r="H7356">
            <v>45717</v>
          </cell>
          <cell r="I7356" t="str">
            <v>6451 - Service Processing Fee</v>
          </cell>
          <cell r="J7356" t="str">
            <v>Ecommerce (US)</v>
          </cell>
          <cell r="K7356" t="str">
            <v>Ecommerce</v>
          </cell>
          <cell r="L7356" t="str">
            <v>Professional Service</v>
          </cell>
          <cell r="N7356" t="str">
            <v>Direct Costs</v>
          </cell>
          <cell r="O7356" t="str">
            <v>Amazon</v>
          </cell>
        </row>
        <row r="7357">
          <cell r="D7357">
            <v>42744.14</v>
          </cell>
          <cell r="H7357">
            <v>45717</v>
          </cell>
          <cell r="I7357" t="str">
            <v>6451 - Service Processing Fee</v>
          </cell>
          <cell r="J7357" t="str">
            <v>Ecommerce (US)</v>
          </cell>
          <cell r="K7357" t="str">
            <v>Ecommerce</v>
          </cell>
          <cell r="L7357" t="str">
            <v>Professional Service</v>
          </cell>
          <cell r="N7357" t="str">
            <v>Direct Costs</v>
          </cell>
          <cell r="O7357" t="str">
            <v>Shopify</v>
          </cell>
        </row>
        <row r="7358">
          <cell r="D7358">
            <v>473646.31</v>
          </cell>
          <cell r="H7358">
            <v>45717</v>
          </cell>
          <cell r="I7358" t="str">
            <v>8700 - Other Expense</v>
          </cell>
          <cell r="J7358" t="str">
            <v>Ecommerce (US)</v>
          </cell>
          <cell r="K7358" t="str">
            <v>Ecommerce</v>
          </cell>
          <cell r="L7358" t="str">
            <v>Other Expense</v>
          </cell>
          <cell r="N7358" t="str">
            <v>BTL</v>
          </cell>
          <cell r="O7358" t="str">
            <v>[No Vendor]</v>
          </cell>
        </row>
        <row r="7359">
          <cell r="D7359">
            <v>-498673.36</v>
          </cell>
          <cell r="H7359">
            <v>45717</v>
          </cell>
          <cell r="I7359" t="str">
            <v>8700 - Other Expense</v>
          </cell>
          <cell r="J7359" t="str">
            <v>Ecommerce (EU)</v>
          </cell>
          <cell r="K7359" t="str">
            <v>Ecommerce</v>
          </cell>
          <cell r="L7359" t="str">
            <v>Other Expense</v>
          </cell>
          <cell r="N7359" t="str">
            <v>BTL</v>
          </cell>
          <cell r="O7359" t="str">
            <v>Global E</v>
          </cell>
        </row>
        <row r="7360">
          <cell r="D7360">
            <v>300000</v>
          </cell>
          <cell r="H7360">
            <v>45717</v>
          </cell>
          <cell r="I7360" t="str">
            <v>8700 - Other Expense</v>
          </cell>
          <cell r="J7360">
            <v>0</v>
          </cell>
          <cell r="K7360" t="str">
            <v>Administration</v>
          </cell>
          <cell r="L7360" t="str">
            <v>Other Expense</v>
          </cell>
          <cell r="N7360" t="str">
            <v>BTL</v>
          </cell>
          <cell r="O7360" t="str">
            <v>[No Vendor]</v>
          </cell>
        </row>
        <row r="7361">
          <cell r="D7361">
            <v>-95093.68</v>
          </cell>
          <cell r="H7361">
            <v>45717</v>
          </cell>
          <cell r="I7361" t="str">
            <v>5001 - Cost of Goods Sold - Other</v>
          </cell>
          <cell r="J7361" t="str">
            <v>Ecommerce (US)</v>
          </cell>
          <cell r="K7361" t="str">
            <v>Ecommerce</v>
          </cell>
          <cell r="L7361" t="str">
            <v>Other COGS</v>
          </cell>
          <cell r="N7361" t="str">
            <v>COGS</v>
          </cell>
          <cell r="O7361" t="str">
            <v>[No Vendor]</v>
          </cell>
        </row>
        <row r="7362">
          <cell r="D7362">
            <v>-61115.6</v>
          </cell>
          <cell r="H7362">
            <v>45717</v>
          </cell>
          <cell r="I7362" t="str">
            <v>6445 - Inventory Write Down</v>
          </cell>
          <cell r="J7362" t="str">
            <v>Ecommerce (US)</v>
          </cell>
          <cell r="K7362" t="str">
            <v>Ecommerce</v>
          </cell>
          <cell r="L7362" t="str">
            <v>Other</v>
          </cell>
          <cell r="N7362" t="str">
            <v>SG&amp;A</v>
          </cell>
          <cell r="O7362" t="str">
            <v>[No Vendor]</v>
          </cell>
        </row>
        <row r="7363">
          <cell r="D7363">
            <v>63739.25</v>
          </cell>
          <cell r="H7363">
            <v>45717</v>
          </cell>
          <cell r="I7363" t="str">
            <v>6445 - Inventory Write Down</v>
          </cell>
          <cell r="J7363">
            <v>0</v>
          </cell>
          <cell r="K7363" t="str">
            <v>Administration</v>
          </cell>
          <cell r="L7363" t="str">
            <v>Other</v>
          </cell>
          <cell r="N7363" t="str">
            <v>SG&amp;A</v>
          </cell>
          <cell r="O7363" t="str">
            <v>[No Vendor]</v>
          </cell>
        </row>
        <row r="7364">
          <cell r="D7364">
            <v>28177.5</v>
          </cell>
          <cell r="H7364">
            <v>45717</v>
          </cell>
          <cell r="I7364" t="str">
            <v>6445 - Inventory Write Down</v>
          </cell>
          <cell r="J7364" t="str">
            <v>Ecommerce (US)</v>
          </cell>
          <cell r="K7364" t="str">
            <v>Ecommerce</v>
          </cell>
          <cell r="L7364" t="str">
            <v>Other</v>
          </cell>
          <cell r="N7364" t="str">
            <v>SG&amp;A</v>
          </cell>
          <cell r="O7364" t="str">
            <v>[No Vendor]</v>
          </cell>
        </row>
        <row r="7365">
          <cell r="D7365">
            <v>7044.37</v>
          </cell>
          <cell r="H7365">
            <v>45717</v>
          </cell>
          <cell r="I7365" t="str">
            <v>6445 - Inventory Write Down</v>
          </cell>
          <cell r="J7365" t="str">
            <v>Wholesale</v>
          </cell>
          <cell r="K7365" t="str">
            <v>Wholesale</v>
          </cell>
          <cell r="L7365" t="str">
            <v>Other</v>
          </cell>
          <cell r="N7365" t="str">
            <v>SG&amp;A</v>
          </cell>
          <cell r="O7365" t="str">
            <v>[No Vendor]</v>
          </cell>
        </row>
        <row r="7366">
          <cell r="D7366">
            <v>-277132</v>
          </cell>
          <cell r="H7366">
            <v>45717</v>
          </cell>
          <cell r="I7366" t="str">
            <v>4052 - Sales Revenue - Wholesale (US)</v>
          </cell>
          <cell r="J7366" t="str">
            <v>Wholesale</v>
          </cell>
          <cell r="K7366" t="str">
            <v>Wholesale</v>
          </cell>
          <cell r="L7366" t="str">
            <v>Wholesale</v>
          </cell>
          <cell r="N7366" t="str">
            <v>Revenue</v>
          </cell>
          <cell r="O7366" t="str">
            <v>[No Vendor]</v>
          </cell>
        </row>
        <row r="7367">
          <cell r="D7367">
            <v>-1400981.26</v>
          </cell>
          <cell r="H7367">
            <v>45717</v>
          </cell>
          <cell r="I7367" t="str">
            <v>4050 - Sales Revenue - Ecommerce (US)</v>
          </cell>
          <cell r="J7367" t="str">
            <v>Ecommerce (US)</v>
          </cell>
          <cell r="K7367" t="str">
            <v>Ecommerce</v>
          </cell>
          <cell r="L7367" t="str">
            <v>Ecommerce (US)</v>
          </cell>
          <cell r="N7367" t="str">
            <v>Revenue</v>
          </cell>
          <cell r="O7367" t="str">
            <v>[No Vendor]</v>
          </cell>
        </row>
        <row r="7368">
          <cell r="D7368">
            <v>-64607.88</v>
          </cell>
          <cell r="H7368">
            <v>45717</v>
          </cell>
          <cell r="I7368" t="str">
            <v>4050 - Sales Revenue - Ecommerce (US)</v>
          </cell>
          <cell r="J7368" t="str">
            <v>Ecommerce (US)</v>
          </cell>
          <cell r="K7368" t="str">
            <v>Ecommerce</v>
          </cell>
          <cell r="L7368" t="str">
            <v>Ecommerce (US)</v>
          </cell>
          <cell r="N7368" t="str">
            <v>Revenue</v>
          </cell>
          <cell r="O7368" t="str">
            <v>[No Vendor]</v>
          </cell>
        </row>
        <row r="7369">
          <cell r="D7369">
            <v>90.5</v>
          </cell>
          <cell r="H7369">
            <v>45717</v>
          </cell>
          <cell r="I7369" t="str">
            <v>6041 - Employee Benefit Other</v>
          </cell>
          <cell r="J7369">
            <v>0</v>
          </cell>
          <cell r="K7369" t="str">
            <v>Merchandising</v>
          </cell>
          <cell r="L7369" t="str">
            <v>HQ Salaries</v>
          </cell>
          <cell r="N7369" t="str">
            <v>SG&amp;A</v>
          </cell>
          <cell r="O7369" t="str">
            <v>[No Vendor]</v>
          </cell>
        </row>
        <row r="7370">
          <cell r="D7370">
            <v>0</v>
          </cell>
          <cell r="H7370">
            <v>45717</v>
          </cell>
          <cell r="I7370" t="str">
            <v>6041 - Employee Benefit Other</v>
          </cell>
          <cell r="J7370" t="str">
            <v>Wholesale</v>
          </cell>
          <cell r="K7370" t="str">
            <v>Wholesale</v>
          </cell>
          <cell r="L7370" t="str">
            <v>HQ Salaries</v>
          </cell>
          <cell r="N7370" t="str">
            <v>SG&amp;A</v>
          </cell>
          <cell r="O7370" t="str">
            <v>[No Vendor]</v>
          </cell>
        </row>
        <row r="7371">
          <cell r="D7371">
            <v>364.78</v>
          </cell>
          <cell r="H7371">
            <v>45717</v>
          </cell>
          <cell r="I7371" t="str">
            <v>6041 - Employee Benefit Other</v>
          </cell>
          <cell r="J7371" t="str">
            <v>Ecommerce (US)</v>
          </cell>
          <cell r="K7371" t="str">
            <v>Ecommerce</v>
          </cell>
          <cell r="L7371" t="str">
            <v>HQ Salaries</v>
          </cell>
          <cell r="N7371" t="str">
            <v>SG&amp;A</v>
          </cell>
          <cell r="O7371" t="str">
            <v>[No Vendor]</v>
          </cell>
        </row>
        <row r="7372">
          <cell r="D7372">
            <v>0</v>
          </cell>
          <cell r="H7372">
            <v>45717</v>
          </cell>
          <cell r="I7372" t="str">
            <v>6041 - Employee Benefit Other</v>
          </cell>
          <cell r="J7372">
            <v>0</v>
          </cell>
          <cell r="K7372" t="str">
            <v>Production</v>
          </cell>
          <cell r="L7372" t="str">
            <v>HQ Salaries</v>
          </cell>
          <cell r="N7372" t="str">
            <v>SG&amp;A</v>
          </cell>
          <cell r="O7372" t="str">
            <v>[No Vendor]</v>
          </cell>
        </row>
        <row r="7373">
          <cell r="D7373">
            <v>0</v>
          </cell>
          <cell r="H7373">
            <v>45717</v>
          </cell>
          <cell r="I7373" t="str">
            <v>6041 - Employee Benefit Other</v>
          </cell>
          <cell r="J7373">
            <v>0</v>
          </cell>
          <cell r="K7373" t="str">
            <v>Design</v>
          </cell>
          <cell r="L7373" t="str">
            <v>HQ Salaries</v>
          </cell>
          <cell r="N7373" t="str">
            <v>SG&amp;A</v>
          </cell>
          <cell r="O7373" t="str">
            <v>[No Vendor]</v>
          </cell>
        </row>
        <row r="7374">
          <cell r="D7374">
            <v>0</v>
          </cell>
          <cell r="H7374">
            <v>45717</v>
          </cell>
          <cell r="I7374" t="str">
            <v>6041 - Employee Benefit Other</v>
          </cell>
          <cell r="J7374">
            <v>0</v>
          </cell>
          <cell r="K7374" t="str">
            <v>Administration</v>
          </cell>
          <cell r="L7374" t="str">
            <v>HQ Salaries</v>
          </cell>
          <cell r="N7374" t="str">
            <v>SG&amp;A</v>
          </cell>
          <cell r="O7374" t="str">
            <v>[No Vendor]</v>
          </cell>
        </row>
        <row r="7375">
          <cell r="D7375">
            <v>0.04</v>
          </cell>
          <cell r="H7375">
            <v>45717</v>
          </cell>
          <cell r="I7375" t="str">
            <v>7140 - Amortization Exp - ROU Asset</v>
          </cell>
          <cell r="J7375">
            <v>0</v>
          </cell>
          <cell r="K7375" t="str">
            <v>Administration</v>
          </cell>
          <cell r="L7375" t="str">
            <v>Rent</v>
          </cell>
          <cell r="N7375" t="str">
            <v>SG&amp;A</v>
          </cell>
          <cell r="O7375" t="str">
            <v>[No Vendor]</v>
          </cell>
        </row>
        <row r="7376">
          <cell r="D7376">
            <v>578.80999999999995</v>
          </cell>
          <cell r="H7376">
            <v>45717</v>
          </cell>
          <cell r="I7376" t="str">
            <v>7140 - Amortization Exp - ROU Asset</v>
          </cell>
          <cell r="J7376">
            <v>0</v>
          </cell>
          <cell r="K7376" t="str">
            <v>Administration</v>
          </cell>
          <cell r="L7376" t="str">
            <v>Rent</v>
          </cell>
          <cell r="N7376" t="str">
            <v>SG&amp;A</v>
          </cell>
          <cell r="O7376" t="str">
            <v>[No Vendor]</v>
          </cell>
        </row>
        <row r="7377">
          <cell r="D7377">
            <v>23940.66</v>
          </cell>
          <cell r="H7377">
            <v>45717</v>
          </cell>
          <cell r="I7377" t="str">
            <v>7140 - Amortization Exp - ROU Asset</v>
          </cell>
          <cell r="J7377">
            <v>0</v>
          </cell>
          <cell r="K7377" t="str">
            <v>Administration</v>
          </cell>
          <cell r="L7377" t="str">
            <v>Rent</v>
          </cell>
          <cell r="N7377" t="str">
            <v>SG&amp;A</v>
          </cell>
          <cell r="O7377" t="str">
            <v>[No Vendor]</v>
          </cell>
        </row>
        <row r="7378">
          <cell r="D7378">
            <v>-86832.18</v>
          </cell>
          <cell r="H7378">
            <v>45717</v>
          </cell>
          <cell r="I7378" t="str">
            <v>4051 - Sales Revenue - Ecommerce (Intl)</v>
          </cell>
          <cell r="J7378" t="str">
            <v>Ecommerce (EU)</v>
          </cell>
          <cell r="K7378" t="str">
            <v>Ecommerce</v>
          </cell>
          <cell r="L7378" t="str">
            <v>Ecommerce (EU)</v>
          </cell>
          <cell r="N7378" t="str">
            <v>Revenue</v>
          </cell>
          <cell r="O7378" t="str">
            <v>[No Vendor]</v>
          </cell>
        </row>
        <row r="7379">
          <cell r="D7379">
            <v>0</v>
          </cell>
          <cell r="H7379">
            <v>45717</v>
          </cell>
          <cell r="I7379" t="e">
            <v>#N/A</v>
          </cell>
          <cell r="J7379" t="str">
            <v>Wholesale</v>
          </cell>
          <cell r="K7379" t="e">
            <v>#N/A</v>
          </cell>
          <cell r="L7379" t="e">
            <v>#N/A</v>
          </cell>
          <cell r="N7379" t="e">
            <v>#N/A</v>
          </cell>
          <cell r="O7379" t="str">
            <v>[No Vendor]</v>
          </cell>
        </row>
        <row r="7380">
          <cell r="D7380">
            <v>0</v>
          </cell>
          <cell r="H7380">
            <v>45717</v>
          </cell>
          <cell r="I7380" t="str">
            <v>6035 - Severance Expense</v>
          </cell>
          <cell r="J7380" t="str">
            <v>Wholesale</v>
          </cell>
          <cell r="K7380" t="str">
            <v>Wholesale</v>
          </cell>
          <cell r="L7380" t="str">
            <v>HQ Salaries</v>
          </cell>
          <cell r="N7380" t="str">
            <v>SG&amp;A</v>
          </cell>
          <cell r="O7380" t="str">
            <v>[No Vendor]</v>
          </cell>
        </row>
        <row r="7381">
          <cell r="D7381">
            <v>4496.24</v>
          </cell>
          <cell r="H7381">
            <v>45717</v>
          </cell>
          <cell r="I7381" t="str">
            <v>6377 - Order Processing Expenses (New)</v>
          </cell>
          <cell r="J7381" t="str">
            <v>Ecommerce (EU)</v>
          </cell>
          <cell r="K7381" t="str">
            <v>Ecommerce</v>
          </cell>
          <cell r="L7381" t="str">
            <v>Order Processing</v>
          </cell>
          <cell r="N7381" t="str">
            <v>Direct Costs</v>
          </cell>
          <cell r="O7381" t="str">
            <v>[No Vendor]</v>
          </cell>
        </row>
        <row r="7382">
          <cell r="D7382">
            <v>5000</v>
          </cell>
          <cell r="H7382">
            <v>45717</v>
          </cell>
          <cell r="I7382" t="str">
            <v>6377 - Order Processing Expenses (New)</v>
          </cell>
          <cell r="J7382" t="str">
            <v>Wholesale</v>
          </cell>
          <cell r="K7382" t="str">
            <v>Wholesale</v>
          </cell>
          <cell r="L7382" t="str">
            <v>Order Processing</v>
          </cell>
          <cell r="N7382" t="str">
            <v>Direct Costs</v>
          </cell>
          <cell r="O7382" t="str">
            <v>Bergen Logistics Corporation</v>
          </cell>
        </row>
        <row r="7383">
          <cell r="D7383">
            <v>1200</v>
          </cell>
          <cell r="H7383">
            <v>45717</v>
          </cell>
          <cell r="I7383" t="str">
            <v>6377 - Order Processing Expenses (New)</v>
          </cell>
          <cell r="J7383" t="str">
            <v>Ecommerce (EU)</v>
          </cell>
          <cell r="K7383" t="str">
            <v>Ecommerce</v>
          </cell>
          <cell r="L7383" t="str">
            <v>Order Processing</v>
          </cell>
          <cell r="N7383" t="str">
            <v>Direct Costs</v>
          </cell>
          <cell r="O7383" t="str">
            <v>Bergen Logistics Corporation</v>
          </cell>
        </row>
        <row r="7384">
          <cell r="D7384">
            <v>18000</v>
          </cell>
          <cell r="H7384">
            <v>45717</v>
          </cell>
          <cell r="I7384" t="str">
            <v>6377 - Order Processing Expenses (New)</v>
          </cell>
          <cell r="J7384" t="str">
            <v>Ecommerce (US)</v>
          </cell>
          <cell r="K7384" t="str">
            <v>Ecommerce</v>
          </cell>
          <cell r="L7384" t="str">
            <v>Order Processing</v>
          </cell>
          <cell r="N7384" t="str">
            <v>Direct Costs</v>
          </cell>
          <cell r="O7384" t="str">
            <v>Bergen Logistics Corporation</v>
          </cell>
        </row>
        <row r="7385">
          <cell r="D7385">
            <v>325.01</v>
          </cell>
          <cell r="H7385">
            <v>45717</v>
          </cell>
          <cell r="I7385" t="str">
            <v>6377 - Order Processing Expenses (New)</v>
          </cell>
          <cell r="J7385" t="str">
            <v>Ecommerce (US)</v>
          </cell>
          <cell r="K7385" t="str">
            <v>Ecommerce</v>
          </cell>
          <cell r="L7385" t="str">
            <v>Order Processing</v>
          </cell>
          <cell r="N7385" t="str">
            <v>Direct Costs</v>
          </cell>
          <cell r="O7385" t="str">
            <v>[No Vendor]</v>
          </cell>
        </row>
        <row r="7386">
          <cell r="D7386">
            <v>-814.02</v>
          </cell>
          <cell r="H7386">
            <v>45717</v>
          </cell>
          <cell r="I7386" t="str">
            <v>6377 - Order Processing Expenses (New)</v>
          </cell>
          <cell r="J7386" t="str">
            <v>Wholesale</v>
          </cell>
          <cell r="K7386" t="str">
            <v>Wholesale</v>
          </cell>
          <cell r="L7386" t="str">
            <v>Order Processing</v>
          </cell>
          <cell r="N7386" t="str">
            <v>Direct Costs</v>
          </cell>
          <cell r="O7386" t="str">
            <v>[No Vendor]</v>
          </cell>
        </row>
        <row r="7387">
          <cell r="D7387">
            <v>3274.4</v>
          </cell>
          <cell r="H7387">
            <v>45717</v>
          </cell>
          <cell r="I7387" t="str">
            <v>4063 - Sales Discount - Wholesale (US)</v>
          </cell>
          <cell r="J7387" t="str">
            <v>Wholesale</v>
          </cell>
          <cell r="K7387" t="str">
            <v>Wholesale</v>
          </cell>
          <cell r="L7387" t="str">
            <v>Wholesale</v>
          </cell>
          <cell r="N7387" t="str">
            <v>Revenue</v>
          </cell>
          <cell r="O7387" t="str">
            <v>[No Vendor]</v>
          </cell>
        </row>
        <row r="7388">
          <cell r="D7388">
            <v>8324.0499999999993</v>
          </cell>
          <cell r="H7388">
            <v>45717</v>
          </cell>
          <cell r="I7388" t="str">
            <v>5900 - Interco Royalty Expense</v>
          </cell>
          <cell r="J7388">
            <v>0</v>
          </cell>
          <cell r="K7388" t="str">
            <v>Licensing</v>
          </cell>
          <cell r="L7388">
            <v>0</v>
          </cell>
          <cell r="N7388">
            <v>0</v>
          </cell>
          <cell r="O7388" t="str">
            <v>[No Vendor]</v>
          </cell>
        </row>
        <row r="7389">
          <cell r="D7389">
            <v>92691.09</v>
          </cell>
          <cell r="H7389">
            <v>45717</v>
          </cell>
          <cell r="I7389" t="str">
            <v>4062 - Sales Discount - Ecomm (US)</v>
          </cell>
          <cell r="J7389" t="str">
            <v>Ecommerce (US)</v>
          </cell>
          <cell r="K7389" t="str">
            <v>Ecommerce</v>
          </cell>
          <cell r="L7389" t="str">
            <v>Ecommerce (US)</v>
          </cell>
          <cell r="N7389" t="str">
            <v>Revenue</v>
          </cell>
          <cell r="O7389" t="str">
            <v>[No Vendor]</v>
          </cell>
        </row>
        <row r="7390">
          <cell r="D7390">
            <v>0</v>
          </cell>
          <cell r="H7390">
            <v>45717</v>
          </cell>
          <cell r="I7390" t="str">
            <v>4062 - Sales Discount - Ecomm (US)</v>
          </cell>
          <cell r="J7390" t="str">
            <v>Ecommerce (US)</v>
          </cell>
          <cell r="K7390" t="str">
            <v>Ecommerce</v>
          </cell>
          <cell r="L7390" t="str">
            <v>Ecommerce (US)</v>
          </cell>
          <cell r="N7390" t="str">
            <v>Revenue</v>
          </cell>
          <cell r="O7390" t="str">
            <v>[No Vendor]</v>
          </cell>
        </row>
        <row r="7391">
          <cell r="D7391">
            <v>1954.72</v>
          </cell>
          <cell r="H7391">
            <v>45717</v>
          </cell>
          <cell r="I7391" t="str">
            <v>7130 - License Agreements &amp; Other Intangibles</v>
          </cell>
          <cell r="J7391">
            <v>0</v>
          </cell>
          <cell r="K7391" t="str">
            <v>Administration</v>
          </cell>
          <cell r="L7391" t="str">
            <v>Depreciation &amp; Amortization</v>
          </cell>
          <cell r="N7391" t="str">
            <v>SG&amp;A</v>
          </cell>
          <cell r="O7391" t="str">
            <v>[No Vendor]</v>
          </cell>
        </row>
        <row r="7392">
          <cell r="D7392">
            <v>-8324.0499999999993</v>
          </cell>
          <cell r="H7392">
            <v>45717</v>
          </cell>
          <cell r="I7392" t="str">
            <v>4900 - Interco Royalty Revenue</v>
          </cell>
          <cell r="J7392">
            <v>0</v>
          </cell>
          <cell r="K7392" t="str">
            <v>Licensing</v>
          </cell>
          <cell r="L7392">
            <v>0</v>
          </cell>
          <cell r="N7392">
            <v>0</v>
          </cell>
          <cell r="O7392" t="str">
            <v>[No Vendor]</v>
          </cell>
        </row>
        <row r="7393">
          <cell r="D7393">
            <v>226.82</v>
          </cell>
          <cell r="H7393">
            <v>45717</v>
          </cell>
          <cell r="I7393" t="str">
            <v>6393 - Software</v>
          </cell>
          <cell r="J7393">
            <v>0</v>
          </cell>
          <cell r="K7393" t="str">
            <v>Administration</v>
          </cell>
          <cell r="L7393" t="str">
            <v>Professional Service</v>
          </cell>
          <cell r="N7393" t="str">
            <v>Direct Costs</v>
          </cell>
          <cell r="O7393" t="str">
            <v>Avalara, Inc</v>
          </cell>
        </row>
        <row r="7394">
          <cell r="D7394">
            <v>862.84</v>
          </cell>
          <cell r="H7394">
            <v>45717</v>
          </cell>
          <cell r="I7394" t="str">
            <v>6393 - Software</v>
          </cell>
          <cell r="J7394">
            <v>0</v>
          </cell>
          <cell r="K7394" t="str">
            <v>Administration</v>
          </cell>
          <cell r="L7394" t="str">
            <v>Professional Service</v>
          </cell>
          <cell r="N7394" t="str">
            <v>Direct Costs</v>
          </cell>
          <cell r="O7394" t="str">
            <v>MS Office 365</v>
          </cell>
        </row>
        <row r="7395">
          <cell r="D7395">
            <v>1678</v>
          </cell>
          <cell r="H7395">
            <v>45717</v>
          </cell>
          <cell r="I7395" t="str">
            <v>6393 - Software</v>
          </cell>
          <cell r="J7395">
            <v>0</v>
          </cell>
          <cell r="K7395" t="str">
            <v>Administration</v>
          </cell>
          <cell r="L7395" t="str">
            <v>Professional Service</v>
          </cell>
          <cell r="N7395" t="str">
            <v>Direct Costs</v>
          </cell>
          <cell r="O7395" t="str">
            <v>Oracle Netsuite</v>
          </cell>
        </row>
        <row r="7396">
          <cell r="D7396">
            <v>2721.88</v>
          </cell>
          <cell r="H7396">
            <v>45717</v>
          </cell>
          <cell r="I7396" t="str">
            <v>6393 - Software</v>
          </cell>
          <cell r="J7396">
            <v>0</v>
          </cell>
          <cell r="K7396" t="str">
            <v>Administration</v>
          </cell>
          <cell r="L7396" t="str">
            <v>Professional Service</v>
          </cell>
          <cell r="N7396" t="str">
            <v>Direct Costs</v>
          </cell>
          <cell r="O7396" t="str">
            <v>Apparel Magic</v>
          </cell>
        </row>
        <row r="7397">
          <cell r="D7397">
            <v>13.65</v>
          </cell>
          <cell r="H7397">
            <v>45717</v>
          </cell>
          <cell r="I7397" t="str">
            <v>6393 - Software</v>
          </cell>
          <cell r="J7397">
            <v>0</v>
          </cell>
          <cell r="K7397" t="str">
            <v>Administration</v>
          </cell>
          <cell r="L7397" t="str">
            <v>Professional Service</v>
          </cell>
          <cell r="N7397" t="str">
            <v>Direct Costs</v>
          </cell>
          <cell r="O7397" t="str">
            <v>Zoom</v>
          </cell>
        </row>
        <row r="7398">
          <cell r="D7398">
            <v>1302.3800000000001</v>
          </cell>
          <cell r="H7398">
            <v>45717</v>
          </cell>
          <cell r="I7398" t="str">
            <v>6393 - Software</v>
          </cell>
          <cell r="J7398">
            <v>0</v>
          </cell>
          <cell r="K7398" t="str">
            <v>Administration</v>
          </cell>
          <cell r="L7398" t="str">
            <v>Professional Service</v>
          </cell>
          <cell r="N7398" t="str">
            <v>Direct Costs</v>
          </cell>
          <cell r="O7398" t="str">
            <v>Avalara, Inc</v>
          </cell>
        </row>
        <row r="7399">
          <cell r="D7399">
            <v>2268.2199999999998</v>
          </cell>
          <cell r="H7399">
            <v>45717</v>
          </cell>
          <cell r="I7399" t="str">
            <v>6393 - Software</v>
          </cell>
          <cell r="J7399">
            <v>0</v>
          </cell>
          <cell r="K7399" t="str">
            <v>Brand Marketing</v>
          </cell>
          <cell r="L7399" t="str">
            <v>Professional Service</v>
          </cell>
          <cell r="N7399" t="str">
            <v>Direct Costs</v>
          </cell>
          <cell r="O7399" t="str">
            <v>Fohr</v>
          </cell>
        </row>
        <row r="7400">
          <cell r="D7400">
            <v>664.16</v>
          </cell>
          <cell r="H7400">
            <v>45717</v>
          </cell>
          <cell r="I7400" t="str">
            <v>6393 - Software</v>
          </cell>
          <cell r="J7400">
            <v>0</v>
          </cell>
          <cell r="K7400" t="str">
            <v>Administration</v>
          </cell>
          <cell r="L7400" t="str">
            <v>Professional Service</v>
          </cell>
          <cell r="N7400" t="str">
            <v>Direct Costs</v>
          </cell>
          <cell r="O7400" t="str">
            <v>Avalara, Inc</v>
          </cell>
        </row>
        <row r="7401">
          <cell r="D7401">
            <v>2198.19</v>
          </cell>
          <cell r="H7401">
            <v>45717</v>
          </cell>
          <cell r="I7401" t="str">
            <v>6393 - Software</v>
          </cell>
          <cell r="J7401">
            <v>0</v>
          </cell>
          <cell r="K7401" t="str">
            <v>Administration</v>
          </cell>
          <cell r="L7401" t="str">
            <v>Professional Service</v>
          </cell>
          <cell r="N7401" t="str">
            <v>Direct Costs</v>
          </cell>
          <cell r="O7401" t="str">
            <v>Oracle Netsuite</v>
          </cell>
        </row>
        <row r="7402">
          <cell r="D7402">
            <v>9.99</v>
          </cell>
          <cell r="H7402">
            <v>45717</v>
          </cell>
          <cell r="I7402" t="str">
            <v>6393 - Software</v>
          </cell>
          <cell r="J7402">
            <v>0</v>
          </cell>
          <cell r="K7402" t="str">
            <v>Administration</v>
          </cell>
          <cell r="L7402" t="str">
            <v>Professional Service</v>
          </cell>
          <cell r="N7402" t="str">
            <v>Direct Costs</v>
          </cell>
          <cell r="O7402" t="str">
            <v>Drop Box</v>
          </cell>
        </row>
        <row r="7403">
          <cell r="D7403">
            <v>0</v>
          </cell>
          <cell r="H7403">
            <v>45717</v>
          </cell>
          <cell r="I7403" t="str">
            <v>6286 - SEM</v>
          </cell>
          <cell r="J7403" t="str">
            <v>Ecommerce (US)</v>
          </cell>
          <cell r="K7403" t="str">
            <v>Ecommerce</v>
          </cell>
          <cell r="L7403" t="str">
            <v>Marketing</v>
          </cell>
          <cell r="N7403" t="str">
            <v>Direct Costs</v>
          </cell>
          <cell r="O7403" t="str">
            <v>[No Vendor]</v>
          </cell>
        </row>
        <row r="7404">
          <cell r="D7404">
            <v>1000</v>
          </cell>
          <cell r="H7404">
            <v>45717</v>
          </cell>
          <cell r="I7404" t="str">
            <v>6360 - Model - Fitting</v>
          </cell>
          <cell r="J7404">
            <v>0</v>
          </cell>
          <cell r="K7404" t="str">
            <v>Production</v>
          </cell>
          <cell r="L7404" t="str">
            <v>Sample</v>
          </cell>
          <cell r="N7404" t="str">
            <v>SG&amp;A</v>
          </cell>
          <cell r="O7404" t="str">
            <v>[No Vendor]</v>
          </cell>
        </row>
        <row r="7405">
          <cell r="D7405">
            <v>0</v>
          </cell>
          <cell r="H7405">
            <v>45717</v>
          </cell>
          <cell r="I7405" t="str">
            <v>6340 - Miscellaneous Expense</v>
          </cell>
          <cell r="J7405" t="str">
            <v>Ecommerce (US)</v>
          </cell>
          <cell r="K7405" t="str">
            <v>Ecommerce</v>
          </cell>
          <cell r="L7405" t="str">
            <v>Other</v>
          </cell>
          <cell r="N7405" t="str">
            <v>SG&amp;A</v>
          </cell>
          <cell r="O7405" t="str">
            <v>[No Vendor]</v>
          </cell>
        </row>
        <row r="7406">
          <cell r="D7406">
            <v>50000</v>
          </cell>
          <cell r="H7406">
            <v>45717</v>
          </cell>
          <cell r="I7406" t="str">
            <v>6240 - Product Photography</v>
          </cell>
          <cell r="J7406">
            <v>0</v>
          </cell>
          <cell r="K7406" t="str">
            <v>Brand Marketing</v>
          </cell>
          <cell r="L7406" t="str">
            <v>Advertising</v>
          </cell>
          <cell r="N7406" t="str">
            <v>SG&amp;A</v>
          </cell>
          <cell r="O7406" t="str">
            <v>[No Vendor]</v>
          </cell>
        </row>
        <row r="7407">
          <cell r="D7407">
            <v>29993.75</v>
          </cell>
          <cell r="H7407">
            <v>45717</v>
          </cell>
          <cell r="I7407" t="str">
            <v>6240 - Product Photography</v>
          </cell>
          <cell r="J7407">
            <v>0</v>
          </cell>
          <cell r="K7407" t="str">
            <v>Brand Marketing</v>
          </cell>
          <cell r="L7407" t="str">
            <v>Advertising</v>
          </cell>
          <cell r="N7407" t="str">
            <v>SG&amp;A</v>
          </cell>
          <cell r="O7407" t="str">
            <v>GOSFilms LLC</v>
          </cell>
        </row>
        <row r="7408">
          <cell r="D7408">
            <v>0</v>
          </cell>
          <cell r="H7408">
            <v>45717</v>
          </cell>
          <cell r="I7408" t="str">
            <v>6030 - Commissions Expense - Non Employee</v>
          </cell>
          <cell r="J7408" t="str">
            <v>Wholesale</v>
          </cell>
          <cell r="K7408" t="str">
            <v>Wholesale</v>
          </cell>
          <cell r="L7408" t="str">
            <v>HQ Salaries</v>
          </cell>
          <cell r="N7408" t="str">
            <v>SG&amp;A</v>
          </cell>
          <cell r="O7408" t="str">
            <v>[No Vendor]</v>
          </cell>
        </row>
        <row r="7409">
          <cell r="D7409">
            <v>17399.95</v>
          </cell>
          <cell r="H7409">
            <v>45717</v>
          </cell>
          <cell r="I7409" t="str">
            <v>6289 - Seeding / Product Placement</v>
          </cell>
          <cell r="J7409">
            <v>0</v>
          </cell>
          <cell r="K7409" t="str">
            <v>Brand Marketing</v>
          </cell>
          <cell r="L7409" t="str">
            <v>Advertising</v>
          </cell>
          <cell r="N7409" t="str">
            <v>SG&amp;A</v>
          </cell>
          <cell r="O7409" t="str">
            <v>[No Vendor]</v>
          </cell>
        </row>
        <row r="7410">
          <cell r="D7410">
            <v>0</v>
          </cell>
          <cell r="H7410">
            <v>45717</v>
          </cell>
          <cell r="I7410" t="str">
            <v>6205 - Contractors</v>
          </cell>
          <cell r="J7410">
            <v>0</v>
          </cell>
          <cell r="K7410" t="str">
            <v>Brand Marketing</v>
          </cell>
          <cell r="L7410" t="str">
            <v>HQ Salaries</v>
          </cell>
          <cell r="N7410" t="str">
            <v>SG&amp;A</v>
          </cell>
          <cell r="O7410" t="str">
            <v>[No Vendor]</v>
          </cell>
        </row>
        <row r="7411">
          <cell r="D7411">
            <v>0</v>
          </cell>
          <cell r="H7411">
            <v>45717</v>
          </cell>
          <cell r="I7411" t="str">
            <v>6205 - Contractors</v>
          </cell>
          <cell r="J7411" t="str">
            <v>Ecommerce (US)</v>
          </cell>
          <cell r="K7411" t="str">
            <v>Ecommerce</v>
          </cell>
          <cell r="L7411" t="str">
            <v>HQ Salaries</v>
          </cell>
          <cell r="N7411" t="str">
            <v>SG&amp;A</v>
          </cell>
          <cell r="O7411" t="str">
            <v>[No Vendor]</v>
          </cell>
        </row>
        <row r="7412">
          <cell r="D7412">
            <v>0</v>
          </cell>
          <cell r="H7412">
            <v>45717</v>
          </cell>
          <cell r="I7412" t="str">
            <v>6205 - Contractors</v>
          </cell>
          <cell r="J7412">
            <v>0</v>
          </cell>
          <cell r="K7412" t="str">
            <v>Design</v>
          </cell>
          <cell r="L7412" t="str">
            <v>HQ Salaries</v>
          </cell>
          <cell r="N7412" t="str">
            <v>SG&amp;A</v>
          </cell>
          <cell r="O7412" t="str">
            <v>[No Vendor]</v>
          </cell>
        </row>
        <row r="7413">
          <cell r="D7413">
            <v>1500</v>
          </cell>
          <cell r="H7413">
            <v>45717</v>
          </cell>
          <cell r="I7413" t="str">
            <v>6205 - Contractors</v>
          </cell>
          <cell r="J7413">
            <v>0</v>
          </cell>
          <cell r="K7413" t="str">
            <v>Production</v>
          </cell>
          <cell r="L7413" t="str">
            <v>HQ Salaries</v>
          </cell>
          <cell r="N7413" t="str">
            <v>SG&amp;A</v>
          </cell>
          <cell r="O7413" t="str">
            <v>Philip Yau</v>
          </cell>
        </row>
        <row r="7414">
          <cell r="D7414">
            <v>5950</v>
          </cell>
          <cell r="H7414">
            <v>45717</v>
          </cell>
          <cell r="I7414" t="str">
            <v>6205 - Contractors</v>
          </cell>
          <cell r="J7414" t="str">
            <v>Ecommerce (US)</v>
          </cell>
          <cell r="K7414" t="str">
            <v>Ecommerce</v>
          </cell>
          <cell r="L7414" t="str">
            <v>HQ Salaries</v>
          </cell>
          <cell r="N7414" t="str">
            <v>SG&amp;A</v>
          </cell>
          <cell r="O7414" t="str">
            <v>[No Vendor]</v>
          </cell>
        </row>
        <row r="7415">
          <cell r="D7415">
            <v>980.96</v>
          </cell>
          <cell r="H7415">
            <v>45717</v>
          </cell>
          <cell r="I7415" t="str">
            <v>6370 - Samples</v>
          </cell>
          <cell r="J7415">
            <v>0</v>
          </cell>
          <cell r="K7415" t="str">
            <v>Production</v>
          </cell>
          <cell r="L7415" t="str">
            <v>Sample</v>
          </cell>
          <cell r="N7415" t="str">
            <v>SG&amp;A</v>
          </cell>
          <cell r="O7415" t="str">
            <v>[No Vendor]</v>
          </cell>
        </row>
        <row r="7416">
          <cell r="D7416">
            <v>-606</v>
          </cell>
          <cell r="H7416">
            <v>45717</v>
          </cell>
          <cell r="I7416" t="str">
            <v>6410 - Lease Expense</v>
          </cell>
          <cell r="J7416">
            <v>0</v>
          </cell>
          <cell r="K7416" t="str">
            <v>Administration</v>
          </cell>
          <cell r="L7416" t="str">
            <v>Rent</v>
          </cell>
          <cell r="N7416" t="str">
            <v>SG&amp;A</v>
          </cell>
          <cell r="O7416" t="str">
            <v>[No Vendor]</v>
          </cell>
        </row>
        <row r="7417">
          <cell r="D7417">
            <v>-41.03</v>
          </cell>
          <cell r="H7417">
            <v>45717</v>
          </cell>
          <cell r="I7417" t="str">
            <v>6385 - Insurance</v>
          </cell>
          <cell r="J7417">
            <v>0</v>
          </cell>
          <cell r="K7417" t="str">
            <v>Administration</v>
          </cell>
          <cell r="L7417" t="str">
            <v>Professional Service</v>
          </cell>
          <cell r="N7417" t="str">
            <v>SG&amp;A</v>
          </cell>
          <cell r="O7417" t="str">
            <v>[No Vendor]</v>
          </cell>
        </row>
        <row r="7418">
          <cell r="D7418">
            <v>-13.63</v>
          </cell>
          <cell r="H7418">
            <v>45717</v>
          </cell>
          <cell r="I7418" t="str">
            <v>6385 - Insurance</v>
          </cell>
          <cell r="J7418">
            <v>0</v>
          </cell>
          <cell r="K7418" t="str">
            <v>Administration</v>
          </cell>
          <cell r="L7418" t="str">
            <v>Professional Service</v>
          </cell>
          <cell r="N7418" t="str">
            <v>SG&amp;A</v>
          </cell>
          <cell r="O7418" t="str">
            <v>[No Vendor]</v>
          </cell>
        </row>
        <row r="7419">
          <cell r="D7419">
            <v>-85.98</v>
          </cell>
          <cell r="H7419">
            <v>45717</v>
          </cell>
          <cell r="I7419" t="str">
            <v>6385 - Insurance</v>
          </cell>
          <cell r="J7419">
            <v>0</v>
          </cell>
          <cell r="K7419" t="str">
            <v>Administration</v>
          </cell>
          <cell r="L7419" t="str">
            <v>Professional Service</v>
          </cell>
          <cell r="N7419" t="str">
            <v>SG&amp;A</v>
          </cell>
          <cell r="O7419" t="str">
            <v>[No Vendor]</v>
          </cell>
        </row>
        <row r="7420">
          <cell r="D7420">
            <v>-20.100000000000001</v>
          </cell>
          <cell r="H7420">
            <v>45717</v>
          </cell>
          <cell r="I7420" t="str">
            <v>6385 - Insurance</v>
          </cell>
          <cell r="J7420">
            <v>0</v>
          </cell>
          <cell r="K7420" t="str">
            <v>Administration</v>
          </cell>
          <cell r="L7420" t="str">
            <v>Professional Service</v>
          </cell>
          <cell r="N7420" t="str">
            <v>SG&amp;A</v>
          </cell>
          <cell r="O7420" t="str">
            <v>[No Vendor]</v>
          </cell>
        </row>
        <row r="7421">
          <cell r="D7421">
            <v>-48.93</v>
          </cell>
          <cell r="H7421">
            <v>45717</v>
          </cell>
          <cell r="I7421" t="str">
            <v>6385 - Insurance</v>
          </cell>
          <cell r="J7421">
            <v>0</v>
          </cell>
          <cell r="K7421" t="str">
            <v>Administration</v>
          </cell>
          <cell r="L7421" t="str">
            <v>Professional Service</v>
          </cell>
          <cell r="N7421" t="str">
            <v>SG&amp;A</v>
          </cell>
          <cell r="O7421" t="str">
            <v>[No Vendor]</v>
          </cell>
        </row>
        <row r="7422">
          <cell r="D7422">
            <v>-47.52</v>
          </cell>
          <cell r="H7422">
            <v>45717</v>
          </cell>
          <cell r="I7422" t="str">
            <v>6385 - Insurance</v>
          </cell>
          <cell r="J7422">
            <v>0</v>
          </cell>
          <cell r="K7422" t="str">
            <v>Administration</v>
          </cell>
          <cell r="L7422" t="str">
            <v>Professional Service</v>
          </cell>
          <cell r="N7422" t="str">
            <v>SG&amp;A</v>
          </cell>
          <cell r="O7422" t="str">
            <v>[No Vendor]</v>
          </cell>
        </row>
        <row r="7423">
          <cell r="D7423">
            <v>-97.89</v>
          </cell>
          <cell r="H7423">
            <v>45717</v>
          </cell>
          <cell r="I7423" t="str">
            <v>6385 - Insurance</v>
          </cell>
          <cell r="J7423">
            <v>0</v>
          </cell>
          <cell r="K7423" t="str">
            <v>Administration</v>
          </cell>
          <cell r="L7423" t="str">
            <v>Professional Service</v>
          </cell>
          <cell r="N7423" t="str">
            <v>SG&amp;A</v>
          </cell>
          <cell r="O7423" t="str">
            <v>[No Vendor]</v>
          </cell>
        </row>
        <row r="7424">
          <cell r="D7424">
            <v>-45.89</v>
          </cell>
          <cell r="H7424">
            <v>45717</v>
          </cell>
          <cell r="I7424" t="str">
            <v>6385 - Insurance</v>
          </cell>
          <cell r="J7424">
            <v>0</v>
          </cell>
          <cell r="K7424" t="str">
            <v>Administration</v>
          </cell>
          <cell r="L7424" t="str">
            <v>Professional Service</v>
          </cell>
          <cell r="N7424" t="str">
            <v>SG&amp;A</v>
          </cell>
          <cell r="O7424" t="str">
            <v>[No Vendor]</v>
          </cell>
        </row>
        <row r="7425">
          <cell r="D7425">
            <v>3187.5</v>
          </cell>
          <cell r="H7425">
            <v>45717</v>
          </cell>
          <cell r="I7425" t="str">
            <v>6385 - Insurance</v>
          </cell>
          <cell r="J7425">
            <v>0</v>
          </cell>
          <cell r="K7425" t="str">
            <v>Administration</v>
          </cell>
          <cell r="L7425" t="str">
            <v>Professional Service</v>
          </cell>
          <cell r="N7425" t="str">
            <v>SG&amp;A</v>
          </cell>
          <cell r="O7425" t="str">
            <v>[No Vendor]</v>
          </cell>
        </row>
        <row r="7426">
          <cell r="D7426">
            <v>501.9</v>
          </cell>
          <cell r="H7426">
            <v>45717</v>
          </cell>
          <cell r="I7426" t="str">
            <v>6385 - Insurance</v>
          </cell>
          <cell r="J7426">
            <v>0</v>
          </cell>
          <cell r="K7426" t="str">
            <v>Administration</v>
          </cell>
          <cell r="L7426" t="str">
            <v>Professional Service</v>
          </cell>
          <cell r="N7426" t="str">
            <v>SG&amp;A</v>
          </cell>
          <cell r="O7426" t="str">
            <v>[No Vendor]</v>
          </cell>
        </row>
        <row r="7427">
          <cell r="D7427">
            <v>300.64999999999998</v>
          </cell>
          <cell r="H7427">
            <v>45717</v>
          </cell>
          <cell r="I7427" t="str">
            <v>6400 - Utilities</v>
          </cell>
          <cell r="J7427">
            <v>0</v>
          </cell>
          <cell r="K7427" t="str">
            <v>Administration</v>
          </cell>
          <cell r="L7427" t="str">
            <v>Other</v>
          </cell>
          <cell r="N7427" t="str">
            <v>SG&amp;A</v>
          </cell>
          <cell r="O7427" t="str">
            <v>[No Vendor]</v>
          </cell>
        </row>
        <row r="7428">
          <cell r="D7428">
            <v>66.72</v>
          </cell>
          <cell r="H7428">
            <v>45717</v>
          </cell>
          <cell r="I7428" t="str">
            <v>7060 - Information Technology &amp; Software</v>
          </cell>
          <cell r="J7428">
            <v>0</v>
          </cell>
          <cell r="K7428" t="str">
            <v>Executive</v>
          </cell>
          <cell r="L7428" t="str">
            <v>Depreciation &amp; Amortization</v>
          </cell>
          <cell r="N7428" t="str">
            <v>SG&amp;A</v>
          </cell>
          <cell r="O7428" t="str">
            <v>[No Vendor]</v>
          </cell>
        </row>
        <row r="7429">
          <cell r="D7429">
            <v>96.22</v>
          </cell>
          <cell r="H7429">
            <v>45717</v>
          </cell>
          <cell r="I7429" t="str">
            <v>7060 - Information Technology &amp; Software</v>
          </cell>
          <cell r="J7429" t="str">
            <v>Wholesale</v>
          </cell>
          <cell r="K7429" t="str">
            <v>Wholesale</v>
          </cell>
          <cell r="L7429" t="str">
            <v>Depreciation &amp; Amortization</v>
          </cell>
          <cell r="N7429" t="str">
            <v>SG&amp;A</v>
          </cell>
          <cell r="O7429" t="str">
            <v>[No Vendor]</v>
          </cell>
        </row>
        <row r="7430">
          <cell r="D7430">
            <v>73.010000000000005</v>
          </cell>
          <cell r="H7430">
            <v>45717</v>
          </cell>
          <cell r="I7430" t="str">
            <v>7060 - Information Technology &amp; Software</v>
          </cell>
          <cell r="J7430" t="str">
            <v>Ecommerce (US)</v>
          </cell>
          <cell r="K7430" t="str">
            <v>Ecommerce</v>
          </cell>
          <cell r="L7430" t="str">
            <v>Depreciation &amp; Amortization</v>
          </cell>
          <cell r="N7430" t="str">
            <v>SG&amp;A</v>
          </cell>
          <cell r="O7430" t="str">
            <v>[No Vendor]</v>
          </cell>
        </row>
        <row r="7431">
          <cell r="D7431">
            <v>83.41</v>
          </cell>
          <cell r="H7431">
            <v>45717</v>
          </cell>
          <cell r="I7431" t="str">
            <v>7060 - Information Technology &amp; Software</v>
          </cell>
          <cell r="J7431">
            <v>0</v>
          </cell>
          <cell r="K7431" t="str">
            <v>Production</v>
          </cell>
          <cell r="L7431" t="str">
            <v>Depreciation &amp; Amortization</v>
          </cell>
          <cell r="N7431" t="str">
            <v>SG&amp;A</v>
          </cell>
          <cell r="O7431" t="str">
            <v>[No Vendor]</v>
          </cell>
        </row>
        <row r="7432">
          <cell r="D7432">
            <v>66.790000000000006</v>
          </cell>
          <cell r="H7432">
            <v>45717</v>
          </cell>
          <cell r="I7432" t="str">
            <v>7060 - Information Technology &amp; Software</v>
          </cell>
          <cell r="J7432">
            <v>0</v>
          </cell>
          <cell r="K7432" t="str">
            <v>Design</v>
          </cell>
          <cell r="L7432" t="str">
            <v>Depreciation &amp; Amortization</v>
          </cell>
          <cell r="N7432" t="str">
            <v>SG&amp;A</v>
          </cell>
          <cell r="O7432" t="str">
            <v>[No Vendor]</v>
          </cell>
        </row>
        <row r="7433">
          <cell r="D7433">
            <v>0</v>
          </cell>
          <cell r="H7433">
            <v>45717</v>
          </cell>
          <cell r="I7433" t="str">
            <v>7060 - Information Technology &amp; Software</v>
          </cell>
          <cell r="J7433">
            <v>0</v>
          </cell>
          <cell r="K7433" t="str">
            <v>Merchandising</v>
          </cell>
          <cell r="L7433" t="str">
            <v>Depreciation &amp; Amortization</v>
          </cell>
          <cell r="N7433" t="str">
            <v>SG&amp;A</v>
          </cell>
          <cell r="O7433" t="str">
            <v>[No Vendor]</v>
          </cell>
        </row>
        <row r="7434">
          <cell r="D7434">
            <v>0</v>
          </cell>
          <cell r="H7434">
            <v>45717</v>
          </cell>
          <cell r="I7434" t="str">
            <v>7060 - Information Technology &amp; Software</v>
          </cell>
          <cell r="J7434">
            <v>0</v>
          </cell>
          <cell r="K7434" t="str">
            <v>Brand Marketing</v>
          </cell>
          <cell r="L7434" t="str">
            <v>Depreciation &amp; Amortization</v>
          </cell>
          <cell r="N7434" t="str">
            <v>SG&amp;A</v>
          </cell>
          <cell r="O7434" t="str">
            <v>[No Vendor]</v>
          </cell>
        </row>
        <row r="7435">
          <cell r="D7435">
            <v>85.92</v>
          </cell>
          <cell r="H7435">
            <v>45717</v>
          </cell>
          <cell r="I7435" t="str">
            <v>7060 - Information Technology &amp; Software</v>
          </cell>
          <cell r="J7435">
            <v>0</v>
          </cell>
          <cell r="K7435" t="str">
            <v>Administration</v>
          </cell>
          <cell r="L7435" t="str">
            <v>Depreciation &amp; Amortization</v>
          </cell>
          <cell r="N7435" t="str">
            <v>SG&amp;A</v>
          </cell>
          <cell r="O7435" t="str">
            <v>[No Vendor]</v>
          </cell>
        </row>
        <row r="7436">
          <cell r="D7436">
            <v>-1250.8</v>
          </cell>
          <cell r="H7436">
            <v>45717</v>
          </cell>
          <cell r="I7436" t="str">
            <v>7040 - Furniture &amp; Fixtures</v>
          </cell>
          <cell r="J7436" t="str">
            <v>Wholesale</v>
          </cell>
          <cell r="K7436" t="str">
            <v>Wholesale</v>
          </cell>
          <cell r="L7436" t="str">
            <v>Depreciation &amp; Amortization</v>
          </cell>
          <cell r="N7436" t="str">
            <v>SG&amp;A</v>
          </cell>
          <cell r="O7436" t="str">
            <v>[No Vendor]</v>
          </cell>
        </row>
        <row r="7437">
          <cell r="D7437">
            <v>5.99</v>
          </cell>
          <cell r="H7437">
            <v>45717</v>
          </cell>
          <cell r="I7437" t="str">
            <v>7040 - Furniture &amp; Fixtures</v>
          </cell>
          <cell r="J7437">
            <v>0</v>
          </cell>
          <cell r="K7437" t="str">
            <v>Administration</v>
          </cell>
          <cell r="L7437" t="str">
            <v>Depreciation &amp; Amortization</v>
          </cell>
          <cell r="N7437" t="str">
            <v>SG&amp;A</v>
          </cell>
          <cell r="O7437" t="str">
            <v>[No Vendor]</v>
          </cell>
        </row>
        <row r="7438">
          <cell r="D7438">
            <v>1183.48</v>
          </cell>
          <cell r="H7438">
            <v>45717</v>
          </cell>
          <cell r="I7438" t="str">
            <v>6055 - Employer Social Security Tax Withheld</v>
          </cell>
          <cell r="J7438">
            <v>0</v>
          </cell>
          <cell r="K7438" t="str">
            <v>Merchandising</v>
          </cell>
          <cell r="L7438" t="str">
            <v>HQ Salaries</v>
          </cell>
          <cell r="N7438" t="str">
            <v>SG&amp;A</v>
          </cell>
          <cell r="O7438" t="str">
            <v>[No Vendor]</v>
          </cell>
        </row>
        <row r="7439">
          <cell r="D7439">
            <v>353.8</v>
          </cell>
          <cell r="H7439">
            <v>45717</v>
          </cell>
          <cell r="I7439" t="str">
            <v>6055 - Employer Social Security Tax Withheld</v>
          </cell>
          <cell r="J7439" t="str">
            <v>Wholesale</v>
          </cell>
          <cell r="K7439" t="str">
            <v>Wholesale</v>
          </cell>
          <cell r="L7439" t="str">
            <v>HQ Salaries</v>
          </cell>
          <cell r="N7439" t="str">
            <v>SG&amp;A</v>
          </cell>
          <cell r="O7439" t="str">
            <v>[No Vendor]</v>
          </cell>
        </row>
        <row r="7440">
          <cell r="D7440">
            <v>2623.35</v>
          </cell>
          <cell r="H7440">
            <v>45717</v>
          </cell>
          <cell r="I7440" t="str">
            <v>6055 - Employer Social Security Tax Withheld</v>
          </cell>
          <cell r="J7440">
            <v>0</v>
          </cell>
          <cell r="K7440" t="str">
            <v>Production</v>
          </cell>
          <cell r="L7440" t="str">
            <v>HQ Salaries</v>
          </cell>
          <cell r="N7440" t="str">
            <v>SG&amp;A</v>
          </cell>
          <cell r="O7440" t="str">
            <v>[No Vendor]</v>
          </cell>
        </row>
        <row r="7441">
          <cell r="D7441">
            <v>541.45000000000005</v>
          </cell>
          <cell r="H7441">
            <v>45717</v>
          </cell>
          <cell r="I7441" t="str">
            <v>6055 - Employer Social Security Tax Withheld</v>
          </cell>
          <cell r="J7441">
            <v>0</v>
          </cell>
          <cell r="K7441" t="str">
            <v>Brand Marketing</v>
          </cell>
          <cell r="L7441" t="str">
            <v>HQ Salaries</v>
          </cell>
          <cell r="N7441" t="str">
            <v>SG&amp;A</v>
          </cell>
          <cell r="O7441" t="str">
            <v>[No Vendor]</v>
          </cell>
        </row>
        <row r="7442">
          <cell r="D7442">
            <v>1291.79</v>
          </cell>
          <cell r="H7442">
            <v>45717</v>
          </cell>
          <cell r="I7442" t="str">
            <v>6055 - Employer Social Security Tax Withheld</v>
          </cell>
          <cell r="J7442">
            <v>0</v>
          </cell>
          <cell r="K7442" t="str">
            <v>Executive</v>
          </cell>
          <cell r="L7442" t="str">
            <v>HQ Salaries</v>
          </cell>
          <cell r="N7442" t="str">
            <v>SG&amp;A</v>
          </cell>
          <cell r="O7442" t="str">
            <v>[No Vendor]</v>
          </cell>
        </row>
        <row r="7443">
          <cell r="D7443">
            <v>2479.94</v>
          </cell>
          <cell r="H7443">
            <v>45717</v>
          </cell>
          <cell r="I7443" t="str">
            <v>6055 - Employer Social Security Tax Withheld</v>
          </cell>
          <cell r="J7443" t="str">
            <v>Ecommerce (US)</v>
          </cell>
          <cell r="K7443" t="str">
            <v>Ecommerce</v>
          </cell>
          <cell r="L7443" t="str">
            <v>HQ Salaries</v>
          </cell>
          <cell r="N7443" t="str">
            <v>SG&amp;A</v>
          </cell>
          <cell r="O7443" t="str">
            <v>[No Vendor]</v>
          </cell>
        </row>
        <row r="7444">
          <cell r="D7444">
            <v>2371.88</v>
          </cell>
          <cell r="H7444">
            <v>45717</v>
          </cell>
          <cell r="I7444" t="str">
            <v>6055 - Employer Social Security Tax Withheld</v>
          </cell>
          <cell r="J7444">
            <v>0</v>
          </cell>
          <cell r="K7444" t="str">
            <v>Design</v>
          </cell>
          <cell r="L7444" t="str">
            <v>HQ Salaries</v>
          </cell>
          <cell r="N7444" t="str">
            <v>SG&amp;A</v>
          </cell>
          <cell r="O7444" t="str">
            <v>[No Vendor]</v>
          </cell>
        </row>
        <row r="7445">
          <cell r="D7445">
            <v>2826.49</v>
          </cell>
          <cell r="H7445">
            <v>45717</v>
          </cell>
          <cell r="I7445" t="str">
            <v>6055 - Employer Social Security Tax Withheld</v>
          </cell>
          <cell r="J7445">
            <v>0</v>
          </cell>
          <cell r="K7445" t="str">
            <v>Administration</v>
          </cell>
          <cell r="L7445" t="str">
            <v>HQ Salaries</v>
          </cell>
          <cell r="N7445" t="str">
            <v>SG&amp;A</v>
          </cell>
          <cell r="O7445" t="str">
            <v>[No Vendor]</v>
          </cell>
        </row>
        <row r="7446">
          <cell r="D7446">
            <v>452442.77</v>
          </cell>
          <cell r="H7446">
            <v>45717</v>
          </cell>
          <cell r="I7446" t="str">
            <v>5000 - Cost of Goods Sold</v>
          </cell>
          <cell r="J7446" t="str">
            <v>Ecommerce (US)</v>
          </cell>
          <cell r="K7446" t="str">
            <v>Ecommerce</v>
          </cell>
          <cell r="L7446" t="str">
            <v>COGS</v>
          </cell>
          <cell r="N7446" t="str">
            <v>COGS</v>
          </cell>
          <cell r="O7446" t="str">
            <v>[No Vendor]</v>
          </cell>
        </row>
        <row r="7447">
          <cell r="D7447">
            <v>-3348.24</v>
          </cell>
          <cell r="H7447">
            <v>45717</v>
          </cell>
          <cell r="I7447" t="str">
            <v>5000 - Cost of Goods Sold</v>
          </cell>
          <cell r="J7447" t="str">
            <v>Wholesale</v>
          </cell>
          <cell r="K7447" t="str">
            <v>Wholesale</v>
          </cell>
          <cell r="L7447" t="str">
            <v>COGS</v>
          </cell>
          <cell r="N7447" t="str">
            <v>COGS</v>
          </cell>
          <cell r="O7447" t="str">
            <v>[No Vendor]</v>
          </cell>
        </row>
        <row r="7448">
          <cell r="D7448">
            <v>132921.19</v>
          </cell>
          <cell r="H7448">
            <v>45717</v>
          </cell>
          <cell r="I7448" t="str">
            <v>5000 - Cost of Goods Sold</v>
          </cell>
          <cell r="J7448" t="str">
            <v>Wholesale</v>
          </cell>
          <cell r="K7448" t="str">
            <v>Wholesale</v>
          </cell>
          <cell r="L7448" t="str">
            <v>COGS</v>
          </cell>
          <cell r="N7448" t="str">
            <v>COGS</v>
          </cell>
          <cell r="O7448" t="str">
            <v>[No Vendor]</v>
          </cell>
        </row>
        <row r="7449">
          <cell r="D7449">
            <v>21425.16</v>
          </cell>
          <cell r="H7449">
            <v>45717</v>
          </cell>
          <cell r="I7449" t="str">
            <v>5000 - Cost of Goods Sold</v>
          </cell>
          <cell r="J7449" t="str">
            <v>Ecommerce (US)</v>
          </cell>
          <cell r="K7449" t="str">
            <v>Ecommerce</v>
          </cell>
          <cell r="L7449" t="str">
            <v>COGS</v>
          </cell>
          <cell r="N7449" t="str">
            <v>COGS</v>
          </cell>
          <cell r="O7449" t="str">
            <v>[No Vendor]</v>
          </cell>
        </row>
        <row r="7450">
          <cell r="D7450">
            <v>34996.57</v>
          </cell>
          <cell r="H7450">
            <v>45717</v>
          </cell>
          <cell r="I7450" t="str">
            <v>5000 - Cost of Goods Sold</v>
          </cell>
          <cell r="J7450" t="str">
            <v>Ecommerce (EU)</v>
          </cell>
          <cell r="K7450" t="str">
            <v>Ecommerce</v>
          </cell>
          <cell r="L7450" t="str">
            <v>COGS</v>
          </cell>
          <cell r="N7450" t="str">
            <v>COGS</v>
          </cell>
          <cell r="O7450" t="str">
            <v>[No Vendor]</v>
          </cell>
        </row>
        <row r="7451">
          <cell r="D7451">
            <v>0</v>
          </cell>
          <cell r="H7451">
            <v>45717</v>
          </cell>
          <cell r="I7451" t="str">
            <v>4070 - Sales - Other</v>
          </cell>
          <cell r="J7451">
            <v>0</v>
          </cell>
          <cell r="K7451" t="str">
            <v>Licensing</v>
          </cell>
          <cell r="L7451" t="str">
            <v>Other Income</v>
          </cell>
          <cell r="N7451" t="str">
            <v>Revenue</v>
          </cell>
          <cell r="O7451" t="str">
            <v>[No Vendor]</v>
          </cell>
        </row>
        <row r="7452">
          <cell r="D7452">
            <v>88391.69</v>
          </cell>
          <cell r="H7452">
            <v>45717</v>
          </cell>
          <cell r="I7452" t="str">
            <v>8600 - Income Tax Expense</v>
          </cell>
          <cell r="J7452">
            <v>0</v>
          </cell>
          <cell r="K7452" t="str">
            <v>Licensing</v>
          </cell>
          <cell r="L7452" t="str">
            <v>Tax</v>
          </cell>
          <cell r="N7452" t="str">
            <v>BTL</v>
          </cell>
          <cell r="O7452" t="str">
            <v>[No Vendor]</v>
          </cell>
        </row>
        <row r="7453">
          <cell r="D7453">
            <v>179705.4</v>
          </cell>
          <cell r="H7453">
            <v>45717</v>
          </cell>
          <cell r="I7453" t="str">
            <v>8600 - Income Tax Expense</v>
          </cell>
          <cell r="J7453">
            <v>0</v>
          </cell>
          <cell r="K7453" t="str">
            <v>Licensing</v>
          </cell>
          <cell r="L7453" t="str">
            <v>Tax</v>
          </cell>
          <cell r="N7453" t="str">
            <v>BTL</v>
          </cell>
          <cell r="O7453" t="str">
            <v>[No Vendor]</v>
          </cell>
        </row>
        <row r="7454">
          <cell r="D7454">
            <v>-10472.77</v>
          </cell>
          <cell r="H7454">
            <v>45717</v>
          </cell>
          <cell r="I7454" t="str">
            <v>8000 - Interest Income</v>
          </cell>
          <cell r="J7454">
            <v>0</v>
          </cell>
          <cell r="K7454" t="str">
            <v>Licensing</v>
          </cell>
          <cell r="L7454" t="str">
            <v>Other Income (BTL)</v>
          </cell>
          <cell r="N7454" t="str">
            <v>BTL</v>
          </cell>
          <cell r="O7454" t="str">
            <v>[No Vendor]</v>
          </cell>
        </row>
        <row r="7455">
          <cell r="D7455">
            <v>27.19</v>
          </cell>
          <cell r="H7455">
            <v>45717</v>
          </cell>
          <cell r="I7455" t="str">
            <v>6487 - Interest Expense</v>
          </cell>
          <cell r="J7455">
            <v>0</v>
          </cell>
          <cell r="K7455" t="str">
            <v>Administration</v>
          </cell>
          <cell r="L7455" t="str">
            <v>Interest</v>
          </cell>
          <cell r="N7455" t="str">
            <v>BTL</v>
          </cell>
          <cell r="O7455" t="str">
            <v>[No Vendor]</v>
          </cell>
        </row>
        <row r="7456">
          <cell r="D7456">
            <v>7851.52</v>
          </cell>
          <cell r="H7456">
            <v>45717</v>
          </cell>
          <cell r="I7456" t="str">
            <v>6487 - Interest Expense</v>
          </cell>
          <cell r="J7456">
            <v>0</v>
          </cell>
          <cell r="K7456" t="str">
            <v>Administration</v>
          </cell>
          <cell r="L7456" t="str">
            <v>Interest</v>
          </cell>
          <cell r="N7456" t="str">
            <v>BTL</v>
          </cell>
          <cell r="O7456" t="str">
            <v>[No Vendor]</v>
          </cell>
        </row>
        <row r="7457">
          <cell r="D7457">
            <v>3465.75</v>
          </cell>
          <cell r="H7457">
            <v>45717</v>
          </cell>
          <cell r="I7457" t="str">
            <v>6487 - Interest Expense</v>
          </cell>
          <cell r="J7457">
            <v>0</v>
          </cell>
          <cell r="K7457" t="str">
            <v>Administration</v>
          </cell>
          <cell r="L7457" t="str">
            <v>Interest</v>
          </cell>
          <cell r="N7457" t="str">
            <v>BTL</v>
          </cell>
          <cell r="O7457" t="str">
            <v>[No Vendor]</v>
          </cell>
        </row>
        <row r="7458">
          <cell r="D7458">
            <v>11720.55</v>
          </cell>
          <cell r="H7458">
            <v>45717</v>
          </cell>
          <cell r="I7458" t="str">
            <v>6487 - Interest Expense</v>
          </cell>
          <cell r="J7458">
            <v>0</v>
          </cell>
          <cell r="K7458" t="str">
            <v>Administration</v>
          </cell>
          <cell r="L7458" t="str">
            <v>Interest</v>
          </cell>
          <cell r="N7458" t="str">
            <v>BTL</v>
          </cell>
          <cell r="O7458" t="str">
            <v>[No Vendor]</v>
          </cell>
        </row>
        <row r="7459">
          <cell r="D7459">
            <v>3906.85</v>
          </cell>
          <cell r="H7459">
            <v>45717</v>
          </cell>
          <cell r="I7459" t="str">
            <v>6487 - Interest Expense</v>
          </cell>
          <cell r="J7459">
            <v>0</v>
          </cell>
          <cell r="K7459" t="str">
            <v>Administration</v>
          </cell>
          <cell r="L7459" t="str">
            <v>Interest</v>
          </cell>
          <cell r="N7459" t="str">
            <v>BTL</v>
          </cell>
          <cell r="O7459" t="str">
            <v>[No Vendor]</v>
          </cell>
        </row>
        <row r="7460">
          <cell r="D7460">
            <v>15236.71</v>
          </cell>
          <cell r="H7460">
            <v>45717</v>
          </cell>
          <cell r="I7460" t="str">
            <v>6487 - Interest Expense</v>
          </cell>
          <cell r="J7460">
            <v>0</v>
          </cell>
          <cell r="K7460" t="str">
            <v>Administration</v>
          </cell>
          <cell r="L7460" t="str">
            <v>Interest</v>
          </cell>
          <cell r="N7460" t="str">
            <v>BTL</v>
          </cell>
          <cell r="O7460" t="str">
            <v>[No Vendor]</v>
          </cell>
        </row>
        <row r="7461">
          <cell r="D7461">
            <v>5860.27</v>
          </cell>
          <cell r="H7461">
            <v>45717</v>
          </cell>
          <cell r="I7461" t="str">
            <v>6487 - Interest Expense</v>
          </cell>
          <cell r="J7461">
            <v>0</v>
          </cell>
          <cell r="K7461" t="str">
            <v>Administration</v>
          </cell>
          <cell r="L7461" t="str">
            <v>Interest</v>
          </cell>
          <cell r="N7461" t="str">
            <v>BTL</v>
          </cell>
          <cell r="O7461" t="str">
            <v>[No Vendor]</v>
          </cell>
        </row>
        <row r="7462">
          <cell r="D7462">
            <v>4297.53</v>
          </cell>
          <cell r="H7462">
            <v>45717</v>
          </cell>
          <cell r="I7462" t="str">
            <v>6487 - Interest Expense</v>
          </cell>
          <cell r="J7462">
            <v>0</v>
          </cell>
          <cell r="K7462" t="str">
            <v>Administration</v>
          </cell>
          <cell r="L7462" t="str">
            <v>Interest</v>
          </cell>
          <cell r="N7462" t="str">
            <v>BTL</v>
          </cell>
          <cell r="O7462" t="str">
            <v>[No Vendor]</v>
          </cell>
        </row>
        <row r="7463">
          <cell r="D7463">
            <v>9404.99</v>
          </cell>
          <cell r="H7463">
            <v>45717</v>
          </cell>
          <cell r="I7463" t="str">
            <v>6440 - Bad Debt Expenses</v>
          </cell>
          <cell r="J7463" t="str">
            <v>Wholesale</v>
          </cell>
          <cell r="K7463" t="str">
            <v>Wholesale</v>
          </cell>
          <cell r="L7463" t="str">
            <v>Other</v>
          </cell>
          <cell r="N7463" t="str">
            <v>SG&amp;A</v>
          </cell>
          <cell r="O7463" t="str">
            <v>[No Vendor]</v>
          </cell>
        </row>
        <row r="7464">
          <cell r="D7464">
            <v>39354</v>
          </cell>
          <cell r="H7464">
            <v>45717</v>
          </cell>
          <cell r="I7464" t="str">
            <v>6440 - Bad Debt Expenses</v>
          </cell>
          <cell r="J7464">
            <v>0</v>
          </cell>
          <cell r="K7464" t="str">
            <v>Licensing</v>
          </cell>
          <cell r="L7464" t="str">
            <v>Other</v>
          </cell>
          <cell r="N7464" t="str">
            <v>SG&amp;A</v>
          </cell>
          <cell r="O7464" t="str">
            <v>[No Vendor]</v>
          </cell>
        </row>
        <row r="7465">
          <cell r="D7465">
            <v>175</v>
          </cell>
          <cell r="H7465">
            <v>45717</v>
          </cell>
          <cell r="I7465" t="str">
            <v>6420 - Licenses &amp; Membership</v>
          </cell>
          <cell r="J7465">
            <v>0</v>
          </cell>
          <cell r="K7465" t="str">
            <v>Production</v>
          </cell>
          <cell r="L7465" t="str">
            <v>Professional Service</v>
          </cell>
          <cell r="N7465" t="str">
            <v>SG&amp;A</v>
          </cell>
          <cell r="O7465" t="str">
            <v>GS1</v>
          </cell>
        </row>
        <row r="7466">
          <cell r="D7466">
            <v>153</v>
          </cell>
          <cell r="H7466">
            <v>45717</v>
          </cell>
          <cell r="I7466" t="str">
            <v>6420 - Licenses &amp; Membership</v>
          </cell>
          <cell r="J7466">
            <v>0</v>
          </cell>
          <cell r="K7466" t="str">
            <v>Brand Marketing</v>
          </cell>
          <cell r="L7466" t="str">
            <v>Professional Service</v>
          </cell>
          <cell r="N7466" t="str">
            <v>SG&amp;A</v>
          </cell>
          <cell r="O7466" t="str">
            <v>[No Vendor]</v>
          </cell>
        </row>
        <row r="7467">
          <cell r="D7467">
            <v>-30113.77</v>
          </cell>
          <cell r="H7467">
            <v>45717</v>
          </cell>
          <cell r="I7467" t="str">
            <v>6320 - Building Rent</v>
          </cell>
          <cell r="J7467">
            <v>0</v>
          </cell>
          <cell r="K7467" t="str">
            <v>Administration</v>
          </cell>
          <cell r="L7467" t="str">
            <v>Rent</v>
          </cell>
          <cell r="N7467" t="str">
            <v>SG&amp;A</v>
          </cell>
          <cell r="O7467" t="str">
            <v>[No Vendor]</v>
          </cell>
        </row>
        <row r="7468">
          <cell r="D7468">
            <v>6363.96</v>
          </cell>
          <cell r="H7468">
            <v>45717</v>
          </cell>
          <cell r="I7468" t="str">
            <v>6375 - Freight Expenses</v>
          </cell>
          <cell r="J7468" t="str">
            <v>Ecommerce (EU)</v>
          </cell>
          <cell r="K7468" t="str">
            <v>Ecommerce</v>
          </cell>
          <cell r="L7468" t="str">
            <v>Freight</v>
          </cell>
          <cell r="N7468" t="str">
            <v>Direct Costs</v>
          </cell>
          <cell r="O7468" t="str">
            <v>Global E</v>
          </cell>
        </row>
        <row r="7469">
          <cell r="D7469">
            <v>5000</v>
          </cell>
          <cell r="H7469">
            <v>45717</v>
          </cell>
          <cell r="I7469" t="str">
            <v>6375 - Freight Expenses</v>
          </cell>
          <cell r="J7469" t="str">
            <v>Ecommerce (US)</v>
          </cell>
          <cell r="K7469" t="str">
            <v>Ecommerce</v>
          </cell>
          <cell r="L7469" t="str">
            <v>Freight</v>
          </cell>
          <cell r="N7469" t="str">
            <v>Direct Costs</v>
          </cell>
          <cell r="O7469" t="str">
            <v>UPS Supply Chain Solutions Inc. (7F24A0)</v>
          </cell>
        </row>
        <row r="7470">
          <cell r="D7470">
            <v>-8182.12</v>
          </cell>
          <cell r="H7470">
            <v>45717</v>
          </cell>
          <cell r="I7470" t="str">
            <v>6375 - Freight Expenses</v>
          </cell>
          <cell r="J7470" t="str">
            <v>Wholesale</v>
          </cell>
          <cell r="K7470" t="str">
            <v>Wholesale</v>
          </cell>
          <cell r="L7470" t="str">
            <v>Freight</v>
          </cell>
          <cell r="N7470" t="str">
            <v>Direct Costs</v>
          </cell>
          <cell r="O7470" t="str">
            <v>[No Vendor]</v>
          </cell>
        </row>
        <row r="7471">
          <cell r="D7471">
            <v>1000</v>
          </cell>
          <cell r="H7471">
            <v>45717</v>
          </cell>
          <cell r="I7471" t="str">
            <v>6375 - Freight Expenses</v>
          </cell>
          <cell r="J7471" t="str">
            <v>Wholesale</v>
          </cell>
          <cell r="K7471" t="str">
            <v>Wholesale</v>
          </cell>
          <cell r="L7471" t="str">
            <v>Freight</v>
          </cell>
          <cell r="N7471" t="str">
            <v>Direct Costs</v>
          </cell>
          <cell r="O7471" t="str">
            <v>[No Vendor]</v>
          </cell>
        </row>
        <row r="7472">
          <cell r="D7472">
            <v>-47005.95</v>
          </cell>
          <cell r="H7472">
            <v>45717</v>
          </cell>
          <cell r="I7472" t="str">
            <v>6375 - Freight Expenses</v>
          </cell>
          <cell r="J7472" t="str">
            <v>Ecommerce (US)</v>
          </cell>
          <cell r="K7472" t="str">
            <v>Ecommerce</v>
          </cell>
          <cell r="L7472" t="str">
            <v>Freight</v>
          </cell>
          <cell r="N7472" t="str">
            <v>Direct Costs</v>
          </cell>
          <cell r="O7472" t="str">
            <v>[No Vendor]</v>
          </cell>
        </row>
        <row r="7473">
          <cell r="D7473">
            <v>927.87</v>
          </cell>
          <cell r="H7473">
            <v>45717</v>
          </cell>
          <cell r="I7473" t="str">
            <v>6375 - Freight Expenses</v>
          </cell>
          <cell r="J7473" t="str">
            <v>Ecommerce (US)</v>
          </cell>
          <cell r="K7473" t="str">
            <v>Ecommerce</v>
          </cell>
          <cell r="L7473" t="str">
            <v>Freight</v>
          </cell>
          <cell r="N7473" t="str">
            <v>Direct Costs</v>
          </cell>
          <cell r="O7473" t="str">
            <v>Amazon</v>
          </cell>
        </row>
        <row r="7474">
          <cell r="D7474">
            <v>-2615</v>
          </cell>
          <cell r="H7474">
            <v>45717</v>
          </cell>
          <cell r="I7474" t="str">
            <v>6375 - Freight Expenses</v>
          </cell>
          <cell r="J7474" t="str">
            <v>Ecommerce (US)</v>
          </cell>
          <cell r="K7474" t="str">
            <v>Ecommerce</v>
          </cell>
          <cell r="L7474" t="str">
            <v>Freight</v>
          </cell>
          <cell r="N7474" t="str">
            <v>Direct Costs</v>
          </cell>
          <cell r="O7474" t="str">
            <v>[No Vendor]</v>
          </cell>
        </row>
        <row r="7475">
          <cell r="D7475">
            <v>0</v>
          </cell>
          <cell r="H7475">
            <v>45717</v>
          </cell>
          <cell r="I7475" t="str">
            <v>6375 - Freight Expenses</v>
          </cell>
          <cell r="J7475" t="str">
            <v>Wholesale</v>
          </cell>
          <cell r="K7475" t="str">
            <v>Wholesale</v>
          </cell>
          <cell r="L7475" t="str">
            <v>Freight</v>
          </cell>
          <cell r="N7475" t="str">
            <v>Direct Costs</v>
          </cell>
          <cell r="O7475" t="str">
            <v>[No Vendor]</v>
          </cell>
        </row>
        <row r="7476">
          <cell r="D7476">
            <v>8.69</v>
          </cell>
          <cell r="H7476">
            <v>45717</v>
          </cell>
          <cell r="I7476" t="str">
            <v>7030 - Plant Machinery &amp; Equipment</v>
          </cell>
          <cell r="J7476">
            <v>0</v>
          </cell>
          <cell r="K7476" t="str">
            <v>Production</v>
          </cell>
          <cell r="L7476" t="str">
            <v>Depreciation &amp; Amortization</v>
          </cell>
          <cell r="N7476" t="str">
            <v>SG&amp;A</v>
          </cell>
          <cell r="O7476" t="str">
            <v>[No Vendor]</v>
          </cell>
        </row>
        <row r="7477">
          <cell r="D7477">
            <v>-38.39</v>
          </cell>
          <cell r="H7477">
            <v>45717</v>
          </cell>
          <cell r="I7477" t="str">
            <v>6040 - Employer Paid Benefits</v>
          </cell>
          <cell r="J7477">
            <v>0</v>
          </cell>
          <cell r="K7477" t="str">
            <v>Merchandising</v>
          </cell>
          <cell r="L7477" t="str">
            <v>HQ Salaries</v>
          </cell>
          <cell r="N7477" t="str">
            <v>SG&amp;A</v>
          </cell>
          <cell r="O7477" t="str">
            <v>[No Vendor]</v>
          </cell>
        </row>
        <row r="7478">
          <cell r="D7478">
            <v>-38.39</v>
          </cell>
          <cell r="H7478">
            <v>45717</v>
          </cell>
          <cell r="I7478" t="str">
            <v>6040 - Employer Paid Benefits</v>
          </cell>
          <cell r="J7478" t="str">
            <v>Wholesale</v>
          </cell>
          <cell r="K7478" t="str">
            <v>Wholesale</v>
          </cell>
          <cell r="L7478" t="str">
            <v>HQ Salaries</v>
          </cell>
          <cell r="N7478" t="str">
            <v>SG&amp;A</v>
          </cell>
          <cell r="O7478" t="str">
            <v>[No Vendor]</v>
          </cell>
        </row>
        <row r="7479">
          <cell r="D7479">
            <v>-531.12</v>
          </cell>
          <cell r="H7479">
            <v>45717</v>
          </cell>
          <cell r="I7479" t="str">
            <v>6040 - Employer Paid Benefits</v>
          </cell>
          <cell r="J7479">
            <v>0</v>
          </cell>
          <cell r="K7479" t="str">
            <v>Production</v>
          </cell>
          <cell r="L7479" t="str">
            <v>HQ Salaries</v>
          </cell>
          <cell r="N7479" t="str">
            <v>SG&amp;A</v>
          </cell>
          <cell r="O7479" t="str">
            <v>[No Vendor]</v>
          </cell>
        </row>
        <row r="7480">
          <cell r="D7480">
            <v>-38.380000000000003</v>
          </cell>
          <cell r="H7480">
            <v>45717</v>
          </cell>
          <cell r="I7480" t="str">
            <v>6040 - Employer Paid Benefits</v>
          </cell>
          <cell r="J7480">
            <v>0</v>
          </cell>
          <cell r="K7480" t="str">
            <v>Brand Marketing</v>
          </cell>
          <cell r="L7480" t="str">
            <v>HQ Salaries</v>
          </cell>
          <cell r="N7480" t="str">
            <v>SG&amp;A</v>
          </cell>
          <cell r="O7480" t="str">
            <v>[No Vendor]</v>
          </cell>
        </row>
        <row r="7481">
          <cell r="D7481">
            <v>-365.77</v>
          </cell>
          <cell r="H7481">
            <v>45717</v>
          </cell>
          <cell r="I7481" t="str">
            <v>6040 - Employer Paid Benefits</v>
          </cell>
          <cell r="J7481">
            <v>0</v>
          </cell>
          <cell r="K7481" t="str">
            <v>Executive</v>
          </cell>
          <cell r="L7481" t="str">
            <v>HQ Salaries</v>
          </cell>
          <cell r="N7481" t="str">
            <v>SG&amp;A</v>
          </cell>
          <cell r="O7481" t="str">
            <v>[No Vendor]</v>
          </cell>
        </row>
        <row r="7482">
          <cell r="D7482">
            <v>-275.55</v>
          </cell>
          <cell r="H7482">
            <v>45717</v>
          </cell>
          <cell r="I7482" t="str">
            <v>6040 - Employer Paid Benefits</v>
          </cell>
          <cell r="J7482" t="str">
            <v>Ecommerce (US)</v>
          </cell>
          <cell r="K7482" t="str">
            <v>Ecommerce</v>
          </cell>
          <cell r="L7482" t="str">
            <v>HQ Salaries</v>
          </cell>
          <cell r="N7482" t="str">
            <v>SG&amp;A</v>
          </cell>
          <cell r="O7482" t="str">
            <v>[No Vendor]</v>
          </cell>
        </row>
        <row r="7483">
          <cell r="D7483">
            <v>-486.66</v>
          </cell>
          <cell r="H7483">
            <v>45717</v>
          </cell>
          <cell r="I7483" t="str">
            <v>6040 - Employer Paid Benefits</v>
          </cell>
          <cell r="J7483">
            <v>0</v>
          </cell>
          <cell r="K7483" t="str">
            <v>Design</v>
          </cell>
          <cell r="L7483" t="str">
            <v>HQ Salaries</v>
          </cell>
          <cell r="N7483" t="str">
            <v>SG&amp;A</v>
          </cell>
          <cell r="O7483" t="str">
            <v>[No Vendor]</v>
          </cell>
        </row>
        <row r="7484">
          <cell r="D7484">
            <v>-687</v>
          </cell>
          <cell r="H7484">
            <v>45717</v>
          </cell>
          <cell r="I7484" t="str">
            <v>6040 - Employer Paid Benefits</v>
          </cell>
          <cell r="J7484">
            <v>0</v>
          </cell>
          <cell r="K7484" t="str">
            <v>Administration</v>
          </cell>
          <cell r="L7484" t="str">
            <v>HQ Salaries</v>
          </cell>
          <cell r="N7484" t="str">
            <v>SG&amp;A</v>
          </cell>
          <cell r="O7484" t="str">
            <v>[No Vendor]</v>
          </cell>
        </row>
        <row r="7485">
          <cell r="D7485">
            <v>1155</v>
          </cell>
          <cell r="H7485">
            <v>45717</v>
          </cell>
          <cell r="I7485" t="str">
            <v>6005 - Salaries</v>
          </cell>
          <cell r="J7485">
            <v>0</v>
          </cell>
          <cell r="K7485" t="str">
            <v>Production</v>
          </cell>
          <cell r="L7485" t="str">
            <v>HQ Salaries</v>
          </cell>
          <cell r="N7485" t="str">
            <v>SG&amp;A</v>
          </cell>
          <cell r="O7485" t="str">
            <v>[No Vendor]</v>
          </cell>
        </row>
        <row r="7486">
          <cell r="D7486">
            <v>9895.77</v>
          </cell>
          <cell r="H7486">
            <v>45717</v>
          </cell>
          <cell r="I7486" t="str">
            <v>6005 - Salaries</v>
          </cell>
          <cell r="J7486">
            <v>0</v>
          </cell>
          <cell r="K7486" t="str">
            <v>Merchandising</v>
          </cell>
          <cell r="L7486" t="str">
            <v>HQ Salaries</v>
          </cell>
          <cell r="N7486" t="str">
            <v>SG&amp;A</v>
          </cell>
          <cell r="O7486" t="str">
            <v>[No Vendor]</v>
          </cell>
        </row>
        <row r="7487">
          <cell r="D7487">
            <v>3173.08</v>
          </cell>
          <cell r="H7487">
            <v>45717</v>
          </cell>
          <cell r="I7487" t="str">
            <v>6005 - Salaries</v>
          </cell>
          <cell r="J7487" t="str">
            <v>Wholesale</v>
          </cell>
          <cell r="K7487" t="str">
            <v>Wholesale</v>
          </cell>
          <cell r="L7487" t="str">
            <v>HQ Salaries</v>
          </cell>
          <cell r="N7487" t="str">
            <v>SG&amp;A</v>
          </cell>
          <cell r="O7487" t="str">
            <v>[No Vendor]</v>
          </cell>
        </row>
        <row r="7488">
          <cell r="D7488">
            <v>20802.72</v>
          </cell>
          <cell r="H7488">
            <v>45717</v>
          </cell>
          <cell r="I7488" t="str">
            <v>6005 - Salaries</v>
          </cell>
          <cell r="J7488">
            <v>0</v>
          </cell>
          <cell r="K7488" t="str">
            <v>Production</v>
          </cell>
          <cell r="L7488" t="str">
            <v>HQ Salaries</v>
          </cell>
          <cell r="N7488" t="str">
            <v>SG&amp;A</v>
          </cell>
          <cell r="O7488" t="str">
            <v>[No Vendor]</v>
          </cell>
        </row>
        <row r="7489">
          <cell r="D7489">
            <v>4840.99</v>
          </cell>
          <cell r="H7489">
            <v>45717</v>
          </cell>
          <cell r="I7489" t="str">
            <v>6005 - Salaries</v>
          </cell>
          <cell r="J7489">
            <v>0</v>
          </cell>
          <cell r="K7489" t="str">
            <v>Brand Marketing</v>
          </cell>
          <cell r="L7489" t="str">
            <v>HQ Salaries</v>
          </cell>
          <cell r="N7489" t="str">
            <v>SG&amp;A</v>
          </cell>
          <cell r="O7489" t="str">
            <v>[No Vendor]</v>
          </cell>
        </row>
        <row r="7490">
          <cell r="D7490">
            <v>12269.24</v>
          </cell>
          <cell r="H7490">
            <v>45717</v>
          </cell>
          <cell r="I7490" t="str">
            <v>6005 - Salaries</v>
          </cell>
          <cell r="J7490">
            <v>0</v>
          </cell>
          <cell r="K7490" t="str">
            <v>Executive</v>
          </cell>
          <cell r="L7490" t="str">
            <v>HQ Salaries</v>
          </cell>
          <cell r="N7490" t="str">
            <v>SG&amp;A</v>
          </cell>
          <cell r="O7490" t="str">
            <v>[No Vendor]</v>
          </cell>
        </row>
        <row r="7491">
          <cell r="D7491">
            <v>22858.880000000001</v>
          </cell>
          <cell r="H7491">
            <v>45717</v>
          </cell>
          <cell r="I7491" t="str">
            <v>6005 - Salaries</v>
          </cell>
          <cell r="J7491" t="str">
            <v>Ecommerce (US)</v>
          </cell>
          <cell r="K7491" t="str">
            <v>Ecommerce</v>
          </cell>
          <cell r="L7491" t="str">
            <v>HQ Salaries</v>
          </cell>
          <cell r="N7491" t="str">
            <v>SG&amp;A</v>
          </cell>
          <cell r="O7491" t="str">
            <v>[No Vendor]</v>
          </cell>
        </row>
        <row r="7492">
          <cell r="D7492">
            <v>23527.32</v>
          </cell>
          <cell r="H7492">
            <v>45717</v>
          </cell>
          <cell r="I7492" t="str">
            <v>6005 - Salaries</v>
          </cell>
          <cell r="J7492">
            <v>0</v>
          </cell>
          <cell r="K7492" t="str">
            <v>Design</v>
          </cell>
          <cell r="L7492" t="str">
            <v>HQ Salaries</v>
          </cell>
          <cell r="N7492" t="str">
            <v>SG&amp;A</v>
          </cell>
          <cell r="O7492" t="str">
            <v>[No Vendor]</v>
          </cell>
        </row>
        <row r="7493">
          <cell r="D7493">
            <v>29716.95</v>
          </cell>
          <cell r="H7493">
            <v>45717</v>
          </cell>
          <cell r="I7493" t="str">
            <v>6005 - Salaries</v>
          </cell>
          <cell r="J7493">
            <v>0</v>
          </cell>
          <cell r="K7493" t="str">
            <v>Administration</v>
          </cell>
          <cell r="L7493" t="str">
            <v>HQ Salaries</v>
          </cell>
          <cell r="N7493" t="str">
            <v>SG&amp;A</v>
          </cell>
          <cell r="O7493" t="str">
            <v>[No Vendor]</v>
          </cell>
        </row>
        <row r="7494">
          <cell r="D7494">
            <v>0</v>
          </cell>
          <cell r="H7494">
            <v>45717</v>
          </cell>
          <cell r="I7494" t="str">
            <v>4020 - Revenue - Marketing Contribution</v>
          </cell>
          <cell r="J7494">
            <v>0</v>
          </cell>
          <cell r="K7494" t="str">
            <v>Licensing</v>
          </cell>
          <cell r="L7494" t="str">
            <v>License</v>
          </cell>
          <cell r="N7494" t="str">
            <v>Revenue</v>
          </cell>
          <cell r="O7494" t="str">
            <v>[No Vendor]</v>
          </cell>
        </row>
        <row r="7495">
          <cell r="D7495">
            <v>0</v>
          </cell>
          <cell r="H7495">
            <v>45717</v>
          </cell>
          <cell r="I7495" t="str">
            <v>4010 - Revenue - Licensing Fees (Royalties)</v>
          </cell>
          <cell r="J7495">
            <v>0</v>
          </cell>
          <cell r="K7495" t="str">
            <v>Licensing</v>
          </cell>
          <cell r="L7495" t="str">
            <v>License</v>
          </cell>
          <cell r="N7495" t="str">
            <v>Revenue</v>
          </cell>
          <cell r="O7495" t="str">
            <v>[No Vendor]</v>
          </cell>
        </row>
        <row r="7496">
          <cell r="D7496">
            <v>0</v>
          </cell>
          <cell r="H7496">
            <v>45717</v>
          </cell>
          <cell r="I7496" t="str">
            <v>4010 - Revenue - Licensing Fees (Royalties)</v>
          </cell>
          <cell r="J7496">
            <v>0</v>
          </cell>
          <cell r="K7496" t="str">
            <v>Licensing</v>
          </cell>
          <cell r="L7496" t="str">
            <v>License</v>
          </cell>
          <cell r="N7496" t="str">
            <v>Revenue</v>
          </cell>
          <cell r="O7496" t="str">
            <v>[No Vendor]</v>
          </cell>
        </row>
        <row r="7497">
          <cell r="D7497">
            <v>0</v>
          </cell>
          <cell r="H7497">
            <v>45717</v>
          </cell>
          <cell r="I7497" t="str">
            <v>4010 - Revenue - Licensing Fees (Royalties)</v>
          </cell>
          <cell r="J7497">
            <v>0</v>
          </cell>
          <cell r="K7497" t="str">
            <v>Licensing</v>
          </cell>
          <cell r="L7497" t="str">
            <v>License</v>
          </cell>
          <cell r="N7497" t="str">
            <v>Revenue</v>
          </cell>
          <cell r="O7497" t="str">
            <v>[No Vendor]</v>
          </cell>
        </row>
        <row r="7498">
          <cell r="D7498">
            <v>0</v>
          </cell>
          <cell r="H7498">
            <v>45717</v>
          </cell>
          <cell r="I7498" t="str">
            <v>4010 - Revenue - Licensing Fees (Royalties)</v>
          </cell>
          <cell r="J7498">
            <v>0</v>
          </cell>
          <cell r="K7498" t="str">
            <v>Licensing</v>
          </cell>
          <cell r="L7498" t="str">
            <v>License</v>
          </cell>
          <cell r="N7498" t="str">
            <v>Revenue</v>
          </cell>
          <cell r="O7498" t="str">
            <v>[No Vendor]</v>
          </cell>
        </row>
        <row r="7499">
          <cell r="D7499">
            <v>-42073.85</v>
          </cell>
          <cell r="H7499">
            <v>45717</v>
          </cell>
          <cell r="I7499" t="str">
            <v>4010 - Revenue - Licensing Fees (Royalties)</v>
          </cell>
          <cell r="J7499">
            <v>0</v>
          </cell>
          <cell r="K7499" t="str">
            <v>Licensing</v>
          </cell>
          <cell r="L7499" t="str">
            <v>License</v>
          </cell>
          <cell r="N7499" t="str">
            <v>Revenue</v>
          </cell>
          <cell r="O7499" t="str">
            <v>[No Vendor]</v>
          </cell>
        </row>
        <row r="7500">
          <cell r="D7500">
            <v>-4166.67</v>
          </cell>
          <cell r="H7500">
            <v>45717</v>
          </cell>
          <cell r="I7500" t="str">
            <v>4010 - Revenue - Licensing Fees (Royalties)</v>
          </cell>
          <cell r="J7500">
            <v>0</v>
          </cell>
          <cell r="K7500" t="str">
            <v>Licensing</v>
          </cell>
          <cell r="L7500" t="str">
            <v>License</v>
          </cell>
          <cell r="N7500" t="str">
            <v>Revenue</v>
          </cell>
          <cell r="O7500" t="str">
            <v>[No Vendor]</v>
          </cell>
        </row>
        <row r="7501">
          <cell r="D7501">
            <v>0</v>
          </cell>
          <cell r="H7501">
            <v>45717</v>
          </cell>
          <cell r="I7501" t="str">
            <v>4010 - Revenue - Licensing Fees (Royalties)</v>
          </cell>
          <cell r="J7501">
            <v>0</v>
          </cell>
          <cell r="K7501" t="str">
            <v>Licensing</v>
          </cell>
          <cell r="L7501" t="str">
            <v>License</v>
          </cell>
          <cell r="N7501" t="str">
            <v>Revenue</v>
          </cell>
          <cell r="O7501" t="str">
            <v>[No Vendor]</v>
          </cell>
        </row>
        <row r="7502">
          <cell r="D7502">
            <v>262.99</v>
          </cell>
          <cell r="H7502">
            <v>45748</v>
          </cell>
          <cell r="I7502" t="str">
            <v>6040 - Employer Paid Benefits</v>
          </cell>
          <cell r="J7502">
            <v>0</v>
          </cell>
          <cell r="K7502" t="str">
            <v>Administration</v>
          </cell>
          <cell r="L7502" t="str">
            <v>HQ Salaries</v>
          </cell>
          <cell r="N7502" t="str">
            <v>SG&amp;A</v>
          </cell>
          <cell r="O7502" t="str">
            <v>Allied Administrators</v>
          </cell>
        </row>
        <row r="7503">
          <cell r="D7503">
            <v>3169.64</v>
          </cell>
          <cell r="H7503">
            <v>45748</v>
          </cell>
          <cell r="I7503" t="str">
            <v>6379 - Warehouse Storage</v>
          </cell>
          <cell r="J7503" t="str">
            <v>Wholesale</v>
          </cell>
          <cell r="K7503" t="str">
            <v>Wholesale</v>
          </cell>
          <cell r="L7503" t="str">
            <v>Order Processing</v>
          </cell>
          <cell r="N7503" t="str">
            <v>Direct Costs</v>
          </cell>
          <cell r="O7503" t="str">
            <v>Bergen Logistics Corporation</v>
          </cell>
        </row>
        <row r="7504">
          <cell r="D7504">
            <v>14384.2</v>
          </cell>
          <cell r="H7504">
            <v>45748</v>
          </cell>
          <cell r="I7504" t="str">
            <v>6379 - Warehouse Storage</v>
          </cell>
          <cell r="J7504" t="str">
            <v>Ecommerce (US)</v>
          </cell>
          <cell r="K7504" t="str">
            <v>Ecommerce</v>
          </cell>
          <cell r="L7504" t="str">
            <v>Order Processing</v>
          </cell>
          <cell r="N7504" t="str">
            <v>Direct Costs</v>
          </cell>
          <cell r="O7504" t="str">
            <v>Bergen Logistics Corporation</v>
          </cell>
        </row>
        <row r="7505">
          <cell r="D7505">
            <v>675.62</v>
          </cell>
          <cell r="H7505">
            <v>45748</v>
          </cell>
          <cell r="I7505" t="str">
            <v>6376 - Freight Supplies Other</v>
          </cell>
          <cell r="J7505" t="str">
            <v>Wholesale</v>
          </cell>
          <cell r="K7505" t="str">
            <v>Wholesale</v>
          </cell>
          <cell r="L7505" t="str">
            <v>Order Processing</v>
          </cell>
          <cell r="N7505" t="str">
            <v>Direct Costs</v>
          </cell>
          <cell r="O7505" t="str">
            <v>Bergen Logistics Corporation</v>
          </cell>
        </row>
        <row r="7506">
          <cell r="D7506">
            <v>205.96</v>
          </cell>
          <cell r="H7506">
            <v>45748</v>
          </cell>
          <cell r="I7506" t="str">
            <v>6376 - Freight Supplies Other</v>
          </cell>
          <cell r="J7506" t="str">
            <v>Ecommerce (EU)</v>
          </cell>
          <cell r="K7506" t="str">
            <v>Ecommerce</v>
          </cell>
          <cell r="L7506" t="str">
            <v>Order Processing</v>
          </cell>
          <cell r="N7506" t="str">
            <v>Direct Costs</v>
          </cell>
          <cell r="O7506" t="str">
            <v>Bergen Logistics Corporation</v>
          </cell>
        </row>
        <row r="7507">
          <cell r="D7507">
            <v>3118.3</v>
          </cell>
          <cell r="H7507">
            <v>45748</v>
          </cell>
          <cell r="I7507" t="str">
            <v>6376 - Freight Supplies Other</v>
          </cell>
          <cell r="J7507" t="str">
            <v>Ecommerce (US)</v>
          </cell>
          <cell r="K7507" t="str">
            <v>Ecommerce</v>
          </cell>
          <cell r="L7507" t="str">
            <v>Order Processing</v>
          </cell>
          <cell r="N7507" t="str">
            <v>Direct Costs</v>
          </cell>
          <cell r="O7507" t="str">
            <v>Bergen Logistics Corporation</v>
          </cell>
        </row>
        <row r="7508">
          <cell r="D7508">
            <v>12019.92</v>
          </cell>
          <cell r="H7508">
            <v>45748</v>
          </cell>
          <cell r="I7508" t="str">
            <v>8700 - Other Expense</v>
          </cell>
          <cell r="J7508">
            <v>0</v>
          </cell>
          <cell r="K7508" t="str">
            <v>Administration</v>
          </cell>
          <cell r="L7508" t="str">
            <v>Other Expense</v>
          </cell>
          <cell r="N7508" t="str">
            <v>BTL</v>
          </cell>
          <cell r="O7508" t="str">
            <v>Bryan Cave Leighton Paisner LLP</v>
          </cell>
        </row>
        <row r="7509">
          <cell r="D7509">
            <v>245292.58</v>
          </cell>
          <cell r="H7509">
            <v>45748</v>
          </cell>
          <cell r="I7509" t="str">
            <v>8700 - Other Expense</v>
          </cell>
          <cell r="J7509">
            <v>0</v>
          </cell>
          <cell r="K7509" t="str">
            <v>Administration</v>
          </cell>
          <cell r="L7509" t="str">
            <v>Other Expense</v>
          </cell>
          <cell r="N7509" t="str">
            <v>BTL</v>
          </cell>
          <cell r="O7509" t="str">
            <v>Bryan Cave Leighton Paisner LLP</v>
          </cell>
        </row>
        <row r="7510">
          <cell r="D7510">
            <v>55862.26</v>
          </cell>
          <cell r="H7510">
            <v>45748</v>
          </cell>
          <cell r="I7510" t="str">
            <v>8700 - Other Expense</v>
          </cell>
          <cell r="J7510">
            <v>0</v>
          </cell>
          <cell r="K7510" t="str">
            <v>Administration</v>
          </cell>
          <cell r="L7510" t="str">
            <v>Other Expense</v>
          </cell>
          <cell r="N7510" t="str">
            <v>BTL</v>
          </cell>
          <cell r="O7510" t="str">
            <v>Ontier UK</v>
          </cell>
        </row>
        <row r="7511">
          <cell r="D7511">
            <v>3712.26</v>
          </cell>
          <cell r="H7511">
            <v>45748</v>
          </cell>
          <cell r="I7511" t="str">
            <v>6377 - Order Processing Expenses (New)</v>
          </cell>
          <cell r="J7511" t="str">
            <v>Wholesale</v>
          </cell>
          <cell r="K7511" t="str">
            <v>Wholesale</v>
          </cell>
          <cell r="L7511" t="str">
            <v>Order Processing</v>
          </cell>
          <cell r="N7511" t="str">
            <v>Direct Costs</v>
          </cell>
          <cell r="O7511" t="str">
            <v>Bergen Logistics Corporation</v>
          </cell>
        </row>
        <row r="7512">
          <cell r="D7512">
            <v>1329.88</v>
          </cell>
          <cell r="H7512">
            <v>45748</v>
          </cell>
          <cell r="I7512" t="str">
            <v>6377 - Order Processing Expenses (New)</v>
          </cell>
          <cell r="J7512" t="str">
            <v>Ecommerce (EU)</v>
          </cell>
          <cell r="K7512" t="str">
            <v>Ecommerce</v>
          </cell>
          <cell r="L7512" t="str">
            <v>Order Processing</v>
          </cell>
          <cell r="N7512" t="str">
            <v>Direct Costs</v>
          </cell>
          <cell r="O7512" t="str">
            <v>Bergen Logistics Corporation</v>
          </cell>
        </row>
        <row r="7513">
          <cell r="D7513">
            <v>18305</v>
          </cell>
          <cell r="H7513">
            <v>45748</v>
          </cell>
          <cell r="I7513" t="str">
            <v>6377 - Order Processing Expenses (New)</v>
          </cell>
          <cell r="J7513" t="str">
            <v>Ecommerce (US)</v>
          </cell>
          <cell r="K7513" t="str">
            <v>Ecommerce</v>
          </cell>
          <cell r="L7513" t="str">
            <v>Order Processing</v>
          </cell>
          <cell r="N7513" t="str">
            <v>Direct Costs</v>
          </cell>
          <cell r="O7513" t="str">
            <v>Bergen Logistics Corporation</v>
          </cell>
        </row>
        <row r="7514">
          <cell r="D7514">
            <v>5380.51</v>
          </cell>
          <cell r="H7514">
            <v>45748</v>
          </cell>
          <cell r="I7514" t="str">
            <v>6380 - Legal &amp; Accounting</v>
          </cell>
          <cell r="J7514">
            <v>0</v>
          </cell>
          <cell r="K7514" t="str">
            <v>Administration</v>
          </cell>
          <cell r="L7514" t="str">
            <v>Professional Service</v>
          </cell>
          <cell r="N7514" t="str">
            <v>SG&amp;A</v>
          </cell>
          <cell r="O7514" t="str">
            <v>Bryan Cave Leighton Paisner LLP</v>
          </cell>
        </row>
        <row r="7515">
          <cell r="D7515">
            <v>2007.6</v>
          </cell>
          <cell r="H7515">
            <v>45748</v>
          </cell>
          <cell r="I7515" t="str">
            <v>6385 - Insurance</v>
          </cell>
          <cell r="J7515">
            <v>0</v>
          </cell>
          <cell r="K7515" t="str">
            <v>Administration</v>
          </cell>
          <cell r="L7515" t="str">
            <v>Professional Service</v>
          </cell>
          <cell r="N7515" t="str">
            <v>SG&amp;A</v>
          </cell>
          <cell r="O7515" t="str">
            <v>The Hartford</v>
          </cell>
        </row>
        <row r="7516">
          <cell r="D7516">
            <v>300.64999999999998</v>
          </cell>
          <cell r="H7516">
            <v>45748</v>
          </cell>
          <cell r="I7516" t="str">
            <v>6400 - Utilities</v>
          </cell>
          <cell r="J7516">
            <v>0</v>
          </cell>
          <cell r="K7516" t="str">
            <v>Administration</v>
          </cell>
          <cell r="L7516" t="str">
            <v>Other</v>
          </cell>
          <cell r="N7516" t="str">
            <v>SG&amp;A</v>
          </cell>
          <cell r="O7516" t="str">
            <v>Antelope LLC</v>
          </cell>
        </row>
        <row r="7517">
          <cell r="D7517">
            <v>269.93</v>
          </cell>
          <cell r="H7517">
            <v>45748</v>
          </cell>
          <cell r="I7517" t="str">
            <v>6400 - Utilities</v>
          </cell>
          <cell r="J7517">
            <v>0</v>
          </cell>
          <cell r="K7517" t="str">
            <v>Administration</v>
          </cell>
          <cell r="L7517" t="str">
            <v>Other</v>
          </cell>
          <cell r="N7517" t="str">
            <v>SG&amp;A</v>
          </cell>
          <cell r="O7517" t="str">
            <v>Verizon</v>
          </cell>
        </row>
        <row r="7518">
          <cell r="D7518">
            <v>12000</v>
          </cell>
          <cell r="H7518">
            <v>45748</v>
          </cell>
          <cell r="I7518" t="str">
            <v>6225 - Professional Services</v>
          </cell>
          <cell r="J7518">
            <v>0</v>
          </cell>
          <cell r="K7518" t="str">
            <v>Administration</v>
          </cell>
          <cell r="L7518" t="str">
            <v>Professional Service</v>
          </cell>
          <cell r="N7518" t="str">
            <v>Direct Costs</v>
          </cell>
          <cell r="O7518" t="str">
            <v>Janou Pakter</v>
          </cell>
        </row>
        <row r="7519">
          <cell r="D7519">
            <v>3292</v>
          </cell>
          <cell r="H7519">
            <v>45748</v>
          </cell>
          <cell r="I7519" t="str">
            <v>6225 - Professional Services</v>
          </cell>
          <cell r="J7519">
            <v>0</v>
          </cell>
          <cell r="K7519" t="str">
            <v>Administration</v>
          </cell>
          <cell r="L7519" t="str">
            <v>Professional Service</v>
          </cell>
          <cell r="N7519" t="str">
            <v>Direct Costs</v>
          </cell>
          <cell r="O7519" t="str">
            <v>Enom Solutions, Inc-DBA 3nom</v>
          </cell>
        </row>
        <row r="7520">
          <cell r="D7520">
            <v>30113.77</v>
          </cell>
          <cell r="H7520">
            <v>45748</v>
          </cell>
          <cell r="I7520" t="str">
            <v>6320 - Building Rent</v>
          </cell>
          <cell r="J7520">
            <v>0</v>
          </cell>
          <cell r="K7520" t="str">
            <v>Administration</v>
          </cell>
          <cell r="L7520" t="str">
            <v>Rent</v>
          </cell>
          <cell r="N7520" t="str">
            <v>SG&amp;A</v>
          </cell>
          <cell r="O7520" t="str">
            <v>Antelope LLC</v>
          </cell>
        </row>
        <row r="7521">
          <cell r="D7521">
            <v>174.92</v>
          </cell>
          <cell r="H7521">
            <v>45748</v>
          </cell>
          <cell r="I7521" t="str">
            <v>6375 - Freight Expenses</v>
          </cell>
          <cell r="J7521">
            <v>0</v>
          </cell>
          <cell r="K7521" t="str">
            <v>Brand Marketing</v>
          </cell>
          <cell r="L7521" t="str">
            <v>Freight</v>
          </cell>
          <cell r="N7521" t="str">
            <v>Direct Costs</v>
          </cell>
          <cell r="O7521" t="str">
            <v>GFD Courier Corporation</v>
          </cell>
        </row>
        <row r="7522">
          <cell r="D7522">
            <v>73.25</v>
          </cell>
          <cell r="H7522">
            <v>45748</v>
          </cell>
          <cell r="I7522" t="str">
            <v>6375 - Freight Expenses</v>
          </cell>
          <cell r="J7522" t="str">
            <v>Ecommerce (US)</v>
          </cell>
          <cell r="K7522" t="str">
            <v>Ecommerce</v>
          </cell>
          <cell r="L7522" t="str">
            <v>Freight</v>
          </cell>
          <cell r="N7522" t="str">
            <v>Direct Costs</v>
          </cell>
          <cell r="O7522" t="str">
            <v>UPS Supply Chain Solutions Inc. (7F24A0)</v>
          </cell>
        </row>
        <row r="7523">
          <cell r="D7523">
            <v>3780.36</v>
          </cell>
          <cell r="H7523">
            <v>45748</v>
          </cell>
          <cell r="I7523" t="str">
            <v>6040 - Employer Paid Benefits</v>
          </cell>
          <cell r="J7523" t="str">
            <v>Wholesale</v>
          </cell>
          <cell r="K7523" t="str">
            <v>Wholesale</v>
          </cell>
          <cell r="L7523" t="str">
            <v>HQ Salaries</v>
          </cell>
          <cell r="N7523" t="str">
            <v>SG&amp;A</v>
          </cell>
          <cell r="O7523" t="str">
            <v>Anthem Blue Cross and Blue Shield</v>
          </cell>
        </row>
        <row r="7524">
          <cell r="D7524">
            <v>6111.58</v>
          </cell>
          <cell r="H7524">
            <v>45748</v>
          </cell>
          <cell r="I7524" t="str">
            <v>6040 - Employer Paid Benefits</v>
          </cell>
          <cell r="J7524">
            <v>0</v>
          </cell>
          <cell r="K7524" t="str">
            <v>Production</v>
          </cell>
          <cell r="L7524" t="str">
            <v>HQ Salaries</v>
          </cell>
          <cell r="N7524" t="str">
            <v>SG&amp;A</v>
          </cell>
          <cell r="O7524" t="str">
            <v>Anthem Blue Cross and Blue Shield</v>
          </cell>
        </row>
        <row r="7525">
          <cell r="D7525">
            <v>1260.1199999999999</v>
          </cell>
          <cell r="H7525">
            <v>45748</v>
          </cell>
          <cell r="I7525" t="str">
            <v>6040 - Employer Paid Benefits</v>
          </cell>
          <cell r="J7525">
            <v>0</v>
          </cell>
          <cell r="K7525" t="str">
            <v>Merchandising</v>
          </cell>
          <cell r="L7525" t="str">
            <v>HQ Salaries</v>
          </cell>
          <cell r="N7525" t="str">
            <v>SG&amp;A</v>
          </cell>
          <cell r="O7525" t="str">
            <v>Anthem Blue Cross and Blue Shield</v>
          </cell>
        </row>
        <row r="7526">
          <cell r="D7526">
            <v>1260.1199999999999</v>
          </cell>
          <cell r="H7526">
            <v>45748</v>
          </cell>
          <cell r="I7526" t="str">
            <v>6040 - Employer Paid Benefits</v>
          </cell>
          <cell r="J7526">
            <v>0</v>
          </cell>
          <cell r="K7526" t="str">
            <v>Brand Marketing</v>
          </cell>
          <cell r="L7526" t="str">
            <v>HQ Salaries</v>
          </cell>
          <cell r="N7526" t="str">
            <v>SG&amp;A</v>
          </cell>
          <cell r="O7526" t="str">
            <v>Anthem Blue Cross and Blue Shield</v>
          </cell>
        </row>
        <row r="7527">
          <cell r="D7527">
            <v>4851.46</v>
          </cell>
          <cell r="H7527">
            <v>45748</v>
          </cell>
          <cell r="I7527" t="str">
            <v>6040 - Employer Paid Benefits</v>
          </cell>
          <cell r="J7527" t="str">
            <v>Ecommerce (US)</v>
          </cell>
          <cell r="K7527" t="str">
            <v>Ecommerce</v>
          </cell>
          <cell r="L7527" t="str">
            <v>HQ Salaries</v>
          </cell>
          <cell r="N7527" t="str">
            <v>SG&amp;A</v>
          </cell>
          <cell r="O7527" t="str">
            <v>Anthem Blue Cross and Blue Shield</v>
          </cell>
        </row>
        <row r="7528">
          <cell r="D7528">
            <v>5040.4799999999996</v>
          </cell>
          <cell r="H7528">
            <v>45748</v>
          </cell>
          <cell r="I7528" t="str">
            <v>6040 - Employer Paid Benefits</v>
          </cell>
          <cell r="J7528">
            <v>0</v>
          </cell>
          <cell r="K7528" t="str">
            <v>Design</v>
          </cell>
          <cell r="L7528" t="str">
            <v>HQ Salaries</v>
          </cell>
          <cell r="N7528" t="str">
            <v>SG&amp;A</v>
          </cell>
          <cell r="O7528" t="str">
            <v>Anthem Blue Cross and Blue Shield</v>
          </cell>
        </row>
        <row r="7529">
          <cell r="D7529">
            <v>15436.46</v>
          </cell>
          <cell r="H7529">
            <v>45748</v>
          </cell>
          <cell r="I7529" t="str">
            <v>6040 - Employer Paid Benefits</v>
          </cell>
          <cell r="J7529">
            <v>0</v>
          </cell>
          <cell r="K7529" t="str">
            <v>Administration</v>
          </cell>
          <cell r="L7529" t="str">
            <v>HQ Salaries</v>
          </cell>
          <cell r="N7529" t="str">
            <v>SG&amp;A</v>
          </cell>
          <cell r="O7529" t="str">
            <v>Anthem Blue Cross and Blue Shield</v>
          </cell>
        </row>
        <row r="7530">
          <cell r="D7530">
            <v>152.59</v>
          </cell>
          <cell r="H7530">
            <v>45748</v>
          </cell>
          <cell r="I7530" t="str">
            <v>6040 - Employer Paid Benefits</v>
          </cell>
          <cell r="J7530" t="str">
            <v>Wholesale</v>
          </cell>
          <cell r="K7530" t="str">
            <v>Wholesale</v>
          </cell>
          <cell r="L7530" t="str">
            <v>HQ Salaries</v>
          </cell>
          <cell r="N7530" t="str">
            <v>SG&amp;A</v>
          </cell>
          <cell r="O7530" t="str">
            <v>United of Omaha Life Insurance Company</v>
          </cell>
        </row>
        <row r="7531">
          <cell r="D7531">
            <v>309.77</v>
          </cell>
          <cell r="H7531">
            <v>45748</v>
          </cell>
          <cell r="I7531" t="str">
            <v>6040 - Employer Paid Benefits</v>
          </cell>
          <cell r="J7531">
            <v>0</v>
          </cell>
          <cell r="K7531" t="str">
            <v>Production</v>
          </cell>
          <cell r="L7531" t="str">
            <v>HQ Salaries</v>
          </cell>
          <cell r="N7531" t="str">
            <v>SG&amp;A</v>
          </cell>
          <cell r="O7531" t="str">
            <v>United of Omaha Life Insurance Company</v>
          </cell>
        </row>
        <row r="7532">
          <cell r="D7532">
            <v>86.43</v>
          </cell>
          <cell r="H7532">
            <v>45748</v>
          </cell>
          <cell r="I7532" t="str">
            <v>6040 - Employer Paid Benefits</v>
          </cell>
          <cell r="J7532">
            <v>0</v>
          </cell>
          <cell r="K7532" t="str">
            <v>Merchandising</v>
          </cell>
          <cell r="L7532" t="str">
            <v>HQ Salaries</v>
          </cell>
          <cell r="N7532" t="str">
            <v>SG&amp;A</v>
          </cell>
          <cell r="O7532" t="str">
            <v>United of Omaha Life Insurance Company</v>
          </cell>
        </row>
        <row r="7533">
          <cell r="D7533">
            <v>47.05</v>
          </cell>
          <cell r="H7533">
            <v>45748</v>
          </cell>
          <cell r="I7533" t="str">
            <v>6040 - Employer Paid Benefits</v>
          </cell>
          <cell r="J7533">
            <v>0</v>
          </cell>
          <cell r="K7533" t="str">
            <v>Brand Marketing</v>
          </cell>
          <cell r="L7533" t="str">
            <v>HQ Salaries</v>
          </cell>
          <cell r="N7533" t="str">
            <v>SG&amp;A</v>
          </cell>
          <cell r="O7533" t="str">
            <v>United of Omaha Life Insurance Company</v>
          </cell>
        </row>
        <row r="7534">
          <cell r="D7534">
            <v>238.9</v>
          </cell>
          <cell r="H7534">
            <v>45748</v>
          </cell>
          <cell r="I7534" t="str">
            <v>6040 - Employer Paid Benefits</v>
          </cell>
          <cell r="J7534">
            <v>0</v>
          </cell>
          <cell r="K7534" t="str">
            <v>Executive</v>
          </cell>
          <cell r="L7534" t="str">
            <v>HQ Salaries</v>
          </cell>
          <cell r="N7534" t="str">
            <v>SG&amp;A</v>
          </cell>
          <cell r="O7534" t="str">
            <v>United of Omaha Life Insurance Company</v>
          </cell>
        </row>
        <row r="7535">
          <cell r="D7535">
            <v>173.02</v>
          </cell>
          <cell r="H7535">
            <v>45748</v>
          </cell>
          <cell r="I7535" t="str">
            <v>6040 - Employer Paid Benefits</v>
          </cell>
          <cell r="J7535" t="str">
            <v>Ecommerce (US)</v>
          </cell>
          <cell r="K7535" t="str">
            <v>Ecommerce</v>
          </cell>
          <cell r="L7535" t="str">
            <v>HQ Salaries</v>
          </cell>
          <cell r="N7535" t="str">
            <v>SG&amp;A</v>
          </cell>
          <cell r="O7535" t="str">
            <v>United of Omaha Life Insurance Company</v>
          </cell>
        </row>
        <row r="7536">
          <cell r="D7536">
            <v>233.67</v>
          </cell>
          <cell r="H7536">
            <v>45748</v>
          </cell>
          <cell r="I7536" t="str">
            <v>6040 - Employer Paid Benefits</v>
          </cell>
          <cell r="J7536">
            <v>0</v>
          </cell>
          <cell r="K7536" t="str">
            <v>Design</v>
          </cell>
          <cell r="L7536" t="str">
            <v>HQ Salaries</v>
          </cell>
          <cell r="N7536" t="str">
            <v>SG&amp;A</v>
          </cell>
          <cell r="O7536" t="str">
            <v>United of Omaha Life Insurance Company</v>
          </cell>
        </row>
        <row r="7537">
          <cell r="D7537">
            <v>447.92</v>
          </cell>
          <cell r="H7537">
            <v>45748</v>
          </cell>
          <cell r="I7537" t="str">
            <v>6040 - Employer Paid Benefits</v>
          </cell>
          <cell r="J7537">
            <v>0</v>
          </cell>
          <cell r="K7537" t="str">
            <v>Administration</v>
          </cell>
          <cell r="L7537" t="str">
            <v>HQ Salaries</v>
          </cell>
          <cell r="N7537" t="str">
            <v>SG&amp;A</v>
          </cell>
          <cell r="O7537" t="str">
            <v>United of Omaha Life Insurance Company</v>
          </cell>
        </row>
        <row r="7538">
          <cell r="D7538">
            <v>89.53</v>
          </cell>
          <cell r="H7538">
            <v>45748</v>
          </cell>
          <cell r="I7538" t="str">
            <v>6040 - Employer Paid Benefits</v>
          </cell>
          <cell r="J7538" t="str">
            <v>Ecommerce (US)</v>
          </cell>
          <cell r="K7538" t="str">
            <v>Ecommerce</v>
          </cell>
          <cell r="L7538" t="str">
            <v>HQ Salaries</v>
          </cell>
          <cell r="N7538" t="str">
            <v>SG&amp;A</v>
          </cell>
          <cell r="O7538" t="str">
            <v>Allied Administrators</v>
          </cell>
        </row>
        <row r="7539">
          <cell r="D7539">
            <v>-61.65</v>
          </cell>
          <cell r="H7539">
            <v>45748</v>
          </cell>
          <cell r="I7539" t="str">
            <v>6040 - Employer Paid Benefits</v>
          </cell>
          <cell r="J7539" t="str">
            <v>Wholesale</v>
          </cell>
          <cell r="K7539" t="str">
            <v>Wholesale</v>
          </cell>
          <cell r="L7539" t="str">
            <v>HQ Salaries</v>
          </cell>
          <cell r="N7539" t="str">
            <v>SG&amp;A</v>
          </cell>
          <cell r="O7539" t="str">
            <v>Allied Administrators</v>
          </cell>
        </row>
        <row r="7540">
          <cell r="D7540">
            <v>222.24</v>
          </cell>
          <cell r="H7540">
            <v>45748</v>
          </cell>
          <cell r="I7540" t="str">
            <v>6040 - Employer Paid Benefits</v>
          </cell>
          <cell r="J7540">
            <v>0</v>
          </cell>
          <cell r="K7540" t="str">
            <v>Production</v>
          </cell>
          <cell r="L7540" t="str">
            <v>HQ Salaries</v>
          </cell>
          <cell r="N7540" t="str">
            <v>SG&amp;A</v>
          </cell>
          <cell r="O7540" t="str">
            <v>Allied Administrators</v>
          </cell>
        </row>
        <row r="7541">
          <cell r="D7541">
            <v>108.18</v>
          </cell>
          <cell r="H7541">
            <v>45748</v>
          </cell>
          <cell r="I7541" t="str">
            <v>6040 - Employer Paid Benefits</v>
          </cell>
          <cell r="J7541">
            <v>0</v>
          </cell>
          <cell r="K7541" t="str">
            <v>Merchandising</v>
          </cell>
          <cell r="L7541" t="str">
            <v>HQ Salaries</v>
          </cell>
          <cell r="N7541" t="str">
            <v>SG&amp;A</v>
          </cell>
          <cell r="O7541" t="str">
            <v>Allied Administrators</v>
          </cell>
        </row>
        <row r="7542">
          <cell r="D7542">
            <v>-145.80000000000001</v>
          </cell>
          <cell r="H7542">
            <v>45748</v>
          </cell>
          <cell r="I7542" t="str">
            <v>6040 - Employer Paid Benefits</v>
          </cell>
          <cell r="J7542">
            <v>0</v>
          </cell>
          <cell r="K7542" t="str">
            <v>Executive</v>
          </cell>
          <cell r="L7542" t="str">
            <v>HQ Salaries</v>
          </cell>
          <cell r="N7542" t="str">
            <v>SG&amp;A</v>
          </cell>
          <cell r="O7542" t="str">
            <v>Allied Administrators</v>
          </cell>
        </row>
        <row r="7543">
          <cell r="D7543">
            <v>83.64</v>
          </cell>
          <cell r="H7543">
            <v>45748</v>
          </cell>
          <cell r="I7543" t="str">
            <v>6040 - Employer Paid Benefits</v>
          </cell>
          <cell r="J7543">
            <v>0</v>
          </cell>
          <cell r="K7543" t="str">
            <v>Design</v>
          </cell>
          <cell r="L7543" t="str">
            <v>HQ Salaries</v>
          </cell>
          <cell r="N7543" t="str">
            <v>SG&amp;A</v>
          </cell>
          <cell r="O7543" t="str">
            <v>Allied Administrators</v>
          </cell>
        </row>
        <row r="7544">
          <cell r="D7544">
            <v>37000</v>
          </cell>
          <cell r="H7544">
            <v>45748</v>
          </cell>
          <cell r="I7544" t="str">
            <v>4010 - Revenue - Licensing Fees (Royalties)</v>
          </cell>
          <cell r="J7544">
            <v>0</v>
          </cell>
          <cell r="K7544" t="str">
            <v>Licensing</v>
          </cell>
          <cell r="L7544" t="str">
            <v>License</v>
          </cell>
          <cell r="N7544" t="str">
            <v>Revenue</v>
          </cell>
          <cell r="O7544" t="str">
            <v>[No Vendor]</v>
          </cell>
        </row>
        <row r="7545">
          <cell r="D7545">
            <v>-3000</v>
          </cell>
          <cell r="H7545">
            <v>45748</v>
          </cell>
          <cell r="I7545" t="str">
            <v>6379 - Warehouse Storage</v>
          </cell>
          <cell r="J7545" t="str">
            <v>Wholesale</v>
          </cell>
          <cell r="K7545" t="str">
            <v>Wholesale</v>
          </cell>
          <cell r="L7545" t="str">
            <v>Order Processing</v>
          </cell>
          <cell r="N7545" t="str">
            <v>Direct Costs</v>
          </cell>
          <cell r="O7545" t="str">
            <v>Bergen Logistics Corporation</v>
          </cell>
        </row>
        <row r="7546">
          <cell r="D7546">
            <v>-13000</v>
          </cell>
          <cell r="H7546">
            <v>45748</v>
          </cell>
          <cell r="I7546" t="str">
            <v>6379 - Warehouse Storage</v>
          </cell>
          <cell r="J7546" t="str">
            <v>Ecommerce (US)</v>
          </cell>
          <cell r="K7546" t="str">
            <v>Ecommerce</v>
          </cell>
          <cell r="L7546" t="str">
            <v>Order Processing</v>
          </cell>
          <cell r="N7546" t="str">
            <v>Direct Costs</v>
          </cell>
          <cell r="O7546" t="str">
            <v>Bergen Logistics Corporation</v>
          </cell>
        </row>
        <row r="7547">
          <cell r="D7547">
            <v>-300</v>
          </cell>
          <cell r="H7547">
            <v>45748</v>
          </cell>
          <cell r="I7547" t="str">
            <v>6376 - Freight Supplies Other</v>
          </cell>
          <cell r="J7547" t="str">
            <v>Ecommerce (EU)</v>
          </cell>
          <cell r="K7547" t="str">
            <v>Ecommerce</v>
          </cell>
          <cell r="L7547" t="str">
            <v>Order Processing</v>
          </cell>
          <cell r="N7547" t="str">
            <v>Direct Costs</v>
          </cell>
          <cell r="O7547" t="str">
            <v>Bergen Logistics Corporation</v>
          </cell>
        </row>
        <row r="7548">
          <cell r="D7548">
            <v>-5000</v>
          </cell>
          <cell r="H7548">
            <v>45748</v>
          </cell>
          <cell r="I7548" t="str">
            <v>6376 - Freight Supplies Other</v>
          </cell>
          <cell r="J7548" t="str">
            <v>Ecommerce (US)</v>
          </cell>
          <cell r="K7548" t="str">
            <v>Ecommerce</v>
          </cell>
          <cell r="L7548" t="str">
            <v>Order Processing</v>
          </cell>
          <cell r="N7548" t="str">
            <v>Direct Costs</v>
          </cell>
          <cell r="O7548" t="str">
            <v>Bergen Logistics Corporation</v>
          </cell>
        </row>
        <row r="7549">
          <cell r="D7549">
            <v>-10000</v>
          </cell>
          <cell r="H7549">
            <v>45748</v>
          </cell>
          <cell r="I7549" t="str">
            <v>8700 - Other Expense</v>
          </cell>
          <cell r="J7549">
            <v>0</v>
          </cell>
          <cell r="K7549" t="str">
            <v>Administration</v>
          </cell>
          <cell r="L7549" t="str">
            <v>Other Expense</v>
          </cell>
          <cell r="N7549" t="str">
            <v>BTL</v>
          </cell>
          <cell r="O7549" t="str">
            <v>[No Vendor]</v>
          </cell>
        </row>
        <row r="7550">
          <cell r="D7550">
            <v>-150000</v>
          </cell>
          <cell r="H7550">
            <v>45748</v>
          </cell>
          <cell r="I7550" t="str">
            <v>8700 - Other Expense</v>
          </cell>
          <cell r="J7550">
            <v>0</v>
          </cell>
          <cell r="K7550" t="str">
            <v>Administration</v>
          </cell>
          <cell r="L7550" t="str">
            <v>Other Expense</v>
          </cell>
          <cell r="N7550" t="str">
            <v>BTL</v>
          </cell>
          <cell r="O7550" t="str">
            <v>[No Vendor]</v>
          </cell>
        </row>
        <row r="7551">
          <cell r="D7551">
            <v>0</v>
          </cell>
          <cell r="H7551">
            <v>45748</v>
          </cell>
          <cell r="I7551" t="str">
            <v>6035 - Severance Expense</v>
          </cell>
          <cell r="J7551" t="str">
            <v>Wholesale</v>
          </cell>
          <cell r="K7551" t="str">
            <v>Wholesale</v>
          </cell>
          <cell r="L7551" t="str">
            <v>HQ Salaries</v>
          </cell>
          <cell r="N7551" t="str">
            <v>SG&amp;A</v>
          </cell>
          <cell r="O7551" t="str">
            <v>[No Vendor]</v>
          </cell>
        </row>
        <row r="7552">
          <cell r="D7552">
            <v>-5000</v>
          </cell>
          <cell r="H7552">
            <v>45748</v>
          </cell>
          <cell r="I7552" t="str">
            <v>6377 - Order Processing Expenses (New)</v>
          </cell>
          <cell r="J7552" t="str">
            <v>Wholesale</v>
          </cell>
          <cell r="K7552" t="str">
            <v>Wholesale</v>
          </cell>
          <cell r="L7552" t="str">
            <v>Order Processing</v>
          </cell>
          <cell r="N7552" t="str">
            <v>Direct Costs</v>
          </cell>
          <cell r="O7552" t="str">
            <v>Bergen Logistics Corporation</v>
          </cell>
        </row>
        <row r="7553">
          <cell r="D7553">
            <v>-1200</v>
          </cell>
          <cell r="H7553">
            <v>45748</v>
          </cell>
          <cell r="I7553" t="str">
            <v>6377 - Order Processing Expenses (New)</v>
          </cell>
          <cell r="J7553" t="str">
            <v>Ecommerce (EU)</v>
          </cell>
          <cell r="K7553" t="str">
            <v>Ecommerce</v>
          </cell>
          <cell r="L7553" t="str">
            <v>Order Processing</v>
          </cell>
          <cell r="N7553" t="str">
            <v>Direct Costs</v>
          </cell>
          <cell r="O7553" t="str">
            <v>Bergen Logistics Corporation</v>
          </cell>
        </row>
        <row r="7554">
          <cell r="D7554">
            <v>-18000</v>
          </cell>
          <cell r="H7554">
            <v>45748</v>
          </cell>
          <cell r="I7554" t="str">
            <v>6377 - Order Processing Expenses (New)</v>
          </cell>
          <cell r="J7554" t="str">
            <v>Ecommerce (US)</v>
          </cell>
          <cell r="K7554" t="str">
            <v>Ecommerce</v>
          </cell>
          <cell r="L7554" t="str">
            <v>Order Processing</v>
          </cell>
          <cell r="N7554" t="str">
            <v>Direct Costs</v>
          </cell>
          <cell r="O7554" t="str">
            <v>Bergen Logistics Corporation</v>
          </cell>
        </row>
        <row r="7555">
          <cell r="D7555">
            <v>-1000</v>
          </cell>
          <cell r="H7555">
            <v>45748</v>
          </cell>
          <cell r="I7555" t="str">
            <v>6360 - Model - Fitting</v>
          </cell>
          <cell r="J7555">
            <v>0</v>
          </cell>
          <cell r="K7555" t="str">
            <v>Production</v>
          </cell>
          <cell r="L7555" t="str">
            <v>Sample</v>
          </cell>
          <cell r="N7555" t="str">
            <v>SG&amp;A</v>
          </cell>
          <cell r="O7555" t="str">
            <v>[No Vendor]</v>
          </cell>
        </row>
        <row r="7556">
          <cell r="D7556">
            <v>0</v>
          </cell>
          <cell r="H7556">
            <v>45748</v>
          </cell>
          <cell r="I7556" t="str">
            <v>6205 - Contractors</v>
          </cell>
          <cell r="J7556">
            <v>0</v>
          </cell>
          <cell r="K7556" t="str">
            <v>Brand Marketing</v>
          </cell>
          <cell r="L7556" t="str">
            <v>HQ Salaries</v>
          </cell>
          <cell r="N7556" t="str">
            <v>SG&amp;A</v>
          </cell>
          <cell r="O7556" t="str">
            <v>[No Vendor]</v>
          </cell>
        </row>
        <row r="7557">
          <cell r="D7557">
            <v>0</v>
          </cell>
          <cell r="H7557">
            <v>45748</v>
          </cell>
          <cell r="I7557" t="str">
            <v>6205 - Contractors</v>
          </cell>
          <cell r="J7557" t="str">
            <v>Ecommerce (US)</v>
          </cell>
          <cell r="K7557" t="str">
            <v>Ecommerce</v>
          </cell>
          <cell r="L7557" t="str">
            <v>HQ Salaries</v>
          </cell>
          <cell r="N7557" t="str">
            <v>SG&amp;A</v>
          </cell>
          <cell r="O7557" t="str">
            <v>[No Vendor]</v>
          </cell>
        </row>
        <row r="7558">
          <cell r="D7558">
            <v>0</v>
          </cell>
          <cell r="H7558">
            <v>45748</v>
          </cell>
          <cell r="I7558" t="str">
            <v>6205 - Contractors</v>
          </cell>
          <cell r="J7558">
            <v>0</v>
          </cell>
          <cell r="K7558" t="str">
            <v>Design</v>
          </cell>
          <cell r="L7558" t="str">
            <v>HQ Salaries</v>
          </cell>
          <cell r="N7558" t="str">
            <v>SG&amp;A</v>
          </cell>
          <cell r="O7558" t="str">
            <v>[No Vendor]</v>
          </cell>
        </row>
        <row r="7559">
          <cell r="D7559">
            <v>-5950</v>
          </cell>
          <cell r="H7559">
            <v>45748</v>
          </cell>
          <cell r="I7559" t="str">
            <v>6205 - Contractors</v>
          </cell>
          <cell r="J7559" t="str">
            <v>Ecommerce (US)</v>
          </cell>
          <cell r="K7559" t="str">
            <v>Ecommerce</v>
          </cell>
          <cell r="L7559" t="str">
            <v>HQ Salaries</v>
          </cell>
          <cell r="N7559" t="str">
            <v>SG&amp;A</v>
          </cell>
          <cell r="O7559" t="str">
            <v>[No Vendor]</v>
          </cell>
        </row>
        <row r="7560">
          <cell r="D7560">
            <v>-10920.6</v>
          </cell>
          <cell r="H7560">
            <v>45748</v>
          </cell>
          <cell r="I7560" t="str">
            <v>6205 - Contractors</v>
          </cell>
          <cell r="J7560" t="str">
            <v>Ecommerce (US)</v>
          </cell>
          <cell r="K7560" t="str">
            <v>Ecommerce</v>
          </cell>
          <cell r="L7560" t="str">
            <v>HQ Salaries</v>
          </cell>
          <cell r="N7560" t="str">
            <v>SG&amp;A</v>
          </cell>
          <cell r="O7560" t="str">
            <v>[No Vendor]</v>
          </cell>
        </row>
        <row r="7561">
          <cell r="D7561">
            <v>41.03</v>
          </cell>
          <cell r="H7561">
            <v>45748</v>
          </cell>
          <cell r="I7561" t="str">
            <v>6385 - Insurance</v>
          </cell>
          <cell r="J7561">
            <v>0</v>
          </cell>
          <cell r="K7561" t="str">
            <v>Administration</v>
          </cell>
          <cell r="L7561" t="str">
            <v>Professional Service</v>
          </cell>
          <cell r="N7561" t="str">
            <v>SG&amp;A</v>
          </cell>
          <cell r="O7561" t="str">
            <v>[No Vendor]</v>
          </cell>
        </row>
        <row r="7562">
          <cell r="D7562">
            <v>13.63</v>
          </cell>
          <cell r="H7562">
            <v>45748</v>
          </cell>
          <cell r="I7562" t="str">
            <v>6385 - Insurance</v>
          </cell>
          <cell r="J7562">
            <v>0</v>
          </cell>
          <cell r="K7562" t="str">
            <v>Administration</v>
          </cell>
          <cell r="L7562" t="str">
            <v>Professional Service</v>
          </cell>
          <cell r="N7562" t="str">
            <v>SG&amp;A</v>
          </cell>
          <cell r="O7562" t="str">
            <v>[No Vendor]</v>
          </cell>
        </row>
        <row r="7563">
          <cell r="D7563">
            <v>85.98</v>
          </cell>
          <cell r="H7563">
            <v>45748</v>
          </cell>
          <cell r="I7563" t="str">
            <v>6385 - Insurance</v>
          </cell>
          <cell r="J7563">
            <v>0</v>
          </cell>
          <cell r="K7563" t="str">
            <v>Administration</v>
          </cell>
          <cell r="L7563" t="str">
            <v>Professional Service</v>
          </cell>
          <cell r="N7563" t="str">
            <v>SG&amp;A</v>
          </cell>
          <cell r="O7563" t="str">
            <v>[No Vendor]</v>
          </cell>
        </row>
        <row r="7564">
          <cell r="D7564">
            <v>20.100000000000001</v>
          </cell>
          <cell r="H7564">
            <v>45748</v>
          </cell>
          <cell r="I7564" t="str">
            <v>6385 - Insurance</v>
          </cell>
          <cell r="J7564">
            <v>0</v>
          </cell>
          <cell r="K7564" t="str">
            <v>Administration</v>
          </cell>
          <cell r="L7564" t="str">
            <v>Professional Service</v>
          </cell>
          <cell r="N7564" t="str">
            <v>SG&amp;A</v>
          </cell>
          <cell r="O7564" t="str">
            <v>[No Vendor]</v>
          </cell>
        </row>
        <row r="7565">
          <cell r="D7565">
            <v>48.93</v>
          </cell>
          <cell r="H7565">
            <v>45748</v>
          </cell>
          <cell r="I7565" t="str">
            <v>6385 - Insurance</v>
          </cell>
          <cell r="J7565">
            <v>0</v>
          </cell>
          <cell r="K7565" t="str">
            <v>Administration</v>
          </cell>
          <cell r="L7565" t="str">
            <v>Professional Service</v>
          </cell>
          <cell r="N7565" t="str">
            <v>SG&amp;A</v>
          </cell>
          <cell r="O7565" t="str">
            <v>[No Vendor]</v>
          </cell>
        </row>
        <row r="7566">
          <cell r="D7566">
            <v>47.52</v>
          </cell>
          <cell r="H7566">
            <v>45748</v>
          </cell>
          <cell r="I7566" t="str">
            <v>6385 - Insurance</v>
          </cell>
          <cell r="J7566">
            <v>0</v>
          </cell>
          <cell r="K7566" t="str">
            <v>Administration</v>
          </cell>
          <cell r="L7566" t="str">
            <v>Professional Service</v>
          </cell>
          <cell r="N7566" t="str">
            <v>SG&amp;A</v>
          </cell>
          <cell r="O7566" t="str">
            <v>[No Vendor]</v>
          </cell>
        </row>
        <row r="7567">
          <cell r="D7567">
            <v>97.89</v>
          </cell>
          <cell r="H7567">
            <v>45748</v>
          </cell>
          <cell r="I7567" t="str">
            <v>6385 - Insurance</v>
          </cell>
          <cell r="J7567">
            <v>0</v>
          </cell>
          <cell r="K7567" t="str">
            <v>Administration</v>
          </cell>
          <cell r="L7567" t="str">
            <v>Professional Service</v>
          </cell>
          <cell r="N7567" t="str">
            <v>SG&amp;A</v>
          </cell>
          <cell r="O7567" t="str">
            <v>[No Vendor]</v>
          </cell>
        </row>
        <row r="7568">
          <cell r="D7568">
            <v>45.89</v>
          </cell>
          <cell r="H7568">
            <v>45748</v>
          </cell>
          <cell r="I7568" t="str">
            <v>6385 - Insurance</v>
          </cell>
          <cell r="J7568">
            <v>0</v>
          </cell>
          <cell r="K7568" t="str">
            <v>Administration</v>
          </cell>
          <cell r="L7568" t="str">
            <v>Professional Service</v>
          </cell>
          <cell r="N7568" t="str">
            <v>SG&amp;A</v>
          </cell>
          <cell r="O7568" t="str">
            <v>[No Vendor]</v>
          </cell>
        </row>
        <row r="7569">
          <cell r="D7569">
            <v>-300.64999999999998</v>
          </cell>
          <cell r="H7569">
            <v>45748</v>
          </cell>
          <cell r="I7569" t="str">
            <v>6400 - Utilities</v>
          </cell>
          <cell r="J7569">
            <v>0</v>
          </cell>
          <cell r="K7569" t="str">
            <v>Administration</v>
          </cell>
          <cell r="L7569" t="str">
            <v>Other</v>
          </cell>
          <cell r="N7569" t="str">
            <v>SG&amp;A</v>
          </cell>
          <cell r="O7569" t="str">
            <v>[No Vendor]</v>
          </cell>
        </row>
        <row r="7570">
          <cell r="D7570">
            <v>0</v>
          </cell>
          <cell r="H7570">
            <v>45748</v>
          </cell>
          <cell r="I7570" t="str">
            <v>7060 - Information Technology &amp; Software</v>
          </cell>
          <cell r="J7570">
            <v>0</v>
          </cell>
          <cell r="K7570" t="str">
            <v>Executive</v>
          </cell>
          <cell r="L7570" t="str">
            <v>Depreciation &amp; Amortization</v>
          </cell>
          <cell r="N7570" t="str">
            <v>SG&amp;A</v>
          </cell>
          <cell r="O7570" t="str">
            <v>[No Vendor]</v>
          </cell>
        </row>
        <row r="7571">
          <cell r="D7571">
            <v>17.440000000000001</v>
          </cell>
          <cell r="H7571">
            <v>45748</v>
          </cell>
          <cell r="I7571" t="str">
            <v>7060 - Information Technology &amp; Software</v>
          </cell>
          <cell r="J7571" t="str">
            <v>Wholesale</v>
          </cell>
          <cell r="K7571" t="str">
            <v>Wholesale</v>
          </cell>
          <cell r="L7571" t="str">
            <v>Depreciation &amp; Amortization</v>
          </cell>
          <cell r="N7571" t="str">
            <v>SG&amp;A</v>
          </cell>
          <cell r="O7571" t="str">
            <v>[No Vendor]</v>
          </cell>
        </row>
        <row r="7572">
          <cell r="D7572">
            <v>105</v>
          </cell>
          <cell r="H7572">
            <v>45748</v>
          </cell>
          <cell r="I7572" t="str">
            <v>7060 - Information Technology &amp; Software</v>
          </cell>
          <cell r="J7572" t="str">
            <v>Ecommerce (US)</v>
          </cell>
          <cell r="K7572" t="str">
            <v>Ecommerce</v>
          </cell>
          <cell r="L7572" t="str">
            <v>Depreciation &amp; Amortization</v>
          </cell>
          <cell r="N7572" t="str">
            <v>SG&amp;A</v>
          </cell>
          <cell r="O7572" t="str">
            <v>[No Vendor]</v>
          </cell>
        </row>
        <row r="7573">
          <cell r="D7573">
            <v>64.48</v>
          </cell>
          <cell r="H7573">
            <v>45748</v>
          </cell>
          <cell r="I7573" t="str">
            <v>7060 - Information Technology &amp; Software</v>
          </cell>
          <cell r="J7573">
            <v>0</v>
          </cell>
          <cell r="K7573" t="str">
            <v>Production</v>
          </cell>
          <cell r="L7573" t="str">
            <v>Depreciation &amp; Amortization</v>
          </cell>
          <cell r="N7573" t="str">
            <v>SG&amp;A</v>
          </cell>
          <cell r="O7573" t="str">
            <v>[No Vendor]</v>
          </cell>
        </row>
        <row r="7574">
          <cell r="D7574">
            <v>179.49</v>
          </cell>
          <cell r="H7574">
            <v>45748</v>
          </cell>
          <cell r="I7574" t="str">
            <v>7060 - Information Technology &amp; Software</v>
          </cell>
          <cell r="J7574">
            <v>0</v>
          </cell>
          <cell r="K7574" t="str">
            <v>Design</v>
          </cell>
          <cell r="L7574" t="str">
            <v>Depreciation &amp; Amortization</v>
          </cell>
          <cell r="N7574" t="str">
            <v>SG&amp;A</v>
          </cell>
          <cell r="O7574" t="str">
            <v>[No Vendor]</v>
          </cell>
        </row>
        <row r="7575">
          <cell r="D7575">
            <v>65.48</v>
          </cell>
          <cell r="H7575">
            <v>45748</v>
          </cell>
          <cell r="I7575" t="str">
            <v>7060 - Information Technology &amp; Software</v>
          </cell>
          <cell r="J7575">
            <v>0</v>
          </cell>
          <cell r="K7575" t="str">
            <v>Merchandising</v>
          </cell>
          <cell r="L7575" t="str">
            <v>Depreciation &amp; Amortization</v>
          </cell>
          <cell r="N7575" t="str">
            <v>SG&amp;A</v>
          </cell>
          <cell r="O7575" t="str">
            <v>[No Vendor]</v>
          </cell>
        </row>
        <row r="7576">
          <cell r="D7576">
            <v>166.9</v>
          </cell>
          <cell r="H7576">
            <v>45748</v>
          </cell>
          <cell r="I7576" t="str">
            <v>7060 - Information Technology &amp; Software</v>
          </cell>
          <cell r="J7576">
            <v>0</v>
          </cell>
          <cell r="K7576" t="str">
            <v>Brand Marketing</v>
          </cell>
          <cell r="L7576" t="str">
            <v>Depreciation &amp; Amortization</v>
          </cell>
          <cell r="N7576" t="str">
            <v>SG&amp;A</v>
          </cell>
          <cell r="O7576" t="str">
            <v>[No Vendor]</v>
          </cell>
        </row>
        <row r="7577">
          <cell r="D7577">
            <v>488.81</v>
          </cell>
          <cell r="H7577">
            <v>45748</v>
          </cell>
          <cell r="I7577" t="str">
            <v>7060 - Information Technology &amp; Software</v>
          </cell>
          <cell r="J7577">
            <v>0</v>
          </cell>
          <cell r="K7577" t="str">
            <v>Administration</v>
          </cell>
          <cell r="L7577" t="str">
            <v>Depreciation &amp; Amortization</v>
          </cell>
          <cell r="N7577" t="str">
            <v>SG&amp;A</v>
          </cell>
          <cell r="O7577" t="str">
            <v>[No Vendor]</v>
          </cell>
        </row>
        <row r="7578">
          <cell r="D7578">
            <v>238.77</v>
          </cell>
          <cell r="H7578">
            <v>45748</v>
          </cell>
          <cell r="I7578" t="str">
            <v>7040 - Furniture &amp; Fixtures</v>
          </cell>
          <cell r="J7578" t="str">
            <v>Wholesale</v>
          </cell>
          <cell r="K7578" t="str">
            <v>Wholesale</v>
          </cell>
          <cell r="L7578" t="str">
            <v>Depreciation &amp; Amortization</v>
          </cell>
          <cell r="N7578" t="str">
            <v>SG&amp;A</v>
          </cell>
          <cell r="O7578" t="str">
            <v>[No Vendor]</v>
          </cell>
        </row>
        <row r="7579">
          <cell r="D7579">
            <v>135.37</v>
          </cell>
          <cell r="H7579">
            <v>45748</v>
          </cell>
          <cell r="I7579" t="str">
            <v>7040 - Furniture &amp; Fixtures</v>
          </cell>
          <cell r="J7579">
            <v>0</v>
          </cell>
          <cell r="K7579" t="str">
            <v>Administration</v>
          </cell>
          <cell r="L7579" t="str">
            <v>Depreciation &amp; Amortization</v>
          </cell>
          <cell r="N7579" t="str">
            <v>SG&amp;A</v>
          </cell>
          <cell r="O7579" t="str">
            <v>[No Vendor]</v>
          </cell>
        </row>
        <row r="7580">
          <cell r="D7580">
            <v>-1183.48</v>
          </cell>
          <cell r="H7580">
            <v>45748</v>
          </cell>
          <cell r="I7580" t="str">
            <v>6055 - Employer Social Security Tax Withheld</v>
          </cell>
          <cell r="J7580">
            <v>0</v>
          </cell>
          <cell r="K7580" t="str">
            <v>Merchandising</v>
          </cell>
          <cell r="L7580" t="str">
            <v>HQ Salaries</v>
          </cell>
          <cell r="N7580" t="str">
            <v>SG&amp;A</v>
          </cell>
          <cell r="O7580" t="str">
            <v>[No Vendor]</v>
          </cell>
        </row>
        <row r="7581">
          <cell r="D7581">
            <v>-353.8</v>
          </cell>
          <cell r="H7581">
            <v>45748</v>
          </cell>
          <cell r="I7581" t="str">
            <v>6055 - Employer Social Security Tax Withheld</v>
          </cell>
          <cell r="J7581" t="str">
            <v>Wholesale</v>
          </cell>
          <cell r="K7581" t="str">
            <v>Wholesale</v>
          </cell>
          <cell r="L7581" t="str">
            <v>HQ Salaries</v>
          </cell>
          <cell r="N7581" t="str">
            <v>SG&amp;A</v>
          </cell>
          <cell r="O7581" t="str">
            <v>[No Vendor]</v>
          </cell>
        </row>
        <row r="7582">
          <cell r="D7582">
            <v>-2623.35</v>
          </cell>
          <cell r="H7582">
            <v>45748</v>
          </cell>
          <cell r="I7582" t="str">
            <v>6055 - Employer Social Security Tax Withheld</v>
          </cell>
          <cell r="J7582">
            <v>0</v>
          </cell>
          <cell r="K7582" t="str">
            <v>Production</v>
          </cell>
          <cell r="L7582" t="str">
            <v>HQ Salaries</v>
          </cell>
          <cell r="N7582" t="str">
            <v>SG&amp;A</v>
          </cell>
          <cell r="O7582" t="str">
            <v>[No Vendor]</v>
          </cell>
        </row>
        <row r="7583">
          <cell r="D7583">
            <v>-541.45000000000005</v>
          </cell>
          <cell r="H7583">
            <v>45748</v>
          </cell>
          <cell r="I7583" t="str">
            <v>6055 - Employer Social Security Tax Withheld</v>
          </cell>
          <cell r="J7583">
            <v>0</v>
          </cell>
          <cell r="K7583" t="str">
            <v>Brand Marketing</v>
          </cell>
          <cell r="L7583" t="str">
            <v>HQ Salaries</v>
          </cell>
          <cell r="N7583" t="str">
            <v>SG&amp;A</v>
          </cell>
          <cell r="O7583" t="str">
            <v>[No Vendor]</v>
          </cell>
        </row>
        <row r="7584">
          <cell r="D7584">
            <v>-1291.79</v>
          </cell>
          <cell r="H7584">
            <v>45748</v>
          </cell>
          <cell r="I7584" t="str">
            <v>6055 - Employer Social Security Tax Withheld</v>
          </cell>
          <cell r="J7584">
            <v>0</v>
          </cell>
          <cell r="K7584" t="str">
            <v>Executive</v>
          </cell>
          <cell r="L7584" t="str">
            <v>HQ Salaries</v>
          </cell>
          <cell r="N7584" t="str">
            <v>SG&amp;A</v>
          </cell>
          <cell r="O7584" t="str">
            <v>[No Vendor]</v>
          </cell>
        </row>
        <row r="7585">
          <cell r="D7585">
            <v>-2479.94</v>
          </cell>
          <cell r="H7585">
            <v>45748</v>
          </cell>
          <cell r="I7585" t="str">
            <v>6055 - Employer Social Security Tax Withheld</v>
          </cell>
          <cell r="J7585" t="str">
            <v>Ecommerce (US)</v>
          </cell>
          <cell r="K7585" t="str">
            <v>Ecommerce</v>
          </cell>
          <cell r="L7585" t="str">
            <v>HQ Salaries</v>
          </cell>
          <cell r="N7585" t="str">
            <v>SG&amp;A</v>
          </cell>
          <cell r="O7585" t="str">
            <v>[No Vendor]</v>
          </cell>
        </row>
        <row r="7586">
          <cell r="D7586">
            <v>-2371.88</v>
          </cell>
          <cell r="H7586">
            <v>45748</v>
          </cell>
          <cell r="I7586" t="str">
            <v>6055 - Employer Social Security Tax Withheld</v>
          </cell>
          <cell r="J7586">
            <v>0</v>
          </cell>
          <cell r="K7586" t="str">
            <v>Design</v>
          </cell>
          <cell r="L7586" t="str">
            <v>HQ Salaries</v>
          </cell>
          <cell r="N7586" t="str">
            <v>SG&amp;A</v>
          </cell>
          <cell r="O7586" t="str">
            <v>[No Vendor]</v>
          </cell>
        </row>
        <row r="7587">
          <cell r="D7587">
            <v>-2826.49</v>
          </cell>
          <cell r="H7587">
            <v>45748</v>
          </cell>
          <cell r="I7587" t="str">
            <v>6055 - Employer Social Security Tax Withheld</v>
          </cell>
          <cell r="J7587">
            <v>0</v>
          </cell>
          <cell r="K7587" t="str">
            <v>Administration</v>
          </cell>
          <cell r="L7587" t="str">
            <v>HQ Salaries</v>
          </cell>
          <cell r="N7587" t="str">
            <v>SG&amp;A</v>
          </cell>
          <cell r="O7587" t="str">
            <v>[No Vendor]</v>
          </cell>
        </row>
        <row r="7588">
          <cell r="D7588">
            <v>-5000</v>
          </cell>
          <cell r="H7588">
            <v>45748</v>
          </cell>
          <cell r="I7588" t="str">
            <v>6375 - Freight Expenses</v>
          </cell>
          <cell r="J7588" t="str">
            <v>Ecommerce (US)</v>
          </cell>
          <cell r="K7588" t="str">
            <v>Ecommerce</v>
          </cell>
          <cell r="L7588" t="str">
            <v>Freight</v>
          </cell>
          <cell r="N7588" t="str">
            <v>Direct Costs</v>
          </cell>
          <cell r="O7588" t="str">
            <v>UPS Supply Chain Solutions Inc. (7F24A0)</v>
          </cell>
        </row>
        <row r="7589">
          <cell r="D7589">
            <v>-1000</v>
          </cell>
          <cell r="H7589">
            <v>45748</v>
          </cell>
          <cell r="I7589" t="str">
            <v>6375 - Freight Expenses</v>
          </cell>
          <cell r="J7589" t="str">
            <v>Wholesale</v>
          </cell>
          <cell r="K7589" t="str">
            <v>Wholesale</v>
          </cell>
          <cell r="L7589" t="str">
            <v>Freight</v>
          </cell>
          <cell r="N7589" t="str">
            <v>Direct Costs</v>
          </cell>
          <cell r="O7589" t="str">
            <v>[No Vendor]</v>
          </cell>
        </row>
        <row r="7590">
          <cell r="D7590">
            <v>7.14</v>
          </cell>
          <cell r="H7590">
            <v>45748</v>
          </cell>
          <cell r="I7590" t="str">
            <v>7030 - Plant Machinery &amp; Equipment</v>
          </cell>
          <cell r="J7590">
            <v>0</v>
          </cell>
          <cell r="K7590" t="str">
            <v>Production</v>
          </cell>
          <cell r="L7590" t="str">
            <v>Depreciation &amp; Amortization</v>
          </cell>
          <cell r="N7590" t="str">
            <v>SG&amp;A</v>
          </cell>
          <cell r="O7590" t="str">
            <v>[No Vendor]</v>
          </cell>
        </row>
        <row r="7591">
          <cell r="D7591">
            <v>14.15</v>
          </cell>
          <cell r="H7591">
            <v>45748</v>
          </cell>
          <cell r="I7591" t="str">
            <v>7030 - Plant Machinery &amp; Equipment</v>
          </cell>
          <cell r="J7591">
            <v>0</v>
          </cell>
          <cell r="K7591" t="str">
            <v>Administration</v>
          </cell>
          <cell r="L7591" t="str">
            <v>Depreciation &amp; Amortization</v>
          </cell>
          <cell r="N7591" t="str">
            <v>SG&amp;A</v>
          </cell>
          <cell r="O7591" t="str">
            <v>[No Vendor]</v>
          </cell>
        </row>
        <row r="7592">
          <cell r="D7592">
            <v>38.39</v>
          </cell>
          <cell r="H7592">
            <v>45748</v>
          </cell>
          <cell r="I7592" t="str">
            <v>6040 - Employer Paid Benefits</v>
          </cell>
          <cell r="J7592">
            <v>0</v>
          </cell>
          <cell r="K7592" t="str">
            <v>Merchandising</v>
          </cell>
          <cell r="L7592" t="str">
            <v>HQ Salaries</v>
          </cell>
          <cell r="N7592" t="str">
            <v>SG&amp;A</v>
          </cell>
          <cell r="O7592" t="str">
            <v>[No Vendor]</v>
          </cell>
        </row>
        <row r="7593">
          <cell r="D7593">
            <v>38.39</v>
          </cell>
          <cell r="H7593">
            <v>45748</v>
          </cell>
          <cell r="I7593" t="str">
            <v>6040 - Employer Paid Benefits</v>
          </cell>
          <cell r="J7593" t="str">
            <v>Wholesale</v>
          </cell>
          <cell r="K7593" t="str">
            <v>Wholesale</v>
          </cell>
          <cell r="L7593" t="str">
            <v>HQ Salaries</v>
          </cell>
          <cell r="N7593" t="str">
            <v>SG&amp;A</v>
          </cell>
          <cell r="O7593" t="str">
            <v>[No Vendor]</v>
          </cell>
        </row>
        <row r="7594">
          <cell r="D7594">
            <v>531.12</v>
          </cell>
          <cell r="H7594">
            <v>45748</v>
          </cell>
          <cell r="I7594" t="str">
            <v>6040 - Employer Paid Benefits</v>
          </cell>
          <cell r="J7594">
            <v>0</v>
          </cell>
          <cell r="K7594" t="str">
            <v>Production</v>
          </cell>
          <cell r="L7594" t="str">
            <v>HQ Salaries</v>
          </cell>
          <cell r="N7594" t="str">
            <v>SG&amp;A</v>
          </cell>
          <cell r="O7594" t="str">
            <v>[No Vendor]</v>
          </cell>
        </row>
        <row r="7595">
          <cell r="D7595">
            <v>38.380000000000003</v>
          </cell>
          <cell r="H7595">
            <v>45748</v>
          </cell>
          <cell r="I7595" t="str">
            <v>6040 - Employer Paid Benefits</v>
          </cell>
          <cell r="J7595">
            <v>0</v>
          </cell>
          <cell r="K7595" t="str">
            <v>Brand Marketing</v>
          </cell>
          <cell r="L7595" t="str">
            <v>HQ Salaries</v>
          </cell>
          <cell r="N7595" t="str">
            <v>SG&amp;A</v>
          </cell>
          <cell r="O7595" t="str">
            <v>[No Vendor]</v>
          </cell>
        </row>
        <row r="7596">
          <cell r="D7596">
            <v>365.77</v>
          </cell>
          <cell r="H7596">
            <v>45748</v>
          </cell>
          <cell r="I7596" t="str">
            <v>6040 - Employer Paid Benefits</v>
          </cell>
          <cell r="J7596">
            <v>0</v>
          </cell>
          <cell r="K7596" t="str">
            <v>Executive</v>
          </cell>
          <cell r="L7596" t="str">
            <v>HQ Salaries</v>
          </cell>
          <cell r="N7596" t="str">
            <v>SG&amp;A</v>
          </cell>
          <cell r="O7596" t="str">
            <v>[No Vendor]</v>
          </cell>
        </row>
        <row r="7597">
          <cell r="D7597">
            <v>275.55</v>
          </cell>
          <cell r="H7597">
            <v>45748</v>
          </cell>
          <cell r="I7597" t="str">
            <v>6040 - Employer Paid Benefits</v>
          </cell>
          <cell r="J7597" t="str">
            <v>Ecommerce (US)</v>
          </cell>
          <cell r="K7597" t="str">
            <v>Ecommerce</v>
          </cell>
          <cell r="L7597" t="str">
            <v>HQ Salaries</v>
          </cell>
          <cell r="N7597" t="str">
            <v>SG&amp;A</v>
          </cell>
          <cell r="O7597" t="str">
            <v>[No Vendor]</v>
          </cell>
        </row>
        <row r="7598">
          <cell r="D7598">
            <v>486.66</v>
          </cell>
          <cell r="H7598">
            <v>45748</v>
          </cell>
          <cell r="I7598" t="str">
            <v>6040 - Employer Paid Benefits</v>
          </cell>
          <cell r="J7598">
            <v>0</v>
          </cell>
          <cell r="K7598" t="str">
            <v>Design</v>
          </cell>
          <cell r="L7598" t="str">
            <v>HQ Salaries</v>
          </cell>
          <cell r="N7598" t="str">
            <v>SG&amp;A</v>
          </cell>
          <cell r="O7598" t="str">
            <v>[No Vendor]</v>
          </cell>
        </row>
        <row r="7599">
          <cell r="D7599">
            <v>687</v>
          </cell>
          <cell r="H7599">
            <v>45748</v>
          </cell>
          <cell r="I7599" t="str">
            <v>6040 - Employer Paid Benefits</v>
          </cell>
          <cell r="J7599">
            <v>0</v>
          </cell>
          <cell r="K7599" t="str">
            <v>Administration</v>
          </cell>
          <cell r="L7599" t="str">
            <v>HQ Salaries</v>
          </cell>
          <cell r="N7599" t="str">
            <v>SG&amp;A</v>
          </cell>
          <cell r="O7599" t="str">
            <v>[No Vendor]</v>
          </cell>
        </row>
        <row r="7600">
          <cell r="D7600">
            <v>-1155</v>
          </cell>
          <cell r="H7600">
            <v>45748</v>
          </cell>
          <cell r="I7600" t="str">
            <v>6005 - Salaries</v>
          </cell>
          <cell r="J7600">
            <v>0</v>
          </cell>
          <cell r="K7600" t="str">
            <v>Production</v>
          </cell>
          <cell r="L7600" t="str">
            <v>HQ Salaries</v>
          </cell>
          <cell r="N7600" t="str">
            <v>SG&amp;A</v>
          </cell>
          <cell r="O7600" t="str">
            <v>[No Vendor]</v>
          </cell>
        </row>
        <row r="7601">
          <cell r="D7601">
            <v>-9895.77</v>
          </cell>
          <cell r="H7601">
            <v>45748</v>
          </cell>
          <cell r="I7601" t="str">
            <v>6005 - Salaries</v>
          </cell>
          <cell r="J7601">
            <v>0</v>
          </cell>
          <cell r="K7601" t="str">
            <v>Merchandising</v>
          </cell>
          <cell r="L7601" t="str">
            <v>HQ Salaries</v>
          </cell>
          <cell r="N7601" t="str">
            <v>SG&amp;A</v>
          </cell>
          <cell r="O7601" t="str">
            <v>[No Vendor]</v>
          </cell>
        </row>
        <row r="7602">
          <cell r="D7602">
            <v>-3173.08</v>
          </cell>
          <cell r="H7602">
            <v>45748</v>
          </cell>
          <cell r="I7602" t="str">
            <v>6005 - Salaries</v>
          </cell>
          <cell r="J7602" t="str">
            <v>Wholesale</v>
          </cell>
          <cell r="K7602" t="str">
            <v>Wholesale</v>
          </cell>
          <cell r="L7602" t="str">
            <v>HQ Salaries</v>
          </cell>
          <cell r="N7602" t="str">
            <v>SG&amp;A</v>
          </cell>
          <cell r="O7602" t="str">
            <v>[No Vendor]</v>
          </cell>
        </row>
        <row r="7603">
          <cell r="D7603">
            <v>-20802.72</v>
          </cell>
          <cell r="H7603">
            <v>45748</v>
          </cell>
          <cell r="I7603" t="str">
            <v>6005 - Salaries</v>
          </cell>
          <cell r="J7603">
            <v>0</v>
          </cell>
          <cell r="K7603" t="str">
            <v>Production</v>
          </cell>
          <cell r="L7603" t="str">
            <v>HQ Salaries</v>
          </cell>
          <cell r="N7603" t="str">
            <v>SG&amp;A</v>
          </cell>
          <cell r="O7603" t="str">
            <v>[No Vendor]</v>
          </cell>
        </row>
        <row r="7604">
          <cell r="D7604">
            <v>-4840.99</v>
          </cell>
          <cell r="H7604">
            <v>45748</v>
          </cell>
          <cell r="I7604" t="str">
            <v>6005 - Salaries</v>
          </cell>
          <cell r="J7604">
            <v>0</v>
          </cell>
          <cell r="K7604" t="str">
            <v>Brand Marketing</v>
          </cell>
          <cell r="L7604" t="str">
            <v>HQ Salaries</v>
          </cell>
          <cell r="N7604" t="str">
            <v>SG&amp;A</v>
          </cell>
          <cell r="O7604" t="str">
            <v>[No Vendor]</v>
          </cell>
        </row>
        <row r="7605">
          <cell r="D7605">
            <v>-12269.24</v>
          </cell>
          <cell r="H7605">
            <v>45748</v>
          </cell>
          <cell r="I7605" t="str">
            <v>6005 - Salaries</v>
          </cell>
          <cell r="J7605">
            <v>0</v>
          </cell>
          <cell r="K7605" t="str">
            <v>Executive</v>
          </cell>
          <cell r="L7605" t="str">
            <v>HQ Salaries</v>
          </cell>
          <cell r="N7605" t="str">
            <v>SG&amp;A</v>
          </cell>
          <cell r="O7605" t="str">
            <v>[No Vendor]</v>
          </cell>
        </row>
        <row r="7606">
          <cell r="D7606">
            <v>-22858.880000000001</v>
          </cell>
          <cell r="H7606">
            <v>45748</v>
          </cell>
          <cell r="I7606" t="str">
            <v>6005 - Salaries</v>
          </cell>
          <cell r="J7606" t="str">
            <v>Ecommerce (US)</v>
          </cell>
          <cell r="K7606" t="str">
            <v>Ecommerce</v>
          </cell>
          <cell r="L7606" t="str">
            <v>HQ Salaries</v>
          </cell>
          <cell r="N7606" t="str">
            <v>SG&amp;A</v>
          </cell>
          <cell r="O7606" t="str">
            <v>[No Vendor]</v>
          </cell>
        </row>
        <row r="7607">
          <cell r="D7607">
            <v>-23527.32</v>
          </cell>
          <cell r="H7607">
            <v>45748</v>
          </cell>
          <cell r="I7607" t="str">
            <v>6005 - Salaries</v>
          </cell>
          <cell r="J7607">
            <v>0</v>
          </cell>
          <cell r="K7607" t="str">
            <v>Design</v>
          </cell>
          <cell r="L7607" t="str">
            <v>HQ Salaries</v>
          </cell>
          <cell r="N7607" t="str">
            <v>SG&amp;A</v>
          </cell>
          <cell r="O7607" t="str">
            <v>[No Vendor]</v>
          </cell>
        </row>
        <row r="7608">
          <cell r="D7608">
            <v>-29716.95</v>
          </cell>
          <cell r="H7608">
            <v>45748</v>
          </cell>
          <cell r="I7608" t="str">
            <v>6005 - Salaries</v>
          </cell>
          <cell r="J7608">
            <v>0</v>
          </cell>
          <cell r="K7608" t="str">
            <v>Administration</v>
          </cell>
          <cell r="L7608" t="str">
            <v>HQ Salaries</v>
          </cell>
          <cell r="N7608" t="str">
            <v>SG&amp;A</v>
          </cell>
          <cell r="O7608" t="str">
            <v>[No Vendor]</v>
          </cell>
        </row>
        <row r="7609">
          <cell r="D7609">
            <v>102.5</v>
          </cell>
          <cell r="H7609">
            <v>45748</v>
          </cell>
          <cell r="I7609" t="str">
            <v>6040 - Employer Paid Benefits</v>
          </cell>
          <cell r="J7609">
            <v>0</v>
          </cell>
          <cell r="K7609" t="str">
            <v>Administration</v>
          </cell>
          <cell r="L7609" t="str">
            <v>HQ Salaries</v>
          </cell>
          <cell r="N7609" t="str">
            <v>SG&amp;A</v>
          </cell>
          <cell r="O7609" t="str">
            <v>Procyon Benefits LLC</v>
          </cell>
        </row>
        <row r="7610">
          <cell r="D7610">
            <v>304.48</v>
          </cell>
          <cell r="H7610">
            <v>45748</v>
          </cell>
          <cell r="I7610" t="str">
            <v>6375 - Freight Expenses</v>
          </cell>
          <cell r="J7610" t="str">
            <v>Ecommerce (US)</v>
          </cell>
          <cell r="K7610" t="str">
            <v>Ecommerce</v>
          </cell>
          <cell r="L7610" t="str">
            <v>Freight</v>
          </cell>
          <cell r="N7610" t="str">
            <v>Direct Costs</v>
          </cell>
          <cell r="O7610" t="str">
            <v>UPS Supply Chain Solutions Inc. (7F24A0)</v>
          </cell>
        </row>
        <row r="7611">
          <cell r="D7611">
            <v>788.1</v>
          </cell>
          <cell r="H7611">
            <v>45748</v>
          </cell>
          <cell r="I7611" t="str">
            <v>6040 - Employer Paid Benefits</v>
          </cell>
          <cell r="J7611">
            <v>0</v>
          </cell>
          <cell r="K7611" t="str">
            <v>Production</v>
          </cell>
          <cell r="L7611" t="str">
            <v>HQ Salaries</v>
          </cell>
          <cell r="N7611" t="str">
            <v>SG&amp;A</v>
          </cell>
          <cell r="O7611" t="str">
            <v>Procyon Benefits LLC</v>
          </cell>
        </row>
        <row r="7612">
          <cell r="D7612">
            <v>36.9</v>
          </cell>
          <cell r="H7612">
            <v>45748</v>
          </cell>
          <cell r="I7612" t="str">
            <v>6040 - Employer Paid Benefits</v>
          </cell>
          <cell r="J7612">
            <v>0</v>
          </cell>
          <cell r="K7612" t="str">
            <v>Merchandising</v>
          </cell>
          <cell r="L7612" t="str">
            <v>HQ Salaries</v>
          </cell>
          <cell r="N7612" t="str">
            <v>SG&amp;A</v>
          </cell>
          <cell r="O7612" t="str">
            <v>Procyon Benefits LLC</v>
          </cell>
        </row>
        <row r="7613">
          <cell r="D7613">
            <v>65.099999999999994</v>
          </cell>
          <cell r="H7613">
            <v>45748</v>
          </cell>
          <cell r="I7613" t="str">
            <v>6040 - Employer Paid Benefits</v>
          </cell>
          <cell r="J7613" t="str">
            <v>Ecommerce (US)</v>
          </cell>
          <cell r="K7613" t="str">
            <v>Ecommerce</v>
          </cell>
          <cell r="L7613" t="str">
            <v>HQ Salaries</v>
          </cell>
          <cell r="N7613" t="str">
            <v>SG&amp;A</v>
          </cell>
          <cell r="O7613" t="str">
            <v>Procyon Benefits LLC</v>
          </cell>
        </row>
        <row r="7614">
          <cell r="D7614">
            <v>814.58</v>
          </cell>
          <cell r="H7614">
            <v>45748</v>
          </cell>
          <cell r="I7614" t="str">
            <v>6040 - Employer Paid Benefits</v>
          </cell>
          <cell r="J7614">
            <v>0</v>
          </cell>
          <cell r="K7614" t="str">
            <v>Executive</v>
          </cell>
          <cell r="L7614" t="str">
            <v>HQ Salaries</v>
          </cell>
          <cell r="N7614" t="str">
            <v>SG&amp;A</v>
          </cell>
          <cell r="O7614" t="str">
            <v>Procyon Benefits LLC</v>
          </cell>
        </row>
        <row r="7615">
          <cell r="D7615">
            <v>3747.66</v>
          </cell>
          <cell r="H7615">
            <v>45748</v>
          </cell>
          <cell r="I7615" t="str">
            <v>6451 - Service Processing Fee</v>
          </cell>
          <cell r="J7615" t="str">
            <v>Wholesale</v>
          </cell>
          <cell r="K7615" t="str">
            <v>Wholesale</v>
          </cell>
          <cell r="L7615" t="str">
            <v>Professional Service</v>
          </cell>
          <cell r="N7615" t="str">
            <v>Direct Costs</v>
          </cell>
          <cell r="O7615" t="str">
            <v>Paymentech</v>
          </cell>
        </row>
        <row r="7616">
          <cell r="D7616">
            <v>25</v>
          </cell>
          <cell r="H7616">
            <v>45748</v>
          </cell>
          <cell r="I7616" t="str">
            <v>6040 - Employer Paid Benefits</v>
          </cell>
          <cell r="J7616">
            <v>0</v>
          </cell>
          <cell r="K7616" t="str">
            <v>Administration</v>
          </cell>
          <cell r="L7616" t="str">
            <v>HQ Salaries</v>
          </cell>
          <cell r="N7616" t="str">
            <v>SG&amp;A</v>
          </cell>
          <cell r="O7616" t="str">
            <v>Lifetime Benefit Solutions, Inc</v>
          </cell>
        </row>
        <row r="7617">
          <cell r="D7617">
            <v>800</v>
          </cell>
          <cell r="H7617">
            <v>45748</v>
          </cell>
          <cell r="I7617" t="str">
            <v>6360 - Model - Fitting</v>
          </cell>
          <cell r="J7617">
            <v>0</v>
          </cell>
          <cell r="K7617" t="str">
            <v>Production</v>
          </cell>
          <cell r="L7617" t="str">
            <v>Sample</v>
          </cell>
          <cell r="N7617" t="str">
            <v>SG&amp;A</v>
          </cell>
          <cell r="O7617" t="str">
            <v>Lanny K.W. Inc.</v>
          </cell>
        </row>
        <row r="7618">
          <cell r="D7618">
            <v>9.9600000000000009</v>
          </cell>
          <cell r="H7618">
            <v>45748</v>
          </cell>
          <cell r="I7618" t="str">
            <v>6340 - Miscellaneous Expense</v>
          </cell>
          <cell r="J7618">
            <v>0</v>
          </cell>
          <cell r="K7618" t="str">
            <v>Administration</v>
          </cell>
          <cell r="L7618" t="str">
            <v>Other</v>
          </cell>
          <cell r="N7618" t="str">
            <v>SG&amp;A</v>
          </cell>
          <cell r="O7618" t="str">
            <v>[No Vendor]</v>
          </cell>
        </row>
        <row r="7619">
          <cell r="D7619">
            <v>29.57</v>
          </cell>
          <cell r="H7619">
            <v>45748</v>
          </cell>
          <cell r="I7619" t="str">
            <v>6105 - Meals</v>
          </cell>
          <cell r="J7619">
            <v>0</v>
          </cell>
          <cell r="K7619" t="str">
            <v>Administration</v>
          </cell>
          <cell r="L7619" t="str">
            <v>T&amp;E</v>
          </cell>
          <cell r="N7619" t="str">
            <v>SG&amp;A</v>
          </cell>
          <cell r="O7619" t="str">
            <v>[No Vendor]</v>
          </cell>
        </row>
        <row r="7620">
          <cell r="D7620">
            <v>71.98</v>
          </cell>
          <cell r="H7620">
            <v>45748</v>
          </cell>
          <cell r="I7620" t="str">
            <v>6105 - Meals</v>
          </cell>
          <cell r="J7620">
            <v>0</v>
          </cell>
          <cell r="K7620" t="str">
            <v>Administration</v>
          </cell>
          <cell r="L7620" t="str">
            <v>T&amp;E</v>
          </cell>
          <cell r="N7620" t="str">
            <v>SG&amp;A</v>
          </cell>
          <cell r="O7620" t="str">
            <v>[No Vendor]</v>
          </cell>
        </row>
        <row r="7621">
          <cell r="D7621">
            <v>21.12</v>
          </cell>
          <cell r="H7621">
            <v>45748</v>
          </cell>
          <cell r="I7621" t="str">
            <v>6375 - Freight Expenses</v>
          </cell>
          <cell r="J7621" t="str">
            <v>Ecommerce (US)</v>
          </cell>
          <cell r="K7621" t="str">
            <v>Ecommerce</v>
          </cell>
          <cell r="L7621" t="str">
            <v>Freight</v>
          </cell>
          <cell r="N7621" t="str">
            <v>Direct Costs</v>
          </cell>
          <cell r="O7621" t="str">
            <v>UPS Supply Chain Solutions Inc. (7F24A0)</v>
          </cell>
        </row>
        <row r="7622">
          <cell r="D7622">
            <v>356.57</v>
          </cell>
          <cell r="H7622">
            <v>45748</v>
          </cell>
          <cell r="I7622" t="str">
            <v>6375 - Freight Expenses</v>
          </cell>
          <cell r="J7622" t="str">
            <v>Ecommerce (US)</v>
          </cell>
          <cell r="K7622" t="str">
            <v>Ecommerce</v>
          </cell>
          <cell r="L7622" t="str">
            <v>Freight</v>
          </cell>
          <cell r="N7622" t="str">
            <v>Direct Costs</v>
          </cell>
          <cell r="O7622" t="str">
            <v>UPS Supply Chain Solutions Inc. (7F24A0)</v>
          </cell>
        </row>
        <row r="7623">
          <cell r="D7623">
            <v>21.78</v>
          </cell>
          <cell r="H7623">
            <v>45748</v>
          </cell>
          <cell r="I7623" t="str">
            <v>6393 - Software</v>
          </cell>
          <cell r="J7623" t="str">
            <v>Ecommerce (US)</v>
          </cell>
          <cell r="K7623" t="str">
            <v>Ecommerce</v>
          </cell>
          <cell r="L7623" t="str">
            <v>Professional Service</v>
          </cell>
          <cell r="N7623" t="str">
            <v>Direct Costs</v>
          </cell>
          <cell r="O7623" t="str">
            <v>Chat GPT</v>
          </cell>
        </row>
        <row r="7624">
          <cell r="D7624">
            <v>4612.4799999999996</v>
          </cell>
          <cell r="H7624">
            <v>45748</v>
          </cell>
          <cell r="I7624" t="str">
            <v>6393 - Software</v>
          </cell>
          <cell r="J7624" t="str">
            <v>Ecommerce (US)</v>
          </cell>
          <cell r="K7624" t="str">
            <v>Ecommerce</v>
          </cell>
          <cell r="L7624" t="str">
            <v>Professional Service</v>
          </cell>
          <cell r="N7624" t="str">
            <v>Direct Costs</v>
          </cell>
          <cell r="O7624" t="str">
            <v>Shopify</v>
          </cell>
        </row>
        <row r="7625">
          <cell r="D7625">
            <v>1012.54</v>
          </cell>
          <cell r="H7625">
            <v>45748</v>
          </cell>
          <cell r="I7625" t="str">
            <v>6393 - Software</v>
          </cell>
          <cell r="J7625" t="str">
            <v>Ecommerce (US)</v>
          </cell>
          <cell r="K7625" t="str">
            <v>Ecommerce</v>
          </cell>
          <cell r="L7625" t="str">
            <v>Professional Service</v>
          </cell>
          <cell r="N7625" t="str">
            <v>Direct Costs</v>
          </cell>
          <cell r="O7625" t="str">
            <v>Klaviyo</v>
          </cell>
        </row>
        <row r="7626">
          <cell r="D7626">
            <v>3249.92</v>
          </cell>
          <cell r="H7626">
            <v>45748</v>
          </cell>
          <cell r="I7626" t="str">
            <v>6393 - Software</v>
          </cell>
          <cell r="J7626" t="str">
            <v>Ecommerce (US)</v>
          </cell>
          <cell r="K7626" t="str">
            <v>Ecommerce</v>
          </cell>
          <cell r="L7626" t="str">
            <v>Professional Service</v>
          </cell>
          <cell r="N7626" t="str">
            <v>Direct Costs</v>
          </cell>
          <cell r="O7626" t="str">
            <v>Klaviyo</v>
          </cell>
        </row>
        <row r="7627">
          <cell r="D7627">
            <v>159</v>
          </cell>
          <cell r="H7627">
            <v>45748</v>
          </cell>
          <cell r="I7627" t="str">
            <v>6393 - Software</v>
          </cell>
          <cell r="J7627" t="str">
            <v>Ecommerce (US)</v>
          </cell>
          <cell r="K7627" t="str">
            <v>Ecommerce</v>
          </cell>
          <cell r="L7627" t="str">
            <v>Professional Service</v>
          </cell>
          <cell r="N7627" t="str">
            <v>Direct Costs</v>
          </cell>
          <cell r="O7627" t="str">
            <v>INTEGRATION MANAGER</v>
          </cell>
        </row>
        <row r="7628">
          <cell r="D7628">
            <v>190.54</v>
          </cell>
          <cell r="H7628">
            <v>45748</v>
          </cell>
          <cell r="I7628" t="str">
            <v>6393 - Software</v>
          </cell>
          <cell r="J7628" t="str">
            <v>Ecommerce (US)</v>
          </cell>
          <cell r="K7628" t="str">
            <v>Ecommerce</v>
          </cell>
          <cell r="L7628" t="str">
            <v>Professional Service</v>
          </cell>
          <cell r="N7628" t="str">
            <v>Direct Costs</v>
          </cell>
          <cell r="O7628" t="str">
            <v>Klaviyo</v>
          </cell>
        </row>
        <row r="7629">
          <cell r="D7629">
            <v>228.64</v>
          </cell>
          <cell r="H7629">
            <v>45748</v>
          </cell>
          <cell r="I7629" t="str">
            <v>6393 - Software</v>
          </cell>
          <cell r="J7629" t="str">
            <v>Ecommerce (US)</v>
          </cell>
          <cell r="K7629" t="str">
            <v>Ecommerce</v>
          </cell>
          <cell r="L7629" t="str">
            <v>Professional Service</v>
          </cell>
          <cell r="N7629" t="str">
            <v>Direct Costs</v>
          </cell>
          <cell r="O7629" t="str">
            <v>Klaviyo</v>
          </cell>
        </row>
        <row r="7630">
          <cell r="D7630">
            <v>11040.8</v>
          </cell>
          <cell r="H7630">
            <v>45748</v>
          </cell>
          <cell r="I7630" t="str">
            <v>6393 - Software</v>
          </cell>
          <cell r="J7630" t="str">
            <v>Ecommerce (US)</v>
          </cell>
          <cell r="K7630" t="str">
            <v>Ecommerce</v>
          </cell>
          <cell r="L7630" t="str">
            <v>Professional Service</v>
          </cell>
          <cell r="N7630" t="str">
            <v>Direct Costs</v>
          </cell>
          <cell r="O7630" t="str">
            <v>Signifyd</v>
          </cell>
        </row>
        <row r="7631">
          <cell r="D7631">
            <v>1164.7</v>
          </cell>
          <cell r="H7631">
            <v>45748</v>
          </cell>
          <cell r="I7631" t="str">
            <v>6393 - Software</v>
          </cell>
          <cell r="J7631" t="str">
            <v>Ecommerce (US)</v>
          </cell>
          <cell r="K7631" t="str">
            <v>Ecommerce</v>
          </cell>
          <cell r="L7631" t="str">
            <v>Professional Service</v>
          </cell>
          <cell r="N7631" t="str">
            <v>Direct Costs</v>
          </cell>
          <cell r="O7631" t="str">
            <v>Google Cloud</v>
          </cell>
        </row>
        <row r="7632">
          <cell r="D7632">
            <v>6344.31</v>
          </cell>
          <cell r="H7632">
            <v>45748</v>
          </cell>
          <cell r="I7632" t="str">
            <v>6393 - Software</v>
          </cell>
          <cell r="J7632" t="str">
            <v>Ecommerce (US)</v>
          </cell>
          <cell r="K7632" t="str">
            <v>Ecommerce</v>
          </cell>
          <cell r="L7632" t="str">
            <v>Professional Service</v>
          </cell>
          <cell r="N7632" t="str">
            <v>Direct Costs</v>
          </cell>
          <cell r="O7632" t="str">
            <v>Shopify</v>
          </cell>
        </row>
        <row r="7633">
          <cell r="D7633">
            <v>598</v>
          </cell>
          <cell r="H7633">
            <v>45748</v>
          </cell>
          <cell r="I7633" t="str">
            <v>6393 - Software</v>
          </cell>
          <cell r="J7633" t="str">
            <v>Ecommerce (US)</v>
          </cell>
          <cell r="K7633" t="str">
            <v>Ecommerce</v>
          </cell>
          <cell r="L7633" t="str">
            <v>Professional Service</v>
          </cell>
          <cell r="N7633" t="str">
            <v>Direct Costs</v>
          </cell>
          <cell r="O7633" t="str">
            <v>GODATAFEED</v>
          </cell>
        </row>
        <row r="7634">
          <cell r="D7634">
            <v>146</v>
          </cell>
          <cell r="H7634">
            <v>45748</v>
          </cell>
          <cell r="I7634" t="str">
            <v>6393 - Software</v>
          </cell>
          <cell r="J7634" t="str">
            <v>Wholesale</v>
          </cell>
          <cell r="K7634" t="str">
            <v>Wholesale</v>
          </cell>
          <cell r="L7634" t="str">
            <v>Professional Service</v>
          </cell>
          <cell r="N7634" t="str">
            <v>Direct Costs</v>
          </cell>
          <cell r="O7634" t="str">
            <v>SPS Commerce</v>
          </cell>
        </row>
        <row r="7635">
          <cell r="D7635">
            <v>2039.15</v>
          </cell>
          <cell r="H7635">
            <v>45748</v>
          </cell>
          <cell r="I7635" t="str">
            <v>6286 - SEM</v>
          </cell>
          <cell r="J7635" t="str">
            <v>Ecommerce (US)</v>
          </cell>
          <cell r="K7635" t="str">
            <v>Ecommerce</v>
          </cell>
          <cell r="L7635" t="str">
            <v>Marketing</v>
          </cell>
          <cell r="N7635" t="str">
            <v>Direct Costs</v>
          </cell>
          <cell r="O7635" t="str">
            <v>Amazon</v>
          </cell>
        </row>
        <row r="7636">
          <cell r="D7636">
            <v>2018.04</v>
          </cell>
          <cell r="H7636">
            <v>45748</v>
          </cell>
          <cell r="I7636" t="str">
            <v>6286 - SEM</v>
          </cell>
          <cell r="J7636" t="str">
            <v>Ecommerce (US)</v>
          </cell>
          <cell r="K7636" t="str">
            <v>Ecommerce</v>
          </cell>
          <cell r="L7636" t="str">
            <v>Marketing</v>
          </cell>
          <cell r="N7636" t="str">
            <v>Direct Costs</v>
          </cell>
          <cell r="O7636" t="str">
            <v>Amazon</v>
          </cell>
        </row>
        <row r="7637">
          <cell r="D7637">
            <v>2012.42</v>
          </cell>
          <cell r="H7637">
            <v>45748</v>
          </cell>
          <cell r="I7637" t="str">
            <v>6286 - SEM</v>
          </cell>
          <cell r="J7637" t="str">
            <v>Ecommerce (US)</v>
          </cell>
          <cell r="K7637" t="str">
            <v>Ecommerce</v>
          </cell>
          <cell r="L7637" t="str">
            <v>Marketing</v>
          </cell>
          <cell r="N7637" t="str">
            <v>Direct Costs</v>
          </cell>
          <cell r="O7637" t="str">
            <v>Amazon</v>
          </cell>
        </row>
        <row r="7638">
          <cell r="D7638">
            <v>2023.39</v>
          </cell>
          <cell r="H7638">
            <v>45748</v>
          </cell>
          <cell r="I7638" t="str">
            <v>6286 - SEM</v>
          </cell>
          <cell r="J7638" t="str">
            <v>Ecommerce (US)</v>
          </cell>
          <cell r="K7638" t="str">
            <v>Ecommerce</v>
          </cell>
          <cell r="L7638" t="str">
            <v>Marketing</v>
          </cell>
          <cell r="N7638" t="str">
            <v>Direct Costs</v>
          </cell>
          <cell r="O7638" t="str">
            <v>Amazon</v>
          </cell>
        </row>
        <row r="7639">
          <cell r="D7639">
            <v>2006.76</v>
          </cell>
          <cell r="H7639">
            <v>45748</v>
          </cell>
          <cell r="I7639" t="str">
            <v>6286 - SEM</v>
          </cell>
          <cell r="J7639" t="str">
            <v>Ecommerce (US)</v>
          </cell>
          <cell r="K7639" t="str">
            <v>Ecommerce</v>
          </cell>
          <cell r="L7639" t="str">
            <v>Marketing</v>
          </cell>
          <cell r="N7639" t="str">
            <v>Direct Costs</v>
          </cell>
          <cell r="O7639" t="str">
            <v>Amazon</v>
          </cell>
        </row>
        <row r="7640">
          <cell r="D7640">
            <v>2011.08</v>
          </cell>
          <cell r="H7640">
            <v>45748</v>
          </cell>
          <cell r="I7640" t="str">
            <v>6286 - SEM</v>
          </cell>
          <cell r="J7640" t="str">
            <v>Ecommerce (US)</v>
          </cell>
          <cell r="K7640" t="str">
            <v>Ecommerce</v>
          </cell>
          <cell r="L7640" t="str">
            <v>Marketing</v>
          </cell>
          <cell r="N7640" t="str">
            <v>Direct Costs</v>
          </cell>
          <cell r="O7640" t="str">
            <v>Amazon</v>
          </cell>
        </row>
        <row r="7641">
          <cell r="D7641">
            <v>2013.79</v>
          </cell>
          <cell r="H7641">
            <v>45748</v>
          </cell>
          <cell r="I7641" t="str">
            <v>6286 - SEM</v>
          </cell>
          <cell r="J7641" t="str">
            <v>Ecommerce (US)</v>
          </cell>
          <cell r="K7641" t="str">
            <v>Ecommerce</v>
          </cell>
          <cell r="L7641" t="str">
            <v>Marketing</v>
          </cell>
          <cell r="N7641" t="str">
            <v>Direct Costs</v>
          </cell>
          <cell r="O7641" t="str">
            <v>Amazon</v>
          </cell>
        </row>
        <row r="7642">
          <cell r="D7642">
            <v>2009.96</v>
          </cell>
          <cell r="H7642">
            <v>45748</v>
          </cell>
          <cell r="I7642" t="str">
            <v>6286 - SEM</v>
          </cell>
          <cell r="J7642" t="str">
            <v>Ecommerce (US)</v>
          </cell>
          <cell r="K7642" t="str">
            <v>Ecommerce</v>
          </cell>
          <cell r="L7642" t="str">
            <v>Marketing</v>
          </cell>
          <cell r="N7642" t="str">
            <v>Direct Costs</v>
          </cell>
          <cell r="O7642" t="str">
            <v>Amazon</v>
          </cell>
        </row>
        <row r="7643">
          <cell r="D7643">
            <v>2036.41</v>
          </cell>
          <cell r="H7643">
            <v>45748</v>
          </cell>
          <cell r="I7643" t="str">
            <v>6286 - SEM</v>
          </cell>
          <cell r="J7643" t="str">
            <v>Ecommerce (US)</v>
          </cell>
          <cell r="K7643" t="str">
            <v>Ecommerce</v>
          </cell>
          <cell r="L7643" t="str">
            <v>Marketing</v>
          </cell>
          <cell r="N7643" t="str">
            <v>Direct Costs</v>
          </cell>
          <cell r="O7643" t="str">
            <v>Amazon</v>
          </cell>
        </row>
        <row r="7644">
          <cell r="D7644">
            <v>584.33000000000004</v>
          </cell>
          <cell r="H7644">
            <v>45748</v>
          </cell>
          <cell r="I7644" t="str">
            <v>6300 - Payroll Service Fees</v>
          </cell>
          <cell r="J7644">
            <v>0</v>
          </cell>
          <cell r="K7644" t="str">
            <v>Administration</v>
          </cell>
          <cell r="L7644" t="str">
            <v>Professional Service</v>
          </cell>
          <cell r="N7644" t="str">
            <v>SG&amp;A</v>
          </cell>
          <cell r="O7644" t="str">
            <v>ADP Payroll Services</v>
          </cell>
        </row>
        <row r="7645">
          <cell r="D7645">
            <v>292.05</v>
          </cell>
          <cell r="H7645">
            <v>45748</v>
          </cell>
          <cell r="I7645" t="str">
            <v>8505 - Realized Gain/Loss</v>
          </cell>
          <cell r="J7645">
            <v>0</v>
          </cell>
          <cell r="K7645" t="str">
            <v>No Department</v>
          </cell>
          <cell r="L7645" t="str">
            <v>Realized Gain / Loss</v>
          </cell>
          <cell r="N7645" t="str">
            <v>BTL</v>
          </cell>
          <cell r="O7645" t="str">
            <v>[No Vendor]</v>
          </cell>
        </row>
        <row r="7646">
          <cell r="D7646">
            <v>375.6</v>
          </cell>
          <cell r="H7646">
            <v>45748</v>
          </cell>
          <cell r="I7646" t="str">
            <v>8505 - Realized Gain/Loss</v>
          </cell>
          <cell r="J7646">
            <v>0</v>
          </cell>
          <cell r="K7646" t="str">
            <v>No Department</v>
          </cell>
          <cell r="L7646" t="str">
            <v>Realized Gain / Loss</v>
          </cell>
          <cell r="N7646" t="str">
            <v>BTL</v>
          </cell>
          <cell r="O7646" t="str">
            <v>[No Vendor]</v>
          </cell>
        </row>
        <row r="7647">
          <cell r="D7647">
            <v>1877.94</v>
          </cell>
          <cell r="H7647">
            <v>45748</v>
          </cell>
          <cell r="I7647" t="str">
            <v>8505 - Realized Gain/Loss</v>
          </cell>
          <cell r="J7647">
            <v>0</v>
          </cell>
          <cell r="K7647" t="str">
            <v>No Department</v>
          </cell>
          <cell r="L7647" t="str">
            <v>Realized Gain / Loss</v>
          </cell>
          <cell r="N7647" t="str">
            <v>BTL</v>
          </cell>
          <cell r="O7647" t="str">
            <v>[No Vendor]</v>
          </cell>
        </row>
        <row r="7648">
          <cell r="D7648">
            <v>21388.47</v>
          </cell>
          <cell r="H7648">
            <v>45748</v>
          </cell>
          <cell r="I7648" t="str">
            <v>6005 - Salaries</v>
          </cell>
          <cell r="J7648">
            <v>0</v>
          </cell>
          <cell r="K7648" t="str">
            <v>Design</v>
          </cell>
          <cell r="L7648" t="str">
            <v>HQ Salaries</v>
          </cell>
          <cell r="N7648" t="str">
            <v>SG&amp;A</v>
          </cell>
          <cell r="O7648" t="str">
            <v>[No Vendor]</v>
          </cell>
        </row>
        <row r="7649">
          <cell r="D7649">
            <v>0</v>
          </cell>
          <cell r="H7649">
            <v>45748</v>
          </cell>
          <cell r="I7649" t="str">
            <v>6035 - Severance Expense</v>
          </cell>
          <cell r="J7649" t="str">
            <v>Wholesale</v>
          </cell>
          <cell r="K7649" t="str">
            <v>Wholesale</v>
          </cell>
          <cell r="L7649" t="str">
            <v>HQ Salaries</v>
          </cell>
          <cell r="N7649" t="str">
            <v>SG&amp;A</v>
          </cell>
          <cell r="O7649" t="str">
            <v>[No Vendor]</v>
          </cell>
        </row>
        <row r="7650">
          <cell r="D7650">
            <v>18333.330000000002</v>
          </cell>
          <cell r="H7650">
            <v>45748</v>
          </cell>
          <cell r="I7650" t="str">
            <v>6205 - Contractors</v>
          </cell>
          <cell r="J7650">
            <v>0</v>
          </cell>
          <cell r="K7650" t="str">
            <v>Brand Marketing</v>
          </cell>
          <cell r="L7650" t="str">
            <v>HQ Salaries</v>
          </cell>
          <cell r="N7650" t="str">
            <v>SG&amp;A</v>
          </cell>
          <cell r="O7650" t="str">
            <v>[No Vendor]</v>
          </cell>
        </row>
        <row r="7651">
          <cell r="D7651">
            <v>16870.599999999999</v>
          </cell>
          <cell r="H7651">
            <v>45748</v>
          </cell>
          <cell r="I7651" t="str">
            <v>6205 - Contractors</v>
          </cell>
          <cell r="J7651" t="str">
            <v>Ecommerce (US)</v>
          </cell>
          <cell r="K7651" t="str">
            <v>Ecommerce</v>
          </cell>
          <cell r="L7651" t="str">
            <v>HQ Salaries</v>
          </cell>
          <cell r="N7651" t="str">
            <v>SG&amp;A</v>
          </cell>
          <cell r="O7651" t="str">
            <v>[No Vendor]</v>
          </cell>
        </row>
        <row r="7652">
          <cell r="D7652">
            <v>0</v>
          </cell>
          <cell r="H7652">
            <v>45748</v>
          </cell>
          <cell r="I7652" t="str">
            <v>6205 - Contractors</v>
          </cell>
          <cell r="J7652">
            <v>0</v>
          </cell>
          <cell r="K7652" t="str">
            <v>Design</v>
          </cell>
          <cell r="L7652" t="str">
            <v>HQ Salaries</v>
          </cell>
          <cell r="N7652" t="str">
            <v>SG&amp;A</v>
          </cell>
          <cell r="O7652" t="str">
            <v>[No Vendor]</v>
          </cell>
        </row>
        <row r="7653">
          <cell r="D7653">
            <v>-37.299999999999997</v>
          </cell>
          <cell r="H7653">
            <v>45748</v>
          </cell>
          <cell r="I7653" t="str">
            <v>6385 - Insurance</v>
          </cell>
          <cell r="J7653">
            <v>0</v>
          </cell>
          <cell r="K7653" t="str">
            <v>Administration</v>
          </cell>
          <cell r="L7653" t="str">
            <v>Professional Service</v>
          </cell>
          <cell r="N7653" t="str">
            <v>SG&amp;A</v>
          </cell>
          <cell r="O7653" t="str">
            <v>[No Vendor]</v>
          </cell>
        </row>
        <row r="7654">
          <cell r="D7654">
            <v>-12.39</v>
          </cell>
          <cell r="H7654">
            <v>45748</v>
          </cell>
          <cell r="I7654" t="str">
            <v>6385 - Insurance</v>
          </cell>
          <cell r="J7654">
            <v>0</v>
          </cell>
          <cell r="K7654" t="str">
            <v>Administration</v>
          </cell>
          <cell r="L7654" t="str">
            <v>Professional Service</v>
          </cell>
          <cell r="N7654" t="str">
            <v>SG&amp;A</v>
          </cell>
          <cell r="O7654" t="str">
            <v>[No Vendor]</v>
          </cell>
        </row>
        <row r="7655">
          <cell r="D7655">
            <v>-78.16</v>
          </cell>
          <cell r="H7655">
            <v>45748</v>
          </cell>
          <cell r="I7655" t="str">
            <v>6385 - Insurance</v>
          </cell>
          <cell r="J7655">
            <v>0</v>
          </cell>
          <cell r="K7655" t="str">
            <v>Administration</v>
          </cell>
          <cell r="L7655" t="str">
            <v>Professional Service</v>
          </cell>
          <cell r="N7655" t="str">
            <v>SG&amp;A</v>
          </cell>
          <cell r="O7655" t="str">
            <v>[No Vendor]</v>
          </cell>
        </row>
        <row r="7656">
          <cell r="D7656">
            <v>-18.27</v>
          </cell>
          <cell r="H7656">
            <v>45748</v>
          </cell>
          <cell r="I7656" t="str">
            <v>6385 - Insurance</v>
          </cell>
          <cell r="J7656">
            <v>0</v>
          </cell>
          <cell r="K7656" t="str">
            <v>Administration</v>
          </cell>
          <cell r="L7656" t="str">
            <v>Professional Service</v>
          </cell>
          <cell r="N7656" t="str">
            <v>SG&amp;A</v>
          </cell>
          <cell r="O7656" t="str">
            <v>[No Vendor]</v>
          </cell>
        </row>
        <row r="7657">
          <cell r="D7657">
            <v>-44.48</v>
          </cell>
          <cell r="H7657">
            <v>45748</v>
          </cell>
          <cell r="I7657" t="str">
            <v>6385 - Insurance</v>
          </cell>
          <cell r="J7657">
            <v>0</v>
          </cell>
          <cell r="K7657" t="str">
            <v>Administration</v>
          </cell>
          <cell r="L7657" t="str">
            <v>Professional Service</v>
          </cell>
          <cell r="N7657" t="str">
            <v>SG&amp;A</v>
          </cell>
          <cell r="O7657" t="str">
            <v>[No Vendor]</v>
          </cell>
        </row>
        <row r="7658">
          <cell r="D7658">
            <v>-43.2</v>
          </cell>
          <cell r="H7658">
            <v>45748</v>
          </cell>
          <cell r="I7658" t="str">
            <v>6385 - Insurance</v>
          </cell>
          <cell r="J7658">
            <v>0</v>
          </cell>
          <cell r="K7658" t="str">
            <v>Administration</v>
          </cell>
          <cell r="L7658" t="str">
            <v>Professional Service</v>
          </cell>
          <cell r="N7658" t="str">
            <v>SG&amp;A</v>
          </cell>
          <cell r="O7658" t="str">
            <v>[No Vendor]</v>
          </cell>
        </row>
        <row r="7659">
          <cell r="D7659">
            <v>-88.99</v>
          </cell>
          <cell r="H7659">
            <v>45748</v>
          </cell>
          <cell r="I7659" t="str">
            <v>6385 - Insurance</v>
          </cell>
          <cell r="J7659">
            <v>0</v>
          </cell>
          <cell r="K7659" t="str">
            <v>Administration</v>
          </cell>
          <cell r="L7659" t="str">
            <v>Professional Service</v>
          </cell>
          <cell r="N7659" t="str">
            <v>SG&amp;A</v>
          </cell>
          <cell r="O7659" t="str">
            <v>[No Vendor]</v>
          </cell>
        </row>
        <row r="7660">
          <cell r="D7660">
            <v>-41.72</v>
          </cell>
          <cell r="H7660">
            <v>45748</v>
          </cell>
          <cell r="I7660" t="str">
            <v>6385 - Insurance</v>
          </cell>
          <cell r="J7660">
            <v>0</v>
          </cell>
          <cell r="K7660" t="str">
            <v>Administration</v>
          </cell>
          <cell r="L7660" t="str">
            <v>Professional Service</v>
          </cell>
          <cell r="N7660" t="str">
            <v>SG&amp;A</v>
          </cell>
          <cell r="O7660" t="str">
            <v>[No Vendor]</v>
          </cell>
        </row>
        <row r="7661">
          <cell r="D7661">
            <v>321.64</v>
          </cell>
          <cell r="H7661">
            <v>45748</v>
          </cell>
          <cell r="I7661" t="str">
            <v>6055 - Employer Social Security Tax Withheld</v>
          </cell>
          <cell r="J7661" t="str">
            <v>Wholesale</v>
          </cell>
          <cell r="K7661" t="str">
            <v>Wholesale</v>
          </cell>
          <cell r="L7661" t="str">
            <v>HQ Salaries</v>
          </cell>
          <cell r="N7661" t="str">
            <v>SG&amp;A</v>
          </cell>
          <cell r="O7661" t="str">
            <v>[No Vendor]</v>
          </cell>
        </row>
        <row r="7662">
          <cell r="D7662">
            <v>2384.86</v>
          </cell>
          <cell r="H7662">
            <v>45748</v>
          </cell>
          <cell r="I7662" t="str">
            <v>6055 - Employer Social Security Tax Withheld</v>
          </cell>
          <cell r="J7662">
            <v>0</v>
          </cell>
          <cell r="K7662" t="str">
            <v>Production</v>
          </cell>
          <cell r="L7662" t="str">
            <v>HQ Salaries</v>
          </cell>
          <cell r="N7662" t="str">
            <v>SG&amp;A</v>
          </cell>
          <cell r="O7662" t="str">
            <v>[No Vendor]</v>
          </cell>
        </row>
        <row r="7663">
          <cell r="D7663">
            <v>492.23</v>
          </cell>
          <cell r="H7663">
            <v>45748</v>
          </cell>
          <cell r="I7663" t="str">
            <v>6055 - Employer Social Security Tax Withheld</v>
          </cell>
          <cell r="J7663">
            <v>0</v>
          </cell>
          <cell r="K7663" t="str">
            <v>Brand Marketing</v>
          </cell>
          <cell r="L7663" t="str">
            <v>HQ Salaries</v>
          </cell>
          <cell r="N7663" t="str">
            <v>SG&amp;A</v>
          </cell>
          <cell r="O7663" t="str">
            <v>[No Vendor]</v>
          </cell>
        </row>
        <row r="7664">
          <cell r="D7664">
            <v>1174.3499999999999</v>
          </cell>
          <cell r="H7664">
            <v>45748</v>
          </cell>
          <cell r="I7664" t="str">
            <v>6055 - Employer Social Security Tax Withheld</v>
          </cell>
          <cell r="J7664">
            <v>0</v>
          </cell>
          <cell r="K7664" t="str">
            <v>Executive</v>
          </cell>
          <cell r="L7664" t="str">
            <v>HQ Salaries</v>
          </cell>
          <cell r="N7664" t="str">
            <v>SG&amp;A</v>
          </cell>
          <cell r="O7664" t="str">
            <v>[No Vendor]</v>
          </cell>
        </row>
        <row r="7665">
          <cell r="D7665">
            <v>2254.4899999999998</v>
          </cell>
          <cell r="H7665">
            <v>45748</v>
          </cell>
          <cell r="I7665" t="str">
            <v>6055 - Employer Social Security Tax Withheld</v>
          </cell>
          <cell r="J7665" t="str">
            <v>Ecommerce (US)</v>
          </cell>
          <cell r="K7665" t="str">
            <v>Ecommerce</v>
          </cell>
          <cell r="L7665" t="str">
            <v>HQ Salaries</v>
          </cell>
          <cell r="N7665" t="str">
            <v>SG&amp;A</v>
          </cell>
          <cell r="O7665" t="str">
            <v>[No Vendor]</v>
          </cell>
        </row>
        <row r="7666">
          <cell r="D7666">
            <v>2156.25</v>
          </cell>
          <cell r="H7666">
            <v>45748</v>
          </cell>
          <cell r="I7666" t="str">
            <v>6055 - Employer Social Security Tax Withheld</v>
          </cell>
          <cell r="J7666">
            <v>0</v>
          </cell>
          <cell r="K7666" t="str">
            <v>Design</v>
          </cell>
          <cell r="L7666" t="str">
            <v>HQ Salaries</v>
          </cell>
          <cell r="N7666" t="str">
            <v>SG&amp;A</v>
          </cell>
          <cell r="O7666" t="str">
            <v>[No Vendor]</v>
          </cell>
        </row>
        <row r="7667">
          <cell r="D7667">
            <v>2569.54</v>
          </cell>
          <cell r="H7667">
            <v>45748</v>
          </cell>
          <cell r="I7667" t="str">
            <v>6055 - Employer Social Security Tax Withheld</v>
          </cell>
          <cell r="J7667">
            <v>0</v>
          </cell>
          <cell r="K7667" t="str">
            <v>Administration</v>
          </cell>
          <cell r="L7667" t="str">
            <v>HQ Salaries</v>
          </cell>
          <cell r="N7667" t="str">
            <v>SG&amp;A</v>
          </cell>
          <cell r="O7667" t="str">
            <v>[No Vendor]</v>
          </cell>
        </row>
        <row r="7668">
          <cell r="D7668">
            <v>1075.8900000000001</v>
          </cell>
          <cell r="H7668">
            <v>45748</v>
          </cell>
          <cell r="I7668" t="str">
            <v>6055 - Employer Social Security Tax Withheld</v>
          </cell>
          <cell r="J7668">
            <v>0</v>
          </cell>
          <cell r="K7668" t="str">
            <v>Merchandising</v>
          </cell>
          <cell r="L7668" t="str">
            <v>HQ Salaries</v>
          </cell>
          <cell r="N7668" t="str">
            <v>SG&amp;A</v>
          </cell>
          <cell r="O7668" t="str">
            <v>[No Vendor]</v>
          </cell>
        </row>
        <row r="7669">
          <cell r="D7669">
            <v>-34.9</v>
          </cell>
          <cell r="H7669">
            <v>45748</v>
          </cell>
          <cell r="I7669" t="str">
            <v>6040 - Employer Paid Benefits</v>
          </cell>
          <cell r="J7669" t="str">
            <v>Wholesale</v>
          </cell>
          <cell r="K7669" t="str">
            <v>Wholesale</v>
          </cell>
          <cell r="L7669" t="str">
            <v>HQ Salaries</v>
          </cell>
          <cell r="N7669" t="str">
            <v>SG&amp;A</v>
          </cell>
          <cell r="O7669" t="str">
            <v>[No Vendor]</v>
          </cell>
        </row>
        <row r="7670">
          <cell r="D7670">
            <v>-482.84</v>
          </cell>
          <cell r="H7670">
            <v>45748</v>
          </cell>
          <cell r="I7670" t="str">
            <v>6040 - Employer Paid Benefits</v>
          </cell>
          <cell r="J7670">
            <v>0</v>
          </cell>
          <cell r="K7670" t="str">
            <v>Production</v>
          </cell>
          <cell r="L7670" t="str">
            <v>HQ Salaries</v>
          </cell>
          <cell r="N7670" t="str">
            <v>SG&amp;A</v>
          </cell>
          <cell r="O7670" t="str">
            <v>[No Vendor]</v>
          </cell>
        </row>
        <row r="7671">
          <cell r="D7671">
            <v>-34.9</v>
          </cell>
          <cell r="H7671">
            <v>45748</v>
          </cell>
          <cell r="I7671" t="str">
            <v>6040 - Employer Paid Benefits</v>
          </cell>
          <cell r="J7671">
            <v>0</v>
          </cell>
          <cell r="K7671" t="str">
            <v>Brand Marketing</v>
          </cell>
          <cell r="L7671" t="str">
            <v>HQ Salaries</v>
          </cell>
          <cell r="N7671" t="str">
            <v>SG&amp;A</v>
          </cell>
          <cell r="O7671" t="str">
            <v>[No Vendor]</v>
          </cell>
        </row>
        <row r="7672">
          <cell r="D7672">
            <v>-332.52</v>
          </cell>
          <cell r="H7672">
            <v>45748</v>
          </cell>
          <cell r="I7672" t="str">
            <v>6040 - Employer Paid Benefits</v>
          </cell>
          <cell r="J7672">
            <v>0</v>
          </cell>
          <cell r="K7672" t="str">
            <v>Executive</v>
          </cell>
          <cell r="L7672" t="str">
            <v>HQ Salaries</v>
          </cell>
          <cell r="N7672" t="str">
            <v>SG&amp;A</v>
          </cell>
          <cell r="O7672" t="str">
            <v>[No Vendor]</v>
          </cell>
        </row>
        <row r="7673">
          <cell r="D7673">
            <v>-250.5</v>
          </cell>
          <cell r="H7673">
            <v>45748</v>
          </cell>
          <cell r="I7673" t="str">
            <v>6040 - Employer Paid Benefits</v>
          </cell>
          <cell r="J7673" t="str">
            <v>Ecommerce (US)</v>
          </cell>
          <cell r="K7673" t="str">
            <v>Ecommerce</v>
          </cell>
          <cell r="L7673" t="str">
            <v>HQ Salaries</v>
          </cell>
          <cell r="N7673" t="str">
            <v>SG&amp;A</v>
          </cell>
          <cell r="O7673" t="str">
            <v>[No Vendor]</v>
          </cell>
        </row>
        <row r="7674">
          <cell r="D7674">
            <v>-442.41</v>
          </cell>
          <cell r="H7674">
            <v>45748</v>
          </cell>
          <cell r="I7674" t="str">
            <v>6040 - Employer Paid Benefits</v>
          </cell>
          <cell r="J7674">
            <v>0</v>
          </cell>
          <cell r="K7674" t="str">
            <v>Design</v>
          </cell>
          <cell r="L7674" t="str">
            <v>HQ Salaries</v>
          </cell>
          <cell r="N7674" t="str">
            <v>SG&amp;A</v>
          </cell>
          <cell r="O7674" t="str">
            <v>[No Vendor]</v>
          </cell>
        </row>
        <row r="7675">
          <cell r="D7675">
            <v>-624.54999999999995</v>
          </cell>
          <cell r="H7675">
            <v>45748</v>
          </cell>
          <cell r="I7675" t="str">
            <v>6040 - Employer Paid Benefits</v>
          </cell>
          <cell r="J7675">
            <v>0</v>
          </cell>
          <cell r="K7675" t="str">
            <v>Administration</v>
          </cell>
          <cell r="L7675" t="str">
            <v>HQ Salaries</v>
          </cell>
          <cell r="N7675" t="str">
            <v>SG&amp;A</v>
          </cell>
          <cell r="O7675" t="str">
            <v>[No Vendor]</v>
          </cell>
        </row>
        <row r="7676">
          <cell r="D7676">
            <v>-34.9</v>
          </cell>
          <cell r="H7676">
            <v>45748</v>
          </cell>
          <cell r="I7676" t="str">
            <v>6040 - Employer Paid Benefits</v>
          </cell>
          <cell r="J7676">
            <v>0</v>
          </cell>
          <cell r="K7676" t="str">
            <v>Merchandising</v>
          </cell>
          <cell r="L7676" t="str">
            <v>HQ Salaries</v>
          </cell>
          <cell r="N7676" t="str">
            <v>SG&amp;A</v>
          </cell>
          <cell r="O7676" t="str">
            <v>[No Vendor]</v>
          </cell>
        </row>
        <row r="7677">
          <cell r="D7677">
            <v>8996.15</v>
          </cell>
          <cell r="H7677">
            <v>45748</v>
          </cell>
          <cell r="I7677" t="str">
            <v>6005 - Salaries</v>
          </cell>
          <cell r="J7677">
            <v>0</v>
          </cell>
          <cell r="K7677" t="str">
            <v>Merchandising</v>
          </cell>
          <cell r="L7677" t="str">
            <v>HQ Salaries</v>
          </cell>
          <cell r="N7677" t="str">
            <v>SG&amp;A</v>
          </cell>
          <cell r="O7677" t="str">
            <v>[No Vendor]</v>
          </cell>
        </row>
        <row r="7678">
          <cell r="D7678">
            <v>27015.41</v>
          </cell>
          <cell r="H7678">
            <v>45748</v>
          </cell>
          <cell r="I7678" t="str">
            <v>6005 - Salaries</v>
          </cell>
          <cell r="J7678">
            <v>0</v>
          </cell>
          <cell r="K7678" t="str">
            <v>Administration</v>
          </cell>
          <cell r="L7678" t="str">
            <v>HQ Salaries</v>
          </cell>
          <cell r="N7678" t="str">
            <v>SG&amp;A</v>
          </cell>
          <cell r="O7678" t="str">
            <v>[No Vendor]</v>
          </cell>
        </row>
        <row r="7679">
          <cell r="D7679">
            <v>2884.62</v>
          </cell>
          <cell r="H7679">
            <v>45748</v>
          </cell>
          <cell r="I7679" t="str">
            <v>6005 - Salaries</v>
          </cell>
          <cell r="J7679" t="str">
            <v>Wholesale</v>
          </cell>
          <cell r="K7679" t="str">
            <v>Wholesale</v>
          </cell>
          <cell r="L7679" t="str">
            <v>HQ Salaries</v>
          </cell>
          <cell r="N7679" t="str">
            <v>SG&amp;A</v>
          </cell>
          <cell r="O7679" t="str">
            <v>[No Vendor]</v>
          </cell>
        </row>
        <row r="7680">
          <cell r="D7680">
            <v>18911.560000000001</v>
          </cell>
          <cell r="H7680">
            <v>45748</v>
          </cell>
          <cell r="I7680" t="str">
            <v>6005 - Salaries</v>
          </cell>
          <cell r="J7680">
            <v>0</v>
          </cell>
          <cell r="K7680" t="str">
            <v>Production</v>
          </cell>
          <cell r="L7680" t="str">
            <v>HQ Salaries</v>
          </cell>
          <cell r="N7680" t="str">
            <v>SG&amp;A</v>
          </cell>
          <cell r="O7680" t="str">
            <v>[No Vendor]</v>
          </cell>
        </row>
        <row r="7681">
          <cell r="D7681">
            <v>4400.8999999999996</v>
          </cell>
          <cell r="H7681">
            <v>45748</v>
          </cell>
          <cell r="I7681" t="str">
            <v>6005 - Salaries</v>
          </cell>
          <cell r="J7681">
            <v>0</v>
          </cell>
          <cell r="K7681" t="str">
            <v>Brand Marketing</v>
          </cell>
          <cell r="L7681" t="str">
            <v>HQ Salaries</v>
          </cell>
          <cell r="N7681" t="str">
            <v>SG&amp;A</v>
          </cell>
          <cell r="O7681" t="str">
            <v>[No Vendor]</v>
          </cell>
        </row>
        <row r="7682">
          <cell r="D7682">
            <v>11153.85</v>
          </cell>
          <cell r="H7682">
            <v>45748</v>
          </cell>
          <cell r="I7682" t="str">
            <v>6005 - Salaries</v>
          </cell>
          <cell r="J7682">
            <v>0</v>
          </cell>
          <cell r="K7682" t="str">
            <v>Executive</v>
          </cell>
          <cell r="L7682" t="str">
            <v>HQ Salaries</v>
          </cell>
          <cell r="N7682" t="str">
            <v>SG&amp;A</v>
          </cell>
          <cell r="O7682" t="str">
            <v>[No Vendor]</v>
          </cell>
        </row>
        <row r="7683">
          <cell r="D7683">
            <v>20780.8</v>
          </cell>
          <cell r="H7683">
            <v>45748</v>
          </cell>
          <cell r="I7683" t="str">
            <v>6005 - Salaries</v>
          </cell>
          <cell r="J7683" t="str">
            <v>Ecommerce (US)</v>
          </cell>
          <cell r="K7683" t="str">
            <v>Ecommerce</v>
          </cell>
          <cell r="L7683" t="str">
            <v>HQ Salaries</v>
          </cell>
          <cell r="N7683" t="str">
            <v>SG&amp;A</v>
          </cell>
          <cell r="O7683" t="str">
            <v>[No Vendor]</v>
          </cell>
        </row>
        <row r="7684">
          <cell r="D7684">
            <v>510.07</v>
          </cell>
          <cell r="H7684">
            <v>45748</v>
          </cell>
          <cell r="I7684" t="str">
            <v>6375 - Freight Expenses</v>
          </cell>
          <cell r="J7684" t="str">
            <v>Wholesale</v>
          </cell>
          <cell r="K7684" t="str">
            <v>Wholesale</v>
          </cell>
          <cell r="L7684" t="str">
            <v>Freight</v>
          </cell>
          <cell r="N7684" t="str">
            <v>Direct Costs</v>
          </cell>
          <cell r="O7684" t="str">
            <v>UPS Supply Chain Solutions Inc. (7F24A0)</v>
          </cell>
        </row>
        <row r="7685">
          <cell r="D7685">
            <v>24670.86</v>
          </cell>
          <cell r="H7685">
            <v>45748</v>
          </cell>
          <cell r="I7685" t="str">
            <v>6375 - Freight Expenses</v>
          </cell>
          <cell r="J7685" t="str">
            <v>Ecommerce (US)</v>
          </cell>
          <cell r="K7685" t="str">
            <v>Ecommerce</v>
          </cell>
          <cell r="L7685" t="str">
            <v>Freight</v>
          </cell>
          <cell r="N7685" t="str">
            <v>Direct Costs</v>
          </cell>
          <cell r="O7685" t="str">
            <v>UPS Supply Chain Solutions Inc. (7F24A0)</v>
          </cell>
        </row>
        <row r="7686">
          <cell r="D7686">
            <v>248.53</v>
          </cell>
          <cell r="H7686">
            <v>45748</v>
          </cell>
          <cell r="I7686" t="str">
            <v>6375 - Freight Expenses</v>
          </cell>
          <cell r="J7686">
            <v>0</v>
          </cell>
          <cell r="K7686" t="str">
            <v>Production</v>
          </cell>
          <cell r="L7686" t="str">
            <v>Freight</v>
          </cell>
          <cell r="N7686" t="str">
            <v>Direct Costs</v>
          </cell>
          <cell r="O7686" t="str">
            <v>Federal Express</v>
          </cell>
        </row>
        <row r="7687">
          <cell r="D7687">
            <v>-99.19</v>
          </cell>
          <cell r="H7687">
            <v>45748</v>
          </cell>
          <cell r="I7687" t="str">
            <v>6375 - Freight Expenses</v>
          </cell>
          <cell r="J7687" t="str">
            <v>Ecommerce (US)</v>
          </cell>
          <cell r="K7687" t="str">
            <v>Ecommerce</v>
          </cell>
          <cell r="L7687" t="str">
            <v>Freight</v>
          </cell>
          <cell r="N7687" t="str">
            <v>Direct Costs</v>
          </cell>
          <cell r="O7687" t="str">
            <v>UPS Supply Chain Solutions Inc. (7F24A0)</v>
          </cell>
        </row>
        <row r="7688">
          <cell r="D7688">
            <v>-31.43</v>
          </cell>
          <cell r="H7688">
            <v>45748</v>
          </cell>
          <cell r="I7688" t="str">
            <v>6520 - Taxes and Licenses</v>
          </cell>
          <cell r="J7688">
            <v>0</v>
          </cell>
          <cell r="K7688" t="str">
            <v>Administration</v>
          </cell>
          <cell r="L7688" t="str">
            <v>Other</v>
          </cell>
          <cell r="N7688" t="str">
            <v>SG&amp;A</v>
          </cell>
          <cell r="O7688" t="str">
            <v>[No Vendor]</v>
          </cell>
        </row>
        <row r="7689">
          <cell r="D7689">
            <v>11324.47</v>
          </cell>
          <cell r="H7689">
            <v>45748</v>
          </cell>
          <cell r="I7689" t="str">
            <v>6225 - Professional Services</v>
          </cell>
          <cell r="J7689">
            <v>0</v>
          </cell>
          <cell r="K7689" t="str">
            <v>Brand Marketing</v>
          </cell>
          <cell r="L7689" t="str">
            <v>Professional Service</v>
          </cell>
          <cell r="N7689" t="str">
            <v>Direct Costs</v>
          </cell>
          <cell r="O7689" t="str">
            <v>The Lede Company, LLC</v>
          </cell>
        </row>
        <row r="7690">
          <cell r="D7690">
            <v>9831.52</v>
          </cell>
          <cell r="H7690">
            <v>45748</v>
          </cell>
          <cell r="I7690" t="str">
            <v>8505 - Realized Gain/Loss</v>
          </cell>
          <cell r="J7690">
            <v>0</v>
          </cell>
          <cell r="K7690" t="str">
            <v>No Department</v>
          </cell>
          <cell r="L7690" t="str">
            <v>Realized Gain / Loss</v>
          </cell>
          <cell r="N7690" t="str">
            <v>BTL</v>
          </cell>
          <cell r="O7690" t="str">
            <v>[No Vendor]</v>
          </cell>
        </row>
        <row r="7691">
          <cell r="D7691">
            <v>97.16</v>
          </cell>
          <cell r="H7691">
            <v>45748</v>
          </cell>
          <cell r="I7691" t="str">
            <v>6040 - Employer Paid Benefits</v>
          </cell>
          <cell r="J7691">
            <v>0</v>
          </cell>
          <cell r="K7691" t="str">
            <v>Administration</v>
          </cell>
          <cell r="L7691" t="str">
            <v>HQ Salaries</v>
          </cell>
          <cell r="N7691" t="str">
            <v>SG&amp;A</v>
          </cell>
          <cell r="O7691" t="str">
            <v>Procyon Benefits LLC</v>
          </cell>
        </row>
        <row r="7692">
          <cell r="D7692">
            <v>330</v>
          </cell>
          <cell r="H7692">
            <v>45748</v>
          </cell>
          <cell r="I7692" t="str">
            <v>6288 - Model</v>
          </cell>
          <cell r="J7692" t="str">
            <v>Ecommerce (US)</v>
          </cell>
          <cell r="K7692" t="str">
            <v>Brand Marketing</v>
          </cell>
          <cell r="L7692" t="str">
            <v>Advertising</v>
          </cell>
          <cell r="N7692" t="str">
            <v>SG&amp;A</v>
          </cell>
          <cell r="O7692" t="str">
            <v>State Artist Management</v>
          </cell>
        </row>
        <row r="7693">
          <cell r="D7693">
            <v>4243.18</v>
          </cell>
          <cell r="H7693">
            <v>45748</v>
          </cell>
          <cell r="I7693" t="str">
            <v>6210 - Monitoring</v>
          </cell>
          <cell r="J7693" t="str">
            <v>Ecommerce (EU)</v>
          </cell>
          <cell r="K7693" t="str">
            <v>Ecommerce</v>
          </cell>
          <cell r="L7693" t="str">
            <v>Professional Service</v>
          </cell>
          <cell r="N7693" t="str">
            <v>Direct Costs</v>
          </cell>
          <cell r="O7693" t="str">
            <v>Convey SRL</v>
          </cell>
        </row>
        <row r="7694">
          <cell r="D7694">
            <v>641.25</v>
          </cell>
          <cell r="H7694">
            <v>45748</v>
          </cell>
          <cell r="I7694" t="str">
            <v>6300 - Payroll Service Fees</v>
          </cell>
          <cell r="J7694">
            <v>0</v>
          </cell>
          <cell r="K7694" t="str">
            <v>Administration</v>
          </cell>
          <cell r="L7694" t="str">
            <v>Professional Service</v>
          </cell>
          <cell r="N7694" t="str">
            <v>SG&amp;A</v>
          </cell>
          <cell r="O7694" t="str">
            <v>OperationsInc, LLC</v>
          </cell>
        </row>
        <row r="7695">
          <cell r="D7695">
            <v>709.3</v>
          </cell>
          <cell r="H7695">
            <v>45748</v>
          </cell>
          <cell r="I7695" t="str">
            <v>6375 - Freight Expenses</v>
          </cell>
          <cell r="J7695">
            <v>0</v>
          </cell>
          <cell r="K7695" t="str">
            <v>Production</v>
          </cell>
          <cell r="L7695" t="str">
            <v>Freight</v>
          </cell>
          <cell r="N7695" t="str">
            <v>Direct Costs</v>
          </cell>
          <cell r="O7695" t="str">
            <v>DHL Express - USA</v>
          </cell>
        </row>
        <row r="7696">
          <cell r="D7696">
            <v>57.41</v>
          </cell>
          <cell r="H7696">
            <v>45748</v>
          </cell>
          <cell r="I7696" t="str">
            <v>6375 - Freight Expenses</v>
          </cell>
          <cell r="J7696">
            <v>0</v>
          </cell>
          <cell r="K7696" t="str">
            <v>Production</v>
          </cell>
          <cell r="L7696" t="str">
            <v>Freight</v>
          </cell>
          <cell r="N7696" t="str">
            <v>Direct Costs</v>
          </cell>
          <cell r="O7696" t="str">
            <v>DHL Express - USA</v>
          </cell>
        </row>
        <row r="7697">
          <cell r="D7697">
            <v>234.59</v>
          </cell>
          <cell r="H7697">
            <v>45748</v>
          </cell>
          <cell r="I7697" t="str">
            <v>6375 - Freight Expenses</v>
          </cell>
          <cell r="J7697" t="str">
            <v>Ecommerce (US)</v>
          </cell>
          <cell r="K7697" t="str">
            <v>Ecommerce</v>
          </cell>
          <cell r="L7697" t="str">
            <v>Freight</v>
          </cell>
          <cell r="N7697" t="str">
            <v>Direct Costs</v>
          </cell>
          <cell r="O7697" t="str">
            <v>UPS Supply Chain Solutions Inc. (7F24A0)</v>
          </cell>
        </row>
        <row r="7698">
          <cell r="D7698">
            <v>175.18</v>
          </cell>
          <cell r="H7698">
            <v>45748</v>
          </cell>
          <cell r="I7698" t="str">
            <v>6040 - Employer Paid Benefits</v>
          </cell>
          <cell r="J7698">
            <v>0</v>
          </cell>
          <cell r="K7698" t="str">
            <v>Production</v>
          </cell>
          <cell r="L7698" t="str">
            <v>HQ Salaries</v>
          </cell>
          <cell r="N7698" t="str">
            <v>SG&amp;A</v>
          </cell>
          <cell r="O7698" t="str">
            <v>Procyon Benefits LLC</v>
          </cell>
        </row>
        <row r="7699">
          <cell r="D7699">
            <v>34.6</v>
          </cell>
          <cell r="H7699">
            <v>45748</v>
          </cell>
          <cell r="I7699" t="str">
            <v>6040 - Employer Paid Benefits</v>
          </cell>
          <cell r="J7699">
            <v>0</v>
          </cell>
          <cell r="K7699" t="str">
            <v>Merchandising</v>
          </cell>
          <cell r="L7699" t="str">
            <v>HQ Salaries</v>
          </cell>
          <cell r="N7699" t="str">
            <v>SG&amp;A</v>
          </cell>
          <cell r="O7699" t="str">
            <v>Procyon Benefits LLC</v>
          </cell>
        </row>
        <row r="7700">
          <cell r="D7700">
            <v>831.9</v>
          </cell>
          <cell r="H7700">
            <v>45748</v>
          </cell>
          <cell r="I7700" t="str">
            <v>6040 - Employer Paid Benefits</v>
          </cell>
          <cell r="J7700" t="str">
            <v>Ecommerce (US)</v>
          </cell>
          <cell r="K7700" t="str">
            <v>Ecommerce</v>
          </cell>
          <cell r="L7700" t="str">
            <v>HQ Salaries</v>
          </cell>
          <cell r="N7700" t="str">
            <v>SG&amp;A</v>
          </cell>
          <cell r="O7700" t="str">
            <v>Procyon Benefits LLC</v>
          </cell>
        </row>
        <row r="7701">
          <cell r="D7701">
            <v>1261.9000000000001</v>
          </cell>
          <cell r="H7701">
            <v>45748</v>
          </cell>
          <cell r="I7701" t="str">
            <v>6040 - Employer Paid Benefits</v>
          </cell>
          <cell r="J7701">
            <v>0</v>
          </cell>
          <cell r="K7701" t="str">
            <v>Executive</v>
          </cell>
          <cell r="L7701" t="str">
            <v>HQ Salaries</v>
          </cell>
          <cell r="N7701" t="str">
            <v>SG&amp;A</v>
          </cell>
          <cell r="O7701" t="str">
            <v>Procyon Benefits LLC</v>
          </cell>
        </row>
        <row r="7702">
          <cell r="D7702">
            <v>9.75</v>
          </cell>
          <cell r="H7702">
            <v>45748</v>
          </cell>
          <cell r="I7702" t="str">
            <v>6040 - Employer Paid Benefits</v>
          </cell>
          <cell r="J7702">
            <v>0</v>
          </cell>
          <cell r="K7702" t="str">
            <v>Design</v>
          </cell>
          <cell r="L7702" t="str">
            <v>HQ Salaries</v>
          </cell>
          <cell r="N7702" t="str">
            <v>SG&amp;A</v>
          </cell>
          <cell r="O7702" t="str">
            <v>Procyon Benefits LLC</v>
          </cell>
        </row>
        <row r="7703">
          <cell r="D7703">
            <v>191.68</v>
          </cell>
          <cell r="H7703">
            <v>45748</v>
          </cell>
          <cell r="I7703" t="str">
            <v>6375 - Freight Expenses</v>
          </cell>
          <cell r="J7703" t="str">
            <v>Ecommerce (US)</v>
          </cell>
          <cell r="K7703" t="str">
            <v>Ecommerce</v>
          </cell>
          <cell r="L7703" t="str">
            <v>Freight</v>
          </cell>
          <cell r="N7703" t="str">
            <v>Direct Costs</v>
          </cell>
          <cell r="O7703" t="str">
            <v>UPS Supply Chain Solutions Inc. (7F24A0)</v>
          </cell>
        </row>
        <row r="7704">
          <cell r="D7704">
            <v>21.78</v>
          </cell>
          <cell r="H7704">
            <v>45748</v>
          </cell>
          <cell r="I7704" t="str">
            <v>6393 - Software</v>
          </cell>
          <cell r="J7704">
            <v>0</v>
          </cell>
          <cell r="K7704" t="str">
            <v>Executive</v>
          </cell>
          <cell r="L7704" t="str">
            <v>Professional Service</v>
          </cell>
          <cell r="N7704" t="str">
            <v>Direct Costs</v>
          </cell>
          <cell r="O7704" t="str">
            <v>Chat GPT</v>
          </cell>
        </row>
        <row r="7705">
          <cell r="D7705">
            <v>1034.31</v>
          </cell>
          <cell r="H7705">
            <v>45748</v>
          </cell>
          <cell r="I7705" t="str">
            <v>6340 - Miscellaneous Expense</v>
          </cell>
          <cell r="J7705">
            <v>0</v>
          </cell>
          <cell r="K7705" t="str">
            <v>Administration</v>
          </cell>
          <cell r="L7705" t="str">
            <v>Other</v>
          </cell>
          <cell r="N7705" t="str">
            <v>SG&amp;A</v>
          </cell>
          <cell r="O7705" t="str">
            <v>Go Gleem LLC</v>
          </cell>
        </row>
        <row r="7706">
          <cell r="D7706">
            <v>6.53</v>
          </cell>
          <cell r="H7706">
            <v>45748</v>
          </cell>
          <cell r="I7706" t="str">
            <v>6140 - Other</v>
          </cell>
          <cell r="J7706">
            <v>0</v>
          </cell>
          <cell r="K7706" t="str">
            <v>Executive</v>
          </cell>
          <cell r="L7706" t="str">
            <v>T&amp;E</v>
          </cell>
          <cell r="N7706" t="str">
            <v>SG&amp;A</v>
          </cell>
          <cell r="O7706" t="str">
            <v>[No Vendor]</v>
          </cell>
        </row>
        <row r="7707">
          <cell r="D7707">
            <v>192.12</v>
          </cell>
          <cell r="H7707">
            <v>45748</v>
          </cell>
          <cell r="I7707" t="str">
            <v>6120 - Lodging</v>
          </cell>
          <cell r="J7707">
            <v>0</v>
          </cell>
          <cell r="K7707" t="str">
            <v>Executive</v>
          </cell>
          <cell r="L7707" t="str">
            <v>T&amp;E</v>
          </cell>
          <cell r="N7707" t="str">
            <v>SG&amp;A</v>
          </cell>
          <cell r="O7707" t="str">
            <v>[No Vendor]</v>
          </cell>
        </row>
        <row r="7708">
          <cell r="D7708">
            <v>199.65</v>
          </cell>
          <cell r="H7708">
            <v>45748</v>
          </cell>
          <cell r="I7708" t="str">
            <v>6120 - Lodging</v>
          </cell>
          <cell r="J7708">
            <v>0</v>
          </cell>
          <cell r="K7708" t="str">
            <v>Executive</v>
          </cell>
          <cell r="L7708" t="str">
            <v>T&amp;E</v>
          </cell>
          <cell r="N7708" t="str">
            <v>SG&amp;A</v>
          </cell>
          <cell r="O7708" t="str">
            <v>[No Vendor]</v>
          </cell>
        </row>
        <row r="7709">
          <cell r="D7709">
            <v>199.64</v>
          </cell>
          <cell r="H7709">
            <v>45748</v>
          </cell>
          <cell r="I7709" t="str">
            <v>6120 - Lodging</v>
          </cell>
          <cell r="J7709">
            <v>0</v>
          </cell>
          <cell r="K7709" t="str">
            <v>Executive</v>
          </cell>
          <cell r="L7709" t="str">
            <v>T&amp;E</v>
          </cell>
          <cell r="N7709" t="str">
            <v>SG&amp;A</v>
          </cell>
          <cell r="O7709" t="str">
            <v>[No Vendor]</v>
          </cell>
        </row>
        <row r="7710">
          <cell r="D7710">
            <v>199.65</v>
          </cell>
          <cell r="H7710">
            <v>45748</v>
          </cell>
          <cell r="I7710" t="str">
            <v>6120 - Lodging</v>
          </cell>
          <cell r="J7710">
            <v>0</v>
          </cell>
          <cell r="K7710" t="str">
            <v>Executive</v>
          </cell>
          <cell r="L7710" t="str">
            <v>T&amp;E</v>
          </cell>
          <cell r="N7710" t="str">
            <v>SG&amp;A</v>
          </cell>
          <cell r="O7710" t="str">
            <v>[No Vendor]</v>
          </cell>
        </row>
        <row r="7711">
          <cell r="D7711">
            <v>192.12</v>
          </cell>
          <cell r="H7711">
            <v>45748</v>
          </cell>
          <cell r="I7711" t="str">
            <v>6120 - Lodging</v>
          </cell>
          <cell r="J7711">
            <v>0</v>
          </cell>
          <cell r="K7711" t="str">
            <v>Executive</v>
          </cell>
          <cell r="L7711" t="str">
            <v>T&amp;E</v>
          </cell>
          <cell r="N7711" t="str">
            <v>SG&amp;A</v>
          </cell>
          <cell r="O7711" t="str">
            <v>[No Vendor]</v>
          </cell>
        </row>
        <row r="7712">
          <cell r="D7712">
            <v>0.83</v>
          </cell>
          <cell r="H7712">
            <v>45748</v>
          </cell>
          <cell r="I7712" t="str">
            <v>6450 - Bank &amp; Other Fees</v>
          </cell>
          <cell r="J7712">
            <v>0</v>
          </cell>
          <cell r="K7712" t="str">
            <v>Executive</v>
          </cell>
          <cell r="L7712" t="str">
            <v>Professional Service</v>
          </cell>
          <cell r="N7712" t="str">
            <v>SG&amp;A</v>
          </cell>
          <cell r="O7712" t="str">
            <v>[No Vendor]</v>
          </cell>
        </row>
        <row r="7713">
          <cell r="D7713">
            <v>0.08</v>
          </cell>
          <cell r="H7713">
            <v>45748</v>
          </cell>
          <cell r="I7713" t="str">
            <v>6450 - Bank &amp; Other Fees</v>
          </cell>
          <cell r="J7713">
            <v>0</v>
          </cell>
          <cell r="K7713" t="str">
            <v>Executive</v>
          </cell>
          <cell r="L7713" t="str">
            <v>Professional Service</v>
          </cell>
          <cell r="N7713" t="str">
            <v>SG&amp;A</v>
          </cell>
          <cell r="O7713" t="str">
            <v>[No Vendor]</v>
          </cell>
        </row>
        <row r="7714">
          <cell r="D7714">
            <v>7.0000000000000007E-2</v>
          </cell>
          <cell r="H7714">
            <v>45748</v>
          </cell>
          <cell r="I7714" t="str">
            <v>6450 - Bank &amp; Other Fees</v>
          </cell>
          <cell r="J7714">
            <v>0</v>
          </cell>
          <cell r="K7714" t="str">
            <v>Executive</v>
          </cell>
          <cell r="L7714" t="str">
            <v>Professional Service</v>
          </cell>
          <cell r="N7714" t="str">
            <v>SG&amp;A</v>
          </cell>
          <cell r="O7714" t="str">
            <v>[No Vendor]</v>
          </cell>
        </row>
        <row r="7715">
          <cell r="D7715">
            <v>0.22</v>
          </cell>
          <cell r="H7715">
            <v>45748</v>
          </cell>
          <cell r="I7715" t="str">
            <v>6450 - Bank &amp; Other Fees</v>
          </cell>
          <cell r="J7715">
            <v>0</v>
          </cell>
          <cell r="K7715" t="str">
            <v>Executive</v>
          </cell>
          <cell r="L7715" t="str">
            <v>Professional Service</v>
          </cell>
          <cell r="N7715" t="str">
            <v>SG&amp;A</v>
          </cell>
          <cell r="O7715" t="str">
            <v>[No Vendor]</v>
          </cell>
        </row>
        <row r="7716">
          <cell r="D7716">
            <v>14.75</v>
          </cell>
          <cell r="H7716">
            <v>45748</v>
          </cell>
          <cell r="I7716" t="str">
            <v>6450 - Bank &amp; Other Fees</v>
          </cell>
          <cell r="J7716">
            <v>0</v>
          </cell>
          <cell r="K7716" t="str">
            <v>Executive</v>
          </cell>
          <cell r="L7716" t="str">
            <v>Professional Service</v>
          </cell>
          <cell r="N7716" t="str">
            <v>SG&amp;A</v>
          </cell>
          <cell r="O7716" t="str">
            <v>[No Vendor]</v>
          </cell>
        </row>
        <row r="7717">
          <cell r="D7717">
            <v>0.99</v>
          </cell>
          <cell r="H7717">
            <v>45748</v>
          </cell>
          <cell r="I7717" t="str">
            <v>6450 - Bank &amp; Other Fees</v>
          </cell>
          <cell r="J7717">
            <v>0</v>
          </cell>
          <cell r="K7717" t="str">
            <v>Executive</v>
          </cell>
          <cell r="L7717" t="str">
            <v>Professional Service</v>
          </cell>
          <cell r="N7717" t="str">
            <v>SG&amp;A</v>
          </cell>
          <cell r="O7717" t="str">
            <v>[No Vendor]</v>
          </cell>
        </row>
        <row r="7718">
          <cell r="D7718">
            <v>0.03</v>
          </cell>
          <cell r="H7718">
            <v>45748</v>
          </cell>
          <cell r="I7718" t="str">
            <v>6450 - Bank &amp; Other Fees</v>
          </cell>
          <cell r="J7718">
            <v>0</v>
          </cell>
          <cell r="K7718" t="str">
            <v>Executive</v>
          </cell>
          <cell r="L7718" t="str">
            <v>Professional Service</v>
          </cell>
          <cell r="N7718" t="str">
            <v>SG&amp;A</v>
          </cell>
          <cell r="O7718" t="str">
            <v>[No Vendor]</v>
          </cell>
        </row>
        <row r="7719">
          <cell r="D7719">
            <v>5.46</v>
          </cell>
          <cell r="H7719">
            <v>45748</v>
          </cell>
          <cell r="I7719" t="str">
            <v>6125 - Transportation and Fuel</v>
          </cell>
          <cell r="J7719">
            <v>0</v>
          </cell>
          <cell r="K7719" t="str">
            <v>Executive</v>
          </cell>
          <cell r="L7719" t="str">
            <v>T&amp;E</v>
          </cell>
          <cell r="N7719" t="str">
            <v>SG&amp;A</v>
          </cell>
          <cell r="O7719" t="str">
            <v>[No Vendor]</v>
          </cell>
        </row>
        <row r="7720">
          <cell r="D7720">
            <v>4.4000000000000004</v>
          </cell>
          <cell r="H7720">
            <v>45748</v>
          </cell>
          <cell r="I7720" t="str">
            <v>6125 - Transportation and Fuel</v>
          </cell>
          <cell r="J7720">
            <v>0</v>
          </cell>
          <cell r="K7720" t="str">
            <v>Executive</v>
          </cell>
          <cell r="L7720" t="str">
            <v>T&amp;E</v>
          </cell>
          <cell r="N7720" t="str">
            <v>SG&amp;A</v>
          </cell>
          <cell r="O7720" t="str">
            <v>[No Vendor]</v>
          </cell>
        </row>
        <row r="7721">
          <cell r="D7721">
            <v>65.86</v>
          </cell>
          <cell r="H7721">
            <v>45748</v>
          </cell>
          <cell r="I7721" t="str">
            <v>6125 - Transportation and Fuel</v>
          </cell>
          <cell r="J7721">
            <v>0</v>
          </cell>
          <cell r="K7721" t="str">
            <v>Executive</v>
          </cell>
          <cell r="L7721" t="str">
            <v>T&amp;E</v>
          </cell>
          <cell r="N7721" t="str">
            <v>SG&amp;A</v>
          </cell>
          <cell r="O7721" t="str">
            <v>[No Vendor]</v>
          </cell>
        </row>
        <row r="7722">
          <cell r="D7722">
            <v>225.88</v>
          </cell>
          <cell r="H7722">
            <v>45748</v>
          </cell>
          <cell r="I7722" t="str">
            <v>6125 - Transportation and Fuel</v>
          </cell>
          <cell r="J7722">
            <v>0</v>
          </cell>
          <cell r="K7722" t="str">
            <v>Executive</v>
          </cell>
          <cell r="L7722" t="str">
            <v>T&amp;E</v>
          </cell>
          <cell r="N7722" t="str">
            <v>SG&amp;A</v>
          </cell>
          <cell r="O7722" t="str">
            <v>[No Vendor]</v>
          </cell>
        </row>
        <row r="7723">
          <cell r="D7723">
            <v>2.3199999999999998</v>
          </cell>
          <cell r="H7723">
            <v>45748</v>
          </cell>
          <cell r="I7723" t="str">
            <v>6125 - Transportation and Fuel</v>
          </cell>
          <cell r="J7723">
            <v>0</v>
          </cell>
          <cell r="K7723" t="str">
            <v>Executive</v>
          </cell>
          <cell r="L7723" t="str">
            <v>T&amp;E</v>
          </cell>
          <cell r="N7723" t="str">
            <v>SG&amp;A</v>
          </cell>
          <cell r="O7723" t="str">
            <v>[No Vendor]</v>
          </cell>
        </row>
        <row r="7724">
          <cell r="D7724">
            <v>55.3</v>
          </cell>
          <cell r="H7724">
            <v>45748</v>
          </cell>
          <cell r="I7724" t="str">
            <v>6105 - Meals</v>
          </cell>
          <cell r="J7724">
            <v>0</v>
          </cell>
          <cell r="K7724" t="str">
            <v>Executive</v>
          </cell>
          <cell r="L7724" t="str">
            <v>T&amp;E</v>
          </cell>
          <cell r="N7724" t="str">
            <v>SG&amp;A</v>
          </cell>
          <cell r="O7724" t="str">
            <v>[No Vendor]</v>
          </cell>
        </row>
        <row r="7725">
          <cell r="D7725">
            <v>14.39</v>
          </cell>
          <cell r="H7725">
            <v>45748</v>
          </cell>
          <cell r="I7725" t="str">
            <v>6105 - Meals</v>
          </cell>
          <cell r="J7725">
            <v>0</v>
          </cell>
          <cell r="K7725" t="str">
            <v>Executive</v>
          </cell>
          <cell r="L7725" t="str">
            <v>T&amp;E</v>
          </cell>
          <cell r="N7725" t="str">
            <v>SG&amp;A</v>
          </cell>
          <cell r="O7725" t="str">
            <v>[No Vendor]</v>
          </cell>
        </row>
        <row r="7726">
          <cell r="D7726">
            <v>62.48</v>
          </cell>
          <cell r="H7726">
            <v>45748</v>
          </cell>
          <cell r="I7726" t="str">
            <v>6105 - Meals</v>
          </cell>
          <cell r="J7726">
            <v>0</v>
          </cell>
          <cell r="K7726" t="str">
            <v>Executive</v>
          </cell>
          <cell r="L7726" t="str">
            <v>T&amp;E</v>
          </cell>
          <cell r="N7726" t="str">
            <v>SG&amp;A</v>
          </cell>
          <cell r="O7726" t="str">
            <v>[No Vendor]</v>
          </cell>
        </row>
        <row r="7727">
          <cell r="D7727">
            <v>63.47</v>
          </cell>
          <cell r="H7727">
            <v>45748</v>
          </cell>
          <cell r="I7727" t="str">
            <v>6105 - Meals</v>
          </cell>
          <cell r="J7727">
            <v>0</v>
          </cell>
          <cell r="K7727" t="str">
            <v>Executive</v>
          </cell>
          <cell r="L7727" t="str">
            <v>T&amp;E</v>
          </cell>
          <cell r="N7727" t="str">
            <v>SG&amp;A</v>
          </cell>
          <cell r="O7727" t="str">
            <v>[No Vendor]</v>
          </cell>
        </row>
        <row r="7728">
          <cell r="D7728">
            <v>56.71</v>
          </cell>
          <cell r="H7728">
            <v>45748</v>
          </cell>
          <cell r="I7728" t="str">
            <v>6105 - Meals</v>
          </cell>
          <cell r="J7728">
            <v>0</v>
          </cell>
          <cell r="K7728" t="str">
            <v>Executive</v>
          </cell>
          <cell r="L7728" t="str">
            <v>T&amp;E</v>
          </cell>
          <cell r="N7728" t="str">
            <v>SG&amp;A</v>
          </cell>
          <cell r="O7728" t="str">
            <v>[No Vendor]</v>
          </cell>
        </row>
        <row r="7729">
          <cell r="D7729">
            <v>67.03</v>
          </cell>
          <cell r="H7729">
            <v>45748</v>
          </cell>
          <cell r="I7729" t="str">
            <v>6105 - Meals</v>
          </cell>
          <cell r="J7729">
            <v>0</v>
          </cell>
          <cell r="K7729" t="str">
            <v>Executive</v>
          </cell>
          <cell r="L7729" t="str">
            <v>T&amp;E</v>
          </cell>
          <cell r="N7729" t="str">
            <v>SG&amp;A</v>
          </cell>
          <cell r="O7729" t="str">
            <v>[No Vendor]</v>
          </cell>
        </row>
        <row r="7730">
          <cell r="D7730">
            <v>331.72</v>
          </cell>
          <cell r="H7730">
            <v>45748</v>
          </cell>
          <cell r="I7730" t="str">
            <v>6375 - Freight Expenses</v>
          </cell>
          <cell r="J7730" t="str">
            <v>Ecommerce (US)</v>
          </cell>
          <cell r="K7730" t="str">
            <v>Ecommerce</v>
          </cell>
          <cell r="L7730" t="str">
            <v>Freight</v>
          </cell>
          <cell r="N7730" t="str">
            <v>Direct Costs</v>
          </cell>
          <cell r="O7730" t="str">
            <v>UPS Supply Chain Solutions Inc. (7F24A0)</v>
          </cell>
        </row>
        <row r="7731">
          <cell r="D7731">
            <v>6819.92</v>
          </cell>
          <cell r="H7731">
            <v>45748</v>
          </cell>
          <cell r="I7731" t="str">
            <v>6370 - Samples</v>
          </cell>
          <cell r="J7731" t="str">
            <v>Wholesale</v>
          </cell>
          <cell r="K7731" t="str">
            <v>Production</v>
          </cell>
          <cell r="L7731" t="str">
            <v>Sample</v>
          </cell>
          <cell r="N7731" t="str">
            <v>SG&amp;A</v>
          </cell>
          <cell r="O7731" t="str">
            <v>Porta Asiatica Enterprises Inc</v>
          </cell>
        </row>
        <row r="7732">
          <cell r="D7732">
            <v>4151.25</v>
          </cell>
          <cell r="H7732">
            <v>45748</v>
          </cell>
          <cell r="I7732" t="str">
            <v>6363 - Development</v>
          </cell>
          <cell r="J7732" t="str">
            <v>Wholesale</v>
          </cell>
          <cell r="K7732" t="str">
            <v>Production</v>
          </cell>
          <cell r="L7732" t="str">
            <v>Sample</v>
          </cell>
          <cell r="N7732" t="str">
            <v>SG&amp;A</v>
          </cell>
          <cell r="O7732" t="str">
            <v>Porta Asiatica Enterprises Inc</v>
          </cell>
        </row>
        <row r="7733">
          <cell r="D7733">
            <v>1285.4000000000001</v>
          </cell>
          <cell r="H7733">
            <v>45748</v>
          </cell>
          <cell r="I7733" t="str">
            <v>6385 - Insurance</v>
          </cell>
          <cell r="J7733">
            <v>0</v>
          </cell>
          <cell r="K7733" t="str">
            <v>Administration</v>
          </cell>
          <cell r="L7733" t="str">
            <v>Professional Service</v>
          </cell>
          <cell r="N7733" t="str">
            <v>SG&amp;A</v>
          </cell>
          <cell r="O7733" t="str">
            <v>Travelers CL Remittance Center</v>
          </cell>
        </row>
        <row r="7734">
          <cell r="D7734">
            <v>358.95</v>
          </cell>
          <cell r="H7734">
            <v>45748</v>
          </cell>
          <cell r="I7734" t="str">
            <v>6300 - Payroll Service Fees</v>
          </cell>
          <cell r="J7734">
            <v>0</v>
          </cell>
          <cell r="K7734" t="str">
            <v>Administration</v>
          </cell>
          <cell r="L7734" t="str">
            <v>Professional Service</v>
          </cell>
          <cell r="N7734" t="str">
            <v>SG&amp;A</v>
          </cell>
          <cell r="O7734" t="str">
            <v>ADP Payroll Services</v>
          </cell>
        </row>
        <row r="7735">
          <cell r="D7735">
            <v>64.150000000000006</v>
          </cell>
          <cell r="H7735">
            <v>45748</v>
          </cell>
          <cell r="I7735" t="str">
            <v>8505 - Realized Gain/Loss</v>
          </cell>
          <cell r="J7735">
            <v>0</v>
          </cell>
          <cell r="K7735" t="str">
            <v>No Department</v>
          </cell>
          <cell r="L7735" t="str">
            <v>Realized Gain / Loss</v>
          </cell>
          <cell r="N7735" t="str">
            <v>BTL</v>
          </cell>
          <cell r="O7735" t="str">
            <v>[No Vendor]</v>
          </cell>
        </row>
        <row r="7736">
          <cell r="D7736">
            <v>625.20000000000005</v>
          </cell>
          <cell r="H7736">
            <v>45748</v>
          </cell>
          <cell r="I7736" t="str">
            <v>6375 - Freight Expenses</v>
          </cell>
          <cell r="J7736" t="str">
            <v>Wholesale</v>
          </cell>
          <cell r="K7736" t="str">
            <v>Wholesale</v>
          </cell>
          <cell r="L7736" t="str">
            <v>Freight</v>
          </cell>
          <cell r="N7736" t="str">
            <v>Direct Costs</v>
          </cell>
          <cell r="O7736" t="str">
            <v>UPS Supply Chain Solutions Inc. (7F24A0)</v>
          </cell>
        </row>
        <row r="7737">
          <cell r="D7737">
            <v>24786.560000000001</v>
          </cell>
          <cell r="H7737">
            <v>45748</v>
          </cell>
          <cell r="I7737" t="str">
            <v>6375 - Freight Expenses</v>
          </cell>
          <cell r="J7737" t="str">
            <v>Ecommerce (US)</v>
          </cell>
          <cell r="K7737" t="str">
            <v>Ecommerce</v>
          </cell>
          <cell r="L7737" t="str">
            <v>Freight</v>
          </cell>
          <cell r="N7737" t="str">
            <v>Direct Costs</v>
          </cell>
          <cell r="O7737" t="str">
            <v>UPS Supply Chain Solutions Inc. (7F24A0)</v>
          </cell>
        </row>
        <row r="7738">
          <cell r="D7738">
            <v>31.03</v>
          </cell>
          <cell r="H7738">
            <v>45748</v>
          </cell>
          <cell r="I7738" t="str">
            <v>6450 - Bank &amp; Other Fees</v>
          </cell>
          <cell r="J7738">
            <v>0</v>
          </cell>
          <cell r="K7738" t="str">
            <v>Administration</v>
          </cell>
          <cell r="L7738" t="str">
            <v>Professional Service</v>
          </cell>
          <cell r="N7738" t="str">
            <v>SG&amp;A</v>
          </cell>
          <cell r="O7738" t="str">
            <v>[No Vendor]</v>
          </cell>
        </row>
        <row r="7739">
          <cell r="D7739">
            <v>100.17</v>
          </cell>
          <cell r="H7739">
            <v>45748</v>
          </cell>
          <cell r="I7739" t="str">
            <v>6105 - Meals</v>
          </cell>
          <cell r="J7739">
            <v>0</v>
          </cell>
          <cell r="K7739" t="str">
            <v>Production</v>
          </cell>
          <cell r="L7739" t="str">
            <v>T&amp;E</v>
          </cell>
          <cell r="N7739" t="str">
            <v>SG&amp;A</v>
          </cell>
          <cell r="O7739" t="str">
            <v>[No Vendor]</v>
          </cell>
        </row>
        <row r="7740">
          <cell r="D7740">
            <v>128.52000000000001</v>
          </cell>
          <cell r="H7740">
            <v>45748</v>
          </cell>
          <cell r="I7740" t="str">
            <v>6120 - Lodging</v>
          </cell>
          <cell r="J7740">
            <v>0</v>
          </cell>
          <cell r="K7740" t="str">
            <v>Production</v>
          </cell>
          <cell r="L7740" t="str">
            <v>T&amp;E</v>
          </cell>
          <cell r="N7740" t="str">
            <v>SG&amp;A</v>
          </cell>
          <cell r="O7740" t="str">
            <v>[No Vendor]</v>
          </cell>
        </row>
        <row r="7741">
          <cell r="D7741">
            <v>193.2</v>
          </cell>
          <cell r="H7741">
            <v>45748</v>
          </cell>
          <cell r="I7741" t="str">
            <v>6120 - Lodging</v>
          </cell>
          <cell r="J7741">
            <v>0</v>
          </cell>
          <cell r="K7741" t="str">
            <v>Production</v>
          </cell>
          <cell r="L7741" t="str">
            <v>T&amp;E</v>
          </cell>
          <cell r="N7741" t="str">
            <v>SG&amp;A</v>
          </cell>
          <cell r="O7741" t="str">
            <v>[No Vendor]</v>
          </cell>
        </row>
        <row r="7742">
          <cell r="D7742">
            <v>836.75</v>
          </cell>
          <cell r="H7742">
            <v>45748</v>
          </cell>
          <cell r="I7742" t="str">
            <v>6120 - Lodging</v>
          </cell>
          <cell r="J7742">
            <v>0</v>
          </cell>
          <cell r="K7742" t="str">
            <v>Production</v>
          </cell>
          <cell r="L7742" t="str">
            <v>T&amp;E</v>
          </cell>
          <cell r="N7742" t="str">
            <v>SG&amp;A</v>
          </cell>
          <cell r="O7742" t="str">
            <v>[No Vendor]</v>
          </cell>
        </row>
        <row r="7743">
          <cell r="D7743">
            <v>180.74</v>
          </cell>
          <cell r="H7743">
            <v>45748</v>
          </cell>
          <cell r="I7743" t="str">
            <v>6120 - Lodging</v>
          </cell>
          <cell r="J7743">
            <v>0</v>
          </cell>
          <cell r="K7743" t="str">
            <v>Production</v>
          </cell>
          <cell r="L7743" t="str">
            <v>T&amp;E</v>
          </cell>
          <cell r="N7743" t="str">
            <v>SG&amp;A</v>
          </cell>
          <cell r="O7743" t="str">
            <v>[No Vendor]</v>
          </cell>
        </row>
        <row r="7744">
          <cell r="D7744">
            <v>740.48</v>
          </cell>
          <cell r="H7744">
            <v>45748</v>
          </cell>
          <cell r="I7744" t="str">
            <v>6410 - Lease Expense</v>
          </cell>
          <cell r="J7744">
            <v>0</v>
          </cell>
          <cell r="K7744" t="str">
            <v>Administration</v>
          </cell>
          <cell r="L7744" t="str">
            <v>Rent</v>
          </cell>
          <cell r="N7744" t="str">
            <v>SG&amp;A</v>
          </cell>
          <cell r="O7744" t="str">
            <v>Canon Financial Services, Inc.</v>
          </cell>
        </row>
        <row r="7745">
          <cell r="D7745">
            <v>58.38</v>
          </cell>
          <cell r="H7745">
            <v>45748</v>
          </cell>
          <cell r="I7745" t="str">
            <v>6125 - Transportation and Fuel</v>
          </cell>
          <cell r="J7745">
            <v>0</v>
          </cell>
          <cell r="K7745" t="str">
            <v>Production</v>
          </cell>
          <cell r="L7745" t="str">
            <v>T&amp;E</v>
          </cell>
          <cell r="N7745" t="str">
            <v>SG&amp;A</v>
          </cell>
          <cell r="O7745" t="str">
            <v>[No Vendor]</v>
          </cell>
        </row>
        <row r="7746">
          <cell r="D7746">
            <v>77.11</v>
          </cell>
          <cell r="H7746">
            <v>45748</v>
          </cell>
          <cell r="I7746" t="str">
            <v>6125 - Transportation and Fuel</v>
          </cell>
          <cell r="J7746">
            <v>0</v>
          </cell>
          <cell r="K7746" t="str">
            <v>Production</v>
          </cell>
          <cell r="L7746" t="str">
            <v>T&amp;E</v>
          </cell>
          <cell r="N7746" t="str">
            <v>SG&amp;A</v>
          </cell>
          <cell r="O7746" t="str">
            <v>[No Vendor]</v>
          </cell>
        </row>
        <row r="7747">
          <cell r="D7747">
            <v>87.31</v>
          </cell>
          <cell r="H7747">
            <v>45748</v>
          </cell>
          <cell r="I7747" t="str">
            <v>6125 - Transportation and Fuel</v>
          </cell>
          <cell r="J7747">
            <v>0</v>
          </cell>
          <cell r="K7747" t="str">
            <v>Production</v>
          </cell>
          <cell r="L7747" t="str">
            <v>T&amp;E</v>
          </cell>
          <cell r="N7747" t="str">
            <v>SG&amp;A</v>
          </cell>
          <cell r="O7747" t="str">
            <v>[No Vendor]</v>
          </cell>
        </row>
        <row r="7748">
          <cell r="D7748">
            <v>7.65</v>
          </cell>
          <cell r="H7748">
            <v>45748</v>
          </cell>
          <cell r="I7748" t="str">
            <v>6105 - Meals</v>
          </cell>
          <cell r="J7748">
            <v>0</v>
          </cell>
          <cell r="K7748" t="str">
            <v>Production</v>
          </cell>
          <cell r="L7748" t="str">
            <v>T&amp;E</v>
          </cell>
          <cell r="N7748" t="str">
            <v>SG&amp;A</v>
          </cell>
          <cell r="O7748" t="str">
            <v>[No Vendor]</v>
          </cell>
        </row>
        <row r="7749">
          <cell r="D7749">
            <v>4500</v>
          </cell>
          <cell r="H7749">
            <v>45748</v>
          </cell>
          <cell r="I7749" t="str">
            <v>6225 - Professional Services</v>
          </cell>
          <cell r="J7749" t="str">
            <v>Ecommerce (US)</v>
          </cell>
          <cell r="K7749" t="str">
            <v>Ecommerce</v>
          </cell>
          <cell r="L7749" t="str">
            <v>Professional Service</v>
          </cell>
          <cell r="N7749" t="str">
            <v>Direct Costs</v>
          </cell>
          <cell r="O7749" t="str">
            <v>Freeflow LLC</v>
          </cell>
        </row>
        <row r="7750">
          <cell r="D7750">
            <v>2700.4</v>
          </cell>
          <cell r="H7750">
            <v>45748</v>
          </cell>
          <cell r="I7750" t="str">
            <v>6379 - Warehouse Storage</v>
          </cell>
          <cell r="J7750" t="str">
            <v>Wholesale</v>
          </cell>
          <cell r="K7750" t="str">
            <v>Wholesale</v>
          </cell>
          <cell r="L7750" t="str">
            <v>Order Processing</v>
          </cell>
          <cell r="N7750" t="str">
            <v>Direct Costs</v>
          </cell>
          <cell r="O7750" t="str">
            <v>Bergen Logistics Corporation</v>
          </cell>
        </row>
        <row r="7751">
          <cell r="D7751">
            <v>13825.23</v>
          </cell>
          <cell r="H7751">
            <v>45748</v>
          </cell>
          <cell r="I7751" t="str">
            <v>6379 - Warehouse Storage</v>
          </cell>
          <cell r="J7751" t="str">
            <v>Ecommerce (US)</v>
          </cell>
          <cell r="K7751" t="str">
            <v>Ecommerce</v>
          </cell>
          <cell r="L7751" t="str">
            <v>Order Processing</v>
          </cell>
          <cell r="N7751" t="str">
            <v>Direct Costs</v>
          </cell>
          <cell r="O7751" t="str">
            <v>Bergen Logistics Corporation</v>
          </cell>
        </row>
        <row r="7752">
          <cell r="D7752">
            <v>638.03</v>
          </cell>
          <cell r="H7752">
            <v>45748</v>
          </cell>
          <cell r="I7752" t="str">
            <v>6376 - Freight Supplies Other</v>
          </cell>
          <cell r="J7752" t="str">
            <v>Wholesale</v>
          </cell>
          <cell r="K7752" t="str">
            <v>Wholesale</v>
          </cell>
          <cell r="L7752" t="str">
            <v>Order Processing</v>
          </cell>
          <cell r="N7752" t="str">
            <v>Direct Costs</v>
          </cell>
          <cell r="O7752" t="str">
            <v>Bergen Logistics Corporation</v>
          </cell>
        </row>
        <row r="7753">
          <cell r="D7753">
            <v>385.32</v>
          </cell>
          <cell r="H7753">
            <v>45748</v>
          </cell>
          <cell r="I7753" t="str">
            <v>6376 - Freight Supplies Other</v>
          </cell>
          <cell r="J7753" t="str">
            <v>Ecommerce (EU)</v>
          </cell>
          <cell r="K7753" t="str">
            <v>Ecommerce</v>
          </cell>
          <cell r="L7753" t="str">
            <v>Order Processing</v>
          </cell>
          <cell r="N7753" t="str">
            <v>Direct Costs</v>
          </cell>
          <cell r="O7753" t="str">
            <v>Bergen Logistics Corporation</v>
          </cell>
        </row>
        <row r="7754">
          <cell r="D7754">
            <v>5767.54</v>
          </cell>
          <cell r="H7754">
            <v>45748</v>
          </cell>
          <cell r="I7754" t="str">
            <v>6376 - Freight Supplies Other</v>
          </cell>
          <cell r="J7754" t="str">
            <v>Ecommerce (US)</v>
          </cell>
          <cell r="K7754" t="str">
            <v>Ecommerce</v>
          </cell>
          <cell r="L7754" t="str">
            <v>Order Processing</v>
          </cell>
          <cell r="N7754" t="str">
            <v>Direct Costs</v>
          </cell>
          <cell r="O7754" t="str">
            <v>Bergen Logistics Corporation</v>
          </cell>
        </row>
        <row r="7755">
          <cell r="D7755">
            <v>3090.7</v>
          </cell>
          <cell r="H7755">
            <v>45748</v>
          </cell>
          <cell r="I7755" t="str">
            <v>6377 - Order Processing Expenses (New)</v>
          </cell>
          <cell r="J7755" t="str">
            <v>Wholesale</v>
          </cell>
          <cell r="K7755" t="str">
            <v>Wholesale</v>
          </cell>
          <cell r="L7755" t="str">
            <v>Order Processing</v>
          </cell>
          <cell r="N7755" t="str">
            <v>Direct Costs</v>
          </cell>
          <cell r="O7755" t="str">
            <v>Bergen Logistics Corporation</v>
          </cell>
        </row>
        <row r="7756">
          <cell r="D7756">
            <v>1597.75</v>
          </cell>
          <cell r="H7756">
            <v>45748</v>
          </cell>
          <cell r="I7756" t="str">
            <v>6377 - Order Processing Expenses (New)</v>
          </cell>
          <cell r="J7756" t="str">
            <v>Ecommerce (EU)</v>
          </cell>
          <cell r="K7756" t="str">
            <v>Ecommerce</v>
          </cell>
          <cell r="L7756" t="str">
            <v>Order Processing</v>
          </cell>
          <cell r="N7756" t="str">
            <v>Direct Costs</v>
          </cell>
          <cell r="O7756" t="str">
            <v>Bergen Logistics Corporation</v>
          </cell>
        </row>
        <row r="7757">
          <cell r="D7757">
            <v>20077.27</v>
          </cell>
          <cell r="H7757">
            <v>45748</v>
          </cell>
          <cell r="I7757" t="str">
            <v>6377 - Order Processing Expenses (New)</v>
          </cell>
          <cell r="J7757" t="str">
            <v>Ecommerce (US)</v>
          </cell>
          <cell r="K7757" t="str">
            <v>Ecommerce</v>
          </cell>
          <cell r="L7757" t="str">
            <v>Order Processing</v>
          </cell>
          <cell r="N7757" t="str">
            <v>Direct Costs</v>
          </cell>
          <cell r="O7757" t="str">
            <v>Bergen Logistics Corporation</v>
          </cell>
        </row>
        <row r="7758">
          <cell r="D7758">
            <v>920.37</v>
          </cell>
          <cell r="H7758">
            <v>45748</v>
          </cell>
          <cell r="I7758" t="str">
            <v>6450 - Bank &amp; Other Fees</v>
          </cell>
          <cell r="J7758">
            <v>0</v>
          </cell>
          <cell r="K7758" t="str">
            <v>Administration</v>
          </cell>
          <cell r="L7758" t="str">
            <v>Professional Service</v>
          </cell>
          <cell r="N7758" t="str">
            <v>SG&amp;A</v>
          </cell>
          <cell r="O7758" t="str">
            <v>[No Vendor]</v>
          </cell>
        </row>
        <row r="7759">
          <cell r="D7759">
            <v>4132</v>
          </cell>
          <cell r="H7759">
            <v>45748</v>
          </cell>
          <cell r="I7759" t="str">
            <v>8700 - Other Expense</v>
          </cell>
          <cell r="J7759">
            <v>0</v>
          </cell>
          <cell r="K7759" t="str">
            <v>Administration</v>
          </cell>
          <cell r="L7759" t="str">
            <v>Other Expense</v>
          </cell>
          <cell r="N7759" t="str">
            <v>BTL</v>
          </cell>
          <cell r="O7759" t="str">
            <v>[No Vendor]</v>
          </cell>
        </row>
        <row r="7760">
          <cell r="D7760">
            <v>266.38</v>
          </cell>
          <cell r="H7760">
            <v>45748</v>
          </cell>
          <cell r="I7760" t="str">
            <v>6040 - Employer Paid Benefits</v>
          </cell>
          <cell r="J7760">
            <v>0</v>
          </cell>
          <cell r="K7760" t="str">
            <v>Executive</v>
          </cell>
          <cell r="L7760" t="str">
            <v>HQ Salaries</v>
          </cell>
          <cell r="N7760" t="str">
            <v>SG&amp;A</v>
          </cell>
          <cell r="O7760" t="str">
            <v>Procyon Benefits LLC</v>
          </cell>
        </row>
        <row r="7761">
          <cell r="D7761">
            <v>30</v>
          </cell>
          <cell r="H7761">
            <v>45748</v>
          </cell>
          <cell r="I7761" t="str">
            <v>6340 - Miscellaneous Expense</v>
          </cell>
          <cell r="J7761">
            <v>0</v>
          </cell>
          <cell r="K7761" t="str">
            <v>Administration</v>
          </cell>
          <cell r="L7761" t="str">
            <v>Other</v>
          </cell>
          <cell r="N7761" t="str">
            <v>SG&amp;A</v>
          </cell>
          <cell r="O7761" t="str">
            <v>[No Vendor]</v>
          </cell>
        </row>
        <row r="7762">
          <cell r="D7762">
            <v>708.75</v>
          </cell>
          <cell r="H7762">
            <v>45748</v>
          </cell>
          <cell r="I7762" t="str">
            <v>6300 - Payroll Service Fees</v>
          </cell>
          <cell r="J7762">
            <v>0</v>
          </cell>
          <cell r="K7762" t="str">
            <v>Administration</v>
          </cell>
          <cell r="L7762" t="str">
            <v>Professional Service</v>
          </cell>
          <cell r="N7762" t="str">
            <v>SG&amp;A</v>
          </cell>
          <cell r="O7762" t="str">
            <v>OperationsInc, LLC</v>
          </cell>
        </row>
        <row r="7763">
          <cell r="D7763">
            <v>1534.36</v>
          </cell>
          <cell r="H7763">
            <v>45748</v>
          </cell>
          <cell r="I7763" t="str">
            <v>6375 - Freight Expenses</v>
          </cell>
          <cell r="J7763">
            <v>0</v>
          </cell>
          <cell r="K7763" t="str">
            <v>Production</v>
          </cell>
          <cell r="L7763" t="str">
            <v>Freight</v>
          </cell>
          <cell r="N7763" t="str">
            <v>Direct Costs</v>
          </cell>
          <cell r="O7763" t="str">
            <v>DHL Express - USA</v>
          </cell>
        </row>
        <row r="7764">
          <cell r="D7764">
            <v>380.13</v>
          </cell>
          <cell r="H7764">
            <v>45748</v>
          </cell>
          <cell r="I7764" t="str">
            <v>6375 - Freight Expenses</v>
          </cell>
          <cell r="J7764" t="str">
            <v>Ecommerce (US)</v>
          </cell>
          <cell r="K7764" t="str">
            <v>Ecommerce</v>
          </cell>
          <cell r="L7764" t="str">
            <v>Freight</v>
          </cell>
          <cell r="N7764" t="str">
            <v>Direct Costs</v>
          </cell>
          <cell r="O7764" t="str">
            <v>UPS Supply Chain Solutions Inc. (7F24A0)</v>
          </cell>
        </row>
        <row r="7765">
          <cell r="D7765">
            <v>129.41</v>
          </cell>
          <cell r="H7765">
            <v>45748</v>
          </cell>
          <cell r="I7765" t="str">
            <v>6040 - Employer Paid Benefits</v>
          </cell>
          <cell r="J7765">
            <v>0</v>
          </cell>
          <cell r="K7765" t="str">
            <v>Design</v>
          </cell>
          <cell r="L7765" t="str">
            <v>HQ Salaries</v>
          </cell>
          <cell r="N7765" t="str">
            <v>SG&amp;A</v>
          </cell>
          <cell r="O7765" t="str">
            <v>Procyon Benefits LLC</v>
          </cell>
        </row>
        <row r="7766">
          <cell r="D7766">
            <v>101.52</v>
          </cell>
          <cell r="H7766">
            <v>45748</v>
          </cell>
          <cell r="I7766" t="str">
            <v>6040 - Employer Paid Benefits</v>
          </cell>
          <cell r="J7766">
            <v>0</v>
          </cell>
          <cell r="K7766" t="str">
            <v>Administration</v>
          </cell>
          <cell r="L7766" t="str">
            <v>HQ Salaries</v>
          </cell>
          <cell r="N7766" t="str">
            <v>SG&amp;A</v>
          </cell>
          <cell r="O7766" t="str">
            <v>Procyon Benefits LLC</v>
          </cell>
        </row>
        <row r="7767">
          <cell r="D7767">
            <v>2197.75</v>
          </cell>
          <cell r="H7767">
            <v>45748</v>
          </cell>
          <cell r="I7767" t="str">
            <v>6040 - Employer Paid Benefits</v>
          </cell>
          <cell r="J7767">
            <v>0</v>
          </cell>
          <cell r="K7767" t="str">
            <v>Production</v>
          </cell>
          <cell r="L7767" t="str">
            <v>HQ Salaries</v>
          </cell>
          <cell r="N7767" t="str">
            <v>SG&amp;A</v>
          </cell>
          <cell r="O7767" t="str">
            <v>Procyon Benefits LLC</v>
          </cell>
        </row>
        <row r="7768">
          <cell r="D7768">
            <v>183.06</v>
          </cell>
          <cell r="H7768">
            <v>45748</v>
          </cell>
          <cell r="I7768" t="str">
            <v>6040 - Employer Paid Benefits</v>
          </cell>
          <cell r="J7768">
            <v>0</v>
          </cell>
          <cell r="K7768" t="str">
            <v>Merchandising</v>
          </cell>
          <cell r="L7768" t="str">
            <v>HQ Salaries</v>
          </cell>
          <cell r="N7768" t="str">
            <v>SG&amp;A</v>
          </cell>
          <cell r="O7768" t="str">
            <v>Procyon Benefits LLC</v>
          </cell>
        </row>
        <row r="7769">
          <cell r="D7769">
            <v>25.5</v>
          </cell>
          <cell r="H7769">
            <v>45748</v>
          </cell>
          <cell r="I7769" t="str">
            <v>6040 - Employer Paid Benefits</v>
          </cell>
          <cell r="J7769" t="str">
            <v>Ecommerce (US)</v>
          </cell>
          <cell r="K7769" t="str">
            <v>Ecommerce</v>
          </cell>
          <cell r="L7769" t="str">
            <v>HQ Salaries</v>
          </cell>
          <cell r="N7769" t="str">
            <v>SG&amp;A</v>
          </cell>
          <cell r="O7769" t="str">
            <v>Procyon Benefits LLC</v>
          </cell>
        </row>
        <row r="7770">
          <cell r="D7770">
            <v>4500</v>
          </cell>
          <cell r="H7770">
            <v>45748</v>
          </cell>
          <cell r="I7770" t="str">
            <v>8700 - Other Expense</v>
          </cell>
          <cell r="J7770">
            <v>0</v>
          </cell>
          <cell r="K7770" t="str">
            <v>Administration</v>
          </cell>
          <cell r="L7770" t="str">
            <v>Other Expense</v>
          </cell>
          <cell r="N7770" t="str">
            <v>BTL</v>
          </cell>
          <cell r="O7770" t="str">
            <v>[No Vendor]</v>
          </cell>
        </row>
        <row r="7771">
          <cell r="D7771">
            <v>906.02</v>
          </cell>
          <cell r="H7771">
            <v>45748</v>
          </cell>
          <cell r="I7771" t="str">
            <v>6375 - Freight Expenses</v>
          </cell>
          <cell r="J7771" t="str">
            <v>Ecommerce (US)</v>
          </cell>
          <cell r="K7771" t="str">
            <v>Ecommerce</v>
          </cell>
          <cell r="L7771" t="str">
            <v>Freight</v>
          </cell>
          <cell r="N7771" t="str">
            <v>Direct Costs</v>
          </cell>
          <cell r="O7771" t="str">
            <v>UPS Supply Chain Solutions Inc. (7F24A0)</v>
          </cell>
        </row>
        <row r="7772">
          <cell r="D7772">
            <v>2500</v>
          </cell>
          <cell r="H7772">
            <v>45748</v>
          </cell>
          <cell r="I7772" t="str">
            <v>6225 - Professional Services</v>
          </cell>
          <cell r="J7772">
            <v>0</v>
          </cell>
          <cell r="K7772" t="str">
            <v>Administration</v>
          </cell>
          <cell r="L7772" t="str">
            <v>Professional Service</v>
          </cell>
          <cell r="N7772" t="str">
            <v>Direct Costs</v>
          </cell>
          <cell r="O7772" t="str">
            <v>Procyon Benefits LLC</v>
          </cell>
        </row>
        <row r="7773">
          <cell r="D7773">
            <v>63.97</v>
          </cell>
          <cell r="H7773">
            <v>45748</v>
          </cell>
          <cell r="I7773" t="str">
            <v>6375 - Freight Expenses</v>
          </cell>
          <cell r="J7773" t="str">
            <v>Ecommerce (US)</v>
          </cell>
          <cell r="K7773" t="str">
            <v>Ecommerce</v>
          </cell>
          <cell r="L7773" t="str">
            <v>Freight</v>
          </cell>
          <cell r="N7773" t="str">
            <v>Direct Costs</v>
          </cell>
          <cell r="O7773" t="str">
            <v>UPS Supply Chain Solutions Inc. (7F24A0)</v>
          </cell>
        </row>
        <row r="7774">
          <cell r="D7774">
            <v>540</v>
          </cell>
          <cell r="H7774">
            <v>45748</v>
          </cell>
          <cell r="I7774" t="str">
            <v>6370 - Samples</v>
          </cell>
          <cell r="J7774" t="str">
            <v>Wholesale</v>
          </cell>
          <cell r="K7774" t="str">
            <v>Production</v>
          </cell>
          <cell r="L7774" t="str">
            <v>Sample</v>
          </cell>
          <cell r="N7774" t="str">
            <v>SG&amp;A</v>
          </cell>
          <cell r="O7774" t="str">
            <v>Quanzhou Wanxingtai Package Products</v>
          </cell>
        </row>
        <row r="7775">
          <cell r="D7775">
            <v>6000</v>
          </cell>
          <cell r="H7775">
            <v>45748</v>
          </cell>
          <cell r="I7775" t="str">
            <v>6225 - Professional Services</v>
          </cell>
          <cell r="J7775">
            <v>0</v>
          </cell>
          <cell r="K7775" t="str">
            <v>Administration</v>
          </cell>
          <cell r="L7775" t="str">
            <v>Professional Service</v>
          </cell>
          <cell r="N7775" t="str">
            <v>Direct Costs</v>
          </cell>
          <cell r="O7775" t="str">
            <v>Janou Pakter</v>
          </cell>
        </row>
        <row r="7776">
          <cell r="D7776">
            <v>21388.47</v>
          </cell>
          <cell r="H7776">
            <v>45748</v>
          </cell>
          <cell r="I7776" t="str">
            <v>6005 - Salaries</v>
          </cell>
          <cell r="J7776">
            <v>0</v>
          </cell>
          <cell r="K7776" t="str">
            <v>Design</v>
          </cell>
          <cell r="L7776" t="str">
            <v>HQ Salaries</v>
          </cell>
          <cell r="N7776" t="str">
            <v>SG&amp;A</v>
          </cell>
          <cell r="O7776" t="str">
            <v>[No Vendor]</v>
          </cell>
        </row>
        <row r="7777">
          <cell r="D7777">
            <v>2003.48</v>
          </cell>
          <cell r="H7777">
            <v>45748</v>
          </cell>
          <cell r="I7777" t="str">
            <v>6451 - Service Processing Fee</v>
          </cell>
          <cell r="J7777" t="str">
            <v>Ecommerce (US)</v>
          </cell>
          <cell r="K7777" t="str">
            <v>Ecommerce</v>
          </cell>
          <cell r="L7777" t="str">
            <v>Professional Service</v>
          </cell>
          <cell r="N7777" t="str">
            <v>Direct Costs</v>
          </cell>
          <cell r="O7777" t="str">
            <v>Loop</v>
          </cell>
        </row>
        <row r="7778">
          <cell r="D7778">
            <v>0</v>
          </cell>
          <cell r="H7778">
            <v>45748</v>
          </cell>
          <cell r="I7778" t="str">
            <v>6035 - Severance Expense</v>
          </cell>
          <cell r="J7778" t="str">
            <v>Wholesale</v>
          </cell>
          <cell r="K7778" t="str">
            <v>Wholesale</v>
          </cell>
          <cell r="L7778" t="str">
            <v>HQ Salaries</v>
          </cell>
          <cell r="N7778" t="str">
            <v>SG&amp;A</v>
          </cell>
          <cell r="O7778" t="str">
            <v>[No Vendor]</v>
          </cell>
        </row>
        <row r="7779">
          <cell r="D7779">
            <v>0</v>
          </cell>
          <cell r="H7779">
            <v>45748</v>
          </cell>
          <cell r="I7779" t="str">
            <v>6205 - Contractors</v>
          </cell>
          <cell r="J7779" t="str">
            <v>Ecommerce (US)</v>
          </cell>
          <cell r="K7779" t="str">
            <v>Ecommerce</v>
          </cell>
          <cell r="L7779" t="str">
            <v>HQ Salaries</v>
          </cell>
          <cell r="N7779" t="str">
            <v>SG&amp;A</v>
          </cell>
          <cell r="O7779" t="str">
            <v>[No Vendor]</v>
          </cell>
        </row>
        <row r="7780">
          <cell r="D7780">
            <v>0</v>
          </cell>
          <cell r="H7780">
            <v>45748</v>
          </cell>
          <cell r="I7780" t="str">
            <v>6205 - Contractors</v>
          </cell>
          <cell r="J7780">
            <v>0</v>
          </cell>
          <cell r="K7780" t="str">
            <v>Design</v>
          </cell>
          <cell r="L7780" t="str">
            <v>HQ Salaries</v>
          </cell>
          <cell r="N7780" t="str">
            <v>SG&amp;A</v>
          </cell>
          <cell r="O7780" t="str">
            <v>[No Vendor]</v>
          </cell>
        </row>
        <row r="7781">
          <cell r="D7781">
            <v>-41.72</v>
          </cell>
          <cell r="H7781">
            <v>45748</v>
          </cell>
          <cell r="I7781" t="str">
            <v>6385 - Insurance</v>
          </cell>
          <cell r="J7781">
            <v>0</v>
          </cell>
          <cell r="K7781" t="str">
            <v>Administration</v>
          </cell>
          <cell r="L7781" t="str">
            <v>Professional Service</v>
          </cell>
          <cell r="N7781" t="str">
            <v>SG&amp;A</v>
          </cell>
          <cell r="O7781" t="str">
            <v>[No Vendor]</v>
          </cell>
        </row>
        <row r="7782">
          <cell r="D7782">
            <v>-37.299999999999997</v>
          </cell>
          <cell r="H7782">
            <v>45748</v>
          </cell>
          <cell r="I7782" t="str">
            <v>6385 - Insurance</v>
          </cell>
          <cell r="J7782">
            <v>0</v>
          </cell>
          <cell r="K7782" t="str">
            <v>Administration</v>
          </cell>
          <cell r="L7782" t="str">
            <v>Professional Service</v>
          </cell>
          <cell r="N7782" t="str">
            <v>SG&amp;A</v>
          </cell>
          <cell r="O7782" t="str">
            <v>[No Vendor]</v>
          </cell>
        </row>
        <row r="7783">
          <cell r="D7783">
            <v>-25.73</v>
          </cell>
          <cell r="H7783">
            <v>45748</v>
          </cell>
          <cell r="I7783" t="str">
            <v>6385 - Insurance</v>
          </cell>
          <cell r="J7783">
            <v>0</v>
          </cell>
          <cell r="K7783" t="str">
            <v>Administration</v>
          </cell>
          <cell r="L7783" t="str">
            <v>Professional Service</v>
          </cell>
          <cell r="N7783" t="str">
            <v>SG&amp;A</v>
          </cell>
          <cell r="O7783" t="str">
            <v>[No Vendor]</v>
          </cell>
        </row>
        <row r="7784">
          <cell r="D7784">
            <v>-81.3</v>
          </cell>
          <cell r="H7784">
            <v>45748</v>
          </cell>
          <cell r="I7784" t="str">
            <v>6385 - Insurance</v>
          </cell>
          <cell r="J7784">
            <v>0</v>
          </cell>
          <cell r="K7784" t="str">
            <v>Administration</v>
          </cell>
          <cell r="L7784" t="str">
            <v>Professional Service</v>
          </cell>
          <cell r="N7784" t="str">
            <v>SG&amp;A</v>
          </cell>
          <cell r="O7784" t="str">
            <v>[No Vendor]</v>
          </cell>
        </row>
        <row r="7785">
          <cell r="D7785">
            <v>-44.48</v>
          </cell>
          <cell r="H7785">
            <v>45748</v>
          </cell>
          <cell r="I7785" t="str">
            <v>6385 - Insurance</v>
          </cell>
          <cell r="J7785">
            <v>0</v>
          </cell>
          <cell r="K7785" t="str">
            <v>Administration</v>
          </cell>
          <cell r="L7785" t="str">
            <v>Professional Service</v>
          </cell>
          <cell r="N7785" t="str">
            <v>SG&amp;A</v>
          </cell>
          <cell r="O7785" t="str">
            <v>[No Vendor]</v>
          </cell>
        </row>
        <row r="7786">
          <cell r="D7786">
            <v>-43.2</v>
          </cell>
          <cell r="H7786">
            <v>45748</v>
          </cell>
          <cell r="I7786" t="str">
            <v>6385 - Insurance</v>
          </cell>
          <cell r="J7786">
            <v>0</v>
          </cell>
          <cell r="K7786" t="str">
            <v>Administration</v>
          </cell>
          <cell r="L7786" t="str">
            <v>Professional Service</v>
          </cell>
          <cell r="N7786" t="str">
            <v>SG&amp;A</v>
          </cell>
          <cell r="O7786" t="str">
            <v>[No Vendor]</v>
          </cell>
        </row>
        <row r="7787">
          <cell r="D7787">
            <v>-88.99</v>
          </cell>
          <cell r="H7787">
            <v>45748</v>
          </cell>
          <cell r="I7787" t="str">
            <v>6385 - Insurance</v>
          </cell>
          <cell r="J7787">
            <v>0</v>
          </cell>
          <cell r="K7787" t="str">
            <v>Administration</v>
          </cell>
          <cell r="L7787" t="str">
            <v>Professional Service</v>
          </cell>
          <cell r="N7787" t="str">
            <v>SG&amp;A</v>
          </cell>
          <cell r="O7787" t="str">
            <v>[No Vendor]</v>
          </cell>
        </row>
        <row r="7788">
          <cell r="D7788">
            <v>644.27</v>
          </cell>
          <cell r="H7788">
            <v>45748</v>
          </cell>
          <cell r="I7788" t="str">
            <v>6055 - Employer Social Security Tax Withheld</v>
          </cell>
          <cell r="J7788" t="str">
            <v>Wholesale</v>
          </cell>
          <cell r="K7788" t="str">
            <v>Wholesale</v>
          </cell>
          <cell r="L7788" t="str">
            <v>HQ Salaries</v>
          </cell>
          <cell r="N7788" t="str">
            <v>SG&amp;A</v>
          </cell>
          <cell r="O7788" t="str">
            <v>[No Vendor]</v>
          </cell>
        </row>
        <row r="7789">
          <cell r="D7789">
            <v>2239.4899999999998</v>
          </cell>
          <cell r="H7789">
            <v>45748</v>
          </cell>
          <cell r="I7789" t="str">
            <v>6055 - Employer Social Security Tax Withheld</v>
          </cell>
          <cell r="J7789">
            <v>0</v>
          </cell>
          <cell r="K7789" t="str">
            <v>Production</v>
          </cell>
          <cell r="L7789" t="str">
            <v>HQ Salaries</v>
          </cell>
          <cell r="N7789" t="str">
            <v>SG&amp;A</v>
          </cell>
          <cell r="O7789" t="str">
            <v>[No Vendor]</v>
          </cell>
        </row>
        <row r="7790">
          <cell r="D7790">
            <v>1174.3499999999999</v>
          </cell>
          <cell r="H7790">
            <v>45748</v>
          </cell>
          <cell r="I7790" t="str">
            <v>6055 - Employer Social Security Tax Withheld</v>
          </cell>
          <cell r="J7790">
            <v>0</v>
          </cell>
          <cell r="K7790" t="str">
            <v>Executive</v>
          </cell>
          <cell r="L7790" t="str">
            <v>HQ Salaries</v>
          </cell>
          <cell r="N7790" t="str">
            <v>SG&amp;A</v>
          </cell>
          <cell r="O7790" t="str">
            <v>[No Vendor]</v>
          </cell>
        </row>
        <row r="7791">
          <cell r="D7791">
            <v>2217.19</v>
          </cell>
          <cell r="H7791">
            <v>45748</v>
          </cell>
          <cell r="I7791" t="str">
            <v>6055 - Employer Social Security Tax Withheld</v>
          </cell>
          <cell r="J7791" t="str">
            <v>Ecommerce (US)</v>
          </cell>
          <cell r="K7791" t="str">
            <v>Ecommerce</v>
          </cell>
          <cell r="L7791" t="str">
            <v>HQ Salaries</v>
          </cell>
          <cell r="N7791" t="str">
            <v>SG&amp;A</v>
          </cell>
          <cell r="O7791" t="str">
            <v>[No Vendor]</v>
          </cell>
        </row>
        <row r="7792">
          <cell r="D7792">
            <v>2066.83</v>
          </cell>
          <cell r="H7792">
            <v>45748</v>
          </cell>
          <cell r="I7792" t="str">
            <v>6055 - Employer Social Security Tax Withheld</v>
          </cell>
          <cell r="J7792">
            <v>0</v>
          </cell>
          <cell r="K7792" t="str">
            <v>Design</v>
          </cell>
          <cell r="L7792" t="str">
            <v>HQ Salaries</v>
          </cell>
          <cell r="N7792" t="str">
            <v>SG&amp;A</v>
          </cell>
          <cell r="O7792" t="str">
            <v>[No Vendor]</v>
          </cell>
        </row>
        <row r="7793">
          <cell r="D7793">
            <v>967.27</v>
          </cell>
          <cell r="H7793">
            <v>45748</v>
          </cell>
          <cell r="I7793" t="str">
            <v>6055 - Employer Social Security Tax Withheld</v>
          </cell>
          <cell r="J7793">
            <v>0</v>
          </cell>
          <cell r="K7793" t="str">
            <v>Merchandising</v>
          </cell>
          <cell r="L7793" t="str">
            <v>HQ Salaries</v>
          </cell>
          <cell r="N7793" t="str">
            <v>SG&amp;A</v>
          </cell>
          <cell r="O7793" t="str">
            <v>[No Vendor]</v>
          </cell>
        </row>
        <row r="7794">
          <cell r="D7794">
            <v>2451.48</v>
          </cell>
          <cell r="H7794">
            <v>45748</v>
          </cell>
          <cell r="I7794" t="str">
            <v>6055 - Employer Social Security Tax Withheld</v>
          </cell>
          <cell r="J7794">
            <v>0</v>
          </cell>
          <cell r="K7794" t="str">
            <v>Administration</v>
          </cell>
          <cell r="L7794" t="str">
            <v>HQ Salaries</v>
          </cell>
          <cell r="N7794" t="str">
            <v>SG&amp;A</v>
          </cell>
          <cell r="O7794" t="str">
            <v>[No Vendor]</v>
          </cell>
        </row>
        <row r="7795">
          <cell r="D7795">
            <v>-34.9</v>
          </cell>
          <cell r="H7795">
            <v>45748</v>
          </cell>
          <cell r="I7795" t="str">
            <v>6040 - Employer Paid Benefits</v>
          </cell>
          <cell r="J7795">
            <v>0</v>
          </cell>
          <cell r="K7795" t="str">
            <v>Merchandising</v>
          </cell>
          <cell r="L7795" t="str">
            <v>HQ Salaries</v>
          </cell>
          <cell r="N7795" t="str">
            <v>SG&amp;A</v>
          </cell>
          <cell r="O7795" t="str">
            <v>[No Vendor]</v>
          </cell>
        </row>
        <row r="7796">
          <cell r="D7796">
            <v>-34.9</v>
          </cell>
          <cell r="H7796">
            <v>45748</v>
          </cell>
          <cell r="I7796" t="str">
            <v>6040 - Employer Paid Benefits</v>
          </cell>
          <cell r="J7796" t="str">
            <v>Wholesale</v>
          </cell>
          <cell r="K7796" t="str">
            <v>Wholesale</v>
          </cell>
          <cell r="L7796" t="str">
            <v>HQ Salaries</v>
          </cell>
          <cell r="N7796" t="str">
            <v>SG&amp;A</v>
          </cell>
          <cell r="O7796" t="str">
            <v>[No Vendor]</v>
          </cell>
        </row>
        <row r="7797">
          <cell r="D7797">
            <v>-482.84</v>
          </cell>
          <cell r="H7797">
            <v>45748</v>
          </cell>
          <cell r="I7797" t="str">
            <v>6040 - Employer Paid Benefits</v>
          </cell>
          <cell r="J7797">
            <v>0</v>
          </cell>
          <cell r="K7797" t="str">
            <v>Production</v>
          </cell>
          <cell r="L7797" t="str">
            <v>HQ Salaries</v>
          </cell>
          <cell r="N7797" t="str">
            <v>SG&amp;A</v>
          </cell>
          <cell r="O7797" t="str">
            <v>[No Vendor]</v>
          </cell>
        </row>
        <row r="7798">
          <cell r="D7798">
            <v>-332.52</v>
          </cell>
          <cell r="H7798">
            <v>45748</v>
          </cell>
          <cell r="I7798" t="str">
            <v>6040 - Employer Paid Benefits</v>
          </cell>
          <cell r="J7798">
            <v>0</v>
          </cell>
          <cell r="K7798" t="str">
            <v>Executive</v>
          </cell>
          <cell r="L7798" t="str">
            <v>HQ Salaries</v>
          </cell>
          <cell r="N7798" t="str">
            <v>SG&amp;A</v>
          </cell>
          <cell r="O7798" t="str">
            <v>[No Vendor]</v>
          </cell>
        </row>
        <row r="7799">
          <cell r="D7799">
            <v>-250.5</v>
          </cell>
          <cell r="H7799">
            <v>45748</v>
          </cell>
          <cell r="I7799" t="str">
            <v>6040 - Employer Paid Benefits</v>
          </cell>
          <cell r="J7799" t="str">
            <v>Ecommerce (US)</v>
          </cell>
          <cell r="K7799" t="str">
            <v>Ecommerce</v>
          </cell>
          <cell r="L7799" t="str">
            <v>HQ Salaries</v>
          </cell>
          <cell r="N7799" t="str">
            <v>SG&amp;A</v>
          </cell>
          <cell r="O7799" t="str">
            <v>[No Vendor]</v>
          </cell>
        </row>
        <row r="7800">
          <cell r="D7800">
            <v>-442.41</v>
          </cell>
          <cell r="H7800">
            <v>45748</v>
          </cell>
          <cell r="I7800" t="str">
            <v>6040 - Employer Paid Benefits</v>
          </cell>
          <cell r="J7800">
            <v>0</v>
          </cell>
          <cell r="K7800" t="str">
            <v>Design</v>
          </cell>
          <cell r="L7800" t="str">
            <v>HQ Salaries</v>
          </cell>
          <cell r="N7800" t="str">
            <v>SG&amp;A</v>
          </cell>
          <cell r="O7800" t="str">
            <v>[No Vendor]</v>
          </cell>
        </row>
        <row r="7801">
          <cell r="D7801">
            <v>-624.54999999999995</v>
          </cell>
          <cell r="H7801">
            <v>45748</v>
          </cell>
          <cell r="I7801" t="str">
            <v>6040 - Employer Paid Benefits</v>
          </cell>
          <cell r="J7801">
            <v>0</v>
          </cell>
          <cell r="K7801" t="str">
            <v>Administration</v>
          </cell>
          <cell r="L7801" t="str">
            <v>HQ Salaries</v>
          </cell>
          <cell r="N7801" t="str">
            <v>SG&amp;A</v>
          </cell>
          <cell r="O7801" t="str">
            <v>[No Vendor]</v>
          </cell>
        </row>
        <row r="7802">
          <cell r="D7802">
            <v>26115.41</v>
          </cell>
          <cell r="H7802">
            <v>45748</v>
          </cell>
          <cell r="I7802" t="str">
            <v>6005 - Salaries</v>
          </cell>
          <cell r="J7802">
            <v>0</v>
          </cell>
          <cell r="K7802" t="str">
            <v>Administration</v>
          </cell>
          <cell r="L7802" t="str">
            <v>HQ Salaries</v>
          </cell>
          <cell r="N7802" t="str">
            <v>SG&amp;A</v>
          </cell>
          <cell r="O7802" t="str">
            <v>[No Vendor]</v>
          </cell>
        </row>
        <row r="7803">
          <cell r="D7803">
            <v>8996.15</v>
          </cell>
          <cell r="H7803">
            <v>45748</v>
          </cell>
          <cell r="I7803" t="str">
            <v>6005 - Salaries</v>
          </cell>
          <cell r="J7803">
            <v>0</v>
          </cell>
          <cell r="K7803" t="str">
            <v>Merchandising</v>
          </cell>
          <cell r="L7803" t="str">
            <v>HQ Salaries</v>
          </cell>
          <cell r="N7803" t="str">
            <v>SG&amp;A</v>
          </cell>
          <cell r="O7803" t="str">
            <v>[No Vendor]</v>
          </cell>
        </row>
        <row r="7804">
          <cell r="D7804">
            <v>6013.06</v>
          </cell>
          <cell r="H7804">
            <v>45748</v>
          </cell>
          <cell r="I7804" t="str">
            <v>6005 - Salaries</v>
          </cell>
          <cell r="J7804" t="str">
            <v>Wholesale</v>
          </cell>
          <cell r="K7804" t="str">
            <v>Wholesale</v>
          </cell>
          <cell r="L7804" t="str">
            <v>HQ Salaries</v>
          </cell>
          <cell r="N7804" t="str">
            <v>SG&amp;A</v>
          </cell>
          <cell r="O7804" t="str">
            <v>[No Vendor]</v>
          </cell>
        </row>
        <row r="7805">
          <cell r="D7805">
            <v>19719.25</v>
          </cell>
          <cell r="H7805">
            <v>45748</v>
          </cell>
          <cell r="I7805" t="str">
            <v>6005 - Salaries</v>
          </cell>
          <cell r="J7805">
            <v>0</v>
          </cell>
          <cell r="K7805" t="str">
            <v>Production</v>
          </cell>
          <cell r="L7805" t="str">
            <v>HQ Salaries</v>
          </cell>
          <cell r="N7805" t="str">
            <v>SG&amp;A</v>
          </cell>
          <cell r="O7805" t="str">
            <v>[No Vendor]</v>
          </cell>
        </row>
        <row r="7806">
          <cell r="D7806">
            <v>11153.85</v>
          </cell>
          <cell r="H7806">
            <v>45748</v>
          </cell>
          <cell r="I7806" t="str">
            <v>6005 - Salaries</v>
          </cell>
          <cell r="J7806">
            <v>0</v>
          </cell>
          <cell r="K7806" t="str">
            <v>Executive</v>
          </cell>
          <cell r="L7806" t="str">
            <v>HQ Salaries</v>
          </cell>
          <cell r="N7806" t="str">
            <v>SG&amp;A</v>
          </cell>
          <cell r="O7806" t="str">
            <v>[No Vendor]</v>
          </cell>
        </row>
        <row r="7807">
          <cell r="D7807">
            <v>20780.8</v>
          </cell>
          <cell r="H7807">
            <v>45748</v>
          </cell>
          <cell r="I7807" t="str">
            <v>6005 - Salaries</v>
          </cell>
          <cell r="J7807" t="str">
            <v>Ecommerce (US)</v>
          </cell>
          <cell r="K7807" t="str">
            <v>Ecommerce</v>
          </cell>
          <cell r="L7807" t="str">
            <v>HQ Salaries</v>
          </cell>
          <cell r="N7807" t="str">
            <v>SG&amp;A</v>
          </cell>
          <cell r="O7807" t="str">
            <v>[No Vendor]</v>
          </cell>
        </row>
        <row r="7808">
          <cell r="D7808">
            <v>588.32000000000005</v>
          </cell>
          <cell r="H7808">
            <v>45748</v>
          </cell>
          <cell r="I7808" t="str">
            <v>6375 - Freight Expenses</v>
          </cell>
          <cell r="J7808" t="str">
            <v>Wholesale</v>
          </cell>
          <cell r="K7808" t="str">
            <v>Wholesale</v>
          </cell>
          <cell r="L7808" t="str">
            <v>Freight</v>
          </cell>
          <cell r="N7808" t="str">
            <v>Direct Costs</v>
          </cell>
          <cell r="O7808" t="str">
            <v>UPS Supply Chain Solutions Inc. (7F24A0)</v>
          </cell>
        </row>
        <row r="7809">
          <cell r="D7809">
            <v>23802.06</v>
          </cell>
          <cell r="H7809">
            <v>45748</v>
          </cell>
          <cell r="I7809" t="str">
            <v>6375 - Freight Expenses</v>
          </cell>
          <cell r="J7809" t="str">
            <v>Ecommerce (US)</v>
          </cell>
          <cell r="K7809" t="str">
            <v>Ecommerce</v>
          </cell>
          <cell r="L7809" t="str">
            <v>Freight</v>
          </cell>
          <cell r="N7809" t="str">
            <v>Direct Costs</v>
          </cell>
          <cell r="O7809" t="str">
            <v>UPS Supply Chain Solutions Inc. (7F24A0)</v>
          </cell>
        </row>
        <row r="7810">
          <cell r="D7810">
            <v>10.06</v>
          </cell>
          <cell r="H7810">
            <v>45748</v>
          </cell>
          <cell r="I7810" t="str">
            <v>6105 - Meals</v>
          </cell>
          <cell r="J7810">
            <v>0</v>
          </cell>
          <cell r="K7810" t="str">
            <v>Design</v>
          </cell>
          <cell r="L7810" t="str">
            <v>T&amp;E</v>
          </cell>
          <cell r="N7810" t="str">
            <v>SG&amp;A</v>
          </cell>
          <cell r="O7810" t="str">
            <v>[No Vendor]</v>
          </cell>
        </row>
        <row r="7811">
          <cell r="D7811">
            <v>1461.2</v>
          </cell>
          <cell r="H7811">
            <v>45748</v>
          </cell>
          <cell r="I7811" t="str">
            <v>6370 - Samples</v>
          </cell>
          <cell r="J7811" t="str">
            <v>Ecommerce (US)</v>
          </cell>
          <cell r="K7811" t="str">
            <v>Production</v>
          </cell>
          <cell r="L7811" t="str">
            <v>Sample</v>
          </cell>
          <cell r="N7811" t="str">
            <v>SG&amp;A</v>
          </cell>
          <cell r="O7811" t="str">
            <v>Xiamen Fynex Imp&amp;Exp Co. LTD</v>
          </cell>
        </row>
        <row r="7812">
          <cell r="D7812">
            <v>131.65</v>
          </cell>
          <cell r="H7812">
            <v>45748</v>
          </cell>
          <cell r="I7812" t="str">
            <v>6140 - Other</v>
          </cell>
          <cell r="J7812">
            <v>0</v>
          </cell>
          <cell r="K7812" t="str">
            <v>Design</v>
          </cell>
          <cell r="L7812" t="str">
            <v>T&amp;E</v>
          </cell>
          <cell r="N7812" t="str">
            <v>SG&amp;A</v>
          </cell>
          <cell r="O7812" t="str">
            <v>[No Vendor]</v>
          </cell>
        </row>
        <row r="7813">
          <cell r="D7813">
            <v>715.46</v>
          </cell>
          <cell r="H7813">
            <v>45748</v>
          </cell>
          <cell r="I7813" t="str">
            <v>6120 - Lodging</v>
          </cell>
          <cell r="J7813">
            <v>0</v>
          </cell>
          <cell r="K7813" t="str">
            <v>Design</v>
          </cell>
          <cell r="L7813" t="str">
            <v>T&amp;E</v>
          </cell>
          <cell r="N7813" t="str">
            <v>SG&amp;A</v>
          </cell>
          <cell r="O7813" t="str">
            <v>[No Vendor]</v>
          </cell>
        </row>
        <row r="7814">
          <cell r="D7814">
            <v>148.72</v>
          </cell>
          <cell r="H7814">
            <v>45748</v>
          </cell>
          <cell r="I7814" t="str">
            <v>6120 - Lodging</v>
          </cell>
          <cell r="J7814">
            <v>0</v>
          </cell>
          <cell r="K7814" t="str">
            <v>Design</v>
          </cell>
          <cell r="L7814" t="str">
            <v>T&amp;E</v>
          </cell>
          <cell r="N7814" t="str">
            <v>SG&amp;A</v>
          </cell>
          <cell r="O7814" t="str">
            <v>[No Vendor]</v>
          </cell>
        </row>
        <row r="7815">
          <cell r="D7815">
            <v>0.57999999999999996</v>
          </cell>
          <cell r="H7815">
            <v>45748</v>
          </cell>
          <cell r="I7815" t="str">
            <v>6450 - Bank &amp; Other Fees</v>
          </cell>
          <cell r="J7815">
            <v>0</v>
          </cell>
          <cell r="K7815" t="str">
            <v>Design</v>
          </cell>
          <cell r="L7815" t="str">
            <v>Professional Service</v>
          </cell>
          <cell r="N7815" t="str">
            <v>SG&amp;A</v>
          </cell>
          <cell r="O7815" t="str">
            <v>[No Vendor]</v>
          </cell>
        </row>
        <row r="7816">
          <cell r="D7816">
            <v>2.23</v>
          </cell>
          <cell r="H7816">
            <v>45748</v>
          </cell>
          <cell r="I7816" t="str">
            <v>6450 - Bank &amp; Other Fees</v>
          </cell>
          <cell r="J7816">
            <v>0</v>
          </cell>
          <cell r="K7816" t="str">
            <v>Design</v>
          </cell>
          <cell r="L7816" t="str">
            <v>Professional Service</v>
          </cell>
          <cell r="N7816" t="str">
            <v>SG&amp;A</v>
          </cell>
          <cell r="O7816" t="str">
            <v>[No Vendor]</v>
          </cell>
        </row>
        <row r="7817">
          <cell r="D7817">
            <v>0.12</v>
          </cell>
          <cell r="H7817">
            <v>45748</v>
          </cell>
          <cell r="I7817" t="str">
            <v>6450 - Bank &amp; Other Fees</v>
          </cell>
          <cell r="J7817">
            <v>0</v>
          </cell>
          <cell r="K7817" t="str">
            <v>Design</v>
          </cell>
          <cell r="L7817" t="str">
            <v>Professional Service</v>
          </cell>
          <cell r="N7817" t="str">
            <v>SG&amp;A</v>
          </cell>
          <cell r="O7817" t="str">
            <v>[No Vendor]</v>
          </cell>
        </row>
        <row r="7818">
          <cell r="D7818">
            <v>0.11</v>
          </cell>
          <cell r="H7818">
            <v>45748</v>
          </cell>
          <cell r="I7818" t="str">
            <v>6450 - Bank &amp; Other Fees</v>
          </cell>
          <cell r="J7818">
            <v>0</v>
          </cell>
          <cell r="K7818" t="str">
            <v>Design</v>
          </cell>
          <cell r="L7818" t="str">
            <v>Professional Service</v>
          </cell>
          <cell r="N7818" t="str">
            <v>SG&amp;A</v>
          </cell>
          <cell r="O7818" t="str">
            <v>[No Vendor]</v>
          </cell>
        </row>
        <row r="7819">
          <cell r="D7819">
            <v>0.1</v>
          </cell>
          <cell r="H7819">
            <v>45748</v>
          </cell>
          <cell r="I7819" t="str">
            <v>6450 - Bank &amp; Other Fees</v>
          </cell>
          <cell r="J7819">
            <v>0</v>
          </cell>
          <cell r="K7819" t="str">
            <v>Design</v>
          </cell>
          <cell r="L7819" t="str">
            <v>Professional Service</v>
          </cell>
          <cell r="N7819" t="str">
            <v>SG&amp;A</v>
          </cell>
          <cell r="O7819" t="str">
            <v>[No Vendor]</v>
          </cell>
        </row>
        <row r="7820">
          <cell r="D7820">
            <v>0.08</v>
          </cell>
          <cell r="H7820">
            <v>45748</v>
          </cell>
          <cell r="I7820" t="str">
            <v>6450 - Bank &amp; Other Fees</v>
          </cell>
          <cell r="J7820">
            <v>0</v>
          </cell>
          <cell r="K7820" t="str">
            <v>Design</v>
          </cell>
          <cell r="L7820" t="str">
            <v>Professional Service</v>
          </cell>
          <cell r="N7820" t="str">
            <v>SG&amp;A</v>
          </cell>
          <cell r="O7820" t="str">
            <v>[No Vendor]</v>
          </cell>
        </row>
        <row r="7821">
          <cell r="D7821">
            <v>0.15</v>
          </cell>
          <cell r="H7821">
            <v>45748</v>
          </cell>
          <cell r="I7821" t="str">
            <v>6450 - Bank &amp; Other Fees</v>
          </cell>
          <cell r="J7821">
            <v>0</v>
          </cell>
          <cell r="K7821" t="str">
            <v>Design</v>
          </cell>
          <cell r="L7821" t="str">
            <v>Professional Service</v>
          </cell>
          <cell r="N7821" t="str">
            <v>SG&amp;A</v>
          </cell>
          <cell r="O7821" t="str">
            <v>[No Vendor]</v>
          </cell>
        </row>
        <row r="7822">
          <cell r="D7822">
            <v>5.47</v>
          </cell>
          <cell r="H7822">
            <v>45748</v>
          </cell>
          <cell r="I7822" t="str">
            <v>6125 - Transportation and Fuel</v>
          </cell>
          <cell r="J7822">
            <v>0</v>
          </cell>
          <cell r="K7822" t="str">
            <v>Design</v>
          </cell>
          <cell r="L7822" t="str">
            <v>T&amp;E</v>
          </cell>
          <cell r="N7822" t="str">
            <v>SG&amp;A</v>
          </cell>
          <cell r="O7822" t="str">
            <v>[No Vendor]</v>
          </cell>
        </row>
        <row r="7823">
          <cell r="D7823">
            <v>-0.03</v>
          </cell>
          <cell r="H7823">
            <v>45748</v>
          </cell>
          <cell r="I7823" t="str">
            <v>6125 - Transportation and Fuel</v>
          </cell>
          <cell r="J7823">
            <v>0</v>
          </cell>
          <cell r="K7823" t="str">
            <v>Design</v>
          </cell>
          <cell r="L7823" t="str">
            <v>T&amp;E</v>
          </cell>
          <cell r="N7823" t="str">
            <v>SG&amp;A</v>
          </cell>
          <cell r="O7823" t="str">
            <v>[No Vendor]</v>
          </cell>
        </row>
        <row r="7824">
          <cell r="D7824">
            <v>43.96</v>
          </cell>
          <cell r="H7824">
            <v>45748</v>
          </cell>
          <cell r="I7824" t="str">
            <v>6125 - Transportation and Fuel</v>
          </cell>
          <cell r="J7824">
            <v>0</v>
          </cell>
          <cell r="K7824" t="str">
            <v>Design</v>
          </cell>
          <cell r="L7824" t="str">
            <v>T&amp;E</v>
          </cell>
          <cell r="N7824" t="str">
            <v>SG&amp;A</v>
          </cell>
          <cell r="O7824" t="str">
            <v>[No Vendor]</v>
          </cell>
        </row>
        <row r="7825">
          <cell r="D7825">
            <v>7.94</v>
          </cell>
          <cell r="H7825">
            <v>45748</v>
          </cell>
          <cell r="I7825" t="str">
            <v>6105 - Meals</v>
          </cell>
          <cell r="J7825">
            <v>0</v>
          </cell>
          <cell r="K7825" t="str">
            <v>Design</v>
          </cell>
          <cell r="L7825" t="str">
            <v>T&amp;E</v>
          </cell>
          <cell r="N7825" t="str">
            <v>SG&amp;A</v>
          </cell>
          <cell r="O7825" t="str">
            <v>[No Vendor]</v>
          </cell>
        </row>
        <row r="7826">
          <cell r="D7826">
            <v>7.59</v>
          </cell>
          <cell r="H7826">
            <v>45748</v>
          </cell>
          <cell r="I7826" t="str">
            <v>6105 - Meals</v>
          </cell>
          <cell r="J7826">
            <v>0</v>
          </cell>
          <cell r="K7826" t="str">
            <v>Design</v>
          </cell>
          <cell r="L7826" t="str">
            <v>T&amp;E</v>
          </cell>
          <cell r="N7826" t="str">
            <v>SG&amp;A</v>
          </cell>
          <cell r="O7826" t="str">
            <v>[No Vendor]</v>
          </cell>
        </row>
        <row r="7827">
          <cell r="D7827">
            <v>38.5</v>
          </cell>
          <cell r="H7827">
            <v>45748</v>
          </cell>
          <cell r="I7827" t="str">
            <v>6105 - Meals</v>
          </cell>
          <cell r="J7827">
            <v>0</v>
          </cell>
          <cell r="K7827" t="str">
            <v>Design</v>
          </cell>
          <cell r="L7827" t="str">
            <v>T&amp;E</v>
          </cell>
          <cell r="N7827" t="str">
            <v>SG&amp;A</v>
          </cell>
          <cell r="O7827" t="str">
            <v>[No Vendor]</v>
          </cell>
        </row>
        <row r="7828">
          <cell r="D7828">
            <v>6.86</v>
          </cell>
          <cell r="H7828">
            <v>45748</v>
          </cell>
          <cell r="I7828" t="str">
            <v>6105 - Meals</v>
          </cell>
          <cell r="J7828">
            <v>0</v>
          </cell>
          <cell r="K7828" t="str">
            <v>Design</v>
          </cell>
          <cell r="L7828" t="str">
            <v>T&amp;E</v>
          </cell>
          <cell r="N7828" t="str">
            <v>SG&amp;A</v>
          </cell>
          <cell r="O7828" t="str">
            <v>[No Vendor]</v>
          </cell>
        </row>
        <row r="7829">
          <cell r="D7829">
            <v>56.9</v>
          </cell>
          <cell r="H7829">
            <v>45748</v>
          </cell>
          <cell r="I7829" t="str">
            <v>6105 - Meals</v>
          </cell>
          <cell r="J7829">
            <v>0</v>
          </cell>
          <cell r="K7829" t="str">
            <v>Design</v>
          </cell>
          <cell r="L7829" t="str">
            <v>T&amp;E</v>
          </cell>
          <cell r="N7829" t="str">
            <v>SG&amp;A</v>
          </cell>
          <cell r="O7829" t="str">
            <v>[No Vendor]</v>
          </cell>
        </row>
        <row r="7830">
          <cell r="D7830">
            <v>79.98</v>
          </cell>
          <cell r="H7830">
            <v>45748</v>
          </cell>
          <cell r="I7830" t="str">
            <v>6375 - Freight Expenses</v>
          </cell>
          <cell r="J7830" t="str">
            <v>Ecommerce (US)</v>
          </cell>
          <cell r="K7830" t="str">
            <v>Ecommerce</v>
          </cell>
          <cell r="L7830" t="str">
            <v>Freight</v>
          </cell>
          <cell r="N7830" t="str">
            <v>Direct Costs</v>
          </cell>
          <cell r="O7830" t="str">
            <v>UPS Supply Chain Solutions Inc. (7F24A0)</v>
          </cell>
        </row>
        <row r="7831">
          <cell r="D7831">
            <v>-109.4</v>
          </cell>
          <cell r="H7831">
            <v>45748</v>
          </cell>
          <cell r="I7831" t="str">
            <v>6375 - Freight Expenses</v>
          </cell>
          <cell r="J7831" t="str">
            <v>Ecommerce (US)</v>
          </cell>
          <cell r="K7831" t="str">
            <v>Ecommerce</v>
          </cell>
          <cell r="L7831" t="str">
            <v>Freight</v>
          </cell>
          <cell r="N7831" t="str">
            <v>Direct Costs</v>
          </cell>
          <cell r="O7831" t="str">
            <v>UPS Supply Chain Solutions Inc. (7F24A0)</v>
          </cell>
        </row>
        <row r="7832">
          <cell r="D7832">
            <v>276.66000000000003</v>
          </cell>
          <cell r="H7832">
            <v>45748</v>
          </cell>
          <cell r="I7832" t="str">
            <v>6040 - Employer Paid Benefits</v>
          </cell>
          <cell r="J7832">
            <v>0</v>
          </cell>
          <cell r="K7832" t="str">
            <v>Administration</v>
          </cell>
          <cell r="L7832" t="str">
            <v>HQ Salaries</v>
          </cell>
          <cell r="N7832" t="str">
            <v>SG&amp;A</v>
          </cell>
          <cell r="O7832" t="str">
            <v>Procyon Benefits LLC</v>
          </cell>
        </row>
        <row r="7833">
          <cell r="D7833">
            <v>482.25</v>
          </cell>
          <cell r="H7833">
            <v>45748</v>
          </cell>
          <cell r="I7833" t="str">
            <v>6370 - Samples</v>
          </cell>
          <cell r="J7833" t="str">
            <v>Ecommerce (US)</v>
          </cell>
          <cell r="K7833" t="str">
            <v>Production</v>
          </cell>
          <cell r="L7833" t="str">
            <v>Sample</v>
          </cell>
          <cell r="N7833" t="str">
            <v>SG&amp;A</v>
          </cell>
          <cell r="O7833" t="str">
            <v>Gates Wears</v>
          </cell>
        </row>
        <row r="7834">
          <cell r="D7834">
            <v>927.5</v>
          </cell>
          <cell r="H7834">
            <v>45748</v>
          </cell>
          <cell r="I7834" t="str">
            <v>6300 - Payroll Service Fees</v>
          </cell>
          <cell r="J7834">
            <v>0</v>
          </cell>
          <cell r="K7834" t="str">
            <v>Administration</v>
          </cell>
          <cell r="L7834" t="str">
            <v>Professional Service</v>
          </cell>
          <cell r="N7834" t="str">
            <v>SG&amp;A</v>
          </cell>
          <cell r="O7834" t="str">
            <v>OperationsInc, LLC</v>
          </cell>
        </row>
        <row r="7835">
          <cell r="D7835">
            <v>341.89</v>
          </cell>
          <cell r="H7835">
            <v>45748</v>
          </cell>
          <cell r="I7835" t="str">
            <v>6375 - Freight Expenses</v>
          </cell>
          <cell r="J7835">
            <v>0</v>
          </cell>
          <cell r="K7835" t="str">
            <v>Production</v>
          </cell>
          <cell r="L7835" t="str">
            <v>Freight</v>
          </cell>
          <cell r="N7835" t="str">
            <v>Direct Costs</v>
          </cell>
          <cell r="O7835" t="str">
            <v>DHL Express - USA</v>
          </cell>
        </row>
        <row r="7836">
          <cell r="D7836">
            <v>308.37</v>
          </cell>
          <cell r="H7836">
            <v>45748</v>
          </cell>
          <cell r="I7836" t="str">
            <v>6375 - Freight Expenses</v>
          </cell>
          <cell r="J7836">
            <v>0</v>
          </cell>
          <cell r="K7836" t="str">
            <v>Production</v>
          </cell>
          <cell r="L7836" t="str">
            <v>Freight</v>
          </cell>
          <cell r="N7836" t="str">
            <v>Direct Costs</v>
          </cell>
          <cell r="O7836" t="str">
            <v>DHL Express - USA</v>
          </cell>
        </row>
        <row r="7837">
          <cell r="D7837">
            <v>304.60000000000002</v>
          </cell>
          <cell r="H7837">
            <v>45748</v>
          </cell>
          <cell r="I7837" t="str">
            <v>6375 - Freight Expenses</v>
          </cell>
          <cell r="J7837" t="str">
            <v>Ecommerce (US)</v>
          </cell>
          <cell r="K7837" t="str">
            <v>Ecommerce</v>
          </cell>
          <cell r="L7837" t="str">
            <v>Freight</v>
          </cell>
          <cell r="N7837" t="str">
            <v>Direct Costs</v>
          </cell>
          <cell r="O7837" t="str">
            <v>UPS Supply Chain Solutions Inc. (7F24A0)</v>
          </cell>
        </row>
        <row r="7838">
          <cell r="D7838">
            <v>25</v>
          </cell>
          <cell r="H7838">
            <v>45748</v>
          </cell>
          <cell r="I7838" t="str">
            <v>6040 - Employer Paid Benefits</v>
          </cell>
          <cell r="J7838">
            <v>0</v>
          </cell>
          <cell r="K7838" t="str">
            <v>Administration</v>
          </cell>
          <cell r="L7838" t="str">
            <v>HQ Salaries</v>
          </cell>
          <cell r="N7838" t="str">
            <v>SG&amp;A</v>
          </cell>
          <cell r="O7838" t="str">
            <v>Lifetime Benefit Solutions, Inc</v>
          </cell>
        </row>
        <row r="7839">
          <cell r="D7839">
            <v>71.099999999999994</v>
          </cell>
          <cell r="H7839">
            <v>45748</v>
          </cell>
          <cell r="I7839" t="str">
            <v>6040 - Employer Paid Benefits</v>
          </cell>
          <cell r="J7839">
            <v>0</v>
          </cell>
          <cell r="K7839" t="str">
            <v>Production</v>
          </cell>
          <cell r="L7839" t="str">
            <v>HQ Salaries</v>
          </cell>
          <cell r="N7839" t="str">
            <v>SG&amp;A</v>
          </cell>
          <cell r="O7839" t="str">
            <v>Procyon Benefits LLC</v>
          </cell>
        </row>
        <row r="7840">
          <cell r="D7840">
            <v>33.799999999999997</v>
          </cell>
          <cell r="H7840">
            <v>45748</v>
          </cell>
          <cell r="I7840" t="str">
            <v>6040 - Employer Paid Benefits</v>
          </cell>
          <cell r="J7840">
            <v>0</v>
          </cell>
          <cell r="K7840" t="str">
            <v>Merchandising</v>
          </cell>
          <cell r="L7840" t="str">
            <v>HQ Salaries</v>
          </cell>
          <cell r="N7840" t="str">
            <v>SG&amp;A</v>
          </cell>
          <cell r="O7840" t="str">
            <v>Procyon Benefits LLC</v>
          </cell>
        </row>
        <row r="7841">
          <cell r="D7841">
            <v>472.52</v>
          </cell>
          <cell r="H7841">
            <v>45748</v>
          </cell>
          <cell r="I7841" t="str">
            <v>6040 - Employer Paid Benefits</v>
          </cell>
          <cell r="J7841">
            <v>0</v>
          </cell>
          <cell r="K7841" t="str">
            <v>Executive</v>
          </cell>
          <cell r="L7841" t="str">
            <v>HQ Salaries</v>
          </cell>
          <cell r="N7841" t="str">
            <v>SG&amp;A</v>
          </cell>
          <cell r="O7841" t="str">
            <v>Procyon Benefits LLC</v>
          </cell>
        </row>
        <row r="7842">
          <cell r="D7842">
            <v>84.3</v>
          </cell>
          <cell r="H7842">
            <v>45748</v>
          </cell>
          <cell r="I7842" t="str">
            <v>6040 - Employer Paid Benefits</v>
          </cell>
          <cell r="J7842">
            <v>0</v>
          </cell>
          <cell r="K7842" t="str">
            <v>Design</v>
          </cell>
          <cell r="L7842" t="str">
            <v>HQ Salaries</v>
          </cell>
          <cell r="N7842" t="str">
            <v>SG&amp;A</v>
          </cell>
          <cell r="O7842" t="str">
            <v>Procyon Benefits LLC</v>
          </cell>
        </row>
        <row r="7843">
          <cell r="D7843">
            <v>393.14</v>
          </cell>
          <cell r="H7843">
            <v>45748</v>
          </cell>
          <cell r="I7843" t="str">
            <v>8505 - Realized Gain/Loss</v>
          </cell>
          <cell r="J7843">
            <v>0</v>
          </cell>
          <cell r="K7843" t="str">
            <v>No Department</v>
          </cell>
          <cell r="L7843" t="str">
            <v>Realized Gain / Loss</v>
          </cell>
          <cell r="N7843" t="str">
            <v>BTL</v>
          </cell>
          <cell r="O7843" t="str">
            <v>[No Vendor]</v>
          </cell>
        </row>
        <row r="7844">
          <cell r="D7844">
            <v>5000</v>
          </cell>
          <cell r="H7844">
            <v>45748</v>
          </cell>
          <cell r="I7844" t="str">
            <v>6375 - Freight Expenses</v>
          </cell>
          <cell r="J7844" t="str">
            <v>Ecommerce (US)</v>
          </cell>
          <cell r="K7844" t="str">
            <v>Ecommerce</v>
          </cell>
          <cell r="L7844" t="str">
            <v>Freight</v>
          </cell>
          <cell r="N7844" t="str">
            <v>Direct Costs</v>
          </cell>
          <cell r="O7844" t="str">
            <v>Easy Post</v>
          </cell>
        </row>
        <row r="7845">
          <cell r="D7845">
            <v>75.510000000000005</v>
          </cell>
          <cell r="H7845">
            <v>45748</v>
          </cell>
          <cell r="I7845" t="str">
            <v>6375 - Freight Expenses</v>
          </cell>
          <cell r="J7845" t="str">
            <v>Ecommerce (US)</v>
          </cell>
          <cell r="K7845" t="str">
            <v>Ecommerce</v>
          </cell>
          <cell r="L7845" t="str">
            <v>Freight</v>
          </cell>
          <cell r="N7845" t="str">
            <v>Direct Costs</v>
          </cell>
          <cell r="O7845" t="str">
            <v>UPS Supply Chain Solutions Inc. (7F24A0)</v>
          </cell>
        </row>
        <row r="7846">
          <cell r="D7846">
            <v>362.17</v>
          </cell>
          <cell r="H7846">
            <v>45748</v>
          </cell>
          <cell r="I7846" t="str">
            <v>6375 - Freight Expenses</v>
          </cell>
          <cell r="J7846" t="str">
            <v>Ecommerce (US)</v>
          </cell>
          <cell r="K7846" t="str">
            <v>Ecommerce</v>
          </cell>
          <cell r="L7846" t="str">
            <v>Freight</v>
          </cell>
          <cell r="N7846" t="str">
            <v>Direct Costs</v>
          </cell>
          <cell r="O7846" t="str">
            <v>UPS Supply Chain Solutions Inc. (7F24A0)</v>
          </cell>
        </row>
        <row r="7847">
          <cell r="D7847">
            <v>886.82</v>
          </cell>
          <cell r="H7847">
            <v>45748</v>
          </cell>
          <cell r="I7847" t="str">
            <v>6393 - Software</v>
          </cell>
          <cell r="J7847" t="str">
            <v>Wholesale</v>
          </cell>
          <cell r="K7847" t="str">
            <v>Wholesale</v>
          </cell>
          <cell r="L7847" t="str">
            <v>Professional Service</v>
          </cell>
          <cell r="N7847" t="str">
            <v>Direct Costs</v>
          </cell>
          <cell r="O7847" t="str">
            <v>SPS Commerce</v>
          </cell>
        </row>
        <row r="7848">
          <cell r="D7848">
            <v>1000</v>
          </cell>
          <cell r="H7848">
            <v>45748</v>
          </cell>
          <cell r="I7848" t="str">
            <v>6380 - Legal &amp; Accounting</v>
          </cell>
          <cell r="J7848">
            <v>0</v>
          </cell>
          <cell r="K7848" t="str">
            <v>Administration</v>
          </cell>
          <cell r="L7848" t="str">
            <v>Professional Service</v>
          </cell>
          <cell r="N7848" t="str">
            <v>SG&amp;A</v>
          </cell>
          <cell r="O7848" t="str">
            <v>Ko &amp; Yun, LLP - Operations</v>
          </cell>
        </row>
        <row r="7849">
          <cell r="D7849">
            <v>500</v>
          </cell>
          <cell r="H7849">
            <v>45748</v>
          </cell>
          <cell r="I7849" t="str">
            <v>6380 - Legal &amp; Accounting</v>
          </cell>
          <cell r="J7849">
            <v>0</v>
          </cell>
          <cell r="K7849" t="str">
            <v>Administration</v>
          </cell>
          <cell r="L7849" t="str">
            <v>Professional Service</v>
          </cell>
          <cell r="N7849" t="str">
            <v>SG&amp;A</v>
          </cell>
          <cell r="O7849" t="str">
            <v>Ko &amp; Yun, LLP - IP Holding</v>
          </cell>
        </row>
        <row r="7850">
          <cell r="D7850">
            <v>21.95</v>
          </cell>
          <cell r="H7850">
            <v>45748</v>
          </cell>
          <cell r="I7850" t="str">
            <v>6140 - Other</v>
          </cell>
          <cell r="J7850">
            <v>0</v>
          </cell>
          <cell r="K7850" t="str">
            <v>Administration</v>
          </cell>
          <cell r="L7850" t="str">
            <v>T&amp;E</v>
          </cell>
          <cell r="N7850" t="str">
            <v>SG&amp;A</v>
          </cell>
          <cell r="O7850" t="str">
            <v>[No Vendor]</v>
          </cell>
        </row>
        <row r="7851">
          <cell r="D7851">
            <v>112.08</v>
          </cell>
          <cell r="H7851">
            <v>45748</v>
          </cell>
          <cell r="I7851" t="str">
            <v>6300 - Payroll Service Fees</v>
          </cell>
          <cell r="J7851">
            <v>0</v>
          </cell>
          <cell r="K7851" t="str">
            <v>Administration</v>
          </cell>
          <cell r="L7851" t="str">
            <v>Professional Service</v>
          </cell>
          <cell r="N7851" t="str">
            <v>SG&amp;A</v>
          </cell>
          <cell r="O7851" t="str">
            <v>ADP Payroll Services</v>
          </cell>
        </row>
        <row r="7852">
          <cell r="D7852">
            <v>396.58</v>
          </cell>
          <cell r="H7852">
            <v>45748</v>
          </cell>
          <cell r="I7852" t="str">
            <v>6300 - Payroll Service Fees</v>
          </cell>
          <cell r="J7852">
            <v>0</v>
          </cell>
          <cell r="K7852" t="str">
            <v>Administration</v>
          </cell>
          <cell r="L7852" t="str">
            <v>Professional Service</v>
          </cell>
          <cell r="N7852" t="str">
            <v>SG&amp;A</v>
          </cell>
          <cell r="O7852" t="str">
            <v>ADP Payroll Services</v>
          </cell>
        </row>
        <row r="7853">
          <cell r="D7853">
            <v>24096.720000000001</v>
          </cell>
          <cell r="H7853">
            <v>45748</v>
          </cell>
          <cell r="I7853" t="str">
            <v>6375 - Freight Expenses</v>
          </cell>
          <cell r="J7853" t="str">
            <v>Ecommerce (US)</v>
          </cell>
          <cell r="K7853" t="str">
            <v>Ecommerce</v>
          </cell>
          <cell r="L7853" t="str">
            <v>Freight</v>
          </cell>
          <cell r="N7853" t="str">
            <v>Direct Costs</v>
          </cell>
          <cell r="O7853" t="str">
            <v>UPS Supply Chain Solutions Inc. (7F24A0)</v>
          </cell>
        </row>
        <row r="7854">
          <cell r="D7854">
            <v>369.56</v>
          </cell>
          <cell r="H7854">
            <v>45748</v>
          </cell>
          <cell r="I7854" t="str">
            <v>6375 - Freight Expenses</v>
          </cell>
          <cell r="J7854" t="str">
            <v>Wholesale</v>
          </cell>
          <cell r="K7854" t="str">
            <v>Wholesale</v>
          </cell>
          <cell r="L7854" t="str">
            <v>Freight</v>
          </cell>
          <cell r="N7854" t="str">
            <v>Direct Costs</v>
          </cell>
          <cell r="O7854" t="str">
            <v>UPS Supply Chain Solutions Inc. (7F24A0)</v>
          </cell>
        </row>
        <row r="7855">
          <cell r="D7855">
            <v>214.52</v>
          </cell>
          <cell r="H7855">
            <v>45748</v>
          </cell>
          <cell r="I7855" t="str">
            <v>6210 - Monitoring</v>
          </cell>
          <cell r="J7855" t="str">
            <v>Ecommerce (EU)</v>
          </cell>
          <cell r="K7855" t="str">
            <v>Ecommerce</v>
          </cell>
          <cell r="L7855" t="str">
            <v>Professional Service</v>
          </cell>
          <cell r="N7855" t="str">
            <v>Direct Costs</v>
          </cell>
          <cell r="O7855" t="str">
            <v>Convey SRL</v>
          </cell>
        </row>
        <row r="7856">
          <cell r="D7856">
            <v>1500</v>
          </cell>
          <cell r="H7856">
            <v>45748</v>
          </cell>
          <cell r="I7856" t="str">
            <v>6375 - Freight Expenses</v>
          </cell>
          <cell r="J7856" t="str">
            <v>Ecommerce (US)</v>
          </cell>
          <cell r="K7856" t="str">
            <v>Ecommerce</v>
          </cell>
          <cell r="L7856" t="str">
            <v>Freight</v>
          </cell>
          <cell r="N7856" t="str">
            <v>Direct Costs</v>
          </cell>
          <cell r="O7856" t="str">
            <v>Easy Post</v>
          </cell>
        </row>
        <row r="7857">
          <cell r="D7857">
            <v>1674</v>
          </cell>
          <cell r="H7857">
            <v>45748</v>
          </cell>
          <cell r="I7857" t="str">
            <v>6370 - Samples</v>
          </cell>
          <cell r="J7857" t="str">
            <v>Wholesale</v>
          </cell>
          <cell r="K7857" t="str">
            <v>Production</v>
          </cell>
          <cell r="L7857" t="str">
            <v>Sample</v>
          </cell>
          <cell r="N7857" t="str">
            <v>SG&amp;A</v>
          </cell>
          <cell r="O7857" t="str">
            <v>Sara Fashion Wear Ltd.</v>
          </cell>
        </row>
        <row r="7858">
          <cell r="D7858">
            <v>837</v>
          </cell>
          <cell r="H7858">
            <v>45748</v>
          </cell>
          <cell r="I7858" t="str">
            <v>6370 - Samples</v>
          </cell>
          <cell r="J7858">
            <v>0</v>
          </cell>
          <cell r="K7858" t="str">
            <v>Production</v>
          </cell>
          <cell r="L7858" t="str">
            <v>Sample</v>
          </cell>
          <cell r="N7858" t="str">
            <v>SG&amp;A</v>
          </cell>
          <cell r="O7858" t="str">
            <v>Sara Fashion Wear Ltd.</v>
          </cell>
        </row>
        <row r="7859">
          <cell r="D7859">
            <v>837</v>
          </cell>
          <cell r="H7859">
            <v>45748</v>
          </cell>
          <cell r="I7859" t="str">
            <v>6370 - Samples</v>
          </cell>
          <cell r="J7859">
            <v>0</v>
          </cell>
          <cell r="K7859" t="str">
            <v>Production</v>
          </cell>
          <cell r="L7859" t="str">
            <v>Sample</v>
          </cell>
          <cell r="N7859" t="str">
            <v>SG&amp;A</v>
          </cell>
          <cell r="O7859" t="str">
            <v>Sara Fashion Wear Ltd.</v>
          </cell>
        </row>
        <row r="7860">
          <cell r="D7860">
            <v>-75.92</v>
          </cell>
          <cell r="H7860">
            <v>45748</v>
          </cell>
          <cell r="I7860" t="str">
            <v>6375 - Freight Expenses</v>
          </cell>
          <cell r="J7860" t="str">
            <v>Ecommerce (US)</v>
          </cell>
          <cell r="K7860" t="str">
            <v>Ecommerce</v>
          </cell>
          <cell r="L7860" t="str">
            <v>Freight</v>
          </cell>
          <cell r="N7860" t="str">
            <v>Direct Costs</v>
          </cell>
          <cell r="O7860" t="str">
            <v>UPS Supply Chain Solutions Inc. (7F24A0)</v>
          </cell>
        </row>
        <row r="7861">
          <cell r="D7861">
            <v>142</v>
          </cell>
          <cell r="H7861">
            <v>45748</v>
          </cell>
          <cell r="I7861" t="str">
            <v>6040 - Employer Paid Benefits</v>
          </cell>
          <cell r="J7861">
            <v>0</v>
          </cell>
          <cell r="K7861" t="str">
            <v>Administration</v>
          </cell>
          <cell r="L7861" t="str">
            <v>HQ Salaries</v>
          </cell>
          <cell r="N7861" t="str">
            <v>SG&amp;A</v>
          </cell>
          <cell r="O7861" t="str">
            <v>Progressive Benefit Solutions LLC</v>
          </cell>
        </row>
        <row r="7862">
          <cell r="D7862">
            <v>2743.21</v>
          </cell>
          <cell r="H7862">
            <v>45748</v>
          </cell>
          <cell r="I7862" t="str">
            <v>6379 - Warehouse Storage</v>
          </cell>
          <cell r="J7862" t="str">
            <v>Wholesale</v>
          </cell>
          <cell r="K7862" t="str">
            <v>Wholesale</v>
          </cell>
          <cell r="L7862" t="str">
            <v>Order Processing</v>
          </cell>
          <cell r="N7862" t="str">
            <v>Direct Costs</v>
          </cell>
          <cell r="O7862" t="str">
            <v>Bergen Logistics Corporation</v>
          </cell>
        </row>
        <row r="7863">
          <cell r="D7863">
            <v>14332.53</v>
          </cell>
          <cell r="H7863">
            <v>45748</v>
          </cell>
          <cell r="I7863" t="str">
            <v>6379 - Warehouse Storage</v>
          </cell>
          <cell r="J7863" t="str">
            <v>Ecommerce (US)</v>
          </cell>
          <cell r="K7863" t="str">
            <v>Ecommerce</v>
          </cell>
          <cell r="L7863" t="str">
            <v>Order Processing</v>
          </cell>
          <cell r="N7863" t="str">
            <v>Direct Costs</v>
          </cell>
          <cell r="O7863" t="str">
            <v>Bergen Logistics Corporation</v>
          </cell>
        </row>
        <row r="7864">
          <cell r="D7864">
            <v>668.74</v>
          </cell>
          <cell r="H7864">
            <v>45748</v>
          </cell>
          <cell r="I7864" t="str">
            <v>6376 - Freight Supplies Other</v>
          </cell>
          <cell r="J7864" t="str">
            <v>Wholesale</v>
          </cell>
          <cell r="K7864" t="str">
            <v>Wholesale</v>
          </cell>
          <cell r="L7864" t="str">
            <v>Order Processing</v>
          </cell>
          <cell r="N7864" t="str">
            <v>Direct Costs</v>
          </cell>
          <cell r="O7864" t="str">
            <v>Bergen Logistics Corporation</v>
          </cell>
        </row>
        <row r="7865">
          <cell r="D7865">
            <v>191.51</v>
          </cell>
          <cell r="H7865">
            <v>45748</v>
          </cell>
          <cell r="I7865" t="str">
            <v>6376 - Freight Supplies Other</v>
          </cell>
          <cell r="J7865" t="str">
            <v>Ecommerce (EU)</v>
          </cell>
          <cell r="K7865" t="str">
            <v>Ecommerce</v>
          </cell>
          <cell r="L7865" t="str">
            <v>Order Processing</v>
          </cell>
          <cell r="N7865" t="str">
            <v>Direct Costs</v>
          </cell>
          <cell r="O7865" t="str">
            <v>Bergen Logistics Corporation</v>
          </cell>
        </row>
        <row r="7866">
          <cell r="D7866">
            <v>3156.71</v>
          </cell>
          <cell r="H7866">
            <v>45748</v>
          </cell>
          <cell r="I7866" t="str">
            <v>6376 - Freight Supplies Other</v>
          </cell>
          <cell r="J7866" t="str">
            <v>Ecommerce (US)</v>
          </cell>
          <cell r="K7866" t="str">
            <v>Ecommerce</v>
          </cell>
          <cell r="L7866" t="str">
            <v>Order Processing</v>
          </cell>
          <cell r="N7866" t="str">
            <v>Direct Costs</v>
          </cell>
          <cell r="O7866" t="str">
            <v>Bergen Logistics Corporation</v>
          </cell>
        </row>
        <row r="7867">
          <cell r="D7867">
            <v>11043.03</v>
          </cell>
          <cell r="H7867">
            <v>45748</v>
          </cell>
          <cell r="I7867" t="str">
            <v>6285 - SEM Brand Marketing</v>
          </cell>
          <cell r="J7867" t="str">
            <v>Ecommerce (US)</v>
          </cell>
          <cell r="K7867" t="str">
            <v>Brand Marketing</v>
          </cell>
          <cell r="L7867" t="str">
            <v>Advertising</v>
          </cell>
          <cell r="N7867" t="str">
            <v>SG&amp;A</v>
          </cell>
          <cell r="O7867" t="str">
            <v>Google</v>
          </cell>
        </row>
        <row r="7868">
          <cell r="D7868">
            <v>1320.08</v>
          </cell>
          <cell r="H7868">
            <v>45748</v>
          </cell>
          <cell r="I7868" t="str">
            <v>6285 - SEM Brand Marketing</v>
          </cell>
          <cell r="J7868" t="str">
            <v>Ecommerce (EU)</v>
          </cell>
          <cell r="K7868" t="str">
            <v>Brand Marketing</v>
          </cell>
          <cell r="L7868" t="str">
            <v>Advertising</v>
          </cell>
          <cell r="N7868" t="str">
            <v>SG&amp;A</v>
          </cell>
          <cell r="O7868" t="str">
            <v>Google</v>
          </cell>
        </row>
        <row r="7869">
          <cell r="D7869">
            <v>3694.72</v>
          </cell>
          <cell r="H7869">
            <v>45748</v>
          </cell>
          <cell r="I7869" t="str">
            <v>6377 - Order Processing Expenses (New)</v>
          </cell>
          <cell r="J7869" t="str">
            <v>Wholesale</v>
          </cell>
          <cell r="K7869" t="str">
            <v>Wholesale</v>
          </cell>
          <cell r="L7869" t="str">
            <v>Order Processing</v>
          </cell>
          <cell r="N7869" t="str">
            <v>Direct Costs</v>
          </cell>
          <cell r="O7869" t="str">
            <v>Bergen Logistics Corporation</v>
          </cell>
        </row>
        <row r="7870">
          <cell r="D7870">
            <v>1216.92</v>
          </cell>
          <cell r="H7870">
            <v>45748</v>
          </cell>
          <cell r="I7870" t="str">
            <v>6377 - Order Processing Expenses (New)</v>
          </cell>
          <cell r="J7870" t="str">
            <v>Ecommerce (EU)</v>
          </cell>
          <cell r="K7870" t="str">
            <v>Ecommerce</v>
          </cell>
          <cell r="L7870" t="str">
            <v>Order Processing</v>
          </cell>
          <cell r="N7870" t="str">
            <v>Direct Costs</v>
          </cell>
          <cell r="O7870" t="str">
            <v>Bergen Logistics Corporation</v>
          </cell>
        </row>
        <row r="7871">
          <cell r="D7871">
            <v>20415.61</v>
          </cell>
          <cell r="H7871">
            <v>45748</v>
          </cell>
          <cell r="I7871" t="str">
            <v>6377 - Order Processing Expenses (New)</v>
          </cell>
          <cell r="J7871" t="str">
            <v>Ecommerce (US)</v>
          </cell>
          <cell r="K7871" t="str">
            <v>Ecommerce</v>
          </cell>
          <cell r="L7871" t="str">
            <v>Order Processing</v>
          </cell>
          <cell r="N7871" t="str">
            <v>Direct Costs</v>
          </cell>
          <cell r="O7871" t="str">
            <v>Bergen Logistics Corporation</v>
          </cell>
        </row>
        <row r="7872">
          <cell r="D7872">
            <v>240.07</v>
          </cell>
          <cell r="H7872">
            <v>45748</v>
          </cell>
          <cell r="I7872" t="str">
            <v>6393 - Software</v>
          </cell>
          <cell r="J7872" t="str">
            <v>Wholesale</v>
          </cell>
          <cell r="K7872" t="str">
            <v>Wholesale</v>
          </cell>
          <cell r="L7872" t="str">
            <v>Professional Service</v>
          </cell>
          <cell r="N7872" t="str">
            <v>Direct Costs</v>
          </cell>
          <cell r="O7872" t="str">
            <v>Open Text</v>
          </cell>
        </row>
        <row r="7873">
          <cell r="D7873">
            <v>2015.48</v>
          </cell>
          <cell r="H7873">
            <v>45748</v>
          </cell>
          <cell r="I7873" t="str">
            <v>6393 - Software</v>
          </cell>
          <cell r="J7873">
            <v>0</v>
          </cell>
          <cell r="K7873" t="str">
            <v>Administration</v>
          </cell>
          <cell r="L7873" t="str">
            <v>Professional Service</v>
          </cell>
          <cell r="N7873" t="str">
            <v>Direct Costs</v>
          </cell>
          <cell r="O7873" t="str">
            <v>Avalara</v>
          </cell>
        </row>
        <row r="7874">
          <cell r="D7874">
            <v>1543.5</v>
          </cell>
          <cell r="H7874">
            <v>45748</v>
          </cell>
          <cell r="I7874" t="str">
            <v>6393 - Software</v>
          </cell>
          <cell r="J7874">
            <v>0</v>
          </cell>
          <cell r="K7874" t="str">
            <v>Administration</v>
          </cell>
          <cell r="L7874" t="str">
            <v>Professional Service</v>
          </cell>
          <cell r="N7874" t="str">
            <v>Direct Costs</v>
          </cell>
          <cell r="O7874" t="str">
            <v>Concur Technologies, Inc.</v>
          </cell>
        </row>
        <row r="7875">
          <cell r="D7875">
            <v>49.8</v>
          </cell>
          <cell r="H7875">
            <v>45748</v>
          </cell>
          <cell r="I7875" t="str">
            <v>6393 - Software</v>
          </cell>
          <cell r="J7875" t="str">
            <v>Wholesale</v>
          </cell>
          <cell r="K7875" t="str">
            <v>Wholesale</v>
          </cell>
          <cell r="L7875" t="str">
            <v>Professional Service</v>
          </cell>
          <cell r="N7875" t="str">
            <v>Direct Costs</v>
          </cell>
          <cell r="O7875" t="str">
            <v>Authorize.net</v>
          </cell>
        </row>
        <row r="7876">
          <cell r="D7876">
            <v>73.48</v>
          </cell>
          <cell r="H7876">
            <v>45748</v>
          </cell>
          <cell r="I7876" t="str">
            <v>6393 - Software</v>
          </cell>
          <cell r="J7876">
            <v>0</v>
          </cell>
          <cell r="K7876" t="str">
            <v>Administration</v>
          </cell>
          <cell r="L7876" t="str">
            <v>Professional Service</v>
          </cell>
          <cell r="N7876" t="str">
            <v>Direct Costs</v>
          </cell>
          <cell r="O7876" t="str">
            <v>Quickbook</v>
          </cell>
        </row>
        <row r="7877">
          <cell r="D7877">
            <v>1779.84</v>
          </cell>
          <cell r="H7877">
            <v>45748</v>
          </cell>
          <cell r="I7877" t="str">
            <v>6393 - Software</v>
          </cell>
          <cell r="J7877">
            <v>0</v>
          </cell>
          <cell r="K7877" t="str">
            <v>Administration</v>
          </cell>
          <cell r="L7877" t="str">
            <v>Professional Service</v>
          </cell>
          <cell r="N7877" t="str">
            <v>Direct Costs</v>
          </cell>
          <cell r="O7877" t="str">
            <v>Adobe, Inc.</v>
          </cell>
        </row>
        <row r="7878">
          <cell r="D7878">
            <v>21.78</v>
          </cell>
          <cell r="H7878">
            <v>45748</v>
          </cell>
          <cell r="I7878" t="str">
            <v>6393 - Software</v>
          </cell>
          <cell r="J7878">
            <v>0</v>
          </cell>
          <cell r="K7878" t="str">
            <v>Administration</v>
          </cell>
          <cell r="L7878" t="str">
            <v>Professional Service</v>
          </cell>
          <cell r="N7878" t="str">
            <v>Direct Costs</v>
          </cell>
          <cell r="O7878" t="str">
            <v>Chat GPT</v>
          </cell>
        </row>
        <row r="7879">
          <cell r="D7879">
            <v>11.99</v>
          </cell>
          <cell r="H7879">
            <v>45748</v>
          </cell>
          <cell r="I7879" t="str">
            <v>6393 - Software</v>
          </cell>
          <cell r="J7879">
            <v>0</v>
          </cell>
          <cell r="K7879" t="str">
            <v>Administration</v>
          </cell>
          <cell r="L7879" t="str">
            <v>Professional Service</v>
          </cell>
          <cell r="N7879" t="str">
            <v>Direct Costs</v>
          </cell>
          <cell r="O7879" t="str">
            <v>Spotify</v>
          </cell>
        </row>
        <row r="7880">
          <cell r="D7880">
            <v>16.989999999999998</v>
          </cell>
          <cell r="H7880">
            <v>45748</v>
          </cell>
          <cell r="I7880" t="str">
            <v>6393 - Software</v>
          </cell>
          <cell r="J7880">
            <v>0</v>
          </cell>
          <cell r="K7880" t="str">
            <v>Administration</v>
          </cell>
          <cell r="L7880" t="str">
            <v>Professional Service</v>
          </cell>
          <cell r="N7880" t="str">
            <v>Direct Costs</v>
          </cell>
          <cell r="O7880" t="str">
            <v>Otter</v>
          </cell>
        </row>
        <row r="7881">
          <cell r="D7881">
            <v>39993.43</v>
          </cell>
          <cell r="H7881">
            <v>45748</v>
          </cell>
          <cell r="I7881" t="str">
            <v>6393 - Software</v>
          </cell>
          <cell r="J7881" t="str">
            <v>Ecommerce (US)</v>
          </cell>
          <cell r="K7881" t="str">
            <v>Ecommerce</v>
          </cell>
          <cell r="L7881" t="str">
            <v>Professional Service</v>
          </cell>
          <cell r="N7881" t="str">
            <v>Direct Costs</v>
          </cell>
          <cell r="O7881" t="str">
            <v>Attentive Mobile Inc.</v>
          </cell>
        </row>
        <row r="7882">
          <cell r="D7882">
            <v>16.32</v>
          </cell>
          <cell r="H7882">
            <v>45748</v>
          </cell>
          <cell r="I7882" t="str">
            <v>6393 - Software</v>
          </cell>
          <cell r="J7882" t="str">
            <v>Ecommerce (US)</v>
          </cell>
          <cell r="K7882" t="str">
            <v>Ecommerce</v>
          </cell>
          <cell r="L7882" t="str">
            <v>Professional Service</v>
          </cell>
          <cell r="N7882" t="str">
            <v>Direct Costs</v>
          </cell>
          <cell r="O7882" t="str">
            <v>[No Vendor]</v>
          </cell>
        </row>
        <row r="7883">
          <cell r="D7883">
            <v>14</v>
          </cell>
          <cell r="H7883">
            <v>45748</v>
          </cell>
          <cell r="I7883" t="str">
            <v>6393 - Software</v>
          </cell>
          <cell r="J7883" t="str">
            <v>Ecommerce (US)</v>
          </cell>
          <cell r="K7883" t="str">
            <v>Ecommerce</v>
          </cell>
          <cell r="L7883" t="str">
            <v>Professional Service</v>
          </cell>
          <cell r="N7883" t="str">
            <v>Direct Costs</v>
          </cell>
          <cell r="O7883" t="str">
            <v>Amazon</v>
          </cell>
        </row>
        <row r="7884">
          <cell r="D7884">
            <v>10.07</v>
          </cell>
          <cell r="H7884">
            <v>45748</v>
          </cell>
          <cell r="I7884" t="str">
            <v>6393 - Software</v>
          </cell>
          <cell r="J7884" t="str">
            <v>Ecommerce (US)</v>
          </cell>
          <cell r="K7884" t="str">
            <v>Ecommerce</v>
          </cell>
          <cell r="L7884" t="str">
            <v>Professional Service</v>
          </cell>
          <cell r="N7884" t="str">
            <v>Direct Costs</v>
          </cell>
          <cell r="O7884" t="str">
            <v>[No Vendor]</v>
          </cell>
        </row>
        <row r="7885">
          <cell r="D7885">
            <v>1697.14</v>
          </cell>
          <cell r="H7885">
            <v>45748</v>
          </cell>
          <cell r="I7885" t="str">
            <v>6393 - Software</v>
          </cell>
          <cell r="J7885" t="str">
            <v>Ecommerce (US)</v>
          </cell>
          <cell r="K7885" t="str">
            <v>Ecommerce</v>
          </cell>
          <cell r="L7885" t="str">
            <v>Professional Service</v>
          </cell>
          <cell r="N7885" t="str">
            <v>Direct Costs</v>
          </cell>
          <cell r="O7885" t="str">
            <v>GORGIAS INC</v>
          </cell>
        </row>
        <row r="7886">
          <cell r="D7886">
            <v>9.5299999999999994</v>
          </cell>
          <cell r="H7886">
            <v>45748</v>
          </cell>
          <cell r="I7886" t="str">
            <v>6393 - Software</v>
          </cell>
          <cell r="J7886" t="str">
            <v>Ecommerce (US)</v>
          </cell>
          <cell r="K7886" t="str">
            <v>Ecommerce</v>
          </cell>
          <cell r="L7886" t="str">
            <v>Professional Service</v>
          </cell>
          <cell r="N7886" t="str">
            <v>Direct Costs</v>
          </cell>
          <cell r="O7886" t="str">
            <v>Slack</v>
          </cell>
        </row>
        <row r="7887">
          <cell r="D7887">
            <v>88</v>
          </cell>
          <cell r="H7887">
            <v>45748</v>
          </cell>
          <cell r="I7887" t="str">
            <v>6393 - Software</v>
          </cell>
          <cell r="J7887" t="str">
            <v>Wholesale</v>
          </cell>
          <cell r="K7887" t="str">
            <v>Wholesale</v>
          </cell>
          <cell r="L7887" t="str">
            <v>Professional Service</v>
          </cell>
          <cell r="N7887" t="str">
            <v>Direct Costs</v>
          </cell>
          <cell r="O7887" t="str">
            <v>SPS Commerce</v>
          </cell>
        </row>
        <row r="7888">
          <cell r="D7888">
            <v>85712.28</v>
          </cell>
          <cell r="H7888">
            <v>45748</v>
          </cell>
          <cell r="I7888" t="str">
            <v>6286 - SEM</v>
          </cell>
          <cell r="J7888" t="str">
            <v>Ecommerce (US)</v>
          </cell>
          <cell r="K7888" t="str">
            <v>Ecommerce</v>
          </cell>
          <cell r="L7888" t="str">
            <v>Marketing</v>
          </cell>
          <cell r="N7888" t="str">
            <v>Direct Costs</v>
          </cell>
          <cell r="O7888" t="str">
            <v>Google</v>
          </cell>
        </row>
        <row r="7889">
          <cell r="D7889">
            <v>6760.57</v>
          </cell>
          <cell r="H7889">
            <v>45748</v>
          </cell>
          <cell r="I7889" t="str">
            <v>6286 - SEM</v>
          </cell>
          <cell r="J7889" t="str">
            <v>Ecommerce (EU)</v>
          </cell>
          <cell r="K7889" t="str">
            <v>Ecommerce</v>
          </cell>
          <cell r="L7889" t="str">
            <v>Marketing</v>
          </cell>
          <cell r="N7889" t="str">
            <v>Direct Costs</v>
          </cell>
          <cell r="O7889" t="str">
            <v>Google</v>
          </cell>
        </row>
        <row r="7890">
          <cell r="D7890">
            <v>17147.439999999999</v>
          </cell>
          <cell r="H7890">
            <v>45748</v>
          </cell>
          <cell r="I7890" t="str">
            <v>6286 - SEM</v>
          </cell>
          <cell r="J7890" t="str">
            <v>Ecommerce (EU)</v>
          </cell>
          <cell r="K7890" t="str">
            <v>Ecommerce</v>
          </cell>
          <cell r="L7890" t="str">
            <v>Marketing</v>
          </cell>
          <cell r="N7890" t="str">
            <v>Direct Costs</v>
          </cell>
          <cell r="O7890" t="str">
            <v>Meta Platforms, Inc</v>
          </cell>
        </row>
        <row r="7891">
          <cell r="D7891">
            <v>125199.54</v>
          </cell>
          <cell r="H7891">
            <v>45748</v>
          </cell>
          <cell r="I7891" t="str">
            <v>6286 - SEM</v>
          </cell>
          <cell r="J7891" t="str">
            <v>Ecommerce (US)</v>
          </cell>
          <cell r="K7891" t="str">
            <v>Ecommerce</v>
          </cell>
          <cell r="L7891" t="str">
            <v>Marketing</v>
          </cell>
          <cell r="N7891" t="str">
            <v>Direct Costs</v>
          </cell>
          <cell r="O7891" t="str">
            <v>Meta Platforms, Inc</v>
          </cell>
        </row>
        <row r="7892">
          <cell r="D7892">
            <v>200</v>
          </cell>
          <cell r="H7892">
            <v>45748</v>
          </cell>
          <cell r="I7892" t="str">
            <v>6360 - Model - Fitting</v>
          </cell>
          <cell r="J7892">
            <v>0</v>
          </cell>
          <cell r="K7892" t="str">
            <v>Production</v>
          </cell>
          <cell r="L7892" t="str">
            <v>Sample</v>
          </cell>
          <cell r="N7892" t="str">
            <v>SG&amp;A</v>
          </cell>
          <cell r="O7892" t="str">
            <v>Lanny K.W. Inc.</v>
          </cell>
        </row>
        <row r="7893">
          <cell r="D7893">
            <v>776</v>
          </cell>
          <cell r="H7893">
            <v>45748</v>
          </cell>
          <cell r="I7893" t="str">
            <v>6380 - Legal &amp; Accounting</v>
          </cell>
          <cell r="J7893">
            <v>0</v>
          </cell>
          <cell r="K7893" t="str">
            <v>Administration</v>
          </cell>
          <cell r="L7893" t="str">
            <v>Professional Service</v>
          </cell>
          <cell r="N7893" t="str">
            <v>SG&amp;A</v>
          </cell>
          <cell r="O7893" t="str">
            <v>Greenwald Doherty LLP</v>
          </cell>
        </row>
        <row r="7894">
          <cell r="D7894">
            <v>5563.59</v>
          </cell>
          <cell r="H7894">
            <v>45748</v>
          </cell>
          <cell r="I7894" t="str">
            <v>6380 - Legal &amp; Accounting</v>
          </cell>
          <cell r="J7894">
            <v>0</v>
          </cell>
          <cell r="K7894" t="str">
            <v>Administration</v>
          </cell>
          <cell r="L7894" t="str">
            <v>Professional Service</v>
          </cell>
          <cell r="N7894" t="str">
            <v>SG&amp;A</v>
          </cell>
          <cell r="O7894" t="str">
            <v>Spheriens</v>
          </cell>
        </row>
        <row r="7895">
          <cell r="D7895">
            <v>15463.72</v>
          </cell>
          <cell r="H7895">
            <v>45748</v>
          </cell>
          <cell r="I7895" t="str">
            <v>6380 - Legal &amp; Accounting</v>
          </cell>
          <cell r="J7895">
            <v>0</v>
          </cell>
          <cell r="K7895" t="str">
            <v>Administration</v>
          </cell>
          <cell r="L7895" t="str">
            <v>Professional Service</v>
          </cell>
          <cell r="N7895" t="str">
            <v>SG&amp;A</v>
          </cell>
          <cell r="O7895" t="str">
            <v>The Wave IP Law Firm</v>
          </cell>
        </row>
        <row r="7896">
          <cell r="D7896">
            <v>-42.35</v>
          </cell>
          <cell r="H7896">
            <v>45748</v>
          </cell>
          <cell r="I7896" t="str">
            <v>6340 - Miscellaneous Expense</v>
          </cell>
          <cell r="J7896">
            <v>0</v>
          </cell>
          <cell r="K7896" t="str">
            <v>Administration</v>
          </cell>
          <cell r="L7896" t="str">
            <v>Other</v>
          </cell>
          <cell r="N7896" t="str">
            <v>SG&amp;A</v>
          </cell>
          <cell r="O7896" t="str">
            <v>[No Vendor]</v>
          </cell>
        </row>
        <row r="7897">
          <cell r="D7897">
            <v>184.69</v>
          </cell>
          <cell r="H7897">
            <v>45748</v>
          </cell>
          <cell r="I7897" t="str">
            <v>6340 - Miscellaneous Expense</v>
          </cell>
          <cell r="J7897">
            <v>0</v>
          </cell>
          <cell r="K7897" t="str">
            <v>Administration</v>
          </cell>
          <cell r="L7897" t="str">
            <v>Other</v>
          </cell>
          <cell r="N7897" t="str">
            <v>SG&amp;A</v>
          </cell>
          <cell r="O7897" t="str">
            <v>Amazon Capital Services</v>
          </cell>
        </row>
        <row r="7898">
          <cell r="D7898">
            <v>591.1</v>
          </cell>
          <cell r="H7898">
            <v>45748</v>
          </cell>
          <cell r="I7898" t="str">
            <v>6370 - Samples</v>
          </cell>
          <cell r="J7898">
            <v>0</v>
          </cell>
          <cell r="K7898" t="str">
            <v>Production</v>
          </cell>
          <cell r="L7898" t="str">
            <v>Sample</v>
          </cell>
          <cell r="N7898" t="str">
            <v>SG&amp;A</v>
          </cell>
          <cell r="O7898" t="str">
            <v>Sara Fashion Wear Ltd.</v>
          </cell>
        </row>
        <row r="7899">
          <cell r="D7899">
            <v>591.1</v>
          </cell>
          <cell r="H7899">
            <v>45748</v>
          </cell>
          <cell r="I7899" t="str">
            <v>6370 - Samples</v>
          </cell>
          <cell r="J7899">
            <v>0</v>
          </cell>
          <cell r="K7899" t="str">
            <v>Production</v>
          </cell>
          <cell r="L7899" t="str">
            <v>Sample</v>
          </cell>
          <cell r="N7899" t="str">
            <v>SG&amp;A</v>
          </cell>
          <cell r="O7899" t="str">
            <v>Sara Fashion Wear Ltd.</v>
          </cell>
        </row>
        <row r="7900">
          <cell r="D7900">
            <v>1182.2</v>
          </cell>
          <cell r="H7900">
            <v>45748</v>
          </cell>
          <cell r="I7900" t="str">
            <v>6370 - Samples</v>
          </cell>
          <cell r="J7900" t="str">
            <v>Wholesale</v>
          </cell>
          <cell r="K7900" t="str">
            <v>Production</v>
          </cell>
          <cell r="L7900" t="str">
            <v>Sample</v>
          </cell>
          <cell r="N7900" t="str">
            <v>SG&amp;A</v>
          </cell>
          <cell r="O7900" t="str">
            <v>Sara Fashion Wear Ltd.</v>
          </cell>
        </row>
        <row r="7901">
          <cell r="D7901">
            <v>60</v>
          </cell>
          <cell r="H7901">
            <v>45748</v>
          </cell>
          <cell r="I7901" t="str">
            <v>6140 - Other</v>
          </cell>
          <cell r="J7901">
            <v>0</v>
          </cell>
          <cell r="K7901" t="str">
            <v>Executive</v>
          </cell>
          <cell r="L7901" t="str">
            <v>T&amp;E</v>
          </cell>
          <cell r="N7901" t="str">
            <v>SG&amp;A</v>
          </cell>
          <cell r="O7901" t="str">
            <v>[No Vendor]</v>
          </cell>
        </row>
        <row r="7902">
          <cell r="D7902">
            <v>274.18</v>
          </cell>
          <cell r="H7902">
            <v>45748</v>
          </cell>
          <cell r="I7902" t="str">
            <v>6450 - Bank &amp; Other Fees</v>
          </cell>
          <cell r="J7902">
            <v>0</v>
          </cell>
          <cell r="K7902" t="str">
            <v>Administration</v>
          </cell>
          <cell r="L7902" t="str">
            <v>Professional Service</v>
          </cell>
          <cell r="N7902" t="str">
            <v>SG&amp;A</v>
          </cell>
          <cell r="O7902" t="str">
            <v>[No Vendor]</v>
          </cell>
        </row>
        <row r="7903">
          <cell r="D7903">
            <v>0.15</v>
          </cell>
          <cell r="H7903">
            <v>45748</v>
          </cell>
          <cell r="I7903" t="str">
            <v>6450 - Bank &amp; Other Fees</v>
          </cell>
          <cell r="J7903" t="str">
            <v>Ecommerce (US)</v>
          </cell>
          <cell r="K7903" t="str">
            <v>Ecommerce</v>
          </cell>
          <cell r="L7903" t="str">
            <v>Professional Service</v>
          </cell>
          <cell r="N7903" t="str">
            <v>Direct Costs</v>
          </cell>
          <cell r="O7903" t="str">
            <v>[No Vendor]</v>
          </cell>
        </row>
        <row r="7904">
          <cell r="D7904">
            <v>0.21</v>
          </cell>
          <cell r="H7904">
            <v>45748</v>
          </cell>
          <cell r="I7904" t="str">
            <v>6450 - Bank &amp; Other Fees</v>
          </cell>
          <cell r="J7904" t="str">
            <v>Ecommerce (US)</v>
          </cell>
          <cell r="K7904" t="str">
            <v>Ecommerce</v>
          </cell>
          <cell r="L7904" t="str">
            <v>Professional Service</v>
          </cell>
          <cell r="N7904" t="str">
            <v>Direct Costs</v>
          </cell>
          <cell r="O7904" t="str">
            <v>[No Vendor]</v>
          </cell>
        </row>
        <row r="7905">
          <cell r="D7905">
            <v>65.33</v>
          </cell>
          <cell r="H7905">
            <v>45748</v>
          </cell>
          <cell r="I7905" t="str">
            <v>6400 - Utilities</v>
          </cell>
          <cell r="J7905">
            <v>0</v>
          </cell>
          <cell r="K7905" t="str">
            <v>Administration</v>
          </cell>
          <cell r="L7905" t="str">
            <v>Other</v>
          </cell>
          <cell r="N7905" t="str">
            <v>SG&amp;A</v>
          </cell>
          <cell r="O7905" t="str">
            <v>NYC Intercom Inc</v>
          </cell>
        </row>
        <row r="7906">
          <cell r="D7906">
            <v>438.75</v>
          </cell>
          <cell r="H7906">
            <v>45748</v>
          </cell>
          <cell r="I7906" t="str">
            <v>6300 - Payroll Service Fees</v>
          </cell>
          <cell r="J7906">
            <v>0</v>
          </cell>
          <cell r="K7906" t="str">
            <v>Administration</v>
          </cell>
          <cell r="L7906" t="str">
            <v>Professional Service</v>
          </cell>
          <cell r="N7906" t="str">
            <v>SG&amp;A</v>
          </cell>
          <cell r="O7906" t="str">
            <v>OperationsInc, LLC</v>
          </cell>
        </row>
        <row r="7907">
          <cell r="D7907">
            <v>12876.3</v>
          </cell>
          <cell r="H7907">
            <v>45748</v>
          </cell>
          <cell r="I7907" t="str">
            <v>6225 - Professional Services</v>
          </cell>
          <cell r="J7907" t="str">
            <v>Ecommerce (US)</v>
          </cell>
          <cell r="K7907" t="str">
            <v>Ecommerce</v>
          </cell>
          <cell r="L7907" t="str">
            <v>Professional Service</v>
          </cell>
          <cell r="N7907" t="str">
            <v>Direct Costs</v>
          </cell>
          <cell r="O7907" t="str">
            <v>Rareview, LLC</v>
          </cell>
        </row>
        <row r="7908">
          <cell r="D7908">
            <v>150</v>
          </cell>
          <cell r="H7908">
            <v>45748</v>
          </cell>
          <cell r="I7908" t="str">
            <v>6225 - Professional Services</v>
          </cell>
          <cell r="J7908">
            <v>0</v>
          </cell>
          <cell r="K7908" t="str">
            <v>Administration</v>
          </cell>
          <cell r="L7908" t="str">
            <v>Professional Service</v>
          </cell>
          <cell r="N7908" t="str">
            <v>Direct Costs</v>
          </cell>
          <cell r="O7908" t="str">
            <v>Benefit Resource, LLC</v>
          </cell>
        </row>
        <row r="7909">
          <cell r="D7909">
            <v>3000</v>
          </cell>
          <cell r="H7909">
            <v>45748</v>
          </cell>
          <cell r="I7909" t="str">
            <v>6225 - Professional Services</v>
          </cell>
          <cell r="J7909">
            <v>0</v>
          </cell>
          <cell r="K7909" t="str">
            <v>Brand Marketing</v>
          </cell>
          <cell r="L7909" t="str">
            <v>Professional Service</v>
          </cell>
          <cell r="N7909" t="str">
            <v>Direct Costs</v>
          </cell>
          <cell r="O7909" t="str">
            <v>The Lede Company, LLC</v>
          </cell>
        </row>
        <row r="7910">
          <cell r="D7910">
            <v>2.9</v>
          </cell>
          <cell r="H7910">
            <v>45748</v>
          </cell>
          <cell r="I7910" t="str">
            <v>6125 - Transportation and Fuel</v>
          </cell>
          <cell r="J7910">
            <v>0</v>
          </cell>
          <cell r="K7910" t="str">
            <v>Administration</v>
          </cell>
          <cell r="L7910" t="str">
            <v>T&amp;E</v>
          </cell>
          <cell r="N7910" t="str">
            <v>SG&amp;A</v>
          </cell>
          <cell r="O7910" t="str">
            <v>[No Vendor]</v>
          </cell>
        </row>
        <row r="7911">
          <cell r="D7911">
            <v>51.55</v>
          </cell>
          <cell r="H7911">
            <v>45748</v>
          </cell>
          <cell r="I7911" t="str">
            <v>6105 - Meals</v>
          </cell>
          <cell r="J7911">
            <v>0</v>
          </cell>
          <cell r="K7911" t="str">
            <v>Administration</v>
          </cell>
          <cell r="L7911" t="str">
            <v>T&amp;E</v>
          </cell>
          <cell r="N7911" t="str">
            <v>SG&amp;A</v>
          </cell>
          <cell r="O7911" t="str">
            <v>[No Vendor]</v>
          </cell>
        </row>
        <row r="7912">
          <cell r="D7912">
            <v>2343.94</v>
          </cell>
          <cell r="H7912">
            <v>45748</v>
          </cell>
          <cell r="I7912" t="str">
            <v>6375 - Freight Expenses</v>
          </cell>
          <cell r="J7912">
            <v>0</v>
          </cell>
          <cell r="K7912" t="str">
            <v>Production</v>
          </cell>
          <cell r="L7912" t="str">
            <v>Freight</v>
          </cell>
          <cell r="N7912" t="str">
            <v>Direct Costs</v>
          </cell>
          <cell r="O7912" t="str">
            <v>DHL Express - USA</v>
          </cell>
        </row>
        <row r="7913">
          <cell r="D7913">
            <v>110.51</v>
          </cell>
          <cell r="H7913">
            <v>45748</v>
          </cell>
          <cell r="I7913" t="str">
            <v>6375 - Freight Expenses</v>
          </cell>
          <cell r="J7913">
            <v>0</v>
          </cell>
          <cell r="K7913" t="str">
            <v>Production</v>
          </cell>
          <cell r="L7913" t="str">
            <v>Freight</v>
          </cell>
          <cell r="N7913" t="str">
            <v>Direct Costs</v>
          </cell>
          <cell r="O7913" t="str">
            <v>DHL Express - USA</v>
          </cell>
        </row>
        <row r="7914">
          <cell r="D7914">
            <v>203.35</v>
          </cell>
          <cell r="H7914">
            <v>45748</v>
          </cell>
          <cell r="I7914" t="str">
            <v>6375 - Freight Expenses</v>
          </cell>
          <cell r="J7914" t="str">
            <v>Ecommerce (US)</v>
          </cell>
          <cell r="K7914" t="str">
            <v>Ecommerce</v>
          </cell>
          <cell r="L7914" t="str">
            <v>Freight</v>
          </cell>
          <cell r="N7914" t="str">
            <v>Direct Costs</v>
          </cell>
          <cell r="O7914" t="str">
            <v>UPS Supply Chain Solutions Inc. (7F24A0)</v>
          </cell>
        </row>
        <row r="7915">
          <cell r="D7915">
            <v>48</v>
          </cell>
          <cell r="H7915">
            <v>45748</v>
          </cell>
          <cell r="I7915" t="str">
            <v>6040 - Employer Paid Benefits</v>
          </cell>
          <cell r="J7915" t="str">
            <v>Wholesale</v>
          </cell>
          <cell r="K7915" t="str">
            <v>Wholesale</v>
          </cell>
          <cell r="L7915" t="str">
            <v>HQ Salaries</v>
          </cell>
          <cell r="N7915" t="str">
            <v>SG&amp;A</v>
          </cell>
          <cell r="O7915" t="str">
            <v>Procyon Benefits LLC</v>
          </cell>
        </row>
        <row r="7916">
          <cell r="D7916">
            <v>84.59</v>
          </cell>
          <cell r="H7916">
            <v>45748</v>
          </cell>
          <cell r="I7916" t="str">
            <v>6040 - Employer Paid Benefits</v>
          </cell>
          <cell r="J7916">
            <v>0</v>
          </cell>
          <cell r="K7916" t="str">
            <v>Production</v>
          </cell>
          <cell r="L7916" t="str">
            <v>HQ Salaries</v>
          </cell>
          <cell r="N7916" t="str">
            <v>SG&amp;A</v>
          </cell>
          <cell r="O7916" t="str">
            <v>Procyon Benefits LLC</v>
          </cell>
        </row>
        <row r="7917">
          <cell r="D7917">
            <v>163.69999999999999</v>
          </cell>
          <cell r="H7917">
            <v>45748</v>
          </cell>
          <cell r="I7917" t="str">
            <v>6040 - Employer Paid Benefits</v>
          </cell>
          <cell r="J7917">
            <v>0</v>
          </cell>
          <cell r="K7917" t="str">
            <v>Merchandising</v>
          </cell>
          <cell r="L7917" t="str">
            <v>HQ Salaries</v>
          </cell>
          <cell r="N7917" t="str">
            <v>SG&amp;A</v>
          </cell>
          <cell r="O7917" t="str">
            <v>Procyon Benefits LLC</v>
          </cell>
        </row>
        <row r="7918">
          <cell r="D7918">
            <v>55.5</v>
          </cell>
          <cell r="H7918">
            <v>45748</v>
          </cell>
          <cell r="I7918" t="str">
            <v>6040 - Employer Paid Benefits</v>
          </cell>
          <cell r="J7918" t="str">
            <v>Ecommerce (US)</v>
          </cell>
          <cell r="K7918" t="str">
            <v>Ecommerce</v>
          </cell>
          <cell r="L7918" t="str">
            <v>HQ Salaries</v>
          </cell>
          <cell r="N7918" t="str">
            <v>SG&amp;A</v>
          </cell>
          <cell r="O7918" t="str">
            <v>Procyon Benefits LLC</v>
          </cell>
        </row>
        <row r="7919">
          <cell r="D7919">
            <v>3.25</v>
          </cell>
          <cell r="H7919">
            <v>45748</v>
          </cell>
          <cell r="I7919" t="str">
            <v>6040 - Employer Paid Benefits</v>
          </cell>
          <cell r="J7919">
            <v>0</v>
          </cell>
          <cell r="K7919" t="str">
            <v>Executive</v>
          </cell>
          <cell r="L7919" t="str">
            <v>HQ Salaries</v>
          </cell>
          <cell r="N7919" t="str">
            <v>SG&amp;A</v>
          </cell>
          <cell r="O7919" t="str">
            <v>Procyon Benefits LLC</v>
          </cell>
        </row>
        <row r="7920">
          <cell r="D7920">
            <v>409.88</v>
          </cell>
          <cell r="H7920">
            <v>45748</v>
          </cell>
          <cell r="I7920" t="str">
            <v>6040 - Employer Paid Benefits</v>
          </cell>
          <cell r="J7920">
            <v>0</v>
          </cell>
          <cell r="K7920" t="str">
            <v>Design</v>
          </cell>
          <cell r="L7920" t="str">
            <v>HQ Salaries</v>
          </cell>
          <cell r="N7920" t="str">
            <v>SG&amp;A</v>
          </cell>
          <cell r="O7920" t="str">
            <v>Procyon Benefits LLC</v>
          </cell>
        </row>
        <row r="7921">
          <cell r="D7921">
            <v>1497.72</v>
          </cell>
          <cell r="H7921">
            <v>45748</v>
          </cell>
          <cell r="I7921" t="str">
            <v>6040 - Employer Paid Benefits</v>
          </cell>
          <cell r="J7921">
            <v>0</v>
          </cell>
          <cell r="K7921" t="str">
            <v>Administration</v>
          </cell>
          <cell r="L7921" t="str">
            <v>HQ Salaries</v>
          </cell>
          <cell r="N7921" t="str">
            <v>SG&amp;A</v>
          </cell>
          <cell r="O7921" t="str">
            <v>Procyon Benefits LLC</v>
          </cell>
        </row>
        <row r="7922">
          <cell r="D7922">
            <v>-47604.55</v>
          </cell>
          <cell r="H7922">
            <v>45748</v>
          </cell>
          <cell r="I7922" t="str">
            <v>4010 - Revenue - Licensing Fees (Royalties)</v>
          </cell>
          <cell r="J7922">
            <v>0</v>
          </cell>
          <cell r="K7922" t="str">
            <v>Licensing</v>
          </cell>
          <cell r="L7922" t="str">
            <v>License</v>
          </cell>
          <cell r="N7922" t="str">
            <v>Revenue</v>
          </cell>
          <cell r="O7922" t="str">
            <v>[No Vendor]</v>
          </cell>
        </row>
        <row r="7923">
          <cell r="D7923">
            <v>0</v>
          </cell>
          <cell r="H7923">
            <v>45748</v>
          </cell>
          <cell r="I7923" t="str">
            <v>8050 - Other Income</v>
          </cell>
          <cell r="J7923">
            <v>0</v>
          </cell>
          <cell r="K7923" t="str">
            <v>Administration</v>
          </cell>
          <cell r="L7923" t="str">
            <v>Other Income (BTL)</v>
          </cell>
          <cell r="N7923" t="str">
            <v>BTL</v>
          </cell>
          <cell r="O7923" t="str">
            <v>[No Vendor]</v>
          </cell>
        </row>
        <row r="7924">
          <cell r="D7924">
            <v>-2039.06</v>
          </cell>
          <cell r="H7924">
            <v>45748</v>
          </cell>
          <cell r="I7924" t="str">
            <v>6379 - Warehouse Storage</v>
          </cell>
          <cell r="J7924" t="str">
            <v>Ecommerce (US)</v>
          </cell>
          <cell r="K7924" t="str">
            <v>Ecommerce</v>
          </cell>
          <cell r="L7924" t="str">
            <v>Order Processing</v>
          </cell>
          <cell r="N7924" t="str">
            <v>Direct Costs</v>
          </cell>
          <cell r="O7924" t="str">
            <v>Bergen Logistics Corporation</v>
          </cell>
        </row>
        <row r="7925">
          <cell r="D7925">
            <v>2039.06</v>
          </cell>
          <cell r="H7925">
            <v>45748</v>
          </cell>
          <cell r="I7925" t="str">
            <v>6379 - Warehouse Storage</v>
          </cell>
          <cell r="J7925" t="str">
            <v>Ecommerce (EU)</v>
          </cell>
          <cell r="K7925" t="str">
            <v>Ecommerce</v>
          </cell>
          <cell r="L7925" t="str">
            <v>Order Processing</v>
          </cell>
          <cell r="N7925" t="str">
            <v>Direct Costs</v>
          </cell>
          <cell r="O7925" t="str">
            <v>Bergen Logistics Corporation</v>
          </cell>
        </row>
        <row r="7926">
          <cell r="D7926">
            <v>5195.93</v>
          </cell>
          <cell r="H7926">
            <v>45748</v>
          </cell>
          <cell r="I7926" t="str">
            <v>6451 - Service Processing Fee</v>
          </cell>
          <cell r="J7926" t="str">
            <v>Ecommerce (EU)</v>
          </cell>
          <cell r="K7926" t="str">
            <v>Ecommerce</v>
          </cell>
          <cell r="L7926" t="str">
            <v>Professional Service</v>
          </cell>
          <cell r="N7926" t="str">
            <v>Direct Costs</v>
          </cell>
          <cell r="O7926" t="str">
            <v>[No Vendor]</v>
          </cell>
        </row>
        <row r="7927">
          <cell r="D7927">
            <v>685.53</v>
          </cell>
          <cell r="H7927">
            <v>45748</v>
          </cell>
          <cell r="I7927" t="str">
            <v>6451 - Service Processing Fee</v>
          </cell>
          <cell r="J7927" t="str">
            <v>Ecommerce (EU)</v>
          </cell>
          <cell r="K7927" t="str">
            <v>Ecommerce</v>
          </cell>
          <cell r="L7927" t="str">
            <v>Professional Service</v>
          </cell>
          <cell r="N7927" t="str">
            <v>Direct Costs</v>
          </cell>
          <cell r="O7927" t="str">
            <v>[No Vendor]</v>
          </cell>
        </row>
        <row r="7928">
          <cell r="D7928">
            <v>45480.77</v>
          </cell>
          <cell r="H7928">
            <v>45748</v>
          </cell>
          <cell r="I7928" t="str">
            <v>6451 - Service Processing Fee</v>
          </cell>
          <cell r="J7928" t="str">
            <v>Ecommerce (US)</v>
          </cell>
          <cell r="K7928" t="str">
            <v>Ecommerce</v>
          </cell>
          <cell r="L7928" t="str">
            <v>Professional Service</v>
          </cell>
          <cell r="N7928" t="str">
            <v>Direct Costs</v>
          </cell>
          <cell r="O7928" t="str">
            <v>Shopify</v>
          </cell>
        </row>
        <row r="7929">
          <cell r="D7929">
            <v>9542.25</v>
          </cell>
          <cell r="H7929">
            <v>45748</v>
          </cell>
          <cell r="I7929" t="str">
            <v>6451 - Service Processing Fee</v>
          </cell>
          <cell r="J7929" t="str">
            <v>Ecommerce (US)</v>
          </cell>
          <cell r="K7929" t="str">
            <v>Ecommerce</v>
          </cell>
          <cell r="L7929" t="str">
            <v>Professional Service</v>
          </cell>
          <cell r="N7929" t="str">
            <v>Direct Costs</v>
          </cell>
          <cell r="O7929" t="str">
            <v>Amazon</v>
          </cell>
        </row>
        <row r="7930">
          <cell r="D7930">
            <v>300000</v>
          </cell>
          <cell r="H7930">
            <v>45748</v>
          </cell>
          <cell r="I7930" t="str">
            <v>8700 - Other Expense</v>
          </cell>
          <cell r="J7930">
            <v>0</v>
          </cell>
          <cell r="K7930" t="str">
            <v>Administration</v>
          </cell>
          <cell r="L7930" t="str">
            <v>Other Expense</v>
          </cell>
          <cell r="N7930" t="str">
            <v>BTL</v>
          </cell>
          <cell r="O7930" t="str">
            <v>[No Vendor]</v>
          </cell>
        </row>
        <row r="7931">
          <cell r="D7931">
            <v>-14533.93</v>
          </cell>
          <cell r="H7931">
            <v>45748</v>
          </cell>
          <cell r="I7931" t="str">
            <v>8700 - Other Expense</v>
          </cell>
          <cell r="J7931" t="str">
            <v>Ecommerce (US)</v>
          </cell>
          <cell r="K7931" t="str">
            <v>Ecommerce</v>
          </cell>
          <cell r="L7931" t="str">
            <v>Other Expense</v>
          </cell>
          <cell r="N7931" t="str">
            <v>BTL</v>
          </cell>
          <cell r="O7931" t="str">
            <v>[No Vendor]</v>
          </cell>
        </row>
        <row r="7932">
          <cell r="D7932">
            <v>-904.94</v>
          </cell>
          <cell r="H7932">
            <v>45748</v>
          </cell>
          <cell r="I7932" t="str">
            <v>8700 - Other Expense</v>
          </cell>
          <cell r="J7932" t="str">
            <v>Ecommerce (EU)</v>
          </cell>
          <cell r="K7932" t="str">
            <v>Ecommerce</v>
          </cell>
          <cell r="L7932" t="str">
            <v>Other Expense</v>
          </cell>
          <cell r="N7932" t="str">
            <v>BTL</v>
          </cell>
          <cell r="O7932" t="str">
            <v>Global E</v>
          </cell>
        </row>
        <row r="7933">
          <cell r="D7933">
            <v>-214425</v>
          </cell>
          <cell r="H7933">
            <v>45748</v>
          </cell>
          <cell r="I7933" t="str">
            <v>4052 - Sales Revenue - Wholesale (US)</v>
          </cell>
          <cell r="J7933" t="str">
            <v>Wholesale</v>
          </cell>
          <cell r="K7933" t="str">
            <v>Wholesale</v>
          </cell>
          <cell r="L7933" t="str">
            <v>Wholesale</v>
          </cell>
          <cell r="N7933" t="str">
            <v>Revenue</v>
          </cell>
          <cell r="O7933" t="str">
            <v>[No Vendor]</v>
          </cell>
        </row>
        <row r="7934">
          <cell r="D7934">
            <v>-1310815.83</v>
          </cell>
          <cell r="H7934">
            <v>45748</v>
          </cell>
          <cell r="I7934" t="str">
            <v>4050 - Sales Revenue - Ecommerce (US)</v>
          </cell>
          <cell r="J7934" t="str">
            <v>Ecommerce (US)</v>
          </cell>
          <cell r="K7934" t="str">
            <v>Ecommerce</v>
          </cell>
          <cell r="L7934" t="str">
            <v>Ecommerce (US)</v>
          </cell>
          <cell r="N7934" t="str">
            <v>Revenue</v>
          </cell>
          <cell r="O7934" t="str">
            <v>[No Vendor]</v>
          </cell>
        </row>
        <row r="7935">
          <cell r="D7935">
            <v>-57847.57</v>
          </cell>
          <cell r="H7935">
            <v>45748</v>
          </cell>
          <cell r="I7935" t="str">
            <v>4050 - Sales Revenue - Ecommerce (US)</v>
          </cell>
          <cell r="J7935" t="str">
            <v>Ecommerce (US)</v>
          </cell>
          <cell r="K7935" t="str">
            <v>Ecommerce</v>
          </cell>
          <cell r="L7935" t="str">
            <v>Ecommerce (US)</v>
          </cell>
          <cell r="N7935" t="str">
            <v>Revenue</v>
          </cell>
          <cell r="O7935" t="str">
            <v>[No Vendor]</v>
          </cell>
        </row>
        <row r="7936">
          <cell r="D7936">
            <v>0</v>
          </cell>
          <cell r="H7936">
            <v>45748</v>
          </cell>
          <cell r="I7936" t="str">
            <v>6041 - Employee Benefit Other</v>
          </cell>
          <cell r="J7936">
            <v>0</v>
          </cell>
          <cell r="K7936" t="str">
            <v>Merchandising</v>
          </cell>
          <cell r="L7936" t="str">
            <v>HQ Salaries</v>
          </cell>
          <cell r="N7936" t="str">
            <v>SG&amp;A</v>
          </cell>
          <cell r="O7936" t="str">
            <v>[No Vendor]</v>
          </cell>
        </row>
        <row r="7937">
          <cell r="D7937">
            <v>0</v>
          </cell>
          <cell r="H7937">
            <v>45748</v>
          </cell>
          <cell r="I7937" t="str">
            <v>6041 - Employee Benefit Other</v>
          </cell>
          <cell r="J7937" t="str">
            <v>Wholesale</v>
          </cell>
          <cell r="K7937" t="str">
            <v>Wholesale</v>
          </cell>
          <cell r="L7937" t="str">
            <v>HQ Salaries</v>
          </cell>
          <cell r="N7937" t="str">
            <v>SG&amp;A</v>
          </cell>
          <cell r="O7937" t="str">
            <v>[No Vendor]</v>
          </cell>
        </row>
        <row r="7938">
          <cell r="D7938">
            <v>0</v>
          </cell>
          <cell r="H7938">
            <v>45748</v>
          </cell>
          <cell r="I7938" t="str">
            <v>6041 - Employee Benefit Other</v>
          </cell>
          <cell r="J7938" t="str">
            <v>Ecommerce (US)</v>
          </cell>
          <cell r="K7938" t="str">
            <v>Ecommerce</v>
          </cell>
          <cell r="L7938" t="str">
            <v>HQ Salaries</v>
          </cell>
          <cell r="N7938" t="str">
            <v>SG&amp;A</v>
          </cell>
          <cell r="O7938" t="str">
            <v>[No Vendor]</v>
          </cell>
        </row>
        <row r="7939">
          <cell r="D7939">
            <v>221.94</v>
          </cell>
          <cell r="H7939">
            <v>45748</v>
          </cell>
          <cell r="I7939" t="str">
            <v>6041 - Employee Benefit Other</v>
          </cell>
          <cell r="J7939">
            <v>0</v>
          </cell>
          <cell r="K7939" t="str">
            <v>Production</v>
          </cell>
          <cell r="L7939" t="str">
            <v>HQ Salaries</v>
          </cell>
          <cell r="N7939" t="str">
            <v>SG&amp;A</v>
          </cell>
          <cell r="O7939" t="str">
            <v>[No Vendor]</v>
          </cell>
        </row>
        <row r="7940">
          <cell r="D7940">
            <v>0</v>
          </cell>
          <cell r="H7940">
            <v>45748</v>
          </cell>
          <cell r="I7940" t="str">
            <v>6041 - Employee Benefit Other</v>
          </cell>
          <cell r="J7940">
            <v>0</v>
          </cell>
          <cell r="K7940" t="str">
            <v>Design</v>
          </cell>
          <cell r="L7940" t="str">
            <v>HQ Salaries</v>
          </cell>
          <cell r="N7940" t="str">
            <v>SG&amp;A</v>
          </cell>
          <cell r="O7940" t="str">
            <v>[No Vendor]</v>
          </cell>
        </row>
        <row r="7941">
          <cell r="D7941">
            <v>334.9</v>
          </cell>
          <cell r="H7941">
            <v>45748</v>
          </cell>
          <cell r="I7941" t="str">
            <v>6041 - Employee Benefit Other</v>
          </cell>
          <cell r="J7941">
            <v>0</v>
          </cell>
          <cell r="K7941" t="str">
            <v>Administration</v>
          </cell>
          <cell r="L7941" t="str">
            <v>HQ Salaries</v>
          </cell>
          <cell r="N7941" t="str">
            <v>SG&amp;A</v>
          </cell>
          <cell r="O7941" t="str">
            <v>[No Vendor]</v>
          </cell>
        </row>
        <row r="7942">
          <cell r="D7942">
            <v>0</v>
          </cell>
          <cell r="H7942">
            <v>45748</v>
          </cell>
          <cell r="I7942" t="str">
            <v>7140 - Amortization Exp - ROU Asset</v>
          </cell>
          <cell r="J7942">
            <v>0</v>
          </cell>
          <cell r="K7942" t="str">
            <v>Administration</v>
          </cell>
          <cell r="L7942" t="str">
            <v>Rent</v>
          </cell>
          <cell r="N7942" t="str">
            <v>SG&amp;A</v>
          </cell>
          <cell r="O7942" t="str">
            <v>[No Vendor]</v>
          </cell>
        </row>
        <row r="7943">
          <cell r="D7943">
            <v>581.03</v>
          </cell>
          <cell r="H7943">
            <v>45748</v>
          </cell>
          <cell r="I7943" t="str">
            <v>7140 - Amortization Exp - ROU Asset</v>
          </cell>
          <cell r="J7943">
            <v>0</v>
          </cell>
          <cell r="K7943" t="str">
            <v>Administration</v>
          </cell>
          <cell r="L7943" t="str">
            <v>Rent</v>
          </cell>
          <cell r="N7943" t="str">
            <v>SG&amp;A</v>
          </cell>
          <cell r="O7943" t="str">
            <v>[No Vendor]</v>
          </cell>
        </row>
        <row r="7944">
          <cell r="D7944">
            <v>23940.66</v>
          </cell>
          <cell r="H7944">
            <v>45748</v>
          </cell>
          <cell r="I7944" t="str">
            <v>7140 - Amortization Exp - ROU Asset</v>
          </cell>
          <cell r="J7944">
            <v>0</v>
          </cell>
          <cell r="K7944" t="str">
            <v>Administration</v>
          </cell>
          <cell r="L7944" t="str">
            <v>Rent</v>
          </cell>
          <cell r="N7944" t="str">
            <v>SG&amp;A</v>
          </cell>
          <cell r="O7944" t="str">
            <v>[No Vendor]</v>
          </cell>
        </row>
        <row r="7945">
          <cell r="D7945">
            <v>-82261.83</v>
          </cell>
          <cell r="H7945">
            <v>45748</v>
          </cell>
          <cell r="I7945" t="str">
            <v>4051 - Sales Revenue - Ecommerce (Intl)</v>
          </cell>
          <cell r="J7945" t="str">
            <v>Ecommerce (EU)</v>
          </cell>
          <cell r="K7945" t="str">
            <v>Ecommerce</v>
          </cell>
          <cell r="L7945" t="str">
            <v>Ecommerce (EU)</v>
          </cell>
          <cell r="N7945" t="str">
            <v>Revenue</v>
          </cell>
          <cell r="O7945" t="str">
            <v>[No Vendor]</v>
          </cell>
        </row>
        <row r="7946">
          <cell r="D7946">
            <v>-11698.7</v>
          </cell>
          <cell r="H7946">
            <v>45748</v>
          </cell>
          <cell r="I7946" t="str">
            <v>4051 - Sales Revenue - Ecommerce (Intl)</v>
          </cell>
          <cell r="J7946" t="str">
            <v>Ecommerce (EU)</v>
          </cell>
          <cell r="K7946" t="str">
            <v>Ecommerce</v>
          </cell>
          <cell r="L7946" t="str">
            <v>Ecommerce (EU)</v>
          </cell>
          <cell r="N7946" t="str">
            <v>Revenue</v>
          </cell>
          <cell r="O7946" t="str">
            <v>[No Vendor]</v>
          </cell>
        </row>
        <row r="7947">
          <cell r="D7947">
            <v>0</v>
          </cell>
          <cell r="H7947">
            <v>45748</v>
          </cell>
          <cell r="I7947" t="str">
            <v>6035 - Severance Expense</v>
          </cell>
          <cell r="J7947" t="str">
            <v>Wholesale</v>
          </cell>
          <cell r="K7947" t="str">
            <v>Wholesale</v>
          </cell>
          <cell r="L7947" t="str">
            <v>HQ Salaries</v>
          </cell>
          <cell r="N7947" t="str">
            <v>SG&amp;A</v>
          </cell>
          <cell r="O7947" t="str">
            <v>[No Vendor]</v>
          </cell>
        </row>
        <row r="7948">
          <cell r="D7948">
            <v>4636.37</v>
          </cell>
          <cell r="H7948">
            <v>45748</v>
          </cell>
          <cell r="I7948" t="str">
            <v>6377 - Order Processing Expenses (New)</v>
          </cell>
          <cell r="J7948" t="str">
            <v>Ecommerce (EU)</v>
          </cell>
          <cell r="K7948" t="str">
            <v>Ecommerce</v>
          </cell>
          <cell r="L7948" t="str">
            <v>Order Processing</v>
          </cell>
          <cell r="N7948" t="str">
            <v>Direct Costs</v>
          </cell>
          <cell r="O7948" t="str">
            <v>[No Vendor]</v>
          </cell>
        </row>
        <row r="7949">
          <cell r="D7949">
            <v>611.70000000000005</v>
          </cell>
          <cell r="H7949">
            <v>45748</v>
          </cell>
          <cell r="I7949" t="str">
            <v>6377 - Order Processing Expenses (New)</v>
          </cell>
          <cell r="J7949" t="str">
            <v>Ecommerce (EU)</v>
          </cell>
          <cell r="K7949" t="str">
            <v>Ecommerce</v>
          </cell>
          <cell r="L7949" t="str">
            <v>Order Processing</v>
          </cell>
          <cell r="N7949" t="str">
            <v>Direct Costs</v>
          </cell>
          <cell r="O7949" t="str">
            <v>[No Vendor]</v>
          </cell>
        </row>
        <row r="7950">
          <cell r="D7950">
            <v>292.51</v>
          </cell>
          <cell r="H7950">
            <v>45748</v>
          </cell>
          <cell r="I7950" t="str">
            <v>6377 - Order Processing Expenses (New)</v>
          </cell>
          <cell r="J7950" t="str">
            <v>Ecommerce (US)</v>
          </cell>
          <cell r="K7950" t="str">
            <v>Ecommerce</v>
          </cell>
          <cell r="L7950" t="str">
            <v>Order Processing</v>
          </cell>
          <cell r="N7950" t="str">
            <v>Direct Costs</v>
          </cell>
          <cell r="O7950" t="str">
            <v>[No Vendor]</v>
          </cell>
        </row>
        <row r="7951">
          <cell r="D7951">
            <v>4174.05</v>
          </cell>
          <cell r="H7951">
            <v>45748</v>
          </cell>
          <cell r="I7951" t="str">
            <v>4063 - Sales Discount - Wholesale (US)</v>
          </cell>
          <cell r="J7951" t="str">
            <v>Wholesale</v>
          </cell>
          <cell r="K7951" t="str">
            <v>Wholesale</v>
          </cell>
          <cell r="L7951" t="str">
            <v>Wholesale</v>
          </cell>
          <cell r="N7951" t="str">
            <v>Revenue</v>
          </cell>
          <cell r="O7951" t="str">
            <v>[No Vendor]</v>
          </cell>
        </row>
        <row r="7952">
          <cell r="D7952">
            <v>6192.31</v>
          </cell>
          <cell r="H7952">
            <v>45748</v>
          </cell>
          <cell r="I7952" t="str">
            <v>5900 - Interco Royalty Expense</v>
          </cell>
          <cell r="J7952">
            <v>0</v>
          </cell>
          <cell r="K7952" t="str">
            <v>Licensing</v>
          </cell>
          <cell r="L7952">
            <v>0</v>
          </cell>
          <cell r="N7952">
            <v>0</v>
          </cell>
          <cell r="O7952" t="str">
            <v>[No Vendor]</v>
          </cell>
        </row>
        <row r="7953">
          <cell r="D7953">
            <v>101319.76</v>
          </cell>
          <cell r="H7953">
            <v>45748</v>
          </cell>
          <cell r="I7953" t="str">
            <v>4062 - Sales Discount - Ecomm (US)</v>
          </cell>
          <cell r="J7953" t="str">
            <v>Ecommerce (US)</v>
          </cell>
          <cell r="K7953" t="str">
            <v>Ecommerce</v>
          </cell>
          <cell r="L7953" t="str">
            <v>Ecommerce (US)</v>
          </cell>
          <cell r="N7953" t="str">
            <v>Revenue</v>
          </cell>
          <cell r="O7953" t="str">
            <v>[No Vendor]</v>
          </cell>
        </row>
        <row r="7954">
          <cell r="D7954">
            <v>0</v>
          </cell>
          <cell r="H7954">
            <v>45748</v>
          </cell>
          <cell r="I7954" t="str">
            <v>4062 - Sales Discount - Ecomm (US)</v>
          </cell>
          <cell r="J7954" t="str">
            <v>Ecommerce (US)</v>
          </cell>
          <cell r="K7954" t="str">
            <v>Ecommerce</v>
          </cell>
          <cell r="L7954" t="str">
            <v>Ecommerce (US)</v>
          </cell>
          <cell r="N7954" t="str">
            <v>Revenue</v>
          </cell>
          <cell r="O7954" t="str">
            <v>[No Vendor]</v>
          </cell>
        </row>
        <row r="7955">
          <cell r="D7955">
            <v>1954.72</v>
          </cell>
          <cell r="H7955">
            <v>45748</v>
          </cell>
          <cell r="I7955" t="str">
            <v>7130 - License Agreements &amp; Other Intangibles</v>
          </cell>
          <cell r="J7955">
            <v>0</v>
          </cell>
          <cell r="K7955" t="str">
            <v>Administration</v>
          </cell>
          <cell r="L7955" t="str">
            <v>Depreciation &amp; Amortization</v>
          </cell>
          <cell r="N7955" t="str">
            <v>SG&amp;A</v>
          </cell>
          <cell r="O7955" t="str">
            <v>[No Vendor]</v>
          </cell>
        </row>
        <row r="7956">
          <cell r="D7956">
            <v>-6192.31</v>
          </cell>
          <cell r="H7956">
            <v>45748</v>
          </cell>
          <cell r="I7956" t="str">
            <v>4900 - Interco Royalty Revenue</v>
          </cell>
          <cell r="J7956">
            <v>0</v>
          </cell>
          <cell r="K7956" t="str">
            <v>Licensing</v>
          </cell>
          <cell r="L7956">
            <v>0</v>
          </cell>
          <cell r="N7956">
            <v>0</v>
          </cell>
          <cell r="O7956" t="str">
            <v>[No Vendor]</v>
          </cell>
        </row>
        <row r="7957">
          <cell r="D7957">
            <v>839</v>
          </cell>
          <cell r="H7957">
            <v>45748</v>
          </cell>
          <cell r="I7957" t="str">
            <v>6393 - Software</v>
          </cell>
          <cell r="J7957">
            <v>0</v>
          </cell>
          <cell r="K7957" t="str">
            <v>Administration</v>
          </cell>
          <cell r="L7957" t="str">
            <v>Professional Service</v>
          </cell>
          <cell r="N7957" t="str">
            <v>Direct Costs</v>
          </cell>
          <cell r="O7957" t="str">
            <v>Oracle Netsuite</v>
          </cell>
        </row>
        <row r="7958">
          <cell r="D7958">
            <v>9.99</v>
          </cell>
          <cell r="H7958">
            <v>45748</v>
          </cell>
          <cell r="I7958" t="str">
            <v>6393 - Software</v>
          </cell>
          <cell r="J7958">
            <v>0</v>
          </cell>
          <cell r="K7958" t="str">
            <v>Administration</v>
          </cell>
          <cell r="L7958" t="str">
            <v>Professional Service</v>
          </cell>
          <cell r="N7958" t="str">
            <v>Direct Costs</v>
          </cell>
          <cell r="O7958" t="str">
            <v>Drop Box</v>
          </cell>
        </row>
        <row r="7959">
          <cell r="D7959">
            <v>2198.19</v>
          </cell>
          <cell r="H7959">
            <v>45748</v>
          </cell>
          <cell r="I7959" t="str">
            <v>6393 - Software</v>
          </cell>
          <cell r="J7959">
            <v>0</v>
          </cell>
          <cell r="K7959" t="str">
            <v>Administration</v>
          </cell>
          <cell r="L7959" t="str">
            <v>Professional Service</v>
          </cell>
          <cell r="N7959" t="str">
            <v>Direct Costs</v>
          </cell>
          <cell r="O7959" t="str">
            <v>Oracle Netsuite</v>
          </cell>
        </row>
        <row r="7960">
          <cell r="D7960">
            <v>2721.82</v>
          </cell>
          <cell r="H7960">
            <v>45748</v>
          </cell>
          <cell r="I7960" t="str">
            <v>6393 - Software</v>
          </cell>
          <cell r="J7960">
            <v>0</v>
          </cell>
          <cell r="K7960" t="str">
            <v>Administration</v>
          </cell>
          <cell r="L7960" t="str">
            <v>Professional Service</v>
          </cell>
          <cell r="N7960" t="str">
            <v>Direct Costs</v>
          </cell>
          <cell r="O7960" t="str">
            <v>Apparel Magic</v>
          </cell>
        </row>
        <row r="7961">
          <cell r="D7961">
            <v>13.6</v>
          </cell>
          <cell r="H7961">
            <v>45748</v>
          </cell>
          <cell r="I7961" t="str">
            <v>6393 - Software</v>
          </cell>
          <cell r="J7961">
            <v>0</v>
          </cell>
          <cell r="K7961" t="str">
            <v>Administration</v>
          </cell>
          <cell r="L7961" t="str">
            <v>Professional Service</v>
          </cell>
          <cell r="N7961" t="str">
            <v>Direct Costs</v>
          </cell>
          <cell r="O7961" t="str">
            <v>Zoom</v>
          </cell>
        </row>
        <row r="7962">
          <cell r="D7962">
            <v>431.42</v>
          </cell>
          <cell r="H7962">
            <v>45748</v>
          </cell>
          <cell r="I7962" t="str">
            <v>6393 - Software</v>
          </cell>
          <cell r="J7962">
            <v>0</v>
          </cell>
          <cell r="K7962" t="str">
            <v>Administration</v>
          </cell>
          <cell r="L7962" t="str">
            <v>Professional Service</v>
          </cell>
          <cell r="N7962" t="str">
            <v>Direct Costs</v>
          </cell>
          <cell r="O7962" t="str">
            <v>MS Office 365</v>
          </cell>
        </row>
        <row r="7963">
          <cell r="D7963">
            <v>226.82</v>
          </cell>
          <cell r="H7963">
            <v>45748</v>
          </cell>
          <cell r="I7963" t="str">
            <v>6393 - Software</v>
          </cell>
          <cell r="J7963">
            <v>0</v>
          </cell>
          <cell r="K7963" t="str">
            <v>Administration</v>
          </cell>
          <cell r="L7963" t="str">
            <v>Professional Service</v>
          </cell>
          <cell r="N7963" t="str">
            <v>Direct Costs</v>
          </cell>
          <cell r="O7963" t="str">
            <v>Avalara, Inc</v>
          </cell>
        </row>
        <row r="7964">
          <cell r="D7964">
            <v>0</v>
          </cell>
          <cell r="H7964">
            <v>45748</v>
          </cell>
          <cell r="I7964" t="str">
            <v>6286 - SEM</v>
          </cell>
          <cell r="J7964" t="str">
            <v>Ecommerce (US)</v>
          </cell>
          <cell r="K7964" t="str">
            <v>Ecommerce</v>
          </cell>
          <cell r="L7964" t="str">
            <v>Marketing</v>
          </cell>
          <cell r="N7964" t="str">
            <v>Direct Costs</v>
          </cell>
          <cell r="O7964" t="str">
            <v>[No Vendor]</v>
          </cell>
        </row>
        <row r="7965">
          <cell r="D7965">
            <v>44.7</v>
          </cell>
          <cell r="H7965">
            <v>45748</v>
          </cell>
          <cell r="I7965" t="str">
            <v>6340 - Miscellaneous Expense</v>
          </cell>
          <cell r="J7965" t="str">
            <v>Ecommerce (US)</v>
          </cell>
          <cell r="K7965" t="str">
            <v>Ecommerce</v>
          </cell>
          <cell r="L7965" t="str">
            <v>Other</v>
          </cell>
          <cell r="N7965" t="str">
            <v>SG&amp;A</v>
          </cell>
          <cell r="O7965" t="str">
            <v>[No Vendor]</v>
          </cell>
        </row>
        <row r="7966">
          <cell r="D7966">
            <v>40291.67</v>
          </cell>
          <cell r="H7966">
            <v>45748</v>
          </cell>
          <cell r="I7966" t="str">
            <v>6240 - Product Photography</v>
          </cell>
          <cell r="J7966">
            <v>0</v>
          </cell>
          <cell r="K7966" t="str">
            <v>Brand Marketing</v>
          </cell>
          <cell r="L7966" t="str">
            <v>Advertising</v>
          </cell>
          <cell r="N7966" t="str">
            <v>SG&amp;A</v>
          </cell>
          <cell r="O7966" t="str">
            <v>GOSFilms LLC</v>
          </cell>
        </row>
        <row r="7967">
          <cell r="D7967">
            <v>596.32000000000005</v>
          </cell>
          <cell r="H7967">
            <v>45748</v>
          </cell>
          <cell r="I7967" t="str">
            <v>6289 - Seeding / Product Placement</v>
          </cell>
          <cell r="J7967">
            <v>0</v>
          </cell>
          <cell r="K7967" t="str">
            <v>Brand Marketing</v>
          </cell>
          <cell r="L7967" t="str">
            <v>Advertising</v>
          </cell>
          <cell r="N7967" t="str">
            <v>SG&amp;A</v>
          </cell>
          <cell r="O7967" t="str">
            <v>[No Vendor]</v>
          </cell>
        </row>
        <row r="7968">
          <cell r="D7968">
            <v>19732.599999999999</v>
          </cell>
          <cell r="H7968">
            <v>45748</v>
          </cell>
          <cell r="I7968" t="str">
            <v>6205 - Contractors</v>
          </cell>
          <cell r="J7968" t="str">
            <v>Ecommerce (US)</v>
          </cell>
          <cell r="K7968" t="str">
            <v>Ecommerce</v>
          </cell>
          <cell r="L7968" t="str">
            <v>HQ Salaries</v>
          </cell>
          <cell r="N7968" t="str">
            <v>SG&amp;A</v>
          </cell>
          <cell r="O7968" t="str">
            <v>[No Vendor]</v>
          </cell>
        </row>
        <row r="7969">
          <cell r="D7969">
            <v>1050</v>
          </cell>
          <cell r="H7969">
            <v>45748</v>
          </cell>
          <cell r="I7969" t="str">
            <v>6205 - Contractors</v>
          </cell>
          <cell r="J7969">
            <v>0</v>
          </cell>
          <cell r="K7969" t="str">
            <v>Design</v>
          </cell>
          <cell r="L7969" t="str">
            <v>HQ Salaries</v>
          </cell>
          <cell r="N7969" t="str">
            <v>SG&amp;A</v>
          </cell>
          <cell r="O7969" t="str">
            <v>[No Vendor]</v>
          </cell>
        </row>
        <row r="7970">
          <cell r="D7970">
            <v>0</v>
          </cell>
          <cell r="H7970">
            <v>45748</v>
          </cell>
          <cell r="I7970" t="str">
            <v>6205 - Contractors</v>
          </cell>
          <cell r="J7970">
            <v>0</v>
          </cell>
          <cell r="K7970" t="str">
            <v>Brand Marketing</v>
          </cell>
          <cell r="L7970" t="str">
            <v>HQ Salaries</v>
          </cell>
          <cell r="N7970" t="str">
            <v>SG&amp;A</v>
          </cell>
          <cell r="O7970" t="str">
            <v>[No Vendor]</v>
          </cell>
        </row>
        <row r="7971">
          <cell r="D7971">
            <v>0</v>
          </cell>
          <cell r="H7971">
            <v>45748</v>
          </cell>
          <cell r="I7971" t="str">
            <v>6205 - Contractors</v>
          </cell>
          <cell r="J7971" t="str">
            <v>Ecommerce (US)</v>
          </cell>
          <cell r="K7971" t="str">
            <v>Ecommerce</v>
          </cell>
          <cell r="L7971" t="str">
            <v>HQ Salaries</v>
          </cell>
          <cell r="N7971" t="str">
            <v>SG&amp;A</v>
          </cell>
          <cell r="O7971" t="str">
            <v>[No Vendor]</v>
          </cell>
        </row>
        <row r="7972">
          <cell r="D7972">
            <v>0</v>
          </cell>
          <cell r="H7972">
            <v>45748</v>
          </cell>
          <cell r="I7972" t="str">
            <v>6205 - Contractors</v>
          </cell>
          <cell r="J7972">
            <v>0</v>
          </cell>
          <cell r="K7972" t="str">
            <v>Design</v>
          </cell>
          <cell r="L7972" t="str">
            <v>HQ Salaries</v>
          </cell>
          <cell r="N7972" t="str">
            <v>SG&amp;A</v>
          </cell>
          <cell r="O7972" t="str">
            <v>[No Vendor]</v>
          </cell>
        </row>
        <row r="7973">
          <cell r="D7973">
            <v>1500</v>
          </cell>
          <cell r="H7973">
            <v>45748</v>
          </cell>
          <cell r="I7973" t="str">
            <v>6205 - Contractors</v>
          </cell>
          <cell r="J7973">
            <v>0</v>
          </cell>
          <cell r="K7973" t="str">
            <v>Production</v>
          </cell>
          <cell r="L7973" t="str">
            <v>HQ Salaries</v>
          </cell>
          <cell r="N7973" t="str">
            <v>SG&amp;A</v>
          </cell>
          <cell r="O7973" t="str">
            <v>Philip Yau</v>
          </cell>
        </row>
        <row r="7974">
          <cell r="D7974">
            <v>194.07</v>
          </cell>
          <cell r="H7974">
            <v>45748</v>
          </cell>
          <cell r="I7974" t="str">
            <v>6370 - Samples</v>
          </cell>
          <cell r="J7974">
            <v>0</v>
          </cell>
          <cell r="K7974" t="str">
            <v>Production</v>
          </cell>
          <cell r="L7974" t="str">
            <v>Sample</v>
          </cell>
          <cell r="N7974" t="str">
            <v>SG&amp;A</v>
          </cell>
          <cell r="O7974" t="str">
            <v>[No Vendor]</v>
          </cell>
        </row>
        <row r="7975">
          <cell r="D7975">
            <v>-606</v>
          </cell>
          <cell r="H7975">
            <v>45748</v>
          </cell>
          <cell r="I7975" t="str">
            <v>6410 - Lease Expense</v>
          </cell>
          <cell r="J7975">
            <v>0</v>
          </cell>
          <cell r="K7975" t="str">
            <v>Administration</v>
          </cell>
          <cell r="L7975" t="str">
            <v>Rent</v>
          </cell>
          <cell r="N7975" t="str">
            <v>SG&amp;A</v>
          </cell>
          <cell r="O7975" t="str">
            <v>[No Vendor]</v>
          </cell>
        </row>
        <row r="7976">
          <cell r="D7976">
            <v>501.9</v>
          </cell>
          <cell r="H7976">
            <v>45748</v>
          </cell>
          <cell r="I7976" t="str">
            <v>6385 - Insurance</v>
          </cell>
          <cell r="J7976">
            <v>0</v>
          </cell>
          <cell r="K7976" t="str">
            <v>Administration</v>
          </cell>
          <cell r="L7976" t="str">
            <v>Professional Service</v>
          </cell>
          <cell r="N7976" t="str">
            <v>SG&amp;A</v>
          </cell>
          <cell r="O7976" t="str">
            <v>[No Vendor]</v>
          </cell>
        </row>
        <row r="7977">
          <cell r="D7977">
            <v>-48.49</v>
          </cell>
          <cell r="H7977">
            <v>45748</v>
          </cell>
          <cell r="I7977" t="str">
            <v>6385 - Insurance</v>
          </cell>
          <cell r="J7977">
            <v>0</v>
          </cell>
          <cell r="K7977" t="str">
            <v>Administration</v>
          </cell>
          <cell r="L7977" t="str">
            <v>Professional Service</v>
          </cell>
          <cell r="N7977" t="str">
            <v>SG&amp;A</v>
          </cell>
          <cell r="O7977" t="str">
            <v>[No Vendor]</v>
          </cell>
        </row>
        <row r="7978">
          <cell r="D7978">
            <v>-16.11</v>
          </cell>
          <cell r="H7978">
            <v>45748</v>
          </cell>
          <cell r="I7978" t="str">
            <v>6385 - Insurance</v>
          </cell>
          <cell r="J7978">
            <v>0</v>
          </cell>
          <cell r="K7978" t="str">
            <v>Administration</v>
          </cell>
          <cell r="L7978" t="str">
            <v>Professional Service</v>
          </cell>
          <cell r="N7978" t="str">
            <v>SG&amp;A</v>
          </cell>
          <cell r="O7978" t="str">
            <v>[No Vendor]</v>
          </cell>
        </row>
        <row r="7979">
          <cell r="D7979">
            <v>-117.23</v>
          </cell>
          <cell r="H7979">
            <v>45748</v>
          </cell>
          <cell r="I7979" t="str">
            <v>6385 - Insurance</v>
          </cell>
          <cell r="J7979">
            <v>0</v>
          </cell>
          <cell r="K7979" t="str">
            <v>Administration</v>
          </cell>
          <cell r="L7979" t="str">
            <v>Professional Service</v>
          </cell>
          <cell r="N7979" t="str">
            <v>SG&amp;A</v>
          </cell>
          <cell r="O7979" t="str">
            <v>[No Vendor]</v>
          </cell>
        </row>
        <row r="7980">
          <cell r="D7980">
            <v>-12.34</v>
          </cell>
          <cell r="H7980">
            <v>45748</v>
          </cell>
          <cell r="I7980" t="str">
            <v>6385 - Insurance</v>
          </cell>
          <cell r="J7980">
            <v>0</v>
          </cell>
          <cell r="K7980" t="str">
            <v>Administration</v>
          </cell>
          <cell r="L7980" t="str">
            <v>Professional Service</v>
          </cell>
          <cell r="N7980" t="str">
            <v>SG&amp;A</v>
          </cell>
          <cell r="O7980" t="str">
            <v>[No Vendor]</v>
          </cell>
        </row>
        <row r="7981">
          <cell r="D7981">
            <v>-56.16</v>
          </cell>
          <cell r="H7981">
            <v>45748</v>
          </cell>
          <cell r="I7981" t="str">
            <v>6385 - Insurance</v>
          </cell>
          <cell r="J7981">
            <v>0</v>
          </cell>
          <cell r="K7981" t="str">
            <v>Administration</v>
          </cell>
          <cell r="L7981" t="str">
            <v>Professional Service</v>
          </cell>
          <cell r="N7981" t="str">
            <v>SG&amp;A</v>
          </cell>
          <cell r="O7981" t="str">
            <v>[No Vendor]</v>
          </cell>
        </row>
        <row r="7982">
          <cell r="D7982">
            <v>-115.69</v>
          </cell>
          <cell r="H7982">
            <v>45748</v>
          </cell>
          <cell r="I7982" t="str">
            <v>6385 - Insurance</v>
          </cell>
          <cell r="J7982">
            <v>0</v>
          </cell>
          <cell r="K7982" t="str">
            <v>Administration</v>
          </cell>
          <cell r="L7982" t="str">
            <v>Professional Service</v>
          </cell>
          <cell r="N7982" t="str">
            <v>SG&amp;A</v>
          </cell>
          <cell r="O7982" t="str">
            <v>[No Vendor]</v>
          </cell>
        </row>
        <row r="7983">
          <cell r="D7983">
            <v>-54.24</v>
          </cell>
          <cell r="H7983">
            <v>45748</v>
          </cell>
          <cell r="I7983" t="str">
            <v>6385 - Insurance</v>
          </cell>
          <cell r="J7983">
            <v>0</v>
          </cell>
          <cell r="K7983" t="str">
            <v>Administration</v>
          </cell>
          <cell r="L7983" t="str">
            <v>Professional Service</v>
          </cell>
          <cell r="N7983" t="str">
            <v>SG&amp;A</v>
          </cell>
          <cell r="O7983" t="str">
            <v>[No Vendor]</v>
          </cell>
        </row>
        <row r="7984">
          <cell r="D7984">
            <v>1062.5</v>
          </cell>
          <cell r="H7984">
            <v>45748</v>
          </cell>
          <cell r="I7984" t="str">
            <v>6385 - Insurance</v>
          </cell>
          <cell r="J7984">
            <v>0</v>
          </cell>
          <cell r="K7984" t="str">
            <v>Administration</v>
          </cell>
          <cell r="L7984" t="str">
            <v>Professional Service</v>
          </cell>
          <cell r="N7984" t="str">
            <v>SG&amp;A</v>
          </cell>
          <cell r="O7984" t="str">
            <v>[No Vendor]</v>
          </cell>
        </row>
        <row r="7985">
          <cell r="D7985">
            <v>260.62</v>
          </cell>
          <cell r="H7985">
            <v>45748</v>
          </cell>
          <cell r="I7985" t="str">
            <v>6400 - Utilities</v>
          </cell>
          <cell r="J7985">
            <v>0</v>
          </cell>
          <cell r="K7985" t="str">
            <v>Administration</v>
          </cell>
          <cell r="L7985" t="str">
            <v>Other</v>
          </cell>
          <cell r="N7985" t="str">
            <v>SG&amp;A</v>
          </cell>
          <cell r="O7985" t="str">
            <v>[No Vendor]</v>
          </cell>
        </row>
        <row r="7986">
          <cell r="D7986">
            <v>66.72</v>
          </cell>
          <cell r="H7986">
            <v>45748</v>
          </cell>
          <cell r="I7986" t="str">
            <v>7060 - Information Technology &amp; Software</v>
          </cell>
          <cell r="J7986">
            <v>0</v>
          </cell>
          <cell r="K7986" t="str">
            <v>Executive</v>
          </cell>
          <cell r="L7986" t="str">
            <v>Depreciation &amp; Amortization</v>
          </cell>
          <cell r="N7986" t="str">
            <v>SG&amp;A</v>
          </cell>
          <cell r="O7986" t="str">
            <v>[No Vendor]</v>
          </cell>
        </row>
        <row r="7987">
          <cell r="D7987">
            <v>113.67</v>
          </cell>
          <cell r="H7987">
            <v>45748</v>
          </cell>
          <cell r="I7987" t="str">
            <v>7060 - Information Technology &amp; Software</v>
          </cell>
          <cell r="J7987" t="str">
            <v>Wholesale</v>
          </cell>
          <cell r="K7987" t="str">
            <v>Wholesale</v>
          </cell>
          <cell r="L7987" t="str">
            <v>Depreciation &amp; Amortization</v>
          </cell>
          <cell r="N7987" t="str">
            <v>SG&amp;A</v>
          </cell>
          <cell r="O7987" t="str">
            <v>[No Vendor]</v>
          </cell>
        </row>
        <row r="7988">
          <cell r="D7988">
            <v>178</v>
          </cell>
          <cell r="H7988">
            <v>45748</v>
          </cell>
          <cell r="I7988" t="str">
            <v>7060 - Information Technology &amp; Software</v>
          </cell>
          <cell r="J7988" t="str">
            <v>Ecommerce (US)</v>
          </cell>
          <cell r="K7988" t="str">
            <v>Ecommerce</v>
          </cell>
          <cell r="L7988" t="str">
            <v>Depreciation &amp; Amortization</v>
          </cell>
          <cell r="N7988" t="str">
            <v>SG&amp;A</v>
          </cell>
          <cell r="O7988" t="str">
            <v>[No Vendor]</v>
          </cell>
        </row>
        <row r="7989">
          <cell r="D7989">
            <v>147.88999999999999</v>
          </cell>
          <cell r="H7989">
            <v>45748</v>
          </cell>
          <cell r="I7989" t="str">
            <v>7060 - Information Technology &amp; Software</v>
          </cell>
          <cell r="J7989">
            <v>0</v>
          </cell>
          <cell r="K7989" t="str">
            <v>Production</v>
          </cell>
          <cell r="L7989" t="str">
            <v>Depreciation &amp; Amortization</v>
          </cell>
          <cell r="N7989" t="str">
            <v>SG&amp;A</v>
          </cell>
          <cell r="O7989" t="str">
            <v>[No Vendor]</v>
          </cell>
        </row>
        <row r="7990">
          <cell r="D7990">
            <v>188.91</v>
          </cell>
          <cell r="H7990">
            <v>45748</v>
          </cell>
          <cell r="I7990" t="str">
            <v>7060 - Information Technology &amp; Software</v>
          </cell>
          <cell r="J7990">
            <v>0</v>
          </cell>
          <cell r="K7990" t="str">
            <v>Design</v>
          </cell>
          <cell r="L7990" t="str">
            <v>Depreciation &amp; Amortization</v>
          </cell>
          <cell r="N7990" t="str">
            <v>SG&amp;A</v>
          </cell>
          <cell r="O7990" t="str">
            <v>[No Vendor]</v>
          </cell>
        </row>
        <row r="7991">
          <cell r="D7991">
            <v>65.48</v>
          </cell>
          <cell r="H7991">
            <v>45748</v>
          </cell>
          <cell r="I7991" t="str">
            <v>7060 - Information Technology &amp; Software</v>
          </cell>
          <cell r="J7991">
            <v>0</v>
          </cell>
          <cell r="K7991" t="str">
            <v>Merchandising</v>
          </cell>
          <cell r="L7991" t="str">
            <v>Depreciation &amp; Amortization</v>
          </cell>
          <cell r="N7991" t="str">
            <v>SG&amp;A</v>
          </cell>
          <cell r="O7991" t="str">
            <v>[No Vendor]</v>
          </cell>
        </row>
        <row r="7992">
          <cell r="D7992">
            <v>166.9</v>
          </cell>
          <cell r="H7992">
            <v>45748</v>
          </cell>
          <cell r="I7992" t="str">
            <v>7060 - Information Technology &amp; Software</v>
          </cell>
          <cell r="J7992">
            <v>0</v>
          </cell>
          <cell r="K7992" t="str">
            <v>Brand Marketing</v>
          </cell>
          <cell r="L7992" t="str">
            <v>Depreciation &amp; Amortization</v>
          </cell>
          <cell r="N7992" t="str">
            <v>SG&amp;A</v>
          </cell>
          <cell r="O7992" t="str">
            <v>[No Vendor]</v>
          </cell>
        </row>
        <row r="7993">
          <cell r="D7993">
            <v>574.73</v>
          </cell>
          <cell r="H7993">
            <v>45748</v>
          </cell>
          <cell r="I7993" t="str">
            <v>7060 - Information Technology &amp; Software</v>
          </cell>
          <cell r="J7993">
            <v>0</v>
          </cell>
          <cell r="K7993" t="str">
            <v>Administration</v>
          </cell>
          <cell r="L7993" t="str">
            <v>Depreciation &amp; Amortization</v>
          </cell>
          <cell r="N7993" t="str">
            <v>SG&amp;A</v>
          </cell>
          <cell r="O7993" t="str">
            <v>[No Vendor]</v>
          </cell>
        </row>
        <row r="7994">
          <cell r="D7994">
            <v>238.77</v>
          </cell>
          <cell r="H7994">
            <v>45748</v>
          </cell>
          <cell r="I7994" t="str">
            <v>7040 - Furniture &amp; Fixtures</v>
          </cell>
          <cell r="J7994" t="str">
            <v>Wholesale</v>
          </cell>
          <cell r="K7994" t="str">
            <v>Wholesale</v>
          </cell>
          <cell r="L7994" t="str">
            <v>Depreciation &amp; Amortization</v>
          </cell>
          <cell r="N7994" t="str">
            <v>SG&amp;A</v>
          </cell>
          <cell r="O7994" t="str">
            <v>[No Vendor]</v>
          </cell>
        </row>
        <row r="7995">
          <cell r="D7995">
            <v>141.36000000000001</v>
          </cell>
          <cell r="H7995">
            <v>45748</v>
          </cell>
          <cell r="I7995" t="str">
            <v>7040 - Furniture &amp; Fixtures</v>
          </cell>
          <cell r="J7995">
            <v>0</v>
          </cell>
          <cell r="K7995" t="str">
            <v>Administration</v>
          </cell>
          <cell r="L7995" t="str">
            <v>Depreciation &amp; Amortization</v>
          </cell>
          <cell r="N7995" t="str">
            <v>SG&amp;A</v>
          </cell>
          <cell r="O7995" t="str">
            <v>[No Vendor]</v>
          </cell>
        </row>
        <row r="7996">
          <cell r="D7996">
            <v>1257.45</v>
          </cell>
          <cell r="H7996">
            <v>45748</v>
          </cell>
          <cell r="I7996" t="str">
            <v>6055 - Employer Social Security Tax Withheld</v>
          </cell>
          <cell r="J7996">
            <v>0</v>
          </cell>
          <cell r="K7996" t="str">
            <v>Merchandising</v>
          </cell>
          <cell r="L7996" t="str">
            <v>HQ Salaries</v>
          </cell>
          <cell r="N7996" t="str">
            <v>SG&amp;A</v>
          </cell>
          <cell r="O7996" t="str">
            <v>[No Vendor]</v>
          </cell>
        </row>
        <row r="7997">
          <cell r="D7997">
            <v>404.42</v>
          </cell>
          <cell r="H7997">
            <v>45748</v>
          </cell>
          <cell r="I7997" t="str">
            <v>6055 - Employer Social Security Tax Withheld</v>
          </cell>
          <cell r="J7997" t="str">
            <v>Wholesale</v>
          </cell>
          <cell r="K7997" t="str">
            <v>Wholesale</v>
          </cell>
          <cell r="L7997" t="str">
            <v>HQ Salaries</v>
          </cell>
          <cell r="N7997" t="str">
            <v>SG&amp;A</v>
          </cell>
          <cell r="O7997" t="str">
            <v>[No Vendor]</v>
          </cell>
        </row>
        <row r="7998">
          <cell r="D7998">
            <v>2603.6799999999998</v>
          </cell>
          <cell r="H7998">
            <v>45748</v>
          </cell>
          <cell r="I7998" t="str">
            <v>6055 - Employer Social Security Tax Withheld</v>
          </cell>
          <cell r="J7998">
            <v>0</v>
          </cell>
          <cell r="K7998" t="str">
            <v>Production</v>
          </cell>
          <cell r="L7998" t="str">
            <v>HQ Salaries</v>
          </cell>
          <cell r="N7998" t="str">
            <v>SG&amp;A</v>
          </cell>
          <cell r="O7998" t="str">
            <v>[No Vendor]</v>
          </cell>
        </row>
        <row r="7999">
          <cell r="D7999">
            <v>1526.66</v>
          </cell>
          <cell r="H7999">
            <v>45748</v>
          </cell>
          <cell r="I7999" t="str">
            <v>6055 - Employer Social Security Tax Withheld</v>
          </cell>
          <cell r="J7999">
            <v>0</v>
          </cell>
          <cell r="K7999" t="str">
            <v>Executive</v>
          </cell>
          <cell r="L7999" t="str">
            <v>HQ Salaries</v>
          </cell>
          <cell r="N7999" t="str">
            <v>SG&amp;A</v>
          </cell>
          <cell r="O7999" t="str">
            <v>[No Vendor]</v>
          </cell>
        </row>
        <row r="8000">
          <cell r="D8000">
            <v>2882.35</v>
          </cell>
          <cell r="H8000">
            <v>45748</v>
          </cell>
          <cell r="I8000" t="str">
            <v>6055 - Employer Social Security Tax Withheld</v>
          </cell>
          <cell r="J8000" t="str">
            <v>Ecommerce (US)</v>
          </cell>
          <cell r="K8000" t="str">
            <v>Ecommerce</v>
          </cell>
          <cell r="L8000" t="str">
            <v>HQ Salaries</v>
          </cell>
          <cell r="N8000" t="str">
            <v>SG&amp;A</v>
          </cell>
          <cell r="O8000" t="str">
            <v>[No Vendor]</v>
          </cell>
        </row>
        <row r="8001">
          <cell r="D8001">
            <v>2686.88</v>
          </cell>
          <cell r="H8001">
            <v>45748</v>
          </cell>
          <cell r="I8001" t="str">
            <v>6055 - Employer Social Security Tax Withheld</v>
          </cell>
          <cell r="J8001">
            <v>0</v>
          </cell>
          <cell r="K8001" t="str">
            <v>Design</v>
          </cell>
          <cell r="L8001" t="str">
            <v>HQ Salaries</v>
          </cell>
          <cell r="N8001" t="str">
            <v>SG&amp;A</v>
          </cell>
          <cell r="O8001" t="str">
            <v>[No Vendor]</v>
          </cell>
        </row>
        <row r="8002">
          <cell r="D8002">
            <v>3311.53</v>
          </cell>
          <cell r="H8002">
            <v>45748</v>
          </cell>
          <cell r="I8002" t="str">
            <v>6055 - Employer Social Security Tax Withheld</v>
          </cell>
          <cell r="J8002">
            <v>0</v>
          </cell>
          <cell r="K8002" t="str">
            <v>Administration</v>
          </cell>
          <cell r="L8002" t="str">
            <v>HQ Salaries</v>
          </cell>
          <cell r="N8002" t="str">
            <v>SG&amp;A</v>
          </cell>
          <cell r="O8002" t="str">
            <v>[No Vendor]</v>
          </cell>
        </row>
        <row r="8003">
          <cell r="D8003">
            <v>26297.46</v>
          </cell>
          <cell r="H8003">
            <v>45748</v>
          </cell>
          <cell r="I8003" t="str">
            <v>5000 - Cost of Goods Sold</v>
          </cell>
          <cell r="J8003" t="str">
            <v>Ecommerce (EU)</v>
          </cell>
          <cell r="K8003" t="str">
            <v>Ecommerce</v>
          </cell>
          <cell r="L8003" t="str">
            <v>COGS</v>
          </cell>
          <cell r="N8003" t="str">
            <v>COGS</v>
          </cell>
          <cell r="O8003" t="str">
            <v>[No Vendor]</v>
          </cell>
        </row>
        <row r="8004">
          <cell r="D8004">
            <v>393701.98</v>
          </cell>
          <cell r="H8004">
            <v>45748</v>
          </cell>
          <cell r="I8004" t="str">
            <v>5000 - Cost of Goods Sold</v>
          </cell>
          <cell r="J8004" t="str">
            <v>Ecommerce (US)</v>
          </cell>
          <cell r="K8004" t="str">
            <v>Ecommerce</v>
          </cell>
          <cell r="L8004" t="str">
            <v>COGS</v>
          </cell>
          <cell r="N8004" t="str">
            <v>COGS</v>
          </cell>
          <cell r="O8004" t="str">
            <v>[No Vendor]</v>
          </cell>
        </row>
        <row r="8005">
          <cell r="D8005">
            <v>16618.86</v>
          </cell>
          <cell r="H8005">
            <v>45748</v>
          </cell>
          <cell r="I8005" t="str">
            <v>5000 - Cost of Goods Sold</v>
          </cell>
          <cell r="J8005" t="str">
            <v>Ecommerce (US)</v>
          </cell>
          <cell r="K8005" t="str">
            <v>Ecommerce</v>
          </cell>
          <cell r="L8005" t="str">
            <v>COGS</v>
          </cell>
          <cell r="N8005" t="str">
            <v>COGS</v>
          </cell>
          <cell r="O8005" t="str">
            <v>[No Vendor]</v>
          </cell>
        </row>
        <row r="8006">
          <cell r="D8006">
            <v>-1686.35</v>
          </cell>
          <cell r="H8006">
            <v>45748</v>
          </cell>
          <cell r="I8006" t="str">
            <v>5000 - Cost of Goods Sold</v>
          </cell>
          <cell r="J8006" t="str">
            <v>Wholesale</v>
          </cell>
          <cell r="K8006" t="str">
            <v>Wholesale</v>
          </cell>
          <cell r="L8006" t="str">
            <v>COGS</v>
          </cell>
          <cell r="N8006" t="str">
            <v>COGS</v>
          </cell>
          <cell r="O8006" t="str">
            <v>[No Vendor]</v>
          </cell>
        </row>
        <row r="8007">
          <cell r="D8007">
            <v>102749.41</v>
          </cell>
          <cell r="H8007">
            <v>45748</v>
          </cell>
          <cell r="I8007" t="str">
            <v>5000 - Cost of Goods Sold</v>
          </cell>
          <cell r="J8007" t="str">
            <v>Wholesale</v>
          </cell>
          <cell r="K8007" t="str">
            <v>Wholesale</v>
          </cell>
          <cell r="L8007" t="str">
            <v>COGS</v>
          </cell>
          <cell r="N8007" t="str">
            <v>COGS</v>
          </cell>
          <cell r="O8007" t="str">
            <v>[No Vendor]</v>
          </cell>
        </row>
        <row r="8008">
          <cell r="D8008">
            <v>0</v>
          </cell>
          <cell r="H8008">
            <v>45748</v>
          </cell>
          <cell r="I8008" t="str">
            <v>4070 - Sales - Other</v>
          </cell>
          <cell r="J8008">
            <v>0</v>
          </cell>
          <cell r="K8008" t="str">
            <v>Licensing</v>
          </cell>
          <cell r="L8008" t="str">
            <v>Other Income</v>
          </cell>
          <cell r="N8008" t="str">
            <v>Revenue</v>
          </cell>
          <cell r="O8008" t="str">
            <v>[No Vendor]</v>
          </cell>
        </row>
        <row r="8009">
          <cell r="D8009">
            <v>0</v>
          </cell>
          <cell r="H8009">
            <v>45748</v>
          </cell>
          <cell r="I8009" t="str">
            <v>8000 - Interest Income</v>
          </cell>
          <cell r="J8009">
            <v>0</v>
          </cell>
          <cell r="K8009" t="str">
            <v>Licensing</v>
          </cell>
          <cell r="L8009" t="str">
            <v>Other Income (BTL)</v>
          </cell>
          <cell r="N8009" t="str">
            <v>BTL</v>
          </cell>
          <cell r="O8009" t="str">
            <v>[No Vendor]</v>
          </cell>
        </row>
        <row r="8010">
          <cell r="D8010">
            <v>9452.0499999999993</v>
          </cell>
          <cell r="H8010">
            <v>45748</v>
          </cell>
          <cell r="I8010" t="str">
            <v>6487 - Interest Expense</v>
          </cell>
          <cell r="J8010">
            <v>0</v>
          </cell>
          <cell r="K8010" t="str">
            <v>Administration</v>
          </cell>
          <cell r="L8010" t="str">
            <v>Interest</v>
          </cell>
          <cell r="N8010" t="str">
            <v>BTL</v>
          </cell>
          <cell r="O8010" t="str">
            <v>[No Vendor]</v>
          </cell>
        </row>
        <row r="8011">
          <cell r="D8011">
            <v>11342.47</v>
          </cell>
          <cell r="H8011">
            <v>45748</v>
          </cell>
          <cell r="I8011" t="str">
            <v>6487 - Interest Expense</v>
          </cell>
          <cell r="J8011">
            <v>0</v>
          </cell>
          <cell r="K8011" t="str">
            <v>Administration</v>
          </cell>
          <cell r="L8011" t="str">
            <v>Interest</v>
          </cell>
          <cell r="N8011" t="str">
            <v>BTL</v>
          </cell>
          <cell r="O8011" t="str">
            <v>[No Vendor]</v>
          </cell>
        </row>
        <row r="8012">
          <cell r="D8012">
            <v>3780.82</v>
          </cell>
          <cell r="H8012">
            <v>45748</v>
          </cell>
          <cell r="I8012" t="str">
            <v>6487 - Interest Expense</v>
          </cell>
          <cell r="J8012">
            <v>0</v>
          </cell>
          <cell r="K8012" t="str">
            <v>Administration</v>
          </cell>
          <cell r="L8012" t="str">
            <v>Interest</v>
          </cell>
          <cell r="N8012" t="str">
            <v>BTL</v>
          </cell>
          <cell r="O8012" t="str">
            <v>[No Vendor]</v>
          </cell>
        </row>
        <row r="8013">
          <cell r="D8013">
            <v>14745.21</v>
          </cell>
          <cell r="H8013">
            <v>45748</v>
          </cell>
          <cell r="I8013" t="str">
            <v>6487 - Interest Expense</v>
          </cell>
          <cell r="J8013">
            <v>0</v>
          </cell>
          <cell r="K8013" t="str">
            <v>Administration</v>
          </cell>
          <cell r="L8013" t="str">
            <v>Interest</v>
          </cell>
          <cell r="N8013" t="str">
            <v>BTL</v>
          </cell>
          <cell r="O8013" t="str">
            <v>[No Vendor]</v>
          </cell>
        </row>
        <row r="8014">
          <cell r="D8014">
            <v>5671.23</v>
          </cell>
          <cell r="H8014">
            <v>45748</v>
          </cell>
          <cell r="I8014" t="str">
            <v>6487 - Interest Expense</v>
          </cell>
          <cell r="J8014">
            <v>0</v>
          </cell>
          <cell r="K8014" t="str">
            <v>Administration</v>
          </cell>
          <cell r="L8014" t="str">
            <v>Interest</v>
          </cell>
          <cell r="N8014" t="str">
            <v>BTL</v>
          </cell>
          <cell r="O8014" t="str">
            <v>[No Vendor]</v>
          </cell>
        </row>
        <row r="8015">
          <cell r="D8015">
            <v>4158.8999999999996</v>
          </cell>
          <cell r="H8015">
            <v>45748</v>
          </cell>
          <cell r="I8015" t="str">
            <v>6487 - Interest Expense</v>
          </cell>
          <cell r="J8015">
            <v>0</v>
          </cell>
          <cell r="K8015" t="str">
            <v>Administration</v>
          </cell>
          <cell r="L8015" t="str">
            <v>Interest</v>
          </cell>
          <cell r="N8015" t="str">
            <v>BTL</v>
          </cell>
          <cell r="O8015" t="str">
            <v>[No Vendor]</v>
          </cell>
        </row>
        <row r="8016">
          <cell r="D8016">
            <v>24.97</v>
          </cell>
          <cell r="H8016">
            <v>45748</v>
          </cell>
          <cell r="I8016" t="str">
            <v>6487 - Interest Expense</v>
          </cell>
          <cell r="J8016">
            <v>0</v>
          </cell>
          <cell r="K8016" t="str">
            <v>Administration</v>
          </cell>
          <cell r="L8016" t="str">
            <v>Interest</v>
          </cell>
          <cell r="N8016" t="str">
            <v>BTL</v>
          </cell>
          <cell r="O8016" t="str">
            <v>[No Vendor]</v>
          </cell>
        </row>
        <row r="8017">
          <cell r="D8017">
            <v>7666</v>
          </cell>
          <cell r="H8017">
            <v>45748</v>
          </cell>
          <cell r="I8017" t="str">
            <v>6487 - Interest Expense</v>
          </cell>
          <cell r="J8017">
            <v>0</v>
          </cell>
          <cell r="K8017" t="str">
            <v>Administration</v>
          </cell>
          <cell r="L8017" t="str">
            <v>Interest</v>
          </cell>
          <cell r="N8017" t="str">
            <v>BTL</v>
          </cell>
          <cell r="O8017" t="str">
            <v>[No Vendor]</v>
          </cell>
        </row>
        <row r="8018">
          <cell r="D8018">
            <v>833.33</v>
          </cell>
          <cell r="H8018">
            <v>45748</v>
          </cell>
          <cell r="I8018" t="str">
            <v>6225 - Professional Services</v>
          </cell>
          <cell r="J8018">
            <v>0</v>
          </cell>
          <cell r="K8018" t="str">
            <v>Administration</v>
          </cell>
          <cell r="L8018" t="str">
            <v>Professional Service</v>
          </cell>
          <cell r="N8018" t="str">
            <v>Direct Costs</v>
          </cell>
          <cell r="O8018" t="str">
            <v>Procyon Benefits LLC</v>
          </cell>
        </row>
        <row r="8019">
          <cell r="D8019">
            <v>-774.1</v>
          </cell>
          <cell r="H8019">
            <v>45748</v>
          </cell>
          <cell r="I8019" t="str">
            <v>6440 - Bad Debt Expenses</v>
          </cell>
          <cell r="J8019" t="str">
            <v>Wholesale</v>
          </cell>
          <cell r="K8019" t="str">
            <v>Wholesale</v>
          </cell>
          <cell r="L8019" t="str">
            <v>Other</v>
          </cell>
          <cell r="N8019" t="str">
            <v>SG&amp;A</v>
          </cell>
          <cell r="O8019" t="str">
            <v>[No Vendor]</v>
          </cell>
        </row>
        <row r="8020">
          <cell r="D8020">
            <v>153</v>
          </cell>
          <cell r="H8020">
            <v>45748</v>
          </cell>
          <cell r="I8020" t="str">
            <v>6420 - Licenses &amp; Membership</v>
          </cell>
          <cell r="J8020">
            <v>0</v>
          </cell>
          <cell r="K8020" t="str">
            <v>Brand Marketing</v>
          </cell>
          <cell r="L8020" t="str">
            <v>Professional Service</v>
          </cell>
          <cell r="N8020" t="str">
            <v>SG&amp;A</v>
          </cell>
          <cell r="O8020" t="str">
            <v>[No Vendor]</v>
          </cell>
        </row>
        <row r="8021">
          <cell r="D8021">
            <v>175</v>
          </cell>
          <cell r="H8021">
            <v>45748</v>
          </cell>
          <cell r="I8021" t="str">
            <v>6420 - Licenses &amp; Membership</v>
          </cell>
          <cell r="J8021">
            <v>0</v>
          </cell>
          <cell r="K8021" t="str">
            <v>Production</v>
          </cell>
          <cell r="L8021" t="str">
            <v>Professional Service</v>
          </cell>
          <cell r="N8021" t="str">
            <v>SG&amp;A</v>
          </cell>
          <cell r="O8021" t="str">
            <v>GS1</v>
          </cell>
        </row>
        <row r="8022">
          <cell r="D8022">
            <v>-30113.77</v>
          </cell>
          <cell r="H8022">
            <v>45748</v>
          </cell>
          <cell r="I8022" t="str">
            <v>6320 - Building Rent</v>
          </cell>
          <cell r="J8022">
            <v>0</v>
          </cell>
          <cell r="K8022" t="str">
            <v>Administration</v>
          </cell>
          <cell r="L8022" t="str">
            <v>Rent</v>
          </cell>
          <cell r="N8022" t="str">
            <v>SG&amp;A</v>
          </cell>
          <cell r="O8022" t="str">
            <v>[No Vendor]</v>
          </cell>
        </row>
        <row r="8023">
          <cell r="D8023">
            <v>7556.32</v>
          </cell>
          <cell r="H8023">
            <v>45748</v>
          </cell>
          <cell r="I8023" t="str">
            <v>6375 - Freight Expenses</v>
          </cell>
          <cell r="J8023" t="str">
            <v>Ecommerce (EU)</v>
          </cell>
          <cell r="K8023" t="str">
            <v>Ecommerce</v>
          </cell>
          <cell r="L8023" t="str">
            <v>Freight</v>
          </cell>
          <cell r="N8023" t="str">
            <v>Direct Costs</v>
          </cell>
          <cell r="O8023" t="str">
            <v>Global E</v>
          </cell>
        </row>
        <row r="8024">
          <cell r="D8024">
            <v>1035.76</v>
          </cell>
          <cell r="H8024">
            <v>45748</v>
          </cell>
          <cell r="I8024" t="str">
            <v>6375 - Freight Expenses</v>
          </cell>
          <cell r="J8024" t="str">
            <v>Ecommerce (EU)</v>
          </cell>
          <cell r="K8024" t="str">
            <v>Ecommerce</v>
          </cell>
          <cell r="L8024" t="str">
            <v>Freight</v>
          </cell>
          <cell r="N8024" t="str">
            <v>Direct Costs</v>
          </cell>
          <cell r="O8024" t="str">
            <v>Global E</v>
          </cell>
        </row>
        <row r="8025">
          <cell r="D8025">
            <v>-44067</v>
          </cell>
          <cell r="H8025">
            <v>45748</v>
          </cell>
          <cell r="I8025" t="str">
            <v>6375 - Freight Expenses</v>
          </cell>
          <cell r="J8025" t="str">
            <v>Ecommerce (US)</v>
          </cell>
          <cell r="K8025" t="str">
            <v>Ecommerce</v>
          </cell>
          <cell r="L8025" t="str">
            <v>Freight</v>
          </cell>
          <cell r="N8025" t="str">
            <v>Direct Costs</v>
          </cell>
          <cell r="O8025" t="str">
            <v>[No Vendor]</v>
          </cell>
        </row>
        <row r="8026">
          <cell r="D8026">
            <v>15000</v>
          </cell>
          <cell r="H8026">
            <v>45748</v>
          </cell>
          <cell r="I8026" t="str">
            <v>6375 - Freight Expenses</v>
          </cell>
          <cell r="J8026" t="str">
            <v>Ecommerce (US)</v>
          </cell>
          <cell r="K8026" t="str">
            <v>Ecommerce</v>
          </cell>
          <cell r="L8026" t="str">
            <v>Freight</v>
          </cell>
          <cell r="N8026" t="str">
            <v>Direct Costs</v>
          </cell>
          <cell r="O8026" t="str">
            <v>UPS Supply Chain Solutions Inc. (7F24A0)</v>
          </cell>
        </row>
        <row r="8027">
          <cell r="D8027">
            <v>-4597.53</v>
          </cell>
          <cell r="H8027">
            <v>45748</v>
          </cell>
          <cell r="I8027" t="str">
            <v>6375 - Freight Expenses</v>
          </cell>
          <cell r="J8027" t="str">
            <v>Wholesale</v>
          </cell>
          <cell r="K8027" t="str">
            <v>Wholesale</v>
          </cell>
          <cell r="L8027" t="str">
            <v>Freight</v>
          </cell>
          <cell r="N8027" t="str">
            <v>Direct Costs</v>
          </cell>
          <cell r="O8027" t="str">
            <v>[No Vendor]</v>
          </cell>
        </row>
        <row r="8028">
          <cell r="D8028">
            <v>-2327</v>
          </cell>
          <cell r="H8028">
            <v>45748</v>
          </cell>
          <cell r="I8028" t="str">
            <v>6375 - Freight Expenses</v>
          </cell>
          <cell r="J8028" t="str">
            <v>Ecommerce (US)</v>
          </cell>
          <cell r="K8028" t="str">
            <v>Ecommerce</v>
          </cell>
          <cell r="L8028" t="str">
            <v>Freight</v>
          </cell>
          <cell r="N8028" t="str">
            <v>Direct Costs</v>
          </cell>
          <cell r="O8028" t="str">
            <v>[No Vendor]</v>
          </cell>
        </row>
        <row r="8029">
          <cell r="D8029">
            <v>840.87</v>
          </cell>
          <cell r="H8029">
            <v>45748</v>
          </cell>
          <cell r="I8029" t="str">
            <v>6375 - Freight Expenses</v>
          </cell>
          <cell r="J8029" t="str">
            <v>Ecommerce (US)</v>
          </cell>
          <cell r="K8029" t="str">
            <v>Ecommerce</v>
          </cell>
          <cell r="L8029" t="str">
            <v>Freight</v>
          </cell>
          <cell r="N8029" t="str">
            <v>Direct Costs</v>
          </cell>
          <cell r="O8029" t="str">
            <v>Amazon</v>
          </cell>
        </row>
        <row r="8030">
          <cell r="D8030">
            <v>14.15</v>
          </cell>
          <cell r="H8030">
            <v>45748</v>
          </cell>
          <cell r="I8030" t="str">
            <v>7030 - Plant Machinery &amp; Equipment</v>
          </cell>
          <cell r="J8030">
            <v>0</v>
          </cell>
          <cell r="K8030" t="str">
            <v>Administration</v>
          </cell>
          <cell r="L8030" t="str">
            <v>Depreciation &amp; Amortization</v>
          </cell>
          <cell r="N8030" t="str">
            <v>SG&amp;A</v>
          </cell>
          <cell r="O8030" t="str">
            <v>[No Vendor]</v>
          </cell>
        </row>
        <row r="8031">
          <cell r="D8031">
            <v>15.83</v>
          </cell>
          <cell r="H8031">
            <v>45748</v>
          </cell>
          <cell r="I8031" t="str">
            <v>7030 - Plant Machinery &amp; Equipment</v>
          </cell>
          <cell r="J8031">
            <v>0</v>
          </cell>
          <cell r="K8031" t="str">
            <v>Production</v>
          </cell>
          <cell r="L8031" t="str">
            <v>Depreciation &amp; Amortization</v>
          </cell>
          <cell r="N8031" t="str">
            <v>SG&amp;A</v>
          </cell>
          <cell r="O8031" t="str">
            <v>[No Vendor]</v>
          </cell>
        </row>
        <row r="8032">
          <cell r="D8032">
            <v>-45.37</v>
          </cell>
          <cell r="H8032">
            <v>45748</v>
          </cell>
          <cell r="I8032" t="str">
            <v>6040 - Employer Paid Benefits</v>
          </cell>
          <cell r="J8032">
            <v>0</v>
          </cell>
          <cell r="K8032" t="str">
            <v>Merchandising</v>
          </cell>
          <cell r="L8032" t="str">
            <v>HQ Salaries</v>
          </cell>
          <cell r="N8032" t="str">
            <v>SG&amp;A</v>
          </cell>
          <cell r="O8032" t="str">
            <v>[No Vendor]</v>
          </cell>
        </row>
        <row r="8033">
          <cell r="D8033">
            <v>-45.37</v>
          </cell>
          <cell r="H8033">
            <v>45748</v>
          </cell>
          <cell r="I8033" t="str">
            <v>6040 - Employer Paid Benefits</v>
          </cell>
          <cell r="J8033" t="str">
            <v>Wholesale</v>
          </cell>
          <cell r="K8033" t="str">
            <v>Wholesale</v>
          </cell>
          <cell r="L8033" t="str">
            <v>HQ Salaries</v>
          </cell>
          <cell r="N8033" t="str">
            <v>SG&amp;A</v>
          </cell>
          <cell r="O8033" t="str">
            <v>[No Vendor]</v>
          </cell>
        </row>
        <row r="8034">
          <cell r="D8034">
            <v>-627.70000000000005</v>
          </cell>
          <cell r="H8034">
            <v>45748</v>
          </cell>
          <cell r="I8034" t="str">
            <v>6040 - Employer Paid Benefits</v>
          </cell>
          <cell r="J8034">
            <v>0</v>
          </cell>
          <cell r="K8034" t="str">
            <v>Production</v>
          </cell>
          <cell r="L8034" t="str">
            <v>HQ Salaries</v>
          </cell>
          <cell r="N8034" t="str">
            <v>SG&amp;A</v>
          </cell>
          <cell r="O8034" t="str">
            <v>[No Vendor]</v>
          </cell>
        </row>
        <row r="8035">
          <cell r="D8035">
            <v>-432.28</v>
          </cell>
          <cell r="H8035">
            <v>45748</v>
          </cell>
          <cell r="I8035" t="str">
            <v>6040 - Employer Paid Benefits</v>
          </cell>
          <cell r="J8035">
            <v>0</v>
          </cell>
          <cell r="K8035" t="str">
            <v>Executive</v>
          </cell>
          <cell r="L8035" t="str">
            <v>HQ Salaries</v>
          </cell>
          <cell r="N8035" t="str">
            <v>SG&amp;A</v>
          </cell>
          <cell r="O8035" t="str">
            <v>[No Vendor]</v>
          </cell>
        </row>
        <row r="8036">
          <cell r="D8036">
            <v>-325.64999999999998</v>
          </cell>
          <cell r="H8036">
            <v>45748</v>
          </cell>
          <cell r="I8036" t="str">
            <v>6040 - Employer Paid Benefits</v>
          </cell>
          <cell r="J8036" t="str">
            <v>Ecommerce (US)</v>
          </cell>
          <cell r="K8036" t="str">
            <v>Ecommerce</v>
          </cell>
          <cell r="L8036" t="str">
            <v>HQ Salaries</v>
          </cell>
          <cell r="N8036" t="str">
            <v>SG&amp;A</v>
          </cell>
          <cell r="O8036" t="str">
            <v>[No Vendor]</v>
          </cell>
        </row>
        <row r="8037">
          <cell r="D8037">
            <v>-575.13</v>
          </cell>
          <cell r="H8037">
            <v>45748</v>
          </cell>
          <cell r="I8037" t="str">
            <v>6040 - Employer Paid Benefits</v>
          </cell>
          <cell r="J8037">
            <v>0</v>
          </cell>
          <cell r="K8037" t="str">
            <v>Design</v>
          </cell>
          <cell r="L8037" t="str">
            <v>HQ Salaries</v>
          </cell>
          <cell r="N8037" t="str">
            <v>SG&amp;A</v>
          </cell>
          <cell r="O8037" t="str">
            <v>[No Vendor]</v>
          </cell>
        </row>
        <row r="8038">
          <cell r="D8038">
            <v>-811.91</v>
          </cell>
          <cell r="H8038">
            <v>45748</v>
          </cell>
          <cell r="I8038" t="str">
            <v>6040 - Employer Paid Benefits</v>
          </cell>
          <cell r="J8038">
            <v>0</v>
          </cell>
          <cell r="K8038" t="str">
            <v>Administration</v>
          </cell>
          <cell r="L8038" t="str">
            <v>HQ Salaries</v>
          </cell>
          <cell r="N8038" t="str">
            <v>SG&amp;A</v>
          </cell>
          <cell r="O8038" t="str">
            <v>[No Vendor]</v>
          </cell>
        </row>
        <row r="8039">
          <cell r="D8039">
            <v>11695</v>
          </cell>
          <cell r="H8039">
            <v>45748</v>
          </cell>
          <cell r="I8039" t="str">
            <v>6005 - Salaries</v>
          </cell>
          <cell r="J8039">
            <v>0</v>
          </cell>
          <cell r="K8039" t="str">
            <v>Merchandising</v>
          </cell>
          <cell r="L8039" t="str">
            <v>HQ Salaries</v>
          </cell>
          <cell r="N8039" t="str">
            <v>SG&amp;A</v>
          </cell>
          <cell r="O8039" t="str">
            <v>[No Vendor]</v>
          </cell>
        </row>
        <row r="8040">
          <cell r="D8040">
            <v>3750.01</v>
          </cell>
          <cell r="H8040">
            <v>45748</v>
          </cell>
          <cell r="I8040" t="str">
            <v>6005 - Salaries</v>
          </cell>
          <cell r="J8040" t="str">
            <v>Wholesale</v>
          </cell>
          <cell r="K8040" t="str">
            <v>Wholesale</v>
          </cell>
          <cell r="L8040" t="str">
            <v>HQ Salaries</v>
          </cell>
          <cell r="N8040" t="str">
            <v>SG&amp;A</v>
          </cell>
          <cell r="O8040" t="str">
            <v>[No Vendor]</v>
          </cell>
        </row>
        <row r="8041">
          <cell r="D8041">
            <v>28209.03</v>
          </cell>
          <cell r="H8041">
            <v>45748</v>
          </cell>
          <cell r="I8041" t="str">
            <v>6005 - Salaries</v>
          </cell>
          <cell r="J8041">
            <v>0</v>
          </cell>
          <cell r="K8041" t="str">
            <v>Production</v>
          </cell>
          <cell r="L8041" t="str">
            <v>HQ Salaries</v>
          </cell>
          <cell r="N8041" t="str">
            <v>SG&amp;A</v>
          </cell>
          <cell r="O8041" t="str">
            <v>[No Vendor]</v>
          </cell>
        </row>
        <row r="8042">
          <cell r="D8042">
            <v>14500.01</v>
          </cell>
          <cell r="H8042">
            <v>45748</v>
          </cell>
          <cell r="I8042" t="str">
            <v>6005 - Salaries</v>
          </cell>
          <cell r="J8042">
            <v>0</v>
          </cell>
          <cell r="K8042" t="str">
            <v>Executive</v>
          </cell>
          <cell r="L8042" t="str">
            <v>HQ Salaries</v>
          </cell>
          <cell r="N8042" t="str">
            <v>SG&amp;A</v>
          </cell>
          <cell r="O8042" t="str">
            <v>[No Vendor]</v>
          </cell>
        </row>
        <row r="8043">
          <cell r="D8043">
            <v>27015.040000000001</v>
          </cell>
          <cell r="H8043">
            <v>45748</v>
          </cell>
          <cell r="I8043" t="str">
            <v>6005 - Salaries</v>
          </cell>
          <cell r="J8043" t="str">
            <v>Ecommerce (US)</v>
          </cell>
          <cell r="K8043" t="str">
            <v>Ecommerce</v>
          </cell>
          <cell r="L8043" t="str">
            <v>HQ Salaries</v>
          </cell>
          <cell r="N8043" t="str">
            <v>SG&amp;A</v>
          </cell>
          <cell r="O8043" t="str">
            <v>[No Vendor]</v>
          </cell>
        </row>
        <row r="8044">
          <cell r="D8044">
            <v>27805.01</v>
          </cell>
          <cell r="H8044">
            <v>45748</v>
          </cell>
          <cell r="I8044" t="str">
            <v>6005 - Salaries</v>
          </cell>
          <cell r="J8044">
            <v>0</v>
          </cell>
          <cell r="K8044" t="str">
            <v>Design</v>
          </cell>
          <cell r="L8044" t="str">
            <v>HQ Salaries</v>
          </cell>
          <cell r="N8044" t="str">
            <v>SG&amp;A</v>
          </cell>
          <cell r="O8044" t="str">
            <v>[No Vendor]</v>
          </cell>
        </row>
        <row r="8045">
          <cell r="D8045">
            <v>35120.03</v>
          </cell>
          <cell r="H8045">
            <v>45748</v>
          </cell>
          <cell r="I8045" t="str">
            <v>6005 - Salaries</v>
          </cell>
          <cell r="J8045">
            <v>0</v>
          </cell>
          <cell r="K8045" t="str">
            <v>Administration</v>
          </cell>
          <cell r="L8045" t="str">
            <v>HQ Salaries</v>
          </cell>
          <cell r="N8045" t="str">
            <v>SG&amp;A</v>
          </cell>
          <cell r="O8045" t="str">
            <v>[No Vendor]</v>
          </cell>
        </row>
        <row r="8046">
          <cell r="D8046">
            <v>0</v>
          </cell>
          <cell r="H8046">
            <v>45748</v>
          </cell>
          <cell r="I8046" t="str">
            <v>4020 - Revenue - Marketing Contribution</v>
          </cell>
          <cell r="J8046">
            <v>0</v>
          </cell>
          <cell r="K8046" t="str">
            <v>Licensing</v>
          </cell>
          <cell r="L8046" t="str">
            <v>License</v>
          </cell>
          <cell r="N8046" t="str">
            <v>Revenue</v>
          </cell>
          <cell r="O8046" t="str">
            <v>[No Vendor]</v>
          </cell>
        </row>
        <row r="8047">
          <cell r="D8047">
            <v>0</v>
          </cell>
          <cell r="H8047">
            <v>45748</v>
          </cell>
          <cell r="I8047" t="str">
            <v>4010 - Revenue - Licensing Fees (Royalties)</v>
          </cell>
          <cell r="J8047">
            <v>0</v>
          </cell>
          <cell r="K8047" t="str">
            <v>Licensing</v>
          </cell>
          <cell r="L8047" t="str">
            <v>License</v>
          </cell>
          <cell r="N8047" t="str">
            <v>Revenue</v>
          </cell>
          <cell r="O8047" t="str">
            <v>[No Vendor]</v>
          </cell>
        </row>
        <row r="8048">
          <cell r="D8048">
            <v>0</v>
          </cell>
          <cell r="H8048">
            <v>45748</v>
          </cell>
          <cell r="I8048" t="str">
            <v>4010 - Revenue - Licensing Fees (Royalties)</v>
          </cell>
          <cell r="J8048">
            <v>0</v>
          </cell>
          <cell r="K8048" t="str">
            <v>Licensing</v>
          </cell>
          <cell r="L8048" t="str">
            <v>License</v>
          </cell>
          <cell r="N8048" t="str">
            <v>Revenue</v>
          </cell>
          <cell r="O8048" t="str">
            <v>[No Vendor]</v>
          </cell>
        </row>
        <row r="8049">
          <cell r="D8049">
            <v>0</v>
          </cell>
          <cell r="H8049">
            <v>45748</v>
          </cell>
          <cell r="I8049" t="str">
            <v>4010 - Revenue - Licensing Fees (Royalties)</v>
          </cell>
          <cell r="J8049">
            <v>0</v>
          </cell>
          <cell r="K8049" t="str">
            <v>Licensing</v>
          </cell>
          <cell r="L8049" t="str">
            <v>License</v>
          </cell>
          <cell r="N8049" t="str">
            <v>Revenue</v>
          </cell>
          <cell r="O8049" t="str">
            <v>[No Vendor]</v>
          </cell>
        </row>
        <row r="8050">
          <cell r="D8050">
            <v>0</v>
          </cell>
          <cell r="H8050">
            <v>45748</v>
          </cell>
          <cell r="I8050" t="str">
            <v>4010 - Revenue - Licensing Fees (Royalties)</v>
          </cell>
          <cell r="J8050">
            <v>0</v>
          </cell>
          <cell r="K8050" t="str">
            <v>Licensing</v>
          </cell>
          <cell r="L8050" t="str">
            <v>License</v>
          </cell>
          <cell r="N8050" t="str">
            <v>Revenue</v>
          </cell>
          <cell r="O8050" t="str">
            <v>[No Vendor]</v>
          </cell>
        </row>
        <row r="8051">
          <cell r="D8051">
            <v>-47151.88</v>
          </cell>
          <cell r="H8051">
            <v>45748</v>
          </cell>
          <cell r="I8051" t="str">
            <v>4010 - Revenue - Licensing Fees (Royalties)</v>
          </cell>
          <cell r="J8051">
            <v>0</v>
          </cell>
          <cell r="K8051" t="str">
            <v>Licensing</v>
          </cell>
          <cell r="L8051" t="str">
            <v>License</v>
          </cell>
          <cell r="N8051" t="str">
            <v>Revenue</v>
          </cell>
          <cell r="O8051" t="str">
            <v>[No Vendor]</v>
          </cell>
        </row>
        <row r="8052">
          <cell r="D8052">
            <v>-4166.67</v>
          </cell>
          <cell r="H8052">
            <v>45748</v>
          </cell>
          <cell r="I8052" t="str">
            <v>4010 - Revenue - Licensing Fees (Royalties)</v>
          </cell>
          <cell r="J8052">
            <v>0</v>
          </cell>
          <cell r="K8052" t="str">
            <v>Licensing</v>
          </cell>
          <cell r="L8052" t="str">
            <v>License</v>
          </cell>
          <cell r="N8052" t="str">
            <v>Revenue</v>
          </cell>
          <cell r="O8052" t="str">
            <v>[No Vendor]</v>
          </cell>
        </row>
        <row r="8053">
          <cell r="D8053">
            <v>0</v>
          </cell>
          <cell r="H8053">
            <v>45748</v>
          </cell>
          <cell r="I8053" t="str">
            <v>4010 - Revenue - Licensing Fees (Royalties)</v>
          </cell>
          <cell r="J8053">
            <v>0</v>
          </cell>
          <cell r="K8053" t="str">
            <v>Licensing</v>
          </cell>
          <cell r="L8053" t="str">
            <v>License</v>
          </cell>
          <cell r="N8053" t="str">
            <v>Revenue</v>
          </cell>
          <cell r="O8053" t="str">
            <v>[No Vendor]</v>
          </cell>
        </row>
        <row r="8054">
          <cell r="D8054">
            <v>262.99</v>
          </cell>
          <cell r="H8054">
            <v>45778</v>
          </cell>
          <cell r="I8054" t="str">
            <v>6040 - Employer Paid Benefits</v>
          </cell>
          <cell r="J8054">
            <v>0</v>
          </cell>
          <cell r="K8054" t="str">
            <v>Administration</v>
          </cell>
          <cell r="L8054" t="str">
            <v>HQ Salaries</v>
          </cell>
          <cell r="N8054" t="str">
            <v>SG&amp;A</v>
          </cell>
          <cell r="O8054" t="str">
            <v>Allied Administrators</v>
          </cell>
        </row>
        <row r="8055">
          <cell r="D8055">
            <v>4880.7</v>
          </cell>
          <cell r="H8055">
            <v>45778</v>
          </cell>
          <cell r="I8055" t="str">
            <v>8700 - Other Expense</v>
          </cell>
          <cell r="J8055">
            <v>0</v>
          </cell>
          <cell r="K8055" t="str">
            <v>Administration</v>
          </cell>
          <cell r="L8055" t="str">
            <v>Other Expense</v>
          </cell>
          <cell r="N8055" t="str">
            <v>BTL</v>
          </cell>
          <cell r="O8055" t="str">
            <v>Bryan Cave Leighton Paisner LLP</v>
          </cell>
        </row>
        <row r="8056">
          <cell r="D8056">
            <v>242688.33</v>
          </cell>
          <cell r="H8056">
            <v>45778</v>
          </cell>
          <cell r="I8056" t="str">
            <v>8700 - Other Expense</v>
          </cell>
          <cell r="J8056">
            <v>0</v>
          </cell>
          <cell r="K8056" t="str">
            <v>Administration</v>
          </cell>
          <cell r="L8056" t="str">
            <v>Other Expense</v>
          </cell>
          <cell r="N8056" t="str">
            <v>BTL</v>
          </cell>
          <cell r="O8056" t="str">
            <v>Bryan Cave Leighton Paisner LLP</v>
          </cell>
        </row>
        <row r="8057">
          <cell r="D8057">
            <v>33834.94</v>
          </cell>
          <cell r="H8057">
            <v>45778</v>
          </cell>
          <cell r="I8057" t="str">
            <v>8700 - Other Expense</v>
          </cell>
          <cell r="J8057">
            <v>0</v>
          </cell>
          <cell r="K8057" t="str">
            <v>Administration</v>
          </cell>
          <cell r="L8057" t="str">
            <v>Other Expense</v>
          </cell>
          <cell r="N8057" t="str">
            <v>BTL</v>
          </cell>
          <cell r="O8057" t="str">
            <v>Ontier UK</v>
          </cell>
        </row>
        <row r="8058">
          <cell r="D8058">
            <v>2001.3</v>
          </cell>
          <cell r="H8058">
            <v>45778</v>
          </cell>
          <cell r="I8058" t="str">
            <v>6385 - Insurance</v>
          </cell>
          <cell r="J8058">
            <v>0</v>
          </cell>
          <cell r="K8058" t="str">
            <v>Administration</v>
          </cell>
          <cell r="L8058" t="str">
            <v>Professional Service</v>
          </cell>
          <cell r="N8058" t="str">
            <v>SG&amp;A</v>
          </cell>
          <cell r="O8058" t="str">
            <v>The Hartford</v>
          </cell>
        </row>
        <row r="8059">
          <cell r="D8059">
            <v>260.62</v>
          </cell>
          <cell r="H8059">
            <v>45778</v>
          </cell>
          <cell r="I8059" t="str">
            <v>6400 - Utilities</v>
          </cell>
          <cell r="J8059">
            <v>0</v>
          </cell>
          <cell r="K8059" t="str">
            <v>Administration</v>
          </cell>
          <cell r="L8059" t="str">
            <v>Other</v>
          </cell>
          <cell r="N8059" t="str">
            <v>SG&amp;A</v>
          </cell>
          <cell r="O8059" t="str">
            <v>Antelope LLC</v>
          </cell>
        </row>
        <row r="8060">
          <cell r="D8060">
            <v>269.97000000000003</v>
          </cell>
          <cell r="H8060">
            <v>45778</v>
          </cell>
          <cell r="I8060" t="str">
            <v>6400 - Utilities</v>
          </cell>
          <cell r="J8060">
            <v>0</v>
          </cell>
          <cell r="K8060" t="str">
            <v>Administration</v>
          </cell>
          <cell r="L8060" t="str">
            <v>Other</v>
          </cell>
          <cell r="N8060" t="str">
            <v>SG&amp;A</v>
          </cell>
          <cell r="O8060" t="str">
            <v>Verizon</v>
          </cell>
        </row>
        <row r="8061">
          <cell r="D8061">
            <v>6000</v>
          </cell>
          <cell r="H8061">
            <v>45778</v>
          </cell>
          <cell r="I8061" t="str">
            <v>6225 - Professional Services</v>
          </cell>
          <cell r="J8061">
            <v>0</v>
          </cell>
          <cell r="K8061" t="str">
            <v>Administration</v>
          </cell>
          <cell r="L8061" t="str">
            <v>Professional Service</v>
          </cell>
          <cell r="N8061" t="str">
            <v>Direct Costs</v>
          </cell>
          <cell r="O8061" t="str">
            <v>Janou Pakter</v>
          </cell>
        </row>
        <row r="8062">
          <cell r="D8062">
            <v>3292.9</v>
          </cell>
          <cell r="H8062">
            <v>45778</v>
          </cell>
          <cell r="I8062" t="str">
            <v>6225 - Professional Services</v>
          </cell>
          <cell r="J8062">
            <v>0</v>
          </cell>
          <cell r="K8062" t="str">
            <v>Administration</v>
          </cell>
          <cell r="L8062" t="str">
            <v>Professional Service</v>
          </cell>
          <cell r="N8062" t="str">
            <v>Direct Costs</v>
          </cell>
          <cell r="O8062" t="str">
            <v>Enom Solutions, Inc-DBA 3nom</v>
          </cell>
        </row>
        <row r="8063">
          <cell r="D8063">
            <v>115</v>
          </cell>
          <cell r="H8063">
            <v>45778</v>
          </cell>
          <cell r="I8063" t="str">
            <v>6225 - Professional Services</v>
          </cell>
          <cell r="J8063">
            <v>0</v>
          </cell>
          <cell r="K8063" t="str">
            <v>Administration</v>
          </cell>
          <cell r="L8063" t="str">
            <v>Professional Service</v>
          </cell>
          <cell r="N8063" t="str">
            <v>Direct Costs</v>
          </cell>
          <cell r="O8063" t="str">
            <v>CogencyGlobal Inc (ST IP Holdings)</v>
          </cell>
        </row>
        <row r="8064">
          <cell r="D8064">
            <v>345</v>
          </cell>
          <cell r="H8064">
            <v>45778</v>
          </cell>
          <cell r="I8064" t="str">
            <v>6225 - Professional Services</v>
          </cell>
          <cell r="J8064">
            <v>0</v>
          </cell>
          <cell r="K8064" t="str">
            <v>Administration</v>
          </cell>
          <cell r="L8064" t="str">
            <v>Professional Service</v>
          </cell>
          <cell r="N8064" t="str">
            <v>Direct Costs</v>
          </cell>
          <cell r="O8064" t="str">
            <v>CogencyGlobal Inc (OPS)</v>
          </cell>
        </row>
        <row r="8065">
          <cell r="D8065">
            <v>30113.77</v>
          </cell>
          <cell r="H8065">
            <v>45778</v>
          </cell>
          <cell r="I8065" t="str">
            <v>6320 - Building Rent</v>
          </cell>
          <cell r="J8065">
            <v>0</v>
          </cell>
          <cell r="K8065" t="str">
            <v>Administration</v>
          </cell>
          <cell r="L8065" t="str">
            <v>Rent</v>
          </cell>
          <cell r="N8065" t="str">
            <v>SG&amp;A</v>
          </cell>
          <cell r="O8065" t="str">
            <v>Antelope LLC</v>
          </cell>
        </row>
        <row r="8066">
          <cell r="D8066">
            <v>317.91000000000003</v>
          </cell>
          <cell r="H8066">
            <v>45778</v>
          </cell>
          <cell r="I8066" t="str">
            <v>6375 - Freight Expenses</v>
          </cell>
          <cell r="J8066" t="str">
            <v>Ecommerce (US)</v>
          </cell>
          <cell r="K8066" t="str">
            <v>Ecommerce</v>
          </cell>
          <cell r="L8066" t="str">
            <v>Freight</v>
          </cell>
          <cell r="N8066" t="str">
            <v>Direct Costs</v>
          </cell>
          <cell r="O8066" t="str">
            <v>UPS Supply Chain Solutions Inc. (7F24A0)</v>
          </cell>
        </row>
        <row r="8067">
          <cell r="D8067">
            <v>-2723.49</v>
          </cell>
          <cell r="H8067">
            <v>45778</v>
          </cell>
          <cell r="I8067" t="str">
            <v>6040 - Employer Paid Benefits</v>
          </cell>
          <cell r="J8067" t="str">
            <v>Wholesale</v>
          </cell>
          <cell r="K8067" t="str">
            <v>Wholesale</v>
          </cell>
          <cell r="L8067" t="str">
            <v>HQ Salaries</v>
          </cell>
          <cell r="N8067" t="str">
            <v>SG&amp;A</v>
          </cell>
          <cell r="O8067" t="str">
            <v>Anthem Blue Cross and Blue Shield</v>
          </cell>
        </row>
        <row r="8068">
          <cell r="D8068">
            <v>15143.79</v>
          </cell>
          <cell r="H8068">
            <v>45778</v>
          </cell>
          <cell r="I8068" t="str">
            <v>6040 - Employer Paid Benefits</v>
          </cell>
          <cell r="J8068">
            <v>0</v>
          </cell>
          <cell r="K8068" t="str">
            <v>Production</v>
          </cell>
          <cell r="L8068" t="str">
            <v>HQ Salaries</v>
          </cell>
          <cell r="N8068" t="str">
            <v>SG&amp;A</v>
          </cell>
          <cell r="O8068" t="str">
            <v>Anthem Blue Cross and Blue Shield</v>
          </cell>
        </row>
        <row r="8069">
          <cell r="D8069">
            <v>5040.4799999999996</v>
          </cell>
          <cell r="H8069">
            <v>45778</v>
          </cell>
          <cell r="I8069" t="str">
            <v>6040 - Employer Paid Benefits</v>
          </cell>
          <cell r="J8069">
            <v>0</v>
          </cell>
          <cell r="K8069" t="str">
            <v>Merchandising</v>
          </cell>
          <cell r="L8069" t="str">
            <v>HQ Salaries</v>
          </cell>
          <cell r="N8069" t="str">
            <v>SG&amp;A</v>
          </cell>
          <cell r="O8069" t="str">
            <v>Anthem Blue Cross and Blue Shield</v>
          </cell>
        </row>
        <row r="8070">
          <cell r="D8070">
            <v>1260.1199999999999</v>
          </cell>
          <cell r="H8070">
            <v>45778</v>
          </cell>
          <cell r="I8070" t="str">
            <v>6040 - Employer Paid Benefits</v>
          </cell>
          <cell r="J8070">
            <v>0</v>
          </cell>
          <cell r="K8070" t="str">
            <v>Brand Marketing</v>
          </cell>
          <cell r="L8070" t="str">
            <v>HQ Salaries</v>
          </cell>
          <cell r="N8070" t="str">
            <v>SG&amp;A</v>
          </cell>
          <cell r="O8070" t="str">
            <v>Anthem Blue Cross and Blue Shield</v>
          </cell>
        </row>
        <row r="8071">
          <cell r="D8071">
            <v>4851.46</v>
          </cell>
          <cell r="H8071">
            <v>45778</v>
          </cell>
          <cell r="I8071" t="str">
            <v>6040 - Employer Paid Benefits</v>
          </cell>
          <cell r="J8071" t="str">
            <v>Ecommerce (US)</v>
          </cell>
          <cell r="K8071" t="str">
            <v>Ecommerce</v>
          </cell>
          <cell r="L8071" t="str">
            <v>HQ Salaries</v>
          </cell>
          <cell r="N8071" t="str">
            <v>SG&amp;A</v>
          </cell>
          <cell r="O8071" t="str">
            <v>Anthem Blue Cross and Blue Shield</v>
          </cell>
        </row>
        <row r="8072">
          <cell r="D8072">
            <v>5040.4799999999996</v>
          </cell>
          <cell r="H8072">
            <v>45778</v>
          </cell>
          <cell r="I8072" t="str">
            <v>6040 - Employer Paid Benefits</v>
          </cell>
          <cell r="J8072">
            <v>0</v>
          </cell>
          <cell r="K8072" t="str">
            <v>Design</v>
          </cell>
          <cell r="L8072" t="str">
            <v>HQ Salaries</v>
          </cell>
          <cell r="N8072" t="str">
            <v>SG&amp;A</v>
          </cell>
          <cell r="O8072" t="str">
            <v>Anthem Blue Cross and Blue Shield</v>
          </cell>
        </row>
        <row r="8073">
          <cell r="D8073">
            <v>15436.46</v>
          </cell>
          <cell r="H8073">
            <v>45778</v>
          </cell>
          <cell r="I8073" t="str">
            <v>6040 - Employer Paid Benefits</v>
          </cell>
          <cell r="J8073">
            <v>0</v>
          </cell>
          <cell r="K8073" t="str">
            <v>Administration</v>
          </cell>
          <cell r="L8073" t="str">
            <v>HQ Salaries</v>
          </cell>
          <cell r="N8073" t="str">
            <v>SG&amp;A</v>
          </cell>
          <cell r="O8073" t="str">
            <v>Anthem Blue Cross and Blue Shield</v>
          </cell>
        </row>
        <row r="8074">
          <cell r="D8074">
            <v>-71.510000000000005</v>
          </cell>
          <cell r="H8074">
            <v>45778</v>
          </cell>
          <cell r="I8074" t="str">
            <v>6040 - Employer Paid Benefits</v>
          </cell>
          <cell r="J8074" t="str">
            <v>Wholesale</v>
          </cell>
          <cell r="K8074" t="str">
            <v>Wholesale</v>
          </cell>
          <cell r="L8074" t="str">
            <v>HQ Salaries</v>
          </cell>
          <cell r="N8074" t="str">
            <v>SG&amp;A</v>
          </cell>
          <cell r="O8074" t="str">
            <v>United of Omaha Life Insurance Company</v>
          </cell>
        </row>
        <row r="8075">
          <cell r="D8075">
            <v>293.19</v>
          </cell>
          <cell r="H8075">
            <v>45778</v>
          </cell>
          <cell r="I8075" t="str">
            <v>6040 - Employer Paid Benefits</v>
          </cell>
          <cell r="J8075">
            <v>0</v>
          </cell>
          <cell r="K8075" t="str">
            <v>Production</v>
          </cell>
          <cell r="L8075" t="str">
            <v>HQ Salaries</v>
          </cell>
          <cell r="N8075" t="str">
            <v>SG&amp;A</v>
          </cell>
          <cell r="O8075" t="str">
            <v>United of Omaha Life Insurance Company</v>
          </cell>
        </row>
        <row r="8076">
          <cell r="D8076">
            <v>86.43</v>
          </cell>
          <cell r="H8076">
            <v>45778</v>
          </cell>
          <cell r="I8076" t="str">
            <v>6040 - Employer Paid Benefits</v>
          </cell>
          <cell r="J8076">
            <v>0</v>
          </cell>
          <cell r="K8076" t="str">
            <v>Merchandising</v>
          </cell>
          <cell r="L8076" t="str">
            <v>HQ Salaries</v>
          </cell>
          <cell r="N8076" t="str">
            <v>SG&amp;A</v>
          </cell>
          <cell r="O8076" t="str">
            <v>United of Omaha Life Insurance Company</v>
          </cell>
        </row>
        <row r="8077">
          <cell r="D8077">
            <v>-47.05</v>
          </cell>
          <cell r="H8077">
            <v>45778</v>
          </cell>
          <cell r="I8077" t="str">
            <v>6040 - Employer Paid Benefits</v>
          </cell>
          <cell r="J8077">
            <v>0</v>
          </cell>
          <cell r="K8077" t="str">
            <v>Brand Marketing</v>
          </cell>
          <cell r="L8077" t="str">
            <v>HQ Salaries</v>
          </cell>
          <cell r="N8077" t="str">
            <v>SG&amp;A</v>
          </cell>
          <cell r="O8077" t="str">
            <v>United of Omaha Life Insurance Company</v>
          </cell>
        </row>
        <row r="8078">
          <cell r="D8078">
            <v>229.58</v>
          </cell>
          <cell r="H8078">
            <v>45778</v>
          </cell>
          <cell r="I8078" t="str">
            <v>6040 - Employer Paid Benefits</v>
          </cell>
          <cell r="J8078">
            <v>0</v>
          </cell>
          <cell r="K8078" t="str">
            <v>Executive</v>
          </cell>
          <cell r="L8078" t="str">
            <v>HQ Salaries</v>
          </cell>
          <cell r="N8078" t="str">
            <v>SG&amp;A</v>
          </cell>
          <cell r="O8078" t="str">
            <v>United of Omaha Life Insurance Company</v>
          </cell>
        </row>
        <row r="8079">
          <cell r="D8079">
            <v>173.02</v>
          </cell>
          <cell r="H8079">
            <v>45778</v>
          </cell>
          <cell r="I8079" t="str">
            <v>6040 - Employer Paid Benefits</v>
          </cell>
          <cell r="J8079" t="str">
            <v>Ecommerce (US)</v>
          </cell>
          <cell r="K8079" t="str">
            <v>Ecommerce</v>
          </cell>
          <cell r="L8079" t="str">
            <v>HQ Salaries</v>
          </cell>
          <cell r="N8079" t="str">
            <v>SG&amp;A</v>
          </cell>
          <cell r="O8079" t="str">
            <v>United of Omaha Life Insurance Company</v>
          </cell>
        </row>
        <row r="8080">
          <cell r="D8080">
            <v>233.67</v>
          </cell>
          <cell r="H8080">
            <v>45778</v>
          </cell>
          <cell r="I8080" t="str">
            <v>6040 - Employer Paid Benefits</v>
          </cell>
          <cell r="J8080">
            <v>0</v>
          </cell>
          <cell r="K8080" t="str">
            <v>Design</v>
          </cell>
          <cell r="L8080" t="str">
            <v>HQ Salaries</v>
          </cell>
          <cell r="N8080" t="str">
            <v>SG&amp;A</v>
          </cell>
          <cell r="O8080" t="str">
            <v>United of Omaha Life Insurance Company</v>
          </cell>
        </row>
        <row r="8081">
          <cell r="D8081">
            <v>447.92</v>
          </cell>
          <cell r="H8081">
            <v>45778</v>
          </cell>
          <cell r="I8081" t="str">
            <v>6040 - Employer Paid Benefits</v>
          </cell>
          <cell r="J8081">
            <v>0</v>
          </cell>
          <cell r="K8081" t="str">
            <v>Administration</v>
          </cell>
          <cell r="L8081" t="str">
            <v>HQ Salaries</v>
          </cell>
          <cell r="N8081" t="str">
            <v>SG&amp;A</v>
          </cell>
          <cell r="O8081" t="str">
            <v>United of Omaha Life Insurance Company</v>
          </cell>
        </row>
        <row r="8082">
          <cell r="D8082">
            <v>89.53</v>
          </cell>
          <cell r="H8082">
            <v>45778</v>
          </cell>
          <cell r="I8082" t="str">
            <v>6040 - Employer Paid Benefits</v>
          </cell>
          <cell r="J8082" t="str">
            <v>Ecommerce (US)</v>
          </cell>
          <cell r="K8082" t="str">
            <v>Ecommerce</v>
          </cell>
          <cell r="L8082" t="str">
            <v>HQ Salaries</v>
          </cell>
          <cell r="N8082" t="str">
            <v>SG&amp;A</v>
          </cell>
          <cell r="O8082" t="str">
            <v>Allied Administrators</v>
          </cell>
        </row>
        <row r="8083">
          <cell r="D8083">
            <v>89.82</v>
          </cell>
          <cell r="H8083">
            <v>45778</v>
          </cell>
          <cell r="I8083" t="str">
            <v>6040 - Employer Paid Benefits</v>
          </cell>
          <cell r="J8083">
            <v>0</v>
          </cell>
          <cell r="K8083" t="str">
            <v>Production</v>
          </cell>
          <cell r="L8083" t="str">
            <v>HQ Salaries</v>
          </cell>
          <cell r="N8083" t="str">
            <v>SG&amp;A</v>
          </cell>
          <cell r="O8083" t="str">
            <v>Allied Administrators</v>
          </cell>
        </row>
        <row r="8084">
          <cell r="D8084">
            <v>55.76</v>
          </cell>
          <cell r="H8084">
            <v>45778</v>
          </cell>
          <cell r="I8084" t="str">
            <v>6040 - Employer Paid Benefits</v>
          </cell>
          <cell r="J8084">
            <v>0</v>
          </cell>
          <cell r="K8084" t="str">
            <v>Merchandising</v>
          </cell>
          <cell r="L8084" t="str">
            <v>HQ Salaries</v>
          </cell>
          <cell r="N8084" t="str">
            <v>SG&amp;A</v>
          </cell>
          <cell r="O8084" t="str">
            <v>Allied Administrators</v>
          </cell>
        </row>
        <row r="8085">
          <cell r="D8085">
            <v>89.82</v>
          </cell>
          <cell r="H8085">
            <v>45778</v>
          </cell>
          <cell r="I8085" t="str">
            <v>6040 - Employer Paid Benefits</v>
          </cell>
          <cell r="J8085">
            <v>0</v>
          </cell>
          <cell r="K8085" t="str">
            <v>Executive</v>
          </cell>
          <cell r="L8085" t="str">
            <v>HQ Salaries</v>
          </cell>
          <cell r="N8085" t="str">
            <v>SG&amp;A</v>
          </cell>
          <cell r="O8085" t="str">
            <v>Allied Administrators</v>
          </cell>
        </row>
        <row r="8086">
          <cell r="D8086">
            <v>83.64</v>
          </cell>
          <cell r="H8086">
            <v>45778</v>
          </cell>
          <cell r="I8086" t="str">
            <v>6040 - Employer Paid Benefits</v>
          </cell>
          <cell r="J8086">
            <v>0</v>
          </cell>
          <cell r="K8086" t="str">
            <v>Design</v>
          </cell>
          <cell r="L8086" t="str">
            <v>HQ Salaries</v>
          </cell>
          <cell r="N8086" t="str">
            <v>SG&amp;A</v>
          </cell>
          <cell r="O8086" t="str">
            <v>Allied Administrators</v>
          </cell>
        </row>
        <row r="8087">
          <cell r="D8087">
            <v>-35120.03</v>
          </cell>
          <cell r="H8087">
            <v>45778</v>
          </cell>
          <cell r="I8087" t="str">
            <v>6005 - Salaries</v>
          </cell>
          <cell r="J8087">
            <v>0</v>
          </cell>
          <cell r="K8087" t="str">
            <v>Administration</v>
          </cell>
          <cell r="L8087" t="str">
            <v>HQ Salaries</v>
          </cell>
          <cell r="N8087" t="str">
            <v>SG&amp;A</v>
          </cell>
          <cell r="O8087" t="str">
            <v>[No Vendor]</v>
          </cell>
        </row>
        <row r="8088">
          <cell r="D8088">
            <v>-685.53</v>
          </cell>
          <cell r="H8088">
            <v>45778</v>
          </cell>
          <cell r="I8088" t="str">
            <v>6451 - Service Processing Fee</v>
          </cell>
          <cell r="J8088" t="str">
            <v>Ecommerce (EU)</v>
          </cell>
          <cell r="K8088" t="str">
            <v>Ecommerce</v>
          </cell>
          <cell r="L8088" t="str">
            <v>Professional Service</v>
          </cell>
          <cell r="N8088" t="str">
            <v>Direct Costs</v>
          </cell>
          <cell r="O8088" t="str">
            <v>[No Vendor]</v>
          </cell>
        </row>
        <row r="8089">
          <cell r="D8089">
            <v>-300000</v>
          </cell>
          <cell r="H8089">
            <v>45778</v>
          </cell>
          <cell r="I8089" t="str">
            <v>8700 - Other Expense</v>
          </cell>
          <cell r="J8089">
            <v>0</v>
          </cell>
          <cell r="K8089" t="str">
            <v>Administration</v>
          </cell>
          <cell r="L8089" t="str">
            <v>Other Expense</v>
          </cell>
          <cell r="N8089" t="str">
            <v>BTL</v>
          </cell>
          <cell r="O8089" t="str">
            <v>[No Vendor]</v>
          </cell>
        </row>
        <row r="8090">
          <cell r="D8090">
            <v>11698.7</v>
          </cell>
          <cell r="H8090">
            <v>45778</v>
          </cell>
          <cell r="I8090" t="str">
            <v>4051 - Sales Revenue - Ecommerce (Intl)</v>
          </cell>
          <cell r="J8090" t="str">
            <v>Ecommerce (EU)</v>
          </cell>
          <cell r="K8090" t="str">
            <v>Ecommerce</v>
          </cell>
          <cell r="L8090" t="str">
            <v>Ecommerce (EU)</v>
          </cell>
          <cell r="N8090" t="str">
            <v>Revenue</v>
          </cell>
          <cell r="O8090" t="str">
            <v>[No Vendor]</v>
          </cell>
        </row>
        <row r="8091">
          <cell r="D8091">
            <v>0</v>
          </cell>
          <cell r="H8091">
            <v>45778</v>
          </cell>
          <cell r="I8091" t="str">
            <v>6035 - Severance Expense</v>
          </cell>
          <cell r="J8091" t="str">
            <v>Wholesale</v>
          </cell>
          <cell r="K8091" t="str">
            <v>Wholesale</v>
          </cell>
          <cell r="L8091" t="str">
            <v>HQ Salaries</v>
          </cell>
          <cell r="N8091" t="str">
            <v>SG&amp;A</v>
          </cell>
          <cell r="O8091" t="str">
            <v>[No Vendor]</v>
          </cell>
        </row>
        <row r="8092">
          <cell r="D8092">
            <v>-611.70000000000005</v>
          </cell>
          <cell r="H8092">
            <v>45778</v>
          </cell>
          <cell r="I8092" t="str">
            <v>6377 - Order Processing Expenses (New)</v>
          </cell>
          <cell r="J8092" t="str">
            <v>Ecommerce (EU)</v>
          </cell>
          <cell r="K8092" t="str">
            <v>Ecommerce</v>
          </cell>
          <cell r="L8092" t="str">
            <v>Order Processing</v>
          </cell>
          <cell r="N8092" t="str">
            <v>Direct Costs</v>
          </cell>
          <cell r="O8092" t="str">
            <v>[No Vendor]</v>
          </cell>
        </row>
        <row r="8093">
          <cell r="D8093">
            <v>-19732.599999999999</v>
          </cell>
          <cell r="H8093">
            <v>45778</v>
          </cell>
          <cell r="I8093" t="str">
            <v>6205 - Contractors</v>
          </cell>
          <cell r="J8093" t="str">
            <v>Ecommerce (US)</v>
          </cell>
          <cell r="K8093" t="str">
            <v>Ecommerce</v>
          </cell>
          <cell r="L8093" t="str">
            <v>HQ Salaries</v>
          </cell>
          <cell r="N8093" t="str">
            <v>SG&amp;A</v>
          </cell>
          <cell r="O8093" t="str">
            <v>[No Vendor]</v>
          </cell>
        </row>
        <row r="8094">
          <cell r="D8094">
            <v>-1050</v>
          </cell>
          <cell r="H8094">
            <v>45778</v>
          </cell>
          <cell r="I8094" t="str">
            <v>6205 - Contractors</v>
          </cell>
          <cell r="J8094">
            <v>0</v>
          </cell>
          <cell r="K8094" t="str">
            <v>Design</v>
          </cell>
          <cell r="L8094" t="str">
            <v>HQ Salaries</v>
          </cell>
          <cell r="N8094" t="str">
            <v>SG&amp;A</v>
          </cell>
          <cell r="O8094" t="str">
            <v>[No Vendor]</v>
          </cell>
        </row>
        <row r="8095">
          <cell r="D8095">
            <v>0</v>
          </cell>
          <cell r="H8095">
            <v>45778</v>
          </cell>
          <cell r="I8095" t="str">
            <v>6205 - Contractors</v>
          </cell>
          <cell r="J8095">
            <v>0</v>
          </cell>
          <cell r="K8095" t="str">
            <v>Brand Marketing</v>
          </cell>
          <cell r="L8095" t="str">
            <v>HQ Salaries</v>
          </cell>
          <cell r="N8095" t="str">
            <v>SG&amp;A</v>
          </cell>
          <cell r="O8095" t="str">
            <v>[No Vendor]</v>
          </cell>
        </row>
        <row r="8096">
          <cell r="D8096">
            <v>0</v>
          </cell>
          <cell r="H8096">
            <v>45778</v>
          </cell>
          <cell r="I8096" t="str">
            <v>6205 - Contractors</v>
          </cell>
          <cell r="J8096" t="str">
            <v>Ecommerce (US)</v>
          </cell>
          <cell r="K8096" t="str">
            <v>Ecommerce</v>
          </cell>
          <cell r="L8096" t="str">
            <v>HQ Salaries</v>
          </cell>
          <cell r="N8096" t="str">
            <v>SG&amp;A</v>
          </cell>
          <cell r="O8096" t="str">
            <v>[No Vendor]</v>
          </cell>
        </row>
        <row r="8097">
          <cell r="D8097">
            <v>0</v>
          </cell>
          <cell r="H8097">
            <v>45778</v>
          </cell>
          <cell r="I8097" t="str">
            <v>6205 - Contractors</v>
          </cell>
          <cell r="J8097">
            <v>0</v>
          </cell>
          <cell r="K8097" t="str">
            <v>Design</v>
          </cell>
          <cell r="L8097" t="str">
            <v>HQ Salaries</v>
          </cell>
          <cell r="N8097" t="str">
            <v>SG&amp;A</v>
          </cell>
          <cell r="O8097" t="str">
            <v>[No Vendor]</v>
          </cell>
        </row>
        <row r="8098">
          <cell r="D8098">
            <v>48.49</v>
          </cell>
          <cell r="H8098">
            <v>45778</v>
          </cell>
          <cell r="I8098" t="str">
            <v>6385 - Insurance</v>
          </cell>
          <cell r="J8098">
            <v>0</v>
          </cell>
          <cell r="K8098" t="str">
            <v>Administration</v>
          </cell>
          <cell r="L8098" t="str">
            <v>Professional Service</v>
          </cell>
          <cell r="N8098" t="str">
            <v>SG&amp;A</v>
          </cell>
          <cell r="O8098" t="str">
            <v>[No Vendor]</v>
          </cell>
        </row>
        <row r="8099">
          <cell r="D8099">
            <v>16.11</v>
          </cell>
          <cell r="H8099">
            <v>45778</v>
          </cell>
          <cell r="I8099" t="str">
            <v>6385 - Insurance</v>
          </cell>
          <cell r="J8099">
            <v>0</v>
          </cell>
          <cell r="K8099" t="str">
            <v>Administration</v>
          </cell>
          <cell r="L8099" t="str">
            <v>Professional Service</v>
          </cell>
          <cell r="N8099" t="str">
            <v>SG&amp;A</v>
          </cell>
          <cell r="O8099" t="str">
            <v>[No Vendor]</v>
          </cell>
        </row>
        <row r="8100">
          <cell r="D8100">
            <v>117.23</v>
          </cell>
          <cell r="H8100">
            <v>45778</v>
          </cell>
          <cell r="I8100" t="str">
            <v>6385 - Insurance</v>
          </cell>
          <cell r="J8100">
            <v>0</v>
          </cell>
          <cell r="K8100" t="str">
            <v>Administration</v>
          </cell>
          <cell r="L8100" t="str">
            <v>Professional Service</v>
          </cell>
          <cell r="N8100" t="str">
            <v>SG&amp;A</v>
          </cell>
          <cell r="O8100" t="str">
            <v>[No Vendor]</v>
          </cell>
        </row>
        <row r="8101">
          <cell r="D8101">
            <v>12.34</v>
          </cell>
          <cell r="H8101">
            <v>45778</v>
          </cell>
          <cell r="I8101" t="str">
            <v>6385 - Insurance</v>
          </cell>
          <cell r="J8101">
            <v>0</v>
          </cell>
          <cell r="K8101" t="str">
            <v>Administration</v>
          </cell>
          <cell r="L8101" t="str">
            <v>Professional Service</v>
          </cell>
          <cell r="N8101" t="str">
            <v>SG&amp;A</v>
          </cell>
          <cell r="O8101" t="str">
            <v>[No Vendor]</v>
          </cell>
        </row>
        <row r="8102">
          <cell r="D8102">
            <v>56.16</v>
          </cell>
          <cell r="H8102">
            <v>45778</v>
          </cell>
          <cell r="I8102" t="str">
            <v>6385 - Insurance</v>
          </cell>
          <cell r="J8102">
            <v>0</v>
          </cell>
          <cell r="K8102" t="str">
            <v>Administration</v>
          </cell>
          <cell r="L8102" t="str">
            <v>Professional Service</v>
          </cell>
          <cell r="N8102" t="str">
            <v>SG&amp;A</v>
          </cell>
          <cell r="O8102" t="str">
            <v>[No Vendor]</v>
          </cell>
        </row>
        <row r="8103">
          <cell r="D8103">
            <v>115.69</v>
          </cell>
          <cell r="H8103">
            <v>45778</v>
          </cell>
          <cell r="I8103" t="str">
            <v>6385 - Insurance</v>
          </cell>
          <cell r="J8103">
            <v>0</v>
          </cell>
          <cell r="K8103" t="str">
            <v>Administration</v>
          </cell>
          <cell r="L8103" t="str">
            <v>Professional Service</v>
          </cell>
          <cell r="N8103" t="str">
            <v>SG&amp;A</v>
          </cell>
          <cell r="O8103" t="str">
            <v>[No Vendor]</v>
          </cell>
        </row>
        <row r="8104">
          <cell r="D8104">
            <v>54.24</v>
          </cell>
          <cell r="H8104">
            <v>45778</v>
          </cell>
          <cell r="I8104" t="str">
            <v>6385 - Insurance</v>
          </cell>
          <cell r="J8104">
            <v>0</v>
          </cell>
          <cell r="K8104" t="str">
            <v>Administration</v>
          </cell>
          <cell r="L8104" t="str">
            <v>Professional Service</v>
          </cell>
          <cell r="N8104" t="str">
            <v>SG&amp;A</v>
          </cell>
          <cell r="O8104" t="str">
            <v>[No Vendor]</v>
          </cell>
        </row>
        <row r="8105">
          <cell r="D8105">
            <v>-260.62</v>
          </cell>
          <cell r="H8105">
            <v>45778</v>
          </cell>
          <cell r="I8105" t="str">
            <v>6400 - Utilities</v>
          </cell>
          <cell r="J8105">
            <v>0</v>
          </cell>
          <cell r="K8105" t="str">
            <v>Administration</v>
          </cell>
          <cell r="L8105" t="str">
            <v>Other</v>
          </cell>
          <cell r="N8105" t="str">
            <v>SG&amp;A</v>
          </cell>
          <cell r="O8105" t="str">
            <v>[No Vendor]</v>
          </cell>
        </row>
        <row r="8106">
          <cell r="D8106">
            <v>-1257.45</v>
          </cell>
          <cell r="H8106">
            <v>45778</v>
          </cell>
          <cell r="I8106" t="str">
            <v>6055 - Employer Social Security Tax Withheld</v>
          </cell>
          <cell r="J8106">
            <v>0</v>
          </cell>
          <cell r="K8106" t="str">
            <v>Merchandising</v>
          </cell>
          <cell r="L8106" t="str">
            <v>HQ Salaries</v>
          </cell>
          <cell r="N8106" t="str">
            <v>SG&amp;A</v>
          </cell>
          <cell r="O8106" t="str">
            <v>[No Vendor]</v>
          </cell>
        </row>
        <row r="8107">
          <cell r="D8107">
            <v>-404.42</v>
          </cell>
          <cell r="H8107">
            <v>45778</v>
          </cell>
          <cell r="I8107" t="str">
            <v>6055 - Employer Social Security Tax Withheld</v>
          </cell>
          <cell r="J8107" t="str">
            <v>Wholesale</v>
          </cell>
          <cell r="K8107" t="str">
            <v>Wholesale</v>
          </cell>
          <cell r="L8107" t="str">
            <v>HQ Salaries</v>
          </cell>
          <cell r="N8107" t="str">
            <v>SG&amp;A</v>
          </cell>
          <cell r="O8107" t="str">
            <v>[No Vendor]</v>
          </cell>
        </row>
        <row r="8108">
          <cell r="D8108">
            <v>-2603.6799999999998</v>
          </cell>
          <cell r="H8108">
            <v>45778</v>
          </cell>
          <cell r="I8108" t="str">
            <v>6055 - Employer Social Security Tax Withheld</v>
          </cell>
          <cell r="J8108">
            <v>0</v>
          </cell>
          <cell r="K8108" t="str">
            <v>Production</v>
          </cell>
          <cell r="L8108" t="str">
            <v>HQ Salaries</v>
          </cell>
          <cell r="N8108" t="str">
            <v>SG&amp;A</v>
          </cell>
          <cell r="O8108" t="str">
            <v>[No Vendor]</v>
          </cell>
        </row>
        <row r="8109">
          <cell r="D8109">
            <v>-1526.66</v>
          </cell>
          <cell r="H8109">
            <v>45778</v>
          </cell>
          <cell r="I8109" t="str">
            <v>6055 - Employer Social Security Tax Withheld</v>
          </cell>
          <cell r="J8109">
            <v>0</v>
          </cell>
          <cell r="K8109" t="str">
            <v>Executive</v>
          </cell>
          <cell r="L8109" t="str">
            <v>HQ Salaries</v>
          </cell>
          <cell r="N8109" t="str">
            <v>SG&amp;A</v>
          </cell>
          <cell r="O8109" t="str">
            <v>[No Vendor]</v>
          </cell>
        </row>
        <row r="8110">
          <cell r="D8110">
            <v>-2882.35</v>
          </cell>
          <cell r="H8110">
            <v>45778</v>
          </cell>
          <cell r="I8110" t="str">
            <v>6055 - Employer Social Security Tax Withheld</v>
          </cell>
          <cell r="J8110" t="str">
            <v>Ecommerce (US)</v>
          </cell>
          <cell r="K8110" t="str">
            <v>Ecommerce</v>
          </cell>
          <cell r="L8110" t="str">
            <v>HQ Salaries</v>
          </cell>
          <cell r="N8110" t="str">
            <v>SG&amp;A</v>
          </cell>
          <cell r="O8110" t="str">
            <v>[No Vendor]</v>
          </cell>
        </row>
        <row r="8111">
          <cell r="D8111">
            <v>-2686.88</v>
          </cell>
          <cell r="H8111">
            <v>45778</v>
          </cell>
          <cell r="I8111" t="str">
            <v>6055 - Employer Social Security Tax Withheld</v>
          </cell>
          <cell r="J8111">
            <v>0</v>
          </cell>
          <cell r="K8111" t="str">
            <v>Design</v>
          </cell>
          <cell r="L8111" t="str">
            <v>HQ Salaries</v>
          </cell>
          <cell r="N8111" t="str">
            <v>SG&amp;A</v>
          </cell>
          <cell r="O8111" t="str">
            <v>[No Vendor]</v>
          </cell>
        </row>
        <row r="8112">
          <cell r="D8112">
            <v>-3311.53</v>
          </cell>
          <cell r="H8112">
            <v>45778</v>
          </cell>
          <cell r="I8112" t="str">
            <v>6055 - Employer Social Security Tax Withheld</v>
          </cell>
          <cell r="J8112">
            <v>0</v>
          </cell>
          <cell r="K8112" t="str">
            <v>Administration</v>
          </cell>
          <cell r="L8112" t="str">
            <v>HQ Salaries</v>
          </cell>
          <cell r="N8112" t="str">
            <v>SG&amp;A</v>
          </cell>
          <cell r="O8112" t="str">
            <v>[No Vendor]</v>
          </cell>
        </row>
        <row r="8113">
          <cell r="D8113">
            <v>-1035.76</v>
          </cell>
          <cell r="H8113">
            <v>45778</v>
          </cell>
          <cell r="I8113" t="str">
            <v>6375 - Freight Expenses</v>
          </cell>
          <cell r="J8113" t="str">
            <v>Ecommerce (EU)</v>
          </cell>
          <cell r="K8113" t="str">
            <v>Ecommerce</v>
          </cell>
          <cell r="L8113" t="str">
            <v>Freight</v>
          </cell>
          <cell r="N8113" t="str">
            <v>Direct Costs</v>
          </cell>
          <cell r="O8113" t="str">
            <v>Global E</v>
          </cell>
        </row>
        <row r="8114">
          <cell r="D8114">
            <v>-15000</v>
          </cell>
          <cell r="H8114">
            <v>45778</v>
          </cell>
          <cell r="I8114" t="str">
            <v>6375 - Freight Expenses</v>
          </cell>
          <cell r="J8114" t="str">
            <v>Ecommerce (US)</v>
          </cell>
          <cell r="K8114" t="str">
            <v>Ecommerce</v>
          </cell>
          <cell r="L8114" t="str">
            <v>Freight</v>
          </cell>
          <cell r="N8114" t="str">
            <v>Direct Costs</v>
          </cell>
          <cell r="O8114" t="str">
            <v>UPS Supply Chain Solutions Inc. (7F24A0)</v>
          </cell>
        </row>
        <row r="8115">
          <cell r="D8115">
            <v>45.37</v>
          </cell>
          <cell r="H8115">
            <v>45778</v>
          </cell>
          <cell r="I8115" t="str">
            <v>6040 - Employer Paid Benefits</v>
          </cell>
          <cell r="J8115">
            <v>0</v>
          </cell>
          <cell r="K8115" t="str">
            <v>Merchandising</v>
          </cell>
          <cell r="L8115" t="str">
            <v>HQ Salaries</v>
          </cell>
          <cell r="N8115" t="str">
            <v>SG&amp;A</v>
          </cell>
          <cell r="O8115" t="str">
            <v>[No Vendor]</v>
          </cell>
        </row>
        <row r="8116">
          <cell r="D8116">
            <v>45.37</v>
          </cell>
          <cell r="H8116">
            <v>45778</v>
          </cell>
          <cell r="I8116" t="str">
            <v>6040 - Employer Paid Benefits</v>
          </cell>
          <cell r="J8116" t="str">
            <v>Wholesale</v>
          </cell>
          <cell r="K8116" t="str">
            <v>Wholesale</v>
          </cell>
          <cell r="L8116" t="str">
            <v>HQ Salaries</v>
          </cell>
          <cell r="N8116" t="str">
            <v>SG&amp;A</v>
          </cell>
          <cell r="O8116" t="str">
            <v>[No Vendor]</v>
          </cell>
        </row>
        <row r="8117">
          <cell r="D8117">
            <v>627.70000000000005</v>
          </cell>
          <cell r="H8117">
            <v>45778</v>
          </cell>
          <cell r="I8117" t="str">
            <v>6040 - Employer Paid Benefits</v>
          </cell>
          <cell r="J8117">
            <v>0</v>
          </cell>
          <cell r="K8117" t="str">
            <v>Production</v>
          </cell>
          <cell r="L8117" t="str">
            <v>HQ Salaries</v>
          </cell>
          <cell r="N8117" t="str">
            <v>SG&amp;A</v>
          </cell>
          <cell r="O8117" t="str">
            <v>[No Vendor]</v>
          </cell>
        </row>
        <row r="8118">
          <cell r="D8118">
            <v>432.28</v>
          </cell>
          <cell r="H8118">
            <v>45778</v>
          </cell>
          <cell r="I8118" t="str">
            <v>6040 - Employer Paid Benefits</v>
          </cell>
          <cell r="J8118">
            <v>0</v>
          </cell>
          <cell r="K8118" t="str">
            <v>Executive</v>
          </cell>
          <cell r="L8118" t="str">
            <v>HQ Salaries</v>
          </cell>
          <cell r="N8118" t="str">
            <v>SG&amp;A</v>
          </cell>
          <cell r="O8118" t="str">
            <v>[No Vendor]</v>
          </cell>
        </row>
        <row r="8119">
          <cell r="D8119">
            <v>325.64999999999998</v>
          </cell>
          <cell r="H8119">
            <v>45778</v>
          </cell>
          <cell r="I8119" t="str">
            <v>6040 - Employer Paid Benefits</v>
          </cell>
          <cell r="J8119" t="str">
            <v>Ecommerce (US)</v>
          </cell>
          <cell r="K8119" t="str">
            <v>Ecommerce</v>
          </cell>
          <cell r="L8119" t="str">
            <v>HQ Salaries</v>
          </cell>
          <cell r="N8119" t="str">
            <v>SG&amp;A</v>
          </cell>
          <cell r="O8119" t="str">
            <v>[No Vendor]</v>
          </cell>
        </row>
        <row r="8120">
          <cell r="D8120">
            <v>575.13</v>
          </cell>
          <cell r="H8120">
            <v>45778</v>
          </cell>
          <cell r="I8120" t="str">
            <v>6040 - Employer Paid Benefits</v>
          </cell>
          <cell r="J8120">
            <v>0</v>
          </cell>
          <cell r="K8120" t="str">
            <v>Design</v>
          </cell>
          <cell r="L8120" t="str">
            <v>HQ Salaries</v>
          </cell>
          <cell r="N8120" t="str">
            <v>SG&amp;A</v>
          </cell>
          <cell r="O8120" t="str">
            <v>[No Vendor]</v>
          </cell>
        </row>
        <row r="8121">
          <cell r="D8121">
            <v>811.91</v>
          </cell>
          <cell r="H8121">
            <v>45778</v>
          </cell>
          <cell r="I8121" t="str">
            <v>6040 - Employer Paid Benefits</v>
          </cell>
          <cell r="J8121">
            <v>0</v>
          </cell>
          <cell r="K8121" t="str">
            <v>Administration</v>
          </cell>
          <cell r="L8121" t="str">
            <v>HQ Salaries</v>
          </cell>
          <cell r="N8121" t="str">
            <v>SG&amp;A</v>
          </cell>
          <cell r="O8121" t="str">
            <v>[No Vendor]</v>
          </cell>
        </row>
        <row r="8122">
          <cell r="D8122">
            <v>-11695</v>
          </cell>
          <cell r="H8122">
            <v>45778</v>
          </cell>
          <cell r="I8122" t="str">
            <v>6005 - Salaries</v>
          </cell>
          <cell r="J8122">
            <v>0</v>
          </cell>
          <cell r="K8122" t="str">
            <v>Merchandising</v>
          </cell>
          <cell r="L8122" t="str">
            <v>HQ Salaries</v>
          </cell>
          <cell r="N8122" t="str">
            <v>SG&amp;A</v>
          </cell>
          <cell r="O8122" t="str">
            <v>[No Vendor]</v>
          </cell>
        </row>
        <row r="8123">
          <cell r="D8123">
            <v>-3750.01</v>
          </cell>
          <cell r="H8123">
            <v>45778</v>
          </cell>
          <cell r="I8123" t="str">
            <v>6005 - Salaries</v>
          </cell>
          <cell r="J8123" t="str">
            <v>Wholesale</v>
          </cell>
          <cell r="K8123" t="str">
            <v>Wholesale</v>
          </cell>
          <cell r="L8123" t="str">
            <v>HQ Salaries</v>
          </cell>
          <cell r="N8123" t="str">
            <v>SG&amp;A</v>
          </cell>
          <cell r="O8123" t="str">
            <v>[No Vendor]</v>
          </cell>
        </row>
        <row r="8124">
          <cell r="D8124">
            <v>-28209.03</v>
          </cell>
          <cell r="H8124">
            <v>45778</v>
          </cell>
          <cell r="I8124" t="str">
            <v>6005 - Salaries</v>
          </cell>
          <cell r="J8124">
            <v>0</v>
          </cell>
          <cell r="K8124" t="str">
            <v>Production</v>
          </cell>
          <cell r="L8124" t="str">
            <v>HQ Salaries</v>
          </cell>
          <cell r="N8124" t="str">
            <v>SG&amp;A</v>
          </cell>
          <cell r="O8124" t="str">
            <v>[No Vendor]</v>
          </cell>
        </row>
        <row r="8125">
          <cell r="D8125">
            <v>-14500.01</v>
          </cell>
          <cell r="H8125">
            <v>45778</v>
          </cell>
          <cell r="I8125" t="str">
            <v>6005 - Salaries</v>
          </cell>
          <cell r="J8125">
            <v>0</v>
          </cell>
          <cell r="K8125" t="str">
            <v>Executive</v>
          </cell>
          <cell r="L8125" t="str">
            <v>HQ Salaries</v>
          </cell>
          <cell r="N8125" t="str">
            <v>SG&amp;A</v>
          </cell>
          <cell r="O8125" t="str">
            <v>[No Vendor]</v>
          </cell>
        </row>
        <row r="8126">
          <cell r="D8126">
            <v>-27015.040000000001</v>
          </cell>
          <cell r="H8126">
            <v>45778</v>
          </cell>
          <cell r="I8126" t="str">
            <v>6005 - Salaries</v>
          </cell>
          <cell r="J8126" t="str">
            <v>Ecommerce (US)</v>
          </cell>
          <cell r="K8126" t="str">
            <v>Ecommerce</v>
          </cell>
          <cell r="L8126" t="str">
            <v>HQ Salaries</v>
          </cell>
          <cell r="N8126" t="str">
            <v>SG&amp;A</v>
          </cell>
          <cell r="O8126" t="str">
            <v>[No Vendor]</v>
          </cell>
        </row>
        <row r="8127">
          <cell r="D8127">
            <v>-27805.01</v>
          </cell>
          <cell r="H8127">
            <v>45778</v>
          </cell>
          <cell r="I8127" t="str">
            <v>6005 - Salaries</v>
          </cell>
          <cell r="J8127">
            <v>0</v>
          </cell>
          <cell r="K8127" t="str">
            <v>Design</v>
          </cell>
          <cell r="L8127" t="str">
            <v>HQ Salaries</v>
          </cell>
          <cell r="N8127" t="str">
            <v>SG&amp;A</v>
          </cell>
          <cell r="O8127" t="str">
            <v>[No Vendor]</v>
          </cell>
        </row>
        <row r="8128">
          <cell r="D8128">
            <v>552.64</v>
          </cell>
          <cell r="H8128">
            <v>45778</v>
          </cell>
          <cell r="I8128" t="str">
            <v>6300 - Payroll Service Fees</v>
          </cell>
          <cell r="J8128">
            <v>0</v>
          </cell>
          <cell r="K8128" t="str">
            <v>Administration</v>
          </cell>
          <cell r="L8128" t="str">
            <v>Professional Service</v>
          </cell>
          <cell r="N8128" t="str">
            <v>SG&amp;A</v>
          </cell>
          <cell r="O8128" t="str">
            <v>ADP Payroll Services</v>
          </cell>
        </row>
        <row r="8129">
          <cell r="D8129">
            <v>2712.13</v>
          </cell>
          <cell r="H8129">
            <v>45778</v>
          </cell>
          <cell r="I8129" t="str">
            <v>8505 - Realized Gain/Loss</v>
          </cell>
          <cell r="J8129">
            <v>0</v>
          </cell>
          <cell r="K8129" t="str">
            <v>No Department</v>
          </cell>
          <cell r="L8129" t="str">
            <v>Realized Gain / Loss</v>
          </cell>
          <cell r="N8129" t="str">
            <v>BTL</v>
          </cell>
          <cell r="O8129" t="str">
            <v>[No Vendor]</v>
          </cell>
        </row>
        <row r="8130">
          <cell r="D8130">
            <v>27015.41</v>
          </cell>
          <cell r="H8130">
            <v>45778</v>
          </cell>
          <cell r="I8130" t="str">
            <v>6005 - Salaries</v>
          </cell>
          <cell r="J8130">
            <v>0</v>
          </cell>
          <cell r="K8130" t="str">
            <v>Administration</v>
          </cell>
          <cell r="L8130" t="str">
            <v>HQ Salaries</v>
          </cell>
          <cell r="N8130" t="str">
            <v>SG&amp;A</v>
          </cell>
          <cell r="O8130" t="str">
            <v>[No Vendor]</v>
          </cell>
        </row>
        <row r="8131">
          <cell r="D8131">
            <v>4104.3</v>
          </cell>
          <cell r="H8131">
            <v>45778</v>
          </cell>
          <cell r="I8131" t="str">
            <v>6451 - Service Processing Fee</v>
          </cell>
          <cell r="J8131" t="str">
            <v>Wholesale</v>
          </cell>
          <cell r="K8131" t="str">
            <v>Wholesale</v>
          </cell>
          <cell r="L8131" t="str">
            <v>Professional Service</v>
          </cell>
          <cell r="N8131" t="str">
            <v>Direct Costs</v>
          </cell>
          <cell r="O8131" t="str">
            <v>Paymentech</v>
          </cell>
        </row>
        <row r="8132">
          <cell r="D8132">
            <v>0</v>
          </cell>
          <cell r="H8132">
            <v>45778</v>
          </cell>
          <cell r="I8132" t="str">
            <v>6035 - Severance Expense</v>
          </cell>
          <cell r="J8132" t="str">
            <v>Wholesale</v>
          </cell>
          <cell r="K8132" t="str">
            <v>Wholesale</v>
          </cell>
          <cell r="L8132" t="str">
            <v>HQ Salaries</v>
          </cell>
          <cell r="N8132" t="str">
            <v>SG&amp;A</v>
          </cell>
          <cell r="O8132" t="str">
            <v>[No Vendor]</v>
          </cell>
        </row>
        <row r="8133">
          <cell r="D8133">
            <v>18333.330000000002</v>
          </cell>
          <cell r="H8133">
            <v>45778</v>
          </cell>
          <cell r="I8133" t="str">
            <v>6205 - Contractors</v>
          </cell>
          <cell r="J8133">
            <v>0</v>
          </cell>
          <cell r="K8133" t="str">
            <v>Brand Marketing</v>
          </cell>
          <cell r="L8133" t="str">
            <v>HQ Salaries</v>
          </cell>
          <cell r="N8133" t="str">
            <v>SG&amp;A</v>
          </cell>
          <cell r="O8133" t="str">
            <v>[No Vendor]</v>
          </cell>
        </row>
        <row r="8134">
          <cell r="D8134">
            <v>19732.599999999999</v>
          </cell>
          <cell r="H8134">
            <v>45778</v>
          </cell>
          <cell r="I8134" t="str">
            <v>6205 - Contractors</v>
          </cell>
          <cell r="J8134" t="str">
            <v>Ecommerce (US)</v>
          </cell>
          <cell r="K8134" t="str">
            <v>Ecommerce</v>
          </cell>
          <cell r="L8134" t="str">
            <v>HQ Salaries</v>
          </cell>
          <cell r="N8134" t="str">
            <v>SG&amp;A</v>
          </cell>
          <cell r="O8134" t="str">
            <v>[No Vendor]</v>
          </cell>
        </row>
        <row r="8135">
          <cell r="D8135">
            <v>1050</v>
          </cell>
          <cell r="H8135">
            <v>45778</v>
          </cell>
          <cell r="I8135" t="str">
            <v>6205 - Contractors</v>
          </cell>
          <cell r="J8135">
            <v>0</v>
          </cell>
          <cell r="K8135" t="str">
            <v>Design</v>
          </cell>
          <cell r="L8135" t="str">
            <v>HQ Salaries</v>
          </cell>
          <cell r="N8135" t="str">
            <v>SG&amp;A</v>
          </cell>
          <cell r="O8135" t="str">
            <v>[No Vendor]</v>
          </cell>
        </row>
        <row r="8136">
          <cell r="D8136">
            <v>-37.299999999999997</v>
          </cell>
          <cell r="H8136">
            <v>45778</v>
          </cell>
          <cell r="I8136" t="str">
            <v>6385 - Insurance</v>
          </cell>
          <cell r="J8136">
            <v>0</v>
          </cell>
          <cell r="K8136" t="str">
            <v>Administration</v>
          </cell>
          <cell r="L8136" t="str">
            <v>Professional Service</v>
          </cell>
          <cell r="N8136" t="str">
            <v>SG&amp;A</v>
          </cell>
          <cell r="O8136" t="str">
            <v>[No Vendor]</v>
          </cell>
        </row>
        <row r="8137">
          <cell r="D8137">
            <v>-12.39</v>
          </cell>
          <cell r="H8137">
            <v>45778</v>
          </cell>
          <cell r="I8137" t="str">
            <v>6385 - Insurance</v>
          </cell>
          <cell r="J8137">
            <v>0</v>
          </cell>
          <cell r="K8137" t="str">
            <v>Administration</v>
          </cell>
          <cell r="L8137" t="str">
            <v>Professional Service</v>
          </cell>
          <cell r="N8137" t="str">
            <v>SG&amp;A</v>
          </cell>
          <cell r="O8137" t="str">
            <v>[No Vendor]</v>
          </cell>
        </row>
        <row r="8138">
          <cell r="D8138">
            <v>-90.18</v>
          </cell>
          <cell r="H8138">
            <v>45778</v>
          </cell>
          <cell r="I8138" t="str">
            <v>6385 - Insurance</v>
          </cell>
          <cell r="J8138">
            <v>0</v>
          </cell>
          <cell r="K8138" t="str">
            <v>Administration</v>
          </cell>
          <cell r="L8138" t="str">
            <v>Professional Service</v>
          </cell>
          <cell r="N8138" t="str">
            <v>SG&amp;A</v>
          </cell>
          <cell r="O8138" t="str">
            <v>[No Vendor]</v>
          </cell>
        </row>
        <row r="8139">
          <cell r="D8139">
            <v>-9.49</v>
          </cell>
          <cell r="H8139">
            <v>45778</v>
          </cell>
          <cell r="I8139" t="str">
            <v>6385 - Insurance</v>
          </cell>
          <cell r="J8139">
            <v>0</v>
          </cell>
          <cell r="K8139" t="str">
            <v>Administration</v>
          </cell>
          <cell r="L8139" t="str">
            <v>Professional Service</v>
          </cell>
          <cell r="N8139" t="str">
            <v>SG&amp;A</v>
          </cell>
          <cell r="O8139" t="str">
            <v>[No Vendor]</v>
          </cell>
        </row>
        <row r="8140">
          <cell r="D8140">
            <v>-43.2</v>
          </cell>
          <cell r="H8140">
            <v>45778</v>
          </cell>
          <cell r="I8140" t="str">
            <v>6385 - Insurance</v>
          </cell>
          <cell r="J8140">
            <v>0</v>
          </cell>
          <cell r="K8140" t="str">
            <v>Administration</v>
          </cell>
          <cell r="L8140" t="str">
            <v>Professional Service</v>
          </cell>
          <cell r="N8140" t="str">
            <v>SG&amp;A</v>
          </cell>
          <cell r="O8140" t="str">
            <v>[No Vendor]</v>
          </cell>
        </row>
        <row r="8141">
          <cell r="D8141">
            <v>-88.99</v>
          </cell>
          <cell r="H8141">
            <v>45778</v>
          </cell>
          <cell r="I8141" t="str">
            <v>6385 - Insurance</v>
          </cell>
          <cell r="J8141">
            <v>0</v>
          </cell>
          <cell r="K8141" t="str">
            <v>Administration</v>
          </cell>
          <cell r="L8141" t="str">
            <v>Professional Service</v>
          </cell>
          <cell r="N8141" t="str">
            <v>SG&amp;A</v>
          </cell>
          <cell r="O8141" t="str">
            <v>[No Vendor]</v>
          </cell>
        </row>
        <row r="8142">
          <cell r="D8142">
            <v>-41.72</v>
          </cell>
          <cell r="H8142">
            <v>45778</v>
          </cell>
          <cell r="I8142" t="str">
            <v>6385 - Insurance</v>
          </cell>
          <cell r="J8142">
            <v>0</v>
          </cell>
          <cell r="K8142" t="str">
            <v>Administration</v>
          </cell>
          <cell r="L8142" t="str">
            <v>Professional Service</v>
          </cell>
          <cell r="N8142" t="str">
            <v>SG&amp;A</v>
          </cell>
          <cell r="O8142" t="str">
            <v>[No Vendor]</v>
          </cell>
        </row>
        <row r="8143">
          <cell r="D8143">
            <v>967.27</v>
          </cell>
          <cell r="H8143">
            <v>45778</v>
          </cell>
          <cell r="I8143" t="str">
            <v>6055 - Employer Social Security Tax Withheld</v>
          </cell>
          <cell r="J8143">
            <v>0</v>
          </cell>
          <cell r="K8143" t="str">
            <v>Merchandising</v>
          </cell>
          <cell r="L8143" t="str">
            <v>HQ Salaries</v>
          </cell>
          <cell r="N8143" t="str">
            <v>SG&amp;A</v>
          </cell>
          <cell r="O8143" t="str">
            <v>[No Vendor]</v>
          </cell>
        </row>
        <row r="8144">
          <cell r="D8144">
            <v>311.08999999999997</v>
          </cell>
          <cell r="H8144">
            <v>45778</v>
          </cell>
          <cell r="I8144" t="str">
            <v>6055 - Employer Social Security Tax Withheld</v>
          </cell>
          <cell r="J8144" t="str">
            <v>Wholesale</v>
          </cell>
          <cell r="K8144" t="str">
            <v>Wholesale</v>
          </cell>
          <cell r="L8144" t="str">
            <v>HQ Salaries</v>
          </cell>
          <cell r="N8144" t="str">
            <v>SG&amp;A</v>
          </cell>
          <cell r="O8144" t="str">
            <v>[No Vendor]</v>
          </cell>
        </row>
        <row r="8145">
          <cell r="D8145">
            <v>2002.83</v>
          </cell>
          <cell r="H8145">
            <v>45778</v>
          </cell>
          <cell r="I8145" t="str">
            <v>6055 - Employer Social Security Tax Withheld</v>
          </cell>
          <cell r="J8145">
            <v>0</v>
          </cell>
          <cell r="K8145" t="str">
            <v>Production</v>
          </cell>
          <cell r="L8145" t="str">
            <v>HQ Salaries</v>
          </cell>
          <cell r="N8145" t="str">
            <v>SG&amp;A</v>
          </cell>
          <cell r="O8145" t="str">
            <v>[No Vendor]</v>
          </cell>
        </row>
        <row r="8146">
          <cell r="D8146">
            <v>1174.3499999999999</v>
          </cell>
          <cell r="H8146">
            <v>45778</v>
          </cell>
          <cell r="I8146" t="str">
            <v>6055 - Employer Social Security Tax Withheld</v>
          </cell>
          <cell r="J8146">
            <v>0</v>
          </cell>
          <cell r="K8146" t="str">
            <v>Executive</v>
          </cell>
          <cell r="L8146" t="str">
            <v>HQ Salaries</v>
          </cell>
          <cell r="N8146" t="str">
            <v>SG&amp;A</v>
          </cell>
          <cell r="O8146" t="str">
            <v>[No Vendor]</v>
          </cell>
        </row>
        <row r="8147">
          <cell r="D8147">
            <v>2217.19</v>
          </cell>
          <cell r="H8147">
            <v>45778</v>
          </cell>
          <cell r="I8147" t="str">
            <v>6055 - Employer Social Security Tax Withheld</v>
          </cell>
          <cell r="J8147" t="str">
            <v>Ecommerce (US)</v>
          </cell>
          <cell r="K8147" t="str">
            <v>Ecommerce</v>
          </cell>
          <cell r="L8147" t="str">
            <v>HQ Salaries</v>
          </cell>
          <cell r="N8147" t="str">
            <v>SG&amp;A</v>
          </cell>
          <cell r="O8147" t="str">
            <v>[No Vendor]</v>
          </cell>
        </row>
        <row r="8148">
          <cell r="D8148">
            <v>2066.83</v>
          </cell>
          <cell r="H8148">
            <v>45778</v>
          </cell>
          <cell r="I8148" t="str">
            <v>6055 - Employer Social Security Tax Withheld</v>
          </cell>
          <cell r="J8148">
            <v>0</v>
          </cell>
          <cell r="K8148" t="str">
            <v>Design</v>
          </cell>
          <cell r="L8148" t="str">
            <v>HQ Salaries</v>
          </cell>
          <cell r="N8148" t="str">
            <v>SG&amp;A</v>
          </cell>
          <cell r="O8148" t="str">
            <v>[No Vendor]</v>
          </cell>
        </row>
        <row r="8149">
          <cell r="D8149">
            <v>2547.33</v>
          </cell>
          <cell r="H8149">
            <v>45778</v>
          </cell>
          <cell r="I8149" t="str">
            <v>6055 - Employer Social Security Tax Withheld</v>
          </cell>
          <cell r="J8149">
            <v>0</v>
          </cell>
          <cell r="K8149" t="str">
            <v>Administration</v>
          </cell>
          <cell r="L8149" t="str">
            <v>HQ Salaries</v>
          </cell>
          <cell r="N8149" t="str">
            <v>SG&amp;A</v>
          </cell>
          <cell r="O8149" t="str">
            <v>[No Vendor]</v>
          </cell>
        </row>
        <row r="8150">
          <cell r="D8150">
            <v>-34.9</v>
          </cell>
          <cell r="H8150">
            <v>45778</v>
          </cell>
          <cell r="I8150" t="str">
            <v>6040 - Employer Paid Benefits</v>
          </cell>
          <cell r="J8150">
            <v>0</v>
          </cell>
          <cell r="K8150" t="str">
            <v>Merchandising</v>
          </cell>
          <cell r="L8150" t="str">
            <v>HQ Salaries</v>
          </cell>
          <cell r="N8150" t="str">
            <v>SG&amp;A</v>
          </cell>
          <cell r="O8150" t="str">
            <v>[No Vendor]</v>
          </cell>
        </row>
        <row r="8151">
          <cell r="D8151">
            <v>-34.9</v>
          </cell>
          <cell r="H8151">
            <v>45778</v>
          </cell>
          <cell r="I8151" t="str">
            <v>6040 - Employer Paid Benefits</v>
          </cell>
          <cell r="J8151" t="str">
            <v>Wholesale</v>
          </cell>
          <cell r="K8151" t="str">
            <v>Wholesale</v>
          </cell>
          <cell r="L8151" t="str">
            <v>HQ Salaries</v>
          </cell>
          <cell r="N8151" t="str">
            <v>SG&amp;A</v>
          </cell>
          <cell r="O8151" t="str">
            <v>[No Vendor]</v>
          </cell>
        </row>
        <row r="8152">
          <cell r="D8152">
            <v>-482.84</v>
          </cell>
          <cell r="H8152">
            <v>45778</v>
          </cell>
          <cell r="I8152" t="str">
            <v>6040 - Employer Paid Benefits</v>
          </cell>
          <cell r="J8152">
            <v>0</v>
          </cell>
          <cell r="K8152" t="str">
            <v>Production</v>
          </cell>
          <cell r="L8152" t="str">
            <v>HQ Salaries</v>
          </cell>
          <cell r="N8152" t="str">
            <v>SG&amp;A</v>
          </cell>
          <cell r="O8152" t="str">
            <v>[No Vendor]</v>
          </cell>
        </row>
        <row r="8153">
          <cell r="D8153">
            <v>-332.52</v>
          </cell>
          <cell r="H8153">
            <v>45778</v>
          </cell>
          <cell r="I8153" t="str">
            <v>6040 - Employer Paid Benefits</v>
          </cell>
          <cell r="J8153">
            <v>0</v>
          </cell>
          <cell r="K8153" t="str">
            <v>Executive</v>
          </cell>
          <cell r="L8153" t="str">
            <v>HQ Salaries</v>
          </cell>
          <cell r="N8153" t="str">
            <v>SG&amp;A</v>
          </cell>
          <cell r="O8153" t="str">
            <v>[No Vendor]</v>
          </cell>
        </row>
        <row r="8154">
          <cell r="D8154">
            <v>-250.5</v>
          </cell>
          <cell r="H8154">
            <v>45778</v>
          </cell>
          <cell r="I8154" t="str">
            <v>6040 - Employer Paid Benefits</v>
          </cell>
          <cell r="J8154" t="str">
            <v>Ecommerce (US)</v>
          </cell>
          <cell r="K8154" t="str">
            <v>Ecommerce</v>
          </cell>
          <cell r="L8154" t="str">
            <v>HQ Salaries</v>
          </cell>
          <cell r="N8154" t="str">
            <v>SG&amp;A</v>
          </cell>
          <cell r="O8154" t="str">
            <v>[No Vendor]</v>
          </cell>
        </row>
        <row r="8155">
          <cell r="D8155">
            <v>-442.41</v>
          </cell>
          <cell r="H8155">
            <v>45778</v>
          </cell>
          <cell r="I8155" t="str">
            <v>6040 - Employer Paid Benefits</v>
          </cell>
          <cell r="J8155">
            <v>0</v>
          </cell>
          <cell r="K8155" t="str">
            <v>Design</v>
          </cell>
          <cell r="L8155" t="str">
            <v>HQ Salaries</v>
          </cell>
          <cell r="N8155" t="str">
            <v>SG&amp;A</v>
          </cell>
          <cell r="O8155" t="str">
            <v>[No Vendor]</v>
          </cell>
        </row>
        <row r="8156">
          <cell r="D8156">
            <v>-624.54999999999995</v>
          </cell>
          <cell r="H8156">
            <v>45778</v>
          </cell>
          <cell r="I8156" t="str">
            <v>6040 - Employer Paid Benefits</v>
          </cell>
          <cell r="J8156">
            <v>0</v>
          </cell>
          <cell r="K8156" t="str">
            <v>Administration</v>
          </cell>
          <cell r="L8156" t="str">
            <v>HQ Salaries</v>
          </cell>
          <cell r="N8156" t="str">
            <v>SG&amp;A</v>
          </cell>
          <cell r="O8156" t="str">
            <v>[No Vendor]</v>
          </cell>
        </row>
        <row r="8157">
          <cell r="D8157">
            <v>8996.15</v>
          </cell>
          <cell r="H8157">
            <v>45778</v>
          </cell>
          <cell r="I8157" t="str">
            <v>6005 - Salaries</v>
          </cell>
          <cell r="J8157">
            <v>0</v>
          </cell>
          <cell r="K8157" t="str">
            <v>Merchandising</v>
          </cell>
          <cell r="L8157" t="str">
            <v>HQ Salaries</v>
          </cell>
          <cell r="N8157" t="str">
            <v>SG&amp;A</v>
          </cell>
          <cell r="O8157" t="str">
            <v>[No Vendor]</v>
          </cell>
        </row>
        <row r="8158">
          <cell r="D8158">
            <v>2884.62</v>
          </cell>
          <cell r="H8158">
            <v>45778</v>
          </cell>
          <cell r="I8158" t="str">
            <v>6005 - Salaries</v>
          </cell>
          <cell r="J8158" t="str">
            <v>Wholesale</v>
          </cell>
          <cell r="K8158" t="str">
            <v>Wholesale</v>
          </cell>
          <cell r="L8158" t="str">
            <v>HQ Salaries</v>
          </cell>
          <cell r="N8158" t="str">
            <v>SG&amp;A</v>
          </cell>
          <cell r="O8158" t="str">
            <v>[No Vendor]</v>
          </cell>
        </row>
        <row r="8159">
          <cell r="D8159">
            <v>21699.25</v>
          </cell>
          <cell r="H8159">
            <v>45778</v>
          </cell>
          <cell r="I8159" t="str">
            <v>6005 - Salaries</v>
          </cell>
          <cell r="J8159">
            <v>0</v>
          </cell>
          <cell r="K8159" t="str">
            <v>Production</v>
          </cell>
          <cell r="L8159" t="str">
            <v>HQ Salaries</v>
          </cell>
          <cell r="N8159" t="str">
            <v>SG&amp;A</v>
          </cell>
          <cell r="O8159" t="str">
            <v>[No Vendor]</v>
          </cell>
        </row>
        <row r="8160">
          <cell r="D8160">
            <v>11153.85</v>
          </cell>
          <cell r="H8160">
            <v>45778</v>
          </cell>
          <cell r="I8160" t="str">
            <v>6005 - Salaries</v>
          </cell>
          <cell r="J8160">
            <v>0</v>
          </cell>
          <cell r="K8160" t="str">
            <v>Executive</v>
          </cell>
          <cell r="L8160" t="str">
            <v>HQ Salaries</v>
          </cell>
          <cell r="N8160" t="str">
            <v>SG&amp;A</v>
          </cell>
          <cell r="O8160" t="str">
            <v>[No Vendor]</v>
          </cell>
        </row>
        <row r="8161">
          <cell r="D8161">
            <v>20780.8</v>
          </cell>
          <cell r="H8161">
            <v>45778</v>
          </cell>
          <cell r="I8161" t="str">
            <v>6005 - Salaries</v>
          </cell>
          <cell r="J8161" t="str">
            <v>Ecommerce (US)</v>
          </cell>
          <cell r="K8161" t="str">
            <v>Ecommerce</v>
          </cell>
          <cell r="L8161" t="str">
            <v>HQ Salaries</v>
          </cell>
          <cell r="N8161" t="str">
            <v>SG&amp;A</v>
          </cell>
          <cell r="O8161" t="str">
            <v>[No Vendor]</v>
          </cell>
        </row>
        <row r="8162">
          <cell r="D8162">
            <v>21388.47</v>
          </cell>
          <cell r="H8162">
            <v>45778</v>
          </cell>
          <cell r="I8162" t="str">
            <v>6005 - Salaries</v>
          </cell>
          <cell r="J8162">
            <v>0</v>
          </cell>
          <cell r="K8162" t="str">
            <v>Design</v>
          </cell>
          <cell r="L8162" t="str">
            <v>HQ Salaries</v>
          </cell>
          <cell r="N8162" t="str">
            <v>SG&amp;A</v>
          </cell>
          <cell r="O8162" t="str">
            <v>[No Vendor]</v>
          </cell>
        </row>
        <row r="8163">
          <cell r="D8163">
            <v>1161.8399999999999</v>
          </cell>
          <cell r="H8163">
            <v>45778</v>
          </cell>
          <cell r="I8163" t="str">
            <v>6375 - Freight Expenses</v>
          </cell>
          <cell r="J8163" t="str">
            <v>Wholesale</v>
          </cell>
          <cell r="K8163" t="str">
            <v>Wholesale</v>
          </cell>
          <cell r="L8163" t="str">
            <v>Freight</v>
          </cell>
          <cell r="N8163" t="str">
            <v>Direct Costs</v>
          </cell>
          <cell r="O8163" t="str">
            <v>UPS Supply Chain Solutions Inc. (7F24A0)</v>
          </cell>
        </row>
        <row r="8164">
          <cell r="D8164">
            <v>23111.200000000001</v>
          </cell>
          <cell r="H8164">
            <v>45778</v>
          </cell>
          <cell r="I8164" t="str">
            <v>6375 - Freight Expenses</v>
          </cell>
          <cell r="J8164" t="str">
            <v>Ecommerce (US)</v>
          </cell>
          <cell r="K8164" t="str">
            <v>Ecommerce</v>
          </cell>
          <cell r="L8164" t="str">
            <v>Freight</v>
          </cell>
          <cell r="N8164" t="str">
            <v>Direct Costs</v>
          </cell>
          <cell r="O8164" t="str">
            <v>UPS Supply Chain Solutions Inc. (7F24A0)</v>
          </cell>
        </row>
        <row r="8165">
          <cell r="D8165">
            <v>10.1</v>
          </cell>
          <cell r="H8165">
            <v>45778</v>
          </cell>
          <cell r="I8165" t="str">
            <v>6375 - Freight Expenses</v>
          </cell>
          <cell r="J8165">
            <v>0</v>
          </cell>
          <cell r="K8165" t="str">
            <v>Administration</v>
          </cell>
          <cell r="L8165" t="str">
            <v>Freight</v>
          </cell>
          <cell r="N8165" t="str">
            <v>Direct Costs</v>
          </cell>
          <cell r="O8165" t="str">
            <v>[No Vendor]</v>
          </cell>
        </row>
        <row r="8166">
          <cell r="D8166">
            <v>75.849999999999994</v>
          </cell>
          <cell r="H8166">
            <v>45778</v>
          </cell>
          <cell r="I8166" t="str">
            <v>6393 - Software</v>
          </cell>
          <cell r="J8166">
            <v>0</v>
          </cell>
          <cell r="K8166" t="str">
            <v>Administration</v>
          </cell>
          <cell r="L8166" t="str">
            <v>Professional Service</v>
          </cell>
          <cell r="N8166" t="str">
            <v>Direct Costs</v>
          </cell>
          <cell r="O8166" t="str">
            <v>QBO</v>
          </cell>
        </row>
        <row r="8167">
          <cell r="D8167">
            <v>1265.06</v>
          </cell>
          <cell r="H8167">
            <v>45778</v>
          </cell>
          <cell r="I8167" t="str">
            <v>6393 - Software</v>
          </cell>
          <cell r="J8167">
            <v>0</v>
          </cell>
          <cell r="K8167" t="str">
            <v>Administration</v>
          </cell>
          <cell r="L8167" t="str">
            <v>Professional Service</v>
          </cell>
          <cell r="N8167" t="str">
            <v>Direct Costs</v>
          </cell>
          <cell r="O8167" t="str">
            <v>Docusign</v>
          </cell>
        </row>
        <row r="8168">
          <cell r="D8168">
            <v>1494</v>
          </cell>
          <cell r="H8168">
            <v>45778</v>
          </cell>
          <cell r="I8168" t="str">
            <v>6393 - Software</v>
          </cell>
          <cell r="J8168">
            <v>0</v>
          </cell>
          <cell r="K8168" t="str">
            <v>Design</v>
          </cell>
          <cell r="L8168" t="str">
            <v>Professional Service</v>
          </cell>
          <cell r="N8168" t="str">
            <v>Direct Costs</v>
          </cell>
          <cell r="O8168" t="str">
            <v>Backbone</v>
          </cell>
        </row>
        <row r="8169">
          <cell r="D8169">
            <v>240.07</v>
          </cell>
          <cell r="H8169">
            <v>45778</v>
          </cell>
          <cell r="I8169" t="str">
            <v>6393 - Software</v>
          </cell>
          <cell r="J8169" t="str">
            <v>Wholesale</v>
          </cell>
          <cell r="K8169" t="str">
            <v>Wholesale</v>
          </cell>
          <cell r="L8169" t="str">
            <v>Professional Service</v>
          </cell>
          <cell r="N8169" t="str">
            <v>Direct Costs</v>
          </cell>
          <cell r="O8169" t="str">
            <v>Open Text</v>
          </cell>
        </row>
        <row r="8170">
          <cell r="D8170">
            <v>50.2</v>
          </cell>
          <cell r="H8170">
            <v>45778</v>
          </cell>
          <cell r="I8170" t="str">
            <v>6393 - Software</v>
          </cell>
          <cell r="J8170" t="str">
            <v>Wholesale</v>
          </cell>
          <cell r="K8170" t="str">
            <v>Wholesale</v>
          </cell>
          <cell r="L8170" t="str">
            <v>Professional Service</v>
          </cell>
          <cell r="N8170" t="str">
            <v>Direct Costs</v>
          </cell>
          <cell r="O8170" t="str">
            <v>Authorize.net</v>
          </cell>
        </row>
        <row r="8171">
          <cell r="D8171">
            <v>1779.84</v>
          </cell>
          <cell r="H8171">
            <v>45778</v>
          </cell>
          <cell r="I8171" t="str">
            <v>6393 - Software</v>
          </cell>
          <cell r="J8171">
            <v>0</v>
          </cell>
          <cell r="K8171" t="str">
            <v>Administration</v>
          </cell>
          <cell r="L8171" t="str">
            <v>Professional Service</v>
          </cell>
          <cell r="N8171" t="str">
            <v>Direct Costs</v>
          </cell>
          <cell r="O8171" t="str">
            <v>Adobe, Inc.</v>
          </cell>
        </row>
        <row r="8172">
          <cell r="D8172">
            <v>65.33</v>
          </cell>
          <cell r="H8172">
            <v>45778</v>
          </cell>
          <cell r="I8172" t="str">
            <v>6340 - Miscellaneous Expense</v>
          </cell>
          <cell r="J8172">
            <v>0</v>
          </cell>
          <cell r="K8172" t="str">
            <v>Administration</v>
          </cell>
          <cell r="L8172" t="str">
            <v>Other</v>
          </cell>
          <cell r="N8172" t="str">
            <v>SG&amp;A</v>
          </cell>
          <cell r="O8172" t="str">
            <v>NYC Intercom Inc</v>
          </cell>
        </row>
        <row r="8173">
          <cell r="D8173">
            <v>5</v>
          </cell>
          <cell r="H8173">
            <v>45778</v>
          </cell>
          <cell r="I8173" t="str">
            <v>6140 - Other</v>
          </cell>
          <cell r="J8173">
            <v>0</v>
          </cell>
          <cell r="K8173" t="str">
            <v>Administration</v>
          </cell>
          <cell r="L8173" t="str">
            <v>T&amp;E</v>
          </cell>
          <cell r="N8173" t="str">
            <v>SG&amp;A</v>
          </cell>
          <cell r="O8173" t="str">
            <v>[No Vendor]</v>
          </cell>
        </row>
        <row r="8174">
          <cell r="D8174">
            <v>1.1399999999999999</v>
          </cell>
          <cell r="H8174">
            <v>45778</v>
          </cell>
          <cell r="I8174" t="str">
            <v>6450 - Bank &amp; Other Fees</v>
          </cell>
          <cell r="J8174">
            <v>0</v>
          </cell>
          <cell r="K8174" t="str">
            <v>Administration</v>
          </cell>
          <cell r="L8174" t="str">
            <v>Professional Service</v>
          </cell>
          <cell r="N8174" t="str">
            <v>SG&amp;A</v>
          </cell>
          <cell r="O8174" t="str">
            <v>[No Vendor]</v>
          </cell>
        </row>
        <row r="8175">
          <cell r="D8175">
            <v>28.15</v>
          </cell>
          <cell r="H8175">
            <v>45778</v>
          </cell>
          <cell r="I8175" t="str">
            <v>8600 - Income Tax Expense</v>
          </cell>
          <cell r="J8175">
            <v>0</v>
          </cell>
          <cell r="K8175" t="str">
            <v>Administration</v>
          </cell>
          <cell r="L8175" t="str">
            <v>Tax</v>
          </cell>
          <cell r="N8175" t="str">
            <v>BTL</v>
          </cell>
          <cell r="O8175" t="str">
            <v>[No Vendor]</v>
          </cell>
        </row>
        <row r="8176">
          <cell r="D8176">
            <v>2985.51</v>
          </cell>
          <cell r="H8176">
            <v>45778</v>
          </cell>
          <cell r="I8176" t="str">
            <v>6115 - Airfare</v>
          </cell>
          <cell r="J8176">
            <v>0</v>
          </cell>
          <cell r="K8176" t="str">
            <v>Administration</v>
          </cell>
          <cell r="L8176" t="str">
            <v>T&amp;E</v>
          </cell>
          <cell r="N8176" t="str">
            <v>SG&amp;A</v>
          </cell>
          <cell r="O8176" t="str">
            <v>[No Vendor]</v>
          </cell>
        </row>
        <row r="8177">
          <cell r="D8177">
            <v>23.07</v>
          </cell>
          <cell r="H8177">
            <v>45778</v>
          </cell>
          <cell r="I8177" t="str">
            <v>6375 - Freight Expenses</v>
          </cell>
          <cell r="J8177">
            <v>0</v>
          </cell>
          <cell r="K8177" t="str">
            <v>Production</v>
          </cell>
          <cell r="L8177" t="str">
            <v>Freight</v>
          </cell>
          <cell r="N8177" t="str">
            <v>Direct Costs</v>
          </cell>
          <cell r="O8177" t="str">
            <v>[No Vendor]</v>
          </cell>
        </row>
        <row r="8178">
          <cell r="D8178">
            <v>30.9</v>
          </cell>
          <cell r="H8178">
            <v>45778</v>
          </cell>
          <cell r="I8178" t="str">
            <v>6375 - Freight Expenses</v>
          </cell>
          <cell r="J8178">
            <v>0</v>
          </cell>
          <cell r="K8178" t="str">
            <v>Administration</v>
          </cell>
          <cell r="L8178" t="str">
            <v>Freight</v>
          </cell>
          <cell r="N8178" t="str">
            <v>Direct Costs</v>
          </cell>
          <cell r="O8178" t="str">
            <v>[No Vendor]</v>
          </cell>
        </row>
        <row r="8179">
          <cell r="D8179">
            <v>32.020000000000003</v>
          </cell>
          <cell r="H8179">
            <v>45778</v>
          </cell>
          <cell r="I8179" t="str">
            <v>6375 - Freight Expenses</v>
          </cell>
          <cell r="J8179" t="str">
            <v>Ecommerce (US)</v>
          </cell>
          <cell r="K8179" t="str">
            <v>Ecommerce</v>
          </cell>
          <cell r="L8179" t="str">
            <v>Freight</v>
          </cell>
          <cell r="N8179" t="str">
            <v>Direct Costs</v>
          </cell>
          <cell r="O8179" t="str">
            <v>UPS Supply Chain Solutions Inc. (7F24A0)</v>
          </cell>
        </row>
        <row r="8180">
          <cell r="D8180">
            <v>543.5</v>
          </cell>
          <cell r="H8180">
            <v>45778</v>
          </cell>
          <cell r="I8180" t="str">
            <v>6393 - Software</v>
          </cell>
          <cell r="J8180">
            <v>0</v>
          </cell>
          <cell r="K8180" t="str">
            <v>Administration</v>
          </cell>
          <cell r="L8180" t="str">
            <v>Professional Service</v>
          </cell>
          <cell r="N8180" t="str">
            <v>Direct Costs</v>
          </cell>
          <cell r="O8180" t="str">
            <v>Concur Technologies, Inc.</v>
          </cell>
        </row>
        <row r="8181">
          <cell r="D8181">
            <v>146</v>
          </cell>
          <cell r="H8181">
            <v>45778</v>
          </cell>
          <cell r="I8181" t="str">
            <v>6393 - Software</v>
          </cell>
          <cell r="J8181" t="str">
            <v>Wholesale</v>
          </cell>
          <cell r="K8181" t="str">
            <v>Wholesale</v>
          </cell>
          <cell r="L8181" t="str">
            <v>Professional Service</v>
          </cell>
          <cell r="N8181" t="str">
            <v>Direct Costs</v>
          </cell>
          <cell r="O8181" t="str">
            <v>SPS Commerce</v>
          </cell>
        </row>
        <row r="8182">
          <cell r="D8182">
            <v>325</v>
          </cell>
          <cell r="H8182">
            <v>45778</v>
          </cell>
          <cell r="I8182" t="str">
            <v>6040 - Employer Paid Benefits</v>
          </cell>
          <cell r="J8182">
            <v>0</v>
          </cell>
          <cell r="K8182" t="str">
            <v>Administration</v>
          </cell>
          <cell r="L8182" t="str">
            <v>HQ Salaries</v>
          </cell>
          <cell r="N8182" t="str">
            <v>SG&amp;A</v>
          </cell>
          <cell r="O8182" t="str">
            <v>Procyon Benefits LLC</v>
          </cell>
        </row>
        <row r="8183">
          <cell r="D8183">
            <v>708.75</v>
          </cell>
          <cell r="H8183">
            <v>45778</v>
          </cell>
          <cell r="I8183" t="str">
            <v>6300 - Payroll Service Fees</v>
          </cell>
          <cell r="J8183">
            <v>0</v>
          </cell>
          <cell r="K8183" t="str">
            <v>Administration</v>
          </cell>
          <cell r="L8183" t="str">
            <v>Professional Service</v>
          </cell>
          <cell r="N8183" t="str">
            <v>SG&amp;A</v>
          </cell>
          <cell r="O8183" t="str">
            <v>OperationsInc, LLC</v>
          </cell>
        </row>
        <row r="8184">
          <cell r="D8184">
            <v>115.06</v>
          </cell>
          <cell r="H8184">
            <v>45778</v>
          </cell>
          <cell r="I8184" t="str">
            <v>6375 - Freight Expenses</v>
          </cell>
          <cell r="J8184">
            <v>0</v>
          </cell>
          <cell r="K8184" t="str">
            <v>Production</v>
          </cell>
          <cell r="L8184" t="str">
            <v>Freight</v>
          </cell>
          <cell r="N8184" t="str">
            <v>Direct Costs</v>
          </cell>
          <cell r="O8184" t="str">
            <v>DHL Express - USA</v>
          </cell>
        </row>
        <row r="8185">
          <cell r="D8185">
            <v>1355.56</v>
          </cell>
          <cell r="H8185">
            <v>45778</v>
          </cell>
          <cell r="I8185" t="str">
            <v>6375 - Freight Expenses</v>
          </cell>
          <cell r="J8185">
            <v>0</v>
          </cell>
          <cell r="K8185" t="str">
            <v>Production</v>
          </cell>
          <cell r="L8185" t="str">
            <v>Freight</v>
          </cell>
          <cell r="N8185" t="str">
            <v>Direct Costs</v>
          </cell>
          <cell r="O8185" t="str">
            <v>DHL Express - USA</v>
          </cell>
        </row>
        <row r="8186">
          <cell r="D8186">
            <v>535.24</v>
          </cell>
          <cell r="H8186">
            <v>45778</v>
          </cell>
          <cell r="I8186" t="str">
            <v>6375 - Freight Expenses</v>
          </cell>
          <cell r="J8186" t="str">
            <v>Ecommerce (US)</v>
          </cell>
          <cell r="K8186" t="str">
            <v>Ecommerce</v>
          </cell>
          <cell r="L8186" t="str">
            <v>Freight</v>
          </cell>
          <cell r="N8186" t="str">
            <v>Direct Costs</v>
          </cell>
          <cell r="O8186" t="str">
            <v>UPS Supply Chain Solutions Inc. (7F24A0)</v>
          </cell>
        </row>
        <row r="8187">
          <cell r="D8187">
            <v>3466.88</v>
          </cell>
          <cell r="H8187">
            <v>45778</v>
          </cell>
          <cell r="I8187" t="str">
            <v>6040 - Employer Paid Benefits</v>
          </cell>
          <cell r="J8187">
            <v>0</v>
          </cell>
          <cell r="K8187" t="str">
            <v>Production</v>
          </cell>
          <cell r="L8187" t="str">
            <v>HQ Salaries</v>
          </cell>
          <cell r="N8187" t="str">
            <v>SG&amp;A</v>
          </cell>
          <cell r="O8187" t="str">
            <v>Procyon Benefits LLC</v>
          </cell>
        </row>
        <row r="8188">
          <cell r="D8188">
            <v>132.1</v>
          </cell>
          <cell r="H8188">
            <v>45778</v>
          </cell>
          <cell r="I8188" t="str">
            <v>6040 - Employer Paid Benefits</v>
          </cell>
          <cell r="J8188">
            <v>0</v>
          </cell>
          <cell r="K8188" t="str">
            <v>Merchandising</v>
          </cell>
          <cell r="L8188" t="str">
            <v>HQ Salaries</v>
          </cell>
          <cell r="N8188" t="str">
            <v>SG&amp;A</v>
          </cell>
          <cell r="O8188" t="str">
            <v>Procyon Benefits LLC</v>
          </cell>
        </row>
        <row r="8189">
          <cell r="D8189">
            <v>45.75</v>
          </cell>
          <cell r="H8189">
            <v>45778</v>
          </cell>
          <cell r="I8189" t="str">
            <v>6040 - Employer Paid Benefits</v>
          </cell>
          <cell r="J8189" t="str">
            <v>Ecommerce (US)</v>
          </cell>
          <cell r="K8189" t="str">
            <v>Ecommerce</v>
          </cell>
          <cell r="L8189" t="str">
            <v>HQ Salaries</v>
          </cell>
          <cell r="N8189" t="str">
            <v>SG&amp;A</v>
          </cell>
          <cell r="O8189" t="str">
            <v>Procyon Benefits LLC</v>
          </cell>
        </row>
        <row r="8190">
          <cell r="D8190">
            <v>395.9</v>
          </cell>
          <cell r="H8190">
            <v>45778</v>
          </cell>
          <cell r="I8190" t="str">
            <v>6040 - Employer Paid Benefits</v>
          </cell>
          <cell r="J8190">
            <v>0</v>
          </cell>
          <cell r="K8190" t="str">
            <v>Executive</v>
          </cell>
          <cell r="L8190" t="str">
            <v>HQ Salaries</v>
          </cell>
          <cell r="N8190" t="str">
            <v>SG&amp;A</v>
          </cell>
          <cell r="O8190" t="str">
            <v>Procyon Benefits LLC</v>
          </cell>
        </row>
        <row r="8191">
          <cell r="D8191">
            <v>50</v>
          </cell>
          <cell r="H8191">
            <v>45778</v>
          </cell>
          <cell r="I8191" t="str">
            <v>6040 - Employer Paid Benefits</v>
          </cell>
          <cell r="J8191">
            <v>0</v>
          </cell>
          <cell r="K8191" t="str">
            <v>Design</v>
          </cell>
          <cell r="L8191" t="str">
            <v>HQ Salaries</v>
          </cell>
          <cell r="N8191" t="str">
            <v>SG&amp;A</v>
          </cell>
          <cell r="O8191" t="str">
            <v>Procyon Benefits LLC</v>
          </cell>
        </row>
        <row r="8192">
          <cell r="D8192">
            <v>98.82</v>
          </cell>
          <cell r="H8192">
            <v>45778</v>
          </cell>
          <cell r="I8192" t="str">
            <v>6375 - Freight Expenses</v>
          </cell>
          <cell r="J8192" t="str">
            <v>Ecommerce (US)</v>
          </cell>
          <cell r="K8192" t="str">
            <v>Ecommerce</v>
          </cell>
          <cell r="L8192" t="str">
            <v>Freight</v>
          </cell>
          <cell r="N8192" t="str">
            <v>Direct Costs</v>
          </cell>
          <cell r="O8192" t="str">
            <v>UPS Supply Chain Solutions Inc. (7F24A0)</v>
          </cell>
        </row>
        <row r="8193">
          <cell r="D8193">
            <v>167.06</v>
          </cell>
          <cell r="H8193">
            <v>45778</v>
          </cell>
          <cell r="I8193" t="str">
            <v>6340 - Miscellaneous Expense</v>
          </cell>
          <cell r="J8193">
            <v>0</v>
          </cell>
          <cell r="K8193" t="str">
            <v>Administration</v>
          </cell>
          <cell r="L8193" t="str">
            <v>Other</v>
          </cell>
          <cell r="N8193" t="str">
            <v>SG&amp;A</v>
          </cell>
          <cell r="O8193" t="str">
            <v>[No Vendor]</v>
          </cell>
        </row>
        <row r="8194">
          <cell r="D8194">
            <v>25.87</v>
          </cell>
          <cell r="H8194">
            <v>45778</v>
          </cell>
          <cell r="I8194" t="str">
            <v>6140 - Other</v>
          </cell>
          <cell r="J8194">
            <v>0</v>
          </cell>
          <cell r="K8194" t="str">
            <v>Administration</v>
          </cell>
          <cell r="L8194" t="str">
            <v>T&amp;E</v>
          </cell>
          <cell r="N8194" t="str">
            <v>SG&amp;A</v>
          </cell>
          <cell r="O8194" t="str">
            <v>[No Vendor]</v>
          </cell>
        </row>
        <row r="8195">
          <cell r="D8195">
            <v>368.77</v>
          </cell>
          <cell r="H8195">
            <v>45778</v>
          </cell>
          <cell r="I8195" t="str">
            <v>6300 - Payroll Service Fees</v>
          </cell>
          <cell r="J8195">
            <v>0</v>
          </cell>
          <cell r="K8195" t="str">
            <v>Administration</v>
          </cell>
          <cell r="L8195" t="str">
            <v>Professional Service</v>
          </cell>
          <cell r="N8195" t="str">
            <v>SG&amp;A</v>
          </cell>
          <cell r="O8195" t="str">
            <v>ADP Payroll Services</v>
          </cell>
        </row>
        <row r="8196">
          <cell r="D8196">
            <v>1236.9000000000001</v>
          </cell>
          <cell r="H8196">
            <v>45778</v>
          </cell>
          <cell r="I8196" t="str">
            <v>6370 - Samples</v>
          </cell>
          <cell r="J8196">
            <v>0</v>
          </cell>
          <cell r="K8196" t="str">
            <v>Production</v>
          </cell>
          <cell r="L8196" t="str">
            <v>Sample</v>
          </cell>
          <cell r="N8196" t="str">
            <v>SG&amp;A</v>
          </cell>
          <cell r="O8196" t="str">
            <v>Shanghai Hesrro Garment Co., Ltd</v>
          </cell>
        </row>
        <row r="8197">
          <cell r="D8197">
            <v>1236.9000000000001</v>
          </cell>
          <cell r="H8197">
            <v>45778</v>
          </cell>
          <cell r="I8197" t="str">
            <v>6370 - Samples</v>
          </cell>
          <cell r="J8197">
            <v>0</v>
          </cell>
          <cell r="K8197" t="str">
            <v>Production</v>
          </cell>
          <cell r="L8197" t="str">
            <v>Sample</v>
          </cell>
          <cell r="N8197" t="str">
            <v>SG&amp;A</v>
          </cell>
          <cell r="O8197" t="str">
            <v>Shanghai Hesrro Garment Co., Ltd</v>
          </cell>
        </row>
        <row r="8198">
          <cell r="D8198">
            <v>2473.8000000000002</v>
          </cell>
          <cell r="H8198">
            <v>45778</v>
          </cell>
          <cell r="I8198" t="str">
            <v>6370 - Samples</v>
          </cell>
          <cell r="J8198" t="str">
            <v>Wholesale</v>
          </cell>
          <cell r="K8198" t="str">
            <v>Production</v>
          </cell>
          <cell r="L8198" t="str">
            <v>Sample</v>
          </cell>
          <cell r="N8198" t="str">
            <v>SG&amp;A</v>
          </cell>
          <cell r="O8198" t="str">
            <v>Shanghai Hesrro Garment Co., Ltd</v>
          </cell>
        </row>
        <row r="8199">
          <cell r="D8199">
            <v>-1947</v>
          </cell>
          <cell r="H8199">
            <v>45778</v>
          </cell>
          <cell r="I8199" t="str">
            <v>6377 - Order Processing Expenses (New)</v>
          </cell>
          <cell r="J8199" t="str">
            <v>Ecommerce (US)</v>
          </cell>
          <cell r="K8199" t="str">
            <v>No Department</v>
          </cell>
          <cell r="L8199" t="str">
            <v>Order Processing</v>
          </cell>
          <cell r="N8199" t="str">
            <v>Direct Costs</v>
          </cell>
          <cell r="O8199" t="str">
            <v>Bergen Logistics Corporation</v>
          </cell>
        </row>
        <row r="8200">
          <cell r="D8200">
            <v>180.03</v>
          </cell>
          <cell r="H8200">
            <v>45778</v>
          </cell>
          <cell r="I8200" t="str">
            <v>8505 - Realized Gain/Loss</v>
          </cell>
          <cell r="J8200">
            <v>0</v>
          </cell>
          <cell r="K8200" t="str">
            <v>No Department</v>
          </cell>
          <cell r="L8200" t="str">
            <v>Realized Gain / Loss</v>
          </cell>
          <cell r="N8200" t="str">
            <v>BTL</v>
          </cell>
          <cell r="O8200" t="str">
            <v>[No Vendor]</v>
          </cell>
        </row>
        <row r="8201">
          <cell r="D8201">
            <v>289.64999999999998</v>
          </cell>
          <cell r="H8201">
            <v>45778</v>
          </cell>
          <cell r="I8201" t="str">
            <v>8505 - Realized Gain/Loss</v>
          </cell>
          <cell r="J8201">
            <v>0</v>
          </cell>
          <cell r="K8201" t="str">
            <v>No Department</v>
          </cell>
          <cell r="L8201" t="str">
            <v>Realized Gain / Loss</v>
          </cell>
          <cell r="N8201" t="str">
            <v>BTL</v>
          </cell>
          <cell r="O8201" t="str">
            <v>[No Vendor]</v>
          </cell>
        </row>
        <row r="8202">
          <cell r="D8202">
            <v>260.38</v>
          </cell>
          <cell r="H8202">
            <v>45778</v>
          </cell>
          <cell r="I8202" t="str">
            <v>6375 - Freight Expenses</v>
          </cell>
          <cell r="J8202" t="str">
            <v>Wholesale</v>
          </cell>
          <cell r="K8202" t="str">
            <v>Wholesale</v>
          </cell>
          <cell r="L8202" t="str">
            <v>Freight</v>
          </cell>
          <cell r="N8202" t="str">
            <v>Direct Costs</v>
          </cell>
          <cell r="O8202" t="str">
            <v>UPS Supply Chain Solutions Inc. (7F24A0)</v>
          </cell>
        </row>
        <row r="8203">
          <cell r="D8203">
            <v>1034.31</v>
          </cell>
          <cell r="H8203">
            <v>45778</v>
          </cell>
          <cell r="I8203" t="str">
            <v>6340 - Miscellaneous Expense</v>
          </cell>
          <cell r="J8203">
            <v>0</v>
          </cell>
          <cell r="K8203" t="str">
            <v>Administration</v>
          </cell>
          <cell r="L8203" t="str">
            <v>Other</v>
          </cell>
          <cell r="N8203" t="str">
            <v>SG&amp;A</v>
          </cell>
          <cell r="O8203" t="str">
            <v>Go Gleem LLC</v>
          </cell>
        </row>
        <row r="8204">
          <cell r="D8204">
            <v>19829.580000000002</v>
          </cell>
          <cell r="H8204">
            <v>45778</v>
          </cell>
          <cell r="I8204" t="str">
            <v>6375 - Freight Expenses</v>
          </cell>
          <cell r="J8204" t="str">
            <v>Ecommerce (US)</v>
          </cell>
          <cell r="K8204" t="str">
            <v>Ecommerce</v>
          </cell>
          <cell r="L8204" t="str">
            <v>Freight</v>
          </cell>
          <cell r="N8204" t="str">
            <v>Direct Costs</v>
          </cell>
          <cell r="O8204" t="str">
            <v>UPS Supply Chain Solutions Inc. (7F24A0)</v>
          </cell>
        </row>
        <row r="8205">
          <cell r="D8205">
            <v>66250</v>
          </cell>
          <cell r="H8205">
            <v>45778</v>
          </cell>
          <cell r="I8205" t="str">
            <v>6215 - Recruitment</v>
          </cell>
          <cell r="J8205">
            <v>0</v>
          </cell>
          <cell r="K8205" t="str">
            <v>Administration</v>
          </cell>
          <cell r="L8205" t="str">
            <v>Professional Service</v>
          </cell>
          <cell r="N8205" t="str">
            <v>SG&amp;A</v>
          </cell>
          <cell r="O8205" t="str">
            <v>Janou Pakter</v>
          </cell>
        </row>
        <row r="8206">
          <cell r="D8206">
            <v>185.88</v>
          </cell>
          <cell r="H8206">
            <v>45778</v>
          </cell>
          <cell r="I8206" t="str">
            <v>6450 - Bank &amp; Other Fees</v>
          </cell>
          <cell r="J8206" t="str">
            <v>Ecommerce (US)</v>
          </cell>
          <cell r="K8206" t="str">
            <v>Ecommerce</v>
          </cell>
          <cell r="L8206" t="str">
            <v>Professional Service</v>
          </cell>
          <cell r="N8206" t="str">
            <v>Direct Costs</v>
          </cell>
          <cell r="O8206" t="str">
            <v>[No Vendor]</v>
          </cell>
        </row>
        <row r="8207">
          <cell r="D8207">
            <v>660</v>
          </cell>
          <cell r="H8207">
            <v>45778</v>
          </cell>
          <cell r="I8207" t="str">
            <v>6288 - Model</v>
          </cell>
          <cell r="J8207" t="str">
            <v>Ecommerce (US)</v>
          </cell>
          <cell r="K8207" t="str">
            <v>Brand Marketing</v>
          </cell>
          <cell r="L8207" t="str">
            <v>Advertising</v>
          </cell>
          <cell r="N8207" t="str">
            <v>SG&amp;A</v>
          </cell>
          <cell r="O8207" t="str">
            <v>State Artist Management</v>
          </cell>
        </row>
        <row r="8208">
          <cell r="D8208">
            <v>-1674</v>
          </cell>
          <cell r="H8208">
            <v>45778</v>
          </cell>
          <cell r="I8208" t="str">
            <v>6370 - Samples</v>
          </cell>
          <cell r="J8208" t="str">
            <v>Wholesale</v>
          </cell>
          <cell r="K8208" t="str">
            <v>Production</v>
          </cell>
          <cell r="L8208" t="str">
            <v>Sample</v>
          </cell>
          <cell r="N8208" t="str">
            <v>SG&amp;A</v>
          </cell>
          <cell r="O8208" t="str">
            <v>[No Vendor]</v>
          </cell>
        </row>
        <row r="8209">
          <cell r="D8209">
            <v>-837</v>
          </cell>
          <cell r="H8209">
            <v>45778</v>
          </cell>
          <cell r="I8209" t="str">
            <v>6370 - Samples</v>
          </cell>
          <cell r="J8209">
            <v>0</v>
          </cell>
          <cell r="K8209" t="str">
            <v>Production</v>
          </cell>
          <cell r="L8209" t="str">
            <v>Sample</v>
          </cell>
          <cell r="N8209" t="str">
            <v>SG&amp;A</v>
          </cell>
          <cell r="O8209" t="str">
            <v>[No Vendor]</v>
          </cell>
        </row>
        <row r="8210">
          <cell r="D8210">
            <v>-837</v>
          </cell>
          <cell r="H8210">
            <v>45778</v>
          </cell>
          <cell r="I8210" t="str">
            <v>6370 - Samples</v>
          </cell>
          <cell r="J8210" t="str">
            <v>Ecommerce (US)</v>
          </cell>
          <cell r="K8210" t="str">
            <v>Production</v>
          </cell>
          <cell r="L8210" t="str">
            <v>Sample</v>
          </cell>
          <cell r="N8210" t="str">
            <v>SG&amp;A</v>
          </cell>
          <cell r="O8210" t="str">
            <v>[No Vendor]</v>
          </cell>
        </row>
        <row r="8211">
          <cell r="D8211">
            <v>321.05</v>
          </cell>
          <cell r="H8211">
            <v>45778</v>
          </cell>
          <cell r="I8211" t="str">
            <v>6375 - Freight Expenses</v>
          </cell>
          <cell r="J8211" t="str">
            <v>Ecommerce (US)</v>
          </cell>
          <cell r="K8211" t="str">
            <v>Ecommerce</v>
          </cell>
          <cell r="L8211" t="str">
            <v>Freight</v>
          </cell>
          <cell r="N8211" t="str">
            <v>Direct Costs</v>
          </cell>
          <cell r="O8211" t="str">
            <v>UPS Supply Chain Solutions Inc. (7F24A0)</v>
          </cell>
        </row>
        <row r="8212">
          <cell r="D8212">
            <v>21.78</v>
          </cell>
          <cell r="H8212">
            <v>45778</v>
          </cell>
          <cell r="I8212" t="str">
            <v>6393 - Software</v>
          </cell>
          <cell r="J8212">
            <v>0</v>
          </cell>
          <cell r="K8212" t="str">
            <v>Executive</v>
          </cell>
          <cell r="L8212" t="str">
            <v>Professional Service</v>
          </cell>
          <cell r="N8212" t="str">
            <v>Direct Costs</v>
          </cell>
          <cell r="O8212" t="str">
            <v>Chat GPT</v>
          </cell>
        </row>
        <row r="8213">
          <cell r="D8213">
            <v>245.97</v>
          </cell>
          <cell r="H8213">
            <v>45778</v>
          </cell>
          <cell r="I8213" t="str">
            <v>6370 - Samples</v>
          </cell>
          <cell r="J8213">
            <v>0</v>
          </cell>
          <cell r="K8213" t="str">
            <v>Production</v>
          </cell>
          <cell r="L8213" t="str">
            <v>Sample</v>
          </cell>
          <cell r="N8213" t="str">
            <v>SG&amp;A</v>
          </cell>
          <cell r="O8213" t="str">
            <v>[No Vendor]</v>
          </cell>
        </row>
        <row r="8214">
          <cell r="D8214">
            <v>4.67</v>
          </cell>
          <cell r="H8214">
            <v>45778</v>
          </cell>
          <cell r="I8214" t="str">
            <v>6450 - Bank &amp; Other Fees</v>
          </cell>
          <cell r="J8214">
            <v>0</v>
          </cell>
          <cell r="K8214" t="str">
            <v>Brand Marketing</v>
          </cell>
          <cell r="L8214" t="str">
            <v>Professional Service</v>
          </cell>
          <cell r="N8214" t="str">
            <v>SG&amp;A</v>
          </cell>
          <cell r="O8214" t="str">
            <v>[No Vendor]</v>
          </cell>
        </row>
        <row r="8215">
          <cell r="D8215">
            <v>843.75</v>
          </cell>
          <cell r="H8215">
            <v>45778</v>
          </cell>
          <cell r="I8215" t="str">
            <v>6300 - Payroll Service Fees</v>
          </cell>
          <cell r="J8215">
            <v>0</v>
          </cell>
          <cell r="K8215" t="str">
            <v>Administration</v>
          </cell>
          <cell r="L8215" t="str">
            <v>Professional Service</v>
          </cell>
          <cell r="N8215" t="str">
            <v>SG&amp;A</v>
          </cell>
          <cell r="O8215" t="str">
            <v>OperationsInc, LLC</v>
          </cell>
        </row>
        <row r="8216">
          <cell r="D8216">
            <v>11362.47</v>
          </cell>
          <cell r="H8216">
            <v>45778</v>
          </cell>
          <cell r="I8216" t="str">
            <v>6225 - Professional Services</v>
          </cell>
          <cell r="J8216">
            <v>0</v>
          </cell>
          <cell r="K8216" t="str">
            <v>Brand Marketing</v>
          </cell>
          <cell r="L8216" t="str">
            <v>Professional Service</v>
          </cell>
          <cell r="N8216" t="str">
            <v>Direct Costs</v>
          </cell>
          <cell r="O8216" t="str">
            <v>The Lede Company, LLC</v>
          </cell>
        </row>
        <row r="8217">
          <cell r="D8217">
            <v>39.26</v>
          </cell>
          <cell r="H8217">
            <v>45778</v>
          </cell>
          <cell r="I8217" t="str">
            <v>6105 - Meals</v>
          </cell>
          <cell r="J8217">
            <v>0</v>
          </cell>
          <cell r="K8217" t="str">
            <v>Executive</v>
          </cell>
          <cell r="L8217" t="str">
            <v>T&amp;E</v>
          </cell>
          <cell r="N8217" t="str">
            <v>SG&amp;A</v>
          </cell>
          <cell r="O8217" t="str">
            <v>[No Vendor]</v>
          </cell>
        </row>
        <row r="8218">
          <cell r="D8218">
            <v>78.2</v>
          </cell>
          <cell r="H8218">
            <v>45778</v>
          </cell>
          <cell r="I8218" t="str">
            <v>6105 - Meals</v>
          </cell>
          <cell r="J8218">
            <v>0</v>
          </cell>
          <cell r="K8218" t="str">
            <v>Executive</v>
          </cell>
          <cell r="L8218" t="str">
            <v>T&amp;E</v>
          </cell>
          <cell r="N8218" t="str">
            <v>SG&amp;A</v>
          </cell>
          <cell r="O8218" t="str">
            <v>[No Vendor]</v>
          </cell>
        </row>
        <row r="8219">
          <cell r="D8219">
            <v>103.73</v>
          </cell>
          <cell r="H8219">
            <v>45778</v>
          </cell>
          <cell r="I8219" t="str">
            <v>6105 - Meals</v>
          </cell>
          <cell r="J8219">
            <v>0</v>
          </cell>
          <cell r="K8219" t="str">
            <v>Executive</v>
          </cell>
          <cell r="L8219" t="str">
            <v>T&amp;E</v>
          </cell>
          <cell r="N8219" t="str">
            <v>SG&amp;A</v>
          </cell>
          <cell r="O8219" t="str">
            <v>[No Vendor]</v>
          </cell>
        </row>
        <row r="8220">
          <cell r="D8220">
            <v>68.069999999999993</v>
          </cell>
          <cell r="H8220">
            <v>45778</v>
          </cell>
          <cell r="I8220" t="str">
            <v>6105 - Meals</v>
          </cell>
          <cell r="J8220">
            <v>0</v>
          </cell>
          <cell r="K8220" t="str">
            <v>Executive</v>
          </cell>
          <cell r="L8220" t="str">
            <v>T&amp;E</v>
          </cell>
          <cell r="N8220" t="str">
            <v>SG&amp;A</v>
          </cell>
          <cell r="O8220" t="str">
            <v>[No Vendor]</v>
          </cell>
        </row>
        <row r="8221">
          <cell r="D8221">
            <v>60.85</v>
          </cell>
          <cell r="H8221">
            <v>45778</v>
          </cell>
          <cell r="I8221" t="str">
            <v>6105 - Meals</v>
          </cell>
          <cell r="J8221">
            <v>0</v>
          </cell>
          <cell r="K8221" t="str">
            <v>Executive</v>
          </cell>
          <cell r="L8221" t="str">
            <v>T&amp;E</v>
          </cell>
          <cell r="N8221" t="str">
            <v>SG&amp;A</v>
          </cell>
          <cell r="O8221" t="str">
            <v>[No Vendor]</v>
          </cell>
        </row>
        <row r="8222">
          <cell r="D8222">
            <v>86.35</v>
          </cell>
          <cell r="H8222">
            <v>45778</v>
          </cell>
          <cell r="I8222" t="str">
            <v>6105 - Meals</v>
          </cell>
          <cell r="J8222">
            <v>0</v>
          </cell>
          <cell r="K8222" t="str">
            <v>Executive</v>
          </cell>
          <cell r="L8222" t="str">
            <v>T&amp;E</v>
          </cell>
          <cell r="N8222" t="str">
            <v>SG&amp;A</v>
          </cell>
          <cell r="O8222" t="str">
            <v>[No Vendor]</v>
          </cell>
        </row>
        <row r="8223">
          <cell r="D8223">
            <v>62.16</v>
          </cell>
          <cell r="H8223">
            <v>45778</v>
          </cell>
          <cell r="I8223" t="str">
            <v>6105 - Meals</v>
          </cell>
          <cell r="J8223">
            <v>0</v>
          </cell>
          <cell r="K8223" t="str">
            <v>Executive</v>
          </cell>
          <cell r="L8223" t="str">
            <v>T&amp;E</v>
          </cell>
          <cell r="N8223" t="str">
            <v>SG&amp;A</v>
          </cell>
          <cell r="O8223" t="str">
            <v>[No Vendor]</v>
          </cell>
        </row>
        <row r="8224">
          <cell r="D8224">
            <v>73.180000000000007</v>
          </cell>
          <cell r="H8224">
            <v>45778</v>
          </cell>
          <cell r="I8224" t="str">
            <v>6105 - Meals</v>
          </cell>
          <cell r="J8224">
            <v>0</v>
          </cell>
          <cell r="K8224" t="str">
            <v>Executive</v>
          </cell>
          <cell r="L8224" t="str">
            <v>T&amp;E</v>
          </cell>
          <cell r="N8224" t="str">
            <v>SG&amp;A</v>
          </cell>
          <cell r="O8224" t="str">
            <v>[No Vendor]</v>
          </cell>
        </row>
        <row r="8225">
          <cell r="D8225">
            <v>112.37</v>
          </cell>
          <cell r="H8225">
            <v>45778</v>
          </cell>
          <cell r="I8225" t="str">
            <v>6105 - Meals</v>
          </cell>
          <cell r="J8225">
            <v>0</v>
          </cell>
          <cell r="K8225" t="str">
            <v>Executive</v>
          </cell>
          <cell r="L8225" t="str">
            <v>T&amp;E</v>
          </cell>
          <cell r="N8225" t="str">
            <v>SG&amp;A</v>
          </cell>
          <cell r="O8225" t="str">
            <v>[No Vendor]</v>
          </cell>
        </row>
        <row r="8226">
          <cell r="D8226">
            <v>107.79</v>
          </cell>
          <cell r="H8226">
            <v>45778</v>
          </cell>
          <cell r="I8226" t="str">
            <v>6375 - Freight Expenses</v>
          </cell>
          <cell r="J8226">
            <v>0</v>
          </cell>
          <cell r="K8226" t="str">
            <v>Administration</v>
          </cell>
          <cell r="L8226" t="str">
            <v>Freight</v>
          </cell>
          <cell r="N8226" t="str">
            <v>Direct Costs</v>
          </cell>
          <cell r="O8226" t="str">
            <v>[No Vendor]</v>
          </cell>
        </row>
        <row r="8227">
          <cell r="D8227">
            <v>311.11</v>
          </cell>
          <cell r="H8227">
            <v>45778</v>
          </cell>
          <cell r="I8227" t="str">
            <v>6375 - Freight Expenses</v>
          </cell>
          <cell r="J8227">
            <v>0</v>
          </cell>
          <cell r="K8227" t="str">
            <v>Brand Marketing</v>
          </cell>
          <cell r="L8227" t="str">
            <v>Freight</v>
          </cell>
          <cell r="N8227" t="str">
            <v>Direct Costs</v>
          </cell>
          <cell r="O8227" t="str">
            <v>[No Vendor]</v>
          </cell>
        </row>
        <row r="8228">
          <cell r="D8228">
            <v>3517.63</v>
          </cell>
          <cell r="H8228">
            <v>45778</v>
          </cell>
          <cell r="I8228" t="str">
            <v>6375 - Freight Expenses</v>
          </cell>
          <cell r="J8228">
            <v>0</v>
          </cell>
          <cell r="K8228" t="str">
            <v>Production</v>
          </cell>
          <cell r="L8228" t="str">
            <v>Freight</v>
          </cell>
          <cell r="N8228" t="str">
            <v>Direct Costs</v>
          </cell>
          <cell r="O8228" t="str">
            <v>DHL Express - USA</v>
          </cell>
        </row>
        <row r="8229">
          <cell r="D8229">
            <v>56.46</v>
          </cell>
          <cell r="H8229">
            <v>45778</v>
          </cell>
          <cell r="I8229" t="str">
            <v>6375 - Freight Expenses</v>
          </cell>
          <cell r="J8229">
            <v>0</v>
          </cell>
          <cell r="K8229" t="str">
            <v>Production</v>
          </cell>
          <cell r="L8229" t="str">
            <v>Freight</v>
          </cell>
          <cell r="N8229" t="str">
            <v>Direct Costs</v>
          </cell>
          <cell r="O8229" t="str">
            <v>DHL Express - USA</v>
          </cell>
        </row>
        <row r="8230">
          <cell r="D8230">
            <v>77.5</v>
          </cell>
          <cell r="H8230">
            <v>45778</v>
          </cell>
          <cell r="I8230" t="str">
            <v>6040 - Employer Paid Benefits</v>
          </cell>
          <cell r="J8230">
            <v>0</v>
          </cell>
          <cell r="K8230" t="str">
            <v>Administration</v>
          </cell>
          <cell r="L8230" t="str">
            <v>HQ Salaries</v>
          </cell>
          <cell r="N8230" t="str">
            <v>SG&amp;A</v>
          </cell>
          <cell r="O8230" t="str">
            <v>Procyon Benefits LLC</v>
          </cell>
        </row>
        <row r="8231">
          <cell r="D8231">
            <v>2677.01</v>
          </cell>
          <cell r="H8231">
            <v>45778</v>
          </cell>
          <cell r="I8231" t="str">
            <v>6379 - Warehouse Storage</v>
          </cell>
          <cell r="J8231" t="str">
            <v>Wholesale</v>
          </cell>
          <cell r="K8231" t="str">
            <v>Wholesale</v>
          </cell>
          <cell r="L8231" t="str">
            <v>Order Processing</v>
          </cell>
          <cell r="N8231" t="str">
            <v>Direct Costs</v>
          </cell>
          <cell r="O8231" t="str">
            <v>Bergen Logistics Corporation</v>
          </cell>
        </row>
        <row r="8232">
          <cell r="D8232">
            <v>14054.32</v>
          </cell>
          <cell r="H8232">
            <v>45778</v>
          </cell>
          <cell r="I8232" t="str">
            <v>6379 - Warehouse Storage</v>
          </cell>
          <cell r="J8232" t="str">
            <v>Ecommerce (US)</v>
          </cell>
          <cell r="K8232" t="str">
            <v>Ecommerce</v>
          </cell>
          <cell r="L8232" t="str">
            <v>Order Processing</v>
          </cell>
          <cell r="N8232" t="str">
            <v>Direct Costs</v>
          </cell>
          <cell r="O8232" t="str">
            <v>Bergen Logistics Corporation</v>
          </cell>
        </row>
        <row r="8233">
          <cell r="D8233">
            <v>329.11</v>
          </cell>
          <cell r="H8233">
            <v>45778</v>
          </cell>
          <cell r="I8233" t="str">
            <v>6376 - Freight Supplies Other</v>
          </cell>
          <cell r="J8233" t="str">
            <v>Wholesale</v>
          </cell>
          <cell r="K8233" t="str">
            <v>Wholesale</v>
          </cell>
          <cell r="L8233" t="str">
            <v>Order Processing</v>
          </cell>
          <cell r="N8233" t="str">
            <v>Direct Costs</v>
          </cell>
          <cell r="O8233" t="str">
            <v>Bergen Logistics Corporation</v>
          </cell>
        </row>
        <row r="8234">
          <cell r="D8234">
            <v>211.37</v>
          </cell>
          <cell r="H8234">
            <v>45778</v>
          </cell>
          <cell r="I8234" t="str">
            <v>6376 - Freight Supplies Other</v>
          </cell>
          <cell r="J8234" t="str">
            <v>Ecommerce (EU)</v>
          </cell>
          <cell r="K8234" t="str">
            <v>Ecommerce</v>
          </cell>
          <cell r="L8234" t="str">
            <v>Order Processing</v>
          </cell>
          <cell r="N8234" t="str">
            <v>Direct Costs</v>
          </cell>
          <cell r="O8234" t="str">
            <v>Bergen Logistics Corporation</v>
          </cell>
        </row>
        <row r="8235">
          <cell r="D8235">
            <v>3357.6</v>
          </cell>
          <cell r="H8235">
            <v>45778</v>
          </cell>
          <cell r="I8235" t="str">
            <v>6376 - Freight Supplies Other</v>
          </cell>
          <cell r="J8235" t="str">
            <v>Ecommerce (US)</v>
          </cell>
          <cell r="K8235" t="str">
            <v>Ecommerce</v>
          </cell>
          <cell r="L8235" t="str">
            <v>Order Processing</v>
          </cell>
          <cell r="N8235" t="str">
            <v>Direct Costs</v>
          </cell>
          <cell r="O8235" t="str">
            <v>Bergen Logistics Corporation</v>
          </cell>
        </row>
        <row r="8236">
          <cell r="D8236">
            <v>2188.7600000000002</v>
          </cell>
          <cell r="H8236">
            <v>45778</v>
          </cell>
          <cell r="I8236" t="str">
            <v>6377 - Order Processing Expenses (New)</v>
          </cell>
          <cell r="J8236" t="str">
            <v>Wholesale</v>
          </cell>
          <cell r="K8236" t="str">
            <v>Wholesale</v>
          </cell>
          <cell r="L8236" t="str">
            <v>Order Processing</v>
          </cell>
          <cell r="N8236" t="str">
            <v>Direct Costs</v>
          </cell>
          <cell r="O8236" t="str">
            <v>Bergen Logistics Corporation</v>
          </cell>
        </row>
        <row r="8237">
          <cell r="D8237">
            <v>971.85</v>
          </cell>
          <cell r="H8237">
            <v>45778</v>
          </cell>
          <cell r="I8237" t="str">
            <v>6377 - Order Processing Expenses (New)</v>
          </cell>
          <cell r="J8237" t="str">
            <v>Ecommerce (EU)</v>
          </cell>
          <cell r="K8237" t="str">
            <v>Ecommerce</v>
          </cell>
          <cell r="L8237" t="str">
            <v>Order Processing</v>
          </cell>
          <cell r="N8237" t="str">
            <v>Direct Costs</v>
          </cell>
          <cell r="O8237" t="str">
            <v>Bergen Logistics Corporation</v>
          </cell>
        </row>
        <row r="8238">
          <cell r="D8238">
            <v>14136.45</v>
          </cell>
          <cell r="H8238">
            <v>45778</v>
          </cell>
          <cell r="I8238" t="str">
            <v>6377 - Order Processing Expenses (New)</v>
          </cell>
          <cell r="J8238" t="str">
            <v>Ecommerce (US)</v>
          </cell>
          <cell r="K8238" t="str">
            <v>Ecommerce</v>
          </cell>
          <cell r="L8238" t="str">
            <v>Order Processing</v>
          </cell>
          <cell r="N8238" t="str">
            <v>Direct Costs</v>
          </cell>
          <cell r="O8238" t="str">
            <v>Bergen Logistics Corporation</v>
          </cell>
        </row>
        <row r="8239">
          <cell r="D8239">
            <v>740.48</v>
          </cell>
          <cell r="H8239">
            <v>45778</v>
          </cell>
          <cell r="I8239" t="str">
            <v>6410 - Lease Expense</v>
          </cell>
          <cell r="J8239">
            <v>0</v>
          </cell>
          <cell r="K8239" t="str">
            <v>Administration</v>
          </cell>
          <cell r="L8239" t="str">
            <v>Rent</v>
          </cell>
          <cell r="N8239" t="str">
            <v>SG&amp;A</v>
          </cell>
          <cell r="O8239" t="str">
            <v>Canon Financial Services, Inc.</v>
          </cell>
        </row>
        <row r="8240">
          <cell r="D8240">
            <v>4500</v>
          </cell>
          <cell r="H8240">
            <v>45778</v>
          </cell>
          <cell r="I8240" t="str">
            <v>6225 - Professional Services</v>
          </cell>
          <cell r="J8240" t="str">
            <v>Ecommerce (US)</v>
          </cell>
          <cell r="K8240" t="str">
            <v>Ecommerce</v>
          </cell>
          <cell r="L8240" t="str">
            <v>Professional Service</v>
          </cell>
          <cell r="N8240" t="str">
            <v>Direct Costs</v>
          </cell>
          <cell r="O8240" t="str">
            <v>Freeflow LLC</v>
          </cell>
        </row>
        <row r="8241">
          <cell r="D8241">
            <v>19.600000000000001</v>
          </cell>
          <cell r="H8241">
            <v>45778</v>
          </cell>
          <cell r="I8241" t="str">
            <v>6040 - Employer Paid Benefits</v>
          </cell>
          <cell r="J8241">
            <v>0</v>
          </cell>
          <cell r="K8241" t="str">
            <v>Production</v>
          </cell>
          <cell r="L8241" t="str">
            <v>HQ Salaries</v>
          </cell>
          <cell r="N8241" t="str">
            <v>SG&amp;A</v>
          </cell>
          <cell r="O8241" t="str">
            <v>Procyon Benefits LLC</v>
          </cell>
        </row>
        <row r="8242">
          <cell r="D8242">
            <v>29</v>
          </cell>
          <cell r="H8242">
            <v>45778</v>
          </cell>
          <cell r="I8242" t="str">
            <v>6040 - Employer Paid Benefits</v>
          </cell>
          <cell r="J8242">
            <v>0</v>
          </cell>
          <cell r="K8242" t="str">
            <v>Merchandising</v>
          </cell>
          <cell r="L8242" t="str">
            <v>HQ Salaries</v>
          </cell>
          <cell r="N8242" t="str">
            <v>SG&amp;A</v>
          </cell>
          <cell r="O8242" t="str">
            <v>Procyon Benefits LLC</v>
          </cell>
        </row>
        <row r="8243">
          <cell r="D8243">
            <v>48.95</v>
          </cell>
          <cell r="H8243">
            <v>45778</v>
          </cell>
          <cell r="I8243" t="str">
            <v>6040 - Employer Paid Benefits</v>
          </cell>
          <cell r="J8243" t="str">
            <v>Ecommerce (US)</v>
          </cell>
          <cell r="K8243" t="str">
            <v>Ecommerce</v>
          </cell>
          <cell r="L8243" t="str">
            <v>HQ Salaries</v>
          </cell>
          <cell r="N8243" t="str">
            <v>SG&amp;A</v>
          </cell>
          <cell r="O8243" t="str">
            <v>Procyon Benefits LLC</v>
          </cell>
        </row>
        <row r="8244">
          <cell r="D8244">
            <v>1158.46</v>
          </cell>
          <cell r="H8244">
            <v>45778</v>
          </cell>
          <cell r="I8244" t="str">
            <v>6040 - Employer Paid Benefits</v>
          </cell>
          <cell r="J8244">
            <v>0</v>
          </cell>
          <cell r="K8244" t="str">
            <v>Executive</v>
          </cell>
          <cell r="L8244" t="str">
            <v>HQ Salaries</v>
          </cell>
          <cell r="N8244" t="str">
            <v>SG&amp;A</v>
          </cell>
          <cell r="O8244" t="str">
            <v>Procyon Benefits LLC</v>
          </cell>
        </row>
        <row r="8245">
          <cell r="D8245">
            <v>175.1</v>
          </cell>
          <cell r="H8245">
            <v>45778</v>
          </cell>
          <cell r="I8245" t="str">
            <v>6040 - Employer Paid Benefits</v>
          </cell>
          <cell r="J8245">
            <v>0</v>
          </cell>
          <cell r="K8245" t="str">
            <v>Design</v>
          </cell>
          <cell r="L8245" t="str">
            <v>HQ Salaries</v>
          </cell>
          <cell r="N8245" t="str">
            <v>SG&amp;A</v>
          </cell>
          <cell r="O8245" t="str">
            <v>Procyon Benefits LLC</v>
          </cell>
        </row>
        <row r="8246">
          <cell r="D8246">
            <v>361.6</v>
          </cell>
          <cell r="H8246">
            <v>45778</v>
          </cell>
          <cell r="I8246" t="str">
            <v>6450 - Bank &amp; Other Fees</v>
          </cell>
          <cell r="J8246">
            <v>0</v>
          </cell>
          <cell r="K8246" t="str">
            <v>Administration</v>
          </cell>
          <cell r="L8246" t="str">
            <v>Professional Service</v>
          </cell>
          <cell r="N8246" t="str">
            <v>SG&amp;A</v>
          </cell>
          <cell r="O8246" t="str">
            <v>[No Vendor]</v>
          </cell>
        </row>
        <row r="8247">
          <cell r="D8247">
            <v>127.75</v>
          </cell>
          <cell r="H8247">
            <v>45778</v>
          </cell>
          <cell r="I8247" t="str">
            <v>6375 - Freight Expenses</v>
          </cell>
          <cell r="J8247" t="str">
            <v>Ecommerce (US)</v>
          </cell>
          <cell r="K8247" t="str">
            <v>Ecommerce</v>
          </cell>
          <cell r="L8247" t="str">
            <v>Freight</v>
          </cell>
          <cell r="N8247" t="str">
            <v>Direct Costs</v>
          </cell>
          <cell r="O8247" t="str">
            <v>UPS Supply Chain Solutions Inc. (7F24A0)</v>
          </cell>
        </row>
        <row r="8248">
          <cell r="D8248">
            <v>178.66</v>
          </cell>
          <cell r="H8248">
            <v>45778</v>
          </cell>
          <cell r="I8248" t="str">
            <v>6375 - Freight Expenses</v>
          </cell>
          <cell r="J8248" t="str">
            <v>Ecommerce (US)</v>
          </cell>
          <cell r="K8248" t="str">
            <v>Ecommerce</v>
          </cell>
          <cell r="L8248" t="str">
            <v>Freight</v>
          </cell>
          <cell r="N8248" t="str">
            <v>Direct Costs</v>
          </cell>
          <cell r="O8248" t="str">
            <v>UPS Supply Chain Solutions Inc. (7F24A0)</v>
          </cell>
        </row>
        <row r="8249">
          <cell r="D8249">
            <v>26661.57</v>
          </cell>
          <cell r="H8249">
            <v>45778</v>
          </cell>
          <cell r="I8249" t="str">
            <v>6005 - Salaries</v>
          </cell>
          <cell r="J8249">
            <v>0</v>
          </cell>
          <cell r="K8249" t="str">
            <v>Administration</v>
          </cell>
          <cell r="L8249" t="str">
            <v>HQ Salaries</v>
          </cell>
          <cell r="N8249" t="str">
            <v>SG&amp;A</v>
          </cell>
          <cell r="O8249" t="str">
            <v>[No Vendor]</v>
          </cell>
        </row>
        <row r="8250">
          <cell r="D8250">
            <v>0</v>
          </cell>
          <cell r="H8250">
            <v>45778</v>
          </cell>
          <cell r="I8250" t="str">
            <v>6035 - Severance Expense</v>
          </cell>
          <cell r="J8250" t="str">
            <v>Wholesale</v>
          </cell>
          <cell r="K8250" t="str">
            <v>Wholesale</v>
          </cell>
          <cell r="L8250" t="str">
            <v>HQ Salaries</v>
          </cell>
          <cell r="N8250" t="str">
            <v>SG&amp;A</v>
          </cell>
          <cell r="O8250" t="str">
            <v>[No Vendor]</v>
          </cell>
        </row>
        <row r="8251">
          <cell r="D8251">
            <v>0</v>
          </cell>
          <cell r="H8251">
            <v>45778</v>
          </cell>
          <cell r="I8251" t="str">
            <v>6205 - Contractors</v>
          </cell>
          <cell r="J8251">
            <v>0</v>
          </cell>
          <cell r="K8251" t="str">
            <v>Brand Marketing</v>
          </cell>
          <cell r="L8251" t="str">
            <v>HQ Salaries</v>
          </cell>
          <cell r="N8251" t="str">
            <v>SG&amp;A</v>
          </cell>
          <cell r="O8251" t="str">
            <v>[No Vendor]</v>
          </cell>
        </row>
        <row r="8252">
          <cell r="D8252">
            <v>0</v>
          </cell>
          <cell r="H8252">
            <v>45778</v>
          </cell>
          <cell r="I8252" t="str">
            <v>6205 - Contractors</v>
          </cell>
          <cell r="J8252" t="str">
            <v>Ecommerce (US)</v>
          </cell>
          <cell r="K8252" t="str">
            <v>Ecommerce</v>
          </cell>
          <cell r="L8252" t="str">
            <v>HQ Salaries</v>
          </cell>
          <cell r="N8252" t="str">
            <v>SG&amp;A</v>
          </cell>
          <cell r="O8252" t="str">
            <v>[No Vendor]</v>
          </cell>
        </row>
        <row r="8253">
          <cell r="D8253">
            <v>0</v>
          </cell>
          <cell r="H8253">
            <v>45778</v>
          </cell>
          <cell r="I8253" t="str">
            <v>6205 - Contractors</v>
          </cell>
          <cell r="J8253">
            <v>0</v>
          </cell>
          <cell r="K8253" t="str">
            <v>Design</v>
          </cell>
          <cell r="L8253" t="str">
            <v>HQ Salaries</v>
          </cell>
          <cell r="N8253" t="str">
            <v>SG&amp;A</v>
          </cell>
          <cell r="O8253" t="str">
            <v>[No Vendor]</v>
          </cell>
        </row>
        <row r="8254">
          <cell r="D8254">
            <v>-37.299999999999997</v>
          </cell>
          <cell r="H8254">
            <v>45778</v>
          </cell>
          <cell r="I8254" t="str">
            <v>6385 - Insurance</v>
          </cell>
          <cell r="J8254">
            <v>0</v>
          </cell>
          <cell r="K8254" t="str">
            <v>Administration</v>
          </cell>
          <cell r="L8254" t="str">
            <v>Professional Service</v>
          </cell>
          <cell r="N8254" t="str">
            <v>SG&amp;A</v>
          </cell>
          <cell r="O8254" t="str">
            <v>[No Vendor]</v>
          </cell>
        </row>
        <row r="8255">
          <cell r="D8255">
            <v>-12.39</v>
          </cell>
          <cell r="H8255">
            <v>45778</v>
          </cell>
          <cell r="I8255" t="str">
            <v>6385 - Insurance</v>
          </cell>
          <cell r="J8255">
            <v>0</v>
          </cell>
          <cell r="K8255" t="str">
            <v>Administration</v>
          </cell>
          <cell r="L8255" t="str">
            <v>Professional Service</v>
          </cell>
          <cell r="N8255" t="str">
            <v>SG&amp;A</v>
          </cell>
          <cell r="O8255" t="str">
            <v>[No Vendor]</v>
          </cell>
        </row>
        <row r="8256">
          <cell r="D8256">
            <v>-81.3</v>
          </cell>
          <cell r="H8256">
            <v>45778</v>
          </cell>
          <cell r="I8256" t="str">
            <v>6385 - Insurance</v>
          </cell>
          <cell r="J8256">
            <v>0</v>
          </cell>
          <cell r="K8256" t="str">
            <v>Administration</v>
          </cell>
          <cell r="L8256" t="str">
            <v>Professional Service</v>
          </cell>
          <cell r="N8256" t="str">
            <v>SG&amp;A</v>
          </cell>
          <cell r="O8256" t="str">
            <v>[No Vendor]</v>
          </cell>
        </row>
        <row r="8257">
          <cell r="D8257">
            <v>-1.2</v>
          </cell>
          <cell r="H8257">
            <v>45778</v>
          </cell>
          <cell r="I8257" t="str">
            <v>6385 - Insurance</v>
          </cell>
          <cell r="J8257">
            <v>0</v>
          </cell>
          <cell r="K8257" t="str">
            <v>Administration</v>
          </cell>
          <cell r="L8257" t="str">
            <v>Professional Service</v>
          </cell>
          <cell r="N8257" t="str">
            <v>SG&amp;A</v>
          </cell>
          <cell r="O8257" t="str">
            <v>[No Vendor]</v>
          </cell>
        </row>
        <row r="8258">
          <cell r="D8258">
            <v>-43.2</v>
          </cell>
          <cell r="H8258">
            <v>45778</v>
          </cell>
          <cell r="I8258" t="str">
            <v>6385 - Insurance</v>
          </cell>
          <cell r="J8258">
            <v>0</v>
          </cell>
          <cell r="K8258" t="str">
            <v>Administration</v>
          </cell>
          <cell r="L8258" t="str">
            <v>Professional Service</v>
          </cell>
          <cell r="N8258" t="str">
            <v>SG&amp;A</v>
          </cell>
          <cell r="O8258" t="str">
            <v>[No Vendor]</v>
          </cell>
        </row>
        <row r="8259">
          <cell r="D8259">
            <v>-88.99</v>
          </cell>
          <cell r="H8259">
            <v>45778</v>
          </cell>
          <cell r="I8259" t="str">
            <v>6385 - Insurance</v>
          </cell>
          <cell r="J8259">
            <v>0</v>
          </cell>
          <cell r="K8259" t="str">
            <v>Administration</v>
          </cell>
          <cell r="L8259" t="str">
            <v>Professional Service</v>
          </cell>
          <cell r="N8259" t="str">
            <v>SG&amp;A</v>
          </cell>
          <cell r="O8259" t="str">
            <v>[No Vendor]</v>
          </cell>
        </row>
        <row r="8260">
          <cell r="D8260">
            <v>-43.84</v>
          </cell>
          <cell r="H8260">
            <v>45778</v>
          </cell>
          <cell r="I8260" t="str">
            <v>6385 - Insurance</v>
          </cell>
          <cell r="J8260">
            <v>0</v>
          </cell>
          <cell r="K8260" t="str">
            <v>Administration</v>
          </cell>
          <cell r="L8260" t="str">
            <v>Professional Service</v>
          </cell>
          <cell r="N8260" t="str">
            <v>SG&amp;A</v>
          </cell>
          <cell r="O8260" t="str">
            <v>[No Vendor]</v>
          </cell>
        </row>
        <row r="8261">
          <cell r="D8261">
            <v>967.27</v>
          </cell>
          <cell r="H8261">
            <v>45778</v>
          </cell>
          <cell r="I8261" t="str">
            <v>6055 - Employer Social Security Tax Withheld</v>
          </cell>
          <cell r="J8261">
            <v>0</v>
          </cell>
          <cell r="K8261" t="str">
            <v>Merchandising</v>
          </cell>
          <cell r="L8261" t="str">
            <v>HQ Salaries</v>
          </cell>
          <cell r="N8261" t="str">
            <v>SG&amp;A</v>
          </cell>
          <cell r="O8261" t="str">
            <v>[No Vendor]</v>
          </cell>
        </row>
        <row r="8262">
          <cell r="D8262">
            <v>311.08999999999997</v>
          </cell>
          <cell r="H8262">
            <v>45778</v>
          </cell>
          <cell r="I8262" t="str">
            <v>6055 - Employer Social Security Tax Withheld</v>
          </cell>
          <cell r="J8262" t="str">
            <v>Wholesale</v>
          </cell>
          <cell r="K8262" t="str">
            <v>Wholesale</v>
          </cell>
          <cell r="L8262" t="str">
            <v>HQ Salaries</v>
          </cell>
          <cell r="N8262" t="str">
            <v>SG&amp;A</v>
          </cell>
          <cell r="O8262" t="str">
            <v>[No Vendor]</v>
          </cell>
        </row>
        <row r="8263">
          <cell r="D8263">
            <v>2089.12</v>
          </cell>
          <cell r="H8263">
            <v>45778</v>
          </cell>
          <cell r="I8263" t="str">
            <v>6055 - Employer Social Security Tax Withheld</v>
          </cell>
          <cell r="J8263">
            <v>0</v>
          </cell>
          <cell r="K8263" t="str">
            <v>Production</v>
          </cell>
          <cell r="L8263" t="str">
            <v>HQ Salaries</v>
          </cell>
          <cell r="N8263" t="str">
            <v>SG&amp;A</v>
          </cell>
          <cell r="O8263" t="str">
            <v>[No Vendor]</v>
          </cell>
        </row>
        <row r="8264">
          <cell r="D8264">
            <v>1174.3499999999999</v>
          </cell>
          <cell r="H8264">
            <v>45778</v>
          </cell>
          <cell r="I8264" t="str">
            <v>6055 - Employer Social Security Tax Withheld</v>
          </cell>
          <cell r="J8264">
            <v>0</v>
          </cell>
          <cell r="K8264" t="str">
            <v>Executive</v>
          </cell>
          <cell r="L8264" t="str">
            <v>HQ Salaries</v>
          </cell>
          <cell r="N8264" t="str">
            <v>SG&amp;A</v>
          </cell>
          <cell r="O8264" t="str">
            <v>[No Vendor]</v>
          </cell>
        </row>
        <row r="8265">
          <cell r="D8265">
            <v>2217.19</v>
          </cell>
          <cell r="H8265">
            <v>45778</v>
          </cell>
          <cell r="I8265" t="str">
            <v>6055 - Employer Social Security Tax Withheld</v>
          </cell>
          <cell r="J8265" t="str">
            <v>Ecommerce (US)</v>
          </cell>
          <cell r="K8265" t="str">
            <v>Ecommerce</v>
          </cell>
          <cell r="L8265" t="str">
            <v>HQ Salaries</v>
          </cell>
          <cell r="N8265" t="str">
            <v>SG&amp;A</v>
          </cell>
          <cell r="O8265" t="str">
            <v>[No Vendor]</v>
          </cell>
        </row>
        <row r="8266">
          <cell r="D8266">
            <v>2066.83</v>
          </cell>
          <cell r="H8266">
            <v>45778</v>
          </cell>
          <cell r="I8266" t="str">
            <v>6055 - Employer Social Security Tax Withheld</v>
          </cell>
          <cell r="J8266">
            <v>0</v>
          </cell>
          <cell r="K8266" t="str">
            <v>Design</v>
          </cell>
          <cell r="L8266" t="str">
            <v>HQ Salaries</v>
          </cell>
          <cell r="N8266" t="str">
            <v>SG&amp;A</v>
          </cell>
          <cell r="O8266" t="str">
            <v>[No Vendor]</v>
          </cell>
        </row>
        <row r="8267">
          <cell r="D8267">
            <v>2510.9</v>
          </cell>
          <cell r="H8267">
            <v>45778</v>
          </cell>
          <cell r="I8267" t="str">
            <v>6055 - Employer Social Security Tax Withheld</v>
          </cell>
          <cell r="J8267">
            <v>0</v>
          </cell>
          <cell r="K8267" t="str">
            <v>Administration</v>
          </cell>
          <cell r="L8267" t="str">
            <v>HQ Salaries</v>
          </cell>
          <cell r="N8267" t="str">
            <v>SG&amp;A</v>
          </cell>
          <cell r="O8267" t="str">
            <v>[No Vendor]</v>
          </cell>
        </row>
        <row r="8268">
          <cell r="D8268">
            <v>-34.9</v>
          </cell>
          <cell r="H8268">
            <v>45778</v>
          </cell>
          <cell r="I8268" t="str">
            <v>6040 - Employer Paid Benefits</v>
          </cell>
          <cell r="J8268">
            <v>0</v>
          </cell>
          <cell r="K8268" t="str">
            <v>Merchandising</v>
          </cell>
          <cell r="L8268" t="str">
            <v>HQ Salaries</v>
          </cell>
          <cell r="N8268" t="str">
            <v>SG&amp;A</v>
          </cell>
          <cell r="O8268" t="str">
            <v>[No Vendor]</v>
          </cell>
        </row>
        <row r="8269">
          <cell r="D8269">
            <v>-34.9</v>
          </cell>
          <cell r="H8269">
            <v>45778</v>
          </cell>
          <cell r="I8269" t="str">
            <v>6040 - Employer Paid Benefits</v>
          </cell>
          <cell r="J8269" t="str">
            <v>Wholesale</v>
          </cell>
          <cell r="K8269" t="str">
            <v>Wholesale</v>
          </cell>
          <cell r="L8269" t="str">
            <v>HQ Salaries</v>
          </cell>
          <cell r="N8269" t="str">
            <v>SG&amp;A</v>
          </cell>
          <cell r="O8269" t="str">
            <v>[No Vendor]</v>
          </cell>
        </row>
        <row r="8270">
          <cell r="D8270">
            <v>-482.84</v>
          </cell>
          <cell r="H8270">
            <v>45778</v>
          </cell>
          <cell r="I8270" t="str">
            <v>6040 - Employer Paid Benefits</v>
          </cell>
          <cell r="J8270">
            <v>0</v>
          </cell>
          <cell r="K8270" t="str">
            <v>Production</v>
          </cell>
          <cell r="L8270" t="str">
            <v>HQ Salaries</v>
          </cell>
          <cell r="N8270" t="str">
            <v>SG&amp;A</v>
          </cell>
          <cell r="O8270" t="str">
            <v>[No Vendor]</v>
          </cell>
        </row>
        <row r="8271">
          <cell r="D8271">
            <v>-332.52</v>
          </cell>
          <cell r="H8271">
            <v>45778</v>
          </cell>
          <cell r="I8271" t="str">
            <v>6040 - Employer Paid Benefits</v>
          </cell>
          <cell r="J8271">
            <v>0</v>
          </cell>
          <cell r="K8271" t="str">
            <v>Executive</v>
          </cell>
          <cell r="L8271" t="str">
            <v>HQ Salaries</v>
          </cell>
          <cell r="N8271" t="str">
            <v>SG&amp;A</v>
          </cell>
          <cell r="O8271" t="str">
            <v>[No Vendor]</v>
          </cell>
        </row>
        <row r="8272">
          <cell r="D8272">
            <v>-250.5</v>
          </cell>
          <cell r="H8272">
            <v>45778</v>
          </cell>
          <cell r="I8272" t="str">
            <v>6040 - Employer Paid Benefits</v>
          </cell>
          <cell r="J8272" t="str">
            <v>Ecommerce (US)</v>
          </cell>
          <cell r="K8272" t="str">
            <v>Ecommerce</v>
          </cell>
          <cell r="L8272" t="str">
            <v>HQ Salaries</v>
          </cell>
          <cell r="N8272" t="str">
            <v>SG&amp;A</v>
          </cell>
          <cell r="O8272" t="str">
            <v>[No Vendor]</v>
          </cell>
        </row>
        <row r="8273">
          <cell r="D8273">
            <v>-442.41</v>
          </cell>
          <cell r="H8273">
            <v>45778</v>
          </cell>
          <cell r="I8273" t="str">
            <v>6040 - Employer Paid Benefits</v>
          </cell>
          <cell r="J8273">
            <v>0</v>
          </cell>
          <cell r="K8273" t="str">
            <v>Design</v>
          </cell>
          <cell r="L8273" t="str">
            <v>HQ Salaries</v>
          </cell>
          <cell r="N8273" t="str">
            <v>SG&amp;A</v>
          </cell>
          <cell r="O8273" t="str">
            <v>[No Vendor]</v>
          </cell>
        </row>
        <row r="8274">
          <cell r="D8274">
            <v>-624.54999999999995</v>
          </cell>
          <cell r="H8274">
            <v>45778</v>
          </cell>
          <cell r="I8274" t="str">
            <v>6040 - Employer Paid Benefits</v>
          </cell>
          <cell r="J8274">
            <v>0</v>
          </cell>
          <cell r="K8274" t="str">
            <v>Administration</v>
          </cell>
          <cell r="L8274" t="str">
            <v>HQ Salaries</v>
          </cell>
          <cell r="N8274" t="str">
            <v>SG&amp;A</v>
          </cell>
          <cell r="O8274" t="str">
            <v>[No Vendor]</v>
          </cell>
        </row>
        <row r="8275">
          <cell r="D8275">
            <v>8996.15</v>
          </cell>
          <cell r="H8275">
            <v>45778</v>
          </cell>
          <cell r="I8275" t="str">
            <v>6005 - Salaries</v>
          </cell>
          <cell r="J8275">
            <v>0</v>
          </cell>
          <cell r="K8275" t="str">
            <v>Merchandising</v>
          </cell>
          <cell r="L8275" t="str">
            <v>HQ Salaries</v>
          </cell>
          <cell r="N8275" t="str">
            <v>SG&amp;A</v>
          </cell>
          <cell r="O8275" t="str">
            <v>[No Vendor]</v>
          </cell>
        </row>
        <row r="8276">
          <cell r="D8276">
            <v>2884.62</v>
          </cell>
          <cell r="H8276">
            <v>45778</v>
          </cell>
          <cell r="I8276" t="str">
            <v>6005 - Salaries</v>
          </cell>
          <cell r="J8276" t="str">
            <v>Wholesale</v>
          </cell>
          <cell r="K8276" t="str">
            <v>Wholesale</v>
          </cell>
          <cell r="L8276" t="str">
            <v>HQ Salaries</v>
          </cell>
          <cell r="N8276" t="str">
            <v>SG&amp;A</v>
          </cell>
          <cell r="O8276" t="str">
            <v>[No Vendor]</v>
          </cell>
        </row>
        <row r="8277">
          <cell r="D8277">
            <v>19719.25</v>
          </cell>
          <cell r="H8277">
            <v>45778</v>
          </cell>
          <cell r="I8277" t="str">
            <v>6005 - Salaries</v>
          </cell>
          <cell r="J8277">
            <v>0</v>
          </cell>
          <cell r="K8277" t="str">
            <v>Production</v>
          </cell>
          <cell r="L8277" t="str">
            <v>HQ Salaries</v>
          </cell>
          <cell r="N8277" t="str">
            <v>SG&amp;A</v>
          </cell>
          <cell r="O8277" t="str">
            <v>[No Vendor]</v>
          </cell>
        </row>
        <row r="8278">
          <cell r="D8278">
            <v>11153.85</v>
          </cell>
          <cell r="H8278">
            <v>45778</v>
          </cell>
          <cell r="I8278" t="str">
            <v>6005 - Salaries</v>
          </cell>
          <cell r="J8278">
            <v>0</v>
          </cell>
          <cell r="K8278" t="str">
            <v>Executive</v>
          </cell>
          <cell r="L8278" t="str">
            <v>HQ Salaries</v>
          </cell>
          <cell r="N8278" t="str">
            <v>SG&amp;A</v>
          </cell>
          <cell r="O8278" t="str">
            <v>[No Vendor]</v>
          </cell>
        </row>
        <row r="8279">
          <cell r="D8279">
            <v>20780.8</v>
          </cell>
          <cell r="H8279">
            <v>45778</v>
          </cell>
          <cell r="I8279" t="str">
            <v>6005 - Salaries</v>
          </cell>
          <cell r="J8279" t="str">
            <v>Ecommerce (US)</v>
          </cell>
          <cell r="K8279" t="str">
            <v>Ecommerce</v>
          </cell>
          <cell r="L8279" t="str">
            <v>HQ Salaries</v>
          </cell>
          <cell r="N8279" t="str">
            <v>SG&amp;A</v>
          </cell>
          <cell r="O8279" t="str">
            <v>[No Vendor]</v>
          </cell>
        </row>
        <row r="8280">
          <cell r="D8280">
            <v>21388.47</v>
          </cell>
          <cell r="H8280">
            <v>45778</v>
          </cell>
          <cell r="I8280" t="str">
            <v>6005 - Salaries</v>
          </cell>
          <cell r="J8280">
            <v>0</v>
          </cell>
          <cell r="K8280" t="str">
            <v>Design</v>
          </cell>
          <cell r="L8280" t="str">
            <v>HQ Salaries</v>
          </cell>
          <cell r="N8280" t="str">
            <v>SG&amp;A</v>
          </cell>
          <cell r="O8280" t="str">
            <v>[No Vendor]</v>
          </cell>
        </row>
        <row r="8281">
          <cell r="D8281">
            <v>768.72</v>
          </cell>
          <cell r="H8281">
            <v>45778</v>
          </cell>
          <cell r="I8281" t="str">
            <v>6375 - Freight Expenses</v>
          </cell>
          <cell r="J8281" t="str">
            <v>Wholesale</v>
          </cell>
          <cell r="K8281" t="str">
            <v>Wholesale</v>
          </cell>
          <cell r="L8281" t="str">
            <v>Freight</v>
          </cell>
          <cell r="N8281" t="str">
            <v>Direct Costs</v>
          </cell>
          <cell r="O8281" t="str">
            <v>UPS Supply Chain Solutions Inc. (7F24A0)</v>
          </cell>
        </row>
        <row r="8282">
          <cell r="D8282">
            <v>208</v>
          </cell>
          <cell r="H8282">
            <v>45778</v>
          </cell>
          <cell r="I8282" t="str">
            <v>6377 - Order Processing Expenses (New)</v>
          </cell>
          <cell r="J8282" t="str">
            <v>Ecommerce (US)</v>
          </cell>
          <cell r="K8282" t="str">
            <v>Brand Marketing</v>
          </cell>
          <cell r="L8282" t="str">
            <v>Order Processing</v>
          </cell>
          <cell r="N8282" t="str">
            <v>Direct Costs</v>
          </cell>
          <cell r="O8282" t="str">
            <v>Sugi International Ltd</v>
          </cell>
        </row>
        <row r="8283">
          <cell r="D8283">
            <v>20352.13</v>
          </cell>
          <cell r="H8283">
            <v>45778</v>
          </cell>
          <cell r="I8283" t="str">
            <v>6375 - Freight Expenses</v>
          </cell>
          <cell r="J8283" t="str">
            <v>Ecommerce (US)</v>
          </cell>
          <cell r="K8283" t="str">
            <v>Ecommerce</v>
          </cell>
          <cell r="L8283" t="str">
            <v>Freight</v>
          </cell>
          <cell r="N8283" t="str">
            <v>Direct Costs</v>
          </cell>
          <cell r="O8283" t="str">
            <v>UPS Supply Chain Solutions Inc. (7F24A0)</v>
          </cell>
        </row>
        <row r="8284">
          <cell r="D8284">
            <v>657.49</v>
          </cell>
          <cell r="H8284">
            <v>45778</v>
          </cell>
          <cell r="I8284" t="str">
            <v>6375 - Freight Expenses</v>
          </cell>
          <cell r="J8284">
            <v>0</v>
          </cell>
          <cell r="K8284" t="str">
            <v>Production</v>
          </cell>
          <cell r="L8284" t="str">
            <v>Freight</v>
          </cell>
          <cell r="N8284" t="str">
            <v>Direct Costs</v>
          </cell>
          <cell r="O8284" t="str">
            <v>DHL Express - USA</v>
          </cell>
        </row>
        <row r="8285">
          <cell r="D8285">
            <v>18750</v>
          </cell>
          <cell r="H8285">
            <v>45778</v>
          </cell>
          <cell r="I8285" t="str">
            <v>6215 - Recruitment</v>
          </cell>
          <cell r="J8285">
            <v>0</v>
          </cell>
          <cell r="K8285" t="str">
            <v>Administration</v>
          </cell>
          <cell r="L8285" t="str">
            <v>Professional Service</v>
          </cell>
          <cell r="N8285" t="str">
            <v>SG&amp;A</v>
          </cell>
          <cell r="O8285" t="str">
            <v>Janou Pakter</v>
          </cell>
        </row>
        <row r="8286">
          <cell r="D8286">
            <v>6000</v>
          </cell>
          <cell r="H8286">
            <v>45778</v>
          </cell>
          <cell r="I8286" t="str">
            <v>6225 - Professional Services</v>
          </cell>
          <cell r="J8286">
            <v>0</v>
          </cell>
          <cell r="K8286" t="str">
            <v>Administration</v>
          </cell>
          <cell r="L8286" t="str">
            <v>Professional Service</v>
          </cell>
          <cell r="N8286" t="str">
            <v>Direct Costs</v>
          </cell>
          <cell r="O8286" t="str">
            <v>Janou Pakter</v>
          </cell>
        </row>
        <row r="8287">
          <cell r="D8287">
            <v>861.62</v>
          </cell>
          <cell r="H8287">
            <v>45778</v>
          </cell>
          <cell r="I8287" t="str">
            <v>8505 - Realized Gain/Loss</v>
          </cell>
          <cell r="J8287">
            <v>0</v>
          </cell>
          <cell r="K8287" t="str">
            <v>No Department</v>
          </cell>
          <cell r="L8287" t="str">
            <v>Realized Gain / Loss</v>
          </cell>
          <cell r="N8287" t="str">
            <v>BTL</v>
          </cell>
          <cell r="O8287" t="str">
            <v>[No Vendor]</v>
          </cell>
        </row>
        <row r="8288">
          <cell r="D8288">
            <v>2003.48</v>
          </cell>
          <cell r="H8288">
            <v>45778</v>
          </cell>
          <cell r="I8288" t="str">
            <v>6451 - Service Processing Fee</v>
          </cell>
          <cell r="J8288" t="str">
            <v>Ecommerce (US)</v>
          </cell>
          <cell r="K8288" t="str">
            <v>Ecommerce</v>
          </cell>
          <cell r="L8288" t="str">
            <v>Professional Service</v>
          </cell>
          <cell r="N8288" t="str">
            <v>Direct Costs</v>
          </cell>
          <cell r="O8288" t="str">
            <v>Loop</v>
          </cell>
        </row>
        <row r="8289">
          <cell r="D8289">
            <v>55.83</v>
          </cell>
          <cell r="H8289">
            <v>45778</v>
          </cell>
          <cell r="I8289" t="str">
            <v>6375 - Freight Expenses</v>
          </cell>
          <cell r="J8289">
            <v>0</v>
          </cell>
          <cell r="K8289" t="str">
            <v>Production</v>
          </cell>
          <cell r="L8289" t="str">
            <v>Freight</v>
          </cell>
          <cell r="N8289" t="str">
            <v>Direct Costs</v>
          </cell>
          <cell r="O8289" t="str">
            <v>DHL Express - USA</v>
          </cell>
        </row>
        <row r="8290">
          <cell r="D8290">
            <v>2037.62</v>
          </cell>
          <cell r="H8290">
            <v>45778</v>
          </cell>
          <cell r="I8290" t="str">
            <v>6376 - Freight Supplies Other</v>
          </cell>
          <cell r="J8290" t="str">
            <v>Ecommerce (US)</v>
          </cell>
          <cell r="K8290" t="str">
            <v>Ecommerce</v>
          </cell>
          <cell r="L8290" t="str">
            <v>Order Processing</v>
          </cell>
          <cell r="N8290" t="str">
            <v>Direct Costs</v>
          </cell>
          <cell r="O8290" t="str">
            <v>Robert Karp Container Corp</v>
          </cell>
        </row>
        <row r="8291">
          <cell r="D8291">
            <v>21.78</v>
          </cell>
          <cell r="H8291">
            <v>45778</v>
          </cell>
          <cell r="I8291" t="str">
            <v>6393 - Software</v>
          </cell>
          <cell r="J8291">
            <v>0</v>
          </cell>
          <cell r="K8291" t="str">
            <v>Administration</v>
          </cell>
          <cell r="L8291" t="str">
            <v>Professional Service</v>
          </cell>
          <cell r="N8291" t="str">
            <v>Direct Costs</v>
          </cell>
          <cell r="O8291" t="str">
            <v>Chat GPT</v>
          </cell>
        </row>
        <row r="8292">
          <cell r="D8292">
            <v>11.99</v>
          </cell>
          <cell r="H8292">
            <v>45778</v>
          </cell>
          <cell r="I8292" t="str">
            <v>6393 - Software</v>
          </cell>
          <cell r="J8292">
            <v>0</v>
          </cell>
          <cell r="K8292" t="str">
            <v>Administration</v>
          </cell>
          <cell r="L8292" t="str">
            <v>Professional Service</v>
          </cell>
          <cell r="N8292" t="str">
            <v>Direct Costs</v>
          </cell>
          <cell r="O8292" t="str">
            <v>Spotify</v>
          </cell>
        </row>
        <row r="8293">
          <cell r="D8293">
            <v>16.989999999999998</v>
          </cell>
          <cell r="H8293">
            <v>45778</v>
          </cell>
          <cell r="I8293" t="str">
            <v>6393 - Software</v>
          </cell>
          <cell r="J8293">
            <v>0</v>
          </cell>
          <cell r="K8293" t="str">
            <v>Administration</v>
          </cell>
          <cell r="L8293" t="str">
            <v>Professional Service</v>
          </cell>
          <cell r="N8293" t="str">
            <v>Direct Costs</v>
          </cell>
          <cell r="O8293" t="str">
            <v>Chat GPT</v>
          </cell>
        </row>
        <row r="8294">
          <cell r="D8294">
            <v>4324.29</v>
          </cell>
          <cell r="H8294">
            <v>45778</v>
          </cell>
          <cell r="I8294" t="str">
            <v>6210 - Monitoring</v>
          </cell>
          <cell r="J8294" t="str">
            <v>Ecommerce (EU)</v>
          </cell>
          <cell r="K8294" t="str">
            <v>Ecommerce</v>
          </cell>
          <cell r="L8294" t="str">
            <v>Professional Service</v>
          </cell>
          <cell r="N8294" t="str">
            <v>Direct Costs</v>
          </cell>
          <cell r="O8294" t="str">
            <v>Convey SRL</v>
          </cell>
        </row>
        <row r="8295">
          <cell r="D8295">
            <v>512.98</v>
          </cell>
          <cell r="H8295">
            <v>45778</v>
          </cell>
          <cell r="I8295" t="str">
            <v>6120 - Lodging</v>
          </cell>
          <cell r="J8295">
            <v>0</v>
          </cell>
          <cell r="K8295" t="str">
            <v>Administration</v>
          </cell>
          <cell r="L8295" t="str">
            <v>T&amp;E</v>
          </cell>
          <cell r="N8295" t="str">
            <v>SG&amp;A</v>
          </cell>
          <cell r="O8295" t="str">
            <v>[No Vendor]</v>
          </cell>
        </row>
        <row r="8296">
          <cell r="D8296">
            <v>512.98</v>
          </cell>
          <cell r="H8296">
            <v>45778</v>
          </cell>
          <cell r="I8296" t="str">
            <v>6120 - Lodging</v>
          </cell>
          <cell r="J8296">
            <v>0</v>
          </cell>
          <cell r="K8296" t="str">
            <v>Administration</v>
          </cell>
          <cell r="L8296" t="str">
            <v>T&amp;E</v>
          </cell>
          <cell r="N8296" t="str">
            <v>SG&amp;A</v>
          </cell>
          <cell r="O8296" t="str">
            <v>[No Vendor]</v>
          </cell>
        </row>
        <row r="8297">
          <cell r="D8297">
            <v>512.98</v>
          </cell>
          <cell r="H8297">
            <v>45778</v>
          </cell>
          <cell r="I8297" t="str">
            <v>6120 - Lodging</v>
          </cell>
          <cell r="J8297">
            <v>0</v>
          </cell>
          <cell r="K8297" t="str">
            <v>Administration</v>
          </cell>
          <cell r="L8297" t="str">
            <v>T&amp;E</v>
          </cell>
          <cell r="N8297" t="str">
            <v>SG&amp;A</v>
          </cell>
          <cell r="O8297" t="str">
            <v>[No Vendor]</v>
          </cell>
        </row>
        <row r="8298">
          <cell r="D8298">
            <v>512.98</v>
          </cell>
          <cell r="H8298">
            <v>45778</v>
          </cell>
          <cell r="I8298" t="str">
            <v>6120 - Lodging</v>
          </cell>
          <cell r="J8298">
            <v>0</v>
          </cell>
          <cell r="K8298" t="str">
            <v>Administration</v>
          </cell>
          <cell r="L8298" t="str">
            <v>T&amp;E</v>
          </cell>
          <cell r="N8298" t="str">
            <v>SG&amp;A</v>
          </cell>
          <cell r="O8298" t="str">
            <v>[No Vendor]</v>
          </cell>
        </row>
        <row r="8299">
          <cell r="D8299">
            <v>512.98</v>
          </cell>
          <cell r="H8299">
            <v>45778</v>
          </cell>
          <cell r="I8299" t="str">
            <v>6120 - Lodging</v>
          </cell>
          <cell r="J8299">
            <v>0</v>
          </cell>
          <cell r="K8299" t="str">
            <v>Administration</v>
          </cell>
          <cell r="L8299" t="str">
            <v>T&amp;E</v>
          </cell>
          <cell r="N8299" t="str">
            <v>SG&amp;A</v>
          </cell>
          <cell r="O8299" t="str">
            <v>[No Vendor]</v>
          </cell>
        </row>
        <row r="8300">
          <cell r="D8300">
            <v>512.98</v>
          </cell>
          <cell r="H8300">
            <v>45778</v>
          </cell>
          <cell r="I8300" t="str">
            <v>6120 - Lodging</v>
          </cell>
          <cell r="J8300">
            <v>0</v>
          </cell>
          <cell r="K8300" t="str">
            <v>Administration</v>
          </cell>
          <cell r="L8300" t="str">
            <v>T&amp;E</v>
          </cell>
          <cell r="N8300" t="str">
            <v>SG&amp;A</v>
          </cell>
          <cell r="O8300" t="str">
            <v>[No Vendor]</v>
          </cell>
        </row>
        <row r="8301">
          <cell r="D8301">
            <v>1245</v>
          </cell>
          <cell r="H8301">
            <v>45778</v>
          </cell>
          <cell r="I8301" t="str">
            <v>6385 - Insurance</v>
          </cell>
          <cell r="J8301">
            <v>0</v>
          </cell>
          <cell r="K8301" t="str">
            <v>Administration</v>
          </cell>
          <cell r="L8301" t="str">
            <v>Professional Service</v>
          </cell>
          <cell r="N8301" t="str">
            <v>SG&amp;A</v>
          </cell>
          <cell r="O8301" t="str">
            <v>Travelers CL Remittance Center</v>
          </cell>
        </row>
        <row r="8302">
          <cell r="D8302">
            <v>663.27</v>
          </cell>
          <cell r="H8302">
            <v>45778</v>
          </cell>
          <cell r="I8302" t="str">
            <v>6105 - Meals</v>
          </cell>
          <cell r="J8302">
            <v>0</v>
          </cell>
          <cell r="K8302" t="str">
            <v>Administration</v>
          </cell>
          <cell r="L8302" t="str">
            <v>T&amp;E</v>
          </cell>
          <cell r="N8302" t="str">
            <v>SG&amp;A</v>
          </cell>
          <cell r="O8302" t="str">
            <v>[No Vendor]</v>
          </cell>
        </row>
        <row r="8303">
          <cell r="D8303">
            <v>32.659999999999997</v>
          </cell>
          <cell r="H8303">
            <v>45778</v>
          </cell>
          <cell r="I8303" t="str">
            <v>6105 - Meals</v>
          </cell>
          <cell r="J8303">
            <v>0</v>
          </cell>
          <cell r="K8303" t="str">
            <v>Brand Marketing</v>
          </cell>
          <cell r="L8303" t="str">
            <v>T&amp;E</v>
          </cell>
          <cell r="N8303" t="str">
            <v>SG&amp;A</v>
          </cell>
          <cell r="O8303" t="str">
            <v>[No Vendor]</v>
          </cell>
        </row>
        <row r="8304">
          <cell r="D8304">
            <v>27.8</v>
          </cell>
          <cell r="H8304">
            <v>45778</v>
          </cell>
          <cell r="I8304" t="str">
            <v>6105 - Meals</v>
          </cell>
          <cell r="J8304" t="str">
            <v>Wholesale</v>
          </cell>
          <cell r="K8304" t="str">
            <v>Wholesale</v>
          </cell>
          <cell r="L8304" t="str">
            <v>T&amp;E</v>
          </cell>
          <cell r="N8304" t="str">
            <v>SG&amp;A</v>
          </cell>
          <cell r="O8304" t="str">
            <v>[No Vendor]</v>
          </cell>
        </row>
        <row r="8305">
          <cell r="D8305">
            <v>34.92</v>
          </cell>
          <cell r="H8305">
            <v>45778</v>
          </cell>
          <cell r="I8305" t="str">
            <v>6375 - Freight Expenses</v>
          </cell>
          <cell r="J8305">
            <v>0</v>
          </cell>
          <cell r="K8305" t="str">
            <v>Production</v>
          </cell>
          <cell r="L8305" t="str">
            <v>Freight</v>
          </cell>
          <cell r="N8305" t="str">
            <v>Direct Costs</v>
          </cell>
          <cell r="O8305" t="str">
            <v>DHL Express - USA</v>
          </cell>
        </row>
        <row r="8306">
          <cell r="D8306">
            <v>515.61</v>
          </cell>
          <cell r="H8306">
            <v>45778</v>
          </cell>
          <cell r="I8306" t="str">
            <v>6040 - Employer Paid Benefits</v>
          </cell>
          <cell r="J8306">
            <v>0</v>
          </cell>
          <cell r="K8306" t="str">
            <v>Administration</v>
          </cell>
          <cell r="L8306" t="str">
            <v>HQ Salaries</v>
          </cell>
          <cell r="N8306" t="str">
            <v>SG&amp;A</v>
          </cell>
          <cell r="O8306" t="str">
            <v>Procyon Benefits LLC</v>
          </cell>
        </row>
        <row r="8307">
          <cell r="D8307">
            <v>1735.47</v>
          </cell>
          <cell r="H8307">
            <v>45778</v>
          </cell>
          <cell r="I8307" t="str">
            <v>6393 - Software</v>
          </cell>
          <cell r="J8307" t="str">
            <v>Ecommerce (US)</v>
          </cell>
          <cell r="K8307" t="str">
            <v>Ecommerce</v>
          </cell>
          <cell r="L8307" t="str">
            <v>Professional Service</v>
          </cell>
          <cell r="N8307" t="str">
            <v>Direct Costs</v>
          </cell>
          <cell r="O8307" t="str">
            <v>GORGIAS INC</v>
          </cell>
        </row>
        <row r="8308">
          <cell r="D8308">
            <v>598</v>
          </cell>
          <cell r="H8308">
            <v>45778</v>
          </cell>
          <cell r="I8308" t="str">
            <v>6393 - Software</v>
          </cell>
          <cell r="J8308" t="str">
            <v>Ecommerce (US)</v>
          </cell>
          <cell r="K8308" t="str">
            <v>Ecommerce</v>
          </cell>
          <cell r="L8308" t="str">
            <v>Professional Service</v>
          </cell>
          <cell r="N8308" t="str">
            <v>Direct Costs</v>
          </cell>
          <cell r="O8308" t="str">
            <v>GODATAFEED</v>
          </cell>
        </row>
        <row r="8309">
          <cell r="D8309">
            <v>7575.87</v>
          </cell>
          <cell r="H8309">
            <v>45778</v>
          </cell>
          <cell r="I8309" t="str">
            <v>6393 - Software</v>
          </cell>
          <cell r="J8309" t="str">
            <v>Ecommerce (US)</v>
          </cell>
          <cell r="K8309" t="str">
            <v>Ecommerce</v>
          </cell>
          <cell r="L8309" t="str">
            <v>Professional Service</v>
          </cell>
          <cell r="N8309" t="str">
            <v>Direct Costs</v>
          </cell>
          <cell r="O8309" t="str">
            <v>Shopify</v>
          </cell>
        </row>
        <row r="8310">
          <cell r="D8310">
            <v>1117.45</v>
          </cell>
          <cell r="H8310">
            <v>45778</v>
          </cell>
          <cell r="I8310" t="str">
            <v>6393 - Software</v>
          </cell>
          <cell r="J8310" t="str">
            <v>Ecommerce (US)</v>
          </cell>
          <cell r="K8310" t="str">
            <v>Ecommerce</v>
          </cell>
          <cell r="L8310" t="str">
            <v>Professional Service</v>
          </cell>
          <cell r="N8310" t="str">
            <v>Direct Costs</v>
          </cell>
          <cell r="O8310" t="str">
            <v>Google Cloud</v>
          </cell>
        </row>
        <row r="8311">
          <cell r="D8311">
            <v>11549.19</v>
          </cell>
          <cell r="H8311">
            <v>45778</v>
          </cell>
          <cell r="I8311" t="str">
            <v>6393 - Software</v>
          </cell>
          <cell r="J8311" t="str">
            <v>Ecommerce (US)</v>
          </cell>
          <cell r="K8311" t="str">
            <v>Ecommerce</v>
          </cell>
          <cell r="L8311" t="str">
            <v>Professional Service</v>
          </cell>
          <cell r="N8311" t="str">
            <v>Direct Costs</v>
          </cell>
          <cell r="O8311" t="str">
            <v>Signifyd</v>
          </cell>
        </row>
        <row r="8312">
          <cell r="D8312">
            <v>159</v>
          </cell>
          <cell r="H8312">
            <v>45778</v>
          </cell>
          <cell r="I8312" t="str">
            <v>6393 - Software</v>
          </cell>
          <cell r="J8312" t="str">
            <v>Ecommerce (US)</v>
          </cell>
          <cell r="K8312" t="str">
            <v>Ecommerce</v>
          </cell>
          <cell r="L8312" t="str">
            <v>Professional Service</v>
          </cell>
          <cell r="N8312" t="str">
            <v>Direct Costs</v>
          </cell>
          <cell r="O8312" t="str">
            <v>INTEGRATION MANAGER</v>
          </cell>
        </row>
        <row r="8313">
          <cell r="D8313">
            <v>3249.92</v>
          </cell>
          <cell r="H8313">
            <v>45778</v>
          </cell>
          <cell r="I8313" t="str">
            <v>6393 - Software</v>
          </cell>
          <cell r="J8313" t="str">
            <v>Ecommerce (US)</v>
          </cell>
          <cell r="K8313" t="str">
            <v>Ecommerce</v>
          </cell>
          <cell r="L8313" t="str">
            <v>Professional Service</v>
          </cell>
          <cell r="N8313" t="str">
            <v>Direct Costs</v>
          </cell>
          <cell r="O8313" t="str">
            <v>Klaviyo</v>
          </cell>
        </row>
        <row r="8314">
          <cell r="D8314">
            <v>1012.54</v>
          </cell>
          <cell r="H8314">
            <v>45778</v>
          </cell>
          <cell r="I8314" t="str">
            <v>6393 - Software</v>
          </cell>
          <cell r="J8314" t="str">
            <v>Ecommerce (US)</v>
          </cell>
          <cell r="K8314" t="str">
            <v>Ecommerce</v>
          </cell>
          <cell r="L8314" t="str">
            <v>Professional Service</v>
          </cell>
          <cell r="N8314" t="str">
            <v>Direct Costs</v>
          </cell>
          <cell r="O8314" t="str">
            <v>Klaviyo</v>
          </cell>
        </row>
        <row r="8315">
          <cell r="D8315">
            <v>1461.04</v>
          </cell>
          <cell r="H8315">
            <v>45778</v>
          </cell>
          <cell r="I8315" t="str">
            <v>6393 - Software</v>
          </cell>
          <cell r="J8315">
            <v>0</v>
          </cell>
          <cell r="K8315" t="str">
            <v>Administration</v>
          </cell>
          <cell r="L8315" t="str">
            <v>Professional Service</v>
          </cell>
          <cell r="N8315" t="str">
            <v>Direct Costs</v>
          </cell>
          <cell r="O8315" t="str">
            <v>Oracle Netsuite</v>
          </cell>
        </row>
        <row r="8316">
          <cell r="D8316">
            <v>2014.59</v>
          </cell>
          <cell r="H8316">
            <v>45778</v>
          </cell>
          <cell r="I8316" t="str">
            <v>6286 - SEM</v>
          </cell>
          <cell r="J8316" t="str">
            <v>Ecommerce (US)</v>
          </cell>
          <cell r="K8316" t="str">
            <v>Ecommerce</v>
          </cell>
          <cell r="L8316" t="str">
            <v>Marketing</v>
          </cell>
          <cell r="N8316" t="str">
            <v>Direct Costs</v>
          </cell>
          <cell r="O8316" t="str">
            <v>Amazon</v>
          </cell>
        </row>
        <row r="8317">
          <cell r="D8317">
            <v>1669.9</v>
          </cell>
          <cell r="H8317">
            <v>45778</v>
          </cell>
          <cell r="I8317" t="str">
            <v>6286 - SEM</v>
          </cell>
          <cell r="J8317" t="str">
            <v>Ecommerce (US)</v>
          </cell>
          <cell r="K8317" t="str">
            <v>Ecommerce</v>
          </cell>
          <cell r="L8317" t="str">
            <v>Marketing</v>
          </cell>
          <cell r="N8317" t="str">
            <v>Direct Costs</v>
          </cell>
          <cell r="O8317" t="str">
            <v>Amazon</v>
          </cell>
        </row>
        <row r="8318">
          <cell r="D8318">
            <v>2047.44</v>
          </cell>
          <cell r="H8318">
            <v>45778</v>
          </cell>
          <cell r="I8318" t="str">
            <v>6286 - SEM</v>
          </cell>
          <cell r="J8318" t="str">
            <v>Ecommerce (US)</v>
          </cell>
          <cell r="K8318" t="str">
            <v>Ecommerce</v>
          </cell>
          <cell r="L8318" t="str">
            <v>Marketing</v>
          </cell>
          <cell r="N8318" t="str">
            <v>Direct Costs</v>
          </cell>
          <cell r="O8318" t="str">
            <v>Amazon</v>
          </cell>
        </row>
        <row r="8319">
          <cell r="D8319">
            <v>2056.4</v>
          </cell>
          <cell r="H8319">
            <v>45778</v>
          </cell>
          <cell r="I8319" t="str">
            <v>6286 - SEM</v>
          </cell>
          <cell r="J8319" t="str">
            <v>Ecommerce (US)</v>
          </cell>
          <cell r="K8319" t="str">
            <v>Ecommerce</v>
          </cell>
          <cell r="L8319" t="str">
            <v>Marketing</v>
          </cell>
          <cell r="N8319" t="str">
            <v>Direct Costs</v>
          </cell>
          <cell r="O8319" t="str">
            <v>Amazon</v>
          </cell>
        </row>
        <row r="8320">
          <cell r="D8320">
            <v>2058.9</v>
          </cell>
          <cell r="H8320">
            <v>45778</v>
          </cell>
          <cell r="I8320" t="str">
            <v>6286 - SEM</v>
          </cell>
          <cell r="J8320" t="str">
            <v>Ecommerce (US)</v>
          </cell>
          <cell r="K8320" t="str">
            <v>Ecommerce</v>
          </cell>
          <cell r="L8320" t="str">
            <v>Marketing</v>
          </cell>
          <cell r="N8320" t="str">
            <v>Direct Costs</v>
          </cell>
          <cell r="O8320" t="str">
            <v>Amazon</v>
          </cell>
        </row>
        <row r="8321">
          <cell r="D8321">
            <v>2056.0300000000002</v>
          </cell>
          <cell r="H8321">
            <v>45778</v>
          </cell>
          <cell r="I8321" t="str">
            <v>6286 - SEM</v>
          </cell>
          <cell r="J8321" t="str">
            <v>Ecommerce (US)</v>
          </cell>
          <cell r="K8321" t="str">
            <v>Ecommerce</v>
          </cell>
          <cell r="L8321" t="str">
            <v>Marketing</v>
          </cell>
          <cell r="N8321" t="str">
            <v>Direct Costs</v>
          </cell>
          <cell r="O8321" t="str">
            <v>Amazon</v>
          </cell>
        </row>
        <row r="8322">
          <cell r="D8322">
            <v>2037.68</v>
          </cell>
          <cell r="H8322">
            <v>45778</v>
          </cell>
          <cell r="I8322" t="str">
            <v>6286 - SEM</v>
          </cell>
          <cell r="J8322" t="str">
            <v>Ecommerce (US)</v>
          </cell>
          <cell r="K8322" t="str">
            <v>Ecommerce</v>
          </cell>
          <cell r="L8322" t="str">
            <v>Marketing</v>
          </cell>
          <cell r="N8322" t="str">
            <v>Direct Costs</v>
          </cell>
          <cell r="O8322" t="str">
            <v>Amazon</v>
          </cell>
        </row>
        <row r="8323">
          <cell r="D8323">
            <v>641.25</v>
          </cell>
          <cell r="H8323">
            <v>45778</v>
          </cell>
          <cell r="I8323" t="str">
            <v>6300 - Payroll Service Fees</v>
          </cell>
          <cell r="J8323">
            <v>0</v>
          </cell>
          <cell r="K8323" t="str">
            <v>Administration</v>
          </cell>
          <cell r="L8323" t="str">
            <v>Professional Service</v>
          </cell>
          <cell r="N8323" t="str">
            <v>SG&amp;A</v>
          </cell>
          <cell r="O8323" t="str">
            <v>OperationsInc, LLC</v>
          </cell>
        </row>
        <row r="8324">
          <cell r="D8324">
            <v>56.46</v>
          </cell>
          <cell r="H8324">
            <v>45778</v>
          </cell>
          <cell r="I8324" t="str">
            <v>6375 - Freight Expenses</v>
          </cell>
          <cell r="J8324">
            <v>0</v>
          </cell>
          <cell r="K8324" t="str">
            <v>Production</v>
          </cell>
          <cell r="L8324" t="str">
            <v>Freight</v>
          </cell>
          <cell r="N8324" t="str">
            <v>Direct Costs</v>
          </cell>
          <cell r="O8324" t="str">
            <v>DHL Express - USA</v>
          </cell>
        </row>
        <row r="8325">
          <cell r="D8325">
            <v>426.99</v>
          </cell>
          <cell r="H8325">
            <v>45778</v>
          </cell>
          <cell r="I8325" t="str">
            <v>6375 - Freight Expenses</v>
          </cell>
          <cell r="J8325">
            <v>0</v>
          </cell>
          <cell r="K8325" t="str">
            <v>Production</v>
          </cell>
          <cell r="L8325" t="str">
            <v>Freight</v>
          </cell>
          <cell r="N8325" t="str">
            <v>Direct Costs</v>
          </cell>
          <cell r="O8325" t="str">
            <v>DHL Express - USA</v>
          </cell>
        </row>
        <row r="8326">
          <cell r="D8326">
            <v>68.11</v>
          </cell>
          <cell r="H8326">
            <v>45778</v>
          </cell>
          <cell r="I8326" t="str">
            <v>6375 - Freight Expenses</v>
          </cell>
          <cell r="J8326">
            <v>0</v>
          </cell>
          <cell r="K8326" t="str">
            <v>Production</v>
          </cell>
          <cell r="L8326" t="str">
            <v>Freight</v>
          </cell>
          <cell r="N8326" t="str">
            <v>Direct Costs</v>
          </cell>
          <cell r="O8326" t="str">
            <v>DHL Express - USA</v>
          </cell>
        </row>
        <row r="8327">
          <cell r="D8327">
            <v>233.23</v>
          </cell>
          <cell r="H8327">
            <v>45778</v>
          </cell>
          <cell r="I8327" t="str">
            <v>6375 - Freight Expenses</v>
          </cell>
          <cell r="J8327" t="str">
            <v>Ecommerce (US)</v>
          </cell>
          <cell r="K8327" t="str">
            <v>Ecommerce</v>
          </cell>
          <cell r="L8327" t="str">
            <v>Freight</v>
          </cell>
          <cell r="N8327" t="str">
            <v>Direct Costs</v>
          </cell>
          <cell r="O8327" t="str">
            <v>UPS Supply Chain Solutions Inc. (7F24A0)</v>
          </cell>
        </row>
        <row r="8328">
          <cell r="D8328">
            <v>50.22</v>
          </cell>
          <cell r="H8328">
            <v>45778</v>
          </cell>
          <cell r="I8328" t="str">
            <v>6040 - Employer Paid Benefits</v>
          </cell>
          <cell r="J8328" t="str">
            <v>Wholesale</v>
          </cell>
          <cell r="K8328" t="str">
            <v>Wholesale</v>
          </cell>
          <cell r="L8328" t="str">
            <v>HQ Salaries</v>
          </cell>
          <cell r="N8328" t="str">
            <v>SG&amp;A</v>
          </cell>
          <cell r="O8328" t="str">
            <v>Procyon Benefits LLC</v>
          </cell>
        </row>
        <row r="8329">
          <cell r="D8329">
            <v>478.97</v>
          </cell>
          <cell r="H8329">
            <v>45778</v>
          </cell>
          <cell r="I8329" t="str">
            <v>6040 - Employer Paid Benefits</v>
          </cell>
          <cell r="J8329">
            <v>0</v>
          </cell>
          <cell r="K8329" t="str">
            <v>Production</v>
          </cell>
          <cell r="L8329" t="str">
            <v>HQ Salaries</v>
          </cell>
          <cell r="N8329" t="str">
            <v>SG&amp;A</v>
          </cell>
          <cell r="O8329" t="str">
            <v>Procyon Benefits LLC</v>
          </cell>
        </row>
        <row r="8330">
          <cell r="D8330">
            <v>14.5</v>
          </cell>
          <cell r="H8330">
            <v>45778</v>
          </cell>
          <cell r="I8330" t="str">
            <v>6040 - Employer Paid Benefits</v>
          </cell>
          <cell r="J8330">
            <v>0</v>
          </cell>
          <cell r="K8330" t="str">
            <v>Merchandising</v>
          </cell>
          <cell r="L8330" t="str">
            <v>HQ Salaries</v>
          </cell>
          <cell r="N8330" t="str">
            <v>SG&amp;A</v>
          </cell>
          <cell r="O8330" t="str">
            <v>Procyon Benefits LLC</v>
          </cell>
        </row>
        <row r="8331">
          <cell r="D8331">
            <v>3475.52</v>
          </cell>
          <cell r="H8331">
            <v>45778</v>
          </cell>
          <cell r="I8331" t="str">
            <v>6040 - Employer Paid Benefits</v>
          </cell>
          <cell r="J8331" t="str">
            <v>Ecommerce (US)</v>
          </cell>
          <cell r="K8331" t="str">
            <v>Ecommerce</v>
          </cell>
          <cell r="L8331" t="str">
            <v>HQ Salaries</v>
          </cell>
          <cell r="N8331" t="str">
            <v>SG&amp;A</v>
          </cell>
          <cell r="O8331" t="str">
            <v>Procyon Benefits LLC</v>
          </cell>
        </row>
        <row r="8332">
          <cell r="D8332">
            <v>418.96</v>
          </cell>
          <cell r="H8332">
            <v>45778</v>
          </cell>
          <cell r="I8332" t="str">
            <v>6040 - Employer Paid Benefits</v>
          </cell>
          <cell r="J8332">
            <v>0</v>
          </cell>
          <cell r="K8332" t="str">
            <v>Executive</v>
          </cell>
          <cell r="L8332" t="str">
            <v>HQ Salaries</v>
          </cell>
          <cell r="N8332" t="str">
            <v>SG&amp;A</v>
          </cell>
          <cell r="O8332" t="str">
            <v>Procyon Benefits LLC</v>
          </cell>
        </row>
        <row r="8333">
          <cell r="D8333">
            <v>302.82</v>
          </cell>
          <cell r="H8333">
            <v>45778</v>
          </cell>
          <cell r="I8333" t="str">
            <v>6040 - Employer Paid Benefits</v>
          </cell>
          <cell r="J8333">
            <v>0</v>
          </cell>
          <cell r="K8333" t="str">
            <v>Design</v>
          </cell>
          <cell r="L8333" t="str">
            <v>HQ Salaries</v>
          </cell>
          <cell r="N8333" t="str">
            <v>SG&amp;A</v>
          </cell>
          <cell r="O8333" t="str">
            <v>Procyon Benefits LLC</v>
          </cell>
        </row>
        <row r="8334">
          <cell r="D8334">
            <v>25</v>
          </cell>
          <cell r="H8334">
            <v>45778</v>
          </cell>
          <cell r="I8334" t="str">
            <v>6040 - Employer Paid Benefits</v>
          </cell>
          <cell r="J8334">
            <v>0</v>
          </cell>
          <cell r="K8334" t="str">
            <v>Administration</v>
          </cell>
          <cell r="L8334" t="str">
            <v>HQ Salaries</v>
          </cell>
          <cell r="N8334" t="str">
            <v>SG&amp;A</v>
          </cell>
          <cell r="O8334" t="str">
            <v>Lifetime Benefit Solutions, Inc</v>
          </cell>
        </row>
        <row r="8335">
          <cell r="D8335">
            <v>504.79</v>
          </cell>
          <cell r="H8335">
            <v>45778</v>
          </cell>
          <cell r="I8335" t="str">
            <v>6300 - Payroll Service Fees</v>
          </cell>
          <cell r="J8335">
            <v>0</v>
          </cell>
          <cell r="K8335" t="str">
            <v>Administration</v>
          </cell>
          <cell r="L8335" t="str">
            <v>Professional Service</v>
          </cell>
          <cell r="N8335" t="str">
            <v>SG&amp;A</v>
          </cell>
          <cell r="O8335" t="str">
            <v>ADP Payroll Services</v>
          </cell>
        </row>
        <row r="8336">
          <cell r="D8336">
            <v>32492.01</v>
          </cell>
          <cell r="H8336">
            <v>45778</v>
          </cell>
          <cell r="I8336" t="str">
            <v>6375 - Freight Expenses</v>
          </cell>
          <cell r="J8336" t="str">
            <v>Ecommerce (US)</v>
          </cell>
          <cell r="K8336" t="str">
            <v>Ecommerce</v>
          </cell>
          <cell r="L8336" t="str">
            <v>Freight</v>
          </cell>
          <cell r="N8336" t="str">
            <v>Direct Costs</v>
          </cell>
          <cell r="O8336" t="str">
            <v>UPS Supply Chain Solutions Inc. (7F24A0)</v>
          </cell>
        </row>
        <row r="8337">
          <cell r="D8337">
            <v>224.42</v>
          </cell>
          <cell r="H8337">
            <v>45778</v>
          </cell>
          <cell r="I8337" t="str">
            <v>6375 - Freight Expenses</v>
          </cell>
          <cell r="J8337" t="str">
            <v>Wholesale</v>
          </cell>
          <cell r="K8337" t="str">
            <v>Wholesale</v>
          </cell>
          <cell r="L8337" t="str">
            <v>Freight</v>
          </cell>
          <cell r="N8337" t="str">
            <v>Direct Costs</v>
          </cell>
          <cell r="O8337" t="str">
            <v>UPS Supply Chain Solutions Inc. (7F24A0)</v>
          </cell>
        </row>
        <row r="8338">
          <cell r="D8338">
            <v>110.37</v>
          </cell>
          <cell r="H8338">
            <v>45778</v>
          </cell>
          <cell r="I8338" t="str">
            <v>6375 - Freight Expenses</v>
          </cell>
          <cell r="J8338" t="str">
            <v>Ecommerce (US)</v>
          </cell>
          <cell r="K8338" t="str">
            <v>Ecommerce</v>
          </cell>
          <cell r="L8338" t="str">
            <v>Freight</v>
          </cell>
          <cell r="N8338" t="str">
            <v>Direct Costs</v>
          </cell>
          <cell r="O8338" t="str">
            <v>UPS Supply Chain Solutions Inc. (7F24A0)</v>
          </cell>
        </row>
        <row r="8339">
          <cell r="D8339">
            <v>886.82</v>
          </cell>
          <cell r="H8339">
            <v>45778</v>
          </cell>
          <cell r="I8339" t="str">
            <v>6393 - Software</v>
          </cell>
          <cell r="J8339" t="str">
            <v>Wholesale</v>
          </cell>
          <cell r="K8339" t="str">
            <v>Wholesale</v>
          </cell>
          <cell r="L8339" t="str">
            <v>Professional Service</v>
          </cell>
          <cell r="N8339" t="str">
            <v>Direct Costs</v>
          </cell>
          <cell r="O8339" t="str">
            <v>SPS Commerce</v>
          </cell>
        </row>
        <row r="8340">
          <cell r="D8340">
            <v>4320</v>
          </cell>
          <cell r="H8340">
            <v>45778</v>
          </cell>
          <cell r="I8340" t="str">
            <v>6288 - Model</v>
          </cell>
          <cell r="J8340" t="str">
            <v>Ecommerce (US)</v>
          </cell>
          <cell r="K8340" t="str">
            <v>Brand Marketing</v>
          </cell>
          <cell r="L8340" t="str">
            <v>Advertising</v>
          </cell>
          <cell r="N8340" t="str">
            <v>SG&amp;A</v>
          </cell>
          <cell r="O8340" t="str">
            <v>State Artist Management</v>
          </cell>
        </row>
        <row r="8341">
          <cell r="D8341">
            <v>1000</v>
          </cell>
          <cell r="H8341">
            <v>45778</v>
          </cell>
          <cell r="I8341" t="str">
            <v>6380 - Legal &amp; Accounting</v>
          </cell>
          <cell r="J8341">
            <v>0</v>
          </cell>
          <cell r="K8341" t="str">
            <v>Administration</v>
          </cell>
          <cell r="L8341" t="str">
            <v>Professional Service</v>
          </cell>
          <cell r="N8341" t="str">
            <v>SG&amp;A</v>
          </cell>
          <cell r="O8341" t="str">
            <v>Ko &amp; Yun, LLP - Operations</v>
          </cell>
        </row>
        <row r="8342">
          <cell r="D8342">
            <v>500</v>
          </cell>
          <cell r="H8342">
            <v>45778</v>
          </cell>
          <cell r="I8342" t="str">
            <v>6380 - Legal &amp; Accounting</v>
          </cell>
          <cell r="J8342">
            <v>0</v>
          </cell>
          <cell r="K8342" t="str">
            <v>Administration</v>
          </cell>
          <cell r="L8342" t="str">
            <v>Professional Service</v>
          </cell>
          <cell r="N8342" t="str">
            <v>SG&amp;A</v>
          </cell>
          <cell r="O8342" t="str">
            <v>Ko &amp; Yun, LLP - IP Holding</v>
          </cell>
        </row>
        <row r="8343">
          <cell r="D8343">
            <v>14.5</v>
          </cell>
          <cell r="H8343">
            <v>45778</v>
          </cell>
          <cell r="I8343" t="str">
            <v>6125 - Transportation and Fuel</v>
          </cell>
          <cell r="J8343" t="str">
            <v>Wholesale</v>
          </cell>
          <cell r="K8343" t="str">
            <v>Wholesale</v>
          </cell>
          <cell r="L8343" t="str">
            <v>T&amp;E</v>
          </cell>
          <cell r="N8343" t="str">
            <v>SG&amp;A</v>
          </cell>
          <cell r="O8343" t="str">
            <v>Bridgette Stacom</v>
          </cell>
        </row>
        <row r="8344">
          <cell r="D8344">
            <v>14.5</v>
          </cell>
          <cell r="H8344">
            <v>45778</v>
          </cell>
          <cell r="I8344" t="str">
            <v>6125 - Transportation and Fuel</v>
          </cell>
          <cell r="J8344" t="str">
            <v>Wholesale</v>
          </cell>
          <cell r="K8344" t="str">
            <v>Wholesale</v>
          </cell>
          <cell r="L8344" t="str">
            <v>T&amp;E</v>
          </cell>
          <cell r="N8344" t="str">
            <v>SG&amp;A</v>
          </cell>
          <cell r="O8344" t="str">
            <v>Bridgette Stacom</v>
          </cell>
        </row>
        <row r="8345">
          <cell r="D8345">
            <v>102</v>
          </cell>
          <cell r="H8345">
            <v>45778</v>
          </cell>
          <cell r="I8345" t="str">
            <v>6125 - Transportation and Fuel</v>
          </cell>
          <cell r="J8345" t="str">
            <v>Wholesale</v>
          </cell>
          <cell r="K8345" t="str">
            <v>Wholesale</v>
          </cell>
          <cell r="L8345" t="str">
            <v>T&amp;E</v>
          </cell>
          <cell r="N8345" t="str">
            <v>SG&amp;A</v>
          </cell>
          <cell r="O8345" t="str">
            <v>Bridgette Stacom</v>
          </cell>
        </row>
        <row r="8346">
          <cell r="D8346">
            <v>287</v>
          </cell>
          <cell r="H8346">
            <v>45778</v>
          </cell>
          <cell r="I8346" t="str">
            <v>6125 - Transportation and Fuel</v>
          </cell>
          <cell r="J8346" t="str">
            <v>Wholesale</v>
          </cell>
          <cell r="K8346" t="str">
            <v>Wholesale</v>
          </cell>
          <cell r="L8346" t="str">
            <v>T&amp;E</v>
          </cell>
          <cell r="N8346" t="str">
            <v>SG&amp;A</v>
          </cell>
          <cell r="O8346" t="str">
            <v>Bridgette Stacom</v>
          </cell>
        </row>
        <row r="8347">
          <cell r="D8347">
            <v>266.38</v>
          </cell>
          <cell r="H8347">
            <v>45778</v>
          </cell>
          <cell r="I8347" t="str">
            <v>6115 - Airfare</v>
          </cell>
          <cell r="J8347" t="str">
            <v>Wholesale</v>
          </cell>
          <cell r="K8347" t="str">
            <v>Wholesale</v>
          </cell>
          <cell r="L8347" t="str">
            <v>T&amp;E</v>
          </cell>
          <cell r="N8347" t="str">
            <v>SG&amp;A</v>
          </cell>
          <cell r="O8347" t="str">
            <v>Bridgette Stacom</v>
          </cell>
        </row>
        <row r="8348">
          <cell r="D8348">
            <v>54.99</v>
          </cell>
          <cell r="H8348">
            <v>45778</v>
          </cell>
          <cell r="I8348" t="str">
            <v>6375 - Freight Expenses</v>
          </cell>
          <cell r="J8348">
            <v>0</v>
          </cell>
          <cell r="K8348" t="str">
            <v>Production</v>
          </cell>
          <cell r="L8348" t="str">
            <v>Freight</v>
          </cell>
          <cell r="N8348" t="str">
            <v>Direct Costs</v>
          </cell>
          <cell r="O8348" t="str">
            <v>DHL Express - USA</v>
          </cell>
        </row>
        <row r="8349">
          <cell r="D8349">
            <v>5.32</v>
          </cell>
          <cell r="H8349">
            <v>45778</v>
          </cell>
          <cell r="I8349" t="str">
            <v>8505 - Realized Gain/Loss</v>
          </cell>
          <cell r="J8349">
            <v>0</v>
          </cell>
          <cell r="K8349" t="str">
            <v>No Department</v>
          </cell>
          <cell r="L8349" t="str">
            <v>Realized Gain / Loss</v>
          </cell>
          <cell r="N8349" t="str">
            <v>BTL</v>
          </cell>
          <cell r="O8349" t="str">
            <v>[No Vendor]</v>
          </cell>
        </row>
        <row r="8350">
          <cell r="D8350">
            <v>282.02999999999997</v>
          </cell>
          <cell r="H8350">
            <v>45778</v>
          </cell>
          <cell r="I8350" t="str">
            <v>6451 - Service Processing Fee</v>
          </cell>
          <cell r="J8350" t="str">
            <v>Ecommerce (US)</v>
          </cell>
          <cell r="K8350" t="str">
            <v>Ecommerce</v>
          </cell>
          <cell r="L8350" t="str">
            <v>Professional Service</v>
          </cell>
          <cell r="N8350" t="str">
            <v>Direct Costs</v>
          </cell>
          <cell r="O8350" t="str">
            <v>Shopify</v>
          </cell>
        </row>
        <row r="8351">
          <cell r="D8351">
            <v>1180.6600000000001</v>
          </cell>
          <cell r="H8351">
            <v>45778</v>
          </cell>
          <cell r="I8351" t="str">
            <v>6040 - Employer Paid Benefits</v>
          </cell>
          <cell r="J8351">
            <v>0</v>
          </cell>
          <cell r="K8351" t="str">
            <v>Administration</v>
          </cell>
          <cell r="L8351" t="str">
            <v>HQ Salaries</v>
          </cell>
          <cell r="N8351" t="str">
            <v>SG&amp;A</v>
          </cell>
          <cell r="O8351" t="str">
            <v>Procyon Benefits LLC</v>
          </cell>
        </row>
        <row r="8352">
          <cell r="D8352">
            <v>212.57</v>
          </cell>
          <cell r="H8352">
            <v>45778</v>
          </cell>
          <cell r="I8352" t="str">
            <v>6210 - Monitoring</v>
          </cell>
          <cell r="J8352" t="str">
            <v>Ecommerce (EU)</v>
          </cell>
          <cell r="K8352" t="str">
            <v>Ecommerce</v>
          </cell>
          <cell r="L8352" t="str">
            <v>Professional Service</v>
          </cell>
          <cell r="N8352" t="str">
            <v>Direct Costs</v>
          </cell>
          <cell r="O8352" t="str">
            <v>Convey SRL</v>
          </cell>
        </row>
        <row r="8353">
          <cell r="D8353">
            <v>1864.39</v>
          </cell>
          <cell r="H8353">
            <v>45778</v>
          </cell>
          <cell r="I8353" t="str">
            <v>6210 - Monitoring</v>
          </cell>
          <cell r="J8353" t="str">
            <v>Ecommerce (EU)</v>
          </cell>
          <cell r="K8353" t="str">
            <v>Ecommerce</v>
          </cell>
          <cell r="L8353" t="str">
            <v>Professional Service</v>
          </cell>
          <cell r="N8353" t="str">
            <v>Direct Costs</v>
          </cell>
          <cell r="O8353" t="str">
            <v>Convey SRL</v>
          </cell>
        </row>
        <row r="8354">
          <cell r="D8354">
            <v>1282.5</v>
          </cell>
          <cell r="H8354">
            <v>45778</v>
          </cell>
          <cell r="I8354" t="str">
            <v>6300 - Payroll Service Fees</v>
          </cell>
          <cell r="J8354">
            <v>0</v>
          </cell>
          <cell r="K8354" t="str">
            <v>Administration</v>
          </cell>
          <cell r="L8354" t="str">
            <v>Professional Service</v>
          </cell>
          <cell r="N8354" t="str">
            <v>SG&amp;A</v>
          </cell>
          <cell r="O8354" t="str">
            <v>OperationsInc, LLC</v>
          </cell>
        </row>
        <row r="8355">
          <cell r="D8355">
            <v>132.71</v>
          </cell>
          <cell r="H8355">
            <v>45778</v>
          </cell>
          <cell r="I8355" t="str">
            <v>6375 - Freight Expenses</v>
          </cell>
          <cell r="J8355">
            <v>0</v>
          </cell>
          <cell r="K8355" t="str">
            <v>Production</v>
          </cell>
          <cell r="L8355" t="str">
            <v>Freight</v>
          </cell>
          <cell r="N8355" t="str">
            <v>Direct Costs</v>
          </cell>
          <cell r="O8355" t="str">
            <v>DHL Express - USA</v>
          </cell>
        </row>
        <row r="8356">
          <cell r="D8356">
            <v>23.61</v>
          </cell>
          <cell r="H8356">
            <v>45778</v>
          </cell>
          <cell r="I8356" t="str">
            <v>6375 - Freight Expenses</v>
          </cell>
          <cell r="J8356">
            <v>0</v>
          </cell>
          <cell r="K8356" t="str">
            <v>Production</v>
          </cell>
          <cell r="L8356" t="str">
            <v>Freight</v>
          </cell>
          <cell r="N8356" t="str">
            <v>Direct Costs</v>
          </cell>
          <cell r="O8356" t="str">
            <v>DHL Express - USA</v>
          </cell>
        </row>
        <row r="8357">
          <cell r="D8357">
            <v>54.99</v>
          </cell>
          <cell r="H8357">
            <v>45778</v>
          </cell>
          <cell r="I8357" t="str">
            <v>6375 - Freight Expenses</v>
          </cell>
          <cell r="J8357">
            <v>0</v>
          </cell>
          <cell r="K8357" t="str">
            <v>Production</v>
          </cell>
          <cell r="L8357" t="str">
            <v>Freight</v>
          </cell>
          <cell r="N8357" t="str">
            <v>Direct Costs</v>
          </cell>
          <cell r="O8357" t="str">
            <v>DHL Express - USA</v>
          </cell>
        </row>
        <row r="8358">
          <cell r="D8358">
            <v>220.5</v>
          </cell>
          <cell r="H8358">
            <v>45778</v>
          </cell>
          <cell r="I8358" t="str">
            <v>6375 - Freight Expenses</v>
          </cell>
          <cell r="J8358" t="str">
            <v>Ecommerce (US)</v>
          </cell>
          <cell r="K8358" t="str">
            <v>Ecommerce</v>
          </cell>
          <cell r="L8358" t="str">
            <v>Freight</v>
          </cell>
          <cell r="N8358" t="str">
            <v>Direct Costs</v>
          </cell>
          <cell r="O8358" t="str">
            <v>UPS Supply Chain Solutions Inc. (7F24A0)</v>
          </cell>
        </row>
        <row r="8359">
          <cell r="D8359">
            <v>57.2</v>
          </cell>
          <cell r="H8359">
            <v>45778</v>
          </cell>
          <cell r="I8359" t="str">
            <v>6040 - Employer Paid Benefits</v>
          </cell>
          <cell r="J8359">
            <v>0</v>
          </cell>
          <cell r="K8359" t="str">
            <v>Production</v>
          </cell>
          <cell r="L8359" t="str">
            <v>HQ Salaries</v>
          </cell>
          <cell r="N8359" t="str">
            <v>SG&amp;A</v>
          </cell>
          <cell r="O8359" t="str">
            <v>Procyon Benefits LLC</v>
          </cell>
        </row>
        <row r="8360">
          <cell r="D8360">
            <v>220.53</v>
          </cell>
          <cell r="H8360">
            <v>45778</v>
          </cell>
          <cell r="I8360" t="str">
            <v>6040 - Employer Paid Benefits</v>
          </cell>
          <cell r="J8360">
            <v>0</v>
          </cell>
          <cell r="K8360" t="str">
            <v>Merchandising</v>
          </cell>
          <cell r="L8360" t="str">
            <v>HQ Salaries</v>
          </cell>
          <cell r="N8360" t="str">
            <v>SG&amp;A</v>
          </cell>
          <cell r="O8360" t="str">
            <v>Procyon Benefits LLC</v>
          </cell>
        </row>
        <row r="8361">
          <cell r="D8361">
            <v>337.13</v>
          </cell>
          <cell r="H8361">
            <v>45778</v>
          </cell>
          <cell r="I8361" t="str">
            <v>6040 - Employer Paid Benefits</v>
          </cell>
          <cell r="J8361" t="str">
            <v>Ecommerce (US)</v>
          </cell>
          <cell r="K8361" t="str">
            <v>Ecommerce</v>
          </cell>
          <cell r="L8361" t="str">
            <v>HQ Salaries</v>
          </cell>
          <cell r="N8361" t="str">
            <v>SG&amp;A</v>
          </cell>
          <cell r="O8361" t="str">
            <v>Procyon Benefits LLC</v>
          </cell>
        </row>
        <row r="8362">
          <cell r="D8362">
            <v>479.17</v>
          </cell>
          <cell r="H8362">
            <v>45778</v>
          </cell>
          <cell r="I8362" t="str">
            <v>6040 - Employer Paid Benefits</v>
          </cell>
          <cell r="J8362">
            <v>0</v>
          </cell>
          <cell r="K8362" t="str">
            <v>Executive</v>
          </cell>
          <cell r="L8362" t="str">
            <v>HQ Salaries</v>
          </cell>
          <cell r="N8362" t="str">
            <v>SG&amp;A</v>
          </cell>
          <cell r="O8362" t="str">
            <v>Procyon Benefits LLC</v>
          </cell>
        </row>
        <row r="8363">
          <cell r="D8363">
            <v>43.9</v>
          </cell>
          <cell r="H8363">
            <v>45778</v>
          </cell>
          <cell r="I8363" t="str">
            <v>6040 - Employer Paid Benefits</v>
          </cell>
          <cell r="J8363">
            <v>0</v>
          </cell>
          <cell r="K8363" t="str">
            <v>Design</v>
          </cell>
          <cell r="L8363" t="str">
            <v>HQ Salaries</v>
          </cell>
          <cell r="N8363" t="str">
            <v>SG&amp;A</v>
          </cell>
          <cell r="O8363" t="str">
            <v>Procyon Benefits LLC</v>
          </cell>
        </row>
        <row r="8364">
          <cell r="D8364">
            <v>0.01</v>
          </cell>
          <cell r="H8364">
            <v>45778</v>
          </cell>
          <cell r="I8364" t="str">
            <v>8590 - Rounding Gain/Loss</v>
          </cell>
          <cell r="J8364">
            <v>0</v>
          </cell>
          <cell r="K8364" t="str">
            <v>No Department</v>
          </cell>
          <cell r="L8364" t="str">
            <v>Realized Gain / Loss</v>
          </cell>
          <cell r="N8364" t="str">
            <v>BTL</v>
          </cell>
          <cell r="O8364" t="str">
            <v>[No Vendor]</v>
          </cell>
        </row>
        <row r="8365">
          <cell r="D8365">
            <v>-734.29</v>
          </cell>
          <cell r="H8365">
            <v>45778</v>
          </cell>
          <cell r="I8365" t="str">
            <v>6380 - Legal &amp; Accounting</v>
          </cell>
          <cell r="J8365">
            <v>0</v>
          </cell>
          <cell r="K8365" t="str">
            <v>Administration</v>
          </cell>
          <cell r="L8365" t="str">
            <v>Professional Service</v>
          </cell>
          <cell r="N8365" t="str">
            <v>SG&amp;A</v>
          </cell>
          <cell r="O8365" t="str">
            <v>[No Vendor]</v>
          </cell>
        </row>
        <row r="8366">
          <cell r="D8366">
            <v>69.98</v>
          </cell>
          <cell r="H8366">
            <v>45778</v>
          </cell>
          <cell r="I8366" t="str">
            <v>6375 - Freight Expenses</v>
          </cell>
          <cell r="J8366" t="str">
            <v>Ecommerce (US)</v>
          </cell>
          <cell r="K8366" t="str">
            <v>Ecommerce</v>
          </cell>
          <cell r="L8366" t="str">
            <v>Freight</v>
          </cell>
          <cell r="N8366" t="str">
            <v>Direct Costs</v>
          </cell>
          <cell r="O8366" t="str">
            <v>UPS Supply Chain Solutions Inc. (7F24A0)</v>
          </cell>
        </row>
        <row r="8367">
          <cell r="D8367">
            <v>179.65</v>
          </cell>
          <cell r="H8367">
            <v>45778</v>
          </cell>
          <cell r="I8367" t="str">
            <v>6370 - Samples</v>
          </cell>
          <cell r="J8367">
            <v>0</v>
          </cell>
          <cell r="K8367" t="str">
            <v>Design</v>
          </cell>
          <cell r="L8367" t="str">
            <v>Sample</v>
          </cell>
          <cell r="N8367" t="str">
            <v>SG&amp;A</v>
          </cell>
          <cell r="O8367" t="str">
            <v>[No Vendor]</v>
          </cell>
        </row>
        <row r="8368">
          <cell r="D8368">
            <v>146</v>
          </cell>
          <cell r="H8368">
            <v>45778</v>
          </cell>
          <cell r="I8368" t="str">
            <v>6370 - Samples</v>
          </cell>
          <cell r="J8368">
            <v>0</v>
          </cell>
          <cell r="K8368" t="str">
            <v>Design</v>
          </cell>
          <cell r="L8368" t="str">
            <v>Sample</v>
          </cell>
          <cell r="N8368" t="str">
            <v>SG&amp;A</v>
          </cell>
          <cell r="O8368" t="str">
            <v>[No Vendor]</v>
          </cell>
        </row>
        <row r="8369">
          <cell r="D8369">
            <v>-49.8</v>
          </cell>
          <cell r="H8369">
            <v>45778</v>
          </cell>
          <cell r="I8369" t="str">
            <v>6370 - Samples</v>
          </cell>
          <cell r="J8369">
            <v>0</v>
          </cell>
          <cell r="K8369" t="str">
            <v>Design</v>
          </cell>
          <cell r="L8369" t="str">
            <v>Sample</v>
          </cell>
          <cell r="N8369" t="str">
            <v>SG&amp;A</v>
          </cell>
          <cell r="O8369" t="str">
            <v>[No Vendor]</v>
          </cell>
        </row>
        <row r="8370">
          <cell r="D8370">
            <v>49.8</v>
          </cell>
          <cell r="H8370">
            <v>45778</v>
          </cell>
          <cell r="I8370" t="str">
            <v>6370 - Samples</v>
          </cell>
          <cell r="J8370">
            <v>0</v>
          </cell>
          <cell r="K8370" t="str">
            <v>Design</v>
          </cell>
          <cell r="L8370" t="str">
            <v>Sample</v>
          </cell>
          <cell r="N8370" t="str">
            <v>SG&amp;A</v>
          </cell>
          <cell r="O8370" t="str">
            <v>[No Vendor]</v>
          </cell>
        </row>
        <row r="8371">
          <cell r="D8371">
            <v>-14.9</v>
          </cell>
          <cell r="H8371">
            <v>45778</v>
          </cell>
          <cell r="I8371" t="str">
            <v>6370 - Samples</v>
          </cell>
          <cell r="J8371">
            <v>0</v>
          </cell>
          <cell r="K8371" t="str">
            <v>Design</v>
          </cell>
          <cell r="L8371" t="str">
            <v>Sample</v>
          </cell>
          <cell r="N8371" t="str">
            <v>SG&amp;A</v>
          </cell>
          <cell r="O8371" t="str">
            <v>[No Vendor]</v>
          </cell>
        </row>
        <row r="8372">
          <cell r="D8372">
            <v>29.8</v>
          </cell>
          <cell r="H8372">
            <v>45778</v>
          </cell>
          <cell r="I8372" t="str">
            <v>6370 - Samples</v>
          </cell>
          <cell r="J8372">
            <v>0</v>
          </cell>
          <cell r="K8372" t="str">
            <v>Design</v>
          </cell>
          <cell r="L8372" t="str">
            <v>Sample</v>
          </cell>
          <cell r="N8372" t="str">
            <v>SG&amp;A</v>
          </cell>
          <cell r="O8372" t="str">
            <v>[No Vendor]</v>
          </cell>
        </row>
        <row r="8373">
          <cell r="D8373">
            <v>-35.93</v>
          </cell>
          <cell r="H8373">
            <v>45778</v>
          </cell>
          <cell r="I8373" t="str">
            <v>6370 - Samples</v>
          </cell>
          <cell r="J8373">
            <v>0</v>
          </cell>
          <cell r="K8373" t="str">
            <v>Design</v>
          </cell>
          <cell r="L8373" t="str">
            <v>Sample</v>
          </cell>
          <cell r="N8373" t="str">
            <v>SG&amp;A</v>
          </cell>
          <cell r="O8373" t="str">
            <v>[No Vendor]</v>
          </cell>
        </row>
        <row r="8374">
          <cell r="D8374">
            <v>58</v>
          </cell>
          <cell r="H8374">
            <v>45778</v>
          </cell>
          <cell r="I8374" t="str">
            <v>6370 - Samples</v>
          </cell>
          <cell r="J8374">
            <v>0</v>
          </cell>
          <cell r="K8374" t="str">
            <v>Design</v>
          </cell>
          <cell r="L8374" t="str">
            <v>Sample</v>
          </cell>
          <cell r="N8374" t="str">
            <v>SG&amp;A</v>
          </cell>
          <cell r="O8374" t="str">
            <v>[No Vendor]</v>
          </cell>
        </row>
        <row r="8375">
          <cell r="D8375">
            <v>98</v>
          </cell>
          <cell r="H8375">
            <v>45778</v>
          </cell>
          <cell r="I8375" t="str">
            <v>6370 - Samples</v>
          </cell>
          <cell r="J8375">
            <v>0</v>
          </cell>
          <cell r="K8375" t="str">
            <v>Design</v>
          </cell>
          <cell r="L8375" t="str">
            <v>Sample</v>
          </cell>
          <cell r="N8375" t="str">
            <v>SG&amp;A</v>
          </cell>
          <cell r="O8375" t="str">
            <v>[No Vendor]</v>
          </cell>
        </row>
        <row r="8376">
          <cell r="D8376">
            <v>-143.72</v>
          </cell>
          <cell r="H8376">
            <v>45778</v>
          </cell>
          <cell r="I8376" t="str">
            <v>6370 - Samples</v>
          </cell>
          <cell r="J8376">
            <v>0</v>
          </cell>
          <cell r="K8376" t="str">
            <v>Design</v>
          </cell>
          <cell r="L8376" t="str">
            <v>Sample</v>
          </cell>
          <cell r="N8376" t="str">
            <v>SG&amp;A</v>
          </cell>
          <cell r="O8376" t="str">
            <v>[No Vendor]</v>
          </cell>
        </row>
        <row r="8377">
          <cell r="D8377">
            <v>-98</v>
          </cell>
          <cell r="H8377">
            <v>45778</v>
          </cell>
          <cell r="I8377" t="str">
            <v>6370 - Samples</v>
          </cell>
          <cell r="J8377">
            <v>0</v>
          </cell>
          <cell r="K8377" t="str">
            <v>Design</v>
          </cell>
          <cell r="L8377" t="str">
            <v>Sample</v>
          </cell>
          <cell r="N8377" t="str">
            <v>SG&amp;A</v>
          </cell>
          <cell r="O8377" t="str">
            <v>[No Vendor]</v>
          </cell>
        </row>
        <row r="8378">
          <cell r="D8378">
            <v>-146</v>
          </cell>
          <cell r="H8378">
            <v>45778</v>
          </cell>
          <cell r="I8378" t="str">
            <v>6370 - Samples</v>
          </cell>
          <cell r="J8378">
            <v>0</v>
          </cell>
          <cell r="K8378" t="str">
            <v>Design</v>
          </cell>
          <cell r="L8378" t="str">
            <v>Sample</v>
          </cell>
          <cell r="N8378" t="str">
            <v>SG&amp;A</v>
          </cell>
          <cell r="O8378" t="str">
            <v>[No Vendor]</v>
          </cell>
        </row>
        <row r="8379">
          <cell r="D8379">
            <v>5000</v>
          </cell>
          <cell r="H8379">
            <v>45778</v>
          </cell>
          <cell r="I8379" t="str">
            <v>6375 - Freight Expenses</v>
          </cell>
          <cell r="J8379" t="str">
            <v>Ecommerce (US)</v>
          </cell>
          <cell r="K8379" t="str">
            <v>Ecommerce</v>
          </cell>
          <cell r="L8379" t="str">
            <v>Freight</v>
          </cell>
          <cell r="N8379" t="str">
            <v>Direct Costs</v>
          </cell>
          <cell r="O8379" t="str">
            <v>Easy Post</v>
          </cell>
        </row>
        <row r="8380">
          <cell r="D8380">
            <v>500</v>
          </cell>
          <cell r="H8380">
            <v>45778</v>
          </cell>
          <cell r="I8380" t="str">
            <v>6375 - Freight Expenses</v>
          </cell>
          <cell r="J8380" t="str">
            <v>Ecommerce (US)</v>
          </cell>
          <cell r="K8380" t="str">
            <v>Ecommerce</v>
          </cell>
          <cell r="L8380" t="str">
            <v>Freight</v>
          </cell>
          <cell r="N8380" t="str">
            <v>Direct Costs</v>
          </cell>
          <cell r="O8380" t="str">
            <v>Easy Post</v>
          </cell>
        </row>
        <row r="8381">
          <cell r="D8381">
            <v>694.95</v>
          </cell>
          <cell r="H8381">
            <v>45778</v>
          </cell>
          <cell r="I8381" t="str">
            <v>6375 - Freight Expenses</v>
          </cell>
          <cell r="J8381" t="str">
            <v>Ecommerce (US)</v>
          </cell>
          <cell r="K8381" t="str">
            <v>Ecommerce</v>
          </cell>
          <cell r="L8381" t="str">
            <v>Freight</v>
          </cell>
          <cell r="N8381" t="str">
            <v>Direct Costs</v>
          </cell>
          <cell r="O8381" t="str">
            <v>UPS Supply Chain Solutions Inc. (7F24A0)</v>
          </cell>
        </row>
        <row r="8382">
          <cell r="D8382">
            <v>14.07</v>
          </cell>
          <cell r="H8382">
            <v>45778</v>
          </cell>
          <cell r="I8382" t="str">
            <v>6393 - Software</v>
          </cell>
          <cell r="J8382" t="str">
            <v>Ecommerce (US)</v>
          </cell>
          <cell r="K8382" t="str">
            <v>Ecommerce</v>
          </cell>
          <cell r="L8382" t="str">
            <v>Professional Service</v>
          </cell>
          <cell r="N8382" t="str">
            <v>Direct Costs</v>
          </cell>
          <cell r="O8382" t="str">
            <v>[No Vendor]</v>
          </cell>
        </row>
        <row r="8383">
          <cell r="D8383">
            <v>9.7799999999999994</v>
          </cell>
          <cell r="H8383">
            <v>45778</v>
          </cell>
          <cell r="I8383" t="str">
            <v>6393 - Software</v>
          </cell>
          <cell r="J8383" t="str">
            <v>Ecommerce (US)</v>
          </cell>
          <cell r="K8383" t="str">
            <v>Ecommerce</v>
          </cell>
          <cell r="L8383" t="str">
            <v>Professional Service</v>
          </cell>
          <cell r="N8383" t="str">
            <v>Direct Costs</v>
          </cell>
          <cell r="O8383" t="str">
            <v>[No Vendor]</v>
          </cell>
        </row>
        <row r="8384">
          <cell r="D8384">
            <v>9.5299999999999994</v>
          </cell>
          <cell r="H8384">
            <v>45778</v>
          </cell>
          <cell r="I8384" t="str">
            <v>6393 - Software</v>
          </cell>
          <cell r="J8384" t="str">
            <v>Ecommerce (US)</v>
          </cell>
          <cell r="K8384" t="str">
            <v>Ecommerce</v>
          </cell>
          <cell r="L8384" t="str">
            <v>Professional Service</v>
          </cell>
          <cell r="N8384" t="str">
            <v>Direct Costs</v>
          </cell>
          <cell r="O8384" t="str">
            <v>Slack</v>
          </cell>
        </row>
        <row r="8385">
          <cell r="D8385">
            <v>22.12</v>
          </cell>
          <cell r="H8385">
            <v>45778</v>
          </cell>
          <cell r="I8385" t="str">
            <v>6140 - Other</v>
          </cell>
          <cell r="J8385">
            <v>0</v>
          </cell>
          <cell r="K8385" t="str">
            <v>Administration</v>
          </cell>
          <cell r="L8385" t="str">
            <v>T&amp;E</v>
          </cell>
          <cell r="N8385" t="str">
            <v>SG&amp;A</v>
          </cell>
          <cell r="O8385" t="str">
            <v>[No Vendor]</v>
          </cell>
        </row>
        <row r="8386">
          <cell r="D8386">
            <v>22.45</v>
          </cell>
          <cell r="H8386">
            <v>45778</v>
          </cell>
          <cell r="I8386" t="str">
            <v>6140 - Other</v>
          </cell>
          <cell r="J8386">
            <v>0</v>
          </cell>
          <cell r="K8386" t="str">
            <v>Administration</v>
          </cell>
          <cell r="L8386" t="str">
            <v>T&amp;E</v>
          </cell>
          <cell r="N8386" t="str">
            <v>SG&amp;A</v>
          </cell>
          <cell r="O8386" t="str">
            <v>[No Vendor]</v>
          </cell>
        </row>
        <row r="8387">
          <cell r="D8387">
            <v>1079.3499999999999</v>
          </cell>
          <cell r="H8387">
            <v>45778</v>
          </cell>
          <cell r="I8387" t="str">
            <v>6120 - Lodging</v>
          </cell>
          <cell r="J8387" t="str">
            <v>Ecommerce (US)</v>
          </cell>
          <cell r="K8387" t="str">
            <v>Ecommerce</v>
          </cell>
          <cell r="L8387" t="str">
            <v>T&amp;E</v>
          </cell>
          <cell r="N8387" t="str">
            <v>SG&amp;A</v>
          </cell>
          <cell r="O8387" t="str">
            <v>[No Vendor]</v>
          </cell>
        </row>
        <row r="8388">
          <cell r="D8388">
            <v>360.36</v>
          </cell>
          <cell r="H8388">
            <v>45778</v>
          </cell>
          <cell r="I8388" t="str">
            <v>6120 - Lodging</v>
          </cell>
          <cell r="J8388" t="str">
            <v>Ecommerce (US)</v>
          </cell>
          <cell r="K8388" t="str">
            <v>Ecommerce</v>
          </cell>
          <cell r="L8388" t="str">
            <v>T&amp;E</v>
          </cell>
          <cell r="N8388" t="str">
            <v>SG&amp;A</v>
          </cell>
          <cell r="O8388" t="str">
            <v>[No Vendor]</v>
          </cell>
        </row>
        <row r="8389">
          <cell r="D8389">
            <v>54.2</v>
          </cell>
          <cell r="H8389">
            <v>45778</v>
          </cell>
          <cell r="I8389" t="str">
            <v>6120 - Lodging</v>
          </cell>
          <cell r="J8389">
            <v>0</v>
          </cell>
          <cell r="K8389" t="str">
            <v>Administration</v>
          </cell>
          <cell r="L8389" t="str">
            <v>T&amp;E</v>
          </cell>
          <cell r="N8389" t="str">
            <v>SG&amp;A</v>
          </cell>
          <cell r="O8389" t="str">
            <v>[No Vendor]</v>
          </cell>
        </row>
        <row r="8390">
          <cell r="D8390">
            <v>456.13</v>
          </cell>
          <cell r="H8390">
            <v>45778</v>
          </cell>
          <cell r="I8390" t="str">
            <v>6120 - Lodging</v>
          </cell>
          <cell r="J8390">
            <v>0</v>
          </cell>
          <cell r="K8390" t="str">
            <v>Administration</v>
          </cell>
          <cell r="L8390" t="str">
            <v>T&amp;E</v>
          </cell>
          <cell r="N8390" t="str">
            <v>SG&amp;A</v>
          </cell>
          <cell r="O8390" t="str">
            <v>[No Vendor]</v>
          </cell>
        </row>
        <row r="8391">
          <cell r="D8391">
            <v>0.15</v>
          </cell>
          <cell r="H8391">
            <v>45778</v>
          </cell>
          <cell r="I8391" t="str">
            <v>6450 - Bank &amp; Other Fees</v>
          </cell>
          <cell r="J8391" t="str">
            <v>Ecommerce (US)</v>
          </cell>
          <cell r="K8391" t="str">
            <v>Ecommerce</v>
          </cell>
          <cell r="L8391" t="str">
            <v>Professional Service</v>
          </cell>
          <cell r="N8391" t="str">
            <v>Direct Costs</v>
          </cell>
          <cell r="O8391" t="str">
            <v>[No Vendor]</v>
          </cell>
        </row>
        <row r="8392">
          <cell r="D8392">
            <v>0.21</v>
          </cell>
          <cell r="H8392">
            <v>45778</v>
          </cell>
          <cell r="I8392" t="str">
            <v>6450 - Bank &amp; Other Fees</v>
          </cell>
          <cell r="J8392" t="str">
            <v>Ecommerce (US)</v>
          </cell>
          <cell r="K8392" t="str">
            <v>Ecommerce</v>
          </cell>
          <cell r="L8392" t="str">
            <v>Professional Service</v>
          </cell>
          <cell r="N8392" t="str">
            <v>Direct Costs</v>
          </cell>
          <cell r="O8392" t="str">
            <v>[No Vendor]</v>
          </cell>
        </row>
        <row r="8393">
          <cell r="D8393">
            <v>6.84</v>
          </cell>
          <cell r="H8393">
            <v>45778</v>
          </cell>
          <cell r="I8393" t="str">
            <v>6450 - Bank &amp; Other Fees</v>
          </cell>
          <cell r="J8393">
            <v>0</v>
          </cell>
          <cell r="K8393" t="str">
            <v>Administration</v>
          </cell>
          <cell r="L8393" t="str">
            <v>Professional Service</v>
          </cell>
          <cell r="N8393" t="str">
            <v>SG&amp;A</v>
          </cell>
          <cell r="O8393" t="str">
            <v>[No Vendor]</v>
          </cell>
        </row>
        <row r="8394">
          <cell r="D8394">
            <v>0.47</v>
          </cell>
          <cell r="H8394">
            <v>45778</v>
          </cell>
          <cell r="I8394" t="str">
            <v>6450 - Bank &amp; Other Fees</v>
          </cell>
          <cell r="J8394">
            <v>0</v>
          </cell>
          <cell r="K8394" t="str">
            <v>Administration</v>
          </cell>
          <cell r="L8394" t="str">
            <v>Professional Service</v>
          </cell>
          <cell r="N8394" t="str">
            <v>SG&amp;A</v>
          </cell>
          <cell r="O8394" t="str">
            <v>[No Vendor]</v>
          </cell>
        </row>
        <row r="8395">
          <cell r="D8395">
            <v>0.21</v>
          </cell>
          <cell r="H8395">
            <v>45778</v>
          </cell>
          <cell r="I8395" t="str">
            <v>6450 - Bank &amp; Other Fees</v>
          </cell>
          <cell r="J8395">
            <v>0</v>
          </cell>
          <cell r="K8395" t="str">
            <v>Administration</v>
          </cell>
          <cell r="L8395" t="str">
            <v>Professional Service</v>
          </cell>
          <cell r="N8395" t="str">
            <v>SG&amp;A</v>
          </cell>
          <cell r="O8395" t="str">
            <v>[No Vendor]</v>
          </cell>
        </row>
        <row r="8396">
          <cell r="D8396">
            <v>0.15</v>
          </cell>
          <cell r="H8396">
            <v>45778</v>
          </cell>
          <cell r="I8396" t="str">
            <v>6450 - Bank &amp; Other Fees</v>
          </cell>
          <cell r="J8396">
            <v>0</v>
          </cell>
          <cell r="K8396" t="str">
            <v>Administration</v>
          </cell>
          <cell r="L8396" t="str">
            <v>Professional Service</v>
          </cell>
          <cell r="N8396" t="str">
            <v>SG&amp;A</v>
          </cell>
          <cell r="O8396" t="str">
            <v>[No Vendor]</v>
          </cell>
        </row>
        <row r="8397">
          <cell r="D8397">
            <v>0.27</v>
          </cell>
          <cell r="H8397">
            <v>45778</v>
          </cell>
          <cell r="I8397" t="str">
            <v>6450 - Bank &amp; Other Fees</v>
          </cell>
          <cell r="J8397">
            <v>0</v>
          </cell>
          <cell r="K8397" t="str">
            <v>Administration</v>
          </cell>
          <cell r="L8397" t="str">
            <v>Professional Service</v>
          </cell>
          <cell r="N8397" t="str">
            <v>SG&amp;A</v>
          </cell>
          <cell r="O8397" t="str">
            <v>[No Vendor]</v>
          </cell>
        </row>
        <row r="8398">
          <cell r="D8398">
            <v>0.3</v>
          </cell>
          <cell r="H8398">
            <v>45778</v>
          </cell>
          <cell r="I8398" t="str">
            <v>6450 - Bank &amp; Other Fees</v>
          </cell>
          <cell r="J8398">
            <v>0</v>
          </cell>
          <cell r="K8398" t="str">
            <v>Administration</v>
          </cell>
          <cell r="L8398" t="str">
            <v>Professional Service</v>
          </cell>
          <cell r="N8398" t="str">
            <v>SG&amp;A</v>
          </cell>
          <cell r="O8398" t="str">
            <v>[No Vendor]</v>
          </cell>
        </row>
        <row r="8399">
          <cell r="D8399">
            <v>0.39</v>
          </cell>
          <cell r="H8399">
            <v>45778</v>
          </cell>
          <cell r="I8399" t="str">
            <v>6450 - Bank &amp; Other Fees</v>
          </cell>
          <cell r="J8399">
            <v>0</v>
          </cell>
          <cell r="K8399" t="str">
            <v>Administration</v>
          </cell>
          <cell r="L8399" t="str">
            <v>Professional Service</v>
          </cell>
          <cell r="N8399" t="str">
            <v>SG&amp;A</v>
          </cell>
          <cell r="O8399" t="str">
            <v>[No Vendor]</v>
          </cell>
        </row>
        <row r="8400">
          <cell r="D8400">
            <v>0.22</v>
          </cell>
          <cell r="H8400">
            <v>45778</v>
          </cell>
          <cell r="I8400" t="str">
            <v>6450 - Bank &amp; Other Fees</v>
          </cell>
          <cell r="J8400">
            <v>0</v>
          </cell>
          <cell r="K8400" t="str">
            <v>Administration</v>
          </cell>
          <cell r="L8400" t="str">
            <v>Professional Service</v>
          </cell>
          <cell r="N8400" t="str">
            <v>SG&amp;A</v>
          </cell>
          <cell r="O8400" t="str">
            <v>[No Vendor]</v>
          </cell>
        </row>
        <row r="8401">
          <cell r="D8401">
            <v>119.52</v>
          </cell>
          <cell r="H8401">
            <v>45778</v>
          </cell>
          <cell r="I8401" t="str">
            <v>6125 - Transportation and Fuel</v>
          </cell>
          <cell r="J8401">
            <v>0</v>
          </cell>
          <cell r="K8401" t="str">
            <v>Administration</v>
          </cell>
          <cell r="L8401" t="str">
            <v>T&amp;E</v>
          </cell>
          <cell r="N8401" t="str">
            <v>SG&amp;A</v>
          </cell>
          <cell r="O8401" t="str">
            <v>[No Vendor]</v>
          </cell>
        </row>
        <row r="8402">
          <cell r="D8402">
            <v>62.57</v>
          </cell>
          <cell r="H8402">
            <v>45778</v>
          </cell>
          <cell r="I8402" t="str">
            <v>6125 - Transportation and Fuel</v>
          </cell>
          <cell r="J8402">
            <v>0</v>
          </cell>
          <cell r="K8402" t="str">
            <v>Administration</v>
          </cell>
          <cell r="L8402" t="str">
            <v>T&amp;E</v>
          </cell>
          <cell r="N8402" t="str">
            <v>SG&amp;A</v>
          </cell>
          <cell r="O8402" t="str">
            <v>[No Vendor]</v>
          </cell>
        </row>
        <row r="8403">
          <cell r="D8403">
            <v>53.6</v>
          </cell>
          <cell r="H8403">
            <v>45778</v>
          </cell>
          <cell r="I8403" t="str">
            <v>6125 - Transportation and Fuel</v>
          </cell>
          <cell r="J8403">
            <v>0</v>
          </cell>
          <cell r="K8403" t="str">
            <v>Administration</v>
          </cell>
          <cell r="L8403" t="str">
            <v>T&amp;E</v>
          </cell>
          <cell r="N8403" t="str">
            <v>SG&amp;A</v>
          </cell>
          <cell r="O8403" t="str">
            <v>[No Vendor]</v>
          </cell>
        </row>
        <row r="8404">
          <cell r="D8404">
            <v>75.989999999999995</v>
          </cell>
          <cell r="H8404">
            <v>45778</v>
          </cell>
          <cell r="I8404" t="str">
            <v>6125 - Transportation and Fuel</v>
          </cell>
          <cell r="J8404">
            <v>0</v>
          </cell>
          <cell r="K8404" t="str">
            <v>Administration</v>
          </cell>
          <cell r="L8404" t="str">
            <v>T&amp;E</v>
          </cell>
          <cell r="N8404" t="str">
            <v>SG&amp;A</v>
          </cell>
          <cell r="O8404" t="str">
            <v>[No Vendor]</v>
          </cell>
        </row>
        <row r="8405">
          <cell r="D8405">
            <v>48.3</v>
          </cell>
          <cell r="H8405">
            <v>45778</v>
          </cell>
          <cell r="I8405" t="str">
            <v>6115 - Airfare</v>
          </cell>
          <cell r="J8405">
            <v>0</v>
          </cell>
          <cell r="K8405" t="str">
            <v>Administration</v>
          </cell>
          <cell r="L8405" t="str">
            <v>T&amp;E</v>
          </cell>
          <cell r="N8405" t="str">
            <v>SG&amp;A</v>
          </cell>
          <cell r="O8405" t="str">
            <v>[No Vendor]</v>
          </cell>
        </row>
        <row r="8406">
          <cell r="D8406">
            <v>200</v>
          </cell>
          <cell r="H8406">
            <v>45778</v>
          </cell>
          <cell r="I8406" t="str">
            <v>6105 - Meals</v>
          </cell>
          <cell r="J8406" t="str">
            <v>Ecommerce (US)</v>
          </cell>
          <cell r="K8406" t="str">
            <v>Ecommerce</v>
          </cell>
          <cell r="L8406" t="str">
            <v>T&amp;E</v>
          </cell>
          <cell r="N8406" t="str">
            <v>SG&amp;A</v>
          </cell>
          <cell r="O8406" t="str">
            <v>[No Vendor]</v>
          </cell>
        </row>
        <row r="8407">
          <cell r="D8407">
            <v>31.33</v>
          </cell>
          <cell r="H8407">
            <v>45778</v>
          </cell>
          <cell r="I8407" t="str">
            <v>6105 - Meals</v>
          </cell>
          <cell r="J8407">
            <v>0</v>
          </cell>
          <cell r="K8407" t="str">
            <v>Administration</v>
          </cell>
          <cell r="L8407" t="str">
            <v>T&amp;E</v>
          </cell>
          <cell r="N8407" t="str">
            <v>SG&amp;A</v>
          </cell>
          <cell r="O8407" t="str">
            <v>[No Vendor]</v>
          </cell>
        </row>
        <row r="8408">
          <cell r="D8408">
            <v>14.24</v>
          </cell>
          <cell r="H8408">
            <v>45778</v>
          </cell>
          <cell r="I8408" t="str">
            <v>6105 - Meals</v>
          </cell>
          <cell r="J8408">
            <v>0</v>
          </cell>
          <cell r="K8408" t="str">
            <v>Administration</v>
          </cell>
          <cell r="L8408" t="str">
            <v>T&amp;E</v>
          </cell>
          <cell r="N8408" t="str">
            <v>SG&amp;A</v>
          </cell>
          <cell r="O8408" t="str">
            <v>[No Vendor]</v>
          </cell>
        </row>
        <row r="8409">
          <cell r="D8409">
            <v>10.1</v>
          </cell>
          <cell r="H8409">
            <v>45778</v>
          </cell>
          <cell r="I8409" t="str">
            <v>6105 - Meals</v>
          </cell>
          <cell r="J8409">
            <v>0</v>
          </cell>
          <cell r="K8409" t="str">
            <v>Administration</v>
          </cell>
          <cell r="L8409" t="str">
            <v>T&amp;E</v>
          </cell>
          <cell r="N8409" t="str">
            <v>SG&amp;A</v>
          </cell>
          <cell r="O8409" t="str">
            <v>[No Vendor]</v>
          </cell>
        </row>
        <row r="8410">
          <cell r="D8410">
            <v>18.239999999999998</v>
          </cell>
          <cell r="H8410">
            <v>45778</v>
          </cell>
          <cell r="I8410" t="str">
            <v>6105 - Meals</v>
          </cell>
          <cell r="J8410">
            <v>0</v>
          </cell>
          <cell r="K8410" t="str">
            <v>Administration</v>
          </cell>
          <cell r="L8410" t="str">
            <v>T&amp;E</v>
          </cell>
          <cell r="N8410" t="str">
            <v>SG&amp;A</v>
          </cell>
          <cell r="O8410" t="str">
            <v>[No Vendor]</v>
          </cell>
        </row>
        <row r="8411">
          <cell r="D8411">
            <v>19.760000000000002</v>
          </cell>
          <cell r="H8411">
            <v>45778</v>
          </cell>
          <cell r="I8411" t="str">
            <v>6105 - Meals</v>
          </cell>
          <cell r="J8411">
            <v>0</v>
          </cell>
          <cell r="K8411" t="str">
            <v>Administration</v>
          </cell>
          <cell r="L8411" t="str">
            <v>T&amp;E</v>
          </cell>
          <cell r="N8411" t="str">
            <v>SG&amp;A</v>
          </cell>
          <cell r="O8411" t="str">
            <v>[No Vendor]</v>
          </cell>
        </row>
        <row r="8412">
          <cell r="D8412">
            <v>26.25</v>
          </cell>
          <cell r="H8412">
            <v>45778</v>
          </cell>
          <cell r="I8412" t="str">
            <v>6105 - Meals</v>
          </cell>
          <cell r="J8412">
            <v>0</v>
          </cell>
          <cell r="K8412" t="str">
            <v>Administration</v>
          </cell>
          <cell r="L8412" t="str">
            <v>T&amp;E</v>
          </cell>
          <cell r="N8412" t="str">
            <v>SG&amp;A</v>
          </cell>
          <cell r="O8412" t="str">
            <v>[No Vendor]</v>
          </cell>
        </row>
        <row r="8413">
          <cell r="D8413">
            <v>14.9</v>
          </cell>
          <cell r="H8413">
            <v>45778</v>
          </cell>
          <cell r="I8413" t="str">
            <v>6105 - Meals</v>
          </cell>
          <cell r="J8413">
            <v>0</v>
          </cell>
          <cell r="K8413" t="str">
            <v>Administration</v>
          </cell>
          <cell r="L8413" t="str">
            <v>T&amp;E</v>
          </cell>
          <cell r="N8413" t="str">
            <v>SG&amp;A</v>
          </cell>
          <cell r="O8413" t="str">
            <v>[No Vendor]</v>
          </cell>
        </row>
        <row r="8414">
          <cell r="D8414">
            <v>12.95</v>
          </cell>
          <cell r="H8414">
            <v>45778</v>
          </cell>
          <cell r="I8414" t="str">
            <v>6105 - Meals</v>
          </cell>
          <cell r="J8414">
            <v>0</v>
          </cell>
          <cell r="K8414" t="str">
            <v>Administration</v>
          </cell>
          <cell r="L8414" t="str">
            <v>T&amp;E</v>
          </cell>
          <cell r="N8414" t="str">
            <v>SG&amp;A</v>
          </cell>
          <cell r="O8414" t="str">
            <v>[No Vendor]</v>
          </cell>
        </row>
        <row r="8415">
          <cell r="D8415">
            <v>21.26</v>
          </cell>
          <cell r="H8415">
            <v>45778</v>
          </cell>
          <cell r="I8415" t="str">
            <v>6105 - Meals</v>
          </cell>
          <cell r="J8415">
            <v>0</v>
          </cell>
          <cell r="K8415" t="str">
            <v>Administration</v>
          </cell>
          <cell r="L8415" t="str">
            <v>T&amp;E</v>
          </cell>
          <cell r="N8415" t="str">
            <v>SG&amp;A</v>
          </cell>
          <cell r="O8415" t="str">
            <v>[No Vendor]</v>
          </cell>
        </row>
        <row r="8416">
          <cell r="D8416">
            <v>31.03</v>
          </cell>
          <cell r="H8416">
            <v>45778</v>
          </cell>
          <cell r="I8416" t="str">
            <v>6375 - Freight Expenses</v>
          </cell>
          <cell r="J8416">
            <v>0</v>
          </cell>
          <cell r="K8416" t="str">
            <v>Production</v>
          </cell>
          <cell r="L8416" t="str">
            <v>Freight</v>
          </cell>
          <cell r="N8416" t="str">
            <v>Direct Costs</v>
          </cell>
          <cell r="O8416" t="str">
            <v>DHL Express - USA</v>
          </cell>
        </row>
        <row r="8417">
          <cell r="D8417">
            <v>25369.58</v>
          </cell>
          <cell r="H8417">
            <v>45778</v>
          </cell>
          <cell r="I8417" t="str">
            <v>6005 - Salaries</v>
          </cell>
          <cell r="J8417">
            <v>0</v>
          </cell>
          <cell r="K8417" t="str">
            <v>Administration</v>
          </cell>
          <cell r="L8417" t="str">
            <v>HQ Salaries</v>
          </cell>
          <cell r="N8417" t="str">
            <v>SG&amp;A</v>
          </cell>
          <cell r="O8417" t="str">
            <v>[No Vendor]</v>
          </cell>
        </row>
        <row r="8418">
          <cell r="D8418">
            <v>0</v>
          </cell>
          <cell r="H8418">
            <v>45778</v>
          </cell>
          <cell r="I8418" t="str">
            <v>6205 - Contractors</v>
          </cell>
          <cell r="J8418">
            <v>0</v>
          </cell>
          <cell r="K8418" t="str">
            <v>Brand Marketing</v>
          </cell>
          <cell r="L8418" t="str">
            <v>HQ Salaries</v>
          </cell>
          <cell r="N8418" t="str">
            <v>SG&amp;A</v>
          </cell>
          <cell r="O8418" t="str">
            <v>[No Vendor]</v>
          </cell>
        </row>
        <row r="8419">
          <cell r="D8419">
            <v>20046.2</v>
          </cell>
          <cell r="H8419">
            <v>45778</v>
          </cell>
          <cell r="I8419" t="str">
            <v>6205 - Contractors</v>
          </cell>
          <cell r="J8419" t="str">
            <v>Ecommerce (US)</v>
          </cell>
          <cell r="K8419" t="str">
            <v>Ecommerce</v>
          </cell>
          <cell r="L8419" t="str">
            <v>HQ Salaries</v>
          </cell>
          <cell r="N8419" t="str">
            <v>SG&amp;A</v>
          </cell>
          <cell r="O8419" t="str">
            <v>[No Vendor]</v>
          </cell>
        </row>
        <row r="8420">
          <cell r="D8420">
            <v>0</v>
          </cell>
          <cell r="H8420">
            <v>45778</v>
          </cell>
          <cell r="I8420" t="str">
            <v>6205 - Contractors</v>
          </cell>
          <cell r="J8420">
            <v>0</v>
          </cell>
          <cell r="K8420" t="str">
            <v>Design</v>
          </cell>
          <cell r="L8420" t="str">
            <v>HQ Salaries</v>
          </cell>
          <cell r="N8420" t="str">
            <v>SG&amp;A</v>
          </cell>
          <cell r="O8420" t="str">
            <v>[No Vendor]</v>
          </cell>
        </row>
        <row r="8421">
          <cell r="D8421">
            <v>1623</v>
          </cell>
          <cell r="H8421">
            <v>45778</v>
          </cell>
          <cell r="I8421" t="str">
            <v>6020 - Bonus</v>
          </cell>
          <cell r="J8421">
            <v>0</v>
          </cell>
          <cell r="K8421" t="str">
            <v>Merchandising</v>
          </cell>
          <cell r="L8421" t="str">
            <v>HQ Salaries</v>
          </cell>
          <cell r="N8421" t="str">
            <v>SG&amp;A</v>
          </cell>
          <cell r="O8421" t="str">
            <v>[No Vendor]</v>
          </cell>
        </row>
        <row r="8422">
          <cell r="D8422">
            <v>2700</v>
          </cell>
          <cell r="H8422">
            <v>45778</v>
          </cell>
          <cell r="I8422" t="str">
            <v>6020 - Bonus</v>
          </cell>
          <cell r="J8422" t="str">
            <v>Wholesale</v>
          </cell>
          <cell r="K8422" t="str">
            <v>Wholesale</v>
          </cell>
          <cell r="L8422" t="str">
            <v>HQ Salaries</v>
          </cell>
          <cell r="N8422" t="str">
            <v>SG&amp;A</v>
          </cell>
          <cell r="O8422" t="str">
            <v>[No Vendor]</v>
          </cell>
        </row>
        <row r="8423">
          <cell r="D8423">
            <v>6453</v>
          </cell>
          <cell r="H8423">
            <v>45778</v>
          </cell>
          <cell r="I8423" t="str">
            <v>6020 - Bonus</v>
          </cell>
          <cell r="J8423">
            <v>0</v>
          </cell>
          <cell r="K8423" t="str">
            <v>Production</v>
          </cell>
          <cell r="L8423" t="str">
            <v>HQ Salaries</v>
          </cell>
          <cell r="N8423" t="str">
            <v>SG&amp;A</v>
          </cell>
          <cell r="O8423" t="str">
            <v>[No Vendor]</v>
          </cell>
        </row>
        <row r="8424">
          <cell r="D8424">
            <v>12659</v>
          </cell>
          <cell r="H8424">
            <v>45778</v>
          </cell>
          <cell r="I8424" t="str">
            <v>6020 - Bonus</v>
          </cell>
          <cell r="J8424">
            <v>0</v>
          </cell>
          <cell r="K8424" t="str">
            <v>Executive</v>
          </cell>
          <cell r="L8424" t="str">
            <v>HQ Salaries</v>
          </cell>
          <cell r="N8424" t="str">
            <v>SG&amp;A</v>
          </cell>
          <cell r="O8424" t="str">
            <v>[No Vendor]</v>
          </cell>
        </row>
        <row r="8425">
          <cell r="D8425">
            <v>7959</v>
          </cell>
          <cell r="H8425">
            <v>45778</v>
          </cell>
          <cell r="I8425" t="str">
            <v>6020 - Bonus</v>
          </cell>
          <cell r="J8425" t="str">
            <v>Ecommerce (US)</v>
          </cell>
          <cell r="K8425" t="str">
            <v>Ecommerce</v>
          </cell>
          <cell r="L8425" t="str">
            <v>HQ Salaries</v>
          </cell>
          <cell r="N8425" t="str">
            <v>SG&amp;A</v>
          </cell>
          <cell r="O8425" t="str">
            <v>[No Vendor]</v>
          </cell>
        </row>
        <row r="8426">
          <cell r="D8426">
            <v>19502</v>
          </cell>
          <cell r="H8426">
            <v>45778</v>
          </cell>
          <cell r="I8426" t="str">
            <v>6020 - Bonus</v>
          </cell>
          <cell r="J8426">
            <v>0</v>
          </cell>
          <cell r="K8426" t="str">
            <v>Design</v>
          </cell>
          <cell r="L8426" t="str">
            <v>HQ Salaries</v>
          </cell>
          <cell r="N8426" t="str">
            <v>SG&amp;A</v>
          </cell>
          <cell r="O8426" t="str">
            <v>[No Vendor]</v>
          </cell>
        </row>
        <row r="8427">
          <cell r="D8427">
            <v>7725</v>
          </cell>
          <cell r="H8427">
            <v>45778</v>
          </cell>
          <cell r="I8427" t="str">
            <v>6020 - Bonus</v>
          </cell>
          <cell r="J8427">
            <v>0</v>
          </cell>
          <cell r="K8427" t="str">
            <v>Administration</v>
          </cell>
          <cell r="L8427" t="str">
            <v>HQ Salaries</v>
          </cell>
          <cell r="N8427" t="str">
            <v>SG&amp;A</v>
          </cell>
          <cell r="O8427" t="str">
            <v>[No Vendor]</v>
          </cell>
        </row>
        <row r="8428">
          <cell r="D8428">
            <v>-38351.589999999997</v>
          </cell>
          <cell r="H8428">
            <v>45778</v>
          </cell>
          <cell r="I8428" t="str">
            <v>6020 - Bonus</v>
          </cell>
          <cell r="J8428">
            <v>0</v>
          </cell>
          <cell r="K8428" t="str">
            <v>Executive</v>
          </cell>
          <cell r="L8428" t="str">
            <v>HQ Salaries</v>
          </cell>
          <cell r="N8428" t="str">
            <v>SG&amp;A</v>
          </cell>
          <cell r="O8428" t="str">
            <v>[No Vendor]</v>
          </cell>
        </row>
        <row r="8429">
          <cell r="D8429">
            <v>-34593.410000000003</v>
          </cell>
          <cell r="H8429">
            <v>45778</v>
          </cell>
          <cell r="I8429" t="str">
            <v>6020 - Bonus</v>
          </cell>
          <cell r="J8429" t="str">
            <v>Wholesale</v>
          </cell>
          <cell r="K8429" t="str">
            <v>Wholesale</v>
          </cell>
          <cell r="L8429" t="str">
            <v>HQ Salaries</v>
          </cell>
          <cell r="N8429" t="str">
            <v>SG&amp;A</v>
          </cell>
          <cell r="O8429" t="str">
            <v>[No Vendor]</v>
          </cell>
        </row>
        <row r="8430">
          <cell r="D8430">
            <v>-57048.76</v>
          </cell>
          <cell r="H8430">
            <v>45778</v>
          </cell>
          <cell r="I8430" t="str">
            <v>6020 - Bonus</v>
          </cell>
          <cell r="J8430">
            <v>0</v>
          </cell>
          <cell r="K8430" t="str">
            <v>Production</v>
          </cell>
          <cell r="L8430" t="str">
            <v>HQ Salaries</v>
          </cell>
          <cell r="N8430" t="str">
            <v>SG&amp;A</v>
          </cell>
          <cell r="O8430" t="str">
            <v>[No Vendor]</v>
          </cell>
        </row>
        <row r="8431">
          <cell r="D8431">
            <v>-12656.25</v>
          </cell>
          <cell r="H8431">
            <v>45778</v>
          </cell>
          <cell r="I8431" t="str">
            <v>6020 - Bonus</v>
          </cell>
          <cell r="J8431">
            <v>0</v>
          </cell>
          <cell r="K8431" t="str">
            <v>Brand Marketing</v>
          </cell>
          <cell r="L8431" t="str">
            <v>HQ Salaries</v>
          </cell>
          <cell r="N8431" t="str">
            <v>SG&amp;A</v>
          </cell>
          <cell r="O8431" t="str">
            <v>[No Vendor]</v>
          </cell>
        </row>
        <row r="8432">
          <cell r="D8432">
            <v>-75545.53</v>
          </cell>
          <cell r="H8432">
            <v>45778</v>
          </cell>
          <cell r="I8432" t="str">
            <v>6020 - Bonus</v>
          </cell>
          <cell r="J8432" t="str">
            <v>Ecommerce (US)</v>
          </cell>
          <cell r="K8432" t="str">
            <v>Ecommerce</v>
          </cell>
          <cell r="L8432" t="str">
            <v>HQ Salaries</v>
          </cell>
          <cell r="N8432" t="str">
            <v>SG&amp;A</v>
          </cell>
          <cell r="O8432" t="str">
            <v>[No Vendor]</v>
          </cell>
        </row>
        <row r="8433">
          <cell r="D8433">
            <v>-52493.9</v>
          </cell>
          <cell r="H8433">
            <v>45778</v>
          </cell>
          <cell r="I8433" t="str">
            <v>6020 - Bonus</v>
          </cell>
          <cell r="J8433">
            <v>0</v>
          </cell>
          <cell r="K8433" t="str">
            <v>Design</v>
          </cell>
          <cell r="L8433" t="str">
            <v>HQ Salaries</v>
          </cell>
          <cell r="N8433" t="str">
            <v>SG&amp;A</v>
          </cell>
          <cell r="O8433" t="str">
            <v>[No Vendor]</v>
          </cell>
        </row>
        <row r="8434">
          <cell r="D8434">
            <v>-11306.59</v>
          </cell>
          <cell r="H8434">
            <v>45778</v>
          </cell>
          <cell r="I8434" t="str">
            <v>6020 - Bonus</v>
          </cell>
          <cell r="J8434">
            <v>0</v>
          </cell>
          <cell r="K8434" t="str">
            <v>Merchandising</v>
          </cell>
          <cell r="L8434" t="str">
            <v>HQ Salaries</v>
          </cell>
          <cell r="N8434" t="str">
            <v>SG&amp;A</v>
          </cell>
          <cell r="O8434" t="str">
            <v>[No Vendor]</v>
          </cell>
        </row>
        <row r="8435">
          <cell r="D8435">
            <v>43058.53</v>
          </cell>
          <cell r="H8435">
            <v>45778</v>
          </cell>
          <cell r="I8435" t="str">
            <v>6020 - Bonus</v>
          </cell>
          <cell r="J8435">
            <v>0</v>
          </cell>
          <cell r="K8435" t="str">
            <v>Administration</v>
          </cell>
          <cell r="L8435" t="str">
            <v>HQ Salaries</v>
          </cell>
          <cell r="N8435" t="str">
            <v>SG&amp;A</v>
          </cell>
          <cell r="O8435" t="str">
            <v>[No Vendor]</v>
          </cell>
        </row>
        <row r="8436">
          <cell r="D8436">
            <v>-46.15</v>
          </cell>
          <cell r="H8436">
            <v>45778</v>
          </cell>
          <cell r="I8436" t="str">
            <v>6385 - Insurance</v>
          </cell>
          <cell r="J8436">
            <v>0</v>
          </cell>
          <cell r="K8436" t="str">
            <v>Administration</v>
          </cell>
          <cell r="L8436" t="str">
            <v>Professional Service</v>
          </cell>
          <cell r="N8436" t="str">
            <v>SG&amp;A</v>
          </cell>
          <cell r="O8436" t="str">
            <v>[No Vendor]</v>
          </cell>
        </row>
        <row r="8437">
          <cell r="D8437">
            <v>-34.81</v>
          </cell>
          <cell r="H8437">
            <v>45778</v>
          </cell>
          <cell r="I8437" t="str">
            <v>6385 - Insurance</v>
          </cell>
          <cell r="J8437">
            <v>0</v>
          </cell>
          <cell r="K8437" t="str">
            <v>Administration</v>
          </cell>
          <cell r="L8437" t="str">
            <v>Professional Service</v>
          </cell>
          <cell r="N8437" t="str">
            <v>SG&amp;A</v>
          </cell>
          <cell r="O8437" t="str">
            <v>[No Vendor]</v>
          </cell>
        </row>
        <row r="8438">
          <cell r="D8438">
            <v>-111.14</v>
          </cell>
          <cell r="H8438">
            <v>45778</v>
          </cell>
          <cell r="I8438" t="str">
            <v>6385 - Insurance</v>
          </cell>
          <cell r="J8438">
            <v>0</v>
          </cell>
          <cell r="K8438" t="str">
            <v>Administration</v>
          </cell>
          <cell r="L8438" t="str">
            <v>Professional Service</v>
          </cell>
          <cell r="N8438" t="str">
            <v>SG&amp;A</v>
          </cell>
          <cell r="O8438" t="str">
            <v>[No Vendor]</v>
          </cell>
        </row>
        <row r="8439">
          <cell r="D8439">
            <v>-6.8</v>
          </cell>
          <cell r="H8439">
            <v>45778</v>
          </cell>
          <cell r="I8439" t="str">
            <v>6385 - Insurance</v>
          </cell>
          <cell r="J8439">
            <v>0</v>
          </cell>
          <cell r="K8439" t="str">
            <v>Administration</v>
          </cell>
          <cell r="L8439" t="str">
            <v>Professional Service</v>
          </cell>
          <cell r="N8439" t="str">
            <v>SG&amp;A</v>
          </cell>
          <cell r="O8439" t="str">
            <v>[No Vendor]</v>
          </cell>
        </row>
        <row r="8440">
          <cell r="D8440">
            <v>-2.4</v>
          </cell>
          <cell r="H8440">
            <v>45778</v>
          </cell>
          <cell r="I8440" t="str">
            <v>6385 - Insurance</v>
          </cell>
          <cell r="J8440">
            <v>0</v>
          </cell>
          <cell r="K8440" t="str">
            <v>Administration</v>
          </cell>
          <cell r="L8440" t="str">
            <v>Professional Service</v>
          </cell>
          <cell r="N8440" t="str">
            <v>SG&amp;A</v>
          </cell>
          <cell r="O8440" t="str">
            <v>[No Vendor]</v>
          </cell>
        </row>
        <row r="8441">
          <cell r="D8441">
            <v>-125.68</v>
          </cell>
          <cell r="H8441">
            <v>45778</v>
          </cell>
          <cell r="I8441" t="str">
            <v>6385 - Insurance</v>
          </cell>
          <cell r="J8441">
            <v>0</v>
          </cell>
          <cell r="K8441" t="str">
            <v>Administration</v>
          </cell>
          <cell r="L8441" t="str">
            <v>Professional Service</v>
          </cell>
          <cell r="N8441" t="str">
            <v>SG&amp;A</v>
          </cell>
          <cell r="O8441" t="str">
            <v>[No Vendor]</v>
          </cell>
        </row>
        <row r="8442">
          <cell r="D8442">
            <v>-49.7</v>
          </cell>
          <cell r="H8442">
            <v>45778</v>
          </cell>
          <cell r="I8442" t="str">
            <v>6385 - Insurance</v>
          </cell>
          <cell r="J8442">
            <v>0</v>
          </cell>
          <cell r="K8442" t="str">
            <v>Administration</v>
          </cell>
          <cell r="L8442" t="str">
            <v>Professional Service</v>
          </cell>
          <cell r="N8442" t="str">
            <v>SG&amp;A</v>
          </cell>
          <cell r="O8442" t="str">
            <v>[No Vendor]</v>
          </cell>
        </row>
        <row r="8443">
          <cell r="D8443">
            <v>-192.65</v>
          </cell>
          <cell r="H8443">
            <v>45778</v>
          </cell>
          <cell r="I8443" t="str">
            <v>6385 - Insurance</v>
          </cell>
          <cell r="J8443">
            <v>0</v>
          </cell>
          <cell r="K8443" t="str">
            <v>Administration</v>
          </cell>
          <cell r="L8443" t="str">
            <v>Professional Service</v>
          </cell>
          <cell r="N8443" t="str">
            <v>SG&amp;A</v>
          </cell>
          <cell r="O8443" t="str">
            <v>[No Vendor]</v>
          </cell>
        </row>
        <row r="8444">
          <cell r="D8444">
            <v>1181.5</v>
          </cell>
          <cell r="H8444">
            <v>45778</v>
          </cell>
          <cell r="I8444" t="str">
            <v>6055 - Employer Social Security Tax Withheld</v>
          </cell>
          <cell r="J8444">
            <v>0</v>
          </cell>
          <cell r="K8444" t="str">
            <v>Merchandising</v>
          </cell>
          <cell r="L8444" t="str">
            <v>HQ Salaries</v>
          </cell>
          <cell r="N8444" t="str">
            <v>SG&amp;A</v>
          </cell>
          <cell r="O8444" t="str">
            <v>[No Vendor]</v>
          </cell>
        </row>
        <row r="8445">
          <cell r="D8445">
            <v>906.14</v>
          </cell>
          <cell r="H8445">
            <v>45778</v>
          </cell>
          <cell r="I8445" t="str">
            <v>6055 - Employer Social Security Tax Withheld</v>
          </cell>
          <cell r="J8445" t="str">
            <v>Wholesale</v>
          </cell>
          <cell r="K8445" t="str">
            <v>Wholesale</v>
          </cell>
          <cell r="L8445" t="str">
            <v>HQ Salaries</v>
          </cell>
          <cell r="N8445" t="str">
            <v>SG&amp;A</v>
          </cell>
          <cell r="O8445" t="str">
            <v>[No Vendor]</v>
          </cell>
        </row>
        <row r="8446">
          <cell r="D8446">
            <v>2870.52</v>
          </cell>
          <cell r="H8446">
            <v>45778</v>
          </cell>
          <cell r="I8446" t="str">
            <v>6055 - Employer Social Security Tax Withheld</v>
          </cell>
          <cell r="J8446">
            <v>0</v>
          </cell>
          <cell r="K8446" t="str">
            <v>Production</v>
          </cell>
          <cell r="L8446" t="str">
            <v>HQ Salaries</v>
          </cell>
          <cell r="N8446" t="str">
            <v>SG&amp;A</v>
          </cell>
          <cell r="O8446" t="str">
            <v>[No Vendor]</v>
          </cell>
        </row>
        <row r="8447">
          <cell r="D8447">
            <v>216.58</v>
          </cell>
          <cell r="H8447">
            <v>45778</v>
          </cell>
          <cell r="I8447" t="str">
            <v>6055 - Employer Social Security Tax Withheld</v>
          </cell>
          <cell r="J8447">
            <v>0</v>
          </cell>
          <cell r="K8447" t="str">
            <v>Brand Marketing</v>
          </cell>
          <cell r="L8447" t="str">
            <v>HQ Salaries</v>
          </cell>
          <cell r="N8447" t="str">
            <v>SG&amp;A</v>
          </cell>
          <cell r="O8447" t="str">
            <v>[No Vendor]</v>
          </cell>
        </row>
        <row r="8448">
          <cell r="D8448">
            <v>2677.98</v>
          </cell>
          <cell r="H8448">
            <v>45778</v>
          </cell>
          <cell r="I8448" t="str">
            <v>6055 - Employer Social Security Tax Withheld</v>
          </cell>
          <cell r="J8448">
            <v>0</v>
          </cell>
          <cell r="K8448" t="str">
            <v>Executive</v>
          </cell>
          <cell r="L8448" t="str">
            <v>HQ Salaries</v>
          </cell>
          <cell r="N8448" t="str">
            <v>SG&amp;A</v>
          </cell>
          <cell r="O8448" t="str">
            <v>[No Vendor]</v>
          </cell>
        </row>
        <row r="8449">
          <cell r="D8449">
            <v>4615.28</v>
          </cell>
          <cell r="H8449">
            <v>45778</v>
          </cell>
          <cell r="I8449" t="str">
            <v>6055 - Employer Social Security Tax Withheld</v>
          </cell>
          <cell r="J8449" t="str">
            <v>Ecommerce (US)</v>
          </cell>
          <cell r="K8449" t="str">
            <v>Ecommerce</v>
          </cell>
          <cell r="L8449" t="str">
            <v>HQ Salaries</v>
          </cell>
          <cell r="N8449" t="str">
            <v>SG&amp;A</v>
          </cell>
          <cell r="O8449" t="str">
            <v>[No Vendor]</v>
          </cell>
        </row>
        <row r="8450">
          <cell r="D8450">
            <v>4689.6099999999997</v>
          </cell>
          <cell r="H8450">
            <v>45778</v>
          </cell>
          <cell r="I8450" t="str">
            <v>6055 - Employer Social Security Tax Withheld</v>
          </cell>
          <cell r="J8450">
            <v>0</v>
          </cell>
          <cell r="K8450" t="str">
            <v>Design</v>
          </cell>
          <cell r="L8450" t="str">
            <v>HQ Salaries</v>
          </cell>
          <cell r="N8450" t="str">
            <v>SG&amp;A</v>
          </cell>
          <cell r="O8450" t="str">
            <v>[No Vendor]</v>
          </cell>
        </row>
        <row r="8451">
          <cell r="D8451">
            <v>3010.61</v>
          </cell>
          <cell r="H8451">
            <v>45778</v>
          </cell>
          <cell r="I8451" t="str">
            <v>6055 - Employer Social Security Tax Withheld</v>
          </cell>
          <cell r="J8451">
            <v>0</v>
          </cell>
          <cell r="K8451" t="str">
            <v>Administration</v>
          </cell>
          <cell r="L8451" t="str">
            <v>HQ Salaries</v>
          </cell>
          <cell r="N8451" t="str">
            <v>SG&amp;A</v>
          </cell>
          <cell r="O8451" t="str">
            <v>[No Vendor]</v>
          </cell>
        </row>
        <row r="8452">
          <cell r="D8452">
            <v>-34.9</v>
          </cell>
          <cell r="H8452">
            <v>45778</v>
          </cell>
          <cell r="I8452" t="str">
            <v>6040 - Employer Paid Benefits</v>
          </cell>
          <cell r="J8452">
            <v>0</v>
          </cell>
          <cell r="K8452" t="str">
            <v>Merchandising</v>
          </cell>
          <cell r="L8452" t="str">
            <v>HQ Salaries</v>
          </cell>
          <cell r="N8452" t="str">
            <v>SG&amp;A</v>
          </cell>
          <cell r="O8452" t="str">
            <v>[No Vendor]</v>
          </cell>
        </row>
        <row r="8453">
          <cell r="D8453">
            <v>-34.9</v>
          </cell>
          <cell r="H8453">
            <v>45778</v>
          </cell>
          <cell r="I8453" t="str">
            <v>6040 - Employer Paid Benefits</v>
          </cell>
          <cell r="J8453" t="str">
            <v>Wholesale</v>
          </cell>
          <cell r="K8453" t="str">
            <v>Wholesale</v>
          </cell>
          <cell r="L8453" t="str">
            <v>HQ Salaries</v>
          </cell>
          <cell r="N8453" t="str">
            <v>SG&amp;A</v>
          </cell>
          <cell r="O8453" t="str">
            <v>[No Vendor]</v>
          </cell>
        </row>
        <row r="8454">
          <cell r="D8454">
            <v>-325.14999999999998</v>
          </cell>
          <cell r="H8454">
            <v>45778</v>
          </cell>
          <cell r="I8454" t="str">
            <v>6040 - Employer Paid Benefits</v>
          </cell>
          <cell r="J8454">
            <v>0</v>
          </cell>
          <cell r="K8454" t="str">
            <v>Production</v>
          </cell>
          <cell r="L8454" t="str">
            <v>HQ Salaries</v>
          </cell>
          <cell r="N8454" t="str">
            <v>SG&amp;A</v>
          </cell>
          <cell r="O8454" t="str">
            <v>[No Vendor]</v>
          </cell>
        </row>
        <row r="8455">
          <cell r="D8455">
            <v>-95.82</v>
          </cell>
          <cell r="H8455">
            <v>45778</v>
          </cell>
          <cell r="I8455" t="str">
            <v>6040 - Employer Paid Benefits</v>
          </cell>
          <cell r="J8455">
            <v>0</v>
          </cell>
          <cell r="K8455" t="str">
            <v>Brand Marketing</v>
          </cell>
          <cell r="L8455" t="str">
            <v>HQ Salaries</v>
          </cell>
          <cell r="N8455" t="str">
            <v>SG&amp;A</v>
          </cell>
          <cell r="O8455" t="str">
            <v>[No Vendor]</v>
          </cell>
        </row>
        <row r="8456">
          <cell r="D8456">
            <v>-332.52</v>
          </cell>
          <cell r="H8456">
            <v>45778</v>
          </cell>
          <cell r="I8456" t="str">
            <v>6040 - Employer Paid Benefits</v>
          </cell>
          <cell r="J8456">
            <v>0</v>
          </cell>
          <cell r="K8456" t="str">
            <v>Executive</v>
          </cell>
          <cell r="L8456" t="str">
            <v>HQ Salaries</v>
          </cell>
          <cell r="N8456" t="str">
            <v>SG&amp;A</v>
          </cell>
          <cell r="O8456" t="str">
            <v>[No Vendor]</v>
          </cell>
        </row>
        <row r="8457">
          <cell r="D8457">
            <v>-359.1</v>
          </cell>
          <cell r="H8457">
            <v>45778</v>
          </cell>
          <cell r="I8457" t="str">
            <v>6040 - Employer Paid Benefits</v>
          </cell>
          <cell r="J8457" t="str">
            <v>Ecommerce (US)</v>
          </cell>
          <cell r="K8457" t="str">
            <v>Ecommerce</v>
          </cell>
          <cell r="L8457" t="str">
            <v>HQ Salaries</v>
          </cell>
          <cell r="N8457" t="str">
            <v>SG&amp;A</v>
          </cell>
          <cell r="O8457" t="str">
            <v>[No Vendor]</v>
          </cell>
        </row>
        <row r="8458">
          <cell r="D8458">
            <v>-397.35</v>
          </cell>
          <cell r="H8458">
            <v>45778</v>
          </cell>
          <cell r="I8458" t="str">
            <v>6040 - Employer Paid Benefits</v>
          </cell>
          <cell r="J8458">
            <v>0</v>
          </cell>
          <cell r="K8458" t="str">
            <v>Administration</v>
          </cell>
          <cell r="L8458" t="str">
            <v>HQ Salaries</v>
          </cell>
          <cell r="N8458" t="str">
            <v>SG&amp;A</v>
          </cell>
          <cell r="O8458" t="str">
            <v>[No Vendor]</v>
          </cell>
        </row>
        <row r="8459">
          <cell r="D8459">
            <v>-442.41</v>
          </cell>
          <cell r="H8459">
            <v>45778</v>
          </cell>
          <cell r="I8459" t="str">
            <v>6040 - Employer Paid Benefits</v>
          </cell>
          <cell r="J8459">
            <v>0</v>
          </cell>
          <cell r="K8459" t="str">
            <v>Design</v>
          </cell>
          <cell r="L8459" t="str">
            <v>HQ Salaries</v>
          </cell>
          <cell r="N8459" t="str">
            <v>SG&amp;A</v>
          </cell>
          <cell r="O8459" t="str">
            <v>[No Vendor]</v>
          </cell>
        </row>
        <row r="8460">
          <cell r="D8460">
            <v>9342.33</v>
          </cell>
          <cell r="H8460">
            <v>45778</v>
          </cell>
          <cell r="I8460" t="str">
            <v>6005 - Salaries</v>
          </cell>
          <cell r="J8460">
            <v>0</v>
          </cell>
          <cell r="K8460" t="str">
            <v>Merchandising</v>
          </cell>
          <cell r="L8460" t="str">
            <v>HQ Salaries</v>
          </cell>
          <cell r="N8460" t="str">
            <v>SG&amp;A</v>
          </cell>
          <cell r="O8460" t="str">
            <v>[No Vendor]</v>
          </cell>
        </row>
        <row r="8461">
          <cell r="D8461">
            <v>5653.84</v>
          </cell>
          <cell r="H8461">
            <v>45778</v>
          </cell>
          <cell r="I8461" t="str">
            <v>6005 - Salaries</v>
          </cell>
          <cell r="J8461" t="str">
            <v>Wholesale</v>
          </cell>
          <cell r="K8461" t="str">
            <v>Wholesale</v>
          </cell>
          <cell r="L8461" t="str">
            <v>HQ Salaries</v>
          </cell>
          <cell r="N8461" t="str">
            <v>SG&amp;A</v>
          </cell>
          <cell r="O8461" t="str">
            <v>[No Vendor]</v>
          </cell>
        </row>
        <row r="8462">
          <cell r="D8462">
            <v>20334.189999999999</v>
          </cell>
          <cell r="H8462">
            <v>45778</v>
          </cell>
          <cell r="I8462" t="str">
            <v>6005 - Salaries</v>
          </cell>
          <cell r="J8462">
            <v>0</v>
          </cell>
          <cell r="K8462" t="str">
            <v>Production</v>
          </cell>
          <cell r="L8462" t="str">
            <v>HQ Salaries</v>
          </cell>
          <cell r="N8462" t="str">
            <v>SG&amp;A</v>
          </cell>
          <cell r="O8462" t="str">
            <v>[No Vendor]</v>
          </cell>
        </row>
        <row r="8463">
          <cell r="D8463">
            <v>1442.31</v>
          </cell>
          <cell r="H8463">
            <v>45778</v>
          </cell>
          <cell r="I8463" t="str">
            <v>6005 - Salaries</v>
          </cell>
          <cell r="J8463">
            <v>0</v>
          </cell>
          <cell r="K8463" t="str">
            <v>Brand Marketing</v>
          </cell>
          <cell r="L8463" t="str">
            <v>HQ Salaries</v>
          </cell>
          <cell r="N8463" t="str">
            <v>SG&amp;A</v>
          </cell>
          <cell r="O8463" t="str">
            <v>[No Vendor]</v>
          </cell>
        </row>
        <row r="8464">
          <cell r="D8464">
            <v>12469.22</v>
          </cell>
          <cell r="H8464">
            <v>45778</v>
          </cell>
          <cell r="I8464" t="str">
            <v>6005 - Salaries</v>
          </cell>
          <cell r="J8464">
            <v>0</v>
          </cell>
          <cell r="K8464" t="str">
            <v>Executive</v>
          </cell>
          <cell r="L8464" t="str">
            <v>HQ Salaries</v>
          </cell>
          <cell r="N8464" t="str">
            <v>SG&amp;A</v>
          </cell>
          <cell r="O8464" t="str">
            <v>[No Vendor]</v>
          </cell>
        </row>
        <row r="8465">
          <cell r="D8465">
            <v>33967.410000000003</v>
          </cell>
          <cell r="H8465">
            <v>45778</v>
          </cell>
          <cell r="I8465" t="str">
            <v>6005 - Salaries</v>
          </cell>
          <cell r="J8465" t="str">
            <v>Ecommerce (US)</v>
          </cell>
          <cell r="K8465" t="str">
            <v>Ecommerce</v>
          </cell>
          <cell r="L8465" t="str">
            <v>HQ Salaries</v>
          </cell>
          <cell r="N8465" t="str">
            <v>SG&amp;A</v>
          </cell>
          <cell r="O8465" t="str">
            <v>[No Vendor]</v>
          </cell>
        </row>
        <row r="8466">
          <cell r="D8466">
            <v>27365.47</v>
          </cell>
          <cell r="H8466">
            <v>45778</v>
          </cell>
          <cell r="I8466" t="str">
            <v>6005 - Salaries</v>
          </cell>
          <cell r="J8466">
            <v>0</v>
          </cell>
          <cell r="K8466" t="str">
            <v>Design</v>
          </cell>
          <cell r="L8466" t="str">
            <v>HQ Salaries</v>
          </cell>
          <cell r="N8466" t="str">
            <v>SG&amp;A</v>
          </cell>
          <cell r="O8466" t="str">
            <v>[No Vendor]</v>
          </cell>
        </row>
        <row r="8467">
          <cell r="D8467">
            <v>126.5</v>
          </cell>
          <cell r="H8467">
            <v>45778</v>
          </cell>
          <cell r="I8467" t="str">
            <v>6040 - Employer Paid Benefits</v>
          </cell>
          <cell r="J8467">
            <v>0</v>
          </cell>
          <cell r="K8467" t="str">
            <v>Administration</v>
          </cell>
          <cell r="L8467" t="str">
            <v>HQ Salaries</v>
          </cell>
          <cell r="N8467" t="str">
            <v>SG&amp;A</v>
          </cell>
          <cell r="O8467" t="str">
            <v>Progressive Benefit Solutions LLC</v>
          </cell>
        </row>
        <row r="8468">
          <cell r="D8468">
            <v>3128.24</v>
          </cell>
          <cell r="H8468">
            <v>45778</v>
          </cell>
          <cell r="I8468" t="str">
            <v>6379 - Warehouse Storage</v>
          </cell>
          <cell r="J8468" t="str">
            <v>Wholesale</v>
          </cell>
          <cell r="K8468" t="str">
            <v>Wholesale</v>
          </cell>
          <cell r="L8468" t="str">
            <v>Order Processing</v>
          </cell>
          <cell r="N8468" t="str">
            <v>Direct Costs</v>
          </cell>
          <cell r="O8468" t="str">
            <v>Bergen Logistics Corporation</v>
          </cell>
        </row>
        <row r="8469">
          <cell r="D8469">
            <v>15273.18</v>
          </cell>
          <cell r="H8469">
            <v>45778</v>
          </cell>
          <cell r="I8469" t="str">
            <v>6379 - Warehouse Storage</v>
          </cell>
          <cell r="J8469" t="str">
            <v>Ecommerce (US)</v>
          </cell>
          <cell r="K8469" t="str">
            <v>Ecommerce</v>
          </cell>
          <cell r="L8469" t="str">
            <v>Order Processing</v>
          </cell>
          <cell r="N8469" t="str">
            <v>Direct Costs</v>
          </cell>
          <cell r="O8469" t="str">
            <v>Bergen Logistics Corporation</v>
          </cell>
        </row>
        <row r="8470">
          <cell r="D8470">
            <v>264.86</v>
          </cell>
          <cell r="H8470">
            <v>45778</v>
          </cell>
          <cell r="I8470" t="str">
            <v>6376 - Freight Supplies Other</v>
          </cell>
          <cell r="J8470" t="str">
            <v>Wholesale</v>
          </cell>
          <cell r="K8470" t="str">
            <v>Wholesale</v>
          </cell>
          <cell r="L8470" t="str">
            <v>Order Processing</v>
          </cell>
          <cell r="N8470" t="str">
            <v>Direct Costs</v>
          </cell>
          <cell r="O8470" t="str">
            <v>Bergen Logistics Corporation</v>
          </cell>
        </row>
        <row r="8471">
          <cell r="D8471">
            <v>234.84</v>
          </cell>
          <cell r="H8471">
            <v>45778</v>
          </cell>
          <cell r="I8471" t="str">
            <v>6376 - Freight Supplies Other</v>
          </cell>
          <cell r="J8471" t="str">
            <v>Ecommerce (EU)</v>
          </cell>
          <cell r="K8471" t="str">
            <v>Ecommerce</v>
          </cell>
          <cell r="L8471" t="str">
            <v>Order Processing</v>
          </cell>
          <cell r="N8471" t="str">
            <v>Direct Costs</v>
          </cell>
          <cell r="O8471" t="str">
            <v>Bergen Logistics Corporation</v>
          </cell>
        </row>
        <row r="8472">
          <cell r="D8472">
            <v>3504.08</v>
          </cell>
          <cell r="H8472">
            <v>45778</v>
          </cell>
          <cell r="I8472" t="str">
            <v>6376 - Freight Supplies Other</v>
          </cell>
          <cell r="J8472" t="str">
            <v>Ecommerce (US)</v>
          </cell>
          <cell r="K8472" t="str">
            <v>Ecommerce</v>
          </cell>
          <cell r="L8472" t="str">
            <v>Order Processing</v>
          </cell>
          <cell r="N8472" t="str">
            <v>Direct Costs</v>
          </cell>
          <cell r="O8472" t="str">
            <v>Bergen Logistics Corporation</v>
          </cell>
        </row>
        <row r="8473">
          <cell r="D8473">
            <v>10037.14</v>
          </cell>
          <cell r="H8473">
            <v>45778</v>
          </cell>
          <cell r="I8473" t="str">
            <v>6285 - SEM Brand Marketing</v>
          </cell>
          <cell r="J8473" t="str">
            <v>Ecommerce (US)</v>
          </cell>
          <cell r="K8473" t="str">
            <v>Brand Marketing</v>
          </cell>
          <cell r="L8473" t="str">
            <v>Advertising</v>
          </cell>
          <cell r="N8473" t="str">
            <v>SG&amp;A</v>
          </cell>
          <cell r="O8473" t="str">
            <v>Google</v>
          </cell>
        </row>
        <row r="8474">
          <cell r="D8474">
            <v>813.01</v>
          </cell>
          <cell r="H8474">
            <v>45778</v>
          </cell>
          <cell r="I8474" t="str">
            <v>6285 - SEM Brand Marketing</v>
          </cell>
          <cell r="J8474" t="str">
            <v>Ecommerce (EU)</v>
          </cell>
          <cell r="K8474" t="str">
            <v>Brand Marketing</v>
          </cell>
          <cell r="L8474" t="str">
            <v>Advertising</v>
          </cell>
          <cell r="N8474" t="str">
            <v>SG&amp;A</v>
          </cell>
          <cell r="O8474" t="str">
            <v>Google</v>
          </cell>
        </row>
        <row r="8475">
          <cell r="D8475">
            <v>1819.82</v>
          </cell>
          <cell r="H8475">
            <v>45778</v>
          </cell>
          <cell r="I8475" t="str">
            <v>6377 - Order Processing Expenses (New)</v>
          </cell>
          <cell r="J8475" t="str">
            <v>Wholesale</v>
          </cell>
          <cell r="K8475" t="str">
            <v>Wholesale</v>
          </cell>
          <cell r="L8475" t="str">
            <v>Order Processing</v>
          </cell>
          <cell r="N8475" t="str">
            <v>Direct Costs</v>
          </cell>
          <cell r="O8475" t="str">
            <v>Bergen Logistics Corporation</v>
          </cell>
        </row>
        <row r="8476">
          <cell r="D8476">
            <v>1477.91</v>
          </cell>
          <cell r="H8476">
            <v>45778</v>
          </cell>
          <cell r="I8476" t="str">
            <v>6377 - Order Processing Expenses (New)</v>
          </cell>
          <cell r="J8476" t="str">
            <v>Ecommerce (EU)</v>
          </cell>
          <cell r="K8476" t="str">
            <v>Ecommerce</v>
          </cell>
          <cell r="L8476" t="str">
            <v>Order Processing</v>
          </cell>
          <cell r="N8476" t="str">
            <v>Direct Costs</v>
          </cell>
          <cell r="O8476" t="str">
            <v>Bergen Logistics Corporation</v>
          </cell>
        </row>
        <row r="8477">
          <cell r="D8477">
            <v>28860.94</v>
          </cell>
          <cell r="H8477">
            <v>45778</v>
          </cell>
          <cell r="I8477" t="str">
            <v>6377 - Order Processing Expenses (New)</v>
          </cell>
          <cell r="J8477" t="str">
            <v>Ecommerce (US)</v>
          </cell>
          <cell r="K8477" t="str">
            <v>Ecommerce</v>
          </cell>
          <cell r="L8477" t="str">
            <v>Order Processing</v>
          </cell>
          <cell r="N8477" t="str">
            <v>Direct Costs</v>
          </cell>
          <cell r="O8477" t="str">
            <v>Bergen Logistics Corporation</v>
          </cell>
        </row>
        <row r="8478">
          <cell r="D8478">
            <v>22657.57</v>
          </cell>
          <cell r="H8478">
            <v>45778</v>
          </cell>
          <cell r="I8478" t="str">
            <v>6393 - Software</v>
          </cell>
          <cell r="J8478" t="str">
            <v>Ecommerce (US)</v>
          </cell>
          <cell r="K8478" t="str">
            <v>Ecommerce</v>
          </cell>
          <cell r="L8478" t="str">
            <v>Professional Service</v>
          </cell>
          <cell r="N8478" t="str">
            <v>Direct Costs</v>
          </cell>
          <cell r="O8478" t="str">
            <v>Attentive Mobile Inc.</v>
          </cell>
        </row>
        <row r="8479">
          <cell r="D8479">
            <v>88</v>
          </cell>
          <cell r="H8479">
            <v>45778</v>
          </cell>
          <cell r="I8479" t="str">
            <v>6393 - Software</v>
          </cell>
          <cell r="J8479" t="str">
            <v>Wholesale</v>
          </cell>
          <cell r="K8479" t="str">
            <v>Wholesale</v>
          </cell>
          <cell r="L8479" t="str">
            <v>Professional Service</v>
          </cell>
          <cell r="N8479" t="str">
            <v>Direct Costs</v>
          </cell>
          <cell r="O8479" t="str">
            <v>SPS Commerce</v>
          </cell>
        </row>
        <row r="8480">
          <cell r="D8480">
            <v>88608.9</v>
          </cell>
          <cell r="H8480">
            <v>45778</v>
          </cell>
          <cell r="I8480" t="str">
            <v>6286 - SEM</v>
          </cell>
          <cell r="J8480" t="str">
            <v>Ecommerce (US)</v>
          </cell>
          <cell r="K8480" t="str">
            <v>Ecommerce</v>
          </cell>
          <cell r="L8480" t="str">
            <v>Marketing</v>
          </cell>
          <cell r="N8480" t="str">
            <v>Direct Costs</v>
          </cell>
          <cell r="O8480" t="str">
            <v>Google</v>
          </cell>
        </row>
        <row r="8481">
          <cell r="D8481">
            <v>6942.21</v>
          </cell>
          <cell r="H8481">
            <v>45778</v>
          </cell>
          <cell r="I8481" t="str">
            <v>6286 - SEM</v>
          </cell>
          <cell r="J8481" t="str">
            <v>Ecommerce (EU)</v>
          </cell>
          <cell r="K8481" t="str">
            <v>Ecommerce</v>
          </cell>
          <cell r="L8481" t="str">
            <v>Marketing</v>
          </cell>
          <cell r="N8481" t="str">
            <v>Direct Costs</v>
          </cell>
          <cell r="O8481" t="str">
            <v>Google</v>
          </cell>
        </row>
        <row r="8482">
          <cell r="D8482">
            <v>24823.08</v>
          </cell>
          <cell r="H8482">
            <v>45778</v>
          </cell>
          <cell r="I8482" t="str">
            <v>6286 - SEM</v>
          </cell>
          <cell r="J8482" t="str">
            <v>Ecommerce (EU)</v>
          </cell>
          <cell r="K8482" t="str">
            <v>Ecommerce</v>
          </cell>
          <cell r="L8482" t="str">
            <v>Marketing</v>
          </cell>
          <cell r="N8482" t="str">
            <v>Direct Costs</v>
          </cell>
          <cell r="O8482" t="str">
            <v>Meta Platforms, Inc</v>
          </cell>
        </row>
        <row r="8483">
          <cell r="D8483">
            <v>138471.99</v>
          </cell>
          <cell r="H8483">
            <v>45778</v>
          </cell>
          <cell r="I8483" t="str">
            <v>6286 - SEM</v>
          </cell>
          <cell r="J8483" t="str">
            <v>Ecommerce (US)</v>
          </cell>
          <cell r="K8483" t="str">
            <v>Ecommerce</v>
          </cell>
          <cell r="L8483" t="str">
            <v>Marketing</v>
          </cell>
          <cell r="N8483" t="str">
            <v>Direct Costs</v>
          </cell>
          <cell r="O8483" t="str">
            <v>Meta Platforms, Inc</v>
          </cell>
        </row>
        <row r="8484">
          <cell r="D8484">
            <v>120</v>
          </cell>
          <cell r="H8484">
            <v>45778</v>
          </cell>
          <cell r="I8484" t="str">
            <v>6380 - Legal &amp; Accounting</v>
          </cell>
          <cell r="J8484">
            <v>0</v>
          </cell>
          <cell r="K8484" t="str">
            <v>Administration</v>
          </cell>
          <cell r="L8484" t="str">
            <v>Professional Service</v>
          </cell>
          <cell r="N8484" t="str">
            <v>SG&amp;A</v>
          </cell>
          <cell r="O8484" t="str">
            <v>Greenwald Doherty LLP</v>
          </cell>
        </row>
        <row r="8485">
          <cell r="D8485">
            <v>10318.950000000001</v>
          </cell>
          <cell r="H8485">
            <v>45778</v>
          </cell>
          <cell r="I8485" t="str">
            <v>6380 - Legal &amp; Accounting</v>
          </cell>
          <cell r="J8485">
            <v>0</v>
          </cell>
          <cell r="K8485" t="str">
            <v>Administration</v>
          </cell>
          <cell r="L8485" t="str">
            <v>Professional Service</v>
          </cell>
          <cell r="N8485" t="str">
            <v>SG&amp;A</v>
          </cell>
          <cell r="O8485" t="str">
            <v>The Wave IP Law Firm</v>
          </cell>
        </row>
        <row r="8486">
          <cell r="D8486">
            <v>641.35</v>
          </cell>
          <cell r="H8486">
            <v>45778</v>
          </cell>
          <cell r="I8486" t="str">
            <v>6340 - Miscellaneous Expense</v>
          </cell>
          <cell r="J8486">
            <v>0</v>
          </cell>
          <cell r="K8486" t="str">
            <v>Administration</v>
          </cell>
          <cell r="L8486" t="str">
            <v>Other</v>
          </cell>
          <cell r="N8486" t="str">
            <v>SG&amp;A</v>
          </cell>
          <cell r="O8486" t="str">
            <v>Amazon Capital Services</v>
          </cell>
        </row>
        <row r="8487">
          <cell r="D8487">
            <v>67.06</v>
          </cell>
          <cell r="H8487">
            <v>45778</v>
          </cell>
          <cell r="I8487" t="str">
            <v>6340 - Miscellaneous Expense</v>
          </cell>
          <cell r="J8487">
            <v>0</v>
          </cell>
          <cell r="K8487" t="str">
            <v>Production</v>
          </cell>
          <cell r="L8487" t="str">
            <v>Other</v>
          </cell>
          <cell r="N8487" t="str">
            <v>SG&amp;A</v>
          </cell>
          <cell r="O8487" t="str">
            <v>[No Vendor]</v>
          </cell>
        </row>
        <row r="8488">
          <cell r="D8488">
            <v>843.75</v>
          </cell>
          <cell r="H8488">
            <v>45778</v>
          </cell>
          <cell r="I8488" t="str">
            <v>6300 - Payroll Service Fees</v>
          </cell>
          <cell r="J8488">
            <v>0</v>
          </cell>
          <cell r="K8488" t="str">
            <v>Administration</v>
          </cell>
          <cell r="L8488" t="str">
            <v>Professional Service</v>
          </cell>
          <cell r="N8488" t="str">
            <v>SG&amp;A</v>
          </cell>
          <cell r="O8488" t="str">
            <v>OperationsInc, LLC</v>
          </cell>
        </row>
        <row r="8489">
          <cell r="D8489">
            <v>13981.5</v>
          </cell>
          <cell r="H8489">
            <v>45778</v>
          </cell>
          <cell r="I8489" t="str">
            <v>6225 - Professional Services</v>
          </cell>
          <cell r="J8489" t="str">
            <v>Ecommerce (US)</v>
          </cell>
          <cell r="K8489" t="str">
            <v>Ecommerce</v>
          </cell>
          <cell r="L8489" t="str">
            <v>Professional Service</v>
          </cell>
          <cell r="N8489" t="str">
            <v>Direct Costs</v>
          </cell>
          <cell r="O8489" t="str">
            <v>Rareview, LLC</v>
          </cell>
        </row>
        <row r="8490">
          <cell r="D8490">
            <v>175</v>
          </cell>
          <cell r="H8490">
            <v>45778</v>
          </cell>
          <cell r="I8490" t="str">
            <v>6225 - Professional Services</v>
          </cell>
          <cell r="J8490">
            <v>0</v>
          </cell>
          <cell r="K8490" t="str">
            <v>Administration</v>
          </cell>
          <cell r="L8490" t="str">
            <v>Professional Service</v>
          </cell>
          <cell r="N8490" t="str">
            <v>Direct Costs</v>
          </cell>
          <cell r="O8490" t="str">
            <v>Benefit Resource, LLC</v>
          </cell>
        </row>
        <row r="8491">
          <cell r="D8491">
            <v>40.99</v>
          </cell>
          <cell r="H8491">
            <v>45778</v>
          </cell>
          <cell r="I8491" t="str">
            <v>6125 - Transportation and Fuel</v>
          </cell>
          <cell r="J8491">
            <v>0</v>
          </cell>
          <cell r="K8491" t="str">
            <v>Production</v>
          </cell>
          <cell r="L8491" t="str">
            <v>T&amp;E</v>
          </cell>
          <cell r="N8491" t="str">
            <v>SG&amp;A</v>
          </cell>
          <cell r="O8491" t="str">
            <v>[No Vendor]</v>
          </cell>
        </row>
        <row r="8492">
          <cell r="D8492">
            <v>58</v>
          </cell>
          <cell r="H8492">
            <v>45778</v>
          </cell>
          <cell r="I8492" t="str">
            <v>6125 - Transportation and Fuel</v>
          </cell>
          <cell r="J8492" t="str">
            <v>Ecommerce (US)</v>
          </cell>
          <cell r="K8492" t="str">
            <v>Ecommerce</v>
          </cell>
          <cell r="L8492" t="str">
            <v>T&amp;E</v>
          </cell>
          <cell r="N8492" t="str">
            <v>SG&amp;A</v>
          </cell>
          <cell r="O8492" t="str">
            <v>[No Vendor]</v>
          </cell>
        </row>
        <row r="8493">
          <cell r="D8493">
            <v>450</v>
          </cell>
          <cell r="H8493">
            <v>45778</v>
          </cell>
          <cell r="I8493" t="str">
            <v>6105 - Meals</v>
          </cell>
          <cell r="J8493">
            <v>0</v>
          </cell>
          <cell r="K8493" t="str">
            <v>Production</v>
          </cell>
          <cell r="L8493" t="str">
            <v>T&amp;E</v>
          </cell>
          <cell r="N8493" t="str">
            <v>SG&amp;A</v>
          </cell>
          <cell r="O8493" t="str">
            <v>[No Vendor]</v>
          </cell>
        </row>
        <row r="8494">
          <cell r="D8494">
            <v>300.72000000000003</v>
          </cell>
          <cell r="H8494">
            <v>45778</v>
          </cell>
          <cell r="I8494" t="str">
            <v>6105 - Meals</v>
          </cell>
          <cell r="J8494">
            <v>0</v>
          </cell>
          <cell r="K8494" t="str">
            <v>Production</v>
          </cell>
          <cell r="L8494" t="str">
            <v>T&amp;E</v>
          </cell>
          <cell r="N8494" t="str">
            <v>SG&amp;A</v>
          </cell>
          <cell r="O8494" t="str">
            <v>[No Vendor]</v>
          </cell>
        </row>
        <row r="8495">
          <cell r="D8495">
            <v>1248.1199999999999</v>
          </cell>
          <cell r="H8495">
            <v>45778</v>
          </cell>
          <cell r="I8495" t="str">
            <v>6375 - Freight Expenses</v>
          </cell>
          <cell r="J8495">
            <v>0</v>
          </cell>
          <cell r="K8495" t="str">
            <v>Production</v>
          </cell>
          <cell r="L8495" t="str">
            <v>Freight</v>
          </cell>
          <cell r="N8495" t="str">
            <v>Direct Costs</v>
          </cell>
          <cell r="O8495" t="str">
            <v>DHL Express - USA</v>
          </cell>
        </row>
        <row r="8496">
          <cell r="D8496">
            <v>104.46</v>
          </cell>
          <cell r="H8496">
            <v>45778</v>
          </cell>
          <cell r="I8496" t="str">
            <v>6375 - Freight Expenses</v>
          </cell>
          <cell r="J8496">
            <v>0</v>
          </cell>
          <cell r="K8496" t="str">
            <v>Production</v>
          </cell>
          <cell r="L8496" t="str">
            <v>Freight</v>
          </cell>
          <cell r="N8496" t="str">
            <v>Direct Costs</v>
          </cell>
          <cell r="O8496" t="str">
            <v>DHL Express - USA</v>
          </cell>
        </row>
        <row r="8497">
          <cell r="D8497">
            <v>33270.31</v>
          </cell>
          <cell r="H8497">
            <v>45778</v>
          </cell>
          <cell r="I8497" t="str">
            <v>6375 - Freight Expenses</v>
          </cell>
          <cell r="J8497" t="str">
            <v>Ecommerce (US)</v>
          </cell>
          <cell r="K8497" t="str">
            <v>Ecommerce</v>
          </cell>
          <cell r="L8497" t="str">
            <v>Freight</v>
          </cell>
          <cell r="N8497" t="str">
            <v>Direct Costs</v>
          </cell>
          <cell r="O8497" t="str">
            <v>UPS Supply Chain Solutions Inc. (7F24A0)</v>
          </cell>
        </row>
        <row r="8498">
          <cell r="D8498">
            <v>247.9</v>
          </cell>
          <cell r="H8498">
            <v>45778</v>
          </cell>
          <cell r="I8498" t="str">
            <v>6375 - Freight Expenses</v>
          </cell>
          <cell r="J8498" t="str">
            <v>Wholesale</v>
          </cell>
          <cell r="K8498" t="str">
            <v>Wholesale</v>
          </cell>
          <cell r="L8498" t="str">
            <v>Freight</v>
          </cell>
          <cell r="N8498" t="str">
            <v>Direct Costs</v>
          </cell>
          <cell r="O8498" t="str">
            <v>UPS Supply Chain Solutions Inc. (7F24A0)</v>
          </cell>
        </row>
        <row r="8499">
          <cell r="D8499">
            <v>-246.6</v>
          </cell>
          <cell r="H8499">
            <v>45778</v>
          </cell>
          <cell r="I8499" t="str">
            <v>6377 - Order Processing Expenses (New)</v>
          </cell>
          <cell r="J8499" t="str">
            <v>Ecommerce (US)</v>
          </cell>
          <cell r="K8499" t="str">
            <v>No Department</v>
          </cell>
          <cell r="L8499" t="str">
            <v>Order Processing</v>
          </cell>
          <cell r="N8499" t="str">
            <v>Direct Costs</v>
          </cell>
          <cell r="O8499" t="str">
            <v>Bergen Logistics Corporation</v>
          </cell>
        </row>
        <row r="8500">
          <cell r="D8500">
            <v>-47151.88</v>
          </cell>
          <cell r="H8500">
            <v>45778</v>
          </cell>
          <cell r="I8500" t="str">
            <v>4010 - Revenue - Licensing Fees (Royalties)</v>
          </cell>
          <cell r="J8500">
            <v>0</v>
          </cell>
          <cell r="K8500" t="str">
            <v>Licensing</v>
          </cell>
          <cell r="L8500" t="str">
            <v>License</v>
          </cell>
          <cell r="N8500" t="str">
            <v>Revenue</v>
          </cell>
          <cell r="O8500" t="str">
            <v>[No Vendor]</v>
          </cell>
        </row>
        <row r="8501">
          <cell r="D8501">
            <v>-1544.96</v>
          </cell>
          <cell r="H8501">
            <v>45778</v>
          </cell>
          <cell r="I8501" t="str">
            <v>6379 - Warehouse Storage</v>
          </cell>
          <cell r="J8501" t="str">
            <v>Ecommerce (US)</v>
          </cell>
          <cell r="K8501" t="str">
            <v>Ecommerce</v>
          </cell>
          <cell r="L8501" t="str">
            <v>Order Processing</v>
          </cell>
          <cell r="N8501" t="str">
            <v>Direct Costs</v>
          </cell>
          <cell r="O8501" t="str">
            <v>Bergen Logistics Corporation</v>
          </cell>
        </row>
        <row r="8502">
          <cell r="D8502">
            <v>1544.96</v>
          </cell>
          <cell r="H8502">
            <v>45778</v>
          </cell>
          <cell r="I8502" t="str">
            <v>6379 - Warehouse Storage</v>
          </cell>
          <cell r="J8502" t="str">
            <v>Ecommerce (EU)</v>
          </cell>
          <cell r="K8502" t="str">
            <v>Ecommerce</v>
          </cell>
          <cell r="L8502" t="str">
            <v>Order Processing</v>
          </cell>
          <cell r="N8502" t="str">
            <v>Direct Costs</v>
          </cell>
          <cell r="O8502" t="str">
            <v>Bergen Logistics Corporation</v>
          </cell>
        </row>
        <row r="8503">
          <cell r="D8503">
            <v>48237.75</v>
          </cell>
          <cell r="H8503">
            <v>45778</v>
          </cell>
          <cell r="I8503" t="str">
            <v>6451 - Service Processing Fee</v>
          </cell>
          <cell r="J8503" t="str">
            <v>Ecommerce (US)</v>
          </cell>
          <cell r="K8503" t="str">
            <v>Ecommerce</v>
          </cell>
          <cell r="L8503" t="str">
            <v>Professional Service</v>
          </cell>
          <cell r="N8503" t="str">
            <v>Direct Costs</v>
          </cell>
          <cell r="O8503" t="str">
            <v>Shopify</v>
          </cell>
        </row>
        <row r="8504">
          <cell r="D8504">
            <v>8890.06</v>
          </cell>
          <cell r="H8504">
            <v>45778</v>
          </cell>
          <cell r="I8504" t="str">
            <v>6451 - Service Processing Fee</v>
          </cell>
          <cell r="J8504" t="str">
            <v>Ecommerce (US)</v>
          </cell>
          <cell r="K8504" t="str">
            <v>Ecommerce</v>
          </cell>
          <cell r="L8504" t="str">
            <v>Professional Service</v>
          </cell>
          <cell r="N8504" t="str">
            <v>Direct Costs</v>
          </cell>
          <cell r="O8504" t="str">
            <v>Amazon</v>
          </cell>
        </row>
        <row r="8505">
          <cell r="D8505">
            <v>5972.25</v>
          </cell>
          <cell r="H8505">
            <v>45778</v>
          </cell>
          <cell r="I8505" t="str">
            <v>6451 - Service Processing Fee</v>
          </cell>
          <cell r="J8505" t="str">
            <v>Ecommerce (EU)</v>
          </cell>
          <cell r="K8505" t="str">
            <v>Ecommerce</v>
          </cell>
          <cell r="L8505" t="str">
            <v>Professional Service</v>
          </cell>
          <cell r="N8505" t="str">
            <v>Direct Costs</v>
          </cell>
          <cell r="O8505" t="str">
            <v>[No Vendor]</v>
          </cell>
        </row>
        <row r="8506">
          <cell r="D8506">
            <v>300000</v>
          </cell>
          <cell r="H8506">
            <v>45778</v>
          </cell>
          <cell r="I8506" t="str">
            <v>8700 - Other Expense</v>
          </cell>
          <cell r="J8506">
            <v>0</v>
          </cell>
          <cell r="K8506" t="str">
            <v>Administration</v>
          </cell>
          <cell r="L8506" t="str">
            <v>Other Expense</v>
          </cell>
          <cell r="N8506" t="str">
            <v>BTL</v>
          </cell>
          <cell r="O8506" t="str">
            <v>[No Vendor]</v>
          </cell>
        </row>
        <row r="8507">
          <cell r="D8507">
            <v>10137.41</v>
          </cell>
          <cell r="H8507">
            <v>45778</v>
          </cell>
          <cell r="I8507" t="str">
            <v>4052 - Sales Revenue - Wholesale (US)</v>
          </cell>
          <cell r="J8507" t="str">
            <v>Wholesale</v>
          </cell>
          <cell r="K8507" t="str">
            <v>Wholesale</v>
          </cell>
          <cell r="L8507" t="str">
            <v>Wholesale</v>
          </cell>
          <cell r="N8507" t="str">
            <v>Revenue</v>
          </cell>
          <cell r="O8507" t="str">
            <v>[No Vendor]</v>
          </cell>
        </row>
        <row r="8508">
          <cell r="D8508">
            <v>120</v>
          </cell>
          <cell r="H8508">
            <v>45778</v>
          </cell>
          <cell r="I8508" t="str">
            <v>4052 - Sales Revenue - Wholesale (US)</v>
          </cell>
          <cell r="J8508" t="str">
            <v>Wholesale</v>
          </cell>
          <cell r="K8508" t="str">
            <v>Wholesale</v>
          </cell>
          <cell r="L8508" t="str">
            <v>Wholesale</v>
          </cell>
          <cell r="N8508" t="str">
            <v>Revenue</v>
          </cell>
          <cell r="O8508" t="str">
            <v>[No Vendor]</v>
          </cell>
        </row>
        <row r="8509">
          <cell r="D8509">
            <v>-97654.82</v>
          </cell>
          <cell r="H8509">
            <v>45778</v>
          </cell>
          <cell r="I8509" t="str">
            <v>4052 - Sales Revenue - Wholesale (US)</v>
          </cell>
          <cell r="J8509" t="str">
            <v>Wholesale</v>
          </cell>
          <cell r="K8509" t="str">
            <v>Wholesale</v>
          </cell>
          <cell r="L8509" t="str">
            <v>Wholesale</v>
          </cell>
          <cell r="N8509" t="str">
            <v>Revenue</v>
          </cell>
          <cell r="O8509" t="str">
            <v>[No Vendor]</v>
          </cell>
        </row>
        <row r="8510">
          <cell r="D8510">
            <v>-1529788.14</v>
          </cell>
          <cell r="H8510">
            <v>45778</v>
          </cell>
          <cell r="I8510" t="str">
            <v>4050 - Sales Revenue - Ecommerce (US)</v>
          </cell>
          <cell r="J8510" t="str">
            <v>Ecommerce (US)</v>
          </cell>
          <cell r="K8510" t="str">
            <v>Ecommerce</v>
          </cell>
          <cell r="L8510" t="str">
            <v>Ecommerce (US)</v>
          </cell>
          <cell r="N8510" t="str">
            <v>Revenue</v>
          </cell>
          <cell r="O8510" t="str">
            <v>[No Vendor]</v>
          </cell>
        </row>
        <row r="8511">
          <cell r="D8511">
            <v>-52239.6</v>
          </cell>
          <cell r="H8511">
            <v>45778</v>
          </cell>
          <cell r="I8511" t="str">
            <v>4050 - Sales Revenue - Ecommerce (US)</v>
          </cell>
          <cell r="J8511" t="str">
            <v>Ecommerce (US)</v>
          </cell>
          <cell r="K8511" t="str">
            <v>Ecommerce</v>
          </cell>
          <cell r="L8511" t="str">
            <v>Ecommerce (US)</v>
          </cell>
          <cell r="N8511" t="str">
            <v>Revenue</v>
          </cell>
          <cell r="O8511" t="str">
            <v>[No Vendor]</v>
          </cell>
        </row>
        <row r="8512">
          <cell r="D8512">
            <v>0</v>
          </cell>
          <cell r="H8512">
            <v>45778</v>
          </cell>
          <cell r="I8512" t="str">
            <v>6041 - Employee Benefit Other</v>
          </cell>
          <cell r="J8512">
            <v>0</v>
          </cell>
          <cell r="K8512" t="str">
            <v>Merchandising</v>
          </cell>
          <cell r="L8512" t="str">
            <v>HQ Salaries</v>
          </cell>
          <cell r="N8512" t="str">
            <v>SG&amp;A</v>
          </cell>
          <cell r="O8512" t="str">
            <v>[No Vendor]</v>
          </cell>
        </row>
        <row r="8513">
          <cell r="D8513">
            <v>0</v>
          </cell>
          <cell r="H8513">
            <v>45778</v>
          </cell>
          <cell r="I8513" t="str">
            <v>6041 - Employee Benefit Other</v>
          </cell>
          <cell r="J8513" t="str">
            <v>Wholesale</v>
          </cell>
          <cell r="K8513" t="str">
            <v>Wholesale</v>
          </cell>
          <cell r="L8513" t="str">
            <v>HQ Salaries</v>
          </cell>
          <cell r="N8513" t="str">
            <v>SG&amp;A</v>
          </cell>
          <cell r="O8513" t="str">
            <v>[No Vendor]</v>
          </cell>
        </row>
        <row r="8514">
          <cell r="D8514">
            <v>0</v>
          </cell>
          <cell r="H8514">
            <v>45778</v>
          </cell>
          <cell r="I8514" t="str">
            <v>6041 - Employee Benefit Other</v>
          </cell>
          <cell r="J8514" t="str">
            <v>Ecommerce (US)</v>
          </cell>
          <cell r="K8514" t="str">
            <v>Ecommerce</v>
          </cell>
          <cell r="L8514" t="str">
            <v>HQ Salaries</v>
          </cell>
          <cell r="N8514" t="str">
            <v>SG&amp;A</v>
          </cell>
          <cell r="O8514" t="str">
            <v>[No Vendor]</v>
          </cell>
        </row>
        <row r="8515">
          <cell r="D8515">
            <v>200.56</v>
          </cell>
          <cell r="H8515">
            <v>45778</v>
          </cell>
          <cell r="I8515" t="str">
            <v>6041 - Employee Benefit Other</v>
          </cell>
          <cell r="J8515">
            <v>0</v>
          </cell>
          <cell r="K8515" t="str">
            <v>Production</v>
          </cell>
          <cell r="L8515" t="str">
            <v>HQ Salaries</v>
          </cell>
          <cell r="N8515" t="str">
            <v>SG&amp;A</v>
          </cell>
          <cell r="O8515" t="str">
            <v>[No Vendor]</v>
          </cell>
        </row>
        <row r="8516">
          <cell r="D8516">
            <v>156.71</v>
          </cell>
          <cell r="H8516">
            <v>45778</v>
          </cell>
          <cell r="I8516" t="str">
            <v>6041 - Employee Benefit Other</v>
          </cell>
          <cell r="J8516">
            <v>0</v>
          </cell>
          <cell r="K8516" t="str">
            <v>Design</v>
          </cell>
          <cell r="L8516" t="str">
            <v>HQ Salaries</v>
          </cell>
          <cell r="N8516" t="str">
            <v>SG&amp;A</v>
          </cell>
          <cell r="O8516" t="str">
            <v>[No Vendor]</v>
          </cell>
        </row>
        <row r="8517">
          <cell r="D8517">
            <v>0</v>
          </cell>
          <cell r="H8517">
            <v>45778</v>
          </cell>
          <cell r="I8517" t="str">
            <v>6041 - Employee Benefit Other</v>
          </cell>
          <cell r="J8517">
            <v>0</v>
          </cell>
          <cell r="K8517" t="str">
            <v>Administration</v>
          </cell>
          <cell r="L8517" t="str">
            <v>HQ Salaries</v>
          </cell>
          <cell r="N8517" t="str">
            <v>SG&amp;A</v>
          </cell>
          <cell r="O8517" t="str">
            <v>[No Vendor]</v>
          </cell>
        </row>
        <row r="8518">
          <cell r="D8518">
            <v>583.25</v>
          </cell>
          <cell r="H8518">
            <v>45778</v>
          </cell>
          <cell r="I8518" t="str">
            <v>7140 - Amortization Exp - ROU Asset</v>
          </cell>
          <cell r="J8518">
            <v>0</v>
          </cell>
          <cell r="K8518" t="str">
            <v>Administration</v>
          </cell>
          <cell r="L8518" t="str">
            <v>Rent</v>
          </cell>
          <cell r="N8518" t="str">
            <v>SG&amp;A</v>
          </cell>
          <cell r="O8518" t="str">
            <v>[No Vendor]</v>
          </cell>
        </row>
        <row r="8519">
          <cell r="D8519">
            <v>23940.66</v>
          </cell>
          <cell r="H8519">
            <v>45778</v>
          </cell>
          <cell r="I8519" t="str">
            <v>7140 - Amortization Exp - ROU Asset</v>
          </cell>
          <cell r="J8519">
            <v>0</v>
          </cell>
          <cell r="K8519" t="str">
            <v>Administration</v>
          </cell>
          <cell r="L8519" t="str">
            <v>Rent</v>
          </cell>
          <cell r="N8519" t="str">
            <v>SG&amp;A</v>
          </cell>
          <cell r="O8519" t="str">
            <v>[No Vendor]</v>
          </cell>
        </row>
        <row r="8520">
          <cell r="D8520">
            <v>-94507.17</v>
          </cell>
          <cell r="H8520">
            <v>45778</v>
          </cell>
          <cell r="I8520" t="str">
            <v>4051 - Sales Revenue - Ecommerce (Intl)</v>
          </cell>
          <cell r="J8520" t="str">
            <v>Ecommerce (EU)</v>
          </cell>
          <cell r="K8520" t="str">
            <v>Ecommerce</v>
          </cell>
          <cell r="L8520" t="str">
            <v>Ecommerce (EU)</v>
          </cell>
          <cell r="N8520" t="str">
            <v>Revenue</v>
          </cell>
          <cell r="O8520" t="str">
            <v>[No Vendor]</v>
          </cell>
        </row>
        <row r="8521">
          <cell r="D8521">
            <v>0</v>
          </cell>
          <cell r="H8521">
            <v>45778</v>
          </cell>
          <cell r="I8521" t="str">
            <v>6035 - Severance Expense</v>
          </cell>
          <cell r="J8521" t="str">
            <v>Wholesale</v>
          </cell>
          <cell r="K8521" t="str">
            <v>Wholesale</v>
          </cell>
          <cell r="L8521" t="str">
            <v>HQ Salaries</v>
          </cell>
          <cell r="N8521" t="str">
            <v>SG&amp;A</v>
          </cell>
          <cell r="O8521" t="str">
            <v>[No Vendor]</v>
          </cell>
        </row>
        <row r="8522">
          <cell r="D8522">
            <v>338.26</v>
          </cell>
          <cell r="H8522">
            <v>45778</v>
          </cell>
          <cell r="I8522" t="str">
            <v>6377 - Order Processing Expenses (New)</v>
          </cell>
          <cell r="J8522" t="str">
            <v>Ecommerce (US)</v>
          </cell>
          <cell r="K8522" t="str">
            <v>Ecommerce</v>
          </cell>
          <cell r="L8522" t="str">
            <v>Order Processing</v>
          </cell>
          <cell r="N8522" t="str">
            <v>Direct Costs</v>
          </cell>
          <cell r="O8522" t="str">
            <v>[No Vendor]</v>
          </cell>
        </row>
        <row r="8523">
          <cell r="D8523">
            <v>5329.09</v>
          </cell>
          <cell r="H8523">
            <v>45778</v>
          </cell>
          <cell r="I8523" t="str">
            <v>6377 - Order Processing Expenses (New)</v>
          </cell>
          <cell r="J8523" t="str">
            <v>Ecommerce (EU)</v>
          </cell>
          <cell r="K8523" t="str">
            <v>Ecommerce</v>
          </cell>
          <cell r="L8523" t="str">
            <v>Order Processing</v>
          </cell>
          <cell r="N8523" t="str">
            <v>Direct Costs</v>
          </cell>
          <cell r="O8523" t="str">
            <v>[No Vendor]</v>
          </cell>
        </row>
        <row r="8524">
          <cell r="D8524">
            <v>404</v>
          </cell>
          <cell r="H8524">
            <v>45778</v>
          </cell>
          <cell r="I8524" t="str">
            <v>4063 - Sales Discount - Wholesale (US)</v>
          </cell>
          <cell r="J8524" t="str">
            <v>Wholesale</v>
          </cell>
          <cell r="K8524" t="str">
            <v>Wholesale</v>
          </cell>
          <cell r="L8524" t="str">
            <v>Wholesale</v>
          </cell>
          <cell r="N8524" t="str">
            <v>Revenue</v>
          </cell>
          <cell r="O8524" t="str">
            <v>[No Vendor]</v>
          </cell>
        </row>
        <row r="8525">
          <cell r="D8525">
            <v>13990.5</v>
          </cell>
          <cell r="H8525">
            <v>45778</v>
          </cell>
          <cell r="I8525" t="str">
            <v>4063 - Sales Discount - Wholesale (US)</v>
          </cell>
          <cell r="J8525" t="str">
            <v>Wholesale</v>
          </cell>
          <cell r="K8525" t="str">
            <v>Wholesale</v>
          </cell>
          <cell r="L8525" t="str">
            <v>Wholesale</v>
          </cell>
          <cell r="N8525" t="str">
            <v>Revenue</v>
          </cell>
          <cell r="O8525" t="str">
            <v>[No Vendor]</v>
          </cell>
        </row>
        <row r="8526">
          <cell r="D8526">
            <v>5131.8599999999997</v>
          </cell>
          <cell r="H8526">
            <v>45778</v>
          </cell>
          <cell r="I8526" t="str">
            <v>5900 - Interco Royalty Expense</v>
          </cell>
          <cell r="J8526">
            <v>0</v>
          </cell>
          <cell r="K8526" t="str">
            <v>Licensing</v>
          </cell>
          <cell r="L8526">
            <v>0</v>
          </cell>
          <cell r="N8526">
            <v>0</v>
          </cell>
          <cell r="O8526" t="str">
            <v>[No Vendor]</v>
          </cell>
        </row>
        <row r="8527">
          <cell r="D8527">
            <v>92904.46</v>
          </cell>
          <cell r="H8527">
            <v>45778</v>
          </cell>
          <cell r="I8527" t="str">
            <v>4062 - Sales Discount - Ecomm (US)</v>
          </cell>
          <cell r="J8527" t="str">
            <v>Ecommerce (US)</v>
          </cell>
          <cell r="K8527" t="str">
            <v>Ecommerce</v>
          </cell>
          <cell r="L8527" t="str">
            <v>Ecommerce (US)</v>
          </cell>
          <cell r="N8527" t="str">
            <v>Revenue</v>
          </cell>
          <cell r="O8527" t="str">
            <v>[No Vendor]</v>
          </cell>
        </row>
        <row r="8528">
          <cell r="D8528">
            <v>0</v>
          </cell>
          <cell r="H8528">
            <v>45778</v>
          </cell>
          <cell r="I8528" t="str">
            <v>4062 - Sales Discount - Ecomm (US)</v>
          </cell>
          <cell r="J8528" t="str">
            <v>Ecommerce (US)</v>
          </cell>
          <cell r="K8528" t="str">
            <v>Ecommerce</v>
          </cell>
          <cell r="L8528" t="str">
            <v>Ecommerce (US)</v>
          </cell>
          <cell r="N8528" t="str">
            <v>Revenue</v>
          </cell>
          <cell r="O8528" t="str">
            <v>[No Vendor]</v>
          </cell>
        </row>
        <row r="8529">
          <cell r="D8529">
            <v>1954.72</v>
          </cell>
          <cell r="H8529">
            <v>45778</v>
          </cell>
          <cell r="I8529" t="str">
            <v>7130 - License Agreements &amp; Other Intangibles</v>
          </cell>
          <cell r="J8529">
            <v>0</v>
          </cell>
          <cell r="K8529" t="str">
            <v>Administration</v>
          </cell>
          <cell r="L8529" t="str">
            <v>Depreciation &amp; Amortization</v>
          </cell>
          <cell r="N8529" t="str">
            <v>SG&amp;A</v>
          </cell>
          <cell r="O8529" t="str">
            <v>[No Vendor]</v>
          </cell>
        </row>
        <row r="8530">
          <cell r="D8530">
            <v>-5131.8599999999997</v>
          </cell>
          <cell r="H8530">
            <v>45778</v>
          </cell>
          <cell r="I8530" t="str">
            <v>4900 - Interco Royalty Revenue</v>
          </cell>
          <cell r="J8530">
            <v>0</v>
          </cell>
          <cell r="K8530" t="str">
            <v>Licensing</v>
          </cell>
          <cell r="L8530">
            <v>0</v>
          </cell>
          <cell r="N8530">
            <v>0</v>
          </cell>
          <cell r="O8530" t="str">
            <v>[No Vendor]</v>
          </cell>
        </row>
        <row r="8531">
          <cell r="D8531">
            <v>3179.22</v>
          </cell>
          <cell r="H8531">
            <v>45778</v>
          </cell>
          <cell r="I8531" t="str">
            <v>6393 - Software</v>
          </cell>
          <cell r="J8531">
            <v>0</v>
          </cell>
          <cell r="K8531" t="str">
            <v>Administration</v>
          </cell>
          <cell r="L8531" t="str">
            <v>Professional Service</v>
          </cell>
          <cell r="N8531" t="str">
            <v>Direct Costs</v>
          </cell>
          <cell r="O8531" t="str">
            <v>Avalara, Inc</v>
          </cell>
        </row>
        <row r="8532">
          <cell r="D8532">
            <v>2582.46</v>
          </cell>
          <cell r="H8532">
            <v>45778</v>
          </cell>
          <cell r="I8532" t="str">
            <v>6393 - Software</v>
          </cell>
          <cell r="J8532">
            <v>0</v>
          </cell>
          <cell r="K8532" t="str">
            <v>Administration</v>
          </cell>
          <cell r="L8532" t="str">
            <v>Professional Service</v>
          </cell>
          <cell r="N8532" t="str">
            <v>Direct Costs</v>
          </cell>
          <cell r="O8532" t="str">
            <v>Apparel Magic</v>
          </cell>
        </row>
        <row r="8533">
          <cell r="D8533">
            <v>226.82</v>
          </cell>
          <cell r="H8533">
            <v>45778</v>
          </cell>
          <cell r="I8533" t="str">
            <v>6393 - Software</v>
          </cell>
          <cell r="J8533">
            <v>0</v>
          </cell>
          <cell r="K8533" t="str">
            <v>Administration</v>
          </cell>
          <cell r="L8533" t="str">
            <v>Professional Service</v>
          </cell>
          <cell r="N8533" t="str">
            <v>Direct Costs</v>
          </cell>
          <cell r="O8533" t="str">
            <v>Avalara, Inc</v>
          </cell>
        </row>
        <row r="8534">
          <cell r="D8534">
            <v>842.09</v>
          </cell>
          <cell r="H8534">
            <v>45778</v>
          </cell>
          <cell r="I8534" t="str">
            <v>6393 - Software</v>
          </cell>
          <cell r="J8534">
            <v>0</v>
          </cell>
          <cell r="K8534" t="str">
            <v>Administration</v>
          </cell>
          <cell r="L8534" t="str">
            <v>Professional Service</v>
          </cell>
          <cell r="N8534" t="str">
            <v>Direct Costs</v>
          </cell>
          <cell r="O8534" t="str">
            <v>Oracle Netsuite</v>
          </cell>
        </row>
        <row r="8535">
          <cell r="D8535">
            <v>431.42</v>
          </cell>
          <cell r="H8535">
            <v>45778</v>
          </cell>
          <cell r="I8535" t="str">
            <v>6393 - Software</v>
          </cell>
          <cell r="J8535">
            <v>0</v>
          </cell>
          <cell r="K8535" t="str">
            <v>Administration</v>
          </cell>
          <cell r="L8535" t="str">
            <v>Professional Service</v>
          </cell>
          <cell r="N8535" t="str">
            <v>Direct Costs</v>
          </cell>
          <cell r="O8535" t="str">
            <v>MS Office 365</v>
          </cell>
        </row>
        <row r="8536">
          <cell r="D8536">
            <v>9.99</v>
          </cell>
          <cell r="H8536">
            <v>45778</v>
          </cell>
          <cell r="I8536" t="str">
            <v>6393 - Software</v>
          </cell>
          <cell r="J8536">
            <v>0</v>
          </cell>
          <cell r="K8536" t="str">
            <v>Administration</v>
          </cell>
          <cell r="L8536" t="str">
            <v>Professional Service</v>
          </cell>
          <cell r="N8536" t="str">
            <v>Direct Costs</v>
          </cell>
          <cell r="O8536" t="str">
            <v>Drop Box</v>
          </cell>
        </row>
        <row r="8537">
          <cell r="D8537">
            <v>2198.15</v>
          </cell>
          <cell r="H8537">
            <v>45778</v>
          </cell>
          <cell r="I8537" t="str">
            <v>6393 - Software</v>
          </cell>
          <cell r="J8537">
            <v>0</v>
          </cell>
          <cell r="K8537" t="str">
            <v>Administration</v>
          </cell>
          <cell r="L8537" t="str">
            <v>Professional Service</v>
          </cell>
          <cell r="N8537" t="str">
            <v>Direct Costs</v>
          </cell>
          <cell r="O8537" t="str">
            <v>Oracle Netsuite</v>
          </cell>
        </row>
        <row r="8538">
          <cell r="D8538">
            <v>4536.46</v>
          </cell>
          <cell r="H8538">
            <v>45778</v>
          </cell>
          <cell r="I8538" t="str">
            <v>6393 - Software</v>
          </cell>
          <cell r="J8538">
            <v>0</v>
          </cell>
          <cell r="K8538" t="str">
            <v>Brand Marketing</v>
          </cell>
          <cell r="L8538" t="str">
            <v>Professional Service</v>
          </cell>
          <cell r="N8538" t="str">
            <v>Direct Costs</v>
          </cell>
          <cell r="O8538" t="str">
            <v>Fohr</v>
          </cell>
        </row>
        <row r="8539">
          <cell r="D8539">
            <v>0</v>
          </cell>
          <cell r="H8539">
            <v>45778</v>
          </cell>
          <cell r="I8539" t="str">
            <v>6286 - SEM</v>
          </cell>
          <cell r="J8539" t="str">
            <v>Ecommerce (US)</v>
          </cell>
          <cell r="K8539" t="str">
            <v>Ecommerce</v>
          </cell>
          <cell r="L8539" t="str">
            <v>Marketing</v>
          </cell>
          <cell r="N8539" t="str">
            <v>Direct Costs</v>
          </cell>
          <cell r="O8539" t="str">
            <v>[No Vendor]</v>
          </cell>
        </row>
        <row r="8540">
          <cell r="D8540">
            <v>400</v>
          </cell>
          <cell r="H8540">
            <v>45778</v>
          </cell>
          <cell r="I8540" t="str">
            <v>6360 - Model - Fitting</v>
          </cell>
          <cell r="J8540">
            <v>0</v>
          </cell>
          <cell r="K8540" t="str">
            <v>Production</v>
          </cell>
          <cell r="L8540" t="str">
            <v>Sample</v>
          </cell>
          <cell r="N8540" t="str">
            <v>SG&amp;A</v>
          </cell>
          <cell r="O8540" t="str">
            <v>[No Vendor]</v>
          </cell>
        </row>
        <row r="8541">
          <cell r="D8541">
            <v>81.599999999999994</v>
          </cell>
          <cell r="H8541">
            <v>45778</v>
          </cell>
          <cell r="I8541" t="str">
            <v>6340 - Miscellaneous Expense</v>
          </cell>
          <cell r="J8541" t="str">
            <v>Ecommerce (US)</v>
          </cell>
          <cell r="K8541" t="str">
            <v>Ecommerce</v>
          </cell>
          <cell r="L8541" t="str">
            <v>Other</v>
          </cell>
          <cell r="N8541" t="str">
            <v>SG&amp;A</v>
          </cell>
          <cell r="O8541" t="str">
            <v>[No Vendor]</v>
          </cell>
        </row>
        <row r="8542">
          <cell r="D8542">
            <v>40291.67</v>
          </cell>
          <cell r="H8542">
            <v>45778</v>
          </cell>
          <cell r="I8542" t="str">
            <v>6240 - Product Photography</v>
          </cell>
          <cell r="J8542">
            <v>0</v>
          </cell>
          <cell r="K8542" t="str">
            <v>Brand Marketing</v>
          </cell>
          <cell r="L8542" t="str">
            <v>Advertising</v>
          </cell>
          <cell r="N8542" t="str">
            <v>SG&amp;A</v>
          </cell>
          <cell r="O8542" t="str">
            <v>GOSFilms LLC</v>
          </cell>
        </row>
        <row r="8543">
          <cell r="D8543">
            <v>957.07</v>
          </cell>
          <cell r="H8543">
            <v>45778</v>
          </cell>
          <cell r="I8543" t="str">
            <v>6289 - Seeding / Product Placement</v>
          </cell>
          <cell r="J8543">
            <v>0</v>
          </cell>
          <cell r="K8543" t="str">
            <v>Brand Marketing</v>
          </cell>
          <cell r="L8543" t="str">
            <v>Advertising</v>
          </cell>
          <cell r="N8543" t="str">
            <v>SG&amp;A</v>
          </cell>
          <cell r="O8543" t="str">
            <v>[No Vendor]</v>
          </cell>
        </row>
        <row r="8544">
          <cell r="D8544">
            <v>3333.33</v>
          </cell>
          <cell r="H8544">
            <v>45778</v>
          </cell>
          <cell r="I8544" t="str">
            <v>6284 - Advertising</v>
          </cell>
          <cell r="J8544">
            <v>0</v>
          </cell>
          <cell r="K8544" t="str">
            <v>Brand Marketing</v>
          </cell>
          <cell r="L8544" t="str">
            <v>Advertising</v>
          </cell>
          <cell r="N8544" t="str">
            <v>SG&amp;A</v>
          </cell>
          <cell r="O8544" t="str">
            <v>[No Vendor]</v>
          </cell>
        </row>
        <row r="8545">
          <cell r="D8545">
            <v>61750</v>
          </cell>
          <cell r="H8545">
            <v>45778</v>
          </cell>
          <cell r="I8545" t="str">
            <v>6215 - Recruitment</v>
          </cell>
          <cell r="J8545">
            <v>0</v>
          </cell>
          <cell r="K8545" t="str">
            <v>Administration</v>
          </cell>
          <cell r="L8545" t="str">
            <v>Professional Service</v>
          </cell>
          <cell r="N8545" t="str">
            <v>SG&amp;A</v>
          </cell>
          <cell r="O8545" t="str">
            <v>Janou Pakter</v>
          </cell>
        </row>
        <row r="8546">
          <cell r="D8546">
            <v>1500</v>
          </cell>
          <cell r="H8546">
            <v>45778</v>
          </cell>
          <cell r="I8546" t="str">
            <v>6205 - Contractors</v>
          </cell>
          <cell r="J8546">
            <v>0</v>
          </cell>
          <cell r="K8546" t="str">
            <v>Production</v>
          </cell>
          <cell r="L8546" t="str">
            <v>HQ Salaries</v>
          </cell>
          <cell r="N8546" t="str">
            <v>SG&amp;A</v>
          </cell>
          <cell r="O8546" t="str">
            <v>Philip Yau</v>
          </cell>
        </row>
        <row r="8547">
          <cell r="D8547">
            <v>0</v>
          </cell>
          <cell r="H8547">
            <v>45778</v>
          </cell>
          <cell r="I8547" t="str">
            <v>6205 - Contractors</v>
          </cell>
          <cell r="J8547">
            <v>0</v>
          </cell>
          <cell r="K8547" t="str">
            <v>Design</v>
          </cell>
          <cell r="L8547" t="str">
            <v>HQ Salaries</v>
          </cell>
          <cell r="N8547" t="str">
            <v>SG&amp;A</v>
          </cell>
          <cell r="O8547" t="str">
            <v>[No Vendor]</v>
          </cell>
        </row>
        <row r="8548">
          <cell r="D8548">
            <v>0</v>
          </cell>
          <cell r="H8548">
            <v>45778</v>
          </cell>
          <cell r="I8548" t="str">
            <v>6205 - Contractors</v>
          </cell>
          <cell r="J8548" t="str">
            <v>Ecommerce (US)</v>
          </cell>
          <cell r="K8548" t="str">
            <v>Ecommerce</v>
          </cell>
          <cell r="L8548" t="str">
            <v>HQ Salaries</v>
          </cell>
          <cell r="N8548" t="str">
            <v>SG&amp;A</v>
          </cell>
          <cell r="O8548" t="str">
            <v>[No Vendor]</v>
          </cell>
        </row>
        <row r="8549">
          <cell r="D8549">
            <v>0</v>
          </cell>
          <cell r="H8549">
            <v>45778</v>
          </cell>
          <cell r="I8549" t="str">
            <v>6205 - Contractors</v>
          </cell>
          <cell r="J8549">
            <v>0</v>
          </cell>
          <cell r="K8549" t="str">
            <v>Brand Marketing</v>
          </cell>
          <cell r="L8549" t="str">
            <v>HQ Salaries</v>
          </cell>
          <cell r="N8549" t="str">
            <v>SG&amp;A</v>
          </cell>
          <cell r="O8549" t="str">
            <v>[No Vendor]</v>
          </cell>
        </row>
        <row r="8550">
          <cell r="D8550">
            <v>-606</v>
          </cell>
          <cell r="H8550">
            <v>45778</v>
          </cell>
          <cell r="I8550" t="str">
            <v>6410 - Lease Expense</v>
          </cell>
          <cell r="J8550">
            <v>0</v>
          </cell>
          <cell r="K8550" t="str">
            <v>Administration</v>
          </cell>
          <cell r="L8550" t="str">
            <v>Rent</v>
          </cell>
          <cell r="N8550" t="str">
            <v>SG&amp;A</v>
          </cell>
          <cell r="O8550" t="str">
            <v>[No Vendor]</v>
          </cell>
        </row>
        <row r="8551">
          <cell r="D8551">
            <v>501.9</v>
          </cell>
          <cell r="H8551">
            <v>45778</v>
          </cell>
          <cell r="I8551" t="str">
            <v>6385 - Insurance</v>
          </cell>
          <cell r="J8551">
            <v>0</v>
          </cell>
          <cell r="K8551" t="str">
            <v>Administration</v>
          </cell>
          <cell r="L8551" t="str">
            <v>Professional Service</v>
          </cell>
          <cell r="N8551" t="str">
            <v>SG&amp;A</v>
          </cell>
          <cell r="O8551" t="str">
            <v>[No Vendor]</v>
          </cell>
        </row>
        <row r="8552">
          <cell r="D8552">
            <v>-7.65</v>
          </cell>
          <cell r="H8552">
            <v>45778</v>
          </cell>
          <cell r="I8552" t="str">
            <v>6385 - Insurance</v>
          </cell>
          <cell r="J8552">
            <v>0</v>
          </cell>
          <cell r="K8552" t="str">
            <v>Administration</v>
          </cell>
          <cell r="L8552" t="str">
            <v>Professional Service</v>
          </cell>
          <cell r="N8552" t="str">
            <v>SG&amp;A</v>
          </cell>
          <cell r="O8552" t="str">
            <v>[No Vendor]</v>
          </cell>
        </row>
        <row r="8553">
          <cell r="D8553">
            <v>-0.6</v>
          </cell>
          <cell r="H8553">
            <v>45778</v>
          </cell>
          <cell r="I8553" t="str">
            <v>6385 - Insurance</v>
          </cell>
          <cell r="J8553">
            <v>0</v>
          </cell>
          <cell r="K8553" t="str">
            <v>Administration</v>
          </cell>
          <cell r="L8553" t="str">
            <v>Professional Service</v>
          </cell>
          <cell r="N8553" t="str">
            <v>SG&amp;A</v>
          </cell>
          <cell r="O8553" t="str">
            <v>[No Vendor]</v>
          </cell>
        </row>
        <row r="8554">
          <cell r="D8554">
            <v>-42.57</v>
          </cell>
          <cell r="H8554">
            <v>45778</v>
          </cell>
          <cell r="I8554" t="str">
            <v>6385 - Insurance</v>
          </cell>
          <cell r="J8554">
            <v>0</v>
          </cell>
          <cell r="K8554" t="str">
            <v>Administration</v>
          </cell>
          <cell r="L8554" t="str">
            <v>Professional Service</v>
          </cell>
          <cell r="N8554" t="str">
            <v>SG&amp;A</v>
          </cell>
          <cell r="O8554" t="str">
            <v>[No Vendor]</v>
          </cell>
        </row>
        <row r="8555">
          <cell r="D8555">
            <v>-46.52</v>
          </cell>
          <cell r="H8555">
            <v>45778</v>
          </cell>
          <cell r="I8555" t="str">
            <v>6385 - Insurance</v>
          </cell>
          <cell r="J8555">
            <v>0</v>
          </cell>
          <cell r="K8555" t="str">
            <v>Administration</v>
          </cell>
          <cell r="L8555" t="str">
            <v>Professional Service</v>
          </cell>
          <cell r="N8555" t="str">
            <v>SG&amp;A</v>
          </cell>
          <cell r="O8555" t="str">
            <v>[No Vendor]</v>
          </cell>
        </row>
        <row r="8556">
          <cell r="D8556">
            <v>-18.760000000000002</v>
          </cell>
          <cell r="H8556">
            <v>45778</v>
          </cell>
          <cell r="I8556" t="str">
            <v>6385 - Insurance</v>
          </cell>
          <cell r="J8556">
            <v>0</v>
          </cell>
          <cell r="K8556" t="str">
            <v>Administration</v>
          </cell>
          <cell r="L8556" t="str">
            <v>Professional Service</v>
          </cell>
          <cell r="N8556" t="str">
            <v>SG&amp;A</v>
          </cell>
          <cell r="O8556" t="str">
            <v>[No Vendor]</v>
          </cell>
        </row>
        <row r="8557">
          <cell r="D8557">
            <v>-7.09</v>
          </cell>
          <cell r="H8557">
            <v>45778</v>
          </cell>
          <cell r="I8557" t="str">
            <v>6385 - Insurance</v>
          </cell>
          <cell r="J8557">
            <v>0</v>
          </cell>
          <cell r="K8557" t="str">
            <v>Administration</v>
          </cell>
          <cell r="L8557" t="str">
            <v>Professional Service</v>
          </cell>
          <cell r="N8557" t="str">
            <v>SG&amp;A</v>
          </cell>
          <cell r="O8557" t="str">
            <v>[No Vendor]</v>
          </cell>
        </row>
        <row r="8558">
          <cell r="D8558">
            <v>-31.19</v>
          </cell>
          <cell r="H8558">
            <v>45778</v>
          </cell>
          <cell r="I8558" t="str">
            <v>6385 - Insurance</v>
          </cell>
          <cell r="J8558">
            <v>0</v>
          </cell>
          <cell r="K8558" t="str">
            <v>Administration</v>
          </cell>
          <cell r="L8558" t="str">
            <v>Professional Service</v>
          </cell>
          <cell r="N8558" t="str">
            <v>SG&amp;A</v>
          </cell>
          <cell r="O8558" t="str">
            <v>[No Vendor]</v>
          </cell>
        </row>
        <row r="8559">
          <cell r="D8559">
            <v>-6.8</v>
          </cell>
          <cell r="H8559">
            <v>45778</v>
          </cell>
          <cell r="I8559" t="str">
            <v>6385 - Insurance</v>
          </cell>
          <cell r="J8559">
            <v>0</v>
          </cell>
          <cell r="K8559" t="str">
            <v>Administration</v>
          </cell>
          <cell r="L8559" t="str">
            <v>Professional Service</v>
          </cell>
          <cell r="N8559" t="str">
            <v>SG&amp;A</v>
          </cell>
          <cell r="O8559" t="str">
            <v>[No Vendor]</v>
          </cell>
        </row>
        <row r="8560">
          <cell r="D8560">
            <v>1062.5</v>
          </cell>
          <cell r="H8560">
            <v>45778</v>
          </cell>
          <cell r="I8560" t="str">
            <v>6385 - Insurance</v>
          </cell>
          <cell r="J8560">
            <v>0</v>
          </cell>
          <cell r="K8560" t="str">
            <v>Administration</v>
          </cell>
          <cell r="L8560" t="str">
            <v>Professional Service</v>
          </cell>
          <cell r="N8560" t="str">
            <v>SG&amp;A</v>
          </cell>
          <cell r="O8560" t="str">
            <v>[No Vendor]</v>
          </cell>
        </row>
        <row r="8561">
          <cell r="D8561">
            <v>1284.9000000000001</v>
          </cell>
          <cell r="H8561">
            <v>45778</v>
          </cell>
          <cell r="I8561" t="str">
            <v>6385 - Insurance</v>
          </cell>
          <cell r="J8561">
            <v>0</v>
          </cell>
          <cell r="K8561" t="str">
            <v>Administration</v>
          </cell>
          <cell r="L8561" t="str">
            <v>Professional Service</v>
          </cell>
          <cell r="N8561" t="str">
            <v>SG&amp;A</v>
          </cell>
          <cell r="O8561" t="str">
            <v>Travelers CL Remittance Center</v>
          </cell>
        </row>
        <row r="8562">
          <cell r="D8562">
            <v>275.72000000000003</v>
          </cell>
          <cell r="H8562">
            <v>45778</v>
          </cell>
          <cell r="I8562" t="str">
            <v>6400 - Utilities</v>
          </cell>
          <cell r="J8562">
            <v>0</v>
          </cell>
          <cell r="K8562" t="str">
            <v>Administration</v>
          </cell>
          <cell r="L8562" t="str">
            <v>Other</v>
          </cell>
          <cell r="N8562" t="str">
            <v>SG&amp;A</v>
          </cell>
          <cell r="O8562" t="str">
            <v>[No Vendor]</v>
          </cell>
        </row>
        <row r="8563">
          <cell r="D8563">
            <v>66.72</v>
          </cell>
          <cell r="H8563">
            <v>45778</v>
          </cell>
          <cell r="I8563" t="str">
            <v>7060 - Information Technology &amp; Software</v>
          </cell>
          <cell r="J8563">
            <v>0</v>
          </cell>
          <cell r="K8563" t="str">
            <v>Executive</v>
          </cell>
          <cell r="L8563" t="str">
            <v>Depreciation &amp; Amortization</v>
          </cell>
          <cell r="N8563" t="str">
            <v>SG&amp;A</v>
          </cell>
          <cell r="O8563" t="str">
            <v>[No Vendor]</v>
          </cell>
        </row>
        <row r="8564">
          <cell r="D8564">
            <v>113.67</v>
          </cell>
          <cell r="H8564">
            <v>45778</v>
          </cell>
          <cell r="I8564" t="str">
            <v>7060 - Information Technology &amp; Software</v>
          </cell>
          <cell r="J8564" t="str">
            <v>Wholesale</v>
          </cell>
          <cell r="K8564" t="str">
            <v>Wholesale</v>
          </cell>
          <cell r="L8564" t="str">
            <v>Depreciation &amp; Amortization</v>
          </cell>
          <cell r="N8564" t="str">
            <v>SG&amp;A</v>
          </cell>
          <cell r="O8564" t="str">
            <v>[No Vendor]</v>
          </cell>
        </row>
        <row r="8565">
          <cell r="D8565">
            <v>228.04</v>
          </cell>
          <cell r="H8565">
            <v>45778</v>
          </cell>
          <cell r="I8565" t="str">
            <v>7060 - Information Technology &amp; Software</v>
          </cell>
          <cell r="J8565" t="str">
            <v>Ecommerce (US)</v>
          </cell>
          <cell r="K8565" t="str">
            <v>Ecommerce</v>
          </cell>
          <cell r="L8565" t="str">
            <v>Depreciation &amp; Amortization</v>
          </cell>
          <cell r="N8565" t="str">
            <v>SG&amp;A</v>
          </cell>
          <cell r="O8565" t="str">
            <v>[No Vendor]</v>
          </cell>
        </row>
        <row r="8566">
          <cell r="D8566">
            <v>147.88999999999999</v>
          </cell>
          <cell r="H8566">
            <v>45778</v>
          </cell>
          <cell r="I8566" t="str">
            <v>7060 - Information Technology &amp; Software</v>
          </cell>
          <cell r="J8566">
            <v>0</v>
          </cell>
          <cell r="K8566" t="str">
            <v>Production</v>
          </cell>
          <cell r="L8566" t="str">
            <v>Depreciation &amp; Amortization</v>
          </cell>
          <cell r="N8566" t="str">
            <v>SG&amp;A</v>
          </cell>
          <cell r="O8566" t="str">
            <v>[No Vendor]</v>
          </cell>
        </row>
        <row r="8567">
          <cell r="D8567">
            <v>188.91</v>
          </cell>
          <cell r="H8567">
            <v>45778</v>
          </cell>
          <cell r="I8567" t="str">
            <v>7060 - Information Technology &amp; Software</v>
          </cell>
          <cell r="J8567">
            <v>0</v>
          </cell>
          <cell r="K8567" t="str">
            <v>Design</v>
          </cell>
          <cell r="L8567" t="str">
            <v>Depreciation &amp; Amortization</v>
          </cell>
          <cell r="N8567" t="str">
            <v>SG&amp;A</v>
          </cell>
          <cell r="O8567" t="str">
            <v>[No Vendor]</v>
          </cell>
        </row>
        <row r="8568">
          <cell r="D8568">
            <v>65.48</v>
          </cell>
          <cell r="H8568">
            <v>45778</v>
          </cell>
          <cell r="I8568" t="str">
            <v>7060 - Information Technology &amp; Software</v>
          </cell>
          <cell r="J8568">
            <v>0</v>
          </cell>
          <cell r="K8568" t="str">
            <v>Merchandising</v>
          </cell>
          <cell r="L8568" t="str">
            <v>Depreciation &amp; Amortization</v>
          </cell>
          <cell r="N8568" t="str">
            <v>SG&amp;A</v>
          </cell>
          <cell r="O8568" t="str">
            <v>[No Vendor]</v>
          </cell>
        </row>
        <row r="8569">
          <cell r="D8569">
            <v>166.9</v>
          </cell>
          <cell r="H8569">
            <v>45778</v>
          </cell>
          <cell r="I8569" t="str">
            <v>7060 - Information Technology &amp; Software</v>
          </cell>
          <cell r="J8569">
            <v>0</v>
          </cell>
          <cell r="K8569" t="str">
            <v>Brand Marketing</v>
          </cell>
          <cell r="L8569" t="str">
            <v>Depreciation &amp; Amortization</v>
          </cell>
          <cell r="N8569" t="str">
            <v>SG&amp;A</v>
          </cell>
          <cell r="O8569" t="str">
            <v>[No Vendor]</v>
          </cell>
        </row>
        <row r="8570">
          <cell r="D8570">
            <v>533.32000000000005</v>
          </cell>
          <cell r="H8570">
            <v>45778</v>
          </cell>
          <cell r="I8570" t="str">
            <v>7060 - Information Technology &amp; Software</v>
          </cell>
          <cell r="J8570">
            <v>0</v>
          </cell>
          <cell r="K8570" t="str">
            <v>Administration</v>
          </cell>
          <cell r="L8570" t="str">
            <v>Depreciation &amp; Amortization</v>
          </cell>
          <cell r="N8570" t="str">
            <v>SG&amp;A</v>
          </cell>
          <cell r="O8570" t="str">
            <v>[No Vendor]</v>
          </cell>
        </row>
        <row r="8571">
          <cell r="D8571">
            <v>259.97000000000003</v>
          </cell>
          <cell r="H8571">
            <v>45778</v>
          </cell>
          <cell r="I8571" t="str">
            <v>7040 - Furniture &amp; Fixtures</v>
          </cell>
          <cell r="J8571" t="str">
            <v>Wholesale</v>
          </cell>
          <cell r="K8571" t="str">
            <v>Wholesale</v>
          </cell>
          <cell r="L8571" t="str">
            <v>Depreciation &amp; Amortization</v>
          </cell>
          <cell r="N8571" t="str">
            <v>SG&amp;A</v>
          </cell>
          <cell r="O8571" t="str">
            <v>[No Vendor]</v>
          </cell>
        </row>
        <row r="8572">
          <cell r="D8572">
            <v>141.36000000000001</v>
          </cell>
          <cell r="H8572">
            <v>45778</v>
          </cell>
          <cell r="I8572" t="str">
            <v>7040 - Furniture &amp; Fixtures</v>
          </cell>
          <cell r="J8572">
            <v>0</v>
          </cell>
          <cell r="K8572" t="str">
            <v>Administration</v>
          </cell>
          <cell r="L8572" t="str">
            <v>Depreciation &amp; Amortization</v>
          </cell>
          <cell r="N8572" t="str">
            <v>SG&amp;A</v>
          </cell>
          <cell r="O8572" t="str">
            <v>[No Vendor]</v>
          </cell>
        </row>
        <row r="8573">
          <cell r="D8573">
            <v>912.94</v>
          </cell>
          <cell r="H8573">
            <v>45778</v>
          </cell>
          <cell r="I8573" t="str">
            <v>6055 - Employer Social Security Tax Withheld</v>
          </cell>
          <cell r="J8573">
            <v>0</v>
          </cell>
          <cell r="K8573" t="str">
            <v>Administration</v>
          </cell>
          <cell r="L8573" t="str">
            <v>HQ Salaries</v>
          </cell>
          <cell r="N8573" t="str">
            <v>SG&amp;A</v>
          </cell>
          <cell r="O8573" t="str">
            <v>[No Vendor]</v>
          </cell>
        </row>
        <row r="8574">
          <cell r="D8574">
            <v>598.97</v>
          </cell>
          <cell r="H8574">
            <v>45778</v>
          </cell>
          <cell r="I8574" t="str">
            <v>6055 - Employer Social Security Tax Withheld</v>
          </cell>
          <cell r="J8574">
            <v>0</v>
          </cell>
          <cell r="K8574" t="str">
            <v>Executive</v>
          </cell>
          <cell r="L8574" t="str">
            <v>HQ Salaries</v>
          </cell>
          <cell r="N8574" t="str">
            <v>SG&amp;A</v>
          </cell>
          <cell r="O8574" t="str">
            <v>[No Vendor]</v>
          </cell>
        </row>
        <row r="8575">
          <cell r="D8575">
            <v>1343.67</v>
          </cell>
          <cell r="H8575">
            <v>45778</v>
          </cell>
          <cell r="I8575" t="str">
            <v>6055 - Employer Social Security Tax Withheld</v>
          </cell>
          <cell r="J8575" t="str">
            <v>Ecommerce (US)</v>
          </cell>
          <cell r="K8575" t="str">
            <v>Ecommerce</v>
          </cell>
          <cell r="L8575" t="str">
            <v>HQ Salaries</v>
          </cell>
          <cell r="N8575" t="str">
            <v>SG&amp;A</v>
          </cell>
          <cell r="O8575" t="str">
            <v>[No Vendor]</v>
          </cell>
        </row>
        <row r="8576">
          <cell r="D8576">
            <v>1087.23</v>
          </cell>
          <cell r="H8576">
            <v>45778</v>
          </cell>
          <cell r="I8576" t="str">
            <v>6055 - Employer Social Security Tax Withheld</v>
          </cell>
          <cell r="J8576">
            <v>0</v>
          </cell>
          <cell r="K8576" t="str">
            <v>Design</v>
          </cell>
          <cell r="L8576" t="str">
            <v>HQ Salaries</v>
          </cell>
          <cell r="N8576" t="str">
            <v>SG&amp;A</v>
          </cell>
          <cell r="O8576" t="str">
            <v>[No Vendor]</v>
          </cell>
        </row>
        <row r="8577">
          <cell r="D8577">
            <v>486.77</v>
          </cell>
          <cell r="H8577">
            <v>45778</v>
          </cell>
          <cell r="I8577" t="str">
            <v>6055 - Employer Social Security Tax Withheld</v>
          </cell>
          <cell r="J8577">
            <v>0</v>
          </cell>
          <cell r="K8577" t="str">
            <v>Merchandising</v>
          </cell>
          <cell r="L8577" t="str">
            <v>HQ Salaries</v>
          </cell>
          <cell r="N8577" t="str">
            <v>SG&amp;A</v>
          </cell>
          <cell r="O8577" t="str">
            <v>[No Vendor]</v>
          </cell>
        </row>
        <row r="8578">
          <cell r="D8578">
            <v>180.68</v>
          </cell>
          <cell r="H8578">
            <v>45778</v>
          </cell>
          <cell r="I8578" t="str">
            <v>6055 - Employer Social Security Tax Withheld</v>
          </cell>
          <cell r="J8578" t="str">
            <v>Wholesale</v>
          </cell>
          <cell r="K8578" t="str">
            <v>Wholesale</v>
          </cell>
          <cell r="L8578" t="str">
            <v>HQ Salaries</v>
          </cell>
          <cell r="N8578" t="str">
            <v>SG&amp;A</v>
          </cell>
          <cell r="O8578" t="str">
            <v>[No Vendor]</v>
          </cell>
        </row>
        <row r="8579">
          <cell r="D8579">
            <v>805.9</v>
          </cell>
          <cell r="H8579">
            <v>45778</v>
          </cell>
          <cell r="I8579" t="str">
            <v>6055 - Employer Social Security Tax Withheld</v>
          </cell>
          <cell r="J8579">
            <v>0</v>
          </cell>
          <cell r="K8579" t="str">
            <v>Production</v>
          </cell>
          <cell r="L8579" t="str">
            <v>HQ Salaries</v>
          </cell>
          <cell r="N8579" t="str">
            <v>SG&amp;A</v>
          </cell>
          <cell r="O8579" t="str">
            <v>[No Vendor]</v>
          </cell>
        </row>
        <row r="8580">
          <cell r="D8580">
            <v>216.58</v>
          </cell>
          <cell r="H8580">
            <v>45778</v>
          </cell>
          <cell r="I8580" t="str">
            <v>6055 - Employer Social Security Tax Withheld</v>
          </cell>
          <cell r="J8580">
            <v>0</v>
          </cell>
          <cell r="K8580" t="str">
            <v>Brand Marketing</v>
          </cell>
          <cell r="L8580" t="str">
            <v>HQ Salaries</v>
          </cell>
          <cell r="N8580" t="str">
            <v>SG&amp;A</v>
          </cell>
          <cell r="O8580" t="str">
            <v>[No Vendor]</v>
          </cell>
        </row>
        <row r="8581">
          <cell r="D8581">
            <v>14989.93</v>
          </cell>
          <cell r="H8581">
            <v>45778</v>
          </cell>
          <cell r="I8581" t="str">
            <v>5000 - Cost of Goods Sold</v>
          </cell>
          <cell r="J8581" t="str">
            <v>Ecommerce (US)</v>
          </cell>
          <cell r="K8581" t="str">
            <v>Ecommerce</v>
          </cell>
          <cell r="L8581" t="str">
            <v>COGS</v>
          </cell>
          <cell r="N8581" t="str">
            <v>COGS</v>
          </cell>
          <cell r="O8581" t="str">
            <v>[No Vendor]</v>
          </cell>
        </row>
        <row r="8582">
          <cell r="D8582">
            <v>28184.86</v>
          </cell>
          <cell r="H8582">
            <v>45778</v>
          </cell>
          <cell r="I8582" t="str">
            <v>5000 - Cost of Goods Sold</v>
          </cell>
          <cell r="J8582" t="str">
            <v>Ecommerce (EU)</v>
          </cell>
          <cell r="K8582" t="str">
            <v>Ecommerce</v>
          </cell>
          <cell r="L8582" t="str">
            <v>COGS</v>
          </cell>
          <cell r="N8582" t="str">
            <v>COGS</v>
          </cell>
          <cell r="O8582" t="str">
            <v>[No Vendor]</v>
          </cell>
        </row>
        <row r="8583">
          <cell r="D8583">
            <v>453655.36</v>
          </cell>
          <cell r="H8583">
            <v>45778</v>
          </cell>
          <cell r="I8583" t="str">
            <v>5000 - Cost of Goods Sold</v>
          </cell>
          <cell r="J8583" t="str">
            <v>Ecommerce (US)</v>
          </cell>
          <cell r="K8583" t="str">
            <v>Ecommerce</v>
          </cell>
          <cell r="L8583" t="str">
            <v>COGS</v>
          </cell>
          <cell r="N8583" t="str">
            <v>COGS</v>
          </cell>
          <cell r="O8583" t="str">
            <v>[No Vendor]</v>
          </cell>
        </row>
        <row r="8584">
          <cell r="D8584">
            <v>-1034.45</v>
          </cell>
          <cell r="H8584">
            <v>45778</v>
          </cell>
          <cell r="I8584" t="str">
            <v>5000 - Cost of Goods Sold</v>
          </cell>
          <cell r="J8584" t="str">
            <v>Wholesale</v>
          </cell>
          <cell r="K8584" t="str">
            <v>Wholesale</v>
          </cell>
          <cell r="L8584" t="str">
            <v>COGS</v>
          </cell>
          <cell r="N8584" t="str">
            <v>COGS</v>
          </cell>
          <cell r="O8584" t="str">
            <v>[No Vendor]</v>
          </cell>
        </row>
        <row r="8585">
          <cell r="D8585">
            <v>48391.38</v>
          </cell>
          <cell r="H8585">
            <v>45778</v>
          </cell>
          <cell r="I8585" t="str">
            <v>5000 - Cost of Goods Sold</v>
          </cell>
          <cell r="J8585" t="str">
            <v>Wholesale</v>
          </cell>
          <cell r="K8585" t="str">
            <v>Wholesale</v>
          </cell>
          <cell r="L8585" t="str">
            <v>COGS</v>
          </cell>
          <cell r="N8585" t="str">
            <v>COGS</v>
          </cell>
          <cell r="O8585" t="str">
            <v>[No Vendor]</v>
          </cell>
        </row>
        <row r="8586">
          <cell r="D8586">
            <v>0</v>
          </cell>
          <cell r="H8586">
            <v>45778</v>
          </cell>
          <cell r="I8586" t="str">
            <v>4070 - Sales - Other</v>
          </cell>
          <cell r="J8586">
            <v>0</v>
          </cell>
          <cell r="K8586" t="str">
            <v>Licensing</v>
          </cell>
          <cell r="L8586" t="str">
            <v>Other Income</v>
          </cell>
          <cell r="N8586" t="str">
            <v>Revenue</v>
          </cell>
          <cell r="O8586" t="str">
            <v>[No Vendor]</v>
          </cell>
        </row>
        <row r="8587">
          <cell r="D8587">
            <v>0</v>
          </cell>
          <cell r="H8587">
            <v>45778</v>
          </cell>
          <cell r="I8587" t="str">
            <v>8000 - Interest Income</v>
          </cell>
          <cell r="J8587">
            <v>0</v>
          </cell>
          <cell r="K8587" t="str">
            <v>Licensing</v>
          </cell>
          <cell r="L8587" t="str">
            <v>Other Income (BTL)</v>
          </cell>
          <cell r="N8587" t="str">
            <v>BTL</v>
          </cell>
          <cell r="O8587" t="str">
            <v>[No Vendor]</v>
          </cell>
        </row>
        <row r="8588">
          <cell r="D8588">
            <v>22.75</v>
          </cell>
          <cell r="H8588">
            <v>45778</v>
          </cell>
          <cell r="I8588" t="str">
            <v>6487 - Interest Expense</v>
          </cell>
          <cell r="J8588">
            <v>0</v>
          </cell>
          <cell r="K8588" t="str">
            <v>Administration</v>
          </cell>
          <cell r="L8588" t="str">
            <v>Interest</v>
          </cell>
          <cell r="N8588" t="str">
            <v>BTL</v>
          </cell>
          <cell r="O8588" t="str">
            <v>[No Vendor]</v>
          </cell>
        </row>
        <row r="8589">
          <cell r="D8589">
            <v>7478.94</v>
          </cell>
          <cell r="H8589">
            <v>45778</v>
          </cell>
          <cell r="I8589" t="str">
            <v>6487 - Interest Expense</v>
          </cell>
          <cell r="J8589">
            <v>0</v>
          </cell>
          <cell r="K8589" t="str">
            <v>Administration</v>
          </cell>
          <cell r="L8589" t="str">
            <v>Interest</v>
          </cell>
          <cell r="N8589" t="str">
            <v>BTL</v>
          </cell>
          <cell r="O8589" t="str">
            <v>[No Vendor]</v>
          </cell>
        </row>
        <row r="8590">
          <cell r="D8590">
            <v>9767.1200000000008</v>
          </cell>
          <cell r="H8590">
            <v>45778</v>
          </cell>
          <cell r="I8590" t="str">
            <v>6487 - Interest Expense</v>
          </cell>
          <cell r="J8590">
            <v>0</v>
          </cell>
          <cell r="K8590" t="str">
            <v>Administration</v>
          </cell>
          <cell r="L8590" t="str">
            <v>Interest</v>
          </cell>
          <cell r="N8590" t="str">
            <v>BTL</v>
          </cell>
          <cell r="O8590" t="str">
            <v>[No Vendor]</v>
          </cell>
        </row>
        <row r="8591">
          <cell r="D8591">
            <v>11720.55</v>
          </cell>
          <cell r="H8591">
            <v>45778</v>
          </cell>
          <cell r="I8591" t="str">
            <v>6487 - Interest Expense</v>
          </cell>
          <cell r="J8591">
            <v>0</v>
          </cell>
          <cell r="K8591" t="str">
            <v>Administration</v>
          </cell>
          <cell r="L8591" t="str">
            <v>Interest</v>
          </cell>
          <cell r="N8591" t="str">
            <v>BTL</v>
          </cell>
          <cell r="O8591" t="str">
            <v>[No Vendor]</v>
          </cell>
        </row>
        <row r="8592">
          <cell r="D8592">
            <v>3906.85</v>
          </cell>
          <cell r="H8592">
            <v>45778</v>
          </cell>
          <cell r="I8592" t="str">
            <v>6487 - Interest Expense</v>
          </cell>
          <cell r="J8592">
            <v>0</v>
          </cell>
          <cell r="K8592" t="str">
            <v>Administration</v>
          </cell>
          <cell r="L8592" t="str">
            <v>Interest</v>
          </cell>
          <cell r="N8592" t="str">
            <v>BTL</v>
          </cell>
          <cell r="O8592" t="str">
            <v>[No Vendor]</v>
          </cell>
        </row>
        <row r="8593">
          <cell r="D8593">
            <v>15236.71</v>
          </cell>
          <cell r="H8593">
            <v>45778</v>
          </cell>
          <cell r="I8593" t="str">
            <v>6487 - Interest Expense</v>
          </cell>
          <cell r="J8593">
            <v>0</v>
          </cell>
          <cell r="K8593" t="str">
            <v>Administration</v>
          </cell>
          <cell r="L8593" t="str">
            <v>Interest</v>
          </cell>
          <cell r="N8593" t="str">
            <v>BTL</v>
          </cell>
          <cell r="O8593" t="str">
            <v>[No Vendor]</v>
          </cell>
        </row>
        <row r="8594">
          <cell r="D8594">
            <v>5860.27</v>
          </cell>
          <cell r="H8594">
            <v>45778</v>
          </cell>
          <cell r="I8594" t="str">
            <v>6487 - Interest Expense</v>
          </cell>
          <cell r="J8594">
            <v>0</v>
          </cell>
          <cell r="K8594" t="str">
            <v>Administration</v>
          </cell>
          <cell r="L8594" t="str">
            <v>Interest</v>
          </cell>
          <cell r="N8594" t="str">
            <v>BTL</v>
          </cell>
          <cell r="O8594" t="str">
            <v>[No Vendor]</v>
          </cell>
        </row>
        <row r="8595">
          <cell r="D8595">
            <v>4297.53</v>
          </cell>
          <cell r="H8595">
            <v>45778</v>
          </cell>
          <cell r="I8595" t="str">
            <v>6487 - Interest Expense</v>
          </cell>
          <cell r="J8595">
            <v>0</v>
          </cell>
          <cell r="K8595" t="str">
            <v>Administration</v>
          </cell>
          <cell r="L8595" t="str">
            <v>Interest</v>
          </cell>
          <cell r="N8595" t="str">
            <v>BTL</v>
          </cell>
          <cell r="O8595" t="str">
            <v>[No Vendor]</v>
          </cell>
        </row>
        <row r="8596">
          <cell r="D8596">
            <v>833.33</v>
          </cell>
          <cell r="H8596">
            <v>45778</v>
          </cell>
          <cell r="I8596" t="str">
            <v>6225 - Professional Services</v>
          </cell>
          <cell r="J8596">
            <v>0</v>
          </cell>
          <cell r="K8596" t="str">
            <v>Administration</v>
          </cell>
          <cell r="L8596" t="str">
            <v>Professional Service</v>
          </cell>
          <cell r="N8596" t="str">
            <v>Direct Costs</v>
          </cell>
          <cell r="O8596" t="str">
            <v>Procyon Benefits LLC</v>
          </cell>
        </row>
        <row r="8597">
          <cell r="D8597">
            <v>153</v>
          </cell>
          <cell r="H8597">
            <v>45778</v>
          </cell>
          <cell r="I8597" t="str">
            <v>6420 - Licenses &amp; Membership</v>
          </cell>
          <cell r="J8597">
            <v>0</v>
          </cell>
          <cell r="K8597" t="str">
            <v>Brand Marketing</v>
          </cell>
          <cell r="L8597" t="str">
            <v>Professional Service</v>
          </cell>
          <cell r="N8597" t="str">
            <v>SG&amp;A</v>
          </cell>
          <cell r="O8597" t="str">
            <v>[No Vendor]</v>
          </cell>
        </row>
        <row r="8598">
          <cell r="D8598">
            <v>175</v>
          </cell>
          <cell r="H8598">
            <v>45778</v>
          </cell>
          <cell r="I8598" t="str">
            <v>6420 - Licenses &amp; Membership</v>
          </cell>
          <cell r="J8598">
            <v>0</v>
          </cell>
          <cell r="K8598" t="str">
            <v>Production</v>
          </cell>
          <cell r="L8598" t="str">
            <v>Professional Service</v>
          </cell>
          <cell r="N8598" t="str">
            <v>SG&amp;A</v>
          </cell>
          <cell r="O8598" t="str">
            <v>GS1</v>
          </cell>
        </row>
        <row r="8599">
          <cell r="D8599">
            <v>-30113.77</v>
          </cell>
          <cell r="H8599">
            <v>45778</v>
          </cell>
          <cell r="I8599" t="str">
            <v>6320 - Building Rent</v>
          </cell>
          <cell r="J8599">
            <v>0</v>
          </cell>
          <cell r="K8599" t="str">
            <v>Administration</v>
          </cell>
          <cell r="L8599" t="str">
            <v>Rent</v>
          </cell>
          <cell r="N8599" t="str">
            <v>SG&amp;A</v>
          </cell>
          <cell r="O8599" t="str">
            <v>[No Vendor]</v>
          </cell>
        </row>
        <row r="8600">
          <cell r="D8600">
            <v>-52207</v>
          </cell>
          <cell r="H8600">
            <v>45778</v>
          </cell>
          <cell r="I8600" t="str">
            <v>6375 - Freight Expenses</v>
          </cell>
          <cell r="J8600" t="str">
            <v>Ecommerce (US)</v>
          </cell>
          <cell r="K8600" t="str">
            <v>Ecommerce</v>
          </cell>
          <cell r="L8600" t="str">
            <v>Freight</v>
          </cell>
          <cell r="N8600" t="str">
            <v>Direct Costs</v>
          </cell>
          <cell r="O8600" t="str">
            <v>[No Vendor]</v>
          </cell>
        </row>
        <row r="8601">
          <cell r="D8601">
            <v>-2032</v>
          </cell>
          <cell r="H8601">
            <v>45778</v>
          </cell>
          <cell r="I8601" t="str">
            <v>6375 - Freight Expenses</v>
          </cell>
          <cell r="J8601" t="str">
            <v>Ecommerce (US)</v>
          </cell>
          <cell r="K8601" t="str">
            <v>Ecommerce</v>
          </cell>
          <cell r="L8601" t="str">
            <v>Freight</v>
          </cell>
          <cell r="N8601" t="str">
            <v>Direct Costs</v>
          </cell>
          <cell r="O8601" t="str">
            <v>[No Vendor]</v>
          </cell>
        </row>
        <row r="8602">
          <cell r="D8602">
            <v>603.74</v>
          </cell>
          <cell r="H8602">
            <v>45778</v>
          </cell>
          <cell r="I8602" t="str">
            <v>6375 - Freight Expenses</v>
          </cell>
          <cell r="J8602" t="str">
            <v>Ecommerce (US)</v>
          </cell>
          <cell r="K8602" t="str">
            <v>Ecommerce</v>
          </cell>
          <cell r="L8602" t="str">
            <v>Freight</v>
          </cell>
          <cell r="N8602" t="str">
            <v>Direct Costs</v>
          </cell>
          <cell r="O8602" t="str">
            <v>Amazon</v>
          </cell>
        </row>
        <row r="8603">
          <cell r="D8603">
            <v>-3354.5</v>
          </cell>
          <cell r="H8603">
            <v>45778</v>
          </cell>
          <cell r="I8603" t="str">
            <v>6375 - Freight Expenses</v>
          </cell>
          <cell r="J8603" t="str">
            <v>Wholesale</v>
          </cell>
          <cell r="K8603" t="str">
            <v>Wholesale</v>
          </cell>
          <cell r="L8603" t="str">
            <v>Freight</v>
          </cell>
          <cell r="N8603" t="str">
            <v>Direct Costs</v>
          </cell>
          <cell r="O8603" t="str">
            <v>[No Vendor]</v>
          </cell>
        </row>
        <row r="8604">
          <cell r="D8604">
            <v>9796.0400000000009</v>
          </cell>
          <cell r="H8604">
            <v>45778</v>
          </cell>
          <cell r="I8604" t="str">
            <v>6375 - Freight Expenses</v>
          </cell>
          <cell r="J8604" t="str">
            <v>Ecommerce (EU)</v>
          </cell>
          <cell r="K8604" t="str">
            <v>Ecommerce</v>
          </cell>
          <cell r="L8604" t="str">
            <v>Freight</v>
          </cell>
          <cell r="N8604" t="str">
            <v>Direct Costs</v>
          </cell>
          <cell r="O8604" t="str">
            <v>Global E</v>
          </cell>
        </row>
        <row r="8605">
          <cell r="D8605">
            <v>14.15</v>
          </cell>
          <cell r="H8605">
            <v>45778</v>
          </cell>
          <cell r="I8605" t="str">
            <v>7030 - Plant Machinery &amp; Equipment</v>
          </cell>
          <cell r="J8605">
            <v>0</v>
          </cell>
          <cell r="K8605" t="str">
            <v>Administration</v>
          </cell>
          <cell r="L8605" t="str">
            <v>Depreciation &amp; Amortization</v>
          </cell>
          <cell r="N8605" t="str">
            <v>SG&amp;A</v>
          </cell>
          <cell r="O8605" t="str">
            <v>[No Vendor]</v>
          </cell>
        </row>
        <row r="8606">
          <cell r="D8606">
            <v>15.83</v>
          </cell>
          <cell r="H8606">
            <v>45778</v>
          </cell>
          <cell r="I8606" t="str">
            <v>7030 - Plant Machinery &amp; Equipment</v>
          </cell>
          <cell r="J8606">
            <v>0</v>
          </cell>
          <cell r="K8606" t="str">
            <v>Production</v>
          </cell>
          <cell r="L8606" t="str">
            <v>Depreciation &amp; Amortization</v>
          </cell>
          <cell r="N8606" t="str">
            <v>SG&amp;A</v>
          </cell>
          <cell r="O8606" t="str">
            <v>[No Vendor]</v>
          </cell>
        </row>
        <row r="8607">
          <cell r="D8607">
            <v>-169.02</v>
          </cell>
          <cell r="H8607">
            <v>45778</v>
          </cell>
          <cell r="I8607" t="str">
            <v>6040 - Employer Paid Benefits</v>
          </cell>
          <cell r="J8607">
            <v>0</v>
          </cell>
          <cell r="K8607" t="str">
            <v>Administration</v>
          </cell>
          <cell r="L8607" t="str">
            <v>HQ Salaries</v>
          </cell>
          <cell r="N8607" t="str">
            <v>SG&amp;A</v>
          </cell>
          <cell r="O8607" t="str">
            <v>[No Vendor]</v>
          </cell>
        </row>
        <row r="8608">
          <cell r="D8608">
            <v>-166.26</v>
          </cell>
          <cell r="H8608">
            <v>45778</v>
          </cell>
          <cell r="I8608" t="str">
            <v>6040 - Employer Paid Benefits</v>
          </cell>
          <cell r="J8608">
            <v>0</v>
          </cell>
          <cell r="K8608" t="str">
            <v>Executive</v>
          </cell>
          <cell r="L8608" t="str">
            <v>HQ Salaries</v>
          </cell>
          <cell r="N8608" t="str">
            <v>SG&amp;A</v>
          </cell>
          <cell r="O8608" t="str">
            <v>[No Vendor]</v>
          </cell>
        </row>
        <row r="8609">
          <cell r="D8609">
            <v>-162.1</v>
          </cell>
          <cell r="H8609">
            <v>45778</v>
          </cell>
          <cell r="I8609" t="str">
            <v>6040 - Employer Paid Benefits</v>
          </cell>
          <cell r="J8609" t="str">
            <v>Ecommerce (US)</v>
          </cell>
          <cell r="K8609" t="str">
            <v>Ecommerce</v>
          </cell>
          <cell r="L8609" t="str">
            <v>HQ Salaries</v>
          </cell>
          <cell r="N8609" t="str">
            <v>SG&amp;A</v>
          </cell>
          <cell r="O8609" t="str">
            <v>[No Vendor]</v>
          </cell>
        </row>
        <row r="8610">
          <cell r="D8610">
            <v>-221.21</v>
          </cell>
          <cell r="H8610">
            <v>45778</v>
          </cell>
          <cell r="I8610" t="str">
            <v>6040 - Employer Paid Benefits</v>
          </cell>
          <cell r="J8610">
            <v>0</v>
          </cell>
          <cell r="K8610" t="str">
            <v>Design</v>
          </cell>
          <cell r="L8610" t="str">
            <v>HQ Salaries</v>
          </cell>
          <cell r="N8610" t="str">
            <v>SG&amp;A</v>
          </cell>
          <cell r="O8610" t="str">
            <v>[No Vendor]</v>
          </cell>
        </row>
        <row r="8611">
          <cell r="D8611">
            <v>-17.45</v>
          </cell>
          <cell r="H8611">
            <v>45778</v>
          </cell>
          <cell r="I8611" t="str">
            <v>6040 - Employer Paid Benefits</v>
          </cell>
          <cell r="J8611">
            <v>0</v>
          </cell>
          <cell r="K8611" t="str">
            <v>Merchandising</v>
          </cell>
          <cell r="L8611" t="str">
            <v>HQ Salaries</v>
          </cell>
          <cell r="N8611" t="str">
            <v>SG&amp;A</v>
          </cell>
          <cell r="O8611" t="str">
            <v>[No Vendor]</v>
          </cell>
        </row>
        <row r="8612">
          <cell r="D8612">
            <v>-17.45</v>
          </cell>
          <cell r="H8612">
            <v>45778</v>
          </cell>
          <cell r="I8612" t="str">
            <v>6040 - Employer Paid Benefits</v>
          </cell>
          <cell r="J8612" t="str">
            <v>Wholesale</v>
          </cell>
          <cell r="K8612" t="str">
            <v>Wholesale</v>
          </cell>
          <cell r="L8612" t="str">
            <v>HQ Salaries</v>
          </cell>
          <cell r="N8612" t="str">
            <v>SG&amp;A</v>
          </cell>
          <cell r="O8612" t="str">
            <v>[No Vendor]</v>
          </cell>
        </row>
        <row r="8613">
          <cell r="D8613">
            <v>-112.85</v>
          </cell>
          <cell r="H8613">
            <v>45778</v>
          </cell>
          <cell r="I8613" t="str">
            <v>6040 - Employer Paid Benefits</v>
          </cell>
          <cell r="J8613">
            <v>0</v>
          </cell>
          <cell r="K8613" t="str">
            <v>Production</v>
          </cell>
          <cell r="L8613" t="str">
            <v>HQ Salaries</v>
          </cell>
          <cell r="N8613" t="str">
            <v>SG&amp;A</v>
          </cell>
          <cell r="O8613" t="str">
            <v>[No Vendor]</v>
          </cell>
        </row>
        <row r="8614">
          <cell r="D8614">
            <v>-95.82</v>
          </cell>
          <cell r="H8614">
            <v>45778</v>
          </cell>
          <cell r="I8614" t="str">
            <v>6040 - Employer Paid Benefits</v>
          </cell>
          <cell r="J8614">
            <v>0</v>
          </cell>
          <cell r="K8614" t="str">
            <v>Brand Marketing</v>
          </cell>
          <cell r="L8614" t="str">
            <v>HQ Salaries</v>
          </cell>
          <cell r="N8614" t="str">
            <v>SG&amp;A</v>
          </cell>
          <cell r="O8614" t="str">
            <v>[No Vendor]</v>
          </cell>
        </row>
        <row r="8615">
          <cell r="D8615">
            <v>11219.25</v>
          </cell>
          <cell r="H8615">
            <v>45778</v>
          </cell>
          <cell r="I8615" t="str">
            <v>6005 - Salaries</v>
          </cell>
          <cell r="J8615">
            <v>0</v>
          </cell>
          <cell r="K8615" t="str">
            <v>Design</v>
          </cell>
          <cell r="L8615" t="str">
            <v>HQ Salaries</v>
          </cell>
          <cell r="N8615" t="str">
            <v>SG&amp;A</v>
          </cell>
          <cell r="O8615" t="str">
            <v>[No Vendor]</v>
          </cell>
        </row>
        <row r="8616">
          <cell r="D8616">
            <v>9498.08</v>
          </cell>
          <cell r="H8616">
            <v>45778</v>
          </cell>
          <cell r="I8616" t="str">
            <v>6005 - Salaries</v>
          </cell>
          <cell r="J8616">
            <v>0</v>
          </cell>
          <cell r="K8616" t="str">
            <v>Administration</v>
          </cell>
          <cell r="L8616" t="str">
            <v>HQ Salaries</v>
          </cell>
          <cell r="N8616" t="str">
            <v>SG&amp;A</v>
          </cell>
          <cell r="O8616" t="str">
            <v>[No Vendor]</v>
          </cell>
        </row>
        <row r="8617">
          <cell r="D8617">
            <v>5686.54</v>
          </cell>
          <cell r="H8617">
            <v>45778</v>
          </cell>
          <cell r="I8617" t="str">
            <v>6005 - Salaries</v>
          </cell>
          <cell r="J8617">
            <v>0</v>
          </cell>
          <cell r="K8617" t="str">
            <v>Executive</v>
          </cell>
          <cell r="L8617" t="str">
            <v>HQ Salaries</v>
          </cell>
          <cell r="N8617" t="str">
            <v>SG&amp;A</v>
          </cell>
          <cell r="O8617" t="str">
            <v>[No Vendor]</v>
          </cell>
        </row>
        <row r="8618">
          <cell r="D8618">
            <v>10353.86</v>
          </cell>
          <cell r="H8618">
            <v>45778</v>
          </cell>
          <cell r="I8618" t="str">
            <v>6005 - Salaries</v>
          </cell>
          <cell r="J8618" t="str">
            <v>Ecommerce (US)</v>
          </cell>
          <cell r="K8618" t="str">
            <v>Ecommerce</v>
          </cell>
          <cell r="L8618" t="str">
            <v>HQ Salaries</v>
          </cell>
          <cell r="N8618" t="str">
            <v>SG&amp;A</v>
          </cell>
          <cell r="O8618" t="str">
            <v>[No Vendor]</v>
          </cell>
        </row>
        <row r="8619">
          <cell r="D8619">
            <v>4526.93</v>
          </cell>
          <cell r="H8619">
            <v>45778</v>
          </cell>
          <cell r="I8619" t="str">
            <v>6005 - Salaries</v>
          </cell>
          <cell r="J8619">
            <v>0</v>
          </cell>
          <cell r="K8619" t="str">
            <v>Merchandising</v>
          </cell>
          <cell r="L8619" t="str">
            <v>HQ Salaries</v>
          </cell>
          <cell r="N8619" t="str">
            <v>SG&amp;A</v>
          </cell>
          <cell r="O8619" t="str">
            <v>[No Vendor]</v>
          </cell>
        </row>
        <row r="8620">
          <cell r="D8620">
            <v>1673.08</v>
          </cell>
          <cell r="H8620">
            <v>45778</v>
          </cell>
          <cell r="I8620" t="str">
            <v>6005 - Salaries</v>
          </cell>
          <cell r="J8620" t="str">
            <v>Wholesale</v>
          </cell>
          <cell r="K8620" t="str">
            <v>Wholesale</v>
          </cell>
          <cell r="L8620" t="str">
            <v>HQ Salaries</v>
          </cell>
          <cell r="N8620" t="str">
            <v>SG&amp;A</v>
          </cell>
          <cell r="O8620" t="str">
            <v>[No Vendor]</v>
          </cell>
        </row>
        <row r="8621">
          <cell r="D8621">
            <v>7573.08</v>
          </cell>
          <cell r="H8621">
            <v>45778</v>
          </cell>
          <cell r="I8621" t="str">
            <v>6005 - Salaries</v>
          </cell>
          <cell r="J8621">
            <v>0</v>
          </cell>
          <cell r="K8621" t="str">
            <v>Production</v>
          </cell>
          <cell r="L8621" t="str">
            <v>HQ Salaries</v>
          </cell>
          <cell r="N8621" t="str">
            <v>SG&amp;A</v>
          </cell>
          <cell r="O8621" t="str">
            <v>[No Vendor]</v>
          </cell>
        </row>
        <row r="8622">
          <cell r="D8622">
            <v>1442.31</v>
          </cell>
          <cell r="H8622">
            <v>45778</v>
          </cell>
          <cell r="I8622" t="str">
            <v>6005 - Salaries</v>
          </cell>
          <cell r="J8622">
            <v>0</v>
          </cell>
          <cell r="K8622" t="str">
            <v>Brand Marketing</v>
          </cell>
          <cell r="L8622" t="str">
            <v>HQ Salaries</v>
          </cell>
          <cell r="N8622" t="str">
            <v>SG&amp;A</v>
          </cell>
          <cell r="O8622" t="str">
            <v>[No Vendor]</v>
          </cell>
        </row>
        <row r="8623">
          <cell r="D8623">
            <v>0</v>
          </cell>
          <cell r="H8623">
            <v>45778</v>
          </cell>
          <cell r="I8623" t="str">
            <v>4020 - Revenue - Marketing Contribution</v>
          </cell>
          <cell r="J8623">
            <v>0</v>
          </cell>
          <cell r="K8623" t="str">
            <v>Licensing</v>
          </cell>
          <cell r="L8623" t="str">
            <v>License</v>
          </cell>
          <cell r="N8623" t="str">
            <v>Revenue</v>
          </cell>
          <cell r="O8623" t="str">
            <v>[No Vendor]</v>
          </cell>
        </row>
        <row r="8624">
          <cell r="D8624">
            <v>0</v>
          </cell>
          <cell r="H8624">
            <v>45778</v>
          </cell>
          <cell r="I8624" t="str">
            <v>4010 - Revenue - Licensing Fees (Royalties)</v>
          </cell>
          <cell r="J8624">
            <v>0</v>
          </cell>
          <cell r="K8624" t="str">
            <v>Licensing</v>
          </cell>
          <cell r="L8624" t="str">
            <v>License</v>
          </cell>
          <cell r="N8624" t="str">
            <v>Revenue</v>
          </cell>
          <cell r="O8624" t="str">
            <v>[No Vendor]</v>
          </cell>
        </row>
        <row r="8625">
          <cell r="D8625">
            <v>0</v>
          </cell>
          <cell r="H8625">
            <v>45778</v>
          </cell>
          <cell r="I8625" t="str">
            <v>4010 - Revenue - Licensing Fees (Royalties)</v>
          </cell>
          <cell r="J8625">
            <v>0</v>
          </cell>
          <cell r="K8625" t="str">
            <v>Licensing</v>
          </cell>
          <cell r="L8625" t="str">
            <v>License</v>
          </cell>
          <cell r="N8625" t="str">
            <v>Revenue</v>
          </cell>
          <cell r="O8625" t="str">
            <v>[No Vendor]</v>
          </cell>
        </row>
        <row r="8626">
          <cell r="D8626">
            <v>0</v>
          </cell>
          <cell r="H8626">
            <v>45778</v>
          </cell>
          <cell r="I8626" t="str">
            <v>4010 - Revenue - Licensing Fees (Royalties)</v>
          </cell>
          <cell r="J8626">
            <v>0</v>
          </cell>
          <cell r="K8626" t="str">
            <v>Licensing</v>
          </cell>
          <cell r="L8626" t="str">
            <v>License</v>
          </cell>
          <cell r="N8626" t="str">
            <v>Revenue</v>
          </cell>
          <cell r="O8626" t="str">
            <v>[No Vendor]</v>
          </cell>
        </row>
        <row r="8627">
          <cell r="D8627">
            <v>0</v>
          </cell>
          <cell r="H8627">
            <v>45778</v>
          </cell>
          <cell r="I8627" t="str">
            <v>4010 - Revenue - Licensing Fees (Royalties)</v>
          </cell>
          <cell r="J8627">
            <v>0</v>
          </cell>
          <cell r="K8627" t="str">
            <v>Licensing</v>
          </cell>
          <cell r="L8627" t="str">
            <v>License</v>
          </cell>
          <cell r="N8627" t="str">
            <v>Revenue</v>
          </cell>
          <cell r="O8627" t="str">
            <v>[No Vendor]</v>
          </cell>
        </row>
        <row r="8628">
          <cell r="D8628">
            <v>0</v>
          </cell>
          <cell r="H8628">
            <v>45778</v>
          </cell>
          <cell r="I8628" t="str">
            <v>4010 - Revenue - Licensing Fees (Royalties)</v>
          </cell>
          <cell r="J8628">
            <v>0</v>
          </cell>
          <cell r="K8628" t="str">
            <v>Licensing</v>
          </cell>
          <cell r="L8628" t="str">
            <v>License</v>
          </cell>
          <cell r="N8628" t="str">
            <v>Revenue</v>
          </cell>
          <cell r="O8628" t="str">
            <v>[No Vendor]</v>
          </cell>
        </row>
        <row r="8629">
          <cell r="D8629">
            <v>0</v>
          </cell>
          <cell r="H8629">
            <v>45778</v>
          </cell>
          <cell r="I8629" t="str">
            <v>4010 - Revenue - Licensing Fees (Royalties)</v>
          </cell>
          <cell r="J8629">
            <v>0</v>
          </cell>
          <cell r="K8629" t="str">
            <v>Licensing</v>
          </cell>
          <cell r="L8629" t="str">
            <v>License</v>
          </cell>
          <cell r="N8629" t="str">
            <v>Revenue</v>
          </cell>
          <cell r="O8629" t="str">
            <v>[No Vendor]</v>
          </cell>
        </row>
        <row r="8630">
          <cell r="D8630">
            <v>-4166.67</v>
          </cell>
          <cell r="H8630">
            <v>45778</v>
          </cell>
          <cell r="I8630" t="str">
            <v>4010 - Revenue - Licensing Fees (Royalties)</v>
          </cell>
          <cell r="J8630">
            <v>0</v>
          </cell>
          <cell r="K8630" t="str">
            <v>Licensing</v>
          </cell>
          <cell r="L8630" t="str">
            <v>License</v>
          </cell>
          <cell r="N8630" t="str">
            <v>Revenue</v>
          </cell>
          <cell r="O8630" t="str">
            <v>[No Vendor]</v>
          </cell>
        </row>
        <row r="8631">
          <cell r="D8631">
            <v>262.99</v>
          </cell>
          <cell r="H8631">
            <v>45809</v>
          </cell>
          <cell r="I8631" t="str">
            <v>6040 - Employer Paid Benefits</v>
          </cell>
          <cell r="J8631">
            <v>0</v>
          </cell>
          <cell r="K8631" t="str">
            <v>Administration</v>
          </cell>
          <cell r="L8631" t="str">
            <v>HQ Salaries</v>
          </cell>
          <cell r="N8631" t="str">
            <v>SG&amp;A</v>
          </cell>
          <cell r="O8631" t="str">
            <v>Allied Administrators</v>
          </cell>
        </row>
        <row r="8632">
          <cell r="D8632">
            <v>64267.87</v>
          </cell>
          <cell r="H8632">
            <v>45809</v>
          </cell>
          <cell r="I8632" t="str">
            <v>8700 - Other Expense</v>
          </cell>
          <cell r="J8632">
            <v>0</v>
          </cell>
          <cell r="K8632" t="str">
            <v>Administration</v>
          </cell>
          <cell r="L8632" t="str">
            <v>Other Expense</v>
          </cell>
          <cell r="N8632" t="str">
            <v>BTL</v>
          </cell>
          <cell r="O8632" t="str">
            <v>Bryan Cave Leighton Paisner LLP</v>
          </cell>
        </row>
        <row r="8633">
          <cell r="D8633">
            <v>585257.26</v>
          </cell>
          <cell r="H8633">
            <v>45809</v>
          </cell>
          <cell r="I8633" t="str">
            <v>8700 - Other Expense</v>
          </cell>
          <cell r="J8633">
            <v>0</v>
          </cell>
          <cell r="K8633" t="str">
            <v>Administration</v>
          </cell>
          <cell r="L8633" t="str">
            <v>Other Expense</v>
          </cell>
          <cell r="N8633" t="str">
            <v>BTL</v>
          </cell>
          <cell r="O8633" t="str">
            <v>Bryan Cave Leighton Paisner LLP</v>
          </cell>
        </row>
        <row r="8634">
          <cell r="D8634">
            <v>1109.98</v>
          </cell>
          <cell r="H8634">
            <v>45809</v>
          </cell>
          <cell r="I8634" t="str">
            <v>8700 - Other Expense</v>
          </cell>
          <cell r="J8634">
            <v>0</v>
          </cell>
          <cell r="K8634" t="str">
            <v>Administration</v>
          </cell>
          <cell r="L8634" t="str">
            <v>Other Expense</v>
          </cell>
          <cell r="N8634" t="str">
            <v>BTL</v>
          </cell>
          <cell r="O8634" t="str">
            <v>Ontier UK</v>
          </cell>
        </row>
        <row r="8635">
          <cell r="D8635">
            <v>961.98</v>
          </cell>
          <cell r="H8635">
            <v>45809</v>
          </cell>
          <cell r="I8635" t="str">
            <v>8700 - Other Expense</v>
          </cell>
          <cell r="J8635">
            <v>0</v>
          </cell>
          <cell r="K8635" t="str">
            <v>Administration</v>
          </cell>
          <cell r="L8635" t="str">
            <v>Other Expense</v>
          </cell>
          <cell r="N8635" t="str">
            <v>BTL</v>
          </cell>
          <cell r="O8635" t="str">
            <v>Ontier UK</v>
          </cell>
        </row>
        <row r="8636">
          <cell r="D8636">
            <v>4587.92</v>
          </cell>
          <cell r="H8636">
            <v>45809</v>
          </cell>
          <cell r="I8636" t="str">
            <v>8700 - Other Expense</v>
          </cell>
          <cell r="J8636">
            <v>0</v>
          </cell>
          <cell r="K8636" t="str">
            <v>Administration</v>
          </cell>
          <cell r="L8636" t="str">
            <v>Other Expense</v>
          </cell>
          <cell r="N8636" t="str">
            <v>BTL</v>
          </cell>
          <cell r="O8636" t="str">
            <v>Ontier UK</v>
          </cell>
        </row>
        <row r="8637">
          <cell r="D8637">
            <v>443.99</v>
          </cell>
          <cell r="H8637">
            <v>45809</v>
          </cell>
          <cell r="I8637" t="str">
            <v>8700 - Other Expense</v>
          </cell>
          <cell r="J8637">
            <v>0</v>
          </cell>
          <cell r="K8637" t="str">
            <v>Administration</v>
          </cell>
          <cell r="L8637" t="str">
            <v>Other Expense</v>
          </cell>
          <cell r="N8637" t="str">
            <v>BTL</v>
          </cell>
          <cell r="O8637" t="str">
            <v>Ontier UK</v>
          </cell>
        </row>
        <row r="8638">
          <cell r="D8638">
            <v>2589.9499999999998</v>
          </cell>
          <cell r="H8638">
            <v>45809</v>
          </cell>
          <cell r="I8638" t="str">
            <v>8700 - Other Expense</v>
          </cell>
          <cell r="J8638">
            <v>0</v>
          </cell>
          <cell r="K8638" t="str">
            <v>Administration</v>
          </cell>
          <cell r="L8638" t="str">
            <v>Other Expense</v>
          </cell>
          <cell r="N8638" t="str">
            <v>BTL</v>
          </cell>
          <cell r="O8638" t="str">
            <v>Ontier UK</v>
          </cell>
        </row>
        <row r="8639">
          <cell r="D8639">
            <v>6289.89</v>
          </cell>
          <cell r="H8639">
            <v>45809</v>
          </cell>
          <cell r="I8639" t="str">
            <v>8700 - Other Expense</v>
          </cell>
          <cell r="J8639">
            <v>0</v>
          </cell>
          <cell r="K8639" t="str">
            <v>Administration</v>
          </cell>
          <cell r="L8639" t="str">
            <v>Other Expense</v>
          </cell>
          <cell r="N8639" t="str">
            <v>BTL</v>
          </cell>
          <cell r="O8639" t="str">
            <v>Ontier UK</v>
          </cell>
        </row>
        <row r="8640">
          <cell r="D8640">
            <v>6067.89</v>
          </cell>
          <cell r="H8640">
            <v>45809</v>
          </cell>
          <cell r="I8640" t="str">
            <v>8700 - Other Expense</v>
          </cell>
          <cell r="J8640">
            <v>0</v>
          </cell>
          <cell r="K8640" t="str">
            <v>Administration</v>
          </cell>
          <cell r="L8640" t="str">
            <v>Other Expense</v>
          </cell>
          <cell r="N8640" t="str">
            <v>BTL</v>
          </cell>
          <cell r="O8640" t="str">
            <v>Ontier UK</v>
          </cell>
        </row>
        <row r="8641">
          <cell r="D8641">
            <v>1849.97</v>
          </cell>
          <cell r="H8641">
            <v>45809</v>
          </cell>
          <cell r="I8641" t="str">
            <v>8700 - Other Expense</v>
          </cell>
          <cell r="J8641">
            <v>0</v>
          </cell>
          <cell r="K8641" t="str">
            <v>Administration</v>
          </cell>
          <cell r="L8641" t="str">
            <v>Other Expense</v>
          </cell>
          <cell r="N8641" t="str">
            <v>BTL</v>
          </cell>
          <cell r="O8641" t="str">
            <v>Ontier UK</v>
          </cell>
        </row>
        <row r="8642">
          <cell r="D8642">
            <v>369.99</v>
          </cell>
          <cell r="H8642">
            <v>45809</v>
          </cell>
          <cell r="I8642" t="str">
            <v>8700 - Other Expense</v>
          </cell>
          <cell r="J8642">
            <v>0</v>
          </cell>
          <cell r="K8642" t="str">
            <v>Administration</v>
          </cell>
          <cell r="L8642" t="str">
            <v>Other Expense</v>
          </cell>
          <cell r="N8642" t="str">
            <v>BTL</v>
          </cell>
          <cell r="O8642" t="str">
            <v>Ontier UK</v>
          </cell>
        </row>
        <row r="8643">
          <cell r="D8643">
            <v>0</v>
          </cell>
          <cell r="H8643">
            <v>45809</v>
          </cell>
          <cell r="I8643" t="str">
            <v>8700 - Other Expense</v>
          </cell>
          <cell r="J8643">
            <v>0</v>
          </cell>
          <cell r="K8643" t="str">
            <v>Administration</v>
          </cell>
          <cell r="L8643" t="str">
            <v>Other Expense</v>
          </cell>
          <cell r="N8643" t="str">
            <v>BTL</v>
          </cell>
          <cell r="O8643" t="str">
            <v>Ontier UK</v>
          </cell>
        </row>
        <row r="8644">
          <cell r="D8644">
            <v>2061.9</v>
          </cell>
          <cell r="H8644">
            <v>45809</v>
          </cell>
          <cell r="I8644" t="str">
            <v>6380 - Legal &amp; Accounting</v>
          </cell>
          <cell r="J8644">
            <v>0</v>
          </cell>
          <cell r="K8644" t="str">
            <v>Administration</v>
          </cell>
          <cell r="L8644" t="str">
            <v>Professional Service</v>
          </cell>
          <cell r="N8644" t="str">
            <v>SG&amp;A</v>
          </cell>
          <cell r="O8644" t="str">
            <v>Bryan Cave Leighton Paisner LLP</v>
          </cell>
        </row>
        <row r="8645">
          <cell r="D8645">
            <v>7288.42</v>
          </cell>
          <cell r="H8645">
            <v>45809</v>
          </cell>
          <cell r="I8645" t="str">
            <v>6380 - Legal &amp; Accounting</v>
          </cell>
          <cell r="J8645">
            <v>0</v>
          </cell>
          <cell r="K8645" t="str">
            <v>Administration</v>
          </cell>
          <cell r="L8645" t="str">
            <v>Professional Service</v>
          </cell>
          <cell r="N8645" t="str">
            <v>SG&amp;A</v>
          </cell>
          <cell r="O8645" t="str">
            <v>Bryan Cave Leighton Paisner LLP</v>
          </cell>
        </row>
        <row r="8646">
          <cell r="D8646">
            <v>2240.2800000000002</v>
          </cell>
          <cell r="H8646">
            <v>45809</v>
          </cell>
          <cell r="I8646" t="str">
            <v>6370 - Samples</v>
          </cell>
          <cell r="J8646" t="str">
            <v>Wholesale</v>
          </cell>
          <cell r="K8646" t="str">
            <v>Production</v>
          </cell>
          <cell r="L8646" t="str">
            <v>Sample</v>
          </cell>
          <cell r="N8646" t="str">
            <v>SG&amp;A</v>
          </cell>
          <cell r="O8646" t="str">
            <v>Porta Asiatica Enterprises Inc</v>
          </cell>
        </row>
        <row r="8647">
          <cell r="D8647">
            <v>1263.24</v>
          </cell>
          <cell r="H8647">
            <v>45809</v>
          </cell>
          <cell r="I8647" t="str">
            <v>6385 - Insurance</v>
          </cell>
          <cell r="J8647">
            <v>0</v>
          </cell>
          <cell r="K8647" t="str">
            <v>Administration</v>
          </cell>
          <cell r="L8647" t="str">
            <v>Professional Service</v>
          </cell>
          <cell r="N8647" t="str">
            <v>SG&amp;A</v>
          </cell>
          <cell r="O8647" t="str">
            <v>The Hartford</v>
          </cell>
        </row>
        <row r="8648">
          <cell r="D8648">
            <v>2001.3</v>
          </cell>
          <cell r="H8648">
            <v>45809</v>
          </cell>
          <cell r="I8648" t="str">
            <v>6385 - Insurance</v>
          </cell>
          <cell r="J8648">
            <v>0</v>
          </cell>
          <cell r="K8648" t="str">
            <v>Administration</v>
          </cell>
          <cell r="L8648" t="str">
            <v>Professional Service</v>
          </cell>
          <cell r="N8648" t="str">
            <v>SG&amp;A</v>
          </cell>
          <cell r="O8648" t="str">
            <v>The Hartford</v>
          </cell>
        </row>
        <row r="8649">
          <cell r="D8649">
            <v>275.72000000000003</v>
          </cell>
          <cell r="H8649">
            <v>45809</v>
          </cell>
          <cell r="I8649" t="str">
            <v>6400 - Utilities</v>
          </cell>
          <cell r="J8649">
            <v>0</v>
          </cell>
          <cell r="K8649" t="str">
            <v>Administration</v>
          </cell>
          <cell r="L8649" t="str">
            <v>Other</v>
          </cell>
          <cell r="N8649" t="str">
            <v>SG&amp;A</v>
          </cell>
          <cell r="O8649" t="str">
            <v>Antelope LLC</v>
          </cell>
        </row>
        <row r="8650">
          <cell r="D8650">
            <v>269.97000000000003</v>
          </cell>
          <cell r="H8650">
            <v>45809</v>
          </cell>
          <cell r="I8650" t="str">
            <v>6400 - Utilities</v>
          </cell>
          <cell r="J8650">
            <v>0</v>
          </cell>
          <cell r="K8650" t="str">
            <v>Administration</v>
          </cell>
          <cell r="L8650" t="str">
            <v>Other</v>
          </cell>
          <cell r="N8650" t="str">
            <v>SG&amp;A</v>
          </cell>
          <cell r="O8650" t="str">
            <v>Verizon</v>
          </cell>
        </row>
        <row r="8651">
          <cell r="D8651">
            <v>3292.9</v>
          </cell>
          <cell r="H8651">
            <v>45809</v>
          </cell>
          <cell r="I8651" t="str">
            <v>6225 - Professional Services</v>
          </cell>
          <cell r="J8651">
            <v>0</v>
          </cell>
          <cell r="K8651" t="str">
            <v>Administration</v>
          </cell>
          <cell r="L8651" t="str">
            <v>Professional Service</v>
          </cell>
          <cell r="N8651" t="str">
            <v>Direct Costs</v>
          </cell>
          <cell r="O8651" t="str">
            <v>Enom Solutions, Inc-DBA 3nom</v>
          </cell>
        </row>
        <row r="8652">
          <cell r="D8652">
            <v>30113.77</v>
          </cell>
          <cell r="H8652">
            <v>45809</v>
          </cell>
          <cell r="I8652" t="str">
            <v>6320 - Building Rent</v>
          </cell>
          <cell r="J8652">
            <v>0</v>
          </cell>
          <cell r="K8652" t="str">
            <v>Administration</v>
          </cell>
          <cell r="L8652" t="str">
            <v>Rent</v>
          </cell>
          <cell r="N8652" t="str">
            <v>SG&amp;A</v>
          </cell>
          <cell r="O8652" t="str">
            <v>Antelope LLC</v>
          </cell>
        </row>
        <row r="8653">
          <cell r="D8653">
            <v>1260.1199999999999</v>
          </cell>
          <cell r="H8653">
            <v>45809</v>
          </cell>
          <cell r="I8653" t="str">
            <v>6040 - Employer Paid Benefits</v>
          </cell>
          <cell r="J8653" t="str">
            <v>Wholesale</v>
          </cell>
          <cell r="K8653" t="str">
            <v>Wholesale</v>
          </cell>
          <cell r="L8653" t="str">
            <v>HQ Salaries</v>
          </cell>
          <cell r="N8653" t="str">
            <v>SG&amp;A</v>
          </cell>
          <cell r="O8653" t="str">
            <v>Anthem Blue Cross and Blue Shield</v>
          </cell>
        </row>
        <row r="8654">
          <cell r="D8654">
            <v>5733.54</v>
          </cell>
          <cell r="H8654">
            <v>45809</v>
          </cell>
          <cell r="I8654" t="str">
            <v>6040 - Employer Paid Benefits</v>
          </cell>
          <cell r="J8654">
            <v>0</v>
          </cell>
          <cell r="K8654" t="str">
            <v>Production</v>
          </cell>
          <cell r="L8654" t="str">
            <v>HQ Salaries</v>
          </cell>
          <cell r="N8654" t="str">
            <v>SG&amp;A</v>
          </cell>
          <cell r="O8654" t="str">
            <v>Anthem Blue Cross and Blue Shield</v>
          </cell>
        </row>
        <row r="8655">
          <cell r="D8655">
            <v>2520.2399999999998</v>
          </cell>
          <cell r="H8655">
            <v>45809</v>
          </cell>
          <cell r="I8655" t="str">
            <v>6040 - Employer Paid Benefits</v>
          </cell>
          <cell r="J8655">
            <v>0</v>
          </cell>
          <cell r="K8655" t="str">
            <v>Merchandising</v>
          </cell>
          <cell r="L8655" t="str">
            <v>HQ Salaries</v>
          </cell>
          <cell r="N8655" t="str">
            <v>SG&amp;A</v>
          </cell>
          <cell r="O8655" t="str">
            <v>Anthem Blue Cross and Blue Shield</v>
          </cell>
        </row>
        <row r="8656">
          <cell r="D8656">
            <v>-2642.19</v>
          </cell>
          <cell r="H8656">
            <v>45809</v>
          </cell>
          <cell r="I8656" t="str">
            <v>6040 - Employer Paid Benefits</v>
          </cell>
          <cell r="J8656">
            <v>0</v>
          </cell>
          <cell r="K8656" t="str">
            <v>Brand Marketing</v>
          </cell>
          <cell r="L8656" t="str">
            <v>HQ Salaries</v>
          </cell>
          <cell r="N8656" t="str">
            <v>SG&amp;A</v>
          </cell>
          <cell r="O8656" t="str">
            <v>Anthem Blue Cross and Blue Shield</v>
          </cell>
        </row>
        <row r="8657">
          <cell r="D8657">
            <v>4851.46</v>
          </cell>
          <cell r="H8657">
            <v>45809</v>
          </cell>
          <cell r="I8657" t="str">
            <v>6040 - Employer Paid Benefits</v>
          </cell>
          <cell r="J8657" t="str">
            <v>Ecommerce (US)</v>
          </cell>
          <cell r="K8657" t="str">
            <v>Ecommerce</v>
          </cell>
          <cell r="L8657" t="str">
            <v>HQ Salaries</v>
          </cell>
          <cell r="N8657" t="str">
            <v>SG&amp;A</v>
          </cell>
          <cell r="O8657" t="str">
            <v>Anthem Blue Cross and Blue Shield</v>
          </cell>
        </row>
        <row r="8658">
          <cell r="D8658">
            <v>5040.4799999999996</v>
          </cell>
          <cell r="H8658">
            <v>45809</v>
          </cell>
          <cell r="I8658" t="str">
            <v>6040 - Employer Paid Benefits</v>
          </cell>
          <cell r="J8658">
            <v>0</v>
          </cell>
          <cell r="K8658" t="str">
            <v>Design</v>
          </cell>
          <cell r="L8658" t="str">
            <v>HQ Salaries</v>
          </cell>
          <cell r="N8658" t="str">
            <v>SG&amp;A</v>
          </cell>
          <cell r="O8658" t="str">
            <v>Anthem Blue Cross and Blue Shield</v>
          </cell>
        </row>
        <row r="8659">
          <cell r="D8659">
            <v>15436.46</v>
          </cell>
          <cell r="H8659">
            <v>45809</v>
          </cell>
          <cell r="I8659" t="str">
            <v>6040 - Employer Paid Benefits</v>
          </cell>
          <cell r="J8659">
            <v>0</v>
          </cell>
          <cell r="K8659" t="str">
            <v>Administration</v>
          </cell>
          <cell r="L8659" t="str">
            <v>HQ Salaries</v>
          </cell>
          <cell r="N8659" t="str">
            <v>SG&amp;A</v>
          </cell>
          <cell r="O8659" t="str">
            <v>Anthem Blue Cross and Blue Shield</v>
          </cell>
        </row>
        <row r="8660">
          <cell r="D8660">
            <v>40.54</v>
          </cell>
          <cell r="H8660">
            <v>45809</v>
          </cell>
          <cell r="I8660" t="str">
            <v>6040 - Employer Paid Benefits</v>
          </cell>
          <cell r="J8660" t="str">
            <v>Wholesale</v>
          </cell>
          <cell r="K8660" t="str">
            <v>Wholesale</v>
          </cell>
          <cell r="L8660" t="str">
            <v>HQ Salaries</v>
          </cell>
          <cell r="N8660" t="str">
            <v>SG&amp;A</v>
          </cell>
          <cell r="O8660" t="str">
            <v>United of Omaha Life Insurance Company</v>
          </cell>
        </row>
        <row r="8661">
          <cell r="D8661">
            <v>317.12</v>
          </cell>
          <cell r="H8661">
            <v>45809</v>
          </cell>
          <cell r="I8661" t="str">
            <v>6040 - Employer Paid Benefits</v>
          </cell>
          <cell r="J8661">
            <v>0</v>
          </cell>
          <cell r="K8661" t="str">
            <v>Production</v>
          </cell>
          <cell r="L8661" t="str">
            <v>HQ Salaries</v>
          </cell>
          <cell r="N8661" t="str">
            <v>SG&amp;A</v>
          </cell>
          <cell r="O8661" t="str">
            <v>United of Omaha Life Insurance Company</v>
          </cell>
        </row>
        <row r="8662">
          <cell r="D8662">
            <v>86.43</v>
          </cell>
          <cell r="H8662">
            <v>45809</v>
          </cell>
          <cell r="I8662" t="str">
            <v>6040 - Employer Paid Benefits</v>
          </cell>
          <cell r="J8662">
            <v>0</v>
          </cell>
          <cell r="K8662" t="str">
            <v>Merchandising</v>
          </cell>
          <cell r="L8662" t="str">
            <v>HQ Salaries</v>
          </cell>
          <cell r="N8662" t="str">
            <v>SG&amp;A</v>
          </cell>
          <cell r="O8662" t="str">
            <v>United of Omaha Life Insurance Company</v>
          </cell>
        </row>
        <row r="8663">
          <cell r="D8663">
            <v>238.9</v>
          </cell>
          <cell r="H8663">
            <v>45809</v>
          </cell>
          <cell r="I8663" t="str">
            <v>6040 - Employer Paid Benefits</v>
          </cell>
          <cell r="J8663">
            <v>0</v>
          </cell>
          <cell r="K8663" t="str">
            <v>Executive</v>
          </cell>
          <cell r="L8663" t="str">
            <v>HQ Salaries</v>
          </cell>
          <cell r="N8663" t="str">
            <v>SG&amp;A</v>
          </cell>
          <cell r="O8663" t="str">
            <v>United of Omaha Life Insurance Company</v>
          </cell>
        </row>
        <row r="8664">
          <cell r="D8664">
            <v>173.02</v>
          </cell>
          <cell r="H8664">
            <v>45809</v>
          </cell>
          <cell r="I8664" t="str">
            <v>6040 - Employer Paid Benefits</v>
          </cell>
          <cell r="J8664" t="str">
            <v>Ecommerce (US)</v>
          </cell>
          <cell r="K8664" t="str">
            <v>Ecommerce</v>
          </cell>
          <cell r="L8664" t="str">
            <v>HQ Salaries</v>
          </cell>
          <cell r="N8664" t="str">
            <v>SG&amp;A</v>
          </cell>
          <cell r="O8664" t="str">
            <v>United of Omaha Life Insurance Company</v>
          </cell>
        </row>
        <row r="8665">
          <cell r="D8665">
            <v>233.67</v>
          </cell>
          <cell r="H8665">
            <v>45809</v>
          </cell>
          <cell r="I8665" t="str">
            <v>6040 - Employer Paid Benefits</v>
          </cell>
          <cell r="J8665">
            <v>0</v>
          </cell>
          <cell r="K8665" t="str">
            <v>Design</v>
          </cell>
          <cell r="L8665" t="str">
            <v>HQ Salaries</v>
          </cell>
          <cell r="N8665" t="str">
            <v>SG&amp;A</v>
          </cell>
          <cell r="O8665" t="str">
            <v>United of Omaha Life Insurance Company</v>
          </cell>
        </row>
        <row r="8666">
          <cell r="D8666">
            <v>447.92</v>
          </cell>
          <cell r="H8666">
            <v>45809</v>
          </cell>
          <cell r="I8666" t="str">
            <v>6040 - Employer Paid Benefits</v>
          </cell>
          <cell r="J8666">
            <v>0</v>
          </cell>
          <cell r="K8666" t="str">
            <v>Administration</v>
          </cell>
          <cell r="L8666" t="str">
            <v>HQ Salaries</v>
          </cell>
          <cell r="N8666" t="str">
            <v>SG&amp;A</v>
          </cell>
          <cell r="O8666" t="str">
            <v>United of Omaha Life Insurance Company</v>
          </cell>
        </row>
        <row r="8667">
          <cell r="D8667">
            <v>416.3</v>
          </cell>
          <cell r="H8667">
            <v>45809</v>
          </cell>
          <cell r="I8667" t="str">
            <v>6040 - Employer Paid Benefits</v>
          </cell>
          <cell r="J8667">
            <v>0</v>
          </cell>
          <cell r="K8667" t="str">
            <v>Production</v>
          </cell>
          <cell r="L8667" t="str">
            <v>HQ Salaries</v>
          </cell>
          <cell r="N8667" t="str">
            <v>SG&amp;A</v>
          </cell>
          <cell r="O8667" t="str">
            <v>Allied Administrators</v>
          </cell>
        </row>
        <row r="8668">
          <cell r="D8668">
            <v>55.76</v>
          </cell>
          <cell r="H8668">
            <v>45809</v>
          </cell>
          <cell r="I8668" t="str">
            <v>6040 - Employer Paid Benefits</v>
          </cell>
          <cell r="J8668">
            <v>0</v>
          </cell>
          <cell r="K8668" t="str">
            <v>Merchandising</v>
          </cell>
          <cell r="L8668" t="str">
            <v>HQ Salaries</v>
          </cell>
          <cell r="N8668" t="str">
            <v>SG&amp;A</v>
          </cell>
          <cell r="O8668" t="str">
            <v>Allied Administrators</v>
          </cell>
        </row>
        <row r="8669">
          <cell r="D8669">
            <v>89.82</v>
          </cell>
          <cell r="H8669">
            <v>45809</v>
          </cell>
          <cell r="I8669" t="str">
            <v>6040 - Employer Paid Benefits</v>
          </cell>
          <cell r="J8669">
            <v>0</v>
          </cell>
          <cell r="K8669" t="str">
            <v>Executive</v>
          </cell>
          <cell r="L8669" t="str">
            <v>HQ Salaries</v>
          </cell>
          <cell r="N8669" t="str">
            <v>SG&amp;A</v>
          </cell>
          <cell r="O8669" t="str">
            <v>Allied Administrators</v>
          </cell>
        </row>
        <row r="8670">
          <cell r="D8670">
            <v>89.53</v>
          </cell>
          <cell r="H8670">
            <v>45809</v>
          </cell>
          <cell r="I8670" t="str">
            <v>6040 - Employer Paid Benefits</v>
          </cell>
          <cell r="J8670" t="str">
            <v>Ecommerce (US)</v>
          </cell>
          <cell r="K8670" t="str">
            <v>Ecommerce</v>
          </cell>
          <cell r="L8670" t="str">
            <v>HQ Salaries</v>
          </cell>
          <cell r="N8670" t="str">
            <v>SG&amp;A</v>
          </cell>
          <cell r="O8670" t="str">
            <v>Allied Administrators</v>
          </cell>
        </row>
        <row r="8671">
          <cell r="D8671">
            <v>83.64</v>
          </cell>
          <cell r="H8671">
            <v>45809</v>
          </cell>
          <cell r="I8671" t="str">
            <v>6040 - Employer Paid Benefits</v>
          </cell>
          <cell r="J8671">
            <v>0</v>
          </cell>
          <cell r="K8671" t="str">
            <v>Design</v>
          </cell>
          <cell r="L8671" t="str">
            <v>HQ Salaries</v>
          </cell>
          <cell r="N8671" t="str">
            <v>SG&amp;A</v>
          </cell>
          <cell r="O8671" t="str">
            <v>Allied Administrators</v>
          </cell>
        </row>
        <row r="8672">
          <cell r="D8672">
            <v>-9498.08</v>
          </cell>
          <cell r="H8672">
            <v>45809</v>
          </cell>
          <cell r="I8672" t="str">
            <v>6005 - Salaries</v>
          </cell>
          <cell r="J8672">
            <v>0</v>
          </cell>
          <cell r="K8672" t="str">
            <v>Administration</v>
          </cell>
          <cell r="L8672" t="str">
            <v>HQ Salaries</v>
          </cell>
          <cell r="N8672" t="str">
            <v>SG&amp;A</v>
          </cell>
          <cell r="O8672" t="str">
            <v>[No Vendor]</v>
          </cell>
        </row>
        <row r="8673">
          <cell r="D8673">
            <v>-300000</v>
          </cell>
          <cell r="H8673">
            <v>45809</v>
          </cell>
          <cell r="I8673" t="str">
            <v>8700 - Other Expense</v>
          </cell>
          <cell r="J8673">
            <v>0</v>
          </cell>
          <cell r="K8673" t="str">
            <v>Administration</v>
          </cell>
          <cell r="L8673" t="str">
            <v>Other Expense</v>
          </cell>
          <cell r="N8673" t="str">
            <v>BTL</v>
          </cell>
          <cell r="O8673" t="str">
            <v>[No Vendor]</v>
          </cell>
        </row>
        <row r="8674">
          <cell r="D8674">
            <v>-300000</v>
          </cell>
          <cell r="H8674">
            <v>45809</v>
          </cell>
          <cell r="I8674" t="str">
            <v>8700 - Other Expense</v>
          </cell>
          <cell r="J8674">
            <v>0</v>
          </cell>
          <cell r="K8674" t="str">
            <v>Administration</v>
          </cell>
          <cell r="L8674" t="str">
            <v>Other Expense</v>
          </cell>
          <cell r="N8674" t="str">
            <v>BTL</v>
          </cell>
          <cell r="O8674" t="str">
            <v>[No Vendor]</v>
          </cell>
        </row>
        <row r="8675">
          <cell r="D8675">
            <v>-63739.25</v>
          </cell>
          <cell r="H8675">
            <v>45809</v>
          </cell>
          <cell r="I8675" t="str">
            <v>6445 - Inventory Write Down</v>
          </cell>
          <cell r="J8675">
            <v>0</v>
          </cell>
          <cell r="K8675" t="str">
            <v>Administration</v>
          </cell>
          <cell r="L8675" t="str">
            <v>Other</v>
          </cell>
          <cell r="N8675" t="str">
            <v>SG&amp;A</v>
          </cell>
          <cell r="O8675" t="str">
            <v>[No Vendor]</v>
          </cell>
        </row>
        <row r="8676">
          <cell r="D8676">
            <v>0</v>
          </cell>
          <cell r="H8676">
            <v>45809</v>
          </cell>
          <cell r="I8676" t="str">
            <v>6035 - Severance Expense</v>
          </cell>
          <cell r="J8676" t="str">
            <v>Wholesale</v>
          </cell>
          <cell r="K8676" t="str">
            <v>Wholesale</v>
          </cell>
          <cell r="L8676" t="str">
            <v>HQ Salaries</v>
          </cell>
          <cell r="N8676" t="str">
            <v>SG&amp;A</v>
          </cell>
          <cell r="O8676" t="str">
            <v>[No Vendor]</v>
          </cell>
        </row>
        <row r="8677">
          <cell r="D8677">
            <v>-400</v>
          </cell>
          <cell r="H8677">
            <v>45809</v>
          </cell>
          <cell r="I8677" t="str">
            <v>6360 - Model - Fitting</v>
          </cell>
          <cell r="J8677">
            <v>0</v>
          </cell>
          <cell r="K8677" t="str">
            <v>Production</v>
          </cell>
          <cell r="L8677" t="str">
            <v>Sample</v>
          </cell>
          <cell r="N8677" t="str">
            <v>SG&amp;A</v>
          </cell>
          <cell r="O8677" t="str">
            <v>[No Vendor]</v>
          </cell>
        </row>
        <row r="8678">
          <cell r="D8678">
            <v>-61750</v>
          </cell>
          <cell r="H8678">
            <v>45809</v>
          </cell>
          <cell r="I8678" t="str">
            <v>6215 - Recruitment</v>
          </cell>
          <cell r="J8678">
            <v>0</v>
          </cell>
          <cell r="K8678" t="str">
            <v>Administration</v>
          </cell>
          <cell r="L8678" t="str">
            <v>Professional Service</v>
          </cell>
          <cell r="N8678" t="str">
            <v>SG&amp;A</v>
          </cell>
          <cell r="O8678" t="str">
            <v>Janou Pakter</v>
          </cell>
        </row>
        <row r="8679">
          <cell r="D8679">
            <v>0</v>
          </cell>
          <cell r="H8679">
            <v>45809</v>
          </cell>
          <cell r="I8679" t="str">
            <v>6205 - Contractors</v>
          </cell>
          <cell r="J8679">
            <v>0</v>
          </cell>
          <cell r="K8679" t="str">
            <v>Brand Marketing</v>
          </cell>
          <cell r="L8679" t="str">
            <v>HQ Salaries</v>
          </cell>
          <cell r="N8679" t="str">
            <v>SG&amp;A</v>
          </cell>
          <cell r="O8679" t="str">
            <v>[No Vendor]</v>
          </cell>
        </row>
        <row r="8680">
          <cell r="D8680">
            <v>0</v>
          </cell>
          <cell r="H8680">
            <v>45809</v>
          </cell>
          <cell r="I8680" t="str">
            <v>6205 - Contractors</v>
          </cell>
          <cell r="J8680" t="str">
            <v>Ecommerce (US)</v>
          </cell>
          <cell r="K8680" t="str">
            <v>Ecommerce</v>
          </cell>
          <cell r="L8680" t="str">
            <v>HQ Salaries</v>
          </cell>
          <cell r="N8680" t="str">
            <v>SG&amp;A</v>
          </cell>
          <cell r="O8680" t="str">
            <v>[No Vendor]</v>
          </cell>
        </row>
        <row r="8681">
          <cell r="D8681">
            <v>0</v>
          </cell>
          <cell r="H8681">
            <v>45809</v>
          </cell>
          <cell r="I8681" t="str">
            <v>6205 - Contractors</v>
          </cell>
          <cell r="J8681">
            <v>0</v>
          </cell>
          <cell r="K8681" t="str">
            <v>Design</v>
          </cell>
          <cell r="L8681" t="str">
            <v>HQ Salaries</v>
          </cell>
          <cell r="N8681" t="str">
            <v>SG&amp;A</v>
          </cell>
          <cell r="O8681" t="str">
            <v>[No Vendor]</v>
          </cell>
        </row>
        <row r="8682">
          <cell r="D8682">
            <v>50</v>
          </cell>
          <cell r="H8682">
            <v>45809</v>
          </cell>
          <cell r="I8682" t="str">
            <v>6450 - Bank &amp; Other Fees</v>
          </cell>
          <cell r="J8682">
            <v>0</v>
          </cell>
          <cell r="K8682" t="str">
            <v>Administration</v>
          </cell>
          <cell r="L8682" t="str">
            <v>Professional Service</v>
          </cell>
          <cell r="N8682" t="str">
            <v>SG&amp;A</v>
          </cell>
          <cell r="O8682" t="str">
            <v>[No Vendor]</v>
          </cell>
        </row>
        <row r="8683">
          <cell r="D8683">
            <v>18.760000000000002</v>
          </cell>
          <cell r="H8683">
            <v>45809</v>
          </cell>
          <cell r="I8683" t="str">
            <v>6385 - Insurance</v>
          </cell>
          <cell r="J8683">
            <v>0</v>
          </cell>
          <cell r="K8683" t="str">
            <v>Administration</v>
          </cell>
          <cell r="L8683" t="str">
            <v>Professional Service</v>
          </cell>
          <cell r="N8683" t="str">
            <v>SG&amp;A</v>
          </cell>
          <cell r="O8683" t="str">
            <v>[No Vendor]</v>
          </cell>
        </row>
        <row r="8684">
          <cell r="D8684">
            <v>7.09</v>
          </cell>
          <cell r="H8684">
            <v>45809</v>
          </cell>
          <cell r="I8684" t="str">
            <v>6385 - Insurance</v>
          </cell>
          <cell r="J8684">
            <v>0</v>
          </cell>
          <cell r="K8684" t="str">
            <v>Administration</v>
          </cell>
          <cell r="L8684" t="str">
            <v>Professional Service</v>
          </cell>
          <cell r="N8684" t="str">
            <v>SG&amp;A</v>
          </cell>
          <cell r="O8684" t="str">
            <v>[No Vendor]</v>
          </cell>
        </row>
        <row r="8685">
          <cell r="D8685">
            <v>31.19</v>
          </cell>
          <cell r="H8685">
            <v>45809</v>
          </cell>
          <cell r="I8685" t="str">
            <v>6385 - Insurance</v>
          </cell>
          <cell r="J8685">
            <v>0</v>
          </cell>
          <cell r="K8685" t="str">
            <v>Administration</v>
          </cell>
          <cell r="L8685" t="str">
            <v>Professional Service</v>
          </cell>
          <cell r="N8685" t="str">
            <v>SG&amp;A</v>
          </cell>
          <cell r="O8685" t="str">
            <v>[No Vendor]</v>
          </cell>
        </row>
        <row r="8686">
          <cell r="D8686">
            <v>6.8</v>
          </cell>
          <cell r="H8686">
            <v>45809</v>
          </cell>
          <cell r="I8686" t="str">
            <v>6385 - Insurance</v>
          </cell>
          <cell r="J8686">
            <v>0</v>
          </cell>
          <cell r="K8686" t="str">
            <v>Administration</v>
          </cell>
          <cell r="L8686" t="str">
            <v>Professional Service</v>
          </cell>
          <cell r="N8686" t="str">
            <v>SG&amp;A</v>
          </cell>
          <cell r="O8686" t="str">
            <v>[No Vendor]</v>
          </cell>
        </row>
        <row r="8687">
          <cell r="D8687">
            <v>0.6</v>
          </cell>
          <cell r="H8687">
            <v>45809</v>
          </cell>
          <cell r="I8687" t="str">
            <v>6385 - Insurance</v>
          </cell>
          <cell r="J8687">
            <v>0</v>
          </cell>
          <cell r="K8687" t="str">
            <v>Administration</v>
          </cell>
          <cell r="L8687" t="str">
            <v>Professional Service</v>
          </cell>
          <cell r="N8687" t="str">
            <v>SG&amp;A</v>
          </cell>
          <cell r="O8687" t="str">
            <v>[No Vendor]</v>
          </cell>
        </row>
        <row r="8688">
          <cell r="D8688">
            <v>42.57</v>
          </cell>
          <cell r="H8688">
            <v>45809</v>
          </cell>
          <cell r="I8688" t="str">
            <v>6385 - Insurance</v>
          </cell>
          <cell r="J8688">
            <v>0</v>
          </cell>
          <cell r="K8688" t="str">
            <v>Administration</v>
          </cell>
          <cell r="L8688" t="str">
            <v>Professional Service</v>
          </cell>
          <cell r="N8688" t="str">
            <v>SG&amp;A</v>
          </cell>
          <cell r="O8688" t="str">
            <v>[No Vendor]</v>
          </cell>
        </row>
        <row r="8689">
          <cell r="D8689">
            <v>46.52</v>
          </cell>
          <cell r="H8689">
            <v>45809</v>
          </cell>
          <cell r="I8689" t="str">
            <v>6385 - Insurance</v>
          </cell>
          <cell r="J8689">
            <v>0</v>
          </cell>
          <cell r="K8689" t="str">
            <v>Administration</v>
          </cell>
          <cell r="L8689" t="str">
            <v>Professional Service</v>
          </cell>
          <cell r="N8689" t="str">
            <v>SG&amp;A</v>
          </cell>
          <cell r="O8689" t="str">
            <v>[No Vendor]</v>
          </cell>
        </row>
        <row r="8690">
          <cell r="D8690">
            <v>7.65</v>
          </cell>
          <cell r="H8690">
            <v>45809</v>
          </cell>
          <cell r="I8690" t="str">
            <v>6385 - Insurance</v>
          </cell>
          <cell r="J8690">
            <v>0</v>
          </cell>
          <cell r="K8690" t="str">
            <v>Administration</v>
          </cell>
          <cell r="L8690" t="str">
            <v>Professional Service</v>
          </cell>
          <cell r="N8690" t="str">
            <v>SG&amp;A</v>
          </cell>
          <cell r="O8690" t="str">
            <v>[No Vendor]</v>
          </cell>
        </row>
        <row r="8691">
          <cell r="D8691">
            <v>-275.72000000000003</v>
          </cell>
          <cell r="H8691">
            <v>45809</v>
          </cell>
          <cell r="I8691" t="str">
            <v>6400 - Utilities</v>
          </cell>
          <cell r="J8691">
            <v>0</v>
          </cell>
          <cell r="K8691" t="str">
            <v>Administration</v>
          </cell>
          <cell r="L8691" t="str">
            <v>Other</v>
          </cell>
          <cell r="N8691" t="str">
            <v>SG&amp;A</v>
          </cell>
          <cell r="O8691" t="str">
            <v>[No Vendor]</v>
          </cell>
        </row>
        <row r="8692">
          <cell r="D8692">
            <v>-486.77</v>
          </cell>
          <cell r="H8692">
            <v>45809</v>
          </cell>
          <cell r="I8692" t="str">
            <v>6055 - Employer Social Security Tax Withheld</v>
          </cell>
          <cell r="J8692">
            <v>0</v>
          </cell>
          <cell r="K8692" t="str">
            <v>Merchandising</v>
          </cell>
          <cell r="L8692" t="str">
            <v>HQ Salaries</v>
          </cell>
          <cell r="N8692" t="str">
            <v>SG&amp;A</v>
          </cell>
          <cell r="O8692" t="str">
            <v>[No Vendor]</v>
          </cell>
        </row>
        <row r="8693">
          <cell r="D8693">
            <v>-180.68</v>
          </cell>
          <cell r="H8693">
            <v>45809</v>
          </cell>
          <cell r="I8693" t="str">
            <v>6055 - Employer Social Security Tax Withheld</v>
          </cell>
          <cell r="J8693" t="str">
            <v>Wholesale</v>
          </cell>
          <cell r="K8693" t="str">
            <v>Wholesale</v>
          </cell>
          <cell r="L8693" t="str">
            <v>HQ Salaries</v>
          </cell>
          <cell r="N8693" t="str">
            <v>SG&amp;A</v>
          </cell>
          <cell r="O8693" t="str">
            <v>[No Vendor]</v>
          </cell>
        </row>
        <row r="8694">
          <cell r="D8694">
            <v>-805.9</v>
          </cell>
          <cell r="H8694">
            <v>45809</v>
          </cell>
          <cell r="I8694" t="str">
            <v>6055 - Employer Social Security Tax Withheld</v>
          </cell>
          <cell r="J8694">
            <v>0</v>
          </cell>
          <cell r="K8694" t="str">
            <v>Production</v>
          </cell>
          <cell r="L8694" t="str">
            <v>HQ Salaries</v>
          </cell>
          <cell r="N8694" t="str">
            <v>SG&amp;A</v>
          </cell>
          <cell r="O8694" t="str">
            <v>[No Vendor]</v>
          </cell>
        </row>
        <row r="8695">
          <cell r="D8695">
            <v>-216.58</v>
          </cell>
          <cell r="H8695">
            <v>45809</v>
          </cell>
          <cell r="I8695" t="str">
            <v>6055 - Employer Social Security Tax Withheld</v>
          </cell>
          <cell r="J8695">
            <v>0</v>
          </cell>
          <cell r="K8695" t="str">
            <v>Brand Marketing</v>
          </cell>
          <cell r="L8695" t="str">
            <v>HQ Salaries</v>
          </cell>
          <cell r="N8695" t="str">
            <v>SG&amp;A</v>
          </cell>
          <cell r="O8695" t="str">
            <v>[No Vendor]</v>
          </cell>
        </row>
        <row r="8696">
          <cell r="D8696">
            <v>-598.97</v>
          </cell>
          <cell r="H8696">
            <v>45809</v>
          </cell>
          <cell r="I8696" t="str">
            <v>6055 - Employer Social Security Tax Withheld</v>
          </cell>
          <cell r="J8696">
            <v>0</v>
          </cell>
          <cell r="K8696" t="str">
            <v>Executive</v>
          </cell>
          <cell r="L8696" t="str">
            <v>HQ Salaries</v>
          </cell>
          <cell r="N8696" t="str">
            <v>SG&amp;A</v>
          </cell>
          <cell r="O8696" t="str">
            <v>[No Vendor]</v>
          </cell>
        </row>
        <row r="8697">
          <cell r="D8697">
            <v>-1343.67</v>
          </cell>
          <cell r="H8697">
            <v>45809</v>
          </cell>
          <cell r="I8697" t="str">
            <v>6055 - Employer Social Security Tax Withheld</v>
          </cell>
          <cell r="J8697" t="str">
            <v>Ecommerce (US)</v>
          </cell>
          <cell r="K8697" t="str">
            <v>Ecommerce</v>
          </cell>
          <cell r="L8697" t="str">
            <v>HQ Salaries</v>
          </cell>
          <cell r="N8697" t="str">
            <v>SG&amp;A</v>
          </cell>
          <cell r="O8697" t="str">
            <v>[No Vendor]</v>
          </cell>
        </row>
        <row r="8698">
          <cell r="D8698">
            <v>-1087.23</v>
          </cell>
          <cell r="H8698">
            <v>45809</v>
          </cell>
          <cell r="I8698" t="str">
            <v>6055 - Employer Social Security Tax Withheld</v>
          </cell>
          <cell r="J8698">
            <v>0</v>
          </cell>
          <cell r="K8698" t="str">
            <v>Design</v>
          </cell>
          <cell r="L8698" t="str">
            <v>HQ Salaries</v>
          </cell>
          <cell r="N8698" t="str">
            <v>SG&amp;A</v>
          </cell>
          <cell r="O8698" t="str">
            <v>[No Vendor]</v>
          </cell>
        </row>
        <row r="8699">
          <cell r="D8699">
            <v>-912.94</v>
          </cell>
          <cell r="H8699">
            <v>45809</v>
          </cell>
          <cell r="I8699" t="str">
            <v>6055 - Employer Social Security Tax Withheld</v>
          </cell>
          <cell r="J8699">
            <v>0</v>
          </cell>
          <cell r="K8699" t="str">
            <v>Administration</v>
          </cell>
          <cell r="L8699" t="str">
            <v>HQ Salaries</v>
          </cell>
          <cell r="N8699" t="str">
            <v>SG&amp;A</v>
          </cell>
          <cell r="O8699" t="str">
            <v>[No Vendor]</v>
          </cell>
        </row>
        <row r="8700">
          <cell r="D8700">
            <v>17.45</v>
          </cell>
          <cell r="H8700">
            <v>45809</v>
          </cell>
          <cell r="I8700" t="str">
            <v>6040 - Employer Paid Benefits</v>
          </cell>
          <cell r="J8700">
            <v>0</v>
          </cell>
          <cell r="K8700" t="str">
            <v>Merchandising</v>
          </cell>
          <cell r="L8700" t="str">
            <v>HQ Salaries</v>
          </cell>
          <cell r="N8700" t="str">
            <v>SG&amp;A</v>
          </cell>
          <cell r="O8700" t="str">
            <v>[No Vendor]</v>
          </cell>
        </row>
        <row r="8701">
          <cell r="D8701">
            <v>17.45</v>
          </cell>
          <cell r="H8701">
            <v>45809</v>
          </cell>
          <cell r="I8701" t="str">
            <v>6040 - Employer Paid Benefits</v>
          </cell>
          <cell r="J8701" t="str">
            <v>Wholesale</v>
          </cell>
          <cell r="K8701" t="str">
            <v>Wholesale</v>
          </cell>
          <cell r="L8701" t="str">
            <v>HQ Salaries</v>
          </cell>
          <cell r="N8701" t="str">
            <v>SG&amp;A</v>
          </cell>
          <cell r="O8701" t="str">
            <v>[No Vendor]</v>
          </cell>
        </row>
        <row r="8702">
          <cell r="D8702">
            <v>112.85</v>
          </cell>
          <cell r="H8702">
            <v>45809</v>
          </cell>
          <cell r="I8702" t="str">
            <v>6040 - Employer Paid Benefits</v>
          </cell>
          <cell r="J8702">
            <v>0</v>
          </cell>
          <cell r="K8702" t="str">
            <v>Production</v>
          </cell>
          <cell r="L8702" t="str">
            <v>HQ Salaries</v>
          </cell>
          <cell r="N8702" t="str">
            <v>SG&amp;A</v>
          </cell>
          <cell r="O8702" t="str">
            <v>[No Vendor]</v>
          </cell>
        </row>
        <row r="8703">
          <cell r="D8703">
            <v>95.82</v>
          </cell>
          <cell r="H8703">
            <v>45809</v>
          </cell>
          <cell r="I8703" t="str">
            <v>6040 - Employer Paid Benefits</v>
          </cell>
          <cell r="J8703">
            <v>0</v>
          </cell>
          <cell r="K8703" t="str">
            <v>Brand Marketing</v>
          </cell>
          <cell r="L8703" t="str">
            <v>HQ Salaries</v>
          </cell>
          <cell r="N8703" t="str">
            <v>SG&amp;A</v>
          </cell>
          <cell r="O8703" t="str">
            <v>[No Vendor]</v>
          </cell>
        </row>
        <row r="8704">
          <cell r="D8704">
            <v>166.26</v>
          </cell>
          <cell r="H8704">
            <v>45809</v>
          </cell>
          <cell r="I8704" t="str">
            <v>6040 - Employer Paid Benefits</v>
          </cell>
          <cell r="J8704">
            <v>0</v>
          </cell>
          <cell r="K8704" t="str">
            <v>Executive</v>
          </cell>
          <cell r="L8704" t="str">
            <v>HQ Salaries</v>
          </cell>
          <cell r="N8704" t="str">
            <v>SG&amp;A</v>
          </cell>
          <cell r="O8704" t="str">
            <v>[No Vendor]</v>
          </cell>
        </row>
        <row r="8705">
          <cell r="D8705">
            <v>162.1</v>
          </cell>
          <cell r="H8705">
            <v>45809</v>
          </cell>
          <cell r="I8705" t="str">
            <v>6040 - Employer Paid Benefits</v>
          </cell>
          <cell r="J8705" t="str">
            <v>Ecommerce (US)</v>
          </cell>
          <cell r="K8705" t="str">
            <v>Ecommerce</v>
          </cell>
          <cell r="L8705" t="str">
            <v>HQ Salaries</v>
          </cell>
          <cell r="N8705" t="str">
            <v>SG&amp;A</v>
          </cell>
          <cell r="O8705" t="str">
            <v>[No Vendor]</v>
          </cell>
        </row>
        <row r="8706">
          <cell r="D8706">
            <v>221.21</v>
          </cell>
          <cell r="H8706">
            <v>45809</v>
          </cell>
          <cell r="I8706" t="str">
            <v>6040 - Employer Paid Benefits</v>
          </cell>
          <cell r="J8706">
            <v>0</v>
          </cell>
          <cell r="K8706" t="str">
            <v>Design</v>
          </cell>
          <cell r="L8706" t="str">
            <v>HQ Salaries</v>
          </cell>
          <cell r="N8706" t="str">
            <v>SG&amp;A</v>
          </cell>
          <cell r="O8706" t="str">
            <v>[No Vendor]</v>
          </cell>
        </row>
        <row r="8707">
          <cell r="D8707">
            <v>169.02</v>
          </cell>
          <cell r="H8707">
            <v>45809</v>
          </cell>
          <cell r="I8707" t="str">
            <v>6040 - Employer Paid Benefits</v>
          </cell>
          <cell r="J8707">
            <v>0</v>
          </cell>
          <cell r="K8707" t="str">
            <v>Administration</v>
          </cell>
          <cell r="L8707" t="str">
            <v>HQ Salaries</v>
          </cell>
          <cell r="N8707" t="str">
            <v>SG&amp;A</v>
          </cell>
          <cell r="O8707" t="str">
            <v>[No Vendor]</v>
          </cell>
        </row>
        <row r="8708">
          <cell r="D8708">
            <v>-4526.93</v>
          </cell>
          <cell r="H8708">
            <v>45809</v>
          </cell>
          <cell r="I8708" t="str">
            <v>6005 - Salaries</v>
          </cell>
          <cell r="J8708">
            <v>0</v>
          </cell>
          <cell r="K8708" t="str">
            <v>Merchandising</v>
          </cell>
          <cell r="L8708" t="str">
            <v>HQ Salaries</v>
          </cell>
          <cell r="N8708" t="str">
            <v>SG&amp;A</v>
          </cell>
          <cell r="O8708" t="str">
            <v>[No Vendor]</v>
          </cell>
        </row>
        <row r="8709">
          <cell r="D8709">
            <v>-1673.08</v>
          </cell>
          <cell r="H8709">
            <v>45809</v>
          </cell>
          <cell r="I8709" t="str">
            <v>6005 - Salaries</v>
          </cell>
          <cell r="J8709" t="str">
            <v>Wholesale</v>
          </cell>
          <cell r="K8709" t="str">
            <v>Wholesale</v>
          </cell>
          <cell r="L8709" t="str">
            <v>HQ Salaries</v>
          </cell>
          <cell r="N8709" t="str">
            <v>SG&amp;A</v>
          </cell>
          <cell r="O8709" t="str">
            <v>[No Vendor]</v>
          </cell>
        </row>
        <row r="8710">
          <cell r="D8710">
            <v>-7573.08</v>
          </cell>
          <cell r="H8710">
            <v>45809</v>
          </cell>
          <cell r="I8710" t="str">
            <v>6005 - Salaries</v>
          </cell>
          <cell r="J8710">
            <v>0</v>
          </cell>
          <cell r="K8710" t="str">
            <v>Production</v>
          </cell>
          <cell r="L8710" t="str">
            <v>HQ Salaries</v>
          </cell>
          <cell r="N8710" t="str">
            <v>SG&amp;A</v>
          </cell>
          <cell r="O8710" t="str">
            <v>[No Vendor]</v>
          </cell>
        </row>
        <row r="8711">
          <cell r="D8711">
            <v>-1442.31</v>
          </cell>
          <cell r="H8711">
            <v>45809</v>
          </cell>
          <cell r="I8711" t="str">
            <v>6005 - Salaries</v>
          </cell>
          <cell r="J8711">
            <v>0</v>
          </cell>
          <cell r="K8711" t="str">
            <v>Brand Marketing</v>
          </cell>
          <cell r="L8711" t="str">
            <v>HQ Salaries</v>
          </cell>
          <cell r="N8711" t="str">
            <v>SG&amp;A</v>
          </cell>
          <cell r="O8711" t="str">
            <v>[No Vendor]</v>
          </cell>
        </row>
        <row r="8712">
          <cell r="D8712">
            <v>-5686.54</v>
          </cell>
          <cell r="H8712">
            <v>45809</v>
          </cell>
          <cell r="I8712" t="str">
            <v>6005 - Salaries</v>
          </cell>
          <cell r="J8712">
            <v>0</v>
          </cell>
          <cell r="K8712" t="str">
            <v>Executive</v>
          </cell>
          <cell r="L8712" t="str">
            <v>HQ Salaries</v>
          </cell>
          <cell r="N8712" t="str">
            <v>SG&amp;A</v>
          </cell>
          <cell r="O8712" t="str">
            <v>[No Vendor]</v>
          </cell>
        </row>
        <row r="8713">
          <cell r="D8713">
            <v>-10353.86</v>
          </cell>
          <cell r="H8713">
            <v>45809</v>
          </cell>
          <cell r="I8713" t="str">
            <v>6005 - Salaries</v>
          </cell>
          <cell r="J8713" t="str">
            <v>Ecommerce (US)</v>
          </cell>
          <cell r="K8713" t="str">
            <v>Ecommerce</v>
          </cell>
          <cell r="L8713" t="str">
            <v>HQ Salaries</v>
          </cell>
          <cell r="N8713" t="str">
            <v>SG&amp;A</v>
          </cell>
          <cell r="O8713" t="str">
            <v>[No Vendor]</v>
          </cell>
        </row>
        <row r="8714">
          <cell r="D8714">
            <v>-11219.25</v>
          </cell>
          <cell r="H8714">
            <v>45809</v>
          </cell>
          <cell r="I8714" t="str">
            <v>6005 - Salaries</v>
          </cell>
          <cell r="J8714">
            <v>0</v>
          </cell>
          <cell r="K8714" t="str">
            <v>Design</v>
          </cell>
          <cell r="L8714" t="str">
            <v>HQ Salaries</v>
          </cell>
          <cell r="N8714" t="str">
            <v>SG&amp;A</v>
          </cell>
          <cell r="O8714" t="str">
            <v>[No Vendor]</v>
          </cell>
        </row>
        <row r="8715">
          <cell r="D8715">
            <v>598.26</v>
          </cell>
          <cell r="H8715">
            <v>45809</v>
          </cell>
          <cell r="I8715" t="str">
            <v>6375 - Freight Expenses</v>
          </cell>
          <cell r="J8715" t="str">
            <v>Ecommerce (US)</v>
          </cell>
          <cell r="K8715" t="str">
            <v>Ecommerce</v>
          </cell>
          <cell r="L8715" t="str">
            <v>Freight</v>
          </cell>
          <cell r="N8715" t="str">
            <v>Direct Costs</v>
          </cell>
          <cell r="O8715" t="str">
            <v>UPS Supply Chain Solutions Inc. (7F24A0)</v>
          </cell>
        </row>
        <row r="8716">
          <cell r="D8716">
            <v>61750</v>
          </cell>
          <cell r="H8716">
            <v>45809</v>
          </cell>
          <cell r="I8716" t="str">
            <v>6215 - Recruitment</v>
          </cell>
          <cell r="J8716">
            <v>0</v>
          </cell>
          <cell r="K8716" t="str">
            <v>Administration</v>
          </cell>
          <cell r="L8716" t="str">
            <v>Professional Service</v>
          </cell>
          <cell r="N8716" t="str">
            <v>SG&amp;A</v>
          </cell>
          <cell r="O8716" t="str">
            <v>Janou Pakter</v>
          </cell>
        </row>
        <row r="8717">
          <cell r="D8717">
            <v>5020.01</v>
          </cell>
          <cell r="H8717">
            <v>45809</v>
          </cell>
          <cell r="I8717" t="str">
            <v>8505 - Realized Gain/Loss</v>
          </cell>
          <cell r="J8717">
            <v>0</v>
          </cell>
          <cell r="K8717" t="str">
            <v>No Department</v>
          </cell>
          <cell r="L8717" t="str">
            <v>Realized Gain / Loss</v>
          </cell>
          <cell r="N8717" t="str">
            <v>BTL</v>
          </cell>
          <cell r="O8717" t="str">
            <v>[No Vendor]</v>
          </cell>
        </row>
        <row r="8718">
          <cell r="D8718">
            <v>4737.1499999999996</v>
          </cell>
          <cell r="H8718">
            <v>45809</v>
          </cell>
          <cell r="I8718" t="str">
            <v>6451 - Service Processing Fee</v>
          </cell>
          <cell r="J8718" t="str">
            <v>Wholesale</v>
          </cell>
          <cell r="K8718" t="str">
            <v>Wholesale</v>
          </cell>
          <cell r="L8718" t="str">
            <v>Professional Service</v>
          </cell>
          <cell r="N8718" t="str">
            <v>Direct Costs</v>
          </cell>
          <cell r="O8718" t="str">
            <v>Paymentech</v>
          </cell>
        </row>
        <row r="8719">
          <cell r="D8719">
            <v>168.74</v>
          </cell>
          <cell r="H8719">
            <v>45809</v>
          </cell>
          <cell r="I8719" t="str">
            <v>6375 - Freight Expenses</v>
          </cell>
          <cell r="J8719" t="str">
            <v>Ecommerce (US)</v>
          </cell>
          <cell r="K8719" t="str">
            <v>Ecommerce</v>
          </cell>
          <cell r="L8719" t="str">
            <v>Freight</v>
          </cell>
          <cell r="N8719" t="str">
            <v>Direct Costs</v>
          </cell>
          <cell r="O8719" t="str">
            <v>UPS Supply Chain Solutions Inc. (7F24A0)</v>
          </cell>
        </row>
        <row r="8720">
          <cell r="D8720">
            <v>23.41</v>
          </cell>
          <cell r="H8720">
            <v>45809</v>
          </cell>
          <cell r="I8720" t="str">
            <v>6375 - Freight Expenses</v>
          </cell>
          <cell r="J8720">
            <v>0</v>
          </cell>
          <cell r="K8720" t="str">
            <v>Production</v>
          </cell>
          <cell r="L8720" t="str">
            <v>Freight</v>
          </cell>
          <cell r="N8720" t="str">
            <v>Direct Costs</v>
          </cell>
          <cell r="O8720" t="str">
            <v>DHL Express - USA</v>
          </cell>
        </row>
        <row r="8721">
          <cell r="D8721">
            <v>28.74</v>
          </cell>
          <cell r="H8721">
            <v>45809</v>
          </cell>
          <cell r="I8721" t="str">
            <v>6375 - Freight Expenses</v>
          </cell>
          <cell r="J8721">
            <v>0</v>
          </cell>
          <cell r="K8721" t="str">
            <v>Production</v>
          </cell>
          <cell r="L8721" t="str">
            <v>Freight</v>
          </cell>
          <cell r="N8721" t="str">
            <v>Direct Costs</v>
          </cell>
          <cell r="O8721" t="str">
            <v>DHL Express - USA</v>
          </cell>
        </row>
        <row r="8722">
          <cell r="D8722">
            <v>2708.64</v>
          </cell>
          <cell r="H8722">
            <v>45809</v>
          </cell>
          <cell r="I8722" t="str">
            <v>6040 - Employer Paid Benefits</v>
          </cell>
          <cell r="J8722">
            <v>0</v>
          </cell>
          <cell r="K8722" t="str">
            <v>Administration</v>
          </cell>
          <cell r="L8722" t="str">
            <v>HQ Salaries</v>
          </cell>
          <cell r="N8722" t="str">
            <v>SG&amp;A</v>
          </cell>
          <cell r="O8722" t="str">
            <v>Procyon Benefits LLC</v>
          </cell>
        </row>
        <row r="8723">
          <cell r="D8723">
            <v>1494</v>
          </cell>
          <cell r="H8723">
            <v>45809</v>
          </cell>
          <cell r="I8723" t="str">
            <v>6393 - Software</v>
          </cell>
          <cell r="J8723">
            <v>0</v>
          </cell>
          <cell r="K8723" t="str">
            <v>Design</v>
          </cell>
          <cell r="L8723" t="str">
            <v>Professional Service</v>
          </cell>
          <cell r="N8723" t="str">
            <v>Direct Costs</v>
          </cell>
          <cell r="O8723" t="str">
            <v>Backbone</v>
          </cell>
        </row>
        <row r="8724">
          <cell r="D8724">
            <v>240.07</v>
          </cell>
          <cell r="H8724">
            <v>45809</v>
          </cell>
          <cell r="I8724" t="str">
            <v>6393 - Software</v>
          </cell>
          <cell r="J8724" t="str">
            <v>Wholesale</v>
          </cell>
          <cell r="K8724" t="str">
            <v>Wholesale</v>
          </cell>
          <cell r="L8724" t="str">
            <v>Professional Service</v>
          </cell>
          <cell r="N8724" t="str">
            <v>Direct Costs</v>
          </cell>
          <cell r="O8724" t="str">
            <v>Open Text</v>
          </cell>
        </row>
        <row r="8725">
          <cell r="D8725">
            <v>49.7</v>
          </cell>
          <cell r="H8725">
            <v>45809</v>
          </cell>
          <cell r="I8725" t="str">
            <v>6393 - Software</v>
          </cell>
          <cell r="J8725" t="str">
            <v>Wholesale</v>
          </cell>
          <cell r="K8725" t="str">
            <v>Wholesale</v>
          </cell>
          <cell r="L8725" t="str">
            <v>Professional Service</v>
          </cell>
          <cell r="N8725" t="str">
            <v>Direct Costs</v>
          </cell>
          <cell r="O8725" t="str">
            <v>Authorize.net</v>
          </cell>
        </row>
        <row r="8726">
          <cell r="D8726">
            <v>1779.84</v>
          </cell>
          <cell r="H8726">
            <v>45809</v>
          </cell>
          <cell r="I8726" t="str">
            <v>6393 - Software</v>
          </cell>
          <cell r="J8726">
            <v>0</v>
          </cell>
          <cell r="K8726" t="str">
            <v>Administration</v>
          </cell>
          <cell r="L8726" t="str">
            <v>Professional Service</v>
          </cell>
          <cell r="N8726" t="str">
            <v>Direct Costs</v>
          </cell>
          <cell r="O8726" t="str">
            <v>Adobe, Inc.</v>
          </cell>
        </row>
        <row r="8727">
          <cell r="D8727">
            <v>1265.06</v>
          </cell>
          <cell r="H8727">
            <v>45809</v>
          </cell>
          <cell r="I8727" t="str">
            <v>6393 - Software</v>
          </cell>
          <cell r="J8727">
            <v>0</v>
          </cell>
          <cell r="K8727" t="str">
            <v>Administration</v>
          </cell>
          <cell r="L8727" t="str">
            <v>Professional Service</v>
          </cell>
          <cell r="N8727" t="str">
            <v>Direct Costs</v>
          </cell>
          <cell r="O8727" t="str">
            <v>Docusign</v>
          </cell>
        </row>
        <row r="8728">
          <cell r="D8728">
            <v>76.2</v>
          </cell>
          <cell r="H8728">
            <v>45809</v>
          </cell>
          <cell r="I8728" t="str">
            <v>6393 - Software</v>
          </cell>
          <cell r="J8728">
            <v>0</v>
          </cell>
          <cell r="K8728" t="str">
            <v>Administration</v>
          </cell>
          <cell r="L8728" t="str">
            <v>Professional Service</v>
          </cell>
          <cell r="N8728" t="str">
            <v>Direct Costs</v>
          </cell>
          <cell r="O8728" t="str">
            <v>QBO</v>
          </cell>
        </row>
        <row r="8729">
          <cell r="D8729">
            <v>598</v>
          </cell>
          <cell r="H8729">
            <v>45809</v>
          </cell>
          <cell r="I8729" t="str">
            <v>6393 - Software</v>
          </cell>
          <cell r="J8729" t="str">
            <v>Ecommerce (US)</v>
          </cell>
          <cell r="K8729" t="str">
            <v>Ecommerce</v>
          </cell>
          <cell r="L8729" t="str">
            <v>Professional Service</v>
          </cell>
          <cell r="N8729" t="str">
            <v>Direct Costs</v>
          </cell>
          <cell r="O8729" t="str">
            <v>GODATAFEED</v>
          </cell>
        </row>
        <row r="8730">
          <cell r="D8730">
            <v>7770.12</v>
          </cell>
          <cell r="H8730">
            <v>45809</v>
          </cell>
          <cell r="I8730" t="str">
            <v>6393 - Software</v>
          </cell>
          <cell r="J8730" t="str">
            <v>Ecommerce (US)</v>
          </cell>
          <cell r="K8730" t="str">
            <v>Ecommerce</v>
          </cell>
          <cell r="L8730" t="str">
            <v>Professional Service</v>
          </cell>
          <cell r="N8730" t="str">
            <v>Direct Costs</v>
          </cell>
          <cell r="O8730" t="str">
            <v>Shopify</v>
          </cell>
        </row>
        <row r="8731">
          <cell r="D8731">
            <v>3249.92</v>
          </cell>
          <cell r="H8731">
            <v>45809</v>
          </cell>
          <cell r="I8731" t="str">
            <v>6393 - Software</v>
          </cell>
          <cell r="J8731" t="str">
            <v>Ecommerce (US)</v>
          </cell>
          <cell r="K8731" t="str">
            <v>Ecommerce</v>
          </cell>
          <cell r="L8731" t="str">
            <v>Professional Service</v>
          </cell>
          <cell r="N8731" t="str">
            <v>Direct Costs</v>
          </cell>
          <cell r="O8731" t="str">
            <v>Klaviyo</v>
          </cell>
        </row>
        <row r="8732">
          <cell r="D8732">
            <v>159</v>
          </cell>
          <cell r="H8732">
            <v>45809</v>
          </cell>
          <cell r="I8732" t="str">
            <v>6393 - Software</v>
          </cell>
          <cell r="J8732" t="str">
            <v>Ecommerce (US)</v>
          </cell>
          <cell r="K8732" t="str">
            <v>Ecommerce</v>
          </cell>
          <cell r="L8732" t="str">
            <v>Professional Service</v>
          </cell>
          <cell r="N8732" t="str">
            <v>Direct Costs</v>
          </cell>
          <cell r="O8732" t="str">
            <v>INTEGRATION MANAGER</v>
          </cell>
        </row>
        <row r="8733">
          <cell r="D8733">
            <v>1012.54</v>
          </cell>
          <cell r="H8733">
            <v>45809</v>
          </cell>
          <cell r="I8733" t="str">
            <v>6393 - Software</v>
          </cell>
          <cell r="J8733" t="str">
            <v>Ecommerce (US)</v>
          </cell>
          <cell r="K8733" t="str">
            <v>Ecommerce</v>
          </cell>
          <cell r="L8733" t="str">
            <v>Professional Service</v>
          </cell>
          <cell r="N8733" t="str">
            <v>Direct Costs</v>
          </cell>
          <cell r="O8733" t="str">
            <v>Klaviyo</v>
          </cell>
        </row>
        <row r="8734">
          <cell r="D8734">
            <v>10826.7</v>
          </cell>
          <cell r="H8734">
            <v>45809</v>
          </cell>
          <cell r="I8734" t="str">
            <v>6393 - Software</v>
          </cell>
          <cell r="J8734" t="str">
            <v>Ecommerce (US)</v>
          </cell>
          <cell r="K8734" t="str">
            <v>Ecommerce</v>
          </cell>
          <cell r="L8734" t="str">
            <v>Professional Service</v>
          </cell>
          <cell r="N8734" t="str">
            <v>Direct Costs</v>
          </cell>
          <cell r="O8734" t="str">
            <v>Signifyd</v>
          </cell>
        </row>
        <row r="8735">
          <cell r="D8735">
            <v>1704.33</v>
          </cell>
          <cell r="H8735">
            <v>45809</v>
          </cell>
          <cell r="I8735" t="str">
            <v>6393 - Software</v>
          </cell>
          <cell r="J8735" t="str">
            <v>Ecommerce (US)</v>
          </cell>
          <cell r="K8735" t="str">
            <v>Ecommerce</v>
          </cell>
          <cell r="L8735" t="str">
            <v>Professional Service</v>
          </cell>
          <cell r="N8735" t="str">
            <v>Direct Costs</v>
          </cell>
          <cell r="O8735" t="str">
            <v>GORGIAS INC</v>
          </cell>
        </row>
        <row r="8736">
          <cell r="D8736">
            <v>1166.58</v>
          </cell>
          <cell r="H8736">
            <v>45809</v>
          </cell>
          <cell r="I8736" t="str">
            <v>6393 - Software</v>
          </cell>
          <cell r="J8736" t="str">
            <v>Ecommerce (US)</v>
          </cell>
          <cell r="K8736" t="str">
            <v>Ecommerce</v>
          </cell>
          <cell r="L8736" t="str">
            <v>Professional Service</v>
          </cell>
          <cell r="N8736" t="str">
            <v>Direct Costs</v>
          </cell>
          <cell r="O8736" t="str">
            <v>Google Cloud</v>
          </cell>
        </row>
        <row r="8737">
          <cell r="D8737">
            <v>4.16</v>
          </cell>
          <cell r="H8737">
            <v>45809</v>
          </cell>
          <cell r="I8737" t="str">
            <v>6393 - Software</v>
          </cell>
          <cell r="J8737">
            <v>0</v>
          </cell>
          <cell r="K8737" t="str">
            <v>Administration</v>
          </cell>
          <cell r="L8737" t="str">
            <v>Professional Service</v>
          </cell>
          <cell r="N8737" t="str">
            <v>Direct Costs</v>
          </cell>
          <cell r="O8737" t="str">
            <v>BOTPRESS</v>
          </cell>
        </row>
        <row r="8738">
          <cell r="D8738">
            <v>1373.82</v>
          </cell>
          <cell r="H8738">
            <v>45809</v>
          </cell>
          <cell r="I8738" t="str">
            <v>6286 - SEM</v>
          </cell>
          <cell r="J8738" t="str">
            <v>Ecommerce (US)</v>
          </cell>
          <cell r="K8738" t="str">
            <v>Ecommerce</v>
          </cell>
          <cell r="L8738" t="str">
            <v>Marketing</v>
          </cell>
          <cell r="N8738" t="str">
            <v>Direct Costs</v>
          </cell>
          <cell r="O8738" t="str">
            <v>Amazon</v>
          </cell>
        </row>
        <row r="8739">
          <cell r="D8739">
            <v>4.59</v>
          </cell>
          <cell r="H8739">
            <v>45809</v>
          </cell>
          <cell r="I8739" t="str">
            <v>6340 - Miscellaneous Expense</v>
          </cell>
          <cell r="J8739">
            <v>0</v>
          </cell>
          <cell r="K8739" t="str">
            <v>Administration</v>
          </cell>
          <cell r="L8739" t="str">
            <v>Other</v>
          </cell>
          <cell r="N8739" t="str">
            <v>SG&amp;A</v>
          </cell>
          <cell r="O8739" t="str">
            <v>[No Vendor]</v>
          </cell>
        </row>
        <row r="8740">
          <cell r="D8740">
            <v>4.59</v>
          </cell>
          <cell r="H8740">
            <v>45809</v>
          </cell>
          <cell r="I8740" t="str">
            <v>6340 - Miscellaneous Expense</v>
          </cell>
          <cell r="J8740">
            <v>0</v>
          </cell>
          <cell r="K8740" t="str">
            <v>Administration</v>
          </cell>
          <cell r="L8740" t="str">
            <v>Other</v>
          </cell>
          <cell r="N8740" t="str">
            <v>SG&amp;A</v>
          </cell>
          <cell r="O8740" t="str">
            <v>[No Vendor]</v>
          </cell>
        </row>
        <row r="8741">
          <cell r="D8741">
            <v>67.900000000000006</v>
          </cell>
          <cell r="H8741">
            <v>45809</v>
          </cell>
          <cell r="I8741" t="str">
            <v>6340 - Miscellaneous Expense</v>
          </cell>
          <cell r="J8741">
            <v>0</v>
          </cell>
          <cell r="K8741" t="str">
            <v>Administration</v>
          </cell>
          <cell r="L8741" t="str">
            <v>Other</v>
          </cell>
          <cell r="N8741" t="str">
            <v>SG&amp;A</v>
          </cell>
          <cell r="O8741" t="str">
            <v>[No Vendor]</v>
          </cell>
        </row>
        <row r="8742">
          <cell r="D8742">
            <v>65.33</v>
          </cell>
          <cell r="H8742">
            <v>45809</v>
          </cell>
          <cell r="I8742" t="str">
            <v>6340 - Miscellaneous Expense</v>
          </cell>
          <cell r="J8742">
            <v>0</v>
          </cell>
          <cell r="K8742" t="str">
            <v>Administration</v>
          </cell>
          <cell r="L8742" t="str">
            <v>Other</v>
          </cell>
          <cell r="N8742" t="str">
            <v>SG&amp;A</v>
          </cell>
          <cell r="O8742" t="str">
            <v>NYC Intercom Inc</v>
          </cell>
        </row>
        <row r="8743">
          <cell r="D8743">
            <v>1.1399999999999999</v>
          </cell>
          <cell r="H8743">
            <v>45809</v>
          </cell>
          <cell r="I8743" t="str">
            <v>6450 - Bank &amp; Other Fees</v>
          </cell>
          <cell r="J8743">
            <v>0</v>
          </cell>
          <cell r="K8743" t="str">
            <v>Administration</v>
          </cell>
          <cell r="L8743" t="str">
            <v>Professional Service</v>
          </cell>
          <cell r="N8743" t="str">
            <v>SG&amp;A</v>
          </cell>
          <cell r="O8743" t="str">
            <v>[No Vendor]</v>
          </cell>
        </row>
        <row r="8744">
          <cell r="D8744">
            <v>1858.8</v>
          </cell>
          <cell r="H8744">
            <v>45809</v>
          </cell>
          <cell r="I8744" t="str">
            <v>6375 - Freight Expenses</v>
          </cell>
          <cell r="J8744" t="str">
            <v>Ecommerce (US)</v>
          </cell>
          <cell r="K8744" t="str">
            <v>Ecommerce</v>
          </cell>
          <cell r="L8744" t="str">
            <v>Freight</v>
          </cell>
          <cell r="N8744" t="str">
            <v>Direct Costs</v>
          </cell>
          <cell r="O8744" t="str">
            <v>UPS Supply Chain Solutions Inc. (7F24A0)</v>
          </cell>
        </row>
        <row r="8745">
          <cell r="D8745">
            <v>17.989999999999998</v>
          </cell>
          <cell r="H8745">
            <v>45809</v>
          </cell>
          <cell r="I8745" t="str">
            <v>6040 - Employer Paid Benefits</v>
          </cell>
          <cell r="J8745" t="str">
            <v>Wholesale</v>
          </cell>
          <cell r="K8745" t="str">
            <v>Wholesale</v>
          </cell>
          <cell r="L8745" t="str">
            <v>HQ Salaries</v>
          </cell>
          <cell r="N8745" t="str">
            <v>SG&amp;A</v>
          </cell>
          <cell r="O8745" t="str">
            <v>Procyon Benefits LLC</v>
          </cell>
        </row>
        <row r="8746">
          <cell r="D8746">
            <v>126.6</v>
          </cell>
          <cell r="H8746">
            <v>45809</v>
          </cell>
          <cell r="I8746" t="str">
            <v>6040 - Employer Paid Benefits</v>
          </cell>
          <cell r="J8746">
            <v>0</v>
          </cell>
          <cell r="K8746" t="str">
            <v>Production</v>
          </cell>
          <cell r="L8746" t="str">
            <v>HQ Salaries</v>
          </cell>
          <cell r="N8746" t="str">
            <v>SG&amp;A</v>
          </cell>
          <cell r="O8746" t="str">
            <v>Procyon Benefits LLC</v>
          </cell>
        </row>
        <row r="8747">
          <cell r="D8747">
            <v>81.099999999999994</v>
          </cell>
          <cell r="H8747">
            <v>45809</v>
          </cell>
          <cell r="I8747" t="str">
            <v>6040 - Employer Paid Benefits</v>
          </cell>
          <cell r="J8747">
            <v>0</v>
          </cell>
          <cell r="K8747" t="str">
            <v>Merchandising</v>
          </cell>
          <cell r="L8747" t="str">
            <v>HQ Salaries</v>
          </cell>
          <cell r="N8747" t="str">
            <v>SG&amp;A</v>
          </cell>
          <cell r="O8747" t="str">
            <v>Procyon Benefits LLC</v>
          </cell>
        </row>
        <row r="8748">
          <cell r="D8748">
            <v>67.349999999999994</v>
          </cell>
          <cell r="H8748">
            <v>45809</v>
          </cell>
          <cell r="I8748" t="str">
            <v>6040 - Employer Paid Benefits</v>
          </cell>
          <cell r="J8748" t="str">
            <v>Ecommerce (US)</v>
          </cell>
          <cell r="K8748" t="str">
            <v>Ecommerce</v>
          </cell>
          <cell r="L8748" t="str">
            <v>HQ Salaries</v>
          </cell>
          <cell r="N8748" t="str">
            <v>SG&amp;A</v>
          </cell>
          <cell r="O8748" t="str">
            <v>Procyon Benefits LLC</v>
          </cell>
        </row>
        <row r="8749">
          <cell r="D8749">
            <v>283.89999999999998</v>
          </cell>
          <cell r="H8749">
            <v>45809</v>
          </cell>
          <cell r="I8749" t="str">
            <v>6040 - Employer Paid Benefits</v>
          </cell>
          <cell r="J8749">
            <v>0</v>
          </cell>
          <cell r="K8749" t="str">
            <v>Executive</v>
          </cell>
          <cell r="L8749" t="str">
            <v>HQ Salaries</v>
          </cell>
          <cell r="N8749" t="str">
            <v>SG&amp;A</v>
          </cell>
          <cell r="O8749" t="str">
            <v>Procyon Benefits LLC</v>
          </cell>
        </row>
        <row r="8750">
          <cell r="D8750">
            <v>391.1</v>
          </cell>
          <cell r="H8750">
            <v>45809</v>
          </cell>
          <cell r="I8750" t="str">
            <v>6040 - Employer Paid Benefits</v>
          </cell>
          <cell r="J8750">
            <v>0</v>
          </cell>
          <cell r="K8750" t="str">
            <v>Design</v>
          </cell>
          <cell r="L8750" t="str">
            <v>HQ Salaries</v>
          </cell>
          <cell r="N8750" t="str">
            <v>SG&amp;A</v>
          </cell>
          <cell r="O8750" t="str">
            <v>Procyon Benefits LLC</v>
          </cell>
        </row>
        <row r="8751">
          <cell r="D8751">
            <v>58.36</v>
          </cell>
          <cell r="H8751">
            <v>45809</v>
          </cell>
          <cell r="I8751" t="str">
            <v>6375 - Freight Expenses</v>
          </cell>
          <cell r="J8751" t="str">
            <v>Ecommerce (US)</v>
          </cell>
          <cell r="K8751" t="str">
            <v>Ecommerce</v>
          </cell>
          <cell r="L8751" t="str">
            <v>Freight</v>
          </cell>
          <cell r="N8751" t="str">
            <v>Direct Costs</v>
          </cell>
          <cell r="O8751" t="str">
            <v>UPS Supply Chain Solutions Inc. (7F24A0)</v>
          </cell>
        </row>
        <row r="8752">
          <cell r="D8752">
            <v>146</v>
          </cell>
          <cell r="H8752">
            <v>45809</v>
          </cell>
          <cell r="I8752" t="str">
            <v>6393 - Software</v>
          </cell>
          <cell r="J8752" t="str">
            <v>Wholesale</v>
          </cell>
          <cell r="K8752" t="str">
            <v>Wholesale</v>
          </cell>
          <cell r="L8752" t="str">
            <v>Professional Service</v>
          </cell>
          <cell r="N8752" t="str">
            <v>Direct Costs</v>
          </cell>
          <cell r="O8752" t="str">
            <v>SPS Commerce</v>
          </cell>
        </row>
        <row r="8753">
          <cell r="D8753">
            <v>544.32000000000005</v>
          </cell>
          <cell r="H8753">
            <v>45809</v>
          </cell>
          <cell r="I8753" t="str">
            <v>6393 - Software</v>
          </cell>
          <cell r="J8753">
            <v>0</v>
          </cell>
          <cell r="K8753" t="str">
            <v>Administration</v>
          </cell>
          <cell r="L8753" t="str">
            <v>Professional Service</v>
          </cell>
          <cell r="N8753" t="str">
            <v>Direct Costs</v>
          </cell>
          <cell r="O8753" t="str">
            <v>Concur Technologies, Inc.</v>
          </cell>
        </row>
        <row r="8754">
          <cell r="D8754">
            <v>19.7</v>
          </cell>
          <cell r="H8754">
            <v>45809</v>
          </cell>
          <cell r="I8754" t="str">
            <v>6375 - Freight Expenses</v>
          </cell>
          <cell r="J8754">
            <v>0</v>
          </cell>
          <cell r="K8754" t="str">
            <v>Production</v>
          </cell>
          <cell r="L8754" t="str">
            <v>Freight</v>
          </cell>
          <cell r="N8754" t="str">
            <v>Direct Costs</v>
          </cell>
          <cell r="O8754" t="str">
            <v>DHL Express - USA</v>
          </cell>
        </row>
        <row r="8755">
          <cell r="D8755">
            <v>990</v>
          </cell>
          <cell r="H8755">
            <v>45809</v>
          </cell>
          <cell r="I8755" t="str">
            <v>6288 - Model</v>
          </cell>
          <cell r="J8755" t="str">
            <v>Ecommerce (US)</v>
          </cell>
          <cell r="K8755" t="str">
            <v>Brand Marketing</v>
          </cell>
          <cell r="L8755" t="str">
            <v>Advertising</v>
          </cell>
          <cell r="N8755" t="str">
            <v>SG&amp;A</v>
          </cell>
          <cell r="O8755" t="str">
            <v>State Artist Management</v>
          </cell>
        </row>
        <row r="8756">
          <cell r="D8756">
            <v>83.84</v>
          </cell>
          <cell r="H8756">
            <v>45809</v>
          </cell>
          <cell r="I8756" t="str">
            <v>6340 - Miscellaneous Expense</v>
          </cell>
          <cell r="J8756">
            <v>0</v>
          </cell>
          <cell r="K8756" t="str">
            <v>Production</v>
          </cell>
          <cell r="L8756" t="str">
            <v>Other</v>
          </cell>
          <cell r="N8756" t="str">
            <v>SG&amp;A</v>
          </cell>
          <cell r="O8756" t="str">
            <v>[No Vendor]</v>
          </cell>
        </row>
        <row r="8757">
          <cell r="D8757">
            <v>737.58</v>
          </cell>
          <cell r="H8757">
            <v>45809</v>
          </cell>
          <cell r="I8757" t="str">
            <v>6300 - Payroll Service Fees</v>
          </cell>
          <cell r="J8757">
            <v>0</v>
          </cell>
          <cell r="K8757" t="str">
            <v>Administration</v>
          </cell>
          <cell r="L8757" t="str">
            <v>Professional Service</v>
          </cell>
          <cell r="N8757" t="str">
            <v>SG&amp;A</v>
          </cell>
          <cell r="O8757" t="str">
            <v>ADP Payroll Services</v>
          </cell>
        </row>
        <row r="8758">
          <cell r="D8758">
            <v>627.94000000000005</v>
          </cell>
          <cell r="H8758">
            <v>45809</v>
          </cell>
          <cell r="I8758" t="str">
            <v>6300 - Payroll Service Fees</v>
          </cell>
          <cell r="J8758">
            <v>0</v>
          </cell>
          <cell r="K8758" t="str">
            <v>Administration</v>
          </cell>
          <cell r="L8758" t="str">
            <v>Professional Service</v>
          </cell>
          <cell r="N8758" t="str">
            <v>SG&amp;A</v>
          </cell>
          <cell r="O8758" t="str">
            <v>ADP Payroll Services</v>
          </cell>
        </row>
        <row r="8759">
          <cell r="D8759">
            <v>6000</v>
          </cell>
          <cell r="H8759">
            <v>45809</v>
          </cell>
          <cell r="I8759" t="str">
            <v>6225 - Professional Services</v>
          </cell>
          <cell r="J8759">
            <v>0</v>
          </cell>
          <cell r="K8759" t="str">
            <v>Administration</v>
          </cell>
          <cell r="L8759" t="str">
            <v>Professional Service</v>
          </cell>
          <cell r="N8759" t="str">
            <v>Direct Costs</v>
          </cell>
          <cell r="O8759" t="str">
            <v>Janou Pakter</v>
          </cell>
        </row>
        <row r="8760">
          <cell r="D8760">
            <v>40.98</v>
          </cell>
          <cell r="H8760">
            <v>45809</v>
          </cell>
          <cell r="I8760" t="str">
            <v>6125 - Transportation and Fuel</v>
          </cell>
          <cell r="J8760">
            <v>0</v>
          </cell>
          <cell r="K8760" t="str">
            <v>Production</v>
          </cell>
          <cell r="L8760" t="str">
            <v>T&amp;E</v>
          </cell>
          <cell r="N8760" t="str">
            <v>SG&amp;A</v>
          </cell>
          <cell r="O8760" t="str">
            <v>[No Vendor]</v>
          </cell>
        </row>
        <row r="8761">
          <cell r="D8761">
            <v>20.78</v>
          </cell>
          <cell r="H8761">
            <v>45809</v>
          </cell>
          <cell r="I8761" t="str">
            <v>6125 - Transportation and Fuel</v>
          </cell>
          <cell r="J8761">
            <v>0</v>
          </cell>
          <cell r="K8761" t="str">
            <v>Production</v>
          </cell>
          <cell r="L8761" t="str">
            <v>T&amp;E</v>
          </cell>
          <cell r="N8761" t="str">
            <v>SG&amp;A</v>
          </cell>
          <cell r="O8761" t="str">
            <v>[No Vendor]</v>
          </cell>
        </row>
        <row r="8762">
          <cell r="D8762">
            <v>21.02</v>
          </cell>
          <cell r="H8762">
            <v>45809</v>
          </cell>
          <cell r="I8762" t="str">
            <v>6105 - Meals</v>
          </cell>
          <cell r="J8762">
            <v>0</v>
          </cell>
          <cell r="K8762" t="str">
            <v>Production</v>
          </cell>
          <cell r="L8762" t="str">
            <v>T&amp;E</v>
          </cell>
          <cell r="N8762" t="str">
            <v>SG&amp;A</v>
          </cell>
          <cell r="O8762" t="str">
            <v>[No Vendor]</v>
          </cell>
        </row>
        <row r="8763">
          <cell r="D8763">
            <v>39.159999999999997</v>
          </cell>
          <cell r="H8763">
            <v>45809</v>
          </cell>
          <cell r="I8763" t="str">
            <v>6375 - Freight Expenses</v>
          </cell>
          <cell r="J8763">
            <v>0</v>
          </cell>
          <cell r="K8763" t="str">
            <v>Production</v>
          </cell>
          <cell r="L8763" t="str">
            <v>Freight</v>
          </cell>
          <cell r="N8763" t="str">
            <v>Direct Costs</v>
          </cell>
          <cell r="O8763" t="str">
            <v>DHL Express - USA</v>
          </cell>
        </row>
        <row r="8764">
          <cell r="D8764">
            <v>1349.22</v>
          </cell>
          <cell r="H8764">
            <v>45809</v>
          </cell>
          <cell r="I8764" t="str">
            <v>8505 - Realized Gain/Loss</v>
          </cell>
          <cell r="J8764">
            <v>0</v>
          </cell>
          <cell r="K8764" t="str">
            <v>No Department</v>
          </cell>
          <cell r="L8764" t="str">
            <v>Realized Gain / Loss</v>
          </cell>
          <cell r="N8764" t="str">
            <v>BTL</v>
          </cell>
          <cell r="O8764" t="str">
            <v>[No Vendor]</v>
          </cell>
        </row>
        <row r="8765">
          <cell r="D8765">
            <v>35040.46</v>
          </cell>
          <cell r="H8765">
            <v>45809</v>
          </cell>
          <cell r="I8765" t="str">
            <v>6375 - Freight Expenses</v>
          </cell>
          <cell r="J8765" t="str">
            <v>Ecommerce (US)</v>
          </cell>
          <cell r="K8765" t="str">
            <v>Ecommerce</v>
          </cell>
          <cell r="L8765" t="str">
            <v>Freight</v>
          </cell>
          <cell r="N8765" t="str">
            <v>Direct Costs</v>
          </cell>
          <cell r="O8765" t="str">
            <v>UPS Supply Chain Solutions Inc. (7F24A0)</v>
          </cell>
        </row>
        <row r="8766">
          <cell r="D8766">
            <v>25.48</v>
          </cell>
          <cell r="H8766">
            <v>45809</v>
          </cell>
          <cell r="I8766" t="str">
            <v>6125 - Transportation and Fuel</v>
          </cell>
          <cell r="J8766">
            <v>0</v>
          </cell>
          <cell r="K8766" t="str">
            <v>Administration</v>
          </cell>
          <cell r="L8766" t="str">
            <v>T&amp;E</v>
          </cell>
          <cell r="N8766" t="str">
            <v>SG&amp;A</v>
          </cell>
          <cell r="O8766" t="str">
            <v>[No Vendor]</v>
          </cell>
        </row>
        <row r="8767">
          <cell r="D8767">
            <v>-25.48</v>
          </cell>
          <cell r="H8767">
            <v>45809</v>
          </cell>
          <cell r="I8767" t="str">
            <v>6125 - Transportation and Fuel</v>
          </cell>
          <cell r="J8767">
            <v>0</v>
          </cell>
          <cell r="K8767" t="str">
            <v>Administration</v>
          </cell>
          <cell r="L8767" t="str">
            <v>T&amp;E</v>
          </cell>
          <cell r="N8767" t="str">
            <v>SG&amp;A</v>
          </cell>
          <cell r="O8767" t="str">
            <v>[No Vendor]</v>
          </cell>
        </row>
        <row r="8768">
          <cell r="D8768">
            <v>25.67</v>
          </cell>
          <cell r="H8768">
            <v>45809</v>
          </cell>
          <cell r="I8768" t="str">
            <v>6125 - Transportation and Fuel</v>
          </cell>
          <cell r="J8768">
            <v>0</v>
          </cell>
          <cell r="K8768" t="str">
            <v>Administration</v>
          </cell>
          <cell r="L8768" t="str">
            <v>T&amp;E</v>
          </cell>
          <cell r="N8768" t="str">
            <v>SG&amp;A</v>
          </cell>
          <cell r="O8768" t="str">
            <v>[No Vendor]</v>
          </cell>
        </row>
        <row r="8769">
          <cell r="D8769">
            <v>120.76</v>
          </cell>
          <cell r="H8769">
            <v>45809</v>
          </cell>
          <cell r="I8769" t="str">
            <v>6125 - Transportation and Fuel</v>
          </cell>
          <cell r="J8769">
            <v>0</v>
          </cell>
          <cell r="K8769" t="str">
            <v>Administration</v>
          </cell>
          <cell r="L8769" t="str">
            <v>T&amp;E</v>
          </cell>
          <cell r="N8769" t="str">
            <v>SG&amp;A</v>
          </cell>
          <cell r="O8769" t="str">
            <v>[No Vendor]</v>
          </cell>
        </row>
        <row r="8770">
          <cell r="D8770">
            <v>6.18</v>
          </cell>
          <cell r="H8770">
            <v>45809</v>
          </cell>
          <cell r="I8770" t="str">
            <v>6105 - Meals</v>
          </cell>
          <cell r="J8770">
            <v>0</v>
          </cell>
          <cell r="K8770" t="str">
            <v>Administration</v>
          </cell>
          <cell r="L8770" t="str">
            <v>T&amp;E</v>
          </cell>
          <cell r="N8770" t="str">
            <v>SG&amp;A</v>
          </cell>
          <cell r="O8770" t="str">
            <v>[No Vendor]</v>
          </cell>
        </row>
        <row r="8771">
          <cell r="D8771">
            <v>44.18</v>
          </cell>
          <cell r="H8771">
            <v>45809</v>
          </cell>
          <cell r="I8771" t="str">
            <v>6105 - Meals</v>
          </cell>
          <cell r="J8771">
            <v>0</v>
          </cell>
          <cell r="K8771" t="str">
            <v>Administration</v>
          </cell>
          <cell r="L8771" t="str">
            <v>T&amp;E</v>
          </cell>
          <cell r="N8771" t="str">
            <v>SG&amp;A</v>
          </cell>
          <cell r="O8771" t="str">
            <v>[No Vendor]</v>
          </cell>
        </row>
        <row r="8772">
          <cell r="D8772">
            <v>100.01</v>
          </cell>
          <cell r="H8772">
            <v>45809</v>
          </cell>
          <cell r="I8772" t="str">
            <v>6105 - Meals</v>
          </cell>
          <cell r="J8772">
            <v>0</v>
          </cell>
          <cell r="K8772" t="str">
            <v>Administration</v>
          </cell>
          <cell r="L8772" t="str">
            <v>T&amp;E</v>
          </cell>
          <cell r="N8772" t="str">
            <v>SG&amp;A</v>
          </cell>
          <cell r="O8772" t="str">
            <v>[No Vendor]</v>
          </cell>
        </row>
        <row r="8773">
          <cell r="D8773">
            <v>21.84</v>
          </cell>
          <cell r="H8773">
            <v>45809</v>
          </cell>
          <cell r="I8773" t="str">
            <v>6375 - Freight Expenses</v>
          </cell>
          <cell r="J8773">
            <v>0</v>
          </cell>
          <cell r="K8773" t="str">
            <v>Production</v>
          </cell>
          <cell r="L8773" t="str">
            <v>Freight</v>
          </cell>
          <cell r="N8773" t="str">
            <v>Direct Costs</v>
          </cell>
          <cell r="O8773" t="str">
            <v>DHL Express - USA</v>
          </cell>
        </row>
        <row r="8774">
          <cell r="D8774">
            <v>649.29999999999995</v>
          </cell>
          <cell r="H8774">
            <v>45809</v>
          </cell>
          <cell r="I8774" t="str">
            <v>6375 - Freight Expenses</v>
          </cell>
          <cell r="J8774" t="str">
            <v>Wholesale</v>
          </cell>
          <cell r="K8774" t="str">
            <v>Wholesale</v>
          </cell>
          <cell r="L8774" t="str">
            <v>Freight</v>
          </cell>
          <cell r="N8774" t="str">
            <v>Direct Costs</v>
          </cell>
          <cell r="O8774" t="str">
            <v>UPS Supply Chain Solutions Inc. (7F24A0)</v>
          </cell>
        </row>
        <row r="8775">
          <cell r="D8775">
            <v>469.03</v>
          </cell>
          <cell r="H8775">
            <v>45809</v>
          </cell>
          <cell r="I8775" t="str">
            <v>6375 - Freight Expenses</v>
          </cell>
          <cell r="J8775" t="str">
            <v>Ecommerce (US)</v>
          </cell>
          <cell r="K8775" t="str">
            <v>Ecommerce</v>
          </cell>
          <cell r="L8775" t="str">
            <v>Freight</v>
          </cell>
          <cell r="N8775" t="str">
            <v>Direct Costs</v>
          </cell>
          <cell r="O8775" t="str">
            <v>UPS Supply Chain Solutions Inc. (7F24A0)</v>
          </cell>
        </row>
        <row r="8776">
          <cell r="D8776">
            <v>28.39</v>
          </cell>
          <cell r="H8776">
            <v>45809</v>
          </cell>
          <cell r="I8776" t="str">
            <v>6375 - Freight Expenses</v>
          </cell>
          <cell r="J8776">
            <v>0</v>
          </cell>
          <cell r="K8776" t="str">
            <v>Production</v>
          </cell>
          <cell r="L8776" t="str">
            <v>Freight</v>
          </cell>
          <cell r="N8776" t="str">
            <v>Direct Costs</v>
          </cell>
          <cell r="O8776" t="str">
            <v>Federal Express</v>
          </cell>
        </row>
        <row r="8777">
          <cell r="D8777">
            <v>73.91</v>
          </cell>
          <cell r="H8777">
            <v>45809</v>
          </cell>
          <cell r="I8777" t="str">
            <v>6375 - Freight Expenses</v>
          </cell>
          <cell r="J8777">
            <v>0</v>
          </cell>
          <cell r="K8777" t="str">
            <v>Production</v>
          </cell>
          <cell r="L8777" t="str">
            <v>Freight</v>
          </cell>
          <cell r="N8777" t="str">
            <v>Direct Costs</v>
          </cell>
          <cell r="O8777" t="str">
            <v>DHL Express - USA</v>
          </cell>
        </row>
        <row r="8778">
          <cell r="D8778">
            <v>397.75</v>
          </cell>
          <cell r="H8778">
            <v>45809</v>
          </cell>
          <cell r="I8778" t="str">
            <v>6375 - Freight Expenses</v>
          </cell>
          <cell r="J8778">
            <v>0</v>
          </cell>
          <cell r="K8778" t="str">
            <v>Production</v>
          </cell>
          <cell r="L8778" t="str">
            <v>Freight</v>
          </cell>
          <cell r="N8778" t="str">
            <v>Direct Costs</v>
          </cell>
          <cell r="O8778" t="str">
            <v>DHL Express - USA</v>
          </cell>
        </row>
        <row r="8779">
          <cell r="D8779">
            <v>142.34</v>
          </cell>
          <cell r="H8779">
            <v>45809</v>
          </cell>
          <cell r="I8779" t="str">
            <v>6375 - Freight Expenses</v>
          </cell>
          <cell r="J8779" t="str">
            <v>Ecommerce (US)</v>
          </cell>
          <cell r="K8779" t="str">
            <v>Ecommerce</v>
          </cell>
          <cell r="L8779" t="str">
            <v>Freight</v>
          </cell>
          <cell r="N8779" t="str">
            <v>Direct Costs</v>
          </cell>
          <cell r="O8779" t="str">
            <v>UPS Supply Chain Solutions Inc. (7F24A0)</v>
          </cell>
        </row>
        <row r="8780">
          <cell r="D8780">
            <v>1034.31</v>
          </cell>
          <cell r="H8780">
            <v>45809</v>
          </cell>
          <cell r="I8780" t="str">
            <v>6340 - Miscellaneous Expense</v>
          </cell>
          <cell r="J8780">
            <v>0</v>
          </cell>
          <cell r="K8780" t="str">
            <v>Administration</v>
          </cell>
          <cell r="L8780" t="str">
            <v>Other</v>
          </cell>
          <cell r="N8780" t="str">
            <v>SG&amp;A</v>
          </cell>
          <cell r="O8780" t="str">
            <v>Go Gleem LLC</v>
          </cell>
        </row>
        <row r="8781">
          <cell r="D8781">
            <v>163.28</v>
          </cell>
          <cell r="H8781">
            <v>45809</v>
          </cell>
          <cell r="I8781" t="str">
            <v>6375 - Freight Expenses</v>
          </cell>
          <cell r="J8781">
            <v>0</v>
          </cell>
          <cell r="K8781" t="str">
            <v>Brand Marketing</v>
          </cell>
          <cell r="L8781" t="str">
            <v>Freight</v>
          </cell>
          <cell r="N8781" t="str">
            <v>Direct Costs</v>
          </cell>
          <cell r="O8781" t="str">
            <v>GFD Courier Corporation</v>
          </cell>
        </row>
        <row r="8782">
          <cell r="D8782">
            <v>58.63</v>
          </cell>
          <cell r="H8782">
            <v>45809</v>
          </cell>
          <cell r="I8782" t="str">
            <v>6375 - Freight Expenses</v>
          </cell>
          <cell r="J8782">
            <v>0</v>
          </cell>
          <cell r="K8782" t="str">
            <v>Production</v>
          </cell>
          <cell r="L8782" t="str">
            <v>Freight</v>
          </cell>
          <cell r="N8782" t="str">
            <v>Direct Costs</v>
          </cell>
          <cell r="O8782" t="str">
            <v>DHL Express - USA</v>
          </cell>
        </row>
        <row r="8783">
          <cell r="D8783">
            <v>18.600000000000001</v>
          </cell>
          <cell r="H8783">
            <v>45809</v>
          </cell>
          <cell r="I8783" t="str">
            <v>6375 - Freight Expenses</v>
          </cell>
          <cell r="J8783">
            <v>0</v>
          </cell>
          <cell r="K8783" t="str">
            <v>Production</v>
          </cell>
          <cell r="L8783" t="str">
            <v>Freight</v>
          </cell>
          <cell r="N8783" t="str">
            <v>Direct Costs</v>
          </cell>
          <cell r="O8783" t="str">
            <v>DHL Express - USA</v>
          </cell>
        </row>
        <row r="8784">
          <cell r="D8784">
            <v>430.75</v>
          </cell>
          <cell r="H8784">
            <v>45809</v>
          </cell>
          <cell r="I8784" t="str">
            <v>8505 - Realized Gain/Loss</v>
          </cell>
          <cell r="J8784">
            <v>0</v>
          </cell>
          <cell r="K8784" t="str">
            <v>No Department</v>
          </cell>
          <cell r="L8784" t="str">
            <v>Realized Gain / Loss</v>
          </cell>
          <cell r="N8784" t="str">
            <v>BTL</v>
          </cell>
          <cell r="O8784" t="str">
            <v>[No Vendor]</v>
          </cell>
        </row>
        <row r="8785">
          <cell r="D8785">
            <v>3</v>
          </cell>
          <cell r="H8785">
            <v>45809</v>
          </cell>
          <cell r="I8785" t="str">
            <v>6040 - Employer Paid Benefits</v>
          </cell>
          <cell r="J8785">
            <v>0</v>
          </cell>
          <cell r="K8785" t="str">
            <v>Administration</v>
          </cell>
          <cell r="L8785" t="str">
            <v>HQ Salaries</v>
          </cell>
          <cell r="N8785" t="str">
            <v>SG&amp;A</v>
          </cell>
          <cell r="O8785" t="str">
            <v>Procyon Benefits LLC</v>
          </cell>
        </row>
        <row r="8786">
          <cell r="D8786">
            <v>1046.25</v>
          </cell>
          <cell r="H8786">
            <v>45809</v>
          </cell>
          <cell r="I8786" t="str">
            <v>6300 - Payroll Service Fees</v>
          </cell>
          <cell r="J8786">
            <v>0</v>
          </cell>
          <cell r="K8786" t="str">
            <v>Administration</v>
          </cell>
          <cell r="L8786" t="str">
            <v>Professional Service</v>
          </cell>
          <cell r="N8786" t="str">
            <v>SG&amp;A</v>
          </cell>
          <cell r="O8786" t="str">
            <v>OperationsInc, LLC</v>
          </cell>
        </row>
        <row r="8787">
          <cell r="D8787">
            <v>843.52</v>
          </cell>
          <cell r="H8787">
            <v>45809</v>
          </cell>
          <cell r="I8787" t="str">
            <v>6375 - Freight Expenses</v>
          </cell>
          <cell r="J8787">
            <v>0</v>
          </cell>
          <cell r="K8787" t="str">
            <v>Design</v>
          </cell>
          <cell r="L8787" t="str">
            <v>Freight</v>
          </cell>
          <cell r="N8787" t="str">
            <v>Direct Costs</v>
          </cell>
          <cell r="O8787" t="str">
            <v>DHL Express - USA</v>
          </cell>
        </row>
        <row r="8788">
          <cell r="D8788">
            <v>938.88</v>
          </cell>
          <cell r="H8788">
            <v>45809</v>
          </cell>
          <cell r="I8788" t="str">
            <v>6375 - Freight Expenses</v>
          </cell>
          <cell r="J8788">
            <v>0</v>
          </cell>
          <cell r="K8788" t="str">
            <v>Production</v>
          </cell>
          <cell r="L8788" t="str">
            <v>Freight</v>
          </cell>
          <cell r="N8788" t="str">
            <v>Direct Costs</v>
          </cell>
          <cell r="O8788" t="str">
            <v>DHL Express - USA</v>
          </cell>
        </row>
        <row r="8789">
          <cell r="D8789">
            <v>131.9</v>
          </cell>
          <cell r="H8789">
            <v>45809</v>
          </cell>
          <cell r="I8789" t="str">
            <v>6375 - Freight Expenses</v>
          </cell>
          <cell r="J8789">
            <v>0</v>
          </cell>
          <cell r="K8789" t="str">
            <v>Production</v>
          </cell>
          <cell r="L8789" t="str">
            <v>Freight</v>
          </cell>
          <cell r="N8789" t="str">
            <v>Direct Costs</v>
          </cell>
          <cell r="O8789" t="str">
            <v>DHL Express - USA</v>
          </cell>
        </row>
        <row r="8790">
          <cell r="D8790">
            <v>1520.19</v>
          </cell>
          <cell r="H8790">
            <v>45809</v>
          </cell>
          <cell r="I8790" t="str">
            <v>6375 - Freight Expenses</v>
          </cell>
          <cell r="J8790" t="str">
            <v>Ecommerce (US)</v>
          </cell>
          <cell r="K8790" t="str">
            <v>Ecommerce</v>
          </cell>
          <cell r="L8790" t="str">
            <v>Freight</v>
          </cell>
          <cell r="N8790" t="str">
            <v>Direct Costs</v>
          </cell>
          <cell r="O8790" t="str">
            <v>UPS Supply Chain Solutions Inc. (7F24A0)</v>
          </cell>
        </row>
        <row r="8791">
          <cell r="D8791">
            <v>8.6999999999999993</v>
          </cell>
          <cell r="H8791">
            <v>45809</v>
          </cell>
          <cell r="I8791" t="str">
            <v>6040 - Employer Paid Benefits</v>
          </cell>
          <cell r="J8791">
            <v>0</v>
          </cell>
          <cell r="K8791" t="str">
            <v>Production</v>
          </cell>
          <cell r="L8791" t="str">
            <v>HQ Salaries</v>
          </cell>
          <cell r="N8791" t="str">
            <v>SG&amp;A</v>
          </cell>
          <cell r="O8791" t="str">
            <v>Procyon Benefits LLC</v>
          </cell>
        </row>
        <row r="8792">
          <cell r="D8792">
            <v>123.4</v>
          </cell>
          <cell r="H8792">
            <v>45809</v>
          </cell>
          <cell r="I8792" t="str">
            <v>6040 - Employer Paid Benefits</v>
          </cell>
          <cell r="J8792">
            <v>0</v>
          </cell>
          <cell r="K8792" t="str">
            <v>Merchandising</v>
          </cell>
          <cell r="L8792" t="str">
            <v>HQ Salaries</v>
          </cell>
          <cell r="N8792" t="str">
            <v>SG&amp;A</v>
          </cell>
          <cell r="O8792" t="str">
            <v>Procyon Benefits LLC</v>
          </cell>
        </row>
        <row r="8793">
          <cell r="D8793">
            <v>15.75</v>
          </cell>
          <cell r="H8793">
            <v>45809</v>
          </cell>
          <cell r="I8793" t="str">
            <v>6040 - Employer Paid Benefits</v>
          </cell>
          <cell r="J8793" t="str">
            <v>Ecommerce (US)</v>
          </cell>
          <cell r="K8793" t="str">
            <v>Ecommerce</v>
          </cell>
          <cell r="L8793" t="str">
            <v>HQ Salaries</v>
          </cell>
          <cell r="N8793" t="str">
            <v>SG&amp;A</v>
          </cell>
          <cell r="O8793" t="str">
            <v>Procyon Benefits LLC</v>
          </cell>
        </row>
        <row r="8794">
          <cell r="D8794">
            <v>978</v>
          </cell>
          <cell r="H8794">
            <v>45809</v>
          </cell>
          <cell r="I8794" t="str">
            <v>6040 - Employer Paid Benefits</v>
          </cell>
          <cell r="J8794">
            <v>0</v>
          </cell>
          <cell r="K8794" t="str">
            <v>Executive</v>
          </cell>
          <cell r="L8794" t="str">
            <v>HQ Salaries</v>
          </cell>
          <cell r="N8794" t="str">
            <v>SG&amp;A</v>
          </cell>
          <cell r="O8794" t="str">
            <v>Procyon Benefits LLC</v>
          </cell>
        </row>
        <row r="8795">
          <cell r="D8795">
            <v>142.08000000000001</v>
          </cell>
          <cell r="H8795">
            <v>45809</v>
          </cell>
          <cell r="I8795" t="str">
            <v>6040 - Employer Paid Benefits</v>
          </cell>
          <cell r="J8795">
            <v>0</v>
          </cell>
          <cell r="K8795" t="str">
            <v>Design</v>
          </cell>
          <cell r="L8795" t="str">
            <v>HQ Salaries</v>
          </cell>
          <cell r="N8795" t="str">
            <v>SG&amp;A</v>
          </cell>
          <cell r="O8795" t="str">
            <v>Procyon Benefits LLC</v>
          </cell>
        </row>
        <row r="8796">
          <cell r="D8796">
            <v>28.71</v>
          </cell>
          <cell r="H8796">
            <v>45809</v>
          </cell>
          <cell r="I8796" t="str">
            <v>6375 - Freight Expenses</v>
          </cell>
          <cell r="J8796" t="str">
            <v>Ecommerce (US)</v>
          </cell>
          <cell r="K8796" t="str">
            <v>Ecommerce</v>
          </cell>
          <cell r="L8796" t="str">
            <v>Freight</v>
          </cell>
          <cell r="N8796" t="str">
            <v>Direct Costs</v>
          </cell>
          <cell r="O8796" t="str">
            <v>UPS Supply Chain Solutions Inc. (7F24A0)</v>
          </cell>
        </row>
        <row r="8797">
          <cell r="D8797">
            <v>990</v>
          </cell>
          <cell r="H8797">
            <v>45809</v>
          </cell>
          <cell r="I8797" t="str">
            <v>6288 - Model</v>
          </cell>
          <cell r="J8797" t="str">
            <v>Ecommerce (US)</v>
          </cell>
          <cell r="K8797" t="str">
            <v>Brand Marketing</v>
          </cell>
          <cell r="L8797" t="str">
            <v>Advertising</v>
          </cell>
          <cell r="N8797" t="str">
            <v>SG&amp;A</v>
          </cell>
          <cell r="O8797" t="str">
            <v>State Artist Management</v>
          </cell>
        </row>
        <row r="8798">
          <cell r="D8798">
            <v>4446.04</v>
          </cell>
          <cell r="H8798">
            <v>45809</v>
          </cell>
          <cell r="I8798" t="str">
            <v>6210 - Monitoring</v>
          </cell>
          <cell r="J8798" t="str">
            <v>Ecommerce (EU)</v>
          </cell>
          <cell r="K8798" t="str">
            <v>Ecommerce</v>
          </cell>
          <cell r="L8798" t="str">
            <v>Professional Service</v>
          </cell>
          <cell r="N8798" t="str">
            <v>Direct Costs</v>
          </cell>
          <cell r="O8798" t="str">
            <v>Convey SRL</v>
          </cell>
        </row>
        <row r="8799">
          <cell r="D8799">
            <v>65.290000000000006</v>
          </cell>
          <cell r="H8799">
            <v>45809</v>
          </cell>
          <cell r="I8799" t="str">
            <v>6340 - Miscellaneous Expense</v>
          </cell>
          <cell r="J8799">
            <v>0</v>
          </cell>
          <cell r="K8799" t="str">
            <v>Design</v>
          </cell>
          <cell r="L8799" t="str">
            <v>Other</v>
          </cell>
          <cell r="N8799" t="str">
            <v>SG&amp;A</v>
          </cell>
          <cell r="O8799" t="str">
            <v>[No Vendor]</v>
          </cell>
        </row>
        <row r="8800">
          <cell r="D8800">
            <v>8.83</v>
          </cell>
          <cell r="H8800">
            <v>45809</v>
          </cell>
          <cell r="I8800" t="str">
            <v>6105 - Meals</v>
          </cell>
          <cell r="J8800">
            <v>0</v>
          </cell>
          <cell r="K8800" t="str">
            <v>Administration</v>
          </cell>
          <cell r="L8800" t="str">
            <v>T&amp;E</v>
          </cell>
          <cell r="N8800" t="str">
            <v>SG&amp;A</v>
          </cell>
          <cell r="O8800" t="str">
            <v>[No Vendor]</v>
          </cell>
        </row>
        <row r="8801">
          <cell r="D8801">
            <v>186.77</v>
          </cell>
          <cell r="H8801">
            <v>45809</v>
          </cell>
          <cell r="I8801" t="str">
            <v>6105 - Meals</v>
          </cell>
          <cell r="J8801">
            <v>0</v>
          </cell>
          <cell r="K8801" t="str">
            <v>Administration</v>
          </cell>
          <cell r="L8801" t="str">
            <v>T&amp;E</v>
          </cell>
          <cell r="N8801" t="str">
            <v>SG&amp;A</v>
          </cell>
          <cell r="O8801" t="str">
            <v>[No Vendor]</v>
          </cell>
        </row>
        <row r="8802">
          <cell r="D8802">
            <v>79.709999999999994</v>
          </cell>
          <cell r="H8802">
            <v>45809</v>
          </cell>
          <cell r="I8802" t="str">
            <v>6105 - Meals</v>
          </cell>
          <cell r="J8802">
            <v>0</v>
          </cell>
          <cell r="K8802" t="str">
            <v>Administration</v>
          </cell>
          <cell r="L8802" t="str">
            <v>T&amp;E</v>
          </cell>
          <cell r="N8802" t="str">
            <v>SG&amp;A</v>
          </cell>
          <cell r="O8802" t="str">
            <v>[No Vendor]</v>
          </cell>
        </row>
        <row r="8803">
          <cell r="D8803">
            <v>-570.37</v>
          </cell>
          <cell r="H8803">
            <v>45809</v>
          </cell>
          <cell r="I8803" t="str">
            <v>6377 - Order Processing Expenses (New)</v>
          </cell>
          <cell r="J8803" t="str">
            <v>Ecommerce (US)</v>
          </cell>
          <cell r="K8803" t="str">
            <v>No Department</v>
          </cell>
          <cell r="L8803" t="str">
            <v>Order Processing</v>
          </cell>
          <cell r="N8803" t="str">
            <v>Direct Costs</v>
          </cell>
          <cell r="O8803" t="str">
            <v>Bergen Logistics Corporation</v>
          </cell>
        </row>
        <row r="8804">
          <cell r="D8804">
            <v>486.3</v>
          </cell>
          <cell r="H8804">
            <v>45809</v>
          </cell>
          <cell r="I8804" t="str">
            <v>6375 - Freight Expenses</v>
          </cell>
          <cell r="J8804" t="str">
            <v>Ecommerce (US)</v>
          </cell>
          <cell r="K8804" t="str">
            <v>Ecommerce</v>
          </cell>
          <cell r="L8804" t="str">
            <v>Freight</v>
          </cell>
          <cell r="N8804" t="str">
            <v>Direct Costs</v>
          </cell>
          <cell r="O8804" t="str">
            <v>UPS Supply Chain Solutions Inc. (7F24A0)</v>
          </cell>
        </row>
        <row r="8805">
          <cell r="D8805">
            <v>720</v>
          </cell>
          <cell r="H8805">
            <v>45809</v>
          </cell>
          <cell r="I8805" t="str">
            <v>6288 - Model</v>
          </cell>
          <cell r="J8805" t="str">
            <v>Ecommerce (US)</v>
          </cell>
          <cell r="K8805" t="str">
            <v>Brand Marketing</v>
          </cell>
          <cell r="L8805" t="str">
            <v>Advertising</v>
          </cell>
          <cell r="N8805" t="str">
            <v>SG&amp;A</v>
          </cell>
          <cell r="O8805" t="str">
            <v>Soul Artist Management</v>
          </cell>
        </row>
        <row r="8806">
          <cell r="D8806">
            <v>3600</v>
          </cell>
          <cell r="H8806">
            <v>45809</v>
          </cell>
          <cell r="I8806" t="str">
            <v>6288 - Model</v>
          </cell>
          <cell r="J8806" t="str">
            <v>Ecommerce (US)</v>
          </cell>
          <cell r="K8806" t="str">
            <v>Brand Marketing</v>
          </cell>
          <cell r="L8806" t="str">
            <v>Advertising</v>
          </cell>
          <cell r="N8806" t="str">
            <v>SG&amp;A</v>
          </cell>
          <cell r="O8806" t="str">
            <v>Soul Artist Management</v>
          </cell>
        </row>
        <row r="8807">
          <cell r="D8807">
            <v>31.36</v>
          </cell>
          <cell r="H8807">
            <v>45809</v>
          </cell>
          <cell r="I8807" t="str">
            <v>6375 - Freight Expenses</v>
          </cell>
          <cell r="J8807">
            <v>0</v>
          </cell>
          <cell r="K8807" t="str">
            <v>Production</v>
          </cell>
          <cell r="L8807" t="str">
            <v>Freight</v>
          </cell>
          <cell r="N8807" t="str">
            <v>Direct Costs</v>
          </cell>
          <cell r="O8807" t="str">
            <v>DHL Express - USA</v>
          </cell>
        </row>
        <row r="8808">
          <cell r="D8808">
            <v>20707.71</v>
          </cell>
          <cell r="H8808">
            <v>45809</v>
          </cell>
          <cell r="I8808" t="str">
            <v>6005 - Salaries</v>
          </cell>
          <cell r="J8808" t="str">
            <v>Ecommerce (US)</v>
          </cell>
          <cell r="K8808" t="str">
            <v>Ecommerce</v>
          </cell>
          <cell r="L8808" t="str">
            <v>HQ Salaries</v>
          </cell>
          <cell r="N8808" t="str">
            <v>SG&amp;A</v>
          </cell>
          <cell r="O8808" t="str">
            <v>[No Vendor]</v>
          </cell>
        </row>
        <row r="8809">
          <cell r="D8809">
            <v>14740.27</v>
          </cell>
          <cell r="H8809">
            <v>45809</v>
          </cell>
          <cell r="I8809" t="str">
            <v>6015 - Vacation - PTO Exp</v>
          </cell>
          <cell r="J8809" t="str">
            <v>Ecommerce (US)</v>
          </cell>
          <cell r="K8809" t="str">
            <v>Ecommerce</v>
          </cell>
          <cell r="L8809" t="str">
            <v>HQ Salaries</v>
          </cell>
          <cell r="N8809" t="str">
            <v>SG&amp;A</v>
          </cell>
          <cell r="O8809" t="str">
            <v>[No Vendor]</v>
          </cell>
        </row>
        <row r="8810">
          <cell r="D8810">
            <v>0</v>
          </cell>
          <cell r="H8810">
            <v>45809</v>
          </cell>
          <cell r="I8810" t="str">
            <v>6035 - Severance Expense</v>
          </cell>
          <cell r="J8810" t="str">
            <v>Wholesale</v>
          </cell>
          <cell r="K8810" t="str">
            <v>Wholesale</v>
          </cell>
          <cell r="L8810" t="str">
            <v>HQ Salaries</v>
          </cell>
          <cell r="N8810" t="str">
            <v>SG&amp;A</v>
          </cell>
          <cell r="O8810" t="str">
            <v>[No Vendor]</v>
          </cell>
        </row>
        <row r="8811">
          <cell r="D8811">
            <v>0</v>
          </cell>
          <cell r="H8811">
            <v>45809</v>
          </cell>
          <cell r="I8811" t="str">
            <v>6205 - Contractors</v>
          </cell>
          <cell r="J8811">
            <v>0</v>
          </cell>
          <cell r="K8811" t="str">
            <v>Design</v>
          </cell>
          <cell r="L8811" t="str">
            <v>HQ Salaries</v>
          </cell>
          <cell r="N8811" t="str">
            <v>SG&amp;A</v>
          </cell>
          <cell r="O8811" t="str">
            <v>[No Vendor]</v>
          </cell>
        </row>
        <row r="8812">
          <cell r="D8812">
            <v>18333.330000000002</v>
          </cell>
          <cell r="H8812">
            <v>45809</v>
          </cell>
          <cell r="I8812" t="str">
            <v>6205 - Contractors</v>
          </cell>
          <cell r="J8812">
            <v>0</v>
          </cell>
          <cell r="K8812" t="str">
            <v>Brand Marketing</v>
          </cell>
          <cell r="L8812" t="str">
            <v>HQ Salaries</v>
          </cell>
          <cell r="N8812" t="str">
            <v>SG&amp;A</v>
          </cell>
          <cell r="O8812" t="str">
            <v>[No Vendor]</v>
          </cell>
        </row>
        <row r="8813">
          <cell r="D8813">
            <v>-93.06</v>
          </cell>
          <cell r="H8813">
            <v>45809</v>
          </cell>
          <cell r="I8813" t="str">
            <v>6385 - Insurance</v>
          </cell>
          <cell r="J8813">
            <v>0</v>
          </cell>
          <cell r="K8813" t="str">
            <v>Administration</v>
          </cell>
          <cell r="L8813" t="str">
            <v>Professional Service</v>
          </cell>
          <cell r="N8813" t="str">
            <v>SG&amp;A</v>
          </cell>
          <cell r="O8813" t="str">
            <v>[No Vendor]</v>
          </cell>
        </row>
        <row r="8814">
          <cell r="D8814">
            <v>-34.950000000000003</v>
          </cell>
          <cell r="H8814">
            <v>45809</v>
          </cell>
          <cell r="I8814" t="str">
            <v>6385 - Insurance</v>
          </cell>
          <cell r="J8814">
            <v>0</v>
          </cell>
          <cell r="K8814" t="str">
            <v>Administration</v>
          </cell>
          <cell r="L8814" t="str">
            <v>Professional Service</v>
          </cell>
          <cell r="N8814" t="str">
            <v>SG&amp;A</v>
          </cell>
          <cell r="O8814" t="str">
            <v>[No Vendor]</v>
          </cell>
        </row>
        <row r="8815">
          <cell r="D8815">
            <v>-37.53</v>
          </cell>
          <cell r="H8815">
            <v>45809</v>
          </cell>
          <cell r="I8815" t="str">
            <v>6385 - Insurance</v>
          </cell>
          <cell r="J8815">
            <v>0</v>
          </cell>
          <cell r="K8815" t="str">
            <v>Administration</v>
          </cell>
          <cell r="L8815" t="str">
            <v>Professional Service</v>
          </cell>
          <cell r="N8815" t="str">
            <v>SG&amp;A</v>
          </cell>
          <cell r="O8815" t="str">
            <v>[No Vendor]</v>
          </cell>
        </row>
        <row r="8816">
          <cell r="D8816">
            <v>-14.18</v>
          </cell>
          <cell r="H8816">
            <v>45809</v>
          </cell>
          <cell r="I8816" t="str">
            <v>6385 - Insurance</v>
          </cell>
          <cell r="J8816">
            <v>0</v>
          </cell>
          <cell r="K8816" t="str">
            <v>Administration</v>
          </cell>
          <cell r="L8816" t="str">
            <v>Professional Service</v>
          </cell>
          <cell r="N8816" t="str">
            <v>SG&amp;A</v>
          </cell>
          <cell r="O8816" t="str">
            <v>[No Vendor]</v>
          </cell>
        </row>
        <row r="8817">
          <cell r="D8817">
            <v>-62.37</v>
          </cell>
          <cell r="H8817">
            <v>45809</v>
          </cell>
          <cell r="I8817" t="str">
            <v>6385 - Insurance</v>
          </cell>
          <cell r="J8817">
            <v>0</v>
          </cell>
          <cell r="K8817" t="str">
            <v>Administration</v>
          </cell>
          <cell r="L8817" t="str">
            <v>Professional Service</v>
          </cell>
          <cell r="N8817" t="str">
            <v>SG&amp;A</v>
          </cell>
          <cell r="O8817" t="str">
            <v>[No Vendor]</v>
          </cell>
        </row>
        <row r="8818">
          <cell r="D8818">
            <v>-12.39</v>
          </cell>
          <cell r="H8818">
            <v>45809</v>
          </cell>
          <cell r="I8818" t="str">
            <v>6385 - Insurance</v>
          </cell>
          <cell r="J8818">
            <v>0</v>
          </cell>
          <cell r="K8818" t="str">
            <v>Administration</v>
          </cell>
          <cell r="L8818" t="str">
            <v>Professional Service</v>
          </cell>
          <cell r="N8818" t="str">
            <v>SG&amp;A</v>
          </cell>
          <cell r="O8818" t="str">
            <v>[No Vendor]</v>
          </cell>
        </row>
        <row r="8819">
          <cell r="D8819">
            <v>-1.2</v>
          </cell>
          <cell r="H8819">
            <v>45809</v>
          </cell>
          <cell r="I8819" t="str">
            <v>6385 - Insurance</v>
          </cell>
          <cell r="J8819">
            <v>0</v>
          </cell>
          <cell r="K8819" t="str">
            <v>Administration</v>
          </cell>
          <cell r="L8819" t="str">
            <v>Professional Service</v>
          </cell>
          <cell r="N8819" t="str">
            <v>SG&amp;A</v>
          </cell>
          <cell r="O8819" t="str">
            <v>[No Vendor]</v>
          </cell>
        </row>
        <row r="8820">
          <cell r="D8820">
            <v>-85.14</v>
          </cell>
          <cell r="H8820">
            <v>45809</v>
          </cell>
          <cell r="I8820" t="str">
            <v>6385 - Insurance</v>
          </cell>
          <cell r="J8820">
            <v>0</v>
          </cell>
          <cell r="K8820" t="str">
            <v>Administration</v>
          </cell>
          <cell r="L8820" t="str">
            <v>Professional Service</v>
          </cell>
          <cell r="N8820" t="str">
            <v>SG&amp;A</v>
          </cell>
          <cell r="O8820" t="str">
            <v>[No Vendor]</v>
          </cell>
        </row>
        <row r="8821">
          <cell r="D8821">
            <v>2664.52</v>
          </cell>
          <cell r="H8821">
            <v>45809</v>
          </cell>
          <cell r="I8821" t="str">
            <v>6055 - Employer Social Security Tax Withheld</v>
          </cell>
          <cell r="J8821">
            <v>0</v>
          </cell>
          <cell r="K8821" t="str">
            <v>Administration</v>
          </cell>
          <cell r="L8821" t="str">
            <v>HQ Salaries</v>
          </cell>
          <cell r="N8821" t="str">
            <v>SG&amp;A</v>
          </cell>
          <cell r="O8821" t="str">
            <v>[No Vendor]</v>
          </cell>
        </row>
        <row r="8822">
          <cell r="D8822">
            <v>973.53</v>
          </cell>
          <cell r="H8822">
            <v>45809</v>
          </cell>
          <cell r="I8822" t="str">
            <v>6055 - Employer Social Security Tax Withheld</v>
          </cell>
          <cell r="J8822">
            <v>0</v>
          </cell>
          <cell r="K8822" t="str">
            <v>Merchandising</v>
          </cell>
          <cell r="L8822" t="str">
            <v>HQ Salaries</v>
          </cell>
          <cell r="N8822" t="str">
            <v>SG&amp;A</v>
          </cell>
          <cell r="O8822" t="str">
            <v>[No Vendor]</v>
          </cell>
        </row>
        <row r="8823">
          <cell r="D8823">
            <v>361.31</v>
          </cell>
          <cell r="H8823">
            <v>45809</v>
          </cell>
          <cell r="I8823" t="str">
            <v>6055 - Employer Social Security Tax Withheld</v>
          </cell>
          <cell r="J8823" t="str">
            <v>Wholesale</v>
          </cell>
          <cell r="K8823" t="str">
            <v>Wholesale</v>
          </cell>
          <cell r="L8823" t="str">
            <v>HQ Salaries</v>
          </cell>
          <cell r="N8823" t="str">
            <v>SG&amp;A</v>
          </cell>
          <cell r="O8823" t="str">
            <v>[No Vendor]</v>
          </cell>
        </row>
        <row r="8824">
          <cell r="D8824">
            <v>1611.81</v>
          </cell>
          <cell r="H8824">
            <v>45809</v>
          </cell>
          <cell r="I8824" t="str">
            <v>6055 - Employer Social Security Tax Withheld</v>
          </cell>
          <cell r="J8824">
            <v>0</v>
          </cell>
          <cell r="K8824" t="str">
            <v>Production</v>
          </cell>
          <cell r="L8824" t="str">
            <v>HQ Salaries</v>
          </cell>
          <cell r="N8824" t="str">
            <v>SG&amp;A</v>
          </cell>
          <cell r="O8824" t="str">
            <v>[No Vendor]</v>
          </cell>
        </row>
        <row r="8825">
          <cell r="D8825">
            <v>441.3</v>
          </cell>
          <cell r="H8825">
            <v>45809</v>
          </cell>
          <cell r="I8825" t="str">
            <v>6055 - Employer Social Security Tax Withheld</v>
          </cell>
          <cell r="J8825">
            <v>0</v>
          </cell>
          <cell r="K8825" t="str">
            <v>Brand Marketing</v>
          </cell>
          <cell r="L8825" t="str">
            <v>HQ Salaries</v>
          </cell>
          <cell r="N8825" t="str">
            <v>SG&amp;A</v>
          </cell>
          <cell r="O8825" t="str">
            <v>[No Vendor]</v>
          </cell>
        </row>
        <row r="8826">
          <cell r="D8826">
            <v>1197.93</v>
          </cell>
          <cell r="H8826">
            <v>45809</v>
          </cell>
          <cell r="I8826" t="str">
            <v>6055 - Employer Social Security Tax Withheld</v>
          </cell>
          <cell r="J8826">
            <v>0</v>
          </cell>
          <cell r="K8826" t="str">
            <v>Executive</v>
          </cell>
          <cell r="L8826" t="str">
            <v>HQ Salaries</v>
          </cell>
          <cell r="N8826" t="str">
            <v>SG&amp;A</v>
          </cell>
          <cell r="O8826" t="str">
            <v>[No Vendor]</v>
          </cell>
        </row>
        <row r="8827">
          <cell r="D8827">
            <v>3234.45</v>
          </cell>
          <cell r="H8827">
            <v>45809</v>
          </cell>
          <cell r="I8827" t="str">
            <v>6055 - Employer Social Security Tax Withheld</v>
          </cell>
          <cell r="J8827" t="str">
            <v>Ecommerce (US)</v>
          </cell>
          <cell r="K8827" t="str">
            <v>Ecommerce</v>
          </cell>
          <cell r="L8827" t="str">
            <v>HQ Salaries</v>
          </cell>
          <cell r="N8827" t="str">
            <v>SG&amp;A</v>
          </cell>
          <cell r="O8827" t="str">
            <v>[No Vendor]</v>
          </cell>
        </row>
        <row r="8828">
          <cell r="D8828">
            <v>2174.4699999999998</v>
          </cell>
          <cell r="H8828">
            <v>45809</v>
          </cell>
          <cell r="I8828" t="str">
            <v>6055 - Employer Social Security Tax Withheld</v>
          </cell>
          <cell r="J8828">
            <v>0</v>
          </cell>
          <cell r="K8828" t="str">
            <v>Design</v>
          </cell>
          <cell r="L8828" t="str">
            <v>HQ Salaries</v>
          </cell>
          <cell r="N8828" t="str">
            <v>SG&amp;A</v>
          </cell>
          <cell r="O8828" t="str">
            <v>[No Vendor]</v>
          </cell>
        </row>
        <row r="8829">
          <cell r="D8829">
            <v>-442.41</v>
          </cell>
          <cell r="H8829">
            <v>45809</v>
          </cell>
          <cell r="I8829" t="str">
            <v>6040 - Employer Paid Benefits</v>
          </cell>
          <cell r="J8829">
            <v>0</v>
          </cell>
          <cell r="K8829" t="str">
            <v>Design</v>
          </cell>
          <cell r="L8829" t="str">
            <v>HQ Salaries</v>
          </cell>
          <cell r="N8829" t="str">
            <v>SG&amp;A</v>
          </cell>
          <cell r="O8829" t="str">
            <v>[No Vendor]</v>
          </cell>
        </row>
        <row r="8830">
          <cell r="D8830">
            <v>-159.35</v>
          </cell>
          <cell r="H8830">
            <v>45809</v>
          </cell>
          <cell r="I8830" t="str">
            <v>6040 - Employer Paid Benefits</v>
          </cell>
          <cell r="J8830">
            <v>0</v>
          </cell>
          <cell r="K8830" t="str">
            <v>Administration</v>
          </cell>
          <cell r="L8830" t="str">
            <v>HQ Salaries</v>
          </cell>
          <cell r="N8830" t="str">
            <v>SG&amp;A</v>
          </cell>
          <cell r="O8830" t="str">
            <v>[No Vendor]</v>
          </cell>
        </row>
        <row r="8831">
          <cell r="D8831">
            <v>-34.9</v>
          </cell>
          <cell r="H8831">
            <v>45809</v>
          </cell>
          <cell r="I8831" t="str">
            <v>6040 - Employer Paid Benefits</v>
          </cell>
          <cell r="J8831">
            <v>0</v>
          </cell>
          <cell r="K8831" t="str">
            <v>Merchandising</v>
          </cell>
          <cell r="L8831" t="str">
            <v>HQ Salaries</v>
          </cell>
          <cell r="N8831" t="str">
            <v>SG&amp;A</v>
          </cell>
          <cell r="O8831" t="str">
            <v>[No Vendor]</v>
          </cell>
        </row>
        <row r="8832">
          <cell r="D8832">
            <v>-34.9</v>
          </cell>
          <cell r="H8832">
            <v>45809</v>
          </cell>
          <cell r="I8832" t="str">
            <v>6040 - Employer Paid Benefits</v>
          </cell>
          <cell r="J8832" t="str">
            <v>Wholesale</v>
          </cell>
          <cell r="K8832" t="str">
            <v>Wholesale</v>
          </cell>
          <cell r="L8832" t="str">
            <v>HQ Salaries</v>
          </cell>
          <cell r="N8832" t="str">
            <v>SG&amp;A</v>
          </cell>
          <cell r="O8832" t="str">
            <v>[No Vendor]</v>
          </cell>
        </row>
        <row r="8833">
          <cell r="D8833">
            <v>-225.7</v>
          </cell>
          <cell r="H8833">
            <v>45809</v>
          </cell>
          <cell r="I8833" t="str">
            <v>6040 - Employer Paid Benefits</v>
          </cell>
          <cell r="J8833">
            <v>0</v>
          </cell>
          <cell r="K8833" t="str">
            <v>Production</v>
          </cell>
          <cell r="L8833" t="str">
            <v>HQ Salaries</v>
          </cell>
          <cell r="N8833" t="str">
            <v>SG&amp;A</v>
          </cell>
          <cell r="O8833" t="str">
            <v>[No Vendor]</v>
          </cell>
        </row>
        <row r="8834">
          <cell r="D8834">
            <v>-95.82</v>
          </cell>
          <cell r="H8834">
            <v>45809</v>
          </cell>
          <cell r="I8834" t="str">
            <v>6040 - Employer Paid Benefits</v>
          </cell>
          <cell r="J8834">
            <v>0</v>
          </cell>
          <cell r="K8834" t="str">
            <v>Brand Marketing</v>
          </cell>
          <cell r="L8834" t="str">
            <v>HQ Salaries</v>
          </cell>
          <cell r="N8834" t="str">
            <v>SG&amp;A</v>
          </cell>
          <cell r="O8834" t="str">
            <v>[No Vendor]</v>
          </cell>
        </row>
        <row r="8835">
          <cell r="D8835">
            <v>-332.52</v>
          </cell>
          <cell r="H8835">
            <v>45809</v>
          </cell>
          <cell r="I8835" t="str">
            <v>6040 - Employer Paid Benefits</v>
          </cell>
          <cell r="J8835">
            <v>0</v>
          </cell>
          <cell r="K8835" t="str">
            <v>Executive</v>
          </cell>
          <cell r="L8835" t="str">
            <v>HQ Salaries</v>
          </cell>
          <cell r="N8835" t="str">
            <v>SG&amp;A</v>
          </cell>
          <cell r="O8835" t="str">
            <v>[No Vendor]</v>
          </cell>
        </row>
        <row r="8836">
          <cell r="D8836">
            <v>-324.2</v>
          </cell>
          <cell r="H8836">
            <v>45809</v>
          </cell>
          <cell r="I8836" t="str">
            <v>6040 - Employer Paid Benefits</v>
          </cell>
          <cell r="J8836" t="str">
            <v>Ecommerce (US)</v>
          </cell>
          <cell r="K8836" t="str">
            <v>Ecommerce</v>
          </cell>
          <cell r="L8836" t="str">
            <v>HQ Salaries</v>
          </cell>
          <cell r="N8836" t="str">
            <v>SG&amp;A</v>
          </cell>
          <cell r="O8836" t="str">
            <v>[No Vendor]</v>
          </cell>
        </row>
        <row r="8837">
          <cell r="D8837">
            <v>22438.49</v>
          </cell>
          <cell r="H8837">
            <v>45809</v>
          </cell>
          <cell r="I8837" t="str">
            <v>6005 - Salaries</v>
          </cell>
          <cell r="J8837">
            <v>0</v>
          </cell>
          <cell r="K8837" t="str">
            <v>Design</v>
          </cell>
          <cell r="L8837" t="str">
            <v>HQ Salaries</v>
          </cell>
          <cell r="N8837" t="str">
            <v>SG&amp;A</v>
          </cell>
          <cell r="O8837" t="str">
            <v>[No Vendor]</v>
          </cell>
        </row>
        <row r="8838">
          <cell r="D8838">
            <v>24646.16</v>
          </cell>
          <cell r="H8838">
            <v>45809</v>
          </cell>
          <cell r="I8838" t="str">
            <v>6005 - Salaries</v>
          </cell>
          <cell r="J8838">
            <v>0</v>
          </cell>
          <cell r="K8838" t="str">
            <v>Administration</v>
          </cell>
          <cell r="L8838" t="str">
            <v>HQ Salaries</v>
          </cell>
          <cell r="N8838" t="str">
            <v>SG&amp;A</v>
          </cell>
          <cell r="O8838" t="str">
            <v>[No Vendor]</v>
          </cell>
        </row>
        <row r="8839">
          <cell r="D8839">
            <v>9053.85</v>
          </cell>
          <cell r="H8839">
            <v>45809</v>
          </cell>
          <cell r="I8839" t="str">
            <v>6005 - Salaries</v>
          </cell>
          <cell r="J8839">
            <v>0</v>
          </cell>
          <cell r="K8839" t="str">
            <v>Merchandising</v>
          </cell>
          <cell r="L8839" t="str">
            <v>HQ Salaries</v>
          </cell>
          <cell r="N8839" t="str">
            <v>SG&amp;A</v>
          </cell>
          <cell r="O8839" t="str">
            <v>[No Vendor]</v>
          </cell>
        </row>
        <row r="8840">
          <cell r="D8840">
            <v>3346.16</v>
          </cell>
          <cell r="H8840">
            <v>45809</v>
          </cell>
          <cell r="I8840" t="str">
            <v>6005 - Salaries</v>
          </cell>
          <cell r="J8840" t="str">
            <v>Wholesale</v>
          </cell>
          <cell r="K8840" t="str">
            <v>Wholesale</v>
          </cell>
          <cell r="L8840" t="str">
            <v>HQ Salaries</v>
          </cell>
          <cell r="N8840" t="str">
            <v>SG&amp;A</v>
          </cell>
          <cell r="O8840" t="str">
            <v>[No Vendor]</v>
          </cell>
        </row>
        <row r="8841">
          <cell r="D8841">
            <v>15146.16</v>
          </cell>
          <cell r="H8841">
            <v>45809</v>
          </cell>
          <cell r="I8841" t="str">
            <v>6005 - Salaries</v>
          </cell>
          <cell r="J8841">
            <v>0</v>
          </cell>
          <cell r="K8841" t="str">
            <v>Production</v>
          </cell>
          <cell r="L8841" t="str">
            <v>HQ Salaries</v>
          </cell>
          <cell r="N8841" t="str">
            <v>SG&amp;A</v>
          </cell>
          <cell r="O8841" t="str">
            <v>[No Vendor]</v>
          </cell>
        </row>
        <row r="8842">
          <cell r="D8842">
            <v>2884.62</v>
          </cell>
          <cell r="H8842">
            <v>45809</v>
          </cell>
          <cell r="I8842" t="str">
            <v>6005 - Salaries</v>
          </cell>
          <cell r="J8842">
            <v>0</v>
          </cell>
          <cell r="K8842" t="str">
            <v>Brand Marketing</v>
          </cell>
          <cell r="L8842" t="str">
            <v>HQ Salaries</v>
          </cell>
          <cell r="N8842" t="str">
            <v>SG&amp;A</v>
          </cell>
          <cell r="O8842" t="str">
            <v>[No Vendor]</v>
          </cell>
        </row>
        <row r="8843">
          <cell r="D8843">
            <v>11373.08</v>
          </cell>
          <cell r="H8843">
            <v>45809</v>
          </cell>
          <cell r="I8843" t="str">
            <v>6005 - Salaries</v>
          </cell>
          <cell r="J8843">
            <v>0</v>
          </cell>
          <cell r="K8843" t="str">
            <v>Executive</v>
          </cell>
          <cell r="L8843" t="str">
            <v>HQ Salaries</v>
          </cell>
          <cell r="N8843" t="str">
            <v>SG&amp;A</v>
          </cell>
          <cell r="O8843" t="str">
            <v>[No Vendor]</v>
          </cell>
        </row>
        <row r="8844">
          <cell r="D8844">
            <v>35750.29</v>
          </cell>
          <cell r="H8844">
            <v>45809</v>
          </cell>
          <cell r="I8844" t="str">
            <v>6375 - Freight Expenses</v>
          </cell>
          <cell r="J8844" t="str">
            <v>Ecommerce (US)</v>
          </cell>
          <cell r="K8844" t="str">
            <v>Ecommerce</v>
          </cell>
          <cell r="L8844" t="str">
            <v>Freight</v>
          </cell>
          <cell r="N8844" t="str">
            <v>Direct Costs</v>
          </cell>
          <cell r="O8844" t="str">
            <v>UPS Supply Chain Solutions Inc. (7F24A0)</v>
          </cell>
        </row>
        <row r="8845">
          <cell r="D8845">
            <v>740.48</v>
          </cell>
          <cell r="H8845">
            <v>45809</v>
          </cell>
          <cell r="I8845" t="str">
            <v>6410 - Lease Expense</v>
          </cell>
          <cell r="J8845">
            <v>0</v>
          </cell>
          <cell r="K8845" t="str">
            <v>Administration</v>
          </cell>
          <cell r="L8845" t="str">
            <v>Rent</v>
          </cell>
          <cell r="N8845" t="str">
            <v>SG&amp;A</v>
          </cell>
          <cell r="O8845" t="str">
            <v>Canon Financial Services, Inc.</v>
          </cell>
        </row>
        <row r="8846">
          <cell r="D8846">
            <v>240.56</v>
          </cell>
          <cell r="H8846">
            <v>45809</v>
          </cell>
          <cell r="I8846" t="str">
            <v>6375 - Freight Expenses</v>
          </cell>
          <cell r="J8846" t="str">
            <v>Wholesale</v>
          </cell>
          <cell r="K8846" t="str">
            <v>Wholesale</v>
          </cell>
          <cell r="L8846" t="str">
            <v>Freight</v>
          </cell>
          <cell r="N8846" t="str">
            <v>Direct Costs</v>
          </cell>
          <cell r="O8846" t="str">
            <v>UPS Supply Chain Solutions Inc. (7F24A0)</v>
          </cell>
        </row>
        <row r="8847">
          <cell r="D8847">
            <v>4500</v>
          </cell>
          <cell r="H8847">
            <v>45809</v>
          </cell>
          <cell r="I8847" t="str">
            <v>6225 - Professional Services</v>
          </cell>
          <cell r="J8847" t="str">
            <v>Ecommerce (US)</v>
          </cell>
          <cell r="K8847" t="str">
            <v>Ecommerce</v>
          </cell>
          <cell r="L8847" t="str">
            <v>Professional Service</v>
          </cell>
          <cell r="N8847" t="str">
            <v>Direct Costs</v>
          </cell>
          <cell r="O8847" t="str">
            <v>Freeflow LLC</v>
          </cell>
        </row>
        <row r="8848">
          <cell r="D8848">
            <v>1050.82</v>
          </cell>
          <cell r="H8848">
            <v>45809</v>
          </cell>
          <cell r="I8848" t="str">
            <v>6379 - Warehouse Storage</v>
          </cell>
          <cell r="J8848" t="str">
            <v>Ecommerce (EU)</v>
          </cell>
          <cell r="K8848" t="str">
            <v>Ecommerce</v>
          </cell>
          <cell r="L8848" t="str">
            <v>Order Processing</v>
          </cell>
          <cell r="N8848" t="str">
            <v>Direct Costs</v>
          </cell>
          <cell r="O8848" t="str">
            <v>Bergen Logistics Corporation</v>
          </cell>
        </row>
        <row r="8849">
          <cell r="D8849">
            <v>2874.38</v>
          </cell>
          <cell r="H8849">
            <v>45809</v>
          </cell>
          <cell r="I8849" t="str">
            <v>6379 - Warehouse Storage</v>
          </cell>
          <cell r="J8849" t="str">
            <v>Wholesale</v>
          </cell>
          <cell r="K8849" t="str">
            <v>Wholesale</v>
          </cell>
          <cell r="L8849" t="str">
            <v>Order Processing</v>
          </cell>
          <cell r="N8849" t="str">
            <v>Direct Costs</v>
          </cell>
          <cell r="O8849" t="str">
            <v>Bergen Logistics Corporation</v>
          </cell>
        </row>
        <row r="8850">
          <cell r="D8850">
            <v>12982.93</v>
          </cell>
          <cell r="H8850">
            <v>45809</v>
          </cell>
          <cell r="I8850" t="str">
            <v>6379 - Warehouse Storage</v>
          </cell>
          <cell r="J8850" t="str">
            <v>Ecommerce (US)</v>
          </cell>
          <cell r="K8850" t="str">
            <v>Ecommerce</v>
          </cell>
          <cell r="L8850" t="str">
            <v>Order Processing</v>
          </cell>
          <cell r="N8850" t="str">
            <v>Direct Costs</v>
          </cell>
          <cell r="O8850" t="str">
            <v>Bergen Logistics Corporation</v>
          </cell>
        </row>
        <row r="8851">
          <cell r="D8851">
            <v>185.14</v>
          </cell>
          <cell r="H8851">
            <v>45809</v>
          </cell>
          <cell r="I8851" t="str">
            <v>6376 - Freight Supplies Other</v>
          </cell>
          <cell r="J8851" t="str">
            <v>Ecommerce (EU)</v>
          </cell>
          <cell r="K8851" t="str">
            <v>Ecommerce</v>
          </cell>
          <cell r="L8851" t="str">
            <v>Order Processing</v>
          </cell>
          <cell r="N8851" t="str">
            <v>Direct Costs</v>
          </cell>
          <cell r="O8851" t="str">
            <v>Bergen Logistics Corporation</v>
          </cell>
        </row>
        <row r="8852">
          <cell r="D8852">
            <v>3079.48</v>
          </cell>
          <cell r="H8852">
            <v>45809</v>
          </cell>
          <cell r="I8852" t="str">
            <v>6376 - Freight Supplies Other</v>
          </cell>
          <cell r="J8852" t="str">
            <v>Ecommerce (US)</v>
          </cell>
          <cell r="K8852" t="str">
            <v>Ecommerce</v>
          </cell>
          <cell r="L8852" t="str">
            <v>Order Processing</v>
          </cell>
          <cell r="N8852" t="str">
            <v>Direct Costs</v>
          </cell>
          <cell r="O8852" t="str">
            <v>Bergen Logistics Corporation</v>
          </cell>
        </row>
        <row r="8853">
          <cell r="D8853">
            <v>184.91</v>
          </cell>
          <cell r="H8853">
            <v>45809</v>
          </cell>
          <cell r="I8853" t="str">
            <v>6376 - Freight Supplies Other</v>
          </cell>
          <cell r="J8853" t="str">
            <v>Wholesale</v>
          </cell>
          <cell r="K8853" t="str">
            <v>Wholesale</v>
          </cell>
          <cell r="L8853" t="str">
            <v>Order Processing</v>
          </cell>
          <cell r="N8853" t="str">
            <v>Direct Costs</v>
          </cell>
          <cell r="O8853" t="str">
            <v>Bergen Logistics Corporation</v>
          </cell>
        </row>
        <row r="8854">
          <cell r="D8854">
            <v>1295.17</v>
          </cell>
          <cell r="H8854">
            <v>45809</v>
          </cell>
          <cell r="I8854" t="str">
            <v>6377 - Order Processing Expenses (New)</v>
          </cell>
          <cell r="J8854" t="str">
            <v>Wholesale</v>
          </cell>
          <cell r="K8854" t="str">
            <v>Wholesale</v>
          </cell>
          <cell r="L8854" t="str">
            <v>Order Processing</v>
          </cell>
          <cell r="N8854" t="str">
            <v>Direct Costs</v>
          </cell>
          <cell r="O8854" t="str">
            <v>Bergen Logistics Corporation</v>
          </cell>
        </row>
        <row r="8855">
          <cell r="D8855">
            <v>1277.79</v>
          </cell>
          <cell r="H8855">
            <v>45809</v>
          </cell>
          <cell r="I8855" t="str">
            <v>6377 - Order Processing Expenses (New)</v>
          </cell>
          <cell r="J8855" t="str">
            <v>Ecommerce (EU)</v>
          </cell>
          <cell r="K8855" t="str">
            <v>Ecommerce</v>
          </cell>
          <cell r="L8855" t="str">
            <v>Order Processing</v>
          </cell>
          <cell r="N8855" t="str">
            <v>Direct Costs</v>
          </cell>
          <cell r="O8855" t="str">
            <v>Bergen Logistics Corporation</v>
          </cell>
        </row>
        <row r="8856">
          <cell r="D8856">
            <v>23809.4</v>
          </cell>
          <cell r="H8856">
            <v>45809</v>
          </cell>
          <cell r="I8856" t="str">
            <v>6377 - Order Processing Expenses (New)</v>
          </cell>
          <cell r="J8856" t="str">
            <v>Ecommerce (US)</v>
          </cell>
          <cell r="K8856" t="str">
            <v>Ecommerce</v>
          </cell>
          <cell r="L8856" t="str">
            <v>Order Processing</v>
          </cell>
          <cell r="N8856" t="str">
            <v>Direct Costs</v>
          </cell>
          <cell r="O8856" t="str">
            <v>Bergen Logistics Corporation</v>
          </cell>
        </row>
        <row r="8857">
          <cell r="D8857">
            <v>53.83</v>
          </cell>
          <cell r="H8857">
            <v>45809</v>
          </cell>
          <cell r="I8857" t="str">
            <v>6375 - Freight Expenses</v>
          </cell>
          <cell r="J8857" t="str">
            <v>Ecommerce (US)</v>
          </cell>
          <cell r="K8857" t="str">
            <v>Ecommerce</v>
          </cell>
          <cell r="L8857" t="str">
            <v>Freight</v>
          </cell>
          <cell r="N8857" t="str">
            <v>Direct Costs</v>
          </cell>
          <cell r="O8857" t="str">
            <v>UPS Supply Chain Solutions Inc. (7F24A0)</v>
          </cell>
        </row>
        <row r="8858">
          <cell r="D8858">
            <v>67930</v>
          </cell>
          <cell r="H8858">
            <v>45809</v>
          </cell>
          <cell r="I8858" t="str">
            <v>8700 - Other Expense</v>
          </cell>
          <cell r="J8858">
            <v>0</v>
          </cell>
          <cell r="K8858" t="str">
            <v>Administration</v>
          </cell>
          <cell r="L8858" t="str">
            <v>Other Expense</v>
          </cell>
          <cell r="N8858" t="str">
            <v>BTL</v>
          </cell>
          <cell r="O8858" t="str">
            <v>Bryan Cave Leighton Paisner LLP GBP</v>
          </cell>
        </row>
        <row r="8859">
          <cell r="D8859">
            <v>300</v>
          </cell>
          <cell r="H8859">
            <v>45809</v>
          </cell>
          <cell r="I8859" t="str">
            <v>6288 - Model</v>
          </cell>
          <cell r="J8859" t="str">
            <v>Ecommerce (US)</v>
          </cell>
          <cell r="K8859" t="str">
            <v>Brand Marketing</v>
          </cell>
          <cell r="L8859" t="str">
            <v>Advertising</v>
          </cell>
          <cell r="N8859" t="str">
            <v>SG&amp;A</v>
          </cell>
          <cell r="O8859" t="str">
            <v>Que Management, Inc</v>
          </cell>
        </row>
        <row r="8860">
          <cell r="D8860">
            <v>1500</v>
          </cell>
          <cell r="H8860">
            <v>45809</v>
          </cell>
          <cell r="I8860" t="str">
            <v>6288 - Model</v>
          </cell>
          <cell r="J8860" t="str">
            <v>Ecommerce (US)</v>
          </cell>
          <cell r="K8860" t="str">
            <v>Brand Marketing</v>
          </cell>
          <cell r="L8860" t="str">
            <v>Advertising</v>
          </cell>
          <cell r="N8860" t="str">
            <v>SG&amp;A</v>
          </cell>
          <cell r="O8860" t="str">
            <v>Que Management, Inc</v>
          </cell>
        </row>
        <row r="8861">
          <cell r="D8861">
            <v>62.7</v>
          </cell>
          <cell r="H8861">
            <v>45809</v>
          </cell>
          <cell r="I8861" t="str">
            <v>6288 - Model</v>
          </cell>
          <cell r="J8861" t="str">
            <v>Ecommerce (US)</v>
          </cell>
          <cell r="K8861" t="str">
            <v>Brand Marketing</v>
          </cell>
          <cell r="L8861" t="str">
            <v>Advertising</v>
          </cell>
          <cell r="N8861" t="str">
            <v>SG&amp;A</v>
          </cell>
          <cell r="O8861" t="str">
            <v>New York Model Management, Inc.</v>
          </cell>
        </row>
        <row r="8862">
          <cell r="D8862">
            <v>2400</v>
          </cell>
          <cell r="H8862">
            <v>45809</v>
          </cell>
          <cell r="I8862" t="str">
            <v>6288 - Model</v>
          </cell>
          <cell r="J8862" t="str">
            <v>Ecommerce (US)</v>
          </cell>
          <cell r="K8862" t="str">
            <v>Brand Marketing</v>
          </cell>
          <cell r="L8862" t="str">
            <v>Advertising</v>
          </cell>
          <cell r="N8862" t="str">
            <v>SG&amp;A</v>
          </cell>
          <cell r="O8862" t="str">
            <v>New York Model Management, Inc.</v>
          </cell>
        </row>
        <row r="8863">
          <cell r="D8863">
            <v>11250</v>
          </cell>
          <cell r="H8863">
            <v>45809</v>
          </cell>
          <cell r="I8863" t="str">
            <v>6225 - Professional Services</v>
          </cell>
          <cell r="J8863">
            <v>0</v>
          </cell>
          <cell r="K8863" t="str">
            <v>Brand Marketing</v>
          </cell>
          <cell r="L8863" t="str">
            <v>Professional Service</v>
          </cell>
          <cell r="N8863" t="str">
            <v>Direct Costs</v>
          </cell>
          <cell r="O8863" t="str">
            <v>The Lede Company, LLC</v>
          </cell>
        </row>
        <row r="8864">
          <cell r="D8864">
            <v>1504.8</v>
          </cell>
          <cell r="H8864">
            <v>45809</v>
          </cell>
          <cell r="I8864" t="str">
            <v>8505 - Realized Gain/Loss</v>
          </cell>
          <cell r="J8864">
            <v>0</v>
          </cell>
          <cell r="K8864" t="str">
            <v>No Department</v>
          </cell>
          <cell r="L8864" t="str">
            <v>Realized Gain / Loss</v>
          </cell>
          <cell r="N8864" t="str">
            <v>BTL</v>
          </cell>
          <cell r="O8864" t="str">
            <v>[No Vendor]</v>
          </cell>
        </row>
        <row r="8865">
          <cell r="D8865">
            <v>715.71</v>
          </cell>
          <cell r="H8865">
            <v>45809</v>
          </cell>
          <cell r="I8865" t="str">
            <v>6450 - Bank &amp; Other Fees</v>
          </cell>
          <cell r="J8865">
            <v>0</v>
          </cell>
          <cell r="K8865" t="str">
            <v>Administration</v>
          </cell>
          <cell r="L8865" t="str">
            <v>Professional Service</v>
          </cell>
          <cell r="N8865" t="str">
            <v>SG&amp;A</v>
          </cell>
          <cell r="O8865" t="str">
            <v>[No Vendor]</v>
          </cell>
        </row>
        <row r="8866">
          <cell r="D8866">
            <v>52.51</v>
          </cell>
          <cell r="H8866">
            <v>45809</v>
          </cell>
          <cell r="I8866" t="str">
            <v>6375 - Freight Expenses</v>
          </cell>
          <cell r="J8866" t="str">
            <v>Ecommerce (US)</v>
          </cell>
          <cell r="K8866" t="str">
            <v>Ecommerce</v>
          </cell>
          <cell r="L8866" t="str">
            <v>Freight</v>
          </cell>
          <cell r="N8866" t="str">
            <v>Direct Costs</v>
          </cell>
          <cell r="O8866" t="str">
            <v>UPS Supply Chain Solutions Inc. (7F24A0)</v>
          </cell>
        </row>
        <row r="8867">
          <cell r="D8867">
            <v>1600</v>
          </cell>
          <cell r="H8867">
            <v>45809</v>
          </cell>
          <cell r="I8867" t="str">
            <v>6240 - Product Photography</v>
          </cell>
          <cell r="J8867" t="str">
            <v>Ecommerce (US)</v>
          </cell>
          <cell r="K8867" t="str">
            <v>Brand Marketing</v>
          </cell>
          <cell r="L8867" t="str">
            <v>Advertising</v>
          </cell>
          <cell r="N8867" t="str">
            <v>SG&amp;A</v>
          </cell>
          <cell r="O8867" t="str">
            <v>Theerapol Thammasitboon</v>
          </cell>
        </row>
        <row r="8868">
          <cell r="D8868">
            <v>50</v>
          </cell>
          <cell r="H8868">
            <v>45809</v>
          </cell>
          <cell r="I8868" t="str">
            <v>6240 - Product Photography</v>
          </cell>
          <cell r="J8868" t="str">
            <v>Ecommerce (US)</v>
          </cell>
          <cell r="K8868" t="str">
            <v>Brand Marketing</v>
          </cell>
          <cell r="L8868" t="str">
            <v>Advertising</v>
          </cell>
          <cell r="N8868" t="str">
            <v>SG&amp;A</v>
          </cell>
          <cell r="O8868" t="str">
            <v>Theerapol Thammasitboon</v>
          </cell>
        </row>
        <row r="8869">
          <cell r="D8869">
            <v>800</v>
          </cell>
          <cell r="H8869">
            <v>45809</v>
          </cell>
          <cell r="I8869" t="str">
            <v>6240 - Product Photography</v>
          </cell>
          <cell r="J8869" t="str">
            <v>Ecommerce (US)</v>
          </cell>
          <cell r="K8869" t="str">
            <v>Brand Marketing</v>
          </cell>
          <cell r="L8869" t="str">
            <v>Advertising</v>
          </cell>
          <cell r="N8869" t="str">
            <v>SG&amp;A</v>
          </cell>
          <cell r="O8869" t="str">
            <v>Theerapol Thammasitboon</v>
          </cell>
        </row>
        <row r="8870">
          <cell r="D8870">
            <v>3400</v>
          </cell>
          <cell r="H8870">
            <v>45809</v>
          </cell>
          <cell r="I8870" t="str">
            <v>6240 - Product Photography</v>
          </cell>
          <cell r="J8870" t="str">
            <v>Ecommerce (US)</v>
          </cell>
          <cell r="K8870" t="str">
            <v>Brand Marketing</v>
          </cell>
          <cell r="L8870" t="str">
            <v>Advertising</v>
          </cell>
          <cell r="N8870" t="str">
            <v>SG&amp;A</v>
          </cell>
          <cell r="O8870" t="str">
            <v>Theerapol Thammasitboon</v>
          </cell>
        </row>
        <row r="8871">
          <cell r="D8871">
            <v>1600</v>
          </cell>
          <cell r="H8871">
            <v>45809</v>
          </cell>
          <cell r="I8871" t="str">
            <v>6240 - Product Photography</v>
          </cell>
          <cell r="J8871" t="str">
            <v>Ecommerce (US)</v>
          </cell>
          <cell r="K8871" t="str">
            <v>Brand Marketing</v>
          </cell>
          <cell r="L8871" t="str">
            <v>Advertising</v>
          </cell>
          <cell r="N8871" t="str">
            <v>SG&amp;A</v>
          </cell>
          <cell r="O8871" t="str">
            <v>Theerapol Thammasitboon</v>
          </cell>
        </row>
        <row r="8872">
          <cell r="D8872">
            <v>6400</v>
          </cell>
          <cell r="H8872">
            <v>45809</v>
          </cell>
          <cell r="I8872" t="str">
            <v>6240 - Product Photography</v>
          </cell>
          <cell r="J8872" t="str">
            <v>Ecommerce (US)</v>
          </cell>
          <cell r="K8872" t="str">
            <v>Brand Marketing</v>
          </cell>
          <cell r="L8872" t="str">
            <v>Advertising</v>
          </cell>
          <cell r="N8872" t="str">
            <v>SG&amp;A</v>
          </cell>
          <cell r="O8872" t="str">
            <v>Theerapol Thammasitboon</v>
          </cell>
        </row>
        <row r="8873">
          <cell r="D8873">
            <v>1675</v>
          </cell>
          <cell r="H8873">
            <v>45809</v>
          </cell>
          <cell r="I8873" t="str">
            <v>6240 - Product Photography</v>
          </cell>
          <cell r="J8873" t="str">
            <v>Ecommerce (US)</v>
          </cell>
          <cell r="K8873" t="str">
            <v>Brand Marketing</v>
          </cell>
          <cell r="L8873" t="str">
            <v>Advertising</v>
          </cell>
          <cell r="N8873" t="str">
            <v>SG&amp;A</v>
          </cell>
          <cell r="O8873" t="str">
            <v>Theerapol Thammasitboon</v>
          </cell>
        </row>
        <row r="8874">
          <cell r="D8874">
            <v>1650</v>
          </cell>
          <cell r="H8874">
            <v>45809</v>
          </cell>
          <cell r="I8874" t="str">
            <v>6240 - Product Photography</v>
          </cell>
          <cell r="J8874" t="str">
            <v>Ecommerce (US)</v>
          </cell>
          <cell r="K8874" t="str">
            <v>Brand Marketing</v>
          </cell>
          <cell r="L8874" t="str">
            <v>Advertising</v>
          </cell>
          <cell r="N8874" t="str">
            <v>SG&amp;A</v>
          </cell>
          <cell r="O8874" t="str">
            <v>Theerapol Thammasitboon</v>
          </cell>
        </row>
        <row r="8875">
          <cell r="D8875">
            <v>2140</v>
          </cell>
          <cell r="H8875">
            <v>45809</v>
          </cell>
          <cell r="I8875" t="str">
            <v>6240 - Product Photography</v>
          </cell>
          <cell r="J8875" t="str">
            <v>Ecommerce (US)</v>
          </cell>
          <cell r="K8875" t="str">
            <v>Brand Marketing</v>
          </cell>
          <cell r="L8875" t="str">
            <v>Advertising</v>
          </cell>
          <cell r="N8875" t="str">
            <v>SG&amp;A</v>
          </cell>
          <cell r="O8875" t="str">
            <v>Theerapol Thammasitboon</v>
          </cell>
        </row>
        <row r="8876">
          <cell r="D8876">
            <v>1390</v>
          </cell>
          <cell r="H8876">
            <v>45809</v>
          </cell>
          <cell r="I8876" t="str">
            <v>6240 - Product Photography</v>
          </cell>
          <cell r="J8876" t="str">
            <v>Ecommerce (US)</v>
          </cell>
          <cell r="K8876" t="str">
            <v>Brand Marketing</v>
          </cell>
          <cell r="L8876" t="str">
            <v>Advertising</v>
          </cell>
          <cell r="N8876" t="str">
            <v>SG&amp;A</v>
          </cell>
          <cell r="O8876" t="str">
            <v>Theerapol Thammasitboon</v>
          </cell>
        </row>
        <row r="8877">
          <cell r="D8877">
            <v>3000</v>
          </cell>
          <cell r="H8877">
            <v>45809</v>
          </cell>
          <cell r="I8877" t="str">
            <v>6205 - Contractors</v>
          </cell>
          <cell r="J8877" t="str">
            <v>Ecommerce (US)</v>
          </cell>
          <cell r="K8877" t="str">
            <v>Ecommerce</v>
          </cell>
          <cell r="L8877" t="str">
            <v>HQ Salaries</v>
          </cell>
          <cell r="N8877" t="str">
            <v>SG&amp;A</v>
          </cell>
          <cell r="O8877" t="str">
            <v>Ammy  Thitichaya Chan</v>
          </cell>
        </row>
        <row r="8878">
          <cell r="D8878">
            <v>712.52</v>
          </cell>
          <cell r="H8878">
            <v>45809</v>
          </cell>
          <cell r="I8878" t="str">
            <v>6375 - Freight Expenses</v>
          </cell>
          <cell r="J8878" t="str">
            <v>Ecommerce (US)</v>
          </cell>
          <cell r="K8878" t="str">
            <v>Ecommerce</v>
          </cell>
          <cell r="L8878" t="str">
            <v>Freight</v>
          </cell>
          <cell r="N8878" t="str">
            <v>Direct Costs</v>
          </cell>
          <cell r="O8878" t="str">
            <v>UPS Supply Chain Solutions Inc. (7F24A0)</v>
          </cell>
        </row>
        <row r="8879">
          <cell r="D8879">
            <v>0.22</v>
          </cell>
          <cell r="H8879">
            <v>45809</v>
          </cell>
          <cell r="I8879" t="str">
            <v>6450 - Bank &amp; Other Fees</v>
          </cell>
          <cell r="J8879">
            <v>0</v>
          </cell>
          <cell r="K8879" t="str">
            <v>Brand Marketing</v>
          </cell>
          <cell r="L8879" t="str">
            <v>Professional Service</v>
          </cell>
          <cell r="N8879" t="str">
            <v>SG&amp;A</v>
          </cell>
          <cell r="O8879" t="str">
            <v>[No Vendor]</v>
          </cell>
        </row>
        <row r="8880">
          <cell r="D8880">
            <v>1.06</v>
          </cell>
          <cell r="H8880">
            <v>45809</v>
          </cell>
          <cell r="I8880" t="str">
            <v>6450 - Bank &amp; Other Fees</v>
          </cell>
          <cell r="J8880">
            <v>0</v>
          </cell>
          <cell r="K8880" t="str">
            <v>Brand Marketing</v>
          </cell>
          <cell r="L8880" t="str">
            <v>Professional Service</v>
          </cell>
          <cell r="N8880" t="str">
            <v>SG&amp;A</v>
          </cell>
          <cell r="O8880" t="str">
            <v>[No Vendor]</v>
          </cell>
        </row>
        <row r="8881">
          <cell r="D8881">
            <v>877.5</v>
          </cell>
          <cell r="H8881">
            <v>45809</v>
          </cell>
          <cell r="I8881" t="str">
            <v>6300 - Payroll Service Fees</v>
          </cell>
          <cell r="J8881">
            <v>0</v>
          </cell>
          <cell r="K8881" t="str">
            <v>Administration</v>
          </cell>
          <cell r="L8881" t="str">
            <v>Professional Service</v>
          </cell>
          <cell r="N8881" t="str">
            <v>SG&amp;A</v>
          </cell>
          <cell r="O8881" t="str">
            <v>OperationsInc, LLC</v>
          </cell>
        </row>
        <row r="8882">
          <cell r="D8882">
            <v>700</v>
          </cell>
          <cell r="H8882">
            <v>45809</v>
          </cell>
          <cell r="I8882" t="str">
            <v>6225 - Professional Services</v>
          </cell>
          <cell r="J8882">
            <v>0</v>
          </cell>
          <cell r="K8882" t="str">
            <v>Brand Marketing</v>
          </cell>
          <cell r="L8882" t="str">
            <v>Professional Service</v>
          </cell>
          <cell r="N8882" t="str">
            <v>Direct Costs</v>
          </cell>
          <cell r="O8882" t="str">
            <v>Melody  Huang</v>
          </cell>
        </row>
        <row r="8883">
          <cell r="D8883">
            <v>700</v>
          </cell>
          <cell r="H8883">
            <v>45809</v>
          </cell>
          <cell r="I8883" t="str">
            <v>6225 - Professional Services</v>
          </cell>
          <cell r="J8883">
            <v>0</v>
          </cell>
          <cell r="K8883" t="str">
            <v>Brand Marketing</v>
          </cell>
          <cell r="L8883" t="str">
            <v>Professional Service</v>
          </cell>
          <cell r="N8883" t="str">
            <v>Direct Costs</v>
          </cell>
          <cell r="O8883" t="str">
            <v>Melody  Huang</v>
          </cell>
        </row>
        <row r="8884">
          <cell r="D8884">
            <v>700</v>
          </cell>
          <cell r="H8884">
            <v>45809</v>
          </cell>
          <cell r="I8884" t="str">
            <v>6225 - Professional Services</v>
          </cell>
          <cell r="J8884">
            <v>0</v>
          </cell>
          <cell r="K8884" t="str">
            <v>Brand Marketing</v>
          </cell>
          <cell r="L8884" t="str">
            <v>Professional Service</v>
          </cell>
          <cell r="N8884" t="str">
            <v>Direct Costs</v>
          </cell>
          <cell r="O8884" t="str">
            <v>Melody  Huang</v>
          </cell>
        </row>
        <row r="8885">
          <cell r="D8885">
            <v>700</v>
          </cell>
          <cell r="H8885">
            <v>45809</v>
          </cell>
          <cell r="I8885" t="str">
            <v>6225 - Professional Services</v>
          </cell>
          <cell r="J8885">
            <v>0</v>
          </cell>
          <cell r="K8885" t="str">
            <v>Brand Marketing</v>
          </cell>
          <cell r="L8885" t="str">
            <v>Professional Service</v>
          </cell>
          <cell r="N8885" t="str">
            <v>Direct Costs</v>
          </cell>
          <cell r="O8885" t="str">
            <v>Melody  Huang</v>
          </cell>
        </row>
        <row r="8886">
          <cell r="D8886">
            <v>14.54</v>
          </cell>
          <cell r="H8886">
            <v>45809</v>
          </cell>
          <cell r="I8886" t="str">
            <v>6125 - Transportation and Fuel</v>
          </cell>
          <cell r="J8886">
            <v>0</v>
          </cell>
          <cell r="K8886" t="str">
            <v>Brand Marketing</v>
          </cell>
          <cell r="L8886" t="str">
            <v>T&amp;E</v>
          </cell>
          <cell r="N8886" t="str">
            <v>SG&amp;A</v>
          </cell>
          <cell r="O8886" t="str">
            <v>[No Vendor]</v>
          </cell>
        </row>
        <row r="8887">
          <cell r="D8887">
            <v>49.25</v>
          </cell>
          <cell r="H8887">
            <v>45809</v>
          </cell>
          <cell r="I8887" t="str">
            <v>6125 - Transportation and Fuel</v>
          </cell>
          <cell r="J8887">
            <v>0</v>
          </cell>
          <cell r="K8887" t="str">
            <v>Brand Marketing</v>
          </cell>
          <cell r="L8887" t="str">
            <v>T&amp;E</v>
          </cell>
          <cell r="N8887" t="str">
            <v>SG&amp;A</v>
          </cell>
          <cell r="O8887" t="str">
            <v>[No Vendor]</v>
          </cell>
        </row>
        <row r="8888">
          <cell r="D8888">
            <v>39.93</v>
          </cell>
          <cell r="H8888">
            <v>45809</v>
          </cell>
          <cell r="I8888" t="str">
            <v>6125 - Transportation and Fuel</v>
          </cell>
          <cell r="J8888">
            <v>0</v>
          </cell>
          <cell r="K8888" t="str">
            <v>Brand Marketing</v>
          </cell>
          <cell r="L8888" t="str">
            <v>T&amp;E</v>
          </cell>
          <cell r="N8888" t="str">
            <v>SG&amp;A</v>
          </cell>
          <cell r="O8888" t="str">
            <v>[No Vendor]</v>
          </cell>
        </row>
        <row r="8889">
          <cell r="D8889">
            <v>70.89</v>
          </cell>
          <cell r="H8889">
            <v>45809</v>
          </cell>
          <cell r="I8889" t="str">
            <v>6105 - Meals</v>
          </cell>
          <cell r="J8889">
            <v>0</v>
          </cell>
          <cell r="K8889" t="str">
            <v>Brand Marketing</v>
          </cell>
          <cell r="L8889" t="str">
            <v>T&amp;E</v>
          </cell>
          <cell r="N8889" t="str">
            <v>SG&amp;A</v>
          </cell>
          <cell r="O8889" t="str">
            <v>[No Vendor]</v>
          </cell>
        </row>
        <row r="8890">
          <cell r="D8890">
            <v>169.61</v>
          </cell>
          <cell r="H8890">
            <v>45809</v>
          </cell>
          <cell r="I8890" t="str">
            <v>6375 - Freight Expenses</v>
          </cell>
          <cell r="J8890">
            <v>0</v>
          </cell>
          <cell r="K8890" t="str">
            <v>Production</v>
          </cell>
          <cell r="L8890" t="str">
            <v>Freight</v>
          </cell>
          <cell r="N8890" t="str">
            <v>Direct Costs</v>
          </cell>
          <cell r="O8890" t="str">
            <v>DHL Express - USA</v>
          </cell>
        </row>
        <row r="8891">
          <cell r="D8891">
            <v>759.83</v>
          </cell>
          <cell r="H8891">
            <v>45809</v>
          </cell>
          <cell r="I8891" t="str">
            <v>6375 - Freight Expenses</v>
          </cell>
          <cell r="J8891">
            <v>0</v>
          </cell>
          <cell r="K8891" t="str">
            <v>Production</v>
          </cell>
          <cell r="L8891" t="str">
            <v>Freight</v>
          </cell>
          <cell r="N8891" t="str">
            <v>Direct Costs</v>
          </cell>
          <cell r="O8891" t="str">
            <v>DHL Express - USA</v>
          </cell>
        </row>
        <row r="8892">
          <cell r="D8892">
            <v>2003.48</v>
          </cell>
          <cell r="H8892">
            <v>45809</v>
          </cell>
          <cell r="I8892" t="str">
            <v>6451 - Service Processing Fee</v>
          </cell>
          <cell r="J8892" t="str">
            <v>Ecommerce (US)</v>
          </cell>
          <cell r="K8892" t="str">
            <v>Ecommerce</v>
          </cell>
          <cell r="L8892" t="str">
            <v>Professional Service</v>
          </cell>
          <cell r="N8892" t="str">
            <v>Direct Costs</v>
          </cell>
          <cell r="O8892" t="str">
            <v>Loop</v>
          </cell>
        </row>
        <row r="8893">
          <cell r="D8893">
            <v>42.81</v>
          </cell>
          <cell r="H8893">
            <v>45809</v>
          </cell>
          <cell r="I8893" t="str">
            <v>6375 - Freight Expenses</v>
          </cell>
          <cell r="J8893" t="str">
            <v>Ecommerce (US)</v>
          </cell>
          <cell r="K8893" t="str">
            <v>Ecommerce</v>
          </cell>
          <cell r="L8893" t="str">
            <v>Freight</v>
          </cell>
          <cell r="N8893" t="str">
            <v>Direct Costs</v>
          </cell>
          <cell r="O8893" t="str">
            <v>UPS Supply Chain Solutions Inc. (7F24A0)</v>
          </cell>
        </row>
        <row r="8894">
          <cell r="D8894">
            <v>204.38</v>
          </cell>
          <cell r="H8894">
            <v>45809</v>
          </cell>
          <cell r="I8894" t="str">
            <v>6040 - Employer Paid Benefits</v>
          </cell>
          <cell r="J8894">
            <v>0</v>
          </cell>
          <cell r="K8894" t="str">
            <v>Merchandising</v>
          </cell>
          <cell r="L8894" t="str">
            <v>HQ Salaries</v>
          </cell>
          <cell r="N8894" t="str">
            <v>SG&amp;A</v>
          </cell>
          <cell r="O8894" t="str">
            <v>Procyon Benefits LLC</v>
          </cell>
        </row>
        <row r="8895">
          <cell r="D8895">
            <v>319.58999999999997</v>
          </cell>
          <cell r="H8895">
            <v>45809</v>
          </cell>
          <cell r="I8895" t="str">
            <v>6300 - Payroll Service Fees</v>
          </cell>
          <cell r="J8895">
            <v>0</v>
          </cell>
          <cell r="K8895" t="str">
            <v>Administration</v>
          </cell>
          <cell r="L8895" t="str">
            <v>Professional Service</v>
          </cell>
          <cell r="N8895" t="str">
            <v>SG&amp;A</v>
          </cell>
          <cell r="O8895" t="str">
            <v>ADP Payroll Services</v>
          </cell>
        </row>
        <row r="8896">
          <cell r="D8896">
            <v>62.63</v>
          </cell>
          <cell r="H8896">
            <v>45809</v>
          </cell>
          <cell r="I8896" t="str">
            <v>6375 - Freight Expenses</v>
          </cell>
          <cell r="J8896" t="str">
            <v>Ecommerce (US)</v>
          </cell>
          <cell r="K8896" t="str">
            <v>Ecommerce</v>
          </cell>
          <cell r="L8896" t="str">
            <v>Freight</v>
          </cell>
          <cell r="N8896" t="str">
            <v>Direct Costs</v>
          </cell>
          <cell r="O8896" t="str">
            <v>UPS Supply Chain Solutions Inc. (7F24A0)</v>
          </cell>
        </row>
        <row r="8897">
          <cell r="D8897">
            <v>216.7</v>
          </cell>
          <cell r="H8897">
            <v>45809</v>
          </cell>
          <cell r="I8897" t="str">
            <v>6040 - Employer Paid Benefits</v>
          </cell>
          <cell r="J8897">
            <v>0</v>
          </cell>
          <cell r="K8897" t="str">
            <v>Production</v>
          </cell>
          <cell r="L8897" t="str">
            <v>HQ Salaries</v>
          </cell>
          <cell r="N8897" t="str">
            <v>SG&amp;A</v>
          </cell>
          <cell r="O8897" t="str">
            <v>Procyon Benefits LLC</v>
          </cell>
        </row>
        <row r="8898">
          <cell r="D8898">
            <v>120</v>
          </cell>
          <cell r="H8898">
            <v>45809</v>
          </cell>
          <cell r="I8898" t="str">
            <v>6040 - Employer Paid Benefits</v>
          </cell>
          <cell r="J8898">
            <v>0</v>
          </cell>
          <cell r="K8898" t="str">
            <v>Brand Marketing</v>
          </cell>
          <cell r="L8898" t="str">
            <v>HQ Salaries</v>
          </cell>
          <cell r="N8898" t="str">
            <v>SG&amp;A</v>
          </cell>
          <cell r="O8898" t="str">
            <v>Procyon Benefits LLC</v>
          </cell>
        </row>
        <row r="8899">
          <cell r="D8899">
            <v>9.75</v>
          </cell>
          <cell r="H8899">
            <v>45809</v>
          </cell>
          <cell r="I8899" t="str">
            <v>6040 - Employer Paid Benefits</v>
          </cell>
          <cell r="J8899" t="str">
            <v>Ecommerce (US)</v>
          </cell>
          <cell r="K8899" t="str">
            <v>Ecommerce</v>
          </cell>
          <cell r="L8899" t="str">
            <v>HQ Salaries</v>
          </cell>
          <cell r="N8899" t="str">
            <v>SG&amp;A</v>
          </cell>
          <cell r="O8899" t="str">
            <v>Procyon Benefits LLC</v>
          </cell>
        </row>
        <row r="8900">
          <cell r="D8900">
            <v>294.89999999999998</v>
          </cell>
          <cell r="H8900">
            <v>45809</v>
          </cell>
          <cell r="I8900" t="str">
            <v>6040 - Employer Paid Benefits</v>
          </cell>
          <cell r="J8900">
            <v>0</v>
          </cell>
          <cell r="K8900" t="str">
            <v>Executive</v>
          </cell>
          <cell r="L8900" t="str">
            <v>HQ Salaries</v>
          </cell>
          <cell r="N8900" t="str">
            <v>SG&amp;A</v>
          </cell>
          <cell r="O8900" t="str">
            <v>Procyon Benefits LLC</v>
          </cell>
        </row>
        <row r="8901">
          <cell r="D8901">
            <v>1023.6</v>
          </cell>
          <cell r="H8901">
            <v>45809</v>
          </cell>
          <cell r="I8901" t="str">
            <v>6040 - Employer Paid Benefits</v>
          </cell>
          <cell r="J8901">
            <v>0</v>
          </cell>
          <cell r="K8901" t="str">
            <v>Design</v>
          </cell>
          <cell r="L8901" t="str">
            <v>HQ Salaries</v>
          </cell>
          <cell r="N8901" t="str">
            <v>SG&amp;A</v>
          </cell>
          <cell r="O8901" t="str">
            <v>Procyon Benefits LLC</v>
          </cell>
        </row>
        <row r="8902">
          <cell r="D8902">
            <v>26.6</v>
          </cell>
          <cell r="H8902">
            <v>45809</v>
          </cell>
          <cell r="I8902" t="str">
            <v>6040 - Employer Paid Benefits</v>
          </cell>
          <cell r="J8902">
            <v>0</v>
          </cell>
          <cell r="K8902" t="str">
            <v>Administration</v>
          </cell>
          <cell r="L8902" t="str">
            <v>HQ Salaries</v>
          </cell>
          <cell r="N8902" t="str">
            <v>SG&amp;A</v>
          </cell>
          <cell r="O8902" t="str">
            <v>Procyon Benefits LLC</v>
          </cell>
        </row>
        <row r="8903">
          <cell r="D8903">
            <v>52</v>
          </cell>
          <cell r="H8903">
            <v>45809</v>
          </cell>
          <cell r="I8903" t="str">
            <v>6040 - Employer Paid Benefits</v>
          </cell>
          <cell r="J8903" t="str">
            <v>Wholesale</v>
          </cell>
          <cell r="K8903" t="str">
            <v>Wholesale</v>
          </cell>
          <cell r="L8903" t="str">
            <v>HQ Salaries</v>
          </cell>
          <cell r="N8903" t="str">
            <v>SG&amp;A</v>
          </cell>
          <cell r="O8903" t="str">
            <v>Procyon Benefits LLC</v>
          </cell>
        </row>
        <row r="8904">
          <cell r="D8904">
            <v>87.9</v>
          </cell>
          <cell r="H8904">
            <v>45809</v>
          </cell>
          <cell r="I8904" t="str">
            <v>8505 - Realized Gain/Loss</v>
          </cell>
          <cell r="J8904">
            <v>0</v>
          </cell>
          <cell r="K8904" t="str">
            <v>No Department</v>
          </cell>
          <cell r="L8904" t="str">
            <v>Realized Gain / Loss</v>
          </cell>
          <cell r="N8904" t="str">
            <v>BTL</v>
          </cell>
          <cell r="O8904" t="str">
            <v>[No Vendor]</v>
          </cell>
        </row>
        <row r="8905">
          <cell r="D8905">
            <v>13374.58</v>
          </cell>
          <cell r="H8905">
            <v>45809</v>
          </cell>
          <cell r="I8905" t="str">
            <v>6055 - Employer Social Security Tax Withheld</v>
          </cell>
          <cell r="J8905">
            <v>0</v>
          </cell>
          <cell r="K8905" t="str">
            <v>Administration</v>
          </cell>
          <cell r="L8905" t="str">
            <v>HQ Salaries</v>
          </cell>
          <cell r="N8905" t="str">
            <v>SG&amp;A</v>
          </cell>
          <cell r="O8905" t="str">
            <v>[No Vendor]</v>
          </cell>
        </row>
        <row r="8906">
          <cell r="D8906">
            <v>32662.880000000001</v>
          </cell>
          <cell r="H8906">
            <v>45809</v>
          </cell>
          <cell r="I8906" t="str">
            <v>6375 - Freight Expenses</v>
          </cell>
          <cell r="J8906" t="str">
            <v>Ecommerce (US)</v>
          </cell>
          <cell r="K8906" t="str">
            <v>Ecommerce</v>
          </cell>
          <cell r="L8906" t="str">
            <v>Freight</v>
          </cell>
          <cell r="N8906" t="str">
            <v>Direct Costs</v>
          </cell>
          <cell r="O8906" t="str">
            <v>UPS Supply Chain Solutions Inc. (7F24A0)</v>
          </cell>
        </row>
        <row r="8907">
          <cell r="D8907">
            <v>254.46</v>
          </cell>
          <cell r="H8907">
            <v>45809</v>
          </cell>
          <cell r="I8907" t="str">
            <v>6375 - Freight Expenses</v>
          </cell>
          <cell r="J8907" t="str">
            <v>Wholesale</v>
          </cell>
          <cell r="K8907" t="str">
            <v>Wholesale</v>
          </cell>
          <cell r="L8907" t="str">
            <v>Freight</v>
          </cell>
          <cell r="N8907" t="str">
            <v>Direct Costs</v>
          </cell>
          <cell r="O8907" t="str">
            <v>UPS Supply Chain Solutions Inc. (7F24A0)</v>
          </cell>
        </row>
        <row r="8908">
          <cell r="D8908">
            <v>133.66999999999999</v>
          </cell>
          <cell r="H8908">
            <v>45809</v>
          </cell>
          <cell r="I8908" t="str">
            <v>6375 - Freight Expenses</v>
          </cell>
          <cell r="J8908">
            <v>0</v>
          </cell>
          <cell r="K8908" t="str">
            <v>Production</v>
          </cell>
          <cell r="L8908" t="str">
            <v>Freight</v>
          </cell>
          <cell r="N8908" t="str">
            <v>Direct Costs</v>
          </cell>
          <cell r="O8908" t="str">
            <v>Federal Express</v>
          </cell>
        </row>
        <row r="8909">
          <cell r="D8909">
            <v>266.57</v>
          </cell>
          <cell r="H8909">
            <v>45809</v>
          </cell>
          <cell r="I8909" t="str">
            <v>6375 - Freight Expenses</v>
          </cell>
          <cell r="J8909" t="str">
            <v>Ecommerce (US)</v>
          </cell>
          <cell r="K8909" t="str">
            <v>Ecommerce</v>
          </cell>
          <cell r="L8909" t="str">
            <v>Freight</v>
          </cell>
          <cell r="N8909" t="str">
            <v>Direct Costs</v>
          </cell>
          <cell r="O8909" t="str">
            <v>UPS Supply Chain Solutions Inc. (7F24A0)</v>
          </cell>
        </row>
        <row r="8910">
          <cell r="D8910">
            <v>21.78</v>
          </cell>
          <cell r="H8910">
            <v>45809</v>
          </cell>
          <cell r="I8910" t="str">
            <v>6393 - Software</v>
          </cell>
          <cell r="J8910">
            <v>0</v>
          </cell>
          <cell r="K8910" t="str">
            <v>Executive</v>
          </cell>
          <cell r="L8910" t="str">
            <v>Professional Service</v>
          </cell>
          <cell r="N8910" t="str">
            <v>Direct Costs</v>
          </cell>
          <cell r="O8910" t="str">
            <v>Chat GPT</v>
          </cell>
        </row>
        <row r="8911">
          <cell r="D8911">
            <v>57.14</v>
          </cell>
          <cell r="H8911">
            <v>45809</v>
          </cell>
          <cell r="I8911" t="str">
            <v>6105 - Meals</v>
          </cell>
          <cell r="J8911">
            <v>0</v>
          </cell>
          <cell r="K8911" t="str">
            <v>Executive</v>
          </cell>
          <cell r="L8911" t="str">
            <v>T&amp;E</v>
          </cell>
          <cell r="N8911" t="str">
            <v>SG&amp;A</v>
          </cell>
          <cell r="O8911" t="str">
            <v>[No Vendor]</v>
          </cell>
        </row>
        <row r="8912">
          <cell r="D8912">
            <v>158.09</v>
          </cell>
          <cell r="H8912">
            <v>45809</v>
          </cell>
          <cell r="I8912" t="str">
            <v>6105 - Meals</v>
          </cell>
          <cell r="J8912">
            <v>0</v>
          </cell>
          <cell r="K8912" t="str">
            <v>Executive</v>
          </cell>
          <cell r="L8912" t="str">
            <v>T&amp;E</v>
          </cell>
          <cell r="N8912" t="str">
            <v>SG&amp;A</v>
          </cell>
          <cell r="O8912" t="str">
            <v>[No Vendor]</v>
          </cell>
        </row>
        <row r="8913">
          <cell r="D8913">
            <v>124.32</v>
          </cell>
          <cell r="H8913">
            <v>45809</v>
          </cell>
          <cell r="I8913" t="str">
            <v>6105 - Meals</v>
          </cell>
          <cell r="J8913">
            <v>0</v>
          </cell>
          <cell r="K8913" t="str">
            <v>Executive</v>
          </cell>
          <cell r="L8913" t="str">
            <v>T&amp;E</v>
          </cell>
          <cell r="N8913" t="str">
            <v>SG&amp;A</v>
          </cell>
          <cell r="O8913" t="str">
            <v>[No Vendor]</v>
          </cell>
        </row>
        <row r="8914">
          <cell r="D8914">
            <v>61.5</v>
          </cell>
          <cell r="H8914">
            <v>45809</v>
          </cell>
          <cell r="I8914" t="str">
            <v>6105 - Meals</v>
          </cell>
          <cell r="J8914">
            <v>0</v>
          </cell>
          <cell r="K8914" t="str">
            <v>Executive</v>
          </cell>
          <cell r="L8914" t="str">
            <v>T&amp;E</v>
          </cell>
          <cell r="N8914" t="str">
            <v>SG&amp;A</v>
          </cell>
          <cell r="O8914" t="str">
            <v>[No Vendor]</v>
          </cell>
        </row>
        <row r="8915">
          <cell r="D8915">
            <v>1021.45</v>
          </cell>
          <cell r="H8915">
            <v>45809</v>
          </cell>
          <cell r="I8915" t="str">
            <v>6375 - Freight Expenses</v>
          </cell>
          <cell r="J8915">
            <v>0</v>
          </cell>
          <cell r="K8915" t="str">
            <v>Brand Marketing</v>
          </cell>
          <cell r="L8915" t="str">
            <v>Freight</v>
          </cell>
          <cell r="N8915" t="str">
            <v>Direct Costs</v>
          </cell>
          <cell r="O8915" t="str">
            <v>GFD Courier Corporation</v>
          </cell>
        </row>
        <row r="8916">
          <cell r="D8916">
            <v>63.05</v>
          </cell>
          <cell r="H8916">
            <v>45809</v>
          </cell>
          <cell r="I8916" t="str">
            <v>6375 - Freight Expenses</v>
          </cell>
          <cell r="J8916" t="str">
            <v>Ecommerce (US)</v>
          </cell>
          <cell r="K8916" t="str">
            <v>Ecommerce</v>
          </cell>
          <cell r="L8916" t="str">
            <v>Freight</v>
          </cell>
          <cell r="N8916" t="str">
            <v>Direct Costs</v>
          </cell>
          <cell r="O8916" t="str">
            <v>UPS Supply Chain Solutions Inc. (7F24A0)</v>
          </cell>
        </row>
        <row r="8917">
          <cell r="D8917">
            <v>60000</v>
          </cell>
          <cell r="H8917">
            <v>45809</v>
          </cell>
          <cell r="I8917" t="str">
            <v>8700 - Other Expense</v>
          </cell>
          <cell r="J8917" t="str">
            <v>Ecommerce (EU)</v>
          </cell>
          <cell r="K8917" t="str">
            <v>Ecommerce</v>
          </cell>
          <cell r="L8917" t="str">
            <v>Other Expense</v>
          </cell>
          <cell r="N8917" t="str">
            <v>BTL</v>
          </cell>
          <cell r="O8917" t="str">
            <v>SAS Sodilog</v>
          </cell>
        </row>
        <row r="8918">
          <cell r="D8918">
            <v>1000</v>
          </cell>
          <cell r="H8918">
            <v>45809</v>
          </cell>
          <cell r="I8918" t="str">
            <v>6380 - Legal &amp; Accounting</v>
          </cell>
          <cell r="J8918">
            <v>0</v>
          </cell>
          <cell r="K8918" t="str">
            <v>Administration</v>
          </cell>
          <cell r="L8918" t="str">
            <v>Professional Service</v>
          </cell>
          <cell r="N8918" t="str">
            <v>SG&amp;A</v>
          </cell>
          <cell r="O8918" t="str">
            <v>Ko &amp; Yun, LLP - Operations</v>
          </cell>
        </row>
        <row r="8919">
          <cell r="D8919">
            <v>6500</v>
          </cell>
          <cell r="H8919">
            <v>45809</v>
          </cell>
          <cell r="I8919" t="str">
            <v>6380 - Legal &amp; Accounting</v>
          </cell>
          <cell r="J8919">
            <v>0</v>
          </cell>
          <cell r="K8919" t="str">
            <v>Administration</v>
          </cell>
          <cell r="L8919" t="str">
            <v>Professional Service</v>
          </cell>
          <cell r="N8919" t="str">
            <v>SG&amp;A</v>
          </cell>
          <cell r="O8919" t="str">
            <v>Ko &amp; Yun, LLP - IP Holding</v>
          </cell>
        </row>
        <row r="8920">
          <cell r="D8920">
            <v>10000</v>
          </cell>
          <cell r="H8920">
            <v>45809</v>
          </cell>
          <cell r="I8920" t="str">
            <v>6225 - Professional Services</v>
          </cell>
          <cell r="J8920">
            <v>0</v>
          </cell>
          <cell r="K8920" t="str">
            <v>Brand Marketing</v>
          </cell>
          <cell r="L8920" t="str">
            <v>Professional Service</v>
          </cell>
          <cell r="N8920" t="str">
            <v>Direct Costs</v>
          </cell>
          <cell r="O8920" t="str">
            <v>Melody  Huang</v>
          </cell>
        </row>
        <row r="8921">
          <cell r="D8921">
            <v>10000</v>
          </cell>
          <cell r="H8921">
            <v>45809</v>
          </cell>
          <cell r="I8921" t="str">
            <v>6225 - Professional Services</v>
          </cell>
          <cell r="J8921">
            <v>0</v>
          </cell>
          <cell r="K8921" t="str">
            <v>Brand Marketing</v>
          </cell>
          <cell r="L8921" t="str">
            <v>Professional Service</v>
          </cell>
          <cell r="N8921" t="str">
            <v>Direct Costs</v>
          </cell>
          <cell r="O8921" t="str">
            <v>Melody  Huang</v>
          </cell>
        </row>
        <row r="8922">
          <cell r="D8922">
            <v>33.58</v>
          </cell>
          <cell r="H8922">
            <v>45809</v>
          </cell>
          <cell r="I8922" t="str">
            <v>6105 - Meals</v>
          </cell>
          <cell r="J8922" t="str">
            <v>Ecommerce (US)</v>
          </cell>
          <cell r="K8922" t="str">
            <v>Ecommerce</v>
          </cell>
          <cell r="L8922" t="str">
            <v>T&amp;E</v>
          </cell>
          <cell r="N8922" t="str">
            <v>SG&amp;A</v>
          </cell>
          <cell r="O8922" t="str">
            <v>[No Vendor]</v>
          </cell>
        </row>
        <row r="8923">
          <cell r="D8923">
            <v>23.3</v>
          </cell>
          <cell r="H8923">
            <v>45809</v>
          </cell>
          <cell r="I8923" t="str">
            <v>6040 - Employer Paid Benefits</v>
          </cell>
          <cell r="J8923">
            <v>0</v>
          </cell>
          <cell r="K8923" t="str">
            <v>Design</v>
          </cell>
          <cell r="L8923" t="str">
            <v>HQ Salaries</v>
          </cell>
          <cell r="N8923" t="str">
            <v>SG&amp;A</v>
          </cell>
          <cell r="O8923" t="str">
            <v>Procyon Benefits LLC</v>
          </cell>
        </row>
        <row r="8924">
          <cell r="D8924">
            <v>77.5</v>
          </cell>
          <cell r="H8924">
            <v>45809</v>
          </cell>
          <cell r="I8924" t="str">
            <v>6393 - Software</v>
          </cell>
          <cell r="J8924" t="str">
            <v>Wholesale</v>
          </cell>
          <cell r="K8924" t="str">
            <v>Wholesale</v>
          </cell>
          <cell r="L8924" t="str">
            <v>Professional Service</v>
          </cell>
          <cell r="N8924" t="str">
            <v>Direct Costs</v>
          </cell>
          <cell r="O8924" t="str">
            <v>SPS Commerce</v>
          </cell>
        </row>
        <row r="8925">
          <cell r="D8925">
            <v>102.52</v>
          </cell>
          <cell r="H8925">
            <v>45809</v>
          </cell>
          <cell r="I8925" t="str">
            <v>6393 - Software</v>
          </cell>
          <cell r="J8925" t="str">
            <v>Wholesale</v>
          </cell>
          <cell r="K8925" t="str">
            <v>Wholesale</v>
          </cell>
          <cell r="L8925" t="str">
            <v>Professional Service</v>
          </cell>
          <cell r="N8925" t="str">
            <v>Direct Costs</v>
          </cell>
          <cell r="O8925" t="str">
            <v>SPS Commerce</v>
          </cell>
        </row>
        <row r="8926">
          <cell r="D8926">
            <v>273.72000000000003</v>
          </cell>
          <cell r="H8926">
            <v>45809</v>
          </cell>
          <cell r="I8926" t="str">
            <v>6393 - Software</v>
          </cell>
          <cell r="J8926" t="str">
            <v>Wholesale</v>
          </cell>
          <cell r="K8926" t="str">
            <v>Wholesale</v>
          </cell>
          <cell r="L8926" t="str">
            <v>Professional Service</v>
          </cell>
          <cell r="N8926" t="str">
            <v>Direct Costs</v>
          </cell>
          <cell r="O8926" t="str">
            <v>SPS Commerce</v>
          </cell>
        </row>
        <row r="8927">
          <cell r="D8927">
            <v>59</v>
          </cell>
          <cell r="H8927">
            <v>45809</v>
          </cell>
          <cell r="I8927" t="str">
            <v>6393 - Software</v>
          </cell>
          <cell r="J8927" t="str">
            <v>Wholesale</v>
          </cell>
          <cell r="K8927" t="str">
            <v>Wholesale</v>
          </cell>
          <cell r="L8927" t="str">
            <v>Professional Service</v>
          </cell>
          <cell r="N8927" t="str">
            <v>Direct Costs</v>
          </cell>
          <cell r="O8927" t="str">
            <v>SPS Commerce</v>
          </cell>
        </row>
        <row r="8928">
          <cell r="D8928">
            <v>138.16999999999999</v>
          </cell>
          <cell r="H8928">
            <v>45809</v>
          </cell>
          <cell r="I8928" t="str">
            <v>6393 - Software</v>
          </cell>
          <cell r="J8928" t="str">
            <v>Wholesale</v>
          </cell>
          <cell r="K8928" t="str">
            <v>Wholesale</v>
          </cell>
          <cell r="L8928" t="str">
            <v>Professional Service</v>
          </cell>
          <cell r="N8928" t="str">
            <v>Direct Costs</v>
          </cell>
          <cell r="O8928" t="str">
            <v>SPS Commerce</v>
          </cell>
        </row>
        <row r="8929">
          <cell r="D8929">
            <v>133.87</v>
          </cell>
          <cell r="H8929">
            <v>45809</v>
          </cell>
          <cell r="I8929" t="str">
            <v>6393 - Software</v>
          </cell>
          <cell r="J8929" t="str">
            <v>Wholesale</v>
          </cell>
          <cell r="K8929" t="str">
            <v>Wholesale</v>
          </cell>
          <cell r="L8929" t="str">
            <v>Professional Service</v>
          </cell>
          <cell r="N8929" t="str">
            <v>Direct Costs</v>
          </cell>
          <cell r="O8929" t="str">
            <v>SPS Commerce</v>
          </cell>
        </row>
        <row r="8930">
          <cell r="D8930">
            <v>48.36</v>
          </cell>
          <cell r="H8930">
            <v>45809</v>
          </cell>
          <cell r="I8930" t="str">
            <v>6393 - Software</v>
          </cell>
          <cell r="J8930" t="str">
            <v>Wholesale</v>
          </cell>
          <cell r="K8930" t="str">
            <v>Wholesale</v>
          </cell>
          <cell r="L8930" t="str">
            <v>Professional Service</v>
          </cell>
          <cell r="N8930" t="str">
            <v>Direct Costs</v>
          </cell>
          <cell r="O8930" t="str">
            <v>SPS Commerce</v>
          </cell>
        </row>
        <row r="8931">
          <cell r="D8931">
            <v>53.68</v>
          </cell>
          <cell r="H8931">
            <v>45809</v>
          </cell>
          <cell r="I8931" t="str">
            <v>6393 - Software</v>
          </cell>
          <cell r="J8931" t="str">
            <v>Wholesale</v>
          </cell>
          <cell r="K8931" t="str">
            <v>Wholesale</v>
          </cell>
          <cell r="L8931" t="str">
            <v>Professional Service</v>
          </cell>
          <cell r="N8931" t="str">
            <v>Direct Costs</v>
          </cell>
          <cell r="O8931" t="str">
            <v>SPS Commerce</v>
          </cell>
        </row>
        <row r="8932">
          <cell r="D8932">
            <v>607.5</v>
          </cell>
          <cell r="H8932">
            <v>45809</v>
          </cell>
          <cell r="I8932" t="str">
            <v>6300 - Payroll Service Fees</v>
          </cell>
          <cell r="J8932">
            <v>0</v>
          </cell>
          <cell r="K8932" t="str">
            <v>Administration</v>
          </cell>
          <cell r="L8932" t="str">
            <v>Professional Service</v>
          </cell>
          <cell r="N8932" t="str">
            <v>SG&amp;A</v>
          </cell>
          <cell r="O8932" t="str">
            <v>OperationsInc, LLC</v>
          </cell>
        </row>
        <row r="8933">
          <cell r="D8933">
            <v>478.88</v>
          </cell>
          <cell r="H8933">
            <v>45809</v>
          </cell>
          <cell r="I8933" t="str">
            <v>6375 - Freight Expenses</v>
          </cell>
          <cell r="J8933">
            <v>0</v>
          </cell>
          <cell r="K8933" t="str">
            <v>Production</v>
          </cell>
          <cell r="L8933" t="str">
            <v>Freight</v>
          </cell>
          <cell r="N8933" t="str">
            <v>Direct Costs</v>
          </cell>
          <cell r="O8933" t="str">
            <v>DHL Express - USA</v>
          </cell>
        </row>
        <row r="8934">
          <cell r="D8934">
            <v>14.81</v>
          </cell>
          <cell r="H8934">
            <v>45809</v>
          </cell>
          <cell r="I8934" t="str">
            <v>6375 - Freight Expenses</v>
          </cell>
          <cell r="J8934" t="str">
            <v>Ecommerce (US)</v>
          </cell>
          <cell r="K8934" t="str">
            <v>Ecommerce</v>
          </cell>
          <cell r="L8934" t="str">
            <v>Freight</v>
          </cell>
          <cell r="N8934" t="str">
            <v>Direct Costs</v>
          </cell>
          <cell r="O8934" t="str">
            <v>UPS Supply Chain Solutions Inc. (7F24A0)</v>
          </cell>
        </row>
        <row r="8935">
          <cell r="D8935">
            <v>7.96</v>
          </cell>
          <cell r="H8935">
            <v>45809</v>
          </cell>
          <cell r="I8935" t="str">
            <v>6375 - Freight Expenses</v>
          </cell>
          <cell r="J8935" t="str">
            <v>Ecommerce (US)</v>
          </cell>
          <cell r="K8935" t="str">
            <v>Ecommerce</v>
          </cell>
          <cell r="L8935" t="str">
            <v>Freight</v>
          </cell>
          <cell r="N8935" t="str">
            <v>Direct Costs</v>
          </cell>
          <cell r="O8935" t="str">
            <v>UPS Supply Chain Solutions Inc. (7F24A0)</v>
          </cell>
        </row>
        <row r="8936">
          <cell r="D8936">
            <v>59.74</v>
          </cell>
          <cell r="H8936">
            <v>45809</v>
          </cell>
          <cell r="I8936" t="str">
            <v>6040 - Employer Paid Benefits</v>
          </cell>
          <cell r="J8936" t="str">
            <v>Wholesale</v>
          </cell>
          <cell r="K8936" t="str">
            <v>Wholesale</v>
          </cell>
          <cell r="L8936" t="str">
            <v>HQ Salaries</v>
          </cell>
          <cell r="N8936" t="str">
            <v>SG&amp;A</v>
          </cell>
          <cell r="O8936" t="str">
            <v>Procyon Benefits LLC</v>
          </cell>
        </row>
        <row r="8937">
          <cell r="D8937">
            <v>41.18</v>
          </cell>
          <cell r="H8937">
            <v>45809</v>
          </cell>
          <cell r="I8937" t="str">
            <v>6040 - Employer Paid Benefits</v>
          </cell>
          <cell r="J8937">
            <v>0</v>
          </cell>
          <cell r="K8937" t="str">
            <v>Merchandising</v>
          </cell>
          <cell r="L8937" t="str">
            <v>HQ Salaries</v>
          </cell>
          <cell r="N8937" t="str">
            <v>SG&amp;A</v>
          </cell>
          <cell r="O8937" t="str">
            <v>Procyon Benefits LLC</v>
          </cell>
        </row>
        <row r="8938">
          <cell r="D8938">
            <v>6</v>
          </cell>
          <cell r="H8938">
            <v>45809</v>
          </cell>
          <cell r="I8938" t="str">
            <v>6040 - Employer Paid Benefits</v>
          </cell>
          <cell r="J8938" t="str">
            <v>Ecommerce (US)</v>
          </cell>
          <cell r="K8938" t="str">
            <v>Ecommerce</v>
          </cell>
          <cell r="L8938" t="str">
            <v>HQ Salaries</v>
          </cell>
          <cell r="N8938" t="str">
            <v>SG&amp;A</v>
          </cell>
          <cell r="O8938" t="str">
            <v>Procyon Benefits LLC</v>
          </cell>
        </row>
        <row r="8939">
          <cell r="D8939">
            <v>33.51</v>
          </cell>
          <cell r="H8939">
            <v>45809</v>
          </cell>
          <cell r="I8939" t="str">
            <v>6040 - Employer Paid Benefits</v>
          </cell>
          <cell r="J8939">
            <v>0</v>
          </cell>
          <cell r="K8939" t="str">
            <v>Executive</v>
          </cell>
          <cell r="L8939" t="str">
            <v>HQ Salaries</v>
          </cell>
          <cell r="N8939" t="str">
            <v>SG&amp;A</v>
          </cell>
          <cell r="O8939" t="str">
            <v>Procyon Benefits LLC</v>
          </cell>
        </row>
        <row r="8940">
          <cell r="D8940">
            <v>-11316.65</v>
          </cell>
          <cell r="H8940">
            <v>45809</v>
          </cell>
          <cell r="I8940" t="str">
            <v>6375 - Freight Expenses</v>
          </cell>
          <cell r="J8940" t="str">
            <v>Ecommerce (EU)</v>
          </cell>
          <cell r="K8940" t="str">
            <v>Ecommerce</v>
          </cell>
          <cell r="L8940" t="str">
            <v>Freight</v>
          </cell>
          <cell r="N8940" t="str">
            <v>Direct Costs</v>
          </cell>
          <cell r="O8940" t="str">
            <v>SAS Sodilog</v>
          </cell>
        </row>
        <row r="8941">
          <cell r="D8941">
            <v>-389.79</v>
          </cell>
          <cell r="H8941">
            <v>45809</v>
          </cell>
          <cell r="I8941" t="str">
            <v>6377 - Order Processing Expenses (New)</v>
          </cell>
          <cell r="J8941" t="str">
            <v>Ecommerce (EU)</v>
          </cell>
          <cell r="K8941" t="str">
            <v>Ecommerce</v>
          </cell>
          <cell r="L8941" t="str">
            <v>Order Processing</v>
          </cell>
          <cell r="N8941" t="str">
            <v>Direct Costs</v>
          </cell>
          <cell r="O8941" t="str">
            <v>SAS Sodilog</v>
          </cell>
        </row>
        <row r="8942">
          <cell r="D8942">
            <v>-10498.16</v>
          </cell>
          <cell r="H8942">
            <v>45809</v>
          </cell>
          <cell r="I8942" t="str">
            <v>6377 - Order Processing Expenses (New)</v>
          </cell>
          <cell r="J8942" t="str">
            <v>Ecommerce (EU)</v>
          </cell>
          <cell r="K8942" t="str">
            <v>Ecommerce</v>
          </cell>
          <cell r="L8942" t="str">
            <v>Order Processing</v>
          </cell>
          <cell r="N8942" t="str">
            <v>Direct Costs</v>
          </cell>
          <cell r="O8942" t="str">
            <v>SAS Sodilog</v>
          </cell>
        </row>
        <row r="8943">
          <cell r="D8943">
            <v>-288.33999999999997</v>
          </cell>
          <cell r="H8943">
            <v>45809</v>
          </cell>
          <cell r="I8943" t="str">
            <v>6377 - Order Processing Expenses (New)</v>
          </cell>
          <cell r="J8943" t="str">
            <v>Ecommerce (EU)</v>
          </cell>
          <cell r="K8943" t="str">
            <v>Ecommerce</v>
          </cell>
          <cell r="L8943" t="str">
            <v>Order Processing</v>
          </cell>
          <cell r="N8943" t="str">
            <v>Direct Costs</v>
          </cell>
          <cell r="O8943" t="str">
            <v>SAS Sodilog</v>
          </cell>
        </row>
        <row r="8944">
          <cell r="D8944">
            <v>-389.79</v>
          </cell>
          <cell r="H8944">
            <v>45809</v>
          </cell>
          <cell r="I8944" t="str">
            <v>6377 - Order Processing Expenses (New)</v>
          </cell>
          <cell r="J8944" t="str">
            <v>Ecommerce (EU)</v>
          </cell>
          <cell r="K8944" t="str">
            <v>Ecommerce</v>
          </cell>
          <cell r="L8944" t="str">
            <v>Order Processing</v>
          </cell>
          <cell r="N8944" t="str">
            <v>Direct Costs</v>
          </cell>
          <cell r="O8944" t="str">
            <v>SAS Sodilog</v>
          </cell>
        </row>
        <row r="8945">
          <cell r="D8945">
            <v>-53.06</v>
          </cell>
          <cell r="H8945">
            <v>45809</v>
          </cell>
          <cell r="I8945" t="str">
            <v>6377 - Order Processing Expenses (New)</v>
          </cell>
          <cell r="J8945" t="str">
            <v>Ecommerce (EU)</v>
          </cell>
          <cell r="K8945" t="str">
            <v>Ecommerce</v>
          </cell>
          <cell r="L8945" t="str">
            <v>Order Processing</v>
          </cell>
          <cell r="N8945" t="str">
            <v>Direct Costs</v>
          </cell>
          <cell r="O8945" t="str">
            <v>SAS Sodilog</v>
          </cell>
        </row>
        <row r="8946">
          <cell r="D8946">
            <v>-389.79</v>
          </cell>
          <cell r="H8946">
            <v>45809</v>
          </cell>
          <cell r="I8946" t="str">
            <v>6377 - Order Processing Expenses (New)</v>
          </cell>
          <cell r="J8946" t="str">
            <v>Ecommerce (EU)</v>
          </cell>
          <cell r="K8946" t="str">
            <v>Ecommerce</v>
          </cell>
          <cell r="L8946" t="str">
            <v>Order Processing</v>
          </cell>
          <cell r="N8946" t="str">
            <v>Direct Costs</v>
          </cell>
          <cell r="O8946" t="str">
            <v>SAS Sodilog</v>
          </cell>
        </row>
        <row r="8947">
          <cell r="D8947">
            <v>-364.27</v>
          </cell>
          <cell r="H8947">
            <v>45809</v>
          </cell>
          <cell r="I8947" t="str">
            <v>6377 - Order Processing Expenses (New)</v>
          </cell>
          <cell r="J8947" t="str">
            <v>Ecommerce (EU)</v>
          </cell>
          <cell r="K8947" t="str">
            <v>Ecommerce</v>
          </cell>
          <cell r="L8947" t="str">
            <v>Order Processing</v>
          </cell>
          <cell r="N8947" t="str">
            <v>Direct Costs</v>
          </cell>
          <cell r="O8947" t="str">
            <v>SAS Sodilog</v>
          </cell>
        </row>
        <row r="8948">
          <cell r="D8948">
            <v>-104.78</v>
          </cell>
          <cell r="H8948">
            <v>45809</v>
          </cell>
          <cell r="I8948" t="str">
            <v>6377 - Order Processing Expenses (New)</v>
          </cell>
          <cell r="J8948" t="str">
            <v>Ecommerce (EU)</v>
          </cell>
          <cell r="K8948" t="str">
            <v>Ecommerce</v>
          </cell>
          <cell r="L8948" t="str">
            <v>Order Processing</v>
          </cell>
          <cell r="N8948" t="str">
            <v>Direct Costs</v>
          </cell>
          <cell r="O8948" t="str">
            <v>SAS Sodilog</v>
          </cell>
        </row>
        <row r="8949">
          <cell r="D8949">
            <v>-0.01</v>
          </cell>
          <cell r="H8949">
            <v>45809</v>
          </cell>
          <cell r="I8949" t="str">
            <v>8590 - Rounding Gain/Loss</v>
          </cell>
          <cell r="J8949">
            <v>0</v>
          </cell>
          <cell r="K8949" t="str">
            <v>No Department</v>
          </cell>
          <cell r="L8949" t="str">
            <v>Realized Gain / Loss</v>
          </cell>
          <cell r="N8949" t="str">
            <v>BTL</v>
          </cell>
          <cell r="O8949" t="str">
            <v>[No Vendor]</v>
          </cell>
        </row>
        <row r="8950">
          <cell r="D8950">
            <v>520.30999999999995</v>
          </cell>
          <cell r="H8950">
            <v>45809</v>
          </cell>
          <cell r="I8950" t="str">
            <v>8505 - Realized Gain/Loss</v>
          </cell>
          <cell r="J8950">
            <v>0</v>
          </cell>
          <cell r="K8950" t="str">
            <v>No Department</v>
          </cell>
          <cell r="L8950" t="str">
            <v>Realized Gain / Loss</v>
          </cell>
          <cell r="N8950" t="str">
            <v>BTL</v>
          </cell>
          <cell r="O8950" t="str">
            <v>[No Vendor]</v>
          </cell>
        </row>
        <row r="8951">
          <cell r="D8951">
            <v>29.6</v>
          </cell>
          <cell r="H8951">
            <v>45809</v>
          </cell>
          <cell r="I8951" t="str">
            <v>8505 - Realized Gain/Loss</v>
          </cell>
          <cell r="J8951">
            <v>0</v>
          </cell>
          <cell r="K8951" t="str">
            <v>No Department</v>
          </cell>
          <cell r="L8951" t="str">
            <v>Realized Gain / Loss</v>
          </cell>
          <cell r="N8951" t="str">
            <v>BTL</v>
          </cell>
          <cell r="O8951" t="str">
            <v>[No Vendor]</v>
          </cell>
        </row>
        <row r="8952">
          <cell r="D8952">
            <v>80.42</v>
          </cell>
          <cell r="H8952">
            <v>45809</v>
          </cell>
          <cell r="I8952" t="str">
            <v>8505 - Realized Gain/Loss</v>
          </cell>
          <cell r="J8952">
            <v>0</v>
          </cell>
          <cell r="K8952" t="str">
            <v>No Department</v>
          </cell>
          <cell r="L8952" t="str">
            <v>Realized Gain / Loss</v>
          </cell>
          <cell r="N8952" t="str">
            <v>BTL</v>
          </cell>
          <cell r="O8952" t="str">
            <v>[No Vendor]</v>
          </cell>
        </row>
        <row r="8953">
          <cell r="D8953">
            <v>1089.6199999999999</v>
          </cell>
          <cell r="H8953">
            <v>45809</v>
          </cell>
          <cell r="I8953" t="str">
            <v>8505 - Realized Gain/Loss</v>
          </cell>
          <cell r="J8953">
            <v>0</v>
          </cell>
          <cell r="K8953" t="str">
            <v>No Department</v>
          </cell>
          <cell r="L8953" t="str">
            <v>Realized Gain / Loss</v>
          </cell>
          <cell r="N8953" t="str">
            <v>BTL</v>
          </cell>
          <cell r="O8953" t="str">
            <v>[No Vendor]</v>
          </cell>
        </row>
        <row r="8954">
          <cell r="D8954">
            <v>-0.01</v>
          </cell>
          <cell r="H8954">
            <v>45809</v>
          </cell>
          <cell r="I8954" t="str">
            <v>8590 - Rounding Gain/Loss</v>
          </cell>
          <cell r="J8954">
            <v>0</v>
          </cell>
          <cell r="K8954" t="str">
            <v>No Department</v>
          </cell>
          <cell r="L8954" t="str">
            <v>Realized Gain / Loss</v>
          </cell>
          <cell r="N8954" t="str">
            <v>BTL</v>
          </cell>
          <cell r="O8954" t="str">
            <v>[No Vendor]</v>
          </cell>
        </row>
        <row r="8955">
          <cell r="D8955">
            <v>5000</v>
          </cell>
          <cell r="H8955">
            <v>45809</v>
          </cell>
          <cell r="I8955" t="str">
            <v>6375 - Freight Expenses</v>
          </cell>
          <cell r="J8955" t="str">
            <v>Ecommerce (US)</v>
          </cell>
          <cell r="K8955" t="str">
            <v>Ecommerce</v>
          </cell>
          <cell r="L8955" t="str">
            <v>Freight</v>
          </cell>
          <cell r="N8955" t="str">
            <v>Direct Costs</v>
          </cell>
          <cell r="O8955" t="str">
            <v>Easy Post</v>
          </cell>
        </row>
        <row r="8956">
          <cell r="D8956">
            <v>68499.31</v>
          </cell>
          <cell r="H8956">
            <v>45809</v>
          </cell>
          <cell r="I8956" t="str">
            <v>6445 - Inventory Write Down</v>
          </cell>
          <cell r="J8956">
            <v>0</v>
          </cell>
          <cell r="K8956" t="str">
            <v>Administration</v>
          </cell>
          <cell r="L8956" t="str">
            <v>Other</v>
          </cell>
          <cell r="N8956" t="str">
            <v>SG&amp;A</v>
          </cell>
          <cell r="O8956" t="str">
            <v>[No Vendor]</v>
          </cell>
        </row>
        <row r="8957">
          <cell r="D8957">
            <v>1500</v>
          </cell>
          <cell r="H8957">
            <v>45809</v>
          </cell>
          <cell r="I8957" t="str">
            <v>6375 - Freight Expenses</v>
          </cell>
          <cell r="J8957" t="str">
            <v>Ecommerce (US)</v>
          </cell>
          <cell r="K8957" t="str">
            <v>Ecommerce</v>
          </cell>
          <cell r="L8957" t="str">
            <v>Freight</v>
          </cell>
          <cell r="N8957" t="str">
            <v>Direct Costs</v>
          </cell>
          <cell r="O8957" t="str">
            <v>Easy Post</v>
          </cell>
        </row>
        <row r="8958">
          <cell r="D8958">
            <v>8.19</v>
          </cell>
          <cell r="H8958">
            <v>45809</v>
          </cell>
          <cell r="I8958" t="str">
            <v>6375 - Freight Expenses</v>
          </cell>
          <cell r="J8958" t="str">
            <v>Ecommerce (US)</v>
          </cell>
          <cell r="K8958" t="str">
            <v>Ecommerce</v>
          </cell>
          <cell r="L8958" t="str">
            <v>Freight</v>
          </cell>
          <cell r="N8958" t="str">
            <v>Direct Costs</v>
          </cell>
          <cell r="O8958" t="str">
            <v>UPS Supply Chain Solutions Inc. (7F24A0)</v>
          </cell>
        </row>
        <row r="8959">
          <cell r="D8959">
            <v>767.7</v>
          </cell>
          <cell r="H8959">
            <v>45809</v>
          </cell>
          <cell r="I8959" t="str">
            <v>6340 - Miscellaneous Expense</v>
          </cell>
          <cell r="J8959" t="str">
            <v>Ecommerce (US)</v>
          </cell>
          <cell r="K8959" t="str">
            <v>Ecommerce</v>
          </cell>
          <cell r="L8959" t="str">
            <v>Other</v>
          </cell>
          <cell r="N8959" t="str">
            <v>SG&amp;A</v>
          </cell>
          <cell r="O8959" t="str">
            <v>ProShred Security</v>
          </cell>
        </row>
        <row r="8960">
          <cell r="D8960">
            <v>32.83</v>
          </cell>
          <cell r="H8960">
            <v>45809</v>
          </cell>
          <cell r="I8960" t="str">
            <v>6375 - Freight Expenses</v>
          </cell>
          <cell r="J8960" t="str">
            <v>Ecommerce (US)</v>
          </cell>
          <cell r="K8960" t="str">
            <v>Ecommerce</v>
          </cell>
          <cell r="L8960" t="str">
            <v>Freight</v>
          </cell>
          <cell r="N8960" t="str">
            <v>Direct Costs</v>
          </cell>
          <cell r="O8960" t="str">
            <v>UPS Supply Chain Solutions Inc. (7F24A0)</v>
          </cell>
        </row>
        <row r="8961">
          <cell r="D8961">
            <v>27.97</v>
          </cell>
          <cell r="H8961">
            <v>45809</v>
          </cell>
          <cell r="I8961" t="str">
            <v>6375 - Freight Expenses</v>
          </cell>
          <cell r="J8961" t="str">
            <v>Ecommerce (US)</v>
          </cell>
          <cell r="K8961" t="str">
            <v>Ecommerce</v>
          </cell>
          <cell r="L8961" t="str">
            <v>Freight</v>
          </cell>
          <cell r="N8961" t="str">
            <v>Direct Costs</v>
          </cell>
          <cell r="O8961" t="str">
            <v>UPS Supply Chain Solutions Inc. (7F24A0)</v>
          </cell>
        </row>
        <row r="8962">
          <cell r="D8962">
            <v>8.58</v>
          </cell>
          <cell r="H8962">
            <v>45809</v>
          </cell>
          <cell r="I8962" t="str">
            <v>6375 - Freight Expenses</v>
          </cell>
          <cell r="J8962" t="str">
            <v>Ecommerce (US)</v>
          </cell>
          <cell r="K8962" t="str">
            <v>Ecommerce</v>
          </cell>
          <cell r="L8962" t="str">
            <v>Freight</v>
          </cell>
          <cell r="N8962" t="str">
            <v>Direct Costs</v>
          </cell>
          <cell r="O8962" t="str">
            <v>UPS Supply Chain Solutions Inc. (7F24A0)</v>
          </cell>
        </row>
        <row r="8963">
          <cell r="D8963">
            <v>1.1100000000000001</v>
          </cell>
          <cell r="H8963">
            <v>45809</v>
          </cell>
          <cell r="I8963" t="str">
            <v>6375 - Freight Expenses</v>
          </cell>
          <cell r="J8963" t="str">
            <v>Ecommerce (US)</v>
          </cell>
          <cell r="K8963" t="str">
            <v>Ecommerce</v>
          </cell>
          <cell r="L8963" t="str">
            <v>Freight</v>
          </cell>
          <cell r="N8963" t="str">
            <v>Direct Costs</v>
          </cell>
          <cell r="O8963" t="str">
            <v>UPS Supply Chain Solutions Inc. (7F24A0)</v>
          </cell>
        </row>
        <row r="8964">
          <cell r="D8964">
            <v>58.61</v>
          </cell>
          <cell r="H8964">
            <v>45809</v>
          </cell>
          <cell r="I8964" t="str">
            <v>6375 - Freight Expenses</v>
          </cell>
          <cell r="J8964" t="str">
            <v>Ecommerce (US)</v>
          </cell>
          <cell r="K8964" t="str">
            <v>Ecommerce</v>
          </cell>
          <cell r="L8964" t="str">
            <v>Freight</v>
          </cell>
          <cell r="N8964" t="str">
            <v>Direct Costs</v>
          </cell>
          <cell r="O8964" t="str">
            <v>UPS Supply Chain Solutions Inc. (7F24A0)</v>
          </cell>
        </row>
        <row r="8965">
          <cell r="D8965">
            <v>49.95</v>
          </cell>
          <cell r="H8965">
            <v>45809</v>
          </cell>
          <cell r="I8965" t="str">
            <v>6375 - Freight Expenses</v>
          </cell>
          <cell r="J8965" t="str">
            <v>Ecommerce (US)</v>
          </cell>
          <cell r="K8965" t="str">
            <v>Ecommerce</v>
          </cell>
          <cell r="L8965" t="str">
            <v>Freight</v>
          </cell>
          <cell r="N8965" t="str">
            <v>Direct Costs</v>
          </cell>
          <cell r="O8965" t="str">
            <v>UPS Supply Chain Solutions Inc. (7F24A0)</v>
          </cell>
        </row>
        <row r="8966">
          <cell r="D8966">
            <v>8.58</v>
          </cell>
          <cell r="H8966">
            <v>45809</v>
          </cell>
          <cell r="I8966" t="str">
            <v>6375 - Freight Expenses</v>
          </cell>
          <cell r="J8966" t="str">
            <v>Ecommerce (US)</v>
          </cell>
          <cell r="K8966" t="str">
            <v>Ecommerce</v>
          </cell>
          <cell r="L8966" t="str">
            <v>Freight</v>
          </cell>
          <cell r="N8966" t="str">
            <v>Direct Costs</v>
          </cell>
          <cell r="O8966" t="str">
            <v>UPS Supply Chain Solutions Inc. (7F24A0)</v>
          </cell>
        </row>
        <row r="8967">
          <cell r="D8967">
            <v>1.1100000000000001</v>
          </cell>
          <cell r="H8967">
            <v>45809</v>
          </cell>
          <cell r="I8967" t="str">
            <v>6375 - Freight Expenses</v>
          </cell>
          <cell r="J8967" t="str">
            <v>Ecommerce (US)</v>
          </cell>
          <cell r="K8967" t="str">
            <v>Ecommerce</v>
          </cell>
          <cell r="L8967" t="str">
            <v>Freight</v>
          </cell>
          <cell r="N8967" t="str">
            <v>Direct Costs</v>
          </cell>
          <cell r="O8967" t="str">
            <v>UPS Supply Chain Solutions Inc. (7F24A0)</v>
          </cell>
        </row>
        <row r="8968">
          <cell r="D8968">
            <v>34.270000000000003</v>
          </cell>
          <cell r="H8968">
            <v>45809</v>
          </cell>
          <cell r="I8968" t="str">
            <v>6375 - Freight Expenses</v>
          </cell>
          <cell r="J8968" t="str">
            <v>Ecommerce (US)</v>
          </cell>
          <cell r="K8968" t="str">
            <v>Ecommerce</v>
          </cell>
          <cell r="L8968" t="str">
            <v>Freight</v>
          </cell>
          <cell r="N8968" t="str">
            <v>Direct Costs</v>
          </cell>
          <cell r="O8968" t="str">
            <v>UPS Supply Chain Solutions Inc. (7F24A0)</v>
          </cell>
        </row>
        <row r="8969">
          <cell r="D8969">
            <v>29.21</v>
          </cell>
          <cell r="H8969">
            <v>45809</v>
          </cell>
          <cell r="I8969" t="str">
            <v>6375 - Freight Expenses</v>
          </cell>
          <cell r="J8969" t="str">
            <v>Ecommerce (US)</v>
          </cell>
          <cell r="K8969" t="str">
            <v>Ecommerce</v>
          </cell>
          <cell r="L8969" t="str">
            <v>Freight</v>
          </cell>
          <cell r="N8969" t="str">
            <v>Direct Costs</v>
          </cell>
          <cell r="O8969" t="str">
            <v>UPS Supply Chain Solutions Inc. (7F24A0)</v>
          </cell>
        </row>
        <row r="8970">
          <cell r="D8970">
            <v>8.58</v>
          </cell>
          <cell r="H8970">
            <v>45809</v>
          </cell>
          <cell r="I8970" t="str">
            <v>6375 - Freight Expenses</v>
          </cell>
          <cell r="J8970" t="str">
            <v>Ecommerce (US)</v>
          </cell>
          <cell r="K8970" t="str">
            <v>Ecommerce</v>
          </cell>
          <cell r="L8970" t="str">
            <v>Freight</v>
          </cell>
          <cell r="N8970" t="str">
            <v>Direct Costs</v>
          </cell>
          <cell r="O8970" t="str">
            <v>UPS Supply Chain Solutions Inc. (7F24A0)</v>
          </cell>
        </row>
        <row r="8971">
          <cell r="D8971">
            <v>1.1100000000000001</v>
          </cell>
          <cell r="H8971">
            <v>45809</v>
          </cell>
          <cell r="I8971" t="str">
            <v>6375 - Freight Expenses</v>
          </cell>
          <cell r="J8971" t="str">
            <v>Ecommerce (US)</v>
          </cell>
          <cell r="K8971" t="str">
            <v>Ecommerce</v>
          </cell>
          <cell r="L8971" t="str">
            <v>Freight</v>
          </cell>
          <cell r="N8971" t="str">
            <v>Direct Costs</v>
          </cell>
          <cell r="O8971" t="str">
            <v>UPS Supply Chain Solutions Inc. (7F24A0)</v>
          </cell>
        </row>
        <row r="8972">
          <cell r="D8972">
            <v>22.65</v>
          </cell>
          <cell r="H8972">
            <v>45809</v>
          </cell>
          <cell r="I8972" t="str">
            <v>6375 - Freight Expenses</v>
          </cell>
          <cell r="J8972" t="str">
            <v>Ecommerce (US)</v>
          </cell>
          <cell r="K8972" t="str">
            <v>Ecommerce</v>
          </cell>
          <cell r="L8972" t="str">
            <v>Freight</v>
          </cell>
          <cell r="N8972" t="str">
            <v>Direct Costs</v>
          </cell>
          <cell r="O8972" t="str">
            <v>UPS Supply Chain Solutions Inc. (7F24A0)</v>
          </cell>
        </row>
        <row r="8973">
          <cell r="D8973">
            <v>19.3</v>
          </cell>
          <cell r="H8973">
            <v>45809</v>
          </cell>
          <cell r="I8973" t="str">
            <v>6375 - Freight Expenses</v>
          </cell>
          <cell r="J8973" t="str">
            <v>Ecommerce (US)</v>
          </cell>
          <cell r="K8973" t="str">
            <v>Ecommerce</v>
          </cell>
          <cell r="L8973" t="str">
            <v>Freight</v>
          </cell>
          <cell r="N8973" t="str">
            <v>Direct Costs</v>
          </cell>
          <cell r="O8973" t="str">
            <v>UPS Supply Chain Solutions Inc. (7F24A0)</v>
          </cell>
        </row>
        <row r="8974">
          <cell r="D8974">
            <v>0.41</v>
          </cell>
          <cell r="H8974">
            <v>45809</v>
          </cell>
          <cell r="I8974" t="str">
            <v>6375 - Freight Expenses</v>
          </cell>
          <cell r="J8974" t="str">
            <v>Ecommerce (US)</v>
          </cell>
          <cell r="K8974" t="str">
            <v>Ecommerce</v>
          </cell>
          <cell r="L8974" t="str">
            <v>Freight</v>
          </cell>
          <cell r="N8974" t="str">
            <v>Direct Costs</v>
          </cell>
          <cell r="O8974" t="str">
            <v>UPS Supply Chain Solutions Inc. (7F24A0)</v>
          </cell>
        </row>
        <row r="8975">
          <cell r="D8975">
            <v>8.58</v>
          </cell>
          <cell r="H8975">
            <v>45809</v>
          </cell>
          <cell r="I8975" t="str">
            <v>6375 - Freight Expenses</v>
          </cell>
          <cell r="J8975" t="str">
            <v>Ecommerce (US)</v>
          </cell>
          <cell r="K8975" t="str">
            <v>Ecommerce</v>
          </cell>
          <cell r="L8975" t="str">
            <v>Freight</v>
          </cell>
          <cell r="N8975" t="str">
            <v>Direct Costs</v>
          </cell>
          <cell r="O8975" t="str">
            <v>UPS Supply Chain Solutions Inc. (7F24A0)</v>
          </cell>
        </row>
        <row r="8976">
          <cell r="D8976">
            <v>1.1100000000000001</v>
          </cell>
          <cell r="H8976">
            <v>45809</v>
          </cell>
          <cell r="I8976" t="str">
            <v>6375 - Freight Expenses</v>
          </cell>
          <cell r="J8976" t="str">
            <v>Ecommerce (US)</v>
          </cell>
          <cell r="K8976" t="str">
            <v>Ecommerce</v>
          </cell>
          <cell r="L8976" t="str">
            <v>Freight</v>
          </cell>
          <cell r="N8976" t="str">
            <v>Direct Costs</v>
          </cell>
          <cell r="O8976" t="str">
            <v>UPS Supply Chain Solutions Inc. (7F24A0)</v>
          </cell>
        </row>
        <row r="8977">
          <cell r="D8977">
            <v>11.47</v>
          </cell>
          <cell r="H8977">
            <v>45809</v>
          </cell>
          <cell r="I8977" t="str">
            <v>6375 - Freight Expenses</v>
          </cell>
          <cell r="J8977" t="str">
            <v>Ecommerce (US)</v>
          </cell>
          <cell r="K8977" t="str">
            <v>Ecommerce</v>
          </cell>
          <cell r="L8977" t="str">
            <v>Freight</v>
          </cell>
          <cell r="N8977" t="str">
            <v>Direct Costs</v>
          </cell>
          <cell r="O8977" t="str">
            <v>UPS Supply Chain Solutions Inc. (7F24A0)</v>
          </cell>
        </row>
        <row r="8978">
          <cell r="D8978">
            <v>8.58</v>
          </cell>
          <cell r="H8978">
            <v>45809</v>
          </cell>
          <cell r="I8978" t="str">
            <v>6375 - Freight Expenses</v>
          </cell>
          <cell r="J8978" t="str">
            <v>Ecommerce (US)</v>
          </cell>
          <cell r="K8978" t="str">
            <v>Ecommerce</v>
          </cell>
          <cell r="L8978" t="str">
            <v>Freight</v>
          </cell>
          <cell r="N8978" t="str">
            <v>Direct Costs</v>
          </cell>
          <cell r="O8978" t="str">
            <v>UPS Supply Chain Solutions Inc. (7F24A0)</v>
          </cell>
        </row>
        <row r="8979">
          <cell r="D8979">
            <v>1.1100000000000001</v>
          </cell>
          <cell r="H8979">
            <v>45809</v>
          </cell>
          <cell r="I8979" t="str">
            <v>6375 - Freight Expenses</v>
          </cell>
          <cell r="J8979" t="str">
            <v>Ecommerce (US)</v>
          </cell>
          <cell r="K8979" t="str">
            <v>Ecommerce</v>
          </cell>
          <cell r="L8979" t="str">
            <v>Freight</v>
          </cell>
          <cell r="N8979" t="str">
            <v>Direct Costs</v>
          </cell>
          <cell r="O8979" t="str">
            <v>UPS Supply Chain Solutions Inc. (7F24A0)</v>
          </cell>
        </row>
        <row r="8980">
          <cell r="D8980">
            <v>56.99</v>
          </cell>
          <cell r="H8980">
            <v>45809</v>
          </cell>
          <cell r="I8980" t="str">
            <v>6375 - Freight Expenses</v>
          </cell>
          <cell r="J8980" t="str">
            <v>Ecommerce (US)</v>
          </cell>
          <cell r="K8980" t="str">
            <v>Ecommerce</v>
          </cell>
          <cell r="L8980" t="str">
            <v>Freight</v>
          </cell>
          <cell r="N8980" t="str">
            <v>Direct Costs</v>
          </cell>
          <cell r="O8980" t="str">
            <v>UPS Supply Chain Solutions Inc. (7F24A0)</v>
          </cell>
        </row>
        <row r="8981">
          <cell r="D8981">
            <v>18.68</v>
          </cell>
          <cell r="H8981">
            <v>45809</v>
          </cell>
          <cell r="I8981" t="str">
            <v>6375 - Freight Expenses</v>
          </cell>
          <cell r="J8981" t="str">
            <v>Ecommerce (US)</v>
          </cell>
          <cell r="K8981" t="str">
            <v>Ecommerce</v>
          </cell>
          <cell r="L8981" t="str">
            <v>Freight</v>
          </cell>
          <cell r="N8981" t="str">
            <v>Direct Costs</v>
          </cell>
          <cell r="O8981" t="str">
            <v>UPS Supply Chain Solutions Inc. (7F24A0)</v>
          </cell>
        </row>
        <row r="8982">
          <cell r="D8982">
            <v>27.08</v>
          </cell>
          <cell r="H8982">
            <v>45809</v>
          </cell>
          <cell r="I8982" t="str">
            <v>6375 - Freight Expenses</v>
          </cell>
          <cell r="J8982">
            <v>0</v>
          </cell>
          <cell r="K8982" t="str">
            <v>Brand Marketing</v>
          </cell>
          <cell r="L8982" t="str">
            <v>Freight</v>
          </cell>
          <cell r="N8982" t="str">
            <v>Direct Costs</v>
          </cell>
          <cell r="O8982" t="str">
            <v>UPS Supply Chain Solutions Inc. (7F24A0)</v>
          </cell>
        </row>
        <row r="8983">
          <cell r="D8983">
            <v>196.8</v>
          </cell>
          <cell r="H8983">
            <v>45809</v>
          </cell>
          <cell r="I8983" t="str">
            <v>6300 - Payroll Service Fees</v>
          </cell>
          <cell r="J8983">
            <v>0</v>
          </cell>
          <cell r="K8983" t="str">
            <v>Administration</v>
          </cell>
          <cell r="L8983" t="str">
            <v>Professional Service</v>
          </cell>
          <cell r="N8983" t="str">
            <v>SG&amp;A</v>
          </cell>
          <cell r="O8983" t="str">
            <v>ADP Payroll Services</v>
          </cell>
        </row>
        <row r="8984">
          <cell r="D8984">
            <v>244.29</v>
          </cell>
          <cell r="H8984">
            <v>45809</v>
          </cell>
          <cell r="I8984" t="str">
            <v>6375 - Freight Expenses</v>
          </cell>
          <cell r="J8984">
            <v>0</v>
          </cell>
          <cell r="K8984" t="str">
            <v>Brand Marketing</v>
          </cell>
          <cell r="L8984" t="str">
            <v>Freight</v>
          </cell>
          <cell r="N8984" t="str">
            <v>Direct Costs</v>
          </cell>
          <cell r="O8984" t="str">
            <v>UPS Supply Chain Solutions Inc. (7F24A0)</v>
          </cell>
        </row>
        <row r="8985">
          <cell r="D8985">
            <v>124.63</v>
          </cell>
          <cell r="H8985">
            <v>45809</v>
          </cell>
          <cell r="I8985" t="str">
            <v>6375 - Freight Expenses</v>
          </cell>
          <cell r="J8985">
            <v>0</v>
          </cell>
          <cell r="K8985" t="str">
            <v>Brand Marketing</v>
          </cell>
          <cell r="L8985" t="str">
            <v>Freight</v>
          </cell>
          <cell r="N8985" t="str">
            <v>Direct Costs</v>
          </cell>
          <cell r="O8985" t="str">
            <v>UPS Supply Chain Solutions Inc. (7F24A0)</v>
          </cell>
        </row>
        <row r="8986">
          <cell r="D8986">
            <v>244.29</v>
          </cell>
          <cell r="H8986">
            <v>45809</v>
          </cell>
          <cell r="I8986" t="str">
            <v>6375 - Freight Expenses</v>
          </cell>
          <cell r="J8986">
            <v>0</v>
          </cell>
          <cell r="K8986" t="str">
            <v>Brand Marketing</v>
          </cell>
          <cell r="L8986" t="str">
            <v>Freight</v>
          </cell>
          <cell r="N8986" t="str">
            <v>Direct Costs</v>
          </cell>
          <cell r="O8986" t="str">
            <v>UPS Supply Chain Solutions Inc. (7F24A0)</v>
          </cell>
        </row>
        <row r="8987">
          <cell r="D8987">
            <v>20.25</v>
          </cell>
          <cell r="H8987">
            <v>45809</v>
          </cell>
          <cell r="I8987" t="str">
            <v>6375 - Freight Expenses</v>
          </cell>
          <cell r="J8987">
            <v>0</v>
          </cell>
          <cell r="K8987" t="str">
            <v>Brand Marketing</v>
          </cell>
          <cell r="L8987" t="str">
            <v>Freight</v>
          </cell>
          <cell r="N8987" t="str">
            <v>Direct Costs</v>
          </cell>
          <cell r="O8987" t="str">
            <v>UPS Supply Chain Solutions Inc. (7F24A0)</v>
          </cell>
        </row>
        <row r="8988">
          <cell r="D8988">
            <v>137.72</v>
          </cell>
          <cell r="H8988">
            <v>45809</v>
          </cell>
          <cell r="I8988" t="str">
            <v>6375 - Freight Expenses</v>
          </cell>
          <cell r="J8988">
            <v>0</v>
          </cell>
          <cell r="K8988" t="str">
            <v>Brand Marketing</v>
          </cell>
          <cell r="L8988" t="str">
            <v>Freight</v>
          </cell>
          <cell r="N8988" t="str">
            <v>Direct Costs</v>
          </cell>
          <cell r="O8988" t="str">
            <v>UPS Supply Chain Solutions Inc. (7F24A0)</v>
          </cell>
        </row>
        <row r="8989">
          <cell r="D8989">
            <v>273.13</v>
          </cell>
          <cell r="H8989">
            <v>45809</v>
          </cell>
          <cell r="I8989" t="str">
            <v>6375 - Freight Expenses</v>
          </cell>
          <cell r="J8989">
            <v>0</v>
          </cell>
          <cell r="K8989" t="str">
            <v>Brand Marketing</v>
          </cell>
          <cell r="L8989" t="str">
            <v>Freight</v>
          </cell>
          <cell r="N8989" t="str">
            <v>Direct Costs</v>
          </cell>
          <cell r="O8989" t="str">
            <v>UPS Supply Chain Solutions Inc. (7F24A0)</v>
          </cell>
        </row>
        <row r="8990">
          <cell r="D8990">
            <v>20.25</v>
          </cell>
          <cell r="H8990">
            <v>45809</v>
          </cell>
          <cell r="I8990" t="str">
            <v>6375 - Freight Expenses</v>
          </cell>
          <cell r="J8990">
            <v>0</v>
          </cell>
          <cell r="K8990" t="str">
            <v>Brand Marketing</v>
          </cell>
          <cell r="L8990" t="str">
            <v>Freight</v>
          </cell>
          <cell r="N8990" t="str">
            <v>Direct Costs</v>
          </cell>
          <cell r="O8990" t="str">
            <v>UPS Supply Chain Solutions Inc. (7F24A0)</v>
          </cell>
        </row>
        <row r="8991">
          <cell r="D8991">
            <v>294.61</v>
          </cell>
          <cell r="H8991">
            <v>45809</v>
          </cell>
          <cell r="I8991" t="str">
            <v>8505 - Realized Gain/Loss</v>
          </cell>
          <cell r="J8991">
            <v>0</v>
          </cell>
          <cell r="K8991" t="str">
            <v>No Department</v>
          </cell>
          <cell r="L8991" t="str">
            <v>Realized Gain / Loss</v>
          </cell>
          <cell r="N8991" t="str">
            <v>BTL</v>
          </cell>
          <cell r="O8991" t="str">
            <v>[No Vendor]</v>
          </cell>
        </row>
        <row r="8992">
          <cell r="D8992">
            <v>11373.08</v>
          </cell>
          <cell r="H8992">
            <v>45809</v>
          </cell>
          <cell r="I8992" t="str">
            <v>6005 - Salaries</v>
          </cell>
          <cell r="J8992">
            <v>0</v>
          </cell>
          <cell r="K8992" t="str">
            <v>Executive</v>
          </cell>
          <cell r="L8992" t="str">
            <v>HQ Salaries</v>
          </cell>
          <cell r="N8992" t="str">
            <v>SG&amp;A</v>
          </cell>
          <cell r="O8992" t="str">
            <v>[No Vendor]</v>
          </cell>
        </row>
        <row r="8993">
          <cell r="D8993">
            <v>0</v>
          </cell>
          <cell r="H8993">
            <v>45809</v>
          </cell>
          <cell r="I8993" t="str">
            <v>6035 - Severance Expense</v>
          </cell>
          <cell r="J8993" t="str">
            <v>Wholesale</v>
          </cell>
          <cell r="K8993" t="str">
            <v>Wholesale</v>
          </cell>
          <cell r="L8993" t="str">
            <v>HQ Salaries</v>
          </cell>
          <cell r="N8993" t="str">
            <v>SG&amp;A</v>
          </cell>
          <cell r="O8993" t="str">
            <v>[No Vendor]</v>
          </cell>
        </row>
        <row r="8994">
          <cell r="D8994">
            <v>19037.2</v>
          </cell>
          <cell r="H8994">
            <v>45809</v>
          </cell>
          <cell r="I8994" t="str">
            <v>6205 - Contractors</v>
          </cell>
          <cell r="J8994" t="str">
            <v>Ecommerce (US)</v>
          </cell>
          <cell r="K8994" t="str">
            <v>Ecommerce</v>
          </cell>
          <cell r="L8994" t="str">
            <v>HQ Salaries</v>
          </cell>
          <cell r="N8994" t="str">
            <v>SG&amp;A</v>
          </cell>
          <cell r="O8994" t="str">
            <v>[No Vendor]</v>
          </cell>
        </row>
        <row r="8995">
          <cell r="D8995">
            <v>0</v>
          </cell>
          <cell r="H8995">
            <v>45809</v>
          </cell>
          <cell r="I8995" t="str">
            <v>6205 - Contractors</v>
          </cell>
          <cell r="J8995">
            <v>0</v>
          </cell>
          <cell r="K8995" t="str">
            <v>Design</v>
          </cell>
          <cell r="L8995" t="str">
            <v>HQ Salaries</v>
          </cell>
          <cell r="N8995" t="str">
            <v>SG&amp;A</v>
          </cell>
          <cell r="O8995" t="str">
            <v>[No Vendor]</v>
          </cell>
        </row>
        <row r="8996">
          <cell r="D8996">
            <v>0</v>
          </cell>
          <cell r="H8996">
            <v>45809</v>
          </cell>
          <cell r="I8996" t="str">
            <v>6205 - Contractors</v>
          </cell>
          <cell r="J8996">
            <v>0</v>
          </cell>
          <cell r="K8996" t="str">
            <v>Brand Marketing</v>
          </cell>
          <cell r="L8996" t="str">
            <v>HQ Salaries</v>
          </cell>
          <cell r="N8996" t="str">
            <v>SG&amp;A</v>
          </cell>
          <cell r="O8996" t="str">
            <v>[No Vendor]</v>
          </cell>
        </row>
        <row r="8997">
          <cell r="D8997">
            <v>-85.14</v>
          </cell>
          <cell r="H8997">
            <v>45809</v>
          </cell>
          <cell r="I8997" t="str">
            <v>6385 - Insurance</v>
          </cell>
          <cell r="J8997">
            <v>0</v>
          </cell>
          <cell r="K8997" t="str">
            <v>Administration</v>
          </cell>
          <cell r="L8997" t="str">
            <v>Professional Service</v>
          </cell>
          <cell r="N8997" t="str">
            <v>SG&amp;A</v>
          </cell>
          <cell r="O8997" t="str">
            <v>[No Vendor]</v>
          </cell>
        </row>
        <row r="8998">
          <cell r="D8998">
            <v>-73.819999999999993</v>
          </cell>
          <cell r="H8998">
            <v>45809</v>
          </cell>
          <cell r="I8998" t="str">
            <v>6385 - Insurance</v>
          </cell>
          <cell r="J8998">
            <v>0</v>
          </cell>
          <cell r="K8998" t="str">
            <v>Administration</v>
          </cell>
          <cell r="L8998" t="str">
            <v>Professional Service</v>
          </cell>
          <cell r="N8998" t="str">
            <v>SG&amp;A</v>
          </cell>
          <cell r="O8998" t="str">
            <v>[No Vendor]</v>
          </cell>
        </row>
        <row r="8999">
          <cell r="D8999">
            <v>-53.38</v>
          </cell>
          <cell r="H8999">
            <v>45809</v>
          </cell>
          <cell r="I8999" t="str">
            <v>6385 - Insurance</v>
          </cell>
          <cell r="J8999">
            <v>0</v>
          </cell>
          <cell r="K8999" t="str">
            <v>Administration</v>
          </cell>
          <cell r="L8999" t="str">
            <v>Professional Service</v>
          </cell>
          <cell r="N8999" t="str">
            <v>SG&amp;A</v>
          </cell>
          <cell r="O8999" t="str">
            <v>[No Vendor]</v>
          </cell>
        </row>
        <row r="9000">
          <cell r="D9000">
            <v>-37.53</v>
          </cell>
          <cell r="H9000">
            <v>45809</v>
          </cell>
          <cell r="I9000" t="str">
            <v>6385 - Insurance</v>
          </cell>
          <cell r="J9000">
            <v>0</v>
          </cell>
          <cell r="K9000" t="str">
            <v>Administration</v>
          </cell>
          <cell r="L9000" t="str">
            <v>Professional Service</v>
          </cell>
          <cell r="N9000" t="str">
            <v>SG&amp;A</v>
          </cell>
          <cell r="O9000" t="str">
            <v>[No Vendor]</v>
          </cell>
        </row>
        <row r="9001">
          <cell r="D9001">
            <v>-14.18</v>
          </cell>
          <cell r="H9001">
            <v>45809</v>
          </cell>
          <cell r="I9001" t="str">
            <v>6385 - Insurance</v>
          </cell>
          <cell r="J9001">
            <v>0</v>
          </cell>
          <cell r="K9001" t="str">
            <v>Administration</v>
          </cell>
          <cell r="L9001" t="str">
            <v>Professional Service</v>
          </cell>
          <cell r="N9001" t="str">
            <v>SG&amp;A</v>
          </cell>
          <cell r="O9001" t="str">
            <v>[No Vendor]</v>
          </cell>
        </row>
        <row r="9002">
          <cell r="D9002">
            <v>-62.37</v>
          </cell>
          <cell r="H9002">
            <v>45809</v>
          </cell>
          <cell r="I9002" t="str">
            <v>6385 - Insurance</v>
          </cell>
          <cell r="J9002">
            <v>0</v>
          </cell>
          <cell r="K9002" t="str">
            <v>Administration</v>
          </cell>
          <cell r="L9002" t="str">
            <v>Professional Service</v>
          </cell>
          <cell r="N9002" t="str">
            <v>SG&amp;A</v>
          </cell>
          <cell r="O9002" t="str">
            <v>[No Vendor]</v>
          </cell>
        </row>
        <row r="9003">
          <cell r="D9003">
            <v>-12.39</v>
          </cell>
          <cell r="H9003">
            <v>45809</v>
          </cell>
          <cell r="I9003" t="str">
            <v>6385 - Insurance</v>
          </cell>
          <cell r="J9003">
            <v>0</v>
          </cell>
          <cell r="K9003" t="str">
            <v>Administration</v>
          </cell>
          <cell r="L9003" t="str">
            <v>Professional Service</v>
          </cell>
          <cell r="N9003" t="str">
            <v>SG&amp;A</v>
          </cell>
          <cell r="O9003" t="str">
            <v>[No Vendor]</v>
          </cell>
        </row>
        <row r="9004">
          <cell r="D9004">
            <v>-1.2</v>
          </cell>
          <cell r="H9004">
            <v>45809</v>
          </cell>
          <cell r="I9004" t="str">
            <v>6385 - Insurance</v>
          </cell>
          <cell r="J9004">
            <v>0</v>
          </cell>
          <cell r="K9004" t="str">
            <v>Administration</v>
          </cell>
          <cell r="L9004" t="str">
            <v>Professional Service</v>
          </cell>
          <cell r="N9004" t="str">
            <v>SG&amp;A</v>
          </cell>
          <cell r="O9004" t="str">
            <v>[No Vendor]</v>
          </cell>
        </row>
        <row r="9005">
          <cell r="D9005">
            <v>2174.4699999999998</v>
          </cell>
          <cell r="H9005">
            <v>45809</v>
          </cell>
          <cell r="I9005" t="str">
            <v>6055 - Employer Social Security Tax Withheld</v>
          </cell>
          <cell r="J9005">
            <v>0</v>
          </cell>
          <cell r="K9005" t="str">
            <v>Design</v>
          </cell>
          <cell r="L9005" t="str">
            <v>HQ Salaries</v>
          </cell>
          <cell r="N9005" t="str">
            <v>SG&amp;A</v>
          </cell>
          <cell r="O9005" t="str">
            <v>[No Vendor]</v>
          </cell>
        </row>
        <row r="9006">
          <cell r="D9006">
            <v>3084.64</v>
          </cell>
          <cell r="H9006">
            <v>45809</v>
          </cell>
          <cell r="I9006" t="str">
            <v>6055 - Employer Social Security Tax Withheld</v>
          </cell>
          <cell r="J9006">
            <v>0</v>
          </cell>
          <cell r="K9006" t="str">
            <v>Administration</v>
          </cell>
          <cell r="L9006" t="str">
            <v>HQ Salaries</v>
          </cell>
          <cell r="N9006" t="str">
            <v>SG&amp;A</v>
          </cell>
          <cell r="O9006" t="str">
            <v>[No Vendor]</v>
          </cell>
        </row>
        <row r="9007">
          <cell r="D9007">
            <v>973.53</v>
          </cell>
          <cell r="H9007">
            <v>45809</v>
          </cell>
          <cell r="I9007" t="str">
            <v>6055 - Employer Social Security Tax Withheld</v>
          </cell>
          <cell r="J9007">
            <v>0</v>
          </cell>
          <cell r="K9007" t="str">
            <v>Merchandising</v>
          </cell>
          <cell r="L9007" t="str">
            <v>HQ Salaries</v>
          </cell>
          <cell r="N9007" t="str">
            <v>SG&amp;A</v>
          </cell>
          <cell r="O9007" t="str">
            <v>[No Vendor]</v>
          </cell>
        </row>
        <row r="9008">
          <cell r="D9008">
            <v>361.31</v>
          </cell>
          <cell r="H9008">
            <v>45809</v>
          </cell>
          <cell r="I9008" t="str">
            <v>6055 - Employer Social Security Tax Withheld</v>
          </cell>
          <cell r="J9008" t="str">
            <v>Wholesale</v>
          </cell>
          <cell r="K9008" t="str">
            <v>Wholesale</v>
          </cell>
          <cell r="L9008" t="str">
            <v>HQ Salaries</v>
          </cell>
          <cell r="N9008" t="str">
            <v>SG&amp;A</v>
          </cell>
          <cell r="O9008" t="str">
            <v>[No Vendor]</v>
          </cell>
        </row>
        <row r="9009">
          <cell r="D9009">
            <v>1611.81</v>
          </cell>
          <cell r="H9009">
            <v>45809</v>
          </cell>
          <cell r="I9009" t="str">
            <v>6055 - Employer Social Security Tax Withheld</v>
          </cell>
          <cell r="J9009">
            <v>0</v>
          </cell>
          <cell r="K9009" t="str">
            <v>Production</v>
          </cell>
          <cell r="L9009" t="str">
            <v>HQ Salaries</v>
          </cell>
          <cell r="N9009" t="str">
            <v>SG&amp;A</v>
          </cell>
          <cell r="O9009" t="str">
            <v>[No Vendor]</v>
          </cell>
        </row>
        <row r="9010">
          <cell r="D9010">
            <v>440.41</v>
          </cell>
          <cell r="H9010">
            <v>45809</v>
          </cell>
          <cell r="I9010" t="str">
            <v>6055 - Employer Social Security Tax Withheld</v>
          </cell>
          <cell r="J9010">
            <v>0</v>
          </cell>
          <cell r="K9010" t="str">
            <v>Brand Marketing</v>
          </cell>
          <cell r="L9010" t="str">
            <v>HQ Salaries</v>
          </cell>
          <cell r="N9010" t="str">
            <v>SG&amp;A</v>
          </cell>
          <cell r="O9010" t="str">
            <v>[No Vendor]</v>
          </cell>
        </row>
        <row r="9011">
          <cell r="D9011">
            <v>1197.93</v>
          </cell>
          <cell r="H9011">
            <v>45809</v>
          </cell>
          <cell r="I9011" t="str">
            <v>6055 - Employer Social Security Tax Withheld</v>
          </cell>
          <cell r="J9011">
            <v>0</v>
          </cell>
          <cell r="K9011" t="str">
            <v>Executive</v>
          </cell>
          <cell r="L9011" t="str">
            <v>HQ Salaries</v>
          </cell>
          <cell r="N9011" t="str">
            <v>SG&amp;A</v>
          </cell>
          <cell r="O9011" t="str">
            <v>[No Vendor]</v>
          </cell>
        </row>
        <row r="9012">
          <cell r="D9012">
            <v>1921.68</v>
          </cell>
          <cell r="H9012">
            <v>45809</v>
          </cell>
          <cell r="I9012" t="str">
            <v>6055 - Employer Social Security Tax Withheld</v>
          </cell>
          <cell r="J9012" t="str">
            <v>Ecommerce (US)</v>
          </cell>
          <cell r="K9012" t="str">
            <v>Ecommerce</v>
          </cell>
          <cell r="L9012" t="str">
            <v>HQ Salaries</v>
          </cell>
          <cell r="N9012" t="str">
            <v>SG&amp;A</v>
          </cell>
          <cell r="O9012" t="str">
            <v>[No Vendor]</v>
          </cell>
        </row>
        <row r="9013">
          <cell r="D9013">
            <v>-324.20999999999998</v>
          </cell>
          <cell r="H9013">
            <v>45809</v>
          </cell>
          <cell r="I9013" t="str">
            <v>6040 - Employer Paid Benefits</v>
          </cell>
          <cell r="J9013" t="str">
            <v>Ecommerce (US)</v>
          </cell>
          <cell r="K9013" t="str">
            <v>Ecommerce</v>
          </cell>
          <cell r="L9013" t="str">
            <v>HQ Salaries</v>
          </cell>
          <cell r="N9013" t="str">
            <v>SG&amp;A</v>
          </cell>
          <cell r="O9013" t="str">
            <v>[No Vendor]</v>
          </cell>
        </row>
        <row r="9014">
          <cell r="D9014">
            <v>-442.41</v>
          </cell>
          <cell r="H9014">
            <v>45809</v>
          </cell>
          <cell r="I9014" t="str">
            <v>6040 - Employer Paid Benefits</v>
          </cell>
          <cell r="J9014">
            <v>0</v>
          </cell>
          <cell r="K9014" t="str">
            <v>Design</v>
          </cell>
          <cell r="L9014" t="str">
            <v>HQ Salaries</v>
          </cell>
          <cell r="N9014" t="str">
            <v>SG&amp;A</v>
          </cell>
          <cell r="O9014" t="str">
            <v>[No Vendor]</v>
          </cell>
        </row>
        <row r="9015">
          <cell r="D9015">
            <v>-226.35</v>
          </cell>
          <cell r="H9015">
            <v>45809</v>
          </cell>
          <cell r="I9015" t="str">
            <v>6040 - Employer Paid Benefits</v>
          </cell>
          <cell r="J9015">
            <v>0</v>
          </cell>
          <cell r="K9015" t="str">
            <v>Administration</v>
          </cell>
          <cell r="L9015" t="str">
            <v>HQ Salaries</v>
          </cell>
          <cell r="N9015" t="str">
            <v>SG&amp;A</v>
          </cell>
          <cell r="O9015" t="str">
            <v>[No Vendor]</v>
          </cell>
        </row>
        <row r="9016">
          <cell r="D9016">
            <v>-34.9</v>
          </cell>
          <cell r="H9016">
            <v>45809</v>
          </cell>
          <cell r="I9016" t="str">
            <v>6040 - Employer Paid Benefits</v>
          </cell>
          <cell r="J9016">
            <v>0</v>
          </cell>
          <cell r="K9016" t="str">
            <v>Merchandising</v>
          </cell>
          <cell r="L9016" t="str">
            <v>HQ Salaries</v>
          </cell>
          <cell r="N9016" t="str">
            <v>SG&amp;A</v>
          </cell>
          <cell r="O9016" t="str">
            <v>[No Vendor]</v>
          </cell>
        </row>
        <row r="9017">
          <cell r="D9017">
            <v>-34.9</v>
          </cell>
          <cell r="H9017">
            <v>45809</v>
          </cell>
          <cell r="I9017" t="str">
            <v>6040 - Employer Paid Benefits</v>
          </cell>
          <cell r="J9017" t="str">
            <v>Wholesale</v>
          </cell>
          <cell r="K9017" t="str">
            <v>Wholesale</v>
          </cell>
          <cell r="L9017" t="str">
            <v>HQ Salaries</v>
          </cell>
          <cell r="N9017" t="str">
            <v>SG&amp;A</v>
          </cell>
          <cell r="O9017" t="str">
            <v>[No Vendor]</v>
          </cell>
        </row>
        <row r="9018">
          <cell r="D9018">
            <v>-225.7</v>
          </cell>
          <cell r="H9018">
            <v>45809</v>
          </cell>
          <cell r="I9018" t="str">
            <v>6040 - Employer Paid Benefits</v>
          </cell>
          <cell r="J9018">
            <v>0</v>
          </cell>
          <cell r="K9018" t="str">
            <v>Production</v>
          </cell>
          <cell r="L9018" t="str">
            <v>HQ Salaries</v>
          </cell>
          <cell r="N9018" t="str">
            <v>SG&amp;A</v>
          </cell>
          <cell r="O9018" t="str">
            <v>[No Vendor]</v>
          </cell>
        </row>
        <row r="9019">
          <cell r="D9019">
            <v>-106.32</v>
          </cell>
          <cell r="H9019">
            <v>45809</v>
          </cell>
          <cell r="I9019" t="str">
            <v>6040 - Employer Paid Benefits</v>
          </cell>
          <cell r="J9019">
            <v>0</v>
          </cell>
          <cell r="K9019" t="str">
            <v>Brand Marketing</v>
          </cell>
          <cell r="L9019" t="str">
            <v>HQ Salaries</v>
          </cell>
          <cell r="N9019" t="str">
            <v>SG&amp;A</v>
          </cell>
          <cell r="O9019" t="str">
            <v>[No Vendor]</v>
          </cell>
        </row>
        <row r="9020">
          <cell r="D9020">
            <v>-332.52</v>
          </cell>
          <cell r="H9020">
            <v>45809</v>
          </cell>
          <cell r="I9020" t="str">
            <v>6040 - Employer Paid Benefits</v>
          </cell>
          <cell r="J9020">
            <v>0</v>
          </cell>
          <cell r="K9020" t="str">
            <v>Executive</v>
          </cell>
          <cell r="L9020" t="str">
            <v>HQ Salaries</v>
          </cell>
          <cell r="N9020" t="str">
            <v>SG&amp;A</v>
          </cell>
          <cell r="O9020" t="str">
            <v>[No Vendor]</v>
          </cell>
        </row>
        <row r="9021">
          <cell r="D9021">
            <v>20707.71</v>
          </cell>
          <cell r="H9021">
            <v>45809</v>
          </cell>
          <cell r="I9021" t="str">
            <v>6005 - Salaries</v>
          </cell>
          <cell r="J9021" t="str">
            <v>Ecommerce (US)</v>
          </cell>
          <cell r="K9021" t="str">
            <v>Ecommerce</v>
          </cell>
          <cell r="L9021" t="str">
            <v>HQ Salaries</v>
          </cell>
          <cell r="N9021" t="str">
            <v>SG&amp;A</v>
          </cell>
          <cell r="O9021" t="str">
            <v>[No Vendor]</v>
          </cell>
        </row>
        <row r="9022">
          <cell r="D9022">
            <v>22438.49</v>
          </cell>
          <cell r="H9022">
            <v>45809</v>
          </cell>
          <cell r="I9022" t="str">
            <v>6005 - Salaries</v>
          </cell>
          <cell r="J9022">
            <v>0</v>
          </cell>
          <cell r="K9022" t="str">
            <v>Design</v>
          </cell>
          <cell r="L9022" t="str">
            <v>HQ Salaries</v>
          </cell>
          <cell r="N9022" t="str">
            <v>SG&amp;A</v>
          </cell>
          <cell r="O9022" t="str">
            <v>[No Vendor]</v>
          </cell>
        </row>
        <row r="9023">
          <cell r="D9023">
            <v>27691.16</v>
          </cell>
          <cell r="H9023">
            <v>45809</v>
          </cell>
          <cell r="I9023" t="str">
            <v>6005 - Salaries</v>
          </cell>
          <cell r="J9023">
            <v>0</v>
          </cell>
          <cell r="K9023" t="str">
            <v>Administration</v>
          </cell>
          <cell r="L9023" t="str">
            <v>HQ Salaries</v>
          </cell>
          <cell r="N9023" t="str">
            <v>SG&amp;A</v>
          </cell>
          <cell r="O9023" t="str">
            <v>[No Vendor]</v>
          </cell>
        </row>
        <row r="9024">
          <cell r="D9024">
            <v>9053.85</v>
          </cell>
          <cell r="H9024">
            <v>45809</v>
          </cell>
          <cell r="I9024" t="str">
            <v>6005 - Salaries</v>
          </cell>
          <cell r="J9024">
            <v>0</v>
          </cell>
          <cell r="K9024" t="str">
            <v>Merchandising</v>
          </cell>
          <cell r="L9024" t="str">
            <v>HQ Salaries</v>
          </cell>
          <cell r="N9024" t="str">
            <v>SG&amp;A</v>
          </cell>
          <cell r="O9024" t="str">
            <v>[No Vendor]</v>
          </cell>
        </row>
        <row r="9025">
          <cell r="D9025">
            <v>3346.16</v>
          </cell>
          <cell r="H9025">
            <v>45809</v>
          </cell>
          <cell r="I9025" t="str">
            <v>6005 - Salaries</v>
          </cell>
          <cell r="J9025" t="str">
            <v>Wholesale</v>
          </cell>
          <cell r="K9025" t="str">
            <v>Wholesale</v>
          </cell>
          <cell r="L9025" t="str">
            <v>HQ Salaries</v>
          </cell>
          <cell r="N9025" t="str">
            <v>SG&amp;A</v>
          </cell>
          <cell r="O9025" t="str">
            <v>[No Vendor]</v>
          </cell>
        </row>
        <row r="9026">
          <cell r="D9026">
            <v>15146.16</v>
          </cell>
          <cell r="H9026">
            <v>45809</v>
          </cell>
          <cell r="I9026" t="str">
            <v>6005 - Salaries</v>
          </cell>
          <cell r="J9026">
            <v>0</v>
          </cell>
          <cell r="K9026" t="str">
            <v>Production</v>
          </cell>
          <cell r="L9026" t="str">
            <v>HQ Salaries</v>
          </cell>
          <cell r="N9026" t="str">
            <v>SG&amp;A</v>
          </cell>
          <cell r="O9026" t="str">
            <v>[No Vendor]</v>
          </cell>
        </row>
        <row r="9027">
          <cell r="D9027">
            <v>2884.62</v>
          </cell>
          <cell r="H9027">
            <v>45809</v>
          </cell>
          <cell r="I9027" t="str">
            <v>6005 - Salaries</v>
          </cell>
          <cell r="J9027">
            <v>0</v>
          </cell>
          <cell r="K9027" t="str">
            <v>Brand Marketing</v>
          </cell>
          <cell r="L9027" t="str">
            <v>HQ Salaries</v>
          </cell>
          <cell r="N9027" t="str">
            <v>SG&amp;A</v>
          </cell>
          <cell r="O9027" t="str">
            <v>[No Vendor]</v>
          </cell>
        </row>
        <row r="9028">
          <cell r="D9028">
            <v>232.8</v>
          </cell>
          <cell r="H9028">
            <v>45809</v>
          </cell>
          <cell r="I9028" t="str">
            <v>6375 - Freight Expenses</v>
          </cell>
          <cell r="J9028" t="str">
            <v>Wholesale</v>
          </cell>
          <cell r="K9028" t="str">
            <v>Wholesale</v>
          </cell>
          <cell r="L9028" t="str">
            <v>Freight</v>
          </cell>
          <cell r="N9028" t="str">
            <v>Direct Costs</v>
          </cell>
          <cell r="O9028" t="str">
            <v>UPS Supply Chain Solutions Inc. (7F24A0)</v>
          </cell>
        </row>
        <row r="9029">
          <cell r="D9029">
            <v>30546.25</v>
          </cell>
          <cell r="H9029">
            <v>45809</v>
          </cell>
          <cell r="I9029" t="str">
            <v>6375 - Freight Expenses</v>
          </cell>
          <cell r="J9029" t="str">
            <v>Ecommerce (US)</v>
          </cell>
          <cell r="K9029" t="str">
            <v>Ecommerce</v>
          </cell>
          <cell r="L9029" t="str">
            <v>Freight</v>
          </cell>
          <cell r="N9029" t="str">
            <v>Direct Costs</v>
          </cell>
          <cell r="O9029" t="str">
            <v>UPS Supply Chain Solutions Inc. (7F24A0)</v>
          </cell>
        </row>
        <row r="9030">
          <cell r="D9030">
            <v>126.5</v>
          </cell>
          <cell r="H9030">
            <v>45809</v>
          </cell>
          <cell r="I9030" t="str">
            <v>6040 - Employer Paid Benefits</v>
          </cell>
          <cell r="J9030">
            <v>0</v>
          </cell>
          <cell r="K9030" t="str">
            <v>Administration</v>
          </cell>
          <cell r="L9030" t="str">
            <v>HQ Salaries</v>
          </cell>
          <cell r="N9030" t="str">
            <v>SG&amp;A</v>
          </cell>
          <cell r="O9030" t="str">
            <v>Progressive Benefit Solutions LLC</v>
          </cell>
        </row>
        <row r="9031">
          <cell r="D9031">
            <v>13219.29</v>
          </cell>
          <cell r="H9031">
            <v>45809</v>
          </cell>
          <cell r="I9031" t="str">
            <v>6379 - Warehouse Storage</v>
          </cell>
          <cell r="J9031" t="str">
            <v>Ecommerce (US)</v>
          </cell>
          <cell r="K9031" t="str">
            <v>Ecommerce</v>
          </cell>
          <cell r="L9031" t="str">
            <v>Order Processing</v>
          </cell>
          <cell r="N9031" t="str">
            <v>Direct Costs</v>
          </cell>
          <cell r="O9031" t="str">
            <v>Bergen Logistics Corporation</v>
          </cell>
        </row>
        <row r="9032">
          <cell r="D9032">
            <v>3311.1</v>
          </cell>
          <cell r="H9032">
            <v>45809</v>
          </cell>
          <cell r="I9032" t="str">
            <v>6379 - Warehouse Storage</v>
          </cell>
          <cell r="J9032" t="str">
            <v>Wholesale</v>
          </cell>
          <cell r="K9032" t="str">
            <v>Wholesale</v>
          </cell>
          <cell r="L9032" t="str">
            <v>Order Processing</v>
          </cell>
          <cell r="N9032" t="str">
            <v>Direct Costs</v>
          </cell>
          <cell r="O9032" t="str">
            <v>Bergen Logistics Corporation</v>
          </cell>
        </row>
        <row r="9033">
          <cell r="D9033">
            <v>896.47</v>
          </cell>
          <cell r="H9033">
            <v>45809</v>
          </cell>
          <cell r="I9033" t="str">
            <v>6379 - Warehouse Storage</v>
          </cell>
          <cell r="J9033" t="str">
            <v>Ecommerce (EU)</v>
          </cell>
          <cell r="K9033" t="str">
            <v>Ecommerce</v>
          </cell>
          <cell r="L9033" t="str">
            <v>Order Processing</v>
          </cell>
          <cell r="N9033" t="str">
            <v>Direct Costs</v>
          </cell>
          <cell r="O9033" t="str">
            <v>Bergen Logistics Corporation</v>
          </cell>
        </row>
        <row r="9034">
          <cell r="D9034">
            <v>281.89999999999998</v>
          </cell>
          <cell r="H9034">
            <v>45809</v>
          </cell>
          <cell r="I9034" t="str">
            <v>6376 - Freight Supplies Other</v>
          </cell>
          <cell r="J9034" t="str">
            <v>Wholesale</v>
          </cell>
          <cell r="K9034" t="str">
            <v>Wholesale</v>
          </cell>
          <cell r="L9034" t="str">
            <v>Order Processing</v>
          </cell>
          <cell r="N9034" t="str">
            <v>Direct Costs</v>
          </cell>
          <cell r="O9034" t="str">
            <v>Bergen Logistics Corporation</v>
          </cell>
        </row>
        <row r="9035">
          <cell r="D9035">
            <v>249.09</v>
          </cell>
          <cell r="H9035">
            <v>45809</v>
          </cell>
          <cell r="I9035" t="str">
            <v>6376 - Freight Supplies Other</v>
          </cell>
          <cell r="J9035" t="str">
            <v>Ecommerce (EU)</v>
          </cell>
          <cell r="K9035" t="str">
            <v>Ecommerce</v>
          </cell>
          <cell r="L9035" t="str">
            <v>Order Processing</v>
          </cell>
          <cell r="N9035" t="str">
            <v>Direct Costs</v>
          </cell>
          <cell r="O9035" t="str">
            <v>Bergen Logistics Corporation</v>
          </cell>
        </row>
        <row r="9036">
          <cell r="D9036">
            <v>4452.57</v>
          </cell>
          <cell r="H9036">
            <v>45809</v>
          </cell>
          <cell r="I9036" t="str">
            <v>6376 - Freight Supplies Other</v>
          </cell>
          <cell r="J9036" t="str">
            <v>Ecommerce (US)</v>
          </cell>
          <cell r="K9036" t="str">
            <v>Ecommerce</v>
          </cell>
          <cell r="L9036" t="str">
            <v>Order Processing</v>
          </cell>
          <cell r="N9036" t="str">
            <v>Direct Costs</v>
          </cell>
          <cell r="O9036" t="str">
            <v>Bergen Logistics Corporation</v>
          </cell>
        </row>
        <row r="9037">
          <cell r="D9037">
            <v>8947.15</v>
          </cell>
          <cell r="H9037">
            <v>45809</v>
          </cell>
          <cell r="I9037" t="str">
            <v>6285 - SEM Brand Marketing</v>
          </cell>
          <cell r="J9037" t="str">
            <v>Ecommerce (US)</v>
          </cell>
          <cell r="K9037" t="str">
            <v>Brand Marketing</v>
          </cell>
          <cell r="L9037" t="str">
            <v>Advertising</v>
          </cell>
          <cell r="N9037" t="str">
            <v>SG&amp;A</v>
          </cell>
          <cell r="O9037" t="str">
            <v>Google</v>
          </cell>
        </row>
        <row r="9038">
          <cell r="D9038">
            <v>577.75</v>
          </cell>
          <cell r="H9038">
            <v>45809</v>
          </cell>
          <cell r="I9038" t="str">
            <v>6285 - SEM Brand Marketing</v>
          </cell>
          <cell r="J9038" t="str">
            <v>Ecommerce (EU)</v>
          </cell>
          <cell r="K9038" t="str">
            <v>Brand Marketing</v>
          </cell>
          <cell r="L9038" t="str">
            <v>Advertising</v>
          </cell>
          <cell r="N9038" t="str">
            <v>SG&amp;A</v>
          </cell>
          <cell r="O9038" t="str">
            <v>Google</v>
          </cell>
        </row>
        <row r="9039">
          <cell r="D9039">
            <v>1822.55</v>
          </cell>
          <cell r="H9039">
            <v>45809</v>
          </cell>
          <cell r="I9039" t="str">
            <v>6377 - Order Processing Expenses (New)</v>
          </cell>
          <cell r="J9039" t="str">
            <v>Wholesale</v>
          </cell>
          <cell r="K9039" t="str">
            <v>Wholesale</v>
          </cell>
          <cell r="L9039" t="str">
            <v>Order Processing</v>
          </cell>
          <cell r="N9039" t="str">
            <v>Direct Costs</v>
          </cell>
          <cell r="O9039" t="str">
            <v>Bergen Logistics Corporation</v>
          </cell>
        </row>
        <row r="9040">
          <cell r="D9040">
            <v>1138.1400000000001</v>
          </cell>
          <cell r="H9040">
            <v>45809</v>
          </cell>
          <cell r="I9040" t="str">
            <v>6377 - Order Processing Expenses (New)</v>
          </cell>
          <cell r="J9040" t="str">
            <v>Ecommerce (EU)</v>
          </cell>
          <cell r="K9040" t="str">
            <v>Ecommerce</v>
          </cell>
          <cell r="L9040" t="str">
            <v>Order Processing</v>
          </cell>
          <cell r="N9040" t="str">
            <v>Direct Costs</v>
          </cell>
          <cell r="O9040" t="str">
            <v>Bergen Logistics Corporation</v>
          </cell>
        </row>
        <row r="9041">
          <cell r="D9041">
            <v>25031.74</v>
          </cell>
          <cell r="H9041">
            <v>45809</v>
          </cell>
          <cell r="I9041" t="str">
            <v>6377 - Order Processing Expenses (New)</v>
          </cell>
          <cell r="J9041" t="str">
            <v>Ecommerce (US)</v>
          </cell>
          <cell r="K9041" t="str">
            <v>Ecommerce</v>
          </cell>
          <cell r="L9041" t="str">
            <v>Order Processing</v>
          </cell>
          <cell r="N9041" t="str">
            <v>Direct Costs</v>
          </cell>
          <cell r="O9041" t="str">
            <v>Bergen Logistics Corporation</v>
          </cell>
        </row>
        <row r="9042">
          <cell r="D9042">
            <v>88</v>
          </cell>
          <cell r="H9042">
            <v>45809</v>
          </cell>
          <cell r="I9042" t="str">
            <v>6393 - Software</v>
          </cell>
          <cell r="J9042" t="str">
            <v>Wholesale</v>
          </cell>
          <cell r="K9042" t="str">
            <v>Wholesale</v>
          </cell>
          <cell r="L9042" t="str">
            <v>Professional Service</v>
          </cell>
          <cell r="N9042" t="str">
            <v>Direct Costs</v>
          </cell>
          <cell r="O9042" t="str">
            <v>SPS Commerce</v>
          </cell>
        </row>
        <row r="9043">
          <cell r="D9043">
            <v>85187.93</v>
          </cell>
          <cell r="H9043">
            <v>45809</v>
          </cell>
          <cell r="I9043" t="str">
            <v>6286 - SEM</v>
          </cell>
          <cell r="J9043" t="str">
            <v>Ecommerce (US)</v>
          </cell>
          <cell r="K9043" t="str">
            <v>Ecommerce</v>
          </cell>
          <cell r="L9043" t="str">
            <v>Marketing</v>
          </cell>
          <cell r="N9043" t="str">
            <v>Direct Costs</v>
          </cell>
          <cell r="O9043" t="str">
            <v>Google</v>
          </cell>
        </row>
        <row r="9044">
          <cell r="D9044">
            <v>5362.63</v>
          </cell>
          <cell r="H9044">
            <v>45809</v>
          </cell>
          <cell r="I9044" t="str">
            <v>6286 - SEM</v>
          </cell>
          <cell r="J9044" t="str">
            <v>Ecommerce (EU)</v>
          </cell>
          <cell r="K9044" t="str">
            <v>Ecommerce</v>
          </cell>
          <cell r="L9044" t="str">
            <v>Marketing</v>
          </cell>
          <cell r="N9044" t="str">
            <v>Direct Costs</v>
          </cell>
          <cell r="O9044" t="str">
            <v>Google</v>
          </cell>
        </row>
        <row r="9045">
          <cell r="D9045">
            <v>2086.81</v>
          </cell>
          <cell r="H9045">
            <v>45809</v>
          </cell>
          <cell r="I9045" t="str">
            <v>6286 - SEM</v>
          </cell>
          <cell r="J9045" t="str">
            <v>Ecommerce (EU)</v>
          </cell>
          <cell r="K9045" t="str">
            <v>Ecommerce</v>
          </cell>
          <cell r="L9045" t="str">
            <v>Marketing</v>
          </cell>
          <cell r="N9045" t="str">
            <v>Direct Costs</v>
          </cell>
          <cell r="O9045" t="str">
            <v>Meta Platforms, Inc</v>
          </cell>
        </row>
        <row r="9046">
          <cell r="D9046">
            <v>1172.1400000000001</v>
          </cell>
          <cell r="H9046">
            <v>45809</v>
          </cell>
          <cell r="I9046" t="str">
            <v>6286 - SEM</v>
          </cell>
          <cell r="J9046" t="str">
            <v>Ecommerce (EU)</v>
          </cell>
          <cell r="K9046" t="str">
            <v>Ecommerce</v>
          </cell>
          <cell r="L9046" t="str">
            <v>Marketing</v>
          </cell>
          <cell r="N9046" t="str">
            <v>Direct Costs</v>
          </cell>
          <cell r="O9046" t="str">
            <v>Meta Platforms, Inc</v>
          </cell>
        </row>
        <row r="9047">
          <cell r="D9047">
            <v>9327.06</v>
          </cell>
          <cell r="H9047">
            <v>45809</v>
          </cell>
          <cell r="I9047" t="str">
            <v>6286 - SEM</v>
          </cell>
          <cell r="J9047" t="str">
            <v>Ecommerce (EU)</v>
          </cell>
          <cell r="K9047" t="str">
            <v>Ecommerce</v>
          </cell>
          <cell r="L9047" t="str">
            <v>Marketing</v>
          </cell>
          <cell r="N9047" t="str">
            <v>Direct Costs</v>
          </cell>
          <cell r="O9047" t="str">
            <v>Meta Platforms, Inc</v>
          </cell>
        </row>
        <row r="9048">
          <cell r="D9048">
            <v>1673.4</v>
          </cell>
          <cell r="H9048">
            <v>45809</v>
          </cell>
          <cell r="I9048" t="str">
            <v>6286 - SEM</v>
          </cell>
          <cell r="J9048" t="str">
            <v>Ecommerce (EU)</v>
          </cell>
          <cell r="K9048" t="str">
            <v>Ecommerce</v>
          </cell>
          <cell r="L9048" t="str">
            <v>Marketing</v>
          </cell>
          <cell r="N9048" t="str">
            <v>Direct Costs</v>
          </cell>
          <cell r="O9048" t="str">
            <v>Meta Platforms, Inc</v>
          </cell>
        </row>
        <row r="9049">
          <cell r="D9049">
            <v>1351.52</v>
          </cell>
          <cell r="H9049">
            <v>45809</v>
          </cell>
          <cell r="I9049" t="str">
            <v>6286 - SEM</v>
          </cell>
          <cell r="J9049" t="str">
            <v>Ecommerce (EU)</v>
          </cell>
          <cell r="K9049" t="str">
            <v>Ecommerce</v>
          </cell>
          <cell r="L9049" t="str">
            <v>Marketing</v>
          </cell>
          <cell r="N9049" t="str">
            <v>Direct Costs</v>
          </cell>
          <cell r="O9049" t="str">
            <v>Meta Platforms, Inc</v>
          </cell>
        </row>
        <row r="9050">
          <cell r="D9050">
            <v>3224.24</v>
          </cell>
          <cell r="H9050">
            <v>45809</v>
          </cell>
          <cell r="I9050" t="str">
            <v>6286 - SEM</v>
          </cell>
          <cell r="J9050" t="str">
            <v>Ecommerce (EU)</v>
          </cell>
          <cell r="K9050" t="str">
            <v>Ecommerce</v>
          </cell>
          <cell r="L9050" t="str">
            <v>Marketing</v>
          </cell>
          <cell r="N9050" t="str">
            <v>Direct Costs</v>
          </cell>
          <cell r="O9050" t="str">
            <v>Meta Platforms, Inc</v>
          </cell>
        </row>
        <row r="9051">
          <cell r="D9051">
            <v>1960.85</v>
          </cell>
          <cell r="H9051">
            <v>45809</v>
          </cell>
          <cell r="I9051" t="str">
            <v>6286 - SEM</v>
          </cell>
          <cell r="J9051" t="str">
            <v>Ecommerce (US)</v>
          </cell>
          <cell r="K9051" t="str">
            <v>Ecommerce</v>
          </cell>
          <cell r="L9051" t="str">
            <v>Marketing</v>
          </cell>
          <cell r="N9051" t="str">
            <v>Direct Costs</v>
          </cell>
          <cell r="O9051" t="str">
            <v>Meta Platforms, Inc</v>
          </cell>
        </row>
        <row r="9052">
          <cell r="D9052">
            <v>7995.04</v>
          </cell>
          <cell r="H9052">
            <v>45809</v>
          </cell>
          <cell r="I9052" t="str">
            <v>6286 - SEM</v>
          </cell>
          <cell r="J9052" t="str">
            <v>Ecommerce (US)</v>
          </cell>
          <cell r="K9052" t="str">
            <v>Ecommerce</v>
          </cell>
          <cell r="L9052" t="str">
            <v>Marketing</v>
          </cell>
          <cell r="N9052" t="str">
            <v>Direct Costs</v>
          </cell>
          <cell r="O9052" t="str">
            <v>Meta Platforms, Inc</v>
          </cell>
        </row>
        <row r="9053">
          <cell r="D9053">
            <v>-0.05</v>
          </cell>
          <cell r="H9053">
            <v>45809</v>
          </cell>
          <cell r="I9053" t="str">
            <v>6286 - SEM</v>
          </cell>
          <cell r="J9053" t="str">
            <v>Ecommerce (US)</v>
          </cell>
          <cell r="K9053" t="str">
            <v>Ecommerce</v>
          </cell>
          <cell r="L9053" t="str">
            <v>Marketing</v>
          </cell>
          <cell r="N9053" t="str">
            <v>Direct Costs</v>
          </cell>
          <cell r="O9053" t="str">
            <v>Meta Platforms, Inc</v>
          </cell>
        </row>
        <row r="9054">
          <cell r="D9054">
            <v>9510.0400000000009</v>
          </cell>
          <cell r="H9054">
            <v>45809</v>
          </cell>
          <cell r="I9054" t="str">
            <v>6286 - SEM</v>
          </cell>
          <cell r="J9054" t="str">
            <v>Ecommerce (US)</v>
          </cell>
          <cell r="K9054" t="str">
            <v>Ecommerce</v>
          </cell>
          <cell r="L9054" t="str">
            <v>Marketing</v>
          </cell>
          <cell r="N9054" t="str">
            <v>Direct Costs</v>
          </cell>
          <cell r="O9054" t="str">
            <v>Meta Platforms, Inc</v>
          </cell>
        </row>
        <row r="9055">
          <cell r="D9055">
            <v>40896.43</v>
          </cell>
          <cell r="H9055">
            <v>45809</v>
          </cell>
          <cell r="I9055" t="str">
            <v>6286 - SEM</v>
          </cell>
          <cell r="J9055" t="str">
            <v>Ecommerce (US)</v>
          </cell>
          <cell r="K9055" t="str">
            <v>Ecommerce</v>
          </cell>
          <cell r="L9055" t="str">
            <v>Marketing</v>
          </cell>
          <cell r="N9055" t="str">
            <v>Direct Costs</v>
          </cell>
          <cell r="O9055" t="str">
            <v>Meta Platforms, Inc</v>
          </cell>
        </row>
        <row r="9056">
          <cell r="D9056">
            <v>1749.1</v>
          </cell>
          <cell r="H9056">
            <v>45809</v>
          </cell>
          <cell r="I9056" t="str">
            <v>6286 - SEM</v>
          </cell>
          <cell r="J9056" t="str">
            <v>Ecommerce (US)</v>
          </cell>
          <cell r="K9056" t="str">
            <v>Ecommerce</v>
          </cell>
          <cell r="L9056" t="str">
            <v>Marketing</v>
          </cell>
          <cell r="N9056" t="str">
            <v>Direct Costs</v>
          </cell>
          <cell r="O9056" t="str">
            <v>Meta Platforms, Inc</v>
          </cell>
        </row>
        <row r="9057">
          <cell r="D9057">
            <v>8695.61</v>
          </cell>
          <cell r="H9057">
            <v>45809</v>
          </cell>
          <cell r="I9057" t="str">
            <v>6286 - SEM</v>
          </cell>
          <cell r="J9057" t="str">
            <v>Ecommerce (US)</v>
          </cell>
          <cell r="K9057" t="str">
            <v>Ecommerce</v>
          </cell>
          <cell r="L9057" t="str">
            <v>Marketing</v>
          </cell>
          <cell r="N9057" t="str">
            <v>Direct Costs</v>
          </cell>
          <cell r="O9057" t="str">
            <v>Meta Platforms, Inc</v>
          </cell>
        </row>
        <row r="9058">
          <cell r="D9058">
            <v>13877.69</v>
          </cell>
          <cell r="H9058">
            <v>45809</v>
          </cell>
          <cell r="I9058" t="str">
            <v>6286 - SEM</v>
          </cell>
          <cell r="J9058" t="str">
            <v>Ecommerce (US)</v>
          </cell>
          <cell r="K9058" t="str">
            <v>Ecommerce</v>
          </cell>
          <cell r="L9058" t="str">
            <v>Marketing</v>
          </cell>
          <cell r="N9058" t="str">
            <v>Direct Costs</v>
          </cell>
          <cell r="O9058" t="str">
            <v>Meta Platforms, Inc</v>
          </cell>
        </row>
        <row r="9059">
          <cell r="D9059">
            <v>41790.78</v>
          </cell>
          <cell r="H9059">
            <v>45809</v>
          </cell>
          <cell r="I9059" t="str">
            <v>6286 - SEM</v>
          </cell>
          <cell r="J9059" t="str">
            <v>Ecommerce (US)</v>
          </cell>
          <cell r="K9059" t="str">
            <v>Ecommerce</v>
          </cell>
          <cell r="L9059" t="str">
            <v>Marketing</v>
          </cell>
          <cell r="N9059" t="str">
            <v>Direct Costs</v>
          </cell>
          <cell r="O9059" t="str">
            <v>Meta Platforms, Inc</v>
          </cell>
        </row>
        <row r="9060">
          <cell r="D9060">
            <v>14893.18</v>
          </cell>
          <cell r="H9060">
            <v>45809</v>
          </cell>
          <cell r="I9060" t="str">
            <v>6286 - SEM</v>
          </cell>
          <cell r="J9060" t="str">
            <v>Ecommerce (US)</v>
          </cell>
          <cell r="K9060" t="str">
            <v>Ecommerce</v>
          </cell>
          <cell r="L9060" t="str">
            <v>Marketing</v>
          </cell>
          <cell r="N9060" t="str">
            <v>Direct Costs</v>
          </cell>
          <cell r="O9060" t="str">
            <v>Meta Platforms, Inc</v>
          </cell>
        </row>
        <row r="9061">
          <cell r="D9061">
            <v>7988.04</v>
          </cell>
          <cell r="H9061">
            <v>45809</v>
          </cell>
          <cell r="I9061" t="str">
            <v>6286 - SEM</v>
          </cell>
          <cell r="J9061" t="str">
            <v>Ecommerce (US)</v>
          </cell>
          <cell r="K9061" t="str">
            <v>Ecommerce</v>
          </cell>
          <cell r="L9061" t="str">
            <v>Marketing</v>
          </cell>
          <cell r="N9061" t="str">
            <v>Direct Costs</v>
          </cell>
          <cell r="O9061" t="str">
            <v>Meta Platforms, Inc</v>
          </cell>
        </row>
        <row r="9062">
          <cell r="D9062">
            <v>2100</v>
          </cell>
          <cell r="H9062">
            <v>45809</v>
          </cell>
          <cell r="I9062" t="str">
            <v>6360 - Model - Fitting</v>
          </cell>
          <cell r="J9062">
            <v>0</v>
          </cell>
          <cell r="K9062" t="str">
            <v>Production</v>
          </cell>
          <cell r="L9062" t="str">
            <v>Sample</v>
          </cell>
          <cell r="N9062" t="str">
            <v>SG&amp;A</v>
          </cell>
          <cell r="O9062" t="str">
            <v>Lanny K.W. Inc.</v>
          </cell>
        </row>
        <row r="9063">
          <cell r="D9063">
            <v>10445.06</v>
          </cell>
          <cell r="H9063">
            <v>45809</v>
          </cell>
          <cell r="I9063" t="str">
            <v>6380 - Legal &amp; Accounting</v>
          </cell>
          <cell r="J9063">
            <v>0</v>
          </cell>
          <cell r="K9063" t="str">
            <v>Administration</v>
          </cell>
          <cell r="L9063" t="str">
            <v>Professional Service</v>
          </cell>
          <cell r="N9063" t="str">
            <v>SG&amp;A</v>
          </cell>
          <cell r="O9063" t="str">
            <v>The Wave IP Law Firm</v>
          </cell>
        </row>
        <row r="9064">
          <cell r="D9064">
            <v>123.07</v>
          </cell>
          <cell r="H9064">
            <v>45809</v>
          </cell>
          <cell r="I9064" t="str">
            <v>6340 - Miscellaneous Expense</v>
          </cell>
          <cell r="J9064">
            <v>0</v>
          </cell>
          <cell r="K9064" t="str">
            <v>Administration</v>
          </cell>
          <cell r="L9064" t="str">
            <v>Other</v>
          </cell>
          <cell r="N9064" t="str">
            <v>SG&amp;A</v>
          </cell>
          <cell r="O9064" t="str">
            <v>Amazon Capital Services</v>
          </cell>
        </row>
        <row r="9065">
          <cell r="D9065">
            <v>1083.96</v>
          </cell>
          <cell r="H9065">
            <v>45809</v>
          </cell>
          <cell r="I9065" t="str">
            <v>6340 - Miscellaneous Expense</v>
          </cell>
          <cell r="J9065">
            <v>0</v>
          </cell>
          <cell r="K9065" t="str">
            <v>Administration</v>
          </cell>
          <cell r="L9065" t="str">
            <v>Other</v>
          </cell>
          <cell r="N9065" t="str">
            <v>SG&amp;A</v>
          </cell>
          <cell r="O9065" t="str">
            <v>Amazon Capital Services</v>
          </cell>
        </row>
        <row r="9066">
          <cell r="D9066">
            <v>256.8</v>
          </cell>
          <cell r="H9066">
            <v>45809</v>
          </cell>
          <cell r="I9066" t="str">
            <v>6340 - Miscellaneous Expense</v>
          </cell>
          <cell r="J9066">
            <v>0</v>
          </cell>
          <cell r="K9066" t="str">
            <v>Administration</v>
          </cell>
          <cell r="L9066" t="str">
            <v>Other</v>
          </cell>
          <cell r="N9066" t="str">
            <v>SG&amp;A</v>
          </cell>
          <cell r="O9066" t="str">
            <v>[No Vendor]</v>
          </cell>
        </row>
        <row r="9067">
          <cell r="D9067">
            <v>12164.55</v>
          </cell>
          <cell r="H9067">
            <v>45809</v>
          </cell>
          <cell r="I9067" t="str">
            <v>6215 - Recruitment</v>
          </cell>
          <cell r="J9067" t="str">
            <v>Ecommerce (US)</v>
          </cell>
          <cell r="K9067" t="str">
            <v>Ecommerce</v>
          </cell>
          <cell r="L9067" t="str">
            <v>Professional Service</v>
          </cell>
          <cell r="N9067" t="str">
            <v>SG&amp;A</v>
          </cell>
          <cell r="O9067" t="str">
            <v>F&amp;F Korea</v>
          </cell>
        </row>
        <row r="9068">
          <cell r="D9068">
            <v>10239.790000000001</v>
          </cell>
          <cell r="H9068">
            <v>45809</v>
          </cell>
          <cell r="I9068" t="str">
            <v>6205 - Contractors</v>
          </cell>
          <cell r="J9068">
            <v>0</v>
          </cell>
          <cell r="K9068" t="str">
            <v>Production</v>
          </cell>
          <cell r="L9068" t="str">
            <v>HQ Salaries</v>
          </cell>
          <cell r="N9068" t="str">
            <v>SG&amp;A</v>
          </cell>
          <cell r="O9068" t="str">
            <v>Philip Yau</v>
          </cell>
        </row>
        <row r="9069">
          <cell r="D9069">
            <v>500</v>
          </cell>
          <cell r="H9069">
            <v>45809</v>
          </cell>
          <cell r="I9069" t="str">
            <v>6225 - Professional Services</v>
          </cell>
          <cell r="J9069" t="str">
            <v>Ecommerce (US)</v>
          </cell>
          <cell r="K9069" t="str">
            <v>Ecommerce</v>
          </cell>
          <cell r="L9069" t="str">
            <v>Professional Service</v>
          </cell>
          <cell r="N9069" t="str">
            <v>Direct Costs</v>
          </cell>
          <cell r="O9069" t="str">
            <v>Rareview, LLC</v>
          </cell>
        </row>
        <row r="9070">
          <cell r="D9070">
            <v>13412.77</v>
          </cell>
          <cell r="H9070">
            <v>45809</v>
          </cell>
          <cell r="I9070" t="str">
            <v>6225 - Professional Services</v>
          </cell>
          <cell r="J9070" t="str">
            <v>Ecommerce (US)</v>
          </cell>
          <cell r="K9070" t="str">
            <v>Ecommerce</v>
          </cell>
          <cell r="L9070" t="str">
            <v>Professional Service</v>
          </cell>
          <cell r="N9070" t="str">
            <v>Direct Costs</v>
          </cell>
          <cell r="O9070" t="str">
            <v>Rareview, LLC</v>
          </cell>
        </row>
        <row r="9071">
          <cell r="D9071">
            <v>840</v>
          </cell>
          <cell r="H9071">
            <v>45809</v>
          </cell>
          <cell r="I9071" t="str">
            <v>6225 - Professional Services</v>
          </cell>
          <cell r="J9071" t="str">
            <v>Ecommerce (US)</v>
          </cell>
          <cell r="K9071" t="str">
            <v>Ecommerce</v>
          </cell>
          <cell r="L9071" t="str">
            <v>Professional Service</v>
          </cell>
          <cell r="N9071" t="str">
            <v>Direct Costs</v>
          </cell>
          <cell r="O9071" t="str">
            <v>Rareview, LLC</v>
          </cell>
        </row>
        <row r="9072">
          <cell r="D9072">
            <v>134.25</v>
          </cell>
          <cell r="H9072">
            <v>45809</v>
          </cell>
          <cell r="I9072" t="str">
            <v>6225 - Professional Services</v>
          </cell>
          <cell r="J9072">
            <v>0</v>
          </cell>
          <cell r="K9072" t="str">
            <v>Administration</v>
          </cell>
          <cell r="L9072" t="str">
            <v>Professional Service</v>
          </cell>
          <cell r="N9072" t="str">
            <v>Direct Costs</v>
          </cell>
          <cell r="O9072" t="str">
            <v>Benefit Resource, LLC</v>
          </cell>
        </row>
        <row r="9073">
          <cell r="D9073">
            <v>13.75</v>
          </cell>
          <cell r="H9073">
            <v>45809</v>
          </cell>
          <cell r="I9073" t="str">
            <v>6225 - Professional Services</v>
          </cell>
          <cell r="J9073">
            <v>0</v>
          </cell>
          <cell r="K9073" t="str">
            <v>Administration</v>
          </cell>
          <cell r="L9073" t="str">
            <v>Professional Service</v>
          </cell>
          <cell r="N9073" t="str">
            <v>Direct Costs</v>
          </cell>
          <cell r="O9073" t="str">
            <v>Benefit Resource, LLC</v>
          </cell>
        </row>
        <row r="9074">
          <cell r="D9074">
            <v>27</v>
          </cell>
          <cell r="H9074">
            <v>45809</v>
          </cell>
          <cell r="I9074" t="str">
            <v>6225 - Professional Services</v>
          </cell>
          <cell r="J9074">
            <v>0</v>
          </cell>
          <cell r="K9074" t="str">
            <v>Administration</v>
          </cell>
          <cell r="L9074" t="str">
            <v>Professional Service</v>
          </cell>
          <cell r="N9074" t="str">
            <v>Direct Costs</v>
          </cell>
          <cell r="O9074" t="str">
            <v>Benefit Resource, LLC</v>
          </cell>
        </row>
        <row r="9075">
          <cell r="D9075">
            <v>465.65</v>
          </cell>
          <cell r="H9075">
            <v>45809</v>
          </cell>
          <cell r="I9075" t="str">
            <v>6375 - Freight Expenses</v>
          </cell>
          <cell r="J9075">
            <v>0</v>
          </cell>
          <cell r="K9075" t="str">
            <v>Production</v>
          </cell>
          <cell r="L9075" t="str">
            <v>Freight</v>
          </cell>
          <cell r="N9075" t="str">
            <v>Direct Costs</v>
          </cell>
          <cell r="O9075" t="str">
            <v>DHL Express - USA</v>
          </cell>
        </row>
        <row r="9076">
          <cell r="D9076">
            <v>94.22</v>
          </cell>
          <cell r="H9076">
            <v>45809</v>
          </cell>
          <cell r="I9076" t="str">
            <v>6375 - Freight Expenses</v>
          </cell>
          <cell r="J9076">
            <v>0</v>
          </cell>
          <cell r="K9076" t="str">
            <v>Production</v>
          </cell>
          <cell r="L9076" t="str">
            <v>Freight</v>
          </cell>
          <cell r="N9076" t="str">
            <v>Direct Costs</v>
          </cell>
          <cell r="O9076" t="str">
            <v>DHL Express - USA</v>
          </cell>
        </row>
        <row r="9077">
          <cell r="D9077">
            <v>20</v>
          </cell>
          <cell r="H9077">
            <v>45809</v>
          </cell>
          <cell r="I9077" t="str">
            <v>6040 - Employer Paid Benefits</v>
          </cell>
          <cell r="J9077">
            <v>0</v>
          </cell>
          <cell r="K9077" t="str">
            <v>Administration</v>
          </cell>
          <cell r="L9077" t="str">
            <v>HQ Salaries</v>
          </cell>
          <cell r="N9077" t="str">
            <v>SG&amp;A</v>
          </cell>
          <cell r="O9077" t="str">
            <v>Progressive Benefit Solutions LLC</v>
          </cell>
        </row>
        <row r="9078">
          <cell r="D9078">
            <v>-17.559999999999999</v>
          </cell>
          <cell r="H9078">
            <v>45809</v>
          </cell>
          <cell r="I9078" t="str">
            <v>6340 - Miscellaneous Expense</v>
          </cell>
          <cell r="J9078">
            <v>0</v>
          </cell>
          <cell r="K9078" t="str">
            <v>No Department</v>
          </cell>
          <cell r="L9078" t="str">
            <v>Other</v>
          </cell>
          <cell r="N9078" t="str">
            <v>SG&amp;A</v>
          </cell>
          <cell r="O9078" t="str">
            <v>Amazon Capital Services</v>
          </cell>
        </row>
        <row r="9079">
          <cell r="D9079">
            <v>-382</v>
          </cell>
          <cell r="H9079">
            <v>45809</v>
          </cell>
          <cell r="I9079" t="str">
            <v>6340 - Miscellaneous Expense</v>
          </cell>
          <cell r="J9079">
            <v>0</v>
          </cell>
          <cell r="K9079" t="str">
            <v>No Department</v>
          </cell>
          <cell r="L9079" t="str">
            <v>Other</v>
          </cell>
          <cell r="N9079" t="str">
            <v>SG&amp;A</v>
          </cell>
          <cell r="O9079" t="str">
            <v>Amazon Capital Services</v>
          </cell>
        </row>
        <row r="9080">
          <cell r="D9080">
            <v>-7.62</v>
          </cell>
          <cell r="H9080">
            <v>45809</v>
          </cell>
          <cell r="I9080" t="str">
            <v>6340 - Miscellaneous Expense</v>
          </cell>
          <cell r="J9080">
            <v>0</v>
          </cell>
          <cell r="K9080" t="str">
            <v>No Department</v>
          </cell>
          <cell r="L9080" t="str">
            <v>Other</v>
          </cell>
          <cell r="N9080" t="str">
            <v>SG&amp;A</v>
          </cell>
          <cell r="O9080" t="str">
            <v>Amazon Capital Services</v>
          </cell>
        </row>
        <row r="9081">
          <cell r="D9081">
            <v>-30000</v>
          </cell>
          <cell r="H9081">
            <v>45809</v>
          </cell>
          <cell r="I9081" t="str">
            <v>4010 - Revenue - Licensing Fees (Royalties)</v>
          </cell>
          <cell r="J9081">
            <v>0</v>
          </cell>
          <cell r="K9081" t="str">
            <v>Licensing</v>
          </cell>
          <cell r="L9081" t="str">
            <v>License</v>
          </cell>
          <cell r="N9081" t="str">
            <v>Revenue</v>
          </cell>
          <cell r="O9081" t="str">
            <v>[No Vendor]</v>
          </cell>
        </row>
        <row r="9082">
          <cell r="D9082">
            <v>6521.04</v>
          </cell>
          <cell r="H9082">
            <v>45809</v>
          </cell>
          <cell r="I9082" t="str">
            <v>6451 - Service Processing Fee</v>
          </cell>
          <cell r="J9082" t="str">
            <v>Ecommerce (US)</v>
          </cell>
          <cell r="K9082" t="str">
            <v>Ecommerce</v>
          </cell>
          <cell r="L9082" t="str">
            <v>Professional Service</v>
          </cell>
          <cell r="N9082" t="str">
            <v>Direct Costs</v>
          </cell>
          <cell r="O9082" t="str">
            <v>Amazon</v>
          </cell>
        </row>
        <row r="9083">
          <cell r="D9083">
            <v>52595.01</v>
          </cell>
          <cell r="H9083">
            <v>45809</v>
          </cell>
          <cell r="I9083" t="str">
            <v>6451 - Service Processing Fee</v>
          </cell>
          <cell r="J9083" t="str">
            <v>Ecommerce (US)</v>
          </cell>
          <cell r="K9083" t="str">
            <v>Ecommerce</v>
          </cell>
          <cell r="L9083" t="str">
            <v>Professional Service</v>
          </cell>
          <cell r="N9083" t="str">
            <v>Direct Costs</v>
          </cell>
          <cell r="O9083" t="str">
            <v>Shopify</v>
          </cell>
        </row>
        <row r="9084">
          <cell r="D9084">
            <v>4637.21</v>
          </cell>
          <cell r="H9084">
            <v>45809</v>
          </cell>
          <cell r="I9084" t="str">
            <v>6451 - Service Processing Fee</v>
          </cell>
          <cell r="J9084" t="str">
            <v>Ecommerce (EU)</v>
          </cell>
          <cell r="K9084" t="str">
            <v>Ecommerce</v>
          </cell>
          <cell r="L9084" t="str">
            <v>Professional Service</v>
          </cell>
          <cell r="N9084" t="str">
            <v>Direct Costs</v>
          </cell>
          <cell r="O9084" t="str">
            <v>[No Vendor]</v>
          </cell>
        </row>
        <row r="9085">
          <cell r="D9085">
            <v>400000</v>
          </cell>
          <cell r="H9085">
            <v>45809</v>
          </cell>
          <cell r="I9085" t="str">
            <v>8700 - Other Expense</v>
          </cell>
          <cell r="J9085">
            <v>0</v>
          </cell>
          <cell r="K9085" t="str">
            <v>Administration</v>
          </cell>
          <cell r="L9085" t="str">
            <v>Other Expense</v>
          </cell>
          <cell r="N9085" t="str">
            <v>BTL</v>
          </cell>
          <cell r="O9085" t="str">
            <v>[No Vendor]</v>
          </cell>
        </row>
        <row r="9086">
          <cell r="D9086">
            <v>102436.95</v>
          </cell>
          <cell r="H9086">
            <v>45809</v>
          </cell>
          <cell r="I9086" t="str">
            <v>8700 - Other Expense</v>
          </cell>
          <cell r="J9086" t="str">
            <v>Ecommerce (US)</v>
          </cell>
          <cell r="K9086" t="str">
            <v>Ecommerce</v>
          </cell>
          <cell r="L9086" t="str">
            <v>Other Expense</v>
          </cell>
          <cell r="N9086" t="str">
            <v>BTL</v>
          </cell>
          <cell r="O9086" t="str">
            <v>[No Vendor]</v>
          </cell>
        </row>
        <row r="9087">
          <cell r="D9087">
            <v>3212.37</v>
          </cell>
          <cell r="H9087">
            <v>45809</v>
          </cell>
          <cell r="I9087" t="str">
            <v>6445 - Inventory Write Down</v>
          </cell>
          <cell r="J9087" t="str">
            <v>Ecommerce (US)</v>
          </cell>
          <cell r="K9087" t="str">
            <v>Ecommerce</v>
          </cell>
          <cell r="L9087" t="str">
            <v>Other</v>
          </cell>
          <cell r="N9087" t="str">
            <v>SG&amp;A</v>
          </cell>
          <cell r="O9087" t="str">
            <v>[No Vendor]</v>
          </cell>
        </row>
        <row r="9088">
          <cell r="D9088">
            <v>803.09</v>
          </cell>
          <cell r="H9088">
            <v>45809</v>
          </cell>
          <cell r="I9088" t="str">
            <v>6445 - Inventory Write Down</v>
          </cell>
          <cell r="J9088" t="str">
            <v>Wholesale</v>
          </cell>
          <cell r="K9088" t="str">
            <v>Wholesale</v>
          </cell>
          <cell r="L9088" t="str">
            <v>Other</v>
          </cell>
          <cell r="N9088" t="str">
            <v>SG&amp;A</v>
          </cell>
          <cell r="O9088" t="str">
            <v>[No Vendor]</v>
          </cell>
        </row>
        <row r="9089">
          <cell r="D9089">
            <v>10754.83</v>
          </cell>
          <cell r="H9089">
            <v>45809</v>
          </cell>
          <cell r="I9089" t="str">
            <v>4052 - Sales Revenue - Wholesale (US)</v>
          </cell>
          <cell r="J9089" t="str">
            <v>Wholesale</v>
          </cell>
          <cell r="K9089" t="str">
            <v>Wholesale</v>
          </cell>
          <cell r="L9089" t="str">
            <v>Wholesale</v>
          </cell>
          <cell r="N9089" t="str">
            <v>Revenue</v>
          </cell>
          <cell r="O9089" t="str">
            <v>[No Vendor]</v>
          </cell>
        </row>
        <row r="9090">
          <cell r="D9090">
            <v>-64731</v>
          </cell>
          <cell r="H9090">
            <v>45809</v>
          </cell>
          <cell r="I9090" t="str">
            <v>4052 - Sales Revenue - Wholesale (US)</v>
          </cell>
          <cell r="J9090" t="str">
            <v>Wholesale</v>
          </cell>
          <cell r="K9090" t="str">
            <v>Wholesale</v>
          </cell>
          <cell r="L9090" t="str">
            <v>Wholesale</v>
          </cell>
          <cell r="N9090" t="str">
            <v>Revenue</v>
          </cell>
          <cell r="O9090" t="str">
            <v>[No Vendor]</v>
          </cell>
        </row>
        <row r="9091">
          <cell r="D9091">
            <v>-49866.400000000001</v>
          </cell>
          <cell r="H9091">
            <v>45809</v>
          </cell>
          <cell r="I9091" t="str">
            <v>4050 - Sales Revenue - Ecommerce (US)</v>
          </cell>
          <cell r="J9091" t="str">
            <v>Ecommerce (US)</v>
          </cell>
          <cell r="K9091" t="str">
            <v>Ecommerce</v>
          </cell>
          <cell r="L9091" t="str">
            <v>Ecommerce (US)</v>
          </cell>
          <cell r="N9091" t="str">
            <v>Revenue</v>
          </cell>
          <cell r="O9091" t="str">
            <v>[No Vendor]</v>
          </cell>
        </row>
        <row r="9092">
          <cell r="D9092">
            <v>-1628560.31</v>
          </cell>
          <cell r="H9092">
            <v>45809</v>
          </cell>
          <cell r="I9092" t="str">
            <v>4050 - Sales Revenue - Ecommerce (US)</v>
          </cell>
          <cell r="J9092" t="str">
            <v>Ecommerce (US)</v>
          </cell>
          <cell r="K9092" t="str">
            <v>Ecommerce</v>
          </cell>
          <cell r="L9092" t="str">
            <v>Ecommerce (US)</v>
          </cell>
          <cell r="N9092" t="str">
            <v>Revenue</v>
          </cell>
          <cell r="O9092" t="str">
            <v>[No Vendor]</v>
          </cell>
        </row>
        <row r="9093">
          <cell r="D9093">
            <v>0</v>
          </cell>
          <cell r="H9093">
            <v>45809</v>
          </cell>
          <cell r="I9093" t="str">
            <v>6041 - Employee Benefit Other</v>
          </cell>
          <cell r="J9093">
            <v>0</v>
          </cell>
          <cell r="K9093" t="str">
            <v>Merchandising</v>
          </cell>
          <cell r="L9093" t="str">
            <v>HQ Salaries</v>
          </cell>
          <cell r="N9093" t="str">
            <v>SG&amp;A</v>
          </cell>
          <cell r="O9093" t="str">
            <v>[No Vendor]</v>
          </cell>
        </row>
        <row r="9094">
          <cell r="D9094">
            <v>0</v>
          </cell>
          <cell r="H9094">
            <v>45809</v>
          </cell>
          <cell r="I9094" t="str">
            <v>6041 - Employee Benefit Other</v>
          </cell>
          <cell r="J9094" t="str">
            <v>Wholesale</v>
          </cell>
          <cell r="K9094" t="str">
            <v>Wholesale</v>
          </cell>
          <cell r="L9094" t="str">
            <v>HQ Salaries</v>
          </cell>
          <cell r="N9094" t="str">
            <v>SG&amp;A</v>
          </cell>
          <cell r="O9094" t="str">
            <v>[No Vendor]</v>
          </cell>
        </row>
        <row r="9095">
          <cell r="D9095">
            <v>0</v>
          </cell>
          <cell r="H9095">
            <v>45809</v>
          </cell>
          <cell r="I9095" t="str">
            <v>6041 - Employee Benefit Other</v>
          </cell>
          <cell r="J9095" t="str">
            <v>Ecommerce (US)</v>
          </cell>
          <cell r="K9095" t="str">
            <v>Ecommerce</v>
          </cell>
          <cell r="L9095" t="str">
            <v>HQ Salaries</v>
          </cell>
          <cell r="N9095" t="str">
            <v>SG&amp;A</v>
          </cell>
          <cell r="O9095" t="str">
            <v>[No Vendor]</v>
          </cell>
        </row>
        <row r="9096">
          <cell r="D9096">
            <v>0</v>
          </cell>
          <cell r="H9096">
            <v>45809</v>
          </cell>
          <cell r="I9096" t="str">
            <v>6041 - Employee Benefit Other</v>
          </cell>
          <cell r="J9096">
            <v>0</v>
          </cell>
          <cell r="K9096" t="str">
            <v>Production</v>
          </cell>
          <cell r="L9096" t="str">
            <v>HQ Salaries</v>
          </cell>
          <cell r="N9096" t="str">
            <v>SG&amp;A</v>
          </cell>
          <cell r="O9096" t="str">
            <v>[No Vendor]</v>
          </cell>
        </row>
        <row r="9097">
          <cell r="D9097">
            <v>0</v>
          </cell>
          <cell r="H9097">
            <v>45809</v>
          </cell>
          <cell r="I9097" t="str">
            <v>6041 - Employee Benefit Other</v>
          </cell>
          <cell r="J9097">
            <v>0</v>
          </cell>
          <cell r="K9097" t="str">
            <v>Design</v>
          </cell>
          <cell r="L9097" t="str">
            <v>HQ Salaries</v>
          </cell>
          <cell r="N9097" t="str">
            <v>SG&amp;A</v>
          </cell>
          <cell r="O9097" t="str">
            <v>[No Vendor]</v>
          </cell>
        </row>
        <row r="9098">
          <cell r="D9098">
            <v>360.01</v>
          </cell>
          <cell r="H9098">
            <v>45809</v>
          </cell>
          <cell r="I9098" t="str">
            <v>6041 - Employee Benefit Other</v>
          </cell>
          <cell r="J9098">
            <v>0</v>
          </cell>
          <cell r="K9098" t="str">
            <v>Administration</v>
          </cell>
          <cell r="L9098" t="str">
            <v>HQ Salaries</v>
          </cell>
          <cell r="N9098" t="str">
            <v>SG&amp;A</v>
          </cell>
          <cell r="O9098" t="str">
            <v>[No Vendor]</v>
          </cell>
        </row>
        <row r="9099">
          <cell r="D9099">
            <v>343.19</v>
          </cell>
          <cell r="H9099">
            <v>45809</v>
          </cell>
          <cell r="I9099" t="str">
            <v>6041 - Employee Benefit Other</v>
          </cell>
          <cell r="J9099">
            <v>0</v>
          </cell>
          <cell r="K9099" t="str">
            <v>Administration</v>
          </cell>
          <cell r="L9099" t="str">
            <v>HQ Salaries</v>
          </cell>
          <cell r="N9099" t="str">
            <v>SG&amp;A</v>
          </cell>
          <cell r="O9099" t="str">
            <v>[No Vendor]</v>
          </cell>
        </row>
        <row r="9100">
          <cell r="D9100">
            <v>585.49</v>
          </cell>
          <cell r="H9100">
            <v>45809</v>
          </cell>
          <cell r="I9100" t="str">
            <v>7140 - Amortization Exp - ROU Asset</v>
          </cell>
          <cell r="J9100">
            <v>0</v>
          </cell>
          <cell r="K9100" t="str">
            <v>Administration</v>
          </cell>
          <cell r="L9100" t="str">
            <v>Rent</v>
          </cell>
          <cell r="N9100" t="str">
            <v>SG&amp;A</v>
          </cell>
          <cell r="O9100" t="str">
            <v>[No Vendor]</v>
          </cell>
        </row>
        <row r="9101">
          <cell r="D9101">
            <v>23940.66</v>
          </cell>
          <cell r="H9101">
            <v>45809</v>
          </cell>
          <cell r="I9101" t="str">
            <v>7140 - Amortization Exp - ROU Asset</v>
          </cell>
          <cell r="J9101">
            <v>0</v>
          </cell>
          <cell r="K9101" t="str">
            <v>Administration</v>
          </cell>
          <cell r="L9101" t="str">
            <v>Rent</v>
          </cell>
          <cell r="N9101" t="str">
            <v>SG&amp;A</v>
          </cell>
          <cell r="O9101" t="str">
            <v>[No Vendor]</v>
          </cell>
        </row>
        <row r="9102">
          <cell r="D9102">
            <v>-69230.820000000007</v>
          </cell>
          <cell r="H9102">
            <v>45809</v>
          </cell>
          <cell r="I9102" t="str">
            <v>4051 - Sales Revenue - Ecommerce (Intl)</v>
          </cell>
          <cell r="J9102" t="str">
            <v>Ecommerce (EU)</v>
          </cell>
          <cell r="K9102" t="str">
            <v>Ecommerce</v>
          </cell>
          <cell r="L9102" t="str">
            <v>Ecommerce (EU)</v>
          </cell>
          <cell r="N9102" t="str">
            <v>Revenue</v>
          </cell>
          <cell r="O9102" t="str">
            <v>[No Vendor]</v>
          </cell>
        </row>
        <row r="9103">
          <cell r="D9103">
            <v>0</v>
          </cell>
          <cell r="H9103">
            <v>45809</v>
          </cell>
          <cell r="I9103" t="str">
            <v>6035 - Severance Expense</v>
          </cell>
          <cell r="J9103" t="str">
            <v>Wholesale</v>
          </cell>
          <cell r="K9103" t="str">
            <v>Wholesale</v>
          </cell>
          <cell r="L9103" t="str">
            <v>HQ Salaries</v>
          </cell>
          <cell r="N9103" t="str">
            <v>SG&amp;A</v>
          </cell>
          <cell r="O9103" t="str">
            <v>[No Vendor]</v>
          </cell>
        </row>
        <row r="9104">
          <cell r="D9104">
            <v>286.08999999999997</v>
          </cell>
          <cell r="H9104">
            <v>45809</v>
          </cell>
          <cell r="I9104" t="str">
            <v>6377 - Order Processing Expenses (New)</v>
          </cell>
          <cell r="J9104" t="str">
            <v>Ecommerce (US)</v>
          </cell>
          <cell r="K9104" t="str">
            <v>Ecommerce</v>
          </cell>
          <cell r="L9104" t="str">
            <v>Order Processing</v>
          </cell>
          <cell r="N9104" t="str">
            <v>Direct Costs</v>
          </cell>
          <cell r="O9104" t="str">
            <v>[No Vendor]</v>
          </cell>
        </row>
        <row r="9105">
          <cell r="D9105">
            <v>4137.82</v>
          </cell>
          <cell r="H9105">
            <v>45809</v>
          </cell>
          <cell r="I9105" t="str">
            <v>6377 - Order Processing Expenses (New)</v>
          </cell>
          <cell r="J9105" t="str">
            <v>Ecommerce (EU)</v>
          </cell>
          <cell r="K9105" t="str">
            <v>Ecommerce</v>
          </cell>
          <cell r="L9105" t="str">
            <v>Order Processing</v>
          </cell>
          <cell r="N9105" t="str">
            <v>Direct Costs</v>
          </cell>
          <cell r="O9105" t="str">
            <v>[No Vendor]</v>
          </cell>
        </row>
        <row r="9106">
          <cell r="D9106">
            <v>16881.490000000002</v>
          </cell>
          <cell r="H9106">
            <v>45809</v>
          </cell>
          <cell r="I9106" t="str">
            <v>4063 - Sales Discount - Wholesale (US)</v>
          </cell>
          <cell r="J9106" t="str">
            <v>Wholesale</v>
          </cell>
          <cell r="K9106" t="str">
            <v>Wholesale</v>
          </cell>
          <cell r="L9106" t="str">
            <v>Wholesale</v>
          </cell>
          <cell r="N9106" t="str">
            <v>Revenue</v>
          </cell>
          <cell r="O9106" t="str">
            <v>[No Vendor]</v>
          </cell>
        </row>
        <row r="9107">
          <cell r="D9107">
            <v>3413.45</v>
          </cell>
          <cell r="H9107">
            <v>45809</v>
          </cell>
          <cell r="I9107" t="str">
            <v>5900 - Interco Royalty Expense</v>
          </cell>
          <cell r="J9107">
            <v>0</v>
          </cell>
          <cell r="K9107" t="str">
            <v>Licensing</v>
          </cell>
          <cell r="L9107">
            <v>0</v>
          </cell>
          <cell r="N9107">
            <v>0</v>
          </cell>
          <cell r="O9107" t="str">
            <v>[No Vendor]</v>
          </cell>
        </row>
        <row r="9108">
          <cell r="D9108">
            <v>0</v>
          </cell>
          <cell r="H9108">
            <v>45809</v>
          </cell>
          <cell r="I9108" t="str">
            <v>4062 - Sales Discount - Ecomm (US)</v>
          </cell>
          <cell r="J9108" t="str">
            <v>Ecommerce (US)</v>
          </cell>
          <cell r="K9108" t="str">
            <v>Ecommerce</v>
          </cell>
          <cell r="L9108" t="str">
            <v>Ecommerce (US)</v>
          </cell>
          <cell r="N9108" t="str">
            <v>Revenue</v>
          </cell>
          <cell r="O9108" t="str">
            <v>[No Vendor]</v>
          </cell>
        </row>
        <row r="9109">
          <cell r="D9109">
            <v>119001.52</v>
          </cell>
          <cell r="H9109">
            <v>45809</v>
          </cell>
          <cell r="I9109" t="str">
            <v>4062 - Sales Discount - Ecomm (US)</v>
          </cell>
          <cell r="J9109" t="str">
            <v>Ecommerce (US)</v>
          </cell>
          <cell r="K9109" t="str">
            <v>Ecommerce</v>
          </cell>
          <cell r="L9109" t="str">
            <v>Ecommerce (US)</v>
          </cell>
          <cell r="N9109" t="str">
            <v>Revenue</v>
          </cell>
          <cell r="O9109" t="str">
            <v>[No Vendor]</v>
          </cell>
        </row>
        <row r="9110">
          <cell r="D9110">
            <v>1954.72</v>
          </cell>
          <cell r="H9110">
            <v>45809</v>
          </cell>
          <cell r="I9110" t="str">
            <v>7130 - License Agreements &amp; Other Intangibles</v>
          </cell>
          <cell r="J9110">
            <v>0</v>
          </cell>
          <cell r="K9110" t="str">
            <v>Administration</v>
          </cell>
          <cell r="L9110" t="str">
            <v>Depreciation &amp; Amortization</v>
          </cell>
          <cell r="N9110" t="str">
            <v>SG&amp;A</v>
          </cell>
          <cell r="O9110" t="str">
            <v>[No Vendor]</v>
          </cell>
        </row>
        <row r="9111">
          <cell r="D9111">
            <v>-3413.45</v>
          </cell>
          <cell r="H9111">
            <v>45809</v>
          </cell>
          <cell r="I9111" t="str">
            <v>4900 - Interco Royalty Revenue</v>
          </cell>
          <cell r="J9111">
            <v>0</v>
          </cell>
          <cell r="K9111" t="str">
            <v>Licensing</v>
          </cell>
          <cell r="L9111">
            <v>0</v>
          </cell>
          <cell r="N9111">
            <v>0</v>
          </cell>
          <cell r="O9111" t="str">
            <v>[No Vendor]</v>
          </cell>
        </row>
        <row r="9112">
          <cell r="D9112">
            <v>14527.45</v>
          </cell>
          <cell r="H9112">
            <v>45809</v>
          </cell>
          <cell r="I9112" t="str">
            <v>6393 - Software</v>
          </cell>
          <cell r="J9112" t="str">
            <v>Ecommerce (US)</v>
          </cell>
          <cell r="K9112" t="str">
            <v>Ecommerce</v>
          </cell>
          <cell r="L9112" t="str">
            <v>Professional Service</v>
          </cell>
          <cell r="N9112" t="str">
            <v>Direct Costs</v>
          </cell>
          <cell r="O9112" t="str">
            <v>Attentive Mobile Inc.</v>
          </cell>
        </row>
        <row r="9113">
          <cell r="D9113">
            <v>2582.46</v>
          </cell>
          <cell r="H9113">
            <v>45809</v>
          </cell>
          <cell r="I9113" t="str">
            <v>6393 - Software</v>
          </cell>
          <cell r="J9113">
            <v>0</v>
          </cell>
          <cell r="K9113" t="str">
            <v>Administration</v>
          </cell>
          <cell r="L9113" t="str">
            <v>Professional Service</v>
          </cell>
          <cell r="N9113" t="str">
            <v>Direct Costs</v>
          </cell>
          <cell r="O9113" t="str">
            <v>Apparel Magic</v>
          </cell>
        </row>
        <row r="9114">
          <cell r="D9114">
            <v>3179.22</v>
          </cell>
          <cell r="H9114">
            <v>45809</v>
          </cell>
          <cell r="I9114" t="str">
            <v>6393 - Software</v>
          </cell>
          <cell r="J9114">
            <v>0</v>
          </cell>
          <cell r="K9114" t="str">
            <v>Administration</v>
          </cell>
          <cell r="L9114" t="str">
            <v>Professional Service</v>
          </cell>
          <cell r="N9114" t="str">
            <v>Direct Costs</v>
          </cell>
          <cell r="O9114" t="str">
            <v>Avalara, Inc</v>
          </cell>
        </row>
        <row r="9115">
          <cell r="D9115">
            <v>431.4</v>
          </cell>
          <cell r="H9115">
            <v>45809</v>
          </cell>
          <cell r="I9115" t="str">
            <v>6393 - Software</v>
          </cell>
          <cell r="J9115">
            <v>0</v>
          </cell>
          <cell r="K9115" t="str">
            <v>Administration</v>
          </cell>
          <cell r="L9115" t="str">
            <v>Professional Service</v>
          </cell>
          <cell r="N9115" t="str">
            <v>Direct Costs</v>
          </cell>
          <cell r="O9115" t="str">
            <v>MS Office 365</v>
          </cell>
        </row>
        <row r="9116">
          <cell r="D9116">
            <v>226.82</v>
          </cell>
          <cell r="H9116">
            <v>45809</v>
          </cell>
          <cell r="I9116" t="str">
            <v>6393 - Software</v>
          </cell>
          <cell r="J9116">
            <v>0</v>
          </cell>
          <cell r="K9116" t="str">
            <v>Administration</v>
          </cell>
          <cell r="L9116" t="str">
            <v>Professional Service</v>
          </cell>
          <cell r="N9116" t="str">
            <v>Direct Costs</v>
          </cell>
          <cell r="O9116" t="str">
            <v>Avalara, Inc</v>
          </cell>
        </row>
        <row r="9117">
          <cell r="D9117">
            <v>9.99</v>
          </cell>
          <cell r="H9117">
            <v>45809</v>
          </cell>
          <cell r="I9117" t="str">
            <v>6393 - Software</v>
          </cell>
          <cell r="J9117">
            <v>0</v>
          </cell>
          <cell r="K9117" t="str">
            <v>Administration</v>
          </cell>
          <cell r="L9117" t="str">
            <v>Professional Service</v>
          </cell>
          <cell r="N9117" t="str">
            <v>Direct Costs</v>
          </cell>
          <cell r="O9117" t="str">
            <v>Drop Box</v>
          </cell>
        </row>
        <row r="9118">
          <cell r="D9118">
            <v>2268.23</v>
          </cell>
          <cell r="H9118">
            <v>45809</v>
          </cell>
          <cell r="I9118" t="str">
            <v>6393 - Software</v>
          </cell>
          <cell r="J9118">
            <v>0</v>
          </cell>
          <cell r="K9118" t="str">
            <v>Brand Marketing</v>
          </cell>
          <cell r="L9118" t="str">
            <v>Professional Service</v>
          </cell>
          <cell r="N9118" t="str">
            <v>Direct Costs</v>
          </cell>
          <cell r="O9118" t="str">
            <v>Fohr</v>
          </cell>
        </row>
        <row r="9119">
          <cell r="D9119">
            <v>4100</v>
          </cell>
          <cell r="H9119">
            <v>45809</v>
          </cell>
          <cell r="I9119" t="str">
            <v>6393 - Software</v>
          </cell>
          <cell r="J9119">
            <v>0</v>
          </cell>
          <cell r="K9119" t="str">
            <v>Administration</v>
          </cell>
          <cell r="L9119" t="str">
            <v>Professional Service</v>
          </cell>
          <cell r="N9119" t="str">
            <v>Direct Costs</v>
          </cell>
          <cell r="O9119" t="str">
            <v>Oracle Netsuite</v>
          </cell>
        </row>
        <row r="9120">
          <cell r="D9120">
            <v>0</v>
          </cell>
          <cell r="H9120">
            <v>45809</v>
          </cell>
          <cell r="I9120" t="str">
            <v>6286 - SEM</v>
          </cell>
          <cell r="J9120" t="str">
            <v>Ecommerce (US)</v>
          </cell>
          <cell r="K9120" t="str">
            <v>Ecommerce</v>
          </cell>
          <cell r="L9120" t="str">
            <v>Marketing</v>
          </cell>
          <cell r="N9120" t="str">
            <v>Direct Costs</v>
          </cell>
          <cell r="O9120" t="str">
            <v>[No Vendor]</v>
          </cell>
        </row>
        <row r="9121">
          <cell r="D9121">
            <v>331.44</v>
          </cell>
          <cell r="H9121">
            <v>45809</v>
          </cell>
          <cell r="I9121" t="str">
            <v>6340 - Miscellaneous Expense</v>
          </cell>
          <cell r="J9121">
            <v>0</v>
          </cell>
          <cell r="K9121" t="str">
            <v>Administration</v>
          </cell>
          <cell r="L9121" t="str">
            <v>Other</v>
          </cell>
          <cell r="N9121" t="str">
            <v>SG&amp;A</v>
          </cell>
          <cell r="O9121" t="str">
            <v>[No Vendor]</v>
          </cell>
        </row>
        <row r="9122">
          <cell r="D9122">
            <v>72.7</v>
          </cell>
          <cell r="H9122">
            <v>45809</v>
          </cell>
          <cell r="I9122" t="str">
            <v>6340 - Miscellaneous Expense</v>
          </cell>
          <cell r="J9122" t="str">
            <v>Ecommerce (US)</v>
          </cell>
          <cell r="K9122" t="str">
            <v>Ecommerce</v>
          </cell>
          <cell r="L9122" t="str">
            <v>Other</v>
          </cell>
          <cell r="N9122" t="str">
            <v>SG&amp;A</v>
          </cell>
          <cell r="O9122" t="str">
            <v>[No Vendor]</v>
          </cell>
        </row>
        <row r="9123">
          <cell r="D9123">
            <v>40291.67</v>
          </cell>
          <cell r="H9123">
            <v>45809</v>
          </cell>
          <cell r="I9123" t="str">
            <v>6240 - Product Photography</v>
          </cell>
          <cell r="J9123">
            <v>0</v>
          </cell>
          <cell r="K9123" t="str">
            <v>Brand Marketing</v>
          </cell>
          <cell r="L9123" t="str">
            <v>Advertising</v>
          </cell>
          <cell r="N9123" t="str">
            <v>SG&amp;A</v>
          </cell>
          <cell r="O9123" t="str">
            <v>GOSFilms LLC</v>
          </cell>
        </row>
        <row r="9124">
          <cell r="D9124">
            <v>3769.18</v>
          </cell>
          <cell r="H9124">
            <v>45809</v>
          </cell>
          <cell r="I9124" t="str">
            <v>6289 - Seeding / Product Placement</v>
          </cell>
          <cell r="J9124">
            <v>0</v>
          </cell>
          <cell r="K9124" t="str">
            <v>Brand Marketing</v>
          </cell>
          <cell r="L9124" t="str">
            <v>Advertising</v>
          </cell>
          <cell r="N9124" t="str">
            <v>SG&amp;A</v>
          </cell>
          <cell r="O9124" t="str">
            <v>[No Vendor]</v>
          </cell>
        </row>
        <row r="9125">
          <cell r="D9125">
            <v>833.34</v>
          </cell>
          <cell r="H9125">
            <v>45809</v>
          </cell>
          <cell r="I9125" t="str">
            <v>6284 - Advertising</v>
          </cell>
          <cell r="J9125">
            <v>0</v>
          </cell>
          <cell r="K9125" t="str">
            <v>Brand Marketing</v>
          </cell>
          <cell r="L9125" t="str">
            <v>Advertising</v>
          </cell>
          <cell r="N9125" t="str">
            <v>SG&amp;A</v>
          </cell>
          <cell r="O9125" t="str">
            <v>[No Vendor]</v>
          </cell>
        </row>
        <row r="9126">
          <cell r="D9126">
            <v>1666.67</v>
          </cell>
          <cell r="H9126">
            <v>45809</v>
          </cell>
          <cell r="I9126" t="str">
            <v>6284 - Advertising</v>
          </cell>
          <cell r="J9126">
            <v>0</v>
          </cell>
          <cell r="K9126" t="str">
            <v>Brand Marketing</v>
          </cell>
          <cell r="L9126" t="str">
            <v>Advertising</v>
          </cell>
          <cell r="N9126" t="str">
            <v>SG&amp;A</v>
          </cell>
          <cell r="O9126" t="str">
            <v>[No Vendor]</v>
          </cell>
        </row>
        <row r="9127">
          <cell r="D9127">
            <v>0</v>
          </cell>
          <cell r="H9127">
            <v>45809</v>
          </cell>
          <cell r="I9127" t="str">
            <v>6205 - Contractors</v>
          </cell>
          <cell r="J9127">
            <v>0</v>
          </cell>
          <cell r="K9127" t="str">
            <v>Brand Marketing</v>
          </cell>
          <cell r="L9127" t="str">
            <v>HQ Salaries</v>
          </cell>
          <cell r="N9127" t="str">
            <v>SG&amp;A</v>
          </cell>
          <cell r="O9127" t="str">
            <v>[No Vendor]</v>
          </cell>
        </row>
        <row r="9128">
          <cell r="D9128">
            <v>0</v>
          </cell>
          <cell r="H9128">
            <v>45809</v>
          </cell>
          <cell r="I9128" t="str">
            <v>6205 - Contractors</v>
          </cell>
          <cell r="J9128" t="str">
            <v>Ecommerce (US)</v>
          </cell>
          <cell r="K9128" t="str">
            <v>Ecommerce</v>
          </cell>
          <cell r="L9128" t="str">
            <v>HQ Salaries</v>
          </cell>
          <cell r="N9128" t="str">
            <v>SG&amp;A</v>
          </cell>
          <cell r="O9128" t="str">
            <v>[No Vendor]</v>
          </cell>
        </row>
        <row r="9129">
          <cell r="D9129">
            <v>0</v>
          </cell>
          <cell r="H9129">
            <v>45809</v>
          </cell>
          <cell r="I9129" t="str">
            <v>6205 - Contractors</v>
          </cell>
          <cell r="J9129">
            <v>0</v>
          </cell>
          <cell r="K9129" t="str">
            <v>Design</v>
          </cell>
          <cell r="L9129" t="str">
            <v>HQ Salaries</v>
          </cell>
          <cell r="N9129" t="str">
            <v>SG&amp;A</v>
          </cell>
          <cell r="O9129" t="str">
            <v>[No Vendor]</v>
          </cell>
        </row>
        <row r="9130">
          <cell r="D9130">
            <v>1500</v>
          </cell>
          <cell r="H9130">
            <v>45809</v>
          </cell>
          <cell r="I9130" t="str">
            <v>6205 - Contractors</v>
          </cell>
          <cell r="J9130">
            <v>0</v>
          </cell>
          <cell r="K9130" t="str">
            <v>Production</v>
          </cell>
          <cell r="L9130" t="str">
            <v>HQ Salaries</v>
          </cell>
          <cell r="N9130" t="str">
            <v>SG&amp;A</v>
          </cell>
          <cell r="O9130" t="str">
            <v>Philip Yau</v>
          </cell>
        </row>
        <row r="9131">
          <cell r="D9131">
            <v>-9000</v>
          </cell>
          <cell r="H9131">
            <v>45809</v>
          </cell>
          <cell r="I9131" t="str">
            <v>6205 - Contractors</v>
          </cell>
          <cell r="J9131">
            <v>0</v>
          </cell>
          <cell r="K9131" t="str">
            <v>Production</v>
          </cell>
          <cell r="L9131" t="str">
            <v>HQ Salaries</v>
          </cell>
          <cell r="N9131" t="str">
            <v>SG&amp;A</v>
          </cell>
          <cell r="O9131" t="str">
            <v>[No Vendor]</v>
          </cell>
        </row>
        <row r="9132">
          <cell r="D9132">
            <v>983.95</v>
          </cell>
          <cell r="H9132">
            <v>45809</v>
          </cell>
          <cell r="I9132" t="str">
            <v>6370 - Samples</v>
          </cell>
          <cell r="J9132">
            <v>0</v>
          </cell>
          <cell r="K9132" t="str">
            <v>Production</v>
          </cell>
          <cell r="L9132" t="str">
            <v>Sample</v>
          </cell>
          <cell r="N9132" t="str">
            <v>SG&amp;A</v>
          </cell>
          <cell r="O9132" t="str">
            <v>[No Vendor]</v>
          </cell>
        </row>
        <row r="9133">
          <cell r="D9133">
            <v>-606</v>
          </cell>
          <cell r="H9133">
            <v>45809</v>
          </cell>
          <cell r="I9133" t="str">
            <v>6410 - Lease Expense</v>
          </cell>
          <cell r="J9133">
            <v>0</v>
          </cell>
          <cell r="K9133" t="str">
            <v>Administration</v>
          </cell>
          <cell r="L9133" t="str">
            <v>Rent</v>
          </cell>
          <cell r="N9133" t="str">
            <v>SG&amp;A</v>
          </cell>
          <cell r="O9133" t="str">
            <v>[No Vendor]</v>
          </cell>
        </row>
        <row r="9134">
          <cell r="D9134">
            <v>428.3</v>
          </cell>
          <cell r="H9134">
            <v>45809</v>
          </cell>
          <cell r="I9134" t="str">
            <v>6385 - Insurance</v>
          </cell>
          <cell r="J9134">
            <v>0</v>
          </cell>
          <cell r="K9134" t="str">
            <v>Administration</v>
          </cell>
          <cell r="L9134" t="str">
            <v>Professional Service</v>
          </cell>
          <cell r="N9134" t="str">
            <v>SG&amp;A</v>
          </cell>
          <cell r="O9134" t="str">
            <v>Travelers CL Remittance Center</v>
          </cell>
        </row>
        <row r="9135">
          <cell r="D9135">
            <v>1062.5</v>
          </cell>
          <cell r="H9135">
            <v>45809</v>
          </cell>
          <cell r="I9135" t="str">
            <v>6385 - Insurance</v>
          </cell>
          <cell r="J9135">
            <v>0</v>
          </cell>
          <cell r="K9135" t="str">
            <v>Administration</v>
          </cell>
          <cell r="L9135" t="str">
            <v>Professional Service</v>
          </cell>
          <cell r="N9135" t="str">
            <v>SG&amp;A</v>
          </cell>
          <cell r="O9135" t="str">
            <v>[No Vendor]</v>
          </cell>
        </row>
        <row r="9136">
          <cell r="D9136">
            <v>349.9</v>
          </cell>
          <cell r="H9136">
            <v>45809</v>
          </cell>
          <cell r="I9136" t="str">
            <v>6385 - Insurance</v>
          </cell>
          <cell r="J9136">
            <v>0</v>
          </cell>
          <cell r="K9136" t="str">
            <v>Administration</v>
          </cell>
          <cell r="L9136" t="str">
            <v>Professional Service</v>
          </cell>
          <cell r="N9136" t="str">
            <v>SG&amp;A</v>
          </cell>
          <cell r="O9136" t="str">
            <v>[No Vendor]</v>
          </cell>
        </row>
        <row r="9137">
          <cell r="D9137">
            <v>-37.42</v>
          </cell>
          <cell r="H9137">
            <v>45809</v>
          </cell>
          <cell r="I9137" t="str">
            <v>6385 - Insurance</v>
          </cell>
          <cell r="J9137">
            <v>0</v>
          </cell>
          <cell r="K9137" t="str">
            <v>Administration</v>
          </cell>
          <cell r="L9137" t="str">
            <v>Professional Service</v>
          </cell>
          <cell r="N9137" t="str">
            <v>SG&amp;A</v>
          </cell>
          <cell r="O9137" t="str">
            <v>[No Vendor]</v>
          </cell>
        </row>
        <row r="9138">
          <cell r="D9138">
            <v>-7.43</v>
          </cell>
          <cell r="H9138">
            <v>45809</v>
          </cell>
          <cell r="I9138" t="str">
            <v>6385 - Insurance</v>
          </cell>
          <cell r="J9138">
            <v>0</v>
          </cell>
          <cell r="K9138" t="str">
            <v>Administration</v>
          </cell>
          <cell r="L9138" t="str">
            <v>Professional Service</v>
          </cell>
          <cell r="N9138" t="str">
            <v>SG&amp;A</v>
          </cell>
          <cell r="O9138" t="str">
            <v>[No Vendor]</v>
          </cell>
        </row>
        <row r="9139">
          <cell r="D9139">
            <v>-0.72</v>
          </cell>
          <cell r="H9139">
            <v>45809</v>
          </cell>
          <cell r="I9139" t="str">
            <v>6385 - Insurance</v>
          </cell>
          <cell r="J9139">
            <v>0</v>
          </cell>
          <cell r="K9139" t="str">
            <v>Administration</v>
          </cell>
          <cell r="L9139" t="str">
            <v>Professional Service</v>
          </cell>
          <cell r="N9139" t="str">
            <v>SG&amp;A</v>
          </cell>
          <cell r="O9139" t="str">
            <v>[No Vendor]</v>
          </cell>
        </row>
        <row r="9140">
          <cell r="D9140">
            <v>-51.08</v>
          </cell>
          <cell r="H9140">
            <v>45809</v>
          </cell>
          <cell r="I9140" t="str">
            <v>6385 - Insurance</v>
          </cell>
          <cell r="J9140">
            <v>0</v>
          </cell>
          <cell r="K9140" t="str">
            <v>Administration</v>
          </cell>
          <cell r="L9140" t="str">
            <v>Professional Service</v>
          </cell>
          <cell r="N9140" t="str">
            <v>SG&amp;A</v>
          </cell>
          <cell r="O9140" t="str">
            <v>[No Vendor]</v>
          </cell>
        </row>
        <row r="9141">
          <cell r="D9141">
            <v>-44.29</v>
          </cell>
          <cell r="H9141">
            <v>45809</v>
          </cell>
          <cell r="I9141" t="str">
            <v>6385 - Insurance</v>
          </cell>
          <cell r="J9141">
            <v>0</v>
          </cell>
          <cell r="K9141" t="str">
            <v>Administration</v>
          </cell>
          <cell r="L9141" t="str">
            <v>Professional Service</v>
          </cell>
          <cell r="N9141" t="str">
            <v>SG&amp;A</v>
          </cell>
          <cell r="O9141" t="str">
            <v>[No Vendor]</v>
          </cell>
        </row>
        <row r="9142">
          <cell r="D9142">
            <v>-32.03</v>
          </cell>
          <cell r="H9142">
            <v>45809</v>
          </cell>
          <cell r="I9142" t="str">
            <v>6385 - Insurance</v>
          </cell>
          <cell r="J9142">
            <v>0</v>
          </cell>
          <cell r="K9142" t="str">
            <v>Administration</v>
          </cell>
          <cell r="L9142" t="str">
            <v>Professional Service</v>
          </cell>
          <cell r="N9142" t="str">
            <v>SG&amp;A</v>
          </cell>
          <cell r="O9142" t="str">
            <v>[No Vendor]</v>
          </cell>
        </row>
        <row r="9143">
          <cell r="D9143">
            <v>-22.52</v>
          </cell>
          <cell r="H9143">
            <v>45809</v>
          </cell>
          <cell r="I9143" t="str">
            <v>6385 - Insurance</v>
          </cell>
          <cell r="J9143">
            <v>0</v>
          </cell>
          <cell r="K9143" t="str">
            <v>Administration</v>
          </cell>
          <cell r="L9143" t="str">
            <v>Professional Service</v>
          </cell>
          <cell r="N9143" t="str">
            <v>SG&amp;A</v>
          </cell>
          <cell r="O9143" t="str">
            <v>[No Vendor]</v>
          </cell>
        </row>
        <row r="9144">
          <cell r="D9144">
            <v>-8.51</v>
          </cell>
          <cell r="H9144">
            <v>45809</v>
          </cell>
          <cell r="I9144" t="str">
            <v>6385 - Insurance</v>
          </cell>
          <cell r="J9144">
            <v>0</v>
          </cell>
          <cell r="K9144" t="str">
            <v>Administration</v>
          </cell>
          <cell r="L9144" t="str">
            <v>Professional Service</v>
          </cell>
          <cell r="N9144" t="str">
            <v>SG&amp;A</v>
          </cell>
          <cell r="O9144" t="str">
            <v>[No Vendor]</v>
          </cell>
        </row>
        <row r="9145">
          <cell r="D9145">
            <v>290.16000000000003</v>
          </cell>
          <cell r="H9145">
            <v>45809</v>
          </cell>
          <cell r="I9145" t="str">
            <v>6400 - Utilities</v>
          </cell>
          <cell r="J9145">
            <v>0</v>
          </cell>
          <cell r="K9145" t="str">
            <v>Administration</v>
          </cell>
          <cell r="L9145" t="str">
            <v>Other</v>
          </cell>
          <cell r="N9145" t="str">
            <v>SG&amp;A</v>
          </cell>
          <cell r="O9145" t="str">
            <v>[No Vendor]</v>
          </cell>
        </row>
        <row r="9146">
          <cell r="D9146">
            <v>66.72</v>
          </cell>
          <cell r="H9146">
            <v>45809</v>
          </cell>
          <cell r="I9146" t="str">
            <v>7060 - Information Technology &amp; Software</v>
          </cell>
          <cell r="J9146">
            <v>0</v>
          </cell>
          <cell r="K9146" t="str">
            <v>Executive</v>
          </cell>
          <cell r="L9146" t="str">
            <v>Depreciation &amp; Amortization</v>
          </cell>
          <cell r="N9146" t="str">
            <v>SG&amp;A</v>
          </cell>
          <cell r="O9146" t="str">
            <v>[No Vendor]</v>
          </cell>
        </row>
        <row r="9147">
          <cell r="D9147">
            <v>113.67</v>
          </cell>
          <cell r="H9147">
            <v>45809</v>
          </cell>
          <cell r="I9147" t="str">
            <v>7060 - Information Technology &amp; Software</v>
          </cell>
          <cell r="J9147" t="str">
            <v>Wholesale</v>
          </cell>
          <cell r="K9147" t="str">
            <v>Wholesale</v>
          </cell>
          <cell r="L9147" t="str">
            <v>Depreciation &amp; Amortization</v>
          </cell>
          <cell r="N9147" t="str">
            <v>SG&amp;A</v>
          </cell>
          <cell r="O9147" t="str">
            <v>[No Vendor]</v>
          </cell>
        </row>
        <row r="9148">
          <cell r="D9148">
            <v>228.04</v>
          </cell>
          <cell r="H9148">
            <v>45809</v>
          </cell>
          <cell r="I9148" t="str">
            <v>7060 - Information Technology &amp; Software</v>
          </cell>
          <cell r="J9148" t="str">
            <v>Ecommerce (US)</v>
          </cell>
          <cell r="K9148" t="str">
            <v>Ecommerce</v>
          </cell>
          <cell r="L9148" t="str">
            <v>Depreciation &amp; Amortization</v>
          </cell>
          <cell r="N9148" t="str">
            <v>SG&amp;A</v>
          </cell>
          <cell r="O9148" t="str">
            <v>[No Vendor]</v>
          </cell>
        </row>
        <row r="9149">
          <cell r="D9149">
            <v>147.88999999999999</v>
          </cell>
          <cell r="H9149">
            <v>45809</v>
          </cell>
          <cell r="I9149" t="str">
            <v>7060 - Information Technology &amp; Software</v>
          </cell>
          <cell r="J9149">
            <v>0</v>
          </cell>
          <cell r="K9149" t="str">
            <v>Production</v>
          </cell>
          <cell r="L9149" t="str">
            <v>Depreciation &amp; Amortization</v>
          </cell>
          <cell r="N9149" t="str">
            <v>SG&amp;A</v>
          </cell>
          <cell r="O9149" t="str">
            <v>[No Vendor]</v>
          </cell>
        </row>
        <row r="9150">
          <cell r="D9150">
            <v>188.91</v>
          </cell>
          <cell r="H9150">
            <v>45809</v>
          </cell>
          <cell r="I9150" t="str">
            <v>7060 - Information Technology &amp; Software</v>
          </cell>
          <cell r="J9150">
            <v>0</v>
          </cell>
          <cell r="K9150" t="str">
            <v>Design</v>
          </cell>
          <cell r="L9150" t="str">
            <v>Depreciation &amp; Amortization</v>
          </cell>
          <cell r="N9150" t="str">
            <v>SG&amp;A</v>
          </cell>
          <cell r="O9150" t="str">
            <v>[No Vendor]</v>
          </cell>
        </row>
        <row r="9151">
          <cell r="D9151">
            <v>65.48</v>
          </cell>
          <cell r="H9151">
            <v>45809</v>
          </cell>
          <cell r="I9151" t="str">
            <v>7060 - Information Technology &amp; Software</v>
          </cell>
          <cell r="J9151">
            <v>0</v>
          </cell>
          <cell r="K9151" t="str">
            <v>Merchandising</v>
          </cell>
          <cell r="L9151" t="str">
            <v>Depreciation &amp; Amortization</v>
          </cell>
          <cell r="N9151" t="str">
            <v>SG&amp;A</v>
          </cell>
          <cell r="O9151" t="str">
            <v>[No Vendor]</v>
          </cell>
        </row>
        <row r="9152">
          <cell r="D9152">
            <v>166.9</v>
          </cell>
          <cell r="H9152">
            <v>45809</v>
          </cell>
          <cell r="I9152" t="str">
            <v>7060 - Information Technology &amp; Software</v>
          </cell>
          <cell r="J9152">
            <v>0</v>
          </cell>
          <cell r="K9152" t="str">
            <v>Brand Marketing</v>
          </cell>
          <cell r="L9152" t="str">
            <v>Depreciation &amp; Amortization</v>
          </cell>
          <cell r="N9152" t="str">
            <v>SG&amp;A</v>
          </cell>
          <cell r="O9152" t="str">
            <v>[No Vendor]</v>
          </cell>
        </row>
        <row r="9153">
          <cell r="D9153">
            <v>589.29999999999995</v>
          </cell>
          <cell r="H9153">
            <v>45809</v>
          </cell>
          <cell r="I9153" t="str">
            <v>7060 - Information Technology &amp; Software</v>
          </cell>
          <cell r="J9153">
            <v>0</v>
          </cell>
          <cell r="K9153" t="str">
            <v>Administration</v>
          </cell>
          <cell r="L9153" t="str">
            <v>Depreciation &amp; Amortization</v>
          </cell>
          <cell r="N9153" t="str">
            <v>SG&amp;A</v>
          </cell>
          <cell r="O9153" t="str">
            <v>[No Vendor]</v>
          </cell>
        </row>
        <row r="9154">
          <cell r="D9154">
            <v>259.97000000000003</v>
          </cell>
          <cell r="H9154">
            <v>45809</v>
          </cell>
          <cell r="I9154" t="str">
            <v>7040 - Furniture &amp; Fixtures</v>
          </cell>
          <cell r="J9154" t="str">
            <v>Wholesale</v>
          </cell>
          <cell r="K9154" t="str">
            <v>Wholesale</v>
          </cell>
          <cell r="L9154" t="str">
            <v>Depreciation &amp; Amortization</v>
          </cell>
          <cell r="N9154" t="str">
            <v>SG&amp;A</v>
          </cell>
          <cell r="O9154" t="str">
            <v>[No Vendor]</v>
          </cell>
        </row>
        <row r="9155">
          <cell r="D9155">
            <v>141.36000000000001</v>
          </cell>
          <cell r="H9155">
            <v>45809</v>
          </cell>
          <cell r="I9155" t="str">
            <v>7040 - Furniture &amp; Fixtures</v>
          </cell>
          <cell r="J9155">
            <v>0</v>
          </cell>
          <cell r="K9155" t="str">
            <v>Administration</v>
          </cell>
          <cell r="L9155" t="str">
            <v>Depreciation &amp; Amortization</v>
          </cell>
          <cell r="N9155" t="str">
            <v>SG&amp;A</v>
          </cell>
          <cell r="O9155" t="str">
            <v>[No Vendor]</v>
          </cell>
        </row>
        <row r="9156">
          <cell r="D9156">
            <v>264.24</v>
          </cell>
          <cell r="H9156">
            <v>45809</v>
          </cell>
          <cell r="I9156" t="str">
            <v>6055 - Employer Social Security Tax Withheld</v>
          </cell>
          <cell r="J9156">
            <v>0</v>
          </cell>
          <cell r="K9156" t="str">
            <v>Brand Marketing</v>
          </cell>
          <cell r="L9156" t="str">
            <v>HQ Salaries</v>
          </cell>
          <cell r="N9156" t="str">
            <v>SG&amp;A</v>
          </cell>
          <cell r="O9156" t="str">
            <v>[No Vendor]</v>
          </cell>
        </row>
        <row r="9157">
          <cell r="D9157">
            <v>718.75</v>
          </cell>
          <cell r="H9157">
            <v>45809</v>
          </cell>
          <cell r="I9157" t="str">
            <v>6055 - Employer Social Security Tax Withheld</v>
          </cell>
          <cell r="J9157">
            <v>0</v>
          </cell>
          <cell r="K9157" t="str">
            <v>Executive</v>
          </cell>
          <cell r="L9157" t="str">
            <v>HQ Salaries</v>
          </cell>
          <cell r="N9157" t="str">
            <v>SG&amp;A</v>
          </cell>
          <cell r="O9157" t="str">
            <v>[No Vendor]</v>
          </cell>
        </row>
        <row r="9158">
          <cell r="D9158">
            <v>1153</v>
          </cell>
          <cell r="H9158">
            <v>45809</v>
          </cell>
          <cell r="I9158" t="str">
            <v>6055 - Employer Social Security Tax Withheld</v>
          </cell>
          <cell r="J9158" t="str">
            <v>Ecommerce (US)</v>
          </cell>
          <cell r="K9158" t="str">
            <v>Ecommerce</v>
          </cell>
          <cell r="L9158" t="str">
            <v>HQ Salaries</v>
          </cell>
          <cell r="N9158" t="str">
            <v>SG&amp;A</v>
          </cell>
          <cell r="O9158" t="str">
            <v>[No Vendor]</v>
          </cell>
        </row>
        <row r="9159">
          <cell r="D9159">
            <v>1304.68</v>
          </cell>
          <cell r="H9159">
            <v>45809</v>
          </cell>
          <cell r="I9159" t="str">
            <v>6055 - Employer Social Security Tax Withheld</v>
          </cell>
          <cell r="J9159">
            <v>0</v>
          </cell>
          <cell r="K9159" t="str">
            <v>Design</v>
          </cell>
          <cell r="L9159" t="str">
            <v>HQ Salaries</v>
          </cell>
          <cell r="N9159" t="str">
            <v>SG&amp;A</v>
          </cell>
          <cell r="O9159" t="str">
            <v>[No Vendor]</v>
          </cell>
        </row>
        <row r="9160">
          <cell r="D9160">
            <v>1850.78</v>
          </cell>
          <cell r="H9160">
            <v>45809</v>
          </cell>
          <cell r="I9160" t="str">
            <v>6055 - Employer Social Security Tax Withheld</v>
          </cell>
          <cell r="J9160">
            <v>0</v>
          </cell>
          <cell r="K9160" t="str">
            <v>Administration</v>
          </cell>
          <cell r="L9160" t="str">
            <v>HQ Salaries</v>
          </cell>
          <cell r="N9160" t="str">
            <v>SG&amp;A</v>
          </cell>
          <cell r="O9160" t="str">
            <v>[No Vendor]</v>
          </cell>
        </row>
        <row r="9161">
          <cell r="D9161">
            <v>584.11</v>
          </cell>
          <cell r="H9161">
            <v>45809</v>
          </cell>
          <cell r="I9161" t="str">
            <v>6055 - Employer Social Security Tax Withheld</v>
          </cell>
          <cell r="J9161">
            <v>0</v>
          </cell>
          <cell r="K9161" t="str">
            <v>Merchandising</v>
          </cell>
          <cell r="L9161" t="str">
            <v>HQ Salaries</v>
          </cell>
          <cell r="N9161" t="str">
            <v>SG&amp;A</v>
          </cell>
          <cell r="O9161" t="str">
            <v>[No Vendor]</v>
          </cell>
        </row>
        <row r="9162">
          <cell r="D9162">
            <v>216.79</v>
          </cell>
          <cell r="H9162">
            <v>45809</v>
          </cell>
          <cell r="I9162" t="str">
            <v>6055 - Employer Social Security Tax Withheld</v>
          </cell>
          <cell r="J9162" t="str">
            <v>Wholesale</v>
          </cell>
          <cell r="K9162" t="str">
            <v>Wholesale</v>
          </cell>
          <cell r="L9162" t="str">
            <v>HQ Salaries</v>
          </cell>
          <cell r="N9162" t="str">
            <v>SG&amp;A</v>
          </cell>
          <cell r="O9162" t="str">
            <v>[No Vendor]</v>
          </cell>
        </row>
        <row r="9163">
          <cell r="D9163">
            <v>967.07</v>
          </cell>
          <cell r="H9163">
            <v>45809</v>
          </cell>
          <cell r="I9163" t="str">
            <v>6055 - Employer Social Security Tax Withheld</v>
          </cell>
          <cell r="J9163">
            <v>0</v>
          </cell>
          <cell r="K9163" t="str">
            <v>Production</v>
          </cell>
          <cell r="L9163" t="str">
            <v>HQ Salaries</v>
          </cell>
          <cell r="N9163" t="str">
            <v>SG&amp;A</v>
          </cell>
          <cell r="O9163" t="str">
            <v>[No Vendor]</v>
          </cell>
        </row>
        <row r="9164">
          <cell r="D9164">
            <v>-1028.5</v>
          </cell>
          <cell r="H9164">
            <v>45809</v>
          </cell>
          <cell r="I9164" t="str">
            <v>5000 - Cost of Goods Sold</v>
          </cell>
          <cell r="J9164" t="str">
            <v>Wholesale</v>
          </cell>
          <cell r="K9164" t="str">
            <v>Wholesale</v>
          </cell>
          <cell r="L9164" t="str">
            <v>COGS</v>
          </cell>
          <cell r="N9164" t="str">
            <v>COGS</v>
          </cell>
          <cell r="O9164" t="str">
            <v>[No Vendor]</v>
          </cell>
        </row>
        <row r="9165">
          <cell r="D9165">
            <v>34613.040000000001</v>
          </cell>
          <cell r="H9165">
            <v>45809</v>
          </cell>
          <cell r="I9165" t="str">
            <v>5000 - Cost of Goods Sold</v>
          </cell>
          <cell r="J9165" t="str">
            <v>Wholesale</v>
          </cell>
          <cell r="K9165" t="str">
            <v>Wholesale</v>
          </cell>
          <cell r="L9165" t="str">
            <v>COGS</v>
          </cell>
          <cell r="N9165" t="str">
            <v>COGS</v>
          </cell>
          <cell r="O9165" t="str">
            <v>[No Vendor]</v>
          </cell>
        </row>
        <row r="9166">
          <cell r="D9166">
            <v>25031.5</v>
          </cell>
          <cell r="H9166">
            <v>45809</v>
          </cell>
          <cell r="I9166" t="str">
            <v>5000 - Cost of Goods Sold</v>
          </cell>
          <cell r="J9166" t="str">
            <v>Ecommerce (EU)</v>
          </cell>
          <cell r="K9166" t="str">
            <v>Ecommerce</v>
          </cell>
          <cell r="L9166" t="str">
            <v>COGS</v>
          </cell>
          <cell r="N9166" t="str">
            <v>COGS</v>
          </cell>
          <cell r="O9166" t="str">
            <v>[No Vendor]</v>
          </cell>
        </row>
        <row r="9167">
          <cell r="D9167">
            <v>496444.14</v>
          </cell>
          <cell r="H9167">
            <v>45809</v>
          </cell>
          <cell r="I9167" t="str">
            <v>5000 - Cost of Goods Sold</v>
          </cell>
          <cell r="J9167" t="str">
            <v>Ecommerce (US)</v>
          </cell>
          <cell r="K9167" t="str">
            <v>Ecommerce</v>
          </cell>
          <cell r="L9167" t="str">
            <v>COGS</v>
          </cell>
          <cell r="N9167" t="str">
            <v>COGS</v>
          </cell>
          <cell r="O9167" t="str">
            <v>[No Vendor]</v>
          </cell>
        </row>
        <row r="9168">
          <cell r="D9168">
            <v>16281.75</v>
          </cell>
          <cell r="H9168">
            <v>45809</v>
          </cell>
          <cell r="I9168" t="str">
            <v>5000 - Cost of Goods Sold</v>
          </cell>
          <cell r="J9168" t="str">
            <v>Ecommerce (US)</v>
          </cell>
          <cell r="K9168" t="str">
            <v>Ecommerce</v>
          </cell>
          <cell r="L9168" t="str">
            <v>COGS</v>
          </cell>
          <cell r="N9168" t="str">
            <v>COGS</v>
          </cell>
          <cell r="O9168" t="str">
            <v>[No Vendor]</v>
          </cell>
        </row>
        <row r="9169">
          <cell r="D9169">
            <v>-1773.83</v>
          </cell>
          <cell r="H9169">
            <v>45809</v>
          </cell>
          <cell r="I9169" t="str">
            <v>5000 - Cost of Goods Sold</v>
          </cell>
          <cell r="J9169" t="str">
            <v>Wholesale</v>
          </cell>
          <cell r="K9169" t="str">
            <v>Wholesale</v>
          </cell>
          <cell r="L9169" t="str">
            <v>COGS</v>
          </cell>
          <cell r="N9169" t="str">
            <v>COGS</v>
          </cell>
          <cell r="O9169" t="str">
            <v>[No Vendor]</v>
          </cell>
        </row>
        <row r="9170">
          <cell r="D9170">
            <v>0</v>
          </cell>
          <cell r="H9170">
            <v>45809</v>
          </cell>
          <cell r="I9170" t="str">
            <v>4070 - Sales - Other</v>
          </cell>
          <cell r="J9170">
            <v>0</v>
          </cell>
          <cell r="K9170" t="str">
            <v>Licensing</v>
          </cell>
          <cell r="L9170" t="str">
            <v>Other Income</v>
          </cell>
          <cell r="N9170" t="str">
            <v>Revenue</v>
          </cell>
          <cell r="O9170" t="str">
            <v>[No Vendor]</v>
          </cell>
        </row>
        <row r="9171">
          <cell r="D9171">
            <v>81571.149999999994</v>
          </cell>
          <cell r="H9171">
            <v>45809</v>
          </cell>
          <cell r="I9171" t="str">
            <v>8000 - Interest Income</v>
          </cell>
          <cell r="J9171">
            <v>0</v>
          </cell>
          <cell r="K9171" t="str">
            <v>Licensing</v>
          </cell>
          <cell r="L9171" t="str">
            <v>Other Income (BTL)</v>
          </cell>
          <cell r="N9171" t="str">
            <v>BTL</v>
          </cell>
          <cell r="O9171" t="str">
            <v>[No Vendor]</v>
          </cell>
        </row>
        <row r="9172">
          <cell r="D9172">
            <v>9452.0499999999993</v>
          </cell>
          <cell r="H9172">
            <v>45809</v>
          </cell>
          <cell r="I9172" t="str">
            <v>6487 - Interest Expense</v>
          </cell>
          <cell r="J9172">
            <v>0</v>
          </cell>
          <cell r="K9172" t="str">
            <v>Administration</v>
          </cell>
          <cell r="L9172" t="str">
            <v>Interest</v>
          </cell>
          <cell r="N9172" t="str">
            <v>BTL</v>
          </cell>
          <cell r="O9172" t="str">
            <v>[No Vendor]</v>
          </cell>
        </row>
        <row r="9173">
          <cell r="D9173">
            <v>11342.47</v>
          </cell>
          <cell r="H9173">
            <v>45809</v>
          </cell>
          <cell r="I9173" t="str">
            <v>6487 - Interest Expense</v>
          </cell>
          <cell r="J9173">
            <v>0</v>
          </cell>
          <cell r="K9173" t="str">
            <v>Administration</v>
          </cell>
          <cell r="L9173" t="str">
            <v>Interest</v>
          </cell>
          <cell r="N9173" t="str">
            <v>BTL</v>
          </cell>
          <cell r="O9173" t="str">
            <v>[No Vendor]</v>
          </cell>
        </row>
        <row r="9174">
          <cell r="D9174">
            <v>3780.82</v>
          </cell>
          <cell r="H9174">
            <v>45809</v>
          </cell>
          <cell r="I9174" t="str">
            <v>6487 - Interest Expense</v>
          </cell>
          <cell r="J9174">
            <v>0</v>
          </cell>
          <cell r="K9174" t="str">
            <v>Administration</v>
          </cell>
          <cell r="L9174" t="str">
            <v>Interest</v>
          </cell>
          <cell r="N9174" t="str">
            <v>BTL</v>
          </cell>
          <cell r="O9174" t="str">
            <v>[No Vendor]</v>
          </cell>
        </row>
        <row r="9175">
          <cell r="D9175">
            <v>14745.21</v>
          </cell>
          <cell r="H9175">
            <v>45809</v>
          </cell>
          <cell r="I9175" t="str">
            <v>6487 - Interest Expense</v>
          </cell>
          <cell r="J9175">
            <v>0</v>
          </cell>
          <cell r="K9175" t="str">
            <v>Administration</v>
          </cell>
          <cell r="L9175" t="str">
            <v>Interest</v>
          </cell>
          <cell r="N9175" t="str">
            <v>BTL</v>
          </cell>
          <cell r="O9175" t="str">
            <v>[No Vendor]</v>
          </cell>
        </row>
        <row r="9176">
          <cell r="D9176">
            <v>5671.23</v>
          </cell>
          <cell r="H9176">
            <v>45809</v>
          </cell>
          <cell r="I9176" t="str">
            <v>6487 - Interest Expense</v>
          </cell>
          <cell r="J9176">
            <v>0</v>
          </cell>
          <cell r="K9176" t="str">
            <v>Administration</v>
          </cell>
          <cell r="L9176" t="str">
            <v>Interest</v>
          </cell>
          <cell r="N9176" t="str">
            <v>BTL</v>
          </cell>
          <cell r="O9176" t="str">
            <v>[No Vendor]</v>
          </cell>
        </row>
        <row r="9177">
          <cell r="D9177">
            <v>4158.8999999999996</v>
          </cell>
          <cell r="H9177">
            <v>45809</v>
          </cell>
          <cell r="I9177" t="str">
            <v>6487 - Interest Expense</v>
          </cell>
          <cell r="J9177">
            <v>0</v>
          </cell>
          <cell r="K9177" t="str">
            <v>Administration</v>
          </cell>
          <cell r="L9177" t="str">
            <v>Interest</v>
          </cell>
          <cell r="N9177" t="str">
            <v>BTL</v>
          </cell>
          <cell r="O9177" t="str">
            <v>[No Vendor]</v>
          </cell>
        </row>
        <row r="9178">
          <cell r="D9178">
            <v>20.51</v>
          </cell>
          <cell r="H9178">
            <v>45809</v>
          </cell>
          <cell r="I9178" t="str">
            <v>6487 - Interest Expense</v>
          </cell>
          <cell r="J9178">
            <v>0</v>
          </cell>
          <cell r="K9178" t="str">
            <v>Administration</v>
          </cell>
          <cell r="L9178" t="str">
            <v>Interest</v>
          </cell>
          <cell r="N9178" t="str">
            <v>BTL</v>
          </cell>
          <cell r="O9178" t="str">
            <v>[No Vendor]</v>
          </cell>
        </row>
        <row r="9179">
          <cell r="D9179">
            <v>7290.32</v>
          </cell>
          <cell r="H9179">
            <v>45809</v>
          </cell>
          <cell r="I9179" t="str">
            <v>6487 - Interest Expense</v>
          </cell>
          <cell r="J9179">
            <v>0</v>
          </cell>
          <cell r="K9179" t="str">
            <v>Administration</v>
          </cell>
          <cell r="L9179" t="str">
            <v>Interest</v>
          </cell>
          <cell r="N9179" t="str">
            <v>BTL</v>
          </cell>
          <cell r="O9179" t="str">
            <v>[No Vendor]</v>
          </cell>
        </row>
        <row r="9180">
          <cell r="D9180">
            <v>833.33</v>
          </cell>
          <cell r="H9180">
            <v>45809</v>
          </cell>
          <cell r="I9180" t="str">
            <v>6225 - Professional Services</v>
          </cell>
          <cell r="J9180">
            <v>0</v>
          </cell>
          <cell r="K9180" t="str">
            <v>Administration</v>
          </cell>
          <cell r="L9180" t="str">
            <v>Professional Service</v>
          </cell>
          <cell r="N9180" t="str">
            <v>Direct Costs</v>
          </cell>
          <cell r="O9180" t="str">
            <v>Procyon Benefits LLC</v>
          </cell>
        </row>
        <row r="9181">
          <cell r="D9181">
            <v>4797</v>
          </cell>
          <cell r="H9181">
            <v>45809</v>
          </cell>
          <cell r="I9181" t="str">
            <v>6440 - Bad Debt Expenses</v>
          </cell>
          <cell r="J9181">
            <v>0</v>
          </cell>
          <cell r="K9181" t="str">
            <v>Licensing</v>
          </cell>
          <cell r="L9181" t="str">
            <v>Other</v>
          </cell>
          <cell r="N9181" t="str">
            <v>SG&amp;A</v>
          </cell>
          <cell r="O9181" t="str">
            <v>[No Vendor]</v>
          </cell>
        </row>
        <row r="9182">
          <cell r="D9182">
            <v>175</v>
          </cell>
          <cell r="H9182">
            <v>45809</v>
          </cell>
          <cell r="I9182" t="str">
            <v>6420 - Licenses &amp; Membership</v>
          </cell>
          <cell r="J9182">
            <v>0</v>
          </cell>
          <cell r="K9182" t="str">
            <v>Production</v>
          </cell>
          <cell r="L9182" t="str">
            <v>Professional Service</v>
          </cell>
          <cell r="N9182" t="str">
            <v>SG&amp;A</v>
          </cell>
          <cell r="O9182" t="str">
            <v>GS1</v>
          </cell>
        </row>
        <row r="9183">
          <cell r="D9183">
            <v>153</v>
          </cell>
          <cell r="H9183">
            <v>45809</v>
          </cell>
          <cell r="I9183" t="str">
            <v>6420 - Licenses &amp; Membership</v>
          </cell>
          <cell r="J9183">
            <v>0</v>
          </cell>
          <cell r="K9183" t="str">
            <v>Brand Marketing</v>
          </cell>
          <cell r="L9183" t="str">
            <v>Professional Service</v>
          </cell>
          <cell r="N9183" t="str">
            <v>SG&amp;A</v>
          </cell>
          <cell r="O9183" t="str">
            <v>[No Vendor]</v>
          </cell>
        </row>
        <row r="9184">
          <cell r="D9184">
            <v>-30113.77</v>
          </cell>
          <cell r="H9184">
            <v>45809</v>
          </cell>
          <cell r="I9184" t="str">
            <v>6320 - Building Rent</v>
          </cell>
          <cell r="J9184">
            <v>0</v>
          </cell>
          <cell r="K9184" t="str">
            <v>Administration</v>
          </cell>
          <cell r="L9184" t="str">
            <v>Rent</v>
          </cell>
          <cell r="N9184" t="str">
            <v>SG&amp;A</v>
          </cell>
          <cell r="O9184" t="str">
            <v>[No Vendor]</v>
          </cell>
        </row>
        <row r="9185">
          <cell r="D9185">
            <v>-3224</v>
          </cell>
          <cell r="H9185">
            <v>45809</v>
          </cell>
          <cell r="I9185" t="str">
            <v>6375 - Freight Expenses</v>
          </cell>
          <cell r="J9185" t="str">
            <v>Ecommerce (US)</v>
          </cell>
          <cell r="K9185" t="str">
            <v>Ecommerce</v>
          </cell>
          <cell r="L9185" t="str">
            <v>Freight</v>
          </cell>
          <cell r="N9185" t="str">
            <v>Direct Costs</v>
          </cell>
          <cell r="O9185" t="str">
            <v>[No Vendor]</v>
          </cell>
        </row>
        <row r="9186">
          <cell r="D9186">
            <v>419.37</v>
          </cell>
          <cell r="H9186">
            <v>45809</v>
          </cell>
          <cell r="I9186" t="str">
            <v>6375 - Freight Expenses</v>
          </cell>
          <cell r="J9186" t="str">
            <v>Ecommerce (US)</v>
          </cell>
          <cell r="K9186" t="str">
            <v>Ecommerce</v>
          </cell>
          <cell r="L9186" t="str">
            <v>Freight</v>
          </cell>
          <cell r="N9186" t="str">
            <v>Direct Costs</v>
          </cell>
          <cell r="O9186" t="str">
            <v>Amazon</v>
          </cell>
        </row>
        <row r="9187">
          <cell r="D9187">
            <v>-66168</v>
          </cell>
          <cell r="H9187">
            <v>45809</v>
          </cell>
          <cell r="I9187" t="str">
            <v>6375 - Freight Expenses</v>
          </cell>
          <cell r="J9187" t="str">
            <v>Ecommerce (US)</v>
          </cell>
          <cell r="K9187" t="str">
            <v>Ecommerce</v>
          </cell>
          <cell r="L9187" t="str">
            <v>Freight</v>
          </cell>
          <cell r="N9187" t="str">
            <v>Direct Costs</v>
          </cell>
          <cell r="O9187" t="str">
            <v>[No Vendor]</v>
          </cell>
        </row>
        <row r="9188">
          <cell r="D9188">
            <v>5000</v>
          </cell>
          <cell r="H9188">
            <v>45809</v>
          </cell>
          <cell r="I9188" t="str">
            <v>6375 - Freight Expenses</v>
          </cell>
          <cell r="J9188" t="str">
            <v>Ecommerce (US)</v>
          </cell>
          <cell r="K9188" t="str">
            <v>Ecommerce</v>
          </cell>
          <cell r="L9188" t="str">
            <v>Freight</v>
          </cell>
          <cell r="N9188" t="str">
            <v>Direct Costs</v>
          </cell>
          <cell r="O9188" t="str">
            <v>UPS Supply Chain Solutions Inc. (7F24A0)</v>
          </cell>
        </row>
        <row r="9189">
          <cell r="D9189">
            <v>9215.83</v>
          </cell>
          <cell r="H9189">
            <v>45809</v>
          </cell>
          <cell r="I9189" t="str">
            <v>6375 - Freight Expenses</v>
          </cell>
          <cell r="J9189" t="str">
            <v>Ecommerce (EU)</v>
          </cell>
          <cell r="K9189" t="str">
            <v>Ecommerce</v>
          </cell>
          <cell r="L9189" t="str">
            <v>Freight</v>
          </cell>
          <cell r="N9189" t="str">
            <v>Direct Costs</v>
          </cell>
          <cell r="O9189" t="str">
            <v>Global E</v>
          </cell>
        </row>
        <row r="9190">
          <cell r="D9190">
            <v>353.64</v>
          </cell>
          <cell r="H9190">
            <v>45809</v>
          </cell>
          <cell r="I9190" t="str">
            <v>6375 - Freight Expenses</v>
          </cell>
          <cell r="J9190" t="str">
            <v>Wholesale</v>
          </cell>
          <cell r="K9190" t="str">
            <v>Wholesale</v>
          </cell>
          <cell r="L9190" t="str">
            <v>Freight</v>
          </cell>
          <cell r="N9190" t="str">
            <v>Direct Costs</v>
          </cell>
          <cell r="O9190" t="str">
            <v>[No Vendor]</v>
          </cell>
        </row>
        <row r="9191">
          <cell r="D9191">
            <v>-1256.43</v>
          </cell>
          <cell r="H9191">
            <v>45809</v>
          </cell>
          <cell r="I9191" t="str">
            <v>6375 - Freight Expenses</v>
          </cell>
          <cell r="J9191" t="str">
            <v>Wholesale</v>
          </cell>
          <cell r="K9191" t="str">
            <v>Wholesale</v>
          </cell>
          <cell r="L9191" t="str">
            <v>Freight</v>
          </cell>
          <cell r="N9191" t="str">
            <v>Direct Costs</v>
          </cell>
          <cell r="O9191" t="str">
            <v>[No Vendor]</v>
          </cell>
        </row>
        <row r="9192">
          <cell r="D9192">
            <v>14.15</v>
          </cell>
          <cell r="H9192">
            <v>45809</v>
          </cell>
          <cell r="I9192" t="str">
            <v>7030 - Plant Machinery &amp; Equipment</v>
          </cell>
          <cell r="J9192">
            <v>0</v>
          </cell>
          <cell r="K9192" t="str">
            <v>Administration</v>
          </cell>
          <cell r="L9192" t="str">
            <v>Depreciation &amp; Amortization</v>
          </cell>
          <cell r="N9192" t="str">
            <v>SG&amp;A</v>
          </cell>
          <cell r="O9192" t="str">
            <v>[No Vendor]</v>
          </cell>
        </row>
        <row r="9193">
          <cell r="D9193">
            <v>15.83</v>
          </cell>
          <cell r="H9193">
            <v>45809</v>
          </cell>
          <cell r="I9193" t="str">
            <v>7030 - Plant Machinery &amp; Equipment</v>
          </cell>
          <cell r="J9193">
            <v>0</v>
          </cell>
          <cell r="K9193" t="str">
            <v>Production</v>
          </cell>
          <cell r="L9193" t="str">
            <v>Depreciation &amp; Amortization</v>
          </cell>
          <cell r="N9193" t="str">
            <v>SG&amp;A</v>
          </cell>
          <cell r="O9193" t="str">
            <v>[No Vendor]</v>
          </cell>
        </row>
        <row r="9194">
          <cell r="D9194">
            <v>-63.79</v>
          </cell>
          <cell r="H9194">
            <v>45809</v>
          </cell>
          <cell r="I9194" t="str">
            <v>6040 - Employer Paid Benefits</v>
          </cell>
          <cell r="J9194">
            <v>0</v>
          </cell>
          <cell r="K9194" t="str">
            <v>Brand Marketing</v>
          </cell>
          <cell r="L9194" t="str">
            <v>HQ Salaries</v>
          </cell>
          <cell r="N9194" t="str">
            <v>SG&amp;A</v>
          </cell>
          <cell r="O9194" t="str">
            <v>[No Vendor]</v>
          </cell>
        </row>
        <row r="9195">
          <cell r="D9195">
            <v>-199.51</v>
          </cell>
          <cell r="H9195">
            <v>45809</v>
          </cell>
          <cell r="I9195" t="str">
            <v>6040 - Employer Paid Benefits</v>
          </cell>
          <cell r="J9195">
            <v>0</v>
          </cell>
          <cell r="K9195" t="str">
            <v>Executive</v>
          </cell>
          <cell r="L9195" t="str">
            <v>HQ Salaries</v>
          </cell>
          <cell r="N9195" t="str">
            <v>SG&amp;A</v>
          </cell>
          <cell r="O9195" t="str">
            <v>[No Vendor]</v>
          </cell>
        </row>
        <row r="9196">
          <cell r="D9196">
            <v>-194.53</v>
          </cell>
          <cell r="H9196">
            <v>45809</v>
          </cell>
          <cell r="I9196" t="str">
            <v>6040 - Employer Paid Benefits</v>
          </cell>
          <cell r="J9196" t="str">
            <v>Ecommerce (US)</v>
          </cell>
          <cell r="K9196" t="str">
            <v>Ecommerce</v>
          </cell>
          <cell r="L9196" t="str">
            <v>HQ Salaries</v>
          </cell>
          <cell r="N9196" t="str">
            <v>SG&amp;A</v>
          </cell>
          <cell r="O9196" t="str">
            <v>[No Vendor]</v>
          </cell>
        </row>
        <row r="9197">
          <cell r="D9197">
            <v>-265.45</v>
          </cell>
          <cell r="H9197">
            <v>45809</v>
          </cell>
          <cell r="I9197" t="str">
            <v>6040 - Employer Paid Benefits</v>
          </cell>
          <cell r="J9197">
            <v>0</v>
          </cell>
          <cell r="K9197" t="str">
            <v>Design</v>
          </cell>
          <cell r="L9197" t="str">
            <v>HQ Salaries</v>
          </cell>
          <cell r="N9197" t="str">
            <v>SG&amp;A</v>
          </cell>
          <cell r="O9197" t="str">
            <v>[No Vendor]</v>
          </cell>
        </row>
        <row r="9198">
          <cell r="D9198">
            <v>-135.81</v>
          </cell>
          <cell r="H9198">
            <v>45809</v>
          </cell>
          <cell r="I9198" t="str">
            <v>6040 - Employer Paid Benefits</v>
          </cell>
          <cell r="J9198">
            <v>0</v>
          </cell>
          <cell r="K9198" t="str">
            <v>Administration</v>
          </cell>
          <cell r="L9198" t="str">
            <v>HQ Salaries</v>
          </cell>
          <cell r="N9198" t="str">
            <v>SG&amp;A</v>
          </cell>
          <cell r="O9198" t="str">
            <v>[No Vendor]</v>
          </cell>
        </row>
        <row r="9199">
          <cell r="D9199">
            <v>-20.94</v>
          </cell>
          <cell r="H9199">
            <v>45809</v>
          </cell>
          <cell r="I9199" t="str">
            <v>6040 - Employer Paid Benefits</v>
          </cell>
          <cell r="J9199">
            <v>0</v>
          </cell>
          <cell r="K9199" t="str">
            <v>Merchandising</v>
          </cell>
          <cell r="L9199" t="str">
            <v>HQ Salaries</v>
          </cell>
          <cell r="N9199" t="str">
            <v>SG&amp;A</v>
          </cell>
          <cell r="O9199" t="str">
            <v>[No Vendor]</v>
          </cell>
        </row>
        <row r="9200">
          <cell r="D9200">
            <v>-20.94</v>
          </cell>
          <cell r="H9200">
            <v>45809</v>
          </cell>
          <cell r="I9200" t="str">
            <v>6040 - Employer Paid Benefits</v>
          </cell>
          <cell r="J9200" t="str">
            <v>Wholesale</v>
          </cell>
          <cell r="K9200" t="str">
            <v>Wholesale</v>
          </cell>
          <cell r="L9200" t="str">
            <v>HQ Salaries</v>
          </cell>
          <cell r="N9200" t="str">
            <v>SG&amp;A</v>
          </cell>
          <cell r="O9200" t="str">
            <v>[No Vendor]</v>
          </cell>
        </row>
        <row r="9201">
          <cell r="D9201">
            <v>-135.41999999999999</v>
          </cell>
          <cell r="H9201">
            <v>45809</v>
          </cell>
          <cell r="I9201" t="str">
            <v>6040 - Employer Paid Benefits</v>
          </cell>
          <cell r="J9201">
            <v>0</v>
          </cell>
          <cell r="K9201" t="str">
            <v>Production</v>
          </cell>
          <cell r="L9201" t="str">
            <v>HQ Salaries</v>
          </cell>
          <cell r="N9201" t="str">
            <v>SG&amp;A</v>
          </cell>
          <cell r="O9201" t="str">
            <v>[No Vendor]</v>
          </cell>
        </row>
        <row r="9202">
          <cell r="D9202">
            <v>0</v>
          </cell>
          <cell r="H9202">
            <v>45809</v>
          </cell>
          <cell r="I9202" t="str">
            <v>4010 - Revenue - Licensing Fees (Royalties)</v>
          </cell>
          <cell r="J9202">
            <v>0</v>
          </cell>
          <cell r="K9202" t="str">
            <v>Licensing</v>
          </cell>
          <cell r="L9202" t="str">
            <v>License</v>
          </cell>
          <cell r="N9202" t="str">
            <v>Revenue</v>
          </cell>
          <cell r="O9202" t="str">
            <v>[No Vendor]</v>
          </cell>
        </row>
        <row r="9203">
          <cell r="D9203">
            <v>0</v>
          </cell>
          <cell r="H9203">
            <v>45809</v>
          </cell>
          <cell r="I9203" t="str">
            <v>4010 - Revenue - Licensing Fees (Royalties)</v>
          </cell>
          <cell r="J9203">
            <v>0</v>
          </cell>
          <cell r="K9203" t="str">
            <v>Licensing</v>
          </cell>
          <cell r="L9203" t="str">
            <v>License</v>
          </cell>
          <cell r="N9203" t="str">
            <v>Revenue</v>
          </cell>
          <cell r="O9203" t="str">
            <v>[No Vendor]</v>
          </cell>
        </row>
        <row r="9204">
          <cell r="D9204">
            <v>-4166.67</v>
          </cell>
          <cell r="H9204">
            <v>45809</v>
          </cell>
          <cell r="I9204" t="str">
            <v>4010 - Revenue - Licensing Fees (Royalties)</v>
          </cell>
          <cell r="J9204">
            <v>0</v>
          </cell>
          <cell r="K9204" t="str">
            <v>Licensing</v>
          </cell>
          <cell r="L9204" t="str">
            <v>License</v>
          </cell>
          <cell r="N9204" t="str">
            <v>Revenue</v>
          </cell>
          <cell r="O9204" t="str">
            <v>[No Vendor]</v>
          </cell>
        </row>
        <row r="9205">
          <cell r="D9205">
            <v>-47151.88</v>
          </cell>
          <cell r="H9205">
            <v>45809</v>
          </cell>
          <cell r="I9205" t="str">
            <v>4010 - Revenue - Licensing Fees (Royalties)</v>
          </cell>
          <cell r="J9205">
            <v>0</v>
          </cell>
          <cell r="K9205" t="str">
            <v>Licensing</v>
          </cell>
          <cell r="L9205" t="str">
            <v>License</v>
          </cell>
          <cell r="N9205" t="str">
            <v>Revenue</v>
          </cell>
          <cell r="O9205" t="str">
            <v>[No Vendor]</v>
          </cell>
        </row>
        <row r="9206">
          <cell r="D9206">
            <v>0</v>
          </cell>
          <cell r="H9206">
            <v>45809</v>
          </cell>
          <cell r="I9206" t="str">
            <v>4010 - Revenue - Licensing Fees (Royalties)</v>
          </cell>
          <cell r="J9206">
            <v>0</v>
          </cell>
          <cell r="K9206" t="str">
            <v>Licensing</v>
          </cell>
          <cell r="L9206" t="str">
            <v>License</v>
          </cell>
          <cell r="N9206" t="str">
            <v>Revenue</v>
          </cell>
          <cell r="O9206" t="str">
            <v>[No Vendor]</v>
          </cell>
        </row>
        <row r="9207">
          <cell r="D9207">
            <v>0</v>
          </cell>
          <cell r="H9207">
            <v>45809</v>
          </cell>
          <cell r="I9207" t="str">
            <v>4010 - Revenue - Licensing Fees (Royalties)</v>
          </cell>
          <cell r="J9207">
            <v>0</v>
          </cell>
          <cell r="K9207" t="str">
            <v>Licensing</v>
          </cell>
          <cell r="L9207" t="str">
            <v>License</v>
          </cell>
          <cell r="N9207" t="str">
            <v>Revenue</v>
          </cell>
          <cell r="O9207" t="str">
            <v>[No Vendor]</v>
          </cell>
        </row>
        <row r="9208">
          <cell r="D9208">
            <v>47184</v>
          </cell>
          <cell r="H9208">
            <v>45809</v>
          </cell>
          <cell r="I9208" t="str">
            <v>4010 - Revenue - Licensing Fees (Royalties)</v>
          </cell>
          <cell r="J9208">
            <v>0</v>
          </cell>
          <cell r="K9208" t="str">
            <v>Licensing</v>
          </cell>
          <cell r="L9208" t="str">
            <v>License</v>
          </cell>
          <cell r="N9208" t="str">
            <v>Revenue</v>
          </cell>
          <cell r="O9208" t="str">
            <v>[No Vendor]</v>
          </cell>
        </row>
        <row r="9209">
          <cell r="D9209">
            <v>0</v>
          </cell>
          <cell r="H9209">
            <v>45809</v>
          </cell>
          <cell r="I9209" t="str">
            <v>4010 - Revenue - Licensing Fees (Royalties)</v>
          </cell>
          <cell r="J9209">
            <v>0</v>
          </cell>
          <cell r="K9209" t="str">
            <v>Licensing</v>
          </cell>
          <cell r="L9209" t="str">
            <v>License</v>
          </cell>
          <cell r="N9209" t="str">
            <v>Revenue</v>
          </cell>
          <cell r="O9209" t="str">
            <v>[No Vendor]</v>
          </cell>
        </row>
        <row r="9210">
          <cell r="D9210">
            <v>0</v>
          </cell>
          <cell r="H9210">
            <v>45809</v>
          </cell>
          <cell r="I9210" t="str">
            <v>4020 - Revenue - Marketing Contribution</v>
          </cell>
          <cell r="J9210">
            <v>0</v>
          </cell>
          <cell r="K9210" t="str">
            <v>Licensing</v>
          </cell>
          <cell r="L9210" t="str">
            <v>License</v>
          </cell>
          <cell r="N9210" t="str">
            <v>Revenue</v>
          </cell>
          <cell r="O9210" t="str">
            <v>[No Vendor]</v>
          </cell>
        </row>
        <row r="9211">
          <cell r="D9211">
            <v>2007.7</v>
          </cell>
          <cell r="H9211">
            <v>45809</v>
          </cell>
          <cell r="I9211" t="str">
            <v>6005 - Salaries</v>
          </cell>
          <cell r="J9211" t="str">
            <v>Wholesale</v>
          </cell>
          <cell r="K9211" t="str">
            <v>Wholesale</v>
          </cell>
          <cell r="L9211" t="str">
            <v>HQ Salaries</v>
          </cell>
          <cell r="N9211" t="str">
            <v>SG&amp;A</v>
          </cell>
          <cell r="O9211" t="str">
            <v>[No Vendor]</v>
          </cell>
        </row>
        <row r="9212">
          <cell r="D9212">
            <v>5432.31</v>
          </cell>
          <cell r="H9212">
            <v>45809</v>
          </cell>
          <cell r="I9212" t="str">
            <v>6005 - Salaries</v>
          </cell>
          <cell r="J9212">
            <v>0</v>
          </cell>
          <cell r="K9212" t="str">
            <v>Merchandising</v>
          </cell>
          <cell r="L9212" t="str">
            <v>HQ Salaries</v>
          </cell>
          <cell r="N9212" t="str">
            <v>SG&amp;A</v>
          </cell>
          <cell r="O9212" t="str">
            <v>[No Vendor]</v>
          </cell>
        </row>
        <row r="9213">
          <cell r="D9213">
            <v>16614.7</v>
          </cell>
          <cell r="H9213">
            <v>45809</v>
          </cell>
          <cell r="I9213" t="str">
            <v>6005 - Salaries</v>
          </cell>
          <cell r="J9213">
            <v>0</v>
          </cell>
          <cell r="K9213" t="str">
            <v>Administration</v>
          </cell>
          <cell r="L9213" t="str">
            <v>HQ Salaries</v>
          </cell>
          <cell r="N9213" t="str">
            <v>SG&amp;A</v>
          </cell>
          <cell r="O9213" t="str">
            <v>[No Vendor]</v>
          </cell>
        </row>
        <row r="9214">
          <cell r="D9214">
            <v>13463.09</v>
          </cell>
          <cell r="H9214">
            <v>45809</v>
          </cell>
          <cell r="I9214" t="str">
            <v>6005 - Salaries</v>
          </cell>
          <cell r="J9214">
            <v>0</v>
          </cell>
          <cell r="K9214" t="str">
            <v>Design</v>
          </cell>
          <cell r="L9214" t="str">
            <v>HQ Salaries</v>
          </cell>
          <cell r="N9214" t="str">
            <v>SG&amp;A</v>
          </cell>
          <cell r="O9214" t="str">
            <v>[No Vendor]</v>
          </cell>
        </row>
        <row r="9215">
          <cell r="D9215">
            <v>12424.63</v>
          </cell>
          <cell r="H9215">
            <v>45809</v>
          </cell>
          <cell r="I9215" t="str">
            <v>6005 - Salaries</v>
          </cell>
          <cell r="J9215" t="str">
            <v>Ecommerce (US)</v>
          </cell>
          <cell r="K9215" t="str">
            <v>Ecommerce</v>
          </cell>
          <cell r="L9215" t="str">
            <v>HQ Salaries</v>
          </cell>
          <cell r="N9215" t="str">
            <v>SG&amp;A</v>
          </cell>
          <cell r="O9215" t="str">
            <v>[No Vendor]</v>
          </cell>
        </row>
        <row r="9216">
          <cell r="D9216">
            <v>6823.85</v>
          </cell>
          <cell r="H9216">
            <v>45809</v>
          </cell>
          <cell r="I9216" t="str">
            <v>6005 - Salaries</v>
          </cell>
          <cell r="J9216">
            <v>0</v>
          </cell>
          <cell r="K9216" t="str">
            <v>Executive</v>
          </cell>
          <cell r="L9216" t="str">
            <v>HQ Salaries</v>
          </cell>
          <cell r="N9216" t="str">
            <v>SG&amp;A</v>
          </cell>
          <cell r="O9216" t="str">
            <v>[No Vendor]</v>
          </cell>
        </row>
        <row r="9217">
          <cell r="D9217">
            <v>1730.77</v>
          </cell>
          <cell r="H9217">
            <v>45809</v>
          </cell>
          <cell r="I9217" t="str">
            <v>6005 - Salaries</v>
          </cell>
          <cell r="J9217">
            <v>0</v>
          </cell>
          <cell r="K9217" t="str">
            <v>Brand Marketing</v>
          </cell>
          <cell r="L9217" t="str">
            <v>HQ Salaries</v>
          </cell>
          <cell r="N9217" t="str">
            <v>SG&amp;A</v>
          </cell>
          <cell r="O9217" t="str">
            <v>[No Vendor]</v>
          </cell>
        </row>
        <row r="9218">
          <cell r="D9218">
            <v>9087.7000000000007</v>
          </cell>
          <cell r="H9218">
            <v>45809</v>
          </cell>
          <cell r="I9218" t="str">
            <v>6005 - Salaries</v>
          </cell>
          <cell r="J9218">
            <v>0</v>
          </cell>
          <cell r="K9218" t="str">
            <v>Production</v>
          </cell>
          <cell r="L9218" t="str">
            <v>HQ Salaries</v>
          </cell>
          <cell r="N9218" t="str">
            <v>SG&amp;A</v>
          </cell>
          <cell r="O9218" t="str">
            <v>[No Vendor]</v>
          </cell>
        </row>
        <row r="9219">
          <cell r="D9219">
            <v>30000</v>
          </cell>
          <cell r="H9219">
            <v>45839</v>
          </cell>
          <cell r="I9219" t="str">
            <v>4010 - Revenue - Licensing Fees (Royalties)</v>
          </cell>
          <cell r="J9219">
            <v>0</v>
          </cell>
          <cell r="K9219" t="str">
            <v>Licensing</v>
          </cell>
          <cell r="L9219" t="str">
            <v>License</v>
          </cell>
          <cell r="N9219" t="str">
            <v>Revenue</v>
          </cell>
          <cell r="O9219" t="str">
            <v>[No Vendor]</v>
          </cell>
        </row>
        <row r="9220">
          <cell r="D9220">
            <v>-4166.67</v>
          </cell>
          <cell r="H9220">
            <v>45839</v>
          </cell>
          <cell r="I9220" t="str">
            <v>4010 - Revenue - Licensing Fees (Royalties)</v>
          </cell>
          <cell r="J9220">
            <v>0</v>
          </cell>
          <cell r="K9220" t="str">
            <v>Licensing</v>
          </cell>
          <cell r="L9220" t="str">
            <v>License</v>
          </cell>
          <cell r="N9220" t="str">
            <v>Revenue</v>
          </cell>
          <cell r="O9220" t="str">
            <v>[No Vendor]</v>
          </cell>
        </row>
        <row r="9221">
          <cell r="D9221">
            <v>-74224.78</v>
          </cell>
          <cell r="H9221">
            <v>45839</v>
          </cell>
          <cell r="I9221" t="str">
            <v>4010 - Revenue - Licensing Fees (Royalties)</v>
          </cell>
          <cell r="J9221">
            <v>0</v>
          </cell>
          <cell r="K9221" t="str">
            <v>Licensing</v>
          </cell>
          <cell r="L9221" t="str">
            <v>License</v>
          </cell>
          <cell r="N9221" t="str">
            <v>Revenue</v>
          </cell>
          <cell r="O9221" t="str">
            <v>[No Vendor]</v>
          </cell>
        </row>
        <row r="9222">
          <cell r="D9222">
            <v>0</v>
          </cell>
          <cell r="H9222">
            <v>45839</v>
          </cell>
          <cell r="I9222" t="str">
            <v>4010 - Revenue - Licensing Fees (Royalties)</v>
          </cell>
          <cell r="J9222">
            <v>0</v>
          </cell>
          <cell r="K9222" t="str">
            <v>Licensing</v>
          </cell>
          <cell r="L9222" t="str">
            <v>License</v>
          </cell>
          <cell r="N9222" t="str">
            <v>Revenue</v>
          </cell>
          <cell r="O9222" t="str">
            <v>[No Vendor]</v>
          </cell>
        </row>
        <row r="9223">
          <cell r="D9223">
            <v>-47901.58</v>
          </cell>
          <cell r="H9223">
            <v>45839</v>
          </cell>
          <cell r="I9223" t="str">
            <v>4010 - Revenue - Licensing Fees (Royalties)</v>
          </cell>
          <cell r="J9223">
            <v>0</v>
          </cell>
          <cell r="K9223" t="str">
            <v>Licensing</v>
          </cell>
          <cell r="L9223" t="str">
            <v>License</v>
          </cell>
          <cell r="N9223" t="str">
            <v>Revenue</v>
          </cell>
          <cell r="O9223" t="str">
            <v>[No Vendor]</v>
          </cell>
        </row>
        <row r="9224">
          <cell r="D9224">
            <v>0</v>
          </cell>
          <cell r="H9224">
            <v>45839</v>
          </cell>
          <cell r="I9224" t="str">
            <v>4010 - Revenue - Licensing Fees (Royalties)</v>
          </cell>
          <cell r="J9224">
            <v>0</v>
          </cell>
          <cell r="K9224" t="str">
            <v>Licensing</v>
          </cell>
          <cell r="L9224" t="str">
            <v>License</v>
          </cell>
          <cell r="N9224" t="str">
            <v>Revenue</v>
          </cell>
          <cell r="O9224" t="str">
            <v>[No Vendor]</v>
          </cell>
        </row>
        <row r="9225">
          <cell r="D9225">
            <v>0</v>
          </cell>
          <cell r="H9225">
            <v>45839</v>
          </cell>
          <cell r="I9225" t="str">
            <v>4010 - Revenue - Licensing Fees (Royalties)</v>
          </cell>
          <cell r="J9225">
            <v>0</v>
          </cell>
          <cell r="K9225" t="str">
            <v>Licensing</v>
          </cell>
          <cell r="L9225" t="str">
            <v>License</v>
          </cell>
          <cell r="N9225" t="str">
            <v>Revenue</v>
          </cell>
          <cell r="O9225" t="str">
            <v>[No Vendor]</v>
          </cell>
        </row>
        <row r="9226">
          <cell r="D9226">
            <v>0</v>
          </cell>
          <cell r="H9226">
            <v>45839</v>
          </cell>
          <cell r="I9226" t="str">
            <v>4010 - Revenue - Licensing Fees (Royalties)</v>
          </cell>
          <cell r="J9226">
            <v>0</v>
          </cell>
          <cell r="K9226" t="str">
            <v>Licensing</v>
          </cell>
          <cell r="L9226" t="str">
            <v>License</v>
          </cell>
          <cell r="N9226" t="str">
            <v>Revenue</v>
          </cell>
          <cell r="O9226" t="str">
            <v>[No Vendor]</v>
          </cell>
        </row>
        <row r="9227">
          <cell r="D9227">
            <v>0</v>
          </cell>
          <cell r="H9227">
            <v>45839</v>
          </cell>
          <cell r="I9227" t="str">
            <v>4010 - Revenue - Licensing Fees (Royalties)</v>
          </cell>
          <cell r="J9227">
            <v>0</v>
          </cell>
          <cell r="K9227" t="str">
            <v>Licensing</v>
          </cell>
          <cell r="L9227" t="str">
            <v>License</v>
          </cell>
          <cell r="N9227" t="str">
            <v>Revenue</v>
          </cell>
          <cell r="O9227" t="str">
            <v>[No Vendor]</v>
          </cell>
        </row>
        <row r="9228">
          <cell r="D9228">
            <v>0</v>
          </cell>
          <cell r="H9228">
            <v>45839</v>
          </cell>
          <cell r="I9228" t="str">
            <v>4020 - Revenue - Marketing Contribution</v>
          </cell>
          <cell r="J9228">
            <v>0</v>
          </cell>
          <cell r="K9228" t="str">
            <v>Licensing</v>
          </cell>
          <cell r="L9228" t="str">
            <v>License</v>
          </cell>
          <cell r="N9228" t="str">
            <v>Revenue</v>
          </cell>
          <cell r="O9228" t="str">
            <v>[No Vendor]</v>
          </cell>
        </row>
        <row r="9229">
          <cell r="D9229">
            <v>-68469.58</v>
          </cell>
          <cell r="H9229">
            <v>45839</v>
          </cell>
          <cell r="I9229" t="str">
            <v>4050 - Sales Revenue - Ecommerce (US)</v>
          </cell>
          <cell r="J9229" t="str">
            <v>Ecommerce (US)</v>
          </cell>
          <cell r="K9229" t="str">
            <v>Ecommerce</v>
          </cell>
          <cell r="L9229" t="str">
            <v>Ecommerce (US)</v>
          </cell>
          <cell r="N9229" t="str">
            <v>Revenue</v>
          </cell>
          <cell r="O9229" t="str">
            <v>[No Vendor]</v>
          </cell>
        </row>
        <row r="9230">
          <cell r="D9230">
            <v>-1421513.03</v>
          </cell>
          <cell r="H9230">
            <v>45839</v>
          </cell>
          <cell r="I9230" t="str">
            <v>4050 - Sales Revenue - Ecommerce (US)</v>
          </cell>
          <cell r="J9230" t="str">
            <v>Ecommerce (US)</v>
          </cell>
          <cell r="K9230" t="str">
            <v>Ecommerce</v>
          </cell>
          <cell r="L9230" t="str">
            <v>Ecommerce (US)</v>
          </cell>
          <cell r="N9230" t="str">
            <v>Revenue</v>
          </cell>
          <cell r="O9230" t="str">
            <v>[No Vendor]</v>
          </cell>
        </row>
        <row r="9231">
          <cell r="D9231">
            <v>-87017.04</v>
          </cell>
          <cell r="H9231">
            <v>45839</v>
          </cell>
          <cell r="I9231" t="str">
            <v>4051 - Sales Revenue - Ecommerce (Intl)</v>
          </cell>
          <cell r="J9231" t="str">
            <v>Ecommerce (EU)</v>
          </cell>
          <cell r="K9231" t="str">
            <v>Ecommerce</v>
          </cell>
          <cell r="L9231" t="str">
            <v>Ecommerce (EU)</v>
          </cell>
          <cell r="N9231" t="str">
            <v>Revenue</v>
          </cell>
          <cell r="O9231" t="str">
            <v>[No Vendor]</v>
          </cell>
        </row>
        <row r="9232">
          <cell r="D9232">
            <v>-74747</v>
          </cell>
          <cell r="H9232">
            <v>45839</v>
          </cell>
          <cell r="I9232" t="str">
            <v>4052 - Sales Revenue - Wholesale (US)</v>
          </cell>
          <cell r="J9232" t="str">
            <v>Wholesale</v>
          </cell>
          <cell r="K9232" t="str">
            <v>Wholesale</v>
          </cell>
          <cell r="L9232" t="str">
            <v>Wholesale</v>
          </cell>
          <cell r="N9232" t="str">
            <v>Revenue</v>
          </cell>
          <cell r="O9232" t="str">
            <v>[No Vendor]</v>
          </cell>
        </row>
        <row r="9233">
          <cell r="D9233">
            <v>0</v>
          </cell>
          <cell r="H9233">
            <v>45839</v>
          </cell>
          <cell r="I9233" t="str">
            <v>4070 - Sales - Other</v>
          </cell>
          <cell r="J9233">
            <v>0</v>
          </cell>
          <cell r="K9233" t="str">
            <v>Licensing</v>
          </cell>
          <cell r="L9233" t="str">
            <v>Other Income</v>
          </cell>
          <cell r="N9233" t="str">
            <v>Revenue</v>
          </cell>
          <cell r="O9233" t="str">
            <v>[No Vendor]</v>
          </cell>
        </row>
        <row r="9234">
          <cell r="D9234">
            <v>-9629.2999999999993</v>
          </cell>
          <cell r="H9234">
            <v>45839</v>
          </cell>
          <cell r="I9234" t="str">
            <v>4900 - Interco Royalty Revenue</v>
          </cell>
          <cell r="J9234">
            <v>0</v>
          </cell>
          <cell r="K9234" t="str">
            <v>Licensing</v>
          </cell>
          <cell r="L9234">
            <v>0</v>
          </cell>
          <cell r="N9234">
            <v>0</v>
          </cell>
          <cell r="O9234" t="str">
            <v>[No Vendor]</v>
          </cell>
        </row>
        <row r="9235">
          <cell r="D9235">
            <v>0</v>
          </cell>
          <cell r="H9235">
            <v>45839</v>
          </cell>
          <cell r="I9235" t="str">
            <v>4062 - Sales Discount - Ecomm (US)</v>
          </cell>
          <cell r="J9235" t="str">
            <v>Ecommerce (US)</v>
          </cell>
          <cell r="K9235" t="str">
            <v>Ecommerce</v>
          </cell>
          <cell r="L9235" t="str">
            <v>Ecommerce (US)</v>
          </cell>
          <cell r="N9235" t="str">
            <v>Revenue</v>
          </cell>
          <cell r="O9235" t="str">
            <v>[No Vendor]</v>
          </cell>
        </row>
        <row r="9236">
          <cell r="D9236">
            <v>104472.98</v>
          </cell>
          <cell r="H9236">
            <v>45839</v>
          </cell>
          <cell r="I9236" t="str">
            <v>4062 - Sales Discount - Ecomm (US)</v>
          </cell>
          <cell r="J9236" t="str">
            <v>Ecommerce (US)</v>
          </cell>
          <cell r="K9236" t="str">
            <v>Ecommerce</v>
          </cell>
          <cell r="L9236" t="str">
            <v>Ecommerce (US)</v>
          </cell>
          <cell r="N9236" t="str">
            <v>Revenue</v>
          </cell>
          <cell r="O9236" t="str">
            <v>[No Vendor]</v>
          </cell>
        </row>
        <row r="9237">
          <cell r="D9237">
            <v>12115.1</v>
          </cell>
          <cell r="H9237">
            <v>45839</v>
          </cell>
          <cell r="I9237" t="str">
            <v>4063 - Sales Discount - Wholesale (US)</v>
          </cell>
          <cell r="J9237" t="str">
            <v>Wholesale</v>
          </cell>
          <cell r="K9237" t="str">
            <v>Wholesale</v>
          </cell>
          <cell r="L9237" t="str">
            <v>Wholesale</v>
          </cell>
          <cell r="N9237" t="str">
            <v>Revenue</v>
          </cell>
          <cell r="O9237" t="str">
            <v>[No Vendor]</v>
          </cell>
        </row>
        <row r="9238">
          <cell r="D9238">
            <v>34322.46</v>
          </cell>
          <cell r="H9238">
            <v>45839</v>
          </cell>
          <cell r="I9238" t="str">
            <v>5000 - Cost of Goods Sold</v>
          </cell>
          <cell r="J9238" t="str">
            <v>Ecommerce (EU)</v>
          </cell>
          <cell r="K9238" t="str">
            <v>Ecommerce</v>
          </cell>
          <cell r="L9238" t="str">
            <v>COGS</v>
          </cell>
          <cell r="N9238" t="str">
            <v>COGS</v>
          </cell>
          <cell r="O9238" t="str">
            <v>[No Vendor]</v>
          </cell>
        </row>
        <row r="9239">
          <cell r="D9239">
            <v>548024.14</v>
          </cell>
          <cell r="H9239">
            <v>45839</v>
          </cell>
          <cell r="I9239" t="str">
            <v>5000 - Cost of Goods Sold</v>
          </cell>
          <cell r="J9239" t="str">
            <v>Ecommerce (US)</v>
          </cell>
          <cell r="K9239" t="str">
            <v>Ecommerce</v>
          </cell>
          <cell r="L9239" t="str">
            <v>COGS</v>
          </cell>
          <cell r="N9239" t="str">
            <v>COGS</v>
          </cell>
          <cell r="O9239" t="str">
            <v>[No Vendor]</v>
          </cell>
        </row>
        <row r="9240">
          <cell r="D9240">
            <v>27857.43</v>
          </cell>
          <cell r="H9240">
            <v>45839</v>
          </cell>
          <cell r="I9240" t="str">
            <v>5000 - Cost of Goods Sold</v>
          </cell>
          <cell r="J9240" t="str">
            <v>Ecommerce (US)</v>
          </cell>
          <cell r="K9240" t="str">
            <v>Ecommerce</v>
          </cell>
          <cell r="L9240" t="str">
            <v>COGS</v>
          </cell>
          <cell r="N9240" t="str">
            <v>COGS</v>
          </cell>
          <cell r="O9240" t="str">
            <v>[No Vendor]</v>
          </cell>
        </row>
        <row r="9241">
          <cell r="D9241">
            <v>47795.82</v>
          </cell>
          <cell r="H9241">
            <v>45839</v>
          </cell>
          <cell r="I9241" t="str">
            <v>5000 - Cost of Goods Sold</v>
          </cell>
          <cell r="J9241" t="str">
            <v>Wholesale</v>
          </cell>
          <cell r="K9241" t="str">
            <v>Wholesale</v>
          </cell>
          <cell r="L9241" t="str">
            <v>COGS</v>
          </cell>
          <cell r="N9241" t="str">
            <v>COGS</v>
          </cell>
          <cell r="O9241" t="str">
            <v>[No Vendor]</v>
          </cell>
        </row>
        <row r="9242">
          <cell r="D9242">
            <v>-965.7</v>
          </cell>
          <cell r="H9242">
            <v>45839</v>
          </cell>
          <cell r="I9242" t="str">
            <v>5000 - Cost of Goods Sold</v>
          </cell>
          <cell r="J9242" t="str">
            <v>Wholesale</v>
          </cell>
          <cell r="K9242" t="str">
            <v>Wholesale</v>
          </cell>
          <cell r="L9242" t="str">
            <v>COGS</v>
          </cell>
          <cell r="N9242" t="str">
            <v>COGS</v>
          </cell>
          <cell r="O9242" t="str">
            <v>[No Vendor]</v>
          </cell>
        </row>
        <row r="9243">
          <cell r="D9243">
            <v>-5834.1</v>
          </cell>
          <cell r="H9243">
            <v>45839</v>
          </cell>
          <cell r="I9243" t="str">
            <v>5000 - Cost of Goods Sold</v>
          </cell>
          <cell r="J9243" t="str">
            <v>Wholesale</v>
          </cell>
          <cell r="K9243" t="str">
            <v>Wholesale</v>
          </cell>
          <cell r="L9243" t="str">
            <v>COGS</v>
          </cell>
          <cell r="N9243" t="str">
            <v>COGS</v>
          </cell>
          <cell r="O9243" t="str">
            <v>[No Vendor]</v>
          </cell>
        </row>
        <row r="9244">
          <cell r="D9244">
            <v>9629.2999999999993</v>
          </cell>
          <cell r="H9244">
            <v>45839</v>
          </cell>
          <cell r="I9244" t="str">
            <v>5900 - Interco Royalty Expense</v>
          </cell>
          <cell r="J9244">
            <v>0</v>
          </cell>
          <cell r="K9244" t="str">
            <v>Licensing</v>
          </cell>
          <cell r="L9244">
            <v>0</v>
          </cell>
          <cell r="N9244">
            <v>0</v>
          </cell>
          <cell r="O9244" t="str">
            <v>[No Vendor]</v>
          </cell>
        </row>
        <row r="9245">
          <cell r="D9245">
            <v>-2007.7</v>
          </cell>
          <cell r="H9245">
            <v>45839</v>
          </cell>
          <cell r="I9245" t="str">
            <v>6005 - Salaries</v>
          </cell>
          <cell r="J9245" t="str">
            <v>Wholesale</v>
          </cell>
          <cell r="K9245" t="str">
            <v>Wholesale</v>
          </cell>
          <cell r="L9245" t="str">
            <v>HQ Salaries</v>
          </cell>
          <cell r="N9245" t="str">
            <v>SG&amp;A</v>
          </cell>
          <cell r="O9245" t="str">
            <v>[No Vendor]</v>
          </cell>
        </row>
        <row r="9246">
          <cell r="D9246">
            <v>-9087.7000000000007</v>
          </cell>
          <cell r="H9246">
            <v>45839</v>
          </cell>
          <cell r="I9246" t="str">
            <v>6005 - Salaries</v>
          </cell>
          <cell r="J9246">
            <v>0</v>
          </cell>
          <cell r="K9246" t="str">
            <v>Production</v>
          </cell>
          <cell r="L9246" t="str">
            <v>HQ Salaries</v>
          </cell>
          <cell r="N9246" t="str">
            <v>SG&amp;A</v>
          </cell>
          <cell r="O9246" t="str">
            <v>[No Vendor]</v>
          </cell>
        </row>
        <row r="9247">
          <cell r="D9247">
            <v>-5432.31</v>
          </cell>
          <cell r="H9247">
            <v>45839</v>
          </cell>
          <cell r="I9247" t="str">
            <v>6005 - Salaries</v>
          </cell>
          <cell r="J9247">
            <v>0</v>
          </cell>
          <cell r="K9247" t="str">
            <v>Merchandising</v>
          </cell>
          <cell r="L9247" t="str">
            <v>HQ Salaries</v>
          </cell>
          <cell r="N9247" t="str">
            <v>SG&amp;A</v>
          </cell>
          <cell r="O9247" t="str">
            <v>[No Vendor]</v>
          </cell>
        </row>
        <row r="9248">
          <cell r="D9248">
            <v>-1730.77</v>
          </cell>
          <cell r="H9248">
            <v>45839</v>
          </cell>
          <cell r="I9248" t="str">
            <v>6005 - Salaries</v>
          </cell>
          <cell r="J9248">
            <v>0</v>
          </cell>
          <cell r="K9248" t="str">
            <v>Brand Marketing</v>
          </cell>
          <cell r="L9248" t="str">
            <v>HQ Salaries</v>
          </cell>
          <cell r="N9248" t="str">
            <v>SG&amp;A</v>
          </cell>
          <cell r="O9248" t="str">
            <v>[No Vendor]</v>
          </cell>
        </row>
        <row r="9249">
          <cell r="D9249">
            <v>-6823.85</v>
          </cell>
          <cell r="H9249">
            <v>45839</v>
          </cell>
          <cell r="I9249" t="str">
            <v>6005 - Salaries</v>
          </cell>
          <cell r="J9249">
            <v>0</v>
          </cell>
          <cell r="K9249" t="str">
            <v>Executive</v>
          </cell>
          <cell r="L9249" t="str">
            <v>HQ Salaries</v>
          </cell>
          <cell r="N9249" t="str">
            <v>SG&amp;A</v>
          </cell>
          <cell r="O9249" t="str">
            <v>[No Vendor]</v>
          </cell>
        </row>
        <row r="9250">
          <cell r="D9250">
            <v>-12424.63</v>
          </cell>
          <cell r="H9250">
            <v>45839</v>
          </cell>
          <cell r="I9250" t="str">
            <v>6005 - Salaries</v>
          </cell>
          <cell r="J9250" t="str">
            <v>Ecommerce (US)</v>
          </cell>
          <cell r="K9250" t="str">
            <v>Ecommerce</v>
          </cell>
          <cell r="L9250" t="str">
            <v>HQ Salaries</v>
          </cell>
          <cell r="N9250" t="str">
            <v>SG&amp;A</v>
          </cell>
          <cell r="O9250" t="str">
            <v>[No Vendor]</v>
          </cell>
        </row>
        <row r="9251">
          <cell r="D9251">
            <v>-13463.09</v>
          </cell>
          <cell r="H9251">
            <v>45839</v>
          </cell>
          <cell r="I9251" t="str">
            <v>6005 - Salaries</v>
          </cell>
          <cell r="J9251">
            <v>0</v>
          </cell>
          <cell r="K9251" t="str">
            <v>Design</v>
          </cell>
          <cell r="L9251" t="str">
            <v>HQ Salaries</v>
          </cell>
          <cell r="N9251" t="str">
            <v>SG&amp;A</v>
          </cell>
          <cell r="O9251" t="str">
            <v>[No Vendor]</v>
          </cell>
        </row>
        <row r="9252">
          <cell r="D9252">
            <v>-16614.7</v>
          </cell>
          <cell r="H9252">
            <v>45839</v>
          </cell>
          <cell r="I9252" t="str">
            <v>6005 - Salaries</v>
          </cell>
          <cell r="J9252">
            <v>0</v>
          </cell>
          <cell r="K9252" t="str">
            <v>Administration</v>
          </cell>
          <cell r="L9252" t="str">
            <v>HQ Salaries</v>
          </cell>
          <cell r="N9252" t="str">
            <v>SG&amp;A</v>
          </cell>
          <cell r="O9252" t="str">
            <v>[No Vendor]</v>
          </cell>
        </row>
        <row r="9253">
          <cell r="D9253">
            <v>30537.16</v>
          </cell>
          <cell r="H9253">
            <v>45839</v>
          </cell>
          <cell r="I9253" t="str">
            <v>6005 - Salaries</v>
          </cell>
          <cell r="J9253">
            <v>0</v>
          </cell>
          <cell r="K9253" t="str">
            <v>Administration</v>
          </cell>
          <cell r="L9253" t="str">
            <v>HQ Salaries</v>
          </cell>
          <cell r="N9253" t="str">
            <v>SG&amp;A</v>
          </cell>
          <cell r="O9253" t="str">
            <v>[No Vendor]</v>
          </cell>
        </row>
        <row r="9254">
          <cell r="D9254">
            <v>3346.16</v>
          </cell>
          <cell r="H9254">
            <v>45839</v>
          </cell>
          <cell r="I9254" t="str">
            <v>6005 - Salaries</v>
          </cell>
          <cell r="J9254" t="str">
            <v>Wholesale</v>
          </cell>
          <cell r="K9254" t="str">
            <v>Wholesale</v>
          </cell>
          <cell r="L9254" t="str">
            <v>HQ Salaries</v>
          </cell>
          <cell r="N9254" t="str">
            <v>SG&amp;A</v>
          </cell>
          <cell r="O9254" t="str">
            <v>[No Vendor]</v>
          </cell>
        </row>
        <row r="9255">
          <cell r="D9255">
            <v>15519.16</v>
          </cell>
          <cell r="H9255">
            <v>45839</v>
          </cell>
          <cell r="I9255" t="str">
            <v>6005 - Salaries</v>
          </cell>
          <cell r="J9255">
            <v>0</v>
          </cell>
          <cell r="K9255" t="str">
            <v>Production</v>
          </cell>
          <cell r="L9255" t="str">
            <v>HQ Salaries</v>
          </cell>
          <cell r="N9255" t="str">
            <v>SG&amp;A</v>
          </cell>
          <cell r="O9255" t="str">
            <v>[No Vendor]</v>
          </cell>
        </row>
        <row r="9256">
          <cell r="D9256">
            <v>6939</v>
          </cell>
          <cell r="H9256">
            <v>45839</v>
          </cell>
          <cell r="I9256" t="str">
            <v>6005 - Salaries</v>
          </cell>
          <cell r="J9256">
            <v>0</v>
          </cell>
          <cell r="K9256" t="str">
            <v>Merchandising</v>
          </cell>
          <cell r="L9256" t="str">
            <v>HQ Salaries</v>
          </cell>
          <cell r="N9256" t="str">
            <v>SG&amp;A</v>
          </cell>
          <cell r="O9256" t="str">
            <v>[No Vendor]</v>
          </cell>
        </row>
        <row r="9257">
          <cell r="D9257">
            <v>2884.62</v>
          </cell>
          <cell r="H9257">
            <v>45839</v>
          </cell>
          <cell r="I9257" t="str">
            <v>6005 - Salaries</v>
          </cell>
          <cell r="J9257">
            <v>0</v>
          </cell>
          <cell r="K9257" t="str">
            <v>Brand Marketing</v>
          </cell>
          <cell r="L9257" t="str">
            <v>HQ Salaries</v>
          </cell>
          <cell r="N9257" t="str">
            <v>SG&amp;A</v>
          </cell>
          <cell r="O9257" t="str">
            <v>[No Vendor]</v>
          </cell>
        </row>
        <row r="9258">
          <cell r="D9258">
            <v>11373.08</v>
          </cell>
          <cell r="H9258">
            <v>45839</v>
          </cell>
          <cell r="I9258" t="str">
            <v>6005 - Salaries</v>
          </cell>
          <cell r="J9258">
            <v>0</v>
          </cell>
          <cell r="K9258" t="str">
            <v>Executive</v>
          </cell>
          <cell r="L9258" t="str">
            <v>HQ Salaries</v>
          </cell>
          <cell r="N9258" t="str">
            <v>SG&amp;A</v>
          </cell>
          <cell r="O9258" t="str">
            <v>[No Vendor]</v>
          </cell>
        </row>
        <row r="9259">
          <cell r="D9259">
            <v>20707.71</v>
          </cell>
          <cell r="H9259">
            <v>45839</v>
          </cell>
          <cell r="I9259" t="str">
            <v>6005 - Salaries</v>
          </cell>
          <cell r="J9259" t="str">
            <v>Ecommerce (US)</v>
          </cell>
          <cell r="K9259" t="str">
            <v>Ecommerce</v>
          </cell>
          <cell r="L9259" t="str">
            <v>HQ Salaries</v>
          </cell>
          <cell r="N9259" t="str">
            <v>SG&amp;A</v>
          </cell>
          <cell r="O9259" t="str">
            <v>[No Vendor]</v>
          </cell>
        </row>
        <row r="9260">
          <cell r="D9260">
            <v>22797.49</v>
          </cell>
          <cell r="H9260">
            <v>45839</v>
          </cell>
          <cell r="I9260" t="str">
            <v>6005 - Salaries</v>
          </cell>
          <cell r="J9260">
            <v>0</v>
          </cell>
          <cell r="K9260" t="str">
            <v>Design</v>
          </cell>
          <cell r="L9260" t="str">
            <v>HQ Salaries</v>
          </cell>
          <cell r="N9260" t="str">
            <v>SG&amp;A</v>
          </cell>
          <cell r="O9260" t="str">
            <v>[No Vendor]</v>
          </cell>
        </row>
        <row r="9261">
          <cell r="D9261">
            <v>3346.16</v>
          </cell>
          <cell r="H9261">
            <v>45839</v>
          </cell>
          <cell r="I9261" t="str">
            <v>6005 - Salaries</v>
          </cell>
          <cell r="J9261" t="str">
            <v>Wholesale</v>
          </cell>
          <cell r="K9261" t="str">
            <v>Wholesale</v>
          </cell>
          <cell r="L9261" t="str">
            <v>HQ Salaries</v>
          </cell>
          <cell r="N9261" t="str">
            <v>SG&amp;A</v>
          </cell>
          <cell r="O9261" t="str">
            <v>[No Vendor]</v>
          </cell>
        </row>
        <row r="9262">
          <cell r="D9262">
            <v>15146.16</v>
          </cell>
          <cell r="H9262">
            <v>45839</v>
          </cell>
          <cell r="I9262" t="str">
            <v>6005 - Salaries</v>
          </cell>
          <cell r="J9262">
            <v>0</v>
          </cell>
          <cell r="K9262" t="str">
            <v>Production</v>
          </cell>
          <cell r="L9262" t="str">
            <v>HQ Salaries</v>
          </cell>
          <cell r="N9262" t="str">
            <v>SG&amp;A</v>
          </cell>
          <cell r="O9262" t="str">
            <v>[No Vendor]</v>
          </cell>
        </row>
        <row r="9263">
          <cell r="D9263">
            <v>3846.15</v>
          </cell>
          <cell r="H9263">
            <v>45839</v>
          </cell>
          <cell r="I9263" t="str">
            <v>6005 - Salaries</v>
          </cell>
          <cell r="J9263">
            <v>0</v>
          </cell>
          <cell r="K9263" t="str">
            <v>Merchandising</v>
          </cell>
          <cell r="L9263" t="str">
            <v>HQ Salaries</v>
          </cell>
          <cell r="N9263" t="str">
            <v>SG&amp;A</v>
          </cell>
          <cell r="O9263" t="str">
            <v>[No Vendor]</v>
          </cell>
        </row>
        <row r="9264">
          <cell r="D9264">
            <v>2884.62</v>
          </cell>
          <cell r="H9264">
            <v>45839</v>
          </cell>
          <cell r="I9264" t="str">
            <v>6005 - Salaries</v>
          </cell>
          <cell r="J9264">
            <v>0</v>
          </cell>
          <cell r="K9264" t="str">
            <v>Brand Marketing</v>
          </cell>
          <cell r="L9264" t="str">
            <v>HQ Salaries</v>
          </cell>
          <cell r="N9264" t="str">
            <v>SG&amp;A</v>
          </cell>
          <cell r="O9264" t="str">
            <v>[No Vendor]</v>
          </cell>
        </row>
        <row r="9265">
          <cell r="D9265">
            <v>11373.08</v>
          </cell>
          <cell r="H9265">
            <v>45839</v>
          </cell>
          <cell r="I9265" t="str">
            <v>6005 - Salaries</v>
          </cell>
          <cell r="J9265">
            <v>0</v>
          </cell>
          <cell r="K9265" t="str">
            <v>Executive</v>
          </cell>
          <cell r="L9265" t="str">
            <v>HQ Salaries</v>
          </cell>
          <cell r="N9265" t="str">
            <v>SG&amp;A</v>
          </cell>
          <cell r="O9265" t="str">
            <v>[No Vendor]</v>
          </cell>
        </row>
        <row r="9266">
          <cell r="D9266">
            <v>20707.71</v>
          </cell>
          <cell r="H9266">
            <v>45839</v>
          </cell>
          <cell r="I9266" t="str">
            <v>6005 - Salaries</v>
          </cell>
          <cell r="J9266" t="str">
            <v>Ecommerce (US)</v>
          </cell>
          <cell r="K9266" t="str">
            <v>Ecommerce</v>
          </cell>
          <cell r="L9266" t="str">
            <v>HQ Salaries</v>
          </cell>
          <cell r="N9266" t="str">
            <v>SG&amp;A</v>
          </cell>
          <cell r="O9266" t="str">
            <v>[No Vendor]</v>
          </cell>
        </row>
        <row r="9267">
          <cell r="D9267">
            <v>22438.49</v>
          </cell>
          <cell r="H9267">
            <v>45839</v>
          </cell>
          <cell r="I9267" t="str">
            <v>6005 - Salaries</v>
          </cell>
          <cell r="J9267">
            <v>0</v>
          </cell>
          <cell r="K9267" t="str">
            <v>Design</v>
          </cell>
          <cell r="L9267" t="str">
            <v>HQ Salaries</v>
          </cell>
          <cell r="N9267" t="str">
            <v>SG&amp;A</v>
          </cell>
          <cell r="O9267" t="str">
            <v>[No Vendor]</v>
          </cell>
        </row>
        <row r="9268">
          <cell r="D9268">
            <v>18150.009999999998</v>
          </cell>
          <cell r="H9268">
            <v>45839</v>
          </cell>
          <cell r="I9268" t="str">
            <v>6005 - Salaries</v>
          </cell>
          <cell r="J9268">
            <v>0</v>
          </cell>
          <cell r="K9268" t="str">
            <v>Administration</v>
          </cell>
          <cell r="L9268" t="str">
            <v>HQ Salaries</v>
          </cell>
          <cell r="N9268" t="str">
            <v>SG&amp;A</v>
          </cell>
          <cell r="O9268" t="str">
            <v>[No Vendor]</v>
          </cell>
        </row>
        <row r="9269">
          <cell r="D9269">
            <v>25826.54</v>
          </cell>
          <cell r="H9269">
            <v>45839</v>
          </cell>
          <cell r="I9269" t="str">
            <v>6005 - Salaries</v>
          </cell>
          <cell r="J9269">
            <v>0</v>
          </cell>
          <cell r="K9269" t="str">
            <v>Administration</v>
          </cell>
          <cell r="L9269" t="str">
            <v>HQ Salaries</v>
          </cell>
          <cell r="N9269" t="str">
            <v>SG&amp;A</v>
          </cell>
          <cell r="O9269" t="str">
            <v>[No Vendor]</v>
          </cell>
        </row>
        <row r="9270">
          <cell r="D9270">
            <v>20194.64</v>
          </cell>
          <cell r="H9270">
            <v>45839</v>
          </cell>
          <cell r="I9270" t="str">
            <v>6005 - Salaries</v>
          </cell>
          <cell r="J9270">
            <v>0</v>
          </cell>
          <cell r="K9270" t="str">
            <v>Design</v>
          </cell>
          <cell r="L9270" t="str">
            <v>HQ Salaries</v>
          </cell>
          <cell r="N9270" t="str">
            <v>SG&amp;A</v>
          </cell>
          <cell r="O9270" t="str">
            <v>[No Vendor]</v>
          </cell>
        </row>
        <row r="9271">
          <cell r="D9271">
            <v>18636.939999999999</v>
          </cell>
          <cell r="H9271">
            <v>45839</v>
          </cell>
          <cell r="I9271" t="str">
            <v>6005 - Salaries</v>
          </cell>
          <cell r="J9271" t="str">
            <v>Ecommerce (US)</v>
          </cell>
          <cell r="K9271" t="str">
            <v>Ecommerce</v>
          </cell>
          <cell r="L9271" t="str">
            <v>HQ Salaries</v>
          </cell>
          <cell r="N9271" t="str">
            <v>SG&amp;A</v>
          </cell>
          <cell r="O9271" t="str">
            <v>[No Vendor]</v>
          </cell>
        </row>
        <row r="9272">
          <cell r="D9272">
            <v>10235.77</v>
          </cell>
          <cell r="H9272">
            <v>45839</v>
          </cell>
          <cell r="I9272" t="str">
            <v>6005 - Salaries</v>
          </cell>
          <cell r="J9272">
            <v>0</v>
          </cell>
          <cell r="K9272" t="str">
            <v>Executive</v>
          </cell>
          <cell r="L9272" t="str">
            <v>HQ Salaries</v>
          </cell>
          <cell r="N9272" t="str">
            <v>SG&amp;A</v>
          </cell>
          <cell r="O9272" t="str">
            <v>[No Vendor]</v>
          </cell>
        </row>
        <row r="9273">
          <cell r="D9273">
            <v>2596.16</v>
          </cell>
          <cell r="H9273">
            <v>45839</v>
          </cell>
          <cell r="I9273" t="str">
            <v>6005 - Salaries</v>
          </cell>
          <cell r="J9273">
            <v>0</v>
          </cell>
          <cell r="K9273" t="str">
            <v>Brand Marketing</v>
          </cell>
          <cell r="L9273" t="str">
            <v>HQ Salaries</v>
          </cell>
          <cell r="N9273" t="str">
            <v>SG&amp;A</v>
          </cell>
          <cell r="O9273" t="str">
            <v>[No Vendor]</v>
          </cell>
        </row>
        <row r="9274">
          <cell r="D9274">
            <v>3461.54</v>
          </cell>
          <cell r="H9274">
            <v>45839</v>
          </cell>
          <cell r="I9274" t="str">
            <v>6005 - Salaries</v>
          </cell>
          <cell r="J9274">
            <v>0</v>
          </cell>
          <cell r="K9274" t="str">
            <v>Merchandising</v>
          </cell>
          <cell r="L9274" t="str">
            <v>HQ Salaries</v>
          </cell>
          <cell r="N9274" t="str">
            <v>SG&amp;A</v>
          </cell>
          <cell r="O9274" t="str">
            <v>[No Vendor]</v>
          </cell>
        </row>
        <row r="9275">
          <cell r="D9275">
            <v>13631.54</v>
          </cell>
          <cell r="H9275">
            <v>45839</v>
          </cell>
          <cell r="I9275" t="str">
            <v>6005 - Salaries</v>
          </cell>
          <cell r="J9275">
            <v>0</v>
          </cell>
          <cell r="K9275" t="str">
            <v>Production</v>
          </cell>
          <cell r="L9275" t="str">
            <v>HQ Salaries</v>
          </cell>
          <cell r="N9275" t="str">
            <v>SG&amp;A</v>
          </cell>
          <cell r="O9275" t="str">
            <v>[No Vendor]</v>
          </cell>
        </row>
        <row r="9276">
          <cell r="D9276">
            <v>3011.54</v>
          </cell>
          <cell r="H9276">
            <v>45839</v>
          </cell>
          <cell r="I9276" t="str">
            <v>6005 - Salaries</v>
          </cell>
          <cell r="J9276" t="str">
            <v>Wholesale</v>
          </cell>
          <cell r="K9276" t="str">
            <v>Wholesale</v>
          </cell>
          <cell r="L9276" t="str">
            <v>HQ Salaries</v>
          </cell>
          <cell r="N9276" t="str">
            <v>SG&amp;A</v>
          </cell>
          <cell r="O9276" t="str">
            <v>[No Vendor]</v>
          </cell>
        </row>
        <row r="9277">
          <cell r="D9277">
            <v>4060.05</v>
          </cell>
          <cell r="H9277">
            <v>45839</v>
          </cell>
          <cell r="I9277" t="str">
            <v>6015 - Vacation - PTO Exp</v>
          </cell>
          <cell r="J9277">
            <v>0</v>
          </cell>
          <cell r="K9277" t="str">
            <v>Merchandising</v>
          </cell>
          <cell r="L9277" t="str">
            <v>HQ Salaries</v>
          </cell>
          <cell r="N9277" t="str">
            <v>SG&amp;A</v>
          </cell>
          <cell r="O9277" t="str">
            <v>[No Vendor]</v>
          </cell>
        </row>
        <row r="9278">
          <cell r="D9278">
            <v>0</v>
          </cell>
          <cell r="H9278">
            <v>45839</v>
          </cell>
          <cell r="I9278" t="str">
            <v>6035 - Severance Expense</v>
          </cell>
          <cell r="J9278" t="str">
            <v>Wholesale</v>
          </cell>
          <cell r="K9278" t="str">
            <v>Wholesale</v>
          </cell>
          <cell r="L9278" t="str">
            <v>HQ Salaries</v>
          </cell>
          <cell r="N9278" t="str">
            <v>SG&amp;A</v>
          </cell>
          <cell r="O9278" t="str">
            <v>[No Vendor]</v>
          </cell>
        </row>
        <row r="9279">
          <cell r="D9279">
            <v>0</v>
          </cell>
          <cell r="H9279">
            <v>45839</v>
          </cell>
          <cell r="I9279" t="str">
            <v>6035 - Severance Expense</v>
          </cell>
          <cell r="J9279" t="str">
            <v>Wholesale</v>
          </cell>
          <cell r="K9279" t="str">
            <v>Wholesale</v>
          </cell>
          <cell r="L9279" t="str">
            <v>HQ Salaries</v>
          </cell>
          <cell r="N9279" t="str">
            <v>SG&amp;A</v>
          </cell>
          <cell r="O9279" t="str">
            <v>[No Vendor]</v>
          </cell>
        </row>
        <row r="9280">
          <cell r="D9280">
            <v>0</v>
          </cell>
          <cell r="H9280">
            <v>45839</v>
          </cell>
          <cell r="I9280" t="str">
            <v>6035 - Severance Expense</v>
          </cell>
          <cell r="J9280" t="str">
            <v>Wholesale</v>
          </cell>
          <cell r="K9280" t="str">
            <v>Wholesale</v>
          </cell>
          <cell r="L9280" t="str">
            <v>HQ Salaries</v>
          </cell>
          <cell r="N9280" t="str">
            <v>SG&amp;A</v>
          </cell>
          <cell r="O9280" t="str">
            <v>[No Vendor]</v>
          </cell>
        </row>
        <row r="9281">
          <cell r="D9281">
            <v>21153.86</v>
          </cell>
          <cell r="H9281">
            <v>45839</v>
          </cell>
          <cell r="I9281" t="str">
            <v>6035 - Severance Expense</v>
          </cell>
          <cell r="J9281" t="str">
            <v>Ecommerce (US)</v>
          </cell>
          <cell r="K9281" t="str">
            <v>Ecommerce</v>
          </cell>
          <cell r="L9281" t="str">
            <v>HQ Salaries</v>
          </cell>
          <cell r="N9281" t="str">
            <v>SG&amp;A</v>
          </cell>
          <cell r="O9281" t="str">
            <v>[No Vendor]</v>
          </cell>
        </row>
        <row r="9282">
          <cell r="D9282">
            <v>9646.15</v>
          </cell>
          <cell r="H9282">
            <v>45839</v>
          </cell>
          <cell r="I9282" t="str">
            <v>6035 - Severance Expense</v>
          </cell>
          <cell r="J9282">
            <v>0</v>
          </cell>
          <cell r="K9282" t="str">
            <v>Administration</v>
          </cell>
          <cell r="L9282" t="str">
            <v>HQ Salaries</v>
          </cell>
          <cell r="N9282" t="str">
            <v>SG&amp;A</v>
          </cell>
          <cell r="O9282" t="str">
            <v>[No Vendor]</v>
          </cell>
        </row>
        <row r="9283">
          <cell r="D9283">
            <v>0</v>
          </cell>
          <cell r="H9283">
            <v>45839</v>
          </cell>
          <cell r="I9283" t="str">
            <v>6035 - Severance Expense</v>
          </cell>
          <cell r="J9283" t="str">
            <v>Wholesale</v>
          </cell>
          <cell r="K9283" t="str">
            <v>Wholesale</v>
          </cell>
          <cell r="L9283" t="str">
            <v>HQ Salaries</v>
          </cell>
          <cell r="N9283" t="str">
            <v>SG&amp;A</v>
          </cell>
          <cell r="O9283" t="str">
            <v>[No Vendor]</v>
          </cell>
        </row>
        <row r="9284">
          <cell r="D9284">
            <v>1260.1199999999999</v>
          </cell>
          <cell r="H9284">
            <v>45839</v>
          </cell>
          <cell r="I9284" t="str">
            <v>6040 - Employer Paid Benefits</v>
          </cell>
          <cell r="J9284" t="str">
            <v>Wholesale</v>
          </cell>
          <cell r="K9284" t="str">
            <v>Wholesale</v>
          </cell>
          <cell r="L9284" t="str">
            <v>HQ Salaries</v>
          </cell>
          <cell r="N9284" t="str">
            <v>SG&amp;A</v>
          </cell>
          <cell r="O9284" t="str">
            <v>Anthem Blue Cross and Blue Shield</v>
          </cell>
        </row>
        <row r="9285">
          <cell r="D9285">
            <v>40.54</v>
          </cell>
          <cell r="H9285">
            <v>45839</v>
          </cell>
          <cell r="I9285" t="str">
            <v>6040 - Employer Paid Benefits</v>
          </cell>
          <cell r="J9285" t="str">
            <v>Wholesale</v>
          </cell>
          <cell r="K9285" t="str">
            <v>Wholesale</v>
          </cell>
          <cell r="L9285" t="str">
            <v>HQ Salaries</v>
          </cell>
          <cell r="N9285" t="str">
            <v>SG&amp;A</v>
          </cell>
          <cell r="O9285" t="str">
            <v>United of Omaha Life Insurance Company</v>
          </cell>
        </row>
        <row r="9286">
          <cell r="D9286">
            <v>7182.68</v>
          </cell>
          <cell r="H9286">
            <v>45839</v>
          </cell>
          <cell r="I9286" t="str">
            <v>6040 - Employer Paid Benefits</v>
          </cell>
          <cell r="J9286">
            <v>0</v>
          </cell>
          <cell r="K9286" t="str">
            <v>Production</v>
          </cell>
          <cell r="L9286" t="str">
            <v>HQ Salaries</v>
          </cell>
          <cell r="N9286" t="str">
            <v>SG&amp;A</v>
          </cell>
          <cell r="O9286" t="str">
            <v>Anthem Blue Cross and Blue Shield</v>
          </cell>
        </row>
        <row r="9287">
          <cell r="D9287">
            <v>117.41</v>
          </cell>
          <cell r="H9287">
            <v>45839</v>
          </cell>
          <cell r="I9287" t="str">
            <v>6040 - Employer Paid Benefits</v>
          </cell>
          <cell r="J9287">
            <v>0</v>
          </cell>
          <cell r="K9287" t="str">
            <v>Production</v>
          </cell>
          <cell r="L9287" t="str">
            <v>HQ Salaries</v>
          </cell>
          <cell r="N9287" t="str">
            <v>SG&amp;A</v>
          </cell>
          <cell r="O9287" t="str">
            <v>Allied Administrators</v>
          </cell>
        </row>
        <row r="9288">
          <cell r="D9288">
            <v>147.38</v>
          </cell>
          <cell r="H9288">
            <v>45839</v>
          </cell>
          <cell r="I9288" t="str">
            <v>6040 - Employer Paid Benefits</v>
          </cell>
          <cell r="J9288">
            <v>0</v>
          </cell>
          <cell r="K9288" t="str">
            <v>Production</v>
          </cell>
          <cell r="L9288" t="str">
            <v>HQ Salaries</v>
          </cell>
          <cell r="N9288" t="str">
            <v>SG&amp;A</v>
          </cell>
          <cell r="O9288" t="str">
            <v>United of Omaha Life Insurance Company</v>
          </cell>
        </row>
        <row r="9289">
          <cell r="D9289">
            <v>2520.2399999999998</v>
          </cell>
          <cell r="H9289">
            <v>45839</v>
          </cell>
          <cell r="I9289" t="str">
            <v>6040 - Employer Paid Benefits</v>
          </cell>
          <cell r="J9289">
            <v>0</v>
          </cell>
          <cell r="K9289" t="str">
            <v>Merchandising</v>
          </cell>
          <cell r="L9289" t="str">
            <v>HQ Salaries</v>
          </cell>
          <cell r="N9289" t="str">
            <v>SG&amp;A</v>
          </cell>
          <cell r="O9289" t="str">
            <v>Anthem Blue Cross and Blue Shield</v>
          </cell>
        </row>
        <row r="9290">
          <cell r="D9290">
            <v>55.76</v>
          </cell>
          <cell r="H9290">
            <v>45839</v>
          </cell>
          <cell r="I9290" t="str">
            <v>6040 - Employer Paid Benefits</v>
          </cell>
          <cell r="J9290">
            <v>0</v>
          </cell>
          <cell r="K9290" t="str">
            <v>Merchandising</v>
          </cell>
          <cell r="L9290" t="str">
            <v>HQ Salaries</v>
          </cell>
          <cell r="N9290" t="str">
            <v>SG&amp;A</v>
          </cell>
          <cell r="O9290" t="str">
            <v>Allied Administrators</v>
          </cell>
        </row>
        <row r="9291">
          <cell r="D9291">
            <v>86.43</v>
          </cell>
          <cell r="H9291">
            <v>45839</v>
          </cell>
          <cell r="I9291" t="str">
            <v>6040 - Employer Paid Benefits</v>
          </cell>
          <cell r="J9291">
            <v>0</v>
          </cell>
          <cell r="K9291" t="str">
            <v>Merchandising</v>
          </cell>
          <cell r="L9291" t="str">
            <v>HQ Salaries</v>
          </cell>
          <cell r="N9291" t="str">
            <v>SG&amp;A</v>
          </cell>
          <cell r="O9291" t="str">
            <v>United of Omaha Life Insurance Company</v>
          </cell>
        </row>
        <row r="9292">
          <cell r="D9292">
            <v>3048.68</v>
          </cell>
          <cell r="H9292">
            <v>45839</v>
          </cell>
          <cell r="I9292" t="str">
            <v>6040 - Employer Paid Benefits</v>
          </cell>
          <cell r="J9292">
            <v>0</v>
          </cell>
          <cell r="K9292" t="str">
            <v>Brand Marketing</v>
          </cell>
          <cell r="L9292" t="str">
            <v>HQ Salaries</v>
          </cell>
          <cell r="N9292" t="str">
            <v>SG&amp;A</v>
          </cell>
          <cell r="O9292" t="str">
            <v>Anthem Blue Cross and Blue Shield</v>
          </cell>
        </row>
        <row r="9293">
          <cell r="D9293">
            <v>91.59</v>
          </cell>
          <cell r="H9293">
            <v>45839</v>
          </cell>
          <cell r="I9293" t="str">
            <v>6040 - Employer Paid Benefits</v>
          </cell>
          <cell r="J9293">
            <v>0</v>
          </cell>
          <cell r="K9293" t="str">
            <v>Brand Marketing</v>
          </cell>
          <cell r="L9293" t="str">
            <v>HQ Salaries</v>
          </cell>
          <cell r="N9293" t="str">
            <v>SG&amp;A</v>
          </cell>
          <cell r="O9293" t="str">
            <v>United of Omaha Life Insurance Company</v>
          </cell>
        </row>
        <row r="9294">
          <cell r="D9294">
            <v>89.82</v>
          </cell>
          <cell r="H9294">
            <v>45839</v>
          </cell>
          <cell r="I9294" t="str">
            <v>6040 - Employer Paid Benefits</v>
          </cell>
          <cell r="J9294">
            <v>0</v>
          </cell>
          <cell r="K9294" t="str">
            <v>Executive</v>
          </cell>
          <cell r="L9294" t="str">
            <v>HQ Salaries</v>
          </cell>
          <cell r="N9294" t="str">
            <v>SG&amp;A</v>
          </cell>
          <cell r="O9294" t="str">
            <v>Allied Administrators</v>
          </cell>
        </row>
        <row r="9295">
          <cell r="D9295">
            <v>238.9</v>
          </cell>
          <cell r="H9295">
            <v>45839</v>
          </cell>
          <cell r="I9295" t="str">
            <v>6040 - Employer Paid Benefits</v>
          </cell>
          <cell r="J9295">
            <v>0</v>
          </cell>
          <cell r="K9295" t="str">
            <v>Executive</v>
          </cell>
          <cell r="L9295" t="str">
            <v>HQ Salaries</v>
          </cell>
          <cell r="N9295" t="str">
            <v>SG&amp;A</v>
          </cell>
          <cell r="O9295" t="str">
            <v>United of Omaha Life Insurance Company</v>
          </cell>
        </row>
        <row r="9296">
          <cell r="D9296">
            <v>8442.7999999999993</v>
          </cell>
          <cell r="H9296">
            <v>45839</v>
          </cell>
          <cell r="I9296" t="str">
            <v>6040 - Employer Paid Benefits</v>
          </cell>
          <cell r="J9296" t="str">
            <v>Ecommerce (US)</v>
          </cell>
          <cell r="K9296" t="str">
            <v>Ecommerce</v>
          </cell>
          <cell r="L9296" t="str">
            <v>HQ Salaries</v>
          </cell>
          <cell r="N9296" t="str">
            <v>SG&amp;A</v>
          </cell>
          <cell r="O9296" t="str">
            <v>Anthem Blue Cross and Blue Shield</v>
          </cell>
        </row>
        <row r="9297">
          <cell r="D9297">
            <v>5.89</v>
          </cell>
          <cell r="H9297">
            <v>45839</v>
          </cell>
          <cell r="I9297" t="str">
            <v>6040 - Employer Paid Benefits</v>
          </cell>
          <cell r="J9297" t="str">
            <v>Ecommerce (US)</v>
          </cell>
          <cell r="K9297" t="str">
            <v>Ecommerce</v>
          </cell>
          <cell r="L9297" t="str">
            <v>HQ Salaries</v>
          </cell>
          <cell r="N9297" t="str">
            <v>SG&amp;A</v>
          </cell>
          <cell r="O9297" t="str">
            <v>Allied Administrators</v>
          </cell>
        </row>
        <row r="9298">
          <cell r="D9298">
            <v>168.62</v>
          </cell>
          <cell r="H9298">
            <v>45839</v>
          </cell>
          <cell r="I9298" t="str">
            <v>6040 - Employer Paid Benefits</v>
          </cell>
          <cell r="J9298" t="str">
            <v>Ecommerce (US)</v>
          </cell>
          <cell r="K9298" t="str">
            <v>Ecommerce</v>
          </cell>
          <cell r="L9298" t="str">
            <v>HQ Salaries</v>
          </cell>
          <cell r="N9298" t="str">
            <v>SG&amp;A</v>
          </cell>
          <cell r="O9298" t="str">
            <v>United of Omaha Life Insurance Company</v>
          </cell>
        </row>
        <row r="9299">
          <cell r="D9299">
            <v>5040.4799999999996</v>
          </cell>
          <cell r="H9299">
            <v>45839</v>
          </cell>
          <cell r="I9299" t="str">
            <v>6040 - Employer Paid Benefits</v>
          </cell>
          <cell r="J9299">
            <v>0</v>
          </cell>
          <cell r="K9299" t="str">
            <v>Design</v>
          </cell>
          <cell r="L9299" t="str">
            <v>HQ Salaries</v>
          </cell>
          <cell r="N9299" t="str">
            <v>SG&amp;A</v>
          </cell>
          <cell r="O9299" t="str">
            <v>Anthem Blue Cross and Blue Shield</v>
          </cell>
        </row>
        <row r="9300">
          <cell r="D9300">
            <v>-67.83</v>
          </cell>
          <cell r="H9300">
            <v>45839</v>
          </cell>
          <cell r="I9300" t="str">
            <v>6040 - Employer Paid Benefits</v>
          </cell>
          <cell r="J9300">
            <v>0</v>
          </cell>
          <cell r="K9300" t="str">
            <v>Design</v>
          </cell>
          <cell r="L9300" t="str">
            <v>HQ Salaries</v>
          </cell>
          <cell r="N9300" t="str">
            <v>SG&amp;A</v>
          </cell>
          <cell r="O9300" t="str">
            <v>Allied Administrators</v>
          </cell>
        </row>
        <row r="9301">
          <cell r="D9301">
            <v>233.67</v>
          </cell>
          <cell r="H9301">
            <v>45839</v>
          </cell>
          <cell r="I9301" t="str">
            <v>6040 - Employer Paid Benefits</v>
          </cell>
          <cell r="J9301">
            <v>0</v>
          </cell>
          <cell r="K9301" t="str">
            <v>Design</v>
          </cell>
          <cell r="L9301" t="str">
            <v>HQ Salaries</v>
          </cell>
          <cell r="N9301" t="str">
            <v>SG&amp;A</v>
          </cell>
          <cell r="O9301" t="str">
            <v>United of Omaha Life Insurance Company</v>
          </cell>
        </row>
        <row r="9302">
          <cell r="D9302">
            <v>17060.39</v>
          </cell>
          <cell r="H9302">
            <v>45839</v>
          </cell>
          <cell r="I9302" t="str">
            <v>6040 - Employer Paid Benefits</v>
          </cell>
          <cell r="J9302">
            <v>0</v>
          </cell>
          <cell r="K9302" t="str">
            <v>Administration</v>
          </cell>
          <cell r="L9302" t="str">
            <v>HQ Salaries</v>
          </cell>
          <cell r="N9302" t="str">
            <v>SG&amp;A</v>
          </cell>
          <cell r="O9302" t="str">
            <v>Anthem Blue Cross and Blue Shield</v>
          </cell>
        </row>
        <row r="9303">
          <cell r="D9303">
            <v>-89.24</v>
          </cell>
          <cell r="H9303">
            <v>45839</v>
          </cell>
          <cell r="I9303" t="str">
            <v>6040 - Employer Paid Benefits</v>
          </cell>
          <cell r="J9303">
            <v>0</v>
          </cell>
          <cell r="K9303" t="str">
            <v>Administration</v>
          </cell>
          <cell r="L9303" t="str">
            <v>HQ Salaries</v>
          </cell>
          <cell r="N9303" t="str">
            <v>SG&amp;A</v>
          </cell>
          <cell r="O9303" t="str">
            <v>Allied Administrators</v>
          </cell>
        </row>
        <row r="9304">
          <cell r="D9304">
            <v>103.5</v>
          </cell>
          <cell r="H9304">
            <v>45839</v>
          </cell>
          <cell r="I9304" t="str">
            <v>6040 - Employer Paid Benefits</v>
          </cell>
          <cell r="J9304">
            <v>0</v>
          </cell>
          <cell r="K9304" t="str">
            <v>Administration</v>
          </cell>
          <cell r="L9304" t="str">
            <v>HQ Salaries</v>
          </cell>
          <cell r="N9304" t="str">
            <v>SG&amp;A</v>
          </cell>
          <cell r="O9304" t="str">
            <v>United of Omaha Life Insurance Company</v>
          </cell>
        </row>
        <row r="9305">
          <cell r="D9305">
            <v>20.94</v>
          </cell>
          <cell r="H9305">
            <v>45839</v>
          </cell>
          <cell r="I9305" t="str">
            <v>6040 - Employer Paid Benefits</v>
          </cell>
          <cell r="J9305" t="str">
            <v>Wholesale</v>
          </cell>
          <cell r="K9305" t="str">
            <v>Wholesale</v>
          </cell>
          <cell r="L9305" t="str">
            <v>HQ Salaries</v>
          </cell>
          <cell r="N9305" t="str">
            <v>SG&amp;A</v>
          </cell>
          <cell r="O9305" t="str">
            <v>[No Vendor]</v>
          </cell>
        </row>
        <row r="9306">
          <cell r="D9306">
            <v>135.41999999999999</v>
          </cell>
          <cell r="H9306">
            <v>45839</v>
          </cell>
          <cell r="I9306" t="str">
            <v>6040 - Employer Paid Benefits</v>
          </cell>
          <cell r="J9306">
            <v>0</v>
          </cell>
          <cell r="K9306" t="str">
            <v>Production</v>
          </cell>
          <cell r="L9306" t="str">
            <v>HQ Salaries</v>
          </cell>
          <cell r="N9306" t="str">
            <v>SG&amp;A</v>
          </cell>
          <cell r="O9306" t="str">
            <v>[No Vendor]</v>
          </cell>
        </row>
        <row r="9307">
          <cell r="D9307">
            <v>20.94</v>
          </cell>
          <cell r="H9307">
            <v>45839</v>
          </cell>
          <cell r="I9307" t="str">
            <v>6040 - Employer Paid Benefits</v>
          </cell>
          <cell r="J9307">
            <v>0</v>
          </cell>
          <cell r="K9307" t="str">
            <v>Merchandising</v>
          </cell>
          <cell r="L9307" t="str">
            <v>HQ Salaries</v>
          </cell>
          <cell r="N9307" t="str">
            <v>SG&amp;A</v>
          </cell>
          <cell r="O9307" t="str">
            <v>[No Vendor]</v>
          </cell>
        </row>
        <row r="9308">
          <cell r="D9308">
            <v>63.79</v>
          </cell>
          <cell r="H9308">
            <v>45839</v>
          </cell>
          <cell r="I9308" t="str">
            <v>6040 - Employer Paid Benefits</v>
          </cell>
          <cell r="J9308">
            <v>0</v>
          </cell>
          <cell r="K9308" t="str">
            <v>Brand Marketing</v>
          </cell>
          <cell r="L9308" t="str">
            <v>HQ Salaries</v>
          </cell>
          <cell r="N9308" t="str">
            <v>SG&amp;A</v>
          </cell>
          <cell r="O9308" t="str">
            <v>[No Vendor]</v>
          </cell>
        </row>
        <row r="9309">
          <cell r="D9309">
            <v>199.51</v>
          </cell>
          <cell r="H9309">
            <v>45839</v>
          </cell>
          <cell r="I9309" t="str">
            <v>6040 - Employer Paid Benefits</v>
          </cell>
          <cell r="J9309">
            <v>0</v>
          </cell>
          <cell r="K9309" t="str">
            <v>Executive</v>
          </cell>
          <cell r="L9309" t="str">
            <v>HQ Salaries</v>
          </cell>
          <cell r="N9309" t="str">
            <v>SG&amp;A</v>
          </cell>
          <cell r="O9309" t="str">
            <v>[No Vendor]</v>
          </cell>
        </row>
        <row r="9310">
          <cell r="D9310">
            <v>194.53</v>
          </cell>
          <cell r="H9310">
            <v>45839</v>
          </cell>
          <cell r="I9310" t="str">
            <v>6040 - Employer Paid Benefits</v>
          </cell>
          <cell r="J9310" t="str">
            <v>Ecommerce (US)</v>
          </cell>
          <cell r="K9310" t="str">
            <v>Ecommerce</v>
          </cell>
          <cell r="L9310" t="str">
            <v>HQ Salaries</v>
          </cell>
          <cell r="N9310" t="str">
            <v>SG&amp;A</v>
          </cell>
          <cell r="O9310" t="str">
            <v>[No Vendor]</v>
          </cell>
        </row>
        <row r="9311">
          <cell r="D9311">
            <v>265.45</v>
          </cell>
          <cell r="H9311">
            <v>45839</v>
          </cell>
          <cell r="I9311" t="str">
            <v>6040 - Employer Paid Benefits</v>
          </cell>
          <cell r="J9311">
            <v>0</v>
          </cell>
          <cell r="K9311" t="str">
            <v>Design</v>
          </cell>
          <cell r="L9311" t="str">
            <v>HQ Salaries</v>
          </cell>
          <cell r="N9311" t="str">
            <v>SG&amp;A</v>
          </cell>
          <cell r="O9311" t="str">
            <v>[No Vendor]</v>
          </cell>
        </row>
        <row r="9312">
          <cell r="D9312">
            <v>135.81</v>
          </cell>
          <cell r="H9312">
            <v>45839</v>
          </cell>
          <cell r="I9312" t="str">
            <v>6040 - Employer Paid Benefits</v>
          </cell>
          <cell r="J9312">
            <v>0</v>
          </cell>
          <cell r="K9312" t="str">
            <v>Administration</v>
          </cell>
          <cell r="L9312" t="str">
            <v>HQ Salaries</v>
          </cell>
          <cell r="N9312" t="str">
            <v>SG&amp;A</v>
          </cell>
          <cell r="O9312" t="str">
            <v>[No Vendor]</v>
          </cell>
        </row>
        <row r="9313">
          <cell r="D9313">
            <v>14.49</v>
          </cell>
          <cell r="H9313">
            <v>45839</v>
          </cell>
          <cell r="I9313" t="str">
            <v>6040 - Employer Paid Benefits</v>
          </cell>
          <cell r="J9313" t="str">
            <v>Wholesale</v>
          </cell>
          <cell r="K9313" t="str">
            <v>Wholesale</v>
          </cell>
          <cell r="L9313" t="str">
            <v>HQ Salaries</v>
          </cell>
          <cell r="N9313" t="str">
            <v>SG&amp;A</v>
          </cell>
          <cell r="O9313" t="str">
            <v>Procyon Benefits LLC</v>
          </cell>
        </row>
        <row r="9314">
          <cell r="D9314">
            <v>87.1</v>
          </cell>
          <cell r="H9314">
            <v>45839</v>
          </cell>
          <cell r="I9314" t="str">
            <v>6040 - Employer Paid Benefits</v>
          </cell>
          <cell r="J9314">
            <v>0</v>
          </cell>
          <cell r="K9314" t="str">
            <v>Merchandising</v>
          </cell>
          <cell r="L9314" t="str">
            <v>HQ Salaries</v>
          </cell>
          <cell r="N9314" t="str">
            <v>SG&amp;A</v>
          </cell>
          <cell r="O9314" t="str">
            <v>Procyon Benefits LLC</v>
          </cell>
        </row>
        <row r="9315">
          <cell r="D9315">
            <v>400</v>
          </cell>
          <cell r="H9315">
            <v>45839</v>
          </cell>
          <cell r="I9315" t="str">
            <v>6040 - Employer Paid Benefits</v>
          </cell>
          <cell r="J9315">
            <v>0</v>
          </cell>
          <cell r="K9315" t="str">
            <v>Executive</v>
          </cell>
          <cell r="L9315" t="str">
            <v>HQ Salaries</v>
          </cell>
          <cell r="N9315" t="str">
            <v>SG&amp;A</v>
          </cell>
          <cell r="O9315" t="str">
            <v>Procyon Benefits LLC</v>
          </cell>
        </row>
        <row r="9316">
          <cell r="D9316">
            <v>20</v>
          </cell>
          <cell r="H9316">
            <v>45839</v>
          </cell>
          <cell r="I9316" t="str">
            <v>6040 - Employer Paid Benefits</v>
          </cell>
          <cell r="J9316" t="str">
            <v>Ecommerce (US)</v>
          </cell>
          <cell r="K9316" t="str">
            <v>Ecommerce</v>
          </cell>
          <cell r="L9316" t="str">
            <v>HQ Salaries</v>
          </cell>
          <cell r="N9316" t="str">
            <v>SG&amp;A</v>
          </cell>
          <cell r="O9316" t="str">
            <v>Procyon Benefits LLC</v>
          </cell>
        </row>
        <row r="9317">
          <cell r="D9317">
            <v>10.29</v>
          </cell>
          <cell r="H9317">
            <v>45839</v>
          </cell>
          <cell r="I9317" t="str">
            <v>6040 - Employer Paid Benefits</v>
          </cell>
          <cell r="J9317">
            <v>0</v>
          </cell>
          <cell r="K9317" t="str">
            <v>Design</v>
          </cell>
          <cell r="L9317" t="str">
            <v>HQ Salaries</v>
          </cell>
          <cell r="N9317" t="str">
            <v>SG&amp;A</v>
          </cell>
          <cell r="O9317" t="str">
            <v>Procyon Benefits LLC</v>
          </cell>
        </row>
        <row r="9318">
          <cell r="D9318">
            <v>5.8</v>
          </cell>
          <cell r="H9318">
            <v>45839</v>
          </cell>
          <cell r="I9318" t="str">
            <v>6040 - Employer Paid Benefits</v>
          </cell>
          <cell r="J9318">
            <v>0</v>
          </cell>
          <cell r="K9318" t="str">
            <v>Administration</v>
          </cell>
          <cell r="L9318" t="str">
            <v>HQ Salaries</v>
          </cell>
          <cell r="N9318" t="str">
            <v>SG&amp;A</v>
          </cell>
          <cell r="O9318" t="str">
            <v>Procyon Benefits LLC</v>
          </cell>
        </row>
        <row r="9319">
          <cell r="D9319">
            <v>560.79</v>
          </cell>
          <cell r="H9319">
            <v>45839</v>
          </cell>
          <cell r="I9319" t="str">
            <v>6040 - Employer Paid Benefits</v>
          </cell>
          <cell r="J9319">
            <v>0</v>
          </cell>
          <cell r="K9319" t="str">
            <v>Administration</v>
          </cell>
          <cell r="L9319" t="str">
            <v>HQ Salaries</v>
          </cell>
          <cell r="N9319" t="str">
            <v>SG&amp;A</v>
          </cell>
          <cell r="O9319" t="str">
            <v>Procyon Benefits LLC</v>
          </cell>
        </row>
        <row r="9320">
          <cell r="D9320">
            <v>59.05</v>
          </cell>
          <cell r="H9320">
            <v>45839</v>
          </cell>
          <cell r="I9320" t="str">
            <v>6040 - Employer Paid Benefits</v>
          </cell>
          <cell r="J9320" t="str">
            <v>Wholesale</v>
          </cell>
          <cell r="K9320" t="str">
            <v>Wholesale</v>
          </cell>
          <cell r="L9320" t="str">
            <v>HQ Salaries</v>
          </cell>
          <cell r="N9320" t="str">
            <v>SG&amp;A</v>
          </cell>
          <cell r="O9320" t="str">
            <v>Procyon Benefits LLC</v>
          </cell>
        </row>
        <row r="9321">
          <cell r="D9321">
            <v>50</v>
          </cell>
          <cell r="H9321">
            <v>45839</v>
          </cell>
          <cell r="I9321" t="str">
            <v>6040 - Employer Paid Benefits</v>
          </cell>
          <cell r="J9321">
            <v>0</v>
          </cell>
          <cell r="K9321" t="str">
            <v>Production</v>
          </cell>
          <cell r="L9321" t="str">
            <v>HQ Salaries</v>
          </cell>
          <cell r="N9321" t="str">
            <v>SG&amp;A</v>
          </cell>
          <cell r="O9321" t="str">
            <v>Procyon Benefits LLC</v>
          </cell>
        </row>
        <row r="9322">
          <cell r="D9322">
            <v>29.49</v>
          </cell>
          <cell r="H9322">
            <v>45839</v>
          </cell>
          <cell r="I9322" t="str">
            <v>6040 - Employer Paid Benefits</v>
          </cell>
          <cell r="J9322">
            <v>0</v>
          </cell>
          <cell r="K9322" t="str">
            <v>Merchandising</v>
          </cell>
          <cell r="L9322" t="str">
            <v>HQ Salaries</v>
          </cell>
          <cell r="N9322" t="str">
            <v>SG&amp;A</v>
          </cell>
          <cell r="O9322" t="str">
            <v>Procyon Benefits LLC</v>
          </cell>
        </row>
        <row r="9323">
          <cell r="D9323">
            <v>81.44</v>
          </cell>
          <cell r="H9323">
            <v>45839</v>
          </cell>
          <cell r="I9323" t="str">
            <v>6040 - Employer Paid Benefits</v>
          </cell>
          <cell r="J9323" t="str">
            <v>Ecommerce (US)</v>
          </cell>
          <cell r="K9323" t="str">
            <v>Ecommerce</v>
          </cell>
          <cell r="L9323" t="str">
            <v>HQ Salaries</v>
          </cell>
          <cell r="N9323" t="str">
            <v>SG&amp;A</v>
          </cell>
          <cell r="O9323" t="str">
            <v>Procyon Benefits LLC</v>
          </cell>
        </row>
        <row r="9324">
          <cell r="D9324">
            <v>38.99</v>
          </cell>
          <cell r="H9324">
            <v>45839</v>
          </cell>
          <cell r="I9324" t="str">
            <v>6040 - Employer Paid Benefits</v>
          </cell>
          <cell r="J9324">
            <v>0</v>
          </cell>
          <cell r="K9324" t="str">
            <v>Design</v>
          </cell>
          <cell r="L9324" t="str">
            <v>HQ Salaries</v>
          </cell>
          <cell r="N9324" t="str">
            <v>SG&amp;A</v>
          </cell>
          <cell r="O9324" t="str">
            <v>Procyon Benefits LLC</v>
          </cell>
        </row>
        <row r="9325">
          <cell r="D9325">
            <v>-34.9</v>
          </cell>
          <cell r="H9325">
            <v>45839</v>
          </cell>
          <cell r="I9325" t="str">
            <v>6040 - Employer Paid Benefits</v>
          </cell>
          <cell r="J9325" t="str">
            <v>Wholesale</v>
          </cell>
          <cell r="K9325" t="str">
            <v>Wholesale</v>
          </cell>
          <cell r="L9325" t="str">
            <v>HQ Salaries</v>
          </cell>
          <cell r="N9325" t="str">
            <v>SG&amp;A</v>
          </cell>
          <cell r="O9325" t="str">
            <v>[No Vendor]</v>
          </cell>
        </row>
        <row r="9326">
          <cell r="D9326">
            <v>-598.70000000000005</v>
          </cell>
          <cell r="H9326">
            <v>45839</v>
          </cell>
          <cell r="I9326" t="str">
            <v>6040 - Employer Paid Benefits</v>
          </cell>
          <cell r="J9326">
            <v>0</v>
          </cell>
          <cell r="K9326" t="str">
            <v>Production</v>
          </cell>
          <cell r="L9326" t="str">
            <v>HQ Salaries</v>
          </cell>
          <cell r="N9326" t="str">
            <v>SG&amp;A</v>
          </cell>
          <cell r="O9326" t="str">
            <v>[No Vendor]</v>
          </cell>
        </row>
        <row r="9327">
          <cell r="D9327">
            <v>-523.9</v>
          </cell>
          <cell r="H9327">
            <v>45839</v>
          </cell>
          <cell r="I9327" t="str">
            <v>6040 - Employer Paid Benefits</v>
          </cell>
          <cell r="J9327">
            <v>0</v>
          </cell>
          <cell r="K9327" t="str">
            <v>Merchandising</v>
          </cell>
          <cell r="L9327" t="str">
            <v>HQ Salaries</v>
          </cell>
          <cell r="N9327" t="str">
            <v>SG&amp;A</v>
          </cell>
          <cell r="O9327" t="str">
            <v>[No Vendor]</v>
          </cell>
        </row>
        <row r="9328">
          <cell r="D9328">
            <v>-106.33</v>
          </cell>
          <cell r="H9328">
            <v>45839</v>
          </cell>
          <cell r="I9328" t="str">
            <v>6040 - Employer Paid Benefits</v>
          </cell>
          <cell r="J9328">
            <v>0</v>
          </cell>
          <cell r="K9328" t="str">
            <v>Brand Marketing</v>
          </cell>
          <cell r="L9328" t="str">
            <v>HQ Salaries</v>
          </cell>
          <cell r="N9328" t="str">
            <v>SG&amp;A</v>
          </cell>
          <cell r="O9328" t="str">
            <v>[No Vendor]</v>
          </cell>
        </row>
        <row r="9329">
          <cell r="D9329">
            <v>-332.53</v>
          </cell>
          <cell r="H9329">
            <v>45839</v>
          </cell>
          <cell r="I9329" t="str">
            <v>6040 - Employer Paid Benefits</v>
          </cell>
          <cell r="J9329">
            <v>0</v>
          </cell>
          <cell r="K9329" t="str">
            <v>Executive</v>
          </cell>
          <cell r="L9329" t="str">
            <v>HQ Salaries</v>
          </cell>
          <cell r="N9329" t="str">
            <v>SG&amp;A</v>
          </cell>
          <cell r="O9329" t="str">
            <v>[No Vendor]</v>
          </cell>
        </row>
        <row r="9330">
          <cell r="D9330">
            <v>-324.20999999999998</v>
          </cell>
          <cell r="H9330">
            <v>45839</v>
          </cell>
          <cell r="I9330" t="str">
            <v>6040 - Employer Paid Benefits</v>
          </cell>
          <cell r="J9330" t="str">
            <v>Ecommerce (US)</v>
          </cell>
          <cell r="K9330" t="str">
            <v>Ecommerce</v>
          </cell>
          <cell r="L9330" t="str">
            <v>HQ Salaries</v>
          </cell>
          <cell r="N9330" t="str">
            <v>SG&amp;A</v>
          </cell>
          <cell r="O9330" t="str">
            <v>[No Vendor]</v>
          </cell>
        </row>
        <row r="9331">
          <cell r="D9331">
            <v>-801.41</v>
          </cell>
          <cell r="H9331">
            <v>45839</v>
          </cell>
          <cell r="I9331" t="str">
            <v>6040 - Employer Paid Benefits</v>
          </cell>
          <cell r="J9331">
            <v>0</v>
          </cell>
          <cell r="K9331" t="str">
            <v>Design</v>
          </cell>
          <cell r="L9331" t="str">
            <v>HQ Salaries</v>
          </cell>
          <cell r="N9331" t="str">
            <v>SG&amp;A</v>
          </cell>
          <cell r="O9331" t="str">
            <v>[No Vendor]</v>
          </cell>
        </row>
        <row r="9332">
          <cell r="D9332">
            <v>-2067.35</v>
          </cell>
          <cell r="H9332">
            <v>45839</v>
          </cell>
          <cell r="I9332" t="str">
            <v>6040 - Employer Paid Benefits</v>
          </cell>
          <cell r="J9332">
            <v>0</v>
          </cell>
          <cell r="K9332" t="str">
            <v>Administration</v>
          </cell>
          <cell r="L9332" t="str">
            <v>HQ Salaries</v>
          </cell>
          <cell r="N9332" t="str">
            <v>SG&amp;A</v>
          </cell>
          <cell r="O9332" t="str">
            <v>[No Vendor]</v>
          </cell>
        </row>
        <row r="9333">
          <cell r="D9333">
            <v>12.9</v>
          </cell>
          <cell r="H9333">
            <v>45839</v>
          </cell>
          <cell r="I9333" t="str">
            <v>6040 - Employer Paid Benefits</v>
          </cell>
          <cell r="J9333">
            <v>0</v>
          </cell>
          <cell r="K9333" t="str">
            <v>Administration</v>
          </cell>
          <cell r="L9333" t="str">
            <v>HQ Salaries</v>
          </cell>
          <cell r="N9333" t="str">
            <v>SG&amp;A</v>
          </cell>
          <cell r="O9333" t="str">
            <v>Procyon Benefits LLC</v>
          </cell>
        </row>
        <row r="9334">
          <cell r="D9334">
            <v>154.75</v>
          </cell>
          <cell r="H9334">
            <v>45839</v>
          </cell>
          <cell r="I9334" t="str">
            <v>6040 - Employer Paid Benefits</v>
          </cell>
          <cell r="J9334">
            <v>0</v>
          </cell>
          <cell r="K9334" t="str">
            <v>Production</v>
          </cell>
          <cell r="L9334" t="str">
            <v>HQ Salaries</v>
          </cell>
          <cell r="N9334" t="str">
            <v>SG&amp;A</v>
          </cell>
          <cell r="O9334" t="str">
            <v>Procyon Benefits LLC</v>
          </cell>
        </row>
        <row r="9335">
          <cell r="D9335">
            <v>59.45</v>
          </cell>
          <cell r="H9335">
            <v>45839</v>
          </cell>
          <cell r="I9335" t="str">
            <v>6040 - Employer Paid Benefits</v>
          </cell>
          <cell r="J9335">
            <v>0</v>
          </cell>
          <cell r="K9335" t="str">
            <v>Merchandising</v>
          </cell>
          <cell r="L9335" t="str">
            <v>HQ Salaries</v>
          </cell>
          <cell r="N9335" t="str">
            <v>SG&amp;A</v>
          </cell>
          <cell r="O9335" t="str">
            <v>Procyon Benefits LLC</v>
          </cell>
        </row>
        <row r="9336">
          <cell r="D9336">
            <v>185.01</v>
          </cell>
          <cell r="H9336">
            <v>45839</v>
          </cell>
          <cell r="I9336" t="str">
            <v>6040 - Employer Paid Benefits</v>
          </cell>
          <cell r="J9336">
            <v>0</v>
          </cell>
          <cell r="K9336" t="str">
            <v>Executive</v>
          </cell>
          <cell r="L9336" t="str">
            <v>HQ Salaries</v>
          </cell>
          <cell r="N9336" t="str">
            <v>SG&amp;A</v>
          </cell>
          <cell r="O9336" t="str">
            <v>Procyon Benefits LLC</v>
          </cell>
        </row>
        <row r="9337">
          <cell r="D9337">
            <v>23.2</v>
          </cell>
          <cell r="H9337">
            <v>45839</v>
          </cell>
          <cell r="I9337" t="str">
            <v>6040 - Employer Paid Benefits</v>
          </cell>
          <cell r="J9337">
            <v>0</v>
          </cell>
          <cell r="K9337" t="str">
            <v>Design</v>
          </cell>
          <cell r="L9337" t="str">
            <v>HQ Salaries</v>
          </cell>
          <cell r="N9337" t="str">
            <v>SG&amp;A</v>
          </cell>
          <cell r="O9337" t="str">
            <v>Procyon Benefits LLC</v>
          </cell>
        </row>
        <row r="9338">
          <cell r="D9338">
            <v>321.85000000000002</v>
          </cell>
          <cell r="H9338">
            <v>45839</v>
          </cell>
          <cell r="I9338" t="str">
            <v>6040 - Employer Paid Benefits</v>
          </cell>
          <cell r="J9338" t="str">
            <v>Wholesale</v>
          </cell>
          <cell r="K9338" t="str">
            <v>Wholesale</v>
          </cell>
          <cell r="L9338" t="str">
            <v>HQ Salaries</v>
          </cell>
          <cell r="N9338" t="str">
            <v>SG&amp;A</v>
          </cell>
          <cell r="O9338" t="str">
            <v>Procyon Benefits LLC</v>
          </cell>
        </row>
        <row r="9339">
          <cell r="D9339">
            <v>156.9</v>
          </cell>
          <cell r="H9339">
            <v>45839</v>
          </cell>
          <cell r="I9339" t="str">
            <v>6040 - Employer Paid Benefits</v>
          </cell>
          <cell r="J9339">
            <v>0</v>
          </cell>
          <cell r="K9339" t="str">
            <v>Production</v>
          </cell>
          <cell r="L9339" t="str">
            <v>HQ Salaries</v>
          </cell>
          <cell r="N9339" t="str">
            <v>SG&amp;A</v>
          </cell>
          <cell r="O9339" t="str">
            <v>Procyon Benefits LLC</v>
          </cell>
        </row>
        <row r="9340">
          <cell r="D9340">
            <v>1554.69</v>
          </cell>
          <cell r="H9340">
            <v>45839</v>
          </cell>
          <cell r="I9340" t="str">
            <v>6040 - Employer Paid Benefits</v>
          </cell>
          <cell r="J9340">
            <v>0</v>
          </cell>
          <cell r="K9340" t="str">
            <v>Merchandising</v>
          </cell>
          <cell r="L9340" t="str">
            <v>HQ Salaries</v>
          </cell>
          <cell r="N9340" t="str">
            <v>SG&amp;A</v>
          </cell>
          <cell r="O9340" t="str">
            <v>Procyon Benefits LLC</v>
          </cell>
        </row>
        <row r="9341">
          <cell r="D9341">
            <v>858.03</v>
          </cell>
          <cell r="H9341">
            <v>45839</v>
          </cell>
          <cell r="I9341" t="str">
            <v>6040 - Employer Paid Benefits</v>
          </cell>
          <cell r="J9341">
            <v>0</v>
          </cell>
          <cell r="K9341" t="str">
            <v>Executive</v>
          </cell>
          <cell r="L9341" t="str">
            <v>HQ Salaries</v>
          </cell>
          <cell r="N9341" t="str">
            <v>SG&amp;A</v>
          </cell>
          <cell r="O9341" t="str">
            <v>Procyon Benefits LLC</v>
          </cell>
        </row>
        <row r="9342">
          <cell r="D9342">
            <v>12.3</v>
          </cell>
          <cell r="H9342">
            <v>45839</v>
          </cell>
          <cell r="I9342" t="str">
            <v>6040 - Employer Paid Benefits</v>
          </cell>
          <cell r="J9342" t="str">
            <v>Ecommerce (US)</v>
          </cell>
          <cell r="K9342" t="str">
            <v>Ecommerce</v>
          </cell>
          <cell r="L9342" t="str">
            <v>HQ Salaries</v>
          </cell>
          <cell r="N9342" t="str">
            <v>SG&amp;A</v>
          </cell>
          <cell r="O9342" t="str">
            <v>Procyon Benefits LLC</v>
          </cell>
        </row>
        <row r="9343">
          <cell r="D9343">
            <v>416</v>
          </cell>
          <cell r="H9343">
            <v>45839</v>
          </cell>
          <cell r="I9343" t="str">
            <v>6040 - Employer Paid Benefits</v>
          </cell>
          <cell r="J9343">
            <v>0</v>
          </cell>
          <cell r="K9343" t="str">
            <v>Design</v>
          </cell>
          <cell r="L9343" t="str">
            <v>HQ Salaries</v>
          </cell>
          <cell r="N9343" t="str">
            <v>SG&amp;A</v>
          </cell>
          <cell r="O9343" t="str">
            <v>Procyon Benefits LLC</v>
          </cell>
        </row>
        <row r="9344">
          <cell r="D9344">
            <v>6</v>
          </cell>
          <cell r="H9344">
            <v>45839</v>
          </cell>
          <cell r="I9344" t="str">
            <v>6040 - Employer Paid Benefits</v>
          </cell>
          <cell r="J9344">
            <v>0</v>
          </cell>
          <cell r="K9344" t="str">
            <v>Administration</v>
          </cell>
          <cell r="L9344" t="str">
            <v>HQ Salaries</v>
          </cell>
          <cell r="N9344" t="str">
            <v>SG&amp;A</v>
          </cell>
          <cell r="O9344" t="str">
            <v>Procyon Benefits LLC</v>
          </cell>
        </row>
        <row r="9345">
          <cell r="D9345">
            <v>-34.9</v>
          </cell>
          <cell r="H9345">
            <v>45839</v>
          </cell>
          <cell r="I9345" t="str">
            <v>6040 - Employer Paid Benefits</v>
          </cell>
          <cell r="J9345" t="str">
            <v>Wholesale</v>
          </cell>
          <cell r="K9345" t="str">
            <v>Wholesale</v>
          </cell>
          <cell r="L9345" t="str">
            <v>HQ Salaries</v>
          </cell>
          <cell r="N9345" t="str">
            <v>SG&amp;A</v>
          </cell>
          <cell r="O9345" t="str">
            <v>[No Vendor]</v>
          </cell>
        </row>
        <row r="9346">
          <cell r="D9346">
            <v>-225.7</v>
          </cell>
          <cell r="H9346">
            <v>45839</v>
          </cell>
          <cell r="I9346" t="str">
            <v>6040 - Employer Paid Benefits</v>
          </cell>
          <cell r="J9346">
            <v>0</v>
          </cell>
          <cell r="K9346" t="str">
            <v>Production</v>
          </cell>
          <cell r="L9346" t="str">
            <v>HQ Salaries</v>
          </cell>
          <cell r="N9346" t="str">
            <v>SG&amp;A</v>
          </cell>
          <cell r="O9346" t="str">
            <v>[No Vendor]</v>
          </cell>
        </row>
        <row r="9347">
          <cell r="D9347">
            <v>-34.9</v>
          </cell>
          <cell r="H9347">
            <v>45839</v>
          </cell>
          <cell r="I9347" t="str">
            <v>6040 - Employer Paid Benefits</v>
          </cell>
          <cell r="J9347">
            <v>0</v>
          </cell>
          <cell r="K9347" t="str">
            <v>Merchandising</v>
          </cell>
          <cell r="L9347" t="str">
            <v>HQ Salaries</v>
          </cell>
          <cell r="N9347" t="str">
            <v>SG&amp;A</v>
          </cell>
          <cell r="O9347" t="str">
            <v>[No Vendor]</v>
          </cell>
        </row>
        <row r="9348">
          <cell r="D9348">
            <v>-106.33</v>
          </cell>
          <cell r="H9348">
            <v>45839</v>
          </cell>
          <cell r="I9348" t="str">
            <v>6040 - Employer Paid Benefits</v>
          </cell>
          <cell r="J9348">
            <v>0</v>
          </cell>
          <cell r="K9348" t="str">
            <v>Brand Marketing</v>
          </cell>
          <cell r="L9348" t="str">
            <v>HQ Salaries</v>
          </cell>
          <cell r="N9348" t="str">
            <v>SG&amp;A</v>
          </cell>
          <cell r="O9348" t="str">
            <v>[No Vendor]</v>
          </cell>
        </row>
        <row r="9349">
          <cell r="D9349">
            <v>-332.53</v>
          </cell>
          <cell r="H9349">
            <v>45839</v>
          </cell>
          <cell r="I9349" t="str">
            <v>6040 - Employer Paid Benefits</v>
          </cell>
          <cell r="J9349">
            <v>0</v>
          </cell>
          <cell r="K9349" t="str">
            <v>Executive</v>
          </cell>
          <cell r="L9349" t="str">
            <v>HQ Salaries</v>
          </cell>
          <cell r="N9349" t="str">
            <v>SG&amp;A</v>
          </cell>
          <cell r="O9349" t="str">
            <v>[No Vendor]</v>
          </cell>
        </row>
        <row r="9350">
          <cell r="D9350">
            <v>-324.20999999999998</v>
          </cell>
          <cell r="H9350">
            <v>45839</v>
          </cell>
          <cell r="I9350" t="str">
            <v>6040 - Employer Paid Benefits</v>
          </cell>
          <cell r="J9350" t="str">
            <v>Ecommerce (US)</v>
          </cell>
          <cell r="K9350" t="str">
            <v>Ecommerce</v>
          </cell>
          <cell r="L9350" t="str">
            <v>HQ Salaries</v>
          </cell>
          <cell r="N9350" t="str">
            <v>SG&amp;A</v>
          </cell>
          <cell r="O9350" t="str">
            <v>[No Vendor]</v>
          </cell>
        </row>
        <row r="9351">
          <cell r="D9351">
            <v>-442.41</v>
          </cell>
          <cell r="H9351">
            <v>45839</v>
          </cell>
          <cell r="I9351" t="str">
            <v>6040 - Employer Paid Benefits</v>
          </cell>
          <cell r="J9351">
            <v>0</v>
          </cell>
          <cell r="K9351" t="str">
            <v>Design</v>
          </cell>
          <cell r="L9351" t="str">
            <v>HQ Salaries</v>
          </cell>
          <cell r="N9351" t="str">
            <v>SG&amp;A</v>
          </cell>
          <cell r="O9351" t="str">
            <v>[No Vendor]</v>
          </cell>
        </row>
        <row r="9352">
          <cell r="D9352">
            <v>-99.9</v>
          </cell>
          <cell r="H9352">
            <v>45839</v>
          </cell>
          <cell r="I9352" t="str">
            <v>6040 - Employer Paid Benefits</v>
          </cell>
          <cell r="J9352">
            <v>0</v>
          </cell>
          <cell r="K9352" t="str">
            <v>Administration</v>
          </cell>
          <cell r="L9352" t="str">
            <v>HQ Salaries</v>
          </cell>
          <cell r="N9352" t="str">
            <v>SG&amp;A</v>
          </cell>
          <cell r="O9352" t="str">
            <v>[No Vendor]</v>
          </cell>
        </row>
        <row r="9353">
          <cell r="D9353">
            <v>100.95</v>
          </cell>
          <cell r="H9353">
            <v>45839</v>
          </cell>
          <cell r="I9353" t="str">
            <v>6040 - Employer Paid Benefits</v>
          </cell>
          <cell r="J9353" t="str">
            <v>Wholesale</v>
          </cell>
          <cell r="K9353" t="str">
            <v>Wholesale</v>
          </cell>
          <cell r="L9353" t="str">
            <v>HQ Salaries</v>
          </cell>
          <cell r="N9353" t="str">
            <v>SG&amp;A</v>
          </cell>
          <cell r="O9353" t="str">
            <v>Procyon Benefits LLC</v>
          </cell>
        </row>
        <row r="9354">
          <cell r="D9354">
            <v>125.79</v>
          </cell>
          <cell r="H9354">
            <v>45839</v>
          </cell>
          <cell r="I9354" t="str">
            <v>6040 - Employer Paid Benefits</v>
          </cell>
          <cell r="J9354">
            <v>0</v>
          </cell>
          <cell r="K9354" t="str">
            <v>Production</v>
          </cell>
          <cell r="L9354" t="str">
            <v>HQ Salaries</v>
          </cell>
          <cell r="N9354" t="str">
            <v>SG&amp;A</v>
          </cell>
          <cell r="O9354" t="str">
            <v>Procyon Benefits LLC</v>
          </cell>
        </row>
        <row r="9355">
          <cell r="D9355">
            <v>110.9</v>
          </cell>
          <cell r="H9355">
            <v>45839</v>
          </cell>
          <cell r="I9355" t="str">
            <v>6040 - Employer Paid Benefits</v>
          </cell>
          <cell r="J9355">
            <v>0</v>
          </cell>
          <cell r="K9355" t="str">
            <v>Merchandising</v>
          </cell>
          <cell r="L9355" t="str">
            <v>HQ Salaries</v>
          </cell>
          <cell r="N9355" t="str">
            <v>SG&amp;A</v>
          </cell>
          <cell r="O9355" t="str">
            <v>Procyon Benefits LLC</v>
          </cell>
        </row>
        <row r="9356">
          <cell r="D9356">
            <v>189.14</v>
          </cell>
          <cell r="H9356">
            <v>45839</v>
          </cell>
          <cell r="I9356" t="str">
            <v>6040 - Employer Paid Benefits</v>
          </cell>
          <cell r="J9356">
            <v>0</v>
          </cell>
          <cell r="K9356" t="str">
            <v>Executive</v>
          </cell>
          <cell r="L9356" t="str">
            <v>HQ Salaries</v>
          </cell>
          <cell r="N9356" t="str">
            <v>SG&amp;A</v>
          </cell>
          <cell r="O9356" t="str">
            <v>Procyon Benefits LLC</v>
          </cell>
        </row>
        <row r="9357">
          <cell r="D9357">
            <v>146</v>
          </cell>
          <cell r="H9357">
            <v>45839</v>
          </cell>
          <cell r="I9357" t="str">
            <v>6040 - Employer Paid Benefits</v>
          </cell>
          <cell r="J9357">
            <v>0</v>
          </cell>
          <cell r="K9357" t="str">
            <v>Design</v>
          </cell>
          <cell r="L9357" t="str">
            <v>HQ Salaries</v>
          </cell>
          <cell r="N9357" t="str">
            <v>SG&amp;A</v>
          </cell>
          <cell r="O9357" t="str">
            <v>Procyon Benefits LLC</v>
          </cell>
        </row>
        <row r="9358">
          <cell r="D9358">
            <v>10</v>
          </cell>
          <cell r="H9358">
            <v>45839</v>
          </cell>
          <cell r="I9358" t="str">
            <v>6040 - Employer Paid Benefits</v>
          </cell>
          <cell r="J9358">
            <v>0</v>
          </cell>
          <cell r="K9358" t="str">
            <v>Administration</v>
          </cell>
          <cell r="L9358" t="str">
            <v>HQ Salaries</v>
          </cell>
          <cell r="N9358" t="str">
            <v>SG&amp;A</v>
          </cell>
          <cell r="O9358" t="str">
            <v>Progressive Benefit Solutions LLC</v>
          </cell>
        </row>
        <row r="9359">
          <cell r="D9359">
            <v>121</v>
          </cell>
          <cell r="H9359">
            <v>45839</v>
          </cell>
          <cell r="I9359" t="str">
            <v>6040 - Employer Paid Benefits</v>
          </cell>
          <cell r="J9359">
            <v>0</v>
          </cell>
          <cell r="K9359" t="str">
            <v>Administration</v>
          </cell>
          <cell r="L9359" t="str">
            <v>HQ Salaries</v>
          </cell>
          <cell r="N9359" t="str">
            <v>SG&amp;A</v>
          </cell>
          <cell r="O9359" t="str">
            <v>Progressive Benefit Solutions LLC</v>
          </cell>
        </row>
        <row r="9360">
          <cell r="D9360">
            <v>853.39</v>
          </cell>
          <cell r="H9360">
            <v>45839</v>
          </cell>
          <cell r="I9360" t="str">
            <v>6040 - Employer Paid Benefits</v>
          </cell>
          <cell r="J9360">
            <v>0</v>
          </cell>
          <cell r="K9360" t="str">
            <v>Administration</v>
          </cell>
          <cell r="L9360" t="str">
            <v>HQ Salaries</v>
          </cell>
          <cell r="N9360" t="str">
            <v>SG&amp;A</v>
          </cell>
          <cell r="O9360" t="str">
            <v>[No Vendor]</v>
          </cell>
        </row>
        <row r="9361">
          <cell r="D9361">
            <v>-398.18</v>
          </cell>
          <cell r="H9361">
            <v>45839</v>
          </cell>
          <cell r="I9361" t="str">
            <v>6040 - Employer Paid Benefits</v>
          </cell>
          <cell r="J9361">
            <v>0</v>
          </cell>
          <cell r="K9361" t="str">
            <v>Design</v>
          </cell>
          <cell r="L9361" t="str">
            <v>HQ Salaries</v>
          </cell>
          <cell r="N9361" t="str">
            <v>SG&amp;A</v>
          </cell>
          <cell r="O9361" t="str">
            <v>[No Vendor]</v>
          </cell>
        </row>
        <row r="9362">
          <cell r="D9362">
            <v>-291.79000000000002</v>
          </cell>
          <cell r="H9362">
            <v>45839</v>
          </cell>
          <cell r="I9362" t="str">
            <v>6040 - Employer Paid Benefits</v>
          </cell>
          <cell r="J9362" t="str">
            <v>Ecommerce (US)</v>
          </cell>
          <cell r="K9362" t="str">
            <v>Ecommerce</v>
          </cell>
          <cell r="L9362" t="str">
            <v>HQ Salaries</v>
          </cell>
          <cell r="N9362" t="str">
            <v>SG&amp;A</v>
          </cell>
          <cell r="O9362" t="str">
            <v>[No Vendor]</v>
          </cell>
        </row>
        <row r="9363">
          <cell r="D9363">
            <v>-299.27999999999997</v>
          </cell>
          <cell r="H9363">
            <v>45839</v>
          </cell>
          <cell r="I9363" t="str">
            <v>6040 - Employer Paid Benefits</v>
          </cell>
          <cell r="J9363">
            <v>0</v>
          </cell>
          <cell r="K9363" t="str">
            <v>Executive</v>
          </cell>
          <cell r="L9363" t="str">
            <v>HQ Salaries</v>
          </cell>
          <cell r="N9363" t="str">
            <v>SG&amp;A</v>
          </cell>
          <cell r="O9363" t="str">
            <v>[No Vendor]</v>
          </cell>
        </row>
        <row r="9364">
          <cell r="D9364">
            <v>-95.7</v>
          </cell>
          <cell r="H9364">
            <v>45839</v>
          </cell>
          <cell r="I9364" t="str">
            <v>6040 - Employer Paid Benefits</v>
          </cell>
          <cell r="J9364">
            <v>0</v>
          </cell>
          <cell r="K9364" t="str">
            <v>Brand Marketing</v>
          </cell>
          <cell r="L9364" t="str">
            <v>HQ Salaries</v>
          </cell>
          <cell r="N9364" t="str">
            <v>SG&amp;A</v>
          </cell>
          <cell r="O9364" t="str">
            <v>[No Vendor]</v>
          </cell>
        </row>
        <row r="9365">
          <cell r="D9365">
            <v>-31.41</v>
          </cell>
          <cell r="H9365">
            <v>45839</v>
          </cell>
          <cell r="I9365" t="str">
            <v>6040 - Employer Paid Benefits</v>
          </cell>
          <cell r="J9365">
            <v>0</v>
          </cell>
          <cell r="K9365" t="str">
            <v>Merchandising</v>
          </cell>
          <cell r="L9365" t="str">
            <v>HQ Salaries</v>
          </cell>
          <cell r="N9365" t="str">
            <v>SG&amp;A</v>
          </cell>
          <cell r="O9365" t="str">
            <v>[No Vendor]</v>
          </cell>
        </row>
        <row r="9366">
          <cell r="D9366">
            <v>-203.13</v>
          </cell>
          <cell r="H9366">
            <v>45839</v>
          </cell>
          <cell r="I9366" t="str">
            <v>6040 - Employer Paid Benefits</v>
          </cell>
          <cell r="J9366">
            <v>0</v>
          </cell>
          <cell r="K9366" t="str">
            <v>Production</v>
          </cell>
          <cell r="L9366" t="str">
            <v>HQ Salaries</v>
          </cell>
          <cell r="N9366" t="str">
            <v>SG&amp;A</v>
          </cell>
          <cell r="O9366" t="str">
            <v>[No Vendor]</v>
          </cell>
        </row>
        <row r="9367">
          <cell r="D9367">
            <v>-31.41</v>
          </cell>
          <cell r="H9367">
            <v>45839</v>
          </cell>
          <cell r="I9367" t="str">
            <v>6040 - Employer Paid Benefits</v>
          </cell>
          <cell r="J9367" t="str">
            <v>Wholesale</v>
          </cell>
          <cell r="K9367" t="str">
            <v>Wholesale</v>
          </cell>
          <cell r="L9367" t="str">
            <v>HQ Salaries</v>
          </cell>
          <cell r="N9367" t="str">
            <v>SG&amp;A</v>
          </cell>
          <cell r="O9367" t="str">
            <v>[No Vendor]</v>
          </cell>
        </row>
        <row r="9368">
          <cell r="D9368">
            <v>-216.79</v>
          </cell>
          <cell r="H9368">
            <v>45839</v>
          </cell>
          <cell r="I9368" t="str">
            <v>6055 - Employer Social Security Tax Withheld</v>
          </cell>
          <cell r="J9368" t="str">
            <v>Wholesale</v>
          </cell>
          <cell r="K9368" t="str">
            <v>Wholesale</v>
          </cell>
          <cell r="L9368" t="str">
            <v>HQ Salaries</v>
          </cell>
          <cell r="N9368" t="str">
            <v>SG&amp;A</v>
          </cell>
          <cell r="O9368" t="str">
            <v>[No Vendor]</v>
          </cell>
        </row>
        <row r="9369">
          <cell r="D9369">
            <v>-967.07</v>
          </cell>
          <cell r="H9369">
            <v>45839</v>
          </cell>
          <cell r="I9369" t="str">
            <v>6055 - Employer Social Security Tax Withheld</v>
          </cell>
          <cell r="J9369">
            <v>0</v>
          </cell>
          <cell r="K9369" t="str">
            <v>Production</v>
          </cell>
          <cell r="L9369" t="str">
            <v>HQ Salaries</v>
          </cell>
          <cell r="N9369" t="str">
            <v>SG&amp;A</v>
          </cell>
          <cell r="O9369" t="str">
            <v>[No Vendor]</v>
          </cell>
        </row>
        <row r="9370">
          <cell r="D9370">
            <v>-584.11</v>
          </cell>
          <cell r="H9370">
            <v>45839</v>
          </cell>
          <cell r="I9370" t="str">
            <v>6055 - Employer Social Security Tax Withheld</v>
          </cell>
          <cell r="J9370">
            <v>0</v>
          </cell>
          <cell r="K9370" t="str">
            <v>Merchandising</v>
          </cell>
          <cell r="L9370" t="str">
            <v>HQ Salaries</v>
          </cell>
          <cell r="N9370" t="str">
            <v>SG&amp;A</v>
          </cell>
          <cell r="O9370" t="str">
            <v>[No Vendor]</v>
          </cell>
        </row>
        <row r="9371">
          <cell r="D9371">
            <v>-264.24</v>
          </cell>
          <cell r="H9371">
            <v>45839</v>
          </cell>
          <cell r="I9371" t="str">
            <v>6055 - Employer Social Security Tax Withheld</v>
          </cell>
          <cell r="J9371">
            <v>0</v>
          </cell>
          <cell r="K9371" t="str">
            <v>Brand Marketing</v>
          </cell>
          <cell r="L9371" t="str">
            <v>HQ Salaries</v>
          </cell>
          <cell r="N9371" t="str">
            <v>SG&amp;A</v>
          </cell>
          <cell r="O9371" t="str">
            <v>[No Vendor]</v>
          </cell>
        </row>
        <row r="9372">
          <cell r="D9372">
            <v>-718.75</v>
          </cell>
          <cell r="H9372">
            <v>45839</v>
          </cell>
          <cell r="I9372" t="str">
            <v>6055 - Employer Social Security Tax Withheld</v>
          </cell>
          <cell r="J9372">
            <v>0</v>
          </cell>
          <cell r="K9372" t="str">
            <v>Executive</v>
          </cell>
          <cell r="L9372" t="str">
            <v>HQ Salaries</v>
          </cell>
          <cell r="N9372" t="str">
            <v>SG&amp;A</v>
          </cell>
          <cell r="O9372" t="str">
            <v>[No Vendor]</v>
          </cell>
        </row>
        <row r="9373">
          <cell r="D9373">
            <v>-1153</v>
          </cell>
          <cell r="H9373">
            <v>45839</v>
          </cell>
          <cell r="I9373" t="str">
            <v>6055 - Employer Social Security Tax Withheld</v>
          </cell>
          <cell r="J9373" t="str">
            <v>Ecommerce (US)</v>
          </cell>
          <cell r="K9373" t="str">
            <v>Ecommerce</v>
          </cell>
          <cell r="L9373" t="str">
            <v>HQ Salaries</v>
          </cell>
          <cell r="N9373" t="str">
            <v>SG&amp;A</v>
          </cell>
          <cell r="O9373" t="str">
            <v>[No Vendor]</v>
          </cell>
        </row>
        <row r="9374">
          <cell r="D9374">
            <v>-1304.68</v>
          </cell>
          <cell r="H9374">
            <v>45839</v>
          </cell>
          <cell r="I9374" t="str">
            <v>6055 - Employer Social Security Tax Withheld</v>
          </cell>
          <cell r="J9374">
            <v>0</v>
          </cell>
          <cell r="K9374" t="str">
            <v>Design</v>
          </cell>
          <cell r="L9374" t="str">
            <v>HQ Salaries</v>
          </cell>
          <cell r="N9374" t="str">
            <v>SG&amp;A</v>
          </cell>
          <cell r="O9374" t="str">
            <v>[No Vendor]</v>
          </cell>
        </row>
        <row r="9375">
          <cell r="D9375">
            <v>-1850.78</v>
          </cell>
          <cell r="H9375">
            <v>45839</v>
          </cell>
          <cell r="I9375" t="str">
            <v>6055 - Employer Social Security Tax Withheld</v>
          </cell>
          <cell r="J9375">
            <v>0</v>
          </cell>
          <cell r="K9375" t="str">
            <v>Administration</v>
          </cell>
          <cell r="L9375" t="str">
            <v>HQ Salaries</v>
          </cell>
          <cell r="N9375" t="str">
            <v>SG&amp;A</v>
          </cell>
          <cell r="O9375" t="str">
            <v>[No Vendor]</v>
          </cell>
        </row>
        <row r="9376">
          <cell r="D9376">
            <v>357.5</v>
          </cell>
          <cell r="H9376">
            <v>45839</v>
          </cell>
          <cell r="I9376" t="str">
            <v>6055 - Employer Social Security Tax Withheld</v>
          </cell>
          <cell r="J9376" t="str">
            <v>Wholesale</v>
          </cell>
          <cell r="K9376" t="str">
            <v>Wholesale</v>
          </cell>
          <cell r="L9376" t="str">
            <v>HQ Salaries</v>
          </cell>
          <cell r="N9376" t="str">
            <v>SG&amp;A</v>
          </cell>
          <cell r="O9376" t="str">
            <v>[No Vendor]</v>
          </cell>
        </row>
        <row r="9377">
          <cell r="D9377">
            <v>1643.53</v>
          </cell>
          <cell r="H9377">
            <v>45839</v>
          </cell>
          <cell r="I9377" t="str">
            <v>6055 - Employer Social Security Tax Withheld</v>
          </cell>
          <cell r="J9377">
            <v>0</v>
          </cell>
          <cell r="K9377" t="str">
            <v>Production</v>
          </cell>
          <cell r="L9377" t="str">
            <v>HQ Salaries</v>
          </cell>
          <cell r="N9377" t="str">
            <v>SG&amp;A</v>
          </cell>
          <cell r="O9377" t="str">
            <v>[No Vendor]</v>
          </cell>
        </row>
        <row r="9378">
          <cell r="D9378">
            <v>1176.96</v>
          </cell>
          <cell r="H9378">
            <v>45839</v>
          </cell>
          <cell r="I9378" t="str">
            <v>6055 - Employer Social Security Tax Withheld</v>
          </cell>
          <cell r="J9378">
            <v>0</v>
          </cell>
          <cell r="K9378" t="str">
            <v>Merchandising</v>
          </cell>
          <cell r="L9378" t="str">
            <v>HQ Salaries</v>
          </cell>
          <cell r="N9378" t="str">
            <v>SG&amp;A</v>
          </cell>
          <cell r="O9378" t="str">
            <v>[No Vendor]</v>
          </cell>
        </row>
        <row r="9379">
          <cell r="D9379">
            <v>507.61</v>
          </cell>
          <cell r="H9379">
            <v>45839</v>
          </cell>
          <cell r="I9379" t="str">
            <v>6055 - Employer Social Security Tax Withheld</v>
          </cell>
          <cell r="J9379">
            <v>0</v>
          </cell>
          <cell r="K9379" t="str">
            <v>Brand Marketing</v>
          </cell>
          <cell r="L9379" t="str">
            <v>HQ Salaries</v>
          </cell>
          <cell r="N9379" t="str">
            <v>SG&amp;A</v>
          </cell>
          <cell r="O9379" t="str">
            <v>[No Vendor]</v>
          </cell>
        </row>
        <row r="9380">
          <cell r="D9380">
            <v>1191.8599999999999</v>
          </cell>
          <cell r="H9380">
            <v>45839</v>
          </cell>
          <cell r="I9380" t="str">
            <v>6055 - Employer Social Security Tax Withheld</v>
          </cell>
          <cell r="J9380">
            <v>0</v>
          </cell>
          <cell r="K9380" t="str">
            <v>Executive</v>
          </cell>
          <cell r="L9380" t="str">
            <v>HQ Salaries</v>
          </cell>
          <cell r="N9380" t="str">
            <v>SG&amp;A</v>
          </cell>
          <cell r="O9380" t="str">
            <v>[No Vendor]</v>
          </cell>
        </row>
        <row r="9381">
          <cell r="D9381">
            <v>2204.02</v>
          </cell>
          <cell r="H9381">
            <v>45839</v>
          </cell>
          <cell r="I9381" t="str">
            <v>6055 - Employer Social Security Tax Withheld</v>
          </cell>
          <cell r="J9381" t="str">
            <v>Ecommerce (US)</v>
          </cell>
          <cell r="K9381" t="str">
            <v>Ecommerce</v>
          </cell>
          <cell r="L9381" t="str">
            <v>HQ Salaries</v>
          </cell>
          <cell r="N9381" t="str">
            <v>SG&amp;A</v>
          </cell>
          <cell r="O9381" t="str">
            <v>[No Vendor]</v>
          </cell>
        </row>
        <row r="9382">
          <cell r="D9382">
            <v>2193.5500000000002</v>
          </cell>
          <cell r="H9382">
            <v>45839</v>
          </cell>
          <cell r="I9382" t="str">
            <v>6055 - Employer Social Security Tax Withheld</v>
          </cell>
          <cell r="J9382">
            <v>0</v>
          </cell>
          <cell r="K9382" t="str">
            <v>Design</v>
          </cell>
          <cell r="L9382" t="str">
            <v>HQ Salaries</v>
          </cell>
          <cell r="N9382" t="str">
            <v>SG&amp;A</v>
          </cell>
          <cell r="O9382" t="str">
            <v>[No Vendor]</v>
          </cell>
        </row>
        <row r="9383">
          <cell r="D9383">
            <v>2955.55</v>
          </cell>
          <cell r="H9383">
            <v>45839</v>
          </cell>
          <cell r="I9383" t="str">
            <v>6055 - Employer Social Security Tax Withheld</v>
          </cell>
          <cell r="J9383">
            <v>0</v>
          </cell>
          <cell r="K9383" t="str">
            <v>Administration</v>
          </cell>
          <cell r="L9383" t="str">
            <v>HQ Salaries</v>
          </cell>
          <cell r="N9383" t="str">
            <v>SG&amp;A</v>
          </cell>
          <cell r="O9383" t="str">
            <v>[No Vendor]</v>
          </cell>
        </row>
        <row r="9384">
          <cell r="D9384">
            <v>357.5</v>
          </cell>
          <cell r="H9384">
            <v>45839</v>
          </cell>
          <cell r="I9384" t="str">
            <v>6055 - Employer Social Security Tax Withheld</v>
          </cell>
          <cell r="J9384" t="str">
            <v>Wholesale</v>
          </cell>
          <cell r="K9384" t="str">
            <v>Wholesale</v>
          </cell>
          <cell r="L9384" t="str">
            <v>HQ Salaries</v>
          </cell>
          <cell r="N9384" t="str">
            <v>SG&amp;A</v>
          </cell>
          <cell r="O9384" t="str">
            <v>[No Vendor]</v>
          </cell>
        </row>
        <row r="9385">
          <cell r="D9385">
            <v>1603.81</v>
          </cell>
          <cell r="H9385">
            <v>45839</v>
          </cell>
          <cell r="I9385" t="str">
            <v>6055 - Employer Social Security Tax Withheld</v>
          </cell>
          <cell r="J9385">
            <v>0</v>
          </cell>
          <cell r="K9385" t="str">
            <v>Production</v>
          </cell>
          <cell r="L9385" t="str">
            <v>HQ Salaries</v>
          </cell>
          <cell r="N9385" t="str">
            <v>SG&amp;A</v>
          </cell>
          <cell r="O9385" t="str">
            <v>[No Vendor]</v>
          </cell>
        </row>
        <row r="9386">
          <cell r="D9386">
            <v>406.94</v>
          </cell>
          <cell r="H9386">
            <v>45839</v>
          </cell>
          <cell r="I9386" t="str">
            <v>6055 - Employer Social Security Tax Withheld</v>
          </cell>
          <cell r="J9386">
            <v>0</v>
          </cell>
          <cell r="K9386" t="str">
            <v>Merchandising</v>
          </cell>
          <cell r="L9386" t="str">
            <v>HQ Salaries</v>
          </cell>
          <cell r="N9386" t="str">
            <v>SG&amp;A</v>
          </cell>
          <cell r="O9386" t="str">
            <v>[No Vendor]</v>
          </cell>
        </row>
        <row r="9387">
          <cell r="D9387">
            <v>494.25</v>
          </cell>
          <cell r="H9387">
            <v>45839</v>
          </cell>
          <cell r="I9387" t="str">
            <v>6055 - Employer Social Security Tax Withheld</v>
          </cell>
          <cell r="J9387">
            <v>0</v>
          </cell>
          <cell r="K9387" t="str">
            <v>Brand Marketing</v>
          </cell>
          <cell r="L9387" t="str">
            <v>HQ Salaries</v>
          </cell>
          <cell r="N9387" t="str">
            <v>SG&amp;A</v>
          </cell>
          <cell r="O9387" t="str">
            <v>[No Vendor]</v>
          </cell>
        </row>
        <row r="9388">
          <cell r="D9388">
            <v>1101.08</v>
          </cell>
          <cell r="H9388">
            <v>45839</v>
          </cell>
          <cell r="I9388" t="str">
            <v>6055 - Employer Social Security Tax Withheld</v>
          </cell>
          <cell r="J9388">
            <v>0</v>
          </cell>
          <cell r="K9388" t="str">
            <v>Executive</v>
          </cell>
          <cell r="L9388" t="str">
            <v>HQ Salaries</v>
          </cell>
          <cell r="N9388" t="str">
            <v>SG&amp;A</v>
          </cell>
          <cell r="O9388" t="str">
            <v>[No Vendor]</v>
          </cell>
        </row>
        <row r="9389">
          <cell r="D9389">
            <v>3822.29</v>
          </cell>
          <cell r="H9389">
            <v>45839</v>
          </cell>
          <cell r="I9389" t="str">
            <v>6055 - Employer Social Security Tax Withheld</v>
          </cell>
          <cell r="J9389" t="str">
            <v>Ecommerce (US)</v>
          </cell>
          <cell r="K9389" t="str">
            <v>Ecommerce</v>
          </cell>
          <cell r="L9389" t="str">
            <v>HQ Salaries</v>
          </cell>
          <cell r="N9389" t="str">
            <v>SG&amp;A</v>
          </cell>
          <cell r="O9389" t="str">
            <v>[No Vendor]</v>
          </cell>
        </row>
        <row r="9390">
          <cell r="D9390">
            <v>2155.3200000000002</v>
          </cell>
          <cell r="H9390">
            <v>45839</v>
          </cell>
          <cell r="I9390" t="str">
            <v>6055 - Employer Social Security Tax Withheld</v>
          </cell>
          <cell r="J9390">
            <v>0</v>
          </cell>
          <cell r="K9390" t="str">
            <v>Design</v>
          </cell>
          <cell r="L9390" t="str">
            <v>HQ Salaries</v>
          </cell>
          <cell r="N9390" t="str">
            <v>SG&amp;A</v>
          </cell>
          <cell r="O9390" t="str">
            <v>[No Vendor]</v>
          </cell>
        </row>
        <row r="9391">
          <cell r="D9391">
            <v>1489.99</v>
          </cell>
          <cell r="H9391">
            <v>45839</v>
          </cell>
          <cell r="I9391" t="str">
            <v>6055 - Employer Social Security Tax Withheld</v>
          </cell>
          <cell r="J9391">
            <v>0</v>
          </cell>
          <cell r="K9391" t="str">
            <v>Administration</v>
          </cell>
          <cell r="L9391" t="str">
            <v>HQ Salaries</v>
          </cell>
          <cell r="N9391" t="str">
            <v>SG&amp;A</v>
          </cell>
          <cell r="O9391" t="str">
            <v>[No Vendor]</v>
          </cell>
        </row>
        <row r="9392">
          <cell r="D9392">
            <v>737.93</v>
          </cell>
          <cell r="H9392">
            <v>45839</v>
          </cell>
          <cell r="I9392" t="str">
            <v>6055 - Employer Social Security Tax Withheld</v>
          </cell>
          <cell r="J9392">
            <v>0</v>
          </cell>
          <cell r="K9392" t="str">
            <v>Administration</v>
          </cell>
          <cell r="L9392" t="str">
            <v>HQ Salaries</v>
          </cell>
          <cell r="N9392" t="str">
            <v>SG&amp;A</v>
          </cell>
          <cell r="O9392" t="str">
            <v>[No Vendor]</v>
          </cell>
        </row>
        <row r="9393">
          <cell r="D9393">
            <v>2625.46</v>
          </cell>
          <cell r="H9393">
            <v>45839</v>
          </cell>
          <cell r="I9393" t="str">
            <v>6055 - Employer Social Security Tax Withheld</v>
          </cell>
          <cell r="J9393">
            <v>0</v>
          </cell>
          <cell r="K9393" t="str">
            <v>Administration</v>
          </cell>
          <cell r="L9393" t="str">
            <v>HQ Salaries</v>
          </cell>
          <cell r="N9393" t="str">
            <v>SG&amp;A</v>
          </cell>
          <cell r="O9393" t="str">
            <v>[No Vendor]</v>
          </cell>
        </row>
        <row r="9394">
          <cell r="D9394">
            <v>1939.8</v>
          </cell>
          <cell r="H9394">
            <v>45839</v>
          </cell>
          <cell r="I9394" t="str">
            <v>6055 - Employer Social Security Tax Withheld</v>
          </cell>
          <cell r="J9394">
            <v>0</v>
          </cell>
          <cell r="K9394" t="str">
            <v>Design</v>
          </cell>
          <cell r="L9394" t="str">
            <v>HQ Salaries</v>
          </cell>
          <cell r="N9394" t="str">
            <v>SG&amp;A</v>
          </cell>
          <cell r="O9394" t="str">
            <v>[No Vendor]</v>
          </cell>
        </row>
        <row r="9395">
          <cell r="D9395">
            <v>1983.62</v>
          </cell>
          <cell r="H9395">
            <v>45839</v>
          </cell>
          <cell r="I9395" t="str">
            <v>6055 - Employer Social Security Tax Withheld</v>
          </cell>
          <cell r="J9395" t="str">
            <v>Ecommerce (US)</v>
          </cell>
          <cell r="K9395" t="str">
            <v>Ecommerce</v>
          </cell>
          <cell r="L9395" t="str">
            <v>HQ Salaries</v>
          </cell>
          <cell r="N9395" t="str">
            <v>SG&amp;A</v>
          </cell>
          <cell r="O9395" t="str">
            <v>[No Vendor]</v>
          </cell>
        </row>
        <row r="9396">
          <cell r="D9396">
            <v>456.63</v>
          </cell>
          <cell r="H9396">
            <v>45839</v>
          </cell>
          <cell r="I9396" t="str">
            <v>6055 - Employer Social Security Tax Withheld</v>
          </cell>
          <cell r="J9396">
            <v>0</v>
          </cell>
          <cell r="K9396" t="str">
            <v>Executive</v>
          </cell>
          <cell r="L9396" t="str">
            <v>HQ Salaries</v>
          </cell>
          <cell r="N9396" t="str">
            <v>SG&amp;A</v>
          </cell>
          <cell r="O9396" t="str">
            <v>[No Vendor]</v>
          </cell>
        </row>
        <row r="9397">
          <cell r="D9397">
            <v>272.05</v>
          </cell>
          <cell r="H9397">
            <v>45839</v>
          </cell>
          <cell r="I9397" t="str">
            <v>6055 - Employer Social Security Tax Withheld</v>
          </cell>
          <cell r="J9397">
            <v>0</v>
          </cell>
          <cell r="K9397" t="str">
            <v>Brand Marketing</v>
          </cell>
          <cell r="L9397" t="str">
            <v>HQ Salaries</v>
          </cell>
          <cell r="N9397" t="str">
            <v>SG&amp;A</v>
          </cell>
          <cell r="O9397" t="str">
            <v>[No Vendor]</v>
          </cell>
        </row>
        <row r="9398">
          <cell r="D9398">
            <v>366.25</v>
          </cell>
          <cell r="H9398">
            <v>45839</v>
          </cell>
          <cell r="I9398" t="str">
            <v>6055 - Employer Social Security Tax Withheld</v>
          </cell>
          <cell r="J9398">
            <v>0</v>
          </cell>
          <cell r="K9398" t="str">
            <v>Merchandising</v>
          </cell>
          <cell r="L9398" t="str">
            <v>HQ Salaries</v>
          </cell>
          <cell r="N9398" t="str">
            <v>SG&amp;A</v>
          </cell>
          <cell r="O9398" t="str">
            <v>[No Vendor]</v>
          </cell>
        </row>
        <row r="9399">
          <cell r="D9399">
            <v>1443.43</v>
          </cell>
          <cell r="H9399">
            <v>45839</v>
          </cell>
          <cell r="I9399" t="str">
            <v>6055 - Employer Social Security Tax Withheld</v>
          </cell>
          <cell r="J9399">
            <v>0</v>
          </cell>
          <cell r="K9399" t="str">
            <v>Production</v>
          </cell>
          <cell r="L9399" t="str">
            <v>HQ Salaries</v>
          </cell>
          <cell r="N9399" t="str">
            <v>SG&amp;A</v>
          </cell>
          <cell r="O9399" t="str">
            <v>[No Vendor]</v>
          </cell>
        </row>
        <row r="9400">
          <cell r="D9400">
            <v>321.76</v>
          </cell>
          <cell r="H9400">
            <v>45839</v>
          </cell>
          <cell r="I9400" t="str">
            <v>6055 - Employer Social Security Tax Withheld</v>
          </cell>
          <cell r="J9400" t="str">
            <v>Wholesale</v>
          </cell>
          <cell r="K9400" t="str">
            <v>Wholesale</v>
          </cell>
          <cell r="L9400" t="str">
            <v>HQ Salaries</v>
          </cell>
          <cell r="N9400" t="str">
            <v>SG&amp;A</v>
          </cell>
          <cell r="O9400" t="str">
            <v>[No Vendor]</v>
          </cell>
        </row>
        <row r="9401">
          <cell r="D9401">
            <v>204.2</v>
          </cell>
          <cell r="H9401">
            <v>45839</v>
          </cell>
          <cell r="I9401" t="str">
            <v>6105 - Meals</v>
          </cell>
          <cell r="J9401">
            <v>0</v>
          </cell>
          <cell r="K9401" t="str">
            <v>Production</v>
          </cell>
          <cell r="L9401" t="str">
            <v>T&amp;E</v>
          </cell>
          <cell r="N9401" t="str">
            <v>SG&amp;A</v>
          </cell>
          <cell r="O9401" t="str">
            <v>Alexandra Olivier</v>
          </cell>
        </row>
        <row r="9402">
          <cell r="D9402">
            <v>81.459999999999994</v>
          </cell>
          <cell r="H9402">
            <v>45839</v>
          </cell>
          <cell r="I9402" t="str">
            <v>6105 - Meals</v>
          </cell>
          <cell r="J9402">
            <v>0</v>
          </cell>
          <cell r="K9402" t="str">
            <v>Brand Marketing</v>
          </cell>
          <cell r="L9402" t="str">
            <v>T&amp;E</v>
          </cell>
          <cell r="N9402" t="str">
            <v>SG&amp;A</v>
          </cell>
          <cell r="O9402" t="str">
            <v>Olivia Nielsen</v>
          </cell>
        </row>
        <row r="9403">
          <cell r="D9403">
            <v>306.29000000000002</v>
          </cell>
          <cell r="H9403">
            <v>45839</v>
          </cell>
          <cell r="I9403" t="str">
            <v>6105 - Meals</v>
          </cell>
          <cell r="J9403">
            <v>0</v>
          </cell>
          <cell r="K9403" t="str">
            <v>Brand Marketing</v>
          </cell>
          <cell r="L9403" t="str">
            <v>T&amp;E</v>
          </cell>
          <cell r="N9403" t="str">
            <v>SG&amp;A</v>
          </cell>
          <cell r="O9403" t="str">
            <v>Olivia Nielsen</v>
          </cell>
        </row>
        <row r="9404">
          <cell r="D9404">
            <v>60.89</v>
          </cell>
          <cell r="H9404">
            <v>45839</v>
          </cell>
          <cell r="I9404" t="str">
            <v>6105 - Meals</v>
          </cell>
          <cell r="J9404">
            <v>0</v>
          </cell>
          <cell r="K9404" t="str">
            <v>Executive</v>
          </cell>
          <cell r="L9404" t="str">
            <v>T&amp;E</v>
          </cell>
          <cell r="N9404" t="str">
            <v>SG&amp;A</v>
          </cell>
          <cell r="O9404" t="str">
            <v>[No Vendor]</v>
          </cell>
        </row>
        <row r="9405">
          <cell r="D9405">
            <v>13.34</v>
          </cell>
          <cell r="H9405">
            <v>45839</v>
          </cell>
          <cell r="I9405" t="str">
            <v>6105 - Meals</v>
          </cell>
          <cell r="J9405">
            <v>0</v>
          </cell>
          <cell r="K9405" t="str">
            <v>Administration</v>
          </cell>
          <cell r="L9405" t="str">
            <v>T&amp;E</v>
          </cell>
          <cell r="N9405" t="str">
            <v>SG&amp;A</v>
          </cell>
          <cell r="O9405" t="str">
            <v>Sean Lee</v>
          </cell>
        </row>
        <row r="9406">
          <cell r="D9406">
            <v>335.32</v>
          </cell>
          <cell r="H9406">
            <v>45839</v>
          </cell>
          <cell r="I9406" t="str">
            <v>6120 - Lodging</v>
          </cell>
          <cell r="J9406" t="str">
            <v>Ecommerce (US)</v>
          </cell>
          <cell r="K9406" t="str">
            <v>Ecommerce</v>
          </cell>
          <cell r="L9406" t="str">
            <v>T&amp;E</v>
          </cell>
          <cell r="N9406" t="str">
            <v>SG&amp;A</v>
          </cell>
          <cell r="O9406" t="str">
            <v>Lisa  Resciniti</v>
          </cell>
        </row>
        <row r="9407">
          <cell r="D9407">
            <v>92.78</v>
          </cell>
          <cell r="H9407">
            <v>45839</v>
          </cell>
          <cell r="I9407" t="str">
            <v>6125 - Transportation and Fuel</v>
          </cell>
          <cell r="J9407">
            <v>0</v>
          </cell>
          <cell r="K9407" t="str">
            <v>Brand Marketing</v>
          </cell>
          <cell r="L9407" t="str">
            <v>T&amp;E</v>
          </cell>
          <cell r="N9407" t="str">
            <v>SG&amp;A</v>
          </cell>
          <cell r="O9407" t="str">
            <v>Olivia Nielsen</v>
          </cell>
        </row>
        <row r="9408">
          <cell r="D9408">
            <v>0</v>
          </cell>
          <cell r="H9408">
            <v>45839</v>
          </cell>
          <cell r="I9408" t="str">
            <v>6205 - Contractors</v>
          </cell>
          <cell r="J9408">
            <v>0</v>
          </cell>
          <cell r="K9408" t="str">
            <v>Brand Marketing</v>
          </cell>
          <cell r="L9408" t="str">
            <v>HQ Salaries</v>
          </cell>
          <cell r="N9408" t="str">
            <v>SG&amp;A</v>
          </cell>
          <cell r="O9408" t="str">
            <v>[No Vendor]</v>
          </cell>
        </row>
        <row r="9409">
          <cell r="D9409">
            <v>0</v>
          </cell>
          <cell r="H9409">
            <v>45839</v>
          </cell>
          <cell r="I9409" t="str">
            <v>6205 - Contractors</v>
          </cell>
          <cell r="J9409" t="str">
            <v>Ecommerce (US)</v>
          </cell>
          <cell r="K9409" t="str">
            <v>Ecommerce</v>
          </cell>
          <cell r="L9409" t="str">
            <v>HQ Salaries</v>
          </cell>
          <cell r="N9409" t="str">
            <v>SG&amp;A</v>
          </cell>
          <cell r="O9409" t="str">
            <v>[No Vendor]</v>
          </cell>
        </row>
        <row r="9410">
          <cell r="D9410">
            <v>0</v>
          </cell>
          <cell r="H9410">
            <v>45839</v>
          </cell>
          <cell r="I9410" t="str">
            <v>6205 - Contractors</v>
          </cell>
          <cell r="J9410">
            <v>0</v>
          </cell>
          <cell r="K9410" t="str">
            <v>Design</v>
          </cell>
          <cell r="L9410" t="str">
            <v>HQ Salaries</v>
          </cell>
          <cell r="N9410" t="str">
            <v>SG&amp;A</v>
          </cell>
          <cell r="O9410" t="str">
            <v>[No Vendor]</v>
          </cell>
        </row>
        <row r="9411">
          <cell r="D9411">
            <v>18333.330000000002</v>
          </cell>
          <cell r="H9411">
            <v>45839</v>
          </cell>
          <cell r="I9411" t="str">
            <v>6205 - Contractors</v>
          </cell>
          <cell r="J9411">
            <v>0</v>
          </cell>
          <cell r="K9411" t="str">
            <v>Brand Marketing</v>
          </cell>
          <cell r="L9411" t="str">
            <v>HQ Salaries</v>
          </cell>
          <cell r="N9411" t="str">
            <v>SG&amp;A</v>
          </cell>
          <cell r="O9411" t="str">
            <v>[No Vendor]</v>
          </cell>
        </row>
        <row r="9412">
          <cell r="D9412">
            <v>0</v>
          </cell>
          <cell r="H9412">
            <v>45839</v>
          </cell>
          <cell r="I9412" t="str">
            <v>6205 - Contractors</v>
          </cell>
          <cell r="J9412" t="str">
            <v>Ecommerce (US)</v>
          </cell>
          <cell r="K9412" t="str">
            <v>Ecommerce</v>
          </cell>
          <cell r="L9412" t="str">
            <v>HQ Salaries</v>
          </cell>
          <cell r="N9412" t="str">
            <v>SG&amp;A</v>
          </cell>
          <cell r="O9412" t="str">
            <v>[No Vendor]</v>
          </cell>
        </row>
        <row r="9413">
          <cell r="D9413">
            <v>0</v>
          </cell>
          <cell r="H9413">
            <v>45839</v>
          </cell>
          <cell r="I9413" t="str">
            <v>6205 - Contractors</v>
          </cell>
          <cell r="J9413">
            <v>0</v>
          </cell>
          <cell r="K9413" t="str">
            <v>Design</v>
          </cell>
          <cell r="L9413" t="str">
            <v>HQ Salaries</v>
          </cell>
          <cell r="N9413" t="str">
            <v>SG&amp;A</v>
          </cell>
          <cell r="O9413" t="str">
            <v>[No Vendor]</v>
          </cell>
        </row>
        <row r="9414">
          <cell r="D9414">
            <v>1500</v>
          </cell>
          <cell r="H9414">
            <v>45839</v>
          </cell>
          <cell r="I9414" t="str">
            <v>6205 - Contractors</v>
          </cell>
          <cell r="J9414">
            <v>0</v>
          </cell>
          <cell r="K9414" t="str">
            <v>Brand Marketing</v>
          </cell>
          <cell r="L9414" t="str">
            <v>HQ Salaries</v>
          </cell>
          <cell r="N9414" t="str">
            <v>SG&amp;A</v>
          </cell>
          <cell r="O9414" t="str">
            <v>Ammy  Thitichaya Chan</v>
          </cell>
        </row>
        <row r="9415">
          <cell r="D9415">
            <v>0</v>
          </cell>
          <cell r="H9415">
            <v>45839</v>
          </cell>
          <cell r="I9415" t="str">
            <v>6205 - Contractors</v>
          </cell>
          <cell r="J9415">
            <v>0</v>
          </cell>
          <cell r="K9415" t="str">
            <v>Brand Marketing</v>
          </cell>
          <cell r="L9415" t="str">
            <v>HQ Salaries</v>
          </cell>
          <cell r="N9415" t="str">
            <v>SG&amp;A</v>
          </cell>
          <cell r="O9415" t="str">
            <v>[No Vendor]</v>
          </cell>
        </row>
        <row r="9416">
          <cell r="D9416">
            <v>0</v>
          </cell>
          <cell r="H9416">
            <v>45839</v>
          </cell>
          <cell r="I9416" t="str">
            <v>6205 - Contractors</v>
          </cell>
          <cell r="J9416">
            <v>0</v>
          </cell>
          <cell r="K9416" t="str">
            <v>Design</v>
          </cell>
          <cell r="L9416" t="str">
            <v>HQ Salaries</v>
          </cell>
          <cell r="N9416" t="str">
            <v>SG&amp;A</v>
          </cell>
          <cell r="O9416" t="str">
            <v>[No Vendor]</v>
          </cell>
        </row>
        <row r="9417">
          <cell r="D9417">
            <v>2998.97</v>
          </cell>
          <cell r="H9417">
            <v>45839</v>
          </cell>
          <cell r="I9417" t="str">
            <v>6205 - Contractors</v>
          </cell>
          <cell r="J9417">
            <v>0</v>
          </cell>
          <cell r="K9417" t="str">
            <v>Production</v>
          </cell>
          <cell r="L9417" t="str">
            <v>HQ Salaries</v>
          </cell>
          <cell r="N9417" t="str">
            <v>SG&amp;A</v>
          </cell>
          <cell r="O9417" t="str">
            <v>Robert Half</v>
          </cell>
        </row>
        <row r="9418">
          <cell r="D9418">
            <v>0</v>
          </cell>
          <cell r="H9418">
            <v>45839</v>
          </cell>
          <cell r="I9418" t="str">
            <v>6205 - Contractors</v>
          </cell>
          <cell r="J9418">
            <v>0</v>
          </cell>
          <cell r="K9418" t="str">
            <v>Design</v>
          </cell>
          <cell r="L9418" t="str">
            <v>HQ Salaries</v>
          </cell>
          <cell r="N9418" t="str">
            <v>SG&amp;A</v>
          </cell>
          <cell r="O9418" t="str">
            <v>[No Vendor]</v>
          </cell>
        </row>
        <row r="9419">
          <cell r="D9419">
            <v>15819</v>
          </cell>
          <cell r="H9419">
            <v>45839</v>
          </cell>
          <cell r="I9419" t="str">
            <v>6205 - Contractors</v>
          </cell>
          <cell r="J9419" t="str">
            <v>Ecommerce (US)</v>
          </cell>
          <cell r="K9419" t="str">
            <v>Ecommerce</v>
          </cell>
          <cell r="L9419" t="str">
            <v>HQ Salaries</v>
          </cell>
          <cell r="N9419" t="str">
            <v>SG&amp;A</v>
          </cell>
          <cell r="O9419" t="str">
            <v>[No Vendor]</v>
          </cell>
        </row>
        <row r="9420">
          <cell r="D9420">
            <v>9850</v>
          </cell>
          <cell r="H9420">
            <v>45839</v>
          </cell>
          <cell r="I9420" t="str">
            <v>6205 - Contractors</v>
          </cell>
          <cell r="J9420" t="str">
            <v>Ecommerce (US)</v>
          </cell>
          <cell r="K9420" t="str">
            <v>Ecommerce</v>
          </cell>
          <cell r="L9420" t="str">
            <v>HQ Salaries</v>
          </cell>
          <cell r="N9420" t="str">
            <v>SG&amp;A</v>
          </cell>
          <cell r="O9420" t="str">
            <v>[No Vendor]</v>
          </cell>
        </row>
        <row r="9421">
          <cell r="D9421">
            <v>6825</v>
          </cell>
          <cell r="H9421">
            <v>45839</v>
          </cell>
          <cell r="I9421" t="str">
            <v>6205 - Contractors</v>
          </cell>
          <cell r="J9421" t="str">
            <v>Ecommerce (US)</v>
          </cell>
          <cell r="K9421" t="str">
            <v>Ecommerce</v>
          </cell>
          <cell r="L9421" t="str">
            <v>HQ Salaries</v>
          </cell>
          <cell r="N9421" t="str">
            <v>SG&amp;A</v>
          </cell>
          <cell r="O9421" t="str">
            <v>[No Vendor]</v>
          </cell>
        </row>
        <row r="9422">
          <cell r="D9422">
            <v>0</v>
          </cell>
          <cell r="H9422">
            <v>45839</v>
          </cell>
          <cell r="I9422" t="str">
            <v>6205 - Contractors</v>
          </cell>
          <cell r="J9422">
            <v>0</v>
          </cell>
          <cell r="K9422" t="str">
            <v>Brand Marketing</v>
          </cell>
          <cell r="L9422" t="str">
            <v>HQ Salaries</v>
          </cell>
          <cell r="N9422" t="str">
            <v>SG&amp;A</v>
          </cell>
          <cell r="O9422" t="str">
            <v>[No Vendor]</v>
          </cell>
        </row>
        <row r="9423">
          <cell r="D9423">
            <v>1500</v>
          </cell>
          <cell r="H9423">
            <v>45839</v>
          </cell>
          <cell r="I9423" t="str">
            <v>6205 - Contractors</v>
          </cell>
          <cell r="J9423">
            <v>0</v>
          </cell>
          <cell r="K9423" t="str">
            <v>Production</v>
          </cell>
          <cell r="L9423" t="str">
            <v>HQ Salaries</v>
          </cell>
          <cell r="N9423" t="str">
            <v>SG&amp;A</v>
          </cell>
          <cell r="O9423" t="str">
            <v>Philip Yau</v>
          </cell>
        </row>
        <row r="9424">
          <cell r="D9424">
            <v>5398.97</v>
          </cell>
          <cell r="H9424">
            <v>45839</v>
          </cell>
          <cell r="I9424" t="str">
            <v>6205 - Contractors</v>
          </cell>
          <cell r="J9424">
            <v>0</v>
          </cell>
          <cell r="K9424" t="str">
            <v>Production</v>
          </cell>
          <cell r="L9424" t="str">
            <v>HQ Salaries</v>
          </cell>
          <cell r="N9424" t="str">
            <v>SG&amp;A</v>
          </cell>
          <cell r="O9424" t="str">
            <v>[No Vendor]</v>
          </cell>
        </row>
        <row r="9425">
          <cell r="D9425">
            <v>352.27</v>
          </cell>
          <cell r="H9425">
            <v>45839</v>
          </cell>
          <cell r="I9425" t="str">
            <v>6210 - Monitoring</v>
          </cell>
          <cell r="J9425" t="str">
            <v>Ecommerce (EU)</v>
          </cell>
          <cell r="K9425" t="str">
            <v>Ecommerce</v>
          </cell>
          <cell r="L9425" t="str">
            <v>Professional Service</v>
          </cell>
          <cell r="N9425" t="str">
            <v>Direct Costs</v>
          </cell>
          <cell r="O9425" t="str">
            <v>Convey SRL</v>
          </cell>
        </row>
        <row r="9426">
          <cell r="D9426">
            <v>4159.12</v>
          </cell>
          <cell r="H9426">
            <v>45839</v>
          </cell>
          <cell r="I9426" t="str">
            <v>6210 - Monitoring</v>
          </cell>
          <cell r="J9426" t="str">
            <v>Ecommerce (EU)</v>
          </cell>
          <cell r="K9426" t="str">
            <v>Ecommerce</v>
          </cell>
          <cell r="L9426" t="str">
            <v>Professional Service</v>
          </cell>
          <cell r="N9426" t="str">
            <v>Direct Costs</v>
          </cell>
          <cell r="O9426" t="str">
            <v>Convey SRL</v>
          </cell>
        </row>
        <row r="9427">
          <cell r="D9427">
            <v>119.24</v>
          </cell>
          <cell r="H9427">
            <v>45839</v>
          </cell>
          <cell r="I9427" t="str">
            <v>6210 - Monitoring</v>
          </cell>
          <cell r="J9427" t="str">
            <v>Ecommerce (EU)</v>
          </cell>
          <cell r="K9427" t="str">
            <v>Ecommerce</v>
          </cell>
          <cell r="L9427" t="str">
            <v>Professional Service</v>
          </cell>
          <cell r="N9427" t="str">
            <v>Direct Costs</v>
          </cell>
          <cell r="O9427" t="str">
            <v>Convey SRL</v>
          </cell>
        </row>
        <row r="9428">
          <cell r="D9428">
            <v>160.91999999999999</v>
          </cell>
          <cell r="H9428">
            <v>45839</v>
          </cell>
          <cell r="I9428" t="str">
            <v>6210 - Monitoring</v>
          </cell>
          <cell r="J9428" t="str">
            <v>Ecommerce (EU)</v>
          </cell>
          <cell r="K9428" t="str">
            <v>Ecommerce</v>
          </cell>
          <cell r="L9428" t="str">
            <v>Professional Service</v>
          </cell>
          <cell r="N9428" t="str">
            <v>Direct Costs</v>
          </cell>
          <cell r="O9428" t="str">
            <v>Convey SRL</v>
          </cell>
        </row>
        <row r="9429">
          <cell r="D9429">
            <v>18.899999999999999</v>
          </cell>
          <cell r="H9429">
            <v>45839</v>
          </cell>
          <cell r="I9429" t="str">
            <v>6225 - Professional Services</v>
          </cell>
          <cell r="J9429">
            <v>0</v>
          </cell>
          <cell r="K9429" t="str">
            <v>Administration</v>
          </cell>
          <cell r="L9429" t="str">
            <v>Professional Service</v>
          </cell>
          <cell r="N9429" t="str">
            <v>Direct Costs</v>
          </cell>
          <cell r="O9429" t="str">
            <v>Enom Solutions, Inc-DBA 3nom</v>
          </cell>
        </row>
        <row r="9430">
          <cell r="D9430">
            <v>640</v>
          </cell>
          <cell r="H9430">
            <v>45839</v>
          </cell>
          <cell r="I9430" t="str">
            <v>6225 - Professional Services</v>
          </cell>
          <cell r="J9430">
            <v>0</v>
          </cell>
          <cell r="K9430" t="str">
            <v>Administration</v>
          </cell>
          <cell r="L9430" t="str">
            <v>Professional Service</v>
          </cell>
          <cell r="N9430" t="str">
            <v>Direct Costs</v>
          </cell>
          <cell r="O9430" t="str">
            <v>Enom Solutions, Inc-DBA 3nom</v>
          </cell>
        </row>
        <row r="9431">
          <cell r="D9431">
            <v>9</v>
          </cell>
          <cell r="H9431">
            <v>45839</v>
          </cell>
          <cell r="I9431" t="str">
            <v>6225 - Professional Services</v>
          </cell>
          <cell r="J9431">
            <v>0</v>
          </cell>
          <cell r="K9431" t="str">
            <v>Administration</v>
          </cell>
          <cell r="L9431" t="str">
            <v>Professional Service</v>
          </cell>
          <cell r="N9431" t="str">
            <v>Direct Costs</v>
          </cell>
          <cell r="O9431" t="str">
            <v>Enom Solutions, Inc-DBA 3nom</v>
          </cell>
        </row>
        <row r="9432">
          <cell r="D9432">
            <v>125</v>
          </cell>
          <cell r="H9432">
            <v>45839</v>
          </cell>
          <cell r="I9432" t="str">
            <v>6225 - Professional Services</v>
          </cell>
          <cell r="J9432">
            <v>0</v>
          </cell>
          <cell r="K9432" t="str">
            <v>Administration</v>
          </cell>
          <cell r="L9432" t="str">
            <v>Professional Service</v>
          </cell>
          <cell r="N9432" t="str">
            <v>Direct Costs</v>
          </cell>
          <cell r="O9432" t="str">
            <v>Enom Solutions, Inc-DBA 3nom</v>
          </cell>
        </row>
        <row r="9433">
          <cell r="D9433">
            <v>2500</v>
          </cell>
          <cell r="H9433">
            <v>45839</v>
          </cell>
          <cell r="I9433" t="str">
            <v>6225 - Professional Services</v>
          </cell>
          <cell r="J9433">
            <v>0</v>
          </cell>
          <cell r="K9433" t="str">
            <v>Administration</v>
          </cell>
          <cell r="L9433" t="str">
            <v>Professional Service</v>
          </cell>
          <cell r="N9433" t="str">
            <v>Direct Costs</v>
          </cell>
          <cell r="O9433" t="str">
            <v>Enom Solutions, Inc-DBA 3nom</v>
          </cell>
        </row>
        <row r="9434">
          <cell r="D9434">
            <v>-833.33</v>
          </cell>
          <cell r="H9434">
            <v>45839</v>
          </cell>
          <cell r="I9434" t="str">
            <v>6225 - Professional Services</v>
          </cell>
          <cell r="J9434">
            <v>0</v>
          </cell>
          <cell r="K9434" t="str">
            <v>Administration</v>
          </cell>
          <cell r="L9434" t="str">
            <v>Professional Service</v>
          </cell>
          <cell r="N9434" t="str">
            <v>Direct Costs</v>
          </cell>
          <cell r="O9434" t="str">
            <v>Procyon Benefits LLC</v>
          </cell>
        </row>
        <row r="9435">
          <cell r="D9435">
            <v>-833.33</v>
          </cell>
          <cell r="H9435">
            <v>45839</v>
          </cell>
          <cell r="I9435" t="str">
            <v>6225 - Professional Services</v>
          </cell>
          <cell r="J9435">
            <v>0</v>
          </cell>
          <cell r="K9435" t="str">
            <v>Administration</v>
          </cell>
          <cell r="L9435" t="str">
            <v>Professional Service</v>
          </cell>
          <cell r="N9435" t="str">
            <v>Direct Costs</v>
          </cell>
          <cell r="O9435" t="str">
            <v>Procyon Benefits LLC</v>
          </cell>
        </row>
        <row r="9436">
          <cell r="D9436">
            <v>-833.33</v>
          </cell>
          <cell r="H9436">
            <v>45839</v>
          </cell>
          <cell r="I9436" t="str">
            <v>6225 - Professional Services</v>
          </cell>
          <cell r="J9436">
            <v>0</v>
          </cell>
          <cell r="K9436" t="str">
            <v>Administration</v>
          </cell>
          <cell r="L9436" t="str">
            <v>Professional Service</v>
          </cell>
          <cell r="N9436" t="str">
            <v>Direct Costs</v>
          </cell>
          <cell r="O9436" t="str">
            <v>Procyon Benefits LLC</v>
          </cell>
        </row>
        <row r="9437">
          <cell r="D9437">
            <v>2500</v>
          </cell>
          <cell r="H9437">
            <v>45839</v>
          </cell>
          <cell r="I9437" t="str">
            <v>6225 - Professional Services</v>
          </cell>
          <cell r="J9437">
            <v>0</v>
          </cell>
          <cell r="K9437" t="str">
            <v>Administration</v>
          </cell>
          <cell r="L9437" t="str">
            <v>Professional Service</v>
          </cell>
          <cell r="N9437" t="str">
            <v>Direct Costs</v>
          </cell>
          <cell r="O9437" t="str">
            <v>Procyon Benefits LLC</v>
          </cell>
        </row>
        <row r="9438">
          <cell r="D9438">
            <v>4500</v>
          </cell>
          <cell r="H9438">
            <v>45839</v>
          </cell>
          <cell r="I9438" t="str">
            <v>6225 - Professional Services</v>
          </cell>
          <cell r="J9438" t="str">
            <v>Ecommerce (US)</v>
          </cell>
          <cell r="K9438" t="str">
            <v>Ecommerce</v>
          </cell>
          <cell r="L9438" t="str">
            <v>Professional Service</v>
          </cell>
          <cell r="N9438" t="str">
            <v>Direct Costs</v>
          </cell>
          <cell r="O9438" t="str">
            <v>Freeflow LLC</v>
          </cell>
        </row>
        <row r="9439">
          <cell r="D9439">
            <v>12100</v>
          </cell>
          <cell r="H9439">
            <v>45839</v>
          </cell>
          <cell r="I9439" t="str">
            <v>6225 - Professional Services</v>
          </cell>
          <cell r="J9439">
            <v>0</v>
          </cell>
          <cell r="K9439" t="str">
            <v>Brand Marketing</v>
          </cell>
          <cell r="L9439" t="str">
            <v>Professional Service</v>
          </cell>
          <cell r="N9439" t="str">
            <v>Direct Costs</v>
          </cell>
          <cell r="O9439" t="str">
            <v>Melody  Huang</v>
          </cell>
        </row>
        <row r="9440">
          <cell r="D9440">
            <v>1400</v>
          </cell>
          <cell r="H9440">
            <v>45839</v>
          </cell>
          <cell r="I9440" t="str">
            <v>6225 - Professional Services</v>
          </cell>
          <cell r="J9440">
            <v>0</v>
          </cell>
          <cell r="K9440" t="str">
            <v>Brand Marketing</v>
          </cell>
          <cell r="L9440" t="str">
            <v>Professional Service</v>
          </cell>
          <cell r="N9440" t="str">
            <v>Direct Costs</v>
          </cell>
          <cell r="O9440" t="str">
            <v>Melody  Huang</v>
          </cell>
        </row>
        <row r="9441">
          <cell r="D9441">
            <v>300</v>
          </cell>
          <cell r="H9441">
            <v>45839</v>
          </cell>
          <cell r="I9441" t="str">
            <v>6225 - Professional Services</v>
          </cell>
          <cell r="J9441">
            <v>0</v>
          </cell>
          <cell r="K9441" t="str">
            <v>Brand Marketing</v>
          </cell>
          <cell r="L9441" t="str">
            <v>Professional Service</v>
          </cell>
          <cell r="N9441" t="str">
            <v>Direct Costs</v>
          </cell>
          <cell r="O9441" t="str">
            <v>The Lede Company, LLC</v>
          </cell>
        </row>
        <row r="9442">
          <cell r="D9442">
            <v>300</v>
          </cell>
          <cell r="H9442">
            <v>45839</v>
          </cell>
          <cell r="I9442" t="str">
            <v>6225 - Professional Services</v>
          </cell>
          <cell r="J9442">
            <v>0</v>
          </cell>
          <cell r="K9442" t="str">
            <v>Brand Marketing</v>
          </cell>
          <cell r="L9442" t="str">
            <v>Professional Service</v>
          </cell>
          <cell r="N9442" t="str">
            <v>Direct Costs</v>
          </cell>
          <cell r="O9442" t="str">
            <v>The Lede Company, LLC</v>
          </cell>
        </row>
        <row r="9443">
          <cell r="D9443">
            <v>150</v>
          </cell>
          <cell r="H9443">
            <v>45839</v>
          </cell>
          <cell r="I9443" t="str">
            <v>6225 - Professional Services</v>
          </cell>
          <cell r="J9443">
            <v>0</v>
          </cell>
          <cell r="K9443" t="str">
            <v>Brand Marketing</v>
          </cell>
          <cell r="L9443" t="str">
            <v>Professional Service</v>
          </cell>
          <cell r="N9443" t="str">
            <v>Direct Costs</v>
          </cell>
          <cell r="O9443" t="str">
            <v>The Lede Company, LLC</v>
          </cell>
        </row>
        <row r="9444">
          <cell r="D9444">
            <v>500</v>
          </cell>
          <cell r="H9444">
            <v>45839</v>
          </cell>
          <cell r="I9444" t="str">
            <v>6225 - Professional Services</v>
          </cell>
          <cell r="J9444">
            <v>0</v>
          </cell>
          <cell r="K9444" t="str">
            <v>Brand Marketing</v>
          </cell>
          <cell r="L9444" t="str">
            <v>Professional Service</v>
          </cell>
          <cell r="N9444" t="str">
            <v>Direct Costs</v>
          </cell>
          <cell r="O9444" t="str">
            <v>The Lede Company, LLC</v>
          </cell>
        </row>
        <row r="9445">
          <cell r="D9445">
            <v>10000</v>
          </cell>
          <cell r="H9445">
            <v>45839</v>
          </cell>
          <cell r="I9445" t="str">
            <v>6225 - Professional Services</v>
          </cell>
          <cell r="J9445">
            <v>0</v>
          </cell>
          <cell r="K9445" t="str">
            <v>Brand Marketing</v>
          </cell>
          <cell r="L9445" t="str">
            <v>Professional Service</v>
          </cell>
          <cell r="N9445" t="str">
            <v>Direct Costs</v>
          </cell>
          <cell r="O9445" t="str">
            <v>The Lede Company, LLC</v>
          </cell>
        </row>
        <row r="9446">
          <cell r="D9446">
            <v>500</v>
          </cell>
          <cell r="H9446">
            <v>45839</v>
          </cell>
          <cell r="I9446" t="str">
            <v>6225 - Professional Services</v>
          </cell>
          <cell r="J9446" t="str">
            <v>Ecommerce (US)</v>
          </cell>
          <cell r="K9446" t="str">
            <v>Ecommerce</v>
          </cell>
          <cell r="L9446" t="str">
            <v>Professional Service</v>
          </cell>
          <cell r="N9446" t="str">
            <v>Direct Costs</v>
          </cell>
          <cell r="O9446" t="str">
            <v>Rareview, LLC</v>
          </cell>
        </row>
        <row r="9447">
          <cell r="D9447">
            <v>17850.2</v>
          </cell>
          <cell r="H9447">
            <v>45839</v>
          </cell>
          <cell r="I9447" t="str">
            <v>6225 - Professional Services</v>
          </cell>
          <cell r="J9447" t="str">
            <v>Ecommerce (US)</v>
          </cell>
          <cell r="K9447" t="str">
            <v>Ecommerce</v>
          </cell>
          <cell r="L9447" t="str">
            <v>Professional Service</v>
          </cell>
          <cell r="N9447" t="str">
            <v>Direct Costs</v>
          </cell>
          <cell r="O9447" t="str">
            <v>Rareview, LLC</v>
          </cell>
        </row>
        <row r="9448">
          <cell r="D9448">
            <v>134.25</v>
          </cell>
          <cell r="H9448">
            <v>45839</v>
          </cell>
          <cell r="I9448" t="str">
            <v>6225 - Professional Services</v>
          </cell>
          <cell r="J9448">
            <v>0</v>
          </cell>
          <cell r="K9448" t="str">
            <v>Administration</v>
          </cell>
          <cell r="L9448" t="str">
            <v>Professional Service</v>
          </cell>
          <cell r="N9448" t="str">
            <v>Direct Costs</v>
          </cell>
          <cell r="O9448" t="str">
            <v>Benefit Resource, LLC</v>
          </cell>
        </row>
        <row r="9449">
          <cell r="D9449">
            <v>13.75</v>
          </cell>
          <cell r="H9449">
            <v>45839</v>
          </cell>
          <cell r="I9449" t="str">
            <v>6225 - Professional Services</v>
          </cell>
          <cell r="J9449">
            <v>0</v>
          </cell>
          <cell r="K9449" t="str">
            <v>Administration</v>
          </cell>
          <cell r="L9449" t="str">
            <v>Professional Service</v>
          </cell>
          <cell r="N9449" t="str">
            <v>Direct Costs</v>
          </cell>
          <cell r="O9449" t="str">
            <v>Benefit Resource, LLC</v>
          </cell>
        </row>
        <row r="9450">
          <cell r="D9450">
            <v>27</v>
          </cell>
          <cell r="H9450">
            <v>45839</v>
          </cell>
          <cell r="I9450" t="str">
            <v>6225 - Professional Services</v>
          </cell>
          <cell r="J9450">
            <v>0</v>
          </cell>
          <cell r="K9450" t="str">
            <v>Administration</v>
          </cell>
          <cell r="L9450" t="str">
            <v>Professional Service</v>
          </cell>
          <cell r="N9450" t="str">
            <v>Direct Costs</v>
          </cell>
          <cell r="O9450" t="str">
            <v>Benefit Resource, LLC</v>
          </cell>
        </row>
        <row r="9451">
          <cell r="D9451">
            <v>833.33</v>
          </cell>
          <cell r="H9451">
            <v>45839</v>
          </cell>
          <cell r="I9451" t="str">
            <v>6225 - Professional Services</v>
          </cell>
          <cell r="J9451">
            <v>0</v>
          </cell>
          <cell r="K9451" t="str">
            <v>Administration</v>
          </cell>
          <cell r="L9451" t="str">
            <v>Professional Service</v>
          </cell>
          <cell r="N9451" t="str">
            <v>Direct Costs</v>
          </cell>
          <cell r="O9451" t="str">
            <v>Procyon Benefits LLC</v>
          </cell>
        </row>
        <row r="9452">
          <cell r="D9452">
            <v>800</v>
          </cell>
          <cell r="H9452">
            <v>45839</v>
          </cell>
          <cell r="I9452" t="str">
            <v>6240 - Product Photography</v>
          </cell>
          <cell r="J9452">
            <v>0</v>
          </cell>
          <cell r="K9452" t="str">
            <v>Brand Marketing</v>
          </cell>
          <cell r="L9452" t="str">
            <v>Advertising</v>
          </cell>
          <cell r="N9452" t="str">
            <v>SG&amp;A</v>
          </cell>
          <cell r="O9452" t="str">
            <v>Theerapol Thammasitboon</v>
          </cell>
        </row>
        <row r="9453">
          <cell r="D9453">
            <v>2400</v>
          </cell>
          <cell r="H9453">
            <v>45839</v>
          </cell>
          <cell r="I9453" t="str">
            <v>6240 - Product Photography</v>
          </cell>
          <cell r="J9453">
            <v>0</v>
          </cell>
          <cell r="K9453" t="str">
            <v>Brand Marketing</v>
          </cell>
          <cell r="L9453" t="str">
            <v>Advertising</v>
          </cell>
          <cell r="N9453" t="str">
            <v>SG&amp;A</v>
          </cell>
          <cell r="O9453" t="str">
            <v>Theerapol Thammasitboon</v>
          </cell>
        </row>
        <row r="9454">
          <cell r="D9454">
            <v>800</v>
          </cell>
          <cell r="H9454">
            <v>45839</v>
          </cell>
          <cell r="I9454" t="str">
            <v>6240 - Product Photography</v>
          </cell>
          <cell r="J9454">
            <v>0</v>
          </cell>
          <cell r="K9454" t="str">
            <v>Brand Marketing</v>
          </cell>
          <cell r="L9454" t="str">
            <v>Advertising</v>
          </cell>
          <cell r="N9454" t="str">
            <v>SG&amp;A</v>
          </cell>
          <cell r="O9454" t="str">
            <v>Theerapol Thammasitboon</v>
          </cell>
        </row>
        <row r="9455">
          <cell r="D9455">
            <v>3200</v>
          </cell>
          <cell r="H9455">
            <v>45839</v>
          </cell>
          <cell r="I9455" t="str">
            <v>6240 - Product Photography</v>
          </cell>
          <cell r="J9455">
            <v>0</v>
          </cell>
          <cell r="K9455" t="str">
            <v>Brand Marketing</v>
          </cell>
          <cell r="L9455" t="str">
            <v>Advertising</v>
          </cell>
          <cell r="N9455" t="str">
            <v>SG&amp;A</v>
          </cell>
          <cell r="O9455" t="str">
            <v>Theerapol Thammasitboon</v>
          </cell>
        </row>
        <row r="9456">
          <cell r="D9456">
            <v>90</v>
          </cell>
          <cell r="H9456">
            <v>45839</v>
          </cell>
          <cell r="I9456" t="str">
            <v>6240 - Product Photography</v>
          </cell>
          <cell r="J9456">
            <v>0</v>
          </cell>
          <cell r="K9456" t="str">
            <v>Brand Marketing</v>
          </cell>
          <cell r="L9456" t="str">
            <v>Advertising</v>
          </cell>
          <cell r="N9456" t="str">
            <v>SG&amp;A</v>
          </cell>
          <cell r="O9456" t="str">
            <v>Theerapol Thammasitboon</v>
          </cell>
        </row>
        <row r="9457">
          <cell r="D9457">
            <v>100</v>
          </cell>
          <cell r="H9457">
            <v>45839</v>
          </cell>
          <cell r="I9457" t="str">
            <v>6240 - Product Photography</v>
          </cell>
          <cell r="J9457">
            <v>0</v>
          </cell>
          <cell r="K9457" t="str">
            <v>Brand Marketing</v>
          </cell>
          <cell r="L9457" t="str">
            <v>Advertising</v>
          </cell>
          <cell r="N9457" t="str">
            <v>SG&amp;A</v>
          </cell>
          <cell r="O9457" t="str">
            <v>Theerapol Thammasitboon</v>
          </cell>
        </row>
        <row r="9458">
          <cell r="D9458">
            <v>1175</v>
          </cell>
          <cell r="H9458">
            <v>45839</v>
          </cell>
          <cell r="I9458" t="str">
            <v>6240 - Product Photography</v>
          </cell>
          <cell r="J9458">
            <v>0</v>
          </cell>
          <cell r="K9458" t="str">
            <v>Brand Marketing</v>
          </cell>
          <cell r="L9458" t="str">
            <v>Advertising</v>
          </cell>
          <cell r="N9458" t="str">
            <v>SG&amp;A</v>
          </cell>
          <cell r="O9458" t="str">
            <v>Theerapol Thammasitboon</v>
          </cell>
        </row>
        <row r="9459">
          <cell r="D9459">
            <v>1275</v>
          </cell>
          <cell r="H9459">
            <v>45839</v>
          </cell>
          <cell r="I9459" t="str">
            <v>6240 - Product Photography</v>
          </cell>
          <cell r="J9459">
            <v>0</v>
          </cell>
          <cell r="K9459" t="str">
            <v>Brand Marketing</v>
          </cell>
          <cell r="L9459" t="str">
            <v>Advertising</v>
          </cell>
          <cell r="N9459" t="str">
            <v>SG&amp;A</v>
          </cell>
          <cell r="O9459" t="str">
            <v>Theerapol Thammasitboon</v>
          </cell>
        </row>
        <row r="9460">
          <cell r="D9460">
            <v>40291.67</v>
          </cell>
          <cell r="H9460">
            <v>45839</v>
          </cell>
          <cell r="I9460" t="str">
            <v>6240 - Product Photography</v>
          </cell>
          <cell r="J9460">
            <v>0</v>
          </cell>
          <cell r="K9460" t="str">
            <v>Brand Marketing</v>
          </cell>
          <cell r="L9460" t="str">
            <v>Advertising</v>
          </cell>
          <cell r="N9460" t="str">
            <v>SG&amp;A</v>
          </cell>
          <cell r="O9460" t="str">
            <v>GOSFilms LLC</v>
          </cell>
        </row>
        <row r="9461">
          <cell r="D9461">
            <v>3333.33</v>
          </cell>
          <cell r="H9461">
            <v>45839</v>
          </cell>
          <cell r="I9461" t="str">
            <v>6284 - Advertising</v>
          </cell>
          <cell r="J9461">
            <v>0</v>
          </cell>
          <cell r="K9461" t="str">
            <v>Brand Marketing</v>
          </cell>
          <cell r="L9461" t="str">
            <v>Advertising</v>
          </cell>
          <cell r="N9461" t="str">
            <v>SG&amp;A</v>
          </cell>
          <cell r="O9461" t="str">
            <v>[No Vendor]</v>
          </cell>
        </row>
        <row r="9462">
          <cell r="D9462">
            <v>833.34</v>
          </cell>
          <cell r="H9462">
            <v>45839</v>
          </cell>
          <cell r="I9462" t="str">
            <v>6284 - Advertising</v>
          </cell>
          <cell r="J9462">
            <v>0</v>
          </cell>
          <cell r="K9462" t="str">
            <v>Brand Marketing</v>
          </cell>
          <cell r="L9462" t="str">
            <v>Advertising</v>
          </cell>
          <cell r="N9462" t="str">
            <v>SG&amp;A</v>
          </cell>
          <cell r="O9462" t="str">
            <v>[No Vendor]</v>
          </cell>
        </row>
        <row r="9463">
          <cell r="D9463">
            <v>0.04</v>
          </cell>
          <cell r="H9463">
            <v>45839</v>
          </cell>
          <cell r="I9463" t="str">
            <v>6285 - SEM Brand Marketing</v>
          </cell>
          <cell r="J9463" t="str">
            <v>Ecommerce (US)</v>
          </cell>
          <cell r="K9463" t="str">
            <v>Brand Marketing</v>
          </cell>
          <cell r="L9463" t="str">
            <v>Advertising</v>
          </cell>
          <cell r="N9463" t="str">
            <v>SG&amp;A</v>
          </cell>
          <cell r="O9463" t="str">
            <v>Google</v>
          </cell>
        </row>
        <row r="9464">
          <cell r="D9464">
            <v>2.6</v>
          </cell>
          <cell r="H9464">
            <v>45839</v>
          </cell>
          <cell r="I9464" t="str">
            <v>6285 - SEM Brand Marketing</v>
          </cell>
          <cell r="J9464" t="str">
            <v>Ecommerce (US)</v>
          </cell>
          <cell r="K9464" t="str">
            <v>Brand Marketing</v>
          </cell>
          <cell r="L9464" t="str">
            <v>Advertising</v>
          </cell>
          <cell r="N9464" t="str">
            <v>SG&amp;A</v>
          </cell>
          <cell r="O9464" t="str">
            <v>Google</v>
          </cell>
        </row>
        <row r="9465">
          <cell r="D9465">
            <v>25.64</v>
          </cell>
          <cell r="H9465">
            <v>45839</v>
          </cell>
          <cell r="I9465" t="str">
            <v>6285 - SEM Brand Marketing</v>
          </cell>
          <cell r="J9465" t="str">
            <v>Ecommerce (US)</v>
          </cell>
          <cell r="K9465" t="str">
            <v>Brand Marketing</v>
          </cell>
          <cell r="L9465" t="str">
            <v>Advertising</v>
          </cell>
          <cell r="N9465" t="str">
            <v>SG&amp;A</v>
          </cell>
          <cell r="O9465" t="str">
            <v>Google</v>
          </cell>
        </row>
        <row r="9466">
          <cell r="D9466">
            <v>38.89</v>
          </cell>
          <cell r="H9466">
            <v>45839</v>
          </cell>
          <cell r="I9466" t="str">
            <v>6285 - SEM Brand Marketing</v>
          </cell>
          <cell r="J9466" t="str">
            <v>Ecommerce (US)</v>
          </cell>
          <cell r="K9466" t="str">
            <v>Brand Marketing</v>
          </cell>
          <cell r="L9466" t="str">
            <v>Advertising</v>
          </cell>
          <cell r="N9466" t="str">
            <v>SG&amp;A</v>
          </cell>
          <cell r="O9466" t="str">
            <v>Google</v>
          </cell>
        </row>
        <row r="9467">
          <cell r="D9467">
            <v>68.459999999999994</v>
          </cell>
          <cell r="H9467">
            <v>45839</v>
          </cell>
          <cell r="I9467" t="str">
            <v>6285 - SEM Brand Marketing</v>
          </cell>
          <cell r="J9467" t="str">
            <v>Ecommerce (US)</v>
          </cell>
          <cell r="K9467" t="str">
            <v>Brand Marketing</v>
          </cell>
          <cell r="L9467" t="str">
            <v>Advertising</v>
          </cell>
          <cell r="N9467" t="str">
            <v>SG&amp;A</v>
          </cell>
          <cell r="O9467" t="str">
            <v>Google</v>
          </cell>
        </row>
        <row r="9468">
          <cell r="D9468">
            <v>467</v>
          </cell>
          <cell r="H9468">
            <v>45839</v>
          </cell>
          <cell r="I9468" t="str">
            <v>6285 - SEM Brand Marketing</v>
          </cell>
          <cell r="J9468" t="str">
            <v>Ecommerce (US)</v>
          </cell>
          <cell r="K9468" t="str">
            <v>Brand Marketing</v>
          </cell>
          <cell r="L9468" t="str">
            <v>Advertising</v>
          </cell>
          <cell r="N9468" t="str">
            <v>SG&amp;A</v>
          </cell>
          <cell r="O9468" t="str">
            <v>Google</v>
          </cell>
        </row>
        <row r="9469">
          <cell r="D9469">
            <v>608.32000000000005</v>
          </cell>
          <cell r="H9469">
            <v>45839</v>
          </cell>
          <cell r="I9469" t="str">
            <v>6285 - SEM Brand Marketing</v>
          </cell>
          <cell r="J9469" t="str">
            <v>Ecommerce (US)</v>
          </cell>
          <cell r="K9469" t="str">
            <v>Brand Marketing</v>
          </cell>
          <cell r="L9469" t="str">
            <v>Advertising</v>
          </cell>
          <cell r="N9469" t="str">
            <v>SG&amp;A</v>
          </cell>
          <cell r="O9469" t="str">
            <v>Google</v>
          </cell>
        </row>
        <row r="9470">
          <cell r="D9470">
            <v>2994.58</v>
          </cell>
          <cell r="H9470">
            <v>45839</v>
          </cell>
          <cell r="I9470" t="str">
            <v>6285 - SEM Brand Marketing</v>
          </cell>
          <cell r="J9470" t="str">
            <v>Ecommerce (US)</v>
          </cell>
          <cell r="K9470" t="str">
            <v>Brand Marketing</v>
          </cell>
          <cell r="L9470" t="str">
            <v>Advertising</v>
          </cell>
          <cell r="N9470" t="str">
            <v>SG&amp;A</v>
          </cell>
          <cell r="O9470" t="str">
            <v>Google</v>
          </cell>
        </row>
        <row r="9471">
          <cell r="D9471">
            <v>4853.53</v>
          </cell>
          <cell r="H9471">
            <v>45839</v>
          </cell>
          <cell r="I9471" t="str">
            <v>6285 - SEM Brand Marketing</v>
          </cell>
          <cell r="J9471" t="str">
            <v>Ecommerce (US)</v>
          </cell>
          <cell r="K9471" t="str">
            <v>Brand Marketing</v>
          </cell>
          <cell r="L9471" t="str">
            <v>Advertising</v>
          </cell>
          <cell r="N9471" t="str">
            <v>SG&amp;A</v>
          </cell>
          <cell r="O9471" t="str">
            <v>Google</v>
          </cell>
        </row>
        <row r="9472">
          <cell r="D9472">
            <v>672</v>
          </cell>
          <cell r="H9472">
            <v>45839</v>
          </cell>
          <cell r="I9472" t="str">
            <v>6286 - SEM</v>
          </cell>
          <cell r="J9472" t="str">
            <v>Ecommerce (US)</v>
          </cell>
          <cell r="K9472" t="str">
            <v>Ecommerce</v>
          </cell>
          <cell r="L9472" t="str">
            <v>Marketing</v>
          </cell>
          <cell r="N9472" t="str">
            <v>Direct Costs</v>
          </cell>
          <cell r="O9472" t="str">
            <v>Tiktok</v>
          </cell>
        </row>
        <row r="9473">
          <cell r="D9473">
            <v>672</v>
          </cell>
          <cell r="H9473">
            <v>45839</v>
          </cell>
          <cell r="I9473" t="str">
            <v>6286 - SEM</v>
          </cell>
          <cell r="J9473" t="str">
            <v>Ecommerce (US)</v>
          </cell>
          <cell r="K9473" t="str">
            <v>Ecommerce</v>
          </cell>
          <cell r="L9473" t="str">
            <v>Marketing</v>
          </cell>
          <cell r="N9473" t="str">
            <v>Direct Costs</v>
          </cell>
          <cell r="O9473" t="str">
            <v>Tiktok</v>
          </cell>
        </row>
        <row r="9474">
          <cell r="D9474">
            <v>2003.8</v>
          </cell>
          <cell r="H9474">
            <v>45839</v>
          </cell>
          <cell r="I9474" t="str">
            <v>6286 - SEM</v>
          </cell>
          <cell r="J9474" t="str">
            <v>Ecommerce (US)</v>
          </cell>
          <cell r="K9474" t="str">
            <v>Ecommerce</v>
          </cell>
          <cell r="L9474" t="str">
            <v>Marketing</v>
          </cell>
          <cell r="N9474" t="str">
            <v>Direct Costs</v>
          </cell>
          <cell r="O9474" t="str">
            <v>Amazon</v>
          </cell>
        </row>
        <row r="9475">
          <cell r="D9475">
            <v>1618.36</v>
          </cell>
          <cell r="H9475">
            <v>45839</v>
          </cell>
          <cell r="I9475" t="str">
            <v>6286 - SEM</v>
          </cell>
          <cell r="J9475" t="str">
            <v>Ecommerce (US)</v>
          </cell>
          <cell r="K9475" t="str">
            <v>Ecommerce</v>
          </cell>
          <cell r="L9475" t="str">
            <v>Marketing</v>
          </cell>
          <cell r="N9475" t="str">
            <v>Direct Costs</v>
          </cell>
          <cell r="O9475" t="str">
            <v>Amazon</v>
          </cell>
        </row>
        <row r="9476">
          <cell r="D9476">
            <v>840</v>
          </cell>
          <cell r="H9476">
            <v>45839</v>
          </cell>
          <cell r="I9476" t="str">
            <v>6286 - SEM</v>
          </cell>
          <cell r="J9476" t="str">
            <v>Ecommerce (US)</v>
          </cell>
          <cell r="K9476" t="str">
            <v>Ecommerce</v>
          </cell>
          <cell r="L9476" t="str">
            <v>Marketing</v>
          </cell>
          <cell r="N9476" t="str">
            <v>Direct Costs</v>
          </cell>
          <cell r="O9476" t="str">
            <v>Tiktok</v>
          </cell>
        </row>
        <row r="9477">
          <cell r="D9477">
            <v>24.44</v>
          </cell>
          <cell r="H9477">
            <v>45839</v>
          </cell>
          <cell r="I9477" t="str">
            <v>6286 - SEM</v>
          </cell>
          <cell r="J9477" t="str">
            <v>Ecommerce (US)</v>
          </cell>
          <cell r="K9477" t="str">
            <v>Ecommerce</v>
          </cell>
          <cell r="L9477" t="str">
            <v>Marketing</v>
          </cell>
          <cell r="N9477" t="str">
            <v>Direct Costs</v>
          </cell>
          <cell r="O9477" t="str">
            <v>Tiktok</v>
          </cell>
        </row>
        <row r="9478">
          <cell r="D9478">
            <v>-10</v>
          </cell>
          <cell r="H9478">
            <v>45839</v>
          </cell>
          <cell r="I9478" t="str">
            <v>6286 - SEM</v>
          </cell>
          <cell r="J9478" t="str">
            <v>Ecommerce (US)</v>
          </cell>
          <cell r="K9478" t="str">
            <v>Ecommerce</v>
          </cell>
          <cell r="L9478" t="str">
            <v>Marketing</v>
          </cell>
          <cell r="N9478" t="str">
            <v>Direct Costs</v>
          </cell>
          <cell r="O9478" t="str">
            <v>Tiktok</v>
          </cell>
        </row>
        <row r="9479">
          <cell r="D9479">
            <v>10</v>
          </cell>
          <cell r="H9479">
            <v>45839</v>
          </cell>
          <cell r="I9479" t="str">
            <v>6286 - SEM</v>
          </cell>
          <cell r="J9479" t="str">
            <v>Ecommerce (US)</v>
          </cell>
          <cell r="K9479" t="str">
            <v>Ecommerce</v>
          </cell>
          <cell r="L9479" t="str">
            <v>Marketing</v>
          </cell>
          <cell r="N9479" t="str">
            <v>Direct Costs</v>
          </cell>
          <cell r="O9479" t="str">
            <v>Tiktok</v>
          </cell>
        </row>
        <row r="9480">
          <cell r="D9480">
            <v>5000</v>
          </cell>
          <cell r="H9480">
            <v>45839</v>
          </cell>
          <cell r="I9480" t="str">
            <v>6286 - SEM</v>
          </cell>
          <cell r="J9480" t="str">
            <v>Ecommerce (US)</v>
          </cell>
          <cell r="K9480" t="str">
            <v>Ecommerce</v>
          </cell>
          <cell r="L9480" t="str">
            <v>Marketing</v>
          </cell>
          <cell r="N9480" t="str">
            <v>Direct Costs</v>
          </cell>
          <cell r="O9480" t="str">
            <v>Tiktok</v>
          </cell>
        </row>
        <row r="9481">
          <cell r="D9481">
            <v>2044.63</v>
          </cell>
          <cell r="H9481">
            <v>45839</v>
          </cell>
          <cell r="I9481" t="str">
            <v>6286 - SEM</v>
          </cell>
          <cell r="J9481" t="str">
            <v>Ecommerce (US)</v>
          </cell>
          <cell r="K9481" t="str">
            <v>Ecommerce</v>
          </cell>
          <cell r="L9481" t="str">
            <v>Marketing</v>
          </cell>
          <cell r="N9481" t="str">
            <v>Direct Costs</v>
          </cell>
          <cell r="O9481" t="str">
            <v>Amazon</v>
          </cell>
        </row>
        <row r="9482">
          <cell r="D9482">
            <v>2001.41</v>
          </cell>
          <cell r="H9482">
            <v>45839</v>
          </cell>
          <cell r="I9482" t="str">
            <v>6286 - SEM</v>
          </cell>
          <cell r="J9482" t="str">
            <v>Ecommerce (US)</v>
          </cell>
          <cell r="K9482" t="str">
            <v>Ecommerce</v>
          </cell>
          <cell r="L9482" t="str">
            <v>Marketing</v>
          </cell>
          <cell r="N9482" t="str">
            <v>Direct Costs</v>
          </cell>
          <cell r="O9482" t="str">
            <v>Amazon</v>
          </cell>
        </row>
        <row r="9483">
          <cell r="D9483">
            <v>4410</v>
          </cell>
          <cell r="H9483">
            <v>45839</v>
          </cell>
          <cell r="I9483" t="str">
            <v>6286 - SEM</v>
          </cell>
          <cell r="J9483" t="str">
            <v>Ecommerce (US)</v>
          </cell>
          <cell r="K9483" t="str">
            <v>Ecommerce</v>
          </cell>
          <cell r="L9483" t="str">
            <v>Marketing</v>
          </cell>
          <cell r="N9483" t="str">
            <v>Direct Costs</v>
          </cell>
          <cell r="O9483" t="str">
            <v>Tiktok</v>
          </cell>
        </row>
        <row r="9484">
          <cell r="D9484">
            <v>2008.14</v>
          </cell>
          <cell r="H9484">
            <v>45839</v>
          </cell>
          <cell r="I9484" t="str">
            <v>6286 - SEM</v>
          </cell>
          <cell r="J9484" t="str">
            <v>Ecommerce (US)</v>
          </cell>
          <cell r="K9484" t="str">
            <v>Ecommerce</v>
          </cell>
          <cell r="L9484" t="str">
            <v>Marketing</v>
          </cell>
          <cell r="N9484" t="str">
            <v>Direct Costs</v>
          </cell>
          <cell r="O9484" t="str">
            <v>Amazon</v>
          </cell>
        </row>
        <row r="9485">
          <cell r="D9485">
            <v>2230</v>
          </cell>
          <cell r="H9485">
            <v>45839</v>
          </cell>
          <cell r="I9485" t="str">
            <v>6286 - SEM</v>
          </cell>
          <cell r="J9485" t="str">
            <v>Ecommerce (US)</v>
          </cell>
          <cell r="K9485" t="str">
            <v>Ecommerce</v>
          </cell>
          <cell r="L9485" t="str">
            <v>Marketing</v>
          </cell>
          <cell r="N9485" t="str">
            <v>Direct Costs</v>
          </cell>
          <cell r="O9485" t="str">
            <v>Tiktok</v>
          </cell>
        </row>
        <row r="9486">
          <cell r="D9486">
            <v>2003.83</v>
          </cell>
          <cell r="H9486">
            <v>45839</v>
          </cell>
          <cell r="I9486" t="str">
            <v>6286 - SEM</v>
          </cell>
          <cell r="J9486" t="str">
            <v>Ecommerce (US)</v>
          </cell>
          <cell r="K9486" t="str">
            <v>Ecommerce</v>
          </cell>
          <cell r="L9486" t="str">
            <v>Marketing</v>
          </cell>
          <cell r="N9486" t="str">
            <v>Direct Costs</v>
          </cell>
          <cell r="O9486" t="str">
            <v>Amazon</v>
          </cell>
        </row>
        <row r="9487">
          <cell r="D9487">
            <v>0.02</v>
          </cell>
          <cell r="H9487">
            <v>45839</v>
          </cell>
          <cell r="I9487" t="str">
            <v>6286 - SEM</v>
          </cell>
          <cell r="J9487" t="str">
            <v>Ecommerce (US)</v>
          </cell>
          <cell r="K9487" t="str">
            <v>Ecommerce</v>
          </cell>
          <cell r="L9487" t="str">
            <v>Marketing</v>
          </cell>
          <cell r="N9487" t="str">
            <v>Direct Costs</v>
          </cell>
          <cell r="O9487" t="str">
            <v>Google</v>
          </cell>
        </row>
        <row r="9488">
          <cell r="D9488">
            <v>0.1</v>
          </cell>
          <cell r="H9488">
            <v>45839</v>
          </cell>
          <cell r="I9488" t="str">
            <v>6286 - SEM</v>
          </cell>
          <cell r="J9488" t="str">
            <v>Ecommerce (US)</v>
          </cell>
          <cell r="K9488" t="str">
            <v>Ecommerce</v>
          </cell>
          <cell r="L9488" t="str">
            <v>Marketing</v>
          </cell>
          <cell r="N9488" t="str">
            <v>Direct Costs</v>
          </cell>
          <cell r="O9488" t="str">
            <v>Google</v>
          </cell>
        </row>
        <row r="9489">
          <cell r="D9489">
            <v>0.23</v>
          </cell>
          <cell r="H9489">
            <v>45839</v>
          </cell>
          <cell r="I9489" t="str">
            <v>6286 - SEM</v>
          </cell>
          <cell r="J9489" t="str">
            <v>Ecommerce (US)</v>
          </cell>
          <cell r="K9489" t="str">
            <v>Ecommerce</v>
          </cell>
          <cell r="L9489" t="str">
            <v>Marketing</v>
          </cell>
          <cell r="N9489" t="str">
            <v>Direct Costs</v>
          </cell>
          <cell r="O9489" t="str">
            <v>Google</v>
          </cell>
        </row>
        <row r="9490">
          <cell r="D9490">
            <v>0.42</v>
          </cell>
          <cell r="H9490">
            <v>45839</v>
          </cell>
          <cell r="I9490" t="str">
            <v>6286 - SEM</v>
          </cell>
          <cell r="J9490" t="str">
            <v>Ecommerce (US)</v>
          </cell>
          <cell r="K9490" t="str">
            <v>Ecommerce</v>
          </cell>
          <cell r="L9490" t="str">
            <v>Marketing</v>
          </cell>
          <cell r="N9490" t="str">
            <v>Direct Costs</v>
          </cell>
          <cell r="O9490" t="str">
            <v>Google</v>
          </cell>
        </row>
        <row r="9491">
          <cell r="D9491">
            <v>0.54</v>
          </cell>
          <cell r="H9491">
            <v>45839</v>
          </cell>
          <cell r="I9491" t="str">
            <v>6286 - SEM</v>
          </cell>
          <cell r="J9491" t="str">
            <v>Ecommerce (US)</v>
          </cell>
          <cell r="K9491" t="str">
            <v>Ecommerce</v>
          </cell>
          <cell r="L9491" t="str">
            <v>Marketing</v>
          </cell>
          <cell r="N9491" t="str">
            <v>Direct Costs</v>
          </cell>
          <cell r="O9491" t="str">
            <v>Google</v>
          </cell>
        </row>
        <row r="9492">
          <cell r="D9492">
            <v>0.73</v>
          </cell>
          <cell r="H9492">
            <v>45839</v>
          </cell>
          <cell r="I9492" t="str">
            <v>6286 - SEM</v>
          </cell>
          <cell r="J9492" t="str">
            <v>Ecommerce (US)</v>
          </cell>
          <cell r="K9492" t="str">
            <v>Ecommerce</v>
          </cell>
          <cell r="L9492" t="str">
            <v>Marketing</v>
          </cell>
          <cell r="N9492" t="str">
            <v>Direct Costs</v>
          </cell>
          <cell r="O9492" t="str">
            <v>Google</v>
          </cell>
        </row>
        <row r="9493">
          <cell r="D9493">
            <v>1519.97</v>
          </cell>
          <cell r="H9493">
            <v>45839</v>
          </cell>
          <cell r="I9493" t="str">
            <v>6286 - SEM</v>
          </cell>
          <cell r="J9493" t="str">
            <v>Ecommerce (US)</v>
          </cell>
          <cell r="K9493" t="str">
            <v>Ecommerce</v>
          </cell>
          <cell r="L9493" t="str">
            <v>Marketing</v>
          </cell>
          <cell r="N9493" t="str">
            <v>Direct Costs</v>
          </cell>
          <cell r="O9493" t="str">
            <v>Google</v>
          </cell>
        </row>
        <row r="9494">
          <cell r="D9494">
            <v>5745.13</v>
          </cell>
          <cell r="H9494">
            <v>45839</v>
          </cell>
          <cell r="I9494" t="str">
            <v>6286 - SEM</v>
          </cell>
          <cell r="J9494" t="str">
            <v>Ecommerce (US)</v>
          </cell>
          <cell r="K9494" t="str">
            <v>Ecommerce</v>
          </cell>
          <cell r="L9494" t="str">
            <v>Marketing</v>
          </cell>
          <cell r="N9494" t="str">
            <v>Direct Costs</v>
          </cell>
          <cell r="O9494" t="str">
            <v>Google</v>
          </cell>
        </row>
        <row r="9495">
          <cell r="D9495">
            <v>8516.57</v>
          </cell>
          <cell r="H9495">
            <v>45839</v>
          </cell>
          <cell r="I9495" t="str">
            <v>6286 - SEM</v>
          </cell>
          <cell r="J9495" t="str">
            <v>Ecommerce (US)</v>
          </cell>
          <cell r="K9495" t="str">
            <v>Ecommerce</v>
          </cell>
          <cell r="L9495" t="str">
            <v>Marketing</v>
          </cell>
          <cell r="N9495" t="str">
            <v>Direct Costs</v>
          </cell>
          <cell r="O9495" t="str">
            <v>Google</v>
          </cell>
        </row>
        <row r="9496">
          <cell r="D9496">
            <v>11260.69</v>
          </cell>
          <cell r="H9496">
            <v>45839</v>
          </cell>
          <cell r="I9496" t="str">
            <v>6286 - SEM</v>
          </cell>
          <cell r="J9496" t="str">
            <v>Ecommerce (US)</v>
          </cell>
          <cell r="K9496" t="str">
            <v>Ecommerce</v>
          </cell>
          <cell r="L9496" t="str">
            <v>Marketing</v>
          </cell>
          <cell r="N9496" t="str">
            <v>Direct Costs</v>
          </cell>
          <cell r="O9496" t="str">
            <v>Google</v>
          </cell>
        </row>
        <row r="9497">
          <cell r="D9497">
            <v>25182.21</v>
          </cell>
          <cell r="H9497">
            <v>45839</v>
          </cell>
          <cell r="I9497" t="str">
            <v>6286 - SEM</v>
          </cell>
          <cell r="J9497" t="str">
            <v>Ecommerce (US)</v>
          </cell>
          <cell r="K9497" t="str">
            <v>Ecommerce</v>
          </cell>
          <cell r="L9497" t="str">
            <v>Marketing</v>
          </cell>
          <cell r="N9497" t="str">
            <v>Direct Costs</v>
          </cell>
          <cell r="O9497" t="str">
            <v>Google</v>
          </cell>
        </row>
        <row r="9498">
          <cell r="D9498">
            <v>28767.919999999998</v>
          </cell>
          <cell r="H9498">
            <v>45839</v>
          </cell>
          <cell r="I9498" t="str">
            <v>6286 - SEM</v>
          </cell>
          <cell r="J9498" t="str">
            <v>Ecommerce (US)</v>
          </cell>
          <cell r="K9498" t="str">
            <v>Ecommerce</v>
          </cell>
          <cell r="L9498" t="str">
            <v>Marketing</v>
          </cell>
          <cell r="N9498" t="str">
            <v>Direct Costs</v>
          </cell>
          <cell r="O9498" t="str">
            <v>Google</v>
          </cell>
        </row>
        <row r="9499">
          <cell r="D9499">
            <v>4136.59</v>
          </cell>
          <cell r="H9499">
            <v>45839</v>
          </cell>
          <cell r="I9499" t="str">
            <v>6286 - SEM</v>
          </cell>
          <cell r="J9499" t="str">
            <v>Ecommerce (US)</v>
          </cell>
          <cell r="K9499" t="str">
            <v>Ecommerce</v>
          </cell>
          <cell r="L9499" t="str">
            <v>Marketing</v>
          </cell>
          <cell r="N9499" t="str">
            <v>Direct Costs</v>
          </cell>
          <cell r="O9499" t="str">
            <v>Meta Platforms, Inc</v>
          </cell>
        </row>
        <row r="9500">
          <cell r="D9500">
            <v>5531.67</v>
          </cell>
          <cell r="H9500">
            <v>45839</v>
          </cell>
          <cell r="I9500" t="str">
            <v>6286 - SEM</v>
          </cell>
          <cell r="J9500" t="str">
            <v>Ecommerce (US)</v>
          </cell>
          <cell r="K9500" t="str">
            <v>Ecommerce</v>
          </cell>
          <cell r="L9500" t="str">
            <v>Marketing</v>
          </cell>
          <cell r="N9500" t="str">
            <v>Direct Costs</v>
          </cell>
          <cell r="O9500" t="str">
            <v>Meta Platforms, Inc</v>
          </cell>
        </row>
        <row r="9501">
          <cell r="D9501">
            <v>-90.65</v>
          </cell>
          <cell r="H9501">
            <v>45839</v>
          </cell>
          <cell r="I9501" t="str">
            <v>6286 - SEM</v>
          </cell>
          <cell r="J9501" t="str">
            <v>Ecommerce (US)</v>
          </cell>
          <cell r="K9501" t="str">
            <v>Ecommerce</v>
          </cell>
          <cell r="L9501" t="str">
            <v>Marketing</v>
          </cell>
          <cell r="N9501" t="str">
            <v>Direct Costs</v>
          </cell>
          <cell r="O9501" t="str">
            <v>Meta Platforms, Inc</v>
          </cell>
        </row>
        <row r="9502">
          <cell r="D9502">
            <v>13407.83</v>
          </cell>
          <cell r="H9502">
            <v>45839</v>
          </cell>
          <cell r="I9502" t="str">
            <v>6286 - SEM</v>
          </cell>
          <cell r="J9502" t="str">
            <v>Ecommerce (US)</v>
          </cell>
          <cell r="K9502" t="str">
            <v>Ecommerce</v>
          </cell>
          <cell r="L9502" t="str">
            <v>Marketing</v>
          </cell>
          <cell r="N9502" t="str">
            <v>Direct Costs</v>
          </cell>
          <cell r="O9502" t="str">
            <v>Meta Platforms, Inc</v>
          </cell>
        </row>
        <row r="9503">
          <cell r="D9503">
            <v>8006.79</v>
          </cell>
          <cell r="H9503">
            <v>45839</v>
          </cell>
          <cell r="I9503" t="str">
            <v>6286 - SEM</v>
          </cell>
          <cell r="J9503" t="str">
            <v>Ecommerce (US)</v>
          </cell>
          <cell r="K9503" t="str">
            <v>Ecommerce</v>
          </cell>
          <cell r="L9503" t="str">
            <v>Marketing</v>
          </cell>
          <cell r="N9503" t="str">
            <v>Direct Costs</v>
          </cell>
          <cell r="O9503" t="str">
            <v>Meta Platforms, Inc</v>
          </cell>
        </row>
        <row r="9504">
          <cell r="D9504">
            <v>978.69</v>
          </cell>
          <cell r="H9504">
            <v>45839</v>
          </cell>
          <cell r="I9504" t="str">
            <v>6286 - SEM</v>
          </cell>
          <cell r="J9504" t="str">
            <v>Ecommerce (US)</v>
          </cell>
          <cell r="K9504" t="str">
            <v>Ecommerce</v>
          </cell>
          <cell r="L9504" t="str">
            <v>Marketing</v>
          </cell>
          <cell r="N9504" t="str">
            <v>Direct Costs</v>
          </cell>
          <cell r="O9504" t="str">
            <v>Meta Platforms, Inc</v>
          </cell>
        </row>
        <row r="9505">
          <cell r="D9505">
            <v>3194.83</v>
          </cell>
          <cell r="H9505">
            <v>45839</v>
          </cell>
          <cell r="I9505" t="str">
            <v>6286 - SEM</v>
          </cell>
          <cell r="J9505" t="str">
            <v>Ecommerce (US)</v>
          </cell>
          <cell r="K9505" t="str">
            <v>Ecommerce</v>
          </cell>
          <cell r="L9505" t="str">
            <v>Marketing</v>
          </cell>
          <cell r="N9505" t="str">
            <v>Direct Costs</v>
          </cell>
          <cell r="O9505" t="str">
            <v>Meta Platforms, Inc</v>
          </cell>
        </row>
        <row r="9506">
          <cell r="D9506">
            <v>4943.95</v>
          </cell>
          <cell r="H9506">
            <v>45839</v>
          </cell>
          <cell r="I9506" t="str">
            <v>6286 - SEM</v>
          </cell>
          <cell r="J9506" t="str">
            <v>Ecommerce (US)</v>
          </cell>
          <cell r="K9506" t="str">
            <v>Ecommerce</v>
          </cell>
          <cell r="L9506" t="str">
            <v>Marketing</v>
          </cell>
          <cell r="N9506" t="str">
            <v>Direct Costs</v>
          </cell>
          <cell r="O9506" t="str">
            <v>Meta Platforms, Inc</v>
          </cell>
        </row>
        <row r="9507">
          <cell r="D9507">
            <v>9632.07</v>
          </cell>
          <cell r="H9507">
            <v>45839</v>
          </cell>
          <cell r="I9507" t="str">
            <v>6286 - SEM</v>
          </cell>
          <cell r="J9507" t="str">
            <v>Ecommerce (US)</v>
          </cell>
          <cell r="K9507" t="str">
            <v>Ecommerce</v>
          </cell>
          <cell r="L9507" t="str">
            <v>Marketing</v>
          </cell>
          <cell r="N9507" t="str">
            <v>Direct Costs</v>
          </cell>
          <cell r="O9507" t="str">
            <v>Meta Platforms, Inc</v>
          </cell>
        </row>
        <row r="9508">
          <cell r="D9508">
            <v>33251.32</v>
          </cell>
          <cell r="H9508">
            <v>45839</v>
          </cell>
          <cell r="I9508" t="str">
            <v>6286 - SEM</v>
          </cell>
          <cell r="J9508" t="str">
            <v>Ecommerce (US)</v>
          </cell>
          <cell r="K9508" t="str">
            <v>Ecommerce</v>
          </cell>
          <cell r="L9508" t="str">
            <v>Marketing</v>
          </cell>
          <cell r="N9508" t="str">
            <v>Direct Costs</v>
          </cell>
          <cell r="O9508" t="str">
            <v>Meta Platforms, Inc</v>
          </cell>
        </row>
        <row r="9509">
          <cell r="D9509">
            <v>19299.669999999998</v>
          </cell>
          <cell r="H9509">
            <v>45839</v>
          </cell>
          <cell r="I9509" t="str">
            <v>6286 - SEM</v>
          </cell>
          <cell r="J9509" t="str">
            <v>Ecommerce (US)</v>
          </cell>
          <cell r="K9509" t="str">
            <v>Ecommerce</v>
          </cell>
          <cell r="L9509" t="str">
            <v>Marketing</v>
          </cell>
          <cell r="N9509" t="str">
            <v>Direct Costs</v>
          </cell>
          <cell r="O9509" t="str">
            <v>Meta Platforms, Inc</v>
          </cell>
        </row>
        <row r="9510">
          <cell r="D9510">
            <v>792.41</v>
          </cell>
          <cell r="H9510">
            <v>45839</v>
          </cell>
          <cell r="I9510" t="str">
            <v>6286 - SEM</v>
          </cell>
          <cell r="J9510" t="str">
            <v>Ecommerce (US)</v>
          </cell>
          <cell r="K9510" t="str">
            <v>Ecommerce</v>
          </cell>
          <cell r="L9510" t="str">
            <v>Marketing</v>
          </cell>
          <cell r="N9510" t="str">
            <v>Direct Costs</v>
          </cell>
          <cell r="O9510" t="str">
            <v>Meta Platforms, Inc</v>
          </cell>
        </row>
        <row r="9511">
          <cell r="D9511">
            <v>3545.78</v>
          </cell>
          <cell r="H9511">
            <v>45839</v>
          </cell>
          <cell r="I9511" t="str">
            <v>6286 - SEM</v>
          </cell>
          <cell r="J9511" t="str">
            <v>Ecommerce (US)</v>
          </cell>
          <cell r="K9511" t="str">
            <v>Ecommerce</v>
          </cell>
          <cell r="L9511" t="str">
            <v>Marketing</v>
          </cell>
          <cell r="N9511" t="str">
            <v>Direct Costs</v>
          </cell>
          <cell r="O9511" t="str">
            <v>Meta Platforms, Inc</v>
          </cell>
        </row>
        <row r="9512">
          <cell r="D9512">
            <v>0</v>
          </cell>
          <cell r="H9512">
            <v>45839</v>
          </cell>
          <cell r="I9512" t="str">
            <v>6286 - SEM</v>
          </cell>
          <cell r="J9512" t="str">
            <v>Ecommerce (US)</v>
          </cell>
          <cell r="K9512" t="str">
            <v>Ecommerce</v>
          </cell>
          <cell r="L9512" t="str">
            <v>Marketing</v>
          </cell>
          <cell r="N9512" t="str">
            <v>Direct Costs</v>
          </cell>
          <cell r="O9512" t="str">
            <v>[No Vendor]</v>
          </cell>
        </row>
        <row r="9513">
          <cell r="D9513">
            <v>165</v>
          </cell>
          <cell r="H9513">
            <v>45839</v>
          </cell>
          <cell r="I9513" t="str">
            <v>6288 - Model</v>
          </cell>
          <cell r="J9513">
            <v>0</v>
          </cell>
          <cell r="K9513" t="str">
            <v>Brand Marketing</v>
          </cell>
          <cell r="L9513" t="str">
            <v>Advertising</v>
          </cell>
          <cell r="N9513" t="str">
            <v>SG&amp;A</v>
          </cell>
          <cell r="O9513" t="str">
            <v>State Artist Management</v>
          </cell>
        </row>
        <row r="9514">
          <cell r="D9514">
            <v>825</v>
          </cell>
          <cell r="H9514">
            <v>45839</v>
          </cell>
          <cell r="I9514" t="str">
            <v>6288 - Model</v>
          </cell>
          <cell r="J9514">
            <v>0</v>
          </cell>
          <cell r="K9514" t="str">
            <v>Brand Marketing</v>
          </cell>
          <cell r="L9514" t="str">
            <v>Advertising</v>
          </cell>
          <cell r="N9514" t="str">
            <v>SG&amp;A</v>
          </cell>
          <cell r="O9514" t="str">
            <v>State Artist Management</v>
          </cell>
        </row>
        <row r="9515">
          <cell r="D9515">
            <v>2400</v>
          </cell>
          <cell r="H9515">
            <v>45839</v>
          </cell>
          <cell r="I9515" t="str">
            <v>6288 - Model</v>
          </cell>
          <cell r="J9515">
            <v>0</v>
          </cell>
          <cell r="K9515" t="str">
            <v>Brand Marketing</v>
          </cell>
          <cell r="L9515" t="str">
            <v>Advertising</v>
          </cell>
          <cell r="N9515" t="str">
            <v>SG&amp;A</v>
          </cell>
          <cell r="O9515" t="str">
            <v>New York Model Management, Inc.</v>
          </cell>
        </row>
        <row r="9516">
          <cell r="D9516">
            <v>300</v>
          </cell>
          <cell r="H9516">
            <v>45839</v>
          </cell>
          <cell r="I9516" t="str">
            <v>6288 - Model</v>
          </cell>
          <cell r="J9516">
            <v>0</v>
          </cell>
          <cell r="K9516" t="str">
            <v>Brand Marketing</v>
          </cell>
          <cell r="L9516" t="str">
            <v>Advertising</v>
          </cell>
          <cell r="N9516" t="str">
            <v>SG&amp;A</v>
          </cell>
          <cell r="O9516" t="str">
            <v>Que Management, Inc</v>
          </cell>
        </row>
        <row r="9517">
          <cell r="D9517">
            <v>1500</v>
          </cell>
          <cell r="H9517">
            <v>45839</v>
          </cell>
          <cell r="I9517" t="str">
            <v>6288 - Model</v>
          </cell>
          <cell r="J9517">
            <v>0</v>
          </cell>
          <cell r="K9517" t="str">
            <v>Brand Marketing</v>
          </cell>
          <cell r="L9517" t="str">
            <v>Advertising</v>
          </cell>
          <cell r="N9517" t="str">
            <v>SG&amp;A</v>
          </cell>
          <cell r="O9517" t="str">
            <v>Que Management, Inc</v>
          </cell>
        </row>
        <row r="9518">
          <cell r="D9518">
            <v>360</v>
          </cell>
          <cell r="H9518">
            <v>45839</v>
          </cell>
          <cell r="I9518" t="str">
            <v>6288 - Model</v>
          </cell>
          <cell r="J9518">
            <v>0</v>
          </cell>
          <cell r="K9518" t="str">
            <v>Brand Marketing</v>
          </cell>
          <cell r="L9518" t="str">
            <v>Advertising</v>
          </cell>
          <cell r="N9518" t="str">
            <v>SG&amp;A</v>
          </cell>
          <cell r="O9518" t="str">
            <v>State Artist Management</v>
          </cell>
        </row>
        <row r="9519">
          <cell r="D9519">
            <v>600</v>
          </cell>
          <cell r="H9519">
            <v>45839</v>
          </cell>
          <cell r="I9519" t="str">
            <v>6288 - Model</v>
          </cell>
          <cell r="J9519">
            <v>0</v>
          </cell>
          <cell r="K9519" t="str">
            <v>Brand Marketing</v>
          </cell>
          <cell r="L9519" t="str">
            <v>Advertising</v>
          </cell>
          <cell r="N9519" t="str">
            <v>SG&amp;A</v>
          </cell>
          <cell r="O9519" t="str">
            <v>State Artist Management</v>
          </cell>
        </row>
        <row r="9520">
          <cell r="D9520">
            <v>1200</v>
          </cell>
          <cell r="H9520">
            <v>45839</v>
          </cell>
          <cell r="I9520" t="str">
            <v>6288 - Model</v>
          </cell>
          <cell r="J9520">
            <v>0</v>
          </cell>
          <cell r="K9520" t="str">
            <v>Brand Marketing</v>
          </cell>
          <cell r="L9520" t="str">
            <v>Advertising</v>
          </cell>
          <cell r="N9520" t="str">
            <v>SG&amp;A</v>
          </cell>
          <cell r="O9520" t="str">
            <v>State Artist Management</v>
          </cell>
        </row>
        <row r="9521">
          <cell r="D9521">
            <v>7623.64</v>
          </cell>
          <cell r="H9521">
            <v>45839</v>
          </cell>
          <cell r="I9521" t="str">
            <v>6289 - Seeding / Product Placement</v>
          </cell>
          <cell r="J9521">
            <v>0</v>
          </cell>
          <cell r="K9521" t="str">
            <v>Brand Marketing</v>
          </cell>
          <cell r="L9521" t="str">
            <v>Advertising</v>
          </cell>
          <cell r="N9521" t="str">
            <v>SG&amp;A</v>
          </cell>
          <cell r="O9521" t="str">
            <v>[No Vendor]</v>
          </cell>
        </row>
        <row r="9522">
          <cell r="D9522">
            <v>843.75</v>
          </cell>
          <cell r="H9522">
            <v>45839</v>
          </cell>
          <cell r="I9522" t="str">
            <v>6300 - Payroll Service Fees</v>
          </cell>
          <cell r="J9522">
            <v>0</v>
          </cell>
          <cell r="K9522" t="str">
            <v>Administration</v>
          </cell>
          <cell r="L9522" t="str">
            <v>Professional Service</v>
          </cell>
          <cell r="N9522" t="str">
            <v>SG&amp;A</v>
          </cell>
          <cell r="O9522" t="str">
            <v>OperationsInc, LLC</v>
          </cell>
        </row>
        <row r="9523">
          <cell r="D9523">
            <v>329.44</v>
          </cell>
          <cell r="H9523">
            <v>45839</v>
          </cell>
          <cell r="I9523" t="str">
            <v>6300 - Payroll Service Fees</v>
          </cell>
          <cell r="J9523">
            <v>0</v>
          </cell>
          <cell r="K9523" t="str">
            <v>Administration</v>
          </cell>
          <cell r="L9523" t="str">
            <v>Professional Service</v>
          </cell>
          <cell r="N9523" t="str">
            <v>SG&amp;A</v>
          </cell>
          <cell r="O9523" t="str">
            <v>ADP Payroll Services</v>
          </cell>
        </row>
        <row r="9524">
          <cell r="D9524">
            <v>544.07000000000005</v>
          </cell>
          <cell r="H9524">
            <v>45839</v>
          </cell>
          <cell r="I9524" t="str">
            <v>6300 - Payroll Service Fees</v>
          </cell>
          <cell r="J9524">
            <v>0</v>
          </cell>
          <cell r="K9524" t="str">
            <v>Administration</v>
          </cell>
          <cell r="L9524" t="str">
            <v>Professional Service</v>
          </cell>
          <cell r="N9524" t="str">
            <v>SG&amp;A</v>
          </cell>
          <cell r="O9524" t="str">
            <v>ADP Payroll Services</v>
          </cell>
        </row>
        <row r="9525">
          <cell r="D9525">
            <v>1500</v>
          </cell>
          <cell r="H9525">
            <v>45839</v>
          </cell>
          <cell r="I9525" t="str">
            <v>6300 - Payroll Service Fees</v>
          </cell>
          <cell r="J9525">
            <v>0</v>
          </cell>
          <cell r="K9525" t="str">
            <v>Administration</v>
          </cell>
          <cell r="L9525" t="str">
            <v>Professional Service</v>
          </cell>
          <cell r="N9525" t="str">
            <v>SG&amp;A</v>
          </cell>
          <cell r="O9525" t="str">
            <v>OperationsInc, LLC</v>
          </cell>
        </row>
        <row r="9526">
          <cell r="D9526">
            <v>675</v>
          </cell>
          <cell r="H9526">
            <v>45839</v>
          </cell>
          <cell r="I9526" t="str">
            <v>6300 - Payroll Service Fees</v>
          </cell>
          <cell r="J9526">
            <v>0</v>
          </cell>
          <cell r="K9526" t="str">
            <v>Administration</v>
          </cell>
          <cell r="L9526" t="str">
            <v>Professional Service</v>
          </cell>
          <cell r="N9526" t="str">
            <v>SG&amp;A</v>
          </cell>
          <cell r="O9526" t="str">
            <v>OperationsInc, LLC</v>
          </cell>
        </row>
        <row r="9527">
          <cell r="D9527">
            <v>-224.51</v>
          </cell>
          <cell r="H9527">
            <v>45839</v>
          </cell>
          <cell r="I9527" t="str">
            <v>6300 - Payroll Service Fees</v>
          </cell>
          <cell r="J9527">
            <v>0</v>
          </cell>
          <cell r="K9527" t="str">
            <v>Administration</v>
          </cell>
          <cell r="L9527" t="str">
            <v>Professional Service</v>
          </cell>
          <cell r="N9527" t="str">
            <v>SG&amp;A</v>
          </cell>
          <cell r="O9527" t="str">
            <v>[No Vendor]</v>
          </cell>
        </row>
        <row r="9528">
          <cell r="D9528">
            <v>1215</v>
          </cell>
          <cell r="H9528">
            <v>45839</v>
          </cell>
          <cell r="I9528" t="str">
            <v>6300 - Payroll Service Fees</v>
          </cell>
          <cell r="J9528">
            <v>0</v>
          </cell>
          <cell r="K9528" t="str">
            <v>Administration</v>
          </cell>
          <cell r="L9528" t="str">
            <v>Professional Service</v>
          </cell>
          <cell r="N9528" t="str">
            <v>SG&amp;A</v>
          </cell>
          <cell r="O9528" t="str">
            <v>OperationsInc, LLC</v>
          </cell>
        </row>
        <row r="9529">
          <cell r="D9529">
            <v>319.58999999999997</v>
          </cell>
          <cell r="H9529">
            <v>45839</v>
          </cell>
          <cell r="I9529" t="str">
            <v>6300 - Payroll Service Fees</v>
          </cell>
          <cell r="J9529">
            <v>0</v>
          </cell>
          <cell r="K9529" t="str">
            <v>Administration</v>
          </cell>
          <cell r="L9529" t="str">
            <v>Professional Service</v>
          </cell>
          <cell r="N9529" t="str">
            <v>SG&amp;A</v>
          </cell>
          <cell r="O9529" t="str">
            <v>ADP Payroll Services</v>
          </cell>
        </row>
        <row r="9530">
          <cell r="D9530">
            <v>1181.25</v>
          </cell>
          <cell r="H9530">
            <v>45839</v>
          </cell>
          <cell r="I9530" t="str">
            <v>6300 - Payroll Service Fees</v>
          </cell>
          <cell r="J9530">
            <v>0</v>
          </cell>
          <cell r="K9530" t="str">
            <v>Administration</v>
          </cell>
          <cell r="L9530" t="str">
            <v>Professional Service</v>
          </cell>
          <cell r="N9530" t="str">
            <v>SG&amp;A</v>
          </cell>
          <cell r="O9530" t="str">
            <v>OperationsInc, LLC</v>
          </cell>
        </row>
        <row r="9531">
          <cell r="D9531">
            <v>181.35</v>
          </cell>
          <cell r="H9531">
            <v>45839</v>
          </cell>
          <cell r="I9531" t="str">
            <v>6300 - Payroll Service Fees</v>
          </cell>
          <cell r="J9531">
            <v>0</v>
          </cell>
          <cell r="K9531" t="str">
            <v>Administration</v>
          </cell>
          <cell r="L9531" t="str">
            <v>Professional Service</v>
          </cell>
          <cell r="N9531" t="str">
            <v>SG&amp;A</v>
          </cell>
          <cell r="O9531" t="str">
            <v>ADP Payroll Services</v>
          </cell>
        </row>
        <row r="9532">
          <cell r="D9532">
            <v>1248.75</v>
          </cell>
          <cell r="H9532">
            <v>45839</v>
          </cell>
          <cell r="I9532" t="str">
            <v>6300 - Payroll Service Fees</v>
          </cell>
          <cell r="J9532">
            <v>0</v>
          </cell>
          <cell r="K9532" t="str">
            <v>Administration</v>
          </cell>
          <cell r="L9532" t="str">
            <v>Professional Service</v>
          </cell>
          <cell r="N9532" t="str">
            <v>SG&amp;A</v>
          </cell>
          <cell r="O9532" t="str">
            <v>OperationsInc, LLC</v>
          </cell>
        </row>
        <row r="9533">
          <cell r="D9533">
            <v>30113.77</v>
          </cell>
          <cell r="H9533">
            <v>45839</v>
          </cell>
          <cell r="I9533" t="str">
            <v>6320 - Building Rent</v>
          </cell>
          <cell r="J9533">
            <v>0</v>
          </cell>
          <cell r="K9533" t="str">
            <v>Administration</v>
          </cell>
          <cell r="L9533" t="str">
            <v>Rent</v>
          </cell>
          <cell r="N9533" t="str">
            <v>SG&amp;A</v>
          </cell>
          <cell r="O9533" t="str">
            <v>Antelope LLC</v>
          </cell>
        </row>
        <row r="9534">
          <cell r="D9534">
            <v>-30113.77</v>
          </cell>
          <cell r="H9534">
            <v>45839</v>
          </cell>
          <cell r="I9534" t="str">
            <v>6320 - Building Rent</v>
          </cell>
          <cell r="J9534">
            <v>0</v>
          </cell>
          <cell r="K9534" t="str">
            <v>Administration</v>
          </cell>
          <cell r="L9534" t="str">
            <v>Rent</v>
          </cell>
          <cell r="N9534" t="str">
            <v>SG&amp;A</v>
          </cell>
          <cell r="O9534" t="str">
            <v>[No Vendor]</v>
          </cell>
        </row>
        <row r="9535">
          <cell r="D9535">
            <v>48.51</v>
          </cell>
          <cell r="H9535">
            <v>45839</v>
          </cell>
          <cell r="I9535" t="str">
            <v>6340 - Miscellaneous Expense</v>
          </cell>
          <cell r="J9535">
            <v>0</v>
          </cell>
          <cell r="K9535" t="str">
            <v>Brand Marketing</v>
          </cell>
          <cell r="L9535" t="str">
            <v>Other</v>
          </cell>
          <cell r="N9535" t="str">
            <v>SG&amp;A</v>
          </cell>
          <cell r="O9535" t="str">
            <v>Olivia Nielsen</v>
          </cell>
        </row>
        <row r="9536">
          <cell r="D9536">
            <v>84.31</v>
          </cell>
          <cell r="H9536">
            <v>45839</v>
          </cell>
          <cell r="I9536" t="str">
            <v>6340 - Miscellaneous Expense</v>
          </cell>
          <cell r="J9536">
            <v>0</v>
          </cell>
          <cell r="K9536" t="str">
            <v>Administration</v>
          </cell>
          <cell r="L9536" t="str">
            <v>Other</v>
          </cell>
          <cell r="N9536" t="str">
            <v>SG&amp;A</v>
          </cell>
          <cell r="O9536" t="str">
            <v>Go Gleem LLC</v>
          </cell>
        </row>
        <row r="9537">
          <cell r="D9537">
            <v>950</v>
          </cell>
          <cell r="H9537">
            <v>45839</v>
          </cell>
          <cell r="I9537" t="str">
            <v>6340 - Miscellaneous Expense</v>
          </cell>
          <cell r="J9537">
            <v>0</v>
          </cell>
          <cell r="K9537" t="str">
            <v>Administration</v>
          </cell>
          <cell r="L9537" t="str">
            <v>Other</v>
          </cell>
          <cell r="N9537" t="str">
            <v>SG&amp;A</v>
          </cell>
          <cell r="O9537" t="str">
            <v>Go Gleem LLC</v>
          </cell>
        </row>
        <row r="9538">
          <cell r="D9538">
            <v>22.39</v>
          </cell>
          <cell r="H9538">
            <v>45839</v>
          </cell>
          <cell r="I9538" t="str">
            <v>6340 - Miscellaneous Expense</v>
          </cell>
          <cell r="J9538">
            <v>0</v>
          </cell>
          <cell r="K9538" t="str">
            <v>Administration</v>
          </cell>
          <cell r="L9538" t="str">
            <v>Other</v>
          </cell>
          <cell r="N9538" t="str">
            <v>SG&amp;A</v>
          </cell>
          <cell r="O9538" t="str">
            <v>Amazon Capital Services</v>
          </cell>
        </row>
        <row r="9539">
          <cell r="D9539">
            <v>29.98</v>
          </cell>
          <cell r="H9539">
            <v>45839</v>
          </cell>
          <cell r="I9539" t="str">
            <v>6340 - Miscellaneous Expense</v>
          </cell>
          <cell r="J9539">
            <v>0</v>
          </cell>
          <cell r="K9539" t="str">
            <v>Administration</v>
          </cell>
          <cell r="L9539" t="str">
            <v>Other</v>
          </cell>
          <cell r="N9539" t="str">
            <v>SG&amp;A</v>
          </cell>
          <cell r="O9539" t="str">
            <v>Amazon Capital Services</v>
          </cell>
        </row>
        <row r="9540">
          <cell r="D9540">
            <v>109.89</v>
          </cell>
          <cell r="H9540">
            <v>45839</v>
          </cell>
          <cell r="I9540" t="str">
            <v>6340 - Miscellaneous Expense</v>
          </cell>
          <cell r="J9540">
            <v>0</v>
          </cell>
          <cell r="K9540" t="str">
            <v>Administration</v>
          </cell>
          <cell r="L9540" t="str">
            <v>Other</v>
          </cell>
          <cell r="N9540" t="str">
            <v>SG&amp;A</v>
          </cell>
          <cell r="O9540" t="str">
            <v>Amazon Capital Services</v>
          </cell>
        </row>
        <row r="9541">
          <cell r="D9541">
            <v>80.69</v>
          </cell>
          <cell r="H9541">
            <v>45839</v>
          </cell>
          <cell r="I9541" t="str">
            <v>6340 - Miscellaneous Expense</v>
          </cell>
          <cell r="J9541">
            <v>0</v>
          </cell>
          <cell r="K9541" t="str">
            <v>Administration</v>
          </cell>
          <cell r="L9541" t="str">
            <v>Other</v>
          </cell>
          <cell r="N9541" t="str">
            <v>SG&amp;A</v>
          </cell>
          <cell r="O9541" t="str">
            <v>[No Vendor]</v>
          </cell>
        </row>
        <row r="9542">
          <cell r="D9542">
            <v>131.19999999999999</v>
          </cell>
          <cell r="H9542">
            <v>45839</v>
          </cell>
          <cell r="I9542" t="str">
            <v>6340 - Miscellaneous Expense</v>
          </cell>
          <cell r="J9542" t="str">
            <v>Ecommerce (US)</v>
          </cell>
          <cell r="K9542" t="str">
            <v>Ecommerce</v>
          </cell>
          <cell r="L9542" t="str">
            <v>Other</v>
          </cell>
          <cell r="N9542" t="str">
            <v>SG&amp;A</v>
          </cell>
          <cell r="O9542" t="str">
            <v>[No Vendor]</v>
          </cell>
        </row>
        <row r="9543">
          <cell r="D9543">
            <v>500</v>
          </cell>
          <cell r="H9543">
            <v>45839</v>
          </cell>
          <cell r="I9543" t="str">
            <v>6360 - Model - Fitting</v>
          </cell>
          <cell r="J9543">
            <v>0</v>
          </cell>
          <cell r="K9543" t="str">
            <v>Production</v>
          </cell>
          <cell r="L9543" t="str">
            <v>Sample</v>
          </cell>
          <cell r="N9543" t="str">
            <v>SG&amp;A</v>
          </cell>
          <cell r="O9543" t="str">
            <v>Lanny K.W. Inc.</v>
          </cell>
        </row>
        <row r="9544">
          <cell r="D9544">
            <v>600</v>
          </cell>
          <cell r="H9544">
            <v>45839</v>
          </cell>
          <cell r="I9544" t="str">
            <v>6360 - Model - Fitting</v>
          </cell>
          <cell r="J9544">
            <v>0</v>
          </cell>
          <cell r="K9544" t="str">
            <v>Production</v>
          </cell>
          <cell r="L9544" t="str">
            <v>Sample</v>
          </cell>
          <cell r="N9544" t="str">
            <v>SG&amp;A</v>
          </cell>
          <cell r="O9544" t="str">
            <v>Lanny K.W. Inc.</v>
          </cell>
        </row>
        <row r="9545">
          <cell r="D9545">
            <v>200</v>
          </cell>
          <cell r="H9545">
            <v>45839</v>
          </cell>
          <cell r="I9545" t="str">
            <v>6360 - Model - Fitting</v>
          </cell>
          <cell r="J9545">
            <v>0</v>
          </cell>
          <cell r="K9545" t="str">
            <v>Production</v>
          </cell>
          <cell r="L9545" t="str">
            <v>Sample</v>
          </cell>
          <cell r="N9545" t="str">
            <v>SG&amp;A</v>
          </cell>
          <cell r="O9545" t="str">
            <v>Lanny K.W. Inc.</v>
          </cell>
        </row>
        <row r="9546">
          <cell r="D9546">
            <v>1300</v>
          </cell>
          <cell r="H9546">
            <v>45839</v>
          </cell>
          <cell r="I9546" t="str">
            <v>6360 - Model - Fitting</v>
          </cell>
          <cell r="J9546">
            <v>0</v>
          </cell>
          <cell r="K9546" t="str">
            <v>Production</v>
          </cell>
          <cell r="L9546" t="str">
            <v>Sample</v>
          </cell>
          <cell r="N9546" t="str">
            <v>SG&amp;A</v>
          </cell>
          <cell r="O9546" t="str">
            <v>[No Vendor]</v>
          </cell>
        </row>
        <row r="9547">
          <cell r="D9547">
            <v>2422</v>
          </cell>
          <cell r="H9547">
            <v>45839</v>
          </cell>
          <cell r="I9547" t="str">
            <v>6363 - Development</v>
          </cell>
          <cell r="J9547">
            <v>0</v>
          </cell>
          <cell r="K9547" t="str">
            <v>Production</v>
          </cell>
          <cell r="L9547" t="str">
            <v>Sample</v>
          </cell>
          <cell r="N9547" t="str">
            <v>SG&amp;A</v>
          </cell>
          <cell r="O9547" t="str">
            <v>Porta Asiatica Enterprises Inc</v>
          </cell>
        </row>
        <row r="9548">
          <cell r="D9548">
            <v>173.26</v>
          </cell>
          <cell r="H9548">
            <v>45839</v>
          </cell>
          <cell r="I9548" t="str">
            <v>6370 - Samples</v>
          </cell>
          <cell r="J9548">
            <v>0</v>
          </cell>
          <cell r="K9548" t="str">
            <v>Production</v>
          </cell>
          <cell r="L9548" t="str">
            <v>Sample</v>
          </cell>
          <cell r="N9548" t="str">
            <v>SG&amp;A</v>
          </cell>
          <cell r="O9548" t="str">
            <v>Yoon Choi</v>
          </cell>
        </row>
        <row r="9549">
          <cell r="D9549">
            <v>57.76</v>
          </cell>
          <cell r="H9549">
            <v>45839</v>
          </cell>
          <cell r="I9549" t="str">
            <v>6375 - Freight Expenses</v>
          </cell>
          <cell r="J9549">
            <v>0</v>
          </cell>
          <cell r="K9549" t="str">
            <v>Production</v>
          </cell>
          <cell r="L9549" t="str">
            <v>Freight</v>
          </cell>
          <cell r="N9549" t="str">
            <v>Direct Costs</v>
          </cell>
          <cell r="O9549" t="str">
            <v>Federal Express</v>
          </cell>
        </row>
        <row r="9550">
          <cell r="D9550">
            <v>70.099999999999994</v>
          </cell>
          <cell r="H9550">
            <v>45839</v>
          </cell>
          <cell r="I9550" t="str">
            <v>6375 - Freight Expenses</v>
          </cell>
          <cell r="J9550" t="str">
            <v>Ecommerce (US)</v>
          </cell>
          <cell r="K9550" t="str">
            <v>Ecommerce</v>
          </cell>
          <cell r="L9550" t="str">
            <v>Freight</v>
          </cell>
          <cell r="N9550" t="str">
            <v>Direct Costs</v>
          </cell>
          <cell r="O9550" t="str">
            <v>UPS Supply Chain Solutions Inc. (7F24A0)</v>
          </cell>
        </row>
        <row r="9551">
          <cell r="D9551">
            <v>8.23</v>
          </cell>
          <cell r="H9551">
            <v>45839</v>
          </cell>
          <cell r="I9551" t="str">
            <v>6375 - Freight Expenses</v>
          </cell>
          <cell r="J9551" t="str">
            <v>Ecommerce (US)</v>
          </cell>
          <cell r="K9551" t="str">
            <v>Ecommerce</v>
          </cell>
          <cell r="L9551" t="str">
            <v>Freight</v>
          </cell>
          <cell r="N9551" t="str">
            <v>Direct Costs</v>
          </cell>
          <cell r="O9551" t="str">
            <v>UPS Supply Chain Solutions Inc. (7F24A0)</v>
          </cell>
        </row>
        <row r="9552">
          <cell r="D9552">
            <v>-5000</v>
          </cell>
          <cell r="H9552">
            <v>45839</v>
          </cell>
          <cell r="I9552" t="str">
            <v>6375 - Freight Expenses</v>
          </cell>
          <cell r="J9552" t="str">
            <v>Ecommerce (US)</v>
          </cell>
          <cell r="K9552" t="str">
            <v>Ecommerce</v>
          </cell>
          <cell r="L9552" t="str">
            <v>Freight</v>
          </cell>
          <cell r="N9552" t="str">
            <v>Direct Costs</v>
          </cell>
          <cell r="O9552" t="str">
            <v>UPS Supply Chain Solutions Inc. (7F24A0)</v>
          </cell>
        </row>
        <row r="9553">
          <cell r="D9553">
            <v>-49.56</v>
          </cell>
          <cell r="H9553">
            <v>45839</v>
          </cell>
          <cell r="I9553" t="str">
            <v>6375 - Freight Expenses</v>
          </cell>
          <cell r="J9553" t="str">
            <v>Ecommerce (US)</v>
          </cell>
          <cell r="K9553" t="str">
            <v>Ecommerce</v>
          </cell>
          <cell r="L9553" t="str">
            <v>Freight</v>
          </cell>
          <cell r="N9553" t="str">
            <v>Direct Costs</v>
          </cell>
          <cell r="O9553" t="str">
            <v>UPS Supply Chain Solutions Inc. (7F24A0)</v>
          </cell>
        </row>
        <row r="9554">
          <cell r="D9554">
            <v>295.14</v>
          </cell>
          <cell r="H9554">
            <v>45839</v>
          </cell>
          <cell r="I9554" t="str">
            <v>6375 - Freight Expenses</v>
          </cell>
          <cell r="J9554" t="str">
            <v>Wholesale</v>
          </cell>
          <cell r="K9554" t="str">
            <v>Wholesale</v>
          </cell>
          <cell r="L9554" t="str">
            <v>Freight</v>
          </cell>
          <cell r="N9554" t="str">
            <v>Direct Costs</v>
          </cell>
          <cell r="O9554" t="str">
            <v>UPS Supply Chain Solutions Inc. (7F24A0)</v>
          </cell>
        </row>
        <row r="9555">
          <cell r="D9555">
            <v>26896.47</v>
          </cell>
          <cell r="H9555">
            <v>45839</v>
          </cell>
          <cell r="I9555" t="str">
            <v>6375 - Freight Expenses</v>
          </cell>
          <cell r="J9555" t="str">
            <v>Ecommerce (US)</v>
          </cell>
          <cell r="K9555" t="str">
            <v>Ecommerce</v>
          </cell>
          <cell r="L9555" t="str">
            <v>Freight</v>
          </cell>
          <cell r="N9555" t="str">
            <v>Direct Costs</v>
          </cell>
          <cell r="O9555" t="str">
            <v>UPS Supply Chain Solutions Inc. (7F24A0)</v>
          </cell>
        </row>
        <row r="9556">
          <cell r="D9556">
            <v>8.58</v>
          </cell>
          <cell r="H9556">
            <v>45839</v>
          </cell>
          <cell r="I9556" t="str">
            <v>6375 - Freight Expenses</v>
          </cell>
          <cell r="J9556" t="str">
            <v>Ecommerce (US)</v>
          </cell>
          <cell r="K9556" t="str">
            <v>Ecommerce</v>
          </cell>
          <cell r="L9556" t="str">
            <v>Freight</v>
          </cell>
          <cell r="N9556" t="str">
            <v>Direct Costs</v>
          </cell>
          <cell r="O9556" t="str">
            <v>UPS Supply Chain Solutions Inc. (7F24A0)</v>
          </cell>
        </row>
        <row r="9557">
          <cell r="D9557">
            <v>1.1100000000000001</v>
          </cell>
          <cell r="H9557">
            <v>45839</v>
          </cell>
          <cell r="I9557" t="str">
            <v>6375 - Freight Expenses</v>
          </cell>
          <cell r="J9557" t="str">
            <v>Ecommerce (US)</v>
          </cell>
          <cell r="K9557" t="str">
            <v>Ecommerce</v>
          </cell>
          <cell r="L9557" t="str">
            <v>Freight</v>
          </cell>
          <cell r="N9557" t="str">
            <v>Direct Costs</v>
          </cell>
          <cell r="O9557" t="str">
            <v>UPS Supply Chain Solutions Inc. (7F24A0)</v>
          </cell>
        </row>
        <row r="9558">
          <cell r="D9558">
            <v>23.56</v>
          </cell>
          <cell r="H9558">
            <v>45839</v>
          </cell>
          <cell r="I9558" t="str">
            <v>6375 - Freight Expenses</v>
          </cell>
          <cell r="J9558" t="str">
            <v>Ecommerce (US)</v>
          </cell>
          <cell r="K9558" t="str">
            <v>Ecommerce</v>
          </cell>
          <cell r="L9558" t="str">
            <v>Freight</v>
          </cell>
          <cell r="N9558" t="str">
            <v>Direct Costs</v>
          </cell>
          <cell r="O9558" t="str">
            <v>UPS Supply Chain Solutions Inc. (7F24A0)</v>
          </cell>
        </row>
        <row r="9559">
          <cell r="D9559">
            <v>20.07</v>
          </cell>
          <cell r="H9559">
            <v>45839</v>
          </cell>
          <cell r="I9559" t="str">
            <v>6375 - Freight Expenses</v>
          </cell>
          <cell r="J9559" t="str">
            <v>Ecommerce (US)</v>
          </cell>
          <cell r="K9559" t="str">
            <v>Ecommerce</v>
          </cell>
          <cell r="L9559" t="str">
            <v>Freight</v>
          </cell>
          <cell r="N9559" t="str">
            <v>Direct Costs</v>
          </cell>
          <cell r="O9559" t="str">
            <v>UPS Supply Chain Solutions Inc. (7F24A0)</v>
          </cell>
        </row>
        <row r="9560">
          <cell r="D9560">
            <v>8.58</v>
          </cell>
          <cell r="H9560">
            <v>45839</v>
          </cell>
          <cell r="I9560" t="str">
            <v>6375 - Freight Expenses</v>
          </cell>
          <cell r="J9560" t="str">
            <v>Ecommerce (US)</v>
          </cell>
          <cell r="K9560" t="str">
            <v>Ecommerce</v>
          </cell>
          <cell r="L9560" t="str">
            <v>Freight</v>
          </cell>
          <cell r="N9560" t="str">
            <v>Direct Costs</v>
          </cell>
          <cell r="O9560" t="str">
            <v>UPS Supply Chain Solutions Inc. (7F24A0)</v>
          </cell>
        </row>
        <row r="9561">
          <cell r="D9561">
            <v>1.1100000000000001</v>
          </cell>
          <cell r="H9561">
            <v>45839</v>
          </cell>
          <cell r="I9561" t="str">
            <v>6375 - Freight Expenses</v>
          </cell>
          <cell r="J9561" t="str">
            <v>Ecommerce (US)</v>
          </cell>
          <cell r="K9561" t="str">
            <v>Ecommerce</v>
          </cell>
          <cell r="L9561" t="str">
            <v>Freight</v>
          </cell>
          <cell r="N9561" t="str">
            <v>Direct Costs</v>
          </cell>
          <cell r="O9561" t="str">
            <v>UPS Supply Chain Solutions Inc. (7F24A0)</v>
          </cell>
        </row>
        <row r="9562">
          <cell r="D9562">
            <v>61.87</v>
          </cell>
          <cell r="H9562">
            <v>45839</v>
          </cell>
          <cell r="I9562" t="str">
            <v>6375 - Freight Expenses</v>
          </cell>
          <cell r="J9562" t="str">
            <v>Ecommerce (US)</v>
          </cell>
          <cell r="K9562" t="str">
            <v>Ecommerce</v>
          </cell>
          <cell r="L9562" t="str">
            <v>Freight</v>
          </cell>
          <cell r="N9562" t="str">
            <v>Direct Costs</v>
          </cell>
          <cell r="O9562" t="str">
            <v>UPS Supply Chain Solutions Inc. (7F24A0)</v>
          </cell>
        </row>
        <row r="9563">
          <cell r="D9563">
            <v>20.28</v>
          </cell>
          <cell r="H9563">
            <v>45839</v>
          </cell>
          <cell r="I9563" t="str">
            <v>6375 - Freight Expenses</v>
          </cell>
          <cell r="J9563" t="str">
            <v>Ecommerce (US)</v>
          </cell>
          <cell r="K9563" t="str">
            <v>Ecommerce</v>
          </cell>
          <cell r="L9563" t="str">
            <v>Freight</v>
          </cell>
          <cell r="N9563" t="str">
            <v>Direct Costs</v>
          </cell>
          <cell r="O9563" t="str">
            <v>UPS Supply Chain Solutions Inc. (7F24A0)</v>
          </cell>
        </row>
        <row r="9564">
          <cell r="D9564">
            <v>8.58</v>
          </cell>
          <cell r="H9564">
            <v>45839</v>
          </cell>
          <cell r="I9564" t="str">
            <v>6375 - Freight Expenses</v>
          </cell>
          <cell r="J9564" t="str">
            <v>Ecommerce (US)</v>
          </cell>
          <cell r="K9564" t="str">
            <v>Ecommerce</v>
          </cell>
          <cell r="L9564" t="str">
            <v>Freight</v>
          </cell>
          <cell r="N9564" t="str">
            <v>Direct Costs</v>
          </cell>
          <cell r="O9564" t="str">
            <v>UPS Supply Chain Solutions Inc. (7F24A0)</v>
          </cell>
        </row>
        <row r="9565">
          <cell r="D9565">
            <v>4.42</v>
          </cell>
          <cell r="H9565">
            <v>45839</v>
          </cell>
          <cell r="I9565" t="str">
            <v>6375 - Freight Expenses</v>
          </cell>
          <cell r="J9565" t="str">
            <v>Ecommerce (US)</v>
          </cell>
          <cell r="K9565" t="str">
            <v>Ecommerce</v>
          </cell>
          <cell r="L9565" t="str">
            <v>Freight</v>
          </cell>
          <cell r="N9565" t="str">
            <v>Direct Costs</v>
          </cell>
          <cell r="O9565" t="str">
            <v>UPS Supply Chain Solutions Inc. (7F24A0)</v>
          </cell>
        </row>
        <row r="9566">
          <cell r="D9566">
            <v>0.65</v>
          </cell>
          <cell r="H9566">
            <v>45839</v>
          </cell>
          <cell r="I9566" t="str">
            <v>6375 - Freight Expenses</v>
          </cell>
          <cell r="J9566" t="str">
            <v>Ecommerce (US)</v>
          </cell>
          <cell r="K9566" t="str">
            <v>Ecommerce</v>
          </cell>
          <cell r="L9566" t="str">
            <v>Freight</v>
          </cell>
          <cell r="N9566" t="str">
            <v>Direct Costs</v>
          </cell>
          <cell r="O9566" t="str">
            <v>UPS Supply Chain Solutions Inc. (7F24A0)</v>
          </cell>
        </row>
        <row r="9567">
          <cell r="D9567">
            <v>13.64</v>
          </cell>
          <cell r="H9567">
            <v>45839</v>
          </cell>
          <cell r="I9567" t="str">
            <v>6375 - Freight Expenses</v>
          </cell>
          <cell r="J9567" t="str">
            <v>Ecommerce (US)</v>
          </cell>
          <cell r="K9567" t="str">
            <v>Ecommerce</v>
          </cell>
          <cell r="L9567" t="str">
            <v>Freight</v>
          </cell>
          <cell r="N9567" t="str">
            <v>Direct Costs</v>
          </cell>
          <cell r="O9567" t="str">
            <v>UPS Supply Chain Solutions Inc. (7F24A0)</v>
          </cell>
        </row>
        <row r="9568">
          <cell r="D9568">
            <v>8.58</v>
          </cell>
          <cell r="H9568">
            <v>45839</v>
          </cell>
          <cell r="I9568" t="str">
            <v>6375 - Freight Expenses</v>
          </cell>
          <cell r="J9568" t="str">
            <v>Ecommerce (US)</v>
          </cell>
          <cell r="K9568" t="str">
            <v>Ecommerce</v>
          </cell>
          <cell r="L9568" t="str">
            <v>Freight</v>
          </cell>
          <cell r="N9568" t="str">
            <v>Direct Costs</v>
          </cell>
          <cell r="O9568" t="str">
            <v>UPS Supply Chain Solutions Inc. (7F24A0)</v>
          </cell>
        </row>
        <row r="9569">
          <cell r="D9569">
            <v>1.1100000000000001</v>
          </cell>
          <cell r="H9569">
            <v>45839</v>
          </cell>
          <cell r="I9569" t="str">
            <v>6375 - Freight Expenses</v>
          </cell>
          <cell r="J9569" t="str">
            <v>Ecommerce (US)</v>
          </cell>
          <cell r="K9569" t="str">
            <v>Ecommerce</v>
          </cell>
          <cell r="L9569" t="str">
            <v>Freight</v>
          </cell>
          <cell r="N9569" t="str">
            <v>Direct Costs</v>
          </cell>
          <cell r="O9569" t="str">
            <v>UPS Supply Chain Solutions Inc. (7F24A0)</v>
          </cell>
        </row>
        <row r="9570">
          <cell r="D9570">
            <v>17.84</v>
          </cell>
          <cell r="H9570">
            <v>45839</v>
          </cell>
          <cell r="I9570" t="str">
            <v>6375 - Freight Expenses</v>
          </cell>
          <cell r="J9570" t="str">
            <v>Ecommerce (US)</v>
          </cell>
          <cell r="K9570" t="str">
            <v>Ecommerce</v>
          </cell>
          <cell r="L9570" t="str">
            <v>Freight</v>
          </cell>
          <cell r="N9570" t="str">
            <v>Direct Costs</v>
          </cell>
          <cell r="O9570" t="str">
            <v>UPS Supply Chain Solutions Inc. (7F24A0)</v>
          </cell>
        </row>
        <row r="9571">
          <cell r="D9571">
            <v>4</v>
          </cell>
          <cell r="H9571">
            <v>45839</v>
          </cell>
          <cell r="I9571" t="str">
            <v>6375 - Freight Expenses</v>
          </cell>
          <cell r="J9571" t="str">
            <v>Ecommerce (US)</v>
          </cell>
          <cell r="K9571" t="str">
            <v>Ecommerce</v>
          </cell>
          <cell r="L9571" t="str">
            <v>Freight</v>
          </cell>
          <cell r="N9571" t="str">
            <v>Direct Costs</v>
          </cell>
          <cell r="O9571" t="str">
            <v>UPS Supply Chain Solutions Inc. (7F24A0)</v>
          </cell>
        </row>
        <row r="9572">
          <cell r="D9572">
            <v>26.64</v>
          </cell>
          <cell r="H9572">
            <v>45839</v>
          </cell>
          <cell r="I9572" t="str">
            <v>6375 - Freight Expenses</v>
          </cell>
          <cell r="J9572" t="str">
            <v>Ecommerce (US)</v>
          </cell>
          <cell r="K9572" t="str">
            <v>Ecommerce</v>
          </cell>
          <cell r="L9572" t="str">
            <v>Freight</v>
          </cell>
          <cell r="N9572" t="str">
            <v>Direct Costs</v>
          </cell>
          <cell r="O9572" t="str">
            <v>UPS Supply Chain Solutions Inc. (7F24A0)</v>
          </cell>
        </row>
        <row r="9573">
          <cell r="D9573">
            <v>53.61</v>
          </cell>
          <cell r="H9573">
            <v>45839</v>
          </cell>
          <cell r="I9573" t="str">
            <v>6375 - Freight Expenses</v>
          </cell>
          <cell r="J9573" t="str">
            <v>Ecommerce (US)</v>
          </cell>
          <cell r="K9573" t="str">
            <v>Ecommerce</v>
          </cell>
          <cell r="L9573" t="str">
            <v>Freight</v>
          </cell>
          <cell r="N9573" t="str">
            <v>Direct Costs</v>
          </cell>
          <cell r="O9573" t="str">
            <v>UPS Supply Chain Solutions Inc. (7F24A0)</v>
          </cell>
        </row>
        <row r="9574">
          <cell r="D9574">
            <v>17.46</v>
          </cell>
          <cell r="H9574">
            <v>45839</v>
          </cell>
          <cell r="I9574" t="str">
            <v>6375 - Freight Expenses</v>
          </cell>
          <cell r="J9574" t="str">
            <v>Ecommerce (US)</v>
          </cell>
          <cell r="K9574" t="str">
            <v>Ecommerce</v>
          </cell>
          <cell r="L9574" t="str">
            <v>Freight</v>
          </cell>
          <cell r="N9574" t="str">
            <v>Direct Costs</v>
          </cell>
          <cell r="O9574" t="str">
            <v>UPS Supply Chain Solutions Inc. (7F24A0)</v>
          </cell>
        </row>
        <row r="9575">
          <cell r="D9575">
            <v>5.72</v>
          </cell>
          <cell r="H9575">
            <v>45839</v>
          </cell>
          <cell r="I9575" t="str">
            <v>6375 - Freight Expenses</v>
          </cell>
          <cell r="J9575" t="str">
            <v>Ecommerce (US)</v>
          </cell>
          <cell r="K9575" t="str">
            <v>Ecommerce</v>
          </cell>
          <cell r="L9575" t="str">
            <v>Freight</v>
          </cell>
          <cell r="N9575" t="str">
            <v>Direct Costs</v>
          </cell>
          <cell r="O9575" t="str">
            <v>UPS Supply Chain Solutions Inc. (7F24A0)</v>
          </cell>
        </row>
        <row r="9576">
          <cell r="D9576">
            <v>8.57</v>
          </cell>
          <cell r="H9576">
            <v>45839</v>
          </cell>
          <cell r="I9576" t="str">
            <v>6375 - Freight Expenses</v>
          </cell>
          <cell r="J9576" t="str">
            <v>Ecommerce (US)</v>
          </cell>
          <cell r="K9576" t="str">
            <v>Ecommerce</v>
          </cell>
          <cell r="L9576" t="str">
            <v>Freight</v>
          </cell>
          <cell r="N9576" t="str">
            <v>Direct Costs</v>
          </cell>
          <cell r="O9576" t="str">
            <v>UPS Supply Chain Solutions Inc. (7F24A0)</v>
          </cell>
        </row>
        <row r="9577">
          <cell r="D9577">
            <v>0.43</v>
          </cell>
          <cell r="H9577">
            <v>45839</v>
          </cell>
          <cell r="I9577" t="str">
            <v>6375 - Freight Expenses</v>
          </cell>
          <cell r="J9577" t="str">
            <v>Ecommerce (US)</v>
          </cell>
          <cell r="K9577" t="str">
            <v>Ecommerce</v>
          </cell>
          <cell r="L9577" t="str">
            <v>Freight</v>
          </cell>
          <cell r="N9577" t="str">
            <v>Direct Costs</v>
          </cell>
          <cell r="O9577" t="str">
            <v>UPS Supply Chain Solutions Inc. (7F24A0)</v>
          </cell>
        </row>
        <row r="9578">
          <cell r="D9578">
            <v>4.09</v>
          </cell>
          <cell r="H9578">
            <v>45839</v>
          </cell>
          <cell r="I9578" t="str">
            <v>6375 - Freight Expenses</v>
          </cell>
          <cell r="J9578" t="str">
            <v>Ecommerce (US)</v>
          </cell>
          <cell r="K9578" t="str">
            <v>Ecommerce</v>
          </cell>
          <cell r="L9578" t="str">
            <v>Freight</v>
          </cell>
          <cell r="N9578" t="str">
            <v>Direct Costs</v>
          </cell>
          <cell r="O9578" t="str">
            <v>UPS Supply Chain Solutions Inc. (7F24A0)</v>
          </cell>
        </row>
        <row r="9579">
          <cell r="D9579">
            <v>8.14</v>
          </cell>
          <cell r="H9579">
            <v>45839</v>
          </cell>
          <cell r="I9579" t="str">
            <v>6375 - Freight Expenses</v>
          </cell>
          <cell r="J9579" t="str">
            <v>Ecommerce (US)</v>
          </cell>
          <cell r="K9579" t="str">
            <v>Ecommerce</v>
          </cell>
          <cell r="L9579" t="str">
            <v>Freight</v>
          </cell>
          <cell r="N9579" t="str">
            <v>Direct Costs</v>
          </cell>
          <cell r="O9579" t="str">
            <v>UPS Supply Chain Solutions Inc. (7F24A0)</v>
          </cell>
        </row>
        <row r="9580">
          <cell r="D9580">
            <v>1.74</v>
          </cell>
          <cell r="H9580">
            <v>45839</v>
          </cell>
          <cell r="I9580" t="str">
            <v>6375 - Freight Expenses</v>
          </cell>
          <cell r="J9580" t="str">
            <v>Ecommerce (US)</v>
          </cell>
          <cell r="K9580" t="str">
            <v>Ecommerce</v>
          </cell>
          <cell r="L9580" t="str">
            <v>Freight</v>
          </cell>
          <cell r="N9580" t="str">
            <v>Direct Costs</v>
          </cell>
          <cell r="O9580" t="str">
            <v>UPS Supply Chain Solutions Inc. (7F24A0)</v>
          </cell>
        </row>
        <row r="9581">
          <cell r="D9581">
            <v>8.57</v>
          </cell>
          <cell r="H9581">
            <v>45839</v>
          </cell>
          <cell r="I9581" t="str">
            <v>6375 - Freight Expenses</v>
          </cell>
          <cell r="J9581" t="str">
            <v>Ecommerce (US)</v>
          </cell>
          <cell r="K9581" t="str">
            <v>Ecommerce</v>
          </cell>
          <cell r="L9581" t="str">
            <v>Freight</v>
          </cell>
          <cell r="N9581" t="str">
            <v>Direct Costs</v>
          </cell>
          <cell r="O9581" t="str">
            <v>UPS Supply Chain Solutions Inc. (7F24A0)</v>
          </cell>
        </row>
        <row r="9582">
          <cell r="D9582">
            <v>8.83</v>
          </cell>
          <cell r="H9582">
            <v>45839</v>
          </cell>
          <cell r="I9582" t="str">
            <v>6375 - Freight Expenses</v>
          </cell>
          <cell r="J9582" t="str">
            <v>Ecommerce (US)</v>
          </cell>
          <cell r="K9582" t="str">
            <v>Ecommerce</v>
          </cell>
          <cell r="L9582" t="str">
            <v>Freight</v>
          </cell>
          <cell r="N9582" t="str">
            <v>Direct Costs</v>
          </cell>
          <cell r="O9582" t="str">
            <v>UPS Supply Chain Solutions Inc. (7F24A0)</v>
          </cell>
        </row>
        <row r="9583">
          <cell r="D9583">
            <v>0.87</v>
          </cell>
          <cell r="H9583">
            <v>45839</v>
          </cell>
          <cell r="I9583" t="str">
            <v>6375 - Freight Expenses</v>
          </cell>
          <cell r="J9583" t="str">
            <v>Ecommerce (US)</v>
          </cell>
          <cell r="K9583" t="str">
            <v>Ecommerce</v>
          </cell>
          <cell r="L9583" t="str">
            <v>Freight</v>
          </cell>
          <cell r="N9583" t="str">
            <v>Direct Costs</v>
          </cell>
          <cell r="O9583" t="str">
            <v>UPS Supply Chain Solutions Inc. (7F24A0)</v>
          </cell>
        </row>
        <row r="9584">
          <cell r="D9584">
            <v>2.4700000000000002</v>
          </cell>
          <cell r="H9584">
            <v>45839</v>
          </cell>
          <cell r="I9584" t="str">
            <v>6375 - Freight Expenses</v>
          </cell>
          <cell r="J9584" t="str">
            <v>Ecommerce (US)</v>
          </cell>
          <cell r="K9584" t="str">
            <v>Ecommerce</v>
          </cell>
          <cell r="L9584" t="str">
            <v>Freight</v>
          </cell>
          <cell r="N9584" t="str">
            <v>Direct Costs</v>
          </cell>
          <cell r="O9584" t="str">
            <v>UPS Supply Chain Solutions Inc. (7F24A0)</v>
          </cell>
        </row>
        <row r="9585">
          <cell r="D9585">
            <v>4.93</v>
          </cell>
          <cell r="H9585">
            <v>45839</v>
          </cell>
          <cell r="I9585" t="str">
            <v>6375 - Freight Expenses</v>
          </cell>
          <cell r="J9585" t="str">
            <v>Ecommerce (US)</v>
          </cell>
          <cell r="K9585" t="str">
            <v>Ecommerce</v>
          </cell>
          <cell r="L9585" t="str">
            <v>Freight</v>
          </cell>
          <cell r="N9585" t="str">
            <v>Direct Costs</v>
          </cell>
          <cell r="O9585" t="str">
            <v>UPS Supply Chain Solutions Inc. (7F24A0)</v>
          </cell>
        </row>
        <row r="9586">
          <cell r="D9586">
            <v>0.85</v>
          </cell>
          <cell r="H9586">
            <v>45839</v>
          </cell>
          <cell r="I9586" t="str">
            <v>6375 - Freight Expenses</v>
          </cell>
          <cell r="J9586" t="str">
            <v>Ecommerce (US)</v>
          </cell>
          <cell r="K9586" t="str">
            <v>Ecommerce</v>
          </cell>
          <cell r="L9586" t="str">
            <v>Freight</v>
          </cell>
          <cell r="N9586" t="str">
            <v>Direct Costs</v>
          </cell>
          <cell r="O9586" t="str">
            <v>UPS Supply Chain Solutions Inc. (7F24A0)</v>
          </cell>
        </row>
        <row r="9587">
          <cell r="D9587">
            <v>8.57</v>
          </cell>
          <cell r="H9587">
            <v>45839</v>
          </cell>
          <cell r="I9587" t="str">
            <v>6375 - Freight Expenses</v>
          </cell>
          <cell r="J9587" t="str">
            <v>Ecommerce (US)</v>
          </cell>
          <cell r="K9587" t="str">
            <v>Ecommerce</v>
          </cell>
          <cell r="L9587" t="str">
            <v>Freight</v>
          </cell>
          <cell r="N9587" t="str">
            <v>Direct Costs</v>
          </cell>
          <cell r="O9587" t="str">
            <v>UPS Supply Chain Solutions Inc. (7F24A0)</v>
          </cell>
        </row>
        <row r="9588">
          <cell r="D9588">
            <v>0.43</v>
          </cell>
          <cell r="H9588">
            <v>45839</v>
          </cell>
          <cell r="I9588" t="str">
            <v>6375 - Freight Expenses</v>
          </cell>
          <cell r="J9588" t="str">
            <v>Ecommerce (US)</v>
          </cell>
          <cell r="K9588" t="str">
            <v>Ecommerce</v>
          </cell>
          <cell r="L9588" t="str">
            <v>Freight</v>
          </cell>
          <cell r="N9588" t="str">
            <v>Direct Costs</v>
          </cell>
          <cell r="O9588" t="str">
            <v>UPS Supply Chain Solutions Inc. (7F24A0)</v>
          </cell>
        </row>
        <row r="9589">
          <cell r="D9589">
            <v>81.97</v>
          </cell>
          <cell r="H9589">
            <v>45839</v>
          </cell>
          <cell r="I9589" t="str">
            <v>6375 - Freight Expenses</v>
          </cell>
          <cell r="J9589" t="str">
            <v>Ecommerce (US)</v>
          </cell>
          <cell r="K9589" t="str">
            <v>Ecommerce</v>
          </cell>
          <cell r="L9589" t="str">
            <v>Freight</v>
          </cell>
          <cell r="N9589" t="str">
            <v>Direct Costs</v>
          </cell>
          <cell r="O9589" t="str">
            <v>UPS Supply Chain Solutions Inc. (7F24A0)</v>
          </cell>
        </row>
        <row r="9590">
          <cell r="D9590">
            <v>26.86</v>
          </cell>
          <cell r="H9590">
            <v>45839</v>
          </cell>
          <cell r="I9590" t="str">
            <v>6375 - Freight Expenses</v>
          </cell>
          <cell r="J9590" t="str">
            <v>Ecommerce (US)</v>
          </cell>
          <cell r="K9590" t="str">
            <v>Ecommerce</v>
          </cell>
          <cell r="L9590" t="str">
            <v>Freight</v>
          </cell>
          <cell r="N9590" t="str">
            <v>Direct Costs</v>
          </cell>
          <cell r="O9590" t="str">
            <v>UPS Supply Chain Solutions Inc. (7F24A0)</v>
          </cell>
        </row>
        <row r="9591">
          <cell r="D9591">
            <v>0.85</v>
          </cell>
          <cell r="H9591">
            <v>45839</v>
          </cell>
          <cell r="I9591" t="str">
            <v>6375 - Freight Expenses</v>
          </cell>
          <cell r="J9591" t="str">
            <v>Ecommerce (US)</v>
          </cell>
          <cell r="K9591" t="str">
            <v>Ecommerce</v>
          </cell>
          <cell r="L9591" t="str">
            <v>Freight</v>
          </cell>
          <cell r="N9591" t="str">
            <v>Direct Costs</v>
          </cell>
          <cell r="O9591" t="str">
            <v>UPS Supply Chain Solutions Inc. (7F24A0)</v>
          </cell>
        </row>
        <row r="9592">
          <cell r="D9592">
            <v>8.57</v>
          </cell>
          <cell r="H9592">
            <v>45839</v>
          </cell>
          <cell r="I9592" t="str">
            <v>6375 - Freight Expenses</v>
          </cell>
          <cell r="J9592" t="str">
            <v>Ecommerce (US)</v>
          </cell>
          <cell r="K9592" t="str">
            <v>Ecommerce</v>
          </cell>
          <cell r="L9592" t="str">
            <v>Freight</v>
          </cell>
          <cell r="N9592" t="str">
            <v>Direct Costs</v>
          </cell>
          <cell r="O9592" t="str">
            <v>UPS Supply Chain Solutions Inc. (7F24A0)</v>
          </cell>
        </row>
        <row r="9593">
          <cell r="D9593">
            <v>0.43</v>
          </cell>
          <cell r="H9593">
            <v>45839</v>
          </cell>
          <cell r="I9593" t="str">
            <v>6375 - Freight Expenses</v>
          </cell>
          <cell r="J9593" t="str">
            <v>Ecommerce (US)</v>
          </cell>
          <cell r="K9593" t="str">
            <v>Ecommerce</v>
          </cell>
          <cell r="L9593" t="str">
            <v>Freight</v>
          </cell>
          <cell r="N9593" t="str">
            <v>Direct Costs</v>
          </cell>
          <cell r="O9593" t="str">
            <v>UPS Supply Chain Solutions Inc. (7F24A0)</v>
          </cell>
        </row>
        <row r="9594">
          <cell r="D9594">
            <v>69.239999999999995</v>
          </cell>
          <cell r="H9594">
            <v>45839</v>
          </cell>
          <cell r="I9594" t="str">
            <v>6375 - Freight Expenses</v>
          </cell>
          <cell r="J9594" t="str">
            <v>Ecommerce (US)</v>
          </cell>
          <cell r="K9594" t="str">
            <v>Ecommerce</v>
          </cell>
          <cell r="L9594" t="str">
            <v>Freight</v>
          </cell>
          <cell r="N9594" t="str">
            <v>Direct Costs</v>
          </cell>
          <cell r="O9594" t="str">
            <v>UPS Supply Chain Solutions Inc. (7F24A0)</v>
          </cell>
        </row>
        <row r="9595">
          <cell r="D9595">
            <v>22.7</v>
          </cell>
          <cell r="H9595">
            <v>45839</v>
          </cell>
          <cell r="I9595" t="str">
            <v>6375 - Freight Expenses</v>
          </cell>
          <cell r="J9595" t="str">
            <v>Ecommerce (US)</v>
          </cell>
          <cell r="K9595" t="str">
            <v>Ecommerce</v>
          </cell>
          <cell r="L9595" t="str">
            <v>Freight</v>
          </cell>
          <cell r="N9595" t="str">
            <v>Direct Costs</v>
          </cell>
          <cell r="O9595" t="str">
            <v>UPS Supply Chain Solutions Inc. (7F24A0)</v>
          </cell>
        </row>
        <row r="9596">
          <cell r="D9596">
            <v>31.78</v>
          </cell>
          <cell r="H9596">
            <v>45839</v>
          </cell>
          <cell r="I9596" t="str">
            <v>6375 - Freight Expenses</v>
          </cell>
          <cell r="J9596" t="str">
            <v>Ecommerce (US)</v>
          </cell>
          <cell r="K9596" t="str">
            <v>Ecommerce</v>
          </cell>
          <cell r="L9596" t="str">
            <v>Freight</v>
          </cell>
          <cell r="N9596" t="str">
            <v>Direct Costs</v>
          </cell>
          <cell r="O9596" t="str">
            <v>UPS Supply Chain Solutions Inc. (7F24A0)</v>
          </cell>
        </row>
        <row r="9597">
          <cell r="D9597">
            <v>8.58</v>
          </cell>
          <cell r="H9597">
            <v>45839</v>
          </cell>
          <cell r="I9597" t="str">
            <v>6375 - Freight Expenses</v>
          </cell>
          <cell r="J9597" t="str">
            <v>Ecommerce (US)</v>
          </cell>
          <cell r="K9597" t="str">
            <v>Ecommerce</v>
          </cell>
          <cell r="L9597" t="str">
            <v>Freight</v>
          </cell>
          <cell r="N9597" t="str">
            <v>Direct Costs</v>
          </cell>
          <cell r="O9597" t="str">
            <v>UPS Supply Chain Solutions Inc. (7F24A0)</v>
          </cell>
        </row>
        <row r="9598">
          <cell r="D9598">
            <v>0.43</v>
          </cell>
          <cell r="H9598">
            <v>45839</v>
          </cell>
          <cell r="I9598" t="str">
            <v>6375 - Freight Expenses</v>
          </cell>
          <cell r="J9598" t="str">
            <v>Ecommerce (US)</v>
          </cell>
          <cell r="K9598" t="str">
            <v>Ecommerce</v>
          </cell>
          <cell r="L9598" t="str">
            <v>Freight</v>
          </cell>
          <cell r="N9598" t="str">
            <v>Direct Costs</v>
          </cell>
          <cell r="O9598" t="str">
            <v>UPS Supply Chain Solutions Inc. (7F24A0)</v>
          </cell>
        </row>
        <row r="9599">
          <cell r="D9599">
            <v>55.39</v>
          </cell>
          <cell r="H9599">
            <v>45839</v>
          </cell>
          <cell r="I9599" t="str">
            <v>6375 - Freight Expenses</v>
          </cell>
          <cell r="J9599" t="str">
            <v>Ecommerce (US)</v>
          </cell>
          <cell r="K9599" t="str">
            <v>Ecommerce</v>
          </cell>
          <cell r="L9599" t="str">
            <v>Freight</v>
          </cell>
          <cell r="N9599" t="str">
            <v>Direct Costs</v>
          </cell>
          <cell r="O9599" t="str">
            <v>UPS Supply Chain Solutions Inc. (7F24A0)</v>
          </cell>
        </row>
        <row r="9600">
          <cell r="D9600">
            <v>47.2</v>
          </cell>
          <cell r="H9600">
            <v>45839</v>
          </cell>
          <cell r="I9600" t="str">
            <v>6375 - Freight Expenses</v>
          </cell>
          <cell r="J9600" t="str">
            <v>Ecommerce (US)</v>
          </cell>
          <cell r="K9600" t="str">
            <v>Ecommerce</v>
          </cell>
          <cell r="L9600" t="str">
            <v>Freight</v>
          </cell>
          <cell r="N9600" t="str">
            <v>Direct Costs</v>
          </cell>
          <cell r="O9600" t="str">
            <v>UPS Supply Chain Solutions Inc. (7F24A0)</v>
          </cell>
        </row>
        <row r="9601">
          <cell r="D9601">
            <v>49.47</v>
          </cell>
          <cell r="H9601">
            <v>45839</v>
          </cell>
          <cell r="I9601" t="str">
            <v>6375 - Freight Expenses</v>
          </cell>
          <cell r="J9601" t="str">
            <v>Ecommerce (US)</v>
          </cell>
          <cell r="K9601" t="str">
            <v>Ecommerce</v>
          </cell>
          <cell r="L9601" t="str">
            <v>Freight</v>
          </cell>
          <cell r="N9601" t="str">
            <v>Direct Costs</v>
          </cell>
          <cell r="O9601" t="str">
            <v>UPS Supply Chain Solutions Inc. (7F24A0)</v>
          </cell>
        </row>
        <row r="9602">
          <cell r="D9602">
            <v>45.7</v>
          </cell>
          <cell r="H9602">
            <v>45839</v>
          </cell>
          <cell r="I9602" t="str">
            <v>6375 - Freight Expenses</v>
          </cell>
          <cell r="J9602" t="str">
            <v>Ecommerce (US)</v>
          </cell>
          <cell r="K9602" t="str">
            <v>Ecommerce</v>
          </cell>
          <cell r="L9602" t="str">
            <v>Freight</v>
          </cell>
          <cell r="N9602" t="str">
            <v>Direct Costs</v>
          </cell>
          <cell r="O9602" t="str">
            <v>UPS Supply Chain Solutions Inc. (7F24A0)</v>
          </cell>
        </row>
        <row r="9603">
          <cell r="D9603">
            <v>8.5500000000000007</v>
          </cell>
          <cell r="H9603">
            <v>45839</v>
          </cell>
          <cell r="I9603" t="str">
            <v>6375 - Freight Expenses</v>
          </cell>
          <cell r="J9603" t="str">
            <v>Ecommerce (US)</v>
          </cell>
          <cell r="K9603" t="str">
            <v>Ecommerce</v>
          </cell>
          <cell r="L9603" t="str">
            <v>Freight</v>
          </cell>
          <cell r="N9603" t="str">
            <v>Direct Costs</v>
          </cell>
          <cell r="O9603" t="str">
            <v>UPS Supply Chain Solutions Inc. (7F24A0)</v>
          </cell>
        </row>
        <row r="9604">
          <cell r="D9604">
            <v>0.43</v>
          </cell>
          <cell r="H9604">
            <v>45839</v>
          </cell>
          <cell r="I9604" t="str">
            <v>6375 - Freight Expenses</v>
          </cell>
          <cell r="J9604" t="str">
            <v>Ecommerce (US)</v>
          </cell>
          <cell r="K9604" t="str">
            <v>Ecommerce</v>
          </cell>
          <cell r="L9604" t="str">
            <v>Freight</v>
          </cell>
          <cell r="N9604" t="str">
            <v>Direct Costs</v>
          </cell>
          <cell r="O9604" t="str">
            <v>UPS Supply Chain Solutions Inc. (7F24A0)</v>
          </cell>
        </row>
        <row r="9605">
          <cell r="D9605">
            <v>18.600000000000001</v>
          </cell>
          <cell r="H9605">
            <v>45839</v>
          </cell>
          <cell r="I9605" t="str">
            <v>6375 - Freight Expenses</v>
          </cell>
          <cell r="J9605" t="str">
            <v>Ecommerce (US)</v>
          </cell>
          <cell r="K9605" t="str">
            <v>Ecommerce</v>
          </cell>
          <cell r="L9605" t="str">
            <v>Freight</v>
          </cell>
          <cell r="N9605" t="str">
            <v>Direct Costs</v>
          </cell>
          <cell r="O9605" t="str">
            <v>UPS Supply Chain Solutions Inc. (7F24A0)</v>
          </cell>
        </row>
        <row r="9606">
          <cell r="D9606">
            <v>4.2</v>
          </cell>
          <cell r="H9606">
            <v>45839</v>
          </cell>
          <cell r="I9606" t="str">
            <v>6375 - Freight Expenses</v>
          </cell>
          <cell r="J9606">
            <v>0</v>
          </cell>
          <cell r="K9606" t="str">
            <v>Production</v>
          </cell>
          <cell r="L9606" t="str">
            <v>Freight</v>
          </cell>
          <cell r="N9606" t="str">
            <v>Direct Costs</v>
          </cell>
          <cell r="O9606" t="str">
            <v>Federal Express</v>
          </cell>
        </row>
        <row r="9607">
          <cell r="D9607">
            <v>1.5</v>
          </cell>
          <cell r="H9607">
            <v>45839</v>
          </cell>
          <cell r="I9607" t="str">
            <v>6375 - Freight Expenses</v>
          </cell>
          <cell r="J9607">
            <v>0</v>
          </cell>
          <cell r="K9607" t="str">
            <v>Production</v>
          </cell>
          <cell r="L9607" t="str">
            <v>Freight</v>
          </cell>
          <cell r="N9607" t="str">
            <v>Direct Costs</v>
          </cell>
          <cell r="O9607" t="str">
            <v>Federal Express</v>
          </cell>
        </row>
        <row r="9608">
          <cell r="D9608">
            <v>27</v>
          </cell>
          <cell r="H9608">
            <v>45839</v>
          </cell>
          <cell r="I9608" t="str">
            <v>6375 - Freight Expenses</v>
          </cell>
          <cell r="J9608">
            <v>0</v>
          </cell>
          <cell r="K9608" t="str">
            <v>Production</v>
          </cell>
          <cell r="L9608" t="str">
            <v>Freight</v>
          </cell>
          <cell r="N9608" t="str">
            <v>Direct Costs</v>
          </cell>
          <cell r="O9608" t="str">
            <v>Federal Express</v>
          </cell>
        </row>
        <row r="9609">
          <cell r="D9609">
            <v>153.41</v>
          </cell>
          <cell r="H9609">
            <v>45839</v>
          </cell>
          <cell r="I9609" t="str">
            <v>6375 - Freight Expenses</v>
          </cell>
          <cell r="J9609">
            <v>0</v>
          </cell>
          <cell r="K9609" t="str">
            <v>Production</v>
          </cell>
          <cell r="L9609" t="str">
            <v>Freight</v>
          </cell>
          <cell r="N9609" t="str">
            <v>Direct Costs</v>
          </cell>
          <cell r="O9609" t="str">
            <v>Federal Express</v>
          </cell>
        </row>
        <row r="9610">
          <cell r="D9610">
            <v>-422.77</v>
          </cell>
          <cell r="H9610">
            <v>45839</v>
          </cell>
          <cell r="I9610" t="str">
            <v>6375 - Freight Expenses</v>
          </cell>
          <cell r="J9610">
            <v>0</v>
          </cell>
          <cell r="K9610" t="str">
            <v>Production</v>
          </cell>
          <cell r="L9610" t="str">
            <v>Freight</v>
          </cell>
          <cell r="N9610" t="str">
            <v>Direct Costs</v>
          </cell>
          <cell r="O9610" t="str">
            <v>Federal Express</v>
          </cell>
        </row>
        <row r="9611">
          <cell r="D9611">
            <v>939.48</v>
          </cell>
          <cell r="H9611">
            <v>45839</v>
          </cell>
          <cell r="I9611" t="str">
            <v>6375 - Freight Expenses</v>
          </cell>
          <cell r="J9611">
            <v>0</v>
          </cell>
          <cell r="K9611" t="str">
            <v>Production</v>
          </cell>
          <cell r="L9611" t="str">
            <v>Freight</v>
          </cell>
          <cell r="N9611" t="str">
            <v>Direct Costs</v>
          </cell>
          <cell r="O9611" t="str">
            <v>Federal Express</v>
          </cell>
        </row>
        <row r="9612">
          <cell r="D9612">
            <v>24.76</v>
          </cell>
          <cell r="H9612">
            <v>45839</v>
          </cell>
          <cell r="I9612" t="str">
            <v>6375 - Freight Expenses</v>
          </cell>
          <cell r="J9612">
            <v>0</v>
          </cell>
          <cell r="K9612" t="str">
            <v>Production</v>
          </cell>
          <cell r="L9612" t="str">
            <v>Freight</v>
          </cell>
          <cell r="N9612" t="str">
            <v>Direct Costs</v>
          </cell>
          <cell r="O9612" t="str">
            <v>DHL Express - USA</v>
          </cell>
        </row>
        <row r="9613">
          <cell r="D9613">
            <v>855.48</v>
          </cell>
          <cell r="H9613">
            <v>45839</v>
          </cell>
          <cell r="I9613" t="str">
            <v>6375 - Freight Expenses</v>
          </cell>
          <cell r="J9613">
            <v>0</v>
          </cell>
          <cell r="K9613" t="str">
            <v>Production</v>
          </cell>
          <cell r="L9613" t="str">
            <v>Freight</v>
          </cell>
          <cell r="N9613" t="str">
            <v>Direct Costs</v>
          </cell>
          <cell r="O9613" t="str">
            <v>DHL Express - USA</v>
          </cell>
        </row>
        <row r="9614">
          <cell r="D9614">
            <v>104.63</v>
          </cell>
          <cell r="H9614">
            <v>45839</v>
          </cell>
          <cell r="I9614" t="str">
            <v>6375 - Freight Expenses</v>
          </cell>
          <cell r="J9614">
            <v>0</v>
          </cell>
          <cell r="K9614" t="str">
            <v>Production</v>
          </cell>
          <cell r="L9614" t="str">
            <v>Freight</v>
          </cell>
          <cell r="N9614" t="str">
            <v>Direct Costs</v>
          </cell>
          <cell r="O9614" t="str">
            <v>DHL Express - USA</v>
          </cell>
        </row>
        <row r="9615">
          <cell r="D9615">
            <v>515.66999999999996</v>
          </cell>
          <cell r="H9615">
            <v>45839</v>
          </cell>
          <cell r="I9615" t="str">
            <v>6375 - Freight Expenses</v>
          </cell>
          <cell r="J9615" t="str">
            <v>Ecommerce (US)</v>
          </cell>
          <cell r="K9615" t="str">
            <v>Ecommerce</v>
          </cell>
          <cell r="L9615" t="str">
            <v>Freight</v>
          </cell>
          <cell r="N9615" t="str">
            <v>Direct Costs</v>
          </cell>
          <cell r="O9615" t="str">
            <v>UPS Supply Chain Solutions Inc. (7F24A0)</v>
          </cell>
        </row>
        <row r="9616">
          <cell r="D9616">
            <v>13.18</v>
          </cell>
          <cell r="H9616">
            <v>45839</v>
          </cell>
          <cell r="I9616" t="str">
            <v>6375 - Freight Expenses</v>
          </cell>
          <cell r="J9616" t="str">
            <v>Ecommerce (US)</v>
          </cell>
          <cell r="K9616" t="str">
            <v>Ecommerce</v>
          </cell>
          <cell r="L9616" t="str">
            <v>Freight</v>
          </cell>
          <cell r="N9616" t="str">
            <v>Direct Costs</v>
          </cell>
          <cell r="O9616" t="str">
            <v>UPS Supply Chain Solutions Inc. (7F24A0)</v>
          </cell>
        </row>
        <row r="9617">
          <cell r="D9617">
            <v>13.18</v>
          </cell>
          <cell r="H9617">
            <v>45839</v>
          </cell>
          <cell r="I9617" t="str">
            <v>6375 - Freight Expenses</v>
          </cell>
          <cell r="J9617" t="str">
            <v>Ecommerce (US)</v>
          </cell>
          <cell r="K9617" t="str">
            <v>Ecommerce</v>
          </cell>
          <cell r="L9617" t="str">
            <v>Freight</v>
          </cell>
          <cell r="N9617" t="str">
            <v>Direct Costs</v>
          </cell>
          <cell r="O9617" t="str">
            <v>UPS Supply Chain Solutions Inc. (7F24A0)</v>
          </cell>
        </row>
        <row r="9618">
          <cell r="D9618">
            <v>8.39</v>
          </cell>
          <cell r="H9618">
            <v>45839</v>
          </cell>
          <cell r="I9618" t="str">
            <v>6375 - Freight Expenses</v>
          </cell>
          <cell r="J9618" t="str">
            <v>Ecommerce (US)</v>
          </cell>
          <cell r="K9618" t="str">
            <v>Ecommerce</v>
          </cell>
          <cell r="L9618" t="str">
            <v>Freight</v>
          </cell>
          <cell r="N9618" t="str">
            <v>Direct Costs</v>
          </cell>
          <cell r="O9618" t="str">
            <v>UPS Supply Chain Solutions Inc. (7F24A0)</v>
          </cell>
        </row>
        <row r="9619">
          <cell r="D9619">
            <v>37683.660000000003</v>
          </cell>
          <cell r="H9619">
            <v>45839</v>
          </cell>
          <cell r="I9619" t="str">
            <v>6375 - Freight Expenses</v>
          </cell>
          <cell r="J9619" t="str">
            <v>Ecommerce (US)</v>
          </cell>
          <cell r="K9619" t="str">
            <v>Ecommerce</v>
          </cell>
          <cell r="L9619" t="str">
            <v>Freight</v>
          </cell>
          <cell r="N9619" t="str">
            <v>Direct Costs</v>
          </cell>
          <cell r="O9619" t="str">
            <v>UPS Supply Chain Solutions Inc. (7F24A0)</v>
          </cell>
        </row>
        <row r="9620">
          <cell r="D9620">
            <v>337.61</v>
          </cell>
          <cell r="H9620">
            <v>45839</v>
          </cell>
          <cell r="I9620" t="str">
            <v>6375 - Freight Expenses</v>
          </cell>
          <cell r="J9620" t="str">
            <v>Wholesale</v>
          </cell>
          <cell r="K9620" t="str">
            <v>Wholesale</v>
          </cell>
          <cell r="L9620" t="str">
            <v>Freight</v>
          </cell>
          <cell r="N9620" t="str">
            <v>Direct Costs</v>
          </cell>
          <cell r="O9620" t="str">
            <v>UPS Supply Chain Solutions Inc. (7F24A0)</v>
          </cell>
        </row>
        <row r="9621">
          <cell r="D9621">
            <v>273.26</v>
          </cell>
          <cell r="H9621">
            <v>45839</v>
          </cell>
          <cell r="I9621" t="str">
            <v>6375 - Freight Expenses</v>
          </cell>
          <cell r="J9621" t="str">
            <v>Ecommerce (US)</v>
          </cell>
          <cell r="K9621" t="str">
            <v>Ecommerce</v>
          </cell>
          <cell r="L9621" t="str">
            <v>Freight</v>
          </cell>
          <cell r="N9621" t="str">
            <v>Direct Costs</v>
          </cell>
          <cell r="O9621" t="str">
            <v>UPS Supply Chain Solutions Inc. (7F24A0)</v>
          </cell>
        </row>
        <row r="9622">
          <cell r="D9622">
            <v>687.23</v>
          </cell>
          <cell r="H9622">
            <v>45839</v>
          </cell>
          <cell r="I9622" t="str">
            <v>6375 - Freight Expenses</v>
          </cell>
          <cell r="J9622" t="str">
            <v>Ecommerce (US)</v>
          </cell>
          <cell r="K9622" t="str">
            <v>Ecommerce</v>
          </cell>
          <cell r="L9622" t="str">
            <v>Freight</v>
          </cell>
          <cell r="N9622" t="str">
            <v>Direct Costs</v>
          </cell>
          <cell r="O9622" t="str">
            <v>UPS Supply Chain Solutions Inc. (7F24A0)</v>
          </cell>
        </row>
        <row r="9623">
          <cell r="D9623">
            <v>-48.56</v>
          </cell>
          <cell r="H9623">
            <v>45839</v>
          </cell>
          <cell r="I9623" t="str">
            <v>6375 - Freight Expenses</v>
          </cell>
          <cell r="J9623" t="str">
            <v>Ecommerce (US)</v>
          </cell>
          <cell r="K9623" t="str">
            <v>Ecommerce</v>
          </cell>
          <cell r="L9623" t="str">
            <v>Freight</v>
          </cell>
          <cell r="N9623" t="str">
            <v>Direct Costs</v>
          </cell>
          <cell r="O9623" t="str">
            <v>UPS Supply Chain Solutions Inc. (7F24A0)</v>
          </cell>
        </row>
        <row r="9624">
          <cell r="D9624">
            <v>863</v>
          </cell>
          <cell r="H9624">
            <v>45839</v>
          </cell>
          <cell r="I9624" t="str">
            <v>6375 - Freight Expenses</v>
          </cell>
          <cell r="J9624">
            <v>0</v>
          </cell>
          <cell r="K9624" t="str">
            <v>Production</v>
          </cell>
          <cell r="L9624" t="str">
            <v>Freight</v>
          </cell>
          <cell r="N9624" t="str">
            <v>Direct Costs</v>
          </cell>
          <cell r="O9624" t="str">
            <v>DHL Express - USA</v>
          </cell>
        </row>
        <row r="9625">
          <cell r="D9625">
            <v>0.36</v>
          </cell>
          <cell r="H9625">
            <v>45839</v>
          </cell>
          <cell r="I9625" t="str">
            <v>6375 - Freight Expenses</v>
          </cell>
          <cell r="J9625">
            <v>0</v>
          </cell>
          <cell r="K9625" t="str">
            <v>Production</v>
          </cell>
          <cell r="L9625" t="str">
            <v>Freight</v>
          </cell>
          <cell r="N9625" t="str">
            <v>Direct Costs</v>
          </cell>
          <cell r="O9625" t="str">
            <v>DHL Express - USA</v>
          </cell>
        </row>
        <row r="9626">
          <cell r="D9626">
            <v>11.95</v>
          </cell>
          <cell r="H9626">
            <v>45839</v>
          </cell>
          <cell r="I9626" t="str">
            <v>6375 - Freight Expenses</v>
          </cell>
          <cell r="J9626">
            <v>0</v>
          </cell>
          <cell r="K9626" t="str">
            <v>Production</v>
          </cell>
          <cell r="L9626" t="str">
            <v>Freight</v>
          </cell>
          <cell r="N9626" t="str">
            <v>Direct Costs</v>
          </cell>
          <cell r="O9626" t="str">
            <v>DHL Express - USA</v>
          </cell>
        </row>
        <row r="9627">
          <cell r="D9627">
            <v>4.4000000000000004</v>
          </cell>
          <cell r="H9627">
            <v>45839</v>
          </cell>
          <cell r="I9627" t="str">
            <v>6375 - Freight Expenses</v>
          </cell>
          <cell r="J9627">
            <v>0</v>
          </cell>
          <cell r="K9627" t="str">
            <v>Production</v>
          </cell>
          <cell r="L9627" t="str">
            <v>Freight</v>
          </cell>
          <cell r="N9627" t="str">
            <v>Direct Costs</v>
          </cell>
          <cell r="O9627" t="str">
            <v>DHL Express - USA</v>
          </cell>
        </row>
        <row r="9628">
          <cell r="D9628">
            <v>6</v>
          </cell>
          <cell r="H9628">
            <v>45839</v>
          </cell>
          <cell r="I9628" t="str">
            <v>6375 - Freight Expenses</v>
          </cell>
          <cell r="J9628">
            <v>0</v>
          </cell>
          <cell r="K9628" t="str">
            <v>Production</v>
          </cell>
          <cell r="L9628" t="str">
            <v>Freight</v>
          </cell>
          <cell r="N9628" t="str">
            <v>Direct Costs</v>
          </cell>
          <cell r="O9628" t="str">
            <v>DHL Express - USA</v>
          </cell>
        </row>
        <row r="9629">
          <cell r="D9629">
            <v>58.51</v>
          </cell>
          <cell r="H9629">
            <v>45839</v>
          </cell>
          <cell r="I9629" t="str">
            <v>6375 - Freight Expenses</v>
          </cell>
          <cell r="J9629">
            <v>0</v>
          </cell>
          <cell r="K9629" t="str">
            <v>Production</v>
          </cell>
          <cell r="L9629" t="str">
            <v>Freight</v>
          </cell>
          <cell r="N9629" t="str">
            <v>Direct Costs</v>
          </cell>
          <cell r="O9629" t="str">
            <v>DHL Express - USA</v>
          </cell>
        </row>
        <row r="9630">
          <cell r="D9630">
            <v>464.17</v>
          </cell>
          <cell r="H9630">
            <v>45839</v>
          </cell>
          <cell r="I9630" t="str">
            <v>6375 - Freight Expenses</v>
          </cell>
          <cell r="J9630" t="str">
            <v>Ecommerce (US)</v>
          </cell>
          <cell r="K9630" t="str">
            <v>Ecommerce</v>
          </cell>
          <cell r="L9630" t="str">
            <v>Freight</v>
          </cell>
          <cell r="N9630" t="str">
            <v>Direct Costs</v>
          </cell>
          <cell r="O9630" t="str">
            <v>UPS Supply Chain Solutions Inc. (7F24A0)</v>
          </cell>
        </row>
        <row r="9631">
          <cell r="D9631">
            <v>91.42</v>
          </cell>
          <cell r="H9631">
            <v>45839</v>
          </cell>
          <cell r="I9631" t="str">
            <v>6375 - Freight Expenses</v>
          </cell>
          <cell r="J9631">
            <v>0</v>
          </cell>
          <cell r="K9631" t="str">
            <v>Production</v>
          </cell>
          <cell r="L9631" t="str">
            <v>Freight</v>
          </cell>
          <cell r="N9631" t="str">
            <v>Direct Costs</v>
          </cell>
          <cell r="O9631" t="str">
            <v>DHL Express - USA</v>
          </cell>
        </row>
        <row r="9632">
          <cell r="D9632">
            <v>85.7</v>
          </cell>
          <cell r="H9632">
            <v>45839</v>
          </cell>
          <cell r="I9632" t="str">
            <v>6375 - Freight Expenses</v>
          </cell>
          <cell r="J9632" t="str">
            <v>Ecommerce (US)</v>
          </cell>
          <cell r="K9632" t="str">
            <v>Ecommerce</v>
          </cell>
          <cell r="L9632" t="str">
            <v>Freight</v>
          </cell>
          <cell r="N9632" t="str">
            <v>Direct Costs</v>
          </cell>
          <cell r="O9632" t="str">
            <v>UPS Supply Chain Solutions Inc. (7F24A0)</v>
          </cell>
        </row>
        <row r="9633">
          <cell r="D9633">
            <v>-59.58</v>
          </cell>
          <cell r="H9633">
            <v>45839</v>
          </cell>
          <cell r="I9633" t="str">
            <v>6375 - Freight Expenses</v>
          </cell>
          <cell r="J9633" t="str">
            <v>Ecommerce (US)</v>
          </cell>
          <cell r="K9633" t="str">
            <v>Ecommerce</v>
          </cell>
          <cell r="L9633" t="str">
            <v>Freight</v>
          </cell>
          <cell r="N9633" t="str">
            <v>Direct Costs</v>
          </cell>
          <cell r="O9633" t="str">
            <v>UPS Supply Chain Solutions Inc. (7F24A0)</v>
          </cell>
        </row>
        <row r="9634">
          <cell r="D9634">
            <v>1255.0899999999999</v>
          </cell>
          <cell r="H9634">
            <v>45839</v>
          </cell>
          <cell r="I9634" t="str">
            <v>6375 - Freight Expenses</v>
          </cell>
          <cell r="J9634" t="str">
            <v>Ecommerce (US)</v>
          </cell>
          <cell r="K9634" t="str">
            <v>Ecommerce</v>
          </cell>
          <cell r="L9634" t="str">
            <v>Freight</v>
          </cell>
          <cell r="N9634" t="str">
            <v>Direct Costs</v>
          </cell>
          <cell r="O9634" t="str">
            <v>UPS Supply Chain Solutions Inc. (7F24A0)</v>
          </cell>
        </row>
        <row r="9635">
          <cell r="D9635">
            <v>33242.21</v>
          </cell>
          <cell r="H9635">
            <v>45839</v>
          </cell>
          <cell r="I9635" t="str">
            <v>6375 - Freight Expenses</v>
          </cell>
          <cell r="J9635" t="str">
            <v>Ecommerce (US)</v>
          </cell>
          <cell r="K9635" t="str">
            <v>Ecommerce</v>
          </cell>
          <cell r="L9635" t="str">
            <v>Freight</v>
          </cell>
          <cell r="N9635" t="str">
            <v>Direct Costs</v>
          </cell>
          <cell r="O9635" t="str">
            <v>UPS Supply Chain Solutions Inc. (7F24A0)</v>
          </cell>
        </row>
        <row r="9636">
          <cell r="D9636">
            <v>457.98</v>
          </cell>
          <cell r="H9636">
            <v>45839</v>
          </cell>
          <cell r="I9636" t="str">
            <v>6375 - Freight Expenses</v>
          </cell>
          <cell r="J9636" t="str">
            <v>Wholesale</v>
          </cell>
          <cell r="K9636" t="str">
            <v>Wholesale</v>
          </cell>
          <cell r="L9636" t="str">
            <v>Freight</v>
          </cell>
          <cell r="N9636" t="str">
            <v>Direct Costs</v>
          </cell>
          <cell r="O9636" t="str">
            <v>UPS Supply Chain Solutions Inc. (7F24A0)</v>
          </cell>
        </row>
        <row r="9637">
          <cell r="D9637">
            <v>1136.55</v>
          </cell>
          <cell r="H9637">
            <v>45839</v>
          </cell>
          <cell r="I9637" t="str">
            <v>6375 - Freight Expenses</v>
          </cell>
          <cell r="J9637">
            <v>0</v>
          </cell>
          <cell r="K9637" t="str">
            <v>Production</v>
          </cell>
          <cell r="L9637" t="str">
            <v>Freight</v>
          </cell>
          <cell r="N9637" t="str">
            <v>Direct Costs</v>
          </cell>
          <cell r="O9637" t="str">
            <v>DHL Express - USA</v>
          </cell>
        </row>
        <row r="9638">
          <cell r="D9638">
            <v>834.37</v>
          </cell>
          <cell r="H9638">
            <v>45839</v>
          </cell>
          <cell r="I9638" t="str">
            <v>6375 - Freight Expenses</v>
          </cell>
          <cell r="J9638" t="str">
            <v>Ecommerce (US)</v>
          </cell>
          <cell r="K9638" t="str">
            <v>Ecommerce</v>
          </cell>
          <cell r="L9638" t="str">
            <v>Freight</v>
          </cell>
          <cell r="N9638" t="str">
            <v>Direct Costs</v>
          </cell>
          <cell r="O9638" t="str">
            <v>UPS Supply Chain Solutions Inc. (7F24A0)</v>
          </cell>
        </row>
        <row r="9639">
          <cell r="D9639">
            <v>406.42</v>
          </cell>
          <cell r="H9639">
            <v>45839</v>
          </cell>
          <cell r="I9639" t="str">
            <v>6375 - Freight Expenses</v>
          </cell>
          <cell r="J9639" t="str">
            <v>Ecommerce (US)</v>
          </cell>
          <cell r="K9639" t="str">
            <v>Ecommerce</v>
          </cell>
          <cell r="L9639" t="str">
            <v>Freight</v>
          </cell>
          <cell r="N9639" t="str">
            <v>Direct Costs</v>
          </cell>
          <cell r="O9639" t="str">
            <v>UPS Supply Chain Solutions Inc. (7F24A0)</v>
          </cell>
        </row>
        <row r="9640">
          <cell r="D9640">
            <v>285</v>
          </cell>
          <cell r="H9640">
            <v>45839</v>
          </cell>
          <cell r="I9640" t="str">
            <v>6375 - Freight Expenses</v>
          </cell>
          <cell r="J9640">
            <v>0</v>
          </cell>
          <cell r="K9640" t="str">
            <v>Administration</v>
          </cell>
          <cell r="L9640" t="str">
            <v>Freight</v>
          </cell>
          <cell r="N9640" t="str">
            <v>Direct Costs</v>
          </cell>
          <cell r="O9640" t="str">
            <v>GNS Co., LTD</v>
          </cell>
        </row>
        <row r="9641">
          <cell r="D9641">
            <v>27255.99</v>
          </cell>
          <cell r="H9641">
            <v>45839</v>
          </cell>
          <cell r="I9641" t="str">
            <v>6375 - Freight Expenses</v>
          </cell>
          <cell r="J9641" t="str">
            <v>Ecommerce (US)</v>
          </cell>
          <cell r="K9641" t="str">
            <v>Ecommerce</v>
          </cell>
          <cell r="L9641" t="str">
            <v>Freight</v>
          </cell>
          <cell r="N9641" t="str">
            <v>Direct Costs</v>
          </cell>
          <cell r="O9641" t="str">
            <v>UPS Supply Chain Solutions Inc. (7F24A0)</v>
          </cell>
        </row>
        <row r="9642">
          <cell r="D9642">
            <v>236.73</v>
          </cell>
          <cell r="H9642">
            <v>45839</v>
          </cell>
          <cell r="I9642" t="str">
            <v>6375 - Freight Expenses</v>
          </cell>
          <cell r="J9642" t="str">
            <v>Wholesale</v>
          </cell>
          <cell r="K9642" t="str">
            <v>Wholesale</v>
          </cell>
          <cell r="L9642" t="str">
            <v>Freight</v>
          </cell>
          <cell r="N9642" t="str">
            <v>Direct Costs</v>
          </cell>
          <cell r="O9642" t="str">
            <v>UPS Supply Chain Solutions Inc. (7F24A0)</v>
          </cell>
        </row>
        <row r="9643">
          <cell r="D9643">
            <v>175.56</v>
          </cell>
          <cell r="H9643">
            <v>45839</v>
          </cell>
          <cell r="I9643" t="str">
            <v>6375 - Freight Expenses</v>
          </cell>
          <cell r="J9643">
            <v>0</v>
          </cell>
          <cell r="K9643" t="str">
            <v>Production</v>
          </cell>
          <cell r="L9643" t="str">
            <v>Freight</v>
          </cell>
          <cell r="N9643" t="str">
            <v>Direct Costs</v>
          </cell>
          <cell r="O9643" t="str">
            <v>Federal Express</v>
          </cell>
        </row>
        <row r="9644">
          <cell r="D9644">
            <v>87.46</v>
          </cell>
          <cell r="H9644">
            <v>45839</v>
          </cell>
          <cell r="I9644" t="str">
            <v>6375 - Freight Expenses</v>
          </cell>
          <cell r="J9644" t="str">
            <v>Ecommerce (US)</v>
          </cell>
          <cell r="K9644" t="str">
            <v>Ecommerce</v>
          </cell>
          <cell r="L9644" t="str">
            <v>Freight</v>
          </cell>
          <cell r="N9644" t="str">
            <v>Direct Costs</v>
          </cell>
          <cell r="O9644" t="str">
            <v>UPS Supply Chain Solutions Inc. (7F24A0)</v>
          </cell>
        </row>
        <row r="9645">
          <cell r="D9645">
            <v>5.28</v>
          </cell>
          <cell r="H9645">
            <v>45839</v>
          </cell>
          <cell r="I9645" t="str">
            <v>6375 - Freight Expenses</v>
          </cell>
          <cell r="J9645" t="str">
            <v>Ecommerce (US)</v>
          </cell>
          <cell r="K9645" t="str">
            <v>Ecommerce</v>
          </cell>
          <cell r="L9645" t="str">
            <v>Freight</v>
          </cell>
          <cell r="N9645" t="str">
            <v>Direct Costs</v>
          </cell>
          <cell r="O9645" t="str">
            <v>UPS Supply Chain Solutions Inc. (7F24A0)</v>
          </cell>
        </row>
        <row r="9646">
          <cell r="D9646">
            <v>5000</v>
          </cell>
          <cell r="H9646">
            <v>45839</v>
          </cell>
          <cell r="I9646" t="str">
            <v>6375 - Freight Expenses</v>
          </cell>
          <cell r="J9646" t="str">
            <v>Ecommerce (US)</v>
          </cell>
          <cell r="K9646" t="str">
            <v>Ecommerce</v>
          </cell>
          <cell r="L9646" t="str">
            <v>Freight</v>
          </cell>
          <cell r="N9646" t="str">
            <v>Direct Costs</v>
          </cell>
          <cell r="O9646" t="str">
            <v>Easy Post</v>
          </cell>
        </row>
        <row r="9647">
          <cell r="D9647">
            <v>84.1</v>
          </cell>
          <cell r="H9647">
            <v>45839</v>
          </cell>
          <cell r="I9647" t="str">
            <v>6375 - Freight Expenses</v>
          </cell>
          <cell r="J9647" t="str">
            <v>Ecommerce (US)</v>
          </cell>
          <cell r="K9647" t="str">
            <v>Ecommerce</v>
          </cell>
          <cell r="L9647" t="str">
            <v>Freight</v>
          </cell>
          <cell r="N9647" t="str">
            <v>Direct Costs</v>
          </cell>
          <cell r="O9647" t="str">
            <v>UPS Supply Chain Solutions Inc. (7F24A0)</v>
          </cell>
        </row>
        <row r="9648">
          <cell r="D9648">
            <v>3.48</v>
          </cell>
          <cell r="H9648">
            <v>45839</v>
          </cell>
          <cell r="I9648" t="str">
            <v>6375 - Freight Expenses</v>
          </cell>
          <cell r="J9648">
            <v>0</v>
          </cell>
          <cell r="K9648" t="str">
            <v>Production</v>
          </cell>
          <cell r="L9648" t="str">
            <v>Freight</v>
          </cell>
          <cell r="N9648" t="str">
            <v>Direct Costs</v>
          </cell>
          <cell r="O9648" t="str">
            <v>DHL Express - USA</v>
          </cell>
        </row>
        <row r="9649">
          <cell r="D9649">
            <v>17</v>
          </cell>
          <cell r="H9649">
            <v>45839</v>
          </cell>
          <cell r="I9649" t="str">
            <v>6375 - Freight Expenses</v>
          </cell>
          <cell r="J9649">
            <v>0</v>
          </cell>
          <cell r="K9649" t="str">
            <v>Production</v>
          </cell>
          <cell r="L9649" t="str">
            <v>Freight</v>
          </cell>
          <cell r="N9649" t="str">
            <v>Direct Costs</v>
          </cell>
          <cell r="O9649" t="str">
            <v>DHL Express - USA</v>
          </cell>
        </row>
        <row r="9650">
          <cell r="D9650">
            <v>1.31</v>
          </cell>
          <cell r="H9650">
            <v>45839</v>
          </cell>
          <cell r="I9650" t="str">
            <v>6375 - Freight Expenses</v>
          </cell>
          <cell r="J9650">
            <v>0</v>
          </cell>
          <cell r="K9650" t="str">
            <v>Production</v>
          </cell>
          <cell r="L9650" t="str">
            <v>Freight</v>
          </cell>
          <cell r="N9650" t="str">
            <v>Direct Costs</v>
          </cell>
          <cell r="O9650" t="str">
            <v>DHL Express - USA</v>
          </cell>
        </row>
        <row r="9651">
          <cell r="D9651">
            <v>2.98</v>
          </cell>
          <cell r="H9651">
            <v>45839</v>
          </cell>
          <cell r="I9651" t="str">
            <v>6375 - Freight Expenses</v>
          </cell>
          <cell r="J9651">
            <v>0</v>
          </cell>
          <cell r="K9651" t="str">
            <v>Production</v>
          </cell>
          <cell r="L9651" t="str">
            <v>Freight</v>
          </cell>
          <cell r="N9651" t="str">
            <v>Direct Costs</v>
          </cell>
          <cell r="O9651" t="str">
            <v>DHL Express - USA</v>
          </cell>
        </row>
        <row r="9652">
          <cell r="D9652">
            <v>17</v>
          </cell>
          <cell r="H9652">
            <v>45839</v>
          </cell>
          <cell r="I9652" t="str">
            <v>6375 - Freight Expenses</v>
          </cell>
          <cell r="J9652">
            <v>0</v>
          </cell>
          <cell r="K9652" t="str">
            <v>Production</v>
          </cell>
          <cell r="L9652" t="str">
            <v>Freight</v>
          </cell>
          <cell r="N9652" t="str">
            <v>Direct Costs</v>
          </cell>
          <cell r="O9652" t="str">
            <v>DHL Express - USA</v>
          </cell>
        </row>
        <row r="9653">
          <cell r="D9653">
            <v>1.31</v>
          </cell>
          <cell r="H9653">
            <v>45839</v>
          </cell>
          <cell r="I9653" t="str">
            <v>6375 - Freight Expenses</v>
          </cell>
          <cell r="J9653">
            <v>0</v>
          </cell>
          <cell r="K9653" t="str">
            <v>Production</v>
          </cell>
          <cell r="L9653" t="str">
            <v>Freight</v>
          </cell>
          <cell r="N9653" t="str">
            <v>Direct Costs</v>
          </cell>
          <cell r="O9653" t="str">
            <v>DHL Express - USA</v>
          </cell>
        </row>
        <row r="9654">
          <cell r="D9654">
            <v>1288.2</v>
          </cell>
          <cell r="H9654">
            <v>45839</v>
          </cell>
          <cell r="I9654" t="str">
            <v>6375 - Freight Expenses</v>
          </cell>
          <cell r="J9654" t="str">
            <v>Ecommerce (US)</v>
          </cell>
          <cell r="K9654" t="str">
            <v>Ecommerce</v>
          </cell>
          <cell r="L9654" t="str">
            <v>Freight</v>
          </cell>
          <cell r="N9654" t="str">
            <v>Direct Costs</v>
          </cell>
          <cell r="O9654" t="str">
            <v>UPS Supply Chain Solutions Inc. (7F24A0)</v>
          </cell>
        </row>
        <row r="9655">
          <cell r="D9655">
            <v>20.96</v>
          </cell>
          <cell r="H9655">
            <v>45839</v>
          </cell>
          <cell r="I9655" t="str">
            <v>6375 - Freight Expenses</v>
          </cell>
          <cell r="J9655">
            <v>0</v>
          </cell>
          <cell r="K9655" t="str">
            <v>Production</v>
          </cell>
          <cell r="L9655" t="str">
            <v>Freight</v>
          </cell>
          <cell r="N9655" t="str">
            <v>Direct Costs</v>
          </cell>
          <cell r="O9655" t="str">
            <v>DHL Express - USA</v>
          </cell>
        </row>
        <row r="9656">
          <cell r="D9656">
            <v>17</v>
          </cell>
          <cell r="H9656">
            <v>45839</v>
          </cell>
          <cell r="I9656" t="str">
            <v>6375 - Freight Expenses</v>
          </cell>
          <cell r="J9656">
            <v>0</v>
          </cell>
          <cell r="K9656" t="str">
            <v>Production</v>
          </cell>
          <cell r="L9656" t="str">
            <v>Freight</v>
          </cell>
          <cell r="N9656" t="str">
            <v>Direct Costs</v>
          </cell>
          <cell r="O9656" t="str">
            <v>DHL Express - USA</v>
          </cell>
        </row>
        <row r="9657">
          <cell r="D9657">
            <v>1.31</v>
          </cell>
          <cell r="H9657">
            <v>45839</v>
          </cell>
          <cell r="I9657" t="str">
            <v>6375 - Freight Expenses</v>
          </cell>
          <cell r="J9657">
            <v>0</v>
          </cell>
          <cell r="K9657" t="str">
            <v>Production</v>
          </cell>
          <cell r="L9657" t="str">
            <v>Freight</v>
          </cell>
          <cell r="N9657" t="str">
            <v>Direct Costs</v>
          </cell>
          <cell r="O9657" t="str">
            <v>DHL Express - USA</v>
          </cell>
        </row>
        <row r="9658">
          <cell r="D9658">
            <v>4.4800000000000004</v>
          </cell>
          <cell r="H9658">
            <v>45839</v>
          </cell>
          <cell r="I9658" t="str">
            <v>6375 - Freight Expenses</v>
          </cell>
          <cell r="J9658">
            <v>0</v>
          </cell>
          <cell r="K9658" t="str">
            <v>Production</v>
          </cell>
          <cell r="L9658" t="str">
            <v>Freight</v>
          </cell>
          <cell r="N9658" t="str">
            <v>Direct Costs</v>
          </cell>
          <cell r="O9658" t="str">
            <v>DHL Express - USA</v>
          </cell>
        </row>
        <row r="9659">
          <cell r="D9659">
            <v>17</v>
          </cell>
          <cell r="H9659">
            <v>45839</v>
          </cell>
          <cell r="I9659" t="str">
            <v>6375 - Freight Expenses</v>
          </cell>
          <cell r="J9659">
            <v>0</v>
          </cell>
          <cell r="K9659" t="str">
            <v>Production</v>
          </cell>
          <cell r="L9659" t="str">
            <v>Freight</v>
          </cell>
          <cell r="N9659" t="str">
            <v>Direct Costs</v>
          </cell>
          <cell r="O9659" t="str">
            <v>DHL Express - USA</v>
          </cell>
        </row>
        <row r="9660">
          <cell r="D9660">
            <v>1.31</v>
          </cell>
          <cell r="H9660">
            <v>45839</v>
          </cell>
          <cell r="I9660" t="str">
            <v>6375 - Freight Expenses</v>
          </cell>
          <cell r="J9660">
            <v>0</v>
          </cell>
          <cell r="K9660" t="str">
            <v>Production</v>
          </cell>
          <cell r="L9660" t="str">
            <v>Freight</v>
          </cell>
          <cell r="N9660" t="str">
            <v>Direct Costs</v>
          </cell>
          <cell r="O9660" t="str">
            <v>DHL Express - USA</v>
          </cell>
        </row>
        <row r="9661">
          <cell r="D9661">
            <v>14.6</v>
          </cell>
          <cell r="H9661">
            <v>45839</v>
          </cell>
          <cell r="I9661" t="str">
            <v>6375 - Freight Expenses</v>
          </cell>
          <cell r="J9661">
            <v>0</v>
          </cell>
          <cell r="K9661" t="str">
            <v>Production</v>
          </cell>
          <cell r="L9661" t="str">
            <v>Freight</v>
          </cell>
          <cell r="N9661" t="str">
            <v>Direct Costs</v>
          </cell>
          <cell r="O9661" t="str">
            <v>DHL Express - USA</v>
          </cell>
        </row>
        <row r="9662">
          <cell r="D9662">
            <v>17</v>
          </cell>
          <cell r="H9662">
            <v>45839</v>
          </cell>
          <cell r="I9662" t="str">
            <v>6375 - Freight Expenses</v>
          </cell>
          <cell r="J9662">
            <v>0</v>
          </cell>
          <cell r="K9662" t="str">
            <v>Production</v>
          </cell>
          <cell r="L9662" t="str">
            <v>Freight</v>
          </cell>
          <cell r="N9662" t="str">
            <v>Direct Costs</v>
          </cell>
          <cell r="O9662" t="str">
            <v>DHL Express - USA</v>
          </cell>
        </row>
        <row r="9663">
          <cell r="D9663">
            <v>1.31</v>
          </cell>
          <cell r="H9663">
            <v>45839</v>
          </cell>
          <cell r="I9663" t="str">
            <v>6375 - Freight Expenses</v>
          </cell>
          <cell r="J9663">
            <v>0</v>
          </cell>
          <cell r="K9663" t="str">
            <v>Production</v>
          </cell>
          <cell r="L9663" t="str">
            <v>Freight</v>
          </cell>
          <cell r="N9663" t="str">
            <v>Direct Costs</v>
          </cell>
          <cell r="O9663" t="str">
            <v>DHL Express - USA</v>
          </cell>
        </row>
        <row r="9664">
          <cell r="D9664">
            <v>1495.82</v>
          </cell>
          <cell r="H9664">
            <v>45839</v>
          </cell>
          <cell r="I9664" t="str">
            <v>6375 - Freight Expenses</v>
          </cell>
          <cell r="J9664">
            <v>0</v>
          </cell>
          <cell r="K9664" t="str">
            <v>Production</v>
          </cell>
          <cell r="L9664" t="str">
            <v>Freight</v>
          </cell>
          <cell r="N9664" t="str">
            <v>Direct Costs</v>
          </cell>
          <cell r="O9664" t="str">
            <v>DHL Express - USA</v>
          </cell>
        </row>
        <row r="9665">
          <cell r="D9665">
            <v>181.05</v>
          </cell>
          <cell r="H9665">
            <v>45839</v>
          </cell>
          <cell r="I9665" t="str">
            <v>6375 - Freight Expenses</v>
          </cell>
          <cell r="J9665">
            <v>0</v>
          </cell>
          <cell r="K9665" t="str">
            <v>Production</v>
          </cell>
          <cell r="L9665" t="str">
            <v>Freight</v>
          </cell>
          <cell r="N9665" t="str">
            <v>Direct Costs</v>
          </cell>
          <cell r="O9665" t="str">
            <v>DHL Express - USA</v>
          </cell>
        </row>
        <row r="9666">
          <cell r="D9666">
            <v>47.33</v>
          </cell>
          <cell r="H9666">
            <v>45839</v>
          </cell>
          <cell r="I9666" t="str">
            <v>6375 - Freight Expenses</v>
          </cell>
          <cell r="J9666">
            <v>0</v>
          </cell>
          <cell r="K9666" t="str">
            <v>Production</v>
          </cell>
          <cell r="L9666" t="str">
            <v>Freight</v>
          </cell>
          <cell r="N9666" t="str">
            <v>Direct Costs</v>
          </cell>
          <cell r="O9666" t="str">
            <v>DHL Express - USA</v>
          </cell>
        </row>
        <row r="9667">
          <cell r="D9667">
            <v>117.86</v>
          </cell>
          <cell r="H9667">
            <v>45839</v>
          </cell>
          <cell r="I9667" t="str">
            <v>6375 - Freight Expenses</v>
          </cell>
          <cell r="J9667">
            <v>0</v>
          </cell>
          <cell r="K9667" t="str">
            <v>Production</v>
          </cell>
          <cell r="L9667" t="str">
            <v>Freight</v>
          </cell>
          <cell r="N9667" t="str">
            <v>Direct Costs</v>
          </cell>
          <cell r="O9667" t="str">
            <v>DHL Express - USA</v>
          </cell>
        </row>
        <row r="9668">
          <cell r="D9668">
            <v>1837.01</v>
          </cell>
          <cell r="H9668">
            <v>45839</v>
          </cell>
          <cell r="I9668" t="str">
            <v>6375 - Freight Expenses</v>
          </cell>
          <cell r="J9668">
            <v>0</v>
          </cell>
          <cell r="K9668" t="str">
            <v>Brand Marketing</v>
          </cell>
          <cell r="L9668" t="str">
            <v>Freight</v>
          </cell>
          <cell r="N9668" t="str">
            <v>Direct Costs</v>
          </cell>
          <cell r="O9668" t="str">
            <v>GFD Courier Corporation</v>
          </cell>
        </row>
        <row r="9669">
          <cell r="D9669">
            <v>152.37</v>
          </cell>
          <cell r="H9669">
            <v>45839</v>
          </cell>
          <cell r="I9669" t="str">
            <v>6375 - Freight Expenses</v>
          </cell>
          <cell r="J9669" t="str">
            <v>Ecommerce (US)</v>
          </cell>
          <cell r="K9669" t="str">
            <v>Ecommerce</v>
          </cell>
          <cell r="L9669" t="str">
            <v>Freight</v>
          </cell>
          <cell r="N9669" t="str">
            <v>Direct Costs</v>
          </cell>
          <cell r="O9669" t="str">
            <v>UPS Supply Chain Solutions Inc. (7F24A0)</v>
          </cell>
        </row>
        <row r="9670">
          <cell r="D9670">
            <v>-244.29</v>
          </cell>
          <cell r="H9670">
            <v>45839</v>
          </cell>
          <cell r="I9670" t="str">
            <v>6375 - Freight Expenses</v>
          </cell>
          <cell r="J9670">
            <v>0</v>
          </cell>
          <cell r="K9670" t="str">
            <v>No Department</v>
          </cell>
          <cell r="L9670" t="str">
            <v>Freight</v>
          </cell>
          <cell r="N9670" t="str">
            <v>Direct Costs</v>
          </cell>
          <cell r="O9670" t="str">
            <v>UPS Supply Chain Solutions Inc. (7F24A0)</v>
          </cell>
        </row>
        <row r="9671">
          <cell r="D9671">
            <v>4051.98</v>
          </cell>
          <cell r="H9671">
            <v>45839</v>
          </cell>
          <cell r="I9671" t="str">
            <v>6375 - Freight Expenses</v>
          </cell>
          <cell r="J9671" t="str">
            <v>Ecommerce (EU)</v>
          </cell>
          <cell r="K9671" t="str">
            <v>Ecommerce</v>
          </cell>
          <cell r="L9671" t="str">
            <v>Freight</v>
          </cell>
          <cell r="N9671" t="str">
            <v>Direct Costs</v>
          </cell>
          <cell r="O9671" t="str">
            <v>[No Vendor]</v>
          </cell>
        </row>
        <row r="9672">
          <cell r="D9672">
            <v>919.97</v>
          </cell>
          <cell r="H9672">
            <v>45839</v>
          </cell>
          <cell r="I9672" t="str">
            <v>6375 - Freight Expenses</v>
          </cell>
          <cell r="J9672" t="str">
            <v>Ecommerce (US)</v>
          </cell>
          <cell r="K9672" t="str">
            <v>Ecommerce</v>
          </cell>
          <cell r="L9672" t="str">
            <v>Freight</v>
          </cell>
          <cell r="N9672" t="str">
            <v>Direct Costs</v>
          </cell>
          <cell r="O9672" t="str">
            <v>Amazon</v>
          </cell>
        </row>
        <row r="9673">
          <cell r="D9673">
            <v>16000</v>
          </cell>
          <cell r="H9673">
            <v>45839</v>
          </cell>
          <cell r="I9673" t="str">
            <v>6375 - Freight Expenses</v>
          </cell>
          <cell r="J9673" t="str">
            <v>Ecommerce (US)</v>
          </cell>
          <cell r="K9673" t="str">
            <v>Ecommerce</v>
          </cell>
          <cell r="L9673" t="str">
            <v>Freight</v>
          </cell>
          <cell r="N9673" t="str">
            <v>Direct Costs</v>
          </cell>
          <cell r="O9673" t="str">
            <v>UPS Supply Chain Solutions Inc. (7F24A0)</v>
          </cell>
        </row>
        <row r="9674">
          <cell r="D9674">
            <v>-3079</v>
          </cell>
          <cell r="H9674">
            <v>45839</v>
          </cell>
          <cell r="I9674" t="str">
            <v>6375 - Freight Expenses</v>
          </cell>
          <cell r="J9674" t="str">
            <v>Ecommerce (US)</v>
          </cell>
          <cell r="K9674" t="str">
            <v>Ecommerce</v>
          </cell>
          <cell r="L9674" t="str">
            <v>Freight</v>
          </cell>
          <cell r="N9674" t="str">
            <v>Direct Costs</v>
          </cell>
          <cell r="O9674" t="str">
            <v>[No Vendor]</v>
          </cell>
        </row>
        <row r="9675">
          <cell r="D9675">
            <v>-58439.27</v>
          </cell>
          <cell r="H9675">
            <v>45839</v>
          </cell>
          <cell r="I9675" t="str">
            <v>6375 - Freight Expenses</v>
          </cell>
          <cell r="J9675" t="str">
            <v>Ecommerce (US)</v>
          </cell>
          <cell r="K9675" t="str">
            <v>Ecommerce</v>
          </cell>
          <cell r="L9675" t="str">
            <v>Freight</v>
          </cell>
          <cell r="N9675" t="str">
            <v>Direct Costs</v>
          </cell>
          <cell r="O9675" t="str">
            <v>[No Vendor]</v>
          </cell>
        </row>
        <row r="9676">
          <cell r="D9676">
            <v>-1630.2</v>
          </cell>
          <cell r="H9676">
            <v>45839</v>
          </cell>
          <cell r="I9676" t="str">
            <v>6375 - Freight Expenses</v>
          </cell>
          <cell r="J9676" t="str">
            <v>Wholesale</v>
          </cell>
          <cell r="K9676" t="str">
            <v>Wholesale</v>
          </cell>
          <cell r="L9676" t="str">
            <v>Freight</v>
          </cell>
          <cell r="N9676" t="str">
            <v>Direct Costs</v>
          </cell>
          <cell r="O9676" t="str">
            <v>[No Vendor]</v>
          </cell>
        </row>
        <row r="9677">
          <cell r="D9677">
            <v>161.75</v>
          </cell>
          <cell r="H9677">
            <v>45839</v>
          </cell>
          <cell r="I9677" t="str">
            <v>6376 - Freight Supplies Other</v>
          </cell>
          <cell r="J9677" t="str">
            <v>Ecommerce (US)</v>
          </cell>
          <cell r="K9677" t="str">
            <v>Ecommerce</v>
          </cell>
          <cell r="L9677" t="str">
            <v>Order Processing</v>
          </cell>
          <cell r="N9677" t="str">
            <v>Direct Costs</v>
          </cell>
          <cell r="O9677" t="str">
            <v>Robert Karp Container Corp</v>
          </cell>
        </row>
        <row r="9678">
          <cell r="D9678">
            <v>2200</v>
          </cell>
          <cell r="H9678">
            <v>45839</v>
          </cell>
          <cell r="I9678" t="str">
            <v>6376 - Freight Supplies Other</v>
          </cell>
          <cell r="J9678" t="str">
            <v>Ecommerce (US)</v>
          </cell>
          <cell r="K9678" t="str">
            <v>Ecommerce</v>
          </cell>
          <cell r="L9678" t="str">
            <v>Order Processing</v>
          </cell>
          <cell r="N9678" t="str">
            <v>Direct Costs</v>
          </cell>
          <cell r="O9678" t="str">
            <v>Robert Karp Container Corp</v>
          </cell>
        </row>
        <row r="9679">
          <cell r="D9679">
            <v>367.56</v>
          </cell>
          <cell r="H9679">
            <v>45839</v>
          </cell>
          <cell r="I9679" t="str">
            <v>6376 - Freight Supplies Other</v>
          </cell>
          <cell r="J9679" t="str">
            <v>Wholesale</v>
          </cell>
          <cell r="K9679" t="str">
            <v>Wholesale</v>
          </cell>
          <cell r="L9679" t="str">
            <v>Order Processing</v>
          </cell>
          <cell r="N9679" t="str">
            <v>Direct Costs</v>
          </cell>
          <cell r="O9679" t="str">
            <v>Bergen Logistics Corporation</v>
          </cell>
        </row>
        <row r="9680">
          <cell r="D9680">
            <v>4643.26</v>
          </cell>
          <cell r="H9680">
            <v>45839</v>
          </cell>
          <cell r="I9680" t="str">
            <v>6376 - Freight Supplies Other</v>
          </cell>
          <cell r="J9680" t="str">
            <v>Ecommerce (US)</v>
          </cell>
          <cell r="K9680" t="str">
            <v>Ecommerce</v>
          </cell>
          <cell r="L9680" t="str">
            <v>Order Processing</v>
          </cell>
          <cell r="N9680" t="str">
            <v>Direct Costs</v>
          </cell>
          <cell r="O9680" t="str">
            <v>Bergen Logistics Corporation</v>
          </cell>
        </row>
        <row r="9681">
          <cell r="D9681">
            <v>282</v>
          </cell>
          <cell r="H9681">
            <v>45839</v>
          </cell>
          <cell r="I9681" t="str">
            <v>6376 - Freight Supplies Other</v>
          </cell>
          <cell r="J9681" t="str">
            <v>Ecommerce (EU)</v>
          </cell>
          <cell r="K9681" t="str">
            <v>Ecommerce</v>
          </cell>
          <cell r="L9681" t="str">
            <v>Order Processing</v>
          </cell>
          <cell r="N9681" t="str">
            <v>Direct Costs</v>
          </cell>
          <cell r="O9681" t="str">
            <v>Bergen Logistics Corporation</v>
          </cell>
        </row>
        <row r="9682">
          <cell r="D9682">
            <v>274.49</v>
          </cell>
          <cell r="H9682">
            <v>45839</v>
          </cell>
          <cell r="I9682" t="str">
            <v>6376 - Freight Supplies Other</v>
          </cell>
          <cell r="J9682" t="str">
            <v>Wholesale</v>
          </cell>
          <cell r="K9682" t="str">
            <v>Wholesale</v>
          </cell>
          <cell r="L9682" t="str">
            <v>Order Processing</v>
          </cell>
          <cell r="N9682" t="str">
            <v>Direct Costs</v>
          </cell>
          <cell r="O9682" t="str">
            <v>Bergen Logistics Corporation</v>
          </cell>
        </row>
        <row r="9683">
          <cell r="D9683">
            <v>1476.65</v>
          </cell>
          <cell r="H9683">
            <v>45839</v>
          </cell>
          <cell r="I9683" t="str">
            <v>6376 - Freight Supplies Other</v>
          </cell>
          <cell r="J9683" t="str">
            <v>Ecommerce (US)</v>
          </cell>
          <cell r="K9683" t="str">
            <v>Ecommerce</v>
          </cell>
          <cell r="L9683" t="str">
            <v>Order Processing</v>
          </cell>
          <cell r="N9683" t="str">
            <v>Direct Costs</v>
          </cell>
          <cell r="O9683" t="str">
            <v>Bergen Logistics Corporation</v>
          </cell>
        </row>
        <row r="9684">
          <cell r="D9684">
            <v>87.84</v>
          </cell>
          <cell r="H9684">
            <v>45839</v>
          </cell>
          <cell r="I9684" t="str">
            <v>6376 - Freight Supplies Other</v>
          </cell>
          <cell r="J9684" t="str">
            <v>Ecommerce (EU)</v>
          </cell>
          <cell r="K9684" t="str">
            <v>Ecommerce</v>
          </cell>
          <cell r="L9684" t="str">
            <v>Order Processing</v>
          </cell>
          <cell r="N9684" t="str">
            <v>Direct Costs</v>
          </cell>
          <cell r="O9684" t="str">
            <v>Bergen Logistics Corporation</v>
          </cell>
        </row>
        <row r="9685">
          <cell r="D9685">
            <v>-87.8</v>
          </cell>
          <cell r="H9685">
            <v>45839</v>
          </cell>
          <cell r="I9685" t="str">
            <v>6377 - Order Processing Expenses (New)</v>
          </cell>
          <cell r="J9685" t="str">
            <v>Ecommerce (US)</v>
          </cell>
          <cell r="K9685" t="str">
            <v>No Department</v>
          </cell>
          <cell r="L9685" t="str">
            <v>Order Processing</v>
          </cell>
          <cell r="N9685" t="str">
            <v>Direct Costs</v>
          </cell>
          <cell r="O9685" t="str">
            <v>Bergen Logistics Corporation</v>
          </cell>
        </row>
        <row r="9686">
          <cell r="D9686">
            <v>-6.1</v>
          </cell>
          <cell r="H9686">
            <v>45839</v>
          </cell>
          <cell r="I9686" t="str">
            <v>6377 - Order Processing Expenses (New)</v>
          </cell>
          <cell r="J9686" t="str">
            <v>Ecommerce (US)</v>
          </cell>
          <cell r="K9686" t="str">
            <v>No Department</v>
          </cell>
          <cell r="L9686" t="str">
            <v>Order Processing</v>
          </cell>
          <cell r="N9686" t="str">
            <v>Direct Costs</v>
          </cell>
          <cell r="O9686" t="str">
            <v>Bergen Logistics Corporation</v>
          </cell>
        </row>
        <row r="9687">
          <cell r="D9687">
            <v>2533.71</v>
          </cell>
          <cell r="H9687">
            <v>45839</v>
          </cell>
          <cell r="I9687" t="str">
            <v>6377 - Order Processing Expenses (New)</v>
          </cell>
          <cell r="J9687" t="str">
            <v>Wholesale</v>
          </cell>
          <cell r="K9687" t="str">
            <v>Wholesale</v>
          </cell>
          <cell r="L9687" t="str">
            <v>Order Processing</v>
          </cell>
          <cell r="N9687" t="str">
            <v>Direct Costs</v>
          </cell>
          <cell r="O9687" t="str">
            <v>Bergen Logistics Corporation</v>
          </cell>
        </row>
        <row r="9688">
          <cell r="D9688">
            <v>28618.9</v>
          </cell>
          <cell r="H9688">
            <v>45839</v>
          </cell>
          <cell r="I9688" t="str">
            <v>6377 - Order Processing Expenses (New)</v>
          </cell>
          <cell r="J9688" t="str">
            <v>Ecommerce (US)</v>
          </cell>
          <cell r="K9688" t="str">
            <v>Ecommerce</v>
          </cell>
          <cell r="L9688" t="str">
            <v>Order Processing</v>
          </cell>
          <cell r="N9688" t="str">
            <v>Direct Costs</v>
          </cell>
          <cell r="O9688" t="str">
            <v>Bergen Logistics Corporation</v>
          </cell>
        </row>
        <row r="9689">
          <cell r="D9689">
            <v>1617.66</v>
          </cell>
          <cell r="H9689">
            <v>45839</v>
          </cell>
          <cell r="I9689" t="str">
            <v>6377 - Order Processing Expenses (New)</v>
          </cell>
          <cell r="J9689" t="str">
            <v>Ecommerce (EU)</v>
          </cell>
          <cell r="K9689" t="str">
            <v>Ecommerce</v>
          </cell>
          <cell r="L9689" t="str">
            <v>Order Processing</v>
          </cell>
          <cell r="N9689" t="str">
            <v>Direct Costs</v>
          </cell>
          <cell r="O9689" t="str">
            <v>Bergen Logistics Corporation</v>
          </cell>
        </row>
        <row r="9690">
          <cell r="D9690">
            <v>2221.08</v>
          </cell>
          <cell r="H9690">
            <v>45839</v>
          </cell>
          <cell r="I9690" t="str">
            <v>6377 - Order Processing Expenses (New)</v>
          </cell>
          <cell r="J9690" t="str">
            <v>Wholesale</v>
          </cell>
          <cell r="K9690" t="str">
            <v>Wholesale</v>
          </cell>
          <cell r="L9690" t="str">
            <v>Order Processing</v>
          </cell>
          <cell r="N9690" t="str">
            <v>Direct Costs</v>
          </cell>
          <cell r="O9690" t="str">
            <v>Bergen Logistics Corporation</v>
          </cell>
        </row>
        <row r="9691">
          <cell r="D9691">
            <v>19727.13</v>
          </cell>
          <cell r="H9691">
            <v>45839</v>
          </cell>
          <cell r="I9691" t="str">
            <v>6377 - Order Processing Expenses (New)</v>
          </cell>
          <cell r="J9691" t="str">
            <v>Ecommerce (US)</v>
          </cell>
          <cell r="K9691" t="str">
            <v>Ecommerce</v>
          </cell>
          <cell r="L9691" t="str">
            <v>Order Processing</v>
          </cell>
          <cell r="N9691" t="str">
            <v>Direct Costs</v>
          </cell>
          <cell r="O9691" t="str">
            <v>Bergen Logistics Corporation</v>
          </cell>
        </row>
        <row r="9692">
          <cell r="D9692">
            <v>1108.26</v>
          </cell>
          <cell r="H9692">
            <v>45839</v>
          </cell>
          <cell r="I9692" t="str">
            <v>6377 - Order Processing Expenses (New)</v>
          </cell>
          <cell r="J9692" t="str">
            <v>Ecommerce (EU)</v>
          </cell>
          <cell r="K9692" t="str">
            <v>Ecommerce</v>
          </cell>
          <cell r="L9692" t="str">
            <v>Order Processing</v>
          </cell>
          <cell r="N9692" t="str">
            <v>Direct Costs</v>
          </cell>
          <cell r="O9692" t="str">
            <v>Bergen Logistics Corporation</v>
          </cell>
        </row>
        <row r="9693">
          <cell r="D9693">
            <v>4545.9399999999996</v>
          </cell>
          <cell r="H9693">
            <v>45839</v>
          </cell>
          <cell r="I9693" t="str">
            <v>6377 - Order Processing Expenses (New)</v>
          </cell>
          <cell r="J9693" t="str">
            <v>Ecommerce (EU)</v>
          </cell>
          <cell r="K9693" t="str">
            <v>Ecommerce</v>
          </cell>
          <cell r="L9693" t="str">
            <v>Order Processing</v>
          </cell>
          <cell r="N9693" t="str">
            <v>Direct Costs</v>
          </cell>
          <cell r="O9693" t="str">
            <v>[No Vendor]</v>
          </cell>
        </row>
        <row r="9694">
          <cell r="D9694">
            <v>307.31</v>
          </cell>
          <cell r="H9694">
            <v>45839</v>
          </cell>
          <cell r="I9694" t="str">
            <v>6377 - Order Processing Expenses (New)</v>
          </cell>
          <cell r="J9694" t="str">
            <v>Ecommerce (US)</v>
          </cell>
          <cell r="K9694" t="str">
            <v>Ecommerce</v>
          </cell>
          <cell r="L9694" t="str">
            <v>Order Processing</v>
          </cell>
          <cell r="N9694" t="str">
            <v>Direct Costs</v>
          </cell>
          <cell r="O9694" t="str">
            <v>[No Vendor]</v>
          </cell>
        </row>
        <row r="9695">
          <cell r="D9695">
            <v>1576.67</v>
          </cell>
          <cell r="H9695">
            <v>45839</v>
          </cell>
          <cell r="I9695" t="str">
            <v>6379 - Warehouse Storage</v>
          </cell>
          <cell r="J9695" t="str">
            <v>Wholesale</v>
          </cell>
          <cell r="K9695" t="str">
            <v>Wholesale</v>
          </cell>
          <cell r="L9695" t="str">
            <v>Order Processing</v>
          </cell>
          <cell r="N9695" t="str">
            <v>Direct Costs</v>
          </cell>
          <cell r="O9695" t="str">
            <v>Bergen Logistics Corporation</v>
          </cell>
        </row>
        <row r="9696">
          <cell r="D9696">
            <v>14763.86</v>
          </cell>
          <cell r="H9696">
            <v>45839</v>
          </cell>
          <cell r="I9696" t="str">
            <v>6379 - Warehouse Storage</v>
          </cell>
          <cell r="J9696" t="str">
            <v>Ecommerce (US)</v>
          </cell>
          <cell r="K9696" t="str">
            <v>Ecommerce</v>
          </cell>
          <cell r="L9696" t="str">
            <v>Order Processing</v>
          </cell>
          <cell r="N9696" t="str">
            <v>Direct Costs</v>
          </cell>
          <cell r="O9696" t="str">
            <v>Bergen Logistics Corporation</v>
          </cell>
        </row>
        <row r="9697">
          <cell r="D9697">
            <v>1177.98</v>
          </cell>
          <cell r="H9697">
            <v>45839</v>
          </cell>
          <cell r="I9697" t="str">
            <v>6379 - Warehouse Storage</v>
          </cell>
          <cell r="J9697" t="str">
            <v>Ecommerce (EU)</v>
          </cell>
          <cell r="K9697" t="str">
            <v>Ecommerce</v>
          </cell>
          <cell r="L9697" t="str">
            <v>Order Processing</v>
          </cell>
          <cell r="N9697" t="str">
            <v>Direct Costs</v>
          </cell>
          <cell r="O9697" t="str">
            <v>Bergen Logistics Corporation</v>
          </cell>
        </row>
        <row r="9698">
          <cell r="D9698">
            <v>2119.4299999999998</v>
          </cell>
          <cell r="H9698">
            <v>45839</v>
          </cell>
          <cell r="I9698" t="str">
            <v>6379 - Warehouse Storage</v>
          </cell>
          <cell r="J9698" t="str">
            <v>Wholesale</v>
          </cell>
          <cell r="K9698" t="str">
            <v>Wholesale</v>
          </cell>
          <cell r="L9698" t="str">
            <v>Order Processing</v>
          </cell>
          <cell r="N9698" t="str">
            <v>Direct Costs</v>
          </cell>
          <cell r="O9698" t="str">
            <v>Bergen Logistics Corporation</v>
          </cell>
        </row>
        <row r="9699">
          <cell r="D9699">
            <v>20144</v>
          </cell>
          <cell r="H9699">
            <v>45839</v>
          </cell>
          <cell r="I9699" t="str">
            <v>6379 - Warehouse Storage</v>
          </cell>
          <cell r="J9699" t="str">
            <v>Ecommerce (US)</v>
          </cell>
          <cell r="K9699" t="str">
            <v>Ecommerce</v>
          </cell>
          <cell r="L9699" t="str">
            <v>Order Processing</v>
          </cell>
          <cell r="N9699" t="str">
            <v>Direct Costs</v>
          </cell>
          <cell r="O9699" t="str">
            <v>Bergen Logistics Corporation</v>
          </cell>
        </row>
        <row r="9700">
          <cell r="D9700">
            <v>1285.79</v>
          </cell>
          <cell r="H9700">
            <v>45839</v>
          </cell>
          <cell r="I9700" t="str">
            <v>6379 - Warehouse Storage</v>
          </cell>
          <cell r="J9700" t="str">
            <v>Ecommerce (EU)</v>
          </cell>
          <cell r="K9700" t="str">
            <v>Ecommerce</v>
          </cell>
          <cell r="L9700" t="str">
            <v>Order Processing</v>
          </cell>
          <cell r="N9700" t="str">
            <v>Direct Costs</v>
          </cell>
          <cell r="O9700" t="str">
            <v>Bergen Logistics Corporation</v>
          </cell>
        </row>
        <row r="9701">
          <cell r="D9701">
            <v>2124</v>
          </cell>
          <cell r="H9701">
            <v>45839</v>
          </cell>
          <cell r="I9701" t="str">
            <v>6380 - Legal &amp; Accounting</v>
          </cell>
          <cell r="J9701">
            <v>0</v>
          </cell>
          <cell r="K9701" t="str">
            <v>Administration</v>
          </cell>
          <cell r="L9701" t="str">
            <v>Professional Service</v>
          </cell>
          <cell r="N9701" t="str">
            <v>SG&amp;A</v>
          </cell>
          <cell r="O9701" t="str">
            <v>Greenwald Doherty LLP</v>
          </cell>
        </row>
        <row r="9702">
          <cell r="D9702">
            <v>10170.450000000001</v>
          </cell>
          <cell r="H9702">
            <v>45839</v>
          </cell>
          <cell r="I9702" t="str">
            <v>6380 - Legal &amp; Accounting</v>
          </cell>
          <cell r="J9702">
            <v>0</v>
          </cell>
          <cell r="K9702" t="str">
            <v>Administration</v>
          </cell>
          <cell r="L9702" t="str">
            <v>Professional Service</v>
          </cell>
          <cell r="N9702" t="str">
            <v>SG&amp;A</v>
          </cell>
          <cell r="O9702" t="str">
            <v>Bryan Cave Leighton Paisner LLP</v>
          </cell>
        </row>
        <row r="9703">
          <cell r="D9703">
            <v>5415.94</v>
          </cell>
          <cell r="H9703">
            <v>45839</v>
          </cell>
          <cell r="I9703" t="str">
            <v>6380 - Legal &amp; Accounting</v>
          </cell>
          <cell r="J9703">
            <v>0</v>
          </cell>
          <cell r="K9703" t="str">
            <v>Administration</v>
          </cell>
          <cell r="L9703" t="str">
            <v>Professional Service</v>
          </cell>
          <cell r="N9703" t="str">
            <v>SG&amp;A</v>
          </cell>
          <cell r="O9703" t="str">
            <v>Bryan Cave Leighton Paisner LLP</v>
          </cell>
        </row>
        <row r="9704">
          <cell r="D9704">
            <v>1000</v>
          </cell>
          <cell r="H9704">
            <v>45839</v>
          </cell>
          <cell r="I9704" t="str">
            <v>6380 - Legal &amp; Accounting</v>
          </cell>
          <cell r="J9704">
            <v>0</v>
          </cell>
          <cell r="K9704" t="str">
            <v>Administration</v>
          </cell>
          <cell r="L9704" t="str">
            <v>Professional Service</v>
          </cell>
          <cell r="N9704" t="str">
            <v>SG&amp;A</v>
          </cell>
          <cell r="O9704" t="str">
            <v>Ko &amp; Yun, LLP - Operations</v>
          </cell>
        </row>
        <row r="9705">
          <cell r="D9705">
            <v>500</v>
          </cell>
          <cell r="H9705">
            <v>45839</v>
          </cell>
          <cell r="I9705" t="str">
            <v>6380 - Legal &amp; Accounting</v>
          </cell>
          <cell r="J9705">
            <v>0</v>
          </cell>
          <cell r="K9705" t="str">
            <v>Administration</v>
          </cell>
          <cell r="L9705" t="str">
            <v>Professional Service</v>
          </cell>
          <cell r="N9705" t="str">
            <v>SG&amp;A</v>
          </cell>
          <cell r="O9705" t="str">
            <v>Ko &amp; Yun, LLP - IP Holding</v>
          </cell>
        </row>
        <row r="9706">
          <cell r="D9706">
            <v>2290</v>
          </cell>
          <cell r="H9706">
            <v>45839</v>
          </cell>
          <cell r="I9706" t="str">
            <v>6380 - Legal &amp; Accounting</v>
          </cell>
          <cell r="J9706">
            <v>0</v>
          </cell>
          <cell r="K9706" t="str">
            <v>Administration</v>
          </cell>
          <cell r="L9706" t="str">
            <v>Professional Service</v>
          </cell>
          <cell r="N9706" t="str">
            <v>SG&amp;A</v>
          </cell>
          <cell r="O9706" t="str">
            <v>Korus Legal P.C.</v>
          </cell>
        </row>
        <row r="9707">
          <cell r="D9707">
            <v>10726.58</v>
          </cell>
          <cell r="H9707">
            <v>45839</v>
          </cell>
          <cell r="I9707" t="str">
            <v>6380 - Legal &amp; Accounting</v>
          </cell>
          <cell r="J9707">
            <v>0</v>
          </cell>
          <cell r="K9707" t="str">
            <v>Administration</v>
          </cell>
          <cell r="L9707" t="str">
            <v>Professional Service</v>
          </cell>
          <cell r="N9707" t="str">
            <v>SG&amp;A</v>
          </cell>
          <cell r="O9707" t="str">
            <v>The Wave IP Law Firm</v>
          </cell>
        </row>
        <row r="9708">
          <cell r="D9708">
            <v>2001.3</v>
          </cell>
          <cell r="H9708">
            <v>45839</v>
          </cell>
          <cell r="I9708" t="str">
            <v>6385 - Insurance</v>
          </cell>
          <cell r="J9708">
            <v>0</v>
          </cell>
          <cell r="K9708" t="str">
            <v>Administration</v>
          </cell>
          <cell r="L9708" t="str">
            <v>Professional Service</v>
          </cell>
          <cell r="N9708" t="str">
            <v>SG&amp;A</v>
          </cell>
          <cell r="O9708" t="str">
            <v>The Hartford</v>
          </cell>
        </row>
        <row r="9709">
          <cell r="D9709">
            <v>32.03</v>
          </cell>
          <cell r="H9709">
            <v>45839</v>
          </cell>
          <cell r="I9709" t="str">
            <v>6385 - Insurance</v>
          </cell>
          <cell r="J9709">
            <v>0</v>
          </cell>
          <cell r="K9709" t="str">
            <v>Administration</v>
          </cell>
          <cell r="L9709" t="str">
            <v>Professional Service</v>
          </cell>
          <cell r="N9709" t="str">
            <v>SG&amp;A</v>
          </cell>
          <cell r="O9709" t="str">
            <v>[No Vendor]</v>
          </cell>
        </row>
        <row r="9710">
          <cell r="D9710">
            <v>44.29</v>
          </cell>
          <cell r="H9710">
            <v>45839</v>
          </cell>
          <cell r="I9710" t="str">
            <v>6385 - Insurance</v>
          </cell>
          <cell r="J9710">
            <v>0</v>
          </cell>
          <cell r="K9710" t="str">
            <v>Administration</v>
          </cell>
          <cell r="L9710" t="str">
            <v>Professional Service</v>
          </cell>
          <cell r="N9710" t="str">
            <v>SG&amp;A</v>
          </cell>
          <cell r="O9710" t="str">
            <v>[No Vendor]</v>
          </cell>
        </row>
        <row r="9711">
          <cell r="D9711">
            <v>51.08</v>
          </cell>
          <cell r="H9711">
            <v>45839</v>
          </cell>
          <cell r="I9711" t="str">
            <v>6385 - Insurance</v>
          </cell>
          <cell r="J9711">
            <v>0</v>
          </cell>
          <cell r="K9711" t="str">
            <v>Administration</v>
          </cell>
          <cell r="L9711" t="str">
            <v>Professional Service</v>
          </cell>
          <cell r="N9711" t="str">
            <v>SG&amp;A</v>
          </cell>
          <cell r="O9711" t="str">
            <v>[No Vendor]</v>
          </cell>
        </row>
        <row r="9712">
          <cell r="D9712">
            <v>0.72</v>
          </cell>
          <cell r="H9712">
            <v>45839</v>
          </cell>
          <cell r="I9712" t="str">
            <v>6385 - Insurance</v>
          </cell>
          <cell r="J9712">
            <v>0</v>
          </cell>
          <cell r="K9712" t="str">
            <v>Administration</v>
          </cell>
          <cell r="L9712" t="str">
            <v>Professional Service</v>
          </cell>
          <cell r="N9712" t="str">
            <v>SG&amp;A</v>
          </cell>
          <cell r="O9712" t="str">
            <v>[No Vendor]</v>
          </cell>
        </row>
        <row r="9713">
          <cell r="D9713">
            <v>7.43</v>
          </cell>
          <cell r="H9713">
            <v>45839</v>
          </cell>
          <cell r="I9713" t="str">
            <v>6385 - Insurance</v>
          </cell>
          <cell r="J9713">
            <v>0</v>
          </cell>
          <cell r="K9713" t="str">
            <v>Administration</v>
          </cell>
          <cell r="L9713" t="str">
            <v>Professional Service</v>
          </cell>
          <cell r="N9713" t="str">
            <v>SG&amp;A</v>
          </cell>
          <cell r="O9713" t="str">
            <v>[No Vendor]</v>
          </cell>
        </row>
        <row r="9714">
          <cell r="D9714">
            <v>37.42</v>
          </cell>
          <cell r="H9714">
            <v>45839</v>
          </cell>
          <cell r="I9714" t="str">
            <v>6385 - Insurance</v>
          </cell>
          <cell r="J9714">
            <v>0</v>
          </cell>
          <cell r="K9714" t="str">
            <v>Administration</v>
          </cell>
          <cell r="L9714" t="str">
            <v>Professional Service</v>
          </cell>
          <cell r="N9714" t="str">
            <v>SG&amp;A</v>
          </cell>
          <cell r="O9714" t="str">
            <v>[No Vendor]</v>
          </cell>
        </row>
        <row r="9715">
          <cell r="D9715">
            <v>8.51</v>
          </cell>
          <cell r="H9715">
            <v>45839</v>
          </cell>
          <cell r="I9715" t="str">
            <v>6385 - Insurance</v>
          </cell>
          <cell r="J9715">
            <v>0</v>
          </cell>
          <cell r="K9715" t="str">
            <v>Administration</v>
          </cell>
          <cell r="L9715" t="str">
            <v>Professional Service</v>
          </cell>
          <cell r="N9715" t="str">
            <v>SG&amp;A</v>
          </cell>
          <cell r="O9715" t="str">
            <v>[No Vendor]</v>
          </cell>
        </row>
        <row r="9716">
          <cell r="D9716">
            <v>22.52</v>
          </cell>
          <cell r="H9716">
            <v>45839</v>
          </cell>
          <cell r="I9716" t="str">
            <v>6385 - Insurance</v>
          </cell>
          <cell r="J9716">
            <v>0</v>
          </cell>
          <cell r="K9716" t="str">
            <v>Administration</v>
          </cell>
          <cell r="L9716" t="str">
            <v>Professional Service</v>
          </cell>
          <cell r="N9716" t="str">
            <v>SG&amp;A</v>
          </cell>
          <cell r="O9716" t="str">
            <v>[No Vendor]</v>
          </cell>
        </row>
        <row r="9717">
          <cell r="D9717">
            <v>425.76</v>
          </cell>
          <cell r="H9717">
            <v>45839</v>
          </cell>
          <cell r="I9717" t="str">
            <v>6385 - Insurance</v>
          </cell>
          <cell r="J9717">
            <v>0</v>
          </cell>
          <cell r="K9717" t="str">
            <v>Administration</v>
          </cell>
          <cell r="L9717" t="str">
            <v>Professional Service</v>
          </cell>
          <cell r="N9717" t="str">
            <v>SG&amp;A</v>
          </cell>
          <cell r="O9717" t="str">
            <v>The Hartford</v>
          </cell>
        </row>
        <row r="9718">
          <cell r="D9718">
            <v>-56.12</v>
          </cell>
          <cell r="H9718">
            <v>45839</v>
          </cell>
          <cell r="I9718" t="str">
            <v>6385 - Insurance</v>
          </cell>
          <cell r="J9718">
            <v>0</v>
          </cell>
          <cell r="K9718" t="str">
            <v>Administration</v>
          </cell>
          <cell r="L9718" t="str">
            <v>Professional Service</v>
          </cell>
          <cell r="N9718" t="str">
            <v>SG&amp;A</v>
          </cell>
          <cell r="O9718" t="str">
            <v>[No Vendor]</v>
          </cell>
        </row>
        <row r="9719">
          <cell r="D9719">
            <v>-68</v>
          </cell>
          <cell r="H9719">
            <v>45839</v>
          </cell>
          <cell r="I9719" t="str">
            <v>6385 - Insurance</v>
          </cell>
          <cell r="J9719">
            <v>0</v>
          </cell>
          <cell r="K9719" t="str">
            <v>Administration</v>
          </cell>
          <cell r="L9719" t="str">
            <v>Professional Service</v>
          </cell>
          <cell r="N9719" t="str">
            <v>SG&amp;A</v>
          </cell>
          <cell r="O9719" t="str">
            <v>[No Vendor]</v>
          </cell>
        </row>
        <row r="9720">
          <cell r="D9720">
            <v>-85.14</v>
          </cell>
          <cell r="H9720">
            <v>45839</v>
          </cell>
          <cell r="I9720" t="str">
            <v>6385 - Insurance</v>
          </cell>
          <cell r="J9720">
            <v>0</v>
          </cell>
          <cell r="K9720" t="str">
            <v>Administration</v>
          </cell>
          <cell r="L9720" t="str">
            <v>Professional Service</v>
          </cell>
          <cell r="N9720" t="str">
            <v>SG&amp;A</v>
          </cell>
          <cell r="O9720" t="str">
            <v>[No Vendor]</v>
          </cell>
        </row>
        <row r="9721">
          <cell r="D9721">
            <v>-1.2</v>
          </cell>
          <cell r="H9721">
            <v>45839</v>
          </cell>
          <cell r="I9721" t="str">
            <v>6385 - Insurance</v>
          </cell>
          <cell r="J9721">
            <v>0</v>
          </cell>
          <cell r="K9721" t="str">
            <v>Administration</v>
          </cell>
          <cell r="L9721" t="str">
            <v>Professional Service</v>
          </cell>
          <cell r="N9721" t="str">
            <v>SG&amp;A</v>
          </cell>
          <cell r="O9721" t="str">
            <v>[No Vendor]</v>
          </cell>
        </row>
        <row r="9722">
          <cell r="D9722">
            <v>-12.39</v>
          </cell>
          <cell r="H9722">
            <v>45839</v>
          </cell>
          <cell r="I9722" t="str">
            <v>6385 - Insurance</v>
          </cell>
          <cell r="J9722">
            <v>0</v>
          </cell>
          <cell r="K9722" t="str">
            <v>Administration</v>
          </cell>
          <cell r="L9722" t="str">
            <v>Professional Service</v>
          </cell>
          <cell r="N9722" t="str">
            <v>SG&amp;A</v>
          </cell>
          <cell r="O9722" t="str">
            <v>[No Vendor]</v>
          </cell>
        </row>
        <row r="9723">
          <cell r="D9723">
            <v>-63.82</v>
          </cell>
          <cell r="H9723">
            <v>45839</v>
          </cell>
          <cell r="I9723" t="str">
            <v>6385 - Insurance</v>
          </cell>
          <cell r="J9723">
            <v>0</v>
          </cell>
          <cell r="K9723" t="str">
            <v>Administration</v>
          </cell>
          <cell r="L9723" t="str">
            <v>Professional Service</v>
          </cell>
          <cell r="N9723" t="str">
            <v>SG&amp;A</v>
          </cell>
          <cell r="O9723" t="str">
            <v>[No Vendor]</v>
          </cell>
        </row>
        <row r="9724">
          <cell r="D9724">
            <v>-14.18</v>
          </cell>
          <cell r="H9724">
            <v>45839</v>
          </cell>
          <cell r="I9724" t="str">
            <v>6385 - Insurance</v>
          </cell>
          <cell r="J9724">
            <v>0</v>
          </cell>
          <cell r="K9724" t="str">
            <v>Administration</v>
          </cell>
          <cell r="L9724" t="str">
            <v>Professional Service</v>
          </cell>
          <cell r="N9724" t="str">
            <v>SG&amp;A</v>
          </cell>
          <cell r="O9724" t="str">
            <v>[No Vendor]</v>
          </cell>
        </row>
        <row r="9725">
          <cell r="D9725">
            <v>-49.27</v>
          </cell>
          <cell r="H9725">
            <v>45839</v>
          </cell>
          <cell r="I9725" t="str">
            <v>6385 - Insurance</v>
          </cell>
          <cell r="J9725">
            <v>0</v>
          </cell>
          <cell r="K9725" t="str">
            <v>Administration</v>
          </cell>
          <cell r="L9725" t="str">
            <v>Professional Service</v>
          </cell>
          <cell r="N9725" t="str">
            <v>SG&amp;A</v>
          </cell>
          <cell r="O9725" t="str">
            <v>[No Vendor]</v>
          </cell>
        </row>
        <row r="9726">
          <cell r="D9726">
            <v>-53.38</v>
          </cell>
          <cell r="H9726">
            <v>45839</v>
          </cell>
          <cell r="I9726" t="str">
            <v>6385 - Insurance</v>
          </cell>
          <cell r="J9726">
            <v>0</v>
          </cell>
          <cell r="K9726" t="str">
            <v>Administration</v>
          </cell>
          <cell r="L9726" t="str">
            <v>Professional Service</v>
          </cell>
          <cell r="N9726" t="str">
            <v>SG&amp;A</v>
          </cell>
          <cell r="O9726" t="str">
            <v>[No Vendor]</v>
          </cell>
        </row>
        <row r="9727">
          <cell r="D9727">
            <v>-66.599999999999994</v>
          </cell>
          <cell r="H9727">
            <v>45839</v>
          </cell>
          <cell r="I9727" t="str">
            <v>6385 - Insurance</v>
          </cell>
          <cell r="J9727">
            <v>0</v>
          </cell>
          <cell r="K9727" t="str">
            <v>Administration</v>
          </cell>
          <cell r="L9727" t="str">
            <v>Professional Service</v>
          </cell>
          <cell r="N9727" t="str">
            <v>SG&amp;A</v>
          </cell>
          <cell r="O9727" t="str">
            <v>[No Vendor]</v>
          </cell>
        </row>
        <row r="9728">
          <cell r="D9728">
            <v>-85.14</v>
          </cell>
          <cell r="H9728">
            <v>45839</v>
          </cell>
          <cell r="I9728" t="str">
            <v>6385 - Insurance</v>
          </cell>
          <cell r="J9728">
            <v>0</v>
          </cell>
          <cell r="K9728" t="str">
            <v>Administration</v>
          </cell>
          <cell r="L9728" t="str">
            <v>Professional Service</v>
          </cell>
          <cell r="N9728" t="str">
            <v>SG&amp;A</v>
          </cell>
          <cell r="O9728" t="str">
            <v>[No Vendor]</v>
          </cell>
        </row>
        <row r="9729">
          <cell r="D9729">
            <v>-1.2</v>
          </cell>
          <cell r="H9729">
            <v>45839</v>
          </cell>
          <cell r="I9729" t="str">
            <v>6385 - Insurance</v>
          </cell>
          <cell r="J9729">
            <v>0</v>
          </cell>
          <cell r="K9729" t="str">
            <v>Administration</v>
          </cell>
          <cell r="L9729" t="str">
            <v>Professional Service</v>
          </cell>
          <cell r="N9729" t="str">
            <v>SG&amp;A</v>
          </cell>
          <cell r="O9729" t="str">
            <v>[No Vendor]</v>
          </cell>
        </row>
        <row r="9730">
          <cell r="D9730">
            <v>-12.39</v>
          </cell>
          <cell r="H9730">
            <v>45839</v>
          </cell>
          <cell r="I9730" t="str">
            <v>6385 - Insurance</v>
          </cell>
          <cell r="J9730">
            <v>0</v>
          </cell>
          <cell r="K9730" t="str">
            <v>Administration</v>
          </cell>
          <cell r="L9730" t="str">
            <v>Professional Service</v>
          </cell>
          <cell r="N9730" t="str">
            <v>SG&amp;A</v>
          </cell>
          <cell r="O9730" t="str">
            <v>[No Vendor]</v>
          </cell>
        </row>
        <row r="9731">
          <cell r="D9731">
            <v>-62.37</v>
          </cell>
          <cell r="H9731">
            <v>45839</v>
          </cell>
          <cell r="I9731" t="str">
            <v>6385 - Insurance</v>
          </cell>
          <cell r="J9731">
            <v>0</v>
          </cell>
          <cell r="K9731" t="str">
            <v>Administration</v>
          </cell>
          <cell r="L9731" t="str">
            <v>Professional Service</v>
          </cell>
          <cell r="N9731" t="str">
            <v>SG&amp;A</v>
          </cell>
          <cell r="O9731" t="str">
            <v>[No Vendor]</v>
          </cell>
        </row>
        <row r="9732">
          <cell r="D9732">
            <v>-14.18</v>
          </cell>
          <cell r="H9732">
            <v>45839</v>
          </cell>
          <cell r="I9732" t="str">
            <v>6385 - Insurance</v>
          </cell>
          <cell r="J9732">
            <v>0</v>
          </cell>
          <cell r="K9732" t="str">
            <v>Administration</v>
          </cell>
          <cell r="L9732" t="str">
            <v>Professional Service</v>
          </cell>
          <cell r="N9732" t="str">
            <v>SG&amp;A</v>
          </cell>
          <cell r="O9732" t="str">
            <v>[No Vendor]</v>
          </cell>
        </row>
        <row r="9733">
          <cell r="D9733">
            <v>-16.12</v>
          </cell>
          <cell r="H9733">
            <v>45839</v>
          </cell>
          <cell r="I9733" t="str">
            <v>6385 - Insurance</v>
          </cell>
          <cell r="J9733">
            <v>0</v>
          </cell>
          <cell r="K9733" t="str">
            <v>Administration</v>
          </cell>
          <cell r="L9733" t="str">
            <v>Professional Service</v>
          </cell>
          <cell r="N9733" t="str">
            <v>SG&amp;A</v>
          </cell>
          <cell r="O9733" t="str">
            <v>[No Vendor]</v>
          </cell>
        </row>
        <row r="9734">
          <cell r="D9734">
            <v>428.3</v>
          </cell>
          <cell r="H9734">
            <v>45839</v>
          </cell>
          <cell r="I9734" t="str">
            <v>6385 - Insurance</v>
          </cell>
          <cell r="J9734">
            <v>0</v>
          </cell>
          <cell r="K9734" t="str">
            <v>Administration</v>
          </cell>
          <cell r="L9734" t="str">
            <v>Professional Service</v>
          </cell>
          <cell r="N9734" t="str">
            <v>SG&amp;A</v>
          </cell>
          <cell r="O9734" t="str">
            <v>Travelers CL Remittance Center</v>
          </cell>
        </row>
        <row r="9735">
          <cell r="D9735">
            <v>1062.5</v>
          </cell>
          <cell r="H9735">
            <v>45839</v>
          </cell>
          <cell r="I9735" t="str">
            <v>6385 - Insurance</v>
          </cell>
          <cell r="J9735">
            <v>0</v>
          </cell>
          <cell r="K9735" t="str">
            <v>Administration</v>
          </cell>
          <cell r="L9735" t="str">
            <v>Professional Service</v>
          </cell>
          <cell r="N9735" t="str">
            <v>SG&amp;A</v>
          </cell>
          <cell r="O9735" t="str">
            <v>[No Vendor]</v>
          </cell>
        </row>
        <row r="9736">
          <cell r="D9736">
            <v>-76.63</v>
          </cell>
          <cell r="H9736">
            <v>45839</v>
          </cell>
          <cell r="I9736" t="str">
            <v>6385 - Insurance</v>
          </cell>
          <cell r="J9736">
            <v>0</v>
          </cell>
          <cell r="K9736" t="str">
            <v>Administration</v>
          </cell>
          <cell r="L9736" t="str">
            <v>Professional Service</v>
          </cell>
          <cell r="N9736" t="str">
            <v>SG&amp;A</v>
          </cell>
          <cell r="O9736" t="str">
            <v>[No Vendor]</v>
          </cell>
        </row>
        <row r="9737">
          <cell r="D9737">
            <v>-1.08</v>
          </cell>
          <cell r="H9737">
            <v>45839</v>
          </cell>
          <cell r="I9737" t="str">
            <v>6385 - Insurance</v>
          </cell>
          <cell r="J9737">
            <v>0</v>
          </cell>
          <cell r="K9737" t="str">
            <v>Administration</v>
          </cell>
          <cell r="L9737" t="str">
            <v>Professional Service</v>
          </cell>
          <cell r="N9737" t="str">
            <v>SG&amp;A</v>
          </cell>
          <cell r="O9737" t="str">
            <v>[No Vendor]</v>
          </cell>
        </row>
        <row r="9738">
          <cell r="D9738">
            <v>-11.15</v>
          </cell>
          <cell r="H9738">
            <v>45839</v>
          </cell>
          <cell r="I9738" t="str">
            <v>6385 - Insurance</v>
          </cell>
          <cell r="J9738">
            <v>0</v>
          </cell>
          <cell r="K9738" t="str">
            <v>Administration</v>
          </cell>
          <cell r="L9738" t="str">
            <v>Professional Service</v>
          </cell>
          <cell r="N9738" t="str">
            <v>SG&amp;A</v>
          </cell>
          <cell r="O9738" t="str">
            <v>[No Vendor]</v>
          </cell>
        </row>
        <row r="9739">
          <cell r="D9739">
            <v>-56.13</v>
          </cell>
          <cell r="H9739">
            <v>45839</v>
          </cell>
          <cell r="I9739" t="str">
            <v>6385 - Insurance</v>
          </cell>
          <cell r="J9739">
            <v>0</v>
          </cell>
          <cell r="K9739" t="str">
            <v>Administration</v>
          </cell>
          <cell r="L9739" t="str">
            <v>Professional Service</v>
          </cell>
          <cell r="N9739" t="str">
            <v>SG&amp;A</v>
          </cell>
          <cell r="O9739" t="str">
            <v>[No Vendor]</v>
          </cell>
        </row>
        <row r="9740">
          <cell r="D9740">
            <v>-12.76</v>
          </cell>
          <cell r="H9740">
            <v>45839</v>
          </cell>
          <cell r="I9740" t="str">
            <v>6385 - Insurance</v>
          </cell>
          <cell r="J9740">
            <v>0</v>
          </cell>
          <cell r="K9740" t="str">
            <v>Administration</v>
          </cell>
          <cell r="L9740" t="str">
            <v>Professional Service</v>
          </cell>
          <cell r="N9740" t="str">
            <v>SG&amp;A</v>
          </cell>
          <cell r="O9740" t="str">
            <v>[No Vendor]</v>
          </cell>
        </row>
        <row r="9741">
          <cell r="D9741">
            <v>-14.51</v>
          </cell>
          <cell r="H9741">
            <v>45839</v>
          </cell>
          <cell r="I9741" t="str">
            <v>6385 - Insurance</v>
          </cell>
          <cell r="J9741">
            <v>0</v>
          </cell>
          <cell r="K9741" t="str">
            <v>Administration</v>
          </cell>
          <cell r="L9741" t="str">
            <v>Professional Service</v>
          </cell>
          <cell r="N9741" t="str">
            <v>SG&amp;A</v>
          </cell>
          <cell r="O9741" t="str">
            <v>[No Vendor]</v>
          </cell>
        </row>
        <row r="9742">
          <cell r="D9742">
            <v>-48.04</v>
          </cell>
          <cell r="H9742">
            <v>45839</v>
          </cell>
          <cell r="I9742" t="str">
            <v>6385 - Insurance</v>
          </cell>
          <cell r="J9742">
            <v>0</v>
          </cell>
          <cell r="K9742" t="str">
            <v>Administration</v>
          </cell>
          <cell r="L9742" t="str">
            <v>Professional Service</v>
          </cell>
          <cell r="N9742" t="str">
            <v>SG&amp;A</v>
          </cell>
          <cell r="O9742" t="str">
            <v>[No Vendor]</v>
          </cell>
        </row>
        <row r="9743">
          <cell r="D9743">
            <v>-59.2</v>
          </cell>
          <cell r="H9743">
            <v>45839</v>
          </cell>
          <cell r="I9743" t="str">
            <v>6385 - Insurance</v>
          </cell>
          <cell r="J9743">
            <v>0</v>
          </cell>
          <cell r="K9743" t="str">
            <v>Administration</v>
          </cell>
          <cell r="L9743" t="str">
            <v>Professional Service</v>
          </cell>
          <cell r="N9743" t="str">
            <v>SG&amp;A</v>
          </cell>
          <cell r="O9743" t="str">
            <v>[No Vendor]</v>
          </cell>
        </row>
        <row r="9744">
          <cell r="D9744">
            <v>749.26</v>
          </cell>
          <cell r="H9744">
            <v>45839</v>
          </cell>
          <cell r="I9744" t="str">
            <v>6393 - Software</v>
          </cell>
          <cell r="J9744" t="str">
            <v>Ecommerce (US)</v>
          </cell>
          <cell r="K9744" t="str">
            <v>Ecommerce</v>
          </cell>
          <cell r="L9744" t="str">
            <v>Professional Service</v>
          </cell>
          <cell r="N9744" t="str">
            <v>Direct Costs</v>
          </cell>
          <cell r="O9744" t="str">
            <v>Attentive Mobile Inc.</v>
          </cell>
        </row>
        <row r="9745">
          <cell r="D9745">
            <v>4.17</v>
          </cell>
          <cell r="H9745">
            <v>45839</v>
          </cell>
          <cell r="I9745" t="str">
            <v>6393 - Software</v>
          </cell>
          <cell r="J9745" t="str">
            <v>Ecommerce (US)</v>
          </cell>
          <cell r="K9745" t="str">
            <v>Ecommerce</v>
          </cell>
          <cell r="L9745" t="str">
            <v>Professional Service</v>
          </cell>
          <cell r="N9745" t="str">
            <v>Direct Costs</v>
          </cell>
          <cell r="O9745" t="str">
            <v>Attentive Mobile Inc.</v>
          </cell>
        </row>
        <row r="9746">
          <cell r="D9746">
            <v>1711.98</v>
          </cell>
          <cell r="H9746">
            <v>45839</v>
          </cell>
          <cell r="I9746" t="str">
            <v>6393 - Software</v>
          </cell>
          <cell r="J9746" t="str">
            <v>Ecommerce (US)</v>
          </cell>
          <cell r="K9746" t="str">
            <v>Ecommerce</v>
          </cell>
          <cell r="L9746" t="str">
            <v>Professional Service</v>
          </cell>
          <cell r="N9746" t="str">
            <v>Direct Costs</v>
          </cell>
          <cell r="O9746" t="str">
            <v>Attentive Mobile Inc.</v>
          </cell>
        </row>
        <row r="9747">
          <cell r="D9747">
            <v>2.57</v>
          </cell>
          <cell r="H9747">
            <v>45839</v>
          </cell>
          <cell r="I9747" t="str">
            <v>6393 - Software</v>
          </cell>
          <cell r="J9747" t="str">
            <v>Ecommerce (US)</v>
          </cell>
          <cell r="K9747" t="str">
            <v>Ecommerce</v>
          </cell>
          <cell r="L9747" t="str">
            <v>Professional Service</v>
          </cell>
          <cell r="N9747" t="str">
            <v>Direct Costs</v>
          </cell>
          <cell r="O9747" t="str">
            <v>Attentive Mobile Inc.</v>
          </cell>
        </row>
        <row r="9748">
          <cell r="D9748">
            <v>703.21</v>
          </cell>
          <cell r="H9748">
            <v>45839</v>
          </cell>
          <cell r="I9748" t="str">
            <v>6393 - Software</v>
          </cell>
          <cell r="J9748" t="str">
            <v>Ecommerce (US)</v>
          </cell>
          <cell r="K9748" t="str">
            <v>Ecommerce</v>
          </cell>
          <cell r="L9748" t="str">
            <v>Professional Service</v>
          </cell>
          <cell r="N9748" t="str">
            <v>Direct Costs</v>
          </cell>
          <cell r="O9748" t="str">
            <v>Attentive Mobile Inc.</v>
          </cell>
        </row>
        <row r="9749">
          <cell r="D9749">
            <v>2352.84</v>
          </cell>
          <cell r="H9749">
            <v>45839</v>
          </cell>
          <cell r="I9749" t="str">
            <v>6393 - Software</v>
          </cell>
          <cell r="J9749" t="str">
            <v>Ecommerce (US)</v>
          </cell>
          <cell r="K9749" t="str">
            <v>Ecommerce</v>
          </cell>
          <cell r="L9749" t="str">
            <v>Professional Service</v>
          </cell>
          <cell r="N9749" t="str">
            <v>Direct Costs</v>
          </cell>
          <cell r="O9749" t="str">
            <v>Attentive Mobile Inc.</v>
          </cell>
        </row>
        <row r="9750">
          <cell r="D9750">
            <v>7626.25</v>
          </cell>
          <cell r="H9750">
            <v>45839</v>
          </cell>
          <cell r="I9750" t="str">
            <v>6393 - Software</v>
          </cell>
          <cell r="J9750" t="str">
            <v>Ecommerce (US)</v>
          </cell>
          <cell r="K9750" t="str">
            <v>Ecommerce</v>
          </cell>
          <cell r="L9750" t="str">
            <v>Professional Service</v>
          </cell>
          <cell r="N9750" t="str">
            <v>Direct Costs</v>
          </cell>
          <cell r="O9750" t="str">
            <v>Attentive Mobile Inc.</v>
          </cell>
        </row>
        <row r="9751">
          <cell r="D9751">
            <v>378.17</v>
          </cell>
          <cell r="H9751">
            <v>45839</v>
          </cell>
          <cell r="I9751" t="str">
            <v>6393 - Software</v>
          </cell>
          <cell r="J9751" t="str">
            <v>Ecommerce (US)</v>
          </cell>
          <cell r="K9751" t="str">
            <v>Ecommerce</v>
          </cell>
          <cell r="L9751" t="str">
            <v>Professional Service</v>
          </cell>
          <cell r="N9751" t="str">
            <v>Direct Costs</v>
          </cell>
          <cell r="O9751" t="str">
            <v>Attentive Mobile Inc.</v>
          </cell>
        </row>
        <row r="9752">
          <cell r="D9752">
            <v>999</v>
          </cell>
          <cell r="H9752">
            <v>45839</v>
          </cell>
          <cell r="I9752" t="str">
            <v>6393 - Software</v>
          </cell>
          <cell r="J9752" t="str">
            <v>Ecommerce (US)</v>
          </cell>
          <cell r="K9752" t="str">
            <v>Ecommerce</v>
          </cell>
          <cell r="L9752" t="str">
            <v>Professional Service</v>
          </cell>
          <cell r="N9752" t="str">
            <v>Direct Costs</v>
          </cell>
          <cell r="O9752" t="str">
            <v>Attentive Mobile Inc.</v>
          </cell>
        </row>
        <row r="9753">
          <cell r="D9753">
            <v>543.99</v>
          </cell>
          <cell r="H9753">
            <v>45839</v>
          </cell>
          <cell r="I9753" t="str">
            <v>6393 - Software</v>
          </cell>
          <cell r="J9753">
            <v>0</v>
          </cell>
          <cell r="K9753" t="str">
            <v>Administration</v>
          </cell>
          <cell r="L9753" t="str">
            <v>Professional Service</v>
          </cell>
          <cell r="N9753" t="str">
            <v>Direct Costs</v>
          </cell>
          <cell r="O9753" t="str">
            <v>Concur Technologies, Inc.</v>
          </cell>
        </row>
        <row r="9754">
          <cell r="D9754">
            <v>-14527.45</v>
          </cell>
          <cell r="H9754">
            <v>45839</v>
          </cell>
          <cell r="I9754" t="str">
            <v>6393 - Software</v>
          </cell>
          <cell r="J9754" t="str">
            <v>Ecommerce (US)</v>
          </cell>
          <cell r="K9754" t="str">
            <v>Ecommerce</v>
          </cell>
          <cell r="L9754" t="str">
            <v>Professional Service</v>
          </cell>
          <cell r="N9754" t="str">
            <v>Direct Costs</v>
          </cell>
          <cell r="O9754" t="str">
            <v>Attentive Mobile Inc.</v>
          </cell>
        </row>
        <row r="9755">
          <cell r="D9755">
            <v>240.07</v>
          </cell>
          <cell r="H9755">
            <v>45839</v>
          </cell>
          <cell r="I9755" t="str">
            <v>6393 - Software</v>
          </cell>
          <cell r="J9755" t="str">
            <v>Wholesale</v>
          </cell>
          <cell r="K9755" t="str">
            <v>Wholesale</v>
          </cell>
          <cell r="L9755" t="str">
            <v>Professional Service</v>
          </cell>
          <cell r="N9755" t="str">
            <v>Direct Costs</v>
          </cell>
          <cell r="O9755" t="str">
            <v>Open Text</v>
          </cell>
        </row>
        <row r="9756">
          <cell r="D9756">
            <v>48.7</v>
          </cell>
          <cell r="H9756">
            <v>45839</v>
          </cell>
          <cell r="I9756" t="str">
            <v>6393 - Software</v>
          </cell>
          <cell r="J9756" t="str">
            <v>Wholesale</v>
          </cell>
          <cell r="K9756" t="str">
            <v>Wholesale</v>
          </cell>
          <cell r="L9756" t="str">
            <v>Professional Service</v>
          </cell>
          <cell r="N9756" t="str">
            <v>Direct Costs</v>
          </cell>
          <cell r="O9756" t="str">
            <v>Authorize.net</v>
          </cell>
        </row>
        <row r="9757">
          <cell r="D9757">
            <v>1494</v>
          </cell>
          <cell r="H9757">
            <v>45839</v>
          </cell>
          <cell r="I9757" t="str">
            <v>6393 - Software</v>
          </cell>
          <cell r="J9757">
            <v>0</v>
          </cell>
          <cell r="K9757" t="str">
            <v>Design</v>
          </cell>
          <cell r="L9757" t="str">
            <v>Professional Service</v>
          </cell>
          <cell r="N9757" t="str">
            <v>Direct Costs</v>
          </cell>
          <cell r="O9757" t="str">
            <v>Backbone</v>
          </cell>
        </row>
        <row r="9758">
          <cell r="D9758">
            <v>75.400000000000006</v>
          </cell>
          <cell r="H9758">
            <v>45839</v>
          </cell>
          <cell r="I9758" t="str">
            <v>6393 - Software</v>
          </cell>
          <cell r="J9758">
            <v>0</v>
          </cell>
          <cell r="K9758" t="str">
            <v>Administration</v>
          </cell>
          <cell r="L9758" t="str">
            <v>Professional Service</v>
          </cell>
          <cell r="N9758" t="str">
            <v>Direct Costs</v>
          </cell>
          <cell r="O9758" t="str">
            <v>Quickbook</v>
          </cell>
        </row>
        <row r="9759">
          <cell r="D9759">
            <v>1779.84</v>
          </cell>
          <cell r="H9759">
            <v>45839</v>
          </cell>
          <cell r="I9759" t="str">
            <v>6393 - Software</v>
          </cell>
          <cell r="J9759">
            <v>0</v>
          </cell>
          <cell r="K9759" t="str">
            <v>Administration</v>
          </cell>
          <cell r="L9759" t="str">
            <v>Professional Service</v>
          </cell>
          <cell r="N9759" t="str">
            <v>Direct Costs</v>
          </cell>
          <cell r="O9759" t="str">
            <v>Adobe, Inc.</v>
          </cell>
        </row>
        <row r="9760">
          <cell r="D9760">
            <v>77.58</v>
          </cell>
          <cell r="H9760">
            <v>45839</v>
          </cell>
          <cell r="I9760" t="str">
            <v>6393 - Software</v>
          </cell>
          <cell r="J9760">
            <v>0</v>
          </cell>
          <cell r="K9760" t="str">
            <v>Administration</v>
          </cell>
          <cell r="L9760" t="str">
            <v>Professional Service</v>
          </cell>
          <cell r="N9760" t="str">
            <v>Direct Costs</v>
          </cell>
          <cell r="O9760" t="str">
            <v>Quickbook</v>
          </cell>
        </row>
        <row r="9761">
          <cell r="D9761">
            <v>7.33</v>
          </cell>
          <cell r="H9761">
            <v>45839</v>
          </cell>
          <cell r="I9761" t="str">
            <v>6393 - Software</v>
          </cell>
          <cell r="J9761" t="str">
            <v>Ecommerce (US)</v>
          </cell>
          <cell r="K9761" t="str">
            <v>Ecommerce</v>
          </cell>
          <cell r="L9761" t="str">
            <v>Professional Service</v>
          </cell>
          <cell r="N9761" t="str">
            <v>Direct Costs</v>
          </cell>
          <cell r="O9761" t="str">
            <v>Amazon</v>
          </cell>
        </row>
        <row r="9762">
          <cell r="D9762">
            <v>-109.5</v>
          </cell>
          <cell r="H9762">
            <v>45839</v>
          </cell>
          <cell r="I9762" t="str">
            <v>6393 - Software</v>
          </cell>
          <cell r="J9762" t="str">
            <v>Wholesale</v>
          </cell>
          <cell r="K9762" t="str">
            <v>Wholesale</v>
          </cell>
          <cell r="L9762" t="str">
            <v>Professional Service</v>
          </cell>
          <cell r="N9762" t="str">
            <v>Direct Costs</v>
          </cell>
          <cell r="O9762" t="str">
            <v>SPS Commerce</v>
          </cell>
        </row>
        <row r="9763">
          <cell r="D9763">
            <v>109.5</v>
          </cell>
          <cell r="H9763">
            <v>45839</v>
          </cell>
          <cell r="I9763" t="str">
            <v>6393 - Software</v>
          </cell>
          <cell r="J9763" t="str">
            <v>Wholesale</v>
          </cell>
          <cell r="K9763" t="str">
            <v>Wholesale</v>
          </cell>
          <cell r="L9763" t="str">
            <v>Professional Service</v>
          </cell>
          <cell r="N9763" t="str">
            <v>Direct Costs</v>
          </cell>
          <cell r="O9763" t="str">
            <v>SPS Commerce</v>
          </cell>
        </row>
        <row r="9764">
          <cell r="D9764">
            <v>146</v>
          </cell>
          <cell r="H9764">
            <v>45839</v>
          </cell>
          <cell r="I9764" t="str">
            <v>6393 - Software</v>
          </cell>
          <cell r="J9764" t="str">
            <v>Wholesale</v>
          </cell>
          <cell r="K9764" t="str">
            <v>Wholesale</v>
          </cell>
          <cell r="L9764" t="str">
            <v>Professional Service</v>
          </cell>
          <cell r="N9764" t="str">
            <v>Direct Costs</v>
          </cell>
          <cell r="O9764" t="str">
            <v>SPS Commerce</v>
          </cell>
        </row>
        <row r="9765">
          <cell r="D9765">
            <v>100</v>
          </cell>
          <cell r="H9765">
            <v>45839</v>
          </cell>
          <cell r="I9765" t="str">
            <v>6393 - Software</v>
          </cell>
          <cell r="J9765" t="str">
            <v>Wholesale</v>
          </cell>
          <cell r="K9765" t="str">
            <v>Wholesale</v>
          </cell>
          <cell r="L9765" t="str">
            <v>Professional Service</v>
          </cell>
          <cell r="N9765" t="str">
            <v>Direct Costs</v>
          </cell>
          <cell r="O9765" t="str">
            <v>SPS Commerce</v>
          </cell>
        </row>
        <row r="9766">
          <cell r="D9766">
            <v>7.89</v>
          </cell>
          <cell r="H9766">
            <v>45839</v>
          </cell>
          <cell r="I9766" t="str">
            <v>6393 - Software</v>
          </cell>
          <cell r="J9766" t="str">
            <v>Ecommerce (US)</v>
          </cell>
          <cell r="K9766" t="str">
            <v>Ecommerce</v>
          </cell>
          <cell r="L9766" t="str">
            <v>Professional Service</v>
          </cell>
          <cell r="N9766" t="str">
            <v>Direct Costs</v>
          </cell>
          <cell r="O9766" t="str">
            <v>Salesforce</v>
          </cell>
        </row>
        <row r="9767">
          <cell r="D9767">
            <v>1156.02</v>
          </cell>
          <cell r="H9767">
            <v>45839</v>
          </cell>
          <cell r="I9767" t="str">
            <v>6393 - Software</v>
          </cell>
          <cell r="J9767" t="str">
            <v>Ecommerce (US)</v>
          </cell>
          <cell r="K9767" t="str">
            <v>Ecommerce</v>
          </cell>
          <cell r="L9767" t="str">
            <v>Professional Service</v>
          </cell>
          <cell r="N9767" t="str">
            <v>Direct Costs</v>
          </cell>
          <cell r="O9767" t="str">
            <v>Google Cloud</v>
          </cell>
        </row>
        <row r="9768">
          <cell r="D9768">
            <v>1773.79</v>
          </cell>
          <cell r="H9768">
            <v>45839</v>
          </cell>
          <cell r="I9768" t="str">
            <v>6393 - Software</v>
          </cell>
          <cell r="J9768" t="str">
            <v>Ecommerce (US)</v>
          </cell>
          <cell r="K9768" t="str">
            <v>Ecommerce</v>
          </cell>
          <cell r="L9768" t="str">
            <v>Professional Service</v>
          </cell>
          <cell r="N9768" t="str">
            <v>Direct Costs</v>
          </cell>
          <cell r="O9768" t="str">
            <v>GORGIAS INC</v>
          </cell>
        </row>
        <row r="9769">
          <cell r="D9769">
            <v>6639.19</v>
          </cell>
          <cell r="H9769">
            <v>45839</v>
          </cell>
          <cell r="I9769" t="str">
            <v>6393 - Software</v>
          </cell>
          <cell r="J9769" t="str">
            <v>Ecommerce (US)</v>
          </cell>
          <cell r="K9769" t="str">
            <v>Ecommerce</v>
          </cell>
          <cell r="L9769" t="str">
            <v>Professional Service</v>
          </cell>
          <cell r="N9769" t="str">
            <v>Direct Costs</v>
          </cell>
          <cell r="O9769" t="str">
            <v>Shopify</v>
          </cell>
        </row>
        <row r="9770">
          <cell r="D9770">
            <v>598</v>
          </cell>
          <cell r="H9770">
            <v>45839</v>
          </cell>
          <cell r="I9770" t="str">
            <v>6393 - Software</v>
          </cell>
          <cell r="J9770" t="str">
            <v>Ecommerce (US)</v>
          </cell>
          <cell r="K9770" t="str">
            <v>Ecommerce</v>
          </cell>
          <cell r="L9770" t="str">
            <v>Professional Service</v>
          </cell>
          <cell r="N9770" t="str">
            <v>Direct Costs</v>
          </cell>
          <cell r="O9770" t="str">
            <v>GoDataFeed</v>
          </cell>
        </row>
        <row r="9771">
          <cell r="D9771">
            <v>25.82</v>
          </cell>
          <cell r="H9771">
            <v>45839</v>
          </cell>
          <cell r="I9771" t="str">
            <v>6393 - Software</v>
          </cell>
          <cell r="J9771" t="str">
            <v>Ecommerce (US)</v>
          </cell>
          <cell r="K9771" t="str">
            <v>Ecommerce</v>
          </cell>
          <cell r="L9771" t="str">
            <v>Professional Service</v>
          </cell>
          <cell r="N9771" t="str">
            <v>Direct Costs</v>
          </cell>
          <cell r="O9771" t="str">
            <v>GORGIAS INC</v>
          </cell>
        </row>
        <row r="9772">
          <cell r="D9772">
            <v>14.4</v>
          </cell>
          <cell r="H9772">
            <v>45839</v>
          </cell>
          <cell r="I9772" t="str">
            <v>6393 - Software</v>
          </cell>
          <cell r="J9772" t="str">
            <v>Ecommerce (US)</v>
          </cell>
          <cell r="K9772" t="str">
            <v>Ecommerce</v>
          </cell>
          <cell r="L9772" t="str">
            <v>Professional Service</v>
          </cell>
          <cell r="N9772" t="str">
            <v>Direct Costs</v>
          </cell>
          <cell r="O9772" t="str">
            <v>Amazon</v>
          </cell>
        </row>
        <row r="9773">
          <cell r="D9773">
            <v>7.35</v>
          </cell>
          <cell r="H9773">
            <v>45839</v>
          </cell>
          <cell r="I9773" t="str">
            <v>6393 - Software</v>
          </cell>
          <cell r="J9773" t="str">
            <v>Ecommerce (US)</v>
          </cell>
          <cell r="K9773" t="str">
            <v>Ecommerce</v>
          </cell>
          <cell r="L9773" t="str">
            <v>Professional Service</v>
          </cell>
          <cell r="N9773" t="str">
            <v>Direct Costs</v>
          </cell>
          <cell r="O9773" t="str">
            <v>Amazon</v>
          </cell>
        </row>
        <row r="9774">
          <cell r="D9774">
            <v>12245.44</v>
          </cell>
          <cell r="H9774">
            <v>45839</v>
          </cell>
          <cell r="I9774" t="str">
            <v>6393 - Software</v>
          </cell>
          <cell r="J9774" t="str">
            <v>Ecommerce (US)</v>
          </cell>
          <cell r="K9774" t="str">
            <v>Ecommerce</v>
          </cell>
          <cell r="L9774" t="str">
            <v>Professional Service</v>
          </cell>
          <cell r="N9774" t="str">
            <v>Direct Costs</v>
          </cell>
          <cell r="O9774" t="str">
            <v>Signifyd</v>
          </cell>
        </row>
        <row r="9775">
          <cell r="D9775">
            <v>1012.54</v>
          </cell>
          <cell r="H9775">
            <v>45839</v>
          </cell>
          <cell r="I9775" t="str">
            <v>6393 - Software</v>
          </cell>
          <cell r="J9775" t="str">
            <v>Ecommerce (US)</v>
          </cell>
          <cell r="K9775" t="str">
            <v>Ecommerce</v>
          </cell>
          <cell r="L9775" t="str">
            <v>Professional Service</v>
          </cell>
          <cell r="N9775" t="str">
            <v>Direct Costs</v>
          </cell>
          <cell r="O9775" t="str">
            <v>Klaviyo</v>
          </cell>
        </row>
        <row r="9776">
          <cell r="D9776">
            <v>159</v>
          </cell>
          <cell r="H9776">
            <v>45839</v>
          </cell>
          <cell r="I9776" t="str">
            <v>6393 - Software</v>
          </cell>
          <cell r="J9776" t="str">
            <v>Ecommerce (US)</v>
          </cell>
          <cell r="K9776" t="str">
            <v>Ecommerce</v>
          </cell>
          <cell r="L9776" t="str">
            <v>Professional Service</v>
          </cell>
          <cell r="N9776" t="str">
            <v>Direct Costs</v>
          </cell>
          <cell r="O9776" t="str">
            <v>Integration Manager</v>
          </cell>
        </row>
        <row r="9777">
          <cell r="D9777">
            <v>3249.92</v>
          </cell>
          <cell r="H9777">
            <v>45839</v>
          </cell>
          <cell r="I9777" t="str">
            <v>6393 - Software</v>
          </cell>
          <cell r="J9777" t="str">
            <v>Ecommerce (US)</v>
          </cell>
          <cell r="K9777" t="str">
            <v>Ecommerce</v>
          </cell>
          <cell r="L9777" t="str">
            <v>Professional Service</v>
          </cell>
          <cell r="N9777" t="str">
            <v>Direct Costs</v>
          </cell>
          <cell r="O9777" t="str">
            <v>Klaviyo</v>
          </cell>
        </row>
        <row r="9778">
          <cell r="D9778">
            <v>7.27</v>
          </cell>
          <cell r="H9778">
            <v>45839</v>
          </cell>
          <cell r="I9778" t="str">
            <v>6393 - Software</v>
          </cell>
          <cell r="J9778" t="str">
            <v>Ecommerce (US)</v>
          </cell>
          <cell r="K9778" t="str">
            <v>Ecommerce</v>
          </cell>
          <cell r="L9778" t="str">
            <v>Professional Service</v>
          </cell>
          <cell r="N9778" t="str">
            <v>Direct Costs</v>
          </cell>
          <cell r="O9778" t="str">
            <v>Amazon</v>
          </cell>
        </row>
        <row r="9779">
          <cell r="D9779">
            <v>7.26</v>
          </cell>
          <cell r="H9779">
            <v>45839</v>
          </cell>
          <cell r="I9779" t="str">
            <v>6393 - Software</v>
          </cell>
          <cell r="J9779" t="str">
            <v>Ecommerce (US)</v>
          </cell>
          <cell r="K9779" t="str">
            <v>Ecommerce</v>
          </cell>
          <cell r="L9779" t="str">
            <v>Professional Service</v>
          </cell>
          <cell r="N9779" t="str">
            <v>Direct Costs</v>
          </cell>
          <cell r="O9779" t="str">
            <v>Amazon</v>
          </cell>
        </row>
        <row r="9780">
          <cell r="D9780">
            <v>886.82</v>
          </cell>
          <cell r="H9780">
            <v>45839</v>
          </cell>
          <cell r="I9780" t="str">
            <v>6393 - Software</v>
          </cell>
          <cell r="J9780" t="str">
            <v>Wholesale</v>
          </cell>
          <cell r="K9780" t="str">
            <v>Wholesale</v>
          </cell>
          <cell r="L9780" t="str">
            <v>Professional Service</v>
          </cell>
          <cell r="N9780" t="str">
            <v>Direct Costs</v>
          </cell>
          <cell r="O9780" t="str">
            <v>SPS Commerce</v>
          </cell>
        </row>
        <row r="9781">
          <cell r="D9781">
            <v>36</v>
          </cell>
          <cell r="H9781">
            <v>45839</v>
          </cell>
          <cell r="I9781" t="str">
            <v>6393 - Software</v>
          </cell>
          <cell r="J9781" t="str">
            <v>Wholesale</v>
          </cell>
          <cell r="K9781" t="str">
            <v>Wholesale</v>
          </cell>
          <cell r="L9781" t="str">
            <v>Professional Service</v>
          </cell>
          <cell r="N9781" t="str">
            <v>Direct Costs</v>
          </cell>
          <cell r="O9781" t="str">
            <v>Fineline Technologies</v>
          </cell>
        </row>
        <row r="9782">
          <cell r="D9782">
            <v>40.08</v>
          </cell>
          <cell r="H9782">
            <v>45839</v>
          </cell>
          <cell r="I9782" t="str">
            <v>6393 - Software</v>
          </cell>
          <cell r="J9782" t="str">
            <v>Wholesale</v>
          </cell>
          <cell r="K9782" t="str">
            <v>Wholesale</v>
          </cell>
          <cell r="L9782" t="str">
            <v>Professional Service</v>
          </cell>
          <cell r="N9782" t="str">
            <v>Direct Costs</v>
          </cell>
          <cell r="O9782" t="str">
            <v>Fineline Technologies</v>
          </cell>
        </row>
        <row r="9783">
          <cell r="D9783">
            <v>0</v>
          </cell>
          <cell r="H9783">
            <v>45839</v>
          </cell>
          <cell r="I9783" t="str">
            <v>6393 - Software</v>
          </cell>
          <cell r="J9783" t="str">
            <v>Wholesale</v>
          </cell>
          <cell r="K9783" t="str">
            <v>Wholesale</v>
          </cell>
          <cell r="L9783" t="str">
            <v>Professional Service</v>
          </cell>
          <cell r="N9783" t="str">
            <v>Direct Costs</v>
          </cell>
          <cell r="O9783" t="str">
            <v>SPS Commerce</v>
          </cell>
        </row>
        <row r="9784">
          <cell r="D9784">
            <v>0</v>
          </cell>
          <cell r="H9784">
            <v>45839</v>
          </cell>
          <cell r="I9784" t="str">
            <v>6393 - Software</v>
          </cell>
          <cell r="J9784" t="str">
            <v>Wholesale</v>
          </cell>
          <cell r="K9784" t="str">
            <v>Wholesale</v>
          </cell>
          <cell r="L9784" t="str">
            <v>Professional Service</v>
          </cell>
          <cell r="N9784" t="str">
            <v>Direct Costs</v>
          </cell>
          <cell r="O9784" t="str">
            <v>SPS Commerce</v>
          </cell>
        </row>
        <row r="9785">
          <cell r="D9785">
            <v>88</v>
          </cell>
          <cell r="H9785">
            <v>45839</v>
          </cell>
          <cell r="I9785" t="str">
            <v>6393 - Software</v>
          </cell>
          <cell r="J9785" t="str">
            <v>Wholesale</v>
          </cell>
          <cell r="K9785" t="str">
            <v>Wholesale</v>
          </cell>
          <cell r="L9785" t="str">
            <v>Professional Service</v>
          </cell>
          <cell r="N9785" t="str">
            <v>Direct Costs</v>
          </cell>
          <cell r="O9785" t="str">
            <v>SPS Commerce</v>
          </cell>
        </row>
        <row r="9786">
          <cell r="D9786">
            <v>21.78</v>
          </cell>
          <cell r="H9786">
            <v>45839</v>
          </cell>
          <cell r="I9786" t="str">
            <v>6393 - Software</v>
          </cell>
          <cell r="J9786">
            <v>0</v>
          </cell>
          <cell r="K9786" t="str">
            <v>Executive</v>
          </cell>
          <cell r="L9786" t="str">
            <v>Professional Service</v>
          </cell>
          <cell r="N9786" t="str">
            <v>Direct Costs</v>
          </cell>
          <cell r="O9786" t="str">
            <v>Chat GPT</v>
          </cell>
        </row>
        <row r="9787">
          <cell r="D9787">
            <v>21.78</v>
          </cell>
          <cell r="H9787">
            <v>45839</v>
          </cell>
          <cell r="I9787" t="str">
            <v>6393 - Software</v>
          </cell>
          <cell r="J9787">
            <v>0</v>
          </cell>
          <cell r="K9787" t="str">
            <v>Administration</v>
          </cell>
          <cell r="L9787" t="str">
            <v>Professional Service</v>
          </cell>
          <cell r="N9787" t="str">
            <v>Direct Costs</v>
          </cell>
          <cell r="O9787" t="str">
            <v>Chat GPT</v>
          </cell>
        </row>
        <row r="9788">
          <cell r="D9788">
            <v>9.99</v>
          </cell>
          <cell r="H9788">
            <v>45839</v>
          </cell>
          <cell r="I9788" t="str">
            <v>6393 - Software</v>
          </cell>
          <cell r="J9788">
            <v>0</v>
          </cell>
          <cell r="K9788" t="str">
            <v>Administration</v>
          </cell>
          <cell r="L9788" t="str">
            <v>Professional Service</v>
          </cell>
          <cell r="N9788" t="str">
            <v>Direct Costs</v>
          </cell>
          <cell r="O9788" t="str">
            <v>Drop Box</v>
          </cell>
        </row>
        <row r="9789">
          <cell r="D9789">
            <v>2582.46</v>
          </cell>
          <cell r="H9789">
            <v>45839</v>
          </cell>
          <cell r="I9789" t="str">
            <v>6393 - Software</v>
          </cell>
          <cell r="J9789">
            <v>0</v>
          </cell>
          <cell r="K9789" t="str">
            <v>Administration</v>
          </cell>
          <cell r="L9789" t="str">
            <v>Professional Service</v>
          </cell>
          <cell r="N9789" t="str">
            <v>Direct Costs</v>
          </cell>
          <cell r="O9789" t="str">
            <v>Apparel Magic</v>
          </cell>
        </row>
        <row r="9790">
          <cell r="D9790">
            <v>3179.22</v>
          </cell>
          <cell r="H9790">
            <v>45839</v>
          </cell>
          <cell r="I9790" t="str">
            <v>6393 - Software</v>
          </cell>
          <cell r="J9790">
            <v>0</v>
          </cell>
          <cell r="K9790" t="str">
            <v>Administration</v>
          </cell>
          <cell r="L9790" t="str">
            <v>Professional Service</v>
          </cell>
          <cell r="N9790" t="str">
            <v>Direct Costs</v>
          </cell>
          <cell r="O9790" t="str">
            <v>Avalara, Inc</v>
          </cell>
        </row>
        <row r="9791">
          <cell r="D9791">
            <v>226.82</v>
          </cell>
          <cell r="H9791">
            <v>45839</v>
          </cell>
          <cell r="I9791" t="str">
            <v>6393 - Software</v>
          </cell>
          <cell r="J9791">
            <v>0</v>
          </cell>
          <cell r="K9791" t="str">
            <v>Administration</v>
          </cell>
          <cell r="L9791" t="str">
            <v>Professional Service</v>
          </cell>
          <cell r="N9791" t="str">
            <v>Direct Costs</v>
          </cell>
          <cell r="O9791" t="str">
            <v>Avalara, Inc</v>
          </cell>
        </row>
        <row r="9792">
          <cell r="D9792">
            <v>4100</v>
          </cell>
          <cell r="H9792">
            <v>45839</v>
          </cell>
          <cell r="I9792" t="str">
            <v>6393 - Software</v>
          </cell>
          <cell r="J9792">
            <v>0</v>
          </cell>
          <cell r="K9792" t="str">
            <v>Administration</v>
          </cell>
          <cell r="L9792" t="str">
            <v>Professional Service</v>
          </cell>
          <cell r="N9792" t="str">
            <v>Direct Costs</v>
          </cell>
          <cell r="O9792" t="str">
            <v>Oracle Netsuite</v>
          </cell>
        </row>
        <row r="9793">
          <cell r="D9793">
            <v>411.58</v>
          </cell>
          <cell r="H9793">
            <v>45839</v>
          </cell>
          <cell r="I9793" t="str">
            <v>6393 - Software</v>
          </cell>
          <cell r="J9793">
            <v>0</v>
          </cell>
          <cell r="K9793" t="str">
            <v>Administration</v>
          </cell>
          <cell r="L9793" t="str">
            <v>Professional Service</v>
          </cell>
          <cell r="N9793" t="str">
            <v>Direct Costs</v>
          </cell>
          <cell r="O9793" t="str">
            <v>MS Office 365</v>
          </cell>
        </row>
        <row r="9794">
          <cell r="D9794">
            <v>27885.88</v>
          </cell>
          <cell r="H9794">
            <v>45839</v>
          </cell>
          <cell r="I9794" t="str">
            <v>6393 - Software</v>
          </cell>
          <cell r="J9794" t="str">
            <v>Ecommerce (US)</v>
          </cell>
          <cell r="K9794" t="str">
            <v>Ecommerce</v>
          </cell>
          <cell r="L9794" t="str">
            <v>Professional Service</v>
          </cell>
          <cell r="N9794" t="str">
            <v>Direct Costs</v>
          </cell>
          <cell r="O9794" t="str">
            <v>Attentive Mobile Inc.</v>
          </cell>
        </row>
        <row r="9795">
          <cell r="D9795">
            <v>2268.23</v>
          </cell>
          <cell r="H9795">
            <v>45839</v>
          </cell>
          <cell r="I9795" t="str">
            <v>6393 - Software</v>
          </cell>
          <cell r="J9795">
            <v>0</v>
          </cell>
          <cell r="K9795" t="str">
            <v>Brand Marketing</v>
          </cell>
          <cell r="L9795" t="str">
            <v>Professional Service</v>
          </cell>
          <cell r="N9795" t="str">
            <v>Direct Costs</v>
          </cell>
          <cell r="O9795" t="str">
            <v>Fohr</v>
          </cell>
        </row>
        <row r="9796">
          <cell r="D9796">
            <v>290.16000000000003</v>
          </cell>
          <cell r="H9796">
            <v>45839</v>
          </cell>
          <cell r="I9796" t="str">
            <v>6400 - Utilities</v>
          </cell>
          <cell r="J9796">
            <v>0</v>
          </cell>
          <cell r="K9796" t="str">
            <v>Administration</v>
          </cell>
          <cell r="L9796" t="str">
            <v>Other</v>
          </cell>
          <cell r="N9796" t="str">
            <v>SG&amp;A</v>
          </cell>
          <cell r="O9796" t="str">
            <v>Antelope LLC</v>
          </cell>
        </row>
        <row r="9797">
          <cell r="D9797">
            <v>269.97000000000003</v>
          </cell>
          <cell r="H9797">
            <v>45839</v>
          </cell>
          <cell r="I9797" t="str">
            <v>6400 - Utilities</v>
          </cell>
          <cell r="J9797">
            <v>0</v>
          </cell>
          <cell r="K9797" t="str">
            <v>Administration</v>
          </cell>
          <cell r="L9797" t="str">
            <v>Other</v>
          </cell>
          <cell r="N9797" t="str">
            <v>SG&amp;A</v>
          </cell>
          <cell r="O9797" t="str">
            <v>Verizon</v>
          </cell>
        </row>
        <row r="9798">
          <cell r="D9798">
            <v>-290.16000000000003</v>
          </cell>
          <cell r="H9798">
            <v>45839</v>
          </cell>
          <cell r="I9798" t="str">
            <v>6400 - Utilities</v>
          </cell>
          <cell r="J9798">
            <v>0</v>
          </cell>
          <cell r="K9798" t="str">
            <v>Administration</v>
          </cell>
          <cell r="L9798" t="str">
            <v>Other</v>
          </cell>
          <cell r="N9798" t="str">
            <v>SG&amp;A</v>
          </cell>
          <cell r="O9798" t="str">
            <v>[No Vendor]</v>
          </cell>
        </row>
        <row r="9799">
          <cell r="D9799">
            <v>728.58</v>
          </cell>
          <cell r="H9799">
            <v>45839</v>
          </cell>
          <cell r="I9799" t="str">
            <v>6400 - Utilities</v>
          </cell>
          <cell r="J9799">
            <v>0</v>
          </cell>
          <cell r="K9799" t="str">
            <v>Administration</v>
          </cell>
          <cell r="L9799" t="str">
            <v>Other</v>
          </cell>
          <cell r="N9799" t="str">
            <v>SG&amp;A</v>
          </cell>
          <cell r="O9799" t="str">
            <v>[No Vendor]</v>
          </cell>
        </row>
        <row r="9800">
          <cell r="D9800">
            <v>740.48</v>
          </cell>
          <cell r="H9800">
            <v>45839</v>
          </cell>
          <cell r="I9800" t="str">
            <v>6410 - Lease Expense</v>
          </cell>
          <cell r="J9800">
            <v>0</v>
          </cell>
          <cell r="K9800" t="str">
            <v>Administration</v>
          </cell>
          <cell r="L9800" t="str">
            <v>Rent</v>
          </cell>
          <cell r="N9800" t="str">
            <v>SG&amp;A</v>
          </cell>
          <cell r="O9800" t="str">
            <v>Canon Financial Services, Inc.</v>
          </cell>
        </row>
        <row r="9801">
          <cell r="D9801">
            <v>-606</v>
          </cell>
          <cell r="H9801">
            <v>45839</v>
          </cell>
          <cell r="I9801" t="str">
            <v>6410 - Lease Expense</v>
          </cell>
          <cell r="J9801">
            <v>0</v>
          </cell>
          <cell r="K9801" t="str">
            <v>Administration</v>
          </cell>
          <cell r="L9801" t="str">
            <v>Rent</v>
          </cell>
          <cell r="N9801" t="str">
            <v>SG&amp;A</v>
          </cell>
          <cell r="O9801" t="str">
            <v>[No Vendor]</v>
          </cell>
        </row>
        <row r="9802">
          <cell r="D9802">
            <v>153</v>
          </cell>
          <cell r="H9802">
            <v>45839</v>
          </cell>
          <cell r="I9802" t="str">
            <v>6420 - Licenses &amp; Membership</v>
          </cell>
          <cell r="J9802">
            <v>0</v>
          </cell>
          <cell r="K9802" t="str">
            <v>Brand Marketing</v>
          </cell>
          <cell r="L9802" t="str">
            <v>Professional Service</v>
          </cell>
          <cell r="N9802" t="str">
            <v>SG&amp;A</v>
          </cell>
          <cell r="O9802" t="str">
            <v>[No Vendor]</v>
          </cell>
        </row>
        <row r="9803">
          <cell r="D9803">
            <v>175</v>
          </cell>
          <cell r="H9803">
            <v>45839</v>
          </cell>
          <cell r="I9803" t="str">
            <v>6420 - Licenses &amp; Membership</v>
          </cell>
          <cell r="J9803">
            <v>0</v>
          </cell>
          <cell r="K9803" t="str">
            <v>Production</v>
          </cell>
          <cell r="L9803" t="str">
            <v>Professional Service</v>
          </cell>
          <cell r="N9803" t="str">
            <v>SG&amp;A</v>
          </cell>
          <cell r="O9803" t="str">
            <v>GS1</v>
          </cell>
        </row>
        <row r="9804">
          <cell r="D9804">
            <v>5000</v>
          </cell>
          <cell r="H9804">
            <v>45839</v>
          </cell>
          <cell r="I9804" t="str">
            <v>6445 - Inventory Write Down</v>
          </cell>
          <cell r="J9804" t="str">
            <v>Ecommerce (US)</v>
          </cell>
          <cell r="K9804" t="str">
            <v>Ecommerce</v>
          </cell>
          <cell r="L9804" t="str">
            <v>Other</v>
          </cell>
          <cell r="N9804" t="str">
            <v>SG&amp;A</v>
          </cell>
          <cell r="O9804" t="str">
            <v>[No Vendor]</v>
          </cell>
        </row>
        <row r="9805">
          <cell r="D9805">
            <v>1.1599999999999999</v>
          </cell>
          <cell r="H9805">
            <v>45839</v>
          </cell>
          <cell r="I9805" t="str">
            <v>6450 - Bank &amp; Other Fees</v>
          </cell>
          <cell r="J9805">
            <v>0</v>
          </cell>
          <cell r="K9805" t="str">
            <v>Administration</v>
          </cell>
          <cell r="L9805" t="str">
            <v>Professional Service</v>
          </cell>
          <cell r="N9805" t="str">
            <v>SG&amp;A</v>
          </cell>
          <cell r="O9805" t="str">
            <v>Lisa  Resciniti</v>
          </cell>
        </row>
        <row r="9806">
          <cell r="D9806">
            <v>5.03</v>
          </cell>
          <cell r="H9806">
            <v>45839</v>
          </cell>
          <cell r="I9806" t="str">
            <v>6450 - Bank &amp; Other Fees</v>
          </cell>
          <cell r="J9806">
            <v>0</v>
          </cell>
          <cell r="K9806" t="str">
            <v>Administration</v>
          </cell>
          <cell r="L9806" t="str">
            <v>Professional Service</v>
          </cell>
          <cell r="N9806" t="str">
            <v>SG&amp;A</v>
          </cell>
          <cell r="O9806" t="str">
            <v>Lisa  Resciniti</v>
          </cell>
        </row>
        <row r="9807">
          <cell r="D9807">
            <v>1.1299999999999999</v>
          </cell>
          <cell r="H9807">
            <v>45839</v>
          </cell>
          <cell r="I9807" t="str">
            <v>6450 - Bank &amp; Other Fees</v>
          </cell>
          <cell r="J9807">
            <v>0</v>
          </cell>
          <cell r="K9807" t="str">
            <v>Administration</v>
          </cell>
          <cell r="L9807" t="str">
            <v>Professional Service</v>
          </cell>
          <cell r="N9807" t="str">
            <v>SG&amp;A</v>
          </cell>
          <cell r="O9807" t="str">
            <v>[No Vendor]</v>
          </cell>
        </row>
        <row r="9808">
          <cell r="D9808">
            <v>0.11</v>
          </cell>
          <cell r="H9808">
            <v>45839</v>
          </cell>
          <cell r="I9808" t="str">
            <v>6450 - Bank &amp; Other Fees</v>
          </cell>
          <cell r="J9808" t="str">
            <v>Ecommerce (US)</v>
          </cell>
          <cell r="K9808" t="str">
            <v>Ecommerce</v>
          </cell>
          <cell r="L9808" t="str">
            <v>Professional Service</v>
          </cell>
          <cell r="N9808" t="str">
            <v>Direct Costs</v>
          </cell>
          <cell r="O9808" t="str">
            <v>[No Vendor]</v>
          </cell>
        </row>
        <row r="9809">
          <cell r="D9809">
            <v>0.11</v>
          </cell>
          <cell r="H9809">
            <v>45839</v>
          </cell>
          <cell r="I9809" t="str">
            <v>6450 - Bank &amp; Other Fees</v>
          </cell>
          <cell r="J9809" t="str">
            <v>Ecommerce (US)</v>
          </cell>
          <cell r="K9809" t="str">
            <v>Ecommerce</v>
          </cell>
          <cell r="L9809" t="str">
            <v>Professional Service</v>
          </cell>
          <cell r="N9809" t="str">
            <v>Direct Costs</v>
          </cell>
          <cell r="O9809" t="str">
            <v>[No Vendor]</v>
          </cell>
        </row>
        <row r="9810">
          <cell r="D9810">
            <v>0.11</v>
          </cell>
          <cell r="H9810">
            <v>45839</v>
          </cell>
          <cell r="I9810" t="str">
            <v>6450 - Bank &amp; Other Fees</v>
          </cell>
          <cell r="J9810" t="str">
            <v>Ecommerce (US)</v>
          </cell>
          <cell r="K9810" t="str">
            <v>Ecommerce</v>
          </cell>
          <cell r="L9810" t="str">
            <v>Professional Service</v>
          </cell>
          <cell r="N9810" t="str">
            <v>Direct Costs</v>
          </cell>
          <cell r="O9810" t="str">
            <v>[No Vendor]</v>
          </cell>
        </row>
        <row r="9811">
          <cell r="D9811">
            <v>0.22</v>
          </cell>
          <cell r="H9811">
            <v>45839</v>
          </cell>
          <cell r="I9811" t="str">
            <v>6450 - Bank &amp; Other Fees</v>
          </cell>
          <cell r="J9811" t="str">
            <v>Ecommerce (US)</v>
          </cell>
          <cell r="K9811" t="str">
            <v>Ecommerce</v>
          </cell>
          <cell r="L9811" t="str">
            <v>Professional Service</v>
          </cell>
          <cell r="N9811" t="str">
            <v>Direct Costs</v>
          </cell>
          <cell r="O9811" t="str">
            <v>[No Vendor]</v>
          </cell>
        </row>
        <row r="9812">
          <cell r="D9812">
            <v>0.11</v>
          </cell>
          <cell r="H9812">
            <v>45839</v>
          </cell>
          <cell r="I9812" t="str">
            <v>6450 - Bank &amp; Other Fees</v>
          </cell>
          <cell r="J9812" t="str">
            <v>Ecommerce (US)</v>
          </cell>
          <cell r="K9812" t="str">
            <v>Ecommerce</v>
          </cell>
          <cell r="L9812" t="str">
            <v>Professional Service</v>
          </cell>
          <cell r="N9812" t="str">
            <v>Direct Costs</v>
          </cell>
          <cell r="O9812" t="str">
            <v>[No Vendor]</v>
          </cell>
        </row>
        <row r="9813">
          <cell r="D9813">
            <v>650.94000000000005</v>
          </cell>
          <cell r="H9813">
            <v>45839</v>
          </cell>
          <cell r="I9813" t="str">
            <v>6450 - Bank &amp; Other Fees</v>
          </cell>
          <cell r="J9813">
            <v>0</v>
          </cell>
          <cell r="K9813" t="str">
            <v>Administration</v>
          </cell>
          <cell r="L9813" t="str">
            <v>Professional Service</v>
          </cell>
          <cell r="N9813" t="str">
            <v>SG&amp;A</v>
          </cell>
          <cell r="O9813" t="str">
            <v>[No Vendor]</v>
          </cell>
        </row>
        <row r="9814">
          <cell r="D9814">
            <v>1960.8</v>
          </cell>
          <cell r="H9814">
            <v>45839</v>
          </cell>
          <cell r="I9814" t="str">
            <v>6451 - Service Processing Fee</v>
          </cell>
          <cell r="J9814" t="str">
            <v>Wholesale</v>
          </cell>
          <cell r="K9814" t="str">
            <v>Wholesale</v>
          </cell>
          <cell r="L9814" t="str">
            <v>Professional Service</v>
          </cell>
          <cell r="N9814" t="str">
            <v>Direct Costs</v>
          </cell>
          <cell r="O9814" t="str">
            <v>Paymentech</v>
          </cell>
        </row>
        <row r="9815">
          <cell r="D9815">
            <v>1361.87</v>
          </cell>
          <cell r="H9815">
            <v>45839</v>
          </cell>
          <cell r="I9815" t="str">
            <v>6451 - Service Processing Fee</v>
          </cell>
          <cell r="J9815" t="str">
            <v>Ecommerce (US)</v>
          </cell>
          <cell r="K9815" t="str">
            <v>Ecommerce</v>
          </cell>
          <cell r="L9815" t="str">
            <v>Professional Service</v>
          </cell>
          <cell r="N9815" t="str">
            <v>Direct Costs</v>
          </cell>
          <cell r="O9815" t="str">
            <v>Loop</v>
          </cell>
        </row>
        <row r="9816">
          <cell r="D9816">
            <v>5094.58</v>
          </cell>
          <cell r="H9816">
            <v>45839</v>
          </cell>
          <cell r="I9816" t="str">
            <v>6451 - Service Processing Fee</v>
          </cell>
          <cell r="J9816" t="str">
            <v>Ecommerce (EU)</v>
          </cell>
          <cell r="K9816" t="str">
            <v>Ecommerce</v>
          </cell>
          <cell r="L9816" t="str">
            <v>Professional Service</v>
          </cell>
          <cell r="N9816" t="str">
            <v>Direct Costs</v>
          </cell>
          <cell r="O9816" t="str">
            <v>[No Vendor]</v>
          </cell>
        </row>
        <row r="9817">
          <cell r="D9817">
            <v>10270.48</v>
          </cell>
          <cell r="H9817">
            <v>45839</v>
          </cell>
          <cell r="I9817" t="str">
            <v>6451 - Service Processing Fee</v>
          </cell>
          <cell r="J9817" t="str">
            <v>Ecommerce (US)</v>
          </cell>
          <cell r="K9817" t="str">
            <v>Ecommerce</v>
          </cell>
          <cell r="L9817" t="str">
            <v>Professional Service</v>
          </cell>
          <cell r="N9817" t="str">
            <v>Direct Costs</v>
          </cell>
          <cell r="O9817" t="str">
            <v>Amazon</v>
          </cell>
        </row>
        <row r="9818">
          <cell r="D9818">
            <v>1091.6199999999999</v>
          </cell>
          <cell r="H9818">
            <v>45839</v>
          </cell>
          <cell r="I9818" t="str">
            <v>6451 - Service Processing Fee</v>
          </cell>
          <cell r="J9818" t="str">
            <v>Ecommerce (US)</v>
          </cell>
          <cell r="K9818" t="str">
            <v>Ecommerce</v>
          </cell>
          <cell r="L9818" t="str">
            <v>Professional Service</v>
          </cell>
          <cell r="N9818" t="str">
            <v>Direct Costs</v>
          </cell>
          <cell r="O9818" t="str">
            <v>Shopify</v>
          </cell>
        </row>
        <row r="9819">
          <cell r="D9819">
            <v>49126.96</v>
          </cell>
          <cell r="H9819">
            <v>45839</v>
          </cell>
          <cell r="I9819" t="str">
            <v>6451 - Service Processing Fee</v>
          </cell>
          <cell r="J9819" t="str">
            <v>Ecommerce (US)</v>
          </cell>
          <cell r="K9819" t="str">
            <v>Ecommerce</v>
          </cell>
          <cell r="L9819" t="str">
            <v>Professional Service</v>
          </cell>
          <cell r="N9819" t="str">
            <v>Direct Costs</v>
          </cell>
          <cell r="O9819" t="str">
            <v>Shopify</v>
          </cell>
        </row>
        <row r="9820">
          <cell r="D9820">
            <v>7100.12</v>
          </cell>
          <cell r="H9820">
            <v>45839</v>
          </cell>
          <cell r="I9820" t="str">
            <v>6487 - Interest Expense</v>
          </cell>
          <cell r="J9820">
            <v>0</v>
          </cell>
          <cell r="K9820" t="str">
            <v>Administration</v>
          </cell>
          <cell r="L9820" t="str">
            <v>Interest</v>
          </cell>
          <cell r="N9820" t="str">
            <v>BTL</v>
          </cell>
          <cell r="O9820" t="str">
            <v>[No Vendor]</v>
          </cell>
        </row>
        <row r="9821">
          <cell r="D9821">
            <v>18.27</v>
          </cell>
          <cell r="H9821">
            <v>45839</v>
          </cell>
          <cell r="I9821" t="str">
            <v>6487 - Interest Expense</v>
          </cell>
          <cell r="J9821">
            <v>0</v>
          </cell>
          <cell r="K9821" t="str">
            <v>Administration</v>
          </cell>
          <cell r="L9821" t="str">
            <v>Interest</v>
          </cell>
          <cell r="N9821" t="str">
            <v>BTL</v>
          </cell>
          <cell r="O9821" t="str">
            <v>[No Vendor]</v>
          </cell>
        </row>
        <row r="9822">
          <cell r="D9822">
            <v>4297.53</v>
          </cell>
          <cell r="H9822">
            <v>45839</v>
          </cell>
          <cell r="I9822" t="str">
            <v>6487 - Interest Expense</v>
          </cell>
          <cell r="J9822">
            <v>0</v>
          </cell>
          <cell r="K9822" t="str">
            <v>Administration</v>
          </cell>
          <cell r="L9822" t="str">
            <v>Interest</v>
          </cell>
          <cell r="N9822" t="str">
            <v>BTL</v>
          </cell>
          <cell r="O9822" t="str">
            <v>[No Vendor]</v>
          </cell>
        </row>
        <row r="9823">
          <cell r="D9823">
            <v>5860.27</v>
          </cell>
          <cell r="H9823">
            <v>45839</v>
          </cell>
          <cell r="I9823" t="str">
            <v>6487 - Interest Expense</v>
          </cell>
          <cell r="J9823">
            <v>0</v>
          </cell>
          <cell r="K9823" t="str">
            <v>Administration</v>
          </cell>
          <cell r="L9823" t="str">
            <v>Interest</v>
          </cell>
          <cell r="N9823" t="str">
            <v>BTL</v>
          </cell>
          <cell r="O9823" t="str">
            <v>[No Vendor]</v>
          </cell>
        </row>
        <row r="9824">
          <cell r="D9824">
            <v>15236.71</v>
          </cell>
          <cell r="H9824">
            <v>45839</v>
          </cell>
          <cell r="I9824" t="str">
            <v>6487 - Interest Expense</v>
          </cell>
          <cell r="J9824">
            <v>0</v>
          </cell>
          <cell r="K9824" t="str">
            <v>Administration</v>
          </cell>
          <cell r="L9824" t="str">
            <v>Interest</v>
          </cell>
          <cell r="N9824" t="str">
            <v>BTL</v>
          </cell>
          <cell r="O9824" t="str">
            <v>[No Vendor]</v>
          </cell>
        </row>
        <row r="9825">
          <cell r="D9825">
            <v>3906.85</v>
          </cell>
          <cell r="H9825">
            <v>45839</v>
          </cell>
          <cell r="I9825" t="str">
            <v>6487 - Interest Expense</v>
          </cell>
          <cell r="J9825">
            <v>0</v>
          </cell>
          <cell r="K9825" t="str">
            <v>Administration</v>
          </cell>
          <cell r="L9825" t="str">
            <v>Interest</v>
          </cell>
          <cell r="N9825" t="str">
            <v>BTL</v>
          </cell>
          <cell r="O9825" t="str">
            <v>[No Vendor]</v>
          </cell>
        </row>
        <row r="9826">
          <cell r="D9826">
            <v>11720.55</v>
          </cell>
          <cell r="H9826">
            <v>45839</v>
          </cell>
          <cell r="I9826" t="str">
            <v>6487 - Interest Expense</v>
          </cell>
          <cell r="J9826">
            <v>0</v>
          </cell>
          <cell r="K9826" t="str">
            <v>Administration</v>
          </cell>
          <cell r="L9826" t="str">
            <v>Interest</v>
          </cell>
          <cell r="N9826" t="str">
            <v>BTL</v>
          </cell>
          <cell r="O9826" t="str">
            <v>[No Vendor]</v>
          </cell>
        </row>
        <row r="9827">
          <cell r="D9827">
            <v>9767.1200000000008</v>
          </cell>
          <cell r="H9827">
            <v>45839</v>
          </cell>
          <cell r="I9827" t="str">
            <v>6487 - Interest Expense</v>
          </cell>
          <cell r="J9827">
            <v>0</v>
          </cell>
          <cell r="K9827" t="str">
            <v>Administration</v>
          </cell>
          <cell r="L9827" t="str">
            <v>Interest</v>
          </cell>
          <cell r="N9827" t="str">
            <v>BTL</v>
          </cell>
          <cell r="O9827" t="str">
            <v>[No Vendor]</v>
          </cell>
        </row>
        <row r="9828">
          <cell r="D9828">
            <v>5545.21</v>
          </cell>
          <cell r="H9828">
            <v>45839</v>
          </cell>
          <cell r="I9828" t="str">
            <v>6487 - Interest Expense</v>
          </cell>
          <cell r="J9828">
            <v>0</v>
          </cell>
          <cell r="K9828" t="str">
            <v>Administration</v>
          </cell>
          <cell r="L9828" t="str">
            <v>Interest</v>
          </cell>
          <cell r="N9828" t="str">
            <v>BTL</v>
          </cell>
          <cell r="O9828" t="str">
            <v>[No Vendor]</v>
          </cell>
        </row>
        <row r="9829">
          <cell r="D9829">
            <v>-13.41</v>
          </cell>
          <cell r="H9829">
            <v>45839</v>
          </cell>
          <cell r="I9829" t="str">
            <v>6520 - Taxes and Licenses</v>
          </cell>
          <cell r="J9829">
            <v>0</v>
          </cell>
          <cell r="K9829" t="str">
            <v>Administration</v>
          </cell>
          <cell r="L9829" t="str">
            <v>Other</v>
          </cell>
          <cell r="N9829" t="str">
            <v>SG&amp;A</v>
          </cell>
          <cell r="O9829" t="str">
            <v>[No Vendor]</v>
          </cell>
        </row>
        <row r="9830">
          <cell r="D9830">
            <v>24.41</v>
          </cell>
          <cell r="H9830">
            <v>45839</v>
          </cell>
          <cell r="I9830" t="str">
            <v>7030 - Plant Machinery &amp; Equipment</v>
          </cell>
          <cell r="J9830">
            <v>0</v>
          </cell>
          <cell r="K9830" t="str">
            <v>Administration</v>
          </cell>
          <cell r="L9830" t="str">
            <v>Depreciation &amp; Amortization</v>
          </cell>
          <cell r="N9830" t="str">
            <v>SG&amp;A</v>
          </cell>
          <cell r="O9830" t="str">
            <v>[No Vendor]</v>
          </cell>
        </row>
        <row r="9831">
          <cell r="D9831">
            <v>15.83</v>
          </cell>
          <cell r="H9831">
            <v>45839</v>
          </cell>
          <cell r="I9831" t="str">
            <v>7030 - Plant Machinery &amp; Equipment</v>
          </cell>
          <cell r="J9831">
            <v>0</v>
          </cell>
          <cell r="K9831" t="str">
            <v>Production</v>
          </cell>
          <cell r="L9831" t="str">
            <v>Depreciation &amp; Amortization</v>
          </cell>
          <cell r="N9831" t="str">
            <v>SG&amp;A</v>
          </cell>
          <cell r="O9831" t="str">
            <v>[No Vendor]</v>
          </cell>
        </row>
        <row r="9832">
          <cell r="D9832">
            <v>141.36000000000001</v>
          </cell>
          <cell r="H9832">
            <v>45839</v>
          </cell>
          <cell r="I9832" t="str">
            <v>7040 - Furniture &amp; Fixtures</v>
          </cell>
          <cell r="J9832">
            <v>0</v>
          </cell>
          <cell r="K9832" t="str">
            <v>Administration</v>
          </cell>
          <cell r="L9832" t="str">
            <v>Depreciation &amp; Amortization</v>
          </cell>
          <cell r="N9832" t="str">
            <v>SG&amp;A</v>
          </cell>
          <cell r="O9832" t="str">
            <v>[No Vendor]</v>
          </cell>
        </row>
        <row r="9833">
          <cell r="D9833">
            <v>259.97000000000003</v>
          </cell>
          <cell r="H9833">
            <v>45839</v>
          </cell>
          <cell r="I9833" t="str">
            <v>7040 - Furniture &amp; Fixtures</v>
          </cell>
          <cell r="J9833" t="str">
            <v>Wholesale</v>
          </cell>
          <cell r="K9833" t="str">
            <v>Wholesale</v>
          </cell>
          <cell r="L9833" t="str">
            <v>Depreciation &amp; Amortization</v>
          </cell>
          <cell r="N9833" t="str">
            <v>SG&amp;A</v>
          </cell>
          <cell r="O9833" t="str">
            <v>[No Vendor]</v>
          </cell>
        </row>
        <row r="9834">
          <cell r="D9834">
            <v>589.29999999999995</v>
          </cell>
          <cell r="H9834">
            <v>45839</v>
          </cell>
          <cell r="I9834" t="str">
            <v>7060 - Information Technology &amp; Software</v>
          </cell>
          <cell r="J9834">
            <v>0</v>
          </cell>
          <cell r="K9834" t="str">
            <v>Administration</v>
          </cell>
          <cell r="L9834" t="str">
            <v>Depreciation &amp; Amortization</v>
          </cell>
          <cell r="N9834" t="str">
            <v>SG&amp;A</v>
          </cell>
          <cell r="O9834" t="str">
            <v>[No Vendor]</v>
          </cell>
        </row>
        <row r="9835">
          <cell r="D9835">
            <v>216.66</v>
          </cell>
          <cell r="H9835">
            <v>45839</v>
          </cell>
          <cell r="I9835" t="str">
            <v>7060 - Information Technology &amp; Software</v>
          </cell>
          <cell r="J9835">
            <v>0</v>
          </cell>
          <cell r="K9835" t="str">
            <v>Design</v>
          </cell>
          <cell r="L9835" t="str">
            <v>Depreciation &amp; Amortization</v>
          </cell>
          <cell r="N9835" t="str">
            <v>SG&amp;A</v>
          </cell>
          <cell r="O9835" t="str">
            <v>[No Vendor]</v>
          </cell>
        </row>
        <row r="9836">
          <cell r="D9836">
            <v>228.04</v>
          </cell>
          <cell r="H9836">
            <v>45839</v>
          </cell>
          <cell r="I9836" t="str">
            <v>7060 - Information Technology &amp; Software</v>
          </cell>
          <cell r="J9836" t="str">
            <v>Ecommerce (US)</v>
          </cell>
          <cell r="K9836" t="str">
            <v>Ecommerce</v>
          </cell>
          <cell r="L9836" t="str">
            <v>Depreciation &amp; Amortization</v>
          </cell>
          <cell r="N9836" t="str">
            <v>SG&amp;A</v>
          </cell>
          <cell r="O9836" t="str">
            <v>[No Vendor]</v>
          </cell>
        </row>
        <row r="9837">
          <cell r="D9837">
            <v>66.72</v>
          </cell>
          <cell r="H9837">
            <v>45839</v>
          </cell>
          <cell r="I9837" t="str">
            <v>7060 - Information Technology &amp; Software</v>
          </cell>
          <cell r="J9837">
            <v>0</v>
          </cell>
          <cell r="K9837" t="str">
            <v>Executive</v>
          </cell>
          <cell r="L9837" t="str">
            <v>Depreciation &amp; Amortization</v>
          </cell>
          <cell r="N9837" t="str">
            <v>SG&amp;A</v>
          </cell>
          <cell r="O9837" t="str">
            <v>[No Vendor]</v>
          </cell>
        </row>
        <row r="9838">
          <cell r="D9838">
            <v>189.1</v>
          </cell>
          <cell r="H9838">
            <v>45839</v>
          </cell>
          <cell r="I9838" t="str">
            <v>7060 - Information Technology &amp; Software</v>
          </cell>
          <cell r="J9838">
            <v>0</v>
          </cell>
          <cell r="K9838" t="str">
            <v>Brand Marketing</v>
          </cell>
          <cell r="L9838" t="str">
            <v>Depreciation &amp; Amortization</v>
          </cell>
          <cell r="N9838" t="str">
            <v>SG&amp;A</v>
          </cell>
          <cell r="O9838" t="str">
            <v>[No Vendor]</v>
          </cell>
        </row>
        <row r="9839">
          <cell r="D9839">
            <v>65.48</v>
          </cell>
          <cell r="H9839">
            <v>45839</v>
          </cell>
          <cell r="I9839" t="str">
            <v>7060 - Information Technology &amp; Software</v>
          </cell>
          <cell r="J9839">
            <v>0</v>
          </cell>
          <cell r="K9839" t="str">
            <v>Merchandising</v>
          </cell>
          <cell r="L9839" t="str">
            <v>Depreciation &amp; Amortization</v>
          </cell>
          <cell r="N9839" t="str">
            <v>SG&amp;A</v>
          </cell>
          <cell r="O9839" t="str">
            <v>[No Vendor]</v>
          </cell>
        </row>
        <row r="9840">
          <cell r="D9840">
            <v>156.94</v>
          </cell>
          <cell r="H9840">
            <v>45839</v>
          </cell>
          <cell r="I9840" t="str">
            <v>7060 - Information Technology &amp; Software</v>
          </cell>
          <cell r="J9840">
            <v>0</v>
          </cell>
          <cell r="K9840" t="str">
            <v>Production</v>
          </cell>
          <cell r="L9840" t="str">
            <v>Depreciation &amp; Amortization</v>
          </cell>
          <cell r="N9840" t="str">
            <v>SG&amp;A</v>
          </cell>
          <cell r="O9840" t="str">
            <v>[No Vendor]</v>
          </cell>
        </row>
        <row r="9841">
          <cell r="D9841">
            <v>113.67</v>
          </cell>
          <cell r="H9841">
            <v>45839</v>
          </cell>
          <cell r="I9841" t="str">
            <v>7060 - Information Technology &amp; Software</v>
          </cell>
          <cell r="J9841" t="str">
            <v>Wholesale</v>
          </cell>
          <cell r="K9841" t="str">
            <v>Wholesale</v>
          </cell>
          <cell r="L9841" t="str">
            <v>Depreciation &amp; Amortization</v>
          </cell>
          <cell r="N9841" t="str">
            <v>SG&amp;A</v>
          </cell>
          <cell r="O9841" t="str">
            <v>[No Vendor]</v>
          </cell>
        </row>
        <row r="9842">
          <cell r="D9842">
            <v>1954.72</v>
          </cell>
          <cell r="H9842">
            <v>45839</v>
          </cell>
          <cell r="I9842" t="str">
            <v>7130 - License Agreements &amp; Other Intangibles</v>
          </cell>
          <cell r="J9842">
            <v>0</v>
          </cell>
          <cell r="K9842" t="str">
            <v>Administration</v>
          </cell>
          <cell r="L9842" t="str">
            <v>Depreciation &amp; Amortization</v>
          </cell>
          <cell r="N9842" t="str">
            <v>SG&amp;A</v>
          </cell>
          <cell r="O9842" t="str">
            <v>[No Vendor]</v>
          </cell>
        </row>
        <row r="9843">
          <cell r="D9843">
            <v>23940.66</v>
          </cell>
          <cell r="H9843">
            <v>45839</v>
          </cell>
          <cell r="I9843" t="str">
            <v>7140 - Amortization Exp - ROU Asset</v>
          </cell>
          <cell r="J9843">
            <v>0</v>
          </cell>
          <cell r="K9843" t="str">
            <v>Administration</v>
          </cell>
          <cell r="L9843" t="str">
            <v>Rent</v>
          </cell>
          <cell r="N9843" t="str">
            <v>SG&amp;A</v>
          </cell>
          <cell r="O9843" t="str">
            <v>[No Vendor]</v>
          </cell>
        </row>
        <row r="9844">
          <cell r="D9844">
            <v>587.73</v>
          </cell>
          <cell r="H9844">
            <v>45839</v>
          </cell>
          <cell r="I9844" t="str">
            <v>7140 - Amortization Exp - ROU Asset</v>
          </cell>
          <cell r="J9844">
            <v>0</v>
          </cell>
          <cell r="K9844" t="str">
            <v>Administration</v>
          </cell>
          <cell r="L9844" t="str">
            <v>Rent</v>
          </cell>
          <cell r="N9844" t="str">
            <v>SG&amp;A</v>
          </cell>
          <cell r="O9844" t="str">
            <v>[No Vendor]</v>
          </cell>
        </row>
        <row r="9845">
          <cell r="D9845">
            <v>0</v>
          </cell>
          <cell r="H9845">
            <v>45839</v>
          </cell>
          <cell r="I9845" t="str">
            <v>8000 - Interest Income</v>
          </cell>
          <cell r="J9845">
            <v>0</v>
          </cell>
          <cell r="K9845" t="str">
            <v>Licensing</v>
          </cell>
          <cell r="L9845" t="str">
            <v>Other Income (BTL)</v>
          </cell>
          <cell r="N9845" t="str">
            <v>BTL</v>
          </cell>
          <cell r="O9845" t="str">
            <v>[No Vendor]</v>
          </cell>
        </row>
        <row r="9846">
          <cell r="D9846">
            <v>913.42</v>
          </cell>
          <cell r="H9846">
            <v>45839</v>
          </cell>
          <cell r="I9846" t="str">
            <v>8505 - Realized Gain/Loss</v>
          </cell>
          <cell r="J9846">
            <v>0</v>
          </cell>
          <cell r="K9846" t="str">
            <v>No Department</v>
          </cell>
          <cell r="L9846" t="str">
            <v>Realized Gain / Loss</v>
          </cell>
          <cell r="N9846" t="str">
            <v>BTL</v>
          </cell>
          <cell r="O9846" t="str">
            <v>[No Vendor]</v>
          </cell>
        </row>
        <row r="9847">
          <cell r="D9847">
            <v>163.99</v>
          </cell>
          <cell r="H9847">
            <v>45839</v>
          </cell>
          <cell r="I9847" t="str">
            <v>8505 - Realized Gain/Loss</v>
          </cell>
          <cell r="J9847">
            <v>0</v>
          </cell>
          <cell r="K9847" t="str">
            <v>No Department</v>
          </cell>
          <cell r="L9847" t="str">
            <v>Realized Gain / Loss</v>
          </cell>
          <cell r="N9847" t="str">
            <v>BTL</v>
          </cell>
          <cell r="O9847" t="str">
            <v>[No Vendor]</v>
          </cell>
        </row>
        <row r="9848">
          <cell r="D9848">
            <v>-2833.5</v>
          </cell>
          <cell r="H9848">
            <v>45839</v>
          </cell>
          <cell r="I9848" t="str">
            <v>8505 - Realized Gain/Loss</v>
          </cell>
          <cell r="J9848">
            <v>0</v>
          </cell>
          <cell r="K9848" t="str">
            <v>No Department</v>
          </cell>
          <cell r="L9848" t="str">
            <v>Realized Gain / Loss</v>
          </cell>
          <cell r="N9848" t="str">
            <v>BTL</v>
          </cell>
          <cell r="O9848" t="str">
            <v>[No Vendor]</v>
          </cell>
        </row>
        <row r="9849">
          <cell r="D9849">
            <v>681320.26</v>
          </cell>
          <cell r="H9849">
            <v>45839</v>
          </cell>
          <cell r="I9849" t="str">
            <v>8700 - Other Expense</v>
          </cell>
          <cell r="J9849">
            <v>0</v>
          </cell>
          <cell r="K9849" t="str">
            <v>Administration</v>
          </cell>
          <cell r="L9849" t="str">
            <v>Other Expense</v>
          </cell>
          <cell r="N9849" t="str">
            <v>BTL</v>
          </cell>
          <cell r="O9849" t="str">
            <v>Bryan Cave Leighton Paisner LLP</v>
          </cell>
        </row>
        <row r="9850">
          <cell r="D9850">
            <v>12577.12</v>
          </cell>
          <cell r="H9850">
            <v>45839</v>
          </cell>
          <cell r="I9850" t="str">
            <v>8700 - Other Expense</v>
          </cell>
          <cell r="J9850">
            <v>0</v>
          </cell>
          <cell r="K9850" t="str">
            <v>Administration</v>
          </cell>
          <cell r="L9850" t="str">
            <v>Other Expense</v>
          </cell>
          <cell r="N9850" t="str">
            <v>BTL</v>
          </cell>
          <cell r="O9850" t="str">
            <v>Ontier UK</v>
          </cell>
        </row>
        <row r="9851">
          <cell r="D9851">
            <v>257.47000000000003</v>
          </cell>
          <cell r="H9851">
            <v>45839</v>
          </cell>
          <cell r="I9851" t="str">
            <v>8700 - Other Expense</v>
          </cell>
          <cell r="J9851">
            <v>0</v>
          </cell>
          <cell r="K9851" t="str">
            <v>Administration</v>
          </cell>
          <cell r="L9851" t="str">
            <v>Other Expense</v>
          </cell>
          <cell r="N9851" t="str">
            <v>BTL</v>
          </cell>
          <cell r="O9851" t="str">
            <v>[No Vendor]</v>
          </cell>
        </row>
        <row r="9852">
          <cell r="D9852">
            <v>600000</v>
          </cell>
          <cell r="H9852">
            <v>45839</v>
          </cell>
          <cell r="I9852" t="str">
            <v>8700 - Other Expense</v>
          </cell>
          <cell r="J9852">
            <v>0</v>
          </cell>
          <cell r="K9852" t="str">
            <v>Administration</v>
          </cell>
          <cell r="L9852" t="str">
            <v>Other Expense</v>
          </cell>
          <cell r="N9852" t="str">
            <v>BTL</v>
          </cell>
          <cell r="O9852" t="str">
            <v>[No Vendor]</v>
          </cell>
        </row>
        <row r="9853">
          <cell r="D9853">
            <v>3685.07</v>
          </cell>
          <cell r="H9853">
            <v>45839</v>
          </cell>
          <cell r="I9853" t="str">
            <v>8700 - Other Expense</v>
          </cell>
          <cell r="J9853" t="str">
            <v>Ecommerce (US)</v>
          </cell>
          <cell r="K9853" t="str">
            <v>Ecommerce</v>
          </cell>
          <cell r="L9853" t="str">
            <v>Other Expense</v>
          </cell>
          <cell r="N9853" t="str">
            <v>BTL</v>
          </cell>
          <cell r="O9853" t="str">
            <v>[No Vendor]</v>
          </cell>
        </row>
        <row r="9854">
          <cell r="D9854">
            <v>37181.46</v>
          </cell>
          <cell r="H9854">
            <v>45839</v>
          </cell>
          <cell r="I9854" t="str">
            <v>Unrealized Gain/Loss</v>
          </cell>
          <cell r="J9854">
            <v>0</v>
          </cell>
          <cell r="K9854" t="str">
            <v>No Department</v>
          </cell>
          <cell r="L9854" t="str">
            <v>Unrealized Gain / Loss</v>
          </cell>
          <cell r="N9854" t="str">
            <v>BTL</v>
          </cell>
          <cell r="O9854" t="str">
            <v>[No Vendor]</v>
          </cell>
        </row>
        <row r="9855">
          <cell r="D9855">
            <v>141226.76999999999</v>
          </cell>
          <cell r="H9855">
            <v>45839</v>
          </cell>
          <cell r="I9855" t="str">
            <v>Unrealized Gain/Loss</v>
          </cell>
          <cell r="J9855">
            <v>0</v>
          </cell>
          <cell r="K9855" t="str">
            <v>No Department</v>
          </cell>
          <cell r="L9855" t="str">
            <v>Unrealized Gain / Loss</v>
          </cell>
          <cell r="N9855" t="str">
            <v>BTL</v>
          </cell>
          <cell r="O9855" t="str">
            <v>[No Vendor]</v>
          </cell>
        </row>
        <row r="9856">
          <cell r="D9856">
            <v>-17071.38</v>
          </cell>
          <cell r="H9856">
            <v>45839</v>
          </cell>
          <cell r="I9856" t="str">
            <v>Unrealized Gain/Loss</v>
          </cell>
          <cell r="J9856">
            <v>0</v>
          </cell>
          <cell r="K9856" t="str">
            <v>No Department</v>
          </cell>
          <cell r="L9856" t="str">
            <v>Unrealized Gain / Loss</v>
          </cell>
          <cell r="N9856" t="str">
            <v>BTL</v>
          </cell>
          <cell r="O9856" t="str">
            <v>[No Vendor]</v>
          </cell>
        </row>
        <row r="9857">
          <cell r="D9857">
            <v>-77917.31</v>
          </cell>
          <cell r="H9857">
            <v>45839</v>
          </cell>
          <cell r="I9857" t="str">
            <v>Unrealized Gain/Loss</v>
          </cell>
          <cell r="J9857">
            <v>0</v>
          </cell>
          <cell r="K9857" t="str">
            <v>No Department</v>
          </cell>
          <cell r="L9857" t="str">
            <v>Unrealized Gain / Loss</v>
          </cell>
          <cell r="N9857" t="str">
            <v>BTL</v>
          </cell>
          <cell r="O9857" t="str">
            <v>[No Vendor]</v>
          </cell>
        </row>
        <row r="9858">
          <cell r="D9858">
            <v>0</v>
          </cell>
          <cell r="H9858">
            <v>45870</v>
          </cell>
          <cell r="I9858" t="str">
            <v>4010 - Revenue - Licensing Fees (Royalties)</v>
          </cell>
          <cell r="J9858">
            <v>0</v>
          </cell>
          <cell r="K9858" t="str">
            <v>Licensing</v>
          </cell>
          <cell r="L9858" t="str">
            <v>License</v>
          </cell>
          <cell r="N9858" t="str">
            <v>Revenue</v>
          </cell>
          <cell r="O9858" t="str">
            <v>[No Vendor]</v>
          </cell>
        </row>
        <row r="9859">
          <cell r="D9859">
            <v>-4166.67</v>
          </cell>
          <cell r="H9859">
            <v>45870</v>
          </cell>
          <cell r="I9859" t="str">
            <v>4010 - Revenue - Licensing Fees (Royalties)</v>
          </cell>
          <cell r="J9859">
            <v>0</v>
          </cell>
          <cell r="K9859" t="str">
            <v>Licensing</v>
          </cell>
          <cell r="L9859" t="str">
            <v>License</v>
          </cell>
          <cell r="N9859" t="str">
            <v>Revenue</v>
          </cell>
          <cell r="O9859" t="str">
            <v>[No Vendor]</v>
          </cell>
        </row>
        <row r="9860">
          <cell r="D9860">
            <v>-47901.58</v>
          </cell>
          <cell r="H9860">
            <v>45870</v>
          </cell>
          <cell r="I9860" t="str">
            <v>4010 - Revenue - Licensing Fees (Royalties)</v>
          </cell>
          <cell r="J9860">
            <v>0</v>
          </cell>
          <cell r="K9860" t="str">
            <v>Licensing</v>
          </cell>
          <cell r="L9860" t="str">
            <v>License</v>
          </cell>
          <cell r="N9860" t="str">
            <v>Revenue</v>
          </cell>
          <cell r="O9860" t="str">
            <v>[No Vendor]</v>
          </cell>
        </row>
        <row r="9861">
          <cell r="D9861">
            <v>0</v>
          </cell>
          <cell r="H9861">
            <v>45870</v>
          </cell>
          <cell r="I9861" t="str">
            <v>4010 - Revenue - Licensing Fees (Royalties)</v>
          </cell>
          <cell r="J9861">
            <v>0</v>
          </cell>
          <cell r="K9861" t="str">
            <v>Licensing</v>
          </cell>
          <cell r="L9861" t="str">
            <v>License</v>
          </cell>
          <cell r="N9861" t="str">
            <v>Revenue</v>
          </cell>
          <cell r="O9861" t="str">
            <v>[No Vendor]</v>
          </cell>
        </row>
        <row r="9862">
          <cell r="D9862">
            <v>0</v>
          </cell>
          <cell r="H9862">
            <v>45870</v>
          </cell>
          <cell r="I9862" t="str">
            <v>4010 - Revenue - Licensing Fees (Royalties)</v>
          </cell>
          <cell r="J9862">
            <v>0</v>
          </cell>
          <cell r="K9862" t="str">
            <v>Licensing</v>
          </cell>
          <cell r="L9862" t="str">
            <v>License</v>
          </cell>
          <cell r="N9862" t="str">
            <v>Revenue</v>
          </cell>
          <cell r="O9862" t="str">
            <v>[No Vendor]</v>
          </cell>
        </row>
        <row r="9863">
          <cell r="D9863">
            <v>0</v>
          </cell>
          <cell r="H9863">
            <v>45870</v>
          </cell>
          <cell r="I9863" t="str">
            <v>4010 - Revenue - Licensing Fees (Royalties)</v>
          </cell>
          <cell r="J9863">
            <v>0</v>
          </cell>
          <cell r="K9863" t="str">
            <v>Licensing</v>
          </cell>
          <cell r="L9863" t="str">
            <v>License</v>
          </cell>
          <cell r="N9863" t="str">
            <v>Revenue</v>
          </cell>
          <cell r="O9863" t="str">
            <v>[No Vendor]</v>
          </cell>
        </row>
        <row r="9864">
          <cell r="D9864">
            <v>0</v>
          </cell>
          <cell r="H9864">
            <v>45870</v>
          </cell>
          <cell r="I9864" t="str">
            <v>4010 - Revenue - Licensing Fees (Royalties)</v>
          </cell>
          <cell r="J9864">
            <v>0</v>
          </cell>
          <cell r="K9864" t="str">
            <v>Licensing</v>
          </cell>
          <cell r="L9864" t="str">
            <v>License</v>
          </cell>
          <cell r="N9864" t="str">
            <v>Revenue</v>
          </cell>
          <cell r="O9864" t="str">
            <v>[No Vendor]</v>
          </cell>
        </row>
        <row r="9865">
          <cell r="D9865">
            <v>0</v>
          </cell>
          <cell r="H9865">
            <v>45870</v>
          </cell>
          <cell r="I9865" t="str">
            <v>4020 - Revenue - Marketing Contribution</v>
          </cell>
          <cell r="J9865">
            <v>0</v>
          </cell>
          <cell r="K9865" t="str">
            <v>Licensing</v>
          </cell>
          <cell r="L9865" t="str">
            <v>License</v>
          </cell>
          <cell r="N9865" t="str">
            <v>Revenue</v>
          </cell>
          <cell r="O9865" t="str">
            <v>[No Vendor]</v>
          </cell>
        </row>
        <row r="9866">
          <cell r="D9866">
            <v>-52914.2</v>
          </cell>
          <cell r="H9866">
            <v>45870</v>
          </cell>
          <cell r="I9866" t="str">
            <v>4050 - Sales Revenue - Ecommerce (US)</v>
          </cell>
          <cell r="J9866" t="str">
            <v>Ecommerce (US)</v>
          </cell>
          <cell r="K9866" t="str">
            <v>Ecommerce</v>
          </cell>
          <cell r="L9866" t="str">
            <v>Ecommerce (US)</v>
          </cell>
          <cell r="N9866" t="str">
            <v>Revenue</v>
          </cell>
          <cell r="O9866" t="str">
            <v>[No Vendor]</v>
          </cell>
        </row>
        <row r="9867">
          <cell r="D9867">
            <v>-1307471.3400000001</v>
          </cell>
          <cell r="H9867">
            <v>45870</v>
          </cell>
          <cell r="I9867" t="str">
            <v>4050 - Sales Revenue - Ecommerce (US)</v>
          </cell>
          <cell r="J9867" t="str">
            <v>Ecommerce (US)</v>
          </cell>
          <cell r="K9867" t="str">
            <v>Ecommerce</v>
          </cell>
          <cell r="L9867" t="str">
            <v>Ecommerce (US)</v>
          </cell>
          <cell r="N9867" t="str">
            <v>Revenue</v>
          </cell>
          <cell r="O9867" t="str">
            <v>[No Vendor]</v>
          </cell>
        </row>
        <row r="9868">
          <cell r="D9868">
            <v>-42364.53</v>
          </cell>
          <cell r="H9868">
            <v>45870</v>
          </cell>
          <cell r="I9868" t="str">
            <v>4051 - Sales Revenue - Ecommerce (Intl)</v>
          </cell>
          <cell r="J9868" t="str">
            <v>Ecommerce (EU)</v>
          </cell>
          <cell r="K9868" t="str">
            <v>Ecommerce</v>
          </cell>
          <cell r="L9868" t="str">
            <v>Ecommerce (EU)</v>
          </cell>
          <cell r="N9868" t="str">
            <v>Revenue</v>
          </cell>
          <cell r="O9868" t="str">
            <v>[No Vendor]</v>
          </cell>
        </row>
        <row r="9869">
          <cell r="D9869">
            <v>-189209.5</v>
          </cell>
          <cell r="H9869">
            <v>45870</v>
          </cell>
          <cell r="I9869" t="str">
            <v>4052 - Sales Revenue - Wholesale (US)</v>
          </cell>
          <cell r="J9869" t="str">
            <v>Wholesale</v>
          </cell>
          <cell r="K9869" t="str">
            <v>Wholesale</v>
          </cell>
          <cell r="L9869" t="str">
            <v>Wholesale</v>
          </cell>
          <cell r="N9869" t="str">
            <v>Revenue</v>
          </cell>
          <cell r="O9869" t="str">
            <v>[No Vendor]</v>
          </cell>
        </row>
        <row r="9870">
          <cell r="D9870">
            <v>-4055</v>
          </cell>
          <cell r="H9870">
            <v>45870</v>
          </cell>
          <cell r="I9870" t="str">
            <v>4070 - Sales - Other</v>
          </cell>
          <cell r="J9870" t="str">
            <v>Ecommerce (US)</v>
          </cell>
          <cell r="K9870" t="str">
            <v>Ecommerce</v>
          </cell>
          <cell r="L9870" t="str">
            <v>Other Income</v>
          </cell>
          <cell r="N9870" t="str">
            <v>Revenue</v>
          </cell>
          <cell r="O9870" t="str">
            <v>[No Vendor]</v>
          </cell>
        </row>
        <row r="9871">
          <cell r="D9871">
            <v>-99099</v>
          </cell>
          <cell r="H9871">
            <v>45870</v>
          </cell>
          <cell r="I9871" t="str">
            <v>4070 - Sales - Other</v>
          </cell>
          <cell r="J9871" t="str">
            <v>Ecommerce (US)</v>
          </cell>
          <cell r="K9871" t="str">
            <v>Ecommerce</v>
          </cell>
          <cell r="L9871" t="str">
            <v>Other Income</v>
          </cell>
          <cell r="N9871" t="str">
            <v>Revenue</v>
          </cell>
          <cell r="O9871" t="str">
            <v>[No Vendor]</v>
          </cell>
        </row>
        <row r="9872">
          <cell r="D9872">
            <v>0</v>
          </cell>
          <cell r="H9872">
            <v>45870</v>
          </cell>
          <cell r="I9872" t="str">
            <v>4070 - Sales - Other</v>
          </cell>
          <cell r="J9872">
            <v>0</v>
          </cell>
          <cell r="K9872" t="str">
            <v>Licensing</v>
          </cell>
          <cell r="L9872" t="str">
            <v>Other Income</v>
          </cell>
          <cell r="N9872" t="str">
            <v>Revenue</v>
          </cell>
          <cell r="O9872" t="str">
            <v>[No Vendor]</v>
          </cell>
        </row>
        <row r="9873">
          <cell r="D9873">
            <v>-5206.83</v>
          </cell>
          <cell r="H9873">
            <v>45870</v>
          </cell>
          <cell r="I9873" t="str">
            <v>4900 - Interco Royalty Revenue</v>
          </cell>
          <cell r="J9873">
            <v>0</v>
          </cell>
          <cell r="K9873" t="str">
            <v>Licensing</v>
          </cell>
          <cell r="L9873">
            <v>0</v>
          </cell>
          <cell r="N9873">
            <v>0</v>
          </cell>
          <cell r="O9873" t="str">
            <v>[No Vendor]</v>
          </cell>
        </row>
        <row r="9874">
          <cell r="D9874">
            <v>0</v>
          </cell>
          <cell r="H9874">
            <v>45870</v>
          </cell>
          <cell r="I9874" t="str">
            <v>4062 - Sales Discount - Ecomm (US)</v>
          </cell>
          <cell r="J9874" t="str">
            <v>Ecommerce (US)</v>
          </cell>
          <cell r="K9874" t="str">
            <v>Ecommerce</v>
          </cell>
          <cell r="L9874" t="str">
            <v>Ecommerce (US)</v>
          </cell>
          <cell r="N9874" t="str">
            <v>Revenue</v>
          </cell>
          <cell r="O9874" t="str">
            <v>[No Vendor]</v>
          </cell>
        </row>
        <row r="9875">
          <cell r="D9875">
            <v>134266.49</v>
          </cell>
          <cell r="H9875">
            <v>45870</v>
          </cell>
          <cell r="I9875" t="str">
            <v>4062 - Sales Discount - Ecomm (US)</v>
          </cell>
          <cell r="J9875" t="str">
            <v>Ecommerce (US)</v>
          </cell>
          <cell r="K9875" t="str">
            <v>Ecommerce</v>
          </cell>
          <cell r="L9875" t="str">
            <v>Ecommerce (US)</v>
          </cell>
          <cell r="N9875" t="str">
            <v>Revenue</v>
          </cell>
          <cell r="O9875" t="str">
            <v>[No Vendor]</v>
          </cell>
        </row>
        <row r="9876">
          <cell r="D9876">
            <v>20278.05</v>
          </cell>
          <cell r="H9876">
            <v>45870</v>
          </cell>
          <cell r="I9876" t="str">
            <v>4063 - Sales Discount - Wholesale (US)</v>
          </cell>
          <cell r="J9876" t="str">
            <v>Wholesale</v>
          </cell>
          <cell r="K9876" t="str">
            <v>Wholesale</v>
          </cell>
          <cell r="L9876" t="str">
            <v>Wholesale</v>
          </cell>
          <cell r="N9876" t="str">
            <v>Revenue</v>
          </cell>
          <cell r="O9876" t="str">
            <v>[No Vendor]</v>
          </cell>
        </row>
        <row r="9877">
          <cell r="D9877">
            <v>2552.6999999999998</v>
          </cell>
          <cell r="H9877">
            <v>45870</v>
          </cell>
          <cell r="I9877" t="str">
            <v>4063 - Sales Discount - Wholesale (US)</v>
          </cell>
          <cell r="J9877" t="str">
            <v>Wholesale</v>
          </cell>
          <cell r="K9877" t="str">
            <v>Wholesale</v>
          </cell>
          <cell r="L9877" t="str">
            <v>Wholesale</v>
          </cell>
          <cell r="N9877" t="str">
            <v>Revenue</v>
          </cell>
          <cell r="O9877" t="str">
            <v>[No Vendor]</v>
          </cell>
        </row>
        <row r="9878">
          <cell r="D9878">
            <v>16536.41</v>
          </cell>
          <cell r="H9878">
            <v>45870</v>
          </cell>
          <cell r="I9878" t="str">
            <v>5000 - Cost of Goods Sold</v>
          </cell>
          <cell r="J9878" t="str">
            <v>Ecommerce (EU)</v>
          </cell>
          <cell r="K9878" t="str">
            <v>Ecommerce</v>
          </cell>
          <cell r="L9878" t="str">
            <v>COGS</v>
          </cell>
          <cell r="N9878" t="str">
            <v>COGS</v>
          </cell>
          <cell r="O9878" t="str">
            <v>[No Vendor]</v>
          </cell>
        </row>
        <row r="9879">
          <cell r="D9879">
            <v>561231.18000000005</v>
          </cell>
          <cell r="H9879">
            <v>45870</v>
          </cell>
          <cell r="I9879" t="str">
            <v>5000 - Cost of Goods Sold</v>
          </cell>
          <cell r="J9879" t="str">
            <v>Ecommerce (US)</v>
          </cell>
          <cell r="K9879" t="str">
            <v>Ecommerce</v>
          </cell>
          <cell r="L9879" t="str">
            <v>COGS</v>
          </cell>
          <cell r="N9879" t="str">
            <v>COGS</v>
          </cell>
          <cell r="O9879" t="str">
            <v>[No Vendor]</v>
          </cell>
        </row>
        <row r="9880">
          <cell r="D9880">
            <v>-83885.14</v>
          </cell>
          <cell r="H9880">
            <v>45870</v>
          </cell>
          <cell r="I9880" t="str">
            <v>5000 - Cost of Goods Sold</v>
          </cell>
          <cell r="J9880" t="str">
            <v>Ecommerce (US)</v>
          </cell>
          <cell r="K9880" t="str">
            <v>Ecommerce</v>
          </cell>
          <cell r="L9880" t="str">
            <v>COGS</v>
          </cell>
          <cell r="N9880" t="str">
            <v>COGS</v>
          </cell>
          <cell r="O9880" t="str">
            <v>[No Vendor]</v>
          </cell>
        </row>
        <row r="9881">
          <cell r="D9881">
            <v>23557.63</v>
          </cell>
          <cell r="H9881">
            <v>45870</v>
          </cell>
          <cell r="I9881" t="str">
            <v>5000 - Cost of Goods Sold</v>
          </cell>
          <cell r="J9881" t="str">
            <v>Ecommerce (US)</v>
          </cell>
          <cell r="K9881" t="str">
            <v>Ecommerce</v>
          </cell>
          <cell r="L9881" t="str">
            <v>COGS</v>
          </cell>
          <cell r="N9881" t="str">
            <v>COGS</v>
          </cell>
          <cell r="O9881" t="str">
            <v>[No Vendor]</v>
          </cell>
        </row>
        <row r="9882">
          <cell r="D9882">
            <v>97227.69</v>
          </cell>
          <cell r="H9882">
            <v>45870</v>
          </cell>
          <cell r="I9882" t="str">
            <v>5000 - Cost of Goods Sold</v>
          </cell>
          <cell r="J9882" t="str">
            <v>Wholesale</v>
          </cell>
          <cell r="K9882" t="str">
            <v>Wholesale</v>
          </cell>
          <cell r="L9882" t="str">
            <v>COGS</v>
          </cell>
          <cell r="N9882" t="str">
            <v>COGS</v>
          </cell>
          <cell r="O9882" t="str">
            <v>[No Vendor]</v>
          </cell>
        </row>
        <row r="9883">
          <cell r="D9883">
            <v>-4566.1000000000004</v>
          </cell>
          <cell r="H9883">
            <v>45870</v>
          </cell>
          <cell r="I9883" t="str">
            <v>5000 - Cost of Goods Sold</v>
          </cell>
          <cell r="J9883" t="str">
            <v>Wholesale</v>
          </cell>
          <cell r="K9883" t="str">
            <v>Wholesale</v>
          </cell>
          <cell r="L9883" t="str">
            <v>COGS</v>
          </cell>
          <cell r="N9883" t="str">
            <v>COGS</v>
          </cell>
          <cell r="O9883" t="str">
            <v>[No Vendor]</v>
          </cell>
        </row>
        <row r="9884">
          <cell r="D9884">
            <v>-3450.42</v>
          </cell>
          <cell r="H9884">
            <v>45870</v>
          </cell>
          <cell r="I9884" t="str">
            <v>5000 - Cost of Goods Sold</v>
          </cell>
          <cell r="J9884" t="str">
            <v>Wholesale</v>
          </cell>
          <cell r="K9884" t="str">
            <v>Wholesale</v>
          </cell>
          <cell r="L9884" t="str">
            <v>COGS</v>
          </cell>
          <cell r="N9884" t="str">
            <v>COGS</v>
          </cell>
          <cell r="O9884" t="str">
            <v>[No Vendor]</v>
          </cell>
        </row>
        <row r="9885">
          <cell r="D9885">
            <v>83885.14</v>
          </cell>
          <cell r="H9885">
            <v>45870</v>
          </cell>
          <cell r="I9885" t="str">
            <v>5001 - Cost of Goods Sold - Other</v>
          </cell>
          <cell r="J9885" t="str">
            <v>Ecommerce (US)</v>
          </cell>
          <cell r="K9885" t="str">
            <v>Ecommerce</v>
          </cell>
          <cell r="L9885" t="str">
            <v>Other COGS</v>
          </cell>
          <cell r="N9885" t="str">
            <v>COGS</v>
          </cell>
          <cell r="O9885" t="str">
            <v>[No Vendor]</v>
          </cell>
        </row>
        <row r="9886">
          <cell r="D9886">
            <v>5206.83</v>
          </cell>
          <cell r="H9886">
            <v>45870</v>
          </cell>
          <cell r="I9886" t="str">
            <v>5900 - Interco Royalty Expense</v>
          </cell>
          <cell r="J9886">
            <v>0</v>
          </cell>
          <cell r="K9886" t="str">
            <v>Licensing</v>
          </cell>
          <cell r="L9886">
            <v>0</v>
          </cell>
          <cell r="N9886">
            <v>0</v>
          </cell>
          <cell r="O9886" t="str">
            <v>[No Vendor]</v>
          </cell>
        </row>
        <row r="9887">
          <cell r="D9887">
            <v>-3011.54</v>
          </cell>
          <cell r="H9887">
            <v>45870</v>
          </cell>
          <cell r="I9887" t="str">
            <v>6005 - Salaries</v>
          </cell>
          <cell r="J9887" t="str">
            <v>Wholesale</v>
          </cell>
          <cell r="K9887" t="str">
            <v>Wholesale</v>
          </cell>
          <cell r="L9887" t="str">
            <v>HQ Salaries</v>
          </cell>
          <cell r="N9887" t="str">
            <v>SG&amp;A</v>
          </cell>
          <cell r="O9887" t="str">
            <v>[No Vendor]</v>
          </cell>
        </row>
        <row r="9888">
          <cell r="D9888">
            <v>-13631.54</v>
          </cell>
          <cell r="H9888">
            <v>45870</v>
          </cell>
          <cell r="I9888" t="str">
            <v>6005 - Salaries</v>
          </cell>
          <cell r="J9888">
            <v>0</v>
          </cell>
          <cell r="K9888" t="str">
            <v>Production</v>
          </cell>
          <cell r="L9888" t="str">
            <v>HQ Salaries</v>
          </cell>
          <cell r="N9888" t="str">
            <v>SG&amp;A</v>
          </cell>
          <cell r="O9888" t="str">
            <v>[No Vendor]</v>
          </cell>
        </row>
        <row r="9889">
          <cell r="D9889">
            <v>-3461.54</v>
          </cell>
          <cell r="H9889">
            <v>45870</v>
          </cell>
          <cell r="I9889" t="str">
            <v>6005 - Salaries</v>
          </cell>
          <cell r="J9889">
            <v>0</v>
          </cell>
          <cell r="K9889" t="str">
            <v>Merchandising</v>
          </cell>
          <cell r="L9889" t="str">
            <v>HQ Salaries</v>
          </cell>
          <cell r="N9889" t="str">
            <v>SG&amp;A</v>
          </cell>
          <cell r="O9889" t="str">
            <v>[No Vendor]</v>
          </cell>
        </row>
        <row r="9890">
          <cell r="D9890">
            <v>-2596.16</v>
          </cell>
          <cell r="H9890">
            <v>45870</v>
          </cell>
          <cell r="I9890" t="str">
            <v>6005 - Salaries</v>
          </cell>
          <cell r="J9890">
            <v>0</v>
          </cell>
          <cell r="K9890" t="str">
            <v>Brand Marketing</v>
          </cell>
          <cell r="L9890" t="str">
            <v>HQ Salaries</v>
          </cell>
          <cell r="N9890" t="str">
            <v>SG&amp;A</v>
          </cell>
          <cell r="O9890" t="str">
            <v>[No Vendor]</v>
          </cell>
        </row>
        <row r="9891">
          <cell r="D9891">
            <v>-10235.77</v>
          </cell>
          <cell r="H9891">
            <v>45870</v>
          </cell>
          <cell r="I9891" t="str">
            <v>6005 - Salaries</v>
          </cell>
          <cell r="J9891">
            <v>0</v>
          </cell>
          <cell r="K9891" t="str">
            <v>Executive</v>
          </cell>
          <cell r="L9891" t="str">
            <v>HQ Salaries</v>
          </cell>
          <cell r="N9891" t="str">
            <v>SG&amp;A</v>
          </cell>
          <cell r="O9891" t="str">
            <v>[No Vendor]</v>
          </cell>
        </row>
        <row r="9892">
          <cell r="D9892">
            <v>-18636.939999999999</v>
          </cell>
          <cell r="H9892">
            <v>45870</v>
          </cell>
          <cell r="I9892" t="str">
            <v>6005 - Salaries</v>
          </cell>
          <cell r="J9892" t="str">
            <v>Ecommerce (US)</v>
          </cell>
          <cell r="K9892" t="str">
            <v>Ecommerce</v>
          </cell>
          <cell r="L9892" t="str">
            <v>HQ Salaries</v>
          </cell>
          <cell r="N9892" t="str">
            <v>SG&amp;A</v>
          </cell>
          <cell r="O9892" t="str">
            <v>[No Vendor]</v>
          </cell>
        </row>
        <row r="9893">
          <cell r="D9893">
            <v>-20194.64</v>
          </cell>
          <cell r="H9893">
            <v>45870</v>
          </cell>
          <cell r="I9893" t="str">
            <v>6005 - Salaries</v>
          </cell>
          <cell r="J9893">
            <v>0</v>
          </cell>
          <cell r="K9893" t="str">
            <v>Design</v>
          </cell>
          <cell r="L9893" t="str">
            <v>HQ Salaries</v>
          </cell>
          <cell r="N9893" t="str">
            <v>SG&amp;A</v>
          </cell>
          <cell r="O9893" t="str">
            <v>[No Vendor]</v>
          </cell>
        </row>
        <row r="9894">
          <cell r="D9894">
            <v>-25826.54</v>
          </cell>
          <cell r="H9894">
            <v>45870</v>
          </cell>
          <cell r="I9894" t="str">
            <v>6005 - Salaries</v>
          </cell>
          <cell r="J9894">
            <v>0</v>
          </cell>
          <cell r="K9894" t="str">
            <v>Administration</v>
          </cell>
          <cell r="L9894" t="str">
            <v>HQ Salaries</v>
          </cell>
          <cell r="N9894" t="str">
            <v>SG&amp;A</v>
          </cell>
          <cell r="O9894" t="str">
            <v>[No Vendor]</v>
          </cell>
        </row>
        <row r="9895">
          <cell r="D9895">
            <v>3346.16</v>
          </cell>
          <cell r="H9895">
            <v>45870</v>
          </cell>
          <cell r="I9895" t="str">
            <v>6005 - Salaries</v>
          </cell>
          <cell r="J9895" t="str">
            <v>Wholesale</v>
          </cell>
          <cell r="K9895" t="str">
            <v>Wholesale</v>
          </cell>
          <cell r="L9895" t="str">
            <v>HQ Salaries</v>
          </cell>
          <cell r="N9895" t="str">
            <v>SG&amp;A</v>
          </cell>
          <cell r="O9895" t="str">
            <v>[No Vendor]</v>
          </cell>
        </row>
        <row r="9896">
          <cell r="D9896">
            <v>15146.16</v>
          </cell>
          <cell r="H9896">
            <v>45870</v>
          </cell>
          <cell r="I9896" t="str">
            <v>6005 - Salaries</v>
          </cell>
          <cell r="J9896">
            <v>0</v>
          </cell>
          <cell r="K9896" t="str">
            <v>Production</v>
          </cell>
          <cell r="L9896" t="str">
            <v>HQ Salaries</v>
          </cell>
          <cell r="N9896" t="str">
            <v>SG&amp;A</v>
          </cell>
          <cell r="O9896" t="str">
            <v>[No Vendor]</v>
          </cell>
        </row>
        <row r="9897">
          <cell r="D9897">
            <v>3846.15</v>
          </cell>
          <cell r="H9897">
            <v>45870</v>
          </cell>
          <cell r="I9897" t="str">
            <v>6005 - Salaries</v>
          </cell>
          <cell r="J9897">
            <v>0</v>
          </cell>
          <cell r="K9897" t="str">
            <v>Merchandising</v>
          </cell>
          <cell r="L9897" t="str">
            <v>HQ Salaries</v>
          </cell>
          <cell r="N9897" t="str">
            <v>SG&amp;A</v>
          </cell>
          <cell r="O9897" t="str">
            <v>[No Vendor]</v>
          </cell>
        </row>
        <row r="9898">
          <cell r="D9898">
            <v>2884.62</v>
          </cell>
          <cell r="H9898">
            <v>45870</v>
          </cell>
          <cell r="I9898" t="str">
            <v>6005 - Salaries</v>
          </cell>
          <cell r="J9898">
            <v>0</v>
          </cell>
          <cell r="K9898" t="str">
            <v>Brand Marketing</v>
          </cell>
          <cell r="L9898" t="str">
            <v>HQ Salaries</v>
          </cell>
          <cell r="N9898" t="str">
            <v>SG&amp;A</v>
          </cell>
          <cell r="O9898" t="str">
            <v>[No Vendor]</v>
          </cell>
        </row>
        <row r="9899">
          <cell r="D9899">
            <v>11373.08</v>
          </cell>
          <cell r="H9899">
            <v>45870</v>
          </cell>
          <cell r="I9899" t="str">
            <v>6005 - Salaries</v>
          </cell>
          <cell r="J9899">
            <v>0</v>
          </cell>
          <cell r="K9899" t="str">
            <v>Executive</v>
          </cell>
          <cell r="L9899" t="str">
            <v>HQ Salaries</v>
          </cell>
          <cell r="N9899" t="str">
            <v>SG&amp;A</v>
          </cell>
          <cell r="O9899" t="str">
            <v>[No Vendor]</v>
          </cell>
        </row>
        <row r="9900">
          <cell r="D9900">
            <v>20707.71</v>
          </cell>
          <cell r="H9900">
            <v>45870</v>
          </cell>
          <cell r="I9900" t="str">
            <v>6005 - Salaries</v>
          </cell>
          <cell r="J9900" t="str">
            <v>Ecommerce (US)</v>
          </cell>
          <cell r="K9900" t="str">
            <v>Ecommerce</v>
          </cell>
          <cell r="L9900" t="str">
            <v>HQ Salaries</v>
          </cell>
          <cell r="N9900" t="str">
            <v>SG&amp;A</v>
          </cell>
          <cell r="O9900" t="str">
            <v>[No Vendor]</v>
          </cell>
        </row>
        <row r="9901">
          <cell r="D9901">
            <v>22438.49</v>
          </cell>
          <cell r="H9901">
            <v>45870</v>
          </cell>
          <cell r="I9901" t="str">
            <v>6005 - Salaries</v>
          </cell>
          <cell r="J9901">
            <v>0</v>
          </cell>
          <cell r="K9901" t="str">
            <v>Design</v>
          </cell>
          <cell r="L9901" t="str">
            <v>HQ Salaries</v>
          </cell>
          <cell r="N9901" t="str">
            <v>SG&amp;A</v>
          </cell>
          <cell r="O9901" t="str">
            <v>[No Vendor]</v>
          </cell>
        </row>
        <row r="9902">
          <cell r="D9902">
            <v>28696.16</v>
          </cell>
          <cell r="H9902">
            <v>45870</v>
          </cell>
          <cell r="I9902" t="str">
            <v>6005 - Salaries</v>
          </cell>
          <cell r="J9902">
            <v>0</v>
          </cell>
          <cell r="K9902" t="str">
            <v>Administration</v>
          </cell>
          <cell r="L9902" t="str">
            <v>HQ Salaries</v>
          </cell>
          <cell r="N9902" t="str">
            <v>SG&amp;A</v>
          </cell>
          <cell r="O9902" t="str">
            <v>[No Vendor]</v>
          </cell>
        </row>
        <row r="9903">
          <cell r="D9903">
            <v>3346.16</v>
          </cell>
          <cell r="H9903">
            <v>45870</v>
          </cell>
          <cell r="I9903" t="str">
            <v>6005 - Salaries</v>
          </cell>
          <cell r="J9903" t="str">
            <v>Wholesale</v>
          </cell>
          <cell r="K9903" t="str">
            <v>Wholesale</v>
          </cell>
          <cell r="L9903" t="str">
            <v>HQ Salaries</v>
          </cell>
          <cell r="N9903" t="str">
            <v>SG&amp;A</v>
          </cell>
          <cell r="O9903" t="str">
            <v>[No Vendor]</v>
          </cell>
        </row>
        <row r="9904">
          <cell r="D9904">
            <v>15146.16</v>
          </cell>
          <cell r="H9904">
            <v>45870</v>
          </cell>
          <cell r="I9904" t="str">
            <v>6005 - Salaries</v>
          </cell>
          <cell r="J9904">
            <v>0</v>
          </cell>
          <cell r="K9904" t="str">
            <v>Production</v>
          </cell>
          <cell r="L9904" t="str">
            <v>HQ Salaries</v>
          </cell>
          <cell r="N9904" t="str">
            <v>SG&amp;A</v>
          </cell>
          <cell r="O9904" t="str">
            <v>[No Vendor]</v>
          </cell>
        </row>
        <row r="9905">
          <cell r="D9905">
            <v>3846.15</v>
          </cell>
          <cell r="H9905">
            <v>45870</v>
          </cell>
          <cell r="I9905" t="str">
            <v>6005 - Salaries</v>
          </cell>
          <cell r="J9905">
            <v>0</v>
          </cell>
          <cell r="K9905" t="str">
            <v>Merchandising</v>
          </cell>
          <cell r="L9905" t="str">
            <v>HQ Salaries</v>
          </cell>
          <cell r="N9905" t="str">
            <v>SG&amp;A</v>
          </cell>
          <cell r="O9905" t="str">
            <v>[No Vendor]</v>
          </cell>
        </row>
        <row r="9906">
          <cell r="D9906">
            <v>6250</v>
          </cell>
          <cell r="H9906">
            <v>45870</v>
          </cell>
          <cell r="I9906" t="str">
            <v>6005 - Salaries</v>
          </cell>
          <cell r="J9906">
            <v>0</v>
          </cell>
          <cell r="K9906" t="str">
            <v>Brand Marketing</v>
          </cell>
          <cell r="L9906" t="str">
            <v>HQ Salaries</v>
          </cell>
          <cell r="N9906" t="str">
            <v>SG&amp;A</v>
          </cell>
          <cell r="O9906" t="str">
            <v>[No Vendor]</v>
          </cell>
        </row>
        <row r="9907">
          <cell r="D9907">
            <v>11373.08</v>
          </cell>
          <cell r="H9907">
            <v>45870</v>
          </cell>
          <cell r="I9907" t="str">
            <v>6005 - Salaries</v>
          </cell>
          <cell r="J9907">
            <v>0</v>
          </cell>
          <cell r="K9907" t="str">
            <v>Executive</v>
          </cell>
          <cell r="L9907" t="str">
            <v>HQ Salaries</v>
          </cell>
          <cell r="N9907" t="str">
            <v>SG&amp;A</v>
          </cell>
          <cell r="O9907" t="str">
            <v>[No Vendor]</v>
          </cell>
        </row>
        <row r="9908">
          <cell r="D9908">
            <v>20707.71</v>
          </cell>
          <cell r="H9908">
            <v>45870</v>
          </cell>
          <cell r="I9908" t="str">
            <v>6005 - Salaries</v>
          </cell>
          <cell r="J9908" t="str">
            <v>Ecommerce (US)</v>
          </cell>
          <cell r="K9908" t="str">
            <v>Ecommerce</v>
          </cell>
          <cell r="L9908" t="str">
            <v>HQ Salaries</v>
          </cell>
          <cell r="N9908" t="str">
            <v>SG&amp;A</v>
          </cell>
          <cell r="O9908" t="str">
            <v>[No Vendor]</v>
          </cell>
        </row>
        <row r="9909">
          <cell r="D9909">
            <v>22438.49</v>
          </cell>
          <cell r="H9909">
            <v>45870</v>
          </cell>
          <cell r="I9909" t="str">
            <v>6005 - Salaries</v>
          </cell>
          <cell r="J9909">
            <v>0</v>
          </cell>
          <cell r="K9909" t="str">
            <v>Design</v>
          </cell>
          <cell r="L9909" t="str">
            <v>HQ Salaries</v>
          </cell>
          <cell r="N9909" t="str">
            <v>SG&amp;A</v>
          </cell>
          <cell r="O9909" t="str">
            <v>[No Vendor]</v>
          </cell>
        </row>
        <row r="9910">
          <cell r="D9910">
            <v>27796.16</v>
          </cell>
          <cell r="H9910">
            <v>45870</v>
          </cell>
          <cell r="I9910" t="str">
            <v>6005 - Salaries</v>
          </cell>
          <cell r="J9910">
            <v>0</v>
          </cell>
          <cell r="K9910" t="str">
            <v>Administration</v>
          </cell>
          <cell r="L9910" t="str">
            <v>HQ Salaries</v>
          </cell>
          <cell r="N9910" t="str">
            <v>SG&amp;A</v>
          </cell>
          <cell r="O9910" t="str">
            <v>[No Vendor]</v>
          </cell>
        </row>
        <row r="9911">
          <cell r="D9911">
            <v>28171.16</v>
          </cell>
          <cell r="H9911">
            <v>45870</v>
          </cell>
          <cell r="I9911" t="str">
            <v>6005 - Salaries</v>
          </cell>
          <cell r="J9911">
            <v>0</v>
          </cell>
          <cell r="K9911" t="str">
            <v>Administration</v>
          </cell>
          <cell r="L9911" t="str">
            <v>HQ Salaries</v>
          </cell>
          <cell r="N9911" t="str">
            <v>SG&amp;A</v>
          </cell>
          <cell r="O9911" t="str">
            <v>[No Vendor]</v>
          </cell>
        </row>
        <row r="9912">
          <cell r="D9912">
            <v>22438.49</v>
          </cell>
          <cell r="H9912">
            <v>45870</v>
          </cell>
          <cell r="I9912" t="str">
            <v>6005 - Salaries</v>
          </cell>
          <cell r="J9912">
            <v>0</v>
          </cell>
          <cell r="K9912" t="str">
            <v>Design</v>
          </cell>
          <cell r="L9912" t="str">
            <v>HQ Salaries</v>
          </cell>
          <cell r="N9912" t="str">
            <v>SG&amp;A</v>
          </cell>
          <cell r="O9912" t="str">
            <v>[No Vendor]</v>
          </cell>
        </row>
        <row r="9913">
          <cell r="D9913">
            <v>20707.71</v>
          </cell>
          <cell r="H9913">
            <v>45870</v>
          </cell>
          <cell r="I9913" t="str">
            <v>6005 - Salaries</v>
          </cell>
          <cell r="J9913" t="str">
            <v>Ecommerce (US)</v>
          </cell>
          <cell r="K9913" t="str">
            <v>Ecommerce</v>
          </cell>
          <cell r="L9913" t="str">
            <v>HQ Salaries</v>
          </cell>
          <cell r="N9913" t="str">
            <v>SG&amp;A</v>
          </cell>
          <cell r="O9913" t="str">
            <v>[No Vendor]</v>
          </cell>
        </row>
        <row r="9914">
          <cell r="D9914">
            <v>11373.08</v>
          </cell>
          <cell r="H9914">
            <v>45870</v>
          </cell>
          <cell r="I9914" t="str">
            <v>6005 - Salaries</v>
          </cell>
          <cell r="J9914">
            <v>0</v>
          </cell>
          <cell r="K9914" t="str">
            <v>Executive</v>
          </cell>
          <cell r="L9914" t="str">
            <v>HQ Salaries</v>
          </cell>
          <cell r="N9914" t="str">
            <v>SG&amp;A</v>
          </cell>
          <cell r="O9914" t="str">
            <v>[No Vendor]</v>
          </cell>
        </row>
        <row r="9915">
          <cell r="D9915">
            <v>9615.39</v>
          </cell>
          <cell r="H9915">
            <v>45870</v>
          </cell>
          <cell r="I9915" t="str">
            <v>6005 - Salaries</v>
          </cell>
          <cell r="J9915">
            <v>0</v>
          </cell>
          <cell r="K9915" t="str">
            <v>Brand Marketing</v>
          </cell>
          <cell r="L9915" t="str">
            <v>HQ Salaries</v>
          </cell>
          <cell r="N9915" t="str">
            <v>SG&amp;A</v>
          </cell>
          <cell r="O9915" t="str">
            <v>[No Vendor]</v>
          </cell>
        </row>
        <row r="9916">
          <cell r="D9916">
            <v>3846.15</v>
          </cell>
          <cell r="H9916">
            <v>45870</v>
          </cell>
          <cell r="I9916" t="str">
            <v>6005 - Salaries</v>
          </cell>
          <cell r="J9916">
            <v>0</v>
          </cell>
          <cell r="K9916" t="str">
            <v>Merchandising</v>
          </cell>
          <cell r="L9916" t="str">
            <v>HQ Salaries</v>
          </cell>
          <cell r="N9916" t="str">
            <v>SG&amp;A</v>
          </cell>
          <cell r="O9916" t="str">
            <v>[No Vendor]</v>
          </cell>
        </row>
        <row r="9917">
          <cell r="D9917">
            <v>15146.16</v>
          </cell>
          <cell r="H9917">
            <v>45870</v>
          </cell>
          <cell r="I9917" t="str">
            <v>6005 - Salaries</v>
          </cell>
          <cell r="J9917">
            <v>0</v>
          </cell>
          <cell r="K9917" t="str">
            <v>Production</v>
          </cell>
          <cell r="L9917" t="str">
            <v>HQ Salaries</v>
          </cell>
          <cell r="N9917" t="str">
            <v>SG&amp;A</v>
          </cell>
          <cell r="O9917" t="str">
            <v>[No Vendor]</v>
          </cell>
        </row>
        <row r="9918">
          <cell r="D9918">
            <v>3346.16</v>
          </cell>
          <cell r="H9918">
            <v>45870</v>
          </cell>
          <cell r="I9918" t="str">
            <v>6005 - Salaries</v>
          </cell>
          <cell r="J9918" t="str">
            <v>Wholesale</v>
          </cell>
          <cell r="K9918" t="str">
            <v>Wholesale</v>
          </cell>
          <cell r="L9918" t="str">
            <v>HQ Salaries</v>
          </cell>
          <cell r="N9918" t="str">
            <v>SG&amp;A</v>
          </cell>
          <cell r="O9918" t="str">
            <v>[No Vendor]</v>
          </cell>
        </row>
        <row r="9919">
          <cell r="D9919">
            <v>9489.4</v>
          </cell>
          <cell r="H9919">
            <v>45870</v>
          </cell>
          <cell r="I9919" t="str">
            <v>6015 - Vacation - PTO Exp</v>
          </cell>
          <cell r="J9919">
            <v>0</v>
          </cell>
          <cell r="K9919" t="str">
            <v>Administration</v>
          </cell>
          <cell r="L9919" t="str">
            <v>HQ Salaries</v>
          </cell>
          <cell r="N9919" t="str">
            <v>SG&amp;A</v>
          </cell>
          <cell r="O9919" t="str">
            <v>[No Vendor]</v>
          </cell>
        </row>
        <row r="9920">
          <cell r="D9920">
            <v>0</v>
          </cell>
          <cell r="H9920">
            <v>45870</v>
          </cell>
          <cell r="I9920" t="str">
            <v>6035 - Severance Expense</v>
          </cell>
          <cell r="J9920" t="str">
            <v>Wholesale</v>
          </cell>
          <cell r="K9920" t="str">
            <v>Wholesale</v>
          </cell>
          <cell r="L9920" t="str">
            <v>HQ Salaries</v>
          </cell>
          <cell r="N9920" t="str">
            <v>SG&amp;A</v>
          </cell>
          <cell r="O9920" t="str">
            <v>[No Vendor]</v>
          </cell>
        </row>
        <row r="9921">
          <cell r="D9921">
            <v>0</v>
          </cell>
          <cell r="H9921">
            <v>45870</v>
          </cell>
          <cell r="I9921" t="str">
            <v>6035 - Severance Expense</v>
          </cell>
          <cell r="J9921" t="str">
            <v>Wholesale</v>
          </cell>
          <cell r="K9921" t="str">
            <v>Wholesale</v>
          </cell>
          <cell r="L9921" t="str">
            <v>HQ Salaries</v>
          </cell>
          <cell r="N9921" t="str">
            <v>SG&amp;A</v>
          </cell>
          <cell r="O9921" t="str">
            <v>[No Vendor]</v>
          </cell>
        </row>
        <row r="9922">
          <cell r="D9922">
            <v>0</v>
          </cell>
          <cell r="H9922">
            <v>45870</v>
          </cell>
          <cell r="I9922" t="str">
            <v>6035 - Severance Expense</v>
          </cell>
          <cell r="J9922" t="str">
            <v>Wholesale</v>
          </cell>
          <cell r="K9922" t="str">
            <v>Wholesale</v>
          </cell>
          <cell r="L9922" t="str">
            <v>HQ Salaries</v>
          </cell>
          <cell r="N9922" t="str">
            <v>SG&amp;A</v>
          </cell>
          <cell r="O9922" t="str">
            <v>[No Vendor]</v>
          </cell>
        </row>
        <row r="9923">
          <cell r="D9923">
            <v>0</v>
          </cell>
          <cell r="H9923">
            <v>45870</v>
          </cell>
          <cell r="I9923" t="str">
            <v>6035 - Severance Expense</v>
          </cell>
          <cell r="J9923" t="str">
            <v>Wholesale</v>
          </cell>
          <cell r="K9923" t="str">
            <v>Wholesale</v>
          </cell>
          <cell r="L9923" t="str">
            <v>HQ Salaries</v>
          </cell>
          <cell r="N9923" t="str">
            <v>SG&amp;A</v>
          </cell>
          <cell r="O9923" t="str">
            <v>[No Vendor]</v>
          </cell>
        </row>
        <row r="9924">
          <cell r="D9924">
            <v>1260.1199999999999</v>
          </cell>
          <cell r="H9924">
            <v>45870</v>
          </cell>
          <cell r="I9924" t="str">
            <v>6040 - Employer Paid Benefits</v>
          </cell>
          <cell r="J9924" t="str">
            <v>Wholesale</v>
          </cell>
          <cell r="K9924" t="str">
            <v>Wholesale</v>
          </cell>
          <cell r="L9924" t="str">
            <v>HQ Salaries</v>
          </cell>
          <cell r="N9924" t="str">
            <v>SG&amp;A</v>
          </cell>
          <cell r="O9924" t="str">
            <v>Anthem Blue Cross and Blue Shield</v>
          </cell>
        </row>
        <row r="9925">
          <cell r="D9925">
            <v>40.54</v>
          </cell>
          <cell r="H9925">
            <v>45870</v>
          </cell>
          <cell r="I9925" t="str">
            <v>6040 - Employer Paid Benefits</v>
          </cell>
          <cell r="J9925" t="str">
            <v>Wholesale</v>
          </cell>
          <cell r="K9925" t="str">
            <v>Wholesale</v>
          </cell>
          <cell r="L9925" t="str">
            <v>HQ Salaries</v>
          </cell>
          <cell r="N9925" t="str">
            <v>SG&amp;A</v>
          </cell>
          <cell r="O9925" t="str">
            <v>United of Omaha Life Insurance Company</v>
          </cell>
        </row>
        <row r="9926">
          <cell r="D9926">
            <v>-1449.14</v>
          </cell>
          <cell r="H9926">
            <v>45870</v>
          </cell>
          <cell r="I9926" t="str">
            <v>6040 - Employer Paid Benefits</v>
          </cell>
          <cell r="J9926">
            <v>0</v>
          </cell>
          <cell r="K9926" t="str">
            <v>Production</v>
          </cell>
          <cell r="L9926" t="str">
            <v>HQ Salaries</v>
          </cell>
          <cell r="N9926" t="str">
            <v>SG&amp;A</v>
          </cell>
          <cell r="O9926" t="str">
            <v>Anthem Blue Cross and Blue Shield</v>
          </cell>
        </row>
        <row r="9927">
          <cell r="D9927">
            <v>232.25</v>
          </cell>
          <cell r="H9927">
            <v>45870</v>
          </cell>
          <cell r="I9927" t="str">
            <v>6040 - Employer Paid Benefits</v>
          </cell>
          <cell r="J9927">
            <v>0</v>
          </cell>
          <cell r="K9927" t="str">
            <v>Production</v>
          </cell>
          <cell r="L9927" t="str">
            <v>HQ Salaries</v>
          </cell>
          <cell r="N9927" t="str">
            <v>SG&amp;A</v>
          </cell>
          <cell r="O9927" t="str">
            <v>United of Omaha Life Insurance Company</v>
          </cell>
        </row>
        <row r="9928">
          <cell r="D9928">
            <v>314.60000000000002</v>
          </cell>
          <cell r="H9928">
            <v>45870</v>
          </cell>
          <cell r="I9928" t="str">
            <v>6040 - Employer Paid Benefits</v>
          </cell>
          <cell r="J9928">
            <v>0</v>
          </cell>
          <cell r="K9928" t="str">
            <v>Production</v>
          </cell>
          <cell r="L9928" t="str">
            <v>HQ Salaries</v>
          </cell>
          <cell r="N9928" t="str">
            <v>SG&amp;A</v>
          </cell>
          <cell r="O9928" t="str">
            <v>Allied Administrators</v>
          </cell>
        </row>
        <row r="9929">
          <cell r="D9929">
            <v>2520.2399999999998</v>
          </cell>
          <cell r="H9929">
            <v>45870</v>
          </cell>
          <cell r="I9929" t="str">
            <v>6040 - Employer Paid Benefits</v>
          </cell>
          <cell r="J9929">
            <v>0</v>
          </cell>
          <cell r="K9929" t="str">
            <v>Merchandising</v>
          </cell>
          <cell r="L9929" t="str">
            <v>HQ Salaries</v>
          </cell>
          <cell r="N9929" t="str">
            <v>SG&amp;A</v>
          </cell>
          <cell r="O9929" t="str">
            <v>Anthem Blue Cross and Blue Shield</v>
          </cell>
        </row>
        <row r="9930">
          <cell r="D9930">
            <v>86.43</v>
          </cell>
          <cell r="H9930">
            <v>45870</v>
          </cell>
          <cell r="I9930" t="str">
            <v>6040 - Employer Paid Benefits</v>
          </cell>
          <cell r="J9930">
            <v>0</v>
          </cell>
          <cell r="K9930" t="str">
            <v>Merchandising</v>
          </cell>
          <cell r="L9930" t="str">
            <v>HQ Salaries</v>
          </cell>
          <cell r="N9930" t="str">
            <v>SG&amp;A</v>
          </cell>
          <cell r="O9930" t="str">
            <v>United of Omaha Life Insurance Company</v>
          </cell>
        </row>
        <row r="9931">
          <cell r="D9931">
            <v>250.92</v>
          </cell>
          <cell r="H9931">
            <v>45870</v>
          </cell>
          <cell r="I9931" t="str">
            <v>6040 - Employer Paid Benefits</v>
          </cell>
          <cell r="J9931">
            <v>0</v>
          </cell>
          <cell r="K9931" t="str">
            <v>Merchandising</v>
          </cell>
          <cell r="L9931" t="str">
            <v>HQ Salaries</v>
          </cell>
          <cell r="N9931" t="str">
            <v>SG&amp;A</v>
          </cell>
          <cell r="O9931" t="str">
            <v>Allied Administrators</v>
          </cell>
        </row>
        <row r="9932">
          <cell r="D9932">
            <v>1260.1199999999999</v>
          </cell>
          <cell r="H9932">
            <v>45870</v>
          </cell>
          <cell r="I9932" t="str">
            <v>6040 - Employer Paid Benefits</v>
          </cell>
          <cell r="J9932">
            <v>0</v>
          </cell>
          <cell r="K9932" t="str">
            <v>Brand Marketing</v>
          </cell>
          <cell r="L9932" t="str">
            <v>HQ Salaries</v>
          </cell>
          <cell r="N9932" t="str">
            <v>SG&amp;A</v>
          </cell>
          <cell r="O9932" t="str">
            <v>Anthem Blue Cross and Blue Shield</v>
          </cell>
        </row>
        <row r="9933">
          <cell r="D9933">
            <v>53.76</v>
          </cell>
          <cell r="H9933">
            <v>45870</v>
          </cell>
          <cell r="I9933" t="str">
            <v>6040 - Employer Paid Benefits</v>
          </cell>
          <cell r="J9933">
            <v>0</v>
          </cell>
          <cell r="K9933" t="str">
            <v>Brand Marketing</v>
          </cell>
          <cell r="L9933" t="str">
            <v>HQ Salaries</v>
          </cell>
          <cell r="N9933" t="str">
            <v>SG&amp;A</v>
          </cell>
          <cell r="O9933" t="str">
            <v>United of Omaha Life Insurance Company</v>
          </cell>
        </row>
        <row r="9934">
          <cell r="D9934">
            <v>238.9</v>
          </cell>
          <cell r="H9934">
            <v>45870</v>
          </cell>
          <cell r="I9934" t="str">
            <v>6040 - Employer Paid Benefits</v>
          </cell>
          <cell r="J9934">
            <v>0</v>
          </cell>
          <cell r="K9934" t="str">
            <v>Executive</v>
          </cell>
          <cell r="L9934" t="str">
            <v>HQ Salaries</v>
          </cell>
          <cell r="N9934" t="str">
            <v>SG&amp;A</v>
          </cell>
          <cell r="O9934" t="str">
            <v>United of Omaha Life Insurance Company</v>
          </cell>
        </row>
        <row r="9935">
          <cell r="D9935">
            <v>89.82</v>
          </cell>
          <cell r="H9935">
            <v>45870</v>
          </cell>
          <cell r="I9935" t="str">
            <v>6040 - Employer Paid Benefits</v>
          </cell>
          <cell r="J9935">
            <v>0</v>
          </cell>
          <cell r="K9935" t="str">
            <v>Executive</v>
          </cell>
          <cell r="L9935" t="str">
            <v>HQ Salaries</v>
          </cell>
          <cell r="N9935" t="str">
            <v>SG&amp;A</v>
          </cell>
          <cell r="O9935" t="str">
            <v>Allied Administrators</v>
          </cell>
        </row>
        <row r="9936">
          <cell r="D9936">
            <v>4621.79</v>
          </cell>
          <cell r="H9936">
            <v>45870</v>
          </cell>
          <cell r="I9936" t="str">
            <v>6040 - Employer Paid Benefits</v>
          </cell>
          <cell r="J9936" t="str">
            <v>Ecommerce (US)</v>
          </cell>
          <cell r="K9936" t="str">
            <v>Ecommerce</v>
          </cell>
          <cell r="L9936" t="str">
            <v>HQ Salaries</v>
          </cell>
          <cell r="N9936" t="str">
            <v>SG&amp;A</v>
          </cell>
          <cell r="O9936" t="str">
            <v>Anthem Blue Cross and Blue Shield</v>
          </cell>
        </row>
        <row r="9937">
          <cell r="D9937">
            <v>186.46</v>
          </cell>
          <cell r="H9937">
            <v>45870</v>
          </cell>
          <cell r="I9937" t="str">
            <v>6040 - Employer Paid Benefits</v>
          </cell>
          <cell r="J9937" t="str">
            <v>Ecommerce (US)</v>
          </cell>
          <cell r="K9937" t="str">
            <v>Ecommerce</v>
          </cell>
          <cell r="L9937" t="str">
            <v>HQ Salaries</v>
          </cell>
          <cell r="N9937" t="str">
            <v>SG&amp;A</v>
          </cell>
          <cell r="O9937" t="str">
            <v>United of Omaha Life Insurance Company</v>
          </cell>
        </row>
        <row r="9938">
          <cell r="D9938">
            <v>420.93</v>
          </cell>
          <cell r="H9938">
            <v>45870</v>
          </cell>
          <cell r="I9938" t="str">
            <v>6040 - Employer Paid Benefits</v>
          </cell>
          <cell r="J9938" t="str">
            <v>Ecommerce (US)</v>
          </cell>
          <cell r="K9938" t="str">
            <v>Ecommerce</v>
          </cell>
          <cell r="L9938" t="str">
            <v>HQ Salaries</v>
          </cell>
          <cell r="N9938" t="str">
            <v>SG&amp;A</v>
          </cell>
          <cell r="O9938" t="str">
            <v>Allied Administrators</v>
          </cell>
        </row>
        <row r="9939">
          <cell r="D9939">
            <v>5040.4799999999996</v>
          </cell>
          <cell r="H9939">
            <v>45870</v>
          </cell>
          <cell r="I9939" t="str">
            <v>6040 - Employer Paid Benefits</v>
          </cell>
          <cell r="J9939">
            <v>0</v>
          </cell>
          <cell r="K9939" t="str">
            <v>Design</v>
          </cell>
          <cell r="L9939" t="str">
            <v>HQ Salaries</v>
          </cell>
          <cell r="N9939" t="str">
            <v>SG&amp;A</v>
          </cell>
          <cell r="O9939" t="str">
            <v>Anthem Blue Cross and Blue Shield</v>
          </cell>
        </row>
        <row r="9940">
          <cell r="D9940">
            <v>233.67</v>
          </cell>
          <cell r="H9940">
            <v>45870</v>
          </cell>
          <cell r="I9940" t="str">
            <v>6040 - Employer Paid Benefits</v>
          </cell>
          <cell r="J9940">
            <v>0</v>
          </cell>
          <cell r="K9940" t="str">
            <v>Design</v>
          </cell>
          <cell r="L9940" t="str">
            <v>HQ Salaries</v>
          </cell>
          <cell r="N9940" t="str">
            <v>SG&amp;A</v>
          </cell>
          <cell r="O9940" t="str">
            <v>United of Omaha Life Insurance Company</v>
          </cell>
        </row>
        <row r="9941">
          <cell r="D9941">
            <v>83.64</v>
          </cell>
          <cell r="H9941">
            <v>45870</v>
          </cell>
          <cell r="I9941" t="str">
            <v>6040 - Employer Paid Benefits</v>
          </cell>
          <cell r="J9941">
            <v>0</v>
          </cell>
          <cell r="K9941" t="str">
            <v>Design</v>
          </cell>
          <cell r="L9941" t="str">
            <v>HQ Salaries</v>
          </cell>
          <cell r="N9941" t="str">
            <v>SG&amp;A</v>
          </cell>
          <cell r="O9941" t="str">
            <v>Allied Administrators</v>
          </cell>
        </row>
        <row r="9942">
          <cell r="D9942">
            <v>-1416.62</v>
          </cell>
          <cell r="H9942">
            <v>45870</v>
          </cell>
          <cell r="I9942" t="str">
            <v>6040 - Employer Paid Benefits</v>
          </cell>
          <cell r="J9942">
            <v>0</v>
          </cell>
          <cell r="K9942" t="str">
            <v>Administration</v>
          </cell>
          <cell r="L9942" t="str">
            <v>HQ Salaries</v>
          </cell>
          <cell r="N9942" t="str">
            <v>SG&amp;A</v>
          </cell>
          <cell r="O9942" t="str">
            <v>Anthem Blue Cross and Blue Shield</v>
          </cell>
        </row>
        <row r="9943">
          <cell r="D9943">
            <v>275.70999999999998</v>
          </cell>
          <cell r="H9943">
            <v>45870</v>
          </cell>
          <cell r="I9943" t="str">
            <v>6040 - Employer Paid Benefits</v>
          </cell>
          <cell r="J9943">
            <v>0</v>
          </cell>
          <cell r="K9943" t="str">
            <v>Administration</v>
          </cell>
          <cell r="L9943" t="str">
            <v>HQ Salaries</v>
          </cell>
          <cell r="N9943" t="str">
            <v>SG&amp;A</v>
          </cell>
          <cell r="O9943" t="str">
            <v>United of Omaha Life Insurance Company</v>
          </cell>
        </row>
        <row r="9944">
          <cell r="D9944">
            <v>145.58000000000001</v>
          </cell>
          <cell r="H9944">
            <v>45870</v>
          </cell>
          <cell r="I9944" t="str">
            <v>6040 - Employer Paid Benefits</v>
          </cell>
          <cell r="J9944">
            <v>0</v>
          </cell>
          <cell r="K9944" t="str">
            <v>Administration</v>
          </cell>
          <cell r="L9944" t="str">
            <v>HQ Salaries</v>
          </cell>
          <cell r="N9944" t="str">
            <v>SG&amp;A</v>
          </cell>
          <cell r="O9944" t="str">
            <v>Allied Administrators</v>
          </cell>
        </row>
        <row r="9945">
          <cell r="D9945">
            <v>31.41</v>
          </cell>
          <cell r="H9945">
            <v>45870</v>
          </cell>
          <cell r="I9945" t="str">
            <v>6040 - Employer Paid Benefits</v>
          </cell>
          <cell r="J9945" t="str">
            <v>Wholesale</v>
          </cell>
          <cell r="K9945" t="str">
            <v>Wholesale</v>
          </cell>
          <cell r="L9945" t="str">
            <v>HQ Salaries</v>
          </cell>
          <cell r="N9945" t="str">
            <v>SG&amp;A</v>
          </cell>
          <cell r="O9945" t="str">
            <v>[No Vendor]</v>
          </cell>
        </row>
        <row r="9946">
          <cell r="D9946">
            <v>203.13</v>
          </cell>
          <cell r="H9946">
            <v>45870</v>
          </cell>
          <cell r="I9946" t="str">
            <v>6040 - Employer Paid Benefits</v>
          </cell>
          <cell r="J9946">
            <v>0</v>
          </cell>
          <cell r="K9946" t="str">
            <v>Production</v>
          </cell>
          <cell r="L9946" t="str">
            <v>HQ Salaries</v>
          </cell>
          <cell r="N9946" t="str">
            <v>SG&amp;A</v>
          </cell>
          <cell r="O9946" t="str">
            <v>[No Vendor]</v>
          </cell>
        </row>
        <row r="9947">
          <cell r="D9947">
            <v>31.41</v>
          </cell>
          <cell r="H9947">
            <v>45870</v>
          </cell>
          <cell r="I9947" t="str">
            <v>6040 - Employer Paid Benefits</v>
          </cell>
          <cell r="J9947">
            <v>0</v>
          </cell>
          <cell r="K9947" t="str">
            <v>Merchandising</v>
          </cell>
          <cell r="L9947" t="str">
            <v>HQ Salaries</v>
          </cell>
          <cell r="N9947" t="str">
            <v>SG&amp;A</v>
          </cell>
          <cell r="O9947" t="str">
            <v>[No Vendor]</v>
          </cell>
        </row>
        <row r="9948">
          <cell r="D9948">
            <v>95.7</v>
          </cell>
          <cell r="H9948">
            <v>45870</v>
          </cell>
          <cell r="I9948" t="str">
            <v>6040 - Employer Paid Benefits</v>
          </cell>
          <cell r="J9948">
            <v>0</v>
          </cell>
          <cell r="K9948" t="str">
            <v>Brand Marketing</v>
          </cell>
          <cell r="L9948" t="str">
            <v>HQ Salaries</v>
          </cell>
          <cell r="N9948" t="str">
            <v>SG&amp;A</v>
          </cell>
          <cell r="O9948" t="str">
            <v>[No Vendor]</v>
          </cell>
        </row>
        <row r="9949">
          <cell r="D9949">
            <v>299.27999999999997</v>
          </cell>
          <cell r="H9949">
            <v>45870</v>
          </cell>
          <cell r="I9949" t="str">
            <v>6040 - Employer Paid Benefits</v>
          </cell>
          <cell r="J9949">
            <v>0</v>
          </cell>
          <cell r="K9949" t="str">
            <v>Executive</v>
          </cell>
          <cell r="L9949" t="str">
            <v>HQ Salaries</v>
          </cell>
          <cell r="N9949" t="str">
            <v>SG&amp;A</v>
          </cell>
          <cell r="O9949" t="str">
            <v>[No Vendor]</v>
          </cell>
        </row>
        <row r="9950">
          <cell r="D9950">
            <v>291.79000000000002</v>
          </cell>
          <cell r="H9950">
            <v>45870</v>
          </cell>
          <cell r="I9950" t="str">
            <v>6040 - Employer Paid Benefits</v>
          </cell>
          <cell r="J9950" t="str">
            <v>Ecommerce (US)</v>
          </cell>
          <cell r="K9950" t="str">
            <v>Ecommerce</v>
          </cell>
          <cell r="L9950" t="str">
            <v>HQ Salaries</v>
          </cell>
          <cell r="N9950" t="str">
            <v>SG&amp;A</v>
          </cell>
          <cell r="O9950" t="str">
            <v>[No Vendor]</v>
          </cell>
        </row>
        <row r="9951">
          <cell r="D9951">
            <v>398.18</v>
          </cell>
          <cell r="H9951">
            <v>45870</v>
          </cell>
          <cell r="I9951" t="str">
            <v>6040 - Employer Paid Benefits</v>
          </cell>
          <cell r="J9951">
            <v>0</v>
          </cell>
          <cell r="K9951" t="str">
            <v>Design</v>
          </cell>
          <cell r="L9951" t="str">
            <v>HQ Salaries</v>
          </cell>
          <cell r="N9951" t="str">
            <v>SG&amp;A</v>
          </cell>
          <cell r="O9951" t="str">
            <v>[No Vendor]</v>
          </cell>
        </row>
        <row r="9952">
          <cell r="D9952">
            <v>-853.39</v>
          </cell>
          <cell r="H9952">
            <v>45870</v>
          </cell>
          <cell r="I9952" t="str">
            <v>6040 - Employer Paid Benefits</v>
          </cell>
          <cell r="J9952">
            <v>0</v>
          </cell>
          <cell r="K9952" t="str">
            <v>Administration</v>
          </cell>
          <cell r="L9952" t="str">
            <v>HQ Salaries</v>
          </cell>
          <cell r="N9952" t="str">
            <v>SG&amp;A</v>
          </cell>
          <cell r="O9952" t="str">
            <v>[No Vendor]</v>
          </cell>
        </row>
        <row r="9953">
          <cell r="D9953">
            <v>64.5</v>
          </cell>
          <cell r="H9953">
            <v>45870</v>
          </cell>
          <cell r="I9953" t="str">
            <v>6040 - Employer Paid Benefits</v>
          </cell>
          <cell r="J9953" t="str">
            <v>Wholesale</v>
          </cell>
          <cell r="K9953" t="str">
            <v>Wholesale</v>
          </cell>
          <cell r="L9953" t="str">
            <v>HQ Salaries</v>
          </cell>
          <cell r="N9953" t="str">
            <v>SG&amp;A</v>
          </cell>
          <cell r="O9953" t="str">
            <v>Procyon Benefits LLC</v>
          </cell>
        </row>
        <row r="9954">
          <cell r="D9954">
            <v>83.13</v>
          </cell>
          <cell r="H9954">
            <v>45870</v>
          </cell>
          <cell r="I9954" t="str">
            <v>6040 - Employer Paid Benefits</v>
          </cell>
          <cell r="J9954">
            <v>0</v>
          </cell>
          <cell r="K9954" t="str">
            <v>Production</v>
          </cell>
          <cell r="L9954" t="str">
            <v>HQ Salaries</v>
          </cell>
          <cell r="N9954" t="str">
            <v>SG&amp;A</v>
          </cell>
          <cell r="O9954" t="str">
            <v>Procyon Benefits LLC</v>
          </cell>
        </row>
        <row r="9955">
          <cell r="D9955">
            <v>428.28</v>
          </cell>
          <cell r="H9955">
            <v>45870</v>
          </cell>
          <cell r="I9955" t="str">
            <v>6040 - Employer Paid Benefits</v>
          </cell>
          <cell r="J9955">
            <v>0</v>
          </cell>
          <cell r="K9955" t="str">
            <v>Executive</v>
          </cell>
          <cell r="L9955" t="str">
            <v>HQ Salaries</v>
          </cell>
          <cell r="N9955" t="str">
            <v>SG&amp;A</v>
          </cell>
          <cell r="O9955" t="str">
            <v>Procyon Benefits LLC</v>
          </cell>
        </row>
        <row r="9956">
          <cell r="D9956">
            <v>260</v>
          </cell>
          <cell r="H9956">
            <v>45870</v>
          </cell>
          <cell r="I9956" t="str">
            <v>6040 - Employer Paid Benefits</v>
          </cell>
          <cell r="J9956" t="str">
            <v>Ecommerce (US)</v>
          </cell>
          <cell r="K9956" t="str">
            <v>Ecommerce</v>
          </cell>
          <cell r="L9956" t="str">
            <v>HQ Salaries</v>
          </cell>
          <cell r="N9956" t="str">
            <v>SG&amp;A</v>
          </cell>
          <cell r="O9956" t="str">
            <v>Procyon Benefits LLC</v>
          </cell>
        </row>
        <row r="9957">
          <cell r="D9957">
            <v>31.4</v>
          </cell>
          <cell r="H9957">
            <v>45870</v>
          </cell>
          <cell r="I9957" t="str">
            <v>6040 - Employer Paid Benefits</v>
          </cell>
          <cell r="J9957">
            <v>0</v>
          </cell>
          <cell r="K9957" t="str">
            <v>Design</v>
          </cell>
          <cell r="L9957" t="str">
            <v>HQ Salaries</v>
          </cell>
          <cell r="N9957" t="str">
            <v>SG&amp;A</v>
          </cell>
          <cell r="O9957" t="str">
            <v>Procyon Benefits LLC</v>
          </cell>
        </row>
        <row r="9958">
          <cell r="D9958">
            <v>-34.9</v>
          </cell>
          <cell r="H9958">
            <v>45870</v>
          </cell>
          <cell r="I9958" t="str">
            <v>6040 - Employer Paid Benefits</v>
          </cell>
          <cell r="J9958" t="str">
            <v>Wholesale</v>
          </cell>
          <cell r="K9958" t="str">
            <v>Wholesale</v>
          </cell>
          <cell r="L9958" t="str">
            <v>HQ Salaries</v>
          </cell>
          <cell r="N9958" t="str">
            <v>SG&amp;A</v>
          </cell>
          <cell r="O9958" t="str">
            <v>[No Vendor]</v>
          </cell>
        </row>
        <row r="9959">
          <cell r="D9959">
            <v>-225.7</v>
          </cell>
          <cell r="H9959">
            <v>45870</v>
          </cell>
          <cell r="I9959" t="str">
            <v>6040 - Employer Paid Benefits</v>
          </cell>
          <cell r="J9959">
            <v>0</v>
          </cell>
          <cell r="K9959" t="str">
            <v>Production</v>
          </cell>
          <cell r="L9959" t="str">
            <v>HQ Salaries</v>
          </cell>
          <cell r="N9959" t="str">
            <v>SG&amp;A</v>
          </cell>
          <cell r="O9959" t="str">
            <v>[No Vendor]</v>
          </cell>
        </row>
        <row r="9960">
          <cell r="D9960">
            <v>-34.9</v>
          </cell>
          <cell r="H9960">
            <v>45870</v>
          </cell>
          <cell r="I9960" t="str">
            <v>6040 - Employer Paid Benefits</v>
          </cell>
          <cell r="J9960">
            <v>0</v>
          </cell>
          <cell r="K9960" t="str">
            <v>Merchandising</v>
          </cell>
          <cell r="L9960" t="str">
            <v>HQ Salaries</v>
          </cell>
          <cell r="N9960" t="str">
            <v>SG&amp;A</v>
          </cell>
          <cell r="O9960" t="str">
            <v>[No Vendor]</v>
          </cell>
        </row>
        <row r="9961">
          <cell r="D9961">
            <v>-106.33</v>
          </cell>
          <cell r="H9961">
            <v>45870</v>
          </cell>
          <cell r="I9961" t="str">
            <v>6040 - Employer Paid Benefits</v>
          </cell>
          <cell r="J9961">
            <v>0</v>
          </cell>
          <cell r="K9961" t="str">
            <v>Brand Marketing</v>
          </cell>
          <cell r="L9961" t="str">
            <v>HQ Salaries</v>
          </cell>
          <cell r="N9961" t="str">
            <v>SG&amp;A</v>
          </cell>
          <cell r="O9961" t="str">
            <v>[No Vendor]</v>
          </cell>
        </row>
        <row r="9962">
          <cell r="D9962">
            <v>-332.53</v>
          </cell>
          <cell r="H9962">
            <v>45870</v>
          </cell>
          <cell r="I9962" t="str">
            <v>6040 - Employer Paid Benefits</v>
          </cell>
          <cell r="J9962">
            <v>0</v>
          </cell>
          <cell r="K9962" t="str">
            <v>Executive</v>
          </cell>
          <cell r="L9962" t="str">
            <v>HQ Salaries</v>
          </cell>
          <cell r="N9962" t="str">
            <v>SG&amp;A</v>
          </cell>
          <cell r="O9962" t="str">
            <v>[No Vendor]</v>
          </cell>
        </row>
        <row r="9963">
          <cell r="D9963">
            <v>-324.20999999999998</v>
          </cell>
          <cell r="H9963">
            <v>45870</v>
          </cell>
          <cell r="I9963" t="str">
            <v>6040 - Employer Paid Benefits</v>
          </cell>
          <cell r="J9963" t="str">
            <v>Ecommerce (US)</v>
          </cell>
          <cell r="K9963" t="str">
            <v>Ecommerce</v>
          </cell>
          <cell r="L9963" t="str">
            <v>HQ Salaries</v>
          </cell>
          <cell r="N9963" t="str">
            <v>SG&amp;A</v>
          </cell>
          <cell r="O9963" t="str">
            <v>[No Vendor]</v>
          </cell>
        </row>
        <row r="9964">
          <cell r="D9964">
            <v>-442.42</v>
          </cell>
          <cell r="H9964">
            <v>45870</v>
          </cell>
          <cell r="I9964" t="str">
            <v>6040 - Employer Paid Benefits</v>
          </cell>
          <cell r="J9964">
            <v>0</v>
          </cell>
          <cell r="K9964" t="str">
            <v>Design</v>
          </cell>
          <cell r="L9964" t="str">
            <v>HQ Salaries</v>
          </cell>
          <cell r="N9964" t="str">
            <v>SG&amp;A</v>
          </cell>
          <cell r="O9964" t="str">
            <v>[No Vendor]</v>
          </cell>
        </row>
        <row r="9965">
          <cell r="D9965">
            <v>1722.89</v>
          </cell>
          <cell r="H9965">
            <v>45870</v>
          </cell>
          <cell r="I9965" t="str">
            <v>6040 - Employer Paid Benefits</v>
          </cell>
          <cell r="J9965">
            <v>0</v>
          </cell>
          <cell r="K9965" t="str">
            <v>Administration</v>
          </cell>
          <cell r="L9965" t="str">
            <v>HQ Salaries</v>
          </cell>
          <cell r="N9965" t="str">
            <v>SG&amp;A</v>
          </cell>
          <cell r="O9965" t="str">
            <v>[No Vendor]</v>
          </cell>
        </row>
        <row r="9966">
          <cell r="D9966">
            <v>14.9</v>
          </cell>
          <cell r="H9966">
            <v>45870</v>
          </cell>
          <cell r="I9966" t="str">
            <v>6040 - Employer Paid Benefits</v>
          </cell>
          <cell r="J9966">
            <v>0</v>
          </cell>
          <cell r="K9966" t="str">
            <v>Administration</v>
          </cell>
          <cell r="L9966" t="str">
            <v>HQ Salaries</v>
          </cell>
          <cell r="N9966" t="str">
            <v>SG&amp;A</v>
          </cell>
          <cell r="O9966" t="str">
            <v>Procyon Benefits LLC</v>
          </cell>
        </row>
        <row r="9967">
          <cell r="D9967">
            <v>225</v>
          </cell>
          <cell r="H9967">
            <v>45870</v>
          </cell>
          <cell r="I9967" t="str">
            <v>6040 - Employer Paid Benefits</v>
          </cell>
          <cell r="J9967" t="str">
            <v>Wholesale</v>
          </cell>
          <cell r="K9967" t="str">
            <v>Wholesale</v>
          </cell>
          <cell r="L9967" t="str">
            <v>HQ Salaries</v>
          </cell>
          <cell r="N9967" t="str">
            <v>SG&amp;A</v>
          </cell>
          <cell r="O9967" t="str">
            <v>Procyon Benefits LLC</v>
          </cell>
        </row>
        <row r="9968">
          <cell r="D9968">
            <v>45.05</v>
          </cell>
          <cell r="H9968">
            <v>45870</v>
          </cell>
          <cell r="I9968" t="str">
            <v>6040 - Employer Paid Benefits</v>
          </cell>
          <cell r="J9968">
            <v>0</v>
          </cell>
          <cell r="K9968" t="str">
            <v>Production</v>
          </cell>
          <cell r="L9968" t="str">
            <v>HQ Salaries</v>
          </cell>
          <cell r="N9968" t="str">
            <v>SG&amp;A</v>
          </cell>
          <cell r="O9968" t="str">
            <v>Procyon Benefits LLC</v>
          </cell>
        </row>
        <row r="9969">
          <cell r="D9969">
            <v>83.8</v>
          </cell>
          <cell r="H9969">
            <v>45870</v>
          </cell>
          <cell r="I9969" t="str">
            <v>6040 - Employer Paid Benefits</v>
          </cell>
          <cell r="J9969">
            <v>0</v>
          </cell>
          <cell r="K9969" t="str">
            <v>Merchandising</v>
          </cell>
          <cell r="L9969" t="str">
            <v>HQ Salaries</v>
          </cell>
          <cell r="N9969" t="str">
            <v>SG&amp;A</v>
          </cell>
          <cell r="O9969" t="str">
            <v>Procyon Benefits LLC</v>
          </cell>
        </row>
        <row r="9970">
          <cell r="D9970">
            <v>35.6</v>
          </cell>
          <cell r="H9970">
            <v>45870</v>
          </cell>
          <cell r="I9970" t="str">
            <v>6040 - Employer Paid Benefits</v>
          </cell>
          <cell r="J9970">
            <v>0</v>
          </cell>
          <cell r="K9970" t="str">
            <v>Executive</v>
          </cell>
          <cell r="L9970" t="str">
            <v>HQ Salaries</v>
          </cell>
          <cell r="N9970" t="str">
            <v>SG&amp;A</v>
          </cell>
          <cell r="O9970" t="str">
            <v>Procyon Benefits LLC</v>
          </cell>
        </row>
        <row r="9971">
          <cell r="D9971">
            <v>15.8</v>
          </cell>
          <cell r="H9971">
            <v>45870</v>
          </cell>
          <cell r="I9971" t="str">
            <v>6040 - Employer Paid Benefits</v>
          </cell>
          <cell r="J9971" t="str">
            <v>Ecommerce (US)</v>
          </cell>
          <cell r="K9971" t="str">
            <v>Ecommerce</v>
          </cell>
          <cell r="L9971" t="str">
            <v>HQ Salaries</v>
          </cell>
          <cell r="N9971" t="str">
            <v>SG&amp;A</v>
          </cell>
          <cell r="O9971" t="str">
            <v>Procyon Benefits LLC</v>
          </cell>
        </row>
        <row r="9972">
          <cell r="D9972">
            <v>152.09</v>
          </cell>
          <cell r="H9972">
            <v>45870</v>
          </cell>
          <cell r="I9972" t="str">
            <v>6040 - Employer Paid Benefits</v>
          </cell>
          <cell r="J9972">
            <v>0</v>
          </cell>
          <cell r="K9972" t="str">
            <v>Design</v>
          </cell>
          <cell r="L9972" t="str">
            <v>HQ Salaries</v>
          </cell>
          <cell r="N9972" t="str">
            <v>SG&amp;A</v>
          </cell>
          <cell r="O9972" t="str">
            <v>Procyon Benefits LLC</v>
          </cell>
        </row>
        <row r="9973">
          <cell r="D9973">
            <v>-34.9</v>
          </cell>
          <cell r="H9973">
            <v>45870</v>
          </cell>
          <cell r="I9973" t="str">
            <v>6040 - Employer Paid Benefits</v>
          </cell>
          <cell r="J9973" t="str">
            <v>Wholesale</v>
          </cell>
          <cell r="K9973" t="str">
            <v>Wholesale</v>
          </cell>
          <cell r="L9973" t="str">
            <v>HQ Salaries</v>
          </cell>
          <cell r="N9973" t="str">
            <v>SG&amp;A</v>
          </cell>
          <cell r="O9973" t="str">
            <v>[No Vendor]</v>
          </cell>
        </row>
        <row r="9974">
          <cell r="D9974">
            <v>-225.7</v>
          </cell>
          <cell r="H9974">
            <v>45870</v>
          </cell>
          <cell r="I9974" t="str">
            <v>6040 - Employer Paid Benefits</v>
          </cell>
          <cell r="J9974">
            <v>0</v>
          </cell>
          <cell r="K9974" t="str">
            <v>Production</v>
          </cell>
          <cell r="L9974" t="str">
            <v>HQ Salaries</v>
          </cell>
          <cell r="N9974" t="str">
            <v>SG&amp;A</v>
          </cell>
          <cell r="O9974" t="str">
            <v>[No Vendor]</v>
          </cell>
        </row>
        <row r="9975">
          <cell r="D9975">
            <v>-34.9</v>
          </cell>
          <cell r="H9975">
            <v>45870</v>
          </cell>
          <cell r="I9975" t="str">
            <v>6040 - Employer Paid Benefits</v>
          </cell>
          <cell r="J9975">
            <v>0</v>
          </cell>
          <cell r="K9975" t="str">
            <v>Merchandising</v>
          </cell>
          <cell r="L9975" t="str">
            <v>HQ Salaries</v>
          </cell>
          <cell r="N9975" t="str">
            <v>SG&amp;A</v>
          </cell>
          <cell r="O9975" t="str">
            <v>[No Vendor]</v>
          </cell>
        </row>
        <row r="9976">
          <cell r="D9976">
            <v>-106.33</v>
          </cell>
          <cell r="H9976">
            <v>45870</v>
          </cell>
          <cell r="I9976" t="str">
            <v>6040 - Employer Paid Benefits</v>
          </cell>
          <cell r="J9976">
            <v>0</v>
          </cell>
          <cell r="K9976" t="str">
            <v>Brand Marketing</v>
          </cell>
          <cell r="L9976" t="str">
            <v>HQ Salaries</v>
          </cell>
          <cell r="N9976" t="str">
            <v>SG&amp;A</v>
          </cell>
          <cell r="O9976" t="str">
            <v>[No Vendor]</v>
          </cell>
        </row>
        <row r="9977">
          <cell r="D9977">
            <v>-332.53</v>
          </cell>
          <cell r="H9977">
            <v>45870</v>
          </cell>
          <cell r="I9977" t="str">
            <v>6040 - Employer Paid Benefits</v>
          </cell>
          <cell r="J9977">
            <v>0</v>
          </cell>
          <cell r="K9977" t="str">
            <v>Executive</v>
          </cell>
          <cell r="L9977" t="str">
            <v>HQ Salaries</v>
          </cell>
          <cell r="N9977" t="str">
            <v>SG&amp;A</v>
          </cell>
          <cell r="O9977" t="str">
            <v>[No Vendor]</v>
          </cell>
        </row>
        <row r="9978">
          <cell r="D9978">
            <v>-324.20999999999998</v>
          </cell>
          <cell r="H9978">
            <v>45870</v>
          </cell>
          <cell r="I9978" t="str">
            <v>6040 - Employer Paid Benefits</v>
          </cell>
          <cell r="J9978" t="str">
            <v>Ecommerce (US)</v>
          </cell>
          <cell r="K9978" t="str">
            <v>Ecommerce</v>
          </cell>
          <cell r="L9978" t="str">
            <v>HQ Salaries</v>
          </cell>
          <cell r="N9978" t="str">
            <v>SG&amp;A</v>
          </cell>
          <cell r="O9978" t="str">
            <v>[No Vendor]</v>
          </cell>
        </row>
        <row r="9979">
          <cell r="D9979">
            <v>-442.42</v>
          </cell>
          <cell r="H9979">
            <v>45870</v>
          </cell>
          <cell r="I9979" t="str">
            <v>6040 - Employer Paid Benefits</v>
          </cell>
          <cell r="J9979">
            <v>0</v>
          </cell>
          <cell r="K9979" t="str">
            <v>Design</v>
          </cell>
          <cell r="L9979" t="str">
            <v>HQ Salaries</v>
          </cell>
          <cell r="N9979" t="str">
            <v>SG&amp;A</v>
          </cell>
          <cell r="O9979" t="str">
            <v>[No Vendor]</v>
          </cell>
        </row>
        <row r="9980">
          <cell r="D9980">
            <v>-199.35</v>
          </cell>
          <cell r="H9980">
            <v>45870</v>
          </cell>
          <cell r="I9980" t="str">
            <v>6040 - Employer Paid Benefits</v>
          </cell>
          <cell r="J9980">
            <v>0</v>
          </cell>
          <cell r="K9980" t="str">
            <v>Administration</v>
          </cell>
          <cell r="L9980" t="str">
            <v>HQ Salaries</v>
          </cell>
          <cell r="N9980" t="str">
            <v>SG&amp;A</v>
          </cell>
          <cell r="O9980" t="str">
            <v>[No Vendor]</v>
          </cell>
        </row>
        <row r="9981">
          <cell r="D9981">
            <v>53.75</v>
          </cell>
          <cell r="H9981">
            <v>45870</v>
          </cell>
          <cell r="I9981" t="str">
            <v>6040 - Employer Paid Benefits</v>
          </cell>
          <cell r="J9981">
            <v>0</v>
          </cell>
          <cell r="K9981" t="str">
            <v>Production</v>
          </cell>
          <cell r="L9981" t="str">
            <v>HQ Salaries</v>
          </cell>
          <cell r="N9981" t="str">
            <v>SG&amp;A</v>
          </cell>
          <cell r="O9981" t="str">
            <v>Procyon Benefits LLC</v>
          </cell>
        </row>
        <row r="9982">
          <cell r="D9982">
            <v>324.5</v>
          </cell>
          <cell r="H9982">
            <v>45870</v>
          </cell>
          <cell r="I9982" t="str">
            <v>6040 - Employer Paid Benefits</v>
          </cell>
          <cell r="J9982">
            <v>0</v>
          </cell>
          <cell r="K9982" t="str">
            <v>Merchandising</v>
          </cell>
          <cell r="L9982" t="str">
            <v>HQ Salaries</v>
          </cell>
          <cell r="N9982" t="str">
            <v>SG&amp;A</v>
          </cell>
          <cell r="O9982" t="str">
            <v>Procyon Benefits LLC</v>
          </cell>
        </row>
        <row r="9983">
          <cell r="D9983">
            <v>818.68</v>
          </cell>
          <cell r="H9983">
            <v>45870</v>
          </cell>
          <cell r="I9983" t="str">
            <v>6040 - Employer Paid Benefits</v>
          </cell>
          <cell r="J9983">
            <v>0</v>
          </cell>
          <cell r="K9983" t="str">
            <v>Executive</v>
          </cell>
          <cell r="L9983" t="str">
            <v>HQ Salaries</v>
          </cell>
          <cell r="N9983" t="str">
            <v>SG&amp;A</v>
          </cell>
          <cell r="O9983" t="str">
            <v>Procyon Benefits LLC</v>
          </cell>
        </row>
        <row r="9984">
          <cell r="D9984">
            <v>5</v>
          </cell>
          <cell r="H9984">
            <v>45870</v>
          </cell>
          <cell r="I9984" t="str">
            <v>6040 - Employer Paid Benefits</v>
          </cell>
          <cell r="J9984" t="str">
            <v>Ecommerce (US)</v>
          </cell>
          <cell r="K9984" t="str">
            <v>Ecommerce</v>
          </cell>
          <cell r="L9984" t="str">
            <v>HQ Salaries</v>
          </cell>
          <cell r="N9984" t="str">
            <v>SG&amp;A</v>
          </cell>
          <cell r="O9984" t="str">
            <v>Procyon Benefits LLC</v>
          </cell>
        </row>
        <row r="9985">
          <cell r="D9985">
            <v>71.599999999999994</v>
          </cell>
          <cell r="H9985">
            <v>45870</v>
          </cell>
          <cell r="I9985" t="str">
            <v>6040 - Employer Paid Benefits</v>
          </cell>
          <cell r="J9985">
            <v>0</v>
          </cell>
          <cell r="K9985" t="str">
            <v>Design</v>
          </cell>
          <cell r="L9985" t="str">
            <v>HQ Salaries</v>
          </cell>
          <cell r="N9985" t="str">
            <v>SG&amp;A</v>
          </cell>
          <cell r="O9985" t="str">
            <v>Procyon Benefits LLC</v>
          </cell>
        </row>
        <row r="9986">
          <cell r="D9986">
            <v>11.9</v>
          </cell>
          <cell r="H9986">
            <v>45870</v>
          </cell>
          <cell r="I9986" t="str">
            <v>6040 - Employer Paid Benefits</v>
          </cell>
          <cell r="J9986">
            <v>0</v>
          </cell>
          <cell r="K9986" t="str">
            <v>Administration</v>
          </cell>
          <cell r="L9986" t="str">
            <v>HQ Salaries</v>
          </cell>
          <cell r="N9986" t="str">
            <v>SG&amp;A</v>
          </cell>
          <cell r="O9986" t="str">
            <v>Procyon Benefits LLC</v>
          </cell>
        </row>
        <row r="9987">
          <cell r="D9987">
            <v>74.25</v>
          </cell>
          <cell r="H9987">
            <v>45870</v>
          </cell>
          <cell r="I9987" t="str">
            <v>6040 - Employer Paid Benefits</v>
          </cell>
          <cell r="J9987" t="str">
            <v>Wholesale</v>
          </cell>
          <cell r="K9987" t="str">
            <v>Wholesale</v>
          </cell>
          <cell r="L9987" t="str">
            <v>HQ Salaries</v>
          </cell>
          <cell r="N9987" t="str">
            <v>SG&amp;A</v>
          </cell>
          <cell r="O9987" t="str">
            <v>Procyon Benefits LLC</v>
          </cell>
        </row>
        <row r="9988">
          <cell r="D9988">
            <v>58.2</v>
          </cell>
          <cell r="H9988">
            <v>45870</v>
          </cell>
          <cell r="I9988" t="str">
            <v>6040 - Employer Paid Benefits</v>
          </cell>
          <cell r="J9988">
            <v>0</v>
          </cell>
          <cell r="K9988" t="str">
            <v>Production</v>
          </cell>
          <cell r="L9988" t="str">
            <v>HQ Salaries</v>
          </cell>
          <cell r="N9988" t="str">
            <v>SG&amp;A</v>
          </cell>
          <cell r="O9988" t="str">
            <v>Procyon Benefits LLC</v>
          </cell>
        </row>
        <row r="9989">
          <cell r="D9989">
            <v>28.41</v>
          </cell>
          <cell r="H9989">
            <v>45870</v>
          </cell>
          <cell r="I9989" t="str">
            <v>6040 - Employer Paid Benefits</v>
          </cell>
          <cell r="J9989">
            <v>0</v>
          </cell>
          <cell r="K9989" t="str">
            <v>Merchandising</v>
          </cell>
          <cell r="L9989" t="str">
            <v>HQ Salaries</v>
          </cell>
          <cell r="N9989" t="str">
            <v>SG&amp;A</v>
          </cell>
          <cell r="O9989" t="str">
            <v>Procyon Benefits LLC</v>
          </cell>
        </row>
        <row r="9990">
          <cell r="D9990">
            <v>10</v>
          </cell>
          <cell r="H9990">
            <v>45870</v>
          </cell>
          <cell r="I9990" t="str">
            <v>6040 - Employer Paid Benefits</v>
          </cell>
          <cell r="J9990" t="str">
            <v>Ecommerce (US)</v>
          </cell>
          <cell r="K9990" t="str">
            <v>Ecommerce</v>
          </cell>
          <cell r="L9990" t="str">
            <v>HQ Salaries</v>
          </cell>
          <cell r="N9990" t="str">
            <v>SG&amp;A</v>
          </cell>
          <cell r="O9990" t="str">
            <v>Procyon Benefits LLC</v>
          </cell>
        </row>
        <row r="9991">
          <cell r="D9991">
            <v>80.2</v>
          </cell>
          <cell r="H9991">
            <v>45870</v>
          </cell>
          <cell r="I9991" t="str">
            <v>6040 - Employer Paid Benefits</v>
          </cell>
          <cell r="J9991">
            <v>0</v>
          </cell>
          <cell r="K9991" t="str">
            <v>Design</v>
          </cell>
          <cell r="L9991" t="str">
            <v>HQ Salaries</v>
          </cell>
          <cell r="N9991" t="str">
            <v>SG&amp;A</v>
          </cell>
          <cell r="O9991" t="str">
            <v>Procyon Benefits LLC</v>
          </cell>
        </row>
        <row r="9992">
          <cell r="D9992">
            <v>92.09</v>
          </cell>
          <cell r="H9992">
            <v>45870</v>
          </cell>
          <cell r="I9992" t="str">
            <v>6040 - Employer Paid Benefits</v>
          </cell>
          <cell r="J9992">
            <v>0</v>
          </cell>
          <cell r="K9992" t="str">
            <v>Administration</v>
          </cell>
          <cell r="L9992" t="str">
            <v>HQ Salaries</v>
          </cell>
          <cell r="N9992" t="str">
            <v>SG&amp;A</v>
          </cell>
          <cell r="O9992" t="str">
            <v>Procyon Benefits LLC</v>
          </cell>
        </row>
        <row r="9993">
          <cell r="D9993">
            <v>20</v>
          </cell>
          <cell r="H9993">
            <v>45870</v>
          </cell>
          <cell r="I9993" t="str">
            <v>6040 - Employer Paid Benefits</v>
          </cell>
          <cell r="J9993">
            <v>0</v>
          </cell>
          <cell r="K9993" t="str">
            <v>Administration</v>
          </cell>
          <cell r="L9993" t="str">
            <v>HQ Salaries</v>
          </cell>
          <cell r="N9993" t="str">
            <v>SG&amp;A</v>
          </cell>
          <cell r="O9993" t="str">
            <v>Progressive Benefit Solutions LLC</v>
          </cell>
        </row>
        <row r="9994">
          <cell r="D9994">
            <v>121</v>
          </cell>
          <cell r="H9994">
            <v>45870</v>
          </cell>
          <cell r="I9994" t="str">
            <v>6040 - Employer Paid Benefits</v>
          </cell>
          <cell r="J9994">
            <v>0</v>
          </cell>
          <cell r="K9994" t="str">
            <v>Administration</v>
          </cell>
          <cell r="L9994" t="str">
            <v>HQ Salaries</v>
          </cell>
          <cell r="N9994" t="str">
            <v>SG&amp;A</v>
          </cell>
          <cell r="O9994" t="str">
            <v>Progressive Benefit Solutions LLC</v>
          </cell>
        </row>
        <row r="9995">
          <cell r="D9995">
            <v>-199.35</v>
          </cell>
          <cell r="H9995">
            <v>45870</v>
          </cell>
          <cell r="I9995" t="str">
            <v>6040 - Employer Paid Benefits</v>
          </cell>
          <cell r="J9995">
            <v>0</v>
          </cell>
          <cell r="K9995" t="str">
            <v>Administration</v>
          </cell>
          <cell r="L9995" t="str">
            <v>HQ Salaries</v>
          </cell>
          <cell r="N9995" t="str">
            <v>SG&amp;A</v>
          </cell>
          <cell r="O9995" t="str">
            <v>[No Vendor]</v>
          </cell>
        </row>
        <row r="9996">
          <cell r="D9996">
            <v>-442.42</v>
          </cell>
          <cell r="H9996">
            <v>45870</v>
          </cell>
          <cell r="I9996" t="str">
            <v>6040 - Employer Paid Benefits</v>
          </cell>
          <cell r="J9996">
            <v>0</v>
          </cell>
          <cell r="K9996" t="str">
            <v>Design</v>
          </cell>
          <cell r="L9996" t="str">
            <v>HQ Salaries</v>
          </cell>
          <cell r="N9996" t="str">
            <v>SG&amp;A</v>
          </cell>
          <cell r="O9996" t="str">
            <v>[No Vendor]</v>
          </cell>
        </row>
        <row r="9997">
          <cell r="D9997">
            <v>-324.20999999999998</v>
          </cell>
          <cell r="H9997">
            <v>45870</v>
          </cell>
          <cell r="I9997" t="str">
            <v>6040 - Employer Paid Benefits</v>
          </cell>
          <cell r="J9997" t="str">
            <v>Ecommerce (US)</v>
          </cell>
          <cell r="K9997" t="str">
            <v>Ecommerce</v>
          </cell>
          <cell r="L9997" t="str">
            <v>HQ Salaries</v>
          </cell>
          <cell r="N9997" t="str">
            <v>SG&amp;A</v>
          </cell>
          <cell r="O9997" t="str">
            <v>[No Vendor]</v>
          </cell>
        </row>
        <row r="9998">
          <cell r="D9998">
            <v>-332.53</v>
          </cell>
          <cell r="H9998">
            <v>45870</v>
          </cell>
          <cell r="I9998" t="str">
            <v>6040 - Employer Paid Benefits</v>
          </cell>
          <cell r="J9998">
            <v>0</v>
          </cell>
          <cell r="K9998" t="str">
            <v>Executive</v>
          </cell>
          <cell r="L9998" t="str">
            <v>HQ Salaries</v>
          </cell>
          <cell r="N9998" t="str">
            <v>SG&amp;A</v>
          </cell>
          <cell r="O9998" t="str">
            <v>[No Vendor]</v>
          </cell>
        </row>
        <row r="9999">
          <cell r="D9999">
            <v>-211.23</v>
          </cell>
          <cell r="H9999">
            <v>45870</v>
          </cell>
          <cell r="I9999" t="str">
            <v>6040 - Employer Paid Benefits</v>
          </cell>
          <cell r="J9999">
            <v>0</v>
          </cell>
          <cell r="K9999" t="str">
            <v>Brand Marketing</v>
          </cell>
          <cell r="L9999" t="str">
            <v>HQ Salaries</v>
          </cell>
          <cell r="N9999" t="str">
            <v>SG&amp;A</v>
          </cell>
          <cell r="O9999" t="str">
            <v>[No Vendor]</v>
          </cell>
        </row>
        <row r="10000">
          <cell r="D10000">
            <v>-34.9</v>
          </cell>
          <cell r="H10000">
            <v>45870</v>
          </cell>
          <cell r="I10000" t="str">
            <v>6040 - Employer Paid Benefits</v>
          </cell>
          <cell r="J10000">
            <v>0</v>
          </cell>
          <cell r="K10000" t="str">
            <v>Merchandising</v>
          </cell>
          <cell r="L10000" t="str">
            <v>HQ Salaries</v>
          </cell>
          <cell r="N10000" t="str">
            <v>SG&amp;A</v>
          </cell>
          <cell r="O10000" t="str">
            <v>[No Vendor]</v>
          </cell>
        </row>
        <row r="10001">
          <cell r="D10001">
            <v>-225.7</v>
          </cell>
          <cell r="H10001">
            <v>45870</v>
          </cell>
          <cell r="I10001" t="str">
            <v>6040 - Employer Paid Benefits</v>
          </cell>
          <cell r="J10001">
            <v>0</v>
          </cell>
          <cell r="K10001" t="str">
            <v>Production</v>
          </cell>
          <cell r="L10001" t="str">
            <v>HQ Salaries</v>
          </cell>
          <cell r="N10001" t="str">
            <v>SG&amp;A</v>
          </cell>
          <cell r="O10001" t="str">
            <v>[No Vendor]</v>
          </cell>
        </row>
        <row r="10002">
          <cell r="D10002">
            <v>-34.9</v>
          </cell>
          <cell r="H10002">
            <v>45870</v>
          </cell>
          <cell r="I10002" t="str">
            <v>6040 - Employer Paid Benefits</v>
          </cell>
          <cell r="J10002" t="str">
            <v>Wholesale</v>
          </cell>
          <cell r="K10002" t="str">
            <v>Wholesale</v>
          </cell>
          <cell r="L10002" t="str">
            <v>HQ Salaries</v>
          </cell>
          <cell r="N10002" t="str">
            <v>SG&amp;A</v>
          </cell>
          <cell r="O10002" t="str">
            <v>[No Vendor]</v>
          </cell>
        </row>
        <row r="10003">
          <cell r="D10003">
            <v>-321.76</v>
          </cell>
          <cell r="H10003">
            <v>45870</v>
          </cell>
          <cell r="I10003" t="str">
            <v>6055 - Employer Social Security Tax Withheld</v>
          </cell>
          <cell r="J10003" t="str">
            <v>Wholesale</v>
          </cell>
          <cell r="K10003" t="str">
            <v>Wholesale</v>
          </cell>
          <cell r="L10003" t="str">
            <v>HQ Salaries</v>
          </cell>
          <cell r="N10003" t="str">
            <v>SG&amp;A</v>
          </cell>
          <cell r="O10003" t="str">
            <v>[No Vendor]</v>
          </cell>
        </row>
        <row r="10004">
          <cell r="D10004">
            <v>-1443.43</v>
          </cell>
          <cell r="H10004">
            <v>45870</v>
          </cell>
          <cell r="I10004" t="str">
            <v>6055 - Employer Social Security Tax Withheld</v>
          </cell>
          <cell r="J10004">
            <v>0</v>
          </cell>
          <cell r="K10004" t="str">
            <v>Production</v>
          </cell>
          <cell r="L10004" t="str">
            <v>HQ Salaries</v>
          </cell>
          <cell r="N10004" t="str">
            <v>SG&amp;A</v>
          </cell>
          <cell r="O10004" t="str">
            <v>[No Vendor]</v>
          </cell>
        </row>
        <row r="10005">
          <cell r="D10005">
            <v>-366.25</v>
          </cell>
          <cell r="H10005">
            <v>45870</v>
          </cell>
          <cell r="I10005" t="str">
            <v>6055 - Employer Social Security Tax Withheld</v>
          </cell>
          <cell r="J10005">
            <v>0</v>
          </cell>
          <cell r="K10005" t="str">
            <v>Merchandising</v>
          </cell>
          <cell r="L10005" t="str">
            <v>HQ Salaries</v>
          </cell>
          <cell r="N10005" t="str">
            <v>SG&amp;A</v>
          </cell>
          <cell r="O10005" t="str">
            <v>[No Vendor]</v>
          </cell>
        </row>
        <row r="10006">
          <cell r="D10006">
            <v>-272.05</v>
          </cell>
          <cell r="H10006">
            <v>45870</v>
          </cell>
          <cell r="I10006" t="str">
            <v>6055 - Employer Social Security Tax Withheld</v>
          </cell>
          <cell r="J10006">
            <v>0</v>
          </cell>
          <cell r="K10006" t="str">
            <v>Brand Marketing</v>
          </cell>
          <cell r="L10006" t="str">
            <v>HQ Salaries</v>
          </cell>
          <cell r="N10006" t="str">
            <v>SG&amp;A</v>
          </cell>
          <cell r="O10006" t="str">
            <v>[No Vendor]</v>
          </cell>
        </row>
        <row r="10007">
          <cell r="D10007">
            <v>-456.63</v>
          </cell>
          <cell r="H10007">
            <v>45870</v>
          </cell>
          <cell r="I10007" t="str">
            <v>6055 - Employer Social Security Tax Withheld</v>
          </cell>
          <cell r="J10007">
            <v>0</v>
          </cell>
          <cell r="K10007" t="str">
            <v>Executive</v>
          </cell>
          <cell r="L10007" t="str">
            <v>HQ Salaries</v>
          </cell>
          <cell r="N10007" t="str">
            <v>SG&amp;A</v>
          </cell>
          <cell r="O10007" t="str">
            <v>[No Vendor]</v>
          </cell>
        </row>
        <row r="10008">
          <cell r="D10008">
            <v>-1983.62</v>
          </cell>
          <cell r="H10008">
            <v>45870</v>
          </cell>
          <cell r="I10008" t="str">
            <v>6055 - Employer Social Security Tax Withheld</v>
          </cell>
          <cell r="J10008" t="str">
            <v>Ecommerce (US)</v>
          </cell>
          <cell r="K10008" t="str">
            <v>Ecommerce</v>
          </cell>
          <cell r="L10008" t="str">
            <v>HQ Salaries</v>
          </cell>
          <cell r="N10008" t="str">
            <v>SG&amp;A</v>
          </cell>
          <cell r="O10008" t="str">
            <v>[No Vendor]</v>
          </cell>
        </row>
        <row r="10009">
          <cell r="D10009">
            <v>-1939.8</v>
          </cell>
          <cell r="H10009">
            <v>45870</v>
          </cell>
          <cell r="I10009" t="str">
            <v>6055 - Employer Social Security Tax Withheld</v>
          </cell>
          <cell r="J10009">
            <v>0</v>
          </cell>
          <cell r="K10009" t="str">
            <v>Design</v>
          </cell>
          <cell r="L10009" t="str">
            <v>HQ Salaries</v>
          </cell>
          <cell r="N10009" t="str">
            <v>SG&amp;A</v>
          </cell>
          <cell r="O10009" t="str">
            <v>[No Vendor]</v>
          </cell>
        </row>
        <row r="10010">
          <cell r="D10010">
            <v>-2625.46</v>
          </cell>
          <cell r="H10010">
            <v>45870</v>
          </cell>
          <cell r="I10010" t="str">
            <v>6055 - Employer Social Security Tax Withheld</v>
          </cell>
          <cell r="J10010">
            <v>0</v>
          </cell>
          <cell r="K10010" t="str">
            <v>Administration</v>
          </cell>
          <cell r="L10010" t="str">
            <v>HQ Salaries</v>
          </cell>
          <cell r="N10010" t="str">
            <v>SG&amp;A</v>
          </cell>
          <cell r="O10010" t="str">
            <v>[No Vendor]</v>
          </cell>
        </row>
        <row r="10011">
          <cell r="D10011">
            <v>357.5</v>
          </cell>
          <cell r="H10011">
            <v>45870</v>
          </cell>
          <cell r="I10011" t="str">
            <v>6055 - Employer Social Security Tax Withheld</v>
          </cell>
          <cell r="J10011" t="str">
            <v>Wholesale</v>
          </cell>
          <cell r="K10011" t="str">
            <v>Wholesale</v>
          </cell>
          <cell r="L10011" t="str">
            <v>HQ Salaries</v>
          </cell>
          <cell r="N10011" t="str">
            <v>SG&amp;A</v>
          </cell>
          <cell r="O10011" t="str">
            <v>[No Vendor]</v>
          </cell>
        </row>
        <row r="10012">
          <cell r="D10012">
            <v>1603.81</v>
          </cell>
          <cell r="H10012">
            <v>45870</v>
          </cell>
          <cell r="I10012" t="str">
            <v>6055 - Employer Social Security Tax Withheld</v>
          </cell>
          <cell r="J10012">
            <v>0</v>
          </cell>
          <cell r="K10012" t="str">
            <v>Production</v>
          </cell>
          <cell r="L10012" t="str">
            <v>HQ Salaries</v>
          </cell>
          <cell r="N10012" t="str">
            <v>SG&amp;A</v>
          </cell>
          <cell r="O10012" t="str">
            <v>[No Vendor]</v>
          </cell>
        </row>
        <row r="10013">
          <cell r="D10013">
            <v>406.94</v>
          </cell>
          <cell r="H10013">
            <v>45870</v>
          </cell>
          <cell r="I10013" t="str">
            <v>6055 - Employer Social Security Tax Withheld</v>
          </cell>
          <cell r="J10013">
            <v>0</v>
          </cell>
          <cell r="K10013" t="str">
            <v>Merchandising</v>
          </cell>
          <cell r="L10013" t="str">
            <v>HQ Salaries</v>
          </cell>
          <cell r="N10013" t="str">
            <v>SG&amp;A</v>
          </cell>
          <cell r="O10013" t="str">
            <v>[No Vendor]</v>
          </cell>
        </row>
        <row r="10014">
          <cell r="D10014">
            <v>302.27999999999997</v>
          </cell>
          <cell r="H10014">
            <v>45870</v>
          </cell>
          <cell r="I10014" t="str">
            <v>6055 - Employer Social Security Tax Withheld</v>
          </cell>
          <cell r="J10014">
            <v>0</v>
          </cell>
          <cell r="K10014" t="str">
            <v>Brand Marketing</v>
          </cell>
          <cell r="L10014" t="str">
            <v>HQ Salaries</v>
          </cell>
          <cell r="N10014" t="str">
            <v>SG&amp;A</v>
          </cell>
          <cell r="O10014" t="str">
            <v>[No Vendor]</v>
          </cell>
        </row>
        <row r="10015">
          <cell r="D10015">
            <v>507.35</v>
          </cell>
          <cell r="H10015">
            <v>45870</v>
          </cell>
          <cell r="I10015" t="str">
            <v>6055 - Employer Social Security Tax Withheld</v>
          </cell>
          <cell r="J10015">
            <v>0</v>
          </cell>
          <cell r="K10015" t="str">
            <v>Executive</v>
          </cell>
          <cell r="L10015" t="str">
            <v>HQ Salaries</v>
          </cell>
          <cell r="N10015" t="str">
            <v>SG&amp;A</v>
          </cell>
          <cell r="O10015" t="str">
            <v>[No Vendor]</v>
          </cell>
        </row>
        <row r="10016">
          <cell r="D10016">
            <v>2204.02</v>
          </cell>
          <cell r="H10016">
            <v>45870</v>
          </cell>
          <cell r="I10016" t="str">
            <v>6055 - Employer Social Security Tax Withheld</v>
          </cell>
          <cell r="J10016" t="str">
            <v>Ecommerce (US)</v>
          </cell>
          <cell r="K10016" t="str">
            <v>Ecommerce</v>
          </cell>
          <cell r="L10016" t="str">
            <v>HQ Salaries</v>
          </cell>
          <cell r="N10016" t="str">
            <v>SG&amp;A</v>
          </cell>
          <cell r="O10016" t="str">
            <v>[No Vendor]</v>
          </cell>
        </row>
        <row r="10017">
          <cell r="D10017">
            <v>2155.3200000000002</v>
          </cell>
          <cell r="H10017">
            <v>45870</v>
          </cell>
          <cell r="I10017" t="str">
            <v>6055 - Employer Social Security Tax Withheld</v>
          </cell>
          <cell r="J10017">
            <v>0</v>
          </cell>
          <cell r="K10017" t="str">
            <v>Design</v>
          </cell>
          <cell r="L10017" t="str">
            <v>HQ Salaries</v>
          </cell>
          <cell r="N10017" t="str">
            <v>SG&amp;A</v>
          </cell>
          <cell r="O10017" t="str">
            <v>[No Vendor]</v>
          </cell>
        </row>
        <row r="10018">
          <cell r="D10018">
            <v>2917.18</v>
          </cell>
          <cell r="H10018">
            <v>45870</v>
          </cell>
          <cell r="I10018" t="str">
            <v>6055 - Employer Social Security Tax Withheld</v>
          </cell>
          <cell r="J10018">
            <v>0</v>
          </cell>
          <cell r="K10018" t="str">
            <v>Administration</v>
          </cell>
          <cell r="L10018" t="str">
            <v>HQ Salaries</v>
          </cell>
          <cell r="N10018" t="str">
            <v>SG&amp;A</v>
          </cell>
          <cell r="O10018" t="str">
            <v>[No Vendor]</v>
          </cell>
        </row>
        <row r="10019">
          <cell r="D10019">
            <v>357.5</v>
          </cell>
          <cell r="H10019">
            <v>45870</v>
          </cell>
          <cell r="I10019" t="str">
            <v>6055 - Employer Social Security Tax Withheld</v>
          </cell>
          <cell r="J10019" t="str">
            <v>Wholesale</v>
          </cell>
          <cell r="K10019" t="str">
            <v>Wholesale</v>
          </cell>
          <cell r="L10019" t="str">
            <v>HQ Salaries</v>
          </cell>
          <cell r="N10019" t="str">
            <v>SG&amp;A</v>
          </cell>
          <cell r="O10019" t="str">
            <v>[No Vendor]</v>
          </cell>
        </row>
        <row r="10020">
          <cell r="D10020">
            <v>1603.81</v>
          </cell>
          <cell r="H10020">
            <v>45870</v>
          </cell>
          <cell r="I10020" t="str">
            <v>6055 - Employer Social Security Tax Withheld</v>
          </cell>
          <cell r="J10020">
            <v>0</v>
          </cell>
          <cell r="K10020" t="str">
            <v>Production</v>
          </cell>
          <cell r="L10020" t="str">
            <v>HQ Salaries</v>
          </cell>
          <cell r="N10020" t="str">
            <v>SG&amp;A</v>
          </cell>
          <cell r="O10020" t="str">
            <v>[No Vendor]</v>
          </cell>
        </row>
        <row r="10021">
          <cell r="D10021">
            <v>406.94</v>
          </cell>
          <cell r="H10021">
            <v>45870</v>
          </cell>
          <cell r="I10021" t="str">
            <v>6055 - Employer Social Security Tax Withheld</v>
          </cell>
          <cell r="J10021">
            <v>0</v>
          </cell>
          <cell r="K10021" t="str">
            <v>Merchandising</v>
          </cell>
          <cell r="L10021" t="str">
            <v>HQ Salaries</v>
          </cell>
          <cell r="N10021" t="str">
            <v>SG&amp;A</v>
          </cell>
          <cell r="O10021" t="str">
            <v>[No Vendor]</v>
          </cell>
        </row>
        <row r="10022">
          <cell r="D10022">
            <v>818.86</v>
          </cell>
          <cell r="H10022">
            <v>45870</v>
          </cell>
          <cell r="I10022" t="str">
            <v>6055 - Employer Social Security Tax Withheld</v>
          </cell>
          <cell r="J10022">
            <v>0</v>
          </cell>
          <cell r="K10022" t="str">
            <v>Brand Marketing</v>
          </cell>
          <cell r="L10022" t="str">
            <v>HQ Salaries</v>
          </cell>
          <cell r="N10022" t="str">
            <v>SG&amp;A</v>
          </cell>
          <cell r="O10022" t="str">
            <v>[No Vendor]</v>
          </cell>
        </row>
        <row r="10023">
          <cell r="D10023">
            <v>507.35</v>
          </cell>
          <cell r="H10023">
            <v>45870</v>
          </cell>
          <cell r="I10023" t="str">
            <v>6055 - Employer Social Security Tax Withheld</v>
          </cell>
          <cell r="J10023">
            <v>0</v>
          </cell>
          <cell r="K10023" t="str">
            <v>Executive</v>
          </cell>
          <cell r="L10023" t="str">
            <v>HQ Salaries</v>
          </cell>
          <cell r="N10023" t="str">
            <v>SG&amp;A</v>
          </cell>
          <cell r="O10023" t="str">
            <v>[No Vendor]</v>
          </cell>
        </row>
        <row r="10024">
          <cell r="D10024">
            <v>2204.02</v>
          </cell>
          <cell r="H10024">
            <v>45870</v>
          </cell>
          <cell r="I10024" t="str">
            <v>6055 - Employer Social Security Tax Withheld</v>
          </cell>
          <cell r="J10024" t="str">
            <v>Ecommerce (US)</v>
          </cell>
          <cell r="K10024" t="str">
            <v>Ecommerce</v>
          </cell>
          <cell r="L10024" t="str">
            <v>HQ Salaries</v>
          </cell>
          <cell r="N10024" t="str">
            <v>SG&amp;A</v>
          </cell>
          <cell r="O10024" t="str">
            <v>[No Vendor]</v>
          </cell>
        </row>
        <row r="10025">
          <cell r="D10025">
            <v>2155.3200000000002</v>
          </cell>
          <cell r="H10025">
            <v>45870</v>
          </cell>
          <cell r="I10025" t="str">
            <v>6055 - Employer Social Security Tax Withheld</v>
          </cell>
          <cell r="J10025">
            <v>0</v>
          </cell>
          <cell r="K10025" t="str">
            <v>Design</v>
          </cell>
          <cell r="L10025" t="str">
            <v>HQ Salaries</v>
          </cell>
          <cell r="N10025" t="str">
            <v>SG&amp;A</v>
          </cell>
          <cell r="O10025" t="str">
            <v>[No Vendor]</v>
          </cell>
        </row>
        <row r="10026">
          <cell r="D10026">
            <v>2509.6799999999998</v>
          </cell>
          <cell r="H10026">
            <v>45870</v>
          </cell>
          <cell r="I10026" t="str">
            <v>6055 - Employer Social Security Tax Withheld</v>
          </cell>
          <cell r="J10026">
            <v>0</v>
          </cell>
          <cell r="K10026" t="str">
            <v>Administration</v>
          </cell>
          <cell r="L10026" t="str">
            <v>HQ Salaries</v>
          </cell>
          <cell r="N10026" t="str">
            <v>SG&amp;A</v>
          </cell>
          <cell r="O10026" t="str">
            <v>[No Vendor]</v>
          </cell>
        </row>
        <row r="10027">
          <cell r="D10027">
            <v>2749.74</v>
          </cell>
          <cell r="H10027">
            <v>45870</v>
          </cell>
          <cell r="I10027" t="str">
            <v>6055 - Employer Social Security Tax Withheld</v>
          </cell>
          <cell r="J10027">
            <v>0</v>
          </cell>
          <cell r="K10027" t="str">
            <v>Administration</v>
          </cell>
          <cell r="L10027" t="str">
            <v>HQ Salaries</v>
          </cell>
          <cell r="N10027" t="str">
            <v>SG&amp;A</v>
          </cell>
          <cell r="O10027" t="str">
            <v>[No Vendor]</v>
          </cell>
        </row>
        <row r="10028">
          <cell r="D10028">
            <v>2155.3200000000002</v>
          </cell>
          <cell r="H10028">
            <v>45870</v>
          </cell>
          <cell r="I10028" t="str">
            <v>6055 - Employer Social Security Tax Withheld</v>
          </cell>
          <cell r="J10028">
            <v>0</v>
          </cell>
          <cell r="K10028" t="str">
            <v>Design</v>
          </cell>
          <cell r="L10028" t="str">
            <v>HQ Salaries</v>
          </cell>
          <cell r="N10028" t="str">
            <v>SG&amp;A</v>
          </cell>
          <cell r="O10028" t="str">
            <v>[No Vendor]</v>
          </cell>
        </row>
        <row r="10029">
          <cell r="D10029">
            <v>2204.02</v>
          </cell>
          <cell r="H10029">
            <v>45870</v>
          </cell>
          <cell r="I10029" t="str">
            <v>6055 - Employer Social Security Tax Withheld</v>
          </cell>
          <cell r="J10029" t="str">
            <v>Ecommerce (US)</v>
          </cell>
          <cell r="K10029" t="str">
            <v>Ecommerce</v>
          </cell>
          <cell r="L10029" t="str">
            <v>HQ Salaries</v>
          </cell>
          <cell r="N10029" t="str">
            <v>SG&amp;A</v>
          </cell>
          <cell r="O10029" t="str">
            <v>[No Vendor]</v>
          </cell>
        </row>
        <row r="10030">
          <cell r="D10030">
            <v>507.35</v>
          </cell>
          <cell r="H10030">
            <v>45870</v>
          </cell>
          <cell r="I10030" t="str">
            <v>6055 - Employer Social Security Tax Withheld</v>
          </cell>
          <cell r="J10030">
            <v>0</v>
          </cell>
          <cell r="K10030" t="str">
            <v>Executive</v>
          </cell>
          <cell r="L10030" t="str">
            <v>HQ Salaries</v>
          </cell>
          <cell r="N10030" t="str">
            <v>SG&amp;A</v>
          </cell>
          <cell r="O10030" t="str">
            <v>[No Vendor]</v>
          </cell>
        </row>
        <row r="10031">
          <cell r="D10031">
            <v>1308.8499999999999</v>
          </cell>
          <cell r="H10031">
            <v>45870</v>
          </cell>
          <cell r="I10031" t="str">
            <v>6055 - Employer Social Security Tax Withheld</v>
          </cell>
          <cell r="J10031">
            <v>0</v>
          </cell>
          <cell r="K10031" t="str">
            <v>Brand Marketing</v>
          </cell>
          <cell r="L10031" t="str">
            <v>HQ Salaries</v>
          </cell>
          <cell r="N10031" t="str">
            <v>SG&amp;A</v>
          </cell>
          <cell r="O10031" t="str">
            <v>[No Vendor]</v>
          </cell>
        </row>
        <row r="10032">
          <cell r="D10032">
            <v>406.94</v>
          </cell>
          <cell r="H10032">
            <v>45870</v>
          </cell>
          <cell r="I10032" t="str">
            <v>6055 - Employer Social Security Tax Withheld</v>
          </cell>
          <cell r="J10032">
            <v>0</v>
          </cell>
          <cell r="K10032" t="str">
            <v>Merchandising</v>
          </cell>
          <cell r="L10032" t="str">
            <v>HQ Salaries</v>
          </cell>
          <cell r="N10032" t="str">
            <v>SG&amp;A</v>
          </cell>
          <cell r="O10032" t="str">
            <v>[No Vendor]</v>
          </cell>
        </row>
        <row r="10033">
          <cell r="D10033">
            <v>1603.81</v>
          </cell>
          <cell r="H10033">
            <v>45870</v>
          </cell>
          <cell r="I10033" t="str">
            <v>6055 - Employer Social Security Tax Withheld</v>
          </cell>
          <cell r="J10033">
            <v>0</v>
          </cell>
          <cell r="K10033" t="str">
            <v>Production</v>
          </cell>
          <cell r="L10033" t="str">
            <v>HQ Salaries</v>
          </cell>
          <cell r="N10033" t="str">
            <v>SG&amp;A</v>
          </cell>
          <cell r="O10033" t="str">
            <v>[No Vendor]</v>
          </cell>
        </row>
        <row r="10034">
          <cell r="D10034">
            <v>357.5</v>
          </cell>
          <cell r="H10034">
            <v>45870</v>
          </cell>
          <cell r="I10034" t="str">
            <v>6055 - Employer Social Security Tax Withheld</v>
          </cell>
          <cell r="J10034" t="str">
            <v>Wholesale</v>
          </cell>
          <cell r="K10034" t="str">
            <v>Wholesale</v>
          </cell>
          <cell r="L10034" t="str">
            <v>HQ Salaries</v>
          </cell>
          <cell r="N10034" t="str">
            <v>SG&amp;A</v>
          </cell>
          <cell r="O10034" t="str">
            <v>[No Vendor]</v>
          </cell>
        </row>
        <row r="10035">
          <cell r="D10035">
            <v>56.21</v>
          </cell>
          <cell r="H10035">
            <v>45870</v>
          </cell>
          <cell r="I10035" t="str">
            <v>6105 - Meals</v>
          </cell>
          <cell r="J10035">
            <v>0</v>
          </cell>
          <cell r="K10035" t="str">
            <v>Production</v>
          </cell>
          <cell r="L10035" t="str">
            <v>T&amp;E</v>
          </cell>
          <cell r="N10035" t="str">
            <v>SG&amp;A</v>
          </cell>
          <cell r="O10035" t="str">
            <v>[No Vendor]</v>
          </cell>
        </row>
        <row r="10036">
          <cell r="D10036">
            <v>48.39</v>
          </cell>
          <cell r="H10036">
            <v>45870</v>
          </cell>
          <cell r="I10036" t="str">
            <v>6105 - Meals</v>
          </cell>
          <cell r="J10036">
            <v>0</v>
          </cell>
          <cell r="K10036" t="str">
            <v>Administration</v>
          </cell>
          <cell r="L10036" t="str">
            <v>T&amp;E</v>
          </cell>
          <cell r="N10036" t="str">
            <v>SG&amp;A</v>
          </cell>
          <cell r="O10036" t="str">
            <v>Sean Lee</v>
          </cell>
        </row>
        <row r="10037">
          <cell r="D10037">
            <v>9.26</v>
          </cell>
          <cell r="H10037">
            <v>45870</v>
          </cell>
          <cell r="I10037" t="str">
            <v>6105 - Meals</v>
          </cell>
          <cell r="J10037">
            <v>0</v>
          </cell>
          <cell r="K10037" t="str">
            <v>Administration</v>
          </cell>
          <cell r="L10037" t="str">
            <v>T&amp;E</v>
          </cell>
          <cell r="N10037" t="str">
            <v>SG&amp;A</v>
          </cell>
          <cell r="O10037" t="str">
            <v>Sean Lee</v>
          </cell>
        </row>
        <row r="10038">
          <cell r="D10038">
            <v>299.29000000000002</v>
          </cell>
          <cell r="H10038">
            <v>45870</v>
          </cell>
          <cell r="I10038" t="str">
            <v>6105 - Meals</v>
          </cell>
          <cell r="J10038">
            <v>0</v>
          </cell>
          <cell r="K10038" t="str">
            <v>Brand Marketing</v>
          </cell>
          <cell r="L10038" t="str">
            <v>T&amp;E</v>
          </cell>
          <cell r="N10038" t="str">
            <v>SG&amp;A</v>
          </cell>
          <cell r="O10038" t="str">
            <v>Olivia Nielsen</v>
          </cell>
        </row>
        <row r="10039">
          <cell r="D10039">
            <v>471.5</v>
          </cell>
          <cell r="H10039">
            <v>45870</v>
          </cell>
          <cell r="I10039" t="str">
            <v>6105 - Meals</v>
          </cell>
          <cell r="J10039">
            <v>0</v>
          </cell>
          <cell r="K10039" t="str">
            <v>Brand Marketing</v>
          </cell>
          <cell r="L10039" t="str">
            <v>T&amp;E</v>
          </cell>
          <cell r="N10039" t="str">
            <v>SG&amp;A</v>
          </cell>
          <cell r="O10039" t="str">
            <v>Olivia Nielsen</v>
          </cell>
        </row>
        <row r="10040">
          <cell r="D10040">
            <v>110.72</v>
          </cell>
          <cell r="H10040">
            <v>45870</v>
          </cell>
          <cell r="I10040" t="str">
            <v>6105 - Meals</v>
          </cell>
          <cell r="J10040">
            <v>0</v>
          </cell>
          <cell r="K10040" t="str">
            <v>Executive</v>
          </cell>
          <cell r="L10040" t="str">
            <v>T&amp;E</v>
          </cell>
          <cell r="N10040" t="str">
            <v>SG&amp;A</v>
          </cell>
          <cell r="O10040" t="str">
            <v>[No Vendor]</v>
          </cell>
        </row>
        <row r="10041">
          <cell r="D10041">
            <v>68.930000000000007</v>
          </cell>
          <cell r="H10041">
            <v>45870</v>
          </cell>
          <cell r="I10041" t="str">
            <v>6105 - Meals</v>
          </cell>
          <cell r="J10041">
            <v>0</v>
          </cell>
          <cell r="K10041" t="str">
            <v>Administration</v>
          </cell>
          <cell r="L10041" t="str">
            <v>T&amp;E</v>
          </cell>
          <cell r="N10041" t="str">
            <v>SG&amp;A</v>
          </cell>
          <cell r="O10041" t="str">
            <v>[No Vendor]</v>
          </cell>
        </row>
        <row r="10042">
          <cell r="D10042">
            <v>16.02</v>
          </cell>
          <cell r="H10042">
            <v>45870</v>
          </cell>
          <cell r="I10042" t="str">
            <v>6125 - Transportation and Fuel</v>
          </cell>
          <cell r="J10042">
            <v>0</v>
          </cell>
          <cell r="K10042" t="str">
            <v>Brand Marketing</v>
          </cell>
          <cell r="L10042" t="str">
            <v>T&amp;E</v>
          </cell>
          <cell r="N10042" t="str">
            <v>SG&amp;A</v>
          </cell>
          <cell r="O10042" t="str">
            <v>Olivia Nielsen</v>
          </cell>
        </row>
        <row r="10043">
          <cell r="D10043">
            <v>54.96</v>
          </cell>
          <cell r="H10043">
            <v>45870</v>
          </cell>
          <cell r="I10043" t="str">
            <v>6125 - Transportation and Fuel</v>
          </cell>
          <cell r="J10043">
            <v>0</v>
          </cell>
          <cell r="K10043" t="str">
            <v>Brand Marketing</v>
          </cell>
          <cell r="L10043" t="str">
            <v>T&amp;E</v>
          </cell>
          <cell r="N10043" t="str">
            <v>SG&amp;A</v>
          </cell>
          <cell r="O10043" t="str">
            <v>Olivia Nielsen</v>
          </cell>
        </row>
        <row r="10044">
          <cell r="D10044">
            <v>85.31</v>
          </cell>
          <cell r="H10044">
            <v>45870</v>
          </cell>
          <cell r="I10044" t="str">
            <v>6125 - Transportation and Fuel</v>
          </cell>
          <cell r="J10044">
            <v>0</v>
          </cell>
          <cell r="K10044" t="str">
            <v>Brand Marketing</v>
          </cell>
          <cell r="L10044" t="str">
            <v>T&amp;E</v>
          </cell>
          <cell r="N10044" t="str">
            <v>SG&amp;A</v>
          </cell>
          <cell r="O10044" t="str">
            <v>Olivia Nielsen</v>
          </cell>
        </row>
        <row r="10045">
          <cell r="D10045">
            <v>58.9</v>
          </cell>
          <cell r="H10045">
            <v>45870</v>
          </cell>
          <cell r="I10045" t="str">
            <v>6125 - Transportation and Fuel</v>
          </cell>
          <cell r="J10045">
            <v>0</v>
          </cell>
          <cell r="K10045" t="str">
            <v>Administration</v>
          </cell>
          <cell r="L10045" t="str">
            <v>T&amp;E</v>
          </cell>
          <cell r="N10045" t="str">
            <v>SG&amp;A</v>
          </cell>
          <cell r="O10045" t="str">
            <v>[No Vendor]</v>
          </cell>
        </row>
        <row r="10046">
          <cell r="D10046">
            <v>-5398.97</v>
          </cell>
          <cell r="H10046">
            <v>45870</v>
          </cell>
          <cell r="I10046" t="str">
            <v>6205 - Contractors</v>
          </cell>
          <cell r="J10046">
            <v>0</v>
          </cell>
          <cell r="K10046" t="str">
            <v>Production</v>
          </cell>
          <cell r="L10046" t="str">
            <v>HQ Salaries</v>
          </cell>
          <cell r="N10046" t="str">
            <v>SG&amp;A</v>
          </cell>
          <cell r="O10046" t="str">
            <v>[No Vendor]</v>
          </cell>
        </row>
        <row r="10047">
          <cell r="D10047">
            <v>0</v>
          </cell>
          <cell r="H10047">
            <v>45870</v>
          </cell>
          <cell r="I10047" t="str">
            <v>6205 - Contractors</v>
          </cell>
          <cell r="J10047">
            <v>0</v>
          </cell>
          <cell r="K10047" t="str">
            <v>Brand Marketing</v>
          </cell>
          <cell r="L10047" t="str">
            <v>HQ Salaries</v>
          </cell>
          <cell r="N10047" t="str">
            <v>SG&amp;A</v>
          </cell>
          <cell r="O10047" t="str">
            <v>[No Vendor]</v>
          </cell>
        </row>
        <row r="10048">
          <cell r="D10048">
            <v>-6825</v>
          </cell>
          <cell r="H10048">
            <v>45870</v>
          </cell>
          <cell r="I10048" t="str">
            <v>6205 - Contractors</v>
          </cell>
          <cell r="J10048" t="str">
            <v>Ecommerce (US)</v>
          </cell>
          <cell r="K10048" t="str">
            <v>Ecommerce</v>
          </cell>
          <cell r="L10048" t="str">
            <v>HQ Salaries</v>
          </cell>
          <cell r="N10048" t="str">
            <v>SG&amp;A</v>
          </cell>
          <cell r="O10048" t="str">
            <v>[No Vendor]</v>
          </cell>
        </row>
        <row r="10049">
          <cell r="D10049">
            <v>-9850</v>
          </cell>
          <cell r="H10049">
            <v>45870</v>
          </cell>
          <cell r="I10049" t="str">
            <v>6205 - Contractors</v>
          </cell>
          <cell r="J10049" t="str">
            <v>Ecommerce (US)</v>
          </cell>
          <cell r="K10049" t="str">
            <v>Ecommerce</v>
          </cell>
          <cell r="L10049" t="str">
            <v>HQ Salaries</v>
          </cell>
          <cell r="N10049" t="str">
            <v>SG&amp;A</v>
          </cell>
          <cell r="O10049" t="str">
            <v>[No Vendor]</v>
          </cell>
        </row>
        <row r="10050">
          <cell r="D10050">
            <v>-15819</v>
          </cell>
          <cell r="H10050">
            <v>45870</v>
          </cell>
          <cell r="I10050" t="str">
            <v>6205 - Contractors</v>
          </cell>
          <cell r="J10050" t="str">
            <v>Ecommerce (US)</v>
          </cell>
          <cell r="K10050" t="str">
            <v>Ecommerce</v>
          </cell>
          <cell r="L10050" t="str">
            <v>HQ Salaries</v>
          </cell>
          <cell r="N10050" t="str">
            <v>SG&amp;A</v>
          </cell>
          <cell r="O10050" t="str">
            <v>[No Vendor]</v>
          </cell>
        </row>
        <row r="10051">
          <cell r="D10051">
            <v>0</v>
          </cell>
          <cell r="H10051">
            <v>45870</v>
          </cell>
          <cell r="I10051" t="str">
            <v>6205 - Contractors</v>
          </cell>
          <cell r="J10051">
            <v>0</v>
          </cell>
          <cell r="K10051" t="str">
            <v>Design</v>
          </cell>
          <cell r="L10051" t="str">
            <v>HQ Salaries</v>
          </cell>
          <cell r="N10051" t="str">
            <v>SG&amp;A</v>
          </cell>
          <cell r="O10051" t="str">
            <v>[No Vendor]</v>
          </cell>
        </row>
        <row r="10052">
          <cell r="D10052">
            <v>4070.25</v>
          </cell>
          <cell r="H10052">
            <v>45870</v>
          </cell>
          <cell r="I10052" t="str">
            <v>6205 - Contractors</v>
          </cell>
          <cell r="J10052">
            <v>0</v>
          </cell>
          <cell r="K10052" t="str">
            <v>Production</v>
          </cell>
          <cell r="L10052" t="str">
            <v>HQ Salaries</v>
          </cell>
          <cell r="N10052" t="str">
            <v>SG&amp;A</v>
          </cell>
          <cell r="O10052" t="str">
            <v>Robert Half</v>
          </cell>
        </row>
        <row r="10053">
          <cell r="D10053">
            <v>18833.330000000002</v>
          </cell>
          <cell r="H10053">
            <v>45870</v>
          </cell>
          <cell r="I10053" t="str">
            <v>6205 - Contractors</v>
          </cell>
          <cell r="J10053">
            <v>0</v>
          </cell>
          <cell r="K10053" t="str">
            <v>Brand Marketing</v>
          </cell>
          <cell r="L10053" t="str">
            <v>HQ Salaries</v>
          </cell>
          <cell r="N10053" t="str">
            <v>SG&amp;A</v>
          </cell>
          <cell r="O10053" t="str">
            <v>[No Vendor]</v>
          </cell>
        </row>
        <row r="10054">
          <cell r="D10054">
            <v>32494</v>
          </cell>
          <cell r="H10054">
            <v>45870</v>
          </cell>
          <cell r="I10054" t="str">
            <v>6205 - Contractors</v>
          </cell>
          <cell r="J10054" t="str">
            <v>Ecommerce (US)</v>
          </cell>
          <cell r="K10054" t="str">
            <v>Ecommerce</v>
          </cell>
          <cell r="L10054" t="str">
            <v>HQ Salaries</v>
          </cell>
          <cell r="N10054" t="str">
            <v>SG&amp;A</v>
          </cell>
          <cell r="O10054" t="str">
            <v>[No Vendor]</v>
          </cell>
        </row>
        <row r="10055">
          <cell r="D10055">
            <v>0</v>
          </cell>
          <cell r="H10055">
            <v>45870</v>
          </cell>
          <cell r="I10055" t="str">
            <v>6205 - Contractors</v>
          </cell>
          <cell r="J10055">
            <v>0</v>
          </cell>
          <cell r="K10055" t="str">
            <v>Design</v>
          </cell>
          <cell r="L10055" t="str">
            <v>HQ Salaries</v>
          </cell>
          <cell r="N10055" t="str">
            <v>SG&amp;A</v>
          </cell>
          <cell r="O10055" t="str">
            <v>[No Vendor]</v>
          </cell>
        </row>
        <row r="10056">
          <cell r="D10056">
            <v>3952.02</v>
          </cell>
          <cell r="H10056">
            <v>45870</v>
          </cell>
          <cell r="I10056" t="str">
            <v>6205 - Contractors</v>
          </cell>
          <cell r="J10056">
            <v>0</v>
          </cell>
          <cell r="K10056" t="str">
            <v>Production</v>
          </cell>
          <cell r="L10056" t="str">
            <v>HQ Salaries</v>
          </cell>
          <cell r="N10056" t="str">
            <v>SG&amp;A</v>
          </cell>
          <cell r="O10056" t="str">
            <v>Robert Half</v>
          </cell>
        </row>
        <row r="10057">
          <cell r="D10057">
            <v>3673.4</v>
          </cell>
          <cell r="H10057">
            <v>45870</v>
          </cell>
          <cell r="I10057" t="str">
            <v>6205 - Contractors</v>
          </cell>
          <cell r="J10057">
            <v>0</v>
          </cell>
          <cell r="K10057" t="str">
            <v>Production</v>
          </cell>
          <cell r="L10057" t="str">
            <v>HQ Salaries</v>
          </cell>
          <cell r="N10057" t="str">
            <v>SG&amp;A</v>
          </cell>
          <cell r="O10057" t="str">
            <v>Robert Half</v>
          </cell>
        </row>
        <row r="10058">
          <cell r="D10058">
            <v>0</v>
          </cell>
          <cell r="H10058">
            <v>45870</v>
          </cell>
          <cell r="I10058" t="str">
            <v>6205 - Contractors</v>
          </cell>
          <cell r="J10058">
            <v>0</v>
          </cell>
          <cell r="K10058" t="str">
            <v>Brand Marketing</v>
          </cell>
          <cell r="L10058" t="str">
            <v>HQ Salaries</v>
          </cell>
          <cell r="N10058" t="str">
            <v>SG&amp;A</v>
          </cell>
          <cell r="O10058" t="str">
            <v>[No Vendor]</v>
          </cell>
        </row>
        <row r="10059">
          <cell r="D10059">
            <v>8287.5</v>
          </cell>
          <cell r="H10059">
            <v>45870</v>
          </cell>
          <cell r="I10059" t="str">
            <v>6205 - Contractors</v>
          </cell>
          <cell r="J10059" t="str">
            <v>Ecommerce (US)</v>
          </cell>
          <cell r="K10059" t="str">
            <v>Ecommerce</v>
          </cell>
          <cell r="L10059" t="str">
            <v>HQ Salaries</v>
          </cell>
          <cell r="N10059" t="str">
            <v>SG&amp;A</v>
          </cell>
          <cell r="O10059" t="str">
            <v>[No Vendor]</v>
          </cell>
        </row>
        <row r="10060">
          <cell r="D10060">
            <v>0</v>
          </cell>
          <cell r="H10060">
            <v>45870</v>
          </cell>
          <cell r="I10060" t="str">
            <v>6205 - Contractors</v>
          </cell>
          <cell r="J10060">
            <v>0</v>
          </cell>
          <cell r="K10060" t="str">
            <v>Design</v>
          </cell>
          <cell r="L10060" t="str">
            <v>HQ Salaries</v>
          </cell>
          <cell r="N10060" t="str">
            <v>SG&amp;A</v>
          </cell>
          <cell r="O10060" t="str">
            <v>[No Vendor]</v>
          </cell>
        </row>
        <row r="10061">
          <cell r="D10061">
            <v>3398.9</v>
          </cell>
          <cell r="H10061">
            <v>45870</v>
          </cell>
          <cell r="I10061" t="str">
            <v>6205 - Contractors</v>
          </cell>
          <cell r="J10061">
            <v>0</v>
          </cell>
          <cell r="K10061" t="str">
            <v>Production</v>
          </cell>
          <cell r="L10061" t="str">
            <v>HQ Salaries</v>
          </cell>
          <cell r="N10061" t="str">
            <v>SG&amp;A</v>
          </cell>
          <cell r="O10061" t="str">
            <v>Robert Half</v>
          </cell>
        </row>
        <row r="10062">
          <cell r="D10062">
            <v>3497.6</v>
          </cell>
          <cell r="H10062">
            <v>45870</v>
          </cell>
          <cell r="I10062" t="str">
            <v>6205 - Contractors</v>
          </cell>
          <cell r="J10062">
            <v>0</v>
          </cell>
          <cell r="K10062" t="str">
            <v>Production</v>
          </cell>
          <cell r="L10062" t="str">
            <v>HQ Salaries</v>
          </cell>
          <cell r="N10062" t="str">
            <v>SG&amp;A</v>
          </cell>
          <cell r="O10062" t="str">
            <v>Robert Half</v>
          </cell>
        </row>
        <row r="10063">
          <cell r="D10063">
            <v>0</v>
          </cell>
          <cell r="H10063">
            <v>45870</v>
          </cell>
          <cell r="I10063" t="str">
            <v>6205 - Contractors</v>
          </cell>
          <cell r="J10063">
            <v>0</v>
          </cell>
          <cell r="K10063" t="str">
            <v>Design</v>
          </cell>
          <cell r="L10063" t="str">
            <v>HQ Salaries</v>
          </cell>
          <cell r="N10063" t="str">
            <v>SG&amp;A</v>
          </cell>
          <cell r="O10063" t="str">
            <v>[No Vendor]</v>
          </cell>
        </row>
        <row r="10064">
          <cell r="D10064">
            <v>13421</v>
          </cell>
          <cell r="H10064">
            <v>45870</v>
          </cell>
          <cell r="I10064" t="str">
            <v>6205 - Contractors</v>
          </cell>
          <cell r="J10064" t="str">
            <v>Ecommerce (US)</v>
          </cell>
          <cell r="K10064" t="str">
            <v>Ecommerce</v>
          </cell>
          <cell r="L10064" t="str">
            <v>HQ Salaries</v>
          </cell>
          <cell r="N10064" t="str">
            <v>SG&amp;A</v>
          </cell>
          <cell r="O10064" t="str">
            <v>[No Vendor]</v>
          </cell>
        </row>
        <row r="10065">
          <cell r="D10065">
            <v>0</v>
          </cell>
          <cell r="H10065">
            <v>45870</v>
          </cell>
          <cell r="I10065" t="str">
            <v>6205 - Contractors</v>
          </cell>
          <cell r="J10065">
            <v>0</v>
          </cell>
          <cell r="K10065" t="str">
            <v>Brand Marketing</v>
          </cell>
          <cell r="L10065" t="str">
            <v>HQ Salaries</v>
          </cell>
          <cell r="N10065" t="str">
            <v>SG&amp;A</v>
          </cell>
          <cell r="O10065" t="str">
            <v>[No Vendor]</v>
          </cell>
        </row>
        <row r="10066">
          <cell r="D10066">
            <v>1500</v>
          </cell>
          <cell r="H10066">
            <v>45870</v>
          </cell>
          <cell r="I10066" t="str">
            <v>6205 - Contractors</v>
          </cell>
          <cell r="J10066">
            <v>0</v>
          </cell>
          <cell r="K10066" t="str">
            <v>Production</v>
          </cell>
          <cell r="L10066" t="str">
            <v>HQ Salaries</v>
          </cell>
          <cell r="N10066" t="str">
            <v>SG&amp;A</v>
          </cell>
          <cell r="O10066" t="str">
            <v>Philip Yau</v>
          </cell>
        </row>
        <row r="10067">
          <cell r="D10067">
            <v>347.56</v>
          </cell>
          <cell r="H10067">
            <v>45870</v>
          </cell>
          <cell r="I10067" t="str">
            <v>6210 - Monitoring</v>
          </cell>
          <cell r="J10067" t="str">
            <v>Ecommerce (EU)</v>
          </cell>
          <cell r="K10067" t="str">
            <v>Ecommerce</v>
          </cell>
          <cell r="L10067" t="str">
            <v>Professional Service</v>
          </cell>
          <cell r="N10067" t="str">
            <v>Direct Costs</v>
          </cell>
          <cell r="O10067" t="str">
            <v>Convey SRL</v>
          </cell>
        </row>
        <row r="10068">
          <cell r="D10068">
            <v>4103.4799999999996</v>
          </cell>
          <cell r="H10068">
            <v>45870</v>
          </cell>
          <cell r="I10068" t="str">
            <v>6210 - Monitoring</v>
          </cell>
          <cell r="J10068" t="str">
            <v>Ecommerce (EU)</v>
          </cell>
          <cell r="K10068" t="str">
            <v>Ecommerce</v>
          </cell>
          <cell r="L10068" t="str">
            <v>Professional Service</v>
          </cell>
          <cell r="N10068" t="str">
            <v>Direct Costs</v>
          </cell>
          <cell r="O10068" t="str">
            <v>Convey SRL</v>
          </cell>
        </row>
        <row r="10069">
          <cell r="D10069">
            <v>182.45</v>
          </cell>
          <cell r="H10069">
            <v>45870</v>
          </cell>
          <cell r="I10069" t="str">
            <v>6210 - Monitoring</v>
          </cell>
          <cell r="J10069" t="str">
            <v>Ecommerce (EU)</v>
          </cell>
          <cell r="K10069" t="str">
            <v>Ecommerce</v>
          </cell>
          <cell r="L10069" t="str">
            <v>Professional Service</v>
          </cell>
          <cell r="N10069" t="str">
            <v>Direct Costs</v>
          </cell>
          <cell r="O10069" t="str">
            <v>Convey SRL</v>
          </cell>
        </row>
        <row r="10070">
          <cell r="D10070">
            <v>40.6</v>
          </cell>
          <cell r="H10070">
            <v>45870</v>
          </cell>
          <cell r="I10070" t="str">
            <v>6215 - Recruitment</v>
          </cell>
          <cell r="J10070">
            <v>0</v>
          </cell>
          <cell r="K10070" t="str">
            <v>Administration</v>
          </cell>
          <cell r="L10070" t="str">
            <v>Professional Service</v>
          </cell>
          <cell r="N10070" t="str">
            <v>SG&amp;A</v>
          </cell>
          <cell r="O10070" t="str">
            <v>Linkedin</v>
          </cell>
        </row>
        <row r="10071">
          <cell r="D10071">
            <v>540</v>
          </cell>
          <cell r="H10071">
            <v>45870</v>
          </cell>
          <cell r="I10071" t="str">
            <v>6215 - Recruitment</v>
          </cell>
          <cell r="J10071">
            <v>0</v>
          </cell>
          <cell r="K10071" t="str">
            <v>Administration</v>
          </cell>
          <cell r="L10071" t="str">
            <v>Professional Service</v>
          </cell>
          <cell r="N10071" t="str">
            <v>SG&amp;A</v>
          </cell>
          <cell r="O10071" t="str">
            <v>Linkedin</v>
          </cell>
        </row>
        <row r="10072">
          <cell r="D10072">
            <v>43.54</v>
          </cell>
          <cell r="H10072">
            <v>45870</v>
          </cell>
          <cell r="I10072" t="str">
            <v>6215 - Recruitment</v>
          </cell>
          <cell r="J10072">
            <v>0</v>
          </cell>
          <cell r="K10072" t="str">
            <v>Administration</v>
          </cell>
          <cell r="L10072" t="str">
            <v>Professional Service</v>
          </cell>
          <cell r="N10072" t="str">
            <v>SG&amp;A</v>
          </cell>
          <cell r="O10072" t="str">
            <v>Linkedin</v>
          </cell>
        </row>
        <row r="10073">
          <cell r="D10073">
            <v>517.15</v>
          </cell>
          <cell r="H10073">
            <v>45870</v>
          </cell>
          <cell r="I10073" t="str">
            <v>6215 - Recruitment</v>
          </cell>
          <cell r="J10073">
            <v>0</v>
          </cell>
          <cell r="K10073" t="str">
            <v>Administration</v>
          </cell>
          <cell r="L10073" t="str">
            <v>Professional Service</v>
          </cell>
          <cell r="N10073" t="str">
            <v>SG&amp;A</v>
          </cell>
          <cell r="O10073" t="str">
            <v>Linkedin</v>
          </cell>
        </row>
        <row r="10074">
          <cell r="D10074">
            <v>108.86</v>
          </cell>
          <cell r="H10074">
            <v>45870</v>
          </cell>
          <cell r="I10074" t="str">
            <v>6215 - Recruitment</v>
          </cell>
          <cell r="J10074">
            <v>0</v>
          </cell>
          <cell r="K10074" t="str">
            <v>Executive</v>
          </cell>
          <cell r="L10074" t="str">
            <v>Professional Service</v>
          </cell>
          <cell r="N10074" t="str">
            <v>SG&amp;A</v>
          </cell>
          <cell r="O10074" t="str">
            <v>Linkedin</v>
          </cell>
        </row>
        <row r="10075">
          <cell r="D10075">
            <v>55.36</v>
          </cell>
          <cell r="H10075">
            <v>45870</v>
          </cell>
          <cell r="I10075" t="str">
            <v>6215 - Recruitment</v>
          </cell>
          <cell r="J10075">
            <v>0</v>
          </cell>
          <cell r="K10075" t="str">
            <v>Executive</v>
          </cell>
          <cell r="L10075" t="str">
            <v>Professional Service</v>
          </cell>
          <cell r="N10075" t="str">
            <v>SG&amp;A</v>
          </cell>
          <cell r="O10075" t="str">
            <v>Linkedin</v>
          </cell>
        </row>
        <row r="10076">
          <cell r="D10076">
            <v>503.12</v>
          </cell>
          <cell r="H10076">
            <v>45870</v>
          </cell>
          <cell r="I10076" t="str">
            <v>6215 - Recruitment</v>
          </cell>
          <cell r="J10076">
            <v>0</v>
          </cell>
          <cell r="K10076" t="str">
            <v>Executive</v>
          </cell>
          <cell r="L10076" t="str">
            <v>Professional Service</v>
          </cell>
          <cell r="N10076" t="str">
            <v>SG&amp;A</v>
          </cell>
          <cell r="O10076" t="str">
            <v>Linkedin</v>
          </cell>
        </row>
        <row r="10077">
          <cell r="D10077">
            <v>505</v>
          </cell>
          <cell r="H10077">
            <v>45870</v>
          </cell>
          <cell r="I10077" t="str">
            <v>6215 - Recruitment</v>
          </cell>
          <cell r="J10077">
            <v>0</v>
          </cell>
          <cell r="K10077" t="str">
            <v>Executive</v>
          </cell>
          <cell r="L10077" t="str">
            <v>Professional Service</v>
          </cell>
          <cell r="N10077" t="str">
            <v>SG&amp;A</v>
          </cell>
          <cell r="O10077" t="str">
            <v>Linkedin</v>
          </cell>
        </row>
        <row r="10078">
          <cell r="D10078">
            <v>45634.63</v>
          </cell>
          <cell r="H10078">
            <v>45870</v>
          </cell>
          <cell r="I10078" t="str">
            <v>6215 - Recruitment</v>
          </cell>
          <cell r="J10078">
            <v>0</v>
          </cell>
          <cell r="K10078" t="str">
            <v>Administration</v>
          </cell>
          <cell r="L10078" t="str">
            <v>Professional Service</v>
          </cell>
          <cell r="N10078" t="str">
            <v>SG&amp;A</v>
          </cell>
          <cell r="O10078" t="str">
            <v>F&amp;F Korea</v>
          </cell>
        </row>
        <row r="10079">
          <cell r="D10079">
            <v>18.899999999999999</v>
          </cell>
          <cell r="H10079">
            <v>45870</v>
          </cell>
          <cell r="I10079" t="str">
            <v>6225 - Professional Services</v>
          </cell>
          <cell r="J10079">
            <v>0</v>
          </cell>
          <cell r="K10079" t="str">
            <v>Administration</v>
          </cell>
          <cell r="L10079" t="str">
            <v>Professional Service</v>
          </cell>
          <cell r="N10079" t="str">
            <v>Direct Costs</v>
          </cell>
          <cell r="O10079" t="str">
            <v>Enom Solutions, Inc-DBA 3nom</v>
          </cell>
        </row>
        <row r="10080">
          <cell r="D10080">
            <v>640</v>
          </cell>
          <cell r="H10080">
            <v>45870</v>
          </cell>
          <cell r="I10080" t="str">
            <v>6225 - Professional Services</v>
          </cell>
          <cell r="J10080">
            <v>0</v>
          </cell>
          <cell r="K10080" t="str">
            <v>Administration</v>
          </cell>
          <cell r="L10080" t="str">
            <v>Professional Service</v>
          </cell>
          <cell r="N10080" t="str">
            <v>Direct Costs</v>
          </cell>
          <cell r="O10080" t="str">
            <v>Enom Solutions, Inc-DBA 3nom</v>
          </cell>
        </row>
        <row r="10081">
          <cell r="D10081">
            <v>9</v>
          </cell>
          <cell r="H10081">
            <v>45870</v>
          </cell>
          <cell r="I10081" t="str">
            <v>6225 - Professional Services</v>
          </cell>
          <cell r="J10081">
            <v>0</v>
          </cell>
          <cell r="K10081" t="str">
            <v>Administration</v>
          </cell>
          <cell r="L10081" t="str">
            <v>Professional Service</v>
          </cell>
          <cell r="N10081" t="str">
            <v>Direct Costs</v>
          </cell>
          <cell r="O10081" t="str">
            <v>Enom Solutions, Inc-DBA 3nom</v>
          </cell>
        </row>
        <row r="10082">
          <cell r="D10082">
            <v>125</v>
          </cell>
          <cell r="H10082">
            <v>45870</v>
          </cell>
          <cell r="I10082" t="str">
            <v>6225 - Professional Services</v>
          </cell>
          <cell r="J10082">
            <v>0</v>
          </cell>
          <cell r="K10082" t="str">
            <v>Administration</v>
          </cell>
          <cell r="L10082" t="str">
            <v>Professional Service</v>
          </cell>
          <cell r="N10082" t="str">
            <v>Direct Costs</v>
          </cell>
          <cell r="O10082" t="str">
            <v>Enom Solutions, Inc-DBA 3nom</v>
          </cell>
        </row>
        <row r="10083">
          <cell r="D10083">
            <v>2500</v>
          </cell>
          <cell r="H10083">
            <v>45870</v>
          </cell>
          <cell r="I10083" t="str">
            <v>6225 - Professional Services</v>
          </cell>
          <cell r="J10083">
            <v>0</v>
          </cell>
          <cell r="K10083" t="str">
            <v>Administration</v>
          </cell>
          <cell r="L10083" t="str">
            <v>Professional Service</v>
          </cell>
          <cell r="N10083" t="str">
            <v>Direct Costs</v>
          </cell>
          <cell r="O10083" t="str">
            <v>Enom Solutions, Inc-DBA 3nom</v>
          </cell>
        </row>
        <row r="10084">
          <cell r="D10084">
            <v>25.13</v>
          </cell>
          <cell r="H10084">
            <v>45870</v>
          </cell>
          <cell r="I10084" t="str">
            <v>6225 - Professional Services</v>
          </cell>
          <cell r="J10084">
            <v>0</v>
          </cell>
          <cell r="K10084" t="str">
            <v>Brand Marketing</v>
          </cell>
          <cell r="L10084" t="str">
            <v>Professional Service</v>
          </cell>
          <cell r="N10084" t="str">
            <v>Direct Costs</v>
          </cell>
          <cell r="O10084" t="str">
            <v>The Lede Company, LLC</v>
          </cell>
        </row>
        <row r="10085">
          <cell r="D10085">
            <v>300</v>
          </cell>
          <cell r="H10085">
            <v>45870</v>
          </cell>
          <cell r="I10085" t="str">
            <v>6225 - Professional Services</v>
          </cell>
          <cell r="J10085">
            <v>0</v>
          </cell>
          <cell r="K10085" t="str">
            <v>Brand Marketing</v>
          </cell>
          <cell r="L10085" t="str">
            <v>Professional Service</v>
          </cell>
          <cell r="N10085" t="str">
            <v>Direct Costs</v>
          </cell>
          <cell r="O10085" t="str">
            <v>The Lede Company, LLC</v>
          </cell>
        </row>
        <row r="10086">
          <cell r="D10086">
            <v>300</v>
          </cell>
          <cell r="H10086">
            <v>45870</v>
          </cell>
          <cell r="I10086" t="str">
            <v>6225 - Professional Services</v>
          </cell>
          <cell r="J10086">
            <v>0</v>
          </cell>
          <cell r="K10086" t="str">
            <v>Brand Marketing</v>
          </cell>
          <cell r="L10086" t="str">
            <v>Professional Service</v>
          </cell>
          <cell r="N10086" t="str">
            <v>Direct Costs</v>
          </cell>
          <cell r="O10086" t="str">
            <v>The Lede Company, LLC</v>
          </cell>
        </row>
        <row r="10087">
          <cell r="D10087">
            <v>150</v>
          </cell>
          <cell r="H10087">
            <v>45870</v>
          </cell>
          <cell r="I10087" t="str">
            <v>6225 - Professional Services</v>
          </cell>
          <cell r="J10087">
            <v>0</v>
          </cell>
          <cell r="K10087" t="str">
            <v>Brand Marketing</v>
          </cell>
          <cell r="L10087" t="str">
            <v>Professional Service</v>
          </cell>
          <cell r="N10087" t="str">
            <v>Direct Costs</v>
          </cell>
          <cell r="O10087" t="str">
            <v>The Lede Company, LLC</v>
          </cell>
        </row>
        <row r="10088">
          <cell r="D10088">
            <v>500</v>
          </cell>
          <cell r="H10088">
            <v>45870</v>
          </cell>
          <cell r="I10088" t="str">
            <v>6225 - Professional Services</v>
          </cell>
          <cell r="J10088">
            <v>0</v>
          </cell>
          <cell r="K10088" t="str">
            <v>Brand Marketing</v>
          </cell>
          <cell r="L10088" t="str">
            <v>Professional Service</v>
          </cell>
          <cell r="N10088" t="str">
            <v>Direct Costs</v>
          </cell>
          <cell r="O10088" t="str">
            <v>The Lede Company, LLC</v>
          </cell>
        </row>
        <row r="10089">
          <cell r="D10089">
            <v>10000</v>
          </cell>
          <cell r="H10089">
            <v>45870</v>
          </cell>
          <cell r="I10089" t="str">
            <v>6225 - Professional Services</v>
          </cell>
          <cell r="J10089">
            <v>0</v>
          </cell>
          <cell r="K10089" t="str">
            <v>Brand Marketing</v>
          </cell>
          <cell r="L10089" t="str">
            <v>Professional Service</v>
          </cell>
          <cell r="N10089" t="str">
            <v>Direct Costs</v>
          </cell>
          <cell r="O10089" t="str">
            <v>The Lede Company, LLC</v>
          </cell>
        </row>
        <row r="10090">
          <cell r="D10090">
            <v>4500</v>
          </cell>
          <cell r="H10090">
            <v>45870</v>
          </cell>
          <cell r="I10090" t="str">
            <v>6225 - Professional Services</v>
          </cell>
          <cell r="J10090" t="str">
            <v>Ecommerce (US)</v>
          </cell>
          <cell r="K10090" t="str">
            <v>Ecommerce</v>
          </cell>
          <cell r="L10090" t="str">
            <v>Professional Service</v>
          </cell>
          <cell r="N10090" t="str">
            <v>Direct Costs</v>
          </cell>
          <cell r="O10090" t="str">
            <v>Freeflow LLC</v>
          </cell>
        </row>
        <row r="10091">
          <cell r="D10091">
            <v>500</v>
          </cell>
          <cell r="H10091">
            <v>45870</v>
          </cell>
          <cell r="I10091" t="str">
            <v>6225 - Professional Services</v>
          </cell>
          <cell r="J10091" t="str">
            <v>Ecommerce (US)</v>
          </cell>
          <cell r="K10091" t="str">
            <v>Ecommerce</v>
          </cell>
          <cell r="L10091" t="str">
            <v>Professional Service</v>
          </cell>
          <cell r="N10091" t="str">
            <v>Direct Costs</v>
          </cell>
          <cell r="O10091" t="str">
            <v>Rareview, LLC</v>
          </cell>
        </row>
        <row r="10092">
          <cell r="D10092">
            <v>5000</v>
          </cell>
          <cell r="H10092">
            <v>45870</v>
          </cell>
          <cell r="I10092" t="str">
            <v>6225 - Professional Services</v>
          </cell>
          <cell r="J10092" t="str">
            <v>Ecommerce (US)</v>
          </cell>
          <cell r="K10092" t="str">
            <v>Ecommerce</v>
          </cell>
          <cell r="L10092" t="str">
            <v>Professional Service</v>
          </cell>
          <cell r="N10092" t="str">
            <v>Direct Costs</v>
          </cell>
          <cell r="O10092" t="str">
            <v>Rareview, LLC</v>
          </cell>
        </row>
        <row r="10093">
          <cell r="D10093">
            <v>18754.189999999999</v>
          </cell>
          <cell r="H10093">
            <v>45870</v>
          </cell>
          <cell r="I10093" t="str">
            <v>6225 - Professional Services</v>
          </cell>
          <cell r="J10093" t="str">
            <v>Ecommerce (US)</v>
          </cell>
          <cell r="K10093" t="str">
            <v>Ecommerce</v>
          </cell>
          <cell r="L10093" t="str">
            <v>Professional Service</v>
          </cell>
          <cell r="N10093" t="str">
            <v>Direct Costs</v>
          </cell>
          <cell r="O10093" t="str">
            <v>Rareview, LLC</v>
          </cell>
        </row>
        <row r="10094">
          <cell r="D10094">
            <v>134.25</v>
          </cell>
          <cell r="H10094">
            <v>45870</v>
          </cell>
          <cell r="I10094" t="str">
            <v>6225 - Professional Services</v>
          </cell>
          <cell r="J10094">
            <v>0</v>
          </cell>
          <cell r="K10094" t="str">
            <v>Administration</v>
          </cell>
          <cell r="L10094" t="str">
            <v>Professional Service</v>
          </cell>
          <cell r="N10094" t="str">
            <v>Direct Costs</v>
          </cell>
          <cell r="O10094" t="str">
            <v>Benefit Resource, LLC</v>
          </cell>
        </row>
        <row r="10095">
          <cell r="D10095">
            <v>27</v>
          </cell>
          <cell r="H10095">
            <v>45870</v>
          </cell>
          <cell r="I10095" t="str">
            <v>6225 - Professional Services</v>
          </cell>
          <cell r="J10095">
            <v>0</v>
          </cell>
          <cell r="K10095" t="str">
            <v>Administration</v>
          </cell>
          <cell r="L10095" t="str">
            <v>Professional Service</v>
          </cell>
          <cell r="N10095" t="str">
            <v>Direct Costs</v>
          </cell>
          <cell r="O10095" t="str">
            <v>Benefit Resource, LLC</v>
          </cell>
        </row>
        <row r="10096">
          <cell r="D10096">
            <v>13.75</v>
          </cell>
          <cell r="H10096">
            <v>45870</v>
          </cell>
          <cell r="I10096" t="str">
            <v>6225 - Professional Services</v>
          </cell>
          <cell r="J10096">
            <v>0</v>
          </cell>
          <cell r="K10096" t="str">
            <v>Administration</v>
          </cell>
          <cell r="L10096" t="str">
            <v>Professional Service</v>
          </cell>
          <cell r="N10096" t="str">
            <v>Direct Costs</v>
          </cell>
          <cell r="O10096" t="str">
            <v>Benefit Resource, LLC</v>
          </cell>
        </row>
        <row r="10097">
          <cell r="D10097">
            <v>833.33</v>
          </cell>
          <cell r="H10097">
            <v>45870</v>
          </cell>
          <cell r="I10097" t="str">
            <v>6225 - Professional Services</v>
          </cell>
          <cell r="J10097">
            <v>0</v>
          </cell>
          <cell r="K10097" t="str">
            <v>Administration</v>
          </cell>
          <cell r="L10097" t="str">
            <v>Professional Service</v>
          </cell>
          <cell r="N10097" t="str">
            <v>Direct Costs</v>
          </cell>
          <cell r="O10097" t="str">
            <v>Procyon Benefits LLC</v>
          </cell>
        </row>
        <row r="10098">
          <cell r="D10098">
            <v>5625</v>
          </cell>
          <cell r="H10098">
            <v>45870</v>
          </cell>
          <cell r="I10098" t="str">
            <v>6240 - Product Photography</v>
          </cell>
          <cell r="J10098">
            <v>0</v>
          </cell>
          <cell r="K10098" t="str">
            <v>Brand Marketing</v>
          </cell>
          <cell r="L10098" t="str">
            <v>Advertising</v>
          </cell>
          <cell r="N10098" t="str">
            <v>SG&amp;A</v>
          </cell>
          <cell r="O10098" t="str">
            <v>LENFLASH dot COM</v>
          </cell>
        </row>
        <row r="10099">
          <cell r="D10099">
            <v>2900</v>
          </cell>
          <cell r="H10099">
            <v>45870</v>
          </cell>
          <cell r="I10099" t="str">
            <v>6240 - Product Photography</v>
          </cell>
          <cell r="J10099">
            <v>0</v>
          </cell>
          <cell r="K10099" t="str">
            <v>Brand Marketing</v>
          </cell>
          <cell r="L10099" t="str">
            <v>Advertising</v>
          </cell>
          <cell r="N10099" t="str">
            <v>SG&amp;A</v>
          </cell>
          <cell r="O10099" t="str">
            <v>LENFLASH dot COM</v>
          </cell>
        </row>
        <row r="10100">
          <cell r="D10100">
            <v>1450</v>
          </cell>
          <cell r="H10100">
            <v>45870</v>
          </cell>
          <cell r="I10100" t="str">
            <v>6240 - Product Photography</v>
          </cell>
          <cell r="J10100">
            <v>0</v>
          </cell>
          <cell r="K10100" t="str">
            <v>Brand Marketing</v>
          </cell>
          <cell r="L10100" t="str">
            <v>Advertising</v>
          </cell>
          <cell r="N10100" t="str">
            <v>SG&amp;A</v>
          </cell>
          <cell r="O10100" t="str">
            <v>LENFLASH dot COM</v>
          </cell>
        </row>
        <row r="10101">
          <cell r="D10101">
            <v>13095</v>
          </cell>
          <cell r="H10101">
            <v>45870</v>
          </cell>
          <cell r="I10101" t="str">
            <v>6240 - Product Photography</v>
          </cell>
          <cell r="J10101">
            <v>0</v>
          </cell>
          <cell r="K10101" t="str">
            <v>Brand Marketing</v>
          </cell>
          <cell r="L10101" t="str">
            <v>Advertising</v>
          </cell>
          <cell r="N10101" t="str">
            <v>SG&amp;A</v>
          </cell>
          <cell r="O10101" t="str">
            <v>LENFLASH dot COM</v>
          </cell>
        </row>
        <row r="10102">
          <cell r="D10102">
            <v>180</v>
          </cell>
          <cell r="H10102">
            <v>45870</v>
          </cell>
          <cell r="I10102" t="str">
            <v>6240 - Product Photography</v>
          </cell>
          <cell r="J10102">
            <v>0</v>
          </cell>
          <cell r="K10102" t="str">
            <v>Brand Marketing</v>
          </cell>
          <cell r="L10102" t="str">
            <v>Advertising</v>
          </cell>
          <cell r="N10102" t="str">
            <v>SG&amp;A</v>
          </cell>
          <cell r="O10102" t="str">
            <v>LENFLASH dot COM</v>
          </cell>
        </row>
        <row r="10103">
          <cell r="D10103">
            <v>40291.65</v>
          </cell>
          <cell r="H10103">
            <v>45870</v>
          </cell>
          <cell r="I10103" t="str">
            <v>6240 - Product Photography</v>
          </cell>
          <cell r="J10103">
            <v>0</v>
          </cell>
          <cell r="K10103" t="str">
            <v>Brand Marketing</v>
          </cell>
          <cell r="L10103" t="str">
            <v>Advertising</v>
          </cell>
          <cell r="N10103" t="str">
            <v>SG&amp;A</v>
          </cell>
          <cell r="O10103" t="str">
            <v>GOSFilms LLC</v>
          </cell>
        </row>
        <row r="10104">
          <cell r="D10104">
            <v>833.33</v>
          </cell>
          <cell r="H10104">
            <v>45870</v>
          </cell>
          <cell r="I10104" t="str">
            <v>6284 - Advertising</v>
          </cell>
          <cell r="J10104">
            <v>0</v>
          </cell>
          <cell r="K10104" t="str">
            <v>Brand Marketing</v>
          </cell>
          <cell r="L10104" t="str">
            <v>Advertising</v>
          </cell>
          <cell r="N10104" t="str">
            <v>SG&amp;A</v>
          </cell>
          <cell r="O10104" t="str">
            <v>[No Vendor]</v>
          </cell>
        </row>
        <row r="10105">
          <cell r="D10105">
            <v>3333.33</v>
          </cell>
          <cell r="H10105">
            <v>45870</v>
          </cell>
          <cell r="I10105" t="str">
            <v>6284 - Advertising</v>
          </cell>
          <cell r="J10105">
            <v>0</v>
          </cell>
          <cell r="K10105" t="str">
            <v>Brand Marketing</v>
          </cell>
          <cell r="L10105" t="str">
            <v>Advertising</v>
          </cell>
          <cell r="N10105" t="str">
            <v>SG&amp;A</v>
          </cell>
          <cell r="O10105" t="str">
            <v>[No Vendor]</v>
          </cell>
        </row>
        <row r="10106">
          <cell r="D10106">
            <v>-20.87</v>
          </cell>
          <cell r="H10106">
            <v>45870</v>
          </cell>
          <cell r="I10106" t="str">
            <v>6285 - SEM Brand Marketing</v>
          </cell>
          <cell r="J10106" t="str">
            <v>Ecommerce (US)</v>
          </cell>
          <cell r="K10106" t="str">
            <v>Brand Marketing</v>
          </cell>
          <cell r="L10106" t="str">
            <v>Advertising</v>
          </cell>
          <cell r="N10106" t="str">
            <v>SG&amp;A</v>
          </cell>
          <cell r="O10106" t="str">
            <v>Google</v>
          </cell>
        </row>
        <row r="10107">
          <cell r="D10107">
            <v>-5.28</v>
          </cell>
          <cell r="H10107">
            <v>45870</v>
          </cell>
          <cell r="I10107" t="str">
            <v>6285 - SEM Brand Marketing</v>
          </cell>
          <cell r="J10107" t="str">
            <v>Ecommerce (US)</v>
          </cell>
          <cell r="K10107" t="str">
            <v>Brand Marketing</v>
          </cell>
          <cell r="L10107" t="str">
            <v>Advertising</v>
          </cell>
          <cell r="N10107" t="str">
            <v>SG&amp;A</v>
          </cell>
          <cell r="O10107" t="str">
            <v>Google</v>
          </cell>
        </row>
        <row r="10108">
          <cell r="D10108">
            <v>100.38</v>
          </cell>
          <cell r="H10108">
            <v>45870</v>
          </cell>
          <cell r="I10108" t="str">
            <v>6285 - SEM Brand Marketing</v>
          </cell>
          <cell r="J10108" t="str">
            <v>Ecommerce (US)</v>
          </cell>
          <cell r="K10108" t="str">
            <v>Brand Marketing</v>
          </cell>
          <cell r="L10108" t="str">
            <v>Advertising</v>
          </cell>
          <cell r="N10108" t="str">
            <v>SG&amp;A</v>
          </cell>
          <cell r="O10108" t="str">
            <v>Google</v>
          </cell>
        </row>
        <row r="10109">
          <cell r="D10109">
            <v>129.13999999999999</v>
          </cell>
          <cell r="H10109">
            <v>45870</v>
          </cell>
          <cell r="I10109" t="str">
            <v>6285 - SEM Brand Marketing</v>
          </cell>
          <cell r="J10109" t="str">
            <v>Ecommerce (US)</v>
          </cell>
          <cell r="K10109" t="str">
            <v>Brand Marketing</v>
          </cell>
          <cell r="L10109" t="str">
            <v>Advertising</v>
          </cell>
          <cell r="N10109" t="str">
            <v>SG&amp;A</v>
          </cell>
          <cell r="O10109" t="str">
            <v>Google</v>
          </cell>
        </row>
        <row r="10110">
          <cell r="D10110">
            <v>321.16000000000003</v>
          </cell>
          <cell r="H10110">
            <v>45870</v>
          </cell>
          <cell r="I10110" t="str">
            <v>6285 - SEM Brand Marketing</v>
          </cell>
          <cell r="J10110" t="str">
            <v>Ecommerce (US)</v>
          </cell>
          <cell r="K10110" t="str">
            <v>Brand Marketing</v>
          </cell>
          <cell r="L10110" t="str">
            <v>Advertising</v>
          </cell>
          <cell r="N10110" t="str">
            <v>SG&amp;A</v>
          </cell>
          <cell r="O10110" t="str">
            <v>Google</v>
          </cell>
        </row>
        <row r="10111">
          <cell r="D10111">
            <v>370.46</v>
          </cell>
          <cell r="H10111">
            <v>45870</v>
          </cell>
          <cell r="I10111" t="str">
            <v>6285 - SEM Brand Marketing</v>
          </cell>
          <cell r="J10111" t="str">
            <v>Ecommerce (US)</v>
          </cell>
          <cell r="K10111" t="str">
            <v>Brand Marketing</v>
          </cell>
          <cell r="L10111" t="str">
            <v>Advertising</v>
          </cell>
          <cell r="N10111" t="str">
            <v>SG&amp;A</v>
          </cell>
          <cell r="O10111" t="str">
            <v>Google</v>
          </cell>
        </row>
        <row r="10112">
          <cell r="D10112">
            <v>882.42</v>
          </cell>
          <cell r="H10112">
            <v>45870</v>
          </cell>
          <cell r="I10112" t="str">
            <v>6285 - SEM Brand Marketing</v>
          </cell>
          <cell r="J10112" t="str">
            <v>Ecommerce (US)</v>
          </cell>
          <cell r="K10112" t="str">
            <v>Brand Marketing</v>
          </cell>
          <cell r="L10112" t="str">
            <v>Advertising</v>
          </cell>
          <cell r="N10112" t="str">
            <v>SG&amp;A</v>
          </cell>
          <cell r="O10112" t="str">
            <v>Google</v>
          </cell>
        </row>
        <row r="10113">
          <cell r="D10113">
            <v>1710.04</v>
          </cell>
          <cell r="H10113">
            <v>45870</v>
          </cell>
          <cell r="I10113" t="str">
            <v>6285 - SEM Brand Marketing</v>
          </cell>
          <cell r="J10113" t="str">
            <v>Ecommerce (US)</v>
          </cell>
          <cell r="K10113" t="str">
            <v>Brand Marketing</v>
          </cell>
          <cell r="L10113" t="str">
            <v>Advertising</v>
          </cell>
          <cell r="N10113" t="str">
            <v>SG&amp;A</v>
          </cell>
          <cell r="O10113" t="str">
            <v>Google</v>
          </cell>
        </row>
        <row r="10114">
          <cell r="D10114">
            <v>2646.28</v>
          </cell>
          <cell r="H10114">
            <v>45870</v>
          </cell>
          <cell r="I10114" t="str">
            <v>6285 - SEM Brand Marketing</v>
          </cell>
          <cell r="J10114" t="str">
            <v>Ecommerce (US)</v>
          </cell>
          <cell r="K10114" t="str">
            <v>Brand Marketing</v>
          </cell>
          <cell r="L10114" t="str">
            <v>Advertising</v>
          </cell>
          <cell r="N10114" t="str">
            <v>SG&amp;A</v>
          </cell>
          <cell r="O10114" t="str">
            <v>Google</v>
          </cell>
        </row>
        <row r="10115">
          <cell r="D10115">
            <v>3507.6</v>
          </cell>
          <cell r="H10115">
            <v>45870</v>
          </cell>
          <cell r="I10115" t="str">
            <v>6285 - SEM Brand Marketing</v>
          </cell>
          <cell r="J10115" t="str">
            <v>Ecommerce (US)</v>
          </cell>
          <cell r="K10115" t="str">
            <v>Brand Marketing</v>
          </cell>
          <cell r="L10115" t="str">
            <v>Advertising</v>
          </cell>
          <cell r="N10115" t="str">
            <v>SG&amp;A</v>
          </cell>
          <cell r="O10115" t="str">
            <v>Google</v>
          </cell>
        </row>
        <row r="10116">
          <cell r="D10116">
            <v>3955.56</v>
          </cell>
          <cell r="H10116">
            <v>45870</v>
          </cell>
          <cell r="I10116" t="str">
            <v>6285 - SEM Brand Marketing</v>
          </cell>
          <cell r="J10116" t="str">
            <v>Ecommerce (US)</v>
          </cell>
          <cell r="K10116" t="str">
            <v>Brand Marketing</v>
          </cell>
          <cell r="L10116" t="str">
            <v>Advertising</v>
          </cell>
          <cell r="N10116" t="str">
            <v>SG&amp;A</v>
          </cell>
          <cell r="O10116" t="str">
            <v>Google</v>
          </cell>
        </row>
        <row r="10117">
          <cell r="D10117">
            <v>2006.93</v>
          </cell>
          <cell r="H10117">
            <v>45870</v>
          </cell>
          <cell r="I10117" t="str">
            <v>6286 - SEM</v>
          </cell>
          <cell r="J10117" t="str">
            <v>Ecommerce (US)</v>
          </cell>
          <cell r="K10117" t="str">
            <v>Ecommerce</v>
          </cell>
          <cell r="L10117" t="str">
            <v>Marketing</v>
          </cell>
          <cell r="N10117" t="str">
            <v>Direct Costs</v>
          </cell>
          <cell r="O10117" t="str">
            <v>Amazon</v>
          </cell>
        </row>
        <row r="10118">
          <cell r="D10118">
            <v>2632.59</v>
          </cell>
          <cell r="H10118">
            <v>45870</v>
          </cell>
          <cell r="I10118" t="str">
            <v>6286 - SEM</v>
          </cell>
          <cell r="J10118" t="str">
            <v>Ecommerce (US)</v>
          </cell>
          <cell r="K10118" t="str">
            <v>Ecommerce</v>
          </cell>
          <cell r="L10118" t="str">
            <v>Marketing</v>
          </cell>
          <cell r="N10118" t="str">
            <v>Direct Costs</v>
          </cell>
          <cell r="O10118" t="str">
            <v>Tiktok</v>
          </cell>
        </row>
        <row r="10119">
          <cell r="D10119">
            <v>2002.23</v>
          </cell>
          <cell r="H10119">
            <v>45870</v>
          </cell>
          <cell r="I10119" t="str">
            <v>6286 - SEM</v>
          </cell>
          <cell r="J10119" t="str">
            <v>Ecommerce (US)</v>
          </cell>
          <cell r="K10119" t="str">
            <v>Ecommerce</v>
          </cell>
          <cell r="L10119" t="str">
            <v>Marketing</v>
          </cell>
          <cell r="N10119" t="str">
            <v>Direct Costs</v>
          </cell>
          <cell r="O10119" t="str">
            <v>Amazon</v>
          </cell>
        </row>
        <row r="10120">
          <cell r="D10120">
            <v>2000.29</v>
          </cell>
          <cell r="H10120">
            <v>45870</v>
          </cell>
          <cell r="I10120" t="str">
            <v>6286 - SEM</v>
          </cell>
          <cell r="J10120" t="str">
            <v>Ecommerce (US)</v>
          </cell>
          <cell r="K10120" t="str">
            <v>Ecommerce</v>
          </cell>
          <cell r="L10120" t="str">
            <v>Marketing</v>
          </cell>
          <cell r="N10120" t="str">
            <v>Direct Costs</v>
          </cell>
          <cell r="O10120" t="str">
            <v>Amazon</v>
          </cell>
        </row>
        <row r="10121">
          <cell r="D10121">
            <v>2001.73</v>
          </cell>
          <cell r="H10121">
            <v>45870</v>
          </cell>
          <cell r="I10121" t="str">
            <v>6286 - SEM</v>
          </cell>
          <cell r="J10121" t="str">
            <v>Ecommerce (US)</v>
          </cell>
          <cell r="K10121" t="str">
            <v>Ecommerce</v>
          </cell>
          <cell r="L10121" t="str">
            <v>Marketing</v>
          </cell>
          <cell r="N10121" t="str">
            <v>Direct Costs</v>
          </cell>
          <cell r="O10121" t="str">
            <v>Amazon</v>
          </cell>
        </row>
        <row r="10122">
          <cell r="D10122">
            <v>2036.85</v>
          </cell>
          <cell r="H10122">
            <v>45870</v>
          </cell>
          <cell r="I10122" t="str">
            <v>6286 - SEM</v>
          </cell>
          <cell r="J10122" t="str">
            <v>Ecommerce (US)</v>
          </cell>
          <cell r="K10122" t="str">
            <v>Ecommerce</v>
          </cell>
          <cell r="L10122" t="str">
            <v>Marketing</v>
          </cell>
          <cell r="N10122" t="str">
            <v>Direct Costs</v>
          </cell>
          <cell r="O10122" t="str">
            <v>Amazon</v>
          </cell>
        </row>
        <row r="10123">
          <cell r="D10123">
            <v>775.84</v>
          </cell>
          <cell r="H10123">
            <v>45870</v>
          </cell>
          <cell r="I10123" t="str">
            <v>6286 - SEM</v>
          </cell>
          <cell r="J10123" t="str">
            <v>Ecommerce (US)</v>
          </cell>
          <cell r="K10123" t="str">
            <v>Ecommerce</v>
          </cell>
          <cell r="L10123" t="str">
            <v>Marketing</v>
          </cell>
          <cell r="N10123" t="str">
            <v>Direct Costs</v>
          </cell>
          <cell r="O10123" t="str">
            <v>Tiktok</v>
          </cell>
        </row>
        <row r="10124">
          <cell r="D10124">
            <v>210.42</v>
          </cell>
          <cell r="H10124">
            <v>45870</v>
          </cell>
          <cell r="I10124" t="str">
            <v>6286 - SEM</v>
          </cell>
          <cell r="J10124" t="str">
            <v>Ecommerce (US)</v>
          </cell>
          <cell r="K10124" t="str">
            <v>Ecommerce</v>
          </cell>
          <cell r="L10124" t="str">
            <v>Marketing</v>
          </cell>
          <cell r="N10124" t="str">
            <v>Direct Costs</v>
          </cell>
          <cell r="O10124" t="str">
            <v>Amazon</v>
          </cell>
        </row>
        <row r="10125">
          <cell r="D10125">
            <v>2029.84</v>
          </cell>
          <cell r="H10125">
            <v>45870</v>
          </cell>
          <cell r="I10125" t="str">
            <v>6286 - SEM</v>
          </cell>
          <cell r="J10125" t="str">
            <v>Ecommerce (US)</v>
          </cell>
          <cell r="K10125" t="str">
            <v>Ecommerce</v>
          </cell>
          <cell r="L10125" t="str">
            <v>Marketing</v>
          </cell>
          <cell r="N10125" t="str">
            <v>Direct Costs</v>
          </cell>
          <cell r="O10125" t="str">
            <v>Amazon</v>
          </cell>
        </row>
        <row r="10126">
          <cell r="D10126">
            <v>1200</v>
          </cell>
          <cell r="H10126">
            <v>45870</v>
          </cell>
          <cell r="I10126" t="str">
            <v>6286 - SEM</v>
          </cell>
          <cell r="J10126" t="str">
            <v>Ecommerce (US)</v>
          </cell>
          <cell r="K10126" t="str">
            <v>Ecommerce</v>
          </cell>
          <cell r="L10126" t="str">
            <v>Marketing</v>
          </cell>
          <cell r="N10126" t="str">
            <v>Direct Costs</v>
          </cell>
          <cell r="O10126" t="str">
            <v>Dealnew.com</v>
          </cell>
        </row>
        <row r="10127">
          <cell r="D10127">
            <v>-5.98</v>
          </cell>
          <cell r="H10127">
            <v>45870</v>
          </cell>
          <cell r="I10127" t="str">
            <v>6286 - SEM</v>
          </cell>
          <cell r="J10127" t="str">
            <v>Ecommerce (US)</v>
          </cell>
          <cell r="K10127" t="str">
            <v>Ecommerce</v>
          </cell>
          <cell r="L10127" t="str">
            <v>Marketing</v>
          </cell>
          <cell r="N10127" t="str">
            <v>Direct Costs</v>
          </cell>
          <cell r="O10127" t="str">
            <v>Google</v>
          </cell>
        </row>
        <row r="10128">
          <cell r="D10128">
            <v>-2.1800000000000002</v>
          </cell>
          <cell r="H10128">
            <v>45870</v>
          </cell>
          <cell r="I10128" t="str">
            <v>6286 - SEM</v>
          </cell>
          <cell r="J10128" t="str">
            <v>Ecommerce (US)</v>
          </cell>
          <cell r="K10128" t="str">
            <v>Ecommerce</v>
          </cell>
          <cell r="L10128" t="str">
            <v>Marketing</v>
          </cell>
          <cell r="N10128" t="str">
            <v>Direct Costs</v>
          </cell>
          <cell r="O10128" t="str">
            <v>Google</v>
          </cell>
        </row>
        <row r="10129">
          <cell r="D10129">
            <v>-1.55</v>
          </cell>
          <cell r="H10129">
            <v>45870</v>
          </cell>
          <cell r="I10129" t="str">
            <v>6286 - SEM</v>
          </cell>
          <cell r="J10129" t="str">
            <v>Ecommerce (US)</v>
          </cell>
          <cell r="K10129" t="str">
            <v>Ecommerce</v>
          </cell>
          <cell r="L10129" t="str">
            <v>Marketing</v>
          </cell>
          <cell r="N10129" t="str">
            <v>Direct Costs</v>
          </cell>
          <cell r="O10129" t="str">
            <v>Google</v>
          </cell>
        </row>
        <row r="10130">
          <cell r="D10130">
            <v>-7.0000000000000007E-2</v>
          </cell>
          <cell r="H10130">
            <v>45870</v>
          </cell>
          <cell r="I10130" t="str">
            <v>6286 - SEM</v>
          </cell>
          <cell r="J10130" t="str">
            <v>Ecommerce (US)</v>
          </cell>
          <cell r="K10130" t="str">
            <v>Ecommerce</v>
          </cell>
          <cell r="L10130" t="str">
            <v>Marketing</v>
          </cell>
          <cell r="N10130" t="str">
            <v>Direct Costs</v>
          </cell>
          <cell r="O10130" t="str">
            <v>Google</v>
          </cell>
        </row>
        <row r="10131">
          <cell r="D10131">
            <v>163.80000000000001</v>
          </cell>
          <cell r="H10131">
            <v>45870</v>
          </cell>
          <cell r="I10131" t="str">
            <v>6286 - SEM</v>
          </cell>
          <cell r="J10131" t="str">
            <v>Ecommerce (US)</v>
          </cell>
          <cell r="K10131" t="str">
            <v>Ecommerce</v>
          </cell>
          <cell r="L10131" t="str">
            <v>Marketing</v>
          </cell>
          <cell r="N10131" t="str">
            <v>Direct Costs</v>
          </cell>
          <cell r="O10131" t="str">
            <v>Google</v>
          </cell>
        </row>
        <row r="10132">
          <cell r="D10132">
            <v>440.22</v>
          </cell>
          <cell r="H10132">
            <v>45870</v>
          </cell>
          <cell r="I10132" t="str">
            <v>6286 - SEM</v>
          </cell>
          <cell r="J10132" t="str">
            <v>Ecommerce (US)</v>
          </cell>
          <cell r="K10132" t="str">
            <v>Ecommerce</v>
          </cell>
          <cell r="L10132" t="str">
            <v>Marketing</v>
          </cell>
          <cell r="N10132" t="str">
            <v>Direct Costs</v>
          </cell>
          <cell r="O10132" t="str">
            <v>Google</v>
          </cell>
        </row>
        <row r="10133">
          <cell r="D10133">
            <v>789.16</v>
          </cell>
          <cell r="H10133">
            <v>45870</v>
          </cell>
          <cell r="I10133" t="str">
            <v>6286 - SEM</v>
          </cell>
          <cell r="J10133" t="str">
            <v>Ecommerce (US)</v>
          </cell>
          <cell r="K10133" t="str">
            <v>Ecommerce</v>
          </cell>
          <cell r="L10133" t="str">
            <v>Marketing</v>
          </cell>
          <cell r="N10133" t="str">
            <v>Direct Costs</v>
          </cell>
          <cell r="O10133" t="str">
            <v>Google</v>
          </cell>
        </row>
        <row r="10134">
          <cell r="D10134">
            <v>4834.22</v>
          </cell>
          <cell r="H10134">
            <v>45870</v>
          </cell>
          <cell r="I10134" t="str">
            <v>6286 - SEM</v>
          </cell>
          <cell r="J10134" t="str">
            <v>Ecommerce (US)</v>
          </cell>
          <cell r="K10134" t="str">
            <v>Ecommerce</v>
          </cell>
          <cell r="L10134" t="str">
            <v>Marketing</v>
          </cell>
          <cell r="N10134" t="str">
            <v>Direct Costs</v>
          </cell>
          <cell r="O10134" t="str">
            <v>Google</v>
          </cell>
        </row>
        <row r="10135">
          <cell r="D10135">
            <v>9178.0300000000007</v>
          </cell>
          <cell r="H10135">
            <v>45870</v>
          </cell>
          <cell r="I10135" t="str">
            <v>6286 - SEM</v>
          </cell>
          <cell r="J10135" t="str">
            <v>Ecommerce (US)</v>
          </cell>
          <cell r="K10135" t="str">
            <v>Ecommerce</v>
          </cell>
          <cell r="L10135" t="str">
            <v>Marketing</v>
          </cell>
          <cell r="N10135" t="str">
            <v>Direct Costs</v>
          </cell>
          <cell r="O10135" t="str">
            <v>Google</v>
          </cell>
        </row>
        <row r="10136">
          <cell r="D10136">
            <v>10755.96</v>
          </cell>
          <cell r="H10136">
            <v>45870</v>
          </cell>
          <cell r="I10136" t="str">
            <v>6286 - SEM</v>
          </cell>
          <cell r="J10136" t="str">
            <v>Ecommerce (US)</v>
          </cell>
          <cell r="K10136" t="str">
            <v>Ecommerce</v>
          </cell>
          <cell r="L10136" t="str">
            <v>Marketing</v>
          </cell>
          <cell r="N10136" t="str">
            <v>Direct Costs</v>
          </cell>
          <cell r="O10136" t="str">
            <v>Google</v>
          </cell>
        </row>
        <row r="10137">
          <cell r="D10137">
            <v>22841.5</v>
          </cell>
          <cell r="H10137">
            <v>45870</v>
          </cell>
          <cell r="I10137" t="str">
            <v>6286 - SEM</v>
          </cell>
          <cell r="J10137" t="str">
            <v>Ecommerce (US)</v>
          </cell>
          <cell r="K10137" t="str">
            <v>Ecommerce</v>
          </cell>
          <cell r="L10137" t="str">
            <v>Marketing</v>
          </cell>
          <cell r="N10137" t="str">
            <v>Direct Costs</v>
          </cell>
          <cell r="O10137" t="str">
            <v>Google</v>
          </cell>
        </row>
        <row r="10138">
          <cell r="D10138">
            <v>27022.87</v>
          </cell>
          <cell r="H10138">
            <v>45870</v>
          </cell>
          <cell r="I10138" t="str">
            <v>6286 - SEM</v>
          </cell>
          <cell r="J10138" t="str">
            <v>Ecommerce (US)</v>
          </cell>
          <cell r="K10138" t="str">
            <v>Ecommerce</v>
          </cell>
          <cell r="L10138" t="str">
            <v>Marketing</v>
          </cell>
          <cell r="N10138" t="str">
            <v>Direct Costs</v>
          </cell>
          <cell r="O10138" t="str">
            <v>Google</v>
          </cell>
        </row>
        <row r="10139">
          <cell r="D10139">
            <v>3965.7</v>
          </cell>
          <cell r="H10139">
            <v>45870</v>
          </cell>
          <cell r="I10139" t="str">
            <v>6286 - SEM</v>
          </cell>
          <cell r="J10139" t="str">
            <v>Ecommerce (US)</v>
          </cell>
          <cell r="K10139" t="str">
            <v>Ecommerce</v>
          </cell>
          <cell r="L10139" t="str">
            <v>Marketing</v>
          </cell>
          <cell r="N10139" t="str">
            <v>Direct Costs</v>
          </cell>
          <cell r="O10139" t="str">
            <v>Meta Platforms, Inc</v>
          </cell>
        </row>
        <row r="10140">
          <cell r="D10140">
            <v>8410.01</v>
          </cell>
          <cell r="H10140">
            <v>45870</v>
          </cell>
          <cell r="I10140" t="str">
            <v>6286 - SEM</v>
          </cell>
          <cell r="J10140" t="str">
            <v>Ecommerce (US)</v>
          </cell>
          <cell r="K10140" t="str">
            <v>Ecommerce</v>
          </cell>
          <cell r="L10140" t="str">
            <v>Marketing</v>
          </cell>
          <cell r="N10140" t="str">
            <v>Direct Costs</v>
          </cell>
          <cell r="O10140" t="str">
            <v>Meta Platforms, Inc</v>
          </cell>
        </row>
        <row r="10141">
          <cell r="D10141">
            <v>-0.48</v>
          </cell>
          <cell r="H10141">
            <v>45870</v>
          </cell>
          <cell r="I10141" t="str">
            <v>6286 - SEM</v>
          </cell>
          <cell r="J10141" t="str">
            <v>Ecommerce (US)</v>
          </cell>
          <cell r="K10141" t="str">
            <v>Ecommerce</v>
          </cell>
          <cell r="L10141" t="str">
            <v>Marketing</v>
          </cell>
          <cell r="N10141" t="str">
            <v>Direct Costs</v>
          </cell>
          <cell r="O10141" t="str">
            <v>Meta Platforms, Inc</v>
          </cell>
        </row>
        <row r="10142">
          <cell r="D10142">
            <v>14551.58</v>
          </cell>
          <cell r="H10142">
            <v>45870</v>
          </cell>
          <cell r="I10142" t="str">
            <v>6286 - SEM</v>
          </cell>
          <cell r="J10142" t="str">
            <v>Ecommerce (US)</v>
          </cell>
          <cell r="K10142" t="str">
            <v>Ecommerce</v>
          </cell>
          <cell r="L10142" t="str">
            <v>Marketing</v>
          </cell>
          <cell r="N10142" t="str">
            <v>Direct Costs</v>
          </cell>
          <cell r="O10142" t="str">
            <v>Meta Platforms, Inc</v>
          </cell>
        </row>
        <row r="10143">
          <cell r="D10143">
            <v>13600.97</v>
          </cell>
          <cell r="H10143">
            <v>45870</v>
          </cell>
          <cell r="I10143" t="str">
            <v>6286 - SEM</v>
          </cell>
          <cell r="J10143" t="str">
            <v>Ecommerce (US)</v>
          </cell>
          <cell r="K10143" t="str">
            <v>Ecommerce</v>
          </cell>
          <cell r="L10143" t="str">
            <v>Marketing</v>
          </cell>
          <cell r="N10143" t="str">
            <v>Direct Costs</v>
          </cell>
          <cell r="O10143" t="str">
            <v>Meta Platforms, Inc</v>
          </cell>
        </row>
        <row r="10144">
          <cell r="D10144">
            <v>4044.83</v>
          </cell>
          <cell r="H10144">
            <v>45870</v>
          </cell>
          <cell r="I10144" t="str">
            <v>6286 - SEM</v>
          </cell>
          <cell r="J10144" t="str">
            <v>Ecommerce (US)</v>
          </cell>
          <cell r="K10144" t="str">
            <v>Ecommerce</v>
          </cell>
          <cell r="L10144" t="str">
            <v>Marketing</v>
          </cell>
          <cell r="N10144" t="str">
            <v>Direct Costs</v>
          </cell>
          <cell r="O10144" t="str">
            <v>Meta Platforms, Inc</v>
          </cell>
        </row>
        <row r="10145">
          <cell r="D10145">
            <v>14785.67</v>
          </cell>
          <cell r="H10145">
            <v>45870</v>
          </cell>
          <cell r="I10145" t="str">
            <v>6286 - SEM</v>
          </cell>
          <cell r="J10145" t="str">
            <v>Ecommerce (US)</v>
          </cell>
          <cell r="K10145" t="str">
            <v>Ecommerce</v>
          </cell>
          <cell r="L10145" t="str">
            <v>Marketing</v>
          </cell>
          <cell r="N10145" t="str">
            <v>Direct Costs</v>
          </cell>
          <cell r="O10145" t="str">
            <v>Meta Platforms, Inc</v>
          </cell>
        </row>
        <row r="10146">
          <cell r="D10146">
            <v>38915.94</v>
          </cell>
          <cell r="H10146">
            <v>45870</v>
          </cell>
          <cell r="I10146" t="str">
            <v>6286 - SEM</v>
          </cell>
          <cell r="J10146" t="str">
            <v>Ecommerce (US)</v>
          </cell>
          <cell r="K10146" t="str">
            <v>Ecommerce</v>
          </cell>
          <cell r="L10146" t="str">
            <v>Marketing</v>
          </cell>
          <cell r="N10146" t="str">
            <v>Direct Costs</v>
          </cell>
          <cell r="O10146" t="str">
            <v>Meta Platforms, Inc</v>
          </cell>
        </row>
        <row r="10147">
          <cell r="D10147">
            <v>33292.85</v>
          </cell>
          <cell r="H10147">
            <v>45870</v>
          </cell>
          <cell r="I10147" t="str">
            <v>6286 - SEM</v>
          </cell>
          <cell r="J10147" t="str">
            <v>Ecommerce (US)</v>
          </cell>
          <cell r="K10147" t="str">
            <v>Ecommerce</v>
          </cell>
          <cell r="L10147" t="str">
            <v>Marketing</v>
          </cell>
          <cell r="N10147" t="str">
            <v>Direct Costs</v>
          </cell>
          <cell r="O10147" t="str">
            <v>Meta Platforms, Inc</v>
          </cell>
        </row>
        <row r="10148">
          <cell r="D10148">
            <v>0</v>
          </cell>
          <cell r="H10148">
            <v>45870</v>
          </cell>
          <cell r="I10148" t="str">
            <v>6286 - SEM</v>
          </cell>
          <cell r="J10148" t="str">
            <v>Ecommerce (US)</v>
          </cell>
          <cell r="K10148" t="str">
            <v>Ecommerce</v>
          </cell>
          <cell r="L10148" t="str">
            <v>Marketing</v>
          </cell>
          <cell r="N10148" t="str">
            <v>Direct Costs</v>
          </cell>
          <cell r="O10148" t="str">
            <v>[No Vendor]</v>
          </cell>
        </row>
        <row r="10149">
          <cell r="D10149">
            <v>240</v>
          </cell>
          <cell r="H10149">
            <v>45870</v>
          </cell>
          <cell r="I10149" t="str">
            <v>6288 - Model</v>
          </cell>
          <cell r="J10149">
            <v>0</v>
          </cell>
          <cell r="K10149" t="str">
            <v>Brand Marketing</v>
          </cell>
          <cell r="L10149" t="str">
            <v>Advertising</v>
          </cell>
          <cell r="N10149" t="str">
            <v>SG&amp;A</v>
          </cell>
          <cell r="O10149" t="str">
            <v>Soul Artist Management</v>
          </cell>
        </row>
        <row r="10150">
          <cell r="D10150">
            <v>1200</v>
          </cell>
          <cell r="H10150">
            <v>45870</v>
          </cell>
          <cell r="I10150" t="str">
            <v>6288 - Model</v>
          </cell>
          <cell r="J10150">
            <v>0</v>
          </cell>
          <cell r="K10150" t="str">
            <v>Brand Marketing</v>
          </cell>
          <cell r="L10150" t="str">
            <v>Advertising</v>
          </cell>
          <cell r="N10150" t="str">
            <v>SG&amp;A</v>
          </cell>
          <cell r="O10150" t="str">
            <v>Soul Artist Management</v>
          </cell>
        </row>
        <row r="10151">
          <cell r="D10151">
            <v>165</v>
          </cell>
          <cell r="H10151">
            <v>45870</v>
          </cell>
          <cell r="I10151" t="str">
            <v>6288 - Model</v>
          </cell>
          <cell r="J10151">
            <v>0</v>
          </cell>
          <cell r="K10151" t="str">
            <v>Brand Marketing</v>
          </cell>
          <cell r="L10151" t="str">
            <v>Advertising</v>
          </cell>
          <cell r="N10151" t="str">
            <v>SG&amp;A</v>
          </cell>
          <cell r="O10151" t="str">
            <v>State Artist Management</v>
          </cell>
        </row>
        <row r="10152">
          <cell r="D10152">
            <v>825</v>
          </cell>
          <cell r="H10152">
            <v>45870</v>
          </cell>
          <cell r="I10152" t="str">
            <v>6288 - Model</v>
          </cell>
          <cell r="J10152">
            <v>0</v>
          </cell>
          <cell r="K10152" t="str">
            <v>Brand Marketing</v>
          </cell>
          <cell r="L10152" t="str">
            <v>Advertising</v>
          </cell>
          <cell r="N10152" t="str">
            <v>SG&amp;A</v>
          </cell>
          <cell r="O10152" t="str">
            <v>State Artist Management</v>
          </cell>
        </row>
        <row r="10153">
          <cell r="D10153">
            <v>82.5</v>
          </cell>
          <cell r="H10153">
            <v>45870</v>
          </cell>
          <cell r="I10153" t="str">
            <v>6288 - Model</v>
          </cell>
          <cell r="J10153">
            <v>0</v>
          </cell>
          <cell r="K10153" t="str">
            <v>Brand Marketing</v>
          </cell>
          <cell r="L10153" t="str">
            <v>Advertising</v>
          </cell>
          <cell r="N10153" t="str">
            <v>SG&amp;A</v>
          </cell>
          <cell r="O10153" t="str">
            <v>State Artist Management</v>
          </cell>
        </row>
        <row r="10154">
          <cell r="D10154">
            <v>412.5</v>
          </cell>
          <cell r="H10154">
            <v>45870</v>
          </cell>
          <cell r="I10154" t="str">
            <v>6288 - Model</v>
          </cell>
          <cell r="J10154">
            <v>0</v>
          </cell>
          <cell r="K10154" t="str">
            <v>Brand Marketing</v>
          </cell>
          <cell r="L10154" t="str">
            <v>Advertising</v>
          </cell>
          <cell r="N10154" t="str">
            <v>SG&amp;A</v>
          </cell>
          <cell r="O10154" t="str">
            <v>State Artist Management</v>
          </cell>
        </row>
        <row r="10155">
          <cell r="D10155">
            <v>3324.38</v>
          </cell>
          <cell r="H10155">
            <v>45870</v>
          </cell>
          <cell r="I10155" t="str">
            <v>6289 - Seeding / Product Placement</v>
          </cell>
          <cell r="J10155">
            <v>0</v>
          </cell>
          <cell r="K10155" t="str">
            <v>Brand Marketing</v>
          </cell>
          <cell r="L10155" t="str">
            <v>Advertising</v>
          </cell>
          <cell r="N10155" t="str">
            <v>SG&amp;A</v>
          </cell>
          <cell r="O10155" t="str">
            <v>[No Vendor]</v>
          </cell>
        </row>
        <row r="10156">
          <cell r="D10156">
            <v>280.23</v>
          </cell>
          <cell r="H10156">
            <v>45870</v>
          </cell>
          <cell r="I10156" t="str">
            <v>6300 - Payroll Service Fees</v>
          </cell>
          <cell r="J10156">
            <v>0</v>
          </cell>
          <cell r="K10156" t="str">
            <v>Administration</v>
          </cell>
          <cell r="L10156" t="str">
            <v>Professional Service</v>
          </cell>
          <cell r="N10156" t="str">
            <v>SG&amp;A</v>
          </cell>
          <cell r="O10156" t="str">
            <v>ADP Payroll Services</v>
          </cell>
        </row>
        <row r="10157">
          <cell r="D10157">
            <v>493.67</v>
          </cell>
          <cell r="H10157">
            <v>45870</v>
          </cell>
          <cell r="I10157" t="str">
            <v>6300 - Payroll Service Fees</v>
          </cell>
          <cell r="J10157">
            <v>0</v>
          </cell>
          <cell r="K10157" t="str">
            <v>Administration</v>
          </cell>
          <cell r="L10157" t="str">
            <v>Professional Service</v>
          </cell>
          <cell r="N10157" t="str">
            <v>SG&amp;A</v>
          </cell>
          <cell r="O10157" t="str">
            <v>ADP Payroll Services</v>
          </cell>
        </row>
        <row r="10158">
          <cell r="D10158">
            <v>1152.5</v>
          </cell>
          <cell r="H10158">
            <v>45870</v>
          </cell>
          <cell r="I10158" t="str">
            <v>6300 - Payroll Service Fees</v>
          </cell>
          <cell r="J10158">
            <v>0</v>
          </cell>
          <cell r="K10158" t="str">
            <v>Administration</v>
          </cell>
          <cell r="L10158" t="str">
            <v>Professional Service</v>
          </cell>
          <cell r="N10158" t="str">
            <v>SG&amp;A</v>
          </cell>
          <cell r="O10158" t="str">
            <v>OperationsInc, LLC</v>
          </cell>
        </row>
        <row r="10159">
          <cell r="D10159">
            <v>186.58</v>
          </cell>
          <cell r="H10159">
            <v>45870</v>
          </cell>
          <cell r="I10159" t="str">
            <v>6300 - Payroll Service Fees</v>
          </cell>
          <cell r="J10159">
            <v>0</v>
          </cell>
          <cell r="K10159" t="str">
            <v>Administration</v>
          </cell>
          <cell r="L10159" t="str">
            <v>Professional Service</v>
          </cell>
          <cell r="N10159" t="str">
            <v>SG&amp;A</v>
          </cell>
          <cell r="O10159" t="str">
            <v>ADP Payroll Services</v>
          </cell>
        </row>
        <row r="10160">
          <cell r="D10160">
            <v>1755</v>
          </cell>
          <cell r="H10160">
            <v>45870</v>
          </cell>
          <cell r="I10160" t="str">
            <v>6300 - Payroll Service Fees</v>
          </cell>
          <cell r="J10160">
            <v>0</v>
          </cell>
          <cell r="K10160" t="str">
            <v>Administration</v>
          </cell>
          <cell r="L10160" t="str">
            <v>Professional Service</v>
          </cell>
          <cell r="N10160" t="str">
            <v>SG&amp;A</v>
          </cell>
          <cell r="O10160" t="str">
            <v>OperationsInc, LLC</v>
          </cell>
        </row>
        <row r="10161">
          <cell r="D10161">
            <v>1123.75</v>
          </cell>
          <cell r="H10161">
            <v>45870</v>
          </cell>
          <cell r="I10161" t="str">
            <v>6300 - Payroll Service Fees</v>
          </cell>
          <cell r="J10161">
            <v>0</v>
          </cell>
          <cell r="K10161" t="str">
            <v>Administration</v>
          </cell>
          <cell r="L10161" t="str">
            <v>Professional Service</v>
          </cell>
          <cell r="N10161" t="str">
            <v>SG&amp;A</v>
          </cell>
          <cell r="O10161" t="str">
            <v>OperationsInc, LLC</v>
          </cell>
        </row>
        <row r="10162">
          <cell r="D10162">
            <v>349.1</v>
          </cell>
          <cell r="H10162">
            <v>45870</v>
          </cell>
          <cell r="I10162" t="str">
            <v>6300 - Payroll Service Fees</v>
          </cell>
          <cell r="J10162">
            <v>0</v>
          </cell>
          <cell r="K10162" t="str">
            <v>Administration</v>
          </cell>
          <cell r="L10162" t="str">
            <v>Professional Service</v>
          </cell>
          <cell r="N10162" t="str">
            <v>SG&amp;A</v>
          </cell>
          <cell r="O10162" t="str">
            <v>[No Vendor]</v>
          </cell>
        </row>
        <row r="10163">
          <cell r="D10163">
            <v>641.25</v>
          </cell>
          <cell r="H10163">
            <v>45870</v>
          </cell>
          <cell r="I10163" t="str">
            <v>6300 - Payroll Service Fees</v>
          </cell>
          <cell r="J10163">
            <v>0</v>
          </cell>
          <cell r="K10163" t="str">
            <v>Administration</v>
          </cell>
          <cell r="L10163" t="str">
            <v>Professional Service</v>
          </cell>
          <cell r="N10163" t="str">
            <v>SG&amp;A</v>
          </cell>
          <cell r="O10163" t="str">
            <v>OperationsInc, LLC</v>
          </cell>
        </row>
        <row r="10164">
          <cell r="D10164">
            <v>2053.75</v>
          </cell>
          <cell r="H10164">
            <v>45870</v>
          </cell>
          <cell r="I10164" t="str">
            <v>6300 - Payroll Service Fees</v>
          </cell>
          <cell r="J10164">
            <v>0</v>
          </cell>
          <cell r="K10164" t="str">
            <v>Administration</v>
          </cell>
          <cell r="L10164" t="str">
            <v>Professional Service</v>
          </cell>
          <cell r="N10164" t="str">
            <v>SG&amp;A</v>
          </cell>
          <cell r="O10164" t="str">
            <v>OperationsInc, LLC</v>
          </cell>
        </row>
        <row r="10165">
          <cell r="D10165">
            <v>169.76</v>
          </cell>
          <cell r="H10165">
            <v>45870</v>
          </cell>
          <cell r="I10165" t="str">
            <v>6300 - Payroll Service Fees</v>
          </cell>
          <cell r="J10165">
            <v>0</v>
          </cell>
          <cell r="K10165" t="str">
            <v>Administration</v>
          </cell>
          <cell r="L10165" t="str">
            <v>Professional Service</v>
          </cell>
          <cell r="N10165" t="str">
            <v>SG&amp;A</v>
          </cell>
          <cell r="O10165" t="str">
            <v>[No Vendor]</v>
          </cell>
        </row>
        <row r="10166">
          <cell r="D10166">
            <v>2073.75</v>
          </cell>
          <cell r="H10166">
            <v>45870</v>
          </cell>
          <cell r="I10166" t="str">
            <v>6300 - Payroll Service Fees</v>
          </cell>
          <cell r="J10166">
            <v>0</v>
          </cell>
          <cell r="K10166" t="str">
            <v>Administration</v>
          </cell>
          <cell r="L10166" t="str">
            <v>Professional Service</v>
          </cell>
          <cell r="N10166" t="str">
            <v>SG&amp;A</v>
          </cell>
          <cell r="O10166" t="str">
            <v>OperationsInc, LLC</v>
          </cell>
        </row>
        <row r="10167">
          <cell r="D10167">
            <v>309.75</v>
          </cell>
          <cell r="H10167">
            <v>45870</v>
          </cell>
          <cell r="I10167" t="str">
            <v>6300 - Payroll Service Fees</v>
          </cell>
          <cell r="J10167">
            <v>0</v>
          </cell>
          <cell r="K10167" t="str">
            <v>Administration</v>
          </cell>
          <cell r="L10167" t="str">
            <v>Professional Service</v>
          </cell>
          <cell r="N10167" t="str">
            <v>SG&amp;A</v>
          </cell>
          <cell r="O10167" t="str">
            <v>ADP Payroll Services</v>
          </cell>
        </row>
        <row r="10168">
          <cell r="D10168">
            <v>30113.77</v>
          </cell>
          <cell r="H10168">
            <v>45870</v>
          </cell>
          <cell r="I10168" t="str">
            <v>6320 - Building Rent</v>
          </cell>
          <cell r="J10168">
            <v>0</v>
          </cell>
          <cell r="K10168" t="str">
            <v>Administration</v>
          </cell>
          <cell r="L10168" t="str">
            <v>Rent</v>
          </cell>
          <cell r="N10168" t="str">
            <v>SG&amp;A</v>
          </cell>
          <cell r="O10168" t="str">
            <v>Antelope LLC</v>
          </cell>
        </row>
        <row r="10169">
          <cell r="D10169">
            <v>-30113.77</v>
          </cell>
          <cell r="H10169">
            <v>45870</v>
          </cell>
          <cell r="I10169" t="str">
            <v>6320 - Building Rent</v>
          </cell>
          <cell r="J10169">
            <v>0</v>
          </cell>
          <cell r="K10169" t="str">
            <v>Administration</v>
          </cell>
          <cell r="L10169" t="str">
            <v>Rent</v>
          </cell>
          <cell r="N10169" t="str">
            <v>SG&amp;A</v>
          </cell>
          <cell r="O10169" t="str">
            <v>[No Vendor]</v>
          </cell>
        </row>
        <row r="10170">
          <cell r="D10170">
            <v>77.14</v>
          </cell>
          <cell r="H10170">
            <v>45870</v>
          </cell>
          <cell r="I10170" t="str">
            <v>6340 - Miscellaneous Expense</v>
          </cell>
          <cell r="J10170">
            <v>0</v>
          </cell>
          <cell r="K10170" t="str">
            <v>Production</v>
          </cell>
          <cell r="L10170" t="str">
            <v>Other</v>
          </cell>
          <cell r="N10170" t="str">
            <v>SG&amp;A</v>
          </cell>
          <cell r="O10170" t="str">
            <v>[No Vendor]</v>
          </cell>
        </row>
        <row r="10171">
          <cell r="D10171">
            <v>1060</v>
          </cell>
          <cell r="H10171">
            <v>45870</v>
          </cell>
          <cell r="I10171" t="str">
            <v>6340 - Miscellaneous Expense</v>
          </cell>
          <cell r="J10171">
            <v>0</v>
          </cell>
          <cell r="K10171" t="str">
            <v>Brand Marketing</v>
          </cell>
          <cell r="L10171" t="str">
            <v>Other</v>
          </cell>
          <cell r="N10171" t="str">
            <v>SG&amp;A</v>
          </cell>
          <cell r="O10171" t="str">
            <v>O'Donnells Jewelers Gabriel's Custom Engraving</v>
          </cell>
        </row>
        <row r="10172">
          <cell r="D10172">
            <v>70.66</v>
          </cell>
          <cell r="H10172">
            <v>45870</v>
          </cell>
          <cell r="I10172" t="str">
            <v>6340 - Miscellaneous Expense</v>
          </cell>
          <cell r="J10172">
            <v>0</v>
          </cell>
          <cell r="K10172" t="str">
            <v>Administration</v>
          </cell>
          <cell r="L10172" t="str">
            <v>Other</v>
          </cell>
          <cell r="N10172" t="str">
            <v>SG&amp;A</v>
          </cell>
          <cell r="O10172" t="str">
            <v>[No Vendor]</v>
          </cell>
        </row>
        <row r="10173">
          <cell r="D10173">
            <v>65.33</v>
          </cell>
          <cell r="H10173">
            <v>45870</v>
          </cell>
          <cell r="I10173" t="str">
            <v>6340 - Miscellaneous Expense</v>
          </cell>
          <cell r="J10173">
            <v>0</v>
          </cell>
          <cell r="K10173" t="str">
            <v>Administration</v>
          </cell>
          <cell r="L10173" t="str">
            <v>Other</v>
          </cell>
          <cell r="N10173" t="str">
            <v>SG&amp;A</v>
          </cell>
          <cell r="O10173" t="str">
            <v>NYC Intercom Inc</v>
          </cell>
        </row>
        <row r="10174">
          <cell r="D10174">
            <v>308.98</v>
          </cell>
          <cell r="H10174">
            <v>45870</v>
          </cell>
          <cell r="I10174" t="str">
            <v>6340 - Miscellaneous Expense</v>
          </cell>
          <cell r="J10174">
            <v>0</v>
          </cell>
          <cell r="K10174" t="str">
            <v>Brand Marketing</v>
          </cell>
          <cell r="L10174" t="str">
            <v>Other</v>
          </cell>
          <cell r="N10174" t="str">
            <v>SG&amp;A</v>
          </cell>
          <cell r="O10174" t="str">
            <v>Olivia Nielsen</v>
          </cell>
        </row>
        <row r="10175">
          <cell r="D10175">
            <v>-3.59</v>
          </cell>
          <cell r="H10175">
            <v>45870</v>
          </cell>
          <cell r="I10175" t="str">
            <v>6340 - Miscellaneous Expense</v>
          </cell>
          <cell r="J10175">
            <v>0</v>
          </cell>
          <cell r="K10175" t="str">
            <v>Administration</v>
          </cell>
          <cell r="L10175" t="str">
            <v>Other</v>
          </cell>
          <cell r="N10175" t="str">
            <v>SG&amp;A</v>
          </cell>
          <cell r="O10175" t="str">
            <v>[No Vendor]</v>
          </cell>
        </row>
        <row r="10176">
          <cell r="D10176">
            <v>84.31</v>
          </cell>
          <cell r="H10176">
            <v>45870</v>
          </cell>
          <cell r="I10176" t="str">
            <v>6340 - Miscellaneous Expense</v>
          </cell>
          <cell r="J10176">
            <v>0</v>
          </cell>
          <cell r="K10176" t="str">
            <v>Administration</v>
          </cell>
          <cell r="L10176" t="str">
            <v>Other</v>
          </cell>
          <cell r="N10176" t="str">
            <v>SG&amp;A</v>
          </cell>
          <cell r="O10176" t="str">
            <v>Go Gleem LLC</v>
          </cell>
        </row>
        <row r="10177">
          <cell r="D10177">
            <v>950</v>
          </cell>
          <cell r="H10177">
            <v>45870</v>
          </cell>
          <cell r="I10177" t="str">
            <v>6340 - Miscellaneous Expense</v>
          </cell>
          <cell r="J10177">
            <v>0</v>
          </cell>
          <cell r="K10177" t="str">
            <v>Administration</v>
          </cell>
          <cell r="L10177" t="str">
            <v>Other</v>
          </cell>
          <cell r="N10177" t="str">
            <v>SG&amp;A</v>
          </cell>
          <cell r="O10177" t="str">
            <v>Go Gleem LLC</v>
          </cell>
        </row>
        <row r="10178">
          <cell r="D10178">
            <v>-1060</v>
          </cell>
          <cell r="H10178">
            <v>45870</v>
          </cell>
          <cell r="I10178" t="str">
            <v>6340 - Miscellaneous Expense</v>
          </cell>
          <cell r="J10178">
            <v>0</v>
          </cell>
          <cell r="K10178" t="str">
            <v>Brand Marketing</v>
          </cell>
          <cell r="L10178" t="str">
            <v>Other</v>
          </cell>
          <cell r="N10178" t="str">
            <v>SG&amp;A</v>
          </cell>
          <cell r="O10178" t="str">
            <v>[No Vendor]</v>
          </cell>
        </row>
        <row r="10179">
          <cell r="D10179">
            <v>1060</v>
          </cell>
          <cell r="H10179">
            <v>45870</v>
          </cell>
          <cell r="I10179" t="str">
            <v>6340 - Miscellaneous Expense</v>
          </cell>
          <cell r="J10179">
            <v>0</v>
          </cell>
          <cell r="K10179" t="str">
            <v>Brand Marketing</v>
          </cell>
          <cell r="L10179" t="str">
            <v>Other</v>
          </cell>
          <cell r="N10179" t="str">
            <v>SG&amp;A</v>
          </cell>
          <cell r="O10179" t="str">
            <v>[No Vendor]</v>
          </cell>
        </row>
        <row r="10180">
          <cell r="D10180">
            <v>318.60000000000002</v>
          </cell>
          <cell r="H10180">
            <v>45870</v>
          </cell>
          <cell r="I10180" t="str">
            <v>6340 - Miscellaneous Expense</v>
          </cell>
          <cell r="J10180">
            <v>0</v>
          </cell>
          <cell r="K10180" t="str">
            <v>Administration</v>
          </cell>
          <cell r="L10180" t="str">
            <v>Other</v>
          </cell>
          <cell r="N10180" t="str">
            <v>SG&amp;A</v>
          </cell>
          <cell r="O10180" t="str">
            <v>[No Vendor]</v>
          </cell>
        </row>
        <row r="10181">
          <cell r="D10181">
            <v>10136.299999999999</v>
          </cell>
          <cell r="H10181">
            <v>45870</v>
          </cell>
          <cell r="I10181" t="str">
            <v>6340 - Miscellaneous Expense</v>
          </cell>
          <cell r="J10181">
            <v>0</v>
          </cell>
          <cell r="K10181" t="str">
            <v>Administration</v>
          </cell>
          <cell r="L10181" t="str">
            <v>Other</v>
          </cell>
          <cell r="N10181" t="str">
            <v>SG&amp;A</v>
          </cell>
          <cell r="O10181" t="str">
            <v>[No Vendor]</v>
          </cell>
        </row>
        <row r="10182">
          <cell r="D10182">
            <v>3</v>
          </cell>
          <cell r="H10182">
            <v>45870</v>
          </cell>
          <cell r="I10182" t="str">
            <v>6340 - Miscellaneous Expense</v>
          </cell>
          <cell r="J10182">
            <v>0</v>
          </cell>
          <cell r="K10182" t="str">
            <v>Administration</v>
          </cell>
          <cell r="L10182" t="str">
            <v>Other</v>
          </cell>
          <cell r="N10182" t="str">
            <v>SG&amp;A</v>
          </cell>
          <cell r="O10182" t="str">
            <v>Amazon Capital Services</v>
          </cell>
        </row>
        <row r="10183">
          <cell r="D10183">
            <v>14.02</v>
          </cell>
          <cell r="H10183">
            <v>45870</v>
          </cell>
          <cell r="I10183" t="str">
            <v>6340 - Miscellaneous Expense</v>
          </cell>
          <cell r="J10183">
            <v>0</v>
          </cell>
          <cell r="K10183" t="str">
            <v>Administration</v>
          </cell>
          <cell r="L10183" t="str">
            <v>Other</v>
          </cell>
          <cell r="N10183" t="str">
            <v>SG&amp;A</v>
          </cell>
          <cell r="O10183" t="str">
            <v>Amazon Capital Services</v>
          </cell>
        </row>
        <row r="10184">
          <cell r="D10184">
            <v>14.28</v>
          </cell>
          <cell r="H10184">
            <v>45870</v>
          </cell>
          <cell r="I10184" t="str">
            <v>6340 - Miscellaneous Expense</v>
          </cell>
          <cell r="J10184">
            <v>0</v>
          </cell>
          <cell r="K10184" t="str">
            <v>Administration</v>
          </cell>
          <cell r="L10184" t="str">
            <v>Other</v>
          </cell>
          <cell r="N10184" t="str">
            <v>SG&amp;A</v>
          </cell>
          <cell r="O10184" t="str">
            <v>Amazon Capital Services</v>
          </cell>
        </row>
        <row r="10185">
          <cell r="D10185">
            <v>14.22</v>
          </cell>
          <cell r="H10185">
            <v>45870</v>
          </cell>
          <cell r="I10185" t="str">
            <v>6340 - Miscellaneous Expense</v>
          </cell>
          <cell r="J10185">
            <v>0</v>
          </cell>
          <cell r="K10185" t="str">
            <v>Administration</v>
          </cell>
          <cell r="L10185" t="str">
            <v>Other</v>
          </cell>
          <cell r="N10185" t="str">
            <v>SG&amp;A</v>
          </cell>
          <cell r="O10185" t="str">
            <v>Amazon Capital Services</v>
          </cell>
        </row>
        <row r="10186">
          <cell r="D10186">
            <v>42</v>
          </cell>
          <cell r="H10186">
            <v>45870</v>
          </cell>
          <cell r="I10186" t="str">
            <v>6340 - Miscellaneous Expense</v>
          </cell>
          <cell r="J10186">
            <v>0</v>
          </cell>
          <cell r="K10186" t="str">
            <v>Administration</v>
          </cell>
          <cell r="L10186" t="str">
            <v>Other</v>
          </cell>
          <cell r="N10186" t="str">
            <v>SG&amp;A</v>
          </cell>
          <cell r="O10186" t="str">
            <v>Amazon Capital Services</v>
          </cell>
        </row>
        <row r="10187">
          <cell r="D10187">
            <v>42.33</v>
          </cell>
          <cell r="H10187">
            <v>45870</v>
          </cell>
          <cell r="I10187" t="str">
            <v>6340 - Miscellaneous Expense</v>
          </cell>
          <cell r="J10187">
            <v>0</v>
          </cell>
          <cell r="K10187" t="str">
            <v>Administration</v>
          </cell>
          <cell r="L10187" t="str">
            <v>Other</v>
          </cell>
          <cell r="N10187" t="str">
            <v>SG&amp;A</v>
          </cell>
          <cell r="O10187" t="str">
            <v>Amazon Capital Services</v>
          </cell>
        </row>
        <row r="10188">
          <cell r="D10188">
            <v>19.84</v>
          </cell>
          <cell r="H10188">
            <v>45870</v>
          </cell>
          <cell r="I10188" t="str">
            <v>6340 - Miscellaneous Expense</v>
          </cell>
          <cell r="J10188">
            <v>0</v>
          </cell>
          <cell r="K10188" t="str">
            <v>Administration</v>
          </cell>
          <cell r="L10188" t="str">
            <v>Other</v>
          </cell>
          <cell r="N10188" t="str">
            <v>SG&amp;A</v>
          </cell>
          <cell r="O10188" t="str">
            <v>Amazon Capital Services</v>
          </cell>
        </row>
        <row r="10189">
          <cell r="D10189">
            <v>19.98</v>
          </cell>
          <cell r="H10189">
            <v>45870</v>
          </cell>
          <cell r="I10189" t="str">
            <v>6340 - Miscellaneous Expense</v>
          </cell>
          <cell r="J10189">
            <v>0</v>
          </cell>
          <cell r="K10189" t="str">
            <v>Administration</v>
          </cell>
          <cell r="L10189" t="str">
            <v>Other</v>
          </cell>
          <cell r="N10189" t="str">
            <v>SG&amp;A</v>
          </cell>
          <cell r="O10189" t="str">
            <v>Amazon Capital Services</v>
          </cell>
        </row>
        <row r="10190">
          <cell r="D10190">
            <v>99.99</v>
          </cell>
          <cell r="H10190">
            <v>45870</v>
          </cell>
          <cell r="I10190" t="str">
            <v>6340 - Miscellaneous Expense</v>
          </cell>
          <cell r="J10190">
            <v>0</v>
          </cell>
          <cell r="K10190" t="str">
            <v>Administration</v>
          </cell>
          <cell r="L10190" t="str">
            <v>Other</v>
          </cell>
          <cell r="N10190" t="str">
            <v>SG&amp;A</v>
          </cell>
          <cell r="O10190" t="str">
            <v>Amazon Capital Services</v>
          </cell>
        </row>
        <row r="10191">
          <cell r="D10191">
            <v>12</v>
          </cell>
          <cell r="H10191">
            <v>45870</v>
          </cell>
          <cell r="I10191" t="str">
            <v>6340 - Miscellaneous Expense</v>
          </cell>
          <cell r="J10191">
            <v>0</v>
          </cell>
          <cell r="K10191" t="str">
            <v>Administration</v>
          </cell>
          <cell r="L10191" t="str">
            <v>Other</v>
          </cell>
          <cell r="N10191" t="str">
            <v>SG&amp;A</v>
          </cell>
          <cell r="O10191" t="str">
            <v>Amazon Capital Services</v>
          </cell>
        </row>
        <row r="10192">
          <cell r="D10192">
            <v>12</v>
          </cell>
          <cell r="H10192">
            <v>45870</v>
          </cell>
          <cell r="I10192" t="str">
            <v>6340 - Miscellaneous Expense</v>
          </cell>
          <cell r="J10192">
            <v>0</v>
          </cell>
          <cell r="K10192" t="str">
            <v>Administration</v>
          </cell>
          <cell r="L10192" t="str">
            <v>Other</v>
          </cell>
          <cell r="N10192" t="str">
            <v>SG&amp;A</v>
          </cell>
          <cell r="O10192" t="str">
            <v>Amazon Capital Services</v>
          </cell>
        </row>
        <row r="10193">
          <cell r="D10193">
            <v>11.42</v>
          </cell>
          <cell r="H10193">
            <v>45870</v>
          </cell>
          <cell r="I10193" t="str">
            <v>6340 - Miscellaneous Expense</v>
          </cell>
          <cell r="J10193">
            <v>0</v>
          </cell>
          <cell r="K10193" t="str">
            <v>Administration</v>
          </cell>
          <cell r="L10193" t="str">
            <v>Other</v>
          </cell>
          <cell r="N10193" t="str">
            <v>SG&amp;A</v>
          </cell>
          <cell r="O10193" t="str">
            <v>Amazon Capital Services</v>
          </cell>
        </row>
        <row r="10194">
          <cell r="D10194">
            <v>26.5</v>
          </cell>
          <cell r="H10194">
            <v>45870</v>
          </cell>
          <cell r="I10194" t="str">
            <v>6340 - Miscellaneous Expense</v>
          </cell>
          <cell r="J10194">
            <v>0</v>
          </cell>
          <cell r="K10194" t="str">
            <v>Administration</v>
          </cell>
          <cell r="L10194" t="str">
            <v>Other</v>
          </cell>
          <cell r="N10194" t="str">
            <v>SG&amp;A</v>
          </cell>
          <cell r="O10194" t="str">
            <v>Amazon Capital Services</v>
          </cell>
        </row>
        <row r="10195">
          <cell r="D10195">
            <v>14.28</v>
          </cell>
          <cell r="H10195">
            <v>45870</v>
          </cell>
          <cell r="I10195" t="str">
            <v>6340 - Miscellaneous Expense</v>
          </cell>
          <cell r="J10195">
            <v>0</v>
          </cell>
          <cell r="K10195" t="str">
            <v>Administration</v>
          </cell>
          <cell r="L10195" t="str">
            <v>Other</v>
          </cell>
          <cell r="N10195" t="str">
            <v>SG&amp;A</v>
          </cell>
          <cell r="O10195" t="str">
            <v>Amazon Capital Services</v>
          </cell>
        </row>
        <row r="10196">
          <cell r="D10196">
            <v>42</v>
          </cell>
          <cell r="H10196">
            <v>45870</v>
          </cell>
          <cell r="I10196" t="str">
            <v>6340 - Miscellaneous Expense</v>
          </cell>
          <cell r="J10196">
            <v>0</v>
          </cell>
          <cell r="K10196" t="str">
            <v>Administration</v>
          </cell>
          <cell r="L10196" t="str">
            <v>Other</v>
          </cell>
          <cell r="N10196" t="str">
            <v>SG&amp;A</v>
          </cell>
          <cell r="O10196" t="str">
            <v>Amazon Capital Services</v>
          </cell>
        </row>
        <row r="10197">
          <cell r="D10197">
            <v>19.940000000000001</v>
          </cell>
          <cell r="H10197">
            <v>45870</v>
          </cell>
          <cell r="I10197" t="str">
            <v>6340 - Miscellaneous Expense</v>
          </cell>
          <cell r="J10197">
            <v>0</v>
          </cell>
          <cell r="K10197" t="str">
            <v>Administration</v>
          </cell>
          <cell r="L10197" t="str">
            <v>Other</v>
          </cell>
          <cell r="N10197" t="str">
            <v>SG&amp;A</v>
          </cell>
          <cell r="O10197" t="str">
            <v>Amazon Capital Services</v>
          </cell>
        </row>
        <row r="10198">
          <cell r="D10198">
            <v>4.33</v>
          </cell>
          <cell r="H10198">
            <v>45870</v>
          </cell>
          <cell r="I10198" t="str">
            <v>6340 - Miscellaneous Expense</v>
          </cell>
          <cell r="J10198">
            <v>0</v>
          </cell>
          <cell r="K10198" t="str">
            <v>Administration</v>
          </cell>
          <cell r="L10198" t="str">
            <v>Other</v>
          </cell>
          <cell r="N10198" t="str">
            <v>SG&amp;A</v>
          </cell>
          <cell r="O10198" t="str">
            <v>Amazon Capital Services</v>
          </cell>
        </row>
        <row r="10199">
          <cell r="D10199">
            <v>3.59</v>
          </cell>
          <cell r="H10199">
            <v>45870</v>
          </cell>
          <cell r="I10199" t="str">
            <v>6340 - Miscellaneous Expense</v>
          </cell>
          <cell r="J10199">
            <v>0</v>
          </cell>
          <cell r="K10199" t="str">
            <v>Administration</v>
          </cell>
          <cell r="L10199" t="str">
            <v>Other</v>
          </cell>
          <cell r="N10199" t="str">
            <v>SG&amp;A</v>
          </cell>
          <cell r="O10199" t="str">
            <v>[No Vendor]</v>
          </cell>
        </row>
        <row r="10200">
          <cell r="D10200">
            <v>114</v>
          </cell>
          <cell r="H10200">
            <v>45870</v>
          </cell>
          <cell r="I10200" t="str">
            <v>6340 - Miscellaneous Expense</v>
          </cell>
          <cell r="J10200" t="str">
            <v>Ecommerce (US)</v>
          </cell>
          <cell r="K10200" t="str">
            <v>Ecommerce</v>
          </cell>
          <cell r="L10200" t="str">
            <v>Other</v>
          </cell>
          <cell r="N10200" t="str">
            <v>SG&amp;A</v>
          </cell>
          <cell r="O10200" t="str">
            <v>[No Vendor]</v>
          </cell>
        </row>
        <row r="10201">
          <cell r="D10201">
            <v>-1300</v>
          </cell>
          <cell r="H10201">
            <v>45870</v>
          </cell>
          <cell r="I10201" t="str">
            <v>6360 - Model - Fitting</v>
          </cell>
          <cell r="J10201">
            <v>0</v>
          </cell>
          <cell r="K10201" t="str">
            <v>Production</v>
          </cell>
          <cell r="L10201" t="str">
            <v>Sample</v>
          </cell>
          <cell r="N10201" t="str">
            <v>SG&amp;A</v>
          </cell>
          <cell r="O10201" t="str">
            <v>[No Vendor]</v>
          </cell>
        </row>
        <row r="10202">
          <cell r="D10202">
            <v>200</v>
          </cell>
          <cell r="H10202">
            <v>45870</v>
          </cell>
          <cell r="I10202" t="str">
            <v>6360 - Model - Fitting</v>
          </cell>
          <cell r="J10202">
            <v>0</v>
          </cell>
          <cell r="K10202" t="str">
            <v>Production</v>
          </cell>
          <cell r="L10202" t="str">
            <v>Sample</v>
          </cell>
          <cell r="N10202" t="str">
            <v>SG&amp;A</v>
          </cell>
          <cell r="O10202" t="str">
            <v>Lanny K.W. Inc.</v>
          </cell>
        </row>
        <row r="10203">
          <cell r="D10203">
            <v>250</v>
          </cell>
          <cell r="H10203">
            <v>45870</v>
          </cell>
          <cell r="I10203" t="str">
            <v>6360 - Model - Fitting</v>
          </cell>
          <cell r="J10203">
            <v>0</v>
          </cell>
          <cell r="K10203" t="str">
            <v>Production</v>
          </cell>
          <cell r="L10203" t="str">
            <v>Sample</v>
          </cell>
          <cell r="N10203" t="str">
            <v>SG&amp;A</v>
          </cell>
          <cell r="O10203" t="str">
            <v>Lanny K.W. Inc.</v>
          </cell>
        </row>
        <row r="10204">
          <cell r="D10204">
            <v>300</v>
          </cell>
          <cell r="H10204">
            <v>45870</v>
          </cell>
          <cell r="I10204" t="str">
            <v>6360 - Model - Fitting</v>
          </cell>
          <cell r="J10204">
            <v>0</v>
          </cell>
          <cell r="K10204" t="str">
            <v>Production</v>
          </cell>
          <cell r="L10204" t="str">
            <v>Sample</v>
          </cell>
          <cell r="N10204" t="str">
            <v>SG&amp;A</v>
          </cell>
          <cell r="O10204" t="str">
            <v>Lanny K.W. Inc.</v>
          </cell>
        </row>
        <row r="10205">
          <cell r="D10205">
            <v>600</v>
          </cell>
          <cell r="H10205">
            <v>45870</v>
          </cell>
          <cell r="I10205" t="str">
            <v>6360 - Model - Fitting</v>
          </cell>
          <cell r="J10205">
            <v>0</v>
          </cell>
          <cell r="K10205" t="str">
            <v>Production</v>
          </cell>
          <cell r="L10205" t="str">
            <v>Sample</v>
          </cell>
          <cell r="N10205" t="str">
            <v>SG&amp;A</v>
          </cell>
          <cell r="O10205" t="str">
            <v>Lanny K.W. Inc.</v>
          </cell>
        </row>
        <row r="10206">
          <cell r="D10206">
            <v>168.51</v>
          </cell>
          <cell r="H10206">
            <v>45870</v>
          </cell>
          <cell r="I10206" t="str">
            <v>6363 - Development</v>
          </cell>
          <cell r="J10206">
            <v>0</v>
          </cell>
          <cell r="K10206" t="str">
            <v>Design</v>
          </cell>
          <cell r="L10206" t="str">
            <v>Sample</v>
          </cell>
          <cell r="N10206" t="str">
            <v>SG&amp;A</v>
          </cell>
          <cell r="O10206" t="str">
            <v>Consul + SRL</v>
          </cell>
        </row>
        <row r="10207">
          <cell r="D10207">
            <v>74.17</v>
          </cell>
          <cell r="H10207">
            <v>45870</v>
          </cell>
          <cell r="I10207" t="str">
            <v>6363 - Development</v>
          </cell>
          <cell r="J10207">
            <v>0</v>
          </cell>
          <cell r="K10207" t="str">
            <v>Design</v>
          </cell>
          <cell r="L10207" t="str">
            <v>Sample</v>
          </cell>
          <cell r="N10207" t="str">
            <v>SG&amp;A</v>
          </cell>
          <cell r="O10207" t="str">
            <v>Consul + SRL</v>
          </cell>
        </row>
        <row r="10208">
          <cell r="D10208">
            <v>143.19999999999999</v>
          </cell>
          <cell r="H10208">
            <v>45870</v>
          </cell>
          <cell r="I10208" t="str">
            <v>6363 - Development</v>
          </cell>
          <cell r="J10208">
            <v>0</v>
          </cell>
          <cell r="K10208" t="str">
            <v>Design</v>
          </cell>
          <cell r="L10208" t="str">
            <v>Sample</v>
          </cell>
          <cell r="N10208" t="str">
            <v>SG&amp;A</v>
          </cell>
          <cell r="O10208" t="str">
            <v>Consul + SRL</v>
          </cell>
        </row>
        <row r="10209">
          <cell r="D10209">
            <v>726.87</v>
          </cell>
          <cell r="H10209">
            <v>45870</v>
          </cell>
          <cell r="I10209" t="str">
            <v>6363 - Development</v>
          </cell>
          <cell r="J10209">
            <v>0</v>
          </cell>
          <cell r="K10209" t="str">
            <v>Design</v>
          </cell>
          <cell r="L10209" t="str">
            <v>Sample</v>
          </cell>
          <cell r="N10209" t="str">
            <v>SG&amp;A</v>
          </cell>
          <cell r="O10209" t="str">
            <v>Consul + SRL</v>
          </cell>
        </row>
        <row r="10210">
          <cell r="D10210">
            <v>57.23</v>
          </cell>
          <cell r="H10210">
            <v>45870</v>
          </cell>
          <cell r="I10210" t="str">
            <v>6363 - Development</v>
          </cell>
          <cell r="J10210">
            <v>0</v>
          </cell>
          <cell r="K10210" t="str">
            <v>Design</v>
          </cell>
          <cell r="L10210" t="str">
            <v>Sample</v>
          </cell>
          <cell r="N10210" t="str">
            <v>SG&amp;A</v>
          </cell>
          <cell r="O10210" t="str">
            <v>Consul + SRL</v>
          </cell>
        </row>
        <row r="10211">
          <cell r="D10211">
            <v>715.83</v>
          </cell>
          <cell r="H10211">
            <v>45870</v>
          </cell>
          <cell r="I10211" t="str">
            <v>6363 - Development</v>
          </cell>
          <cell r="J10211">
            <v>0</v>
          </cell>
          <cell r="K10211" t="str">
            <v>Design</v>
          </cell>
          <cell r="L10211" t="str">
            <v>Sample</v>
          </cell>
          <cell r="N10211" t="str">
            <v>SG&amp;A</v>
          </cell>
          <cell r="O10211" t="str">
            <v>Consul + SRL</v>
          </cell>
        </row>
        <row r="10212">
          <cell r="D10212">
            <v>19.16</v>
          </cell>
          <cell r="H10212">
            <v>45870</v>
          </cell>
          <cell r="I10212" t="str">
            <v>6375 - Freight Expenses</v>
          </cell>
          <cell r="J10212">
            <v>0</v>
          </cell>
          <cell r="K10212" t="str">
            <v>Production</v>
          </cell>
          <cell r="L10212" t="str">
            <v>Freight</v>
          </cell>
          <cell r="N10212" t="str">
            <v>Direct Costs</v>
          </cell>
          <cell r="O10212" t="str">
            <v>DHL Express - USA</v>
          </cell>
        </row>
        <row r="10213">
          <cell r="D10213">
            <v>642.76</v>
          </cell>
          <cell r="H10213">
            <v>45870</v>
          </cell>
          <cell r="I10213" t="str">
            <v>6375 - Freight Expenses</v>
          </cell>
          <cell r="J10213" t="str">
            <v>Ecommerce (US)</v>
          </cell>
          <cell r="K10213" t="str">
            <v>Ecommerce</v>
          </cell>
          <cell r="L10213" t="str">
            <v>Freight</v>
          </cell>
          <cell r="N10213" t="str">
            <v>Direct Costs</v>
          </cell>
          <cell r="O10213" t="str">
            <v>UPS Supply Chain Solutions Inc. (7F24A0)</v>
          </cell>
        </row>
        <row r="10214">
          <cell r="D10214">
            <v>-16000</v>
          </cell>
          <cell r="H10214">
            <v>45870</v>
          </cell>
          <cell r="I10214" t="str">
            <v>6375 - Freight Expenses</v>
          </cell>
          <cell r="J10214" t="str">
            <v>Ecommerce (US)</v>
          </cell>
          <cell r="K10214" t="str">
            <v>Ecommerce</v>
          </cell>
          <cell r="L10214" t="str">
            <v>Freight</v>
          </cell>
          <cell r="N10214" t="str">
            <v>Direct Costs</v>
          </cell>
          <cell r="O10214" t="str">
            <v>UPS Supply Chain Solutions Inc. (7F24A0)</v>
          </cell>
        </row>
        <row r="10215">
          <cell r="D10215">
            <v>20477.990000000002</v>
          </cell>
          <cell r="H10215">
            <v>45870</v>
          </cell>
          <cell r="I10215" t="str">
            <v>6375 - Freight Expenses</v>
          </cell>
          <cell r="J10215" t="str">
            <v>Ecommerce (US)</v>
          </cell>
          <cell r="K10215" t="str">
            <v>Ecommerce</v>
          </cell>
          <cell r="L10215" t="str">
            <v>Freight</v>
          </cell>
          <cell r="N10215" t="str">
            <v>Direct Costs</v>
          </cell>
          <cell r="O10215" t="str">
            <v>UPS Supply Chain Solutions Inc. (7F24A0)</v>
          </cell>
        </row>
        <row r="10216">
          <cell r="D10216">
            <v>149.07</v>
          </cell>
          <cell r="H10216">
            <v>45870</v>
          </cell>
          <cell r="I10216" t="str">
            <v>6375 - Freight Expenses</v>
          </cell>
          <cell r="J10216" t="str">
            <v>Wholesale</v>
          </cell>
          <cell r="K10216" t="str">
            <v>Wholesale</v>
          </cell>
          <cell r="L10216" t="str">
            <v>Freight</v>
          </cell>
          <cell r="N10216" t="str">
            <v>Direct Costs</v>
          </cell>
          <cell r="O10216" t="str">
            <v>UPS Supply Chain Solutions Inc. (7F24A0)</v>
          </cell>
        </row>
        <row r="10217">
          <cell r="D10217">
            <v>40.31</v>
          </cell>
          <cell r="H10217">
            <v>45870</v>
          </cell>
          <cell r="I10217" t="str">
            <v>6375 - Freight Expenses</v>
          </cell>
          <cell r="J10217">
            <v>0</v>
          </cell>
          <cell r="K10217" t="str">
            <v>Production</v>
          </cell>
          <cell r="L10217" t="str">
            <v>Freight</v>
          </cell>
          <cell r="N10217" t="str">
            <v>Direct Costs</v>
          </cell>
          <cell r="O10217" t="str">
            <v>DHL Express - USA</v>
          </cell>
        </row>
        <row r="10218">
          <cell r="D10218">
            <v>40.32</v>
          </cell>
          <cell r="H10218">
            <v>45870</v>
          </cell>
          <cell r="I10218" t="str">
            <v>6375 - Freight Expenses</v>
          </cell>
          <cell r="J10218">
            <v>0</v>
          </cell>
          <cell r="K10218" t="str">
            <v>Production</v>
          </cell>
          <cell r="L10218" t="str">
            <v>Freight</v>
          </cell>
          <cell r="N10218" t="str">
            <v>Direct Costs</v>
          </cell>
          <cell r="O10218" t="str">
            <v>DHL Express - USA</v>
          </cell>
        </row>
        <row r="10219">
          <cell r="D10219">
            <v>17</v>
          </cell>
          <cell r="H10219">
            <v>45870</v>
          </cell>
          <cell r="I10219" t="str">
            <v>6375 - Freight Expenses</v>
          </cell>
          <cell r="J10219">
            <v>0</v>
          </cell>
          <cell r="K10219" t="str">
            <v>Production</v>
          </cell>
          <cell r="L10219" t="str">
            <v>Freight</v>
          </cell>
          <cell r="N10219" t="str">
            <v>Direct Costs</v>
          </cell>
          <cell r="O10219" t="str">
            <v>DHL Express - USA</v>
          </cell>
        </row>
        <row r="10220">
          <cell r="D10220">
            <v>1.31</v>
          </cell>
          <cell r="H10220">
            <v>45870</v>
          </cell>
          <cell r="I10220" t="str">
            <v>6375 - Freight Expenses</v>
          </cell>
          <cell r="J10220">
            <v>0</v>
          </cell>
          <cell r="K10220" t="str">
            <v>Production</v>
          </cell>
          <cell r="L10220" t="str">
            <v>Freight</v>
          </cell>
          <cell r="N10220" t="str">
            <v>Direct Costs</v>
          </cell>
          <cell r="O10220" t="str">
            <v>DHL Express - USA</v>
          </cell>
        </row>
        <row r="10221">
          <cell r="D10221">
            <v>20.49</v>
          </cell>
          <cell r="H10221">
            <v>45870</v>
          </cell>
          <cell r="I10221" t="str">
            <v>6375 - Freight Expenses</v>
          </cell>
          <cell r="J10221">
            <v>0</v>
          </cell>
          <cell r="K10221" t="str">
            <v>Production</v>
          </cell>
          <cell r="L10221" t="str">
            <v>Freight</v>
          </cell>
          <cell r="N10221" t="str">
            <v>Direct Costs</v>
          </cell>
          <cell r="O10221" t="str">
            <v>DHL Express - USA</v>
          </cell>
        </row>
        <row r="10222">
          <cell r="D10222">
            <v>22.66</v>
          </cell>
          <cell r="H10222">
            <v>45870</v>
          </cell>
          <cell r="I10222" t="str">
            <v>6375 - Freight Expenses</v>
          </cell>
          <cell r="J10222">
            <v>0</v>
          </cell>
          <cell r="K10222" t="str">
            <v>Production</v>
          </cell>
          <cell r="L10222" t="str">
            <v>Freight</v>
          </cell>
          <cell r="N10222" t="str">
            <v>Direct Costs</v>
          </cell>
          <cell r="O10222" t="str">
            <v>DHL Express - USA</v>
          </cell>
        </row>
        <row r="10223">
          <cell r="D10223">
            <v>15.3</v>
          </cell>
          <cell r="H10223">
            <v>45870</v>
          </cell>
          <cell r="I10223" t="str">
            <v>6375 - Freight Expenses</v>
          </cell>
          <cell r="J10223">
            <v>0</v>
          </cell>
          <cell r="K10223" t="str">
            <v>Production</v>
          </cell>
          <cell r="L10223" t="str">
            <v>Freight</v>
          </cell>
          <cell r="N10223" t="str">
            <v>Direct Costs</v>
          </cell>
          <cell r="O10223" t="str">
            <v>DHL Express - USA</v>
          </cell>
        </row>
        <row r="10224">
          <cell r="D10224">
            <v>17</v>
          </cell>
          <cell r="H10224">
            <v>45870</v>
          </cell>
          <cell r="I10224" t="str">
            <v>6375 - Freight Expenses</v>
          </cell>
          <cell r="J10224">
            <v>0</v>
          </cell>
          <cell r="K10224" t="str">
            <v>Production</v>
          </cell>
          <cell r="L10224" t="str">
            <v>Freight</v>
          </cell>
          <cell r="N10224" t="str">
            <v>Direct Costs</v>
          </cell>
          <cell r="O10224" t="str">
            <v>DHL Express - USA</v>
          </cell>
        </row>
        <row r="10225">
          <cell r="D10225">
            <v>1.31</v>
          </cell>
          <cell r="H10225">
            <v>45870</v>
          </cell>
          <cell r="I10225" t="str">
            <v>6375 - Freight Expenses</v>
          </cell>
          <cell r="J10225">
            <v>0</v>
          </cell>
          <cell r="K10225" t="str">
            <v>Production</v>
          </cell>
          <cell r="L10225" t="str">
            <v>Freight</v>
          </cell>
          <cell r="N10225" t="str">
            <v>Direct Costs</v>
          </cell>
          <cell r="O10225" t="str">
            <v>DHL Express - USA</v>
          </cell>
        </row>
        <row r="10226">
          <cell r="D10226">
            <v>28.21</v>
          </cell>
          <cell r="H10226">
            <v>45870</v>
          </cell>
          <cell r="I10226" t="str">
            <v>6375 - Freight Expenses</v>
          </cell>
          <cell r="J10226">
            <v>0</v>
          </cell>
          <cell r="K10226" t="str">
            <v>Production</v>
          </cell>
          <cell r="L10226" t="str">
            <v>Freight</v>
          </cell>
          <cell r="N10226" t="str">
            <v>Direct Costs</v>
          </cell>
          <cell r="O10226" t="str">
            <v>DHL Express - USA</v>
          </cell>
        </row>
        <row r="10227">
          <cell r="D10227">
            <v>26.37</v>
          </cell>
          <cell r="H10227">
            <v>45870</v>
          </cell>
          <cell r="I10227" t="str">
            <v>6375 - Freight Expenses</v>
          </cell>
          <cell r="J10227">
            <v>0</v>
          </cell>
          <cell r="K10227" t="str">
            <v>Production</v>
          </cell>
          <cell r="L10227" t="str">
            <v>Freight</v>
          </cell>
          <cell r="N10227" t="str">
            <v>Direct Costs</v>
          </cell>
          <cell r="O10227" t="str">
            <v>DHL Express - USA</v>
          </cell>
        </row>
        <row r="10228">
          <cell r="D10228">
            <v>2.08</v>
          </cell>
          <cell r="H10228">
            <v>45870</v>
          </cell>
          <cell r="I10228" t="str">
            <v>6375 - Freight Expenses</v>
          </cell>
          <cell r="J10228">
            <v>0</v>
          </cell>
          <cell r="K10228" t="str">
            <v>Production</v>
          </cell>
          <cell r="L10228" t="str">
            <v>Freight</v>
          </cell>
          <cell r="N10228" t="str">
            <v>Direct Costs</v>
          </cell>
          <cell r="O10228" t="str">
            <v>DHL Express - USA</v>
          </cell>
        </row>
        <row r="10229">
          <cell r="D10229">
            <v>17</v>
          </cell>
          <cell r="H10229">
            <v>45870</v>
          </cell>
          <cell r="I10229" t="str">
            <v>6375 - Freight Expenses</v>
          </cell>
          <cell r="J10229">
            <v>0</v>
          </cell>
          <cell r="K10229" t="str">
            <v>Production</v>
          </cell>
          <cell r="L10229" t="str">
            <v>Freight</v>
          </cell>
          <cell r="N10229" t="str">
            <v>Direct Costs</v>
          </cell>
          <cell r="O10229" t="str">
            <v>DHL Express - USA</v>
          </cell>
        </row>
        <row r="10230">
          <cell r="D10230">
            <v>1.31</v>
          </cell>
          <cell r="H10230">
            <v>45870</v>
          </cell>
          <cell r="I10230" t="str">
            <v>6375 - Freight Expenses</v>
          </cell>
          <cell r="J10230">
            <v>0</v>
          </cell>
          <cell r="K10230" t="str">
            <v>Production</v>
          </cell>
          <cell r="L10230" t="str">
            <v>Freight</v>
          </cell>
          <cell r="N10230" t="str">
            <v>Direct Costs</v>
          </cell>
          <cell r="O10230" t="str">
            <v>DHL Express - USA</v>
          </cell>
        </row>
        <row r="10231">
          <cell r="D10231">
            <v>0</v>
          </cell>
          <cell r="H10231">
            <v>45870</v>
          </cell>
          <cell r="I10231" t="str">
            <v>6375 - Freight Expenses</v>
          </cell>
          <cell r="J10231">
            <v>0</v>
          </cell>
          <cell r="K10231" t="str">
            <v>Production</v>
          </cell>
          <cell r="L10231" t="str">
            <v>Freight</v>
          </cell>
          <cell r="N10231" t="str">
            <v>Direct Costs</v>
          </cell>
          <cell r="O10231" t="str">
            <v>DHL Express - USA</v>
          </cell>
        </row>
        <row r="10232">
          <cell r="D10232">
            <v>18.59</v>
          </cell>
          <cell r="H10232">
            <v>45870</v>
          </cell>
          <cell r="I10232" t="str">
            <v>6375 - Freight Expenses</v>
          </cell>
          <cell r="J10232">
            <v>0</v>
          </cell>
          <cell r="K10232" t="str">
            <v>Production</v>
          </cell>
          <cell r="L10232" t="str">
            <v>Freight</v>
          </cell>
          <cell r="N10232" t="str">
            <v>Direct Costs</v>
          </cell>
          <cell r="O10232" t="str">
            <v>DHL Express - USA</v>
          </cell>
        </row>
        <row r="10233">
          <cell r="D10233">
            <v>37.57</v>
          </cell>
          <cell r="H10233">
            <v>45870</v>
          </cell>
          <cell r="I10233" t="str">
            <v>6375 - Freight Expenses</v>
          </cell>
          <cell r="J10233" t="str">
            <v>Ecommerce (US)</v>
          </cell>
          <cell r="K10233" t="str">
            <v>Ecommerce</v>
          </cell>
          <cell r="L10233" t="str">
            <v>Freight</v>
          </cell>
          <cell r="N10233" t="str">
            <v>Direct Costs</v>
          </cell>
          <cell r="O10233" t="str">
            <v>UPS Supply Chain Solutions Inc. (7F24A0)</v>
          </cell>
        </row>
        <row r="10234">
          <cell r="D10234">
            <v>-83.58</v>
          </cell>
          <cell r="H10234">
            <v>45870</v>
          </cell>
          <cell r="I10234" t="str">
            <v>6375 - Freight Expenses</v>
          </cell>
          <cell r="J10234" t="str">
            <v>Ecommerce (US)</v>
          </cell>
          <cell r="K10234" t="str">
            <v>Ecommerce</v>
          </cell>
          <cell r="L10234" t="str">
            <v>Freight</v>
          </cell>
          <cell r="N10234" t="str">
            <v>Direct Costs</v>
          </cell>
          <cell r="O10234" t="str">
            <v>UPS Supply Chain Solutions Inc. (7F24A0)</v>
          </cell>
        </row>
        <row r="10235">
          <cell r="D10235">
            <v>20.69</v>
          </cell>
          <cell r="H10235">
            <v>45870</v>
          </cell>
          <cell r="I10235" t="str">
            <v>6375 - Freight Expenses</v>
          </cell>
          <cell r="J10235">
            <v>0</v>
          </cell>
          <cell r="K10235" t="str">
            <v>Production</v>
          </cell>
          <cell r="L10235" t="str">
            <v>Freight</v>
          </cell>
          <cell r="N10235" t="str">
            <v>Direct Costs</v>
          </cell>
          <cell r="O10235" t="str">
            <v>DHL Express - USA</v>
          </cell>
        </row>
        <row r="10236">
          <cell r="D10236">
            <v>15.06</v>
          </cell>
          <cell r="H10236">
            <v>45870</v>
          </cell>
          <cell r="I10236" t="str">
            <v>6375 - Freight Expenses</v>
          </cell>
          <cell r="J10236">
            <v>0</v>
          </cell>
          <cell r="K10236" t="str">
            <v>Production</v>
          </cell>
          <cell r="L10236" t="str">
            <v>Freight</v>
          </cell>
          <cell r="N10236" t="str">
            <v>Direct Costs</v>
          </cell>
          <cell r="O10236" t="str">
            <v>DHL Express - USA</v>
          </cell>
        </row>
        <row r="10237">
          <cell r="D10237">
            <v>17</v>
          </cell>
          <cell r="H10237">
            <v>45870</v>
          </cell>
          <cell r="I10237" t="str">
            <v>6375 - Freight Expenses</v>
          </cell>
          <cell r="J10237">
            <v>0</v>
          </cell>
          <cell r="K10237" t="str">
            <v>Production</v>
          </cell>
          <cell r="L10237" t="str">
            <v>Freight</v>
          </cell>
          <cell r="N10237" t="str">
            <v>Direct Costs</v>
          </cell>
          <cell r="O10237" t="str">
            <v>DHL Express - USA</v>
          </cell>
        </row>
        <row r="10238">
          <cell r="D10238">
            <v>1.31</v>
          </cell>
          <cell r="H10238">
            <v>45870</v>
          </cell>
          <cell r="I10238" t="str">
            <v>6375 - Freight Expenses</v>
          </cell>
          <cell r="J10238">
            <v>0</v>
          </cell>
          <cell r="K10238" t="str">
            <v>Production</v>
          </cell>
          <cell r="L10238" t="str">
            <v>Freight</v>
          </cell>
          <cell r="N10238" t="str">
            <v>Direct Costs</v>
          </cell>
          <cell r="O10238" t="str">
            <v>DHL Express - USA</v>
          </cell>
        </row>
        <row r="10239">
          <cell r="D10239">
            <v>51.86</v>
          </cell>
          <cell r="H10239">
            <v>45870</v>
          </cell>
          <cell r="I10239" t="str">
            <v>6375 - Freight Expenses</v>
          </cell>
          <cell r="J10239">
            <v>0</v>
          </cell>
          <cell r="K10239" t="str">
            <v>Production</v>
          </cell>
          <cell r="L10239" t="str">
            <v>Freight</v>
          </cell>
          <cell r="N10239" t="str">
            <v>Direct Costs</v>
          </cell>
          <cell r="O10239" t="str">
            <v>DHL Express - USA</v>
          </cell>
        </row>
        <row r="10240">
          <cell r="D10240">
            <v>25.45</v>
          </cell>
          <cell r="H10240">
            <v>45870</v>
          </cell>
          <cell r="I10240" t="str">
            <v>6375 - Freight Expenses</v>
          </cell>
          <cell r="J10240">
            <v>0</v>
          </cell>
          <cell r="K10240" t="str">
            <v>Production</v>
          </cell>
          <cell r="L10240" t="str">
            <v>Freight</v>
          </cell>
          <cell r="N10240" t="str">
            <v>Direct Costs</v>
          </cell>
          <cell r="O10240" t="str">
            <v>DHL Express - USA</v>
          </cell>
        </row>
        <row r="10241">
          <cell r="D10241">
            <v>29.11</v>
          </cell>
          <cell r="H10241">
            <v>45870</v>
          </cell>
          <cell r="I10241" t="str">
            <v>6375 - Freight Expenses</v>
          </cell>
          <cell r="J10241">
            <v>0</v>
          </cell>
          <cell r="K10241" t="str">
            <v>Production</v>
          </cell>
          <cell r="L10241" t="str">
            <v>Freight</v>
          </cell>
          <cell r="N10241" t="str">
            <v>Direct Costs</v>
          </cell>
          <cell r="O10241" t="str">
            <v>DHL Express - USA</v>
          </cell>
        </row>
        <row r="10242">
          <cell r="D10242">
            <v>1121.71</v>
          </cell>
          <cell r="H10242">
            <v>45870</v>
          </cell>
          <cell r="I10242" t="str">
            <v>6375 - Freight Expenses</v>
          </cell>
          <cell r="J10242">
            <v>0</v>
          </cell>
          <cell r="K10242" t="str">
            <v>Production</v>
          </cell>
          <cell r="L10242" t="str">
            <v>Freight</v>
          </cell>
          <cell r="N10242" t="str">
            <v>Direct Costs</v>
          </cell>
          <cell r="O10242" t="str">
            <v>DHL Express - USA</v>
          </cell>
        </row>
        <row r="10243">
          <cell r="D10243">
            <v>20.99</v>
          </cell>
          <cell r="H10243">
            <v>45870</v>
          </cell>
          <cell r="I10243" t="str">
            <v>6375 - Freight Expenses</v>
          </cell>
          <cell r="J10243">
            <v>0</v>
          </cell>
          <cell r="K10243" t="str">
            <v>Production</v>
          </cell>
          <cell r="L10243" t="str">
            <v>Freight</v>
          </cell>
          <cell r="N10243" t="str">
            <v>Direct Costs</v>
          </cell>
          <cell r="O10243" t="str">
            <v>DHL Express - USA</v>
          </cell>
        </row>
        <row r="10244">
          <cell r="D10244">
            <v>812.49</v>
          </cell>
          <cell r="H10244">
            <v>45870</v>
          </cell>
          <cell r="I10244" t="str">
            <v>6375 - Freight Expenses</v>
          </cell>
          <cell r="J10244" t="str">
            <v>Ecommerce (US)</v>
          </cell>
          <cell r="K10244" t="str">
            <v>Ecommerce</v>
          </cell>
          <cell r="L10244" t="str">
            <v>Freight</v>
          </cell>
          <cell r="N10244" t="str">
            <v>Direct Costs</v>
          </cell>
          <cell r="O10244" t="str">
            <v>UPS Supply Chain Solutions Inc. (7F24A0)</v>
          </cell>
        </row>
        <row r="10245">
          <cell r="D10245">
            <v>48.08</v>
          </cell>
          <cell r="H10245">
            <v>45870</v>
          </cell>
          <cell r="I10245" t="str">
            <v>6375 - Freight Expenses</v>
          </cell>
          <cell r="J10245" t="str">
            <v>Ecommerce (US)</v>
          </cell>
          <cell r="K10245" t="str">
            <v>Ecommerce</v>
          </cell>
          <cell r="L10245" t="str">
            <v>Freight</v>
          </cell>
          <cell r="N10245" t="str">
            <v>Direct Costs</v>
          </cell>
          <cell r="O10245" t="str">
            <v>UPS Supply Chain Solutions Inc. (7F24A0)</v>
          </cell>
        </row>
        <row r="10246">
          <cell r="D10246">
            <v>-71.58</v>
          </cell>
          <cell r="H10246">
            <v>45870</v>
          </cell>
          <cell r="I10246" t="str">
            <v>6375 - Freight Expenses</v>
          </cell>
          <cell r="J10246" t="str">
            <v>Ecommerce (US)</v>
          </cell>
          <cell r="K10246" t="str">
            <v>Ecommerce</v>
          </cell>
          <cell r="L10246" t="str">
            <v>Freight</v>
          </cell>
          <cell r="N10246" t="str">
            <v>Direct Costs</v>
          </cell>
          <cell r="O10246" t="str">
            <v>UPS Supply Chain Solutions Inc. (7F24A0)</v>
          </cell>
        </row>
        <row r="10247">
          <cell r="D10247">
            <v>7.87</v>
          </cell>
          <cell r="H10247">
            <v>45870</v>
          </cell>
          <cell r="I10247" t="str">
            <v>6375 - Freight Expenses</v>
          </cell>
          <cell r="J10247">
            <v>0</v>
          </cell>
          <cell r="K10247" t="str">
            <v>Production</v>
          </cell>
          <cell r="L10247" t="str">
            <v>Freight</v>
          </cell>
          <cell r="N10247" t="str">
            <v>Direct Costs</v>
          </cell>
          <cell r="O10247" t="str">
            <v>Federal Express</v>
          </cell>
        </row>
        <row r="10248">
          <cell r="D10248">
            <v>63.72</v>
          </cell>
          <cell r="H10248">
            <v>45870</v>
          </cell>
          <cell r="I10248" t="str">
            <v>6375 - Freight Expenses</v>
          </cell>
          <cell r="J10248" t="str">
            <v>Ecommerce (US)</v>
          </cell>
          <cell r="K10248" t="str">
            <v>Ecommerce</v>
          </cell>
          <cell r="L10248" t="str">
            <v>Freight</v>
          </cell>
          <cell r="N10248" t="str">
            <v>Direct Costs</v>
          </cell>
          <cell r="O10248" t="str">
            <v>UPS Supply Chain Solutions Inc. (7F24A0)</v>
          </cell>
        </row>
        <row r="10249">
          <cell r="D10249">
            <v>28751.34</v>
          </cell>
          <cell r="H10249">
            <v>45870</v>
          </cell>
          <cell r="I10249" t="str">
            <v>6375 - Freight Expenses</v>
          </cell>
          <cell r="J10249" t="str">
            <v>Ecommerce (US)</v>
          </cell>
          <cell r="K10249" t="str">
            <v>Ecommerce</v>
          </cell>
          <cell r="L10249" t="str">
            <v>Freight</v>
          </cell>
          <cell r="N10249" t="str">
            <v>Direct Costs</v>
          </cell>
          <cell r="O10249" t="str">
            <v>UPS Supply Chain Solutions Inc. (7F24A0)</v>
          </cell>
        </row>
        <row r="10250">
          <cell r="D10250">
            <v>388.99</v>
          </cell>
          <cell r="H10250">
            <v>45870</v>
          </cell>
          <cell r="I10250" t="str">
            <v>6375 - Freight Expenses</v>
          </cell>
          <cell r="J10250" t="str">
            <v>Wholesale</v>
          </cell>
          <cell r="K10250" t="str">
            <v>Wholesale</v>
          </cell>
          <cell r="L10250" t="str">
            <v>Freight</v>
          </cell>
          <cell r="N10250" t="str">
            <v>Direct Costs</v>
          </cell>
          <cell r="O10250" t="str">
            <v>UPS Supply Chain Solutions Inc. (7F24A0)</v>
          </cell>
        </row>
        <row r="10251">
          <cell r="D10251">
            <v>0.37</v>
          </cell>
          <cell r="H10251">
            <v>45870</v>
          </cell>
          <cell r="I10251" t="str">
            <v>6375 - Freight Expenses</v>
          </cell>
          <cell r="J10251">
            <v>0</v>
          </cell>
          <cell r="K10251" t="str">
            <v>Production</v>
          </cell>
          <cell r="L10251" t="str">
            <v>Freight</v>
          </cell>
          <cell r="N10251" t="str">
            <v>Direct Costs</v>
          </cell>
          <cell r="O10251" t="str">
            <v>Federal Express</v>
          </cell>
        </row>
        <row r="10252">
          <cell r="D10252">
            <v>41.3</v>
          </cell>
          <cell r="H10252">
            <v>45870</v>
          </cell>
          <cell r="I10252" t="str">
            <v>6375 - Freight Expenses</v>
          </cell>
          <cell r="J10252" t="str">
            <v>Ecommerce (US)</v>
          </cell>
          <cell r="K10252" t="str">
            <v>Ecommerce</v>
          </cell>
          <cell r="L10252" t="str">
            <v>Freight</v>
          </cell>
          <cell r="N10252" t="str">
            <v>Direct Costs</v>
          </cell>
          <cell r="O10252" t="str">
            <v>UPS Supply Chain Solutions Inc. (7F24A0)</v>
          </cell>
        </row>
        <row r="10253">
          <cell r="D10253">
            <v>26.88</v>
          </cell>
          <cell r="H10253">
            <v>45870</v>
          </cell>
          <cell r="I10253" t="str">
            <v>6375 - Freight Expenses</v>
          </cell>
          <cell r="J10253">
            <v>0</v>
          </cell>
          <cell r="K10253" t="str">
            <v>Production</v>
          </cell>
          <cell r="L10253" t="str">
            <v>Freight</v>
          </cell>
          <cell r="N10253" t="str">
            <v>Direct Costs</v>
          </cell>
          <cell r="O10253" t="str">
            <v>DHL Express - USA</v>
          </cell>
        </row>
        <row r="10254">
          <cell r="D10254">
            <v>17</v>
          </cell>
          <cell r="H10254">
            <v>45870</v>
          </cell>
          <cell r="I10254" t="str">
            <v>6375 - Freight Expenses</v>
          </cell>
          <cell r="J10254">
            <v>0</v>
          </cell>
          <cell r="K10254" t="str">
            <v>Production</v>
          </cell>
          <cell r="L10254" t="str">
            <v>Freight</v>
          </cell>
          <cell r="N10254" t="str">
            <v>Direct Costs</v>
          </cell>
          <cell r="O10254" t="str">
            <v>DHL Express - USA</v>
          </cell>
        </row>
        <row r="10255">
          <cell r="D10255">
            <v>1.31</v>
          </cell>
          <cell r="H10255">
            <v>45870</v>
          </cell>
          <cell r="I10255" t="str">
            <v>6375 - Freight Expenses</v>
          </cell>
          <cell r="J10255">
            <v>0</v>
          </cell>
          <cell r="K10255" t="str">
            <v>Production</v>
          </cell>
          <cell r="L10255" t="str">
            <v>Freight</v>
          </cell>
          <cell r="N10255" t="str">
            <v>Direct Costs</v>
          </cell>
          <cell r="O10255" t="str">
            <v>DHL Express - USA</v>
          </cell>
        </row>
        <row r="10256">
          <cell r="D10256">
            <v>16.2</v>
          </cell>
          <cell r="H10256">
            <v>45870</v>
          </cell>
          <cell r="I10256" t="str">
            <v>6375 - Freight Expenses</v>
          </cell>
          <cell r="J10256">
            <v>0</v>
          </cell>
          <cell r="K10256" t="str">
            <v>Production</v>
          </cell>
          <cell r="L10256" t="str">
            <v>Freight</v>
          </cell>
          <cell r="N10256" t="str">
            <v>Direct Costs</v>
          </cell>
          <cell r="O10256" t="str">
            <v>DHL Express - USA</v>
          </cell>
        </row>
        <row r="10257">
          <cell r="D10257">
            <v>17</v>
          </cell>
          <cell r="H10257">
            <v>45870</v>
          </cell>
          <cell r="I10257" t="str">
            <v>6375 - Freight Expenses</v>
          </cell>
          <cell r="J10257">
            <v>0</v>
          </cell>
          <cell r="K10257" t="str">
            <v>Production</v>
          </cell>
          <cell r="L10257" t="str">
            <v>Freight</v>
          </cell>
          <cell r="N10257" t="str">
            <v>Direct Costs</v>
          </cell>
          <cell r="O10257" t="str">
            <v>DHL Express - USA</v>
          </cell>
        </row>
        <row r="10258">
          <cell r="D10258">
            <v>1.31</v>
          </cell>
          <cell r="H10258">
            <v>45870</v>
          </cell>
          <cell r="I10258" t="str">
            <v>6375 - Freight Expenses</v>
          </cell>
          <cell r="J10258">
            <v>0</v>
          </cell>
          <cell r="K10258" t="str">
            <v>Production</v>
          </cell>
          <cell r="L10258" t="str">
            <v>Freight</v>
          </cell>
          <cell r="N10258" t="str">
            <v>Direct Costs</v>
          </cell>
          <cell r="O10258" t="str">
            <v>DHL Express - USA</v>
          </cell>
        </row>
        <row r="10259">
          <cell r="D10259">
            <v>17.920000000000002</v>
          </cell>
          <cell r="H10259">
            <v>45870</v>
          </cell>
          <cell r="I10259" t="str">
            <v>6375 - Freight Expenses</v>
          </cell>
          <cell r="J10259">
            <v>0</v>
          </cell>
          <cell r="K10259" t="str">
            <v>Production</v>
          </cell>
          <cell r="L10259" t="str">
            <v>Freight</v>
          </cell>
          <cell r="N10259" t="str">
            <v>Direct Costs</v>
          </cell>
          <cell r="O10259" t="str">
            <v>DHL Express - USA</v>
          </cell>
        </row>
        <row r="10260">
          <cell r="D10260">
            <v>17</v>
          </cell>
          <cell r="H10260">
            <v>45870</v>
          </cell>
          <cell r="I10260" t="str">
            <v>6375 - Freight Expenses</v>
          </cell>
          <cell r="J10260">
            <v>0</v>
          </cell>
          <cell r="K10260" t="str">
            <v>Production</v>
          </cell>
          <cell r="L10260" t="str">
            <v>Freight</v>
          </cell>
          <cell r="N10260" t="str">
            <v>Direct Costs</v>
          </cell>
          <cell r="O10260" t="str">
            <v>DHL Express - USA</v>
          </cell>
        </row>
        <row r="10261">
          <cell r="D10261">
            <v>1.31</v>
          </cell>
          <cell r="H10261">
            <v>45870</v>
          </cell>
          <cell r="I10261" t="str">
            <v>6375 - Freight Expenses</v>
          </cell>
          <cell r="J10261">
            <v>0</v>
          </cell>
          <cell r="K10261" t="str">
            <v>Production</v>
          </cell>
          <cell r="L10261" t="str">
            <v>Freight</v>
          </cell>
          <cell r="N10261" t="str">
            <v>Direct Costs</v>
          </cell>
          <cell r="O10261" t="str">
            <v>DHL Express - USA</v>
          </cell>
        </row>
        <row r="10262">
          <cell r="D10262">
            <v>1.5</v>
          </cell>
          <cell r="H10262">
            <v>45870</v>
          </cell>
          <cell r="I10262" t="str">
            <v>6375 - Freight Expenses</v>
          </cell>
          <cell r="J10262">
            <v>0</v>
          </cell>
          <cell r="K10262" t="str">
            <v>Production</v>
          </cell>
          <cell r="L10262" t="str">
            <v>Freight</v>
          </cell>
          <cell r="N10262" t="str">
            <v>Direct Costs</v>
          </cell>
          <cell r="O10262" t="str">
            <v>Federal Express</v>
          </cell>
        </row>
        <row r="10263">
          <cell r="D10263">
            <v>4.2</v>
          </cell>
          <cell r="H10263">
            <v>45870</v>
          </cell>
          <cell r="I10263" t="str">
            <v>6375 - Freight Expenses</v>
          </cell>
          <cell r="J10263">
            <v>0</v>
          </cell>
          <cell r="K10263" t="str">
            <v>Production</v>
          </cell>
          <cell r="L10263" t="str">
            <v>Freight</v>
          </cell>
          <cell r="N10263" t="str">
            <v>Direct Costs</v>
          </cell>
          <cell r="O10263" t="str">
            <v>Federal Express</v>
          </cell>
        </row>
        <row r="10264">
          <cell r="D10264">
            <v>19.64</v>
          </cell>
          <cell r="H10264">
            <v>45870</v>
          </cell>
          <cell r="I10264" t="str">
            <v>6375 - Freight Expenses</v>
          </cell>
          <cell r="J10264">
            <v>0</v>
          </cell>
          <cell r="K10264" t="str">
            <v>Production</v>
          </cell>
          <cell r="L10264" t="str">
            <v>Freight</v>
          </cell>
          <cell r="N10264" t="str">
            <v>Direct Costs</v>
          </cell>
          <cell r="O10264" t="str">
            <v>Federal Express</v>
          </cell>
        </row>
        <row r="10265">
          <cell r="D10265">
            <v>-51.03</v>
          </cell>
          <cell r="H10265">
            <v>45870</v>
          </cell>
          <cell r="I10265" t="str">
            <v>6375 - Freight Expenses</v>
          </cell>
          <cell r="J10265">
            <v>0</v>
          </cell>
          <cell r="K10265" t="str">
            <v>Production</v>
          </cell>
          <cell r="L10265" t="str">
            <v>Freight</v>
          </cell>
          <cell r="N10265" t="str">
            <v>Direct Costs</v>
          </cell>
          <cell r="O10265" t="str">
            <v>Federal Express</v>
          </cell>
        </row>
        <row r="10266">
          <cell r="D10266">
            <v>113.4</v>
          </cell>
          <cell r="H10266">
            <v>45870</v>
          </cell>
          <cell r="I10266" t="str">
            <v>6375 - Freight Expenses</v>
          </cell>
          <cell r="J10266">
            <v>0</v>
          </cell>
          <cell r="K10266" t="str">
            <v>Production</v>
          </cell>
          <cell r="L10266" t="str">
            <v>Freight</v>
          </cell>
          <cell r="N10266" t="str">
            <v>Direct Costs</v>
          </cell>
          <cell r="O10266" t="str">
            <v>Federal Express</v>
          </cell>
        </row>
        <row r="10267">
          <cell r="D10267">
            <v>1.5</v>
          </cell>
          <cell r="H10267">
            <v>45870</v>
          </cell>
          <cell r="I10267" t="str">
            <v>6375 - Freight Expenses</v>
          </cell>
          <cell r="J10267">
            <v>0</v>
          </cell>
          <cell r="K10267" t="str">
            <v>Production</v>
          </cell>
          <cell r="L10267" t="str">
            <v>Freight</v>
          </cell>
          <cell r="N10267" t="str">
            <v>Direct Costs</v>
          </cell>
          <cell r="O10267" t="str">
            <v>Federal Express</v>
          </cell>
        </row>
        <row r="10268">
          <cell r="D10268">
            <v>4.2</v>
          </cell>
          <cell r="H10268">
            <v>45870</v>
          </cell>
          <cell r="I10268" t="str">
            <v>6375 - Freight Expenses</v>
          </cell>
          <cell r="J10268">
            <v>0</v>
          </cell>
          <cell r="K10268" t="str">
            <v>Production</v>
          </cell>
          <cell r="L10268" t="str">
            <v>Freight</v>
          </cell>
          <cell r="N10268" t="str">
            <v>Direct Costs</v>
          </cell>
          <cell r="O10268" t="str">
            <v>Federal Express</v>
          </cell>
        </row>
        <row r="10269">
          <cell r="D10269">
            <v>16.059999999999999</v>
          </cell>
          <cell r="H10269">
            <v>45870</v>
          </cell>
          <cell r="I10269" t="str">
            <v>6375 - Freight Expenses</v>
          </cell>
          <cell r="J10269">
            <v>0</v>
          </cell>
          <cell r="K10269" t="str">
            <v>Production</v>
          </cell>
          <cell r="L10269" t="str">
            <v>Freight</v>
          </cell>
          <cell r="N10269" t="str">
            <v>Direct Costs</v>
          </cell>
          <cell r="O10269" t="str">
            <v>Federal Express</v>
          </cell>
        </row>
        <row r="10270">
          <cell r="D10270">
            <v>-41.49</v>
          </cell>
          <cell r="H10270">
            <v>45870</v>
          </cell>
          <cell r="I10270" t="str">
            <v>6375 - Freight Expenses</v>
          </cell>
          <cell r="J10270">
            <v>0</v>
          </cell>
          <cell r="K10270" t="str">
            <v>Production</v>
          </cell>
          <cell r="L10270" t="str">
            <v>Freight</v>
          </cell>
          <cell r="N10270" t="str">
            <v>Direct Costs</v>
          </cell>
          <cell r="O10270" t="str">
            <v>Federal Express</v>
          </cell>
        </row>
        <row r="10271">
          <cell r="D10271">
            <v>92.2</v>
          </cell>
          <cell r="H10271">
            <v>45870</v>
          </cell>
          <cell r="I10271" t="str">
            <v>6375 - Freight Expenses</v>
          </cell>
          <cell r="J10271">
            <v>0</v>
          </cell>
          <cell r="K10271" t="str">
            <v>Production</v>
          </cell>
          <cell r="L10271" t="str">
            <v>Freight</v>
          </cell>
          <cell r="N10271" t="str">
            <v>Direct Costs</v>
          </cell>
          <cell r="O10271" t="str">
            <v>Federal Express</v>
          </cell>
        </row>
        <row r="10272">
          <cell r="D10272">
            <v>1.5</v>
          </cell>
          <cell r="H10272">
            <v>45870</v>
          </cell>
          <cell r="I10272" t="str">
            <v>6375 - Freight Expenses</v>
          </cell>
          <cell r="J10272">
            <v>0</v>
          </cell>
          <cell r="K10272" t="str">
            <v>Production</v>
          </cell>
          <cell r="L10272" t="str">
            <v>Freight</v>
          </cell>
          <cell r="N10272" t="str">
            <v>Direct Costs</v>
          </cell>
          <cell r="O10272" t="str">
            <v>Federal Express</v>
          </cell>
        </row>
        <row r="10273">
          <cell r="D10273">
            <v>4.2</v>
          </cell>
          <cell r="H10273">
            <v>45870</v>
          </cell>
          <cell r="I10273" t="str">
            <v>6375 - Freight Expenses</v>
          </cell>
          <cell r="J10273">
            <v>0</v>
          </cell>
          <cell r="K10273" t="str">
            <v>Production</v>
          </cell>
          <cell r="L10273" t="str">
            <v>Freight</v>
          </cell>
          <cell r="N10273" t="str">
            <v>Direct Costs</v>
          </cell>
          <cell r="O10273" t="str">
            <v>Federal Express</v>
          </cell>
        </row>
        <row r="10274">
          <cell r="D10274">
            <v>20.16</v>
          </cell>
          <cell r="H10274">
            <v>45870</v>
          </cell>
          <cell r="I10274" t="str">
            <v>6375 - Freight Expenses</v>
          </cell>
          <cell r="J10274">
            <v>0</v>
          </cell>
          <cell r="K10274" t="str">
            <v>Production</v>
          </cell>
          <cell r="L10274" t="str">
            <v>Freight</v>
          </cell>
          <cell r="N10274" t="str">
            <v>Direct Costs</v>
          </cell>
          <cell r="O10274" t="str">
            <v>Federal Express</v>
          </cell>
        </row>
        <row r="10275">
          <cell r="D10275">
            <v>-52.97</v>
          </cell>
          <cell r="H10275">
            <v>45870</v>
          </cell>
          <cell r="I10275" t="str">
            <v>6375 - Freight Expenses</v>
          </cell>
          <cell r="J10275">
            <v>0</v>
          </cell>
          <cell r="K10275" t="str">
            <v>Production</v>
          </cell>
          <cell r="L10275" t="str">
            <v>Freight</v>
          </cell>
          <cell r="N10275" t="str">
            <v>Direct Costs</v>
          </cell>
          <cell r="O10275" t="str">
            <v>Federal Express</v>
          </cell>
        </row>
        <row r="10276">
          <cell r="D10276">
            <v>117.7</v>
          </cell>
          <cell r="H10276">
            <v>45870</v>
          </cell>
          <cell r="I10276" t="str">
            <v>6375 - Freight Expenses</v>
          </cell>
          <cell r="J10276">
            <v>0</v>
          </cell>
          <cell r="K10276" t="str">
            <v>Production</v>
          </cell>
          <cell r="L10276" t="str">
            <v>Freight</v>
          </cell>
          <cell r="N10276" t="str">
            <v>Direct Costs</v>
          </cell>
          <cell r="O10276" t="str">
            <v>Federal Express</v>
          </cell>
        </row>
        <row r="10277">
          <cell r="D10277">
            <v>6.26</v>
          </cell>
          <cell r="H10277">
            <v>45870</v>
          </cell>
          <cell r="I10277" t="str">
            <v>6375 - Freight Expenses</v>
          </cell>
          <cell r="J10277">
            <v>0</v>
          </cell>
          <cell r="K10277" t="str">
            <v>Production</v>
          </cell>
          <cell r="L10277" t="str">
            <v>Freight</v>
          </cell>
          <cell r="N10277" t="str">
            <v>Direct Costs</v>
          </cell>
          <cell r="O10277" t="str">
            <v>DHL Express - USA</v>
          </cell>
        </row>
        <row r="10278">
          <cell r="D10278">
            <v>17</v>
          </cell>
          <cell r="H10278">
            <v>45870</v>
          </cell>
          <cell r="I10278" t="str">
            <v>6375 - Freight Expenses</v>
          </cell>
          <cell r="J10278">
            <v>0</v>
          </cell>
          <cell r="K10278" t="str">
            <v>Production</v>
          </cell>
          <cell r="L10278" t="str">
            <v>Freight</v>
          </cell>
          <cell r="N10278" t="str">
            <v>Direct Costs</v>
          </cell>
          <cell r="O10278" t="str">
            <v>DHL Express - USA</v>
          </cell>
        </row>
        <row r="10279">
          <cell r="D10279">
            <v>1.31</v>
          </cell>
          <cell r="H10279">
            <v>45870</v>
          </cell>
          <cell r="I10279" t="str">
            <v>6375 - Freight Expenses</v>
          </cell>
          <cell r="J10279">
            <v>0</v>
          </cell>
          <cell r="K10279" t="str">
            <v>Production</v>
          </cell>
          <cell r="L10279" t="str">
            <v>Freight</v>
          </cell>
          <cell r="N10279" t="str">
            <v>Direct Costs</v>
          </cell>
          <cell r="O10279" t="str">
            <v>DHL Express - USA</v>
          </cell>
        </row>
        <row r="10280">
          <cell r="D10280">
            <v>6.95</v>
          </cell>
          <cell r="H10280">
            <v>45870</v>
          </cell>
          <cell r="I10280" t="str">
            <v>6375 - Freight Expenses</v>
          </cell>
          <cell r="J10280">
            <v>0</v>
          </cell>
          <cell r="K10280" t="str">
            <v>Production</v>
          </cell>
          <cell r="L10280" t="str">
            <v>Freight</v>
          </cell>
          <cell r="N10280" t="str">
            <v>Direct Costs</v>
          </cell>
          <cell r="O10280" t="str">
            <v>DHL Express - USA</v>
          </cell>
        </row>
        <row r="10281">
          <cell r="D10281">
            <v>17</v>
          </cell>
          <cell r="H10281">
            <v>45870</v>
          </cell>
          <cell r="I10281" t="str">
            <v>6375 - Freight Expenses</v>
          </cell>
          <cell r="J10281">
            <v>0</v>
          </cell>
          <cell r="K10281" t="str">
            <v>Production</v>
          </cell>
          <cell r="L10281" t="str">
            <v>Freight</v>
          </cell>
          <cell r="N10281" t="str">
            <v>Direct Costs</v>
          </cell>
          <cell r="O10281" t="str">
            <v>DHL Express - USA</v>
          </cell>
        </row>
        <row r="10282">
          <cell r="D10282">
            <v>1.31</v>
          </cell>
          <cell r="H10282">
            <v>45870</v>
          </cell>
          <cell r="I10282" t="str">
            <v>6375 - Freight Expenses</v>
          </cell>
          <cell r="J10282">
            <v>0</v>
          </cell>
          <cell r="K10282" t="str">
            <v>Production</v>
          </cell>
          <cell r="L10282" t="str">
            <v>Freight</v>
          </cell>
          <cell r="N10282" t="str">
            <v>Direct Costs</v>
          </cell>
          <cell r="O10282" t="str">
            <v>DHL Express - USA</v>
          </cell>
        </row>
        <row r="10283">
          <cell r="D10283">
            <v>196.21</v>
          </cell>
          <cell r="H10283">
            <v>45870</v>
          </cell>
          <cell r="I10283" t="str">
            <v>6375 - Freight Expenses</v>
          </cell>
          <cell r="J10283" t="str">
            <v>Ecommerce (US)</v>
          </cell>
          <cell r="K10283" t="str">
            <v>Ecommerce</v>
          </cell>
          <cell r="L10283" t="str">
            <v>Freight</v>
          </cell>
          <cell r="N10283" t="str">
            <v>Direct Costs</v>
          </cell>
          <cell r="O10283" t="str">
            <v>UPS Supply Chain Solutions Inc. (7F24A0)</v>
          </cell>
        </row>
        <row r="10284">
          <cell r="D10284">
            <v>-45.7</v>
          </cell>
          <cell r="H10284">
            <v>45870</v>
          </cell>
          <cell r="I10284" t="str">
            <v>6375 - Freight Expenses</v>
          </cell>
          <cell r="J10284" t="str">
            <v>Ecommerce (US)</v>
          </cell>
          <cell r="K10284" t="str">
            <v>Ecommerce</v>
          </cell>
          <cell r="L10284" t="str">
            <v>Freight</v>
          </cell>
          <cell r="N10284" t="str">
            <v>Direct Costs</v>
          </cell>
          <cell r="O10284" t="str">
            <v>UPS Supply Chain Solutions Inc. (7F24A0)</v>
          </cell>
        </row>
        <row r="10285">
          <cell r="D10285">
            <v>16.2</v>
          </cell>
          <cell r="H10285">
            <v>45870</v>
          </cell>
          <cell r="I10285" t="str">
            <v>6375 - Freight Expenses</v>
          </cell>
          <cell r="J10285">
            <v>0</v>
          </cell>
          <cell r="K10285" t="str">
            <v>Production</v>
          </cell>
          <cell r="L10285" t="str">
            <v>Freight</v>
          </cell>
          <cell r="N10285" t="str">
            <v>Direct Costs</v>
          </cell>
          <cell r="O10285" t="str">
            <v>DHL Express - USA</v>
          </cell>
        </row>
        <row r="10286">
          <cell r="D10286">
            <v>17</v>
          </cell>
          <cell r="H10286">
            <v>45870</v>
          </cell>
          <cell r="I10286" t="str">
            <v>6375 - Freight Expenses</v>
          </cell>
          <cell r="J10286">
            <v>0</v>
          </cell>
          <cell r="K10286" t="str">
            <v>Production</v>
          </cell>
          <cell r="L10286" t="str">
            <v>Freight</v>
          </cell>
          <cell r="N10286" t="str">
            <v>Direct Costs</v>
          </cell>
          <cell r="O10286" t="str">
            <v>DHL Express - USA</v>
          </cell>
        </row>
        <row r="10287">
          <cell r="D10287">
            <v>1.31</v>
          </cell>
          <cell r="H10287">
            <v>45870</v>
          </cell>
          <cell r="I10287" t="str">
            <v>6375 - Freight Expenses</v>
          </cell>
          <cell r="J10287">
            <v>0</v>
          </cell>
          <cell r="K10287" t="str">
            <v>Production</v>
          </cell>
          <cell r="L10287" t="str">
            <v>Freight</v>
          </cell>
          <cell r="N10287" t="str">
            <v>Direct Costs</v>
          </cell>
          <cell r="O10287" t="str">
            <v>DHL Express - USA</v>
          </cell>
        </row>
        <row r="10288">
          <cell r="D10288">
            <v>551.27</v>
          </cell>
          <cell r="H10288">
            <v>45870</v>
          </cell>
          <cell r="I10288" t="str">
            <v>6375 - Freight Expenses</v>
          </cell>
          <cell r="J10288">
            <v>0</v>
          </cell>
          <cell r="K10288" t="str">
            <v>Production</v>
          </cell>
          <cell r="L10288" t="str">
            <v>Freight</v>
          </cell>
          <cell r="N10288" t="str">
            <v>Direct Costs</v>
          </cell>
          <cell r="O10288" t="str">
            <v>DHL Express - USA</v>
          </cell>
        </row>
        <row r="10289">
          <cell r="D10289">
            <v>1572.61</v>
          </cell>
          <cell r="H10289">
            <v>45870</v>
          </cell>
          <cell r="I10289" t="str">
            <v>6375 - Freight Expenses</v>
          </cell>
          <cell r="J10289" t="str">
            <v>Ecommerce (US)</v>
          </cell>
          <cell r="K10289" t="str">
            <v>Ecommerce</v>
          </cell>
          <cell r="L10289" t="str">
            <v>Freight</v>
          </cell>
          <cell r="N10289" t="str">
            <v>Direct Costs</v>
          </cell>
          <cell r="O10289" t="str">
            <v>UPS Supply Chain Solutions Inc. (7F24A0)</v>
          </cell>
        </row>
        <row r="10290">
          <cell r="D10290">
            <v>23.67</v>
          </cell>
          <cell r="H10290">
            <v>45870</v>
          </cell>
          <cell r="I10290" t="str">
            <v>6375 - Freight Expenses</v>
          </cell>
          <cell r="J10290">
            <v>0</v>
          </cell>
          <cell r="K10290" t="str">
            <v>Production</v>
          </cell>
          <cell r="L10290" t="str">
            <v>Freight</v>
          </cell>
          <cell r="N10290" t="str">
            <v>Direct Costs</v>
          </cell>
          <cell r="O10290" t="str">
            <v>DHL Express - USA</v>
          </cell>
        </row>
        <row r="10291">
          <cell r="D10291">
            <v>74.11</v>
          </cell>
          <cell r="H10291">
            <v>45870</v>
          </cell>
          <cell r="I10291" t="str">
            <v>6375 - Freight Expenses</v>
          </cell>
          <cell r="J10291">
            <v>0</v>
          </cell>
          <cell r="K10291" t="str">
            <v>Production</v>
          </cell>
          <cell r="L10291" t="str">
            <v>Freight</v>
          </cell>
          <cell r="N10291" t="str">
            <v>Direct Costs</v>
          </cell>
          <cell r="O10291" t="str">
            <v>DHL Express - USA</v>
          </cell>
        </row>
        <row r="10292">
          <cell r="D10292">
            <v>22.68</v>
          </cell>
          <cell r="H10292">
            <v>45870</v>
          </cell>
          <cell r="I10292" t="str">
            <v>6375 - Freight Expenses</v>
          </cell>
          <cell r="J10292">
            <v>0</v>
          </cell>
          <cell r="K10292" t="str">
            <v>Production</v>
          </cell>
          <cell r="L10292" t="str">
            <v>Freight</v>
          </cell>
          <cell r="N10292" t="str">
            <v>Direct Costs</v>
          </cell>
          <cell r="O10292" t="str">
            <v>DHL Express - USA</v>
          </cell>
        </row>
        <row r="10293">
          <cell r="D10293">
            <v>279.41000000000003</v>
          </cell>
          <cell r="H10293">
            <v>45870</v>
          </cell>
          <cell r="I10293" t="str">
            <v>6375 - Freight Expenses</v>
          </cell>
          <cell r="J10293" t="str">
            <v>Ecommerce (US)</v>
          </cell>
          <cell r="K10293" t="str">
            <v>Ecommerce</v>
          </cell>
          <cell r="L10293" t="str">
            <v>Freight</v>
          </cell>
          <cell r="N10293" t="str">
            <v>Direct Costs</v>
          </cell>
          <cell r="O10293" t="str">
            <v>UPS Supply Chain Solutions Inc. (7F24A0)</v>
          </cell>
        </row>
        <row r="10294">
          <cell r="D10294">
            <v>5.56</v>
          </cell>
          <cell r="H10294">
            <v>45870</v>
          </cell>
          <cell r="I10294" t="str">
            <v>6375 - Freight Expenses</v>
          </cell>
          <cell r="J10294">
            <v>0</v>
          </cell>
          <cell r="K10294" t="str">
            <v>Production</v>
          </cell>
          <cell r="L10294" t="str">
            <v>Freight</v>
          </cell>
          <cell r="N10294" t="str">
            <v>Direct Costs</v>
          </cell>
          <cell r="O10294" t="str">
            <v>DHL Express - USA</v>
          </cell>
        </row>
        <row r="10295">
          <cell r="D10295">
            <v>17</v>
          </cell>
          <cell r="H10295">
            <v>45870</v>
          </cell>
          <cell r="I10295" t="str">
            <v>6375 - Freight Expenses</v>
          </cell>
          <cell r="J10295">
            <v>0</v>
          </cell>
          <cell r="K10295" t="str">
            <v>Production</v>
          </cell>
          <cell r="L10295" t="str">
            <v>Freight</v>
          </cell>
          <cell r="N10295" t="str">
            <v>Direct Costs</v>
          </cell>
          <cell r="O10295" t="str">
            <v>DHL Express - USA</v>
          </cell>
        </row>
        <row r="10296">
          <cell r="D10296">
            <v>1.31</v>
          </cell>
          <cell r="H10296">
            <v>45870</v>
          </cell>
          <cell r="I10296" t="str">
            <v>6375 - Freight Expenses</v>
          </cell>
          <cell r="J10296">
            <v>0</v>
          </cell>
          <cell r="K10296" t="str">
            <v>Production</v>
          </cell>
          <cell r="L10296" t="str">
            <v>Freight</v>
          </cell>
          <cell r="N10296" t="str">
            <v>Direct Costs</v>
          </cell>
          <cell r="O10296" t="str">
            <v>DHL Express - USA</v>
          </cell>
        </row>
        <row r="10297">
          <cell r="D10297">
            <v>677.67</v>
          </cell>
          <cell r="H10297">
            <v>45870</v>
          </cell>
          <cell r="I10297" t="str">
            <v>6375 - Freight Expenses</v>
          </cell>
          <cell r="J10297" t="str">
            <v>Ecommerce (US)</v>
          </cell>
          <cell r="K10297" t="str">
            <v>Ecommerce</v>
          </cell>
          <cell r="L10297" t="str">
            <v>Freight</v>
          </cell>
          <cell r="N10297" t="str">
            <v>Direct Costs</v>
          </cell>
          <cell r="O10297" t="str">
            <v>UPS Supply Chain Solutions Inc. (7F24A0)</v>
          </cell>
        </row>
        <row r="10298">
          <cell r="D10298">
            <v>-7.87</v>
          </cell>
          <cell r="H10298">
            <v>45870</v>
          </cell>
          <cell r="I10298" t="str">
            <v>6375 - Freight Expenses</v>
          </cell>
          <cell r="J10298">
            <v>0</v>
          </cell>
          <cell r="K10298" t="str">
            <v>Production</v>
          </cell>
          <cell r="L10298" t="str">
            <v>Freight</v>
          </cell>
          <cell r="N10298" t="str">
            <v>Direct Costs</v>
          </cell>
          <cell r="O10298" t="str">
            <v>[No Vendor]</v>
          </cell>
        </row>
        <row r="10299">
          <cell r="D10299">
            <v>30609.83</v>
          </cell>
          <cell r="H10299">
            <v>45870</v>
          </cell>
          <cell r="I10299" t="str">
            <v>6375 - Freight Expenses</v>
          </cell>
          <cell r="J10299" t="str">
            <v>Ecommerce (US)</v>
          </cell>
          <cell r="K10299" t="str">
            <v>Ecommerce</v>
          </cell>
          <cell r="L10299" t="str">
            <v>Freight</v>
          </cell>
          <cell r="N10299" t="str">
            <v>Direct Costs</v>
          </cell>
          <cell r="O10299" t="str">
            <v>UPS Supply Chain Solutions Inc. (7F24A0)</v>
          </cell>
        </row>
        <row r="10300">
          <cell r="D10300">
            <v>518.82000000000005</v>
          </cell>
          <cell r="H10300">
            <v>45870</v>
          </cell>
          <cell r="I10300" t="str">
            <v>6375 - Freight Expenses</v>
          </cell>
          <cell r="J10300" t="str">
            <v>Wholesale</v>
          </cell>
          <cell r="K10300" t="str">
            <v>Wholesale</v>
          </cell>
          <cell r="L10300" t="str">
            <v>Freight</v>
          </cell>
          <cell r="N10300" t="str">
            <v>Direct Costs</v>
          </cell>
          <cell r="O10300" t="str">
            <v>UPS Supply Chain Solutions Inc. (7F24A0)</v>
          </cell>
        </row>
        <row r="10301">
          <cell r="D10301">
            <v>5.4</v>
          </cell>
          <cell r="H10301">
            <v>45870</v>
          </cell>
          <cell r="I10301" t="str">
            <v>6375 - Freight Expenses</v>
          </cell>
          <cell r="J10301">
            <v>0</v>
          </cell>
          <cell r="K10301" t="str">
            <v>Production</v>
          </cell>
          <cell r="L10301" t="str">
            <v>Freight</v>
          </cell>
          <cell r="N10301" t="str">
            <v>Direct Costs</v>
          </cell>
          <cell r="O10301" t="str">
            <v>DHL Express - USA</v>
          </cell>
        </row>
        <row r="10302">
          <cell r="D10302">
            <v>17</v>
          </cell>
          <cell r="H10302">
            <v>45870</v>
          </cell>
          <cell r="I10302" t="str">
            <v>6375 - Freight Expenses</v>
          </cell>
          <cell r="J10302">
            <v>0</v>
          </cell>
          <cell r="K10302" t="str">
            <v>Production</v>
          </cell>
          <cell r="L10302" t="str">
            <v>Freight</v>
          </cell>
          <cell r="N10302" t="str">
            <v>Direct Costs</v>
          </cell>
          <cell r="O10302" t="str">
            <v>DHL Express - USA</v>
          </cell>
        </row>
        <row r="10303">
          <cell r="D10303">
            <v>1.31</v>
          </cell>
          <cell r="H10303">
            <v>45870</v>
          </cell>
          <cell r="I10303" t="str">
            <v>6375 - Freight Expenses</v>
          </cell>
          <cell r="J10303">
            <v>0</v>
          </cell>
          <cell r="K10303" t="str">
            <v>Production</v>
          </cell>
          <cell r="L10303" t="str">
            <v>Freight</v>
          </cell>
          <cell r="N10303" t="str">
            <v>Direct Costs</v>
          </cell>
          <cell r="O10303" t="str">
            <v>DHL Express - USA</v>
          </cell>
        </row>
        <row r="10304">
          <cell r="D10304">
            <v>155.71</v>
          </cell>
          <cell r="H10304">
            <v>45870</v>
          </cell>
          <cell r="I10304" t="str">
            <v>6375 - Freight Expenses</v>
          </cell>
          <cell r="J10304">
            <v>0</v>
          </cell>
          <cell r="K10304" t="str">
            <v>Production</v>
          </cell>
          <cell r="L10304" t="str">
            <v>Freight</v>
          </cell>
          <cell r="N10304" t="str">
            <v>Direct Costs</v>
          </cell>
          <cell r="O10304" t="str">
            <v>Federal Express</v>
          </cell>
        </row>
        <row r="10305">
          <cell r="D10305">
            <v>8.93</v>
          </cell>
          <cell r="H10305">
            <v>45870</v>
          </cell>
          <cell r="I10305" t="str">
            <v>6375 - Freight Expenses</v>
          </cell>
          <cell r="J10305">
            <v>0</v>
          </cell>
          <cell r="K10305" t="str">
            <v>Production</v>
          </cell>
          <cell r="L10305" t="str">
            <v>Freight</v>
          </cell>
          <cell r="N10305" t="str">
            <v>Direct Costs</v>
          </cell>
          <cell r="O10305" t="str">
            <v>DHL Express - USA</v>
          </cell>
        </row>
        <row r="10306">
          <cell r="D10306">
            <v>17</v>
          </cell>
          <cell r="H10306">
            <v>45870</v>
          </cell>
          <cell r="I10306" t="str">
            <v>6375 - Freight Expenses</v>
          </cell>
          <cell r="J10306">
            <v>0</v>
          </cell>
          <cell r="K10306" t="str">
            <v>Production</v>
          </cell>
          <cell r="L10306" t="str">
            <v>Freight</v>
          </cell>
          <cell r="N10306" t="str">
            <v>Direct Costs</v>
          </cell>
          <cell r="O10306" t="str">
            <v>DHL Express - USA</v>
          </cell>
        </row>
        <row r="10307">
          <cell r="D10307">
            <v>1.31</v>
          </cell>
          <cell r="H10307">
            <v>45870</v>
          </cell>
          <cell r="I10307" t="str">
            <v>6375 - Freight Expenses</v>
          </cell>
          <cell r="J10307">
            <v>0</v>
          </cell>
          <cell r="K10307" t="str">
            <v>Production</v>
          </cell>
          <cell r="L10307" t="str">
            <v>Freight</v>
          </cell>
          <cell r="N10307" t="str">
            <v>Direct Costs</v>
          </cell>
          <cell r="O10307" t="str">
            <v>DHL Express - USA</v>
          </cell>
        </row>
        <row r="10308">
          <cell r="D10308">
            <v>6.2</v>
          </cell>
          <cell r="H10308">
            <v>45870</v>
          </cell>
          <cell r="I10308" t="str">
            <v>6375 - Freight Expenses</v>
          </cell>
          <cell r="J10308">
            <v>0</v>
          </cell>
          <cell r="K10308" t="str">
            <v>Production</v>
          </cell>
          <cell r="L10308" t="str">
            <v>Freight</v>
          </cell>
          <cell r="N10308" t="str">
            <v>Direct Costs</v>
          </cell>
          <cell r="O10308" t="str">
            <v>DHL Express - USA</v>
          </cell>
        </row>
        <row r="10309">
          <cell r="D10309">
            <v>17</v>
          </cell>
          <cell r="H10309">
            <v>45870</v>
          </cell>
          <cell r="I10309" t="str">
            <v>6375 - Freight Expenses</v>
          </cell>
          <cell r="J10309">
            <v>0</v>
          </cell>
          <cell r="K10309" t="str">
            <v>Production</v>
          </cell>
          <cell r="L10309" t="str">
            <v>Freight</v>
          </cell>
          <cell r="N10309" t="str">
            <v>Direct Costs</v>
          </cell>
          <cell r="O10309" t="str">
            <v>DHL Express - USA</v>
          </cell>
        </row>
        <row r="10310">
          <cell r="D10310">
            <v>1.31</v>
          </cell>
          <cell r="H10310">
            <v>45870</v>
          </cell>
          <cell r="I10310" t="str">
            <v>6375 - Freight Expenses</v>
          </cell>
          <cell r="J10310">
            <v>0</v>
          </cell>
          <cell r="K10310" t="str">
            <v>Production</v>
          </cell>
          <cell r="L10310" t="str">
            <v>Freight</v>
          </cell>
          <cell r="N10310" t="str">
            <v>Direct Costs</v>
          </cell>
          <cell r="O10310" t="str">
            <v>DHL Express - USA</v>
          </cell>
        </row>
        <row r="10311">
          <cell r="D10311">
            <v>39.82</v>
          </cell>
          <cell r="H10311">
            <v>45870</v>
          </cell>
          <cell r="I10311" t="str">
            <v>6375 - Freight Expenses</v>
          </cell>
          <cell r="J10311" t="str">
            <v>Ecommerce (US)</v>
          </cell>
          <cell r="K10311" t="str">
            <v>Ecommerce</v>
          </cell>
          <cell r="L10311" t="str">
            <v>Freight</v>
          </cell>
          <cell r="N10311" t="str">
            <v>Direct Costs</v>
          </cell>
          <cell r="O10311" t="str">
            <v>UPS Supply Chain Solutions Inc. (7F24A0)</v>
          </cell>
        </row>
        <row r="10312">
          <cell r="D10312">
            <v>413.76</v>
          </cell>
          <cell r="H10312">
            <v>45870</v>
          </cell>
          <cell r="I10312" t="str">
            <v>6375 - Freight Expenses</v>
          </cell>
          <cell r="J10312" t="str">
            <v>Ecommerce (US)</v>
          </cell>
          <cell r="K10312" t="str">
            <v>Ecommerce</v>
          </cell>
          <cell r="L10312" t="str">
            <v>Freight</v>
          </cell>
          <cell r="N10312" t="str">
            <v>Direct Costs</v>
          </cell>
          <cell r="O10312" t="str">
            <v>UPS Supply Chain Solutions Inc. (7F24A0)</v>
          </cell>
        </row>
        <row r="10313">
          <cell r="D10313">
            <v>12.91</v>
          </cell>
          <cell r="H10313">
            <v>45870</v>
          </cell>
          <cell r="I10313" t="str">
            <v>6375 - Freight Expenses</v>
          </cell>
          <cell r="J10313">
            <v>0</v>
          </cell>
          <cell r="K10313" t="str">
            <v>Production</v>
          </cell>
          <cell r="L10313" t="str">
            <v>Freight</v>
          </cell>
          <cell r="N10313" t="str">
            <v>Direct Costs</v>
          </cell>
          <cell r="O10313" t="str">
            <v>DHL Express - USA</v>
          </cell>
        </row>
        <row r="10314">
          <cell r="D10314">
            <v>0.24</v>
          </cell>
          <cell r="H10314">
            <v>45870</v>
          </cell>
          <cell r="I10314" t="str">
            <v>6375 - Freight Expenses</v>
          </cell>
          <cell r="J10314">
            <v>0</v>
          </cell>
          <cell r="K10314" t="str">
            <v>Production</v>
          </cell>
          <cell r="L10314" t="str">
            <v>Freight</v>
          </cell>
          <cell r="N10314" t="str">
            <v>Direct Costs</v>
          </cell>
          <cell r="O10314" t="str">
            <v>DHL Express - USA</v>
          </cell>
        </row>
        <row r="10315">
          <cell r="D10315">
            <v>4.4000000000000004</v>
          </cell>
          <cell r="H10315">
            <v>45870</v>
          </cell>
          <cell r="I10315" t="str">
            <v>6375 - Freight Expenses</v>
          </cell>
          <cell r="J10315">
            <v>0</v>
          </cell>
          <cell r="K10315" t="str">
            <v>Production</v>
          </cell>
          <cell r="L10315" t="str">
            <v>Freight</v>
          </cell>
          <cell r="N10315" t="str">
            <v>Direct Costs</v>
          </cell>
          <cell r="O10315" t="str">
            <v>DHL Express - USA</v>
          </cell>
        </row>
        <row r="10316">
          <cell r="D10316">
            <v>6</v>
          </cell>
          <cell r="H10316">
            <v>45870</v>
          </cell>
          <cell r="I10316" t="str">
            <v>6375 - Freight Expenses</v>
          </cell>
          <cell r="J10316">
            <v>0</v>
          </cell>
          <cell r="K10316" t="str">
            <v>Production</v>
          </cell>
          <cell r="L10316" t="str">
            <v>Freight</v>
          </cell>
          <cell r="N10316" t="str">
            <v>Direct Costs</v>
          </cell>
          <cell r="O10316" t="str">
            <v>DHL Express - USA</v>
          </cell>
        </row>
        <row r="10317">
          <cell r="D10317">
            <v>50.54</v>
          </cell>
          <cell r="H10317">
            <v>45870</v>
          </cell>
          <cell r="I10317" t="str">
            <v>6375 - Freight Expenses</v>
          </cell>
          <cell r="J10317">
            <v>0</v>
          </cell>
          <cell r="K10317" t="str">
            <v>Production</v>
          </cell>
          <cell r="L10317" t="str">
            <v>Freight</v>
          </cell>
          <cell r="N10317" t="str">
            <v>Direct Costs</v>
          </cell>
          <cell r="O10317" t="str">
            <v>DHL Express - USA</v>
          </cell>
        </row>
        <row r="10318">
          <cell r="D10318">
            <v>176</v>
          </cell>
          <cell r="H10318">
            <v>45870</v>
          </cell>
          <cell r="I10318" t="str">
            <v>6375 - Freight Expenses</v>
          </cell>
          <cell r="J10318">
            <v>0</v>
          </cell>
          <cell r="K10318" t="str">
            <v>Production</v>
          </cell>
          <cell r="L10318" t="str">
            <v>Freight</v>
          </cell>
          <cell r="N10318" t="str">
            <v>Direct Costs</v>
          </cell>
          <cell r="O10318" t="str">
            <v>DHL Express - USA</v>
          </cell>
        </row>
        <row r="10319">
          <cell r="D10319">
            <v>182.49</v>
          </cell>
          <cell r="H10319">
            <v>45870</v>
          </cell>
          <cell r="I10319" t="str">
            <v>6375 - Freight Expenses</v>
          </cell>
          <cell r="J10319" t="str">
            <v>Ecommerce (US)</v>
          </cell>
          <cell r="K10319" t="str">
            <v>Ecommerce</v>
          </cell>
          <cell r="L10319" t="str">
            <v>Freight</v>
          </cell>
          <cell r="N10319" t="str">
            <v>Direct Costs</v>
          </cell>
          <cell r="O10319" t="str">
            <v>UPS Supply Chain Solutions Inc. (7F24A0)</v>
          </cell>
        </row>
        <row r="10320">
          <cell r="D10320">
            <v>2.09</v>
          </cell>
          <cell r="H10320">
            <v>45870</v>
          </cell>
          <cell r="I10320" t="str">
            <v>6375 - Freight Expenses</v>
          </cell>
          <cell r="J10320">
            <v>0</v>
          </cell>
          <cell r="K10320" t="str">
            <v>Production</v>
          </cell>
          <cell r="L10320" t="str">
            <v>Freight</v>
          </cell>
          <cell r="N10320" t="str">
            <v>Direct Costs</v>
          </cell>
          <cell r="O10320" t="str">
            <v>DHL Express - USA</v>
          </cell>
        </row>
        <row r="10321">
          <cell r="D10321">
            <v>17</v>
          </cell>
          <cell r="H10321">
            <v>45870</v>
          </cell>
          <cell r="I10321" t="str">
            <v>6375 - Freight Expenses</v>
          </cell>
          <cell r="J10321">
            <v>0</v>
          </cell>
          <cell r="K10321" t="str">
            <v>Production</v>
          </cell>
          <cell r="L10321" t="str">
            <v>Freight</v>
          </cell>
          <cell r="N10321" t="str">
            <v>Direct Costs</v>
          </cell>
          <cell r="O10321" t="str">
            <v>DHL Express - USA</v>
          </cell>
        </row>
        <row r="10322">
          <cell r="D10322">
            <v>1.31</v>
          </cell>
          <cell r="H10322">
            <v>45870</v>
          </cell>
          <cell r="I10322" t="str">
            <v>6375 - Freight Expenses</v>
          </cell>
          <cell r="J10322">
            <v>0</v>
          </cell>
          <cell r="K10322" t="str">
            <v>Production</v>
          </cell>
          <cell r="L10322" t="str">
            <v>Freight</v>
          </cell>
          <cell r="N10322" t="str">
            <v>Direct Costs</v>
          </cell>
          <cell r="O10322" t="str">
            <v>DHL Express - USA</v>
          </cell>
        </row>
        <row r="10323">
          <cell r="D10323">
            <v>144.86000000000001</v>
          </cell>
          <cell r="H10323">
            <v>45870</v>
          </cell>
          <cell r="I10323" t="str">
            <v>6375 - Freight Expenses</v>
          </cell>
          <cell r="J10323" t="str">
            <v>Ecommerce (US)</v>
          </cell>
          <cell r="K10323" t="str">
            <v>Ecommerce</v>
          </cell>
          <cell r="L10323" t="str">
            <v>Freight</v>
          </cell>
          <cell r="N10323" t="str">
            <v>Direct Costs</v>
          </cell>
          <cell r="O10323" t="str">
            <v>UPS Supply Chain Solutions Inc. (7F24A0)</v>
          </cell>
        </row>
        <row r="10324">
          <cell r="D10324">
            <v>2.83</v>
          </cell>
          <cell r="H10324">
            <v>45870</v>
          </cell>
          <cell r="I10324" t="str">
            <v>6375 - Freight Expenses</v>
          </cell>
          <cell r="J10324" t="str">
            <v>Ecommerce (US)</v>
          </cell>
          <cell r="K10324" t="str">
            <v>Ecommerce</v>
          </cell>
          <cell r="L10324" t="str">
            <v>Freight</v>
          </cell>
          <cell r="N10324" t="str">
            <v>Direct Costs</v>
          </cell>
          <cell r="O10324" t="str">
            <v>UPS Supply Chain Solutions Inc. (7F24A0)</v>
          </cell>
        </row>
        <row r="10325">
          <cell r="D10325">
            <v>5.65</v>
          </cell>
          <cell r="H10325">
            <v>45870</v>
          </cell>
          <cell r="I10325" t="str">
            <v>6375 - Freight Expenses</v>
          </cell>
          <cell r="J10325" t="str">
            <v>Ecommerce (US)</v>
          </cell>
          <cell r="K10325" t="str">
            <v>Ecommerce</v>
          </cell>
          <cell r="L10325" t="str">
            <v>Freight</v>
          </cell>
          <cell r="N10325" t="str">
            <v>Direct Costs</v>
          </cell>
          <cell r="O10325" t="str">
            <v>UPS Supply Chain Solutions Inc. (7F24A0)</v>
          </cell>
        </row>
        <row r="10326">
          <cell r="D10326">
            <v>0.85</v>
          </cell>
          <cell r="H10326">
            <v>45870</v>
          </cell>
          <cell r="I10326" t="str">
            <v>6375 - Freight Expenses</v>
          </cell>
          <cell r="J10326" t="str">
            <v>Ecommerce (US)</v>
          </cell>
          <cell r="K10326" t="str">
            <v>Ecommerce</v>
          </cell>
          <cell r="L10326" t="str">
            <v>Freight</v>
          </cell>
          <cell r="N10326" t="str">
            <v>Direct Costs</v>
          </cell>
          <cell r="O10326" t="str">
            <v>UPS Supply Chain Solutions Inc. (7F24A0)</v>
          </cell>
        </row>
        <row r="10327">
          <cell r="D10327">
            <v>8.5299999999999994</v>
          </cell>
          <cell r="H10327">
            <v>45870</v>
          </cell>
          <cell r="I10327" t="str">
            <v>6375 - Freight Expenses</v>
          </cell>
          <cell r="J10327" t="str">
            <v>Ecommerce (US)</v>
          </cell>
          <cell r="K10327" t="str">
            <v>Ecommerce</v>
          </cell>
          <cell r="L10327" t="str">
            <v>Freight</v>
          </cell>
          <cell r="N10327" t="str">
            <v>Direct Costs</v>
          </cell>
          <cell r="O10327" t="str">
            <v>UPS Supply Chain Solutions Inc. (7F24A0)</v>
          </cell>
        </row>
        <row r="10328">
          <cell r="D10328">
            <v>0.42</v>
          </cell>
          <cell r="H10328">
            <v>45870</v>
          </cell>
          <cell r="I10328" t="str">
            <v>6375 - Freight Expenses</v>
          </cell>
          <cell r="J10328" t="str">
            <v>Ecommerce (US)</v>
          </cell>
          <cell r="K10328" t="str">
            <v>Ecommerce</v>
          </cell>
          <cell r="L10328" t="str">
            <v>Freight</v>
          </cell>
          <cell r="N10328" t="str">
            <v>Direct Costs</v>
          </cell>
          <cell r="O10328" t="str">
            <v>UPS Supply Chain Solutions Inc. (7F24A0)</v>
          </cell>
        </row>
        <row r="10329">
          <cell r="D10329">
            <v>27.95</v>
          </cell>
          <cell r="H10329">
            <v>45870</v>
          </cell>
          <cell r="I10329" t="str">
            <v>6375 - Freight Expenses</v>
          </cell>
          <cell r="J10329" t="str">
            <v>Ecommerce (US)</v>
          </cell>
          <cell r="K10329" t="str">
            <v>Ecommerce</v>
          </cell>
          <cell r="L10329" t="str">
            <v>Freight</v>
          </cell>
          <cell r="N10329" t="str">
            <v>Direct Costs</v>
          </cell>
          <cell r="O10329" t="str">
            <v>UPS Supply Chain Solutions Inc. (7F24A0)</v>
          </cell>
        </row>
        <row r="10330">
          <cell r="D10330">
            <v>8.5399999999999991</v>
          </cell>
          <cell r="H10330">
            <v>45870</v>
          </cell>
          <cell r="I10330" t="str">
            <v>6375 - Freight Expenses</v>
          </cell>
          <cell r="J10330" t="str">
            <v>Ecommerce (US)</v>
          </cell>
          <cell r="K10330" t="str">
            <v>Ecommerce</v>
          </cell>
          <cell r="L10330" t="str">
            <v>Freight</v>
          </cell>
          <cell r="N10330" t="str">
            <v>Direct Costs</v>
          </cell>
          <cell r="O10330" t="str">
            <v>UPS Supply Chain Solutions Inc. (7F24A0)</v>
          </cell>
        </row>
        <row r="10331">
          <cell r="D10331">
            <v>1.1100000000000001</v>
          </cell>
          <cell r="H10331">
            <v>45870</v>
          </cell>
          <cell r="I10331" t="str">
            <v>6375 - Freight Expenses</v>
          </cell>
          <cell r="J10331" t="str">
            <v>Ecommerce (US)</v>
          </cell>
          <cell r="K10331" t="str">
            <v>Ecommerce</v>
          </cell>
          <cell r="L10331" t="str">
            <v>Freight</v>
          </cell>
          <cell r="N10331" t="str">
            <v>Direct Costs</v>
          </cell>
          <cell r="O10331" t="str">
            <v>UPS Supply Chain Solutions Inc. (7F24A0)</v>
          </cell>
        </row>
        <row r="10332">
          <cell r="D10332">
            <v>32.799999999999997</v>
          </cell>
          <cell r="H10332">
            <v>45870</v>
          </cell>
          <cell r="I10332" t="str">
            <v>6375 - Freight Expenses</v>
          </cell>
          <cell r="J10332" t="str">
            <v>Ecommerce (US)</v>
          </cell>
          <cell r="K10332" t="str">
            <v>Ecommerce</v>
          </cell>
          <cell r="L10332" t="str">
            <v>Freight</v>
          </cell>
          <cell r="N10332" t="str">
            <v>Direct Costs</v>
          </cell>
          <cell r="O10332" t="str">
            <v>UPS Supply Chain Solutions Inc. (7F24A0)</v>
          </cell>
        </row>
        <row r="10333">
          <cell r="D10333">
            <v>48.58</v>
          </cell>
          <cell r="H10333">
            <v>45870</v>
          </cell>
          <cell r="I10333" t="str">
            <v>6375 - Freight Expenses</v>
          </cell>
          <cell r="J10333" t="str">
            <v>Ecommerce (US)</v>
          </cell>
          <cell r="K10333" t="str">
            <v>Ecommerce</v>
          </cell>
          <cell r="L10333" t="str">
            <v>Freight</v>
          </cell>
          <cell r="N10333" t="str">
            <v>Direct Costs</v>
          </cell>
          <cell r="O10333" t="str">
            <v>UPS Supply Chain Solutions Inc. (7F24A0)</v>
          </cell>
        </row>
        <row r="10334">
          <cell r="D10334">
            <v>8.1</v>
          </cell>
          <cell r="H10334">
            <v>45870</v>
          </cell>
          <cell r="I10334" t="str">
            <v>6375 - Freight Expenses</v>
          </cell>
          <cell r="J10334" t="str">
            <v>Ecommerce (US)</v>
          </cell>
          <cell r="K10334" t="str">
            <v>Ecommerce</v>
          </cell>
          <cell r="L10334" t="str">
            <v>Freight</v>
          </cell>
          <cell r="N10334" t="str">
            <v>Direct Costs</v>
          </cell>
          <cell r="O10334" t="str">
            <v>UPS Supply Chain Solutions Inc. (7F24A0)</v>
          </cell>
        </row>
        <row r="10335">
          <cell r="D10335">
            <v>22653.67</v>
          </cell>
          <cell r="H10335">
            <v>45870</v>
          </cell>
          <cell r="I10335" t="str">
            <v>6375 - Freight Expenses</v>
          </cell>
          <cell r="J10335" t="str">
            <v>Ecommerce (US)</v>
          </cell>
          <cell r="K10335" t="str">
            <v>Ecommerce</v>
          </cell>
          <cell r="L10335" t="str">
            <v>Freight</v>
          </cell>
          <cell r="N10335" t="str">
            <v>Direct Costs</v>
          </cell>
          <cell r="O10335" t="str">
            <v>UPS Supply Chain Solutions Inc. (7F24A0)</v>
          </cell>
        </row>
        <row r="10336">
          <cell r="D10336">
            <v>168.81</v>
          </cell>
          <cell r="H10336">
            <v>45870</v>
          </cell>
          <cell r="I10336" t="str">
            <v>6375 - Freight Expenses</v>
          </cell>
          <cell r="J10336" t="str">
            <v>Wholesale</v>
          </cell>
          <cell r="K10336" t="str">
            <v>Wholesale</v>
          </cell>
          <cell r="L10336" t="str">
            <v>Freight</v>
          </cell>
          <cell r="N10336" t="str">
            <v>Direct Costs</v>
          </cell>
          <cell r="O10336" t="str">
            <v>UPS Supply Chain Solutions Inc. (7F24A0)</v>
          </cell>
        </row>
        <row r="10337">
          <cell r="D10337">
            <v>2.09</v>
          </cell>
          <cell r="H10337">
            <v>45870</v>
          </cell>
          <cell r="I10337" t="str">
            <v>6375 - Freight Expenses</v>
          </cell>
          <cell r="J10337">
            <v>0</v>
          </cell>
          <cell r="K10337" t="str">
            <v>Production</v>
          </cell>
          <cell r="L10337" t="str">
            <v>Freight</v>
          </cell>
          <cell r="N10337" t="str">
            <v>Direct Costs</v>
          </cell>
          <cell r="O10337" t="str">
            <v>DHL Express - USA</v>
          </cell>
        </row>
        <row r="10338">
          <cell r="D10338">
            <v>17</v>
          </cell>
          <cell r="H10338">
            <v>45870</v>
          </cell>
          <cell r="I10338" t="str">
            <v>6375 - Freight Expenses</v>
          </cell>
          <cell r="J10338">
            <v>0</v>
          </cell>
          <cell r="K10338" t="str">
            <v>Production</v>
          </cell>
          <cell r="L10338" t="str">
            <v>Freight</v>
          </cell>
          <cell r="N10338" t="str">
            <v>Direct Costs</v>
          </cell>
          <cell r="O10338" t="str">
            <v>DHL Express - USA</v>
          </cell>
        </row>
        <row r="10339">
          <cell r="D10339">
            <v>1.31</v>
          </cell>
          <cell r="H10339">
            <v>45870</v>
          </cell>
          <cell r="I10339" t="str">
            <v>6375 - Freight Expenses</v>
          </cell>
          <cell r="J10339">
            <v>0</v>
          </cell>
          <cell r="K10339" t="str">
            <v>Production</v>
          </cell>
          <cell r="L10339" t="str">
            <v>Freight</v>
          </cell>
          <cell r="N10339" t="str">
            <v>Direct Costs</v>
          </cell>
          <cell r="O10339" t="str">
            <v>DHL Express - USA</v>
          </cell>
        </row>
        <row r="10340">
          <cell r="D10340">
            <v>8.9600000000000009</v>
          </cell>
          <cell r="H10340">
            <v>45870</v>
          </cell>
          <cell r="I10340" t="str">
            <v>6375 - Freight Expenses</v>
          </cell>
          <cell r="J10340">
            <v>0</v>
          </cell>
          <cell r="K10340" t="str">
            <v>Production</v>
          </cell>
          <cell r="L10340" t="str">
            <v>Freight</v>
          </cell>
          <cell r="N10340" t="str">
            <v>Direct Costs</v>
          </cell>
          <cell r="O10340" t="str">
            <v>DHL Express - USA</v>
          </cell>
        </row>
        <row r="10341">
          <cell r="D10341">
            <v>17</v>
          </cell>
          <cell r="H10341">
            <v>45870</v>
          </cell>
          <cell r="I10341" t="str">
            <v>6375 - Freight Expenses</v>
          </cell>
          <cell r="J10341">
            <v>0</v>
          </cell>
          <cell r="K10341" t="str">
            <v>Production</v>
          </cell>
          <cell r="L10341" t="str">
            <v>Freight</v>
          </cell>
          <cell r="N10341" t="str">
            <v>Direct Costs</v>
          </cell>
          <cell r="O10341" t="str">
            <v>DHL Express - USA</v>
          </cell>
        </row>
        <row r="10342">
          <cell r="D10342">
            <v>1.31</v>
          </cell>
          <cell r="H10342">
            <v>45870</v>
          </cell>
          <cell r="I10342" t="str">
            <v>6375 - Freight Expenses</v>
          </cell>
          <cell r="J10342">
            <v>0</v>
          </cell>
          <cell r="K10342" t="str">
            <v>Production</v>
          </cell>
          <cell r="L10342" t="str">
            <v>Freight</v>
          </cell>
          <cell r="N10342" t="str">
            <v>Direct Costs</v>
          </cell>
          <cell r="O10342" t="str">
            <v>DHL Express - USA</v>
          </cell>
        </row>
        <row r="10343">
          <cell r="D10343">
            <v>50.57</v>
          </cell>
          <cell r="H10343">
            <v>45870</v>
          </cell>
          <cell r="I10343" t="str">
            <v>6375 - Freight Expenses</v>
          </cell>
          <cell r="J10343" t="str">
            <v>Ecommerce (US)</v>
          </cell>
          <cell r="K10343" t="str">
            <v>Ecommerce</v>
          </cell>
          <cell r="L10343" t="str">
            <v>Freight</v>
          </cell>
          <cell r="N10343" t="str">
            <v>Direct Costs</v>
          </cell>
          <cell r="O10343" t="str">
            <v>UPS Supply Chain Solutions Inc. (7F24A0)</v>
          </cell>
        </row>
        <row r="10344">
          <cell r="D10344">
            <v>191.01</v>
          </cell>
          <cell r="H10344">
            <v>45870</v>
          </cell>
          <cell r="I10344" t="str">
            <v>6375 - Freight Expenses</v>
          </cell>
          <cell r="J10344" t="str">
            <v>Ecommerce (US)</v>
          </cell>
          <cell r="K10344" t="str">
            <v>Ecommerce</v>
          </cell>
          <cell r="L10344" t="str">
            <v>Freight</v>
          </cell>
          <cell r="N10344" t="str">
            <v>Direct Costs</v>
          </cell>
          <cell r="O10344" t="str">
            <v>UPS Supply Chain Solutions Inc. (7F24A0)</v>
          </cell>
        </row>
        <row r="10345">
          <cell r="D10345">
            <v>51.6</v>
          </cell>
          <cell r="H10345">
            <v>45870</v>
          </cell>
          <cell r="I10345" t="str">
            <v>6375 - Freight Expenses</v>
          </cell>
          <cell r="J10345">
            <v>0</v>
          </cell>
          <cell r="K10345" t="str">
            <v>Production</v>
          </cell>
          <cell r="L10345" t="str">
            <v>Freight</v>
          </cell>
          <cell r="N10345" t="str">
            <v>Direct Costs</v>
          </cell>
          <cell r="O10345" t="str">
            <v>Federal Express</v>
          </cell>
        </row>
        <row r="10346">
          <cell r="D10346">
            <v>42.44</v>
          </cell>
          <cell r="H10346">
            <v>45870</v>
          </cell>
          <cell r="I10346" t="str">
            <v>6375 - Freight Expenses</v>
          </cell>
          <cell r="J10346" t="str">
            <v>Ecommerce (US)</v>
          </cell>
          <cell r="K10346" t="str">
            <v>Ecommerce</v>
          </cell>
          <cell r="L10346" t="str">
            <v>Freight</v>
          </cell>
          <cell r="N10346" t="str">
            <v>Direct Costs</v>
          </cell>
          <cell r="O10346" t="str">
            <v>UPS Supply Chain Solutions Inc. (7F24A0)</v>
          </cell>
        </row>
        <row r="10347">
          <cell r="D10347">
            <v>907.63</v>
          </cell>
          <cell r="H10347">
            <v>45870</v>
          </cell>
          <cell r="I10347" t="str">
            <v>6375 - Freight Expenses</v>
          </cell>
          <cell r="J10347">
            <v>0</v>
          </cell>
          <cell r="K10347" t="str">
            <v>Production</v>
          </cell>
          <cell r="L10347" t="str">
            <v>Freight</v>
          </cell>
          <cell r="N10347" t="str">
            <v>Direct Costs</v>
          </cell>
          <cell r="O10347" t="str">
            <v>DHL Express - USA</v>
          </cell>
        </row>
        <row r="10348">
          <cell r="D10348">
            <v>3.48</v>
          </cell>
          <cell r="H10348">
            <v>45870</v>
          </cell>
          <cell r="I10348" t="str">
            <v>6375 - Freight Expenses</v>
          </cell>
          <cell r="J10348">
            <v>0</v>
          </cell>
          <cell r="K10348" t="str">
            <v>Production</v>
          </cell>
          <cell r="L10348" t="str">
            <v>Freight</v>
          </cell>
          <cell r="N10348" t="str">
            <v>Direct Costs</v>
          </cell>
          <cell r="O10348" t="str">
            <v>DHL Express - USA</v>
          </cell>
        </row>
        <row r="10349">
          <cell r="D10349">
            <v>17</v>
          </cell>
          <cell r="H10349">
            <v>45870</v>
          </cell>
          <cell r="I10349" t="str">
            <v>6375 - Freight Expenses</v>
          </cell>
          <cell r="J10349">
            <v>0</v>
          </cell>
          <cell r="K10349" t="str">
            <v>Production</v>
          </cell>
          <cell r="L10349" t="str">
            <v>Freight</v>
          </cell>
          <cell r="N10349" t="str">
            <v>Direct Costs</v>
          </cell>
          <cell r="O10349" t="str">
            <v>DHL Express - USA</v>
          </cell>
        </row>
        <row r="10350">
          <cell r="D10350">
            <v>1.31</v>
          </cell>
          <cell r="H10350">
            <v>45870</v>
          </cell>
          <cell r="I10350" t="str">
            <v>6375 - Freight Expenses</v>
          </cell>
          <cell r="J10350">
            <v>0</v>
          </cell>
          <cell r="K10350" t="str">
            <v>Production</v>
          </cell>
          <cell r="L10350" t="str">
            <v>Freight</v>
          </cell>
          <cell r="N10350" t="str">
            <v>Direct Costs</v>
          </cell>
          <cell r="O10350" t="str">
            <v>DHL Express - USA</v>
          </cell>
        </row>
        <row r="10351">
          <cell r="D10351">
            <v>789.14</v>
          </cell>
          <cell r="H10351">
            <v>45870</v>
          </cell>
          <cell r="I10351" t="str">
            <v>6375 - Freight Expenses</v>
          </cell>
          <cell r="J10351" t="str">
            <v>Ecommerce (US)</v>
          </cell>
          <cell r="K10351" t="str">
            <v>Ecommerce</v>
          </cell>
          <cell r="L10351" t="str">
            <v>Freight</v>
          </cell>
          <cell r="N10351" t="str">
            <v>Direct Costs</v>
          </cell>
          <cell r="O10351" t="str">
            <v>UPS Supply Chain Solutions Inc. (7F24A0)</v>
          </cell>
        </row>
        <row r="10352">
          <cell r="D10352">
            <v>653.67999999999995</v>
          </cell>
          <cell r="H10352">
            <v>45870</v>
          </cell>
          <cell r="I10352" t="str">
            <v>6375 - Freight Expenses</v>
          </cell>
          <cell r="J10352" t="str">
            <v>Ecommerce (US)</v>
          </cell>
          <cell r="K10352" t="str">
            <v>Ecommerce</v>
          </cell>
          <cell r="L10352" t="str">
            <v>Freight</v>
          </cell>
          <cell r="N10352" t="str">
            <v>Direct Costs</v>
          </cell>
          <cell r="O10352" t="str">
            <v>UPS Supply Chain Solutions Inc. (7F24A0)</v>
          </cell>
        </row>
        <row r="10353">
          <cell r="D10353">
            <v>10.8</v>
          </cell>
          <cell r="H10353">
            <v>45870</v>
          </cell>
          <cell r="I10353" t="str">
            <v>6375 - Freight Expenses</v>
          </cell>
          <cell r="J10353">
            <v>0</v>
          </cell>
          <cell r="K10353" t="str">
            <v>Production</v>
          </cell>
          <cell r="L10353" t="str">
            <v>Freight</v>
          </cell>
          <cell r="N10353" t="str">
            <v>Direct Costs</v>
          </cell>
          <cell r="O10353" t="str">
            <v>DHL Express - USA</v>
          </cell>
        </row>
        <row r="10354">
          <cell r="D10354">
            <v>17</v>
          </cell>
          <cell r="H10354">
            <v>45870</v>
          </cell>
          <cell r="I10354" t="str">
            <v>6375 - Freight Expenses</v>
          </cell>
          <cell r="J10354">
            <v>0</v>
          </cell>
          <cell r="K10354" t="str">
            <v>Production</v>
          </cell>
          <cell r="L10354" t="str">
            <v>Freight</v>
          </cell>
          <cell r="N10354" t="str">
            <v>Direct Costs</v>
          </cell>
          <cell r="O10354" t="str">
            <v>DHL Express - USA</v>
          </cell>
        </row>
        <row r="10355">
          <cell r="D10355">
            <v>1.31</v>
          </cell>
          <cell r="H10355">
            <v>45870</v>
          </cell>
          <cell r="I10355" t="str">
            <v>6375 - Freight Expenses</v>
          </cell>
          <cell r="J10355">
            <v>0</v>
          </cell>
          <cell r="K10355" t="str">
            <v>Production</v>
          </cell>
          <cell r="L10355" t="str">
            <v>Freight</v>
          </cell>
          <cell r="N10355" t="str">
            <v>Direct Costs</v>
          </cell>
          <cell r="O10355" t="str">
            <v>DHL Express - USA</v>
          </cell>
        </row>
        <row r="10356">
          <cell r="D10356">
            <v>99.64</v>
          </cell>
          <cell r="H10356">
            <v>45870</v>
          </cell>
          <cell r="I10356" t="str">
            <v>6375 - Freight Expenses</v>
          </cell>
          <cell r="J10356" t="str">
            <v>Ecommerce (US)</v>
          </cell>
          <cell r="K10356" t="str">
            <v>Ecommerce</v>
          </cell>
          <cell r="L10356" t="str">
            <v>Freight</v>
          </cell>
          <cell r="N10356" t="str">
            <v>Direct Costs</v>
          </cell>
          <cell r="O10356" t="str">
            <v>UPS Supply Chain Solutions Inc. (7F24A0)</v>
          </cell>
        </row>
        <row r="10357">
          <cell r="D10357">
            <v>28779.58</v>
          </cell>
          <cell r="H10357">
            <v>45870</v>
          </cell>
          <cell r="I10357" t="str">
            <v>6375 - Freight Expenses</v>
          </cell>
          <cell r="J10357" t="str">
            <v>Ecommerce (US)</v>
          </cell>
          <cell r="K10357" t="str">
            <v>Ecommerce</v>
          </cell>
          <cell r="L10357" t="str">
            <v>Freight</v>
          </cell>
          <cell r="N10357" t="str">
            <v>Direct Costs</v>
          </cell>
          <cell r="O10357" t="str">
            <v>UPS Supply Chain Solutions Inc. (7F24A0)</v>
          </cell>
        </row>
        <row r="10358">
          <cell r="D10358">
            <v>1197.6099999999999</v>
          </cell>
          <cell r="H10358">
            <v>45870</v>
          </cell>
          <cell r="I10358" t="str">
            <v>6375 - Freight Expenses</v>
          </cell>
          <cell r="J10358" t="str">
            <v>Wholesale</v>
          </cell>
          <cell r="K10358" t="str">
            <v>Wholesale</v>
          </cell>
          <cell r="L10358" t="str">
            <v>Freight</v>
          </cell>
          <cell r="N10358" t="str">
            <v>Direct Costs</v>
          </cell>
          <cell r="O10358" t="str">
            <v>UPS Supply Chain Solutions Inc. (7F24A0)</v>
          </cell>
        </row>
        <row r="10359">
          <cell r="D10359">
            <v>161.58000000000001</v>
          </cell>
          <cell r="H10359">
            <v>45870</v>
          </cell>
          <cell r="I10359" t="str">
            <v>6375 - Freight Expenses</v>
          </cell>
          <cell r="J10359">
            <v>0</v>
          </cell>
          <cell r="K10359" t="str">
            <v>Production</v>
          </cell>
          <cell r="L10359" t="str">
            <v>Freight</v>
          </cell>
          <cell r="N10359" t="str">
            <v>Direct Costs</v>
          </cell>
          <cell r="O10359" t="str">
            <v>DHL Express - USA</v>
          </cell>
        </row>
        <row r="10360">
          <cell r="D10360">
            <v>392.07</v>
          </cell>
          <cell r="H10360">
            <v>45870</v>
          </cell>
          <cell r="I10360" t="str">
            <v>6375 - Freight Expenses</v>
          </cell>
          <cell r="J10360">
            <v>0</v>
          </cell>
          <cell r="K10360" t="str">
            <v>Production</v>
          </cell>
          <cell r="L10360" t="str">
            <v>Freight</v>
          </cell>
          <cell r="N10360" t="str">
            <v>Direct Costs</v>
          </cell>
          <cell r="O10360" t="str">
            <v>DHL Express - USA</v>
          </cell>
        </row>
        <row r="10361">
          <cell r="D10361">
            <v>86.64</v>
          </cell>
          <cell r="H10361">
            <v>45870</v>
          </cell>
          <cell r="I10361" t="str">
            <v>6375 - Freight Expenses</v>
          </cell>
          <cell r="J10361">
            <v>0</v>
          </cell>
          <cell r="K10361" t="str">
            <v>Brand Marketing</v>
          </cell>
          <cell r="L10361" t="str">
            <v>Freight</v>
          </cell>
          <cell r="N10361" t="str">
            <v>Direct Costs</v>
          </cell>
          <cell r="O10361" t="str">
            <v>GFD Courier Corporation</v>
          </cell>
        </row>
        <row r="10362">
          <cell r="D10362">
            <v>131.63999999999999</v>
          </cell>
          <cell r="H10362">
            <v>45870</v>
          </cell>
          <cell r="I10362" t="str">
            <v>6375 - Freight Expenses</v>
          </cell>
          <cell r="J10362">
            <v>0</v>
          </cell>
          <cell r="K10362" t="str">
            <v>Brand Marketing</v>
          </cell>
          <cell r="L10362" t="str">
            <v>Freight</v>
          </cell>
          <cell r="N10362" t="str">
            <v>Direct Costs</v>
          </cell>
          <cell r="O10362" t="str">
            <v>GFD Courier Corporation</v>
          </cell>
        </row>
        <row r="10363">
          <cell r="D10363">
            <v>115.03</v>
          </cell>
          <cell r="H10363">
            <v>45870</v>
          </cell>
          <cell r="I10363" t="str">
            <v>6375 - Freight Expenses</v>
          </cell>
          <cell r="J10363">
            <v>0</v>
          </cell>
          <cell r="K10363" t="str">
            <v>Brand Marketing</v>
          </cell>
          <cell r="L10363" t="str">
            <v>Freight</v>
          </cell>
          <cell r="N10363" t="str">
            <v>Direct Costs</v>
          </cell>
          <cell r="O10363" t="str">
            <v>GFD Courier Corporation</v>
          </cell>
        </row>
        <row r="10364">
          <cell r="D10364">
            <v>166.64</v>
          </cell>
          <cell r="H10364">
            <v>45870</v>
          </cell>
          <cell r="I10364" t="str">
            <v>6375 - Freight Expenses</v>
          </cell>
          <cell r="J10364">
            <v>0</v>
          </cell>
          <cell r="K10364" t="str">
            <v>Brand Marketing</v>
          </cell>
          <cell r="L10364" t="str">
            <v>Freight</v>
          </cell>
          <cell r="N10364" t="str">
            <v>Direct Costs</v>
          </cell>
          <cell r="O10364" t="str">
            <v>GFD Courier Corporation</v>
          </cell>
        </row>
        <row r="10365">
          <cell r="D10365">
            <v>51.64</v>
          </cell>
          <cell r="H10365">
            <v>45870</v>
          </cell>
          <cell r="I10365" t="str">
            <v>6375 - Freight Expenses</v>
          </cell>
          <cell r="J10365">
            <v>0</v>
          </cell>
          <cell r="K10365" t="str">
            <v>Brand Marketing</v>
          </cell>
          <cell r="L10365" t="str">
            <v>Freight</v>
          </cell>
          <cell r="N10365" t="str">
            <v>Direct Costs</v>
          </cell>
          <cell r="O10365" t="str">
            <v>GFD Courier Corporation</v>
          </cell>
        </row>
        <row r="10366">
          <cell r="D10366">
            <v>191.64</v>
          </cell>
          <cell r="H10366">
            <v>45870</v>
          </cell>
          <cell r="I10366" t="str">
            <v>6375 - Freight Expenses</v>
          </cell>
          <cell r="J10366">
            <v>0</v>
          </cell>
          <cell r="K10366" t="str">
            <v>Brand Marketing</v>
          </cell>
          <cell r="L10366" t="str">
            <v>Freight</v>
          </cell>
          <cell r="N10366" t="str">
            <v>Direct Costs</v>
          </cell>
          <cell r="O10366" t="str">
            <v>GFD Courier Corporation</v>
          </cell>
        </row>
        <row r="10367">
          <cell r="D10367">
            <v>141.63999999999999</v>
          </cell>
          <cell r="H10367">
            <v>45870</v>
          </cell>
          <cell r="I10367" t="str">
            <v>6375 - Freight Expenses</v>
          </cell>
          <cell r="J10367">
            <v>0</v>
          </cell>
          <cell r="K10367" t="str">
            <v>Brand Marketing</v>
          </cell>
          <cell r="L10367" t="str">
            <v>Freight</v>
          </cell>
          <cell r="N10367" t="str">
            <v>Direct Costs</v>
          </cell>
          <cell r="O10367" t="str">
            <v>GFD Courier Corporation</v>
          </cell>
        </row>
        <row r="10368">
          <cell r="D10368">
            <v>151.63999999999999</v>
          </cell>
          <cell r="H10368">
            <v>45870</v>
          </cell>
          <cell r="I10368" t="str">
            <v>6375 - Freight Expenses</v>
          </cell>
          <cell r="J10368">
            <v>0</v>
          </cell>
          <cell r="K10368" t="str">
            <v>Brand Marketing</v>
          </cell>
          <cell r="L10368" t="str">
            <v>Freight</v>
          </cell>
          <cell r="N10368" t="str">
            <v>Direct Costs</v>
          </cell>
          <cell r="O10368" t="str">
            <v>GFD Courier Corporation</v>
          </cell>
        </row>
        <row r="10369">
          <cell r="D10369">
            <v>2513.39</v>
          </cell>
          <cell r="H10369">
            <v>45870</v>
          </cell>
          <cell r="I10369" t="str">
            <v>6375 - Freight Expenses</v>
          </cell>
          <cell r="J10369" t="str">
            <v>Ecommerce (EU)</v>
          </cell>
          <cell r="K10369" t="str">
            <v>Ecommerce</v>
          </cell>
          <cell r="L10369" t="str">
            <v>Freight</v>
          </cell>
          <cell r="N10369" t="str">
            <v>Direct Costs</v>
          </cell>
          <cell r="O10369" t="str">
            <v>Global E</v>
          </cell>
        </row>
        <row r="10370">
          <cell r="D10370">
            <v>728.33</v>
          </cell>
          <cell r="H10370">
            <v>45870</v>
          </cell>
          <cell r="I10370" t="str">
            <v>6375 - Freight Expenses</v>
          </cell>
          <cell r="J10370" t="str">
            <v>Ecommerce (US)</v>
          </cell>
          <cell r="K10370" t="str">
            <v>Ecommerce</v>
          </cell>
          <cell r="L10370" t="str">
            <v>Freight</v>
          </cell>
          <cell r="N10370" t="str">
            <v>Direct Costs</v>
          </cell>
          <cell r="O10370" t="str">
            <v>Amazon</v>
          </cell>
        </row>
        <row r="10371">
          <cell r="D10371">
            <v>-3407</v>
          </cell>
          <cell r="H10371">
            <v>45870</v>
          </cell>
          <cell r="I10371" t="str">
            <v>6375 - Freight Expenses</v>
          </cell>
          <cell r="J10371" t="str">
            <v>Ecommerce (US)</v>
          </cell>
          <cell r="K10371" t="str">
            <v>Ecommerce</v>
          </cell>
          <cell r="L10371" t="str">
            <v>Freight</v>
          </cell>
          <cell r="N10371" t="str">
            <v>Direct Costs</v>
          </cell>
          <cell r="O10371" t="str">
            <v>[No Vendor]</v>
          </cell>
        </row>
        <row r="10372">
          <cell r="D10372">
            <v>-50617</v>
          </cell>
          <cell r="H10372">
            <v>45870</v>
          </cell>
          <cell r="I10372" t="str">
            <v>6375 - Freight Expenses</v>
          </cell>
          <cell r="J10372" t="str">
            <v>Ecommerce (US)</v>
          </cell>
          <cell r="K10372" t="str">
            <v>Ecommerce</v>
          </cell>
          <cell r="L10372" t="str">
            <v>Freight</v>
          </cell>
          <cell r="N10372" t="str">
            <v>Direct Costs</v>
          </cell>
          <cell r="O10372" t="str">
            <v>[No Vendor]</v>
          </cell>
        </row>
        <row r="10373">
          <cell r="D10373">
            <v>-5452.7</v>
          </cell>
          <cell r="H10373">
            <v>45870</v>
          </cell>
          <cell r="I10373" t="str">
            <v>6375 - Freight Expenses</v>
          </cell>
          <cell r="J10373" t="str">
            <v>Wholesale</v>
          </cell>
          <cell r="K10373" t="str">
            <v>Wholesale</v>
          </cell>
          <cell r="L10373" t="str">
            <v>Freight</v>
          </cell>
          <cell r="N10373" t="str">
            <v>Direct Costs</v>
          </cell>
          <cell r="O10373" t="str">
            <v>[No Vendor]</v>
          </cell>
        </row>
        <row r="10374">
          <cell r="D10374">
            <v>473.69</v>
          </cell>
          <cell r="H10374">
            <v>45870</v>
          </cell>
          <cell r="I10374" t="str">
            <v>6376 - Freight Supplies Other</v>
          </cell>
          <cell r="J10374" t="str">
            <v>Ecommerce (US)</v>
          </cell>
          <cell r="K10374" t="str">
            <v>Ecommerce</v>
          </cell>
          <cell r="L10374" t="str">
            <v>Order Processing</v>
          </cell>
          <cell r="N10374" t="str">
            <v>Direct Costs</v>
          </cell>
          <cell r="O10374" t="str">
            <v>Robert Karp Container Corp</v>
          </cell>
        </row>
        <row r="10375">
          <cell r="D10375">
            <v>16</v>
          </cell>
          <cell r="H10375">
            <v>45870</v>
          </cell>
          <cell r="I10375" t="str">
            <v>6376 - Freight Supplies Other</v>
          </cell>
          <cell r="J10375" t="str">
            <v>Ecommerce (US)</v>
          </cell>
          <cell r="K10375" t="str">
            <v>Ecommerce</v>
          </cell>
          <cell r="L10375" t="str">
            <v>Order Processing</v>
          </cell>
          <cell r="N10375" t="str">
            <v>Direct Costs</v>
          </cell>
          <cell r="O10375" t="str">
            <v>Robert Karp Container Corp</v>
          </cell>
        </row>
        <row r="10376">
          <cell r="D10376">
            <v>2410</v>
          </cell>
          <cell r="H10376">
            <v>45870</v>
          </cell>
          <cell r="I10376" t="str">
            <v>6376 - Freight Supplies Other</v>
          </cell>
          <cell r="J10376" t="str">
            <v>Ecommerce (US)</v>
          </cell>
          <cell r="K10376" t="str">
            <v>Ecommerce</v>
          </cell>
          <cell r="L10376" t="str">
            <v>Order Processing</v>
          </cell>
          <cell r="N10376" t="str">
            <v>Direct Costs</v>
          </cell>
          <cell r="O10376" t="str">
            <v>Robert Karp Container Corp</v>
          </cell>
        </row>
        <row r="10377">
          <cell r="D10377">
            <v>1990</v>
          </cell>
          <cell r="H10377">
            <v>45870</v>
          </cell>
          <cell r="I10377" t="str">
            <v>6376 - Freight Supplies Other</v>
          </cell>
          <cell r="J10377" t="str">
            <v>Ecommerce (US)</v>
          </cell>
          <cell r="K10377" t="str">
            <v>Ecommerce</v>
          </cell>
          <cell r="L10377" t="str">
            <v>Order Processing</v>
          </cell>
          <cell r="N10377" t="str">
            <v>Direct Costs</v>
          </cell>
          <cell r="O10377" t="str">
            <v>Robert Karp Container Corp</v>
          </cell>
        </row>
        <row r="10378">
          <cell r="D10378">
            <v>2750</v>
          </cell>
          <cell r="H10378">
            <v>45870</v>
          </cell>
          <cell r="I10378" t="str">
            <v>6376 - Freight Supplies Other</v>
          </cell>
          <cell r="J10378" t="str">
            <v>Ecommerce (US)</v>
          </cell>
          <cell r="K10378" t="str">
            <v>Ecommerce</v>
          </cell>
          <cell r="L10378" t="str">
            <v>Order Processing</v>
          </cell>
          <cell r="N10378" t="str">
            <v>Direct Costs</v>
          </cell>
          <cell r="O10378" t="str">
            <v>Robert Karp Container Corp</v>
          </cell>
        </row>
        <row r="10379">
          <cell r="D10379">
            <v>389.13</v>
          </cell>
          <cell r="H10379">
            <v>45870</v>
          </cell>
          <cell r="I10379" t="str">
            <v>6376 - Freight Supplies Other</v>
          </cell>
          <cell r="J10379" t="str">
            <v>Wholesale</v>
          </cell>
          <cell r="K10379" t="str">
            <v>Wholesale</v>
          </cell>
          <cell r="L10379" t="str">
            <v>Order Processing</v>
          </cell>
          <cell r="N10379" t="str">
            <v>Direct Costs</v>
          </cell>
          <cell r="O10379" t="str">
            <v>Bergen Logistics Corporation</v>
          </cell>
        </row>
        <row r="10380">
          <cell r="D10380">
            <v>6785.13</v>
          </cell>
          <cell r="H10380">
            <v>45870</v>
          </cell>
          <cell r="I10380" t="str">
            <v>6376 - Freight Supplies Other</v>
          </cell>
          <cell r="J10380" t="str">
            <v>Ecommerce (US)</v>
          </cell>
          <cell r="K10380" t="str">
            <v>Ecommerce</v>
          </cell>
          <cell r="L10380" t="str">
            <v>Order Processing</v>
          </cell>
          <cell r="N10380" t="str">
            <v>Direct Costs</v>
          </cell>
          <cell r="O10380" t="str">
            <v>Bergen Logistics Corporation</v>
          </cell>
        </row>
        <row r="10381">
          <cell r="D10381">
            <v>179.46</v>
          </cell>
          <cell r="H10381">
            <v>45870</v>
          </cell>
          <cell r="I10381" t="str">
            <v>6376 - Freight Supplies Other</v>
          </cell>
          <cell r="J10381" t="str">
            <v>Ecommerce (EU)</v>
          </cell>
          <cell r="K10381" t="str">
            <v>Ecommerce</v>
          </cell>
          <cell r="L10381" t="str">
            <v>Order Processing</v>
          </cell>
          <cell r="N10381" t="str">
            <v>Direct Costs</v>
          </cell>
          <cell r="O10381" t="str">
            <v>Bergen Logistics Corporation</v>
          </cell>
        </row>
        <row r="10382">
          <cell r="D10382">
            <v>704.46</v>
          </cell>
          <cell r="H10382">
            <v>45870</v>
          </cell>
          <cell r="I10382" t="str">
            <v>6376 - Freight Supplies Other</v>
          </cell>
          <cell r="J10382" t="str">
            <v>Wholesale</v>
          </cell>
          <cell r="K10382" t="str">
            <v>Wholesale</v>
          </cell>
          <cell r="L10382" t="str">
            <v>Order Processing</v>
          </cell>
          <cell r="N10382" t="str">
            <v>Direct Costs</v>
          </cell>
          <cell r="O10382" t="str">
            <v>Bergen Logistics Corporation</v>
          </cell>
        </row>
        <row r="10383">
          <cell r="D10383">
            <v>3024.34</v>
          </cell>
          <cell r="H10383">
            <v>45870</v>
          </cell>
          <cell r="I10383" t="str">
            <v>6376 - Freight Supplies Other</v>
          </cell>
          <cell r="J10383" t="str">
            <v>Ecommerce (US)</v>
          </cell>
          <cell r="K10383" t="str">
            <v>Ecommerce</v>
          </cell>
          <cell r="L10383" t="str">
            <v>Order Processing</v>
          </cell>
          <cell r="N10383" t="str">
            <v>Direct Costs</v>
          </cell>
          <cell r="O10383" t="str">
            <v>Bergen Logistics Corporation</v>
          </cell>
        </row>
        <row r="10384">
          <cell r="D10384">
            <v>158.09</v>
          </cell>
          <cell r="H10384">
            <v>45870</v>
          </cell>
          <cell r="I10384" t="str">
            <v>6376 - Freight Supplies Other</v>
          </cell>
          <cell r="J10384" t="str">
            <v>Ecommerce (EU)</v>
          </cell>
          <cell r="K10384" t="str">
            <v>Ecommerce</v>
          </cell>
          <cell r="L10384" t="str">
            <v>Order Processing</v>
          </cell>
          <cell r="N10384" t="str">
            <v>Direct Costs</v>
          </cell>
          <cell r="O10384" t="str">
            <v>Bergen Logistics Corporation</v>
          </cell>
        </row>
        <row r="10385">
          <cell r="D10385">
            <v>2579.23</v>
          </cell>
          <cell r="H10385">
            <v>45870</v>
          </cell>
          <cell r="I10385" t="str">
            <v>6377 - Order Processing Expenses (New)</v>
          </cell>
          <cell r="J10385" t="str">
            <v>Wholesale</v>
          </cell>
          <cell r="K10385" t="str">
            <v>Wholesale</v>
          </cell>
          <cell r="L10385" t="str">
            <v>Order Processing</v>
          </cell>
          <cell r="N10385" t="str">
            <v>Direct Costs</v>
          </cell>
          <cell r="O10385" t="str">
            <v>Bergen Logistics Corporation</v>
          </cell>
        </row>
        <row r="10386">
          <cell r="D10386">
            <v>21172.27</v>
          </cell>
          <cell r="H10386">
            <v>45870</v>
          </cell>
          <cell r="I10386" t="str">
            <v>6377 - Order Processing Expenses (New)</v>
          </cell>
          <cell r="J10386" t="str">
            <v>Ecommerce (US)</v>
          </cell>
          <cell r="K10386" t="str">
            <v>Ecommerce</v>
          </cell>
          <cell r="L10386" t="str">
            <v>Order Processing</v>
          </cell>
          <cell r="N10386" t="str">
            <v>Direct Costs</v>
          </cell>
          <cell r="O10386" t="str">
            <v>Bergen Logistics Corporation</v>
          </cell>
        </row>
        <row r="10387">
          <cell r="D10387">
            <v>809.17</v>
          </cell>
          <cell r="H10387">
            <v>45870</v>
          </cell>
          <cell r="I10387" t="str">
            <v>6377 - Order Processing Expenses (New)</v>
          </cell>
          <cell r="J10387" t="str">
            <v>Ecommerce (EU)</v>
          </cell>
          <cell r="K10387" t="str">
            <v>Ecommerce</v>
          </cell>
          <cell r="L10387" t="str">
            <v>Order Processing</v>
          </cell>
          <cell r="N10387" t="str">
            <v>Direct Costs</v>
          </cell>
          <cell r="O10387" t="str">
            <v>Bergen Logistics Corporation</v>
          </cell>
        </row>
        <row r="10388">
          <cell r="D10388">
            <v>3108.69</v>
          </cell>
          <cell r="H10388">
            <v>45870</v>
          </cell>
          <cell r="I10388" t="str">
            <v>6377 - Order Processing Expenses (New)</v>
          </cell>
          <cell r="J10388" t="str">
            <v>Wholesale</v>
          </cell>
          <cell r="K10388" t="str">
            <v>Wholesale</v>
          </cell>
          <cell r="L10388" t="str">
            <v>Order Processing</v>
          </cell>
          <cell r="N10388" t="str">
            <v>Direct Costs</v>
          </cell>
          <cell r="O10388" t="str">
            <v>Bergen Logistics Corporation</v>
          </cell>
        </row>
        <row r="10389">
          <cell r="D10389">
            <v>20015.95</v>
          </cell>
          <cell r="H10389">
            <v>45870</v>
          </cell>
          <cell r="I10389" t="str">
            <v>6377 - Order Processing Expenses (New)</v>
          </cell>
          <cell r="J10389" t="str">
            <v>Ecommerce (US)</v>
          </cell>
          <cell r="K10389" t="str">
            <v>Ecommerce</v>
          </cell>
          <cell r="L10389" t="str">
            <v>Order Processing</v>
          </cell>
          <cell r="N10389" t="str">
            <v>Direct Costs</v>
          </cell>
          <cell r="O10389" t="str">
            <v>Bergen Logistics Corporation</v>
          </cell>
        </row>
        <row r="10390">
          <cell r="D10390">
            <v>691.22</v>
          </cell>
          <cell r="H10390">
            <v>45870</v>
          </cell>
          <cell r="I10390" t="str">
            <v>6377 - Order Processing Expenses (New)</v>
          </cell>
          <cell r="J10390" t="str">
            <v>Ecommerce (EU)</v>
          </cell>
          <cell r="K10390" t="str">
            <v>Ecommerce</v>
          </cell>
          <cell r="L10390" t="str">
            <v>Order Processing</v>
          </cell>
          <cell r="N10390" t="str">
            <v>Direct Costs</v>
          </cell>
          <cell r="O10390" t="str">
            <v>Bergen Logistics Corporation</v>
          </cell>
        </row>
        <row r="10391">
          <cell r="D10391">
            <v>2344.5</v>
          </cell>
          <cell r="H10391">
            <v>45870</v>
          </cell>
          <cell r="I10391" t="str">
            <v>6377 - Order Processing Expenses (New)</v>
          </cell>
          <cell r="J10391" t="str">
            <v>Ecommerce (EU)</v>
          </cell>
          <cell r="K10391" t="str">
            <v>Ecommerce</v>
          </cell>
          <cell r="L10391" t="str">
            <v>Order Processing</v>
          </cell>
          <cell r="N10391" t="str">
            <v>Direct Costs</v>
          </cell>
          <cell r="O10391" t="str">
            <v>[No Vendor]</v>
          </cell>
        </row>
        <row r="10392">
          <cell r="D10392">
            <v>288.64</v>
          </cell>
          <cell r="H10392">
            <v>45870</v>
          </cell>
          <cell r="I10392" t="str">
            <v>6377 - Order Processing Expenses (New)</v>
          </cell>
          <cell r="J10392" t="str">
            <v>Ecommerce (US)</v>
          </cell>
          <cell r="K10392" t="str">
            <v>Ecommerce</v>
          </cell>
          <cell r="L10392" t="str">
            <v>Order Processing</v>
          </cell>
          <cell r="N10392" t="str">
            <v>Direct Costs</v>
          </cell>
          <cell r="O10392" t="str">
            <v>[No Vendor]</v>
          </cell>
        </row>
        <row r="10393">
          <cell r="D10393">
            <v>1720.55</v>
          </cell>
          <cell r="H10393">
            <v>45870</v>
          </cell>
          <cell r="I10393" t="str">
            <v>6379 - Warehouse Storage</v>
          </cell>
          <cell r="J10393" t="str">
            <v>Wholesale</v>
          </cell>
          <cell r="K10393" t="str">
            <v>Wholesale</v>
          </cell>
          <cell r="L10393" t="str">
            <v>Order Processing</v>
          </cell>
          <cell r="N10393" t="str">
            <v>Direct Costs</v>
          </cell>
          <cell r="O10393" t="str">
            <v>Bergen Logistics Corporation</v>
          </cell>
        </row>
        <row r="10394">
          <cell r="D10394">
            <v>15975.47</v>
          </cell>
          <cell r="H10394">
            <v>45870</v>
          </cell>
          <cell r="I10394" t="str">
            <v>6379 - Warehouse Storage</v>
          </cell>
          <cell r="J10394" t="str">
            <v>Ecommerce (US)</v>
          </cell>
          <cell r="K10394" t="str">
            <v>Ecommerce</v>
          </cell>
          <cell r="L10394" t="str">
            <v>Order Processing</v>
          </cell>
          <cell r="N10394" t="str">
            <v>Direct Costs</v>
          </cell>
          <cell r="O10394" t="str">
            <v>Bergen Logistics Corporation</v>
          </cell>
        </row>
        <row r="10395">
          <cell r="D10395">
            <v>837.4</v>
          </cell>
          <cell r="H10395">
            <v>45870</v>
          </cell>
          <cell r="I10395" t="str">
            <v>6379 - Warehouse Storage</v>
          </cell>
          <cell r="J10395" t="str">
            <v>Ecommerce (EU)</v>
          </cell>
          <cell r="K10395" t="str">
            <v>Ecommerce</v>
          </cell>
          <cell r="L10395" t="str">
            <v>Order Processing</v>
          </cell>
          <cell r="N10395" t="str">
            <v>Direct Costs</v>
          </cell>
          <cell r="O10395" t="str">
            <v>Bergen Logistics Corporation</v>
          </cell>
        </row>
        <row r="10396">
          <cell r="D10396">
            <v>2835.36</v>
          </cell>
          <cell r="H10396">
            <v>45870</v>
          </cell>
          <cell r="I10396" t="str">
            <v>6379 - Warehouse Storage</v>
          </cell>
          <cell r="J10396" t="str">
            <v>Wholesale</v>
          </cell>
          <cell r="K10396" t="str">
            <v>Wholesale</v>
          </cell>
          <cell r="L10396" t="str">
            <v>Order Processing</v>
          </cell>
          <cell r="N10396" t="str">
            <v>Direct Costs</v>
          </cell>
          <cell r="O10396" t="str">
            <v>Bergen Logistics Corporation</v>
          </cell>
        </row>
        <row r="10397">
          <cell r="D10397">
            <v>19667.29</v>
          </cell>
          <cell r="H10397">
            <v>45870</v>
          </cell>
          <cell r="I10397" t="str">
            <v>6379 - Warehouse Storage</v>
          </cell>
          <cell r="J10397" t="str">
            <v>Ecommerce (US)</v>
          </cell>
          <cell r="K10397" t="str">
            <v>Ecommerce</v>
          </cell>
          <cell r="L10397" t="str">
            <v>Order Processing</v>
          </cell>
          <cell r="N10397" t="str">
            <v>Direct Costs</v>
          </cell>
          <cell r="O10397" t="str">
            <v>Bergen Logistics Corporation</v>
          </cell>
        </row>
        <row r="10398">
          <cell r="D10398">
            <v>1125.3900000000001</v>
          </cell>
          <cell r="H10398">
            <v>45870</v>
          </cell>
          <cell r="I10398" t="str">
            <v>6379 - Warehouse Storage</v>
          </cell>
          <cell r="J10398" t="str">
            <v>Ecommerce (EU)</v>
          </cell>
          <cell r="K10398" t="str">
            <v>Ecommerce</v>
          </cell>
          <cell r="L10398" t="str">
            <v>Order Processing</v>
          </cell>
          <cell r="N10398" t="str">
            <v>Direct Costs</v>
          </cell>
          <cell r="O10398" t="str">
            <v>Bergen Logistics Corporation</v>
          </cell>
        </row>
        <row r="10399">
          <cell r="D10399">
            <v>500</v>
          </cell>
          <cell r="H10399">
            <v>45870</v>
          </cell>
          <cell r="I10399" t="str">
            <v>6380 - Legal &amp; Accounting</v>
          </cell>
          <cell r="J10399">
            <v>0</v>
          </cell>
          <cell r="K10399" t="str">
            <v>Executive</v>
          </cell>
          <cell r="L10399" t="str">
            <v>Professional Service</v>
          </cell>
          <cell r="N10399" t="str">
            <v>SG&amp;A</v>
          </cell>
          <cell r="O10399" t="str">
            <v>[No Vendor]</v>
          </cell>
        </row>
        <row r="10400">
          <cell r="D10400">
            <v>500</v>
          </cell>
          <cell r="H10400">
            <v>45870</v>
          </cell>
          <cell r="I10400" t="str">
            <v>6380 - Legal &amp; Accounting</v>
          </cell>
          <cell r="J10400">
            <v>0</v>
          </cell>
          <cell r="K10400" t="str">
            <v>Executive</v>
          </cell>
          <cell r="L10400" t="str">
            <v>Professional Service</v>
          </cell>
          <cell r="N10400" t="str">
            <v>SG&amp;A</v>
          </cell>
          <cell r="O10400" t="str">
            <v>[No Vendor]</v>
          </cell>
        </row>
        <row r="10401">
          <cell r="D10401">
            <v>10363.42</v>
          </cell>
          <cell r="H10401">
            <v>45870</v>
          </cell>
          <cell r="I10401" t="str">
            <v>6380 - Legal &amp; Accounting</v>
          </cell>
          <cell r="J10401">
            <v>0</v>
          </cell>
          <cell r="K10401" t="str">
            <v>Administration</v>
          </cell>
          <cell r="L10401" t="str">
            <v>Professional Service</v>
          </cell>
          <cell r="N10401" t="str">
            <v>SG&amp;A</v>
          </cell>
          <cell r="O10401" t="str">
            <v>The Wave IP Law Firm</v>
          </cell>
        </row>
        <row r="10402">
          <cell r="D10402">
            <v>1000</v>
          </cell>
          <cell r="H10402">
            <v>45870</v>
          </cell>
          <cell r="I10402" t="str">
            <v>6380 - Legal &amp; Accounting</v>
          </cell>
          <cell r="J10402">
            <v>0</v>
          </cell>
          <cell r="K10402" t="str">
            <v>Administration</v>
          </cell>
          <cell r="L10402" t="str">
            <v>Professional Service</v>
          </cell>
          <cell r="N10402" t="str">
            <v>SG&amp;A</v>
          </cell>
          <cell r="O10402" t="str">
            <v>Ko &amp; Yun, LLP - Operations</v>
          </cell>
        </row>
        <row r="10403">
          <cell r="D10403">
            <v>500</v>
          </cell>
          <cell r="H10403">
            <v>45870</v>
          </cell>
          <cell r="I10403" t="str">
            <v>6380 - Legal &amp; Accounting</v>
          </cell>
          <cell r="J10403">
            <v>0</v>
          </cell>
          <cell r="K10403" t="str">
            <v>Administration</v>
          </cell>
          <cell r="L10403" t="str">
            <v>Professional Service</v>
          </cell>
          <cell r="N10403" t="str">
            <v>SG&amp;A</v>
          </cell>
          <cell r="O10403" t="str">
            <v>Ko &amp; Yun, LLP - IP Holding</v>
          </cell>
        </row>
        <row r="10404">
          <cell r="D10404">
            <v>5</v>
          </cell>
          <cell r="H10404">
            <v>45870</v>
          </cell>
          <cell r="I10404" t="str">
            <v>6385 - Insurance</v>
          </cell>
          <cell r="J10404">
            <v>0</v>
          </cell>
          <cell r="K10404" t="str">
            <v>Administration</v>
          </cell>
          <cell r="L10404" t="str">
            <v>Professional Service</v>
          </cell>
          <cell r="N10404" t="str">
            <v>SG&amp;A</v>
          </cell>
          <cell r="O10404" t="str">
            <v>The Hartford</v>
          </cell>
        </row>
        <row r="10405">
          <cell r="D10405">
            <v>1996.3</v>
          </cell>
          <cell r="H10405">
            <v>45870</v>
          </cell>
          <cell r="I10405" t="str">
            <v>6385 - Insurance</v>
          </cell>
          <cell r="J10405">
            <v>0</v>
          </cell>
          <cell r="K10405" t="str">
            <v>Administration</v>
          </cell>
          <cell r="L10405" t="str">
            <v>Professional Service</v>
          </cell>
          <cell r="N10405" t="str">
            <v>SG&amp;A</v>
          </cell>
          <cell r="O10405" t="str">
            <v>The Hartford</v>
          </cell>
        </row>
        <row r="10406">
          <cell r="D10406">
            <v>1.08</v>
          </cell>
          <cell r="H10406">
            <v>45870</v>
          </cell>
          <cell r="I10406" t="str">
            <v>6385 - Insurance</v>
          </cell>
          <cell r="J10406">
            <v>0</v>
          </cell>
          <cell r="K10406" t="str">
            <v>Administration</v>
          </cell>
          <cell r="L10406" t="str">
            <v>Professional Service</v>
          </cell>
          <cell r="N10406" t="str">
            <v>SG&amp;A</v>
          </cell>
          <cell r="O10406" t="str">
            <v>[No Vendor]</v>
          </cell>
        </row>
        <row r="10407">
          <cell r="D10407">
            <v>11.15</v>
          </cell>
          <cell r="H10407">
            <v>45870</v>
          </cell>
          <cell r="I10407" t="str">
            <v>6385 - Insurance</v>
          </cell>
          <cell r="J10407">
            <v>0</v>
          </cell>
          <cell r="K10407" t="str">
            <v>Administration</v>
          </cell>
          <cell r="L10407" t="str">
            <v>Professional Service</v>
          </cell>
          <cell r="N10407" t="str">
            <v>SG&amp;A</v>
          </cell>
          <cell r="O10407" t="str">
            <v>[No Vendor]</v>
          </cell>
        </row>
        <row r="10408">
          <cell r="D10408">
            <v>56.13</v>
          </cell>
          <cell r="H10408">
            <v>45870</v>
          </cell>
          <cell r="I10408" t="str">
            <v>6385 - Insurance</v>
          </cell>
          <cell r="J10408">
            <v>0</v>
          </cell>
          <cell r="K10408" t="str">
            <v>Administration</v>
          </cell>
          <cell r="L10408" t="str">
            <v>Professional Service</v>
          </cell>
          <cell r="N10408" t="str">
            <v>SG&amp;A</v>
          </cell>
          <cell r="O10408" t="str">
            <v>[No Vendor]</v>
          </cell>
        </row>
        <row r="10409">
          <cell r="D10409">
            <v>12.76</v>
          </cell>
          <cell r="H10409">
            <v>45870</v>
          </cell>
          <cell r="I10409" t="str">
            <v>6385 - Insurance</v>
          </cell>
          <cell r="J10409">
            <v>0</v>
          </cell>
          <cell r="K10409" t="str">
            <v>Administration</v>
          </cell>
          <cell r="L10409" t="str">
            <v>Professional Service</v>
          </cell>
          <cell r="N10409" t="str">
            <v>SG&amp;A</v>
          </cell>
          <cell r="O10409" t="str">
            <v>[No Vendor]</v>
          </cell>
        </row>
        <row r="10410">
          <cell r="D10410">
            <v>14.51</v>
          </cell>
          <cell r="H10410">
            <v>45870</v>
          </cell>
          <cell r="I10410" t="str">
            <v>6385 - Insurance</v>
          </cell>
          <cell r="J10410">
            <v>0</v>
          </cell>
          <cell r="K10410" t="str">
            <v>Administration</v>
          </cell>
          <cell r="L10410" t="str">
            <v>Professional Service</v>
          </cell>
          <cell r="N10410" t="str">
            <v>SG&amp;A</v>
          </cell>
          <cell r="O10410" t="str">
            <v>[No Vendor]</v>
          </cell>
        </row>
        <row r="10411">
          <cell r="D10411">
            <v>48.04</v>
          </cell>
          <cell r="H10411">
            <v>45870</v>
          </cell>
          <cell r="I10411" t="str">
            <v>6385 - Insurance</v>
          </cell>
          <cell r="J10411">
            <v>0</v>
          </cell>
          <cell r="K10411" t="str">
            <v>Administration</v>
          </cell>
          <cell r="L10411" t="str">
            <v>Professional Service</v>
          </cell>
          <cell r="N10411" t="str">
            <v>SG&amp;A</v>
          </cell>
          <cell r="O10411" t="str">
            <v>[No Vendor]</v>
          </cell>
        </row>
        <row r="10412">
          <cell r="D10412">
            <v>59.2</v>
          </cell>
          <cell r="H10412">
            <v>45870</v>
          </cell>
          <cell r="I10412" t="str">
            <v>6385 - Insurance</v>
          </cell>
          <cell r="J10412">
            <v>0</v>
          </cell>
          <cell r="K10412" t="str">
            <v>Administration</v>
          </cell>
          <cell r="L10412" t="str">
            <v>Professional Service</v>
          </cell>
          <cell r="N10412" t="str">
            <v>SG&amp;A</v>
          </cell>
          <cell r="O10412" t="str">
            <v>[No Vendor]</v>
          </cell>
        </row>
        <row r="10413">
          <cell r="D10413">
            <v>76.63</v>
          </cell>
          <cell r="H10413">
            <v>45870</v>
          </cell>
          <cell r="I10413" t="str">
            <v>6385 - Insurance</v>
          </cell>
          <cell r="J10413">
            <v>0</v>
          </cell>
          <cell r="K10413" t="str">
            <v>Administration</v>
          </cell>
          <cell r="L10413" t="str">
            <v>Professional Service</v>
          </cell>
          <cell r="N10413" t="str">
            <v>SG&amp;A</v>
          </cell>
          <cell r="O10413" t="str">
            <v>[No Vendor]</v>
          </cell>
        </row>
        <row r="10414">
          <cell r="D10414">
            <v>424.25</v>
          </cell>
          <cell r="H10414">
            <v>45870</v>
          </cell>
          <cell r="I10414" t="str">
            <v>6385 - Insurance</v>
          </cell>
          <cell r="J10414">
            <v>0</v>
          </cell>
          <cell r="K10414" t="str">
            <v>Administration</v>
          </cell>
          <cell r="L10414" t="str">
            <v>Professional Service</v>
          </cell>
          <cell r="N10414" t="str">
            <v>SG&amp;A</v>
          </cell>
          <cell r="O10414" t="str">
            <v>The Hartford</v>
          </cell>
        </row>
        <row r="10415">
          <cell r="D10415">
            <v>-53.38</v>
          </cell>
          <cell r="H10415">
            <v>45870</v>
          </cell>
          <cell r="I10415" t="str">
            <v>6385 - Insurance</v>
          </cell>
          <cell r="J10415">
            <v>0</v>
          </cell>
          <cell r="K10415" t="str">
            <v>Administration</v>
          </cell>
          <cell r="L10415" t="str">
            <v>Professional Service</v>
          </cell>
          <cell r="N10415" t="str">
            <v>SG&amp;A</v>
          </cell>
          <cell r="O10415" t="str">
            <v>[No Vendor]</v>
          </cell>
        </row>
        <row r="10416">
          <cell r="D10416">
            <v>-65.78</v>
          </cell>
          <cell r="H10416">
            <v>45870</v>
          </cell>
          <cell r="I10416" t="str">
            <v>6385 - Insurance</v>
          </cell>
          <cell r="J10416">
            <v>0</v>
          </cell>
          <cell r="K10416" t="str">
            <v>Administration</v>
          </cell>
          <cell r="L10416" t="str">
            <v>Professional Service</v>
          </cell>
          <cell r="N10416" t="str">
            <v>SG&amp;A</v>
          </cell>
          <cell r="O10416" t="str">
            <v>[No Vendor]</v>
          </cell>
        </row>
        <row r="10417">
          <cell r="D10417">
            <v>-85.14</v>
          </cell>
          <cell r="H10417">
            <v>45870</v>
          </cell>
          <cell r="I10417" t="str">
            <v>6385 - Insurance</v>
          </cell>
          <cell r="J10417">
            <v>0</v>
          </cell>
          <cell r="K10417" t="str">
            <v>Administration</v>
          </cell>
          <cell r="L10417" t="str">
            <v>Professional Service</v>
          </cell>
          <cell r="N10417" t="str">
            <v>SG&amp;A</v>
          </cell>
          <cell r="O10417" t="str">
            <v>[No Vendor]</v>
          </cell>
        </row>
        <row r="10418">
          <cell r="D10418">
            <v>-1.2</v>
          </cell>
          <cell r="H10418">
            <v>45870</v>
          </cell>
          <cell r="I10418" t="str">
            <v>6385 - Insurance</v>
          </cell>
          <cell r="J10418">
            <v>0</v>
          </cell>
          <cell r="K10418" t="str">
            <v>Administration</v>
          </cell>
          <cell r="L10418" t="str">
            <v>Professional Service</v>
          </cell>
          <cell r="N10418" t="str">
            <v>SG&amp;A</v>
          </cell>
          <cell r="O10418" t="str">
            <v>[No Vendor]</v>
          </cell>
        </row>
        <row r="10419">
          <cell r="D10419">
            <v>-12.39</v>
          </cell>
          <cell r="H10419">
            <v>45870</v>
          </cell>
          <cell r="I10419" t="str">
            <v>6385 - Insurance</v>
          </cell>
          <cell r="J10419">
            <v>0</v>
          </cell>
          <cell r="K10419" t="str">
            <v>Administration</v>
          </cell>
          <cell r="L10419" t="str">
            <v>Professional Service</v>
          </cell>
          <cell r="N10419" t="str">
            <v>SG&amp;A</v>
          </cell>
          <cell r="O10419" t="str">
            <v>[No Vendor]</v>
          </cell>
        </row>
        <row r="10420">
          <cell r="D10420">
            <v>-62.37</v>
          </cell>
          <cell r="H10420">
            <v>45870</v>
          </cell>
          <cell r="I10420" t="str">
            <v>6385 - Insurance</v>
          </cell>
          <cell r="J10420">
            <v>0</v>
          </cell>
          <cell r="K10420" t="str">
            <v>Administration</v>
          </cell>
          <cell r="L10420" t="str">
            <v>Professional Service</v>
          </cell>
          <cell r="N10420" t="str">
            <v>SG&amp;A</v>
          </cell>
          <cell r="O10420" t="str">
            <v>[No Vendor]</v>
          </cell>
        </row>
        <row r="10421">
          <cell r="D10421">
            <v>-14.18</v>
          </cell>
          <cell r="H10421">
            <v>45870</v>
          </cell>
          <cell r="I10421" t="str">
            <v>6385 - Insurance</v>
          </cell>
          <cell r="J10421">
            <v>0</v>
          </cell>
          <cell r="K10421" t="str">
            <v>Administration</v>
          </cell>
          <cell r="L10421" t="str">
            <v>Professional Service</v>
          </cell>
          <cell r="N10421" t="str">
            <v>SG&amp;A</v>
          </cell>
          <cell r="O10421" t="str">
            <v>[No Vendor]</v>
          </cell>
        </row>
        <row r="10422">
          <cell r="D10422">
            <v>-16.12</v>
          </cell>
          <cell r="H10422">
            <v>45870</v>
          </cell>
          <cell r="I10422" t="str">
            <v>6385 - Insurance</v>
          </cell>
          <cell r="J10422">
            <v>0</v>
          </cell>
          <cell r="K10422" t="str">
            <v>Administration</v>
          </cell>
          <cell r="L10422" t="str">
            <v>Professional Service</v>
          </cell>
          <cell r="N10422" t="str">
            <v>SG&amp;A</v>
          </cell>
          <cell r="O10422" t="str">
            <v>[No Vendor]</v>
          </cell>
        </row>
        <row r="10423">
          <cell r="D10423">
            <v>-62.37</v>
          </cell>
          <cell r="H10423">
            <v>45870</v>
          </cell>
          <cell r="I10423" t="str">
            <v>6385 - Insurance</v>
          </cell>
          <cell r="J10423">
            <v>0</v>
          </cell>
          <cell r="K10423" t="str">
            <v>Administration</v>
          </cell>
          <cell r="L10423" t="str">
            <v>Professional Service</v>
          </cell>
          <cell r="N10423" t="str">
            <v>SG&amp;A</v>
          </cell>
          <cell r="O10423" t="str">
            <v>[No Vendor]</v>
          </cell>
        </row>
        <row r="10424">
          <cell r="D10424">
            <v>-14.18</v>
          </cell>
          <cell r="H10424">
            <v>45870</v>
          </cell>
          <cell r="I10424" t="str">
            <v>6385 - Insurance</v>
          </cell>
          <cell r="J10424">
            <v>0</v>
          </cell>
          <cell r="K10424" t="str">
            <v>Administration</v>
          </cell>
          <cell r="L10424" t="str">
            <v>Professional Service</v>
          </cell>
          <cell r="N10424" t="str">
            <v>SG&amp;A</v>
          </cell>
          <cell r="O10424" t="str">
            <v>[No Vendor]</v>
          </cell>
        </row>
        <row r="10425">
          <cell r="D10425">
            <v>-16.12</v>
          </cell>
          <cell r="H10425">
            <v>45870</v>
          </cell>
          <cell r="I10425" t="str">
            <v>6385 - Insurance</v>
          </cell>
          <cell r="J10425">
            <v>0</v>
          </cell>
          <cell r="K10425" t="str">
            <v>Administration</v>
          </cell>
          <cell r="L10425" t="str">
            <v>Professional Service</v>
          </cell>
          <cell r="N10425" t="str">
            <v>SG&amp;A</v>
          </cell>
          <cell r="O10425" t="str">
            <v>[No Vendor]</v>
          </cell>
        </row>
        <row r="10426">
          <cell r="D10426">
            <v>-53.38</v>
          </cell>
          <cell r="H10426">
            <v>45870</v>
          </cell>
          <cell r="I10426" t="str">
            <v>6385 - Insurance</v>
          </cell>
          <cell r="J10426">
            <v>0</v>
          </cell>
          <cell r="K10426" t="str">
            <v>Administration</v>
          </cell>
          <cell r="L10426" t="str">
            <v>Professional Service</v>
          </cell>
          <cell r="N10426" t="str">
            <v>SG&amp;A</v>
          </cell>
          <cell r="O10426" t="str">
            <v>[No Vendor]</v>
          </cell>
        </row>
        <row r="10427">
          <cell r="D10427">
            <v>-45.22</v>
          </cell>
          <cell r="H10427">
            <v>45870</v>
          </cell>
          <cell r="I10427" t="str">
            <v>6385 - Insurance</v>
          </cell>
          <cell r="J10427">
            <v>0</v>
          </cell>
          <cell r="K10427" t="str">
            <v>Administration</v>
          </cell>
          <cell r="L10427" t="str">
            <v>Professional Service</v>
          </cell>
          <cell r="N10427" t="str">
            <v>SG&amp;A</v>
          </cell>
          <cell r="O10427" t="str">
            <v>[No Vendor]</v>
          </cell>
        </row>
        <row r="10428">
          <cell r="D10428">
            <v>-85.14</v>
          </cell>
          <cell r="H10428">
            <v>45870</v>
          </cell>
          <cell r="I10428" t="str">
            <v>6385 - Insurance</v>
          </cell>
          <cell r="J10428">
            <v>0</v>
          </cell>
          <cell r="K10428" t="str">
            <v>Administration</v>
          </cell>
          <cell r="L10428" t="str">
            <v>Professional Service</v>
          </cell>
          <cell r="N10428" t="str">
            <v>SG&amp;A</v>
          </cell>
          <cell r="O10428" t="str">
            <v>[No Vendor]</v>
          </cell>
        </row>
        <row r="10429">
          <cell r="D10429">
            <v>-1.2</v>
          </cell>
          <cell r="H10429">
            <v>45870</v>
          </cell>
          <cell r="I10429" t="str">
            <v>6385 - Insurance</v>
          </cell>
          <cell r="J10429">
            <v>0</v>
          </cell>
          <cell r="K10429" t="str">
            <v>Administration</v>
          </cell>
          <cell r="L10429" t="str">
            <v>Professional Service</v>
          </cell>
          <cell r="N10429" t="str">
            <v>SG&amp;A</v>
          </cell>
          <cell r="O10429" t="str">
            <v>[No Vendor]</v>
          </cell>
        </row>
        <row r="10430">
          <cell r="D10430">
            <v>-26.65</v>
          </cell>
          <cell r="H10430">
            <v>45870</v>
          </cell>
          <cell r="I10430" t="str">
            <v>6385 - Insurance</v>
          </cell>
          <cell r="J10430">
            <v>0</v>
          </cell>
          <cell r="K10430" t="str">
            <v>Administration</v>
          </cell>
          <cell r="L10430" t="str">
            <v>Professional Service</v>
          </cell>
          <cell r="N10430" t="str">
            <v>SG&amp;A</v>
          </cell>
          <cell r="O10430" t="str">
            <v>[No Vendor]</v>
          </cell>
        </row>
        <row r="10431">
          <cell r="D10431">
            <v>1062.5</v>
          </cell>
          <cell r="H10431">
            <v>45870</v>
          </cell>
          <cell r="I10431" t="str">
            <v>6385 - Insurance</v>
          </cell>
          <cell r="J10431">
            <v>0</v>
          </cell>
          <cell r="K10431" t="str">
            <v>Administration</v>
          </cell>
          <cell r="L10431" t="str">
            <v>Professional Service</v>
          </cell>
          <cell r="N10431" t="str">
            <v>SG&amp;A</v>
          </cell>
          <cell r="O10431" t="str">
            <v>[No Vendor]</v>
          </cell>
        </row>
        <row r="10432">
          <cell r="D10432">
            <v>428.3</v>
          </cell>
          <cell r="H10432">
            <v>45870</v>
          </cell>
          <cell r="I10432" t="str">
            <v>6385 - Insurance</v>
          </cell>
          <cell r="J10432">
            <v>0</v>
          </cell>
          <cell r="K10432" t="str">
            <v>Administration</v>
          </cell>
          <cell r="L10432" t="str">
            <v>Professional Service</v>
          </cell>
          <cell r="N10432" t="str">
            <v>SG&amp;A</v>
          </cell>
          <cell r="O10432" t="str">
            <v>Travelers CL Remittance Center</v>
          </cell>
        </row>
        <row r="10433">
          <cell r="D10433">
            <v>-53.38</v>
          </cell>
          <cell r="H10433">
            <v>45870</v>
          </cell>
          <cell r="I10433" t="str">
            <v>6385 - Insurance</v>
          </cell>
          <cell r="J10433">
            <v>0</v>
          </cell>
          <cell r="K10433" t="str">
            <v>Administration</v>
          </cell>
          <cell r="L10433" t="str">
            <v>Professional Service</v>
          </cell>
          <cell r="N10433" t="str">
            <v>SG&amp;A</v>
          </cell>
          <cell r="O10433" t="str">
            <v>[No Vendor]</v>
          </cell>
        </row>
        <row r="10434">
          <cell r="D10434">
            <v>-45.22</v>
          </cell>
          <cell r="H10434">
            <v>45870</v>
          </cell>
          <cell r="I10434" t="str">
            <v>6385 - Insurance</v>
          </cell>
          <cell r="J10434">
            <v>0</v>
          </cell>
          <cell r="K10434" t="str">
            <v>Administration</v>
          </cell>
          <cell r="L10434" t="str">
            <v>Professional Service</v>
          </cell>
          <cell r="N10434" t="str">
            <v>SG&amp;A</v>
          </cell>
          <cell r="O10434" t="str">
            <v>[No Vendor]</v>
          </cell>
        </row>
        <row r="10435">
          <cell r="D10435">
            <v>-85.14</v>
          </cell>
          <cell r="H10435">
            <v>45870</v>
          </cell>
          <cell r="I10435" t="str">
            <v>6385 - Insurance</v>
          </cell>
          <cell r="J10435">
            <v>0</v>
          </cell>
          <cell r="K10435" t="str">
            <v>Administration</v>
          </cell>
          <cell r="L10435" t="str">
            <v>Professional Service</v>
          </cell>
          <cell r="N10435" t="str">
            <v>SG&amp;A</v>
          </cell>
          <cell r="O10435" t="str">
            <v>[No Vendor]</v>
          </cell>
        </row>
        <row r="10436">
          <cell r="D10436">
            <v>-1.2</v>
          </cell>
          <cell r="H10436">
            <v>45870</v>
          </cell>
          <cell r="I10436" t="str">
            <v>6385 - Insurance</v>
          </cell>
          <cell r="J10436">
            <v>0</v>
          </cell>
          <cell r="K10436" t="str">
            <v>Administration</v>
          </cell>
          <cell r="L10436" t="str">
            <v>Professional Service</v>
          </cell>
          <cell r="N10436" t="str">
            <v>SG&amp;A</v>
          </cell>
          <cell r="O10436" t="str">
            <v>[No Vendor]</v>
          </cell>
        </row>
        <row r="10437">
          <cell r="D10437">
            <v>-39.71</v>
          </cell>
          <cell r="H10437">
            <v>45870</v>
          </cell>
          <cell r="I10437" t="str">
            <v>6385 - Insurance</v>
          </cell>
          <cell r="J10437">
            <v>0</v>
          </cell>
          <cell r="K10437" t="str">
            <v>Administration</v>
          </cell>
          <cell r="L10437" t="str">
            <v>Professional Service</v>
          </cell>
          <cell r="N10437" t="str">
            <v>SG&amp;A</v>
          </cell>
          <cell r="O10437" t="str">
            <v>[No Vendor]</v>
          </cell>
        </row>
        <row r="10438">
          <cell r="D10438">
            <v>-42.51</v>
          </cell>
          <cell r="H10438">
            <v>45870</v>
          </cell>
          <cell r="I10438" t="str">
            <v>6385 - Insurance</v>
          </cell>
          <cell r="J10438">
            <v>0</v>
          </cell>
          <cell r="K10438" t="str">
            <v>Administration</v>
          </cell>
          <cell r="L10438" t="str">
            <v>Professional Service</v>
          </cell>
          <cell r="N10438" t="str">
            <v>SG&amp;A</v>
          </cell>
          <cell r="O10438" t="str">
            <v>[No Vendor]</v>
          </cell>
        </row>
        <row r="10439">
          <cell r="D10439">
            <v>-14.18</v>
          </cell>
          <cell r="H10439">
            <v>45870</v>
          </cell>
          <cell r="I10439" t="str">
            <v>6385 - Insurance</v>
          </cell>
          <cell r="J10439">
            <v>0</v>
          </cell>
          <cell r="K10439" t="str">
            <v>Administration</v>
          </cell>
          <cell r="L10439" t="str">
            <v>Professional Service</v>
          </cell>
          <cell r="N10439" t="str">
            <v>SG&amp;A</v>
          </cell>
          <cell r="O10439" t="str">
            <v>[No Vendor]</v>
          </cell>
        </row>
        <row r="10440">
          <cell r="D10440">
            <v>-16.12</v>
          </cell>
          <cell r="H10440">
            <v>45870</v>
          </cell>
          <cell r="I10440" t="str">
            <v>6385 - Insurance</v>
          </cell>
          <cell r="J10440">
            <v>0</v>
          </cell>
          <cell r="K10440" t="str">
            <v>Administration</v>
          </cell>
          <cell r="L10440" t="str">
            <v>Professional Service</v>
          </cell>
          <cell r="N10440" t="str">
            <v>SG&amp;A</v>
          </cell>
          <cell r="O10440" t="str">
            <v>[No Vendor]</v>
          </cell>
        </row>
        <row r="10441">
          <cell r="D10441">
            <v>29587.03</v>
          </cell>
          <cell r="H10441">
            <v>45870</v>
          </cell>
          <cell r="I10441" t="str">
            <v>6393 - Software</v>
          </cell>
          <cell r="J10441" t="str">
            <v>Ecommerce (US)</v>
          </cell>
          <cell r="K10441" t="str">
            <v>Ecommerce</v>
          </cell>
          <cell r="L10441" t="str">
            <v>Professional Service</v>
          </cell>
          <cell r="N10441" t="str">
            <v>Direct Costs</v>
          </cell>
          <cell r="O10441" t="str">
            <v>Attentive Mobile Inc.</v>
          </cell>
        </row>
        <row r="10442">
          <cell r="D10442">
            <v>12444.77</v>
          </cell>
          <cell r="H10442">
            <v>45870</v>
          </cell>
          <cell r="I10442" t="str">
            <v>6393 - Software</v>
          </cell>
          <cell r="J10442">
            <v>0</v>
          </cell>
          <cell r="K10442" t="str">
            <v>Administration</v>
          </cell>
          <cell r="L10442" t="str">
            <v>Professional Service</v>
          </cell>
          <cell r="N10442" t="str">
            <v>Direct Costs</v>
          </cell>
          <cell r="O10442" t="str">
            <v>Oracle Netsuite</v>
          </cell>
        </row>
        <row r="10443">
          <cell r="D10443">
            <v>-27885.88</v>
          </cell>
          <cell r="H10443">
            <v>45870</v>
          </cell>
          <cell r="I10443" t="str">
            <v>6393 - Software</v>
          </cell>
          <cell r="J10443" t="str">
            <v>Ecommerce (US)</v>
          </cell>
          <cell r="K10443" t="str">
            <v>Ecommerce</v>
          </cell>
          <cell r="L10443" t="str">
            <v>Professional Service</v>
          </cell>
          <cell r="N10443" t="str">
            <v>Direct Costs</v>
          </cell>
          <cell r="O10443" t="str">
            <v>Attentive Mobile Inc.</v>
          </cell>
        </row>
        <row r="10444">
          <cell r="D10444">
            <v>-4100</v>
          </cell>
          <cell r="H10444">
            <v>45870</v>
          </cell>
          <cell r="I10444" t="str">
            <v>6393 - Software</v>
          </cell>
          <cell r="J10444">
            <v>0</v>
          </cell>
          <cell r="K10444" t="str">
            <v>Administration</v>
          </cell>
          <cell r="L10444" t="str">
            <v>Professional Service</v>
          </cell>
          <cell r="N10444" t="str">
            <v>Direct Costs</v>
          </cell>
          <cell r="O10444" t="str">
            <v>Oracle Netsuite</v>
          </cell>
        </row>
        <row r="10445">
          <cell r="D10445">
            <v>-4100</v>
          </cell>
          <cell r="H10445">
            <v>45870</v>
          </cell>
          <cell r="I10445" t="str">
            <v>6393 - Software</v>
          </cell>
          <cell r="J10445">
            <v>0</v>
          </cell>
          <cell r="K10445" t="str">
            <v>Administration</v>
          </cell>
          <cell r="L10445" t="str">
            <v>Professional Service</v>
          </cell>
          <cell r="N10445" t="str">
            <v>Direct Costs</v>
          </cell>
          <cell r="O10445" t="str">
            <v>Oracle Netsuite</v>
          </cell>
        </row>
        <row r="10446">
          <cell r="D10446">
            <v>240.07</v>
          </cell>
          <cell r="H10446">
            <v>45870</v>
          </cell>
          <cell r="I10446" t="str">
            <v>6393 - Software</v>
          </cell>
          <cell r="J10446" t="str">
            <v>Wholesale</v>
          </cell>
          <cell r="K10446" t="str">
            <v>Wholesale</v>
          </cell>
          <cell r="L10446" t="str">
            <v>Professional Service</v>
          </cell>
          <cell r="N10446" t="str">
            <v>Direct Costs</v>
          </cell>
          <cell r="O10446" t="str">
            <v>Open Text</v>
          </cell>
        </row>
        <row r="10447">
          <cell r="D10447">
            <v>51</v>
          </cell>
          <cell r="H10447">
            <v>45870</v>
          </cell>
          <cell r="I10447" t="str">
            <v>6393 - Software</v>
          </cell>
          <cell r="J10447" t="str">
            <v>Wholesale</v>
          </cell>
          <cell r="K10447" t="str">
            <v>Wholesale</v>
          </cell>
          <cell r="L10447" t="str">
            <v>Professional Service</v>
          </cell>
          <cell r="N10447" t="str">
            <v>Direct Costs</v>
          </cell>
          <cell r="O10447" t="str">
            <v>Authorize.net</v>
          </cell>
        </row>
        <row r="10448">
          <cell r="D10448">
            <v>-109.5</v>
          </cell>
          <cell r="H10448">
            <v>45870</v>
          </cell>
          <cell r="I10448" t="str">
            <v>6393 - Software</v>
          </cell>
          <cell r="J10448" t="str">
            <v>Wholesale</v>
          </cell>
          <cell r="K10448" t="str">
            <v>Wholesale</v>
          </cell>
          <cell r="L10448" t="str">
            <v>Professional Service</v>
          </cell>
          <cell r="N10448" t="str">
            <v>Direct Costs</v>
          </cell>
          <cell r="O10448" t="str">
            <v>SPS Commerce</v>
          </cell>
        </row>
        <row r="10449">
          <cell r="D10449">
            <v>109.5</v>
          </cell>
          <cell r="H10449">
            <v>45870</v>
          </cell>
          <cell r="I10449" t="str">
            <v>6393 - Software</v>
          </cell>
          <cell r="J10449" t="str">
            <v>Wholesale</v>
          </cell>
          <cell r="K10449" t="str">
            <v>Wholesale</v>
          </cell>
          <cell r="L10449" t="str">
            <v>Professional Service</v>
          </cell>
          <cell r="N10449" t="str">
            <v>Direct Costs</v>
          </cell>
          <cell r="O10449" t="str">
            <v>SPS Commerce</v>
          </cell>
        </row>
        <row r="10450">
          <cell r="D10450">
            <v>146</v>
          </cell>
          <cell r="H10450">
            <v>45870</v>
          </cell>
          <cell r="I10450" t="str">
            <v>6393 - Software</v>
          </cell>
          <cell r="J10450" t="str">
            <v>Wholesale</v>
          </cell>
          <cell r="K10450" t="str">
            <v>Wholesale</v>
          </cell>
          <cell r="L10450" t="str">
            <v>Professional Service</v>
          </cell>
          <cell r="N10450" t="str">
            <v>Direct Costs</v>
          </cell>
          <cell r="O10450" t="str">
            <v>SPS Commerce</v>
          </cell>
        </row>
        <row r="10451">
          <cell r="D10451">
            <v>1682.12</v>
          </cell>
          <cell r="H10451">
            <v>45870</v>
          </cell>
          <cell r="I10451" t="str">
            <v>6393 - Software</v>
          </cell>
          <cell r="J10451" t="str">
            <v>Ecommerce (US)</v>
          </cell>
          <cell r="K10451" t="str">
            <v>Ecommerce</v>
          </cell>
          <cell r="L10451" t="str">
            <v>Professional Service</v>
          </cell>
          <cell r="N10451" t="str">
            <v>Direct Costs</v>
          </cell>
          <cell r="O10451" t="str">
            <v>GORGIAS INC</v>
          </cell>
        </row>
        <row r="10452">
          <cell r="D10452">
            <v>14.29</v>
          </cell>
          <cell r="H10452">
            <v>45870</v>
          </cell>
          <cell r="I10452" t="str">
            <v>6393 - Software</v>
          </cell>
          <cell r="J10452" t="str">
            <v>Ecommerce (US)</v>
          </cell>
          <cell r="K10452" t="str">
            <v>Ecommerce</v>
          </cell>
          <cell r="L10452" t="str">
            <v>Professional Service</v>
          </cell>
          <cell r="N10452" t="str">
            <v>Direct Costs</v>
          </cell>
          <cell r="O10452" t="str">
            <v>Amazon</v>
          </cell>
        </row>
        <row r="10453">
          <cell r="D10453">
            <v>14.67</v>
          </cell>
          <cell r="H10453">
            <v>45870</v>
          </cell>
          <cell r="I10453" t="str">
            <v>6393 - Software</v>
          </cell>
          <cell r="J10453" t="str">
            <v>Ecommerce (US)</v>
          </cell>
          <cell r="K10453" t="str">
            <v>Ecommerce</v>
          </cell>
          <cell r="L10453" t="str">
            <v>Professional Service</v>
          </cell>
          <cell r="N10453" t="str">
            <v>Direct Costs</v>
          </cell>
          <cell r="O10453" t="str">
            <v>Amazon</v>
          </cell>
        </row>
        <row r="10454">
          <cell r="D10454">
            <v>435.5</v>
          </cell>
          <cell r="H10454">
            <v>45870</v>
          </cell>
          <cell r="I10454" t="str">
            <v>6393 - Software</v>
          </cell>
          <cell r="J10454" t="str">
            <v>Ecommerce (US)</v>
          </cell>
          <cell r="K10454" t="str">
            <v>Ecommerce</v>
          </cell>
          <cell r="L10454" t="str">
            <v>Professional Service</v>
          </cell>
          <cell r="N10454" t="str">
            <v>Direct Costs</v>
          </cell>
          <cell r="O10454" t="str">
            <v>Shopify</v>
          </cell>
        </row>
        <row r="10455">
          <cell r="D10455">
            <v>3249.88</v>
          </cell>
          <cell r="H10455">
            <v>45870</v>
          </cell>
          <cell r="I10455" t="str">
            <v>6393 - Software</v>
          </cell>
          <cell r="J10455" t="str">
            <v>Ecommerce (US)</v>
          </cell>
          <cell r="K10455" t="str">
            <v>Ecommerce</v>
          </cell>
          <cell r="L10455" t="str">
            <v>Professional Service</v>
          </cell>
          <cell r="N10455" t="str">
            <v>Direct Costs</v>
          </cell>
          <cell r="O10455" t="str">
            <v>Klaviyo</v>
          </cell>
        </row>
        <row r="10456">
          <cell r="D10456">
            <v>159</v>
          </cell>
          <cell r="H10456">
            <v>45870</v>
          </cell>
          <cell r="I10456" t="str">
            <v>6393 - Software</v>
          </cell>
          <cell r="J10456" t="str">
            <v>Ecommerce (US)</v>
          </cell>
          <cell r="K10456" t="str">
            <v>Ecommerce</v>
          </cell>
          <cell r="L10456" t="str">
            <v>Professional Service</v>
          </cell>
          <cell r="N10456" t="str">
            <v>Direct Costs</v>
          </cell>
          <cell r="O10456" t="str">
            <v>Integration Manager</v>
          </cell>
        </row>
        <row r="10457">
          <cell r="D10457">
            <v>1012.54</v>
          </cell>
          <cell r="H10457">
            <v>45870</v>
          </cell>
          <cell r="I10457" t="str">
            <v>6393 - Software</v>
          </cell>
          <cell r="J10457" t="str">
            <v>Ecommerce (US)</v>
          </cell>
          <cell r="K10457" t="str">
            <v>Ecommerce</v>
          </cell>
          <cell r="L10457" t="str">
            <v>Professional Service</v>
          </cell>
          <cell r="N10457" t="str">
            <v>Direct Costs</v>
          </cell>
          <cell r="O10457" t="str">
            <v>Klaviyo</v>
          </cell>
        </row>
        <row r="10458">
          <cell r="D10458">
            <v>8237.82</v>
          </cell>
          <cell r="H10458">
            <v>45870</v>
          </cell>
          <cell r="I10458" t="str">
            <v>6393 - Software</v>
          </cell>
          <cell r="J10458" t="str">
            <v>Ecommerce (US)</v>
          </cell>
          <cell r="K10458" t="str">
            <v>Ecommerce</v>
          </cell>
          <cell r="L10458" t="str">
            <v>Professional Service</v>
          </cell>
          <cell r="N10458" t="str">
            <v>Direct Costs</v>
          </cell>
          <cell r="O10458" t="str">
            <v>Signifyd</v>
          </cell>
        </row>
        <row r="10459">
          <cell r="D10459">
            <v>291.92</v>
          </cell>
          <cell r="H10459">
            <v>45870</v>
          </cell>
          <cell r="I10459" t="str">
            <v>6393 - Software</v>
          </cell>
          <cell r="J10459" t="str">
            <v>Ecommerce (US)</v>
          </cell>
          <cell r="K10459" t="str">
            <v>Ecommerce</v>
          </cell>
          <cell r="L10459" t="str">
            <v>Professional Service</v>
          </cell>
          <cell r="N10459" t="str">
            <v>Direct Costs</v>
          </cell>
          <cell r="O10459" t="str">
            <v>Google Cloud</v>
          </cell>
        </row>
        <row r="10460">
          <cell r="D10460">
            <v>7.89</v>
          </cell>
          <cell r="H10460">
            <v>45870</v>
          </cell>
          <cell r="I10460" t="str">
            <v>6393 - Software</v>
          </cell>
          <cell r="J10460" t="str">
            <v>Ecommerce (US)</v>
          </cell>
          <cell r="K10460" t="str">
            <v>Ecommerce</v>
          </cell>
          <cell r="L10460" t="str">
            <v>Professional Service</v>
          </cell>
          <cell r="N10460" t="str">
            <v>Direct Costs</v>
          </cell>
          <cell r="O10460" t="str">
            <v>Slack</v>
          </cell>
        </row>
        <row r="10461">
          <cell r="D10461">
            <v>598</v>
          </cell>
          <cell r="H10461">
            <v>45870</v>
          </cell>
          <cell r="I10461" t="str">
            <v>6393 - Software</v>
          </cell>
          <cell r="J10461" t="str">
            <v>Ecommerce (US)</v>
          </cell>
          <cell r="K10461" t="str">
            <v>Ecommerce</v>
          </cell>
          <cell r="L10461" t="str">
            <v>Professional Service</v>
          </cell>
          <cell r="N10461" t="str">
            <v>Direct Costs</v>
          </cell>
          <cell r="O10461" t="str">
            <v>GoDataFeed</v>
          </cell>
        </row>
        <row r="10462">
          <cell r="D10462">
            <v>1494</v>
          </cell>
          <cell r="H10462">
            <v>45870</v>
          </cell>
          <cell r="I10462" t="str">
            <v>6393 - Software</v>
          </cell>
          <cell r="J10462">
            <v>0</v>
          </cell>
          <cell r="K10462" t="str">
            <v>Design</v>
          </cell>
          <cell r="L10462" t="str">
            <v>Professional Service</v>
          </cell>
          <cell r="N10462" t="str">
            <v>Direct Costs</v>
          </cell>
          <cell r="O10462" t="str">
            <v>Backbone</v>
          </cell>
        </row>
        <row r="10463">
          <cell r="D10463">
            <v>543.66999999999996</v>
          </cell>
          <cell r="H10463">
            <v>45870</v>
          </cell>
          <cell r="I10463" t="str">
            <v>6393 - Software</v>
          </cell>
          <cell r="J10463">
            <v>0</v>
          </cell>
          <cell r="K10463" t="str">
            <v>Administration</v>
          </cell>
          <cell r="L10463" t="str">
            <v>Professional Service</v>
          </cell>
          <cell r="N10463" t="str">
            <v>Direct Costs</v>
          </cell>
          <cell r="O10463" t="str">
            <v>Concur Technologies, Inc.</v>
          </cell>
        </row>
        <row r="10464">
          <cell r="D10464">
            <v>1779.84</v>
          </cell>
          <cell r="H10464">
            <v>45870</v>
          </cell>
          <cell r="I10464" t="str">
            <v>6393 - Software</v>
          </cell>
          <cell r="J10464">
            <v>0</v>
          </cell>
          <cell r="K10464" t="str">
            <v>Administration</v>
          </cell>
          <cell r="L10464" t="str">
            <v>Professional Service</v>
          </cell>
          <cell r="N10464" t="str">
            <v>Direct Costs</v>
          </cell>
          <cell r="O10464" t="str">
            <v>Adobe, Inc.</v>
          </cell>
        </row>
        <row r="10465">
          <cell r="D10465">
            <v>21.78</v>
          </cell>
          <cell r="H10465">
            <v>45870</v>
          </cell>
          <cell r="I10465" t="str">
            <v>6393 - Software</v>
          </cell>
          <cell r="J10465">
            <v>0</v>
          </cell>
          <cell r="K10465" t="str">
            <v>Administration</v>
          </cell>
          <cell r="L10465" t="str">
            <v>Professional Service</v>
          </cell>
          <cell r="N10465" t="str">
            <v>Direct Costs</v>
          </cell>
          <cell r="O10465" t="str">
            <v>Chat GPT</v>
          </cell>
        </row>
        <row r="10466">
          <cell r="D10466">
            <v>25</v>
          </cell>
          <cell r="H10466">
            <v>45870</v>
          </cell>
          <cell r="I10466" t="str">
            <v>6393 - Software</v>
          </cell>
          <cell r="J10466">
            <v>0</v>
          </cell>
          <cell r="K10466" t="str">
            <v>Brand Marketing</v>
          </cell>
          <cell r="L10466" t="str">
            <v>Professional Service</v>
          </cell>
          <cell r="N10466" t="str">
            <v>Direct Costs</v>
          </cell>
          <cell r="O10466" t="str">
            <v>Wetransfer</v>
          </cell>
        </row>
        <row r="10467">
          <cell r="D10467">
            <v>886.82</v>
          </cell>
          <cell r="H10467">
            <v>45870</v>
          </cell>
          <cell r="I10467" t="str">
            <v>6393 - Software</v>
          </cell>
          <cell r="J10467" t="str">
            <v>Wholesale</v>
          </cell>
          <cell r="K10467" t="str">
            <v>Wholesale</v>
          </cell>
          <cell r="L10467" t="str">
            <v>Professional Service</v>
          </cell>
          <cell r="N10467" t="str">
            <v>Direct Costs</v>
          </cell>
          <cell r="O10467" t="str">
            <v>SPS Commerce</v>
          </cell>
        </row>
        <row r="10468">
          <cell r="D10468">
            <v>21.78</v>
          </cell>
          <cell r="H10468">
            <v>45870</v>
          </cell>
          <cell r="I10468" t="str">
            <v>6393 - Software</v>
          </cell>
          <cell r="J10468">
            <v>0</v>
          </cell>
          <cell r="K10468" t="str">
            <v>Executive</v>
          </cell>
          <cell r="L10468" t="str">
            <v>Professional Service</v>
          </cell>
          <cell r="N10468" t="str">
            <v>Direct Costs</v>
          </cell>
          <cell r="O10468" t="str">
            <v>Chat GPT</v>
          </cell>
        </row>
        <row r="10469">
          <cell r="D10469">
            <v>10000</v>
          </cell>
          <cell r="H10469">
            <v>45870</v>
          </cell>
          <cell r="I10469" t="str">
            <v>6393 - Software</v>
          </cell>
          <cell r="J10469" t="str">
            <v>Ecommerce (US)</v>
          </cell>
          <cell r="K10469" t="str">
            <v>Ecommerce</v>
          </cell>
          <cell r="L10469" t="str">
            <v>Professional Service</v>
          </cell>
          <cell r="N10469" t="str">
            <v>SG&amp;A</v>
          </cell>
          <cell r="O10469" t="str">
            <v>P3 Digital LLC</v>
          </cell>
        </row>
        <row r="10470">
          <cell r="D10470">
            <v>0</v>
          </cell>
          <cell r="H10470">
            <v>45870</v>
          </cell>
          <cell r="I10470" t="str">
            <v>6393 - Software</v>
          </cell>
          <cell r="J10470" t="str">
            <v>Wholesale</v>
          </cell>
          <cell r="K10470" t="str">
            <v>Wholesale</v>
          </cell>
          <cell r="L10470" t="str">
            <v>Professional Service</v>
          </cell>
          <cell r="N10470" t="str">
            <v>Direct Costs</v>
          </cell>
          <cell r="O10470" t="str">
            <v>SPS Commerce</v>
          </cell>
        </row>
        <row r="10471">
          <cell r="D10471">
            <v>0</v>
          </cell>
          <cell r="H10471">
            <v>45870</v>
          </cell>
          <cell r="I10471" t="str">
            <v>6393 - Software</v>
          </cell>
          <cell r="J10471" t="str">
            <v>Wholesale</v>
          </cell>
          <cell r="K10471" t="str">
            <v>Wholesale</v>
          </cell>
          <cell r="L10471" t="str">
            <v>Professional Service</v>
          </cell>
          <cell r="N10471" t="str">
            <v>Direct Costs</v>
          </cell>
          <cell r="O10471" t="str">
            <v>SPS Commerce</v>
          </cell>
        </row>
        <row r="10472">
          <cell r="D10472">
            <v>88</v>
          </cell>
          <cell r="H10472">
            <v>45870</v>
          </cell>
          <cell r="I10472" t="str">
            <v>6393 - Software</v>
          </cell>
          <cell r="J10472" t="str">
            <v>Wholesale</v>
          </cell>
          <cell r="K10472" t="str">
            <v>Wholesale</v>
          </cell>
          <cell r="L10472" t="str">
            <v>Professional Service</v>
          </cell>
          <cell r="N10472" t="str">
            <v>Direct Costs</v>
          </cell>
          <cell r="O10472" t="str">
            <v>SPS Commerce</v>
          </cell>
        </row>
        <row r="10473">
          <cell r="D10473">
            <v>226.82</v>
          </cell>
          <cell r="H10473">
            <v>45870</v>
          </cell>
          <cell r="I10473" t="str">
            <v>6393 - Software</v>
          </cell>
          <cell r="J10473">
            <v>0</v>
          </cell>
          <cell r="K10473" t="str">
            <v>Administration</v>
          </cell>
          <cell r="L10473" t="str">
            <v>Professional Service</v>
          </cell>
          <cell r="N10473" t="str">
            <v>Direct Costs</v>
          </cell>
          <cell r="O10473" t="str">
            <v>Avalara, Inc</v>
          </cell>
        </row>
        <row r="10474">
          <cell r="D10474">
            <v>3179.22</v>
          </cell>
          <cell r="H10474">
            <v>45870</v>
          </cell>
          <cell r="I10474" t="str">
            <v>6393 - Software</v>
          </cell>
          <cell r="J10474">
            <v>0</v>
          </cell>
          <cell r="K10474" t="str">
            <v>Administration</v>
          </cell>
          <cell r="L10474" t="str">
            <v>Professional Service</v>
          </cell>
          <cell r="N10474" t="str">
            <v>Direct Costs</v>
          </cell>
          <cell r="O10474" t="str">
            <v>Avalara, Inc</v>
          </cell>
        </row>
        <row r="10475">
          <cell r="D10475">
            <v>2582.46</v>
          </cell>
          <cell r="H10475">
            <v>45870</v>
          </cell>
          <cell r="I10475" t="str">
            <v>6393 - Software</v>
          </cell>
          <cell r="J10475">
            <v>0</v>
          </cell>
          <cell r="K10475" t="str">
            <v>Administration</v>
          </cell>
          <cell r="L10475" t="str">
            <v>Professional Service</v>
          </cell>
          <cell r="N10475" t="str">
            <v>Direct Costs</v>
          </cell>
          <cell r="O10475" t="str">
            <v>Apparel Magic</v>
          </cell>
        </row>
        <row r="10476">
          <cell r="D10476">
            <v>9.99</v>
          </cell>
          <cell r="H10476">
            <v>45870</v>
          </cell>
          <cell r="I10476" t="str">
            <v>6393 - Software</v>
          </cell>
          <cell r="J10476">
            <v>0</v>
          </cell>
          <cell r="K10476" t="str">
            <v>Administration</v>
          </cell>
          <cell r="L10476" t="str">
            <v>Professional Service</v>
          </cell>
          <cell r="N10476" t="str">
            <v>Direct Costs</v>
          </cell>
          <cell r="O10476" t="str">
            <v>Drop Box</v>
          </cell>
        </row>
        <row r="10477">
          <cell r="D10477">
            <v>411.58</v>
          </cell>
          <cell r="H10477">
            <v>45870</v>
          </cell>
          <cell r="I10477" t="str">
            <v>6393 - Software</v>
          </cell>
          <cell r="J10477">
            <v>0</v>
          </cell>
          <cell r="K10477" t="str">
            <v>Administration</v>
          </cell>
          <cell r="L10477" t="str">
            <v>Professional Service</v>
          </cell>
          <cell r="N10477" t="str">
            <v>Direct Costs</v>
          </cell>
          <cell r="O10477" t="str">
            <v>MS Office 365</v>
          </cell>
        </row>
        <row r="10478">
          <cell r="D10478">
            <v>5242.8500000000004</v>
          </cell>
          <cell r="H10478">
            <v>45870</v>
          </cell>
          <cell r="I10478" t="str">
            <v>6393 - Software</v>
          </cell>
          <cell r="J10478" t="str">
            <v>Ecommerce (US)</v>
          </cell>
          <cell r="K10478" t="str">
            <v>Ecommerce</v>
          </cell>
          <cell r="L10478" t="str">
            <v>Professional Service</v>
          </cell>
          <cell r="N10478" t="str">
            <v>Direct Costs</v>
          </cell>
          <cell r="O10478" t="str">
            <v>Attentive Mobile Inc.</v>
          </cell>
        </row>
        <row r="10479">
          <cell r="D10479">
            <v>2268.23</v>
          </cell>
          <cell r="H10479">
            <v>45870</v>
          </cell>
          <cell r="I10479" t="str">
            <v>6393 - Software</v>
          </cell>
          <cell r="J10479">
            <v>0</v>
          </cell>
          <cell r="K10479" t="str">
            <v>Brand Marketing</v>
          </cell>
          <cell r="L10479" t="str">
            <v>Professional Service</v>
          </cell>
          <cell r="N10479" t="str">
            <v>Direct Costs</v>
          </cell>
          <cell r="O10479" t="str">
            <v>Fohr</v>
          </cell>
        </row>
        <row r="10480">
          <cell r="D10480">
            <v>269.89</v>
          </cell>
          <cell r="H10480">
            <v>45870</v>
          </cell>
          <cell r="I10480" t="str">
            <v>6400 - Utilities</v>
          </cell>
          <cell r="J10480">
            <v>0</v>
          </cell>
          <cell r="K10480" t="str">
            <v>Administration</v>
          </cell>
          <cell r="L10480" t="str">
            <v>Other</v>
          </cell>
          <cell r="N10480" t="str">
            <v>SG&amp;A</v>
          </cell>
          <cell r="O10480" t="str">
            <v>Verizon</v>
          </cell>
        </row>
        <row r="10481">
          <cell r="D10481">
            <v>65.33</v>
          </cell>
          <cell r="H10481">
            <v>45870</v>
          </cell>
          <cell r="I10481" t="str">
            <v>6400 - Utilities</v>
          </cell>
          <cell r="J10481">
            <v>0</v>
          </cell>
          <cell r="K10481" t="str">
            <v>Administration</v>
          </cell>
          <cell r="L10481" t="str">
            <v>Other</v>
          </cell>
          <cell r="N10481" t="str">
            <v>SG&amp;A</v>
          </cell>
          <cell r="O10481" t="str">
            <v>NYC Intercom Inc</v>
          </cell>
        </row>
        <row r="10482">
          <cell r="D10482">
            <v>728.58</v>
          </cell>
          <cell r="H10482">
            <v>45870</v>
          </cell>
          <cell r="I10482" t="str">
            <v>6400 - Utilities</v>
          </cell>
          <cell r="J10482">
            <v>0</v>
          </cell>
          <cell r="K10482" t="str">
            <v>Administration</v>
          </cell>
          <cell r="L10482" t="str">
            <v>Other</v>
          </cell>
          <cell r="N10482" t="str">
            <v>SG&amp;A</v>
          </cell>
          <cell r="O10482" t="str">
            <v>Antelope LLC</v>
          </cell>
        </row>
        <row r="10483">
          <cell r="D10483">
            <v>-728.58</v>
          </cell>
          <cell r="H10483">
            <v>45870</v>
          </cell>
          <cell r="I10483" t="str">
            <v>6400 - Utilities</v>
          </cell>
          <cell r="J10483">
            <v>0</v>
          </cell>
          <cell r="K10483" t="str">
            <v>Administration</v>
          </cell>
          <cell r="L10483" t="str">
            <v>Other</v>
          </cell>
          <cell r="N10483" t="str">
            <v>SG&amp;A</v>
          </cell>
          <cell r="O10483" t="str">
            <v>[No Vendor]</v>
          </cell>
        </row>
        <row r="10484">
          <cell r="D10484">
            <v>270.10000000000002</v>
          </cell>
          <cell r="H10484">
            <v>45870</v>
          </cell>
          <cell r="I10484" t="str">
            <v>6400 - Utilities</v>
          </cell>
          <cell r="J10484">
            <v>0</v>
          </cell>
          <cell r="K10484" t="str">
            <v>Administration</v>
          </cell>
          <cell r="L10484" t="str">
            <v>Other</v>
          </cell>
          <cell r="N10484" t="str">
            <v>SG&amp;A</v>
          </cell>
          <cell r="O10484" t="str">
            <v>Verizon</v>
          </cell>
        </row>
        <row r="10485">
          <cell r="D10485">
            <v>699.63</v>
          </cell>
          <cell r="H10485">
            <v>45870</v>
          </cell>
          <cell r="I10485" t="str">
            <v>6400 - Utilities</v>
          </cell>
          <cell r="J10485">
            <v>0</v>
          </cell>
          <cell r="K10485" t="str">
            <v>Administration</v>
          </cell>
          <cell r="L10485" t="str">
            <v>Other</v>
          </cell>
          <cell r="N10485" t="str">
            <v>SG&amp;A</v>
          </cell>
          <cell r="O10485" t="str">
            <v>[No Vendor]</v>
          </cell>
        </row>
        <row r="10486">
          <cell r="D10486">
            <v>699.25</v>
          </cell>
          <cell r="H10486">
            <v>45870</v>
          </cell>
          <cell r="I10486" t="str">
            <v>6410 - Lease Expense</v>
          </cell>
          <cell r="J10486">
            <v>0</v>
          </cell>
          <cell r="K10486" t="str">
            <v>Administration</v>
          </cell>
          <cell r="L10486" t="str">
            <v>Rent</v>
          </cell>
          <cell r="N10486" t="str">
            <v>SG&amp;A</v>
          </cell>
          <cell r="O10486" t="str">
            <v>Canon Financial Services, Inc.</v>
          </cell>
        </row>
        <row r="10487">
          <cell r="D10487">
            <v>10.62</v>
          </cell>
          <cell r="H10487">
            <v>45870</v>
          </cell>
          <cell r="I10487" t="str">
            <v>6410 - Lease Expense</v>
          </cell>
          <cell r="J10487">
            <v>0</v>
          </cell>
          <cell r="K10487" t="str">
            <v>Administration</v>
          </cell>
          <cell r="L10487" t="str">
            <v>Rent</v>
          </cell>
          <cell r="N10487" t="str">
            <v>SG&amp;A</v>
          </cell>
          <cell r="O10487" t="str">
            <v>Canon Financial Services, Inc.</v>
          </cell>
        </row>
        <row r="10488">
          <cell r="D10488">
            <v>30.61</v>
          </cell>
          <cell r="H10488">
            <v>45870</v>
          </cell>
          <cell r="I10488" t="str">
            <v>6410 - Lease Expense</v>
          </cell>
          <cell r="J10488">
            <v>0</v>
          </cell>
          <cell r="K10488" t="str">
            <v>Administration</v>
          </cell>
          <cell r="L10488" t="str">
            <v>Rent</v>
          </cell>
          <cell r="N10488" t="str">
            <v>SG&amp;A</v>
          </cell>
          <cell r="O10488" t="str">
            <v>Canon Financial Services, Inc.</v>
          </cell>
        </row>
        <row r="10489">
          <cell r="D10489">
            <v>-606</v>
          </cell>
          <cell r="H10489">
            <v>45870</v>
          </cell>
          <cell r="I10489" t="str">
            <v>6410 - Lease Expense</v>
          </cell>
          <cell r="J10489">
            <v>0</v>
          </cell>
          <cell r="K10489" t="str">
            <v>Administration</v>
          </cell>
          <cell r="L10489" t="str">
            <v>Rent</v>
          </cell>
          <cell r="N10489" t="str">
            <v>SG&amp;A</v>
          </cell>
          <cell r="O10489" t="str">
            <v>[No Vendor]</v>
          </cell>
        </row>
        <row r="10490">
          <cell r="D10490">
            <v>175</v>
          </cell>
          <cell r="H10490">
            <v>45870</v>
          </cell>
          <cell r="I10490" t="str">
            <v>6420 - Licenses &amp; Membership</v>
          </cell>
          <cell r="J10490">
            <v>0</v>
          </cell>
          <cell r="K10490" t="str">
            <v>Production</v>
          </cell>
          <cell r="L10490" t="str">
            <v>Professional Service</v>
          </cell>
          <cell r="N10490" t="str">
            <v>SG&amp;A</v>
          </cell>
          <cell r="O10490" t="str">
            <v>GS1</v>
          </cell>
        </row>
        <row r="10491">
          <cell r="D10491">
            <v>5000</v>
          </cell>
          <cell r="H10491">
            <v>45870</v>
          </cell>
          <cell r="I10491" t="str">
            <v>6445 - Inventory Write Down</v>
          </cell>
          <cell r="J10491" t="str">
            <v>Ecommerce (US)</v>
          </cell>
          <cell r="K10491" t="str">
            <v>Ecommerce</v>
          </cell>
          <cell r="L10491" t="str">
            <v>Other</v>
          </cell>
          <cell r="N10491" t="str">
            <v>SG&amp;A</v>
          </cell>
          <cell r="O10491" t="str">
            <v>[No Vendor]</v>
          </cell>
        </row>
        <row r="10492">
          <cell r="D10492">
            <v>0.21</v>
          </cell>
          <cell r="H10492">
            <v>45870</v>
          </cell>
          <cell r="I10492" t="str">
            <v>6450 - Bank &amp; Other Fees</v>
          </cell>
          <cell r="J10492" t="str">
            <v>Ecommerce (US)</v>
          </cell>
          <cell r="K10492" t="str">
            <v>Ecommerce</v>
          </cell>
          <cell r="L10492" t="str">
            <v>Professional Service</v>
          </cell>
          <cell r="N10492" t="str">
            <v>Direct Costs</v>
          </cell>
          <cell r="O10492" t="str">
            <v>[No Vendor]</v>
          </cell>
        </row>
        <row r="10493">
          <cell r="D10493">
            <v>0.22</v>
          </cell>
          <cell r="H10493">
            <v>45870</v>
          </cell>
          <cell r="I10493" t="str">
            <v>6450 - Bank &amp; Other Fees</v>
          </cell>
          <cell r="J10493" t="str">
            <v>Ecommerce (US)</v>
          </cell>
          <cell r="K10493" t="str">
            <v>Ecommerce</v>
          </cell>
          <cell r="L10493" t="str">
            <v>Professional Service</v>
          </cell>
          <cell r="N10493" t="str">
            <v>Direct Costs</v>
          </cell>
          <cell r="O10493" t="str">
            <v>[No Vendor]</v>
          </cell>
        </row>
        <row r="10494">
          <cell r="D10494">
            <v>1.06</v>
          </cell>
          <cell r="H10494">
            <v>45870</v>
          </cell>
          <cell r="I10494" t="str">
            <v>6450 - Bank &amp; Other Fees</v>
          </cell>
          <cell r="J10494">
            <v>0</v>
          </cell>
          <cell r="K10494" t="str">
            <v>Administration</v>
          </cell>
          <cell r="L10494" t="str">
            <v>Professional Service</v>
          </cell>
          <cell r="N10494" t="str">
            <v>SG&amp;A</v>
          </cell>
          <cell r="O10494" t="str">
            <v>[No Vendor]</v>
          </cell>
        </row>
        <row r="10495">
          <cell r="D10495">
            <v>419.84</v>
          </cell>
          <cell r="H10495">
            <v>45870</v>
          </cell>
          <cell r="I10495" t="str">
            <v>6450 - Bank &amp; Other Fees</v>
          </cell>
          <cell r="J10495">
            <v>0</v>
          </cell>
          <cell r="K10495" t="str">
            <v>Administration</v>
          </cell>
          <cell r="L10495" t="str">
            <v>Professional Service</v>
          </cell>
          <cell r="N10495" t="str">
            <v>SG&amp;A</v>
          </cell>
          <cell r="O10495" t="str">
            <v>[No Vendor]</v>
          </cell>
        </row>
        <row r="10496">
          <cell r="D10496">
            <v>1456.09</v>
          </cell>
          <cell r="H10496">
            <v>45870</v>
          </cell>
          <cell r="I10496" t="str">
            <v>6450 - Bank &amp; Other Fees</v>
          </cell>
          <cell r="J10496" t="str">
            <v>Ecommerce (US)</v>
          </cell>
          <cell r="K10496" t="str">
            <v>Ecommerce</v>
          </cell>
          <cell r="L10496" t="str">
            <v>Professional Service</v>
          </cell>
          <cell r="N10496" t="str">
            <v>Direct Costs</v>
          </cell>
          <cell r="O10496" t="str">
            <v>Shopify</v>
          </cell>
        </row>
        <row r="10497">
          <cell r="D10497">
            <v>1688.53</v>
          </cell>
          <cell r="H10497">
            <v>45870</v>
          </cell>
          <cell r="I10497" t="str">
            <v>6451 - Service Processing Fee</v>
          </cell>
          <cell r="J10497" t="str">
            <v>Wholesale</v>
          </cell>
          <cell r="K10497" t="str">
            <v>Wholesale</v>
          </cell>
          <cell r="L10497" t="str">
            <v>Professional Service</v>
          </cell>
          <cell r="N10497" t="str">
            <v>Direct Costs</v>
          </cell>
          <cell r="O10497" t="str">
            <v>Paymentech</v>
          </cell>
        </row>
        <row r="10498">
          <cell r="D10498">
            <v>2003.48</v>
          </cell>
          <cell r="H10498">
            <v>45870</v>
          </cell>
          <cell r="I10498" t="str">
            <v>6451 - Service Processing Fee</v>
          </cell>
          <cell r="J10498" t="str">
            <v>Ecommerce (US)</v>
          </cell>
          <cell r="K10498" t="str">
            <v>Ecommerce</v>
          </cell>
          <cell r="L10498" t="str">
            <v>Professional Service</v>
          </cell>
          <cell r="N10498" t="str">
            <v>Direct Costs</v>
          </cell>
          <cell r="O10498" t="str">
            <v>Loop</v>
          </cell>
        </row>
        <row r="10499">
          <cell r="D10499">
            <v>1017.41</v>
          </cell>
          <cell r="H10499">
            <v>45870</v>
          </cell>
          <cell r="I10499" t="str">
            <v>6451 - Service Processing Fee</v>
          </cell>
          <cell r="J10499" t="str">
            <v>Ecommerce (US)</v>
          </cell>
          <cell r="K10499" t="str">
            <v>Ecommerce</v>
          </cell>
          <cell r="L10499" t="str">
            <v>Professional Service</v>
          </cell>
          <cell r="N10499" t="str">
            <v>Direct Costs</v>
          </cell>
          <cell r="O10499" t="str">
            <v>Shopify</v>
          </cell>
        </row>
        <row r="10500">
          <cell r="D10500">
            <v>14478.15</v>
          </cell>
          <cell r="H10500">
            <v>45870</v>
          </cell>
          <cell r="I10500" t="str">
            <v>6451 - Service Processing Fee</v>
          </cell>
          <cell r="J10500" t="str">
            <v>Ecommerce (US)</v>
          </cell>
          <cell r="K10500" t="str">
            <v>Ecommerce</v>
          </cell>
          <cell r="L10500" t="str">
            <v>Professional Service</v>
          </cell>
          <cell r="N10500" t="str">
            <v>Direct Costs</v>
          </cell>
          <cell r="O10500" t="str">
            <v>[No Vendor]</v>
          </cell>
        </row>
        <row r="10501">
          <cell r="D10501">
            <v>2577.9899999999998</v>
          </cell>
          <cell r="H10501">
            <v>45870</v>
          </cell>
          <cell r="I10501" t="str">
            <v>6451 - Service Processing Fee</v>
          </cell>
          <cell r="J10501" t="str">
            <v>Ecommerce (US)</v>
          </cell>
          <cell r="K10501" t="str">
            <v>Ecommerce</v>
          </cell>
          <cell r="L10501" t="str">
            <v>Professional Service</v>
          </cell>
          <cell r="N10501" t="str">
            <v>Direct Costs</v>
          </cell>
          <cell r="O10501" t="str">
            <v>[No Vendor]</v>
          </cell>
        </row>
        <row r="10502">
          <cell r="D10502">
            <v>2627.46</v>
          </cell>
          <cell r="H10502">
            <v>45870</v>
          </cell>
          <cell r="I10502" t="str">
            <v>6451 - Service Processing Fee</v>
          </cell>
          <cell r="J10502" t="str">
            <v>Ecommerce (EU)</v>
          </cell>
          <cell r="K10502" t="str">
            <v>Ecommerce</v>
          </cell>
          <cell r="L10502" t="str">
            <v>Professional Service</v>
          </cell>
          <cell r="N10502" t="str">
            <v>Direct Costs</v>
          </cell>
          <cell r="O10502" t="str">
            <v>[No Vendor]</v>
          </cell>
        </row>
        <row r="10503">
          <cell r="D10503">
            <v>36471.86</v>
          </cell>
          <cell r="H10503">
            <v>45870</v>
          </cell>
          <cell r="I10503" t="str">
            <v>6451 - Service Processing Fee</v>
          </cell>
          <cell r="J10503" t="str">
            <v>Ecommerce (US)</v>
          </cell>
          <cell r="K10503" t="str">
            <v>Ecommerce</v>
          </cell>
          <cell r="L10503" t="str">
            <v>Professional Service</v>
          </cell>
          <cell r="N10503" t="str">
            <v>Direct Costs</v>
          </cell>
          <cell r="O10503" t="str">
            <v>Shopify</v>
          </cell>
        </row>
        <row r="10504">
          <cell r="D10504">
            <v>9526.59</v>
          </cell>
          <cell r="H10504">
            <v>45870</v>
          </cell>
          <cell r="I10504" t="str">
            <v>6451 - Service Processing Fee</v>
          </cell>
          <cell r="J10504" t="str">
            <v>Ecommerce (US)</v>
          </cell>
          <cell r="K10504" t="str">
            <v>Ecommerce</v>
          </cell>
          <cell r="L10504" t="str">
            <v>Professional Service</v>
          </cell>
          <cell r="N10504" t="str">
            <v>Direct Costs</v>
          </cell>
          <cell r="O10504" t="str">
            <v>Amazon</v>
          </cell>
        </row>
        <row r="10505">
          <cell r="D10505">
            <v>91.8</v>
          </cell>
          <cell r="H10505">
            <v>45870</v>
          </cell>
          <cell r="I10505" t="str">
            <v>6451 - Service Processing Fee</v>
          </cell>
          <cell r="J10505" t="str">
            <v>Ecommerce (US)</v>
          </cell>
          <cell r="K10505" t="str">
            <v>Ecommerce</v>
          </cell>
          <cell r="L10505" t="str">
            <v>Professional Service</v>
          </cell>
          <cell r="N10505" t="str">
            <v>Direct Costs</v>
          </cell>
          <cell r="O10505" t="str">
            <v>[No Vendor]</v>
          </cell>
        </row>
        <row r="10506">
          <cell r="D10506">
            <v>4297.53</v>
          </cell>
          <cell r="H10506">
            <v>45870</v>
          </cell>
          <cell r="I10506" t="str">
            <v>6487 - Interest Expense</v>
          </cell>
          <cell r="J10506">
            <v>0</v>
          </cell>
          <cell r="K10506" t="str">
            <v>Administration</v>
          </cell>
          <cell r="L10506" t="str">
            <v>Interest</v>
          </cell>
          <cell r="N10506" t="str">
            <v>BTL</v>
          </cell>
          <cell r="O10506" t="str">
            <v>[No Vendor]</v>
          </cell>
        </row>
        <row r="10507">
          <cell r="D10507">
            <v>5860.27</v>
          </cell>
          <cell r="H10507">
            <v>45870</v>
          </cell>
          <cell r="I10507" t="str">
            <v>6487 - Interest Expense</v>
          </cell>
          <cell r="J10507">
            <v>0</v>
          </cell>
          <cell r="K10507" t="str">
            <v>Administration</v>
          </cell>
          <cell r="L10507" t="str">
            <v>Interest</v>
          </cell>
          <cell r="N10507" t="str">
            <v>BTL</v>
          </cell>
          <cell r="O10507" t="str">
            <v>[No Vendor]</v>
          </cell>
        </row>
        <row r="10508">
          <cell r="D10508">
            <v>15236.71</v>
          </cell>
          <cell r="H10508">
            <v>45870</v>
          </cell>
          <cell r="I10508" t="str">
            <v>6487 - Interest Expense</v>
          </cell>
          <cell r="J10508">
            <v>0</v>
          </cell>
          <cell r="K10508" t="str">
            <v>Administration</v>
          </cell>
          <cell r="L10508" t="str">
            <v>Interest</v>
          </cell>
          <cell r="N10508" t="str">
            <v>BTL</v>
          </cell>
          <cell r="O10508" t="str">
            <v>[No Vendor]</v>
          </cell>
        </row>
        <row r="10509">
          <cell r="D10509">
            <v>3906.85</v>
          </cell>
          <cell r="H10509">
            <v>45870</v>
          </cell>
          <cell r="I10509" t="str">
            <v>6487 - Interest Expense</v>
          </cell>
          <cell r="J10509">
            <v>0</v>
          </cell>
          <cell r="K10509" t="str">
            <v>Administration</v>
          </cell>
          <cell r="L10509" t="str">
            <v>Interest</v>
          </cell>
          <cell r="N10509" t="str">
            <v>BTL</v>
          </cell>
          <cell r="O10509" t="str">
            <v>[No Vendor]</v>
          </cell>
        </row>
        <row r="10510">
          <cell r="D10510">
            <v>11720.55</v>
          </cell>
          <cell r="H10510">
            <v>45870</v>
          </cell>
          <cell r="I10510" t="str">
            <v>6487 - Interest Expense</v>
          </cell>
          <cell r="J10510">
            <v>0</v>
          </cell>
          <cell r="K10510" t="str">
            <v>Administration</v>
          </cell>
          <cell r="L10510" t="str">
            <v>Interest</v>
          </cell>
          <cell r="N10510" t="str">
            <v>BTL</v>
          </cell>
          <cell r="O10510" t="str">
            <v>[No Vendor]</v>
          </cell>
        </row>
        <row r="10511">
          <cell r="D10511">
            <v>9767.1200000000008</v>
          </cell>
          <cell r="H10511">
            <v>45870</v>
          </cell>
          <cell r="I10511" t="str">
            <v>6487 - Interest Expense</v>
          </cell>
          <cell r="J10511">
            <v>0</v>
          </cell>
          <cell r="K10511" t="str">
            <v>Administration</v>
          </cell>
          <cell r="L10511" t="str">
            <v>Interest</v>
          </cell>
          <cell r="N10511" t="str">
            <v>BTL</v>
          </cell>
          <cell r="O10511" t="str">
            <v>[No Vendor]</v>
          </cell>
        </row>
        <row r="10512">
          <cell r="D10512">
            <v>7813.7</v>
          </cell>
          <cell r="H10512">
            <v>45870</v>
          </cell>
          <cell r="I10512" t="str">
            <v>6487 - Interest Expense</v>
          </cell>
          <cell r="J10512">
            <v>0</v>
          </cell>
          <cell r="K10512" t="str">
            <v>Administration</v>
          </cell>
          <cell r="L10512" t="str">
            <v>Interest</v>
          </cell>
          <cell r="N10512" t="str">
            <v>BTL</v>
          </cell>
          <cell r="O10512" t="str">
            <v>[No Vendor]</v>
          </cell>
        </row>
        <row r="10513">
          <cell r="D10513">
            <v>7057.53</v>
          </cell>
          <cell r="H10513">
            <v>45870</v>
          </cell>
          <cell r="I10513" t="str">
            <v>6487 - Interest Expense</v>
          </cell>
          <cell r="J10513">
            <v>0</v>
          </cell>
          <cell r="K10513" t="str">
            <v>Administration</v>
          </cell>
          <cell r="L10513" t="str">
            <v>Interest</v>
          </cell>
          <cell r="N10513" t="str">
            <v>BTL</v>
          </cell>
          <cell r="O10513" t="str">
            <v>[No Vendor]</v>
          </cell>
        </row>
        <row r="10514">
          <cell r="D10514">
            <v>6908.34</v>
          </cell>
          <cell r="H10514">
            <v>45870</v>
          </cell>
          <cell r="I10514" t="str">
            <v>6487 - Interest Expense</v>
          </cell>
          <cell r="J10514">
            <v>0</v>
          </cell>
          <cell r="K10514" t="str">
            <v>Administration</v>
          </cell>
          <cell r="L10514" t="str">
            <v>Interest</v>
          </cell>
          <cell r="N10514" t="str">
            <v>BTL</v>
          </cell>
          <cell r="O10514" t="str">
            <v>[No Vendor]</v>
          </cell>
        </row>
        <row r="10515">
          <cell r="D10515">
            <v>16.010000000000002</v>
          </cell>
          <cell r="H10515">
            <v>45870</v>
          </cell>
          <cell r="I10515" t="str">
            <v>6487 - Interest Expense</v>
          </cell>
          <cell r="J10515">
            <v>0</v>
          </cell>
          <cell r="K10515" t="str">
            <v>Administration</v>
          </cell>
          <cell r="L10515" t="str">
            <v>Interest</v>
          </cell>
          <cell r="N10515" t="str">
            <v>BTL</v>
          </cell>
          <cell r="O10515" t="str">
            <v>[No Vendor]</v>
          </cell>
        </row>
        <row r="10516">
          <cell r="D10516">
            <v>-36.94</v>
          </cell>
          <cell r="H10516">
            <v>45870</v>
          </cell>
          <cell r="I10516" t="str">
            <v>6520 - Taxes and Licenses</v>
          </cell>
          <cell r="J10516">
            <v>0</v>
          </cell>
          <cell r="K10516" t="str">
            <v>Administration</v>
          </cell>
          <cell r="L10516" t="str">
            <v>Other</v>
          </cell>
          <cell r="N10516" t="str">
            <v>SG&amp;A</v>
          </cell>
          <cell r="O10516" t="str">
            <v>[No Vendor]</v>
          </cell>
        </row>
        <row r="10517">
          <cell r="D10517">
            <v>14</v>
          </cell>
          <cell r="H10517">
            <v>45870</v>
          </cell>
          <cell r="I10517" t="str">
            <v>6520 - Taxes and Licenses</v>
          </cell>
          <cell r="J10517">
            <v>0</v>
          </cell>
          <cell r="K10517" t="str">
            <v>Administration</v>
          </cell>
          <cell r="L10517" t="str">
            <v>Other</v>
          </cell>
          <cell r="N10517" t="str">
            <v>SG&amp;A</v>
          </cell>
          <cell r="O10517" t="str">
            <v>[No Vendor]</v>
          </cell>
        </row>
        <row r="10518">
          <cell r="D10518">
            <v>24.41</v>
          </cell>
          <cell r="H10518">
            <v>45870</v>
          </cell>
          <cell r="I10518" t="str">
            <v>7030 - Plant Machinery &amp; Equipment</v>
          </cell>
          <cell r="J10518">
            <v>0</v>
          </cell>
          <cell r="K10518" t="str">
            <v>Administration</v>
          </cell>
          <cell r="L10518" t="str">
            <v>Depreciation &amp; Amortization</v>
          </cell>
          <cell r="N10518" t="str">
            <v>SG&amp;A</v>
          </cell>
          <cell r="O10518" t="str">
            <v>[No Vendor]</v>
          </cell>
        </row>
        <row r="10519">
          <cell r="D10519">
            <v>15.83</v>
          </cell>
          <cell r="H10519">
            <v>45870</v>
          </cell>
          <cell r="I10519" t="str">
            <v>7030 - Plant Machinery &amp; Equipment</v>
          </cell>
          <cell r="J10519">
            <v>0</v>
          </cell>
          <cell r="K10519" t="str">
            <v>Production</v>
          </cell>
          <cell r="L10519" t="str">
            <v>Depreciation &amp; Amortization</v>
          </cell>
          <cell r="N10519" t="str">
            <v>SG&amp;A</v>
          </cell>
          <cell r="O10519" t="str">
            <v>[No Vendor]</v>
          </cell>
        </row>
        <row r="10520">
          <cell r="D10520">
            <v>141.36000000000001</v>
          </cell>
          <cell r="H10520">
            <v>45870</v>
          </cell>
          <cell r="I10520" t="str">
            <v>7040 - Furniture &amp; Fixtures</v>
          </cell>
          <cell r="J10520">
            <v>0</v>
          </cell>
          <cell r="K10520" t="str">
            <v>Administration</v>
          </cell>
          <cell r="L10520" t="str">
            <v>Depreciation &amp; Amortization</v>
          </cell>
          <cell r="N10520" t="str">
            <v>SG&amp;A</v>
          </cell>
          <cell r="O10520" t="str">
            <v>[No Vendor]</v>
          </cell>
        </row>
        <row r="10521">
          <cell r="D10521">
            <v>259.97000000000003</v>
          </cell>
          <cell r="H10521">
            <v>45870</v>
          </cell>
          <cell r="I10521" t="str">
            <v>7040 - Furniture &amp; Fixtures</v>
          </cell>
          <cell r="J10521" t="str">
            <v>Wholesale</v>
          </cell>
          <cell r="K10521" t="str">
            <v>Wholesale</v>
          </cell>
          <cell r="L10521" t="str">
            <v>Depreciation &amp; Amortization</v>
          </cell>
          <cell r="N10521" t="str">
            <v>SG&amp;A</v>
          </cell>
          <cell r="O10521" t="str">
            <v>[No Vendor]</v>
          </cell>
        </row>
        <row r="10522">
          <cell r="D10522">
            <v>589.29999999999995</v>
          </cell>
          <cell r="H10522">
            <v>45870</v>
          </cell>
          <cell r="I10522" t="str">
            <v>7060 - Information Technology &amp; Software</v>
          </cell>
          <cell r="J10522">
            <v>0</v>
          </cell>
          <cell r="K10522" t="str">
            <v>Administration</v>
          </cell>
          <cell r="L10522" t="str">
            <v>Depreciation &amp; Amortization</v>
          </cell>
          <cell r="N10522" t="str">
            <v>SG&amp;A</v>
          </cell>
          <cell r="O10522" t="str">
            <v>[No Vendor]</v>
          </cell>
        </row>
        <row r="10523">
          <cell r="D10523">
            <v>216.66</v>
          </cell>
          <cell r="H10523">
            <v>45870</v>
          </cell>
          <cell r="I10523" t="str">
            <v>7060 - Information Technology &amp; Software</v>
          </cell>
          <cell r="J10523">
            <v>0</v>
          </cell>
          <cell r="K10523" t="str">
            <v>Design</v>
          </cell>
          <cell r="L10523" t="str">
            <v>Depreciation &amp; Amortization</v>
          </cell>
          <cell r="N10523" t="str">
            <v>SG&amp;A</v>
          </cell>
          <cell r="O10523" t="str">
            <v>[No Vendor]</v>
          </cell>
        </row>
        <row r="10524">
          <cell r="D10524">
            <v>228.04</v>
          </cell>
          <cell r="H10524">
            <v>45870</v>
          </cell>
          <cell r="I10524" t="str">
            <v>7060 - Information Technology &amp; Software</v>
          </cell>
          <cell r="J10524" t="str">
            <v>Ecommerce (US)</v>
          </cell>
          <cell r="K10524" t="str">
            <v>Ecommerce</v>
          </cell>
          <cell r="L10524" t="str">
            <v>Depreciation &amp; Amortization</v>
          </cell>
          <cell r="N10524" t="str">
            <v>SG&amp;A</v>
          </cell>
          <cell r="O10524" t="str">
            <v>[No Vendor]</v>
          </cell>
        </row>
        <row r="10525">
          <cell r="D10525">
            <v>66.72</v>
          </cell>
          <cell r="H10525">
            <v>45870</v>
          </cell>
          <cell r="I10525" t="str">
            <v>7060 - Information Technology &amp; Software</v>
          </cell>
          <cell r="J10525">
            <v>0</v>
          </cell>
          <cell r="K10525" t="str">
            <v>Executive</v>
          </cell>
          <cell r="L10525" t="str">
            <v>Depreciation &amp; Amortization</v>
          </cell>
          <cell r="N10525" t="str">
            <v>SG&amp;A</v>
          </cell>
          <cell r="O10525" t="str">
            <v>[No Vendor]</v>
          </cell>
        </row>
        <row r="10526">
          <cell r="D10526">
            <v>189.1</v>
          </cell>
          <cell r="H10526">
            <v>45870</v>
          </cell>
          <cell r="I10526" t="str">
            <v>7060 - Information Technology &amp; Software</v>
          </cell>
          <cell r="J10526">
            <v>0</v>
          </cell>
          <cell r="K10526" t="str">
            <v>Brand Marketing</v>
          </cell>
          <cell r="L10526" t="str">
            <v>Depreciation &amp; Amortization</v>
          </cell>
          <cell r="N10526" t="str">
            <v>SG&amp;A</v>
          </cell>
          <cell r="O10526" t="str">
            <v>[No Vendor]</v>
          </cell>
        </row>
        <row r="10527">
          <cell r="D10527">
            <v>65.48</v>
          </cell>
          <cell r="H10527">
            <v>45870</v>
          </cell>
          <cell r="I10527" t="str">
            <v>7060 - Information Technology &amp; Software</v>
          </cell>
          <cell r="J10527">
            <v>0</v>
          </cell>
          <cell r="K10527" t="str">
            <v>Merchandising</v>
          </cell>
          <cell r="L10527" t="str">
            <v>Depreciation &amp; Amortization</v>
          </cell>
          <cell r="N10527" t="str">
            <v>SG&amp;A</v>
          </cell>
          <cell r="O10527" t="str">
            <v>[No Vendor]</v>
          </cell>
        </row>
        <row r="10528">
          <cell r="D10528">
            <v>156.94</v>
          </cell>
          <cell r="H10528">
            <v>45870</v>
          </cell>
          <cell r="I10528" t="str">
            <v>7060 - Information Technology &amp; Software</v>
          </cell>
          <cell r="J10528">
            <v>0</v>
          </cell>
          <cell r="K10528" t="str">
            <v>Production</v>
          </cell>
          <cell r="L10528" t="str">
            <v>Depreciation &amp; Amortization</v>
          </cell>
          <cell r="N10528" t="str">
            <v>SG&amp;A</v>
          </cell>
          <cell r="O10528" t="str">
            <v>[No Vendor]</v>
          </cell>
        </row>
        <row r="10529">
          <cell r="D10529">
            <v>113.67</v>
          </cell>
          <cell r="H10529">
            <v>45870</v>
          </cell>
          <cell r="I10529" t="str">
            <v>7060 - Information Technology &amp; Software</v>
          </cell>
          <cell r="J10529" t="str">
            <v>Wholesale</v>
          </cell>
          <cell r="K10529" t="str">
            <v>Wholesale</v>
          </cell>
          <cell r="L10529" t="str">
            <v>Depreciation &amp; Amortization</v>
          </cell>
          <cell r="N10529" t="str">
            <v>SG&amp;A</v>
          </cell>
          <cell r="O10529" t="str">
            <v>[No Vendor]</v>
          </cell>
        </row>
        <row r="10530">
          <cell r="D10530">
            <v>1954.72</v>
          </cell>
          <cell r="H10530">
            <v>45870</v>
          </cell>
          <cell r="I10530" t="str">
            <v>7130 - License Agreements &amp; Other Intangibles</v>
          </cell>
          <cell r="J10530">
            <v>0</v>
          </cell>
          <cell r="K10530" t="str">
            <v>Administration</v>
          </cell>
          <cell r="L10530" t="str">
            <v>Depreciation &amp; Amortization</v>
          </cell>
          <cell r="N10530" t="str">
            <v>SG&amp;A</v>
          </cell>
          <cell r="O10530" t="str">
            <v>[No Vendor]</v>
          </cell>
        </row>
        <row r="10531">
          <cell r="D10531">
            <v>23940.66</v>
          </cell>
          <cell r="H10531">
            <v>45870</v>
          </cell>
          <cell r="I10531" t="str">
            <v>7140 - Amortization Exp - ROU Asset</v>
          </cell>
          <cell r="J10531">
            <v>0</v>
          </cell>
          <cell r="K10531" t="str">
            <v>Administration</v>
          </cell>
          <cell r="L10531" t="str">
            <v>Rent</v>
          </cell>
          <cell r="N10531" t="str">
            <v>SG&amp;A</v>
          </cell>
          <cell r="O10531" t="str">
            <v>[No Vendor]</v>
          </cell>
        </row>
        <row r="10532">
          <cell r="D10532">
            <v>589.99</v>
          </cell>
          <cell r="H10532">
            <v>45870</v>
          </cell>
          <cell r="I10532" t="str">
            <v>7140 - Amortization Exp - ROU Asset</v>
          </cell>
          <cell r="J10532">
            <v>0</v>
          </cell>
          <cell r="K10532" t="str">
            <v>Administration</v>
          </cell>
          <cell r="L10532" t="str">
            <v>Rent</v>
          </cell>
          <cell r="N10532" t="str">
            <v>SG&amp;A</v>
          </cell>
          <cell r="O10532" t="str">
            <v>[No Vendor]</v>
          </cell>
        </row>
        <row r="10533">
          <cell r="D10533">
            <v>0</v>
          </cell>
          <cell r="H10533">
            <v>45870</v>
          </cell>
          <cell r="I10533" t="str">
            <v>8000 - Interest Income</v>
          </cell>
          <cell r="J10533">
            <v>0</v>
          </cell>
          <cell r="K10533" t="str">
            <v>Licensing</v>
          </cell>
          <cell r="L10533" t="str">
            <v>Other Income (BTL)</v>
          </cell>
          <cell r="N10533" t="str">
            <v>BTL</v>
          </cell>
          <cell r="O10533" t="str">
            <v>[No Vendor]</v>
          </cell>
        </row>
        <row r="10534">
          <cell r="D10534">
            <v>-5419.31</v>
          </cell>
          <cell r="H10534">
            <v>45870</v>
          </cell>
          <cell r="I10534" t="str">
            <v>8050 - Other Income</v>
          </cell>
          <cell r="J10534" t="str">
            <v>Wholesale</v>
          </cell>
          <cell r="K10534" t="str">
            <v>Wholesale</v>
          </cell>
          <cell r="L10534" t="str">
            <v>Other Income (BTL)</v>
          </cell>
          <cell r="N10534" t="str">
            <v>BTL</v>
          </cell>
          <cell r="O10534" t="str">
            <v>[No Vendor]</v>
          </cell>
        </row>
        <row r="10535">
          <cell r="D10535">
            <v>21.2</v>
          </cell>
          <cell r="H10535">
            <v>45870</v>
          </cell>
          <cell r="I10535" t="str">
            <v>8505 - Realized Gain/Loss</v>
          </cell>
          <cell r="J10535">
            <v>0</v>
          </cell>
          <cell r="K10535" t="str">
            <v>No Department</v>
          </cell>
          <cell r="L10535" t="str">
            <v>Realized Gain / Loss</v>
          </cell>
          <cell r="N10535" t="str">
            <v>BTL</v>
          </cell>
          <cell r="O10535" t="str">
            <v>[No Vendor]</v>
          </cell>
        </row>
        <row r="10536">
          <cell r="D10536">
            <v>110.62</v>
          </cell>
          <cell r="H10536">
            <v>45870</v>
          </cell>
          <cell r="I10536" t="str">
            <v>8505 - Realized Gain/Loss</v>
          </cell>
          <cell r="J10536">
            <v>0</v>
          </cell>
          <cell r="K10536" t="str">
            <v>No Department</v>
          </cell>
          <cell r="L10536" t="str">
            <v>Realized Gain / Loss</v>
          </cell>
          <cell r="N10536" t="str">
            <v>BTL</v>
          </cell>
          <cell r="O10536" t="str">
            <v>[No Vendor]</v>
          </cell>
        </row>
        <row r="10537">
          <cell r="D10537">
            <v>213346.44</v>
          </cell>
          <cell r="H10537">
            <v>45870</v>
          </cell>
          <cell r="I10537" t="str">
            <v>8700 - Other Expense</v>
          </cell>
          <cell r="J10537">
            <v>0</v>
          </cell>
          <cell r="K10537" t="str">
            <v>Administration</v>
          </cell>
          <cell r="L10537" t="str">
            <v>Other Expense</v>
          </cell>
          <cell r="N10537" t="str">
            <v>BTL</v>
          </cell>
          <cell r="O10537" t="str">
            <v>Bryan Cave Leighton Paisner LLP</v>
          </cell>
        </row>
        <row r="10538">
          <cell r="D10538">
            <v>-400000</v>
          </cell>
          <cell r="H10538">
            <v>45870</v>
          </cell>
          <cell r="I10538" t="str">
            <v>8700 - Other Expense</v>
          </cell>
          <cell r="J10538">
            <v>0</v>
          </cell>
          <cell r="K10538" t="str">
            <v>Administration</v>
          </cell>
          <cell r="L10538" t="str">
            <v>Other Expense</v>
          </cell>
          <cell r="N10538" t="str">
            <v>BTL</v>
          </cell>
          <cell r="O10538" t="str">
            <v>[No Vendor]</v>
          </cell>
        </row>
        <row r="10539">
          <cell r="D10539">
            <v>300000</v>
          </cell>
          <cell r="H10539">
            <v>45870</v>
          </cell>
          <cell r="I10539" t="str">
            <v>8700 - Other Expense</v>
          </cell>
          <cell r="J10539">
            <v>0</v>
          </cell>
          <cell r="K10539" t="str">
            <v>Administration</v>
          </cell>
          <cell r="L10539" t="str">
            <v>Other Expense</v>
          </cell>
          <cell r="N10539" t="str">
            <v>BTL</v>
          </cell>
          <cell r="O10539" t="str">
            <v>[No Vendor]</v>
          </cell>
        </row>
        <row r="10540">
          <cell r="D10540">
            <v>36621.82</v>
          </cell>
          <cell r="H10540">
            <v>45870</v>
          </cell>
          <cell r="I10540" t="str">
            <v>8700 - Other Expense</v>
          </cell>
          <cell r="J10540" t="str">
            <v>Ecommerce (US)</v>
          </cell>
          <cell r="K10540" t="str">
            <v>Ecommerce</v>
          </cell>
          <cell r="L10540" t="str">
            <v>Other Expense</v>
          </cell>
          <cell r="N10540" t="str">
            <v>BTL</v>
          </cell>
          <cell r="O10540" t="str">
            <v>[No Vendor]</v>
          </cell>
        </row>
        <row r="10541">
          <cell r="D10541">
            <v>17071.38</v>
          </cell>
          <cell r="H10541">
            <v>45870</v>
          </cell>
          <cell r="I10541" t="str">
            <v>Unrealized Gain/Loss</v>
          </cell>
          <cell r="J10541">
            <v>0</v>
          </cell>
          <cell r="K10541" t="str">
            <v>No Department</v>
          </cell>
          <cell r="L10541" t="str">
            <v>Unrealized Gain / Loss</v>
          </cell>
          <cell r="N10541" t="str">
            <v>BTL</v>
          </cell>
          <cell r="O10541" t="str">
            <v>[No Vendor]</v>
          </cell>
        </row>
        <row r="10542">
          <cell r="D10542">
            <v>77917.31</v>
          </cell>
          <cell r="H10542">
            <v>45870</v>
          </cell>
          <cell r="I10542" t="str">
            <v>Unrealized Gain/Loss</v>
          </cell>
          <cell r="J10542">
            <v>0</v>
          </cell>
          <cell r="K10542" t="str">
            <v>No Department</v>
          </cell>
          <cell r="L10542" t="str">
            <v>Unrealized Gain / Loss</v>
          </cell>
          <cell r="N10542" t="str">
            <v>BTL</v>
          </cell>
          <cell r="O10542" t="str">
            <v>[No Vendor]</v>
          </cell>
        </row>
        <row r="10543">
          <cell r="D10543">
            <v>-31921.34</v>
          </cell>
          <cell r="H10543">
            <v>45870</v>
          </cell>
          <cell r="I10543" t="str">
            <v>Unrealized Gain/Loss</v>
          </cell>
          <cell r="J10543">
            <v>0</v>
          </cell>
          <cell r="K10543" t="str">
            <v>No Department</v>
          </cell>
          <cell r="L10543" t="str">
            <v>Unrealized Gain / Loss</v>
          </cell>
          <cell r="N10543" t="str">
            <v>BTL</v>
          </cell>
          <cell r="O10543" t="str">
            <v>[No Vendor]</v>
          </cell>
        </row>
        <row r="10544">
          <cell r="D10544">
            <v>-133794.22</v>
          </cell>
          <cell r="H10544">
            <v>45870</v>
          </cell>
          <cell r="I10544" t="str">
            <v>Unrealized Gain/Loss</v>
          </cell>
          <cell r="J10544">
            <v>0</v>
          </cell>
          <cell r="K10544" t="str">
            <v>No Department</v>
          </cell>
          <cell r="L10544" t="str">
            <v>Unrealized Gain / Loss</v>
          </cell>
          <cell r="N10544" t="str">
            <v>BTL</v>
          </cell>
          <cell r="O10544" t="str">
            <v>[No Vendor]</v>
          </cell>
        </row>
        <row r="10545">
          <cell r="D10545">
            <v>-40000</v>
          </cell>
          <cell r="H10545">
            <v>45901</v>
          </cell>
          <cell r="I10545" t="str">
            <v>4010 - Revenue - Licensing Fees (Royalties)</v>
          </cell>
          <cell r="J10545">
            <v>0</v>
          </cell>
          <cell r="K10545" t="str">
            <v>Licensing</v>
          </cell>
          <cell r="L10545" t="str">
            <v>License</v>
          </cell>
          <cell r="N10545" t="str">
            <v>Revenue</v>
          </cell>
          <cell r="O10545" t="str">
            <v>[No Vendor]</v>
          </cell>
        </row>
        <row r="10546">
          <cell r="D10546">
            <v>0</v>
          </cell>
          <cell r="H10546">
            <v>45901</v>
          </cell>
          <cell r="I10546" t="str">
            <v>4010 - Revenue - Licensing Fees (Royalties)</v>
          </cell>
          <cell r="J10546">
            <v>0</v>
          </cell>
          <cell r="K10546" t="str">
            <v>Licensing</v>
          </cell>
          <cell r="L10546" t="str">
            <v>License</v>
          </cell>
          <cell r="N10546" t="str">
            <v>Revenue</v>
          </cell>
          <cell r="O10546" t="str">
            <v>[No Vendor]</v>
          </cell>
        </row>
        <row r="10547">
          <cell r="D10547">
            <v>-4166.67</v>
          </cell>
          <cell r="H10547">
            <v>45901</v>
          </cell>
          <cell r="I10547" t="str">
            <v>4010 - Revenue - Licensing Fees (Royalties)</v>
          </cell>
          <cell r="J10547">
            <v>0</v>
          </cell>
          <cell r="K10547" t="str">
            <v>Licensing</v>
          </cell>
          <cell r="L10547" t="str">
            <v>License</v>
          </cell>
          <cell r="N10547" t="str">
            <v>Revenue</v>
          </cell>
          <cell r="O10547" t="str">
            <v>[No Vendor]</v>
          </cell>
        </row>
        <row r="10548">
          <cell r="D10548">
            <v>-47901.58</v>
          </cell>
          <cell r="H10548">
            <v>45901</v>
          </cell>
          <cell r="I10548" t="str">
            <v>4010 - Revenue - Licensing Fees (Royalties)</v>
          </cell>
          <cell r="J10548">
            <v>0</v>
          </cell>
          <cell r="K10548" t="str">
            <v>Licensing</v>
          </cell>
          <cell r="L10548" t="str">
            <v>License</v>
          </cell>
          <cell r="N10548" t="str">
            <v>Revenue</v>
          </cell>
          <cell r="O10548" t="str">
            <v>[No Vendor]</v>
          </cell>
        </row>
        <row r="10549">
          <cell r="D10549">
            <v>0</v>
          </cell>
          <cell r="H10549">
            <v>45901</v>
          </cell>
          <cell r="I10549" t="str">
            <v>4010 - Revenue - Licensing Fees (Royalties)</v>
          </cell>
          <cell r="J10549">
            <v>0</v>
          </cell>
          <cell r="K10549" t="str">
            <v>Licensing</v>
          </cell>
          <cell r="L10549" t="str">
            <v>License</v>
          </cell>
          <cell r="N10549" t="str">
            <v>Revenue</v>
          </cell>
          <cell r="O10549" t="str">
            <v>[No Vendor]</v>
          </cell>
        </row>
        <row r="10550">
          <cell r="D10550">
            <v>0</v>
          </cell>
          <cell r="H10550">
            <v>45901</v>
          </cell>
          <cell r="I10550" t="str">
            <v>4010 - Revenue - Licensing Fees (Royalties)</v>
          </cell>
          <cell r="J10550">
            <v>0</v>
          </cell>
          <cell r="K10550" t="str">
            <v>Licensing</v>
          </cell>
          <cell r="L10550" t="str">
            <v>License</v>
          </cell>
          <cell r="N10550" t="str">
            <v>Revenue</v>
          </cell>
          <cell r="O10550" t="str">
            <v>[No Vendor]</v>
          </cell>
        </row>
        <row r="10551">
          <cell r="D10551">
            <v>0</v>
          </cell>
          <cell r="H10551">
            <v>45901</v>
          </cell>
          <cell r="I10551" t="str">
            <v>4010 - Revenue - Licensing Fees (Royalties)</v>
          </cell>
          <cell r="J10551">
            <v>0</v>
          </cell>
          <cell r="K10551" t="str">
            <v>Licensing</v>
          </cell>
          <cell r="L10551" t="str">
            <v>License</v>
          </cell>
          <cell r="N10551" t="str">
            <v>Revenue</v>
          </cell>
          <cell r="O10551" t="str">
            <v>[No Vendor]</v>
          </cell>
        </row>
        <row r="10552">
          <cell r="D10552">
            <v>0</v>
          </cell>
          <cell r="H10552">
            <v>45901</v>
          </cell>
          <cell r="I10552" t="str">
            <v>4010 - Revenue - Licensing Fees (Royalties)</v>
          </cell>
          <cell r="J10552">
            <v>0</v>
          </cell>
          <cell r="K10552" t="str">
            <v>Licensing</v>
          </cell>
          <cell r="L10552" t="str">
            <v>License</v>
          </cell>
          <cell r="N10552" t="str">
            <v>Revenue</v>
          </cell>
          <cell r="O10552" t="str">
            <v>[No Vendor]</v>
          </cell>
        </row>
        <row r="10553">
          <cell r="D10553">
            <v>0</v>
          </cell>
          <cell r="H10553">
            <v>45901</v>
          </cell>
          <cell r="I10553" t="str">
            <v>4020 - Revenue - Marketing Contribution</v>
          </cell>
          <cell r="J10553">
            <v>0</v>
          </cell>
          <cell r="K10553" t="str">
            <v>Licensing</v>
          </cell>
          <cell r="L10553" t="str">
            <v>License</v>
          </cell>
          <cell r="N10553" t="str">
            <v>Revenue</v>
          </cell>
          <cell r="O10553" t="str">
            <v>[No Vendor]</v>
          </cell>
        </row>
        <row r="10554">
          <cell r="D10554">
            <v>-55294.2</v>
          </cell>
          <cell r="H10554">
            <v>45901</v>
          </cell>
          <cell r="I10554" t="str">
            <v>4050 - Sales Revenue - Ecommerce (US)</v>
          </cell>
          <cell r="J10554" t="str">
            <v>Ecommerce (US)</v>
          </cell>
          <cell r="K10554" t="str">
            <v>Ecommerce</v>
          </cell>
          <cell r="L10554" t="str">
            <v>Ecommerce (US)</v>
          </cell>
          <cell r="N10554" t="str">
            <v>Revenue</v>
          </cell>
          <cell r="O10554" t="str">
            <v>[No Vendor]</v>
          </cell>
        </row>
        <row r="10555">
          <cell r="D10555">
            <v>-1507573.55</v>
          </cell>
          <cell r="H10555">
            <v>45901</v>
          </cell>
          <cell r="I10555" t="str">
            <v>4050 - Sales Revenue - Ecommerce (US)</v>
          </cell>
          <cell r="J10555" t="str">
            <v>Ecommerce (US)</v>
          </cell>
          <cell r="K10555" t="str">
            <v>Ecommerce</v>
          </cell>
          <cell r="L10555" t="str">
            <v>Ecommerce (US)</v>
          </cell>
          <cell r="N10555" t="str">
            <v>Revenue</v>
          </cell>
          <cell r="O10555" t="str">
            <v>[No Vendor]</v>
          </cell>
        </row>
        <row r="10556">
          <cell r="D10556">
            <v>-659.16</v>
          </cell>
          <cell r="H10556">
            <v>45901</v>
          </cell>
          <cell r="I10556" t="str">
            <v>4051 - Sales Revenue - Ecommerce (Intl)</v>
          </cell>
          <cell r="J10556" t="str">
            <v>Ecommerce (EU)</v>
          </cell>
          <cell r="K10556" t="str">
            <v>Ecommerce</v>
          </cell>
          <cell r="L10556" t="str">
            <v>Ecommerce (EU)</v>
          </cell>
          <cell r="N10556" t="str">
            <v>Revenue</v>
          </cell>
          <cell r="O10556" t="str">
            <v>[No Vendor]</v>
          </cell>
        </row>
        <row r="10557">
          <cell r="D10557">
            <v>-29486.9</v>
          </cell>
          <cell r="H10557">
            <v>45901</v>
          </cell>
          <cell r="I10557" t="str">
            <v>4051 - Sales Revenue - Ecommerce (Intl)</v>
          </cell>
          <cell r="J10557" t="str">
            <v>Ecommerce (EU)</v>
          </cell>
          <cell r="K10557" t="str">
            <v>Ecommerce</v>
          </cell>
          <cell r="L10557" t="str">
            <v>Ecommerce (EU)</v>
          </cell>
          <cell r="N10557" t="str">
            <v>Revenue</v>
          </cell>
          <cell r="O10557" t="str">
            <v>[No Vendor]</v>
          </cell>
        </row>
        <row r="10558">
          <cell r="D10558">
            <v>-173397</v>
          </cell>
          <cell r="H10558">
            <v>45901</v>
          </cell>
          <cell r="I10558" t="str">
            <v>4052 - Sales Revenue - Wholesale (US)</v>
          </cell>
          <cell r="J10558" t="str">
            <v>Wholesale</v>
          </cell>
          <cell r="K10558" t="str">
            <v>Wholesale</v>
          </cell>
          <cell r="L10558" t="str">
            <v>Wholesale</v>
          </cell>
          <cell r="N10558" t="str">
            <v>Revenue</v>
          </cell>
          <cell r="O10558" t="str">
            <v>[No Vendor]</v>
          </cell>
        </row>
        <row r="10559">
          <cell r="D10559">
            <v>-5059.53</v>
          </cell>
          <cell r="H10559">
            <v>45901</v>
          </cell>
          <cell r="I10559" t="str">
            <v>4070 - Sales - Other</v>
          </cell>
          <cell r="J10559" t="str">
            <v>Ecommerce (US)</v>
          </cell>
          <cell r="K10559" t="str">
            <v>Ecommerce</v>
          </cell>
          <cell r="L10559" t="str">
            <v>Other Income</v>
          </cell>
          <cell r="N10559" t="str">
            <v>Revenue</v>
          </cell>
          <cell r="O10559" t="str">
            <v>[No Vendor]</v>
          </cell>
        </row>
        <row r="10560">
          <cell r="D10560">
            <v>0</v>
          </cell>
          <cell r="H10560">
            <v>45901</v>
          </cell>
          <cell r="I10560" t="str">
            <v>4070 - Sales - Other</v>
          </cell>
          <cell r="J10560">
            <v>0</v>
          </cell>
          <cell r="K10560" t="str">
            <v>Licensing</v>
          </cell>
          <cell r="L10560" t="str">
            <v>Other Income</v>
          </cell>
          <cell r="N10560" t="str">
            <v>Revenue</v>
          </cell>
          <cell r="O10560" t="str">
            <v>[No Vendor]</v>
          </cell>
        </row>
        <row r="10561">
          <cell r="D10561">
            <v>-9206.83</v>
          </cell>
          <cell r="H10561">
            <v>45901</v>
          </cell>
          <cell r="I10561" t="str">
            <v>4900 - Interco Royalty Revenue</v>
          </cell>
          <cell r="J10561">
            <v>0</v>
          </cell>
          <cell r="K10561" t="str">
            <v>Licensing</v>
          </cell>
          <cell r="L10561">
            <v>0</v>
          </cell>
          <cell r="N10561">
            <v>0</v>
          </cell>
          <cell r="O10561" t="str">
            <v>[No Vendor]</v>
          </cell>
        </row>
        <row r="10562">
          <cell r="D10562">
            <v>0</v>
          </cell>
          <cell r="H10562">
            <v>45901</v>
          </cell>
          <cell r="I10562" t="str">
            <v>4062 - Sales Discount - Ecomm (US)</v>
          </cell>
          <cell r="J10562" t="str">
            <v>Ecommerce (US)</v>
          </cell>
          <cell r="K10562" t="str">
            <v>Ecommerce</v>
          </cell>
          <cell r="L10562" t="str">
            <v>Ecommerce (US)</v>
          </cell>
          <cell r="N10562" t="str">
            <v>Revenue</v>
          </cell>
          <cell r="O10562" t="str">
            <v>[No Vendor]</v>
          </cell>
        </row>
        <row r="10563">
          <cell r="D10563">
            <v>167299.35</v>
          </cell>
          <cell r="H10563">
            <v>45901</v>
          </cell>
          <cell r="I10563" t="str">
            <v>4062 - Sales Discount - Ecomm (US)</v>
          </cell>
          <cell r="J10563" t="str">
            <v>Ecommerce (US)</v>
          </cell>
          <cell r="K10563" t="str">
            <v>Ecommerce</v>
          </cell>
          <cell r="L10563" t="str">
            <v>Ecommerce (US)</v>
          </cell>
          <cell r="N10563" t="str">
            <v>Revenue</v>
          </cell>
          <cell r="O10563" t="str">
            <v>[No Vendor]</v>
          </cell>
        </row>
        <row r="10564">
          <cell r="D10564">
            <v>9515.1</v>
          </cell>
          <cell r="H10564">
            <v>45901</v>
          </cell>
          <cell r="I10564" t="str">
            <v>4063 - Sales Discount - Wholesale (US)</v>
          </cell>
          <cell r="J10564" t="str">
            <v>Wholesale</v>
          </cell>
          <cell r="K10564" t="str">
            <v>Wholesale</v>
          </cell>
          <cell r="L10564" t="str">
            <v>Wholesale</v>
          </cell>
          <cell r="N10564" t="str">
            <v>Revenue</v>
          </cell>
          <cell r="O10564" t="str">
            <v>[No Vendor]</v>
          </cell>
        </row>
        <row r="10565">
          <cell r="D10565">
            <v>117.2</v>
          </cell>
          <cell r="H10565">
            <v>45901</v>
          </cell>
          <cell r="I10565" t="str">
            <v>4063 - Sales Discount - Wholesale (US)</v>
          </cell>
          <cell r="J10565" t="str">
            <v>Wholesale</v>
          </cell>
          <cell r="K10565" t="str">
            <v>Wholesale</v>
          </cell>
          <cell r="L10565" t="str">
            <v>Wholesale</v>
          </cell>
          <cell r="N10565" t="str">
            <v>Revenue</v>
          </cell>
          <cell r="O10565" t="str">
            <v>[No Vendor]</v>
          </cell>
        </row>
        <row r="10566">
          <cell r="D10566">
            <v>-7920</v>
          </cell>
          <cell r="H10566">
            <v>45901</v>
          </cell>
          <cell r="I10566" t="str">
            <v>4063 - Sales Discount - Wholesale (US)</v>
          </cell>
          <cell r="J10566" t="str">
            <v>Wholesale</v>
          </cell>
          <cell r="K10566" t="str">
            <v>Wholesale</v>
          </cell>
          <cell r="L10566" t="str">
            <v>Wholesale</v>
          </cell>
          <cell r="N10566" t="str">
            <v>Revenue</v>
          </cell>
          <cell r="O10566" t="str">
            <v>[No Vendor]</v>
          </cell>
        </row>
        <row r="10567">
          <cell r="D10567">
            <v>2532.31</v>
          </cell>
          <cell r="H10567">
            <v>45901</v>
          </cell>
          <cell r="I10567" t="str">
            <v>5000 - Cost of Goods Sold</v>
          </cell>
          <cell r="J10567" t="str">
            <v>Ecommerce (EU)</v>
          </cell>
          <cell r="K10567" t="str">
            <v>Ecommerce</v>
          </cell>
          <cell r="L10567" t="str">
            <v>COGS</v>
          </cell>
          <cell r="N10567" t="str">
            <v>COGS</v>
          </cell>
          <cell r="O10567" t="str">
            <v>[No Vendor]</v>
          </cell>
        </row>
        <row r="10568">
          <cell r="D10568">
            <v>12674.11</v>
          </cell>
          <cell r="H10568">
            <v>45901</v>
          </cell>
          <cell r="I10568" t="str">
            <v>5000 - Cost of Goods Sold</v>
          </cell>
          <cell r="J10568" t="str">
            <v>Ecommerce (EU)</v>
          </cell>
          <cell r="K10568" t="str">
            <v>Ecommerce</v>
          </cell>
          <cell r="L10568" t="str">
            <v>COGS</v>
          </cell>
          <cell r="N10568" t="str">
            <v>COGS</v>
          </cell>
          <cell r="O10568" t="str">
            <v>[No Vendor]</v>
          </cell>
        </row>
        <row r="10569">
          <cell r="D10569">
            <v>1268.1500000000001</v>
          </cell>
          <cell r="H10569">
            <v>45901</v>
          </cell>
          <cell r="I10569" t="str">
            <v>5000 - Cost of Goods Sold</v>
          </cell>
          <cell r="J10569" t="str">
            <v>Ecommerce (US)</v>
          </cell>
          <cell r="K10569" t="str">
            <v>Ecommerce</v>
          </cell>
          <cell r="L10569" t="str">
            <v>COGS</v>
          </cell>
          <cell r="N10569" t="str">
            <v>COGS</v>
          </cell>
          <cell r="O10569" t="str">
            <v>[No Vendor]</v>
          </cell>
        </row>
        <row r="10570">
          <cell r="D10570">
            <v>22292.400000000001</v>
          </cell>
          <cell r="H10570">
            <v>45901</v>
          </cell>
          <cell r="I10570" t="str">
            <v>5000 - Cost of Goods Sold</v>
          </cell>
          <cell r="J10570" t="str">
            <v>Ecommerce (US)</v>
          </cell>
          <cell r="K10570" t="str">
            <v>Ecommerce</v>
          </cell>
          <cell r="L10570" t="str">
            <v>COGS</v>
          </cell>
          <cell r="N10570" t="str">
            <v>COGS</v>
          </cell>
          <cell r="O10570" t="str">
            <v>[No Vendor]</v>
          </cell>
        </row>
        <row r="10571">
          <cell r="D10571">
            <v>17698.14</v>
          </cell>
          <cell r="H10571">
            <v>45901</v>
          </cell>
          <cell r="I10571" t="str">
            <v>5000 - Cost of Goods Sold</v>
          </cell>
          <cell r="J10571" t="str">
            <v>Ecommerce (US)</v>
          </cell>
          <cell r="K10571" t="str">
            <v>Ecommerce</v>
          </cell>
          <cell r="L10571" t="str">
            <v>COGS</v>
          </cell>
          <cell r="N10571" t="str">
            <v>COGS</v>
          </cell>
          <cell r="O10571" t="str">
            <v>[No Vendor]</v>
          </cell>
        </row>
        <row r="10572">
          <cell r="D10572">
            <v>535123.75</v>
          </cell>
          <cell r="H10572">
            <v>45901</v>
          </cell>
          <cell r="I10572" t="str">
            <v>5000 - Cost of Goods Sold</v>
          </cell>
          <cell r="J10572" t="str">
            <v>Ecommerce (US)</v>
          </cell>
          <cell r="K10572" t="str">
            <v>Ecommerce</v>
          </cell>
          <cell r="L10572" t="str">
            <v>COGS</v>
          </cell>
          <cell r="N10572" t="str">
            <v>COGS</v>
          </cell>
          <cell r="O10572" t="str">
            <v>[No Vendor]</v>
          </cell>
        </row>
        <row r="10573">
          <cell r="D10573">
            <v>20409.72</v>
          </cell>
          <cell r="H10573">
            <v>45901</v>
          </cell>
          <cell r="I10573" t="str">
            <v>5000 - Cost of Goods Sold</v>
          </cell>
          <cell r="J10573" t="str">
            <v>Wholesale</v>
          </cell>
          <cell r="K10573" t="str">
            <v>Wholesale</v>
          </cell>
          <cell r="L10573" t="str">
            <v>COGS</v>
          </cell>
          <cell r="N10573" t="str">
            <v>COGS</v>
          </cell>
          <cell r="O10573" t="str">
            <v>[No Vendor]</v>
          </cell>
        </row>
        <row r="10574">
          <cell r="D10574">
            <v>3590.43</v>
          </cell>
          <cell r="H10574">
            <v>45901</v>
          </cell>
          <cell r="I10574" t="str">
            <v>5000 - Cost of Goods Sold</v>
          </cell>
          <cell r="J10574" t="str">
            <v>Wholesale</v>
          </cell>
          <cell r="K10574" t="str">
            <v>Wholesale</v>
          </cell>
          <cell r="L10574" t="str">
            <v>COGS</v>
          </cell>
          <cell r="N10574" t="str">
            <v>COGS</v>
          </cell>
          <cell r="O10574" t="str">
            <v>[No Vendor]</v>
          </cell>
        </row>
        <row r="10575">
          <cell r="D10575">
            <v>-1597.62</v>
          </cell>
          <cell r="H10575">
            <v>45901</v>
          </cell>
          <cell r="I10575" t="str">
            <v>5000 - Cost of Goods Sold</v>
          </cell>
          <cell r="J10575" t="str">
            <v>Wholesale</v>
          </cell>
          <cell r="K10575" t="str">
            <v>Wholesale</v>
          </cell>
          <cell r="L10575" t="str">
            <v>COGS</v>
          </cell>
          <cell r="N10575" t="str">
            <v>COGS</v>
          </cell>
          <cell r="O10575" t="str">
            <v>[No Vendor]</v>
          </cell>
        </row>
        <row r="10576">
          <cell r="D10576">
            <v>85238.31</v>
          </cell>
          <cell r="H10576">
            <v>45901</v>
          </cell>
          <cell r="I10576" t="str">
            <v>5000 - Cost of Goods Sold</v>
          </cell>
          <cell r="J10576" t="str">
            <v>Wholesale</v>
          </cell>
          <cell r="K10576" t="str">
            <v>Wholesale</v>
          </cell>
          <cell r="L10576" t="str">
            <v>COGS</v>
          </cell>
          <cell r="N10576" t="str">
            <v>COGS</v>
          </cell>
          <cell r="O10576" t="str">
            <v>[No Vendor]</v>
          </cell>
        </row>
        <row r="10577">
          <cell r="D10577">
            <v>-5571.24</v>
          </cell>
          <cell r="H10577">
            <v>45901</v>
          </cell>
          <cell r="I10577" t="str">
            <v>5000 - Cost of Goods Sold</v>
          </cell>
          <cell r="J10577" t="str">
            <v>Wholesale</v>
          </cell>
          <cell r="K10577" t="str">
            <v>Wholesale</v>
          </cell>
          <cell r="L10577" t="str">
            <v>COGS</v>
          </cell>
          <cell r="N10577" t="str">
            <v>COGS</v>
          </cell>
          <cell r="O10577" t="str">
            <v>[No Vendor]</v>
          </cell>
        </row>
        <row r="10578">
          <cell r="D10578">
            <v>9206.83</v>
          </cell>
          <cell r="H10578">
            <v>45901</v>
          </cell>
          <cell r="I10578" t="str">
            <v>5900 - Interco Royalty Expense</v>
          </cell>
          <cell r="J10578">
            <v>0</v>
          </cell>
          <cell r="K10578" t="str">
            <v>Licensing</v>
          </cell>
          <cell r="L10578">
            <v>0</v>
          </cell>
          <cell r="N10578">
            <v>0</v>
          </cell>
          <cell r="O10578" t="str">
            <v>[No Vendor]</v>
          </cell>
        </row>
        <row r="10579">
          <cell r="D10579">
            <v>-3346.16</v>
          </cell>
          <cell r="H10579">
            <v>45901</v>
          </cell>
          <cell r="I10579" t="str">
            <v>6005 - Salaries</v>
          </cell>
          <cell r="J10579" t="str">
            <v>Wholesale</v>
          </cell>
          <cell r="K10579" t="str">
            <v>Wholesale</v>
          </cell>
          <cell r="L10579" t="str">
            <v>HQ Salaries</v>
          </cell>
          <cell r="N10579" t="str">
            <v>SG&amp;A</v>
          </cell>
          <cell r="O10579" t="str">
            <v>[No Vendor]</v>
          </cell>
        </row>
        <row r="10580">
          <cell r="D10580">
            <v>-15146.16</v>
          </cell>
          <cell r="H10580">
            <v>45901</v>
          </cell>
          <cell r="I10580" t="str">
            <v>6005 - Salaries</v>
          </cell>
          <cell r="J10580">
            <v>0</v>
          </cell>
          <cell r="K10580" t="str">
            <v>Production</v>
          </cell>
          <cell r="L10580" t="str">
            <v>HQ Salaries</v>
          </cell>
          <cell r="N10580" t="str">
            <v>SG&amp;A</v>
          </cell>
          <cell r="O10580" t="str">
            <v>[No Vendor]</v>
          </cell>
        </row>
        <row r="10581">
          <cell r="D10581">
            <v>-3846.15</v>
          </cell>
          <cell r="H10581">
            <v>45901</v>
          </cell>
          <cell r="I10581" t="str">
            <v>6005 - Salaries</v>
          </cell>
          <cell r="J10581">
            <v>0</v>
          </cell>
          <cell r="K10581" t="str">
            <v>Merchandising</v>
          </cell>
          <cell r="L10581" t="str">
            <v>HQ Salaries</v>
          </cell>
          <cell r="N10581" t="str">
            <v>SG&amp;A</v>
          </cell>
          <cell r="O10581" t="str">
            <v>[No Vendor]</v>
          </cell>
        </row>
        <row r="10582">
          <cell r="D10582">
            <v>-9615.39</v>
          </cell>
          <cell r="H10582">
            <v>45901</v>
          </cell>
          <cell r="I10582" t="str">
            <v>6005 - Salaries</v>
          </cell>
          <cell r="J10582">
            <v>0</v>
          </cell>
          <cell r="K10582" t="str">
            <v>Brand Marketing</v>
          </cell>
          <cell r="L10582" t="str">
            <v>HQ Salaries</v>
          </cell>
          <cell r="N10582" t="str">
            <v>SG&amp;A</v>
          </cell>
          <cell r="O10582" t="str">
            <v>[No Vendor]</v>
          </cell>
        </row>
        <row r="10583">
          <cell r="D10583">
            <v>-11373.08</v>
          </cell>
          <cell r="H10583">
            <v>45901</v>
          </cell>
          <cell r="I10583" t="str">
            <v>6005 - Salaries</v>
          </cell>
          <cell r="J10583">
            <v>0</v>
          </cell>
          <cell r="K10583" t="str">
            <v>Executive</v>
          </cell>
          <cell r="L10583" t="str">
            <v>HQ Salaries</v>
          </cell>
          <cell r="N10583" t="str">
            <v>SG&amp;A</v>
          </cell>
          <cell r="O10583" t="str">
            <v>[No Vendor]</v>
          </cell>
        </row>
        <row r="10584">
          <cell r="D10584">
            <v>-20707.71</v>
          </cell>
          <cell r="H10584">
            <v>45901</v>
          </cell>
          <cell r="I10584" t="str">
            <v>6005 - Salaries</v>
          </cell>
          <cell r="J10584" t="str">
            <v>Ecommerce (US)</v>
          </cell>
          <cell r="K10584" t="str">
            <v>Ecommerce</v>
          </cell>
          <cell r="L10584" t="str">
            <v>HQ Salaries</v>
          </cell>
          <cell r="N10584" t="str">
            <v>SG&amp;A</v>
          </cell>
          <cell r="O10584" t="str">
            <v>[No Vendor]</v>
          </cell>
        </row>
        <row r="10585">
          <cell r="D10585">
            <v>-22438.49</v>
          </cell>
          <cell r="H10585">
            <v>45901</v>
          </cell>
          <cell r="I10585" t="str">
            <v>6005 - Salaries</v>
          </cell>
          <cell r="J10585">
            <v>0</v>
          </cell>
          <cell r="K10585" t="str">
            <v>Design</v>
          </cell>
          <cell r="L10585" t="str">
            <v>HQ Salaries</v>
          </cell>
          <cell r="N10585" t="str">
            <v>SG&amp;A</v>
          </cell>
          <cell r="O10585" t="str">
            <v>[No Vendor]</v>
          </cell>
        </row>
        <row r="10586">
          <cell r="D10586">
            <v>-28171.16</v>
          </cell>
          <cell r="H10586">
            <v>45901</v>
          </cell>
          <cell r="I10586" t="str">
            <v>6005 - Salaries</v>
          </cell>
          <cell r="J10586">
            <v>0</v>
          </cell>
          <cell r="K10586" t="str">
            <v>Administration</v>
          </cell>
          <cell r="L10586" t="str">
            <v>HQ Salaries</v>
          </cell>
          <cell r="N10586" t="str">
            <v>SG&amp;A</v>
          </cell>
          <cell r="O10586" t="str">
            <v>[No Vendor]</v>
          </cell>
        </row>
        <row r="10587">
          <cell r="D10587">
            <v>3346.16</v>
          </cell>
          <cell r="H10587">
            <v>45901</v>
          </cell>
          <cell r="I10587" t="str">
            <v>6005 - Salaries</v>
          </cell>
          <cell r="J10587" t="str">
            <v>Wholesale</v>
          </cell>
          <cell r="K10587" t="str">
            <v>Wholesale</v>
          </cell>
          <cell r="L10587" t="str">
            <v>HQ Salaries</v>
          </cell>
          <cell r="N10587" t="str">
            <v>SG&amp;A</v>
          </cell>
          <cell r="O10587" t="str">
            <v>[No Vendor]</v>
          </cell>
        </row>
        <row r="10588">
          <cell r="D10588">
            <v>15146.16</v>
          </cell>
          <cell r="H10588">
            <v>45901</v>
          </cell>
          <cell r="I10588" t="str">
            <v>6005 - Salaries</v>
          </cell>
          <cell r="J10588">
            <v>0</v>
          </cell>
          <cell r="K10588" t="str">
            <v>Production</v>
          </cell>
          <cell r="L10588" t="str">
            <v>HQ Salaries</v>
          </cell>
          <cell r="N10588" t="str">
            <v>SG&amp;A</v>
          </cell>
          <cell r="O10588" t="str">
            <v>[No Vendor]</v>
          </cell>
        </row>
        <row r="10589">
          <cell r="D10589">
            <v>3846.15</v>
          </cell>
          <cell r="H10589">
            <v>45901</v>
          </cell>
          <cell r="I10589" t="str">
            <v>6005 - Salaries</v>
          </cell>
          <cell r="J10589">
            <v>0</v>
          </cell>
          <cell r="K10589" t="str">
            <v>Merchandising</v>
          </cell>
          <cell r="L10589" t="str">
            <v>HQ Salaries</v>
          </cell>
          <cell r="N10589" t="str">
            <v>SG&amp;A</v>
          </cell>
          <cell r="O10589" t="str">
            <v>[No Vendor]</v>
          </cell>
        </row>
        <row r="10590">
          <cell r="D10590">
            <v>9615.39</v>
          </cell>
          <cell r="H10590">
            <v>45901</v>
          </cell>
          <cell r="I10590" t="str">
            <v>6005 - Salaries</v>
          </cell>
          <cell r="J10590">
            <v>0</v>
          </cell>
          <cell r="K10590" t="str">
            <v>Brand Marketing</v>
          </cell>
          <cell r="L10590" t="str">
            <v>HQ Salaries</v>
          </cell>
          <cell r="N10590" t="str">
            <v>SG&amp;A</v>
          </cell>
          <cell r="O10590" t="str">
            <v>[No Vendor]</v>
          </cell>
        </row>
        <row r="10591">
          <cell r="D10591">
            <v>11373.08</v>
          </cell>
          <cell r="H10591">
            <v>45901</v>
          </cell>
          <cell r="I10591" t="str">
            <v>6005 - Salaries</v>
          </cell>
          <cell r="J10591">
            <v>0</v>
          </cell>
          <cell r="K10591" t="str">
            <v>Executive</v>
          </cell>
          <cell r="L10591" t="str">
            <v>HQ Salaries</v>
          </cell>
          <cell r="N10591" t="str">
            <v>SG&amp;A</v>
          </cell>
          <cell r="O10591" t="str">
            <v>[No Vendor]</v>
          </cell>
        </row>
        <row r="10592">
          <cell r="D10592">
            <v>20707.71</v>
          </cell>
          <cell r="H10592">
            <v>45901</v>
          </cell>
          <cell r="I10592" t="str">
            <v>6005 - Salaries</v>
          </cell>
          <cell r="J10592" t="str">
            <v>Ecommerce (US)</v>
          </cell>
          <cell r="K10592" t="str">
            <v>Ecommerce</v>
          </cell>
          <cell r="L10592" t="str">
            <v>HQ Salaries</v>
          </cell>
          <cell r="N10592" t="str">
            <v>SG&amp;A</v>
          </cell>
          <cell r="O10592" t="str">
            <v>[No Vendor]</v>
          </cell>
        </row>
        <row r="10593">
          <cell r="D10593">
            <v>22438.49</v>
          </cell>
          <cell r="H10593">
            <v>45901</v>
          </cell>
          <cell r="I10593" t="str">
            <v>6005 - Salaries</v>
          </cell>
          <cell r="J10593">
            <v>0</v>
          </cell>
          <cell r="K10593" t="str">
            <v>Design</v>
          </cell>
          <cell r="L10593" t="str">
            <v>HQ Salaries</v>
          </cell>
          <cell r="N10593" t="str">
            <v>SG&amp;A</v>
          </cell>
          <cell r="O10593" t="str">
            <v>[No Vendor]</v>
          </cell>
        </row>
        <row r="10594">
          <cell r="D10594">
            <v>28171.16</v>
          </cell>
          <cell r="H10594">
            <v>45901</v>
          </cell>
          <cell r="I10594" t="str">
            <v>6005 - Salaries</v>
          </cell>
          <cell r="J10594">
            <v>0</v>
          </cell>
          <cell r="K10594" t="str">
            <v>Administration</v>
          </cell>
          <cell r="L10594" t="str">
            <v>HQ Salaries</v>
          </cell>
          <cell r="N10594" t="str">
            <v>SG&amp;A</v>
          </cell>
          <cell r="O10594" t="str">
            <v>[No Vendor]</v>
          </cell>
        </row>
        <row r="10595">
          <cell r="D10595">
            <v>18150.009999999998</v>
          </cell>
          <cell r="H10595">
            <v>45901</v>
          </cell>
          <cell r="I10595" t="str">
            <v>6005 - Salaries</v>
          </cell>
          <cell r="J10595">
            <v>0</v>
          </cell>
          <cell r="K10595" t="str">
            <v>Administration</v>
          </cell>
          <cell r="L10595" t="str">
            <v>HQ Salaries</v>
          </cell>
          <cell r="N10595" t="str">
            <v>SG&amp;A</v>
          </cell>
          <cell r="O10595" t="str">
            <v>[No Vendor]</v>
          </cell>
        </row>
        <row r="10596">
          <cell r="D10596">
            <v>3346.16</v>
          </cell>
          <cell r="H10596">
            <v>45901</v>
          </cell>
          <cell r="I10596" t="str">
            <v>6005 - Salaries</v>
          </cell>
          <cell r="J10596" t="str">
            <v>Wholesale</v>
          </cell>
          <cell r="K10596" t="str">
            <v>Wholesale</v>
          </cell>
          <cell r="L10596" t="str">
            <v>HQ Salaries</v>
          </cell>
          <cell r="N10596" t="str">
            <v>SG&amp;A</v>
          </cell>
          <cell r="O10596" t="str">
            <v>[No Vendor]</v>
          </cell>
        </row>
        <row r="10597">
          <cell r="D10597">
            <v>15146.16</v>
          </cell>
          <cell r="H10597">
            <v>45901</v>
          </cell>
          <cell r="I10597" t="str">
            <v>6005 - Salaries</v>
          </cell>
          <cell r="J10597">
            <v>0</v>
          </cell>
          <cell r="K10597" t="str">
            <v>Production</v>
          </cell>
          <cell r="L10597" t="str">
            <v>HQ Salaries</v>
          </cell>
          <cell r="N10597" t="str">
            <v>SG&amp;A</v>
          </cell>
          <cell r="O10597" t="str">
            <v>[No Vendor]</v>
          </cell>
        </row>
        <row r="10598">
          <cell r="D10598">
            <v>3846.15</v>
          </cell>
          <cell r="H10598">
            <v>45901</v>
          </cell>
          <cell r="I10598" t="str">
            <v>6005 - Salaries</v>
          </cell>
          <cell r="J10598">
            <v>0</v>
          </cell>
          <cell r="K10598" t="str">
            <v>Merchandising</v>
          </cell>
          <cell r="L10598" t="str">
            <v>HQ Salaries</v>
          </cell>
          <cell r="N10598" t="str">
            <v>SG&amp;A</v>
          </cell>
          <cell r="O10598" t="str">
            <v>[No Vendor]</v>
          </cell>
        </row>
        <row r="10599">
          <cell r="D10599">
            <v>9615.39</v>
          </cell>
          <cell r="H10599">
            <v>45901</v>
          </cell>
          <cell r="I10599" t="str">
            <v>6005 - Salaries</v>
          </cell>
          <cell r="J10599">
            <v>0</v>
          </cell>
          <cell r="K10599" t="str">
            <v>Brand Marketing</v>
          </cell>
          <cell r="L10599" t="str">
            <v>HQ Salaries</v>
          </cell>
          <cell r="N10599" t="str">
            <v>SG&amp;A</v>
          </cell>
          <cell r="O10599" t="str">
            <v>[No Vendor]</v>
          </cell>
        </row>
        <row r="10600">
          <cell r="D10600">
            <v>11373.08</v>
          </cell>
          <cell r="H10600">
            <v>45901</v>
          </cell>
          <cell r="I10600" t="str">
            <v>6005 - Salaries</v>
          </cell>
          <cell r="J10600">
            <v>0</v>
          </cell>
          <cell r="K10600" t="str">
            <v>Executive</v>
          </cell>
          <cell r="L10600" t="str">
            <v>HQ Salaries</v>
          </cell>
          <cell r="N10600" t="str">
            <v>SG&amp;A</v>
          </cell>
          <cell r="O10600" t="str">
            <v>[No Vendor]</v>
          </cell>
        </row>
        <row r="10601">
          <cell r="D10601">
            <v>20707.71</v>
          </cell>
          <cell r="H10601">
            <v>45901</v>
          </cell>
          <cell r="I10601" t="str">
            <v>6005 - Salaries</v>
          </cell>
          <cell r="J10601" t="str">
            <v>Ecommerce (US)</v>
          </cell>
          <cell r="K10601" t="str">
            <v>Ecommerce</v>
          </cell>
          <cell r="L10601" t="str">
            <v>HQ Salaries</v>
          </cell>
          <cell r="N10601" t="str">
            <v>SG&amp;A</v>
          </cell>
          <cell r="O10601" t="str">
            <v>[No Vendor]</v>
          </cell>
        </row>
        <row r="10602">
          <cell r="D10602">
            <v>22438.49</v>
          </cell>
          <cell r="H10602">
            <v>45901</v>
          </cell>
          <cell r="I10602" t="str">
            <v>6005 - Salaries</v>
          </cell>
          <cell r="J10602">
            <v>0</v>
          </cell>
          <cell r="K10602" t="str">
            <v>Design</v>
          </cell>
          <cell r="L10602" t="str">
            <v>HQ Salaries</v>
          </cell>
          <cell r="N10602" t="str">
            <v>SG&amp;A</v>
          </cell>
          <cell r="O10602" t="str">
            <v>[No Vendor]</v>
          </cell>
        </row>
        <row r="10603">
          <cell r="D10603">
            <v>21780.01</v>
          </cell>
          <cell r="H10603">
            <v>45901</v>
          </cell>
          <cell r="I10603" t="str">
            <v>6005 - Salaries</v>
          </cell>
          <cell r="J10603">
            <v>0</v>
          </cell>
          <cell r="K10603" t="str">
            <v>Administration</v>
          </cell>
          <cell r="L10603" t="str">
            <v>HQ Salaries</v>
          </cell>
          <cell r="N10603" t="str">
            <v>SG&amp;A</v>
          </cell>
          <cell r="O10603" t="str">
            <v>[No Vendor]</v>
          </cell>
        </row>
        <row r="10604">
          <cell r="D10604">
            <v>26926.19</v>
          </cell>
          <cell r="H10604">
            <v>45901</v>
          </cell>
          <cell r="I10604" t="str">
            <v>6005 - Salaries</v>
          </cell>
          <cell r="J10604">
            <v>0</v>
          </cell>
          <cell r="K10604" t="str">
            <v>Design</v>
          </cell>
          <cell r="L10604" t="str">
            <v>HQ Salaries</v>
          </cell>
          <cell r="N10604" t="str">
            <v>SG&amp;A</v>
          </cell>
          <cell r="O10604" t="str">
            <v>[No Vendor]</v>
          </cell>
        </row>
        <row r="10605">
          <cell r="D10605">
            <v>24849.25</v>
          </cell>
          <cell r="H10605">
            <v>45901</v>
          </cell>
          <cell r="I10605" t="str">
            <v>6005 - Salaries</v>
          </cell>
          <cell r="J10605" t="str">
            <v>Ecommerce (US)</v>
          </cell>
          <cell r="K10605" t="str">
            <v>Ecommerce</v>
          </cell>
          <cell r="L10605" t="str">
            <v>HQ Salaries</v>
          </cell>
          <cell r="N10605" t="str">
            <v>SG&amp;A</v>
          </cell>
          <cell r="O10605" t="str">
            <v>[No Vendor]</v>
          </cell>
        </row>
        <row r="10606">
          <cell r="D10606">
            <v>13647.7</v>
          </cell>
          <cell r="H10606">
            <v>45901</v>
          </cell>
          <cell r="I10606" t="str">
            <v>6005 - Salaries</v>
          </cell>
          <cell r="J10606">
            <v>0</v>
          </cell>
          <cell r="K10606" t="str">
            <v>Executive</v>
          </cell>
          <cell r="L10606" t="str">
            <v>HQ Salaries</v>
          </cell>
          <cell r="N10606" t="str">
            <v>SG&amp;A</v>
          </cell>
          <cell r="O10606" t="str">
            <v>[No Vendor]</v>
          </cell>
        </row>
        <row r="10607">
          <cell r="D10607">
            <v>11538.47</v>
          </cell>
          <cell r="H10607">
            <v>45901</v>
          </cell>
          <cell r="I10607" t="str">
            <v>6005 - Salaries</v>
          </cell>
          <cell r="J10607">
            <v>0</v>
          </cell>
          <cell r="K10607" t="str">
            <v>Brand Marketing</v>
          </cell>
          <cell r="L10607" t="str">
            <v>HQ Salaries</v>
          </cell>
          <cell r="N10607" t="str">
            <v>SG&amp;A</v>
          </cell>
          <cell r="O10607" t="str">
            <v>[No Vendor]</v>
          </cell>
        </row>
        <row r="10608">
          <cell r="D10608">
            <v>4615.38</v>
          </cell>
          <cell r="H10608">
            <v>45901</v>
          </cell>
          <cell r="I10608" t="str">
            <v>6005 - Salaries</v>
          </cell>
          <cell r="J10608">
            <v>0</v>
          </cell>
          <cell r="K10608" t="str">
            <v>Merchandising</v>
          </cell>
          <cell r="L10608" t="str">
            <v>HQ Salaries</v>
          </cell>
          <cell r="N10608" t="str">
            <v>SG&amp;A</v>
          </cell>
          <cell r="O10608" t="str">
            <v>[No Vendor]</v>
          </cell>
        </row>
        <row r="10609">
          <cell r="D10609">
            <v>18175.39</v>
          </cell>
          <cell r="H10609">
            <v>45901</v>
          </cell>
          <cell r="I10609" t="str">
            <v>6005 - Salaries</v>
          </cell>
          <cell r="J10609">
            <v>0</v>
          </cell>
          <cell r="K10609" t="str">
            <v>Production</v>
          </cell>
          <cell r="L10609" t="str">
            <v>HQ Salaries</v>
          </cell>
          <cell r="N10609" t="str">
            <v>SG&amp;A</v>
          </cell>
          <cell r="O10609" t="str">
            <v>[No Vendor]</v>
          </cell>
        </row>
        <row r="10610">
          <cell r="D10610">
            <v>4015.39</v>
          </cell>
          <cell r="H10610">
            <v>45901</v>
          </cell>
          <cell r="I10610" t="str">
            <v>6005 - Salaries</v>
          </cell>
          <cell r="J10610" t="str">
            <v>Wholesale</v>
          </cell>
          <cell r="K10610" t="str">
            <v>Wholesale</v>
          </cell>
          <cell r="L10610" t="str">
            <v>HQ Salaries</v>
          </cell>
          <cell r="N10610" t="str">
            <v>SG&amp;A</v>
          </cell>
          <cell r="O10610" t="str">
            <v>[No Vendor]</v>
          </cell>
        </row>
        <row r="10611">
          <cell r="D10611">
            <v>0</v>
          </cell>
          <cell r="H10611">
            <v>45901</v>
          </cell>
          <cell r="I10611" t="str">
            <v>6041 - Employee Benefit Other</v>
          </cell>
          <cell r="J10611">
            <v>0</v>
          </cell>
          <cell r="K10611" t="str">
            <v>Administration</v>
          </cell>
          <cell r="L10611" t="str">
            <v>HQ Salaries</v>
          </cell>
          <cell r="N10611" t="str">
            <v>SG&amp;A</v>
          </cell>
          <cell r="O10611" t="str">
            <v>[No Vendor]</v>
          </cell>
        </row>
        <row r="10612">
          <cell r="D10612">
            <v>0</v>
          </cell>
          <cell r="H10612">
            <v>45901</v>
          </cell>
          <cell r="I10612" t="str">
            <v>6041 - Employee Benefit Other</v>
          </cell>
          <cell r="J10612">
            <v>0</v>
          </cell>
          <cell r="K10612" t="str">
            <v>Administration</v>
          </cell>
          <cell r="L10612" t="str">
            <v>HQ Salaries</v>
          </cell>
          <cell r="N10612" t="str">
            <v>SG&amp;A</v>
          </cell>
          <cell r="O10612" t="str">
            <v>[No Vendor]</v>
          </cell>
        </row>
        <row r="10613">
          <cell r="D10613">
            <v>0</v>
          </cell>
          <cell r="H10613">
            <v>45901</v>
          </cell>
          <cell r="I10613" t="str">
            <v>6041 - Employee Benefit Other</v>
          </cell>
          <cell r="J10613">
            <v>0</v>
          </cell>
          <cell r="K10613" t="str">
            <v>Design</v>
          </cell>
          <cell r="L10613" t="str">
            <v>HQ Salaries</v>
          </cell>
          <cell r="N10613" t="str">
            <v>SG&amp;A</v>
          </cell>
          <cell r="O10613" t="str">
            <v>[No Vendor]</v>
          </cell>
        </row>
        <row r="10614">
          <cell r="D10614">
            <v>0</v>
          </cell>
          <cell r="H10614">
            <v>45901</v>
          </cell>
          <cell r="I10614" t="str">
            <v>6041 - Employee Benefit Other</v>
          </cell>
          <cell r="J10614" t="str">
            <v>Ecommerce (US)</v>
          </cell>
          <cell r="K10614" t="str">
            <v>Ecommerce</v>
          </cell>
          <cell r="L10614" t="str">
            <v>HQ Salaries</v>
          </cell>
          <cell r="N10614" t="str">
            <v>SG&amp;A</v>
          </cell>
          <cell r="O10614" t="str">
            <v>[No Vendor]</v>
          </cell>
        </row>
        <row r="10615">
          <cell r="D10615">
            <v>0</v>
          </cell>
          <cell r="H10615">
            <v>45901</v>
          </cell>
          <cell r="I10615" t="str">
            <v>6041 - Employee Benefit Other</v>
          </cell>
          <cell r="J10615">
            <v>0</v>
          </cell>
          <cell r="K10615" t="str">
            <v>Merchandising</v>
          </cell>
          <cell r="L10615" t="str">
            <v>HQ Salaries</v>
          </cell>
          <cell r="N10615" t="str">
            <v>SG&amp;A</v>
          </cell>
          <cell r="O10615" t="str">
            <v>[No Vendor]</v>
          </cell>
        </row>
        <row r="10616">
          <cell r="D10616">
            <v>158.51</v>
          </cell>
          <cell r="H10616">
            <v>45901</v>
          </cell>
          <cell r="I10616" t="str">
            <v>6041 - Employee Benefit Other</v>
          </cell>
          <cell r="J10616">
            <v>0</v>
          </cell>
          <cell r="K10616" t="str">
            <v>Production</v>
          </cell>
          <cell r="L10616" t="str">
            <v>HQ Salaries</v>
          </cell>
          <cell r="N10616" t="str">
            <v>SG&amp;A</v>
          </cell>
          <cell r="O10616" t="str">
            <v>[No Vendor]</v>
          </cell>
        </row>
        <row r="10617">
          <cell r="D10617">
            <v>0</v>
          </cell>
          <cell r="H10617">
            <v>45901</v>
          </cell>
          <cell r="I10617" t="str">
            <v>6041 - Employee Benefit Other</v>
          </cell>
          <cell r="J10617" t="str">
            <v>Wholesale</v>
          </cell>
          <cell r="K10617" t="str">
            <v>Wholesale</v>
          </cell>
          <cell r="L10617" t="str">
            <v>HQ Salaries</v>
          </cell>
          <cell r="N10617" t="str">
            <v>SG&amp;A</v>
          </cell>
          <cell r="O10617" t="str">
            <v>[No Vendor]</v>
          </cell>
        </row>
        <row r="10618">
          <cell r="D10618">
            <v>-9489.4</v>
          </cell>
          <cell r="H10618">
            <v>45901</v>
          </cell>
          <cell r="I10618" t="str">
            <v>6015 - Vacation - PTO Exp</v>
          </cell>
          <cell r="J10618">
            <v>0</v>
          </cell>
          <cell r="K10618" t="str">
            <v>Administration</v>
          </cell>
          <cell r="L10618" t="str">
            <v>HQ Salaries</v>
          </cell>
          <cell r="N10618" t="str">
            <v>SG&amp;A</v>
          </cell>
          <cell r="O10618" t="str">
            <v>[No Vendor]</v>
          </cell>
        </row>
        <row r="10619">
          <cell r="D10619">
            <v>9489.4</v>
          </cell>
          <cell r="H10619">
            <v>45901</v>
          </cell>
          <cell r="I10619" t="str">
            <v>6015 - Vacation - PTO Exp</v>
          </cell>
          <cell r="J10619">
            <v>0</v>
          </cell>
          <cell r="K10619" t="str">
            <v>Administration</v>
          </cell>
          <cell r="L10619" t="str">
            <v>HQ Salaries</v>
          </cell>
          <cell r="N10619" t="str">
            <v>SG&amp;A</v>
          </cell>
          <cell r="O10619" t="str">
            <v>[No Vendor]</v>
          </cell>
        </row>
        <row r="10620">
          <cell r="D10620">
            <v>0</v>
          </cell>
          <cell r="H10620">
            <v>45901</v>
          </cell>
          <cell r="I10620" t="str">
            <v>6015 - Vacation - PTO Exp</v>
          </cell>
          <cell r="J10620">
            <v>0</v>
          </cell>
          <cell r="K10620" t="str">
            <v>Administration</v>
          </cell>
          <cell r="L10620" t="str">
            <v>HQ Salaries</v>
          </cell>
          <cell r="N10620" t="str">
            <v>SG&amp;A</v>
          </cell>
          <cell r="O10620" t="str">
            <v>[No Vendor]</v>
          </cell>
        </row>
        <row r="10621">
          <cell r="D10621">
            <v>0</v>
          </cell>
          <cell r="H10621">
            <v>45901</v>
          </cell>
          <cell r="I10621" t="str">
            <v>6015 - Vacation - PTO Exp</v>
          </cell>
          <cell r="J10621">
            <v>0</v>
          </cell>
          <cell r="K10621" t="str">
            <v>Administration</v>
          </cell>
          <cell r="L10621" t="str">
            <v>HQ Salaries</v>
          </cell>
          <cell r="N10621" t="str">
            <v>SG&amp;A</v>
          </cell>
          <cell r="O10621" t="str">
            <v>[No Vendor]</v>
          </cell>
        </row>
        <row r="10622">
          <cell r="D10622">
            <v>0</v>
          </cell>
          <cell r="H10622">
            <v>45901</v>
          </cell>
          <cell r="I10622" t="str">
            <v>6035 - Severance Expense</v>
          </cell>
          <cell r="J10622" t="str">
            <v>Wholesale</v>
          </cell>
          <cell r="K10622" t="str">
            <v>Wholesale</v>
          </cell>
          <cell r="L10622" t="str">
            <v>HQ Salaries</v>
          </cell>
          <cell r="N10622" t="str">
            <v>SG&amp;A</v>
          </cell>
          <cell r="O10622" t="str">
            <v>[No Vendor]</v>
          </cell>
        </row>
        <row r="10623">
          <cell r="D10623">
            <v>0</v>
          </cell>
          <cell r="H10623">
            <v>45901</v>
          </cell>
          <cell r="I10623" t="str">
            <v>6035 - Severance Expense</v>
          </cell>
          <cell r="J10623" t="str">
            <v>Wholesale</v>
          </cell>
          <cell r="K10623" t="str">
            <v>Wholesale</v>
          </cell>
          <cell r="L10623" t="str">
            <v>HQ Salaries</v>
          </cell>
          <cell r="N10623" t="str">
            <v>SG&amp;A</v>
          </cell>
          <cell r="O10623" t="str">
            <v>[No Vendor]</v>
          </cell>
        </row>
        <row r="10624">
          <cell r="D10624">
            <v>0</v>
          </cell>
          <cell r="H10624">
            <v>45901</v>
          </cell>
          <cell r="I10624" t="str">
            <v>6035 - Severance Expense</v>
          </cell>
          <cell r="J10624" t="str">
            <v>Wholesale</v>
          </cell>
          <cell r="K10624" t="str">
            <v>Wholesale</v>
          </cell>
          <cell r="L10624" t="str">
            <v>HQ Salaries</v>
          </cell>
          <cell r="N10624" t="str">
            <v>SG&amp;A</v>
          </cell>
          <cell r="O10624" t="str">
            <v>[No Vendor]</v>
          </cell>
        </row>
        <row r="10625">
          <cell r="D10625">
            <v>0</v>
          </cell>
          <cell r="H10625">
            <v>45901</v>
          </cell>
          <cell r="I10625" t="str">
            <v>6035 - Severance Expense</v>
          </cell>
          <cell r="J10625" t="str">
            <v>Wholesale</v>
          </cell>
          <cell r="K10625" t="str">
            <v>Wholesale</v>
          </cell>
          <cell r="L10625" t="str">
            <v>HQ Salaries</v>
          </cell>
          <cell r="N10625" t="str">
            <v>SG&amp;A</v>
          </cell>
          <cell r="O10625" t="str">
            <v>[No Vendor]</v>
          </cell>
        </row>
        <row r="10626">
          <cell r="D10626">
            <v>8442.7999999999993</v>
          </cell>
          <cell r="H10626">
            <v>45901</v>
          </cell>
          <cell r="I10626" t="str">
            <v>6040 - Employer Paid Benefits</v>
          </cell>
          <cell r="J10626">
            <v>0</v>
          </cell>
          <cell r="K10626" t="str">
            <v>Administration</v>
          </cell>
          <cell r="L10626" t="str">
            <v>HQ Salaries</v>
          </cell>
          <cell r="N10626" t="str">
            <v>SG&amp;A</v>
          </cell>
          <cell r="O10626" t="str">
            <v>Anthem Blue Cross and Blue Shield</v>
          </cell>
        </row>
        <row r="10627">
          <cell r="D10627">
            <v>40.54</v>
          </cell>
          <cell r="H10627">
            <v>45901</v>
          </cell>
          <cell r="I10627" t="str">
            <v>6040 - Employer Paid Benefits</v>
          </cell>
          <cell r="J10627" t="str">
            <v>Wholesale</v>
          </cell>
          <cell r="K10627" t="str">
            <v>Wholesale</v>
          </cell>
          <cell r="L10627" t="str">
            <v>HQ Salaries</v>
          </cell>
          <cell r="N10627" t="str">
            <v>SG&amp;A</v>
          </cell>
          <cell r="O10627" t="str">
            <v>United of Omaha Life Insurance Company</v>
          </cell>
        </row>
        <row r="10628">
          <cell r="D10628">
            <v>1260.1199999999999</v>
          </cell>
          <cell r="H10628">
            <v>45901</v>
          </cell>
          <cell r="I10628" t="str">
            <v>6040 - Employer Paid Benefits</v>
          </cell>
          <cell r="J10628" t="str">
            <v>Wholesale</v>
          </cell>
          <cell r="K10628" t="str">
            <v>Wholesale</v>
          </cell>
          <cell r="L10628" t="str">
            <v>HQ Salaries</v>
          </cell>
          <cell r="N10628" t="str">
            <v>SG&amp;A</v>
          </cell>
          <cell r="O10628" t="str">
            <v>Anthem Blue Cross and Blue Shield</v>
          </cell>
        </row>
        <row r="10629">
          <cell r="D10629">
            <v>145.58000000000001</v>
          </cell>
          <cell r="H10629">
            <v>45901</v>
          </cell>
          <cell r="I10629" t="str">
            <v>6040 - Employer Paid Benefits</v>
          </cell>
          <cell r="J10629">
            <v>0</v>
          </cell>
          <cell r="K10629" t="str">
            <v>Production</v>
          </cell>
          <cell r="L10629" t="str">
            <v>HQ Salaries</v>
          </cell>
          <cell r="N10629" t="str">
            <v>SG&amp;A</v>
          </cell>
          <cell r="O10629" t="str">
            <v>Allied Administrators</v>
          </cell>
        </row>
        <row r="10630">
          <cell r="D10630">
            <v>232.25</v>
          </cell>
          <cell r="H10630">
            <v>45901</v>
          </cell>
          <cell r="I10630" t="str">
            <v>6040 - Employer Paid Benefits</v>
          </cell>
          <cell r="J10630">
            <v>0</v>
          </cell>
          <cell r="K10630" t="str">
            <v>Production</v>
          </cell>
          <cell r="L10630" t="str">
            <v>HQ Salaries</v>
          </cell>
          <cell r="N10630" t="str">
            <v>SG&amp;A</v>
          </cell>
          <cell r="O10630" t="str">
            <v>United of Omaha Life Insurance Company</v>
          </cell>
        </row>
        <row r="10631">
          <cell r="D10631">
            <v>4662.4399999999996</v>
          </cell>
          <cell r="H10631">
            <v>45901</v>
          </cell>
          <cell r="I10631" t="str">
            <v>6040 - Employer Paid Benefits</v>
          </cell>
          <cell r="J10631">
            <v>0</v>
          </cell>
          <cell r="K10631" t="str">
            <v>Production</v>
          </cell>
          <cell r="L10631" t="str">
            <v>HQ Salaries</v>
          </cell>
          <cell r="N10631" t="str">
            <v>SG&amp;A</v>
          </cell>
          <cell r="O10631" t="str">
            <v>Anthem Blue Cross and Blue Shield</v>
          </cell>
        </row>
        <row r="10632">
          <cell r="D10632">
            <v>83.64</v>
          </cell>
          <cell r="H10632">
            <v>45901</v>
          </cell>
          <cell r="I10632" t="str">
            <v>6040 - Employer Paid Benefits</v>
          </cell>
          <cell r="J10632">
            <v>0</v>
          </cell>
          <cell r="K10632" t="str">
            <v>Merchandising</v>
          </cell>
          <cell r="L10632" t="str">
            <v>HQ Salaries</v>
          </cell>
          <cell r="N10632" t="str">
            <v>SG&amp;A</v>
          </cell>
          <cell r="O10632" t="str">
            <v>Allied Administrators</v>
          </cell>
        </row>
        <row r="10633">
          <cell r="D10633">
            <v>86.43</v>
          </cell>
          <cell r="H10633">
            <v>45901</v>
          </cell>
          <cell r="I10633" t="str">
            <v>6040 - Employer Paid Benefits</v>
          </cell>
          <cell r="J10633">
            <v>0</v>
          </cell>
          <cell r="K10633" t="str">
            <v>Merchandising</v>
          </cell>
          <cell r="L10633" t="str">
            <v>HQ Salaries</v>
          </cell>
          <cell r="N10633" t="str">
            <v>SG&amp;A</v>
          </cell>
          <cell r="O10633" t="str">
            <v>United of Omaha Life Insurance Company</v>
          </cell>
        </row>
        <row r="10634">
          <cell r="D10634">
            <v>2520.2399999999998</v>
          </cell>
          <cell r="H10634">
            <v>45901</v>
          </cell>
          <cell r="I10634" t="str">
            <v>6040 - Employer Paid Benefits</v>
          </cell>
          <cell r="J10634">
            <v>0</v>
          </cell>
          <cell r="K10634" t="str">
            <v>Merchandising</v>
          </cell>
          <cell r="L10634" t="str">
            <v>HQ Salaries</v>
          </cell>
          <cell r="N10634" t="str">
            <v>SG&amp;A</v>
          </cell>
          <cell r="O10634" t="str">
            <v>Anthem Blue Cross and Blue Shield</v>
          </cell>
        </row>
        <row r="10635">
          <cell r="D10635">
            <v>83.64</v>
          </cell>
          <cell r="H10635">
            <v>45901</v>
          </cell>
          <cell r="I10635" t="str">
            <v>6040 - Employer Paid Benefits</v>
          </cell>
          <cell r="J10635">
            <v>0</v>
          </cell>
          <cell r="K10635" t="str">
            <v>Brand Marketing</v>
          </cell>
          <cell r="L10635" t="str">
            <v>HQ Salaries</v>
          </cell>
          <cell r="N10635" t="str">
            <v>SG&amp;A</v>
          </cell>
          <cell r="O10635" t="str">
            <v>Allied Administrators</v>
          </cell>
        </row>
        <row r="10636">
          <cell r="D10636">
            <v>53.76</v>
          </cell>
          <cell r="H10636">
            <v>45901</v>
          </cell>
          <cell r="I10636" t="str">
            <v>6040 - Employer Paid Benefits</v>
          </cell>
          <cell r="J10636">
            <v>0</v>
          </cell>
          <cell r="K10636" t="str">
            <v>Brand Marketing</v>
          </cell>
          <cell r="L10636" t="str">
            <v>HQ Salaries</v>
          </cell>
          <cell r="N10636" t="str">
            <v>SG&amp;A</v>
          </cell>
          <cell r="O10636" t="str">
            <v>United of Omaha Life Insurance Company</v>
          </cell>
        </row>
        <row r="10637">
          <cell r="D10637">
            <v>1260.1199999999999</v>
          </cell>
          <cell r="H10637">
            <v>45901</v>
          </cell>
          <cell r="I10637" t="str">
            <v>6040 - Employer Paid Benefits</v>
          </cell>
          <cell r="J10637">
            <v>0</v>
          </cell>
          <cell r="K10637" t="str">
            <v>Brand Marketing</v>
          </cell>
          <cell r="L10637" t="str">
            <v>HQ Salaries</v>
          </cell>
          <cell r="N10637" t="str">
            <v>SG&amp;A</v>
          </cell>
          <cell r="O10637" t="str">
            <v>Anthem Blue Cross and Blue Shield</v>
          </cell>
        </row>
        <row r="10638">
          <cell r="D10638">
            <v>89.82</v>
          </cell>
          <cell r="H10638">
            <v>45901</v>
          </cell>
          <cell r="I10638" t="str">
            <v>6040 - Employer Paid Benefits</v>
          </cell>
          <cell r="J10638">
            <v>0</v>
          </cell>
          <cell r="K10638" t="str">
            <v>Executive</v>
          </cell>
          <cell r="L10638" t="str">
            <v>HQ Salaries</v>
          </cell>
          <cell r="N10638" t="str">
            <v>SG&amp;A</v>
          </cell>
          <cell r="O10638" t="str">
            <v>Allied Administrators</v>
          </cell>
        </row>
        <row r="10639">
          <cell r="D10639">
            <v>238.9</v>
          </cell>
          <cell r="H10639">
            <v>45901</v>
          </cell>
          <cell r="I10639" t="str">
            <v>6040 - Employer Paid Benefits</v>
          </cell>
          <cell r="J10639">
            <v>0</v>
          </cell>
          <cell r="K10639" t="str">
            <v>Executive</v>
          </cell>
          <cell r="L10639" t="str">
            <v>HQ Salaries</v>
          </cell>
          <cell r="N10639" t="str">
            <v>SG&amp;A</v>
          </cell>
          <cell r="O10639" t="str">
            <v>United of Omaha Life Insurance Company</v>
          </cell>
        </row>
        <row r="10640">
          <cell r="D10640">
            <v>151.47</v>
          </cell>
          <cell r="H10640">
            <v>45901</v>
          </cell>
          <cell r="I10640" t="str">
            <v>6040 - Employer Paid Benefits</v>
          </cell>
          <cell r="J10640" t="str">
            <v>Ecommerce (US)</v>
          </cell>
          <cell r="K10640" t="str">
            <v>Ecommerce</v>
          </cell>
          <cell r="L10640" t="str">
            <v>HQ Salaries</v>
          </cell>
          <cell r="N10640" t="str">
            <v>SG&amp;A</v>
          </cell>
          <cell r="O10640" t="str">
            <v>Allied Administrators</v>
          </cell>
        </row>
        <row r="10641">
          <cell r="D10641">
            <v>186.46</v>
          </cell>
          <cell r="H10641">
            <v>45901</v>
          </cell>
          <cell r="I10641" t="str">
            <v>6040 - Employer Paid Benefits</v>
          </cell>
          <cell r="J10641" t="str">
            <v>Ecommerce (US)</v>
          </cell>
          <cell r="K10641" t="str">
            <v>Ecommerce</v>
          </cell>
          <cell r="L10641" t="str">
            <v>HQ Salaries</v>
          </cell>
          <cell r="N10641" t="str">
            <v>SG&amp;A</v>
          </cell>
          <cell r="O10641" t="str">
            <v>United of Omaha Life Insurance Company</v>
          </cell>
        </row>
        <row r="10642">
          <cell r="D10642">
            <v>7182.68</v>
          </cell>
          <cell r="H10642">
            <v>45901</v>
          </cell>
          <cell r="I10642" t="str">
            <v>6040 - Employer Paid Benefits</v>
          </cell>
          <cell r="J10642" t="str">
            <v>Ecommerce (US)</v>
          </cell>
          <cell r="K10642" t="str">
            <v>Ecommerce</v>
          </cell>
          <cell r="L10642" t="str">
            <v>HQ Salaries</v>
          </cell>
          <cell r="N10642" t="str">
            <v>SG&amp;A</v>
          </cell>
          <cell r="O10642" t="str">
            <v>Anthem Blue Cross and Blue Shield</v>
          </cell>
        </row>
        <row r="10643">
          <cell r="D10643">
            <v>83.64</v>
          </cell>
          <cell r="H10643">
            <v>45901</v>
          </cell>
          <cell r="I10643" t="str">
            <v>6040 - Employer Paid Benefits</v>
          </cell>
          <cell r="J10643">
            <v>0</v>
          </cell>
          <cell r="K10643" t="str">
            <v>Design</v>
          </cell>
          <cell r="L10643" t="str">
            <v>HQ Salaries</v>
          </cell>
          <cell r="N10643" t="str">
            <v>SG&amp;A</v>
          </cell>
          <cell r="O10643" t="str">
            <v>Allied Administrators</v>
          </cell>
        </row>
        <row r="10644">
          <cell r="D10644">
            <v>233.67</v>
          </cell>
          <cell r="H10644">
            <v>45901</v>
          </cell>
          <cell r="I10644" t="str">
            <v>6040 - Employer Paid Benefits</v>
          </cell>
          <cell r="J10644">
            <v>0</v>
          </cell>
          <cell r="K10644" t="str">
            <v>Design</v>
          </cell>
          <cell r="L10644" t="str">
            <v>HQ Salaries</v>
          </cell>
          <cell r="N10644" t="str">
            <v>SG&amp;A</v>
          </cell>
          <cell r="O10644" t="str">
            <v>United of Omaha Life Insurance Company</v>
          </cell>
        </row>
        <row r="10645">
          <cell r="D10645">
            <v>5040.4799999999996</v>
          </cell>
          <cell r="H10645">
            <v>45901</v>
          </cell>
          <cell r="I10645" t="str">
            <v>6040 - Employer Paid Benefits</v>
          </cell>
          <cell r="J10645">
            <v>0</v>
          </cell>
          <cell r="K10645" t="str">
            <v>Design</v>
          </cell>
          <cell r="L10645" t="str">
            <v>HQ Salaries</v>
          </cell>
          <cell r="N10645" t="str">
            <v>SG&amp;A</v>
          </cell>
          <cell r="O10645" t="str">
            <v>Anthem Blue Cross and Blue Shield</v>
          </cell>
        </row>
        <row r="10646">
          <cell r="D10646">
            <v>145.58000000000001</v>
          </cell>
          <cell r="H10646">
            <v>45901</v>
          </cell>
          <cell r="I10646" t="str">
            <v>6040 - Employer Paid Benefits</v>
          </cell>
          <cell r="J10646">
            <v>0</v>
          </cell>
          <cell r="K10646" t="str">
            <v>Administration</v>
          </cell>
          <cell r="L10646" t="str">
            <v>HQ Salaries</v>
          </cell>
          <cell r="N10646" t="str">
            <v>SG&amp;A</v>
          </cell>
          <cell r="O10646" t="str">
            <v>Allied Administrators</v>
          </cell>
        </row>
        <row r="10647">
          <cell r="D10647">
            <v>275.70999999999998</v>
          </cell>
          <cell r="H10647">
            <v>45901</v>
          </cell>
          <cell r="I10647" t="str">
            <v>6040 - Employer Paid Benefits</v>
          </cell>
          <cell r="J10647">
            <v>0</v>
          </cell>
          <cell r="K10647" t="str">
            <v>Administration</v>
          </cell>
          <cell r="L10647" t="str">
            <v>HQ Salaries</v>
          </cell>
          <cell r="N10647" t="str">
            <v>SG&amp;A</v>
          </cell>
          <cell r="O10647" t="str">
            <v>United of Omaha Life Insurance Company</v>
          </cell>
        </row>
        <row r="10648">
          <cell r="D10648">
            <v>34.9</v>
          </cell>
          <cell r="H10648">
            <v>45901</v>
          </cell>
          <cell r="I10648" t="str">
            <v>6040 - Employer Paid Benefits</v>
          </cell>
          <cell r="J10648" t="str">
            <v>Wholesale</v>
          </cell>
          <cell r="K10648" t="str">
            <v>Wholesale</v>
          </cell>
          <cell r="L10648" t="str">
            <v>HQ Salaries</v>
          </cell>
          <cell r="N10648" t="str">
            <v>SG&amp;A</v>
          </cell>
          <cell r="O10648" t="str">
            <v>[No Vendor]</v>
          </cell>
        </row>
        <row r="10649">
          <cell r="D10649">
            <v>225.7</v>
          </cell>
          <cell r="H10649">
            <v>45901</v>
          </cell>
          <cell r="I10649" t="str">
            <v>6040 - Employer Paid Benefits</v>
          </cell>
          <cell r="J10649">
            <v>0</v>
          </cell>
          <cell r="K10649" t="str">
            <v>Production</v>
          </cell>
          <cell r="L10649" t="str">
            <v>HQ Salaries</v>
          </cell>
          <cell r="N10649" t="str">
            <v>SG&amp;A</v>
          </cell>
          <cell r="O10649" t="str">
            <v>[No Vendor]</v>
          </cell>
        </row>
        <row r="10650">
          <cell r="D10650">
            <v>34.9</v>
          </cell>
          <cell r="H10650">
            <v>45901</v>
          </cell>
          <cell r="I10650" t="str">
            <v>6040 - Employer Paid Benefits</v>
          </cell>
          <cell r="J10650">
            <v>0</v>
          </cell>
          <cell r="K10650" t="str">
            <v>Merchandising</v>
          </cell>
          <cell r="L10650" t="str">
            <v>HQ Salaries</v>
          </cell>
          <cell r="N10650" t="str">
            <v>SG&amp;A</v>
          </cell>
          <cell r="O10650" t="str">
            <v>[No Vendor]</v>
          </cell>
        </row>
        <row r="10651">
          <cell r="D10651">
            <v>211.23</v>
          </cell>
          <cell r="H10651">
            <v>45901</v>
          </cell>
          <cell r="I10651" t="str">
            <v>6040 - Employer Paid Benefits</v>
          </cell>
          <cell r="J10651">
            <v>0</v>
          </cell>
          <cell r="K10651" t="str">
            <v>Brand Marketing</v>
          </cell>
          <cell r="L10651" t="str">
            <v>HQ Salaries</v>
          </cell>
          <cell r="N10651" t="str">
            <v>SG&amp;A</v>
          </cell>
          <cell r="O10651" t="str">
            <v>[No Vendor]</v>
          </cell>
        </row>
        <row r="10652">
          <cell r="D10652">
            <v>332.53</v>
          </cell>
          <cell r="H10652">
            <v>45901</v>
          </cell>
          <cell r="I10652" t="str">
            <v>6040 - Employer Paid Benefits</v>
          </cell>
          <cell r="J10652">
            <v>0</v>
          </cell>
          <cell r="K10652" t="str">
            <v>Executive</v>
          </cell>
          <cell r="L10652" t="str">
            <v>HQ Salaries</v>
          </cell>
          <cell r="N10652" t="str">
            <v>SG&amp;A</v>
          </cell>
          <cell r="O10652" t="str">
            <v>[No Vendor]</v>
          </cell>
        </row>
        <row r="10653">
          <cell r="D10653">
            <v>324.20999999999998</v>
          </cell>
          <cell r="H10653">
            <v>45901</v>
          </cell>
          <cell r="I10653" t="str">
            <v>6040 - Employer Paid Benefits</v>
          </cell>
          <cell r="J10653" t="str">
            <v>Ecommerce (US)</v>
          </cell>
          <cell r="K10653" t="str">
            <v>Ecommerce</v>
          </cell>
          <cell r="L10653" t="str">
            <v>HQ Salaries</v>
          </cell>
          <cell r="N10653" t="str">
            <v>SG&amp;A</v>
          </cell>
          <cell r="O10653" t="str">
            <v>[No Vendor]</v>
          </cell>
        </row>
        <row r="10654">
          <cell r="D10654">
            <v>442.42</v>
          </cell>
          <cell r="H10654">
            <v>45901</v>
          </cell>
          <cell r="I10654" t="str">
            <v>6040 - Employer Paid Benefits</v>
          </cell>
          <cell r="J10654">
            <v>0</v>
          </cell>
          <cell r="K10654" t="str">
            <v>Design</v>
          </cell>
          <cell r="L10654" t="str">
            <v>HQ Salaries</v>
          </cell>
          <cell r="N10654" t="str">
            <v>SG&amp;A</v>
          </cell>
          <cell r="O10654" t="str">
            <v>[No Vendor]</v>
          </cell>
        </row>
        <row r="10655">
          <cell r="D10655">
            <v>199.35</v>
          </cell>
          <cell r="H10655">
            <v>45901</v>
          </cell>
          <cell r="I10655" t="str">
            <v>6040 - Employer Paid Benefits</v>
          </cell>
          <cell r="J10655">
            <v>0</v>
          </cell>
          <cell r="K10655" t="str">
            <v>Administration</v>
          </cell>
          <cell r="L10655" t="str">
            <v>HQ Salaries</v>
          </cell>
          <cell r="N10655" t="str">
            <v>SG&amp;A</v>
          </cell>
          <cell r="O10655" t="str">
            <v>[No Vendor]</v>
          </cell>
        </row>
        <row r="10656">
          <cell r="D10656">
            <v>35.700000000000003</v>
          </cell>
          <cell r="H10656">
            <v>45901</v>
          </cell>
          <cell r="I10656" t="str">
            <v>6040 - Employer Paid Benefits</v>
          </cell>
          <cell r="J10656">
            <v>0</v>
          </cell>
          <cell r="K10656" t="str">
            <v>Production</v>
          </cell>
          <cell r="L10656" t="str">
            <v>HQ Salaries</v>
          </cell>
          <cell r="N10656" t="str">
            <v>SG&amp;A</v>
          </cell>
          <cell r="O10656" t="str">
            <v>Procyon Benefits LLC</v>
          </cell>
        </row>
        <row r="10657">
          <cell r="D10657">
            <v>11.6</v>
          </cell>
          <cell r="H10657">
            <v>45901</v>
          </cell>
          <cell r="I10657" t="str">
            <v>6040 - Employer Paid Benefits</v>
          </cell>
          <cell r="J10657">
            <v>0</v>
          </cell>
          <cell r="K10657" t="str">
            <v>Merchandising</v>
          </cell>
          <cell r="L10657" t="str">
            <v>HQ Salaries</v>
          </cell>
          <cell r="N10657" t="str">
            <v>SG&amp;A</v>
          </cell>
          <cell r="O10657" t="str">
            <v>Procyon Benefits LLC</v>
          </cell>
        </row>
        <row r="10658">
          <cell r="D10658">
            <v>25</v>
          </cell>
          <cell r="H10658">
            <v>45901</v>
          </cell>
          <cell r="I10658" t="str">
            <v>6040 - Employer Paid Benefits</v>
          </cell>
          <cell r="J10658">
            <v>0</v>
          </cell>
          <cell r="K10658" t="str">
            <v>Executive</v>
          </cell>
          <cell r="L10658" t="str">
            <v>HQ Salaries</v>
          </cell>
          <cell r="N10658" t="str">
            <v>SG&amp;A</v>
          </cell>
          <cell r="O10658" t="str">
            <v>Procyon Benefits LLC</v>
          </cell>
        </row>
        <row r="10659">
          <cell r="D10659">
            <v>366.75</v>
          </cell>
          <cell r="H10659">
            <v>45901</v>
          </cell>
          <cell r="I10659" t="str">
            <v>6040 - Employer Paid Benefits</v>
          </cell>
          <cell r="J10659" t="str">
            <v>Ecommerce (US)</v>
          </cell>
          <cell r="K10659" t="str">
            <v>Ecommerce</v>
          </cell>
          <cell r="L10659" t="str">
            <v>HQ Salaries</v>
          </cell>
          <cell r="N10659" t="str">
            <v>SG&amp;A</v>
          </cell>
          <cell r="O10659" t="str">
            <v>Procyon Benefits LLC</v>
          </cell>
        </row>
        <row r="10660">
          <cell r="D10660">
            <v>73.5</v>
          </cell>
          <cell r="H10660">
            <v>45901</v>
          </cell>
          <cell r="I10660" t="str">
            <v>6040 - Employer Paid Benefits</v>
          </cell>
          <cell r="J10660">
            <v>0</v>
          </cell>
          <cell r="K10660" t="str">
            <v>Design</v>
          </cell>
          <cell r="L10660" t="str">
            <v>HQ Salaries</v>
          </cell>
          <cell r="N10660" t="str">
            <v>SG&amp;A</v>
          </cell>
          <cell r="O10660" t="str">
            <v>Procyon Benefits LLC</v>
          </cell>
        </row>
        <row r="10661">
          <cell r="D10661">
            <v>15.05</v>
          </cell>
          <cell r="H10661">
            <v>45901</v>
          </cell>
          <cell r="I10661" t="str">
            <v>6040 - Employer Paid Benefits</v>
          </cell>
          <cell r="J10661">
            <v>0</v>
          </cell>
          <cell r="K10661" t="str">
            <v>Administration</v>
          </cell>
          <cell r="L10661" t="str">
            <v>HQ Salaries</v>
          </cell>
          <cell r="N10661" t="str">
            <v>SG&amp;A</v>
          </cell>
          <cell r="O10661" t="str">
            <v>Procyon Benefits LLC</v>
          </cell>
        </row>
        <row r="10662">
          <cell r="D10662">
            <v>-34.9</v>
          </cell>
          <cell r="H10662">
            <v>45901</v>
          </cell>
          <cell r="I10662" t="str">
            <v>6040 - Employer Paid Benefits</v>
          </cell>
          <cell r="J10662" t="str">
            <v>Wholesale</v>
          </cell>
          <cell r="K10662" t="str">
            <v>Wholesale</v>
          </cell>
          <cell r="L10662" t="str">
            <v>HQ Salaries</v>
          </cell>
          <cell r="N10662" t="str">
            <v>SG&amp;A</v>
          </cell>
          <cell r="O10662" t="str">
            <v>[No Vendor]</v>
          </cell>
        </row>
        <row r="10663">
          <cell r="D10663">
            <v>-225.7</v>
          </cell>
          <cell r="H10663">
            <v>45901</v>
          </cell>
          <cell r="I10663" t="str">
            <v>6040 - Employer Paid Benefits</v>
          </cell>
          <cell r="J10663">
            <v>0</v>
          </cell>
          <cell r="K10663" t="str">
            <v>Production</v>
          </cell>
          <cell r="L10663" t="str">
            <v>HQ Salaries</v>
          </cell>
          <cell r="N10663" t="str">
            <v>SG&amp;A</v>
          </cell>
          <cell r="O10663" t="str">
            <v>[No Vendor]</v>
          </cell>
        </row>
        <row r="10664">
          <cell r="D10664">
            <v>-34.9</v>
          </cell>
          <cell r="H10664">
            <v>45901</v>
          </cell>
          <cell r="I10664" t="str">
            <v>6040 - Employer Paid Benefits</v>
          </cell>
          <cell r="J10664">
            <v>0</v>
          </cell>
          <cell r="K10664" t="str">
            <v>Merchandising</v>
          </cell>
          <cell r="L10664" t="str">
            <v>HQ Salaries</v>
          </cell>
          <cell r="N10664" t="str">
            <v>SG&amp;A</v>
          </cell>
          <cell r="O10664" t="str">
            <v>[No Vendor]</v>
          </cell>
        </row>
        <row r="10665">
          <cell r="D10665">
            <v>-211.23</v>
          </cell>
          <cell r="H10665">
            <v>45901</v>
          </cell>
          <cell r="I10665" t="str">
            <v>6040 - Employer Paid Benefits</v>
          </cell>
          <cell r="J10665">
            <v>0</v>
          </cell>
          <cell r="K10665" t="str">
            <v>Brand Marketing</v>
          </cell>
          <cell r="L10665" t="str">
            <v>HQ Salaries</v>
          </cell>
          <cell r="N10665" t="str">
            <v>SG&amp;A</v>
          </cell>
          <cell r="O10665" t="str">
            <v>[No Vendor]</v>
          </cell>
        </row>
        <row r="10666">
          <cell r="D10666">
            <v>-332.53</v>
          </cell>
          <cell r="H10666">
            <v>45901</v>
          </cell>
          <cell r="I10666" t="str">
            <v>6040 - Employer Paid Benefits</v>
          </cell>
          <cell r="J10666">
            <v>0</v>
          </cell>
          <cell r="K10666" t="str">
            <v>Executive</v>
          </cell>
          <cell r="L10666" t="str">
            <v>HQ Salaries</v>
          </cell>
          <cell r="N10666" t="str">
            <v>SG&amp;A</v>
          </cell>
          <cell r="O10666" t="str">
            <v>[No Vendor]</v>
          </cell>
        </row>
        <row r="10667">
          <cell r="D10667">
            <v>-324.20999999999998</v>
          </cell>
          <cell r="H10667">
            <v>45901</v>
          </cell>
          <cell r="I10667" t="str">
            <v>6040 - Employer Paid Benefits</v>
          </cell>
          <cell r="J10667" t="str">
            <v>Ecommerce (US)</v>
          </cell>
          <cell r="K10667" t="str">
            <v>Ecommerce</v>
          </cell>
          <cell r="L10667" t="str">
            <v>HQ Salaries</v>
          </cell>
          <cell r="N10667" t="str">
            <v>SG&amp;A</v>
          </cell>
          <cell r="O10667" t="str">
            <v>[No Vendor]</v>
          </cell>
        </row>
        <row r="10668">
          <cell r="D10668">
            <v>-442.42</v>
          </cell>
          <cell r="H10668">
            <v>45901</v>
          </cell>
          <cell r="I10668" t="str">
            <v>6040 - Employer Paid Benefits</v>
          </cell>
          <cell r="J10668">
            <v>0</v>
          </cell>
          <cell r="K10668" t="str">
            <v>Design</v>
          </cell>
          <cell r="L10668" t="str">
            <v>HQ Salaries</v>
          </cell>
          <cell r="N10668" t="str">
            <v>SG&amp;A</v>
          </cell>
          <cell r="O10668" t="str">
            <v>[No Vendor]</v>
          </cell>
        </row>
        <row r="10669">
          <cell r="D10669">
            <v>-199.35</v>
          </cell>
          <cell r="H10669">
            <v>45901</v>
          </cell>
          <cell r="I10669" t="str">
            <v>6040 - Employer Paid Benefits</v>
          </cell>
          <cell r="J10669">
            <v>0</v>
          </cell>
          <cell r="K10669" t="str">
            <v>Administration</v>
          </cell>
          <cell r="L10669" t="str">
            <v>HQ Salaries</v>
          </cell>
          <cell r="N10669" t="str">
            <v>SG&amp;A</v>
          </cell>
          <cell r="O10669" t="str">
            <v>[No Vendor]</v>
          </cell>
        </row>
        <row r="10670">
          <cell r="D10670">
            <v>9.43</v>
          </cell>
          <cell r="H10670">
            <v>45901</v>
          </cell>
          <cell r="I10670" t="str">
            <v>6040 - Employer Paid Benefits</v>
          </cell>
          <cell r="J10670" t="str">
            <v>Wholesale</v>
          </cell>
          <cell r="K10670" t="str">
            <v>Wholesale</v>
          </cell>
          <cell r="L10670" t="str">
            <v>HQ Salaries</v>
          </cell>
          <cell r="N10670" t="str">
            <v>SG&amp;A</v>
          </cell>
          <cell r="O10670" t="str">
            <v>Procyon Benefits LLC</v>
          </cell>
        </row>
        <row r="10671">
          <cell r="D10671">
            <v>129.44999999999999</v>
          </cell>
          <cell r="H10671">
            <v>45901</v>
          </cell>
          <cell r="I10671" t="str">
            <v>6040 - Employer Paid Benefits</v>
          </cell>
          <cell r="J10671">
            <v>0</v>
          </cell>
          <cell r="K10671" t="str">
            <v>Production</v>
          </cell>
          <cell r="L10671" t="str">
            <v>HQ Salaries</v>
          </cell>
          <cell r="N10671" t="str">
            <v>SG&amp;A</v>
          </cell>
          <cell r="O10671" t="str">
            <v>Procyon Benefits LLC</v>
          </cell>
        </row>
        <row r="10672">
          <cell r="D10672">
            <v>23.42</v>
          </cell>
          <cell r="H10672">
            <v>45901</v>
          </cell>
          <cell r="I10672" t="str">
            <v>6040 - Employer Paid Benefits</v>
          </cell>
          <cell r="J10672">
            <v>0</v>
          </cell>
          <cell r="K10672" t="str">
            <v>Merchandising</v>
          </cell>
          <cell r="L10672" t="str">
            <v>HQ Salaries</v>
          </cell>
          <cell r="N10672" t="str">
            <v>SG&amp;A</v>
          </cell>
          <cell r="O10672" t="str">
            <v>Procyon Benefits LLC</v>
          </cell>
        </row>
        <row r="10673">
          <cell r="D10673">
            <v>514.4</v>
          </cell>
          <cell r="H10673">
            <v>45901</v>
          </cell>
          <cell r="I10673" t="str">
            <v>6040 - Employer Paid Benefits</v>
          </cell>
          <cell r="J10673">
            <v>0</v>
          </cell>
          <cell r="K10673" t="str">
            <v>Executive</v>
          </cell>
          <cell r="L10673" t="str">
            <v>HQ Salaries</v>
          </cell>
          <cell r="N10673" t="str">
            <v>SG&amp;A</v>
          </cell>
          <cell r="O10673" t="str">
            <v>Procyon Benefits LLC</v>
          </cell>
        </row>
        <row r="10674">
          <cell r="D10674">
            <v>10</v>
          </cell>
          <cell r="H10674">
            <v>45901</v>
          </cell>
          <cell r="I10674" t="str">
            <v>6040 - Employer Paid Benefits</v>
          </cell>
          <cell r="J10674" t="str">
            <v>Ecommerce (US)</v>
          </cell>
          <cell r="K10674" t="str">
            <v>Ecommerce</v>
          </cell>
          <cell r="L10674" t="str">
            <v>HQ Salaries</v>
          </cell>
          <cell r="N10674" t="str">
            <v>SG&amp;A</v>
          </cell>
          <cell r="O10674" t="str">
            <v>Procyon Benefits LLC</v>
          </cell>
        </row>
        <row r="10675">
          <cell r="D10675">
            <v>199.32</v>
          </cell>
          <cell r="H10675">
            <v>45901</v>
          </cell>
          <cell r="I10675" t="str">
            <v>6040 - Employer Paid Benefits</v>
          </cell>
          <cell r="J10675">
            <v>0</v>
          </cell>
          <cell r="K10675" t="str">
            <v>Design</v>
          </cell>
          <cell r="L10675" t="str">
            <v>HQ Salaries</v>
          </cell>
          <cell r="N10675" t="str">
            <v>SG&amp;A</v>
          </cell>
          <cell r="O10675" t="str">
            <v>Procyon Benefits LLC</v>
          </cell>
        </row>
        <row r="10676">
          <cell r="D10676">
            <v>10.65</v>
          </cell>
          <cell r="H10676">
            <v>45901</v>
          </cell>
          <cell r="I10676" t="str">
            <v>6040 - Employer Paid Benefits</v>
          </cell>
          <cell r="J10676">
            <v>0</v>
          </cell>
          <cell r="K10676" t="str">
            <v>Administration</v>
          </cell>
          <cell r="L10676" t="str">
            <v>HQ Salaries</v>
          </cell>
          <cell r="N10676" t="str">
            <v>SG&amp;A</v>
          </cell>
          <cell r="O10676" t="str">
            <v>Procyon Benefits LLC</v>
          </cell>
        </row>
        <row r="10677">
          <cell r="D10677">
            <v>-34.9</v>
          </cell>
          <cell r="H10677">
            <v>45901</v>
          </cell>
          <cell r="I10677" t="str">
            <v>6040 - Employer Paid Benefits</v>
          </cell>
          <cell r="J10677" t="str">
            <v>Wholesale</v>
          </cell>
          <cell r="K10677" t="str">
            <v>Wholesale</v>
          </cell>
          <cell r="L10677" t="str">
            <v>HQ Salaries</v>
          </cell>
          <cell r="N10677" t="str">
            <v>SG&amp;A</v>
          </cell>
          <cell r="O10677" t="str">
            <v>[No Vendor]</v>
          </cell>
        </row>
        <row r="10678">
          <cell r="D10678">
            <v>-225.7</v>
          </cell>
          <cell r="H10678">
            <v>45901</v>
          </cell>
          <cell r="I10678" t="str">
            <v>6040 - Employer Paid Benefits</v>
          </cell>
          <cell r="J10678">
            <v>0</v>
          </cell>
          <cell r="K10678" t="str">
            <v>Production</v>
          </cell>
          <cell r="L10678" t="str">
            <v>HQ Salaries</v>
          </cell>
          <cell r="N10678" t="str">
            <v>SG&amp;A</v>
          </cell>
          <cell r="O10678" t="str">
            <v>[No Vendor]</v>
          </cell>
        </row>
        <row r="10679">
          <cell r="D10679">
            <v>-34.9</v>
          </cell>
          <cell r="H10679">
            <v>45901</v>
          </cell>
          <cell r="I10679" t="str">
            <v>6040 - Employer Paid Benefits</v>
          </cell>
          <cell r="J10679">
            <v>0</v>
          </cell>
          <cell r="K10679" t="str">
            <v>Merchandising</v>
          </cell>
          <cell r="L10679" t="str">
            <v>HQ Salaries</v>
          </cell>
          <cell r="N10679" t="str">
            <v>SG&amp;A</v>
          </cell>
          <cell r="O10679" t="str">
            <v>[No Vendor]</v>
          </cell>
        </row>
        <row r="10680">
          <cell r="D10680">
            <v>-211.23</v>
          </cell>
          <cell r="H10680">
            <v>45901</v>
          </cell>
          <cell r="I10680" t="str">
            <v>6040 - Employer Paid Benefits</v>
          </cell>
          <cell r="J10680">
            <v>0</v>
          </cell>
          <cell r="K10680" t="str">
            <v>Brand Marketing</v>
          </cell>
          <cell r="L10680" t="str">
            <v>HQ Salaries</v>
          </cell>
          <cell r="N10680" t="str">
            <v>SG&amp;A</v>
          </cell>
          <cell r="O10680" t="str">
            <v>[No Vendor]</v>
          </cell>
        </row>
        <row r="10681">
          <cell r="D10681">
            <v>-332.53</v>
          </cell>
          <cell r="H10681">
            <v>45901</v>
          </cell>
          <cell r="I10681" t="str">
            <v>6040 - Employer Paid Benefits</v>
          </cell>
          <cell r="J10681">
            <v>0</v>
          </cell>
          <cell r="K10681" t="str">
            <v>Executive</v>
          </cell>
          <cell r="L10681" t="str">
            <v>HQ Salaries</v>
          </cell>
          <cell r="N10681" t="str">
            <v>SG&amp;A</v>
          </cell>
          <cell r="O10681" t="str">
            <v>[No Vendor]</v>
          </cell>
        </row>
        <row r="10682">
          <cell r="D10682">
            <v>-324.20999999999998</v>
          </cell>
          <cell r="H10682">
            <v>45901</v>
          </cell>
          <cell r="I10682" t="str">
            <v>6040 - Employer Paid Benefits</v>
          </cell>
          <cell r="J10682" t="str">
            <v>Ecommerce (US)</v>
          </cell>
          <cell r="K10682" t="str">
            <v>Ecommerce</v>
          </cell>
          <cell r="L10682" t="str">
            <v>HQ Salaries</v>
          </cell>
          <cell r="N10682" t="str">
            <v>SG&amp;A</v>
          </cell>
          <cell r="O10682" t="str">
            <v>[No Vendor]</v>
          </cell>
        </row>
        <row r="10683">
          <cell r="D10683">
            <v>-442.42</v>
          </cell>
          <cell r="H10683">
            <v>45901</v>
          </cell>
          <cell r="I10683" t="str">
            <v>6040 - Employer Paid Benefits</v>
          </cell>
          <cell r="J10683">
            <v>0</v>
          </cell>
          <cell r="K10683" t="str">
            <v>Design</v>
          </cell>
          <cell r="L10683" t="str">
            <v>HQ Salaries</v>
          </cell>
          <cell r="N10683" t="str">
            <v>SG&amp;A</v>
          </cell>
          <cell r="O10683" t="str">
            <v>[No Vendor]</v>
          </cell>
        </row>
        <row r="10684">
          <cell r="D10684">
            <v>-99.9</v>
          </cell>
          <cell r="H10684">
            <v>45901</v>
          </cell>
          <cell r="I10684" t="str">
            <v>6040 - Employer Paid Benefits</v>
          </cell>
          <cell r="J10684">
            <v>0</v>
          </cell>
          <cell r="K10684" t="str">
            <v>Administration</v>
          </cell>
          <cell r="L10684" t="str">
            <v>HQ Salaries</v>
          </cell>
          <cell r="N10684" t="str">
            <v>SG&amp;A</v>
          </cell>
          <cell r="O10684" t="str">
            <v>[No Vendor]</v>
          </cell>
        </row>
        <row r="10685">
          <cell r="D10685">
            <v>11.6</v>
          </cell>
          <cell r="H10685">
            <v>45901</v>
          </cell>
          <cell r="I10685" t="str">
            <v>6040 - Employer Paid Benefits</v>
          </cell>
          <cell r="J10685">
            <v>0</v>
          </cell>
          <cell r="K10685" t="str">
            <v>Administration</v>
          </cell>
          <cell r="L10685" t="str">
            <v>HQ Salaries</v>
          </cell>
          <cell r="N10685" t="str">
            <v>SG&amp;A</v>
          </cell>
          <cell r="O10685" t="str">
            <v>Procyon Benefits LLC</v>
          </cell>
        </row>
        <row r="10686">
          <cell r="D10686">
            <v>77.38</v>
          </cell>
          <cell r="H10686">
            <v>45901</v>
          </cell>
          <cell r="I10686" t="str">
            <v>6040 - Employer Paid Benefits</v>
          </cell>
          <cell r="J10686">
            <v>0</v>
          </cell>
          <cell r="K10686" t="str">
            <v>Production</v>
          </cell>
          <cell r="L10686" t="str">
            <v>HQ Salaries</v>
          </cell>
          <cell r="N10686" t="str">
            <v>SG&amp;A</v>
          </cell>
          <cell r="O10686" t="str">
            <v>Procyon Benefits LLC</v>
          </cell>
        </row>
        <row r="10687">
          <cell r="D10687">
            <v>20.3</v>
          </cell>
          <cell r="H10687">
            <v>45901</v>
          </cell>
          <cell r="I10687" t="str">
            <v>6040 - Employer Paid Benefits</v>
          </cell>
          <cell r="J10687">
            <v>0</v>
          </cell>
          <cell r="K10687" t="str">
            <v>Merchandising</v>
          </cell>
          <cell r="L10687" t="str">
            <v>HQ Salaries</v>
          </cell>
          <cell r="N10687" t="str">
            <v>SG&amp;A</v>
          </cell>
          <cell r="O10687" t="str">
            <v>Procyon Benefits LLC</v>
          </cell>
        </row>
        <row r="10688">
          <cell r="D10688">
            <v>199</v>
          </cell>
          <cell r="H10688">
            <v>45901</v>
          </cell>
          <cell r="I10688" t="str">
            <v>6040 - Employer Paid Benefits</v>
          </cell>
          <cell r="J10688">
            <v>0</v>
          </cell>
          <cell r="K10688" t="str">
            <v>Brand Marketing</v>
          </cell>
          <cell r="L10688" t="str">
            <v>HQ Salaries</v>
          </cell>
          <cell r="N10688" t="str">
            <v>SG&amp;A</v>
          </cell>
          <cell r="O10688" t="str">
            <v>Procyon Benefits LLC</v>
          </cell>
        </row>
        <row r="10689">
          <cell r="D10689">
            <v>526.6</v>
          </cell>
          <cell r="H10689">
            <v>45901</v>
          </cell>
          <cell r="I10689" t="str">
            <v>6040 - Employer Paid Benefits</v>
          </cell>
          <cell r="J10689">
            <v>0</v>
          </cell>
          <cell r="K10689" t="str">
            <v>Executive</v>
          </cell>
          <cell r="L10689" t="str">
            <v>HQ Salaries</v>
          </cell>
          <cell r="N10689" t="str">
            <v>SG&amp;A</v>
          </cell>
          <cell r="O10689" t="str">
            <v>Procyon Benefits LLC</v>
          </cell>
        </row>
        <row r="10690">
          <cell r="D10690">
            <v>105</v>
          </cell>
          <cell r="H10690">
            <v>45901</v>
          </cell>
          <cell r="I10690" t="str">
            <v>6040 - Employer Paid Benefits</v>
          </cell>
          <cell r="J10690" t="str">
            <v>Ecommerce (US)</v>
          </cell>
          <cell r="K10690" t="str">
            <v>Ecommerce</v>
          </cell>
          <cell r="L10690" t="str">
            <v>HQ Salaries</v>
          </cell>
          <cell r="N10690" t="str">
            <v>SG&amp;A</v>
          </cell>
          <cell r="O10690" t="str">
            <v>Procyon Benefits LLC</v>
          </cell>
        </row>
        <row r="10691">
          <cell r="D10691">
            <v>183.03</v>
          </cell>
          <cell r="H10691">
            <v>45901</v>
          </cell>
          <cell r="I10691" t="str">
            <v>6040 - Employer Paid Benefits</v>
          </cell>
          <cell r="J10691">
            <v>0</v>
          </cell>
          <cell r="K10691" t="str">
            <v>Design</v>
          </cell>
          <cell r="L10691" t="str">
            <v>HQ Salaries</v>
          </cell>
          <cell r="N10691" t="str">
            <v>SG&amp;A</v>
          </cell>
          <cell r="O10691" t="str">
            <v>Procyon Benefits LLC</v>
          </cell>
        </row>
        <row r="10692">
          <cell r="D10692">
            <v>11.6</v>
          </cell>
          <cell r="H10692">
            <v>45901</v>
          </cell>
          <cell r="I10692" t="str">
            <v>6040 - Employer Paid Benefits</v>
          </cell>
          <cell r="J10692">
            <v>0</v>
          </cell>
          <cell r="K10692" t="str">
            <v>Administration</v>
          </cell>
          <cell r="L10692" t="str">
            <v>HQ Salaries</v>
          </cell>
          <cell r="N10692" t="str">
            <v>SG&amp;A</v>
          </cell>
          <cell r="O10692" t="str">
            <v>Procyon Benefits LLC</v>
          </cell>
        </row>
        <row r="10693">
          <cell r="D10693">
            <v>48.01</v>
          </cell>
          <cell r="H10693">
            <v>45901</v>
          </cell>
          <cell r="I10693" t="str">
            <v>6040 - Employer Paid Benefits</v>
          </cell>
          <cell r="J10693" t="str">
            <v>Wholesale</v>
          </cell>
          <cell r="K10693" t="str">
            <v>Wholesale</v>
          </cell>
          <cell r="L10693" t="str">
            <v>HQ Salaries</v>
          </cell>
          <cell r="N10693" t="str">
            <v>SG&amp;A</v>
          </cell>
          <cell r="O10693" t="str">
            <v>Procyon Benefits LLC</v>
          </cell>
        </row>
        <row r="10694">
          <cell r="D10694">
            <v>31.9</v>
          </cell>
          <cell r="H10694">
            <v>45901</v>
          </cell>
          <cell r="I10694" t="str">
            <v>6040 - Employer Paid Benefits</v>
          </cell>
          <cell r="J10694">
            <v>0</v>
          </cell>
          <cell r="K10694" t="str">
            <v>Production</v>
          </cell>
          <cell r="L10694" t="str">
            <v>HQ Salaries</v>
          </cell>
          <cell r="N10694" t="str">
            <v>SG&amp;A</v>
          </cell>
          <cell r="O10694" t="str">
            <v>Procyon Benefits LLC</v>
          </cell>
        </row>
        <row r="10695">
          <cell r="D10695">
            <v>44.6</v>
          </cell>
          <cell r="H10695">
            <v>45901</v>
          </cell>
          <cell r="I10695" t="str">
            <v>6040 - Employer Paid Benefits</v>
          </cell>
          <cell r="J10695">
            <v>0</v>
          </cell>
          <cell r="K10695" t="str">
            <v>Merchandising</v>
          </cell>
          <cell r="L10695" t="str">
            <v>HQ Salaries</v>
          </cell>
          <cell r="N10695" t="str">
            <v>SG&amp;A</v>
          </cell>
          <cell r="O10695" t="str">
            <v>Procyon Benefits LLC</v>
          </cell>
        </row>
        <row r="10696">
          <cell r="D10696">
            <v>50</v>
          </cell>
          <cell r="H10696">
            <v>45901</v>
          </cell>
          <cell r="I10696" t="str">
            <v>6040 - Employer Paid Benefits</v>
          </cell>
          <cell r="J10696">
            <v>0</v>
          </cell>
          <cell r="K10696" t="str">
            <v>Brand Marketing</v>
          </cell>
          <cell r="L10696" t="str">
            <v>HQ Salaries</v>
          </cell>
          <cell r="N10696" t="str">
            <v>SG&amp;A</v>
          </cell>
          <cell r="O10696" t="str">
            <v>Procyon Benefits LLC</v>
          </cell>
        </row>
        <row r="10697">
          <cell r="D10697">
            <v>1339</v>
          </cell>
          <cell r="H10697">
            <v>45901</v>
          </cell>
          <cell r="I10697" t="str">
            <v>6040 - Employer Paid Benefits</v>
          </cell>
          <cell r="J10697">
            <v>0</v>
          </cell>
          <cell r="K10697" t="str">
            <v>Executive</v>
          </cell>
          <cell r="L10697" t="str">
            <v>HQ Salaries</v>
          </cell>
          <cell r="N10697" t="str">
            <v>SG&amp;A</v>
          </cell>
          <cell r="O10697" t="str">
            <v>Procyon Benefits LLC</v>
          </cell>
        </row>
        <row r="10698">
          <cell r="D10698">
            <v>198.06</v>
          </cell>
          <cell r="H10698">
            <v>45901</v>
          </cell>
          <cell r="I10698" t="str">
            <v>6040 - Employer Paid Benefits</v>
          </cell>
          <cell r="J10698" t="str">
            <v>Ecommerce (US)</v>
          </cell>
          <cell r="K10698" t="str">
            <v>Ecommerce</v>
          </cell>
          <cell r="L10698" t="str">
            <v>HQ Salaries</v>
          </cell>
          <cell r="N10698" t="str">
            <v>SG&amp;A</v>
          </cell>
          <cell r="O10698" t="str">
            <v>Procyon Benefits LLC</v>
          </cell>
        </row>
        <row r="10699">
          <cell r="D10699">
            <v>531.75</v>
          </cell>
          <cell r="H10699">
            <v>45901</v>
          </cell>
          <cell r="I10699" t="str">
            <v>6040 - Employer Paid Benefits</v>
          </cell>
          <cell r="J10699">
            <v>0</v>
          </cell>
          <cell r="K10699" t="str">
            <v>Design</v>
          </cell>
          <cell r="L10699" t="str">
            <v>HQ Salaries</v>
          </cell>
          <cell r="N10699" t="str">
            <v>SG&amp;A</v>
          </cell>
          <cell r="O10699" t="str">
            <v>Procyon Benefits LLC</v>
          </cell>
        </row>
        <row r="10700">
          <cell r="D10700">
            <v>10</v>
          </cell>
          <cell r="H10700">
            <v>45901</v>
          </cell>
          <cell r="I10700" t="str">
            <v>6040 - Employer Paid Benefits</v>
          </cell>
          <cell r="J10700">
            <v>0</v>
          </cell>
          <cell r="K10700" t="str">
            <v>Administration</v>
          </cell>
          <cell r="L10700" t="str">
            <v>HQ Salaries</v>
          </cell>
          <cell r="N10700" t="str">
            <v>SG&amp;A</v>
          </cell>
          <cell r="O10700" t="str">
            <v>Progressive Benefit Solutions LLC</v>
          </cell>
        </row>
        <row r="10701">
          <cell r="D10701">
            <v>121</v>
          </cell>
          <cell r="H10701">
            <v>45901</v>
          </cell>
          <cell r="I10701" t="str">
            <v>6040 - Employer Paid Benefits</v>
          </cell>
          <cell r="J10701">
            <v>0</v>
          </cell>
          <cell r="K10701" t="str">
            <v>Administration</v>
          </cell>
          <cell r="L10701" t="str">
            <v>HQ Salaries</v>
          </cell>
          <cell r="N10701" t="str">
            <v>SG&amp;A</v>
          </cell>
          <cell r="O10701" t="str">
            <v>Progressive Benefit Solutions LLC</v>
          </cell>
        </row>
        <row r="10702">
          <cell r="D10702">
            <v>-119.88</v>
          </cell>
          <cell r="H10702">
            <v>45901</v>
          </cell>
          <cell r="I10702" t="str">
            <v>6040 - Employer Paid Benefits</v>
          </cell>
          <cell r="J10702">
            <v>0</v>
          </cell>
          <cell r="K10702" t="str">
            <v>Administration</v>
          </cell>
          <cell r="L10702" t="str">
            <v>HQ Salaries</v>
          </cell>
          <cell r="N10702" t="str">
            <v>SG&amp;A</v>
          </cell>
          <cell r="O10702" t="str">
            <v>[No Vendor]</v>
          </cell>
        </row>
        <row r="10703">
          <cell r="D10703">
            <v>-488.9</v>
          </cell>
          <cell r="H10703">
            <v>45901</v>
          </cell>
          <cell r="I10703" t="str">
            <v>6040 - Employer Paid Benefits</v>
          </cell>
          <cell r="J10703">
            <v>0</v>
          </cell>
          <cell r="K10703" t="str">
            <v>Design</v>
          </cell>
          <cell r="L10703" t="str">
            <v>HQ Salaries</v>
          </cell>
          <cell r="N10703" t="str">
            <v>SG&amp;A</v>
          </cell>
          <cell r="O10703" t="str">
            <v>[No Vendor]</v>
          </cell>
        </row>
        <row r="10704">
          <cell r="D10704">
            <v>-389.04</v>
          </cell>
          <cell r="H10704">
            <v>45901</v>
          </cell>
          <cell r="I10704" t="str">
            <v>6040 - Employer Paid Benefits</v>
          </cell>
          <cell r="J10704" t="str">
            <v>Ecommerce (US)</v>
          </cell>
          <cell r="K10704" t="str">
            <v>Ecommerce</v>
          </cell>
          <cell r="L10704" t="str">
            <v>HQ Salaries</v>
          </cell>
          <cell r="N10704" t="str">
            <v>SG&amp;A</v>
          </cell>
          <cell r="O10704" t="str">
            <v>[No Vendor]</v>
          </cell>
        </row>
        <row r="10705">
          <cell r="D10705">
            <v>-357.04</v>
          </cell>
          <cell r="H10705">
            <v>45901</v>
          </cell>
          <cell r="I10705" t="str">
            <v>6040 - Employer Paid Benefits</v>
          </cell>
          <cell r="J10705">
            <v>0</v>
          </cell>
          <cell r="K10705" t="str">
            <v>Executive</v>
          </cell>
          <cell r="L10705" t="str">
            <v>HQ Salaries</v>
          </cell>
          <cell r="N10705" t="str">
            <v>SG&amp;A</v>
          </cell>
          <cell r="O10705" t="str">
            <v>[No Vendor]</v>
          </cell>
        </row>
        <row r="10706">
          <cell r="D10706">
            <v>-253.48</v>
          </cell>
          <cell r="H10706">
            <v>45901</v>
          </cell>
          <cell r="I10706" t="str">
            <v>6040 - Employer Paid Benefits</v>
          </cell>
          <cell r="J10706">
            <v>0</v>
          </cell>
          <cell r="K10706" t="str">
            <v>Brand Marketing</v>
          </cell>
          <cell r="L10706" t="str">
            <v>HQ Salaries</v>
          </cell>
          <cell r="N10706" t="str">
            <v>SG&amp;A</v>
          </cell>
          <cell r="O10706" t="str">
            <v>[No Vendor]</v>
          </cell>
        </row>
        <row r="10707">
          <cell r="D10707">
            <v>-41.88</v>
          </cell>
          <cell r="H10707">
            <v>45901</v>
          </cell>
          <cell r="I10707" t="str">
            <v>6040 - Employer Paid Benefits</v>
          </cell>
          <cell r="J10707">
            <v>0</v>
          </cell>
          <cell r="K10707" t="str">
            <v>Merchandising</v>
          </cell>
          <cell r="L10707" t="str">
            <v>HQ Salaries</v>
          </cell>
          <cell r="N10707" t="str">
            <v>SG&amp;A</v>
          </cell>
          <cell r="O10707" t="str">
            <v>[No Vendor]</v>
          </cell>
        </row>
        <row r="10708">
          <cell r="D10708">
            <v>-270.83</v>
          </cell>
          <cell r="H10708">
            <v>45901</v>
          </cell>
          <cell r="I10708" t="str">
            <v>6040 - Employer Paid Benefits</v>
          </cell>
          <cell r="J10708">
            <v>0</v>
          </cell>
          <cell r="K10708" t="str">
            <v>Production</v>
          </cell>
          <cell r="L10708" t="str">
            <v>HQ Salaries</v>
          </cell>
          <cell r="N10708" t="str">
            <v>SG&amp;A</v>
          </cell>
          <cell r="O10708" t="str">
            <v>[No Vendor]</v>
          </cell>
        </row>
        <row r="10709">
          <cell r="D10709">
            <v>-41.88</v>
          </cell>
          <cell r="H10709">
            <v>45901</v>
          </cell>
          <cell r="I10709" t="str">
            <v>6040 - Employer Paid Benefits</v>
          </cell>
          <cell r="J10709" t="str">
            <v>Wholesale</v>
          </cell>
          <cell r="K10709" t="str">
            <v>Wholesale</v>
          </cell>
          <cell r="L10709" t="str">
            <v>HQ Salaries</v>
          </cell>
          <cell r="N10709" t="str">
            <v>SG&amp;A</v>
          </cell>
          <cell r="O10709" t="str">
            <v>[No Vendor]</v>
          </cell>
        </row>
        <row r="10710">
          <cell r="D10710">
            <v>-357.5</v>
          </cell>
          <cell r="H10710">
            <v>45901</v>
          </cell>
          <cell r="I10710" t="str">
            <v>6055 - Employer Social Security Tax Withheld</v>
          </cell>
          <cell r="J10710" t="str">
            <v>Wholesale</v>
          </cell>
          <cell r="K10710" t="str">
            <v>Wholesale</v>
          </cell>
          <cell r="L10710" t="str">
            <v>HQ Salaries</v>
          </cell>
          <cell r="N10710" t="str">
            <v>SG&amp;A</v>
          </cell>
          <cell r="O10710" t="str">
            <v>[No Vendor]</v>
          </cell>
        </row>
        <row r="10711">
          <cell r="D10711">
            <v>-1603.81</v>
          </cell>
          <cell r="H10711">
            <v>45901</v>
          </cell>
          <cell r="I10711" t="str">
            <v>6055 - Employer Social Security Tax Withheld</v>
          </cell>
          <cell r="J10711">
            <v>0</v>
          </cell>
          <cell r="K10711" t="str">
            <v>Production</v>
          </cell>
          <cell r="L10711" t="str">
            <v>HQ Salaries</v>
          </cell>
          <cell r="N10711" t="str">
            <v>SG&amp;A</v>
          </cell>
          <cell r="O10711" t="str">
            <v>[No Vendor]</v>
          </cell>
        </row>
        <row r="10712">
          <cell r="D10712">
            <v>-406.94</v>
          </cell>
          <cell r="H10712">
            <v>45901</v>
          </cell>
          <cell r="I10712" t="str">
            <v>6055 - Employer Social Security Tax Withheld</v>
          </cell>
          <cell r="J10712">
            <v>0</v>
          </cell>
          <cell r="K10712" t="str">
            <v>Merchandising</v>
          </cell>
          <cell r="L10712" t="str">
            <v>HQ Salaries</v>
          </cell>
          <cell r="N10712" t="str">
            <v>SG&amp;A</v>
          </cell>
          <cell r="O10712" t="str">
            <v>[No Vendor]</v>
          </cell>
        </row>
        <row r="10713">
          <cell r="D10713">
            <v>-1308.8499999999999</v>
          </cell>
          <cell r="H10713">
            <v>45901</v>
          </cell>
          <cell r="I10713" t="str">
            <v>6055 - Employer Social Security Tax Withheld</v>
          </cell>
          <cell r="J10713">
            <v>0</v>
          </cell>
          <cell r="K10713" t="str">
            <v>Brand Marketing</v>
          </cell>
          <cell r="L10713" t="str">
            <v>HQ Salaries</v>
          </cell>
          <cell r="N10713" t="str">
            <v>SG&amp;A</v>
          </cell>
          <cell r="O10713" t="str">
            <v>[No Vendor]</v>
          </cell>
        </row>
        <row r="10714">
          <cell r="D10714">
            <v>-507.35</v>
          </cell>
          <cell r="H10714">
            <v>45901</v>
          </cell>
          <cell r="I10714" t="str">
            <v>6055 - Employer Social Security Tax Withheld</v>
          </cell>
          <cell r="J10714">
            <v>0</v>
          </cell>
          <cell r="K10714" t="str">
            <v>Executive</v>
          </cell>
          <cell r="L10714" t="str">
            <v>HQ Salaries</v>
          </cell>
          <cell r="N10714" t="str">
            <v>SG&amp;A</v>
          </cell>
          <cell r="O10714" t="str">
            <v>[No Vendor]</v>
          </cell>
        </row>
        <row r="10715">
          <cell r="D10715">
            <v>-2204.02</v>
          </cell>
          <cell r="H10715">
            <v>45901</v>
          </cell>
          <cell r="I10715" t="str">
            <v>6055 - Employer Social Security Tax Withheld</v>
          </cell>
          <cell r="J10715" t="str">
            <v>Ecommerce (US)</v>
          </cell>
          <cell r="K10715" t="str">
            <v>Ecommerce</v>
          </cell>
          <cell r="L10715" t="str">
            <v>HQ Salaries</v>
          </cell>
          <cell r="N10715" t="str">
            <v>SG&amp;A</v>
          </cell>
          <cell r="O10715" t="str">
            <v>[No Vendor]</v>
          </cell>
        </row>
        <row r="10716">
          <cell r="D10716">
            <v>-2155.3200000000002</v>
          </cell>
          <cell r="H10716">
            <v>45901</v>
          </cell>
          <cell r="I10716" t="str">
            <v>6055 - Employer Social Security Tax Withheld</v>
          </cell>
          <cell r="J10716">
            <v>0</v>
          </cell>
          <cell r="K10716" t="str">
            <v>Design</v>
          </cell>
          <cell r="L10716" t="str">
            <v>HQ Salaries</v>
          </cell>
          <cell r="N10716" t="str">
            <v>SG&amp;A</v>
          </cell>
          <cell r="O10716" t="str">
            <v>[No Vendor]</v>
          </cell>
        </row>
        <row r="10717">
          <cell r="D10717">
            <v>-2749.74</v>
          </cell>
          <cell r="H10717">
            <v>45901</v>
          </cell>
          <cell r="I10717" t="str">
            <v>6055 - Employer Social Security Tax Withheld</v>
          </cell>
          <cell r="J10717">
            <v>0</v>
          </cell>
          <cell r="K10717" t="str">
            <v>Administration</v>
          </cell>
          <cell r="L10717" t="str">
            <v>HQ Salaries</v>
          </cell>
          <cell r="N10717" t="str">
            <v>SG&amp;A</v>
          </cell>
          <cell r="O10717" t="str">
            <v>[No Vendor]</v>
          </cell>
        </row>
        <row r="10718">
          <cell r="D10718">
            <v>357.5</v>
          </cell>
          <cell r="H10718">
            <v>45901</v>
          </cell>
          <cell r="I10718" t="str">
            <v>6055 - Employer Social Security Tax Withheld</v>
          </cell>
          <cell r="J10718" t="str">
            <v>Wholesale</v>
          </cell>
          <cell r="K10718" t="str">
            <v>Wholesale</v>
          </cell>
          <cell r="L10718" t="str">
            <v>HQ Salaries</v>
          </cell>
          <cell r="N10718" t="str">
            <v>SG&amp;A</v>
          </cell>
          <cell r="O10718" t="str">
            <v>[No Vendor]</v>
          </cell>
        </row>
        <row r="10719">
          <cell r="D10719">
            <v>1603.81</v>
          </cell>
          <cell r="H10719">
            <v>45901</v>
          </cell>
          <cell r="I10719" t="str">
            <v>6055 - Employer Social Security Tax Withheld</v>
          </cell>
          <cell r="J10719">
            <v>0</v>
          </cell>
          <cell r="K10719" t="str">
            <v>Production</v>
          </cell>
          <cell r="L10719" t="str">
            <v>HQ Salaries</v>
          </cell>
          <cell r="N10719" t="str">
            <v>SG&amp;A</v>
          </cell>
          <cell r="O10719" t="str">
            <v>[No Vendor]</v>
          </cell>
        </row>
        <row r="10720">
          <cell r="D10720">
            <v>406.94</v>
          </cell>
          <cell r="H10720">
            <v>45901</v>
          </cell>
          <cell r="I10720" t="str">
            <v>6055 - Employer Social Security Tax Withheld</v>
          </cell>
          <cell r="J10720">
            <v>0</v>
          </cell>
          <cell r="K10720" t="str">
            <v>Merchandising</v>
          </cell>
          <cell r="L10720" t="str">
            <v>HQ Salaries</v>
          </cell>
          <cell r="N10720" t="str">
            <v>SG&amp;A</v>
          </cell>
          <cell r="O10720" t="str">
            <v>[No Vendor]</v>
          </cell>
        </row>
        <row r="10721">
          <cell r="D10721">
            <v>1308.8499999999999</v>
          </cell>
          <cell r="H10721">
            <v>45901</v>
          </cell>
          <cell r="I10721" t="str">
            <v>6055 - Employer Social Security Tax Withheld</v>
          </cell>
          <cell r="J10721">
            <v>0</v>
          </cell>
          <cell r="K10721" t="str">
            <v>Brand Marketing</v>
          </cell>
          <cell r="L10721" t="str">
            <v>HQ Salaries</v>
          </cell>
          <cell r="N10721" t="str">
            <v>SG&amp;A</v>
          </cell>
          <cell r="O10721" t="str">
            <v>[No Vendor]</v>
          </cell>
        </row>
        <row r="10722">
          <cell r="D10722">
            <v>507.35</v>
          </cell>
          <cell r="H10722">
            <v>45901</v>
          </cell>
          <cell r="I10722" t="str">
            <v>6055 - Employer Social Security Tax Withheld</v>
          </cell>
          <cell r="J10722">
            <v>0</v>
          </cell>
          <cell r="K10722" t="str">
            <v>Executive</v>
          </cell>
          <cell r="L10722" t="str">
            <v>HQ Salaries</v>
          </cell>
          <cell r="N10722" t="str">
            <v>SG&amp;A</v>
          </cell>
          <cell r="O10722" t="str">
            <v>[No Vendor]</v>
          </cell>
        </row>
        <row r="10723">
          <cell r="D10723">
            <v>2204.02</v>
          </cell>
          <cell r="H10723">
            <v>45901</v>
          </cell>
          <cell r="I10723" t="str">
            <v>6055 - Employer Social Security Tax Withheld</v>
          </cell>
          <cell r="J10723" t="str">
            <v>Ecommerce (US)</v>
          </cell>
          <cell r="K10723" t="str">
            <v>Ecommerce</v>
          </cell>
          <cell r="L10723" t="str">
            <v>HQ Salaries</v>
          </cell>
          <cell r="N10723" t="str">
            <v>SG&amp;A</v>
          </cell>
          <cell r="O10723" t="str">
            <v>[No Vendor]</v>
          </cell>
        </row>
        <row r="10724">
          <cell r="D10724">
            <v>2155.3200000000002</v>
          </cell>
          <cell r="H10724">
            <v>45901</v>
          </cell>
          <cell r="I10724" t="str">
            <v>6055 - Employer Social Security Tax Withheld</v>
          </cell>
          <cell r="J10724">
            <v>0</v>
          </cell>
          <cell r="K10724" t="str">
            <v>Design</v>
          </cell>
          <cell r="L10724" t="str">
            <v>HQ Salaries</v>
          </cell>
          <cell r="N10724" t="str">
            <v>SG&amp;A</v>
          </cell>
          <cell r="O10724" t="str">
            <v>[No Vendor]</v>
          </cell>
        </row>
        <row r="10725">
          <cell r="D10725">
            <v>2749.74</v>
          </cell>
          <cell r="H10725">
            <v>45901</v>
          </cell>
          <cell r="I10725" t="str">
            <v>6055 - Employer Social Security Tax Withheld</v>
          </cell>
          <cell r="J10725">
            <v>0</v>
          </cell>
          <cell r="K10725" t="str">
            <v>Administration</v>
          </cell>
          <cell r="L10725" t="str">
            <v>HQ Salaries</v>
          </cell>
          <cell r="N10725" t="str">
            <v>SG&amp;A</v>
          </cell>
          <cell r="O10725" t="str">
            <v>[No Vendor]</v>
          </cell>
        </row>
        <row r="10726">
          <cell r="D10726">
            <v>357.5</v>
          </cell>
          <cell r="H10726">
            <v>45901</v>
          </cell>
          <cell r="I10726" t="str">
            <v>6055 - Employer Social Security Tax Withheld</v>
          </cell>
          <cell r="J10726" t="str">
            <v>Wholesale</v>
          </cell>
          <cell r="K10726" t="str">
            <v>Wholesale</v>
          </cell>
          <cell r="L10726" t="str">
            <v>HQ Salaries</v>
          </cell>
          <cell r="N10726" t="str">
            <v>SG&amp;A</v>
          </cell>
          <cell r="O10726" t="str">
            <v>[No Vendor]</v>
          </cell>
        </row>
        <row r="10727">
          <cell r="D10727">
            <v>1603.81</v>
          </cell>
          <cell r="H10727">
            <v>45901</v>
          </cell>
          <cell r="I10727" t="str">
            <v>6055 - Employer Social Security Tax Withheld</v>
          </cell>
          <cell r="J10727">
            <v>0</v>
          </cell>
          <cell r="K10727" t="str">
            <v>Production</v>
          </cell>
          <cell r="L10727" t="str">
            <v>HQ Salaries</v>
          </cell>
          <cell r="N10727" t="str">
            <v>SG&amp;A</v>
          </cell>
          <cell r="O10727" t="str">
            <v>[No Vendor]</v>
          </cell>
        </row>
        <row r="10728">
          <cell r="D10728">
            <v>406.94</v>
          </cell>
          <cell r="H10728">
            <v>45901</v>
          </cell>
          <cell r="I10728" t="str">
            <v>6055 - Employer Social Security Tax Withheld</v>
          </cell>
          <cell r="J10728">
            <v>0</v>
          </cell>
          <cell r="K10728" t="str">
            <v>Merchandising</v>
          </cell>
          <cell r="L10728" t="str">
            <v>HQ Salaries</v>
          </cell>
          <cell r="N10728" t="str">
            <v>SG&amp;A</v>
          </cell>
          <cell r="O10728" t="str">
            <v>[No Vendor]</v>
          </cell>
        </row>
        <row r="10729">
          <cell r="D10729">
            <v>1203.05</v>
          </cell>
          <cell r="H10729">
            <v>45901</v>
          </cell>
          <cell r="I10729" t="str">
            <v>6055 - Employer Social Security Tax Withheld</v>
          </cell>
          <cell r="J10729">
            <v>0</v>
          </cell>
          <cell r="K10729" t="str">
            <v>Brand Marketing</v>
          </cell>
          <cell r="L10729" t="str">
            <v>HQ Salaries</v>
          </cell>
          <cell r="N10729" t="str">
            <v>SG&amp;A</v>
          </cell>
          <cell r="O10729" t="str">
            <v>[No Vendor]</v>
          </cell>
        </row>
        <row r="10730">
          <cell r="D10730">
            <v>507.35</v>
          </cell>
          <cell r="H10730">
            <v>45901</v>
          </cell>
          <cell r="I10730" t="str">
            <v>6055 - Employer Social Security Tax Withheld</v>
          </cell>
          <cell r="J10730">
            <v>0</v>
          </cell>
          <cell r="K10730" t="str">
            <v>Executive</v>
          </cell>
          <cell r="L10730" t="str">
            <v>HQ Salaries</v>
          </cell>
          <cell r="N10730" t="str">
            <v>SG&amp;A</v>
          </cell>
          <cell r="O10730" t="str">
            <v>[No Vendor]</v>
          </cell>
        </row>
        <row r="10731">
          <cell r="D10731">
            <v>2204.02</v>
          </cell>
          <cell r="H10731">
            <v>45901</v>
          </cell>
          <cell r="I10731" t="str">
            <v>6055 - Employer Social Security Tax Withheld</v>
          </cell>
          <cell r="J10731" t="str">
            <v>Ecommerce (US)</v>
          </cell>
          <cell r="K10731" t="str">
            <v>Ecommerce</v>
          </cell>
          <cell r="L10731" t="str">
            <v>HQ Salaries</v>
          </cell>
          <cell r="N10731" t="str">
            <v>SG&amp;A</v>
          </cell>
          <cell r="O10731" t="str">
            <v>[No Vendor]</v>
          </cell>
        </row>
        <row r="10732">
          <cell r="D10732">
            <v>2155.3200000000002</v>
          </cell>
          <cell r="H10732">
            <v>45901</v>
          </cell>
          <cell r="I10732" t="str">
            <v>6055 - Employer Social Security Tax Withheld</v>
          </cell>
          <cell r="J10732">
            <v>0</v>
          </cell>
          <cell r="K10732" t="str">
            <v>Design</v>
          </cell>
          <cell r="L10732" t="str">
            <v>HQ Salaries</v>
          </cell>
          <cell r="N10732" t="str">
            <v>SG&amp;A</v>
          </cell>
          <cell r="O10732" t="str">
            <v>[No Vendor]</v>
          </cell>
        </row>
        <row r="10733">
          <cell r="D10733">
            <v>1489.99</v>
          </cell>
          <cell r="H10733">
            <v>45901</v>
          </cell>
          <cell r="I10733" t="str">
            <v>6055 - Employer Social Security Tax Withheld</v>
          </cell>
          <cell r="J10733">
            <v>0</v>
          </cell>
          <cell r="K10733" t="str">
            <v>Administration</v>
          </cell>
          <cell r="L10733" t="str">
            <v>HQ Salaries</v>
          </cell>
          <cell r="N10733" t="str">
            <v>SG&amp;A</v>
          </cell>
          <cell r="O10733" t="str">
            <v>[No Vendor]</v>
          </cell>
        </row>
        <row r="10734">
          <cell r="D10734">
            <v>1787.99</v>
          </cell>
          <cell r="H10734">
            <v>45901</v>
          </cell>
          <cell r="I10734" t="str">
            <v>6055 - Employer Social Security Tax Withheld</v>
          </cell>
          <cell r="J10734">
            <v>0</v>
          </cell>
          <cell r="K10734" t="str">
            <v>Administration</v>
          </cell>
          <cell r="L10734" t="str">
            <v>HQ Salaries</v>
          </cell>
          <cell r="N10734" t="str">
            <v>SG&amp;A</v>
          </cell>
          <cell r="O10734" t="str">
            <v>[No Vendor]</v>
          </cell>
        </row>
        <row r="10735">
          <cell r="D10735">
            <v>2589.65</v>
          </cell>
          <cell r="H10735">
            <v>45901</v>
          </cell>
          <cell r="I10735" t="str">
            <v>6055 - Employer Social Security Tax Withheld</v>
          </cell>
          <cell r="J10735">
            <v>0</v>
          </cell>
          <cell r="K10735" t="str">
            <v>Design</v>
          </cell>
          <cell r="L10735" t="str">
            <v>HQ Salaries</v>
          </cell>
          <cell r="N10735" t="str">
            <v>SG&amp;A</v>
          </cell>
          <cell r="O10735" t="str">
            <v>[No Vendor]</v>
          </cell>
        </row>
        <row r="10736">
          <cell r="D10736">
            <v>2644.82</v>
          </cell>
          <cell r="H10736">
            <v>45901</v>
          </cell>
          <cell r="I10736" t="str">
            <v>6055 - Employer Social Security Tax Withheld</v>
          </cell>
          <cell r="J10736" t="str">
            <v>Ecommerce (US)</v>
          </cell>
          <cell r="K10736" t="str">
            <v>Ecommerce</v>
          </cell>
          <cell r="L10736" t="str">
            <v>HQ Salaries</v>
          </cell>
          <cell r="N10736" t="str">
            <v>SG&amp;A</v>
          </cell>
          <cell r="O10736" t="str">
            <v>[No Vendor]</v>
          </cell>
        </row>
        <row r="10737">
          <cell r="D10737">
            <v>609.46</v>
          </cell>
          <cell r="H10737">
            <v>45901</v>
          </cell>
          <cell r="I10737" t="str">
            <v>6055 - Employer Social Security Tax Withheld</v>
          </cell>
          <cell r="J10737">
            <v>0</v>
          </cell>
          <cell r="K10737" t="str">
            <v>Executive</v>
          </cell>
          <cell r="L10737" t="str">
            <v>HQ Salaries</v>
          </cell>
          <cell r="N10737" t="str">
            <v>SG&amp;A</v>
          </cell>
          <cell r="O10737" t="str">
            <v>[No Vendor]</v>
          </cell>
        </row>
        <row r="10738">
          <cell r="D10738">
            <v>1213.3</v>
          </cell>
          <cell r="H10738">
            <v>45901</v>
          </cell>
          <cell r="I10738" t="str">
            <v>6055 - Employer Social Security Tax Withheld</v>
          </cell>
          <cell r="J10738">
            <v>0</v>
          </cell>
          <cell r="K10738" t="str">
            <v>Brand Marketing</v>
          </cell>
          <cell r="L10738" t="str">
            <v>HQ Salaries</v>
          </cell>
          <cell r="N10738" t="str">
            <v>SG&amp;A</v>
          </cell>
          <cell r="O10738" t="str">
            <v>[No Vendor]</v>
          </cell>
        </row>
        <row r="10739">
          <cell r="D10739">
            <v>488.33</v>
          </cell>
          <cell r="H10739">
            <v>45901</v>
          </cell>
          <cell r="I10739" t="str">
            <v>6055 - Employer Social Security Tax Withheld</v>
          </cell>
          <cell r="J10739">
            <v>0</v>
          </cell>
          <cell r="K10739" t="str">
            <v>Merchandising</v>
          </cell>
          <cell r="L10739" t="str">
            <v>HQ Salaries</v>
          </cell>
          <cell r="N10739" t="str">
            <v>SG&amp;A</v>
          </cell>
          <cell r="O10739" t="str">
            <v>[No Vendor]</v>
          </cell>
        </row>
        <row r="10740">
          <cell r="D10740">
            <v>1924.57</v>
          </cell>
          <cell r="H10740">
            <v>45901</v>
          </cell>
          <cell r="I10740" t="str">
            <v>6055 - Employer Social Security Tax Withheld</v>
          </cell>
          <cell r="J10740">
            <v>0</v>
          </cell>
          <cell r="K10740" t="str">
            <v>Production</v>
          </cell>
          <cell r="L10740" t="str">
            <v>HQ Salaries</v>
          </cell>
          <cell r="N10740" t="str">
            <v>SG&amp;A</v>
          </cell>
          <cell r="O10740" t="str">
            <v>[No Vendor]</v>
          </cell>
        </row>
        <row r="10741">
          <cell r="D10741">
            <v>429</v>
          </cell>
          <cell r="H10741">
            <v>45901</v>
          </cell>
          <cell r="I10741" t="str">
            <v>6055 - Employer Social Security Tax Withheld</v>
          </cell>
          <cell r="J10741" t="str">
            <v>Wholesale</v>
          </cell>
          <cell r="K10741" t="str">
            <v>Wholesale</v>
          </cell>
          <cell r="L10741" t="str">
            <v>HQ Salaries</v>
          </cell>
          <cell r="N10741" t="str">
            <v>SG&amp;A</v>
          </cell>
          <cell r="O10741" t="str">
            <v>[No Vendor]</v>
          </cell>
        </row>
        <row r="10742">
          <cell r="D10742">
            <v>101.14</v>
          </cell>
          <cell r="H10742">
            <v>45901</v>
          </cell>
          <cell r="I10742" t="str">
            <v>6105 - Meals</v>
          </cell>
          <cell r="J10742">
            <v>0</v>
          </cell>
          <cell r="K10742" t="str">
            <v>Production</v>
          </cell>
          <cell r="L10742" t="str">
            <v>T&amp;E</v>
          </cell>
          <cell r="N10742" t="str">
            <v>SG&amp;A</v>
          </cell>
          <cell r="O10742" t="str">
            <v>Alexandra Olivier</v>
          </cell>
        </row>
        <row r="10743">
          <cell r="D10743">
            <v>350.96</v>
          </cell>
          <cell r="H10743">
            <v>45901</v>
          </cell>
          <cell r="I10743" t="str">
            <v>6105 - Meals</v>
          </cell>
          <cell r="J10743">
            <v>0</v>
          </cell>
          <cell r="K10743" t="str">
            <v>Administration</v>
          </cell>
          <cell r="L10743" t="str">
            <v>T&amp;E</v>
          </cell>
          <cell r="N10743" t="str">
            <v>SG&amp;A</v>
          </cell>
          <cell r="O10743" t="str">
            <v>Olivia Nielsen</v>
          </cell>
        </row>
        <row r="10744">
          <cell r="D10744">
            <v>58.94</v>
          </cell>
          <cell r="H10744">
            <v>45901</v>
          </cell>
          <cell r="I10744" t="str">
            <v>6105 - Meals</v>
          </cell>
          <cell r="J10744">
            <v>0</v>
          </cell>
          <cell r="K10744" t="str">
            <v>Administration</v>
          </cell>
          <cell r="L10744" t="str">
            <v>T&amp;E</v>
          </cell>
          <cell r="N10744" t="str">
            <v>SG&amp;A</v>
          </cell>
          <cell r="O10744" t="str">
            <v>[No Vendor]</v>
          </cell>
        </row>
        <row r="10745">
          <cell r="D10745">
            <v>49.98</v>
          </cell>
          <cell r="H10745">
            <v>45901</v>
          </cell>
          <cell r="I10745" t="str">
            <v>6105 - Meals</v>
          </cell>
          <cell r="J10745">
            <v>0</v>
          </cell>
          <cell r="K10745" t="str">
            <v>Administration</v>
          </cell>
          <cell r="L10745" t="str">
            <v>T&amp;E</v>
          </cell>
          <cell r="N10745" t="str">
            <v>SG&amp;A</v>
          </cell>
          <cell r="O10745" t="str">
            <v>[No Vendor]</v>
          </cell>
        </row>
        <row r="10746">
          <cell r="D10746">
            <v>49.92</v>
          </cell>
          <cell r="H10746">
            <v>45901</v>
          </cell>
          <cell r="I10746" t="str">
            <v>6105 - Meals</v>
          </cell>
          <cell r="J10746">
            <v>0</v>
          </cell>
          <cell r="K10746" t="str">
            <v>Brand Marketing</v>
          </cell>
          <cell r="L10746" t="str">
            <v>T&amp;E</v>
          </cell>
          <cell r="N10746" t="str">
            <v>SG&amp;A</v>
          </cell>
          <cell r="O10746" t="str">
            <v>[No Vendor]</v>
          </cell>
        </row>
        <row r="10747">
          <cell r="D10747">
            <v>40.5</v>
          </cell>
          <cell r="H10747">
            <v>45901</v>
          </cell>
          <cell r="I10747" t="str">
            <v>6105 - Meals</v>
          </cell>
          <cell r="J10747">
            <v>0</v>
          </cell>
          <cell r="K10747" t="str">
            <v>Production</v>
          </cell>
          <cell r="L10747" t="str">
            <v>T&amp;E</v>
          </cell>
          <cell r="N10747" t="str">
            <v>SG&amp;A</v>
          </cell>
          <cell r="O10747" t="str">
            <v>Alexandra Olivier</v>
          </cell>
        </row>
        <row r="10748">
          <cell r="D10748">
            <v>11.94</v>
          </cell>
          <cell r="H10748">
            <v>45901</v>
          </cell>
          <cell r="I10748" t="str">
            <v>6105 - Meals</v>
          </cell>
          <cell r="J10748">
            <v>0</v>
          </cell>
          <cell r="K10748" t="str">
            <v>Executive</v>
          </cell>
          <cell r="L10748" t="str">
            <v>T&amp;E</v>
          </cell>
          <cell r="N10748" t="str">
            <v>SG&amp;A</v>
          </cell>
          <cell r="O10748" t="str">
            <v>[No Vendor]</v>
          </cell>
        </row>
        <row r="10749">
          <cell r="D10749">
            <v>32.69</v>
          </cell>
          <cell r="H10749">
            <v>45901</v>
          </cell>
          <cell r="I10749" t="str">
            <v>6105 - Meals</v>
          </cell>
          <cell r="J10749">
            <v>0</v>
          </cell>
          <cell r="K10749" t="str">
            <v>Executive</v>
          </cell>
          <cell r="L10749" t="str">
            <v>T&amp;E</v>
          </cell>
          <cell r="N10749" t="str">
            <v>SG&amp;A</v>
          </cell>
          <cell r="O10749" t="str">
            <v>[No Vendor]</v>
          </cell>
        </row>
        <row r="10750">
          <cell r="D10750">
            <v>46.02</v>
          </cell>
          <cell r="H10750">
            <v>45901</v>
          </cell>
          <cell r="I10750" t="str">
            <v>6105 - Meals</v>
          </cell>
          <cell r="J10750">
            <v>0</v>
          </cell>
          <cell r="K10750" t="str">
            <v>Executive</v>
          </cell>
          <cell r="L10750" t="str">
            <v>T&amp;E</v>
          </cell>
          <cell r="N10750" t="str">
            <v>SG&amp;A</v>
          </cell>
          <cell r="O10750" t="str">
            <v>[No Vendor]</v>
          </cell>
        </row>
        <row r="10751">
          <cell r="D10751">
            <v>20.84</v>
          </cell>
          <cell r="H10751">
            <v>45901</v>
          </cell>
          <cell r="I10751" t="str">
            <v>6125 - Transportation and Fuel</v>
          </cell>
          <cell r="J10751">
            <v>0</v>
          </cell>
          <cell r="K10751" t="str">
            <v>Brand Marketing</v>
          </cell>
          <cell r="L10751" t="str">
            <v>T&amp;E</v>
          </cell>
          <cell r="N10751" t="str">
            <v>SG&amp;A</v>
          </cell>
          <cell r="O10751" t="str">
            <v>[No Vendor]</v>
          </cell>
        </row>
        <row r="10752">
          <cell r="D10752">
            <v>29.62</v>
          </cell>
          <cell r="H10752">
            <v>45901</v>
          </cell>
          <cell r="I10752" t="str">
            <v>6125 - Transportation and Fuel</v>
          </cell>
          <cell r="J10752">
            <v>0</v>
          </cell>
          <cell r="K10752" t="str">
            <v>Brand Marketing</v>
          </cell>
          <cell r="L10752" t="str">
            <v>T&amp;E</v>
          </cell>
          <cell r="N10752" t="str">
            <v>SG&amp;A</v>
          </cell>
          <cell r="O10752" t="str">
            <v>[No Vendor]</v>
          </cell>
        </row>
        <row r="10753">
          <cell r="D10753">
            <v>63.7</v>
          </cell>
          <cell r="H10753">
            <v>45901</v>
          </cell>
          <cell r="I10753" t="str">
            <v>6125 - Transportation and Fuel</v>
          </cell>
          <cell r="J10753">
            <v>0</v>
          </cell>
          <cell r="K10753" t="str">
            <v>Executive</v>
          </cell>
          <cell r="L10753" t="str">
            <v>T&amp;E</v>
          </cell>
          <cell r="N10753" t="str">
            <v>SG&amp;A</v>
          </cell>
          <cell r="O10753" t="str">
            <v>[No Vendor]</v>
          </cell>
        </row>
        <row r="10754">
          <cell r="D10754">
            <v>0</v>
          </cell>
          <cell r="H10754">
            <v>45901</v>
          </cell>
          <cell r="I10754" t="str">
            <v>6205 - Contractors</v>
          </cell>
          <cell r="J10754">
            <v>0</v>
          </cell>
          <cell r="K10754" t="str">
            <v>Brand Marketing</v>
          </cell>
          <cell r="L10754" t="str">
            <v>HQ Salaries</v>
          </cell>
          <cell r="N10754" t="str">
            <v>SG&amp;A</v>
          </cell>
          <cell r="O10754" t="str">
            <v>[No Vendor]</v>
          </cell>
        </row>
        <row r="10755">
          <cell r="D10755">
            <v>-13421</v>
          </cell>
          <cell r="H10755">
            <v>45901</v>
          </cell>
          <cell r="I10755" t="str">
            <v>6205 - Contractors</v>
          </cell>
          <cell r="J10755" t="str">
            <v>Ecommerce (US)</v>
          </cell>
          <cell r="K10755" t="str">
            <v>Ecommerce</v>
          </cell>
          <cell r="L10755" t="str">
            <v>HQ Salaries</v>
          </cell>
          <cell r="N10755" t="str">
            <v>SG&amp;A</v>
          </cell>
          <cell r="O10755" t="str">
            <v>[No Vendor]</v>
          </cell>
        </row>
        <row r="10756">
          <cell r="D10756">
            <v>0</v>
          </cell>
          <cell r="H10756">
            <v>45901</v>
          </cell>
          <cell r="I10756" t="str">
            <v>6205 - Contractors</v>
          </cell>
          <cell r="J10756">
            <v>0</v>
          </cell>
          <cell r="K10756" t="str">
            <v>Design</v>
          </cell>
          <cell r="L10756" t="str">
            <v>HQ Salaries</v>
          </cell>
          <cell r="N10756" t="str">
            <v>SG&amp;A</v>
          </cell>
          <cell r="O10756" t="str">
            <v>[No Vendor]</v>
          </cell>
        </row>
        <row r="10757">
          <cell r="D10757">
            <v>17833.330000000002</v>
          </cell>
          <cell r="H10757">
            <v>45901</v>
          </cell>
          <cell r="I10757" t="str">
            <v>6205 - Contractors</v>
          </cell>
          <cell r="J10757">
            <v>0</v>
          </cell>
          <cell r="K10757" t="str">
            <v>Brand Marketing</v>
          </cell>
          <cell r="L10757" t="str">
            <v>HQ Salaries</v>
          </cell>
          <cell r="N10757" t="str">
            <v>SG&amp;A</v>
          </cell>
          <cell r="O10757" t="str">
            <v>[No Vendor]</v>
          </cell>
        </row>
        <row r="10758">
          <cell r="D10758">
            <v>13421</v>
          </cell>
          <cell r="H10758">
            <v>45901</v>
          </cell>
          <cell r="I10758" t="str">
            <v>6205 - Contractors</v>
          </cell>
          <cell r="J10758" t="str">
            <v>Ecommerce (US)</v>
          </cell>
          <cell r="K10758" t="str">
            <v>Ecommerce</v>
          </cell>
          <cell r="L10758" t="str">
            <v>HQ Salaries</v>
          </cell>
          <cell r="N10758" t="str">
            <v>SG&amp;A</v>
          </cell>
          <cell r="O10758" t="str">
            <v>[No Vendor]</v>
          </cell>
        </row>
        <row r="10759">
          <cell r="D10759">
            <v>0</v>
          </cell>
          <cell r="H10759">
            <v>45901</v>
          </cell>
          <cell r="I10759" t="str">
            <v>6205 - Contractors</v>
          </cell>
          <cell r="J10759">
            <v>0</v>
          </cell>
          <cell r="K10759" t="str">
            <v>Design</v>
          </cell>
          <cell r="L10759" t="str">
            <v>HQ Salaries</v>
          </cell>
          <cell r="N10759" t="str">
            <v>SG&amp;A</v>
          </cell>
          <cell r="O10759" t="str">
            <v>[No Vendor]</v>
          </cell>
        </row>
        <row r="10760">
          <cell r="D10760">
            <v>2905.41</v>
          </cell>
          <cell r="H10760">
            <v>45901</v>
          </cell>
          <cell r="I10760" t="str">
            <v>6205 - Contractors</v>
          </cell>
          <cell r="J10760">
            <v>0</v>
          </cell>
          <cell r="K10760" t="str">
            <v>Production</v>
          </cell>
          <cell r="L10760" t="str">
            <v>HQ Salaries</v>
          </cell>
          <cell r="N10760" t="str">
            <v>SG&amp;A</v>
          </cell>
          <cell r="O10760" t="str">
            <v>Robert Half</v>
          </cell>
        </row>
        <row r="10761">
          <cell r="D10761">
            <v>4001.37</v>
          </cell>
          <cell r="H10761">
            <v>45901</v>
          </cell>
          <cell r="I10761" t="str">
            <v>6205 - Contractors</v>
          </cell>
          <cell r="J10761">
            <v>0</v>
          </cell>
          <cell r="K10761" t="str">
            <v>Production</v>
          </cell>
          <cell r="L10761" t="str">
            <v>HQ Salaries</v>
          </cell>
          <cell r="N10761" t="str">
            <v>SG&amp;A</v>
          </cell>
          <cell r="O10761" t="str">
            <v>Robert Half</v>
          </cell>
        </row>
        <row r="10762">
          <cell r="D10762">
            <v>0</v>
          </cell>
          <cell r="H10762">
            <v>45901</v>
          </cell>
          <cell r="I10762" t="str">
            <v>6205 - Contractors</v>
          </cell>
          <cell r="J10762">
            <v>0</v>
          </cell>
          <cell r="K10762" t="str">
            <v>Brand Marketing</v>
          </cell>
          <cell r="L10762" t="str">
            <v>HQ Salaries</v>
          </cell>
          <cell r="N10762" t="str">
            <v>SG&amp;A</v>
          </cell>
          <cell r="O10762" t="str">
            <v>[No Vendor]</v>
          </cell>
        </row>
        <row r="10763">
          <cell r="D10763">
            <v>10687.5</v>
          </cell>
          <cell r="H10763">
            <v>45901</v>
          </cell>
          <cell r="I10763" t="str">
            <v>6205 - Contractors</v>
          </cell>
          <cell r="J10763" t="str">
            <v>Ecommerce (US)</v>
          </cell>
          <cell r="K10763" t="str">
            <v>Ecommerce</v>
          </cell>
          <cell r="L10763" t="str">
            <v>HQ Salaries</v>
          </cell>
          <cell r="N10763" t="str">
            <v>SG&amp;A</v>
          </cell>
          <cell r="O10763" t="str">
            <v>[No Vendor]</v>
          </cell>
        </row>
        <row r="10764">
          <cell r="D10764">
            <v>0</v>
          </cell>
          <cell r="H10764">
            <v>45901</v>
          </cell>
          <cell r="I10764" t="str">
            <v>6205 - Contractors</v>
          </cell>
          <cell r="J10764">
            <v>0</v>
          </cell>
          <cell r="K10764" t="str">
            <v>Design</v>
          </cell>
          <cell r="L10764" t="str">
            <v>HQ Salaries</v>
          </cell>
          <cell r="N10764" t="str">
            <v>SG&amp;A</v>
          </cell>
          <cell r="O10764" t="str">
            <v>[No Vendor]</v>
          </cell>
        </row>
        <row r="10765">
          <cell r="D10765">
            <v>3856.4</v>
          </cell>
          <cell r="H10765">
            <v>45901</v>
          </cell>
          <cell r="I10765" t="str">
            <v>6205 - Contractors</v>
          </cell>
          <cell r="J10765">
            <v>0</v>
          </cell>
          <cell r="K10765" t="str">
            <v>Production</v>
          </cell>
          <cell r="L10765" t="str">
            <v>HQ Salaries</v>
          </cell>
          <cell r="N10765" t="str">
            <v>SG&amp;A</v>
          </cell>
          <cell r="O10765" t="str">
            <v>Robert Half</v>
          </cell>
        </row>
        <row r="10766">
          <cell r="D10766">
            <v>3812.19</v>
          </cell>
          <cell r="H10766">
            <v>45901</v>
          </cell>
          <cell r="I10766" t="str">
            <v>6205 - Contractors</v>
          </cell>
          <cell r="J10766">
            <v>0</v>
          </cell>
          <cell r="K10766" t="str">
            <v>Production</v>
          </cell>
          <cell r="L10766" t="str">
            <v>HQ Salaries</v>
          </cell>
          <cell r="N10766" t="str">
            <v>SG&amp;A</v>
          </cell>
          <cell r="O10766" t="str">
            <v>Robert Half</v>
          </cell>
        </row>
        <row r="10767">
          <cell r="D10767">
            <v>0</v>
          </cell>
          <cell r="H10767">
            <v>45901</v>
          </cell>
          <cell r="I10767" t="str">
            <v>6205 - Contractors</v>
          </cell>
          <cell r="J10767">
            <v>0</v>
          </cell>
          <cell r="K10767" t="str">
            <v>Design</v>
          </cell>
          <cell r="L10767" t="str">
            <v>HQ Salaries</v>
          </cell>
          <cell r="N10767" t="str">
            <v>SG&amp;A</v>
          </cell>
          <cell r="O10767" t="str">
            <v>[No Vendor]</v>
          </cell>
        </row>
        <row r="10768">
          <cell r="D10768">
            <v>10482.6</v>
          </cell>
          <cell r="H10768">
            <v>45901</v>
          </cell>
          <cell r="I10768" t="str">
            <v>6205 - Contractors</v>
          </cell>
          <cell r="J10768" t="str">
            <v>Ecommerce (US)</v>
          </cell>
          <cell r="K10768" t="str">
            <v>Ecommerce</v>
          </cell>
          <cell r="L10768" t="str">
            <v>HQ Salaries</v>
          </cell>
          <cell r="N10768" t="str">
            <v>SG&amp;A</v>
          </cell>
          <cell r="O10768" t="str">
            <v>[No Vendor]</v>
          </cell>
        </row>
        <row r="10769">
          <cell r="D10769">
            <v>0</v>
          </cell>
          <cell r="H10769">
            <v>45901</v>
          </cell>
          <cell r="I10769" t="str">
            <v>6205 - Contractors</v>
          </cell>
          <cell r="J10769">
            <v>0</v>
          </cell>
          <cell r="K10769" t="str">
            <v>Brand Marketing</v>
          </cell>
          <cell r="L10769" t="str">
            <v>HQ Salaries</v>
          </cell>
          <cell r="N10769" t="str">
            <v>SG&amp;A</v>
          </cell>
          <cell r="O10769" t="str">
            <v>[No Vendor]</v>
          </cell>
        </row>
        <row r="10770">
          <cell r="D10770">
            <v>1600</v>
          </cell>
          <cell r="H10770">
            <v>45901</v>
          </cell>
          <cell r="I10770" t="str">
            <v>6205 - Contractors</v>
          </cell>
          <cell r="J10770">
            <v>0</v>
          </cell>
          <cell r="K10770" t="str">
            <v>Production</v>
          </cell>
          <cell r="L10770" t="str">
            <v>HQ Salaries</v>
          </cell>
          <cell r="N10770" t="str">
            <v>SG&amp;A</v>
          </cell>
          <cell r="O10770" t="str">
            <v>[No Vendor]</v>
          </cell>
        </row>
        <row r="10771">
          <cell r="D10771">
            <v>1500</v>
          </cell>
          <cell r="H10771">
            <v>45901</v>
          </cell>
          <cell r="I10771" t="str">
            <v>6205 - Contractors</v>
          </cell>
          <cell r="J10771">
            <v>0</v>
          </cell>
          <cell r="K10771" t="str">
            <v>Production</v>
          </cell>
          <cell r="L10771" t="str">
            <v>HQ Salaries</v>
          </cell>
          <cell r="N10771" t="str">
            <v>SG&amp;A</v>
          </cell>
          <cell r="O10771" t="str">
            <v>Philip Yau</v>
          </cell>
        </row>
        <row r="10772">
          <cell r="D10772">
            <v>352.39</v>
          </cell>
          <cell r="H10772">
            <v>45901</v>
          </cell>
          <cell r="I10772" t="str">
            <v>6210 - Monitoring</v>
          </cell>
          <cell r="J10772" t="str">
            <v>Ecommerce (EU)</v>
          </cell>
          <cell r="K10772" t="str">
            <v>Ecommerce</v>
          </cell>
          <cell r="L10772" t="str">
            <v>Professional Service</v>
          </cell>
          <cell r="N10772" t="str">
            <v>Direct Costs</v>
          </cell>
          <cell r="O10772" t="str">
            <v>Convey SRL</v>
          </cell>
        </row>
        <row r="10773">
          <cell r="D10773">
            <v>4160.5</v>
          </cell>
          <cell r="H10773">
            <v>45901</v>
          </cell>
          <cell r="I10773" t="str">
            <v>6210 - Monitoring</v>
          </cell>
          <cell r="J10773" t="str">
            <v>Ecommerce (EU)</v>
          </cell>
          <cell r="K10773" t="str">
            <v>Ecommerce</v>
          </cell>
          <cell r="L10773" t="str">
            <v>Professional Service</v>
          </cell>
          <cell r="N10773" t="str">
            <v>Direct Costs</v>
          </cell>
          <cell r="O10773" t="str">
            <v>Convey SRL</v>
          </cell>
        </row>
        <row r="10774">
          <cell r="D10774">
            <v>101.01</v>
          </cell>
          <cell r="H10774">
            <v>45901</v>
          </cell>
          <cell r="I10774" t="str">
            <v>6210 - Monitoring</v>
          </cell>
          <cell r="J10774" t="str">
            <v>Ecommerce (EU)</v>
          </cell>
          <cell r="K10774" t="str">
            <v>Ecommerce</v>
          </cell>
          <cell r="L10774" t="str">
            <v>Professional Service</v>
          </cell>
          <cell r="N10774" t="str">
            <v>Direct Costs</v>
          </cell>
          <cell r="O10774" t="str">
            <v>Convey SRL</v>
          </cell>
        </row>
        <row r="10775">
          <cell r="D10775">
            <v>158.56</v>
          </cell>
          <cell r="H10775">
            <v>45901</v>
          </cell>
          <cell r="I10775" t="str">
            <v>6210 - Monitoring</v>
          </cell>
          <cell r="J10775" t="str">
            <v>Ecommerce (EU)</v>
          </cell>
          <cell r="K10775" t="str">
            <v>Ecommerce</v>
          </cell>
          <cell r="L10775" t="str">
            <v>Professional Service</v>
          </cell>
          <cell r="N10775" t="str">
            <v>Direct Costs</v>
          </cell>
          <cell r="O10775" t="str">
            <v>Convey SRL</v>
          </cell>
        </row>
        <row r="10776">
          <cell r="D10776">
            <v>43.46</v>
          </cell>
          <cell r="H10776">
            <v>45901</v>
          </cell>
          <cell r="I10776" t="str">
            <v>6210 - Monitoring</v>
          </cell>
          <cell r="J10776" t="str">
            <v>Ecommerce (EU)</v>
          </cell>
          <cell r="K10776" t="str">
            <v>Ecommerce</v>
          </cell>
          <cell r="L10776" t="str">
            <v>Professional Service</v>
          </cell>
          <cell r="N10776" t="str">
            <v>Direct Costs</v>
          </cell>
          <cell r="O10776" t="str">
            <v>Convey SRL</v>
          </cell>
        </row>
        <row r="10777">
          <cell r="D10777">
            <v>103.36</v>
          </cell>
          <cell r="H10777">
            <v>45901</v>
          </cell>
          <cell r="I10777" t="str">
            <v>6210 - Monitoring</v>
          </cell>
          <cell r="J10777" t="str">
            <v>Ecommerce (EU)</v>
          </cell>
          <cell r="K10777" t="str">
            <v>Ecommerce</v>
          </cell>
          <cell r="L10777" t="str">
            <v>Professional Service</v>
          </cell>
          <cell r="N10777" t="str">
            <v>Direct Costs</v>
          </cell>
          <cell r="O10777" t="str">
            <v>Convey SRL</v>
          </cell>
        </row>
        <row r="10778">
          <cell r="D10778">
            <v>43.54</v>
          </cell>
          <cell r="H10778">
            <v>45901</v>
          </cell>
          <cell r="I10778" t="str">
            <v>6215 - Recruitment</v>
          </cell>
          <cell r="J10778">
            <v>0</v>
          </cell>
          <cell r="K10778" t="str">
            <v>Administration</v>
          </cell>
          <cell r="L10778" t="str">
            <v>Professional Service</v>
          </cell>
          <cell r="N10778" t="str">
            <v>SG&amp;A</v>
          </cell>
          <cell r="O10778" t="str">
            <v>Linkedin</v>
          </cell>
        </row>
        <row r="10779">
          <cell r="D10779">
            <v>18.899999999999999</v>
          </cell>
          <cell r="H10779">
            <v>45901</v>
          </cell>
          <cell r="I10779" t="str">
            <v>6225 - Professional Services</v>
          </cell>
          <cell r="J10779">
            <v>0</v>
          </cell>
          <cell r="K10779" t="str">
            <v>Administration</v>
          </cell>
          <cell r="L10779" t="str">
            <v>Professional Service</v>
          </cell>
          <cell r="N10779" t="str">
            <v>Direct Costs</v>
          </cell>
          <cell r="O10779" t="str">
            <v>Enom Solutions, Inc-DBA 3nom</v>
          </cell>
        </row>
        <row r="10780">
          <cell r="D10780">
            <v>640</v>
          </cell>
          <cell r="H10780">
            <v>45901</v>
          </cell>
          <cell r="I10780" t="str">
            <v>6225 - Professional Services</v>
          </cell>
          <cell r="J10780">
            <v>0</v>
          </cell>
          <cell r="K10780" t="str">
            <v>Administration</v>
          </cell>
          <cell r="L10780" t="str">
            <v>Professional Service</v>
          </cell>
          <cell r="N10780" t="str">
            <v>Direct Costs</v>
          </cell>
          <cell r="O10780" t="str">
            <v>Enom Solutions, Inc-DBA 3nom</v>
          </cell>
        </row>
        <row r="10781">
          <cell r="D10781">
            <v>9</v>
          </cell>
          <cell r="H10781">
            <v>45901</v>
          </cell>
          <cell r="I10781" t="str">
            <v>6225 - Professional Services</v>
          </cell>
          <cell r="J10781">
            <v>0</v>
          </cell>
          <cell r="K10781" t="str">
            <v>Administration</v>
          </cell>
          <cell r="L10781" t="str">
            <v>Professional Service</v>
          </cell>
          <cell r="N10781" t="str">
            <v>Direct Costs</v>
          </cell>
          <cell r="O10781" t="str">
            <v>Enom Solutions, Inc-DBA 3nom</v>
          </cell>
        </row>
        <row r="10782">
          <cell r="D10782">
            <v>125</v>
          </cell>
          <cell r="H10782">
            <v>45901</v>
          </cell>
          <cell r="I10782" t="str">
            <v>6225 - Professional Services</v>
          </cell>
          <cell r="J10782">
            <v>0</v>
          </cell>
          <cell r="K10782" t="str">
            <v>Administration</v>
          </cell>
          <cell r="L10782" t="str">
            <v>Professional Service</v>
          </cell>
          <cell r="N10782" t="str">
            <v>Direct Costs</v>
          </cell>
          <cell r="O10782" t="str">
            <v>Enom Solutions, Inc-DBA 3nom</v>
          </cell>
        </row>
        <row r="10783">
          <cell r="D10783">
            <v>2500</v>
          </cell>
          <cell r="H10783">
            <v>45901</v>
          </cell>
          <cell r="I10783" t="str">
            <v>6225 - Professional Services</v>
          </cell>
          <cell r="J10783">
            <v>0</v>
          </cell>
          <cell r="K10783" t="str">
            <v>Administration</v>
          </cell>
          <cell r="L10783" t="str">
            <v>Professional Service</v>
          </cell>
          <cell r="N10783" t="str">
            <v>Direct Costs</v>
          </cell>
          <cell r="O10783" t="str">
            <v>Enom Solutions, Inc-DBA 3nom</v>
          </cell>
        </row>
        <row r="10784">
          <cell r="D10784">
            <v>2100</v>
          </cell>
          <cell r="H10784">
            <v>45901</v>
          </cell>
          <cell r="I10784" t="str">
            <v>6225 - Professional Services</v>
          </cell>
          <cell r="J10784">
            <v>0</v>
          </cell>
          <cell r="K10784" t="str">
            <v>Brand Marketing</v>
          </cell>
          <cell r="L10784" t="str">
            <v>Professional Service</v>
          </cell>
          <cell r="N10784" t="str">
            <v>Direct Costs</v>
          </cell>
          <cell r="O10784" t="str">
            <v>The Lede Company, LLC</v>
          </cell>
        </row>
        <row r="10785">
          <cell r="D10785">
            <v>29.36</v>
          </cell>
          <cell r="H10785">
            <v>45901</v>
          </cell>
          <cell r="I10785" t="str">
            <v>6225 - Professional Services</v>
          </cell>
          <cell r="J10785">
            <v>0</v>
          </cell>
          <cell r="K10785" t="str">
            <v>Brand Marketing</v>
          </cell>
          <cell r="L10785" t="str">
            <v>Professional Service</v>
          </cell>
          <cell r="N10785" t="str">
            <v>Direct Costs</v>
          </cell>
          <cell r="O10785" t="str">
            <v>The Lede Company, LLC</v>
          </cell>
        </row>
        <row r="10786">
          <cell r="D10786">
            <v>32.200000000000003</v>
          </cell>
          <cell r="H10786">
            <v>45901</v>
          </cell>
          <cell r="I10786" t="str">
            <v>6225 - Professional Services</v>
          </cell>
          <cell r="J10786">
            <v>0</v>
          </cell>
          <cell r="K10786" t="str">
            <v>Brand Marketing</v>
          </cell>
          <cell r="L10786" t="str">
            <v>Professional Service</v>
          </cell>
          <cell r="N10786" t="str">
            <v>Direct Costs</v>
          </cell>
          <cell r="O10786" t="str">
            <v>The Lede Company, LLC</v>
          </cell>
        </row>
        <row r="10787">
          <cell r="D10787">
            <v>300</v>
          </cell>
          <cell r="H10787">
            <v>45901</v>
          </cell>
          <cell r="I10787" t="str">
            <v>6225 - Professional Services</v>
          </cell>
          <cell r="J10787">
            <v>0</v>
          </cell>
          <cell r="K10787" t="str">
            <v>Brand Marketing</v>
          </cell>
          <cell r="L10787" t="str">
            <v>Professional Service</v>
          </cell>
          <cell r="N10787" t="str">
            <v>Direct Costs</v>
          </cell>
          <cell r="O10787" t="str">
            <v>The Lede Company, LLC</v>
          </cell>
        </row>
        <row r="10788">
          <cell r="D10788">
            <v>300</v>
          </cell>
          <cell r="H10788">
            <v>45901</v>
          </cell>
          <cell r="I10788" t="str">
            <v>6225 - Professional Services</v>
          </cell>
          <cell r="J10788">
            <v>0</v>
          </cell>
          <cell r="K10788" t="str">
            <v>Brand Marketing</v>
          </cell>
          <cell r="L10788" t="str">
            <v>Professional Service</v>
          </cell>
          <cell r="N10788" t="str">
            <v>Direct Costs</v>
          </cell>
          <cell r="O10788" t="str">
            <v>The Lede Company, LLC</v>
          </cell>
        </row>
        <row r="10789">
          <cell r="D10789">
            <v>150</v>
          </cell>
          <cell r="H10789">
            <v>45901</v>
          </cell>
          <cell r="I10789" t="str">
            <v>6225 - Professional Services</v>
          </cell>
          <cell r="J10789">
            <v>0</v>
          </cell>
          <cell r="K10789" t="str">
            <v>Brand Marketing</v>
          </cell>
          <cell r="L10789" t="str">
            <v>Professional Service</v>
          </cell>
          <cell r="N10789" t="str">
            <v>Direct Costs</v>
          </cell>
          <cell r="O10789" t="str">
            <v>The Lede Company, LLC</v>
          </cell>
        </row>
        <row r="10790">
          <cell r="D10790">
            <v>500</v>
          </cell>
          <cell r="H10790">
            <v>45901</v>
          </cell>
          <cell r="I10790" t="str">
            <v>6225 - Professional Services</v>
          </cell>
          <cell r="J10790">
            <v>0</v>
          </cell>
          <cell r="K10790" t="str">
            <v>Brand Marketing</v>
          </cell>
          <cell r="L10790" t="str">
            <v>Professional Service</v>
          </cell>
          <cell r="N10790" t="str">
            <v>Direct Costs</v>
          </cell>
          <cell r="O10790" t="str">
            <v>The Lede Company, LLC</v>
          </cell>
        </row>
        <row r="10791">
          <cell r="D10791">
            <v>10000</v>
          </cell>
          <cell r="H10791">
            <v>45901</v>
          </cell>
          <cell r="I10791" t="str">
            <v>6225 - Professional Services</v>
          </cell>
          <cell r="J10791">
            <v>0</v>
          </cell>
          <cell r="K10791" t="str">
            <v>Brand Marketing</v>
          </cell>
          <cell r="L10791" t="str">
            <v>Professional Service</v>
          </cell>
          <cell r="N10791" t="str">
            <v>Direct Costs</v>
          </cell>
          <cell r="O10791" t="str">
            <v>The Lede Company, LLC</v>
          </cell>
        </row>
        <row r="10792">
          <cell r="D10792">
            <v>11000</v>
          </cell>
          <cell r="H10792">
            <v>45901</v>
          </cell>
          <cell r="I10792" t="str">
            <v>6225 - Professional Services</v>
          </cell>
          <cell r="J10792">
            <v>0</v>
          </cell>
          <cell r="K10792" t="str">
            <v>Brand Marketing</v>
          </cell>
          <cell r="L10792" t="str">
            <v>Professional Service</v>
          </cell>
          <cell r="N10792" t="str">
            <v>Direct Costs</v>
          </cell>
          <cell r="O10792" t="str">
            <v>Melody  Huang</v>
          </cell>
        </row>
        <row r="10793">
          <cell r="D10793">
            <v>4500</v>
          </cell>
          <cell r="H10793">
            <v>45901</v>
          </cell>
          <cell r="I10793" t="str">
            <v>6225 - Professional Services</v>
          </cell>
          <cell r="J10793" t="str">
            <v>Ecommerce (US)</v>
          </cell>
          <cell r="K10793" t="str">
            <v>Ecommerce</v>
          </cell>
          <cell r="L10793" t="str">
            <v>Professional Service</v>
          </cell>
          <cell r="N10793" t="str">
            <v>Direct Costs</v>
          </cell>
          <cell r="O10793" t="str">
            <v>Freeflow LLC</v>
          </cell>
        </row>
        <row r="10794">
          <cell r="D10794">
            <v>500</v>
          </cell>
          <cell r="H10794">
            <v>45901</v>
          </cell>
          <cell r="I10794" t="str">
            <v>6225 - Professional Services</v>
          </cell>
          <cell r="J10794" t="str">
            <v>Ecommerce (US)</v>
          </cell>
          <cell r="K10794" t="str">
            <v>Ecommerce</v>
          </cell>
          <cell r="L10794" t="str">
            <v>Professional Service</v>
          </cell>
          <cell r="N10794" t="str">
            <v>Direct Costs</v>
          </cell>
          <cell r="O10794" t="str">
            <v>Rareview, LLC</v>
          </cell>
        </row>
        <row r="10795">
          <cell r="D10795">
            <v>5000</v>
          </cell>
          <cell r="H10795">
            <v>45901</v>
          </cell>
          <cell r="I10795" t="str">
            <v>6225 - Professional Services</v>
          </cell>
          <cell r="J10795" t="str">
            <v>Ecommerce (US)</v>
          </cell>
          <cell r="K10795" t="str">
            <v>Ecommerce</v>
          </cell>
          <cell r="L10795" t="str">
            <v>Professional Service</v>
          </cell>
          <cell r="N10795" t="str">
            <v>Direct Costs</v>
          </cell>
          <cell r="O10795" t="str">
            <v>Rareview, LLC</v>
          </cell>
        </row>
        <row r="10796">
          <cell r="D10796">
            <v>29979.91</v>
          </cell>
          <cell r="H10796">
            <v>45901</v>
          </cell>
          <cell r="I10796" t="str">
            <v>6225 - Professional Services</v>
          </cell>
          <cell r="J10796" t="str">
            <v>Ecommerce (US)</v>
          </cell>
          <cell r="K10796" t="str">
            <v>Ecommerce</v>
          </cell>
          <cell r="L10796" t="str">
            <v>Professional Service</v>
          </cell>
          <cell r="N10796" t="str">
            <v>Direct Costs</v>
          </cell>
          <cell r="O10796" t="str">
            <v>Rareview, LLC</v>
          </cell>
        </row>
        <row r="10797">
          <cell r="D10797">
            <v>134.25</v>
          </cell>
          <cell r="H10797">
            <v>45901</v>
          </cell>
          <cell r="I10797" t="str">
            <v>6225 - Professional Services</v>
          </cell>
          <cell r="J10797">
            <v>0</v>
          </cell>
          <cell r="K10797" t="str">
            <v>Administration</v>
          </cell>
          <cell r="L10797" t="str">
            <v>Professional Service</v>
          </cell>
          <cell r="N10797" t="str">
            <v>Direct Costs</v>
          </cell>
          <cell r="O10797" t="str">
            <v>Benefit Resource, LLC</v>
          </cell>
        </row>
        <row r="10798">
          <cell r="D10798">
            <v>13.75</v>
          </cell>
          <cell r="H10798">
            <v>45901</v>
          </cell>
          <cell r="I10798" t="str">
            <v>6225 - Professional Services</v>
          </cell>
          <cell r="J10798">
            <v>0</v>
          </cell>
          <cell r="K10798" t="str">
            <v>Administration</v>
          </cell>
          <cell r="L10798" t="str">
            <v>Professional Service</v>
          </cell>
          <cell r="N10798" t="str">
            <v>Direct Costs</v>
          </cell>
          <cell r="O10798" t="str">
            <v>Benefit Resource, LLC</v>
          </cell>
        </row>
        <row r="10799">
          <cell r="D10799">
            <v>27</v>
          </cell>
          <cell r="H10799">
            <v>45901</v>
          </cell>
          <cell r="I10799" t="str">
            <v>6225 - Professional Services</v>
          </cell>
          <cell r="J10799">
            <v>0</v>
          </cell>
          <cell r="K10799" t="str">
            <v>Administration</v>
          </cell>
          <cell r="L10799" t="str">
            <v>Professional Service</v>
          </cell>
          <cell r="N10799" t="str">
            <v>Direct Costs</v>
          </cell>
          <cell r="O10799" t="str">
            <v>Benefit Resource, LLC</v>
          </cell>
        </row>
        <row r="10800">
          <cell r="D10800">
            <v>833.33</v>
          </cell>
          <cell r="H10800">
            <v>45901</v>
          </cell>
          <cell r="I10800" t="str">
            <v>6225 - Professional Services</v>
          </cell>
          <cell r="J10800">
            <v>0</v>
          </cell>
          <cell r="K10800" t="str">
            <v>Administration</v>
          </cell>
          <cell r="L10800" t="str">
            <v>Professional Service</v>
          </cell>
          <cell r="N10800" t="str">
            <v>Direct Costs</v>
          </cell>
          <cell r="O10800" t="str">
            <v>Procyon Benefits LLC</v>
          </cell>
        </row>
        <row r="10801">
          <cell r="D10801">
            <v>28833.33</v>
          </cell>
          <cell r="H10801">
            <v>45901</v>
          </cell>
          <cell r="I10801" t="str">
            <v>6240 - Product Photography</v>
          </cell>
          <cell r="J10801">
            <v>0</v>
          </cell>
          <cell r="K10801" t="str">
            <v>Brand Marketing</v>
          </cell>
          <cell r="L10801" t="str">
            <v>Advertising</v>
          </cell>
          <cell r="N10801" t="str">
            <v>SG&amp;A</v>
          </cell>
          <cell r="O10801" t="str">
            <v>GOSFilms LLC</v>
          </cell>
        </row>
        <row r="10802">
          <cell r="D10802">
            <v>3333.34</v>
          </cell>
          <cell r="H10802">
            <v>45901</v>
          </cell>
          <cell r="I10802" t="str">
            <v>6284 - Advertising</v>
          </cell>
          <cell r="J10802">
            <v>0</v>
          </cell>
          <cell r="K10802" t="str">
            <v>Brand Marketing</v>
          </cell>
          <cell r="L10802" t="str">
            <v>Advertising</v>
          </cell>
          <cell r="N10802" t="str">
            <v>SG&amp;A</v>
          </cell>
          <cell r="O10802" t="str">
            <v>[No Vendor]</v>
          </cell>
        </row>
        <row r="10803">
          <cell r="D10803">
            <v>2035.02</v>
          </cell>
          <cell r="H10803">
            <v>45901</v>
          </cell>
          <cell r="I10803" t="str">
            <v>6286 - SEM</v>
          </cell>
          <cell r="J10803" t="str">
            <v>Ecommerce (US)</v>
          </cell>
          <cell r="K10803" t="str">
            <v>Ecommerce</v>
          </cell>
          <cell r="L10803" t="str">
            <v>Marketing</v>
          </cell>
          <cell r="N10803" t="str">
            <v>Direct Costs</v>
          </cell>
          <cell r="O10803" t="str">
            <v>Amazon</v>
          </cell>
        </row>
        <row r="10804">
          <cell r="D10804">
            <v>1397.48</v>
          </cell>
          <cell r="H10804">
            <v>45901</v>
          </cell>
          <cell r="I10804" t="str">
            <v>6286 - SEM</v>
          </cell>
          <cell r="J10804" t="str">
            <v>Ecommerce (US)</v>
          </cell>
          <cell r="K10804" t="str">
            <v>Ecommerce</v>
          </cell>
          <cell r="L10804" t="str">
            <v>Marketing</v>
          </cell>
          <cell r="N10804" t="str">
            <v>Direct Costs</v>
          </cell>
          <cell r="O10804" t="str">
            <v>Tiktok</v>
          </cell>
        </row>
        <row r="10805">
          <cell r="D10805">
            <v>2009.18</v>
          </cell>
          <cell r="H10805">
            <v>45901</v>
          </cell>
          <cell r="I10805" t="str">
            <v>6286 - SEM</v>
          </cell>
          <cell r="J10805" t="str">
            <v>Ecommerce (US)</v>
          </cell>
          <cell r="K10805" t="str">
            <v>Ecommerce</v>
          </cell>
          <cell r="L10805" t="str">
            <v>Marketing</v>
          </cell>
          <cell r="N10805" t="str">
            <v>Direct Costs</v>
          </cell>
          <cell r="O10805" t="str">
            <v>Amazon</v>
          </cell>
        </row>
        <row r="10806">
          <cell r="D10806">
            <v>2002.86</v>
          </cell>
          <cell r="H10806">
            <v>45901</v>
          </cell>
          <cell r="I10806" t="str">
            <v>6286 - SEM</v>
          </cell>
          <cell r="J10806" t="str">
            <v>Ecommerce (US)</v>
          </cell>
          <cell r="K10806" t="str">
            <v>Ecommerce</v>
          </cell>
          <cell r="L10806" t="str">
            <v>Marketing</v>
          </cell>
          <cell r="N10806" t="str">
            <v>Direct Costs</v>
          </cell>
          <cell r="O10806" t="str">
            <v>Amazon</v>
          </cell>
        </row>
        <row r="10807">
          <cell r="D10807">
            <v>2022.81</v>
          </cell>
          <cell r="H10807">
            <v>45901</v>
          </cell>
          <cell r="I10807" t="str">
            <v>6286 - SEM</v>
          </cell>
          <cell r="J10807" t="str">
            <v>Ecommerce (US)</v>
          </cell>
          <cell r="K10807" t="str">
            <v>Ecommerce</v>
          </cell>
          <cell r="L10807" t="str">
            <v>Marketing</v>
          </cell>
          <cell r="N10807" t="str">
            <v>Direct Costs</v>
          </cell>
          <cell r="O10807" t="str">
            <v>Amazon</v>
          </cell>
        </row>
        <row r="10808">
          <cell r="D10808">
            <v>2230</v>
          </cell>
          <cell r="H10808">
            <v>45901</v>
          </cell>
          <cell r="I10808" t="str">
            <v>6286 - SEM</v>
          </cell>
          <cell r="J10808" t="str">
            <v>Ecommerce (US)</v>
          </cell>
          <cell r="K10808" t="str">
            <v>Ecommerce</v>
          </cell>
          <cell r="L10808" t="str">
            <v>Marketing</v>
          </cell>
          <cell r="N10808" t="str">
            <v>Direct Costs</v>
          </cell>
          <cell r="O10808" t="str">
            <v>Tiktok</v>
          </cell>
        </row>
        <row r="10809">
          <cell r="D10809">
            <v>2016.31</v>
          </cell>
          <cell r="H10809">
            <v>45901</v>
          </cell>
          <cell r="I10809" t="str">
            <v>6286 - SEM</v>
          </cell>
          <cell r="J10809" t="str">
            <v>Ecommerce (US)</v>
          </cell>
          <cell r="K10809" t="str">
            <v>Ecommerce</v>
          </cell>
          <cell r="L10809" t="str">
            <v>Marketing</v>
          </cell>
          <cell r="N10809" t="str">
            <v>Direct Costs</v>
          </cell>
          <cell r="O10809" t="str">
            <v>Amazon</v>
          </cell>
        </row>
        <row r="10810">
          <cell r="D10810">
            <v>2003.38</v>
          </cell>
          <cell r="H10810">
            <v>45901</v>
          </cell>
          <cell r="I10810" t="str">
            <v>6286 - SEM</v>
          </cell>
          <cell r="J10810" t="str">
            <v>Ecommerce (US)</v>
          </cell>
          <cell r="K10810" t="str">
            <v>Ecommerce</v>
          </cell>
          <cell r="L10810" t="str">
            <v>Marketing</v>
          </cell>
          <cell r="N10810" t="str">
            <v>Direct Costs</v>
          </cell>
          <cell r="O10810" t="str">
            <v>Amazon</v>
          </cell>
        </row>
        <row r="10811">
          <cell r="D10811">
            <v>2000.24</v>
          </cell>
          <cell r="H10811">
            <v>45901</v>
          </cell>
          <cell r="I10811" t="str">
            <v>6286 - SEM</v>
          </cell>
          <cell r="J10811" t="str">
            <v>Ecommerce (US)</v>
          </cell>
          <cell r="K10811" t="str">
            <v>Ecommerce</v>
          </cell>
          <cell r="L10811" t="str">
            <v>Marketing</v>
          </cell>
          <cell r="N10811" t="str">
            <v>Direct Costs</v>
          </cell>
          <cell r="O10811" t="str">
            <v>Amazon</v>
          </cell>
        </row>
        <row r="10812">
          <cell r="D10812">
            <v>377.81</v>
          </cell>
          <cell r="H10812">
            <v>45901</v>
          </cell>
          <cell r="I10812" t="str">
            <v>6286 - SEM</v>
          </cell>
          <cell r="J10812" t="str">
            <v>Ecommerce (US)</v>
          </cell>
          <cell r="K10812" t="str">
            <v>Ecommerce</v>
          </cell>
          <cell r="L10812" t="str">
            <v>Marketing</v>
          </cell>
          <cell r="N10812" t="str">
            <v>Direct Costs</v>
          </cell>
          <cell r="O10812" t="str">
            <v>Amazon</v>
          </cell>
        </row>
        <row r="10813">
          <cell r="D10813">
            <v>328.23</v>
          </cell>
          <cell r="H10813">
            <v>45901</v>
          </cell>
          <cell r="I10813" t="str">
            <v>6286 - SEM</v>
          </cell>
          <cell r="J10813" t="str">
            <v>Ecommerce (US)</v>
          </cell>
          <cell r="K10813" t="str">
            <v>Ecommerce</v>
          </cell>
          <cell r="L10813" t="str">
            <v>Marketing</v>
          </cell>
          <cell r="N10813" t="str">
            <v>Direct Costs</v>
          </cell>
          <cell r="O10813" t="str">
            <v>Google</v>
          </cell>
        </row>
        <row r="10814">
          <cell r="D10814">
            <v>779.38</v>
          </cell>
          <cell r="H10814">
            <v>45901</v>
          </cell>
          <cell r="I10814" t="str">
            <v>6286 - SEM</v>
          </cell>
          <cell r="J10814" t="str">
            <v>Ecommerce (US)</v>
          </cell>
          <cell r="K10814" t="str">
            <v>Ecommerce</v>
          </cell>
          <cell r="L10814" t="str">
            <v>Marketing</v>
          </cell>
          <cell r="N10814" t="str">
            <v>Direct Costs</v>
          </cell>
          <cell r="O10814" t="str">
            <v>Google</v>
          </cell>
        </row>
        <row r="10815">
          <cell r="D10815">
            <v>809.24</v>
          </cell>
          <cell r="H10815">
            <v>45901</v>
          </cell>
          <cell r="I10815" t="str">
            <v>6286 - SEM</v>
          </cell>
          <cell r="J10815" t="str">
            <v>Ecommerce (US)</v>
          </cell>
          <cell r="K10815" t="str">
            <v>Ecommerce</v>
          </cell>
          <cell r="L10815" t="str">
            <v>Marketing</v>
          </cell>
          <cell r="N10815" t="str">
            <v>Direct Costs</v>
          </cell>
          <cell r="O10815" t="str">
            <v>Google</v>
          </cell>
        </row>
        <row r="10816">
          <cell r="D10816">
            <v>952.3</v>
          </cell>
          <cell r="H10816">
            <v>45901</v>
          </cell>
          <cell r="I10816" t="str">
            <v>6286 - SEM</v>
          </cell>
          <cell r="J10816" t="str">
            <v>Ecommerce (US)</v>
          </cell>
          <cell r="K10816" t="str">
            <v>Ecommerce</v>
          </cell>
          <cell r="L10816" t="str">
            <v>Marketing</v>
          </cell>
          <cell r="N10816" t="str">
            <v>Direct Costs</v>
          </cell>
          <cell r="O10816" t="str">
            <v>Google</v>
          </cell>
        </row>
        <row r="10817">
          <cell r="D10817">
            <v>3562.9</v>
          </cell>
          <cell r="H10817">
            <v>45901</v>
          </cell>
          <cell r="I10817" t="str">
            <v>6286 - SEM</v>
          </cell>
          <cell r="J10817" t="str">
            <v>Ecommerce (US)</v>
          </cell>
          <cell r="K10817" t="str">
            <v>Ecommerce</v>
          </cell>
          <cell r="L10817" t="str">
            <v>Marketing</v>
          </cell>
          <cell r="N10817" t="str">
            <v>Direct Costs</v>
          </cell>
          <cell r="O10817" t="str">
            <v>Google</v>
          </cell>
        </row>
        <row r="10818">
          <cell r="D10818">
            <v>3588.17</v>
          </cell>
          <cell r="H10818">
            <v>45901</v>
          </cell>
          <cell r="I10818" t="str">
            <v>6286 - SEM</v>
          </cell>
          <cell r="J10818" t="str">
            <v>Ecommerce (US)</v>
          </cell>
          <cell r="K10818" t="str">
            <v>Ecommerce</v>
          </cell>
          <cell r="L10818" t="str">
            <v>Marketing</v>
          </cell>
          <cell r="N10818" t="str">
            <v>Direct Costs</v>
          </cell>
          <cell r="O10818" t="str">
            <v>Google</v>
          </cell>
        </row>
        <row r="10819">
          <cell r="D10819">
            <v>9344.76</v>
          </cell>
          <cell r="H10819">
            <v>45901</v>
          </cell>
          <cell r="I10819" t="str">
            <v>6286 - SEM</v>
          </cell>
          <cell r="J10819" t="str">
            <v>Ecommerce (US)</v>
          </cell>
          <cell r="K10819" t="str">
            <v>Ecommerce</v>
          </cell>
          <cell r="L10819" t="str">
            <v>Marketing</v>
          </cell>
          <cell r="N10819" t="str">
            <v>Direct Costs</v>
          </cell>
          <cell r="O10819" t="str">
            <v>Google</v>
          </cell>
        </row>
        <row r="10820">
          <cell r="D10820">
            <v>14080.71</v>
          </cell>
          <cell r="H10820">
            <v>45901</v>
          </cell>
          <cell r="I10820" t="str">
            <v>6286 - SEM</v>
          </cell>
          <cell r="J10820" t="str">
            <v>Ecommerce (US)</v>
          </cell>
          <cell r="K10820" t="str">
            <v>Ecommerce</v>
          </cell>
          <cell r="L10820" t="str">
            <v>Marketing</v>
          </cell>
          <cell r="N10820" t="str">
            <v>Direct Costs</v>
          </cell>
          <cell r="O10820" t="str">
            <v>Google</v>
          </cell>
        </row>
        <row r="10821">
          <cell r="D10821">
            <v>16673.5</v>
          </cell>
          <cell r="H10821">
            <v>45901</v>
          </cell>
          <cell r="I10821" t="str">
            <v>6286 - SEM</v>
          </cell>
          <cell r="J10821" t="str">
            <v>Ecommerce (US)</v>
          </cell>
          <cell r="K10821" t="str">
            <v>Ecommerce</v>
          </cell>
          <cell r="L10821" t="str">
            <v>Marketing</v>
          </cell>
          <cell r="N10821" t="str">
            <v>Direct Costs</v>
          </cell>
          <cell r="O10821" t="str">
            <v>Google</v>
          </cell>
        </row>
        <row r="10822">
          <cell r="D10822">
            <v>18248.93</v>
          </cell>
          <cell r="H10822">
            <v>45901</v>
          </cell>
          <cell r="I10822" t="str">
            <v>6286 - SEM</v>
          </cell>
          <cell r="J10822" t="str">
            <v>Ecommerce (US)</v>
          </cell>
          <cell r="K10822" t="str">
            <v>Ecommerce</v>
          </cell>
          <cell r="L10822" t="str">
            <v>Marketing</v>
          </cell>
          <cell r="N10822" t="str">
            <v>Direct Costs</v>
          </cell>
          <cell r="O10822" t="str">
            <v>Google</v>
          </cell>
        </row>
        <row r="10823">
          <cell r="D10823">
            <v>19292.55</v>
          </cell>
          <cell r="H10823">
            <v>45901</v>
          </cell>
          <cell r="I10823" t="str">
            <v>6286 - SEM</v>
          </cell>
          <cell r="J10823" t="str">
            <v>Ecommerce (US)</v>
          </cell>
          <cell r="K10823" t="str">
            <v>Ecommerce</v>
          </cell>
          <cell r="L10823" t="str">
            <v>Marketing</v>
          </cell>
          <cell r="N10823" t="str">
            <v>Direct Costs</v>
          </cell>
          <cell r="O10823" t="str">
            <v>Google</v>
          </cell>
        </row>
        <row r="10824">
          <cell r="D10824">
            <v>19938.400000000001</v>
          </cell>
          <cell r="H10824">
            <v>45901</v>
          </cell>
          <cell r="I10824" t="str">
            <v>6286 - SEM</v>
          </cell>
          <cell r="J10824" t="str">
            <v>Ecommerce (US)</v>
          </cell>
          <cell r="K10824" t="str">
            <v>Ecommerce</v>
          </cell>
          <cell r="L10824" t="str">
            <v>Marketing</v>
          </cell>
          <cell r="N10824" t="str">
            <v>Direct Costs</v>
          </cell>
          <cell r="O10824" t="str">
            <v>Google</v>
          </cell>
        </row>
        <row r="10825">
          <cell r="D10825">
            <v>20667.27</v>
          </cell>
          <cell r="H10825">
            <v>45901</v>
          </cell>
          <cell r="I10825" t="str">
            <v>6286 - SEM</v>
          </cell>
          <cell r="J10825" t="str">
            <v>Ecommerce (US)</v>
          </cell>
          <cell r="K10825" t="str">
            <v>Ecommerce</v>
          </cell>
          <cell r="L10825" t="str">
            <v>Marketing</v>
          </cell>
          <cell r="N10825" t="str">
            <v>Direct Costs</v>
          </cell>
          <cell r="O10825" t="str">
            <v>Google</v>
          </cell>
        </row>
        <row r="10826">
          <cell r="D10826">
            <v>28602.799999999999</v>
          </cell>
          <cell r="H10826">
            <v>45901</v>
          </cell>
          <cell r="I10826" t="str">
            <v>6286 - SEM</v>
          </cell>
          <cell r="J10826" t="str">
            <v>Ecommerce (US)</v>
          </cell>
          <cell r="K10826" t="str">
            <v>Ecommerce</v>
          </cell>
          <cell r="L10826" t="str">
            <v>Marketing</v>
          </cell>
          <cell r="N10826" t="str">
            <v>Direct Costs</v>
          </cell>
          <cell r="O10826" t="str">
            <v>Google</v>
          </cell>
        </row>
        <row r="10827">
          <cell r="D10827">
            <v>40689.599999999999</v>
          </cell>
          <cell r="H10827">
            <v>45901</v>
          </cell>
          <cell r="I10827" t="str">
            <v>6286 - SEM</v>
          </cell>
          <cell r="J10827" t="str">
            <v>Ecommerce (US)</v>
          </cell>
          <cell r="K10827" t="str">
            <v>Ecommerce</v>
          </cell>
          <cell r="L10827" t="str">
            <v>Marketing</v>
          </cell>
          <cell r="N10827" t="str">
            <v>Direct Costs</v>
          </cell>
          <cell r="O10827" t="str">
            <v>Google</v>
          </cell>
        </row>
        <row r="10828">
          <cell r="D10828">
            <v>283.02999999999997</v>
          </cell>
          <cell r="H10828">
            <v>45901</v>
          </cell>
          <cell r="I10828" t="str">
            <v>6286 - SEM</v>
          </cell>
          <cell r="J10828" t="str">
            <v>Ecommerce (US)</v>
          </cell>
          <cell r="K10828" t="str">
            <v>Ecommerce</v>
          </cell>
          <cell r="L10828" t="str">
            <v>Marketing</v>
          </cell>
          <cell r="N10828" t="str">
            <v>Direct Costs</v>
          </cell>
          <cell r="O10828" t="str">
            <v>Meta Platforms, Inc</v>
          </cell>
        </row>
        <row r="10829">
          <cell r="D10829">
            <v>7956.7</v>
          </cell>
          <cell r="H10829">
            <v>45901</v>
          </cell>
          <cell r="I10829" t="str">
            <v>6286 - SEM</v>
          </cell>
          <cell r="J10829" t="str">
            <v>Ecommerce (US)</v>
          </cell>
          <cell r="K10829" t="str">
            <v>Ecommerce</v>
          </cell>
          <cell r="L10829" t="str">
            <v>Marketing</v>
          </cell>
          <cell r="N10829" t="str">
            <v>Direct Costs</v>
          </cell>
          <cell r="O10829" t="str">
            <v>Meta Platforms, Inc</v>
          </cell>
        </row>
        <row r="10830">
          <cell r="D10830">
            <v>5278.14</v>
          </cell>
          <cell r="H10830">
            <v>45901</v>
          </cell>
          <cell r="I10830" t="str">
            <v>6286 - SEM</v>
          </cell>
          <cell r="J10830" t="str">
            <v>Ecommerce (US)</v>
          </cell>
          <cell r="K10830" t="str">
            <v>Ecommerce</v>
          </cell>
          <cell r="L10830" t="str">
            <v>Marketing</v>
          </cell>
          <cell r="N10830" t="str">
            <v>Direct Costs</v>
          </cell>
          <cell r="O10830" t="str">
            <v>Meta Platforms, Inc</v>
          </cell>
        </row>
        <row r="10831">
          <cell r="D10831">
            <v>18413.29</v>
          </cell>
          <cell r="H10831">
            <v>45901</v>
          </cell>
          <cell r="I10831" t="str">
            <v>6286 - SEM</v>
          </cell>
          <cell r="J10831" t="str">
            <v>Ecommerce (US)</v>
          </cell>
          <cell r="K10831" t="str">
            <v>Ecommerce</v>
          </cell>
          <cell r="L10831" t="str">
            <v>Marketing</v>
          </cell>
          <cell r="N10831" t="str">
            <v>Direct Costs</v>
          </cell>
          <cell r="O10831" t="str">
            <v>Meta Platforms, Inc</v>
          </cell>
        </row>
        <row r="10832">
          <cell r="D10832">
            <v>41762.03</v>
          </cell>
          <cell r="H10832">
            <v>45901</v>
          </cell>
          <cell r="I10832" t="str">
            <v>6286 - SEM</v>
          </cell>
          <cell r="J10832" t="str">
            <v>Ecommerce (US)</v>
          </cell>
          <cell r="K10832" t="str">
            <v>Ecommerce</v>
          </cell>
          <cell r="L10832" t="str">
            <v>Marketing</v>
          </cell>
          <cell r="N10832" t="str">
            <v>Direct Costs</v>
          </cell>
          <cell r="O10832" t="str">
            <v>Meta Platforms, Inc</v>
          </cell>
        </row>
        <row r="10833">
          <cell r="D10833">
            <v>32401.84</v>
          </cell>
          <cell r="H10833">
            <v>45901</v>
          </cell>
          <cell r="I10833" t="str">
            <v>6286 - SEM</v>
          </cell>
          <cell r="J10833" t="str">
            <v>Ecommerce (US)</v>
          </cell>
          <cell r="K10833" t="str">
            <v>Ecommerce</v>
          </cell>
          <cell r="L10833" t="str">
            <v>Marketing</v>
          </cell>
          <cell r="N10833" t="str">
            <v>Direct Costs</v>
          </cell>
          <cell r="O10833" t="str">
            <v>Meta Platforms, Inc</v>
          </cell>
        </row>
        <row r="10834">
          <cell r="D10834">
            <v>147.99</v>
          </cell>
          <cell r="H10834">
            <v>45901</v>
          </cell>
          <cell r="I10834" t="str">
            <v>6286 - SEM</v>
          </cell>
          <cell r="J10834" t="str">
            <v>Ecommerce (US)</v>
          </cell>
          <cell r="K10834" t="str">
            <v>Ecommerce</v>
          </cell>
          <cell r="L10834" t="str">
            <v>Marketing</v>
          </cell>
          <cell r="N10834" t="str">
            <v>Direct Costs</v>
          </cell>
          <cell r="O10834" t="str">
            <v>Meta Platforms, Inc</v>
          </cell>
        </row>
        <row r="10835">
          <cell r="D10835">
            <v>1220.27</v>
          </cell>
          <cell r="H10835">
            <v>45901</v>
          </cell>
          <cell r="I10835" t="str">
            <v>6286 - SEM</v>
          </cell>
          <cell r="J10835" t="str">
            <v>Ecommerce (US)</v>
          </cell>
          <cell r="K10835" t="str">
            <v>Ecommerce</v>
          </cell>
          <cell r="L10835" t="str">
            <v>Marketing</v>
          </cell>
          <cell r="N10835" t="str">
            <v>Direct Costs</v>
          </cell>
          <cell r="O10835" t="str">
            <v>Meta Platforms, Inc</v>
          </cell>
        </row>
        <row r="10836">
          <cell r="D10836">
            <v>4509.21</v>
          </cell>
          <cell r="H10836">
            <v>45901</v>
          </cell>
          <cell r="I10836" t="str">
            <v>6286 - SEM</v>
          </cell>
          <cell r="J10836" t="str">
            <v>Ecommerce (US)</v>
          </cell>
          <cell r="K10836" t="str">
            <v>Ecommerce</v>
          </cell>
          <cell r="L10836" t="str">
            <v>Marketing</v>
          </cell>
          <cell r="N10836" t="str">
            <v>Direct Costs</v>
          </cell>
          <cell r="O10836" t="str">
            <v>Meta Platforms, Inc</v>
          </cell>
        </row>
        <row r="10837">
          <cell r="D10837">
            <v>11108.2</v>
          </cell>
          <cell r="H10837">
            <v>45901</v>
          </cell>
          <cell r="I10837" t="str">
            <v>6286 - SEM</v>
          </cell>
          <cell r="J10837" t="str">
            <v>Ecommerce (US)</v>
          </cell>
          <cell r="K10837" t="str">
            <v>Ecommerce</v>
          </cell>
          <cell r="L10837" t="str">
            <v>Marketing</v>
          </cell>
          <cell r="N10837" t="str">
            <v>Direct Costs</v>
          </cell>
          <cell r="O10837" t="str">
            <v>Meta Platforms, Inc</v>
          </cell>
        </row>
        <row r="10838">
          <cell r="D10838">
            <v>-4.5</v>
          </cell>
          <cell r="H10838">
            <v>45901</v>
          </cell>
          <cell r="I10838" t="str">
            <v>6286 - SEM</v>
          </cell>
          <cell r="J10838" t="str">
            <v>Ecommerce (US)</v>
          </cell>
          <cell r="K10838" t="str">
            <v>Ecommerce</v>
          </cell>
          <cell r="L10838" t="str">
            <v>Marketing</v>
          </cell>
          <cell r="N10838" t="str">
            <v>Direct Costs</v>
          </cell>
          <cell r="O10838" t="str">
            <v>Meta Platforms, Inc</v>
          </cell>
        </row>
        <row r="10839">
          <cell r="D10839">
            <v>20720.740000000002</v>
          </cell>
          <cell r="H10839">
            <v>45901</v>
          </cell>
          <cell r="I10839" t="str">
            <v>6286 - SEM</v>
          </cell>
          <cell r="J10839" t="str">
            <v>Ecommerce (US)</v>
          </cell>
          <cell r="K10839" t="str">
            <v>Ecommerce</v>
          </cell>
          <cell r="L10839" t="str">
            <v>Marketing</v>
          </cell>
          <cell r="N10839" t="str">
            <v>Direct Costs</v>
          </cell>
          <cell r="O10839" t="str">
            <v>Meta Platforms, Inc</v>
          </cell>
        </row>
        <row r="10840">
          <cell r="D10840">
            <v>15694.08</v>
          </cell>
          <cell r="H10840">
            <v>45901</v>
          </cell>
          <cell r="I10840" t="str">
            <v>6286 - SEM</v>
          </cell>
          <cell r="J10840" t="str">
            <v>Ecommerce (US)</v>
          </cell>
          <cell r="K10840" t="str">
            <v>Ecommerce</v>
          </cell>
          <cell r="L10840" t="str">
            <v>Marketing</v>
          </cell>
          <cell r="N10840" t="str">
            <v>Direct Costs</v>
          </cell>
          <cell r="O10840" t="str">
            <v>Meta Platforms, Inc</v>
          </cell>
        </row>
        <row r="10841">
          <cell r="D10841">
            <v>0</v>
          </cell>
          <cell r="H10841">
            <v>45901</v>
          </cell>
          <cell r="I10841" t="str">
            <v>6286 - SEM</v>
          </cell>
          <cell r="J10841" t="str">
            <v>Ecommerce (US)</v>
          </cell>
          <cell r="K10841" t="str">
            <v>Ecommerce</v>
          </cell>
          <cell r="L10841" t="str">
            <v>Marketing</v>
          </cell>
          <cell r="N10841" t="str">
            <v>Direct Costs</v>
          </cell>
          <cell r="O10841" t="str">
            <v>[No Vendor]</v>
          </cell>
        </row>
        <row r="10842">
          <cell r="D10842">
            <v>33579.69</v>
          </cell>
          <cell r="H10842">
            <v>45901</v>
          </cell>
          <cell r="I10842" t="str">
            <v>6287 - Events</v>
          </cell>
          <cell r="J10842">
            <v>0</v>
          </cell>
          <cell r="K10842" t="str">
            <v>Brand Marketing</v>
          </cell>
          <cell r="L10842" t="str">
            <v>Advertising</v>
          </cell>
          <cell r="N10842" t="str">
            <v>SG&amp;A</v>
          </cell>
          <cell r="O10842" t="str">
            <v>[No Vendor]</v>
          </cell>
        </row>
        <row r="10843">
          <cell r="D10843">
            <v>82.5</v>
          </cell>
          <cell r="H10843">
            <v>45901</v>
          </cell>
          <cell r="I10843" t="str">
            <v>6288 - Model</v>
          </cell>
          <cell r="J10843">
            <v>0</v>
          </cell>
          <cell r="K10843" t="str">
            <v>Brand Marketing</v>
          </cell>
          <cell r="L10843" t="str">
            <v>Advertising</v>
          </cell>
          <cell r="N10843" t="str">
            <v>SG&amp;A</v>
          </cell>
          <cell r="O10843" t="str">
            <v>State Artist Management</v>
          </cell>
        </row>
        <row r="10844">
          <cell r="D10844">
            <v>412.5</v>
          </cell>
          <cell r="H10844">
            <v>45901</v>
          </cell>
          <cell r="I10844" t="str">
            <v>6288 - Model</v>
          </cell>
          <cell r="J10844">
            <v>0</v>
          </cell>
          <cell r="K10844" t="str">
            <v>Brand Marketing</v>
          </cell>
          <cell r="L10844" t="str">
            <v>Advertising</v>
          </cell>
          <cell r="N10844" t="str">
            <v>SG&amp;A</v>
          </cell>
          <cell r="O10844" t="str">
            <v>State Artist Management</v>
          </cell>
        </row>
        <row r="10845">
          <cell r="D10845">
            <v>55</v>
          </cell>
          <cell r="H10845">
            <v>45901</v>
          </cell>
          <cell r="I10845" t="str">
            <v>6288 - Model</v>
          </cell>
          <cell r="J10845">
            <v>0</v>
          </cell>
          <cell r="K10845" t="str">
            <v>Brand Marketing</v>
          </cell>
          <cell r="L10845" t="str">
            <v>Advertising</v>
          </cell>
          <cell r="N10845" t="str">
            <v>SG&amp;A</v>
          </cell>
          <cell r="O10845" t="str">
            <v>State Artist Management</v>
          </cell>
        </row>
        <row r="10846">
          <cell r="D10846">
            <v>275</v>
          </cell>
          <cell r="H10846">
            <v>45901</v>
          </cell>
          <cell r="I10846" t="str">
            <v>6288 - Model</v>
          </cell>
          <cell r="J10846">
            <v>0</v>
          </cell>
          <cell r="K10846" t="str">
            <v>Brand Marketing</v>
          </cell>
          <cell r="L10846" t="str">
            <v>Advertising</v>
          </cell>
          <cell r="N10846" t="str">
            <v>SG&amp;A</v>
          </cell>
          <cell r="O10846" t="str">
            <v>State Artist Management</v>
          </cell>
        </row>
        <row r="10847">
          <cell r="D10847">
            <v>55</v>
          </cell>
          <cell r="H10847">
            <v>45901</v>
          </cell>
          <cell r="I10847" t="str">
            <v>6288 - Model</v>
          </cell>
          <cell r="J10847">
            <v>0</v>
          </cell>
          <cell r="K10847" t="str">
            <v>Brand Marketing</v>
          </cell>
          <cell r="L10847" t="str">
            <v>Advertising</v>
          </cell>
          <cell r="N10847" t="str">
            <v>SG&amp;A</v>
          </cell>
          <cell r="O10847" t="str">
            <v>State Artist Management</v>
          </cell>
        </row>
        <row r="10848">
          <cell r="D10848">
            <v>275</v>
          </cell>
          <cell r="H10848">
            <v>45901</v>
          </cell>
          <cell r="I10848" t="str">
            <v>6288 - Model</v>
          </cell>
          <cell r="J10848">
            <v>0</v>
          </cell>
          <cell r="K10848" t="str">
            <v>Brand Marketing</v>
          </cell>
          <cell r="L10848" t="str">
            <v>Advertising</v>
          </cell>
          <cell r="N10848" t="str">
            <v>SG&amp;A</v>
          </cell>
          <cell r="O10848" t="str">
            <v>State Artist Management</v>
          </cell>
        </row>
        <row r="10849">
          <cell r="D10849">
            <v>1080.7</v>
          </cell>
          <cell r="H10849">
            <v>45901</v>
          </cell>
          <cell r="I10849" t="str">
            <v>6289 - Seeding / Product Placement</v>
          </cell>
          <cell r="J10849">
            <v>0</v>
          </cell>
          <cell r="K10849" t="str">
            <v>Brand Marketing</v>
          </cell>
          <cell r="L10849" t="str">
            <v>Advertising</v>
          </cell>
          <cell r="N10849" t="str">
            <v>SG&amp;A</v>
          </cell>
          <cell r="O10849" t="str">
            <v>[No Vendor]</v>
          </cell>
        </row>
        <row r="10850">
          <cell r="D10850">
            <v>9032.94</v>
          </cell>
          <cell r="H10850">
            <v>45901</v>
          </cell>
          <cell r="I10850" t="str">
            <v>6289 - Seeding / Product Placement</v>
          </cell>
          <cell r="J10850">
            <v>0</v>
          </cell>
          <cell r="K10850" t="str">
            <v>Brand Marketing</v>
          </cell>
          <cell r="L10850" t="str">
            <v>Advertising</v>
          </cell>
          <cell r="N10850" t="str">
            <v>SG&amp;A</v>
          </cell>
          <cell r="O10850" t="str">
            <v>[No Vendor]</v>
          </cell>
        </row>
        <row r="10851">
          <cell r="D10851">
            <v>1538.75</v>
          </cell>
          <cell r="H10851">
            <v>45901</v>
          </cell>
          <cell r="I10851" t="str">
            <v>6300 - Payroll Service Fees</v>
          </cell>
          <cell r="J10851">
            <v>0</v>
          </cell>
          <cell r="K10851" t="str">
            <v>Administration</v>
          </cell>
          <cell r="L10851" t="str">
            <v>Professional Service</v>
          </cell>
          <cell r="N10851" t="str">
            <v>SG&amp;A</v>
          </cell>
          <cell r="O10851" t="str">
            <v>OperationsInc, LLC</v>
          </cell>
        </row>
        <row r="10852">
          <cell r="D10852">
            <v>543.04999999999995</v>
          </cell>
          <cell r="H10852">
            <v>45901</v>
          </cell>
          <cell r="I10852" t="str">
            <v>6300 - Payroll Service Fees</v>
          </cell>
          <cell r="J10852">
            <v>0</v>
          </cell>
          <cell r="K10852" t="str">
            <v>Administration</v>
          </cell>
          <cell r="L10852" t="str">
            <v>Professional Service</v>
          </cell>
          <cell r="N10852" t="str">
            <v>SG&amp;A</v>
          </cell>
          <cell r="O10852" t="str">
            <v>ADP Payroll Services</v>
          </cell>
        </row>
        <row r="10853">
          <cell r="D10853">
            <v>1598.75</v>
          </cell>
          <cell r="H10853">
            <v>45901</v>
          </cell>
          <cell r="I10853" t="str">
            <v>6300 - Payroll Service Fees</v>
          </cell>
          <cell r="J10853">
            <v>0</v>
          </cell>
          <cell r="K10853" t="str">
            <v>Administration</v>
          </cell>
          <cell r="L10853" t="str">
            <v>Professional Service</v>
          </cell>
          <cell r="N10853" t="str">
            <v>SG&amp;A</v>
          </cell>
          <cell r="O10853" t="str">
            <v>OperationsInc, LLC</v>
          </cell>
        </row>
        <row r="10854">
          <cell r="D10854">
            <v>339.28</v>
          </cell>
          <cell r="H10854">
            <v>45901</v>
          </cell>
          <cell r="I10854" t="str">
            <v>6300 - Payroll Service Fees</v>
          </cell>
          <cell r="J10854">
            <v>0</v>
          </cell>
          <cell r="K10854" t="str">
            <v>Administration</v>
          </cell>
          <cell r="L10854" t="str">
            <v>Professional Service</v>
          </cell>
          <cell r="N10854" t="str">
            <v>SG&amp;A</v>
          </cell>
          <cell r="O10854" t="str">
            <v>ADP Payroll Services</v>
          </cell>
        </row>
        <row r="10855">
          <cell r="D10855">
            <v>1502.5</v>
          </cell>
          <cell r="H10855">
            <v>45901</v>
          </cell>
          <cell r="I10855" t="str">
            <v>6300 - Payroll Service Fees</v>
          </cell>
          <cell r="J10855">
            <v>0</v>
          </cell>
          <cell r="K10855" t="str">
            <v>Administration</v>
          </cell>
          <cell r="L10855" t="str">
            <v>Professional Service</v>
          </cell>
          <cell r="N10855" t="str">
            <v>SG&amp;A</v>
          </cell>
          <cell r="O10855" t="str">
            <v>OperationsInc, LLC</v>
          </cell>
        </row>
        <row r="10856">
          <cell r="D10856">
            <v>540</v>
          </cell>
          <cell r="H10856">
            <v>45901</v>
          </cell>
          <cell r="I10856" t="str">
            <v>6300 - Payroll Service Fees</v>
          </cell>
          <cell r="J10856">
            <v>0</v>
          </cell>
          <cell r="K10856" t="str">
            <v>Administration</v>
          </cell>
          <cell r="L10856" t="str">
            <v>Professional Service</v>
          </cell>
          <cell r="N10856" t="str">
            <v>SG&amp;A</v>
          </cell>
          <cell r="O10856" t="str">
            <v>OperationsInc, LLC</v>
          </cell>
        </row>
        <row r="10857">
          <cell r="D10857">
            <v>465</v>
          </cell>
          <cell r="H10857">
            <v>45901</v>
          </cell>
          <cell r="I10857" t="str">
            <v>6300 - Payroll Service Fees</v>
          </cell>
          <cell r="J10857">
            <v>0</v>
          </cell>
          <cell r="K10857" t="str">
            <v>Administration</v>
          </cell>
          <cell r="L10857" t="str">
            <v>Professional Service</v>
          </cell>
          <cell r="N10857" t="str">
            <v>SG&amp;A</v>
          </cell>
          <cell r="O10857" t="str">
            <v>OperationsInc, LLC</v>
          </cell>
        </row>
        <row r="10858">
          <cell r="D10858">
            <v>477.4</v>
          </cell>
          <cell r="H10858">
            <v>45901</v>
          </cell>
          <cell r="I10858" t="str">
            <v>6300 - Payroll Service Fees</v>
          </cell>
          <cell r="J10858">
            <v>0</v>
          </cell>
          <cell r="K10858" t="str">
            <v>Administration</v>
          </cell>
          <cell r="L10858" t="str">
            <v>Professional Service</v>
          </cell>
          <cell r="N10858" t="str">
            <v>SG&amp;A</v>
          </cell>
          <cell r="O10858" t="str">
            <v>ADP Payroll Services</v>
          </cell>
        </row>
        <row r="10859">
          <cell r="D10859">
            <v>30113.77</v>
          </cell>
          <cell r="H10859">
            <v>45901</v>
          </cell>
          <cell r="I10859" t="str">
            <v>6320 - Building Rent</v>
          </cell>
          <cell r="J10859">
            <v>0</v>
          </cell>
          <cell r="K10859" t="str">
            <v>Administration</v>
          </cell>
          <cell r="L10859" t="str">
            <v>Rent</v>
          </cell>
          <cell r="N10859" t="str">
            <v>SG&amp;A</v>
          </cell>
          <cell r="O10859" t="str">
            <v>Antelope LLC</v>
          </cell>
        </row>
        <row r="10860">
          <cell r="D10860">
            <v>-30113.77</v>
          </cell>
          <cell r="H10860">
            <v>45901</v>
          </cell>
          <cell r="I10860" t="str">
            <v>6320 - Building Rent</v>
          </cell>
          <cell r="J10860">
            <v>0</v>
          </cell>
          <cell r="K10860" t="str">
            <v>Administration</v>
          </cell>
          <cell r="L10860" t="str">
            <v>Rent</v>
          </cell>
          <cell r="N10860" t="str">
            <v>SG&amp;A</v>
          </cell>
          <cell r="O10860" t="str">
            <v>[No Vendor]</v>
          </cell>
        </row>
        <row r="10861">
          <cell r="D10861">
            <v>59.81</v>
          </cell>
          <cell r="H10861">
            <v>45901</v>
          </cell>
          <cell r="I10861" t="str">
            <v>6340 - Miscellaneous Expense</v>
          </cell>
          <cell r="J10861">
            <v>0</v>
          </cell>
          <cell r="K10861" t="str">
            <v>Brand Marketing</v>
          </cell>
          <cell r="L10861" t="str">
            <v>Other</v>
          </cell>
          <cell r="N10861" t="str">
            <v>SG&amp;A</v>
          </cell>
          <cell r="O10861" t="str">
            <v>Olivia Nielsen</v>
          </cell>
        </row>
        <row r="10862">
          <cell r="D10862">
            <v>84.31</v>
          </cell>
          <cell r="H10862">
            <v>45901</v>
          </cell>
          <cell r="I10862" t="str">
            <v>6340 - Miscellaneous Expense</v>
          </cell>
          <cell r="J10862">
            <v>0</v>
          </cell>
          <cell r="K10862" t="str">
            <v>Administration</v>
          </cell>
          <cell r="L10862" t="str">
            <v>Other</v>
          </cell>
          <cell r="N10862" t="str">
            <v>SG&amp;A</v>
          </cell>
          <cell r="O10862" t="str">
            <v>Go Gleem LLC</v>
          </cell>
        </row>
        <row r="10863">
          <cell r="D10863">
            <v>950</v>
          </cell>
          <cell r="H10863">
            <v>45901</v>
          </cell>
          <cell r="I10863" t="str">
            <v>6340 - Miscellaneous Expense</v>
          </cell>
          <cell r="J10863">
            <v>0</v>
          </cell>
          <cell r="K10863" t="str">
            <v>Administration</v>
          </cell>
          <cell r="L10863" t="str">
            <v>Other</v>
          </cell>
          <cell r="N10863" t="str">
            <v>SG&amp;A</v>
          </cell>
          <cell r="O10863" t="str">
            <v>Go Gleem LLC</v>
          </cell>
        </row>
        <row r="10864">
          <cell r="D10864">
            <v>18.14</v>
          </cell>
          <cell r="H10864">
            <v>45901</v>
          </cell>
          <cell r="I10864" t="str">
            <v>6340 - Miscellaneous Expense</v>
          </cell>
          <cell r="J10864">
            <v>0</v>
          </cell>
          <cell r="K10864" t="str">
            <v>Executive</v>
          </cell>
          <cell r="L10864" t="str">
            <v>Other</v>
          </cell>
          <cell r="N10864" t="str">
            <v>SG&amp;A</v>
          </cell>
          <cell r="O10864" t="str">
            <v>[No Vendor]</v>
          </cell>
        </row>
        <row r="10865">
          <cell r="D10865">
            <v>467.64</v>
          </cell>
          <cell r="H10865">
            <v>45901</v>
          </cell>
          <cell r="I10865" t="str">
            <v>6340 - Miscellaneous Expense</v>
          </cell>
          <cell r="J10865">
            <v>0</v>
          </cell>
          <cell r="K10865" t="str">
            <v>Design</v>
          </cell>
          <cell r="L10865" t="str">
            <v>Other</v>
          </cell>
          <cell r="N10865" t="str">
            <v>SG&amp;A</v>
          </cell>
          <cell r="O10865" t="str">
            <v>[No Vendor]</v>
          </cell>
        </row>
        <row r="10866">
          <cell r="D10866">
            <v>488.24</v>
          </cell>
          <cell r="H10866">
            <v>45901</v>
          </cell>
          <cell r="I10866" t="str">
            <v>6340 - Miscellaneous Expense</v>
          </cell>
          <cell r="J10866">
            <v>0</v>
          </cell>
          <cell r="K10866" t="str">
            <v>Administration</v>
          </cell>
          <cell r="L10866" t="str">
            <v>Other</v>
          </cell>
          <cell r="N10866" t="str">
            <v>SG&amp;A</v>
          </cell>
          <cell r="O10866" t="str">
            <v>Amazon Capital Services</v>
          </cell>
        </row>
        <row r="10867">
          <cell r="D10867">
            <v>91.1</v>
          </cell>
          <cell r="H10867">
            <v>45901</v>
          </cell>
          <cell r="I10867" t="str">
            <v>6340 - Miscellaneous Expense</v>
          </cell>
          <cell r="J10867" t="str">
            <v>Ecommerce (US)</v>
          </cell>
          <cell r="K10867" t="str">
            <v>Ecommerce</v>
          </cell>
          <cell r="L10867" t="str">
            <v>Other</v>
          </cell>
          <cell r="N10867" t="str">
            <v>SG&amp;A</v>
          </cell>
          <cell r="O10867" t="str">
            <v>[No Vendor]</v>
          </cell>
        </row>
        <row r="10868">
          <cell r="D10868">
            <v>459.25</v>
          </cell>
          <cell r="H10868">
            <v>45901</v>
          </cell>
          <cell r="I10868" t="str">
            <v>6352 - Fabric &amp; Materials</v>
          </cell>
          <cell r="J10868" t="str">
            <v>Ecommerce (US)</v>
          </cell>
          <cell r="K10868" t="str">
            <v>Production</v>
          </cell>
          <cell r="L10868" t="str">
            <v>Sample</v>
          </cell>
          <cell r="N10868" t="str">
            <v>SG&amp;A</v>
          </cell>
          <cell r="O10868" t="str">
            <v>Gates Wears</v>
          </cell>
        </row>
        <row r="10869">
          <cell r="D10869">
            <v>6450.84</v>
          </cell>
          <cell r="H10869">
            <v>45901</v>
          </cell>
          <cell r="I10869" t="str">
            <v>6360 - Model - Fitting</v>
          </cell>
          <cell r="J10869">
            <v>0</v>
          </cell>
          <cell r="K10869" t="str">
            <v>Production</v>
          </cell>
          <cell r="L10869" t="str">
            <v>Sample</v>
          </cell>
          <cell r="N10869" t="str">
            <v>SG&amp;A</v>
          </cell>
          <cell r="O10869" t="str">
            <v>Alvanon Inc.</v>
          </cell>
        </row>
        <row r="10870">
          <cell r="D10870">
            <v>250</v>
          </cell>
          <cell r="H10870">
            <v>45901</v>
          </cell>
          <cell r="I10870" t="str">
            <v>6360 - Model - Fitting</v>
          </cell>
          <cell r="J10870">
            <v>0</v>
          </cell>
          <cell r="K10870" t="str">
            <v>Production</v>
          </cell>
          <cell r="L10870" t="str">
            <v>Sample</v>
          </cell>
          <cell r="N10870" t="str">
            <v>SG&amp;A</v>
          </cell>
          <cell r="O10870" t="str">
            <v>Lanny K.W. Inc.</v>
          </cell>
        </row>
        <row r="10871">
          <cell r="D10871">
            <v>650</v>
          </cell>
          <cell r="H10871">
            <v>45901</v>
          </cell>
          <cell r="I10871" t="str">
            <v>6360 - Model - Fitting</v>
          </cell>
          <cell r="J10871">
            <v>0</v>
          </cell>
          <cell r="K10871" t="str">
            <v>Production</v>
          </cell>
          <cell r="L10871" t="str">
            <v>Sample</v>
          </cell>
          <cell r="N10871" t="str">
            <v>SG&amp;A</v>
          </cell>
          <cell r="O10871" t="str">
            <v>Lanny K.W. Inc.</v>
          </cell>
        </row>
        <row r="10872">
          <cell r="D10872">
            <v>918.5</v>
          </cell>
          <cell r="H10872">
            <v>45901</v>
          </cell>
          <cell r="I10872" t="str">
            <v>6370 - Samples</v>
          </cell>
          <cell r="J10872" t="str">
            <v>Ecommerce (US)</v>
          </cell>
          <cell r="K10872" t="str">
            <v>Production</v>
          </cell>
          <cell r="L10872" t="str">
            <v>Sample</v>
          </cell>
          <cell r="N10872" t="str">
            <v>SG&amp;A</v>
          </cell>
          <cell r="O10872" t="str">
            <v>Gates Wears</v>
          </cell>
        </row>
        <row r="10873">
          <cell r="D10873">
            <v>702.8</v>
          </cell>
          <cell r="H10873">
            <v>45901</v>
          </cell>
          <cell r="I10873" t="str">
            <v>6370 - Samples</v>
          </cell>
          <cell r="J10873">
            <v>0</v>
          </cell>
          <cell r="K10873" t="str">
            <v>Production</v>
          </cell>
          <cell r="L10873" t="str">
            <v>Sample</v>
          </cell>
          <cell r="N10873" t="str">
            <v>SG&amp;A</v>
          </cell>
          <cell r="O10873" t="str">
            <v>BB (UK) Limited</v>
          </cell>
        </row>
        <row r="10874">
          <cell r="D10874">
            <v>83.08</v>
          </cell>
          <cell r="H10874">
            <v>45901</v>
          </cell>
          <cell r="I10874" t="str">
            <v>6370 - Samples</v>
          </cell>
          <cell r="J10874">
            <v>0</v>
          </cell>
          <cell r="K10874" t="str">
            <v>Production</v>
          </cell>
          <cell r="L10874" t="str">
            <v>Sample</v>
          </cell>
          <cell r="N10874" t="str">
            <v>SG&amp;A</v>
          </cell>
          <cell r="O10874" t="str">
            <v>[No Vendor]</v>
          </cell>
        </row>
        <row r="10875">
          <cell r="D10875">
            <v>452.06</v>
          </cell>
          <cell r="H10875">
            <v>45901</v>
          </cell>
          <cell r="I10875" t="str">
            <v>6370 - Samples</v>
          </cell>
          <cell r="J10875">
            <v>0</v>
          </cell>
          <cell r="K10875" t="str">
            <v>Production</v>
          </cell>
          <cell r="L10875" t="str">
            <v>Sample</v>
          </cell>
          <cell r="N10875" t="str">
            <v>SG&amp;A</v>
          </cell>
          <cell r="O10875" t="str">
            <v>[No Vendor]</v>
          </cell>
        </row>
        <row r="10876">
          <cell r="D10876">
            <v>10.8</v>
          </cell>
          <cell r="H10876">
            <v>45901</v>
          </cell>
          <cell r="I10876" t="str">
            <v>6375 - Freight Expenses</v>
          </cell>
          <cell r="J10876">
            <v>0</v>
          </cell>
          <cell r="K10876" t="str">
            <v>Production</v>
          </cell>
          <cell r="L10876" t="str">
            <v>Freight</v>
          </cell>
          <cell r="N10876" t="str">
            <v>Direct Costs</v>
          </cell>
          <cell r="O10876" t="str">
            <v>DHL Express - USA</v>
          </cell>
        </row>
        <row r="10877">
          <cell r="D10877">
            <v>17</v>
          </cell>
          <cell r="H10877">
            <v>45901</v>
          </cell>
          <cell r="I10877" t="str">
            <v>6375 - Freight Expenses</v>
          </cell>
          <cell r="J10877">
            <v>0</v>
          </cell>
          <cell r="K10877" t="str">
            <v>Production</v>
          </cell>
          <cell r="L10877" t="str">
            <v>Freight</v>
          </cell>
          <cell r="N10877" t="str">
            <v>Direct Costs</v>
          </cell>
          <cell r="O10877" t="str">
            <v>DHL Express - USA</v>
          </cell>
        </row>
        <row r="10878">
          <cell r="D10878">
            <v>1.31</v>
          </cell>
          <cell r="H10878">
            <v>45901</v>
          </cell>
          <cell r="I10878" t="str">
            <v>6375 - Freight Expenses</v>
          </cell>
          <cell r="J10878">
            <v>0</v>
          </cell>
          <cell r="K10878" t="str">
            <v>Production</v>
          </cell>
          <cell r="L10878" t="str">
            <v>Freight</v>
          </cell>
          <cell r="N10878" t="str">
            <v>Direct Costs</v>
          </cell>
          <cell r="O10878" t="str">
            <v>DHL Express - USA</v>
          </cell>
        </row>
        <row r="10879">
          <cell r="D10879">
            <v>4.17</v>
          </cell>
          <cell r="H10879">
            <v>45901</v>
          </cell>
          <cell r="I10879" t="str">
            <v>6375 - Freight Expenses</v>
          </cell>
          <cell r="J10879">
            <v>0</v>
          </cell>
          <cell r="K10879" t="str">
            <v>Production</v>
          </cell>
          <cell r="L10879" t="str">
            <v>Freight</v>
          </cell>
          <cell r="N10879" t="str">
            <v>Direct Costs</v>
          </cell>
          <cell r="O10879" t="str">
            <v>DHL Express - USA</v>
          </cell>
        </row>
        <row r="10880">
          <cell r="D10880">
            <v>17</v>
          </cell>
          <cell r="H10880">
            <v>45901</v>
          </cell>
          <cell r="I10880" t="str">
            <v>6375 - Freight Expenses</v>
          </cell>
          <cell r="J10880">
            <v>0</v>
          </cell>
          <cell r="K10880" t="str">
            <v>Production</v>
          </cell>
          <cell r="L10880" t="str">
            <v>Freight</v>
          </cell>
          <cell r="N10880" t="str">
            <v>Direct Costs</v>
          </cell>
          <cell r="O10880" t="str">
            <v>DHL Express - USA</v>
          </cell>
        </row>
        <row r="10881">
          <cell r="D10881">
            <v>1.31</v>
          </cell>
          <cell r="H10881">
            <v>45901</v>
          </cell>
          <cell r="I10881" t="str">
            <v>6375 - Freight Expenses</v>
          </cell>
          <cell r="J10881">
            <v>0</v>
          </cell>
          <cell r="K10881" t="str">
            <v>Production</v>
          </cell>
          <cell r="L10881" t="str">
            <v>Freight</v>
          </cell>
          <cell r="N10881" t="str">
            <v>Direct Costs</v>
          </cell>
          <cell r="O10881" t="str">
            <v>DHL Express - USA</v>
          </cell>
        </row>
        <row r="10882">
          <cell r="D10882">
            <v>5.4</v>
          </cell>
          <cell r="H10882">
            <v>45901</v>
          </cell>
          <cell r="I10882" t="str">
            <v>6375 - Freight Expenses</v>
          </cell>
          <cell r="J10882">
            <v>0</v>
          </cell>
          <cell r="K10882" t="str">
            <v>Production</v>
          </cell>
          <cell r="L10882" t="str">
            <v>Freight</v>
          </cell>
          <cell r="N10882" t="str">
            <v>Direct Costs</v>
          </cell>
          <cell r="O10882" t="str">
            <v>DHL Express - USA</v>
          </cell>
        </row>
        <row r="10883">
          <cell r="D10883">
            <v>17</v>
          </cell>
          <cell r="H10883">
            <v>45901</v>
          </cell>
          <cell r="I10883" t="str">
            <v>6375 - Freight Expenses</v>
          </cell>
          <cell r="J10883">
            <v>0</v>
          </cell>
          <cell r="K10883" t="str">
            <v>Production</v>
          </cell>
          <cell r="L10883" t="str">
            <v>Freight</v>
          </cell>
          <cell r="N10883" t="str">
            <v>Direct Costs</v>
          </cell>
          <cell r="O10883" t="str">
            <v>DHL Express - USA</v>
          </cell>
        </row>
        <row r="10884">
          <cell r="D10884">
            <v>1.31</v>
          </cell>
          <cell r="H10884">
            <v>45901</v>
          </cell>
          <cell r="I10884" t="str">
            <v>6375 - Freight Expenses</v>
          </cell>
          <cell r="J10884">
            <v>0</v>
          </cell>
          <cell r="K10884" t="str">
            <v>Production</v>
          </cell>
          <cell r="L10884" t="str">
            <v>Freight</v>
          </cell>
          <cell r="N10884" t="str">
            <v>Direct Costs</v>
          </cell>
          <cell r="O10884" t="str">
            <v>DHL Express - USA</v>
          </cell>
        </row>
        <row r="10885">
          <cell r="D10885">
            <v>704.3</v>
          </cell>
          <cell r="H10885">
            <v>45901</v>
          </cell>
          <cell r="I10885" t="str">
            <v>6375 - Freight Expenses</v>
          </cell>
          <cell r="J10885" t="str">
            <v>Ecommerce (US)</v>
          </cell>
          <cell r="K10885" t="str">
            <v>Ecommerce</v>
          </cell>
          <cell r="L10885" t="str">
            <v>Freight</v>
          </cell>
          <cell r="N10885" t="str">
            <v>Direct Costs</v>
          </cell>
          <cell r="O10885" t="str">
            <v>UPS Supply Chain Solutions Inc. (7F24A0)</v>
          </cell>
        </row>
        <row r="10886">
          <cell r="D10886">
            <v>490.4</v>
          </cell>
          <cell r="H10886">
            <v>45901</v>
          </cell>
          <cell r="I10886" t="str">
            <v>6375 - Freight Expenses</v>
          </cell>
          <cell r="J10886" t="str">
            <v>Ecommerce (US)</v>
          </cell>
          <cell r="K10886" t="str">
            <v>Ecommerce</v>
          </cell>
          <cell r="L10886" t="str">
            <v>Freight</v>
          </cell>
          <cell r="N10886" t="str">
            <v>Direct Costs</v>
          </cell>
          <cell r="O10886" t="str">
            <v>UPS Supply Chain Solutions Inc. (7F24A0)</v>
          </cell>
        </row>
        <row r="10887">
          <cell r="D10887">
            <v>509.57</v>
          </cell>
          <cell r="H10887">
            <v>45901</v>
          </cell>
          <cell r="I10887" t="str">
            <v>6375 - Freight Expenses</v>
          </cell>
          <cell r="J10887" t="str">
            <v>Ecommerce (US)</v>
          </cell>
          <cell r="K10887" t="str">
            <v>Ecommerce</v>
          </cell>
          <cell r="L10887" t="str">
            <v>Freight</v>
          </cell>
          <cell r="N10887" t="str">
            <v>Direct Costs</v>
          </cell>
          <cell r="O10887" t="str">
            <v>UPS Supply Chain Solutions Inc. (7F24A0)</v>
          </cell>
        </row>
        <row r="10888">
          <cell r="D10888">
            <v>83</v>
          </cell>
          <cell r="H10888">
            <v>45901</v>
          </cell>
          <cell r="I10888" t="str">
            <v>6375 - Freight Expenses</v>
          </cell>
          <cell r="J10888" t="str">
            <v>Ecommerce (US)</v>
          </cell>
          <cell r="K10888" t="str">
            <v>Ecommerce</v>
          </cell>
          <cell r="L10888" t="str">
            <v>Freight</v>
          </cell>
          <cell r="N10888" t="str">
            <v>Direct Costs</v>
          </cell>
          <cell r="O10888" t="str">
            <v>UPS Supply Chain Solutions Inc. (7F24A0)</v>
          </cell>
        </row>
        <row r="10889">
          <cell r="D10889">
            <v>5000</v>
          </cell>
          <cell r="H10889">
            <v>45901</v>
          </cell>
          <cell r="I10889" t="str">
            <v>6375 - Freight Expenses</v>
          </cell>
          <cell r="J10889" t="str">
            <v>Ecommerce (US)</v>
          </cell>
          <cell r="K10889" t="str">
            <v>Ecommerce</v>
          </cell>
          <cell r="L10889" t="str">
            <v>Freight</v>
          </cell>
          <cell r="N10889" t="str">
            <v>Direct Costs</v>
          </cell>
          <cell r="O10889" t="str">
            <v>[No Vendor]</v>
          </cell>
        </row>
        <row r="10890">
          <cell r="D10890">
            <v>279.77999999999997</v>
          </cell>
          <cell r="H10890">
            <v>45901</v>
          </cell>
          <cell r="I10890" t="str">
            <v>6375 - Freight Expenses</v>
          </cell>
          <cell r="J10890" t="str">
            <v>Wholesale</v>
          </cell>
          <cell r="K10890" t="str">
            <v>Wholesale</v>
          </cell>
          <cell r="L10890" t="str">
            <v>Freight</v>
          </cell>
          <cell r="N10890" t="str">
            <v>Direct Costs</v>
          </cell>
          <cell r="O10890" t="str">
            <v>UPS Supply Chain Solutions Inc. (7F24A0)</v>
          </cell>
        </row>
        <row r="10891">
          <cell r="D10891">
            <v>32914.74</v>
          </cell>
          <cell r="H10891">
            <v>45901</v>
          </cell>
          <cell r="I10891" t="str">
            <v>6375 - Freight Expenses</v>
          </cell>
          <cell r="J10891" t="str">
            <v>Ecommerce (US)</v>
          </cell>
          <cell r="K10891" t="str">
            <v>Ecommerce</v>
          </cell>
          <cell r="L10891" t="str">
            <v>Freight</v>
          </cell>
          <cell r="N10891" t="str">
            <v>Direct Costs</v>
          </cell>
          <cell r="O10891" t="str">
            <v>UPS Supply Chain Solutions Inc. (7F24A0)</v>
          </cell>
        </row>
        <row r="10892">
          <cell r="D10892">
            <v>4.66</v>
          </cell>
          <cell r="H10892">
            <v>45901</v>
          </cell>
          <cell r="I10892" t="str">
            <v>6375 - Freight Expenses</v>
          </cell>
          <cell r="J10892" t="str">
            <v>Ecommerce (US)</v>
          </cell>
          <cell r="K10892" t="str">
            <v>Ecommerce</v>
          </cell>
          <cell r="L10892" t="str">
            <v>Freight</v>
          </cell>
          <cell r="N10892" t="str">
            <v>Direct Costs</v>
          </cell>
          <cell r="O10892" t="str">
            <v>UPS Supply Chain Solutions Inc. (7F24A0)</v>
          </cell>
        </row>
        <row r="10893">
          <cell r="D10893">
            <v>1.89</v>
          </cell>
          <cell r="H10893">
            <v>45901</v>
          </cell>
          <cell r="I10893" t="str">
            <v>6375 - Freight Expenses</v>
          </cell>
          <cell r="J10893" t="str">
            <v>Ecommerce (US)</v>
          </cell>
          <cell r="K10893" t="str">
            <v>Ecommerce</v>
          </cell>
          <cell r="L10893" t="str">
            <v>Freight</v>
          </cell>
          <cell r="N10893" t="str">
            <v>Direct Costs</v>
          </cell>
          <cell r="O10893" t="str">
            <v>UPS Supply Chain Solutions Inc. (7F24A0)</v>
          </cell>
        </row>
        <row r="10894">
          <cell r="D10894">
            <v>176.07</v>
          </cell>
          <cell r="H10894">
            <v>45901</v>
          </cell>
          <cell r="I10894" t="str">
            <v>6375 - Freight Expenses</v>
          </cell>
          <cell r="J10894" t="str">
            <v>Ecommerce (US)</v>
          </cell>
          <cell r="K10894" t="str">
            <v>Ecommerce</v>
          </cell>
          <cell r="L10894" t="str">
            <v>Freight</v>
          </cell>
          <cell r="N10894" t="str">
            <v>Direct Costs</v>
          </cell>
          <cell r="O10894" t="str">
            <v>UPS Supply Chain Solutions Inc. (7F24A0)</v>
          </cell>
        </row>
        <row r="10895">
          <cell r="D10895">
            <v>63.21</v>
          </cell>
          <cell r="H10895">
            <v>45901</v>
          </cell>
          <cell r="I10895" t="str">
            <v>6375 - Freight Expenses</v>
          </cell>
          <cell r="J10895" t="str">
            <v>Ecommerce (US)</v>
          </cell>
          <cell r="K10895" t="str">
            <v>Ecommerce</v>
          </cell>
          <cell r="L10895" t="str">
            <v>Freight</v>
          </cell>
          <cell r="N10895" t="str">
            <v>Direct Costs</v>
          </cell>
          <cell r="O10895" t="str">
            <v>UPS Supply Chain Solutions Inc. (7F24A0)</v>
          </cell>
        </row>
        <row r="10896">
          <cell r="D10896">
            <v>8.56</v>
          </cell>
          <cell r="H10896">
            <v>45901</v>
          </cell>
          <cell r="I10896" t="str">
            <v>6375 - Freight Expenses</v>
          </cell>
          <cell r="J10896" t="str">
            <v>Ecommerce (US)</v>
          </cell>
          <cell r="K10896" t="str">
            <v>Ecommerce</v>
          </cell>
          <cell r="L10896" t="str">
            <v>Freight</v>
          </cell>
          <cell r="N10896" t="str">
            <v>Direct Costs</v>
          </cell>
          <cell r="O10896" t="str">
            <v>UPS Supply Chain Solutions Inc. (7F24A0)</v>
          </cell>
        </row>
        <row r="10897">
          <cell r="D10897">
            <v>14.48</v>
          </cell>
          <cell r="H10897">
            <v>45901</v>
          </cell>
          <cell r="I10897" t="str">
            <v>6375 - Freight Expenses</v>
          </cell>
          <cell r="J10897" t="str">
            <v>Ecommerce (US)</v>
          </cell>
          <cell r="K10897" t="str">
            <v>Ecommerce</v>
          </cell>
          <cell r="L10897" t="str">
            <v>Freight</v>
          </cell>
          <cell r="N10897" t="str">
            <v>Direct Costs</v>
          </cell>
          <cell r="O10897" t="str">
            <v>UPS Supply Chain Solutions Inc. (7F24A0)</v>
          </cell>
        </row>
        <row r="10898">
          <cell r="D10898">
            <v>407.62</v>
          </cell>
          <cell r="H10898">
            <v>45901</v>
          </cell>
          <cell r="I10898" t="str">
            <v>6375 - Freight Expenses</v>
          </cell>
          <cell r="J10898" t="str">
            <v>Ecommerce (US)</v>
          </cell>
          <cell r="K10898" t="str">
            <v>Ecommerce</v>
          </cell>
          <cell r="L10898" t="str">
            <v>Freight</v>
          </cell>
          <cell r="N10898" t="str">
            <v>Direct Costs</v>
          </cell>
          <cell r="O10898" t="str">
            <v>UPS Supply Chain Solutions Inc. (7F24A0)</v>
          </cell>
        </row>
        <row r="10899">
          <cell r="D10899">
            <v>15</v>
          </cell>
          <cell r="H10899">
            <v>45901</v>
          </cell>
          <cell r="I10899" t="str">
            <v>6375 - Freight Expenses</v>
          </cell>
          <cell r="J10899" t="str">
            <v>Ecommerce (US)</v>
          </cell>
          <cell r="K10899" t="str">
            <v>Ecommerce</v>
          </cell>
          <cell r="L10899" t="str">
            <v>Freight</v>
          </cell>
          <cell r="N10899" t="str">
            <v>Direct Costs</v>
          </cell>
          <cell r="O10899" t="str">
            <v>UPS Supply Chain Solutions Inc. (7F24A0)</v>
          </cell>
        </row>
        <row r="10900">
          <cell r="D10900">
            <v>12.5</v>
          </cell>
          <cell r="H10900">
            <v>45901</v>
          </cell>
          <cell r="I10900" t="str">
            <v>6375 - Freight Expenses</v>
          </cell>
          <cell r="J10900">
            <v>0</v>
          </cell>
          <cell r="K10900" t="str">
            <v>Production</v>
          </cell>
          <cell r="L10900" t="str">
            <v>Freight</v>
          </cell>
          <cell r="N10900" t="str">
            <v>Direct Costs</v>
          </cell>
          <cell r="O10900" t="str">
            <v>DHL Express - USA</v>
          </cell>
        </row>
        <row r="10901">
          <cell r="D10901">
            <v>0.24</v>
          </cell>
          <cell r="H10901">
            <v>45901</v>
          </cell>
          <cell r="I10901" t="str">
            <v>6375 - Freight Expenses</v>
          </cell>
          <cell r="J10901">
            <v>0</v>
          </cell>
          <cell r="K10901" t="str">
            <v>Production</v>
          </cell>
          <cell r="L10901" t="str">
            <v>Freight</v>
          </cell>
          <cell r="N10901" t="str">
            <v>Direct Costs</v>
          </cell>
          <cell r="O10901" t="str">
            <v>DHL Express - USA</v>
          </cell>
        </row>
        <row r="10902">
          <cell r="D10902">
            <v>4.4000000000000004</v>
          </cell>
          <cell r="H10902">
            <v>45901</v>
          </cell>
          <cell r="I10902" t="str">
            <v>6375 - Freight Expenses</v>
          </cell>
          <cell r="J10902">
            <v>0</v>
          </cell>
          <cell r="K10902" t="str">
            <v>Production</v>
          </cell>
          <cell r="L10902" t="str">
            <v>Freight</v>
          </cell>
          <cell r="N10902" t="str">
            <v>Direct Costs</v>
          </cell>
          <cell r="O10902" t="str">
            <v>DHL Express - USA</v>
          </cell>
        </row>
        <row r="10903">
          <cell r="D10903">
            <v>50.54</v>
          </cell>
          <cell r="H10903">
            <v>45901</v>
          </cell>
          <cell r="I10903" t="str">
            <v>6375 - Freight Expenses</v>
          </cell>
          <cell r="J10903">
            <v>0</v>
          </cell>
          <cell r="K10903" t="str">
            <v>Production</v>
          </cell>
          <cell r="L10903" t="str">
            <v>Freight</v>
          </cell>
          <cell r="N10903" t="str">
            <v>Direct Costs</v>
          </cell>
          <cell r="O10903" t="str">
            <v>DHL Express - USA</v>
          </cell>
        </row>
        <row r="10904">
          <cell r="D10904">
            <v>1268.48</v>
          </cell>
          <cell r="H10904">
            <v>45901</v>
          </cell>
          <cell r="I10904" t="str">
            <v>6375 - Freight Expenses</v>
          </cell>
          <cell r="J10904">
            <v>0</v>
          </cell>
          <cell r="K10904" t="str">
            <v>Production</v>
          </cell>
          <cell r="L10904" t="str">
            <v>Freight</v>
          </cell>
          <cell r="N10904" t="str">
            <v>Direct Costs</v>
          </cell>
          <cell r="O10904" t="str">
            <v>DHL Express - USA</v>
          </cell>
        </row>
        <row r="10905">
          <cell r="D10905">
            <v>480.82</v>
          </cell>
          <cell r="H10905">
            <v>45901</v>
          </cell>
          <cell r="I10905" t="str">
            <v>6375 - Freight Expenses</v>
          </cell>
          <cell r="J10905" t="str">
            <v>Ecommerce (US)</v>
          </cell>
          <cell r="K10905" t="str">
            <v>Ecommerce</v>
          </cell>
          <cell r="L10905" t="str">
            <v>Freight</v>
          </cell>
          <cell r="N10905" t="str">
            <v>Direct Costs</v>
          </cell>
          <cell r="O10905" t="str">
            <v>UPS Supply Chain Solutions Inc. (7F24A0)</v>
          </cell>
        </row>
        <row r="10906">
          <cell r="D10906">
            <v>618.78</v>
          </cell>
          <cell r="H10906">
            <v>45901</v>
          </cell>
          <cell r="I10906" t="str">
            <v>6375 - Freight Expenses</v>
          </cell>
          <cell r="J10906">
            <v>0</v>
          </cell>
          <cell r="K10906" t="str">
            <v>Production</v>
          </cell>
          <cell r="L10906" t="str">
            <v>Freight</v>
          </cell>
          <cell r="N10906" t="str">
            <v>Direct Costs</v>
          </cell>
          <cell r="O10906" t="str">
            <v>DHL Express - USA</v>
          </cell>
        </row>
        <row r="10907">
          <cell r="D10907">
            <v>17</v>
          </cell>
          <cell r="H10907">
            <v>45901</v>
          </cell>
          <cell r="I10907" t="str">
            <v>6375 - Freight Expenses</v>
          </cell>
          <cell r="J10907">
            <v>0</v>
          </cell>
          <cell r="K10907" t="str">
            <v>Production</v>
          </cell>
          <cell r="L10907" t="str">
            <v>Freight</v>
          </cell>
          <cell r="N10907" t="str">
            <v>Direct Costs</v>
          </cell>
          <cell r="O10907" t="str">
            <v>DHL Express - USA</v>
          </cell>
        </row>
        <row r="10908">
          <cell r="D10908">
            <v>1.31</v>
          </cell>
          <cell r="H10908">
            <v>45901</v>
          </cell>
          <cell r="I10908" t="str">
            <v>6375 - Freight Expenses</v>
          </cell>
          <cell r="J10908">
            <v>0</v>
          </cell>
          <cell r="K10908" t="str">
            <v>Production</v>
          </cell>
          <cell r="L10908" t="str">
            <v>Freight</v>
          </cell>
          <cell r="N10908" t="str">
            <v>Direct Costs</v>
          </cell>
          <cell r="O10908" t="str">
            <v>DHL Express - USA</v>
          </cell>
        </row>
        <row r="10909">
          <cell r="D10909">
            <v>202.87</v>
          </cell>
          <cell r="H10909">
            <v>45901</v>
          </cell>
          <cell r="I10909" t="str">
            <v>6375 - Freight Expenses</v>
          </cell>
          <cell r="J10909" t="str">
            <v>Ecommerce (US)</v>
          </cell>
          <cell r="K10909" t="str">
            <v>Ecommerce</v>
          </cell>
          <cell r="L10909" t="str">
            <v>Freight</v>
          </cell>
          <cell r="N10909" t="str">
            <v>Direct Costs</v>
          </cell>
          <cell r="O10909" t="str">
            <v>UPS Supply Chain Solutions Inc. (7F24A0)</v>
          </cell>
        </row>
        <row r="10910">
          <cell r="D10910">
            <v>4.17</v>
          </cell>
          <cell r="H10910">
            <v>45901</v>
          </cell>
          <cell r="I10910" t="str">
            <v>6375 - Freight Expenses</v>
          </cell>
          <cell r="J10910">
            <v>0</v>
          </cell>
          <cell r="K10910" t="str">
            <v>Production</v>
          </cell>
          <cell r="L10910" t="str">
            <v>Freight</v>
          </cell>
          <cell r="N10910" t="str">
            <v>Direct Costs</v>
          </cell>
          <cell r="O10910" t="str">
            <v>DHL Express - USA</v>
          </cell>
        </row>
        <row r="10911">
          <cell r="D10911">
            <v>17</v>
          </cell>
          <cell r="H10911">
            <v>45901</v>
          </cell>
          <cell r="I10911" t="str">
            <v>6375 - Freight Expenses</v>
          </cell>
          <cell r="J10911">
            <v>0</v>
          </cell>
          <cell r="K10911" t="str">
            <v>Production</v>
          </cell>
          <cell r="L10911" t="str">
            <v>Freight</v>
          </cell>
          <cell r="N10911" t="str">
            <v>Direct Costs</v>
          </cell>
          <cell r="O10911" t="str">
            <v>DHL Express - USA</v>
          </cell>
        </row>
        <row r="10912">
          <cell r="D10912">
            <v>1.31</v>
          </cell>
          <cell r="H10912">
            <v>45901</v>
          </cell>
          <cell r="I10912" t="str">
            <v>6375 - Freight Expenses</v>
          </cell>
          <cell r="J10912">
            <v>0</v>
          </cell>
          <cell r="K10912" t="str">
            <v>Production</v>
          </cell>
          <cell r="L10912" t="str">
            <v>Freight</v>
          </cell>
          <cell r="N10912" t="str">
            <v>Direct Costs</v>
          </cell>
          <cell r="O10912" t="str">
            <v>DHL Express - USA</v>
          </cell>
        </row>
        <row r="10913">
          <cell r="D10913">
            <v>0.7</v>
          </cell>
          <cell r="H10913">
            <v>45901</v>
          </cell>
          <cell r="I10913" t="str">
            <v>6375 - Freight Expenses</v>
          </cell>
          <cell r="J10913">
            <v>0</v>
          </cell>
          <cell r="K10913" t="str">
            <v>Production</v>
          </cell>
          <cell r="L10913" t="str">
            <v>Freight</v>
          </cell>
          <cell r="N10913" t="str">
            <v>Direct Costs</v>
          </cell>
          <cell r="O10913" t="str">
            <v>DHL Express - USA</v>
          </cell>
        </row>
        <row r="10914">
          <cell r="D10914">
            <v>17</v>
          </cell>
          <cell r="H10914">
            <v>45901</v>
          </cell>
          <cell r="I10914" t="str">
            <v>6375 - Freight Expenses</v>
          </cell>
          <cell r="J10914">
            <v>0</v>
          </cell>
          <cell r="K10914" t="str">
            <v>Production</v>
          </cell>
          <cell r="L10914" t="str">
            <v>Freight</v>
          </cell>
          <cell r="N10914" t="str">
            <v>Direct Costs</v>
          </cell>
          <cell r="O10914" t="str">
            <v>DHL Express - USA</v>
          </cell>
        </row>
        <row r="10915">
          <cell r="D10915">
            <v>1.31</v>
          </cell>
          <cell r="H10915">
            <v>45901</v>
          </cell>
          <cell r="I10915" t="str">
            <v>6375 - Freight Expenses</v>
          </cell>
          <cell r="J10915">
            <v>0</v>
          </cell>
          <cell r="K10915" t="str">
            <v>Production</v>
          </cell>
          <cell r="L10915" t="str">
            <v>Freight</v>
          </cell>
          <cell r="N10915" t="str">
            <v>Direct Costs</v>
          </cell>
          <cell r="O10915" t="str">
            <v>DHL Express - USA</v>
          </cell>
        </row>
        <row r="10916">
          <cell r="D10916">
            <v>33.36</v>
          </cell>
          <cell r="H10916">
            <v>45901</v>
          </cell>
          <cell r="I10916" t="str">
            <v>6375 - Freight Expenses</v>
          </cell>
          <cell r="J10916">
            <v>0</v>
          </cell>
          <cell r="K10916" t="str">
            <v>Production</v>
          </cell>
          <cell r="L10916" t="str">
            <v>Freight</v>
          </cell>
          <cell r="N10916" t="str">
            <v>Direct Costs</v>
          </cell>
          <cell r="O10916" t="str">
            <v>DHL Express - USA</v>
          </cell>
        </row>
        <row r="10917">
          <cell r="D10917">
            <v>17</v>
          </cell>
          <cell r="H10917">
            <v>45901</v>
          </cell>
          <cell r="I10917" t="str">
            <v>6375 - Freight Expenses</v>
          </cell>
          <cell r="J10917">
            <v>0</v>
          </cell>
          <cell r="K10917" t="str">
            <v>Production</v>
          </cell>
          <cell r="L10917" t="str">
            <v>Freight</v>
          </cell>
          <cell r="N10917" t="str">
            <v>Direct Costs</v>
          </cell>
          <cell r="O10917" t="str">
            <v>DHL Express - USA</v>
          </cell>
        </row>
        <row r="10918">
          <cell r="D10918">
            <v>1.31</v>
          </cell>
          <cell r="H10918">
            <v>45901</v>
          </cell>
          <cell r="I10918" t="str">
            <v>6375 - Freight Expenses</v>
          </cell>
          <cell r="J10918">
            <v>0</v>
          </cell>
          <cell r="K10918" t="str">
            <v>Production</v>
          </cell>
          <cell r="L10918" t="str">
            <v>Freight</v>
          </cell>
          <cell r="N10918" t="str">
            <v>Direct Costs</v>
          </cell>
          <cell r="O10918" t="str">
            <v>DHL Express - USA</v>
          </cell>
        </row>
        <row r="10919">
          <cell r="D10919">
            <v>234.93</v>
          </cell>
          <cell r="H10919">
            <v>45901</v>
          </cell>
          <cell r="I10919" t="str">
            <v>6375 - Freight Expenses</v>
          </cell>
          <cell r="J10919" t="str">
            <v>Ecommerce (US)</v>
          </cell>
          <cell r="K10919" t="str">
            <v>Ecommerce</v>
          </cell>
          <cell r="L10919" t="str">
            <v>Freight</v>
          </cell>
          <cell r="N10919" t="str">
            <v>Direct Costs</v>
          </cell>
          <cell r="O10919" t="str">
            <v>UPS Supply Chain Solutions Inc. (7F24A0)</v>
          </cell>
        </row>
        <row r="10920">
          <cell r="D10920">
            <v>30951.25</v>
          </cell>
          <cell r="H10920">
            <v>45901</v>
          </cell>
          <cell r="I10920" t="str">
            <v>6375 - Freight Expenses</v>
          </cell>
          <cell r="J10920" t="str">
            <v>Ecommerce (US)</v>
          </cell>
          <cell r="K10920" t="str">
            <v>Ecommerce</v>
          </cell>
          <cell r="L10920" t="str">
            <v>Freight</v>
          </cell>
          <cell r="N10920" t="str">
            <v>Direct Costs</v>
          </cell>
          <cell r="O10920" t="str">
            <v>UPS Supply Chain Solutions Inc. (7F24A0)</v>
          </cell>
        </row>
        <row r="10921">
          <cell r="D10921">
            <v>232.71</v>
          </cell>
          <cell r="H10921">
            <v>45901</v>
          </cell>
          <cell r="I10921" t="str">
            <v>6375 - Freight Expenses</v>
          </cell>
          <cell r="J10921" t="str">
            <v>Wholesale</v>
          </cell>
          <cell r="K10921" t="str">
            <v>Wholesale</v>
          </cell>
          <cell r="L10921" t="str">
            <v>Freight</v>
          </cell>
          <cell r="N10921" t="str">
            <v>Direct Costs</v>
          </cell>
          <cell r="O10921" t="str">
            <v>UPS Supply Chain Solutions Inc. (7F24A0)</v>
          </cell>
        </row>
        <row r="10922">
          <cell r="D10922">
            <v>10.43</v>
          </cell>
          <cell r="H10922">
            <v>45901</v>
          </cell>
          <cell r="I10922" t="str">
            <v>6375 - Freight Expenses</v>
          </cell>
          <cell r="J10922">
            <v>0</v>
          </cell>
          <cell r="K10922" t="str">
            <v>Production</v>
          </cell>
          <cell r="L10922" t="str">
            <v>Freight</v>
          </cell>
          <cell r="N10922" t="str">
            <v>Direct Costs</v>
          </cell>
          <cell r="O10922" t="str">
            <v>DHL Express - USA</v>
          </cell>
        </row>
        <row r="10923">
          <cell r="D10923">
            <v>17</v>
          </cell>
          <cell r="H10923">
            <v>45901</v>
          </cell>
          <cell r="I10923" t="str">
            <v>6375 - Freight Expenses</v>
          </cell>
          <cell r="J10923">
            <v>0</v>
          </cell>
          <cell r="K10923" t="str">
            <v>Production</v>
          </cell>
          <cell r="L10923" t="str">
            <v>Freight</v>
          </cell>
          <cell r="N10923" t="str">
            <v>Direct Costs</v>
          </cell>
          <cell r="O10923" t="str">
            <v>DHL Express - USA</v>
          </cell>
        </row>
        <row r="10924">
          <cell r="D10924">
            <v>1.31</v>
          </cell>
          <cell r="H10924">
            <v>45901</v>
          </cell>
          <cell r="I10924" t="str">
            <v>6375 - Freight Expenses</v>
          </cell>
          <cell r="J10924">
            <v>0</v>
          </cell>
          <cell r="K10924" t="str">
            <v>Production</v>
          </cell>
          <cell r="L10924" t="str">
            <v>Freight</v>
          </cell>
          <cell r="N10924" t="str">
            <v>Direct Costs</v>
          </cell>
          <cell r="O10924" t="str">
            <v>DHL Express - USA</v>
          </cell>
        </row>
        <row r="10925">
          <cell r="D10925">
            <v>5.4</v>
          </cell>
          <cell r="H10925">
            <v>45901</v>
          </cell>
          <cell r="I10925" t="str">
            <v>6375 - Freight Expenses</v>
          </cell>
          <cell r="J10925">
            <v>0</v>
          </cell>
          <cell r="K10925" t="str">
            <v>Production</v>
          </cell>
          <cell r="L10925" t="str">
            <v>Freight</v>
          </cell>
          <cell r="N10925" t="str">
            <v>Direct Costs</v>
          </cell>
          <cell r="O10925" t="str">
            <v>DHL Express - USA</v>
          </cell>
        </row>
        <row r="10926">
          <cell r="D10926">
            <v>17</v>
          </cell>
          <cell r="H10926">
            <v>45901</v>
          </cell>
          <cell r="I10926" t="str">
            <v>6375 - Freight Expenses</v>
          </cell>
          <cell r="J10926">
            <v>0</v>
          </cell>
          <cell r="K10926" t="str">
            <v>Production</v>
          </cell>
          <cell r="L10926" t="str">
            <v>Freight</v>
          </cell>
          <cell r="N10926" t="str">
            <v>Direct Costs</v>
          </cell>
          <cell r="O10926" t="str">
            <v>DHL Express - USA</v>
          </cell>
        </row>
        <row r="10927">
          <cell r="D10927">
            <v>1.31</v>
          </cell>
          <cell r="H10927">
            <v>45901</v>
          </cell>
          <cell r="I10927" t="str">
            <v>6375 - Freight Expenses</v>
          </cell>
          <cell r="J10927">
            <v>0</v>
          </cell>
          <cell r="K10927" t="str">
            <v>Production</v>
          </cell>
          <cell r="L10927" t="str">
            <v>Freight</v>
          </cell>
          <cell r="N10927" t="str">
            <v>Direct Costs</v>
          </cell>
          <cell r="O10927" t="str">
            <v>DHL Express - USA</v>
          </cell>
        </row>
        <row r="10928">
          <cell r="D10928">
            <v>20.81</v>
          </cell>
          <cell r="H10928">
            <v>45901</v>
          </cell>
          <cell r="I10928" t="str">
            <v>6375 - Freight Expenses</v>
          </cell>
          <cell r="J10928">
            <v>0</v>
          </cell>
          <cell r="K10928" t="str">
            <v>Production</v>
          </cell>
          <cell r="L10928" t="str">
            <v>Freight</v>
          </cell>
          <cell r="N10928" t="str">
            <v>Direct Costs</v>
          </cell>
          <cell r="O10928" t="str">
            <v>DHL Express - USA</v>
          </cell>
        </row>
        <row r="10929">
          <cell r="D10929">
            <v>0.01</v>
          </cell>
          <cell r="H10929">
            <v>45901</v>
          </cell>
          <cell r="I10929" t="str">
            <v>6375 - Freight Expenses</v>
          </cell>
          <cell r="J10929">
            <v>0</v>
          </cell>
          <cell r="K10929" t="str">
            <v>Production</v>
          </cell>
          <cell r="L10929" t="str">
            <v>Freight</v>
          </cell>
          <cell r="N10929" t="str">
            <v>Direct Costs</v>
          </cell>
          <cell r="O10929" t="str">
            <v>DHL Express - USA</v>
          </cell>
        </row>
        <row r="10930">
          <cell r="D10930">
            <v>17</v>
          </cell>
          <cell r="H10930">
            <v>45901</v>
          </cell>
          <cell r="I10930" t="str">
            <v>6375 - Freight Expenses</v>
          </cell>
          <cell r="J10930">
            <v>0</v>
          </cell>
          <cell r="K10930" t="str">
            <v>Production</v>
          </cell>
          <cell r="L10930" t="str">
            <v>Freight</v>
          </cell>
          <cell r="N10930" t="str">
            <v>Direct Costs</v>
          </cell>
          <cell r="O10930" t="str">
            <v>DHL Express - USA</v>
          </cell>
        </row>
        <row r="10931">
          <cell r="D10931">
            <v>1.31</v>
          </cell>
          <cell r="H10931">
            <v>45901</v>
          </cell>
          <cell r="I10931" t="str">
            <v>6375 - Freight Expenses</v>
          </cell>
          <cell r="J10931">
            <v>0</v>
          </cell>
          <cell r="K10931" t="str">
            <v>Production</v>
          </cell>
          <cell r="L10931" t="str">
            <v>Freight</v>
          </cell>
          <cell r="N10931" t="str">
            <v>Direct Costs</v>
          </cell>
          <cell r="O10931" t="str">
            <v>DHL Express - USA</v>
          </cell>
        </row>
        <row r="10932">
          <cell r="D10932">
            <v>2.42</v>
          </cell>
          <cell r="H10932">
            <v>45901</v>
          </cell>
          <cell r="I10932" t="str">
            <v>6375 - Freight Expenses</v>
          </cell>
          <cell r="J10932">
            <v>0</v>
          </cell>
          <cell r="K10932" t="str">
            <v>Production</v>
          </cell>
          <cell r="L10932" t="str">
            <v>Freight</v>
          </cell>
          <cell r="N10932" t="str">
            <v>Direct Costs</v>
          </cell>
          <cell r="O10932" t="str">
            <v>DHL Express - USA</v>
          </cell>
        </row>
        <row r="10933">
          <cell r="D10933">
            <v>17</v>
          </cell>
          <cell r="H10933">
            <v>45901</v>
          </cell>
          <cell r="I10933" t="str">
            <v>6375 - Freight Expenses</v>
          </cell>
          <cell r="J10933">
            <v>0</v>
          </cell>
          <cell r="K10933" t="str">
            <v>Production</v>
          </cell>
          <cell r="L10933" t="str">
            <v>Freight</v>
          </cell>
          <cell r="N10933" t="str">
            <v>Direct Costs</v>
          </cell>
          <cell r="O10933" t="str">
            <v>DHL Express - USA</v>
          </cell>
        </row>
        <row r="10934">
          <cell r="D10934">
            <v>1.31</v>
          </cell>
          <cell r="H10934">
            <v>45901</v>
          </cell>
          <cell r="I10934" t="str">
            <v>6375 - Freight Expenses</v>
          </cell>
          <cell r="J10934">
            <v>0</v>
          </cell>
          <cell r="K10934" t="str">
            <v>Production</v>
          </cell>
          <cell r="L10934" t="str">
            <v>Freight</v>
          </cell>
          <cell r="N10934" t="str">
            <v>Direct Costs</v>
          </cell>
          <cell r="O10934" t="str">
            <v>DHL Express - USA</v>
          </cell>
        </row>
        <row r="10935">
          <cell r="D10935">
            <v>32.229999999999997</v>
          </cell>
          <cell r="H10935">
            <v>45901</v>
          </cell>
          <cell r="I10935" t="str">
            <v>6375 - Freight Expenses</v>
          </cell>
          <cell r="J10935" t="str">
            <v>Ecommerce (US)</v>
          </cell>
          <cell r="K10935" t="str">
            <v>Ecommerce</v>
          </cell>
          <cell r="L10935" t="str">
            <v>Freight</v>
          </cell>
          <cell r="N10935" t="str">
            <v>Direct Costs</v>
          </cell>
          <cell r="O10935" t="str">
            <v>UPS Supply Chain Solutions Inc. (7F24A0)</v>
          </cell>
        </row>
        <row r="10936">
          <cell r="D10936">
            <v>6.63</v>
          </cell>
          <cell r="H10936">
            <v>45901</v>
          </cell>
          <cell r="I10936" t="str">
            <v>6375 - Freight Expenses</v>
          </cell>
          <cell r="J10936" t="str">
            <v>Ecommerce (US)</v>
          </cell>
          <cell r="K10936" t="str">
            <v>Ecommerce</v>
          </cell>
          <cell r="L10936" t="str">
            <v>Freight</v>
          </cell>
          <cell r="N10936" t="str">
            <v>Direct Costs</v>
          </cell>
          <cell r="O10936" t="str">
            <v>UPS Supply Chain Solutions Inc. (7F24A0)</v>
          </cell>
        </row>
        <row r="10937">
          <cell r="D10937">
            <v>34.9</v>
          </cell>
          <cell r="H10937">
            <v>45901</v>
          </cell>
          <cell r="I10937" t="str">
            <v>6375 - Freight Expenses</v>
          </cell>
          <cell r="J10937" t="str">
            <v>Ecommerce (US)</v>
          </cell>
          <cell r="K10937" t="str">
            <v>Ecommerce</v>
          </cell>
          <cell r="L10937" t="str">
            <v>Freight</v>
          </cell>
          <cell r="N10937" t="str">
            <v>Direct Costs</v>
          </cell>
          <cell r="O10937" t="str">
            <v>UPS Supply Chain Solutions Inc. (7F24A0)</v>
          </cell>
        </row>
        <row r="10938">
          <cell r="D10938">
            <v>-36</v>
          </cell>
          <cell r="H10938">
            <v>45901</v>
          </cell>
          <cell r="I10938" t="str">
            <v>6375 - Freight Expenses</v>
          </cell>
          <cell r="J10938" t="str">
            <v>Ecommerce (US)</v>
          </cell>
          <cell r="K10938" t="str">
            <v>Ecommerce</v>
          </cell>
          <cell r="L10938" t="str">
            <v>Freight</v>
          </cell>
          <cell r="N10938" t="str">
            <v>Direct Costs</v>
          </cell>
          <cell r="O10938" t="str">
            <v>UPS Supply Chain Solutions Inc. (7F24A0)</v>
          </cell>
        </row>
        <row r="10939">
          <cell r="D10939">
            <v>739.22</v>
          </cell>
          <cell r="H10939">
            <v>45901</v>
          </cell>
          <cell r="I10939" t="str">
            <v>6375 - Freight Expenses</v>
          </cell>
          <cell r="J10939">
            <v>0</v>
          </cell>
          <cell r="K10939" t="str">
            <v>Production</v>
          </cell>
          <cell r="L10939" t="str">
            <v>Freight</v>
          </cell>
          <cell r="N10939" t="str">
            <v>Direct Costs</v>
          </cell>
          <cell r="O10939" t="str">
            <v>DHL Express - USA</v>
          </cell>
        </row>
        <row r="10940">
          <cell r="D10940">
            <v>10.43</v>
          </cell>
          <cell r="H10940">
            <v>45901</v>
          </cell>
          <cell r="I10940" t="str">
            <v>6375 - Freight Expenses</v>
          </cell>
          <cell r="J10940">
            <v>0</v>
          </cell>
          <cell r="K10940" t="str">
            <v>Production</v>
          </cell>
          <cell r="L10940" t="str">
            <v>Freight</v>
          </cell>
          <cell r="N10940" t="str">
            <v>Direct Costs</v>
          </cell>
          <cell r="O10940" t="str">
            <v>DHL Express - USA</v>
          </cell>
        </row>
        <row r="10941">
          <cell r="D10941">
            <v>17</v>
          </cell>
          <cell r="H10941">
            <v>45901</v>
          </cell>
          <cell r="I10941" t="str">
            <v>6375 - Freight Expenses</v>
          </cell>
          <cell r="J10941">
            <v>0</v>
          </cell>
          <cell r="K10941" t="str">
            <v>Production</v>
          </cell>
          <cell r="L10941" t="str">
            <v>Freight</v>
          </cell>
          <cell r="N10941" t="str">
            <v>Direct Costs</v>
          </cell>
          <cell r="O10941" t="str">
            <v>DHL Express - USA</v>
          </cell>
        </row>
        <row r="10942">
          <cell r="D10942">
            <v>1.31</v>
          </cell>
          <cell r="H10942">
            <v>45901</v>
          </cell>
          <cell r="I10942" t="str">
            <v>6375 - Freight Expenses</v>
          </cell>
          <cell r="J10942">
            <v>0</v>
          </cell>
          <cell r="K10942" t="str">
            <v>Production</v>
          </cell>
          <cell r="L10942" t="str">
            <v>Freight</v>
          </cell>
          <cell r="N10942" t="str">
            <v>Direct Costs</v>
          </cell>
          <cell r="O10942" t="str">
            <v>DHL Express - USA</v>
          </cell>
        </row>
        <row r="10943">
          <cell r="D10943">
            <v>2.42</v>
          </cell>
          <cell r="H10943">
            <v>45901</v>
          </cell>
          <cell r="I10943" t="str">
            <v>6375 - Freight Expenses</v>
          </cell>
          <cell r="J10943">
            <v>0</v>
          </cell>
          <cell r="K10943" t="str">
            <v>Production</v>
          </cell>
          <cell r="L10943" t="str">
            <v>Freight</v>
          </cell>
          <cell r="N10943" t="str">
            <v>Direct Costs</v>
          </cell>
          <cell r="O10943" t="str">
            <v>DHL Express - USA</v>
          </cell>
        </row>
        <row r="10944">
          <cell r="D10944">
            <v>17</v>
          </cell>
          <cell r="H10944">
            <v>45901</v>
          </cell>
          <cell r="I10944" t="str">
            <v>6375 - Freight Expenses</v>
          </cell>
          <cell r="J10944">
            <v>0</v>
          </cell>
          <cell r="K10944" t="str">
            <v>Production</v>
          </cell>
          <cell r="L10944" t="str">
            <v>Freight</v>
          </cell>
          <cell r="N10944" t="str">
            <v>Direct Costs</v>
          </cell>
          <cell r="O10944" t="str">
            <v>DHL Express - USA</v>
          </cell>
        </row>
        <row r="10945">
          <cell r="D10945">
            <v>1.31</v>
          </cell>
          <cell r="H10945">
            <v>45901</v>
          </cell>
          <cell r="I10945" t="str">
            <v>6375 - Freight Expenses</v>
          </cell>
          <cell r="J10945">
            <v>0</v>
          </cell>
          <cell r="K10945" t="str">
            <v>Production</v>
          </cell>
          <cell r="L10945" t="str">
            <v>Freight</v>
          </cell>
          <cell r="N10945" t="str">
            <v>Direct Costs</v>
          </cell>
          <cell r="O10945" t="str">
            <v>DHL Express - USA</v>
          </cell>
        </row>
        <row r="10946">
          <cell r="D10946">
            <v>1228.4100000000001</v>
          </cell>
          <cell r="H10946">
            <v>45901</v>
          </cell>
          <cell r="I10946" t="str">
            <v>6375 - Freight Expenses</v>
          </cell>
          <cell r="J10946" t="str">
            <v>Ecommerce (US)</v>
          </cell>
          <cell r="K10946" t="str">
            <v>Ecommerce</v>
          </cell>
          <cell r="L10946" t="str">
            <v>Freight</v>
          </cell>
          <cell r="N10946" t="str">
            <v>Direct Costs</v>
          </cell>
          <cell r="O10946" t="str">
            <v>UPS Supply Chain Solutions Inc. (7F24A0)</v>
          </cell>
        </row>
        <row r="10947">
          <cell r="D10947">
            <v>21.6</v>
          </cell>
          <cell r="H10947">
            <v>45901</v>
          </cell>
          <cell r="I10947" t="str">
            <v>6375 - Freight Expenses</v>
          </cell>
          <cell r="J10947">
            <v>0</v>
          </cell>
          <cell r="K10947" t="str">
            <v>Production</v>
          </cell>
          <cell r="L10947" t="str">
            <v>Freight</v>
          </cell>
          <cell r="N10947" t="str">
            <v>Direct Costs</v>
          </cell>
          <cell r="O10947" t="str">
            <v>DHL Express - USA</v>
          </cell>
        </row>
        <row r="10948">
          <cell r="D10948">
            <v>17</v>
          </cell>
          <cell r="H10948">
            <v>45901</v>
          </cell>
          <cell r="I10948" t="str">
            <v>6375 - Freight Expenses</v>
          </cell>
          <cell r="J10948">
            <v>0</v>
          </cell>
          <cell r="K10948" t="str">
            <v>Production</v>
          </cell>
          <cell r="L10948" t="str">
            <v>Freight</v>
          </cell>
          <cell r="N10948" t="str">
            <v>Direct Costs</v>
          </cell>
          <cell r="O10948" t="str">
            <v>DHL Express - USA</v>
          </cell>
        </row>
        <row r="10949">
          <cell r="D10949">
            <v>1.31</v>
          </cell>
          <cell r="H10949">
            <v>45901</v>
          </cell>
          <cell r="I10949" t="str">
            <v>6375 - Freight Expenses</v>
          </cell>
          <cell r="J10949">
            <v>0</v>
          </cell>
          <cell r="K10949" t="str">
            <v>Production</v>
          </cell>
          <cell r="L10949" t="str">
            <v>Freight</v>
          </cell>
          <cell r="N10949" t="str">
            <v>Direct Costs</v>
          </cell>
          <cell r="O10949" t="str">
            <v>DHL Express - USA</v>
          </cell>
        </row>
        <row r="10950">
          <cell r="D10950">
            <v>4.6500000000000004</v>
          </cell>
          <cell r="H10950">
            <v>45901</v>
          </cell>
          <cell r="I10950" t="str">
            <v>6375 - Freight Expenses</v>
          </cell>
          <cell r="J10950">
            <v>0</v>
          </cell>
          <cell r="K10950" t="str">
            <v>Production</v>
          </cell>
          <cell r="L10950" t="str">
            <v>Freight</v>
          </cell>
          <cell r="N10950" t="str">
            <v>Direct Costs</v>
          </cell>
          <cell r="O10950" t="str">
            <v>DHL Express - USA</v>
          </cell>
        </row>
        <row r="10951">
          <cell r="D10951">
            <v>17</v>
          </cell>
          <cell r="H10951">
            <v>45901</v>
          </cell>
          <cell r="I10951" t="str">
            <v>6375 - Freight Expenses</v>
          </cell>
          <cell r="J10951">
            <v>0</v>
          </cell>
          <cell r="K10951" t="str">
            <v>Production</v>
          </cell>
          <cell r="L10951" t="str">
            <v>Freight</v>
          </cell>
          <cell r="N10951" t="str">
            <v>Direct Costs</v>
          </cell>
          <cell r="O10951" t="str">
            <v>DHL Express - USA</v>
          </cell>
        </row>
        <row r="10952">
          <cell r="D10952">
            <v>1.31</v>
          </cell>
          <cell r="H10952">
            <v>45901</v>
          </cell>
          <cell r="I10952" t="str">
            <v>6375 - Freight Expenses</v>
          </cell>
          <cell r="J10952">
            <v>0</v>
          </cell>
          <cell r="K10952" t="str">
            <v>Production</v>
          </cell>
          <cell r="L10952" t="str">
            <v>Freight</v>
          </cell>
          <cell r="N10952" t="str">
            <v>Direct Costs</v>
          </cell>
          <cell r="O10952" t="str">
            <v>DHL Express - USA</v>
          </cell>
        </row>
        <row r="10953">
          <cell r="D10953">
            <v>8.34</v>
          </cell>
          <cell r="H10953">
            <v>45901</v>
          </cell>
          <cell r="I10953" t="str">
            <v>6375 - Freight Expenses</v>
          </cell>
          <cell r="J10953">
            <v>0</v>
          </cell>
          <cell r="K10953" t="str">
            <v>Production</v>
          </cell>
          <cell r="L10953" t="str">
            <v>Freight</v>
          </cell>
          <cell r="N10953" t="str">
            <v>Direct Costs</v>
          </cell>
          <cell r="O10953" t="str">
            <v>DHL Express - USA</v>
          </cell>
        </row>
        <row r="10954">
          <cell r="D10954">
            <v>17</v>
          </cell>
          <cell r="H10954">
            <v>45901</v>
          </cell>
          <cell r="I10954" t="str">
            <v>6375 - Freight Expenses</v>
          </cell>
          <cell r="J10954">
            <v>0</v>
          </cell>
          <cell r="K10954" t="str">
            <v>Production</v>
          </cell>
          <cell r="L10954" t="str">
            <v>Freight</v>
          </cell>
          <cell r="N10954" t="str">
            <v>Direct Costs</v>
          </cell>
          <cell r="O10954" t="str">
            <v>DHL Express - USA</v>
          </cell>
        </row>
        <row r="10955">
          <cell r="D10955">
            <v>1.31</v>
          </cell>
          <cell r="H10955">
            <v>45901</v>
          </cell>
          <cell r="I10955" t="str">
            <v>6375 - Freight Expenses</v>
          </cell>
          <cell r="J10955">
            <v>0</v>
          </cell>
          <cell r="K10955" t="str">
            <v>Production</v>
          </cell>
          <cell r="L10955" t="str">
            <v>Freight</v>
          </cell>
          <cell r="N10955" t="str">
            <v>Direct Costs</v>
          </cell>
          <cell r="O10955" t="str">
            <v>DHL Express - USA</v>
          </cell>
        </row>
        <row r="10956">
          <cell r="D10956">
            <v>243.44</v>
          </cell>
          <cell r="H10956">
            <v>45901</v>
          </cell>
          <cell r="I10956" t="str">
            <v>6375 - Freight Expenses</v>
          </cell>
          <cell r="J10956" t="str">
            <v>Ecommerce (US)</v>
          </cell>
          <cell r="K10956" t="str">
            <v>Ecommerce</v>
          </cell>
          <cell r="L10956" t="str">
            <v>Freight</v>
          </cell>
          <cell r="N10956" t="str">
            <v>Direct Costs</v>
          </cell>
          <cell r="O10956" t="str">
            <v>UPS Supply Chain Solutions Inc. (7F24A0)</v>
          </cell>
        </row>
        <row r="10957">
          <cell r="D10957">
            <v>26767.7</v>
          </cell>
          <cell r="H10957">
            <v>45901</v>
          </cell>
          <cell r="I10957" t="str">
            <v>6375 - Freight Expenses</v>
          </cell>
          <cell r="J10957" t="str">
            <v>Ecommerce (US)</v>
          </cell>
          <cell r="K10957" t="str">
            <v>Ecommerce</v>
          </cell>
          <cell r="L10957" t="str">
            <v>Freight</v>
          </cell>
          <cell r="N10957" t="str">
            <v>Direct Costs</v>
          </cell>
          <cell r="O10957" t="str">
            <v>UPS Supply Chain Solutions Inc. (7F24A0)</v>
          </cell>
        </row>
        <row r="10958">
          <cell r="D10958">
            <v>1282.1500000000001</v>
          </cell>
          <cell r="H10958">
            <v>45901</v>
          </cell>
          <cell r="I10958" t="str">
            <v>6375 - Freight Expenses</v>
          </cell>
          <cell r="J10958" t="str">
            <v>Wholesale</v>
          </cell>
          <cell r="K10958" t="str">
            <v>Wholesale</v>
          </cell>
          <cell r="L10958" t="str">
            <v>Freight</v>
          </cell>
          <cell r="N10958" t="str">
            <v>Direct Costs</v>
          </cell>
          <cell r="O10958" t="str">
            <v>UPS Supply Chain Solutions Inc. (7F24A0)</v>
          </cell>
        </row>
        <row r="10959">
          <cell r="D10959">
            <v>378.94</v>
          </cell>
          <cell r="H10959">
            <v>45901</v>
          </cell>
          <cell r="I10959" t="str">
            <v>6375 - Freight Expenses</v>
          </cell>
          <cell r="J10959" t="str">
            <v>Ecommerce (US)</v>
          </cell>
          <cell r="K10959" t="str">
            <v>Ecommerce</v>
          </cell>
          <cell r="L10959" t="str">
            <v>Freight</v>
          </cell>
          <cell r="N10959" t="str">
            <v>Direct Costs</v>
          </cell>
          <cell r="O10959" t="str">
            <v>UPS Supply Chain Solutions Inc. (7F24A0)</v>
          </cell>
        </row>
        <row r="10960">
          <cell r="D10960">
            <v>-9.57</v>
          </cell>
          <cell r="H10960">
            <v>45901</v>
          </cell>
          <cell r="I10960" t="str">
            <v>6375 - Freight Expenses</v>
          </cell>
          <cell r="J10960" t="str">
            <v>Ecommerce (US)</v>
          </cell>
          <cell r="K10960" t="str">
            <v>Ecommerce</v>
          </cell>
          <cell r="L10960" t="str">
            <v>Freight</v>
          </cell>
          <cell r="N10960" t="str">
            <v>Direct Costs</v>
          </cell>
          <cell r="O10960" t="str">
            <v>UPS Supply Chain Solutions Inc. (7F24A0)</v>
          </cell>
        </row>
        <row r="10961">
          <cell r="D10961">
            <v>4.28</v>
          </cell>
          <cell r="H10961">
            <v>45901</v>
          </cell>
          <cell r="I10961" t="str">
            <v>6375 - Freight Expenses</v>
          </cell>
          <cell r="J10961" t="str">
            <v>Ecommerce (US)</v>
          </cell>
          <cell r="K10961" t="str">
            <v>Ecommerce</v>
          </cell>
          <cell r="L10961" t="str">
            <v>Freight</v>
          </cell>
          <cell r="N10961" t="str">
            <v>Direct Costs</v>
          </cell>
          <cell r="O10961" t="str">
            <v>UPS Supply Chain Solutions Inc. (7F24A0)</v>
          </cell>
        </row>
        <row r="10962">
          <cell r="D10962">
            <v>1.89</v>
          </cell>
          <cell r="H10962">
            <v>45901</v>
          </cell>
          <cell r="I10962" t="str">
            <v>6375 - Freight Expenses</v>
          </cell>
          <cell r="J10962" t="str">
            <v>Ecommerce (US)</v>
          </cell>
          <cell r="K10962" t="str">
            <v>Ecommerce</v>
          </cell>
          <cell r="L10962" t="str">
            <v>Freight</v>
          </cell>
          <cell r="N10962" t="str">
            <v>Direct Costs</v>
          </cell>
          <cell r="O10962" t="str">
            <v>UPS Supply Chain Solutions Inc. (7F24A0)</v>
          </cell>
        </row>
        <row r="10963">
          <cell r="D10963">
            <v>2294.1999999999998</v>
          </cell>
          <cell r="H10963">
            <v>45901</v>
          </cell>
          <cell r="I10963" t="str">
            <v>6375 - Freight Expenses</v>
          </cell>
          <cell r="J10963">
            <v>0</v>
          </cell>
          <cell r="K10963" t="str">
            <v>Production</v>
          </cell>
          <cell r="L10963" t="str">
            <v>Freight</v>
          </cell>
          <cell r="N10963" t="str">
            <v>Direct Costs</v>
          </cell>
          <cell r="O10963" t="str">
            <v>DHL Express - USA</v>
          </cell>
        </row>
        <row r="10964">
          <cell r="D10964">
            <v>680.72</v>
          </cell>
          <cell r="H10964">
            <v>45901</v>
          </cell>
          <cell r="I10964" t="str">
            <v>6375 - Freight Expenses</v>
          </cell>
          <cell r="J10964" t="str">
            <v>Ecommerce (US)</v>
          </cell>
          <cell r="K10964" t="str">
            <v>Ecommerce</v>
          </cell>
          <cell r="L10964" t="str">
            <v>Freight</v>
          </cell>
          <cell r="N10964" t="str">
            <v>Direct Costs</v>
          </cell>
          <cell r="O10964" t="str">
            <v>UPS Supply Chain Solutions Inc. (7F24A0)</v>
          </cell>
        </row>
        <row r="10965">
          <cell r="D10965">
            <v>477.6</v>
          </cell>
          <cell r="H10965">
            <v>45901</v>
          </cell>
          <cell r="I10965" t="str">
            <v>6375 - Freight Expenses</v>
          </cell>
          <cell r="J10965" t="str">
            <v>Ecommerce (US)</v>
          </cell>
          <cell r="K10965" t="str">
            <v>Ecommerce</v>
          </cell>
          <cell r="L10965" t="str">
            <v>Freight</v>
          </cell>
          <cell r="N10965" t="str">
            <v>Direct Costs</v>
          </cell>
          <cell r="O10965" t="str">
            <v>UPS Supply Chain Solutions Inc. (7F24A0)</v>
          </cell>
        </row>
        <row r="10966">
          <cell r="D10966">
            <v>131.22</v>
          </cell>
          <cell r="H10966">
            <v>45901</v>
          </cell>
          <cell r="I10966" t="str">
            <v>6375 - Freight Expenses</v>
          </cell>
          <cell r="J10966" t="str">
            <v>Ecommerce (US)</v>
          </cell>
          <cell r="K10966" t="str">
            <v>Ecommerce</v>
          </cell>
          <cell r="L10966" t="str">
            <v>Freight</v>
          </cell>
          <cell r="N10966" t="str">
            <v>Direct Costs</v>
          </cell>
          <cell r="O10966" t="str">
            <v>UPS Supply Chain Solutions Inc. (7F24A0)</v>
          </cell>
        </row>
        <row r="10967">
          <cell r="D10967">
            <v>994.69</v>
          </cell>
          <cell r="H10967">
            <v>45901</v>
          </cell>
          <cell r="I10967" t="str">
            <v>6375 - Freight Expenses</v>
          </cell>
          <cell r="J10967" t="str">
            <v>Wholesale</v>
          </cell>
          <cell r="K10967" t="str">
            <v>Wholesale</v>
          </cell>
          <cell r="L10967" t="str">
            <v>Freight</v>
          </cell>
          <cell r="N10967" t="str">
            <v>Direct Costs</v>
          </cell>
          <cell r="O10967" t="str">
            <v>UPS Supply Chain Solutions Inc. (7F24A0)</v>
          </cell>
        </row>
        <row r="10968">
          <cell r="D10968">
            <v>23243.86</v>
          </cell>
          <cell r="H10968">
            <v>45901</v>
          </cell>
          <cell r="I10968" t="str">
            <v>6375 - Freight Expenses</v>
          </cell>
          <cell r="J10968" t="str">
            <v>Ecommerce (US)</v>
          </cell>
          <cell r="K10968" t="str">
            <v>Ecommerce</v>
          </cell>
          <cell r="L10968" t="str">
            <v>Freight</v>
          </cell>
          <cell r="N10968" t="str">
            <v>Direct Costs</v>
          </cell>
          <cell r="O10968" t="str">
            <v>UPS Supply Chain Solutions Inc. (7F24A0)</v>
          </cell>
        </row>
        <row r="10969">
          <cell r="D10969">
            <v>246.26</v>
          </cell>
          <cell r="H10969">
            <v>45901</v>
          </cell>
          <cell r="I10969" t="str">
            <v>6375 - Freight Expenses</v>
          </cell>
          <cell r="J10969" t="str">
            <v>Ecommerce (US)</v>
          </cell>
          <cell r="K10969" t="str">
            <v>Ecommerce</v>
          </cell>
          <cell r="L10969" t="str">
            <v>Freight</v>
          </cell>
          <cell r="N10969" t="str">
            <v>Direct Costs</v>
          </cell>
          <cell r="O10969" t="str">
            <v>UPS Supply Chain Solutions Inc. (7F24A0)</v>
          </cell>
        </row>
        <row r="10970">
          <cell r="D10970">
            <v>6.26</v>
          </cell>
          <cell r="H10970">
            <v>45901</v>
          </cell>
          <cell r="I10970" t="str">
            <v>6375 - Freight Expenses</v>
          </cell>
          <cell r="J10970">
            <v>0</v>
          </cell>
          <cell r="K10970" t="str">
            <v>Production</v>
          </cell>
          <cell r="L10970" t="str">
            <v>Freight</v>
          </cell>
          <cell r="N10970" t="str">
            <v>Direct Costs</v>
          </cell>
          <cell r="O10970" t="str">
            <v>DHL Express - USA</v>
          </cell>
        </row>
        <row r="10971">
          <cell r="D10971">
            <v>17</v>
          </cell>
          <cell r="H10971">
            <v>45901</v>
          </cell>
          <cell r="I10971" t="str">
            <v>6375 - Freight Expenses</v>
          </cell>
          <cell r="J10971">
            <v>0</v>
          </cell>
          <cell r="K10971" t="str">
            <v>Production</v>
          </cell>
          <cell r="L10971" t="str">
            <v>Freight</v>
          </cell>
          <cell r="N10971" t="str">
            <v>Direct Costs</v>
          </cell>
          <cell r="O10971" t="str">
            <v>DHL Express - USA</v>
          </cell>
        </row>
        <row r="10972">
          <cell r="D10972">
            <v>1.31</v>
          </cell>
          <cell r="H10972">
            <v>45901</v>
          </cell>
          <cell r="I10972" t="str">
            <v>6375 - Freight Expenses</v>
          </cell>
          <cell r="J10972">
            <v>0</v>
          </cell>
          <cell r="K10972" t="str">
            <v>Production</v>
          </cell>
          <cell r="L10972" t="str">
            <v>Freight</v>
          </cell>
          <cell r="N10972" t="str">
            <v>Direct Costs</v>
          </cell>
          <cell r="O10972" t="str">
            <v>DHL Express - USA</v>
          </cell>
        </row>
        <row r="10973">
          <cell r="D10973">
            <v>2.91</v>
          </cell>
          <cell r="H10973">
            <v>45901</v>
          </cell>
          <cell r="I10973" t="str">
            <v>6375 - Freight Expenses</v>
          </cell>
          <cell r="J10973">
            <v>0</v>
          </cell>
          <cell r="K10973" t="str">
            <v>Production</v>
          </cell>
          <cell r="L10973" t="str">
            <v>Freight</v>
          </cell>
          <cell r="N10973" t="str">
            <v>Direct Costs</v>
          </cell>
          <cell r="O10973" t="str">
            <v>DHL Express - USA</v>
          </cell>
        </row>
        <row r="10974">
          <cell r="D10974">
            <v>17</v>
          </cell>
          <cell r="H10974">
            <v>45901</v>
          </cell>
          <cell r="I10974" t="str">
            <v>6375 - Freight Expenses</v>
          </cell>
          <cell r="J10974">
            <v>0</v>
          </cell>
          <cell r="K10974" t="str">
            <v>Production</v>
          </cell>
          <cell r="L10974" t="str">
            <v>Freight</v>
          </cell>
          <cell r="N10974" t="str">
            <v>Direct Costs</v>
          </cell>
          <cell r="O10974" t="str">
            <v>DHL Express - USA</v>
          </cell>
        </row>
        <row r="10975">
          <cell r="D10975">
            <v>1.31</v>
          </cell>
          <cell r="H10975">
            <v>45901</v>
          </cell>
          <cell r="I10975" t="str">
            <v>6375 - Freight Expenses</v>
          </cell>
          <cell r="J10975">
            <v>0</v>
          </cell>
          <cell r="K10975" t="str">
            <v>Production</v>
          </cell>
          <cell r="L10975" t="str">
            <v>Freight</v>
          </cell>
          <cell r="N10975" t="str">
            <v>Direct Costs</v>
          </cell>
          <cell r="O10975" t="str">
            <v>DHL Express - USA</v>
          </cell>
        </row>
        <row r="10976">
          <cell r="D10976">
            <v>107.82</v>
          </cell>
          <cell r="H10976">
            <v>45901</v>
          </cell>
          <cell r="I10976" t="str">
            <v>6375 - Freight Expenses</v>
          </cell>
          <cell r="J10976">
            <v>0</v>
          </cell>
          <cell r="K10976" t="str">
            <v>Production</v>
          </cell>
          <cell r="L10976" t="str">
            <v>Freight</v>
          </cell>
          <cell r="N10976" t="str">
            <v>Direct Costs</v>
          </cell>
          <cell r="O10976" t="str">
            <v>DHL Express - USA</v>
          </cell>
        </row>
        <row r="10977">
          <cell r="D10977">
            <v>1631.38</v>
          </cell>
          <cell r="H10977">
            <v>45901</v>
          </cell>
          <cell r="I10977" t="str">
            <v>6375 - Freight Expenses</v>
          </cell>
          <cell r="J10977">
            <v>0</v>
          </cell>
          <cell r="K10977" t="str">
            <v>Production</v>
          </cell>
          <cell r="L10977" t="str">
            <v>Freight</v>
          </cell>
          <cell r="N10977" t="str">
            <v>Direct Costs</v>
          </cell>
          <cell r="O10977" t="str">
            <v>DHL Express - USA</v>
          </cell>
        </row>
        <row r="10978">
          <cell r="D10978">
            <v>81.64</v>
          </cell>
          <cell r="H10978">
            <v>45901</v>
          </cell>
          <cell r="I10978" t="str">
            <v>6375 - Freight Expenses</v>
          </cell>
          <cell r="J10978">
            <v>0</v>
          </cell>
          <cell r="K10978" t="str">
            <v>Brand Marketing</v>
          </cell>
          <cell r="L10978" t="str">
            <v>Freight</v>
          </cell>
          <cell r="N10978" t="str">
            <v>Direct Costs</v>
          </cell>
          <cell r="O10978" t="str">
            <v>GFD Courier Corporation</v>
          </cell>
        </row>
        <row r="10979">
          <cell r="D10979">
            <v>51.64</v>
          </cell>
          <cell r="H10979">
            <v>45901</v>
          </cell>
          <cell r="I10979" t="str">
            <v>6375 - Freight Expenses</v>
          </cell>
          <cell r="J10979">
            <v>0</v>
          </cell>
          <cell r="K10979" t="str">
            <v>Brand Marketing</v>
          </cell>
          <cell r="L10979" t="str">
            <v>Freight</v>
          </cell>
          <cell r="N10979" t="str">
            <v>Direct Costs</v>
          </cell>
          <cell r="O10979" t="str">
            <v>GFD Courier Corporation</v>
          </cell>
        </row>
        <row r="10980">
          <cell r="D10980">
            <v>51.64</v>
          </cell>
          <cell r="H10980">
            <v>45901</v>
          </cell>
          <cell r="I10980" t="str">
            <v>6375 - Freight Expenses</v>
          </cell>
          <cell r="J10980">
            <v>0</v>
          </cell>
          <cell r="K10980" t="str">
            <v>Brand Marketing</v>
          </cell>
          <cell r="L10980" t="str">
            <v>Freight</v>
          </cell>
          <cell r="N10980" t="str">
            <v>Direct Costs</v>
          </cell>
          <cell r="O10980" t="str">
            <v>GFD Courier Corporation</v>
          </cell>
        </row>
        <row r="10981">
          <cell r="D10981">
            <v>51.64</v>
          </cell>
          <cell r="H10981">
            <v>45901</v>
          </cell>
          <cell r="I10981" t="str">
            <v>6375 - Freight Expenses</v>
          </cell>
          <cell r="J10981">
            <v>0</v>
          </cell>
          <cell r="K10981" t="str">
            <v>Brand Marketing</v>
          </cell>
          <cell r="L10981" t="str">
            <v>Freight</v>
          </cell>
          <cell r="N10981" t="str">
            <v>Direct Costs</v>
          </cell>
          <cell r="O10981" t="str">
            <v>GFD Courier Corporation</v>
          </cell>
        </row>
        <row r="10982">
          <cell r="D10982">
            <v>51.64</v>
          </cell>
          <cell r="H10982">
            <v>45901</v>
          </cell>
          <cell r="I10982" t="str">
            <v>6375 - Freight Expenses</v>
          </cell>
          <cell r="J10982">
            <v>0</v>
          </cell>
          <cell r="K10982" t="str">
            <v>Brand Marketing</v>
          </cell>
          <cell r="L10982" t="str">
            <v>Freight</v>
          </cell>
          <cell r="N10982" t="str">
            <v>Direct Costs</v>
          </cell>
          <cell r="O10982" t="str">
            <v>GFD Courier Corporation</v>
          </cell>
        </row>
        <row r="10983">
          <cell r="D10983">
            <v>51.64</v>
          </cell>
          <cell r="H10983">
            <v>45901</v>
          </cell>
          <cell r="I10983" t="str">
            <v>6375 - Freight Expenses</v>
          </cell>
          <cell r="J10983">
            <v>0</v>
          </cell>
          <cell r="K10983" t="str">
            <v>Brand Marketing</v>
          </cell>
          <cell r="L10983" t="str">
            <v>Freight</v>
          </cell>
          <cell r="N10983" t="str">
            <v>Direct Costs</v>
          </cell>
          <cell r="O10983" t="str">
            <v>GFD Courier Corporation</v>
          </cell>
        </row>
        <row r="10984">
          <cell r="D10984">
            <v>131.63999999999999</v>
          </cell>
          <cell r="H10984">
            <v>45901</v>
          </cell>
          <cell r="I10984" t="str">
            <v>6375 - Freight Expenses</v>
          </cell>
          <cell r="J10984">
            <v>0</v>
          </cell>
          <cell r="K10984" t="str">
            <v>Brand Marketing</v>
          </cell>
          <cell r="L10984" t="str">
            <v>Freight</v>
          </cell>
          <cell r="N10984" t="str">
            <v>Direct Costs</v>
          </cell>
          <cell r="O10984" t="str">
            <v>GFD Courier Corporation</v>
          </cell>
        </row>
        <row r="10985">
          <cell r="D10985">
            <v>71.64</v>
          </cell>
          <cell r="H10985">
            <v>45901</v>
          </cell>
          <cell r="I10985" t="str">
            <v>6375 - Freight Expenses</v>
          </cell>
          <cell r="J10985">
            <v>0</v>
          </cell>
          <cell r="K10985" t="str">
            <v>Brand Marketing</v>
          </cell>
          <cell r="L10985" t="str">
            <v>Freight</v>
          </cell>
          <cell r="N10985" t="str">
            <v>Direct Costs</v>
          </cell>
          <cell r="O10985" t="str">
            <v>GFD Courier Corporation</v>
          </cell>
        </row>
        <row r="10986">
          <cell r="D10986">
            <v>71.64</v>
          </cell>
          <cell r="H10986">
            <v>45901</v>
          </cell>
          <cell r="I10986" t="str">
            <v>6375 - Freight Expenses</v>
          </cell>
          <cell r="J10986">
            <v>0</v>
          </cell>
          <cell r="K10986" t="str">
            <v>Brand Marketing</v>
          </cell>
          <cell r="L10986" t="str">
            <v>Freight</v>
          </cell>
          <cell r="N10986" t="str">
            <v>Direct Costs</v>
          </cell>
          <cell r="O10986" t="str">
            <v>GFD Courier Corporation</v>
          </cell>
        </row>
        <row r="10987">
          <cell r="D10987">
            <v>63.37</v>
          </cell>
          <cell r="H10987">
            <v>45901</v>
          </cell>
          <cell r="I10987" t="str">
            <v>6375 - Freight Expenses</v>
          </cell>
          <cell r="J10987" t="str">
            <v>Ecommerce (EU)</v>
          </cell>
          <cell r="K10987" t="str">
            <v>Ecommerce</v>
          </cell>
          <cell r="L10987" t="str">
            <v>Freight</v>
          </cell>
          <cell r="N10987" t="str">
            <v>Direct Costs</v>
          </cell>
          <cell r="O10987" t="str">
            <v>[No Vendor]</v>
          </cell>
        </row>
        <row r="10988">
          <cell r="D10988">
            <v>1981.07</v>
          </cell>
          <cell r="H10988">
            <v>45901</v>
          </cell>
          <cell r="I10988" t="str">
            <v>6375 - Freight Expenses</v>
          </cell>
          <cell r="J10988" t="str">
            <v>Ecommerce (EU)</v>
          </cell>
          <cell r="K10988" t="str">
            <v>Ecommerce</v>
          </cell>
          <cell r="L10988" t="str">
            <v>Freight</v>
          </cell>
          <cell r="N10988" t="str">
            <v>Direct Costs</v>
          </cell>
          <cell r="O10988" t="str">
            <v>[No Vendor]</v>
          </cell>
        </row>
        <row r="10989">
          <cell r="D10989">
            <v>-3367</v>
          </cell>
          <cell r="H10989">
            <v>45901</v>
          </cell>
          <cell r="I10989" t="str">
            <v>6375 - Freight Expenses</v>
          </cell>
          <cell r="J10989" t="str">
            <v>Ecommerce (US)</v>
          </cell>
          <cell r="K10989" t="str">
            <v>Ecommerce</v>
          </cell>
          <cell r="L10989" t="str">
            <v>Freight</v>
          </cell>
          <cell r="N10989" t="str">
            <v>Direct Costs</v>
          </cell>
          <cell r="O10989" t="str">
            <v>[No Vendor]</v>
          </cell>
        </row>
        <row r="10990">
          <cell r="D10990">
            <v>-37695</v>
          </cell>
          <cell r="H10990">
            <v>45901</v>
          </cell>
          <cell r="I10990" t="str">
            <v>6375 - Freight Expenses</v>
          </cell>
          <cell r="J10990" t="str">
            <v>Ecommerce (US)</v>
          </cell>
          <cell r="K10990" t="str">
            <v>Ecommerce</v>
          </cell>
          <cell r="L10990" t="str">
            <v>Freight</v>
          </cell>
          <cell r="N10990" t="str">
            <v>Direct Costs</v>
          </cell>
          <cell r="O10990" t="str">
            <v>[No Vendor]</v>
          </cell>
        </row>
        <row r="10991">
          <cell r="D10991">
            <v>10000</v>
          </cell>
          <cell r="H10991">
            <v>45901</v>
          </cell>
          <cell r="I10991" t="str">
            <v>6375 - Freight Expenses</v>
          </cell>
          <cell r="J10991" t="str">
            <v>Ecommerce (US)</v>
          </cell>
          <cell r="K10991" t="str">
            <v>Ecommerce</v>
          </cell>
          <cell r="L10991" t="str">
            <v>Freight</v>
          </cell>
          <cell r="N10991" t="str">
            <v>Direct Costs</v>
          </cell>
          <cell r="O10991" t="str">
            <v>UPS Supply Chain Solutions Inc. (7F24A0)</v>
          </cell>
        </row>
        <row r="10992">
          <cell r="D10992">
            <v>501.95</v>
          </cell>
          <cell r="H10992">
            <v>45901</v>
          </cell>
          <cell r="I10992" t="str">
            <v>6375 - Freight Expenses</v>
          </cell>
          <cell r="J10992" t="str">
            <v>Ecommerce (US)</v>
          </cell>
          <cell r="K10992" t="str">
            <v>Ecommerce</v>
          </cell>
          <cell r="L10992" t="str">
            <v>Freight</v>
          </cell>
          <cell r="N10992" t="str">
            <v>Direct Costs</v>
          </cell>
          <cell r="O10992" t="str">
            <v>Amazon</v>
          </cell>
        </row>
        <row r="10993">
          <cell r="D10993">
            <v>-4970.46</v>
          </cell>
          <cell r="H10993">
            <v>45901</v>
          </cell>
          <cell r="I10993" t="str">
            <v>6375 - Freight Expenses</v>
          </cell>
          <cell r="J10993" t="str">
            <v>Wholesale</v>
          </cell>
          <cell r="K10993" t="str">
            <v>Wholesale</v>
          </cell>
          <cell r="L10993" t="str">
            <v>Freight</v>
          </cell>
          <cell r="N10993" t="str">
            <v>Direct Costs</v>
          </cell>
          <cell r="O10993" t="str">
            <v>[No Vendor]</v>
          </cell>
        </row>
        <row r="10994">
          <cell r="D10994">
            <v>141.24</v>
          </cell>
          <cell r="H10994">
            <v>45901</v>
          </cell>
          <cell r="I10994" t="str">
            <v>6376 - Freight Supplies Other</v>
          </cell>
          <cell r="J10994" t="str">
            <v>Ecommerce (EU)</v>
          </cell>
          <cell r="K10994" t="str">
            <v>Ecommerce</v>
          </cell>
          <cell r="L10994" t="str">
            <v>Order Processing</v>
          </cell>
          <cell r="N10994" t="str">
            <v>Direct Costs</v>
          </cell>
          <cell r="O10994" t="str">
            <v>Bergen Logistics Corporation</v>
          </cell>
        </row>
        <row r="10995">
          <cell r="D10995">
            <v>282.16000000000003</v>
          </cell>
          <cell r="H10995">
            <v>45901</v>
          </cell>
          <cell r="I10995" t="str">
            <v>6376 - Freight Supplies Other</v>
          </cell>
          <cell r="J10995" t="str">
            <v>Wholesale</v>
          </cell>
          <cell r="K10995" t="str">
            <v>Wholesale</v>
          </cell>
          <cell r="L10995" t="str">
            <v>Order Processing</v>
          </cell>
          <cell r="N10995" t="str">
            <v>Direct Costs</v>
          </cell>
          <cell r="O10995" t="str">
            <v>Bergen Logistics Corporation</v>
          </cell>
        </row>
        <row r="10996">
          <cell r="D10996">
            <v>2968.45</v>
          </cell>
          <cell r="H10996">
            <v>45901</v>
          </cell>
          <cell r="I10996" t="str">
            <v>6376 - Freight Supplies Other</v>
          </cell>
          <cell r="J10996" t="str">
            <v>Ecommerce (US)</v>
          </cell>
          <cell r="K10996" t="str">
            <v>Ecommerce</v>
          </cell>
          <cell r="L10996" t="str">
            <v>Order Processing</v>
          </cell>
          <cell r="N10996" t="str">
            <v>Direct Costs</v>
          </cell>
          <cell r="O10996" t="str">
            <v>Bergen Logistics Corporation</v>
          </cell>
        </row>
        <row r="10997">
          <cell r="D10997">
            <v>717.53</v>
          </cell>
          <cell r="H10997">
            <v>45901</v>
          </cell>
          <cell r="I10997" t="str">
            <v>6376 - Freight Supplies Other</v>
          </cell>
          <cell r="J10997" t="str">
            <v>Wholesale</v>
          </cell>
          <cell r="K10997" t="str">
            <v>Wholesale</v>
          </cell>
          <cell r="L10997" t="str">
            <v>Order Processing</v>
          </cell>
          <cell r="N10997" t="str">
            <v>Direct Costs</v>
          </cell>
          <cell r="O10997" t="str">
            <v>Bergen Logistics Corporation</v>
          </cell>
        </row>
        <row r="10998">
          <cell r="D10998">
            <v>1868.11</v>
          </cell>
          <cell r="H10998">
            <v>45901</v>
          </cell>
          <cell r="I10998" t="str">
            <v>6376 - Freight Supplies Other</v>
          </cell>
          <cell r="J10998" t="str">
            <v>Ecommerce (US)</v>
          </cell>
          <cell r="K10998" t="str">
            <v>Ecommerce</v>
          </cell>
          <cell r="L10998" t="str">
            <v>Order Processing</v>
          </cell>
          <cell r="N10998" t="str">
            <v>Direct Costs</v>
          </cell>
          <cell r="O10998" t="str">
            <v>Bergen Logistics Corporation</v>
          </cell>
        </row>
        <row r="10999">
          <cell r="D10999">
            <v>70.56</v>
          </cell>
          <cell r="H10999">
            <v>45901</v>
          </cell>
          <cell r="I10999" t="str">
            <v>6376 - Freight Supplies Other</v>
          </cell>
          <cell r="J10999" t="str">
            <v>Ecommerce (EU)</v>
          </cell>
          <cell r="K10999" t="str">
            <v>Ecommerce</v>
          </cell>
          <cell r="L10999" t="str">
            <v>Order Processing</v>
          </cell>
          <cell r="N10999" t="str">
            <v>Direct Costs</v>
          </cell>
          <cell r="O10999" t="str">
            <v>Bergen Logistics Corporation</v>
          </cell>
        </row>
        <row r="11000">
          <cell r="D11000">
            <v>1606.8</v>
          </cell>
          <cell r="H11000">
            <v>45901</v>
          </cell>
          <cell r="I11000" t="str">
            <v>6377 - Order Processing Expenses (New)</v>
          </cell>
          <cell r="J11000" t="str">
            <v>Wholesale</v>
          </cell>
          <cell r="K11000" t="str">
            <v>Wholesale</v>
          </cell>
          <cell r="L11000" t="str">
            <v>Order Processing</v>
          </cell>
          <cell r="N11000" t="str">
            <v>Direct Costs</v>
          </cell>
          <cell r="O11000" t="str">
            <v>Bergen Logistics Corporation</v>
          </cell>
        </row>
        <row r="11001">
          <cell r="D11001">
            <v>23852.05</v>
          </cell>
          <cell r="H11001">
            <v>45901</v>
          </cell>
          <cell r="I11001" t="str">
            <v>6377 - Order Processing Expenses (New)</v>
          </cell>
          <cell r="J11001" t="str">
            <v>Ecommerce (US)</v>
          </cell>
          <cell r="K11001" t="str">
            <v>Ecommerce</v>
          </cell>
          <cell r="L11001" t="str">
            <v>Order Processing</v>
          </cell>
          <cell r="N11001" t="str">
            <v>Direct Costs</v>
          </cell>
          <cell r="O11001" t="str">
            <v>Bergen Logistics Corporation</v>
          </cell>
        </row>
        <row r="11002">
          <cell r="D11002">
            <v>584.37</v>
          </cell>
          <cell r="H11002">
            <v>45901</v>
          </cell>
          <cell r="I11002" t="str">
            <v>6377 - Order Processing Expenses (New)</v>
          </cell>
          <cell r="J11002" t="str">
            <v>Ecommerce (EU)</v>
          </cell>
          <cell r="K11002" t="str">
            <v>Ecommerce</v>
          </cell>
          <cell r="L11002" t="str">
            <v>Order Processing</v>
          </cell>
          <cell r="N11002" t="str">
            <v>Direct Costs</v>
          </cell>
          <cell r="O11002" t="str">
            <v>Bergen Logistics Corporation</v>
          </cell>
        </row>
        <row r="11003">
          <cell r="D11003">
            <v>3501.88</v>
          </cell>
          <cell r="H11003">
            <v>45901</v>
          </cell>
          <cell r="I11003" t="str">
            <v>6377 - Order Processing Expenses (New)</v>
          </cell>
          <cell r="J11003" t="str">
            <v>Wholesale</v>
          </cell>
          <cell r="K11003" t="str">
            <v>Wholesale</v>
          </cell>
          <cell r="L11003" t="str">
            <v>Order Processing</v>
          </cell>
          <cell r="N11003" t="str">
            <v>Direct Costs</v>
          </cell>
          <cell r="O11003" t="str">
            <v>Bergen Logistics Corporation</v>
          </cell>
        </row>
        <row r="11004">
          <cell r="D11004">
            <v>22838.560000000001</v>
          </cell>
          <cell r="H11004">
            <v>45901</v>
          </cell>
          <cell r="I11004" t="str">
            <v>6377 - Order Processing Expenses (New)</v>
          </cell>
          <cell r="J11004" t="str">
            <v>Ecommerce (US)</v>
          </cell>
          <cell r="K11004" t="str">
            <v>Ecommerce</v>
          </cell>
          <cell r="L11004" t="str">
            <v>Order Processing</v>
          </cell>
          <cell r="N11004" t="str">
            <v>Direct Costs</v>
          </cell>
          <cell r="O11004" t="str">
            <v>Bergen Logistics Corporation</v>
          </cell>
        </row>
        <row r="11005">
          <cell r="D11005">
            <v>508.45</v>
          </cell>
          <cell r="H11005">
            <v>45901</v>
          </cell>
          <cell r="I11005" t="str">
            <v>6377 - Order Processing Expenses (New)</v>
          </cell>
          <cell r="J11005" t="str">
            <v>Ecommerce (EU)</v>
          </cell>
          <cell r="K11005" t="str">
            <v>Ecommerce</v>
          </cell>
          <cell r="L11005" t="str">
            <v>Order Processing</v>
          </cell>
          <cell r="N11005" t="str">
            <v>Direct Costs</v>
          </cell>
          <cell r="O11005" t="str">
            <v>Bergen Logistics Corporation</v>
          </cell>
        </row>
        <row r="11006">
          <cell r="D11006">
            <v>54.38</v>
          </cell>
          <cell r="H11006">
            <v>45901</v>
          </cell>
          <cell r="I11006" t="str">
            <v>6377 - Order Processing Expenses (New)</v>
          </cell>
          <cell r="J11006" t="str">
            <v>Ecommerce (EU)</v>
          </cell>
          <cell r="K11006" t="str">
            <v>Ecommerce</v>
          </cell>
          <cell r="L11006" t="str">
            <v>Order Processing</v>
          </cell>
          <cell r="N11006" t="str">
            <v>Direct Costs</v>
          </cell>
          <cell r="O11006" t="str">
            <v>[No Vendor]</v>
          </cell>
        </row>
        <row r="11007">
          <cell r="D11007">
            <v>1717.19</v>
          </cell>
          <cell r="H11007">
            <v>45901</v>
          </cell>
          <cell r="I11007" t="str">
            <v>6377 - Order Processing Expenses (New)</v>
          </cell>
          <cell r="J11007" t="str">
            <v>Ecommerce (EU)</v>
          </cell>
          <cell r="K11007" t="str">
            <v>Ecommerce</v>
          </cell>
          <cell r="L11007" t="str">
            <v>Order Processing</v>
          </cell>
          <cell r="N11007" t="str">
            <v>Direct Costs</v>
          </cell>
          <cell r="O11007" t="str">
            <v>[No Vendor]</v>
          </cell>
        </row>
        <row r="11008">
          <cell r="D11008">
            <v>226.49</v>
          </cell>
          <cell r="H11008">
            <v>45901</v>
          </cell>
          <cell r="I11008" t="str">
            <v>6377 - Order Processing Expenses (New)</v>
          </cell>
          <cell r="J11008" t="str">
            <v>Ecommerce (US)</v>
          </cell>
          <cell r="K11008" t="str">
            <v>Ecommerce</v>
          </cell>
          <cell r="L11008" t="str">
            <v>Order Processing</v>
          </cell>
          <cell r="N11008" t="str">
            <v>Direct Costs</v>
          </cell>
          <cell r="O11008" t="str">
            <v>[No Vendor]</v>
          </cell>
        </row>
        <row r="11009">
          <cell r="D11009">
            <v>2201.4499999999998</v>
          </cell>
          <cell r="H11009">
            <v>45901</v>
          </cell>
          <cell r="I11009" t="str">
            <v>6379 - Warehouse Storage</v>
          </cell>
          <cell r="J11009" t="str">
            <v>Wholesale</v>
          </cell>
          <cell r="K11009" t="str">
            <v>Wholesale</v>
          </cell>
          <cell r="L11009" t="str">
            <v>Order Processing</v>
          </cell>
          <cell r="N11009" t="str">
            <v>Direct Costs</v>
          </cell>
          <cell r="O11009" t="str">
            <v>Bergen Logistics Corporation</v>
          </cell>
        </row>
        <row r="11010">
          <cell r="D11010">
            <v>16289.04</v>
          </cell>
          <cell r="H11010">
            <v>45901</v>
          </cell>
          <cell r="I11010" t="str">
            <v>6379 - Warehouse Storage</v>
          </cell>
          <cell r="J11010" t="str">
            <v>Ecommerce (US)</v>
          </cell>
          <cell r="K11010" t="str">
            <v>Ecommerce</v>
          </cell>
          <cell r="L11010" t="str">
            <v>Order Processing</v>
          </cell>
          <cell r="N11010" t="str">
            <v>Direct Costs</v>
          </cell>
          <cell r="O11010" t="str">
            <v>Bergen Logistics Corporation</v>
          </cell>
        </row>
        <row r="11011">
          <cell r="D11011">
            <v>539.63</v>
          </cell>
          <cell r="H11011">
            <v>45901</v>
          </cell>
          <cell r="I11011" t="str">
            <v>6379 - Warehouse Storage</v>
          </cell>
          <cell r="J11011" t="str">
            <v>Ecommerce (EU)</v>
          </cell>
          <cell r="K11011" t="str">
            <v>Ecommerce</v>
          </cell>
          <cell r="L11011" t="str">
            <v>Order Processing</v>
          </cell>
          <cell r="N11011" t="str">
            <v>Direct Costs</v>
          </cell>
          <cell r="O11011" t="str">
            <v>Bergen Logistics Corporation</v>
          </cell>
        </row>
        <row r="11012">
          <cell r="D11012">
            <v>2573.92</v>
          </cell>
          <cell r="H11012">
            <v>45901</v>
          </cell>
          <cell r="I11012" t="str">
            <v>6379 - Warehouse Storage</v>
          </cell>
          <cell r="J11012" t="str">
            <v>Wholesale</v>
          </cell>
          <cell r="K11012" t="str">
            <v>Wholesale</v>
          </cell>
          <cell r="L11012" t="str">
            <v>Order Processing</v>
          </cell>
          <cell r="N11012" t="str">
            <v>Direct Costs</v>
          </cell>
          <cell r="O11012" t="str">
            <v>Bergen Logistics Corporation</v>
          </cell>
        </row>
        <row r="11013">
          <cell r="D11013">
            <v>20063.71</v>
          </cell>
          <cell r="H11013">
            <v>45901</v>
          </cell>
          <cell r="I11013" t="str">
            <v>6379 - Warehouse Storage</v>
          </cell>
          <cell r="J11013" t="str">
            <v>Ecommerce (US)</v>
          </cell>
          <cell r="K11013" t="str">
            <v>Ecommerce</v>
          </cell>
          <cell r="L11013" t="str">
            <v>Order Processing</v>
          </cell>
          <cell r="N11013" t="str">
            <v>Direct Costs</v>
          </cell>
          <cell r="O11013" t="str">
            <v>Bergen Logistics Corporation</v>
          </cell>
        </row>
        <row r="11014">
          <cell r="D11014">
            <v>761.68</v>
          </cell>
          <cell r="H11014">
            <v>45901</v>
          </cell>
          <cell r="I11014" t="str">
            <v>6379 - Warehouse Storage</v>
          </cell>
          <cell r="J11014" t="str">
            <v>Ecommerce (EU)</v>
          </cell>
          <cell r="K11014" t="str">
            <v>Ecommerce</v>
          </cell>
          <cell r="L11014" t="str">
            <v>Order Processing</v>
          </cell>
          <cell r="N11014" t="str">
            <v>Direct Costs</v>
          </cell>
          <cell r="O11014" t="str">
            <v>Bergen Logistics Corporation</v>
          </cell>
        </row>
        <row r="11015">
          <cell r="D11015">
            <v>11680</v>
          </cell>
          <cell r="H11015">
            <v>45901</v>
          </cell>
          <cell r="I11015" t="str">
            <v>6380 - Legal &amp; Accounting</v>
          </cell>
          <cell r="J11015">
            <v>0</v>
          </cell>
          <cell r="K11015" t="str">
            <v>Administration</v>
          </cell>
          <cell r="L11015" t="str">
            <v>Professional Service</v>
          </cell>
          <cell r="N11015" t="str">
            <v>SG&amp;A</v>
          </cell>
          <cell r="O11015" t="str">
            <v>Bryan Cave Leighton Paisner LLP</v>
          </cell>
        </row>
        <row r="11016">
          <cell r="D11016">
            <v>10743.63</v>
          </cell>
          <cell r="H11016">
            <v>45901</v>
          </cell>
          <cell r="I11016" t="str">
            <v>6380 - Legal &amp; Accounting</v>
          </cell>
          <cell r="J11016">
            <v>0</v>
          </cell>
          <cell r="K11016" t="str">
            <v>Administration</v>
          </cell>
          <cell r="L11016" t="str">
            <v>Professional Service</v>
          </cell>
          <cell r="N11016" t="str">
            <v>SG&amp;A</v>
          </cell>
          <cell r="O11016" t="str">
            <v>Bryan Cave Leighton Paisner LLP</v>
          </cell>
        </row>
        <row r="11017">
          <cell r="D11017">
            <v>721.66</v>
          </cell>
          <cell r="H11017">
            <v>45901</v>
          </cell>
          <cell r="I11017" t="str">
            <v>6380 - Legal &amp; Accounting</v>
          </cell>
          <cell r="J11017">
            <v>0</v>
          </cell>
          <cell r="K11017" t="str">
            <v>Administration</v>
          </cell>
          <cell r="L11017" t="str">
            <v>Professional Service</v>
          </cell>
          <cell r="N11017" t="str">
            <v>SG&amp;A</v>
          </cell>
          <cell r="O11017" t="str">
            <v>Bryan Cave Leighton Paisner LLP</v>
          </cell>
        </row>
        <row r="11018">
          <cell r="D11018">
            <v>500</v>
          </cell>
          <cell r="H11018">
            <v>45901</v>
          </cell>
          <cell r="I11018" t="str">
            <v>6380 - Legal &amp; Accounting</v>
          </cell>
          <cell r="J11018">
            <v>0</v>
          </cell>
          <cell r="K11018" t="str">
            <v>Administration</v>
          </cell>
          <cell r="L11018" t="str">
            <v>Professional Service</v>
          </cell>
          <cell r="N11018" t="str">
            <v>SG&amp;A</v>
          </cell>
          <cell r="O11018" t="str">
            <v>Ko &amp; Yun, LLP - IP Holding</v>
          </cell>
        </row>
        <row r="11019">
          <cell r="D11019">
            <v>1000</v>
          </cell>
          <cell r="H11019">
            <v>45901</v>
          </cell>
          <cell r="I11019" t="str">
            <v>6380 - Legal &amp; Accounting</v>
          </cell>
          <cell r="J11019">
            <v>0</v>
          </cell>
          <cell r="K11019" t="str">
            <v>Administration</v>
          </cell>
          <cell r="L11019" t="str">
            <v>Professional Service</v>
          </cell>
          <cell r="N11019" t="str">
            <v>SG&amp;A</v>
          </cell>
          <cell r="O11019" t="str">
            <v>Ko &amp; Yun, LLP - Operations</v>
          </cell>
        </row>
        <row r="11020">
          <cell r="D11020">
            <v>10145</v>
          </cell>
          <cell r="H11020">
            <v>45901</v>
          </cell>
          <cell r="I11020" t="str">
            <v>6380 - Legal &amp; Accounting</v>
          </cell>
          <cell r="J11020">
            <v>0</v>
          </cell>
          <cell r="K11020" t="str">
            <v>Administration</v>
          </cell>
          <cell r="L11020" t="str">
            <v>Professional Service</v>
          </cell>
          <cell r="N11020" t="str">
            <v>SG&amp;A</v>
          </cell>
          <cell r="O11020" t="str">
            <v>The Wave IP Law Firm</v>
          </cell>
        </row>
        <row r="11021">
          <cell r="D11021">
            <v>424.25</v>
          </cell>
          <cell r="H11021">
            <v>45901</v>
          </cell>
          <cell r="I11021" t="str">
            <v>6385 - Insurance</v>
          </cell>
          <cell r="J11021">
            <v>0</v>
          </cell>
          <cell r="K11021" t="str">
            <v>Administration</v>
          </cell>
          <cell r="L11021" t="str">
            <v>Professional Service</v>
          </cell>
          <cell r="N11021" t="str">
            <v>SG&amp;A</v>
          </cell>
          <cell r="O11021" t="str">
            <v>The Hartford</v>
          </cell>
        </row>
        <row r="11022">
          <cell r="D11022">
            <v>53.38</v>
          </cell>
          <cell r="H11022">
            <v>45901</v>
          </cell>
          <cell r="I11022" t="str">
            <v>6385 - Insurance</v>
          </cell>
          <cell r="J11022">
            <v>0</v>
          </cell>
          <cell r="K11022" t="str">
            <v>Administration</v>
          </cell>
          <cell r="L11022" t="str">
            <v>Professional Service</v>
          </cell>
          <cell r="N11022" t="str">
            <v>SG&amp;A</v>
          </cell>
          <cell r="O11022" t="str">
            <v>[No Vendor]</v>
          </cell>
        </row>
        <row r="11023">
          <cell r="D11023">
            <v>45.22</v>
          </cell>
          <cell r="H11023">
            <v>45901</v>
          </cell>
          <cell r="I11023" t="str">
            <v>6385 - Insurance</v>
          </cell>
          <cell r="J11023">
            <v>0</v>
          </cell>
          <cell r="K11023" t="str">
            <v>Administration</v>
          </cell>
          <cell r="L11023" t="str">
            <v>Professional Service</v>
          </cell>
          <cell r="N11023" t="str">
            <v>SG&amp;A</v>
          </cell>
          <cell r="O11023" t="str">
            <v>[No Vendor]</v>
          </cell>
        </row>
        <row r="11024">
          <cell r="D11024">
            <v>85.14</v>
          </cell>
          <cell r="H11024">
            <v>45901</v>
          </cell>
          <cell r="I11024" t="str">
            <v>6385 - Insurance</v>
          </cell>
          <cell r="J11024">
            <v>0</v>
          </cell>
          <cell r="K11024" t="str">
            <v>Administration</v>
          </cell>
          <cell r="L11024" t="str">
            <v>Professional Service</v>
          </cell>
          <cell r="N11024" t="str">
            <v>SG&amp;A</v>
          </cell>
          <cell r="O11024" t="str">
            <v>[No Vendor]</v>
          </cell>
        </row>
        <row r="11025">
          <cell r="D11025">
            <v>1.2</v>
          </cell>
          <cell r="H11025">
            <v>45901</v>
          </cell>
          <cell r="I11025" t="str">
            <v>6385 - Insurance</v>
          </cell>
          <cell r="J11025">
            <v>0</v>
          </cell>
          <cell r="K11025" t="str">
            <v>Administration</v>
          </cell>
          <cell r="L11025" t="str">
            <v>Professional Service</v>
          </cell>
          <cell r="N11025" t="str">
            <v>SG&amp;A</v>
          </cell>
          <cell r="O11025" t="str">
            <v>[No Vendor]</v>
          </cell>
        </row>
        <row r="11026">
          <cell r="D11026">
            <v>39.71</v>
          </cell>
          <cell r="H11026">
            <v>45901</v>
          </cell>
          <cell r="I11026" t="str">
            <v>6385 - Insurance</v>
          </cell>
          <cell r="J11026">
            <v>0</v>
          </cell>
          <cell r="K11026" t="str">
            <v>Administration</v>
          </cell>
          <cell r="L11026" t="str">
            <v>Professional Service</v>
          </cell>
          <cell r="N11026" t="str">
            <v>SG&amp;A</v>
          </cell>
          <cell r="O11026" t="str">
            <v>[No Vendor]</v>
          </cell>
        </row>
        <row r="11027">
          <cell r="D11027">
            <v>42.51</v>
          </cell>
          <cell r="H11027">
            <v>45901</v>
          </cell>
          <cell r="I11027" t="str">
            <v>6385 - Insurance</v>
          </cell>
          <cell r="J11027">
            <v>0</v>
          </cell>
          <cell r="K11027" t="str">
            <v>Administration</v>
          </cell>
          <cell r="L11027" t="str">
            <v>Professional Service</v>
          </cell>
          <cell r="N11027" t="str">
            <v>SG&amp;A</v>
          </cell>
          <cell r="O11027" t="str">
            <v>[No Vendor]</v>
          </cell>
        </row>
        <row r="11028">
          <cell r="D11028">
            <v>14.18</v>
          </cell>
          <cell r="H11028">
            <v>45901</v>
          </cell>
          <cell r="I11028" t="str">
            <v>6385 - Insurance</v>
          </cell>
          <cell r="J11028">
            <v>0</v>
          </cell>
          <cell r="K11028" t="str">
            <v>Administration</v>
          </cell>
          <cell r="L11028" t="str">
            <v>Professional Service</v>
          </cell>
          <cell r="N11028" t="str">
            <v>SG&amp;A</v>
          </cell>
          <cell r="O11028" t="str">
            <v>[No Vendor]</v>
          </cell>
        </row>
        <row r="11029">
          <cell r="D11029">
            <v>16.12</v>
          </cell>
          <cell r="H11029">
            <v>45901</v>
          </cell>
          <cell r="I11029" t="str">
            <v>6385 - Insurance</v>
          </cell>
          <cell r="J11029">
            <v>0</v>
          </cell>
          <cell r="K11029" t="str">
            <v>Administration</v>
          </cell>
          <cell r="L11029" t="str">
            <v>Professional Service</v>
          </cell>
          <cell r="N11029" t="str">
            <v>SG&amp;A</v>
          </cell>
          <cell r="O11029" t="str">
            <v>[No Vendor]</v>
          </cell>
        </row>
        <row r="11030">
          <cell r="D11030">
            <v>5</v>
          </cell>
          <cell r="H11030">
            <v>45901</v>
          </cell>
          <cell r="I11030" t="str">
            <v>6385 - Insurance</v>
          </cell>
          <cell r="J11030">
            <v>0</v>
          </cell>
          <cell r="K11030" t="str">
            <v>Administration</v>
          </cell>
          <cell r="L11030" t="str">
            <v>Professional Service</v>
          </cell>
          <cell r="N11030" t="str">
            <v>SG&amp;A</v>
          </cell>
          <cell r="O11030" t="str">
            <v>The Hartford</v>
          </cell>
        </row>
        <row r="11031">
          <cell r="D11031">
            <v>1996.3</v>
          </cell>
          <cell r="H11031">
            <v>45901</v>
          </cell>
          <cell r="I11031" t="str">
            <v>6385 - Insurance</v>
          </cell>
          <cell r="J11031">
            <v>0</v>
          </cell>
          <cell r="K11031" t="str">
            <v>Administration</v>
          </cell>
          <cell r="L11031" t="str">
            <v>Professional Service</v>
          </cell>
          <cell r="N11031" t="str">
            <v>SG&amp;A</v>
          </cell>
          <cell r="O11031" t="str">
            <v>The Hartford</v>
          </cell>
        </row>
        <row r="11032">
          <cell r="D11032">
            <v>-85.14</v>
          </cell>
          <cell r="H11032">
            <v>45901</v>
          </cell>
          <cell r="I11032" t="str">
            <v>6385 - Insurance</v>
          </cell>
          <cell r="J11032">
            <v>0</v>
          </cell>
          <cell r="K11032" t="str">
            <v>Administration</v>
          </cell>
          <cell r="L11032" t="str">
            <v>Professional Service</v>
          </cell>
          <cell r="N11032" t="str">
            <v>SG&amp;A</v>
          </cell>
          <cell r="O11032" t="str">
            <v>[No Vendor]</v>
          </cell>
        </row>
        <row r="11033">
          <cell r="D11033">
            <v>-1.2</v>
          </cell>
          <cell r="H11033">
            <v>45901</v>
          </cell>
          <cell r="I11033" t="str">
            <v>6385 - Insurance</v>
          </cell>
          <cell r="J11033">
            <v>0</v>
          </cell>
          <cell r="K11033" t="str">
            <v>Administration</v>
          </cell>
          <cell r="L11033" t="str">
            <v>Professional Service</v>
          </cell>
          <cell r="N11033" t="str">
            <v>SG&amp;A</v>
          </cell>
          <cell r="O11033" t="str">
            <v>[No Vendor]</v>
          </cell>
        </row>
        <row r="11034">
          <cell r="D11034">
            <v>-39.71</v>
          </cell>
          <cell r="H11034">
            <v>45901</v>
          </cell>
          <cell r="I11034" t="str">
            <v>6385 - Insurance</v>
          </cell>
          <cell r="J11034">
            <v>0</v>
          </cell>
          <cell r="K11034" t="str">
            <v>Administration</v>
          </cell>
          <cell r="L11034" t="str">
            <v>Professional Service</v>
          </cell>
          <cell r="N11034" t="str">
            <v>SG&amp;A</v>
          </cell>
          <cell r="O11034" t="str">
            <v>[No Vendor]</v>
          </cell>
        </row>
        <row r="11035">
          <cell r="D11035">
            <v>-42.51</v>
          </cell>
          <cell r="H11035">
            <v>45901</v>
          </cell>
          <cell r="I11035" t="str">
            <v>6385 - Insurance</v>
          </cell>
          <cell r="J11035">
            <v>0</v>
          </cell>
          <cell r="K11035" t="str">
            <v>Administration</v>
          </cell>
          <cell r="L11035" t="str">
            <v>Professional Service</v>
          </cell>
          <cell r="N11035" t="str">
            <v>SG&amp;A</v>
          </cell>
          <cell r="O11035" t="str">
            <v>[No Vendor]</v>
          </cell>
        </row>
        <row r="11036">
          <cell r="D11036">
            <v>-14.18</v>
          </cell>
          <cell r="H11036">
            <v>45901</v>
          </cell>
          <cell r="I11036" t="str">
            <v>6385 - Insurance</v>
          </cell>
          <cell r="J11036">
            <v>0</v>
          </cell>
          <cell r="K11036" t="str">
            <v>Administration</v>
          </cell>
          <cell r="L11036" t="str">
            <v>Professional Service</v>
          </cell>
          <cell r="N11036" t="str">
            <v>SG&amp;A</v>
          </cell>
          <cell r="O11036" t="str">
            <v>[No Vendor]</v>
          </cell>
        </row>
        <row r="11037">
          <cell r="D11037">
            <v>-16.12</v>
          </cell>
          <cell r="H11037">
            <v>45901</v>
          </cell>
          <cell r="I11037" t="str">
            <v>6385 - Insurance</v>
          </cell>
          <cell r="J11037">
            <v>0</v>
          </cell>
          <cell r="K11037" t="str">
            <v>Administration</v>
          </cell>
          <cell r="L11037" t="str">
            <v>Professional Service</v>
          </cell>
          <cell r="N11037" t="str">
            <v>SG&amp;A</v>
          </cell>
          <cell r="O11037" t="str">
            <v>[No Vendor]</v>
          </cell>
        </row>
        <row r="11038">
          <cell r="D11038">
            <v>-53.38</v>
          </cell>
          <cell r="H11038">
            <v>45901</v>
          </cell>
          <cell r="I11038" t="str">
            <v>6385 - Insurance</v>
          </cell>
          <cell r="J11038">
            <v>0</v>
          </cell>
          <cell r="K11038" t="str">
            <v>Administration</v>
          </cell>
          <cell r="L11038" t="str">
            <v>Professional Service</v>
          </cell>
          <cell r="N11038" t="str">
            <v>SG&amp;A</v>
          </cell>
          <cell r="O11038" t="str">
            <v>[No Vendor]</v>
          </cell>
        </row>
        <row r="11039">
          <cell r="D11039">
            <v>-45.22</v>
          </cell>
          <cell r="H11039">
            <v>45901</v>
          </cell>
          <cell r="I11039" t="str">
            <v>6385 - Insurance</v>
          </cell>
          <cell r="J11039">
            <v>0</v>
          </cell>
          <cell r="K11039" t="str">
            <v>Administration</v>
          </cell>
          <cell r="L11039" t="str">
            <v>Professional Service</v>
          </cell>
          <cell r="N11039" t="str">
            <v>SG&amp;A</v>
          </cell>
          <cell r="O11039" t="str">
            <v>[No Vendor]</v>
          </cell>
        </row>
        <row r="11040">
          <cell r="D11040">
            <v>-53.38</v>
          </cell>
          <cell r="H11040">
            <v>45901</v>
          </cell>
          <cell r="I11040" t="str">
            <v>6385 - Insurance</v>
          </cell>
          <cell r="J11040">
            <v>0</v>
          </cell>
          <cell r="K11040" t="str">
            <v>Administration</v>
          </cell>
          <cell r="L11040" t="str">
            <v>Professional Service</v>
          </cell>
          <cell r="N11040" t="str">
            <v>SG&amp;A</v>
          </cell>
          <cell r="O11040" t="str">
            <v>[No Vendor]</v>
          </cell>
        </row>
        <row r="11041">
          <cell r="D11041">
            <v>-45.22</v>
          </cell>
          <cell r="H11041">
            <v>45901</v>
          </cell>
          <cell r="I11041" t="str">
            <v>6385 - Insurance</v>
          </cell>
          <cell r="J11041">
            <v>0</v>
          </cell>
          <cell r="K11041" t="str">
            <v>Administration</v>
          </cell>
          <cell r="L11041" t="str">
            <v>Professional Service</v>
          </cell>
          <cell r="N11041" t="str">
            <v>SG&amp;A</v>
          </cell>
          <cell r="O11041" t="str">
            <v>[No Vendor]</v>
          </cell>
        </row>
        <row r="11042">
          <cell r="D11042">
            <v>-76.53</v>
          </cell>
          <cell r="H11042">
            <v>45901</v>
          </cell>
          <cell r="I11042" t="str">
            <v>6385 - Insurance</v>
          </cell>
          <cell r="J11042">
            <v>0</v>
          </cell>
          <cell r="K11042" t="str">
            <v>Administration</v>
          </cell>
          <cell r="L11042" t="str">
            <v>Professional Service</v>
          </cell>
          <cell r="N11042" t="str">
            <v>SG&amp;A</v>
          </cell>
          <cell r="O11042" t="str">
            <v>[No Vendor]</v>
          </cell>
        </row>
        <row r="11043">
          <cell r="D11043">
            <v>-1.2</v>
          </cell>
          <cell r="H11043">
            <v>45901</v>
          </cell>
          <cell r="I11043" t="str">
            <v>6385 - Insurance</v>
          </cell>
          <cell r="J11043">
            <v>0</v>
          </cell>
          <cell r="K11043" t="str">
            <v>Administration</v>
          </cell>
          <cell r="L11043" t="str">
            <v>Professional Service</v>
          </cell>
          <cell r="N11043" t="str">
            <v>SG&amp;A</v>
          </cell>
          <cell r="O11043" t="str">
            <v>[No Vendor]</v>
          </cell>
        </row>
        <row r="11044">
          <cell r="D11044">
            <v>-14.18</v>
          </cell>
          <cell r="H11044">
            <v>45901</v>
          </cell>
          <cell r="I11044" t="str">
            <v>6385 - Insurance</v>
          </cell>
          <cell r="J11044">
            <v>0</v>
          </cell>
          <cell r="K11044" t="str">
            <v>Administration</v>
          </cell>
          <cell r="L11044" t="str">
            <v>Professional Service</v>
          </cell>
          <cell r="N11044" t="str">
            <v>SG&amp;A</v>
          </cell>
          <cell r="O11044" t="str">
            <v>[No Vendor]</v>
          </cell>
        </row>
        <row r="11045">
          <cell r="D11045">
            <v>-16.12</v>
          </cell>
          <cell r="H11045">
            <v>45901</v>
          </cell>
          <cell r="I11045" t="str">
            <v>6385 - Insurance</v>
          </cell>
          <cell r="J11045">
            <v>0</v>
          </cell>
          <cell r="K11045" t="str">
            <v>Administration</v>
          </cell>
          <cell r="L11045" t="str">
            <v>Professional Service</v>
          </cell>
          <cell r="N11045" t="str">
            <v>SG&amp;A</v>
          </cell>
          <cell r="O11045" t="str">
            <v>[No Vendor]</v>
          </cell>
        </row>
        <row r="11046">
          <cell r="D11046">
            <v>-39.71</v>
          </cell>
          <cell r="H11046">
            <v>45901</v>
          </cell>
          <cell r="I11046" t="str">
            <v>6385 - Insurance</v>
          </cell>
          <cell r="J11046">
            <v>0</v>
          </cell>
          <cell r="K11046" t="str">
            <v>Administration</v>
          </cell>
          <cell r="L11046" t="str">
            <v>Professional Service</v>
          </cell>
          <cell r="N11046" t="str">
            <v>SG&amp;A</v>
          </cell>
          <cell r="O11046" t="str">
            <v>[No Vendor]</v>
          </cell>
        </row>
        <row r="11047">
          <cell r="D11047">
            <v>-31.03</v>
          </cell>
          <cell r="H11047">
            <v>45901</v>
          </cell>
          <cell r="I11047" t="str">
            <v>6385 - Insurance</v>
          </cell>
          <cell r="J11047">
            <v>0</v>
          </cell>
          <cell r="K11047" t="str">
            <v>Administration</v>
          </cell>
          <cell r="L11047" t="str">
            <v>Professional Service</v>
          </cell>
          <cell r="N11047" t="str">
            <v>SG&amp;A</v>
          </cell>
          <cell r="O11047" t="str">
            <v>[No Vendor]</v>
          </cell>
        </row>
        <row r="11048">
          <cell r="D11048">
            <v>6994.37</v>
          </cell>
          <cell r="H11048">
            <v>45901</v>
          </cell>
          <cell r="I11048" t="str">
            <v>6385 - Insurance</v>
          </cell>
          <cell r="J11048">
            <v>0</v>
          </cell>
          <cell r="K11048" t="str">
            <v>Administration</v>
          </cell>
          <cell r="L11048" t="str">
            <v>Professional Service</v>
          </cell>
          <cell r="N11048" t="str">
            <v>SG&amp;A</v>
          </cell>
          <cell r="O11048" t="str">
            <v>Standard Security Life Insurance Company of New York</v>
          </cell>
        </row>
        <row r="11049">
          <cell r="D11049">
            <v>1062.5</v>
          </cell>
          <cell r="H11049">
            <v>45901</v>
          </cell>
          <cell r="I11049" t="str">
            <v>6385 - Insurance</v>
          </cell>
          <cell r="J11049">
            <v>0</v>
          </cell>
          <cell r="K11049" t="str">
            <v>Administration</v>
          </cell>
          <cell r="L11049" t="str">
            <v>Professional Service</v>
          </cell>
          <cell r="N11049" t="str">
            <v>SG&amp;A</v>
          </cell>
          <cell r="O11049" t="str">
            <v>[No Vendor]</v>
          </cell>
        </row>
        <row r="11050">
          <cell r="D11050">
            <v>428.3</v>
          </cell>
          <cell r="H11050">
            <v>45901</v>
          </cell>
          <cell r="I11050" t="str">
            <v>6385 - Insurance</v>
          </cell>
          <cell r="J11050">
            <v>0</v>
          </cell>
          <cell r="K11050" t="str">
            <v>Administration</v>
          </cell>
          <cell r="L11050" t="str">
            <v>Professional Service</v>
          </cell>
          <cell r="N11050" t="str">
            <v>SG&amp;A</v>
          </cell>
          <cell r="O11050" t="str">
            <v>Travelers CL Remittance Center</v>
          </cell>
        </row>
        <row r="11051">
          <cell r="D11051">
            <v>-47.65</v>
          </cell>
          <cell r="H11051">
            <v>45901</v>
          </cell>
          <cell r="I11051" t="str">
            <v>6385 - Insurance</v>
          </cell>
          <cell r="J11051">
            <v>0</v>
          </cell>
          <cell r="K11051" t="str">
            <v>Administration</v>
          </cell>
          <cell r="L11051" t="str">
            <v>Professional Service</v>
          </cell>
          <cell r="N11051" t="str">
            <v>SG&amp;A</v>
          </cell>
          <cell r="O11051" t="str">
            <v>[No Vendor]</v>
          </cell>
        </row>
        <row r="11052">
          <cell r="D11052">
            <v>-37.24</v>
          </cell>
          <cell r="H11052">
            <v>45901</v>
          </cell>
          <cell r="I11052" t="str">
            <v>6385 - Insurance</v>
          </cell>
          <cell r="J11052">
            <v>0</v>
          </cell>
          <cell r="K11052" t="str">
            <v>Administration</v>
          </cell>
          <cell r="L11052" t="str">
            <v>Professional Service</v>
          </cell>
          <cell r="N11052" t="str">
            <v>SG&amp;A</v>
          </cell>
          <cell r="O11052" t="str">
            <v>[No Vendor]</v>
          </cell>
        </row>
        <row r="11053">
          <cell r="D11053">
            <v>-17.010000000000002</v>
          </cell>
          <cell r="H11053">
            <v>45901</v>
          </cell>
          <cell r="I11053" t="str">
            <v>6385 - Insurance</v>
          </cell>
          <cell r="J11053">
            <v>0</v>
          </cell>
          <cell r="K11053" t="str">
            <v>Administration</v>
          </cell>
          <cell r="L11053" t="str">
            <v>Professional Service</v>
          </cell>
          <cell r="N11053" t="str">
            <v>SG&amp;A</v>
          </cell>
          <cell r="O11053" t="str">
            <v>[No Vendor]</v>
          </cell>
        </row>
        <row r="11054">
          <cell r="D11054">
            <v>-19.350000000000001</v>
          </cell>
          <cell r="H11054">
            <v>45901</v>
          </cell>
          <cell r="I11054" t="str">
            <v>6385 - Insurance</v>
          </cell>
          <cell r="J11054">
            <v>0</v>
          </cell>
          <cell r="K11054" t="str">
            <v>Administration</v>
          </cell>
          <cell r="L11054" t="str">
            <v>Professional Service</v>
          </cell>
          <cell r="N11054" t="str">
            <v>SG&amp;A</v>
          </cell>
          <cell r="O11054" t="str">
            <v>[No Vendor]</v>
          </cell>
        </row>
        <row r="11055">
          <cell r="D11055">
            <v>-32.58</v>
          </cell>
          <cell r="H11055">
            <v>45901</v>
          </cell>
          <cell r="I11055" t="str">
            <v>6385 - Insurance</v>
          </cell>
          <cell r="J11055">
            <v>0</v>
          </cell>
          <cell r="K11055" t="str">
            <v>Administration</v>
          </cell>
          <cell r="L11055" t="str">
            <v>Professional Service</v>
          </cell>
          <cell r="N11055" t="str">
            <v>SG&amp;A</v>
          </cell>
          <cell r="O11055" t="str">
            <v>[No Vendor]</v>
          </cell>
        </row>
        <row r="11056">
          <cell r="D11056">
            <v>-1.44</v>
          </cell>
          <cell r="H11056">
            <v>45901</v>
          </cell>
          <cell r="I11056" t="str">
            <v>6385 - Insurance</v>
          </cell>
          <cell r="J11056">
            <v>0</v>
          </cell>
          <cell r="K11056" t="str">
            <v>Administration</v>
          </cell>
          <cell r="L11056" t="str">
            <v>Professional Service</v>
          </cell>
          <cell r="N11056" t="str">
            <v>SG&amp;A</v>
          </cell>
          <cell r="O11056" t="str">
            <v>[No Vendor]</v>
          </cell>
        </row>
        <row r="11057">
          <cell r="D11057">
            <v>-64.05</v>
          </cell>
          <cell r="H11057">
            <v>45901</v>
          </cell>
          <cell r="I11057" t="str">
            <v>6385 - Insurance</v>
          </cell>
          <cell r="J11057">
            <v>0</v>
          </cell>
          <cell r="K11057" t="str">
            <v>Administration</v>
          </cell>
          <cell r="L11057" t="str">
            <v>Professional Service</v>
          </cell>
          <cell r="N11057" t="str">
            <v>SG&amp;A</v>
          </cell>
          <cell r="O11057" t="str">
            <v>[No Vendor]</v>
          </cell>
        </row>
        <row r="11058">
          <cell r="D11058">
            <v>-54.27</v>
          </cell>
          <cell r="H11058">
            <v>45901</v>
          </cell>
          <cell r="I11058" t="str">
            <v>6385 - Insurance</v>
          </cell>
          <cell r="J11058">
            <v>0</v>
          </cell>
          <cell r="K11058" t="str">
            <v>Administration</v>
          </cell>
          <cell r="L11058" t="str">
            <v>Professional Service</v>
          </cell>
          <cell r="N11058" t="str">
            <v>SG&amp;A</v>
          </cell>
          <cell r="O11058" t="str">
            <v>[No Vendor]</v>
          </cell>
        </row>
        <row r="11059">
          <cell r="D11059">
            <v>424.64</v>
          </cell>
          <cell r="H11059">
            <v>45901</v>
          </cell>
          <cell r="I11059" t="str">
            <v>6393 - Software</v>
          </cell>
          <cell r="J11059" t="str">
            <v>Ecommerce (US)</v>
          </cell>
          <cell r="K11059" t="str">
            <v>Ecommerce</v>
          </cell>
          <cell r="L11059" t="str">
            <v>Professional Service</v>
          </cell>
          <cell r="N11059" t="str">
            <v>Direct Costs</v>
          </cell>
          <cell r="O11059" t="str">
            <v>Attentive Mobile Inc.</v>
          </cell>
        </row>
        <row r="11060">
          <cell r="D11060">
            <v>2</v>
          </cell>
          <cell r="H11060">
            <v>45901</v>
          </cell>
          <cell r="I11060" t="str">
            <v>6393 - Software</v>
          </cell>
          <cell r="J11060" t="str">
            <v>Ecommerce (US)</v>
          </cell>
          <cell r="K11060" t="str">
            <v>Ecommerce</v>
          </cell>
          <cell r="L11060" t="str">
            <v>Professional Service</v>
          </cell>
          <cell r="N11060" t="str">
            <v>Direct Costs</v>
          </cell>
          <cell r="O11060" t="str">
            <v>Attentive Mobile Inc.</v>
          </cell>
        </row>
        <row r="11061">
          <cell r="D11061">
            <v>547.49</v>
          </cell>
          <cell r="H11061">
            <v>45901</v>
          </cell>
          <cell r="I11061" t="str">
            <v>6393 - Software</v>
          </cell>
          <cell r="J11061" t="str">
            <v>Ecommerce (US)</v>
          </cell>
          <cell r="K11061" t="str">
            <v>Ecommerce</v>
          </cell>
          <cell r="L11061" t="str">
            <v>Professional Service</v>
          </cell>
          <cell r="N11061" t="str">
            <v>Direct Costs</v>
          </cell>
          <cell r="O11061" t="str">
            <v>Attentive Mobile Inc.</v>
          </cell>
        </row>
        <row r="11062">
          <cell r="D11062">
            <v>0.85</v>
          </cell>
          <cell r="H11062">
            <v>45901</v>
          </cell>
          <cell r="I11062" t="str">
            <v>6393 - Software</v>
          </cell>
          <cell r="J11062" t="str">
            <v>Ecommerce (US)</v>
          </cell>
          <cell r="K11062" t="str">
            <v>Ecommerce</v>
          </cell>
          <cell r="L11062" t="str">
            <v>Professional Service</v>
          </cell>
          <cell r="N11062" t="str">
            <v>Direct Costs</v>
          </cell>
          <cell r="O11062" t="str">
            <v>Attentive Mobile Inc.</v>
          </cell>
        </row>
        <row r="11063">
          <cell r="D11063">
            <v>296.63</v>
          </cell>
          <cell r="H11063">
            <v>45901</v>
          </cell>
          <cell r="I11063" t="str">
            <v>6393 - Software</v>
          </cell>
          <cell r="J11063" t="str">
            <v>Ecommerce (US)</v>
          </cell>
          <cell r="K11063" t="str">
            <v>Ecommerce</v>
          </cell>
          <cell r="L11063" t="str">
            <v>Professional Service</v>
          </cell>
          <cell r="N11063" t="str">
            <v>Direct Costs</v>
          </cell>
          <cell r="O11063" t="str">
            <v>Attentive Mobile Inc.</v>
          </cell>
        </row>
        <row r="11064">
          <cell r="D11064">
            <v>3878.55</v>
          </cell>
          <cell r="H11064">
            <v>45901</v>
          </cell>
          <cell r="I11064" t="str">
            <v>6393 - Software</v>
          </cell>
          <cell r="J11064" t="str">
            <v>Ecommerce (US)</v>
          </cell>
          <cell r="K11064" t="str">
            <v>Ecommerce</v>
          </cell>
          <cell r="L11064" t="str">
            <v>Professional Service</v>
          </cell>
          <cell r="N11064" t="str">
            <v>Direct Costs</v>
          </cell>
          <cell r="O11064" t="str">
            <v>Attentive Mobile Inc.</v>
          </cell>
        </row>
        <row r="11065">
          <cell r="D11065">
            <v>92.7</v>
          </cell>
          <cell r="H11065">
            <v>45901</v>
          </cell>
          <cell r="I11065" t="str">
            <v>6393 - Software</v>
          </cell>
          <cell r="J11065" t="str">
            <v>Ecommerce (US)</v>
          </cell>
          <cell r="K11065" t="str">
            <v>Ecommerce</v>
          </cell>
          <cell r="L11065" t="str">
            <v>Professional Service</v>
          </cell>
          <cell r="N11065" t="str">
            <v>Direct Costs</v>
          </cell>
          <cell r="O11065" t="str">
            <v>Attentive Mobile Inc.</v>
          </cell>
        </row>
        <row r="11066">
          <cell r="D11066">
            <v>204.47</v>
          </cell>
          <cell r="H11066">
            <v>45901</v>
          </cell>
          <cell r="I11066" t="str">
            <v>6393 - Software</v>
          </cell>
          <cell r="J11066" t="str">
            <v>Ecommerce (US)</v>
          </cell>
          <cell r="K11066" t="str">
            <v>Ecommerce</v>
          </cell>
          <cell r="L11066" t="str">
            <v>Professional Service</v>
          </cell>
          <cell r="N11066" t="str">
            <v>Direct Costs</v>
          </cell>
          <cell r="O11066" t="str">
            <v>Attentive Mobile Inc.</v>
          </cell>
        </row>
        <row r="11067">
          <cell r="D11067">
            <v>999</v>
          </cell>
          <cell r="H11067">
            <v>45901</v>
          </cell>
          <cell r="I11067" t="str">
            <v>6393 - Software</v>
          </cell>
          <cell r="J11067" t="str">
            <v>Ecommerce (US)</v>
          </cell>
          <cell r="K11067" t="str">
            <v>Ecommerce</v>
          </cell>
          <cell r="L11067" t="str">
            <v>Professional Service</v>
          </cell>
          <cell r="N11067" t="str">
            <v>Direct Costs</v>
          </cell>
          <cell r="O11067" t="str">
            <v>Attentive Mobile Inc.</v>
          </cell>
        </row>
        <row r="11068">
          <cell r="D11068">
            <v>10000</v>
          </cell>
          <cell r="H11068">
            <v>45901</v>
          </cell>
          <cell r="I11068" t="str">
            <v>6393 - Software</v>
          </cell>
          <cell r="J11068" t="str">
            <v>Ecommerce (US)</v>
          </cell>
          <cell r="K11068" t="str">
            <v>Ecommerce</v>
          </cell>
          <cell r="L11068" t="str">
            <v>Professional Service</v>
          </cell>
          <cell r="N11068" t="str">
            <v>SG&amp;A</v>
          </cell>
          <cell r="O11068" t="str">
            <v>P3 Digital LLC</v>
          </cell>
        </row>
        <row r="11069">
          <cell r="D11069">
            <v>-5242.8500000000004</v>
          </cell>
          <cell r="H11069">
            <v>45901</v>
          </cell>
          <cell r="I11069" t="str">
            <v>6393 - Software</v>
          </cell>
          <cell r="J11069" t="str">
            <v>Ecommerce (US)</v>
          </cell>
          <cell r="K11069" t="str">
            <v>Ecommerce</v>
          </cell>
          <cell r="L11069" t="str">
            <v>Professional Service</v>
          </cell>
          <cell r="N11069" t="str">
            <v>Direct Costs</v>
          </cell>
          <cell r="O11069" t="str">
            <v>Attentive Mobile Inc.</v>
          </cell>
        </row>
        <row r="11070">
          <cell r="D11070">
            <v>76.27</v>
          </cell>
          <cell r="H11070">
            <v>45901</v>
          </cell>
          <cell r="I11070" t="str">
            <v>6393 - Software</v>
          </cell>
          <cell r="J11070">
            <v>0</v>
          </cell>
          <cell r="K11070" t="str">
            <v>Administration</v>
          </cell>
          <cell r="L11070" t="str">
            <v>Professional Service</v>
          </cell>
          <cell r="N11070" t="str">
            <v>Direct Costs</v>
          </cell>
          <cell r="O11070" t="str">
            <v>QBO</v>
          </cell>
        </row>
        <row r="11071">
          <cell r="D11071">
            <v>240.07</v>
          </cell>
          <cell r="H11071">
            <v>45901</v>
          </cell>
          <cell r="I11071" t="str">
            <v>6393 - Software</v>
          </cell>
          <cell r="J11071" t="str">
            <v>Wholesale</v>
          </cell>
          <cell r="K11071" t="str">
            <v>Wholesale</v>
          </cell>
          <cell r="L11071" t="str">
            <v>Professional Service</v>
          </cell>
          <cell r="N11071" t="str">
            <v>Direct Costs</v>
          </cell>
          <cell r="O11071" t="str">
            <v>Open Text</v>
          </cell>
        </row>
        <row r="11072">
          <cell r="D11072">
            <v>50</v>
          </cell>
          <cell r="H11072">
            <v>45901</v>
          </cell>
          <cell r="I11072" t="str">
            <v>6393 - Software</v>
          </cell>
          <cell r="J11072" t="str">
            <v>Wholesale</v>
          </cell>
          <cell r="K11072" t="str">
            <v>Wholesale</v>
          </cell>
          <cell r="L11072" t="str">
            <v>Professional Service</v>
          </cell>
          <cell r="N11072" t="str">
            <v>Direct Costs</v>
          </cell>
          <cell r="O11072" t="str">
            <v>Authorize.net</v>
          </cell>
        </row>
        <row r="11073">
          <cell r="D11073">
            <v>22.44</v>
          </cell>
          <cell r="H11073">
            <v>45901</v>
          </cell>
          <cell r="I11073" t="str">
            <v>6393 - Software</v>
          </cell>
          <cell r="J11073" t="str">
            <v>Ecommerce (US)</v>
          </cell>
          <cell r="K11073" t="str">
            <v>Ecommerce</v>
          </cell>
          <cell r="L11073" t="str">
            <v>Professional Service</v>
          </cell>
          <cell r="N11073" t="str">
            <v>Direct Costs</v>
          </cell>
          <cell r="O11073" t="str">
            <v>Google Cloud</v>
          </cell>
        </row>
        <row r="11074">
          <cell r="D11074">
            <v>7.89</v>
          </cell>
          <cell r="H11074">
            <v>45901</v>
          </cell>
          <cell r="I11074" t="str">
            <v>6393 - Software</v>
          </cell>
          <cell r="J11074" t="str">
            <v>Ecommerce (US)</v>
          </cell>
          <cell r="K11074" t="str">
            <v>Ecommerce</v>
          </cell>
          <cell r="L11074" t="str">
            <v>Professional Service</v>
          </cell>
          <cell r="N11074" t="str">
            <v>Direct Costs</v>
          </cell>
          <cell r="O11074" t="str">
            <v>Slack</v>
          </cell>
        </row>
        <row r="11075">
          <cell r="D11075">
            <v>5746.19</v>
          </cell>
          <cell r="H11075">
            <v>45901</v>
          </cell>
          <cell r="I11075" t="str">
            <v>6393 - Software</v>
          </cell>
          <cell r="J11075" t="str">
            <v>Ecommerce (US)</v>
          </cell>
          <cell r="K11075" t="str">
            <v>Ecommerce</v>
          </cell>
          <cell r="L11075" t="str">
            <v>Professional Service</v>
          </cell>
          <cell r="N11075" t="str">
            <v>Direct Costs</v>
          </cell>
          <cell r="O11075" t="str">
            <v>Shopify</v>
          </cell>
        </row>
        <row r="11076">
          <cell r="D11076">
            <v>6945.42</v>
          </cell>
          <cell r="H11076">
            <v>45901</v>
          </cell>
          <cell r="I11076" t="str">
            <v>6393 - Software</v>
          </cell>
          <cell r="J11076" t="str">
            <v>Ecommerce (US)</v>
          </cell>
          <cell r="K11076" t="str">
            <v>Ecommerce</v>
          </cell>
          <cell r="L11076" t="str">
            <v>Professional Service</v>
          </cell>
          <cell r="N11076" t="str">
            <v>Direct Costs</v>
          </cell>
          <cell r="O11076" t="str">
            <v>Shopify</v>
          </cell>
        </row>
        <row r="11077">
          <cell r="D11077">
            <v>598</v>
          </cell>
          <cell r="H11077">
            <v>45901</v>
          </cell>
          <cell r="I11077" t="str">
            <v>6393 - Software</v>
          </cell>
          <cell r="J11077" t="str">
            <v>Ecommerce (US)</v>
          </cell>
          <cell r="K11077" t="str">
            <v>Ecommerce</v>
          </cell>
          <cell r="L11077" t="str">
            <v>Professional Service</v>
          </cell>
          <cell r="N11077" t="str">
            <v>Direct Costs</v>
          </cell>
          <cell r="O11077" t="str">
            <v>GoDataFeed</v>
          </cell>
        </row>
        <row r="11078">
          <cell r="D11078">
            <v>14.71</v>
          </cell>
          <cell r="H11078">
            <v>45901</v>
          </cell>
          <cell r="I11078" t="str">
            <v>6393 - Software</v>
          </cell>
          <cell r="J11078" t="str">
            <v>Ecommerce (US)</v>
          </cell>
          <cell r="K11078" t="str">
            <v>Ecommerce</v>
          </cell>
          <cell r="L11078" t="str">
            <v>Professional Service</v>
          </cell>
          <cell r="N11078" t="str">
            <v>Direct Costs</v>
          </cell>
          <cell r="O11078" t="str">
            <v>Amazon</v>
          </cell>
        </row>
        <row r="11079">
          <cell r="D11079">
            <v>9.7799999999999994</v>
          </cell>
          <cell r="H11079">
            <v>45901</v>
          </cell>
          <cell r="I11079" t="str">
            <v>6393 - Software</v>
          </cell>
          <cell r="J11079" t="str">
            <v>Ecommerce (US)</v>
          </cell>
          <cell r="K11079" t="str">
            <v>Ecommerce</v>
          </cell>
          <cell r="L11079" t="str">
            <v>Professional Service</v>
          </cell>
          <cell r="N11079" t="str">
            <v>Direct Costs</v>
          </cell>
          <cell r="O11079" t="str">
            <v>Amazon</v>
          </cell>
        </row>
        <row r="11080">
          <cell r="D11080">
            <v>3249.92</v>
          </cell>
          <cell r="H11080">
            <v>45901</v>
          </cell>
          <cell r="I11080" t="str">
            <v>6393 - Software</v>
          </cell>
          <cell r="J11080" t="str">
            <v>Ecommerce (US)</v>
          </cell>
          <cell r="K11080" t="str">
            <v>Ecommerce</v>
          </cell>
          <cell r="L11080" t="str">
            <v>Professional Service</v>
          </cell>
          <cell r="N11080" t="str">
            <v>Direct Costs</v>
          </cell>
          <cell r="O11080" t="str">
            <v>Klaviyo</v>
          </cell>
        </row>
        <row r="11081">
          <cell r="D11081">
            <v>159</v>
          </cell>
          <cell r="H11081">
            <v>45901</v>
          </cell>
          <cell r="I11081" t="str">
            <v>6393 - Software</v>
          </cell>
          <cell r="J11081" t="str">
            <v>Ecommerce (US)</v>
          </cell>
          <cell r="K11081" t="str">
            <v>Ecommerce</v>
          </cell>
          <cell r="L11081" t="str">
            <v>Professional Service</v>
          </cell>
          <cell r="N11081" t="str">
            <v>Direct Costs</v>
          </cell>
          <cell r="O11081" t="str">
            <v>Integration Manager</v>
          </cell>
        </row>
        <row r="11082">
          <cell r="D11082">
            <v>1012.54</v>
          </cell>
          <cell r="H11082">
            <v>45901</v>
          </cell>
          <cell r="I11082" t="str">
            <v>6393 - Software</v>
          </cell>
          <cell r="J11082" t="str">
            <v>Ecommerce (US)</v>
          </cell>
          <cell r="K11082" t="str">
            <v>Ecommerce</v>
          </cell>
          <cell r="L11082" t="str">
            <v>Professional Service</v>
          </cell>
          <cell r="N11082" t="str">
            <v>Direct Costs</v>
          </cell>
          <cell r="O11082" t="str">
            <v>Klaviyo</v>
          </cell>
        </row>
        <row r="11083">
          <cell r="D11083">
            <v>6927.6</v>
          </cell>
          <cell r="H11083">
            <v>45901</v>
          </cell>
          <cell r="I11083" t="str">
            <v>6393 - Software</v>
          </cell>
          <cell r="J11083" t="str">
            <v>Ecommerce (US)</v>
          </cell>
          <cell r="K11083" t="str">
            <v>Ecommerce</v>
          </cell>
          <cell r="L11083" t="str">
            <v>Professional Service</v>
          </cell>
          <cell r="N11083" t="str">
            <v>Direct Costs</v>
          </cell>
          <cell r="O11083" t="str">
            <v>Signifyd</v>
          </cell>
        </row>
        <row r="11084">
          <cell r="D11084">
            <v>1695.84</v>
          </cell>
          <cell r="H11084">
            <v>45901</v>
          </cell>
          <cell r="I11084" t="str">
            <v>6393 - Software</v>
          </cell>
          <cell r="J11084" t="str">
            <v>Ecommerce (US)</v>
          </cell>
          <cell r="K11084" t="str">
            <v>Ecommerce</v>
          </cell>
          <cell r="L11084" t="str">
            <v>Professional Service</v>
          </cell>
          <cell r="N11084" t="str">
            <v>Direct Costs</v>
          </cell>
          <cell r="O11084" t="str">
            <v>GORGIAS INC</v>
          </cell>
        </row>
        <row r="11085">
          <cell r="D11085">
            <v>1494</v>
          </cell>
          <cell r="H11085">
            <v>45901</v>
          </cell>
          <cell r="I11085" t="str">
            <v>6393 - Software</v>
          </cell>
          <cell r="J11085">
            <v>0</v>
          </cell>
          <cell r="K11085" t="str">
            <v>Design</v>
          </cell>
          <cell r="L11085" t="str">
            <v>Professional Service</v>
          </cell>
          <cell r="N11085" t="str">
            <v>Direct Costs</v>
          </cell>
          <cell r="O11085" t="str">
            <v>Backbone</v>
          </cell>
        </row>
        <row r="11086">
          <cell r="D11086">
            <v>543.5</v>
          </cell>
          <cell r="H11086">
            <v>45901</v>
          </cell>
          <cell r="I11086" t="str">
            <v>6393 - Software</v>
          </cell>
          <cell r="J11086">
            <v>0</v>
          </cell>
          <cell r="K11086" t="str">
            <v>Administration</v>
          </cell>
          <cell r="L11086" t="str">
            <v>Professional Service</v>
          </cell>
          <cell r="N11086" t="str">
            <v>Direct Costs</v>
          </cell>
          <cell r="O11086" t="str">
            <v>Concur Technologies, Inc.</v>
          </cell>
        </row>
        <row r="11087">
          <cell r="D11087">
            <v>1779.84</v>
          </cell>
          <cell r="H11087">
            <v>45901</v>
          </cell>
          <cell r="I11087" t="str">
            <v>6393 - Software</v>
          </cell>
          <cell r="J11087">
            <v>0</v>
          </cell>
          <cell r="K11087" t="str">
            <v>Administration</v>
          </cell>
          <cell r="L11087" t="str">
            <v>Professional Service</v>
          </cell>
          <cell r="N11087" t="str">
            <v>Direct Costs</v>
          </cell>
          <cell r="O11087" t="str">
            <v>Adobe, Inc.</v>
          </cell>
        </row>
        <row r="11088">
          <cell r="D11088">
            <v>-109.5</v>
          </cell>
          <cell r="H11088">
            <v>45901</v>
          </cell>
          <cell r="I11088" t="str">
            <v>6393 - Software</v>
          </cell>
          <cell r="J11088" t="str">
            <v>Wholesale</v>
          </cell>
          <cell r="K11088" t="str">
            <v>Wholesale</v>
          </cell>
          <cell r="L11088" t="str">
            <v>Professional Service</v>
          </cell>
          <cell r="N11088" t="str">
            <v>Direct Costs</v>
          </cell>
          <cell r="O11088" t="str">
            <v>SPS Commerce</v>
          </cell>
        </row>
        <row r="11089">
          <cell r="D11089">
            <v>109.5</v>
          </cell>
          <cell r="H11089">
            <v>45901</v>
          </cell>
          <cell r="I11089" t="str">
            <v>6393 - Software</v>
          </cell>
          <cell r="J11089" t="str">
            <v>Wholesale</v>
          </cell>
          <cell r="K11089" t="str">
            <v>Wholesale</v>
          </cell>
          <cell r="L11089" t="str">
            <v>Professional Service</v>
          </cell>
          <cell r="N11089" t="str">
            <v>Direct Costs</v>
          </cell>
          <cell r="O11089" t="str">
            <v>SPS Commerce</v>
          </cell>
        </row>
        <row r="11090">
          <cell r="D11090">
            <v>146</v>
          </cell>
          <cell r="H11090">
            <v>45901</v>
          </cell>
          <cell r="I11090" t="str">
            <v>6393 - Software</v>
          </cell>
          <cell r="J11090" t="str">
            <v>Wholesale</v>
          </cell>
          <cell r="K11090" t="str">
            <v>Wholesale</v>
          </cell>
          <cell r="L11090" t="str">
            <v>Professional Service</v>
          </cell>
          <cell r="N11090" t="str">
            <v>Direct Costs</v>
          </cell>
          <cell r="O11090" t="str">
            <v>SPS Commerce</v>
          </cell>
        </row>
        <row r="11091">
          <cell r="D11091">
            <v>108.86</v>
          </cell>
          <cell r="H11091">
            <v>45901</v>
          </cell>
          <cell r="I11091" t="str">
            <v>6393 - Software</v>
          </cell>
          <cell r="J11091">
            <v>0</v>
          </cell>
          <cell r="K11091" t="str">
            <v>Executive</v>
          </cell>
          <cell r="L11091" t="str">
            <v>Professional Service</v>
          </cell>
          <cell r="N11091" t="str">
            <v>Direct Costs</v>
          </cell>
          <cell r="O11091" t="str">
            <v>Linkedin</v>
          </cell>
        </row>
        <row r="11092">
          <cell r="D11092">
            <v>21.78</v>
          </cell>
          <cell r="H11092">
            <v>45901</v>
          </cell>
          <cell r="I11092" t="str">
            <v>6393 - Software</v>
          </cell>
          <cell r="J11092">
            <v>0</v>
          </cell>
          <cell r="K11092" t="str">
            <v>Executive</v>
          </cell>
          <cell r="L11092" t="str">
            <v>Professional Service</v>
          </cell>
          <cell r="N11092" t="str">
            <v>Direct Costs</v>
          </cell>
          <cell r="O11092" t="str">
            <v>Chat GPT</v>
          </cell>
        </row>
        <row r="11093">
          <cell r="D11093">
            <v>0</v>
          </cell>
          <cell r="H11093">
            <v>45901</v>
          </cell>
          <cell r="I11093" t="str">
            <v>6393 - Software</v>
          </cell>
          <cell r="J11093" t="str">
            <v>Wholesale</v>
          </cell>
          <cell r="K11093" t="str">
            <v>Wholesale</v>
          </cell>
          <cell r="L11093" t="str">
            <v>Professional Service</v>
          </cell>
          <cell r="N11093" t="str">
            <v>Direct Costs</v>
          </cell>
          <cell r="O11093" t="str">
            <v>SPS Commerce</v>
          </cell>
        </row>
        <row r="11094">
          <cell r="D11094">
            <v>0</v>
          </cell>
          <cell r="H11094">
            <v>45901</v>
          </cell>
          <cell r="I11094" t="str">
            <v>6393 - Software</v>
          </cell>
          <cell r="J11094" t="str">
            <v>Wholesale</v>
          </cell>
          <cell r="K11094" t="str">
            <v>Wholesale</v>
          </cell>
          <cell r="L11094" t="str">
            <v>Professional Service</v>
          </cell>
          <cell r="N11094" t="str">
            <v>Direct Costs</v>
          </cell>
          <cell r="O11094" t="str">
            <v>SPS Commerce</v>
          </cell>
        </row>
        <row r="11095">
          <cell r="D11095">
            <v>88</v>
          </cell>
          <cell r="H11095">
            <v>45901</v>
          </cell>
          <cell r="I11095" t="str">
            <v>6393 - Software</v>
          </cell>
          <cell r="J11095" t="str">
            <v>Wholesale</v>
          </cell>
          <cell r="K11095" t="str">
            <v>Wholesale</v>
          </cell>
          <cell r="L11095" t="str">
            <v>Professional Service</v>
          </cell>
          <cell r="N11095" t="str">
            <v>Direct Costs</v>
          </cell>
          <cell r="O11095" t="str">
            <v>SPS Commerce</v>
          </cell>
        </row>
        <row r="11096">
          <cell r="D11096">
            <v>1.57</v>
          </cell>
          <cell r="H11096">
            <v>45901</v>
          </cell>
          <cell r="I11096" t="str">
            <v>6393 - Software</v>
          </cell>
          <cell r="J11096" t="str">
            <v>Ecommerce (US)</v>
          </cell>
          <cell r="K11096" t="str">
            <v>Ecommerce</v>
          </cell>
          <cell r="L11096" t="str">
            <v>Professional Service</v>
          </cell>
          <cell r="N11096" t="str">
            <v>Direct Costs</v>
          </cell>
          <cell r="O11096" t="str">
            <v>Attentive Mobile Inc.</v>
          </cell>
        </row>
        <row r="11097">
          <cell r="D11097">
            <v>317.02999999999997</v>
          </cell>
          <cell r="H11097">
            <v>45901</v>
          </cell>
          <cell r="I11097" t="str">
            <v>6393 - Software</v>
          </cell>
          <cell r="J11097" t="str">
            <v>Ecommerce (US)</v>
          </cell>
          <cell r="K11097" t="str">
            <v>Ecommerce</v>
          </cell>
          <cell r="L11097" t="str">
            <v>Professional Service</v>
          </cell>
          <cell r="N11097" t="str">
            <v>Direct Costs</v>
          </cell>
          <cell r="O11097" t="str">
            <v>Attentive Mobile Inc.</v>
          </cell>
        </row>
        <row r="11098">
          <cell r="D11098">
            <v>3.84</v>
          </cell>
          <cell r="H11098">
            <v>45901</v>
          </cell>
          <cell r="I11098" t="str">
            <v>6393 - Software</v>
          </cell>
          <cell r="J11098" t="str">
            <v>Ecommerce (US)</v>
          </cell>
          <cell r="K11098" t="str">
            <v>Ecommerce</v>
          </cell>
          <cell r="L11098" t="str">
            <v>Professional Service</v>
          </cell>
          <cell r="N11098" t="str">
            <v>Direct Costs</v>
          </cell>
          <cell r="O11098" t="str">
            <v>Attentive Mobile Inc.</v>
          </cell>
        </row>
        <row r="11099">
          <cell r="D11099">
            <v>819.08</v>
          </cell>
          <cell r="H11099">
            <v>45901</v>
          </cell>
          <cell r="I11099" t="str">
            <v>6393 - Software</v>
          </cell>
          <cell r="J11099" t="str">
            <v>Ecommerce (US)</v>
          </cell>
          <cell r="K11099" t="str">
            <v>Ecommerce</v>
          </cell>
          <cell r="L11099" t="str">
            <v>Professional Service</v>
          </cell>
          <cell r="N11099" t="str">
            <v>Direct Costs</v>
          </cell>
          <cell r="O11099" t="str">
            <v>Attentive Mobile Inc.</v>
          </cell>
        </row>
        <row r="11100">
          <cell r="D11100">
            <v>1058.17</v>
          </cell>
          <cell r="H11100">
            <v>45901</v>
          </cell>
          <cell r="I11100" t="str">
            <v>6393 - Software</v>
          </cell>
          <cell r="J11100" t="str">
            <v>Ecommerce (US)</v>
          </cell>
          <cell r="K11100" t="str">
            <v>Ecommerce</v>
          </cell>
          <cell r="L11100" t="str">
            <v>Professional Service</v>
          </cell>
          <cell r="N11100" t="str">
            <v>Direct Costs</v>
          </cell>
          <cell r="O11100" t="str">
            <v>Attentive Mobile Inc.</v>
          </cell>
        </row>
        <row r="11101">
          <cell r="D11101">
            <v>624.59</v>
          </cell>
          <cell r="H11101">
            <v>45901</v>
          </cell>
          <cell r="I11101" t="str">
            <v>6393 - Software</v>
          </cell>
          <cell r="J11101" t="str">
            <v>Ecommerce (US)</v>
          </cell>
          <cell r="K11101" t="str">
            <v>Ecommerce</v>
          </cell>
          <cell r="L11101" t="str">
            <v>Professional Service</v>
          </cell>
          <cell r="N11101" t="str">
            <v>Direct Costs</v>
          </cell>
          <cell r="O11101" t="str">
            <v>Attentive Mobile Inc.</v>
          </cell>
        </row>
        <row r="11102">
          <cell r="D11102">
            <v>7729.34</v>
          </cell>
          <cell r="H11102">
            <v>45901</v>
          </cell>
          <cell r="I11102" t="str">
            <v>6393 - Software</v>
          </cell>
          <cell r="J11102" t="str">
            <v>Ecommerce (US)</v>
          </cell>
          <cell r="K11102" t="str">
            <v>Ecommerce</v>
          </cell>
          <cell r="L11102" t="str">
            <v>Professional Service</v>
          </cell>
          <cell r="N11102" t="str">
            <v>Direct Costs</v>
          </cell>
          <cell r="O11102" t="str">
            <v>Attentive Mobile Inc.</v>
          </cell>
        </row>
        <row r="11103">
          <cell r="D11103">
            <v>99.5</v>
          </cell>
          <cell r="H11103">
            <v>45901</v>
          </cell>
          <cell r="I11103" t="str">
            <v>6393 - Software</v>
          </cell>
          <cell r="J11103" t="str">
            <v>Ecommerce (US)</v>
          </cell>
          <cell r="K11103" t="str">
            <v>Ecommerce</v>
          </cell>
          <cell r="L11103" t="str">
            <v>Professional Service</v>
          </cell>
          <cell r="N11103" t="str">
            <v>Direct Costs</v>
          </cell>
          <cell r="O11103" t="str">
            <v>Attentive Mobile Inc.</v>
          </cell>
        </row>
        <row r="11104">
          <cell r="D11104">
            <v>999</v>
          </cell>
          <cell r="H11104">
            <v>45901</v>
          </cell>
          <cell r="I11104" t="str">
            <v>6393 - Software</v>
          </cell>
          <cell r="J11104" t="str">
            <v>Ecommerce (US)</v>
          </cell>
          <cell r="K11104" t="str">
            <v>Ecommerce</v>
          </cell>
          <cell r="L11104" t="str">
            <v>Professional Service</v>
          </cell>
          <cell r="N11104" t="str">
            <v>Direct Costs</v>
          </cell>
          <cell r="O11104" t="str">
            <v>Attentive Mobile Inc.</v>
          </cell>
        </row>
        <row r="11105">
          <cell r="D11105">
            <v>-8.4600000000000009</v>
          </cell>
          <cell r="H11105">
            <v>45901</v>
          </cell>
          <cell r="I11105" t="str">
            <v>6393 - Software</v>
          </cell>
          <cell r="J11105">
            <v>0</v>
          </cell>
          <cell r="K11105" t="str">
            <v>Administration</v>
          </cell>
          <cell r="L11105" t="str">
            <v>Professional Service</v>
          </cell>
          <cell r="N11105" t="str">
            <v>Direct Costs</v>
          </cell>
          <cell r="O11105" t="str">
            <v>Chat GPT</v>
          </cell>
        </row>
        <row r="11106">
          <cell r="D11106">
            <v>65.33</v>
          </cell>
          <cell r="H11106">
            <v>45901</v>
          </cell>
          <cell r="I11106" t="str">
            <v>6393 - Software</v>
          </cell>
          <cell r="J11106">
            <v>0</v>
          </cell>
          <cell r="K11106" t="str">
            <v>Administration</v>
          </cell>
          <cell r="L11106" t="str">
            <v>Professional Service</v>
          </cell>
          <cell r="N11106" t="str">
            <v>Direct Costs</v>
          </cell>
          <cell r="O11106" t="str">
            <v>Chat GPT</v>
          </cell>
        </row>
        <row r="11107">
          <cell r="D11107">
            <v>22.93</v>
          </cell>
          <cell r="H11107">
            <v>45901</v>
          </cell>
          <cell r="I11107" t="str">
            <v>6393 - Software</v>
          </cell>
          <cell r="J11107">
            <v>0</v>
          </cell>
          <cell r="K11107" t="str">
            <v>Administration</v>
          </cell>
          <cell r="L11107" t="str">
            <v>Professional Service</v>
          </cell>
          <cell r="N11107" t="str">
            <v>Direct Costs</v>
          </cell>
          <cell r="O11107" t="str">
            <v>Chat GPT</v>
          </cell>
        </row>
        <row r="11108">
          <cell r="D11108">
            <v>3179.22</v>
          </cell>
          <cell r="H11108">
            <v>45901</v>
          </cell>
          <cell r="I11108" t="str">
            <v>6393 - Software</v>
          </cell>
          <cell r="J11108">
            <v>0</v>
          </cell>
          <cell r="K11108" t="str">
            <v>Administration</v>
          </cell>
          <cell r="L11108" t="str">
            <v>Professional Service</v>
          </cell>
          <cell r="N11108" t="str">
            <v>Direct Costs</v>
          </cell>
          <cell r="O11108" t="str">
            <v>Avalara, Inc</v>
          </cell>
        </row>
        <row r="11109">
          <cell r="D11109">
            <v>2582.46</v>
          </cell>
          <cell r="H11109">
            <v>45901</v>
          </cell>
          <cell r="I11109" t="str">
            <v>6393 - Software</v>
          </cell>
          <cell r="J11109">
            <v>0</v>
          </cell>
          <cell r="K11109" t="str">
            <v>Administration</v>
          </cell>
          <cell r="L11109" t="str">
            <v>Professional Service</v>
          </cell>
          <cell r="N11109" t="str">
            <v>Direct Costs</v>
          </cell>
          <cell r="O11109" t="str">
            <v>Apparel Magic</v>
          </cell>
        </row>
        <row r="11110">
          <cell r="D11110">
            <v>226.82</v>
          </cell>
          <cell r="H11110">
            <v>45901</v>
          </cell>
          <cell r="I11110" t="str">
            <v>6393 - Software</v>
          </cell>
          <cell r="J11110">
            <v>0</v>
          </cell>
          <cell r="K11110" t="str">
            <v>Administration</v>
          </cell>
          <cell r="L11110" t="str">
            <v>Professional Service</v>
          </cell>
          <cell r="N11110" t="str">
            <v>Direct Costs</v>
          </cell>
          <cell r="O11110" t="str">
            <v>Avalara, Inc</v>
          </cell>
        </row>
        <row r="11111">
          <cell r="D11111">
            <v>421.69</v>
          </cell>
          <cell r="H11111">
            <v>45901</v>
          </cell>
          <cell r="I11111" t="str">
            <v>6393 - Software</v>
          </cell>
          <cell r="J11111">
            <v>0</v>
          </cell>
          <cell r="K11111" t="str">
            <v>Administration</v>
          </cell>
          <cell r="L11111" t="str">
            <v>Professional Service</v>
          </cell>
          <cell r="N11111" t="str">
            <v>Direct Costs</v>
          </cell>
          <cell r="O11111" t="str">
            <v>Docusign</v>
          </cell>
        </row>
        <row r="11112">
          <cell r="D11112">
            <v>411.58</v>
          </cell>
          <cell r="H11112">
            <v>45901</v>
          </cell>
          <cell r="I11112" t="str">
            <v>6393 - Software</v>
          </cell>
          <cell r="J11112">
            <v>0</v>
          </cell>
          <cell r="K11112" t="str">
            <v>Administration</v>
          </cell>
          <cell r="L11112" t="str">
            <v>Professional Service</v>
          </cell>
          <cell r="N11112" t="str">
            <v>Direct Costs</v>
          </cell>
          <cell r="O11112" t="str">
            <v>MS Office 365</v>
          </cell>
        </row>
        <row r="11113">
          <cell r="D11113">
            <v>9.99</v>
          </cell>
          <cell r="H11113">
            <v>45901</v>
          </cell>
          <cell r="I11113" t="str">
            <v>6393 - Software</v>
          </cell>
          <cell r="J11113">
            <v>0</v>
          </cell>
          <cell r="K11113" t="str">
            <v>Administration</v>
          </cell>
          <cell r="L11113" t="str">
            <v>Professional Service</v>
          </cell>
          <cell r="N11113" t="str">
            <v>Direct Costs</v>
          </cell>
          <cell r="O11113" t="str">
            <v>Drop Box</v>
          </cell>
        </row>
        <row r="11114">
          <cell r="D11114">
            <v>2268.23</v>
          </cell>
          <cell r="H11114">
            <v>45901</v>
          </cell>
          <cell r="I11114" t="str">
            <v>6393 - Software</v>
          </cell>
          <cell r="J11114">
            <v>0</v>
          </cell>
          <cell r="K11114" t="str">
            <v>Brand Marketing</v>
          </cell>
          <cell r="L11114" t="str">
            <v>Professional Service</v>
          </cell>
          <cell r="N11114" t="str">
            <v>Direct Costs</v>
          </cell>
          <cell r="O11114" t="str">
            <v>Fohr</v>
          </cell>
        </row>
        <row r="11115">
          <cell r="D11115">
            <v>699.63</v>
          </cell>
          <cell r="H11115">
            <v>45901</v>
          </cell>
          <cell r="I11115" t="str">
            <v>6400 - Utilities</v>
          </cell>
          <cell r="J11115">
            <v>0</v>
          </cell>
          <cell r="K11115" t="str">
            <v>Administration</v>
          </cell>
          <cell r="L11115" t="str">
            <v>Other</v>
          </cell>
          <cell r="N11115" t="str">
            <v>SG&amp;A</v>
          </cell>
          <cell r="O11115" t="str">
            <v>Antelope LLC</v>
          </cell>
        </row>
        <row r="11116">
          <cell r="D11116">
            <v>35</v>
          </cell>
          <cell r="H11116">
            <v>45901</v>
          </cell>
          <cell r="I11116" t="str">
            <v>6400 - Utilities</v>
          </cell>
          <cell r="J11116">
            <v>0</v>
          </cell>
          <cell r="K11116" t="str">
            <v>Administration</v>
          </cell>
          <cell r="L11116" t="str">
            <v>Other</v>
          </cell>
          <cell r="N11116" t="str">
            <v>SG&amp;A</v>
          </cell>
          <cell r="O11116" t="str">
            <v>NYC Intercom Inc</v>
          </cell>
        </row>
        <row r="11117">
          <cell r="D11117">
            <v>5.33</v>
          </cell>
          <cell r="H11117">
            <v>45901</v>
          </cell>
          <cell r="I11117" t="str">
            <v>6400 - Utilities</v>
          </cell>
          <cell r="J11117">
            <v>0</v>
          </cell>
          <cell r="K11117" t="str">
            <v>Administration</v>
          </cell>
          <cell r="L11117" t="str">
            <v>Other</v>
          </cell>
          <cell r="N11117" t="str">
            <v>SG&amp;A</v>
          </cell>
          <cell r="O11117" t="str">
            <v>NYC Intercom Inc</v>
          </cell>
        </row>
        <row r="11118">
          <cell r="D11118">
            <v>25</v>
          </cell>
          <cell r="H11118">
            <v>45901</v>
          </cell>
          <cell r="I11118" t="str">
            <v>6400 - Utilities</v>
          </cell>
          <cell r="J11118">
            <v>0</v>
          </cell>
          <cell r="K11118" t="str">
            <v>Administration</v>
          </cell>
          <cell r="L11118" t="str">
            <v>Other</v>
          </cell>
          <cell r="N11118" t="str">
            <v>SG&amp;A</v>
          </cell>
          <cell r="O11118" t="str">
            <v>NYC Intercom Inc</v>
          </cell>
        </row>
        <row r="11119">
          <cell r="D11119">
            <v>-699.63</v>
          </cell>
          <cell r="H11119">
            <v>45901</v>
          </cell>
          <cell r="I11119" t="str">
            <v>6400 - Utilities</v>
          </cell>
          <cell r="J11119">
            <v>0</v>
          </cell>
          <cell r="K11119" t="str">
            <v>Administration</v>
          </cell>
          <cell r="L11119" t="str">
            <v>Other</v>
          </cell>
          <cell r="N11119" t="str">
            <v>SG&amp;A</v>
          </cell>
          <cell r="O11119" t="str">
            <v>[No Vendor]</v>
          </cell>
        </row>
        <row r="11120">
          <cell r="D11120">
            <v>270.07</v>
          </cell>
          <cell r="H11120">
            <v>45901</v>
          </cell>
          <cell r="I11120" t="str">
            <v>6400 - Utilities</v>
          </cell>
          <cell r="J11120">
            <v>0</v>
          </cell>
          <cell r="K11120" t="str">
            <v>Administration</v>
          </cell>
          <cell r="L11120" t="str">
            <v>Other</v>
          </cell>
          <cell r="N11120" t="str">
            <v>SG&amp;A</v>
          </cell>
          <cell r="O11120" t="str">
            <v>Verizon</v>
          </cell>
        </row>
        <row r="11121">
          <cell r="D11121">
            <v>515.11</v>
          </cell>
          <cell r="H11121">
            <v>45901</v>
          </cell>
          <cell r="I11121" t="str">
            <v>6400 - Utilities</v>
          </cell>
          <cell r="J11121">
            <v>0</v>
          </cell>
          <cell r="K11121" t="str">
            <v>Administration</v>
          </cell>
          <cell r="L11121" t="str">
            <v>Other</v>
          </cell>
          <cell r="N11121" t="str">
            <v>SG&amp;A</v>
          </cell>
          <cell r="O11121" t="str">
            <v>[No Vendor]</v>
          </cell>
        </row>
        <row r="11122">
          <cell r="D11122">
            <v>699.25</v>
          </cell>
          <cell r="H11122">
            <v>45901</v>
          </cell>
          <cell r="I11122" t="str">
            <v>6410 - Lease Expense</v>
          </cell>
          <cell r="J11122">
            <v>0</v>
          </cell>
          <cell r="K11122" t="str">
            <v>Administration</v>
          </cell>
          <cell r="L11122" t="str">
            <v>Rent</v>
          </cell>
          <cell r="N11122" t="str">
            <v>SG&amp;A</v>
          </cell>
          <cell r="O11122" t="str">
            <v>Canon Financial Services, Inc.</v>
          </cell>
        </row>
        <row r="11123">
          <cell r="D11123">
            <v>10.62</v>
          </cell>
          <cell r="H11123">
            <v>45901</v>
          </cell>
          <cell r="I11123" t="str">
            <v>6410 - Lease Expense</v>
          </cell>
          <cell r="J11123">
            <v>0</v>
          </cell>
          <cell r="K11123" t="str">
            <v>Administration</v>
          </cell>
          <cell r="L11123" t="str">
            <v>Rent</v>
          </cell>
          <cell r="N11123" t="str">
            <v>SG&amp;A</v>
          </cell>
          <cell r="O11123" t="str">
            <v>Canon Financial Services, Inc.</v>
          </cell>
        </row>
        <row r="11124">
          <cell r="D11124">
            <v>30.61</v>
          </cell>
          <cell r="H11124">
            <v>45901</v>
          </cell>
          <cell r="I11124" t="str">
            <v>6410 - Lease Expense</v>
          </cell>
          <cell r="J11124">
            <v>0</v>
          </cell>
          <cell r="K11124" t="str">
            <v>Administration</v>
          </cell>
          <cell r="L11124" t="str">
            <v>Rent</v>
          </cell>
          <cell r="N11124" t="str">
            <v>SG&amp;A</v>
          </cell>
          <cell r="O11124" t="str">
            <v>Canon Financial Services, Inc.</v>
          </cell>
        </row>
        <row r="11125">
          <cell r="D11125">
            <v>-606</v>
          </cell>
          <cell r="H11125">
            <v>45901</v>
          </cell>
          <cell r="I11125" t="str">
            <v>6410 - Lease Expense</v>
          </cell>
          <cell r="J11125">
            <v>0</v>
          </cell>
          <cell r="K11125" t="str">
            <v>Administration</v>
          </cell>
          <cell r="L11125" t="str">
            <v>Rent</v>
          </cell>
          <cell r="N11125" t="str">
            <v>SG&amp;A</v>
          </cell>
          <cell r="O11125" t="str">
            <v>[No Vendor]</v>
          </cell>
        </row>
        <row r="11126">
          <cell r="D11126">
            <v>175</v>
          </cell>
          <cell r="H11126">
            <v>45901</v>
          </cell>
          <cell r="I11126" t="str">
            <v>6420 - Licenses &amp; Membership</v>
          </cell>
          <cell r="J11126">
            <v>0</v>
          </cell>
          <cell r="K11126" t="str">
            <v>Production</v>
          </cell>
          <cell r="L11126" t="str">
            <v>Professional Service</v>
          </cell>
          <cell r="N11126" t="str">
            <v>SG&amp;A</v>
          </cell>
          <cell r="O11126" t="str">
            <v>GS1</v>
          </cell>
        </row>
        <row r="11127">
          <cell r="D11127">
            <v>-48625</v>
          </cell>
          <cell r="H11127">
            <v>45901</v>
          </cell>
          <cell r="I11127" t="str">
            <v>6440 - Bad Debt Expenses</v>
          </cell>
          <cell r="J11127">
            <v>0</v>
          </cell>
          <cell r="K11127" t="str">
            <v>Licensing</v>
          </cell>
          <cell r="L11127" t="str">
            <v>Other</v>
          </cell>
          <cell r="N11127" t="str">
            <v>SG&amp;A</v>
          </cell>
          <cell r="O11127" t="str">
            <v>[No Vendor]</v>
          </cell>
        </row>
        <row r="11128">
          <cell r="D11128">
            <v>0.15</v>
          </cell>
          <cell r="H11128">
            <v>45901</v>
          </cell>
          <cell r="I11128" t="str">
            <v>6450 - Bank &amp; Other Fees</v>
          </cell>
          <cell r="J11128" t="str">
            <v>Ecommerce (US)</v>
          </cell>
          <cell r="K11128" t="str">
            <v>Ecommerce</v>
          </cell>
          <cell r="L11128" t="str">
            <v>Professional Service</v>
          </cell>
          <cell r="N11128" t="str">
            <v>Direct Costs</v>
          </cell>
          <cell r="O11128" t="str">
            <v>Matthew Ng</v>
          </cell>
        </row>
        <row r="11129">
          <cell r="D11129">
            <v>0.22</v>
          </cell>
          <cell r="H11129">
            <v>45901</v>
          </cell>
          <cell r="I11129" t="str">
            <v>6450 - Bank &amp; Other Fees</v>
          </cell>
          <cell r="J11129" t="str">
            <v>Ecommerce (US)</v>
          </cell>
          <cell r="K11129" t="str">
            <v>Ecommerce</v>
          </cell>
          <cell r="L11129" t="str">
            <v>Professional Service</v>
          </cell>
          <cell r="N11129" t="str">
            <v>Direct Costs</v>
          </cell>
          <cell r="O11129" t="str">
            <v>Matthew Ng</v>
          </cell>
        </row>
        <row r="11130">
          <cell r="D11130">
            <v>1.1399999999999999</v>
          </cell>
          <cell r="H11130">
            <v>45901</v>
          </cell>
          <cell r="I11130" t="str">
            <v>6450 - Bank &amp; Other Fees</v>
          </cell>
          <cell r="J11130">
            <v>0</v>
          </cell>
          <cell r="K11130" t="str">
            <v>Administration</v>
          </cell>
          <cell r="L11130" t="str">
            <v>Professional Service</v>
          </cell>
          <cell r="N11130" t="str">
            <v>SG&amp;A</v>
          </cell>
          <cell r="O11130" t="str">
            <v>[No Vendor]</v>
          </cell>
        </row>
        <row r="11131">
          <cell r="D11131">
            <v>610.49</v>
          </cell>
          <cell r="H11131">
            <v>45901</v>
          </cell>
          <cell r="I11131" t="str">
            <v>6450 - Bank &amp; Other Fees</v>
          </cell>
          <cell r="J11131">
            <v>0</v>
          </cell>
          <cell r="K11131" t="str">
            <v>Administration</v>
          </cell>
          <cell r="L11131" t="str">
            <v>Professional Service</v>
          </cell>
          <cell r="N11131" t="str">
            <v>SG&amp;A</v>
          </cell>
          <cell r="O11131" t="str">
            <v>[No Vendor]</v>
          </cell>
        </row>
        <row r="11132">
          <cell r="D11132">
            <v>3839.85</v>
          </cell>
          <cell r="H11132">
            <v>45901</v>
          </cell>
          <cell r="I11132" t="str">
            <v>6451 - Service Processing Fee</v>
          </cell>
          <cell r="J11132" t="str">
            <v>Wholesale</v>
          </cell>
          <cell r="K11132" t="str">
            <v>Wholesale</v>
          </cell>
          <cell r="L11132" t="str">
            <v>Professional Service</v>
          </cell>
          <cell r="N11132" t="str">
            <v>Direct Costs</v>
          </cell>
          <cell r="O11132" t="str">
            <v>Paymentech</v>
          </cell>
        </row>
        <row r="11133">
          <cell r="D11133">
            <v>129.6</v>
          </cell>
          <cell r="H11133">
            <v>45901</v>
          </cell>
          <cell r="I11133" t="str">
            <v>6451 - Service Processing Fee</v>
          </cell>
          <cell r="J11133" t="str">
            <v>Ecommerce (US)</v>
          </cell>
          <cell r="K11133" t="str">
            <v>Ecommerce</v>
          </cell>
          <cell r="L11133" t="str">
            <v>Professional Service</v>
          </cell>
          <cell r="N11133" t="str">
            <v>Direct Costs</v>
          </cell>
          <cell r="O11133" t="str">
            <v>[No Vendor]</v>
          </cell>
        </row>
        <row r="11134">
          <cell r="D11134">
            <v>248.4</v>
          </cell>
          <cell r="H11134">
            <v>45901</v>
          </cell>
          <cell r="I11134" t="str">
            <v>6451 - Service Processing Fee</v>
          </cell>
          <cell r="J11134" t="str">
            <v>Ecommerce (US)</v>
          </cell>
          <cell r="K11134" t="str">
            <v>Ecommerce</v>
          </cell>
          <cell r="L11134" t="str">
            <v>Professional Service</v>
          </cell>
          <cell r="N11134" t="str">
            <v>Direct Costs</v>
          </cell>
          <cell r="O11134" t="str">
            <v>[No Vendor]</v>
          </cell>
        </row>
        <row r="11135">
          <cell r="D11135">
            <v>2003.48</v>
          </cell>
          <cell r="H11135">
            <v>45901</v>
          </cell>
          <cell r="I11135" t="str">
            <v>6451 - Service Processing Fee</v>
          </cell>
          <cell r="J11135" t="str">
            <v>Ecommerce (US)</v>
          </cell>
          <cell r="K11135" t="str">
            <v>Ecommerce</v>
          </cell>
          <cell r="L11135" t="str">
            <v>Professional Service</v>
          </cell>
          <cell r="N11135" t="str">
            <v>Direct Costs</v>
          </cell>
          <cell r="O11135" t="str">
            <v>Loop</v>
          </cell>
        </row>
        <row r="11136">
          <cell r="D11136">
            <v>206.1</v>
          </cell>
          <cell r="H11136">
            <v>45901</v>
          </cell>
          <cell r="I11136" t="str">
            <v>6451 - Service Processing Fee</v>
          </cell>
          <cell r="J11136" t="str">
            <v>Ecommerce (US)</v>
          </cell>
          <cell r="K11136" t="str">
            <v>Ecommerce</v>
          </cell>
          <cell r="L11136" t="str">
            <v>Professional Service</v>
          </cell>
          <cell r="N11136" t="str">
            <v>Direct Costs</v>
          </cell>
          <cell r="O11136" t="str">
            <v>[No Vendor]</v>
          </cell>
        </row>
        <row r="11137">
          <cell r="D11137">
            <v>-81.900000000000006</v>
          </cell>
          <cell r="H11137">
            <v>45901</v>
          </cell>
          <cell r="I11137" t="str">
            <v>6451 - Service Processing Fee</v>
          </cell>
          <cell r="J11137" t="str">
            <v>Ecommerce (US)</v>
          </cell>
          <cell r="K11137" t="str">
            <v>Ecommerce</v>
          </cell>
          <cell r="L11137" t="str">
            <v>Professional Service</v>
          </cell>
          <cell r="N11137" t="str">
            <v>Direct Costs</v>
          </cell>
          <cell r="O11137" t="str">
            <v>[No Vendor]</v>
          </cell>
        </row>
        <row r="11138">
          <cell r="D11138">
            <v>60.95</v>
          </cell>
          <cell r="H11138">
            <v>45901</v>
          </cell>
          <cell r="I11138" t="str">
            <v>6451 - Service Processing Fee</v>
          </cell>
          <cell r="J11138" t="str">
            <v>Ecommerce (EU)</v>
          </cell>
          <cell r="K11138" t="str">
            <v>Ecommerce</v>
          </cell>
          <cell r="L11138" t="str">
            <v>Professional Service</v>
          </cell>
          <cell r="N11138" t="str">
            <v>Direct Costs</v>
          </cell>
          <cell r="O11138" t="str">
            <v>[No Vendor]</v>
          </cell>
        </row>
        <row r="11139">
          <cell r="D11139">
            <v>1924.44</v>
          </cell>
          <cell r="H11139">
            <v>45901</v>
          </cell>
          <cell r="I11139" t="str">
            <v>6451 - Service Processing Fee</v>
          </cell>
          <cell r="J11139" t="str">
            <v>Ecommerce (EU)</v>
          </cell>
          <cell r="K11139" t="str">
            <v>Ecommerce</v>
          </cell>
          <cell r="L11139" t="str">
            <v>Professional Service</v>
          </cell>
          <cell r="N11139" t="str">
            <v>Direct Costs</v>
          </cell>
          <cell r="O11139" t="str">
            <v>[No Vendor]</v>
          </cell>
        </row>
        <row r="11140">
          <cell r="D11140">
            <v>383.04</v>
          </cell>
          <cell r="H11140">
            <v>45901</v>
          </cell>
          <cell r="I11140" t="str">
            <v>6451 - Service Processing Fee</v>
          </cell>
          <cell r="J11140" t="str">
            <v>Ecommerce (US)</v>
          </cell>
          <cell r="K11140" t="str">
            <v>Ecommerce</v>
          </cell>
          <cell r="L11140" t="str">
            <v>Professional Service</v>
          </cell>
          <cell r="N11140" t="str">
            <v>Direct Costs</v>
          </cell>
          <cell r="O11140" t="str">
            <v>[No Vendor]</v>
          </cell>
        </row>
        <row r="11141">
          <cell r="D11141">
            <v>51609.03</v>
          </cell>
          <cell r="H11141">
            <v>45901</v>
          </cell>
          <cell r="I11141" t="str">
            <v>6451 - Service Processing Fee</v>
          </cell>
          <cell r="J11141" t="str">
            <v>Ecommerce (US)</v>
          </cell>
          <cell r="K11141" t="str">
            <v>Ecommerce</v>
          </cell>
          <cell r="L11141" t="str">
            <v>Professional Service</v>
          </cell>
          <cell r="N11141" t="str">
            <v>Direct Costs</v>
          </cell>
          <cell r="O11141" t="str">
            <v>Shopify</v>
          </cell>
        </row>
        <row r="11142">
          <cell r="D11142">
            <v>8050.84</v>
          </cell>
          <cell r="H11142">
            <v>45901</v>
          </cell>
          <cell r="I11142" t="str">
            <v>6451 - Service Processing Fee</v>
          </cell>
          <cell r="J11142" t="str">
            <v>Ecommerce (US)</v>
          </cell>
          <cell r="K11142" t="str">
            <v>Ecommerce</v>
          </cell>
          <cell r="L11142" t="str">
            <v>Professional Service</v>
          </cell>
          <cell r="N11142" t="str">
            <v>Direct Costs</v>
          </cell>
          <cell r="O11142" t="str">
            <v>Amazon</v>
          </cell>
        </row>
        <row r="11143">
          <cell r="D11143">
            <v>4158.8999999999996</v>
          </cell>
          <cell r="H11143">
            <v>45901</v>
          </cell>
          <cell r="I11143" t="str">
            <v>6487 - Interest Expense</v>
          </cell>
          <cell r="J11143">
            <v>0</v>
          </cell>
          <cell r="K11143" t="str">
            <v>Administration</v>
          </cell>
          <cell r="L11143" t="str">
            <v>Interest</v>
          </cell>
          <cell r="N11143" t="str">
            <v>BTL</v>
          </cell>
          <cell r="O11143" t="str">
            <v>[No Vendor]</v>
          </cell>
        </row>
        <row r="11144">
          <cell r="D11144">
            <v>5671.23</v>
          </cell>
          <cell r="H11144">
            <v>45901</v>
          </cell>
          <cell r="I11144" t="str">
            <v>6487 - Interest Expense</v>
          </cell>
          <cell r="J11144">
            <v>0</v>
          </cell>
          <cell r="K11144" t="str">
            <v>Administration</v>
          </cell>
          <cell r="L11144" t="str">
            <v>Interest</v>
          </cell>
          <cell r="N11144" t="str">
            <v>BTL</v>
          </cell>
          <cell r="O11144" t="str">
            <v>[No Vendor]</v>
          </cell>
        </row>
        <row r="11145">
          <cell r="D11145">
            <v>14745.21</v>
          </cell>
          <cell r="H11145">
            <v>45901</v>
          </cell>
          <cell r="I11145" t="str">
            <v>6487 - Interest Expense</v>
          </cell>
          <cell r="J11145">
            <v>0</v>
          </cell>
          <cell r="K11145" t="str">
            <v>Administration</v>
          </cell>
          <cell r="L11145" t="str">
            <v>Interest</v>
          </cell>
          <cell r="N11145" t="str">
            <v>BTL</v>
          </cell>
          <cell r="O11145" t="str">
            <v>[No Vendor]</v>
          </cell>
        </row>
        <row r="11146">
          <cell r="D11146">
            <v>3780.82</v>
          </cell>
          <cell r="H11146">
            <v>45901</v>
          </cell>
          <cell r="I11146" t="str">
            <v>6487 - Interest Expense</v>
          </cell>
          <cell r="J11146">
            <v>0</v>
          </cell>
          <cell r="K11146" t="str">
            <v>Administration</v>
          </cell>
          <cell r="L11146" t="str">
            <v>Interest</v>
          </cell>
          <cell r="N11146" t="str">
            <v>BTL</v>
          </cell>
          <cell r="O11146" t="str">
            <v>[No Vendor]</v>
          </cell>
        </row>
        <row r="11147">
          <cell r="D11147">
            <v>11342.47</v>
          </cell>
          <cell r="H11147">
            <v>45901</v>
          </cell>
          <cell r="I11147" t="str">
            <v>6487 - Interest Expense</v>
          </cell>
          <cell r="J11147">
            <v>0</v>
          </cell>
          <cell r="K11147" t="str">
            <v>Administration</v>
          </cell>
          <cell r="L11147" t="str">
            <v>Interest</v>
          </cell>
          <cell r="N11147" t="str">
            <v>BTL</v>
          </cell>
          <cell r="O11147" t="str">
            <v>[No Vendor]</v>
          </cell>
        </row>
        <row r="11148">
          <cell r="D11148">
            <v>9452.0499999999993</v>
          </cell>
          <cell r="H11148">
            <v>45901</v>
          </cell>
          <cell r="I11148" t="str">
            <v>6487 - Interest Expense</v>
          </cell>
          <cell r="J11148">
            <v>0</v>
          </cell>
          <cell r="K11148" t="str">
            <v>Administration</v>
          </cell>
          <cell r="L11148" t="str">
            <v>Interest</v>
          </cell>
          <cell r="N11148" t="str">
            <v>BTL</v>
          </cell>
          <cell r="O11148" t="str">
            <v>[No Vendor]</v>
          </cell>
        </row>
        <row r="11149">
          <cell r="D11149">
            <v>7561.64</v>
          </cell>
          <cell r="H11149">
            <v>45901</v>
          </cell>
          <cell r="I11149" t="str">
            <v>6487 - Interest Expense</v>
          </cell>
          <cell r="J11149">
            <v>0</v>
          </cell>
          <cell r="K11149" t="str">
            <v>Administration</v>
          </cell>
          <cell r="L11149" t="str">
            <v>Interest</v>
          </cell>
          <cell r="N11149" t="str">
            <v>BTL</v>
          </cell>
          <cell r="O11149" t="str">
            <v>[No Vendor]</v>
          </cell>
        </row>
        <row r="11150">
          <cell r="D11150">
            <v>7561.64</v>
          </cell>
          <cell r="H11150">
            <v>45901</v>
          </cell>
          <cell r="I11150" t="str">
            <v>6487 - Interest Expense</v>
          </cell>
          <cell r="J11150">
            <v>0</v>
          </cell>
          <cell r="K11150" t="str">
            <v>Administration</v>
          </cell>
          <cell r="L11150" t="str">
            <v>Interest</v>
          </cell>
          <cell r="N11150" t="str">
            <v>BTL</v>
          </cell>
          <cell r="O11150" t="str">
            <v>[No Vendor]</v>
          </cell>
        </row>
        <row r="11151">
          <cell r="D11151">
            <v>13.75</v>
          </cell>
          <cell r="H11151">
            <v>45901</v>
          </cell>
          <cell r="I11151" t="str">
            <v>6487 - Interest Expense</v>
          </cell>
          <cell r="J11151">
            <v>0</v>
          </cell>
          <cell r="K11151" t="str">
            <v>Administration</v>
          </cell>
          <cell r="L11151" t="str">
            <v>Interest</v>
          </cell>
          <cell r="N11151" t="str">
            <v>BTL</v>
          </cell>
          <cell r="O11151" t="str">
            <v>[No Vendor]</v>
          </cell>
        </row>
        <row r="11152">
          <cell r="D11152">
            <v>6714.96</v>
          </cell>
          <cell r="H11152">
            <v>45901</v>
          </cell>
          <cell r="I11152" t="str">
            <v>6487 - Interest Expense</v>
          </cell>
          <cell r="J11152">
            <v>0</v>
          </cell>
          <cell r="K11152" t="str">
            <v>Administration</v>
          </cell>
          <cell r="L11152" t="str">
            <v>Interest</v>
          </cell>
          <cell r="N11152" t="str">
            <v>BTL</v>
          </cell>
          <cell r="O11152" t="str">
            <v>[No Vendor]</v>
          </cell>
        </row>
        <row r="11153">
          <cell r="D11153">
            <v>-23.78</v>
          </cell>
          <cell r="H11153">
            <v>45901</v>
          </cell>
          <cell r="I11153" t="str">
            <v>6520 - Taxes and Licenses</v>
          </cell>
          <cell r="J11153">
            <v>0</v>
          </cell>
          <cell r="K11153" t="str">
            <v>Administration</v>
          </cell>
          <cell r="L11153" t="str">
            <v>Other</v>
          </cell>
          <cell r="N11153" t="str">
            <v>SG&amp;A</v>
          </cell>
          <cell r="O11153" t="str">
            <v>[No Vendor]</v>
          </cell>
        </row>
        <row r="11154">
          <cell r="D11154">
            <v>-1637.04</v>
          </cell>
          <cell r="H11154">
            <v>45901</v>
          </cell>
          <cell r="I11154" t="str">
            <v>6520 - Taxes and Licenses</v>
          </cell>
          <cell r="J11154">
            <v>0</v>
          </cell>
          <cell r="K11154" t="str">
            <v>Administration</v>
          </cell>
          <cell r="L11154" t="str">
            <v>Other</v>
          </cell>
          <cell r="N11154" t="str">
            <v>SG&amp;A</v>
          </cell>
          <cell r="O11154" t="str">
            <v>[No Vendor]</v>
          </cell>
        </row>
        <row r="11155">
          <cell r="D11155">
            <v>9325.82</v>
          </cell>
          <cell r="H11155">
            <v>45901</v>
          </cell>
          <cell r="I11155" t="str">
            <v>6520 - Taxes and Licenses</v>
          </cell>
          <cell r="J11155">
            <v>0</v>
          </cell>
          <cell r="K11155" t="str">
            <v>Administration</v>
          </cell>
          <cell r="L11155" t="str">
            <v>Other</v>
          </cell>
          <cell r="N11155" t="str">
            <v>SG&amp;A</v>
          </cell>
          <cell r="O11155" t="str">
            <v>[No Vendor]</v>
          </cell>
        </row>
        <row r="11156">
          <cell r="D11156">
            <v>-20.45</v>
          </cell>
          <cell r="H11156">
            <v>45901</v>
          </cell>
          <cell r="I11156" t="str">
            <v>6520 - Taxes and Licenses</v>
          </cell>
          <cell r="J11156">
            <v>0</v>
          </cell>
          <cell r="K11156" t="str">
            <v>Administration</v>
          </cell>
          <cell r="L11156" t="str">
            <v>Other</v>
          </cell>
          <cell r="N11156" t="str">
            <v>SG&amp;A</v>
          </cell>
          <cell r="O11156" t="str">
            <v>[No Vendor]</v>
          </cell>
        </row>
        <row r="11157">
          <cell r="D11157">
            <v>24.41</v>
          </cell>
          <cell r="H11157">
            <v>45901</v>
          </cell>
          <cell r="I11157" t="str">
            <v>7030 - Plant Machinery &amp; Equipment</v>
          </cell>
          <cell r="J11157">
            <v>0</v>
          </cell>
          <cell r="K11157" t="str">
            <v>Administration</v>
          </cell>
          <cell r="L11157" t="str">
            <v>Depreciation &amp; Amortization</v>
          </cell>
          <cell r="N11157" t="str">
            <v>SG&amp;A</v>
          </cell>
          <cell r="O11157" t="str">
            <v>[No Vendor]</v>
          </cell>
        </row>
        <row r="11158">
          <cell r="D11158">
            <v>15.83</v>
          </cell>
          <cell r="H11158">
            <v>45901</v>
          </cell>
          <cell r="I11158" t="str">
            <v>7030 - Plant Machinery &amp; Equipment</v>
          </cell>
          <cell r="J11158">
            <v>0</v>
          </cell>
          <cell r="K11158" t="str">
            <v>Production</v>
          </cell>
          <cell r="L11158" t="str">
            <v>Depreciation &amp; Amortization</v>
          </cell>
          <cell r="N11158" t="str">
            <v>SG&amp;A</v>
          </cell>
          <cell r="O11158" t="str">
            <v>[No Vendor]</v>
          </cell>
        </row>
        <row r="11159">
          <cell r="D11159">
            <v>141.36000000000001</v>
          </cell>
          <cell r="H11159">
            <v>45901</v>
          </cell>
          <cell r="I11159" t="str">
            <v>7040 - Furniture &amp; Fixtures</v>
          </cell>
          <cell r="J11159">
            <v>0</v>
          </cell>
          <cell r="K11159" t="str">
            <v>Administration</v>
          </cell>
          <cell r="L11159" t="str">
            <v>Depreciation &amp; Amortization</v>
          </cell>
          <cell r="N11159" t="str">
            <v>SG&amp;A</v>
          </cell>
          <cell r="O11159" t="str">
            <v>[No Vendor]</v>
          </cell>
        </row>
        <row r="11160">
          <cell r="D11160">
            <v>259.97000000000003</v>
          </cell>
          <cell r="H11160">
            <v>45901</v>
          </cell>
          <cell r="I11160" t="str">
            <v>7040 - Furniture &amp; Fixtures</v>
          </cell>
          <cell r="J11160" t="str">
            <v>Wholesale</v>
          </cell>
          <cell r="K11160" t="str">
            <v>Wholesale</v>
          </cell>
          <cell r="L11160" t="str">
            <v>Depreciation &amp; Amortization</v>
          </cell>
          <cell r="N11160" t="str">
            <v>SG&amp;A</v>
          </cell>
          <cell r="O11160" t="str">
            <v>[No Vendor]</v>
          </cell>
        </row>
        <row r="11161">
          <cell r="D11161">
            <v>589.29999999999995</v>
          </cell>
          <cell r="H11161">
            <v>45901</v>
          </cell>
          <cell r="I11161" t="str">
            <v>7060 - Information Technology &amp; Software</v>
          </cell>
          <cell r="J11161">
            <v>0</v>
          </cell>
          <cell r="K11161" t="str">
            <v>Administration</v>
          </cell>
          <cell r="L11161" t="str">
            <v>Depreciation &amp; Amortization</v>
          </cell>
          <cell r="N11161" t="str">
            <v>SG&amp;A</v>
          </cell>
          <cell r="O11161" t="str">
            <v>[No Vendor]</v>
          </cell>
        </row>
        <row r="11162">
          <cell r="D11162">
            <v>216.66</v>
          </cell>
          <cell r="H11162">
            <v>45901</v>
          </cell>
          <cell r="I11162" t="str">
            <v>7060 - Information Technology &amp; Software</v>
          </cell>
          <cell r="J11162">
            <v>0</v>
          </cell>
          <cell r="K11162" t="str">
            <v>Design</v>
          </cell>
          <cell r="L11162" t="str">
            <v>Depreciation &amp; Amortization</v>
          </cell>
          <cell r="N11162" t="str">
            <v>SG&amp;A</v>
          </cell>
          <cell r="O11162" t="str">
            <v>[No Vendor]</v>
          </cell>
        </row>
        <row r="11163">
          <cell r="D11163">
            <v>228.04</v>
          </cell>
          <cell r="H11163">
            <v>45901</v>
          </cell>
          <cell r="I11163" t="str">
            <v>7060 - Information Technology &amp; Software</v>
          </cell>
          <cell r="J11163" t="str">
            <v>Ecommerce (US)</v>
          </cell>
          <cell r="K11163" t="str">
            <v>Ecommerce</v>
          </cell>
          <cell r="L11163" t="str">
            <v>Depreciation &amp; Amortization</v>
          </cell>
          <cell r="N11163" t="str">
            <v>SG&amp;A</v>
          </cell>
          <cell r="O11163" t="str">
            <v>[No Vendor]</v>
          </cell>
        </row>
        <row r="11164">
          <cell r="D11164">
            <v>66.72</v>
          </cell>
          <cell r="H11164">
            <v>45901</v>
          </cell>
          <cell r="I11164" t="str">
            <v>7060 - Information Technology &amp; Software</v>
          </cell>
          <cell r="J11164">
            <v>0</v>
          </cell>
          <cell r="K11164" t="str">
            <v>Executive</v>
          </cell>
          <cell r="L11164" t="str">
            <v>Depreciation &amp; Amortization</v>
          </cell>
          <cell r="N11164" t="str">
            <v>SG&amp;A</v>
          </cell>
          <cell r="O11164" t="str">
            <v>[No Vendor]</v>
          </cell>
        </row>
        <row r="11165">
          <cell r="D11165">
            <v>189.1</v>
          </cell>
          <cell r="H11165">
            <v>45901</v>
          </cell>
          <cell r="I11165" t="str">
            <v>7060 - Information Technology &amp; Software</v>
          </cell>
          <cell r="J11165">
            <v>0</v>
          </cell>
          <cell r="K11165" t="str">
            <v>Brand Marketing</v>
          </cell>
          <cell r="L11165" t="str">
            <v>Depreciation &amp; Amortization</v>
          </cell>
          <cell r="N11165" t="str">
            <v>SG&amp;A</v>
          </cell>
          <cell r="O11165" t="str">
            <v>[No Vendor]</v>
          </cell>
        </row>
        <row r="11166">
          <cell r="D11166">
            <v>65.48</v>
          </cell>
          <cell r="H11166">
            <v>45901</v>
          </cell>
          <cell r="I11166" t="str">
            <v>7060 - Information Technology &amp; Software</v>
          </cell>
          <cell r="J11166">
            <v>0</v>
          </cell>
          <cell r="K11166" t="str">
            <v>Merchandising</v>
          </cell>
          <cell r="L11166" t="str">
            <v>Depreciation &amp; Amortization</v>
          </cell>
          <cell r="N11166" t="str">
            <v>SG&amp;A</v>
          </cell>
          <cell r="O11166" t="str">
            <v>[No Vendor]</v>
          </cell>
        </row>
        <row r="11167">
          <cell r="D11167">
            <v>156.94</v>
          </cell>
          <cell r="H11167">
            <v>45901</v>
          </cell>
          <cell r="I11167" t="str">
            <v>7060 - Information Technology &amp; Software</v>
          </cell>
          <cell r="J11167">
            <v>0</v>
          </cell>
          <cell r="K11167" t="str">
            <v>Production</v>
          </cell>
          <cell r="L11167" t="str">
            <v>Depreciation &amp; Amortization</v>
          </cell>
          <cell r="N11167" t="str">
            <v>SG&amp;A</v>
          </cell>
          <cell r="O11167" t="str">
            <v>[No Vendor]</v>
          </cell>
        </row>
        <row r="11168">
          <cell r="D11168">
            <v>113.67</v>
          </cell>
          <cell r="H11168">
            <v>45901</v>
          </cell>
          <cell r="I11168" t="str">
            <v>7060 - Information Technology &amp; Software</v>
          </cell>
          <cell r="J11168" t="str">
            <v>Wholesale</v>
          </cell>
          <cell r="K11168" t="str">
            <v>Wholesale</v>
          </cell>
          <cell r="L11168" t="str">
            <v>Depreciation &amp; Amortization</v>
          </cell>
          <cell r="N11168" t="str">
            <v>SG&amp;A</v>
          </cell>
          <cell r="O11168" t="str">
            <v>[No Vendor]</v>
          </cell>
        </row>
        <row r="11169">
          <cell r="D11169">
            <v>1954.72</v>
          </cell>
          <cell r="H11169">
            <v>45901</v>
          </cell>
          <cell r="I11169" t="str">
            <v>7130 - License Agreements &amp; Other Intangibles</v>
          </cell>
          <cell r="J11169">
            <v>0</v>
          </cell>
          <cell r="K11169" t="str">
            <v>Administration</v>
          </cell>
          <cell r="L11169" t="str">
            <v>Depreciation &amp; Amortization</v>
          </cell>
          <cell r="N11169" t="str">
            <v>SG&amp;A</v>
          </cell>
          <cell r="O11169" t="str">
            <v>[No Vendor]</v>
          </cell>
        </row>
        <row r="11170">
          <cell r="D11170">
            <v>592.25</v>
          </cell>
          <cell r="H11170">
            <v>45901</v>
          </cell>
          <cell r="I11170" t="str">
            <v>7140 - Amortization Exp - ROU Asset</v>
          </cell>
          <cell r="J11170">
            <v>0</v>
          </cell>
          <cell r="K11170" t="str">
            <v>Administration</v>
          </cell>
          <cell r="L11170" t="str">
            <v>Rent</v>
          </cell>
          <cell r="N11170" t="str">
            <v>SG&amp;A</v>
          </cell>
          <cell r="O11170" t="str">
            <v>[No Vendor]</v>
          </cell>
        </row>
        <row r="11171">
          <cell r="D11171">
            <v>23940.66</v>
          </cell>
          <cell r="H11171">
            <v>45901</v>
          </cell>
          <cell r="I11171" t="str">
            <v>7140 - Amortization Exp - ROU Asset</v>
          </cell>
          <cell r="J11171">
            <v>0</v>
          </cell>
          <cell r="K11171" t="str">
            <v>Administration</v>
          </cell>
          <cell r="L11171" t="str">
            <v>Rent</v>
          </cell>
          <cell r="N11171" t="str">
            <v>SG&amp;A</v>
          </cell>
          <cell r="O11171" t="str">
            <v>[No Vendor]</v>
          </cell>
        </row>
        <row r="11172">
          <cell r="D11172">
            <v>0</v>
          </cell>
          <cell r="H11172">
            <v>45901</v>
          </cell>
          <cell r="I11172" t="str">
            <v>8000 - Interest Income</v>
          </cell>
          <cell r="J11172">
            <v>0</v>
          </cell>
          <cell r="K11172" t="str">
            <v>Licensing</v>
          </cell>
          <cell r="L11172" t="str">
            <v>Other Income (BTL)</v>
          </cell>
          <cell r="N11172" t="str">
            <v>BTL</v>
          </cell>
          <cell r="O11172" t="str">
            <v>[No Vendor]</v>
          </cell>
        </row>
        <row r="11173">
          <cell r="D11173">
            <v>-583</v>
          </cell>
          <cell r="H11173">
            <v>45901</v>
          </cell>
          <cell r="I11173" t="str">
            <v>8050 - Other Income</v>
          </cell>
          <cell r="J11173">
            <v>0</v>
          </cell>
          <cell r="K11173" t="str">
            <v>Administration</v>
          </cell>
          <cell r="L11173" t="str">
            <v>Other Income (BTL)</v>
          </cell>
          <cell r="N11173" t="str">
            <v>BTL</v>
          </cell>
          <cell r="O11173" t="str">
            <v>[No Vendor]</v>
          </cell>
        </row>
        <row r="11174">
          <cell r="D11174">
            <v>439</v>
          </cell>
          <cell r="H11174">
            <v>45901</v>
          </cell>
          <cell r="I11174" t="str">
            <v>8505 - Realized Gain/Loss</v>
          </cell>
          <cell r="J11174">
            <v>0</v>
          </cell>
          <cell r="K11174" t="str">
            <v>No Department</v>
          </cell>
          <cell r="L11174" t="str">
            <v>Realized Gain / Loss</v>
          </cell>
          <cell r="N11174" t="str">
            <v>BTL</v>
          </cell>
          <cell r="O11174" t="str">
            <v>[No Vendor]</v>
          </cell>
        </row>
        <row r="11175">
          <cell r="D11175">
            <v>775.52</v>
          </cell>
          <cell r="H11175">
            <v>45901</v>
          </cell>
          <cell r="I11175" t="str">
            <v>8505 - Realized Gain/Loss</v>
          </cell>
          <cell r="J11175">
            <v>0</v>
          </cell>
          <cell r="K11175" t="str">
            <v>No Department</v>
          </cell>
          <cell r="L11175" t="str">
            <v>Realized Gain / Loss</v>
          </cell>
          <cell r="N11175" t="str">
            <v>BTL</v>
          </cell>
          <cell r="O11175" t="str">
            <v>[No Vendor]</v>
          </cell>
        </row>
        <row r="11176">
          <cell r="D11176">
            <v>121.53</v>
          </cell>
          <cell r="H11176">
            <v>45901</v>
          </cell>
          <cell r="I11176" t="str">
            <v>8505 - Realized Gain/Loss</v>
          </cell>
          <cell r="J11176">
            <v>0</v>
          </cell>
          <cell r="K11176" t="str">
            <v>No Department</v>
          </cell>
          <cell r="L11176" t="str">
            <v>Realized Gain / Loss</v>
          </cell>
          <cell r="N11176" t="str">
            <v>BTL</v>
          </cell>
          <cell r="O11176" t="str">
            <v>[No Vendor]</v>
          </cell>
        </row>
        <row r="11177">
          <cell r="D11177">
            <v>218631</v>
          </cell>
          <cell r="H11177">
            <v>45901</v>
          </cell>
          <cell r="I11177" t="str">
            <v>8700 - Other Expense</v>
          </cell>
          <cell r="J11177">
            <v>0</v>
          </cell>
          <cell r="K11177" t="str">
            <v>Administration</v>
          </cell>
          <cell r="L11177" t="str">
            <v>Other Expense</v>
          </cell>
          <cell r="N11177" t="str">
            <v>BTL</v>
          </cell>
          <cell r="O11177" t="str">
            <v>Bryan Cave Leighton Paisner LLP</v>
          </cell>
        </row>
        <row r="11178">
          <cell r="D11178">
            <v>-600000</v>
          </cell>
          <cell r="H11178">
            <v>45901</v>
          </cell>
          <cell r="I11178" t="str">
            <v>8700 - Other Expense</v>
          </cell>
          <cell r="J11178">
            <v>0</v>
          </cell>
          <cell r="K11178" t="str">
            <v>Administration</v>
          </cell>
          <cell r="L11178" t="str">
            <v>Other Expense</v>
          </cell>
          <cell r="N11178" t="str">
            <v>BTL</v>
          </cell>
          <cell r="O11178" t="str">
            <v>[No Vendor]</v>
          </cell>
        </row>
        <row r="11179">
          <cell r="D11179">
            <v>300000</v>
          </cell>
          <cell r="H11179">
            <v>45901</v>
          </cell>
          <cell r="I11179" t="str">
            <v>8700 - Other Expense</v>
          </cell>
          <cell r="J11179">
            <v>0</v>
          </cell>
          <cell r="K11179" t="str">
            <v>Administration</v>
          </cell>
          <cell r="L11179" t="str">
            <v>Other Expense</v>
          </cell>
          <cell r="N11179" t="str">
            <v>BTL</v>
          </cell>
          <cell r="O11179" t="str">
            <v>[No Vendor]</v>
          </cell>
        </row>
        <row r="11180">
          <cell r="D11180">
            <v>-280750.28000000003</v>
          </cell>
          <cell r="H11180">
            <v>45901</v>
          </cell>
          <cell r="I11180" t="str">
            <v>8700 - Other Expense</v>
          </cell>
          <cell r="J11180">
            <v>0</v>
          </cell>
          <cell r="K11180" t="str">
            <v>Administration</v>
          </cell>
          <cell r="L11180" t="str">
            <v>Other Expense</v>
          </cell>
          <cell r="N11180" t="str">
            <v>BTL</v>
          </cell>
          <cell r="O11180" t="str">
            <v>[No Vendor]</v>
          </cell>
        </row>
        <row r="11181">
          <cell r="D11181">
            <v>53407.67</v>
          </cell>
          <cell r="H11181">
            <v>45901</v>
          </cell>
          <cell r="I11181" t="str">
            <v>8700 - Other Expense</v>
          </cell>
          <cell r="J11181" t="str">
            <v>Ecommerce (US)</v>
          </cell>
          <cell r="K11181" t="str">
            <v>Ecommerce</v>
          </cell>
          <cell r="L11181" t="str">
            <v>Other Expense</v>
          </cell>
          <cell r="N11181" t="str">
            <v>BTL</v>
          </cell>
          <cell r="O11181" t="str">
            <v>[No Vendor]</v>
          </cell>
        </row>
        <row r="11182">
          <cell r="D11182">
            <v>-50358.58</v>
          </cell>
          <cell r="H11182">
            <v>45901</v>
          </cell>
          <cell r="I11182" t="str">
            <v>8700 - Other Expense</v>
          </cell>
          <cell r="J11182" t="str">
            <v>Wholesale</v>
          </cell>
          <cell r="K11182" t="str">
            <v>Wholesale</v>
          </cell>
          <cell r="L11182" t="str">
            <v>Other Expense</v>
          </cell>
          <cell r="N11182" t="str">
            <v>BTL</v>
          </cell>
          <cell r="O11182" t="str">
            <v>[No Vendor]</v>
          </cell>
        </row>
        <row r="11183">
          <cell r="D11183">
            <v>31921.34</v>
          </cell>
          <cell r="H11183">
            <v>45901</v>
          </cell>
          <cell r="I11183" t="str">
            <v>Unrealized Gain/Loss</v>
          </cell>
          <cell r="J11183">
            <v>0</v>
          </cell>
          <cell r="K11183" t="str">
            <v>No Department</v>
          </cell>
          <cell r="L11183" t="str">
            <v>Unrealized Gain / Loss</v>
          </cell>
          <cell r="N11183" t="str">
            <v>BTL</v>
          </cell>
          <cell r="O11183" t="str">
            <v>[No Vendor]</v>
          </cell>
        </row>
        <row r="11184">
          <cell r="D11184">
            <v>133794.22</v>
          </cell>
          <cell r="H11184">
            <v>45901</v>
          </cell>
          <cell r="I11184" t="str">
            <v>Unrealized Gain/Loss</v>
          </cell>
          <cell r="J11184">
            <v>0</v>
          </cell>
          <cell r="K11184" t="str">
            <v>No Department</v>
          </cell>
          <cell r="L11184" t="str">
            <v>Unrealized Gain / Loss</v>
          </cell>
          <cell r="N11184" t="str">
            <v>BTL</v>
          </cell>
          <cell r="O11184" t="str">
            <v>[No Vendor]</v>
          </cell>
        </row>
        <row r="11185">
          <cell r="D11185">
            <v>-147597.54999999999</v>
          </cell>
          <cell r="H11185">
            <v>45901</v>
          </cell>
          <cell r="I11185" t="str">
            <v>Unrealized Gain/Loss</v>
          </cell>
          <cell r="J11185">
            <v>0</v>
          </cell>
          <cell r="K11185" t="str">
            <v>No Department</v>
          </cell>
          <cell r="L11185" t="str">
            <v>Unrealized Gain / Loss</v>
          </cell>
          <cell r="N11185" t="str">
            <v>BTL</v>
          </cell>
          <cell r="O11185" t="str">
            <v>[No Vendor]</v>
          </cell>
        </row>
        <row r="11186">
          <cell r="D11186">
            <v>-35696.32</v>
          </cell>
          <cell r="H11186">
            <v>45901</v>
          </cell>
          <cell r="I11186" t="str">
            <v>Unrealized Gain/Loss</v>
          </cell>
          <cell r="J11186">
            <v>0</v>
          </cell>
          <cell r="K11186" t="str">
            <v>No Department</v>
          </cell>
          <cell r="L11186" t="str">
            <v>Unrealized Gain / Loss</v>
          </cell>
          <cell r="N11186" t="str">
            <v>BTL</v>
          </cell>
          <cell r="O11186" t="str">
            <v>[No Vendor]</v>
          </cell>
        </row>
        <row r="11187">
          <cell r="D11187">
            <v>40000</v>
          </cell>
          <cell r="H11187">
            <v>45931</v>
          </cell>
          <cell r="I11187" t="str">
            <v>4010 - Revenue - Licensing Fees (Royalties)</v>
          </cell>
          <cell r="J11187">
            <v>0</v>
          </cell>
          <cell r="K11187" t="str">
            <v>Licensing</v>
          </cell>
          <cell r="L11187" t="str">
            <v>License</v>
          </cell>
          <cell r="N11187" t="str">
            <v>Revenue</v>
          </cell>
          <cell r="O11187" t="str">
            <v>[No Vendor]</v>
          </cell>
        </row>
        <row r="11188">
          <cell r="D11188">
            <v>-50247.4</v>
          </cell>
          <cell r="H11188">
            <v>45931</v>
          </cell>
          <cell r="I11188" t="str">
            <v>4010 - Revenue - Licensing Fees (Royalties)</v>
          </cell>
          <cell r="J11188">
            <v>0</v>
          </cell>
          <cell r="K11188" t="str">
            <v>Licensing</v>
          </cell>
          <cell r="L11188" t="str">
            <v>License</v>
          </cell>
          <cell r="N11188" t="str">
            <v>Revenue</v>
          </cell>
          <cell r="O11188" t="str">
            <v>[No Vendor]</v>
          </cell>
        </row>
        <row r="11189">
          <cell r="D11189">
            <v>0</v>
          </cell>
          <cell r="H11189">
            <v>45931</v>
          </cell>
          <cell r="I11189" t="str">
            <v>4010 - Revenue - Licensing Fees (Royalties)</v>
          </cell>
          <cell r="J11189">
            <v>0</v>
          </cell>
          <cell r="K11189" t="str">
            <v>Licensing</v>
          </cell>
          <cell r="L11189" t="str">
            <v>License</v>
          </cell>
          <cell r="N11189" t="str">
            <v>Revenue</v>
          </cell>
          <cell r="O11189" t="str">
            <v>[No Vendor]</v>
          </cell>
        </row>
        <row r="11190">
          <cell r="D11190">
            <v>-4166.67</v>
          </cell>
          <cell r="H11190">
            <v>45931</v>
          </cell>
          <cell r="I11190" t="str">
            <v>4010 - Revenue - Licensing Fees (Royalties)</v>
          </cell>
          <cell r="J11190">
            <v>0</v>
          </cell>
          <cell r="K11190" t="str">
            <v>Licensing</v>
          </cell>
          <cell r="L11190" t="str">
            <v>License</v>
          </cell>
          <cell r="N11190" t="str">
            <v>Revenue</v>
          </cell>
          <cell r="O11190" t="str">
            <v>[No Vendor]</v>
          </cell>
        </row>
        <row r="11191">
          <cell r="D11191">
            <v>-47909.75</v>
          </cell>
          <cell r="H11191">
            <v>45931</v>
          </cell>
          <cell r="I11191" t="str">
            <v>4010 - Revenue - Licensing Fees (Royalties)</v>
          </cell>
          <cell r="J11191">
            <v>0</v>
          </cell>
          <cell r="K11191" t="str">
            <v>Licensing</v>
          </cell>
          <cell r="L11191" t="str">
            <v>License</v>
          </cell>
          <cell r="N11191" t="str">
            <v>Revenue</v>
          </cell>
          <cell r="O11191" t="str">
            <v>[No Vendor]</v>
          </cell>
        </row>
        <row r="11192">
          <cell r="D11192">
            <v>0</v>
          </cell>
          <cell r="H11192">
            <v>45931</v>
          </cell>
          <cell r="I11192" t="str">
            <v>4010 - Revenue - Licensing Fees (Royalties)</v>
          </cell>
          <cell r="J11192">
            <v>0</v>
          </cell>
          <cell r="K11192" t="str">
            <v>Licensing</v>
          </cell>
          <cell r="L11192" t="str">
            <v>License</v>
          </cell>
          <cell r="N11192" t="str">
            <v>Revenue</v>
          </cell>
          <cell r="O11192" t="str">
            <v>[No Vendor]</v>
          </cell>
        </row>
        <row r="11193">
          <cell r="D11193">
            <v>0</v>
          </cell>
          <cell r="H11193">
            <v>45931</v>
          </cell>
          <cell r="I11193" t="str">
            <v>4010 - Revenue - Licensing Fees (Royalties)</v>
          </cell>
          <cell r="J11193">
            <v>0</v>
          </cell>
          <cell r="K11193" t="str">
            <v>Licensing</v>
          </cell>
          <cell r="L11193" t="str">
            <v>License</v>
          </cell>
          <cell r="N11193" t="str">
            <v>Revenue</v>
          </cell>
          <cell r="O11193" t="str">
            <v>[No Vendor]</v>
          </cell>
        </row>
        <row r="11194">
          <cell r="D11194">
            <v>0</v>
          </cell>
          <cell r="H11194">
            <v>45931</v>
          </cell>
          <cell r="I11194" t="str">
            <v>4010 - Revenue - Licensing Fees (Royalties)</v>
          </cell>
          <cell r="J11194">
            <v>0</v>
          </cell>
          <cell r="K11194" t="str">
            <v>Licensing</v>
          </cell>
          <cell r="L11194" t="str">
            <v>License</v>
          </cell>
          <cell r="N11194" t="str">
            <v>Revenue</v>
          </cell>
          <cell r="O11194" t="str">
            <v>[No Vendor]</v>
          </cell>
        </row>
        <row r="11195">
          <cell r="D11195">
            <v>0</v>
          </cell>
          <cell r="H11195">
            <v>45931</v>
          </cell>
          <cell r="I11195" t="str">
            <v>4010 - Revenue - Licensing Fees (Royalties)</v>
          </cell>
          <cell r="J11195">
            <v>0</v>
          </cell>
          <cell r="K11195" t="str">
            <v>Licensing</v>
          </cell>
          <cell r="L11195" t="str">
            <v>License</v>
          </cell>
          <cell r="N11195" t="str">
            <v>Revenue</v>
          </cell>
          <cell r="O11195" t="str">
            <v>[No Vendor]</v>
          </cell>
        </row>
        <row r="11196">
          <cell r="D11196">
            <v>0</v>
          </cell>
          <cell r="H11196">
            <v>45931</v>
          </cell>
          <cell r="I11196" t="str">
            <v>4020 - Revenue - Marketing Contribution</v>
          </cell>
          <cell r="J11196">
            <v>0</v>
          </cell>
          <cell r="K11196" t="str">
            <v>Licensing</v>
          </cell>
          <cell r="L11196" t="str">
            <v>License</v>
          </cell>
          <cell r="N11196" t="str">
            <v>Revenue</v>
          </cell>
          <cell r="O11196" t="str">
            <v>[No Vendor]</v>
          </cell>
        </row>
        <row r="11197">
          <cell r="D11197">
            <v>-1908886.7</v>
          </cell>
          <cell r="H11197">
            <v>45931</v>
          </cell>
          <cell r="I11197" t="str">
            <v>4050 - Sales Revenue - Ecommerce (US)</v>
          </cell>
          <cell r="J11197" t="str">
            <v>Ecommerce (US)</v>
          </cell>
          <cell r="K11197" t="str">
            <v>Ecommerce</v>
          </cell>
          <cell r="L11197" t="str">
            <v>Ecommerce (US)</v>
          </cell>
          <cell r="N11197" t="str">
            <v>Revenue</v>
          </cell>
          <cell r="O11197" t="str">
            <v>[No Vendor]</v>
          </cell>
        </row>
        <row r="11198">
          <cell r="D11198">
            <v>-55520.55</v>
          </cell>
          <cell r="H11198">
            <v>45931</v>
          </cell>
          <cell r="I11198" t="str">
            <v>4050 - Sales Revenue - Ecommerce (US)</v>
          </cell>
          <cell r="J11198" t="str">
            <v>Ecommerce (US)</v>
          </cell>
          <cell r="K11198" t="str">
            <v>Ecommerce</v>
          </cell>
          <cell r="L11198" t="str">
            <v>Ecommerce (US)</v>
          </cell>
          <cell r="N11198" t="str">
            <v>Revenue</v>
          </cell>
          <cell r="O11198" t="str">
            <v>[No Vendor]</v>
          </cell>
        </row>
        <row r="11199">
          <cell r="D11199">
            <v>659.16</v>
          </cell>
          <cell r="H11199">
            <v>45931</v>
          </cell>
          <cell r="I11199" t="str">
            <v>4051 - Sales Revenue - Ecommerce (Intl)</v>
          </cell>
          <cell r="J11199" t="str">
            <v>Ecommerce (EU)</v>
          </cell>
          <cell r="K11199" t="str">
            <v>Ecommerce</v>
          </cell>
          <cell r="L11199" t="str">
            <v>Ecommerce (EU)</v>
          </cell>
          <cell r="N11199" t="str">
            <v>Revenue</v>
          </cell>
          <cell r="O11199" t="str">
            <v>[No Vendor]</v>
          </cell>
        </row>
        <row r="11200">
          <cell r="D11200">
            <v>-48540.26</v>
          </cell>
          <cell r="H11200">
            <v>45931</v>
          </cell>
          <cell r="I11200" t="str">
            <v>4051 - Sales Revenue - Ecommerce (Intl)</v>
          </cell>
          <cell r="J11200" t="str">
            <v>Ecommerce (EU)</v>
          </cell>
          <cell r="K11200" t="str">
            <v>Ecommerce</v>
          </cell>
          <cell r="L11200" t="str">
            <v>Ecommerce (EU)</v>
          </cell>
          <cell r="N11200" t="str">
            <v>Revenue</v>
          </cell>
          <cell r="O11200" t="str">
            <v>[No Vendor]</v>
          </cell>
        </row>
        <row r="11201">
          <cell r="D11201">
            <v>-235139</v>
          </cell>
          <cell r="H11201">
            <v>45931</v>
          </cell>
          <cell r="I11201" t="str">
            <v>4052 - Sales Revenue - Wholesale (US)</v>
          </cell>
          <cell r="J11201" t="str">
            <v>Wholesale</v>
          </cell>
          <cell r="K11201" t="str">
            <v>Wholesale</v>
          </cell>
          <cell r="L11201" t="str">
            <v>Wholesale</v>
          </cell>
          <cell r="N11201" t="str">
            <v>Revenue</v>
          </cell>
          <cell r="O11201" t="str">
            <v>[No Vendor]</v>
          </cell>
        </row>
        <row r="11202">
          <cell r="D11202">
            <v>5059.53</v>
          </cell>
          <cell r="H11202">
            <v>45931</v>
          </cell>
          <cell r="I11202" t="str">
            <v>4070 - Sales - Other</v>
          </cell>
          <cell r="J11202" t="str">
            <v>Ecommerce (US)</v>
          </cell>
          <cell r="K11202" t="str">
            <v>Ecommerce</v>
          </cell>
          <cell r="L11202" t="str">
            <v>Other Income</v>
          </cell>
          <cell r="N11202" t="str">
            <v>Revenue</v>
          </cell>
          <cell r="O11202" t="str">
            <v>[No Vendor]</v>
          </cell>
        </row>
        <row r="11203">
          <cell r="D11203">
            <v>-5017.3999999999996</v>
          </cell>
          <cell r="H11203">
            <v>45931</v>
          </cell>
          <cell r="I11203" t="str">
            <v>4070 - Sales - Other</v>
          </cell>
          <cell r="J11203" t="str">
            <v>Ecommerce (US)</v>
          </cell>
          <cell r="K11203" t="str">
            <v>Ecommerce</v>
          </cell>
          <cell r="L11203" t="str">
            <v>Other Income</v>
          </cell>
          <cell r="N11203" t="str">
            <v>Revenue</v>
          </cell>
          <cell r="O11203" t="str">
            <v>[No Vendor]</v>
          </cell>
        </row>
        <row r="11204">
          <cell r="D11204">
            <v>-8153.21</v>
          </cell>
          <cell r="H11204">
            <v>45931</v>
          </cell>
          <cell r="I11204" t="str">
            <v>4070 - Sales - Other</v>
          </cell>
          <cell r="J11204" t="str">
            <v>Ecommerce (US)</v>
          </cell>
          <cell r="K11204" t="str">
            <v>Ecommerce</v>
          </cell>
          <cell r="L11204" t="str">
            <v>Other Income</v>
          </cell>
          <cell r="N11204" t="str">
            <v>Revenue</v>
          </cell>
          <cell r="O11204" t="str">
            <v>[No Vendor]</v>
          </cell>
        </row>
        <row r="11205">
          <cell r="D11205">
            <v>0</v>
          </cell>
          <cell r="H11205">
            <v>45931</v>
          </cell>
          <cell r="I11205" t="str">
            <v>4070 - Sales - Other</v>
          </cell>
          <cell r="J11205">
            <v>0</v>
          </cell>
          <cell r="K11205" t="str">
            <v>Licensing</v>
          </cell>
          <cell r="L11205" t="str">
            <v>Other Income</v>
          </cell>
          <cell r="N11205" t="str">
            <v>Revenue</v>
          </cell>
          <cell r="O11205" t="str">
            <v>[No Vendor]</v>
          </cell>
        </row>
        <row r="11206">
          <cell r="D11206">
            <v>-6232.38</v>
          </cell>
          <cell r="H11206">
            <v>45931</v>
          </cell>
          <cell r="I11206" t="str">
            <v>4900 - Interco Royalty Revenue</v>
          </cell>
          <cell r="J11206">
            <v>0</v>
          </cell>
          <cell r="K11206" t="str">
            <v>Licensing</v>
          </cell>
          <cell r="L11206">
            <v>0</v>
          </cell>
          <cell r="N11206">
            <v>0</v>
          </cell>
          <cell r="O11206" t="str">
            <v>[No Vendor]</v>
          </cell>
        </row>
        <row r="11207">
          <cell r="D11207">
            <v>349049.86</v>
          </cell>
          <cell r="H11207">
            <v>45931</v>
          </cell>
          <cell r="I11207" t="str">
            <v>4062 - Sales Discount - Ecomm (US)</v>
          </cell>
          <cell r="J11207" t="str">
            <v>Ecommerce (US)</v>
          </cell>
          <cell r="K11207" t="str">
            <v>Ecommerce</v>
          </cell>
          <cell r="L11207" t="str">
            <v>Ecommerce (US)</v>
          </cell>
          <cell r="N11207" t="str">
            <v>Revenue</v>
          </cell>
          <cell r="O11207" t="str">
            <v>[No Vendor]</v>
          </cell>
        </row>
        <row r="11208">
          <cell r="D11208">
            <v>0</v>
          </cell>
          <cell r="H11208">
            <v>45931</v>
          </cell>
          <cell r="I11208" t="str">
            <v>4062 - Sales Discount - Ecomm (US)</v>
          </cell>
          <cell r="J11208" t="str">
            <v>Ecommerce (US)</v>
          </cell>
          <cell r="K11208" t="str">
            <v>Ecommerce</v>
          </cell>
          <cell r="L11208" t="str">
            <v>Ecommerce (US)</v>
          </cell>
          <cell r="N11208" t="str">
            <v>Revenue</v>
          </cell>
          <cell r="O11208" t="str">
            <v>[No Vendor]</v>
          </cell>
        </row>
        <row r="11209">
          <cell r="D11209">
            <v>33287.800000000003</v>
          </cell>
          <cell r="H11209">
            <v>45931</v>
          </cell>
          <cell r="I11209" t="str">
            <v>4063 - Sales Discount - Wholesale (US)</v>
          </cell>
          <cell r="J11209" t="str">
            <v>Wholesale</v>
          </cell>
          <cell r="K11209" t="str">
            <v>Wholesale</v>
          </cell>
          <cell r="L11209" t="str">
            <v>Wholesale</v>
          </cell>
          <cell r="N11209" t="str">
            <v>Revenue</v>
          </cell>
          <cell r="O11209" t="str">
            <v>[No Vendor]</v>
          </cell>
        </row>
        <row r="11210">
          <cell r="D11210">
            <v>14948.89</v>
          </cell>
          <cell r="H11210">
            <v>45931</v>
          </cell>
          <cell r="I11210" t="str">
            <v>5000 - Cost of Goods Sold</v>
          </cell>
          <cell r="J11210" t="str">
            <v>Ecommerce (EU)</v>
          </cell>
          <cell r="K11210" t="str">
            <v>Ecommerce</v>
          </cell>
          <cell r="L11210" t="str">
            <v>COGS</v>
          </cell>
          <cell r="N11210" t="str">
            <v>COGS</v>
          </cell>
          <cell r="O11210" t="str">
            <v>[No Vendor]</v>
          </cell>
        </row>
        <row r="11211">
          <cell r="D11211">
            <v>19813.77</v>
          </cell>
          <cell r="H11211">
            <v>45931</v>
          </cell>
          <cell r="I11211" t="str">
            <v>5000 - Cost of Goods Sold</v>
          </cell>
          <cell r="J11211" t="str">
            <v>Ecommerce (US)</v>
          </cell>
          <cell r="K11211" t="str">
            <v>Ecommerce</v>
          </cell>
          <cell r="L11211" t="str">
            <v>COGS</v>
          </cell>
          <cell r="N11211" t="str">
            <v>COGS</v>
          </cell>
          <cell r="O11211" t="str">
            <v>[No Vendor]</v>
          </cell>
        </row>
        <row r="11212">
          <cell r="D11212">
            <v>654839.35</v>
          </cell>
          <cell r="H11212">
            <v>45931</v>
          </cell>
          <cell r="I11212" t="str">
            <v>5000 - Cost of Goods Sold</v>
          </cell>
          <cell r="J11212" t="str">
            <v>Ecommerce (US)</v>
          </cell>
          <cell r="K11212" t="str">
            <v>Ecommerce</v>
          </cell>
          <cell r="L11212" t="str">
            <v>COGS</v>
          </cell>
          <cell r="N11212" t="str">
            <v>COGS</v>
          </cell>
          <cell r="O11212" t="str">
            <v>[No Vendor]</v>
          </cell>
        </row>
        <row r="11213">
          <cell r="D11213">
            <v>121962.49</v>
          </cell>
          <cell r="H11213">
            <v>45931</v>
          </cell>
          <cell r="I11213" t="str">
            <v>5000 - Cost of Goods Sold</v>
          </cell>
          <cell r="J11213" t="str">
            <v>Wholesale</v>
          </cell>
          <cell r="K11213" t="str">
            <v>Wholesale</v>
          </cell>
          <cell r="L11213" t="str">
            <v>COGS</v>
          </cell>
          <cell r="N11213" t="str">
            <v>COGS</v>
          </cell>
          <cell r="O11213" t="str">
            <v>[No Vendor]</v>
          </cell>
        </row>
        <row r="11214">
          <cell r="D11214">
            <v>0</v>
          </cell>
          <cell r="H11214">
            <v>45931</v>
          </cell>
          <cell r="I11214" t="str">
            <v>5000 - Cost of Goods Sold</v>
          </cell>
          <cell r="J11214" t="str">
            <v>Wholesale</v>
          </cell>
          <cell r="K11214" t="str">
            <v>Wholesale</v>
          </cell>
          <cell r="L11214" t="str">
            <v>COGS</v>
          </cell>
          <cell r="N11214" t="str">
            <v>COGS</v>
          </cell>
          <cell r="O11214" t="str">
            <v>[No Vendor]</v>
          </cell>
        </row>
        <row r="11215">
          <cell r="D11215">
            <v>6232.38</v>
          </cell>
          <cell r="H11215">
            <v>45931</v>
          </cell>
          <cell r="I11215" t="str">
            <v>5900 - Interco Royalty Expense</v>
          </cell>
          <cell r="J11215">
            <v>0</v>
          </cell>
          <cell r="K11215" t="str">
            <v>Licensing</v>
          </cell>
          <cell r="L11215">
            <v>0</v>
          </cell>
          <cell r="N11215">
            <v>0</v>
          </cell>
          <cell r="O11215" t="str">
            <v>[No Vendor]</v>
          </cell>
        </row>
        <row r="11216">
          <cell r="D11216">
            <v>-4015.39</v>
          </cell>
          <cell r="H11216">
            <v>45931</v>
          </cell>
          <cell r="I11216" t="str">
            <v>6005 - Salaries</v>
          </cell>
          <cell r="J11216" t="str">
            <v>Wholesale</v>
          </cell>
          <cell r="K11216" t="str">
            <v>Wholesale</v>
          </cell>
          <cell r="L11216" t="str">
            <v>HQ Salaries</v>
          </cell>
          <cell r="N11216" t="str">
            <v>SG&amp;A</v>
          </cell>
          <cell r="O11216" t="str">
            <v>[No Vendor]</v>
          </cell>
        </row>
        <row r="11217">
          <cell r="D11217">
            <v>-18175.39</v>
          </cell>
          <cell r="H11217">
            <v>45931</v>
          </cell>
          <cell r="I11217" t="str">
            <v>6005 - Salaries</v>
          </cell>
          <cell r="J11217">
            <v>0</v>
          </cell>
          <cell r="K11217" t="str">
            <v>Production</v>
          </cell>
          <cell r="L11217" t="str">
            <v>HQ Salaries</v>
          </cell>
          <cell r="N11217" t="str">
            <v>SG&amp;A</v>
          </cell>
          <cell r="O11217" t="str">
            <v>[No Vendor]</v>
          </cell>
        </row>
        <row r="11218">
          <cell r="D11218">
            <v>-4615.38</v>
          </cell>
          <cell r="H11218">
            <v>45931</v>
          </cell>
          <cell r="I11218" t="str">
            <v>6005 - Salaries</v>
          </cell>
          <cell r="J11218">
            <v>0</v>
          </cell>
          <cell r="K11218" t="str">
            <v>Merchandising</v>
          </cell>
          <cell r="L11218" t="str">
            <v>HQ Salaries</v>
          </cell>
          <cell r="N11218" t="str">
            <v>SG&amp;A</v>
          </cell>
          <cell r="O11218" t="str">
            <v>[No Vendor]</v>
          </cell>
        </row>
        <row r="11219">
          <cell r="D11219">
            <v>-11538.47</v>
          </cell>
          <cell r="H11219">
            <v>45931</v>
          </cell>
          <cell r="I11219" t="str">
            <v>6005 - Salaries</v>
          </cell>
          <cell r="J11219">
            <v>0</v>
          </cell>
          <cell r="K11219" t="str">
            <v>Brand Marketing</v>
          </cell>
          <cell r="L11219" t="str">
            <v>HQ Salaries</v>
          </cell>
          <cell r="N11219" t="str">
            <v>SG&amp;A</v>
          </cell>
          <cell r="O11219" t="str">
            <v>[No Vendor]</v>
          </cell>
        </row>
        <row r="11220">
          <cell r="D11220">
            <v>-13647.7</v>
          </cell>
          <cell r="H11220">
            <v>45931</v>
          </cell>
          <cell r="I11220" t="str">
            <v>6005 - Salaries</v>
          </cell>
          <cell r="J11220">
            <v>0</v>
          </cell>
          <cell r="K11220" t="str">
            <v>Executive</v>
          </cell>
          <cell r="L11220" t="str">
            <v>HQ Salaries</v>
          </cell>
          <cell r="N11220" t="str">
            <v>SG&amp;A</v>
          </cell>
          <cell r="O11220" t="str">
            <v>[No Vendor]</v>
          </cell>
        </row>
        <row r="11221">
          <cell r="D11221">
            <v>-24849.25</v>
          </cell>
          <cell r="H11221">
            <v>45931</v>
          </cell>
          <cell r="I11221" t="str">
            <v>6005 - Salaries</v>
          </cell>
          <cell r="J11221" t="str">
            <v>Ecommerce (US)</v>
          </cell>
          <cell r="K11221" t="str">
            <v>Ecommerce</v>
          </cell>
          <cell r="L11221" t="str">
            <v>HQ Salaries</v>
          </cell>
          <cell r="N11221" t="str">
            <v>SG&amp;A</v>
          </cell>
          <cell r="O11221" t="str">
            <v>[No Vendor]</v>
          </cell>
        </row>
        <row r="11222">
          <cell r="D11222">
            <v>-26926.19</v>
          </cell>
          <cell r="H11222">
            <v>45931</v>
          </cell>
          <cell r="I11222" t="str">
            <v>6005 - Salaries</v>
          </cell>
          <cell r="J11222">
            <v>0</v>
          </cell>
          <cell r="K11222" t="str">
            <v>Design</v>
          </cell>
          <cell r="L11222" t="str">
            <v>HQ Salaries</v>
          </cell>
          <cell r="N11222" t="str">
            <v>SG&amp;A</v>
          </cell>
          <cell r="O11222" t="str">
            <v>[No Vendor]</v>
          </cell>
        </row>
        <row r="11223">
          <cell r="D11223">
            <v>-21780.01</v>
          </cell>
          <cell r="H11223">
            <v>45931</v>
          </cell>
          <cell r="I11223" t="str">
            <v>6005 - Salaries</v>
          </cell>
          <cell r="J11223">
            <v>0</v>
          </cell>
          <cell r="K11223" t="str">
            <v>Administration</v>
          </cell>
          <cell r="L11223" t="str">
            <v>HQ Salaries</v>
          </cell>
          <cell r="N11223" t="str">
            <v>SG&amp;A</v>
          </cell>
          <cell r="O11223" t="str">
            <v>[No Vendor]</v>
          </cell>
        </row>
        <row r="11224">
          <cell r="D11224">
            <v>3346.16</v>
          </cell>
          <cell r="H11224">
            <v>45931</v>
          </cell>
          <cell r="I11224" t="str">
            <v>6005 - Salaries</v>
          </cell>
          <cell r="J11224" t="str">
            <v>Wholesale</v>
          </cell>
          <cell r="K11224" t="str">
            <v>Wholesale</v>
          </cell>
          <cell r="L11224" t="str">
            <v>HQ Salaries</v>
          </cell>
          <cell r="N11224" t="str">
            <v>SG&amp;A</v>
          </cell>
          <cell r="O11224" t="str">
            <v>[No Vendor]</v>
          </cell>
        </row>
        <row r="11225">
          <cell r="D11225">
            <v>15146.16</v>
          </cell>
          <cell r="H11225">
            <v>45931</v>
          </cell>
          <cell r="I11225" t="str">
            <v>6005 - Salaries</v>
          </cell>
          <cell r="J11225">
            <v>0</v>
          </cell>
          <cell r="K11225" t="str">
            <v>Production</v>
          </cell>
          <cell r="L11225" t="str">
            <v>HQ Salaries</v>
          </cell>
          <cell r="N11225" t="str">
            <v>SG&amp;A</v>
          </cell>
          <cell r="O11225" t="str">
            <v>[No Vendor]</v>
          </cell>
        </row>
        <row r="11226">
          <cell r="D11226">
            <v>3846.15</v>
          </cell>
          <cell r="H11226">
            <v>45931</v>
          </cell>
          <cell r="I11226" t="str">
            <v>6005 - Salaries</v>
          </cell>
          <cell r="J11226">
            <v>0</v>
          </cell>
          <cell r="K11226" t="str">
            <v>Merchandising</v>
          </cell>
          <cell r="L11226" t="str">
            <v>HQ Salaries</v>
          </cell>
          <cell r="N11226" t="str">
            <v>SG&amp;A</v>
          </cell>
          <cell r="O11226" t="str">
            <v>[No Vendor]</v>
          </cell>
        </row>
        <row r="11227">
          <cell r="D11227">
            <v>9615.39</v>
          </cell>
          <cell r="H11227">
            <v>45931</v>
          </cell>
          <cell r="I11227" t="str">
            <v>6005 - Salaries</v>
          </cell>
          <cell r="J11227">
            <v>0</v>
          </cell>
          <cell r="K11227" t="str">
            <v>Brand Marketing</v>
          </cell>
          <cell r="L11227" t="str">
            <v>HQ Salaries</v>
          </cell>
          <cell r="N11227" t="str">
            <v>SG&amp;A</v>
          </cell>
          <cell r="O11227" t="str">
            <v>[No Vendor]</v>
          </cell>
        </row>
        <row r="11228">
          <cell r="D11228">
            <v>11373.08</v>
          </cell>
          <cell r="H11228">
            <v>45931</v>
          </cell>
          <cell r="I11228" t="str">
            <v>6005 - Salaries</v>
          </cell>
          <cell r="J11228">
            <v>0</v>
          </cell>
          <cell r="K11228" t="str">
            <v>Executive</v>
          </cell>
          <cell r="L11228" t="str">
            <v>HQ Salaries</v>
          </cell>
          <cell r="N11228" t="str">
            <v>SG&amp;A</v>
          </cell>
          <cell r="O11228" t="str">
            <v>[No Vendor]</v>
          </cell>
        </row>
        <row r="11229">
          <cell r="D11229">
            <v>20707.71</v>
          </cell>
          <cell r="H11229">
            <v>45931</v>
          </cell>
          <cell r="I11229" t="str">
            <v>6005 - Salaries</v>
          </cell>
          <cell r="J11229" t="str">
            <v>Ecommerce (US)</v>
          </cell>
          <cell r="K11229" t="str">
            <v>Ecommerce</v>
          </cell>
          <cell r="L11229" t="str">
            <v>HQ Salaries</v>
          </cell>
          <cell r="N11229" t="str">
            <v>SG&amp;A</v>
          </cell>
          <cell r="O11229" t="str">
            <v>[No Vendor]</v>
          </cell>
        </row>
        <row r="11230">
          <cell r="D11230">
            <v>22438.49</v>
          </cell>
          <cell r="H11230">
            <v>45931</v>
          </cell>
          <cell r="I11230" t="str">
            <v>6005 - Salaries</v>
          </cell>
          <cell r="J11230">
            <v>0</v>
          </cell>
          <cell r="K11230" t="str">
            <v>Design</v>
          </cell>
          <cell r="L11230" t="str">
            <v>HQ Salaries</v>
          </cell>
          <cell r="N11230" t="str">
            <v>SG&amp;A</v>
          </cell>
          <cell r="O11230" t="str">
            <v>[No Vendor]</v>
          </cell>
        </row>
        <row r="11231">
          <cell r="D11231">
            <v>18150.009999999998</v>
          </cell>
          <cell r="H11231">
            <v>45931</v>
          </cell>
          <cell r="I11231" t="str">
            <v>6005 - Salaries</v>
          </cell>
          <cell r="J11231">
            <v>0</v>
          </cell>
          <cell r="K11231" t="str">
            <v>Administration</v>
          </cell>
          <cell r="L11231" t="str">
            <v>HQ Salaries</v>
          </cell>
          <cell r="N11231" t="str">
            <v>SG&amp;A</v>
          </cell>
          <cell r="O11231" t="str">
            <v>[No Vendor]</v>
          </cell>
        </row>
        <row r="11232">
          <cell r="D11232">
            <v>3346.16</v>
          </cell>
          <cell r="H11232">
            <v>45931</v>
          </cell>
          <cell r="I11232" t="str">
            <v>6005 - Salaries</v>
          </cell>
          <cell r="J11232" t="str">
            <v>Wholesale</v>
          </cell>
          <cell r="K11232" t="str">
            <v>Wholesale</v>
          </cell>
          <cell r="L11232" t="str">
            <v>HQ Salaries</v>
          </cell>
          <cell r="N11232" t="str">
            <v>SG&amp;A</v>
          </cell>
          <cell r="O11232" t="str">
            <v>[No Vendor]</v>
          </cell>
        </row>
        <row r="11233">
          <cell r="D11233">
            <v>15146.16</v>
          </cell>
          <cell r="H11233">
            <v>45931</v>
          </cell>
          <cell r="I11233" t="str">
            <v>6005 - Salaries</v>
          </cell>
          <cell r="J11233">
            <v>0</v>
          </cell>
          <cell r="K11233" t="str">
            <v>Production</v>
          </cell>
          <cell r="L11233" t="str">
            <v>HQ Salaries</v>
          </cell>
          <cell r="N11233" t="str">
            <v>SG&amp;A</v>
          </cell>
          <cell r="O11233" t="str">
            <v>[No Vendor]</v>
          </cell>
        </row>
        <row r="11234">
          <cell r="D11234">
            <v>3846.15</v>
          </cell>
          <cell r="H11234">
            <v>45931</v>
          </cell>
          <cell r="I11234" t="str">
            <v>6005 - Salaries</v>
          </cell>
          <cell r="J11234">
            <v>0</v>
          </cell>
          <cell r="K11234" t="str">
            <v>Merchandising</v>
          </cell>
          <cell r="L11234" t="str">
            <v>HQ Salaries</v>
          </cell>
          <cell r="N11234" t="str">
            <v>SG&amp;A</v>
          </cell>
          <cell r="O11234" t="str">
            <v>[No Vendor]</v>
          </cell>
        </row>
        <row r="11235">
          <cell r="D11235">
            <v>9615.39</v>
          </cell>
          <cell r="H11235">
            <v>45931</v>
          </cell>
          <cell r="I11235" t="str">
            <v>6005 - Salaries</v>
          </cell>
          <cell r="J11235">
            <v>0</v>
          </cell>
          <cell r="K11235" t="str">
            <v>Brand Marketing</v>
          </cell>
          <cell r="L11235" t="str">
            <v>HQ Salaries</v>
          </cell>
          <cell r="N11235" t="str">
            <v>SG&amp;A</v>
          </cell>
          <cell r="O11235" t="str">
            <v>[No Vendor]</v>
          </cell>
        </row>
        <row r="11236">
          <cell r="D11236">
            <v>11373.08</v>
          </cell>
          <cell r="H11236">
            <v>45931</v>
          </cell>
          <cell r="I11236" t="str">
            <v>6005 - Salaries</v>
          </cell>
          <cell r="J11236">
            <v>0</v>
          </cell>
          <cell r="K11236" t="str">
            <v>Executive</v>
          </cell>
          <cell r="L11236" t="str">
            <v>HQ Salaries</v>
          </cell>
          <cell r="N11236" t="str">
            <v>SG&amp;A</v>
          </cell>
          <cell r="O11236" t="str">
            <v>[No Vendor]</v>
          </cell>
        </row>
        <row r="11237">
          <cell r="D11237">
            <v>20707.71</v>
          </cell>
          <cell r="H11237">
            <v>45931</v>
          </cell>
          <cell r="I11237" t="str">
            <v>6005 - Salaries</v>
          </cell>
          <cell r="J11237" t="str">
            <v>Ecommerce (US)</v>
          </cell>
          <cell r="K11237" t="str">
            <v>Ecommerce</v>
          </cell>
          <cell r="L11237" t="str">
            <v>HQ Salaries</v>
          </cell>
          <cell r="N11237" t="str">
            <v>SG&amp;A</v>
          </cell>
          <cell r="O11237" t="str">
            <v>[No Vendor]</v>
          </cell>
        </row>
        <row r="11238">
          <cell r="D11238">
            <v>22438.49</v>
          </cell>
          <cell r="H11238">
            <v>45931</v>
          </cell>
          <cell r="I11238" t="str">
            <v>6005 - Salaries</v>
          </cell>
          <cell r="J11238">
            <v>0</v>
          </cell>
          <cell r="K11238" t="str">
            <v>Design</v>
          </cell>
          <cell r="L11238" t="str">
            <v>HQ Salaries</v>
          </cell>
          <cell r="N11238" t="str">
            <v>SG&amp;A</v>
          </cell>
          <cell r="O11238" t="str">
            <v>[No Vendor]</v>
          </cell>
        </row>
        <row r="11239">
          <cell r="D11239">
            <v>18150.009999999998</v>
          </cell>
          <cell r="H11239">
            <v>45931</v>
          </cell>
          <cell r="I11239" t="str">
            <v>6005 - Salaries</v>
          </cell>
          <cell r="J11239">
            <v>0</v>
          </cell>
          <cell r="K11239" t="str">
            <v>Administration</v>
          </cell>
          <cell r="L11239" t="str">
            <v>HQ Salaries</v>
          </cell>
          <cell r="N11239" t="str">
            <v>SG&amp;A</v>
          </cell>
          <cell r="O11239" t="str">
            <v>[No Vendor]</v>
          </cell>
        </row>
        <row r="11240">
          <cell r="D11240">
            <v>8865.01</v>
          </cell>
          <cell r="H11240">
            <v>45931</v>
          </cell>
          <cell r="I11240" t="str">
            <v>6005 - Salaries</v>
          </cell>
          <cell r="J11240">
            <v>0</v>
          </cell>
          <cell r="K11240" t="str">
            <v>Administration</v>
          </cell>
          <cell r="L11240" t="str">
            <v>HQ Salaries</v>
          </cell>
          <cell r="N11240" t="str">
            <v>SG&amp;A</v>
          </cell>
          <cell r="O11240" t="str">
            <v>[No Vendor]</v>
          </cell>
        </row>
        <row r="11241">
          <cell r="D11241">
            <v>17730.009999999998</v>
          </cell>
          <cell r="H11241">
            <v>45931</v>
          </cell>
          <cell r="I11241" t="str">
            <v>6005 - Salaries</v>
          </cell>
          <cell r="J11241">
            <v>0</v>
          </cell>
          <cell r="K11241" t="str">
            <v>Administration</v>
          </cell>
          <cell r="L11241" t="str">
            <v>HQ Salaries</v>
          </cell>
          <cell r="N11241" t="str">
            <v>SG&amp;A</v>
          </cell>
          <cell r="O11241" t="str">
            <v>[No Vendor]</v>
          </cell>
        </row>
        <row r="11242">
          <cell r="D11242">
            <v>11219.25</v>
          </cell>
          <cell r="H11242">
            <v>45931</v>
          </cell>
          <cell r="I11242" t="str">
            <v>6005 - Salaries</v>
          </cell>
          <cell r="J11242">
            <v>0</v>
          </cell>
          <cell r="K11242" t="str">
            <v>Design</v>
          </cell>
          <cell r="L11242" t="str">
            <v>HQ Salaries</v>
          </cell>
          <cell r="N11242" t="str">
            <v>SG&amp;A</v>
          </cell>
          <cell r="O11242" t="str">
            <v>[No Vendor]</v>
          </cell>
        </row>
        <row r="11243">
          <cell r="D11243">
            <v>22438.49</v>
          </cell>
          <cell r="H11243">
            <v>45931</v>
          </cell>
          <cell r="I11243" t="str">
            <v>6005 - Salaries</v>
          </cell>
          <cell r="J11243">
            <v>0</v>
          </cell>
          <cell r="K11243" t="str">
            <v>Design</v>
          </cell>
          <cell r="L11243" t="str">
            <v>HQ Salaries</v>
          </cell>
          <cell r="N11243" t="str">
            <v>SG&amp;A</v>
          </cell>
          <cell r="O11243" t="str">
            <v>[No Vendor]</v>
          </cell>
        </row>
        <row r="11244">
          <cell r="D11244">
            <v>10353.86</v>
          </cell>
          <cell r="H11244">
            <v>45931</v>
          </cell>
          <cell r="I11244" t="str">
            <v>6005 - Salaries</v>
          </cell>
          <cell r="J11244" t="str">
            <v>Ecommerce (US)</v>
          </cell>
          <cell r="K11244" t="str">
            <v>Ecommerce</v>
          </cell>
          <cell r="L11244" t="str">
            <v>HQ Salaries</v>
          </cell>
          <cell r="N11244" t="str">
            <v>SG&amp;A</v>
          </cell>
          <cell r="O11244" t="str">
            <v>[No Vendor]</v>
          </cell>
        </row>
        <row r="11245">
          <cell r="D11245">
            <v>20707.71</v>
          </cell>
          <cell r="H11245">
            <v>45931</v>
          </cell>
          <cell r="I11245" t="str">
            <v>6005 - Salaries</v>
          </cell>
          <cell r="J11245" t="str">
            <v>Ecommerce (US)</v>
          </cell>
          <cell r="K11245" t="str">
            <v>Ecommerce</v>
          </cell>
          <cell r="L11245" t="str">
            <v>HQ Salaries</v>
          </cell>
          <cell r="N11245" t="str">
            <v>SG&amp;A</v>
          </cell>
          <cell r="O11245" t="str">
            <v>[No Vendor]</v>
          </cell>
        </row>
        <row r="11246">
          <cell r="D11246">
            <v>5686.54</v>
          </cell>
          <cell r="H11246">
            <v>45931</v>
          </cell>
          <cell r="I11246" t="str">
            <v>6005 - Salaries</v>
          </cell>
          <cell r="J11246">
            <v>0</v>
          </cell>
          <cell r="K11246" t="str">
            <v>Executive</v>
          </cell>
          <cell r="L11246" t="str">
            <v>HQ Salaries</v>
          </cell>
          <cell r="N11246" t="str">
            <v>SG&amp;A</v>
          </cell>
          <cell r="O11246" t="str">
            <v>[No Vendor]</v>
          </cell>
        </row>
        <row r="11247">
          <cell r="D11247">
            <v>11373.08</v>
          </cell>
          <cell r="H11247">
            <v>45931</v>
          </cell>
          <cell r="I11247" t="str">
            <v>6005 - Salaries</v>
          </cell>
          <cell r="J11247">
            <v>0</v>
          </cell>
          <cell r="K11247" t="str">
            <v>Executive</v>
          </cell>
          <cell r="L11247" t="str">
            <v>HQ Salaries</v>
          </cell>
          <cell r="N11247" t="str">
            <v>SG&amp;A</v>
          </cell>
          <cell r="O11247" t="str">
            <v>[No Vendor]</v>
          </cell>
        </row>
        <row r="11248">
          <cell r="D11248">
            <v>4807.7</v>
          </cell>
          <cell r="H11248">
            <v>45931</v>
          </cell>
          <cell r="I11248" t="str">
            <v>6005 - Salaries</v>
          </cell>
          <cell r="J11248">
            <v>0</v>
          </cell>
          <cell r="K11248" t="str">
            <v>Brand Marketing</v>
          </cell>
          <cell r="L11248" t="str">
            <v>HQ Salaries</v>
          </cell>
          <cell r="N11248" t="str">
            <v>SG&amp;A</v>
          </cell>
          <cell r="O11248" t="str">
            <v>[No Vendor]</v>
          </cell>
        </row>
        <row r="11249">
          <cell r="D11249">
            <v>9615.39</v>
          </cell>
          <cell r="H11249">
            <v>45931</v>
          </cell>
          <cell r="I11249" t="str">
            <v>6005 - Salaries</v>
          </cell>
          <cell r="J11249">
            <v>0</v>
          </cell>
          <cell r="K11249" t="str">
            <v>Brand Marketing</v>
          </cell>
          <cell r="L11249" t="str">
            <v>HQ Salaries</v>
          </cell>
          <cell r="N11249" t="str">
            <v>SG&amp;A</v>
          </cell>
          <cell r="O11249" t="str">
            <v>[No Vendor]</v>
          </cell>
        </row>
        <row r="11250">
          <cell r="D11250">
            <v>1923.08</v>
          </cell>
          <cell r="H11250">
            <v>45931</v>
          </cell>
          <cell r="I11250" t="str">
            <v>6005 - Salaries</v>
          </cell>
          <cell r="J11250">
            <v>0</v>
          </cell>
          <cell r="K11250" t="str">
            <v>Merchandising</v>
          </cell>
          <cell r="L11250" t="str">
            <v>HQ Salaries</v>
          </cell>
          <cell r="N11250" t="str">
            <v>SG&amp;A</v>
          </cell>
          <cell r="O11250" t="str">
            <v>[No Vendor]</v>
          </cell>
        </row>
        <row r="11251">
          <cell r="D11251">
            <v>3846.15</v>
          </cell>
          <cell r="H11251">
            <v>45931</v>
          </cell>
          <cell r="I11251" t="str">
            <v>6005 - Salaries</v>
          </cell>
          <cell r="J11251">
            <v>0</v>
          </cell>
          <cell r="K11251" t="str">
            <v>Merchandising</v>
          </cell>
          <cell r="L11251" t="str">
            <v>HQ Salaries</v>
          </cell>
          <cell r="N11251" t="str">
            <v>SG&amp;A</v>
          </cell>
          <cell r="O11251" t="str">
            <v>[No Vendor]</v>
          </cell>
        </row>
        <row r="11252">
          <cell r="D11252">
            <v>7573.08</v>
          </cell>
          <cell r="H11252">
            <v>45931</v>
          </cell>
          <cell r="I11252" t="str">
            <v>6005 - Salaries</v>
          </cell>
          <cell r="J11252">
            <v>0</v>
          </cell>
          <cell r="K11252" t="str">
            <v>Production</v>
          </cell>
          <cell r="L11252" t="str">
            <v>HQ Salaries</v>
          </cell>
          <cell r="N11252" t="str">
            <v>SG&amp;A</v>
          </cell>
          <cell r="O11252" t="str">
            <v>[No Vendor]</v>
          </cell>
        </row>
        <row r="11253">
          <cell r="D11253">
            <v>15146.16</v>
          </cell>
          <cell r="H11253">
            <v>45931</v>
          </cell>
          <cell r="I11253" t="str">
            <v>6005 - Salaries</v>
          </cell>
          <cell r="J11253">
            <v>0</v>
          </cell>
          <cell r="K11253" t="str">
            <v>Production</v>
          </cell>
          <cell r="L11253" t="str">
            <v>HQ Salaries</v>
          </cell>
          <cell r="N11253" t="str">
            <v>SG&amp;A</v>
          </cell>
          <cell r="O11253" t="str">
            <v>[No Vendor]</v>
          </cell>
        </row>
        <row r="11254">
          <cell r="D11254">
            <v>1673.08</v>
          </cell>
          <cell r="H11254">
            <v>45931</v>
          </cell>
          <cell r="I11254" t="str">
            <v>6005 - Salaries</v>
          </cell>
          <cell r="J11254" t="str">
            <v>Wholesale</v>
          </cell>
          <cell r="K11254" t="str">
            <v>Wholesale</v>
          </cell>
          <cell r="L11254" t="str">
            <v>HQ Salaries</v>
          </cell>
          <cell r="N11254" t="str">
            <v>SG&amp;A</v>
          </cell>
          <cell r="O11254" t="str">
            <v>[No Vendor]</v>
          </cell>
        </row>
        <row r="11255">
          <cell r="D11255">
            <v>3346.16</v>
          </cell>
          <cell r="H11255">
            <v>45931</v>
          </cell>
          <cell r="I11255" t="str">
            <v>6005 - Salaries</v>
          </cell>
          <cell r="J11255" t="str">
            <v>Wholesale</v>
          </cell>
          <cell r="K11255" t="str">
            <v>Wholesale</v>
          </cell>
          <cell r="L11255" t="str">
            <v>HQ Salaries</v>
          </cell>
          <cell r="N11255" t="str">
            <v>SG&amp;A</v>
          </cell>
          <cell r="O11255" t="str">
            <v>[No Vendor]</v>
          </cell>
        </row>
        <row r="11256">
          <cell r="D11256">
            <v>406.13</v>
          </cell>
          <cell r="H11256">
            <v>45931</v>
          </cell>
          <cell r="I11256" t="str">
            <v>6041 - Employee Benefit Other</v>
          </cell>
          <cell r="J11256">
            <v>0</v>
          </cell>
          <cell r="K11256" t="str">
            <v>Administration</v>
          </cell>
          <cell r="L11256" t="str">
            <v>HQ Salaries</v>
          </cell>
          <cell r="N11256" t="str">
            <v>SG&amp;A</v>
          </cell>
          <cell r="O11256" t="str">
            <v>[No Vendor]</v>
          </cell>
        </row>
        <row r="11257">
          <cell r="D11257">
            <v>0</v>
          </cell>
          <cell r="H11257">
            <v>45931</v>
          </cell>
          <cell r="I11257" t="str">
            <v>6041 - Employee Benefit Other</v>
          </cell>
          <cell r="J11257">
            <v>0</v>
          </cell>
          <cell r="K11257" t="str">
            <v>Design</v>
          </cell>
          <cell r="L11257" t="str">
            <v>HQ Salaries</v>
          </cell>
          <cell r="N11257" t="str">
            <v>SG&amp;A</v>
          </cell>
          <cell r="O11257" t="str">
            <v>[No Vendor]</v>
          </cell>
        </row>
        <row r="11258">
          <cell r="D11258">
            <v>0</v>
          </cell>
          <cell r="H11258">
            <v>45931</v>
          </cell>
          <cell r="I11258" t="str">
            <v>6041 - Employee Benefit Other</v>
          </cell>
          <cell r="J11258" t="str">
            <v>Ecommerce (US)</v>
          </cell>
          <cell r="K11258" t="str">
            <v>Ecommerce</v>
          </cell>
          <cell r="L11258" t="str">
            <v>HQ Salaries</v>
          </cell>
          <cell r="N11258" t="str">
            <v>SG&amp;A</v>
          </cell>
          <cell r="O11258" t="str">
            <v>[No Vendor]</v>
          </cell>
        </row>
        <row r="11259">
          <cell r="D11259">
            <v>105.19</v>
          </cell>
          <cell r="H11259">
            <v>45931</v>
          </cell>
          <cell r="I11259" t="str">
            <v>6041 - Employee Benefit Other</v>
          </cell>
          <cell r="J11259">
            <v>0</v>
          </cell>
          <cell r="K11259" t="str">
            <v>Executive</v>
          </cell>
          <cell r="L11259" t="str">
            <v>HQ Salaries</v>
          </cell>
          <cell r="N11259" t="str">
            <v>SG&amp;A</v>
          </cell>
          <cell r="O11259" t="str">
            <v>[No Vendor]</v>
          </cell>
        </row>
        <row r="11260">
          <cell r="D11260">
            <v>0</v>
          </cell>
          <cell r="H11260">
            <v>45931</v>
          </cell>
          <cell r="I11260" t="str">
            <v>6041 - Employee Benefit Other</v>
          </cell>
          <cell r="J11260">
            <v>0</v>
          </cell>
          <cell r="K11260" t="str">
            <v>Merchandising</v>
          </cell>
          <cell r="L11260" t="str">
            <v>HQ Salaries</v>
          </cell>
          <cell r="N11260" t="str">
            <v>SG&amp;A</v>
          </cell>
          <cell r="O11260" t="str">
            <v>[No Vendor]</v>
          </cell>
        </row>
        <row r="11261">
          <cell r="D11261">
            <v>0</v>
          </cell>
          <cell r="H11261">
            <v>45931</v>
          </cell>
          <cell r="I11261" t="str">
            <v>6041 - Employee Benefit Other</v>
          </cell>
          <cell r="J11261">
            <v>0</v>
          </cell>
          <cell r="K11261" t="str">
            <v>Production</v>
          </cell>
          <cell r="L11261" t="str">
            <v>HQ Salaries</v>
          </cell>
          <cell r="N11261" t="str">
            <v>SG&amp;A</v>
          </cell>
          <cell r="O11261" t="str">
            <v>[No Vendor]</v>
          </cell>
        </row>
        <row r="11262">
          <cell r="D11262">
            <v>0</v>
          </cell>
          <cell r="H11262">
            <v>45931</v>
          </cell>
          <cell r="I11262" t="str">
            <v>6041 - Employee Benefit Other</v>
          </cell>
          <cell r="J11262" t="str">
            <v>Wholesale</v>
          </cell>
          <cell r="K11262" t="str">
            <v>Wholesale</v>
          </cell>
          <cell r="L11262" t="str">
            <v>HQ Salaries</v>
          </cell>
          <cell r="N11262" t="str">
            <v>SG&amp;A</v>
          </cell>
          <cell r="O11262" t="str">
            <v>[No Vendor]</v>
          </cell>
        </row>
        <row r="11263">
          <cell r="D11263">
            <v>0</v>
          </cell>
          <cell r="H11263">
            <v>45931</v>
          </cell>
          <cell r="I11263" t="str">
            <v>6015 - Vacation - PTO Exp</v>
          </cell>
          <cell r="J11263">
            <v>0</v>
          </cell>
          <cell r="K11263" t="str">
            <v>Administration</v>
          </cell>
          <cell r="L11263" t="str">
            <v>HQ Salaries</v>
          </cell>
          <cell r="N11263" t="str">
            <v>SG&amp;A</v>
          </cell>
          <cell r="O11263" t="str">
            <v>[No Vendor]</v>
          </cell>
        </row>
        <row r="11264">
          <cell r="D11264">
            <v>0</v>
          </cell>
          <cell r="H11264">
            <v>45931</v>
          </cell>
          <cell r="I11264" t="str">
            <v>6015 - Vacation - PTO Exp</v>
          </cell>
          <cell r="J11264">
            <v>0</v>
          </cell>
          <cell r="K11264" t="str">
            <v>Administration</v>
          </cell>
          <cell r="L11264" t="str">
            <v>HQ Salaries</v>
          </cell>
          <cell r="N11264" t="str">
            <v>SG&amp;A</v>
          </cell>
          <cell r="O11264" t="str">
            <v>[No Vendor]</v>
          </cell>
        </row>
        <row r="11265">
          <cell r="D11265">
            <v>0</v>
          </cell>
          <cell r="H11265">
            <v>45931</v>
          </cell>
          <cell r="I11265" t="str">
            <v>6015 - Vacation - PTO Exp</v>
          </cell>
          <cell r="J11265">
            <v>0</v>
          </cell>
          <cell r="K11265" t="str">
            <v>Administration</v>
          </cell>
          <cell r="L11265" t="str">
            <v>HQ Salaries</v>
          </cell>
          <cell r="N11265" t="str">
            <v>SG&amp;A</v>
          </cell>
          <cell r="O11265" t="str">
            <v>[No Vendor]</v>
          </cell>
        </row>
        <row r="11266">
          <cell r="D11266">
            <v>0</v>
          </cell>
          <cell r="H11266">
            <v>45931</v>
          </cell>
          <cell r="I11266" t="str">
            <v>6015 - Vacation - PTO Exp</v>
          </cell>
          <cell r="J11266">
            <v>0</v>
          </cell>
          <cell r="K11266" t="str">
            <v>Administration</v>
          </cell>
          <cell r="L11266" t="str">
            <v>HQ Salaries</v>
          </cell>
          <cell r="N11266" t="str">
            <v>SG&amp;A</v>
          </cell>
          <cell r="O11266" t="str">
            <v>[No Vendor]</v>
          </cell>
        </row>
        <row r="11267">
          <cell r="D11267">
            <v>0</v>
          </cell>
          <cell r="H11267">
            <v>45931</v>
          </cell>
          <cell r="I11267" t="str">
            <v>6015 - Vacation - PTO Exp</v>
          </cell>
          <cell r="J11267">
            <v>0</v>
          </cell>
          <cell r="K11267" t="str">
            <v>Administration</v>
          </cell>
          <cell r="L11267" t="str">
            <v>HQ Salaries</v>
          </cell>
          <cell r="N11267" t="str">
            <v>SG&amp;A</v>
          </cell>
          <cell r="O11267" t="str">
            <v>[No Vendor]</v>
          </cell>
        </row>
        <row r="11268">
          <cell r="D11268">
            <v>0</v>
          </cell>
          <cell r="H11268">
            <v>45931</v>
          </cell>
          <cell r="I11268" t="str">
            <v>6035 - Severance Expense</v>
          </cell>
          <cell r="J11268" t="str">
            <v>Wholesale</v>
          </cell>
          <cell r="K11268" t="str">
            <v>Wholesale</v>
          </cell>
          <cell r="L11268" t="str">
            <v>HQ Salaries</v>
          </cell>
          <cell r="N11268" t="str">
            <v>SG&amp;A</v>
          </cell>
          <cell r="O11268" t="str">
            <v>[No Vendor]</v>
          </cell>
        </row>
        <row r="11269">
          <cell r="D11269">
            <v>0</v>
          </cell>
          <cell r="H11269">
            <v>45931</v>
          </cell>
          <cell r="I11269" t="str">
            <v>6035 - Severance Expense</v>
          </cell>
          <cell r="J11269" t="str">
            <v>Wholesale</v>
          </cell>
          <cell r="K11269" t="str">
            <v>Wholesale</v>
          </cell>
          <cell r="L11269" t="str">
            <v>HQ Salaries</v>
          </cell>
          <cell r="N11269" t="str">
            <v>SG&amp;A</v>
          </cell>
          <cell r="O11269" t="str">
            <v>[No Vendor]</v>
          </cell>
        </row>
        <row r="11270">
          <cell r="D11270">
            <v>0</v>
          </cell>
          <cell r="H11270">
            <v>45931</v>
          </cell>
          <cell r="I11270" t="str">
            <v>6035 - Severance Expense</v>
          </cell>
          <cell r="J11270" t="str">
            <v>Wholesale</v>
          </cell>
          <cell r="K11270" t="str">
            <v>Wholesale</v>
          </cell>
          <cell r="L11270" t="str">
            <v>HQ Salaries</v>
          </cell>
          <cell r="N11270" t="str">
            <v>SG&amp;A</v>
          </cell>
          <cell r="O11270" t="str">
            <v>[No Vendor]</v>
          </cell>
        </row>
        <row r="11271">
          <cell r="D11271">
            <v>0</v>
          </cell>
          <cell r="H11271">
            <v>45931</v>
          </cell>
          <cell r="I11271" t="str">
            <v>6035 - Severance Expense</v>
          </cell>
          <cell r="J11271" t="str">
            <v>Wholesale</v>
          </cell>
          <cell r="K11271" t="str">
            <v>Wholesale</v>
          </cell>
          <cell r="L11271" t="str">
            <v>HQ Salaries</v>
          </cell>
          <cell r="N11271" t="str">
            <v>SG&amp;A</v>
          </cell>
          <cell r="O11271" t="str">
            <v>[No Vendor]</v>
          </cell>
        </row>
        <row r="11272">
          <cell r="D11272">
            <v>0</v>
          </cell>
          <cell r="H11272">
            <v>45931</v>
          </cell>
          <cell r="I11272" t="str">
            <v>6035 - Severance Expense</v>
          </cell>
          <cell r="J11272" t="str">
            <v>Wholesale</v>
          </cell>
          <cell r="K11272" t="str">
            <v>Wholesale</v>
          </cell>
          <cell r="L11272" t="str">
            <v>HQ Salaries</v>
          </cell>
          <cell r="N11272" t="str">
            <v>SG&amp;A</v>
          </cell>
          <cell r="O11272" t="str">
            <v>[No Vendor]</v>
          </cell>
        </row>
        <row r="11273">
          <cell r="D11273">
            <v>1260.1199999999999</v>
          </cell>
          <cell r="H11273">
            <v>45931</v>
          </cell>
          <cell r="I11273" t="str">
            <v>6040 - Employer Paid Benefits</v>
          </cell>
          <cell r="J11273" t="str">
            <v>Wholesale</v>
          </cell>
          <cell r="K11273" t="str">
            <v>Wholesale</v>
          </cell>
          <cell r="L11273" t="str">
            <v>HQ Salaries</v>
          </cell>
          <cell r="N11273" t="str">
            <v>SG&amp;A</v>
          </cell>
          <cell r="O11273" t="str">
            <v>Anthem Blue Cross and Blue Shield</v>
          </cell>
        </row>
        <row r="11274">
          <cell r="D11274">
            <v>40.54</v>
          </cell>
          <cell r="H11274">
            <v>45931</v>
          </cell>
          <cell r="I11274" t="str">
            <v>6040 - Employer Paid Benefits</v>
          </cell>
          <cell r="J11274" t="str">
            <v>Wholesale</v>
          </cell>
          <cell r="K11274" t="str">
            <v>Wholesale</v>
          </cell>
          <cell r="L11274" t="str">
            <v>HQ Salaries</v>
          </cell>
          <cell r="N11274" t="str">
            <v>SG&amp;A</v>
          </cell>
          <cell r="O11274" t="str">
            <v>United of Omaha Life Insurance Company</v>
          </cell>
        </row>
        <row r="11275">
          <cell r="D11275">
            <v>4662.4399999999996</v>
          </cell>
          <cell r="H11275">
            <v>45931</v>
          </cell>
          <cell r="I11275" t="str">
            <v>6040 - Employer Paid Benefits</v>
          </cell>
          <cell r="J11275">
            <v>0</v>
          </cell>
          <cell r="K11275" t="str">
            <v>Production</v>
          </cell>
          <cell r="L11275" t="str">
            <v>HQ Salaries</v>
          </cell>
          <cell r="N11275" t="str">
            <v>SG&amp;A</v>
          </cell>
          <cell r="O11275" t="str">
            <v>Anthem Blue Cross and Blue Shield</v>
          </cell>
        </row>
        <row r="11276">
          <cell r="D11276">
            <v>145.58000000000001</v>
          </cell>
          <cell r="H11276">
            <v>45931</v>
          </cell>
          <cell r="I11276" t="str">
            <v>6040 - Employer Paid Benefits</v>
          </cell>
          <cell r="J11276">
            <v>0</v>
          </cell>
          <cell r="K11276" t="str">
            <v>Production</v>
          </cell>
          <cell r="L11276" t="str">
            <v>HQ Salaries</v>
          </cell>
          <cell r="N11276" t="str">
            <v>SG&amp;A</v>
          </cell>
          <cell r="O11276" t="str">
            <v>Allied Administrators</v>
          </cell>
        </row>
        <row r="11277">
          <cell r="D11277">
            <v>232.25</v>
          </cell>
          <cell r="H11277">
            <v>45931</v>
          </cell>
          <cell r="I11277" t="str">
            <v>6040 - Employer Paid Benefits</v>
          </cell>
          <cell r="J11277">
            <v>0</v>
          </cell>
          <cell r="K11277" t="str">
            <v>Production</v>
          </cell>
          <cell r="L11277" t="str">
            <v>HQ Salaries</v>
          </cell>
          <cell r="N11277" t="str">
            <v>SG&amp;A</v>
          </cell>
          <cell r="O11277" t="str">
            <v>United of Omaha Life Insurance Company</v>
          </cell>
        </row>
        <row r="11278">
          <cell r="D11278">
            <v>2520.2399999999998</v>
          </cell>
          <cell r="H11278">
            <v>45931</v>
          </cell>
          <cell r="I11278" t="str">
            <v>6040 - Employer Paid Benefits</v>
          </cell>
          <cell r="J11278">
            <v>0</v>
          </cell>
          <cell r="K11278" t="str">
            <v>Merchandising</v>
          </cell>
          <cell r="L11278" t="str">
            <v>HQ Salaries</v>
          </cell>
          <cell r="N11278" t="str">
            <v>SG&amp;A</v>
          </cell>
          <cell r="O11278" t="str">
            <v>Anthem Blue Cross and Blue Shield</v>
          </cell>
        </row>
        <row r="11279">
          <cell r="D11279">
            <v>83.64</v>
          </cell>
          <cell r="H11279">
            <v>45931</v>
          </cell>
          <cell r="I11279" t="str">
            <v>6040 - Employer Paid Benefits</v>
          </cell>
          <cell r="J11279">
            <v>0</v>
          </cell>
          <cell r="K11279" t="str">
            <v>Merchandising</v>
          </cell>
          <cell r="L11279" t="str">
            <v>HQ Salaries</v>
          </cell>
          <cell r="N11279" t="str">
            <v>SG&amp;A</v>
          </cell>
          <cell r="O11279" t="str">
            <v>Allied Administrators</v>
          </cell>
        </row>
        <row r="11280">
          <cell r="D11280">
            <v>86.43</v>
          </cell>
          <cell r="H11280">
            <v>45931</v>
          </cell>
          <cell r="I11280" t="str">
            <v>6040 - Employer Paid Benefits</v>
          </cell>
          <cell r="J11280">
            <v>0</v>
          </cell>
          <cell r="K11280" t="str">
            <v>Merchandising</v>
          </cell>
          <cell r="L11280" t="str">
            <v>HQ Salaries</v>
          </cell>
          <cell r="N11280" t="str">
            <v>SG&amp;A</v>
          </cell>
          <cell r="O11280" t="str">
            <v>United of Omaha Life Insurance Company</v>
          </cell>
        </row>
        <row r="11281">
          <cell r="D11281">
            <v>5894.11</v>
          </cell>
          <cell r="H11281">
            <v>45931</v>
          </cell>
          <cell r="I11281" t="str">
            <v>6040 - Employer Paid Benefits</v>
          </cell>
          <cell r="J11281">
            <v>0</v>
          </cell>
          <cell r="K11281" t="str">
            <v>Brand Marketing</v>
          </cell>
          <cell r="L11281" t="str">
            <v>HQ Salaries</v>
          </cell>
          <cell r="N11281" t="str">
            <v>SG&amp;A</v>
          </cell>
          <cell r="O11281" t="str">
            <v>Anthem Blue Cross and Blue Shield</v>
          </cell>
        </row>
        <row r="11282">
          <cell r="D11282">
            <v>27.88</v>
          </cell>
          <cell r="H11282">
            <v>45931</v>
          </cell>
          <cell r="I11282" t="str">
            <v>6040 - Employer Paid Benefits</v>
          </cell>
          <cell r="J11282">
            <v>0</v>
          </cell>
          <cell r="K11282" t="str">
            <v>Brand Marketing</v>
          </cell>
          <cell r="L11282" t="str">
            <v>HQ Salaries</v>
          </cell>
          <cell r="N11282" t="str">
            <v>SG&amp;A</v>
          </cell>
          <cell r="O11282" t="str">
            <v>Allied Administrators</v>
          </cell>
        </row>
        <row r="11283">
          <cell r="D11283">
            <v>221.46</v>
          </cell>
          <cell r="H11283">
            <v>45931</v>
          </cell>
          <cell r="I11283" t="str">
            <v>6040 - Employer Paid Benefits</v>
          </cell>
          <cell r="J11283">
            <v>0</v>
          </cell>
          <cell r="K11283" t="str">
            <v>Brand Marketing</v>
          </cell>
          <cell r="L11283" t="str">
            <v>HQ Salaries</v>
          </cell>
          <cell r="N11283" t="str">
            <v>SG&amp;A</v>
          </cell>
          <cell r="O11283" t="str">
            <v>United of Omaha Life Insurance Company</v>
          </cell>
        </row>
        <row r="11284">
          <cell r="D11284">
            <v>89.82</v>
          </cell>
          <cell r="H11284">
            <v>45931</v>
          </cell>
          <cell r="I11284" t="str">
            <v>6040 - Employer Paid Benefits</v>
          </cell>
          <cell r="J11284">
            <v>0</v>
          </cell>
          <cell r="K11284" t="str">
            <v>Executive</v>
          </cell>
          <cell r="L11284" t="str">
            <v>HQ Salaries</v>
          </cell>
          <cell r="N11284" t="str">
            <v>SG&amp;A</v>
          </cell>
          <cell r="O11284" t="str">
            <v>Allied Administrators</v>
          </cell>
        </row>
        <row r="11285">
          <cell r="D11285">
            <v>7182.68</v>
          </cell>
          <cell r="H11285">
            <v>45931</v>
          </cell>
          <cell r="I11285" t="str">
            <v>6040 - Employer Paid Benefits</v>
          </cell>
          <cell r="J11285" t="str">
            <v>Ecommerce (US)</v>
          </cell>
          <cell r="K11285" t="str">
            <v>Ecommerce</v>
          </cell>
          <cell r="L11285" t="str">
            <v>HQ Salaries</v>
          </cell>
          <cell r="N11285" t="str">
            <v>SG&amp;A</v>
          </cell>
          <cell r="O11285" t="str">
            <v>Anthem Blue Cross and Blue Shield</v>
          </cell>
        </row>
        <row r="11286">
          <cell r="D11286">
            <v>151.47</v>
          </cell>
          <cell r="H11286">
            <v>45931</v>
          </cell>
          <cell r="I11286" t="str">
            <v>6040 - Employer Paid Benefits</v>
          </cell>
          <cell r="J11286" t="str">
            <v>Ecommerce (US)</v>
          </cell>
          <cell r="K11286" t="str">
            <v>Ecommerce</v>
          </cell>
          <cell r="L11286" t="str">
            <v>HQ Salaries</v>
          </cell>
          <cell r="N11286" t="str">
            <v>SG&amp;A</v>
          </cell>
          <cell r="O11286" t="str">
            <v>Allied Administrators</v>
          </cell>
        </row>
        <row r="11287">
          <cell r="D11287">
            <v>186.46</v>
          </cell>
          <cell r="H11287">
            <v>45931</v>
          </cell>
          <cell r="I11287" t="str">
            <v>6040 - Employer Paid Benefits</v>
          </cell>
          <cell r="J11287" t="str">
            <v>Ecommerce (US)</v>
          </cell>
          <cell r="K11287" t="str">
            <v>Ecommerce</v>
          </cell>
          <cell r="L11287" t="str">
            <v>HQ Salaries</v>
          </cell>
          <cell r="N11287" t="str">
            <v>SG&amp;A</v>
          </cell>
          <cell r="O11287" t="str">
            <v>United of Omaha Life Insurance Company</v>
          </cell>
        </row>
        <row r="11288">
          <cell r="D11288">
            <v>3780.36</v>
          </cell>
          <cell r="H11288">
            <v>45931</v>
          </cell>
          <cell r="I11288" t="str">
            <v>6040 - Employer Paid Benefits</v>
          </cell>
          <cell r="J11288">
            <v>0</v>
          </cell>
          <cell r="K11288" t="str">
            <v>Design</v>
          </cell>
          <cell r="L11288" t="str">
            <v>HQ Salaries</v>
          </cell>
          <cell r="N11288" t="str">
            <v>SG&amp;A</v>
          </cell>
          <cell r="O11288" t="str">
            <v>Anthem Blue Cross and Blue Shield</v>
          </cell>
        </row>
        <row r="11289">
          <cell r="D11289">
            <v>83.64</v>
          </cell>
          <cell r="H11289">
            <v>45931</v>
          </cell>
          <cell r="I11289" t="str">
            <v>6040 - Employer Paid Benefits</v>
          </cell>
          <cell r="J11289">
            <v>0</v>
          </cell>
          <cell r="K11289" t="str">
            <v>Design</v>
          </cell>
          <cell r="L11289" t="str">
            <v>HQ Salaries</v>
          </cell>
          <cell r="N11289" t="str">
            <v>SG&amp;A</v>
          </cell>
          <cell r="O11289" t="str">
            <v>Allied Administrators</v>
          </cell>
        </row>
        <row r="11290">
          <cell r="D11290">
            <v>233.67</v>
          </cell>
          <cell r="H11290">
            <v>45931</v>
          </cell>
          <cell r="I11290" t="str">
            <v>6040 - Employer Paid Benefits</v>
          </cell>
          <cell r="J11290">
            <v>0</v>
          </cell>
          <cell r="K11290" t="str">
            <v>Design</v>
          </cell>
          <cell r="L11290" t="str">
            <v>HQ Salaries</v>
          </cell>
          <cell r="N11290" t="str">
            <v>SG&amp;A</v>
          </cell>
          <cell r="O11290" t="str">
            <v>United of Omaha Life Insurance Company</v>
          </cell>
        </row>
        <row r="11291">
          <cell r="D11291">
            <v>8442.7999999999993</v>
          </cell>
          <cell r="H11291">
            <v>45931</v>
          </cell>
          <cell r="I11291" t="str">
            <v>6040 - Employer Paid Benefits</v>
          </cell>
          <cell r="J11291">
            <v>0</v>
          </cell>
          <cell r="K11291" t="str">
            <v>Administration</v>
          </cell>
          <cell r="L11291" t="str">
            <v>HQ Salaries</v>
          </cell>
          <cell r="N11291" t="str">
            <v>SG&amp;A</v>
          </cell>
          <cell r="O11291" t="str">
            <v>Anthem Blue Cross and Blue Shield</v>
          </cell>
        </row>
        <row r="11292">
          <cell r="D11292">
            <v>-123.88</v>
          </cell>
          <cell r="H11292">
            <v>45931</v>
          </cell>
          <cell r="I11292" t="str">
            <v>6040 - Employer Paid Benefits</v>
          </cell>
          <cell r="J11292">
            <v>0</v>
          </cell>
          <cell r="K11292" t="str">
            <v>Administration</v>
          </cell>
          <cell r="L11292" t="str">
            <v>HQ Salaries</v>
          </cell>
          <cell r="N11292" t="str">
            <v>SG&amp;A</v>
          </cell>
          <cell r="O11292" t="str">
            <v>Allied Administrators</v>
          </cell>
        </row>
        <row r="11293">
          <cell r="D11293">
            <v>275.70999999999998</v>
          </cell>
          <cell r="H11293">
            <v>45931</v>
          </cell>
          <cell r="I11293" t="str">
            <v>6040 - Employer Paid Benefits</v>
          </cell>
          <cell r="J11293">
            <v>0</v>
          </cell>
          <cell r="K11293" t="str">
            <v>Administration</v>
          </cell>
          <cell r="L11293" t="str">
            <v>HQ Salaries</v>
          </cell>
          <cell r="N11293" t="str">
            <v>SG&amp;A</v>
          </cell>
          <cell r="O11293" t="str">
            <v>United of Omaha Life Insurance Company</v>
          </cell>
        </row>
        <row r="11294">
          <cell r="D11294">
            <v>41.88</v>
          </cell>
          <cell r="H11294">
            <v>45931</v>
          </cell>
          <cell r="I11294" t="str">
            <v>6040 - Employer Paid Benefits</v>
          </cell>
          <cell r="J11294" t="str">
            <v>Wholesale</v>
          </cell>
          <cell r="K11294" t="str">
            <v>Wholesale</v>
          </cell>
          <cell r="L11294" t="str">
            <v>HQ Salaries</v>
          </cell>
          <cell r="N11294" t="str">
            <v>SG&amp;A</v>
          </cell>
          <cell r="O11294" t="str">
            <v>[No Vendor]</v>
          </cell>
        </row>
        <row r="11295">
          <cell r="D11295">
            <v>270.83</v>
          </cell>
          <cell r="H11295">
            <v>45931</v>
          </cell>
          <cell r="I11295" t="str">
            <v>6040 - Employer Paid Benefits</v>
          </cell>
          <cell r="J11295">
            <v>0</v>
          </cell>
          <cell r="K11295" t="str">
            <v>Production</v>
          </cell>
          <cell r="L11295" t="str">
            <v>HQ Salaries</v>
          </cell>
          <cell r="N11295" t="str">
            <v>SG&amp;A</v>
          </cell>
          <cell r="O11295" t="str">
            <v>[No Vendor]</v>
          </cell>
        </row>
        <row r="11296">
          <cell r="D11296">
            <v>41.88</v>
          </cell>
          <cell r="H11296">
            <v>45931</v>
          </cell>
          <cell r="I11296" t="str">
            <v>6040 - Employer Paid Benefits</v>
          </cell>
          <cell r="J11296">
            <v>0</v>
          </cell>
          <cell r="K11296" t="str">
            <v>Merchandising</v>
          </cell>
          <cell r="L11296" t="str">
            <v>HQ Salaries</v>
          </cell>
          <cell r="N11296" t="str">
            <v>SG&amp;A</v>
          </cell>
          <cell r="O11296" t="str">
            <v>[No Vendor]</v>
          </cell>
        </row>
        <row r="11297">
          <cell r="D11297">
            <v>253.48</v>
          </cell>
          <cell r="H11297">
            <v>45931</v>
          </cell>
          <cell r="I11297" t="str">
            <v>6040 - Employer Paid Benefits</v>
          </cell>
          <cell r="J11297">
            <v>0</v>
          </cell>
          <cell r="K11297" t="str">
            <v>Brand Marketing</v>
          </cell>
          <cell r="L11297" t="str">
            <v>HQ Salaries</v>
          </cell>
          <cell r="N11297" t="str">
            <v>SG&amp;A</v>
          </cell>
          <cell r="O11297" t="str">
            <v>[No Vendor]</v>
          </cell>
        </row>
        <row r="11298">
          <cell r="D11298">
            <v>357.04</v>
          </cell>
          <cell r="H11298">
            <v>45931</v>
          </cell>
          <cell r="I11298" t="str">
            <v>6040 - Employer Paid Benefits</v>
          </cell>
          <cell r="J11298">
            <v>0</v>
          </cell>
          <cell r="K11298" t="str">
            <v>Executive</v>
          </cell>
          <cell r="L11298" t="str">
            <v>HQ Salaries</v>
          </cell>
          <cell r="N11298" t="str">
            <v>SG&amp;A</v>
          </cell>
          <cell r="O11298" t="str">
            <v>[No Vendor]</v>
          </cell>
        </row>
        <row r="11299">
          <cell r="D11299">
            <v>389.04</v>
          </cell>
          <cell r="H11299">
            <v>45931</v>
          </cell>
          <cell r="I11299" t="str">
            <v>6040 - Employer Paid Benefits</v>
          </cell>
          <cell r="J11299" t="str">
            <v>Ecommerce (US)</v>
          </cell>
          <cell r="K11299" t="str">
            <v>Ecommerce</v>
          </cell>
          <cell r="L11299" t="str">
            <v>HQ Salaries</v>
          </cell>
          <cell r="N11299" t="str">
            <v>SG&amp;A</v>
          </cell>
          <cell r="O11299" t="str">
            <v>[No Vendor]</v>
          </cell>
        </row>
        <row r="11300">
          <cell r="D11300">
            <v>488.9</v>
          </cell>
          <cell r="H11300">
            <v>45931</v>
          </cell>
          <cell r="I11300" t="str">
            <v>6040 - Employer Paid Benefits</v>
          </cell>
          <cell r="J11300">
            <v>0</v>
          </cell>
          <cell r="K11300" t="str">
            <v>Design</v>
          </cell>
          <cell r="L11300" t="str">
            <v>HQ Salaries</v>
          </cell>
          <cell r="N11300" t="str">
            <v>SG&amp;A</v>
          </cell>
          <cell r="O11300" t="str">
            <v>[No Vendor]</v>
          </cell>
        </row>
        <row r="11301">
          <cell r="D11301">
            <v>119.88</v>
          </cell>
          <cell r="H11301">
            <v>45931</v>
          </cell>
          <cell r="I11301" t="str">
            <v>6040 - Employer Paid Benefits</v>
          </cell>
          <cell r="J11301">
            <v>0</v>
          </cell>
          <cell r="K11301" t="str">
            <v>Administration</v>
          </cell>
          <cell r="L11301" t="str">
            <v>HQ Salaries</v>
          </cell>
          <cell r="N11301" t="str">
            <v>SG&amp;A</v>
          </cell>
          <cell r="O11301" t="str">
            <v>[No Vendor]</v>
          </cell>
        </row>
        <row r="11302">
          <cell r="D11302">
            <v>-34.9</v>
          </cell>
          <cell r="H11302">
            <v>45931</v>
          </cell>
          <cell r="I11302" t="str">
            <v>6040 - Employer Paid Benefits</v>
          </cell>
          <cell r="J11302" t="str">
            <v>Wholesale</v>
          </cell>
          <cell r="K11302" t="str">
            <v>Wholesale</v>
          </cell>
          <cell r="L11302" t="str">
            <v>HQ Salaries</v>
          </cell>
          <cell r="N11302" t="str">
            <v>SG&amp;A</v>
          </cell>
          <cell r="O11302" t="str">
            <v>[No Vendor]</v>
          </cell>
        </row>
        <row r="11303">
          <cell r="D11303">
            <v>-225.7</v>
          </cell>
          <cell r="H11303">
            <v>45931</v>
          </cell>
          <cell r="I11303" t="str">
            <v>6040 - Employer Paid Benefits</v>
          </cell>
          <cell r="J11303">
            <v>0</v>
          </cell>
          <cell r="K11303" t="str">
            <v>Production</v>
          </cell>
          <cell r="L11303" t="str">
            <v>HQ Salaries</v>
          </cell>
          <cell r="N11303" t="str">
            <v>SG&amp;A</v>
          </cell>
          <cell r="O11303" t="str">
            <v>[No Vendor]</v>
          </cell>
        </row>
        <row r="11304">
          <cell r="D11304">
            <v>-34.9</v>
          </cell>
          <cell r="H11304">
            <v>45931</v>
          </cell>
          <cell r="I11304" t="str">
            <v>6040 - Employer Paid Benefits</v>
          </cell>
          <cell r="J11304">
            <v>0</v>
          </cell>
          <cell r="K11304" t="str">
            <v>Merchandising</v>
          </cell>
          <cell r="L11304" t="str">
            <v>HQ Salaries</v>
          </cell>
          <cell r="N11304" t="str">
            <v>SG&amp;A</v>
          </cell>
          <cell r="O11304" t="str">
            <v>[No Vendor]</v>
          </cell>
        </row>
        <row r="11305">
          <cell r="D11305">
            <v>-211.23</v>
          </cell>
          <cell r="H11305">
            <v>45931</v>
          </cell>
          <cell r="I11305" t="str">
            <v>6040 - Employer Paid Benefits</v>
          </cell>
          <cell r="J11305">
            <v>0</v>
          </cell>
          <cell r="K11305" t="str">
            <v>Brand Marketing</v>
          </cell>
          <cell r="L11305" t="str">
            <v>HQ Salaries</v>
          </cell>
          <cell r="N11305" t="str">
            <v>SG&amp;A</v>
          </cell>
          <cell r="O11305" t="str">
            <v>[No Vendor]</v>
          </cell>
        </row>
        <row r="11306">
          <cell r="D11306">
            <v>-297.52999999999997</v>
          </cell>
          <cell r="H11306">
            <v>45931</v>
          </cell>
          <cell r="I11306" t="str">
            <v>6040 - Employer Paid Benefits</v>
          </cell>
          <cell r="J11306">
            <v>0</v>
          </cell>
          <cell r="K11306" t="str">
            <v>Executive</v>
          </cell>
          <cell r="L11306" t="str">
            <v>HQ Salaries</v>
          </cell>
          <cell r="N11306" t="str">
            <v>SG&amp;A</v>
          </cell>
          <cell r="O11306" t="str">
            <v>[No Vendor]</v>
          </cell>
        </row>
        <row r="11307">
          <cell r="D11307">
            <v>-324.20999999999998</v>
          </cell>
          <cell r="H11307">
            <v>45931</v>
          </cell>
          <cell r="I11307" t="str">
            <v>6040 - Employer Paid Benefits</v>
          </cell>
          <cell r="J11307" t="str">
            <v>Ecommerce (US)</v>
          </cell>
          <cell r="K11307" t="str">
            <v>Ecommerce</v>
          </cell>
          <cell r="L11307" t="str">
            <v>HQ Salaries</v>
          </cell>
          <cell r="N11307" t="str">
            <v>SG&amp;A</v>
          </cell>
          <cell r="O11307" t="str">
            <v>[No Vendor]</v>
          </cell>
        </row>
        <row r="11308">
          <cell r="D11308">
            <v>-407.42</v>
          </cell>
          <cell r="H11308">
            <v>45931</v>
          </cell>
          <cell r="I11308" t="str">
            <v>6040 - Employer Paid Benefits</v>
          </cell>
          <cell r="J11308">
            <v>0</v>
          </cell>
          <cell r="K11308" t="str">
            <v>Design</v>
          </cell>
          <cell r="L11308" t="str">
            <v>HQ Salaries</v>
          </cell>
          <cell r="N11308" t="str">
            <v>SG&amp;A</v>
          </cell>
          <cell r="O11308" t="str">
            <v>[No Vendor]</v>
          </cell>
        </row>
        <row r="11309">
          <cell r="D11309">
            <v>-99.9</v>
          </cell>
          <cell r="H11309">
            <v>45931</v>
          </cell>
          <cell r="I11309" t="str">
            <v>6040 - Employer Paid Benefits</v>
          </cell>
          <cell r="J11309">
            <v>0</v>
          </cell>
          <cell r="K11309" t="str">
            <v>Administration</v>
          </cell>
          <cell r="L11309" t="str">
            <v>HQ Salaries</v>
          </cell>
          <cell r="N11309" t="str">
            <v>SG&amp;A</v>
          </cell>
          <cell r="O11309" t="str">
            <v>[No Vendor]</v>
          </cell>
        </row>
        <row r="11310">
          <cell r="D11310">
            <v>106.6</v>
          </cell>
          <cell r="H11310">
            <v>45931</v>
          </cell>
          <cell r="I11310" t="str">
            <v>6040 - Employer Paid Benefits</v>
          </cell>
          <cell r="J11310">
            <v>0</v>
          </cell>
          <cell r="K11310" t="str">
            <v>Administration</v>
          </cell>
          <cell r="L11310" t="str">
            <v>HQ Salaries</v>
          </cell>
          <cell r="N11310" t="str">
            <v>SG&amp;A</v>
          </cell>
          <cell r="O11310" t="str">
            <v>Procyon Benefits LLC</v>
          </cell>
        </row>
        <row r="11311">
          <cell r="D11311">
            <v>167.7</v>
          </cell>
          <cell r="H11311">
            <v>45931</v>
          </cell>
          <cell r="I11311" t="str">
            <v>6040 - Employer Paid Benefits</v>
          </cell>
          <cell r="J11311">
            <v>0</v>
          </cell>
          <cell r="K11311" t="str">
            <v>Production</v>
          </cell>
          <cell r="L11311" t="str">
            <v>HQ Salaries</v>
          </cell>
          <cell r="N11311" t="str">
            <v>SG&amp;A</v>
          </cell>
          <cell r="O11311" t="str">
            <v>Procyon Benefits LLC</v>
          </cell>
        </row>
        <row r="11312">
          <cell r="D11312">
            <v>17.399999999999999</v>
          </cell>
          <cell r="H11312">
            <v>45931</v>
          </cell>
          <cell r="I11312" t="str">
            <v>6040 - Employer Paid Benefits</v>
          </cell>
          <cell r="J11312">
            <v>0</v>
          </cell>
          <cell r="K11312" t="str">
            <v>Merchandising</v>
          </cell>
          <cell r="L11312" t="str">
            <v>HQ Salaries</v>
          </cell>
          <cell r="N11312" t="str">
            <v>SG&amp;A</v>
          </cell>
          <cell r="O11312" t="str">
            <v>Procyon Benefits LLC</v>
          </cell>
        </row>
        <row r="11313">
          <cell r="D11313">
            <v>324.04000000000002</v>
          </cell>
          <cell r="H11313">
            <v>45931</v>
          </cell>
          <cell r="I11313" t="str">
            <v>6040 - Employer Paid Benefits</v>
          </cell>
          <cell r="J11313">
            <v>0</v>
          </cell>
          <cell r="K11313" t="str">
            <v>Executive</v>
          </cell>
          <cell r="L11313" t="str">
            <v>HQ Salaries</v>
          </cell>
          <cell r="N11313" t="str">
            <v>SG&amp;A</v>
          </cell>
          <cell r="O11313" t="str">
            <v>Procyon Benefits LLC</v>
          </cell>
        </row>
        <row r="11314">
          <cell r="D11314">
            <v>3152.15</v>
          </cell>
          <cell r="H11314">
            <v>45931</v>
          </cell>
          <cell r="I11314" t="str">
            <v>6040 - Employer Paid Benefits</v>
          </cell>
          <cell r="J11314" t="str">
            <v>Ecommerce (US)</v>
          </cell>
          <cell r="K11314" t="str">
            <v>Ecommerce</v>
          </cell>
          <cell r="L11314" t="str">
            <v>HQ Salaries</v>
          </cell>
          <cell r="N11314" t="str">
            <v>SG&amp;A</v>
          </cell>
          <cell r="O11314" t="str">
            <v>Procyon Benefits LLC</v>
          </cell>
        </row>
        <row r="11315">
          <cell r="D11315">
            <v>1208.8499999999999</v>
          </cell>
          <cell r="H11315">
            <v>45931</v>
          </cell>
          <cell r="I11315" t="str">
            <v>6040 - Employer Paid Benefits</v>
          </cell>
          <cell r="J11315">
            <v>0</v>
          </cell>
          <cell r="K11315" t="str">
            <v>Design</v>
          </cell>
          <cell r="L11315" t="str">
            <v>HQ Salaries</v>
          </cell>
          <cell r="N11315" t="str">
            <v>SG&amp;A</v>
          </cell>
          <cell r="O11315" t="str">
            <v>Procyon Benefits LLC</v>
          </cell>
        </row>
        <row r="11316">
          <cell r="D11316">
            <v>146.1</v>
          </cell>
          <cell r="H11316">
            <v>45931</v>
          </cell>
          <cell r="I11316" t="str">
            <v>6040 - Employer Paid Benefits</v>
          </cell>
          <cell r="J11316">
            <v>0</v>
          </cell>
          <cell r="K11316" t="str">
            <v>Production</v>
          </cell>
          <cell r="L11316" t="str">
            <v>HQ Salaries</v>
          </cell>
          <cell r="N11316" t="str">
            <v>SG&amp;A</v>
          </cell>
          <cell r="O11316" t="str">
            <v>Procyon Benefits LLC</v>
          </cell>
        </row>
        <row r="11317">
          <cell r="D11317">
            <v>113.75</v>
          </cell>
          <cell r="H11317">
            <v>45931</v>
          </cell>
          <cell r="I11317" t="str">
            <v>6040 - Employer Paid Benefits</v>
          </cell>
          <cell r="J11317">
            <v>0</v>
          </cell>
          <cell r="K11317" t="str">
            <v>Merchandising</v>
          </cell>
          <cell r="L11317" t="str">
            <v>HQ Salaries</v>
          </cell>
          <cell r="N11317" t="str">
            <v>SG&amp;A</v>
          </cell>
          <cell r="O11317" t="str">
            <v>Procyon Benefits LLC</v>
          </cell>
        </row>
        <row r="11318">
          <cell r="D11318">
            <v>29</v>
          </cell>
          <cell r="H11318">
            <v>45931</v>
          </cell>
          <cell r="I11318" t="str">
            <v>6040 - Employer Paid Benefits</v>
          </cell>
          <cell r="J11318">
            <v>0</v>
          </cell>
          <cell r="K11318" t="str">
            <v>Brand Marketing</v>
          </cell>
          <cell r="L11318" t="str">
            <v>HQ Salaries</v>
          </cell>
          <cell r="N11318" t="str">
            <v>SG&amp;A</v>
          </cell>
          <cell r="O11318" t="str">
            <v>Procyon Benefits LLC</v>
          </cell>
        </row>
        <row r="11319">
          <cell r="D11319">
            <v>397</v>
          </cell>
          <cell r="H11319">
            <v>45931</v>
          </cell>
          <cell r="I11319" t="str">
            <v>6040 - Employer Paid Benefits</v>
          </cell>
          <cell r="J11319">
            <v>0</v>
          </cell>
          <cell r="K11319" t="str">
            <v>Executive</v>
          </cell>
          <cell r="L11319" t="str">
            <v>HQ Salaries</v>
          </cell>
          <cell r="N11319" t="str">
            <v>SG&amp;A</v>
          </cell>
          <cell r="O11319" t="str">
            <v>Procyon Benefits LLC</v>
          </cell>
        </row>
        <row r="11320">
          <cell r="D11320">
            <v>171.4</v>
          </cell>
          <cell r="H11320">
            <v>45931</v>
          </cell>
          <cell r="I11320" t="str">
            <v>6040 - Employer Paid Benefits</v>
          </cell>
          <cell r="J11320" t="str">
            <v>Ecommerce (US)</v>
          </cell>
          <cell r="K11320" t="str">
            <v>Ecommerce</v>
          </cell>
          <cell r="L11320" t="str">
            <v>HQ Salaries</v>
          </cell>
          <cell r="N11320" t="str">
            <v>SG&amp;A</v>
          </cell>
          <cell r="O11320" t="str">
            <v>Procyon Benefits LLC</v>
          </cell>
        </row>
        <row r="11321">
          <cell r="D11321">
            <v>80.400000000000006</v>
          </cell>
          <cell r="H11321">
            <v>45931</v>
          </cell>
          <cell r="I11321" t="str">
            <v>6040 - Employer Paid Benefits</v>
          </cell>
          <cell r="J11321">
            <v>0</v>
          </cell>
          <cell r="K11321" t="str">
            <v>Design</v>
          </cell>
          <cell r="L11321" t="str">
            <v>HQ Salaries</v>
          </cell>
          <cell r="N11321" t="str">
            <v>SG&amp;A</v>
          </cell>
          <cell r="O11321" t="str">
            <v>Procyon Benefits LLC</v>
          </cell>
        </row>
        <row r="11322">
          <cell r="D11322">
            <v>20.7</v>
          </cell>
          <cell r="H11322">
            <v>45931</v>
          </cell>
          <cell r="I11322" t="str">
            <v>6040 - Employer Paid Benefits</v>
          </cell>
          <cell r="J11322">
            <v>0</v>
          </cell>
          <cell r="K11322" t="str">
            <v>Administration</v>
          </cell>
          <cell r="L11322" t="str">
            <v>HQ Salaries</v>
          </cell>
          <cell r="N11322" t="str">
            <v>SG&amp;A</v>
          </cell>
          <cell r="O11322" t="str">
            <v>Procyon Benefits LLC</v>
          </cell>
        </row>
        <row r="11323">
          <cell r="D11323">
            <v>17.09</v>
          </cell>
          <cell r="H11323">
            <v>45931</v>
          </cell>
          <cell r="I11323" t="str">
            <v>6040 - Employer Paid Benefits</v>
          </cell>
          <cell r="J11323" t="str">
            <v>Wholesale</v>
          </cell>
          <cell r="K11323" t="str">
            <v>Wholesale</v>
          </cell>
          <cell r="L11323" t="str">
            <v>HQ Salaries</v>
          </cell>
          <cell r="N11323" t="str">
            <v>SG&amp;A</v>
          </cell>
          <cell r="O11323" t="str">
            <v>Procyon Benefits LLC</v>
          </cell>
        </row>
        <row r="11324">
          <cell r="D11324">
            <v>189.09</v>
          </cell>
          <cell r="H11324">
            <v>45931</v>
          </cell>
          <cell r="I11324" t="str">
            <v>6040 - Employer Paid Benefits</v>
          </cell>
          <cell r="J11324">
            <v>0</v>
          </cell>
          <cell r="K11324" t="str">
            <v>Production</v>
          </cell>
          <cell r="L11324" t="str">
            <v>HQ Salaries</v>
          </cell>
          <cell r="N11324" t="str">
            <v>SG&amp;A</v>
          </cell>
          <cell r="O11324" t="str">
            <v>Procyon Benefits LLC</v>
          </cell>
        </row>
        <row r="11325">
          <cell r="D11325">
            <v>65.3</v>
          </cell>
          <cell r="H11325">
            <v>45931</v>
          </cell>
          <cell r="I11325" t="str">
            <v>6040 - Employer Paid Benefits</v>
          </cell>
          <cell r="J11325">
            <v>0</v>
          </cell>
          <cell r="K11325" t="str">
            <v>Merchandising</v>
          </cell>
          <cell r="L11325" t="str">
            <v>HQ Salaries</v>
          </cell>
          <cell r="N11325" t="str">
            <v>SG&amp;A</v>
          </cell>
          <cell r="O11325" t="str">
            <v>Procyon Benefits LLC</v>
          </cell>
        </row>
        <row r="11326">
          <cell r="D11326">
            <v>36.9</v>
          </cell>
          <cell r="H11326">
            <v>45931</v>
          </cell>
          <cell r="I11326" t="str">
            <v>6040 - Employer Paid Benefits</v>
          </cell>
          <cell r="J11326">
            <v>0</v>
          </cell>
          <cell r="K11326" t="str">
            <v>Brand Marketing</v>
          </cell>
          <cell r="L11326" t="str">
            <v>HQ Salaries</v>
          </cell>
          <cell r="N11326" t="str">
            <v>SG&amp;A</v>
          </cell>
          <cell r="O11326" t="str">
            <v>Procyon Benefits LLC</v>
          </cell>
        </row>
        <row r="11327">
          <cell r="D11327">
            <v>28.22</v>
          </cell>
          <cell r="H11327">
            <v>45931</v>
          </cell>
          <cell r="I11327" t="str">
            <v>6040 - Employer Paid Benefits</v>
          </cell>
          <cell r="J11327" t="str">
            <v>Ecommerce (US)</v>
          </cell>
          <cell r="K11327" t="str">
            <v>Ecommerce</v>
          </cell>
          <cell r="L11327" t="str">
            <v>HQ Salaries</v>
          </cell>
          <cell r="N11327" t="str">
            <v>SG&amp;A</v>
          </cell>
          <cell r="O11327" t="str">
            <v>Procyon Benefits LLC</v>
          </cell>
        </row>
        <row r="11328">
          <cell r="D11328">
            <v>17.399999999999999</v>
          </cell>
          <cell r="H11328">
            <v>45931</v>
          </cell>
          <cell r="I11328" t="str">
            <v>6040 - Employer Paid Benefits</v>
          </cell>
          <cell r="J11328">
            <v>0</v>
          </cell>
          <cell r="K11328" t="str">
            <v>Design</v>
          </cell>
          <cell r="L11328" t="str">
            <v>HQ Salaries</v>
          </cell>
          <cell r="N11328" t="str">
            <v>SG&amp;A</v>
          </cell>
          <cell r="O11328" t="str">
            <v>Procyon Benefits LLC</v>
          </cell>
        </row>
        <row r="11329">
          <cell r="D11329">
            <v>-34.9</v>
          </cell>
          <cell r="H11329">
            <v>45931</v>
          </cell>
          <cell r="I11329" t="str">
            <v>6040 - Employer Paid Benefits</v>
          </cell>
          <cell r="J11329" t="str">
            <v>Wholesale</v>
          </cell>
          <cell r="K11329" t="str">
            <v>Wholesale</v>
          </cell>
          <cell r="L11329" t="str">
            <v>HQ Salaries</v>
          </cell>
          <cell r="N11329" t="str">
            <v>SG&amp;A</v>
          </cell>
          <cell r="O11329" t="str">
            <v>[No Vendor]</v>
          </cell>
        </row>
        <row r="11330">
          <cell r="D11330">
            <v>-225.7</v>
          </cell>
          <cell r="H11330">
            <v>45931</v>
          </cell>
          <cell r="I11330" t="str">
            <v>6040 - Employer Paid Benefits</v>
          </cell>
          <cell r="J11330">
            <v>0</v>
          </cell>
          <cell r="K11330" t="str">
            <v>Production</v>
          </cell>
          <cell r="L11330" t="str">
            <v>HQ Salaries</v>
          </cell>
          <cell r="N11330" t="str">
            <v>SG&amp;A</v>
          </cell>
          <cell r="O11330" t="str">
            <v>[No Vendor]</v>
          </cell>
        </row>
        <row r="11331">
          <cell r="D11331">
            <v>-34.9</v>
          </cell>
          <cell r="H11331">
            <v>45931</v>
          </cell>
          <cell r="I11331" t="str">
            <v>6040 - Employer Paid Benefits</v>
          </cell>
          <cell r="J11331">
            <v>0</v>
          </cell>
          <cell r="K11331" t="str">
            <v>Merchandising</v>
          </cell>
          <cell r="L11331" t="str">
            <v>HQ Salaries</v>
          </cell>
          <cell r="N11331" t="str">
            <v>SG&amp;A</v>
          </cell>
          <cell r="O11331" t="str">
            <v>[No Vendor]</v>
          </cell>
        </row>
        <row r="11332">
          <cell r="D11332">
            <v>-211.23</v>
          </cell>
          <cell r="H11332">
            <v>45931</v>
          </cell>
          <cell r="I11332" t="str">
            <v>6040 - Employer Paid Benefits</v>
          </cell>
          <cell r="J11332">
            <v>0</v>
          </cell>
          <cell r="K11332" t="str">
            <v>Brand Marketing</v>
          </cell>
          <cell r="L11332" t="str">
            <v>HQ Salaries</v>
          </cell>
          <cell r="N11332" t="str">
            <v>SG&amp;A</v>
          </cell>
          <cell r="O11332" t="str">
            <v>[No Vendor]</v>
          </cell>
        </row>
        <row r="11333">
          <cell r="D11333">
            <v>-297.52999999999997</v>
          </cell>
          <cell r="H11333">
            <v>45931</v>
          </cell>
          <cell r="I11333" t="str">
            <v>6040 - Employer Paid Benefits</v>
          </cell>
          <cell r="J11333">
            <v>0</v>
          </cell>
          <cell r="K11333" t="str">
            <v>Executive</v>
          </cell>
          <cell r="L11333" t="str">
            <v>HQ Salaries</v>
          </cell>
          <cell r="N11333" t="str">
            <v>SG&amp;A</v>
          </cell>
          <cell r="O11333" t="str">
            <v>[No Vendor]</v>
          </cell>
        </row>
        <row r="11334">
          <cell r="D11334">
            <v>-324.20999999999998</v>
          </cell>
          <cell r="H11334">
            <v>45931</v>
          </cell>
          <cell r="I11334" t="str">
            <v>6040 - Employer Paid Benefits</v>
          </cell>
          <cell r="J11334" t="str">
            <v>Ecommerce (US)</v>
          </cell>
          <cell r="K11334" t="str">
            <v>Ecommerce</v>
          </cell>
          <cell r="L11334" t="str">
            <v>HQ Salaries</v>
          </cell>
          <cell r="N11334" t="str">
            <v>SG&amp;A</v>
          </cell>
          <cell r="O11334" t="str">
            <v>[No Vendor]</v>
          </cell>
        </row>
        <row r="11335">
          <cell r="D11335">
            <v>-341.42</v>
          </cell>
          <cell r="H11335">
            <v>45931</v>
          </cell>
          <cell r="I11335" t="str">
            <v>6040 - Employer Paid Benefits</v>
          </cell>
          <cell r="J11335">
            <v>0</v>
          </cell>
          <cell r="K11335" t="str">
            <v>Design</v>
          </cell>
          <cell r="L11335" t="str">
            <v>HQ Salaries</v>
          </cell>
          <cell r="N11335" t="str">
            <v>SG&amp;A</v>
          </cell>
          <cell r="O11335" t="str">
            <v>[No Vendor]</v>
          </cell>
        </row>
        <row r="11336">
          <cell r="D11336">
            <v>-99.9</v>
          </cell>
          <cell r="H11336">
            <v>45931</v>
          </cell>
          <cell r="I11336" t="str">
            <v>6040 - Employer Paid Benefits</v>
          </cell>
          <cell r="J11336">
            <v>0</v>
          </cell>
          <cell r="K11336" t="str">
            <v>Administration</v>
          </cell>
          <cell r="L11336" t="str">
            <v>HQ Salaries</v>
          </cell>
          <cell r="N11336" t="str">
            <v>SG&amp;A</v>
          </cell>
          <cell r="O11336" t="str">
            <v>[No Vendor]</v>
          </cell>
        </row>
        <row r="11337">
          <cell r="D11337">
            <v>20.3</v>
          </cell>
          <cell r="H11337">
            <v>45931</v>
          </cell>
          <cell r="I11337" t="str">
            <v>6040 - Employer Paid Benefits</v>
          </cell>
          <cell r="J11337">
            <v>0</v>
          </cell>
          <cell r="K11337" t="str">
            <v>Administration</v>
          </cell>
          <cell r="L11337" t="str">
            <v>HQ Salaries</v>
          </cell>
          <cell r="N11337" t="str">
            <v>SG&amp;A</v>
          </cell>
          <cell r="O11337" t="str">
            <v>Procyon Benefits LLC</v>
          </cell>
        </row>
        <row r="11338">
          <cell r="D11338">
            <v>146.09</v>
          </cell>
          <cell r="H11338">
            <v>45931</v>
          </cell>
          <cell r="I11338" t="str">
            <v>6040 - Employer Paid Benefits</v>
          </cell>
          <cell r="J11338">
            <v>0</v>
          </cell>
          <cell r="K11338" t="str">
            <v>Production</v>
          </cell>
          <cell r="L11338" t="str">
            <v>HQ Salaries</v>
          </cell>
          <cell r="N11338" t="str">
            <v>SG&amp;A</v>
          </cell>
          <cell r="O11338" t="str">
            <v>Procyon Benefits LLC</v>
          </cell>
        </row>
        <row r="11339">
          <cell r="D11339">
            <v>95.56</v>
          </cell>
          <cell r="H11339">
            <v>45931</v>
          </cell>
          <cell r="I11339" t="str">
            <v>6040 - Employer Paid Benefits</v>
          </cell>
          <cell r="J11339">
            <v>0</v>
          </cell>
          <cell r="K11339" t="str">
            <v>Merchandising</v>
          </cell>
          <cell r="L11339" t="str">
            <v>HQ Salaries</v>
          </cell>
          <cell r="N11339" t="str">
            <v>SG&amp;A</v>
          </cell>
          <cell r="O11339" t="str">
            <v>Procyon Benefits LLC</v>
          </cell>
        </row>
        <row r="11340">
          <cell r="D11340">
            <v>34</v>
          </cell>
          <cell r="H11340">
            <v>45931</v>
          </cell>
          <cell r="I11340" t="str">
            <v>6040 - Employer Paid Benefits</v>
          </cell>
          <cell r="J11340">
            <v>0</v>
          </cell>
          <cell r="K11340" t="str">
            <v>Brand Marketing</v>
          </cell>
          <cell r="L11340" t="str">
            <v>HQ Salaries</v>
          </cell>
          <cell r="N11340" t="str">
            <v>SG&amp;A</v>
          </cell>
          <cell r="O11340" t="str">
            <v>Procyon Benefits LLC</v>
          </cell>
        </row>
        <row r="11341">
          <cell r="D11341">
            <v>75</v>
          </cell>
          <cell r="H11341">
            <v>45931</v>
          </cell>
          <cell r="I11341" t="str">
            <v>6040 - Employer Paid Benefits</v>
          </cell>
          <cell r="J11341">
            <v>0</v>
          </cell>
          <cell r="K11341" t="str">
            <v>Executive</v>
          </cell>
          <cell r="L11341" t="str">
            <v>HQ Salaries</v>
          </cell>
          <cell r="N11341" t="str">
            <v>SG&amp;A</v>
          </cell>
          <cell r="O11341" t="str">
            <v>Procyon Benefits LLC</v>
          </cell>
        </row>
        <row r="11342">
          <cell r="D11342">
            <v>331.75</v>
          </cell>
          <cell r="H11342">
            <v>45931</v>
          </cell>
          <cell r="I11342" t="str">
            <v>6040 - Employer Paid Benefits</v>
          </cell>
          <cell r="J11342" t="str">
            <v>Ecommerce (US)</v>
          </cell>
          <cell r="K11342" t="str">
            <v>Ecommerce</v>
          </cell>
          <cell r="L11342" t="str">
            <v>HQ Salaries</v>
          </cell>
          <cell r="N11342" t="str">
            <v>SG&amp;A</v>
          </cell>
          <cell r="O11342" t="str">
            <v>Procyon Benefits LLC</v>
          </cell>
        </row>
        <row r="11343">
          <cell r="D11343">
            <v>11.6</v>
          </cell>
          <cell r="H11343">
            <v>45931</v>
          </cell>
          <cell r="I11343" t="str">
            <v>6040 - Employer Paid Benefits</v>
          </cell>
          <cell r="J11343">
            <v>0</v>
          </cell>
          <cell r="K11343" t="str">
            <v>Design</v>
          </cell>
          <cell r="L11343" t="str">
            <v>HQ Salaries</v>
          </cell>
          <cell r="N11343" t="str">
            <v>SG&amp;A</v>
          </cell>
          <cell r="O11343" t="str">
            <v>Procyon Benefits LLC</v>
          </cell>
        </row>
        <row r="11344">
          <cell r="D11344">
            <v>20.3</v>
          </cell>
          <cell r="H11344">
            <v>45931</v>
          </cell>
          <cell r="I11344" t="str">
            <v>6040 - Employer Paid Benefits</v>
          </cell>
          <cell r="J11344">
            <v>0</v>
          </cell>
          <cell r="K11344" t="str">
            <v>Production</v>
          </cell>
          <cell r="L11344" t="str">
            <v>HQ Salaries</v>
          </cell>
          <cell r="N11344" t="str">
            <v>SG&amp;A</v>
          </cell>
          <cell r="O11344" t="str">
            <v>Procyon Benefits LLC</v>
          </cell>
        </row>
        <row r="11345">
          <cell r="D11345">
            <v>24.7</v>
          </cell>
          <cell r="H11345">
            <v>45931</v>
          </cell>
          <cell r="I11345" t="str">
            <v>6040 - Employer Paid Benefits</v>
          </cell>
          <cell r="J11345">
            <v>0</v>
          </cell>
          <cell r="K11345" t="str">
            <v>Merchandising</v>
          </cell>
          <cell r="L11345" t="str">
            <v>HQ Salaries</v>
          </cell>
          <cell r="N11345" t="str">
            <v>SG&amp;A</v>
          </cell>
          <cell r="O11345" t="str">
            <v>Procyon Benefits LLC</v>
          </cell>
        </row>
        <row r="11346">
          <cell r="D11346">
            <v>340</v>
          </cell>
          <cell r="H11346">
            <v>45931</v>
          </cell>
          <cell r="I11346" t="str">
            <v>6040 - Employer Paid Benefits</v>
          </cell>
          <cell r="J11346">
            <v>0</v>
          </cell>
          <cell r="K11346" t="str">
            <v>Brand Marketing</v>
          </cell>
          <cell r="L11346" t="str">
            <v>HQ Salaries</v>
          </cell>
          <cell r="N11346" t="str">
            <v>SG&amp;A</v>
          </cell>
          <cell r="O11346" t="str">
            <v>Procyon Benefits LLC</v>
          </cell>
        </row>
        <row r="11347">
          <cell r="D11347">
            <v>10</v>
          </cell>
          <cell r="H11347">
            <v>45931</v>
          </cell>
          <cell r="I11347" t="str">
            <v>6040 - Employer Paid Benefits</v>
          </cell>
          <cell r="J11347" t="str">
            <v>Ecommerce (US)</v>
          </cell>
          <cell r="K11347" t="str">
            <v>Ecommerce</v>
          </cell>
          <cell r="L11347" t="str">
            <v>HQ Salaries</v>
          </cell>
          <cell r="N11347" t="str">
            <v>SG&amp;A</v>
          </cell>
          <cell r="O11347" t="str">
            <v>Procyon Benefits LLC</v>
          </cell>
        </row>
        <row r="11348">
          <cell r="D11348">
            <v>524.96</v>
          </cell>
          <cell r="H11348">
            <v>45931</v>
          </cell>
          <cell r="I11348" t="str">
            <v>6040 - Employer Paid Benefits</v>
          </cell>
          <cell r="J11348">
            <v>0</v>
          </cell>
          <cell r="K11348" t="str">
            <v>Design</v>
          </cell>
          <cell r="L11348" t="str">
            <v>HQ Salaries</v>
          </cell>
          <cell r="N11348" t="str">
            <v>SG&amp;A</v>
          </cell>
          <cell r="O11348" t="str">
            <v>Procyon Benefits LLC</v>
          </cell>
        </row>
        <row r="11349">
          <cell r="D11349">
            <v>3</v>
          </cell>
          <cell r="H11349">
            <v>45931</v>
          </cell>
          <cell r="I11349" t="str">
            <v>6040 - Employer Paid Benefits</v>
          </cell>
          <cell r="J11349">
            <v>0</v>
          </cell>
          <cell r="K11349" t="str">
            <v>Administration</v>
          </cell>
          <cell r="L11349" t="str">
            <v>HQ Salaries</v>
          </cell>
          <cell r="N11349" t="str">
            <v>SG&amp;A</v>
          </cell>
          <cell r="O11349" t="str">
            <v>Procyon Benefits LLC</v>
          </cell>
        </row>
        <row r="11350">
          <cell r="D11350">
            <v>115.5</v>
          </cell>
          <cell r="H11350">
            <v>45931</v>
          </cell>
          <cell r="I11350" t="str">
            <v>6040 - Employer Paid Benefits</v>
          </cell>
          <cell r="J11350">
            <v>0</v>
          </cell>
          <cell r="K11350" t="str">
            <v>Administration</v>
          </cell>
          <cell r="L11350" t="str">
            <v>HQ Salaries</v>
          </cell>
          <cell r="N11350" t="str">
            <v>SG&amp;A</v>
          </cell>
          <cell r="O11350" t="str">
            <v>Progressive Benefit Solutions LLC</v>
          </cell>
        </row>
        <row r="11351">
          <cell r="D11351">
            <v>-49.95</v>
          </cell>
          <cell r="H11351">
            <v>45931</v>
          </cell>
          <cell r="I11351" t="str">
            <v>6040 - Employer Paid Benefits</v>
          </cell>
          <cell r="J11351">
            <v>0</v>
          </cell>
          <cell r="K11351" t="str">
            <v>Administration</v>
          </cell>
          <cell r="L11351" t="str">
            <v>HQ Salaries</v>
          </cell>
          <cell r="N11351" t="str">
            <v>SG&amp;A</v>
          </cell>
          <cell r="O11351" t="str">
            <v>[No Vendor]</v>
          </cell>
        </row>
        <row r="11352">
          <cell r="D11352">
            <v>-99.9</v>
          </cell>
          <cell r="H11352">
            <v>45931</v>
          </cell>
          <cell r="I11352" t="str">
            <v>6040 - Employer Paid Benefits</v>
          </cell>
          <cell r="J11352">
            <v>0</v>
          </cell>
          <cell r="K11352" t="str">
            <v>Administration</v>
          </cell>
          <cell r="L11352" t="str">
            <v>HQ Salaries</v>
          </cell>
          <cell r="N11352" t="str">
            <v>SG&amp;A</v>
          </cell>
          <cell r="O11352" t="str">
            <v>[No Vendor]</v>
          </cell>
        </row>
        <row r="11353">
          <cell r="D11353">
            <v>-170.72</v>
          </cell>
          <cell r="H11353">
            <v>45931</v>
          </cell>
          <cell r="I11353" t="str">
            <v>6040 - Employer Paid Benefits</v>
          </cell>
          <cell r="J11353">
            <v>0</v>
          </cell>
          <cell r="K11353" t="str">
            <v>Design</v>
          </cell>
          <cell r="L11353" t="str">
            <v>HQ Salaries</v>
          </cell>
          <cell r="N11353" t="str">
            <v>SG&amp;A</v>
          </cell>
          <cell r="O11353" t="str">
            <v>[No Vendor]</v>
          </cell>
        </row>
        <row r="11354">
          <cell r="D11354">
            <v>-341.43</v>
          </cell>
          <cell r="H11354">
            <v>45931</v>
          </cell>
          <cell r="I11354" t="str">
            <v>6040 - Employer Paid Benefits</v>
          </cell>
          <cell r="J11354">
            <v>0</v>
          </cell>
          <cell r="K11354" t="str">
            <v>Design</v>
          </cell>
          <cell r="L11354" t="str">
            <v>HQ Salaries</v>
          </cell>
          <cell r="N11354" t="str">
            <v>SG&amp;A</v>
          </cell>
          <cell r="O11354" t="str">
            <v>[No Vendor]</v>
          </cell>
        </row>
        <row r="11355">
          <cell r="D11355">
            <v>-162.11000000000001</v>
          </cell>
          <cell r="H11355">
            <v>45931</v>
          </cell>
          <cell r="I11355" t="str">
            <v>6040 - Employer Paid Benefits</v>
          </cell>
          <cell r="J11355" t="str">
            <v>Ecommerce (US)</v>
          </cell>
          <cell r="K11355" t="str">
            <v>Ecommerce</v>
          </cell>
          <cell r="L11355" t="str">
            <v>HQ Salaries</v>
          </cell>
          <cell r="N11355" t="str">
            <v>SG&amp;A</v>
          </cell>
          <cell r="O11355" t="str">
            <v>[No Vendor]</v>
          </cell>
        </row>
        <row r="11356">
          <cell r="D11356">
            <v>-324.20999999999998</v>
          </cell>
          <cell r="H11356">
            <v>45931</v>
          </cell>
          <cell r="I11356" t="str">
            <v>6040 - Employer Paid Benefits</v>
          </cell>
          <cell r="J11356" t="str">
            <v>Ecommerce (US)</v>
          </cell>
          <cell r="K11356" t="str">
            <v>Ecommerce</v>
          </cell>
          <cell r="L11356" t="str">
            <v>HQ Salaries</v>
          </cell>
          <cell r="N11356" t="str">
            <v>SG&amp;A</v>
          </cell>
          <cell r="O11356" t="str">
            <v>[No Vendor]</v>
          </cell>
        </row>
        <row r="11357">
          <cell r="D11357">
            <v>-148.76</v>
          </cell>
          <cell r="H11357">
            <v>45931</v>
          </cell>
          <cell r="I11357" t="str">
            <v>6040 - Employer Paid Benefits</v>
          </cell>
          <cell r="J11357">
            <v>0</v>
          </cell>
          <cell r="K11357" t="str">
            <v>Executive</v>
          </cell>
          <cell r="L11357" t="str">
            <v>HQ Salaries</v>
          </cell>
          <cell r="N11357" t="str">
            <v>SG&amp;A</v>
          </cell>
          <cell r="O11357" t="str">
            <v>[No Vendor]</v>
          </cell>
        </row>
        <row r="11358">
          <cell r="D11358">
            <v>-297.52999999999997</v>
          </cell>
          <cell r="H11358">
            <v>45931</v>
          </cell>
          <cell r="I11358" t="str">
            <v>6040 - Employer Paid Benefits</v>
          </cell>
          <cell r="J11358">
            <v>0</v>
          </cell>
          <cell r="K11358" t="str">
            <v>Executive</v>
          </cell>
          <cell r="L11358" t="str">
            <v>HQ Salaries</v>
          </cell>
          <cell r="N11358" t="str">
            <v>SG&amp;A</v>
          </cell>
          <cell r="O11358" t="str">
            <v>[No Vendor]</v>
          </cell>
        </row>
        <row r="11359">
          <cell r="D11359">
            <v>-105.62</v>
          </cell>
          <cell r="H11359">
            <v>45931</v>
          </cell>
          <cell r="I11359" t="str">
            <v>6040 - Employer Paid Benefits</v>
          </cell>
          <cell r="J11359">
            <v>0</v>
          </cell>
          <cell r="K11359" t="str">
            <v>Brand Marketing</v>
          </cell>
          <cell r="L11359" t="str">
            <v>HQ Salaries</v>
          </cell>
          <cell r="N11359" t="str">
            <v>SG&amp;A</v>
          </cell>
          <cell r="O11359" t="str">
            <v>[No Vendor]</v>
          </cell>
        </row>
        <row r="11360">
          <cell r="D11360">
            <v>-211.23</v>
          </cell>
          <cell r="H11360">
            <v>45931</v>
          </cell>
          <cell r="I11360" t="str">
            <v>6040 - Employer Paid Benefits</v>
          </cell>
          <cell r="J11360">
            <v>0</v>
          </cell>
          <cell r="K11360" t="str">
            <v>Brand Marketing</v>
          </cell>
          <cell r="L11360" t="str">
            <v>HQ Salaries</v>
          </cell>
          <cell r="N11360" t="str">
            <v>SG&amp;A</v>
          </cell>
          <cell r="O11360" t="str">
            <v>[No Vendor]</v>
          </cell>
        </row>
        <row r="11361">
          <cell r="D11361">
            <v>-17.45</v>
          </cell>
          <cell r="H11361">
            <v>45931</v>
          </cell>
          <cell r="I11361" t="str">
            <v>6040 - Employer Paid Benefits</v>
          </cell>
          <cell r="J11361">
            <v>0</v>
          </cell>
          <cell r="K11361" t="str">
            <v>Merchandising</v>
          </cell>
          <cell r="L11361" t="str">
            <v>HQ Salaries</v>
          </cell>
          <cell r="N11361" t="str">
            <v>SG&amp;A</v>
          </cell>
          <cell r="O11361" t="str">
            <v>[No Vendor]</v>
          </cell>
        </row>
        <row r="11362">
          <cell r="D11362">
            <v>-34.9</v>
          </cell>
          <cell r="H11362">
            <v>45931</v>
          </cell>
          <cell r="I11362" t="str">
            <v>6040 - Employer Paid Benefits</v>
          </cell>
          <cell r="J11362">
            <v>0</v>
          </cell>
          <cell r="K11362" t="str">
            <v>Merchandising</v>
          </cell>
          <cell r="L11362" t="str">
            <v>HQ Salaries</v>
          </cell>
          <cell r="N11362" t="str">
            <v>SG&amp;A</v>
          </cell>
          <cell r="O11362" t="str">
            <v>[No Vendor]</v>
          </cell>
        </row>
        <row r="11363">
          <cell r="D11363">
            <v>-112.85</v>
          </cell>
          <cell r="H11363">
            <v>45931</v>
          </cell>
          <cell r="I11363" t="str">
            <v>6040 - Employer Paid Benefits</v>
          </cell>
          <cell r="J11363">
            <v>0</v>
          </cell>
          <cell r="K11363" t="str">
            <v>Production</v>
          </cell>
          <cell r="L11363" t="str">
            <v>HQ Salaries</v>
          </cell>
          <cell r="N11363" t="str">
            <v>SG&amp;A</v>
          </cell>
          <cell r="O11363" t="str">
            <v>[No Vendor]</v>
          </cell>
        </row>
        <row r="11364">
          <cell r="D11364">
            <v>-225.7</v>
          </cell>
          <cell r="H11364">
            <v>45931</v>
          </cell>
          <cell r="I11364" t="str">
            <v>6040 - Employer Paid Benefits</v>
          </cell>
          <cell r="J11364">
            <v>0</v>
          </cell>
          <cell r="K11364" t="str">
            <v>Production</v>
          </cell>
          <cell r="L11364" t="str">
            <v>HQ Salaries</v>
          </cell>
          <cell r="N11364" t="str">
            <v>SG&amp;A</v>
          </cell>
          <cell r="O11364" t="str">
            <v>[No Vendor]</v>
          </cell>
        </row>
        <row r="11365">
          <cell r="D11365">
            <v>-17.45</v>
          </cell>
          <cell r="H11365">
            <v>45931</v>
          </cell>
          <cell r="I11365" t="str">
            <v>6040 - Employer Paid Benefits</v>
          </cell>
          <cell r="J11365" t="str">
            <v>Wholesale</v>
          </cell>
          <cell r="K11365" t="str">
            <v>Wholesale</v>
          </cell>
          <cell r="L11365" t="str">
            <v>HQ Salaries</v>
          </cell>
          <cell r="N11365" t="str">
            <v>SG&amp;A</v>
          </cell>
          <cell r="O11365" t="str">
            <v>[No Vendor]</v>
          </cell>
        </row>
        <row r="11366">
          <cell r="D11366">
            <v>-34.9</v>
          </cell>
          <cell r="H11366">
            <v>45931</v>
          </cell>
          <cell r="I11366" t="str">
            <v>6040 - Employer Paid Benefits</v>
          </cell>
          <cell r="J11366" t="str">
            <v>Wholesale</v>
          </cell>
          <cell r="K11366" t="str">
            <v>Wholesale</v>
          </cell>
          <cell r="L11366" t="str">
            <v>HQ Salaries</v>
          </cell>
          <cell r="N11366" t="str">
            <v>SG&amp;A</v>
          </cell>
          <cell r="O11366" t="str">
            <v>[No Vendor]</v>
          </cell>
        </row>
        <row r="11367">
          <cell r="D11367">
            <v>-429</v>
          </cell>
          <cell r="H11367">
            <v>45931</v>
          </cell>
          <cell r="I11367" t="str">
            <v>6055 - Employer Social Security Tax Withheld</v>
          </cell>
          <cell r="J11367" t="str">
            <v>Wholesale</v>
          </cell>
          <cell r="K11367" t="str">
            <v>Wholesale</v>
          </cell>
          <cell r="L11367" t="str">
            <v>HQ Salaries</v>
          </cell>
          <cell r="N11367" t="str">
            <v>SG&amp;A</v>
          </cell>
          <cell r="O11367" t="str">
            <v>[No Vendor]</v>
          </cell>
        </row>
        <row r="11368">
          <cell r="D11368">
            <v>-1924.57</v>
          </cell>
          <cell r="H11368">
            <v>45931</v>
          </cell>
          <cell r="I11368" t="str">
            <v>6055 - Employer Social Security Tax Withheld</v>
          </cell>
          <cell r="J11368">
            <v>0</v>
          </cell>
          <cell r="K11368" t="str">
            <v>Production</v>
          </cell>
          <cell r="L11368" t="str">
            <v>HQ Salaries</v>
          </cell>
          <cell r="N11368" t="str">
            <v>SG&amp;A</v>
          </cell>
          <cell r="O11368" t="str">
            <v>[No Vendor]</v>
          </cell>
        </row>
        <row r="11369">
          <cell r="D11369">
            <v>-488.33</v>
          </cell>
          <cell r="H11369">
            <v>45931</v>
          </cell>
          <cell r="I11369" t="str">
            <v>6055 - Employer Social Security Tax Withheld</v>
          </cell>
          <cell r="J11369">
            <v>0</v>
          </cell>
          <cell r="K11369" t="str">
            <v>Merchandising</v>
          </cell>
          <cell r="L11369" t="str">
            <v>HQ Salaries</v>
          </cell>
          <cell r="N11369" t="str">
            <v>SG&amp;A</v>
          </cell>
          <cell r="O11369" t="str">
            <v>[No Vendor]</v>
          </cell>
        </row>
        <row r="11370">
          <cell r="D11370">
            <v>-1213.3</v>
          </cell>
          <cell r="H11370">
            <v>45931</v>
          </cell>
          <cell r="I11370" t="str">
            <v>6055 - Employer Social Security Tax Withheld</v>
          </cell>
          <cell r="J11370">
            <v>0</v>
          </cell>
          <cell r="K11370" t="str">
            <v>Brand Marketing</v>
          </cell>
          <cell r="L11370" t="str">
            <v>HQ Salaries</v>
          </cell>
          <cell r="N11370" t="str">
            <v>SG&amp;A</v>
          </cell>
          <cell r="O11370" t="str">
            <v>[No Vendor]</v>
          </cell>
        </row>
        <row r="11371">
          <cell r="D11371">
            <v>-609.46</v>
          </cell>
          <cell r="H11371">
            <v>45931</v>
          </cell>
          <cell r="I11371" t="str">
            <v>6055 - Employer Social Security Tax Withheld</v>
          </cell>
          <cell r="J11371">
            <v>0</v>
          </cell>
          <cell r="K11371" t="str">
            <v>Executive</v>
          </cell>
          <cell r="L11371" t="str">
            <v>HQ Salaries</v>
          </cell>
          <cell r="N11371" t="str">
            <v>SG&amp;A</v>
          </cell>
          <cell r="O11371" t="str">
            <v>[No Vendor]</v>
          </cell>
        </row>
        <row r="11372">
          <cell r="D11372">
            <v>-2644.82</v>
          </cell>
          <cell r="H11372">
            <v>45931</v>
          </cell>
          <cell r="I11372" t="str">
            <v>6055 - Employer Social Security Tax Withheld</v>
          </cell>
          <cell r="J11372" t="str">
            <v>Ecommerce (US)</v>
          </cell>
          <cell r="K11372" t="str">
            <v>Ecommerce</v>
          </cell>
          <cell r="L11372" t="str">
            <v>HQ Salaries</v>
          </cell>
          <cell r="N11372" t="str">
            <v>SG&amp;A</v>
          </cell>
          <cell r="O11372" t="str">
            <v>[No Vendor]</v>
          </cell>
        </row>
        <row r="11373">
          <cell r="D11373">
            <v>-2589.65</v>
          </cell>
          <cell r="H11373">
            <v>45931</v>
          </cell>
          <cell r="I11373" t="str">
            <v>6055 - Employer Social Security Tax Withheld</v>
          </cell>
          <cell r="J11373">
            <v>0</v>
          </cell>
          <cell r="K11373" t="str">
            <v>Design</v>
          </cell>
          <cell r="L11373" t="str">
            <v>HQ Salaries</v>
          </cell>
          <cell r="N11373" t="str">
            <v>SG&amp;A</v>
          </cell>
          <cell r="O11373" t="str">
            <v>[No Vendor]</v>
          </cell>
        </row>
        <row r="11374">
          <cell r="D11374">
            <v>-1787.99</v>
          </cell>
          <cell r="H11374">
            <v>45931</v>
          </cell>
          <cell r="I11374" t="str">
            <v>6055 - Employer Social Security Tax Withheld</v>
          </cell>
          <cell r="J11374">
            <v>0</v>
          </cell>
          <cell r="K11374" t="str">
            <v>Administration</v>
          </cell>
          <cell r="L11374" t="str">
            <v>HQ Salaries</v>
          </cell>
          <cell r="N11374" t="str">
            <v>SG&amp;A</v>
          </cell>
          <cell r="O11374" t="str">
            <v>[No Vendor]</v>
          </cell>
        </row>
        <row r="11375">
          <cell r="D11375">
            <v>357.5</v>
          </cell>
          <cell r="H11375">
            <v>45931</v>
          </cell>
          <cell r="I11375" t="str">
            <v>6055 - Employer Social Security Tax Withheld</v>
          </cell>
          <cell r="J11375" t="str">
            <v>Wholesale</v>
          </cell>
          <cell r="K11375" t="str">
            <v>Wholesale</v>
          </cell>
          <cell r="L11375" t="str">
            <v>HQ Salaries</v>
          </cell>
          <cell r="N11375" t="str">
            <v>SG&amp;A</v>
          </cell>
          <cell r="O11375" t="str">
            <v>[No Vendor]</v>
          </cell>
        </row>
        <row r="11376">
          <cell r="D11376">
            <v>1603.81</v>
          </cell>
          <cell r="H11376">
            <v>45931</v>
          </cell>
          <cell r="I11376" t="str">
            <v>6055 - Employer Social Security Tax Withheld</v>
          </cell>
          <cell r="J11376">
            <v>0</v>
          </cell>
          <cell r="K11376" t="str">
            <v>Production</v>
          </cell>
          <cell r="L11376" t="str">
            <v>HQ Salaries</v>
          </cell>
          <cell r="N11376" t="str">
            <v>SG&amp;A</v>
          </cell>
          <cell r="O11376" t="str">
            <v>[No Vendor]</v>
          </cell>
        </row>
        <row r="11377">
          <cell r="D11377">
            <v>406.94</v>
          </cell>
          <cell r="H11377">
            <v>45931</v>
          </cell>
          <cell r="I11377" t="str">
            <v>6055 - Employer Social Security Tax Withheld</v>
          </cell>
          <cell r="J11377">
            <v>0</v>
          </cell>
          <cell r="K11377" t="str">
            <v>Merchandising</v>
          </cell>
          <cell r="L11377" t="str">
            <v>HQ Salaries</v>
          </cell>
          <cell r="N11377" t="str">
            <v>SG&amp;A</v>
          </cell>
          <cell r="O11377" t="str">
            <v>[No Vendor]</v>
          </cell>
        </row>
        <row r="11378">
          <cell r="D11378">
            <v>1011.08</v>
          </cell>
          <cell r="H11378">
            <v>45931</v>
          </cell>
          <cell r="I11378" t="str">
            <v>6055 - Employer Social Security Tax Withheld</v>
          </cell>
          <cell r="J11378">
            <v>0</v>
          </cell>
          <cell r="K11378" t="str">
            <v>Brand Marketing</v>
          </cell>
          <cell r="L11378" t="str">
            <v>HQ Salaries</v>
          </cell>
          <cell r="N11378" t="str">
            <v>SG&amp;A</v>
          </cell>
          <cell r="O11378" t="str">
            <v>[No Vendor]</v>
          </cell>
        </row>
        <row r="11379">
          <cell r="D11379">
            <v>507.88</v>
          </cell>
          <cell r="H11379">
            <v>45931</v>
          </cell>
          <cell r="I11379" t="str">
            <v>6055 - Employer Social Security Tax Withheld</v>
          </cell>
          <cell r="J11379">
            <v>0</v>
          </cell>
          <cell r="K11379" t="str">
            <v>Executive</v>
          </cell>
          <cell r="L11379" t="str">
            <v>HQ Salaries</v>
          </cell>
          <cell r="N11379" t="str">
            <v>SG&amp;A</v>
          </cell>
          <cell r="O11379" t="str">
            <v>[No Vendor]</v>
          </cell>
        </row>
        <row r="11380">
          <cell r="D11380">
            <v>2204.02</v>
          </cell>
          <cell r="H11380">
            <v>45931</v>
          </cell>
          <cell r="I11380" t="str">
            <v>6055 - Employer Social Security Tax Withheld</v>
          </cell>
          <cell r="J11380" t="str">
            <v>Ecommerce (US)</v>
          </cell>
          <cell r="K11380" t="str">
            <v>Ecommerce</v>
          </cell>
          <cell r="L11380" t="str">
            <v>HQ Salaries</v>
          </cell>
          <cell r="N11380" t="str">
            <v>SG&amp;A</v>
          </cell>
          <cell r="O11380" t="str">
            <v>[No Vendor]</v>
          </cell>
        </row>
        <row r="11381">
          <cell r="D11381">
            <v>2158.04</v>
          </cell>
          <cell r="H11381">
            <v>45931</v>
          </cell>
          <cell r="I11381" t="str">
            <v>6055 - Employer Social Security Tax Withheld</v>
          </cell>
          <cell r="J11381">
            <v>0</v>
          </cell>
          <cell r="K11381" t="str">
            <v>Design</v>
          </cell>
          <cell r="L11381" t="str">
            <v>HQ Salaries</v>
          </cell>
          <cell r="N11381" t="str">
            <v>SG&amp;A</v>
          </cell>
          <cell r="O11381" t="str">
            <v>[No Vendor]</v>
          </cell>
        </row>
        <row r="11382">
          <cell r="D11382">
            <v>1489.99</v>
          </cell>
          <cell r="H11382">
            <v>45931</v>
          </cell>
          <cell r="I11382" t="str">
            <v>6055 - Employer Social Security Tax Withheld</v>
          </cell>
          <cell r="J11382">
            <v>0</v>
          </cell>
          <cell r="K11382" t="str">
            <v>Administration</v>
          </cell>
          <cell r="L11382" t="str">
            <v>HQ Salaries</v>
          </cell>
          <cell r="N11382" t="str">
            <v>SG&amp;A</v>
          </cell>
          <cell r="O11382" t="str">
            <v>[No Vendor]</v>
          </cell>
        </row>
        <row r="11383">
          <cell r="D11383">
            <v>355.51</v>
          </cell>
          <cell r="H11383">
            <v>45931</v>
          </cell>
          <cell r="I11383" t="str">
            <v>6055 - Employer Social Security Tax Withheld</v>
          </cell>
          <cell r="J11383" t="str">
            <v>Wholesale</v>
          </cell>
          <cell r="K11383" t="str">
            <v>Wholesale</v>
          </cell>
          <cell r="L11383" t="str">
            <v>HQ Salaries</v>
          </cell>
          <cell r="N11383" t="str">
            <v>SG&amp;A</v>
          </cell>
          <cell r="O11383" t="str">
            <v>[No Vendor]</v>
          </cell>
        </row>
        <row r="11384">
          <cell r="D11384">
            <v>1599.63</v>
          </cell>
          <cell r="H11384">
            <v>45931</v>
          </cell>
          <cell r="I11384" t="str">
            <v>6055 - Employer Social Security Tax Withheld</v>
          </cell>
          <cell r="J11384">
            <v>0</v>
          </cell>
          <cell r="K11384" t="str">
            <v>Production</v>
          </cell>
          <cell r="L11384" t="str">
            <v>HQ Salaries</v>
          </cell>
          <cell r="N11384" t="str">
            <v>SG&amp;A</v>
          </cell>
          <cell r="O11384" t="str">
            <v>[No Vendor]</v>
          </cell>
        </row>
        <row r="11385">
          <cell r="D11385">
            <v>406.94</v>
          </cell>
          <cell r="H11385">
            <v>45931</v>
          </cell>
          <cell r="I11385" t="str">
            <v>6055 - Employer Social Security Tax Withheld</v>
          </cell>
          <cell r="J11385">
            <v>0</v>
          </cell>
          <cell r="K11385" t="str">
            <v>Merchandising</v>
          </cell>
          <cell r="L11385" t="str">
            <v>HQ Salaries</v>
          </cell>
          <cell r="N11385" t="str">
            <v>SG&amp;A</v>
          </cell>
          <cell r="O11385" t="str">
            <v>[No Vendor]</v>
          </cell>
        </row>
        <row r="11386">
          <cell r="D11386">
            <v>1009.41</v>
          </cell>
          <cell r="H11386">
            <v>45931</v>
          </cell>
          <cell r="I11386" t="str">
            <v>6055 - Employer Social Security Tax Withheld</v>
          </cell>
          <cell r="J11386">
            <v>0</v>
          </cell>
          <cell r="K11386" t="str">
            <v>Brand Marketing</v>
          </cell>
          <cell r="L11386" t="str">
            <v>HQ Salaries</v>
          </cell>
          <cell r="N11386" t="str">
            <v>SG&amp;A</v>
          </cell>
          <cell r="O11386" t="str">
            <v>[No Vendor]</v>
          </cell>
        </row>
        <row r="11387">
          <cell r="D11387">
            <v>507.88</v>
          </cell>
          <cell r="H11387">
            <v>45931</v>
          </cell>
          <cell r="I11387" t="str">
            <v>6055 - Employer Social Security Tax Withheld</v>
          </cell>
          <cell r="J11387">
            <v>0</v>
          </cell>
          <cell r="K11387" t="str">
            <v>Executive</v>
          </cell>
          <cell r="L11387" t="str">
            <v>HQ Salaries</v>
          </cell>
          <cell r="N11387" t="str">
            <v>SG&amp;A</v>
          </cell>
          <cell r="O11387" t="str">
            <v>[No Vendor]</v>
          </cell>
        </row>
        <row r="11388">
          <cell r="D11388">
            <v>2191.77</v>
          </cell>
          <cell r="H11388">
            <v>45931</v>
          </cell>
          <cell r="I11388" t="str">
            <v>6055 - Employer Social Security Tax Withheld</v>
          </cell>
          <cell r="J11388" t="str">
            <v>Ecommerce (US)</v>
          </cell>
          <cell r="K11388" t="str">
            <v>Ecommerce</v>
          </cell>
          <cell r="L11388" t="str">
            <v>HQ Salaries</v>
          </cell>
          <cell r="N11388" t="str">
            <v>SG&amp;A</v>
          </cell>
          <cell r="O11388" t="str">
            <v>[No Vendor]</v>
          </cell>
        </row>
        <row r="11389">
          <cell r="D11389">
            <v>2153.08</v>
          </cell>
          <cell r="H11389">
            <v>45931</v>
          </cell>
          <cell r="I11389" t="str">
            <v>6055 - Employer Social Security Tax Withheld</v>
          </cell>
          <cell r="J11389">
            <v>0</v>
          </cell>
          <cell r="K11389" t="str">
            <v>Design</v>
          </cell>
          <cell r="L11389" t="str">
            <v>HQ Salaries</v>
          </cell>
          <cell r="N11389" t="str">
            <v>SG&amp;A</v>
          </cell>
          <cell r="O11389" t="str">
            <v>[No Vendor]</v>
          </cell>
        </row>
        <row r="11390">
          <cell r="D11390">
            <v>1489.99</v>
          </cell>
          <cell r="H11390">
            <v>45931</v>
          </cell>
          <cell r="I11390" t="str">
            <v>6055 - Employer Social Security Tax Withheld</v>
          </cell>
          <cell r="J11390">
            <v>0</v>
          </cell>
          <cell r="K11390" t="str">
            <v>Administration</v>
          </cell>
          <cell r="L11390" t="str">
            <v>HQ Salaries</v>
          </cell>
          <cell r="N11390" t="str">
            <v>SG&amp;A</v>
          </cell>
          <cell r="O11390" t="str">
            <v>[No Vendor]</v>
          </cell>
        </row>
        <row r="11391">
          <cell r="D11391">
            <v>823.93</v>
          </cell>
          <cell r="H11391">
            <v>45931</v>
          </cell>
          <cell r="I11391" t="str">
            <v>6055 - Employer Social Security Tax Withheld</v>
          </cell>
          <cell r="J11391">
            <v>0</v>
          </cell>
          <cell r="K11391" t="str">
            <v>Administration</v>
          </cell>
          <cell r="L11391" t="str">
            <v>HQ Salaries</v>
          </cell>
          <cell r="N11391" t="str">
            <v>SG&amp;A</v>
          </cell>
          <cell r="O11391" t="str">
            <v>[No Vendor]</v>
          </cell>
        </row>
        <row r="11392">
          <cell r="D11392">
            <v>1647.86</v>
          </cell>
          <cell r="H11392">
            <v>45931</v>
          </cell>
          <cell r="I11392" t="str">
            <v>6055 - Employer Social Security Tax Withheld</v>
          </cell>
          <cell r="J11392">
            <v>0</v>
          </cell>
          <cell r="K11392" t="str">
            <v>Administration</v>
          </cell>
          <cell r="L11392" t="str">
            <v>HQ Salaries</v>
          </cell>
          <cell r="N11392" t="str">
            <v>SG&amp;A</v>
          </cell>
          <cell r="O11392" t="str">
            <v>[No Vendor]</v>
          </cell>
        </row>
        <row r="11393">
          <cell r="D11393">
            <v>1076.54</v>
          </cell>
          <cell r="H11393">
            <v>45931</v>
          </cell>
          <cell r="I11393" t="str">
            <v>6055 - Employer Social Security Tax Withheld</v>
          </cell>
          <cell r="J11393">
            <v>0</v>
          </cell>
          <cell r="K11393" t="str">
            <v>Design</v>
          </cell>
          <cell r="L11393" t="str">
            <v>HQ Salaries</v>
          </cell>
          <cell r="N11393" t="str">
            <v>SG&amp;A</v>
          </cell>
          <cell r="O11393" t="str">
            <v>[No Vendor]</v>
          </cell>
        </row>
        <row r="11394">
          <cell r="D11394">
            <v>2153.08</v>
          </cell>
          <cell r="H11394">
            <v>45931</v>
          </cell>
          <cell r="I11394" t="str">
            <v>6055 - Employer Social Security Tax Withheld</v>
          </cell>
          <cell r="J11394">
            <v>0</v>
          </cell>
          <cell r="K11394" t="str">
            <v>Design</v>
          </cell>
          <cell r="L11394" t="str">
            <v>HQ Salaries</v>
          </cell>
          <cell r="N11394" t="str">
            <v>SG&amp;A</v>
          </cell>
          <cell r="O11394" t="str">
            <v>[No Vendor]</v>
          </cell>
        </row>
        <row r="11395">
          <cell r="D11395">
            <v>1095.9000000000001</v>
          </cell>
          <cell r="H11395">
            <v>45931</v>
          </cell>
          <cell r="I11395" t="str">
            <v>6055 - Employer Social Security Tax Withheld</v>
          </cell>
          <cell r="J11395" t="str">
            <v>Ecommerce (US)</v>
          </cell>
          <cell r="K11395" t="str">
            <v>Ecommerce</v>
          </cell>
          <cell r="L11395" t="str">
            <v>HQ Salaries</v>
          </cell>
          <cell r="N11395" t="str">
            <v>SG&amp;A</v>
          </cell>
          <cell r="O11395" t="str">
            <v>[No Vendor]</v>
          </cell>
        </row>
        <row r="11396">
          <cell r="D11396">
            <v>2191.77</v>
          </cell>
          <cell r="H11396">
            <v>45931</v>
          </cell>
          <cell r="I11396" t="str">
            <v>6055 - Employer Social Security Tax Withheld</v>
          </cell>
          <cell r="J11396" t="str">
            <v>Ecommerce (US)</v>
          </cell>
          <cell r="K11396" t="str">
            <v>Ecommerce</v>
          </cell>
          <cell r="L11396" t="str">
            <v>HQ Salaries</v>
          </cell>
          <cell r="N11396" t="str">
            <v>SG&amp;A</v>
          </cell>
          <cell r="O11396" t="str">
            <v>[No Vendor]</v>
          </cell>
        </row>
        <row r="11397">
          <cell r="D11397">
            <v>253.94</v>
          </cell>
          <cell r="H11397">
            <v>45931</v>
          </cell>
          <cell r="I11397" t="str">
            <v>6055 - Employer Social Security Tax Withheld</v>
          </cell>
          <cell r="J11397">
            <v>0</v>
          </cell>
          <cell r="K11397" t="str">
            <v>Executive</v>
          </cell>
          <cell r="L11397" t="str">
            <v>HQ Salaries</v>
          </cell>
          <cell r="N11397" t="str">
            <v>SG&amp;A</v>
          </cell>
          <cell r="O11397" t="str">
            <v>[No Vendor]</v>
          </cell>
        </row>
        <row r="11398">
          <cell r="D11398">
            <v>507.88</v>
          </cell>
          <cell r="H11398">
            <v>45931</v>
          </cell>
          <cell r="I11398" t="str">
            <v>6055 - Employer Social Security Tax Withheld</v>
          </cell>
          <cell r="J11398">
            <v>0</v>
          </cell>
          <cell r="K11398" t="str">
            <v>Executive</v>
          </cell>
          <cell r="L11398" t="str">
            <v>HQ Salaries</v>
          </cell>
          <cell r="N11398" t="str">
            <v>SG&amp;A</v>
          </cell>
          <cell r="O11398" t="str">
            <v>[No Vendor]</v>
          </cell>
        </row>
        <row r="11399">
          <cell r="D11399">
            <v>504.71</v>
          </cell>
          <cell r="H11399">
            <v>45931</v>
          </cell>
          <cell r="I11399" t="str">
            <v>6055 - Employer Social Security Tax Withheld</v>
          </cell>
          <cell r="J11399">
            <v>0</v>
          </cell>
          <cell r="K11399" t="str">
            <v>Brand Marketing</v>
          </cell>
          <cell r="L11399" t="str">
            <v>HQ Salaries</v>
          </cell>
          <cell r="N11399" t="str">
            <v>SG&amp;A</v>
          </cell>
          <cell r="O11399" t="str">
            <v>[No Vendor]</v>
          </cell>
        </row>
        <row r="11400">
          <cell r="D11400">
            <v>1009.41</v>
          </cell>
          <cell r="H11400">
            <v>45931</v>
          </cell>
          <cell r="I11400" t="str">
            <v>6055 - Employer Social Security Tax Withheld</v>
          </cell>
          <cell r="J11400">
            <v>0</v>
          </cell>
          <cell r="K11400" t="str">
            <v>Brand Marketing</v>
          </cell>
          <cell r="L11400" t="str">
            <v>HQ Salaries</v>
          </cell>
          <cell r="N11400" t="str">
            <v>SG&amp;A</v>
          </cell>
          <cell r="O11400" t="str">
            <v>[No Vendor]</v>
          </cell>
        </row>
        <row r="11401">
          <cell r="D11401">
            <v>203.47</v>
          </cell>
          <cell r="H11401">
            <v>45931</v>
          </cell>
          <cell r="I11401" t="str">
            <v>6055 - Employer Social Security Tax Withheld</v>
          </cell>
          <cell r="J11401">
            <v>0</v>
          </cell>
          <cell r="K11401" t="str">
            <v>Merchandising</v>
          </cell>
          <cell r="L11401" t="str">
            <v>HQ Salaries</v>
          </cell>
          <cell r="N11401" t="str">
            <v>SG&amp;A</v>
          </cell>
          <cell r="O11401" t="str">
            <v>[No Vendor]</v>
          </cell>
        </row>
        <row r="11402">
          <cell r="D11402">
            <v>406.94</v>
          </cell>
          <cell r="H11402">
            <v>45931</v>
          </cell>
          <cell r="I11402" t="str">
            <v>6055 - Employer Social Security Tax Withheld</v>
          </cell>
          <cell r="J11402">
            <v>0</v>
          </cell>
          <cell r="K11402" t="str">
            <v>Merchandising</v>
          </cell>
          <cell r="L11402" t="str">
            <v>HQ Salaries</v>
          </cell>
          <cell r="N11402" t="str">
            <v>SG&amp;A</v>
          </cell>
          <cell r="O11402" t="str">
            <v>[No Vendor]</v>
          </cell>
        </row>
        <row r="11403">
          <cell r="D11403">
            <v>799.83</v>
          </cell>
          <cell r="H11403">
            <v>45931</v>
          </cell>
          <cell r="I11403" t="str">
            <v>6055 - Employer Social Security Tax Withheld</v>
          </cell>
          <cell r="J11403">
            <v>0</v>
          </cell>
          <cell r="K11403" t="str">
            <v>Production</v>
          </cell>
          <cell r="L11403" t="str">
            <v>HQ Salaries</v>
          </cell>
          <cell r="N11403" t="str">
            <v>SG&amp;A</v>
          </cell>
          <cell r="O11403" t="str">
            <v>[No Vendor]</v>
          </cell>
        </row>
        <row r="11404">
          <cell r="D11404">
            <v>1599.63</v>
          </cell>
          <cell r="H11404">
            <v>45931</v>
          </cell>
          <cell r="I11404" t="str">
            <v>6055 - Employer Social Security Tax Withheld</v>
          </cell>
          <cell r="J11404">
            <v>0</v>
          </cell>
          <cell r="K11404" t="str">
            <v>Production</v>
          </cell>
          <cell r="L11404" t="str">
            <v>HQ Salaries</v>
          </cell>
          <cell r="N11404" t="str">
            <v>SG&amp;A</v>
          </cell>
          <cell r="O11404" t="str">
            <v>[No Vendor]</v>
          </cell>
        </row>
        <row r="11405">
          <cell r="D11405">
            <v>177.76</v>
          </cell>
          <cell r="H11405">
            <v>45931</v>
          </cell>
          <cell r="I11405" t="str">
            <v>6055 - Employer Social Security Tax Withheld</v>
          </cell>
          <cell r="J11405" t="str">
            <v>Wholesale</v>
          </cell>
          <cell r="K11405" t="str">
            <v>Wholesale</v>
          </cell>
          <cell r="L11405" t="str">
            <v>HQ Salaries</v>
          </cell>
          <cell r="N11405" t="str">
            <v>SG&amp;A</v>
          </cell>
          <cell r="O11405" t="str">
            <v>[No Vendor]</v>
          </cell>
        </row>
        <row r="11406">
          <cell r="D11406">
            <v>355.51</v>
          </cell>
          <cell r="H11406">
            <v>45931</v>
          </cell>
          <cell r="I11406" t="str">
            <v>6055 - Employer Social Security Tax Withheld</v>
          </cell>
          <cell r="J11406" t="str">
            <v>Wholesale</v>
          </cell>
          <cell r="K11406" t="str">
            <v>Wholesale</v>
          </cell>
          <cell r="L11406" t="str">
            <v>HQ Salaries</v>
          </cell>
          <cell r="N11406" t="str">
            <v>SG&amp;A</v>
          </cell>
          <cell r="O11406" t="str">
            <v>[No Vendor]</v>
          </cell>
        </row>
        <row r="11407">
          <cell r="D11407">
            <v>103.17</v>
          </cell>
          <cell r="H11407">
            <v>45931</v>
          </cell>
          <cell r="I11407" t="str">
            <v>6105 - Meals</v>
          </cell>
          <cell r="J11407">
            <v>0</v>
          </cell>
          <cell r="K11407" t="str">
            <v>Administration</v>
          </cell>
          <cell r="L11407" t="str">
            <v>T&amp;E</v>
          </cell>
          <cell r="N11407" t="str">
            <v>SG&amp;A</v>
          </cell>
          <cell r="O11407" t="str">
            <v>[No Vendor]</v>
          </cell>
        </row>
        <row r="11408">
          <cell r="D11408">
            <v>111.38</v>
          </cell>
          <cell r="H11408">
            <v>45931</v>
          </cell>
          <cell r="I11408" t="str">
            <v>6105 - Meals</v>
          </cell>
          <cell r="J11408">
            <v>0</v>
          </cell>
          <cell r="K11408" t="str">
            <v>Administration</v>
          </cell>
          <cell r="L11408" t="str">
            <v>T&amp;E</v>
          </cell>
          <cell r="N11408" t="str">
            <v>SG&amp;A</v>
          </cell>
          <cell r="O11408" t="str">
            <v>[No Vendor]</v>
          </cell>
        </row>
        <row r="11409">
          <cell r="D11409">
            <v>355.96</v>
          </cell>
          <cell r="H11409">
            <v>45931</v>
          </cell>
          <cell r="I11409" t="str">
            <v>6105 - Meals</v>
          </cell>
          <cell r="J11409">
            <v>0</v>
          </cell>
          <cell r="K11409" t="str">
            <v>Administration</v>
          </cell>
          <cell r="L11409" t="str">
            <v>T&amp;E</v>
          </cell>
          <cell r="N11409" t="str">
            <v>SG&amp;A</v>
          </cell>
          <cell r="O11409" t="str">
            <v>Olivia Nielsen</v>
          </cell>
        </row>
        <row r="11410">
          <cell r="D11410">
            <v>303.52</v>
          </cell>
          <cell r="H11410">
            <v>45931</v>
          </cell>
          <cell r="I11410" t="str">
            <v>6105 - Meals</v>
          </cell>
          <cell r="J11410">
            <v>0</v>
          </cell>
          <cell r="K11410" t="str">
            <v>Production</v>
          </cell>
          <cell r="L11410" t="str">
            <v>T&amp;E</v>
          </cell>
          <cell r="N11410" t="str">
            <v>SG&amp;A</v>
          </cell>
          <cell r="O11410" t="str">
            <v>[No Vendor]</v>
          </cell>
        </row>
        <row r="11411">
          <cell r="D11411">
            <v>3.09</v>
          </cell>
          <cell r="H11411">
            <v>45931</v>
          </cell>
          <cell r="I11411" t="str">
            <v>6105 - Meals</v>
          </cell>
          <cell r="J11411">
            <v>0</v>
          </cell>
          <cell r="K11411" t="str">
            <v>Production</v>
          </cell>
          <cell r="L11411" t="str">
            <v>T&amp;E</v>
          </cell>
          <cell r="N11411" t="str">
            <v>SG&amp;A</v>
          </cell>
          <cell r="O11411" t="str">
            <v>Alexandra Olivier</v>
          </cell>
        </row>
        <row r="11412">
          <cell r="D11412">
            <v>71.64</v>
          </cell>
          <cell r="H11412">
            <v>45931</v>
          </cell>
          <cell r="I11412" t="str">
            <v>6105 - Meals</v>
          </cell>
          <cell r="J11412">
            <v>0</v>
          </cell>
          <cell r="K11412" t="str">
            <v>Production</v>
          </cell>
          <cell r="L11412" t="str">
            <v>T&amp;E</v>
          </cell>
          <cell r="N11412" t="str">
            <v>SG&amp;A</v>
          </cell>
          <cell r="O11412" t="str">
            <v>[No Vendor]</v>
          </cell>
        </row>
        <row r="11413">
          <cell r="D11413">
            <v>217.63</v>
          </cell>
          <cell r="H11413">
            <v>45931</v>
          </cell>
          <cell r="I11413" t="str">
            <v>6105 - Meals</v>
          </cell>
          <cell r="J11413">
            <v>0</v>
          </cell>
          <cell r="K11413" t="str">
            <v>Executive</v>
          </cell>
          <cell r="L11413" t="str">
            <v>T&amp;E</v>
          </cell>
          <cell r="N11413" t="str">
            <v>SG&amp;A</v>
          </cell>
          <cell r="O11413" t="str">
            <v>[No Vendor]</v>
          </cell>
        </row>
        <row r="11414">
          <cell r="D11414">
            <v>41.87</v>
          </cell>
          <cell r="H11414">
            <v>45931</v>
          </cell>
          <cell r="I11414" t="str">
            <v>6105 - Meals</v>
          </cell>
          <cell r="J11414">
            <v>0</v>
          </cell>
          <cell r="K11414" t="str">
            <v>Executive</v>
          </cell>
          <cell r="L11414" t="str">
            <v>T&amp;E</v>
          </cell>
          <cell r="N11414" t="str">
            <v>SG&amp;A</v>
          </cell>
          <cell r="O11414" t="str">
            <v>[No Vendor]</v>
          </cell>
        </row>
        <row r="11415">
          <cell r="D11415">
            <v>85.03</v>
          </cell>
          <cell r="H11415">
            <v>45931</v>
          </cell>
          <cell r="I11415" t="str">
            <v>6105 - Meals</v>
          </cell>
          <cell r="J11415">
            <v>0</v>
          </cell>
          <cell r="K11415" t="str">
            <v>Executive</v>
          </cell>
          <cell r="L11415" t="str">
            <v>T&amp;E</v>
          </cell>
          <cell r="N11415" t="str">
            <v>SG&amp;A</v>
          </cell>
          <cell r="O11415" t="str">
            <v>[No Vendor]</v>
          </cell>
        </row>
        <row r="11416">
          <cell r="D11416">
            <v>39.99</v>
          </cell>
          <cell r="H11416">
            <v>45931</v>
          </cell>
          <cell r="I11416" t="str">
            <v>6105 - Meals</v>
          </cell>
          <cell r="J11416">
            <v>0</v>
          </cell>
          <cell r="K11416" t="str">
            <v>Administration</v>
          </cell>
          <cell r="L11416" t="str">
            <v>T&amp;E</v>
          </cell>
          <cell r="N11416" t="str">
            <v>SG&amp;A</v>
          </cell>
          <cell r="O11416" t="str">
            <v>Sean Lee</v>
          </cell>
        </row>
        <row r="11417">
          <cell r="D11417">
            <v>20.54</v>
          </cell>
          <cell r="H11417">
            <v>45931</v>
          </cell>
          <cell r="I11417" t="str">
            <v>6105 - Meals</v>
          </cell>
          <cell r="J11417">
            <v>0</v>
          </cell>
          <cell r="K11417" t="str">
            <v>Design</v>
          </cell>
          <cell r="L11417" t="str">
            <v>T&amp;E</v>
          </cell>
          <cell r="N11417" t="str">
            <v>SG&amp;A</v>
          </cell>
          <cell r="O11417" t="str">
            <v>[No Vendor]</v>
          </cell>
        </row>
        <row r="11418">
          <cell r="D11418">
            <v>324.52</v>
          </cell>
          <cell r="H11418">
            <v>45931</v>
          </cell>
          <cell r="I11418" t="str">
            <v>6105 - Meals</v>
          </cell>
          <cell r="J11418">
            <v>0</v>
          </cell>
          <cell r="K11418" t="str">
            <v>Administration</v>
          </cell>
          <cell r="L11418" t="str">
            <v>T&amp;E</v>
          </cell>
          <cell r="N11418" t="str">
            <v>SG&amp;A</v>
          </cell>
          <cell r="O11418" t="str">
            <v>Sean Lee</v>
          </cell>
        </row>
        <row r="11419">
          <cell r="D11419">
            <v>75.33</v>
          </cell>
          <cell r="H11419">
            <v>45931</v>
          </cell>
          <cell r="I11419" t="str">
            <v>6105 - Meals</v>
          </cell>
          <cell r="J11419">
            <v>0</v>
          </cell>
          <cell r="K11419" t="str">
            <v>Administration</v>
          </cell>
          <cell r="L11419" t="str">
            <v>T&amp;E</v>
          </cell>
          <cell r="N11419" t="str">
            <v>SG&amp;A</v>
          </cell>
          <cell r="O11419" t="str">
            <v>Sean Lee</v>
          </cell>
        </row>
        <row r="11420">
          <cell r="D11420">
            <v>29.92</v>
          </cell>
          <cell r="H11420">
            <v>45931</v>
          </cell>
          <cell r="I11420" t="str">
            <v>6105 - Meals</v>
          </cell>
          <cell r="J11420">
            <v>0</v>
          </cell>
          <cell r="K11420" t="str">
            <v>Administration</v>
          </cell>
          <cell r="L11420" t="str">
            <v>T&amp;E</v>
          </cell>
          <cell r="N11420" t="str">
            <v>SG&amp;A</v>
          </cell>
          <cell r="O11420" t="str">
            <v>Sean Lee</v>
          </cell>
        </row>
        <row r="11421">
          <cell r="D11421">
            <v>46.69</v>
          </cell>
          <cell r="H11421">
            <v>45931</v>
          </cell>
          <cell r="I11421" t="str">
            <v>6125 - Transportation and Fuel</v>
          </cell>
          <cell r="J11421">
            <v>0</v>
          </cell>
          <cell r="K11421" t="str">
            <v>Brand Marketing</v>
          </cell>
          <cell r="L11421" t="str">
            <v>T&amp;E</v>
          </cell>
          <cell r="N11421" t="str">
            <v>SG&amp;A</v>
          </cell>
          <cell r="O11421" t="str">
            <v>Olivia Nielsen</v>
          </cell>
        </row>
        <row r="11422">
          <cell r="D11422">
            <v>5.45</v>
          </cell>
          <cell r="H11422">
            <v>45931</v>
          </cell>
          <cell r="I11422" t="str">
            <v>6125 - Transportation and Fuel</v>
          </cell>
          <cell r="J11422">
            <v>0</v>
          </cell>
          <cell r="K11422" t="str">
            <v>Brand Marketing</v>
          </cell>
          <cell r="L11422" t="str">
            <v>T&amp;E</v>
          </cell>
          <cell r="N11422" t="str">
            <v>SG&amp;A</v>
          </cell>
          <cell r="O11422" t="str">
            <v>Olivia Nielsen</v>
          </cell>
        </row>
        <row r="11423">
          <cell r="D11423">
            <v>45.68</v>
          </cell>
          <cell r="H11423">
            <v>45931</v>
          </cell>
          <cell r="I11423" t="str">
            <v>6125 - Transportation and Fuel</v>
          </cell>
          <cell r="J11423">
            <v>0</v>
          </cell>
          <cell r="K11423" t="str">
            <v>Brand Marketing</v>
          </cell>
          <cell r="L11423" t="str">
            <v>T&amp;E</v>
          </cell>
          <cell r="N11423" t="str">
            <v>SG&amp;A</v>
          </cell>
          <cell r="O11423" t="str">
            <v>Olivia Nielsen</v>
          </cell>
        </row>
        <row r="11424">
          <cell r="D11424">
            <v>38.19</v>
          </cell>
          <cell r="H11424">
            <v>45931</v>
          </cell>
          <cell r="I11424" t="str">
            <v>6125 - Transportation and Fuel</v>
          </cell>
          <cell r="J11424">
            <v>0</v>
          </cell>
          <cell r="K11424" t="str">
            <v>Brand Marketing</v>
          </cell>
          <cell r="L11424" t="str">
            <v>T&amp;E</v>
          </cell>
          <cell r="N11424" t="str">
            <v>SG&amp;A</v>
          </cell>
          <cell r="O11424" t="str">
            <v>Olivia Nielsen</v>
          </cell>
        </row>
        <row r="11425">
          <cell r="D11425">
            <v>56.81</v>
          </cell>
          <cell r="H11425">
            <v>45931</v>
          </cell>
          <cell r="I11425" t="str">
            <v>6125 - Transportation and Fuel</v>
          </cell>
          <cell r="J11425">
            <v>0</v>
          </cell>
          <cell r="K11425" t="str">
            <v>Executive</v>
          </cell>
          <cell r="L11425" t="str">
            <v>T&amp;E</v>
          </cell>
          <cell r="N11425" t="str">
            <v>SG&amp;A</v>
          </cell>
          <cell r="O11425" t="str">
            <v>[No Vendor]</v>
          </cell>
        </row>
        <row r="11426">
          <cell r="D11426">
            <v>11.97</v>
          </cell>
          <cell r="H11426">
            <v>45931</v>
          </cell>
          <cell r="I11426" t="str">
            <v>6125 - Transportation and Fuel</v>
          </cell>
          <cell r="J11426">
            <v>0</v>
          </cell>
          <cell r="K11426" t="str">
            <v>Administration</v>
          </cell>
          <cell r="L11426" t="str">
            <v>T&amp;E</v>
          </cell>
          <cell r="N11426" t="str">
            <v>SG&amp;A</v>
          </cell>
          <cell r="O11426" t="str">
            <v>[No Vendor]</v>
          </cell>
        </row>
        <row r="11427">
          <cell r="D11427">
            <v>11.96</v>
          </cell>
          <cell r="H11427">
            <v>45931</v>
          </cell>
          <cell r="I11427" t="str">
            <v>6125 - Transportation and Fuel</v>
          </cell>
          <cell r="J11427">
            <v>0</v>
          </cell>
          <cell r="K11427" t="str">
            <v>Administration</v>
          </cell>
          <cell r="L11427" t="str">
            <v>T&amp;E</v>
          </cell>
          <cell r="N11427" t="str">
            <v>SG&amp;A</v>
          </cell>
          <cell r="O11427" t="str">
            <v>[No Vendor]</v>
          </cell>
        </row>
        <row r="11428">
          <cell r="D11428">
            <v>33.57</v>
          </cell>
          <cell r="H11428">
            <v>45931</v>
          </cell>
          <cell r="I11428" t="str">
            <v>6125 - Transportation and Fuel</v>
          </cell>
          <cell r="J11428">
            <v>0</v>
          </cell>
          <cell r="K11428" t="str">
            <v>Brand Marketing</v>
          </cell>
          <cell r="L11428" t="str">
            <v>T&amp;E</v>
          </cell>
          <cell r="N11428" t="str">
            <v>SG&amp;A</v>
          </cell>
          <cell r="O11428" t="str">
            <v>[No Vendor]</v>
          </cell>
        </row>
        <row r="11429">
          <cell r="D11429">
            <v>32.79</v>
          </cell>
          <cell r="H11429">
            <v>45931</v>
          </cell>
          <cell r="I11429" t="str">
            <v>6125 - Transportation and Fuel</v>
          </cell>
          <cell r="J11429">
            <v>0</v>
          </cell>
          <cell r="K11429" t="str">
            <v>Brand Marketing</v>
          </cell>
          <cell r="L11429" t="str">
            <v>T&amp;E</v>
          </cell>
          <cell r="N11429" t="str">
            <v>SG&amp;A</v>
          </cell>
          <cell r="O11429" t="str">
            <v>[No Vendor]</v>
          </cell>
        </row>
        <row r="11430">
          <cell r="D11430">
            <v>-1600</v>
          </cell>
          <cell r="H11430">
            <v>45931</v>
          </cell>
          <cell r="I11430" t="str">
            <v>6205 - Contractors</v>
          </cell>
          <cell r="J11430">
            <v>0</v>
          </cell>
          <cell r="K11430" t="str">
            <v>Production</v>
          </cell>
          <cell r="L11430" t="str">
            <v>HQ Salaries</v>
          </cell>
          <cell r="N11430" t="str">
            <v>SG&amp;A</v>
          </cell>
          <cell r="O11430" t="str">
            <v>[No Vendor]</v>
          </cell>
        </row>
        <row r="11431">
          <cell r="D11431">
            <v>0</v>
          </cell>
          <cell r="H11431">
            <v>45931</v>
          </cell>
          <cell r="I11431" t="str">
            <v>6205 - Contractors</v>
          </cell>
          <cell r="J11431">
            <v>0</v>
          </cell>
          <cell r="K11431" t="str">
            <v>Brand Marketing</v>
          </cell>
          <cell r="L11431" t="str">
            <v>HQ Salaries</v>
          </cell>
          <cell r="N11431" t="str">
            <v>SG&amp;A</v>
          </cell>
          <cell r="O11431" t="str">
            <v>[No Vendor]</v>
          </cell>
        </row>
        <row r="11432">
          <cell r="D11432">
            <v>-10482.6</v>
          </cell>
          <cell r="H11432">
            <v>45931</v>
          </cell>
          <cell r="I11432" t="str">
            <v>6205 - Contractors</v>
          </cell>
          <cell r="J11432" t="str">
            <v>Ecommerce (US)</v>
          </cell>
          <cell r="K11432" t="str">
            <v>Ecommerce</v>
          </cell>
          <cell r="L11432" t="str">
            <v>HQ Salaries</v>
          </cell>
          <cell r="N11432" t="str">
            <v>SG&amp;A</v>
          </cell>
          <cell r="O11432" t="str">
            <v>[No Vendor]</v>
          </cell>
        </row>
        <row r="11433">
          <cell r="D11433">
            <v>0</v>
          </cell>
          <cell r="H11433">
            <v>45931</v>
          </cell>
          <cell r="I11433" t="str">
            <v>6205 - Contractors</v>
          </cell>
          <cell r="J11433">
            <v>0</v>
          </cell>
          <cell r="K11433" t="str">
            <v>Design</v>
          </cell>
          <cell r="L11433" t="str">
            <v>HQ Salaries</v>
          </cell>
          <cell r="N11433" t="str">
            <v>SG&amp;A</v>
          </cell>
          <cell r="O11433" t="str">
            <v>[No Vendor]</v>
          </cell>
        </row>
        <row r="11434">
          <cell r="D11434">
            <v>18333.330000000002</v>
          </cell>
          <cell r="H11434">
            <v>45931</v>
          </cell>
          <cell r="I11434" t="str">
            <v>6205 - Contractors</v>
          </cell>
          <cell r="J11434">
            <v>0</v>
          </cell>
          <cell r="K11434" t="str">
            <v>Brand Marketing</v>
          </cell>
          <cell r="L11434" t="str">
            <v>HQ Salaries</v>
          </cell>
          <cell r="N11434" t="str">
            <v>SG&amp;A</v>
          </cell>
          <cell r="O11434" t="str">
            <v>[No Vendor]</v>
          </cell>
        </row>
        <row r="11435">
          <cell r="D11435">
            <v>10482.6</v>
          </cell>
          <cell r="H11435">
            <v>45931</v>
          </cell>
          <cell r="I11435" t="str">
            <v>6205 - Contractors</v>
          </cell>
          <cell r="J11435" t="str">
            <v>Ecommerce (US)</v>
          </cell>
          <cell r="K11435" t="str">
            <v>Ecommerce</v>
          </cell>
          <cell r="L11435" t="str">
            <v>HQ Salaries</v>
          </cell>
          <cell r="N11435" t="str">
            <v>SG&amp;A</v>
          </cell>
          <cell r="O11435" t="str">
            <v>[No Vendor]</v>
          </cell>
        </row>
        <row r="11436">
          <cell r="D11436">
            <v>0</v>
          </cell>
          <cell r="H11436">
            <v>45931</v>
          </cell>
          <cell r="I11436" t="str">
            <v>6205 - Contractors</v>
          </cell>
          <cell r="J11436">
            <v>0</v>
          </cell>
          <cell r="K11436" t="str">
            <v>Design</v>
          </cell>
          <cell r="L11436" t="str">
            <v>HQ Salaries</v>
          </cell>
          <cell r="N11436" t="str">
            <v>SG&amp;A</v>
          </cell>
          <cell r="O11436" t="str">
            <v>[No Vendor]</v>
          </cell>
        </row>
        <row r="11437">
          <cell r="D11437">
            <v>3622</v>
          </cell>
          <cell r="H11437">
            <v>45931</v>
          </cell>
          <cell r="I11437" t="str">
            <v>6205 - Contractors</v>
          </cell>
          <cell r="J11437">
            <v>0</v>
          </cell>
          <cell r="K11437" t="str">
            <v>Production</v>
          </cell>
          <cell r="L11437" t="str">
            <v>HQ Salaries</v>
          </cell>
          <cell r="N11437" t="str">
            <v>SG&amp;A</v>
          </cell>
          <cell r="O11437" t="str">
            <v>Robert Half</v>
          </cell>
        </row>
        <row r="11438">
          <cell r="D11438">
            <v>3869.77</v>
          </cell>
          <cell r="H11438">
            <v>45931</v>
          </cell>
          <cell r="I11438" t="str">
            <v>6205 - Contractors</v>
          </cell>
          <cell r="J11438">
            <v>0</v>
          </cell>
          <cell r="K11438" t="str">
            <v>Production</v>
          </cell>
          <cell r="L11438" t="str">
            <v>HQ Salaries</v>
          </cell>
          <cell r="N11438" t="str">
            <v>SG&amp;A</v>
          </cell>
          <cell r="O11438" t="str">
            <v>Robert Half</v>
          </cell>
        </row>
        <row r="11439">
          <cell r="D11439">
            <v>625.89</v>
          </cell>
          <cell r="H11439">
            <v>45931</v>
          </cell>
          <cell r="I11439" t="str">
            <v>6205 - Contractors</v>
          </cell>
          <cell r="J11439">
            <v>0</v>
          </cell>
          <cell r="K11439" t="str">
            <v>Brand Marketing</v>
          </cell>
          <cell r="L11439" t="str">
            <v>HQ Salaries</v>
          </cell>
          <cell r="N11439" t="str">
            <v>SG&amp;A</v>
          </cell>
          <cell r="O11439" t="str">
            <v>Seiya  Iibuchi</v>
          </cell>
        </row>
        <row r="11440">
          <cell r="D11440">
            <v>0</v>
          </cell>
          <cell r="H11440">
            <v>45931</v>
          </cell>
          <cell r="I11440" t="str">
            <v>6205 - Contractors</v>
          </cell>
          <cell r="J11440">
            <v>0</v>
          </cell>
          <cell r="K11440" t="str">
            <v>Brand Marketing</v>
          </cell>
          <cell r="L11440" t="str">
            <v>HQ Salaries</v>
          </cell>
          <cell r="N11440" t="str">
            <v>SG&amp;A</v>
          </cell>
          <cell r="O11440" t="str">
            <v>[No Vendor]</v>
          </cell>
        </row>
        <row r="11441">
          <cell r="D11441">
            <v>0</v>
          </cell>
          <cell r="H11441">
            <v>45931</v>
          </cell>
          <cell r="I11441" t="str">
            <v>6205 - Contractors</v>
          </cell>
          <cell r="J11441" t="str">
            <v>Ecommerce (US)</v>
          </cell>
          <cell r="K11441" t="str">
            <v>Ecommerce</v>
          </cell>
          <cell r="L11441" t="str">
            <v>HQ Salaries</v>
          </cell>
          <cell r="N11441" t="str">
            <v>SG&amp;A</v>
          </cell>
          <cell r="O11441" t="str">
            <v>[No Vendor]</v>
          </cell>
        </row>
        <row r="11442">
          <cell r="D11442">
            <v>0</v>
          </cell>
          <cell r="H11442">
            <v>45931</v>
          </cell>
          <cell r="I11442" t="str">
            <v>6205 - Contractors</v>
          </cell>
          <cell r="J11442">
            <v>0</v>
          </cell>
          <cell r="K11442" t="str">
            <v>Design</v>
          </cell>
          <cell r="L11442" t="str">
            <v>HQ Salaries</v>
          </cell>
          <cell r="N11442" t="str">
            <v>SG&amp;A</v>
          </cell>
          <cell r="O11442" t="str">
            <v>[No Vendor]</v>
          </cell>
        </row>
        <row r="11443">
          <cell r="D11443">
            <v>35.950000000000003</v>
          </cell>
          <cell r="H11443">
            <v>45931</v>
          </cell>
          <cell r="I11443" t="str">
            <v>6205 - Contractors</v>
          </cell>
          <cell r="J11443">
            <v>0</v>
          </cell>
          <cell r="K11443" t="str">
            <v>Brand Marketing</v>
          </cell>
          <cell r="L11443" t="str">
            <v>HQ Salaries</v>
          </cell>
          <cell r="N11443" t="str">
            <v>SG&amp;A</v>
          </cell>
          <cell r="O11443" t="str">
            <v>Ammy  Thitichaya Chan</v>
          </cell>
        </row>
        <row r="11444">
          <cell r="D11444">
            <v>400</v>
          </cell>
          <cell r="H11444">
            <v>45931</v>
          </cell>
          <cell r="I11444" t="str">
            <v>6205 - Contractors</v>
          </cell>
          <cell r="J11444">
            <v>0</v>
          </cell>
          <cell r="K11444" t="str">
            <v>Brand Marketing</v>
          </cell>
          <cell r="L11444" t="str">
            <v>HQ Salaries</v>
          </cell>
          <cell r="N11444" t="str">
            <v>SG&amp;A</v>
          </cell>
          <cell r="O11444" t="str">
            <v>Ammy  Thitichaya Chan</v>
          </cell>
        </row>
        <row r="11445">
          <cell r="D11445">
            <v>3049.34</v>
          </cell>
          <cell r="H11445">
            <v>45931</v>
          </cell>
          <cell r="I11445" t="str">
            <v>6205 - Contractors</v>
          </cell>
          <cell r="J11445">
            <v>0</v>
          </cell>
          <cell r="K11445" t="str">
            <v>Production</v>
          </cell>
          <cell r="L11445" t="str">
            <v>HQ Salaries</v>
          </cell>
          <cell r="N11445" t="str">
            <v>SG&amp;A</v>
          </cell>
          <cell r="O11445" t="str">
            <v>Robert Half</v>
          </cell>
        </row>
        <row r="11446">
          <cell r="D11446">
            <v>4035.29</v>
          </cell>
          <cell r="H11446">
            <v>45931</v>
          </cell>
          <cell r="I11446" t="str">
            <v>6205 - Contractors</v>
          </cell>
          <cell r="J11446">
            <v>0</v>
          </cell>
          <cell r="K11446" t="str">
            <v>Production</v>
          </cell>
          <cell r="L11446" t="str">
            <v>HQ Salaries</v>
          </cell>
          <cell r="N11446" t="str">
            <v>SG&amp;A</v>
          </cell>
          <cell r="O11446" t="str">
            <v>Robert Half</v>
          </cell>
        </row>
        <row r="11447">
          <cell r="D11447">
            <v>0</v>
          </cell>
          <cell r="H11447">
            <v>45931</v>
          </cell>
          <cell r="I11447" t="str">
            <v>6205 - Contractors</v>
          </cell>
          <cell r="J11447">
            <v>0</v>
          </cell>
          <cell r="K11447" t="str">
            <v>Design</v>
          </cell>
          <cell r="L11447" t="str">
            <v>HQ Salaries</v>
          </cell>
          <cell r="N11447" t="str">
            <v>SG&amp;A</v>
          </cell>
          <cell r="O11447" t="str">
            <v>[No Vendor]</v>
          </cell>
        </row>
        <row r="11448">
          <cell r="D11448">
            <v>0</v>
          </cell>
          <cell r="H11448">
            <v>45931</v>
          </cell>
          <cell r="I11448" t="str">
            <v>6205 - Contractors</v>
          </cell>
          <cell r="J11448">
            <v>0</v>
          </cell>
          <cell r="K11448" t="str">
            <v>Design</v>
          </cell>
          <cell r="L11448" t="str">
            <v>HQ Salaries</v>
          </cell>
          <cell r="N11448" t="str">
            <v>SG&amp;A</v>
          </cell>
          <cell r="O11448" t="str">
            <v>[No Vendor]</v>
          </cell>
        </row>
        <row r="11449">
          <cell r="D11449">
            <v>0</v>
          </cell>
          <cell r="H11449">
            <v>45931</v>
          </cell>
          <cell r="I11449" t="str">
            <v>6205 - Contractors</v>
          </cell>
          <cell r="J11449" t="str">
            <v>Ecommerce (US)</v>
          </cell>
          <cell r="K11449" t="str">
            <v>Ecommerce</v>
          </cell>
          <cell r="L11449" t="str">
            <v>HQ Salaries</v>
          </cell>
          <cell r="N11449" t="str">
            <v>SG&amp;A</v>
          </cell>
          <cell r="O11449" t="str">
            <v>[No Vendor]</v>
          </cell>
        </row>
        <row r="11450">
          <cell r="D11450">
            <v>10000</v>
          </cell>
          <cell r="H11450">
            <v>45931</v>
          </cell>
          <cell r="I11450" t="str">
            <v>6205 - Contractors</v>
          </cell>
          <cell r="J11450" t="str">
            <v>Ecommerce (US)</v>
          </cell>
          <cell r="K11450" t="str">
            <v>Ecommerce</v>
          </cell>
          <cell r="L11450" t="str">
            <v>HQ Salaries</v>
          </cell>
          <cell r="N11450" t="str">
            <v>SG&amp;A</v>
          </cell>
          <cell r="O11450" t="str">
            <v>[No Vendor]</v>
          </cell>
        </row>
        <row r="11451">
          <cell r="D11451">
            <v>10275</v>
          </cell>
          <cell r="H11451">
            <v>45931</v>
          </cell>
          <cell r="I11451" t="str">
            <v>6205 - Contractors</v>
          </cell>
          <cell r="J11451" t="str">
            <v>Ecommerce (US)</v>
          </cell>
          <cell r="K11451" t="str">
            <v>Ecommerce</v>
          </cell>
          <cell r="L11451" t="str">
            <v>HQ Salaries</v>
          </cell>
          <cell r="N11451" t="str">
            <v>SG&amp;A</v>
          </cell>
          <cell r="O11451" t="str">
            <v>[No Vendor]</v>
          </cell>
        </row>
        <row r="11452">
          <cell r="D11452">
            <v>0</v>
          </cell>
          <cell r="H11452">
            <v>45931</v>
          </cell>
          <cell r="I11452" t="str">
            <v>6205 - Contractors</v>
          </cell>
          <cell r="J11452">
            <v>0</v>
          </cell>
          <cell r="K11452" t="str">
            <v>Brand Marketing</v>
          </cell>
          <cell r="L11452" t="str">
            <v>HQ Salaries</v>
          </cell>
          <cell r="N11452" t="str">
            <v>SG&amp;A</v>
          </cell>
          <cell r="O11452" t="str">
            <v>[No Vendor]</v>
          </cell>
        </row>
        <row r="11453">
          <cell r="D11453">
            <v>0</v>
          </cell>
          <cell r="H11453">
            <v>45931</v>
          </cell>
          <cell r="I11453" t="str">
            <v>6205 - Contractors</v>
          </cell>
          <cell r="J11453">
            <v>0</v>
          </cell>
          <cell r="K11453" t="str">
            <v>Brand Marketing</v>
          </cell>
          <cell r="L11453" t="str">
            <v>HQ Salaries</v>
          </cell>
          <cell r="N11453" t="str">
            <v>SG&amp;A</v>
          </cell>
          <cell r="O11453" t="str">
            <v>[No Vendor]</v>
          </cell>
        </row>
        <row r="11454">
          <cell r="D11454">
            <v>1500</v>
          </cell>
          <cell r="H11454">
            <v>45931</v>
          </cell>
          <cell r="I11454" t="str">
            <v>6205 - Contractors</v>
          </cell>
          <cell r="J11454">
            <v>0</v>
          </cell>
          <cell r="K11454" t="str">
            <v>Production</v>
          </cell>
          <cell r="L11454" t="str">
            <v>HQ Salaries</v>
          </cell>
          <cell r="N11454" t="str">
            <v>SG&amp;A</v>
          </cell>
          <cell r="O11454" t="str">
            <v>Philip Yau</v>
          </cell>
        </row>
        <row r="11455">
          <cell r="D11455">
            <v>4000</v>
          </cell>
          <cell r="H11455">
            <v>45931</v>
          </cell>
          <cell r="I11455" t="str">
            <v>6205 - Contractors</v>
          </cell>
          <cell r="J11455">
            <v>0</v>
          </cell>
          <cell r="K11455" t="str">
            <v>Production</v>
          </cell>
          <cell r="L11455" t="str">
            <v>HQ Salaries</v>
          </cell>
          <cell r="N11455" t="str">
            <v>SG&amp;A</v>
          </cell>
          <cell r="O11455" t="str">
            <v>[No Vendor]</v>
          </cell>
        </row>
        <row r="11456">
          <cell r="D11456">
            <v>118.5</v>
          </cell>
          <cell r="H11456">
            <v>45931</v>
          </cell>
          <cell r="I11456" t="str">
            <v>6210 - Monitoring</v>
          </cell>
          <cell r="J11456" t="str">
            <v>Ecommerce (EU)</v>
          </cell>
          <cell r="K11456" t="str">
            <v>Ecommerce</v>
          </cell>
          <cell r="L11456" t="str">
            <v>Professional Service</v>
          </cell>
          <cell r="N11456" t="str">
            <v>Direct Costs</v>
          </cell>
          <cell r="O11456" t="str">
            <v>Convey SRL</v>
          </cell>
        </row>
        <row r="11457">
          <cell r="D11457">
            <v>95.04</v>
          </cell>
          <cell r="H11457">
            <v>45931</v>
          </cell>
          <cell r="I11457" t="str">
            <v>6210 - Monitoring</v>
          </cell>
          <cell r="J11457" t="str">
            <v>Ecommerce (EU)</v>
          </cell>
          <cell r="K11457" t="str">
            <v>Ecommerce</v>
          </cell>
          <cell r="L11457" t="str">
            <v>Professional Service</v>
          </cell>
          <cell r="N11457" t="str">
            <v>Direct Costs</v>
          </cell>
          <cell r="O11457" t="str">
            <v>Convey SRL</v>
          </cell>
        </row>
        <row r="11458">
          <cell r="D11458">
            <v>214.71</v>
          </cell>
          <cell r="H11458">
            <v>45931</v>
          </cell>
          <cell r="I11458" t="str">
            <v>6210 - Monitoring</v>
          </cell>
          <cell r="J11458" t="str">
            <v>Ecommerce (EU)</v>
          </cell>
          <cell r="K11458" t="str">
            <v>Ecommerce</v>
          </cell>
          <cell r="L11458" t="str">
            <v>Professional Service</v>
          </cell>
          <cell r="N11458" t="str">
            <v>Direct Costs</v>
          </cell>
          <cell r="O11458" t="str">
            <v>Convey SRL</v>
          </cell>
        </row>
        <row r="11459">
          <cell r="D11459">
            <v>-174.82</v>
          </cell>
          <cell r="H11459">
            <v>45931</v>
          </cell>
          <cell r="I11459" t="str">
            <v>6210 - Monitoring</v>
          </cell>
          <cell r="J11459" t="str">
            <v>Ecommerce (EU)</v>
          </cell>
          <cell r="K11459" t="str">
            <v>Ecommerce</v>
          </cell>
          <cell r="L11459" t="str">
            <v>Professional Service</v>
          </cell>
          <cell r="N11459" t="str">
            <v>Direct Costs</v>
          </cell>
          <cell r="O11459" t="str">
            <v>Convey SRL</v>
          </cell>
        </row>
        <row r="11460">
          <cell r="D11460">
            <v>70.400000000000006</v>
          </cell>
          <cell r="H11460">
            <v>45931</v>
          </cell>
          <cell r="I11460" t="str">
            <v>6210 - Monitoring</v>
          </cell>
          <cell r="J11460" t="str">
            <v>Ecommerce (EU)</v>
          </cell>
          <cell r="K11460" t="str">
            <v>Ecommerce</v>
          </cell>
          <cell r="L11460" t="str">
            <v>Professional Service</v>
          </cell>
          <cell r="N11460" t="str">
            <v>Direct Costs</v>
          </cell>
          <cell r="O11460" t="str">
            <v>Convey SRL</v>
          </cell>
        </row>
        <row r="11461">
          <cell r="D11461">
            <v>367.24</v>
          </cell>
          <cell r="H11461">
            <v>45931</v>
          </cell>
          <cell r="I11461" t="str">
            <v>6210 - Monitoring</v>
          </cell>
          <cell r="J11461" t="str">
            <v>Ecommerce (EU)</v>
          </cell>
          <cell r="K11461" t="str">
            <v>Ecommerce</v>
          </cell>
          <cell r="L11461" t="str">
            <v>Professional Service</v>
          </cell>
          <cell r="N11461" t="str">
            <v>Direct Costs</v>
          </cell>
          <cell r="O11461" t="str">
            <v>Convey SRL</v>
          </cell>
        </row>
        <row r="11462">
          <cell r="D11462">
            <v>353.38</v>
          </cell>
          <cell r="H11462">
            <v>45931</v>
          </cell>
          <cell r="I11462" t="str">
            <v>6210 - Monitoring</v>
          </cell>
          <cell r="J11462" t="str">
            <v>Ecommerce (EU)</v>
          </cell>
          <cell r="K11462" t="str">
            <v>Ecommerce</v>
          </cell>
          <cell r="L11462" t="str">
            <v>Professional Service</v>
          </cell>
          <cell r="N11462" t="str">
            <v>Direct Costs</v>
          </cell>
          <cell r="O11462" t="str">
            <v>Convey SRL</v>
          </cell>
        </row>
        <row r="11463">
          <cell r="D11463">
            <v>4142.26</v>
          </cell>
          <cell r="H11463">
            <v>45931</v>
          </cell>
          <cell r="I11463" t="str">
            <v>6210 - Monitoring</v>
          </cell>
          <cell r="J11463" t="str">
            <v>Ecommerce (EU)</v>
          </cell>
          <cell r="K11463" t="str">
            <v>Ecommerce</v>
          </cell>
          <cell r="L11463" t="str">
            <v>Professional Service</v>
          </cell>
          <cell r="N11463" t="str">
            <v>Direct Costs</v>
          </cell>
          <cell r="O11463" t="str">
            <v>Convey SRL</v>
          </cell>
        </row>
        <row r="11464">
          <cell r="D11464">
            <v>174.62</v>
          </cell>
          <cell r="H11464">
            <v>45931</v>
          </cell>
          <cell r="I11464" t="str">
            <v>6210 - Monitoring</v>
          </cell>
          <cell r="J11464" t="str">
            <v>Ecommerce (EU)</v>
          </cell>
          <cell r="K11464" t="str">
            <v>Ecommerce</v>
          </cell>
          <cell r="L11464" t="str">
            <v>Professional Service</v>
          </cell>
          <cell r="N11464" t="str">
            <v>Direct Costs</v>
          </cell>
          <cell r="O11464" t="str">
            <v>Convey SRL</v>
          </cell>
        </row>
        <row r="11465">
          <cell r="D11465">
            <v>96.62</v>
          </cell>
          <cell r="H11465">
            <v>45931</v>
          </cell>
          <cell r="I11465" t="str">
            <v>6210 - Monitoring</v>
          </cell>
          <cell r="J11465" t="str">
            <v>Ecommerce (EU)</v>
          </cell>
          <cell r="K11465" t="str">
            <v>Ecommerce</v>
          </cell>
          <cell r="L11465" t="str">
            <v>Professional Service</v>
          </cell>
          <cell r="N11465" t="str">
            <v>Direct Costs</v>
          </cell>
          <cell r="O11465" t="str">
            <v>Convey SRL</v>
          </cell>
        </row>
        <row r="11466">
          <cell r="D11466">
            <v>114.09</v>
          </cell>
          <cell r="H11466">
            <v>45931</v>
          </cell>
          <cell r="I11466" t="str">
            <v>6210 - Monitoring</v>
          </cell>
          <cell r="J11466" t="str">
            <v>Ecommerce (EU)</v>
          </cell>
          <cell r="K11466" t="str">
            <v>Ecommerce</v>
          </cell>
          <cell r="L11466" t="str">
            <v>Professional Service</v>
          </cell>
          <cell r="N11466" t="str">
            <v>Direct Costs</v>
          </cell>
          <cell r="O11466" t="str">
            <v>Convey SRL</v>
          </cell>
        </row>
        <row r="11467">
          <cell r="D11467">
            <v>18.899999999999999</v>
          </cell>
          <cell r="H11467">
            <v>45931</v>
          </cell>
          <cell r="I11467" t="str">
            <v>6225 - Professional Services</v>
          </cell>
          <cell r="J11467">
            <v>0</v>
          </cell>
          <cell r="K11467" t="str">
            <v>Administration</v>
          </cell>
          <cell r="L11467" t="str">
            <v>Professional Service</v>
          </cell>
          <cell r="N11467" t="str">
            <v>Direct Costs</v>
          </cell>
          <cell r="O11467" t="str">
            <v>Enom Solutions, Inc-DBA 3nom</v>
          </cell>
        </row>
        <row r="11468">
          <cell r="D11468">
            <v>640</v>
          </cell>
          <cell r="H11468">
            <v>45931</v>
          </cell>
          <cell r="I11468" t="str">
            <v>6225 - Professional Services</v>
          </cell>
          <cell r="J11468">
            <v>0</v>
          </cell>
          <cell r="K11468" t="str">
            <v>Administration</v>
          </cell>
          <cell r="L11468" t="str">
            <v>Professional Service</v>
          </cell>
          <cell r="N11468" t="str">
            <v>Direct Costs</v>
          </cell>
          <cell r="O11468" t="str">
            <v>Enom Solutions, Inc-DBA 3nom</v>
          </cell>
        </row>
        <row r="11469">
          <cell r="D11469">
            <v>9</v>
          </cell>
          <cell r="H11469">
            <v>45931</v>
          </cell>
          <cell r="I11469" t="str">
            <v>6225 - Professional Services</v>
          </cell>
          <cell r="J11469">
            <v>0</v>
          </cell>
          <cell r="K11469" t="str">
            <v>Administration</v>
          </cell>
          <cell r="L11469" t="str">
            <v>Professional Service</v>
          </cell>
          <cell r="N11469" t="str">
            <v>Direct Costs</v>
          </cell>
          <cell r="O11469" t="str">
            <v>Enom Solutions, Inc-DBA 3nom</v>
          </cell>
        </row>
        <row r="11470">
          <cell r="D11470">
            <v>125</v>
          </cell>
          <cell r="H11470">
            <v>45931</v>
          </cell>
          <cell r="I11470" t="str">
            <v>6225 - Professional Services</v>
          </cell>
          <cell r="J11470">
            <v>0</v>
          </cell>
          <cell r="K11470" t="str">
            <v>Administration</v>
          </cell>
          <cell r="L11470" t="str">
            <v>Professional Service</v>
          </cell>
          <cell r="N11470" t="str">
            <v>Direct Costs</v>
          </cell>
          <cell r="O11470" t="str">
            <v>Enom Solutions, Inc-DBA 3nom</v>
          </cell>
        </row>
        <row r="11471">
          <cell r="D11471">
            <v>2500</v>
          </cell>
          <cell r="H11471">
            <v>45931</v>
          </cell>
          <cell r="I11471" t="str">
            <v>6225 - Professional Services</v>
          </cell>
          <cell r="J11471">
            <v>0</v>
          </cell>
          <cell r="K11471" t="str">
            <v>Administration</v>
          </cell>
          <cell r="L11471" t="str">
            <v>Professional Service</v>
          </cell>
          <cell r="N11471" t="str">
            <v>Direct Costs</v>
          </cell>
          <cell r="O11471" t="str">
            <v>Enom Solutions, Inc-DBA 3nom</v>
          </cell>
        </row>
        <row r="11472">
          <cell r="D11472">
            <v>-833.33</v>
          </cell>
          <cell r="H11472">
            <v>45931</v>
          </cell>
          <cell r="I11472" t="str">
            <v>6225 - Professional Services</v>
          </cell>
          <cell r="J11472">
            <v>0</v>
          </cell>
          <cell r="K11472" t="str">
            <v>Administration</v>
          </cell>
          <cell r="L11472" t="str">
            <v>Professional Service</v>
          </cell>
          <cell r="N11472" t="str">
            <v>Direct Costs</v>
          </cell>
          <cell r="O11472" t="str">
            <v>Procyon Benefits LLC</v>
          </cell>
        </row>
        <row r="11473">
          <cell r="D11473">
            <v>-833.33</v>
          </cell>
          <cell r="H11473">
            <v>45931</v>
          </cell>
          <cell r="I11473" t="str">
            <v>6225 - Professional Services</v>
          </cell>
          <cell r="J11473">
            <v>0</v>
          </cell>
          <cell r="K11473" t="str">
            <v>Administration</v>
          </cell>
          <cell r="L11473" t="str">
            <v>Professional Service</v>
          </cell>
          <cell r="N11473" t="str">
            <v>Direct Costs</v>
          </cell>
          <cell r="O11473" t="str">
            <v>Procyon Benefits LLC</v>
          </cell>
        </row>
        <row r="11474">
          <cell r="D11474">
            <v>-833.33</v>
          </cell>
          <cell r="H11474">
            <v>45931</v>
          </cell>
          <cell r="I11474" t="str">
            <v>6225 - Professional Services</v>
          </cell>
          <cell r="J11474">
            <v>0</v>
          </cell>
          <cell r="K11474" t="str">
            <v>Administration</v>
          </cell>
          <cell r="L11474" t="str">
            <v>Professional Service</v>
          </cell>
          <cell r="N11474" t="str">
            <v>Direct Costs</v>
          </cell>
          <cell r="O11474" t="str">
            <v>Procyon Benefits LLC</v>
          </cell>
        </row>
        <row r="11475">
          <cell r="D11475">
            <v>2500</v>
          </cell>
          <cell r="H11475">
            <v>45931</v>
          </cell>
          <cell r="I11475" t="str">
            <v>6225 - Professional Services</v>
          </cell>
          <cell r="J11475">
            <v>0</v>
          </cell>
          <cell r="K11475" t="str">
            <v>Administration</v>
          </cell>
          <cell r="L11475" t="str">
            <v>Professional Service</v>
          </cell>
          <cell r="N11475" t="str">
            <v>Direct Costs</v>
          </cell>
          <cell r="O11475" t="str">
            <v>Procyon Benefits LLC</v>
          </cell>
        </row>
        <row r="11476">
          <cell r="D11476">
            <v>71.87</v>
          </cell>
          <cell r="H11476">
            <v>45931</v>
          </cell>
          <cell r="I11476" t="str">
            <v>6225 - Professional Services</v>
          </cell>
          <cell r="J11476">
            <v>0</v>
          </cell>
          <cell r="K11476" t="str">
            <v>Brand Marketing</v>
          </cell>
          <cell r="L11476" t="str">
            <v>Professional Service</v>
          </cell>
          <cell r="N11476" t="str">
            <v>Direct Costs</v>
          </cell>
          <cell r="O11476" t="str">
            <v>The Lede Company, LLC</v>
          </cell>
        </row>
        <row r="11477">
          <cell r="D11477">
            <v>28.65</v>
          </cell>
          <cell r="H11477">
            <v>45931</v>
          </cell>
          <cell r="I11477" t="str">
            <v>6225 - Professional Services</v>
          </cell>
          <cell r="J11477">
            <v>0</v>
          </cell>
          <cell r="K11477" t="str">
            <v>Brand Marketing</v>
          </cell>
          <cell r="L11477" t="str">
            <v>Professional Service</v>
          </cell>
          <cell r="N11477" t="str">
            <v>Direct Costs</v>
          </cell>
          <cell r="O11477" t="str">
            <v>The Lede Company, LLC</v>
          </cell>
        </row>
        <row r="11478">
          <cell r="D11478">
            <v>32.200000000000003</v>
          </cell>
          <cell r="H11478">
            <v>45931</v>
          </cell>
          <cell r="I11478" t="str">
            <v>6225 - Professional Services</v>
          </cell>
          <cell r="J11478">
            <v>0</v>
          </cell>
          <cell r="K11478" t="str">
            <v>Brand Marketing</v>
          </cell>
          <cell r="L11478" t="str">
            <v>Professional Service</v>
          </cell>
          <cell r="N11478" t="str">
            <v>Direct Costs</v>
          </cell>
          <cell r="O11478" t="str">
            <v>The Lede Company, LLC</v>
          </cell>
        </row>
        <row r="11479">
          <cell r="D11479">
            <v>300</v>
          </cell>
          <cell r="H11479">
            <v>45931</v>
          </cell>
          <cell r="I11479" t="str">
            <v>6225 - Professional Services</v>
          </cell>
          <cell r="J11479">
            <v>0</v>
          </cell>
          <cell r="K11479" t="str">
            <v>Brand Marketing</v>
          </cell>
          <cell r="L11479" t="str">
            <v>Professional Service</v>
          </cell>
          <cell r="N11479" t="str">
            <v>Direct Costs</v>
          </cell>
          <cell r="O11479" t="str">
            <v>The Lede Company, LLC</v>
          </cell>
        </row>
        <row r="11480">
          <cell r="D11480">
            <v>300</v>
          </cell>
          <cell r="H11480">
            <v>45931</v>
          </cell>
          <cell r="I11480" t="str">
            <v>6225 - Professional Services</v>
          </cell>
          <cell r="J11480">
            <v>0</v>
          </cell>
          <cell r="K11480" t="str">
            <v>Brand Marketing</v>
          </cell>
          <cell r="L11480" t="str">
            <v>Professional Service</v>
          </cell>
          <cell r="N11480" t="str">
            <v>Direct Costs</v>
          </cell>
          <cell r="O11480" t="str">
            <v>The Lede Company, LLC</v>
          </cell>
        </row>
        <row r="11481">
          <cell r="D11481">
            <v>-1050</v>
          </cell>
          <cell r="H11481">
            <v>45931</v>
          </cell>
          <cell r="I11481" t="str">
            <v>6225 - Professional Services</v>
          </cell>
          <cell r="J11481">
            <v>0</v>
          </cell>
          <cell r="K11481" t="str">
            <v>Brand Marketing</v>
          </cell>
          <cell r="L11481" t="str">
            <v>Professional Service</v>
          </cell>
          <cell r="N11481" t="str">
            <v>Direct Costs</v>
          </cell>
          <cell r="O11481" t="str">
            <v>The Lede Company, LLC</v>
          </cell>
        </row>
        <row r="11482">
          <cell r="D11482">
            <v>500</v>
          </cell>
          <cell r="H11482">
            <v>45931</v>
          </cell>
          <cell r="I11482" t="str">
            <v>6225 - Professional Services</v>
          </cell>
          <cell r="J11482">
            <v>0</v>
          </cell>
          <cell r="K11482" t="str">
            <v>Brand Marketing</v>
          </cell>
          <cell r="L11482" t="str">
            <v>Professional Service</v>
          </cell>
          <cell r="N11482" t="str">
            <v>Direct Costs</v>
          </cell>
          <cell r="O11482" t="str">
            <v>The Lede Company, LLC</v>
          </cell>
        </row>
        <row r="11483">
          <cell r="D11483">
            <v>10000</v>
          </cell>
          <cell r="H11483">
            <v>45931</v>
          </cell>
          <cell r="I11483" t="str">
            <v>6225 - Professional Services</v>
          </cell>
          <cell r="J11483">
            <v>0</v>
          </cell>
          <cell r="K11483" t="str">
            <v>Brand Marketing</v>
          </cell>
          <cell r="L11483" t="str">
            <v>Professional Service</v>
          </cell>
          <cell r="N11483" t="str">
            <v>Direct Costs</v>
          </cell>
          <cell r="O11483" t="str">
            <v>The Lede Company, LLC</v>
          </cell>
        </row>
        <row r="11484">
          <cell r="D11484">
            <v>2.99</v>
          </cell>
          <cell r="H11484">
            <v>45931</v>
          </cell>
          <cell r="I11484" t="str">
            <v>6225 - Professional Services</v>
          </cell>
          <cell r="J11484">
            <v>0</v>
          </cell>
          <cell r="K11484" t="str">
            <v>Brand Marketing</v>
          </cell>
          <cell r="L11484" t="str">
            <v>Professional Service</v>
          </cell>
          <cell r="N11484" t="str">
            <v>Direct Costs</v>
          </cell>
          <cell r="O11484" t="str">
            <v>The Lede Company, LLC</v>
          </cell>
        </row>
        <row r="11485">
          <cell r="D11485">
            <v>218.84</v>
          </cell>
          <cell r="H11485">
            <v>45931</v>
          </cell>
          <cell r="I11485" t="str">
            <v>6225 - Professional Services</v>
          </cell>
          <cell r="J11485">
            <v>0</v>
          </cell>
          <cell r="K11485" t="str">
            <v>Brand Marketing</v>
          </cell>
          <cell r="L11485" t="str">
            <v>Professional Service</v>
          </cell>
          <cell r="N11485" t="str">
            <v>Direct Costs</v>
          </cell>
          <cell r="O11485" t="str">
            <v>The Lede Company, LLC</v>
          </cell>
        </row>
        <row r="11486">
          <cell r="D11486">
            <v>82.74</v>
          </cell>
          <cell r="H11486">
            <v>45931</v>
          </cell>
          <cell r="I11486" t="str">
            <v>6225 - Professional Services</v>
          </cell>
          <cell r="J11486">
            <v>0</v>
          </cell>
          <cell r="K11486" t="str">
            <v>Brand Marketing</v>
          </cell>
          <cell r="L11486" t="str">
            <v>Professional Service</v>
          </cell>
          <cell r="N11486" t="str">
            <v>Direct Costs</v>
          </cell>
          <cell r="O11486" t="str">
            <v>The Lede Company, LLC</v>
          </cell>
        </row>
        <row r="11487">
          <cell r="D11487">
            <v>42.2</v>
          </cell>
          <cell r="H11487">
            <v>45931</v>
          </cell>
          <cell r="I11487" t="str">
            <v>6225 - Professional Services</v>
          </cell>
          <cell r="J11487">
            <v>0</v>
          </cell>
          <cell r="K11487" t="str">
            <v>Brand Marketing</v>
          </cell>
          <cell r="L11487" t="str">
            <v>Professional Service</v>
          </cell>
          <cell r="N11487" t="str">
            <v>Direct Costs</v>
          </cell>
          <cell r="O11487" t="str">
            <v>The Lede Company, LLC</v>
          </cell>
        </row>
        <row r="11488">
          <cell r="D11488">
            <v>46.46</v>
          </cell>
          <cell r="H11488">
            <v>45931</v>
          </cell>
          <cell r="I11488" t="str">
            <v>6225 - Professional Services</v>
          </cell>
          <cell r="J11488">
            <v>0</v>
          </cell>
          <cell r="K11488" t="str">
            <v>Brand Marketing</v>
          </cell>
          <cell r="L11488" t="str">
            <v>Professional Service</v>
          </cell>
          <cell r="N11488" t="str">
            <v>Direct Costs</v>
          </cell>
          <cell r="O11488" t="str">
            <v>The Lede Company, LLC</v>
          </cell>
        </row>
        <row r="11489">
          <cell r="D11489">
            <v>89.81</v>
          </cell>
          <cell r="H11489">
            <v>45931</v>
          </cell>
          <cell r="I11489" t="str">
            <v>6225 - Professional Services</v>
          </cell>
          <cell r="J11489">
            <v>0</v>
          </cell>
          <cell r="K11489" t="str">
            <v>Brand Marketing</v>
          </cell>
          <cell r="L11489" t="str">
            <v>Professional Service</v>
          </cell>
          <cell r="N11489" t="str">
            <v>Direct Costs</v>
          </cell>
          <cell r="O11489" t="str">
            <v>The Lede Company, LLC</v>
          </cell>
        </row>
        <row r="11490">
          <cell r="D11490">
            <v>32.200000000000003</v>
          </cell>
          <cell r="H11490">
            <v>45931</v>
          </cell>
          <cell r="I11490" t="str">
            <v>6225 - Professional Services</v>
          </cell>
          <cell r="J11490">
            <v>0</v>
          </cell>
          <cell r="K11490" t="str">
            <v>Brand Marketing</v>
          </cell>
          <cell r="L11490" t="str">
            <v>Professional Service</v>
          </cell>
          <cell r="N11490" t="str">
            <v>Direct Costs</v>
          </cell>
          <cell r="O11490" t="str">
            <v>The Lede Company, LLC</v>
          </cell>
        </row>
        <row r="11491">
          <cell r="D11491">
            <v>32.200000000000003</v>
          </cell>
          <cell r="H11491">
            <v>45931</v>
          </cell>
          <cell r="I11491" t="str">
            <v>6225 - Professional Services</v>
          </cell>
          <cell r="J11491">
            <v>0</v>
          </cell>
          <cell r="K11491" t="str">
            <v>Brand Marketing</v>
          </cell>
          <cell r="L11491" t="str">
            <v>Professional Service</v>
          </cell>
          <cell r="N11491" t="str">
            <v>Direct Costs</v>
          </cell>
          <cell r="O11491" t="str">
            <v>The Lede Company, LLC</v>
          </cell>
        </row>
        <row r="11492">
          <cell r="D11492">
            <v>7.8</v>
          </cell>
          <cell r="H11492">
            <v>45931</v>
          </cell>
          <cell r="I11492" t="str">
            <v>6225 - Professional Services</v>
          </cell>
          <cell r="J11492">
            <v>0</v>
          </cell>
          <cell r="K11492" t="str">
            <v>Brand Marketing</v>
          </cell>
          <cell r="L11492" t="str">
            <v>Professional Service</v>
          </cell>
          <cell r="N11492" t="str">
            <v>Direct Costs</v>
          </cell>
          <cell r="O11492" t="str">
            <v>The Lede Company, LLC</v>
          </cell>
        </row>
        <row r="11493">
          <cell r="D11493">
            <v>29.91</v>
          </cell>
          <cell r="H11493">
            <v>45931</v>
          </cell>
          <cell r="I11493" t="str">
            <v>6225 - Professional Services</v>
          </cell>
          <cell r="J11493">
            <v>0</v>
          </cell>
          <cell r="K11493" t="str">
            <v>Brand Marketing</v>
          </cell>
          <cell r="L11493" t="str">
            <v>Professional Service</v>
          </cell>
          <cell r="N11493" t="str">
            <v>Direct Costs</v>
          </cell>
          <cell r="O11493" t="str">
            <v>The Lede Company, LLC</v>
          </cell>
        </row>
        <row r="11494">
          <cell r="D11494">
            <v>42.96</v>
          </cell>
          <cell r="H11494">
            <v>45931</v>
          </cell>
          <cell r="I11494" t="str">
            <v>6225 - Professional Services</v>
          </cell>
          <cell r="J11494">
            <v>0</v>
          </cell>
          <cell r="K11494" t="str">
            <v>Brand Marketing</v>
          </cell>
          <cell r="L11494" t="str">
            <v>Professional Service</v>
          </cell>
          <cell r="N11494" t="str">
            <v>Direct Costs</v>
          </cell>
          <cell r="O11494" t="str">
            <v>The Lede Company, LLC</v>
          </cell>
        </row>
        <row r="11495">
          <cell r="D11495">
            <v>1193.8900000000001</v>
          </cell>
          <cell r="H11495">
            <v>45931</v>
          </cell>
          <cell r="I11495" t="str">
            <v>6225 - Professional Services</v>
          </cell>
          <cell r="J11495">
            <v>0</v>
          </cell>
          <cell r="K11495" t="str">
            <v>Brand Marketing</v>
          </cell>
          <cell r="L11495" t="str">
            <v>Professional Service</v>
          </cell>
          <cell r="N11495" t="str">
            <v>Direct Costs</v>
          </cell>
          <cell r="O11495" t="str">
            <v>The Lede Company, LLC</v>
          </cell>
        </row>
        <row r="11496">
          <cell r="D11496">
            <v>11.02</v>
          </cell>
          <cell r="H11496">
            <v>45931</v>
          </cell>
          <cell r="I11496" t="str">
            <v>6225 - Professional Services</v>
          </cell>
          <cell r="J11496">
            <v>0</v>
          </cell>
          <cell r="K11496" t="str">
            <v>Brand Marketing</v>
          </cell>
          <cell r="L11496" t="str">
            <v>Professional Service</v>
          </cell>
          <cell r="N11496" t="str">
            <v>Direct Costs</v>
          </cell>
          <cell r="O11496" t="str">
            <v>The Lede Company, LLC</v>
          </cell>
        </row>
        <row r="11497">
          <cell r="D11497">
            <v>270.8</v>
          </cell>
          <cell r="H11497">
            <v>45931</v>
          </cell>
          <cell r="I11497" t="str">
            <v>6225 - Professional Services</v>
          </cell>
          <cell r="J11497">
            <v>0</v>
          </cell>
          <cell r="K11497" t="str">
            <v>Brand Marketing</v>
          </cell>
          <cell r="L11497" t="str">
            <v>Professional Service</v>
          </cell>
          <cell r="N11497" t="str">
            <v>Direct Costs</v>
          </cell>
          <cell r="O11497" t="str">
            <v>The Lede Company, LLC</v>
          </cell>
        </row>
        <row r="11498">
          <cell r="D11498">
            <v>166.12</v>
          </cell>
          <cell r="H11498">
            <v>45931</v>
          </cell>
          <cell r="I11498" t="str">
            <v>6225 - Professional Services</v>
          </cell>
          <cell r="J11498">
            <v>0</v>
          </cell>
          <cell r="K11498" t="str">
            <v>Brand Marketing</v>
          </cell>
          <cell r="L11498" t="str">
            <v>Professional Service</v>
          </cell>
          <cell r="N11498" t="str">
            <v>Direct Costs</v>
          </cell>
          <cell r="O11498" t="str">
            <v>The Lede Company, LLC</v>
          </cell>
        </row>
        <row r="11499">
          <cell r="D11499">
            <v>28.65</v>
          </cell>
          <cell r="H11499">
            <v>45931</v>
          </cell>
          <cell r="I11499" t="str">
            <v>6225 - Professional Services</v>
          </cell>
          <cell r="J11499">
            <v>0</v>
          </cell>
          <cell r="K11499" t="str">
            <v>Brand Marketing</v>
          </cell>
          <cell r="L11499" t="str">
            <v>Professional Service</v>
          </cell>
          <cell r="N11499" t="str">
            <v>Direct Costs</v>
          </cell>
          <cell r="O11499" t="str">
            <v>The Lede Company, LLC</v>
          </cell>
        </row>
        <row r="11500">
          <cell r="D11500">
            <v>25.1</v>
          </cell>
          <cell r="H11500">
            <v>45931</v>
          </cell>
          <cell r="I11500" t="str">
            <v>6225 - Professional Services</v>
          </cell>
          <cell r="J11500">
            <v>0</v>
          </cell>
          <cell r="K11500" t="str">
            <v>Brand Marketing</v>
          </cell>
          <cell r="L11500" t="str">
            <v>Professional Service</v>
          </cell>
          <cell r="N11500" t="str">
            <v>Direct Costs</v>
          </cell>
          <cell r="O11500" t="str">
            <v>The Lede Company, LLC</v>
          </cell>
        </row>
        <row r="11501">
          <cell r="D11501">
            <v>35.75</v>
          </cell>
          <cell r="H11501">
            <v>45931</v>
          </cell>
          <cell r="I11501" t="str">
            <v>6225 - Professional Services</v>
          </cell>
          <cell r="J11501">
            <v>0</v>
          </cell>
          <cell r="K11501" t="str">
            <v>Brand Marketing</v>
          </cell>
          <cell r="L11501" t="str">
            <v>Professional Service</v>
          </cell>
          <cell r="N11501" t="str">
            <v>Direct Costs</v>
          </cell>
          <cell r="O11501" t="str">
            <v>The Lede Company, LLC</v>
          </cell>
        </row>
        <row r="11502">
          <cell r="D11502">
            <v>71.81</v>
          </cell>
          <cell r="H11502">
            <v>45931</v>
          </cell>
          <cell r="I11502" t="str">
            <v>6225 - Professional Services</v>
          </cell>
          <cell r="J11502">
            <v>0</v>
          </cell>
          <cell r="K11502" t="str">
            <v>Brand Marketing</v>
          </cell>
          <cell r="L11502" t="str">
            <v>Professional Service</v>
          </cell>
          <cell r="N11502" t="str">
            <v>Direct Costs</v>
          </cell>
          <cell r="O11502" t="str">
            <v>The Lede Company, LLC</v>
          </cell>
        </row>
        <row r="11503">
          <cell r="D11503">
            <v>35.75</v>
          </cell>
          <cell r="H11503">
            <v>45931</v>
          </cell>
          <cell r="I11503" t="str">
            <v>6225 - Professional Services</v>
          </cell>
          <cell r="J11503">
            <v>0</v>
          </cell>
          <cell r="K11503" t="str">
            <v>Brand Marketing</v>
          </cell>
          <cell r="L11503" t="str">
            <v>Professional Service</v>
          </cell>
          <cell r="N11503" t="str">
            <v>Direct Costs</v>
          </cell>
          <cell r="O11503" t="str">
            <v>The Lede Company, LLC</v>
          </cell>
        </row>
        <row r="11504">
          <cell r="D11504">
            <v>35.75</v>
          </cell>
          <cell r="H11504">
            <v>45931</v>
          </cell>
          <cell r="I11504" t="str">
            <v>6225 - Professional Services</v>
          </cell>
          <cell r="J11504">
            <v>0</v>
          </cell>
          <cell r="K11504" t="str">
            <v>Brand Marketing</v>
          </cell>
          <cell r="L11504" t="str">
            <v>Professional Service</v>
          </cell>
          <cell r="N11504" t="str">
            <v>Direct Costs</v>
          </cell>
          <cell r="O11504" t="str">
            <v>The Lede Company, LLC</v>
          </cell>
        </row>
        <row r="11505">
          <cell r="D11505">
            <v>81.59</v>
          </cell>
          <cell r="H11505">
            <v>45931</v>
          </cell>
          <cell r="I11505" t="str">
            <v>6225 - Professional Services</v>
          </cell>
          <cell r="J11505">
            <v>0</v>
          </cell>
          <cell r="K11505" t="str">
            <v>Brand Marketing</v>
          </cell>
          <cell r="L11505" t="str">
            <v>Professional Service</v>
          </cell>
          <cell r="N11505" t="str">
            <v>Direct Costs</v>
          </cell>
          <cell r="O11505" t="str">
            <v>The Lede Company, LLC</v>
          </cell>
        </row>
        <row r="11506">
          <cell r="D11506">
            <v>71.87</v>
          </cell>
          <cell r="H11506">
            <v>45931</v>
          </cell>
          <cell r="I11506" t="str">
            <v>6225 - Professional Services</v>
          </cell>
          <cell r="J11506">
            <v>0</v>
          </cell>
          <cell r="K11506" t="str">
            <v>Brand Marketing</v>
          </cell>
          <cell r="L11506" t="str">
            <v>Professional Service</v>
          </cell>
          <cell r="N11506" t="str">
            <v>Direct Costs</v>
          </cell>
          <cell r="O11506" t="str">
            <v>The Lede Company, LLC</v>
          </cell>
        </row>
        <row r="11507">
          <cell r="D11507">
            <v>28.65</v>
          </cell>
          <cell r="H11507">
            <v>45931</v>
          </cell>
          <cell r="I11507" t="str">
            <v>6225 - Professional Services</v>
          </cell>
          <cell r="J11507">
            <v>0</v>
          </cell>
          <cell r="K11507" t="str">
            <v>Brand Marketing</v>
          </cell>
          <cell r="L11507" t="str">
            <v>Professional Service</v>
          </cell>
          <cell r="N11507" t="str">
            <v>Direct Costs</v>
          </cell>
          <cell r="O11507" t="str">
            <v>The Lede Company, LLC</v>
          </cell>
        </row>
        <row r="11508">
          <cell r="D11508">
            <v>63.48</v>
          </cell>
          <cell r="H11508">
            <v>45931</v>
          </cell>
          <cell r="I11508" t="str">
            <v>6225 - Professional Services</v>
          </cell>
          <cell r="J11508">
            <v>0</v>
          </cell>
          <cell r="K11508" t="str">
            <v>Brand Marketing</v>
          </cell>
          <cell r="L11508" t="str">
            <v>Professional Service</v>
          </cell>
          <cell r="N11508" t="str">
            <v>Direct Costs</v>
          </cell>
          <cell r="O11508" t="str">
            <v>The Lede Company, LLC</v>
          </cell>
        </row>
        <row r="11509">
          <cell r="D11509">
            <v>59.39</v>
          </cell>
          <cell r="H11509">
            <v>45931</v>
          </cell>
          <cell r="I11509" t="str">
            <v>6225 - Professional Services</v>
          </cell>
          <cell r="J11509">
            <v>0</v>
          </cell>
          <cell r="K11509" t="str">
            <v>Brand Marketing</v>
          </cell>
          <cell r="L11509" t="str">
            <v>Professional Service</v>
          </cell>
          <cell r="N11509" t="str">
            <v>Direct Costs</v>
          </cell>
          <cell r="O11509" t="str">
            <v>The Lede Company, LLC</v>
          </cell>
        </row>
        <row r="11510">
          <cell r="D11510">
            <v>32.200000000000003</v>
          </cell>
          <cell r="H11510">
            <v>45931</v>
          </cell>
          <cell r="I11510" t="str">
            <v>6225 - Professional Services</v>
          </cell>
          <cell r="J11510">
            <v>0</v>
          </cell>
          <cell r="K11510" t="str">
            <v>Brand Marketing</v>
          </cell>
          <cell r="L11510" t="str">
            <v>Professional Service</v>
          </cell>
          <cell r="N11510" t="str">
            <v>Direct Costs</v>
          </cell>
          <cell r="O11510" t="str">
            <v>The Lede Company, LLC</v>
          </cell>
        </row>
        <row r="11511">
          <cell r="D11511">
            <v>4500</v>
          </cell>
          <cell r="H11511">
            <v>45931</v>
          </cell>
          <cell r="I11511" t="str">
            <v>6225 - Professional Services</v>
          </cell>
          <cell r="J11511" t="str">
            <v>Ecommerce (US)</v>
          </cell>
          <cell r="K11511" t="str">
            <v>Ecommerce</v>
          </cell>
          <cell r="L11511" t="str">
            <v>Professional Service</v>
          </cell>
          <cell r="N11511" t="str">
            <v>Direct Costs</v>
          </cell>
          <cell r="O11511" t="str">
            <v>Freeflow LLC</v>
          </cell>
        </row>
        <row r="11512">
          <cell r="D11512">
            <v>500</v>
          </cell>
          <cell r="H11512">
            <v>45931</v>
          </cell>
          <cell r="I11512" t="str">
            <v>6225 - Professional Services</v>
          </cell>
          <cell r="J11512" t="str">
            <v>Ecommerce (US)</v>
          </cell>
          <cell r="K11512" t="str">
            <v>Ecommerce</v>
          </cell>
          <cell r="L11512" t="str">
            <v>Professional Service</v>
          </cell>
          <cell r="N11512" t="str">
            <v>Direct Costs</v>
          </cell>
          <cell r="O11512" t="str">
            <v>Rareview, LLC</v>
          </cell>
        </row>
        <row r="11513">
          <cell r="D11513">
            <v>5000</v>
          </cell>
          <cell r="H11513">
            <v>45931</v>
          </cell>
          <cell r="I11513" t="str">
            <v>6225 - Professional Services</v>
          </cell>
          <cell r="J11513" t="str">
            <v>Ecommerce (US)</v>
          </cell>
          <cell r="K11513" t="str">
            <v>Ecommerce</v>
          </cell>
          <cell r="L11513" t="str">
            <v>Professional Service</v>
          </cell>
          <cell r="N11513" t="str">
            <v>Direct Costs</v>
          </cell>
          <cell r="O11513" t="str">
            <v>Rareview, LLC</v>
          </cell>
        </row>
        <row r="11514">
          <cell r="D11514">
            <v>36780.550000000003</v>
          </cell>
          <cell r="H11514">
            <v>45931</v>
          </cell>
          <cell r="I11514" t="str">
            <v>6225 - Professional Services</v>
          </cell>
          <cell r="J11514" t="str">
            <v>Ecommerce (US)</v>
          </cell>
          <cell r="K11514" t="str">
            <v>Ecommerce</v>
          </cell>
          <cell r="L11514" t="str">
            <v>Professional Service</v>
          </cell>
          <cell r="N11514" t="str">
            <v>Direct Costs</v>
          </cell>
          <cell r="O11514" t="str">
            <v>Rareview, LLC</v>
          </cell>
        </row>
        <row r="11515">
          <cell r="D11515">
            <v>134.25</v>
          </cell>
          <cell r="H11515">
            <v>45931</v>
          </cell>
          <cell r="I11515" t="str">
            <v>6225 - Professional Services</v>
          </cell>
          <cell r="J11515">
            <v>0</v>
          </cell>
          <cell r="K11515" t="str">
            <v>Administration</v>
          </cell>
          <cell r="L11515" t="str">
            <v>Professional Service</v>
          </cell>
          <cell r="N11515" t="str">
            <v>Direct Costs</v>
          </cell>
          <cell r="O11515" t="str">
            <v>Benefit Resource, LLC</v>
          </cell>
        </row>
        <row r="11516">
          <cell r="D11516">
            <v>13.75</v>
          </cell>
          <cell r="H11516">
            <v>45931</v>
          </cell>
          <cell r="I11516" t="str">
            <v>6225 - Professional Services</v>
          </cell>
          <cell r="J11516">
            <v>0</v>
          </cell>
          <cell r="K11516" t="str">
            <v>Administration</v>
          </cell>
          <cell r="L11516" t="str">
            <v>Professional Service</v>
          </cell>
          <cell r="N11516" t="str">
            <v>Direct Costs</v>
          </cell>
          <cell r="O11516" t="str">
            <v>Benefit Resource, LLC</v>
          </cell>
        </row>
        <row r="11517">
          <cell r="D11517">
            <v>27</v>
          </cell>
          <cell r="H11517">
            <v>45931</v>
          </cell>
          <cell r="I11517" t="str">
            <v>6225 - Professional Services</v>
          </cell>
          <cell r="J11517">
            <v>0</v>
          </cell>
          <cell r="K11517" t="str">
            <v>Administration</v>
          </cell>
          <cell r="L11517" t="str">
            <v>Professional Service</v>
          </cell>
          <cell r="N11517" t="str">
            <v>Direct Costs</v>
          </cell>
          <cell r="O11517" t="str">
            <v>Benefit Resource, LLC</v>
          </cell>
        </row>
        <row r="11518">
          <cell r="D11518">
            <v>833.33</v>
          </cell>
          <cell r="H11518">
            <v>45931</v>
          </cell>
          <cell r="I11518" t="str">
            <v>6225 - Professional Services</v>
          </cell>
          <cell r="J11518">
            <v>0</v>
          </cell>
          <cell r="K11518" t="str">
            <v>Administration</v>
          </cell>
          <cell r="L11518" t="str">
            <v>Professional Service</v>
          </cell>
          <cell r="N11518" t="str">
            <v>Direct Costs</v>
          </cell>
          <cell r="O11518" t="str">
            <v>Procyon Benefits LLC</v>
          </cell>
        </row>
        <row r="11519">
          <cell r="D11519">
            <v>256.11</v>
          </cell>
          <cell r="H11519">
            <v>45931</v>
          </cell>
          <cell r="I11519" t="str">
            <v>6240 - Product Photography</v>
          </cell>
          <cell r="J11519">
            <v>0</v>
          </cell>
          <cell r="K11519" t="str">
            <v>Brand Marketing</v>
          </cell>
          <cell r="L11519" t="str">
            <v>Advertising</v>
          </cell>
          <cell r="N11519" t="str">
            <v>SG&amp;A</v>
          </cell>
          <cell r="O11519" t="str">
            <v>Olivia Nielsen</v>
          </cell>
        </row>
        <row r="11520">
          <cell r="D11520">
            <v>77.3</v>
          </cell>
          <cell r="H11520">
            <v>45931</v>
          </cell>
          <cell r="I11520" t="str">
            <v>6240 - Product Photography</v>
          </cell>
          <cell r="J11520">
            <v>0</v>
          </cell>
          <cell r="K11520" t="str">
            <v>Brand Marketing</v>
          </cell>
          <cell r="L11520" t="str">
            <v>Advertising</v>
          </cell>
          <cell r="N11520" t="str">
            <v>SG&amp;A</v>
          </cell>
          <cell r="O11520" t="str">
            <v>Olivia Nielsen</v>
          </cell>
        </row>
        <row r="11521">
          <cell r="D11521">
            <v>415.29</v>
          </cell>
          <cell r="H11521">
            <v>45931</v>
          </cell>
          <cell r="I11521" t="str">
            <v>6240 - Product Photography</v>
          </cell>
          <cell r="J11521">
            <v>0</v>
          </cell>
          <cell r="K11521" t="str">
            <v>Brand Marketing</v>
          </cell>
          <cell r="L11521" t="str">
            <v>Advertising</v>
          </cell>
          <cell r="N11521" t="str">
            <v>SG&amp;A</v>
          </cell>
          <cell r="O11521" t="str">
            <v>Olivia Nielsen</v>
          </cell>
        </row>
        <row r="11522">
          <cell r="D11522">
            <v>62.98</v>
          </cell>
          <cell r="H11522">
            <v>45931</v>
          </cell>
          <cell r="I11522" t="str">
            <v>6240 - Product Photography</v>
          </cell>
          <cell r="J11522">
            <v>0</v>
          </cell>
          <cell r="K11522" t="str">
            <v>Brand Marketing</v>
          </cell>
          <cell r="L11522" t="str">
            <v>Advertising</v>
          </cell>
          <cell r="N11522" t="str">
            <v>SG&amp;A</v>
          </cell>
          <cell r="O11522" t="str">
            <v>Olivia Nielsen</v>
          </cell>
        </row>
        <row r="11523">
          <cell r="D11523">
            <v>5500</v>
          </cell>
          <cell r="H11523">
            <v>45931</v>
          </cell>
          <cell r="I11523" t="str">
            <v>6240 - Product Photography</v>
          </cell>
          <cell r="J11523">
            <v>0</v>
          </cell>
          <cell r="K11523" t="str">
            <v>Brand Marketing</v>
          </cell>
          <cell r="L11523" t="str">
            <v>Advertising</v>
          </cell>
          <cell r="N11523" t="str">
            <v>SG&amp;A</v>
          </cell>
          <cell r="O11523" t="str">
            <v>NVSN LLC</v>
          </cell>
        </row>
        <row r="11524">
          <cell r="D11524">
            <v>3600</v>
          </cell>
          <cell r="H11524">
            <v>45931</v>
          </cell>
          <cell r="I11524" t="str">
            <v>6240 - Product Photography</v>
          </cell>
          <cell r="J11524">
            <v>0</v>
          </cell>
          <cell r="K11524" t="str">
            <v>Brand Marketing</v>
          </cell>
          <cell r="L11524" t="str">
            <v>Advertising</v>
          </cell>
          <cell r="N11524" t="str">
            <v>SG&amp;A</v>
          </cell>
          <cell r="O11524" t="str">
            <v>Grade A International d/b/a KOSHU</v>
          </cell>
        </row>
        <row r="11525">
          <cell r="D11525">
            <v>6000</v>
          </cell>
          <cell r="H11525">
            <v>45931</v>
          </cell>
          <cell r="I11525" t="str">
            <v>6240 - Product Photography</v>
          </cell>
          <cell r="J11525">
            <v>0</v>
          </cell>
          <cell r="K11525" t="str">
            <v>Brand Marketing</v>
          </cell>
          <cell r="L11525" t="str">
            <v>Advertising</v>
          </cell>
          <cell r="N11525" t="str">
            <v>SG&amp;A</v>
          </cell>
          <cell r="O11525" t="str">
            <v>Grade A International d/b/a KOSHU</v>
          </cell>
        </row>
        <row r="11526">
          <cell r="D11526">
            <v>350</v>
          </cell>
          <cell r="H11526">
            <v>45931</v>
          </cell>
          <cell r="I11526" t="str">
            <v>6240 - Product Photography</v>
          </cell>
          <cell r="J11526">
            <v>0</v>
          </cell>
          <cell r="K11526" t="str">
            <v>Brand Marketing</v>
          </cell>
          <cell r="L11526" t="str">
            <v>Advertising</v>
          </cell>
          <cell r="N11526" t="str">
            <v>SG&amp;A</v>
          </cell>
          <cell r="O11526" t="str">
            <v>Fordo Filmz LLC</v>
          </cell>
        </row>
        <row r="11527">
          <cell r="D11527">
            <v>200</v>
          </cell>
          <cell r="H11527">
            <v>45931</v>
          </cell>
          <cell r="I11527" t="str">
            <v>6240 - Product Photography</v>
          </cell>
          <cell r="J11527">
            <v>0</v>
          </cell>
          <cell r="K11527" t="str">
            <v>Brand Marketing</v>
          </cell>
          <cell r="L11527" t="str">
            <v>Advertising</v>
          </cell>
          <cell r="N11527" t="str">
            <v>SG&amp;A</v>
          </cell>
          <cell r="O11527" t="str">
            <v>Gabriel Jacobs</v>
          </cell>
        </row>
        <row r="11528">
          <cell r="D11528">
            <v>29.43</v>
          </cell>
          <cell r="H11528">
            <v>45931</v>
          </cell>
          <cell r="I11528" t="str">
            <v>6240 - Product Photography</v>
          </cell>
          <cell r="J11528">
            <v>0</v>
          </cell>
          <cell r="K11528" t="str">
            <v>Brand Marketing</v>
          </cell>
          <cell r="L11528" t="str">
            <v>Advertising</v>
          </cell>
          <cell r="N11528" t="str">
            <v>SG&amp;A</v>
          </cell>
          <cell r="O11528" t="str">
            <v>Catherine  Kim</v>
          </cell>
        </row>
        <row r="11529">
          <cell r="D11529">
            <v>15.34</v>
          </cell>
          <cell r="H11529">
            <v>45931</v>
          </cell>
          <cell r="I11529" t="str">
            <v>6240 - Product Photography</v>
          </cell>
          <cell r="J11529">
            <v>0</v>
          </cell>
          <cell r="K11529" t="str">
            <v>Brand Marketing</v>
          </cell>
          <cell r="L11529" t="str">
            <v>Advertising</v>
          </cell>
          <cell r="N11529" t="str">
            <v>SG&amp;A</v>
          </cell>
          <cell r="O11529" t="str">
            <v>Catherine  Kim</v>
          </cell>
        </row>
        <row r="11530">
          <cell r="D11530">
            <v>53.88</v>
          </cell>
          <cell r="H11530">
            <v>45931</v>
          </cell>
          <cell r="I11530" t="str">
            <v>6240 - Product Photography</v>
          </cell>
          <cell r="J11530">
            <v>0</v>
          </cell>
          <cell r="K11530" t="str">
            <v>Brand Marketing</v>
          </cell>
          <cell r="L11530" t="str">
            <v>Advertising</v>
          </cell>
          <cell r="N11530" t="str">
            <v>SG&amp;A</v>
          </cell>
          <cell r="O11530" t="str">
            <v>Catherine  Kim</v>
          </cell>
        </row>
        <row r="11531">
          <cell r="D11531">
            <v>28833.33</v>
          </cell>
          <cell r="H11531">
            <v>45931</v>
          </cell>
          <cell r="I11531" t="str">
            <v>6240 - Product Photography</v>
          </cell>
          <cell r="J11531">
            <v>0</v>
          </cell>
          <cell r="K11531" t="str">
            <v>Brand Marketing</v>
          </cell>
          <cell r="L11531" t="str">
            <v>Advertising</v>
          </cell>
          <cell r="N11531" t="str">
            <v>SG&amp;A</v>
          </cell>
          <cell r="O11531" t="str">
            <v>GOSFilms LLC</v>
          </cell>
        </row>
        <row r="11532">
          <cell r="D11532">
            <v>3333.33</v>
          </cell>
          <cell r="H11532">
            <v>45931</v>
          </cell>
          <cell r="I11532" t="str">
            <v>6284 - Advertising</v>
          </cell>
          <cell r="J11532">
            <v>0</v>
          </cell>
          <cell r="K11532" t="str">
            <v>Brand Marketing</v>
          </cell>
          <cell r="L11532" t="str">
            <v>Advertising</v>
          </cell>
          <cell r="N11532" t="str">
            <v>SG&amp;A</v>
          </cell>
          <cell r="O11532" t="str">
            <v>Racquet Media Corporation</v>
          </cell>
        </row>
        <row r="11533">
          <cell r="D11533">
            <v>397.83</v>
          </cell>
          <cell r="H11533">
            <v>45931</v>
          </cell>
          <cell r="I11533" t="str">
            <v>6286 - SEM</v>
          </cell>
          <cell r="J11533" t="str">
            <v>Ecommerce (US)</v>
          </cell>
          <cell r="K11533" t="str">
            <v>Ecommerce</v>
          </cell>
          <cell r="L11533" t="str">
            <v>Marketing</v>
          </cell>
          <cell r="N11533" t="str">
            <v>Direct Costs</v>
          </cell>
          <cell r="O11533" t="str">
            <v>Tiktok</v>
          </cell>
        </row>
        <row r="11534">
          <cell r="D11534">
            <v>2003.81</v>
          </cell>
          <cell r="H11534">
            <v>45931</v>
          </cell>
          <cell r="I11534" t="str">
            <v>6286 - SEM</v>
          </cell>
          <cell r="J11534" t="str">
            <v>Ecommerce (US)</v>
          </cell>
          <cell r="K11534" t="str">
            <v>Ecommerce</v>
          </cell>
          <cell r="L11534" t="str">
            <v>Marketing</v>
          </cell>
          <cell r="N11534" t="str">
            <v>Direct Costs</v>
          </cell>
          <cell r="O11534" t="str">
            <v>Amazon</v>
          </cell>
        </row>
        <row r="11535">
          <cell r="D11535">
            <v>2010.71</v>
          </cell>
          <cell r="H11535">
            <v>45931</v>
          </cell>
          <cell r="I11535" t="str">
            <v>6286 - SEM</v>
          </cell>
          <cell r="J11535" t="str">
            <v>Ecommerce (US)</v>
          </cell>
          <cell r="K11535" t="str">
            <v>Ecommerce</v>
          </cell>
          <cell r="L11535" t="str">
            <v>Marketing</v>
          </cell>
          <cell r="N11535" t="str">
            <v>Direct Costs</v>
          </cell>
          <cell r="O11535" t="str">
            <v>Amazon</v>
          </cell>
        </row>
        <row r="11536">
          <cell r="D11536">
            <v>1112</v>
          </cell>
          <cell r="H11536">
            <v>45931</v>
          </cell>
          <cell r="I11536" t="str">
            <v>6286 - SEM</v>
          </cell>
          <cell r="J11536" t="str">
            <v>Ecommerce (US)</v>
          </cell>
          <cell r="K11536" t="str">
            <v>Ecommerce</v>
          </cell>
          <cell r="L11536" t="str">
            <v>Marketing</v>
          </cell>
          <cell r="N11536" t="str">
            <v>Direct Costs</v>
          </cell>
          <cell r="O11536" t="str">
            <v>Tiktok</v>
          </cell>
        </row>
        <row r="11537">
          <cell r="D11537">
            <v>2034.89</v>
          </cell>
          <cell r="H11537">
            <v>45931</v>
          </cell>
          <cell r="I11537" t="str">
            <v>6286 - SEM</v>
          </cell>
          <cell r="J11537" t="str">
            <v>Ecommerce (US)</v>
          </cell>
          <cell r="K11537" t="str">
            <v>Ecommerce</v>
          </cell>
          <cell r="L11537" t="str">
            <v>Marketing</v>
          </cell>
          <cell r="N11537" t="str">
            <v>Direct Costs</v>
          </cell>
          <cell r="O11537" t="str">
            <v>Amazon</v>
          </cell>
        </row>
        <row r="11538">
          <cell r="D11538">
            <v>2007.55</v>
          </cell>
          <cell r="H11538">
            <v>45931</v>
          </cell>
          <cell r="I11538" t="str">
            <v>6286 - SEM</v>
          </cell>
          <cell r="J11538" t="str">
            <v>Ecommerce (US)</v>
          </cell>
          <cell r="K11538" t="str">
            <v>Ecommerce</v>
          </cell>
          <cell r="L11538" t="str">
            <v>Marketing</v>
          </cell>
          <cell r="N11538" t="str">
            <v>Direct Costs</v>
          </cell>
          <cell r="O11538" t="str">
            <v>Amazon</v>
          </cell>
        </row>
        <row r="11539">
          <cell r="D11539">
            <v>1722.1</v>
          </cell>
          <cell r="H11539">
            <v>45931</v>
          </cell>
          <cell r="I11539" t="str">
            <v>6286 - SEM</v>
          </cell>
          <cell r="J11539" t="str">
            <v>Ecommerce (US)</v>
          </cell>
          <cell r="K11539" t="str">
            <v>Ecommerce</v>
          </cell>
          <cell r="L11539" t="str">
            <v>Marketing</v>
          </cell>
          <cell r="N11539" t="str">
            <v>Direct Costs</v>
          </cell>
          <cell r="O11539" t="str">
            <v>Tiktok</v>
          </cell>
        </row>
        <row r="11540">
          <cell r="D11540">
            <v>2011.42</v>
          </cell>
          <cell r="H11540">
            <v>45931</v>
          </cell>
          <cell r="I11540" t="str">
            <v>6286 - SEM</v>
          </cell>
          <cell r="J11540" t="str">
            <v>Ecommerce (US)</v>
          </cell>
          <cell r="K11540" t="str">
            <v>Ecommerce</v>
          </cell>
          <cell r="L11540" t="str">
            <v>Marketing</v>
          </cell>
          <cell r="N11540" t="str">
            <v>Direct Costs</v>
          </cell>
          <cell r="O11540" t="str">
            <v>Amazon</v>
          </cell>
        </row>
        <row r="11541">
          <cell r="D11541">
            <v>2002.9</v>
          </cell>
          <cell r="H11541">
            <v>45931</v>
          </cell>
          <cell r="I11541" t="str">
            <v>6286 - SEM</v>
          </cell>
          <cell r="J11541" t="str">
            <v>Ecommerce (US)</v>
          </cell>
          <cell r="K11541" t="str">
            <v>Ecommerce</v>
          </cell>
          <cell r="L11541" t="str">
            <v>Marketing</v>
          </cell>
          <cell r="N11541" t="str">
            <v>Direct Costs</v>
          </cell>
          <cell r="O11541" t="str">
            <v>Amazon</v>
          </cell>
        </row>
        <row r="11542">
          <cell r="D11542">
            <v>2012.45</v>
          </cell>
          <cell r="H11542">
            <v>45931</v>
          </cell>
          <cell r="I11542" t="str">
            <v>6286 - SEM</v>
          </cell>
          <cell r="J11542" t="str">
            <v>Ecommerce (US)</v>
          </cell>
          <cell r="K11542" t="str">
            <v>Ecommerce</v>
          </cell>
          <cell r="L11542" t="str">
            <v>Marketing</v>
          </cell>
          <cell r="N11542" t="str">
            <v>Direct Costs</v>
          </cell>
          <cell r="O11542" t="str">
            <v>Amazon</v>
          </cell>
        </row>
        <row r="11543">
          <cell r="D11543">
            <v>1508.09</v>
          </cell>
          <cell r="H11543">
            <v>45931</v>
          </cell>
          <cell r="I11543" t="str">
            <v>6286 - SEM</v>
          </cell>
          <cell r="J11543" t="str">
            <v>Ecommerce (US)</v>
          </cell>
          <cell r="K11543" t="str">
            <v>Ecommerce</v>
          </cell>
          <cell r="L11543" t="str">
            <v>Marketing</v>
          </cell>
          <cell r="N11543" t="str">
            <v>Direct Costs</v>
          </cell>
          <cell r="O11543" t="str">
            <v>Amazon</v>
          </cell>
        </row>
        <row r="11544">
          <cell r="D11544">
            <v>1674.83</v>
          </cell>
          <cell r="H11544">
            <v>45931</v>
          </cell>
          <cell r="I11544" t="str">
            <v>6286 - SEM</v>
          </cell>
          <cell r="J11544" t="str">
            <v>Ecommerce (US)</v>
          </cell>
          <cell r="K11544" t="str">
            <v>Ecommerce</v>
          </cell>
          <cell r="L11544" t="str">
            <v>Marketing</v>
          </cell>
          <cell r="N11544" t="str">
            <v>Direct Costs</v>
          </cell>
          <cell r="O11544" t="str">
            <v>Tiktok</v>
          </cell>
        </row>
        <row r="11545">
          <cell r="D11545">
            <v>237619.97</v>
          </cell>
          <cell r="H11545">
            <v>45931</v>
          </cell>
          <cell r="I11545" t="str">
            <v>6286 - SEM</v>
          </cell>
          <cell r="J11545" t="str">
            <v>Ecommerce (US)</v>
          </cell>
          <cell r="K11545" t="str">
            <v>Ecommerce</v>
          </cell>
          <cell r="L11545" t="str">
            <v>Marketing</v>
          </cell>
          <cell r="N11545" t="str">
            <v>Direct Costs</v>
          </cell>
          <cell r="O11545" t="str">
            <v>Google</v>
          </cell>
        </row>
        <row r="11546">
          <cell r="D11546">
            <v>5791.95</v>
          </cell>
          <cell r="H11546">
            <v>45931</v>
          </cell>
          <cell r="I11546" t="str">
            <v>6286 - SEM</v>
          </cell>
          <cell r="J11546" t="str">
            <v>Ecommerce (US)</v>
          </cell>
          <cell r="K11546" t="str">
            <v>Ecommerce</v>
          </cell>
          <cell r="L11546" t="str">
            <v>Marketing</v>
          </cell>
          <cell r="N11546" t="str">
            <v>Direct Costs</v>
          </cell>
          <cell r="O11546" t="str">
            <v>Meta Platforms, Inc</v>
          </cell>
        </row>
        <row r="11547">
          <cell r="D11547">
            <v>13596.74</v>
          </cell>
          <cell r="H11547">
            <v>45931</v>
          </cell>
          <cell r="I11547" t="str">
            <v>6286 - SEM</v>
          </cell>
          <cell r="J11547" t="str">
            <v>Ecommerce (US)</v>
          </cell>
          <cell r="K11547" t="str">
            <v>Ecommerce</v>
          </cell>
          <cell r="L11547" t="str">
            <v>Marketing</v>
          </cell>
          <cell r="N11547" t="str">
            <v>Direct Costs</v>
          </cell>
          <cell r="O11547" t="str">
            <v>Meta Platforms, Inc</v>
          </cell>
        </row>
        <row r="11548">
          <cell r="D11548">
            <v>-0.39</v>
          </cell>
          <cell r="H11548">
            <v>45931</v>
          </cell>
          <cell r="I11548" t="str">
            <v>6286 - SEM</v>
          </cell>
          <cell r="J11548" t="str">
            <v>Ecommerce (US)</v>
          </cell>
          <cell r="K11548" t="str">
            <v>Ecommerce</v>
          </cell>
          <cell r="L11548" t="str">
            <v>Marketing</v>
          </cell>
          <cell r="N11548" t="str">
            <v>Direct Costs</v>
          </cell>
          <cell r="O11548" t="str">
            <v>Meta Platforms, Inc</v>
          </cell>
        </row>
        <row r="11549">
          <cell r="D11549">
            <v>26134.02</v>
          </cell>
          <cell r="H11549">
            <v>45931</v>
          </cell>
          <cell r="I11549" t="str">
            <v>6286 - SEM</v>
          </cell>
          <cell r="J11549" t="str">
            <v>Ecommerce (US)</v>
          </cell>
          <cell r="K11549" t="str">
            <v>Ecommerce</v>
          </cell>
          <cell r="L11549" t="str">
            <v>Marketing</v>
          </cell>
          <cell r="N11549" t="str">
            <v>Direct Costs</v>
          </cell>
          <cell r="O11549" t="str">
            <v>Meta Platforms, Inc</v>
          </cell>
        </row>
        <row r="11550">
          <cell r="D11550">
            <v>26486.59</v>
          </cell>
          <cell r="H11550">
            <v>45931</v>
          </cell>
          <cell r="I11550" t="str">
            <v>6286 - SEM</v>
          </cell>
          <cell r="J11550" t="str">
            <v>Ecommerce (US)</v>
          </cell>
          <cell r="K11550" t="str">
            <v>Ecommerce</v>
          </cell>
          <cell r="L11550" t="str">
            <v>Marketing</v>
          </cell>
          <cell r="N11550" t="str">
            <v>Direct Costs</v>
          </cell>
          <cell r="O11550" t="str">
            <v>Meta Platforms, Inc</v>
          </cell>
        </row>
        <row r="11551">
          <cell r="D11551">
            <v>13527.3</v>
          </cell>
          <cell r="H11551">
            <v>45931</v>
          </cell>
          <cell r="I11551" t="str">
            <v>6286 - SEM</v>
          </cell>
          <cell r="J11551" t="str">
            <v>Ecommerce (US)</v>
          </cell>
          <cell r="K11551" t="str">
            <v>Ecommerce</v>
          </cell>
          <cell r="L11551" t="str">
            <v>Marketing</v>
          </cell>
          <cell r="N11551" t="str">
            <v>Direct Costs</v>
          </cell>
          <cell r="O11551" t="str">
            <v>Meta Platforms, Inc</v>
          </cell>
        </row>
        <row r="11552">
          <cell r="D11552">
            <v>6097.4</v>
          </cell>
          <cell r="H11552">
            <v>45931</v>
          </cell>
          <cell r="I11552" t="str">
            <v>6286 - SEM</v>
          </cell>
          <cell r="J11552" t="str">
            <v>Ecommerce (US)</v>
          </cell>
          <cell r="K11552" t="str">
            <v>Ecommerce</v>
          </cell>
          <cell r="L11552" t="str">
            <v>Marketing</v>
          </cell>
          <cell r="N11552" t="str">
            <v>Direct Costs</v>
          </cell>
          <cell r="O11552" t="str">
            <v>Meta Platforms, Inc</v>
          </cell>
        </row>
        <row r="11553">
          <cell r="D11553">
            <v>23215.58</v>
          </cell>
          <cell r="H11553">
            <v>45931</v>
          </cell>
          <cell r="I11553" t="str">
            <v>6286 - SEM</v>
          </cell>
          <cell r="J11553" t="str">
            <v>Ecommerce (US)</v>
          </cell>
          <cell r="K11553" t="str">
            <v>Ecommerce</v>
          </cell>
          <cell r="L11553" t="str">
            <v>Marketing</v>
          </cell>
          <cell r="N11553" t="str">
            <v>Direct Costs</v>
          </cell>
          <cell r="O11553" t="str">
            <v>Meta Platforms, Inc</v>
          </cell>
        </row>
        <row r="11554">
          <cell r="D11554">
            <v>43926.63</v>
          </cell>
          <cell r="H11554">
            <v>45931</v>
          </cell>
          <cell r="I11554" t="str">
            <v>6286 - SEM</v>
          </cell>
          <cell r="J11554" t="str">
            <v>Ecommerce (US)</v>
          </cell>
          <cell r="K11554" t="str">
            <v>Ecommerce</v>
          </cell>
          <cell r="L11554" t="str">
            <v>Marketing</v>
          </cell>
          <cell r="N11554" t="str">
            <v>Direct Costs</v>
          </cell>
          <cell r="O11554" t="str">
            <v>Meta Platforms, Inc</v>
          </cell>
        </row>
        <row r="11555">
          <cell r="D11555">
            <v>33509.919999999998</v>
          </cell>
          <cell r="H11555">
            <v>45931</v>
          </cell>
          <cell r="I11555" t="str">
            <v>6286 - SEM</v>
          </cell>
          <cell r="J11555" t="str">
            <v>Ecommerce (US)</v>
          </cell>
          <cell r="K11555" t="str">
            <v>Ecommerce</v>
          </cell>
          <cell r="L11555" t="str">
            <v>Marketing</v>
          </cell>
          <cell r="N11555" t="str">
            <v>Direct Costs</v>
          </cell>
          <cell r="O11555" t="str">
            <v>Meta Platforms, Inc</v>
          </cell>
        </row>
        <row r="11556">
          <cell r="D11556">
            <v>8601.17</v>
          </cell>
          <cell r="H11556">
            <v>45931</v>
          </cell>
          <cell r="I11556" t="str">
            <v>6286 - SEM</v>
          </cell>
          <cell r="J11556" t="str">
            <v>Ecommerce (US)</v>
          </cell>
          <cell r="K11556" t="str">
            <v>Ecommerce</v>
          </cell>
          <cell r="L11556" t="str">
            <v>Marketing</v>
          </cell>
          <cell r="N11556" t="str">
            <v>Direct Costs</v>
          </cell>
          <cell r="O11556" t="str">
            <v>Meta Platforms, Inc</v>
          </cell>
        </row>
        <row r="11557">
          <cell r="D11557">
            <v>0</v>
          </cell>
          <cell r="H11557">
            <v>45931</v>
          </cell>
          <cell r="I11557" t="str">
            <v>6286 - SEM</v>
          </cell>
          <cell r="J11557" t="str">
            <v>Ecommerce (US)</v>
          </cell>
          <cell r="K11557" t="str">
            <v>Ecommerce</v>
          </cell>
          <cell r="L11557" t="str">
            <v>Marketing</v>
          </cell>
          <cell r="N11557" t="str">
            <v>Direct Costs</v>
          </cell>
          <cell r="O11557" t="str">
            <v>[No Vendor]</v>
          </cell>
        </row>
        <row r="11558">
          <cell r="D11558">
            <v>500</v>
          </cell>
          <cell r="H11558">
            <v>45931</v>
          </cell>
          <cell r="I11558" t="str">
            <v>6288 - Model</v>
          </cell>
          <cell r="J11558">
            <v>0</v>
          </cell>
          <cell r="K11558" t="str">
            <v>Brand Marketing</v>
          </cell>
          <cell r="L11558" t="str">
            <v>Advertising</v>
          </cell>
          <cell r="N11558" t="str">
            <v>SG&amp;A</v>
          </cell>
          <cell r="O11558" t="str">
            <v>Izaiah  W Baffoe</v>
          </cell>
        </row>
        <row r="11559">
          <cell r="D11559">
            <v>1299.29</v>
          </cell>
          <cell r="H11559">
            <v>45931</v>
          </cell>
          <cell r="I11559" t="str">
            <v>6288 - Model</v>
          </cell>
          <cell r="J11559">
            <v>0</v>
          </cell>
          <cell r="K11559" t="str">
            <v>Brand Marketing</v>
          </cell>
          <cell r="L11559" t="str">
            <v>Advertising</v>
          </cell>
          <cell r="N11559" t="str">
            <v>SG&amp;A</v>
          </cell>
          <cell r="O11559" t="str">
            <v>Emily Knapton</v>
          </cell>
        </row>
        <row r="11560">
          <cell r="D11560">
            <v>3000</v>
          </cell>
          <cell r="H11560">
            <v>45931</v>
          </cell>
          <cell r="I11560" t="str">
            <v>6288 - Model</v>
          </cell>
          <cell r="J11560">
            <v>0</v>
          </cell>
          <cell r="K11560" t="str">
            <v>Brand Marketing</v>
          </cell>
          <cell r="L11560" t="str">
            <v>Advertising</v>
          </cell>
          <cell r="N11560" t="str">
            <v>SG&amp;A</v>
          </cell>
          <cell r="O11560" t="str">
            <v>The Night Hawk Unlimited LLC</v>
          </cell>
        </row>
        <row r="11561">
          <cell r="D11561">
            <v>8107.03</v>
          </cell>
          <cell r="H11561">
            <v>45931</v>
          </cell>
          <cell r="I11561" t="str">
            <v>6289 - Seeding / Product Placement</v>
          </cell>
          <cell r="J11561">
            <v>0</v>
          </cell>
          <cell r="K11561" t="str">
            <v>Brand Marketing</v>
          </cell>
          <cell r="L11561" t="str">
            <v>Advertising</v>
          </cell>
          <cell r="N11561" t="str">
            <v>SG&amp;A</v>
          </cell>
          <cell r="O11561" t="str">
            <v>[No Vendor]</v>
          </cell>
        </row>
        <row r="11562">
          <cell r="D11562">
            <v>1833.75</v>
          </cell>
          <cell r="H11562">
            <v>45931</v>
          </cell>
          <cell r="I11562" t="str">
            <v>6300 - Payroll Service Fees</v>
          </cell>
          <cell r="J11562">
            <v>0</v>
          </cell>
          <cell r="K11562" t="str">
            <v>Administration</v>
          </cell>
          <cell r="L11562" t="str">
            <v>Professional Service</v>
          </cell>
          <cell r="N11562" t="str">
            <v>SG&amp;A</v>
          </cell>
          <cell r="O11562" t="str">
            <v>OperationsInc, LLC</v>
          </cell>
        </row>
        <row r="11563">
          <cell r="D11563">
            <v>516.58000000000004</v>
          </cell>
          <cell r="H11563">
            <v>45931</v>
          </cell>
          <cell r="I11563" t="str">
            <v>6300 - Payroll Service Fees</v>
          </cell>
          <cell r="J11563">
            <v>0</v>
          </cell>
          <cell r="K11563" t="str">
            <v>Administration</v>
          </cell>
          <cell r="L11563" t="str">
            <v>Professional Service</v>
          </cell>
          <cell r="N11563" t="str">
            <v>SG&amp;A</v>
          </cell>
          <cell r="O11563" t="str">
            <v>ADP Payroll Services</v>
          </cell>
        </row>
        <row r="11564">
          <cell r="D11564">
            <v>1670</v>
          </cell>
          <cell r="H11564">
            <v>45931</v>
          </cell>
          <cell r="I11564" t="str">
            <v>6300 - Payroll Service Fees</v>
          </cell>
          <cell r="J11564">
            <v>0</v>
          </cell>
          <cell r="K11564" t="str">
            <v>Administration</v>
          </cell>
          <cell r="L11564" t="str">
            <v>Professional Service</v>
          </cell>
          <cell r="N11564" t="str">
            <v>SG&amp;A</v>
          </cell>
          <cell r="O11564" t="str">
            <v>OperationsInc, LLC</v>
          </cell>
        </row>
        <row r="11565">
          <cell r="D11565">
            <v>309.74</v>
          </cell>
          <cell r="H11565">
            <v>45931</v>
          </cell>
          <cell r="I11565" t="str">
            <v>6300 - Payroll Service Fees</v>
          </cell>
          <cell r="J11565">
            <v>0</v>
          </cell>
          <cell r="K11565" t="str">
            <v>Administration</v>
          </cell>
          <cell r="L11565" t="str">
            <v>Professional Service</v>
          </cell>
          <cell r="N11565" t="str">
            <v>SG&amp;A</v>
          </cell>
          <cell r="O11565" t="str">
            <v>ADP Payroll Services</v>
          </cell>
        </row>
        <row r="11566">
          <cell r="D11566">
            <v>585</v>
          </cell>
          <cell r="H11566">
            <v>45931</v>
          </cell>
          <cell r="I11566" t="str">
            <v>6300 - Payroll Service Fees</v>
          </cell>
          <cell r="J11566">
            <v>0</v>
          </cell>
          <cell r="K11566" t="str">
            <v>Administration</v>
          </cell>
          <cell r="L11566" t="str">
            <v>Professional Service</v>
          </cell>
          <cell r="N11566" t="str">
            <v>SG&amp;A</v>
          </cell>
          <cell r="O11566" t="str">
            <v>OperationsInc, LLC</v>
          </cell>
        </row>
        <row r="11567">
          <cell r="D11567">
            <v>1162.5</v>
          </cell>
          <cell r="H11567">
            <v>45931</v>
          </cell>
          <cell r="I11567" t="str">
            <v>6300 - Payroll Service Fees</v>
          </cell>
          <cell r="J11567">
            <v>0</v>
          </cell>
          <cell r="K11567" t="str">
            <v>Administration</v>
          </cell>
          <cell r="L11567" t="str">
            <v>Professional Service</v>
          </cell>
          <cell r="N11567" t="str">
            <v>SG&amp;A</v>
          </cell>
          <cell r="O11567" t="str">
            <v>OperationsInc, LLC</v>
          </cell>
        </row>
        <row r="11568">
          <cell r="D11568">
            <v>467.56</v>
          </cell>
          <cell r="H11568">
            <v>45931</v>
          </cell>
          <cell r="I11568" t="str">
            <v>6300 - Payroll Service Fees</v>
          </cell>
          <cell r="J11568">
            <v>0</v>
          </cell>
          <cell r="K11568" t="str">
            <v>Administration</v>
          </cell>
          <cell r="L11568" t="str">
            <v>Professional Service</v>
          </cell>
          <cell r="N11568" t="str">
            <v>SG&amp;A</v>
          </cell>
          <cell r="O11568" t="str">
            <v>ADP Payroll Services</v>
          </cell>
        </row>
        <row r="11569">
          <cell r="D11569">
            <v>386.25</v>
          </cell>
          <cell r="H11569">
            <v>45931</v>
          </cell>
          <cell r="I11569" t="str">
            <v>6300 - Payroll Service Fees</v>
          </cell>
          <cell r="J11569">
            <v>0</v>
          </cell>
          <cell r="K11569" t="str">
            <v>Administration</v>
          </cell>
          <cell r="L11569" t="str">
            <v>Professional Service</v>
          </cell>
          <cell r="N11569" t="str">
            <v>SG&amp;A</v>
          </cell>
          <cell r="O11569" t="str">
            <v>OperationsInc, LLC</v>
          </cell>
        </row>
        <row r="11570">
          <cell r="D11570">
            <v>975</v>
          </cell>
          <cell r="H11570">
            <v>45931</v>
          </cell>
          <cell r="I11570" t="str">
            <v>6300 - Payroll Service Fees</v>
          </cell>
          <cell r="J11570">
            <v>0</v>
          </cell>
          <cell r="K11570" t="str">
            <v>Administration</v>
          </cell>
          <cell r="L11570" t="str">
            <v>Professional Service</v>
          </cell>
          <cell r="N11570" t="str">
            <v>SG&amp;A</v>
          </cell>
          <cell r="O11570" t="str">
            <v>OperationsInc, LLC</v>
          </cell>
        </row>
        <row r="11571">
          <cell r="D11571">
            <v>527.9</v>
          </cell>
          <cell r="H11571">
            <v>45931</v>
          </cell>
          <cell r="I11571" t="str">
            <v>6300 - Payroll Service Fees</v>
          </cell>
          <cell r="J11571">
            <v>0</v>
          </cell>
          <cell r="K11571" t="str">
            <v>Administration</v>
          </cell>
          <cell r="L11571" t="str">
            <v>Professional Service</v>
          </cell>
          <cell r="N11571" t="str">
            <v>SG&amp;A</v>
          </cell>
          <cell r="O11571" t="str">
            <v>ADP Payroll Services</v>
          </cell>
        </row>
        <row r="11572">
          <cell r="D11572">
            <v>30113.77</v>
          </cell>
          <cell r="H11572">
            <v>45931</v>
          </cell>
          <cell r="I11572" t="str">
            <v>6320 - Building Rent</v>
          </cell>
          <cell r="J11572">
            <v>0</v>
          </cell>
          <cell r="K11572" t="str">
            <v>Administration</v>
          </cell>
          <cell r="L11572" t="str">
            <v>Rent</v>
          </cell>
          <cell r="N11572" t="str">
            <v>SG&amp;A</v>
          </cell>
          <cell r="O11572" t="str">
            <v>Antelope LLC</v>
          </cell>
        </row>
        <row r="11573">
          <cell r="D11573">
            <v>-30113.77</v>
          </cell>
          <cell r="H11573">
            <v>45931</v>
          </cell>
          <cell r="I11573" t="str">
            <v>6320 - Building Rent</v>
          </cell>
          <cell r="J11573">
            <v>0</v>
          </cell>
          <cell r="K11573" t="str">
            <v>Administration</v>
          </cell>
          <cell r="L11573" t="str">
            <v>Rent</v>
          </cell>
          <cell r="N11573" t="str">
            <v>SG&amp;A</v>
          </cell>
          <cell r="O11573" t="str">
            <v>[No Vendor]</v>
          </cell>
        </row>
        <row r="11574">
          <cell r="D11574">
            <v>1034.31</v>
          </cell>
          <cell r="H11574">
            <v>45931</v>
          </cell>
          <cell r="I11574" t="str">
            <v>6340 - Miscellaneous Expense</v>
          </cell>
          <cell r="J11574">
            <v>0</v>
          </cell>
          <cell r="K11574" t="str">
            <v>Administration</v>
          </cell>
          <cell r="L11574" t="str">
            <v>Other</v>
          </cell>
          <cell r="N11574" t="str">
            <v>SG&amp;A</v>
          </cell>
          <cell r="O11574" t="str">
            <v>Go Gleem LLC</v>
          </cell>
        </row>
        <row r="11575">
          <cell r="D11575">
            <v>14.41</v>
          </cell>
          <cell r="H11575">
            <v>45931</v>
          </cell>
          <cell r="I11575" t="str">
            <v>6340 - Miscellaneous Expense</v>
          </cell>
          <cell r="J11575">
            <v>0</v>
          </cell>
          <cell r="K11575" t="str">
            <v>Administration</v>
          </cell>
          <cell r="L11575" t="str">
            <v>Other</v>
          </cell>
          <cell r="N11575" t="str">
            <v>SG&amp;A</v>
          </cell>
          <cell r="O11575" t="str">
            <v>Leila NA</v>
          </cell>
        </row>
        <row r="11576">
          <cell r="D11576">
            <v>329.97</v>
          </cell>
          <cell r="H11576">
            <v>45931</v>
          </cell>
          <cell r="I11576" t="str">
            <v>6340 - Miscellaneous Expense</v>
          </cell>
          <cell r="J11576">
            <v>0</v>
          </cell>
          <cell r="K11576" t="str">
            <v>Brand Marketing</v>
          </cell>
          <cell r="L11576" t="str">
            <v>Other</v>
          </cell>
          <cell r="N11576" t="str">
            <v>SG&amp;A</v>
          </cell>
          <cell r="O11576" t="str">
            <v>NVSN LLC</v>
          </cell>
        </row>
        <row r="11577">
          <cell r="D11577">
            <v>760.62</v>
          </cell>
          <cell r="H11577">
            <v>45931</v>
          </cell>
          <cell r="I11577" t="str">
            <v>6340 - Miscellaneous Expense</v>
          </cell>
          <cell r="J11577">
            <v>0</v>
          </cell>
          <cell r="K11577" t="str">
            <v>Administration</v>
          </cell>
          <cell r="L11577" t="str">
            <v>Other</v>
          </cell>
          <cell r="N11577" t="str">
            <v>SG&amp;A</v>
          </cell>
          <cell r="O11577" t="str">
            <v>Amazon Capital Services</v>
          </cell>
        </row>
        <row r="11578">
          <cell r="D11578">
            <v>-19.04</v>
          </cell>
          <cell r="H11578">
            <v>45931</v>
          </cell>
          <cell r="I11578" t="str">
            <v>6340 - Miscellaneous Expense</v>
          </cell>
          <cell r="J11578" t="str">
            <v>Ecommerce (US)</v>
          </cell>
          <cell r="K11578" t="str">
            <v>Ecommerce</v>
          </cell>
          <cell r="L11578" t="str">
            <v>Other</v>
          </cell>
          <cell r="N11578" t="str">
            <v>SG&amp;A</v>
          </cell>
          <cell r="O11578" t="str">
            <v>Amazon Capital Services</v>
          </cell>
        </row>
        <row r="11579">
          <cell r="D11579">
            <v>38.4</v>
          </cell>
          <cell r="H11579">
            <v>45931</v>
          </cell>
          <cell r="I11579" t="str">
            <v>6340 - Miscellaneous Expense</v>
          </cell>
          <cell r="J11579" t="str">
            <v>Ecommerce (US)</v>
          </cell>
          <cell r="K11579" t="str">
            <v>Ecommerce</v>
          </cell>
          <cell r="L11579" t="str">
            <v>Other</v>
          </cell>
          <cell r="N11579" t="str">
            <v>SG&amp;A</v>
          </cell>
          <cell r="O11579" t="str">
            <v>[No Vendor]</v>
          </cell>
        </row>
        <row r="11580">
          <cell r="D11580">
            <v>110</v>
          </cell>
          <cell r="H11580">
            <v>45931</v>
          </cell>
          <cell r="I11580" t="str">
            <v>6360 - Model - Fitting</v>
          </cell>
          <cell r="J11580">
            <v>0</v>
          </cell>
          <cell r="K11580" t="str">
            <v>Production</v>
          </cell>
          <cell r="L11580" t="str">
            <v>Sample</v>
          </cell>
          <cell r="N11580" t="str">
            <v>SG&amp;A</v>
          </cell>
          <cell r="O11580" t="str">
            <v>State Artist Management</v>
          </cell>
        </row>
        <row r="11581">
          <cell r="D11581">
            <v>550</v>
          </cell>
          <cell r="H11581">
            <v>45931</v>
          </cell>
          <cell r="I11581" t="str">
            <v>6360 - Model - Fitting</v>
          </cell>
          <cell r="J11581">
            <v>0</v>
          </cell>
          <cell r="K11581" t="str">
            <v>Production</v>
          </cell>
          <cell r="L11581" t="str">
            <v>Sample</v>
          </cell>
          <cell r="N11581" t="str">
            <v>SG&amp;A</v>
          </cell>
          <cell r="O11581" t="str">
            <v>State Artist Management</v>
          </cell>
        </row>
        <row r="11582">
          <cell r="D11582">
            <v>375</v>
          </cell>
          <cell r="H11582">
            <v>45931</v>
          </cell>
          <cell r="I11582" t="str">
            <v>6360 - Model - Fitting</v>
          </cell>
          <cell r="J11582">
            <v>0</v>
          </cell>
          <cell r="K11582" t="str">
            <v>Production</v>
          </cell>
          <cell r="L11582" t="str">
            <v>Sample</v>
          </cell>
          <cell r="N11582" t="str">
            <v>SG&amp;A</v>
          </cell>
          <cell r="O11582" t="str">
            <v>Lamar J Ballard</v>
          </cell>
        </row>
        <row r="11583">
          <cell r="D11583">
            <v>55</v>
          </cell>
          <cell r="H11583">
            <v>45931</v>
          </cell>
          <cell r="I11583" t="str">
            <v>6360 - Model - Fitting</v>
          </cell>
          <cell r="J11583">
            <v>0</v>
          </cell>
          <cell r="K11583" t="str">
            <v>Production</v>
          </cell>
          <cell r="L11583" t="str">
            <v>Sample</v>
          </cell>
          <cell r="N11583" t="str">
            <v>SG&amp;A</v>
          </cell>
          <cell r="O11583" t="str">
            <v>State Artist Management</v>
          </cell>
        </row>
        <row r="11584">
          <cell r="D11584">
            <v>275</v>
          </cell>
          <cell r="H11584">
            <v>45931</v>
          </cell>
          <cell r="I11584" t="str">
            <v>6360 - Model - Fitting</v>
          </cell>
          <cell r="J11584">
            <v>0</v>
          </cell>
          <cell r="K11584" t="str">
            <v>Production</v>
          </cell>
          <cell r="L11584" t="str">
            <v>Sample</v>
          </cell>
          <cell r="N11584" t="str">
            <v>SG&amp;A</v>
          </cell>
          <cell r="O11584" t="str">
            <v>State Artist Management</v>
          </cell>
        </row>
        <row r="11585">
          <cell r="D11585">
            <v>55</v>
          </cell>
          <cell r="H11585">
            <v>45931</v>
          </cell>
          <cell r="I11585" t="str">
            <v>6360 - Model - Fitting</v>
          </cell>
          <cell r="J11585">
            <v>0</v>
          </cell>
          <cell r="K11585" t="str">
            <v>Production</v>
          </cell>
          <cell r="L11585" t="str">
            <v>Sample</v>
          </cell>
          <cell r="N11585" t="str">
            <v>SG&amp;A</v>
          </cell>
          <cell r="O11585" t="str">
            <v>State Artist Management</v>
          </cell>
        </row>
        <row r="11586">
          <cell r="D11586">
            <v>275</v>
          </cell>
          <cell r="H11586">
            <v>45931</v>
          </cell>
          <cell r="I11586" t="str">
            <v>6360 - Model - Fitting</v>
          </cell>
          <cell r="J11586">
            <v>0</v>
          </cell>
          <cell r="K11586" t="str">
            <v>Production</v>
          </cell>
          <cell r="L11586" t="str">
            <v>Sample</v>
          </cell>
          <cell r="N11586" t="str">
            <v>SG&amp;A</v>
          </cell>
          <cell r="O11586" t="str">
            <v>State Artist Management</v>
          </cell>
        </row>
        <row r="11587">
          <cell r="D11587">
            <v>8240</v>
          </cell>
          <cell r="H11587">
            <v>45931</v>
          </cell>
          <cell r="I11587" t="str">
            <v>6363 - Development</v>
          </cell>
          <cell r="J11587">
            <v>0</v>
          </cell>
          <cell r="K11587" t="str">
            <v>Production</v>
          </cell>
          <cell r="L11587" t="str">
            <v>Sample</v>
          </cell>
          <cell r="N11587" t="str">
            <v>SG&amp;A</v>
          </cell>
          <cell r="O11587" t="str">
            <v>Porta Asiatica Enterprises Inc</v>
          </cell>
        </row>
        <row r="11588">
          <cell r="D11588">
            <v>34252</v>
          </cell>
          <cell r="H11588">
            <v>45931</v>
          </cell>
          <cell r="I11588" t="str">
            <v>6363 - Development</v>
          </cell>
          <cell r="J11588">
            <v>0</v>
          </cell>
          <cell r="K11588" t="str">
            <v>Production</v>
          </cell>
          <cell r="L11588" t="str">
            <v>Sample</v>
          </cell>
          <cell r="N11588" t="str">
            <v>SG&amp;A</v>
          </cell>
          <cell r="O11588" t="str">
            <v>Porta Asiatica Enterprises Inc</v>
          </cell>
        </row>
        <row r="11589">
          <cell r="D11589">
            <v>517.6</v>
          </cell>
          <cell r="H11589">
            <v>45931</v>
          </cell>
          <cell r="I11589" t="str">
            <v>6370 - Samples</v>
          </cell>
          <cell r="J11589">
            <v>0</v>
          </cell>
          <cell r="K11589" t="str">
            <v>Production</v>
          </cell>
          <cell r="L11589" t="str">
            <v>Sample</v>
          </cell>
          <cell r="N11589" t="str">
            <v>SG&amp;A</v>
          </cell>
          <cell r="O11589" t="str">
            <v>Jeans Knit Private Limited</v>
          </cell>
        </row>
        <row r="11590">
          <cell r="D11590">
            <v>39.96</v>
          </cell>
          <cell r="H11590">
            <v>45931</v>
          </cell>
          <cell r="I11590" t="str">
            <v>6370 - Samples</v>
          </cell>
          <cell r="J11590">
            <v>0</v>
          </cell>
          <cell r="K11590" t="str">
            <v>Production</v>
          </cell>
          <cell r="L11590" t="str">
            <v>Sample</v>
          </cell>
          <cell r="N11590" t="str">
            <v>SG&amp;A</v>
          </cell>
          <cell r="O11590" t="str">
            <v>Shanghai Hesrro Garment Co., Ltd</v>
          </cell>
        </row>
        <row r="11591">
          <cell r="D11591">
            <v>53.65</v>
          </cell>
          <cell r="H11591">
            <v>45931</v>
          </cell>
          <cell r="I11591" t="str">
            <v>6370 - Samples</v>
          </cell>
          <cell r="J11591">
            <v>0</v>
          </cell>
          <cell r="K11591" t="str">
            <v>Production</v>
          </cell>
          <cell r="L11591" t="str">
            <v>Sample</v>
          </cell>
          <cell r="N11591" t="str">
            <v>SG&amp;A</v>
          </cell>
          <cell r="O11591" t="str">
            <v>Shanghai Hesrro Garment Co., Ltd</v>
          </cell>
        </row>
        <row r="11592">
          <cell r="D11592">
            <v>53.65</v>
          </cell>
          <cell r="H11592">
            <v>45931</v>
          </cell>
          <cell r="I11592" t="str">
            <v>6370 - Samples</v>
          </cell>
          <cell r="J11592">
            <v>0</v>
          </cell>
          <cell r="K11592" t="str">
            <v>Production</v>
          </cell>
          <cell r="L11592" t="str">
            <v>Sample</v>
          </cell>
          <cell r="N11592" t="str">
            <v>SG&amp;A</v>
          </cell>
          <cell r="O11592" t="str">
            <v>Shanghai Hesrro Garment Co., Ltd</v>
          </cell>
        </row>
        <row r="11593">
          <cell r="D11593">
            <v>60.68</v>
          </cell>
          <cell r="H11593">
            <v>45931</v>
          </cell>
          <cell r="I11593" t="str">
            <v>6370 - Samples</v>
          </cell>
          <cell r="J11593">
            <v>0</v>
          </cell>
          <cell r="K11593" t="str">
            <v>Production</v>
          </cell>
          <cell r="L11593" t="str">
            <v>Sample</v>
          </cell>
          <cell r="N11593" t="str">
            <v>SG&amp;A</v>
          </cell>
          <cell r="O11593" t="str">
            <v>Shanghai Hesrro Garment Co., Ltd</v>
          </cell>
        </row>
        <row r="11594">
          <cell r="D11594">
            <v>60.68</v>
          </cell>
          <cell r="H11594">
            <v>45931</v>
          </cell>
          <cell r="I11594" t="str">
            <v>6370 - Samples</v>
          </cell>
          <cell r="J11594">
            <v>0</v>
          </cell>
          <cell r="K11594" t="str">
            <v>Production</v>
          </cell>
          <cell r="L11594" t="str">
            <v>Sample</v>
          </cell>
          <cell r="N11594" t="str">
            <v>SG&amp;A</v>
          </cell>
          <cell r="O11594" t="str">
            <v>Shanghai Hesrro Garment Co., Ltd</v>
          </cell>
        </row>
        <row r="11595">
          <cell r="D11595">
            <v>48.84</v>
          </cell>
          <cell r="H11595">
            <v>45931</v>
          </cell>
          <cell r="I11595" t="str">
            <v>6370 - Samples</v>
          </cell>
          <cell r="J11595">
            <v>0</v>
          </cell>
          <cell r="K11595" t="str">
            <v>Production</v>
          </cell>
          <cell r="L11595" t="str">
            <v>Sample</v>
          </cell>
          <cell r="N11595" t="str">
            <v>SG&amp;A</v>
          </cell>
          <cell r="O11595" t="str">
            <v>Shanghai Hesrro Garment Co., Ltd</v>
          </cell>
        </row>
        <row r="11596">
          <cell r="D11596">
            <v>48.84</v>
          </cell>
          <cell r="H11596">
            <v>45931</v>
          </cell>
          <cell r="I11596" t="str">
            <v>6370 - Samples</v>
          </cell>
          <cell r="J11596">
            <v>0</v>
          </cell>
          <cell r="K11596" t="str">
            <v>Production</v>
          </cell>
          <cell r="L11596" t="str">
            <v>Sample</v>
          </cell>
          <cell r="N11596" t="str">
            <v>SG&amp;A</v>
          </cell>
          <cell r="O11596" t="str">
            <v>Shanghai Hesrro Garment Co., Ltd</v>
          </cell>
        </row>
        <row r="11597">
          <cell r="D11597">
            <v>63.27</v>
          </cell>
          <cell r="H11597">
            <v>45931</v>
          </cell>
          <cell r="I11597" t="str">
            <v>6370 - Samples</v>
          </cell>
          <cell r="J11597">
            <v>0</v>
          </cell>
          <cell r="K11597" t="str">
            <v>Production</v>
          </cell>
          <cell r="L11597" t="str">
            <v>Sample</v>
          </cell>
          <cell r="N11597" t="str">
            <v>SG&amp;A</v>
          </cell>
          <cell r="O11597" t="str">
            <v>Shanghai Hesrro Garment Co., Ltd</v>
          </cell>
        </row>
        <row r="11598">
          <cell r="D11598">
            <v>63.27</v>
          </cell>
          <cell r="H11598">
            <v>45931</v>
          </cell>
          <cell r="I11598" t="str">
            <v>6370 - Samples</v>
          </cell>
          <cell r="J11598">
            <v>0</v>
          </cell>
          <cell r="K11598" t="str">
            <v>Production</v>
          </cell>
          <cell r="L11598" t="str">
            <v>Sample</v>
          </cell>
          <cell r="N11598" t="str">
            <v>SG&amp;A</v>
          </cell>
          <cell r="O11598" t="str">
            <v>Shanghai Hesrro Garment Co., Ltd</v>
          </cell>
        </row>
        <row r="11599">
          <cell r="D11599">
            <v>35.89</v>
          </cell>
          <cell r="H11599">
            <v>45931</v>
          </cell>
          <cell r="I11599" t="str">
            <v>6370 - Samples</v>
          </cell>
          <cell r="J11599">
            <v>0</v>
          </cell>
          <cell r="K11599" t="str">
            <v>Production</v>
          </cell>
          <cell r="L11599" t="str">
            <v>Sample</v>
          </cell>
          <cell r="N11599" t="str">
            <v>SG&amp;A</v>
          </cell>
          <cell r="O11599" t="str">
            <v>Shanghai Hesrro Garment Co., Ltd</v>
          </cell>
        </row>
        <row r="11600">
          <cell r="D11600">
            <v>35.89</v>
          </cell>
          <cell r="H11600">
            <v>45931</v>
          </cell>
          <cell r="I11600" t="str">
            <v>6370 - Samples</v>
          </cell>
          <cell r="J11600">
            <v>0</v>
          </cell>
          <cell r="K11600" t="str">
            <v>Production</v>
          </cell>
          <cell r="L11600" t="str">
            <v>Sample</v>
          </cell>
          <cell r="N11600" t="str">
            <v>SG&amp;A</v>
          </cell>
          <cell r="O11600" t="str">
            <v>Shanghai Hesrro Garment Co., Ltd</v>
          </cell>
        </row>
        <row r="11601">
          <cell r="D11601">
            <v>49.21</v>
          </cell>
          <cell r="H11601">
            <v>45931</v>
          </cell>
          <cell r="I11601" t="str">
            <v>6370 - Samples</v>
          </cell>
          <cell r="J11601">
            <v>0</v>
          </cell>
          <cell r="K11601" t="str">
            <v>Production</v>
          </cell>
          <cell r="L11601" t="str">
            <v>Sample</v>
          </cell>
          <cell r="N11601" t="str">
            <v>SG&amp;A</v>
          </cell>
          <cell r="O11601" t="str">
            <v>Shanghai Hesrro Garment Co., Ltd</v>
          </cell>
        </row>
        <row r="11602">
          <cell r="D11602">
            <v>49.21</v>
          </cell>
          <cell r="H11602">
            <v>45931</v>
          </cell>
          <cell r="I11602" t="str">
            <v>6370 - Samples</v>
          </cell>
          <cell r="J11602">
            <v>0</v>
          </cell>
          <cell r="K11602" t="str">
            <v>Production</v>
          </cell>
          <cell r="L11602" t="str">
            <v>Sample</v>
          </cell>
          <cell r="N11602" t="str">
            <v>SG&amp;A</v>
          </cell>
          <cell r="O11602" t="str">
            <v>Shanghai Hesrro Garment Co., Ltd</v>
          </cell>
        </row>
        <row r="11603">
          <cell r="D11603">
            <v>51.06</v>
          </cell>
          <cell r="H11603">
            <v>45931</v>
          </cell>
          <cell r="I11603" t="str">
            <v>6370 - Samples</v>
          </cell>
          <cell r="J11603">
            <v>0</v>
          </cell>
          <cell r="K11603" t="str">
            <v>Production</v>
          </cell>
          <cell r="L11603" t="str">
            <v>Sample</v>
          </cell>
          <cell r="N11603" t="str">
            <v>SG&amp;A</v>
          </cell>
          <cell r="O11603" t="str">
            <v>Shanghai Hesrro Garment Co., Ltd</v>
          </cell>
        </row>
        <row r="11604">
          <cell r="D11604">
            <v>51.06</v>
          </cell>
          <cell r="H11604">
            <v>45931</v>
          </cell>
          <cell r="I11604" t="str">
            <v>6370 - Samples</v>
          </cell>
          <cell r="J11604">
            <v>0</v>
          </cell>
          <cell r="K11604" t="str">
            <v>Production</v>
          </cell>
          <cell r="L11604" t="str">
            <v>Sample</v>
          </cell>
          <cell r="N11604" t="str">
            <v>SG&amp;A</v>
          </cell>
          <cell r="O11604" t="str">
            <v>Shanghai Hesrro Garment Co., Ltd</v>
          </cell>
        </row>
        <row r="11605">
          <cell r="D11605">
            <v>48.1</v>
          </cell>
          <cell r="H11605">
            <v>45931</v>
          </cell>
          <cell r="I11605" t="str">
            <v>6370 - Samples</v>
          </cell>
          <cell r="J11605">
            <v>0</v>
          </cell>
          <cell r="K11605" t="str">
            <v>Production</v>
          </cell>
          <cell r="L11605" t="str">
            <v>Sample</v>
          </cell>
          <cell r="N11605" t="str">
            <v>SG&amp;A</v>
          </cell>
          <cell r="O11605" t="str">
            <v>Shanghai Hesrro Garment Co., Ltd</v>
          </cell>
        </row>
        <row r="11606">
          <cell r="D11606">
            <v>44.4</v>
          </cell>
          <cell r="H11606">
            <v>45931</v>
          </cell>
          <cell r="I11606" t="str">
            <v>6370 - Samples</v>
          </cell>
          <cell r="J11606">
            <v>0</v>
          </cell>
          <cell r="K11606" t="str">
            <v>Production</v>
          </cell>
          <cell r="L11606" t="str">
            <v>Sample</v>
          </cell>
          <cell r="N11606" t="str">
            <v>SG&amp;A</v>
          </cell>
          <cell r="O11606" t="str">
            <v>Shanghai Hesrro Garment Co., Ltd</v>
          </cell>
        </row>
        <row r="11607">
          <cell r="D11607">
            <v>56.98</v>
          </cell>
          <cell r="H11607">
            <v>45931</v>
          </cell>
          <cell r="I11607" t="str">
            <v>6370 - Samples</v>
          </cell>
          <cell r="J11607">
            <v>0</v>
          </cell>
          <cell r="K11607" t="str">
            <v>Production</v>
          </cell>
          <cell r="L11607" t="str">
            <v>Sample</v>
          </cell>
          <cell r="N11607" t="str">
            <v>SG&amp;A</v>
          </cell>
          <cell r="O11607" t="str">
            <v>Shanghai Hesrro Garment Co., Ltd</v>
          </cell>
        </row>
        <row r="11608">
          <cell r="D11608">
            <v>38.11</v>
          </cell>
          <cell r="H11608">
            <v>45931</v>
          </cell>
          <cell r="I11608" t="str">
            <v>6370 - Samples</v>
          </cell>
          <cell r="J11608">
            <v>0</v>
          </cell>
          <cell r="K11608" t="str">
            <v>Production</v>
          </cell>
          <cell r="L11608" t="str">
            <v>Sample</v>
          </cell>
          <cell r="N11608" t="str">
            <v>SG&amp;A</v>
          </cell>
          <cell r="O11608" t="str">
            <v>Shanghai Hesrro Garment Co., Ltd</v>
          </cell>
        </row>
        <row r="11609">
          <cell r="D11609">
            <v>38.11</v>
          </cell>
          <cell r="H11609">
            <v>45931</v>
          </cell>
          <cell r="I11609" t="str">
            <v>6370 - Samples</v>
          </cell>
          <cell r="J11609">
            <v>0</v>
          </cell>
          <cell r="K11609" t="str">
            <v>Production</v>
          </cell>
          <cell r="L11609" t="str">
            <v>Sample</v>
          </cell>
          <cell r="N11609" t="str">
            <v>SG&amp;A</v>
          </cell>
          <cell r="O11609" t="str">
            <v>Shanghai Hesrro Garment Co., Ltd</v>
          </cell>
        </row>
        <row r="11610">
          <cell r="D11610">
            <v>42.18</v>
          </cell>
          <cell r="H11610">
            <v>45931</v>
          </cell>
          <cell r="I11610" t="str">
            <v>6370 - Samples</v>
          </cell>
          <cell r="J11610">
            <v>0</v>
          </cell>
          <cell r="K11610" t="str">
            <v>Production</v>
          </cell>
          <cell r="L11610" t="str">
            <v>Sample</v>
          </cell>
          <cell r="N11610" t="str">
            <v>SG&amp;A</v>
          </cell>
          <cell r="O11610" t="str">
            <v>Shanghai Hesrro Garment Co., Ltd</v>
          </cell>
        </row>
        <row r="11611">
          <cell r="D11611">
            <v>42.18</v>
          </cell>
          <cell r="H11611">
            <v>45931</v>
          </cell>
          <cell r="I11611" t="str">
            <v>6370 - Samples</v>
          </cell>
          <cell r="J11611">
            <v>0</v>
          </cell>
          <cell r="K11611" t="str">
            <v>Production</v>
          </cell>
          <cell r="L11611" t="str">
            <v>Sample</v>
          </cell>
          <cell r="N11611" t="str">
            <v>SG&amp;A</v>
          </cell>
          <cell r="O11611" t="str">
            <v>Shanghai Hesrro Garment Co., Ltd</v>
          </cell>
        </row>
        <row r="11612">
          <cell r="D11612">
            <v>46.99</v>
          </cell>
          <cell r="H11612">
            <v>45931</v>
          </cell>
          <cell r="I11612" t="str">
            <v>6370 - Samples</v>
          </cell>
          <cell r="J11612">
            <v>0</v>
          </cell>
          <cell r="K11612" t="str">
            <v>Production</v>
          </cell>
          <cell r="L11612" t="str">
            <v>Sample</v>
          </cell>
          <cell r="N11612" t="str">
            <v>SG&amp;A</v>
          </cell>
          <cell r="O11612" t="str">
            <v>Shanghai Hesrro Garment Co., Ltd</v>
          </cell>
        </row>
        <row r="11613">
          <cell r="D11613">
            <v>46.99</v>
          </cell>
          <cell r="H11613">
            <v>45931</v>
          </cell>
          <cell r="I11613" t="str">
            <v>6370 - Samples</v>
          </cell>
          <cell r="J11613">
            <v>0</v>
          </cell>
          <cell r="K11613" t="str">
            <v>Production</v>
          </cell>
          <cell r="L11613" t="str">
            <v>Sample</v>
          </cell>
          <cell r="N11613" t="str">
            <v>SG&amp;A</v>
          </cell>
          <cell r="O11613" t="str">
            <v>Shanghai Hesrro Garment Co., Ltd</v>
          </cell>
        </row>
        <row r="11614">
          <cell r="D11614">
            <v>62.16</v>
          </cell>
          <cell r="H11614">
            <v>45931</v>
          </cell>
          <cell r="I11614" t="str">
            <v>6370 - Samples</v>
          </cell>
          <cell r="J11614">
            <v>0</v>
          </cell>
          <cell r="K11614" t="str">
            <v>Production</v>
          </cell>
          <cell r="L11614" t="str">
            <v>Sample</v>
          </cell>
          <cell r="N11614" t="str">
            <v>SG&amp;A</v>
          </cell>
          <cell r="O11614" t="str">
            <v>Shanghai Hesrro Garment Co., Ltd</v>
          </cell>
        </row>
        <row r="11615">
          <cell r="D11615">
            <v>62.16</v>
          </cell>
          <cell r="H11615">
            <v>45931</v>
          </cell>
          <cell r="I11615" t="str">
            <v>6370 - Samples</v>
          </cell>
          <cell r="J11615">
            <v>0</v>
          </cell>
          <cell r="K11615" t="str">
            <v>Production</v>
          </cell>
          <cell r="L11615" t="str">
            <v>Sample</v>
          </cell>
          <cell r="N11615" t="str">
            <v>SG&amp;A</v>
          </cell>
          <cell r="O11615" t="str">
            <v>Shanghai Hesrro Garment Co., Ltd</v>
          </cell>
        </row>
        <row r="11616">
          <cell r="D11616">
            <v>39.96</v>
          </cell>
          <cell r="H11616">
            <v>45931</v>
          </cell>
          <cell r="I11616" t="str">
            <v>6370 - Samples</v>
          </cell>
          <cell r="J11616">
            <v>0</v>
          </cell>
          <cell r="K11616" t="str">
            <v>Production</v>
          </cell>
          <cell r="L11616" t="str">
            <v>Sample</v>
          </cell>
          <cell r="N11616" t="str">
            <v>SG&amp;A</v>
          </cell>
          <cell r="O11616" t="str">
            <v>Shanghai Hesrro Garment Co., Ltd</v>
          </cell>
        </row>
        <row r="11617">
          <cell r="D11617">
            <v>39.96</v>
          </cell>
          <cell r="H11617">
            <v>45931</v>
          </cell>
          <cell r="I11617" t="str">
            <v>6370 - Samples</v>
          </cell>
          <cell r="J11617">
            <v>0</v>
          </cell>
          <cell r="K11617" t="str">
            <v>Production</v>
          </cell>
          <cell r="L11617" t="str">
            <v>Sample</v>
          </cell>
          <cell r="N11617" t="str">
            <v>SG&amp;A</v>
          </cell>
          <cell r="O11617" t="str">
            <v>Shanghai Hesrro Garment Co., Ltd</v>
          </cell>
        </row>
        <row r="11618">
          <cell r="D11618">
            <v>55.5</v>
          </cell>
          <cell r="H11618">
            <v>45931</v>
          </cell>
          <cell r="I11618" t="str">
            <v>6370 - Samples</v>
          </cell>
          <cell r="J11618">
            <v>0</v>
          </cell>
          <cell r="K11618" t="str">
            <v>Production</v>
          </cell>
          <cell r="L11618" t="str">
            <v>Sample</v>
          </cell>
          <cell r="N11618" t="str">
            <v>SG&amp;A</v>
          </cell>
          <cell r="O11618" t="str">
            <v>Shanghai Hesrro Garment Co., Ltd</v>
          </cell>
        </row>
        <row r="11619">
          <cell r="D11619">
            <v>55.5</v>
          </cell>
          <cell r="H11619">
            <v>45931</v>
          </cell>
          <cell r="I11619" t="str">
            <v>6370 - Samples</v>
          </cell>
          <cell r="J11619">
            <v>0</v>
          </cell>
          <cell r="K11619" t="str">
            <v>Production</v>
          </cell>
          <cell r="L11619" t="str">
            <v>Sample</v>
          </cell>
          <cell r="N11619" t="str">
            <v>SG&amp;A</v>
          </cell>
          <cell r="O11619" t="str">
            <v>Shanghai Hesrro Garment Co., Ltd</v>
          </cell>
        </row>
        <row r="11620">
          <cell r="D11620">
            <v>51.43</v>
          </cell>
          <cell r="H11620">
            <v>45931</v>
          </cell>
          <cell r="I11620" t="str">
            <v>6370 - Samples</v>
          </cell>
          <cell r="J11620">
            <v>0</v>
          </cell>
          <cell r="K11620" t="str">
            <v>Production</v>
          </cell>
          <cell r="L11620" t="str">
            <v>Sample</v>
          </cell>
          <cell r="N11620" t="str">
            <v>SG&amp;A</v>
          </cell>
          <cell r="O11620" t="str">
            <v>Shanghai Hesrro Garment Co., Ltd</v>
          </cell>
        </row>
        <row r="11621">
          <cell r="D11621">
            <v>51.43</v>
          </cell>
          <cell r="H11621">
            <v>45931</v>
          </cell>
          <cell r="I11621" t="str">
            <v>6370 - Samples</v>
          </cell>
          <cell r="J11621">
            <v>0</v>
          </cell>
          <cell r="K11621" t="str">
            <v>Production</v>
          </cell>
          <cell r="L11621" t="str">
            <v>Sample</v>
          </cell>
          <cell r="N11621" t="str">
            <v>SG&amp;A</v>
          </cell>
          <cell r="O11621" t="str">
            <v>Shanghai Hesrro Garment Co., Ltd</v>
          </cell>
        </row>
        <row r="11622">
          <cell r="D11622">
            <v>51.43</v>
          </cell>
          <cell r="H11622">
            <v>45931</v>
          </cell>
          <cell r="I11622" t="str">
            <v>6370 - Samples</v>
          </cell>
          <cell r="J11622">
            <v>0</v>
          </cell>
          <cell r="K11622" t="str">
            <v>Production</v>
          </cell>
          <cell r="L11622" t="str">
            <v>Sample</v>
          </cell>
          <cell r="N11622" t="str">
            <v>SG&amp;A</v>
          </cell>
          <cell r="O11622" t="str">
            <v>Shanghai Hesrro Garment Co., Ltd</v>
          </cell>
        </row>
        <row r="11623">
          <cell r="D11623">
            <v>64.38</v>
          </cell>
          <cell r="H11623">
            <v>45931</v>
          </cell>
          <cell r="I11623" t="str">
            <v>6370 - Samples</v>
          </cell>
          <cell r="J11623">
            <v>0</v>
          </cell>
          <cell r="K11623" t="str">
            <v>Production</v>
          </cell>
          <cell r="L11623" t="str">
            <v>Sample</v>
          </cell>
          <cell r="N11623" t="str">
            <v>SG&amp;A</v>
          </cell>
          <cell r="O11623" t="str">
            <v>Shanghai Hesrro Garment Co., Ltd</v>
          </cell>
        </row>
        <row r="11624">
          <cell r="D11624">
            <v>64.38</v>
          </cell>
          <cell r="H11624">
            <v>45931</v>
          </cell>
          <cell r="I11624" t="str">
            <v>6370 - Samples</v>
          </cell>
          <cell r="J11624">
            <v>0</v>
          </cell>
          <cell r="K11624" t="str">
            <v>Production</v>
          </cell>
          <cell r="L11624" t="str">
            <v>Sample</v>
          </cell>
          <cell r="N11624" t="str">
            <v>SG&amp;A</v>
          </cell>
          <cell r="O11624" t="str">
            <v>Shanghai Hesrro Garment Co., Ltd</v>
          </cell>
        </row>
        <row r="11625">
          <cell r="D11625">
            <v>64.38</v>
          </cell>
          <cell r="H11625">
            <v>45931</v>
          </cell>
          <cell r="I11625" t="str">
            <v>6370 - Samples</v>
          </cell>
          <cell r="J11625">
            <v>0</v>
          </cell>
          <cell r="K11625" t="str">
            <v>Production</v>
          </cell>
          <cell r="L11625" t="str">
            <v>Sample</v>
          </cell>
          <cell r="N11625" t="str">
            <v>SG&amp;A</v>
          </cell>
          <cell r="O11625" t="str">
            <v>Shanghai Hesrro Garment Co., Ltd</v>
          </cell>
        </row>
        <row r="11626">
          <cell r="D11626">
            <v>2581.1999999999998</v>
          </cell>
          <cell r="H11626">
            <v>45931</v>
          </cell>
          <cell r="I11626" t="str">
            <v>6370 - Samples</v>
          </cell>
          <cell r="J11626">
            <v>0</v>
          </cell>
          <cell r="K11626" t="str">
            <v>Production</v>
          </cell>
          <cell r="L11626" t="str">
            <v>Sample</v>
          </cell>
          <cell r="N11626" t="str">
            <v>SG&amp;A</v>
          </cell>
          <cell r="O11626" t="str">
            <v>Sara Fashion Wear Ltd.</v>
          </cell>
        </row>
        <row r="11627">
          <cell r="D11627">
            <v>6867.14</v>
          </cell>
          <cell r="H11627">
            <v>45931</v>
          </cell>
          <cell r="I11627" t="str">
            <v>6370 - Samples</v>
          </cell>
          <cell r="J11627">
            <v>0</v>
          </cell>
          <cell r="K11627" t="str">
            <v>Production</v>
          </cell>
          <cell r="L11627" t="str">
            <v>Sample</v>
          </cell>
          <cell r="N11627" t="str">
            <v>SG&amp;A</v>
          </cell>
          <cell r="O11627" t="str">
            <v>Porta Asiatica Enterprises Inc</v>
          </cell>
        </row>
        <row r="11628">
          <cell r="D11628">
            <v>717.28</v>
          </cell>
          <cell r="H11628">
            <v>45931</v>
          </cell>
          <cell r="I11628" t="str">
            <v>6370 - Samples</v>
          </cell>
          <cell r="J11628">
            <v>0</v>
          </cell>
          <cell r="K11628" t="str">
            <v>Production</v>
          </cell>
          <cell r="L11628" t="str">
            <v>Sample</v>
          </cell>
          <cell r="N11628" t="str">
            <v>SG&amp;A</v>
          </cell>
          <cell r="O11628" t="str">
            <v>Thong Thai Textile</v>
          </cell>
        </row>
        <row r="11629">
          <cell r="D11629">
            <v>74</v>
          </cell>
          <cell r="H11629">
            <v>45931</v>
          </cell>
          <cell r="I11629" t="str">
            <v>6370 - Samples</v>
          </cell>
          <cell r="J11629">
            <v>0</v>
          </cell>
          <cell r="K11629" t="str">
            <v>Design</v>
          </cell>
          <cell r="L11629" t="str">
            <v>Sample</v>
          </cell>
          <cell r="N11629" t="str">
            <v>SG&amp;A</v>
          </cell>
          <cell r="O11629" t="str">
            <v>Roberta Kruminaite</v>
          </cell>
        </row>
        <row r="11630">
          <cell r="D11630">
            <v>359.25</v>
          </cell>
          <cell r="H11630">
            <v>45931</v>
          </cell>
          <cell r="I11630" t="str">
            <v>6370 - Samples</v>
          </cell>
          <cell r="J11630">
            <v>0</v>
          </cell>
          <cell r="K11630" t="str">
            <v>Production</v>
          </cell>
          <cell r="L11630" t="str">
            <v>Sample</v>
          </cell>
          <cell r="N11630" t="str">
            <v>SG&amp;A</v>
          </cell>
          <cell r="O11630" t="str">
            <v>[No Vendor]</v>
          </cell>
        </row>
        <row r="11631">
          <cell r="D11631">
            <v>17</v>
          </cell>
          <cell r="H11631">
            <v>45931</v>
          </cell>
          <cell r="I11631" t="str">
            <v>6375 - Freight Expenses</v>
          </cell>
          <cell r="J11631">
            <v>0</v>
          </cell>
          <cell r="K11631" t="str">
            <v>Production</v>
          </cell>
          <cell r="L11631" t="str">
            <v>Freight</v>
          </cell>
          <cell r="N11631" t="str">
            <v>Direct Costs</v>
          </cell>
          <cell r="O11631" t="str">
            <v>DHL Express - USA</v>
          </cell>
        </row>
        <row r="11632">
          <cell r="D11632">
            <v>1.31</v>
          </cell>
          <cell r="H11632">
            <v>45931</v>
          </cell>
          <cell r="I11632" t="str">
            <v>6375 - Freight Expenses</v>
          </cell>
          <cell r="J11632">
            <v>0</v>
          </cell>
          <cell r="K11632" t="str">
            <v>Production</v>
          </cell>
          <cell r="L11632" t="str">
            <v>Freight</v>
          </cell>
          <cell r="N11632" t="str">
            <v>Direct Costs</v>
          </cell>
          <cell r="O11632" t="str">
            <v>DHL Express - USA</v>
          </cell>
        </row>
        <row r="11633">
          <cell r="D11633">
            <v>9</v>
          </cell>
          <cell r="H11633">
            <v>45931</v>
          </cell>
          <cell r="I11633" t="str">
            <v>6375 - Freight Expenses</v>
          </cell>
          <cell r="J11633">
            <v>0</v>
          </cell>
          <cell r="K11633" t="str">
            <v>Production</v>
          </cell>
          <cell r="L11633" t="str">
            <v>Freight</v>
          </cell>
          <cell r="N11633" t="str">
            <v>Direct Costs</v>
          </cell>
          <cell r="O11633" t="str">
            <v>DHL Express - USA</v>
          </cell>
        </row>
        <row r="11634">
          <cell r="D11634">
            <v>17</v>
          </cell>
          <cell r="H11634">
            <v>45931</v>
          </cell>
          <cell r="I11634" t="str">
            <v>6375 - Freight Expenses</v>
          </cell>
          <cell r="J11634">
            <v>0</v>
          </cell>
          <cell r="K11634" t="str">
            <v>Production</v>
          </cell>
          <cell r="L11634" t="str">
            <v>Freight</v>
          </cell>
          <cell r="N11634" t="str">
            <v>Direct Costs</v>
          </cell>
          <cell r="O11634" t="str">
            <v>DHL Express - USA</v>
          </cell>
        </row>
        <row r="11635">
          <cell r="D11635">
            <v>1.31</v>
          </cell>
          <cell r="H11635">
            <v>45931</v>
          </cell>
          <cell r="I11635" t="str">
            <v>6375 - Freight Expenses</v>
          </cell>
          <cell r="J11635">
            <v>0</v>
          </cell>
          <cell r="K11635" t="str">
            <v>Production</v>
          </cell>
          <cell r="L11635" t="str">
            <v>Freight</v>
          </cell>
          <cell r="N11635" t="str">
            <v>Direct Costs</v>
          </cell>
          <cell r="O11635" t="str">
            <v>DHL Express - USA</v>
          </cell>
        </row>
        <row r="11636">
          <cell r="D11636">
            <v>36</v>
          </cell>
          <cell r="H11636">
            <v>45931</v>
          </cell>
          <cell r="I11636" t="str">
            <v>6375 - Freight Expenses</v>
          </cell>
          <cell r="J11636">
            <v>0</v>
          </cell>
          <cell r="K11636" t="str">
            <v>Production</v>
          </cell>
          <cell r="L11636" t="str">
            <v>Freight</v>
          </cell>
          <cell r="N11636" t="str">
            <v>Direct Costs</v>
          </cell>
          <cell r="O11636" t="str">
            <v>DHL Express - USA</v>
          </cell>
        </row>
        <row r="11637">
          <cell r="D11637">
            <v>2.9</v>
          </cell>
          <cell r="H11637">
            <v>45931</v>
          </cell>
          <cell r="I11637" t="str">
            <v>6375 - Freight Expenses</v>
          </cell>
          <cell r="J11637">
            <v>0</v>
          </cell>
          <cell r="K11637" t="str">
            <v>Production</v>
          </cell>
          <cell r="L11637" t="str">
            <v>Freight</v>
          </cell>
          <cell r="N11637" t="str">
            <v>Direct Costs</v>
          </cell>
          <cell r="O11637" t="str">
            <v>DHL Express - USA</v>
          </cell>
        </row>
        <row r="11638">
          <cell r="D11638">
            <v>17</v>
          </cell>
          <cell r="H11638">
            <v>45931</v>
          </cell>
          <cell r="I11638" t="str">
            <v>6375 - Freight Expenses</v>
          </cell>
          <cell r="J11638">
            <v>0</v>
          </cell>
          <cell r="K11638" t="str">
            <v>Production</v>
          </cell>
          <cell r="L11638" t="str">
            <v>Freight</v>
          </cell>
          <cell r="N11638" t="str">
            <v>Direct Costs</v>
          </cell>
          <cell r="O11638" t="str">
            <v>DHL Express - USA</v>
          </cell>
        </row>
        <row r="11639">
          <cell r="D11639">
            <v>1.31</v>
          </cell>
          <cell r="H11639">
            <v>45931</v>
          </cell>
          <cell r="I11639" t="str">
            <v>6375 - Freight Expenses</v>
          </cell>
          <cell r="J11639">
            <v>0</v>
          </cell>
          <cell r="K11639" t="str">
            <v>Production</v>
          </cell>
          <cell r="L11639" t="str">
            <v>Freight</v>
          </cell>
          <cell r="N11639" t="str">
            <v>Direct Costs</v>
          </cell>
          <cell r="O11639" t="str">
            <v>DHL Express - USA</v>
          </cell>
        </row>
        <row r="11640">
          <cell r="D11640">
            <v>753.01</v>
          </cell>
          <cell r="H11640">
            <v>45931</v>
          </cell>
          <cell r="I11640" t="str">
            <v>6375 - Freight Expenses</v>
          </cell>
          <cell r="J11640" t="str">
            <v>Ecommerce (US)</v>
          </cell>
          <cell r="K11640" t="str">
            <v>Ecommerce</v>
          </cell>
          <cell r="L11640" t="str">
            <v>Freight</v>
          </cell>
          <cell r="N11640" t="str">
            <v>Direct Costs</v>
          </cell>
          <cell r="O11640" t="str">
            <v>UPS Supply Chain Solutions Inc. (7F24A0)</v>
          </cell>
        </row>
        <row r="11641">
          <cell r="D11641">
            <v>17.489999999999998</v>
          </cell>
          <cell r="H11641">
            <v>45931</v>
          </cell>
          <cell r="I11641" t="str">
            <v>6375 - Freight Expenses</v>
          </cell>
          <cell r="J11641" t="str">
            <v>Ecommerce (US)</v>
          </cell>
          <cell r="K11641" t="str">
            <v>Ecommerce</v>
          </cell>
          <cell r="L11641" t="str">
            <v>Freight</v>
          </cell>
          <cell r="N11641" t="str">
            <v>Direct Costs</v>
          </cell>
          <cell r="O11641" t="str">
            <v>UPS Supply Chain Solutions Inc. (7F24A0)</v>
          </cell>
        </row>
        <row r="11642">
          <cell r="D11642">
            <v>18</v>
          </cell>
          <cell r="H11642">
            <v>45931</v>
          </cell>
          <cell r="I11642" t="str">
            <v>6375 - Freight Expenses</v>
          </cell>
          <cell r="J11642" t="str">
            <v>Ecommerce (US)</v>
          </cell>
          <cell r="K11642" t="str">
            <v>Ecommerce</v>
          </cell>
          <cell r="L11642" t="str">
            <v>Freight</v>
          </cell>
          <cell r="N11642" t="str">
            <v>Direct Costs</v>
          </cell>
          <cell r="O11642" t="str">
            <v>UPS Supply Chain Solutions Inc. (7F24A0)</v>
          </cell>
        </row>
        <row r="11643">
          <cell r="D11643">
            <v>-10000</v>
          </cell>
          <cell r="H11643">
            <v>45931</v>
          </cell>
          <cell r="I11643" t="str">
            <v>6375 - Freight Expenses</v>
          </cell>
          <cell r="J11643" t="str">
            <v>Ecommerce (US)</v>
          </cell>
          <cell r="K11643" t="str">
            <v>Ecommerce</v>
          </cell>
          <cell r="L11643" t="str">
            <v>Freight</v>
          </cell>
          <cell r="N11643" t="str">
            <v>Direct Costs</v>
          </cell>
          <cell r="O11643" t="str">
            <v>UPS Supply Chain Solutions Inc. (7F24A0)</v>
          </cell>
        </row>
        <row r="11644">
          <cell r="D11644">
            <v>-63.37</v>
          </cell>
          <cell r="H11644">
            <v>45931</v>
          </cell>
          <cell r="I11644" t="str">
            <v>6375 - Freight Expenses</v>
          </cell>
          <cell r="J11644" t="str">
            <v>Ecommerce (EU)</v>
          </cell>
          <cell r="K11644" t="str">
            <v>Ecommerce</v>
          </cell>
          <cell r="L11644" t="str">
            <v>Freight</v>
          </cell>
          <cell r="N11644" t="str">
            <v>Direct Costs</v>
          </cell>
          <cell r="O11644" t="str">
            <v>[No Vendor]</v>
          </cell>
        </row>
        <row r="11645">
          <cell r="D11645">
            <v>1175.48</v>
          </cell>
          <cell r="H11645">
            <v>45931</v>
          </cell>
          <cell r="I11645" t="str">
            <v>6375 - Freight Expenses</v>
          </cell>
          <cell r="J11645" t="str">
            <v>Ecommerce (US)</v>
          </cell>
          <cell r="K11645" t="str">
            <v>Ecommerce</v>
          </cell>
          <cell r="L11645" t="str">
            <v>Freight</v>
          </cell>
          <cell r="N11645" t="str">
            <v>Direct Costs</v>
          </cell>
          <cell r="O11645" t="str">
            <v>UPS Supply Chain Solutions Inc. (7F24A0)</v>
          </cell>
        </row>
        <row r="11646">
          <cell r="D11646">
            <v>416.19</v>
          </cell>
          <cell r="H11646">
            <v>45931</v>
          </cell>
          <cell r="I11646" t="str">
            <v>6375 - Freight Expenses</v>
          </cell>
          <cell r="J11646" t="str">
            <v>Ecommerce (US)</v>
          </cell>
          <cell r="K11646" t="str">
            <v>Ecommerce</v>
          </cell>
          <cell r="L11646" t="str">
            <v>Freight</v>
          </cell>
          <cell r="N11646" t="str">
            <v>Direct Costs</v>
          </cell>
          <cell r="O11646" t="str">
            <v>UPS Supply Chain Solutions Inc. (7F24A0)</v>
          </cell>
        </row>
        <row r="11647">
          <cell r="D11647">
            <v>1630.07</v>
          </cell>
          <cell r="H11647">
            <v>45931</v>
          </cell>
          <cell r="I11647" t="str">
            <v>6375 - Freight Expenses</v>
          </cell>
          <cell r="J11647" t="str">
            <v>Wholesale</v>
          </cell>
          <cell r="K11647" t="str">
            <v>Wholesale</v>
          </cell>
          <cell r="L11647" t="str">
            <v>Freight</v>
          </cell>
          <cell r="N11647" t="str">
            <v>Direct Costs</v>
          </cell>
          <cell r="O11647" t="str">
            <v>UPS Supply Chain Solutions Inc. (7F24A0)</v>
          </cell>
        </row>
        <row r="11648">
          <cell r="D11648">
            <v>27606.18</v>
          </cell>
          <cell r="H11648">
            <v>45931</v>
          </cell>
          <cell r="I11648" t="str">
            <v>6375 - Freight Expenses</v>
          </cell>
          <cell r="J11648" t="str">
            <v>Ecommerce (US)</v>
          </cell>
          <cell r="K11648" t="str">
            <v>Ecommerce</v>
          </cell>
          <cell r="L11648" t="str">
            <v>Freight</v>
          </cell>
          <cell r="N11648" t="str">
            <v>Direct Costs</v>
          </cell>
          <cell r="O11648" t="str">
            <v>UPS Supply Chain Solutions Inc. (7F24A0)</v>
          </cell>
        </row>
        <row r="11649">
          <cell r="D11649">
            <v>1025.03</v>
          </cell>
          <cell r="H11649">
            <v>45931</v>
          </cell>
          <cell r="I11649" t="str">
            <v>6375 - Freight Expenses</v>
          </cell>
          <cell r="J11649" t="str">
            <v>Ecommerce (US)</v>
          </cell>
          <cell r="K11649" t="str">
            <v>Ecommerce</v>
          </cell>
          <cell r="L11649" t="str">
            <v>Freight</v>
          </cell>
          <cell r="N11649" t="str">
            <v>Direct Costs</v>
          </cell>
          <cell r="O11649" t="str">
            <v>UPS Supply Chain Solutions Inc. (7F24A0)</v>
          </cell>
        </row>
        <row r="11650">
          <cell r="D11650">
            <v>-100</v>
          </cell>
          <cell r="H11650">
            <v>45931</v>
          </cell>
          <cell r="I11650" t="str">
            <v>6375 - Freight Expenses</v>
          </cell>
          <cell r="J11650" t="str">
            <v>Ecommerce (US)</v>
          </cell>
          <cell r="K11650" t="str">
            <v>Ecommerce</v>
          </cell>
          <cell r="L11650" t="str">
            <v>Freight</v>
          </cell>
          <cell r="N11650" t="str">
            <v>Direct Costs</v>
          </cell>
          <cell r="O11650" t="str">
            <v>UPS Supply Chain Solutions Inc. (7F24A0)</v>
          </cell>
        </row>
        <row r="11651">
          <cell r="D11651">
            <v>216.76</v>
          </cell>
          <cell r="H11651">
            <v>45931</v>
          </cell>
          <cell r="I11651" t="str">
            <v>6375 - Freight Expenses</v>
          </cell>
          <cell r="J11651">
            <v>0</v>
          </cell>
          <cell r="K11651" t="str">
            <v>Production</v>
          </cell>
          <cell r="L11651" t="str">
            <v>Freight</v>
          </cell>
          <cell r="N11651" t="str">
            <v>Direct Costs</v>
          </cell>
          <cell r="O11651" t="str">
            <v>DHL Express - USA</v>
          </cell>
        </row>
        <row r="11652">
          <cell r="D11652">
            <v>1840.33</v>
          </cell>
          <cell r="H11652">
            <v>45931</v>
          </cell>
          <cell r="I11652" t="str">
            <v>6375 - Freight Expenses</v>
          </cell>
          <cell r="J11652">
            <v>0</v>
          </cell>
          <cell r="K11652" t="str">
            <v>Production</v>
          </cell>
          <cell r="L11652" t="str">
            <v>Freight</v>
          </cell>
          <cell r="N11652" t="str">
            <v>Direct Costs</v>
          </cell>
          <cell r="O11652" t="str">
            <v>DHL Express - USA</v>
          </cell>
        </row>
        <row r="11653">
          <cell r="D11653">
            <v>1530.61</v>
          </cell>
          <cell r="H11653">
            <v>45931</v>
          </cell>
          <cell r="I11653" t="str">
            <v>6375 - Freight Expenses</v>
          </cell>
          <cell r="J11653" t="str">
            <v>Ecommerce (US)</v>
          </cell>
          <cell r="K11653" t="str">
            <v>Ecommerce</v>
          </cell>
          <cell r="L11653" t="str">
            <v>Freight</v>
          </cell>
          <cell r="N11653" t="str">
            <v>Direct Costs</v>
          </cell>
          <cell r="O11653" t="str">
            <v>UPS Supply Chain Solutions Inc. (7F24A0)</v>
          </cell>
        </row>
        <row r="11654">
          <cell r="D11654">
            <v>703.32</v>
          </cell>
          <cell r="H11654">
            <v>45931</v>
          </cell>
          <cell r="I11654" t="str">
            <v>6375 - Freight Expenses</v>
          </cell>
          <cell r="J11654" t="str">
            <v>Ecommerce (US)</v>
          </cell>
          <cell r="K11654" t="str">
            <v>Ecommerce</v>
          </cell>
          <cell r="L11654" t="str">
            <v>Freight</v>
          </cell>
          <cell r="N11654" t="str">
            <v>Direct Costs</v>
          </cell>
          <cell r="O11654" t="str">
            <v>UPS Supply Chain Solutions Inc. (7F24A0)</v>
          </cell>
        </row>
        <row r="11655">
          <cell r="D11655">
            <v>359.78</v>
          </cell>
          <cell r="H11655">
            <v>45931</v>
          </cell>
          <cell r="I11655" t="str">
            <v>6375 - Freight Expenses</v>
          </cell>
          <cell r="J11655" t="str">
            <v>Ecommerce (US)</v>
          </cell>
          <cell r="K11655" t="str">
            <v>Ecommerce</v>
          </cell>
          <cell r="L11655" t="str">
            <v>Freight</v>
          </cell>
          <cell r="N11655" t="str">
            <v>Direct Costs</v>
          </cell>
          <cell r="O11655" t="str">
            <v>UPS Supply Chain Solutions Inc. (7F24A0)</v>
          </cell>
        </row>
        <row r="11656">
          <cell r="D11656">
            <v>32286.32</v>
          </cell>
          <cell r="H11656">
            <v>45931</v>
          </cell>
          <cell r="I11656" t="str">
            <v>6375 - Freight Expenses</v>
          </cell>
          <cell r="J11656" t="str">
            <v>Ecommerce (US)</v>
          </cell>
          <cell r="K11656" t="str">
            <v>Ecommerce</v>
          </cell>
          <cell r="L11656" t="str">
            <v>Freight</v>
          </cell>
          <cell r="N11656" t="str">
            <v>Direct Costs</v>
          </cell>
          <cell r="O11656" t="str">
            <v>UPS Supply Chain Solutions Inc. (7F24A0)</v>
          </cell>
        </row>
        <row r="11657">
          <cell r="D11657">
            <v>712.72</v>
          </cell>
          <cell r="H11657">
            <v>45931</v>
          </cell>
          <cell r="I11657" t="str">
            <v>6375 - Freight Expenses</v>
          </cell>
          <cell r="J11657" t="str">
            <v>Wholesale</v>
          </cell>
          <cell r="K11657" t="str">
            <v>Wholesale</v>
          </cell>
          <cell r="L11657" t="str">
            <v>Freight</v>
          </cell>
          <cell r="N11657" t="str">
            <v>Direct Costs</v>
          </cell>
          <cell r="O11657" t="str">
            <v>UPS Supply Chain Solutions Inc. (7F24A0)</v>
          </cell>
        </row>
        <row r="11658">
          <cell r="D11658">
            <v>90.74</v>
          </cell>
          <cell r="H11658">
            <v>45931</v>
          </cell>
          <cell r="I11658" t="str">
            <v>6375 - Freight Expenses</v>
          </cell>
          <cell r="J11658" t="str">
            <v>Ecommerce (US)</v>
          </cell>
          <cell r="K11658" t="str">
            <v>Ecommerce</v>
          </cell>
          <cell r="L11658" t="str">
            <v>Freight</v>
          </cell>
          <cell r="N11658" t="str">
            <v>Direct Costs</v>
          </cell>
          <cell r="O11658" t="str">
            <v>UPS Supply Chain Solutions Inc. (7F24A0)</v>
          </cell>
        </row>
        <row r="11659">
          <cell r="D11659">
            <v>-14.82</v>
          </cell>
          <cell r="H11659">
            <v>45931</v>
          </cell>
          <cell r="I11659" t="str">
            <v>6375 - Freight Expenses</v>
          </cell>
          <cell r="J11659" t="str">
            <v>Ecommerce (US)</v>
          </cell>
          <cell r="K11659" t="str">
            <v>Ecommerce</v>
          </cell>
          <cell r="L11659" t="str">
            <v>Freight</v>
          </cell>
          <cell r="N11659" t="str">
            <v>Direct Costs</v>
          </cell>
          <cell r="O11659" t="str">
            <v>UPS Supply Chain Solutions Inc. (7F24A0)</v>
          </cell>
        </row>
        <row r="11660">
          <cell r="D11660">
            <v>96.96</v>
          </cell>
          <cell r="H11660">
            <v>45931</v>
          </cell>
          <cell r="I11660" t="str">
            <v>6375 - Freight Expenses</v>
          </cell>
          <cell r="J11660">
            <v>0</v>
          </cell>
          <cell r="K11660" t="str">
            <v>Production</v>
          </cell>
          <cell r="L11660" t="str">
            <v>Freight</v>
          </cell>
          <cell r="N11660" t="str">
            <v>Direct Costs</v>
          </cell>
          <cell r="O11660" t="str">
            <v>DHL Express - USA</v>
          </cell>
        </row>
        <row r="11661">
          <cell r="D11661">
            <v>2255.87</v>
          </cell>
          <cell r="H11661">
            <v>45931</v>
          </cell>
          <cell r="I11661" t="str">
            <v>6375 - Freight Expenses</v>
          </cell>
          <cell r="J11661">
            <v>0</v>
          </cell>
          <cell r="K11661" t="str">
            <v>Production</v>
          </cell>
          <cell r="L11661" t="str">
            <v>Freight</v>
          </cell>
          <cell r="N11661" t="str">
            <v>Direct Costs</v>
          </cell>
          <cell r="O11661" t="str">
            <v>DHL Express - USA</v>
          </cell>
        </row>
        <row r="11662">
          <cell r="D11662">
            <v>1030.0999999999999</v>
          </cell>
          <cell r="H11662">
            <v>45931</v>
          </cell>
          <cell r="I11662" t="str">
            <v>6375 - Freight Expenses</v>
          </cell>
          <cell r="J11662" t="str">
            <v>Ecommerce (US)</v>
          </cell>
          <cell r="K11662" t="str">
            <v>Ecommerce</v>
          </cell>
          <cell r="L11662" t="str">
            <v>Freight</v>
          </cell>
          <cell r="N11662" t="str">
            <v>Direct Costs</v>
          </cell>
          <cell r="O11662" t="str">
            <v>UPS Supply Chain Solutions Inc. (7F24A0)</v>
          </cell>
        </row>
        <row r="11663">
          <cell r="D11663">
            <v>34.99</v>
          </cell>
          <cell r="H11663">
            <v>45931</v>
          </cell>
          <cell r="I11663" t="str">
            <v>6375 - Freight Expenses</v>
          </cell>
          <cell r="J11663">
            <v>0</v>
          </cell>
          <cell r="K11663" t="str">
            <v>Production</v>
          </cell>
          <cell r="L11663" t="str">
            <v>Freight</v>
          </cell>
          <cell r="N11663" t="str">
            <v>Direct Costs</v>
          </cell>
          <cell r="O11663" t="str">
            <v>DHL Express - USA</v>
          </cell>
        </row>
        <row r="11664">
          <cell r="D11664">
            <v>79.930000000000007</v>
          </cell>
          <cell r="H11664">
            <v>45931</v>
          </cell>
          <cell r="I11664" t="str">
            <v>6375 - Freight Expenses</v>
          </cell>
          <cell r="J11664">
            <v>0</v>
          </cell>
          <cell r="K11664" t="str">
            <v>Production</v>
          </cell>
          <cell r="L11664" t="str">
            <v>Freight</v>
          </cell>
          <cell r="N11664" t="str">
            <v>Direct Costs</v>
          </cell>
          <cell r="O11664" t="str">
            <v>DHL Express - USA</v>
          </cell>
        </row>
        <row r="11665">
          <cell r="D11665">
            <v>17</v>
          </cell>
          <cell r="H11665">
            <v>45931</v>
          </cell>
          <cell r="I11665" t="str">
            <v>6375 - Freight Expenses</v>
          </cell>
          <cell r="J11665">
            <v>0</v>
          </cell>
          <cell r="K11665" t="str">
            <v>Production</v>
          </cell>
          <cell r="L11665" t="str">
            <v>Freight</v>
          </cell>
          <cell r="N11665" t="str">
            <v>Direct Costs</v>
          </cell>
          <cell r="O11665" t="str">
            <v>DHL Express - USA</v>
          </cell>
        </row>
        <row r="11666">
          <cell r="D11666">
            <v>1.31</v>
          </cell>
          <cell r="H11666">
            <v>45931</v>
          </cell>
          <cell r="I11666" t="str">
            <v>6375 - Freight Expenses</v>
          </cell>
          <cell r="J11666">
            <v>0</v>
          </cell>
          <cell r="K11666" t="str">
            <v>Production</v>
          </cell>
          <cell r="L11666" t="str">
            <v>Freight</v>
          </cell>
          <cell r="N11666" t="str">
            <v>Direct Costs</v>
          </cell>
          <cell r="O11666" t="str">
            <v>DHL Express - USA</v>
          </cell>
        </row>
        <row r="11667">
          <cell r="D11667">
            <v>69.5</v>
          </cell>
          <cell r="H11667">
            <v>45931</v>
          </cell>
          <cell r="I11667" t="str">
            <v>6375 - Freight Expenses</v>
          </cell>
          <cell r="J11667">
            <v>0</v>
          </cell>
          <cell r="K11667" t="str">
            <v>Production</v>
          </cell>
          <cell r="L11667" t="str">
            <v>Freight</v>
          </cell>
          <cell r="N11667" t="str">
            <v>Direct Costs</v>
          </cell>
          <cell r="O11667" t="str">
            <v>DHL Express - USA</v>
          </cell>
        </row>
        <row r="11668">
          <cell r="D11668">
            <v>17</v>
          </cell>
          <cell r="H11668">
            <v>45931</v>
          </cell>
          <cell r="I11668" t="str">
            <v>6375 - Freight Expenses</v>
          </cell>
          <cell r="J11668">
            <v>0</v>
          </cell>
          <cell r="K11668" t="str">
            <v>Production</v>
          </cell>
          <cell r="L11668" t="str">
            <v>Freight</v>
          </cell>
          <cell r="N11668" t="str">
            <v>Direct Costs</v>
          </cell>
          <cell r="O11668" t="str">
            <v>DHL Express - USA</v>
          </cell>
        </row>
        <row r="11669">
          <cell r="D11669">
            <v>1.31</v>
          </cell>
          <cell r="H11669">
            <v>45931</v>
          </cell>
          <cell r="I11669" t="str">
            <v>6375 - Freight Expenses</v>
          </cell>
          <cell r="J11669">
            <v>0</v>
          </cell>
          <cell r="K11669" t="str">
            <v>Production</v>
          </cell>
          <cell r="L11669" t="str">
            <v>Freight</v>
          </cell>
          <cell r="N11669" t="str">
            <v>Direct Costs</v>
          </cell>
          <cell r="O11669" t="str">
            <v>DHL Express - USA</v>
          </cell>
        </row>
        <row r="11670">
          <cell r="D11670">
            <v>9</v>
          </cell>
          <cell r="H11670">
            <v>45931</v>
          </cell>
          <cell r="I11670" t="str">
            <v>6375 - Freight Expenses</v>
          </cell>
          <cell r="J11670">
            <v>0</v>
          </cell>
          <cell r="K11670" t="str">
            <v>Production</v>
          </cell>
          <cell r="L11670" t="str">
            <v>Freight</v>
          </cell>
          <cell r="N11670" t="str">
            <v>Direct Costs</v>
          </cell>
          <cell r="O11670" t="str">
            <v>DHL Express - USA</v>
          </cell>
        </row>
        <row r="11671">
          <cell r="D11671">
            <v>17</v>
          </cell>
          <cell r="H11671">
            <v>45931</v>
          </cell>
          <cell r="I11671" t="str">
            <v>6375 - Freight Expenses</v>
          </cell>
          <cell r="J11671">
            <v>0</v>
          </cell>
          <cell r="K11671" t="str">
            <v>Production</v>
          </cell>
          <cell r="L11671" t="str">
            <v>Freight</v>
          </cell>
          <cell r="N11671" t="str">
            <v>Direct Costs</v>
          </cell>
          <cell r="O11671" t="str">
            <v>DHL Express - USA</v>
          </cell>
        </row>
        <row r="11672">
          <cell r="D11672">
            <v>1.31</v>
          </cell>
          <cell r="H11672">
            <v>45931</v>
          </cell>
          <cell r="I11672" t="str">
            <v>6375 - Freight Expenses</v>
          </cell>
          <cell r="J11672">
            <v>0</v>
          </cell>
          <cell r="K11672" t="str">
            <v>Production</v>
          </cell>
          <cell r="L11672" t="str">
            <v>Freight</v>
          </cell>
          <cell r="N11672" t="str">
            <v>Direct Costs</v>
          </cell>
          <cell r="O11672" t="str">
            <v>DHL Express - USA</v>
          </cell>
        </row>
        <row r="11673">
          <cell r="D11673">
            <v>34.909999999999997</v>
          </cell>
          <cell r="H11673">
            <v>45931</v>
          </cell>
          <cell r="I11673" t="str">
            <v>6375 - Freight Expenses</v>
          </cell>
          <cell r="J11673">
            <v>0</v>
          </cell>
          <cell r="K11673" t="str">
            <v>Production</v>
          </cell>
          <cell r="L11673" t="str">
            <v>Freight</v>
          </cell>
          <cell r="N11673" t="str">
            <v>Direct Costs</v>
          </cell>
          <cell r="O11673" t="str">
            <v>DHL Express - USA</v>
          </cell>
        </row>
        <row r="11674">
          <cell r="D11674">
            <v>17</v>
          </cell>
          <cell r="H11674">
            <v>45931</v>
          </cell>
          <cell r="I11674" t="str">
            <v>6375 - Freight Expenses</v>
          </cell>
          <cell r="J11674">
            <v>0</v>
          </cell>
          <cell r="K11674" t="str">
            <v>Production</v>
          </cell>
          <cell r="L11674" t="str">
            <v>Freight</v>
          </cell>
          <cell r="N11674" t="str">
            <v>Direct Costs</v>
          </cell>
          <cell r="O11674" t="str">
            <v>DHL Express - USA</v>
          </cell>
        </row>
        <row r="11675">
          <cell r="D11675">
            <v>1.31</v>
          </cell>
          <cell r="H11675">
            <v>45931</v>
          </cell>
          <cell r="I11675" t="str">
            <v>6375 - Freight Expenses</v>
          </cell>
          <cell r="J11675">
            <v>0</v>
          </cell>
          <cell r="K11675" t="str">
            <v>Production</v>
          </cell>
          <cell r="L11675" t="str">
            <v>Freight</v>
          </cell>
          <cell r="N11675" t="str">
            <v>Direct Costs</v>
          </cell>
          <cell r="O11675" t="str">
            <v>DHL Express - USA</v>
          </cell>
        </row>
        <row r="11676">
          <cell r="D11676">
            <v>17</v>
          </cell>
          <cell r="H11676">
            <v>45931</v>
          </cell>
          <cell r="I11676" t="str">
            <v>6375 - Freight Expenses</v>
          </cell>
          <cell r="J11676">
            <v>0</v>
          </cell>
          <cell r="K11676" t="str">
            <v>Production</v>
          </cell>
          <cell r="L11676" t="str">
            <v>Freight</v>
          </cell>
          <cell r="N11676" t="str">
            <v>Direct Costs</v>
          </cell>
          <cell r="O11676" t="str">
            <v>DHL Express - USA</v>
          </cell>
        </row>
        <row r="11677">
          <cell r="D11677">
            <v>1.31</v>
          </cell>
          <cell r="H11677">
            <v>45931</v>
          </cell>
          <cell r="I11677" t="str">
            <v>6375 - Freight Expenses</v>
          </cell>
          <cell r="J11677">
            <v>0</v>
          </cell>
          <cell r="K11677" t="str">
            <v>Production</v>
          </cell>
          <cell r="L11677" t="str">
            <v>Freight</v>
          </cell>
          <cell r="N11677" t="str">
            <v>Direct Costs</v>
          </cell>
          <cell r="O11677" t="str">
            <v>DHL Express - USA</v>
          </cell>
        </row>
        <row r="11678">
          <cell r="D11678">
            <v>12.36</v>
          </cell>
          <cell r="H11678">
            <v>45931</v>
          </cell>
          <cell r="I11678" t="str">
            <v>6375 - Freight Expenses</v>
          </cell>
          <cell r="J11678">
            <v>0</v>
          </cell>
          <cell r="K11678" t="str">
            <v>Production</v>
          </cell>
          <cell r="L11678" t="str">
            <v>Freight</v>
          </cell>
          <cell r="N11678" t="str">
            <v>Direct Costs</v>
          </cell>
          <cell r="O11678" t="str">
            <v>DHL Express - USA</v>
          </cell>
        </row>
        <row r="11679">
          <cell r="D11679">
            <v>2.4900000000000002</v>
          </cell>
          <cell r="H11679">
            <v>45931</v>
          </cell>
          <cell r="I11679" t="str">
            <v>6375 - Freight Expenses</v>
          </cell>
          <cell r="J11679">
            <v>0</v>
          </cell>
          <cell r="K11679" t="str">
            <v>Production</v>
          </cell>
          <cell r="L11679" t="str">
            <v>Freight</v>
          </cell>
          <cell r="N11679" t="str">
            <v>Direct Costs</v>
          </cell>
          <cell r="O11679" t="str">
            <v>DHL Express - USA</v>
          </cell>
        </row>
        <row r="11680">
          <cell r="D11680">
            <v>17</v>
          </cell>
          <cell r="H11680">
            <v>45931</v>
          </cell>
          <cell r="I11680" t="str">
            <v>6375 - Freight Expenses</v>
          </cell>
          <cell r="J11680">
            <v>0</v>
          </cell>
          <cell r="K11680" t="str">
            <v>Production</v>
          </cell>
          <cell r="L11680" t="str">
            <v>Freight</v>
          </cell>
          <cell r="N11680" t="str">
            <v>Direct Costs</v>
          </cell>
          <cell r="O11680" t="str">
            <v>DHL Express - USA</v>
          </cell>
        </row>
        <row r="11681">
          <cell r="D11681">
            <v>1.31</v>
          </cell>
          <cell r="H11681">
            <v>45931</v>
          </cell>
          <cell r="I11681" t="str">
            <v>6375 - Freight Expenses</v>
          </cell>
          <cell r="J11681">
            <v>0</v>
          </cell>
          <cell r="K11681" t="str">
            <v>Production</v>
          </cell>
          <cell r="L11681" t="str">
            <v>Freight</v>
          </cell>
          <cell r="N11681" t="str">
            <v>Direct Costs</v>
          </cell>
          <cell r="O11681" t="str">
            <v>DHL Express - USA</v>
          </cell>
        </row>
        <row r="11682">
          <cell r="D11682">
            <v>1020.04</v>
          </cell>
          <cell r="H11682">
            <v>45931</v>
          </cell>
          <cell r="I11682" t="str">
            <v>6375 - Freight Expenses</v>
          </cell>
          <cell r="J11682" t="str">
            <v>Ecommerce (US)</v>
          </cell>
          <cell r="K11682" t="str">
            <v>Ecommerce</v>
          </cell>
          <cell r="L11682" t="str">
            <v>Freight</v>
          </cell>
          <cell r="N11682" t="str">
            <v>Direct Costs</v>
          </cell>
          <cell r="O11682" t="str">
            <v>UPS Supply Chain Solutions Inc. (7F24A0)</v>
          </cell>
        </row>
        <row r="11683">
          <cell r="D11683">
            <v>33.36</v>
          </cell>
          <cell r="H11683">
            <v>45931</v>
          </cell>
          <cell r="I11683" t="str">
            <v>6375 - Freight Expenses</v>
          </cell>
          <cell r="J11683">
            <v>0</v>
          </cell>
          <cell r="K11683" t="str">
            <v>Production</v>
          </cell>
          <cell r="L11683" t="str">
            <v>Freight</v>
          </cell>
          <cell r="N11683" t="str">
            <v>Direct Costs</v>
          </cell>
          <cell r="O11683" t="str">
            <v>DHL Express - USA</v>
          </cell>
        </row>
        <row r="11684">
          <cell r="D11684">
            <v>17</v>
          </cell>
          <cell r="H11684">
            <v>45931</v>
          </cell>
          <cell r="I11684" t="str">
            <v>6375 - Freight Expenses</v>
          </cell>
          <cell r="J11684">
            <v>0</v>
          </cell>
          <cell r="K11684" t="str">
            <v>Production</v>
          </cell>
          <cell r="L11684" t="str">
            <v>Freight</v>
          </cell>
          <cell r="N11684" t="str">
            <v>Direct Costs</v>
          </cell>
          <cell r="O11684" t="str">
            <v>DHL Express - USA</v>
          </cell>
        </row>
        <row r="11685">
          <cell r="D11685">
            <v>1.31</v>
          </cell>
          <cell r="H11685">
            <v>45931</v>
          </cell>
          <cell r="I11685" t="str">
            <v>6375 - Freight Expenses</v>
          </cell>
          <cell r="J11685">
            <v>0</v>
          </cell>
          <cell r="K11685" t="str">
            <v>Production</v>
          </cell>
          <cell r="L11685" t="str">
            <v>Freight</v>
          </cell>
          <cell r="N11685" t="str">
            <v>Direct Costs</v>
          </cell>
          <cell r="O11685" t="str">
            <v>DHL Express - USA</v>
          </cell>
        </row>
        <row r="11686">
          <cell r="D11686">
            <v>0.91</v>
          </cell>
          <cell r="H11686">
            <v>45931</v>
          </cell>
          <cell r="I11686" t="str">
            <v>6375 - Freight Expenses</v>
          </cell>
          <cell r="J11686">
            <v>0</v>
          </cell>
          <cell r="K11686" t="str">
            <v>Production</v>
          </cell>
          <cell r="L11686" t="str">
            <v>Freight</v>
          </cell>
          <cell r="N11686" t="str">
            <v>Direct Costs</v>
          </cell>
          <cell r="O11686" t="str">
            <v>DHL Express - USA</v>
          </cell>
        </row>
        <row r="11687">
          <cell r="D11687">
            <v>17</v>
          </cell>
          <cell r="H11687">
            <v>45931</v>
          </cell>
          <cell r="I11687" t="str">
            <v>6375 - Freight Expenses</v>
          </cell>
          <cell r="J11687">
            <v>0</v>
          </cell>
          <cell r="K11687" t="str">
            <v>Production</v>
          </cell>
          <cell r="L11687" t="str">
            <v>Freight</v>
          </cell>
          <cell r="N11687" t="str">
            <v>Direct Costs</v>
          </cell>
          <cell r="O11687" t="str">
            <v>DHL Express - USA</v>
          </cell>
        </row>
        <row r="11688">
          <cell r="D11688">
            <v>1.31</v>
          </cell>
          <cell r="H11688">
            <v>45931</v>
          </cell>
          <cell r="I11688" t="str">
            <v>6375 - Freight Expenses</v>
          </cell>
          <cell r="J11688">
            <v>0</v>
          </cell>
          <cell r="K11688" t="str">
            <v>Production</v>
          </cell>
          <cell r="L11688" t="str">
            <v>Freight</v>
          </cell>
          <cell r="N11688" t="str">
            <v>Direct Costs</v>
          </cell>
          <cell r="O11688" t="str">
            <v>DHL Express - USA</v>
          </cell>
        </row>
        <row r="11689">
          <cell r="D11689">
            <v>1.2</v>
          </cell>
          <cell r="H11689">
            <v>45931</v>
          </cell>
          <cell r="I11689" t="str">
            <v>6375 - Freight Expenses</v>
          </cell>
          <cell r="J11689">
            <v>0</v>
          </cell>
          <cell r="K11689" t="str">
            <v>Production</v>
          </cell>
          <cell r="L11689" t="str">
            <v>Freight</v>
          </cell>
          <cell r="N11689" t="str">
            <v>Direct Costs</v>
          </cell>
          <cell r="O11689" t="str">
            <v>DHL Express - USA</v>
          </cell>
        </row>
        <row r="11690">
          <cell r="D11690">
            <v>17</v>
          </cell>
          <cell r="H11690">
            <v>45931</v>
          </cell>
          <cell r="I11690" t="str">
            <v>6375 - Freight Expenses</v>
          </cell>
          <cell r="J11690">
            <v>0</v>
          </cell>
          <cell r="K11690" t="str">
            <v>Production</v>
          </cell>
          <cell r="L11690" t="str">
            <v>Freight</v>
          </cell>
          <cell r="N11690" t="str">
            <v>Direct Costs</v>
          </cell>
          <cell r="O11690" t="str">
            <v>DHL Express - USA</v>
          </cell>
        </row>
        <row r="11691">
          <cell r="D11691">
            <v>1.34</v>
          </cell>
          <cell r="H11691">
            <v>45931</v>
          </cell>
          <cell r="I11691" t="str">
            <v>6375 - Freight Expenses</v>
          </cell>
          <cell r="J11691">
            <v>0</v>
          </cell>
          <cell r="K11691" t="str">
            <v>Production</v>
          </cell>
          <cell r="L11691" t="str">
            <v>Freight</v>
          </cell>
          <cell r="N11691" t="str">
            <v>Direct Costs</v>
          </cell>
          <cell r="O11691" t="str">
            <v>DHL Express - USA</v>
          </cell>
        </row>
        <row r="11692">
          <cell r="D11692">
            <v>13.5</v>
          </cell>
          <cell r="H11692">
            <v>45931</v>
          </cell>
          <cell r="I11692" t="str">
            <v>6375 - Freight Expenses</v>
          </cell>
          <cell r="J11692">
            <v>0</v>
          </cell>
          <cell r="K11692" t="str">
            <v>Production</v>
          </cell>
          <cell r="L11692" t="str">
            <v>Freight</v>
          </cell>
          <cell r="N11692" t="str">
            <v>Direct Costs</v>
          </cell>
          <cell r="O11692" t="str">
            <v>DHL Express - USA</v>
          </cell>
        </row>
        <row r="11693">
          <cell r="D11693">
            <v>17</v>
          </cell>
          <cell r="H11693">
            <v>45931</v>
          </cell>
          <cell r="I11693" t="str">
            <v>6375 - Freight Expenses</v>
          </cell>
          <cell r="J11693">
            <v>0</v>
          </cell>
          <cell r="K11693" t="str">
            <v>Production</v>
          </cell>
          <cell r="L11693" t="str">
            <v>Freight</v>
          </cell>
          <cell r="N11693" t="str">
            <v>Direct Costs</v>
          </cell>
          <cell r="O11693" t="str">
            <v>DHL Express - USA</v>
          </cell>
        </row>
        <row r="11694">
          <cell r="D11694">
            <v>1.31</v>
          </cell>
          <cell r="H11694">
            <v>45931</v>
          </cell>
          <cell r="I11694" t="str">
            <v>6375 - Freight Expenses</v>
          </cell>
          <cell r="J11694">
            <v>0</v>
          </cell>
          <cell r="K11694" t="str">
            <v>Production</v>
          </cell>
          <cell r="L11694" t="str">
            <v>Freight</v>
          </cell>
          <cell r="N11694" t="str">
            <v>Direct Costs</v>
          </cell>
          <cell r="O11694" t="str">
            <v>DHL Express - USA</v>
          </cell>
        </row>
        <row r="11695">
          <cell r="D11695">
            <v>58.38</v>
          </cell>
          <cell r="H11695">
            <v>45931</v>
          </cell>
          <cell r="I11695" t="str">
            <v>6375 - Freight Expenses</v>
          </cell>
          <cell r="J11695">
            <v>0</v>
          </cell>
          <cell r="K11695" t="str">
            <v>Production</v>
          </cell>
          <cell r="L11695" t="str">
            <v>Freight</v>
          </cell>
          <cell r="N11695" t="str">
            <v>Direct Costs</v>
          </cell>
          <cell r="O11695" t="str">
            <v>DHL Express - USA</v>
          </cell>
        </row>
        <row r="11696">
          <cell r="D11696">
            <v>17</v>
          </cell>
          <cell r="H11696">
            <v>45931</v>
          </cell>
          <cell r="I11696" t="str">
            <v>6375 - Freight Expenses</v>
          </cell>
          <cell r="J11696">
            <v>0</v>
          </cell>
          <cell r="K11696" t="str">
            <v>Production</v>
          </cell>
          <cell r="L11696" t="str">
            <v>Freight</v>
          </cell>
          <cell r="N11696" t="str">
            <v>Direct Costs</v>
          </cell>
          <cell r="O11696" t="str">
            <v>DHL Express - USA</v>
          </cell>
        </row>
        <row r="11697">
          <cell r="D11697">
            <v>1.31</v>
          </cell>
          <cell r="H11697">
            <v>45931</v>
          </cell>
          <cell r="I11697" t="str">
            <v>6375 - Freight Expenses</v>
          </cell>
          <cell r="J11697">
            <v>0</v>
          </cell>
          <cell r="K11697" t="str">
            <v>Production</v>
          </cell>
          <cell r="L11697" t="str">
            <v>Freight</v>
          </cell>
          <cell r="N11697" t="str">
            <v>Direct Costs</v>
          </cell>
          <cell r="O11697" t="str">
            <v>DHL Express - USA</v>
          </cell>
        </row>
        <row r="11698">
          <cell r="D11698">
            <v>29.56</v>
          </cell>
          <cell r="H11698">
            <v>45931</v>
          </cell>
          <cell r="I11698" t="str">
            <v>6375 - Freight Expenses</v>
          </cell>
          <cell r="J11698">
            <v>0</v>
          </cell>
          <cell r="K11698" t="str">
            <v>Production</v>
          </cell>
          <cell r="L11698" t="str">
            <v>Freight</v>
          </cell>
          <cell r="N11698" t="str">
            <v>Direct Costs</v>
          </cell>
          <cell r="O11698" t="str">
            <v>DHL Express - USA</v>
          </cell>
        </row>
        <row r="11699">
          <cell r="D11699">
            <v>2.5</v>
          </cell>
          <cell r="H11699">
            <v>45931</v>
          </cell>
          <cell r="I11699" t="str">
            <v>6375 - Freight Expenses</v>
          </cell>
          <cell r="J11699">
            <v>0</v>
          </cell>
          <cell r="K11699" t="str">
            <v>Production</v>
          </cell>
          <cell r="L11699" t="str">
            <v>Freight</v>
          </cell>
          <cell r="N11699" t="str">
            <v>Direct Costs</v>
          </cell>
          <cell r="O11699" t="str">
            <v>DHL Express - USA</v>
          </cell>
        </row>
        <row r="11700">
          <cell r="D11700">
            <v>17</v>
          </cell>
          <cell r="H11700">
            <v>45931</v>
          </cell>
          <cell r="I11700" t="str">
            <v>6375 - Freight Expenses</v>
          </cell>
          <cell r="J11700">
            <v>0</v>
          </cell>
          <cell r="K11700" t="str">
            <v>Production</v>
          </cell>
          <cell r="L11700" t="str">
            <v>Freight</v>
          </cell>
          <cell r="N11700" t="str">
            <v>Direct Costs</v>
          </cell>
          <cell r="O11700" t="str">
            <v>DHL Express - USA</v>
          </cell>
        </row>
        <row r="11701">
          <cell r="D11701">
            <v>1.31</v>
          </cell>
          <cell r="H11701">
            <v>45931</v>
          </cell>
          <cell r="I11701" t="str">
            <v>6375 - Freight Expenses</v>
          </cell>
          <cell r="J11701">
            <v>0</v>
          </cell>
          <cell r="K11701" t="str">
            <v>Production</v>
          </cell>
          <cell r="L11701" t="str">
            <v>Freight</v>
          </cell>
          <cell r="N11701" t="str">
            <v>Direct Costs</v>
          </cell>
          <cell r="O11701" t="str">
            <v>DHL Express - USA</v>
          </cell>
        </row>
        <row r="11702">
          <cell r="D11702">
            <v>152.02000000000001</v>
          </cell>
          <cell r="H11702">
            <v>45931</v>
          </cell>
          <cell r="I11702" t="str">
            <v>6375 - Freight Expenses</v>
          </cell>
          <cell r="J11702" t="str">
            <v>Ecommerce (US)</v>
          </cell>
          <cell r="K11702" t="str">
            <v>Ecommerce</v>
          </cell>
          <cell r="L11702" t="str">
            <v>Freight</v>
          </cell>
          <cell r="N11702" t="str">
            <v>Direct Costs</v>
          </cell>
          <cell r="O11702" t="str">
            <v>UPS Supply Chain Solutions Inc. (7F24A0)</v>
          </cell>
        </row>
        <row r="11703">
          <cell r="D11703">
            <v>42334.080000000002</v>
          </cell>
          <cell r="H11703">
            <v>45931</v>
          </cell>
          <cell r="I11703" t="str">
            <v>6375 - Freight Expenses</v>
          </cell>
          <cell r="J11703" t="str">
            <v>Ecommerce (US)</v>
          </cell>
          <cell r="K11703" t="str">
            <v>Ecommerce</v>
          </cell>
          <cell r="L11703" t="str">
            <v>Freight</v>
          </cell>
          <cell r="N11703" t="str">
            <v>Direct Costs</v>
          </cell>
          <cell r="O11703" t="str">
            <v>UPS Supply Chain Solutions Inc. (7F24A0)</v>
          </cell>
        </row>
        <row r="11704">
          <cell r="D11704">
            <v>521.53</v>
          </cell>
          <cell r="H11704">
            <v>45931</v>
          </cell>
          <cell r="I11704" t="str">
            <v>6375 - Freight Expenses</v>
          </cell>
          <cell r="J11704" t="str">
            <v>Wholesale</v>
          </cell>
          <cell r="K11704" t="str">
            <v>Wholesale</v>
          </cell>
          <cell r="L11704" t="str">
            <v>Freight</v>
          </cell>
          <cell r="N11704" t="str">
            <v>Direct Costs</v>
          </cell>
          <cell r="O11704" t="str">
            <v>UPS Supply Chain Solutions Inc. (7F24A0)</v>
          </cell>
        </row>
        <row r="11705">
          <cell r="D11705">
            <v>94.5</v>
          </cell>
          <cell r="H11705">
            <v>45931</v>
          </cell>
          <cell r="I11705" t="str">
            <v>6375 - Freight Expenses</v>
          </cell>
          <cell r="J11705">
            <v>0</v>
          </cell>
          <cell r="K11705" t="str">
            <v>Production</v>
          </cell>
          <cell r="L11705" t="str">
            <v>Freight</v>
          </cell>
          <cell r="N11705" t="str">
            <v>Direct Costs</v>
          </cell>
          <cell r="O11705" t="str">
            <v>DHL Express - USA</v>
          </cell>
        </row>
        <row r="11706">
          <cell r="D11706">
            <v>17</v>
          </cell>
          <cell r="H11706">
            <v>45931</v>
          </cell>
          <cell r="I11706" t="str">
            <v>6375 - Freight Expenses</v>
          </cell>
          <cell r="J11706">
            <v>0</v>
          </cell>
          <cell r="K11706" t="str">
            <v>Production</v>
          </cell>
          <cell r="L11706" t="str">
            <v>Freight</v>
          </cell>
          <cell r="N11706" t="str">
            <v>Direct Costs</v>
          </cell>
          <cell r="O11706" t="str">
            <v>DHL Express - USA</v>
          </cell>
        </row>
        <row r="11707">
          <cell r="D11707">
            <v>1.34</v>
          </cell>
          <cell r="H11707">
            <v>45931</v>
          </cell>
          <cell r="I11707" t="str">
            <v>6375 - Freight Expenses</v>
          </cell>
          <cell r="J11707">
            <v>0</v>
          </cell>
          <cell r="K11707" t="str">
            <v>Production</v>
          </cell>
          <cell r="L11707" t="str">
            <v>Freight</v>
          </cell>
          <cell r="N11707" t="str">
            <v>Direct Costs</v>
          </cell>
          <cell r="O11707" t="str">
            <v>DHL Express - USA</v>
          </cell>
        </row>
        <row r="11708">
          <cell r="D11708">
            <v>19.59</v>
          </cell>
          <cell r="H11708">
            <v>45931</v>
          </cell>
          <cell r="I11708" t="str">
            <v>6375 - Freight Expenses</v>
          </cell>
          <cell r="J11708">
            <v>0</v>
          </cell>
          <cell r="K11708" t="str">
            <v>Production</v>
          </cell>
          <cell r="L11708" t="str">
            <v>Freight</v>
          </cell>
          <cell r="N11708" t="str">
            <v>Direct Costs</v>
          </cell>
          <cell r="O11708" t="str">
            <v>DHL Express - USA</v>
          </cell>
        </row>
        <row r="11709">
          <cell r="D11709">
            <v>41.47</v>
          </cell>
          <cell r="H11709">
            <v>45931</v>
          </cell>
          <cell r="I11709" t="str">
            <v>6375 - Freight Expenses</v>
          </cell>
          <cell r="J11709">
            <v>0</v>
          </cell>
          <cell r="K11709" t="str">
            <v>Production</v>
          </cell>
          <cell r="L11709" t="str">
            <v>Freight</v>
          </cell>
          <cell r="N11709" t="str">
            <v>Direct Costs</v>
          </cell>
          <cell r="O11709" t="str">
            <v>DHL Express - USA</v>
          </cell>
        </row>
        <row r="11710">
          <cell r="D11710">
            <v>17</v>
          </cell>
          <cell r="H11710">
            <v>45931</v>
          </cell>
          <cell r="I11710" t="str">
            <v>6375 - Freight Expenses</v>
          </cell>
          <cell r="J11710">
            <v>0</v>
          </cell>
          <cell r="K11710" t="str">
            <v>Production</v>
          </cell>
          <cell r="L11710" t="str">
            <v>Freight</v>
          </cell>
          <cell r="N11710" t="str">
            <v>Direct Costs</v>
          </cell>
          <cell r="O11710" t="str">
            <v>DHL Express - USA</v>
          </cell>
        </row>
        <row r="11711">
          <cell r="D11711">
            <v>1.31</v>
          </cell>
          <cell r="H11711">
            <v>45931</v>
          </cell>
          <cell r="I11711" t="str">
            <v>6375 - Freight Expenses</v>
          </cell>
          <cell r="J11711">
            <v>0</v>
          </cell>
          <cell r="K11711" t="str">
            <v>Production</v>
          </cell>
          <cell r="L11711" t="str">
            <v>Freight</v>
          </cell>
          <cell r="N11711" t="str">
            <v>Direct Costs</v>
          </cell>
          <cell r="O11711" t="str">
            <v>DHL Express - USA</v>
          </cell>
        </row>
        <row r="11712">
          <cell r="D11712">
            <v>4.5</v>
          </cell>
          <cell r="H11712">
            <v>45931</v>
          </cell>
          <cell r="I11712" t="str">
            <v>6375 - Freight Expenses</v>
          </cell>
          <cell r="J11712">
            <v>0</v>
          </cell>
          <cell r="K11712" t="str">
            <v>Production</v>
          </cell>
          <cell r="L11712" t="str">
            <v>Freight</v>
          </cell>
          <cell r="N11712" t="str">
            <v>Direct Costs</v>
          </cell>
          <cell r="O11712" t="str">
            <v>DHL Express - USA</v>
          </cell>
        </row>
        <row r="11713">
          <cell r="D11713">
            <v>17</v>
          </cell>
          <cell r="H11713">
            <v>45931</v>
          </cell>
          <cell r="I11713" t="str">
            <v>6375 - Freight Expenses</v>
          </cell>
          <cell r="J11713">
            <v>0</v>
          </cell>
          <cell r="K11713" t="str">
            <v>Production</v>
          </cell>
          <cell r="L11713" t="str">
            <v>Freight</v>
          </cell>
          <cell r="N11713" t="str">
            <v>Direct Costs</v>
          </cell>
          <cell r="O11713" t="str">
            <v>DHL Express - USA</v>
          </cell>
        </row>
        <row r="11714">
          <cell r="D11714">
            <v>1.34</v>
          </cell>
          <cell r="H11714">
            <v>45931</v>
          </cell>
          <cell r="I11714" t="str">
            <v>6375 - Freight Expenses</v>
          </cell>
          <cell r="J11714">
            <v>0</v>
          </cell>
          <cell r="K11714" t="str">
            <v>Production</v>
          </cell>
          <cell r="L11714" t="str">
            <v>Freight</v>
          </cell>
          <cell r="N11714" t="str">
            <v>Direct Costs</v>
          </cell>
          <cell r="O11714" t="str">
            <v>DHL Express - USA</v>
          </cell>
        </row>
        <row r="11715">
          <cell r="D11715">
            <v>25.92</v>
          </cell>
          <cell r="H11715">
            <v>45931</v>
          </cell>
          <cell r="I11715" t="str">
            <v>6375 - Freight Expenses</v>
          </cell>
          <cell r="J11715" t="str">
            <v>Ecommerce (US)</v>
          </cell>
          <cell r="K11715" t="str">
            <v>Ecommerce</v>
          </cell>
          <cell r="L11715" t="str">
            <v>Freight</v>
          </cell>
          <cell r="N11715" t="str">
            <v>Direct Costs</v>
          </cell>
          <cell r="O11715" t="str">
            <v>UPS Supply Chain Solutions Inc. (7F24A0)</v>
          </cell>
        </row>
        <row r="11716">
          <cell r="D11716">
            <v>3.06</v>
          </cell>
          <cell r="H11716">
            <v>45931</v>
          </cell>
          <cell r="I11716" t="str">
            <v>6375 - Freight Expenses</v>
          </cell>
          <cell r="J11716">
            <v>0</v>
          </cell>
          <cell r="K11716" t="str">
            <v>Production</v>
          </cell>
          <cell r="L11716" t="str">
            <v>Freight</v>
          </cell>
          <cell r="N11716" t="str">
            <v>Direct Costs</v>
          </cell>
          <cell r="O11716" t="str">
            <v>DHL Express - USA</v>
          </cell>
        </row>
        <row r="11717">
          <cell r="D11717">
            <v>17</v>
          </cell>
          <cell r="H11717">
            <v>45931</v>
          </cell>
          <cell r="I11717" t="str">
            <v>6375 - Freight Expenses</v>
          </cell>
          <cell r="J11717">
            <v>0</v>
          </cell>
          <cell r="K11717" t="str">
            <v>Production</v>
          </cell>
          <cell r="L11717" t="str">
            <v>Freight</v>
          </cell>
          <cell r="N11717" t="str">
            <v>Direct Costs</v>
          </cell>
          <cell r="O11717" t="str">
            <v>DHL Express - USA</v>
          </cell>
        </row>
        <row r="11718">
          <cell r="D11718">
            <v>1.34</v>
          </cell>
          <cell r="H11718">
            <v>45931</v>
          </cell>
          <cell r="I11718" t="str">
            <v>6375 - Freight Expenses</v>
          </cell>
          <cell r="J11718">
            <v>0</v>
          </cell>
          <cell r="K11718" t="str">
            <v>Production</v>
          </cell>
          <cell r="L11718" t="str">
            <v>Freight</v>
          </cell>
          <cell r="N11718" t="str">
            <v>Direct Costs</v>
          </cell>
          <cell r="O11718" t="str">
            <v>DHL Express - USA</v>
          </cell>
        </row>
        <row r="11719">
          <cell r="D11719">
            <v>67.5</v>
          </cell>
          <cell r="H11719">
            <v>45931</v>
          </cell>
          <cell r="I11719" t="str">
            <v>6375 - Freight Expenses</v>
          </cell>
          <cell r="J11719">
            <v>0</v>
          </cell>
          <cell r="K11719" t="str">
            <v>Production</v>
          </cell>
          <cell r="L11719" t="str">
            <v>Freight</v>
          </cell>
          <cell r="N11719" t="str">
            <v>Direct Costs</v>
          </cell>
          <cell r="O11719" t="str">
            <v>DHL Express - USA</v>
          </cell>
        </row>
        <row r="11720">
          <cell r="D11720">
            <v>1.31</v>
          </cell>
          <cell r="H11720">
            <v>45931</v>
          </cell>
          <cell r="I11720" t="str">
            <v>6375 - Freight Expenses</v>
          </cell>
          <cell r="J11720">
            <v>0</v>
          </cell>
          <cell r="K11720" t="str">
            <v>Production</v>
          </cell>
          <cell r="L11720" t="str">
            <v>Freight</v>
          </cell>
          <cell r="N11720" t="str">
            <v>Direct Costs</v>
          </cell>
          <cell r="O11720" t="str">
            <v>DHL Express - USA</v>
          </cell>
        </row>
        <row r="11721">
          <cell r="D11721">
            <v>17</v>
          </cell>
          <cell r="H11721">
            <v>45931</v>
          </cell>
          <cell r="I11721" t="str">
            <v>6375 - Freight Expenses</v>
          </cell>
          <cell r="J11721">
            <v>0</v>
          </cell>
          <cell r="K11721" t="str">
            <v>Production</v>
          </cell>
          <cell r="L11721" t="str">
            <v>Freight</v>
          </cell>
          <cell r="N11721" t="str">
            <v>Direct Costs</v>
          </cell>
          <cell r="O11721" t="str">
            <v>DHL Express - USA</v>
          </cell>
        </row>
        <row r="11722">
          <cell r="D11722">
            <v>344.2</v>
          </cell>
          <cell r="H11722">
            <v>45931</v>
          </cell>
          <cell r="I11722" t="str">
            <v>6375 - Freight Expenses</v>
          </cell>
          <cell r="J11722">
            <v>0</v>
          </cell>
          <cell r="K11722" t="str">
            <v>Production</v>
          </cell>
          <cell r="L11722" t="str">
            <v>Freight</v>
          </cell>
          <cell r="N11722" t="str">
            <v>Direct Costs</v>
          </cell>
          <cell r="O11722" t="str">
            <v>DHL Express - USA</v>
          </cell>
        </row>
        <row r="11723">
          <cell r="D11723">
            <v>17</v>
          </cell>
          <cell r="H11723">
            <v>45931</v>
          </cell>
          <cell r="I11723" t="str">
            <v>6375 - Freight Expenses</v>
          </cell>
          <cell r="J11723">
            <v>0</v>
          </cell>
          <cell r="K11723" t="str">
            <v>Production</v>
          </cell>
          <cell r="L11723" t="str">
            <v>Freight</v>
          </cell>
          <cell r="N11723" t="str">
            <v>Direct Costs</v>
          </cell>
          <cell r="O11723" t="str">
            <v>DHL Express - USA</v>
          </cell>
        </row>
        <row r="11724">
          <cell r="D11724">
            <v>1.34</v>
          </cell>
          <cell r="H11724">
            <v>45931</v>
          </cell>
          <cell r="I11724" t="str">
            <v>6375 - Freight Expenses</v>
          </cell>
          <cell r="J11724">
            <v>0</v>
          </cell>
          <cell r="K11724" t="str">
            <v>Production</v>
          </cell>
          <cell r="L11724" t="str">
            <v>Freight</v>
          </cell>
          <cell r="N11724" t="str">
            <v>Direct Costs</v>
          </cell>
          <cell r="O11724" t="str">
            <v>DHL Express - USA</v>
          </cell>
        </row>
        <row r="11725">
          <cell r="D11725">
            <v>94.63</v>
          </cell>
          <cell r="H11725">
            <v>45931</v>
          </cell>
          <cell r="I11725" t="str">
            <v>6375 - Freight Expenses</v>
          </cell>
          <cell r="J11725" t="str">
            <v>Ecommerce (US)</v>
          </cell>
          <cell r="K11725" t="str">
            <v>Ecommerce</v>
          </cell>
          <cell r="L11725" t="str">
            <v>Freight</v>
          </cell>
          <cell r="N11725" t="str">
            <v>Direct Costs</v>
          </cell>
          <cell r="O11725" t="str">
            <v>UPS Supply Chain Solutions Inc. (7F24A0)</v>
          </cell>
        </row>
        <row r="11726">
          <cell r="D11726">
            <v>12.51</v>
          </cell>
          <cell r="H11726">
            <v>45931</v>
          </cell>
          <cell r="I11726" t="str">
            <v>6375 - Freight Expenses</v>
          </cell>
          <cell r="J11726">
            <v>0</v>
          </cell>
          <cell r="K11726" t="str">
            <v>Production</v>
          </cell>
          <cell r="L11726" t="str">
            <v>Freight</v>
          </cell>
          <cell r="N11726" t="str">
            <v>Direct Costs</v>
          </cell>
          <cell r="O11726" t="str">
            <v>DHL Express - USA</v>
          </cell>
        </row>
        <row r="11727">
          <cell r="D11727">
            <v>17</v>
          </cell>
          <cell r="H11727">
            <v>45931</v>
          </cell>
          <cell r="I11727" t="str">
            <v>6375 - Freight Expenses</v>
          </cell>
          <cell r="J11727">
            <v>0</v>
          </cell>
          <cell r="K11727" t="str">
            <v>Production</v>
          </cell>
          <cell r="L11727" t="str">
            <v>Freight</v>
          </cell>
          <cell r="N11727" t="str">
            <v>Direct Costs</v>
          </cell>
          <cell r="O11727" t="str">
            <v>DHL Express - USA</v>
          </cell>
        </row>
        <row r="11728">
          <cell r="D11728">
            <v>1.34</v>
          </cell>
          <cell r="H11728">
            <v>45931</v>
          </cell>
          <cell r="I11728" t="str">
            <v>6375 - Freight Expenses</v>
          </cell>
          <cell r="J11728">
            <v>0</v>
          </cell>
          <cell r="K11728" t="str">
            <v>Production</v>
          </cell>
          <cell r="L11728" t="str">
            <v>Freight</v>
          </cell>
          <cell r="N11728" t="str">
            <v>Direct Costs</v>
          </cell>
          <cell r="O11728" t="str">
            <v>DHL Express - USA</v>
          </cell>
        </row>
        <row r="11729">
          <cell r="D11729">
            <v>23.57</v>
          </cell>
          <cell r="H11729">
            <v>45931</v>
          </cell>
          <cell r="I11729" t="str">
            <v>6375 - Freight Expenses</v>
          </cell>
          <cell r="J11729">
            <v>0</v>
          </cell>
          <cell r="K11729" t="str">
            <v>Production</v>
          </cell>
          <cell r="L11729" t="str">
            <v>Freight</v>
          </cell>
          <cell r="N11729" t="str">
            <v>Direct Costs</v>
          </cell>
          <cell r="O11729" t="str">
            <v>DHL Express - USA</v>
          </cell>
        </row>
        <row r="11730">
          <cell r="D11730">
            <v>17</v>
          </cell>
          <cell r="H11730">
            <v>45931</v>
          </cell>
          <cell r="I11730" t="str">
            <v>6375 - Freight Expenses</v>
          </cell>
          <cell r="J11730">
            <v>0</v>
          </cell>
          <cell r="K11730" t="str">
            <v>Production</v>
          </cell>
          <cell r="L11730" t="str">
            <v>Freight</v>
          </cell>
          <cell r="N11730" t="str">
            <v>Direct Costs</v>
          </cell>
          <cell r="O11730" t="str">
            <v>DHL Express - USA</v>
          </cell>
        </row>
        <row r="11731">
          <cell r="D11731">
            <v>1.34</v>
          </cell>
          <cell r="H11731">
            <v>45931</v>
          </cell>
          <cell r="I11731" t="str">
            <v>6375 - Freight Expenses</v>
          </cell>
          <cell r="J11731">
            <v>0</v>
          </cell>
          <cell r="K11731" t="str">
            <v>Production</v>
          </cell>
          <cell r="L11731" t="str">
            <v>Freight</v>
          </cell>
          <cell r="N11731" t="str">
            <v>Direct Costs</v>
          </cell>
          <cell r="O11731" t="str">
            <v>DHL Express - USA</v>
          </cell>
        </row>
        <row r="11732">
          <cell r="D11732">
            <v>21.37</v>
          </cell>
          <cell r="H11732">
            <v>45931</v>
          </cell>
          <cell r="I11732" t="str">
            <v>6375 - Freight Expenses</v>
          </cell>
          <cell r="J11732">
            <v>0</v>
          </cell>
          <cell r="K11732" t="str">
            <v>Production</v>
          </cell>
          <cell r="L11732" t="str">
            <v>Freight</v>
          </cell>
          <cell r="N11732" t="str">
            <v>Direct Costs</v>
          </cell>
          <cell r="O11732" t="str">
            <v>DHL Express - USA</v>
          </cell>
        </row>
        <row r="11733">
          <cell r="D11733">
            <v>17</v>
          </cell>
          <cell r="H11733">
            <v>45931</v>
          </cell>
          <cell r="I11733" t="str">
            <v>6375 - Freight Expenses</v>
          </cell>
          <cell r="J11733">
            <v>0</v>
          </cell>
          <cell r="K11733" t="str">
            <v>Production</v>
          </cell>
          <cell r="L11733" t="str">
            <v>Freight</v>
          </cell>
          <cell r="N11733" t="str">
            <v>Direct Costs</v>
          </cell>
          <cell r="O11733" t="str">
            <v>DHL Express - USA</v>
          </cell>
        </row>
        <row r="11734">
          <cell r="D11734">
            <v>1.34</v>
          </cell>
          <cell r="H11734">
            <v>45931</v>
          </cell>
          <cell r="I11734" t="str">
            <v>6375 - Freight Expenses</v>
          </cell>
          <cell r="J11734">
            <v>0</v>
          </cell>
          <cell r="K11734" t="str">
            <v>Production</v>
          </cell>
          <cell r="L11734" t="str">
            <v>Freight</v>
          </cell>
          <cell r="N11734" t="str">
            <v>Direct Costs</v>
          </cell>
          <cell r="O11734" t="str">
            <v>DHL Express - USA</v>
          </cell>
        </row>
        <row r="11735">
          <cell r="D11735">
            <v>9.82</v>
          </cell>
          <cell r="H11735">
            <v>45931</v>
          </cell>
          <cell r="I11735" t="str">
            <v>6375 - Freight Expenses</v>
          </cell>
          <cell r="J11735">
            <v>0</v>
          </cell>
          <cell r="K11735" t="str">
            <v>Production</v>
          </cell>
          <cell r="L11735" t="str">
            <v>Freight</v>
          </cell>
          <cell r="N11735" t="str">
            <v>Direct Costs</v>
          </cell>
          <cell r="O11735" t="str">
            <v>DHL Express - USA</v>
          </cell>
        </row>
        <row r="11736">
          <cell r="D11736">
            <v>17</v>
          </cell>
          <cell r="H11736">
            <v>45931</v>
          </cell>
          <cell r="I11736" t="str">
            <v>6375 - Freight Expenses</v>
          </cell>
          <cell r="J11736">
            <v>0</v>
          </cell>
          <cell r="K11736" t="str">
            <v>Production</v>
          </cell>
          <cell r="L11736" t="str">
            <v>Freight</v>
          </cell>
          <cell r="N11736" t="str">
            <v>Direct Costs</v>
          </cell>
          <cell r="O11736" t="str">
            <v>DHL Express - USA</v>
          </cell>
        </row>
        <row r="11737">
          <cell r="D11737">
            <v>1.34</v>
          </cell>
          <cell r="H11737">
            <v>45931</v>
          </cell>
          <cell r="I11737" t="str">
            <v>6375 - Freight Expenses</v>
          </cell>
          <cell r="J11737">
            <v>0</v>
          </cell>
          <cell r="K11737" t="str">
            <v>Production</v>
          </cell>
          <cell r="L11737" t="str">
            <v>Freight</v>
          </cell>
          <cell r="N11737" t="str">
            <v>Direct Costs</v>
          </cell>
          <cell r="O11737" t="str">
            <v>DHL Express - USA</v>
          </cell>
        </row>
        <row r="11738">
          <cell r="D11738">
            <v>62.82</v>
          </cell>
          <cell r="H11738">
            <v>45931</v>
          </cell>
          <cell r="I11738" t="str">
            <v>6375 - Freight Expenses</v>
          </cell>
          <cell r="J11738">
            <v>0</v>
          </cell>
          <cell r="K11738" t="str">
            <v>Production</v>
          </cell>
          <cell r="L11738" t="str">
            <v>Freight</v>
          </cell>
          <cell r="N11738" t="str">
            <v>Direct Costs</v>
          </cell>
          <cell r="O11738" t="str">
            <v>DHL Express - USA</v>
          </cell>
        </row>
        <row r="11739">
          <cell r="D11739">
            <v>10.7</v>
          </cell>
          <cell r="H11739">
            <v>45931</v>
          </cell>
          <cell r="I11739" t="str">
            <v>6375 - Freight Expenses</v>
          </cell>
          <cell r="J11739">
            <v>0</v>
          </cell>
          <cell r="K11739" t="str">
            <v>Production</v>
          </cell>
          <cell r="L11739" t="str">
            <v>Freight</v>
          </cell>
          <cell r="N11739" t="str">
            <v>Direct Costs</v>
          </cell>
          <cell r="O11739" t="str">
            <v>DHL Express - USA</v>
          </cell>
        </row>
        <row r="11740">
          <cell r="D11740">
            <v>17</v>
          </cell>
          <cell r="H11740">
            <v>45931</v>
          </cell>
          <cell r="I11740" t="str">
            <v>6375 - Freight Expenses</v>
          </cell>
          <cell r="J11740">
            <v>0</v>
          </cell>
          <cell r="K11740" t="str">
            <v>Production</v>
          </cell>
          <cell r="L11740" t="str">
            <v>Freight</v>
          </cell>
          <cell r="N11740" t="str">
            <v>Direct Costs</v>
          </cell>
          <cell r="O11740" t="str">
            <v>DHL Express - USA</v>
          </cell>
        </row>
        <row r="11741">
          <cell r="D11741">
            <v>1.34</v>
          </cell>
          <cell r="H11741">
            <v>45931</v>
          </cell>
          <cell r="I11741" t="str">
            <v>6375 - Freight Expenses</v>
          </cell>
          <cell r="J11741">
            <v>0</v>
          </cell>
          <cell r="K11741" t="str">
            <v>Production</v>
          </cell>
          <cell r="L11741" t="str">
            <v>Freight</v>
          </cell>
          <cell r="N11741" t="str">
            <v>Direct Costs</v>
          </cell>
          <cell r="O11741" t="str">
            <v>DHL Express - USA</v>
          </cell>
        </row>
        <row r="11742">
          <cell r="D11742">
            <v>919.59</v>
          </cell>
          <cell r="H11742">
            <v>45931</v>
          </cell>
          <cell r="I11742" t="str">
            <v>6375 - Freight Expenses</v>
          </cell>
          <cell r="J11742">
            <v>0</v>
          </cell>
          <cell r="K11742" t="str">
            <v>Production</v>
          </cell>
          <cell r="L11742" t="str">
            <v>Freight</v>
          </cell>
          <cell r="N11742" t="str">
            <v>Direct Costs</v>
          </cell>
          <cell r="O11742" t="str">
            <v>DHL Express - USA</v>
          </cell>
        </row>
        <row r="11743">
          <cell r="D11743">
            <v>21.9</v>
          </cell>
          <cell r="H11743">
            <v>45931</v>
          </cell>
          <cell r="I11743" t="str">
            <v>6375 - Freight Expenses</v>
          </cell>
          <cell r="J11743">
            <v>0</v>
          </cell>
          <cell r="K11743" t="str">
            <v>Production</v>
          </cell>
          <cell r="L11743" t="str">
            <v>Freight</v>
          </cell>
          <cell r="N11743" t="str">
            <v>Direct Costs</v>
          </cell>
          <cell r="O11743" t="str">
            <v>DHL Express - USA</v>
          </cell>
        </row>
        <row r="11744">
          <cell r="D11744">
            <v>17</v>
          </cell>
          <cell r="H11744">
            <v>45931</v>
          </cell>
          <cell r="I11744" t="str">
            <v>6375 - Freight Expenses</v>
          </cell>
          <cell r="J11744">
            <v>0</v>
          </cell>
          <cell r="K11744" t="str">
            <v>Production</v>
          </cell>
          <cell r="L11744" t="str">
            <v>Freight</v>
          </cell>
          <cell r="N11744" t="str">
            <v>Direct Costs</v>
          </cell>
          <cell r="O11744" t="str">
            <v>DHL Express - USA</v>
          </cell>
        </row>
        <row r="11745">
          <cell r="D11745">
            <v>1.34</v>
          </cell>
          <cell r="H11745">
            <v>45931</v>
          </cell>
          <cell r="I11745" t="str">
            <v>6375 - Freight Expenses</v>
          </cell>
          <cell r="J11745">
            <v>0</v>
          </cell>
          <cell r="K11745" t="str">
            <v>Production</v>
          </cell>
          <cell r="L11745" t="str">
            <v>Freight</v>
          </cell>
          <cell r="N11745" t="str">
            <v>Direct Costs</v>
          </cell>
          <cell r="O11745" t="str">
            <v>DHL Express - USA</v>
          </cell>
        </row>
        <row r="11746">
          <cell r="D11746">
            <v>1894.75</v>
          </cell>
          <cell r="H11746">
            <v>45931</v>
          </cell>
          <cell r="I11746" t="str">
            <v>6375 - Freight Expenses</v>
          </cell>
          <cell r="J11746" t="str">
            <v>Ecommerce (US)</v>
          </cell>
          <cell r="K11746" t="str">
            <v>Ecommerce</v>
          </cell>
          <cell r="L11746" t="str">
            <v>Freight</v>
          </cell>
          <cell r="N11746" t="str">
            <v>Direct Costs</v>
          </cell>
          <cell r="O11746" t="str">
            <v>UPS Supply Chain Solutions Inc. (7F24A0)</v>
          </cell>
        </row>
        <row r="11747">
          <cell r="D11747">
            <v>0.48</v>
          </cell>
          <cell r="H11747">
            <v>45931</v>
          </cell>
          <cell r="I11747" t="str">
            <v>6375 - Freight Expenses</v>
          </cell>
          <cell r="J11747">
            <v>0</v>
          </cell>
          <cell r="K11747" t="str">
            <v>Production</v>
          </cell>
          <cell r="L11747" t="str">
            <v>Freight</v>
          </cell>
          <cell r="N11747" t="str">
            <v>Direct Costs</v>
          </cell>
          <cell r="O11747" t="str">
            <v>DHL Express - USA</v>
          </cell>
        </row>
        <row r="11748">
          <cell r="D11748">
            <v>17</v>
          </cell>
          <cell r="H11748">
            <v>45931</v>
          </cell>
          <cell r="I11748" t="str">
            <v>6375 - Freight Expenses</v>
          </cell>
          <cell r="J11748">
            <v>0</v>
          </cell>
          <cell r="K11748" t="str">
            <v>Production</v>
          </cell>
          <cell r="L11748" t="str">
            <v>Freight</v>
          </cell>
          <cell r="N11748" t="str">
            <v>Direct Costs</v>
          </cell>
          <cell r="O11748" t="str">
            <v>DHL Express - USA</v>
          </cell>
        </row>
        <row r="11749">
          <cell r="D11749">
            <v>1.34</v>
          </cell>
          <cell r="H11749">
            <v>45931</v>
          </cell>
          <cell r="I11749" t="str">
            <v>6375 - Freight Expenses</v>
          </cell>
          <cell r="J11749">
            <v>0</v>
          </cell>
          <cell r="K11749" t="str">
            <v>Production</v>
          </cell>
          <cell r="L11749" t="str">
            <v>Freight</v>
          </cell>
          <cell r="N11749" t="str">
            <v>Direct Costs</v>
          </cell>
          <cell r="O11749" t="str">
            <v>DHL Express - USA</v>
          </cell>
        </row>
        <row r="11750">
          <cell r="D11750">
            <v>5.35</v>
          </cell>
          <cell r="H11750">
            <v>45931</v>
          </cell>
          <cell r="I11750" t="str">
            <v>6375 - Freight Expenses</v>
          </cell>
          <cell r="J11750">
            <v>0</v>
          </cell>
          <cell r="K11750" t="str">
            <v>Production</v>
          </cell>
          <cell r="L11750" t="str">
            <v>Freight</v>
          </cell>
          <cell r="N11750" t="str">
            <v>Direct Costs</v>
          </cell>
          <cell r="O11750" t="str">
            <v>DHL Express - USA</v>
          </cell>
        </row>
        <row r="11751">
          <cell r="D11751">
            <v>17</v>
          </cell>
          <cell r="H11751">
            <v>45931</v>
          </cell>
          <cell r="I11751" t="str">
            <v>6375 - Freight Expenses</v>
          </cell>
          <cell r="J11751">
            <v>0</v>
          </cell>
          <cell r="K11751" t="str">
            <v>Production</v>
          </cell>
          <cell r="L11751" t="str">
            <v>Freight</v>
          </cell>
          <cell r="N11751" t="str">
            <v>Direct Costs</v>
          </cell>
          <cell r="O11751" t="str">
            <v>DHL Express - USA</v>
          </cell>
        </row>
        <row r="11752">
          <cell r="D11752">
            <v>1.34</v>
          </cell>
          <cell r="H11752">
            <v>45931</v>
          </cell>
          <cell r="I11752" t="str">
            <v>6375 - Freight Expenses</v>
          </cell>
          <cell r="J11752">
            <v>0</v>
          </cell>
          <cell r="K11752" t="str">
            <v>Production</v>
          </cell>
          <cell r="L11752" t="str">
            <v>Freight</v>
          </cell>
          <cell r="N11752" t="str">
            <v>Direct Costs</v>
          </cell>
          <cell r="O11752" t="str">
            <v>DHL Express - USA</v>
          </cell>
        </row>
        <row r="11753">
          <cell r="D11753">
            <v>4.5599999999999996</v>
          </cell>
          <cell r="H11753">
            <v>45931</v>
          </cell>
          <cell r="I11753" t="str">
            <v>6375 - Freight Expenses</v>
          </cell>
          <cell r="J11753">
            <v>0</v>
          </cell>
          <cell r="K11753" t="str">
            <v>Production</v>
          </cell>
          <cell r="L11753" t="str">
            <v>Freight</v>
          </cell>
          <cell r="N11753" t="str">
            <v>Direct Costs</v>
          </cell>
          <cell r="O11753" t="str">
            <v>DHL Express - USA</v>
          </cell>
        </row>
        <row r="11754">
          <cell r="D11754">
            <v>17</v>
          </cell>
          <cell r="H11754">
            <v>45931</v>
          </cell>
          <cell r="I11754" t="str">
            <v>6375 - Freight Expenses</v>
          </cell>
          <cell r="J11754">
            <v>0</v>
          </cell>
          <cell r="K11754" t="str">
            <v>Production</v>
          </cell>
          <cell r="L11754" t="str">
            <v>Freight</v>
          </cell>
          <cell r="N11754" t="str">
            <v>Direct Costs</v>
          </cell>
          <cell r="O11754" t="str">
            <v>DHL Express - USA</v>
          </cell>
        </row>
        <row r="11755">
          <cell r="D11755">
            <v>1.34</v>
          </cell>
          <cell r="H11755">
            <v>45931</v>
          </cell>
          <cell r="I11755" t="str">
            <v>6375 - Freight Expenses</v>
          </cell>
          <cell r="J11755">
            <v>0</v>
          </cell>
          <cell r="K11755" t="str">
            <v>Production</v>
          </cell>
          <cell r="L11755" t="str">
            <v>Freight</v>
          </cell>
          <cell r="N11755" t="str">
            <v>Direct Costs</v>
          </cell>
          <cell r="O11755" t="str">
            <v>DHL Express - USA</v>
          </cell>
        </row>
        <row r="11756">
          <cell r="D11756">
            <v>224.73</v>
          </cell>
          <cell r="H11756">
            <v>45931</v>
          </cell>
          <cell r="I11756" t="str">
            <v>6375 - Freight Expenses</v>
          </cell>
          <cell r="J11756" t="str">
            <v>Ecommerce (US)</v>
          </cell>
          <cell r="K11756" t="str">
            <v>Ecommerce</v>
          </cell>
          <cell r="L11756" t="str">
            <v>Freight</v>
          </cell>
          <cell r="N11756" t="str">
            <v>Direct Costs</v>
          </cell>
          <cell r="O11756" t="str">
            <v>UPS Supply Chain Solutions Inc. (7F24A0)</v>
          </cell>
        </row>
        <row r="11757">
          <cell r="D11757">
            <v>27027.97</v>
          </cell>
          <cell r="H11757">
            <v>45931</v>
          </cell>
          <cell r="I11757" t="str">
            <v>6375 - Freight Expenses</v>
          </cell>
          <cell r="J11757" t="str">
            <v>Ecommerce (US)</v>
          </cell>
          <cell r="K11757" t="str">
            <v>Ecommerce</v>
          </cell>
          <cell r="L11757" t="str">
            <v>Freight</v>
          </cell>
          <cell r="N11757" t="str">
            <v>Direct Costs</v>
          </cell>
          <cell r="O11757" t="str">
            <v>UPS Supply Chain Solutions Inc. (7F24A0)</v>
          </cell>
        </row>
        <row r="11758">
          <cell r="D11758">
            <v>256.55</v>
          </cell>
          <cell r="H11758">
            <v>45931</v>
          </cell>
          <cell r="I11758" t="str">
            <v>6375 - Freight Expenses</v>
          </cell>
          <cell r="J11758" t="str">
            <v>Wholesale</v>
          </cell>
          <cell r="K11758" t="str">
            <v>Wholesale</v>
          </cell>
          <cell r="L11758" t="str">
            <v>Freight</v>
          </cell>
          <cell r="N11758" t="str">
            <v>Direct Costs</v>
          </cell>
          <cell r="O11758" t="str">
            <v>UPS Supply Chain Solutions Inc. (7F24A0)</v>
          </cell>
        </row>
        <row r="11759">
          <cell r="D11759">
            <v>1117.02</v>
          </cell>
          <cell r="H11759">
            <v>45931</v>
          </cell>
          <cell r="I11759" t="str">
            <v>6375 - Freight Expenses</v>
          </cell>
          <cell r="J11759" t="str">
            <v>Ecommerce (US)</v>
          </cell>
          <cell r="K11759" t="str">
            <v>Ecommerce</v>
          </cell>
          <cell r="L11759" t="str">
            <v>Freight</v>
          </cell>
          <cell r="N11759" t="str">
            <v>Direct Costs</v>
          </cell>
          <cell r="O11759" t="str">
            <v>UPS Supply Chain Solutions Inc. (7F24A0)</v>
          </cell>
        </row>
        <row r="11760">
          <cell r="D11760">
            <v>149.01</v>
          </cell>
          <cell r="H11760">
            <v>45931</v>
          </cell>
          <cell r="I11760" t="str">
            <v>6375 - Freight Expenses</v>
          </cell>
          <cell r="J11760">
            <v>0</v>
          </cell>
          <cell r="K11760" t="str">
            <v>Production</v>
          </cell>
          <cell r="L11760" t="str">
            <v>Freight</v>
          </cell>
          <cell r="N11760" t="str">
            <v>Direct Costs</v>
          </cell>
          <cell r="O11760" t="str">
            <v>Federal Express</v>
          </cell>
        </row>
        <row r="11761">
          <cell r="D11761">
            <v>206.64</v>
          </cell>
          <cell r="H11761">
            <v>45931</v>
          </cell>
          <cell r="I11761" t="str">
            <v>6375 - Freight Expenses</v>
          </cell>
          <cell r="J11761" t="str">
            <v>Ecommerce (US)</v>
          </cell>
          <cell r="K11761" t="str">
            <v>Ecommerce</v>
          </cell>
          <cell r="L11761" t="str">
            <v>Freight</v>
          </cell>
          <cell r="N11761" t="str">
            <v>Direct Costs</v>
          </cell>
          <cell r="O11761" t="str">
            <v>UPS Supply Chain Solutions Inc. (7F24A0)</v>
          </cell>
        </row>
        <row r="11762">
          <cell r="D11762">
            <v>-97.8</v>
          </cell>
          <cell r="H11762">
            <v>45931</v>
          </cell>
          <cell r="I11762" t="str">
            <v>6375 - Freight Expenses</v>
          </cell>
          <cell r="J11762" t="str">
            <v>Ecommerce (US)</v>
          </cell>
          <cell r="K11762" t="str">
            <v>Ecommerce</v>
          </cell>
          <cell r="L11762" t="str">
            <v>Freight</v>
          </cell>
          <cell r="N11762" t="str">
            <v>Direct Costs</v>
          </cell>
          <cell r="O11762" t="str">
            <v>UPS Supply Chain Solutions Inc. (7F24A0)</v>
          </cell>
        </row>
        <row r="11763">
          <cell r="D11763">
            <v>1.1200000000000001</v>
          </cell>
          <cell r="H11763">
            <v>45931</v>
          </cell>
          <cell r="I11763" t="str">
            <v>6375 - Freight Expenses</v>
          </cell>
          <cell r="J11763">
            <v>0</v>
          </cell>
          <cell r="K11763" t="str">
            <v>Production</v>
          </cell>
          <cell r="L11763" t="str">
            <v>Freight</v>
          </cell>
          <cell r="N11763" t="str">
            <v>Direct Costs</v>
          </cell>
          <cell r="O11763" t="str">
            <v>DHL Express - USA</v>
          </cell>
        </row>
        <row r="11764">
          <cell r="D11764">
            <v>17</v>
          </cell>
          <cell r="H11764">
            <v>45931</v>
          </cell>
          <cell r="I11764" t="str">
            <v>6375 - Freight Expenses</v>
          </cell>
          <cell r="J11764">
            <v>0</v>
          </cell>
          <cell r="K11764" t="str">
            <v>Production</v>
          </cell>
          <cell r="L11764" t="str">
            <v>Freight</v>
          </cell>
          <cell r="N11764" t="str">
            <v>Direct Costs</v>
          </cell>
          <cell r="O11764" t="str">
            <v>DHL Express - USA</v>
          </cell>
        </row>
        <row r="11765">
          <cell r="D11765">
            <v>1.34</v>
          </cell>
          <cell r="H11765">
            <v>45931</v>
          </cell>
          <cell r="I11765" t="str">
            <v>6375 - Freight Expenses</v>
          </cell>
          <cell r="J11765">
            <v>0</v>
          </cell>
          <cell r="K11765" t="str">
            <v>Production</v>
          </cell>
          <cell r="L11765" t="str">
            <v>Freight</v>
          </cell>
          <cell r="N11765" t="str">
            <v>Direct Costs</v>
          </cell>
          <cell r="O11765" t="str">
            <v>DHL Express - USA</v>
          </cell>
        </row>
        <row r="11766">
          <cell r="D11766">
            <v>2.73</v>
          </cell>
          <cell r="H11766">
            <v>45931</v>
          </cell>
          <cell r="I11766" t="str">
            <v>6375 - Freight Expenses</v>
          </cell>
          <cell r="J11766">
            <v>0</v>
          </cell>
          <cell r="K11766" t="str">
            <v>Production</v>
          </cell>
          <cell r="L11766" t="str">
            <v>Freight</v>
          </cell>
          <cell r="N11766" t="str">
            <v>Direct Costs</v>
          </cell>
          <cell r="O11766" t="str">
            <v>DHL Express - USA</v>
          </cell>
        </row>
        <row r="11767">
          <cell r="D11767">
            <v>17</v>
          </cell>
          <cell r="H11767">
            <v>45931</v>
          </cell>
          <cell r="I11767" t="str">
            <v>6375 - Freight Expenses</v>
          </cell>
          <cell r="J11767">
            <v>0</v>
          </cell>
          <cell r="K11767" t="str">
            <v>Production</v>
          </cell>
          <cell r="L11767" t="str">
            <v>Freight</v>
          </cell>
          <cell r="N11767" t="str">
            <v>Direct Costs</v>
          </cell>
          <cell r="O11767" t="str">
            <v>DHL Express - USA</v>
          </cell>
        </row>
        <row r="11768">
          <cell r="D11768">
            <v>1.34</v>
          </cell>
          <cell r="H11768">
            <v>45931</v>
          </cell>
          <cell r="I11768" t="str">
            <v>6375 - Freight Expenses</v>
          </cell>
          <cell r="J11768">
            <v>0</v>
          </cell>
          <cell r="K11768" t="str">
            <v>Production</v>
          </cell>
          <cell r="L11768" t="str">
            <v>Freight</v>
          </cell>
          <cell r="N11768" t="str">
            <v>Direct Costs</v>
          </cell>
          <cell r="O11768" t="str">
            <v>DHL Express - USA</v>
          </cell>
        </row>
        <row r="11769">
          <cell r="D11769">
            <v>3.26</v>
          </cell>
          <cell r="H11769">
            <v>45931</v>
          </cell>
          <cell r="I11769" t="str">
            <v>6375 - Freight Expenses</v>
          </cell>
          <cell r="J11769">
            <v>0</v>
          </cell>
          <cell r="K11769" t="str">
            <v>Production</v>
          </cell>
          <cell r="L11769" t="str">
            <v>Freight</v>
          </cell>
          <cell r="N11769" t="str">
            <v>Direct Costs</v>
          </cell>
          <cell r="O11769" t="str">
            <v>DHL Express - USA</v>
          </cell>
        </row>
        <row r="11770">
          <cell r="D11770">
            <v>17</v>
          </cell>
          <cell r="H11770">
            <v>45931</v>
          </cell>
          <cell r="I11770" t="str">
            <v>6375 - Freight Expenses</v>
          </cell>
          <cell r="J11770">
            <v>0</v>
          </cell>
          <cell r="K11770" t="str">
            <v>Production</v>
          </cell>
          <cell r="L11770" t="str">
            <v>Freight</v>
          </cell>
          <cell r="N11770" t="str">
            <v>Direct Costs</v>
          </cell>
          <cell r="O11770" t="str">
            <v>DHL Express - USA</v>
          </cell>
        </row>
        <row r="11771">
          <cell r="D11771">
            <v>1.34</v>
          </cell>
          <cell r="H11771">
            <v>45931</v>
          </cell>
          <cell r="I11771" t="str">
            <v>6375 - Freight Expenses</v>
          </cell>
          <cell r="J11771">
            <v>0</v>
          </cell>
          <cell r="K11771" t="str">
            <v>Production</v>
          </cell>
          <cell r="L11771" t="str">
            <v>Freight</v>
          </cell>
          <cell r="N11771" t="str">
            <v>Direct Costs</v>
          </cell>
          <cell r="O11771" t="str">
            <v>DHL Express - USA</v>
          </cell>
        </row>
        <row r="11772">
          <cell r="D11772">
            <v>22.24</v>
          </cell>
          <cell r="H11772">
            <v>45931</v>
          </cell>
          <cell r="I11772" t="str">
            <v>6375 - Freight Expenses</v>
          </cell>
          <cell r="J11772">
            <v>0</v>
          </cell>
          <cell r="K11772" t="str">
            <v>Production</v>
          </cell>
          <cell r="L11772" t="str">
            <v>Freight</v>
          </cell>
          <cell r="N11772" t="str">
            <v>Direct Costs</v>
          </cell>
          <cell r="O11772" t="str">
            <v>DHL Express - USA</v>
          </cell>
        </row>
        <row r="11773">
          <cell r="D11773">
            <v>17</v>
          </cell>
          <cell r="H11773">
            <v>45931</v>
          </cell>
          <cell r="I11773" t="str">
            <v>6375 - Freight Expenses</v>
          </cell>
          <cell r="J11773">
            <v>0</v>
          </cell>
          <cell r="K11773" t="str">
            <v>Production</v>
          </cell>
          <cell r="L11773" t="str">
            <v>Freight</v>
          </cell>
          <cell r="N11773" t="str">
            <v>Direct Costs</v>
          </cell>
          <cell r="O11773" t="str">
            <v>DHL Express - USA</v>
          </cell>
        </row>
        <row r="11774">
          <cell r="D11774">
            <v>1.34</v>
          </cell>
          <cell r="H11774">
            <v>45931</v>
          </cell>
          <cell r="I11774" t="str">
            <v>6375 - Freight Expenses</v>
          </cell>
          <cell r="J11774">
            <v>0</v>
          </cell>
          <cell r="K11774" t="str">
            <v>Production</v>
          </cell>
          <cell r="L11774" t="str">
            <v>Freight</v>
          </cell>
          <cell r="N11774" t="str">
            <v>Direct Costs</v>
          </cell>
          <cell r="O11774" t="str">
            <v>DHL Express - USA</v>
          </cell>
        </row>
        <row r="11775">
          <cell r="D11775">
            <v>2612.38</v>
          </cell>
          <cell r="H11775">
            <v>45931</v>
          </cell>
          <cell r="I11775" t="str">
            <v>6375 - Freight Expenses</v>
          </cell>
          <cell r="J11775" t="str">
            <v>Ecommerce (US)</v>
          </cell>
          <cell r="K11775" t="str">
            <v>Ecommerce</v>
          </cell>
          <cell r="L11775" t="str">
            <v>Freight</v>
          </cell>
          <cell r="N11775" t="str">
            <v>Direct Costs</v>
          </cell>
          <cell r="O11775" t="str">
            <v>UPS Supply Chain Solutions Inc. (7F24A0)</v>
          </cell>
        </row>
        <row r="11776">
          <cell r="D11776">
            <v>59.5</v>
          </cell>
          <cell r="H11776">
            <v>45931</v>
          </cell>
          <cell r="I11776" t="str">
            <v>6375 - Freight Expenses</v>
          </cell>
          <cell r="J11776">
            <v>0</v>
          </cell>
          <cell r="K11776" t="str">
            <v>Administration</v>
          </cell>
          <cell r="L11776" t="str">
            <v>Freight</v>
          </cell>
          <cell r="N11776" t="str">
            <v>Direct Costs</v>
          </cell>
          <cell r="O11776" t="str">
            <v>Leila NA</v>
          </cell>
        </row>
        <row r="11777">
          <cell r="D11777">
            <v>10000</v>
          </cell>
          <cell r="H11777">
            <v>45931</v>
          </cell>
          <cell r="I11777" t="str">
            <v>6375 - Freight Expenses</v>
          </cell>
          <cell r="J11777" t="str">
            <v>Ecommerce (US)</v>
          </cell>
          <cell r="K11777" t="str">
            <v>Ecommerce</v>
          </cell>
          <cell r="L11777" t="str">
            <v>Freight</v>
          </cell>
          <cell r="N11777" t="str">
            <v>Direct Costs</v>
          </cell>
          <cell r="O11777" t="str">
            <v>[No Vendor]</v>
          </cell>
        </row>
        <row r="11778">
          <cell r="D11778">
            <v>477.13</v>
          </cell>
          <cell r="H11778">
            <v>45931</v>
          </cell>
          <cell r="I11778" t="str">
            <v>6375 - Freight Expenses</v>
          </cell>
          <cell r="J11778">
            <v>0</v>
          </cell>
          <cell r="K11778" t="str">
            <v>Brand Marketing</v>
          </cell>
          <cell r="L11778" t="str">
            <v>Freight</v>
          </cell>
          <cell r="N11778" t="str">
            <v>Direct Costs</v>
          </cell>
          <cell r="O11778" t="str">
            <v>GFD Courier Corporation</v>
          </cell>
        </row>
        <row r="11779">
          <cell r="D11779">
            <v>437.13</v>
          </cell>
          <cell r="H11779">
            <v>45931</v>
          </cell>
          <cell r="I11779" t="str">
            <v>6375 - Freight Expenses</v>
          </cell>
          <cell r="J11779">
            <v>0</v>
          </cell>
          <cell r="K11779" t="str">
            <v>Brand Marketing</v>
          </cell>
          <cell r="L11779" t="str">
            <v>Freight</v>
          </cell>
          <cell r="N11779" t="str">
            <v>Direct Costs</v>
          </cell>
          <cell r="O11779" t="str">
            <v>GFD Courier Corporation</v>
          </cell>
        </row>
        <row r="11780">
          <cell r="D11780">
            <v>194.94</v>
          </cell>
          <cell r="H11780">
            <v>45931</v>
          </cell>
          <cell r="I11780" t="str">
            <v>6375 - Freight Expenses</v>
          </cell>
          <cell r="J11780">
            <v>0</v>
          </cell>
          <cell r="K11780" t="str">
            <v>Brand Marketing</v>
          </cell>
          <cell r="L11780" t="str">
            <v>Freight</v>
          </cell>
          <cell r="N11780" t="str">
            <v>Direct Costs</v>
          </cell>
          <cell r="O11780" t="str">
            <v>GFD Courier Corporation</v>
          </cell>
        </row>
        <row r="11781">
          <cell r="D11781">
            <v>51.64</v>
          </cell>
          <cell r="H11781">
            <v>45931</v>
          </cell>
          <cell r="I11781" t="str">
            <v>6375 - Freight Expenses</v>
          </cell>
          <cell r="J11781">
            <v>0</v>
          </cell>
          <cell r="K11781" t="str">
            <v>Brand Marketing</v>
          </cell>
          <cell r="L11781" t="str">
            <v>Freight</v>
          </cell>
          <cell r="N11781" t="str">
            <v>Direct Costs</v>
          </cell>
          <cell r="O11781" t="str">
            <v>GFD Courier Corporation</v>
          </cell>
        </row>
        <row r="11782">
          <cell r="D11782">
            <v>167.03</v>
          </cell>
          <cell r="H11782">
            <v>45931</v>
          </cell>
          <cell r="I11782" t="str">
            <v>6375 - Freight Expenses</v>
          </cell>
          <cell r="J11782" t="str">
            <v>Ecommerce (US)</v>
          </cell>
          <cell r="K11782" t="str">
            <v>Ecommerce</v>
          </cell>
          <cell r="L11782" t="str">
            <v>Freight</v>
          </cell>
          <cell r="N11782" t="str">
            <v>Direct Costs</v>
          </cell>
          <cell r="O11782" t="str">
            <v>UPS Supply Chain Solutions Inc. (7F24A0)</v>
          </cell>
        </row>
        <row r="11783">
          <cell r="D11783">
            <v>172.18</v>
          </cell>
          <cell r="H11783">
            <v>45931</v>
          </cell>
          <cell r="I11783" t="str">
            <v>6375 - Freight Expenses</v>
          </cell>
          <cell r="J11783" t="str">
            <v>Ecommerce (US)</v>
          </cell>
          <cell r="K11783" t="str">
            <v>Ecommerce</v>
          </cell>
          <cell r="L11783" t="str">
            <v>Freight</v>
          </cell>
          <cell r="N11783" t="str">
            <v>Direct Costs</v>
          </cell>
          <cell r="O11783" t="str">
            <v>UPS Supply Chain Solutions Inc. (7F24A0)</v>
          </cell>
        </row>
        <row r="11784">
          <cell r="D11784">
            <v>170.51</v>
          </cell>
          <cell r="H11784">
            <v>45931</v>
          </cell>
          <cell r="I11784" t="str">
            <v>6375 - Freight Expenses</v>
          </cell>
          <cell r="J11784">
            <v>0</v>
          </cell>
          <cell r="K11784" t="str">
            <v>Production</v>
          </cell>
          <cell r="L11784" t="str">
            <v>Freight</v>
          </cell>
          <cell r="N11784" t="str">
            <v>Direct Costs</v>
          </cell>
          <cell r="O11784" t="str">
            <v>DHL Express - USA</v>
          </cell>
        </row>
        <row r="11785">
          <cell r="D11785">
            <v>1294.47</v>
          </cell>
          <cell r="H11785">
            <v>45931</v>
          </cell>
          <cell r="I11785" t="str">
            <v>6375 - Freight Expenses</v>
          </cell>
          <cell r="J11785">
            <v>0</v>
          </cell>
          <cell r="K11785" t="str">
            <v>Production</v>
          </cell>
          <cell r="L11785" t="str">
            <v>Freight</v>
          </cell>
          <cell r="N11785" t="str">
            <v>Direct Costs</v>
          </cell>
          <cell r="O11785" t="str">
            <v>DHL Express - USA</v>
          </cell>
        </row>
        <row r="11786">
          <cell r="D11786">
            <v>196.7</v>
          </cell>
          <cell r="H11786">
            <v>45931</v>
          </cell>
          <cell r="I11786" t="str">
            <v>6375 - Freight Expenses</v>
          </cell>
          <cell r="J11786">
            <v>0</v>
          </cell>
          <cell r="K11786" t="str">
            <v>Production</v>
          </cell>
          <cell r="L11786" t="str">
            <v>Freight</v>
          </cell>
          <cell r="N11786" t="str">
            <v>Direct Costs</v>
          </cell>
          <cell r="O11786" t="str">
            <v>UPS Supply Chain Solutions Inc. (7F24A0)</v>
          </cell>
        </row>
        <row r="11787">
          <cell r="D11787">
            <v>3139.01</v>
          </cell>
          <cell r="H11787">
            <v>45931</v>
          </cell>
          <cell r="I11787" t="str">
            <v>6375 - Freight Expenses</v>
          </cell>
          <cell r="J11787" t="str">
            <v>Ecommerce (EU)</v>
          </cell>
          <cell r="K11787" t="str">
            <v>Ecommerce</v>
          </cell>
          <cell r="L11787" t="str">
            <v>Freight</v>
          </cell>
          <cell r="N11787" t="str">
            <v>Direct Costs</v>
          </cell>
          <cell r="O11787" t="str">
            <v>[No Vendor]</v>
          </cell>
        </row>
        <row r="11788">
          <cell r="D11788">
            <v>26771.8</v>
          </cell>
          <cell r="H11788">
            <v>45931</v>
          </cell>
          <cell r="I11788" t="str">
            <v>6375 - Freight Expenses</v>
          </cell>
          <cell r="J11788" t="str">
            <v>Ecommerce (US)</v>
          </cell>
          <cell r="K11788" t="str">
            <v>Ecommerce</v>
          </cell>
          <cell r="L11788" t="str">
            <v>Freight</v>
          </cell>
          <cell r="N11788" t="str">
            <v>Direct Costs</v>
          </cell>
          <cell r="O11788" t="str">
            <v>UPS Supply Chain Solutions Inc. (7F24A0)</v>
          </cell>
        </row>
        <row r="11789">
          <cell r="D11789">
            <v>649.52</v>
          </cell>
          <cell r="H11789">
            <v>45931</v>
          </cell>
          <cell r="I11789" t="str">
            <v>6375 - Freight Expenses</v>
          </cell>
          <cell r="J11789" t="str">
            <v>Ecommerce (US)</v>
          </cell>
          <cell r="K11789" t="str">
            <v>Ecommerce</v>
          </cell>
          <cell r="L11789" t="str">
            <v>Freight</v>
          </cell>
          <cell r="N11789" t="str">
            <v>Direct Costs</v>
          </cell>
          <cell r="O11789" t="str">
            <v>Amazon</v>
          </cell>
        </row>
        <row r="11790">
          <cell r="D11790">
            <v>-49427</v>
          </cell>
          <cell r="H11790">
            <v>45931</v>
          </cell>
          <cell r="I11790" t="str">
            <v>6375 - Freight Expenses</v>
          </cell>
          <cell r="J11790" t="str">
            <v>Ecommerce (US)</v>
          </cell>
          <cell r="K11790" t="str">
            <v>Ecommerce</v>
          </cell>
          <cell r="L11790" t="str">
            <v>Freight</v>
          </cell>
          <cell r="N11790" t="str">
            <v>Direct Costs</v>
          </cell>
          <cell r="O11790" t="str">
            <v>[No Vendor]</v>
          </cell>
        </row>
        <row r="11791">
          <cell r="D11791">
            <v>-2688</v>
          </cell>
          <cell r="H11791">
            <v>45931</v>
          </cell>
          <cell r="I11791" t="str">
            <v>6375 - Freight Expenses</v>
          </cell>
          <cell r="J11791" t="str">
            <v>Ecommerce (US)</v>
          </cell>
          <cell r="K11791" t="str">
            <v>Ecommerce</v>
          </cell>
          <cell r="L11791" t="str">
            <v>Freight</v>
          </cell>
          <cell r="N11791" t="str">
            <v>Direct Costs</v>
          </cell>
          <cell r="O11791" t="str">
            <v>[No Vendor]</v>
          </cell>
        </row>
        <row r="11792">
          <cell r="D11792">
            <v>1045.1600000000001</v>
          </cell>
          <cell r="H11792">
            <v>45931</v>
          </cell>
          <cell r="I11792" t="str">
            <v>6375 - Freight Expenses</v>
          </cell>
          <cell r="J11792" t="str">
            <v>Wholesale</v>
          </cell>
          <cell r="K11792" t="str">
            <v>Wholesale</v>
          </cell>
          <cell r="L11792" t="str">
            <v>Freight</v>
          </cell>
          <cell r="N11792" t="str">
            <v>Direct Costs</v>
          </cell>
          <cell r="O11792" t="str">
            <v>[No Vendor]</v>
          </cell>
        </row>
        <row r="11793">
          <cell r="D11793">
            <v>-6422.27</v>
          </cell>
          <cell r="H11793">
            <v>45931</v>
          </cell>
          <cell r="I11793" t="str">
            <v>6375 - Freight Expenses</v>
          </cell>
          <cell r="J11793" t="str">
            <v>Wholesale</v>
          </cell>
          <cell r="K11793" t="str">
            <v>Wholesale</v>
          </cell>
          <cell r="L11793" t="str">
            <v>Freight</v>
          </cell>
          <cell r="N11793" t="str">
            <v>Direct Costs</v>
          </cell>
          <cell r="O11793" t="str">
            <v>[No Vendor]</v>
          </cell>
        </row>
        <row r="11794">
          <cell r="D11794">
            <v>1913.3</v>
          </cell>
          <cell r="H11794">
            <v>45931</v>
          </cell>
          <cell r="I11794" t="str">
            <v>6376 - Freight Supplies Other</v>
          </cell>
          <cell r="J11794" t="str">
            <v>Wholesale</v>
          </cell>
          <cell r="K11794" t="str">
            <v>Wholesale</v>
          </cell>
          <cell r="L11794" t="str">
            <v>Order Processing</v>
          </cell>
          <cell r="N11794" t="str">
            <v>Direct Costs</v>
          </cell>
          <cell r="O11794" t="str">
            <v>Bergen Logistics Corporation</v>
          </cell>
        </row>
        <row r="11795">
          <cell r="D11795">
            <v>59369.94</v>
          </cell>
          <cell r="H11795">
            <v>45931</v>
          </cell>
          <cell r="I11795" t="str">
            <v>6376 - Freight Supplies Other</v>
          </cell>
          <cell r="J11795" t="str">
            <v>Ecommerce (US)</v>
          </cell>
          <cell r="K11795" t="str">
            <v>Ecommerce</v>
          </cell>
          <cell r="L11795" t="str">
            <v>Order Processing</v>
          </cell>
          <cell r="N11795" t="str">
            <v>Direct Costs</v>
          </cell>
          <cell r="O11795" t="str">
            <v>Bergen Logistics Corporation</v>
          </cell>
        </row>
        <row r="11796">
          <cell r="D11796">
            <v>3802.77</v>
          </cell>
          <cell r="H11796">
            <v>45931</v>
          </cell>
          <cell r="I11796" t="str">
            <v>6376 - Freight Supplies Other</v>
          </cell>
          <cell r="J11796" t="str">
            <v>Ecommerce (EU)</v>
          </cell>
          <cell r="K11796" t="str">
            <v>Ecommerce</v>
          </cell>
          <cell r="L11796" t="str">
            <v>Order Processing</v>
          </cell>
          <cell r="N11796" t="str">
            <v>Direct Costs</v>
          </cell>
          <cell r="O11796" t="str">
            <v>Bergen Logistics Corporation</v>
          </cell>
        </row>
        <row r="11797">
          <cell r="D11797">
            <v>-60567.5</v>
          </cell>
          <cell r="H11797">
            <v>45931</v>
          </cell>
          <cell r="I11797" t="str">
            <v>6376 - Freight Supplies Other</v>
          </cell>
          <cell r="J11797" t="str">
            <v>Ecommerce (US)</v>
          </cell>
          <cell r="K11797" t="str">
            <v>Ecommerce</v>
          </cell>
          <cell r="L11797" t="str">
            <v>Order Processing</v>
          </cell>
          <cell r="N11797" t="str">
            <v>Direct Costs</v>
          </cell>
          <cell r="O11797" t="str">
            <v>Bergen Logistics Corporation</v>
          </cell>
        </row>
        <row r="11798">
          <cell r="D11798">
            <v>535.05999999999995</v>
          </cell>
          <cell r="H11798">
            <v>45931</v>
          </cell>
          <cell r="I11798" t="str">
            <v>6376 - Freight Supplies Other</v>
          </cell>
          <cell r="J11798" t="str">
            <v>Wholesale</v>
          </cell>
          <cell r="K11798" t="str">
            <v>Wholesale</v>
          </cell>
          <cell r="L11798" t="str">
            <v>Order Processing</v>
          </cell>
          <cell r="N11798" t="str">
            <v>Direct Costs</v>
          </cell>
          <cell r="O11798" t="str">
            <v>Bergen Logistics Corporation</v>
          </cell>
        </row>
        <row r="11799">
          <cell r="D11799">
            <v>5493.89</v>
          </cell>
          <cell r="H11799">
            <v>45931</v>
          </cell>
          <cell r="I11799" t="str">
            <v>6376 - Freight Supplies Other</v>
          </cell>
          <cell r="J11799" t="str">
            <v>Ecommerce (US)</v>
          </cell>
          <cell r="K11799" t="str">
            <v>Ecommerce</v>
          </cell>
          <cell r="L11799" t="str">
            <v>Order Processing</v>
          </cell>
          <cell r="N11799" t="str">
            <v>Direct Costs</v>
          </cell>
          <cell r="O11799" t="str">
            <v>Bergen Logistics Corporation</v>
          </cell>
        </row>
        <row r="11800">
          <cell r="D11800">
            <v>312.22000000000003</v>
          </cell>
          <cell r="H11800">
            <v>45931</v>
          </cell>
          <cell r="I11800" t="str">
            <v>6376 - Freight Supplies Other</v>
          </cell>
          <cell r="J11800" t="str">
            <v>Ecommerce (EU)</v>
          </cell>
          <cell r="K11800" t="str">
            <v>Ecommerce</v>
          </cell>
          <cell r="L11800" t="str">
            <v>Order Processing</v>
          </cell>
          <cell r="N11800" t="str">
            <v>Direct Costs</v>
          </cell>
          <cell r="O11800" t="str">
            <v>Bergen Logistics Corporation</v>
          </cell>
        </row>
        <row r="11801">
          <cell r="D11801">
            <v>-54.38</v>
          </cell>
          <cell r="H11801">
            <v>45931</v>
          </cell>
          <cell r="I11801" t="str">
            <v>6377 - Order Processing Expenses (New)</v>
          </cell>
          <cell r="J11801" t="str">
            <v>Ecommerce (EU)</v>
          </cell>
          <cell r="K11801" t="str">
            <v>Ecommerce</v>
          </cell>
          <cell r="L11801" t="str">
            <v>Order Processing</v>
          </cell>
          <cell r="N11801" t="str">
            <v>Direct Costs</v>
          </cell>
          <cell r="O11801" t="str">
            <v>[No Vendor]</v>
          </cell>
        </row>
        <row r="11802">
          <cell r="D11802">
            <v>3408.52</v>
          </cell>
          <cell r="H11802">
            <v>45931</v>
          </cell>
          <cell r="I11802" t="str">
            <v>6377 - Order Processing Expenses (New)</v>
          </cell>
          <cell r="J11802" t="str">
            <v>Wholesale</v>
          </cell>
          <cell r="K11802" t="str">
            <v>Wholesale</v>
          </cell>
          <cell r="L11802" t="str">
            <v>Order Processing</v>
          </cell>
          <cell r="N11802" t="str">
            <v>Direct Costs</v>
          </cell>
          <cell r="O11802" t="str">
            <v>Bergen Logistics Corporation</v>
          </cell>
        </row>
        <row r="11803">
          <cell r="D11803">
            <v>32724.98</v>
          </cell>
          <cell r="H11803">
            <v>45931</v>
          </cell>
          <cell r="I11803" t="str">
            <v>6377 - Order Processing Expenses (New)</v>
          </cell>
          <cell r="J11803" t="str">
            <v>Ecommerce (US)</v>
          </cell>
          <cell r="K11803" t="str">
            <v>Ecommerce</v>
          </cell>
          <cell r="L11803" t="str">
            <v>Order Processing</v>
          </cell>
          <cell r="N11803" t="str">
            <v>Direct Costs</v>
          </cell>
          <cell r="O11803" t="str">
            <v>Bergen Logistics Corporation</v>
          </cell>
        </row>
        <row r="11804">
          <cell r="D11804">
            <v>633.88</v>
          </cell>
          <cell r="H11804">
            <v>45931</v>
          </cell>
          <cell r="I11804" t="str">
            <v>6377 - Order Processing Expenses (New)</v>
          </cell>
          <cell r="J11804" t="str">
            <v>Ecommerce (EU)</v>
          </cell>
          <cell r="K11804" t="str">
            <v>Ecommerce</v>
          </cell>
          <cell r="L11804" t="str">
            <v>Order Processing</v>
          </cell>
          <cell r="N11804" t="str">
            <v>Direct Costs</v>
          </cell>
          <cell r="O11804" t="str">
            <v>Bergen Logistics Corporation</v>
          </cell>
        </row>
        <row r="11805">
          <cell r="D11805">
            <v>-5.4</v>
          </cell>
          <cell r="H11805">
            <v>45931</v>
          </cell>
          <cell r="I11805" t="str">
            <v>6377 - Order Processing Expenses (New)</v>
          </cell>
          <cell r="J11805" t="str">
            <v>Ecommerce (US)</v>
          </cell>
          <cell r="K11805" t="str">
            <v>Ecommerce</v>
          </cell>
          <cell r="L11805" t="str">
            <v>Order Processing</v>
          </cell>
          <cell r="N11805" t="str">
            <v>Direct Costs</v>
          </cell>
          <cell r="O11805" t="str">
            <v>Bergen Logistics Corporation</v>
          </cell>
        </row>
        <row r="11806">
          <cell r="D11806">
            <v>2480.67</v>
          </cell>
          <cell r="H11806">
            <v>45931</v>
          </cell>
          <cell r="I11806" t="str">
            <v>6377 - Order Processing Expenses (New)</v>
          </cell>
          <cell r="J11806" t="str">
            <v>Wholesale</v>
          </cell>
          <cell r="K11806" t="str">
            <v>Wholesale</v>
          </cell>
          <cell r="L11806" t="str">
            <v>Order Processing</v>
          </cell>
          <cell r="N11806" t="str">
            <v>Direct Costs</v>
          </cell>
          <cell r="O11806" t="str">
            <v>Bergen Logistics Corporation</v>
          </cell>
        </row>
        <row r="11807">
          <cell r="D11807">
            <v>23400.69</v>
          </cell>
          <cell r="H11807">
            <v>45931</v>
          </cell>
          <cell r="I11807" t="str">
            <v>6377 - Order Processing Expenses (New)</v>
          </cell>
          <cell r="J11807" t="str">
            <v>Ecommerce (US)</v>
          </cell>
          <cell r="K11807" t="str">
            <v>Ecommerce</v>
          </cell>
          <cell r="L11807" t="str">
            <v>Order Processing</v>
          </cell>
          <cell r="N11807" t="str">
            <v>Direct Costs</v>
          </cell>
          <cell r="O11807" t="str">
            <v>Bergen Logistics Corporation</v>
          </cell>
        </row>
        <row r="11808">
          <cell r="D11808">
            <v>580.32000000000005</v>
          </cell>
          <cell r="H11808">
            <v>45931</v>
          </cell>
          <cell r="I11808" t="str">
            <v>6377 - Order Processing Expenses (New)</v>
          </cell>
          <cell r="J11808" t="str">
            <v>Ecommerce (EU)</v>
          </cell>
          <cell r="K11808" t="str">
            <v>Ecommerce</v>
          </cell>
          <cell r="L11808" t="str">
            <v>Order Processing</v>
          </cell>
          <cell r="N11808" t="str">
            <v>Direct Costs</v>
          </cell>
          <cell r="O11808" t="str">
            <v>Bergen Logistics Corporation</v>
          </cell>
        </row>
        <row r="11809">
          <cell r="D11809">
            <v>2481.19</v>
          </cell>
          <cell r="H11809">
            <v>45931</v>
          </cell>
          <cell r="I11809" t="str">
            <v>6377 - Order Processing Expenses (New)</v>
          </cell>
          <cell r="J11809" t="str">
            <v>Ecommerce (EU)</v>
          </cell>
          <cell r="K11809" t="str">
            <v>Ecommerce</v>
          </cell>
          <cell r="L11809" t="str">
            <v>Order Processing</v>
          </cell>
          <cell r="N11809" t="str">
            <v>Direct Costs</v>
          </cell>
          <cell r="O11809" t="str">
            <v>[No Vendor]</v>
          </cell>
        </row>
        <row r="11810">
          <cell r="D11810">
            <v>245.27</v>
          </cell>
          <cell r="H11810">
            <v>45931</v>
          </cell>
          <cell r="I11810" t="str">
            <v>6377 - Order Processing Expenses (New)</v>
          </cell>
          <cell r="J11810" t="str">
            <v>Ecommerce (US)</v>
          </cell>
          <cell r="K11810" t="str">
            <v>Ecommerce</v>
          </cell>
          <cell r="L11810" t="str">
            <v>Order Processing</v>
          </cell>
          <cell r="N11810" t="str">
            <v>Direct Costs</v>
          </cell>
          <cell r="O11810" t="str">
            <v>[No Vendor]</v>
          </cell>
        </row>
        <row r="11811">
          <cell r="D11811">
            <v>2109.0500000000002</v>
          </cell>
          <cell r="H11811">
            <v>45931</v>
          </cell>
          <cell r="I11811" t="str">
            <v>6379 - Warehouse Storage</v>
          </cell>
          <cell r="J11811" t="str">
            <v>Wholesale</v>
          </cell>
          <cell r="K11811" t="str">
            <v>Wholesale</v>
          </cell>
          <cell r="L11811" t="str">
            <v>Order Processing</v>
          </cell>
          <cell r="N11811" t="str">
            <v>Direct Costs</v>
          </cell>
          <cell r="O11811" t="str">
            <v>Bergen Logistics Corporation</v>
          </cell>
        </row>
        <row r="11812">
          <cell r="D11812">
            <v>16545.13</v>
          </cell>
          <cell r="H11812">
            <v>45931</v>
          </cell>
          <cell r="I11812" t="str">
            <v>6379 - Warehouse Storage</v>
          </cell>
          <cell r="J11812" t="str">
            <v>Ecommerce (US)</v>
          </cell>
          <cell r="K11812" t="str">
            <v>Ecommerce</v>
          </cell>
          <cell r="L11812" t="str">
            <v>Order Processing</v>
          </cell>
          <cell r="N11812" t="str">
            <v>Direct Costs</v>
          </cell>
          <cell r="O11812" t="str">
            <v>Bergen Logistics Corporation</v>
          </cell>
        </row>
        <row r="11813">
          <cell r="D11813">
            <v>519.04</v>
          </cell>
          <cell r="H11813">
            <v>45931</v>
          </cell>
          <cell r="I11813" t="str">
            <v>6379 - Warehouse Storage</v>
          </cell>
          <cell r="J11813" t="str">
            <v>Ecommerce (EU)</v>
          </cell>
          <cell r="K11813" t="str">
            <v>Ecommerce</v>
          </cell>
          <cell r="L11813" t="str">
            <v>Order Processing</v>
          </cell>
          <cell r="N11813" t="str">
            <v>Direct Costs</v>
          </cell>
          <cell r="O11813" t="str">
            <v>Bergen Logistics Corporation</v>
          </cell>
        </row>
        <row r="11814">
          <cell r="D11814">
            <v>2677.55</v>
          </cell>
          <cell r="H11814">
            <v>45931</v>
          </cell>
          <cell r="I11814" t="str">
            <v>6379 - Warehouse Storage</v>
          </cell>
          <cell r="J11814" t="str">
            <v>Wholesale</v>
          </cell>
          <cell r="K11814" t="str">
            <v>Wholesale</v>
          </cell>
          <cell r="L11814" t="str">
            <v>Order Processing</v>
          </cell>
          <cell r="N11814" t="str">
            <v>Direct Costs</v>
          </cell>
          <cell r="O11814" t="str">
            <v>Bergen Logistics Corporation</v>
          </cell>
        </row>
        <row r="11815">
          <cell r="D11815">
            <v>22604.12</v>
          </cell>
          <cell r="H11815">
            <v>45931</v>
          </cell>
          <cell r="I11815" t="str">
            <v>6379 - Warehouse Storage</v>
          </cell>
          <cell r="J11815" t="str">
            <v>Ecommerce (US)</v>
          </cell>
          <cell r="K11815" t="str">
            <v>Ecommerce</v>
          </cell>
          <cell r="L11815" t="str">
            <v>Order Processing</v>
          </cell>
          <cell r="N11815" t="str">
            <v>Direct Costs</v>
          </cell>
          <cell r="O11815" t="str">
            <v>Bergen Logistics Corporation</v>
          </cell>
        </row>
        <row r="11816">
          <cell r="D11816">
            <v>874.07</v>
          </cell>
          <cell r="H11816">
            <v>45931</v>
          </cell>
          <cell r="I11816" t="str">
            <v>6379 - Warehouse Storage</v>
          </cell>
          <cell r="J11816" t="str">
            <v>Ecommerce (EU)</v>
          </cell>
          <cell r="K11816" t="str">
            <v>Ecommerce</v>
          </cell>
          <cell r="L11816" t="str">
            <v>Order Processing</v>
          </cell>
          <cell r="N11816" t="str">
            <v>Direct Costs</v>
          </cell>
          <cell r="O11816" t="str">
            <v>Bergen Logistics Corporation</v>
          </cell>
        </row>
        <row r="11817">
          <cell r="D11817">
            <v>9933.16</v>
          </cell>
          <cell r="H11817">
            <v>45931</v>
          </cell>
          <cell r="I11817" t="str">
            <v>6380 - Legal &amp; Accounting</v>
          </cell>
          <cell r="J11817">
            <v>0</v>
          </cell>
          <cell r="K11817" t="str">
            <v>Administration</v>
          </cell>
          <cell r="L11817" t="str">
            <v>Professional Service</v>
          </cell>
          <cell r="N11817" t="str">
            <v>SG&amp;A</v>
          </cell>
          <cell r="O11817" t="str">
            <v>Sociedade Rebelo de Sousa &amp; Advogados Associados, SPRL</v>
          </cell>
        </row>
        <row r="11818">
          <cell r="D11818">
            <v>2736.58</v>
          </cell>
          <cell r="H11818">
            <v>45931</v>
          </cell>
          <cell r="I11818" t="str">
            <v>6380 - Legal &amp; Accounting</v>
          </cell>
          <cell r="J11818">
            <v>0</v>
          </cell>
          <cell r="K11818" t="str">
            <v>Administration</v>
          </cell>
          <cell r="L11818" t="str">
            <v>Professional Service</v>
          </cell>
          <cell r="N11818" t="str">
            <v>SG&amp;A</v>
          </cell>
          <cell r="O11818" t="str">
            <v>Bryan Cave Leighton Paisner LLP</v>
          </cell>
        </row>
        <row r="11819">
          <cell r="D11819">
            <v>1134.04</v>
          </cell>
          <cell r="H11819">
            <v>45931</v>
          </cell>
          <cell r="I11819" t="str">
            <v>6380 - Legal &amp; Accounting</v>
          </cell>
          <cell r="J11819">
            <v>0</v>
          </cell>
          <cell r="K11819" t="str">
            <v>Administration</v>
          </cell>
          <cell r="L11819" t="str">
            <v>Professional Service</v>
          </cell>
          <cell r="N11819" t="str">
            <v>SG&amp;A</v>
          </cell>
          <cell r="O11819" t="str">
            <v>Bryan Cave Leighton Paisner LLP</v>
          </cell>
        </row>
        <row r="11820">
          <cell r="D11820">
            <v>500</v>
          </cell>
          <cell r="H11820">
            <v>45931</v>
          </cell>
          <cell r="I11820" t="str">
            <v>6380 - Legal &amp; Accounting</v>
          </cell>
          <cell r="J11820">
            <v>0</v>
          </cell>
          <cell r="K11820" t="str">
            <v>Administration</v>
          </cell>
          <cell r="L11820" t="str">
            <v>Professional Service</v>
          </cell>
          <cell r="N11820" t="str">
            <v>SG&amp;A</v>
          </cell>
          <cell r="O11820" t="str">
            <v>Ko &amp; Yun, LLP - IP Holding</v>
          </cell>
        </row>
        <row r="11821">
          <cell r="D11821">
            <v>24000</v>
          </cell>
          <cell r="H11821">
            <v>45931</v>
          </cell>
          <cell r="I11821" t="str">
            <v>6380 - Legal &amp; Accounting</v>
          </cell>
          <cell r="J11821">
            <v>0</v>
          </cell>
          <cell r="K11821" t="str">
            <v>Administration</v>
          </cell>
          <cell r="L11821" t="str">
            <v>Professional Service</v>
          </cell>
          <cell r="N11821" t="str">
            <v>SG&amp;A</v>
          </cell>
          <cell r="O11821" t="str">
            <v>Ko &amp; Yun, LLP - Operations</v>
          </cell>
        </row>
        <row r="11822">
          <cell r="D11822">
            <v>1000</v>
          </cell>
          <cell r="H11822">
            <v>45931</v>
          </cell>
          <cell r="I11822" t="str">
            <v>6380 - Legal &amp; Accounting</v>
          </cell>
          <cell r="J11822">
            <v>0</v>
          </cell>
          <cell r="K11822" t="str">
            <v>Administration</v>
          </cell>
          <cell r="L11822" t="str">
            <v>Professional Service</v>
          </cell>
          <cell r="N11822" t="str">
            <v>SG&amp;A</v>
          </cell>
          <cell r="O11822" t="str">
            <v>Ko &amp; Yun, LLP - Operations</v>
          </cell>
        </row>
        <row r="11823">
          <cell r="D11823">
            <v>10447.35</v>
          </cell>
          <cell r="H11823">
            <v>45931</v>
          </cell>
          <cell r="I11823" t="str">
            <v>6380 - Legal &amp; Accounting</v>
          </cell>
          <cell r="J11823">
            <v>0</v>
          </cell>
          <cell r="K11823" t="str">
            <v>Administration</v>
          </cell>
          <cell r="L11823" t="str">
            <v>Professional Service</v>
          </cell>
          <cell r="N11823" t="str">
            <v>SG&amp;A</v>
          </cell>
          <cell r="O11823" t="str">
            <v>The Wave IP Law Firm</v>
          </cell>
        </row>
        <row r="11824">
          <cell r="D11824">
            <v>18245.25</v>
          </cell>
          <cell r="H11824">
            <v>45931</v>
          </cell>
          <cell r="I11824" t="str">
            <v>6385 - Insurance</v>
          </cell>
          <cell r="J11824">
            <v>0</v>
          </cell>
          <cell r="K11824" t="str">
            <v>Administration</v>
          </cell>
          <cell r="L11824" t="str">
            <v>Professional Service</v>
          </cell>
          <cell r="N11824" t="str">
            <v>SG&amp;A</v>
          </cell>
          <cell r="O11824" t="str">
            <v>The Hartford</v>
          </cell>
        </row>
        <row r="11825">
          <cell r="D11825">
            <v>5</v>
          </cell>
          <cell r="H11825">
            <v>45931</v>
          </cell>
          <cell r="I11825" t="str">
            <v>6385 - Insurance</v>
          </cell>
          <cell r="J11825">
            <v>0</v>
          </cell>
          <cell r="K11825" t="str">
            <v>Administration</v>
          </cell>
          <cell r="L11825" t="str">
            <v>Professional Service</v>
          </cell>
          <cell r="N11825" t="str">
            <v>SG&amp;A</v>
          </cell>
          <cell r="O11825" t="str">
            <v>The Hartford</v>
          </cell>
        </row>
        <row r="11826">
          <cell r="D11826">
            <v>1996.3</v>
          </cell>
          <cell r="H11826">
            <v>45931</v>
          </cell>
          <cell r="I11826" t="str">
            <v>6385 - Insurance</v>
          </cell>
          <cell r="J11826">
            <v>0</v>
          </cell>
          <cell r="K11826" t="str">
            <v>Administration</v>
          </cell>
          <cell r="L11826" t="str">
            <v>Professional Service</v>
          </cell>
          <cell r="N11826" t="str">
            <v>SG&amp;A</v>
          </cell>
          <cell r="O11826" t="str">
            <v>The Hartford</v>
          </cell>
        </row>
        <row r="11827">
          <cell r="D11827">
            <v>32.58</v>
          </cell>
          <cell r="H11827">
            <v>45931</v>
          </cell>
          <cell r="I11827" t="str">
            <v>6385 - Insurance</v>
          </cell>
          <cell r="J11827">
            <v>0</v>
          </cell>
          <cell r="K11827" t="str">
            <v>Administration</v>
          </cell>
          <cell r="L11827" t="str">
            <v>Professional Service</v>
          </cell>
          <cell r="N11827" t="str">
            <v>SG&amp;A</v>
          </cell>
          <cell r="O11827" t="str">
            <v>[No Vendor]</v>
          </cell>
        </row>
        <row r="11828">
          <cell r="D11828">
            <v>1.44</v>
          </cell>
          <cell r="H11828">
            <v>45931</v>
          </cell>
          <cell r="I11828" t="str">
            <v>6385 - Insurance</v>
          </cell>
          <cell r="J11828">
            <v>0</v>
          </cell>
          <cell r="K11828" t="str">
            <v>Administration</v>
          </cell>
          <cell r="L11828" t="str">
            <v>Professional Service</v>
          </cell>
          <cell r="N11828" t="str">
            <v>SG&amp;A</v>
          </cell>
          <cell r="O11828" t="str">
            <v>[No Vendor]</v>
          </cell>
        </row>
        <row r="11829">
          <cell r="D11829">
            <v>47.65</v>
          </cell>
          <cell r="H11829">
            <v>45931</v>
          </cell>
          <cell r="I11829" t="str">
            <v>6385 - Insurance</v>
          </cell>
          <cell r="J11829">
            <v>0</v>
          </cell>
          <cell r="K11829" t="str">
            <v>Administration</v>
          </cell>
          <cell r="L11829" t="str">
            <v>Professional Service</v>
          </cell>
          <cell r="N11829" t="str">
            <v>SG&amp;A</v>
          </cell>
          <cell r="O11829" t="str">
            <v>[No Vendor]</v>
          </cell>
        </row>
        <row r="11830">
          <cell r="D11830">
            <v>37.24</v>
          </cell>
          <cell r="H11830">
            <v>45931</v>
          </cell>
          <cell r="I11830" t="str">
            <v>6385 - Insurance</v>
          </cell>
          <cell r="J11830">
            <v>0</v>
          </cell>
          <cell r="K11830" t="str">
            <v>Administration</v>
          </cell>
          <cell r="L11830" t="str">
            <v>Professional Service</v>
          </cell>
          <cell r="N11830" t="str">
            <v>SG&amp;A</v>
          </cell>
          <cell r="O11830" t="str">
            <v>[No Vendor]</v>
          </cell>
        </row>
        <row r="11831">
          <cell r="D11831">
            <v>17.010000000000002</v>
          </cell>
          <cell r="H11831">
            <v>45931</v>
          </cell>
          <cell r="I11831" t="str">
            <v>6385 - Insurance</v>
          </cell>
          <cell r="J11831">
            <v>0</v>
          </cell>
          <cell r="K11831" t="str">
            <v>Administration</v>
          </cell>
          <cell r="L11831" t="str">
            <v>Professional Service</v>
          </cell>
          <cell r="N11831" t="str">
            <v>SG&amp;A</v>
          </cell>
          <cell r="O11831" t="str">
            <v>[No Vendor]</v>
          </cell>
        </row>
        <row r="11832">
          <cell r="D11832">
            <v>19.350000000000001</v>
          </cell>
          <cell r="H11832">
            <v>45931</v>
          </cell>
          <cell r="I11832" t="str">
            <v>6385 - Insurance</v>
          </cell>
          <cell r="J11832">
            <v>0</v>
          </cell>
          <cell r="K11832" t="str">
            <v>Administration</v>
          </cell>
          <cell r="L11832" t="str">
            <v>Professional Service</v>
          </cell>
          <cell r="N11832" t="str">
            <v>SG&amp;A</v>
          </cell>
          <cell r="O11832" t="str">
            <v>[No Vendor]</v>
          </cell>
        </row>
        <row r="11833">
          <cell r="D11833">
            <v>64.05</v>
          </cell>
          <cell r="H11833">
            <v>45931</v>
          </cell>
          <cell r="I11833" t="str">
            <v>6385 - Insurance</v>
          </cell>
          <cell r="J11833">
            <v>0</v>
          </cell>
          <cell r="K11833" t="str">
            <v>Administration</v>
          </cell>
          <cell r="L11833" t="str">
            <v>Professional Service</v>
          </cell>
          <cell r="N11833" t="str">
            <v>SG&amp;A</v>
          </cell>
          <cell r="O11833" t="str">
            <v>[No Vendor]</v>
          </cell>
        </row>
        <row r="11834">
          <cell r="D11834">
            <v>54.27</v>
          </cell>
          <cell r="H11834">
            <v>45931</v>
          </cell>
          <cell r="I11834" t="str">
            <v>6385 - Insurance</v>
          </cell>
          <cell r="J11834">
            <v>0</v>
          </cell>
          <cell r="K11834" t="str">
            <v>Administration</v>
          </cell>
          <cell r="L11834" t="str">
            <v>Professional Service</v>
          </cell>
          <cell r="N11834" t="str">
            <v>SG&amp;A</v>
          </cell>
          <cell r="O11834" t="str">
            <v>[No Vendor]</v>
          </cell>
        </row>
        <row r="11835">
          <cell r="D11835">
            <v>-14.18</v>
          </cell>
          <cell r="H11835">
            <v>45931</v>
          </cell>
          <cell r="I11835" t="str">
            <v>6385 - Insurance</v>
          </cell>
          <cell r="J11835">
            <v>0</v>
          </cell>
          <cell r="K11835" t="str">
            <v>Administration</v>
          </cell>
          <cell r="L11835" t="str">
            <v>Professional Service</v>
          </cell>
          <cell r="N11835" t="str">
            <v>SG&amp;A</v>
          </cell>
          <cell r="O11835" t="str">
            <v>[No Vendor]</v>
          </cell>
        </row>
        <row r="11836">
          <cell r="D11836">
            <v>-16.12</v>
          </cell>
          <cell r="H11836">
            <v>45931</v>
          </cell>
          <cell r="I11836" t="str">
            <v>6385 - Insurance</v>
          </cell>
          <cell r="J11836">
            <v>0</v>
          </cell>
          <cell r="K11836" t="str">
            <v>Administration</v>
          </cell>
          <cell r="L11836" t="str">
            <v>Professional Service</v>
          </cell>
          <cell r="N11836" t="str">
            <v>SG&amp;A</v>
          </cell>
          <cell r="O11836" t="str">
            <v>[No Vendor]</v>
          </cell>
        </row>
        <row r="11837">
          <cell r="D11837">
            <v>-53.38</v>
          </cell>
          <cell r="H11837">
            <v>45931</v>
          </cell>
          <cell r="I11837" t="str">
            <v>6385 - Insurance</v>
          </cell>
          <cell r="J11837">
            <v>0</v>
          </cell>
          <cell r="K11837" t="str">
            <v>Administration</v>
          </cell>
          <cell r="L11837" t="str">
            <v>Professional Service</v>
          </cell>
          <cell r="N11837" t="str">
            <v>SG&amp;A</v>
          </cell>
          <cell r="O11837" t="str">
            <v>[No Vendor]</v>
          </cell>
        </row>
        <row r="11838">
          <cell r="D11838">
            <v>-45.22</v>
          </cell>
          <cell r="H11838">
            <v>45931</v>
          </cell>
          <cell r="I11838" t="str">
            <v>6385 - Insurance</v>
          </cell>
          <cell r="J11838">
            <v>0</v>
          </cell>
          <cell r="K11838" t="str">
            <v>Administration</v>
          </cell>
          <cell r="L11838" t="str">
            <v>Professional Service</v>
          </cell>
          <cell r="N11838" t="str">
            <v>SG&amp;A</v>
          </cell>
          <cell r="O11838" t="str">
            <v>[No Vendor]</v>
          </cell>
        </row>
        <row r="11839">
          <cell r="D11839">
            <v>-27.15</v>
          </cell>
          <cell r="H11839">
            <v>45931</v>
          </cell>
          <cell r="I11839" t="str">
            <v>6385 - Insurance</v>
          </cell>
          <cell r="J11839">
            <v>0</v>
          </cell>
          <cell r="K11839" t="str">
            <v>Administration</v>
          </cell>
          <cell r="L11839" t="str">
            <v>Professional Service</v>
          </cell>
          <cell r="N11839" t="str">
            <v>SG&amp;A</v>
          </cell>
          <cell r="O11839" t="str">
            <v>[No Vendor]</v>
          </cell>
        </row>
        <row r="11840">
          <cell r="D11840">
            <v>-1.2</v>
          </cell>
          <cell r="H11840">
            <v>45931</v>
          </cell>
          <cell r="I11840" t="str">
            <v>6385 - Insurance</v>
          </cell>
          <cell r="J11840">
            <v>0</v>
          </cell>
          <cell r="K11840" t="str">
            <v>Administration</v>
          </cell>
          <cell r="L11840" t="str">
            <v>Professional Service</v>
          </cell>
          <cell r="N11840" t="str">
            <v>SG&amp;A</v>
          </cell>
          <cell r="O11840" t="str">
            <v>[No Vendor]</v>
          </cell>
        </row>
        <row r="11841">
          <cell r="D11841">
            <v>-39.71</v>
          </cell>
          <cell r="H11841">
            <v>45931</v>
          </cell>
          <cell r="I11841" t="str">
            <v>6385 - Insurance</v>
          </cell>
          <cell r="J11841">
            <v>0</v>
          </cell>
          <cell r="K11841" t="str">
            <v>Administration</v>
          </cell>
          <cell r="L11841" t="str">
            <v>Professional Service</v>
          </cell>
          <cell r="N11841" t="str">
            <v>SG&amp;A</v>
          </cell>
          <cell r="O11841" t="str">
            <v>[No Vendor]</v>
          </cell>
        </row>
        <row r="11842">
          <cell r="D11842">
            <v>-31.03</v>
          </cell>
          <cell r="H11842">
            <v>45931</v>
          </cell>
          <cell r="I11842" t="str">
            <v>6385 - Insurance</v>
          </cell>
          <cell r="J11842">
            <v>0</v>
          </cell>
          <cell r="K11842" t="str">
            <v>Administration</v>
          </cell>
          <cell r="L11842" t="str">
            <v>Professional Service</v>
          </cell>
          <cell r="N11842" t="str">
            <v>SG&amp;A</v>
          </cell>
          <cell r="O11842" t="str">
            <v>[No Vendor]</v>
          </cell>
        </row>
        <row r="11843">
          <cell r="D11843">
            <v>-39.71</v>
          </cell>
          <cell r="H11843">
            <v>45931</v>
          </cell>
          <cell r="I11843" t="str">
            <v>6385 - Insurance</v>
          </cell>
          <cell r="J11843">
            <v>0</v>
          </cell>
          <cell r="K11843" t="str">
            <v>Administration</v>
          </cell>
          <cell r="L11843" t="str">
            <v>Professional Service</v>
          </cell>
          <cell r="N11843" t="str">
            <v>SG&amp;A</v>
          </cell>
          <cell r="O11843" t="str">
            <v>[No Vendor]</v>
          </cell>
        </row>
        <row r="11844">
          <cell r="D11844">
            <v>-31.03</v>
          </cell>
          <cell r="H11844">
            <v>45931</v>
          </cell>
          <cell r="I11844" t="str">
            <v>6385 - Insurance</v>
          </cell>
          <cell r="J11844">
            <v>0</v>
          </cell>
          <cell r="K11844" t="str">
            <v>Administration</v>
          </cell>
          <cell r="L11844" t="str">
            <v>Professional Service</v>
          </cell>
          <cell r="N11844" t="str">
            <v>SG&amp;A</v>
          </cell>
          <cell r="O11844" t="str">
            <v>[No Vendor]</v>
          </cell>
        </row>
        <row r="11845">
          <cell r="D11845">
            <v>-14.18</v>
          </cell>
          <cell r="H11845">
            <v>45931</v>
          </cell>
          <cell r="I11845" t="str">
            <v>6385 - Insurance</v>
          </cell>
          <cell r="J11845">
            <v>0</v>
          </cell>
          <cell r="K11845" t="str">
            <v>Administration</v>
          </cell>
          <cell r="L11845" t="str">
            <v>Professional Service</v>
          </cell>
          <cell r="N11845" t="str">
            <v>SG&amp;A</v>
          </cell>
          <cell r="O11845" t="str">
            <v>[No Vendor]</v>
          </cell>
        </row>
        <row r="11846">
          <cell r="D11846">
            <v>-16.12</v>
          </cell>
          <cell r="H11846">
            <v>45931</v>
          </cell>
          <cell r="I11846" t="str">
            <v>6385 - Insurance</v>
          </cell>
          <cell r="J11846">
            <v>0</v>
          </cell>
          <cell r="K11846" t="str">
            <v>Administration</v>
          </cell>
          <cell r="L11846" t="str">
            <v>Professional Service</v>
          </cell>
          <cell r="N11846" t="str">
            <v>SG&amp;A</v>
          </cell>
          <cell r="O11846" t="str">
            <v>[No Vendor]</v>
          </cell>
        </row>
        <row r="11847">
          <cell r="D11847">
            <v>-53.38</v>
          </cell>
          <cell r="H11847">
            <v>45931</v>
          </cell>
          <cell r="I11847" t="str">
            <v>6385 - Insurance</v>
          </cell>
          <cell r="J11847">
            <v>0</v>
          </cell>
          <cell r="K11847" t="str">
            <v>Administration</v>
          </cell>
          <cell r="L11847" t="str">
            <v>Professional Service</v>
          </cell>
          <cell r="N11847" t="str">
            <v>SG&amp;A</v>
          </cell>
          <cell r="O11847" t="str">
            <v>[No Vendor]</v>
          </cell>
        </row>
        <row r="11848">
          <cell r="D11848">
            <v>-45.22</v>
          </cell>
          <cell r="H11848">
            <v>45931</v>
          </cell>
          <cell r="I11848" t="str">
            <v>6385 - Insurance</v>
          </cell>
          <cell r="J11848">
            <v>0</v>
          </cell>
          <cell r="K11848" t="str">
            <v>Administration</v>
          </cell>
          <cell r="L11848" t="str">
            <v>Professional Service</v>
          </cell>
          <cell r="N11848" t="str">
            <v>SG&amp;A</v>
          </cell>
          <cell r="O11848" t="str">
            <v>[No Vendor]</v>
          </cell>
        </row>
        <row r="11849">
          <cell r="D11849">
            <v>-27.15</v>
          </cell>
          <cell r="H11849">
            <v>45931</v>
          </cell>
          <cell r="I11849" t="str">
            <v>6385 - Insurance</v>
          </cell>
          <cell r="J11849">
            <v>0</v>
          </cell>
          <cell r="K11849" t="str">
            <v>Administration</v>
          </cell>
          <cell r="L11849" t="str">
            <v>Professional Service</v>
          </cell>
          <cell r="N11849" t="str">
            <v>SG&amp;A</v>
          </cell>
          <cell r="O11849" t="str">
            <v>[No Vendor]</v>
          </cell>
        </row>
        <row r="11850">
          <cell r="D11850">
            <v>-1.2</v>
          </cell>
          <cell r="H11850">
            <v>45931</v>
          </cell>
          <cell r="I11850" t="str">
            <v>6385 - Insurance</v>
          </cell>
          <cell r="J11850">
            <v>0</v>
          </cell>
          <cell r="K11850" t="str">
            <v>Administration</v>
          </cell>
          <cell r="L11850" t="str">
            <v>Professional Service</v>
          </cell>
          <cell r="N11850" t="str">
            <v>SG&amp;A</v>
          </cell>
          <cell r="O11850" t="str">
            <v>[No Vendor]</v>
          </cell>
        </row>
        <row r="11851">
          <cell r="D11851">
            <v>-10.44</v>
          </cell>
          <cell r="H11851">
            <v>45931</v>
          </cell>
          <cell r="I11851" t="str">
            <v>6385 - Insurance</v>
          </cell>
          <cell r="J11851">
            <v>0</v>
          </cell>
          <cell r="K11851" t="str">
            <v>Administration</v>
          </cell>
          <cell r="L11851" t="str">
            <v>Professional Service</v>
          </cell>
          <cell r="N11851" t="str">
            <v>SG&amp;A</v>
          </cell>
          <cell r="O11851" t="str">
            <v>[No Vendor]</v>
          </cell>
        </row>
        <row r="11852">
          <cell r="D11852">
            <v>-22.6</v>
          </cell>
          <cell r="H11852">
            <v>45931</v>
          </cell>
          <cell r="I11852" t="str">
            <v>6385 - Insurance</v>
          </cell>
          <cell r="J11852">
            <v>0</v>
          </cell>
          <cell r="K11852" t="str">
            <v>Administration</v>
          </cell>
          <cell r="L11852" t="str">
            <v>Professional Service</v>
          </cell>
          <cell r="N11852" t="str">
            <v>SG&amp;A</v>
          </cell>
          <cell r="O11852" t="str">
            <v>[No Vendor]</v>
          </cell>
        </row>
        <row r="11853">
          <cell r="D11853">
            <v>-13.58</v>
          </cell>
          <cell r="H11853">
            <v>45931</v>
          </cell>
          <cell r="I11853" t="str">
            <v>6385 - Insurance</v>
          </cell>
          <cell r="J11853">
            <v>0</v>
          </cell>
          <cell r="K11853" t="str">
            <v>Administration</v>
          </cell>
          <cell r="L11853" t="str">
            <v>Professional Service</v>
          </cell>
          <cell r="N11853" t="str">
            <v>SG&amp;A</v>
          </cell>
          <cell r="O11853" t="str">
            <v>[No Vendor]</v>
          </cell>
        </row>
        <row r="11854">
          <cell r="D11854">
            <v>-0.6</v>
          </cell>
          <cell r="H11854">
            <v>45931</v>
          </cell>
          <cell r="I11854" t="str">
            <v>6385 - Insurance</v>
          </cell>
          <cell r="J11854">
            <v>0</v>
          </cell>
          <cell r="K11854" t="str">
            <v>Administration</v>
          </cell>
          <cell r="L11854" t="str">
            <v>Professional Service</v>
          </cell>
          <cell r="N11854" t="str">
            <v>SG&amp;A</v>
          </cell>
          <cell r="O11854" t="str">
            <v>[No Vendor]</v>
          </cell>
        </row>
        <row r="11855">
          <cell r="D11855">
            <v>-19.850000000000001</v>
          </cell>
          <cell r="H11855">
            <v>45931</v>
          </cell>
          <cell r="I11855" t="str">
            <v>6385 - Insurance</v>
          </cell>
          <cell r="J11855">
            <v>0</v>
          </cell>
          <cell r="K11855" t="str">
            <v>Administration</v>
          </cell>
          <cell r="L11855" t="str">
            <v>Professional Service</v>
          </cell>
          <cell r="N11855" t="str">
            <v>SG&amp;A</v>
          </cell>
          <cell r="O11855" t="str">
            <v>[No Vendor]</v>
          </cell>
        </row>
        <row r="11856">
          <cell r="D11856">
            <v>-15.52</v>
          </cell>
          <cell r="H11856">
            <v>45931</v>
          </cell>
          <cell r="I11856" t="str">
            <v>6385 - Insurance</v>
          </cell>
          <cell r="J11856">
            <v>0</v>
          </cell>
          <cell r="K11856" t="str">
            <v>Administration</v>
          </cell>
          <cell r="L11856" t="str">
            <v>Professional Service</v>
          </cell>
          <cell r="N11856" t="str">
            <v>SG&amp;A</v>
          </cell>
          <cell r="O11856" t="str">
            <v>[No Vendor]</v>
          </cell>
        </row>
        <row r="11857">
          <cell r="D11857">
            <v>-7.09</v>
          </cell>
          <cell r="H11857">
            <v>45931</v>
          </cell>
          <cell r="I11857" t="str">
            <v>6385 - Insurance</v>
          </cell>
          <cell r="J11857">
            <v>0</v>
          </cell>
          <cell r="K11857" t="str">
            <v>Administration</v>
          </cell>
          <cell r="L11857" t="str">
            <v>Professional Service</v>
          </cell>
          <cell r="N11857" t="str">
            <v>SG&amp;A</v>
          </cell>
          <cell r="O11857" t="str">
            <v>[No Vendor]</v>
          </cell>
        </row>
        <row r="11858">
          <cell r="D11858">
            <v>-8.06</v>
          </cell>
          <cell r="H11858">
            <v>45931</v>
          </cell>
          <cell r="I11858" t="str">
            <v>6385 - Insurance</v>
          </cell>
          <cell r="J11858">
            <v>0</v>
          </cell>
          <cell r="K11858" t="str">
            <v>Administration</v>
          </cell>
          <cell r="L11858" t="str">
            <v>Professional Service</v>
          </cell>
          <cell r="N11858" t="str">
            <v>SG&amp;A</v>
          </cell>
          <cell r="O11858" t="str">
            <v>[No Vendor]</v>
          </cell>
        </row>
        <row r="11859">
          <cell r="D11859">
            <v>1062.5</v>
          </cell>
          <cell r="H11859">
            <v>45931</v>
          </cell>
          <cell r="I11859" t="str">
            <v>6385 - Insurance</v>
          </cell>
          <cell r="J11859">
            <v>0</v>
          </cell>
          <cell r="K11859" t="str">
            <v>Administration</v>
          </cell>
          <cell r="L11859" t="str">
            <v>Professional Service</v>
          </cell>
          <cell r="N11859" t="str">
            <v>SG&amp;A</v>
          </cell>
          <cell r="O11859" t="str">
            <v>[No Vendor]</v>
          </cell>
        </row>
        <row r="11860">
          <cell r="D11860">
            <v>777.15</v>
          </cell>
          <cell r="H11860">
            <v>45931</v>
          </cell>
          <cell r="I11860" t="str">
            <v>6385 - Insurance</v>
          </cell>
          <cell r="J11860">
            <v>0</v>
          </cell>
          <cell r="K11860" t="str">
            <v>Administration</v>
          </cell>
          <cell r="L11860" t="str">
            <v>Professional Service</v>
          </cell>
          <cell r="N11860" t="str">
            <v>SG&amp;A</v>
          </cell>
          <cell r="O11860" t="str">
            <v>Standard Security Life Insurance Company of New York</v>
          </cell>
        </row>
        <row r="11861">
          <cell r="D11861">
            <v>428.3</v>
          </cell>
          <cell r="H11861">
            <v>45931</v>
          </cell>
          <cell r="I11861" t="str">
            <v>6385 - Insurance</v>
          </cell>
          <cell r="J11861">
            <v>0</v>
          </cell>
          <cell r="K11861" t="str">
            <v>Administration</v>
          </cell>
          <cell r="L11861" t="str">
            <v>Professional Service</v>
          </cell>
          <cell r="N11861" t="str">
            <v>SG&amp;A</v>
          </cell>
          <cell r="O11861" t="str">
            <v>Travelers CL Remittance Center</v>
          </cell>
        </row>
        <row r="11862">
          <cell r="D11862">
            <v>-20.88</v>
          </cell>
          <cell r="H11862">
            <v>45931</v>
          </cell>
          <cell r="I11862" t="str">
            <v>6385 - Insurance</v>
          </cell>
          <cell r="J11862">
            <v>0</v>
          </cell>
          <cell r="K11862" t="str">
            <v>Administration</v>
          </cell>
          <cell r="L11862" t="str">
            <v>Professional Service</v>
          </cell>
          <cell r="N11862" t="str">
            <v>SG&amp;A</v>
          </cell>
          <cell r="O11862" t="str">
            <v>[No Vendor]</v>
          </cell>
        </row>
        <row r="11863">
          <cell r="D11863">
            <v>-27.15</v>
          </cell>
          <cell r="H11863">
            <v>45931</v>
          </cell>
          <cell r="I11863" t="str">
            <v>6385 - Insurance</v>
          </cell>
          <cell r="J11863">
            <v>0</v>
          </cell>
          <cell r="K11863" t="str">
            <v>Administration</v>
          </cell>
          <cell r="L11863" t="str">
            <v>Professional Service</v>
          </cell>
          <cell r="N11863" t="str">
            <v>SG&amp;A</v>
          </cell>
          <cell r="O11863" t="str">
            <v>[No Vendor]</v>
          </cell>
        </row>
        <row r="11864">
          <cell r="D11864">
            <v>-1.2</v>
          </cell>
          <cell r="H11864">
            <v>45931</v>
          </cell>
          <cell r="I11864" t="str">
            <v>6385 - Insurance</v>
          </cell>
          <cell r="J11864">
            <v>0</v>
          </cell>
          <cell r="K11864" t="str">
            <v>Administration</v>
          </cell>
          <cell r="L11864" t="str">
            <v>Professional Service</v>
          </cell>
          <cell r="N11864" t="str">
            <v>SG&amp;A</v>
          </cell>
          <cell r="O11864" t="str">
            <v>[No Vendor]</v>
          </cell>
        </row>
        <row r="11865">
          <cell r="D11865">
            <v>-39.71</v>
          </cell>
          <cell r="H11865">
            <v>45931</v>
          </cell>
          <cell r="I11865" t="str">
            <v>6385 - Insurance</v>
          </cell>
          <cell r="J11865">
            <v>0</v>
          </cell>
          <cell r="K11865" t="str">
            <v>Administration</v>
          </cell>
          <cell r="L11865" t="str">
            <v>Professional Service</v>
          </cell>
          <cell r="N11865" t="str">
            <v>SG&amp;A</v>
          </cell>
          <cell r="O11865" t="str">
            <v>[No Vendor]</v>
          </cell>
        </row>
        <row r="11866">
          <cell r="D11866">
            <v>-31.03</v>
          </cell>
          <cell r="H11866">
            <v>45931</v>
          </cell>
          <cell r="I11866" t="str">
            <v>6385 - Insurance</v>
          </cell>
          <cell r="J11866">
            <v>0</v>
          </cell>
          <cell r="K11866" t="str">
            <v>Administration</v>
          </cell>
          <cell r="L11866" t="str">
            <v>Professional Service</v>
          </cell>
          <cell r="N11866" t="str">
            <v>SG&amp;A</v>
          </cell>
          <cell r="O11866" t="str">
            <v>[No Vendor]</v>
          </cell>
        </row>
        <row r="11867">
          <cell r="D11867">
            <v>-14.18</v>
          </cell>
          <cell r="H11867">
            <v>45931</v>
          </cell>
          <cell r="I11867" t="str">
            <v>6385 - Insurance</v>
          </cell>
          <cell r="J11867">
            <v>0</v>
          </cell>
          <cell r="K11867" t="str">
            <v>Administration</v>
          </cell>
          <cell r="L11867" t="str">
            <v>Professional Service</v>
          </cell>
          <cell r="N11867" t="str">
            <v>SG&amp;A</v>
          </cell>
          <cell r="O11867" t="str">
            <v>[No Vendor]</v>
          </cell>
        </row>
        <row r="11868">
          <cell r="D11868">
            <v>-16.12</v>
          </cell>
          <cell r="H11868">
            <v>45931</v>
          </cell>
          <cell r="I11868" t="str">
            <v>6385 - Insurance</v>
          </cell>
          <cell r="J11868">
            <v>0</v>
          </cell>
          <cell r="K11868" t="str">
            <v>Administration</v>
          </cell>
          <cell r="L11868" t="str">
            <v>Professional Service</v>
          </cell>
          <cell r="N11868" t="str">
            <v>SG&amp;A</v>
          </cell>
          <cell r="O11868" t="str">
            <v>[No Vendor]</v>
          </cell>
        </row>
        <row r="11869">
          <cell r="D11869">
            <v>-45.22</v>
          </cell>
          <cell r="H11869">
            <v>45931</v>
          </cell>
          <cell r="I11869" t="str">
            <v>6385 - Insurance</v>
          </cell>
          <cell r="J11869">
            <v>0</v>
          </cell>
          <cell r="K11869" t="str">
            <v>Administration</v>
          </cell>
          <cell r="L11869" t="str">
            <v>Professional Service</v>
          </cell>
          <cell r="N11869" t="str">
            <v>SG&amp;A</v>
          </cell>
          <cell r="O11869" t="str">
            <v>[No Vendor]</v>
          </cell>
        </row>
        <row r="11870">
          <cell r="D11870">
            <v>10000</v>
          </cell>
          <cell r="H11870">
            <v>45931</v>
          </cell>
          <cell r="I11870" t="str">
            <v>6393 - Software</v>
          </cell>
          <cell r="J11870" t="str">
            <v>Ecommerce (US)</v>
          </cell>
          <cell r="K11870" t="str">
            <v>Ecommerce</v>
          </cell>
          <cell r="L11870" t="str">
            <v>Professional Service</v>
          </cell>
          <cell r="N11870" t="str">
            <v>SG&amp;A</v>
          </cell>
          <cell r="O11870" t="str">
            <v>P3 Digital LLC</v>
          </cell>
        </row>
        <row r="11871">
          <cell r="D11871">
            <v>77.5</v>
          </cell>
          <cell r="H11871">
            <v>45931</v>
          </cell>
          <cell r="I11871" t="str">
            <v>6393 - Software</v>
          </cell>
          <cell r="J11871" t="str">
            <v>Wholesale</v>
          </cell>
          <cell r="K11871" t="str">
            <v>Wholesale</v>
          </cell>
          <cell r="L11871" t="str">
            <v>Professional Service</v>
          </cell>
          <cell r="N11871" t="str">
            <v>Direct Costs</v>
          </cell>
          <cell r="O11871" t="str">
            <v>SPS Commerce</v>
          </cell>
        </row>
        <row r="11872">
          <cell r="D11872">
            <v>102.52</v>
          </cell>
          <cell r="H11872">
            <v>45931</v>
          </cell>
          <cell r="I11872" t="str">
            <v>6393 - Software</v>
          </cell>
          <cell r="J11872" t="str">
            <v>Wholesale</v>
          </cell>
          <cell r="K11872" t="str">
            <v>Wholesale</v>
          </cell>
          <cell r="L11872" t="str">
            <v>Professional Service</v>
          </cell>
          <cell r="N11872" t="str">
            <v>Direct Costs</v>
          </cell>
          <cell r="O11872" t="str">
            <v>SPS Commerce</v>
          </cell>
        </row>
        <row r="11873">
          <cell r="D11873">
            <v>273.72000000000003</v>
          </cell>
          <cell r="H11873">
            <v>45931</v>
          </cell>
          <cell r="I11873" t="str">
            <v>6393 - Software</v>
          </cell>
          <cell r="J11873" t="str">
            <v>Wholesale</v>
          </cell>
          <cell r="K11873" t="str">
            <v>Wholesale</v>
          </cell>
          <cell r="L11873" t="str">
            <v>Professional Service</v>
          </cell>
          <cell r="N11873" t="str">
            <v>Direct Costs</v>
          </cell>
          <cell r="O11873" t="str">
            <v>SPS Commerce</v>
          </cell>
        </row>
        <row r="11874">
          <cell r="D11874">
            <v>59</v>
          </cell>
          <cell r="H11874">
            <v>45931</v>
          </cell>
          <cell r="I11874" t="str">
            <v>6393 - Software</v>
          </cell>
          <cell r="J11874" t="str">
            <v>Wholesale</v>
          </cell>
          <cell r="K11874" t="str">
            <v>Wholesale</v>
          </cell>
          <cell r="L11874" t="str">
            <v>Professional Service</v>
          </cell>
          <cell r="N11874" t="str">
            <v>Direct Costs</v>
          </cell>
          <cell r="O11874" t="str">
            <v>SPS Commerce</v>
          </cell>
        </row>
        <row r="11875">
          <cell r="D11875">
            <v>138.16999999999999</v>
          </cell>
          <cell r="H11875">
            <v>45931</v>
          </cell>
          <cell r="I11875" t="str">
            <v>6393 - Software</v>
          </cell>
          <cell r="J11875" t="str">
            <v>Wholesale</v>
          </cell>
          <cell r="K11875" t="str">
            <v>Wholesale</v>
          </cell>
          <cell r="L11875" t="str">
            <v>Professional Service</v>
          </cell>
          <cell r="N11875" t="str">
            <v>Direct Costs</v>
          </cell>
          <cell r="O11875" t="str">
            <v>SPS Commerce</v>
          </cell>
        </row>
        <row r="11876">
          <cell r="D11876">
            <v>48.36</v>
          </cell>
          <cell r="H11876">
            <v>45931</v>
          </cell>
          <cell r="I11876" t="str">
            <v>6393 - Software</v>
          </cell>
          <cell r="J11876" t="str">
            <v>Wholesale</v>
          </cell>
          <cell r="K11876" t="str">
            <v>Wholesale</v>
          </cell>
          <cell r="L11876" t="str">
            <v>Professional Service</v>
          </cell>
          <cell r="N11876" t="str">
            <v>Direct Costs</v>
          </cell>
          <cell r="O11876" t="str">
            <v>SPS Commerce</v>
          </cell>
        </row>
        <row r="11877">
          <cell r="D11877">
            <v>53.68</v>
          </cell>
          <cell r="H11877">
            <v>45931</v>
          </cell>
          <cell r="I11877" t="str">
            <v>6393 - Software</v>
          </cell>
          <cell r="J11877" t="str">
            <v>Wholesale</v>
          </cell>
          <cell r="K11877" t="str">
            <v>Wholesale</v>
          </cell>
          <cell r="L11877" t="str">
            <v>Professional Service</v>
          </cell>
          <cell r="N11877" t="str">
            <v>Direct Costs</v>
          </cell>
          <cell r="O11877" t="str">
            <v>SPS Commerce</v>
          </cell>
        </row>
        <row r="11878">
          <cell r="D11878">
            <v>133.87</v>
          </cell>
          <cell r="H11878">
            <v>45931</v>
          </cell>
          <cell r="I11878" t="str">
            <v>6393 - Software</v>
          </cell>
          <cell r="J11878" t="str">
            <v>Wholesale</v>
          </cell>
          <cell r="K11878" t="str">
            <v>Wholesale</v>
          </cell>
          <cell r="L11878" t="str">
            <v>Professional Service</v>
          </cell>
          <cell r="N11878" t="str">
            <v>Direct Costs</v>
          </cell>
          <cell r="O11878" t="str">
            <v>SPS Commerce</v>
          </cell>
        </row>
        <row r="11879">
          <cell r="D11879">
            <v>-109.5</v>
          </cell>
          <cell r="H11879">
            <v>45931</v>
          </cell>
          <cell r="I11879" t="str">
            <v>6393 - Software</v>
          </cell>
          <cell r="J11879" t="str">
            <v>Wholesale</v>
          </cell>
          <cell r="K11879" t="str">
            <v>Wholesale</v>
          </cell>
          <cell r="L11879" t="str">
            <v>Professional Service</v>
          </cell>
          <cell r="N11879" t="str">
            <v>Direct Costs</v>
          </cell>
          <cell r="O11879" t="str">
            <v>SPS Commerce</v>
          </cell>
        </row>
        <row r="11880">
          <cell r="D11880">
            <v>109.5</v>
          </cell>
          <cell r="H11880">
            <v>45931</v>
          </cell>
          <cell r="I11880" t="str">
            <v>6393 - Software</v>
          </cell>
          <cell r="J11880" t="str">
            <v>Wholesale</v>
          </cell>
          <cell r="K11880" t="str">
            <v>Wholesale</v>
          </cell>
          <cell r="L11880" t="str">
            <v>Professional Service</v>
          </cell>
          <cell r="N11880" t="str">
            <v>Direct Costs</v>
          </cell>
          <cell r="O11880" t="str">
            <v>SPS Commerce</v>
          </cell>
        </row>
        <row r="11881">
          <cell r="D11881">
            <v>146</v>
          </cell>
          <cell r="H11881">
            <v>45931</v>
          </cell>
          <cell r="I11881" t="str">
            <v>6393 - Software</v>
          </cell>
          <cell r="J11881" t="str">
            <v>Wholesale</v>
          </cell>
          <cell r="K11881" t="str">
            <v>Wholesale</v>
          </cell>
          <cell r="L11881" t="str">
            <v>Professional Service</v>
          </cell>
          <cell r="N11881" t="str">
            <v>Direct Costs</v>
          </cell>
          <cell r="O11881" t="str">
            <v>SPS Commerce</v>
          </cell>
        </row>
        <row r="11882">
          <cell r="D11882">
            <v>543.66999999999996</v>
          </cell>
          <cell r="H11882">
            <v>45931</v>
          </cell>
          <cell r="I11882" t="str">
            <v>6393 - Software</v>
          </cell>
          <cell r="J11882">
            <v>0</v>
          </cell>
          <cell r="K11882" t="str">
            <v>Administration</v>
          </cell>
          <cell r="L11882" t="str">
            <v>Professional Service</v>
          </cell>
          <cell r="N11882" t="str">
            <v>Direct Costs</v>
          </cell>
          <cell r="O11882" t="str">
            <v>Concur Technologies, Inc.</v>
          </cell>
        </row>
        <row r="11883">
          <cell r="D11883">
            <v>74.930000000000007</v>
          </cell>
          <cell r="H11883">
            <v>45931</v>
          </cell>
          <cell r="I11883" t="str">
            <v>6393 - Software</v>
          </cell>
          <cell r="J11883">
            <v>0</v>
          </cell>
          <cell r="K11883" t="str">
            <v>Administration</v>
          </cell>
          <cell r="L11883" t="str">
            <v>Professional Service</v>
          </cell>
          <cell r="N11883" t="str">
            <v>Direct Costs</v>
          </cell>
          <cell r="O11883" t="str">
            <v>QBO</v>
          </cell>
        </row>
        <row r="11884">
          <cell r="D11884">
            <v>240.07</v>
          </cell>
          <cell r="H11884">
            <v>45931</v>
          </cell>
          <cell r="I11884" t="str">
            <v>6393 - Software</v>
          </cell>
          <cell r="J11884" t="str">
            <v>Wholesale</v>
          </cell>
          <cell r="K11884" t="str">
            <v>Wholesale</v>
          </cell>
          <cell r="L11884" t="str">
            <v>Professional Service</v>
          </cell>
          <cell r="N11884" t="str">
            <v>Direct Costs</v>
          </cell>
          <cell r="O11884" t="str">
            <v>Open Text</v>
          </cell>
        </row>
        <row r="11885">
          <cell r="D11885">
            <v>52.1</v>
          </cell>
          <cell r="H11885">
            <v>45931</v>
          </cell>
          <cell r="I11885" t="str">
            <v>6393 - Software</v>
          </cell>
          <cell r="J11885" t="str">
            <v>Wholesale</v>
          </cell>
          <cell r="K11885" t="str">
            <v>Wholesale</v>
          </cell>
          <cell r="L11885" t="str">
            <v>Professional Service</v>
          </cell>
          <cell r="N11885" t="str">
            <v>Direct Costs</v>
          </cell>
          <cell r="O11885" t="str">
            <v>Authorize.net</v>
          </cell>
        </row>
        <row r="11886">
          <cell r="D11886">
            <v>7785.48</v>
          </cell>
          <cell r="H11886">
            <v>45931</v>
          </cell>
          <cell r="I11886" t="str">
            <v>6393 - Software</v>
          </cell>
          <cell r="J11886" t="str">
            <v>Ecommerce (US)</v>
          </cell>
          <cell r="K11886" t="str">
            <v>Ecommerce</v>
          </cell>
          <cell r="L11886" t="str">
            <v>Professional Service</v>
          </cell>
          <cell r="N11886" t="str">
            <v>Direct Costs</v>
          </cell>
          <cell r="O11886" t="str">
            <v>Shopify</v>
          </cell>
        </row>
        <row r="11887">
          <cell r="D11887">
            <v>598</v>
          </cell>
          <cell r="H11887">
            <v>45931</v>
          </cell>
          <cell r="I11887" t="str">
            <v>6393 - Software</v>
          </cell>
          <cell r="J11887" t="str">
            <v>Ecommerce (US)</v>
          </cell>
          <cell r="K11887" t="str">
            <v>Ecommerce</v>
          </cell>
          <cell r="L11887" t="str">
            <v>Professional Service</v>
          </cell>
          <cell r="N11887" t="str">
            <v>Direct Costs</v>
          </cell>
          <cell r="O11887" t="str">
            <v>GoDataFeed</v>
          </cell>
        </row>
        <row r="11888">
          <cell r="D11888">
            <v>14.52</v>
          </cell>
          <cell r="H11888">
            <v>45931</v>
          </cell>
          <cell r="I11888" t="str">
            <v>6393 - Software</v>
          </cell>
          <cell r="J11888" t="str">
            <v>Ecommerce (US)</v>
          </cell>
          <cell r="K11888" t="str">
            <v>Ecommerce</v>
          </cell>
          <cell r="L11888" t="str">
            <v>Professional Service</v>
          </cell>
          <cell r="N11888" t="str">
            <v>Direct Costs</v>
          </cell>
          <cell r="O11888" t="str">
            <v>Amazon</v>
          </cell>
        </row>
        <row r="11889">
          <cell r="D11889">
            <v>9.5500000000000007</v>
          </cell>
          <cell r="H11889">
            <v>45931</v>
          </cell>
          <cell r="I11889" t="str">
            <v>6393 - Software</v>
          </cell>
          <cell r="J11889" t="str">
            <v>Ecommerce (US)</v>
          </cell>
          <cell r="K11889" t="str">
            <v>Ecommerce</v>
          </cell>
          <cell r="L11889" t="str">
            <v>Professional Service</v>
          </cell>
          <cell r="N11889" t="str">
            <v>Direct Costs</v>
          </cell>
          <cell r="O11889" t="str">
            <v>Amazon</v>
          </cell>
        </row>
        <row r="11890">
          <cell r="D11890">
            <v>107.79</v>
          </cell>
          <cell r="H11890">
            <v>45931</v>
          </cell>
          <cell r="I11890" t="str">
            <v>6393 - Software</v>
          </cell>
          <cell r="J11890" t="str">
            <v>Ecommerce (US)</v>
          </cell>
          <cell r="K11890" t="str">
            <v>Ecommerce</v>
          </cell>
          <cell r="L11890" t="str">
            <v>Professional Service</v>
          </cell>
          <cell r="N11890" t="str">
            <v>Direct Costs</v>
          </cell>
          <cell r="O11890" t="str">
            <v>Integration Manager</v>
          </cell>
        </row>
        <row r="11891">
          <cell r="D11891">
            <v>1012.54</v>
          </cell>
          <cell r="H11891">
            <v>45931</v>
          </cell>
          <cell r="I11891" t="str">
            <v>6393 - Software</v>
          </cell>
          <cell r="J11891" t="str">
            <v>Ecommerce (US)</v>
          </cell>
          <cell r="K11891" t="str">
            <v>Ecommerce</v>
          </cell>
          <cell r="L11891" t="str">
            <v>Professional Service</v>
          </cell>
          <cell r="N11891" t="str">
            <v>Direct Costs</v>
          </cell>
          <cell r="O11891" t="str">
            <v>Klaviyo</v>
          </cell>
        </row>
        <row r="11892">
          <cell r="D11892">
            <v>3249.92</v>
          </cell>
          <cell r="H11892">
            <v>45931</v>
          </cell>
          <cell r="I11892" t="str">
            <v>6393 - Software</v>
          </cell>
          <cell r="J11892" t="str">
            <v>Ecommerce (US)</v>
          </cell>
          <cell r="K11892" t="str">
            <v>Ecommerce</v>
          </cell>
          <cell r="L11892" t="str">
            <v>Professional Service</v>
          </cell>
          <cell r="N11892" t="str">
            <v>Direct Costs</v>
          </cell>
          <cell r="O11892" t="str">
            <v>Klaviyo</v>
          </cell>
        </row>
        <row r="11893">
          <cell r="D11893">
            <v>9725.5499999999993</v>
          </cell>
          <cell r="H11893">
            <v>45931</v>
          </cell>
          <cell r="I11893" t="str">
            <v>6393 - Software</v>
          </cell>
          <cell r="J11893" t="str">
            <v>Ecommerce (US)</v>
          </cell>
          <cell r="K11893" t="str">
            <v>Ecommerce</v>
          </cell>
          <cell r="L11893" t="str">
            <v>Professional Service</v>
          </cell>
          <cell r="N11893" t="str">
            <v>Direct Costs</v>
          </cell>
          <cell r="O11893" t="str">
            <v>Signifyd</v>
          </cell>
        </row>
        <row r="11894">
          <cell r="D11894">
            <v>21.32</v>
          </cell>
          <cell r="H11894">
            <v>45931</v>
          </cell>
          <cell r="I11894" t="str">
            <v>6393 - Software</v>
          </cell>
          <cell r="J11894" t="str">
            <v>Ecommerce (US)</v>
          </cell>
          <cell r="K11894" t="str">
            <v>Ecommerce</v>
          </cell>
          <cell r="L11894" t="str">
            <v>Professional Service</v>
          </cell>
          <cell r="N11894" t="str">
            <v>Direct Costs</v>
          </cell>
          <cell r="O11894" t="str">
            <v>Google Cloud</v>
          </cell>
        </row>
        <row r="11895">
          <cell r="D11895">
            <v>7.89</v>
          </cell>
          <cell r="H11895">
            <v>45931</v>
          </cell>
          <cell r="I11895" t="str">
            <v>6393 - Software</v>
          </cell>
          <cell r="J11895" t="str">
            <v>Ecommerce (US)</v>
          </cell>
          <cell r="K11895" t="str">
            <v>Ecommerce</v>
          </cell>
          <cell r="L11895" t="str">
            <v>Professional Service</v>
          </cell>
          <cell r="N11895" t="str">
            <v>Direct Costs</v>
          </cell>
          <cell r="O11895" t="str">
            <v>Slack</v>
          </cell>
        </row>
        <row r="11896">
          <cell r="D11896">
            <v>2050.5500000000002</v>
          </cell>
          <cell r="H11896">
            <v>45931</v>
          </cell>
          <cell r="I11896" t="str">
            <v>6393 - Software</v>
          </cell>
          <cell r="J11896" t="str">
            <v>Ecommerce (US)</v>
          </cell>
          <cell r="K11896" t="str">
            <v>Ecommerce</v>
          </cell>
          <cell r="L11896" t="str">
            <v>Professional Service</v>
          </cell>
          <cell r="N11896" t="str">
            <v>Direct Costs</v>
          </cell>
          <cell r="O11896" t="str">
            <v>GORGIAS INC</v>
          </cell>
        </row>
        <row r="11897">
          <cell r="D11897">
            <v>1494</v>
          </cell>
          <cell r="H11897">
            <v>45931</v>
          </cell>
          <cell r="I11897" t="str">
            <v>6393 - Software</v>
          </cell>
          <cell r="J11897">
            <v>0</v>
          </cell>
          <cell r="K11897" t="str">
            <v>Design</v>
          </cell>
          <cell r="L11897" t="str">
            <v>Professional Service</v>
          </cell>
          <cell r="N11897" t="str">
            <v>Direct Costs</v>
          </cell>
          <cell r="O11897" t="str">
            <v>Backbone</v>
          </cell>
        </row>
        <row r="11898">
          <cell r="D11898">
            <v>1779.84</v>
          </cell>
          <cell r="H11898">
            <v>45931</v>
          </cell>
          <cell r="I11898" t="str">
            <v>6393 - Software</v>
          </cell>
          <cell r="J11898">
            <v>0</v>
          </cell>
          <cell r="K11898" t="str">
            <v>Administration</v>
          </cell>
          <cell r="L11898" t="str">
            <v>Professional Service</v>
          </cell>
          <cell r="N11898" t="str">
            <v>Direct Costs</v>
          </cell>
          <cell r="O11898" t="str">
            <v>Adobe, Inc.</v>
          </cell>
        </row>
        <row r="11899">
          <cell r="D11899">
            <v>75.91</v>
          </cell>
          <cell r="H11899">
            <v>45931</v>
          </cell>
          <cell r="I11899" t="str">
            <v>6393 - Software</v>
          </cell>
          <cell r="J11899">
            <v>0</v>
          </cell>
          <cell r="K11899" t="str">
            <v>Administration</v>
          </cell>
          <cell r="L11899" t="str">
            <v>Professional Service</v>
          </cell>
          <cell r="N11899" t="str">
            <v>Direct Costs</v>
          </cell>
          <cell r="O11899" t="str">
            <v>QBO</v>
          </cell>
        </row>
        <row r="11900">
          <cell r="D11900">
            <v>-10000</v>
          </cell>
          <cell r="H11900">
            <v>45931</v>
          </cell>
          <cell r="I11900" t="str">
            <v>6393 - Software</v>
          </cell>
          <cell r="J11900" t="str">
            <v>Ecommerce (US)</v>
          </cell>
          <cell r="K11900" t="str">
            <v>Ecommerce</v>
          </cell>
          <cell r="L11900" t="str">
            <v>Professional Service</v>
          </cell>
          <cell r="N11900" t="str">
            <v>SG&amp;A</v>
          </cell>
          <cell r="O11900" t="str">
            <v>P3 Digital LLC</v>
          </cell>
        </row>
        <row r="11901">
          <cell r="D11901">
            <v>180.02</v>
          </cell>
          <cell r="H11901">
            <v>45931</v>
          </cell>
          <cell r="I11901" t="str">
            <v>6393 - Software</v>
          </cell>
          <cell r="J11901" t="str">
            <v>Wholesale</v>
          </cell>
          <cell r="K11901" t="str">
            <v>Wholesale</v>
          </cell>
          <cell r="L11901" t="str">
            <v>Professional Service</v>
          </cell>
          <cell r="N11901" t="str">
            <v>Direct Costs</v>
          </cell>
          <cell r="O11901" t="str">
            <v>SPS Commerce</v>
          </cell>
        </row>
        <row r="11902">
          <cell r="D11902">
            <v>273.72000000000003</v>
          </cell>
          <cell r="H11902">
            <v>45931</v>
          </cell>
          <cell r="I11902" t="str">
            <v>6393 - Software</v>
          </cell>
          <cell r="J11902" t="str">
            <v>Wholesale</v>
          </cell>
          <cell r="K11902" t="str">
            <v>Wholesale</v>
          </cell>
          <cell r="L11902" t="str">
            <v>Professional Service</v>
          </cell>
          <cell r="N11902" t="str">
            <v>Direct Costs</v>
          </cell>
          <cell r="O11902" t="str">
            <v>SPS Commerce</v>
          </cell>
        </row>
        <row r="11903">
          <cell r="D11903">
            <v>59</v>
          </cell>
          <cell r="H11903">
            <v>45931</v>
          </cell>
          <cell r="I11903" t="str">
            <v>6393 - Software</v>
          </cell>
          <cell r="J11903" t="str">
            <v>Wholesale</v>
          </cell>
          <cell r="K11903" t="str">
            <v>Wholesale</v>
          </cell>
          <cell r="L11903" t="str">
            <v>Professional Service</v>
          </cell>
          <cell r="N11903" t="str">
            <v>Direct Costs</v>
          </cell>
          <cell r="O11903" t="str">
            <v>SPS Commerce</v>
          </cell>
        </row>
        <row r="11904">
          <cell r="D11904">
            <v>138.16999999999999</v>
          </cell>
          <cell r="H11904">
            <v>45931</v>
          </cell>
          <cell r="I11904" t="str">
            <v>6393 - Software</v>
          </cell>
          <cell r="J11904" t="str">
            <v>Wholesale</v>
          </cell>
          <cell r="K11904" t="str">
            <v>Wholesale</v>
          </cell>
          <cell r="L11904" t="str">
            <v>Professional Service</v>
          </cell>
          <cell r="N11904" t="str">
            <v>Direct Costs</v>
          </cell>
          <cell r="O11904" t="str">
            <v>SPS Commerce</v>
          </cell>
        </row>
        <row r="11905">
          <cell r="D11905">
            <v>133.87</v>
          </cell>
          <cell r="H11905">
            <v>45931</v>
          </cell>
          <cell r="I11905" t="str">
            <v>6393 - Software</v>
          </cell>
          <cell r="J11905" t="str">
            <v>Wholesale</v>
          </cell>
          <cell r="K11905" t="str">
            <v>Wholesale</v>
          </cell>
          <cell r="L11905" t="str">
            <v>Professional Service</v>
          </cell>
          <cell r="N11905" t="str">
            <v>Direct Costs</v>
          </cell>
          <cell r="O11905" t="str">
            <v>SPS Commerce</v>
          </cell>
        </row>
        <row r="11906">
          <cell r="D11906">
            <v>48.36</v>
          </cell>
          <cell r="H11906">
            <v>45931</v>
          </cell>
          <cell r="I11906" t="str">
            <v>6393 - Software</v>
          </cell>
          <cell r="J11906" t="str">
            <v>Wholesale</v>
          </cell>
          <cell r="K11906" t="str">
            <v>Wholesale</v>
          </cell>
          <cell r="L11906" t="str">
            <v>Professional Service</v>
          </cell>
          <cell r="N11906" t="str">
            <v>Direct Costs</v>
          </cell>
          <cell r="O11906" t="str">
            <v>SPS Commerce</v>
          </cell>
        </row>
        <row r="11907">
          <cell r="D11907">
            <v>53.68</v>
          </cell>
          <cell r="H11907">
            <v>45931</v>
          </cell>
          <cell r="I11907" t="str">
            <v>6393 - Software</v>
          </cell>
          <cell r="J11907" t="str">
            <v>Wholesale</v>
          </cell>
          <cell r="K11907" t="str">
            <v>Wholesale</v>
          </cell>
          <cell r="L11907" t="str">
            <v>Professional Service</v>
          </cell>
          <cell r="N11907" t="str">
            <v>Direct Costs</v>
          </cell>
          <cell r="O11907" t="str">
            <v>SPS Commerce</v>
          </cell>
        </row>
        <row r="11908">
          <cell r="D11908">
            <v>58.76</v>
          </cell>
          <cell r="H11908">
            <v>45931</v>
          </cell>
          <cell r="I11908" t="str">
            <v>6393 - Software</v>
          </cell>
          <cell r="J11908">
            <v>0</v>
          </cell>
          <cell r="K11908" t="str">
            <v>Executive</v>
          </cell>
          <cell r="L11908" t="str">
            <v>Professional Service</v>
          </cell>
          <cell r="N11908" t="str">
            <v>Direct Costs</v>
          </cell>
          <cell r="O11908" t="str">
            <v>Night Café</v>
          </cell>
        </row>
        <row r="11909">
          <cell r="D11909">
            <v>108.86</v>
          </cell>
          <cell r="H11909">
            <v>45931</v>
          </cell>
          <cell r="I11909" t="str">
            <v>6393 - Software</v>
          </cell>
          <cell r="J11909">
            <v>0</v>
          </cell>
          <cell r="K11909" t="str">
            <v>Executive</v>
          </cell>
          <cell r="L11909" t="str">
            <v>Professional Service</v>
          </cell>
          <cell r="N11909" t="str">
            <v>Direct Costs</v>
          </cell>
          <cell r="O11909" t="str">
            <v>Linkedin</v>
          </cell>
        </row>
        <row r="11910">
          <cell r="D11910">
            <v>21.78</v>
          </cell>
          <cell r="H11910">
            <v>45931</v>
          </cell>
          <cell r="I11910" t="str">
            <v>6393 - Software</v>
          </cell>
          <cell r="J11910">
            <v>0</v>
          </cell>
          <cell r="K11910" t="str">
            <v>Executive</v>
          </cell>
          <cell r="L11910" t="str">
            <v>Professional Service</v>
          </cell>
          <cell r="N11910" t="str">
            <v>Direct Costs</v>
          </cell>
          <cell r="O11910" t="str">
            <v>Chat GPT</v>
          </cell>
        </row>
        <row r="11911">
          <cell r="D11911">
            <v>108.86</v>
          </cell>
          <cell r="H11911">
            <v>45931</v>
          </cell>
          <cell r="I11911" t="str">
            <v>6393 - Software</v>
          </cell>
          <cell r="J11911">
            <v>0</v>
          </cell>
          <cell r="K11911" t="str">
            <v>Executive</v>
          </cell>
          <cell r="L11911" t="str">
            <v>Professional Service</v>
          </cell>
          <cell r="N11911" t="str">
            <v>Direct Costs</v>
          </cell>
          <cell r="O11911" t="str">
            <v>Otter AI</v>
          </cell>
        </row>
        <row r="11912">
          <cell r="D11912">
            <v>0</v>
          </cell>
          <cell r="H11912">
            <v>45931</v>
          </cell>
          <cell r="I11912" t="str">
            <v>6393 - Software</v>
          </cell>
          <cell r="J11912" t="str">
            <v>Wholesale</v>
          </cell>
          <cell r="K11912" t="str">
            <v>Wholesale</v>
          </cell>
          <cell r="L11912" t="str">
            <v>Professional Service</v>
          </cell>
          <cell r="N11912" t="str">
            <v>Direct Costs</v>
          </cell>
          <cell r="O11912" t="str">
            <v>SPS Commerce</v>
          </cell>
        </row>
        <row r="11913">
          <cell r="D11913">
            <v>0</v>
          </cell>
          <cell r="H11913">
            <v>45931</v>
          </cell>
          <cell r="I11913" t="str">
            <v>6393 - Software</v>
          </cell>
          <cell r="J11913" t="str">
            <v>Wholesale</v>
          </cell>
          <cell r="K11913" t="str">
            <v>Wholesale</v>
          </cell>
          <cell r="L11913" t="str">
            <v>Professional Service</v>
          </cell>
          <cell r="N11913" t="str">
            <v>Direct Costs</v>
          </cell>
          <cell r="O11913" t="str">
            <v>SPS Commerce</v>
          </cell>
        </row>
        <row r="11914">
          <cell r="D11914">
            <v>88</v>
          </cell>
          <cell r="H11914">
            <v>45931</v>
          </cell>
          <cell r="I11914" t="str">
            <v>6393 - Software</v>
          </cell>
          <cell r="J11914" t="str">
            <v>Wholesale</v>
          </cell>
          <cell r="K11914" t="str">
            <v>Wholesale</v>
          </cell>
          <cell r="L11914" t="str">
            <v>Professional Service</v>
          </cell>
          <cell r="N11914" t="str">
            <v>Direct Costs</v>
          </cell>
          <cell r="O11914" t="str">
            <v>SPS Commerce</v>
          </cell>
        </row>
        <row r="11915">
          <cell r="D11915">
            <v>550</v>
          </cell>
          <cell r="H11915">
            <v>45931</v>
          </cell>
          <cell r="I11915" t="str">
            <v>6393 - Software</v>
          </cell>
          <cell r="J11915">
            <v>0</v>
          </cell>
          <cell r="K11915" t="str">
            <v>Brand Marketing</v>
          </cell>
          <cell r="L11915" t="str">
            <v>Professional Service</v>
          </cell>
          <cell r="N11915" t="str">
            <v>Direct Costs</v>
          </cell>
          <cell r="O11915" t="str">
            <v>[No Vendor]</v>
          </cell>
        </row>
        <row r="11916">
          <cell r="D11916">
            <v>15.92</v>
          </cell>
          <cell r="H11916">
            <v>45931</v>
          </cell>
          <cell r="I11916" t="str">
            <v>6393 - Software</v>
          </cell>
          <cell r="J11916">
            <v>0</v>
          </cell>
          <cell r="K11916" t="str">
            <v>Administration</v>
          </cell>
          <cell r="L11916" t="str">
            <v>Professional Service</v>
          </cell>
          <cell r="N11916" t="str">
            <v>Direct Costs</v>
          </cell>
          <cell r="O11916" t="str">
            <v>Chat GPT</v>
          </cell>
        </row>
        <row r="11917">
          <cell r="D11917">
            <v>7.38</v>
          </cell>
          <cell r="H11917">
            <v>45931</v>
          </cell>
          <cell r="I11917" t="str">
            <v>6393 - Software</v>
          </cell>
          <cell r="J11917">
            <v>0</v>
          </cell>
          <cell r="K11917" t="str">
            <v>Administration</v>
          </cell>
          <cell r="L11917" t="str">
            <v>Professional Service</v>
          </cell>
          <cell r="N11917" t="str">
            <v>Direct Costs</v>
          </cell>
          <cell r="O11917" t="str">
            <v>Chat GPT</v>
          </cell>
        </row>
        <row r="11918">
          <cell r="D11918">
            <v>108.88</v>
          </cell>
          <cell r="H11918">
            <v>45931</v>
          </cell>
          <cell r="I11918" t="str">
            <v>6393 - Software</v>
          </cell>
          <cell r="J11918">
            <v>0</v>
          </cell>
          <cell r="K11918" t="str">
            <v>Administration</v>
          </cell>
          <cell r="L11918" t="str">
            <v>Professional Service</v>
          </cell>
          <cell r="N11918" t="str">
            <v>Direct Costs</v>
          </cell>
          <cell r="O11918" t="str">
            <v>Claude AI</v>
          </cell>
        </row>
        <row r="11919">
          <cell r="D11919">
            <v>163.31</v>
          </cell>
          <cell r="H11919">
            <v>45931</v>
          </cell>
          <cell r="I11919" t="str">
            <v>6393 - Software</v>
          </cell>
          <cell r="J11919">
            <v>0</v>
          </cell>
          <cell r="K11919" t="str">
            <v>Administration</v>
          </cell>
          <cell r="L11919" t="str">
            <v>Professional Service</v>
          </cell>
          <cell r="N11919" t="str">
            <v>Direct Costs</v>
          </cell>
          <cell r="O11919" t="str">
            <v>Chat GPT</v>
          </cell>
        </row>
        <row r="11920">
          <cell r="D11920">
            <v>2582.46</v>
          </cell>
          <cell r="H11920">
            <v>45931</v>
          </cell>
          <cell r="I11920" t="str">
            <v>6393 - Software</v>
          </cell>
          <cell r="J11920">
            <v>0</v>
          </cell>
          <cell r="K11920" t="str">
            <v>Administration</v>
          </cell>
          <cell r="L11920" t="str">
            <v>Professional Service</v>
          </cell>
          <cell r="N11920" t="str">
            <v>Direct Costs</v>
          </cell>
          <cell r="O11920" t="str">
            <v>Apparel Magic</v>
          </cell>
        </row>
        <row r="11921">
          <cell r="D11921">
            <v>226.82</v>
          </cell>
          <cell r="H11921">
            <v>45931</v>
          </cell>
          <cell r="I11921" t="str">
            <v>6393 - Software</v>
          </cell>
          <cell r="J11921">
            <v>0</v>
          </cell>
          <cell r="K11921" t="str">
            <v>Administration</v>
          </cell>
          <cell r="L11921" t="str">
            <v>Professional Service</v>
          </cell>
          <cell r="N11921" t="str">
            <v>Direct Costs</v>
          </cell>
          <cell r="O11921" t="str">
            <v>Avalara, Inc</v>
          </cell>
        </row>
        <row r="11922">
          <cell r="D11922">
            <v>3179.22</v>
          </cell>
          <cell r="H11922">
            <v>45931</v>
          </cell>
          <cell r="I11922" t="str">
            <v>6393 - Software</v>
          </cell>
          <cell r="J11922">
            <v>0</v>
          </cell>
          <cell r="K11922" t="str">
            <v>Administration</v>
          </cell>
          <cell r="L11922" t="str">
            <v>Professional Service</v>
          </cell>
          <cell r="N11922" t="str">
            <v>Direct Costs</v>
          </cell>
          <cell r="O11922" t="str">
            <v>Avalara, Inc</v>
          </cell>
        </row>
        <row r="11923">
          <cell r="D11923">
            <v>9.99</v>
          </cell>
          <cell r="H11923">
            <v>45931</v>
          </cell>
          <cell r="I11923" t="str">
            <v>6393 - Software</v>
          </cell>
          <cell r="J11923">
            <v>0</v>
          </cell>
          <cell r="K11923" t="str">
            <v>Administration</v>
          </cell>
          <cell r="L11923" t="str">
            <v>Professional Service</v>
          </cell>
          <cell r="N11923" t="str">
            <v>Direct Costs</v>
          </cell>
          <cell r="O11923" t="str">
            <v>Drop Box</v>
          </cell>
        </row>
        <row r="11924">
          <cell r="D11924">
            <v>411.58</v>
          </cell>
          <cell r="H11924">
            <v>45931</v>
          </cell>
          <cell r="I11924" t="str">
            <v>6393 - Software</v>
          </cell>
          <cell r="J11924">
            <v>0</v>
          </cell>
          <cell r="K11924" t="str">
            <v>Administration</v>
          </cell>
          <cell r="L11924" t="str">
            <v>Professional Service</v>
          </cell>
          <cell r="N11924" t="str">
            <v>Direct Costs</v>
          </cell>
          <cell r="O11924" t="str">
            <v>MS Office 365</v>
          </cell>
        </row>
        <row r="11925">
          <cell r="D11925">
            <v>421.69</v>
          </cell>
          <cell r="H11925">
            <v>45931</v>
          </cell>
          <cell r="I11925" t="str">
            <v>6393 - Software</v>
          </cell>
          <cell r="J11925">
            <v>0</v>
          </cell>
          <cell r="K11925" t="str">
            <v>Administration</v>
          </cell>
          <cell r="L11925" t="str">
            <v>Professional Service</v>
          </cell>
          <cell r="N11925" t="str">
            <v>Direct Costs</v>
          </cell>
          <cell r="O11925" t="str">
            <v>Docusign</v>
          </cell>
        </row>
        <row r="11926">
          <cell r="D11926">
            <v>8296.51</v>
          </cell>
          <cell r="H11926">
            <v>45931</v>
          </cell>
          <cell r="I11926" t="str">
            <v>6393 - Software</v>
          </cell>
          <cell r="J11926">
            <v>0</v>
          </cell>
          <cell r="K11926" t="str">
            <v>Administration</v>
          </cell>
          <cell r="L11926" t="str">
            <v>Professional Service</v>
          </cell>
          <cell r="N11926" t="str">
            <v>Direct Costs</v>
          </cell>
          <cell r="O11926" t="str">
            <v>Oracle Netsuite</v>
          </cell>
        </row>
        <row r="11927">
          <cell r="D11927">
            <v>10525.95</v>
          </cell>
          <cell r="H11927">
            <v>45931</v>
          </cell>
          <cell r="I11927" t="str">
            <v>6393 - Software</v>
          </cell>
          <cell r="J11927" t="str">
            <v>Ecommerce (US)</v>
          </cell>
          <cell r="K11927" t="str">
            <v>Ecommerce</v>
          </cell>
          <cell r="L11927" t="str">
            <v>Professional Service</v>
          </cell>
          <cell r="N11927" t="str">
            <v>Direct Costs</v>
          </cell>
          <cell r="O11927" t="str">
            <v>Attentive Mobile Inc.</v>
          </cell>
        </row>
        <row r="11928">
          <cell r="D11928">
            <v>2268.23</v>
          </cell>
          <cell r="H11928">
            <v>45931</v>
          </cell>
          <cell r="I11928" t="str">
            <v>6393 - Software</v>
          </cell>
          <cell r="J11928">
            <v>0</v>
          </cell>
          <cell r="K11928" t="str">
            <v>Brand Marketing</v>
          </cell>
          <cell r="L11928" t="str">
            <v>Professional Service</v>
          </cell>
          <cell r="N11928" t="str">
            <v>Direct Costs</v>
          </cell>
          <cell r="O11928" t="str">
            <v>Fohr</v>
          </cell>
        </row>
        <row r="11929">
          <cell r="D11929">
            <v>41.67</v>
          </cell>
          <cell r="H11929">
            <v>45931</v>
          </cell>
          <cell r="I11929" t="str">
            <v>6393 - Software</v>
          </cell>
          <cell r="J11929">
            <v>0</v>
          </cell>
          <cell r="K11929" t="str">
            <v>Brand Marketing</v>
          </cell>
          <cell r="L11929" t="str">
            <v>Professional Service</v>
          </cell>
          <cell r="N11929" t="str">
            <v>Direct Costs</v>
          </cell>
          <cell r="O11929" t="str">
            <v>[No Vendor]</v>
          </cell>
        </row>
        <row r="11930">
          <cell r="D11930">
            <v>515.11</v>
          </cell>
          <cell r="H11930">
            <v>45931</v>
          </cell>
          <cell r="I11930" t="str">
            <v>6400 - Utilities</v>
          </cell>
          <cell r="J11930">
            <v>0</v>
          </cell>
          <cell r="K11930" t="str">
            <v>Administration</v>
          </cell>
          <cell r="L11930" t="str">
            <v>Other</v>
          </cell>
          <cell r="N11930" t="str">
            <v>SG&amp;A</v>
          </cell>
          <cell r="O11930" t="str">
            <v>Antelope LLC</v>
          </cell>
        </row>
        <row r="11931">
          <cell r="D11931">
            <v>5.33</v>
          </cell>
          <cell r="H11931">
            <v>45931</v>
          </cell>
          <cell r="I11931" t="str">
            <v>6400 - Utilities</v>
          </cell>
          <cell r="J11931">
            <v>0</v>
          </cell>
          <cell r="K11931" t="str">
            <v>Administration</v>
          </cell>
          <cell r="L11931" t="str">
            <v>Other</v>
          </cell>
          <cell r="N11931" t="str">
            <v>SG&amp;A</v>
          </cell>
          <cell r="O11931" t="str">
            <v>NYC Intercom Inc</v>
          </cell>
        </row>
        <row r="11932">
          <cell r="D11932">
            <v>25</v>
          </cell>
          <cell r="H11932">
            <v>45931</v>
          </cell>
          <cell r="I11932" t="str">
            <v>6400 - Utilities</v>
          </cell>
          <cell r="J11932">
            <v>0</v>
          </cell>
          <cell r="K11932" t="str">
            <v>Administration</v>
          </cell>
          <cell r="L11932" t="str">
            <v>Other</v>
          </cell>
          <cell r="N11932" t="str">
            <v>SG&amp;A</v>
          </cell>
          <cell r="O11932" t="str">
            <v>NYC Intercom Inc</v>
          </cell>
        </row>
        <row r="11933">
          <cell r="D11933">
            <v>35</v>
          </cell>
          <cell r="H11933">
            <v>45931</v>
          </cell>
          <cell r="I11933" t="str">
            <v>6400 - Utilities</v>
          </cell>
          <cell r="J11933">
            <v>0</v>
          </cell>
          <cell r="K11933" t="str">
            <v>Administration</v>
          </cell>
          <cell r="L11933" t="str">
            <v>Other</v>
          </cell>
          <cell r="N11933" t="str">
            <v>SG&amp;A</v>
          </cell>
          <cell r="O11933" t="str">
            <v>NYC Intercom Inc</v>
          </cell>
        </row>
        <row r="11934">
          <cell r="D11934">
            <v>-515.11</v>
          </cell>
          <cell r="H11934">
            <v>45931</v>
          </cell>
          <cell r="I11934" t="str">
            <v>6400 - Utilities</v>
          </cell>
          <cell r="J11934">
            <v>0</v>
          </cell>
          <cell r="K11934" t="str">
            <v>Administration</v>
          </cell>
          <cell r="L11934" t="str">
            <v>Other</v>
          </cell>
          <cell r="N11934" t="str">
            <v>SG&amp;A</v>
          </cell>
          <cell r="O11934" t="str">
            <v>[No Vendor]</v>
          </cell>
        </row>
        <row r="11935">
          <cell r="D11935">
            <v>270.36</v>
          </cell>
          <cell r="H11935">
            <v>45931</v>
          </cell>
          <cell r="I11935" t="str">
            <v>6400 - Utilities</v>
          </cell>
          <cell r="J11935">
            <v>0</v>
          </cell>
          <cell r="K11935" t="str">
            <v>Administration</v>
          </cell>
          <cell r="L11935" t="str">
            <v>Other</v>
          </cell>
          <cell r="N11935" t="str">
            <v>SG&amp;A</v>
          </cell>
          <cell r="O11935" t="str">
            <v>Verizon</v>
          </cell>
        </row>
        <row r="11936">
          <cell r="D11936">
            <v>479.83</v>
          </cell>
          <cell r="H11936">
            <v>45931</v>
          </cell>
          <cell r="I11936" t="str">
            <v>6400 - Utilities</v>
          </cell>
          <cell r="J11936">
            <v>0</v>
          </cell>
          <cell r="K11936" t="str">
            <v>Administration</v>
          </cell>
          <cell r="L11936" t="str">
            <v>Other</v>
          </cell>
          <cell r="N11936" t="str">
            <v>SG&amp;A</v>
          </cell>
          <cell r="O11936" t="str">
            <v>[No Vendor]</v>
          </cell>
        </row>
        <row r="11937">
          <cell r="D11937">
            <v>740.48</v>
          </cell>
          <cell r="H11937">
            <v>45931</v>
          </cell>
          <cell r="I11937" t="str">
            <v>6410 - Lease Expense</v>
          </cell>
          <cell r="J11937">
            <v>0</v>
          </cell>
          <cell r="K11937" t="str">
            <v>Administration</v>
          </cell>
          <cell r="L11937" t="str">
            <v>Rent</v>
          </cell>
          <cell r="N11937" t="str">
            <v>SG&amp;A</v>
          </cell>
          <cell r="O11937" t="str">
            <v>Canon Financial Services, Inc.</v>
          </cell>
        </row>
        <row r="11938">
          <cell r="D11938">
            <v>-606</v>
          </cell>
          <cell r="H11938">
            <v>45931</v>
          </cell>
          <cell r="I11938" t="str">
            <v>6410 - Lease Expense</v>
          </cell>
          <cell r="J11938">
            <v>0</v>
          </cell>
          <cell r="K11938" t="str">
            <v>Administration</v>
          </cell>
          <cell r="L11938" t="str">
            <v>Rent</v>
          </cell>
          <cell r="N11938" t="str">
            <v>SG&amp;A</v>
          </cell>
          <cell r="O11938" t="str">
            <v>[No Vendor]</v>
          </cell>
        </row>
        <row r="11939">
          <cell r="D11939">
            <v>175</v>
          </cell>
          <cell r="H11939">
            <v>45931</v>
          </cell>
          <cell r="I11939" t="str">
            <v>6420 - Licenses &amp; Membership</v>
          </cell>
          <cell r="J11939">
            <v>0</v>
          </cell>
          <cell r="K11939" t="str">
            <v>Production</v>
          </cell>
          <cell r="L11939" t="str">
            <v>Professional Service</v>
          </cell>
          <cell r="N11939" t="str">
            <v>SG&amp;A</v>
          </cell>
          <cell r="O11939" t="str">
            <v>GS1</v>
          </cell>
        </row>
        <row r="11940">
          <cell r="D11940">
            <v>5000</v>
          </cell>
          <cell r="H11940">
            <v>45931</v>
          </cell>
          <cell r="I11940" t="str">
            <v>6445 - Inventory Write Down</v>
          </cell>
          <cell r="J11940" t="str">
            <v>Ecommerce (US)</v>
          </cell>
          <cell r="K11940" t="str">
            <v>Ecommerce</v>
          </cell>
          <cell r="L11940" t="str">
            <v>Other</v>
          </cell>
          <cell r="N11940" t="str">
            <v>SG&amp;A</v>
          </cell>
          <cell r="O11940" t="str">
            <v>[No Vendor]</v>
          </cell>
        </row>
        <row r="11941">
          <cell r="D11941">
            <v>0.22</v>
          </cell>
          <cell r="H11941">
            <v>45931</v>
          </cell>
          <cell r="I11941" t="str">
            <v>6450 - Bank &amp; Other Fees</v>
          </cell>
          <cell r="J11941" t="str">
            <v>Ecommerce (US)</v>
          </cell>
          <cell r="K11941" t="str">
            <v>Ecommerce</v>
          </cell>
          <cell r="L11941" t="str">
            <v>Professional Service</v>
          </cell>
          <cell r="N11941" t="str">
            <v>Direct Costs</v>
          </cell>
          <cell r="O11941" t="str">
            <v>[No Vendor]</v>
          </cell>
        </row>
        <row r="11942">
          <cell r="D11942">
            <v>0.14000000000000001</v>
          </cell>
          <cell r="H11942">
            <v>45931</v>
          </cell>
          <cell r="I11942" t="str">
            <v>6450 - Bank &amp; Other Fees</v>
          </cell>
          <cell r="J11942" t="str">
            <v>Ecommerce (US)</v>
          </cell>
          <cell r="K11942" t="str">
            <v>Ecommerce</v>
          </cell>
          <cell r="L11942" t="str">
            <v>Professional Service</v>
          </cell>
          <cell r="N11942" t="str">
            <v>Direct Costs</v>
          </cell>
          <cell r="O11942" t="str">
            <v>[No Vendor]</v>
          </cell>
        </row>
        <row r="11943">
          <cell r="D11943">
            <v>1.1399999999999999</v>
          </cell>
          <cell r="H11943">
            <v>45931</v>
          </cell>
          <cell r="I11943" t="str">
            <v>6450 - Bank &amp; Other Fees</v>
          </cell>
          <cell r="J11943">
            <v>0</v>
          </cell>
          <cell r="K11943" t="str">
            <v>Administration</v>
          </cell>
          <cell r="L11943" t="str">
            <v>Professional Service</v>
          </cell>
          <cell r="N11943" t="str">
            <v>SG&amp;A</v>
          </cell>
          <cell r="O11943" t="str">
            <v>[No Vendor]</v>
          </cell>
        </row>
        <row r="11944">
          <cell r="D11944">
            <v>1.1200000000000001</v>
          </cell>
          <cell r="H11944">
            <v>45931</v>
          </cell>
          <cell r="I11944" t="str">
            <v>6450 - Bank &amp; Other Fees</v>
          </cell>
          <cell r="J11944">
            <v>0</v>
          </cell>
          <cell r="K11944" t="str">
            <v>Administration</v>
          </cell>
          <cell r="L11944" t="str">
            <v>Professional Service</v>
          </cell>
          <cell r="N11944" t="str">
            <v>SG&amp;A</v>
          </cell>
          <cell r="O11944" t="str">
            <v>[No Vendor]</v>
          </cell>
        </row>
        <row r="11945">
          <cell r="D11945">
            <v>592.88</v>
          </cell>
          <cell r="H11945">
            <v>45931</v>
          </cell>
          <cell r="I11945" t="str">
            <v>6450 - Bank &amp; Other Fees</v>
          </cell>
          <cell r="J11945">
            <v>0</v>
          </cell>
          <cell r="K11945" t="str">
            <v>Administration</v>
          </cell>
          <cell r="L11945" t="str">
            <v>Professional Service</v>
          </cell>
          <cell r="N11945" t="str">
            <v>SG&amp;A</v>
          </cell>
          <cell r="O11945" t="str">
            <v>[No Vendor]</v>
          </cell>
        </row>
        <row r="11946">
          <cell r="D11946">
            <v>-60.95</v>
          </cell>
          <cell r="H11946">
            <v>45931</v>
          </cell>
          <cell r="I11946" t="str">
            <v>6451 - Service Processing Fee</v>
          </cell>
          <cell r="J11946" t="str">
            <v>Ecommerce (EU)</v>
          </cell>
          <cell r="K11946" t="str">
            <v>Ecommerce</v>
          </cell>
          <cell r="L11946" t="str">
            <v>Professional Service</v>
          </cell>
          <cell r="N11946" t="str">
            <v>Direct Costs</v>
          </cell>
          <cell r="O11946" t="str">
            <v>[No Vendor]</v>
          </cell>
        </row>
        <row r="11947">
          <cell r="D11947">
            <v>7073.08</v>
          </cell>
          <cell r="H11947">
            <v>45931</v>
          </cell>
          <cell r="I11947" t="str">
            <v>6451 - Service Processing Fee</v>
          </cell>
          <cell r="J11947" t="str">
            <v>Wholesale</v>
          </cell>
          <cell r="K11947" t="str">
            <v>Wholesale</v>
          </cell>
          <cell r="L11947" t="str">
            <v>Professional Service</v>
          </cell>
          <cell r="N11947" t="str">
            <v>Direct Costs</v>
          </cell>
          <cell r="O11947" t="str">
            <v>Paymentech</v>
          </cell>
        </row>
        <row r="11948">
          <cell r="D11948">
            <v>-25.2</v>
          </cell>
          <cell r="H11948">
            <v>45931</v>
          </cell>
          <cell r="I11948" t="str">
            <v>6451 - Service Processing Fee</v>
          </cell>
          <cell r="J11948" t="str">
            <v>Ecommerce (US)</v>
          </cell>
          <cell r="K11948" t="str">
            <v>Ecommerce</v>
          </cell>
          <cell r="L11948" t="str">
            <v>Professional Service</v>
          </cell>
          <cell r="N11948" t="str">
            <v>Direct Costs</v>
          </cell>
          <cell r="O11948" t="str">
            <v>[No Vendor]</v>
          </cell>
        </row>
        <row r="11949">
          <cell r="D11949">
            <v>246.6</v>
          </cell>
          <cell r="H11949">
            <v>45931</v>
          </cell>
          <cell r="I11949" t="str">
            <v>6451 - Service Processing Fee</v>
          </cell>
          <cell r="J11949" t="str">
            <v>Ecommerce (US)</v>
          </cell>
          <cell r="K11949" t="str">
            <v>Ecommerce</v>
          </cell>
          <cell r="L11949" t="str">
            <v>Professional Service</v>
          </cell>
          <cell r="N11949" t="str">
            <v>Direct Costs</v>
          </cell>
          <cell r="O11949" t="str">
            <v>[No Vendor]</v>
          </cell>
        </row>
        <row r="11950">
          <cell r="D11950">
            <v>-12.24</v>
          </cell>
          <cell r="H11950">
            <v>45931</v>
          </cell>
          <cell r="I11950" t="str">
            <v>6451 - Service Processing Fee</v>
          </cell>
          <cell r="J11950" t="str">
            <v>Ecommerce (US)</v>
          </cell>
          <cell r="K11950" t="str">
            <v>Ecommerce</v>
          </cell>
          <cell r="L11950" t="str">
            <v>Professional Service</v>
          </cell>
          <cell r="N11950" t="str">
            <v>Direct Costs</v>
          </cell>
          <cell r="O11950" t="str">
            <v>[No Vendor]</v>
          </cell>
        </row>
        <row r="11951">
          <cell r="D11951">
            <v>86.94</v>
          </cell>
          <cell r="H11951">
            <v>45931</v>
          </cell>
          <cell r="I11951" t="str">
            <v>6451 - Service Processing Fee</v>
          </cell>
          <cell r="J11951" t="str">
            <v>Ecommerce (US)</v>
          </cell>
          <cell r="K11951" t="str">
            <v>Ecommerce</v>
          </cell>
          <cell r="L11951" t="str">
            <v>Professional Service</v>
          </cell>
          <cell r="N11951" t="str">
            <v>Direct Costs</v>
          </cell>
          <cell r="O11951" t="str">
            <v>[No Vendor]</v>
          </cell>
        </row>
        <row r="11952">
          <cell r="D11952">
            <v>2003.48</v>
          </cell>
          <cell r="H11952">
            <v>45931</v>
          </cell>
          <cell r="I11952" t="str">
            <v>6451 - Service Processing Fee</v>
          </cell>
          <cell r="J11952" t="str">
            <v>Ecommerce (US)</v>
          </cell>
          <cell r="K11952" t="str">
            <v>Ecommerce</v>
          </cell>
          <cell r="L11952" t="str">
            <v>Professional Service</v>
          </cell>
          <cell r="N11952" t="str">
            <v>Direct Costs</v>
          </cell>
          <cell r="O11952" t="str">
            <v>Loop</v>
          </cell>
        </row>
        <row r="11953">
          <cell r="D11953">
            <v>-45</v>
          </cell>
          <cell r="H11953">
            <v>45931</v>
          </cell>
          <cell r="I11953" t="str">
            <v>6451 - Service Processing Fee</v>
          </cell>
          <cell r="J11953" t="str">
            <v>Ecommerce (US)</v>
          </cell>
          <cell r="K11953" t="str">
            <v>Ecommerce</v>
          </cell>
          <cell r="L11953" t="str">
            <v>Professional Service</v>
          </cell>
          <cell r="N11953" t="str">
            <v>Direct Costs</v>
          </cell>
          <cell r="O11953" t="str">
            <v>[No Vendor]</v>
          </cell>
        </row>
        <row r="11954">
          <cell r="D11954">
            <v>437.4</v>
          </cell>
          <cell r="H11954">
            <v>45931</v>
          </cell>
          <cell r="I11954" t="str">
            <v>6451 - Service Processing Fee</v>
          </cell>
          <cell r="J11954" t="str">
            <v>Ecommerce (US)</v>
          </cell>
          <cell r="K11954" t="str">
            <v>Ecommerce</v>
          </cell>
          <cell r="L11954" t="str">
            <v>Professional Service</v>
          </cell>
          <cell r="N11954" t="str">
            <v>Direct Costs</v>
          </cell>
          <cell r="O11954" t="str">
            <v>[No Vendor]</v>
          </cell>
        </row>
        <row r="11955">
          <cell r="D11955">
            <v>233.28</v>
          </cell>
          <cell r="H11955">
            <v>45931</v>
          </cell>
          <cell r="I11955" t="str">
            <v>6451 - Service Processing Fee</v>
          </cell>
          <cell r="J11955" t="str">
            <v>Ecommerce (US)</v>
          </cell>
          <cell r="K11955" t="str">
            <v>Ecommerce</v>
          </cell>
          <cell r="L11955" t="str">
            <v>Professional Service</v>
          </cell>
          <cell r="N11955" t="str">
            <v>Direct Costs</v>
          </cell>
          <cell r="O11955" t="str">
            <v>[No Vendor]</v>
          </cell>
        </row>
        <row r="11956">
          <cell r="D11956">
            <v>-57.24</v>
          </cell>
          <cell r="H11956">
            <v>45931</v>
          </cell>
          <cell r="I11956" t="str">
            <v>6451 - Service Processing Fee</v>
          </cell>
          <cell r="J11956" t="str">
            <v>Ecommerce (US)</v>
          </cell>
          <cell r="K11956" t="str">
            <v>Ecommerce</v>
          </cell>
          <cell r="L11956" t="str">
            <v>Professional Service</v>
          </cell>
          <cell r="N11956" t="str">
            <v>Direct Costs</v>
          </cell>
          <cell r="O11956" t="str">
            <v>[No Vendor]</v>
          </cell>
        </row>
        <row r="11957">
          <cell r="D11957">
            <v>3142.32</v>
          </cell>
          <cell r="H11957">
            <v>45931</v>
          </cell>
          <cell r="I11957" t="str">
            <v>6451 - Service Processing Fee</v>
          </cell>
          <cell r="J11957" t="str">
            <v>Ecommerce (EU)</v>
          </cell>
          <cell r="K11957" t="str">
            <v>Ecommerce</v>
          </cell>
          <cell r="L11957" t="str">
            <v>Professional Service</v>
          </cell>
          <cell r="N11957" t="str">
            <v>Direct Costs</v>
          </cell>
          <cell r="O11957" t="str">
            <v>[No Vendor]</v>
          </cell>
        </row>
        <row r="11958">
          <cell r="D11958">
            <v>8768.66</v>
          </cell>
          <cell r="H11958">
            <v>45931</v>
          </cell>
          <cell r="I11958" t="str">
            <v>6451 - Service Processing Fee</v>
          </cell>
          <cell r="J11958" t="str">
            <v>Ecommerce (US)</v>
          </cell>
          <cell r="K11958" t="str">
            <v>Ecommerce</v>
          </cell>
          <cell r="L11958" t="str">
            <v>Professional Service</v>
          </cell>
          <cell r="N11958" t="str">
            <v>Direct Costs</v>
          </cell>
          <cell r="O11958" t="str">
            <v>Amazon</v>
          </cell>
        </row>
        <row r="11959">
          <cell r="D11959">
            <v>56624.5</v>
          </cell>
          <cell r="H11959">
            <v>45931</v>
          </cell>
          <cell r="I11959" t="str">
            <v>6451 - Service Processing Fee</v>
          </cell>
          <cell r="J11959" t="str">
            <v>Ecommerce (US)</v>
          </cell>
          <cell r="K11959" t="str">
            <v>Ecommerce</v>
          </cell>
          <cell r="L11959" t="str">
            <v>Professional Service</v>
          </cell>
          <cell r="N11959" t="str">
            <v>Direct Costs</v>
          </cell>
          <cell r="O11959" t="str">
            <v>Shopify</v>
          </cell>
        </row>
        <row r="11960">
          <cell r="D11960">
            <v>6519.97</v>
          </cell>
          <cell r="H11960">
            <v>45931</v>
          </cell>
          <cell r="I11960" t="str">
            <v>6487 - Interest Expense</v>
          </cell>
          <cell r="J11960">
            <v>0</v>
          </cell>
          <cell r="K11960" t="str">
            <v>Administration</v>
          </cell>
          <cell r="L11960" t="str">
            <v>Interest</v>
          </cell>
          <cell r="N11960" t="str">
            <v>BTL</v>
          </cell>
          <cell r="O11960" t="str">
            <v>[No Vendor]</v>
          </cell>
        </row>
        <row r="11961">
          <cell r="D11961">
            <v>11.48</v>
          </cell>
          <cell r="H11961">
            <v>45931</v>
          </cell>
          <cell r="I11961" t="str">
            <v>6487 - Interest Expense</v>
          </cell>
          <cell r="J11961">
            <v>0</v>
          </cell>
          <cell r="K11961" t="str">
            <v>Administration</v>
          </cell>
          <cell r="L11961" t="str">
            <v>Interest</v>
          </cell>
          <cell r="N11961" t="str">
            <v>BTL</v>
          </cell>
          <cell r="O11961" t="str">
            <v>[No Vendor]</v>
          </cell>
        </row>
        <row r="11962">
          <cell r="D11962">
            <v>4297.53</v>
          </cell>
          <cell r="H11962">
            <v>45931</v>
          </cell>
          <cell r="I11962" t="str">
            <v>6487 - Interest Expense</v>
          </cell>
          <cell r="J11962">
            <v>0</v>
          </cell>
          <cell r="K11962" t="str">
            <v>Administration</v>
          </cell>
          <cell r="L11962" t="str">
            <v>Interest</v>
          </cell>
          <cell r="N11962" t="str">
            <v>BTL</v>
          </cell>
          <cell r="O11962" t="str">
            <v>[No Vendor]</v>
          </cell>
        </row>
        <row r="11963">
          <cell r="D11963">
            <v>5860.27</v>
          </cell>
          <cell r="H11963">
            <v>45931</v>
          </cell>
          <cell r="I11963" t="str">
            <v>6487 - Interest Expense</v>
          </cell>
          <cell r="J11963">
            <v>0</v>
          </cell>
          <cell r="K11963" t="str">
            <v>Administration</v>
          </cell>
          <cell r="L11963" t="str">
            <v>Interest</v>
          </cell>
          <cell r="N11963" t="str">
            <v>BTL</v>
          </cell>
          <cell r="O11963" t="str">
            <v>[No Vendor]</v>
          </cell>
        </row>
        <row r="11964">
          <cell r="D11964">
            <v>15236.71</v>
          </cell>
          <cell r="H11964">
            <v>45931</v>
          </cell>
          <cell r="I11964" t="str">
            <v>6487 - Interest Expense</v>
          </cell>
          <cell r="J11964">
            <v>0</v>
          </cell>
          <cell r="K11964" t="str">
            <v>Administration</v>
          </cell>
          <cell r="L11964" t="str">
            <v>Interest</v>
          </cell>
          <cell r="N11964" t="str">
            <v>BTL</v>
          </cell>
          <cell r="O11964" t="str">
            <v>[No Vendor]</v>
          </cell>
        </row>
        <row r="11965">
          <cell r="D11965">
            <v>3906.85</v>
          </cell>
          <cell r="H11965">
            <v>45931</v>
          </cell>
          <cell r="I11965" t="str">
            <v>6487 - Interest Expense</v>
          </cell>
          <cell r="J11965">
            <v>0</v>
          </cell>
          <cell r="K11965" t="str">
            <v>Administration</v>
          </cell>
          <cell r="L11965" t="str">
            <v>Interest</v>
          </cell>
          <cell r="N11965" t="str">
            <v>BTL</v>
          </cell>
          <cell r="O11965" t="str">
            <v>[No Vendor]</v>
          </cell>
        </row>
        <row r="11966">
          <cell r="D11966">
            <v>11720.55</v>
          </cell>
          <cell r="H11966">
            <v>45931</v>
          </cell>
          <cell r="I11966" t="str">
            <v>6487 - Interest Expense</v>
          </cell>
          <cell r="J11966">
            <v>0</v>
          </cell>
          <cell r="K11966" t="str">
            <v>Administration</v>
          </cell>
          <cell r="L11966" t="str">
            <v>Interest</v>
          </cell>
          <cell r="N11966" t="str">
            <v>BTL</v>
          </cell>
          <cell r="O11966" t="str">
            <v>[No Vendor]</v>
          </cell>
        </row>
        <row r="11967">
          <cell r="D11967">
            <v>9767.1200000000008</v>
          </cell>
          <cell r="H11967">
            <v>45931</v>
          </cell>
          <cell r="I11967" t="str">
            <v>6487 - Interest Expense</v>
          </cell>
          <cell r="J11967">
            <v>0</v>
          </cell>
          <cell r="K11967" t="str">
            <v>Administration</v>
          </cell>
          <cell r="L11967" t="str">
            <v>Interest</v>
          </cell>
          <cell r="N11967" t="str">
            <v>BTL</v>
          </cell>
          <cell r="O11967" t="str">
            <v>[No Vendor]</v>
          </cell>
        </row>
        <row r="11968">
          <cell r="D11968">
            <v>7813.7</v>
          </cell>
          <cell r="H11968">
            <v>45931</v>
          </cell>
          <cell r="I11968" t="str">
            <v>6487 - Interest Expense</v>
          </cell>
          <cell r="J11968">
            <v>0</v>
          </cell>
          <cell r="K11968" t="str">
            <v>Administration</v>
          </cell>
          <cell r="L11968" t="str">
            <v>Interest</v>
          </cell>
          <cell r="N11968" t="str">
            <v>BTL</v>
          </cell>
          <cell r="O11968" t="str">
            <v>[No Vendor]</v>
          </cell>
        </row>
        <row r="11969">
          <cell r="D11969">
            <v>7813.7</v>
          </cell>
          <cell r="H11969">
            <v>45931</v>
          </cell>
          <cell r="I11969" t="str">
            <v>6487 - Interest Expense</v>
          </cell>
          <cell r="J11969">
            <v>0</v>
          </cell>
          <cell r="K11969" t="str">
            <v>Administration</v>
          </cell>
          <cell r="L11969" t="str">
            <v>Interest</v>
          </cell>
          <cell r="N11969" t="str">
            <v>BTL</v>
          </cell>
          <cell r="O11969" t="str">
            <v>[No Vendor]</v>
          </cell>
        </row>
        <row r="11970">
          <cell r="D11970">
            <v>11342.47</v>
          </cell>
          <cell r="H11970">
            <v>45931</v>
          </cell>
          <cell r="I11970" t="str">
            <v>6487 - Interest Expense</v>
          </cell>
          <cell r="J11970">
            <v>0</v>
          </cell>
          <cell r="K11970" t="str">
            <v>Administration</v>
          </cell>
          <cell r="L11970" t="str">
            <v>Interest</v>
          </cell>
          <cell r="N11970" t="str">
            <v>BTL</v>
          </cell>
          <cell r="O11970" t="str">
            <v>[No Vendor]</v>
          </cell>
        </row>
        <row r="11971">
          <cell r="D11971">
            <v>54</v>
          </cell>
          <cell r="H11971">
            <v>45931</v>
          </cell>
          <cell r="I11971" t="str">
            <v>6520 - Taxes and Licenses</v>
          </cell>
          <cell r="J11971">
            <v>0</v>
          </cell>
          <cell r="K11971" t="str">
            <v>Administration</v>
          </cell>
          <cell r="L11971" t="str">
            <v>Other</v>
          </cell>
          <cell r="N11971" t="str">
            <v>SG&amp;A</v>
          </cell>
          <cell r="O11971" t="str">
            <v>[No Vendor]</v>
          </cell>
        </row>
        <row r="11972">
          <cell r="D11972">
            <v>138</v>
          </cell>
          <cell r="H11972">
            <v>45931</v>
          </cell>
          <cell r="I11972" t="str">
            <v>6520 - Taxes and Licenses</v>
          </cell>
          <cell r="J11972">
            <v>0</v>
          </cell>
          <cell r="K11972" t="str">
            <v>Administration</v>
          </cell>
          <cell r="L11972" t="str">
            <v>Other</v>
          </cell>
          <cell r="N11972" t="str">
            <v>SG&amp;A</v>
          </cell>
          <cell r="O11972" t="str">
            <v>[No Vendor]</v>
          </cell>
        </row>
        <row r="11973">
          <cell r="D11973">
            <v>2380</v>
          </cell>
          <cell r="H11973">
            <v>45931</v>
          </cell>
          <cell r="I11973" t="str">
            <v>6520 - Taxes and Licenses</v>
          </cell>
          <cell r="J11973">
            <v>0</v>
          </cell>
          <cell r="K11973" t="str">
            <v>Administration</v>
          </cell>
          <cell r="L11973" t="str">
            <v>Other</v>
          </cell>
          <cell r="N11973" t="str">
            <v>SG&amp;A</v>
          </cell>
          <cell r="O11973" t="str">
            <v>[No Vendor]</v>
          </cell>
        </row>
        <row r="11974">
          <cell r="D11974">
            <v>50</v>
          </cell>
          <cell r="H11974">
            <v>45931</v>
          </cell>
          <cell r="I11974" t="str">
            <v>6520 - Taxes and Licenses</v>
          </cell>
          <cell r="J11974">
            <v>0</v>
          </cell>
          <cell r="K11974" t="str">
            <v>Administration</v>
          </cell>
          <cell r="L11974" t="str">
            <v>Other</v>
          </cell>
          <cell r="N11974" t="str">
            <v>SG&amp;A</v>
          </cell>
          <cell r="O11974" t="str">
            <v>[No Vendor]</v>
          </cell>
        </row>
        <row r="11975">
          <cell r="D11975">
            <v>27</v>
          </cell>
          <cell r="H11975">
            <v>45931</v>
          </cell>
          <cell r="I11975" t="str">
            <v>6520 - Taxes and Licenses</v>
          </cell>
          <cell r="J11975">
            <v>0</v>
          </cell>
          <cell r="K11975" t="str">
            <v>Administration</v>
          </cell>
          <cell r="L11975" t="str">
            <v>Other</v>
          </cell>
          <cell r="N11975" t="str">
            <v>SG&amp;A</v>
          </cell>
          <cell r="O11975" t="str">
            <v>[No Vendor]</v>
          </cell>
        </row>
        <row r="11976">
          <cell r="D11976">
            <v>217</v>
          </cell>
          <cell r="H11976">
            <v>45931</v>
          </cell>
          <cell r="I11976" t="str">
            <v>6520 - Taxes and Licenses</v>
          </cell>
          <cell r="J11976">
            <v>0</v>
          </cell>
          <cell r="K11976" t="str">
            <v>Administration</v>
          </cell>
          <cell r="L11976" t="str">
            <v>Other</v>
          </cell>
          <cell r="N11976" t="str">
            <v>SG&amp;A</v>
          </cell>
          <cell r="O11976" t="str">
            <v>[No Vendor]</v>
          </cell>
        </row>
        <row r="11977">
          <cell r="D11977">
            <v>-184.72</v>
          </cell>
          <cell r="H11977">
            <v>45931</v>
          </cell>
          <cell r="I11977" t="str">
            <v>6520 - Taxes and Licenses</v>
          </cell>
          <cell r="J11977">
            <v>0</v>
          </cell>
          <cell r="K11977" t="str">
            <v>Administration</v>
          </cell>
          <cell r="L11977" t="str">
            <v>Other</v>
          </cell>
          <cell r="N11977" t="str">
            <v>SG&amp;A</v>
          </cell>
          <cell r="O11977" t="str">
            <v>[No Vendor]</v>
          </cell>
        </row>
        <row r="11978">
          <cell r="D11978">
            <v>71</v>
          </cell>
          <cell r="H11978">
            <v>45931</v>
          </cell>
          <cell r="I11978" t="str">
            <v>6520 - Taxes and Licenses</v>
          </cell>
          <cell r="J11978">
            <v>0</v>
          </cell>
          <cell r="K11978" t="str">
            <v>Administration</v>
          </cell>
          <cell r="L11978" t="str">
            <v>Other</v>
          </cell>
          <cell r="N11978" t="str">
            <v>SG&amp;A</v>
          </cell>
          <cell r="O11978" t="str">
            <v>[No Vendor]</v>
          </cell>
        </row>
        <row r="11979">
          <cell r="D11979">
            <v>-9325.82</v>
          </cell>
          <cell r="H11979">
            <v>45931</v>
          </cell>
          <cell r="I11979" t="str">
            <v>6520 - Taxes and Licenses</v>
          </cell>
          <cell r="J11979">
            <v>0</v>
          </cell>
          <cell r="K11979" t="str">
            <v>Administration</v>
          </cell>
          <cell r="L11979" t="str">
            <v>Other</v>
          </cell>
          <cell r="N11979" t="str">
            <v>SG&amp;A</v>
          </cell>
          <cell r="O11979" t="str">
            <v>Standard Security Life Insurance Company of New York</v>
          </cell>
        </row>
        <row r="11980">
          <cell r="D11980">
            <v>-27.18</v>
          </cell>
          <cell r="H11980">
            <v>45931</v>
          </cell>
          <cell r="I11980" t="str">
            <v>6520 - Taxes and Licenses</v>
          </cell>
          <cell r="J11980">
            <v>0</v>
          </cell>
          <cell r="K11980" t="str">
            <v>Administration</v>
          </cell>
          <cell r="L11980" t="str">
            <v>Other</v>
          </cell>
          <cell r="N11980" t="str">
            <v>SG&amp;A</v>
          </cell>
          <cell r="O11980" t="str">
            <v>[No Vendor]</v>
          </cell>
        </row>
        <row r="11981">
          <cell r="D11981">
            <v>184.72</v>
          </cell>
          <cell r="H11981">
            <v>45931</v>
          </cell>
          <cell r="I11981" t="str">
            <v>6520 - Taxes and Licenses</v>
          </cell>
          <cell r="J11981">
            <v>0</v>
          </cell>
          <cell r="K11981" t="str">
            <v>Administration</v>
          </cell>
          <cell r="L11981" t="str">
            <v>Other</v>
          </cell>
          <cell r="N11981" t="str">
            <v>SG&amp;A</v>
          </cell>
          <cell r="O11981" t="str">
            <v>[No Vendor]</v>
          </cell>
        </row>
        <row r="11982">
          <cell r="D11982">
            <v>-18.89</v>
          </cell>
          <cell r="H11982">
            <v>45931</v>
          </cell>
          <cell r="I11982" t="str">
            <v>6520 - Taxes and Licenses</v>
          </cell>
          <cell r="J11982">
            <v>0</v>
          </cell>
          <cell r="K11982" t="str">
            <v>Administration</v>
          </cell>
          <cell r="L11982" t="str">
            <v>Other</v>
          </cell>
          <cell r="N11982" t="str">
            <v>SG&amp;A</v>
          </cell>
          <cell r="O11982" t="str">
            <v>[No Vendor]</v>
          </cell>
        </row>
        <row r="11983">
          <cell r="D11983">
            <v>24.41</v>
          </cell>
          <cell r="H11983">
            <v>45931</v>
          </cell>
          <cell r="I11983" t="str">
            <v>7030 - Plant Machinery &amp; Equipment</v>
          </cell>
          <cell r="J11983">
            <v>0</v>
          </cell>
          <cell r="K11983" t="str">
            <v>Administration</v>
          </cell>
          <cell r="L11983" t="str">
            <v>Depreciation &amp; Amortization</v>
          </cell>
          <cell r="N11983" t="str">
            <v>SG&amp;A</v>
          </cell>
          <cell r="O11983" t="str">
            <v>[No Vendor]</v>
          </cell>
        </row>
        <row r="11984">
          <cell r="D11984">
            <v>27.5</v>
          </cell>
          <cell r="H11984">
            <v>45931</v>
          </cell>
          <cell r="I11984" t="str">
            <v>7030 - Plant Machinery &amp; Equipment</v>
          </cell>
          <cell r="J11984">
            <v>0</v>
          </cell>
          <cell r="K11984" t="str">
            <v>Production</v>
          </cell>
          <cell r="L11984" t="str">
            <v>Depreciation &amp; Amortization</v>
          </cell>
          <cell r="N11984" t="str">
            <v>SG&amp;A</v>
          </cell>
          <cell r="O11984" t="str">
            <v>[No Vendor]</v>
          </cell>
        </row>
        <row r="11985">
          <cell r="D11985">
            <v>141.36000000000001</v>
          </cell>
          <cell r="H11985">
            <v>45931</v>
          </cell>
          <cell r="I11985" t="str">
            <v>7040 - Furniture &amp; Fixtures</v>
          </cell>
          <cell r="J11985">
            <v>0</v>
          </cell>
          <cell r="K11985" t="str">
            <v>Administration</v>
          </cell>
          <cell r="L11985" t="str">
            <v>Depreciation &amp; Amortization</v>
          </cell>
          <cell r="N11985" t="str">
            <v>SG&amp;A</v>
          </cell>
          <cell r="O11985" t="str">
            <v>[No Vendor]</v>
          </cell>
        </row>
        <row r="11986">
          <cell r="D11986">
            <v>259.97000000000003</v>
          </cell>
          <cell r="H11986">
            <v>45931</v>
          </cell>
          <cell r="I11986" t="str">
            <v>7040 - Furniture &amp; Fixtures</v>
          </cell>
          <cell r="J11986" t="str">
            <v>Wholesale</v>
          </cell>
          <cell r="K11986" t="str">
            <v>Wholesale</v>
          </cell>
          <cell r="L11986" t="str">
            <v>Depreciation &amp; Amortization</v>
          </cell>
          <cell r="N11986" t="str">
            <v>SG&amp;A</v>
          </cell>
          <cell r="O11986" t="str">
            <v>[No Vendor]</v>
          </cell>
        </row>
        <row r="11987">
          <cell r="D11987">
            <v>589.29999999999995</v>
          </cell>
          <cell r="H11987">
            <v>45931</v>
          </cell>
          <cell r="I11987" t="str">
            <v>7060 - Information Technology &amp; Software</v>
          </cell>
          <cell r="J11987">
            <v>0</v>
          </cell>
          <cell r="K11987" t="str">
            <v>Administration</v>
          </cell>
          <cell r="L11987" t="str">
            <v>Depreciation &amp; Amortization</v>
          </cell>
          <cell r="N11987" t="str">
            <v>SG&amp;A</v>
          </cell>
          <cell r="O11987" t="str">
            <v>[No Vendor]</v>
          </cell>
        </row>
        <row r="11988">
          <cell r="D11988">
            <v>216.66</v>
          </cell>
          <cell r="H11988">
            <v>45931</v>
          </cell>
          <cell r="I11988" t="str">
            <v>7060 - Information Technology &amp; Software</v>
          </cell>
          <cell r="J11988">
            <v>0</v>
          </cell>
          <cell r="K11988" t="str">
            <v>Design</v>
          </cell>
          <cell r="L11988" t="str">
            <v>Depreciation &amp; Amortization</v>
          </cell>
          <cell r="N11988" t="str">
            <v>SG&amp;A</v>
          </cell>
          <cell r="O11988" t="str">
            <v>[No Vendor]</v>
          </cell>
        </row>
        <row r="11989">
          <cell r="D11989">
            <v>228.04</v>
          </cell>
          <cell r="H11989">
            <v>45931</v>
          </cell>
          <cell r="I11989" t="str">
            <v>7060 - Information Technology &amp; Software</v>
          </cell>
          <cell r="J11989" t="str">
            <v>Ecommerce (US)</v>
          </cell>
          <cell r="K11989" t="str">
            <v>Ecommerce</v>
          </cell>
          <cell r="L11989" t="str">
            <v>Depreciation &amp; Amortization</v>
          </cell>
          <cell r="N11989" t="str">
            <v>SG&amp;A</v>
          </cell>
          <cell r="O11989" t="str">
            <v>[No Vendor]</v>
          </cell>
        </row>
        <row r="11990">
          <cell r="D11990">
            <v>66.72</v>
          </cell>
          <cell r="H11990">
            <v>45931</v>
          </cell>
          <cell r="I11990" t="str">
            <v>7060 - Information Technology &amp; Software</v>
          </cell>
          <cell r="J11990">
            <v>0</v>
          </cell>
          <cell r="K11990" t="str">
            <v>Executive</v>
          </cell>
          <cell r="L11990" t="str">
            <v>Depreciation &amp; Amortization</v>
          </cell>
          <cell r="N11990" t="str">
            <v>SG&amp;A</v>
          </cell>
          <cell r="O11990" t="str">
            <v>[No Vendor]</v>
          </cell>
        </row>
        <row r="11991">
          <cell r="D11991">
            <v>149.81</v>
          </cell>
          <cell r="H11991">
            <v>45931</v>
          </cell>
          <cell r="I11991" t="str">
            <v>7060 - Information Technology &amp; Software</v>
          </cell>
          <cell r="J11991">
            <v>0</v>
          </cell>
          <cell r="K11991" t="str">
            <v>Brand Marketing</v>
          </cell>
          <cell r="L11991" t="str">
            <v>Depreciation &amp; Amortization</v>
          </cell>
          <cell r="N11991" t="str">
            <v>SG&amp;A</v>
          </cell>
          <cell r="O11991" t="str">
            <v>[No Vendor]</v>
          </cell>
        </row>
        <row r="11992">
          <cell r="D11992">
            <v>65.48</v>
          </cell>
          <cell r="H11992">
            <v>45931</v>
          </cell>
          <cell r="I11992" t="str">
            <v>7060 - Information Technology &amp; Software</v>
          </cell>
          <cell r="J11992">
            <v>0</v>
          </cell>
          <cell r="K11992" t="str">
            <v>Merchandising</v>
          </cell>
          <cell r="L11992" t="str">
            <v>Depreciation &amp; Amortization</v>
          </cell>
          <cell r="N11992" t="str">
            <v>SG&amp;A</v>
          </cell>
          <cell r="O11992" t="str">
            <v>[No Vendor]</v>
          </cell>
        </row>
        <row r="11993">
          <cell r="D11993">
            <v>156.94</v>
          </cell>
          <cell r="H11993">
            <v>45931</v>
          </cell>
          <cell r="I11993" t="str">
            <v>7060 - Information Technology &amp; Software</v>
          </cell>
          <cell r="J11993">
            <v>0</v>
          </cell>
          <cell r="K11993" t="str">
            <v>Production</v>
          </cell>
          <cell r="L11993" t="str">
            <v>Depreciation &amp; Amortization</v>
          </cell>
          <cell r="N11993" t="str">
            <v>SG&amp;A</v>
          </cell>
          <cell r="O11993" t="str">
            <v>[No Vendor]</v>
          </cell>
        </row>
        <row r="11994">
          <cell r="D11994">
            <v>113.67</v>
          </cell>
          <cell r="H11994">
            <v>45931</v>
          </cell>
          <cell r="I11994" t="str">
            <v>7060 - Information Technology &amp; Software</v>
          </cell>
          <cell r="J11994" t="str">
            <v>Wholesale</v>
          </cell>
          <cell r="K11994" t="str">
            <v>Wholesale</v>
          </cell>
          <cell r="L11994" t="str">
            <v>Depreciation &amp; Amortization</v>
          </cell>
          <cell r="N11994" t="str">
            <v>SG&amp;A</v>
          </cell>
          <cell r="O11994" t="str">
            <v>[No Vendor]</v>
          </cell>
        </row>
        <row r="11995">
          <cell r="D11995">
            <v>1954.72</v>
          </cell>
          <cell r="H11995">
            <v>45931</v>
          </cell>
          <cell r="I11995" t="str">
            <v>7130 - License Agreements &amp; Other Intangibles</v>
          </cell>
          <cell r="J11995">
            <v>0</v>
          </cell>
          <cell r="K11995" t="str">
            <v>Administration</v>
          </cell>
          <cell r="L11995" t="str">
            <v>Depreciation &amp; Amortization</v>
          </cell>
          <cell r="N11995" t="str">
            <v>SG&amp;A</v>
          </cell>
          <cell r="O11995" t="str">
            <v>[No Vendor]</v>
          </cell>
        </row>
        <row r="11996">
          <cell r="D11996">
            <v>23940.66</v>
          </cell>
          <cell r="H11996">
            <v>45931</v>
          </cell>
          <cell r="I11996" t="str">
            <v>7140 - Amortization Exp - ROU Asset</v>
          </cell>
          <cell r="J11996">
            <v>0</v>
          </cell>
          <cell r="K11996" t="str">
            <v>Administration</v>
          </cell>
          <cell r="L11996" t="str">
            <v>Rent</v>
          </cell>
          <cell r="N11996" t="str">
            <v>SG&amp;A</v>
          </cell>
          <cell r="O11996" t="str">
            <v>[No Vendor]</v>
          </cell>
        </row>
        <row r="11997">
          <cell r="D11997">
            <v>594.52</v>
          </cell>
          <cell r="H11997">
            <v>45931</v>
          </cell>
          <cell r="I11997" t="str">
            <v>7140 - Amortization Exp - ROU Asset</v>
          </cell>
          <cell r="J11997">
            <v>0</v>
          </cell>
          <cell r="K11997" t="str">
            <v>Administration</v>
          </cell>
          <cell r="L11997" t="str">
            <v>Rent</v>
          </cell>
          <cell r="N11997" t="str">
            <v>SG&amp;A</v>
          </cell>
          <cell r="O11997" t="str">
            <v>[No Vendor]</v>
          </cell>
        </row>
        <row r="11998">
          <cell r="D11998">
            <v>0</v>
          </cell>
          <cell r="H11998">
            <v>45931</v>
          </cell>
          <cell r="I11998" t="str">
            <v>8000 - Interest Income</v>
          </cell>
          <cell r="J11998">
            <v>0</v>
          </cell>
          <cell r="K11998" t="str">
            <v>Licensing</v>
          </cell>
          <cell r="L11998" t="str">
            <v>Other Income (BTL)</v>
          </cell>
          <cell r="N11998" t="str">
            <v>BTL</v>
          </cell>
          <cell r="O11998" t="str">
            <v>[No Vendor]</v>
          </cell>
        </row>
        <row r="11999">
          <cell r="D11999">
            <v>413.51</v>
          </cell>
          <cell r="H11999">
            <v>45931</v>
          </cell>
          <cell r="I11999" t="str">
            <v>8505 - Realized Gain/Loss</v>
          </cell>
          <cell r="J11999">
            <v>0</v>
          </cell>
          <cell r="K11999" t="str">
            <v>No Department</v>
          </cell>
          <cell r="L11999" t="str">
            <v>Realized Gain / Loss</v>
          </cell>
          <cell r="N11999" t="str">
            <v>BTL</v>
          </cell>
          <cell r="O11999" t="str">
            <v>[No Vendor]</v>
          </cell>
        </row>
        <row r="12000">
          <cell r="D12000">
            <v>59.89</v>
          </cell>
          <cell r="H12000">
            <v>45931</v>
          </cell>
          <cell r="I12000" t="str">
            <v>8505 - Realized Gain/Loss</v>
          </cell>
          <cell r="J12000">
            <v>0</v>
          </cell>
          <cell r="K12000" t="str">
            <v>No Department</v>
          </cell>
          <cell r="L12000" t="str">
            <v>Realized Gain / Loss</v>
          </cell>
          <cell r="N12000" t="str">
            <v>BTL</v>
          </cell>
          <cell r="O12000" t="str">
            <v>[No Vendor]</v>
          </cell>
        </row>
        <row r="12001">
          <cell r="D12001">
            <v>88.86</v>
          </cell>
          <cell r="H12001">
            <v>45931</v>
          </cell>
          <cell r="I12001" t="str">
            <v>8505 - Realized Gain/Loss</v>
          </cell>
          <cell r="J12001">
            <v>0</v>
          </cell>
          <cell r="K12001" t="str">
            <v>No Department</v>
          </cell>
          <cell r="L12001" t="str">
            <v>Realized Gain / Loss</v>
          </cell>
          <cell r="N12001" t="str">
            <v>BTL</v>
          </cell>
          <cell r="O12001" t="str">
            <v>[No Vendor]</v>
          </cell>
        </row>
        <row r="12002">
          <cell r="D12002">
            <v>-1145.1400000000001</v>
          </cell>
          <cell r="H12002">
            <v>45931</v>
          </cell>
          <cell r="I12002" t="str">
            <v>8505 - Realized Gain/Loss</v>
          </cell>
          <cell r="J12002">
            <v>0</v>
          </cell>
          <cell r="K12002" t="str">
            <v>No Department</v>
          </cell>
          <cell r="L12002" t="str">
            <v>Realized Gain / Loss</v>
          </cell>
          <cell r="N12002" t="str">
            <v>BTL</v>
          </cell>
          <cell r="O12002" t="str">
            <v>[No Vendor]</v>
          </cell>
        </row>
        <row r="12003">
          <cell r="D12003">
            <v>-14775.95</v>
          </cell>
          <cell r="H12003">
            <v>45931</v>
          </cell>
          <cell r="I12003" t="str">
            <v>8505 - Realized Gain/Loss</v>
          </cell>
          <cell r="J12003">
            <v>0</v>
          </cell>
          <cell r="K12003" t="str">
            <v>No Department</v>
          </cell>
          <cell r="L12003" t="str">
            <v>Realized Gain / Loss</v>
          </cell>
          <cell r="N12003" t="str">
            <v>BTL</v>
          </cell>
          <cell r="O12003" t="str">
            <v>[No Vendor]</v>
          </cell>
        </row>
        <row r="12004">
          <cell r="D12004">
            <v>-2333.25</v>
          </cell>
          <cell r="H12004">
            <v>45931</v>
          </cell>
          <cell r="I12004" t="str">
            <v>8505 - Realized Gain/Loss</v>
          </cell>
          <cell r="J12004">
            <v>0</v>
          </cell>
          <cell r="K12004" t="str">
            <v>No Department</v>
          </cell>
          <cell r="L12004" t="str">
            <v>Realized Gain / Loss</v>
          </cell>
          <cell r="N12004" t="str">
            <v>BTL</v>
          </cell>
          <cell r="O12004" t="str">
            <v>[No Vendor]</v>
          </cell>
        </row>
        <row r="12005">
          <cell r="D12005">
            <v>206.98</v>
          </cell>
          <cell r="H12005">
            <v>45931</v>
          </cell>
          <cell r="I12005" t="str">
            <v>8505 - Realized Gain/Loss</v>
          </cell>
          <cell r="J12005">
            <v>0</v>
          </cell>
          <cell r="K12005" t="str">
            <v>No Department</v>
          </cell>
          <cell r="L12005" t="str">
            <v>Realized Gain / Loss</v>
          </cell>
          <cell r="N12005" t="str">
            <v>BTL</v>
          </cell>
          <cell r="O12005" t="str">
            <v>[No Vendor]</v>
          </cell>
        </row>
        <row r="12006">
          <cell r="D12006">
            <v>14.4</v>
          </cell>
          <cell r="H12006">
            <v>45931</v>
          </cell>
          <cell r="I12006" t="str">
            <v>8505 - Realized Gain/Loss</v>
          </cell>
          <cell r="J12006">
            <v>0</v>
          </cell>
          <cell r="K12006" t="str">
            <v>No Department</v>
          </cell>
          <cell r="L12006" t="str">
            <v>Realized Gain / Loss</v>
          </cell>
          <cell r="N12006" t="str">
            <v>BTL</v>
          </cell>
          <cell r="O12006" t="str">
            <v>[No Vendor]</v>
          </cell>
        </row>
        <row r="12007">
          <cell r="D12007">
            <v>181.03</v>
          </cell>
          <cell r="H12007">
            <v>45931</v>
          </cell>
          <cell r="I12007" t="str">
            <v>8505 - Realized Gain/Loss</v>
          </cell>
          <cell r="J12007">
            <v>0</v>
          </cell>
          <cell r="K12007" t="str">
            <v>No Department</v>
          </cell>
          <cell r="L12007" t="str">
            <v>Realized Gain / Loss</v>
          </cell>
          <cell r="N12007" t="str">
            <v>BTL</v>
          </cell>
          <cell r="O12007" t="str">
            <v>[No Vendor]</v>
          </cell>
        </row>
        <row r="12008">
          <cell r="D12008">
            <v>6.37</v>
          </cell>
          <cell r="H12008">
            <v>45931</v>
          </cell>
          <cell r="I12008" t="str">
            <v>8505 - Realized Gain/Loss</v>
          </cell>
          <cell r="J12008">
            <v>0</v>
          </cell>
          <cell r="K12008" t="str">
            <v>No Department</v>
          </cell>
          <cell r="L12008" t="str">
            <v>Realized Gain / Loss</v>
          </cell>
          <cell r="N12008" t="str">
            <v>BTL</v>
          </cell>
          <cell r="O12008" t="str">
            <v>[No Vendor]</v>
          </cell>
        </row>
        <row r="12009">
          <cell r="D12009">
            <v>159558.63</v>
          </cell>
          <cell r="H12009">
            <v>45931</v>
          </cell>
          <cell r="I12009" t="str">
            <v>8700 - Other Expense</v>
          </cell>
          <cell r="J12009">
            <v>0</v>
          </cell>
          <cell r="K12009" t="str">
            <v>Administration</v>
          </cell>
          <cell r="L12009" t="str">
            <v>Other Expense</v>
          </cell>
          <cell r="N12009" t="str">
            <v>BTL</v>
          </cell>
          <cell r="O12009" t="str">
            <v>Bryan Cave Leighton Paisner LLP</v>
          </cell>
        </row>
        <row r="12010">
          <cell r="D12010">
            <v>-300000</v>
          </cell>
          <cell r="H12010">
            <v>45931</v>
          </cell>
          <cell r="I12010" t="str">
            <v>8700 - Other Expense</v>
          </cell>
          <cell r="J12010">
            <v>0</v>
          </cell>
          <cell r="K12010" t="str">
            <v>Administration</v>
          </cell>
          <cell r="L12010" t="str">
            <v>Other Expense</v>
          </cell>
          <cell r="N12010" t="str">
            <v>BTL</v>
          </cell>
          <cell r="O12010" t="str">
            <v>[No Vendor]</v>
          </cell>
        </row>
        <row r="12011">
          <cell r="D12011">
            <v>280750.28000000003</v>
          </cell>
          <cell r="H12011">
            <v>45931</v>
          </cell>
          <cell r="I12011" t="str">
            <v>8700 - Other Expense</v>
          </cell>
          <cell r="J12011">
            <v>0</v>
          </cell>
          <cell r="K12011" t="str">
            <v>Administration</v>
          </cell>
          <cell r="L12011" t="str">
            <v>Other Expense</v>
          </cell>
          <cell r="N12011" t="str">
            <v>BTL</v>
          </cell>
          <cell r="O12011" t="str">
            <v>[No Vendor]</v>
          </cell>
        </row>
        <row r="12012">
          <cell r="D12012">
            <v>200000</v>
          </cell>
          <cell r="H12012">
            <v>45931</v>
          </cell>
          <cell r="I12012" t="str">
            <v>8700 - Other Expense</v>
          </cell>
          <cell r="J12012">
            <v>0</v>
          </cell>
          <cell r="K12012" t="str">
            <v>Administration</v>
          </cell>
          <cell r="L12012" t="str">
            <v>Other Expense</v>
          </cell>
          <cell r="N12012" t="str">
            <v>BTL</v>
          </cell>
          <cell r="O12012" t="str">
            <v>[No Vendor]</v>
          </cell>
        </row>
        <row r="12013">
          <cell r="D12013">
            <v>-172358.95</v>
          </cell>
          <cell r="H12013">
            <v>45931</v>
          </cell>
          <cell r="I12013" t="str">
            <v>8700 - Other Expense</v>
          </cell>
          <cell r="J12013">
            <v>0</v>
          </cell>
          <cell r="K12013" t="str">
            <v>Administration</v>
          </cell>
          <cell r="L12013" t="str">
            <v>Other Expense</v>
          </cell>
          <cell r="N12013" t="str">
            <v>BTL</v>
          </cell>
          <cell r="O12013" t="str">
            <v>[No Vendor]</v>
          </cell>
        </row>
        <row r="12014">
          <cell r="D12014">
            <v>15308.2</v>
          </cell>
          <cell r="H12014">
            <v>45931</v>
          </cell>
          <cell r="I12014" t="str">
            <v>8700 - Other Expense</v>
          </cell>
          <cell r="J12014" t="str">
            <v>Ecommerce (US)</v>
          </cell>
          <cell r="K12014" t="str">
            <v>Ecommerce</v>
          </cell>
          <cell r="L12014" t="str">
            <v>Other Expense</v>
          </cell>
          <cell r="N12014" t="str">
            <v>BTL</v>
          </cell>
          <cell r="O12014" t="str">
            <v>[No Vendor]</v>
          </cell>
        </row>
        <row r="12015">
          <cell r="D12015">
            <v>54169.78</v>
          </cell>
          <cell r="H12015">
            <v>45931</v>
          </cell>
          <cell r="I12015" t="str">
            <v>8700 - Other Expense</v>
          </cell>
          <cell r="J12015" t="str">
            <v>Wholesale</v>
          </cell>
          <cell r="K12015" t="str">
            <v>Wholesale</v>
          </cell>
          <cell r="L12015" t="str">
            <v>Other Expense</v>
          </cell>
          <cell r="N12015" t="str">
            <v>BTL</v>
          </cell>
          <cell r="O12015" t="str">
            <v>[No Vendor]</v>
          </cell>
        </row>
        <row r="12016">
          <cell r="D12016">
            <v>147597.54999999999</v>
          </cell>
          <cell r="H12016">
            <v>45931</v>
          </cell>
          <cell r="I12016" t="str">
            <v>Unrealized Gain/Loss</v>
          </cell>
          <cell r="J12016">
            <v>0</v>
          </cell>
          <cell r="K12016" t="str">
            <v>No Department</v>
          </cell>
          <cell r="L12016" t="str">
            <v>Unrealized Gain / Loss</v>
          </cell>
          <cell r="N12016" t="str">
            <v>BTL</v>
          </cell>
          <cell r="O12016" t="str">
            <v>[No Vendor]</v>
          </cell>
        </row>
        <row r="12017">
          <cell r="D12017">
            <v>35696.32</v>
          </cell>
          <cell r="H12017">
            <v>45931</v>
          </cell>
          <cell r="I12017" t="str">
            <v>Unrealized Gain/Loss</v>
          </cell>
          <cell r="J12017">
            <v>0</v>
          </cell>
          <cell r="K12017" t="str">
            <v>No Department</v>
          </cell>
          <cell r="L12017" t="str">
            <v>Unrealized Gain / Loss</v>
          </cell>
          <cell r="N12017" t="str">
            <v>BTL</v>
          </cell>
          <cell r="O12017" t="str">
            <v>[No Vendor]</v>
          </cell>
        </row>
        <row r="12018">
          <cell r="D12018">
            <v>-4500.58</v>
          </cell>
          <cell r="H12018">
            <v>45931</v>
          </cell>
          <cell r="I12018" t="str">
            <v>Unrealized Gain/Loss</v>
          </cell>
          <cell r="J12018">
            <v>0</v>
          </cell>
          <cell r="K12018" t="str">
            <v>No Department</v>
          </cell>
          <cell r="L12018" t="str">
            <v>Unrealized Gain / Loss</v>
          </cell>
          <cell r="N12018" t="str">
            <v>BTL</v>
          </cell>
          <cell r="O12018" t="str">
            <v>[No Vendor]</v>
          </cell>
        </row>
        <row r="12019">
          <cell r="D12019">
            <v>-109527.8</v>
          </cell>
          <cell r="H12019">
            <v>45931</v>
          </cell>
          <cell r="I12019" t="str">
            <v>Unrealized Gain/Loss</v>
          </cell>
          <cell r="J12019">
            <v>0</v>
          </cell>
          <cell r="K12019" t="str">
            <v>No Department</v>
          </cell>
          <cell r="L12019" t="str">
            <v>Unrealized Gain / Loss</v>
          </cell>
          <cell r="N12019" t="str">
            <v>BTL</v>
          </cell>
          <cell r="O12019" t="str">
            <v>[No Vendor]</v>
          </cell>
        </row>
        <row r="12020">
          <cell r="D12020">
            <v>-10000</v>
          </cell>
          <cell r="H12020">
            <v>45962</v>
          </cell>
          <cell r="I12020" t="str">
            <v>4010 - Revenue - Licensing Fees (Royalties)</v>
          </cell>
          <cell r="J12020">
            <v>0</v>
          </cell>
          <cell r="K12020" t="str">
            <v>Licensing</v>
          </cell>
          <cell r="L12020" t="str">
            <v>License</v>
          </cell>
          <cell r="N12020" t="str">
            <v>Revenue</v>
          </cell>
          <cell r="O12020" t="str">
            <v>[No Vendor]</v>
          </cell>
        </row>
        <row r="12021">
          <cell r="D12021">
            <v>0</v>
          </cell>
          <cell r="H12021">
            <v>45962</v>
          </cell>
          <cell r="I12021" t="str">
            <v>4010 - Revenue - Licensing Fees (Royalties)</v>
          </cell>
          <cell r="J12021">
            <v>0</v>
          </cell>
          <cell r="K12021" t="str">
            <v>Licensing</v>
          </cell>
          <cell r="L12021" t="str">
            <v>License</v>
          </cell>
          <cell r="N12021" t="str">
            <v>Revenue</v>
          </cell>
          <cell r="O12021" t="str">
            <v>[No Vendor]</v>
          </cell>
        </row>
        <row r="12022">
          <cell r="D12022">
            <v>0</v>
          </cell>
          <cell r="H12022">
            <v>45962</v>
          </cell>
          <cell r="I12022" t="str">
            <v>4010 - Revenue - Licensing Fees (Royalties)</v>
          </cell>
          <cell r="J12022">
            <v>0</v>
          </cell>
          <cell r="K12022" t="str">
            <v>Licensing</v>
          </cell>
          <cell r="L12022" t="str">
            <v>License</v>
          </cell>
          <cell r="N12022" t="str">
            <v>Revenue</v>
          </cell>
          <cell r="O12022" t="str">
            <v>[No Vendor]</v>
          </cell>
        </row>
        <row r="12023">
          <cell r="D12023">
            <v>-4166.67</v>
          </cell>
          <cell r="H12023">
            <v>45962</v>
          </cell>
          <cell r="I12023" t="str">
            <v>4010 - Revenue - Licensing Fees (Royalties)</v>
          </cell>
          <cell r="J12023">
            <v>0</v>
          </cell>
          <cell r="K12023" t="str">
            <v>Licensing</v>
          </cell>
          <cell r="L12023" t="str">
            <v>License</v>
          </cell>
          <cell r="N12023" t="str">
            <v>Revenue</v>
          </cell>
          <cell r="O12023" t="str">
            <v>[No Vendor]</v>
          </cell>
        </row>
        <row r="12024">
          <cell r="D12024">
            <v>-47909.75</v>
          </cell>
          <cell r="H12024">
            <v>45962</v>
          </cell>
          <cell r="I12024" t="str">
            <v>4010 - Revenue - Licensing Fees (Royalties)</v>
          </cell>
          <cell r="J12024">
            <v>0</v>
          </cell>
          <cell r="K12024" t="str">
            <v>Licensing</v>
          </cell>
          <cell r="L12024" t="str">
            <v>License</v>
          </cell>
          <cell r="N12024" t="str">
            <v>Revenue</v>
          </cell>
          <cell r="O12024" t="str">
            <v>[No Vendor]</v>
          </cell>
        </row>
        <row r="12025">
          <cell r="D12025">
            <v>0</v>
          </cell>
          <cell r="H12025">
            <v>45962</v>
          </cell>
          <cell r="I12025" t="str">
            <v>4010 - Revenue - Licensing Fees (Royalties)</v>
          </cell>
          <cell r="J12025">
            <v>0</v>
          </cell>
          <cell r="K12025" t="str">
            <v>Licensing</v>
          </cell>
          <cell r="L12025" t="str">
            <v>License</v>
          </cell>
          <cell r="N12025" t="str">
            <v>Revenue</v>
          </cell>
          <cell r="O12025" t="str">
            <v>[No Vendor]</v>
          </cell>
        </row>
        <row r="12026">
          <cell r="D12026">
            <v>0</v>
          </cell>
          <cell r="H12026">
            <v>45962</v>
          </cell>
          <cell r="I12026" t="str">
            <v>4010 - Revenue - Licensing Fees (Royalties)</v>
          </cell>
          <cell r="J12026">
            <v>0</v>
          </cell>
          <cell r="K12026" t="str">
            <v>Licensing</v>
          </cell>
          <cell r="L12026" t="str">
            <v>License</v>
          </cell>
          <cell r="N12026" t="str">
            <v>Revenue</v>
          </cell>
          <cell r="O12026" t="str">
            <v>[No Vendor]</v>
          </cell>
        </row>
        <row r="12027">
          <cell r="D12027">
            <v>0</v>
          </cell>
          <cell r="H12027">
            <v>45962</v>
          </cell>
          <cell r="I12027" t="str">
            <v>4010 - Revenue - Licensing Fees (Royalties)</v>
          </cell>
          <cell r="J12027">
            <v>0</v>
          </cell>
          <cell r="K12027" t="str">
            <v>Licensing</v>
          </cell>
          <cell r="L12027" t="str">
            <v>License</v>
          </cell>
          <cell r="N12027" t="str">
            <v>Revenue</v>
          </cell>
          <cell r="O12027" t="str">
            <v>[No Vendor]</v>
          </cell>
        </row>
        <row r="12028">
          <cell r="D12028">
            <v>0</v>
          </cell>
          <cell r="H12028">
            <v>45962</v>
          </cell>
          <cell r="I12028" t="str">
            <v>4010 - Revenue - Licensing Fees (Royalties)</v>
          </cell>
          <cell r="J12028">
            <v>0</v>
          </cell>
          <cell r="K12028" t="str">
            <v>Licensing</v>
          </cell>
          <cell r="L12028" t="str">
            <v>License</v>
          </cell>
          <cell r="N12028" t="str">
            <v>Revenue</v>
          </cell>
          <cell r="O12028" t="str">
            <v>[No Vendor]</v>
          </cell>
        </row>
        <row r="12029">
          <cell r="D12029">
            <v>0</v>
          </cell>
          <cell r="H12029">
            <v>45962</v>
          </cell>
          <cell r="I12029" t="str">
            <v>4020 - Revenue - Marketing Contribution</v>
          </cell>
          <cell r="J12029">
            <v>0</v>
          </cell>
          <cell r="K12029" t="str">
            <v>Licensing</v>
          </cell>
          <cell r="L12029" t="str">
            <v>License</v>
          </cell>
          <cell r="N12029" t="str">
            <v>Revenue</v>
          </cell>
          <cell r="O12029" t="str">
            <v>[No Vendor]</v>
          </cell>
        </row>
        <row r="12030">
          <cell r="D12030">
            <v>-54258.05</v>
          </cell>
          <cell r="H12030">
            <v>45962</v>
          </cell>
          <cell r="I12030" t="str">
            <v>4050 - Sales Revenue - Ecommerce (US)</v>
          </cell>
          <cell r="J12030" t="str">
            <v>Ecommerce (US)</v>
          </cell>
          <cell r="K12030" t="str">
            <v>Ecommerce</v>
          </cell>
          <cell r="L12030" t="str">
            <v>Ecommerce (US)</v>
          </cell>
          <cell r="N12030" t="str">
            <v>Revenue</v>
          </cell>
          <cell r="O12030" t="str">
            <v>[No Vendor]</v>
          </cell>
        </row>
        <row r="12031">
          <cell r="D12031">
            <v>-4870683.21</v>
          </cell>
          <cell r="H12031">
            <v>45962</v>
          </cell>
          <cell r="I12031" t="str">
            <v>4050 - Sales Revenue - Ecommerce (US)</v>
          </cell>
          <cell r="J12031" t="str">
            <v>Ecommerce (US)</v>
          </cell>
          <cell r="K12031" t="str">
            <v>Ecommerce</v>
          </cell>
          <cell r="L12031" t="str">
            <v>Ecommerce (US)</v>
          </cell>
          <cell r="N12031" t="str">
            <v>Revenue</v>
          </cell>
          <cell r="O12031" t="str">
            <v>[No Vendor]</v>
          </cell>
        </row>
        <row r="12032">
          <cell r="D12032">
            <v>-53930.75</v>
          </cell>
          <cell r="H12032">
            <v>45962</v>
          </cell>
          <cell r="I12032" t="str">
            <v>4051 - Sales Revenue - Ecommerce (Intl)</v>
          </cell>
          <cell r="J12032" t="str">
            <v>Ecommerce (EU)</v>
          </cell>
          <cell r="K12032" t="str">
            <v>Ecommerce</v>
          </cell>
          <cell r="L12032" t="str">
            <v>Ecommerce (EU)</v>
          </cell>
          <cell r="N12032" t="str">
            <v>Revenue</v>
          </cell>
          <cell r="O12032" t="str">
            <v>[No Vendor]</v>
          </cell>
        </row>
        <row r="12033">
          <cell r="D12033">
            <v>-49365</v>
          </cell>
          <cell r="H12033">
            <v>45962</v>
          </cell>
          <cell r="I12033" t="str">
            <v>4052 - Sales Revenue - Wholesale (US)</v>
          </cell>
          <cell r="J12033" t="str">
            <v>Wholesale</v>
          </cell>
          <cell r="K12033" t="str">
            <v>Wholesale</v>
          </cell>
          <cell r="L12033" t="str">
            <v>Wholesale</v>
          </cell>
          <cell r="N12033" t="str">
            <v>Revenue</v>
          </cell>
          <cell r="O12033" t="str">
            <v>[No Vendor]</v>
          </cell>
        </row>
        <row r="12034">
          <cell r="D12034">
            <v>8153.21</v>
          </cell>
          <cell r="H12034">
            <v>45962</v>
          </cell>
          <cell r="I12034" t="str">
            <v>4070 - Sales - Other</v>
          </cell>
          <cell r="J12034" t="str">
            <v>Ecommerce (US)</v>
          </cell>
          <cell r="K12034" t="str">
            <v>Ecommerce</v>
          </cell>
          <cell r="L12034" t="str">
            <v>Other Income</v>
          </cell>
          <cell r="N12034" t="str">
            <v>Revenue</v>
          </cell>
          <cell r="O12034" t="str">
            <v>[No Vendor]</v>
          </cell>
        </row>
        <row r="12035">
          <cell r="D12035">
            <v>-8306.48</v>
          </cell>
          <cell r="H12035">
            <v>45962</v>
          </cell>
          <cell r="I12035" t="str">
            <v>4070 - Sales - Other</v>
          </cell>
          <cell r="J12035" t="str">
            <v>Ecommerce (US)</v>
          </cell>
          <cell r="K12035" t="str">
            <v>Ecommerce</v>
          </cell>
          <cell r="L12035" t="str">
            <v>Other Income</v>
          </cell>
          <cell r="N12035" t="str">
            <v>Revenue</v>
          </cell>
          <cell r="O12035" t="str">
            <v>[No Vendor]</v>
          </cell>
        </row>
        <row r="12036">
          <cell r="D12036">
            <v>-14344.42</v>
          </cell>
          <cell r="H12036">
            <v>45962</v>
          </cell>
          <cell r="I12036" t="str">
            <v>4070 - Sales - Other</v>
          </cell>
          <cell r="J12036" t="str">
            <v>Ecommerce (US)</v>
          </cell>
          <cell r="K12036" t="str">
            <v>Ecommerce</v>
          </cell>
          <cell r="L12036" t="str">
            <v>Other Income</v>
          </cell>
          <cell r="N12036" t="str">
            <v>Revenue</v>
          </cell>
          <cell r="O12036" t="str">
            <v>[No Vendor]</v>
          </cell>
        </row>
        <row r="12037">
          <cell r="D12037">
            <v>0</v>
          </cell>
          <cell r="H12037">
            <v>45962</v>
          </cell>
          <cell r="I12037" t="str">
            <v>4070 - Sales - Other</v>
          </cell>
          <cell r="J12037">
            <v>0</v>
          </cell>
          <cell r="K12037" t="str">
            <v>Licensing</v>
          </cell>
          <cell r="L12037" t="str">
            <v>Other Income</v>
          </cell>
          <cell r="N12037" t="str">
            <v>Revenue</v>
          </cell>
          <cell r="O12037" t="str">
            <v>[No Vendor]</v>
          </cell>
        </row>
        <row r="12038">
          <cell r="D12038">
            <v>-6207.64</v>
          </cell>
          <cell r="H12038">
            <v>45962</v>
          </cell>
          <cell r="I12038" t="str">
            <v>4900 - Interco Royalty Revenue</v>
          </cell>
          <cell r="J12038">
            <v>0</v>
          </cell>
          <cell r="K12038" t="str">
            <v>Licensing</v>
          </cell>
          <cell r="L12038">
            <v>0</v>
          </cell>
          <cell r="N12038">
            <v>0</v>
          </cell>
          <cell r="O12038" t="str">
            <v>[No Vendor]</v>
          </cell>
        </row>
        <row r="12039">
          <cell r="D12039">
            <v>0</v>
          </cell>
          <cell r="H12039">
            <v>45962</v>
          </cell>
          <cell r="I12039" t="str">
            <v>4062 - Sales Discount - Ecomm (US)</v>
          </cell>
          <cell r="J12039" t="str">
            <v>Ecommerce (US)</v>
          </cell>
          <cell r="K12039" t="str">
            <v>Ecommerce</v>
          </cell>
          <cell r="L12039" t="str">
            <v>Ecommerce (US)</v>
          </cell>
          <cell r="N12039" t="str">
            <v>Revenue</v>
          </cell>
          <cell r="O12039" t="str">
            <v>[No Vendor]</v>
          </cell>
        </row>
        <row r="12040">
          <cell r="D12040">
            <v>2086330.11</v>
          </cell>
          <cell r="H12040">
            <v>45962</v>
          </cell>
          <cell r="I12040" t="str">
            <v>4062 - Sales Discount - Ecomm (US)</v>
          </cell>
          <cell r="J12040" t="str">
            <v>Ecommerce (US)</v>
          </cell>
          <cell r="K12040" t="str">
            <v>Ecommerce</v>
          </cell>
          <cell r="L12040" t="str">
            <v>Ecommerce (US)</v>
          </cell>
          <cell r="N12040" t="str">
            <v>Revenue</v>
          </cell>
          <cell r="O12040" t="str">
            <v>[No Vendor]</v>
          </cell>
        </row>
        <row r="12041">
          <cell r="D12041">
            <v>14329.3</v>
          </cell>
          <cell r="H12041">
            <v>45962</v>
          </cell>
          <cell r="I12041" t="str">
            <v>4063 - Sales Discount - Wholesale (US)</v>
          </cell>
          <cell r="J12041" t="str">
            <v>Wholesale</v>
          </cell>
          <cell r="K12041" t="str">
            <v>Wholesale</v>
          </cell>
          <cell r="L12041" t="str">
            <v>Wholesale</v>
          </cell>
          <cell r="N12041" t="str">
            <v>Revenue</v>
          </cell>
          <cell r="O12041" t="str">
            <v>[No Vendor]</v>
          </cell>
        </row>
        <row r="12042">
          <cell r="D12042">
            <v>688.8</v>
          </cell>
          <cell r="H12042">
            <v>45962</v>
          </cell>
          <cell r="I12042" t="str">
            <v>4063 - Sales Discount - Wholesale (US)</v>
          </cell>
          <cell r="J12042" t="str">
            <v>Wholesale</v>
          </cell>
          <cell r="K12042" t="str">
            <v>Wholesale</v>
          </cell>
          <cell r="L12042" t="str">
            <v>Wholesale</v>
          </cell>
          <cell r="N12042" t="str">
            <v>Revenue</v>
          </cell>
          <cell r="O12042" t="str">
            <v>[No Vendor]</v>
          </cell>
        </row>
        <row r="12043">
          <cell r="D12043">
            <v>18956.099999999999</v>
          </cell>
          <cell r="H12043">
            <v>45962</v>
          </cell>
          <cell r="I12043" t="str">
            <v>5000 - Cost of Goods Sold</v>
          </cell>
          <cell r="J12043" t="str">
            <v>Ecommerce (US)</v>
          </cell>
          <cell r="K12043" t="str">
            <v>Ecommerce</v>
          </cell>
          <cell r="L12043" t="str">
            <v>COGS</v>
          </cell>
          <cell r="N12043" t="str">
            <v>COGS</v>
          </cell>
          <cell r="O12043" t="str">
            <v>[No Vendor]</v>
          </cell>
        </row>
        <row r="12044">
          <cell r="D12044">
            <v>38304.629999999997</v>
          </cell>
          <cell r="H12044">
            <v>45962</v>
          </cell>
          <cell r="I12044" t="str">
            <v>5000 - Cost of Goods Sold</v>
          </cell>
          <cell r="J12044" t="str">
            <v>Ecommerce (EU)</v>
          </cell>
          <cell r="K12044" t="str">
            <v>Ecommerce</v>
          </cell>
          <cell r="L12044" t="str">
            <v>COGS</v>
          </cell>
          <cell r="N12044" t="str">
            <v>COGS</v>
          </cell>
          <cell r="O12044" t="str">
            <v>[No Vendor]</v>
          </cell>
        </row>
        <row r="12045">
          <cell r="D12045">
            <v>1489009.64</v>
          </cell>
          <cell r="H12045">
            <v>45962</v>
          </cell>
          <cell r="I12045" t="str">
            <v>5000 - Cost of Goods Sold</v>
          </cell>
          <cell r="J12045" t="str">
            <v>Ecommerce (US)</v>
          </cell>
          <cell r="K12045" t="str">
            <v>Ecommerce</v>
          </cell>
          <cell r="L12045" t="str">
            <v>COGS</v>
          </cell>
          <cell r="N12045" t="str">
            <v>COGS</v>
          </cell>
          <cell r="O12045" t="str">
            <v>[No Vendor]</v>
          </cell>
        </row>
        <row r="12046">
          <cell r="D12046">
            <v>28904.07</v>
          </cell>
          <cell r="H12046">
            <v>45962</v>
          </cell>
          <cell r="I12046" t="str">
            <v>5000 - Cost of Goods Sold</v>
          </cell>
          <cell r="J12046" t="str">
            <v>Wholesale</v>
          </cell>
          <cell r="K12046" t="str">
            <v>Wholesale</v>
          </cell>
          <cell r="L12046" t="str">
            <v>COGS</v>
          </cell>
          <cell r="N12046" t="str">
            <v>COGS</v>
          </cell>
          <cell r="O12046" t="str">
            <v>[No Vendor]</v>
          </cell>
        </row>
        <row r="12047">
          <cell r="D12047">
            <v>-2585.61</v>
          </cell>
          <cell r="H12047">
            <v>45962</v>
          </cell>
          <cell r="I12047" t="str">
            <v>5000 - Cost of Goods Sold</v>
          </cell>
          <cell r="J12047" t="str">
            <v>Wholesale</v>
          </cell>
          <cell r="K12047" t="str">
            <v>Wholesale</v>
          </cell>
          <cell r="L12047" t="str">
            <v>COGS</v>
          </cell>
          <cell r="N12047" t="str">
            <v>COGS</v>
          </cell>
          <cell r="O12047" t="str">
            <v>[No Vendor]</v>
          </cell>
        </row>
        <row r="12048">
          <cell r="D12048">
            <v>6207.64</v>
          </cell>
          <cell r="H12048">
            <v>45962</v>
          </cell>
          <cell r="I12048" t="str">
            <v>5900 - Interco Royalty Expense</v>
          </cell>
          <cell r="J12048">
            <v>0</v>
          </cell>
          <cell r="K12048" t="str">
            <v>Licensing</v>
          </cell>
          <cell r="L12048">
            <v>0</v>
          </cell>
          <cell r="N12048">
            <v>0</v>
          </cell>
          <cell r="O12048" t="str">
            <v>[No Vendor]</v>
          </cell>
        </row>
        <row r="12049">
          <cell r="D12049">
            <v>-5686.54</v>
          </cell>
          <cell r="H12049">
            <v>45962</v>
          </cell>
          <cell r="I12049" t="str">
            <v>6005 - Salaries</v>
          </cell>
          <cell r="J12049">
            <v>0</v>
          </cell>
          <cell r="K12049" t="str">
            <v>Executive</v>
          </cell>
          <cell r="L12049" t="str">
            <v>HQ Salaries</v>
          </cell>
          <cell r="N12049" t="str">
            <v>SG&amp;A</v>
          </cell>
          <cell r="O12049" t="str">
            <v>[No Vendor]</v>
          </cell>
        </row>
        <row r="12050">
          <cell r="D12050">
            <v>-10353.86</v>
          </cell>
          <cell r="H12050">
            <v>45962</v>
          </cell>
          <cell r="I12050" t="str">
            <v>6005 - Salaries</v>
          </cell>
          <cell r="J12050" t="str">
            <v>Ecommerce (US)</v>
          </cell>
          <cell r="K12050" t="str">
            <v>Ecommerce</v>
          </cell>
          <cell r="L12050" t="str">
            <v>HQ Salaries</v>
          </cell>
          <cell r="N12050" t="str">
            <v>SG&amp;A</v>
          </cell>
          <cell r="O12050" t="str">
            <v>[No Vendor]</v>
          </cell>
        </row>
        <row r="12051">
          <cell r="D12051">
            <v>-11219.25</v>
          </cell>
          <cell r="H12051">
            <v>45962</v>
          </cell>
          <cell r="I12051" t="str">
            <v>6005 - Salaries</v>
          </cell>
          <cell r="J12051">
            <v>0</v>
          </cell>
          <cell r="K12051" t="str">
            <v>Design</v>
          </cell>
          <cell r="L12051" t="str">
            <v>HQ Salaries</v>
          </cell>
          <cell r="N12051" t="str">
            <v>SG&amp;A</v>
          </cell>
          <cell r="O12051" t="str">
            <v>[No Vendor]</v>
          </cell>
        </row>
        <row r="12052">
          <cell r="D12052">
            <v>-8865.01</v>
          </cell>
          <cell r="H12052">
            <v>45962</v>
          </cell>
          <cell r="I12052" t="str">
            <v>6005 - Salaries</v>
          </cell>
          <cell r="J12052">
            <v>0</v>
          </cell>
          <cell r="K12052" t="str">
            <v>Administration</v>
          </cell>
          <cell r="L12052" t="str">
            <v>HQ Salaries</v>
          </cell>
          <cell r="N12052" t="str">
            <v>SG&amp;A</v>
          </cell>
          <cell r="O12052" t="str">
            <v>[No Vendor]</v>
          </cell>
        </row>
        <row r="12053">
          <cell r="D12053">
            <v>-1923.08</v>
          </cell>
          <cell r="H12053">
            <v>45962</v>
          </cell>
          <cell r="I12053" t="str">
            <v>6005 - Salaries</v>
          </cell>
          <cell r="J12053">
            <v>0</v>
          </cell>
          <cell r="K12053" t="str">
            <v>Merchandising</v>
          </cell>
          <cell r="L12053" t="str">
            <v>HQ Salaries</v>
          </cell>
          <cell r="N12053" t="str">
            <v>SG&amp;A</v>
          </cell>
          <cell r="O12053" t="str">
            <v>[No Vendor]</v>
          </cell>
        </row>
        <row r="12054">
          <cell r="D12054">
            <v>-1673.08</v>
          </cell>
          <cell r="H12054">
            <v>45962</v>
          </cell>
          <cell r="I12054" t="str">
            <v>6005 - Salaries</v>
          </cell>
          <cell r="J12054" t="str">
            <v>Wholesale</v>
          </cell>
          <cell r="K12054" t="str">
            <v>Wholesale</v>
          </cell>
          <cell r="L12054" t="str">
            <v>HQ Salaries</v>
          </cell>
          <cell r="N12054" t="str">
            <v>SG&amp;A</v>
          </cell>
          <cell r="O12054" t="str">
            <v>[No Vendor]</v>
          </cell>
        </row>
        <row r="12055">
          <cell r="D12055">
            <v>-7573.08</v>
          </cell>
          <cell r="H12055">
            <v>45962</v>
          </cell>
          <cell r="I12055" t="str">
            <v>6005 - Salaries</v>
          </cell>
          <cell r="J12055">
            <v>0</v>
          </cell>
          <cell r="K12055" t="str">
            <v>Production</v>
          </cell>
          <cell r="L12055" t="str">
            <v>HQ Salaries</v>
          </cell>
          <cell r="N12055" t="str">
            <v>SG&amp;A</v>
          </cell>
          <cell r="O12055" t="str">
            <v>[No Vendor]</v>
          </cell>
        </row>
        <row r="12056">
          <cell r="D12056">
            <v>-4807.7</v>
          </cell>
          <cell r="H12056">
            <v>45962</v>
          </cell>
          <cell r="I12056" t="str">
            <v>6005 - Salaries</v>
          </cell>
          <cell r="J12056">
            <v>0</v>
          </cell>
          <cell r="K12056" t="str">
            <v>Brand Marketing</v>
          </cell>
          <cell r="L12056" t="str">
            <v>HQ Salaries</v>
          </cell>
          <cell r="N12056" t="str">
            <v>SG&amp;A</v>
          </cell>
          <cell r="O12056" t="str">
            <v>[No Vendor]</v>
          </cell>
        </row>
        <row r="12057">
          <cell r="D12057">
            <v>18150.009999999998</v>
          </cell>
          <cell r="H12057">
            <v>45962</v>
          </cell>
          <cell r="I12057" t="str">
            <v>6005 - Salaries</v>
          </cell>
          <cell r="J12057">
            <v>0</v>
          </cell>
          <cell r="K12057" t="str">
            <v>Administration</v>
          </cell>
          <cell r="L12057" t="str">
            <v>HQ Salaries</v>
          </cell>
          <cell r="N12057" t="str">
            <v>SG&amp;A</v>
          </cell>
          <cell r="O12057" t="str">
            <v>[No Vendor]</v>
          </cell>
        </row>
        <row r="12058">
          <cell r="D12058">
            <v>3846.15</v>
          </cell>
          <cell r="H12058">
            <v>45962</v>
          </cell>
          <cell r="I12058" t="str">
            <v>6005 - Salaries</v>
          </cell>
          <cell r="J12058">
            <v>0</v>
          </cell>
          <cell r="K12058" t="str">
            <v>Merchandising</v>
          </cell>
          <cell r="L12058" t="str">
            <v>HQ Salaries</v>
          </cell>
          <cell r="N12058" t="str">
            <v>SG&amp;A</v>
          </cell>
          <cell r="O12058" t="str">
            <v>[No Vendor]</v>
          </cell>
        </row>
        <row r="12059">
          <cell r="D12059">
            <v>3346.16</v>
          </cell>
          <cell r="H12059">
            <v>45962</v>
          </cell>
          <cell r="I12059" t="str">
            <v>6005 - Salaries</v>
          </cell>
          <cell r="J12059" t="str">
            <v>Wholesale</v>
          </cell>
          <cell r="K12059" t="str">
            <v>Wholesale</v>
          </cell>
          <cell r="L12059" t="str">
            <v>HQ Salaries</v>
          </cell>
          <cell r="N12059" t="str">
            <v>SG&amp;A</v>
          </cell>
          <cell r="O12059" t="str">
            <v>[No Vendor]</v>
          </cell>
        </row>
        <row r="12060">
          <cell r="D12060">
            <v>15146.16</v>
          </cell>
          <cell r="H12060">
            <v>45962</v>
          </cell>
          <cell r="I12060" t="str">
            <v>6005 - Salaries</v>
          </cell>
          <cell r="J12060">
            <v>0</v>
          </cell>
          <cell r="K12060" t="str">
            <v>Production</v>
          </cell>
          <cell r="L12060" t="str">
            <v>HQ Salaries</v>
          </cell>
          <cell r="N12060" t="str">
            <v>SG&amp;A</v>
          </cell>
          <cell r="O12060" t="str">
            <v>[No Vendor]</v>
          </cell>
        </row>
        <row r="12061">
          <cell r="D12061">
            <v>9615.39</v>
          </cell>
          <cell r="H12061">
            <v>45962</v>
          </cell>
          <cell r="I12061" t="str">
            <v>6005 - Salaries</v>
          </cell>
          <cell r="J12061">
            <v>0</v>
          </cell>
          <cell r="K12061" t="str">
            <v>Brand Marketing</v>
          </cell>
          <cell r="L12061" t="str">
            <v>HQ Salaries</v>
          </cell>
          <cell r="N12061" t="str">
            <v>SG&amp;A</v>
          </cell>
          <cell r="O12061" t="str">
            <v>[No Vendor]</v>
          </cell>
        </row>
        <row r="12062">
          <cell r="D12062">
            <v>11373.08</v>
          </cell>
          <cell r="H12062">
            <v>45962</v>
          </cell>
          <cell r="I12062" t="str">
            <v>6005 - Salaries</v>
          </cell>
          <cell r="J12062">
            <v>0</v>
          </cell>
          <cell r="K12062" t="str">
            <v>Executive</v>
          </cell>
          <cell r="L12062" t="str">
            <v>HQ Salaries</v>
          </cell>
          <cell r="N12062" t="str">
            <v>SG&amp;A</v>
          </cell>
          <cell r="O12062" t="str">
            <v>[No Vendor]</v>
          </cell>
        </row>
        <row r="12063">
          <cell r="D12063">
            <v>20707.71</v>
          </cell>
          <cell r="H12063">
            <v>45962</v>
          </cell>
          <cell r="I12063" t="str">
            <v>6005 - Salaries</v>
          </cell>
          <cell r="J12063" t="str">
            <v>Ecommerce (US)</v>
          </cell>
          <cell r="K12063" t="str">
            <v>Ecommerce</v>
          </cell>
          <cell r="L12063" t="str">
            <v>HQ Salaries</v>
          </cell>
          <cell r="N12063" t="str">
            <v>SG&amp;A</v>
          </cell>
          <cell r="O12063" t="str">
            <v>[No Vendor]</v>
          </cell>
        </row>
        <row r="12064">
          <cell r="D12064">
            <v>22438.49</v>
          </cell>
          <cell r="H12064">
            <v>45962</v>
          </cell>
          <cell r="I12064" t="str">
            <v>6005 - Salaries</v>
          </cell>
          <cell r="J12064">
            <v>0</v>
          </cell>
          <cell r="K12064" t="str">
            <v>Design</v>
          </cell>
          <cell r="L12064" t="str">
            <v>HQ Salaries</v>
          </cell>
          <cell r="N12064" t="str">
            <v>SG&amp;A</v>
          </cell>
          <cell r="O12064" t="str">
            <v>[No Vendor]</v>
          </cell>
        </row>
        <row r="12065">
          <cell r="D12065">
            <v>3846.15</v>
          </cell>
          <cell r="H12065">
            <v>45962</v>
          </cell>
          <cell r="I12065" t="str">
            <v>6005 - Salaries</v>
          </cell>
          <cell r="J12065">
            <v>0</v>
          </cell>
          <cell r="K12065" t="str">
            <v>Merchandising</v>
          </cell>
          <cell r="L12065" t="str">
            <v>HQ Salaries</v>
          </cell>
          <cell r="N12065" t="str">
            <v>SG&amp;A</v>
          </cell>
          <cell r="O12065" t="str">
            <v>[No Vendor]</v>
          </cell>
        </row>
        <row r="12066">
          <cell r="D12066">
            <v>3346.16</v>
          </cell>
          <cell r="H12066">
            <v>45962</v>
          </cell>
          <cell r="I12066" t="str">
            <v>6005 - Salaries</v>
          </cell>
          <cell r="J12066" t="str">
            <v>Wholesale</v>
          </cell>
          <cell r="K12066" t="str">
            <v>Wholesale</v>
          </cell>
          <cell r="L12066" t="str">
            <v>HQ Salaries</v>
          </cell>
          <cell r="N12066" t="str">
            <v>SG&amp;A</v>
          </cell>
          <cell r="O12066" t="str">
            <v>[No Vendor]</v>
          </cell>
        </row>
        <row r="12067">
          <cell r="D12067">
            <v>15146.16</v>
          </cell>
          <cell r="H12067">
            <v>45962</v>
          </cell>
          <cell r="I12067" t="str">
            <v>6005 - Salaries</v>
          </cell>
          <cell r="J12067">
            <v>0</v>
          </cell>
          <cell r="K12067" t="str">
            <v>Production</v>
          </cell>
          <cell r="L12067" t="str">
            <v>HQ Salaries</v>
          </cell>
          <cell r="N12067" t="str">
            <v>SG&amp;A</v>
          </cell>
          <cell r="O12067" t="str">
            <v>[No Vendor]</v>
          </cell>
        </row>
        <row r="12068">
          <cell r="D12068">
            <v>9615.39</v>
          </cell>
          <cell r="H12068">
            <v>45962</v>
          </cell>
          <cell r="I12068" t="str">
            <v>6005 - Salaries</v>
          </cell>
          <cell r="J12068">
            <v>0</v>
          </cell>
          <cell r="K12068" t="str">
            <v>Brand Marketing</v>
          </cell>
          <cell r="L12068" t="str">
            <v>HQ Salaries</v>
          </cell>
          <cell r="N12068" t="str">
            <v>SG&amp;A</v>
          </cell>
          <cell r="O12068" t="str">
            <v>[No Vendor]</v>
          </cell>
        </row>
        <row r="12069">
          <cell r="D12069">
            <v>11373.08</v>
          </cell>
          <cell r="H12069">
            <v>45962</v>
          </cell>
          <cell r="I12069" t="str">
            <v>6005 - Salaries</v>
          </cell>
          <cell r="J12069">
            <v>0</v>
          </cell>
          <cell r="K12069" t="str">
            <v>Executive</v>
          </cell>
          <cell r="L12069" t="str">
            <v>HQ Salaries</v>
          </cell>
          <cell r="N12069" t="str">
            <v>SG&amp;A</v>
          </cell>
          <cell r="O12069" t="str">
            <v>[No Vendor]</v>
          </cell>
        </row>
        <row r="12070">
          <cell r="D12070">
            <v>20707.71</v>
          </cell>
          <cell r="H12070">
            <v>45962</v>
          </cell>
          <cell r="I12070" t="str">
            <v>6005 - Salaries</v>
          </cell>
          <cell r="J12070" t="str">
            <v>Ecommerce (US)</v>
          </cell>
          <cell r="K12070" t="str">
            <v>Ecommerce</v>
          </cell>
          <cell r="L12070" t="str">
            <v>HQ Salaries</v>
          </cell>
          <cell r="N12070" t="str">
            <v>SG&amp;A</v>
          </cell>
          <cell r="O12070" t="str">
            <v>[No Vendor]</v>
          </cell>
        </row>
        <row r="12071">
          <cell r="D12071">
            <v>22438.49</v>
          </cell>
          <cell r="H12071">
            <v>45962</v>
          </cell>
          <cell r="I12071" t="str">
            <v>6005 - Salaries</v>
          </cell>
          <cell r="J12071">
            <v>0</v>
          </cell>
          <cell r="K12071" t="str">
            <v>Design</v>
          </cell>
          <cell r="L12071" t="str">
            <v>HQ Salaries</v>
          </cell>
          <cell r="N12071" t="str">
            <v>SG&amp;A</v>
          </cell>
          <cell r="O12071" t="str">
            <v>[No Vendor]</v>
          </cell>
        </row>
        <row r="12072">
          <cell r="D12072">
            <v>18150.009999999998</v>
          </cell>
          <cell r="H12072">
            <v>45962</v>
          </cell>
          <cell r="I12072" t="str">
            <v>6005 - Salaries</v>
          </cell>
          <cell r="J12072">
            <v>0</v>
          </cell>
          <cell r="K12072" t="str">
            <v>Administration</v>
          </cell>
          <cell r="L12072" t="str">
            <v>HQ Salaries</v>
          </cell>
          <cell r="N12072" t="str">
            <v>SG&amp;A</v>
          </cell>
          <cell r="O12072" t="str">
            <v>[No Vendor]</v>
          </cell>
        </row>
        <row r="12073">
          <cell r="D12073">
            <v>9075.01</v>
          </cell>
          <cell r="H12073">
            <v>45962</v>
          </cell>
          <cell r="I12073" t="str">
            <v>6005 - Salaries</v>
          </cell>
          <cell r="J12073">
            <v>0</v>
          </cell>
          <cell r="K12073" t="str">
            <v>Administration</v>
          </cell>
          <cell r="L12073" t="str">
            <v>HQ Salaries</v>
          </cell>
          <cell r="N12073" t="str">
            <v>SG&amp;A</v>
          </cell>
          <cell r="O12073" t="str">
            <v>[No Vendor]</v>
          </cell>
        </row>
        <row r="12074">
          <cell r="D12074">
            <v>11219.25</v>
          </cell>
          <cell r="H12074">
            <v>45962</v>
          </cell>
          <cell r="I12074" t="str">
            <v>6005 - Salaries</v>
          </cell>
          <cell r="J12074">
            <v>0</v>
          </cell>
          <cell r="K12074" t="str">
            <v>Design</v>
          </cell>
          <cell r="L12074" t="str">
            <v>HQ Salaries</v>
          </cell>
          <cell r="N12074" t="str">
            <v>SG&amp;A</v>
          </cell>
          <cell r="O12074" t="str">
            <v>[No Vendor]</v>
          </cell>
        </row>
        <row r="12075">
          <cell r="D12075">
            <v>10353.86</v>
          </cell>
          <cell r="H12075">
            <v>45962</v>
          </cell>
          <cell r="I12075" t="str">
            <v>6005 - Salaries</v>
          </cell>
          <cell r="J12075" t="str">
            <v>Ecommerce (US)</v>
          </cell>
          <cell r="K12075" t="str">
            <v>Ecommerce</v>
          </cell>
          <cell r="L12075" t="str">
            <v>HQ Salaries</v>
          </cell>
          <cell r="N12075" t="str">
            <v>SG&amp;A</v>
          </cell>
          <cell r="O12075" t="str">
            <v>[No Vendor]</v>
          </cell>
        </row>
        <row r="12076">
          <cell r="D12076">
            <v>5686.54</v>
          </cell>
          <cell r="H12076">
            <v>45962</v>
          </cell>
          <cell r="I12076" t="str">
            <v>6005 - Salaries</v>
          </cell>
          <cell r="J12076">
            <v>0</v>
          </cell>
          <cell r="K12076" t="str">
            <v>Executive</v>
          </cell>
          <cell r="L12076" t="str">
            <v>HQ Salaries</v>
          </cell>
          <cell r="N12076" t="str">
            <v>SG&amp;A</v>
          </cell>
          <cell r="O12076" t="str">
            <v>[No Vendor]</v>
          </cell>
        </row>
        <row r="12077">
          <cell r="D12077">
            <v>4807.7</v>
          </cell>
          <cell r="H12077">
            <v>45962</v>
          </cell>
          <cell r="I12077" t="str">
            <v>6005 - Salaries</v>
          </cell>
          <cell r="J12077">
            <v>0</v>
          </cell>
          <cell r="K12077" t="str">
            <v>Brand Marketing</v>
          </cell>
          <cell r="L12077" t="str">
            <v>HQ Salaries</v>
          </cell>
          <cell r="N12077" t="str">
            <v>SG&amp;A</v>
          </cell>
          <cell r="O12077" t="str">
            <v>[No Vendor]</v>
          </cell>
        </row>
        <row r="12078">
          <cell r="D12078">
            <v>7573.08</v>
          </cell>
          <cell r="H12078">
            <v>45962</v>
          </cell>
          <cell r="I12078" t="str">
            <v>6005 - Salaries</v>
          </cell>
          <cell r="J12078">
            <v>0</v>
          </cell>
          <cell r="K12078" t="str">
            <v>Production</v>
          </cell>
          <cell r="L12078" t="str">
            <v>HQ Salaries</v>
          </cell>
          <cell r="N12078" t="str">
            <v>SG&amp;A</v>
          </cell>
          <cell r="O12078" t="str">
            <v>[No Vendor]</v>
          </cell>
        </row>
        <row r="12079">
          <cell r="D12079">
            <v>1673.08</v>
          </cell>
          <cell r="H12079">
            <v>45962</v>
          </cell>
          <cell r="I12079" t="str">
            <v>6005 - Salaries</v>
          </cell>
          <cell r="J12079" t="str">
            <v>Wholesale</v>
          </cell>
          <cell r="K12079" t="str">
            <v>Wholesale</v>
          </cell>
          <cell r="L12079" t="str">
            <v>HQ Salaries</v>
          </cell>
          <cell r="N12079" t="str">
            <v>SG&amp;A</v>
          </cell>
          <cell r="O12079" t="str">
            <v>[No Vendor]</v>
          </cell>
        </row>
        <row r="12080">
          <cell r="D12080">
            <v>1923.08</v>
          </cell>
          <cell r="H12080">
            <v>45962</v>
          </cell>
          <cell r="I12080" t="str">
            <v>6005 - Salaries</v>
          </cell>
          <cell r="J12080">
            <v>0</v>
          </cell>
          <cell r="K12080" t="str">
            <v>Merchandising</v>
          </cell>
          <cell r="L12080" t="str">
            <v>HQ Salaries</v>
          </cell>
          <cell r="N12080" t="str">
            <v>SG&amp;A</v>
          </cell>
          <cell r="O12080" t="str">
            <v>[No Vendor]</v>
          </cell>
        </row>
        <row r="12081">
          <cell r="D12081">
            <v>0</v>
          </cell>
          <cell r="H12081">
            <v>45962</v>
          </cell>
          <cell r="I12081" t="str">
            <v>6041 - Employee Benefit Other</v>
          </cell>
          <cell r="J12081">
            <v>0</v>
          </cell>
          <cell r="K12081" t="str">
            <v>Administration</v>
          </cell>
          <cell r="L12081" t="str">
            <v>HQ Salaries</v>
          </cell>
          <cell r="N12081" t="str">
            <v>SG&amp;A</v>
          </cell>
          <cell r="O12081" t="str">
            <v>[No Vendor]</v>
          </cell>
        </row>
        <row r="12082">
          <cell r="D12082">
            <v>0</v>
          </cell>
          <cell r="H12082">
            <v>45962</v>
          </cell>
          <cell r="I12082" t="str">
            <v>6041 - Employee Benefit Other</v>
          </cell>
          <cell r="J12082">
            <v>0</v>
          </cell>
          <cell r="K12082" t="str">
            <v>Design</v>
          </cell>
          <cell r="L12082" t="str">
            <v>HQ Salaries</v>
          </cell>
          <cell r="N12082" t="str">
            <v>SG&amp;A</v>
          </cell>
          <cell r="O12082" t="str">
            <v>[No Vendor]</v>
          </cell>
        </row>
        <row r="12083">
          <cell r="D12083">
            <v>75.84</v>
          </cell>
          <cell r="H12083">
            <v>45962</v>
          </cell>
          <cell r="I12083" t="str">
            <v>6041 - Employee Benefit Other</v>
          </cell>
          <cell r="J12083">
            <v>0</v>
          </cell>
          <cell r="K12083" t="str">
            <v>Production</v>
          </cell>
          <cell r="L12083" t="str">
            <v>HQ Salaries</v>
          </cell>
          <cell r="N12083" t="str">
            <v>SG&amp;A</v>
          </cell>
          <cell r="O12083" t="str">
            <v>[No Vendor]</v>
          </cell>
        </row>
        <row r="12084">
          <cell r="D12084">
            <v>312.55</v>
          </cell>
          <cell r="H12084">
            <v>45962</v>
          </cell>
          <cell r="I12084" t="str">
            <v>6041 - Employee Benefit Other</v>
          </cell>
          <cell r="J12084" t="str">
            <v>Ecommerce (US)</v>
          </cell>
          <cell r="K12084" t="str">
            <v>Ecommerce</v>
          </cell>
          <cell r="L12084" t="str">
            <v>HQ Salaries</v>
          </cell>
          <cell r="N12084" t="str">
            <v>SG&amp;A</v>
          </cell>
          <cell r="O12084" t="str">
            <v>[No Vendor]</v>
          </cell>
        </row>
        <row r="12085">
          <cell r="D12085">
            <v>0</v>
          </cell>
          <cell r="H12085">
            <v>45962</v>
          </cell>
          <cell r="I12085" t="str">
            <v>6041 - Employee Benefit Other</v>
          </cell>
          <cell r="J12085" t="str">
            <v>Wholesale</v>
          </cell>
          <cell r="K12085" t="str">
            <v>Wholesale</v>
          </cell>
          <cell r="L12085" t="str">
            <v>HQ Salaries</v>
          </cell>
          <cell r="N12085" t="str">
            <v>SG&amp;A</v>
          </cell>
          <cell r="O12085" t="str">
            <v>[No Vendor]</v>
          </cell>
        </row>
        <row r="12086">
          <cell r="D12086">
            <v>0</v>
          </cell>
          <cell r="H12086">
            <v>45962</v>
          </cell>
          <cell r="I12086" t="str">
            <v>6041 - Employee Benefit Other</v>
          </cell>
          <cell r="J12086">
            <v>0</v>
          </cell>
          <cell r="K12086" t="str">
            <v>Merchandising</v>
          </cell>
          <cell r="L12086" t="str">
            <v>HQ Salaries</v>
          </cell>
          <cell r="N12086" t="str">
            <v>SG&amp;A</v>
          </cell>
          <cell r="O12086" t="str">
            <v>[No Vendor]</v>
          </cell>
        </row>
        <row r="12087">
          <cell r="D12087">
            <v>231.91</v>
          </cell>
          <cell r="H12087">
            <v>45962</v>
          </cell>
          <cell r="I12087" t="str">
            <v>6041 - Employee Benefit Other</v>
          </cell>
          <cell r="J12087">
            <v>0</v>
          </cell>
          <cell r="K12087" t="str">
            <v>Executive</v>
          </cell>
          <cell r="L12087" t="str">
            <v>HQ Salaries</v>
          </cell>
          <cell r="N12087" t="str">
            <v>SG&amp;A</v>
          </cell>
          <cell r="O12087" t="str">
            <v>[No Vendor]</v>
          </cell>
        </row>
        <row r="12088">
          <cell r="D12088">
            <v>0</v>
          </cell>
          <cell r="H12088">
            <v>45962</v>
          </cell>
          <cell r="I12088" t="str">
            <v>6015 - Vacation - PTO Exp</v>
          </cell>
          <cell r="J12088">
            <v>0</v>
          </cell>
          <cell r="K12088" t="str">
            <v>Administration</v>
          </cell>
          <cell r="L12088" t="str">
            <v>HQ Salaries</v>
          </cell>
          <cell r="N12088" t="str">
            <v>SG&amp;A</v>
          </cell>
          <cell r="O12088" t="str">
            <v>[No Vendor]</v>
          </cell>
        </row>
        <row r="12089">
          <cell r="D12089">
            <v>0</v>
          </cell>
          <cell r="H12089">
            <v>45962</v>
          </cell>
          <cell r="I12089" t="str">
            <v>6015 - Vacation - PTO Exp</v>
          </cell>
          <cell r="J12089">
            <v>0</v>
          </cell>
          <cell r="K12089" t="str">
            <v>Administration</v>
          </cell>
          <cell r="L12089" t="str">
            <v>HQ Salaries</v>
          </cell>
          <cell r="N12089" t="str">
            <v>SG&amp;A</v>
          </cell>
          <cell r="O12089" t="str">
            <v>[No Vendor]</v>
          </cell>
        </row>
        <row r="12090">
          <cell r="D12090">
            <v>0</v>
          </cell>
          <cell r="H12090">
            <v>45962</v>
          </cell>
          <cell r="I12090" t="str">
            <v>6015 - Vacation - PTO Exp</v>
          </cell>
          <cell r="J12090">
            <v>0</v>
          </cell>
          <cell r="K12090" t="str">
            <v>Administration</v>
          </cell>
          <cell r="L12090" t="str">
            <v>HQ Salaries</v>
          </cell>
          <cell r="N12090" t="str">
            <v>SG&amp;A</v>
          </cell>
          <cell r="O12090" t="str">
            <v>[No Vendor]</v>
          </cell>
        </row>
        <row r="12091">
          <cell r="D12091">
            <v>0</v>
          </cell>
          <cell r="H12091">
            <v>45962</v>
          </cell>
          <cell r="I12091" t="str">
            <v>6015 - Vacation - PTO Exp</v>
          </cell>
          <cell r="J12091">
            <v>0</v>
          </cell>
          <cell r="K12091" t="str">
            <v>Administration</v>
          </cell>
          <cell r="L12091" t="str">
            <v>HQ Salaries</v>
          </cell>
          <cell r="N12091" t="str">
            <v>SG&amp;A</v>
          </cell>
          <cell r="O12091" t="str">
            <v>[No Vendor]</v>
          </cell>
        </row>
        <row r="12092">
          <cell r="D12092">
            <v>0</v>
          </cell>
          <cell r="H12092">
            <v>45962</v>
          </cell>
          <cell r="I12092" t="str">
            <v>6035 - Severance Expense</v>
          </cell>
          <cell r="J12092" t="str">
            <v>Wholesale</v>
          </cell>
          <cell r="K12092" t="str">
            <v>Wholesale</v>
          </cell>
          <cell r="L12092" t="str">
            <v>HQ Salaries</v>
          </cell>
          <cell r="N12092" t="str">
            <v>SG&amp;A</v>
          </cell>
          <cell r="O12092" t="str">
            <v>[No Vendor]</v>
          </cell>
        </row>
        <row r="12093">
          <cell r="D12093">
            <v>0</v>
          </cell>
          <cell r="H12093">
            <v>45962</v>
          </cell>
          <cell r="I12093" t="str">
            <v>6035 - Severance Expense</v>
          </cell>
          <cell r="J12093" t="str">
            <v>Wholesale</v>
          </cell>
          <cell r="K12093" t="str">
            <v>Wholesale</v>
          </cell>
          <cell r="L12093" t="str">
            <v>HQ Salaries</v>
          </cell>
          <cell r="N12093" t="str">
            <v>SG&amp;A</v>
          </cell>
          <cell r="O12093" t="str">
            <v>[No Vendor]</v>
          </cell>
        </row>
        <row r="12094">
          <cell r="D12094">
            <v>0</v>
          </cell>
          <cell r="H12094">
            <v>45962</v>
          </cell>
          <cell r="I12094" t="str">
            <v>6035 - Severance Expense</v>
          </cell>
          <cell r="J12094" t="str">
            <v>Wholesale</v>
          </cell>
          <cell r="K12094" t="str">
            <v>Wholesale</v>
          </cell>
          <cell r="L12094" t="str">
            <v>HQ Salaries</v>
          </cell>
          <cell r="N12094" t="str">
            <v>SG&amp;A</v>
          </cell>
          <cell r="O12094" t="str">
            <v>[No Vendor]</v>
          </cell>
        </row>
        <row r="12095">
          <cell r="D12095">
            <v>0</v>
          </cell>
          <cell r="H12095">
            <v>45962</v>
          </cell>
          <cell r="I12095" t="str">
            <v>6035 - Severance Expense</v>
          </cell>
          <cell r="J12095" t="str">
            <v>Wholesale</v>
          </cell>
          <cell r="K12095" t="str">
            <v>Wholesale</v>
          </cell>
          <cell r="L12095" t="str">
            <v>HQ Salaries</v>
          </cell>
          <cell r="N12095" t="str">
            <v>SG&amp;A</v>
          </cell>
          <cell r="O12095" t="str">
            <v>[No Vendor]</v>
          </cell>
        </row>
        <row r="12096">
          <cell r="D12096">
            <v>1260.1199999999999</v>
          </cell>
          <cell r="H12096">
            <v>45962</v>
          </cell>
          <cell r="I12096" t="str">
            <v>6040 - Employer Paid Benefits</v>
          </cell>
          <cell r="J12096">
            <v>0</v>
          </cell>
          <cell r="K12096" t="str">
            <v>Administration</v>
          </cell>
          <cell r="L12096" t="str">
            <v>HQ Salaries</v>
          </cell>
          <cell r="N12096" t="str">
            <v>SG&amp;A</v>
          </cell>
          <cell r="O12096" t="str">
            <v>Anthem Blue Cross and Blue Shield</v>
          </cell>
        </row>
        <row r="12097">
          <cell r="D12097">
            <v>4662.4399999999996</v>
          </cell>
          <cell r="H12097">
            <v>45962</v>
          </cell>
          <cell r="I12097" t="str">
            <v>6040 - Employer Paid Benefits</v>
          </cell>
          <cell r="J12097">
            <v>0</v>
          </cell>
          <cell r="K12097" t="str">
            <v>Administration</v>
          </cell>
          <cell r="L12097" t="str">
            <v>HQ Salaries</v>
          </cell>
          <cell r="N12097" t="str">
            <v>SG&amp;A</v>
          </cell>
          <cell r="O12097" t="str">
            <v>Anthem Blue Cross and Blue Shield</v>
          </cell>
        </row>
        <row r="12098">
          <cell r="D12098">
            <v>2520.2399999999998</v>
          </cell>
          <cell r="H12098">
            <v>45962</v>
          </cell>
          <cell r="I12098" t="str">
            <v>6040 - Employer Paid Benefits</v>
          </cell>
          <cell r="J12098">
            <v>0</v>
          </cell>
          <cell r="K12098" t="str">
            <v>Administration</v>
          </cell>
          <cell r="L12098" t="str">
            <v>HQ Salaries</v>
          </cell>
          <cell r="N12098" t="str">
            <v>SG&amp;A</v>
          </cell>
          <cell r="O12098" t="str">
            <v>Anthem Blue Cross and Blue Shield</v>
          </cell>
        </row>
        <row r="12099">
          <cell r="D12099">
            <v>3780.36</v>
          </cell>
          <cell r="H12099">
            <v>45962</v>
          </cell>
          <cell r="I12099" t="str">
            <v>6040 - Employer Paid Benefits</v>
          </cell>
          <cell r="J12099">
            <v>0</v>
          </cell>
          <cell r="K12099" t="str">
            <v>Administration</v>
          </cell>
          <cell r="L12099" t="str">
            <v>HQ Salaries</v>
          </cell>
          <cell r="N12099" t="str">
            <v>SG&amp;A</v>
          </cell>
          <cell r="O12099" t="str">
            <v>Anthem Blue Cross and Blue Shield</v>
          </cell>
        </row>
        <row r="12100">
          <cell r="D12100">
            <v>7182.68</v>
          </cell>
          <cell r="H12100">
            <v>45962</v>
          </cell>
          <cell r="I12100" t="str">
            <v>6040 - Employer Paid Benefits</v>
          </cell>
          <cell r="J12100">
            <v>0</v>
          </cell>
          <cell r="K12100" t="str">
            <v>Administration</v>
          </cell>
          <cell r="L12100" t="str">
            <v>HQ Salaries</v>
          </cell>
          <cell r="N12100" t="str">
            <v>SG&amp;A</v>
          </cell>
          <cell r="O12100" t="str">
            <v>Anthem Blue Cross and Blue Shield</v>
          </cell>
        </row>
        <row r="12101">
          <cell r="D12101">
            <v>3780.36</v>
          </cell>
          <cell r="H12101">
            <v>45962</v>
          </cell>
          <cell r="I12101" t="str">
            <v>6040 - Employer Paid Benefits</v>
          </cell>
          <cell r="J12101">
            <v>0</v>
          </cell>
          <cell r="K12101" t="str">
            <v>Administration</v>
          </cell>
          <cell r="L12101" t="str">
            <v>HQ Salaries</v>
          </cell>
          <cell r="N12101" t="str">
            <v>SG&amp;A</v>
          </cell>
          <cell r="O12101" t="str">
            <v>Anthem Blue Cross and Blue Shield</v>
          </cell>
        </row>
        <row r="12102">
          <cell r="D12102">
            <v>-2562.92</v>
          </cell>
          <cell r="H12102">
            <v>45962</v>
          </cell>
          <cell r="I12102" t="str">
            <v>6040 - Employer Paid Benefits</v>
          </cell>
          <cell r="J12102">
            <v>0</v>
          </cell>
          <cell r="K12102" t="str">
            <v>Administration</v>
          </cell>
          <cell r="L12102" t="str">
            <v>HQ Salaries</v>
          </cell>
          <cell r="N12102" t="str">
            <v>SG&amp;A</v>
          </cell>
          <cell r="O12102" t="str">
            <v>Anthem Blue Cross and Blue Shield</v>
          </cell>
        </row>
        <row r="12103">
          <cell r="D12103">
            <v>40.54</v>
          </cell>
          <cell r="H12103">
            <v>45962</v>
          </cell>
          <cell r="I12103" t="str">
            <v>6040 - Employer Paid Benefits</v>
          </cell>
          <cell r="J12103">
            <v>0</v>
          </cell>
          <cell r="K12103" t="str">
            <v>Administration</v>
          </cell>
          <cell r="L12103" t="str">
            <v>HQ Salaries</v>
          </cell>
          <cell r="N12103" t="str">
            <v>SG&amp;A</v>
          </cell>
          <cell r="O12103" t="str">
            <v>United of Omaha Life Insurance Company</v>
          </cell>
        </row>
        <row r="12104">
          <cell r="D12104">
            <v>232.25</v>
          </cell>
          <cell r="H12104">
            <v>45962</v>
          </cell>
          <cell r="I12104" t="str">
            <v>6040 - Employer Paid Benefits</v>
          </cell>
          <cell r="J12104">
            <v>0</v>
          </cell>
          <cell r="K12104" t="str">
            <v>Administration</v>
          </cell>
          <cell r="L12104" t="str">
            <v>HQ Salaries</v>
          </cell>
          <cell r="N12104" t="str">
            <v>SG&amp;A</v>
          </cell>
          <cell r="O12104" t="str">
            <v>United of Omaha Life Insurance Company</v>
          </cell>
        </row>
        <row r="12105">
          <cell r="D12105">
            <v>86.43</v>
          </cell>
          <cell r="H12105">
            <v>45962</v>
          </cell>
          <cell r="I12105" t="str">
            <v>6040 - Employer Paid Benefits</v>
          </cell>
          <cell r="J12105">
            <v>0</v>
          </cell>
          <cell r="K12105" t="str">
            <v>Administration</v>
          </cell>
          <cell r="L12105" t="str">
            <v>HQ Salaries</v>
          </cell>
          <cell r="N12105" t="str">
            <v>SG&amp;A</v>
          </cell>
          <cell r="O12105" t="str">
            <v>United of Omaha Life Insurance Company</v>
          </cell>
        </row>
        <row r="12106">
          <cell r="D12106">
            <v>153.25</v>
          </cell>
          <cell r="H12106">
            <v>45962</v>
          </cell>
          <cell r="I12106" t="str">
            <v>6040 - Employer Paid Benefits</v>
          </cell>
          <cell r="J12106">
            <v>0</v>
          </cell>
          <cell r="K12106" t="str">
            <v>Administration</v>
          </cell>
          <cell r="L12106" t="str">
            <v>HQ Salaries</v>
          </cell>
          <cell r="N12106" t="str">
            <v>SG&amp;A</v>
          </cell>
          <cell r="O12106" t="str">
            <v>United of Omaha Life Insurance Company</v>
          </cell>
        </row>
        <row r="12107">
          <cell r="D12107">
            <v>119.45</v>
          </cell>
          <cell r="H12107">
            <v>45962</v>
          </cell>
          <cell r="I12107" t="str">
            <v>6040 - Employer Paid Benefits</v>
          </cell>
          <cell r="J12107">
            <v>0</v>
          </cell>
          <cell r="K12107" t="str">
            <v>Administration</v>
          </cell>
          <cell r="L12107" t="str">
            <v>HQ Salaries</v>
          </cell>
          <cell r="N12107" t="str">
            <v>SG&amp;A</v>
          </cell>
          <cell r="O12107" t="str">
            <v>United of Omaha Life Insurance Company</v>
          </cell>
        </row>
        <row r="12108">
          <cell r="D12108">
            <v>186.46</v>
          </cell>
          <cell r="H12108">
            <v>45962</v>
          </cell>
          <cell r="I12108" t="str">
            <v>6040 - Employer Paid Benefits</v>
          </cell>
          <cell r="J12108">
            <v>0</v>
          </cell>
          <cell r="K12108" t="str">
            <v>Administration</v>
          </cell>
          <cell r="L12108" t="str">
            <v>HQ Salaries</v>
          </cell>
          <cell r="N12108" t="str">
            <v>SG&amp;A</v>
          </cell>
          <cell r="O12108" t="str">
            <v>United of Omaha Life Insurance Company</v>
          </cell>
        </row>
        <row r="12109">
          <cell r="D12109">
            <v>233.67</v>
          </cell>
          <cell r="H12109">
            <v>45962</v>
          </cell>
          <cell r="I12109" t="str">
            <v>6040 - Employer Paid Benefits</v>
          </cell>
          <cell r="J12109">
            <v>0</v>
          </cell>
          <cell r="K12109" t="str">
            <v>Administration</v>
          </cell>
          <cell r="L12109" t="str">
            <v>HQ Salaries</v>
          </cell>
          <cell r="N12109" t="str">
            <v>SG&amp;A</v>
          </cell>
          <cell r="O12109" t="str">
            <v>United of Omaha Life Insurance Company</v>
          </cell>
        </row>
        <row r="12110">
          <cell r="D12110">
            <v>275.70999999999998</v>
          </cell>
          <cell r="H12110">
            <v>45962</v>
          </cell>
          <cell r="I12110" t="str">
            <v>6040 - Employer Paid Benefits</v>
          </cell>
          <cell r="J12110">
            <v>0</v>
          </cell>
          <cell r="K12110" t="str">
            <v>Administration</v>
          </cell>
          <cell r="L12110" t="str">
            <v>HQ Salaries</v>
          </cell>
          <cell r="N12110" t="str">
            <v>SG&amp;A</v>
          </cell>
          <cell r="O12110" t="str">
            <v>United of Omaha Life Insurance Company</v>
          </cell>
        </row>
        <row r="12111">
          <cell r="D12111">
            <v>145.58000000000001</v>
          </cell>
          <cell r="H12111">
            <v>45962</v>
          </cell>
          <cell r="I12111" t="str">
            <v>6040 - Employer Paid Benefits</v>
          </cell>
          <cell r="J12111">
            <v>0</v>
          </cell>
          <cell r="K12111" t="str">
            <v>Administration</v>
          </cell>
          <cell r="L12111" t="str">
            <v>HQ Salaries</v>
          </cell>
          <cell r="N12111" t="str">
            <v>SG&amp;A</v>
          </cell>
          <cell r="O12111" t="str">
            <v>Allied Administrators</v>
          </cell>
        </row>
        <row r="12112">
          <cell r="D12112">
            <v>83.64</v>
          </cell>
          <cell r="H12112">
            <v>45962</v>
          </cell>
          <cell r="I12112" t="str">
            <v>6040 - Employer Paid Benefits</v>
          </cell>
          <cell r="J12112">
            <v>0</v>
          </cell>
          <cell r="K12112" t="str">
            <v>Administration</v>
          </cell>
          <cell r="L12112" t="str">
            <v>HQ Salaries</v>
          </cell>
          <cell r="N12112" t="str">
            <v>SG&amp;A</v>
          </cell>
          <cell r="O12112" t="str">
            <v>Allied Administrators</v>
          </cell>
        </row>
        <row r="12113">
          <cell r="D12113">
            <v>27.88</v>
          </cell>
          <cell r="H12113">
            <v>45962</v>
          </cell>
          <cell r="I12113" t="str">
            <v>6040 - Employer Paid Benefits</v>
          </cell>
          <cell r="J12113">
            <v>0</v>
          </cell>
          <cell r="K12113" t="str">
            <v>Administration</v>
          </cell>
          <cell r="L12113" t="str">
            <v>HQ Salaries</v>
          </cell>
          <cell r="N12113" t="str">
            <v>SG&amp;A</v>
          </cell>
          <cell r="O12113" t="str">
            <v>Allied Administrators</v>
          </cell>
        </row>
        <row r="12114">
          <cell r="D12114">
            <v>89.82</v>
          </cell>
          <cell r="H12114">
            <v>45962</v>
          </cell>
          <cell r="I12114" t="str">
            <v>6040 - Employer Paid Benefits</v>
          </cell>
          <cell r="J12114">
            <v>0</v>
          </cell>
          <cell r="K12114" t="str">
            <v>Administration</v>
          </cell>
          <cell r="L12114" t="str">
            <v>HQ Salaries</v>
          </cell>
          <cell r="N12114" t="str">
            <v>SG&amp;A</v>
          </cell>
          <cell r="O12114" t="str">
            <v>Allied Administrators</v>
          </cell>
        </row>
        <row r="12115">
          <cell r="D12115">
            <v>151.47</v>
          </cell>
          <cell r="H12115">
            <v>45962</v>
          </cell>
          <cell r="I12115" t="str">
            <v>6040 - Employer Paid Benefits</v>
          </cell>
          <cell r="J12115">
            <v>0</v>
          </cell>
          <cell r="K12115" t="str">
            <v>Administration</v>
          </cell>
          <cell r="L12115" t="str">
            <v>HQ Salaries</v>
          </cell>
          <cell r="N12115" t="str">
            <v>SG&amp;A</v>
          </cell>
          <cell r="O12115" t="str">
            <v>Allied Administrators</v>
          </cell>
        </row>
        <row r="12116">
          <cell r="D12116">
            <v>83.64</v>
          </cell>
          <cell r="H12116">
            <v>45962</v>
          </cell>
          <cell r="I12116" t="str">
            <v>6040 - Employer Paid Benefits</v>
          </cell>
          <cell r="J12116">
            <v>0</v>
          </cell>
          <cell r="K12116" t="str">
            <v>Administration</v>
          </cell>
          <cell r="L12116" t="str">
            <v>HQ Salaries</v>
          </cell>
          <cell r="N12116" t="str">
            <v>SG&amp;A</v>
          </cell>
          <cell r="O12116" t="str">
            <v>Allied Administrators</v>
          </cell>
        </row>
        <row r="12117">
          <cell r="D12117">
            <v>55.76</v>
          </cell>
          <cell r="H12117">
            <v>45962</v>
          </cell>
          <cell r="I12117" t="str">
            <v>6040 - Employer Paid Benefits</v>
          </cell>
          <cell r="J12117">
            <v>0</v>
          </cell>
          <cell r="K12117" t="str">
            <v>Administration</v>
          </cell>
          <cell r="L12117" t="str">
            <v>HQ Salaries</v>
          </cell>
          <cell r="N12117" t="str">
            <v>SG&amp;A</v>
          </cell>
          <cell r="O12117" t="str">
            <v>Allied Administrators</v>
          </cell>
        </row>
        <row r="12118">
          <cell r="D12118">
            <v>162.11000000000001</v>
          </cell>
          <cell r="H12118">
            <v>45962</v>
          </cell>
          <cell r="I12118" t="str">
            <v>6040 - Employer Paid Benefits</v>
          </cell>
          <cell r="J12118" t="str">
            <v>Ecommerce (US)</v>
          </cell>
          <cell r="K12118" t="str">
            <v>Ecommerce</v>
          </cell>
          <cell r="L12118" t="str">
            <v>HQ Salaries</v>
          </cell>
          <cell r="N12118" t="str">
            <v>SG&amp;A</v>
          </cell>
          <cell r="O12118" t="str">
            <v>[No Vendor]</v>
          </cell>
        </row>
        <row r="12119">
          <cell r="D12119">
            <v>170.72</v>
          </cell>
          <cell r="H12119">
            <v>45962</v>
          </cell>
          <cell r="I12119" t="str">
            <v>6040 - Employer Paid Benefits</v>
          </cell>
          <cell r="J12119">
            <v>0</v>
          </cell>
          <cell r="K12119" t="str">
            <v>Design</v>
          </cell>
          <cell r="L12119" t="str">
            <v>HQ Salaries</v>
          </cell>
          <cell r="N12119" t="str">
            <v>SG&amp;A</v>
          </cell>
          <cell r="O12119" t="str">
            <v>[No Vendor]</v>
          </cell>
        </row>
        <row r="12120">
          <cell r="D12120">
            <v>49.95</v>
          </cell>
          <cell r="H12120">
            <v>45962</v>
          </cell>
          <cell r="I12120" t="str">
            <v>6040 - Employer Paid Benefits</v>
          </cell>
          <cell r="J12120">
            <v>0</v>
          </cell>
          <cell r="K12120" t="str">
            <v>Administration</v>
          </cell>
          <cell r="L12120" t="str">
            <v>HQ Salaries</v>
          </cell>
          <cell r="N12120" t="str">
            <v>SG&amp;A</v>
          </cell>
          <cell r="O12120" t="str">
            <v>[No Vendor]</v>
          </cell>
        </row>
        <row r="12121">
          <cell r="D12121">
            <v>17.45</v>
          </cell>
          <cell r="H12121">
            <v>45962</v>
          </cell>
          <cell r="I12121" t="str">
            <v>6040 - Employer Paid Benefits</v>
          </cell>
          <cell r="J12121">
            <v>0</v>
          </cell>
          <cell r="K12121" t="str">
            <v>Merchandising</v>
          </cell>
          <cell r="L12121" t="str">
            <v>HQ Salaries</v>
          </cell>
          <cell r="N12121" t="str">
            <v>SG&amp;A</v>
          </cell>
          <cell r="O12121" t="str">
            <v>[No Vendor]</v>
          </cell>
        </row>
        <row r="12122">
          <cell r="D12122">
            <v>17.45</v>
          </cell>
          <cell r="H12122">
            <v>45962</v>
          </cell>
          <cell r="I12122" t="str">
            <v>6040 - Employer Paid Benefits</v>
          </cell>
          <cell r="J12122" t="str">
            <v>Wholesale</v>
          </cell>
          <cell r="K12122" t="str">
            <v>Wholesale</v>
          </cell>
          <cell r="L12122" t="str">
            <v>HQ Salaries</v>
          </cell>
          <cell r="N12122" t="str">
            <v>SG&amp;A</v>
          </cell>
          <cell r="O12122" t="str">
            <v>[No Vendor]</v>
          </cell>
        </row>
        <row r="12123">
          <cell r="D12123">
            <v>112.85</v>
          </cell>
          <cell r="H12123">
            <v>45962</v>
          </cell>
          <cell r="I12123" t="str">
            <v>6040 - Employer Paid Benefits</v>
          </cell>
          <cell r="J12123">
            <v>0</v>
          </cell>
          <cell r="K12123" t="str">
            <v>Production</v>
          </cell>
          <cell r="L12123" t="str">
            <v>HQ Salaries</v>
          </cell>
          <cell r="N12123" t="str">
            <v>SG&amp;A</v>
          </cell>
          <cell r="O12123" t="str">
            <v>[No Vendor]</v>
          </cell>
        </row>
        <row r="12124">
          <cell r="D12124">
            <v>105.62</v>
          </cell>
          <cell r="H12124">
            <v>45962</v>
          </cell>
          <cell r="I12124" t="str">
            <v>6040 - Employer Paid Benefits</v>
          </cell>
          <cell r="J12124">
            <v>0</v>
          </cell>
          <cell r="K12124" t="str">
            <v>Brand Marketing</v>
          </cell>
          <cell r="L12124" t="str">
            <v>HQ Salaries</v>
          </cell>
          <cell r="N12124" t="str">
            <v>SG&amp;A</v>
          </cell>
          <cell r="O12124" t="str">
            <v>[No Vendor]</v>
          </cell>
        </row>
        <row r="12125">
          <cell r="D12125">
            <v>148.76</v>
          </cell>
          <cell r="H12125">
            <v>45962</v>
          </cell>
          <cell r="I12125" t="str">
            <v>6040 - Employer Paid Benefits</v>
          </cell>
          <cell r="J12125">
            <v>0</v>
          </cell>
          <cell r="K12125" t="str">
            <v>Executive</v>
          </cell>
          <cell r="L12125" t="str">
            <v>HQ Salaries</v>
          </cell>
          <cell r="N12125" t="str">
            <v>SG&amp;A</v>
          </cell>
          <cell r="O12125" t="str">
            <v>[No Vendor]</v>
          </cell>
        </row>
        <row r="12126">
          <cell r="D12126">
            <v>260</v>
          </cell>
          <cell r="H12126">
            <v>45962</v>
          </cell>
          <cell r="I12126" t="str">
            <v>6040 - Employer Paid Benefits</v>
          </cell>
          <cell r="J12126">
            <v>0</v>
          </cell>
          <cell r="K12126" t="str">
            <v>Executive</v>
          </cell>
          <cell r="L12126" t="str">
            <v>HQ Salaries</v>
          </cell>
          <cell r="N12126" t="str">
            <v>SG&amp;A</v>
          </cell>
          <cell r="O12126" t="str">
            <v>Procyon Benefits LLC</v>
          </cell>
        </row>
        <row r="12127">
          <cell r="D12127">
            <v>76.31</v>
          </cell>
          <cell r="H12127">
            <v>45962</v>
          </cell>
          <cell r="I12127" t="str">
            <v>6040 - Employer Paid Benefits</v>
          </cell>
          <cell r="J12127" t="str">
            <v>Wholesale</v>
          </cell>
          <cell r="K12127" t="str">
            <v>Wholesale</v>
          </cell>
          <cell r="L12127" t="str">
            <v>HQ Salaries</v>
          </cell>
          <cell r="N12127" t="str">
            <v>SG&amp;A</v>
          </cell>
          <cell r="O12127" t="str">
            <v>Procyon Benefits LLC</v>
          </cell>
        </row>
        <row r="12128">
          <cell r="D12128">
            <v>29</v>
          </cell>
          <cell r="H12128">
            <v>45962</v>
          </cell>
          <cell r="I12128" t="str">
            <v>6040 - Employer Paid Benefits</v>
          </cell>
          <cell r="J12128">
            <v>0</v>
          </cell>
          <cell r="K12128" t="str">
            <v>Production</v>
          </cell>
          <cell r="L12128" t="str">
            <v>HQ Salaries</v>
          </cell>
          <cell r="N12128" t="str">
            <v>SG&amp;A</v>
          </cell>
          <cell r="O12128" t="str">
            <v>Procyon Benefits LLC</v>
          </cell>
        </row>
        <row r="12129">
          <cell r="D12129">
            <v>907.96</v>
          </cell>
          <cell r="H12129">
            <v>45962</v>
          </cell>
          <cell r="I12129" t="str">
            <v>6040 - Employer Paid Benefits</v>
          </cell>
          <cell r="J12129">
            <v>0</v>
          </cell>
          <cell r="K12129" t="str">
            <v>Merchandising</v>
          </cell>
          <cell r="L12129" t="str">
            <v>HQ Salaries</v>
          </cell>
          <cell r="N12129" t="str">
            <v>SG&amp;A</v>
          </cell>
          <cell r="O12129" t="str">
            <v>Procyon Benefits LLC</v>
          </cell>
        </row>
        <row r="12130">
          <cell r="D12130">
            <v>34</v>
          </cell>
          <cell r="H12130">
            <v>45962</v>
          </cell>
          <cell r="I12130" t="str">
            <v>6040 - Employer Paid Benefits</v>
          </cell>
          <cell r="J12130">
            <v>0</v>
          </cell>
          <cell r="K12130" t="str">
            <v>Brand Marketing</v>
          </cell>
          <cell r="L12130" t="str">
            <v>HQ Salaries</v>
          </cell>
          <cell r="N12130" t="str">
            <v>SG&amp;A</v>
          </cell>
          <cell r="O12130" t="str">
            <v>Procyon Benefits LLC</v>
          </cell>
        </row>
        <row r="12131">
          <cell r="D12131">
            <v>178.98</v>
          </cell>
          <cell r="H12131">
            <v>45962</v>
          </cell>
          <cell r="I12131" t="str">
            <v>6040 - Employer Paid Benefits</v>
          </cell>
          <cell r="J12131" t="str">
            <v>Ecommerce (US)</v>
          </cell>
          <cell r="K12131" t="str">
            <v>Ecommerce</v>
          </cell>
          <cell r="L12131" t="str">
            <v>HQ Salaries</v>
          </cell>
          <cell r="N12131" t="str">
            <v>SG&amp;A</v>
          </cell>
          <cell r="O12131" t="str">
            <v>Procyon Benefits LLC</v>
          </cell>
        </row>
        <row r="12132">
          <cell r="D12132">
            <v>178.1</v>
          </cell>
          <cell r="H12132">
            <v>45962</v>
          </cell>
          <cell r="I12132" t="str">
            <v>6040 - Employer Paid Benefits</v>
          </cell>
          <cell r="J12132">
            <v>0</v>
          </cell>
          <cell r="K12132" t="str">
            <v>Design</v>
          </cell>
          <cell r="L12132" t="str">
            <v>HQ Salaries</v>
          </cell>
          <cell r="N12132" t="str">
            <v>SG&amp;A</v>
          </cell>
          <cell r="O12132" t="str">
            <v>Procyon Benefits LLC</v>
          </cell>
        </row>
        <row r="12133">
          <cell r="D12133">
            <v>22.4</v>
          </cell>
          <cell r="H12133">
            <v>45962</v>
          </cell>
          <cell r="I12133" t="str">
            <v>6040 - Employer Paid Benefits</v>
          </cell>
          <cell r="J12133">
            <v>0</v>
          </cell>
          <cell r="K12133" t="str">
            <v>Administration</v>
          </cell>
          <cell r="L12133" t="str">
            <v>HQ Salaries</v>
          </cell>
          <cell r="N12133" t="str">
            <v>SG&amp;A</v>
          </cell>
          <cell r="O12133" t="str">
            <v>Procyon Benefits LLC</v>
          </cell>
        </row>
        <row r="12134">
          <cell r="D12134">
            <v>22.28</v>
          </cell>
          <cell r="H12134">
            <v>45962</v>
          </cell>
          <cell r="I12134" t="str">
            <v>6040 - Employer Paid Benefits</v>
          </cell>
          <cell r="J12134" t="str">
            <v>Wholesale</v>
          </cell>
          <cell r="K12134" t="str">
            <v>Wholesale</v>
          </cell>
          <cell r="L12134" t="str">
            <v>HQ Salaries</v>
          </cell>
          <cell r="N12134" t="str">
            <v>SG&amp;A</v>
          </cell>
          <cell r="O12134" t="str">
            <v>Procyon Benefits LLC</v>
          </cell>
        </row>
        <row r="12135">
          <cell r="D12135">
            <v>462.58</v>
          </cell>
          <cell r="H12135">
            <v>45962</v>
          </cell>
          <cell r="I12135" t="str">
            <v>6040 - Employer Paid Benefits</v>
          </cell>
          <cell r="J12135">
            <v>0</v>
          </cell>
          <cell r="K12135" t="str">
            <v>Production</v>
          </cell>
          <cell r="L12135" t="str">
            <v>HQ Salaries</v>
          </cell>
          <cell r="N12135" t="str">
            <v>SG&amp;A</v>
          </cell>
          <cell r="O12135" t="str">
            <v>Procyon Benefits LLC</v>
          </cell>
        </row>
        <row r="12136">
          <cell r="D12136">
            <v>79</v>
          </cell>
          <cell r="H12136">
            <v>45962</v>
          </cell>
          <cell r="I12136" t="str">
            <v>6040 - Employer Paid Benefits</v>
          </cell>
          <cell r="J12136">
            <v>0</v>
          </cell>
          <cell r="K12136" t="str">
            <v>Merchandising</v>
          </cell>
          <cell r="L12136" t="str">
            <v>HQ Salaries</v>
          </cell>
          <cell r="N12136" t="str">
            <v>SG&amp;A</v>
          </cell>
          <cell r="O12136" t="str">
            <v>Procyon Benefits LLC</v>
          </cell>
        </row>
        <row r="12137">
          <cell r="D12137">
            <v>34</v>
          </cell>
          <cell r="H12137">
            <v>45962</v>
          </cell>
          <cell r="I12137" t="str">
            <v>6040 - Employer Paid Benefits</v>
          </cell>
          <cell r="J12137">
            <v>0</v>
          </cell>
          <cell r="K12137" t="str">
            <v>Brand Marketing</v>
          </cell>
          <cell r="L12137" t="str">
            <v>HQ Salaries</v>
          </cell>
          <cell r="N12137" t="str">
            <v>SG&amp;A</v>
          </cell>
          <cell r="O12137" t="str">
            <v>Procyon Benefits LLC</v>
          </cell>
        </row>
        <row r="12138">
          <cell r="D12138">
            <v>10</v>
          </cell>
          <cell r="H12138">
            <v>45962</v>
          </cell>
          <cell r="I12138" t="str">
            <v>6040 - Employer Paid Benefits</v>
          </cell>
          <cell r="J12138" t="str">
            <v>Ecommerce (US)</v>
          </cell>
          <cell r="K12138" t="str">
            <v>Ecommerce</v>
          </cell>
          <cell r="L12138" t="str">
            <v>HQ Salaries</v>
          </cell>
          <cell r="N12138" t="str">
            <v>SG&amp;A</v>
          </cell>
          <cell r="O12138" t="str">
            <v>Procyon Benefits LLC</v>
          </cell>
        </row>
        <row r="12139">
          <cell r="D12139">
            <v>563.46</v>
          </cell>
          <cell r="H12139">
            <v>45962</v>
          </cell>
          <cell r="I12139" t="str">
            <v>6040 - Employer Paid Benefits</v>
          </cell>
          <cell r="J12139">
            <v>0</v>
          </cell>
          <cell r="K12139" t="str">
            <v>Design</v>
          </cell>
          <cell r="L12139" t="str">
            <v>HQ Salaries</v>
          </cell>
          <cell r="N12139" t="str">
            <v>SG&amp;A</v>
          </cell>
          <cell r="O12139" t="str">
            <v>Procyon Benefits LLC</v>
          </cell>
        </row>
        <row r="12140">
          <cell r="D12140">
            <v>10.8</v>
          </cell>
          <cell r="H12140">
            <v>45962</v>
          </cell>
          <cell r="I12140" t="str">
            <v>6040 - Employer Paid Benefits</v>
          </cell>
          <cell r="J12140">
            <v>0</v>
          </cell>
          <cell r="K12140" t="str">
            <v>Administration</v>
          </cell>
          <cell r="L12140" t="str">
            <v>HQ Salaries</v>
          </cell>
          <cell r="N12140" t="str">
            <v>SG&amp;A</v>
          </cell>
          <cell r="O12140" t="str">
            <v>Procyon Benefits LLC</v>
          </cell>
        </row>
        <row r="12141">
          <cell r="D12141">
            <v>-99.9</v>
          </cell>
          <cell r="H12141">
            <v>45962</v>
          </cell>
          <cell r="I12141" t="str">
            <v>6040 - Employer Paid Benefits</v>
          </cell>
          <cell r="J12141">
            <v>0</v>
          </cell>
          <cell r="K12141" t="str">
            <v>Administration</v>
          </cell>
          <cell r="L12141" t="str">
            <v>HQ Salaries</v>
          </cell>
          <cell r="N12141" t="str">
            <v>SG&amp;A</v>
          </cell>
          <cell r="O12141" t="str">
            <v>[No Vendor]</v>
          </cell>
        </row>
        <row r="12142">
          <cell r="D12142">
            <v>-34.9</v>
          </cell>
          <cell r="H12142">
            <v>45962</v>
          </cell>
          <cell r="I12142" t="str">
            <v>6040 - Employer Paid Benefits</v>
          </cell>
          <cell r="J12142">
            <v>0</v>
          </cell>
          <cell r="K12142" t="str">
            <v>Merchandising</v>
          </cell>
          <cell r="L12142" t="str">
            <v>HQ Salaries</v>
          </cell>
          <cell r="N12142" t="str">
            <v>SG&amp;A</v>
          </cell>
          <cell r="O12142" t="str">
            <v>[No Vendor]</v>
          </cell>
        </row>
        <row r="12143">
          <cell r="D12143">
            <v>-34.9</v>
          </cell>
          <cell r="H12143">
            <v>45962</v>
          </cell>
          <cell r="I12143" t="str">
            <v>6040 - Employer Paid Benefits</v>
          </cell>
          <cell r="J12143" t="str">
            <v>Wholesale</v>
          </cell>
          <cell r="K12143" t="str">
            <v>Wholesale</v>
          </cell>
          <cell r="L12143" t="str">
            <v>HQ Salaries</v>
          </cell>
          <cell r="N12143" t="str">
            <v>SG&amp;A</v>
          </cell>
          <cell r="O12143" t="str">
            <v>[No Vendor]</v>
          </cell>
        </row>
        <row r="12144">
          <cell r="D12144">
            <v>-225.7</v>
          </cell>
          <cell r="H12144">
            <v>45962</v>
          </cell>
          <cell r="I12144" t="str">
            <v>6040 - Employer Paid Benefits</v>
          </cell>
          <cell r="J12144">
            <v>0</v>
          </cell>
          <cell r="K12144" t="str">
            <v>Production</v>
          </cell>
          <cell r="L12144" t="str">
            <v>HQ Salaries</v>
          </cell>
          <cell r="N12144" t="str">
            <v>SG&amp;A</v>
          </cell>
          <cell r="O12144" t="str">
            <v>[No Vendor]</v>
          </cell>
        </row>
        <row r="12145">
          <cell r="D12145">
            <v>-211.23</v>
          </cell>
          <cell r="H12145">
            <v>45962</v>
          </cell>
          <cell r="I12145" t="str">
            <v>6040 - Employer Paid Benefits</v>
          </cell>
          <cell r="J12145">
            <v>0</v>
          </cell>
          <cell r="K12145" t="str">
            <v>Brand Marketing</v>
          </cell>
          <cell r="L12145" t="str">
            <v>HQ Salaries</v>
          </cell>
          <cell r="N12145" t="str">
            <v>SG&amp;A</v>
          </cell>
          <cell r="O12145" t="str">
            <v>[No Vendor]</v>
          </cell>
        </row>
        <row r="12146">
          <cell r="D12146">
            <v>-297.52999999999997</v>
          </cell>
          <cell r="H12146">
            <v>45962</v>
          </cell>
          <cell r="I12146" t="str">
            <v>6040 - Employer Paid Benefits</v>
          </cell>
          <cell r="J12146">
            <v>0</v>
          </cell>
          <cell r="K12146" t="str">
            <v>Executive</v>
          </cell>
          <cell r="L12146" t="str">
            <v>HQ Salaries</v>
          </cell>
          <cell r="N12146" t="str">
            <v>SG&amp;A</v>
          </cell>
          <cell r="O12146" t="str">
            <v>[No Vendor]</v>
          </cell>
        </row>
        <row r="12147">
          <cell r="D12147">
            <v>-324.20999999999998</v>
          </cell>
          <cell r="H12147">
            <v>45962</v>
          </cell>
          <cell r="I12147" t="str">
            <v>6040 - Employer Paid Benefits</v>
          </cell>
          <cell r="J12147" t="str">
            <v>Ecommerce (US)</v>
          </cell>
          <cell r="K12147" t="str">
            <v>Ecommerce</v>
          </cell>
          <cell r="L12147" t="str">
            <v>HQ Salaries</v>
          </cell>
          <cell r="N12147" t="str">
            <v>SG&amp;A</v>
          </cell>
          <cell r="O12147" t="str">
            <v>[No Vendor]</v>
          </cell>
        </row>
        <row r="12148">
          <cell r="D12148">
            <v>-341.43</v>
          </cell>
          <cell r="H12148">
            <v>45962</v>
          </cell>
          <cell r="I12148" t="str">
            <v>6040 - Employer Paid Benefits</v>
          </cell>
          <cell r="J12148">
            <v>0</v>
          </cell>
          <cell r="K12148" t="str">
            <v>Design</v>
          </cell>
          <cell r="L12148" t="str">
            <v>HQ Salaries</v>
          </cell>
          <cell r="N12148" t="str">
            <v>SG&amp;A</v>
          </cell>
          <cell r="O12148" t="str">
            <v>[No Vendor]</v>
          </cell>
        </row>
        <row r="12149">
          <cell r="D12149">
            <v>2501.79</v>
          </cell>
          <cell r="H12149">
            <v>45962</v>
          </cell>
          <cell r="I12149" t="str">
            <v>6040 - Employer Paid Benefits</v>
          </cell>
          <cell r="J12149">
            <v>0</v>
          </cell>
          <cell r="K12149" t="str">
            <v>Production</v>
          </cell>
          <cell r="L12149" t="str">
            <v>HQ Salaries</v>
          </cell>
          <cell r="N12149" t="str">
            <v>SG&amp;A</v>
          </cell>
          <cell r="O12149" t="str">
            <v>Procyon Benefits LLC</v>
          </cell>
        </row>
        <row r="12150">
          <cell r="D12150">
            <v>42.7</v>
          </cell>
          <cell r="H12150">
            <v>45962</v>
          </cell>
          <cell r="I12150" t="str">
            <v>6040 - Employer Paid Benefits</v>
          </cell>
          <cell r="J12150">
            <v>0</v>
          </cell>
          <cell r="K12150" t="str">
            <v>Merchandising</v>
          </cell>
          <cell r="L12150" t="str">
            <v>HQ Salaries</v>
          </cell>
          <cell r="N12150" t="str">
            <v>SG&amp;A</v>
          </cell>
          <cell r="O12150" t="str">
            <v>Procyon Benefits LLC</v>
          </cell>
        </row>
        <row r="12151">
          <cell r="D12151">
            <v>241.7</v>
          </cell>
          <cell r="H12151">
            <v>45962</v>
          </cell>
          <cell r="I12151" t="str">
            <v>6040 - Employer Paid Benefits</v>
          </cell>
          <cell r="J12151">
            <v>0</v>
          </cell>
          <cell r="K12151" t="str">
            <v>Brand Marketing</v>
          </cell>
          <cell r="L12151" t="str">
            <v>HQ Salaries</v>
          </cell>
          <cell r="N12151" t="str">
            <v>SG&amp;A</v>
          </cell>
          <cell r="O12151" t="str">
            <v>Procyon Benefits LLC</v>
          </cell>
        </row>
        <row r="12152">
          <cell r="D12152">
            <v>1222.8599999999999</v>
          </cell>
          <cell r="H12152">
            <v>45962</v>
          </cell>
          <cell r="I12152" t="str">
            <v>6040 - Employer Paid Benefits</v>
          </cell>
          <cell r="J12152" t="str">
            <v>Ecommerce (US)</v>
          </cell>
          <cell r="K12152" t="str">
            <v>Ecommerce</v>
          </cell>
          <cell r="L12152" t="str">
            <v>HQ Salaries</v>
          </cell>
          <cell r="N12152" t="str">
            <v>SG&amp;A</v>
          </cell>
          <cell r="O12152" t="str">
            <v>Procyon Benefits LLC</v>
          </cell>
        </row>
        <row r="12153">
          <cell r="D12153">
            <v>1152.4000000000001</v>
          </cell>
          <cell r="H12153">
            <v>45962</v>
          </cell>
          <cell r="I12153" t="str">
            <v>6040 - Employer Paid Benefits</v>
          </cell>
          <cell r="J12153">
            <v>0</v>
          </cell>
          <cell r="K12153" t="str">
            <v>Design</v>
          </cell>
          <cell r="L12153" t="str">
            <v>HQ Salaries</v>
          </cell>
          <cell r="N12153" t="str">
            <v>SG&amp;A</v>
          </cell>
          <cell r="O12153" t="str">
            <v>Procyon Benefits LLC</v>
          </cell>
        </row>
        <row r="12154">
          <cell r="D12154">
            <v>175.24</v>
          </cell>
          <cell r="H12154">
            <v>45962</v>
          </cell>
          <cell r="I12154" t="str">
            <v>6040 - Employer Paid Benefits</v>
          </cell>
          <cell r="J12154" t="str">
            <v>Wholesale</v>
          </cell>
          <cell r="K12154" t="str">
            <v>Wholesale</v>
          </cell>
          <cell r="L12154" t="str">
            <v>HQ Salaries</v>
          </cell>
          <cell r="N12154" t="str">
            <v>SG&amp;A</v>
          </cell>
          <cell r="O12154" t="str">
            <v>Procyon Benefits LLC</v>
          </cell>
        </row>
        <row r="12155">
          <cell r="D12155">
            <v>285.17</v>
          </cell>
          <cell r="H12155">
            <v>45962</v>
          </cell>
          <cell r="I12155" t="str">
            <v>6040 - Employer Paid Benefits</v>
          </cell>
          <cell r="J12155">
            <v>0</v>
          </cell>
          <cell r="K12155" t="str">
            <v>Production</v>
          </cell>
          <cell r="L12155" t="str">
            <v>HQ Salaries</v>
          </cell>
          <cell r="N12155" t="str">
            <v>SG&amp;A</v>
          </cell>
          <cell r="O12155" t="str">
            <v>Procyon Benefits LLC</v>
          </cell>
        </row>
        <row r="12156">
          <cell r="D12156">
            <v>96.32</v>
          </cell>
          <cell r="H12156">
            <v>45962</v>
          </cell>
          <cell r="I12156" t="str">
            <v>6040 - Employer Paid Benefits</v>
          </cell>
          <cell r="J12156">
            <v>0</v>
          </cell>
          <cell r="K12156" t="str">
            <v>Merchandising</v>
          </cell>
          <cell r="L12156" t="str">
            <v>HQ Salaries</v>
          </cell>
          <cell r="N12156" t="str">
            <v>SG&amp;A</v>
          </cell>
          <cell r="O12156" t="str">
            <v>Procyon Benefits LLC</v>
          </cell>
        </row>
        <row r="12157">
          <cell r="D12157">
            <v>34</v>
          </cell>
          <cell r="H12157">
            <v>45962</v>
          </cell>
          <cell r="I12157" t="str">
            <v>6040 - Employer Paid Benefits</v>
          </cell>
          <cell r="J12157">
            <v>0</v>
          </cell>
          <cell r="K12157" t="str">
            <v>Brand Marketing</v>
          </cell>
          <cell r="L12157" t="str">
            <v>HQ Salaries</v>
          </cell>
          <cell r="N12157" t="str">
            <v>SG&amp;A</v>
          </cell>
          <cell r="O12157" t="str">
            <v>Procyon Benefits LLC</v>
          </cell>
        </row>
        <row r="12158">
          <cell r="D12158">
            <v>1121.17</v>
          </cell>
          <cell r="H12158">
            <v>45962</v>
          </cell>
          <cell r="I12158" t="str">
            <v>6040 - Employer Paid Benefits</v>
          </cell>
          <cell r="J12158" t="str">
            <v>Ecommerce (US)</v>
          </cell>
          <cell r="K12158" t="str">
            <v>Ecommerce</v>
          </cell>
          <cell r="L12158" t="str">
            <v>HQ Salaries</v>
          </cell>
          <cell r="N12158" t="str">
            <v>SG&amp;A</v>
          </cell>
          <cell r="O12158" t="str">
            <v>Procyon Benefits LLC</v>
          </cell>
        </row>
        <row r="12159">
          <cell r="D12159">
            <v>1402.83</v>
          </cell>
          <cell r="H12159">
            <v>45962</v>
          </cell>
          <cell r="I12159" t="str">
            <v>6040 - Employer Paid Benefits</v>
          </cell>
          <cell r="J12159">
            <v>0</v>
          </cell>
          <cell r="K12159" t="str">
            <v>Design</v>
          </cell>
          <cell r="L12159" t="str">
            <v>HQ Salaries</v>
          </cell>
          <cell r="N12159" t="str">
            <v>SG&amp;A</v>
          </cell>
          <cell r="O12159" t="str">
            <v>Procyon Benefits LLC</v>
          </cell>
        </row>
        <row r="12160">
          <cell r="D12160">
            <v>463.9</v>
          </cell>
          <cell r="H12160">
            <v>45962</v>
          </cell>
          <cell r="I12160" t="str">
            <v>6040 - Employer Paid Benefits</v>
          </cell>
          <cell r="J12160">
            <v>0</v>
          </cell>
          <cell r="K12160" t="str">
            <v>Administration</v>
          </cell>
          <cell r="L12160" t="str">
            <v>HQ Salaries</v>
          </cell>
          <cell r="N12160" t="str">
            <v>SG&amp;A</v>
          </cell>
          <cell r="O12160" t="str">
            <v>Procyon Benefits LLC</v>
          </cell>
        </row>
        <row r="12161">
          <cell r="D12161">
            <v>-34.9</v>
          </cell>
          <cell r="H12161">
            <v>45962</v>
          </cell>
          <cell r="I12161" t="str">
            <v>6040 - Employer Paid Benefits</v>
          </cell>
          <cell r="J12161">
            <v>0</v>
          </cell>
          <cell r="K12161" t="str">
            <v>Merchandising</v>
          </cell>
          <cell r="L12161" t="str">
            <v>HQ Salaries</v>
          </cell>
          <cell r="N12161" t="str">
            <v>SG&amp;A</v>
          </cell>
          <cell r="O12161" t="str">
            <v>[No Vendor]</v>
          </cell>
        </row>
        <row r="12162">
          <cell r="D12162">
            <v>-34.9</v>
          </cell>
          <cell r="H12162">
            <v>45962</v>
          </cell>
          <cell r="I12162" t="str">
            <v>6040 - Employer Paid Benefits</v>
          </cell>
          <cell r="J12162" t="str">
            <v>Wholesale</v>
          </cell>
          <cell r="K12162" t="str">
            <v>Wholesale</v>
          </cell>
          <cell r="L12162" t="str">
            <v>HQ Salaries</v>
          </cell>
          <cell r="N12162" t="str">
            <v>SG&amp;A</v>
          </cell>
          <cell r="O12162" t="str">
            <v>[No Vendor]</v>
          </cell>
        </row>
        <row r="12163">
          <cell r="D12163">
            <v>-225.7</v>
          </cell>
          <cell r="H12163">
            <v>45962</v>
          </cell>
          <cell r="I12163" t="str">
            <v>6040 - Employer Paid Benefits</v>
          </cell>
          <cell r="J12163">
            <v>0</v>
          </cell>
          <cell r="K12163" t="str">
            <v>Production</v>
          </cell>
          <cell r="L12163" t="str">
            <v>HQ Salaries</v>
          </cell>
          <cell r="N12163" t="str">
            <v>SG&amp;A</v>
          </cell>
          <cell r="O12163" t="str">
            <v>[No Vendor]</v>
          </cell>
        </row>
        <row r="12164">
          <cell r="D12164">
            <v>-211.23</v>
          </cell>
          <cell r="H12164">
            <v>45962</v>
          </cell>
          <cell r="I12164" t="str">
            <v>6040 - Employer Paid Benefits</v>
          </cell>
          <cell r="J12164">
            <v>0</v>
          </cell>
          <cell r="K12164" t="str">
            <v>Brand Marketing</v>
          </cell>
          <cell r="L12164" t="str">
            <v>HQ Salaries</v>
          </cell>
          <cell r="N12164" t="str">
            <v>SG&amp;A</v>
          </cell>
          <cell r="O12164" t="str">
            <v>[No Vendor]</v>
          </cell>
        </row>
        <row r="12165">
          <cell r="D12165">
            <v>-297.52999999999997</v>
          </cell>
          <cell r="H12165">
            <v>45962</v>
          </cell>
          <cell r="I12165" t="str">
            <v>6040 - Employer Paid Benefits</v>
          </cell>
          <cell r="J12165">
            <v>0</v>
          </cell>
          <cell r="K12165" t="str">
            <v>Executive</v>
          </cell>
          <cell r="L12165" t="str">
            <v>HQ Salaries</v>
          </cell>
          <cell r="N12165" t="str">
            <v>SG&amp;A</v>
          </cell>
          <cell r="O12165" t="str">
            <v>[No Vendor]</v>
          </cell>
        </row>
        <row r="12166">
          <cell r="D12166">
            <v>-324.20999999999998</v>
          </cell>
          <cell r="H12166">
            <v>45962</v>
          </cell>
          <cell r="I12166" t="str">
            <v>6040 - Employer Paid Benefits</v>
          </cell>
          <cell r="J12166" t="str">
            <v>Ecommerce (US)</v>
          </cell>
          <cell r="K12166" t="str">
            <v>Ecommerce</v>
          </cell>
          <cell r="L12166" t="str">
            <v>HQ Salaries</v>
          </cell>
          <cell r="N12166" t="str">
            <v>SG&amp;A</v>
          </cell>
          <cell r="O12166" t="str">
            <v>[No Vendor]</v>
          </cell>
        </row>
        <row r="12167">
          <cell r="D12167">
            <v>-341.44</v>
          </cell>
          <cell r="H12167">
            <v>45962</v>
          </cell>
          <cell r="I12167" t="str">
            <v>6040 - Employer Paid Benefits</v>
          </cell>
          <cell r="J12167">
            <v>0</v>
          </cell>
          <cell r="K12167" t="str">
            <v>Design</v>
          </cell>
          <cell r="L12167" t="str">
            <v>HQ Salaries</v>
          </cell>
          <cell r="N12167" t="str">
            <v>SG&amp;A</v>
          </cell>
          <cell r="O12167" t="str">
            <v>[No Vendor]</v>
          </cell>
        </row>
        <row r="12168">
          <cell r="D12168">
            <v>-99.9</v>
          </cell>
          <cell r="H12168">
            <v>45962</v>
          </cell>
          <cell r="I12168" t="str">
            <v>6040 - Employer Paid Benefits</v>
          </cell>
          <cell r="J12168">
            <v>0</v>
          </cell>
          <cell r="K12168" t="str">
            <v>Administration</v>
          </cell>
          <cell r="L12168" t="str">
            <v>HQ Salaries</v>
          </cell>
          <cell r="N12168" t="str">
            <v>SG&amp;A</v>
          </cell>
          <cell r="O12168" t="str">
            <v>[No Vendor]</v>
          </cell>
        </row>
        <row r="12169">
          <cell r="D12169">
            <v>110</v>
          </cell>
          <cell r="H12169">
            <v>45962</v>
          </cell>
          <cell r="I12169" t="str">
            <v>6040 - Employer Paid Benefits</v>
          </cell>
          <cell r="J12169">
            <v>0</v>
          </cell>
          <cell r="K12169" t="str">
            <v>Administration</v>
          </cell>
          <cell r="L12169" t="str">
            <v>HQ Salaries</v>
          </cell>
          <cell r="N12169" t="str">
            <v>SG&amp;A</v>
          </cell>
          <cell r="O12169" t="str">
            <v>Progressive Benefit Solutions LLC</v>
          </cell>
        </row>
        <row r="12170">
          <cell r="D12170">
            <v>-49.95</v>
          </cell>
          <cell r="H12170">
            <v>45962</v>
          </cell>
          <cell r="I12170" t="str">
            <v>6040 - Employer Paid Benefits</v>
          </cell>
          <cell r="J12170">
            <v>0</v>
          </cell>
          <cell r="K12170" t="str">
            <v>Administration</v>
          </cell>
          <cell r="L12170" t="str">
            <v>HQ Salaries</v>
          </cell>
          <cell r="N12170" t="str">
            <v>SG&amp;A</v>
          </cell>
          <cell r="O12170" t="str">
            <v>[No Vendor]</v>
          </cell>
        </row>
        <row r="12171">
          <cell r="D12171">
            <v>-170.72</v>
          </cell>
          <cell r="H12171">
            <v>45962</v>
          </cell>
          <cell r="I12171" t="str">
            <v>6040 - Employer Paid Benefits</v>
          </cell>
          <cell r="J12171">
            <v>0</v>
          </cell>
          <cell r="K12171" t="str">
            <v>Design</v>
          </cell>
          <cell r="L12171" t="str">
            <v>HQ Salaries</v>
          </cell>
          <cell r="N12171" t="str">
            <v>SG&amp;A</v>
          </cell>
          <cell r="O12171" t="str">
            <v>[No Vendor]</v>
          </cell>
        </row>
        <row r="12172">
          <cell r="D12172">
            <v>-162.11000000000001</v>
          </cell>
          <cell r="H12172">
            <v>45962</v>
          </cell>
          <cell r="I12172" t="str">
            <v>6040 - Employer Paid Benefits</v>
          </cell>
          <cell r="J12172" t="str">
            <v>Ecommerce (US)</v>
          </cell>
          <cell r="K12172" t="str">
            <v>Ecommerce</v>
          </cell>
          <cell r="L12172" t="str">
            <v>HQ Salaries</v>
          </cell>
          <cell r="N12172" t="str">
            <v>SG&amp;A</v>
          </cell>
          <cell r="O12172" t="str">
            <v>[No Vendor]</v>
          </cell>
        </row>
        <row r="12173">
          <cell r="D12173">
            <v>-148.76</v>
          </cell>
          <cell r="H12173">
            <v>45962</v>
          </cell>
          <cell r="I12173" t="str">
            <v>6040 - Employer Paid Benefits</v>
          </cell>
          <cell r="J12173">
            <v>0</v>
          </cell>
          <cell r="K12173" t="str">
            <v>Executive</v>
          </cell>
          <cell r="L12173" t="str">
            <v>HQ Salaries</v>
          </cell>
          <cell r="N12173" t="str">
            <v>SG&amp;A</v>
          </cell>
          <cell r="O12173" t="str">
            <v>[No Vendor]</v>
          </cell>
        </row>
        <row r="12174">
          <cell r="D12174">
            <v>-105.62</v>
          </cell>
          <cell r="H12174">
            <v>45962</v>
          </cell>
          <cell r="I12174" t="str">
            <v>6040 - Employer Paid Benefits</v>
          </cell>
          <cell r="J12174">
            <v>0</v>
          </cell>
          <cell r="K12174" t="str">
            <v>Brand Marketing</v>
          </cell>
          <cell r="L12174" t="str">
            <v>HQ Salaries</v>
          </cell>
          <cell r="N12174" t="str">
            <v>SG&amp;A</v>
          </cell>
          <cell r="O12174" t="str">
            <v>[No Vendor]</v>
          </cell>
        </row>
        <row r="12175">
          <cell r="D12175">
            <v>-112.84</v>
          </cell>
          <cell r="H12175">
            <v>45962</v>
          </cell>
          <cell r="I12175" t="str">
            <v>6040 - Employer Paid Benefits</v>
          </cell>
          <cell r="J12175">
            <v>0</v>
          </cell>
          <cell r="K12175" t="str">
            <v>Production</v>
          </cell>
          <cell r="L12175" t="str">
            <v>HQ Salaries</v>
          </cell>
          <cell r="N12175" t="str">
            <v>SG&amp;A</v>
          </cell>
          <cell r="O12175" t="str">
            <v>[No Vendor]</v>
          </cell>
        </row>
        <row r="12176">
          <cell r="D12176">
            <v>-17.45</v>
          </cell>
          <cell r="H12176">
            <v>45962</v>
          </cell>
          <cell r="I12176" t="str">
            <v>6040 - Employer Paid Benefits</v>
          </cell>
          <cell r="J12176" t="str">
            <v>Wholesale</v>
          </cell>
          <cell r="K12176" t="str">
            <v>Wholesale</v>
          </cell>
          <cell r="L12176" t="str">
            <v>HQ Salaries</v>
          </cell>
          <cell r="N12176" t="str">
            <v>SG&amp;A</v>
          </cell>
          <cell r="O12176" t="str">
            <v>[No Vendor]</v>
          </cell>
        </row>
        <row r="12177">
          <cell r="D12177">
            <v>-17.45</v>
          </cell>
          <cell r="H12177">
            <v>45962</v>
          </cell>
          <cell r="I12177" t="str">
            <v>6040 - Employer Paid Benefits</v>
          </cell>
          <cell r="J12177">
            <v>0</v>
          </cell>
          <cell r="K12177" t="str">
            <v>Merchandising</v>
          </cell>
          <cell r="L12177" t="str">
            <v>HQ Salaries</v>
          </cell>
          <cell r="N12177" t="str">
            <v>SG&amp;A</v>
          </cell>
          <cell r="O12177" t="str">
            <v>[No Vendor]</v>
          </cell>
        </row>
        <row r="12178">
          <cell r="D12178">
            <v>-1095.9000000000001</v>
          </cell>
          <cell r="H12178">
            <v>45962</v>
          </cell>
          <cell r="I12178" t="str">
            <v>6055 - Employer Social Security Tax Withheld</v>
          </cell>
          <cell r="J12178" t="str">
            <v>Ecommerce (US)</v>
          </cell>
          <cell r="K12178" t="str">
            <v>Ecommerce</v>
          </cell>
          <cell r="L12178" t="str">
            <v>HQ Salaries</v>
          </cell>
          <cell r="N12178" t="str">
            <v>SG&amp;A</v>
          </cell>
          <cell r="O12178" t="str">
            <v>[No Vendor]</v>
          </cell>
        </row>
        <row r="12179">
          <cell r="D12179">
            <v>-1076.54</v>
          </cell>
          <cell r="H12179">
            <v>45962</v>
          </cell>
          <cell r="I12179" t="str">
            <v>6055 - Employer Social Security Tax Withheld</v>
          </cell>
          <cell r="J12179">
            <v>0</v>
          </cell>
          <cell r="K12179" t="str">
            <v>Design</v>
          </cell>
          <cell r="L12179" t="str">
            <v>HQ Salaries</v>
          </cell>
          <cell r="N12179" t="str">
            <v>SG&amp;A</v>
          </cell>
          <cell r="O12179" t="str">
            <v>[No Vendor]</v>
          </cell>
        </row>
        <row r="12180">
          <cell r="D12180">
            <v>-823.93</v>
          </cell>
          <cell r="H12180">
            <v>45962</v>
          </cell>
          <cell r="I12180" t="str">
            <v>6055 - Employer Social Security Tax Withheld</v>
          </cell>
          <cell r="J12180">
            <v>0</v>
          </cell>
          <cell r="K12180" t="str">
            <v>Administration</v>
          </cell>
          <cell r="L12180" t="str">
            <v>HQ Salaries</v>
          </cell>
          <cell r="N12180" t="str">
            <v>SG&amp;A</v>
          </cell>
          <cell r="O12180" t="str">
            <v>[No Vendor]</v>
          </cell>
        </row>
        <row r="12181">
          <cell r="D12181">
            <v>-203.47</v>
          </cell>
          <cell r="H12181">
            <v>45962</v>
          </cell>
          <cell r="I12181" t="str">
            <v>6055 - Employer Social Security Tax Withheld</v>
          </cell>
          <cell r="J12181">
            <v>0</v>
          </cell>
          <cell r="K12181" t="str">
            <v>Merchandising</v>
          </cell>
          <cell r="L12181" t="str">
            <v>HQ Salaries</v>
          </cell>
          <cell r="N12181" t="str">
            <v>SG&amp;A</v>
          </cell>
          <cell r="O12181" t="str">
            <v>[No Vendor]</v>
          </cell>
        </row>
        <row r="12182">
          <cell r="D12182">
            <v>-177.76</v>
          </cell>
          <cell r="H12182">
            <v>45962</v>
          </cell>
          <cell r="I12182" t="str">
            <v>6055 - Employer Social Security Tax Withheld</v>
          </cell>
          <cell r="J12182" t="str">
            <v>Wholesale</v>
          </cell>
          <cell r="K12182" t="str">
            <v>Wholesale</v>
          </cell>
          <cell r="L12182" t="str">
            <v>HQ Salaries</v>
          </cell>
          <cell r="N12182" t="str">
            <v>SG&amp;A</v>
          </cell>
          <cell r="O12182" t="str">
            <v>[No Vendor]</v>
          </cell>
        </row>
        <row r="12183">
          <cell r="D12183">
            <v>-799.83</v>
          </cell>
          <cell r="H12183">
            <v>45962</v>
          </cell>
          <cell r="I12183" t="str">
            <v>6055 - Employer Social Security Tax Withheld</v>
          </cell>
          <cell r="J12183">
            <v>0</v>
          </cell>
          <cell r="K12183" t="str">
            <v>Production</v>
          </cell>
          <cell r="L12183" t="str">
            <v>HQ Salaries</v>
          </cell>
          <cell r="N12183" t="str">
            <v>SG&amp;A</v>
          </cell>
          <cell r="O12183" t="str">
            <v>[No Vendor]</v>
          </cell>
        </row>
        <row r="12184">
          <cell r="D12184">
            <v>-504.71</v>
          </cell>
          <cell r="H12184">
            <v>45962</v>
          </cell>
          <cell r="I12184" t="str">
            <v>6055 - Employer Social Security Tax Withheld</v>
          </cell>
          <cell r="J12184">
            <v>0</v>
          </cell>
          <cell r="K12184" t="str">
            <v>Brand Marketing</v>
          </cell>
          <cell r="L12184" t="str">
            <v>HQ Salaries</v>
          </cell>
          <cell r="N12184" t="str">
            <v>SG&amp;A</v>
          </cell>
          <cell r="O12184" t="str">
            <v>[No Vendor]</v>
          </cell>
        </row>
        <row r="12185">
          <cell r="D12185">
            <v>-253.94</v>
          </cell>
          <cell r="H12185">
            <v>45962</v>
          </cell>
          <cell r="I12185" t="str">
            <v>6055 - Employer Social Security Tax Withheld</v>
          </cell>
          <cell r="J12185">
            <v>0</v>
          </cell>
          <cell r="K12185" t="str">
            <v>Executive</v>
          </cell>
          <cell r="L12185" t="str">
            <v>HQ Salaries</v>
          </cell>
          <cell r="N12185" t="str">
            <v>SG&amp;A</v>
          </cell>
          <cell r="O12185" t="str">
            <v>[No Vendor]</v>
          </cell>
        </row>
        <row r="12186">
          <cell r="D12186">
            <v>406.94</v>
          </cell>
          <cell r="H12186">
            <v>45962</v>
          </cell>
          <cell r="I12186" t="str">
            <v>6055 - Employer Social Security Tax Withheld</v>
          </cell>
          <cell r="J12186">
            <v>0</v>
          </cell>
          <cell r="K12186" t="str">
            <v>Merchandising</v>
          </cell>
          <cell r="L12186" t="str">
            <v>HQ Salaries</v>
          </cell>
          <cell r="N12186" t="str">
            <v>SG&amp;A</v>
          </cell>
          <cell r="O12186" t="str">
            <v>[No Vendor]</v>
          </cell>
        </row>
        <row r="12187">
          <cell r="D12187">
            <v>355.51</v>
          </cell>
          <cell r="H12187">
            <v>45962</v>
          </cell>
          <cell r="I12187" t="str">
            <v>6055 - Employer Social Security Tax Withheld</v>
          </cell>
          <cell r="J12187" t="str">
            <v>Wholesale</v>
          </cell>
          <cell r="K12187" t="str">
            <v>Wholesale</v>
          </cell>
          <cell r="L12187" t="str">
            <v>HQ Salaries</v>
          </cell>
          <cell r="N12187" t="str">
            <v>SG&amp;A</v>
          </cell>
          <cell r="O12187" t="str">
            <v>[No Vendor]</v>
          </cell>
        </row>
        <row r="12188">
          <cell r="D12188">
            <v>1599.63</v>
          </cell>
          <cell r="H12188">
            <v>45962</v>
          </cell>
          <cell r="I12188" t="str">
            <v>6055 - Employer Social Security Tax Withheld</v>
          </cell>
          <cell r="J12188">
            <v>0</v>
          </cell>
          <cell r="K12188" t="str">
            <v>Production</v>
          </cell>
          <cell r="L12188" t="str">
            <v>HQ Salaries</v>
          </cell>
          <cell r="N12188" t="str">
            <v>SG&amp;A</v>
          </cell>
          <cell r="O12188" t="str">
            <v>[No Vendor]</v>
          </cell>
        </row>
        <row r="12189">
          <cell r="D12189">
            <v>1009.41</v>
          </cell>
          <cell r="H12189">
            <v>45962</v>
          </cell>
          <cell r="I12189" t="str">
            <v>6055 - Employer Social Security Tax Withheld</v>
          </cell>
          <cell r="J12189">
            <v>0</v>
          </cell>
          <cell r="K12189" t="str">
            <v>Brand Marketing</v>
          </cell>
          <cell r="L12189" t="str">
            <v>HQ Salaries</v>
          </cell>
          <cell r="N12189" t="str">
            <v>SG&amp;A</v>
          </cell>
          <cell r="O12189" t="str">
            <v>[No Vendor]</v>
          </cell>
        </row>
        <row r="12190">
          <cell r="D12190">
            <v>507.88</v>
          </cell>
          <cell r="H12190">
            <v>45962</v>
          </cell>
          <cell r="I12190" t="str">
            <v>6055 - Employer Social Security Tax Withheld</v>
          </cell>
          <cell r="J12190">
            <v>0</v>
          </cell>
          <cell r="K12190" t="str">
            <v>Executive</v>
          </cell>
          <cell r="L12190" t="str">
            <v>HQ Salaries</v>
          </cell>
          <cell r="N12190" t="str">
            <v>SG&amp;A</v>
          </cell>
          <cell r="O12190" t="str">
            <v>[No Vendor]</v>
          </cell>
        </row>
        <row r="12191">
          <cell r="D12191">
            <v>2191.77</v>
          </cell>
          <cell r="H12191">
            <v>45962</v>
          </cell>
          <cell r="I12191" t="str">
            <v>6055 - Employer Social Security Tax Withheld</v>
          </cell>
          <cell r="J12191" t="str">
            <v>Ecommerce (US)</v>
          </cell>
          <cell r="K12191" t="str">
            <v>Ecommerce</v>
          </cell>
          <cell r="L12191" t="str">
            <v>HQ Salaries</v>
          </cell>
          <cell r="N12191" t="str">
            <v>SG&amp;A</v>
          </cell>
          <cell r="O12191" t="str">
            <v>[No Vendor]</v>
          </cell>
        </row>
        <row r="12192">
          <cell r="D12192">
            <v>2153.08</v>
          </cell>
          <cell r="H12192">
            <v>45962</v>
          </cell>
          <cell r="I12192" t="str">
            <v>6055 - Employer Social Security Tax Withheld</v>
          </cell>
          <cell r="J12192">
            <v>0</v>
          </cell>
          <cell r="K12192" t="str">
            <v>Design</v>
          </cell>
          <cell r="L12192" t="str">
            <v>HQ Salaries</v>
          </cell>
          <cell r="N12192" t="str">
            <v>SG&amp;A</v>
          </cell>
          <cell r="O12192" t="str">
            <v>[No Vendor]</v>
          </cell>
        </row>
        <row r="12193">
          <cell r="D12193">
            <v>1679.99</v>
          </cell>
          <cell r="H12193">
            <v>45962</v>
          </cell>
          <cell r="I12193" t="str">
            <v>6055 - Employer Social Security Tax Withheld</v>
          </cell>
          <cell r="J12193">
            <v>0</v>
          </cell>
          <cell r="K12193" t="str">
            <v>Administration</v>
          </cell>
          <cell r="L12193" t="str">
            <v>HQ Salaries</v>
          </cell>
          <cell r="N12193" t="str">
            <v>SG&amp;A</v>
          </cell>
          <cell r="O12193" t="str">
            <v>[No Vendor]</v>
          </cell>
        </row>
        <row r="12194">
          <cell r="D12194">
            <v>406.94</v>
          </cell>
          <cell r="H12194">
            <v>45962</v>
          </cell>
          <cell r="I12194" t="str">
            <v>6055 - Employer Social Security Tax Withheld</v>
          </cell>
          <cell r="J12194">
            <v>0</v>
          </cell>
          <cell r="K12194" t="str">
            <v>Merchandising</v>
          </cell>
          <cell r="L12194" t="str">
            <v>HQ Salaries</v>
          </cell>
          <cell r="N12194" t="str">
            <v>SG&amp;A</v>
          </cell>
          <cell r="O12194" t="str">
            <v>[No Vendor]</v>
          </cell>
        </row>
        <row r="12195">
          <cell r="D12195">
            <v>355.51</v>
          </cell>
          <cell r="H12195">
            <v>45962</v>
          </cell>
          <cell r="I12195" t="str">
            <v>6055 - Employer Social Security Tax Withheld</v>
          </cell>
          <cell r="J12195" t="str">
            <v>Wholesale</v>
          </cell>
          <cell r="K12195" t="str">
            <v>Wholesale</v>
          </cell>
          <cell r="L12195" t="str">
            <v>HQ Salaries</v>
          </cell>
          <cell r="N12195" t="str">
            <v>SG&amp;A</v>
          </cell>
          <cell r="O12195" t="str">
            <v>[No Vendor]</v>
          </cell>
        </row>
        <row r="12196">
          <cell r="D12196">
            <v>1599.63</v>
          </cell>
          <cell r="H12196">
            <v>45962</v>
          </cell>
          <cell r="I12196" t="str">
            <v>6055 - Employer Social Security Tax Withheld</v>
          </cell>
          <cell r="J12196">
            <v>0</v>
          </cell>
          <cell r="K12196" t="str">
            <v>Production</v>
          </cell>
          <cell r="L12196" t="str">
            <v>HQ Salaries</v>
          </cell>
          <cell r="N12196" t="str">
            <v>SG&amp;A</v>
          </cell>
          <cell r="O12196" t="str">
            <v>[No Vendor]</v>
          </cell>
        </row>
        <row r="12197">
          <cell r="D12197">
            <v>1009.41</v>
          </cell>
          <cell r="H12197">
            <v>45962</v>
          </cell>
          <cell r="I12197" t="str">
            <v>6055 - Employer Social Security Tax Withheld</v>
          </cell>
          <cell r="J12197">
            <v>0</v>
          </cell>
          <cell r="K12197" t="str">
            <v>Brand Marketing</v>
          </cell>
          <cell r="L12197" t="str">
            <v>HQ Salaries</v>
          </cell>
          <cell r="N12197" t="str">
            <v>SG&amp;A</v>
          </cell>
          <cell r="O12197" t="str">
            <v>[No Vendor]</v>
          </cell>
        </row>
        <row r="12198">
          <cell r="D12198">
            <v>507.88</v>
          </cell>
          <cell r="H12198">
            <v>45962</v>
          </cell>
          <cell r="I12198" t="str">
            <v>6055 - Employer Social Security Tax Withheld</v>
          </cell>
          <cell r="J12198">
            <v>0</v>
          </cell>
          <cell r="K12198" t="str">
            <v>Executive</v>
          </cell>
          <cell r="L12198" t="str">
            <v>HQ Salaries</v>
          </cell>
          <cell r="N12198" t="str">
            <v>SG&amp;A</v>
          </cell>
          <cell r="O12198" t="str">
            <v>[No Vendor]</v>
          </cell>
        </row>
        <row r="12199">
          <cell r="D12199">
            <v>2191.77</v>
          </cell>
          <cell r="H12199">
            <v>45962</v>
          </cell>
          <cell r="I12199" t="str">
            <v>6055 - Employer Social Security Tax Withheld</v>
          </cell>
          <cell r="J12199" t="str">
            <v>Ecommerce (US)</v>
          </cell>
          <cell r="K12199" t="str">
            <v>Ecommerce</v>
          </cell>
          <cell r="L12199" t="str">
            <v>HQ Salaries</v>
          </cell>
          <cell r="N12199" t="str">
            <v>SG&amp;A</v>
          </cell>
          <cell r="O12199" t="str">
            <v>[No Vendor]</v>
          </cell>
        </row>
        <row r="12200">
          <cell r="D12200">
            <v>2153.08</v>
          </cell>
          <cell r="H12200">
            <v>45962</v>
          </cell>
          <cell r="I12200" t="str">
            <v>6055 - Employer Social Security Tax Withheld</v>
          </cell>
          <cell r="J12200">
            <v>0</v>
          </cell>
          <cell r="K12200" t="str">
            <v>Design</v>
          </cell>
          <cell r="L12200" t="str">
            <v>HQ Salaries</v>
          </cell>
          <cell r="N12200" t="str">
            <v>SG&amp;A</v>
          </cell>
          <cell r="O12200" t="str">
            <v>[No Vendor]</v>
          </cell>
        </row>
        <row r="12201">
          <cell r="D12201">
            <v>1679.99</v>
          </cell>
          <cell r="H12201">
            <v>45962</v>
          </cell>
          <cell r="I12201" t="str">
            <v>6055 - Employer Social Security Tax Withheld</v>
          </cell>
          <cell r="J12201">
            <v>0</v>
          </cell>
          <cell r="K12201" t="str">
            <v>Administration</v>
          </cell>
          <cell r="L12201" t="str">
            <v>HQ Salaries</v>
          </cell>
          <cell r="N12201" t="str">
            <v>SG&amp;A</v>
          </cell>
          <cell r="O12201" t="str">
            <v>[No Vendor]</v>
          </cell>
        </row>
        <row r="12202">
          <cell r="D12202">
            <v>840</v>
          </cell>
          <cell r="H12202">
            <v>45962</v>
          </cell>
          <cell r="I12202" t="str">
            <v>6055 - Employer Social Security Tax Withheld</v>
          </cell>
          <cell r="J12202">
            <v>0</v>
          </cell>
          <cell r="K12202" t="str">
            <v>Administration</v>
          </cell>
          <cell r="L12202" t="str">
            <v>HQ Salaries</v>
          </cell>
          <cell r="N12202" t="str">
            <v>SG&amp;A</v>
          </cell>
          <cell r="O12202" t="str">
            <v>[No Vendor]</v>
          </cell>
        </row>
        <row r="12203">
          <cell r="D12203">
            <v>1076.54</v>
          </cell>
          <cell r="H12203">
            <v>45962</v>
          </cell>
          <cell r="I12203" t="str">
            <v>6055 - Employer Social Security Tax Withheld</v>
          </cell>
          <cell r="J12203">
            <v>0</v>
          </cell>
          <cell r="K12203" t="str">
            <v>Design</v>
          </cell>
          <cell r="L12203" t="str">
            <v>HQ Salaries</v>
          </cell>
          <cell r="N12203" t="str">
            <v>SG&amp;A</v>
          </cell>
          <cell r="O12203" t="str">
            <v>[No Vendor]</v>
          </cell>
        </row>
        <row r="12204">
          <cell r="D12204">
            <v>1095.9000000000001</v>
          </cell>
          <cell r="H12204">
            <v>45962</v>
          </cell>
          <cell r="I12204" t="str">
            <v>6055 - Employer Social Security Tax Withheld</v>
          </cell>
          <cell r="J12204" t="str">
            <v>Ecommerce (US)</v>
          </cell>
          <cell r="K12204" t="str">
            <v>Ecommerce</v>
          </cell>
          <cell r="L12204" t="str">
            <v>HQ Salaries</v>
          </cell>
          <cell r="N12204" t="str">
            <v>SG&amp;A</v>
          </cell>
          <cell r="O12204" t="str">
            <v>[No Vendor]</v>
          </cell>
        </row>
        <row r="12205">
          <cell r="D12205">
            <v>253.94</v>
          </cell>
          <cell r="H12205">
            <v>45962</v>
          </cell>
          <cell r="I12205" t="str">
            <v>6055 - Employer Social Security Tax Withheld</v>
          </cell>
          <cell r="J12205">
            <v>0</v>
          </cell>
          <cell r="K12205" t="str">
            <v>Executive</v>
          </cell>
          <cell r="L12205" t="str">
            <v>HQ Salaries</v>
          </cell>
          <cell r="N12205" t="str">
            <v>SG&amp;A</v>
          </cell>
          <cell r="O12205" t="str">
            <v>[No Vendor]</v>
          </cell>
        </row>
        <row r="12206">
          <cell r="D12206">
            <v>504.71</v>
          </cell>
          <cell r="H12206">
            <v>45962</v>
          </cell>
          <cell r="I12206" t="str">
            <v>6055 - Employer Social Security Tax Withheld</v>
          </cell>
          <cell r="J12206">
            <v>0</v>
          </cell>
          <cell r="K12206" t="str">
            <v>Brand Marketing</v>
          </cell>
          <cell r="L12206" t="str">
            <v>HQ Salaries</v>
          </cell>
          <cell r="N12206" t="str">
            <v>SG&amp;A</v>
          </cell>
          <cell r="O12206" t="str">
            <v>[No Vendor]</v>
          </cell>
        </row>
        <row r="12207">
          <cell r="D12207">
            <v>799.82</v>
          </cell>
          <cell r="H12207">
            <v>45962</v>
          </cell>
          <cell r="I12207" t="str">
            <v>6055 - Employer Social Security Tax Withheld</v>
          </cell>
          <cell r="J12207">
            <v>0</v>
          </cell>
          <cell r="K12207" t="str">
            <v>Production</v>
          </cell>
          <cell r="L12207" t="str">
            <v>HQ Salaries</v>
          </cell>
          <cell r="N12207" t="str">
            <v>SG&amp;A</v>
          </cell>
          <cell r="O12207" t="str">
            <v>[No Vendor]</v>
          </cell>
        </row>
        <row r="12208">
          <cell r="D12208">
            <v>177.76</v>
          </cell>
          <cell r="H12208">
            <v>45962</v>
          </cell>
          <cell r="I12208" t="str">
            <v>6055 - Employer Social Security Tax Withheld</v>
          </cell>
          <cell r="J12208" t="str">
            <v>Wholesale</v>
          </cell>
          <cell r="K12208" t="str">
            <v>Wholesale</v>
          </cell>
          <cell r="L12208" t="str">
            <v>HQ Salaries</v>
          </cell>
          <cell r="N12208" t="str">
            <v>SG&amp;A</v>
          </cell>
          <cell r="O12208" t="str">
            <v>[No Vendor]</v>
          </cell>
        </row>
        <row r="12209">
          <cell r="D12209">
            <v>203.48</v>
          </cell>
          <cell r="H12209">
            <v>45962</v>
          </cell>
          <cell r="I12209" t="str">
            <v>6055 - Employer Social Security Tax Withheld</v>
          </cell>
          <cell r="J12209">
            <v>0</v>
          </cell>
          <cell r="K12209" t="str">
            <v>Merchandising</v>
          </cell>
          <cell r="L12209" t="str">
            <v>HQ Salaries</v>
          </cell>
          <cell r="N12209" t="str">
            <v>SG&amp;A</v>
          </cell>
          <cell r="O12209" t="str">
            <v>[No Vendor]</v>
          </cell>
        </row>
        <row r="12210">
          <cell r="D12210">
            <v>41.61</v>
          </cell>
          <cell r="H12210">
            <v>45962</v>
          </cell>
          <cell r="I12210" t="str">
            <v>6105 - Meals</v>
          </cell>
          <cell r="J12210">
            <v>0</v>
          </cell>
          <cell r="K12210" t="str">
            <v>Administration</v>
          </cell>
          <cell r="L12210" t="str">
            <v>T&amp;E</v>
          </cell>
          <cell r="N12210" t="str">
            <v>SG&amp;A</v>
          </cell>
          <cell r="O12210" t="str">
            <v>Leila NA</v>
          </cell>
        </row>
        <row r="12211">
          <cell r="D12211">
            <v>29.11</v>
          </cell>
          <cell r="H12211">
            <v>45962</v>
          </cell>
          <cell r="I12211" t="str">
            <v>6105 - Meals</v>
          </cell>
          <cell r="J12211">
            <v>0</v>
          </cell>
          <cell r="K12211" t="str">
            <v>Administration</v>
          </cell>
          <cell r="L12211" t="str">
            <v>T&amp;E</v>
          </cell>
          <cell r="N12211" t="str">
            <v>SG&amp;A</v>
          </cell>
          <cell r="O12211" t="str">
            <v>Leila NA</v>
          </cell>
        </row>
        <row r="12212">
          <cell r="D12212">
            <v>144.87</v>
          </cell>
          <cell r="H12212">
            <v>45962</v>
          </cell>
          <cell r="I12212" t="str">
            <v>6105 - Meals</v>
          </cell>
          <cell r="J12212">
            <v>0</v>
          </cell>
          <cell r="K12212" t="str">
            <v>Administration</v>
          </cell>
          <cell r="L12212" t="str">
            <v>T&amp;E</v>
          </cell>
          <cell r="N12212" t="str">
            <v>SG&amp;A</v>
          </cell>
          <cell r="O12212" t="str">
            <v>Leila NA</v>
          </cell>
        </row>
        <row r="12213">
          <cell r="D12213">
            <v>79.98</v>
          </cell>
          <cell r="H12213">
            <v>45962</v>
          </cell>
          <cell r="I12213" t="str">
            <v>6105 - Meals</v>
          </cell>
          <cell r="J12213">
            <v>0</v>
          </cell>
          <cell r="K12213" t="str">
            <v>Administration</v>
          </cell>
          <cell r="L12213" t="str">
            <v>T&amp;E</v>
          </cell>
          <cell r="N12213" t="str">
            <v>SG&amp;A</v>
          </cell>
          <cell r="O12213" t="str">
            <v>Leila NA</v>
          </cell>
        </row>
        <row r="12214">
          <cell r="D12214">
            <v>18.29</v>
          </cell>
          <cell r="H12214">
            <v>45962</v>
          </cell>
          <cell r="I12214" t="str">
            <v>6105 - Meals</v>
          </cell>
          <cell r="J12214">
            <v>0</v>
          </cell>
          <cell r="K12214" t="str">
            <v>Administration</v>
          </cell>
          <cell r="L12214" t="str">
            <v>T&amp;E</v>
          </cell>
          <cell r="N12214" t="str">
            <v>SG&amp;A</v>
          </cell>
          <cell r="O12214" t="str">
            <v>Leila NA</v>
          </cell>
        </row>
        <row r="12215">
          <cell r="D12215">
            <v>30.27</v>
          </cell>
          <cell r="H12215">
            <v>45962</v>
          </cell>
          <cell r="I12215" t="str">
            <v>6105 - Meals</v>
          </cell>
          <cell r="J12215">
            <v>0</v>
          </cell>
          <cell r="K12215" t="str">
            <v>Executive</v>
          </cell>
          <cell r="L12215" t="str">
            <v>T&amp;E</v>
          </cell>
          <cell r="N12215" t="str">
            <v>SG&amp;A</v>
          </cell>
          <cell r="O12215" t="str">
            <v>Yoon Choi</v>
          </cell>
        </row>
        <row r="12216">
          <cell r="D12216">
            <v>193.37</v>
          </cell>
          <cell r="H12216">
            <v>45962</v>
          </cell>
          <cell r="I12216" t="str">
            <v>6105 - Meals</v>
          </cell>
          <cell r="J12216">
            <v>0</v>
          </cell>
          <cell r="K12216" t="str">
            <v>Executive</v>
          </cell>
          <cell r="L12216" t="str">
            <v>T&amp;E</v>
          </cell>
          <cell r="N12216" t="str">
            <v>SG&amp;A</v>
          </cell>
          <cell r="O12216" t="str">
            <v>[No Vendor]</v>
          </cell>
        </row>
        <row r="12217">
          <cell r="D12217">
            <v>150.19999999999999</v>
          </cell>
          <cell r="H12217">
            <v>45962</v>
          </cell>
          <cell r="I12217" t="str">
            <v>6105 - Meals</v>
          </cell>
          <cell r="J12217">
            <v>0</v>
          </cell>
          <cell r="K12217" t="str">
            <v>Administration</v>
          </cell>
          <cell r="L12217" t="str">
            <v>T&amp;E</v>
          </cell>
          <cell r="N12217" t="str">
            <v>SG&amp;A</v>
          </cell>
          <cell r="O12217" t="str">
            <v>[No Vendor]</v>
          </cell>
        </row>
        <row r="12218">
          <cell r="D12218">
            <v>60.18</v>
          </cell>
          <cell r="H12218">
            <v>45962</v>
          </cell>
          <cell r="I12218" t="str">
            <v>6105 - Meals</v>
          </cell>
          <cell r="J12218">
            <v>0</v>
          </cell>
          <cell r="K12218" t="str">
            <v>Administration</v>
          </cell>
          <cell r="L12218" t="str">
            <v>T&amp;E</v>
          </cell>
          <cell r="N12218" t="str">
            <v>SG&amp;A</v>
          </cell>
          <cell r="O12218" t="str">
            <v>[No Vendor]</v>
          </cell>
        </row>
        <row r="12219">
          <cell r="D12219">
            <v>28.98</v>
          </cell>
          <cell r="H12219">
            <v>45962</v>
          </cell>
          <cell r="I12219" t="str">
            <v>6105 - Meals</v>
          </cell>
          <cell r="J12219">
            <v>0</v>
          </cell>
          <cell r="K12219" t="str">
            <v>Administration</v>
          </cell>
          <cell r="L12219" t="str">
            <v>T&amp;E</v>
          </cell>
          <cell r="N12219" t="str">
            <v>SG&amp;A</v>
          </cell>
          <cell r="O12219" t="str">
            <v>Leila NA</v>
          </cell>
        </row>
        <row r="12220">
          <cell r="D12220">
            <v>39.83</v>
          </cell>
          <cell r="H12220">
            <v>45962</v>
          </cell>
          <cell r="I12220" t="str">
            <v>6105 - Meals</v>
          </cell>
          <cell r="J12220" t="str">
            <v>Wholesale</v>
          </cell>
          <cell r="K12220" t="str">
            <v>Wholesale</v>
          </cell>
          <cell r="L12220" t="str">
            <v>T&amp;E</v>
          </cell>
          <cell r="N12220" t="str">
            <v>SG&amp;A</v>
          </cell>
          <cell r="O12220" t="str">
            <v>Leila NA</v>
          </cell>
        </row>
        <row r="12221">
          <cell r="D12221">
            <v>355.96</v>
          </cell>
          <cell r="H12221">
            <v>45962</v>
          </cell>
          <cell r="I12221" t="str">
            <v>6105 - Meals</v>
          </cell>
          <cell r="J12221">
            <v>0</v>
          </cell>
          <cell r="K12221" t="str">
            <v>Administration</v>
          </cell>
          <cell r="L12221" t="str">
            <v>T&amp;E</v>
          </cell>
          <cell r="N12221" t="str">
            <v>SG&amp;A</v>
          </cell>
          <cell r="O12221" t="str">
            <v>Olivia Nielsen</v>
          </cell>
        </row>
        <row r="12222">
          <cell r="D12222">
            <v>39.03</v>
          </cell>
          <cell r="H12222">
            <v>45962</v>
          </cell>
          <cell r="I12222" t="str">
            <v>6105 - Meals</v>
          </cell>
          <cell r="J12222">
            <v>0</v>
          </cell>
          <cell r="K12222" t="str">
            <v>Administration</v>
          </cell>
          <cell r="L12222" t="str">
            <v>T&amp;E</v>
          </cell>
          <cell r="N12222" t="str">
            <v>SG&amp;A</v>
          </cell>
          <cell r="O12222" t="str">
            <v>Sean Lee</v>
          </cell>
        </row>
        <row r="12223">
          <cell r="D12223">
            <v>188.47</v>
          </cell>
          <cell r="H12223">
            <v>45962</v>
          </cell>
          <cell r="I12223" t="str">
            <v>6105 - Meals</v>
          </cell>
          <cell r="J12223">
            <v>0</v>
          </cell>
          <cell r="K12223" t="str">
            <v>Administration</v>
          </cell>
          <cell r="L12223" t="str">
            <v>T&amp;E</v>
          </cell>
          <cell r="N12223" t="str">
            <v>SG&amp;A</v>
          </cell>
          <cell r="O12223" t="str">
            <v>Sean Lee</v>
          </cell>
        </row>
        <row r="12224">
          <cell r="D12224">
            <v>13.61</v>
          </cell>
          <cell r="H12224">
            <v>45962</v>
          </cell>
          <cell r="I12224" t="str">
            <v>6105 - Meals</v>
          </cell>
          <cell r="J12224">
            <v>0</v>
          </cell>
          <cell r="K12224" t="str">
            <v>Administration</v>
          </cell>
          <cell r="L12224" t="str">
            <v>T&amp;E</v>
          </cell>
          <cell r="N12224" t="str">
            <v>SG&amp;A</v>
          </cell>
          <cell r="O12224" t="str">
            <v>Sean Lee</v>
          </cell>
        </row>
        <row r="12225">
          <cell r="D12225">
            <v>102.2</v>
          </cell>
          <cell r="H12225">
            <v>45962</v>
          </cell>
          <cell r="I12225" t="str">
            <v>6105 - Meals</v>
          </cell>
          <cell r="J12225">
            <v>0</v>
          </cell>
          <cell r="K12225" t="str">
            <v>Administration</v>
          </cell>
          <cell r="L12225" t="str">
            <v>T&amp;E</v>
          </cell>
          <cell r="N12225" t="str">
            <v>SG&amp;A</v>
          </cell>
          <cell r="O12225" t="str">
            <v>Sean Lee</v>
          </cell>
        </row>
        <row r="12226">
          <cell r="D12226">
            <v>24.1</v>
          </cell>
          <cell r="H12226">
            <v>45962</v>
          </cell>
          <cell r="I12226" t="str">
            <v>6105 - Meals</v>
          </cell>
          <cell r="J12226">
            <v>0</v>
          </cell>
          <cell r="K12226" t="str">
            <v>Administration</v>
          </cell>
          <cell r="L12226" t="str">
            <v>T&amp;E</v>
          </cell>
          <cell r="N12226" t="str">
            <v>SG&amp;A</v>
          </cell>
          <cell r="O12226" t="str">
            <v>Sean Lee</v>
          </cell>
        </row>
        <row r="12227">
          <cell r="D12227">
            <v>201.48</v>
          </cell>
          <cell r="H12227">
            <v>45962</v>
          </cell>
          <cell r="I12227" t="str">
            <v>6115 - Airfare</v>
          </cell>
          <cell r="J12227" t="str">
            <v>Wholesale</v>
          </cell>
          <cell r="K12227" t="str">
            <v>Wholesale</v>
          </cell>
          <cell r="L12227" t="str">
            <v>T&amp;E</v>
          </cell>
          <cell r="N12227" t="str">
            <v>SG&amp;A</v>
          </cell>
          <cell r="O12227" t="str">
            <v>Bridgette Stacom</v>
          </cell>
        </row>
        <row r="12228">
          <cell r="D12228">
            <v>202.73</v>
          </cell>
          <cell r="H12228">
            <v>45962</v>
          </cell>
          <cell r="I12228" t="str">
            <v>6115 - Airfare</v>
          </cell>
          <cell r="J12228" t="str">
            <v>Wholesale</v>
          </cell>
          <cell r="K12228" t="str">
            <v>Wholesale</v>
          </cell>
          <cell r="L12228" t="str">
            <v>T&amp;E</v>
          </cell>
          <cell r="N12228" t="str">
            <v>SG&amp;A</v>
          </cell>
          <cell r="O12228" t="str">
            <v>Bridgette Stacom</v>
          </cell>
        </row>
        <row r="12229">
          <cell r="D12229">
            <v>178.49</v>
          </cell>
          <cell r="H12229">
            <v>45962</v>
          </cell>
          <cell r="I12229" t="str">
            <v>6115 - Airfare</v>
          </cell>
          <cell r="J12229" t="str">
            <v>Wholesale</v>
          </cell>
          <cell r="K12229" t="str">
            <v>Wholesale</v>
          </cell>
          <cell r="L12229" t="str">
            <v>T&amp;E</v>
          </cell>
          <cell r="N12229" t="str">
            <v>SG&amp;A</v>
          </cell>
          <cell r="O12229" t="str">
            <v>Bridgette Stacom</v>
          </cell>
        </row>
        <row r="12230">
          <cell r="D12230">
            <v>356.97</v>
          </cell>
          <cell r="H12230">
            <v>45962</v>
          </cell>
          <cell r="I12230" t="str">
            <v>6115 - Airfare</v>
          </cell>
          <cell r="J12230">
            <v>0</v>
          </cell>
          <cell r="K12230" t="str">
            <v>Administration</v>
          </cell>
          <cell r="L12230" t="str">
            <v>T&amp;E</v>
          </cell>
          <cell r="N12230" t="str">
            <v>SG&amp;A</v>
          </cell>
          <cell r="O12230" t="str">
            <v>[No Vendor]</v>
          </cell>
        </row>
        <row r="12231">
          <cell r="D12231">
            <v>2</v>
          </cell>
          <cell r="H12231">
            <v>45962</v>
          </cell>
          <cell r="I12231" t="str">
            <v>6120 - Lodging</v>
          </cell>
          <cell r="J12231">
            <v>0</v>
          </cell>
          <cell r="K12231" t="str">
            <v>Administration</v>
          </cell>
          <cell r="L12231" t="str">
            <v>T&amp;E</v>
          </cell>
          <cell r="N12231" t="str">
            <v>SG&amp;A</v>
          </cell>
          <cell r="O12231" t="str">
            <v>Caitlin Pessin</v>
          </cell>
        </row>
        <row r="12232">
          <cell r="D12232">
            <v>1.5</v>
          </cell>
          <cell r="H12232">
            <v>45962</v>
          </cell>
          <cell r="I12232" t="str">
            <v>6120 - Lodging</v>
          </cell>
          <cell r="J12232">
            <v>0</v>
          </cell>
          <cell r="K12232" t="str">
            <v>Administration</v>
          </cell>
          <cell r="L12232" t="str">
            <v>T&amp;E</v>
          </cell>
          <cell r="N12232" t="str">
            <v>SG&amp;A</v>
          </cell>
          <cell r="O12232" t="str">
            <v>Caitlin Pessin</v>
          </cell>
        </row>
        <row r="12233">
          <cell r="D12233">
            <v>23.44</v>
          </cell>
          <cell r="H12233">
            <v>45962</v>
          </cell>
          <cell r="I12233" t="str">
            <v>6120 - Lodging</v>
          </cell>
          <cell r="J12233">
            <v>0</v>
          </cell>
          <cell r="K12233" t="str">
            <v>Administration</v>
          </cell>
          <cell r="L12233" t="str">
            <v>T&amp;E</v>
          </cell>
          <cell r="N12233" t="str">
            <v>SG&amp;A</v>
          </cell>
          <cell r="O12233" t="str">
            <v>Caitlin Pessin</v>
          </cell>
        </row>
        <row r="12234">
          <cell r="D12234">
            <v>35.409999999999997</v>
          </cell>
          <cell r="H12234">
            <v>45962</v>
          </cell>
          <cell r="I12234" t="str">
            <v>6120 - Lodging</v>
          </cell>
          <cell r="J12234">
            <v>0</v>
          </cell>
          <cell r="K12234" t="str">
            <v>Administration</v>
          </cell>
          <cell r="L12234" t="str">
            <v>T&amp;E</v>
          </cell>
          <cell r="N12234" t="str">
            <v>SG&amp;A</v>
          </cell>
          <cell r="O12234" t="str">
            <v>Caitlin Pessin</v>
          </cell>
        </row>
        <row r="12235">
          <cell r="D12235">
            <v>399</v>
          </cell>
          <cell r="H12235">
            <v>45962</v>
          </cell>
          <cell r="I12235" t="str">
            <v>6120 - Lodging</v>
          </cell>
          <cell r="J12235">
            <v>0</v>
          </cell>
          <cell r="K12235" t="str">
            <v>Administration</v>
          </cell>
          <cell r="L12235" t="str">
            <v>T&amp;E</v>
          </cell>
          <cell r="N12235" t="str">
            <v>SG&amp;A</v>
          </cell>
          <cell r="O12235" t="str">
            <v>Caitlin Pessin</v>
          </cell>
        </row>
        <row r="12236">
          <cell r="D12236">
            <v>10.75</v>
          </cell>
          <cell r="H12236">
            <v>45962</v>
          </cell>
          <cell r="I12236" t="str">
            <v>6125 - Transportation and Fuel</v>
          </cell>
          <cell r="J12236" t="str">
            <v>Wholesale</v>
          </cell>
          <cell r="K12236" t="str">
            <v>Wholesale</v>
          </cell>
          <cell r="L12236" t="str">
            <v>T&amp;E</v>
          </cell>
          <cell r="N12236" t="str">
            <v>SG&amp;A</v>
          </cell>
          <cell r="O12236" t="str">
            <v>Bridgette Stacom</v>
          </cell>
        </row>
        <row r="12237">
          <cell r="D12237">
            <v>29</v>
          </cell>
          <cell r="H12237">
            <v>45962</v>
          </cell>
          <cell r="I12237" t="str">
            <v>6125 - Transportation and Fuel</v>
          </cell>
          <cell r="J12237" t="str">
            <v>Wholesale</v>
          </cell>
          <cell r="K12237" t="str">
            <v>Wholesale</v>
          </cell>
          <cell r="L12237" t="str">
            <v>T&amp;E</v>
          </cell>
          <cell r="N12237" t="str">
            <v>SG&amp;A</v>
          </cell>
          <cell r="O12237" t="str">
            <v>Bridgette Stacom</v>
          </cell>
        </row>
        <row r="12238">
          <cell r="D12238">
            <v>29</v>
          </cell>
          <cell r="H12238">
            <v>45962</v>
          </cell>
          <cell r="I12238" t="str">
            <v>6125 - Transportation and Fuel</v>
          </cell>
          <cell r="J12238" t="str">
            <v>Wholesale</v>
          </cell>
          <cell r="K12238" t="str">
            <v>Wholesale</v>
          </cell>
          <cell r="L12238" t="str">
            <v>T&amp;E</v>
          </cell>
          <cell r="N12238" t="str">
            <v>SG&amp;A</v>
          </cell>
          <cell r="O12238" t="str">
            <v>Bridgette Stacom</v>
          </cell>
        </row>
        <row r="12239">
          <cell r="D12239">
            <v>29</v>
          </cell>
          <cell r="H12239">
            <v>45962</v>
          </cell>
          <cell r="I12239" t="str">
            <v>6125 - Transportation and Fuel</v>
          </cell>
          <cell r="J12239" t="str">
            <v>Wholesale</v>
          </cell>
          <cell r="K12239" t="str">
            <v>Wholesale</v>
          </cell>
          <cell r="L12239" t="str">
            <v>T&amp;E</v>
          </cell>
          <cell r="N12239" t="str">
            <v>SG&amp;A</v>
          </cell>
          <cell r="O12239" t="str">
            <v>Bridgette Stacom</v>
          </cell>
        </row>
        <row r="12240">
          <cell r="D12240">
            <v>25.25</v>
          </cell>
          <cell r="H12240">
            <v>45962</v>
          </cell>
          <cell r="I12240" t="str">
            <v>6125 - Transportation and Fuel</v>
          </cell>
          <cell r="J12240" t="str">
            <v>Wholesale</v>
          </cell>
          <cell r="K12240" t="str">
            <v>Wholesale</v>
          </cell>
          <cell r="L12240" t="str">
            <v>T&amp;E</v>
          </cell>
          <cell r="N12240" t="str">
            <v>SG&amp;A</v>
          </cell>
          <cell r="O12240" t="str">
            <v>Bridgette Stacom</v>
          </cell>
        </row>
        <row r="12241">
          <cell r="D12241">
            <v>287</v>
          </cell>
          <cell r="H12241">
            <v>45962</v>
          </cell>
          <cell r="I12241" t="str">
            <v>6125 - Transportation and Fuel</v>
          </cell>
          <cell r="J12241" t="str">
            <v>Wholesale</v>
          </cell>
          <cell r="K12241" t="str">
            <v>Wholesale</v>
          </cell>
          <cell r="L12241" t="str">
            <v>T&amp;E</v>
          </cell>
          <cell r="N12241" t="str">
            <v>SG&amp;A</v>
          </cell>
          <cell r="O12241" t="str">
            <v>Bridgette Stacom</v>
          </cell>
        </row>
        <row r="12242">
          <cell r="D12242">
            <v>10.75</v>
          </cell>
          <cell r="H12242">
            <v>45962</v>
          </cell>
          <cell r="I12242" t="str">
            <v>6125 - Transportation and Fuel</v>
          </cell>
          <cell r="J12242" t="str">
            <v>Wholesale</v>
          </cell>
          <cell r="K12242" t="str">
            <v>Wholesale</v>
          </cell>
          <cell r="L12242" t="str">
            <v>T&amp;E</v>
          </cell>
          <cell r="N12242" t="str">
            <v>SG&amp;A</v>
          </cell>
          <cell r="O12242" t="str">
            <v>Bridgette Stacom</v>
          </cell>
        </row>
        <row r="12243">
          <cell r="D12243">
            <v>14.5</v>
          </cell>
          <cell r="H12243">
            <v>45962</v>
          </cell>
          <cell r="I12243" t="str">
            <v>6125 - Transportation and Fuel</v>
          </cell>
          <cell r="J12243" t="str">
            <v>Wholesale</v>
          </cell>
          <cell r="K12243" t="str">
            <v>Wholesale</v>
          </cell>
          <cell r="L12243" t="str">
            <v>T&amp;E</v>
          </cell>
          <cell r="N12243" t="str">
            <v>SG&amp;A</v>
          </cell>
          <cell r="O12243" t="str">
            <v>Bridgette Stacom</v>
          </cell>
        </row>
        <row r="12244">
          <cell r="D12244">
            <v>29</v>
          </cell>
          <cell r="H12244">
            <v>45962</v>
          </cell>
          <cell r="I12244" t="str">
            <v>6125 - Transportation and Fuel</v>
          </cell>
          <cell r="J12244" t="str">
            <v>Wholesale</v>
          </cell>
          <cell r="K12244" t="str">
            <v>Wholesale</v>
          </cell>
          <cell r="L12244" t="str">
            <v>T&amp;E</v>
          </cell>
          <cell r="N12244" t="str">
            <v>SG&amp;A</v>
          </cell>
          <cell r="O12244" t="str">
            <v>Bridgette Stacom</v>
          </cell>
        </row>
        <row r="12245">
          <cell r="D12245">
            <v>65.88</v>
          </cell>
          <cell r="H12245">
            <v>45962</v>
          </cell>
          <cell r="I12245" t="str">
            <v>6125 - Transportation and Fuel</v>
          </cell>
          <cell r="J12245">
            <v>0</v>
          </cell>
          <cell r="K12245" t="str">
            <v>Administration</v>
          </cell>
          <cell r="L12245" t="str">
            <v>T&amp;E</v>
          </cell>
          <cell r="N12245" t="str">
            <v>SG&amp;A</v>
          </cell>
          <cell r="O12245" t="str">
            <v>Caitlin Pessin</v>
          </cell>
        </row>
        <row r="12246">
          <cell r="D12246">
            <v>34.270000000000003</v>
          </cell>
          <cell r="H12246">
            <v>45962</v>
          </cell>
          <cell r="I12246" t="str">
            <v>6125 - Transportation and Fuel</v>
          </cell>
          <cell r="J12246">
            <v>0</v>
          </cell>
          <cell r="K12246" t="str">
            <v>Administration</v>
          </cell>
          <cell r="L12246" t="str">
            <v>T&amp;E</v>
          </cell>
          <cell r="N12246" t="str">
            <v>SG&amp;A</v>
          </cell>
          <cell r="O12246" t="str">
            <v>Caitlin Pessin</v>
          </cell>
        </row>
        <row r="12247">
          <cell r="D12247">
            <v>57.86</v>
          </cell>
          <cell r="H12247">
            <v>45962</v>
          </cell>
          <cell r="I12247" t="str">
            <v>6125 - Transportation and Fuel</v>
          </cell>
          <cell r="J12247">
            <v>0</v>
          </cell>
          <cell r="K12247" t="str">
            <v>Administration</v>
          </cell>
          <cell r="L12247" t="str">
            <v>T&amp;E</v>
          </cell>
          <cell r="N12247" t="str">
            <v>SG&amp;A</v>
          </cell>
          <cell r="O12247" t="str">
            <v>Caitlin Pessin</v>
          </cell>
        </row>
        <row r="12248">
          <cell r="D12248">
            <v>33.89</v>
          </cell>
          <cell r="H12248">
            <v>45962</v>
          </cell>
          <cell r="I12248" t="str">
            <v>6125 - Transportation and Fuel</v>
          </cell>
          <cell r="J12248">
            <v>0</v>
          </cell>
          <cell r="K12248" t="str">
            <v>Administration</v>
          </cell>
          <cell r="L12248" t="str">
            <v>T&amp;E</v>
          </cell>
          <cell r="N12248" t="str">
            <v>SG&amp;A</v>
          </cell>
          <cell r="O12248" t="str">
            <v>Caitlin Pessin</v>
          </cell>
        </row>
        <row r="12249">
          <cell r="D12249">
            <v>48.74</v>
          </cell>
          <cell r="H12249">
            <v>45962</v>
          </cell>
          <cell r="I12249" t="str">
            <v>6125 - Transportation and Fuel</v>
          </cell>
          <cell r="J12249">
            <v>0</v>
          </cell>
          <cell r="K12249" t="str">
            <v>Administration</v>
          </cell>
          <cell r="L12249" t="str">
            <v>T&amp;E</v>
          </cell>
          <cell r="N12249" t="str">
            <v>SG&amp;A</v>
          </cell>
          <cell r="O12249" t="str">
            <v>Caitlin Pessin</v>
          </cell>
        </row>
        <row r="12250">
          <cell r="D12250">
            <v>46.89</v>
          </cell>
          <cell r="H12250">
            <v>45962</v>
          </cell>
          <cell r="I12250" t="str">
            <v>6125 - Transportation and Fuel</v>
          </cell>
          <cell r="J12250">
            <v>0</v>
          </cell>
          <cell r="K12250" t="str">
            <v>Administration</v>
          </cell>
          <cell r="L12250" t="str">
            <v>T&amp;E</v>
          </cell>
          <cell r="N12250" t="str">
            <v>SG&amp;A</v>
          </cell>
          <cell r="O12250" t="str">
            <v>Caitlin Pessin</v>
          </cell>
        </row>
        <row r="12251">
          <cell r="D12251">
            <v>-4000</v>
          </cell>
          <cell r="H12251">
            <v>45962</v>
          </cell>
          <cell r="I12251" t="str">
            <v>6205 - Contractors</v>
          </cell>
          <cell r="J12251">
            <v>0</v>
          </cell>
          <cell r="K12251" t="str">
            <v>Production</v>
          </cell>
          <cell r="L12251" t="str">
            <v>HQ Salaries</v>
          </cell>
          <cell r="N12251" t="str">
            <v>SG&amp;A</v>
          </cell>
          <cell r="O12251" t="str">
            <v>[No Vendor]</v>
          </cell>
        </row>
        <row r="12252">
          <cell r="D12252">
            <v>-10000</v>
          </cell>
          <cell r="H12252">
            <v>45962</v>
          </cell>
          <cell r="I12252" t="str">
            <v>6205 - Contractors</v>
          </cell>
          <cell r="J12252" t="str">
            <v>Ecommerce (US)</v>
          </cell>
          <cell r="K12252" t="str">
            <v>Ecommerce</v>
          </cell>
          <cell r="L12252" t="str">
            <v>HQ Salaries</v>
          </cell>
          <cell r="N12252" t="str">
            <v>SG&amp;A</v>
          </cell>
          <cell r="O12252" t="str">
            <v>[No Vendor]</v>
          </cell>
        </row>
        <row r="12253">
          <cell r="D12253">
            <v>0</v>
          </cell>
          <cell r="H12253">
            <v>45962</v>
          </cell>
          <cell r="I12253" t="str">
            <v>6205 - Contractors</v>
          </cell>
          <cell r="J12253" t="str">
            <v>Ecommerce (US)</v>
          </cell>
          <cell r="K12253" t="str">
            <v>Ecommerce</v>
          </cell>
          <cell r="L12253" t="str">
            <v>HQ Salaries</v>
          </cell>
          <cell r="N12253" t="str">
            <v>SG&amp;A</v>
          </cell>
          <cell r="O12253" t="str">
            <v>[No Vendor]</v>
          </cell>
        </row>
        <row r="12254">
          <cell r="D12254">
            <v>0</v>
          </cell>
          <cell r="H12254">
            <v>45962</v>
          </cell>
          <cell r="I12254" t="str">
            <v>6205 - Contractors</v>
          </cell>
          <cell r="J12254">
            <v>0</v>
          </cell>
          <cell r="K12254" t="str">
            <v>Design</v>
          </cell>
          <cell r="L12254" t="str">
            <v>HQ Salaries</v>
          </cell>
          <cell r="N12254" t="str">
            <v>SG&amp;A</v>
          </cell>
          <cell r="O12254" t="str">
            <v>[No Vendor]</v>
          </cell>
        </row>
        <row r="12255">
          <cell r="D12255">
            <v>0</v>
          </cell>
          <cell r="H12255">
            <v>45962</v>
          </cell>
          <cell r="I12255" t="str">
            <v>6205 - Contractors</v>
          </cell>
          <cell r="J12255">
            <v>0</v>
          </cell>
          <cell r="K12255" t="str">
            <v>Brand Marketing</v>
          </cell>
          <cell r="L12255" t="str">
            <v>HQ Salaries</v>
          </cell>
          <cell r="N12255" t="str">
            <v>SG&amp;A</v>
          </cell>
          <cell r="O12255" t="str">
            <v>[No Vendor]</v>
          </cell>
        </row>
        <row r="12256">
          <cell r="D12256">
            <v>3881.08</v>
          </cell>
          <cell r="H12256">
            <v>45962</v>
          </cell>
          <cell r="I12256" t="str">
            <v>6205 - Contractors</v>
          </cell>
          <cell r="J12256">
            <v>0</v>
          </cell>
          <cell r="K12256" t="str">
            <v>Production</v>
          </cell>
          <cell r="L12256" t="str">
            <v>HQ Salaries</v>
          </cell>
          <cell r="N12256" t="str">
            <v>SG&amp;A</v>
          </cell>
          <cell r="O12256" t="str">
            <v>Robert Half</v>
          </cell>
        </row>
        <row r="12257">
          <cell r="D12257">
            <v>4002.39</v>
          </cell>
          <cell r="H12257">
            <v>45962</v>
          </cell>
          <cell r="I12257" t="str">
            <v>6205 - Contractors</v>
          </cell>
          <cell r="J12257">
            <v>0</v>
          </cell>
          <cell r="K12257" t="str">
            <v>Production</v>
          </cell>
          <cell r="L12257" t="str">
            <v>HQ Salaries</v>
          </cell>
          <cell r="N12257" t="str">
            <v>SG&amp;A</v>
          </cell>
          <cell r="O12257" t="str">
            <v>Robert Half</v>
          </cell>
        </row>
        <row r="12258">
          <cell r="D12258">
            <v>18333.330000000002</v>
          </cell>
          <cell r="H12258">
            <v>45962</v>
          </cell>
          <cell r="I12258" t="str">
            <v>6205 - Contractors</v>
          </cell>
          <cell r="J12258">
            <v>0</v>
          </cell>
          <cell r="K12258" t="str">
            <v>Brand Marketing</v>
          </cell>
          <cell r="L12258" t="str">
            <v>HQ Salaries</v>
          </cell>
          <cell r="N12258" t="str">
            <v>SG&amp;A</v>
          </cell>
          <cell r="O12258" t="str">
            <v>[No Vendor]</v>
          </cell>
        </row>
        <row r="12259">
          <cell r="D12259">
            <v>10911.6</v>
          </cell>
          <cell r="H12259">
            <v>45962</v>
          </cell>
          <cell r="I12259" t="str">
            <v>6205 - Contractors</v>
          </cell>
          <cell r="J12259" t="str">
            <v>Ecommerce (US)</v>
          </cell>
          <cell r="K12259" t="str">
            <v>Ecommerce</v>
          </cell>
          <cell r="L12259" t="str">
            <v>HQ Salaries</v>
          </cell>
          <cell r="N12259" t="str">
            <v>SG&amp;A</v>
          </cell>
          <cell r="O12259" t="str">
            <v>[No Vendor]</v>
          </cell>
        </row>
        <row r="12260">
          <cell r="D12260">
            <v>0</v>
          </cell>
          <cell r="H12260">
            <v>45962</v>
          </cell>
          <cell r="I12260" t="str">
            <v>6205 - Contractors</v>
          </cell>
          <cell r="J12260">
            <v>0</v>
          </cell>
          <cell r="K12260" t="str">
            <v>Design</v>
          </cell>
          <cell r="L12260" t="str">
            <v>HQ Salaries</v>
          </cell>
          <cell r="N12260" t="str">
            <v>SG&amp;A</v>
          </cell>
          <cell r="O12260" t="str">
            <v>[No Vendor]</v>
          </cell>
        </row>
        <row r="12261">
          <cell r="D12261">
            <v>3367.03</v>
          </cell>
          <cell r="H12261">
            <v>45962</v>
          </cell>
          <cell r="I12261" t="str">
            <v>6205 - Contractors</v>
          </cell>
          <cell r="J12261">
            <v>0</v>
          </cell>
          <cell r="K12261" t="str">
            <v>Production</v>
          </cell>
          <cell r="L12261" t="str">
            <v>HQ Salaries</v>
          </cell>
          <cell r="N12261" t="str">
            <v>SG&amp;A</v>
          </cell>
          <cell r="O12261" t="str">
            <v>Robert Half</v>
          </cell>
        </row>
        <row r="12262">
          <cell r="D12262">
            <v>4022.96</v>
          </cell>
          <cell r="H12262">
            <v>45962</v>
          </cell>
          <cell r="I12262" t="str">
            <v>6205 - Contractors</v>
          </cell>
          <cell r="J12262">
            <v>0</v>
          </cell>
          <cell r="K12262" t="str">
            <v>Production</v>
          </cell>
          <cell r="L12262" t="str">
            <v>HQ Salaries</v>
          </cell>
          <cell r="N12262" t="str">
            <v>SG&amp;A</v>
          </cell>
          <cell r="O12262" t="str">
            <v>Robert Half</v>
          </cell>
        </row>
        <row r="12263">
          <cell r="D12263">
            <v>0</v>
          </cell>
          <cell r="H12263">
            <v>45962</v>
          </cell>
          <cell r="I12263" t="str">
            <v>6205 - Contractors</v>
          </cell>
          <cell r="J12263">
            <v>0</v>
          </cell>
          <cell r="K12263" t="str">
            <v>Brand Marketing</v>
          </cell>
          <cell r="L12263" t="str">
            <v>HQ Salaries</v>
          </cell>
          <cell r="N12263" t="str">
            <v>SG&amp;A</v>
          </cell>
          <cell r="O12263" t="str">
            <v>[No Vendor]</v>
          </cell>
        </row>
        <row r="12264">
          <cell r="D12264">
            <v>7375</v>
          </cell>
          <cell r="H12264">
            <v>45962</v>
          </cell>
          <cell r="I12264" t="str">
            <v>6205 - Contractors</v>
          </cell>
          <cell r="J12264" t="str">
            <v>Ecommerce (US)</v>
          </cell>
          <cell r="K12264" t="str">
            <v>Ecommerce</v>
          </cell>
          <cell r="L12264" t="str">
            <v>HQ Salaries</v>
          </cell>
          <cell r="N12264" t="str">
            <v>SG&amp;A</v>
          </cell>
          <cell r="O12264" t="str">
            <v>[No Vendor]</v>
          </cell>
        </row>
        <row r="12265">
          <cell r="D12265">
            <v>0</v>
          </cell>
          <cell r="H12265">
            <v>45962</v>
          </cell>
          <cell r="I12265" t="str">
            <v>6205 - Contractors</v>
          </cell>
          <cell r="J12265">
            <v>0</v>
          </cell>
          <cell r="K12265" t="str">
            <v>Design</v>
          </cell>
          <cell r="L12265" t="str">
            <v>HQ Salaries</v>
          </cell>
          <cell r="N12265" t="str">
            <v>SG&amp;A</v>
          </cell>
          <cell r="O12265" t="str">
            <v>[No Vendor]</v>
          </cell>
        </row>
        <row r="12266">
          <cell r="D12266">
            <v>1500</v>
          </cell>
          <cell r="H12266">
            <v>45962</v>
          </cell>
          <cell r="I12266" t="str">
            <v>6205 - Contractors</v>
          </cell>
          <cell r="J12266">
            <v>0</v>
          </cell>
          <cell r="K12266" t="str">
            <v>Production</v>
          </cell>
          <cell r="L12266" t="str">
            <v>HQ Salaries</v>
          </cell>
          <cell r="N12266" t="str">
            <v>SG&amp;A</v>
          </cell>
          <cell r="O12266" t="str">
            <v>Philip Yau</v>
          </cell>
        </row>
        <row r="12267">
          <cell r="D12267">
            <v>4000</v>
          </cell>
          <cell r="H12267">
            <v>45962</v>
          </cell>
          <cell r="I12267" t="str">
            <v>6205 - Contractors</v>
          </cell>
          <cell r="J12267">
            <v>0</v>
          </cell>
          <cell r="K12267" t="str">
            <v>Production</v>
          </cell>
          <cell r="L12267" t="str">
            <v>HQ Salaries</v>
          </cell>
          <cell r="N12267" t="str">
            <v>SG&amp;A</v>
          </cell>
          <cell r="O12267" t="str">
            <v>[No Vendor]</v>
          </cell>
        </row>
        <row r="12268">
          <cell r="D12268">
            <v>0</v>
          </cell>
          <cell r="H12268">
            <v>45962</v>
          </cell>
          <cell r="I12268" t="str">
            <v>6205 - Contractors</v>
          </cell>
          <cell r="J12268">
            <v>0</v>
          </cell>
          <cell r="K12268" t="str">
            <v>Design</v>
          </cell>
          <cell r="L12268" t="str">
            <v>HQ Salaries</v>
          </cell>
          <cell r="N12268" t="str">
            <v>SG&amp;A</v>
          </cell>
          <cell r="O12268" t="str">
            <v>[No Vendor]</v>
          </cell>
        </row>
        <row r="12269">
          <cell r="D12269">
            <v>0</v>
          </cell>
          <cell r="H12269">
            <v>45962</v>
          </cell>
          <cell r="I12269" t="str">
            <v>6205 - Contractors</v>
          </cell>
          <cell r="J12269" t="str">
            <v>Ecommerce (US)</v>
          </cell>
          <cell r="K12269" t="str">
            <v>Ecommerce</v>
          </cell>
          <cell r="L12269" t="str">
            <v>HQ Salaries</v>
          </cell>
          <cell r="N12269" t="str">
            <v>SG&amp;A</v>
          </cell>
          <cell r="O12269" t="str">
            <v>[No Vendor]</v>
          </cell>
        </row>
        <row r="12270">
          <cell r="D12270">
            <v>0</v>
          </cell>
          <cell r="H12270">
            <v>45962</v>
          </cell>
          <cell r="I12270" t="str">
            <v>6205 - Contractors</v>
          </cell>
          <cell r="J12270">
            <v>0</v>
          </cell>
          <cell r="K12270" t="str">
            <v>Brand Marketing</v>
          </cell>
          <cell r="L12270" t="str">
            <v>HQ Salaries</v>
          </cell>
          <cell r="N12270" t="str">
            <v>SG&amp;A</v>
          </cell>
          <cell r="O12270" t="str">
            <v>[No Vendor]</v>
          </cell>
        </row>
        <row r="12271">
          <cell r="D12271">
            <v>10940.4</v>
          </cell>
          <cell r="H12271">
            <v>45962</v>
          </cell>
          <cell r="I12271" t="str">
            <v>6205 - Contractors</v>
          </cell>
          <cell r="J12271" t="str">
            <v>Ecommerce (US)</v>
          </cell>
          <cell r="K12271" t="str">
            <v>Ecommerce</v>
          </cell>
          <cell r="L12271" t="str">
            <v>HQ Salaries</v>
          </cell>
          <cell r="N12271" t="str">
            <v>SG&amp;A</v>
          </cell>
          <cell r="O12271" t="str">
            <v>[No Vendor]</v>
          </cell>
        </row>
        <row r="12272">
          <cell r="D12272">
            <v>348.68</v>
          </cell>
          <cell r="H12272">
            <v>45962</v>
          </cell>
          <cell r="I12272" t="str">
            <v>6210 - Monitoring</v>
          </cell>
          <cell r="J12272" t="str">
            <v>Ecommerce (EU)</v>
          </cell>
          <cell r="K12272" t="str">
            <v>Ecommerce</v>
          </cell>
          <cell r="L12272" t="str">
            <v>Professional Service</v>
          </cell>
          <cell r="N12272" t="str">
            <v>Direct Costs</v>
          </cell>
          <cell r="O12272" t="str">
            <v>Convey SRL</v>
          </cell>
        </row>
        <row r="12273">
          <cell r="D12273">
            <v>4116.76</v>
          </cell>
          <cell r="H12273">
            <v>45962</v>
          </cell>
          <cell r="I12273" t="str">
            <v>6210 - Monitoring</v>
          </cell>
          <cell r="J12273" t="str">
            <v>Ecommerce (EU)</v>
          </cell>
          <cell r="K12273" t="str">
            <v>Ecommerce</v>
          </cell>
          <cell r="L12273" t="str">
            <v>Professional Service</v>
          </cell>
          <cell r="N12273" t="str">
            <v>Direct Costs</v>
          </cell>
          <cell r="O12273" t="str">
            <v>Convey SRL</v>
          </cell>
        </row>
        <row r="12274">
          <cell r="D12274">
            <v>365.35</v>
          </cell>
          <cell r="H12274">
            <v>45962</v>
          </cell>
          <cell r="I12274" t="str">
            <v>6210 - Monitoring</v>
          </cell>
          <cell r="J12274" t="str">
            <v>Ecommerce (EU)</v>
          </cell>
          <cell r="K12274" t="str">
            <v>Ecommerce</v>
          </cell>
          <cell r="L12274" t="str">
            <v>Professional Service</v>
          </cell>
          <cell r="N12274" t="str">
            <v>Direct Costs</v>
          </cell>
          <cell r="O12274" t="str">
            <v>Convey SRL</v>
          </cell>
        </row>
        <row r="12275">
          <cell r="D12275">
            <v>124.1</v>
          </cell>
          <cell r="H12275">
            <v>45962</v>
          </cell>
          <cell r="I12275" t="str">
            <v>6210 - Monitoring</v>
          </cell>
          <cell r="J12275" t="str">
            <v>Ecommerce (EU)</v>
          </cell>
          <cell r="K12275" t="str">
            <v>Ecommerce</v>
          </cell>
          <cell r="L12275" t="str">
            <v>Professional Service</v>
          </cell>
          <cell r="N12275" t="str">
            <v>Direct Costs</v>
          </cell>
          <cell r="O12275" t="str">
            <v>Convey SRL</v>
          </cell>
        </row>
        <row r="12276">
          <cell r="D12276">
            <v>171.66</v>
          </cell>
          <cell r="H12276">
            <v>45962</v>
          </cell>
          <cell r="I12276" t="str">
            <v>6210 - Monitoring</v>
          </cell>
          <cell r="J12276" t="str">
            <v>Ecommerce (EU)</v>
          </cell>
          <cell r="K12276" t="str">
            <v>Ecommerce</v>
          </cell>
          <cell r="L12276" t="str">
            <v>Professional Service</v>
          </cell>
          <cell r="N12276" t="str">
            <v>Direct Costs</v>
          </cell>
          <cell r="O12276" t="str">
            <v>Convey SRL</v>
          </cell>
        </row>
        <row r="12277">
          <cell r="D12277">
            <v>109.03</v>
          </cell>
          <cell r="H12277">
            <v>45962</v>
          </cell>
          <cell r="I12277" t="str">
            <v>6210 - Monitoring</v>
          </cell>
          <cell r="J12277" t="str">
            <v>Ecommerce (EU)</v>
          </cell>
          <cell r="K12277" t="str">
            <v>Ecommerce</v>
          </cell>
          <cell r="L12277" t="str">
            <v>Professional Service</v>
          </cell>
          <cell r="N12277" t="str">
            <v>Direct Costs</v>
          </cell>
          <cell r="O12277" t="str">
            <v>Convey SRL</v>
          </cell>
        </row>
        <row r="12278">
          <cell r="D12278">
            <v>369.99</v>
          </cell>
          <cell r="H12278">
            <v>45962</v>
          </cell>
          <cell r="I12278" t="str">
            <v>6210 - Monitoring</v>
          </cell>
          <cell r="J12278" t="str">
            <v>Ecommerce (EU)</v>
          </cell>
          <cell r="K12278" t="str">
            <v>Ecommerce</v>
          </cell>
          <cell r="L12278" t="str">
            <v>Professional Service</v>
          </cell>
          <cell r="N12278" t="str">
            <v>Direct Costs</v>
          </cell>
          <cell r="O12278" t="str">
            <v>Convey SRL</v>
          </cell>
        </row>
        <row r="12279">
          <cell r="D12279">
            <v>18.899999999999999</v>
          </cell>
          <cell r="H12279">
            <v>45962</v>
          </cell>
          <cell r="I12279" t="str">
            <v>6225 - Professional Services</v>
          </cell>
          <cell r="J12279">
            <v>0</v>
          </cell>
          <cell r="K12279" t="str">
            <v>Administration</v>
          </cell>
          <cell r="L12279" t="str">
            <v>Professional Service</v>
          </cell>
          <cell r="N12279" t="str">
            <v>Direct Costs</v>
          </cell>
          <cell r="O12279" t="str">
            <v>Enom Solutions, Inc-DBA 3nom</v>
          </cell>
        </row>
        <row r="12280">
          <cell r="D12280">
            <v>640</v>
          </cell>
          <cell r="H12280">
            <v>45962</v>
          </cell>
          <cell r="I12280" t="str">
            <v>6225 - Professional Services</v>
          </cell>
          <cell r="J12280">
            <v>0</v>
          </cell>
          <cell r="K12280" t="str">
            <v>Administration</v>
          </cell>
          <cell r="L12280" t="str">
            <v>Professional Service</v>
          </cell>
          <cell r="N12280" t="str">
            <v>Direct Costs</v>
          </cell>
          <cell r="O12280" t="str">
            <v>Enom Solutions, Inc-DBA 3nom</v>
          </cell>
        </row>
        <row r="12281">
          <cell r="D12281">
            <v>9</v>
          </cell>
          <cell r="H12281">
            <v>45962</v>
          </cell>
          <cell r="I12281" t="str">
            <v>6225 - Professional Services</v>
          </cell>
          <cell r="J12281">
            <v>0</v>
          </cell>
          <cell r="K12281" t="str">
            <v>Administration</v>
          </cell>
          <cell r="L12281" t="str">
            <v>Professional Service</v>
          </cell>
          <cell r="N12281" t="str">
            <v>Direct Costs</v>
          </cell>
          <cell r="O12281" t="str">
            <v>Enom Solutions, Inc-DBA 3nom</v>
          </cell>
        </row>
        <row r="12282">
          <cell r="D12282">
            <v>125</v>
          </cell>
          <cell r="H12282">
            <v>45962</v>
          </cell>
          <cell r="I12282" t="str">
            <v>6225 - Professional Services</v>
          </cell>
          <cell r="J12282">
            <v>0</v>
          </cell>
          <cell r="K12282" t="str">
            <v>Administration</v>
          </cell>
          <cell r="L12282" t="str">
            <v>Professional Service</v>
          </cell>
          <cell r="N12282" t="str">
            <v>Direct Costs</v>
          </cell>
          <cell r="O12282" t="str">
            <v>Enom Solutions, Inc-DBA 3nom</v>
          </cell>
        </row>
        <row r="12283">
          <cell r="D12283">
            <v>2500</v>
          </cell>
          <cell r="H12283">
            <v>45962</v>
          </cell>
          <cell r="I12283" t="str">
            <v>6225 - Professional Services</v>
          </cell>
          <cell r="J12283">
            <v>0</v>
          </cell>
          <cell r="K12283" t="str">
            <v>Administration</v>
          </cell>
          <cell r="L12283" t="str">
            <v>Professional Service</v>
          </cell>
          <cell r="N12283" t="str">
            <v>Direct Costs</v>
          </cell>
          <cell r="O12283" t="str">
            <v>Enom Solutions, Inc-DBA 3nom</v>
          </cell>
        </row>
        <row r="12284">
          <cell r="D12284">
            <v>45.47</v>
          </cell>
          <cell r="H12284">
            <v>45962</v>
          </cell>
          <cell r="I12284" t="str">
            <v>6225 - Professional Services</v>
          </cell>
          <cell r="J12284">
            <v>0</v>
          </cell>
          <cell r="K12284" t="str">
            <v>Brand Marketing</v>
          </cell>
          <cell r="L12284" t="str">
            <v>Professional Service</v>
          </cell>
          <cell r="N12284" t="str">
            <v>Direct Costs</v>
          </cell>
          <cell r="O12284" t="str">
            <v>The Lede Company, LLC</v>
          </cell>
        </row>
        <row r="12285">
          <cell r="D12285">
            <v>2.06</v>
          </cell>
          <cell r="H12285">
            <v>45962</v>
          </cell>
          <cell r="I12285" t="str">
            <v>6225 - Professional Services</v>
          </cell>
          <cell r="J12285">
            <v>0</v>
          </cell>
          <cell r="K12285" t="str">
            <v>Brand Marketing</v>
          </cell>
          <cell r="L12285" t="str">
            <v>Professional Service</v>
          </cell>
          <cell r="N12285" t="str">
            <v>Direct Costs</v>
          </cell>
          <cell r="O12285" t="str">
            <v>The Lede Company, LLC</v>
          </cell>
        </row>
        <row r="12286">
          <cell r="D12286">
            <v>23.55</v>
          </cell>
          <cell r="H12286">
            <v>45962</v>
          </cell>
          <cell r="I12286" t="str">
            <v>6225 - Professional Services</v>
          </cell>
          <cell r="J12286">
            <v>0</v>
          </cell>
          <cell r="K12286" t="str">
            <v>Brand Marketing</v>
          </cell>
          <cell r="L12286" t="str">
            <v>Professional Service</v>
          </cell>
          <cell r="N12286" t="str">
            <v>Direct Costs</v>
          </cell>
          <cell r="O12286" t="str">
            <v>The Lede Company, LLC</v>
          </cell>
        </row>
        <row r="12287">
          <cell r="D12287">
            <v>24.65</v>
          </cell>
          <cell r="H12287">
            <v>45962</v>
          </cell>
          <cell r="I12287" t="str">
            <v>6225 - Professional Services</v>
          </cell>
          <cell r="J12287">
            <v>0</v>
          </cell>
          <cell r="K12287" t="str">
            <v>Brand Marketing</v>
          </cell>
          <cell r="L12287" t="str">
            <v>Professional Service</v>
          </cell>
          <cell r="N12287" t="str">
            <v>Direct Costs</v>
          </cell>
          <cell r="O12287" t="str">
            <v>The Lede Company, LLC</v>
          </cell>
        </row>
        <row r="12288">
          <cell r="D12288">
            <v>24.65</v>
          </cell>
          <cell r="H12288">
            <v>45962</v>
          </cell>
          <cell r="I12288" t="str">
            <v>6225 - Professional Services</v>
          </cell>
          <cell r="J12288">
            <v>0</v>
          </cell>
          <cell r="K12288" t="str">
            <v>Brand Marketing</v>
          </cell>
          <cell r="L12288" t="str">
            <v>Professional Service</v>
          </cell>
          <cell r="N12288" t="str">
            <v>Direct Costs</v>
          </cell>
          <cell r="O12288" t="str">
            <v>The Lede Company, LLC</v>
          </cell>
        </row>
        <row r="12289">
          <cell r="D12289">
            <v>19.100000000000001</v>
          </cell>
          <cell r="H12289">
            <v>45962</v>
          </cell>
          <cell r="I12289" t="str">
            <v>6225 - Professional Services</v>
          </cell>
          <cell r="J12289">
            <v>0</v>
          </cell>
          <cell r="K12289" t="str">
            <v>Brand Marketing</v>
          </cell>
          <cell r="L12289" t="str">
            <v>Professional Service</v>
          </cell>
          <cell r="N12289" t="str">
            <v>Direct Costs</v>
          </cell>
          <cell r="O12289" t="str">
            <v>The Lede Company, LLC</v>
          </cell>
        </row>
        <row r="12290">
          <cell r="D12290">
            <v>1.68</v>
          </cell>
          <cell r="H12290">
            <v>45962</v>
          </cell>
          <cell r="I12290" t="str">
            <v>6225 - Professional Services</v>
          </cell>
          <cell r="J12290">
            <v>0</v>
          </cell>
          <cell r="K12290" t="str">
            <v>Brand Marketing</v>
          </cell>
          <cell r="L12290" t="str">
            <v>Professional Service</v>
          </cell>
          <cell r="N12290" t="str">
            <v>Direct Costs</v>
          </cell>
          <cell r="O12290" t="str">
            <v>The Lede Company, LLC</v>
          </cell>
        </row>
        <row r="12291">
          <cell r="D12291">
            <v>24.65</v>
          </cell>
          <cell r="H12291">
            <v>45962</v>
          </cell>
          <cell r="I12291" t="str">
            <v>6225 - Professional Services</v>
          </cell>
          <cell r="J12291">
            <v>0</v>
          </cell>
          <cell r="K12291" t="str">
            <v>Brand Marketing</v>
          </cell>
          <cell r="L12291" t="str">
            <v>Professional Service</v>
          </cell>
          <cell r="N12291" t="str">
            <v>Direct Costs</v>
          </cell>
          <cell r="O12291" t="str">
            <v>The Lede Company, LLC</v>
          </cell>
        </row>
        <row r="12292">
          <cell r="D12292">
            <v>1.68</v>
          </cell>
          <cell r="H12292">
            <v>45962</v>
          </cell>
          <cell r="I12292" t="str">
            <v>6225 - Professional Services</v>
          </cell>
          <cell r="J12292">
            <v>0</v>
          </cell>
          <cell r="K12292" t="str">
            <v>Brand Marketing</v>
          </cell>
          <cell r="L12292" t="str">
            <v>Professional Service</v>
          </cell>
          <cell r="N12292" t="str">
            <v>Direct Costs</v>
          </cell>
          <cell r="O12292" t="str">
            <v>The Lede Company, LLC</v>
          </cell>
        </row>
        <row r="12293">
          <cell r="D12293">
            <v>19.100000000000001</v>
          </cell>
          <cell r="H12293">
            <v>45962</v>
          </cell>
          <cell r="I12293" t="str">
            <v>6225 - Professional Services</v>
          </cell>
          <cell r="J12293">
            <v>0</v>
          </cell>
          <cell r="K12293" t="str">
            <v>Brand Marketing</v>
          </cell>
          <cell r="L12293" t="str">
            <v>Professional Service</v>
          </cell>
          <cell r="N12293" t="str">
            <v>Direct Costs</v>
          </cell>
          <cell r="O12293" t="str">
            <v>The Lede Company, LLC</v>
          </cell>
        </row>
        <row r="12294">
          <cell r="D12294">
            <v>24.65</v>
          </cell>
          <cell r="H12294">
            <v>45962</v>
          </cell>
          <cell r="I12294" t="str">
            <v>6225 - Professional Services</v>
          </cell>
          <cell r="J12294">
            <v>0</v>
          </cell>
          <cell r="K12294" t="str">
            <v>Brand Marketing</v>
          </cell>
          <cell r="L12294" t="str">
            <v>Professional Service</v>
          </cell>
          <cell r="N12294" t="str">
            <v>Direct Costs</v>
          </cell>
          <cell r="O12294" t="str">
            <v>The Lede Company, LLC</v>
          </cell>
        </row>
        <row r="12295">
          <cell r="D12295">
            <v>2.48</v>
          </cell>
          <cell r="H12295">
            <v>45962</v>
          </cell>
          <cell r="I12295" t="str">
            <v>6225 - Professional Services</v>
          </cell>
          <cell r="J12295">
            <v>0</v>
          </cell>
          <cell r="K12295" t="str">
            <v>Brand Marketing</v>
          </cell>
          <cell r="L12295" t="str">
            <v>Professional Service</v>
          </cell>
          <cell r="N12295" t="str">
            <v>Direct Costs</v>
          </cell>
          <cell r="O12295" t="str">
            <v>The Lede Company, LLC</v>
          </cell>
        </row>
        <row r="12296">
          <cell r="D12296">
            <v>19.100000000000001</v>
          </cell>
          <cell r="H12296">
            <v>45962</v>
          </cell>
          <cell r="I12296" t="str">
            <v>6225 - Professional Services</v>
          </cell>
          <cell r="J12296">
            <v>0</v>
          </cell>
          <cell r="K12296" t="str">
            <v>Brand Marketing</v>
          </cell>
          <cell r="L12296" t="str">
            <v>Professional Service</v>
          </cell>
          <cell r="N12296" t="str">
            <v>Direct Costs</v>
          </cell>
          <cell r="O12296" t="str">
            <v>The Lede Company, LLC</v>
          </cell>
        </row>
        <row r="12297">
          <cell r="D12297">
            <v>38.65</v>
          </cell>
          <cell r="H12297">
            <v>45962</v>
          </cell>
          <cell r="I12297" t="str">
            <v>6225 - Professional Services</v>
          </cell>
          <cell r="J12297">
            <v>0</v>
          </cell>
          <cell r="K12297" t="str">
            <v>Brand Marketing</v>
          </cell>
          <cell r="L12297" t="str">
            <v>Professional Service</v>
          </cell>
          <cell r="N12297" t="str">
            <v>Direct Costs</v>
          </cell>
          <cell r="O12297" t="str">
            <v>The Lede Company, LLC</v>
          </cell>
        </row>
        <row r="12298">
          <cell r="D12298">
            <v>32.200000000000003</v>
          </cell>
          <cell r="H12298">
            <v>45962</v>
          </cell>
          <cell r="I12298" t="str">
            <v>6225 - Professional Services</v>
          </cell>
          <cell r="J12298">
            <v>0</v>
          </cell>
          <cell r="K12298" t="str">
            <v>Brand Marketing</v>
          </cell>
          <cell r="L12298" t="str">
            <v>Professional Service</v>
          </cell>
          <cell r="N12298" t="str">
            <v>Direct Costs</v>
          </cell>
          <cell r="O12298" t="str">
            <v>The Lede Company, LLC</v>
          </cell>
        </row>
        <row r="12299">
          <cell r="D12299">
            <v>300</v>
          </cell>
          <cell r="H12299">
            <v>45962</v>
          </cell>
          <cell r="I12299" t="str">
            <v>6225 - Professional Services</v>
          </cell>
          <cell r="J12299">
            <v>0</v>
          </cell>
          <cell r="K12299" t="str">
            <v>Brand Marketing</v>
          </cell>
          <cell r="L12299" t="str">
            <v>Professional Service</v>
          </cell>
          <cell r="N12299" t="str">
            <v>Direct Costs</v>
          </cell>
          <cell r="O12299" t="str">
            <v>The Lede Company, LLC</v>
          </cell>
        </row>
        <row r="12300">
          <cell r="D12300">
            <v>300</v>
          </cell>
          <cell r="H12300">
            <v>45962</v>
          </cell>
          <cell r="I12300" t="str">
            <v>6225 - Professional Services</v>
          </cell>
          <cell r="J12300">
            <v>0</v>
          </cell>
          <cell r="K12300" t="str">
            <v>Brand Marketing</v>
          </cell>
          <cell r="L12300" t="str">
            <v>Professional Service</v>
          </cell>
          <cell r="N12300" t="str">
            <v>Direct Costs</v>
          </cell>
          <cell r="O12300" t="str">
            <v>The Lede Company, LLC</v>
          </cell>
        </row>
        <row r="12301">
          <cell r="D12301">
            <v>500</v>
          </cell>
          <cell r="H12301">
            <v>45962</v>
          </cell>
          <cell r="I12301" t="str">
            <v>6225 - Professional Services</v>
          </cell>
          <cell r="J12301">
            <v>0</v>
          </cell>
          <cell r="K12301" t="str">
            <v>Brand Marketing</v>
          </cell>
          <cell r="L12301" t="str">
            <v>Professional Service</v>
          </cell>
          <cell r="N12301" t="str">
            <v>Direct Costs</v>
          </cell>
          <cell r="O12301" t="str">
            <v>The Lede Company, LLC</v>
          </cell>
        </row>
        <row r="12302">
          <cell r="D12302">
            <v>10000</v>
          </cell>
          <cell r="H12302">
            <v>45962</v>
          </cell>
          <cell r="I12302" t="str">
            <v>6225 - Professional Services</v>
          </cell>
          <cell r="J12302">
            <v>0</v>
          </cell>
          <cell r="K12302" t="str">
            <v>Brand Marketing</v>
          </cell>
          <cell r="L12302" t="str">
            <v>Professional Service</v>
          </cell>
          <cell r="N12302" t="str">
            <v>Direct Costs</v>
          </cell>
          <cell r="O12302" t="str">
            <v>The Lede Company, LLC</v>
          </cell>
        </row>
        <row r="12303">
          <cell r="D12303">
            <v>4500</v>
          </cell>
          <cell r="H12303">
            <v>45962</v>
          </cell>
          <cell r="I12303" t="str">
            <v>6225 - Professional Services</v>
          </cell>
          <cell r="J12303" t="str">
            <v>Ecommerce (US)</v>
          </cell>
          <cell r="K12303" t="str">
            <v>Ecommerce</v>
          </cell>
          <cell r="L12303" t="str">
            <v>Professional Service</v>
          </cell>
          <cell r="N12303" t="str">
            <v>Direct Costs</v>
          </cell>
          <cell r="O12303" t="str">
            <v>Freeflow LLC</v>
          </cell>
        </row>
        <row r="12304">
          <cell r="D12304">
            <v>2650</v>
          </cell>
          <cell r="H12304">
            <v>45962</v>
          </cell>
          <cell r="I12304" t="str">
            <v>6225 - Professional Services</v>
          </cell>
          <cell r="J12304">
            <v>0</v>
          </cell>
          <cell r="K12304" t="str">
            <v>Brand Marketing</v>
          </cell>
          <cell r="L12304" t="str">
            <v>Professional Service</v>
          </cell>
          <cell r="N12304" t="str">
            <v>Direct Costs</v>
          </cell>
          <cell r="O12304" t="str">
            <v>Melody  Huang</v>
          </cell>
        </row>
        <row r="12305">
          <cell r="D12305">
            <v>11500</v>
          </cell>
          <cell r="H12305">
            <v>45962</v>
          </cell>
          <cell r="I12305" t="str">
            <v>6225 - Professional Services</v>
          </cell>
          <cell r="J12305">
            <v>0</v>
          </cell>
          <cell r="K12305" t="str">
            <v>Brand Marketing</v>
          </cell>
          <cell r="L12305" t="str">
            <v>Professional Service</v>
          </cell>
          <cell r="N12305" t="str">
            <v>Direct Costs</v>
          </cell>
          <cell r="O12305" t="str">
            <v>Melody  Huang</v>
          </cell>
        </row>
        <row r="12306">
          <cell r="D12306">
            <v>134.25</v>
          </cell>
          <cell r="H12306">
            <v>45962</v>
          </cell>
          <cell r="I12306" t="str">
            <v>6225 - Professional Services</v>
          </cell>
          <cell r="J12306">
            <v>0</v>
          </cell>
          <cell r="K12306" t="str">
            <v>Administration</v>
          </cell>
          <cell r="L12306" t="str">
            <v>Professional Service</v>
          </cell>
          <cell r="N12306" t="str">
            <v>Direct Costs</v>
          </cell>
          <cell r="O12306" t="str">
            <v>Benefit Resource, LLC</v>
          </cell>
        </row>
        <row r="12307">
          <cell r="D12307">
            <v>13.75</v>
          </cell>
          <cell r="H12307">
            <v>45962</v>
          </cell>
          <cell r="I12307" t="str">
            <v>6225 - Professional Services</v>
          </cell>
          <cell r="J12307">
            <v>0</v>
          </cell>
          <cell r="K12307" t="str">
            <v>Administration</v>
          </cell>
          <cell r="L12307" t="str">
            <v>Professional Service</v>
          </cell>
          <cell r="N12307" t="str">
            <v>Direct Costs</v>
          </cell>
          <cell r="O12307" t="str">
            <v>Benefit Resource, LLC</v>
          </cell>
        </row>
        <row r="12308">
          <cell r="D12308">
            <v>27</v>
          </cell>
          <cell r="H12308">
            <v>45962</v>
          </cell>
          <cell r="I12308" t="str">
            <v>6225 - Professional Services</v>
          </cell>
          <cell r="J12308">
            <v>0</v>
          </cell>
          <cell r="K12308" t="str">
            <v>Administration</v>
          </cell>
          <cell r="L12308" t="str">
            <v>Professional Service</v>
          </cell>
          <cell r="N12308" t="str">
            <v>Direct Costs</v>
          </cell>
          <cell r="O12308" t="str">
            <v>Benefit Resource, LLC</v>
          </cell>
        </row>
        <row r="12309">
          <cell r="D12309">
            <v>50000</v>
          </cell>
          <cell r="H12309">
            <v>45962</v>
          </cell>
          <cell r="I12309" t="str">
            <v>6225 - Professional Services</v>
          </cell>
          <cell r="J12309" t="str">
            <v>Ecommerce (US)</v>
          </cell>
          <cell r="K12309" t="str">
            <v>Ecommerce</v>
          </cell>
          <cell r="L12309" t="str">
            <v>Professional Service</v>
          </cell>
          <cell r="N12309" t="str">
            <v>Direct Costs</v>
          </cell>
          <cell r="O12309" t="str">
            <v>Rareview, LLC</v>
          </cell>
        </row>
        <row r="12310">
          <cell r="D12310">
            <v>833.33</v>
          </cell>
          <cell r="H12310">
            <v>45962</v>
          </cell>
          <cell r="I12310" t="str">
            <v>6225 - Professional Services</v>
          </cell>
          <cell r="J12310">
            <v>0</v>
          </cell>
          <cell r="K12310" t="str">
            <v>Administration</v>
          </cell>
          <cell r="L12310" t="str">
            <v>Professional Service</v>
          </cell>
          <cell r="N12310" t="str">
            <v>Direct Costs</v>
          </cell>
          <cell r="O12310" t="str">
            <v>Procyon Benefits LLC</v>
          </cell>
        </row>
        <row r="12311">
          <cell r="D12311">
            <v>4218</v>
          </cell>
          <cell r="H12311">
            <v>45962</v>
          </cell>
          <cell r="I12311" t="str">
            <v>6240 - Product Photography</v>
          </cell>
          <cell r="J12311">
            <v>0</v>
          </cell>
          <cell r="K12311" t="str">
            <v>Brand Marketing</v>
          </cell>
          <cell r="L12311" t="str">
            <v>Advertising</v>
          </cell>
          <cell r="N12311" t="str">
            <v>SG&amp;A</v>
          </cell>
          <cell r="O12311" t="str">
            <v>Squareshot</v>
          </cell>
        </row>
        <row r="12312">
          <cell r="D12312">
            <v>28833.33</v>
          </cell>
          <cell r="H12312">
            <v>45962</v>
          </cell>
          <cell r="I12312" t="str">
            <v>6240 - Product Photography</v>
          </cell>
          <cell r="J12312">
            <v>0</v>
          </cell>
          <cell r="K12312" t="str">
            <v>Brand Marketing</v>
          </cell>
          <cell r="L12312" t="str">
            <v>Advertising</v>
          </cell>
          <cell r="N12312" t="str">
            <v>SG&amp;A</v>
          </cell>
          <cell r="O12312" t="str">
            <v>GOSFilms LLC</v>
          </cell>
        </row>
        <row r="12313">
          <cell r="D12313">
            <v>5000</v>
          </cell>
          <cell r="H12313">
            <v>45962</v>
          </cell>
          <cell r="I12313" t="str">
            <v>6284 - Advertising</v>
          </cell>
          <cell r="J12313">
            <v>0</v>
          </cell>
          <cell r="K12313" t="str">
            <v>Brand Marketing</v>
          </cell>
          <cell r="L12313" t="str">
            <v>Advertising</v>
          </cell>
          <cell r="N12313" t="str">
            <v>SG&amp;A</v>
          </cell>
          <cell r="O12313" t="str">
            <v>Racquet Media Corporation</v>
          </cell>
        </row>
        <row r="12314">
          <cell r="D12314">
            <v>-3333.33</v>
          </cell>
          <cell r="H12314">
            <v>45962</v>
          </cell>
          <cell r="I12314" t="str">
            <v>6284 - Advertising</v>
          </cell>
          <cell r="J12314">
            <v>0</v>
          </cell>
          <cell r="K12314" t="str">
            <v>Brand Marketing</v>
          </cell>
          <cell r="L12314" t="str">
            <v>Advertising</v>
          </cell>
          <cell r="N12314" t="str">
            <v>SG&amp;A</v>
          </cell>
          <cell r="O12314" t="str">
            <v>Racquet Media Corporation</v>
          </cell>
        </row>
        <row r="12315">
          <cell r="D12315">
            <v>1200</v>
          </cell>
          <cell r="H12315">
            <v>45962</v>
          </cell>
          <cell r="I12315" t="str">
            <v>6284 - Advertising</v>
          </cell>
          <cell r="J12315">
            <v>0</v>
          </cell>
          <cell r="K12315" t="str">
            <v>Brand Marketing</v>
          </cell>
          <cell r="L12315" t="str">
            <v>Advertising</v>
          </cell>
          <cell r="N12315" t="str">
            <v>SG&amp;A</v>
          </cell>
          <cell r="O12315" t="str">
            <v>One Stop</v>
          </cell>
        </row>
        <row r="12316">
          <cell r="D12316">
            <v>1200</v>
          </cell>
          <cell r="H12316">
            <v>45962</v>
          </cell>
          <cell r="I12316" t="str">
            <v>6284 - Advertising</v>
          </cell>
          <cell r="J12316">
            <v>0</v>
          </cell>
          <cell r="K12316" t="str">
            <v>Brand Marketing</v>
          </cell>
          <cell r="L12316" t="str">
            <v>Advertising</v>
          </cell>
          <cell r="N12316" t="str">
            <v>SG&amp;A</v>
          </cell>
          <cell r="O12316" t="str">
            <v>One Stop</v>
          </cell>
        </row>
        <row r="12317">
          <cell r="D12317">
            <v>6666.66</v>
          </cell>
          <cell r="H12317">
            <v>45962</v>
          </cell>
          <cell r="I12317" t="str">
            <v>6284 - Advertising</v>
          </cell>
          <cell r="J12317">
            <v>0</v>
          </cell>
          <cell r="K12317" t="str">
            <v>Brand Marketing</v>
          </cell>
          <cell r="L12317" t="str">
            <v>Advertising</v>
          </cell>
          <cell r="N12317" t="str">
            <v>SG&amp;A</v>
          </cell>
          <cell r="O12317" t="str">
            <v>Racquet Media Corporation</v>
          </cell>
        </row>
        <row r="12318">
          <cell r="D12318">
            <v>2001.36</v>
          </cell>
          <cell r="H12318">
            <v>45962</v>
          </cell>
          <cell r="I12318" t="str">
            <v>6286 - SEM</v>
          </cell>
          <cell r="J12318" t="str">
            <v>Ecommerce (US)</v>
          </cell>
          <cell r="K12318" t="str">
            <v>Ecommerce</v>
          </cell>
          <cell r="L12318" t="str">
            <v>Marketing</v>
          </cell>
          <cell r="N12318" t="str">
            <v>Direct Costs</v>
          </cell>
          <cell r="O12318" t="str">
            <v>Amazon</v>
          </cell>
        </row>
        <row r="12319">
          <cell r="D12319">
            <v>2008.76</v>
          </cell>
          <cell r="H12319">
            <v>45962</v>
          </cell>
          <cell r="I12319" t="str">
            <v>6286 - SEM</v>
          </cell>
          <cell r="J12319" t="str">
            <v>Ecommerce (US)</v>
          </cell>
          <cell r="K12319" t="str">
            <v>Ecommerce</v>
          </cell>
          <cell r="L12319" t="str">
            <v>Marketing</v>
          </cell>
          <cell r="N12319" t="str">
            <v>Direct Costs</v>
          </cell>
          <cell r="O12319" t="str">
            <v>Amazon</v>
          </cell>
        </row>
        <row r="12320">
          <cell r="D12320">
            <v>2007.73</v>
          </cell>
          <cell r="H12320">
            <v>45962</v>
          </cell>
          <cell r="I12320" t="str">
            <v>6286 - SEM</v>
          </cell>
          <cell r="J12320" t="str">
            <v>Ecommerce (US)</v>
          </cell>
          <cell r="K12320" t="str">
            <v>Ecommerce</v>
          </cell>
          <cell r="L12320" t="str">
            <v>Marketing</v>
          </cell>
          <cell r="N12320" t="str">
            <v>Direct Costs</v>
          </cell>
          <cell r="O12320" t="str">
            <v>Amazon</v>
          </cell>
        </row>
        <row r="12321">
          <cell r="D12321">
            <v>2010</v>
          </cell>
          <cell r="H12321">
            <v>45962</v>
          </cell>
          <cell r="I12321" t="str">
            <v>6286 - SEM</v>
          </cell>
          <cell r="J12321" t="str">
            <v>Ecommerce (US)</v>
          </cell>
          <cell r="K12321" t="str">
            <v>Ecommerce</v>
          </cell>
          <cell r="L12321" t="str">
            <v>Marketing</v>
          </cell>
          <cell r="N12321" t="str">
            <v>Direct Costs</v>
          </cell>
          <cell r="O12321" t="str">
            <v>Tiktok</v>
          </cell>
        </row>
        <row r="12322">
          <cell r="D12322">
            <v>2000.24</v>
          </cell>
          <cell r="H12322">
            <v>45962</v>
          </cell>
          <cell r="I12322" t="str">
            <v>6286 - SEM</v>
          </cell>
          <cell r="J12322" t="str">
            <v>Ecommerce (US)</v>
          </cell>
          <cell r="K12322" t="str">
            <v>Ecommerce</v>
          </cell>
          <cell r="L12322" t="str">
            <v>Marketing</v>
          </cell>
          <cell r="N12322" t="str">
            <v>Direct Costs</v>
          </cell>
          <cell r="O12322" t="str">
            <v>Amazon</v>
          </cell>
        </row>
        <row r="12323">
          <cell r="D12323">
            <v>2010.95</v>
          </cell>
          <cell r="H12323">
            <v>45962</v>
          </cell>
          <cell r="I12323" t="str">
            <v>6286 - SEM</v>
          </cell>
          <cell r="J12323" t="str">
            <v>Ecommerce (US)</v>
          </cell>
          <cell r="K12323" t="str">
            <v>Ecommerce</v>
          </cell>
          <cell r="L12323" t="str">
            <v>Marketing</v>
          </cell>
          <cell r="N12323" t="str">
            <v>Direct Costs</v>
          </cell>
          <cell r="O12323" t="str">
            <v>Amazon</v>
          </cell>
        </row>
        <row r="12324">
          <cell r="D12324">
            <v>1169</v>
          </cell>
          <cell r="H12324">
            <v>45962</v>
          </cell>
          <cell r="I12324" t="str">
            <v>6286 - SEM</v>
          </cell>
          <cell r="J12324" t="str">
            <v>Ecommerce (US)</v>
          </cell>
          <cell r="K12324" t="str">
            <v>Ecommerce</v>
          </cell>
          <cell r="L12324" t="str">
            <v>Marketing</v>
          </cell>
          <cell r="N12324" t="str">
            <v>Direct Costs</v>
          </cell>
          <cell r="O12324" t="str">
            <v>Tiktok</v>
          </cell>
        </row>
        <row r="12325">
          <cell r="D12325">
            <v>1607.68</v>
          </cell>
          <cell r="H12325">
            <v>45962</v>
          </cell>
          <cell r="I12325" t="str">
            <v>6286 - SEM</v>
          </cell>
          <cell r="J12325" t="str">
            <v>Ecommerce (US)</v>
          </cell>
          <cell r="K12325" t="str">
            <v>Ecommerce</v>
          </cell>
          <cell r="L12325" t="str">
            <v>Marketing</v>
          </cell>
          <cell r="N12325" t="str">
            <v>Direct Costs</v>
          </cell>
          <cell r="O12325" t="str">
            <v>Amazon</v>
          </cell>
        </row>
        <row r="12326">
          <cell r="D12326">
            <v>277113.92</v>
          </cell>
          <cell r="H12326">
            <v>45962</v>
          </cell>
          <cell r="I12326" t="str">
            <v>6286 - SEM</v>
          </cell>
          <cell r="J12326" t="str">
            <v>Ecommerce (US)</v>
          </cell>
          <cell r="K12326" t="str">
            <v>Ecommerce</v>
          </cell>
          <cell r="L12326" t="str">
            <v>Marketing</v>
          </cell>
          <cell r="N12326" t="str">
            <v>Direct Costs</v>
          </cell>
          <cell r="O12326" t="str">
            <v>Google</v>
          </cell>
        </row>
        <row r="12327">
          <cell r="D12327">
            <v>990.2</v>
          </cell>
          <cell r="H12327">
            <v>45962</v>
          </cell>
          <cell r="I12327" t="str">
            <v>6286 - SEM</v>
          </cell>
          <cell r="J12327" t="str">
            <v>Ecommerce (US)</v>
          </cell>
          <cell r="K12327" t="str">
            <v>Ecommerce</v>
          </cell>
          <cell r="L12327" t="str">
            <v>Marketing</v>
          </cell>
          <cell r="N12327" t="str">
            <v>Direct Costs</v>
          </cell>
          <cell r="O12327" t="str">
            <v>Rakuten Advertising</v>
          </cell>
        </row>
        <row r="12328">
          <cell r="D12328">
            <v>8813.25</v>
          </cell>
          <cell r="H12328">
            <v>45962</v>
          </cell>
          <cell r="I12328" t="str">
            <v>6286 - SEM</v>
          </cell>
          <cell r="J12328" t="str">
            <v>Ecommerce (US)</v>
          </cell>
          <cell r="K12328" t="str">
            <v>Ecommerce</v>
          </cell>
          <cell r="L12328" t="str">
            <v>Marketing</v>
          </cell>
          <cell r="N12328" t="str">
            <v>Direct Costs</v>
          </cell>
          <cell r="O12328" t="str">
            <v>Meta Platforms, Inc</v>
          </cell>
        </row>
        <row r="12329">
          <cell r="D12329">
            <v>14947.27</v>
          </cell>
          <cell r="H12329">
            <v>45962</v>
          </cell>
          <cell r="I12329" t="str">
            <v>6286 - SEM</v>
          </cell>
          <cell r="J12329" t="str">
            <v>Ecommerce (US)</v>
          </cell>
          <cell r="K12329" t="str">
            <v>Ecommerce</v>
          </cell>
          <cell r="L12329" t="str">
            <v>Marketing</v>
          </cell>
          <cell r="N12329" t="str">
            <v>Direct Costs</v>
          </cell>
          <cell r="O12329" t="str">
            <v>Meta Platforms, Inc</v>
          </cell>
        </row>
        <row r="12330">
          <cell r="D12330">
            <v>-3.6</v>
          </cell>
          <cell r="H12330">
            <v>45962</v>
          </cell>
          <cell r="I12330" t="str">
            <v>6286 - SEM</v>
          </cell>
          <cell r="J12330" t="str">
            <v>Ecommerce (US)</v>
          </cell>
          <cell r="K12330" t="str">
            <v>Ecommerce</v>
          </cell>
          <cell r="L12330" t="str">
            <v>Marketing</v>
          </cell>
          <cell r="N12330" t="str">
            <v>Direct Costs</v>
          </cell>
          <cell r="O12330" t="str">
            <v>Meta Platforms, Inc</v>
          </cell>
        </row>
        <row r="12331">
          <cell r="D12331">
            <v>14904.6</v>
          </cell>
          <cell r="H12331">
            <v>45962</v>
          </cell>
          <cell r="I12331" t="str">
            <v>6286 - SEM</v>
          </cell>
          <cell r="J12331" t="str">
            <v>Ecommerce (US)</v>
          </cell>
          <cell r="K12331" t="str">
            <v>Ecommerce</v>
          </cell>
          <cell r="L12331" t="str">
            <v>Marketing</v>
          </cell>
          <cell r="N12331" t="str">
            <v>Direct Costs</v>
          </cell>
          <cell r="O12331" t="str">
            <v>Meta Platforms, Inc</v>
          </cell>
        </row>
        <row r="12332">
          <cell r="D12332">
            <v>27116.46</v>
          </cell>
          <cell r="H12332">
            <v>45962</v>
          </cell>
          <cell r="I12332" t="str">
            <v>6286 - SEM</v>
          </cell>
          <cell r="J12332" t="str">
            <v>Ecommerce (US)</v>
          </cell>
          <cell r="K12332" t="str">
            <v>Ecommerce</v>
          </cell>
          <cell r="L12332" t="str">
            <v>Marketing</v>
          </cell>
          <cell r="N12332" t="str">
            <v>Direct Costs</v>
          </cell>
          <cell r="O12332" t="str">
            <v>Meta Platforms, Inc</v>
          </cell>
        </row>
        <row r="12333">
          <cell r="D12333">
            <v>10900.77</v>
          </cell>
          <cell r="H12333">
            <v>45962</v>
          </cell>
          <cell r="I12333" t="str">
            <v>6286 - SEM</v>
          </cell>
          <cell r="J12333" t="str">
            <v>Ecommerce (US)</v>
          </cell>
          <cell r="K12333" t="str">
            <v>Ecommerce</v>
          </cell>
          <cell r="L12333" t="str">
            <v>Marketing</v>
          </cell>
          <cell r="N12333" t="str">
            <v>Direct Costs</v>
          </cell>
          <cell r="O12333" t="str">
            <v>Meta Platforms, Inc</v>
          </cell>
        </row>
        <row r="12334">
          <cell r="D12334">
            <v>7204.81</v>
          </cell>
          <cell r="H12334">
            <v>45962</v>
          </cell>
          <cell r="I12334" t="str">
            <v>6286 - SEM</v>
          </cell>
          <cell r="J12334" t="str">
            <v>Ecommerce (US)</v>
          </cell>
          <cell r="K12334" t="str">
            <v>Ecommerce</v>
          </cell>
          <cell r="L12334" t="str">
            <v>Marketing</v>
          </cell>
          <cell r="N12334" t="str">
            <v>Direct Costs</v>
          </cell>
          <cell r="O12334" t="str">
            <v>Meta Platforms, Inc</v>
          </cell>
        </row>
        <row r="12335">
          <cell r="D12335">
            <v>7922.56</v>
          </cell>
          <cell r="H12335">
            <v>45962</v>
          </cell>
          <cell r="I12335" t="str">
            <v>6286 - SEM</v>
          </cell>
          <cell r="J12335" t="str">
            <v>Ecommerce (US)</v>
          </cell>
          <cell r="K12335" t="str">
            <v>Ecommerce</v>
          </cell>
          <cell r="L12335" t="str">
            <v>Marketing</v>
          </cell>
          <cell r="N12335" t="str">
            <v>Direct Costs</v>
          </cell>
          <cell r="O12335" t="str">
            <v>Meta Platforms, Inc</v>
          </cell>
        </row>
        <row r="12336">
          <cell r="D12336">
            <v>22354.27</v>
          </cell>
          <cell r="H12336">
            <v>45962</v>
          </cell>
          <cell r="I12336" t="str">
            <v>6286 - SEM</v>
          </cell>
          <cell r="J12336" t="str">
            <v>Ecommerce (US)</v>
          </cell>
          <cell r="K12336" t="str">
            <v>Ecommerce</v>
          </cell>
          <cell r="L12336" t="str">
            <v>Marketing</v>
          </cell>
          <cell r="N12336" t="str">
            <v>Direct Costs</v>
          </cell>
          <cell r="O12336" t="str">
            <v>Meta Platforms, Inc</v>
          </cell>
        </row>
        <row r="12337">
          <cell r="D12337">
            <v>12813.69</v>
          </cell>
          <cell r="H12337">
            <v>45962</v>
          </cell>
          <cell r="I12337" t="str">
            <v>6286 - SEM</v>
          </cell>
          <cell r="J12337" t="str">
            <v>Ecommerce (US)</v>
          </cell>
          <cell r="K12337" t="str">
            <v>Ecommerce</v>
          </cell>
          <cell r="L12337" t="str">
            <v>Marketing</v>
          </cell>
          <cell r="N12337" t="str">
            <v>Direct Costs</v>
          </cell>
          <cell r="O12337" t="str">
            <v>Meta Platforms, Inc</v>
          </cell>
        </row>
        <row r="12338">
          <cell r="D12338">
            <v>23677.75</v>
          </cell>
          <cell r="H12338">
            <v>45962</v>
          </cell>
          <cell r="I12338" t="str">
            <v>6286 - SEM</v>
          </cell>
          <cell r="J12338" t="str">
            <v>Ecommerce (US)</v>
          </cell>
          <cell r="K12338" t="str">
            <v>Ecommerce</v>
          </cell>
          <cell r="L12338" t="str">
            <v>Marketing</v>
          </cell>
          <cell r="N12338" t="str">
            <v>Direct Costs</v>
          </cell>
          <cell r="O12338" t="str">
            <v>Meta Platforms, Inc</v>
          </cell>
        </row>
        <row r="12339">
          <cell r="D12339">
            <v>6858.08</v>
          </cell>
          <cell r="H12339">
            <v>45962</v>
          </cell>
          <cell r="I12339" t="str">
            <v>6286 - SEM</v>
          </cell>
          <cell r="J12339" t="str">
            <v>Ecommerce (US)</v>
          </cell>
          <cell r="K12339" t="str">
            <v>Ecommerce</v>
          </cell>
          <cell r="L12339" t="str">
            <v>Marketing</v>
          </cell>
          <cell r="N12339" t="str">
            <v>Direct Costs</v>
          </cell>
          <cell r="O12339" t="str">
            <v>Meta Platforms, Inc</v>
          </cell>
        </row>
        <row r="12340">
          <cell r="D12340">
            <v>6654.16</v>
          </cell>
          <cell r="H12340">
            <v>45962</v>
          </cell>
          <cell r="I12340" t="str">
            <v>6286 - SEM</v>
          </cell>
          <cell r="J12340" t="str">
            <v>Ecommerce (US)</v>
          </cell>
          <cell r="K12340" t="str">
            <v>Ecommerce</v>
          </cell>
          <cell r="L12340" t="str">
            <v>Marketing</v>
          </cell>
          <cell r="N12340" t="str">
            <v>Direct Costs</v>
          </cell>
          <cell r="O12340" t="str">
            <v>Meta Platforms, Inc</v>
          </cell>
        </row>
        <row r="12341">
          <cell r="D12341">
            <v>47.52</v>
          </cell>
          <cell r="H12341">
            <v>45962</v>
          </cell>
          <cell r="I12341" t="str">
            <v>6286 - SEM</v>
          </cell>
          <cell r="J12341" t="str">
            <v>Ecommerce (US)</v>
          </cell>
          <cell r="K12341" t="str">
            <v>Ecommerce</v>
          </cell>
          <cell r="L12341" t="str">
            <v>Marketing</v>
          </cell>
          <cell r="N12341" t="str">
            <v>Direct Costs</v>
          </cell>
          <cell r="O12341" t="str">
            <v>Meta Platforms, Inc</v>
          </cell>
        </row>
        <row r="12342">
          <cell r="D12342">
            <v>169.72</v>
          </cell>
          <cell r="H12342">
            <v>45962</v>
          </cell>
          <cell r="I12342" t="str">
            <v>6286 - SEM</v>
          </cell>
          <cell r="J12342" t="str">
            <v>Ecommerce (US)</v>
          </cell>
          <cell r="K12342" t="str">
            <v>Ecommerce</v>
          </cell>
          <cell r="L12342" t="str">
            <v>Marketing</v>
          </cell>
          <cell r="N12342" t="str">
            <v>Direct Costs</v>
          </cell>
          <cell r="O12342" t="str">
            <v>Meta Platforms, Inc</v>
          </cell>
        </row>
        <row r="12343">
          <cell r="D12343">
            <v>-0.1</v>
          </cell>
          <cell r="H12343">
            <v>45962</v>
          </cell>
          <cell r="I12343" t="str">
            <v>6286 - SEM</v>
          </cell>
          <cell r="J12343" t="str">
            <v>Ecommerce (US)</v>
          </cell>
          <cell r="K12343" t="str">
            <v>Ecommerce</v>
          </cell>
          <cell r="L12343" t="str">
            <v>Marketing</v>
          </cell>
          <cell r="N12343" t="str">
            <v>Direct Costs</v>
          </cell>
          <cell r="O12343" t="str">
            <v>Meta Platforms, Inc</v>
          </cell>
        </row>
        <row r="12344">
          <cell r="D12344">
            <v>0</v>
          </cell>
          <cell r="H12344">
            <v>45962</v>
          </cell>
          <cell r="I12344" t="str">
            <v>6286 - SEM</v>
          </cell>
          <cell r="J12344" t="str">
            <v>Ecommerce (US)</v>
          </cell>
          <cell r="K12344" t="str">
            <v>Ecommerce</v>
          </cell>
          <cell r="L12344" t="str">
            <v>Marketing</v>
          </cell>
          <cell r="N12344" t="str">
            <v>Direct Costs</v>
          </cell>
          <cell r="O12344" t="str">
            <v>[No Vendor]</v>
          </cell>
        </row>
        <row r="12345">
          <cell r="D12345">
            <v>55</v>
          </cell>
          <cell r="H12345">
            <v>45962</v>
          </cell>
          <cell r="I12345" t="str">
            <v>6288 - Model</v>
          </cell>
          <cell r="J12345">
            <v>0</v>
          </cell>
          <cell r="K12345" t="str">
            <v>Brand Marketing</v>
          </cell>
          <cell r="L12345" t="str">
            <v>Advertising</v>
          </cell>
          <cell r="N12345" t="str">
            <v>SG&amp;A</v>
          </cell>
          <cell r="O12345" t="str">
            <v>State Artist Management</v>
          </cell>
        </row>
        <row r="12346">
          <cell r="D12346">
            <v>275</v>
          </cell>
          <cell r="H12346">
            <v>45962</v>
          </cell>
          <cell r="I12346" t="str">
            <v>6288 - Model</v>
          </cell>
          <cell r="J12346">
            <v>0</v>
          </cell>
          <cell r="K12346" t="str">
            <v>Brand Marketing</v>
          </cell>
          <cell r="L12346" t="str">
            <v>Advertising</v>
          </cell>
          <cell r="N12346" t="str">
            <v>SG&amp;A</v>
          </cell>
          <cell r="O12346" t="str">
            <v>State Artist Management</v>
          </cell>
        </row>
        <row r="12347">
          <cell r="D12347">
            <v>82.5</v>
          </cell>
          <cell r="H12347">
            <v>45962</v>
          </cell>
          <cell r="I12347" t="str">
            <v>6288 - Model</v>
          </cell>
          <cell r="J12347">
            <v>0</v>
          </cell>
          <cell r="K12347" t="str">
            <v>Brand Marketing</v>
          </cell>
          <cell r="L12347" t="str">
            <v>Advertising</v>
          </cell>
          <cell r="N12347" t="str">
            <v>SG&amp;A</v>
          </cell>
          <cell r="O12347" t="str">
            <v>State Artist Management</v>
          </cell>
        </row>
        <row r="12348">
          <cell r="D12348">
            <v>412.5</v>
          </cell>
          <cell r="H12348">
            <v>45962</v>
          </cell>
          <cell r="I12348" t="str">
            <v>6288 - Model</v>
          </cell>
          <cell r="J12348">
            <v>0</v>
          </cell>
          <cell r="K12348" t="str">
            <v>Brand Marketing</v>
          </cell>
          <cell r="L12348" t="str">
            <v>Advertising</v>
          </cell>
          <cell r="N12348" t="str">
            <v>SG&amp;A</v>
          </cell>
          <cell r="O12348" t="str">
            <v>State Artist Management</v>
          </cell>
        </row>
        <row r="12349">
          <cell r="D12349">
            <v>17</v>
          </cell>
          <cell r="H12349">
            <v>45962</v>
          </cell>
          <cell r="I12349" t="str">
            <v>6288 - Model</v>
          </cell>
          <cell r="J12349" t="str">
            <v>Wholesale</v>
          </cell>
          <cell r="K12349" t="str">
            <v>Brand Marketing</v>
          </cell>
          <cell r="L12349" t="str">
            <v>Advertising</v>
          </cell>
          <cell r="N12349" t="str">
            <v>SG&amp;A</v>
          </cell>
          <cell r="O12349" t="str">
            <v>Procyon Benefits LLC</v>
          </cell>
        </row>
        <row r="12350">
          <cell r="D12350">
            <v>110</v>
          </cell>
          <cell r="H12350">
            <v>45962</v>
          </cell>
          <cell r="I12350" t="str">
            <v>6288 - Model</v>
          </cell>
          <cell r="J12350">
            <v>0</v>
          </cell>
          <cell r="K12350" t="str">
            <v>Brand Marketing</v>
          </cell>
          <cell r="L12350" t="str">
            <v>Advertising</v>
          </cell>
          <cell r="N12350" t="str">
            <v>SG&amp;A</v>
          </cell>
          <cell r="O12350" t="str">
            <v>State Artist Management</v>
          </cell>
        </row>
        <row r="12351">
          <cell r="D12351">
            <v>550</v>
          </cell>
          <cell r="H12351">
            <v>45962</v>
          </cell>
          <cell r="I12351" t="str">
            <v>6288 - Model</v>
          </cell>
          <cell r="J12351">
            <v>0</v>
          </cell>
          <cell r="K12351" t="str">
            <v>Brand Marketing</v>
          </cell>
          <cell r="L12351" t="str">
            <v>Advertising</v>
          </cell>
          <cell r="N12351" t="str">
            <v>SG&amp;A</v>
          </cell>
          <cell r="O12351" t="str">
            <v>State Artist Management</v>
          </cell>
        </row>
        <row r="12352">
          <cell r="D12352">
            <v>67365.38</v>
          </cell>
          <cell r="H12352">
            <v>45962</v>
          </cell>
          <cell r="I12352" t="str">
            <v>6289 - Seeding / Product Placement</v>
          </cell>
          <cell r="J12352">
            <v>0</v>
          </cell>
          <cell r="K12352" t="str">
            <v>Brand Marketing</v>
          </cell>
          <cell r="L12352" t="str">
            <v>Advertising</v>
          </cell>
          <cell r="N12352" t="str">
            <v>SG&amp;A</v>
          </cell>
          <cell r="O12352" t="str">
            <v>[No Vendor]</v>
          </cell>
        </row>
        <row r="12353">
          <cell r="D12353">
            <v>299.91000000000003</v>
          </cell>
          <cell r="H12353">
            <v>45962</v>
          </cell>
          <cell r="I12353" t="str">
            <v>6300 - Payroll Service Fees</v>
          </cell>
          <cell r="J12353">
            <v>0</v>
          </cell>
          <cell r="K12353" t="str">
            <v>Administration</v>
          </cell>
          <cell r="L12353" t="str">
            <v>Professional Service</v>
          </cell>
          <cell r="N12353" t="str">
            <v>SG&amp;A</v>
          </cell>
          <cell r="O12353" t="str">
            <v>ADP Payroll Services</v>
          </cell>
        </row>
        <row r="12354">
          <cell r="D12354">
            <v>435</v>
          </cell>
          <cell r="H12354">
            <v>45962</v>
          </cell>
          <cell r="I12354" t="str">
            <v>6300 - Payroll Service Fees</v>
          </cell>
          <cell r="J12354">
            <v>0</v>
          </cell>
          <cell r="K12354" t="str">
            <v>Administration</v>
          </cell>
          <cell r="L12354" t="str">
            <v>Professional Service</v>
          </cell>
          <cell r="N12354" t="str">
            <v>SG&amp;A</v>
          </cell>
          <cell r="O12354" t="str">
            <v>OperationsInc, LLC</v>
          </cell>
        </row>
        <row r="12355">
          <cell r="D12355">
            <v>1495</v>
          </cell>
          <cell r="H12355">
            <v>45962</v>
          </cell>
          <cell r="I12355" t="str">
            <v>6300 - Payroll Service Fees</v>
          </cell>
          <cell r="J12355">
            <v>0</v>
          </cell>
          <cell r="K12355" t="str">
            <v>Administration</v>
          </cell>
          <cell r="L12355" t="str">
            <v>Professional Service</v>
          </cell>
          <cell r="N12355" t="str">
            <v>SG&amp;A</v>
          </cell>
          <cell r="O12355" t="str">
            <v>OperationsInc, LLC</v>
          </cell>
        </row>
        <row r="12356">
          <cell r="D12356">
            <v>468.5</v>
          </cell>
          <cell r="H12356">
            <v>45962</v>
          </cell>
          <cell r="I12356" t="str">
            <v>6300 - Payroll Service Fees</v>
          </cell>
          <cell r="J12356">
            <v>0</v>
          </cell>
          <cell r="K12356" t="str">
            <v>Administration</v>
          </cell>
          <cell r="L12356" t="str">
            <v>Professional Service</v>
          </cell>
          <cell r="N12356" t="str">
            <v>SG&amp;A</v>
          </cell>
          <cell r="O12356" t="str">
            <v>ADP Payroll Services</v>
          </cell>
        </row>
        <row r="12357">
          <cell r="D12357">
            <v>1238.75</v>
          </cell>
          <cell r="H12357">
            <v>45962</v>
          </cell>
          <cell r="I12357" t="str">
            <v>6300 - Payroll Service Fees</v>
          </cell>
          <cell r="J12357">
            <v>0</v>
          </cell>
          <cell r="K12357" t="str">
            <v>Administration</v>
          </cell>
          <cell r="L12357" t="str">
            <v>Professional Service</v>
          </cell>
          <cell r="N12357" t="str">
            <v>SG&amp;A</v>
          </cell>
          <cell r="O12357" t="str">
            <v>OperationsInc, LLC</v>
          </cell>
        </row>
        <row r="12358">
          <cell r="D12358">
            <v>1231.25</v>
          </cell>
          <cell r="H12358">
            <v>45962</v>
          </cell>
          <cell r="I12358" t="str">
            <v>6300 - Payroll Service Fees</v>
          </cell>
          <cell r="J12358">
            <v>0</v>
          </cell>
          <cell r="K12358" t="str">
            <v>Administration</v>
          </cell>
          <cell r="L12358" t="str">
            <v>Professional Service</v>
          </cell>
          <cell r="N12358" t="str">
            <v>SG&amp;A</v>
          </cell>
          <cell r="O12358" t="str">
            <v>OperationsInc, LLC</v>
          </cell>
        </row>
        <row r="12359">
          <cell r="D12359">
            <v>30113.77</v>
          </cell>
          <cell r="H12359">
            <v>45962</v>
          </cell>
          <cell r="I12359" t="str">
            <v>6320 - Building Rent</v>
          </cell>
          <cell r="J12359">
            <v>0</v>
          </cell>
          <cell r="K12359" t="str">
            <v>Administration</v>
          </cell>
          <cell r="L12359" t="str">
            <v>Rent</v>
          </cell>
          <cell r="N12359" t="str">
            <v>SG&amp;A</v>
          </cell>
          <cell r="O12359" t="str">
            <v>Antelope LLC</v>
          </cell>
        </row>
        <row r="12360">
          <cell r="D12360">
            <v>-30113.77</v>
          </cell>
          <cell r="H12360">
            <v>45962</v>
          </cell>
          <cell r="I12360" t="str">
            <v>6320 - Building Rent</v>
          </cell>
          <cell r="J12360">
            <v>0</v>
          </cell>
          <cell r="K12360" t="str">
            <v>Administration</v>
          </cell>
          <cell r="L12360" t="str">
            <v>Rent</v>
          </cell>
          <cell r="N12360" t="str">
            <v>SG&amp;A</v>
          </cell>
          <cell r="O12360" t="str">
            <v>[No Vendor]</v>
          </cell>
        </row>
        <row r="12361">
          <cell r="D12361">
            <v>179.17</v>
          </cell>
          <cell r="H12361">
            <v>45962</v>
          </cell>
          <cell r="I12361" t="str">
            <v>6340 - Miscellaneous Expense</v>
          </cell>
          <cell r="J12361" t="str">
            <v>Wholesale</v>
          </cell>
          <cell r="K12361" t="str">
            <v>Wholesale</v>
          </cell>
          <cell r="L12361" t="str">
            <v>Other</v>
          </cell>
          <cell r="N12361" t="str">
            <v>SG&amp;A</v>
          </cell>
          <cell r="O12361" t="str">
            <v>The Iconic</v>
          </cell>
        </row>
        <row r="12362">
          <cell r="D12362">
            <v>89.58</v>
          </cell>
          <cell r="H12362">
            <v>45962</v>
          </cell>
          <cell r="I12362" t="str">
            <v>6340 - Miscellaneous Expense</v>
          </cell>
          <cell r="J12362" t="str">
            <v>Wholesale</v>
          </cell>
          <cell r="K12362" t="str">
            <v>Wholesale</v>
          </cell>
          <cell r="L12362" t="str">
            <v>Other</v>
          </cell>
          <cell r="N12362" t="str">
            <v>SG&amp;A</v>
          </cell>
          <cell r="O12362" t="str">
            <v>The Iconic</v>
          </cell>
        </row>
        <row r="12363">
          <cell r="D12363">
            <v>45.65</v>
          </cell>
          <cell r="H12363">
            <v>45962</v>
          </cell>
          <cell r="I12363" t="str">
            <v>6340 - Miscellaneous Expense</v>
          </cell>
          <cell r="J12363" t="str">
            <v>Wholesale</v>
          </cell>
          <cell r="K12363" t="str">
            <v>Wholesale</v>
          </cell>
          <cell r="L12363" t="str">
            <v>Other</v>
          </cell>
          <cell r="N12363" t="str">
            <v>SG&amp;A</v>
          </cell>
          <cell r="O12363" t="str">
            <v>The Iconic</v>
          </cell>
        </row>
        <row r="12364">
          <cell r="D12364">
            <v>32.9</v>
          </cell>
          <cell r="H12364">
            <v>45962</v>
          </cell>
          <cell r="I12364" t="str">
            <v>6340 - Miscellaneous Expense</v>
          </cell>
          <cell r="J12364" t="str">
            <v>Wholesale</v>
          </cell>
          <cell r="K12364" t="str">
            <v>Wholesale</v>
          </cell>
          <cell r="L12364" t="str">
            <v>Other</v>
          </cell>
          <cell r="N12364" t="str">
            <v>SG&amp;A</v>
          </cell>
          <cell r="O12364" t="str">
            <v>The Iconic</v>
          </cell>
        </row>
        <row r="12365">
          <cell r="D12365">
            <v>91.31</v>
          </cell>
          <cell r="H12365">
            <v>45962</v>
          </cell>
          <cell r="I12365" t="str">
            <v>6340 - Miscellaneous Expense</v>
          </cell>
          <cell r="J12365" t="str">
            <v>Wholesale</v>
          </cell>
          <cell r="K12365" t="str">
            <v>Wholesale</v>
          </cell>
          <cell r="L12365" t="str">
            <v>Other</v>
          </cell>
          <cell r="N12365" t="str">
            <v>SG&amp;A</v>
          </cell>
          <cell r="O12365" t="str">
            <v>The Iconic</v>
          </cell>
        </row>
        <row r="12366">
          <cell r="D12366">
            <v>65.8</v>
          </cell>
          <cell r="H12366">
            <v>45962</v>
          </cell>
          <cell r="I12366" t="str">
            <v>6340 - Miscellaneous Expense</v>
          </cell>
          <cell r="J12366" t="str">
            <v>Wholesale</v>
          </cell>
          <cell r="K12366" t="str">
            <v>Wholesale</v>
          </cell>
          <cell r="L12366" t="str">
            <v>Other</v>
          </cell>
          <cell r="N12366" t="str">
            <v>SG&amp;A</v>
          </cell>
          <cell r="O12366" t="str">
            <v>The Iconic</v>
          </cell>
        </row>
        <row r="12367">
          <cell r="D12367">
            <v>-2808.81</v>
          </cell>
          <cell r="H12367">
            <v>45962</v>
          </cell>
          <cell r="I12367" t="str">
            <v>6340 - Miscellaneous Expense</v>
          </cell>
          <cell r="J12367">
            <v>0</v>
          </cell>
          <cell r="K12367" t="str">
            <v>Administration</v>
          </cell>
          <cell r="L12367" t="str">
            <v>Other</v>
          </cell>
          <cell r="N12367" t="str">
            <v>SG&amp;A</v>
          </cell>
          <cell r="O12367" t="str">
            <v>Lisa  Resciniti</v>
          </cell>
        </row>
        <row r="12368">
          <cell r="D12368">
            <v>84.31</v>
          </cell>
          <cell r="H12368">
            <v>45962</v>
          </cell>
          <cell r="I12368" t="str">
            <v>6340 - Miscellaneous Expense</v>
          </cell>
          <cell r="J12368">
            <v>0</v>
          </cell>
          <cell r="K12368" t="str">
            <v>Administration</v>
          </cell>
          <cell r="L12368" t="str">
            <v>Other</v>
          </cell>
          <cell r="N12368" t="str">
            <v>SG&amp;A</v>
          </cell>
          <cell r="O12368" t="str">
            <v>Go Gleem LLC</v>
          </cell>
        </row>
        <row r="12369">
          <cell r="D12369">
            <v>950</v>
          </cell>
          <cell r="H12369">
            <v>45962</v>
          </cell>
          <cell r="I12369" t="str">
            <v>6340 - Miscellaneous Expense</v>
          </cell>
          <cell r="J12369">
            <v>0</v>
          </cell>
          <cell r="K12369" t="str">
            <v>Administration</v>
          </cell>
          <cell r="L12369" t="str">
            <v>Other</v>
          </cell>
          <cell r="N12369" t="str">
            <v>SG&amp;A</v>
          </cell>
          <cell r="O12369" t="str">
            <v>Go Gleem LLC</v>
          </cell>
        </row>
        <row r="12370">
          <cell r="D12370">
            <v>250</v>
          </cell>
          <cell r="H12370">
            <v>45962</v>
          </cell>
          <cell r="I12370" t="str">
            <v>6340 - Miscellaneous Expense</v>
          </cell>
          <cell r="J12370">
            <v>0</v>
          </cell>
          <cell r="K12370" t="str">
            <v>Executive</v>
          </cell>
          <cell r="L12370" t="str">
            <v>Other</v>
          </cell>
          <cell r="N12370" t="str">
            <v>SG&amp;A</v>
          </cell>
          <cell r="O12370" t="str">
            <v>Yoon Choi</v>
          </cell>
        </row>
        <row r="12371">
          <cell r="D12371">
            <v>42.2</v>
          </cell>
          <cell r="H12371">
            <v>45962</v>
          </cell>
          <cell r="I12371" t="str">
            <v>6340 - Miscellaneous Expense</v>
          </cell>
          <cell r="J12371">
            <v>0</v>
          </cell>
          <cell r="K12371" t="str">
            <v>Brand Marketing</v>
          </cell>
          <cell r="L12371" t="str">
            <v>Other</v>
          </cell>
          <cell r="N12371" t="str">
            <v>SG&amp;A</v>
          </cell>
          <cell r="O12371" t="str">
            <v>Olivia Nielsen</v>
          </cell>
        </row>
        <row r="12372">
          <cell r="D12372">
            <v>178.67</v>
          </cell>
          <cell r="H12372">
            <v>45962</v>
          </cell>
          <cell r="I12372" t="str">
            <v>6340 - Miscellaneous Expense</v>
          </cell>
          <cell r="J12372">
            <v>0</v>
          </cell>
          <cell r="K12372" t="str">
            <v>Brand Marketing</v>
          </cell>
          <cell r="L12372" t="str">
            <v>Other</v>
          </cell>
          <cell r="N12372" t="str">
            <v>SG&amp;A</v>
          </cell>
          <cell r="O12372" t="str">
            <v>Olivia Nielsen</v>
          </cell>
        </row>
        <row r="12373">
          <cell r="D12373">
            <v>166.86</v>
          </cell>
          <cell r="H12373">
            <v>45962</v>
          </cell>
          <cell r="I12373" t="str">
            <v>6340 - Miscellaneous Expense</v>
          </cell>
          <cell r="J12373">
            <v>0</v>
          </cell>
          <cell r="K12373" t="str">
            <v>Brand Marketing</v>
          </cell>
          <cell r="L12373" t="str">
            <v>Other</v>
          </cell>
          <cell r="N12373" t="str">
            <v>SG&amp;A</v>
          </cell>
          <cell r="O12373" t="str">
            <v>Olivia Nielsen</v>
          </cell>
        </row>
        <row r="12374">
          <cell r="D12374">
            <v>402.28</v>
          </cell>
          <cell r="H12374">
            <v>45962</v>
          </cell>
          <cell r="I12374" t="str">
            <v>6340 - Miscellaneous Expense</v>
          </cell>
          <cell r="J12374">
            <v>0</v>
          </cell>
          <cell r="K12374" t="str">
            <v>Brand Marketing</v>
          </cell>
          <cell r="L12374" t="str">
            <v>Other</v>
          </cell>
          <cell r="N12374" t="str">
            <v>SG&amp;A</v>
          </cell>
          <cell r="O12374" t="str">
            <v>Olivia Nielsen</v>
          </cell>
        </row>
        <row r="12375">
          <cell r="D12375">
            <v>938.64</v>
          </cell>
          <cell r="H12375">
            <v>45962</v>
          </cell>
          <cell r="I12375" t="str">
            <v>6340 - Miscellaneous Expense</v>
          </cell>
          <cell r="J12375">
            <v>0</v>
          </cell>
          <cell r="K12375" t="str">
            <v>Administration</v>
          </cell>
          <cell r="L12375" t="str">
            <v>Other</v>
          </cell>
          <cell r="N12375" t="str">
            <v>SG&amp;A</v>
          </cell>
          <cell r="O12375" t="str">
            <v>Bergen Logistics Corporation</v>
          </cell>
        </row>
        <row r="12376">
          <cell r="D12376">
            <v>583.5</v>
          </cell>
          <cell r="H12376">
            <v>45962</v>
          </cell>
          <cell r="I12376" t="str">
            <v>6340 - Miscellaneous Expense</v>
          </cell>
          <cell r="J12376">
            <v>0</v>
          </cell>
          <cell r="K12376" t="str">
            <v>Administration</v>
          </cell>
          <cell r="L12376" t="str">
            <v>Other</v>
          </cell>
          <cell r="N12376" t="str">
            <v>SG&amp;A</v>
          </cell>
          <cell r="O12376" t="str">
            <v>Amazon Capital Services</v>
          </cell>
        </row>
        <row r="12377">
          <cell r="D12377">
            <v>1304.32</v>
          </cell>
          <cell r="H12377">
            <v>45962</v>
          </cell>
          <cell r="I12377" t="str">
            <v>6340 - Miscellaneous Expense</v>
          </cell>
          <cell r="J12377">
            <v>0</v>
          </cell>
          <cell r="K12377" t="str">
            <v>Brand Marketing</v>
          </cell>
          <cell r="L12377" t="str">
            <v>Other</v>
          </cell>
          <cell r="N12377" t="str">
            <v>SG&amp;A</v>
          </cell>
          <cell r="O12377" t="str">
            <v>Catherine  Kim</v>
          </cell>
        </row>
        <row r="12378">
          <cell r="D12378">
            <v>-1304.32</v>
          </cell>
          <cell r="H12378">
            <v>45962</v>
          </cell>
          <cell r="I12378" t="str">
            <v>6340 - Miscellaneous Expense</v>
          </cell>
          <cell r="J12378">
            <v>0</v>
          </cell>
          <cell r="K12378" t="str">
            <v>Brand Marketing</v>
          </cell>
          <cell r="L12378" t="str">
            <v>Other</v>
          </cell>
          <cell r="N12378" t="str">
            <v>SG&amp;A</v>
          </cell>
          <cell r="O12378" t="str">
            <v>Catherine  Kim</v>
          </cell>
        </row>
        <row r="12379">
          <cell r="D12379">
            <v>0</v>
          </cell>
          <cell r="H12379">
            <v>45962</v>
          </cell>
          <cell r="I12379" t="str">
            <v>6340 - Miscellaneous Expense</v>
          </cell>
          <cell r="J12379" t="str">
            <v>Ecommerce (US)</v>
          </cell>
          <cell r="K12379" t="str">
            <v>Ecommerce</v>
          </cell>
          <cell r="L12379" t="str">
            <v>Other</v>
          </cell>
          <cell r="N12379" t="str">
            <v>SG&amp;A</v>
          </cell>
          <cell r="O12379" t="str">
            <v>[No Vendor]</v>
          </cell>
        </row>
        <row r="12380">
          <cell r="D12380">
            <v>300</v>
          </cell>
          <cell r="H12380">
            <v>45962</v>
          </cell>
          <cell r="I12380" t="str">
            <v>6360 - Model - Fitting</v>
          </cell>
          <cell r="J12380">
            <v>0</v>
          </cell>
          <cell r="K12380" t="str">
            <v>Production</v>
          </cell>
          <cell r="L12380" t="str">
            <v>Sample</v>
          </cell>
          <cell r="N12380" t="str">
            <v>SG&amp;A</v>
          </cell>
          <cell r="O12380" t="str">
            <v>Lanny K.W. Inc.</v>
          </cell>
        </row>
        <row r="12381">
          <cell r="D12381">
            <v>300</v>
          </cell>
          <cell r="H12381">
            <v>45962</v>
          </cell>
          <cell r="I12381" t="str">
            <v>6360 - Model - Fitting</v>
          </cell>
          <cell r="J12381">
            <v>0</v>
          </cell>
          <cell r="K12381" t="str">
            <v>Production</v>
          </cell>
          <cell r="L12381" t="str">
            <v>Sample</v>
          </cell>
          <cell r="N12381" t="str">
            <v>SG&amp;A</v>
          </cell>
          <cell r="O12381" t="str">
            <v>Lanny K.W. Inc.</v>
          </cell>
        </row>
        <row r="12382">
          <cell r="D12382">
            <v>150</v>
          </cell>
          <cell r="H12382">
            <v>45962</v>
          </cell>
          <cell r="I12382" t="str">
            <v>6360 - Model - Fitting</v>
          </cell>
          <cell r="J12382">
            <v>0</v>
          </cell>
          <cell r="K12382" t="str">
            <v>Production</v>
          </cell>
          <cell r="L12382" t="str">
            <v>Sample</v>
          </cell>
          <cell r="N12382" t="str">
            <v>SG&amp;A</v>
          </cell>
          <cell r="O12382" t="str">
            <v>Lanny K.W. Inc.</v>
          </cell>
        </row>
        <row r="12383">
          <cell r="D12383">
            <v>26771.8</v>
          </cell>
          <cell r="H12383">
            <v>45962</v>
          </cell>
          <cell r="I12383" t="str">
            <v>6375 - Freight Expenses</v>
          </cell>
          <cell r="J12383" t="str">
            <v>Ecommerce (US)</v>
          </cell>
          <cell r="K12383" t="str">
            <v>Ecommerce</v>
          </cell>
          <cell r="L12383" t="str">
            <v>Freight</v>
          </cell>
          <cell r="N12383" t="str">
            <v>Direct Costs</v>
          </cell>
          <cell r="O12383" t="str">
            <v>UPS Supply Chain Solutions Inc. (7F24A0)</v>
          </cell>
        </row>
        <row r="12384">
          <cell r="D12384">
            <v>1045.1600000000001</v>
          </cell>
          <cell r="H12384">
            <v>45962</v>
          </cell>
          <cell r="I12384" t="str">
            <v>6375 - Freight Expenses</v>
          </cell>
          <cell r="J12384" t="str">
            <v>Wholesale</v>
          </cell>
          <cell r="K12384" t="str">
            <v>Wholesale</v>
          </cell>
          <cell r="L12384" t="str">
            <v>Freight</v>
          </cell>
          <cell r="N12384" t="str">
            <v>Direct Costs</v>
          </cell>
          <cell r="O12384" t="str">
            <v>UPS Supply Chain Solutions Inc. (7F24A0)</v>
          </cell>
        </row>
        <row r="12385">
          <cell r="D12385">
            <v>-1045.1600000000001</v>
          </cell>
          <cell r="H12385">
            <v>45962</v>
          </cell>
          <cell r="I12385" t="str">
            <v>6375 - Freight Expenses</v>
          </cell>
          <cell r="J12385" t="str">
            <v>Wholesale</v>
          </cell>
          <cell r="K12385" t="str">
            <v>Wholesale</v>
          </cell>
          <cell r="L12385" t="str">
            <v>Freight</v>
          </cell>
          <cell r="N12385" t="str">
            <v>Direct Costs</v>
          </cell>
          <cell r="O12385" t="str">
            <v>[No Vendor]</v>
          </cell>
        </row>
        <row r="12386">
          <cell r="D12386">
            <v>-26771.8</v>
          </cell>
          <cell r="H12386">
            <v>45962</v>
          </cell>
          <cell r="I12386" t="str">
            <v>6375 - Freight Expenses</v>
          </cell>
          <cell r="J12386" t="str">
            <v>Ecommerce (US)</v>
          </cell>
          <cell r="K12386" t="str">
            <v>Ecommerce</v>
          </cell>
          <cell r="L12386" t="str">
            <v>Freight</v>
          </cell>
          <cell r="N12386" t="str">
            <v>Direct Costs</v>
          </cell>
          <cell r="O12386" t="str">
            <v>[No Vendor]</v>
          </cell>
        </row>
        <row r="12387">
          <cell r="D12387">
            <v>16.05</v>
          </cell>
          <cell r="H12387">
            <v>45962</v>
          </cell>
          <cell r="I12387" t="str">
            <v>6375 - Freight Expenses</v>
          </cell>
          <cell r="J12387">
            <v>0</v>
          </cell>
          <cell r="K12387" t="str">
            <v>Design</v>
          </cell>
          <cell r="L12387" t="str">
            <v>Freight</v>
          </cell>
          <cell r="N12387" t="str">
            <v>Direct Costs</v>
          </cell>
          <cell r="O12387" t="str">
            <v>DHL Express - USA</v>
          </cell>
        </row>
        <row r="12388">
          <cell r="D12388">
            <v>17</v>
          </cell>
          <cell r="H12388">
            <v>45962</v>
          </cell>
          <cell r="I12388" t="str">
            <v>6375 - Freight Expenses</v>
          </cell>
          <cell r="J12388">
            <v>0</v>
          </cell>
          <cell r="K12388" t="str">
            <v>Design</v>
          </cell>
          <cell r="L12388" t="str">
            <v>Freight</v>
          </cell>
          <cell r="N12388" t="str">
            <v>Direct Costs</v>
          </cell>
          <cell r="O12388" t="str">
            <v>DHL Express - USA</v>
          </cell>
        </row>
        <row r="12389">
          <cell r="D12389">
            <v>1.34</v>
          </cell>
          <cell r="H12389">
            <v>45962</v>
          </cell>
          <cell r="I12389" t="str">
            <v>6375 - Freight Expenses</v>
          </cell>
          <cell r="J12389">
            <v>0</v>
          </cell>
          <cell r="K12389" t="str">
            <v>Design</v>
          </cell>
          <cell r="L12389" t="str">
            <v>Freight</v>
          </cell>
          <cell r="N12389" t="str">
            <v>Direct Costs</v>
          </cell>
          <cell r="O12389" t="str">
            <v>DHL Express - USA</v>
          </cell>
        </row>
        <row r="12390">
          <cell r="D12390">
            <v>7.9</v>
          </cell>
          <cell r="H12390">
            <v>45962</v>
          </cell>
          <cell r="I12390" t="str">
            <v>6375 - Freight Expenses</v>
          </cell>
          <cell r="J12390">
            <v>0</v>
          </cell>
          <cell r="K12390" t="str">
            <v>Production</v>
          </cell>
          <cell r="L12390" t="str">
            <v>Freight</v>
          </cell>
          <cell r="N12390" t="str">
            <v>Direct Costs</v>
          </cell>
          <cell r="O12390" t="str">
            <v>DHL Express - USA</v>
          </cell>
        </row>
        <row r="12391">
          <cell r="D12391">
            <v>17</v>
          </cell>
          <cell r="H12391">
            <v>45962</v>
          </cell>
          <cell r="I12391" t="str">
            <v>6375 - Freight Expenses</v>
          </cell>
          <cell r="J12391">
            <v>0</v>
          </cell>
          <cell r="K12391" t="str">
            <v>Production</v>
          </cell>
          <cell r="L12391" t="str">
            <v>Freight</v>
          </cell>
          <cell r="N12391" t="str">
            <v>Direct Costs</v>
          </cell>
          <cell r="O12391" t="str">
            <v>DHL Express - USA</v>
          </cell>
        </row>
        <row r="12392">
          <cell r="D12392">
            <v>1.34</v>
          </cell>
          <cell r="H12392">
            <v>45962</v>
          </cell>
          <cell r="I12392" t="str">
            <v>6375 - Freight Expenses</v>
          </cell>
          <cell r="J12392">
            <v>0</v>
          </cell>
          <cell r="K12392" t="str">
            <v>Production</v>
          </cell>
          <cell r="L12392" t="str">
            <v>Freight</v>
          </cell>
          <cell r="N12392" t="str">
            <v>Direct Costs</v>
          </cell>
          <cell r="O12392" t="str">
            <v>DHL Express - USA</v>
          </cell>
        </row>
        <row r="12393">
          <cell r="D12393">
            <v>101.07</v>
          </cell>
          <cell r="H12393">
            <v>45962</v>
          </cell>
          <cell r="I12393" t="str">
            <v>6375 - Freight Expenses</v>
          </cell>
          <cell r="J12393" t="str">
            <v>Ecommerce (US)</v>
          </cell>
          <cell r="K12393" t="str">
            <v>Ecommerce</v>
          </cell>
          <cell r="L12393" t="str">
            <v>Freight</v>
          </cell>
          <cell r="N12393" t="str">
            <v>Direct Costs</v>
          </cell>
          <cell r="O12393" t="str">
            <v>UPS Supply Chain Solutions Inc. (7F24A0)</v>
          </cell>
        </row>
        <row r="12394">
          <cell r="D12394">
            <v>1.69</v>
          </cell>
          <cell r="H12394">
            <v>45962</v>
          </cell>
          <cell r="I12394" t="str">
            <v>6375 - Freight Expenses</v>
          </cell>
          <cell r="J12394">
            <v>0</v>
          </cell>
          <cell r="K12394" t="str">
            <v>Production</v>
          </cell>
          <cell r="L12394" t="str">
            <v>Freight</v>
          </cell>
          <cell r="N12394" t="str">
            <v>Direct Costs</v>
          </cell>
          <cell r="O12394" t="str">
            <v>DHL Express - USA</v>
          </cell>
        </row>
        <row r="12395">
          <cell r="D12395">
            <v>17</v>
          </cell>
          <cell r="H12395">
            <v>45962</v>
          </cell>
          <cell r="I12395" t="str">
            <v>6375 - Freight Expenses</v>
          </cell>
          <cell r="J12395">
            <v>0</v>
          </cell>
          <cell r="K12395" t="str">
            <v>Production</v>
          </cell>
          <cell r="L12395" t="str">
            <v>Freight</v>
          </cell>
          <cell r="N12395" t="str">
            <v>Direct Costs</v>
          </cell>
          <cell r="O12395" t="str">
            <v>DHL Express - USA</v>
          </cell>
        </row>
        <row r="12396">
          <cell r="D12396">
            <v>1.34</v>
          </cell>
          <cell r="H12396">
            <v>45962</v>
          </cell>
          <cell r="I12396" t="str">
            <v>6375 - Freight Expenses</v>
          </cell>
          <cell r="J12396">
            <v>0</v>
          </cell>
          <cell r="K12396" t="str">
            <v>Production</v>
          </cell>
          <cell r="L12396" t="str">
            <v>Freight</v>
          </cell>
          <cell r="N12396" t="str">
            <v>Direct Costs</v>
          </cell>
          <cell r="O12396" t="str">
            <v>DHL Express - USA</v>
          </cell>
        </row>
        <row r="12397">
          <cell r="D12397">
            <v>107.32</v>
          </cell>
          <cell r="H12397">
            <v>45962</v>
          </cell>
          <cell r="I12397" t="str">
            <v>6375 - Freight Expenses</v>
          </cell>
          <cell r="J12397">
            <v>0</v>
          </cell>
          <cell r="K12397" t="str">
            <v>Design</v>
          </cell>
          <cell r="L12397" t="str">
            <v>Freight</v>
          </cell>
          <cell r="N12397" t="str">
            <v>Direct Costs</v>
          </cell>
          <cell r="O12397" t="str">
            <v>DHL Express - USA</v>
          </cell>
        </row>
        <row r="12398">
          <cell r="D12398">
            <v>310.82</v>
          </cell>
          <cell r="H12398">
            <v>45962</v>
          </cell>
          <cell r="I12398" t="str">
            <v>6375 - Freight Expenses</v>
          </cell>
          <cell r="J12398">
            <v>0</v>
          </cell>
          <cell r="K12398" t="str">
            <v>Production</v>
          </cell>
          <cell r="L12398" t="str">
            <v>Freight</v>
          </cell>
          <cell r="N12398" t="str">
            <v>Direct Costs</v>
          </cell>
          <cell r="O12398" t="str">
            <v>DHL Express - USA</v>
          </cell>
        </row>
        <row r="12399">
          <cell r="D12399">
            <v>21.31</v>
          </cell>
          <cell r="H12399">
            <v>45962</v>
          </cell>
          <cell r="I12399" t="str">
            <v>6375 - Freight Expenses</v>
          </cell>
          <cell r="J12399">
            <v>0</v>
          </cell>
          <cell r="K12399" t="str">
            <v>Brand Marketing</v>
          </cell>
          <cell r="L12399" t="str">
            <v>Freight</v>
          </cell>
          <cell r="N12399" t="str">
            <v>Direct Costs</v>
          </cell>
          <cell r="O12399" t="str">
            <v>Federal Express</v>
          </cell>
        </row>
        <row r="12400">
          <cell r="D12400">
            <v>49.55</v>
          </cell>
          <cell r="H12400">
            <v>45962</v>
          </cell>
          <cell r="I12400" t="str">
            <v>6375 - Freight Expenses</v>
          </cell>
          <cell r="J12400">
            <v>0</v>
          </cell>
          <cell r="K12400" t="str">
            <v>Brand Marketing</v>
          </cell>
          <cell r="L12400" t="str">
            <v>Freight</v>
          </cell>
          <cell r="N12400" t="str">
            <v>Direct Costs</v>
          </cell>
          <cell r="O12400" t="str">
            <v>Federal Express</v>
          </cell>
        </row>
        <row r="12401">
          <cell r="D12401">
            <v>656.35</v>
          </cell>
          <cell r="H12401">
            <v>45962</v>
          </cell>
          <cell r="I12401" t="str">
            <v>6375 - Freight Expenses</v>
          </cell>
          <cell r="J12401" t="str">
            <v>Ecommerce (US)</v>
          </cell>
          <cell r="K12401" t="str">
            <v>Ecommerce</v>
          </cell>
          <cell r="L12401" t="str">
            <v>Freight</v>
          </cell>
          <cell r="N12401" t="str">
            <v>Direct Costs</v>
          </cell>
          <cell r="O12401" t="str">
            <v>UPS Supply Chain Solutions Inc. (7F24A0)</v>
          </cell>
        </row>
        <row r="12402">
          <cell r="D12402">
            <v>19.66</v>
          </cell>
          <cell r="H12402">
            <v>45962</v>
          </cell>
          <cell r="I12402" t="str">
            <v>6375 - Freight Expenses</v>
          </cell>
          <cell r="J12402">
            <v>0</v>
          </cell>
          <cell r="K12402" t="str">
            <v>Design</v>
          </cell>
          <cell r="L12402" t="str">
            <v>Freight</v>
          </cell>
          <cell r="N12402" t="str">
            <v>Direct Costs</v>
          </cell>
          <cell r="O12402" t="str">
            <v>DHL Express - USA</v>
          </cell>
        </row>
        <row r="12403">
          <cell r="D12403">
            <v>79.73</v>
          </cell>
          <cell r="H12403">
            <v>45962</v>
          </cell>
          <cell r="I12403" t="str">
            <v>6375 - Freight Expenses</v>
          </cell>
          <cell r="J12403" t="str">
            <v>Ecommerce (US)</v>
          </cell>
          <cell r="K12403" t="str">
            <v>Ecommerce</v>
          </cell>
          <cell r="L12403" t="str">
            <v>Freight</v>
          </cell>
          <cell r="N12403" t="str">
            <v>Direct Costs</v>
          </cell>
          <cell r="O12403" t="str">
            <v>UPS Supply Chain Solutions Inc. (7F24A0)</v>
          </cell>
        </row>
        <row r="12404">
          <cell r="D12404">
            <v>14.32</v>
          </cell>
          <cell r="H12404">
            <v>45962</v>
          </cell>
          <cell r="I12404" t="str">
            <v>6375 - Freight Expenses</v>
          </cell>
          <cell r="J12404" t="str">
            <v>Ecommerce (US)</v>
          </cell>
          <cell r="K12404" t="str">
            <v>Ecommerce</v>
          </cell>
          <cell r="L12404" t="str">
            <v>Freight</v>
          </cell>
          <cell r="N12404" t="str">
            <v>Direct Costs</v>
          </cell>
          <cell r="O12404" t="str">
            <v>UPS Supply Chain Solutions Inc. (7F24A0)</v>
          </cell>
        </row>
        <row r="12405">
          <cell r="D12405">
            <v>318.14999999999998</v>
          </cell>
          <cell r="H12405">
            <v>45962</v>
          </cell>
          <cell r="I12405" t="str">
            <v>6375 - Freight Expenses</v>
          </cell>
          <cell r="J12405" t="str">
            <v>Wholesale</v>
          </cell>
          <cell r="K12405" t="str">
            <v>Wholesale</v>
          </cell>
          <cell r="L12405" t="str">
            <v>Freight</v>
          </cell>
          <cell r="N12405" t="str">
            <v>Direct Costs</v>
          </cell>
          <cell r="O12405" t="str">
            <v>UPS Supply Chain Solutions Inc. (7F24A0)</v>
          </cell>
        </row>
        <row r="12406">
          <cell r="D12406">
            <v>23003.86</v>
          </cell>
          <cell r="H12406">
            <v>45962</v>
          </cell>
          <cell r="I12406" t="str">
            <v>6375 - Freight Expenses</v>
          </cell>
          <cell r="J12406" t="str">
            <v>Ecommerce (US)</v>
          </cell>
          <cell r="K12406" t="str">
            <v>Ecommerce</v>
          </cell>
          <cell r="L12406" t="str">
            <v>Freight</v>
          </cell>
          <cell r="N12406" t="str">
            <v>Direct Costs</v>
          </cell>
          <cell r="O12406" t="str">
            <v>UPS Supply Chain Solutions Inc. (7F24A0)</v>
          </cell>
        </row>
        <row r="12407">
          <cell r="D12407">
            <v>4.72</v>
          </cell>
          <cell r="H12407">
            <v>45962</v>
          </cell>
          <cell r="I12407" t="str">
            <v>6375 - Freight Expenses</v>
          </cell>
          <cell r="J12407">
            <v>0</v>
          </cell>
          <cell r="K12407" t="str">
            <v>Production</v>
          </cell>
          <cell r="L12407" t="str">
            <v>Freight</v>
          </cell>
          <cell r="N12407" t="str">
            <v>Direct Costs</v>
          </cell>
          <cell r="O12407" t="str">
            <v>DHL Express - USA</v>
          </cell>
        </row>
        <row r="12408">
          <cell r="D12408">
            <v>17</v>
          </cell>
          <cell r="H12408">
            <v>45962</v>
          </cell>
          <cell r="I12408" t="str">
            <v>6375 - Freight Expenses</v>
          </cell>
          <cell r="J12408">
            <v>0</v>
          </cell>
          <cell r="K12408" t="str">
            <v>Production</v>
          </cell>
          <cell r="L12408" t="str">
            <v>Freight</v>
          </cell>
          <cell r="N12408" t="str">
            <v>Direct Costs</v>
          </cell>
          <cell r="O12408" t="str">
            <v>DHL Express - USA</v>
          </cell>
        </row>
        <row r="12409">
          <cell r="D12409">
            <v>1.34</v>
          </cell>
          <cell r="H12409">
            <v>45962</v>
          </cell>
          <cell r="I12409" t="str">
            <v>6375 - Freight Expenses</v>
          </cell>
          <cell r="J12409">
            <v>0</v>
          </cell>
          <cell r="K12409" t="str">
            <v>Production</v>
          </cell>
          <cell r="L12409" t="str">
            <v>Freight</v>
          </cell>
          <cell r="N12409" t="str">
            <v>Direct Costs</v>
          </cell>
          <cell r="O12409" t="str">
            <v>DHL Express - USA</v>
          </cell>
        </row>
        <row r="12410">
          <cell r="D12410">
            <v>48.15</v>
          </cell>
          <cell r="H12410">
            <v>45962</v>
          </cell>
          <cell r="I12410" t="str">
            <v>6375 - Freight Expenses</v>
          </cell>
          <cell r="J12410">
            <v>0</v>
          </cell>
          <cell r="K12410" t="str">
            <v>Design</v>
          </cell>
          <cell r="L12410" t="str">
            <v>Freight</v>
          </cell>
          <cell r="N12410" t="str">
            <v>Direct Costs</v>
          </cell>
          <cell r="O12410" t="str">
            <v>DHL Express - USA</v>
          </cell>
        </row>
        <row r="12411">
          <cell r="D12411">
            <v>17</v>
          </cell>
          <cell r="H12411">
            <v>45962</v>
          </cell>
          <cell r="I12411" t="str">
            <v>6375 - Freight Expenses</v>
          </cell>
          <cell r="J12411">
            <v>0</v>
          </cell>
          <cell r="K12411" t="str">
            <v>Design</v>
          </cell>
          <cell r="L12411" t="str">
            <v>Freight</v>
          </cell>
          <cell r="N12411" t="str">
            <v>Direct Costs</v>
          </cell>
          <cell r="O12411" t="str">
            <v>DHL Express - USA</v>
          </cell>
        </row>
        <row r="12412">
          <cell r="D12412">
            <v>1.34</v>
          </cell>
          <cell r="H12412">
            <v>45962</v>
          </cell>
          <cell r="I12412" t="str">
            <v>6375 - Freight Expenses</v>
          </cell>
          <cell r="J12412">
            <v>0</v>
          </cell>
          <cell r="K12412" t="str">
            <v>Design</v>
          </cell>
          <cell r="L12412" t="str">
            <v>Freight</v>
          </cell>
          <cell r="N12412" t="str">
            <v>Direct Costs</v>
          </cell>
          <cell r="O12412" t="str">
            <v>DHL Express - USA</v>
          </cell>
        </row>
        <row r="12413">
          <cell r="D12413">
            <v>14.6</v>
          </cell>
          <cell r="H12413">
            <v>45962</v>
          </cell>
          <cell r="I12413" t="str">
            <v>6375 - Freight Expenses</v>
          </cell>
          <cell r="J12413">
            <v>0</v>
          </cell>
          <cell r="K12413" t="str">
            <v>Production</v>
          </cell>
          <cell r="L12413" t="str">
            <v>Freight</v>
          </cell>
          <cell r="N12413" t="str">
            <v>Direct Costs</v>
          </cell>
          <cell r="O12413" t="str">
            <v>DHL Express - USA</v>
          </cell>
        </row>
        <row r="12414">
          <cell r="D12414">
            <v>17</v>
          </cell>
          <cell r="H12414">
            <v>45962</v>
          </cell>
          <cell r="I12414" t="str">
            <v>6375 - Freight Expenses</v>
          </cell>
          <cell r="J12414">
            <v>0</v>
          </cell>
          <cell r="K12414" t="str">
            <v>Production</v>
          </cell>
          <cell r="L12414" t="str">
            <v>Freight</v>
          </cell>
          <cell r="N12414" t="str">
            <v>Direct Costs</v>
          </cell>
          <cell r="O12414" t="str">
            <v>DHL Express - USA</v>
          </cell>
        </row>
        <row r="12415">
          <cell r="D12415">
            <v>1.34</v>
          </cell>
          <cell r="H12415">
            <v>45962</v>
          </cell>
          <cell r="I12415" t="str">
            <v>6375 - Freight Expenses</v>
          </cell>
          <cell r="J12415">
            <v>0</v>
          </cell>
          <cell r="K12415" t="str">
            <v>Production</v>
          </cell>
          <cell r="L12415" t="str">
            <v>Freight</v>
          </cell>
          <cell r="N12415" t="str">
            <v>Direct Costs</v>
          </cell>
          <cell r="O12415" t="str">
            <v>DHL Express - USA</v>
          </cell>
        </row>
        <row r="12416">
          <cell r="D12416">
            <v>96.18</v>
          </cell>
          <cell r="H12416">
            <v>45962</v>
          </cell>
          <cell r="I12416" t="str">
            <v>6375 - Freight Expenses</v>
          </cell>
          <cell r="J12416">
            <v>0</v>
          </cell>
          <cell r="K12416" t="str">
            <v>Brand Marketing</v>
          </cell>
          <cell r="L12416" t="str">
            <v>Freight</v>
          </cell>
          <cell r="N12416" t="str">
            <v>Direct Costs</v>
          </cell>
          <cell r="O12416" t="str">
            <v>Federal Express</v>
          </cell>
        </row>
        <row r="12417">
          <cell r="D12417">
            <v>16.05</v>
          </cell>
          <cell r="H12417">
            <v>45962</v>
          </cell>
          <cell r="I12417" t="str">
            <v>6375 - Freight Expenses</v>
          </cell>
          <cell r="J12417">
            <v>0</v>
          </cell>
          <cell r="K12417" t="str">
            <v>Design</v>
          </cell>
          <cell r="L12417" t="str">
            <v>Freight</v>
          </cell>
          <cell r="N12417" t="str">
            <v>Direct Costs</v>
          </cell>
          <cell r="O12417" t="str">
            <v>DHL Express - USA</v>
          </cell>
        </row>
        <row r="12418">
          <cell r="D12418">
            <v>17</v>
          </cell>
          <cell r="H12418">
            <v>45962</v>
          </cell>
          <cell r="I12418" t="str">
            <v>6375 - Freight Expenses</v>
          </cell>
          <cell r="J12418">
            <v>0</v>
          </cell>
          <cell r="K12418" t="str">
            <v>Design</v>
          </cell>
          <cell r="L12418" t="str">
            <v>Freight</v>
          </cell>
          <cell r="N12418" t="str">
            <v>Direct Costs</v>
          </cell>
          <cell r="O12418" t="str">
            <v>DHL Express - USA</v>
          </cell>
        </row>
        <row r="12419">
          <cell r="D12419">
            <v>1.34</v>
          </cell>
          <cell r="H12419">
            <v>45962</v>
          </cell>
          <cell r="I12419" t="str">
            <v>6375 - Freight Expenses</v>
          </cell>
          <cell r="J12419">
            <v>0</v>
          </cell>
          <cell r="K12419" t="str">
            <v>Design</v>
          </cell>
          <cell r="L12419" t="str">
            <v>Freight</v>
          </cell>
          <cell r="N12419" t="str">
            <v>Direct Costs</v>
          </cell>
          <cell r="O12419" t="str">
            <v>DHL Express - USA</v>
          </cell>
        </row>
        <row r="12420">
          <cell r="D12420">
            <v>212.44</v>
          </cell>
          <cell r="H12420">
            <v>45962</v>
          </cell>
          <cell r="I12420" t="str">
            <v>6375 - Freight Expenses</v>
          </cell>
          <cell r="J12420">
            <v>0</v>
          </cell>
          <cell r="K12420" t="str">
            <v>Production</v>
          </cell>
          <cell r="L12420" t="str">
            <v>Freight</v>
          </cell>
          <cell r="N12420" t="str">
            <v>Direct Costs</v>
          </cell>
          <cell r="O12420" t="str">
            <v>DHL Express - USA</v>
          </cell>
        </row>
        <row r="12421">
          <cell r="D12421">
            <v>301.33999999999997</v>
          </cell>
          <cell r="H12421">
            <v>45962</v>
          </cell>
          <cell r="I12421" t="str">
            <v>6375 - Freight Expenses</v>
          </cell>
          <cell r="J12421">
            <v>0</v>
          </cell>
          <cell r="K12421" t="str">
            <v>Production</v>
          </cell>
          <cell r="L12421" t="str">
            <v>Freight</v>
          </cell>
          <cell r="N12421" t="str">
            <v>Direct Costs</v>
          </cell>
          <cell r="O12421" t="str">
            <v>DHL Express - USA</v>
          </cell>
        </row>
        <row r="12422">
          <cell r="D12422">
            <v>234.94</v>
          </cell>
          <cell r="H12422">
            <v>45962</v>
          </cell>
          <cell r="I12422" t="str">
            <v>6375 - Freight Expenses</v>
          </cell>
          <cell r="J12422">
            <v>0</v>
          </cell>
          <cell r="K12422" t="str">
            <v>Brand Marketing</v>
          </cell>
          <cell r="L12422" t="str">
            <v>Freight</v>
          </cell>
          <cell r="N12422" t="str">
            <v>Direct Costs</v>
          </cell>
          <cell r="O12422" t="str">
            <v>GFD Courier Corporation</v>
          </cell>
        </row>
        <row r="12423">
          <cell r="D12423">
            <v>562.66</v>
          </cell>
          <cell r="H12423">
            <v>45962</v>
          </cell>
          <cell r="I12423" t="str">
            <v>6375 - Freight Expenses</v>
          </cell>
          <cell r="J12423" t="str">
            <v>Ecommerce (US)</v>
          </cell>
          <cell r="K12423" t="str">
            <v>Ecommerce</v>
          </cell>
          <cell r="L12423" t="str">
            <v>Freight</v>
          </cell>
          <cell r="N12423" t="str">
            <v>Direct Costs</v>
          </cell>
          <cell r="O12423" t="str">
            <v>UPS Supply Chain Solutions Inc. (7F24A0)</v>
          </cell>
        </row>
        <row r="12424">
          <cell r="D12424">
            <v>351.63</v>
          </cell>
          <cell r="H12424">
            <v>45962</v>
          </cell>
          <cell r="I12424" t="str">
            <v>6375 - Freight Expenses</v>
          </cell>
          <cell r="J12424" t="str">
            <v>Ecommerce (US)</v>
          </cell>
          <cell r="K12424" t="str">
            <v>Ecommerce</v>
          </cell>
          <cell r="L12424" t="str">
            <v>Freight</v>
          </cell>
          <cell r="N12424" t="str">
            <v>Direct Costs</v>
          </cell>
          <cell r="O12424" t="str">
            <v>UPS Supply Chain Solutions Inc. (7F24A0)</v>
          </cell>
        </row>
        <row r="12425">
          <cell r="D12425">
            <v>60.62</v>
          </cell>
          <cell r="H12425">
            <v>45962</v>
          </cell>
          <cell r="I12425" t="str">
            <v>6375 - Freight Expenses</v>
          </cell>
          <cell r="J12425" t="str">
            <v>Wholesale</v>
          </cell>
          <cell r="K12425" t="str">
            <v>Wholesale</v>
          </cell>
          <cell r="L12425" t="str">
            <v>Freight</v>
          </cell>
          <cell r="N12425" t="str">
            <v>Direct Costs</v>
          </cell>
          <cell r="O12425" t="str">
            <v>UPS Supply Chain Solutions Inc. (7F24A0)</v>
          </cell>
        </row>
        <row r="12426">
          <cell r="D12426">
            <v>23530.87</v>
          </cell>
          <cell r="H12426">
            <v>45962</v>
          </cell>
          <cell r="I12426" t="str">
            <v>6375 - Freight Expenses</v>
          </cell>
          <cell r="J12426" t="str">
            <v>Ecommerce (US)</v>
          </cell>
          <cell r="K12426" t="str">
            <v>Ecommerce</v>
          </cell>
          <cell r="L12426" t="str">
            <v>Freight</v>
          </cell>
          <cell r="N12426" t="str">
            <v>Direct Costs</v>
          </cell>
          <cell r="O12426" t="str">
            <v>UPS Supply Chain Solutions Inc. (7F24A0)</v>
          </cell>
        </row>
        <row r="12427">
          <cell r="D12427">
            <v>28.5</v>
          </cell>
          <cell r="H12427">
            <v>45962</v>
          </cell>
          <cell r="I12427" t="str">
            <v>6375 - Freight Expenses</v>
          </cell>
          <cell r="J12427">
            <v>0</v>
          </cell>
          <cell r="K12427" t="str">
            <v>Production</v>
          </cell>
          <cell r="L12427" t="str">
            <v>Freight</v>
          </cell>
          <cell r="N12427" t="str">
            <v>Direct Costs</v>
          </cell>
          <cell r="O12427" t="str">
            <v>Federal Express</v>
          </cell>
        </row>
        <row r="12428">
          <cell r="D12428">
            <v>77.44</v>
          </cell>
          <cell r="H12428">
            <v>45962</v>
          </cell>
          <cell r="I12428" t="str">
            <v>6375 - Freight Expenses</v>
          </cell>
          <cell r="J12428" t="str">
            <v>Ecommerce (US)</v>
          </cell>
          <cell r="K12428" t="str">
            <v>Ecommerce</v>
          </cell>
          <cell r="L12428" t="str">
            <v>Freight</v>
          </cell>
          <cell r="N12428" t="str">
            <v>Direct Costs</v>
          </cell>
          <cell r="O12428" t="str">
            <v>UPS Supply Chain Solutions Inc. (7F24A0)</v>
          </cell>
        </row>
        <row r="12429">
          <cell r="D12429">
            <v>71.58</v>
          </cell>
          <cell r="H12429">
            <v>45962</v>
          </cell>
          <cell r="I12429" t="str">
            <v>6375 - Freight Expenses</v>
          </cell>
          <cell r="J12429">
            <v>0</v>
          </cell>
          <cell r="K12429" t="str">
            <v>Administration</v>
          </cell>
          <cell r="L12429" t="str">
            <v>Freight</v>
          </cell>
          <cell r="N12429" t="str">
            <v>Direct Costs</v>
          </cell>
          <cell r="O12429" t="str">
            <v>Federal Express</v>
          </cell>
        </row>
        <row r="12430">
          <cell r="D12430">
            <v>5.99</v>
          </cell>
          <cell r="H12430">
            <v>45962</v>
          </cell>
          <cell r="I12430" t="str">
            <v>6375 - Freight Expenses</v>
          </cell>
          <cell r="J12430">
            <v>0</v>
          </cell>
          <cell r="K12430" t="str">
            <v>Production</v>
          </cell>
          <cell r="L12430" t="str">
            <v>Freight</v>
          </cell>
          <cell r="N12430" t="str">
            <v>Direct Costs</v>
          </cell>
          <cell r="O12430" t="str">
            <v>DHL Express - USA</v>
          </cell>
        </row>
        <row r="12431">
          <cell r="D12431">
            <v>17</v>
          </cell>
          <cell r="H12431">
            <v>45962</v>
          </cell>
          <cell r="I12431" t="str">
            <v>6375 - Freight Expenses</v>
          </cell>
          <cell r="J12431">
            <v>0</v>
          </cell>
          <cell r="K12431" t="str">
            <v>Production</v>
          </cell>
          <cell r="L12431" t="str">
            <v>Freight</v>
          </cell>
          <cell r="N12431" t="str">
            <v>Direct Costs</v>
          </cell>
          <cell r="O12431" t="str">
            <v>DHL Express - USA</v>
          </cell>
        </row>
        <row r="12432">
          <cell r="D12432">
            <v>1.34</v>
          </cell>
          <cell r="H12432">
            <v>45962</v>
          </cell>
          <cell r="I12432" t="str">
            <v>6375 - Freight Expenses</v>
          </cell>
          <cell r="J12432">
            <v>0</v>
          </cell>
          <cell r="K12432" t="str">
            <v>Production</v>
          </cell>
          <cell r="L12432" t="str">
            <v>Freight</v>
          </cell>
          <cell r="N12432" t="str">
            <v>Direct Costs</v>
          </cell>
          <cell r="O12432" t="str">
            <v>DHL Express - USA</v>
          </cell>
        </row>
        <row r="12433">
          <cell r="D12433">
            <v>425.95</v>
          </cell>
          <cell r="H12433">
            <v>45962</v>
          </cell>
          <cell r="I12433" t="str">
            <v>6375 - Freight Expenses</v>
          </cell>
          <cell r="J12433">
            <v>0</v>
          </cell>
          <cell r="K12433" t="str">
            <v>Design</v>
          </cell>
          <cell r="L12433" t="str">
            <v>Freight</v>
          </cell>
          <cell r="N12433" t="str">
            <v>Direct Costs</v>
          </cell>
          <cell r="O12433" t="str">
            <v>DHL Express - USA</v>
          </cell>
        </row>
        <row r="12434">
          <cell r="D12434">
            <v>119.2</v>
          </cell>
          <cell r="H12434">
            <v>45962</v>
          </cell>
          <cell r="I12434" t="str">
            <v>6375 - Freight Expenses</v>
          </cell>
          <cell r="J12434">
            <v>0</v>
          </cell>
          <cell r="K12434" t="str">
            <v>Production</v>
          </cell>
          <cell r="L12434" t="str">
            <v>Freight</v>
          </cell>
          <cell r="N12434" t="str">
            <v>Direct Costs</v>
          </cell>
          <cell r="O12434" t="str">
            <v>DHL Express - USA</v>
          </cell>
        </row>
        <row r="12435">
          <cell r="D12435">
            <v>187.24</v>
          </cell>
          <cell r="H12435">
            <v>45962</v>
          </cell>
          <cell r="I12435" t="str">
            <v>6375 - Freight Expenses</v>
          </cell>
          <cell r="J12435">
            <v>0</v>
          </cell>
          <cell r="K12435" t="str">
            <v>Production</v>
          </cell>
          <cell r="L12435" t="str">
            <v>Freight</v>
          </cell>
          <cell r="N12435" t="str">
            <v>Direct Costs</v>
          </cell>
          <cell r="O12435" t="str">
            <v>DHL Express - USA</v>
          </cell>
        </row>
        <row r="12436">
          <cell r="D12436">
            <v>18.93</v>
          </cell>
          <cell r="H12436">
            <v>45962</v>
          </cell>
          <cell r="I12436" t="str">
            <v>6375 - Freight Expenses</v>
          </cell>
          <cell r="J12436">
            <v>0</v>
          </cell>
          <cell r="K12436" t="str">
            <v>Production</v>
          </cell>
          <cell r="L12436" t="str">
            <v>Freight</v>
          </cell>
          <cell r="N12436" t="str">
            <v>Direct Costs</v>
          </cell>
          <cell r="O12436" t="str">
            <v>DHL Express - USA</v>
          </cell>
        </row>
        <row r="12437">
          <cell r="D12437">
            <v>16.05</v>
          </cell>
          <cell r="H12437">
            <v>45962</v>
          </cell>
          <cell r="I12437" t="str">
            <v>6375 - Freight Expenses</v>
          </cell>
          <cell r="J12437">
            <v>0</v>
          </cell>
          <cell r="K12437" t="str">
            <v>Design</v>
          </cell>
          <cell r="L12437" t="str">
            <v>Freight</v>
          </cell>
          <cell r="N12437" t="str">
            <v>Direct Costs</v>
          </cell>
          <cell r="O12437" t="str">
            <v>DHL Express - USA</v>
          </cell>
        </row>
        <row r="12438">
          <cell r="D12438">
            <v>17</v>
          </cell>
          <cell r="H12438">
            <v>45962</v>
          </cell>
          <cell r="I12438" t="str">
            <v>6375 - Freight Expenses</v>
          </cell>
          <cell r="J12438">
            <v>0</v>
          </cell>
          <cell r="K12438" t="str">
            <v>Design</v>
          </cell>
          <cell r="L12438" t="str">
            <v>Freight</v>
          </cell>
          <cell r="N12438" t="str">
            <v>Direct Costs</v>
          </cell>
          <cell r="O12438" t="str">
            <v>DHL Express - USA</v>
          </cell>
        </row>
        <row r="12439">
          <cell r="D12439">
            <v>1.34</v>
          </cell>
          <cell r="H12439">
            <v>45962</v>
          </cell>
          <cell r="I12439" t="str">
            <v>6375 - Freight Expenses</v>
          </cell>
          <cell r="J12439">
            <v>0</v>
          </cell>
          <cell r="K12439" t="str">
            <v>Design</v>
          </cell>
          <cell r="L12439" t="str">
            <v>Freight</v>
          </cell>
          <cell r="N12439" t="str">
            <v>Direct Costs</v>
          </cell>
          <cell r="O12439" t="str">
            <v>DHL Express - USA</v>
          </cell>
        </row>
        <row r="12440">
          <cell r="D12440">
            <v>1042.48</v>
          </cell>
          <cell r="H12440">
            <v>45962</v>
          </cell>
          <cell r="I12440" t="str">
            <v>6375 - Freight Expenses</v>
          </cell>
          <cell r="J12440" t="str">
            <v>Ecommerce (US)</v>
          </cell>
          <cell r="K12440" t="str">
            <v>Ecommerce</v>
          </cell>
          <cell r="L12440" t="str">
            <v>Freight</v>
          </cell>
          <cell r="N12440" t="str">
            <v>Direct Costs</v>
          </cell>
          <cell r="O12440" t="str">
            <v>UPS Supply Chain Solutions Inc. (7F24A0)</v>
          </cell>
        </row>
        <row r="12441">
          <cell r="D12441">
            <v>316.54000000000002</v>
          </cell>
          <cell r="H12441">
            <v>45962</v>
          </cell>
          <cell r="I12441" t="str">
            <v>6375 - Freight Expenses</v>
          </cell>
          <cell r="J12441" t="str">
            <v>Ecommerce (US)</v>
          </cell>
          <cell r="K12441" t="str">
            <v>Ecommerce</v>
          </cell>
          <cell r="L12441" t="str">
            <v>Freight</v>
          </cell>
          <cell r="N12441" t="str">
            <v>Direct Costs</v>
          </cell>
          <cell r="O12441" t="str">
            <v>UPS Supply Chain Solutions Inc. (7F24A0)</v>
          </cell>
        </row>
        <row r="12442">
          <cell r="D12442">
            <v>456.35</v>
          </cell>
          <cell r="H12442">
            <v>45962</v>
          </cell>
          <cell r="I12442" t="str">
            <v>6375 - Freight Expenses</v>
          </cell>
          <cell r="J12442" t="str">
            <v>Wholesale</v>
          </cell>
          <cell r="K12442" t="str">
            <v>Wholesale</v>
          </cell>
          <cell r="L12442" t="str">
            <v>Freight</v>
          </cell>
          <cell r="N12442" t="str">
            <v>Direct Costs</v>
          </cell>
          <cell r="O12442" t="str">
            <v>UPS Supply Chain Solutions Inc. (7F24A0)</v>
          </cell>
        </row>
        <row r="12443">
          <cell r="D12443">
            <v>34727.15</v>
          </cell>
          <cell r="H12443">
            <v>45962</v>
          </cell>
          <cell r="I12443" t="str">
            <v>6375 - Freight Expenses</v>
          </cell>
          <cell r="J12443" t="str">
            <v>Ecommerce (US)</v>
          </cell>
          <cell r="K12443" t="str">
            <v>Ecommerce</v>
          </cell>
          <cell r="L12443" t="str">
            <v>Freight</v>
          </cell>
          <cell r="N12443" t="str">
            <v>Direct Costs</v>
          </cell>
          <cell r="O12443" t="str">
            <v>UPS Supply Chain Solutions Inc. (7F24A0)</v>
          </cell>
        </row>
        <row r="12444">
          <cell r="D12444">
            <v>21.72</v>
          </cell>
          <cell r="H12444">
            <v>45962</v>
          </cell>
          <cell r="I12444" t="str">
            <v>6375 - Freight Expenses</v>
          </cell>
          <cell r="J12444">
            <v>0</v>
          </cell>
          <cell r="K12444" t="str">
            <v>Administration</v>
          </cell>
          <cell r="L12444" t="str">
            <v>Freight</v>
          </cell>
          <cell r="N12444" t="str">
            <v>Direct Costs</v>
          </cell>
          <cell r="O12444" t="str">
            <v>Federal Express</v>
          </cell>
        </row>
        <row r="12445">
          <cell r="D12445">
            <v>29.41</v>
          </cell>
          <cell r="H12445">
            <v>45962</v>
          </cell>
          <cell r="I12445" t="str">
            <v>6375 - Freight Expenses</v>
          </cell>
          <cell r="J12445">
            <v>0</v>
          </cell>
          <cell r="K12445" t="str">
            <v>Brand Marketing</v>
          </cell>
          <cell r="L12445" t="str">
            <v>Freight</v>
          </cell>
          <cell r="N12445" t="str">
            <v>Direct Costs</v>
          </cell>
          <cell r="O12445" t="str">
            <v>Federal Express</v>
          </cell>
        </row>
        <row r="12446">
          <cell r="D12446">
            <v>866.26</v>
          </cell>
          <cell r="H12446">
            <v>45962</v>
          </cell>
          <cell r="I12446" t="str">
            <v>6375 - Freight Expenses</v>
          </cell>
          <cell r="J12446" t="str">
            <v>Ecommerce (US)</v>
          </cell>
          <cell r="K12446" t="str">
            <v>Ecommerce</v>
          </cell>
          <cell r="L12446" t="str">
            <v>Freight</v>
          </cell>
          <cell r="N12446" t="str">
            <v>Direct Costs</v>
          </cell>
          <cell r="O12446" t="str">
            <v>UPS Supply Chain Solutions Inc. (7F24A0)</v>
          </cell>
        </row>
        <row r="12447">
          <cell r="D12447">
            <v>20.190000000000001</v>
          </cell>
          <cell r="H12447">
            <v>45962</v>
          </cell>
          <cell r="I12447" t="str">
            <v>6375 - Freight Expenses</v>
          </cell>
          <cell r="J12447">
            <v>0</v>
          </cell>
          <cell r="K12447" t="str">
            <v>Production</v>
          </cell>
          <cell r="L12447" t="str">
            <v>Freight</v>
          </cell>
          <cell r="N12447" t="str">
            <v>Direct Costs</v>
          </cell>
          <cell r="O12447" t="str">
            <v>DHL Express - USA</v>
          </cell>
        </row>
        <row r="12448">
          <cell r="D12448">
            <v>16.68</v>
          </cell>
          <cell r="H12448">
            <v>45962</v>
          </cell>
          <cell r="I12448" t="str">
            <v>6375 - Freight Expenses</v>
          </cell>
          <cell r="J12448">
            <v>0</v>
          </cell>
          <cell r="K12448" t="str">
            <v>Production</v>
          </cell>
          <cell r="L12448" t="str">
            <v>Freight</v>
          </cell>
          <cell r="N12448" t="str">
            <v>Direct Costs</v>
          </cell>
          <cell r="O12448" t="str">
            <v>DHL Express - USA</v>
          </cell>
        </row>
        <row r="12449">
          <cell r="D12449">
            <v>17</v>
          </cell>
          <cell r="H12449">
            <v>45962</v>
          </cell>
          <cell r="I12449" t="str">
            <v>6375 - Freight Expenses</v>
          </cell>
          <cell r="J12449">
            <v>0</v>
          </cell>
          <cell r="K12449" t="str">
            <v>Production</v>
          </cell>
          <cell r="L12449" t="str">
            <v>Freight</v>
          </cell>
          <cell r="N12449" t="str">
            <v>Direct Costs</v>
          </cell>
          <cell r="O12449" t="str">
            <v>DHL Express - USA</v>
          </cell>
        </row>
        <row r="12450">
          <cell r="D12450">
            <v>1.34</v>
          </cell>
          <cell r="H12450">
            <v>45962</v>
          </cell>
          <cell r="I12450" t="str">
            <v>6375 - Freight Expenses</v>
          </cell>
          <cell r="J12450">
            <v>0</v>
          </cell>
          <cell r="K12450" t="str">
            <v>Production</v>
          </cell>
          <cell r="L12450" t="str">
            <v>Freight</v>
          </cell>
          <cell r="N12450" t="str">
            <v>Direct Costs</v>
          </cell>
          <cell r="O12450" t="str">
            <v>DHL Express - USA</v>
          </cell>
        </row>
        <row r="12451">
          <cell r="D12451">
            <v>37.450000000000003</v>
          </cell>
          <cell r="H12451">
            <v>45962</v>
          </cell>
          <cell r="I12451" t="str">
            <v>6375 - Freight Expenses</v>
          </cell>
          <cell r="J12451">
            <v>0</v>
          </cell>
          <cell r="K12451" t="str">
            <v>Design</v>
          </cell>
          <cell r="L12451" t="str">
            <v>Freight</v>
          </cell>
          <cell r="N12451" t="str">
            <v>Direct Costs</v>
          </cell>
          <cell r="O12451" t="str">
            <v>DHL Express - USA</v>
          </cell>
        </row>
        <row r="12452">
          <cell r="D12452">
            <v>17</v>
          </cell>
          <cell r="H12452">
            <v>45962</v>
          </cell>
          <cell r="I12452" t="str">
            <v>6375 - Freight Expenses</v>
          </cell>
          <cell r="J12452">
            <v>0</v>
          </cell>
          <cell r="K12452" t="str">
            <v>Design</v>
          </cell>
          <cell r="L12452" t="str">
            <v>Freight</v>
          </cell>
          <cell r="N12452" t="str">
            <v>Direct Costs</v>
          </cell>
          <cell r="O12452" t="str">
            <v>DHL Express - USA</v>
          </cell>
        </row>
        <row r="12453">
          <cell r="D12453">
            <v>1.34</v>
          </cell>
          <cell r="H12453">
            <v>45962</v>
          </cell>
          <cell r="I12453" t="str">
            <v>6375 - Freight Expenses</v>
          </cell>
          <cell r="J12453">
            <v>0</v>
          </cell>
          <cell r="K12453" t="str">
            <v>Design</v>
          </cell>
          <cell r="L12453" t="str">
            <v>Freight</v>
          </cell>
          <cell r="N12453" t="str">
            <v>Direct Costs</v>
          </cell>
          <cell r="O12453" t="str">
            <v>DHL Express - USA</v>
          </cell>
        </row>
        <row r="12454">
          <cell r="D12454">
            <v>1.56</v>
          </cell>
          <cell r="H12454">
            <v>45962</v>
          </cell>
          <cell r="I12454" t="str">
            <v>6375 - Freight Expenses</v>
          </cell>
          <cell r="J12454">
            <v>0</v>
          </cell>
          <cell r="K12454" t="str">
            <v>Design</v>
          </cell>
          <cell r="L12454" t="str">
            <v>Freight</v>
          </cell>
          <cell r="N12454" t="str">
            <v>Direct Costs</v>
          </cell>
          <cell r="O12454" t="str">
            <v>DHL Express - USA</v>
          </cell>
        </row>
        <row r="12455">
          <cell r="D12455">
            <v>17</v>
          </cell>
          <cell r="H12455">
            <v>45962</v>
          </cell>
          <cell r="I12455" t="str">
            <v>6375 - Freight Expenses</v>
          </cell>
          <cell r="J12455">
            <v>0</v>
          </cell>
          <cell r="K12455" t="str">
            <v>Design</v>
          </cell>
          <cell r="L12455" t="str">
            <v>Freight</v>
          </cell>
          <cell r="N12455" t="str">
            <v>Direct Costs</v>
          </cell>
          <cell r="O12455" t="str">
            <v>DHL Express - USA</v>
          </cell>
        </row>
        <row r="12456">
          <cell r="D12456">
            <v>1.34</v>
          </cell>
          <cell r="H12456">
            <v>45962</v>
          </cell>
          <cell r="I12456" t="str">
            <v>6375 - Freight Expenses</v>
          </cell>
          <cell r="J12456">
            <v>0</v>
          </cell>
          <cell r="K12456" t="str">
            <v>Design</v>
          </cell>
          <cell r="L12456" t="str">
            <v>Freight</v>
          </cell>
          <cell r="N12456" t="str">
            <v>Direct Costs</v>
          </cell>
          <cell r="O12456" t="str">
            <v>DHL Express - USA</v>
          </cell>
        </row>
        <row r="12457">
          <cell r="D12457">
            <v>10.7</v>
          </cell>
          <cell r="H12457">
            <v>45962</v>
          </cell>
          <cell r="I12457" t="str">
            <v>6375 - Freight Expenses</v>
          </cell>
          <cell r="J12457">
            <v>0</v>
          </cell>
          <cell r="K12457" t="str">
            <v>Design</v>
          </cell>
          <cell r="L12457" t="str">
            <v>Freight</v>
          </cell>
          <cell r="N12457" t="str">
            <v>Direct Costs</v>
          </cell>
          <cell r="O12457" t="str">
            <v>DHL Express - USA</v>
          </cell>
        </row>
        <row r="12458">
          <cell r="D12458">
            <v>17</v>
          </cell>
          <cell r="H12458">
            <v>45962</v>
          </cell>
          <cell r="I12458" t="str">
            <v>6375 - Freight Expenses</v>
          </cell>
          <cell r="J12458">
            <v>0</v>
          </cell>
          <cell r="K12458" t="str">
            <v>Design</v>
          </cell>
          <cell r="L12458" t="str">
            <v>Freight</v>
          </cell>
          <cell r="N12458" t="str">
            <v>Direct Costs</v>
          </cell>
          <cell r="O12458" t="str">
            <v>DHL Express - USA</v>
          </cell>
        </row>
        <row r="12459">
          <cell r="D12459">
            <v>1.34</v>
          </cell>
          <cell r="H12459">
            <v>45962</v>
          </cell>
          <cell r="I12459" t="str">
            <v>6375 - Freight Expenses</v>
          </cell>
          <cell r="J12459">
            <v>0</v>
          </cell>
          <cell r="K12459" t="str">
            <v>Design</v>
          </cell>
          <cell r="L12459" t="str">
            <v>Freight</v>
          </cell>
          <cell r="N12459" t="str">
            <v>Direct Costs</v>
          </cell>
          <cell r="O12459" t="str">
            <v>DHL Express - USA</v>
          </cell>
        </row>
        <row r="12460">
          <cell r="D12460">
            <v>264.55</v>
          </cell>
          <cell r="H12460">
            <v>45962</v>
          </cell>
          <cell r="I12460" t="str">
            <v>6375 - Freight Expenses</v>
          </cell>
          <cell r="J12460" t="str">
            <v>Ecommerce (US)</v>
          </cell>
          <cell r="K12460" t="str">
            <v>Ecommerce</v>
          </cell>
          <cell r="L12460" t="str">
            <v>Freight</v>
          </cell>
          <cell r="N12460" t="str">
            <v>Direct Costs</v>
          </cell>
          <cell r="O12460" t="str">
            <v>UPS Supply Chain Solutions Inc. (7F24A0)</v>
          </cell>
        </row>
        <row r="12461">
          <cell r="D12461">
            <v>499.88</v>
          </cell>
          <cell r="H12461">
            <v>45962</v>
          </cell>
          <cell r="I12461" t="str">
            <v>6375 - Freight Expenses</v>
          </cell>
          <cell r="J12461">
            <v>0</v>
          </cell>
          <cell r="K12461" t="str">
            <v>Production</v>
          </cell>
          <cell r="L12461" t="str">
            <v>Freight</v>
          </cell>
          <cell r="N12461" t="str">
            <v>Direct Costs</v>
          </cell>
          <cell r="O12461" t="str">
            <v>DHL Express - USA</v>
          </cell>
        </row>
        <row r="12462">
          <cell r="D12462">
            <v>119.85</v>
          </cell>
          <cell r="H12462">
            <v>45962</v>
          </cell>
          <cell r="I12462" t="str">
            <v>6375 - Freight Expenses</v>
          </cell>
          <cell r="J12462">
            <v>0</v>
          </cell>
          <cell r="K12462" t="str">
            <v>Design</v>
          </cell>
          <cell r="L12462" t="str">
            <v>Freight</v>
          </cell>
          <cell r="N12462" t="str">
            <v>Direct Costs</v>
          </cell>
          <cell r="O12462" t="str">
            <v>DHL Express - USA</v>
          </cell>
        </row>
        <row r="12463">
          <cell r="D12463">
            <v>483.57</v>
          </cell>
          <cell r="H12463">
            <v>45962</v>
          </cell>
          <cell r="I12463" t="str">
            <v>6375 - Freight Expenses</v>
          </cell>
          <cell r="J12463">
            <v>0</v>
          </cell>
          <cell r="K12463" t="str">
            <v>Production</v>
          </cell>
          <cell r="L12463" t="str">
            <v>Freight</v>
          </cell>
          <cell r="N12463" t="str">
            <v>Direct Costs</v>
          </cell>
          <cell r="O12463" t="str">
            <v>DHL Express - USA</v>
          </cell>
        </row>
        <row r="12464">
          <cell r="D12464">
            <v>2821.02</v>
          </cell>
          <cell r="H12464">
            <v>45962</v>
          </cell>
          <cell r="I12464" t="str">
            <v>6375 - Freight Expenses</v>
          </cell>
          <cell r="J12464" t="str">
            <v>Ecommerce (US)</v>
          </cell>
          <cell r="K12464" t="str">
            <v>Ecommerce</v>
          </cell>
          <cell r="L12464" t="str">
            <v>Freight</v>
          </cell>
          <cell r="N12464" t="str">
            <v>Direct Costs</v>
          </cell>
          <cell r="O12464" t="str">
            <v>UPS Supply Chain Solutions Inc. (7F24A0)</v>
          </cell>
        </row>
        <row r="12465">
          <cell r="D12465">
            <v>5000</v>
          </cell>
          <cell r="H12465">
            <v>45962</v>
          </cell>
          <cell r="I12465" t="str">
            <v>6375 - Freight Expenses</v>
          </cell>
          <cell r="J12465" t="str">
            <v>Ecommerce (US)</v>
          </cell>
          <cell r="K12465" t="str">
            <v>Ecommerce</v>
          </cell>
          <cell r="L12465" t="str">
            <v>Freight</v>
          </cell>
          <cell r="N12465" t="str">
            <v>Direct Costs</v>
          </cell>
          <cell r="O12465" t="str">
            <v>[No Vendor]</v>
          </cell>
        </row>
        <row r="12466">
          <cell r="D12466">
            <v>95.77</v>
          </cell>
          <cell r="H12466">
            <v>45962</v>
          </cell>
          <cell r="I12466" t="str">
            <v>6375 - Freight Expenses</v>
          </cell>
          <cell r="J12466" t="str">
            <v>Wholesale</v>
          </cell>
          <cell r="K12466" t="str">
            <v>Wholesale</v>
          </cell>
          <cell r="L12466" t="str">
            <v>Freight</v>
          </cell>
          <cell r="N12466" t="str">
            <v>Direct Costs</v>
          </cell>
          <cell r="O12466" t="str">
            <v>UPS Supply Chain Solutions Inc. (7F24A0)</v>
          </cell>
        </row>
        <row r="12467">
          <cell r="D12467">
            <v>52505.51</v>
          </cell>
          <cell r="H12467">
            <v>45962</v>
          </cell>
          <cell r="I12467" t="str">
            <v>6375 - Freight Expenses</v>
          </cell>
          <cell r="J12467" t="str">
            <v>Ecommerce (US)</v>
          </cell>
          <cell r="K12467" t="str">
            <v>Ecommerce</v>
          </cell>
          <cell r="L12467" t="str">
            <v>Freight</v>
          </cell>
          <cell r="N12467" t="str">
            <v>Direct Costs</v>
          </cell>
          <cell r="O12467" t="str">
            <v>UPS Supply Chain Solutions Inc. (7F24A0)</v>
          </cell>
        </row>
        <row r="12468">
          <cell r="D12468">
            <v>70.760000000000005</v>
          </cell>
          <cell r="H12468">
            <v>45962</v>
          </cell>
          <cell r="I12468" t="str">
            <v>6375 - Freight Expenses</v>
          </cell>
          <cell r="J12468">
            <v>0</v>
          </cell>
          <cell r="K12468" t="str">
            <v>Brand Marketing</v>
          </cell>
          <cell r="L12468" t="str">
            <v>Freight</v>
          </cell>
          <cell r="N12468" t="str">
            <v>Direct Costs</v>
          </cell>
          <cell r="O12468" t="str">
            <v>Catherine  Kim</v>
          </cell>
        </row>
        <row r="12469">
          <cell r="D12469">
            <v>-2431</v>
          </cell>
          <cell r="H12469">
            <v>45962</v>
          </cell>
          <cell r="I12469" t="str">
            <v>6375 - Freight Expenses</v>
          </cell>
          <cell r="J12469" t="str">
            <v>Ecommerce (US)</v>
          </cell>
          <cell r="K12469" t="str">
            <v>Ecommerce</v>
          </cell>
          <cell r="L12469" t="str">
            <v>Freight</v>
          </cell>
          <cell r="N12469" t="str">
            <v>Direct Costs</v>
          </cell>
          <cell r="O12469" t="str">
            <v>[No Vendor]</v>
          </cell>
        </row>
        <row r="12470">
          <cell r="D12470">
            <v>483.91</v>
          </cell>
          <cell r="H12470">
            <v>45962</v>
          </cell>
          <cell r="I12470" t="str">
            <v>6375 - Freight Expenses</v>
          </cell>
          <cell r="J12470" t="str">
            <v>Ecommerce (US)</v>
          </cell>
          <cell r="K12470" t="str">
            <v>Ecommerce</v>
          </cell>
          <cell r="L12470" t="str">
            <v>Freight</v>
          </cell>
          <cell r="N12470" t="str">
            <v>Direct Costs</v>
          </cell>
          <cell r="O12470" t="str">
            <v>Amazon</v>
          </cell>
        </row>
        <row r="12471">
          <cell r="D12471">
            <v>-56993</v>
          </cell>
          <cell r="H12471">
            <v>45962</v>
          </cell>
          <cell r="I12471" t="str">
            <v>6375 - Freight Expenses</v>
          </cell>
          <cell r="J12471" t="str">
            <v>Ecommerce (US)</v>
          </cell>
          <cell r="K12471" t="str">
            <v>Ecommerce</v>
          </cell>
          <cell r="L12471" t="str">
            <v>Freight</v>
          </cell>
          <cell r="N12471" t="str">
            <v>Direct Costs</v>
          </cell>
          <cell r="O12471" t="str">
            <v>[No Vendor]</v>
          </cell>
        </row>
        <row r="12472">
          <cell r="D12472">
            <v>-1545.63</v>
          </cell>
          <cell r="H12472">
            <v>45962</v>
          </cell>
          <cell r="I12472" t="str">
            <v>6375 - Freight Expenses</v>
          </cell>
          <cell r="J12472" t="str">
            <v>Wholesale</v>
          </cell>
          <cell r="K12472" t="str">
            <v>Wholesale</v>
          </cell>
          <cell r="L12472" t="str">
            <v>Freight</v>
          </cell>
          <cell r="N12472" t="str">
            <v>Direct Costs</v>
          </cell>
          <cell r="O12472" t="str">
            <v>[No Vendor]</v>
          </cell>
        </row>
        <row r="12473">
          <cell r="D12473">
            <v>1181.8599999999999</v>
          </cell>
          <cell r="H12473">
            <v>45962</v>
          </cell>
          <cell r="I12473" t="str">
            <v>6375 - Freight Expenses</v>
          </cell>
          <cell r="J12473" t="str">
            <v>Ecommerce (EU)</v>
          </cell>
          <cell r="K12473" t="str">
            <v>Ecommerce</v>
          </cell>
          <cell r="L12473" t="str">
            <v>Freight</v>
          </cell>
          <cell r="N12473" t="str">
            <v>Direct Costs</v>
          </cell>
          <cell r="O12473" t="str">
            <v>[No Vendor]</v>
          </cell>
        </row>
        <row r="12474">
          <cell r="D12474">
            <v>3687.12</v>
          </cell>
          <cell r="H12474">
            <v>45962</v>
          </cell>
          <cell r="I12474" t="str">
            <v>6376 - Freight Supplies Other</v>
          </cell>
          <cell r="J12474" t="str">
            <v>Ecommerce (US)</v>
          </cell>
          <cell r="K12474" t="str">
            <v>Ecommerce</v>
          </cell>
          <cell r="L12474" t="str">
            <v>Order Processing</v>
          </cell>
          <cell r="N12474" t="str">
            <v>Direct Costs</v>
          </cell>
          <cell r="O12474" t="str">
            <v>Bergen Logistics Corporation</v>
          </cell>
        </row>
        <row r="12475">
          <cell r="D12475">
            <v>349.99</v>
          </cell>
          <cell r="H12475">
            <v>45962</v>
          </cell>
          <cell r="I12475" t="str">
            <v>6376 - Freight Supplies Other</v>
          </cell>
          <cell r="J12475" t="str">
            <v>Wholesale</v>
          </cell>
          <cell r="K12475" t="str">
            <v>Wholesale</v>
          </cell>
          <cell r="L12475" t="str">
            <v>Order Processing</v>
          </cell>
          <cell r="N12475" t="str">
            <v>Direct Costs</v>
          </cell>
          <cell r="O12475" t="str">
            <v>Bergen Logistics Corporation</v>
          </cell>
        </row>
        <row r="12476">
          <cell r="D12476">
            <v>196.79</v>
          </cell>
          <cell r="H12476">
            <v>45962</v>
          </cell>
          <cell r="I12476" t="str">
            <v>6376 - Freight Supplies Other</v>
          </cell>
          <cell r="J12476" t="str">
            <v>Ecommerce (EU)</v>
          </cell>
          <cell r="K12476" t="str">
            <v>Ecommerce</v>
          </cell>
          <cell r="L12476" t="str">
            <v>Order Processing</v>
          </cell>
          <cell r="N12476" t="str">
            <v>Direct Costs</v>
          </cell>
          <cell r="O12476" t="str">
            <v>Bergen Logistics Corporation</v>
          </cell>
        </row>
        <row r="12477">
          <cell r="D12477">
            <v>285.08999999999997</v>
          </cell>
          <cell r="H12477">
            <v>45962</v>
          </cell>
          <cell r="I12477" t="str">
            <v>6376 - Freight Supplies Other</v>
          </cell>
          <cell r="J12477" t="str">
            <v>Wholesale</v>
          </cell>
          <cell r="K12477" t="str">
            <v>Wholesale</v>
          </cell>
          <cell r="L12477" t="str">
            <v>Order Processing</v>
          </cell>
          <cell r="N12477" t="str">
            <v>Direct Costs</v>
          </cell>
          <cell r="O12477" t="str">
            <v>Bergen Logistics Corporation</v>
          </cell>
        </row>
        <row r="12478">
          <cell r="D12478">
            <v>477</v>
          </cell>
          <cell r="H12478">
            <v>45962</v>
          </cell>
          <cell r="I12478" t="str">
            <v>6376 - Freight Supplies Other</v>
          </cell>
          <cell r="J12478" t="str">
            <v>Ecommerce (EU)</v>
          </cell>
          <cell r="K12478" t="str">
            <v>Ecommerce</v>
          </cell>
          <cell r="L12478" t="str">
            <v>Order Processing</v>
          </cell>
          <cell r="N12478" t="str">
            <v>Direct Costs</v>
          </cell>
          <cell r="O12478" t="str">
            <v>Bergen Logistics Corporation</v>
          </cell>
        </row>
        <row r="12479">
          <cell r="D12479">
            <v>8422.35</v>
          </cell>
          <cell r="H12479">
            <v>45962</v>
          </cell>
          <cell r="I12479" t="str">
            <v>6376 - Freight Supplies Other</v>
          </cell>
          <cell r="J12479" t="str">
            <v>Ecommerce (US)</v>
          </cell>
          <cell r="K12479" t="str">
            <v>Ecommerce</v>
          </cell>
          <cell r="L12479" t="str">
            <v>Order Processing</v>
          </cell>
          <cell r="N12479" t="str">
            <v>Direct Costs</v>
          </cell>
          <cell r="O12479" t="str">
            <v>Bergen Logistics Corporation</v>
          </cell>
        </row>
        <row r="12480">
          <cell r="D12480">
            <v>1827.22</v>
          </cell>
          <cell r="H12480">
            <v>45962</v>
          </cell>
          <cell r="I12480" t="str">
            <v>6377 - Order Processing Expenses (New)</v>
          </cell>
          <cell r="J12480" t="str">
            <v>Wholesale</v>
          </cell>
          <cell r="K12480" t="str">
            <v>Wholesale</v>
          </cell>
          <cell r="L12480" t="str">
            <v>Order Processing</v>
          </cell>
          <cell r="N12480" t="str">
            <v>Direct Costs</v>
          </cell>
          <cell r="O12480" t="str">
            <v>Bergen Logistics Corporation</v>
          </cell>
        </row>
        <row r="12481">
          <cell r="D12481">
            <v>813.4</v>
          </cell>
          <cell r="H12481">
            <v>45962</v>
          </cell>
          <cell r="I12481" t="str">
            <v>6377 - Order Processing Expenses (New)</v>
          </cell>
          <cell r="J12481" t="str">
            <v>Ecommerce (EU)</v>
          </cell>
          <cell r="K12481" t="str">
            <v>Ecommerce</v>
          </cell>
          <cell r="L12481" t="str">
            <v>Order Processing</v>
          </cell>
          <cell r="N12481" t="str">
            <v>Direct Costs</v>
          </cell>
          <cell r="O12481" t="str">
            <v>Bergen Logistics Corporation</v>
          </cell>
        </row>
        <row r="12482">
          <cell r="D12482">
            <v>20914.169999999998</v>
          </cell>
          <cell r="H12482">
            <v>45962</v>
          </cell>
          <cell r="I12482" t="str">
            <v>6377 - Order Processing Expenses (New)</v>
          </cell>
          <cell r="J12482" t="str">
            <v>Ecommerce (US)</v>
          </cell>
          <cell r="K12482" t="str">
            <v>Ecommerce</v>
          </cell>
          <cell r="L12482" t="str">
            <v>Order Processing</v>
          </cell>
          <cell r="N12482" t="str">
            <v>Direct Costs</v>
          </cell>
          <cell r="O12482" t="str">
            <v>Bergen Logistics Corporation</v>
          </cell>
        </row>
        <row r="12483">
          <cell r="D12483">
            <v>163.74</v>
          </cell>
          <cell r="H12483">
            <v>45962</v>
          </cell>
          <cell r="I12483" t="str">
            <v>6377 - Order Processing Expenses (New)</v>
          </cell>
          <cell r="J12483" t="str">
            <v>Wholesale</v>
          </cell>
          <cell r="K12483" t="str">
            <v>Wholesale</v>
          </cell>
          <cell r="L12483" t="str">
            <v>Order Processing</v>
          </cell>
          <cell r="N12483" t="str">
            <v>Direct Costs</v>
          </cell>
          <cell r="O12483" t="str">
            <v>Bergen Logistics Corporation</v>
          </cell>
        </row>
        <row r="12484">
          <cell r="D12484">
            <v>1227.56</v>
          </cell>
          <cell r="H12484">
            <v>45962</v>
          </cell>
          <cell r="I12484" t="str">
            <v>6377 - Order Processing Expenses (New)</v>
          </cell>
          <cell r="J12484" t="str">
            <v>Ecommerce (EU)</v>
          </cell>
          <cell r="K12484" t="str">
            <v>Ecommerce</v>
          </cell>
          <cell r="L12484" t="str">
            <v>Order Processing</v>
          </cell>
          <cell r="N12484" t="str">
            <v>Direct Costs</v>
          </cell>
          <cell r="O12484" t="str">
            <v>Bergen Logistics Corporation</v>
          </cell>
        </row>
        <row r="12485">
          <cell r="D12485">
            <v>47926.82</v>
          </cell>
          <cell r="H12485">
            <v>45962</v>
          </cell>
          <cell r="I12485" t="str">
            <v>6377 - Order Processing Expenses (New)</v>
          </cell>
          <cell r="J12485" t="str">
            <v>Ecommerce (US)</v>
          </cell>
          <cell r="K12485" t="str">
            <v>Ecommerce</v>
          </cell>
          <cell r="L12485" t="str">
            <v>Order Processing</v>
          </cell>
          <cell r="N12485" t="str">
            <v>Direct Costs</v>
          </cell>
          <cell r="O12485" t="str">
            <v>Bergen Logistics Corporation</v>
          </cell>
        </row>
        <row r="12486">
          <cell r="D12486">
            <v>270.69</v>
          </cell>
          <cell r="H12486">
            <v>45962</v>
          </cell>
          <cell r="I12486" t="str">
            <v>6377 - Order Processing Expenses (New)</v>
          </cell>
          <cell r="J12486" t="str">
            <v>Ecommerce (US)</v>
          </cell>
          <cell r="K12486" t="str">
            <v>Ecommerce</v>
          </cell>
          <cell r="L12486" t="str">
            <v>Order Processing</v>
          </cell>
          <cell r="N12486" t="str">
            <v>Direct Costs</v>
          </cell>
          <cell r="O12486" t="str">
            <v>[No Vendor]</v>
          </cell>
        </row>
        <row r="12487">
          <cell r="D12487">
            <v>2686.48</v>
          </cell>
          <cell r="H12487">
            <v>45962</v>
          </cell>
          <cell r="I12487" t="str">
            <v>6377 - Order Processing Expenses (New)</v>
          </cell>
          <cell r="J12487" t="str">
            <v>Ecommerce (EU)</v>
          </cell>
          <cell r="K12487" t="str">
            <v>Ecommerce</v>
          </cell>
          <cell r="L12487" t="str">
            <v>Order Processing</v>
          </cell>
          <cell r="N12487" t="str">
            <v>Direct Costs</v>
          </cell>
          <cell r="O12487" t="str">
            <v>[No Vendor]</v>
          </cell>
        </row>
        <row r="12488">
          <cell r="D12488">
            <v>534.09</v>
          </cell>
          <cell r="H12488">
            <v>45962</v>
          </cell>
          <cell r="I12488" t="str">
            <v>6379 - Warehouse Storage</v>
          </cell>
          <cell r="J12488" t="str">
            <v>Ecommerce (EU)</v>
          </cell>
          <cell r="K12488" t="str">
            <v>Ecommerce</v>
          </cell>
          <cell r="L12488" t="str">
            <v>Order Processing</v>
          </cell>
          <cell r="N12488" t="str">
            <v>Direct Costs</v>
          </cell>
          <cell r="O12488" t="str">
            <v>Bergen Logistics Corporation</v>
          </cell>
        </row>
        <row r="12489">
          <cell r="D12489">
            <v>1367.8</v>
          </cell>
          <cell r="H12489">
            <v>45962</v>
          </cell>
          <cell r="I12489" t="str">
            <v>6379 - Warehouse Storage</v>
          </cell>
          <cell r="J12489" t="str">
            <v>Wholesale</v>
          </cell>
          <cell r="K12489" t="str">
            <v>Wholesale</v>
          </cell>
          <cell r="L12489" t="str">
            <v>Order Processing</v>
          </cell>
          <cell r="N12489" t="str">
            <v>Direct Costs</v>
          </cell>
          <cell r="O12489" t="str">
            <v>Bergen Logistics Corporation</v>
          </cell>
        </row>
        <row r="12490">
          <cell r="D12490">
            <v>17649.259999999998</v>
          </cell>
          <cell r="H12490">
            <v>45962</v>
          </cell>
          <cell r="I12490" t="str">
            <v>6379 - Warehouse Storage</v>
          </cell>
          <cell r="J12490" t="str">
            <v>Ecommerce (US)</v>
          </cell>
          <cell r="K12490" t="str">
            <v>Ecommerce</v>
          </cell>
          <cell r="L12490" t="str">
            <v>Order Processing</v>
          </cell>
          <cell r="N12490" t="str">
            <v>Direct Costs</v>
          </cell>
          <cell r="O12490" t="str">
            <v>Bergen Logistics Corporation</v>
          </cell>
        </row>
        <row r="12491">
          <cell r="D12491">
            <v>1024.8399999999999</v>
          </cell>
          <cell r="H12491">
            <v>45962</v>
          </cell>
          <cell r="I12491" t="str">
            <v>6379 - Warehouse Storage</v>
          </cell>
          <cell r="J12491" t="str">
            <v>Ecommerce (EU)</v>
          </cell>
          <cell r="K12491" t="str">
            <v>Ecommerce</v>
          </cell>
          <cell r="L12491" t="str">
            <v>Order Processing</v>
          </cell>
          <cell r="N12491" t="str">
            <v>Direct Costs</v>
          </cell>
          <cell r="O12491" t="str">
            <v>Bergen Logistics Corporation</v>
          </cell>
        </row>
        <row r="12492">
          <cell r="D12492">
            <v>2074.9</v>
          </cell>
          <cell r="H12492">
            <v>45962</v>
          </cell>
          <cell r="I12492" t="str">
            <v>6379 - Warehouse Storage</v>
          </cell>
          <cell r="J12492" t="str">
            <v>Wholesale</v>
          </cell>
          <cell r="K12492" t="str">
            <v>Wholesale</v>
          </cell>
          <cell r="L12492" t="str">
            <v>Order Processing</v>
          </cell>
          <cell r="N12492" t="str">
            <v>Direct Costs</v>
          </cell>
          <cell r="O12492" t="str">
            <v>Bergen Logistics Corporation</v>
          </cell>
        </row>
        <row r="12493">
          <cell r="D12493">
            <v>21595.360000000001</v>
          </cell>
          <cell r="H12493">
            <v>45962</v>
          </cell>
          <cell r="I12493" t="str">
            <v>6379 - Warehouse Storage</v>
          </cell>
          <cell r="J12493" t="str">
            <v>Ecommerce (US)</v>
          </cell>
          <cell r="K12493" t="str">
            <v>Ecommerce</v>
          </cell>
          <cell r="L12493" t="str">
            <v>Order Processing</v>
          </cell>
          <cell r="N12493" t="str">
            <v>Direct Costs</v>
          </cell>
          <cell r="O12493" t="str">
            <v>Bergen Logistics Corporation</v>
          </cell>
        </row>
        <row r="12494">
          <cell r="D12494">
            <v>1000</v>
          </cell>
          <cell r="H12494">
            <v>45962</v>
          </cell>
          <cell r="I12494" t="str">
            <v>6380 - Legal &amp; Accounting</v>
          </cell>
          <cell r="J12494">
            <v>0</v>
          </cell>
          <cell r="K12494" t="str">
            <v>Administration</v>
          </cell>
          <cell r="L12494" t="str">
            <v>Professional Service</v>
          </cell>
          <cell r="N12494" t="str">
            <v>SG&amp;A</v>
          </cell>
          <cell r="O12494" t="str">
            <v>Ko &amp; Yun, LLP - Operations</v>
          </cell>
        </row>
        <row r="12495">
          <cell r="D12495">
            <v>500</v>
          </cell>
          <cell r="H12495">
            <v>45962</v>
          </cell>
          <cell r="I12495" t="str">
            <v>6380 - Legal &amp; Accounting</v>
          </cell>
          <cell r="J12495">
            <v>0</v>
          </cell>
          <cell r="K12495" t="str">
            <v>Administration</v>
          </cell>
          <cell r="L12495" t="str">
            <v>Professional Service</v>
          </cell>
          <cell r="N12495" t="str">
            <v>SG&amp;A</v>
          </cell>
          <cell r="O12495" t="str">
            <v>Ko &amp; Yun, LLP - IP Holding</v>
          </cell>
        </row>
        <row r="12496">
          <cell r="D12496">
            <v>10000</v>
          </cell>
          <cell r="H12496">
            <v>45962</v>
          </cell>
          <cell r="I12496" t="str">
            <v>6380 - Legal &amp; Accounting</v>
          </cell>
          <cell r="J12496">
            <v>0</v>
          </cell>
          <cell r="K12496" t="str">
            <v>Administration</v>
          </cell>
          <cell r="L12496" t="str">
            <v>Professional Service</v>
          </cell>
          <cell r="N12496" t="str">
            <v>SG&amp;A</v>
          </cell>
          <cell r="O12496" t="str">
            <v>The Wave IP Law Firm</v>
          </cell>
        </row>
        <row r="12497">
          <cell r="D12497">
            <v>5</v>
          </cell>
          <cell r="H12497">
            <v>45962</v>
          </cell>
          <cell r="I12497" t="str">
            <v>6385 - Insurance</v>
          </cell>
          <cell r="J12497">
            <v>0</v>
          </cell>
          <cell r="K12497" t="str">
            <v>Administration</v>
          </cell>
          <cell r="L12497" t="str">
            <v>Professional Service</v>
          </cell>
          <cell r="N12497" t="str">
            <v>SG&amp;A</v>
          </cell>
          <cell r="O12497" t="str">
            <v>The Hartford</v>
          </cell>
        </row>
        <row r="12498">
          <cell r="D12498">
            <v>1996.3</v>
          </cell>
          <cell r="H12498">
            <v>45962</v>
          </cell>
          <cell r="I12498" t="str">
            <v>6385 - Insurance</v>
          </cell>
          <cell r="J12498">
            <v>0</v>
          </cell>
          <cell r="K12498" t="str">
            <v>Administration</v>
          </cell>
          <cell r="L12498" t="str">
            <v>Professional Service</v>
          </cell>
          <cell r="N12498" t="str">
            <v>SG&amp;A</v>
          </cell>
          <cell r="O12498" t="str">
            <v>The Hartford</v>
          </cell>
        </row>
        <row r="12499">
          <cell r="D12499">
            <v>13.58</v>
          </cell>
          <cell r="H12499">
            <v>45962</v>
          </cell>
          <cell r="I12499" t="str">
            <v>6385 - Insurance</v>
          </cell>
          <cell r="J12499">
            <v>0</v>
          </cell>
          <cell r="K12499" t="str">
            <v>Administration</v>
          </cell>
          <cell r="L12499" t="str">
            <v>Professional Service</v>
          </cell>
          <cell r="N12499" t="str">
            <v>SG&amp;A</v>
          </cell>
          <cell r="O12499" t="str">
            <v>[No Vendor]</v>
          </cell>
        </row>
        <row r="12500">
          <cell r="D12500">
            <v>22.6</v>
          </cell>
          <cell r="H12500">
            <v>45962</v>
          </cell>
          <cell r="I12500" t="str">
            <v>6385 - Insurance</v>
          </cell>
          <cell r="J12500">
            <v>0</v>
          </cell>
          <cell r="K12500" t="str">
            <v>Administration</v>
          </cell>
          <cell r="L12500" t="str">
            <v>Professional Service</v>
          </cell>
          <cell r="N12500" t="str">
            <v>SG&amp;A</v>
          </cell>
          <cell r="O12500" t="str">
            <v>[No Vendor]</v>
          </cell>
        </row>
        <row r="12501">
          <cell r="D12501">
            <v>10.44</v>
          </cell>
          <cell r="H12501">
            <v>45962</v>
          </cell>
          <cell r="I12501" t="str">
            <v>6385 - Insurance</v>
          </cell>
          <cell r="J12501">
            <v>0</v>
          </cell>
          <cell r="K12501" t="str">
            <v>Administration</v>
          </cell>
          <cell r="L12501" t="str">
            <v>Professional Service</v>
          </cell>
          <cell r="N12501" t="str">
            <v>SG&amp;A</v>
          </cell>
          <cell r="O12501" t="str">
            <v>[No Vendor]</v>
          </cell>
        </row>
        <row r="12502">
          <cell r="D12502">
            <v>8.06</v>
          </cell>
          <cell r="H12502">
            <v>45962</v>
          </cell>
          <cell r="I12502" t="str">
            <v>6385 - Insurance</v>
          </cell>
          <cell r="J12502">
            <v>0</v>
          </cell>
          <cell r="K12502" t="str">
            <v>Administration</v>
          </cell>
          <cell r="L12502" t="str">
            <v>Professional Service</v>
          </cell>
          <cell r="N12502" t="str">
            <v>SG&amp;A</v>
          </cell>
          <cell r="O12502" t="str">
            <v>[No Vendor]</v>
          </cell>
        </row>
        <row r="12503">
          <cell r="D12503">
            <v>7.09</v>
          </cell>
          <cell r="H12503">
            <v>45962</v>
          </cell>
          <cell r="I12503" t="str">
            <v>6385 - Insurance</v>
          </cell>
          <cell r="J12503">
            <v>0</v>
          </cell>
          <cell r="K12503" t="str">
            <v>Administration</v>
          </cell>
          <cell r="L12503" t="str">
            <v>Professional Service</v>
          </cell>
          <cell r="N12503" t="str">
            <v>SG&amp;A</v>
          </cell>
          <cell r="O12503" t="str">
            <v>[No Vendor]</v>
          </cell>
        </row>
        <row r="12504">
          <cell r="D12504">
            <v>15.52</v>
          </cell>
          <cell r="H12504">
            <v>45962</v>
          </cell>
          <cell r="I12504" t="str">
            <v>6385 - Insurance</v>
          </cell>
          <cell r="J12504">
            <v>0</v>
          </cell>
          <cell r="K12504" t="str">
            <v>Administration</v>
          </cell>
          <cell r="L12504" t="str">
            <v>Professional Service</v>
          </cell>
          <cell r="N12504" t="str">
            <v>SG&amp;A</v>
          </cell>
          <cell r="O12504" t="str">
            <v>[No Vendor]</v>
          </cell>
        </row>
        <row r="12505">
          <cell r="D12505">
            <v>19.850000000000001</v>
          </cell>
          <cell r="H12505">
            <v>45962</v>
          </cell>
          <cell r="I12505" t="str">
            <v>6385 - Insurance</v>
          </cell>
          <cell r="J12505">
            <v>0</v>
          </cell>
          <cell r="K12505" t="str">
            <v>Administration</v>
          </cell>
          <cell r="L12505" t="str">
            <v>Professional Service</v>
          </cell>
          <cell r="N12505" t="str">
            <v>SG&amp;A</v>
          </cell>
          <cell r="O12505" t="str">
            <v>[No Vendor]</v>
          </cell>
        </row>
        <row r="12506">
          <cell r="D12506">
            <v>0.6</v>
          </cell>
          <cell r="H12506">
            <v>45962</v>
          </cell>
          <cell r="I12506" t="str">
            <v>6385 - Insurance</v>
          </cell>
          <cell r="J12506">
            <v>0</v>
          </cell>
          <cell r="K12506" t="str">
            <v>Administration</v>
          </cell>
          <cell r="L12506" t="str">
            <v>Professional Service</v>
          </cell>
          <cell r="N12506" t="str">
            <v>SG&amp;A</v>
          </cell>
          <cell r="O12506" t="str">
            <v>[No Vendor]</v>
          </cell>
        </row>
        <row r="12507">
          <cell r="D12507">
            <v>-16.52</v>
          </cell>
          <cell r="H12507">
            <v>45962</v>
          </cell>
          <cell r="I12507" t="str">
            <v>6385 - Insurance</v>
          </cell>
          <cell r="J12507">
            <v>0</v>
          </cell>
          <cell r="K12507" t="str">
            <v>Administration</v>
          </cell>
          <cell r="L12507" t="str">
            <v>Professional Service</v>
          </cell>
          <cell r="N12507" t="str">
            <v>SG&amp;A</v>
          </cell>
          <cell r="O12507" t="str">
            <v>[No Vendor]</v>
          </cell>
        </row>
        <row r="12508">
          <cell r="D12508">
            <v>-16.12</v>
          </cell>
          <cell r="H12508">
            <v>45962</v>
          </cell>
          <cell r="I12508" t="str">
            <v>6385 - Insurance</v>
          </cell>
          <cell r="J12508">
            <v>0</v>
          </cell>
          <cell r="K12508" t="str">
            <v>Administration</v>
          </cell>
          <cell r="L12508" t="str">
            <v>Professional Service</v>
          </cell>
          <cell r="N12508" t="str">
            <v>SG&amp;A</v>
          </cell>
          <cell r="O12508" t="str">
            <v>[No Vendor]</v>
          </cell>
        </row>
        <row r="12509">
          <cell r="D12509">
            <v>-14.18</v>
          </cell>
          <cell r="H12509">
            <v>45962</v>
          </cell>
          <cell r="I12509" t="str">
            <v>6385 - Insurance</v>
          </cell>
          <cell r="J12509">
            <v>0</v>
          </cell>
          <cell r="K12509" t="str">
            <v>Administration</v>
          </cell>
          <cell r="L12509" t="str">
            <v>Professional Service</v>
          </cell>
          <cell r="N12509" t="str">
            <v>SG&amp;A</v>
          </cell>
          <cell r="O12509" t="str">
            <v>[No Vendor]</v>
          </cell>
        </row>
        <row r="12510">
          <cell r="D12510">
            <v>-31.03</v>
          </cell>
          <cell r="H12510">
            <v>45962</v>
          </cell>
          <cell r="I12510" t="str">
            <v>6385 - Insurance</v>
          </cell>
          <cell r="J12510">
            <v>0</v>
          </cell>
          <cell r="K12510" t="str">
            <v>Administration</v>
          </cell>
          <cell r="L12510" t="str">
            <v>Professional Service</v>
          </cell>
          <cell r="N12510" t="str">
            <v>SG&amp;A</v>
          </cell>
          <cell r="O12510" t="str">
            <v>[No Vendor]</v>
          </cell>
        </row>
        <row r="12511">
          <cell r="D12511">
            <v>-39.71</v>
          </cell>
          <cell r="H12511">
            <v>45962</v>
          </cell>
          <cell r="I12511" t="str">
            <v>6385 - Insurance</v>
          </cell>
          <cell r="J12511">
            <v>0</v>
          </cell>
          <cell r="K12511" t="str">
            <v>Administration</v>
          </cell>
          <cell r="L12511" t="str">
            <v>Professional Service</v>
          </cell>
          <cell r="N12511" t="str">
            <v>SG&amp;A</v>
          </cell>
          <cell r="O12511" t="str">
            <v>[No Vendor]</v>
          </cell>
        </row>
        <row r="12512">
          <cell r="D12512">
            <v>-1.2</v>
          </cell>
          <cell r="H12512">
            <v>45962</v>
          </cell>
          <cell r="I12512" t="str">
            <v>6385 - Insurance</v>
          </cell>
          <cell r="J12512">
            <v>0</v>
          </cell>
          <cell r="K12512" t="str">
            <v>Administration</v>
          </cell>
          <cell r="L12512" t="str">
            <v>Professional Service</v>
          </cell>
          <cell r="N12512" t="str">
            <v>SG&amp;A</v>
          </cell>
          <cell r="O12512" t="str">
            <v>[No Vendor]</v>
          </cell>
        </row>
        <row r="12513">
          <cell r="D12513">
            <v>-27.15</v>
          </cell>
          <cell r="H12513">
            <v>45962</v>
          </cell>
          <cell r="I12513" t="str">
            <v>6385 - Insurance</v>
          </cell>
          <cell r="J12513">
            <v>0</v>
          </cell>
          <cell r="K12513" t="str">
            <v>Administration</v>
          </cell>
          <cell r="L12513" t="str">
            <v>Professional Service</v>
          </cell>
          <cell r="N12513" t="str">
            <v>SG&amp;A</v>
          </cell>
          <cell r="O12513" t="str">
            <v>[No Vendor]</v>
          </cell>
        </row>
        <row r="12514">
          <cell r="D12514">
            <v>-45.22</v>
          </cell>
          <cell r="H12514">
            <v>45962</v>
          </cell>
          <cell r="I12514" t="str">
            <v>6385 - Insurance</v>
          </cell>
          <cell r="J12514">
            <v>0</v>
          </cell>
          <cell r="K12514" t="str">
            <v>Administration</v>
          </cell>
          <cell r="L12514" t="str">
            <v>Professional Service</v>
          </cell>
          <cell r="N12514" t="str">
            <v>SG&amp;A</v>
          </cell>
          <cell r="O12514" t="str">
            <v>[No Vendor]</v>
          </cell>
        </row>
        <row r="12515">
          <cell r="D12515">
            <v>-16040.75</v>
          </cell>
          <cell r="H12515">
            <v>45962</v>
          </cell>
          <cell r="I12515" t="str">
            <v>6385 - Insurance</v>
          </cell>
          <cell r="J12515">
            <v>0</v>
          </cell>
          <cell r="K12515" t="str">
            <v>Administration</v>
          </cell>
          <cell r="L12515" t="str">
            <v>Professional Service</v>
          </cell>
          <cell r="N12515" t="str">
            <v>SG&amp;A</v>
          </cell>
          <cell r="O12515" t="str">
            <v>[No Vendor]</v>
          </cell>
        </row>
        <row r="12516">
          <cell r="D12516">
            <v>-16.12</v>
          </cell>
          <cell r="H12516">
            <v>45962</v>
          </cell>
          <cell r="I12516" t="str">
            <v>6385 - Insurance</v>
          </cell>
          <cell r="J12516">
            <v>0</v>
          </cell>
          <cell r="K12516" t="str">
            <v>Administration</v>
          </cell>
          <cell r="L12516" t="str">
            <v>Professional Service</v>
          </cell>
          <cell r="N12516" t="str">
            <v>SG&amp;A</v>
          </cell>
          <cell r="O12516" t="str">
            <v>[No Vendor]</v>
          </cell>
        </row>
        <row r="12517">
          <cell r="D12517">
            <v>-14.18</v>
          </cell>
          <cell r="H12517">
            <v>45962</v>
          </cell>
          <cell r="I12517" t="str">
            <v>6385 - Insurance</v>
          </cell>
          <cell r="J12517">
            <v>0</v>
          </cell>
          <cell r="K12517" t="str">
            <v>Administration</v>
          </cell>
          <cell r="L12517" t="str">
            <v>Professional Service</v>
          </cell>
          <cell r="N12517" t="str">
            <v>SG&amp;A</v>
          </cell>
          <cell r="O12517" t="str">
            <v>[No Vendor]</v>
          </cell>
        </row>
        <row r="12518">
          <cell r="D12518">
            <v>-31.03</v>
          </cell>
          <cell r="H12518">
            <v>45962</v>
          </cell>
          <cell r="I12518" t="str">
            <v>6385 - Insurance</v>
          </cell>
          <cell r="J12518">
            <v>0</v>
          </cell>
          <cell r="K12518" t="str">
            <v>Administration</v>
          </cell>
          <cell r="L12518" t="str">
            <v>Professional Service</v>
          </cell>
          <cell r="N12518" t="str">
            <v>SG&amp;A</v>
          </cell>
          <cell r="O12518" t="str">
            <v>[No Vendor]</v>
          </cell>
        </row>
        <row r="12519">
          <cell r="D12519">
            <v>-39.71</v>
          </cell>
          <cell r="H12519">
            <v>45962</v>
          </cell>
          <cell r="I12519" t="str">
            <v>6385 - Insurance</v>
          </cell>
          <cell r="J12519">
            <v>0</v>
          </cell>
          <cell r="K12519" t="str">
            <v>Administration</v>
          </cell>
          <cell r="L12519" t="str">
            <v>Professional Service</v>
          </cell>
          <cell r="N12519" t="str">
            <v>SG&amp;A</v>
          </cell>
          <cell r="O12519" t="str">
            <v>[No Vendor]</v>
          </cell>
        </row>
        <row r="12520">
          <cell r="D12520">
            <v>-1.2</v>
          </cell>
          <cell r="H12520">
            <v>45962</v>
          </cell>
          <cell r="I12520" t="str">
            <v>6385 - Insurance</v>
          </cell>
          <cell r="J12520">
            <v>0</v>
          </cell>
          <cell r="K12520" t="str">
            <v>Administration</v>
          </cell>
          <cell r="L12520" t="str">
            <v>Professional Service</v>
          </cell>
          <cell r="N12520" t="str">
            <v>SG&amp;A</v>
          </cell>
          <cell r="O12520" t="str">
            <v>[No Vendor]</v>
          </cell>
        </row>
        <row r="12521">
          <cell r="D12521">
            <v>-27.15</v>
          </cell>
          <cell r="H12521">
            <v>45962</v>
          </cell>
          <cell r="I12521" t="str">
            <v>6385 - Insurance</v>
          </cell>
          <cell r="J12521">
            <v>0</v>
          </cell>
          <cell r="K12521" t="str">
            <v>Administration</v>
          </cell>
          <cell r="L12521" t="str">
            <v>Professional Service</v>
          </cell>
          <cell r="N12521" t="str">
            <v>SG&amp;A</v>
          </cell>
          <cell r="O12521" t="str">
            <v>[No Vendor]</v>
          </cell>
        </row>
        <row r="12522">
          <cell r="D12522">
            <v>-45.22</v>
          </cell>
          <cell r="H12522">
            <v>45962</v>
          </cell>
          <cell r="I12522" t="str">
            <v>6385 - Insurance</v>
          </cell>
          <cell r="J12522">
            <v>0</v>
          </cell>
          <cell r="K12522" t="str">
            <v>Administration</v>
          </cell>
          <cell r="L12522" t="str">
            <v>Professional Service</v>
          </cell>
          <cell r="N12522" t="str">
            <v>SG&amp;A</v>
          </cell>
          <cell r="O12522" t="str">
            <v>[No Vendor]</v>
          </cell>
        </row>
        <row r="12523">
          <cell r="D12523">
            <v>-16.52</v>
          </cell>
          <cell r="H12523">
            <v>45962</v>
          </cell>
          <cell r="I12523" t="str">
            <v>6385 - Insurance</v>
          </cell>
          <cell r="J12523">
            <v>0</v>
          </cell>
          <cell r="K12523" t="str">
            <v>Administration</v>
          </cell>
          <cell r="L12523" t="str">
            <v>Professional Service</v>
          </cell>
          <cell r="N12523" t="str">
            <v>SG&amp;A</v>
          </cell>
          <cell r="O12523" t="str">
            <v>[No Vendor]</v>
          </cell>
        </row>
        <row r="12524">
          <cell r="D12524">
            <v>-8.26</v>
          </cell>
          <cell r="H12524">
            <v>45962</v>
          </cell>
          <cell r="I12524" t="str">
            <v>6385 - Insurance</v>
          </cell>
          <cell r="J12524">
            <v>0</v>
          </cell>
          <cell r="K12524" t="str">
            <v>Administration</v>
          </cell>
          <cell r="L12524" t="str">
            <v>Professional Service</v>
          </cell>
          <cell r="N12524" t="str">
            <v>SG&amp;A</v>
          </cell>
          <cell r="O12524" t="str">
            <v>[No Vendor]</v>
          </cell>
        </row>
        <row r="12525">
          <cell r="D12525">
            <v>-22.61</v>
          </cell>
          <cell r="H12525">
            <v>45962</v>
          </cell>
          <cell r="I12525" t="str">
            <v>6385 - Insurance</v>
          </cell>
          <cell r="J12525">
            <v>0</v>
          </cell>
          <cell r="K12525" t="str">
            <v>Administration</v>
          </cell>
          <cell r="L12525" t="str">
            <v>Professional Service</v>
          </cell>
          <cell r="N12525" t="str">
            <v>SG&amp;A</v>
          </cell>
          <cell r="O12525" t="str">
            <v>[No Vendor]</v>
          </cell>
        </row>
        <row r="12526">
          <cell r="D12526">
            <v>-13.58</v>
          </cell>
          <cell r="H12526">
            <v>45962</v>
          </cell>
          <cell r="I12526" t="str">
            <v>6385 - Insurance</v>
          </cell>
          <cell r="J12526">
            <v>0</v>
          </cell>
          <cell r="K12526" t="str">
            <v>Administration</v>
          </cell>
          <cell r="L12526" t="str">
            <v>Professional Service</v>
          </cell>
          <cell r="N12526" t="str">
            <v>SG&amp;A</v>
          </cell>
          <cell r="O12526" t="str">
            <v>[No Vendor]</v>
          </cell>
        </row>
        <row r="12527">
          <cell r="D12527">
            <v>-0.6</v>
          </cell>
          <cell r="H12527">
            <v>45962</v>
          </cell>
          <cell r="I12527" t="str">
            <v>6385 - Insurance</v>
          </cell>
          <cell r="J12527">
            <v>0</v>
          </cell>
          <cell r="K12527" t="str">
            <v>Administration</v>
          </cell>
          <cell r="L12527" t="str">
            <v>Professional Service</v>
          </cell>
          <cell r="N12527" t="str">
            <v>SG&amp;A</v>
          </cell>
          <cell r="O12527" t="str">
            <v>[No Vendor]</v>
          </cell>
        </row>
        <row r="12528">
          <cell r="D12528">
            <v>-19.850000000000001</v>
          </cell>
          <cell r="H12528">
            <v>45962</v>
          </cell>
          <cell r="I12528" t="str">
            <v>6385 - Insurance</v>
          </cell>
          <cell r="J12528">
            <v>0</v>
          </cell>
          <cell r="K12528" t="str">
            <v>Administration</v>
          </cell>
          <cell r="L12528" t="str">
            <v>Professional Service</v>
          </cell>
          <cell r="N12528" t="str">
            <v>SG&amp;A</v>
          </cell>
          <cell r="O12528" t="str">
            <v>[No Vendor]</v>
          </cell>
        </row>
        <row r="12529">
          <cell r="D12529">
            <v>-15.52</v>
          </cell>
          <cell r="H12529">
            <v>45962</v>
          </cell>
          <cell r="I12529" t="str">
            <v>6385 - Insurance</v>
          </cell>
          <cell r="J12529">
            <v>0</v>
          </cell>
          <cell r="K12529" t="str">
            <v>Administration</v>
          </cell>
          <cell r="L12529" t="str">
            <v>Professional Service</v>
          </cell>
          <cell r="N12529" t="str">
            <v>SG&amp;A</v>
          </cell>
          <cell r="O12529" t="str">
            <v>[No Vendor]</v>
          </cell>
        </row>
        <row r="12530">
          <cell r="D12530">
            <v>-7.09</v>
          </cell>
          <cell r="H12530">
            <v>45962</v>
          </cell>
          <cell r="I12530" t="str">
            <v>6385 - Insurance</v>
          </cell>
          <cell r="J12530">
            <v>0</v>
          </cell>
          <cell r="K12530" t="str">
            <v>Administration</v>
          </cell>
          <cell r="L12530" t="str">
            <v>Professional Service</v>
          </cell>
          <cell r="N12530" t="str">
            <v>SG&amp;A</v>
          </cell>
          <cell r="O12530" t="str">
            <v>[No Vendor]</v>
          </cell>
        </row>
        <row r="12531">
          <cell r="D12531">
            <v>-8.06</v>
          </cell>
          <cell r="H12531">
            <v>45962</v>
          </cell>
          <cell r="I12531" t="str">
            <v>6385 - Insurance</v>
          </cell>
          <cell r="J12531">
            <v>0</v>
          </cell>
          <cell r="K12531" t="str">
            <v>Administration</v>
          </cell>
          <cell r="L12531" t="str">
            <v>Professional Service</v>
          </cell>
          <cell r="N12531" t="str">
            <v>SG&amp;A</v>
          </cell>
          <cell r="O12531" t="str">
            <v>[No Vendor]</v>
          </cell>
        </row>
        <row r="12532">
          <cell r="D12532">
            <v>428.3</v>
          </cell>
          <cell r="H12532">
            <v>45962</v>
          </cell>
          <cell r="I12532" t="str">
            <v>6385 - Insurance</v>
          </cell>
          <cell r="J12532">
            <v>0</v>
          </cell>
          <cell r="K12532" t="str">
            <v>Administration</v>
          </cell>
          <cell r="L12532" t="str">
            <v>Professional Service</v>
          </cell>
          <cell r="N12532" t="str">
            <v>SG&amp;A</v>
          </cell>
          <cell r="O12532" t="str">
            <v>Travelers CL Remittance Center</v>
          </cell>
        </row>
        <row r="12533">
          <cell r="D12533">
            <v>777.15</v>
          </cell>
          <cell r="H12533">
            <v>45962</v>
          </cell>
          <cell r="I12533" t="str">
            <v>6385 - Insurance</v>
          </cell>
          <cell r="J12533">
            <v>0</v>
          </cell>
          <cell r="K12533" t="str">
            <v>Administration</v>
          </cell>
          <cell r="L12533" t="str">
            <v>Professional Service</v>
          </cell>
          <cell r="N12533" t="str">
            <v>SG&amp;A</v>
          </cell>
          <cell r="O12533" t="str">
            <v>Standard Security Life Insurance Company of New York</v>
          </cell>
        </row>
        <row r="12534">
          <cell r="D12534">
            <v>10000</v>
          </cell>
          <cell r="H12534">
            <v>45962</v>
          </cell>
          <cell r="I12534" t="str">
            <v>6393 - Software</v>
          </cell>
          <cell r="J12534" t="str">
            <v>Ecommerce (US)</v>
          </cell>
          <cell r="K12534" t="str">
            <v>Ecommerce</v>
          </cell>
          <cell r="L12534" t="str">
            <v>Professional Service</v>
          </cell>
          <cell r="N12534" t="str">
            <v>SG&amp;A</v>
          </cell>
          <cell r="O12534" t="str">
            <v>P3 Digital LLC</v>
          </cell>
        </row>
        <row r="12535">
          <cell r="D12535">
            <v>1450.64</v>
          </cell>
          <cell r="H12535">
            <v>45962</v>
          </cell>
          <cell r="I12535" t="str">
            <v>6393 - Software</v>
          </cell>
          <cell r="J12535" t="str">
            <v>Ecommerce (US)</v>
          </cell>
          <cell r="K12535" t="str">
            <v>Ecommerce</v>
          </cell>
          <cell r="L12535" t="str">
            <v>Professional Service</v>
          </cell>
          <cell r="N12535" t="str">
            <v>Direct Costs</v>
          </cell>
          <cell r="O12535" t="str">
            <v>Attentive Mobile Inc.</v>
          </cell>
        </row>
        <row r="12536">
          <cell r="D12536">
            <v>6.8</v>
          </cell>
          <cell r="H12536">
            <v>45962</v>
          </cell>
          <cell r="I12536" t="str">
            <v>6393 - Software</v>
          </cell>
          <cell r="J12536" t="str">
            <v>Ecommerce (US)</v>
          </cell>
          <cell r="K12536" t="str">
            <v>Ecommerce</v>
          </cell>
          <cell r="L12536" t="str">
            <v>Professional Service</v>
          </cell>
          <cell r="N12536" t="str">
            <v>Direct Costs</v>
          </cell>
          <cell r="O12536" t="str">
            <v>Attentive Mobile Inc.</v>
          </cell>
        </row>
        <row r="12537">
          <cell r="D12537">
            <v>1821.91</v>
          </cell>
          <cell r="H12537">
            <v>45962</v>
          </cell>
          <cell r="I12537" t="str">
            <v>6393 - Software</v>
          </cell>
          <cell r="J12537" t="str">
            <v>Ecommerce (US)</v>
          </cell>
          <cell r="K12537" t="str">
            <v>Ecommerce</v>
          </cell>
          <cell r="L12537" t="str">
            <v>Professional Service</v>
          </cell>
          <cell r="N12537" t="str">
            <v>Direct Costs</v>
          </cell>
          <cell r="O12537" t="str">
            <v>Attentive Mobile Inc.</v>
          </cell>
        </row>
        <row r="12538">
          <cell r="D12538">
            <v>2.8</v>
          </cell>
          <cell r="H12538">
            <v>45962</v>
          </cell>
          <cell r="I12538" t="str">
            <v>6393 - Software</v>
          </cell>
          <cell r="J12538" t="str">
            <v>Ecommerce (US)</v>
          </cell>
          <cell r="K12538" t="str">
            <v>Ecommerce</v>
          </cell>
          <cell r="L12538" t="str">
            <v>Professional Service</v>
          </cell>
          <cell r="N12538" t="str">
            <v>Direct Costs</v>
          </cell>
          <cell r="O12538" t="str">
            <v>Attentive Mobile Inc.</v>
          </cell>
        </row>
        <row r="12539">
          <cell r="D12539">
            <v>932.24</v>
          </cell>
          <cell r="H12539">
            <v>45962</v>
          </cell>
          <cell r="I12539" t="str">
            <v>6393 - Software</v>
          </cell>
          <cell r="J12539" t="str">
            <v>Ecommerce (US)</v>
          </cell>
          <cell r="K12539" t="str">
            <v>Ecommerce</v>
          </cell>
          <cell r="L12539" t="str">
            <v>Professional Service</v>
          </cell>
          <cell r="N12539" t="str">
            <v>Direct Costs</v>
          </cell>
          <cell r="O12539" t="str">
            <v>Attentive Mobile Inc.</v>
          </cell>
        </row>
        <row r="12540">
          <cell r="D12540">
            <v>6228.65</v>
          </cell>
          <cell r="H12540">
            <v>45962</v>
          </cell>
          <cell r="I12540" t="str">
            <v>6393 - Software</v>
          </cell>
          <cell r="J12540" t="str">
            <v>Ecommerce (US)</v>
          </cell>
          <cell r="K12540" t="str">
            <v>Ecommerce</v>
          </cell>
          <cell r="L12540" t="str">
            <v>Professional Service</v>
          </cell>
          <cell r="N12540" t="str">
            <v>Direct Costs</v>
          </cell>
          <cell r="O12540" t="str">
            <v>Attentive Mobile Inc.</v>
          </cell>
        </row>
        <row r="12541">
          <cell r="D12541">
            <v>82.92</v>
          </cell>
          <cell r="H12541">
            <v>45962</v>
          </cell>
          <cell r="I12541" t="str">
            <v>6393 - Software</v>
          </cell>
          <cell r="J12541" t="str">
            <v>Ecommerce (US)</v>
          </cell>
          <cell r="K12541" t="str">
            <v>Ecommerce</v>
          </cell>
          <cell r="L12541" t="str">
            <v>Professional Service</v>
          </cell>
          <cell r="N12541" t="str">
            <v>Direct Costs</v>
          </cell>
          <cell r="O12541" t="str">
            <v>Attentive Mobile Inc.</v>
          </cell>
        </row>
        <row r="12542">
          <cell r="D12542">
            <v>367.38</v>
          </cell>
          <cell r="H12542">
            <v>45962</v>
          </cell>
          <cell r="I12542" t="str">
            <v>6393 - Software</v>
          </cell>
          <cell r="J12542" t="str">
            <v>Ecommerce (US)</v>
          </cell>
          <cell r="K12542" t="str">
            <v>Ecommerce</v>
          </cell>
          <cell r="L12542" t="str">
            <v>Professional Service</v>
          </cell>
          <cell r="N12542" t="str">
            <v>Direct Costs</v>
          </cell>
          <cell r="O12542" t="str">
            <v>Attentive Mobile Inc.</v>
          </cell>
        </row>
        <row r="12543">
          <cell r="D12543">
            <v>499</v>
          </cell>
          <cell r="H12543">
            <v>45962</v>
          </cell>
          <cell r="I12543" t="str">
            <v>6393 - Software</v>
          </cell>
          <cell r="J12543" t="str">
            <v>Ecommerce (US)</v>
          </cell>
          <cell r="K12543" t="str">
            <v>Ecommerce</v>
          </cell>
          <cell r="L12543" t="str">
            <v>Professional Service</v>
          </cell>
          <cell r="N12543" t="str">
            <v>Direct Costs</v>
          </cell>
          <cell r="O12543" t="str">
            <v>Attentive Mobile Inc.</v>
          </cell>
        </row>
        <row r="12544">
          <cell r="D12544">
            <v>-10525.95</v>
          </cell>
          <cell r="H12544">
            <v>45962</v>
          </cell>
          <cell r="I12544" t="str">
            <v>6393 - Software</v>
          </cell>
          <cell r="J12544" t="str">
            <v>Ecommerce (US)</v>
          </cell>
          <cell r="K12544" t="str">
            <v>Ecommerce</v>
          </cell>
          <cell r="L12544" t="str">
            <v>Professional Service</v>
          </cell>
          <cell r="N12544" t="str">
            <v>Direct Costs</v>
          </cell>
          <cell r="O12544" t="str">
            <v>Attentive Mobile Inc.</v>
          </cell>
        </row>
        <row r="12545">
          <cell r="D12545">
            <v>1494</v>
          </cell>
          <cell r="H12545">
            <v>45962</v>
          </cell>
          <cell r="I12545" t="str">
            <v>6393 - Software</v>
          </cell>
          <cell r="J12545">
            <v>0</v>
          </cell>
          <cell r="K12545" t="str">
            <v>Design</v>
          </cell>
          <cell r="L12545" t="str">
            <v>Professional Service</v>
          </cell>
          <cell r="N12545" t="str">
            <v>Direct Costs</v>
          </cell>
          <cell r="O12545" t="str">
            <v>Backbone</v>
          </cell>
        </row>
        <row r="12546">
          <cell r="D12546">
            <v>240.07</v>
          </cell>
          <cell r="H12546">
            <v>45962</v>
          </cell>
          <cell r="I12546" t="str">
            <v>6393 - Software</v>
          </cell>
          <cell r="J12546" t="str">
            <v>Wholesale</v>
          </cell>
          <cell r="K12546" t="str">
            <v>Wholesale</v>
          </cell>
          <cell r="L12546" t="str">
            <v>Professional Service</v>
          </cell>
          <cell r="N12546" t="str">
            <v>Direct Costs</v>
          </cell>
          <cell r="O12546" t="str">
            <v>Open Text</v>
          </cell>
        </row>
        <row r="12547">
          <cell r="D12547">
            <v>51.3</v>
          </cell>
          <cell r="H12547">
            <v>45962</v>
          </cell>
          <cell r="I12547" t="str">
            <v>6393 - Software</v>
          </cell>
          <cell r="J12547" t="str">
            <v>Wholesale</v>
          </cell>
          <cell r="K12547" t="str">
            <v>Wholesale</v>
          </cell>
          <cell r="L12547" t="str">
            <v>Professional Service</v>
          </cell>
          <cell r="N12547" t="str">
            <v>Direct Costs</v>
          </cell>
          <cell r="O12547" t="str">
            <v>Authorize.net</v>
          </cell>
        </row>
        <row r="12548">
          <cell r="D12548">
            <v>2159.27</v>
          </cell>
          <cell r="H12548">
            <v>45962</v>
          </cell>
          <cell r="I12548" t="str">
            <v>6393 - Software</v>
          </cell>
          <cell r="J12548">
            <v>0</v>
          </cell>
          <cell r="K12548" t="str">
            <v>Administration</v>
          </cell>
          <cell r="L12548" t="str">
            <v>Professional Service</v>
          </cell>
          <cell r="N12548" t="str">
            <v>Direct Costs</v>
          </cell>
          <cell r="O12548" t="str">
            <v>Adobe, Inc.</v>
          </cell>
        </row>
        <row r="12549">
          <cell r="D12549">
            <v>598</v>
          </cell>
          <cell r="H12549">
            <v>45962</v>
          </cell>
          <cell r="I12549" t="str">
            <v>6393 - Software</v>
          </cell>
          <cell r="J12549" t="str">
            <v>Ecommerce (US)</v>
          </cell>
          <cell r="K12549" t="str">
            <v>Ecommerce</v>
          </cell>
          <cell r="L12549" t="str">
            <v>Professional Service</v>
          </cell>
          <cell r="N12549" t="str">
            <v>Direct Costs</v>
          </cell>
          <cell r="O12549" t="str">
            <v>GoDataFeed</v>
          </cell>
        </row>
        <row r="12550">
          <cell r="D12550">
            <v>14.67</v>
          </cell>
          <cell r="H12550">
            <v>45962</v>
          </cell>
          <cell r="I12550" t="str">
            <v>6393 - Software</v>
          </cell>
          <cell r="J12550" t="str">
            <v>Ecommerce (US)</v>
          </cell>
          <cell r="K12550" t="str">
            <v>Ecommerce</v>
          </cell>
          <cell r="L12550" t="str">
            <v>Professional Service</v>
          </cell>
          <cell r="N12550" t="str">
            <v>Direct Costs</v>
          </cell>
          <cell r="O12550" t="str">
            <v>Amazon</v>
          </cell>
        </row>
        <row r="12551">
          <cell r="D12551">
            <v>9.59</v>
          </cell>
          <cell r="H12551">
            <v>45962</v>
          </cell>
          <cell r="I12551" t="str">
            <v>6393 - Software</v>
          </cell>
          <cell r="J12551" t="str">
            <v>Ecommerce (US)</v>
          </cell>
          <cell r="K12551" t="str">
            <v>Ecommerce</v>
          </cell>
          <cell r="L12551" t="str">
            <v>Professional Service</v>
          </cell>
          <cell r="N12551" t="str">
            <v>Direct Costs</v>
          </cell>
          <cell r="O12551" t="str">
            <v>Amazon</v>
          </cell>
        </row>
        <row r="12552">
          <cell r="D12552">
            <v>1012.54</v>
          </cell>
          <cell r="H12552">
            <v>45962</v>
          </cell>
          <cell r="I12552" t="str">
            <v>6393 - Software</v>
          </cell>
          <cell r="J12552" t="str">
            <v>Ecommerce (US)</v>
          </cell>
          <cell r="K12552" t="str">
            <v>Ecommerce</v>
          </cell>
          <cell r="L12552" t="str">
            <v>Professional Service</v>
          </cell>
          <cell r="N12552" t="str">
            <v>Direct Costs</v>
          </cell>
          <cell r="O12552" t="str">
            <v>Klaviyo</v>
          </cell>
        </row>
        <row r="12553">
          <cell r="D12553">
            <v>107.79</v>
          </cell>
          <cell r="H12553">
            <v>45962</v>
          </cell>
          <cell r="I12553" t="str">
            <v>6393 - Software</v>
          </cell>
          <cell r="J12553" t="str">
            <v>Ecommerce (US)</v>
          </cell>
          <cell r="K12553" t="str">
            <v>Ecommerce</v>
          </cell>
          <cell r="L12553" t="str">
            <v>Professional Service</v>
          </cell>
          <cell r="N12553" t="str">
            <v>Direct Costs</v>
          </cell>
          <cell r="O12553" t="str">
            <v>Integration Manager</v>
          </cell>
        </row>
        <row r="12554">
          <cell r="D12554">
            <v>3249.92</v>
          </cell>
          <cell r="H12554">
            <v>45962</v>
          </cell>
          <cell r="I12554" t="str">
            <v>6393 - Software</v>
          </cell>
          <cell r="J12554" t="str">
            <v>Ecommerce (US)</v>
          </cell>
          <cell r="K12554" t="str">
            <v>Ecommerce</v>
          </cell>
          <cell r="L12554" t="str">
            <v>Professional Service</v>
          </cell>
          <cell r="N12554" t="str">
            <v>Direct Costs</v>
          </cell>
          <cell r="O12554" t="str">
            <v>Klaviyo</v>
          </cell>
        </row>
        <row r="12555">
          <cell r="D12555">
            <v>9787.52</v>
          </cell>
          <cell r="H12555">
            <v>45962</v>
          </cell>
          <cell r="I12555" t="str">
            <v>6393 - Software</v>
          </cell>
          <cell r="J12555" t="str">
            <v>Ecommerce (US)</v>
          </cell>
          <cell r="K12555" t="str">
            <v>Ecommerce</v>
          </cell>
          <cell r="L12555" t="str">
            <v>Professional Service</v>
          </cell>
          <cell r="N12555" t="str">
            <v>Direct Costs</v>
          </cell>
          <cell r="O12555" t="str">
            <v>Signifyd</v>
          </cell>
        </row>
        <row r="12556">
          <cell r="D12556">
            <v>1909.45</v>
          </cell>
          <cell r="H12556">
            <v>45962</v>
          </cell>
          <cell r="I12556" t="str">
            <v>6393 - Software</v>
          </cell>
          <cell r="J12556" t="str">
            <v>Ecommerce (US)</v>
          </cell>
          <cell r="K12556" t="str">
            <v>Ecommerce</v>
          </cell>
          <cell r="L12556" t="str">
            <v>Professional Service</v>
          </cell>
          <cell r="N12556" t="str">
            <v>Direct Costs</v>
          </cell>
          <cell r="O12556" t="str">
            <v>GORGIAS INC</v>
          </cell>
        </row>
        <row r="12557">
          <cell r="D12557">
            <v>71.760000000000005</v>
          </cell>
          <cell r="H12557">
            <v>45962</v>
          </cell>
          <cell r="I12557" t="str">
            <v>6393 - Software</v>
          </cell>
          <cell r="J12557" t="str">
            <v>Ecommerce (US)</v>
          </cell>
          <cell r="K12557" t="str">
            <v>Ecommerce</v>
          </cell>
          <cell r="L12557" t="str">
            <v>Professional Service</v>
          </cell>
          <cell r="N12557" t="str">
            <v>Direct Costs</v>
          </cell>
          <cell r="O12557" t="str">
            <v>Google Cloud</v>
          </cell>
        </row>
        <row r="12558">
          <cell r="D12558">
            <v>7.89</v>
          </cell>
          <cell r="H12558">
            <v>45962</v>
          </cell>
          <cell r="I12558" t="str">
            <v>6393 - Software</v>
          </cell>
          <cell r="J12558" t="str">
            <v>Ecommerce (US)</v>
          </cell>
          <cell r="K12558" t="str">
            <v>Ecommerce</v>
          </cell>
          <cell r="L12558" t="str">
            <v>Professional Service</v>
          </cell>
          <cell r="N12558" t="str">
            <v>Direct Costs</v>
          </cell>
          <cell r="O12558" t="str">
            <v>Slack</v>
          </cell>
        </row>
        <row r="12559">
          <cell r="D12559">
            <v>543.5</v>
          </cell>
          <cell r="H12559">
            <v>45962</v>
          </cell>
          <cell r="I12559" t="str">
            <v>6393 - Software</v>
          </cell>
          <cell r="J12559">
            <v>0</v>
          </cell>
          <cell r="K12559" t="str">
            <v>Administration</v>
          </cell>
          <cell r="L12559" t="str">
            <v>Professional Service</v>
          </cell>
          <cell r="N12559" t="str">
            <v>Direct Costs</v>
          </cell>
          <cell r="O12559" t="str">
            <v>Concur Technologies, Inc.</v>
          </cell>
        </row>
        <row r="12560">
          <cell r="D12560">
            <v>-109.5</v>
          </cell>
          <cell r="H12560">
            <v>45962</v>
          </cell>
          <cell r="I12560" t="str">
            <v>6393 - Software</v>
          </cell>
          <cell r="J12560" t="str">
            <v>Wholesale</v>
          </cell>
          <cell r="K12560" t="str">
            <v>Wholesale</v>
          </cell>
          <cell r="L12560" t="str">
            <v>Professional Service</v>
          </cell>
          <cell r="N12560" t="str">
            <v>Direct Costs</v>
          </cell>
          <cell r="O12560" t="str">
            <v>SPS Commerce</v>
          </cell>
        </row>
        <row r="12561">
          <cell r="D12561">
            <v>109.5</v>
          </cell>
          <cell r="H12561">
            <v>45962</v>
          </cell>
          <cell r="I12561" t="str">
            <v>6393 - Software</v>
          </cell>
          <cell r="J12561" t="str">
            <v>Wholesale</v>
          </cell>
          <cell r="K12561" t="str">
            <v>Wholesale</v>
          </cell>
          <cell r="L12561" t="str">
            <v>Professional Service</v>
          </cell>
          <cell r="N12561" t="str">
            <v>Direct Costs</v>
          </cell>
          <cell r="O12561" t="str">
            <v>SPS Commerce</v>
          </cell>
        </row>
        <row r="12562">
          <cell r="D12562">
            <v>146</v>
          </cell>
          <cell r="H12562">
            <v>45962</v>
          </cell>
          <cell r="I12562" t="str">
            <v>6393 - Software</v>
          </cell>
          <cell r="J12562" t="str">
            <v>Wholesale</v>
          </cell>
          <cell r="K12562" t="str">
            <v>Wholesale</v>
          </cell>
          <cell r="L12562" t="str">
            <v>Professional Service</v>
          </cell>
          <cell r="N12562" t="str">
            <v>Direct Costs</v>
          </cell>
          <cell r="O12562" t="str">
            <v>SPS Commerce</v>
          </cell>
        </row>
        <row r="12563">
          <cell r="D12563">
            <v>39</v>
          </cell>
          <cell r="H12563">
            <v>45962</v>
          </cell>
          <cell r="I12563" t="str">
            <v>6393 - Software</v>
          </cell>
          <cell r="J12563">
            <v>0</v>
          </cell>
          <cell r="K12563" t="str">
            <v>Executive</v>
          </cell>
          <cell r="L12563" t="str">
            <v>Professional Service</v>
          </cell>
          <cell r="N12563" t="str">
            <v>Direct Costs</v>
          </cell>
          <cell r="O12563" t="str">
            <v>Yoon Choi</v>
          </cell>
        </row>
        <row r="12564">
          <cell r="D12564">
            <v>21.78</v>
          </cell>
          <cell r="H12564">
            <v>45962</v>
          </cell>
          <cell r="I12564" t="str">
            <v>6393 - Software</v>
          </cell>
          <cell r="J12564">
            <v>0</v>
          </cell>
          <cell r="K12564" t="str">
            <v>Executive</v>
          </cell>
          <cell r="L12564" t="str">
            <v>Professional Service</v>
          </cell>
          <cell r="N12564" t="str">
            <v>Direct Costs</v>
          </cell>
          <cell r="O12564" t="str">
            <v>Yoon Choi</v>
          </cell>
        </row>
        <row r="12565">
          <cell r="D12565">
            <v>10</v>
          </cell>
          <cell r="H12565">
            <v>45962</v>
          </cell>
          <cell r="I12565" t="str">
            <v>6393 - Software</v>
          </cell>
          <cell r="J12565">
            <v>0</v>
          </cell>
          <cell r="K12565" t="str">
            <v>Executive</v>
          </cell>
          <cell r="L12565" t="str">
            <v>Professional Service</v>
          </cell>
          <cell r="N12565" t="str">
            <v>Direct Costs</v>
          </cell>
          <cell r="O12565" t="str">
            <v>Yoon Choi</v>
          </cell>
        </row>
        <row r="12566">
          <cell r="D12566">
            <v>21.78</v>
          </cell>
          <cell r="H12566">
            <v>45962</v>
          </cell>
          <cell r="I12566" t="str">
            <v>6393 - Software</v>
          </cell>
          <cell r="J12566">
            <v>0</v>
          </cell>
          <cell r="K12566" t="str">
            <v>Executive</v>
          </cell>
          <cell r="L12566" t="str">
            <v>Professional Service</v>
          </cell>
          <cell r="N12566" t="str">
            <v>Direct Costs</v>
          </cell>
          <cell r="O12566" t="str">
            <v>Yoon Choi</v>
          </cell>
        </row>
        <row r="12567">
          <cell r="D12567">
            <v>20</v>
          </cell>
          <cell r="H12567">
            <v>45962</v>
          </cell>
          <cell r="I12567" t="str">
            <v>6393 - Software</v>
          </cell>
          <cell r="J12567">
            <v>0</v>
          </cell>
          <cell r="K12567" t="str">
            <v>Executive</v>
          </cell>
          <cell r="L12567" t="str">
            <v>Professional Service</v>
          </cell>
          <cell r="N12567" t="str">
            <v>Direct Costs</v>
          </cell>
          <cell r="O12567" t="str">
            <v>Yoon Choi</v>
          </cell>
        </row>
        <row r="12568">
          <cell r="D12568">
            <v>18</v>
          </cell>
          <cell r="H12568">
            <v>45962</v>
          </cell>
          <cell r="I12568" t="str">
            <v>6393 - Software</v>
          </cell>
          <cell r="J12568">
            <v>0</v>
          </cell>
          <cell r="K12568" t="str">
            <v>Executive</v>
          </cell>
          <cell r="L12568" t="str">
            <v>Professional Service</v>
          </cell>
          <cell r="N12568" t="str">
            <v>Direct Costs</v>
          </cell>
          <cell r="O12568" t="str">
            <v>Yoon Choi</v>
          </cell>
        </row>
        <row r="12569">
          <cell r="D12569">
            <v>108.88</v>
          </cell>
          <cell r="H12569">
            <v>45962</v>
          </cell>
          <cell r="I12569" t="str">
            <v>6393 - Software</v>
          </cell>
          <cell r="J12569">
            <v>0</v>
          </cell>
          <cell r="K12569" t="str">
            <v>Administration</v>
          </cell>
          <cell r="L12569" t="str">
            <v>Professional Service</v>
          </cell>
          <cell r="N12569" t="str">
            <v>Direct Costs</v>
          </cell>
          <cell r="O12569" t="str">
            <v>Sean Lee</v>
          </cell>
        </row>
        <row r="12570">
          <cell r="D12570">
            <v>163.31</v>
          </cell>
          <cell r="H12570">
            <v>45962</v>
          </cell>
          <cell r="I12570" t="str">
            <v>6393 - Software</v>
          </cell>
          <cell r="J12570">
            <v>0</v>
          </cell>
          <cell r="K12570" t="str">
            <v>Administration</v>
          </cell>
          <cell r="L12570" t="str">
            <v>Professional Service</v>
          </cell>
          <cell r="N12570" t="str">
            <v>Direct Costs</v>
          </cell>
          <cell r="O12570" t="str">
            <v>Sean Lee</v>
          </cell>
        </row>
        <row r="12571">
          <cell r="D12571">
            <v>886.82</v>
          </cell>
          <cell r="H12571">
            <v>45962</v>
          </cell>
          <cell r="I12571" t="str">
            <v>6393 - Software</v>
          </cell>
          <cell r="J12571" t="str">
            <v>Wholesale</v>
          </cell>
          <cell r="K12571" t="str">
            <v>Wholesale</v>
          </cell>
          <cell r="L12571" t="str">
            <v>Professional Service</v>
          </cell>
          <cell r="N12571" t="str">
            <v>Direct Costs</v>
          </cell>
          <cell r="O12571" t="str">
            <v>SPS Commerce</v>
          </cell>
        </row>
        <row r="12572">
          <cell r="D12572">
            <v>8</v>
          </cell>
          <cell r="H12572">
            <v>45962</v>
          </cell>
          <cell r="I12572" t="str">
            <v>6393 - Software</v>
          </cell>
          <cell r="J12572">
            <v>0</v>
          </cell>
          <cell r="K12572" t="str">
            <v>Design</v>
          </cell>
          <cell r="L12572" t="str">
            <v>Professional Service</v>
          </cell>
          <cell r="N12572" t="str">
            <v>Direct Costs</v>
          </cell>
          <cell r="O12572" t="str">
            <v>Diffusion AI</v>
          </cell>
        </row>
        <row r="12573">
          <cell r="D12573">
            <v>0</v>
          </cell>
          <cell r="H12573">
            <v>45962</v>
          </cell>
          <cell r="I12573" t="str">
            <v>6393 - Software</v>
          </cell>
          <cell r="J12573" t="str">
            <v>Wholesale</v>
          </cell>
          <cell r="K12573" t="str">
            <v>Wholesale</v>
          </cell>
          <cell r="L12573" t="str">
            <v>Professional Service</v>
          </cell>
          <cell r="N12573" t="str">
            <v>Direct Costs</v>
          </cell>
          <cell r="O12573" t="str">
            <v>SPS Commerce</v>
          </cell>
        </row>
        <row r="12574">
          <cell r="D12574">
            <v>0</v>
          </cell>
          <cell r="H12574">
            <v>45962</v>
          </cell>
          <cell r="I12574" t="str">
            <v>6393 - Software</v>
          </cell>
          <cell r="J12574" t="str">
            <v>Wholesale</v>
          </cell>
          <cell r="K12574" t="str">
            <v>Wholesale</v>
          </cell>
          <cell r="L12574" t="str">
            <v>Professional Service</v>
          </cell>
          <cell r="N12574" t="str">
            <v>Direct Costs</v>
          </cell>
          <cell r="O12574" t="str">
            <v>SPS Commerce</v>
          </cell>
        </row>
        <row r="12575">
          <cell r="D12575">
            <v>88</v>
          </cell>
          <cell r="H12575">
            <v>45962</v>
          </cell>
          <cell r="I12575" t="str">
            <v>6393 - Software</v>
          </cell>
          <cell r="J12575" t="str">
            <v>Wholesale</v>
          </cell>
          <cell r="K12575" t="str">
            <v>Wholesale</v>
          </cell>
          <cell r="L12575" t="str">
            <v>Professional Service</v>
          </cell>
          <cell r="N12575" t="str">
            <v>Direct Costs</v>
          </cell>
          <cell r="O12575" t="str">
            <v>SPS Commerce</v>
          </cell>
        </row>
        <row r="12576">
          <cell r="D12576">
            <v>48.98</v>
          </cell>
          <cell r="H12576">
            <v>45962</v>
          </cell>
          <cell r="I12576" t="str">
            <v>6393 - Software</v>
          </cell>
          <cell r="J12576">
            <v>0</v>
          </cell>
          <cell r="K12576" t="str">
            <v>Executive</v>
          </cell>
          <cell r="L12576" t="str">
            <v>Professional Service</v>
          </cell>
          <cell r="N12576" t="str">
            <v>Direct Costs</v>
          </cell>
          <cell r="O12576" t="str">
            <v>[No Vendor]</v>
          </cell>
        </row>
        <row r="12577">
          <cell r="D12577">
            <v>2268.23</v>
          </cell>
          <cell r="H12577">
            <v>45962</v>
          </cell>
          <cell r="I12577" t="str">
            <v>6393 - Software</v>
          </cell>
          <cell r="J12577">
            <v>0</v>
          </cell>
          <cell r="K12577" t="str">
            <v>Brand Marketing</v>
          </cell>
          <cell r="L12577" t="str">
            <v>Professional Service</v>
          </cell>
          <cell r="N12577" t="str">
            <v>Direct Costs</v>
          </cell>
          <cell r="O12577" t="str">
            <v>Fohr</v>
          </cell>
        </row>
        <row r="12578">
          <cell r="D12578">
            <v>41.67</v>
          </cell>
          <cell r="H12578">
            <v>45962</v>
          </cell>
          <cell r="I12578" t="str">
            <v>6393 - Software</v>
          </cell>
          <cell r="J12578">
            <v>0</v>
          </cell>
          <cell r="K12578" t="str">
            <v>Brand Marketing</v>
          </cell>
          <cell r="L12578" t="str">
            <v>Professional Service</v>
          </cell>
          <cell r="N12578" t="str">
            <v>Direct Costs</v>
          </cell>
          <cell r="O12578" t="str">
            <v>[No Vendor]</v>
          </cell>
        </row>
        <row r="12579">
          <cell r="D12579">
            <v>9.99</v>
          </cell>
          <cell r="H12579">
            <v>45962</v>
          </cell>
          <cell r="I12579" t="str">
            <v>6393 - Software</v>
          </cell>
          <cell r="J12579">
            <v>0</v>
          </cell>
          <cell r="K12579" t="str">
            <v>Administration</v>
          </cell>
          <cell r="L12579" t="str">
            <v>Professional Service</v>
          </cell>
          <cell r="N12579" t="str">
            <v>Direct Costs</v>
          </cell>
          <cell r="O12579" t="str">
            <v>Drop Box</v>
          </cell>
        </row>
        <row r="12580">
          <cell r="D12580">
            <v>18.149999999999999</v>
          </cell>
          <cell r="H12580">
            <v>45962</v>
          </cell>
          <cell r="I12580" t="str">
            <v>6393 - Software</v>
          </cell>
          <cell r="J12580">
            <v>0</v>
          </cell>
          <cell r="K12580" t="str">
            <v>Production</v>
          </cell>
          <cell r="L12580" t="str">
            <v>Professional Service</v>
          </cell>
          <cell r="N12580" t="str">
            <v>Direct Costs</v>
          </cell>
          <cell r="O12580" t="str">
            <v>[No Vendor]</v>
          </cell>
        </row>
        <row r="12581">
          <cell r="D12581">
            <v>226.82</v>
          </cell>
          <cell r="H12581">
            <v>45962</v>
          </cell>
          <cell r="I12581" t="str">
            <v>6393 - Software</v>
          </cell>
          <cell r="J12581">
            <v>0</v>
          </cell>
          <cell r="K12581" t="str">
            <v>Administration</v>
          </cell>
          <cell r="L12581" t="str">
            <v>Professional Service</v>
          </cell>
          <cell r="N12581" t="str">
            <v>Direct Costs</v>
          </cell>
          <cell r="O12581" t="str">
            <v>Avalara, Inc</v>
          </cell>
        </row>
        <row r="12582">
          <cell r="D12582">
            <v>411.58</v>
          </cell>
          <cell r="H12582">
            <v>45962</v>
          </cell>
          <cell r="I12582" t="str">
            <v>6393 - Software</v>
          </cell>
          <cell r="J12582">
            <v>0</v>
          </cell>
          <cell r="K12582" t="str">
            <v>Administration</v>
          </cell>
          <cell r="L12582" t="str">
            <v>Professional Service</v>
          </cell>
          <cell r="N12582" t="str">
            <v>Direct Costs</v>
          </cell>
          <cell r="O12582" t="str">
            <v>MS Office 365</v>
          </cell>
        </row>
        <row r="12583">
          <cell r="D12583">
            <v>4148.26</v>
          </cell>
          <cell r="H12583">
            <v>45962</v>
          </cell>
          <cell r="I12583" t="str">
            <v>6393 - Software</v>
          </cell>
          <cell r="J12583">
            <v>0</v>
          </cell>
          <cell r="K12583" t="str">
            <v>Administration</v>
          </cell>
          <cell r="L12583" t="str">
            <v>Professional Service</v>
          </cell>
          <cell r="N12583" t="str">
            <v>Direct Costs</v>
          </cell>
          <cell r="O12583" t="str">
            <v>Oracle Netsuite</v>
          </cell>
        </row>
        <row r="12584">
          <cell r="D12584">
            <v>8690.59</v>
          </cell>
          <cell r="H12584">
            <v>45962</v>
          </cell>
          <cell r="I12584" t="str">
            <v>6393 - Software</v>
          </cell>
          <cell r="J12584" t="str">
            <v>Ecommerce (US)</v>
          </cell>
          <cell r="K12584" t="str">
            <v>Ecommerce</v>
          </cell>
          <cell r="L12584" t="str">
            <v>Professional Service</v>
          </cell>
          <cell r="N12584" t="str">
            <v>Direct Costs</v>
          </cell>
          <cell r="O12584" t="str">
            <v>Attentive Mobile Inc.</v>
          </cell>
        </row>
        <row r="12585">
          <cell r="D12585">
            <v>421.68</v>
          </cell>
          <cell r="H12585">
            <v>45962</v>
          </cell>
          <cell r="I12585" t="str">
            <v>6393 - Software</v>
          </cell>
          <cell r="J12585">
            <v>0</v>
          </cell>
          <cell r="K12585" t="str">
            <v>Administration</v>
          </cell>
          <cell r="L12585" t="str">
            <v>Professional Service</v>
          </cell>
          <cell r="N12585" t="str">
            <v>Direct Costs</v>
          </cell>
          <cell r="O12585" t="str">
            <v>Docusign</v>
          </cell>
        </row>
        <row r="12586">
          <cell r="D12586">
            <v>3179.22</v>
          </cell>
          <cell r="H12586">
            <v>45962</v>
          </cell>
          <cell r="I12586" t="str">
            <v>6393 - Software</v>
          </cell>
          <cell r="J12586">
            <v>0</v>
          </cell>
          <cell r="K12586" t="str">
            <v>Administration</v>
          </cell>
          <cell r="L12586" t="str">
            <v>Professional Service</v>
          </cell>
          <cell r="N12586" t="str">
            <v>Direct Costs</v>
          </cell>
          <cell r="O12586" t="str">
            <v>Avalara, Inc</v>
          </cell>
        </row>
        <row r="12587">
          <cell r="D12587">
            <v>2582.46</v>
          </cell>
          <cell r="H12587">
            <v>45962</v>
          </cell>
          <cell r="I12587" t="str">
            <v>6393 - Software</v>
          </cell>
          <cell r="J12587">
            <v>0</v>
          </cell>
          <cell r="K12587" t="str">
            <v>Administration</v>
          </cell>
          <cell r="L12587" t="str">
            <v>Professional Service</v>
          </cell>
          <cell r="N12587" t="str">
            <v>Direct Costs</v>
          </cell>
          <cell r="O12587" t="str">
            <v>Apparel Magic</v>
          </cell>
        </row>
        <row r="12588">
          <cell r="D12588">
            <v>35</v>
          </cell>
          <cell r="H12588">
            <v>45962</v>
          </cell>
          <cell r="I12588" t="str">
            <v>6400 - Utilities</v>
          </cell>
          <cell r="J12588">
            <v>0</v>
          </cell>
          <cell r="K12588" t="str">
            <v>Administration</v>
          </cell>
          <cell r="L12588" t="str">
            <v>Other</v>
          </cell>
          <cell r="N12588" t="str">
            <v>SG&amp;A</v>
          </cell>
          <cell r="O12588" t="str">
            <v>NYC Intercom Inc</v>
          </cell>
        </row>
        <row r="12589">
          <cell r="D12589">
            <v>5.33</v>
          </cell>
          <cell r="H12589">
            <v>45962</v>
          </cell>
          <cell r="I12589" t="str">
            <v>6400 - Utilities</v>
          </cell>
          <cell r="J12589">
            <v>0</v>
          </cell>
          <cell r="K12589" t="str">
            <v>Administration</v>
          </cell>
          <cell r="L12589" t="str">
            <v>Other</v>
          </cell>
          <cell r="N12589" t="str">
            <v>SG&amp;A</v>
          </cell>
          <cell r="O12589" t="str">
            <v>NYC Intercom Inc</v>
          </cell>
        </row>
        <row r="12590">
          <cell r="D12590">
            <v>25</v>
          </cell>
          <cell r="H12590">
            <v>45962</v>
          </cell>
          <cell r="I12590" t="str">
            <v>6400 - Utilities</v>
          </cell>
          <cell r="J12590">
            <v>0</v>
          </cell>
          <cell r="K12590" t="str">
            <v>Administration</v>
          </cell>
          <cell r="L12590" t="str">
            <v>Other</v>
          </cell>
          <cell r="N12590" t="str">
            <v>SG&amp;A</v>
          </cell>
          <cell r="O12590" t="str">
            <v>NYC Intercom Inc</v>
          </cell>
        </row>
        <row r="12591">
          <cell r="D12591">
            <v>479.83</v>
          </cell>
          <cell r="H12591">
            <v>45962</v>
          </cell>
          <cell r="I12591" t="str">
            <v>6400 - Utilities</v>
          </cell>
          <cell r="J12591">
            <v>0</v>
          </cell>
          <cell r="K12591" t="str">
            <v>Administration</v>
          </cell>
          <cell r="L12591" t="str">
            <v>Other</v>
          </cell>
          <cell r="N12591" t="str">
            <v>SG&amp;A</v>
          </cell>
          <cell r="O12591" t="str">
            <v>Antelope LLC</v>
          </cell>
        </row>
        <row r="12592">
          <cell r="D12592">
            <v>-479.83</v>
          </cell>
          <cell r="H12592">
            <v>45962</v>
          </cell>
          <cell r="I12592" t="str">
            <v>6400 - Utilities</v>
          </cell>
          <cell r="J12592">
            <v>0</v>
          </cell>
          <cell r="K12592" t="str">
            <v>Administration</v>
          </cell>
          <cell r="L12592" t="str">
            <v>Other</v>
          </cell>
          <cell r="N12592" t="str">
            <v>SG&amp;A</v>
          </cell>
          <cell r="O12592" t="str">
            <v>[No Vendor]</v>
          </cell>
        </row>
        <row r="12593">
          <cell r="D12593">
            <v>270.87</v>
          </cell>
          <cell r="H12593">
            <v>45962</v>
          </cell>
          <cell r="I12593" t="str">
            <v>6400 - Utilities</v>
          </cell>
          <cell r="J12593">
            <v>0</v>
          </cell>
          <cell r="K12593" t="str">
            <v>Administration</v>
          </cell>
          <cell r="L12593" t="str">
            <v>Other</v>
          </cell>
          <cell r="N12593" t="str">
            <v>SG&amp;A</v>
          </cell>
          <cell r="O12593" t="str">
            <v>Verizon</v>
          </cell>
        </row>
        <row r="12594">
          <cell r="D12594">
            <v>270.87</v>
          </cell>
          <cell r="H12594">
            <v>45962</v>
          </cell>
          <cell r="I12594" t="str">
            <v>6400 - Utilities</v>
          </cell>
          <cell r="J12594">
            <v>0</v>
          </cell>
          <cell r="K12594" t="str">
            <v>Administration</v>
          </cell>
          <cell r="L12594" t="str">
            <v>Other</v>
          </cell>
          <cell r="N12594" t="str">
            <v>SG&amp;A</v>
          </cell>
          <cell r="O12594" t="str">
            <v>Verizon</v>
          </cell>
        </row>
        <row r="12595">
          <cell r="D12595">
            <v>382.74</v>
          </cell>
          <cell r="H12595">
            <v>45962</v>
          </cell>
          <cell r="I12595" t="str">
            <v>6400 - Utilities</v>
          </cell>
          <cell r="J12595">
            <v>0</v>
          </cell>
          <cell r="K12595" t="str">
            <v>Administration</v>
          </cell>
          <cell r="L12595" t="str">
            <v>Other</v>
          </cell>
          <cell r="N12595" t="str">
            <v>SG&amp;A</v>
          </cell>
          <cell r="O12595" t="str">
            <v>[No Vendor]</v>
          </cell>
        </row>
        <row r="12596">
          <cell r="D12596">
            <v>10.62</v>
          </cell>
          <cell r="H12596">
            <v>45962</v>
          </cell>
          <cell r="I12596" t="str">
            <v>6410 - Lease Expense</v>
          </cell>
          <cell r="J12596">
            <v>0</v>
          </cell>
          <cell r="K12596" t="str">
            <v>Administration</v>
          </cell>
          <cell r="L12596" t="str">
            <v>Rent</v>
          </cell>
          <cell r="N12596" t="str">
            <v>SG&amp;A</v>
          </cell>
          <cell r="O12596" t="str">
            <v>Canon Financial Services, Inc.</v>
          </cell>
        </row>
        <row r="12597">
          <cell r="D12597">
            <v>30.61</v>
          </cell>
          <cell r="H12597">
            <v>45962</v>
          </cell>
          <cell r="I12597" t="str">
            <v>6410 - Lease Expense</v>
          </cell>
          <cell r="J12597">
            <v>0</v>
          </cell>
          <cell r="K12597" t="str">
            <v>Administration</v>
          </cell>
          <cell r="L12597" t="str">
            <v>Rent</v>
          </cell>
          <cell r="N12597" t="str">
            <v>SG&amp;A</v>
          </cell>
          <cell r="O12597" t="str">
            <v>Canon Financial Services, Inc.</v>
          </cell>
        </row>
        <row r="12598">
          <cell r="D12598">
            <v>699.25</v>
          </cell>
          <cell r="H12598">
            <v>45962</v>
          </cell>
          <cell r="I12598" t="str">
            <v>6410 - Lease Expense</v>
          </cell>
          <cell r="J12598">
            <v>0</v>
          </cell>
          <cell r="K12598" t="str">
            <v>Administration</v>
          </cell>
          <cell r="L12598" t="str">
            <v>Rent</v>
          </cell>
          <cell r="N12598" t="str">
            <v>SG&amp;A</v>
          </cell>
          <cell r="O12598" t="str">
            <v>Canon Financial Services, Inc.</v>
          </cell>
        </row>
        <row r="12599">
          <cell r="D12599">
            <v>-606</v>
          </cell>
          <cell r="H12599">
            <v>45962</v>
          </cell>
          <cell r="I12599" t="str">
            <v>6410 - Lease Expense</v>
          </cell>
          <cell r="J12599">
            <v>0</v>
          </cell>
          <cell r="K12599" t="str">
            <v>Administration</v>
          </cell>
          <cell r="L12599" t="str">
            <v>Rent</v>
          </cell>
          <cell r="N12599" t="str">
            <v>SG&amp;A</v>
          </cell>
          <cell r="O12599" t="str">
            <v>[No Vendor]</v>
          </cell>
        </row>
        <row r="12600">
          <cell r="D12600">
            <v>175</v>
          </cell>
          <cell r="H12600">
            <v>45962</v>
          </cell>
          <cell r="I12600" t="str">
            <v>6420 - Licenses &amp; Membership</v>
          </cell>
          <cell r="J12600">
            <v>0</v>
          </cell>
          <cell r="K12600" t="str">
            <v>Production</v>
          </cell>
          <cell r="L12600" t="str">
            <v>Professional Service</v>
          </cell>
          <cell r="N12600" t="str">
            <v>SG&amp;A</v>
          </cell>
          <cell r="O12600" t="str">
            <v>GS1</v>
          </cell>
        </row>
        <row r="12601">
          <cell r="D12601">
            <v>5000</v>
          </cell>
          <cell r="H12601">
            <v>45962</v>
          </cell>
          <cell r="I12601" t="str">
            <v>6445 - Inventory Write Down</v>
          </cell>
          <cell r="J12601" t="str">
            <v>Ecommerce (US)</v>
          </cell>
          <cell r="K12601" t="str">
            <v>Ecommerce</v>
          </cell>
          <cell r="L12601" t="str">
            <v>Other</v>
          </cell>
          <cell r="N12601" t="str">
            <v>SG&amp;A</v>
          </cell>
          <cell r="O12601" t="str">
            <v>[No Vendor]</v>
          </cell>
        </row>
        <row r="12602">
          <cell r="D12602">
            <v>0.22</v>
          </cell>
          <cell r="H12602">
            <v>45962</v>
          </cell>
          <cell r="I12602" t="str">
            <v>6450 - Bank &amp; Other Fees</v>
          </cell>
          <cell r="J12602" t="str">
            <v>Ecommerce (US)</v>
          </cell>
          <cell r="K12602" t="str">
            <v>Ecommerce</v>
          </cell>
          <cell r="L12602" t="str">
            <v>Professional Service</v>
          </cell>
          <cell r="N12602" t="str">
            <v>Direct Costs</v>
          </cell>
          <cell r="O12602" t="str">
            <v>[No Vendor]</v>
          </cell>
        </row>
        <row r="12603">
          <cell r="D12603">
            <v>0.14000000000000001</v>
          </cell>
          <cell r="H12603">
            <v>45962</v>
          </cell>
          <cell r="I12603" t="str">
            <v>6450 - Bank &amp; Other Fees</v>
          </cell>
          <cell r="J12603" t="str">
            <v>Ecommerce (US)</v>
          </cell>
          <cell r="K12603" t="str">
            <v>Ecommerce</v>
          </cell>
          <cell r="L12603" t="str">
            <v>Professional Service</v>
          </cell>
          <cell r="N12603" t="str">
            <v>Direct Costs</v>
          </cell>
          <cell r="O12603" t="str">
            <v>[No Vendor]</v>
          </cell>
        </row>
        <row r="12604">
          <cell r="D12604">
            <v>268.88</v>
          </cell>
          <cell r="H12604">
            <v>45962</v>
          </cell>
          <cell r="I12604" t="str">
            <v>6450 - Bank &amp; Other Fees</v>
          </cell>
          <cell r="J12604">
            <v>0</v>
          </cell>
          <cell r="K12604" t="str">
            <v>Administration</v>
          </cell>
          <cell r="L12604" t="str">
            <v>Professional Service</v>
          </cell>
          <cell r="N12604" t="str">
            <v>SG&amp;A</v>
          </cell>
          <cell r="O12604" t="str">
            <v>[No Vendor]</v>
          </cell>
        </row>
        <row r="12605">
          <cell r="D12605">
            <v>5028.1099999999997</v>
          </cell>
          <cell r="H12605">
            <v>45962</v>
          </cell>
          <cell r="I12605" t="str">
            <v>6451 - Service Processing Fee</v>
          </cell>
          <cell r="J12605" t="str">
            <v>Wholesale</v>
          </cell>
          <cell r="K12605" t="str">
            <v>Wholesale</v>
          </cell>
          <cell r="L12605" t="str">
            <v>Professional Service</v>
          </cell>
          <cell r="N12605" t="str">
            <v>Direct Costs</v>
          </cell>
          <cell r="O12605" t="str">
            <v>Paymentech</v>
          </cell>
        </row>
        <row r="12606">
          <cell r="D12606">
            <v>264.60000000000002</v>
          </cell>
          <cell r="H12606">
            <v>45962</v>
          </cell>
          <cell r="I12606" t="str">
            <v>6451 - Service Processing Fee</v>
          </cell>
          <cell r="J12606" t="str">
            <v>Ecommerce (US)</v>
          </cell>
          <cell r="K12606" t="str">
            <v>Ecommerce</v>
          </cell>
          <cell r="L12606" t="str">
            <v>Professional Service</v>
          </cell>
          <cell r="N12606" t="str">
            <v>Direct Costs</v>
          </cell>
          <cell r="O12606" t="str">
            <v>[No Vendor]</v>
          </cell>
        </row>
        <row r="12607">
          <cell r="D12607">
            <v>-514.44000000000005</v>
          </cell>
          <cell r="H12607">
            <v>45962</v>
          </cell>
          <cell r="I12607" t="str">
            <v>6451 - Service Processing Fee</v>
          </cell>
          <cell r="J12607" t="str">
            <v>Ecommerce (US)</v>
          </cell>
          <cell r="K12607" t="str">
            <v>Ecommerce</v>
          </cell>
          <cell r="L12607" t="str">
            <v>Professional Service</v>
          </cell>
          <cell r="N12607" t="str">
            <v>Direct Costs</v>
          </cell>
          <cell r="O12607" t="str">
            <v>[No Vendor]</v>
          </cell>
        </row>
        <row r="12608">
          <cell r="D12608">
            <v>699.48</v>
          </cell>
          <cell r="H12608">
            <v>45962</v>
          </cell>
          <cell r="I12608" t="str">
            <v>6451 - Service Processing Fee</v>
          </cell>
          <cell r="J12608" t="str">
            <v>Ecommerce (US)</v>
          </cell>
          <cell r="K12608" t="str">
            <v>Ecommerce</v>
          </cell>
          <cell r="L12608" t="str">
            <v>Professional Service</v>
          </cell>
          <cell r="N12608" t="str">
            <v>Direct Costs</v>
          </cell>
          <cell r="O12608" t="str">
            <v>[No Vendor]</v>
          </cell>
        </row>
        <row r="12609">
          <cell r="D12609">
            <v>3119</v>
          </cell>
          <cell r="H12609">
            <v>45962</v>
          </cell>
          <cell r="I12609" t="str">
            <v>6451 - Service Processing Fee</v>
          </cell>
          <cell r="J12609" t="str">
            <v>Ecommerce (US)</v>
          </cell>
          <cell r="K12609" t="str">
            <v>Ecommerce</v>
          </cell>
          <cell r="L12609" t="str">
            <v>Professional Service</v>
          </cell>
          <cell r="N12609" t="str">
            <v>Direct Costs</v>
          </cell>
          <cell r="O12609" t="str">
            <v>Loop</v>
          </cell>
        </row>
        <row r="12610">
          <cell r="D12610">
            <v>50.78</v>
          </cell>
          <cell r="H12610">
            <v>45962</v>
          </cell>
          <cell r="I12610" t="str">
            <v>6451 - Service Processing Fee</v>
          </cell>
          <cell r="J12610" t="str">
            <v>Ecommerce (US)</v>
          </cell>
          <cell r="K12610" t="str">
            <v>Ecommerce</v>
          </cell>
          <cell r="L12610" t="str">
            <v>Professional Service</v>
          </cell>
          <cell r="N12610" t="str">
            <v>Direct Costs</v>
          </cell>
          <cell r="O12610" t="str">
            <v>[No Vendor]</v>
          </cell>
        </row>
        <row r="12611">
          <cell r="D12611">
            <v>-149.4</v>
          </cell>
          <cell r="H12611">
            <v>45962</v>
          </cell>
          <cell r="I12611" t="str">
            <v>6451 - Service Processing Fee</v>
          </cell>
          <cell r="J12611" t="str">
            <v>Ecommerce (US)</v>
          </cell>
          <cell r="K12611" t="str">
            <v>Ecommerce</v>
          </cell>
          <cell r="L12611" t="str">
            <v>Professional Service</v>
          </cell>
          <cell r="N12611" t="str">
            <v>Direct Costs</v>
          </cell>
          <cell r="O12611" t="str">
            <v>[No Vendor]</v>
          </cell>
        </row>
        <row r="12612">
          <cell r="D12612">
            <v>833.58</v>
          </cell>
          <cell r="H12612">
            <v>45962</v>
          </cell>
          <cell r="I12612" t="str">
            <v>6451 - Service Processing Fee</v>
          </cell>
          <cell r="J12612" t="str">
            <v>Ecommerce (US)</v>
          </cell>
          <cell r="K12612" t="str">
            <v>Ecommerce</v>
          </cell>
          <cell r="L12612" t="str">
            <v>Professional Service</v>
          </cell>
          <cell r="N12612" t="str">
            <v>Direct Costs</v>
          </cell>
          <cell r="O12612" t="str">
            <v>[No Vendor]</v>
          </cell>
        </row>
        <row r="12613">
          <cell r="D12613">
            <v>315.38</v>
          </cell>
          <cell r="H12613">
            <v>45962</v>
          </cell>
          <cell r="I12613" t="str">
            <v>6451 - Service Processing Fee</v>
          </cell>
          <cell r="J12613" t="str">
            <v>Ecommerce (US)</v>
          </cell>
          <cell r="K12613" t="str">
            <v>Ecommerce</v>
          </cell>
          <cell r="L12613" t="str">
            <v>Professional Service</v>
          </cell>
          <cell r="N12613" t="str">
            <v>Direct Costs</v>
          </cell>
          <cell r="O12613" t="str">
            <v>[No Vendor]</v>
          </cell>
        </row>
        <row r="12614">
          <cell r="D12614">
            <v>-77.400000000000006</v>
          </cell>
          <cell r="H12614">
            <v>45962</v>
          </cell>
          <cell r="I12614" t="str">
            <v>6451 - Service Processing Fee</v>
          </cell>
          <cell r="J12614" t="str">
            <v>Ecommerce (US)</v>
          </cell>
          <cell r="K12614" t="str">
            <v>Ecommerce</v>
          </cell>
          <cell r="L12614" t="str">
            <v>Professional Service</v>
          </cell>
          <cell r="N12614" t="str">
            <v>Direct Costs</v>
          </cell>
          <cell r="O12614" t="str">
            <v>[No Vendor]</v>
          </cell>
        </row>
        <row r="12615">
          <cell r="D12615">
            <v>463.32</v>
          </cell>
          <cell r="H12615">
            <v>45962</v>
          </cell>
          <cell r="I12615" t="str">
            <v>6451 - Service Processing Fee</v>
          </cell>
          <cell r="J12615" t="str">
            <v>Ecommerce (US)</v>
          </cell>
          <cell r="K12615" t="str">
            <v>Ecommerce</v>
          </cell>
          <cell r="L12615" t="str">
            <v>Professional Service</v>
          </cell>
          <cell r="N12615" t="str">
            <v>Direct Costs</v>
          </cell>
          <cell r="O12615" t="str">
            <v>[No Vendor]</v>
          </cell>
        </row>
        <row r="12616">
          <cell r="D12616">
            <v>59018.43</v>
          </cell>
          <cell r="H12616">
            <v>45962</v>
          </cell>
          <cell r="I12616" t="str">
            <v>6451 - Service Processing Fee</v>
          </cell>
          <cell r="J12616" t="str">
            <v>Ecommerce (US)</v>
          </cell>
          <cell r="K12616" t="str">
            <v>Ecommerce</v>
          </cell>
          <cell r="L12616" t="str">
            <v>Professional Service</v>
          </cell>
          <cell r="N12616" t="str">
            <v>Direct Costs</v>
          </cell>
          <cell r="O12616" t="str">
            <v>Shopify</v>
          </cell>
        </row>
        <row r="12617">
          <cell r="D12617">
            <v>8388.8799999999992</v>
          </cell>
          <cell r="H12617">
            <v>45962</v>
          </cell>
          <cell r="I12617" t="str">
            <v>6451 - Service Processing Fee</v>
          </cell>
          <cell r="J12617" t="str">
            <v>Ecommerce (US)</v>
          </cell>
          <cell r="K12617" t="str">
            <v>Ecommerce</v>
          </cell>
          <cell r="L12617" t="str">
            <v>Professional Service</v>
          </cell>
          <cell r="N12617" t="str">
            <v>Direct Costs</v>
          </cell>
          <cell r="O12617" t="str">
            <v>Amazon</v>
          </cell>
        </row>
        <row r="12618">
          <cell r="D12618">
            <v>3010.71</v>
          </cell>
          <cell r="H12618">
            <v>45962</v>
          </cell>
          <cell r="I12618" t="str">
            <v>6451 - Service Processing Fee</v>
          </cell>
          <cell r="J12618" t="str">
            <v>Ecommerce (EU)</v>
          </cell>
          <cell r="K12618" t="str">
            <v>Ecommerce</v>
          </cell>
          <cell r="L12618" t="str">
            <v>Professional Service</v>
          </cell>
          <cell r="N12618" t="str">
            <v>Direct Costs</v>
          </cell>
          <cell r="O12618" t="str">
            <v>[No Vendor]</v>
          </cell>
        </row>
        <row r="12619">
          <cell r="D12619">
            <v>4158.8999999999996</v>
          </cell>
          <cell r="H12619">
            <v>45962</v>
          </cell>
          <cell r="I12619" t="str">
            <v>6487 - Interest Expense</v>
          </cell>
          <cell r="J12619">
            <v>0</v>
          </cell>
          <cell r="K12619" t="str">
            <v>Administration</v>
          </cell>
          <cell r="L12619" t="str">
            <v>Interest</v>
          </cell>
          <cell r="N12619" t="str">
            <v>BTL</v>
          </cell>
          <cell r="O12619" t="str">
            <v>[No Vendor]</v>
          </cell>
        </row>
        <row r="12620">
          <cell r="D12620">
            <v>5671.23</v>
          </cell>
          <cell r="H12620">
            <v>45962</v>
          </cell>
          <cell r="I12620" t="str">
            <v>6487 - Interest Expense</v>
          </cell>
          <cell r="J12620">
            <v>0</v>
          </cell>
          <cell r="K12620" t="str">
            <v>Administration</v>
          </cell>
          <cell r="L12620" t="str">
            <v>Interest</v>
          </cell>
          <cell r="N12620" t="str">
            <v>BTL</v>
          </cell>
          <cell r="O12620" t="str">
            <v>[No Vendor]</v>
          </cell>
        </row>
        <row r="12621">
          <cell r="D12621">
            <v>14745.21</v>
          </cell>
          <cell r="H12621">
            <v>45962</v>
          </cell>
          <cell r="I12621" t="str">
            <v>6487 - Interest Expense</v>
          </cell>
          <cell r="J12621">
            <v>0</v>
          </cell>
          <cell r="K12621" t="str">
            <v>Administration</v>
          </cell>
          <cell r="L12621" t="str">
            <v>Interest</v>
          </cell>
          <cell r="N12621" t="str">
            <v>BTL</v>
          </cell>
          <cell r="O12621" t="str">
            <v>[No Vendor]</v>
          </cell>
        </row>
        <row r="12622">
          <cell r="D12622">
            <v>3780.82</v>
          </cell>
          <cell r="H12622">
            <v>45962</v>
          </cell>
          <cell r="I12622" t="str">
            <v>6487 - Interest Expense</v>
          </cell>
          <cell r="J12622">
            <v>0</v>
          </cell>
          <cell r="K12622" t="str">
            <v>Administration</v>
          </cell>
          <cell r="L12622" t="str">
            <v>Interest</v>
          </cell>
          <cell r="N12622" t="str">
            <v>BTL</v>
          </cell>
          <cell r="O12622" t="str">
            <v>[No Vendor]</v>
          </cell>
        </row>
        <row r="12623">
          <cell r="D12623">
            <v>11342.47</v>
          </cell>
          <cell r="H12623">
            <v>45962</v>
          </cell>
          <cell r="I12623" t="str">
            <v>6487 - Interest Expense</v>
          </cell>
          <cell r="J12623">
            <v>0</v>
          </cell>
          <cell r="K12623" t="str">
            <v>Administration</v>
          </cell>
          <cell r="L12623" t="str">
            <v>Interest</v>
          </cell>
          <cell r="N12623" t="str">
            <v>BTL</v>
          </cell>
          <cell r="O12623" t="str">
            <v>[No Vendor]</v>
          </cell>
        </row>
        <row r="12624">
          <cell r="D12624">
            <v>9452.0499999999993</v>
          </cell>
          <cell r="H12624">
            <v>45962</v>
          </cell>
          <cell r="I12624" t="str">
            <v>6487 - Interest Expense</v>
          </cell>
          <cell r="J12624">
            <v>0</v>
          </cell>
          <cell r="K12624" t="str">
            <v>Administration</v>
          </cell>
          <cell r="L12624" t="str">
            <v>Interest</v>
          </cell>
          <cell r="N12624" t="str">
            <v>BTL</v>
          </cell>
          <cell r="O12624" t="str">
            <v>[No Vendor]</v>
          </cell>
        </row>
        <row r="12625">
          <cell r="D12625">
            <v>7561.64</v>
          </cell>
          <cell r="H12625">
            <v>45962</v>
          </cell>
          <cell r="I12625" t="str">
            <v>6487 - Interest Expense</v>
          </cell>
          <cell r="J12625">
            <v>0</v>
          </cell>
          <cell r="K12625" t="str">
            <v>Administration</v>
          </cell>
          <cell r="L12625" t="str">
            <v>Interest</v>
          </cell>
          <cell r="N12625" t="str">
            <v>BTL</v>
          </cell>
          <cell r="O12625" t="str">
            <v>[No Vendor]</v>
          </cell>
        </row>
        <row r="12626">
          <cell r="D12626">
            <v>7561.64</v>
          </cell>
          <cell r="H12626">
            <v>45962</v>
          </cell>
          <cell r="I12626" t="str">
            <v>6487 - Interest Expense</v>
          </cell>
          <cell r="J12626">
            <v>0</v>
          </cell>
          <cell r="K12626" t="str">
            <v>Administration</v>
          </cell>
          <cell r="L12626" t="str">
            <v>Interest</v>
          </cell>
          <cell r="N12626" t="str">
            <v>BTL</v>
          </cell>
          <cell r="O12626" t="str">
            <v>[No Vendor]</v>
          </cell>
        </row>
        <row r="12627">
          <cell r="D12627">
            <v>11342.47</v>
          </cell>
          <cell r="H12627">
            <v>45962</v>
          </cell>
          <cell r="I12627" t="str">
            <v>6487 - Interest Expense</v>
          </cell>
          <cell r="J12627">
            <v>0</v>
          </cell>
          <cell r="K12627" t="str">
            <v>Administration</v>
          </cell>
          <cell r="L12627" t="str">
            <v>Interest</v>
          </cell>
          <cell r="N12627" t="str">
            <v>BTL</v>
          </cell>
          <cell r="O12627" t="str">
            <v>[No Vendor]</v>
          </cell>
        </row>
        <row r="12628">
          <cell r="D12628">
            <v>6323.36</v>
          </cell>
          <cell r="H12628">
            <v>45962</v>
          </cell>
          <cell r="I12628" t="str">
            <v>6487 - Interest Expense</v>
          </cell>
          <cell r="J12628">
            <v>0</v>
          </cell>
          <cell r="K12628" t="str">
            <v>Administration</v>
          </cell>
          <cell r="L12628" t="str">
            <v>Interest</v>
          </cell>
          <cell r="N12628" t="str">
            <v>BTL</v>
          </cell>
          <cell r="O12628" t="str">
            <v>[No Vendor]</v>
          </cell>
        </row>
        <row r="12629">
          <cell r="D12629">
            <v>9.1999999999999993</v>
          </cell>
          <cell r="H12629">
            <v>45962</v>
          </cell>
          <cell r="I12629" t="str">
            <v>6487 - Interest Expense</v>
          </cell>
          <cell r="J12629">
            <v>0</v>
          </cell>
          <cell r="K12629" t="str">
            <v>Administration</v>
          </cell>
          <cell r="L12629" t="str">
            <v>Interest</v>
          </cell>
          <cell r="N12629" t="str">
            <v>BTL</v>
          </cell>
          <cell r="O12629" t="str">
            <v>[No Vendor]</v>
          </cell>
        </row>
        <row r="12630">
          <cell r="D12630">
            <v>185.2</v>
          </cell>
          <cell r="H12630">
            <v>45962</v>
          </cell>
          <cell r="I12630" t="str">
            <v>6520 - Taxes and Licenses</v>
          </cell>
          <cell r="J12630">
            <v>0</v>
          </cell>
          <cell r="K12630" t="str">
            <v>Administration</v>
          </cell>
          <cell r="L12630" t="str">
            <v>Other</v>
          </cell>
          <cell r="N12630" t="str">
            <v>SG&amp;A</v>
          </cell>
          <cell r="O12630" t="str">
            <v>[No Vendor]</v>
          </cell>
        </row>
        <row r="12631">
          <cell r="D12631">
            <v>-50</v>
          </cell>
          <cell r="H12631">
            <v>45962</v>
          </cell>
          <cell r="I12631" t="str">
            <v>6520 - Taxes and Licenses</v>
          </cell>
          <cell r="J12631">
            <v>0</v>
          </cell>
          <cell r="K12631" t="str">
            <v>Administration</v>
          </cell>
          <cell r="L12631" t="str">
            <v>Other</v>
          </cell>
          <cell r="N12631" t="str">
            <v>SG&amp;A</v>
          </cell>
          <cell r="O12631" t="str">
            <v>[No Vendor]</v>
          </cell>
        </row>
        <row r="12632">
          <cell r="D12632">
            <v>1576.52</v>
          </cell>
          <cell r="H12632">
            <v>45962</v>
          </cell>
          <cell r="I12632" t="str">
            <v>6520 - Taxes and Licenses</v>
          </cell>
          <cell r="J12632">
            <v>0</v>
          </cell>
          <cell r="K12632" t="str">
            <v>Administration</v>
          </cell>
          <cell r="L12632" t="str">
            <v>Other</v>
          </cell>
          <cell r="N12632" t="str">
            <v>SG&amp;A</v>
          </cell>
          <cell r="O12632" t="str">
            <v>[No Vendor]</v>
          </cell>
        </row>
        <row r="12633">
          <cell r="D12633">
            <v>2368.5</v>
          </cell>
          <cell r="H12633">
            <v>45962</v>
          </cell>
          <cell r="I12633" t="str">
            <v>6520 - Taxes and Licenses</v>
          </cell>
          <cell r="J12633">
            <v>0</v>
          </cell>
          <cell r="K12633" t="str">
            <v>Administration</v>
          </cell>
          <cell r="L12633" t="str">
            <v>Other</v>
          </cell>
          <cell r="N12633" t="str">
            <v>SG&amp;A</v>
          </cell>
          <cell r="O12633" t="str">
            <v>[No Vendor]</v>
          </cell>
        </row>
        <row r="12634">
          <cell r="D12634">
            <v>27.49</v>
          </cell>
          <cell r="H12634">
            <v>45962</v>
          </cell>
          <cell r="I12634" t="str">
            <v>7030 - Plant Machinery &amp; Equipment</v>
          </cell>
          <cell r="J12634">
            <v>0</v>
          </cell>
          <cell r="K12634" t="str">
            <v>Production</v>
          </cell>
          <cell r="L12634" t="str">
            <v>Depreciation &amp; Amortization</v>
          </cell>
          <cell r="N12634" t="str">
            <v>SG&amp;A</v>
          </cell>
          <cell r="O12634" t="str">
            <v>[No Vendor]</v>
          </cell>
        </row>
        <row r="12635">
          <cell r="D12635">
            <v>24.41</v>
          </cell>
          <cell r="H12635">
            <v>45962</v>
          </cell>
          <cell r="I12635" t="str">
            <v>7030 - Plant Machinery &amp; Equipment</v>
          </cell>
          <cell r="J12635">
            <v>0</v>
          </cell>
          <cell r="K12635" t="str">
            <v>Administration</v>
          </cell>
          <cell r="L12635" t="str">
            <v>Depreciation &amp; Amortization</v>
          </cell>
          <cell r="N12635" t="str">
            <v>SG&amp;A</v>
          </cell>
          <cell r="O12635" t="str">
            <v>[No Vendor]</v>
          </cell>
        </row>
        <row r="12636">
          <cell r="D12636">
            <v>58.03</v>
          </cell>
          <cell r="H12636">
            <v>45962</v>
          </cell>
          <cell r="I12636" t="str">
            <v>7040 - Furniture &amp; Fixtures</v>
          </cell>
          <cell r="J12636">
            <v>0</v>
          </cell>
          <cell r="K12636" t="str">
            <v>Administration</v>
          </cell>
          <cell r="L12636" t="str">
            <v>Depreciation &amp; Amortization</v>
          </cell>
          <cell r="N12636" t="str">
            <v>SG&amp;A</v>
          </cell>
          <cell r="O12636" t="str">
            <v>[No Vendor]</v>
          </cell>
        </row>
        <row r="12637">
          <cell r="D12637">
            <v>259.97000000000003</v>
          </cell>
          <cell r="H12637">
            <v>45962</v>
          </cell>
          <cell r="I12637" t="str">
            <v>7040 - Furniture &amp; Fixtures</v>
          </cell>
          <cell r="J12637" t="str">
            <v>Wholesale</v>
          </cell>
          <cell r="K12637" t="str">
            <v>Wholesale</v>
          </cell>
          <cell r="L12637" t="str">
            <v>Depreciation &amp; Amortization</v>
          </cell>
          <cell r="N12637" t="str">
            <v>SG&amp;A</v>
          </cell>
          <cell r="O12637" t="str">
            <v>[No Vendor]</v>
          </cell>
        </row>
        <row r="12638">
          <cell r="D12638">
            <v>557.34</v>
          </cell>
          <cell r="H12638">
            <v>45962</v>
          </cell>
          <cell r="I12638" t="str">
            <v>7060 - Information Technology &amp; Software</v>
          </cell>
          <cell r="J12638">
            <v>0</v>
          </cell>
          <cell r="K12638" t="str">
            <v>Administration</v>
          </cell>
          <cell r="L12638" t="str">
            <v>Depreciation &amp; Amortization</v>
          </cell>
          <cell r="N12638" t="str">
            <v>SG&amp;A</v>
          </cell>
          <cell r="O12638" t="str">
            <v>[No Vendor]</v>
          </cell>
        </row>
        <row r="12639">
          <cell r="D12639">
            <v>149.81</v>
          </cell>
          <cell r="H12639">
            <v>45962</v>
          </cell>
          <cell r="I12639" t="str">
            <v>7060 - Information Technology &amp; Software</v>
          </cell>
          <cell r="J12639">
            <v>0</v>
          </cell>
          <cell r="K12639" t="str">
            <v>Brand Marketing</v>
          </cell>
          <cell r="L12639" t="str">
            <v>Depreciation &amp; Amortization</v>
          </cell>
          <cell r="N12639" t="str">
            <v>SG&amp;A</v>
          </cell>
          <cell r="O12639" t="str">
            <v>[No Vendor]</v>
          </cell>
        </row>
        <row r="12640">
          <cell r="D12640">
            <v>65.48</v>
          </cell>
          <cell r="H12640">
            <v>45962</v>
          </cell>
          <cell r="I12640" t="str">
            <v>7060 - Information Technology &amp; Software</v>
          </cell>
          <cell r="J12640">
            <v>0</v>
          </cell>
          <cell r="K12640" t="str">
            <v>Merchandising</v>
          </cell>
          <cell r="L12640" t="str">
            <v>Depreciation &amp; Amortization</v>
          </cell>
          <cell r="N12640" t="str">
            <v>SG&amp;A</v>
          </cell>
          <cell r="O12640" t="str">
            <v>[No Vendor]</v>
          </cell>
        </row>
        <row r="12641">
          <cell r="D12641">
            <v>216.66</v>
          </cell>
          <cell r="H12641">
            <v>45962</v>
          </cell>
          <cell r="I12641" t="str">
            <v>7060 - Information Technology &amp; Software</v>
          </cell>
          <cell r="J12641">
            <v>0</v>
          </cell>
          <cell r="K12641" t="str">
            <v>Design</v>
          </cell>
          <cell r="L12641" t="str">
            <v>Depreciation &amp; Amortization</v>
          </cell>
          <cell r="N12641" t="str">
            <v>SG&amp;A</v>
          </cell>
          <cell r="O12641" t="str">
            <v>[No Vendor]</v>
          </cell>
        </row>
        <row r="12642">
          <cell r="D12642">
            <v>156.94</v>
          </cell>
          <cell r="H12642">
            <v>45962</v>
          </cell>
          <cell r="I12642" t="str">
            <v>7060 - Information Technology &amp; Software</v>
          </cell>
          <cell r="J12642">
            <v>0</v>
          </cell>
          <cell r="K12642" t="str">
            <v>Production</v>
          </cell>
          <cell r="L12642" t="str">
            <v>Depreciation &amp; Amortization</v>
          </cell>
          <cell r="N12642" t="str">
            <v>SG&amp;A</v>
          </cell>
          <cell r="O12642" t="str">
            <v>[No Vendor]</v>
          </cell>
        </row>
        <row r="12643">
          <cell r="D12643">
            <v>274.3</v>
          </cell>
          <cell r="H12643">
            <v>45962</v>
          </cell>
          <cell r="I12643" t="str">
            <v>7060 - Information Technology &amp; Software</v>
          </cell>
          <cell r="J12643" t="str">
            <v>Ecommerce (US)</v>
          </cell>
          <cell r="K12643" t="str">
            <v>Ecommerce</v>
          </cell>
          <cell r="L12643" t="str">
            <v>Depreciation &amp; Amortization</v>
          </cell>
          <cell r="N12643" t="str">
            <v>SG&amp;A</v>
          </cell>
          <cell r="O12643" t="str">
            <v>[No Vendor]</v>
          </cell>
        </row>
        <row r="12644">
          <cell r="D12644">
            <v>113.67</v>
          </cell>
          <cell r="H12644">
            <v>45962</v>
          </cell>
          <cell r="I12644" t="str">
            <v>7060 - Information Technology &amp; Software</v>
          </cell>
          <cell r="J12644" t="str">
            <v>Wholesale</v>
          </cell>
          <cell r="K12644" t="str">
            <v>Wholesale</v>
          </cell>
          <cell r="L12644" t="str">
            <v>Depreciation &amp; Amortization</v>
          </cell>
          <cell r="N12644" t="str">
            <v>SG&amp;A</v>
          </cell>
          <cell r="O12644" t="str">
            <v>[No Vendor]</v>
          </cell>
        </row>
        <row r="12645">
          <cell r="D12645">
            <v>66.72</v>
          </cell>
          <cell r="H12645">
            <v>45962</v>
          </cell>
          <cell r="I12645" t="str">
            <v>7060 - Information Technology &amp; Software</v>
          </cell>
          <cell r="J12645">
            <v>0</v>
          </cell>
          <cell r="K12645" t="str">
            <v>Executive</v>
          </cell>
          <cell r="L12645" t="str">
            <v>Depreciation &amp; Amortization</v>
          </cell>
          <cell r="N12645" t="str">
            <v>SG&amp;A</v>
          </cell>
          <cell r="O12645" t="str">
            <v>[No Vendor]</v>
          </cell>
        </row>
        <row r="12646">
          <cell r="D12646">
            <v>1954.72</v>
          </cell>
          <cell r="H12646">
            <v>45962</v>
          </cell>
          <cell r="I12646" t="str">
            <v>7130 - License Agreements &amp; Other Intangibles</v>
          </cell>
          <cell r="J12646">
            <v>0</v>
          </cell>
          <cell r="K12646" t="str">
            <v>Administration</v>
          </cell>
          <cell r="L12646" t="str">
            <v>Depreciation &amp; Amortization</v>
          </cell>
          <cell r="N12646" t="str">
            <v>SG&amp;A</v>
          </cell>
          <cell r="O12646" t="str">
            <v>[No Vendor]</v>
          </cell>
        </row>
        <row r="12647">
          <cell r="D12647">
            <v>23940.66</v>
          </cell>
          <cell r="H12647">
            <v>45962</v>
          </cell>
          <cell r="I12647" t="str">
            <v>7140 - Amortization Exp - ROU Asset</v>
          </cell>
          <cell r="J12647">
            <v>0</v>
          </cell>
          <cell r="K12647" t="str">
            <v>Administration</v>
          </cell>
          <cell r="L12647" t="str">
            <v>Rent</v>
          </cell>
          <cell r="N12647" t="str">
            <v>SG&amp;A</v>
          </cell>
          <cell r="O12647" t="str">
            <v>[No Vendor]</v>
          </cell>
        </row>
        <row r="12648">
          <cell r="D12648">
            <v>596.79999999999995</v>
          </cell>
          <cell r="H12648">
            <v>45962</v>
          </cell>
          <cell r="I12648" t="str">
            <v>7140 - Amortization Exp - ROU Asset</v>
          </cell>
          <cell r="J12648">
            <v>0</v>
          </cell>
          <cell r="K12648" t="str">
            <v>Administration</v>
          </cell>
          <cell r="L12648" t="str">
            <v>Rent</v>
          </cell>
          <cell r="N12648" t="str">
            <v>SG&amp;A</v>
          </cell>
          <cell r="O12648" t="str">
            <v>[No Vendor]</v>
          </cell>
        </row>
        <row r="12649">
          <cell r="D12649">
            <v>0</v>
          </cell>
          <cell r="H12649">
            <v>45962</v>
          </cell>
          <cell r="I12649" t="str">
            <v>8000 - Interest Income</v>
          </cell>
          <cell r="J12649">
            <v>0</v>
          </cell>
          <cell r="K12649" t="str">
            <v>Licensing</v>
          </cell>
          <cell r="L12649" t="str">
            <v>Other Income (BTL)</v>
          </cell>
          <cell r="N12649" t="str">
            <v>BTL</v>
          </cell>
          <cell r="O12649" t="str">
            <v>[No Vendor]</v>
          </cell>
        </row>
        <row r="12650">
          <cell r="D12650">
            <v>90.73</v>
          </cell>
          <cell r="H12650">
            <v>45962</v>
          </cell>
          <cell r="I12650" t="str">
            <v>8505 - Realized Gain/Loss</v>
          </cell>
          <cell r="J12650">
            <v>0</v>
          </cell>
          <cell r="K12650" t="str">
            <v>No Department</v>
          </cell>
          <cell r="L12650" t="str">
            <v>Realized Gain / Loss</v>
          </cell>
          <cell r="N12650" t="str">
            <v>BTL</v>
          </cell>
          <cell r="O12650" t="str">
            <v>[No Vendor]</v>
          </cell>
        </row>
        <row r="12651">
          <cell r="D12651">
            <v>179.03</v>
          </cell>
          <cell r="H12651">
            <v>45962</v>
          </cell>
          <cell r="I12651" t="str">
            <v>8505 - Realized Gain/Loss</v>
          </cell>
          <cell r="J12651">
            <v>0</v>
          </cell>
          <cell r="K12651" t="str">
            <v>Licensing</v>
          </cell>
          <cell r="L12651" t="str">
            <v>Realized Gain / Loss</v>
          </cell>
          <cell r="N12651" t="str">
            <v>BTL</v>
          </cell>
          <cell r="O12651" t="str">
            <v>[No Vendor]</v>
          </cell>
        </row>
        <row r="12652">
          <cell r="D12652">
            <v>8.25</v>
          </cell>
          <cell r="H12652">
            <v>45962</v>
          </cell>
          <cell r="I12652" t="str">
            <v>8505 - Realized Gain/Loss</v>
          </cell>
          <cell r="J12652">
            <v>0</v>
          </cell>
          <cell r="K12652" t="str">
            <v>No Department</v>
          </cell>
          <cell r="L12652" t="str">
            <v>Realized Gain / Loss</v>
          </cell>
          <cell r="N12652" t="str">
            <v>BTL</v>
          </cell>
          <cell r="O12652" t="str">
            <v>[No Vendor]</v>
          </cell>
        </row>
        <row r="12653">
          <cell r="D12653">
            <v>184192.92</v>
          </cell>
          <cell r="H12653">
            <v>45962</v>
          </cell>
          <cell r="I12653" t="str">
            <v>8700 - Other Expense</v>
          </cell>
          <cell r="J12653">
            <v>0</v>
          </cell>
          <cell r="K12653" t="str">
            <v>Administration</v>
          </cell>
          <cell r="L12653" t="str">
            <v>Other Expense</v>
          </cell>
          <cell r="N12653" t="str">
            <v>BTL</v>
          </cell>
          <cell r="O12653" t="str">
            <v>Bryan Cave Leighton Paisner LLP</v>
          </cell>
        </row>
        <row r="12654">
          <cell r="D12654">
            <v>-300000</v>
          </cell>
          <cell r="H12654">
            <v>45962</v>
          </cell>
          <cell r="I12654" t="str">
            <v>8700 - Other Expense</v>
          </cell>
          <cell r="J12654">
            <v>0</v>
          </cell>
          <cell r="K12654" t="str">
            <v>Administration</v>
          </cell>
          <cell r="L12654" t="str">
            <v>Other Expense</v>
          </cell>
          <cell r="N12654" t="str">
            <v>BTL</v>
          </cell>
          <cell r="O12654" t="str">
            <v>[No Vendor]</v>
          </cell>
        </row>
        <row r="12655">
          <cell r="D12655">
            <v>172358.95</v>
          </cell>
          <cell r="H12655">
            <v>45962</v>
          </cell>
          <cell r="I12655" t="str">
            <v>8700 - Other Expense</v>
          </cell>
          <cell r="J12655">
            <v>0</v>
          </cell>
          <cell r="K12655" t="str">
            <v>Administration</v>
          </cell>
          <cell r="L12655" t="str">
            <v>Other Expense</v>
          </cell>
          <cell r="N12655" t="str">
            <v>BTL</v>
          </cell>
          <cell r="O12655" t="str">
            <v>[No Vendor]</v>
          </cell>
        </row>
        <row r="12656">
          <cell r="D12656">
            <v>-147312.10999999999</v>
          </cell>
          <cell r="H12656">
            <v>45962</v>
          </cell>
          <cell r="I12656" t="str">
            <v>8700 - Other Expense</v>
          </cell>
          <cell r="J12656">
            <v>0</v>
          </cell>
          <cell r="K12656" t="str">
            <v>Administration</v>
          </cell>
          <cell r="L12656" t="str">
            <v>Other Expense</v>
          </cell>
          <cell r="N12656" t="str">
            <v>BTL</v>
          </cell>
          <cell r="O12656" t="str">
            <v>[No Vendor]</v>
          </cell>
        </row>
        <row r="12657">
          <cell r="D12657">
            <v>400000</v>
          </cell>
          <cell r="H12657">
            <v>45962</v>
          </cell>
          <cell r="I12657" t="str">
            <v>8700 - Other Expense</v>
          </cell>
          <cell r="J12657">
            <v>0</v>
          </cell>
          <cell r="K12657" t="str">
            <v>Administration</v>
          </cell>
          <cell r="L12657" t="str">
            <v>Other Expense</v>
          </cell>
          <cell r="N12657" t="str">
            <v>BTL</v>
          </cell>
          <cell r="O12657" t="str">
            <v>[No Vendor]</v>
          </cell>
        </row>
        <row r="12658">
          <cell r="D12658">
            <v>109120.58</v>
          </cell>
          <cell r="H12658">
            <v>45962</v>
          </cell>
          <cell r="I12658" t="str">
            <v>8700 - Other Expense</v>
          </cell>
          <cell r="J12658" t="str">
            <v>Ecommerce (US)</v>
          </cell>
          <cell r="K12658" t="str">
            <v>Ecommerce</v>
          </cell>
          <cell r="L12658" t="str">
            <v>Other Expense</v>
          </cell>
          <cell r="N12658" t="str">
            <v>BTL</v>
          </cell>
          <cell r="O12658" t="str">
            <v>[No Vendor]</v>
          </cell>
        </row>
        <row r="12659">
          <cell r="D12659">
            <v>-3607</v>
          </cell>
          <cell r="H12659">
            <v>45962</v>
          </cell>
          <cell r="I12659" t="str">
            <v>8700 - Other Expense</v>
          </cell>
          <cell r="J12659" t="str">
            <v>Wholesale</v>
          </cell>
          <cell r="K12659" t="str">
            <v>Wholesale</v>
          </cell>
          <cell r="L12659" t="str">
            <v>Other Expense</v>
          </cell>
          <cell r="N12659" t="str">
            <v>BTL</v>
          </cell>
          <cell r="O12659" t="str">
            <v>[No Vendor]</v>
          </cell>
        </row>
        <row r="12660">
          <cell r="D12660">
            <v>109527.8</v>
          </cell>
          <cell r="H12660">
            <v>45962</v>
          </cell>
          <cell r="I12660" t="str">
            <v>Unrealized Gain/Loss</v>
          </cell>
          <cell r="J12660">
            <v>0</v>
          </cell>
          <cell r="K12660" t="str">
            <v>No Department</v>
          </cell>
          <cell r="L12660" t="str">
            <v>Unrealized Gain / Loss</v>
          </cell>
          <cell r="N12660" t="str">
            <v>BTL</v>
          </cell>
          <cell r="O12660" t="str">
            <v>[No Vendor]</v>
          </cell>
        </row>
        <row r="12661">
          <cell r="D12661">
            <v>4500.58</v>
          </cell>
          <cell r="H12661">
            <v>45962</v>
          </cell>
          <cell r="I12661" t="str">
            <v>Unrealized Gain/Loss</v>
          </cell>
          <cell r="J12661">
            <v>0</v>
          </cell>
          <cell r="K12661" t="str">
            <v>No Department</v>
          </cell>
          <cell r="L12661" t="str">
            <v>Unrealized Gain / Loss</v>
          </cell>
          <cell r="N12661" t="str">
            <v>BTL</v>
          </cell>
          <cell r="O12661" t="str">
            <v>[No Vendor]</v>
          </cell>
        </row>
        <row r="12662">
          <cell r="D12662">
            <v>-114460.72</v>
          </cell>
          <cell r="H12662">
            <v>45962</v>
          </cell>
          <cell r="I12662" t="str">
            <v>Unrealized Gain/Loss</v>
          </cell>
          <cell r="J12662">
            <v>0</v>
          </cell>
          <cell r="K12662" t="str">
            <v>No Department</v>
          </cell>
          <cell r="L12662" t="str">
            <v>Unrealized Gain / Loss</v>
          </cell>
          <cell r="N12662" t="str">
            <v>BTL</v>
          </cell>
          <cell r="O12662" t="str">
            <v>[No Vendor]</v>
          </cell>
        </row>
        <row r="12663">
          <cell r="D12663">
            <v>-5644.21</v>
          </cell>
          <cell r="H12663">
            <v>45962</v>
          </cell>
          <cell r="I12663" t="str">
            <v>Unrealized Gain/Loss</v>
          </cell>
          <cell r="J12663">
            <v>0</v>
          </cell>
          <cell r="K12663" t="str">
            <v>No Department</v>
          </cell>
          <cell r="L12663" t="str">
            <v>Unrealized Gain / Loss</v>
          </cell>
          <cell r="N12663" t="str">
            <v>BTL</v>
          </cell>
          <cell r="O12663" t="str">
            <v>[No Vendor]</v>
          </cell>
        </row>
      </sheetData>
      <sheetData sheetId="24"/>
      <sheetData sheetId="25"/>
      <sheetData sheetId="26"/>
      <sheetData sheetId="27"/>
      <sheetData sheetId="28"/>
      <sheetData sheetId="29">
        <row r="21">
          <cell r="R21">
            <v>118210.21</v>
          </cell>
          <cell r="S21">
            <v>70499.5</v>
          </cell>
          <cell r="T21">
            <v>122283.39</v>
          </cell>
          <cell r="U21">
            <v>53581.1</v>
          </cell>
          <cell r="V21">
            <v>60412.22</v>
          </cell>
          <cell r="W21">
            <v>87353.459999999992</v>
          </cell>
          <cell r="X21">
            <v>78331.039999999994</v>
          </cell>
          <cell r="Y21">
            <v>87554.58</v>
          </cell>
          <cell r="Z21">
            <v>77015</v>
          </cell>
          <cell r="AA21">
            <v>61633.310000000005</v>
          </cell>
        </row>
        <row r="30">
          <cell r="R30">
            <v>4954.1500000000005</v>
          </cell>
          <cell r="S30">
            <v>4505.18</v>
          </cell>
          <cell r="T30">
            <v>23731.360000000001</v>
          </cell>
          <cell r="U30">
            <v>4693.8700000000008</v>
          </cell>
          <cell r="V30">
            <v>11759.87</v>
          </cell>
          <cell r="W30">
            <v>1264.1300000000001</v>
          </cell>
          <cell r="X30">
            <v>1094.28</v>
          </cell>
          <cell r="Y30">
            <v>1279.4900000000002</v>
          </cell>
          <cell r="Z30">
            <v>856.24999999999989</v>
          </cell>
          <cell r="AA30">
            <v>2066.6999999999998</v>
          </cell>
        </row>
        <row r="39">
          <cell r="R39">
            <v>24649.53</v>
          </cell>
          <cell r="S39">
            <v>24651.739999999998</v>
          </cell>
          <cell r="T39">
            <v>24653.989999999998</v>
          </cell>
          <cell r="U39">
            <v>24656.17</v>
          </cell>
          <cell r="V39">
            <v>24658.39</v>
          </cell>
          <cell r="W39">
            <v>24660.63</v>
          </cell>
          <cell r="X39">
            <v>24662.87</v>
          </cell>
          <cell r="Y39">
            <v>24665.13</v>
          </cell>
          <cell r="Z39">
            <v>24667.39</v>
          </cell>
          <cell r="AA39">
            <v>24669.66</v>
          </cell>
        </row>
        <row r="42">
          <cell r="R42">
            <v>38117.17</v>
          </cell>
          <cell r="S42">
            <v>5126.67</v>
          </cell>
          <cell r="T42">
            <v>3228.46</v>
          </cell>
          <cell r="U42">
            <v>19361.090000000004</v>
          </cell>
          <cell r="V42">
            <v>2318.4700000000007</v>
          </cell>
          <cell r="W42">
            <v>4924.2300000000005</v>
          </cell>
          <cell r="X42">
            <v>5195.26</v>
          </cell>
          <cell r="Y42">
            <v>1935.81</v>
          </cell>
          <cell r="Z42">
            <v>9966.5300000000007</v>
          </cell>
          <cell r="AA42">
            <v>57135.340000000004</v>
          </cell>
        </row>
        <row r="47">
          <cell r="R47">
            <v>52659.669999999991</v>
          </cell>
          <cell r="S47">
            <v>81730.59</v>
          </cell>
          <cell r="T47">
            <v>56640.989999999991</v>
          </cell>
          <cell r="U47">
            <v>89562.29</v>
          </cell>
          <cell r="V47">
            <v>218381.12000000005</v>
          </cell>
          <cell r="W47">
            <v>111685.52</v>
          </cell>
          <cell r="X47">
            <v>90051.689999999988</v>
          </cell>
          <cell r="Y47">
            <v>117665.73999999999</v>
          </cell>
          <cell r="Z47">
            <v>104901.78</v>
          </cell>
          <cell r="AA47">
            <v>120868.58999999998</v>
          </cell>
        </row>
        <row r="57">
          <cell r="R57">
            <v>8123.0500000000011</v>
          </cell>
          <cell r="S57">
            <v>12141.339999999997</v>
          </cell>
          <cell r="T57">
            <v>97426.2</v>
          </cell>
          <cell r="U57">
            <v>6880.8899999999994</v>
          </cell>
          <cell r="V57">
            <v>11079.789999999997</v>
          </cell>
          <cell r="W57">
            <v>24721.01</v>
          </cell>
          <cell r="X57">
            <v>15393.140000000003</v>
          </cell>
          <cell r="Y57">
            <v>25767.690000000006</v>
          </cell>
          <cell r="Z57">
            <v>-30144.519999999993</v>
          </cell>
          <cell r="AA57">
            <v>11730.660000000007</v>
          </cell>
        </row>
        <row r="65">
          <cell r="R65">
            <v>4311.46</v>
          </cell>
          <cell r="S65">
            <v>4317.45</v>
          </cell>
          <cell r="T65">
            <v>-269.20999999999981</v>
          </cell>
          <cell r="U65">
            <v>5350.1600000000008</v>
          </cell>
          <cell r="V65">
            <v>3896.96</v>
          </cell>
          <cell r="W65">
            <v>3952.9399999999996</v>
          </cell>
          <cell r="X65">
            <v>4022.2</v>
          </cell>
          <cell r="Y65">
            <v>4022.2</v>
          </cell>
          <cell r="Z65">
            <v>4022.2</v>
          </cell>
          <cell r="AA65">
            <v>3994.58</v>
          </cell>
        </row>
        <row r="70">
          <cell r="R70">
            <v>251025.23999999996</v>
          </cell>
          <cell r="S70">
            <v>202972.47</v>
          </cell>
          <cell r="T70">
            <v>327695.17999999993</v>
          </cell>
          <cell r="U70">
            <v>204085.57000000004</v>
          </cell>
          <cell r="V70">
            <v>332506.82000000007</v>
          </cell>
          <cell r="W70">
            <v>258561.92000000001</v>
          </cell>
          <cell r="X70">
            <v>218750.47999999998</v>
          </cell>
          <cell r="Y70">
            <v>262890.64</v>
          </cell>
          <cell r="Z70">
            <v>191284.63000000003</v>
          </cell>
          <cell r="AA70">
            <v>282098.84000000003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53685;&#54633;%20&#47928;&#49436;2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0401" refreshedDate="46001.627907870374" createdVersion="8" refreshedVersion="8" minRefreshableVersion="3" recordCount="42" xr:uid="{DD73D811-FAB0-42C3-8E1E-323CCAFAB3C5}">
  <cacheSource type="worksheet">
    <worksheetSource ref="B3:Z45" sheet="Sheet5" r:id="rId2"/>
  </cacheSource>
  <cacheFields count="25">
    <cacheField name="대분류" numFmtId="3">
      <sharedItems count="7">
        <s v="Advertising"/>
        <s v="T&amp;E"/>
        <s v="Rent"/>
        <s v="Sample"/>
        <s v="Professional Service"/>
        <s v="Other"/>
        <s v="Depreciation &amp; Amortization"/>
      </sharedItems>
    </cacheField>
    <cacheField name="중분류" numFmtId="3">
      <sharedItems count="42">
        <s v="6240 - Product Photography"/>
        <s v="6250 - Video"/>
        <s v="6282 - Royalty Expense"/>
        <s v="6284 - Advertising"/>
        <s v="6285 - SEM Brand Marketing"/>
        <s v="6287 - Events"/>
        <s v="6288 - Model"/>
        <s v="6289 - Seeding / Product Placement"/>
        <s v="6100 - Travel and Entertainment"/>
        <s v="6105 - Meals"/>
        <s v="6115 - Airfare"/>
        <s v="6120 - Lodging"/>
        <s v="6125 - Transportation and Fuel"/>
        <s v="6130 - Mileage"/>
        <s v="6135 - Parking and Tolls"/>
        <s v="6140 - Other"/>
        <s v="6410 - Lease Expense"/>
        <s v="7140 - Amortization Exp - ROU Asset"/>
        <s v="6352 - Fabric &amp; Materials"/>
        <s v="6360 - Model - Fitting"/>
        <s v="6363 - Development"/>
        <s v="6370 - Samples"/>
        <s v="6215 - Recruitment"/>
        <s v="6225 - Professional Services"/>
        <s v="6300 - Payroll Service Fees"/>
        <s v="6380 - Legal &amp; Accounting"/>
        <s v="6385 - Insurance"/>
        <s v="6393 - Software"/>
        <s v="6420 - Licenses &amp; Membership"/>
        <s v="6430 - Dues &amp; Memberships"/>
        <s v="6450 - Bank &amp; Other Fees"/>
        <s v="6340 - Miscellaneous Expense"/>
        <s v="6375 - Freight Expenses"/>
        <s v="6400 - Utilities"/>
        <s v="6405 - Telephone"/>
        <s v="6440 - Bad Debt Expenses"/>
        <s v="6445 - Inventory Write Down"/>
        <s v="6520 - Taxes and Licenses"/>
        <s v="7030 - Plant Machinery &amp; Equipment"/>
        <s v="7040 - Furniture &amp; Fixtures"/>
        <s v="7060 - Information Technology &amp; Software"/>
        <s v="7130 - License Agreements &amp; Other Intangibles"/>
      </sharedItems>
    </cacheField>
    <cacheField name="2024-01-01" numFmtId="3">
      <sharedItems containsSemiMixedTypes="0" containsString="0" containsNumber="1" minValue="-27800" maxValue="41542.640000000007"/>
    </cacheField>
    <cacheField name="2024-02-01" numFmtId="3">
      <sharedItems containsSemiMixedTypes="0" containsString="0" containsNumber="1" minValue="-2916.67" maxValue="35706.069999999992"/>
    </cacheField>
    <cacheField name="2024-03-01" numFmtId="3">
      <sharedItems containsSemiMixedTypes="0" containsString="0" containsNumber="1" minValue="-104644.3" maxValue="112306.35"/>
    </cacheField>
    <cacheField name="2024-04-01" numFmtId="3">
      <sharedItems containsSemiMixedTypes="0" containsString="0" containsNumber="1" minValue="0" maxValue="36250"/>
    </cacheField>
    <cacheField name="2024-05-01" numFmtId="3">
      <sharedItems containsSemiMixedTypes="0" containsString="0" containsNumber="1" minValue="0" maxValue="49260"/>
    </cacheField>
    <cacheField name="2024-06-01" numFmtId="3">
      <sharedItems containsSemiMixedTypes="0" containsString="0" containsNumber="1" minValue="-22051.420000000006" maxValue="55535"/>
    </cacheField>
    <cacheField name="2024-07-01" numFmtId="3">
      <sharedItems containsSemiMixedTypes="0" containsString="0" containsNumber="1" minValue="0" maxValue="88714.49"/>
    </cacheField>
    <cacheField name="2024-08-01" numFmtId="3">
      <sharedItems containsSemiMixedTypes="0" containsString="0" containsNumber="1" minValue="0" maxValue="41125.5"/>
    </cacheField>
    <cacheField name="2024-09-01" numFmtId="3">
      <sharedItems containsSemiMixedTypes="0" containsString="0" containsNumber="1" minValue="-100883" maxValue="89389.119999999995"/>
    </cacheField>
    <cacheField name="2024-10-01" numFmtId="3">
      <sharedItems containsSemiMixedTypes="0" containsString="0" containsNumber="1" minValue="0" maxValue="47947.51"/>
    </cacheField>
    <cacheField name="2024-11-01" numFmtId="3">
      <sharedItems containsSemiMixedTypes="0" containsString="0" containsNumber="1" minValue="-8298.81" maxValue="79500"/>
    </cacheField>
    <cacheField name="2024-12-01" numFmtId="3">
      <sharedItems containsSemiMixedTypes="0" containsString="0" containsNumber="1" minValue="-19320.730000000003" maxValue="428552.94"/>
    </cacheField>
    <cacheField name="2025-01-01" numFmtId="3">
      <sharedItems containsSemiMixedTypes="0" containsString="0" containsNumber="1" minValue="0" maxValue="53258.43"/>
    </cacheField>
    <cacheField name="2025-02-01" numFmtId="3">
      <sharedItems containsSemiMixedTypes="0" containsString="0" containsNumber="1" minValue="-107.59999999999854" maxValue="42097.45"/>
    </cacheField>
    <cacheField name="2025-03-01" numFmtId="3">
      <sharedItems containsSemiMixedTypes="0" containsString="0" containsNumber="1" minValue="-1647.6499999999999" maxValue="81263.75"/>
    </cacheField>
    <cacheField name="2025-04-01" numFmtId="3">
      <sharedItems containsSemiMixedTypes="0" containsString="0" containsNumber="1" minValue="-774.1" maxValue="40291.67"/>
    </cacheField>
    <cacheField name="2025-05-01" numFmtId="3">
      <sharedItems containsSemiMixedTypes="0" containsString="0" containsNumber="1" minValue="0" maxValue="146750"/>
    </cacheField>
    <cacheField name="2025-06-01" numFmtId="3">
      <sharedItems containsSemiMixedTypes="0" containsString="0" containsNumber="1" minValue="0" maxValue="60996.67"/>
    </cacheField>
    <cacheField name="2025-07-01" numFmtId="3">
      <sharedItems containsSemiMixedTypes="0" containsString="0" containsNumber="1" minValue="-13.41" maxValue="50131.67"/>
    </cacheField>
    <cacheField name="2025-08-01" numFmtId="3">
      <sharedItems containsSemiMixedTypes="0" containsString="0" containsNumber="1" minValue="-22.939999999999998" maxValue="63541.65"/>
    </cacheField>
    <cacheField name="2025-09-01" numFmtId="3">
      <sharedItems containsSemiMixedTypes="0" containsString="0" containsNumber="1" minValue="-48625" maxValue="34790.289999999994"/>
    </cacheField>
    <cacheField name="2025-10-01" numFmtId="3">
      <sharedItems containsSemiMixedTypes="0" containsString="0" containsNumber="1" minValue="-6434.8899999999994" maxValue="49751.13"/>
    </cacheField>
    <cacheField name="2025-11-01" numFmtId="3">
      <sharedItems containsSemiMixedTypes="0" containsString="0" containsNumber="1" minValue="-13214.090000000004" maxValue="67365.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0"/>
    <n v="5298"/>
    <n v="36250"/>
    <n v="36250"/>
    <n v="49260"/>
    <n v="55535"/>
    <n v="54125.5"/>
    <n v="41125.5"/>
    <n v="39230.51"/>
    <n v="47947.51"/>
    <n v="67767.510000000009"/>
    <n v="63354.51"/>
    <n v="53258.43"/>
    <n v="42097.45"/>
    <n v="81263.75"/>
    <n v="40291.67"/>
    <n v="40291.67"/>
    <n v="60996.67"/>
    <n v="50131.67"/>
    <n v="63541.65"/>
    <n v="28833.33"/>
    <n v="45393.66"/>
    <n v="33051.33"/>
  </r>
  <r>
    <x v="0"/>
    <x v="1"/>
    <n v="71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n v="-27800"/>
    <n v="0"/>
    <n v="0"/>
    <n v="0"/>
    <n v="16267.2"/>
    <n v="0"/>
    <n v="0"/>
    <n v="0"/>
    <n v="0"/>
    <n v="0"/>
    <n v="0"/>
    <n v="20826"/>
    <n v="0"/>
    <n v="-107.59999999999854"/>
    <n v="0"/>
    <n v="0"/>
    <n v="0"/>
    <n v="0"/>
    <n v="0"/>
    <n v="0"/>
    <n v="0"/>
    <n v="0"/>
    <n v="0"/>
  </r>
  <r>
    <x v="0"/>
    <x v="3"/>
    <n v="2916.67"/>
    <n v="-2916.67"/>
    <n v="0"/>
    <n v="0"/>
    <n v="0"/>
    <n v="0"/>
    <n v="0"/>
    <n v="0"/>
    <n v="833.33"/>
    <n v="16250"/>
    <n v="2291.66"/>
    <n v="2291.67"/>
    <n v="1666.67"/>
    <n v="1666.66"/>
    <n v="0"/>
    <n v="0"/>
    <n v="3333.33"/>
    <n v="2500.0100000000002"/>
    <n v="4166.67"/>
    <n v="4166.66"/>
    <n v="3333.34"/>
    <n v="3333.33"/>
    <n v="10733.33"/>
  </r>
  <r>
    <x v="0"/>
    <x v="4"/>
    <n v="0"/>
    <n v="0"/>
    <n v="0"/>
    <n v="0"/>
    <n v="0"/>
    <n v="0"/>
    <n v="0"/>
    <n v="0"/>
    <n v="0"/>
    <n v="0"/>
    <n v="0"/>
    <n v="0"/>
    <n v="52909.75"/>
    <n v="12846.029999999999"/>
    <n v="22779.69"/>
    <n v="12363.11"/>
    <n v="10850.15"/>
    <n v="9524.9"/>
    <n v="9059.06"/>
    <n v="13596.89"/>
    <n v="0"/>
    <n v="0"/>
    <n v="0"/>
  </r>
  <r>
    <x v="0"/>
    <x v="5"/>
    <n v="0"/>
    <n v="272.81"/>
    <n v="5006.8999999999996"/>
    <n v="0"/>
    <n v="0"/>
    <n v="25.69"/>
    <n v="0"/>
    <n v="8167.82"/>
    <n v="0"/>
    <n v="0"/>
    <n v="0"/>
    <n v="0"/>
    <n v="0"/>
    <n v="0"/>
    <n v="0"/>
    <n v="0"/>
    <n v="0"/>
    <n v="0"/>
    <n v="0"/>
    <n v="0"/>
    <n v="33579.69"/>
    <n v="0"/>
    <n v="0"/>
  </r>
  <r>
    <x v="0"/>
    <x v="6"/>
    <n v="4425"/>
    <n v="1740"/>
    <n v="2100"/>
    <n v="540"/>
    <n v="2400"/>
    <n v="20600"/>
    <n v="9480"/>
    <n v="5340"/>
    <n v="0"/>
    <n v="750"/>
    <n v="12630"/>
    <n v="15420"/>
    <n v="7440"/>
    <n v="1500"/>
    <n v="840"/>
    <n v="330"/>
    <n v="4980"/>
    <n v="10562.7"/>
    <n v="7350"/>
    <n v="2925"/>
    <n v="1155"/>
    <n v="4799.29"/>
    <n v="1502"/>
  </r>
  <r>
    <x v="0"/>
    <x v="7"/>
    <n v="4958.68"/>
    <n v="2579.63"/>
    <n v="6013.13"/>
    <n v="1534.42"/>
    <n v="1468.04"/>
    <n v="4119.25"/>
    <n v="14642.76"/>
    <n v="9940.7000000000007"/>
    <n v="9321.3700000000008"/>
    <n v="5897.27"/>
    <n v="7613.46"/>
    <n v="14313.94"/>
    <n v="2935.36"/>
    <n v="12496.96"/>
    <n v="17399.95"/>
    <n v="596.32000000000005"/>
    <n v="957.07"/>
    <n v="3769.18"/>
    <n v="7623.64"/>
    <n v="3324.38"/>
    <n v="10113.640000000001"/>
    <n v="8107.03"/>
    <n v="67365.38"/>
  </r>
  <r>
    <x v="1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9"/>
    <n v="2139.6799999999998"/>
    <n v="2950.67"/>
    <n v="1477.1799999999998"/>
    <n v="997.89"/>
    <n v="877.54000000000008"/>
    <n v="334.39"/>
    <n v="1540.8299999999997"/>
    <n v="1132.8300000000004"/>
    <n v="1146.3100000000002"/>
    <n v="1469.1399999999999"/>
    <n v="2039.2099999999998"/>
    <n v="8155.35"/>
    <n v="2540.3900000000003"/>
    <n v="1876.06"/>
    <n v="1421.08"/>
    <n v="708.14999999999986"/>
    <n v="2527.6500000000005"/>
    <n v="952.22000000000014"/>
    <n v="666.18000000000006"/>
    <n v="1064.3000000000002"/>
    <n v="742.08999999999992"/>
    <n v="1783.5899999999997"/>
    <n v="1540.06"/>
  </r>
  <r>
    <x v="1"/>
    <x v="10"/>
    <n v="1027.6200000000001"/>
    <n v="852.40000000000009"/>
    <n v="12695.820000000002"/>
    <n v="124.21"/>
    <n v="5305.6"/>
    <n v="746.95"/>
    <n v="2248"/>
    <n v="15519.399999999998"/>
    <n v="0"/>
    <n v="163.39999999999998"/>
    <n v="13534.9"/>
    <n v="0"/>
    <n v="0"/>
    <n v="466.96"/>
    <n v="19161.610000000004"/>
    <n v="0"/>
    <n v="3300.1900000000005"/>
    <n v="0"/>
    <n v="0"/>
    <n v="0"/>
    <n v="0"/>
    <n v="0"/>
    <n v="939.67000000000007"/>
  </r>
  <r>
    <x v="1"/>
    <x v="11"/>
    <n v="3030.39"/>
    <n v="2726.9300000000003"/>
    <n v="3116.0899999999997"/>
    <n v="5595.65"/>
    <n v="1763.5"/>
    <n v="2987.2599999999998"/>
    <n v="1894.6300000000003"/>
    <n v="4538.96"/>
    <n v="2819.2400000000002"/>
    <n v="843.69"/>
    <n v="5484.58"/>
    <n v="3413.6400000000003"/>
    <n v="1249.9000000000001"/>
    <n v="1122.3599999999999"/>
    <n v="1897.46"/>
    <n v="3186.57"/>
    <n v="5027.9199999999992"/>
    <n v="0"/>
    <n v="335.32"/>
    <n v="0"/>
    <n v="0"/>
    <n v="0"/>
    <n v="461.35"/>
  </r>
  <r>
    <x v="1"/>
    <x v="12"/>
    <n v="1601.86"/>
    <n v="1113.3"/>
    <n v="1470.1000000000001"/>
    <n v="1459.7099999999998"/>
    <n v="929.76"/>
    <n v="863.88000000000011"/>
    <n v="3450.5199999999995"/>
    <n v="1230.54"/>
    <n v="439.83"/>
    <n v="835.63"/>
    <n v="2034.1300000000006"/>
    <n v="2375.96"/>
    <n v="1163.8600000000004"/>
    <n v="1034.8000000000002"/>
    <n v="954.93"/>
    <n v="579.0200000000001"/>
    <n v="828.67000000000007"/>
    <n v="311.91000000000003"/>
    <n v="92.78"/>
    <n v="215.19000000000003"/>
    <n v="114.16"/>
    <n v="283.11"/>
    <n v="751.78"/>
  </r>
  <r>
    <x v="1"/>
    <x v="13"/>
    <n v="0"/>
    <n v="0"/>
    <n v="184.92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4"/>
    <n v="357"/>
    <n v="0"/>
    <n v="0"/>
    <n v="0"/>
    <n v="0"/>
    <n v="0"/>
    <n v="41.75"/>
    <n v="91.31"/>
    <n v="0"/>
    <n v="0"/>
    <n v="0"/>
    <n v="168.8"/>
    <n v="0"/>
    <n v="0"/>
    <n v="0"/>
    <n v="0"/>
    <n v="0"/>
    <n v="0"/>
    <n v="0"/>
    <n v="0"/>
    <n v="0"/>
    <n v="0"/>
    <n v="0"/>
  </r>
  <r>
    <x v="1"/>
    <x v="15"/>
    <n v="319.7"/>
    <n v="627.57999999999993"/>
    <n v="637.5"/>
    <n v="119"/>
    <n v="0"/>
    <n v="40"/>
    <n v="80"/>
    <n v="184"/>
    <n v="190"/>
    <n v="245.73"/>
    <n v="357.2"/>
    <n v="0"/>
    <n v="0"/>
    <n v="5"/>
    <n v="296.27999999999997"/>
    <n v="220.13"/>
    <n v="75.44"/>
    <n v="0"/>
    <n v="0"/>
    <n v="0"/>
    <n v="0"/>
    <n v="0"/>
    <n v="0"/>
  </r>
  <r>
    <x v="2"/>
    <x v="16"/>
    <n v="113.80999999999995"/>
    <n v="113.79999999999995"/>
    <n v="113.79999999999995"/>
    <n v="113.79999999999995"/>
    <n v="113.79999999999995"/>
    <n v="113.79999999999995"/>
    <n v="113.79999999999995"/>
    <n v="113.79999999999995"/>
    <n v="113.79999999999995"/>
    <n v="113.79999999999995"/>
    <n v="113.79999999999995"/>
    <n v="113.79999999999995"/>
    <n v="134.48000000000002"/>
    <n v="134.48000000000002"/>
    <n v="134.48000000000002"/>
    <n v="134.48000000000002"/>
    <n v="134.48000000000002"/>
    <n v="134.48000000000002"/>
    <n v="134.48000000000002"/>
    <n v="134.48000000000002"/>
    <n v="134.48000000000002"/>
    <n v="134.48000000000002"/>
    <n v="134.48000000000002"/>
  </r>
  <r>
    <x v="2"/>
    <x v="17"/>
    <n v="33799.54"/>
    <n v="33801.64"/>
    <n v="33803.75"/>
    <n v="33805.869999999995"/>
    <n v="33808"/>
    <n v="-22051.420000000006"/>
    <n v="24502.02"/>
    <n v="24504.17"/>
    <n v="24506.329999999998"/>
    <n v="24508.5"/>
    <n v="24510.68"/>
    <n v="24512.86"/>
    <n v="24515.05"/>
    <n v="24517.26"/>
    <n v="24519.51"/>
    <n v="24521.69"/>
    <n v="24523.91"/>
    <n v="24526.15"/>
    <n v="24528.39"/>
    <n v="24530.65"/>
    <n v="24532.91"/>
    <n v="24535.18"/>
    <n v="24537.46"/>
  </r>
  <r>
    <x v="3"/>
    <x v="18"/>
    <n v="0"/>
    <n v="0"/>
    <n v="0"/>
    <n v="0"/>
    <n v="0"/>
    <n v="0"/>
    <n v="1108.06"/>
    <n v="0"/>
    <n v="0"/>
    <n v="0"/>
    <n v="0"/>
    <n v="0"/>
    <n v="2643.63"/>
    <n v="0"/>
    <n v="144"/>
    <n v="0"/>
    <n v="0"/>
    <n v="0"/>
    <n v="0"/>
    <n v="0"/>
    <n v="459.25"/>
    <n v="0"/>
    <n v="0"/>
  </r>
  <r>
    <x v="3"/>
    <x v="19"/>
    <n v="6745"/>
    <n v="6870"/>
    <n v="0"/>
    <n v="600"/>
    <n v="4500"/>
    <n v="540"/>
    <n v="2000"/>
    <n v="1600"/>
    <n v="0"/>
    <n v="840"/>
    <n v="0"/>
    <n v="7600"/>
    <n v="1500"/>
    <n v="300"/>
    <n v="2000"/>
    <n v="0"/>
    <n v="400"/>
    <n v="1700"/>
    <n v="2600"/>
    <n v="50"/>
    <n v="7350.84"/>
    <n v="1695"/>
    <n v="750"/>
  </r>
  <r>
    <x v="3"/>
    <x v="20"/>
    <n v="0"/>
    <n v="1625"/>
    <n v="0"/>
    <n v="0"/>
    <n v="0"/>
    <n v="12542.32"/>
    <n v="1300"/>
    <n v="30027.440000000002"/>
    <n v="443.76"/>
    <n v="2067.98"/>
    <n v="31.59"/>
    <n v="0"/>
    <n v="33542.5"/>
    <n v="3493.5699999999997"/>
    <n v="0"/>
    <n v="4151.25"/>
    <n v="0"/>
    <n v="0"/>
    <n v="2422"/>
    <n v="1885.81"/>
    <n v="0"/>
    <n v="42492"/>
    <n v="0"/>
  </r>
  <r>
    <x v="3"/>
    <x v="21"/>
    <n v="29.8"/>
    <n v="35706.069999999992"/>
    <n v="315.84000000000003"/>
    <n v="554.30999999999995"/>
    <n v="16769.009999999998"/>
    <n v="1633.37"/>
    <n v="1286.0900000000001"/>
    <n v="321.38"/>
    <n v="954.43000000000006"/>
    <n v="14509.9"/>
    <n v="5496.1"/>
    <n v="697.12"/>
    <n v="431.04"/>
    <n v="1333.1"/>
    <n v="1084.46"/>
    <n v="15209.840000000002"/>
    <n v="1918.4700000000007"/>
    <n v="3224.2300000000005"/>
    <n v="173.26"/>
    <n v="0"/>
    <n v="2156.44"/>
    <n v="12948.340000000002"/>
    <n v="0"/>
  </r>
  <r>
    <x v="4"/>
    <x v="22"/>
    <n v="1714.49"/>
    <n v="0"/>
    <n v="16000"/>
    <n v="5143.47"/>
    <n v="1714.49"/>
    <n v="1714.49"/>
    <n v="88714.49"/>
    <n v="1714.49"/>
    <n v="4714.49"/>
    <n v="0"/>
    <n v="79500"/>
    <n v="3429.04"/>
    <n v="0"/>
    <n v="25000"/>
    <n v="0"/>
    <n v="0"/>
    <n v="146750"/>
    <n v="12164.55"/>
    <n v="0"/>
    <n v="47948.259999999995"/>
    <n v="43.54"/>
    <n v="0"/>
    <n v="0"/>
  </r>
  <r>
    <x v="4"/>
    <x v="23"/>
    <n v="6657.99"/>
    <n v="11078.369999999999"/>
    <n v="10242.85"/>
    <n v="6570.5"/>
    <n v="4530.5"/>
    <n v="5470.5"/>
    <n v="15470.5"/>
    <n v="12270.5"/>
    <n v="11570.5"/>
    <n v="33070.5"/>
    <n v="23242"/>
    <n v="13042"/>
    <n v="11642"/>
    <n v="13442"/>
    <n v="14692"/>
    <n v="39099.800000000003"/>
    <n v="28123.7"/>
    <n v="44351.23"/>
    <n v="29051.24"/>
    <n v="15576.36"/>
    <n v="28712.79"/>
    <n v="17323.89"/>
    <n v="29854.9"/>
  </r>
  <r>
    <x v="4"/>
    <x v="24"/>
    <n v="7398.2800000000007"/>
    <n v="10084.33"/>
    <n v="13103.140000000001"/>
    <n v="5849.24"/>
    <n v="5262.12"/>
    <n v="4313.09"/>
    <n v="4858.2299999999996"/>
    <n v="5712.47"/>
    <n v="5719.8899999999994"/>
    <n v="5495.93"/>
    <n v="4185.74"/>
    <n v="3755.5899999999997"/>
    <n v="4437.6400000000003"/>
    <n v="4698.4399999999996"/>
    <n v="4592.47"/>
    <n v="4168.1899999999996"/>
    <n v="5746.2"/>
    <n v="4413.1600000000008"/>
    <n v="7813.6900000000005"/>
    <n v="10589.09"/>
    <n v="7004.73"/>
    <n v="8434.2800000000007"/>
    <n v="5168.41"/>
  </r>
  <r>
    <x v="4"/>
    <x v="25"/>
    <n v="41542.640000000007"/>
    <n v="23360.89"/>
    <n v="112306.35"/>
    <n v="21829.17"/>
    <n v="11039.75"/>
    <n v="16774.330000000002"/>
    <n v="20276.669999999998"/>
    <n v="26380.81"/>
    <n v="11898.26"/>
    <n v="47354.14"/>
    <n v="12619.369999999999"/>
    <n v="88462.18"/>
    <n v="18594.900000000001"/>
    <n v="13290.98"/>
    <n v="10926.149999999998"/>
    <n v="28683.82"/>
    <n v="11204.66"/>
    <n v="27295.379999999997"/>
    <n v="32226.97"/>
    <n v="12863.42"/>
    <n v="34790.289999999994"/>
    <n v="49751.13"/>
    <n v="11500"/>
  </r>
  <r>
    <x v="4"/>
    <x v="26"/>
    <n v="4250.6099999999988"/>
    <n v="1644.1399999999999"/>
    <n v="2694.4700000000007"/>
    <n v="1470.72"/>
    <n v="8830.19"/>
    <n v="2626.99"/>
    <n v="2120.0899999999992"/>
    <n v="2237.6499999999996"/>
    <n v="2350.59"/>
    <n v="8092.6299999999983"/>
    <n v="-1504.7699999999993"/>
    <n v="2284.9699999999993"/>
    <n v="545.05999999999995"/>
    <n v="845.91999999999985"/>
    <n v="4887.2499999999982"/>
    <n v="4110.880000000001"/>
    <n v="5153.8600000000006"/>
    <n v="4381.5900000000011"/>
    <n v="3180.86"/>
    <n v="3283.570000000002"/>
    <n v="10359.76"/>
    <n v="22038.879999999997"/>
    <n v="-13214.090000000004"/>
  </r>
  <r>
    <x v="4"/>
    <x v="27"/>
    <n v="10058.9"/>
    <n v="7216.14"/>
    <n v="7324.99"/>
    <n v="31692.219999999998"/>
    <n v="13217.23"/>
    <n v="14062.2"/>
    <n v="12858.9"/>
    <n v="14827.52"/>
    <n v="11818.93"/>
    <n v="10916.22"/>
    <n v="10558.54"/>
    <n v="12532.609999999999"/>
    <n v="13340.019999999999"/>
    <n v="21354.210000000003"/>
    <n v="14734.519999999999"/>
    <n v="11925.679999999998"/>
    <n v="20698.439999999999"/>
    <n v="17983.479999999996"/>
    <n v="16792.669999999998"/>
    <n v="26809.14"/>
    <n v="23204.04"/>
    <n v="22550.269999999997"/>
    <n v="27964.559999999998"/>
  </r>
  <r>
    <x v="4"/>
    <x v="28"/>
    <n v="2080.31"/>
    <n v="2080.31"/>
    <n v="2080.31"/>
    <n v="2305.33"/>
    <n v="2896.88"/>
    <n v="3071.88"/>
    <n v="3071.88"/>
    <n v="2896.88"/>
    <n v="2896.88"/>
    <n v="2896.88"/>
    <n v="2896.88"/>
    <n v="2896.88"/>
    <n v="567.24"/>
    <n v="567.20000000000005"/>
    <n v="328"/>
    <n v="328"/>
    <n v="328"/>
    <n v="328"/>
    <n v="328"/>
    <n v="175"/>
    <n v="175"/>
    <n v="175"/>
    <n v="175"/>
  </r>
  <r>
    <x v="4"/>
    <x v="29"/>
    <n v="509.89"/>
    <n v="0"/>
    <n v="27.42"/>
    <n v="12.42"/>
    <n v="12.42"/>
    <n v="1285.92"/>
    <n v="40.92"/>
    <n v="185.2"/>
    <n v="165.42"/>
    <n v="165.42"/>
    <n v="165.42"/>
    <n v="165.42"/>
    <n v="0"/>
    <n v="0"/>
    <n v="0"/>
    <n v="0"/>
    <n v="0"/>
    <n v="0"/>
    <n v="0"/>
    <n v="0"/>
    <n v="0"/>
    <n v="0"/>
    <n v="0"/>
  </r>
  <r>
    <x v="4"/>
    <x v="30"/>
    <n v="35"/>
    <n v="0"/>
    <n v="4.68"/>
    <n v="446.95"/>
    <n v="6091.7199999999993"/>
    <n v="0"/>
    <n v="46.75"/>
    <n v="57.230000000000004"/>
    <n v="31.91"/>
    <n v="3.66"/>
    <n v="-8298.81"/>
    <n v="126.73"/>
    <n v="3532.81"/>
    <n v="2531.84"/>
    <n v="6480.6"/>
    <n v="1245.92"/>
    <n v="376.26"/>
    <n v="768.13"/>
    <n v="658.2600000000001"/>
    <n v="420.9"/>
    <n v="611.63"/>
    <n v="595.14"/>
    <n v="268.88"/>
  </r>
  <r>
    <x v="5"/>
    <x v="31"/>
    <n v="2231.73"/>
    <n v="7005.0299999999988"/>
    <n v="9855.92"/>
    <n v="3544.5300000000007"/>
    <n v="2150.96"/>
    <n v="5004.76"/>
    <n v="2010.85"/>
    <n v="19014.57"/>
    <n v="2724.88"/>
    <n v="1821.2999999999997"/>
    <n v="8152.4699999999993"/>
    <n v="6299.8900000000012"/>
    <n v="3190.34"/>
    <n v="1914.9899999999996"/>
    <n v="2325.0699999999997"/>
    <n v="1261.3100000000002"/>
    <n v="2056.7099999999996"/>
    <n v="3554.3400000000006"/>
    <n v="1456.9700000000003"/>
    <n v="13597.45"/>
    <n v="2159.2400000000002"/>
    <n v="2158.67"/>
    <n v="1292.0600000000002"/>
  </r>
  <r>
    <x v="5"/>
    <x v="32"/>
    <n v="-6979.0599999999986"/>
    <n v="963.37"/>
    <n v="-545.28000000000122"/>
    <n v="15811.869999999997"/>
    <n v="35691.909999999996"/>
    <n v="3680.0899999999997"/>
    <n v="3066.5299999999997"/>
    <n v="5658.2099999999991"/>
    <n v="9511.1400000000012"/>
    <n v="8370.4700000000012"/>
    <n v="6388.59"/>
    <n v="8237.61"/>
    <n v="4207.8200000000006"/>
    <n v="9544.4599999999973"/>
    <n v="7310.71"/>
    <n v="5829.23"/>
    <n v="8477.3899999999976"/>
    <n v="7034.02"/>
    <n v="7951.0300000000016"/>
    <n v="5888.2300000000023"/>
    <n v="7826.180000000003"/>
    <n v="10191.360000000006"/>
    <n v="3886.35"/>
  </r>
  <r>
    <x v="5"/>
    <x v="33"/>
    <n v="284.09000000000003"/>
    <n v="1712.0500000000002"/>
    <n v="879.13"/>
    <n v="1051.67"/>
    <n v="870.59"/>
    <n v="864.62000000000012"/>
    <n v="1034.6400000000001"/>
    <n v="982.43000000000006"/>
    <n v="905.11999999999989"/>
    <n v="723.31"/>
    <n v="0"/>
    <n v="963.81999999999994"/>
    <n v="724.89"/>
    <n v="681.8900000000001"/>
    <n v="635.91"/>
    <n v="595.87999999999988"/>
    <n v="545.69000000000005"/>
    <n v="560.13000000000011"/>
    <n v="998.55000000000018"/>
    <n v="1304.9499999999998"/>
    <n v="850.51"/>
    <n v="815.52"/>
    <n v="989.81"/>
  </r>
  <r>
    <x v="5"/>
    <x v="34"/>
    <n v="0"/>
    <n v="0"/>
    <n v="0"/>
    <n v="0"/>
    <n v="110.3"/>
    <n v="0"/>
    <n v="0"/>
    <n v="0"/>
    <n v="153"/>
    <n v="0"/>
    <n v="84"/>
    <n v="131.97999999999999"/>
    <n v="0"/>
    <n v="0"/>
    <n v="0"/>
    <n v="0"/>
    <n v="0"/>
    <n v="0"/>
    <n v="0"/>
    <n v="0"/>
    <n v="0"/>
    <n v="0"/>
    <n v="0"/>
  </r>
  <r>
    <x v="5"/>
    <x v="35"/>
    <n v="0"/>
    <n v="0"/>
    <n v="810.85"/>
    <n v="0"/>
    <n v="0"/>
    <n v="20813"/>
    <n v="0"/>
    <n v="0"/>
    <n v="-100883"/>
    <n v="0"/>
    <n v="0"/>
    <n v="428552.94"/>
    <n v="0"/>
    <n v="0"/>
    <n v="48758.99"/>
    <n v="-774.1"/>
    <n v="0"/>
    <n v="4797"/>
    <n v="0"/>
    <n v="0"/>
    <n v="-48625"/>
    <n v="0"/>
    <n v="0"/>
  </r>
  <r>
    <x v="5"/>
    <x v="36"/>
    <n v="0"/>
    <n v="0"/>
    <n v="-104644.3"/>
    <n v="0"/>
    <n v="0"/>
    <n v="1684.19"/>
    <n v="0"/>
    <n v="0"/>
    <n v="89389.119999999995"/>
    <n v="0"/>
    <n v="0"/>
    <n v="-19320.730000000003"/>
    <n v="0"/>
    <n v="0"/>
    <n v="37845.520000000004"/>
    <n v="0"/>
    <n v="0"/>
    <n v="8775.5199999999968"/>
    <n v="5000"/>
    <n v="5000"/>
    <n v="0"/>
    <n v="5000"/>
    <n v="5000"/>
  </r>
  <r>
    <x v="5"/>
    <x v="37"/>
    <n v="728"/>
    <n v="1150.71"/>
    <n v="327.57"/>
    <n v="7273.99"/>
    <n v="0"/>
    <n v="299.39"/>
    <n v="6480.19"/>
    <n v="383.9"/>
    <n v="1971.2"/>
    <n v="2727.41"/>
    <n v="516.05999999999995"/>
    <n v="9517"/>
    <n v="0"/>
    <n v="0"/>
    <n v="550"/>
    <n v="-31.43"/>
    <n v="0"/>
    <n v="0"/>
    <n v="-13.41"/>
    <n v="-22.939999999999998"/>
    <n v="7644.55"/>
    <n v="-6434.8899999999994"/>
    <n v="4080.2200000000003"/>
  </r>
  <r>
    <x v="6"/>
    <x v="38"/>
    <n v="14.15"/>
    <n v="14.15"/>
    <n v="14.15"/>
    <n v="21.28"/>
    <n v="21.28"/>
    <n v="29.97"/>
    <n v="29.97"/>
    <n v="29.98"/>
    <n v="29.98"/>
    <n v="29.98"/>
    <n v="29.98"/>
    <n v="29.98"/>
    <n v="29.98"/>
    <n v="29.98"/>
    <n v="8.69"/>
    <n v="51.269999999999996"/>
    <n v="29.98"/>
    <n v="29.98"/>
    <n v="40.24"/>
    <n v="40.24"/>
    <n v="40.24"/>
    <n v="51.91"/>
    <n v="51.9"/>
  </r>
  <r>
    <x v="6"/>
    <x v="39"/>
    <n v="267.04000000000002"/>
    <n v="267.04000000000002"/>
    <n v="269.64999999999998"/>
    <n v="269.64999999999998"/>
    <n v="529.62"/>
    <n v="487.22"/>
    <n v="508.41999999999996"/>
    <n v="508.41999999999996"/>
    <n v="508.41999999999996"/>
    <n v="508.41999999999996"/>
    <n v="508.40999999999997"/>
    <n v="508.41999999999996"/>
    <n v="508.41999999999996"/>
    <n v="514.41"/>
    <n v="-1647.6499999999999"/>
    <n v="754.27"/>
    <n v="401.33000000000004"/>
    <n v="401.33000000000004"/>
    <n v="401.33000000000004"/>
    <n v="401.33000000000004"/>
    <n v="401.33000000000004"/>
    <n v="401.33000000000004"/>
    <n v="318"/>
  </r>
  <r>
    <x v="6"/>
    <x v="40"/>
    <n v="1411.18"/>
    <n v="1427.81"/>
    <n v="1453.52"/>
    <n v="1453.52"/>
    <n v="1393.5300000000002"/>
    <n v="1429.75"/>
    <n v="1520.41"/>
    <n v="1637.04"/>
    <n v="1649.2600000000002"/>
    <n v="1649.2600000000002"/>
    <n v="1806.73"/>
    <n v="1825.3899999999999"/>
    <n v="1818.34"/>
    <n v="1818.34"/>
    <n v="-584.97"/>
    <n v="2589.9000000000005"/>
    <n v="1510.9299999999998"/>
    <n v="1566.9099999999999"/>
    <n v="1625.91"/>
    <n v="1625.91"/>
    <n v="1625.91"/>
    <n v="1586.6200000000001"/>
    <n v="1600.92"/>
  </r>
  <r>
    <x v="6"/>
    <x v="41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  <n v="1954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A4BF7-CC7A-49BC-A9F6-C41957440D87}" name="피벗 테이블5" cacheId="2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53" firstHeaderRow="0" firstDataRow="1" firstDataCol="1"/>
  <pivotFields count="25">
    <pivotField axis="axisRow" showAll="0">
      <items count="8">
        <item x="0"/>
        <item x="6"/>
        <item x="5"/>
        <item x="4"/>
        <item x="2"/>
        <item x="3"/>
        <item x="1"/>
        <item t="default"/>
      </items>
    </pivotField>
    <pivotField axis="axisRow" showAll="0">
      <items count="43">
        <item x="8"/>
        <item x="9"/>
        <item x="10"/>
        <item x="11"/>
        <item x="12"/>
        <item x="13"/>
        <item x="14"/>
        <item x="15"/>
        <item x="22"/>
        <item x="23"/>
        <item x="0"/>
        <item x="1"/>
        <item x="2"/>
        <item x="3"/>
        <item x="4"/>
        <item x="5"/>
        <item x="6"/>
        <item x="7"/>
        <item x="24"/>
        <item x="31"/>
        <item x="18"/>
        <item x="19"/>
        <item x="20"/>
        <item x="21"/>
        <item x="32"/>
        <item x="25"/>
        <item x="26"/>
        <item x="27"/>
        <item x="33"/>
        <item x="34"/>
        <item x="16"/>
        <item x="28"/>
        <item x="29"/>
        <item x="35"/>
        <item x="36"/>
        <item x="30"/>
        <item x="37"/>
        <item x="38"/>
        <item x="39"/>
        <item x="40"/>
        <item x="41"/>
        <item x="17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2">
    <field x="0"/>
    <field x="1"/>
  </rowFields>
  <rowItems count="50">
    <i>
      <x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</i>
    <i r="1">
      <x v="37"/>
    </i>
    <i r="1">
      <x v="38"/>
    </i>
    <i r="1">
      <x v="39"/>
    </i>
    <i r="1">
      <x v="40"/>
    </i>
    <i>
      <x v="2"/>
    </i>
    <i r="1">
      <x v="19"/>
    </i>
    <i r="1">
      <x v="24"/>
    </i>
    <i r="1">
      <x v="28"/>
    </i>
    <i r="1">
      <x v="29"/>
    </i>
    <i r="1">
      <x v="33"/>
    </i>
    <i r="1">
      <x v="34"/>
    </i>
    <i r="1">
      <x v="36"/>
    </i>
    <i>
      <x v="3"/>
    </i>
    <i r="1">
      <x v="8"/>
    </i>
    <i r="1">
      <x v="9"/>
    </i>
    <i r="1">
      <x v="18"/>
    </i>
    <i r="1">
      <x v="25"/>
    </i>
    <i r="1">
      <x v="26"/>
    </i>
    <i r="1">
      <x v="27"/>
    </i>
    <i r="1">
      <x v="31"/>
    </i>
    <i r="1">
      <x v="32"/>
    </i>
    <i r="1">
      <x v="35"/>
    </i>
    <i>
      <x v="4"/>
    </i>
    <i r="1">
      <x v="30"/>
    </i>
    <i r="1">
      <x v="41"/>
    </i>
    <i>
      <x v="5"/>
    </i>
    <i r="1">
      <x v="20"/>
    </i>
    <i r="1">
      <x v="21"/>
    </i>
    <i r="1">
      <x v="22"/>
    </i>
    <i r="1">
      <x v="23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합계 : 2025-01-01" fld="14" baseField="0" baseItem="0" numFmtId="3"/>
    <dataField name="합계 : 2025-02-01" fld="15" baseField="0" baseItem="0" numFmtId="3"/>
    <dataField name="합계 : 2025-03-01" fld="16" baseField="0" baseItem="0" numFmtId="3"/>
    <dataField name="합계 : 2025-04-01" fld="17" baseField="0" baseItem="0" numFmtId="3"/>
    <dataField name="합계 : 2025-05-01" fld="18" baseField="0" baseItem="0" numFmtId="3"/>
    <dataField name="합계 : 2025-06-01" fld="1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7567-C2B6-4D12-B5CC-3B158CE77C44}">
  <sheetPr>
    <tabColor rgb="FFFFC000"/>
  </sheetPr>
  <dimension ref="A2:AF206"/>
  <sheetViews>
    <sheetView showGridLines="0" topLeftCell="F4" zoomScaleNormal="100" workbookViewId="0">
      <selection activeCell="S24" sqref="S24"/>
    </sheetView>
  </sheetViews>
  <sheetFormatPr defaultColWidth="8.625" defaultRowHeight="14.25" outlineLevelRow="1" outlineLevelCol="1"/>
  <cols>
    <col min="1" max="4" width="8.625" style="8"/>
    <col min="5" max="6" width="37" style="1" customWidth="1"/>
    <col min="7" max="18" width="10.5" style="1" customWidth="1" outlineLevel="1"/>
    <col min="19" max="19" width="10.5" style="1" customWidth="1"/>
    <col min="20" max="28" width="10.5" style="1" customWidth="1" outlineLevel="1"/>
    <col min="29" max="30" width="10.5" style="1" customWidth="1"/>
    <col min="31" max="31" width="8.625" style="1"/>
    <col min="32" max="32" width="13.5" style="1" customWidth="1"/>
    <col min="33" max="16384" width="8.625" style="1"/>
  </cols>
  <sheetData>
    <row r="2" spans="5:32">
      <c r="V2" s="2"/>
      <c r="X2" s="2"/>
      <c r="Y2" s="2"/>
      <c r="Z2" s="2"/>
      <c r="AA2" s="2"/>
      <c r="AB2" s="2"/>
      <c r="AC2" s="2"/>
    </row>
    <row r="3" spans="5:32">
      <c r="V3" s="2"/>
      <c r="X3" s="2"/>
      <c r="Y3" s="2"/>
      <c r="Z3" s="2"/>
      <c r="AA3" s="2"/>
      <c r="AB3" s="2"/>
      <c r="AC3" s="2"/>
    </row>
    <row r="4" spans="5:32">
      <c r="V4" s="2"/>
      <c r="X4" s="2"/>
      <c r="Y4" s="2"/>
      <c r="Z4" s="2"/>
      <c r="AA4" s="2"/>
      <c r="AB4" s="2"/>
      <c r="AC4" s="2"/>
    </row>
    <row r="5" spans="5:32">
      <c r="V5" s="2"/>
      <c r="X5" s="2"/>
      <c r="Y5" s="2"/>
      <c r="Z5" s="2"/>
      <c r="AA5" s="2"/>
      <c r="AB5" s="2"/>
      <c r="AC5" s="2"/>
    </row>
    <row r="6" spans="5:32">
      <c r="V6" s="2"/>
      <c r="X6" s="2"/>
      <c r="Y6" s="2"/>
      <c r="Z6" s="2"/>
      <c r="AA6" s="2"/>
      <c r="AB6" s="2"/>
      <c r="AC6" s="2"/>
    </row>
    <row r="7" spans="5:32" ht="16.5">
      <c r="E7" s="3">
        <f>[1]TOC!$B$6</f>
        <v>45962</v>
      </c>
      <c r="S7" s="4"/>
      <c r="T7" s="4"/>
      <c r="U7" s="4"/>
      <c r="V7" s="2"/>
      <c r="W7" s="4"/>
      <c r="X7" s="2"/>
      <c r="Y7" s="2"/>
      <c r="Z7" s="2"/>
      <c r="AA7" s="2"/>
      <c r="AB7" s="2"/>
      <c r="AC7" s="2"/>
      <c r="AE7"/>
    </row>
    <row r="8" spans="5:32" ht="16.5">
      <c r="E8" s="3"/>
      <c r="F8" s="5" t="s">
        <v>0</v>
      </c>
      <c r="G8" s="5"/>
      <c r="S8" s="6"/>
      <c r="T8" s="6"/>
      <c r="U8" s="6"/>
      <c r="V8" s="2"/>
      <c r="W8" s="6"/>
      <c r="X8" s="2"/>
      <c r="Y8" s="2"/>
      <c r="Z8" s="2"/>
      <c r="AA8" s="2"/>
      <c r="AB8" s="2"/>
      <c r="AC8" s="2"/>
      <c r="AD8" s="4"/>
      <c r="AE8"/>
      <c r="AF8" s="4"/>
    </row>
    <row r="9" spans="5:32" ht="16.5">
      <c r="AE9"/>
    </row>
    <row r="10" spans="5:32" ht="16.5" hidden="1" outlineLevel="1">
      <c r="E10" s="1" t="s">
        <v>1</v>
      </c>
      <c r="G10" s="7">
        <f>IF(MONTH(G$20)&lt;=MONTH($E$7),1,0)</f>
        <v>1</v>
      </c>
      <c r="H10" s="7">
        <f t="shared" ref="H10:AD10" si="0">IF(MONTH(H$20)&lt;=MONTH($E$7),1,0)</f>
        <v>1</v>
      </c>
      <c r="I10" s="7">
        <f t="shared" si="0"/>
        <v>1</v>
      </c>
      <c r="J10" s="7">
        <f t="shared" si="0"/>
        <v>1</v>
      </c>
      <c r="K10" s="7">
        <f t="shared" si="0"/>
        <v>1</v>
      </c>
      <c r="L10" s="7">
        <f t="shared" si="0"/>
        <v>1</v>
      </c>
      <c r="M10" s="7">
        <f t="shared" si="0"/>
        <v>1</v>
      </c>
      <c r="N10" s="7">
        <f t="shared" si="0"/>
        <v>1</v>
      </c>
      <c r="O10" s="7">
        <f t="shared" si="0"/>
        <v>1</v>
      </c>
      <c r="P10" s="7">
        <f t="shared" si="0"/>
        <v>1</v>
      </c>
      <c r="Q10" s="7">
        <f t="shared" si="0"/>
        <v>1</v>
      </c>
      <c r="R10" s="7">
        <f t="shared" si="0"/>
        <v>0</v>
      </c>
      <c r="S10" s="7">
        <f t="shared" si="0"/>
        <v>1</v>
      </c>
      <c r="T10" s="7">
        <f t="shared" si="0"/>
        <v>1</v>
      </c>
      <c r="U10" s="7">
        <f t="shared" si="0"/>
        <v>1</v>
      </c>
      <c r="V10" s="7">
        <f t="shared" si="0"/>
        <v>1</v>
      </c>
      <c r="W10" s="7">
        <f t="shared" si="0"/>
        <v>1</v>
      </c>
      <c r="X10" s="7">
        <f t="shared" si="0"/>
        <v>1</v>
      </c>
      <c r="Y10" s="7">
        <f t="shared" si="0"/>
        <v>1</v>
      </c>
      <c r="Z10" s="7">
        <f t="shared" si="0"/>
        <v>1</v>
      </c>
      <c r="AA10" s="7">
        <f t="shared" si="0"/>
        <v>1</v>
      </c>
      <c r="AB10" s="7">
        <f t="shared" si="0"/>
        <v>1</v>
      </c>
      <c r="AC10" s="7">
        <f t="shared" si="0"/>
        <v>1</v>
      </c>
      <c r="AD10" s="7">
        <f t="shared" si="0"/>
        <v>0</v>
      </c>
      <c r="AE10"/>
      <c r="AF10" s="7"/>
    </row>
    <row r="11" spans="5:32" ht="16.5" hidden="1" outlineLevel="1">
      <c r="E11" s="1" t="s">
        <v>2</v>
      </c>
      <c r="G11" s="7">
        <f t="shared" ref="G11:AD11" si="1">MONTH(G20)</f>
        <v>1</v>
      </c>
      <c r="H11" s="7">
        <f t="shared" si="1"/>
        <v>2</v>
      </c>
      <c r="I11" s="7">
        <f t="shared" si="1"/>
        <v>3</v>
      </c>
      <c r="J11" s="7">
        <f t="shared" si="1"/>
        <v>4</v>
      </c>
      <c r="K11" s="7">
        <f t="shared" si="1"/>
        <v>5</v>
      </c>
      <c r="L11" s="7">
        <f t="shared" si="1"/>
        <v>6</v>
      </c>
      <c r="M11" s="7">
        <f t="shared" si="1"/>
        <v>7</v>
      </c>
      <c r="N11" s="7">
        <f t="shared" si="1"/>
        <v>8</v>
      </c>
      <c r="O11" s="7">
        <f t="shared" si="1"/>
        <v>9</v>
      </c>
      <c r="P11" s="7">
        <f t="shared" si="1"/>
        <v>10</v>
      </c>
      <c r="Q11" s="7">
        <f t="shared" si="1"/>
        <v>11</v>
      </c>
      <c r="R11" s="7">
        <f t="shared" si="1"/>
        <v>12</v>
      </c>
      <c r="S11" s="7">
        <f t="shared" si="1"/>
        <v>1</v>
      </c>
      <c r="T11" s="7">
        <f t="shared" si="1"/>
        <v>2</v>
      </c>
      <c r="U11" s="7">
        <f t="shared" si="1"/>
        <v>3</v>
      </c>
      <c r="V11" s="7">
        <f t="shared" si="1"/>
        <v>4</v>
      </c>
      <c r="W11" s="7">
        <f t="shared" si="1"/>
        <v>5</v>
      </c>
      <c r="X11" s="7">
        <f t="shared" si="1"/>
        <v>6</v>
      </c>
      <c r="Y11" s="7">
        <f t="shared" si="1"/>
        <v>7</v>
      </c>
      <c r="Z11" s="7">
        <f t="shared" si="1"/>
        <v>8</v>
      </c>
      <c r="AA11" s="7">
        <f t="shared" si="1"/>
        <v>9</v>
      </c>
      <c r="AB11" s="7">
        <f t="shared" si="1"/>
        <v>10</v>
      </c>
      <c r="AC11" s="7">
        <f t="shared" si="1"/>
        <v>11</v>
      </c>
      <c r="AD11" s="7">
        <f t="shared" si="1"/>
        <v>12</v>
      </c>
      <c r="AE11"/>
      <c r="AF11" s="7"/>
    </row>
    <row r="12" spans="5:32" ht="16.5" hidden="1" outlineLevel="1">
      <c r="E12" s="1" t="s">
        <v>3</v>
      </c>
      <c r="G12" s="7" t="str">
        <f t="shared" ref="G12:AD12" si="2">"Q"&amp;ROUNDUP(MONTH(G20)/3,0)&amp;"'"&amp;TEXT(G20,"yy")</f>
        <v>Q1'24</v>
      </c>
      <c r="H12" s="7" t="str">
        <f t="shared" si="2"/>
        <v>Q1'24</v>
      </c>
      <c r="I12" s="7" t="str">
        <f t="shared" si="2"/>
        <v>Q1'24</v>
      </c>
      <c r="J12" s="7" t="str">
        <f t="shared" si="2"/>
        <v>Q2'24</v>
      </c>
      <c r="K12" s="7" t="str">
        <f t="shared" si="2"/>
        <v>Q2'24</v>
      </c>
      <c r="L12" s="7" t="str">
        <f t="shared" si="2"/>
        <v>Q2'24</v>
      </c>
      <c r="M12" s="7" t="str">
        <f t="shared" si="2"/>
        <v>Q3'24</v>
      </c>
      <c r="N12" s="7" t="str">
        <f t="shared" si="2"/>
        <v>Q3'24</v>
      </c>
      <c r="O12" s="7" t="str">
        <f t="shared" si="2"/>
        <v>Q3'24</v>
      </c>
      <c r="P12" s="7" t="str">
        <f t="shared" si="2"/>
        <v>Q4'24</v>
      </c>
      <c r="Q12" s="7" t="str">
        <f t="shared" si="2"/>
        <v>Q4'24</v>
      </c>
      <c r="R12" s="7" t="str">
        <f t="shared" si="2"/>
        <v>Q4'24</v>
      </c>
      <c r="S12" s="7" t="str">
        <f t="shared" si="2"/>
        <v>Q1'25</v>
      </c>
      <c r="T12" s="7" t="str">
        <f t="shared" si="2"/>
        <v>Q1'25</v>
      </c>
      <c r="U12" s="7" t="str">
        <f t="shared" si="2"/>
        <v>Q1'25</v>
      </c>
      <c r="V12" s="7" t="str">
        <f t="shared" si="2"/>
        <v>Q2'25</v>
      </c>
      <c r="W12" s="7" t="str">
        <f t="shared" si="2"/>
        <v>Q2'25</v>
      </c>
      <c r="X12" s="7" t="str">
        <f t="shared" si="2"/>
        <v>Q2'25</v>
      </c>
      <c r="Y12" s="7" t="str">
        <f t="shared" si="2"/>
        <v>Q3'25</v>
      </c>
      <c r="Z12" s="7" t="str">
        <f t="shared" si="2"/>
        <v>Q3'25</v>
      </c>
      <c r="AA12" s="7" t="str">
        <f t="shared" si="2"/>
        <v>Q3'25</v>
      </c>
      <c r="AB12" s="7" t="str">
        <f t="shared" si="2"/>
        <v>Q4'25</v>
      </c>
      <c r="AC12" s="7" t="str">
        <f t="shared" si="2"/>
        <v>Q4'25</v>
      </c>
      <c r="AD12" s="7" t="str">
        <f t="shared" si="2"/>
        <v>Q4'25</v>
      </c>
      <c r="AE12"/>
      <c r="AF12" s="7"/>
    </row>
    <row r="13" spans="5:32" ht="16.5" hidden="1" outlineLevel="1">
      <c r="E13" s="1" t="s">
        <v>4</v>
      </c>
      <c r="G13" s="7" t="str">
        <f>"H"&amp;ROUNDUP(MONTH(G20)/6,0)&amp;"'"&amp;TEXT(G20,"yy")</f>
        <v>H1'24</v>
      </c>
      <c r="H13" s="7" t="str">
        <f t="shared" ref="H13:AD13" si="3">"H"&amp;ROUNDUP(MONTH(H20)/6,0)&amp;"'"&amp;TEXT(H20,"yy")</f>
        <v>H1'24</v>
      </c>
      <c r="I13" s="7" t="str">
        <f t="shared" si="3"/>
        <v>H1'24</v>
      </c>
      <c r="J13" s="7" t="str">
        <f t="shared" si="3"/>
        <v>H1'24</v>
      </c>
      <c r="K13" s="7" t="str">
        <f t="shared" si="3"/>
        <v>H1'24</v>
      </c>
      <c r="L13" s="7" t="str">
        <f t="shared" si="3"/>
        <v>H1'24</v>
      </c>
      <c r="M13" s="7" t="str">
        <f t="shared" si="3"/>
        <v>H2'24</v>
      </c>
      <c r="N13" s="7" t="str">
        <f t="shared" si="3"/>
        <v>H2'24</v>
      </c>
      <c r="O13" s="7" t="str">
        <f t="shared" si="3"/>
        <v>H2'24</v>
      </c>
      <c r="P13" s="7" t="str">
        <f t="shared" si="3"/>
        <v>H2'24</v>
      </c>
      <c r="Q13" s="7" t="str">
        <f t="shared" si="3"/>
        <v>H2'24</v>
      </c>
      <c r="R13" s="7" t="str">
        <f t="shared" si="3"/>
        <v>H2'24</v>
      </c>
      <c r="S13" s="7" t="str">
        <f t="shared" si="3"/>
        <v>H1'25</v>
      </c>
      <c r="T13" s="7" t="str">
        <f t="shared" si="3"/>
        <v>H1'25</v>
      </c>
      <c r="U13" s="7" t="str">
        <f t="shared" si="3"/>
        <v>H1'25</v>
      </c>
      <c r="V13" s="7" t="str">
        <f t="shared" si="3"/>
        <v>H1'25</v>
      </c>
      <c r="W13" s="7" t="str">
        <f t="shared" si="3"/>
        <v>H1'25</v>
      </c>
      <c r="X13" s="7" t="str">
        <f t="shared" si="3"/>
        <v>H1'25</v>
      </c>
      <c r="Y13" s="7" t="str">
        <f t="shared" si="3"/>
        <v>H2'25</v>
      </c>
      <c r="Z13" s="7" t="str">
        <f t="shared" si="3"/>
        <v>H2'25</v>
      </c>
      <c r="AA13" s="7" t="str">
        <f t="shared" si="3"/>
        <v>H2'25</v>
      </c>
      <c r="AB13" s="7" t="str">
        <f t="shared" si="3"/>
        <v>H2'25</v>
      </c>
      <c r="AC13" s="7" t="str">
        <f t="shared" si="3"/>
        <v>H2'25</v>
      </c>
      <c r="AD13" s="7" t="str">
        <f t="shared" si="3"/>
        <v>H2'25</v>
      </c>
      <c r="AE13"/>
      <c r="AF13" s="7"/>
    </row>
    <row r="14" spans="5:32" ht="16.5" hidden="1" outlineLevel="1">
      <c r="E14" s="1" t="s">
        <v>5</v>
      </c>
      <c r="G14" s="7">
        <f t="shared" ref="G14:AD14" si="4">YEAR(G20)</f>
        <v>2024</v>
      </c>
      <c r="H14" s="7">
        <f t="shared" si="4"/>
        <v>2024</v>
      </c>
      <c r="I14" s="7">
        <f t="shared" si="4"/>
        <v>2024</v>
      </c>
      <c r="J14" s="7">
        <f t="shared" si="4"/>
        <v>2024</v>
      </c>
      <c r="K14" s="7">
        <f t="shared" si="4"/>
        <v>2024</v>
      </c>
      <c r="L14" s="7">
        <f t="shared" si="4"/>
        <v>2024</v>
      </c>
      <c r="M14" s="7">
        <f t="shared" si="4"/>
        <v>2024</v>
      </c>
      <c r="N14" s="7">
        <f t="shared" si="4"/>
        <v>2024</v>
      </c>
      <c r="O14" s="7">
        <f t="shared" si="4"/>
        <v>2024</v>
      </c>
      <c r="P14" s="7">
        <f t="shared" si="4"/>
        <v>2024</v>
      </c>
      <c r="Q14" s="7">
        <f t="shared" si="4"/>
        <v>2024</v>
      </c>
      <c r="R14" s="7">
        <f t="shared" si="4"/>
        <v>2024</v>
      </c>
      <c r="S14" s="7">
        <f t="shared" si="4"/>
        <v>2025</v>
      </c>
      <c r="T14" s="7">
        <f t="shared" si="4"/>
        <v>2025</v>
      </c>
      <c r="U14" s="7">
        <f t="shared" si="4"/>
        <v>2025</v>
      </c>
      <c r="V14" s="7">
        <f t="shared" si="4"/>
        <v>2025</v>
      </c>
      <c r="W14" s="7">
        <f t="shared" si="4"/>
        <v>2025</v>
      </c>
      <c r="X14" s="7">
        <f t="shared" si="4"/>
        <v>2025</v>
      </c>
      <c r="Y14" s="7">
        <f t="shared" si="4"/>
        <v>2025</v>
      </c>
      <c r="Z14" s="7">
        <f t="shared" si="4"/>
        <v>2025</v>
      </c>
      <c r="AA14" s="7">
        <f t="shared" si="4"/>
        <v>2025</v>
      </c>
      <c r="AB14" s="7">
        <f t="shared" si="4"/>
        <v>2025</v>
      </c>
      <c r="AC14" s="7">
        <f t="shared" si="4"/>
        <v>2025</v>
      </c>
      <c r="AD14" s="7">
        <f t="shared" si="4"/>
        <v>2025</v>
      </c>
      <c r="AE14"/>
      <c r="AF14" s="7"/>
    </row>
    <row r="15" spans="5:32" ht="16.5" hidden="1" outlineLevel="1">
      <c r="E15" s="1" t="s">
        <v>6</v>
      </c>
      <c r="G15" s="7" t="str">
        <f>IF(G$20&lt;=$E$7,"Actual","Forecast")</f>
        <v>Actual</v>
      </c>
      <c r="H15" s="7" t="str">
        <f t="shared" ref="H15:AD15" si="5">IF(H$20&lt;=$E$7,"Actual","Forecast")</f>
        <v>Actual</v>
      </c>
      <c r="I15" s="7" t="str">
        <f t="shared" si="5"/>
        <v>Actual</v>
      </c>
      <c r="J15" s="7" t="str">
        <f t="shared" si="5"/>
        <v>Actual</v>
      </c>
      <c r="K15" s="7" t="str">
        <f t="shared" si="5"/>
        <v>Actual</v>
      </c>
      <c r="L15" s="7" t="str">
        <f t="shared" si="5"/>
        <v>Actual</v>
      </c>
      <c r="M15" s="7" t="str">
        <f t="shared" si="5"/>
        <v>Actual</v>
      </c>
      <c r="N15" s="7" t="str">
        <f t="shared" si="5"/>
        <v>Actual</v>
      </c>
      <c r="O15" s="7" t="str">
        <f t="shared" si="5"/>
        <v>Actual</v>
      </c>
      <c r="P15" s="7" t="str">
        <f t="shared" si="5"/>
        <v>Actual</v>
      </c>
      <c r="Q15" s="7" t="str">
        <f t="shared" si="5"/>
        <v>Actual</v>
      </c>
      <c r="R15" s="7" t="str">
        <f t="shared" si="5"/>
        <v>Actual</v>
      </c>
      <c r="S15" s="7" t="str">
        <f t="shared" si="5"/>
        <v>Actual</v>
      </c>
      <c r="T15" s="7" t="str">
        <f t="shared" si="5"/>
        <v>Actual</v>
      </c>
      <c r="U15" s="7" t="str">
        <f t="shared" si="5"/>
        <v>Actual</v>
      </c>
      <c r="V15" s="7" t="str">
        <f t="shared" si="5"/>
        <v>Actual</v>
      </c>
      <c r="W15" s="7" t="str">
        <f t="shared" si="5"/>
        <v>Actual</v>
      </c>
      <c r="X15" s="7" t="str">
        <f t="shared" si="5"/>
        <v>Actual</v>
      </c>
      <c r="Y15" s="7" t="str">
        <f t="shared" si="5"/>
        <v>Actual</v>
      </c>
      <c r="Z15" s="7" t="str">
        <f t="shared" si="5"/>
        <v>Actual</v>
      </c>
      <c r="AA15" s="7" t="str">
        <f t="shared" si="5"/>
        <v>Actual</v>
      </c>
      <c r="AB15" s="7" t="str">
        <f t="shared" si="5"/>
        <v>Actual</v>
      </c>
      <c r="AC15" s="7" t="str">
        <f t="shared" si="5"/>
        <v>Actual</v>
      </c>
      <c r="AD15" s="7" t="str">
        <f t="shared" si="5"/>
        <v>Forecast</v>
      </c>
      <c r="AE15"/>
      <c r="AF15" s="7"/>
    </row>
    <row r="16" spans="5:32" collapsed="1"/>
    <row r="20" spans="1:32" ht="15">
      <c r="E20" s="9" t="s">
        <v>7</v>
      </c>
      <c r="F20" s="9"/>
      <c r="G20" s="10">
        <v>45292</v>
      </c>
      <c r="H20" s="10">
        <f t="shared" ref="H20:AD20" si="6">EDATE(G20,1)</f>
        <v>45323</v>
      </c>
      <c r="I20" s="10">
        <f t="shared" si="6"/>
        <v>45352</v>
      </c>
      <c r="J20" s="10">
        <f t="shared" si="6"/>
        <v>45383</v>
      </c>
      <c r="K20" s="10">
        <f t="shared" si="6"/>
        <v>45413</v>
      </c>
      <c r="L20" s="10">
        <f t="shared" si="6"/>
        <v>45444</v>
      </c>
      <c r="M20" s="10">
        <f t="shared" si="6"/>
        <v>45474</v>
      </c>
      <c r="N20" s="10">
        <f t="shared" si="6"/>
        <v>45505</v>
      </c>
      <c r="O20" s="10">
        <f t="shared" si="6"/>
        <v>45536</v>
      </c>
      <c r="P20" s="10">
        <f t="shared" si="6"/>
        <v>45566</v>
      </c>
      <c r="Q20" s="10">
        <f t="shared" si="6"/>
        <v>45597</v>
      </c>
      <c r="R20" s="10">
        <f t="shared" si="6"/>
        <v>45627</v>
      </c>
      <c r="S20" s="10">
        <f t="shared" si="6"/>
        <v>45658</v>
      </c>
      <c r="T20" s="10">
        <f t="shared" si="6"/>
        <v>45689</v>
      </c>
      <c r="U20" s="10">
        <f t="shared" si="6"/>
        <v>45717</v>
      </c>
      <c r="V20" s="10">
        <f t="shared" si="6"/>
        <v>45748</v>
      </c>
      <c r="W20" s="10">
        <f t="shared" si="6"/>
        <v>45778</v>
      </c>
      <c r="X20" s="10">
        <f t="shared" si="6"/>
        <v>45809</v>
      </c>
      <c r="Y20" s="28">
        <f t="shared" si="6"/>
        <v>45839</v>
      </c>
      <c r="Z20" s="10">
        <f t="shared" si="6"/>
        <v>45870</v>
      </c>
      <c r="AA20" s="10">
        <f t="shared" si="6"/>
        <v>45901</v>
      </c>
      <c r="AB20" s="10">
        <f t="shared" si="6"/>
        <v>45931</v>
      </c>
      <c r="AC20" s="10">
        <f t="shared" si="6"/>
        <v>45962</v>
      </c>
      <c r="AD20" s="11">
        <f t="shared" si="6"/>
        <v>45992</v>
      </c>
      <c r="AF20" s="11" t="s">
        <v>8</v>
      </c>
    </row>
    <row r="21" spans="1:32" ht="15">
      <c r="B21" s="8" t="s">
        <v>9</v>
      </c>
      <c r="E21" s="9" t="s">
        <v>10</v>
      </c>
      <c r="F21" s="9"/>
      <c r="G21" s="12">
        <f t="shared" ref="G21:AD21" si="7">SUMIFS(G:G,$D:$D,$E21)</f>
        <v>-96638.549999999988</v>
      </c>
      <c r="H21" s="13">
        <f t="shared" si="7"/>
        <v>9776.8500000000022</v>
      </c>
      <c r="I21" s="13">
        <f t="shared" si="7"/>
        <v>238450.15</v>
      </c>
      <c r="J21" s="13">
        <f t="shared" si="7"/>
        <v>189462.09999999998</v>
      </c>
      <c r="K21" s="13">
        <f t="shared" si="7"/>
        <v>220267.40000000002</v>
      </c>
      <c r="L21" s="13">
        <f t="shared" si="7"/>
        <v>232231.25</v>
      </c>
      <c r="M21" s="13">
        <f t="shared" si="7"/>
        <v>281819.30000000005</v>
      </c>
      <c r="N21" s="13">
        <f t="shared" si="7"/>
        <v>282008.10000000003</v>
      </c>
      <c r="O21" s="13">
        <f t="shared" si="7"/>
        <v>90004.01</v>
      </c>
      <c r="P21" s="13">
        <f t="shared" si="7"/>
        <v>159433.85999999996</v>
      </c>
      <c r="Q21" s="13">
        <f t="shared" si="7"/>
        <v>129923.10999999999</v>
      </c>
      <c r="R21" s="14">
        <f t="shared" si="7"/>
        <v>265932.55999999994</v>
      </c>
      <c r="S21" s="12">
        <f t="shared" si="7"/>
        <v>118210.21</v>
      </c>
      <c r="T21" s="13">
        <f t="shared" si="7"/>
        <v>70499.5</v>
      </c>
      <c r="U21" s="13">
        <f t="shared" si="7"/>
        <v>122283.39</v>
      </c>
      <c r="V21" s="13">
        <f t="shared" si="7"/>
        <v>53581.1</v>
      </c>
      <c r="W21" s="13">
        <f t="shared" si="7"/>
        <v>60412.22</v>
      </c>
      <c r="X21" s="13">
        <f t="shared" si="7"/>
        <v>87353.459999999992</v>
      </c>
      <c r="Y21" s="13">
        <f t="shared" si="7"/>
        <v>78331.039999999994</v>
      </c>
      <c r="Z21" s="13">
        <f t="shared" si="7"/>
        <v>87554.58</v>
      </c>
      <c r="AA21" s="13">
        <f t="shared" si="7"/>
        <v>77015</v>
      </c>
      <c r="AB21" s="13">
        <f t="shared" si="7"/>
        <v>36940.36</v>
      </c>
      <c r="AC21" s="14">
        <f t="shared" si="7"/>
        <v>97683.71</v>
      </c>
      <c r="AD21" s="14">
        <f t="shared" si="7"/>
        <v>0</v>
      </c>
      <c r="AF21" s="15">
        <f>ABS(S21)+ABS(T21)+ABS(U21)+ABS(V21)+ABS(W21)+ABS(X21)+ABS(Y21)+ABS(Z21)+ABS(AA21)+ABS(AB21)+ABS(AC21)+ABS(AD21)</f>
        <v>889864.57</v>
      </c>
    </row>
    <row r="22" spans="1:32" outlineLevel="1">
      <c r="A22" s="8" t="str">
        <f t="shared" ref="A22:A85" si="8">D22&amp;E22</f>
        <v>Advertising6240 - Product Photography</v>
      </c>
      <c r="C22" s="8" t="s">
        <v>11</v>
      </c>
      <c r="D22" s="8" t="str">
        <f>E21</f>
        <v>Advertising</v>
      </c>
      <c r="E22" s="2" t="s">
        <v>12</v>
      </c>
      <c r="F22" s="2" t="s">
        <v>13</v>
      </c>
      <c r="G22" s="16">
        <f>IF(AND(G$15="Actual",ISBLANK($E$8)),SUMIFS('[1]NS Vendor Details'!$D:$D,'[1]NS Vendor Details'!$H:$H,'G&amp;A Vendor x GL Analysis'!G$20,'[1]NS Vendor Details'!$L:$L,'G&amp;A Vendor x GL Analysis'!$D22,'[1]NS Vendor Details'!$O:$O,'G&amp;A Vendor x GL Analysis'!$F22,'[1]NS Vendor Details'!$N:$N,'G&amp;A Vendor x GL Analysis'!$C22),IF(G$15="Actual",SUMIFS('[1]NS Vendor Details'!$D:$D,'[1]NS Vendor Details'!$H:$H,'G&amp;A Vendor x GL Analysis'!G$20,'[1]NS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0</v>
      </c>
      <c r="H22" s="17">
        <f>IF(AND(H$15="Actual",ISBLANK($E$8)),SUMIFS('[1]NS Vendor Details'!$D:$D,'[1]NS Vendor Details'!$H:$H,'G&amp;A Vendor x GL Analysis'!H$20,'[1]NS Vendor Details'!$L:$L,'G&amp;A Vendor x GL Analysis'!$D22,'[1]NS Vendor Details'!$O:$O,'G&amp;A Vendor x GL Analysis'!$F22,'[1]NS Vendor Details'!$N:$N,'G&amp;A Vendor x GL Analysis'!$C22),IF(H$15="Actual",SUMIFS('[1]NS Vendor Details'!$D:$D,'[1]NS Vendor Details'!$H:$H,'G&amp;A Vendor x GL Analysis'!H$20,'[1]NS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5298</v>
      </c>
      <c r="I22" s="17">
        <f>IF(AND(I$15="Actual",ISBLANK($E$8)),SUMIFS('[1]NS Vendor Details'!$D:$D,'[1]NS Vendor Details'!$H:$H,'G&amp;A Vendor x GL Analysis'!I$20,'[1]NS Vendor Details'!$L:$L,'G&amp;A Vendor x GL Analysis'!$D22,'[1]NS Vendor Details'!$O:$O,'G&amp;A Vendor x GL Analysis'!$F22,'[1]NS Vendor Details'!$N:$N,'G&amp;A Vendor x GL Analysis'!$C22),IF(I$15="Actual",SUMIFS('[1]NS Vendor Details'!$D:$D,'[1]NS Vendor Details'!$H:$H,'G&amp;A Vendor x GL Analysis'!I$20,'[1]NS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0</v>
      </c>
      <c r="J22" s="17">
        <f>IF(AND(J$15="Actual",ISBLANK($E$8)),SUMIFS('[1]NS Vendor Details'!$D:$D,'[1]NS Vendor Details'!$H:$H,'G&amp;A Vendor x GL Analysis'!J$20,'[1]NS Vendor Details'!$L:$L,'G&amp;A Vendor x GL Analysis'!$D22,'[1]NS Vendor Details'!$O:$O,'G&amp;A Vendor x GL Analysis'!$F22,'[1]NS Vendor Details'!$N:$N,'G&amp;A Vendor x GL Analysis'!$C22),IF(J$15="Actual",SUMIFS('[1]NS Vendor Details'!$D:$D,'[1]NS Vendor Details'!$H:$H,'G&amp;A Vendor x GL Analysis'!J$20,'[1]NS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0</v>
      </c>
      <c r="K22" s="17">
        <f>IF(AND(K$15="Actual",ISBLANK($E$8)),SUMIFS('[1]NS Vendor Details'!$D:$D,'[1]NS Vendor Details'!$H:$H,'G&amp;A Vendor x GL Analysis'!K$20,'[1]NS Vendor Details'!$L:$L,'G&amp;A Vendor x GL Analysis'!$D22,'[1]NS Vendor Details'!$O:$O,'G&amp;A Vendor x GL Analysis'!$F22,'[1]NS Vendor Details'!$N:$N,'G&amp;A Vendor x GL Analysis'!$C22),IF(K$15="Actual",SUMIFS('[1]NS Vendor Details'!$D:$D,'[1]NS Vendor Details'!$H:$H,'G&amp;A Vendor x GL Analysis'!K$20,'[1]NS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0</v>
      </c>
      <c r="L22" s="17">
        <f>IF(AND(L$15="Actual",ISBLANK($E$8)),SUMIFS('[1]NS Vendor Details'!$D:$D,'[1]NS Vendor Details'!$H:$H,'G&amp;A Vendor x GL Analysis'!L$20,'[1]NS Vendor Details'!$L:$L,'G&amp;A Vendor x GL Analysis'!$D22,'[1]NS Vendor Details'!$O:$O,'G&amp;A Vendor x GL Analysis'!$F22,'[1]NS Vendor Details'!$N:$N,'G&amp;A Vendor x GL Analysis'!$C22),IF(L$15="Actual",SUMIFS('[1]NS Vendor Details'!$D:$D,'[1]NS Vendor Details'!$H:$H,'G&amp;A Vendor x GL Analysis'!L$20,'[1]NS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9450</v>
      </c>
      <c r="M22" s="17">
        <f>IF(AND(M$15="Actual",ISBLANK($E$8)),SUMIFS('[1]NS Vendor Details'!$D:$D,'[1]NS Vendor Details'!$H:$H,'G&amp;A Vendor x GL Analysis'!M$20,'[1]NS Vendor Details'!$L:$L,'G&amp;A Vendor x GL Analysis'!$D22,'[1]NS Vendor Details'!$O:$O,'G&amp;A Vendor x GL Analysis'!$F22,'[1]NS Vendor Details'!$N:$N,'G&amp;A Vendor x GL Analysis'!$C22),IF(M$15="Actual",SUMIFS('[1]NS Vendor Details'!$D:$D,'[1]NS Vendor Details'!$H:$H,'G&amp;A Vendor x GL Analysis'!M$20,'[1]NS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13645.5</v>
      </c>
      <c r="N22" s="17">
        <f>IF(AND(N$15="Actual",ISBLANK($E$8)),SUMIFS('[1]NS Vendor Details'!$D:$D,'[1]NS Vendor Details'!$H:$H,'G&amp;A Vendor x GL Analysis'!N$20,'[1]NS Vendor Details'!$L:$L,'G&amp;A Vendor x GL Analysis'!$D22,'[1]NS Vendor Details'!$O:$O,'G&amp;A Vendor x GL Analysis'!$F22,'[1]NS Vendor Details'!$N:$N,'G&amp;A Vendor x GL Analysis'!$C22),IF(N$15="Actual",SUMIFS('[1]NS Vendor Details'!$D:$D,'[1]NS Vendor Details'!$H:$H,'G&amp;A Vendor x GL Analysis'!N$20,'[1]NS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4875.5</v>
      </c>
      <c r="O22" s="17">
        <f>IF(AND(O$15="Actual",ISBLANK($E$8)),SUMIFS('[1]NS Vendor Details'!$D:$D,'[1]NS Vendor Details'!$H:$H,'G&amp;A Vendor x GL Analysis'!O$20,'[1]NS Vendor Details'!$L:$L,'G&amp;A Vendor x GL Analysis'!$D22,'[1]NS Vendor Details'!$O:$O,'G&amp;A Vendor x GL Analysis'!$F22,'[1]NS Vendor Details'!$N:$N,'G&amp;A Vendor x GL Analysis'!$C22),IF(O$15="Actual",SUMIFS('[1]NS Vendor Details'!$D:$D,'[1]NS Vendor Details'!$H:$H,'G&amp;A Vendor x GL Analysis'!O$20,'[1]NS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0</v>
      </c>
      <c r="P22" s="17">
        <f>IF(AND(P$15="Actual",ISBLANK($E$8)),SUMIFS('[1]NS Vendor Details'!$D:$D,'[1]NS Vendor Details'!$H:$H,'G&amp;A Vendor x GL Analysis'!P$20,'[1]NS Vendor Details'!$L:$L,'G&amp;A Vendor x GL Analysis'!$D22,'[1]NS Vendor Details'!$O:$O,'G&amp;A Vendor x GL Analysis'!$F22,'[1]NS Vendor Details'!$N:$N,'G&amp;A Vendor x GL Analysis'!$C22),IF(P$15="Actual",SUMIFS('[1]NS Vendor Details'!$D:$D,'[1]NS Vendor Details'!$H:$H,'G&amp;A Vendor x GL Analysis'!P$20,'[1]NS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0</v>
      </c>
      <c r="Q22" s="17">
        <f>IF(AND(Q$15="Actual",ISBLANK($E$8)),SUMIFS('[1]NS Vendor Details'!$D:$D,'[1]NS Vendor Details'!$H:$H,'G&amp;A Vendor x GL Analysis'!Q$20,'[1]NS Vendor Details'!$L:$L,'G&amp;A Vendor x GL Analysis'!$D22,'[1]NS Vendor Details'!$O:$O,'G&amp;A Vendor x GL Analysis'!$F22,'[1]NS Vendor Details'!$N:$N,'G&amp;A Vendor x GL Analysis'!$C22),IF(Q$15="Actual",SUMIFS('[1]NS Vendor Details'!$D:$D,'[1]NS Vendor Details'!$H:$H,'G&amp;A Vendor x GL Analysis'!Q$20,'[1]NS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18500</v>
      </c>
      <c r="R22" s="18">
        <f>IF(AND(R$15="Actual",ISBLANK($E$8)),SUMIFS('[1]NS Vendor Details'!$D:$D,'[1]NS Vendor Details'!$H:$H,'G&amp;A Vendor x GL Analysis'!R$20,'[1]NS Vendor Details'!$L:$L,'G&amp;A Vendor x GL Analysis'!$D22,'[1]NS Vendor Details'!$O:$O,'G&amp;A Vendor x GL Analysis'!$F22,'[1]NS Vendor Details'!$N:$N,'G&amp;A Vendor x GL Analysis'!$C22),IF(R$15="Actual",SUMIFS('[1]NS Vendor Details'!$D:$D,'[1]NS Vendor Details'!$H:$H,'G&amp;A Vendor x GL Analysis'!R$20,'[1]NS Vendor Details'!$L:$L,'G&amp;A Vendor x GL Analysis'!$D22,'[1]NS Vendor Details'!$O:$O,'G&amp;A Vendor x GL Analysis'!$F22,'[1]NS Vendor Details'!$N:$N,'G&amp;A Vendor x GL Analysis'!$C22,'[1]NS Vendor Details'!$K:$K,'G&amp;A Vendor x GL Analysis'!$E$8),0))</f>
        <v>18262</v>
      </c>
      <c r="S22" s="16">
        <f>IF(AND(S$15="Actual",ISBLANK($E$8)),SUMIFS('[1]NS Vendor Details'!$D:$D,'[1]NS Vendor Details'!$H:$H,'G&amp;A Vendor x GL Analysis'!S$20,'[1]NS Vendor Details'!$L:$L,'G&amp;A Vendor x GL Analysis'!$D22,'[1]NS Vendor Details'!$O:$O,'G&amp;A Vendor x GL Analysis'!$F22,'[1]NS Vendor Details'!$N:$N,'G&amp;A Vendor x GL Analysis'!$C22,'[1]NS Vendor Details'!$I:$I,'G&amp;A Vendor x GL Analysis'!$E22),IF(S$15="Actual",SUMIFS('[1]NS Vendor Details'!$D:$D,'[1]NS Vendor Details'!$H:$H,'G&amp;A Vendor x GL Analysis'!S$20,'[1]NS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4718</v>
      </c>
      <c r="T22" s="17">
        <f>IF(AND(T$15="Actual",ISBLANK($E$8)),SUMIFS('[1]NS Vendor Details'!$D:$D,'[1]NS Vendor Details'!$H:$H,'G&amp;A Vendor x GL Analysis'!T$20,'[1]NS Vendor Details'!$L:$L,'G&amp;A Vendor x GL Analysis'!$D22,'[1]NS Vendor Details'!$O:$O,'G&amp;A Vendor x GL Analysis'!$F22,'[1]NS Vendor Details'!$N:$N,'G&amp;A Vendor x GL Analysis'!$C22,'[1]NS Vendor Details'!$I:$I,'G&amp;A Vendor x GL Analysis'!$E22),IF(T$15="Actual",SUMIFS('[1]NS Vendor Details'!$D:$D,'[1]NS Vendor Details'!$H:$H,'G&amp;A Vendor x GL Analysis'!T$20,'[1]NS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U22" s="17">
        <f>IF(AND(U$15="Actual",ISBLANK($E$8)),SUMIFS('[1]NS Vendor Details'!$D:$D,'[1]NS Vendor Details'!$H:$H,'G&amp;A Vendor x GL Analysis'!U$20,'[1]NS Vendor Details'!$L:$L,'G&amp;A Vendor x GL Analysis'!$D22,'[1]NS Vendor Details'!$O:$O,'G&amp;A Vendor x GL Analysis'!$F22,'[1]NS Vendor Details'!$N:$N,'G&amp;A Vendor x GL Analysis'!$C22,'[1]NS Vendor Details'!$I:$I,'G&amp;A Vendor x GL Analysis'!$E22),IF(U$15="Actual",SUMIFS('[1]NS Vendor Details'!$D:$D,'[1]NS Vendor Details'!$H:$H,'G&amp;A Vendor x GL Analysis'!U$20,'[1]NS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V22" s="17">
        <f>IF(AND(V$15="Actual",ISBLANK($E$8)),SUMIFS('[1]NS Vendor Details'!$D:$D,'[1]NS Vendor Details'!$H:$H,'G&amp;A Vendor x GL Analysis'!V$20,'[1]NS Vendor Details'!$L:$L,'G&amp;A Vendor x GL Analysis'!$D22,'[1]NS Vendor Details'!$O:$O,'G&amp;A Vendor x GL Analysis'!$F22,'[1]NS Vendor Details'!$N:$N,'G&amp;A Vendor x GL Analysis'!$C22,'[1]NS Vendor Details'!$I:$I,'G&amp;A Vendor x GL Analysis'!$E22),IF(V$15="Actual",SUMIFS('[1]NS Vendor Details'!$D:$D,'[1]NS Vendor Details'!$H:$H,'G&amp;A Vendor x GL Analysis'!V$20,'[1]NS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W22" s="17">
        <f>IF(AND(W$15="Actual",ISBLANK($E$8)),SUMIFS('[1]NS Vendor Details'!$D:$D,'[1]NS Vendor Details'!$H:$H,'G&amp;A Vendor x GL Analysis'!W$20,'[1]NS Vendor Details'!$L:$L,'G&amp;A Vendor x GL Analysis'!$D22,'[1]NS Vendor Details'!$O:$O,'G&amp;A Vendor x GL Analysis'!$F22,'[1]NS Vendor Details'!$N:$N,'G&amp;A Vendor x GL Analysis'!$C22,'[1]NS Vendor Details'!$I:$I,'G&amp;A Vendor x GL Analysis'!$E22),IF(W$15="Actual",SUMIFS('[1]NS Vendor Details'!$D:$D,'[1]NS Vendor Details'!$H:$H,'G&amp;A Vendor x GL Analysis'!W$20,'[1]NS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X22" s="17">
        <f>IF(AND(X$15="Actual",ISBLANK($E$8)),SUMIFS('[1]NS Vendor Details'!$D:$D,'[1]NS Vendor Details'!$H:$H,'G&amp;A Vendor x GL Analysis'!X$20,'[1]NS Vendor Details'!$L:$L,'G&amp;A Vendor x GL Analysis'!$D22,'[1]NS Vendor Details'!$O:$O,'G&amp;A Vendor x GL Analysis'!$F22,'[1]NS Vendor Details'!$N:$N,'G&amp;A Vendor x GL Analysis'!$C22,'[1]NS Vendor Details'!$I:$I,'G&amp;A Vendor x GL Analysis'!$E22),IF(X$15="Actual",SUMIFS('[1]NS Vendor Details'!$D:$D,'[1]NS Vendor Details'!$H:$H,'G&amp;A Vendor x GL Analysis'!X$20,'[1]NS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20705</v>
      </c>
      <c r="Y22" s="17">
        <f>IF(AND(Y$15="Actual",ISBLANK($E$8)),SUMIFS('[1]NS Vendor Details'!$D:$D,'[1]NS Vendor Details'!$H:$H,'G&amp;A Vendor x GL Analysis'!Y$20,'[1]NS Vendor Details'!$L:$L,'G&amp;A Vendor x GL Analysis'!$D22,'[1]NS Vendor Details'!$O:$O,'G&amp;A Vendor x GL Analysis'!$F22,'[1]NS Vendor Details'!$N:$N,'G&amp;A Vendor x GL Analysis'!$C22,'[1]NS Vendor Details'!$I:$I,'G&amp;A Vendor x GL Analysis'!$E22),IF(Y$15="Actual",SUMIFS('[1]NS Vendor Details'!$D:$D,'[1]NS Vendor Details'!$H:$H,'G&amp;A Vendor x GL Analysis'!Y$20,'[1]NS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9840</v>
      </c>
      <c r="Z22" s="17">
        <f>IF(AND(Z$15="Actual",ISBLANK($E$8)),SUMIFS('[1]NS Vendor Details'!$D:$D,'[1]NS Vendor Details'!$H:$H,'G&amp;A Vendor x GL Analysis'!Z$20,'[1]NS Vendor Details'!$L:$L,'G&amp;A Vendor x GL Analysis'!$D22,'[1]NS Vendor Details'!$O:$O,'G&amp;A Vendor x GL Analysis'!$F22,'[1]NS Vendor Details'!$N:$N,'G&amp;A Vendor x GL Analysis'!$C22,'[1]NS Vendor Details'!$I:$I,'G&amp;A Vendor x GL Analysis'!$E22),IF(Z$15="Actual",SUMIFS('[1]NS Vendor Details'!$D:$D,'[1]NS Vendor Details'!$H:$H,'G&amp;A Vendor x GL Analysis'!Z$20,'[1]NS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AA22" s="17">
        <f>IF(AND(AA$15="Actual",ISBLANK($E$8)),SUMIFS('[1]NS Vendor Details'!$D:$D,'[1]NS Vendor Details'!$H:$H,'G&amp;A Vendor x GL Analysis'!AA$20,'[1]NS Vendor Details'!$L:$L,'G&amp;A Vendor x GL Analysis'!$D22,'[1]NS Vendor Details'!$O:$O,'G&amp;A Vendor x GL Analysis'!$F22,'[1]NS Vendor Details'!$N:$N,'G&amp;A Vendor x GL Analysis'!$C22,'[1]NS Vendor Details'!$I:$I,'G&amp;A Vendor x GL Analysis'!$E22),IF(AA$15="Actual",SUMIFS('[1]NS Vendor Details'!$D:$D,'[1]NS Vendor Details'!$H:$H,'G&amp;A Vendor x GL Analysis'!AA$20,'[1]NS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AB22" s="17">
        <f>IF(AND(AB$15="Actual",ISBLANK($E$8)),SUMIFS('[1]NS Vendor Details'!$D:$D,'[1]NS Vendor Details'!$H:$H,'G&amp;A Vendor x GL Analysis'!AB$20,'[1]NS Vendor Details'!$L:$L,'G&amp;A Vendor x GL Analysis'!$D22,'[1]NS Vendor Details'!$O:$O,'G&amp;A Vendor x GL Analysis'!$F22,'[1]NS Vendor Details'!$N:$N,'G&amp;A Vendor x GL Analysis'!$C22,'[1]NS Vendor Details'!$I:$I,'G&amp;A Vendor x GL Analysis'!$E22),IF(AB$15="Actual",SUMIFS('[1]NS Vendor Details'!$D:$D,'[1]NS Vendor Details'!$H:$H,'G&amp;A Vendor x GL Analysis'!AB$20,'[1]NS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AC22" s="18">
        <f>IF(AND(AC$15="Actual",ISBLANK($E$8)),SUMIFS('[1]NS Vendor Details'!$D:$D,'[1]NS Vendor Details'!$H:$H,'G&amp;A Vendor x GL Analysis'!AC$20,'[1]NS Vendor Details'!$L:$L,'G&amp;A Vendor x GL Analysis'!$D22,'[1]NS Vendor Details'!$O:$O,'G&amp;A Vendor x GL Analysis'!$F22,'[1]NS Vendor Details'!$N:$N,'G&amp;A Vendor x GL Analysis'!$C22,'[1]NS Vendor Details'!$I:$I,'G&amp;A Vendor x GL Analysis'!$E22),IF(AC$15="Actual",SUMIFS('[1]NS Vendor Details'!$D:$D,'[1]NS Vendor Details'!$H:$H,'G&amp;A Vendor x GL Analysis'!AC$20,'[1]NS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AD22" s="18">
        <f>IF(AND(AD$15="Actual",ISBLANK($E$8)),SUMIFS('[1]NS Vendor Details'!$D:$D,'[1]NS Vendor Details'!$H:$H,'G&amp;A Vendor x GL Analysis'!AD$20,'[1]NS Vendor Details'!$L:$L,'G&amp;A Vendor x GL Analysis'!$D22,'[1]NS Vendor Details'!$O:$O,'G&amp;A Vendor x GL Analysis'!$F22,'[1]NS Vendor Details'!$N:$N,'G&amp;A Vendor x GL Analysis'!$C22,'[1]NS Vendor Details'!$I:$I,'G&amp;A Vendor x GL Analysis'!$E22),IF(AD$15="Actual",SUMIFS('[1]NS Vendor Details'!$D:$D,'[1]NS Vendor Details'!$H:$H,'G&amp;A Vendor x GL Analysis'!AD$20,'[1]NS Vendor Details'!$L:$L,'G&amp;A Vendor x GL Analysis'!$D22,'[1]NS Vendor Details'!$O:$O,'G&amp;A Vendor x GL Analysis'!$F22,'[1]NS Vendor Details'!$N:$N,'G&amp;A Vendor x GL Analysis'!$C22,'[1]NS Vendor Details'!$K:$K,'G&amp;A Vendor x GL Analysis'!$E$8,'[1]NS Vendor Details'!$I:$I,'G&amp;A Vendor x GL Analysis'!$E22),0))</f>
        <v>0</v>
      </c>
      <c r="AF22" s="19">
        <f t="shared" ref="AF22:AF97" si="9">ABS(S22)+ABS(T22)+ABS(U22)+ABS(V22)+ABS(W22)+ABS(X22)+ABS(Y22)+ABS(Z22)+ABS(AA22)+ABS(AB22)+ABS(AC22)+ABS(AD22)</f>
        <v>35263</v>
      </c>
    </row>
    <row r="23" spans="1:32" outlineLevel="1">
      <c r="A23" s="8" t="str">
        <f t="shared" si="8"/>
        <v>Advertising6240 - Product Photography</v>
      </c>
      <c r="C23" s="8" t="s">
        <v>11</v>
      </c>
      <c r="D23" s="8" t="str">
        <f>D22</f>
        <v>Advertising</v>
      </c>
      <c r="E23" s="2" t="s">
        <v>12</v>
      </c>
      <c r="F23" s="2" t="s">
        <v>14</v>
      </c>
      <c r="G23" s="16">
        <f>IF(AND(G$15="Actual",ISBLANK($E$8)),SUMIFS('[1]NS Vendor Details'!$D:$D,'[1]NS Vendor Details'!$H:$H,'G&amp;A Vendor x GL Analysis'!G$20,'[1]NS Vendor Details'!$L:$L,'G&amp;A Vendor x GL Analysis'!$D23,'[1]NS Vendor Details'!$O:$O,'G&amp;A Vendor x GL Analysis'!$F23,'[1]NS Vendor Details'!$N:$N,'G&amp;A Vendor x GL Analysis'!$C23),IF(G$15="Actual",SUMIFS('[1]NS Vendor Details'!$D:$D,'[1]NS Vendor Details'!$H:$H,'G&amp;A Vendor x GL Analysis'!G$20,'[1]NS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0</v>
      </c>
      <c r="H23" s="17">
        <f>IF(AND(H$15="Actual",ISBLANK($E$8)),SUMIFS('[1]NS Vendor Details'!$D:$D,'[1]NS Vendor Details'!$H:$H,'G&amp;A Vendor x GL Analysis'!H$20,'[1]NS Vendor Details'!$L:$L,'G&amp;A Vendor x GL Analysis'!$D23,'[1]NS Vendor Details'!$O:$O,'G&amp;A Vendor x GL Analysis'!$F23,'[1]NS Vendor Details'!$N:$N,'G&amp;A Vendor x GL Analysis'!$C23),IF(H$15="Actual",SUMIFS('[1]NS Vendor Details'!$D:$D,'[1]NS Vendor Details'!$H:$H,'G&amp;A Vendor x GL Analysis'!H$20,'[1]NS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0</v>
      </c>
      <c r="I23" s="17">
        <f>IF(AND(I$15="Actual",ISBLANK($E$8)),SUMIFS('[1]NS Vendor Details'!$D:$D,'[1]NS Vendor Details'!$H:$H,'G&amp;A Vendor x GL Analysis'!I$20,'[1]NS Vendor Details'!$L:$L,'G&amp;A Vendor x GL Analysis'!$D23,'[1]NS Vendor Details'!$O:$O,'G&amp;A Vendor x GL Analysis'!$F23,'[1]NS Vendor Details'!$N:$N,'G&amp;A Vendor x GL Analysis'!$C23),IF(I$15="Actual",SUMIFS('[1]NS Vendor Details'!$D:$D,'[1]NS Vendor Details'!$H:$H,'G&amp;A Vendor x GL Analysis'!I$20,'[1]NS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0</v>
      </c>
      <c r="J23" s="17">
        <f>IF(AND(J$15="Actual",ISBLANK($E$8)),SUMIFS('[1]NS Vendor Details'!$D:$D,'[1]NS Vendor Details'!$H:$H,'G&amp;A Vendor x GL Analysis'!J$20,'[1]NS Vendor Details'!$L:$L,'G&amp;A Vendor x GL Analysis'!$D23,'[1]NS Vendor Details'!$O:$O,'G&amp;A Vendor x GL Analysis'!$F23,'[1]NS Vendor Details'!$N:$N,'G&amp;A Vendor x GL Analysis'!$C23),IF(J$15="Actual",SUMIFS('[1]NS Vendor Details'!$D:$D,'[1]NS Vendor Details'!$H:$H,'G&amp;A Vendor x GL Analysis'!J$20,'[1]NS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0</v>
      </c>
      <c r="K23" s="17">
        <f>IF(AND(K$15="Actual",ISBLANK($E$8)),SUMIFS('[1]NS Vendor Details'!$D:$D,'[1]NS Vendor Details'!$H:$H,'G&amp;A Vendor x GL Analysis'!K$20,'[1]NS Vendor Details'!$L:$L,'G&amp;A Vendor x GL Analysis'!$D23,'[1]NS Vendor Details'!$O:$O,'G&amp;A Vendor x GL Analysis'!$F23,'[1]NS Vendor Details'!$N:$N,'G&amp;A Vendor x GL Analysis'!$C23),IF(K$15="Actual",SUMIFS('[1]NS Vendor Details'!$D:$D,'[1]NS Vendor Details'!$H:$H,'G&amp;A Vendor x GL Analysis'!K$20,'[1]NS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0</v>
      </c>
      <c r="L23" s="17">
        <f>IF(AND(L$15="Actual",ISBLANK($E$8)),SUMIFS('[1]NS Vendor Details'!$D:$D,'[1]NS Vendor Details'!$H:$H,'G&amp;A Vendor x GL Analysis'!L$20,'[1]NS Vendor Details'!$L:$L,'G&amp;A Vendor x GL Analysis'!$D23,'[1]NS Vendor Details'!$O:$O,'G&amp;A Vendor x GL Analysis'!$F23,'[1]NS Vendor Details'!$N:$N,'G&amp;A Vendor x GL Analysis'!$C23),IF(L$15="Actual",SUMIFS('[1]NS Vendor Details'!$D:$D,'[1]NS Vendor Details'!$H:$H,'G&amp;A Vendor x GL Analysis'!L$20,'[1]NS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0</v>
      </c>
      <c r="M23" s="17">
        <f>IF(AND(M$15="Actual",ISBLANK($E$8)),SUMIFS('[1]NS Vendor Details'!$D:$D,'[1]NS Vendor Details'!$H:$H,'G&amp;A Vendor x GL Analysis'!M$20,'[1]NS Vendor Details'!$L:$L,'G&amp;A Vendor x GL Analysis'!$D23,'[1]NS Vendor Details'!$O:$O,'G&amp;A Vendor x GL Analysis'!$F23,'[1]NS Vendor Details'!$N:$N,'G&amp;A Vendor x GL Analysis'!$C23),IF(M$15="Actual",SUMIFS('[1]NS Vendor Details'!$D:$D,'[1]NS Vendor Details'!$H:$H,'G&amp;A Vendor x GL Analysis'!M$20,'[1]NS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0</v>
      </c>
      <c r="N23" s="17">
        <f>IF(AND(N$15="Actual",ISBLANK($E$8)),SUMIFS('[1]NS Vendor Details'!$D:$D,'[1]NS Vendor Details'!$H:$H,'G&amp;A Vendor x GL Analysis'!N$20,'[1]NS Vendor Details'!$L:$L,'G&amp;A Vendor x GL Analysis'!$D23,'[1]NS Vendor Details'!$O:$O,'G&amp;A Vendor x GL Analysis'!$F23,'[1]NS Vendor Details'!$N:$N,'G&amp;A Vendor x GL Analysis'!$C23),IF(N$15="Actual",SUMIFS('[1]NS Vendor Details'!$D:$D,'[1]NS Vendor Details'!$H:$H,'G&amp;A Vendor x GL Analysis'!N$20,'[1]NS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0</v>
      </c>
      <c r="O23" s="17">
        <f>IF(AND(O$15="Actual",ISBLANK($E$8)),SUMIFS('[1]NS Vendor Details'!$D:$D,'[1]NS Vendor Details'!$H:$H,'G&amp;A Vendor x GL Analysis'!O$20,'[1]NS Vendor Details'!$L:$L,'G&amp;A Vendor x GL Analysis'!$D23,'[1]NS Vendor Details'!$O:$O,'G&amp;A Vendor x GL Analysis'!$F23,'[1]NS Vendor Details'!$N:$N,'G&amp;A Vendor x GL Analysis'!$C23),IF(O$15="Actual",SUMIFS('[1]NS Vendor Details'!$D:$D,'[1]NS Vendor Details'!$H:$H,'G&amp;A Vendor x GL Analysis'!O$20,'[1]NS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38242.51</v>
      </c>
      <c r="P23" s="17">
        <f>IF(AND(P$15="Actual",ISBLANK($E$8)),SUMIFS('[1]NS Vendor Details'!$D:$D,'[1]NS Vendor Details'!$H:$H,'G&amp;A Vendor x GL Analysis'!P$20,'[1]NS Vendor Details'!$L:$L,'G&amp;A Vendor x GL Analysis'!$D23,'[1]NS Vendor Details'!$O:$O,'G&amp;A Vendor x GL Analysis'!$F23,'[1]NS Vendor Details'!$N:$N,'G&amp;A Vendor x GL Analysis'!$C23),IF(P$15="Actual",SUMIFS('[1]NS Vendor Details'!$D:$D,'[1]NS Vendor Details'!$H:$H,'G&amp;A Vendor x GL Analysis'!P$20,'[1]NS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38242.51</v>
      </c>
      <c r="Q23" s="17">
        <f>IF(AND(Q$15="Actual",ISBLANK($E$8)),SUMIFS('[1]NS Vendor Details'!$D:$D,'[1]NS Vendor Details'!$H:$H,'G&amp;A Vendor x GL Analysis'!Q$20,'[1]NS Vendor Details'!$L:$L,'G&amp;A Vendor x GL Analysis'!$D23,'[1]NS Vendor Details'!$O:$O,'G&amp;A Vendor x GL Analysis'!$F23,'[1]NS Vendor Details'!$N:$N,'G&amp;A Vendor x GL Analysis'!$C23),IF(Q$15="Actual",SUMIFS('[1]NS Vendor Details'!$D:$D,'[1]NS Vendor Details'!$H:$H,'G&amp;A Vendor x GL Analysis'!Q$20,'[1]NS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38242.51</v>
      </c>
      <c r="R23" s="18">
        <f>IF(AND(R$15="Actual",ISBLANK($E$8)),SUMIFS('[1]NS Vendor Details'!$D:$D,'[1]NS Vendor Details'!$H:$H,'G&amp;A Vendor x GL Analysis'!R$20,'[1]NS Vendor Details'!$L:$L,'G&amp;A Vendor x GL Analysis'!$D23,'[1]NS Vendor Details'!$O:$O,'G&amp;A Vendor x GL Analysis'!$F23,'[1]NS Vendor Details'!$N:$N,'G&amp;A Vendor x GL Analysis'!$C23),IF(R$15="Actual",SUMIFS('[1]NS Vendor Details'!$D:$D,'[1]NS Vendor Details'!$H:$H,'G&amp;A Vendor x GL Analysis'!R$20,'[1]NS Vendor Details'!$L:$L,'G&amp;A Vendor x GL Analysis'!$D23,'[1]NS Vendor Details'!$O:$O,'G&amp;A Vendor x GL Analysis'!$F23,'[1]NS Vendor Details'!$N:$N,'G&amp;A Vendor x GL Analysis'!$C23,'[1]NS Vendor Details'!$K:$K,'G&amp;A Vendor x GL Analysis'!$E$8),0))</f>
        <v>38242.51</v>
      </c>
      <c r="S23" s="16">
        <f>IF(AND(S$15="Actual",ISBLANK($E$8)),SUMIFS('[1]NS Vendor Details'!$D:$D,'[1]NS Vendor Details'!$H:$H,'G&amp;A Vendor x GL Analysis'!S$20,'[1]NS Vendor Details'!$L:$L,'G&amp;A Vendor x GL Analysis'!$D23,'[1]NS Vendor Details'!$O:$O,'G&amp;A Vendor x GL Analysis'!$F23,'[1]NS Vendor Details'!$N:$N,'G&amp;A Vendor x GL Analysis'!$C23,'[1]NS Vendor Details'!$I:$I,'G&amp;A Vendor x GL Analysis'!$E23),IF(S$15="Actual",SUMIFS('[1]NS Vendor Details'!$D:$D,'[1]NS Vendor Details'!$H:$H,'G&amp;A Vendor x GL Analysis'!S$20,'[1]NS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48540.43</v>
      </c>
      <c r="T23" s="17">
        <f>IF(AND(T$15="Actual",ISBLANK($E$8)),SUMIFS('[1]NS Vendor Details'!$D:$D,'[1]NS Vendor Details'!$H:$H,'G&amp;A Vendor x GL Analysis'!T$20,'[1]NS Vendor Details'!$L:$L,'G&amp;A Vendor x GL Analysis'!$D23,'[1]NS Vendor Details'!$O:$O,'G&amp;A Vendor x GL Analysis'!$F23,'[1]NS Vendor Details'!$N:$N,'G&amp;A Vendor x GL Analysis'!$C23,'[1]NS Vendor Details'!$I:$I,'G&amp;A Vendor x GL Analysis'!$E23),IF(T$15="Actual",SUMIFS('[1]NS Vendor Details'!$D:$D,'[1]NS Vendor Details'!$H:$H,'G&amp;A Vendor x GL Analysis'!T$20,'[1]NS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38242.449999999997</v>
      </c>
      <c r="U23" s="17">
        <f>IF(AND(U$15="Actual",ISBLANK($E$8)),SUMIFS('[1]NS Vendor Details'!$D:$D,'[1]NS Vendor Details'!$H:$H,'G&amp;A Vendor x GL Analysis'!U$20,'[1]NS Vendor Details'!$L:$L,'G&amp;A Vendor x GL Analysis'!$D23,'[1]NS Vendor Details'!$O:$O,'G&amp;A Vendor x GL Analysis'!$F23,'[1]NS Vendor Details'!$N:$N,'G&amp;A Vendor x GL Analysis'!$C23,'[1]NS Vendor Details'!$I:$I,'G&amp;A Vendor x GL Analysis'!$E23),IF(U$15="Actual",SUMIFS('[1]NS Vendor Details'!$D:$D,'[1]NS Vendor Details'!$H:$H,'G&amp;A Vendor x GL Analysis'!U$20,'[1]NS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29993.75</v>
      </c>
      <c r="V23" s="17">
        <f>IF(AND(V$15="Actual",ISBLANK($E$8)),SUMIFS('[1]NS Vendor Details'!$D:$D,'[1]NS Vendor Details'!$H:$H,'G&amp;A Vendor x GL Analysis'!V$20,'[1]NS Vendor Details'!$L:$L,'G&amp;A Vendor x GL Analysis'!$D23,'[1]NS Vendor Details'!$O:$O,'G&amp;A Vendor x GL Analysis'!$F23,'[1]NS Vendor Details'!$N:$N,'G&amp;A Vendor x GL Analysis'!$C23,'[1]NS Vendor Details'!$I:$I,'G&amp;A Vendor x GL Analysis'!$E23),IF(V$15="Actual",SUMIFS('[1]NS Vendor Details'!$D:$D,'[1]NS Vendor Details'!$H:$H,'G&amp;A Vendor x GL Analysis'!V$20,'[1]NS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40291.67</v>
      </c>
      <c r="W23" s="17">
        <f>IF(AND(W$15="Actual",ISBLANK($E$8)),SUMIFS('[1]NS Vendor Details'!$D:$D,'[1]NS Vendor Details'!$H:$H,'G&amp;A Vendor x GL Analysis'!W$20,'[1]NS Vendor Details'!$L:$L,'G&amp;A Vendor x GL Analysis'!$D23,'[1]NS Vendor Details'!$O:$O,'G&amp;A Vendor x GL Analysis'!$F23,'[1]NS Vendor Details'!$N:$N,'G&amp;A Vendor x GL Analysis'!$C23,'[1]NS Vendor Details'!$I:$I,'G&amp;A Vendor x GL Analysis'!$E23),IF(W$15="Actual",SUMIFS('[1]NS Vendor Details'!$D:$D,'[1]NS Vendor Details'!$H:$H,'G&amp;A Vendor x GL Analysis'!W$20,'[1]NS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40291.67</v>
      </c>
      <c r="X23" s="17">
        <f>IF(AND(X$15="Actual",ISBLANK($E$8)),SUMIFS('[1]NS Vendor Details'!$D:$D,'[1]NS Vendor Details'!$H:$H,'G&amp;A Vendor x GL Analysis'!X$20,'[1]NS Vendor Details'!$L:$L,'G&amp;A Vendor x GL Analysis'!$D23,'[1]NS Vendor Details'!$O:$O,'G&amp;A Vendor x GL Analysis'!$F23,'[1]NS Vendor Details'!$N:$N,'G&amp;A Vendor x GL Analysis'!$C23,'[1]NS Vendor Details'!$I:$I,'G&amp;A Vendor x GL Analysis'!$E23),IF(X$15="Actual",SUMIFS('[1]NS Vendor Details'!$D:$D,'[1]NS Vendor Details'!$H:$H,'G&amp;A Vendor x GL Analysis'!X$20,'[1]NS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40291.67</v>
      </c>
      <c r="Y23" s="17">
        <f>IF(AND(Y$15="Actual",ISBLANK($E$8)),SUMIFS('[1]NS Vendor Details'!$D:$D,'[1]NS Vendor Details'!$H:$H,'G&amp;A Vendor x GL Analysis'!Y$20,'[1]NS Vendor Details'!$L:$L,'G&amp;A Vendor x GL Analysis'!$D23,'[1]NS Vendor Details'!$O:$O,'G&amp;A Vendor x GL Analysis'!$F23,'[1]NS Vendor Details'!$N:$N,'G&amp;A Vendor x GL Analysis'!$C23,'[1]NS Vendor Details'!$I:$I,'G&amp;A Vendor x GL Analysis'!$E23),IF(Y$15="Actual",SUMIFS('[1]NS Vendor Details'!$D:$D,'[1]NS Vendor Details'!$H:$H,'G&amp;A Vendor x GL Analysis'!Y$20,'[1]NS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40291.67</v>
      </c>
      <c r="Z23" s="17">
        <f>IF(AND(Z$15="Actual",ISBLANK($E$8)),SUMIFS('[1]NS Vendor Details'!$D:$D,'[1]NS Vendor Details'!$H:$H,'G&amp;A Vendor x GL Analysis'!Z$20,'[1]NS Vendor Details'!$L:$L,'G&amp;A Vendor x GL Analysis'!$D23,'[1]NS Vendor Details'!$O:$O,'G&amp;A Vendor x GL Analysis'!$F23,'[1]NS Vendor Details'!$N:$N,'G&amp;A Vendor x GL Analysis'!$C23,'[1]NS Vendor Details'!$I:$I,'G&amp;A Vendor x GL Analysis'!$E23),IF(Z$15="Actual",SUMIFS('[1]NS Vendor Details'!$D:$D,'[1]NS Vendor Details'!$H:$H,'G&amp;A Vendor x GL Analysis'!Z$20,'[1]NS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40291.65</v>
      </c>
      <c r="AA23" s="17">
        <f>IF(AND(AA$15="Actual",ISBLANK($E$8)),SUMIFS('[1]NS Vendor Details'!$D:$D,'[1]NS Vendor Details'!$H:$H,'G&amp;A Vendor x GL Analysis'!AA$20,'[1]NS Vendor Details'!$L:$L,'G&amp;A Vendor x GL Analysis'!$D23,'[1]NS Vendor Details'!$O:$O,'G&amp;A Vendor x GL Analysis'!$F23,'[1]NS Vendor Details'!$N:$N,'G&amp;A Vendor x GL Analysis'!$C23,'[1]NS Vendor Details'!$I:$I,'G&amp;A Vendor x GL Analysis'!$E23),IF(AA$15="Actual",SUMIFS('[1]NS Vendor Details'!$D:$D,'[1]NS Vendor Details'!$H:$H,'G&amp;A Vendor x GL Analysis'!AA$20,'[1]NS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28833.33</v>
      </c>
      <c r="AB23" s="17">
        <f>IF(AND(AB$15="Actual",ISBLANK($E$8)),SUMIFS('[1]NS Vendor Details'!$D:$D,'[1]NS Vendor Details'!$H:$H,'G&amp;A Vendor x GL Analysis'!AB$20,'[1]NS Vendor Details'!$L:$L,'G&amp;A Vendor x GL Analysis'!$D23,'[1]NS Vendor Details'!$O:$O,'G&amp;A Vendor x GL Analysis'!$F23,'[1]NS Vendor Details'!$N:$N,'G&amp;A Vendor x GL Analysis'!$C23,'[1]NS Vendor Details'!$I:$I,'G&amp;A Vendor x GL Analysis'!$E23),IF(AB$15="Actual",SUMIFS('[1]NS Vendor Details'!$D:$D,'[1]NS Vendor Details'!$H:$H,'G&amp;A Vendor x GL Analysis'!AB$20,'[1]NS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28833.33</v>
      </c>
      <c r="AC23" s="18">
        <f>IF(AND(AC$15="Actual",ISBLANK($E$8)),SUMIFS('[1]NS Vendor Details'!$D:$D,'[1]NS Vendor Details'!$H:$H,'G&amp;A Vendor x GL Analysis'!AC$20,'[1]NS Vendor Details'!$L:$L,'G&amp;A Vendor x GL Analysis'!$D23,'[1]NS Vendor Details'!$O:$O,'G&amp;A Vendor x GL Analysis'!$F23,'[1]NS Vendor Details'!$N:$N,'G&amp;A Vendor x GL Analysis'!$C23,'[1]NS Vendor Details'!$I:$I,'G&amp;A Vendor x GL Analysis'!$E23),IF(AC$15="Actual",SUMIFS('[1]NS Vendor Details'!$D:$D,'[1]NS Vendor Details'!$H:$H,'G&amp;A Vendor x GL Analysis'!AC$20,'[1]NS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28833.33</v>
      </c>
      <c r="AD23" s="18">
        <f>IF(AND(AD$15="Actual",ISBLANK($E$8)),SUMIFS('[1]NS Vendor Details'!$D:$D,'[1]NS Vendor Details'!$H:$H,'G&amp;A Vendor x GL Analysis'!AD$20,'[1]NS Vendor Details'!$L:$L,'G&amp;A Vendor x GL Analysis'!$D23,'[1]NS Vendor Details'!$O:$O,'G&amp;A Vendor x GL Analysis'!$F23,'[1]NS Vendor Details'!$N:$N,'G&amp;A Vendor x GL Analysis'!$C23,'[1]NS Vendor Details'!$I:$I,'G&amp;A Vendor x GL Analysis'!$E23),IF(AD$15="Actual",SUMIFS('[1]NS Vendor Details'!$D:$D,'[1]NS Vendor Details'!$H:$H,'G&amp;A Vendor x GL Analysis'!AD$20,'[1]NS Vendor Details'!$L:$L,'G&amp;A Vendor x GL Analysis'!$D23,'[1]NS Vendor Details'!$O:$O,'G&amp;A Vendor x GL Analysis'!$F23,'[1]NS Vendor Details'!$N:$N,'G&amp;A Vendor x GL Analysis'!$C23,'[1]NS Vendor Details'!$K:$K,'G&amp;A Vendor x GL Analysis'!$E$8,'[1]NS Vendor Details'!$I:$I,'G&amp;A Vendor x GL Analysis'!$E23),0))</f>
        <v>0</v>
      </c>
      <c r="AF23" s="19">
        <f t="shared" si="9"/>
        <v>404734.95</v>
      </c>
    </row>
    <row r="24" spans="1:32" outlineLevel="1">
      <c r="A24" s="8" t="str">
        <f t="shared" si="8"/>
        <v>Advertising6240 - Product Photography</v>
      </c>
      <c r="C24" s="8" t="s">
        <v>11</v>
      </c>
      <c r="D24" s="8" t="str">
        <f t="shared" ref="D24:D35" si="10">D23</f>
        <v>Advertising</v>
      </c>
      <c r="E24" s="2" t="s">
        <v>12</v>
      </c>
      <c r="F24" s="2" t="s">
        <v>15</v>
      </c>
      <c r="G24" s="16">
        <f>IF(AND(G$15="Actual",ISBLANK($E$8)),SUMIFS('[1]NS Vendor Details'!$D:$D,'[1]NS Vendor Details'!$H:$H,'G&amp;A Vendor x GL Analysis'!G$20,'[1]NS Vendor Details'!$L:$L,'G&amp;A Vendor x GL Analysis'!$D24,'[1]NS Vendor Details'!$O:$O,'G&amp;A Vendor x GL Analysis'!$F24,'[1]NS Vendor Details'!$N:$N,'G&amp;A Vendor x GL Analysis'!$C24),IF(G$15="Actual",SUMIFS('[1]NS Vendor Details'!$D:$D,'[1]NS Vendor Details'!$H:$H,'G&amp;A Vendor x GL Analysis'!G$20,'[1]NS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0</v>
      </c>
      <c r="H24" s="17">
        <f>IF(AND(H$15="Actual",ISBLANK($E$8)),SUMIFS('[1]NS Vendor Details'!$D:$D,'[1]NS Vendor Details'!$H:$H,'G&amp;A Vendor x GL Analysis'!H$20,'[1]NS Vendor Details'!$L:$L,'G&amp;A Vendor x GL Analysis'!$D24,'[1]NS Vendor Details'!$O:$O,'G&amp;A Vendor x GL Analysis'!$F24,'[1]NS Vendor Details'!$N:$N,'G&amp;A Vendor x GL Analysis'!$C24),IF(H$15="Actual",SUMIFS('[1]NS Vendor Details'!$D:$D,'[1]NS Vendor Details'!$H:$H,'G&amp;A Vendor x GL Analysis'!H$20,'[1]NS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0</v>
      </c>
      <c r="I24" s="17">
        <f>IF(AND(I$15="Actual",ISBLANK($E$8)),SUMIFS('[1]NS Vendor Details'!$D:$D,'[1]NS Vendor Details'!$H:$H,'G&amp;A Vendor x GL Analysis'!I$20,'[1]NS Vendor Details'!$L:$L,'G&amp;A Vendor x GL Analysis'!$D24,'[1]NS Vendor Details'!$O:$O,'G&amp;A Vendor x GL Analysis'!$F24,'[1]NS Vendor Details'!$N:$N,'G&amp;A Vendor x GL Analysis'!$C24),IF(I$15="Actual",SUMIFS('[1]NS Vendor Details'!$D:$D,'[1]NS Vendor Details'!$H:$H,'G&amp;A Vendor x GL Analysis'!I$20,'[1]NS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0</v>
      </c>
      <c r="J24" s="17">
        <f>IF(AND(J$15="Actual",ISBLANK($E$8)),SUMIFS('[1]NS Vendor Details'!$D:$D,'[1]NS Vendor Details'!$H:$H,'G&amp;A Vendor x GL Analysis'!J$20,'[1]NS Vendor Details'!$L:$L,'G&amp;A Vendor x GL Analysis'!$D24,'[1]NS Vendor Details'!$O:$O,'G&amp;A Vendor x GL Analysis'!$F24,'[1]NS Vendor Details'!$N:$N,'G&amp;A Vendor x GL Analysis'!$C24),IF(J$15="Actual",SUMIFS('[1]NS Vendor Details'!$D:$D,'[1]NS Vendor Details'!$H:$H,'G&amp;A Vendor x GL Analysis'!J$20,'[1]NS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0</v>
      </c>
      <c r="K24" s="17">
        <f>IF(AND(K$15="Actual",ISBLANK($E$8)),SUMIFS('[1]NS Vendor Details'!$D:$D,'[1]NS Vendor Details'!$H:$H,'G&amp;A Vendor x GL Analysis'!K$20,'[1]NS Vendor Details'!$L:$L,'G&amp;A Vendor x GL Analysis'!$D24,'[1]NS Vendor Details'!$O:$O,'G&amp;A Vendor x GL Analysis'!$F24,'[1]NS Vendor Details'!$N:$N,'G&amp;A Vendor x GL Analysis'!$C24),IF(K$15="Actual",SUMIFS('[1]NS Vendor Details'!$D:$D,'[1]NS Vendor Details'!$H:$H,'G&amp;A Vendor x GL Analysis'!K$20,'[1]NS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13010</v>
      </c>
      <c r="L24" s="17">
        <f>IF(AND(L$15="Actual",ISBLANK($E$8)),SUMIFS('[1]NS Vendor Details'!$D:$D,'[1]NS Vendor Details'!$H:$H,'G&amp;A Vendor x GL Analysis'!L$20,'[1]NS Vendor Details'!$L:$L,'G&amp;A Vendor x GL Analysis'!$D24,'[1]NS Vendor Details'!$O:$O,'G&amp;A Vendor x GL Analysis'!$F24,'[1]NS Vendor Details'!$N:$N,'G&amp;A Vendor x GL Analysis'!$C24),IF(L$15="Actual",SUMIFS('[1]NS Vendor Details'!$D:$D,'[1]NS Vendor Details'!$H:$H,'G&amp;A Vendor x GL Analysis'!L$20,'[1]NS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9835</v>
      </c>
      <c r="M24" s="17">
        <f>IF(AND(M$15="Actual",ISBLANK($E$8)),SUMIFS('[1]NS Vendor Details'!$D:$D,'[1]NS Vendor Details'!$H:$H,'G&amp;A Vendor x GL Analysis'!M$20,'[1]NS Vendor Details'!$L:$L,'G&amp;A Vendor x GL Analysis'!$D24,'[1]NS Vendor Details'!$O:$O,'G&amp;A Vendor x GL Analysis'!$F24,'[1]NS Vendor Details'!$N:$N,'G&amp;A Vendor x GL Analysis'!$C24),IF(M$15="Actual",SUMIFS('[1]NS Vendor Details'!$D:$D,'[1]NS Vendor Details'!$H:$H,'G&amp;A Vendor x GL Analysis'!M$20,'[1]NS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4230</v>
      </c>
      <c r="N24" s="17">
        <f>IF(AND(N$15="Actual",ISBLANK($E$8)),SUMIFS('[1]NS Vendor Details'!$D:$D,'[1]NS Vendor Details'!$H:$H,'G&amp;A Vendor x GL Analysis'!N$20,'[1]NS Vendor Details'!$L:$L,'G&amp;A Vendor x GL Analysis'!$D24,'[1]NS Vendor Details'!$O:$O,'G&amp;A Vendor x GL Analysis'!$F24,'[1]NS Vendor Details'!$N:$N,'G&amp;A Vendor x GL Analysis'!$C24),IF(N$15="Actual",SUMIFS('[1]NS Vendor Details'!$D:$D,'[1]NS Vendor Details'!$H:$H,'G&amp;A Vendor x GL Analysis'!N$20,'[1]NS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0</v>
      </c>
      <c r="O24" s="17">
        <f>IF(AND(O$15="Actual",ISBLANK($E$8)),SUMIFS('[1]NS Vendor Details'!$D:$D,'[1]NS Vendor Details'!$H:$H,'G&amp;A Vendor x GL Analysis'!O$20,'[1]NS Vendor Details'!$L:$L,'G&amp;A Vendor x GL Analysis'!$D24,'[1]NS Vendor Details'!$O:$O,'G&amp;A Vendor x GL Analysis'!$F24,'[1]NS Vendor Details'!$N:$N,'G&amp;A Vendor x GL Analysis'!$C24),IF(O$15="Actual",SUMIFS('[1]NS Vendor Details'!$D:$D,'[1]NS Vendor Details'!$H:$H,'G&amp;A Vendor x GL Analysis'!O$20,'[1]NS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988</v>
      </c>
      <c r="P24" s="17">
        <f>IF(AND(P$15="Actual",ISBLANK($E$8)),SUMIFS('[1]NS Vendor Details'!$D:$D,'[1]NS Vendor Details'!$H:$H,'G&amp;A Vendor x GL Analysis'!P$20,'[1]NS Vendor Details'!$L:$L,'G&amp;A Vendor x GL Analysis'!$D24,'[1]NS Vendor Details'!$O:$O,'G&amp;A Vendor x GL Analysis'!$F24,'[1]NS Vendor Details'!$N:$N,'G&amp;A Vendor x GL Analysis'!$C24),IF(P$15="Actual",SUMIFS('[1]NS Vendor Details'!$D:$D,'[1]NS Vendor Details'!$H:$H,'G&amp;A Vendor x GL Analysis'!P$20,'[1]NS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9705</v>
      </c>
      <c r="Q24" s="17">
        <f>IF(AND(Q$15="Actual",ISBLANK($E$8)),SUMIFS('[1]NS Vendor Details'!$D:$D,'[1]NS Vendor Details'!$H:$H,'G&amp;A Vendor x GL Analysis'!Q$20,'[1]NS Vendor Details'!$L:$L,'G&amp;A Vendor x GL Analysis'!$D24,'[1]NS Vendor Details'!$O:$O,'G&amp;A Vendor x GL Analysis'!$F24,'[1]NS Vendor Details'!$N:$N,'G&amp;A Vendor x GL Analysis'!$C24),IF(Q$15="Actual",SUMIFS('[1]NS Vendor Details'!$D:$D,'[1]NS Vendor Details'!$H:$H,'G&amp;A Vendor x GL Analysis'!Q$20,'[1]NS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11025</v>
      </c>
      <c r="R24" s="18">
        <f>IF(AND(R$15="Actual",ISBLANK($E$8)),SUMIFS('[1]NS Vendor Details'!$D:$D,'[1]NS Vendor Details'!$H:$H,'G&amp;A Vendor x GL Analysis'!R$20,'[1]NS Vendor Details'!$L:$L,'G&amp;A Vendor x GL Analysis'!$D24,'[1]NS Vendor Details'!$O:$O,'G&amp;A Vendor x GL Analysis'!$F24,'[1]NS Vendor Details'!$N:$N,'G&amp;A Vendor x GL Analysis'!$C24),IF(R$15="Actual",SUMIFS('[1]NS Vendor Details'!$D:$D,'[1]NS Vendor Details'!$H:$H,'G&amp;A Vendor x GL Analysis'!R$20,'[1]NS Vendor Details'!$L:$L,'G&amp;A Vendor x GL Analysis'!$D24,'[1]NS Vendor Details'!$O:$O,'G&amp;A Vendor x GL Analysis'!$F24,'[1]NS Vendor Details'!$N:$N,'G&amp;A Vendor x GL Analysis'!$C24,'[1]NS Vendor Details'!$K:$K,'G&amp;A Vendor x GL Analysis'!$E$8),0))</f>
        <v>6850</v>
      </c>
      <c r="S24" s="16">
        <f>IF(AND(S$15="Actual",ISBLANK($E$8)),SUMIFS('[1]NS Vendor Details'!$D:$D,'[1]NS Vendor Details'!$H:$H,'G&amp;A Vendor x GL Analysis'!S$20,'[1]NS Vendor Details'!$L:$L,'G&amp;A Vendor x GL Analysis'!$D24,'[1]NS Vendor Details'!$O:$O,'G&amp;A Vendor x GL Analysis'!$F24,'[1]NS Vendor Details'!$N:$N,'G&amp;A Vendor x GL Analysis'!$C24,'[1]NS Vendor Details'!$I:$I,'G&amp;A Vendor x GL Analysis'!$E24),IF(S$15="Actual",SUMIFS('[1]NS Vendor Details'!$D:$D,'[1]NS Vendor Details'!$H:$H,'G&amp;A Vendor x GL Analysis'!S$20,'[1]NS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T24" s="17">
        <f>IF(AND(T$15="Actual",ISBLANK($E$8)),SUMIFS('[1]NS Vendor Details'!$D:$D,'[1]NS Vendor Details'!$H:$H,'G&amp;A Vendor x GL Analysis'!T$20,'[1]NS Vendor Details'!$L:$L,'G&amp;A Vendor x GL Analysis'!$D24,'[1]NS Vendor Details'!$O:$O,'G&amp;A Vendor x GL Analysis'!$F24,'[1]NS Vendor Details'!$N:$N,'G&amp;A Vendor x GL Analysis'!$C24,'[1]NS Vendor Details'!$I:$I,'G&amp;A Vendor x GL Analysis'!$E24),IF(T$15="Actual",SUMIFS('[1]NS Vendor Details'!$D:$D,'[1]NS Vendor Details'!$H:$H,'G&amp;A Vendor x GL Analysis'!T$20,'[1]NS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3855</v>
      </c>
      <c r="U24" s="17">
        <f>IF(AND(U$15="Actual",ISBLANK($E$8)),SUMIFS('[1]NS Vendor Details'!$D:$D,'[1]NS Vendor Details'!$H:$H,'G&amp;A Vendor x GL Analysis'!U$20,'[1]NS Vendor Details'!$L:$L,'G&amp;A Vendor x GL Analysis'!$D24,'[1]NS Vendor Details'!$O:$O,'G&amp;A Vendor x GL Analysis'!$F24,'[1]NS Vendor Details'!$N:$N,'G&amp;A Vendor x GL Analysis'!$C24,'[1]NS Vendor Details'!$I:$I,'G&amp;A Vendor x GL Analysis'!$E24),IF(U$15="Actual",SUMIFS('[1]NS Vendor Details'!$D:$D,'[1]NS Vendor Details'!$H:$H,'G&amp;A Vendor x GL Analysis'!U$20,'[1]NS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1270</v>
      </c>
      <c r="V24" s="17">
        <f>IF(AND(V$15="Actual",ISBLANK($E$8)),SUMIFS('[1]NS Vendor Details'!$D:$D,'[1]NS Vendor Details'!$H:$H,'G&amp;A Vendor x GL Analysis'!V$20,'[1]NS Vendor Details'!$L:$L,'G&amp;A Vendor x GL Analysis'!$D24,'[1]NS Vendor Details'!$O:$O,'G&amp;A Vendor x GL Analysis'!$F24,'[1]NS Vendor Details'!$N:$N,'G&amp;A Vendor x GL Analysis'!$C24,'[1]NS Vendor Details'!$I:$I,'G&amp;A Vendor x GL Analysis'!$E24),IF(V$15="Actual",SUMIFS('[1]NS Vendor Details'!$D:$D,'[1]NS Vendor Details'!$H:$H,'G&amp;A Vendor x GL Analysis'!V$20,'[1]NS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W24" s="17">
        <f>IF(AND(W$15="Actual",ISBLANK($E$8)),SUMIFS('[1]NS Vendor Details'!$D:$D,'[1]NS Vendor Details'!$H:$H,'G&amp;A Vendor x GL Analysis'!W$20,'[1]NS Vendor Details'!$L:$L,'G&amp;A Vendor x GL Analysis'!$D24,'[1]NS Vendor Details'!$O:$O,'G&amp;A Vendor x GL Analysis'!$F24,'[1]NS Vendor Details'!$N:$N,'G&amp;A Vendor x GL Analysis'!$C24,'[1]NS Vendor Details'!$I:$I,'G&amp;A Vendor x GL Analysis'!$E24),IF(W$15="Actual",SUMIFS('[1]NS Vendor Details'!$D:$D,'[1]NS Vendor Details'!$H:$H,'G&amp;A Vendor x GL Analysis'!W$20,'[1]NS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X24" s="17">
        <f>IF(AND(X$15="Actual",ISBLANK($E$8)),SUMIFS('[1]NS Vendor Details'!$D:$D,'[1]NS Vendor Details'!$H:$H,'G&amp;A Vendor x GL Analysis'!X$20,'[1]NS Vendor Details'!$L:$L,'G&amp;A Vendor x GL Analysis'!$D24,'[1]NS Vendor Details'!$O:$O,'G&amp;A Vendor x GL Analysis'!$F24,'[1]NS Vendor Details'!$N:$N,'G&amp;A Vendor x GL Analysis'!$C24,'[1]NS Vendor Details'!$I:$I,'G&amp;A Vendor x GL Analysis'!$E24),IF(X$15="Actual",SUMIFS('[1]NS Vendor Details'!$D:$D,'[1]NS Vendor Details'!$H:$H,'G&amp;A Vendor x GL Analysis'!X$20,'[1]NS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Y24" s="17">
        <f>IF(AND(Y$15="Actual",ISBLANK($E$8)),SUMIFS('[1]NS Vendor Details'!$D:$D,'[1]NS Vendor Details'!$H:$H,'G&amp;A Vendor x GL Analysis'!Y$20,'[1]NS Vendor Details'!$L:$L,'G&amp;A Vendor x GL Analysis'!$D24,'[1]NS Vendor Details'!$O:$O,'G&amp;A Vendor x GL Analysis'!$F24,'[1]NS Vendor Details'!$N:$N,'G&amp;A Vendor x GL Analysis'!$C24,'[1]NS Vendor Details'!$I:$I,'G&amp;A Vendor x GL Analysis'!$E24),IF(Y$15="Actual",SUMIFS('[1]NS Vendor Details'!$D:$D,'[1]NS Vendor Details'!$H:$H,'G&amp;A Vendor x GL Analysis'!Y$20,'[1]NS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Z24" s="17">
        <f>IF(AND(Z$15="Actual",ISBLANK($E$8)),SUMIFS('[1]NS Vendor Details'!$D:$D,'[1]NS Vendor Details'!$H:$H,'G&amp;A Vendor x GL Analysis'!Z$20,'[1]NS Vendor Details'!$L:$L,'G&amp;A Vendor x GL Analysis'!$D24,'[1]NS Vendor Details'!$O:$O,'G&amp;A Vendor x GL Analysis'!$F24,'[1]NS Vendor Details'!$N:$N,'G&amp;A Vendor x GL Analysis'!$C24,'[1]NS Vendor Details'!$I:$I,'G&amp;A Vendor x GL Analysis'!$E24),IF(Z$15="Actual",SUMIFS('[1]NS Vendor Details'!$D:$D,'[1]NS Vendor Details'!$H:$H,'G&amp;A Vendor x GL Analysis'!Z$20,'[1]NS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23250</v>
      </c>
      <c r="AA24" s="17">
        <f>IF(AND(AA$15="Actual",ISBLANK($E$8)),SUMIFS('[1]NS Vendor Details'!$D:$D,'[1]NS Vendor Details'!$H:$H,'G&amp;A Vendor x GL Analysis'!AA$20,'[1]NS Vendor Details'!$L:$L,'G&amp;A Vendor x GL Analysis'!$D24,'[1]NS Vendor Details'!$O:$O,'G&amp;A Vendor x GL Analysis'!$F24,'[1]NS Vendor Details'!$N:$N,'G&amp;A Vendor x GL Analysis'!$C24,'[1]NS Vendor Details'!$I:$I,'G&amp;A Vendor x GL Analysis'!$E24),IF(AA$15="Actual",SUMIFS('[1]NS Vendor Details'!$D:$D,'[1]NS Vendor Details'!$H:$H,'G&amp;A Vendor x GL Analysis'!AA$20,'[1]NS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AB24" s="17">
        <f>IF(AND(AB$15="Actual",ISBLANK($E$8)),SUMIFS('[1]NS Vendor Details'!$D:$D,'[1]NS Vendor Details'!$H:$H,'G&amp;A Vendor x GL Analysis'!AB$20,'[1]NS Vendor Details'!$L:$L,'G&amp;A Vendor x GL Analysis'!$D24,'[1]NS Vendor Details'!$O:$O,'G&amp;A Vendor x GL Analysis'!$F24,'[1]NS Vendor Details'!$N:$N,'G&amp;A Vendor x GL Analysis'!$C24,'[1]NS Vendor Details'!$I:$I,'G&amp;A Vendor x GL Analysis'!$E24),IF(AB$15="Actual",SUMIFS('[1]NS Vendor Details'!$D:$D,'[1]NS Vendor Details'!$H:$H,'G&amp;A Vendor x GL Analysis'!AB$20,'[1]NS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AC24" s="18">
        <f>IF(AND(AC$15="Actual",ISBLANK($E$8)),SUMIFS('[1]NS Vendor Details'!$D:$D,'[1]NS Vendor Details'!$H:$H,'G&amp;A Vendor x GL Analysis'!AC$20,'[1]NS Vendor Details'!$L:$L,'G&amp;A Vendor x GL Analysis'!$D24,'[1]NS Vendor Details'!$O:$O,'G&amp;A Vendor x GL Analysis'!$F24,'[1]NS Vendor Details'!$N:$N,'G&amp;A Vendor x GL Analysis'!$C24,'[1]NS Vendor Details'!$I:$I,'G&amp;A Vendor x GL Analysis'!$E24),IF(AC$15="Actual",SUMIFS('[1]NS Vendor Details'!$D:$D,'[1]NS Vendor Details'!$H:$H,'G&amp;A Vendor x GL Analysis'!AC$20,'[1]NS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AD24" s="18">
        <f>IF(AND(AD$15="Actual",ISBLANK($E$8)),SUMIFS('[1]NS Vendor Details'!$D:$D,'[1]NS Vendor Details'!$H:$H,'G&amp;A Vendor x GL Analysis'!AD$20,'[1]NS Vendor Details'!$L:$L,'G&amp;A Vendor x GL Analysis'!$D24,'[1]NS Vendor Details'!$O:$O,'G&amp;A Vendor x GL Analysis'!$F24,'[1]NS Vendor Details'!$N:$N,'G&amp;A Vendor x GL Analysis'!$C24,'[1]NS Vendor Details'!$I:$I,'G&amp;A Vendor x GL Analysis'!$E24),IF(AD$15="Actual",SUMIFS('[1]NS Vendor Details'!$D:$D,'[1]NS Vendor Details'!$H:$H,'G&amp;A Vendor x GL Analysis'!AD$20,'[1]NS Vendor Details'!$L:$L,'G&amp;A Vendor x GL Analysis'!$D24,'[1]NS Vendor Details'!$O:$O,'G&amp;A Vendor x GL Analysis'!$F24,'[1]NS Vendor Details'!$N:$N,'G&amp;A Vendor x GL Analysis'!$C24,'[1]NS Vendor Details'!$K:$K,'G&amp;A Vendor x GL Analysis'!$E$8,'[1]NS Vendor Details'!$I:$I,'G&amp;A Vendor x GL Analysis'!$E24),0))</f>
        <v>0</v>
      </c>
      <c r="AF24" s="19">
        <f t="shared" si="9"/>
        <v>28375</v>
      </c>
    </row>
    <row r="25" spans="1:32" outlineLevel="1">
      <c r="A25" s="8" t="str">
        <f t="shared" si="8"/>
        <v>Advertising6240 - Product Photography</v>
      </c>
      <c r="C25" s="8" t="s">
        <v>11</v>
      </c>
      <c r="D25" s="8" t="str">
        <f t="shared" si="10"/>
        <v>Advertising</v>
      </c>
      <c r="E25" s="2" t="s">
        <v>12</v>
      </c>
      <c r="F25" s="2" t="s">
        <v>16</v>
      </c>
      <c r="G25" s="16">
        <f>IF(AND(G$15="Actual",ISBLANK($E$8)),SUMIFS('[1]NS Vendor Details'!$D:$D,'[1]NS Vendor Details'!$H:$H,'G&amp;A Vendor x GL Analysis'!G$20,'[1]NS Vendor Details'!$L:$L,'G&amp;A Vendor x GL Analysis'!$D25,'[1]NS Vendor Details'!$O:$O,'G&amp;A Vendor x GL Analysis'!$F25,'[1]NS Vendor Details'!$N:$N,'G&amp;A Vendor x GL Analysis'!$C25),IF(G$15="Actual",SUMIFS('[1]NS Vendor Details'!$D:$D,'[1]NS Vendor Details'!$H:$H,'G&amp;A Vendor x GL Analysis'!G$20,'[1]NS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-19852.71</v>
      </c>
      <c r="H25" s="17">
        <f>IF(AND(H$15="Actual",ISBLANK($E$8)),SUMIFS('[1]NS Vendor Details'!$D:$D,'[1]NS Vendor Details'!$H:$H,'G&amp;A Vendor x GL Analysis'!H$20,'[1]NS Vendor Details'!$L:$L,'G&amp;A Vendor x GL Analysis'!$D25,'[1]NS Vendor Details'!$O:$O,'G&amp;A Vendor x GL Analysis'!$F25,'[1]NS Vendor Details'!$N:$N,'G&amp;A Vendor x GL Analysis'!$C25),IF(H$15="Actual",SUMIFS('[1]NS Vendor Details'!$D:$D,'[1]NS Vendor Details'!$H:$H,'G&amp;A Vendor x GL Analysis'!H$20,'[1]NS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895.77</v>
      </c>
      <c r="I25" s="17">
        <f>IF(AND(I$15="Actual",ISBLANK($E$8)),SUMIFS('[1]NS Vendor Details'!$D:$D,'[1]NS Vendor Details'!$H:$H,'G&amp;A Vendor x GL Analysis'!I$20,'[1]NS Vendor Details'!$L:$L,'G&amp;A Vendor x GL Analysis'!$D25,'[1]NS Vendor Details'!$O:$O,'G&amp;A Vendor x GL Analysis'!$F25,'[1]NS Vendor Details'!$N:$N,'G&amp;A Vendor x GL Analysis'!$C25),IF(I$15="Actual",SUMIFS('[1]NS Vendor Details'!$D:$D,'[1]NS Vendor Details'!$H:$H,'G&amp;A Vendor x GL Analysis'!I$20,'[1]NS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47270.03</v>
      </c>
      <c r="J25" s="17">
        <f>IF(AND(J$15="Actual",ISBLANK($E$8)),SUMIFS('[1]NS Vendor Details'!$D:$D,'[1]NS Vendor Details'!$H:$H,'G&amp;A Vendor x GL Analysis'!J$20,'[1]NS Vendor Details'!$L:$L,'G&amp;A Vendor x GL Analysis'!$D25,'[1]NS Vendor Details'!$O:$O,'G&amp;A Vendor x GL Analysis'!$F25,'[1]NS Vendor Details'!$N:$N,'G&amp;A Vendor x GL Analysis'!$C25),IF(J$15="Actual",SUMIFS('[1]NS Vendor Details'!$D:$D,'[1]NS Vendor Details'!$H:$H,'G&amp;A Vendor x GL Analysis'!J$20,'[1]NS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37784.42</v>
      </c>
      <c r="K25" s="17">
        <f>IF(AND(K$15="Actual",ISBLANK($E$8)),SUMIFS('[1]NS Vendor Details'!$D:$D,'[1]NS Vendor Details'!$H:$H,'G&amp;A Vendor x GL Analysis'!K$20,'[1]NS Vendor Details'!$L:$L,'G&amp;A Vendor x GL Analysis'!$D25,'[1]NS Vendor Details'!$O:$O,'G&amp;A Vendor x GL Analysis'!$F25,'[1]NS Vendor Details'!$N:$N,'G&amp;A Vendor x GL Analysis'!$C25),IF(K$15="Actual",SUMIFS('[1]NS Vendor Details'!$D:$D,'[1]NS Vendor Details'!$H:$H,'G&amp;A Vendor x GL Analysis'!K$20,'[1]NS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37718.04</v>
      </c>
      <c r="L25" s="17">
        <f>IF(AND(L$15="Actual",ISBLANK($E$8)),SUMIFS('[1]NS Vendor Details'!$D:$D,'[1]NS Vendor Details'!$H:$H,'G&amp;A Vendor x GL Analysis'!L$20,'[1]NS Vendor Details'!$L:$L,'G&amp;A Vendor x GL Analysis'!$D25,'[1]NS Vendor Details'!$O:$O,'G&amp;A Vendor x GL Analysis'!$F25,'[1]NS Vendor Details'!$N:$N,'G&amp;A Vendor x GL Analysis'!$C25),IF(L$15="Actual",SUMIFS('[1]NS Vendor Details'!$D:$D,'[1]NS Vendor Details'!$H:$H,'G&amp;A Vendor x GL Analysis'!L$20,'[1]NS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40369.25</v>
      </c>
      <c r="M25" s="17">
        <f>IF(AND(M$15="Actual",ISBLANK($E$8)),SUMIFS('[1]NS Vendor Details'!$D:$D,'[1]NS Vendor Details'!$H:$H,'G&amp;A Vendor x GL Analysis'!M$20,'[1]NS Vendor Details'!$L:$L,'G&amp;A Vendor x GL Analysis'!$D25,'[1]NS Vendor Details'!$O:$O,'G&amp;A Vendor x GL Analysis'!$F25,'[1]NS Vendor Details'!$N:$N,'G&amp;A Vendor x GL Analysis'!$C25),IF(M$15="Actual",SUMIFS('[1]NS Vendor Details'!$D:$D,'[1]NS Vendor Details'!$H:$H,'G&amp;A Vendor x GL Analysis'!M$20,'[1]NS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50892.76</v>
      </c>
      <c r="N25" s="17">
        <f>IF(AND(N$15="Actual",ISBLANK($E$8)),SUMIFS('[1]NS Vendor Details'!$D:$D,'[1]NS Vendor Details'!$H:$H,'G&amp;A Vendor x GL Analysis'!N$20,'[1]NS Vendor Details'!$L:$L,'G&amp;A Vendor x GL Analysis'!$D25,'[1]NS Vendor Details'!$O:$O,'G&amp;A Vendor x GL Analysis'!$F25,'[1]NS Vendor Details'!$N:$N,'G&amp;A Vendor x GL Analysis'!$C25),IF(N$15="Actual",SUMIFS('[1]NS Vendor Details'!$D:$D,'[1]NS Vendor Details'!$H:$H,'G&amp;A Vendor x GL Analysis'!N$20,'[1]NS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54358.520000000004</v>
      </c>
      <c r="O25" s="17">
        <f>IF(AND(O$15="Actual",ISBLANK($E$8)),SUMIFS('[1]NS Vendor Details'!$D:$D,'[1]NS Vendor Details'!$H:$H,'G&amp;A Vendor x GL Analysis'!O$20,'[1]NS Vendor Details'!$L:$L,'G&amp;A Vendor x GL Analysis'!$D25,'[1]NS Vendor Details'!$O:$O,'G&amp;A Vendor x GL Analysis'!$F25,'[1]NS Vendor Details'!$N:$N,'G&amp;A Vendor x GL Analysis'!$C25),IF(O$15="Actual",SUMIFS('[1]NS Vendor Details'!$D:$D,'[1]NS Vendor Details'!$H:$H,'G&amp;A Vendor x GL Analysis'!O$20,'[1]NS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10154.700000000001</v>
      </c>
      <c r="P25" s="17">
        <f>IF(AND(P$15="Actual",ISBLANK($E$8)),SUMIFS('[1]NS Vendor Details'!$D:$D,'[1]NS Vendor Details'!$H:$H,'G&amp;A Vendor x GL Analysis'!P$20,'[1]NS Vendor Details'!$L:$L,'G&amp;A Vendor x GL Analysis'!$D25,'[1]NS Vendor Details'!$O:$O,'G&amp;A Vendor x GL Analysis'!$F25,'[1]NS Vendor Details'!$N:$N,'G&amp;A Vendor x GL Analysis'!$C25),IF(P$15="Actual",SUMIFS('[1]NS Vendor Details'!$D:$D,'[1]NS Vendor Details'!$H:$H,'G&amp;A Vendor x GL Analysis'!P$20,'[1]NS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22147.269999999997</v>
      </c>
      <c r="Q25" s="17">
        <f>IF(AND(Q$15="Actual",ISBLANK($E$8)),SUMIFS('[1]NS Vendor Details'!$D:$D,'[1]NS Vendor Details'!$H:$H,'G&amp;A Vendor x GL Analysis'!Q$20,'[1]NS Vendor Details'!$L:$L,'G&amp;A Vendor x GL Analysis'!$D25,'[1]NS Vendor Details'!$O:$O,'G&amp;A Vendor x GL Analysis'!$F25,'[1]NS Vendor Details'!$N:$N,'G&amp;A Vendor x GL Analysis'!$C25),IF(Q$15="Actual",SUMIFS('[1]NS Vendor Details'!$D:$D,'[1]NS Vendor Details'!$H:$H,'G&amp;A Vendor x GL Analysis'!Q$20,'[1]NS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9905.1200000000008</v>
      </c>
      <c r="R25" s="18">
        <f>IF(AND(R$15="Actual",ISBLANK($E$8)),SUMIFS('[1]NS Vendor Details'!$D:$D,'[1]NS Vendor Details'!$H:$H,'G&amp;A Vendor x GL Analysis'!R$20,'[1]NS Vendor Details'!$L:$L,'G&amp;A Vendor x GL Analysis'!$D25,'[1]NS Vendor Details'!$O:$O,'G&amp;A Vendor x GL Analysis'!$F25,'[1]NS Vendor Details'!$N:$N,'G&amp;A Vendor x GL Analysis'!$C25),IF(R$15="Actual",SUMIFS('[1]NS Vendor Details'!$D:$D,'[1]NS Vendor Details'!$H:$H,'G&amp;A Vendor x GL Analysis'!R$20,'[1]NS Vendor Details'!$L:$L,'G&amp;A Vendor x GL Analysis'!$D25,'[1]NS Vendor Details'!$O:$O,'G&amp;A Vendor x GL Analysis'!$F25,'[1]NS Vendor Details'!$N:$N,'G&amp;A Vendor x GL Analysis'!$C25,'[1]NS Vendor Details'!$K:$K,'G&amp;A Vendor x GL Analysis'!$E$8),0))</f>
        <v>37431.61</v>
      </c>
      <c r="S25" s="16">
        <f>IF(AND(S$15="Actual",ISBLANK($E$8)),SUMIFS('[1]NS Vendor Details'!$D:$D,'[1]NS Vendor Details'!$H:$H,'G&amp;A Vendor x GL Analysis'!S$20,'[1]NS Vendor Details'!$L:$L,'G&amp;A Vendor x GL Analysis'!$D25,'[1]NS Vendor Details'!$O:$O,'G&amp;A Vendor x GL Analysis'!$F25,'[1]NS Vendor Details'!$N:$N,'G&amp;A Vendor x GL Analysis'!$C25,'[1]NS Vendor Details'!$I:$I,'G&amp;A Vendor x GL Analysis'!$E25),IF(S$15="Actual",SUMIFS('[1]NS Vendor Details'!$D:$D,'[1]NS Vendor Details'!$H:$H,'G&amp;A Vendor x GL Analysis'!S$20,'[1]NS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T25" s="17">
        <f>IF(AND(T$15="Actual",ISBLANK($E$8)),SUMIFS('[1]NS Vendor Details'!$D:$D,'[1]NS Vendor Details'!$H:$H,'G&amp;A Vendor x GL Analysis'!T$20,'[1]NS Vendor Details'!$L:$L,'G&amp;A Vendor x GL Analysis'!$D25,'[1]NS Vendor Details'!$O:$O,'G&amp;A Vendor x GL Analysis'!$F25,'[1]NS Vendor Details'!$N:$N,'G&amp;A Vendor x GL Analysis'!$C25,'[1]NS Vendor Details'!$I:$I,'G&amp;A Vendor x GL Analysis'!$E25),IF(T$15="Actual",SUMIFS('[1]NS Vendor Details'!$D:$D,'[1]NS Vendor Details'!$H:$H,'G&amp;A Vendor x GL Analysis'!T$20,'[1]NS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U25" s="17">
        <f>IF(AND(U$15="Actual",ISBLANK($E$8)),SUMIFS('[1]NS Vendor Details'!$D:$D,'[1]NS Vendor Details'!$H:$H,'G&amp;A Vendor x GL Analysis'!U$20,'[1]NS Vendor Details'!$L:$L,'G&amp;A Vendor x GL Analysis'!$D25,'[1]NS Vendor Details'!$O:$O,'G&amp;A Vendor x GL Analysis'!$F25,'[1]NS Vendor Details'!$N:$N,'G&amp;A Vendor x GL Analysis'!$C25,'[1]NS Vendor Details'!$I:$I,'G&amp;A Vendor x GL Analysis'!$E25),IF(U$15="Actual",SUMIFS('[1]NS Vendor Details'!$D:$D,'[1]NS Vendor Details'!$H:$H,'G&amp;A Vendor x GL Analysis'!U$20,'[1]NS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50000</v>
      </c>
      <c r="V25" s="17">
        <f>IF(AND(V$15="Actual",ISBLANK($E$8)),SUMIFS('[1]NS Vendor Details'!$D:$D,'[1]NS Vendor Details'!$H:$H,'G&amp;A Vendor x GL Analysis'!V$20,'[1]NS Vendor Details'!$L:$L,'G&amp;A Vendor x GL Analysis'!$D25,'[1]NS Vendor Details'!$O:$O,'G&amp;A Vendor x GL Analysis'!$F25,'[1]NS Vendor Details'!$N:$N,'G&amp;A Vendor x GL Analysis'!$C25,'[1]NS Vendor Details'!$I:$I,'G&amp;A Vendor x GL Analysis'!$E25),IF(V$15="Actual",SUMIFS('[1]NS Vendor Details'!$D:$D,'[1]NS Vendor Details'!$H:$H,'G&amp;A Vendor x GL Analysis'!V$20,'[1]NS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W25" s="17">
        <f>IF(AND(W$15="Actual",ISBLANK($E$8)),SUMIFS('[1]NS Vendor Details'!$D:$D,'[1]NS Vendor Details'!$H:$H,'G&amp;A Vendor x GL Analysis'!W$20,'[1]NS Vendor Details'!$L:$L,'G&amp;A Vendor x GL Analysis'!$D25,'[1]NS Vendor Details'!$O:$O,'G&amp;A Vendor x GL Analysis'!$F25,'[1]NS Vendor Details'!$N:$N,'G&amp;A Vendor x GL Analysis'!$C25,'[1]NS Vendor Details'!$I:$I,'G&amp;A Vendor x GL Analysis'!$E25),IF(W$15="Actual",SUMIFS('[1]NS Vendor Details'!$D:$D,'[1]NS Vendor Details'!$H:$H,'G&amp;A Vendor x GL Analysis'!W$20,'[1]NS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X25" s="17">
        <f>IF(AND(X$15="Actual",ISBLANK($E$8)),SUMIFS('[1]NS Vendor Details'!$D:$D,'[1]NS Vendor Details'!$H:$H,'G&amp;A Vendor x GL Analysis'!X$20,'[1]NS Vendor Details'!$L:$L,'G&amp;A Vendor x GL Analysis'!$D25,'[1]NS Vendor Details'!$O:$O,'G&amp;A Vendor x GL Analysis'!$F25,'[1]NS Vendor Details'!$N:$N,'G&amp;A Vendor x GL Analysis'!$C25,'[1]NS Vendor Details'!$I:$I,'G&amp;A Vendor x GL Analysis'!$E25),IF(X$15="Actual",SUMIFS('[1]NS Vendor Details'!$D:$D,'[1]NS Vendor Details'!$H:$H,'G&amp;A Vendor x GL Analysis'!X$20,'[1]NS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Y25" s="17">
        <f>IF(AND(Y$15="Actual",ISBLANK($E$8)),SUMIFS('[1]NS Vendor Details'!$D:$D,'[1]NS Vendor Details'!$H:$H,'G&amp;A Vendor x GL Analysis'!Y$20,'[1]NS Vendor Details'!$L:$L,'G&amp;A Vendor x GL Analysis'!$D25,'[1]NS Vendor Details'!$O:$O,'G&amp;A Vendor x GL Analysis'!$F25,'[1]NS Vendor Details'!$N:$N,'G&amp;A Vendor x GL Analysis'!$C25,'[1]NS Vendor Details'!$I:$I,'G&amp;A Vendor x GL Analysis'!$E25),IF(Y$15="Actual",SUMIFS('[1]NS Vendor Details'!$D:$D,'[1]NS Vendor Details'!$H:$H,'G&amp;A Vendor x GL Analysis'!Y$20,'[1]NS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Z25" s="17">
        <f>IF(AND(Z$15="Actual",ISBLANK($E$8)),SUMIFS('[1]NS Vendor Details'!$D:$D,'[1]NS Vendor Details'!$H:$H,'G&amp;A Vendor x GL Analysis'!Z$20,'[1]NS Vendor Details'!$L:$L,'G&amp;A Vendor x GL Analysis'!$D25,'[1]NS Vendor Details'!$O:$O,'G&amp;A Vendor x GL Analysis'!$F25,'[1]NS Vendor Details'!$N:$N,'G&amp;A Vendor x GL Analysis'!$C25,'[1]NS Vendor Details'!$I:$I,'G&amp;A Vendor x GL Analysis'!$E25),IF(Z$15="Actual",SUMIFS('[1]NS Vendor Details'!$D:$D,'[1]NS Vendor Details'!$H:$H,'G&amp;A Vendor x GL Analysis'!Z$20,'[1]NS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AA25" s="17">
        <f>IF(AND(AA$15="Actual",ISBLANK($E$8)),SUMIFS('[1]NS Vendor Details'!$D:$D,'[1]NS Vendor Details'!$H:$H,'G&amp;A Vendor x GL Analysis'!AA$20,'[1]NS Vendor Details'!$L:$L,'G&amp;A Vendor x GL Analysis'!$D25,'[1]NS Vendor Details'!$O:$O,'G&amp;A Vendor x GL Analysis'!$F25,'[1]NS Vendor Details'!$N:$N,'G&amp;A Vendor x GL Analysis'!$C25,'[1]NS Vendor Details'!$I:$I,'G&amp;A Vendor x GL Analysis'!$E25),IF(AA$15="Actual",SUMIFS('[1]NS Vendor Details'!$D:$D,'[1]NS Vendor Details'!$H:$H,'G&amp;A Vendor x GL Analysis'!AA$20,'[1]NS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AB25" s="17">
        <f>IF(AND(AB$15="Actual",ISBLANK($E$8)),SUMIFS('[1]NS Vendor Details'!$D:$D,'[1]NS Vendor Details'!$H:$H,'G&amp;A Vendor x GL Analysis'!AB$20,'[1]NS Vendor Details'!$L:$L,'G&amp;A Vendor x GL Analysis'!$D25,'[1]NS Vendor Details'!$O:$O,'G&amp;A Vendor x GL Analysis'!$F25,'[1]NS Vendor Details'!$N:$N,'G&amp;A Vendor x GL Analysis'!$C25,'[1]NS Vendor Details'!$I:$I,'G&amp;A Vendor x GL Analysis'!$E25),IF(AB$15="Actual",SUMIFS('[1]NS Vendor Details'!$D:$D,'[1]NS Vendor Details'!$H:$H,'G&amp;A Vendor x GL Analysis'!AB$20,'[1]NS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AC25" s="18">
        <f>IF(AND(AC$15="Actual",ISBLANK($E$8)),SUMIFS('[1]NS Vendor Details'!$D:$D,'[1]NS Vendor Details'!$H:$H,'G&amp;A Vendor x GL Analysis'!AC$20,'[1]NS Vendor Details'!$L:$L,'G&amp;A Vendor x GL Analysis'!$D25,'[1]NS Vendor Details'!$O:$O,'G&amp;A Vendor x GL Analysis'!$F25,'[1]NS Vendor Details'!$N:$N,'G&amp;A Vendor x GL Analysis'!$C25,'[1]NS Vendor Details'!$I:$I,'G&amp;A Vendor x GL Analysis'!$E25),IF(AC$15="Actual",SUMIFS('[1]NS Vendor Details'!$D:$D,'[1]NS Vendor Details'!$H:$H,'G&amp;A Vendor x GL Analysis'!AC$20,'[1]NS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AD25" s="18">
        <f>IF(AND(AD$15="Actual",ISBLANK($E$8)),SUMIFS('[1]NS Vendor Details'!$D:$D,'[1]NS Vendor Details'!$H:$H,'G&amp;A Vendor x GL Analysis'!AD$20,'[1]NS Vendor Details'!$L:$L,'G&amp;A Vendor x GL Analysis'!$D25,'[1]NS Vendor Details'!$O:$O,'G&amp;A Vendor x GL Analysis'!$F25,'[1]NS Vendor Details'!$N:$N,'G&amp;A Vendor x GL Analysis'!$C25,'[1]NS Vendor Details'!$I:$I,'G&amp;A Vendor x GL Analysis'!$E25),IF(AD$15="Actual",SUMIFS('[1]NS Vendor Details'!$D:$D,'[1]NS Vendor Details'!$H:$H,'G&amp;A Vendor x GL Analysis'!AD$20,'[1]NS Vendor Details'!$L:$L,'G&amp;A Vendor x GL Analysis'!$D25,'[1]NS Vendor Details'!$O:$O,'G&amp;A Vendor x GL Analysis'!$F25,'[1]NS Vendor Details'!$N:$N,'G&amp;A Vendor x GL Analysis'!$C25,'[1]NS Vendor Details'!$K:$K,'G&amp;A Vendor x GL Analysis'!$E$8,'[1]NS Vendor Details'!$I:$I,'G&amp;A Vendor x GL Analysis'!$E25),0))</f>
        <v>0</v>
      </c>
      <c r="AF25" s="19">
        <f t="shared" si="9"/>
        <v>50000</v>
      </c>
    </row>
    <row r="26" spans="1:32" outlineLevel="1">
      <c r="A26" s="8" t="str">
        <f t="shared" si="8"/>
        <v>Advertising6282 - Royalty Expense</v>
      </c>
      <c r="C26" s="8" t="s">
        <v>11</v>
      </c>
      <c r="D26" s="8" t="str">
        <f t="shared" si="10"/>
        <v>Advertising</v>
      </c>
      <c r="E26" s="2" t="s">
        <v>17</v>
      </c>
      <c r="F26" s="2" t="s">
        <v>18</v>
      </c>
      <c r="G26" s="16">
        <f>IF(AND(G$15="Actual",ISBLANK($E$8)),SUMIFS('[1]NS Vendor Details'!$D:$D,'[1]NS Vendor Details'!$H:$H,'G&amp;A Vendor x GL Analysis'!G$20,'[1]NS Vendor Details'!$L:$L,'G&amp;A Vendor x GL Analysis'!$D26,'[1]NS Vendor Details'!$O:$O,'G&amp;A Vendor x GL Analysis'!$F26,'[1]NS Vendor Details'!$N:$N,'G&amp;A Vendor x GL Analysis'!$C26),IF(G$15="Actual",SUMIFS('[1]NS Vendor Details'!$D:$D,'[1]NS Vendor Details'!$H:$H,'G&amp;A Vendor x GL Analysis'!G$20,'[1]NS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H26" s="17">
        <f>IF(AND(H$15="Actual",ISBLANK($E$8)),SUMIFS('[1]NS Vendor Details'!$D:$D,'[1]NS Vendor Details'!$H:$H,'G&amp;A Vendor x GL Analysis'!H$20,'[1]NS Vendor Details'!$L:$L,'G&amp;A Vendor x GL Analysis'!$D26,'[1]NS Vendor Details'!$O:$O,'G&amp;A Vendor x GL Analysis'!$F26,'[1]NS Vendor Details'!$N:$N,'G&amp;A Vendor x GL Analysis'!$C26),IF(H$15="Actual",SUMIFS('[1]NS Vendor Details'!$D:$D,'[1]NS Vendor Details'!$H:$H,'G&amp;A Vendor x GL Analysis'!H$20,'[1]NS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I26" s="17">
        <f>IF(AND(I$15="Actual",ISBLANK($E$8)),SUMIFS('[1]NS Vendor Details'!$D:$D,'[1]NS Vendor Details'!$H:$H,'G&amp;A Vendor x GL Analysis'!I$20,'[1]NS Vendor Details'!$L:$L,'G&amp;A Vendor x GL Analysis'!$D26,'[1]NS Vendor Details'!$O:$O,'G&amp;A Vendor x GL Analysis'!$F26,'[1]NS Vendor Details'!$N:$N,'G&amp;A Vendor x GL Analysis'!$C26),IF(I$15="Actual",SUMIFS('[1]NS Vendor Details'!$D:$D,'[1]NS Vendor Details'!$H:$H,'G&amp;A Vendor x GL Analysis'!I$20,'[1]NS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J26" s="17">
        <f>IF(AND(J$15="Actual",ISBLANK($E$8)),SUMIFS('[1]NS Vendor Details'!$D:$D,'[1]NS Vendor Details'!$H:$H,'G&amp;A Vendor x GL Analysis'!J$20,'[1]NS Vendor Details'!$L:$L,'G&amp;A Vendor x GL Analysis'!$D26,'[1]NS Vendor Details'!$O:$O,'G&amp;A Vendor x GL Analysis'!$F26,'[1]NS Vendor Details'!$N:$N,'G&amp;A Vendor x GL Analysis'!$C26),IF(J$15="Actual",SUMIFS('[1]NS Vendor Details'!$D:$D,'[1]NS Vendor Details'!$H:$H,'G&amp;A Vendor x GL Analysis'!J$20,'[1]NS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K26" s="17">
        <f>IF(AND(K$15="Actual",ISBLANK($E$8)),SUMIFS('[1]NS Vendor Details'!$D:$D,'[1]NS Vendor Details'!$H:$H,'G&amp;A Vendor x GL Analysis'!K$20,'[1]NS Vendor Details'!$L:$L,'G&amp;A Vendor x GL Analysis'!$D26,'[1]NS Vendor Details'!$O:$O,'G&amp;A Vendor x GL Analysis'!$F26,'[1]NS Vendor Details'!$N:$N,'G&amp;A Vendor x GL Analysis'!$C26),IF(K$15="Actual",SUMIFS('[1]NS Vendor Details'!$D:$D,'[1]NS Vendor Details'!$H:$H,'G&amp;A Vendor x GL Analysis'!K$20,'[1]NS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16267.2</v>
      </c>
      <c r="L26" s="17">
        <f>IF(AND(L$15="Actual",ISBLANK($E$8)),SUMIFS('[1]NS Vendor Details'!$D:$D,'[1]NS Vendor Details'!$H:$H,'G&amp;A Vendor x GL Analysis'!L$20,'[1]NS Vendor Details'!$L:$L,'G&amp;A Vendor x GL Analysis'!$D26,'[1]NS Vendor Details'!$O:$O,'G&amp;A Vendor x GL Analysis'!$F26,'[1]NS Vendor Details'!$N:$N,'G&amp;A Vendor x GL Analysis'!$C26),IF(L$15="Actual",SUMIFS('[1]NS Vendor Details'!$D:$D,'[1]NS Vendor Details'!$H:$H,'G&amp;A Vendor x GL Analysis'!L$20,'[1]NS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M26" s="17">
        <f>IF(AND(M$15="Actual",ISBLANK($E$8)),SUMIFS('[1]NS Vendor Details'!$D:$D,'[1]NS Vendor Details'!$H:$H,'G&amp;A Vendor x GL Analysis'!M$20,'[1]NS Vendor Details'!$L:$L,'G&amp;A Vendor x GL Analysis'!$D26,'[1]NS Vendor Details'!$O:$O,'G&amp;A Vendor x GL Analysis'!$F26,'[1]NS Vendor Details'!$N:$N,'G&amp;A Vendor x GL Analysis'!$C26),IF(M$15="Actual",SUMIFS('[1]NS Vendor Details'!$D:$D,'[1]NS Vendor Details'!$H:$H,'G&amp;A Vendor x GL Analysis'!M$20,'[1]NS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N26" s="17">
        <f>IF(AND(N$15="Actual",ISBLANK($E$8)),SUMIFS('[1]NS Vendor Details'!$D:$D,'[1]NS Vendor Details'!$H:$H,'G&amp;A Vendor x GL Analysis'!N$20,'[1]NS Vendor Details'!$L:$L,'G&amp;A Vendor x GL Analysis'!$D26,'[1]NS Vendor Details'!$O:$O,'G&amp;A Vendor x GL Analysis'!$F26,'[1]NS Vendor Details'!$N:$N,'G&amp;A Vendor x GL Analysis'!$C26),IF(N$15="Actual",SUMIFS('[1]NS Vendor Details'!$D:$D,'[1]NS Vendor Details'!$H:$H,'G&amp;A Vendor x GL Analysis'!N$20,'[1]NS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O26" s="17">
        <f>IF(AND(O$15="Actual",ISBLANK($E$8)),SUMIFS('[1]NS Vendor Details'!$D:$D,'[1]NS Vendor Details'!$H:$H,'G&amp;A Vendor x GL Analysis'!O$20,'[1]NS Vendor Details'!$L:$L,'G&amp;A Vendor x GL Analysis'!$D26,'[1]NS Vendor Details'!$O:$O,'G&amp;A Vendor x GL Analysis'!$F26,'[1]NS Vendor Details'!$N:$N,'G&amp;A Vendor x GL Analysis'!$C26),IF(O$15="Actual",SUMIFS('[1]NS Vendor Details'!$D:$D,'[1]NS Vendor Details'!$H:$H,'G&amp;A Vendor x GL Analysis'!O$20,'[1]NS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P26" s="17">
        <f>IF(AND(P$15="Actual",ISBLANK($E$8)),SUMIFS('[1]NS Vendor Details'!$D:$D,'[1]NS Vendor Details'!$H:$H,'G&amp;A Vendor x GL Analysis'!P$20,'[1]NS Vendor Details'!$L:$L,'G&amp;A Vendor x GL Analysis'!$D26,'[1]NS Vendor Details'!$O:$O,'G&amp;A Vendor x GL Analysis'!$F26,'[1]NS Vendor Details'!$N:$N,'G&amp;A Vendor x GL Analysis'!$C26),IF(P$15="Actual",SUMIFS('[1]NS Vendor Details'!$D:$D,'[1]NS Vendor Details'!$H:$H,'G&amp;A Vendor x GL Analysis'!P$20,'[1]NS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Q26" s="17">
        <f>IF(AND(Q$15="Actual",ISBLANK($E$8)),SUMIFS('[1]NS Vendor Details'!$D:$D,'[1]NS Vendor Details'!$H:$H,'G&amp;A Vendor x GL Analysis'!Q$20,'[1]NS Vendor Details'!$L:$L,'G&amp;A Vendor x GL Analysis'!$D26,'[1]NS Vendor Details'!$O:$O,'G&amp;A Vendor x GL Analysis'!$F26,'[1]NS Vendor Details'!$N:$N,'G&amp;A Vendor x GL Analysis'!$C26),IF(Q$15="Actual",SUMIFS('[1]NS Vendor Details'!$D:$D,'[1]NS Vendor Details'!$H:$H,'G&amp;A Vendor x GL Analysis'!Q$20,'[1]NS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R26" s="18">
        <f>IF(AND(R$15="Actual",ISBLANK($E$8)),SUMIFS('[1]NS Vendor Details'!$D:$D,'[1]NS Vendor Details'!$H:$H,'G&amp;A Vendor x GL Analysis'!R$20,'[1]NS Vendor Details'!$L:$L,'G&amp;A Vendor x GL Analysis'!$D26,'[1]NS Vendor Details'!$O:$O,'G&amp;A Vendor x GL Analysis'!$F26,'[1]NS Vendor Details'!$N:$N,'G&amp;A Vendor x GL Analysis'!$C26),IF(R$15="Actual",SUMIFS('[1]NS Vendor Details'!$D:$D,'[1]NS Vendor Details'!$H:$H,'G&amp;A Vendor x GL Analysis'!R$20,'[1]NS Vendor Details'!$L:$L,'G&amp;A Vendor x GL Analysis'!$D26,'[1]NS Vendor Details'!$O:$O,'G&amp;A Vendor x GL Analysis'!$F26,'[1]NS Vendor Details'!$N:$N,'G&amp;A Vendor x GL Analysis'!$C26,'[1]NS Vendor Details'!$K:$K,'G&amp;A Vendor x GL Analysis'!$E$8),0))</f>
        <v>0</v>
      </c>
      <c r="S26" s="16">
        <f>IF(AND(S$15="Actual",ISBLANK($E$8)),SUMIFS('[1]NS Vendor Details'!$D:$D,'[1]NS Vendor Details'!$H:$H,'G&amp;A Vendor x GL Analysis'!S$20,'[1]NS Vendor Details'!$L:$L,'G&amp;A Vendor x GL Analysis'!$D26,'[1]NS Vendor Details'!$O:$O,'G&amp;A Vendor x GL Analysis'!$F26,'[1]NS Vendor Details'!$N:$N,'G&amp;A Vendor x GL Analysis'!$C26,'[1]NS Vendor Details'!$I:$I,'G&amp;A Vendor x GL Analysis'!$E26),IF(S$15="Actual",SUMIFS('[1]NS Vendor Details'!$D:$D,'[1]NS Vendor Details'!$H:$H,'G&amp;A Vendor x GL Analysis'!S$20,'[1]NS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T26" s="17">
        <f>IF(AND(T$15="Actual",ISBLANK($E$8)),SUMIFS('[1]NS Vendor Details'!$D:$D,'[1]NS Vendor Details'!$H:$H,'G&amp;A Vendor x GL Analysis'!T$20,'[1]NS Vendor Details'!$L:$L,'G&amp;A Vendor x GL Analysis'!$D26,'[1]NS Vendor Details'!$O:$O,'G&amp;A Vendor x GL Analysis'!$F26,'[1]NS Vendor Details'!$N:$N,'G&amp;A Vendor x GL Analysis'!$C26,'[1]NS Vendor Details'!$I:$I,'G&amp;A Vendor x GL Analysis'!$E26),IF(T$15="Actual",SUMIFS('[1]NS Vendor Details'!$D:$D,'[1]NS Vendor Details'!$H:$H,'G&amp;A Vendor x GL Analysis'!T$20,'[1]NS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20718.400000000001</v>
      </c>
      <c r="U26" s="17">
        <f>IF(AND(U$15="Actual",ISBLANK($E$8)),SUMIFS('[1]NS Vendor Details'!$D:$D,'[1]NS Vendor Details'!$H:$H,'G&amp;A Vendor x GL Analysis'!U$20,'[1]NS Vendor Details'!$L:$L,'G&amp;A Vendor x GL Analysis'!$D26,'[1]NS Vendor Details'!$O:$O,'G&amp;A Vendor x GL Analysis'!$F26,'[1]NS Vendor Details'!$N:$N,'G&amp;A Vendor x GL Analysis'!$C26,'[1]NS Vendor Details'!$I:$I,'G&amp;A Vendor x GL Analysis'!$E26),IF(U$15="Actual",SUMIFS('[1]NS Vendor Details'!$D:$D,'[1]NS Vendor Details'!$H:$H,'G&amp;A Vendor x GL Analysis'!U$20,'[1]NS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V26" s="17">
        <f>IF(AND(V$15="Actual",ISBLANK($E$8)),SUMIFS('[1]NS Vendor Details'!$D:$D,'[1]NS Vendor Details'!$H:$H,'G&amp;A Vendor x GL Analysis'!V$20,'[1]NS Vendor Details'!$L:$L,'G&amp;A Vendor x GL Analysis'!$D26,'[1]NS Vendor Details'!$O:$O,'G&amp;A Vendor x GL Analysis'!$F26,'[1]NS Vendor Details'!$N:$N,'G&amp;A Vendor x GL Analysis'!$C26,'[1]NS Vendor Details'!$I:$I,'G&amp;A Vendor x GL Analysis'!$E26),IF(V$15="Actual",SUMIFS('[1]NS Vendor Details'!$D:$D,'[1]NS Vendor Details'!$H:$H,'G&amp;A Vendor x GL Analysis'!V$20,'[1]NS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W26" s="17">
        <f>IF(AND(W$15="Actual",ISBLANK($E$8)),SUMIFS('[1]NS Vendor Details'!$D:$D,'[1]NS Vendor Details'!$H:$H,'G&amp;A Vendor x GL Analysis'!W$20,'[1]NS Vendor Details'!$L:$L,'G&amp;A Vendor x GL Analysis'!$D26,'[1]NS Vendor Details'!$O:$O,'G&amp;A Vendor x GL Analysis'!$F26,'[1]NS Vendor Details'!$N:$N,'G&amp;A Vendor x GL Analysis'!$C26,'[1]NS Vendor Details'!$I:$I,'G&amp;A Vendor x GL Analysis'!$E26),IF(W$15="Actual",SUMIFS('[1]NS Vendor Details'!$D:$D,'[1]NS Vendor Details'!$H:$H,'G&amp;A Vendor x GL Analysis'!W$20,'[1]NS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X26" s="17">
        <f>IF(AND(X$15="Actual",ISBLANK($E$8)),SUMIFS('[1]NS Vendor Details'!$D:$D,'[1]NS Vendor Details'!$H:$H,'G&amp;A Vendor x GL Analysis'!X$20,'[1]NS Vendor Details'!$L:$L,'G&amp;A Vendor x GL Analysis'!$D26,'[1]NS Vendor Details'!$O:$O,'G&amp;A Vendor x GL Analysis'!$F26,'[1]NS Vendor Details'!$N:$N,'G&amp;A Vendor x GL Analysis'!$C26,'[1]NS Vendor Details'!$I:$I,'G&amp;A Vendor x GL Analysis'!$E26),IF(X$15="Actual",SUMIFS('[1]NS Vendor Details'!$D:$D,'[1]NS Vendor Details'!$H:$H,'G&amp;A Vendor x GL Analysis'!X$20,'[1]NS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Y26" s="17">
        <f>IF(AND(Y$15="Actual",ISBLANK($E$8)),SUMIFS('[1]NS Vendor Details'!$D:$D,'[1]NS Vendor Details'!$H:$H,'G&amp;A Vendor x GL Analysis'!Y$20,'[1]NS Vendor Details'!$L:$L,'G&amp;A Vendor x GL Analysis'!$D26,'[1]NS Vendor Details'!$O:$O,'G&amp;A Vendor x GL Analysis'!$F26,'[1]NS Vendor Details'!$N:$N,'G&amp;A Vendor x GL Analysis'!$C26,'[1]NS Vendor Details'!$I:$I,'G&amp;A Vendor x GL Analysis'!$E26),IF(Y$15="Actual",SUMIFS('[1]NS Vendor Details'!$D:$D,'[1]NS Vendor Details'!$H:$H,'G&amp;A Vendor x GL Analysis'!Y$20,'[1]NS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Z26" s="17">
        <f>IF(AND(Z$15="Actual",ISBLANK($E$8)),SUMIFS('[1]NS Vendor Details'!$D:$D,'[1]NS Vendor Details'!$H:$H,'G&amp;A Vendor x GL Analysis'!Z$20,'[1]NS Vendor Details'!$L:$L,'G&amp;A Vendor x GL Analysis'!$D26,'[1]NS Vendor Details'!$O:$O,'G&amp;A Vendor x GL Analysis'!$F26,'[1]NS Vendor Details'!$N:$N,'G&amp;A Vendor x GL Analysis'!$C26,'[1]NS Vendor Details'!$I:$I,'G&amp;A Vendor x GL Analysis'!$E26),IF(Z$15="Actual",SUMIFS('[1]NS Vendor Details'!$D:$D,'[1]NS Vendor Details'!$H:$H,'G&amp;A Vendor x GL Analysis'!Z$20,'[1]NS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AA26" s="17">
        <f>IF(AND(AA$15="Actual",ISBLANK($E$8)),SUMIFS('[1]NS Vendor Details'!$D:$D,'[1]NS Vendor Details'!$H:$H,'G&amp;A Vendor x GL Analysis'!AA$20,'[1]NS Vendor Details'!$L:$L,'G&amp;A Vendor x GL Analysis'!$D26,'[1]NS Vendor Details'!$O:$O,'G&amp;A Vendor x GL Analysis'!$F26,'[1]NS Vendor Details'!$N:$N,'G&amp;A Vendor x GL Analysis'!$C26,'[1]NS Vendor Details'!$I:$I,'G&amp;A Vendor x GL Analysis'!$E26),IF(AA$15="Actual",SUMIFS('[1]NS Vendor Details'!$D:$D,'[1]NS Vendor Details'!$H:$H,'G&amp;A Vendor x GL Analysis'!AA$20,'[1]NS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AB26" s="17">
        <f>IF(AND(AB$15="Actual",ISBLANK($E$8)),SUMIFS('[1]NS Vendor Details'!$D:$D,'[1]NS Vendor Details'!$H:$H,'G&amp;A Vendor x GL Analysis'!AB$20,'[1]NS Vendor Details'!$L:$L,'G&amp;A Vendor x GL Analysis'!$D26,'[1]NS Vendor Details'!$O:$O,'G&amp;A Vendor x GL Analysis'!$F26,'[1]NS Vendor Details'!$N:$N,'G&amp;A Vendor x GL Analysis'!$C26,'[1]NS Vendor Details'!$I:$I,'G&amp;A Vendor x GL Analysis'!$E26),IF(AB$15="Actual",SUMIFS('[1]NS Vendor Details'!$D:$D,'[1]NS Vendor Details'!$H:$H,'G&amp;A Vendor x GL Analysis'!AB$20,'[1]NS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AC26" s="18">
        <f>IF(AND(AC$15="Actual",ISBLANK($E$8)),SUMIFS('[1]NS Vendor Details'!$D:$D,'[1]NS Vendor Details'!$H:$H,'G&amp;A Vendor x GL Analysis'!AC$20,'[1]NS Vendor Details'!$L:$L,'G&amp;A Vendor x GL Analysis'!$D26,'[1]NS Vendor Details'!$O:$O,'G&amp;A Vendor x GL Analysis'!$F26,'[1]NS Vendor Details'!$N:$N,'G&amp;A Vendor x GL Analysis'!$C26,'[1]NS Vendor Details'!$I:$I,'G&amp;A Vendor x GL Analysis'!$E26),IF(AC$15="Actual",SUMIFS('[1]NS Vendor Details'!$D:$D,'[1]NS Vendor Details'!$H:$H,'G&amp;A Vendor x GL Analysis'!AC$20,'[1]NS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AD26" s="18">
        <f>IF(AND(AD$15="Actual",ISBLANK($E$8)),SUMIFS('[1]NS Vendor Details'!$D:$D,'[1]NS Vendor Details'!$H:$H,'G&amp;A Vendor x GL Analysis'!AD$20,'[1]NS Vendor Details'!$L:$L,'G&amp;A Vendor x GL Analysis'!$D26,'[1]NS Vendor Details'!$O:$O,'G&amp;A Vendor x GL Analysis'!$F26,'[1]NS Vendor Details'!$N:$N,'G&amp;A Vendor x GL Analysis'!$C26,'[1]NS Vendor Details'!$I:$I,'G&amp;A Vendor x GL Analysis'!$E26),IF(AD$15="Actual",SUMIFS('[1]NS Vendor Details'!$D:$D,'[1]NS Vendor Details'!$H:$H,'G&amp;A Vendor x GL Analysis'!AD$20,'[1]NS Vendor Details'!$L:$L,'G&amp;A Vendor x GL Analysis'!$D26,'[1]NS Vendor Details'!$O:$O,'G&amp;A Vendor x GL Analysis'!$F26,'[1]NS Vendor Details'!$N:$N,'G&amp;A Vendor x GL Analysis'!$C26,'[1]NS Vendor Details'!$K:$K,'G&amp;A Vendor x GL Analysis'!$E$8,'[1]NS Vendor Details'!$I:$I,'G&amp;A Vendor x GL Analysis'!$E26),0))</f>
        <v>0</v>
      </c>
      <c r="AF26" s="19">
        <f t="shared" si="9"/>
        <v>20718.400000000001</v>
      </c>
    </row>
    <row r="27" spans="1:32" outlineLevel="1">
      <c r="A27" s="8" t="str">
        <f t="shared" si="8"/>
        <v>Advertising6282 - Royalty Expense</v>
      </c>
      <c r="C27" s="8" t="s">
        <v>11</v>
      </c>
      <c r="D27" s="8" t="str">
        <f t="shared" si="10"/>
        <v>Advertising</v>
      </c>
      <c r="E27" s="2" t="s">
        <v>17</v>
      </c>
      <c r="F27" s="2" t="s">
        <v>16</v>
      </c>
      <c r="G27" s="16">
        <f>IF(AND(G$15="Actual",ISBLANK($E$8)),SUMIFS('[1]NS Vendor Details'!$D:$D,'[1]NS Vendor Details'!$H:$H,'G&amp;A Vendor x GL Analysis'!G$20,'[1]NS Vendor Details'!$L:$L,'G&amp;A Vendor x GL Analysis'!$D27,'[1]NS Vendor Details'!$O:$O,'G&amp;A Vendor x GL Analysis'!$F27,'[1]NS Vendor Details'!$N:$N,'G&amp;A Vendor x GL Analysis'!$C27),IF(G$15="Actual",SUMIFS('[1]NS Vendor Details'!$D:$D,'[1]NS Vendor Details'!$H:$H,'G&amp;A Vendor x GL Analysis'!G$20,'[1]NS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-19852.71</v>
      </c>
      <c r="H27" s="17">
        <f>IF(AND(H$15="Actual",ISBLANK($E$8)),SUMIFS('[1]NS Vendor Details'!$D:$D,'[1]NS Vendor Details'!$H:$H,'G&amp;A Vendor x GL Analysis'!H$20,'[1]NS Vendor Details'!$L:$L,'G&amp;A Vendor x GL Analysis'!$D27,'[1]NS Vendor Details'!$O:$O,'G&amp;A Vendor x GL Analysis'!$F27,'[1]NS Vendor Details'!$N:$N,'G&amp;A Vendor x GL Analysis'!$C27),IF(H$15="Actual",SUMIFS('[1]NS Vendor Details'!$D:$D,'[1]NS Vendor Details'!$H:$H,'G&amp;A Vendor x GL Analysis'!H$20,'[1]NS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895.77</v>
      </c>
      <c r="I27" s="17">
        <f>IF(AND(I$15="Actual",ISBLANK($E$8)),SUMIFS('[1]NS Vendor Details'!$D:$D,'[1]NS Vendor Details'!$H:$H,'G&amp;A Vendor x GL Analysis'!I$20,'[1]NS Vendor Details'!$L:$L,'G&amp;A Vendor x GL Analysis'!$D27,'[1]NS Vendor Details'!$O:$O,'G&amp;A Vendor x GL Analysis'!$F27,'[1]NS Vendor Details'!$N:$N,'G&amp;A Vendor x GL Analysis'!$C27),IF(I$15="Actual",SUMIFS('[1]NS Vendor Details'!$D:$D,'[1]NS Vendor Details'!$H:$H,'G&amp;A Vendor x GL Analysis'!I$20,'[1]NS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47270.03</v>
      </c>
      <c r="J27" s="17">
        <f>IF(AND(J$15="Actual",ISBLANK($E$8)),SUMIFS('[1]NS Vendor Details'!$D:$D,'[1]NS Vendor Details'!$H:$H,'G&amp;A Vendor x GL Analysis'!J$20,'[1]NS Vendor Details'!$L:$L,'G&amp;A Vendor x GL Analysis'!$D27,'[1]NS Vendor Details'!$O:$O,'G&amp;A Vendor x GL Analysis'!$F27,'[1]NS Vendor Details'!$N:$N,'G&amp;A Vendor x GL Analysis'!$C27),IF(J$15="Actual",SUMIFS('[1]NS Vendor Details'!$D:$D,'[1]NS Vendor Details'!$H:$H,'G&amp;A Vendor x GL Analysis'!J$20,'[1]NS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37784.42</v>
      </c>
      <c r="K27" s="17">
        <f>IF(AND(K$15="Actual",ISBLANK($E$8)),SUMIFS('[1]NS Vendor Details'!$D:$D,'[1]NS Vendor Details'!$H:$H,'G&amp;A Vendor x GL Analysis'!K$20,'[1]NS Vendor Details'!$L:$L,'G&amp;A Vendor x GL Analysis'!$D27,'[1]NS Vendor Details'!$O:$O,'G&amp;A Vendor x GL Analysis'!$F27,'[1]NS Vendor Details'!$N:$N,'G&amp;A Vendor x GL Analysis'!$C27),IF(K$15="Actual",SUMIFS('[1]NS Vendor Details'!$D:$D,'[1]NS Vendor Details'!$H:$H,'G&amp;A Vendor x GL Analysis'!K$20,'[1]NS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37718.04</v>
      </c>
      <c r="L27" s="17">
        <f>IF(AND(L$15="Actual",ISBLANK($E$8)),SUMIFS('[1]NS Vendor Details'!$D:$D,'[1]NS Vendor Details'!$H:$H,'G&amp;A Vendor x GL Analysis'!L$20,'[1]NS Vendor Details'!$L:$L,'G&amp;A Vendor x GL Analysis'!$D27,'[1]NS Vendor Details'!$O:$O,'G&amp;A Vendor x GL Analysis'!$F27,'[1]NS Vendor Details'!$N:$N,'G&amp;A Vendor x GL Analysis'!$C27),IF(L$15="Actual",SUMIFS('[1]NS Vendor Details'!$D:$D,'[1]NS Vendor Details'!$H:$H,'G&amp;A Vendor x GL Analysis'!L$20,'[1]NS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40369.25</v>
      </c>
      <c r="M27" s="17">
        <f>IF(AND(M$15="Actual",ISBLANK($E$8)),SUMIFS('[1]NS Vendor Details'!$D:$D,'[1]NS Vendor Details'!$H:$H,'G&amp;A Vendor x GL Analysis'!M$20,'[1]NS Vendor Details'!$L:$L,'G&amp;A Vendor x GL Analysis'!$D27,'[1]NS Vendor Details'!$O:$O,'G&amp;A Vendor x GL Analysis'!$F27,'[1]NS Vendor Details'!$N:$N,'G&amp;A Vendor x GL Analysis'!$C27),IF(M$15="Actual",SUMIFS('[1]NS Vendor Details'!$D:$D,'[1]NS Vendor Details'!$H:$H,'G&amp;A Vendor x GL Analysis'!M$20,'[1]NS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50892.76</v>
      </c>
      <c r="N27" s="17">
        <f>IF(AND(N$15="Actual",ISBLANK($E$8)),SUMIFS('[1]NS Vendor Details'!$D:$D,'[1]NS Vendor Details'!$H:$H,'G&amp;A Vendor x GL Analysis'!N$20,'[1]NS Vendor Details'!$L:$L,'G&amp;A Vendor x GL Analysis'!$D27,'[1]NS Vendor Details'!$O:$O,'G&amp;A Vendor x GL Analysis'!$F27,'[1]NS Vendor Details'!$N:$N,'G&amp;A Vendor x GL Analysis'!$C27),IF(N$15="Actual",SUMIFS('[1]NS Vendor Details'!$D:$D,'[1]NS Vendor Details'!$H:$H,'G&amp;A Vendor x GL Analysis'!N$20,'[1]NS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54358.520000000004</v>
      </c>
      <c r="O27" s="17">
        <f>IF(AND(O$15="Actual",ISBLANK($E$8)),SUMIFS('[1]NS Vendor Details'!$D:$D,'[1]NS Vendor Details'!$H:$H,'G&amp;A Vendor x GL Analysis'!O$20,'[1]NS Vendor Details'!$L:$L,'G&amp;A Vendor x GL Analysis'!$D27,'[1]NS Vendor Details'!$O:$O,'G&amp;A Vendor x GL Analysis'!$F27,'[1]NS Vendor Details'!$N:$N,'G&amp;A Vendor x GL Analysis'!$C27),IF(O$15="Actual",SUMIFS('[1]NS Vendor Details'!$D:$D,'[1]NS Vendor Details'!$H:$H,'G&amp;A Vendor x GL Analysis'!O$20,'[1]NS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10154.700000000001</v>
      </c>
      <c r="P27" s="17">
        <f>IF(AND(P$15="Actual",ISBLANK($E$8)),SUMIFS('[1]NS Vendor Details'!$D:$D,'[1]NS Vendor Details'!$H:$H,'G&amp;A Vendor x GL Analysis'!P$20,'[1]NS Vendor Details'!$L:$L,'G&amp;A Vendor x GL Analysis'!$D27,'[1]NS Vendor Details'!$O:$O,'G&amp;A Vendor x GL Analysis'!$F27,'[1]NS Vendor Details'!$N:$N,'G&amp;A Vendor x GL Analysis'!$C27),IF(P$15="Actual",SUMIFS('[1]NS Vendor Details'!$D:$D,'[1]NS Vendor Details'!$H:$H,'G&amp;A Vendor x GL Analysis'!P$20,'[1]NS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22147.269999999997</v>
      </c>
      <c r="Q27" s="17">
        <f>IF(AND(Q$15="Actual",ISBLANK($E$8)),SUMIFS('[1]NS Vendor Details'!$D:$D,'[1]NS Vendor Details'!$H:$H,'G&amp;A Vendor x GL Analysis'!Q$20,'[1]NS Vendor Details'!$L:$L,'G&amp;A Vendor x GL Analysis'!$D27,'[1]NS Vendor Details'!$O:$O,'G&amp;A Vendor x GL Analysis'!$F27,'[1]NS Vendor Details'!$N:$N,'G&amp;A Vendor x GL Analysis'!$C27),IF(Q$15="Actual",SUMIFS('[1]NS Vendor Details'!$D:$D,'[1]NS Vendor Details'!$H:$H,'G&amp;A Vendor x GL Analysis'!Q$20,'[1]NS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9905.1200000000008</v>
      </c>
      <c r="R27" s="18">
        <f>IF(AND(R$15="Actual",ISBLANK($E$8)),SUMIFS('[1]NS Vendor Details'!$D:$D,'[1]NS Vendor Details'!$H:$H,'G&amp;A Vendor x GL Analysis'!R$20,'[1]NS Vendor Details'!$L:$L,'G&amp;A Vendor x GL Analysis'!$D27,'[1]NS Vendor Details'!$O:$O,'G&amp;A Vendor x GL Analysis'!$F27,'[1]NS Vendor Details'!$N:$N,'G&amp;A Vendor x GL Analysis'!$C27),IF(R$15="Actual",SUMIFS('[1]NS Vendor Details'!$D:$D,'[1]NS Vendor Details'!$H:$H,'G&amp;A Vendor x GL Analysis'!R$20,'[1]NS Vendor Details'!$L:$L,'G&amp;A Vendor x GL Analysis'!$D27,'[1]NS Vendor Details'!$O:$O,'G&amp;A Vendor x GL Analysis'!$F27,'[1]NS Vendor Details'!$N:$N,'G&amp;A Vendor x GL Analysis'!$C27,'[1]NS Vendor Details'!$K:$K,'G&amp;A Vendor x GL Analysis'!$E$8),0))</f>
        <v>37431.61</v>
      </c>
      <c r="S27" s="16">
        <f>IF(AND(S$15="Actual",ISBLANK($E$8)),SUMIFS('[1]NS Vendor Details'!$D:$D,'[1]NS Vendor Details'!$H:$H,'G&amp;A Vendor x GL Analysis'!S$20,'[1]NS Vendor Details'!$L:$L,'G&amp;A Vendor x GL Analysis'!$D27,'[1]NS Vendor Details'!$O:$O,'G&amp;A Vendor x GL Analysis'!$F27,'[1]NS Vendor Details'!$N:$N,'G&amp;A Vendor x GL Analysis'!$C27,'[1]NS Vendor Details'!$I:$I,'G&amp;A Vendor x GL Analysis'!$E27),IF(S$15="Actual",SUMIFS('[1]NS Vendor Details'!$D:$D,'[1]NS Vendor Details'!$H:$H,'G&amp;A Vendor x GL Analysis'!S$20,'[1]NS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T27" s="17">
        <f>IF(AND(T$15="Actual",ISBLANK($E$8)),SUMIFS('[1]NS Vendor Details'!$D:$D,'[1]NS Vendor Details'!$H:$H,'G&amp;A Vendor x GL Analysis'!T$20,'[1]NS Vendor Details'!$L:$L,'G&amp;A Vendor x GL Analysis'!$D27,'[1]NS Vendor Details'!$O:$O,'G&amp;A Vendor x GL Analysis'!$F27,'[1]NS Vendor Details'!$N:$N,'G&amp;A Vendor x GL Analysis'!$C27,'[1]NS Vendor Details'!$I:$I,'G&amp;A Vendor x GL Analysis'!$E27),IF(T$15="Actual",SUMIFS('[1]NS Vendor Details'!$D:$D,'[1]NS Vendor Details'!$H:$H,'G&amp;A Vendor x GL Analysis'!T$20,'[1]NS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-20826</v>
      </c>
      <c r="U27" s="17">
        <f>IF(AND(U$15="Actual",ISBLANK($E$8)),SUMIFS('[1]NS Vendor Details'!$D:$D,'[1]NS Vendor Details'!$H:$H,'G&amp;A Vendor x GL Analysis'!U$20,'[1]NS Vendor Details'!$L:$L,'G&amp;A Vendor x GL Analysis'!$D27,'[1]NS Vendor Details'!$O:$O,'G&amp;A Vendor x GL Analysis'!$F27,'[1]NS Vendor Details'!$N:$N,'G&amp;A Vendor x GL Analysis'!$C27,'[1]NS Vendor Details'!$I:$I,'G&amp;A Vendor x GL Analysis'!$E27),IF(U$15="Actual",SUMIFS('[1]NS Vendor Details'!$D:$D,'[1]NS Vendor Details'!$H:$H,'G&amp;A Vendor x GL Analysis'!U$20,'[1]NS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V27" s="17">
        <f>IF(AND(V$15="Actual",ISBLANK($E$8)),SUMIFS('[1]NS Vendor Details'!$D:$D,'[1]NS Vendor Details'!$H:$H,'G&amp;A Vendor x GL Analysis'!V$20,'[1]NS Vendor Details'!$L:$L,'G&amp;A Vendor x GL Analysis'!$D27,'[1]NS Vendor Details'!$O:$O,'G&amp;A Vendor x GL Analysis'!$F27,'[1]NS Vendor Details'!$N:$N,'G&amp;A Vendor x GL Analysis'!$C27,'[1]NS Vendor Details'!$I:$I,'G&amp;A Vendor x GL Analysis'!$E27),IF(V$15="Actual",SUMIFS('[1]NS Vendor Details'!$D:$D,'[1]NS Vendor Details'!$H:$H,'G&amp;A Vendor x GL Analysis'!V$20,'[1]NS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W27" s="17">
        <f>IF(AND(W$15="Actual",ISBLANK($E$8)),SUMIFS('[1]NS Vendor Details'!$D:$D,'[1]NS Vendor Details'!$H:$H,'G&amp;A Vendor x GL Analysis'!W$20,'[1]NS Vendor Details'!$L:$L,'G&amp;A Vendor x GL Analysis'!$D27,'[1]NS Vendor Details'!$O:$O,'G&amp;A Vendor x GL Analysis'!$F27,'[1]NS Vendor Details'!$N:$N,'G&amp;A Vendor x GL Analysis'!$C27,'[1]NS Vendor Details'!$I:$I,'G&amp;A Vendor x GL Analysis'!$E27),IF(W$15="Actual",SUMIFS('[1]NS Vendor Details'!$D:$D,'[1]NS Vendor Details'!$H:$H,'G&amp;A Vendor x GL Analysis'!W$20,'[1]NS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X27" s="17">
        <f>IF(AND(X$15="Actual",ISBLANK($E$8)),SUMIFS('[1]NS Vendor Details'!$D:$D,'[1]NS Vendor Details'!$H:$H,'G&amp;A Vendor x GL Analysis'!X$20,'[1]NS Vendor Details'!$L:$L,'G&amp;A Vendor x GL Analysis'!$D27,'[1]NS Vendor Details'!$O:$O,'G&amp;A Vendor x GL Analysis'!$F27,'[1]NS Vendor Details'!$N:$N,'G&amp;A Vendor x GL Analysis'!$C27,'[1]NS Vendor Details'!$I:$I,'G&amp;A Vendor x GL Analysis'!$E27),IF(X$15="Actual",SUMIFS('[1]NS Vendor Details'!$D:$D,'[1]NS Vendor Details'!$H:$H,'G&amp;A Vendor x GL Analysis'!X$20,'[1]NS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Y27" s="17">
        <f>IF(AND(Y$15="Actual",ISBLANK($E$8)),SUMIFS('[1]NS Vendor Details'!$D:$D,'[1]NS Vendor Details'!$H:$H,'G&amp;A Vendor x GL Analysis'!Y$20,'[1]NS Vendor Details'!$L:$L,'G&amp;A Vendor x GL Analysis'!$D27,'[1]NS Vendor Details'!$O:$O,'G&amp;A Vendor x GL Analysis'!$F27,'[1]NS Vendor Details'!$N:$N,'G&amp;A Vendor x GL Analysis'!$C27,'[1]NS Vendor Details'!$I:$I,'G&amp;A Vendor x GL Analysis'!$E27),IF(Y$15="Actual",SUMIFS('[1]NS Vendor Details'!$D:$D,'[1]NS Vendor Details'!$H:$H,'G&amp;A Vendor x GL Analysis'!Y$20,'[1]NS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Z27" s="17">
        <f>IF(AND(Z$15="Actual",ISBLANK($E$8)),SUMIFS('[1]NS Vendor Details'!$D:$D,'[1]NS Vendor Details'!$H:$H,'G&amp;A Vendor x GL Analysis'!Z$20,'[1]NS Vendor Details'!$L:$L,'G&amp;A Vendor x GL Analysis'!$D27,'[1]NS Vendor Details'!$O:$O,'G&amp;A Vendor x GL Analysis'!$F27,'[1]NS Vendor Details'!$N:$N,'G&amp;A Vendor x GL Analysis'!$C27,'[1]NS Vendor Details'!$I:$I,'G&amp;A Vendor x GL Analysis'!$E27),IF(Z$15="Actual",SUMIFS('[1]NS Vendor Details'!$D:$D,'[1]NS Vendor Details'!$H:$H,'G&amp;A Vendor x GL Analysis'!Z$20,'[1]NS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AA27" s="17">
        <f>IF(AND(AA$15="Actual",ISBLANK($E$8)),SUMIFS('[1]NS Vendor Details'!$D:$D,'[1]NS Vendor Details'!$H:$H,'G&amp;A Vendor x GL Analysis'!AA$20,'[1]NS Vendor Details'!$L:$L,'G&amp;A Vendor x GL Analysis'!$D27,'[1]NS Vendor Details'!$O:$O,'G&amp;A Vendor x GL Analysis'!$F27,'[1]NS Vendor Details'!$N:$N,'G&amp;A Vendor x GL Analysis'!$C27,'[1]NS Vendor Details'!$I:$I,'G&amp;A Vendor x GL Analysis'!$E27),IF(AA$15="Actual",SUMIFS('[1]NS Vendor Details'!$D:$D,'[1]NS Vendor Details'!$H:$H,'G&amp;A Vendor x GL Analysis'!AA$20,'[1]NS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AB27" s="17">
        <f>IF(AND(AB$15="Actual",ISBLANK($E$8)),SUMIFS('[1]NS Vendor Details'!$D:$D,'[1]NS Vendor Details'!$H:$H,'G&amp;A Vendor x GL Analysis'!AB$20,'[1]NS Vendor Details'!$L:$L,'G&amp;A Vendor x GL Analysis'!$D27,'[1]NS Vendor Details'!$O:$O,'G&amp;A Vendor x GL Analysis'!$F27,'[1]NS Vendor Details'!$N:$N,'G&amp;A Vendor x GL Analysis'!$C27,'[1]NS Vendor Details'!$I:$I,'G&amp;A Vendor x GL Analysis'!$E27),IF(AB$15="Actual",SUMIFS('[1]NS Vendor Details'!$D:$D,'[1]NS Vendor Details'!$H:$H,'G&amp;A Vendor x GL Analysis'!AB$20,'[1]NS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AC27" s="18">
        <f>IF(AND(AC$15="Actual",ISBLANK($E$8)),SUMIFS('[1]NS Vendor Details'!$D:$D,'[1]NS Vendor Details'!$H:$H,'G&amp;A Vendor x GL Analysis'!AC$20,'[1]NS Vendor Details'!$L:$L,'G&amp;A Vendor x GL Analysis'!$D27,'[1]NS Vendor Details'!$O:$O,'G&amp;A Vendor x GL Analysis'!$F27,'[1]NS Vendor Details'!$N:$N,'G&amp;A Vendor x GL Analysis'!$C27,'[1]NS Vendor Details'!$I:$I,'G&amp;A Vendor x GL Analysis'!$E27),IF(AC$15="Actual",SUMIFS('[1]NS Vendor Details'!$D:$D,'[1]NS Vendor Details'!$H:$H,'G&amp;A Vendor x GL Analysis'!AC$20,'[1]NS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AD27" s="18">
        <f>IF(AND(AD$15="Actual",ISBLANK($E$8)),SUMIFS('[1]NS Vendor Details'!$D:$D,'[1]NS Vendor Details'!$H:$H,'G&amp;A Vendor x GL Analysis'!AD$20,'[1]NS Vendor Details'!$L:$L,'G&amp;A Vendor x GL Analysis'!$D27,'[1]NS Vendor Details'!$O:$O,'G&amp;A Vendor x GL Analysis'!$F27,'[1]NS Vendor Details'!$N:$N,'G&amp;A Vendor x GL Analysis'!$C27,'[1]NS Vendor Details'!$I:$I,'G&amp;A Vendor x GL Analysis'!$E27),IF(AD$15="Actual",SUMIFS('[1]NS Vendor Details'!$D:$D,'[1]NS Vendor Details'!$H:$H,'G&amp;A Vendor x GL Analysis'!AD$20,'[1]NS Vendor Details'!$L:$L,'G&amp;A Vendor x GL Analysis'!$D27,'[1]NS Vendor Details'!$O:$O,'G&amp;A Vendor x GL Analysis'!$F27,'[1]NS Vendor Details'!$N:$N,'G&amp;A Vendor x GL Analysis'!$C27,'[1]NS Vendor Details'!$K:$K,'G&amp;A Vendor x GL Analysis'!$E$8,'[1]NS Vendor Details'!$I:$I,'G&amp;A Vendor x GL Analysis'!$E27),0))</f>
        <v>0</v>
      </c>
      <c r="AF27" s="19">
        <f t="shared" si="9"/>
        <v>20826</v>
      </c>
    </row>
    <row r="28" spans="1:32" outlineLevel="1">
      <c r="A28" s="8" t="str">
        <f t="shared" si="8"/>
        <v>Advertising6287 - Events</v>
      </c>
      <c r="C28" s="8" t="s">
        <v>11</v>
      </c>
      <c r="D28" s="8" t="str">
        <f t="shared" si="10"/>
        <v>Advertising</v>
      </c>
      <c r="E28" s="2" t="s">
        <v>19</v>
      </c>
      <c r="F28" s="2" t="s">
        <v>16</v>
      </c>
      <c r="G28" s="16">
        <f>IF(AND(G$15="Actual",ISBLANK($E$8)),SUMIFS('[1]NS Vendor Details'!$D:$D,'[1]NS Vendor Details'!$H:$H,'G&amp;A Vendor x GL Analysis'!G$20,'[1]NS Vendor Details'!$L:$L,'G&amp;A Vendor x GL Analysis'!$D28,'[1]NS Vendor Details'!$O:$O,'G&amp;A Vendor x GL Analysis'!$F28,'[1]NS Vendor Details'!$N:$N,'G&amp;A Vendor x GL Analysis'!$C28),IF(G$15="Actual",SUMIFS('[1]NS Vendor Details'!$D:$D,'[1]NS Vendor Details'!$H:$H,'G&amp;A Vendor x GL Analysis'!G$20,'[1]NS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-19852.71</v>
      </c>
      <c r="H28" s="17">
        <f>IF(AND(H$15="Actual",ISBLANK($E$8)),SUMIFS('[1]NS Vendor Details'!$D:$D,'[1]NS Vendor Details'!$H:$H,'G&amp;A Vendor x GL Analysis'!H$20,'[1]NS Vendor Details'!$L:$L,'G&amp;A Vendor x GL Analysis'!$D28,'[1]NS Vendor Details'!$O:$O,'G&amp;A Vendor x GL Analysis'!$F28,'[1]NS Vendor Details'!$N:$N,'G&amp;A Vendor x GL Analysis'!$C28),IF(H$15="Actual",SUMIFS('[1]NS Vendor Details'!$D:$D,'[1]NS Vendor Details'!$H:$H,'G&amp;A Vendor x GL Analysis'!H$20,'[1]NS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895.77</v>
      </c>
      <c r="I28" s="17">
        <f>IF(AND(I$15="Actual",ISBLANK($E$8)),SUMIFS('[1]NS Vendor Details'!$D:$D,'[1]NS Vendor Details'!$H:$H,'G&amp;A Vendor x GL Analysis'!I$20,'[1]NS Vendor Details'!$L:$L,'G&amp;A Vendor x GL Analysis'!$D28,'[1]NS Vendor Details'!$O:$O,'G&amp;A Vendor x GL Analysis'!$F28,'[1]NS Vendor Details'!$N:$N,'G&amp;A Vendor x GL Analysis'!$C28),IF(I$15="Actual",SUMIFS('[1]NS Vendor Details'!$D:$D,'[1]NS Vendor Details'!$H:$H,'G&amp;A Vendor x GL Analysis'!I$20,'[1]NS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47270.03</v>
      </c>
      <c r="J28" s="17">
        <f>IF(AND(J$15="Actual",ISBLANK($E$8)),SUMIFS('[1]NS Vendor Details'!$D:$D,'[1]NS Vendor Details'!$H:$H,'G&amp;A Vendor x GL Analysis'!J$20,'[1]NS Vendor Details'!$L:$L,'G&amp;A Vendor x GL Analysis'!$D28,'[1]NS Vendor Details'!$O:$O,'G&amp;A Vendor x GL Analysis'!$F28,'[1]NS Vendor Details'!$N:$N,'G&amp;A Vendor x GL Analysis'!$C28),IF(J$15="Actual",SUMIFS('[1]NS Vendor Details'!$D:$D,'[1]NS Vendor Details'!$H:$H,'G&amp;A Vendor x GL Analysis'!J$20,'[1]NS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37784.42</v>
      </c>
      <c r="K28" s="17">
        <f>IF(AND(K$15="Actual",ISBLANK($E$8)),SUMIFS('[1]NS Vendor Details'!$D:$D,'[1]NS Vendor Details'!$H:$H,'G&amp;A Vendor x GL Analysis'!K$20,'[1]NS Vendor Details'!$L:$L,'G&amp;A Vendor x GL Analysis'!$D28,'[1]NS Vendor Details'!$O:$O,'G&amp;A Vendor x GL Analysis'!$F28,'[1]NS Vendor Details'!$N:$N,'G&amp;A Vendor x GL Analysis'!$C28),IF(K$15="Actual",SUMIFS('[1]NS Vendor Details'!$D:$D,'[1]NS Vendor Details'!$H:$H,'G&amp;A Vendor x GL Analysis'!K$20,'[1]NS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37718.04</v>
      </c>
      <c r="L28" s="17">
        <f>IF(AND(L$15="Actual",ISBLANK($E$8)),SUMIFS('[1]NS Vendor Details'!$D:$D,'[1]NS Vendor Details'!$H:$H,'G&amp;A Vendor x GL Analysis'!L$20,'[1]NS Vendor Details'!$L:$L,'G&amp;A Vendor x GL Analysis'!$D28,'[1]NS Vendor Details'!$O:$O,'G&amp;A Vendor x GL Analysis'!$F28,'[1]NS Vendor Details'!$N:$N,'G&amp;A Vendor x GL Analysis'!$C28),IF(L$15="Actual",SUMIFS('[1]NS Vendor Details'!$D:$D,'[1]NS Vendor Details'!$H:$H,'G&amp;A Vendor x GL Analysis'!L$20,'[1]NS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40369.25</v>
      </c>
      <c r="M28" s="17">
        <f>IF(AND(M$15="Actual",ISBLANK($E$8)),SUMIFS('[1]NS Vendor Details'!$D:$D,'[1]NS Vendor Details'!$H:$H,'G&amp;A Vendor x GL Analysis'!M$20,'[1]NS Vendor Details'!$L:$L,'G&amp;A Vendor x GL Analysis'!$D28,'[1]NS Vendor Details'!$O:$O,'G&amp;A Vendor x GL Analysis'!$F28,'[1]NS Vendor Details'!$N:$N,'G&amp;A Vendor x GL Analysis'!$C28),IF(M$15="Actual",SUMIFS('[1]NS Vendor Details'!$D:$D,'[1]NS Vendor Details'!$H:$H,'G&amp;A Vendor x GL Analysis'!M$20,'[1]NS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50892.76</v>
      </c>
      <c r="N28" s="17">
        <f>IF(AND(N$15="Actual",ISBLANK($E$8)),SUMIFS('[1]NS Vendor Details'!$D:$D,'[1]NS Vendor Details'!$H:$H,'G&amp;A Vendor x GL Analysis'!N$20,'[1]NS Vendor Details'!$L:$L,'G&amp;A Vendor x GL Analysis'!$D28,'[1]NS Vendor Details'!$O:$O,'G&amp;A Vendor x GL Analysis'!$F28,'[1]NS Vendor Details'!$N:$N,'G&amp;A Vendor x GL Analysis'!$C28),IF(N$15="Actual",SUMIFS('[1]NS Vendor Details'!$D:$D,'[1]NS Vendor Details'!$H:$H,'G&amp;A Vendor x GL Analysis'!N$20,'[1]NS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54358.520000000004</v>
      </c>
      <c r="O28" s="17">
        <f>IF(AND(O$15="Actual",ISBLANK($E$8)),SUMIFS('[1]NS Vendor Details'!$D:$D,'[1]NS Vendor Details'!$H:$H,'G&amp;A Vendor x GL Analysis'!O$20,'[1]NS Vendor Details'!$L:$L,'G&amp;A Vendor x GL Analysis'!$D28,'[1]NS Vendor Details'!$O:$O,'G&amp;A Vendor x GL Analysis'!$F28,'[1]NS Vendor Details'!$N:$N,'G&amp;A Vendor x GL Analysis'!$C28),IF(O$15="Actual",SUMIFS('[1]NS Vendor Details'!$D:$D,'[1]NS Vendor Details'!$H:$H,'G&amp;A Vendor x GL Analysis'!O$20,'[1]NS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10154.700000000001</v>
      </c>
      <c r="P28" s="17">
        <f>IF(AND(P$15="Actual",ISBLANK($E$8)),SUMIFS('[1]NS Vendor Details'!$D:$D,'[1]NS Vendor Details'!$H:$H,'G&amp;A Vendor x GL Analysis'!P$20,'[1]NS Vendor Details'!$L:$L,'G&amp;A Vendor x GL Analysis'!$D28,'[1]NS Vendor Details'!$O:$O,'G&amp;A Vendor x GL Analysis'!$F28,'[1]NS Vendor Details'!$N:$N,'G&amp;A Vendor x GL Analysis'!$C28),IF(P$15="Actual",SUMIFS('[1]NS Vendor Details'!$D:$D,'[1]NS Vendor Details'!$H:$H,'G&amp;A Vendor x GL Analysis'!P$20,'[1]NS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22147.269999999997</v>
      </c>
      <c r="Q28" s="17">
        <f>IF(AND(Q$15="Actual",ISBLANK($E$8)),SUMIFS('[1]NS Vendor Details'!$D:$D,'[1]NS Vendor Details'!$H:$H,'G&amp;A Vendor x GL Analysis'!Q$20,'[1]NS Vendor Details'!$L:$L,'G&amp;A Vendor x GL Analysis'!$D28,'[1]NS Vendor Details'!$O:$O,'G&amp;A Vendor x GL Analysis'!$F28,'[1]NS Vendor Details'!$N:$N,'G&amp;A Vendor x GL Analysis'!$C28),IF(Q$15="Actual",SUMIFS('[1]NS Vendor Details'!$D:$D,'[1]NS Vendor Details'!$H:$H,'G&amp;A Vendor x GL Analysis'!Q$20,'[1]NS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9905.1200000000008</v>
      </c>
      <c r="R28" s="18">
        <f>IF(AND(R$15="Actual",ISBLANK($E$8)),SUMIFS('[1]NS Vendor Details'!$D:$D,'[1]NS Vendor Details'!$H:$H,'G&amp;A Vendor x GL Analysis'!R$20,'[1]NS Vendor Details'!$L:$L,'G&amp;A Vendor x GL Analysis'!$D28,'[1]NS Vendor Details'!$O:$O,'G&amp;A Vendor x GL Analysis'!$F28,'[1]NS Vendor Details'!$N:$N,'G&amp;A Vendor x GL Analysis'!$C28),IF(R$15="Actual",SUMIFS('[1]NS Vendor Details'!$D:$D,'[1]NS Vendor Details'!$H:$H,'G&amp;A Vendor x GL Analysis'!R$20,'[1]NS Vendor Details'!$L:$L,'G&amp;A Vendor x GL Analysis'!$D28,'[1]NS Vendor Details'!$O:$O,'G&amp;A Vendor x GL Analysis'!$F28,'[1]NS Vendor Details'!$N:$N,'G&amp;A Vendor x GL Analysis'!$C28,'[1]NS Vendor Details'!$K:$K,'G&amp;A Vendor x GL Analysis'!$E$8),0))</f>
        <v>37431.61</v>
      </c>
      <c r="S28" s="16">
        <f>IF(AND(S$15="Actual",ISBLANK($E$8)),SUMIFS('[1]NS Vendor Details'!$D:$D,'[1]NS Vendor Details'!$H:$H,'G&amp;A Vendor x GL Analysis'!S$20,'[1]NS Vendor Details'!$L:$L,'G&amp;A Vendor x GL Analysis'!$D28,'[1]NS Vendor Details'!$O:$O,'G&amp;A Vendor x GL Analysis'!$F28,'[1]NS Vendor Details'!$N:$N,'G&amp;A Vendor x GL Analysis'!$C28,'[1]NS Vendor Details'!$I:$I,'G&amp;A Vendor x GL Analysis'!$E28),IF(S$15="Actual",SUMIFS('[1]NS Vendor Details'!$D:$D,'[1]NS Vendor Details'!$H:$H,'G&amp;A Vendor x GL Analysis'!S$20,'[1]NS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T28" s="17">
        <f>IF(AND(T$15="Actual",ISBLANK($E$8)),SUMIFS('[1]NS Vendor Details'!$D:$D,'[1]NS Vendor Details'!$H:$H,'G&amp;A Vendor x GL Analysis'!T$20,'[1]NS Vendor Details'!$L:$L,'G&amp;A Vendor x GL Analysis'!$D28,'[1]NS Vendor Details'!$O:$O,'G&amp;A Vendor x GL Analysis'!$F28,'[1]NS Vendor Details'!$N:$N,'G&amp;A Vendor x GL Analysis'!$C28,'[1]NS Vendor Details'!$I:$I,'G&amp;A Vendor x GL Analysis'!$E28),IF(T$15="Actual",SUMIFS('[1]NS Vendor Details'!$D:$D,'[1]NS Vendor Details'!$H:$H,'G&amp;A Vendor x GL Analysis'!T$20,'[1]NS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U28" s="17">
        <f>IF(AND(U$15="Actual",ISBLANK($E$8)),SUMIFS('[1]NS Vendor Details'!$D:$D,'[1]NS Vendor Details'!$H:$H,'G&amp;A Vendor x GL Analysis'!U$20,'[1]NS Vendor Details'!$L:$L,'G&amp;A Vendor x GL Analysis'!$D28,'[1]NS Vendor Details'!$O:$O,'G&amp;A Vendor x GL Analysis'!$F28,'[1]NS Vendor Details'!$N:$N,'G&amp;A Vendor x GL Analysis'!$C28,'[1]NS Vendor Details'!$I:$I,'G&amp;A Vendor x GL Analysis'!$E28),IF(U$15="Actual",SUMIFS('[1]NS Vendor Details'!$D:$D,'[1]NS Vendor Details'!$H:$H,'G&amp;A Vendor x GL Analysis'!U$20,'[1]NS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V28" s="17">
        <f>IF(AND(V$15="Actual",ISBLANK($E$8)),SUMIFS('[1]NS Vendor Details'!$D:$D,'[1]NS Vendor Details'!$H:$H,'G&amp;A Vendor x GL Analysis'!V$20,'[1]NS Vendor Details'!$L:$L,'G&amp;A Vendor x GL Analysis'!$D28,'[1]NS Vendor Details'!$O:$O,'G&amp;A Vendor x GL Analysis'!$F28,'[1]NS Vendor Details'!$N:$N,'G&amp;A Vendor x GL Analysis'!$C28,'[1]NS Vendor Details'!$I:$I,'G&amp;A Vendor x GL Analysis'!$E28),IF(V$15="Actual",SUMIFS('[1]NS Vendor Details'!$D:$D,'[1]NS Vendor Details'!$H:$H,'G&amp;A Vendor x GL Analysis'!V$20,'[1]NS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W28" s="17">
        <f>IF(AND(W$15="Actual",ISBLANK($E$8)),SUMIFS('[1]NS Vendor Details'!$D:$D,'[1]NS Vendor Details'!$H:$H,'G&amp;A Vendor x GL Analysis'!W$20,'[1]NS Vendor Details'!$L:$L,'G&amp;A Vendor x GL Analysis'!$D28,'[1]NS Vendor Details'!$O:$O,'G&amp;A Vendor x GL Analysis'!$F28,'[1]NS Vendor Details'!$N:$N,'G&amp;A Vendor x GL Analysis'!$C28,'[1]NS Vendor Details'!$I:$I,'G&amp;A Vendor x GL Analysis'!$E28),IF(W$15="Actual",SUMIFS('[1]NS Vendor Details'!$D:$D,'[1]NS Vendor Details'!$H:$H,'G&amp;A Vendor x GL Analysis'!W$20,'[1]NS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X28" s="17">
        <f>IF(AND(X$15="Actual",ISBLANK($E$8)),SUMIFS('[1]NS Vendor Details'!$D:$D,'[1]NS Vendor Details'!$H:$H,'G&amp;A Vendor x GL Analysis'!X$20,'[1]NS Vendor Details'!$L:$L,'G&amp;A Vendor x GL Analysis'!$D28,'[1]NS Vendor Details'!$O:$O,'G&amp;A Vendor x GL Analysis'!$F28,'[1]NS Vendor Details'!$N:$N,'G&amp;A Vendor x GL Analysis'!$C28,'[1]NS Vendor Details'!$I:$I,'G&amp;A Vendor x GL Analysis'!$E28),IF(X$15="Actual",SUMIFS('[1]NS Vendor Details'!$D:$D,'[1]NS Vendor Details'!$H:$H,'G&amp;A Vendor x GL Analysis'!X$20,'[1]NS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Y28" s="17">
        <f>IF(AND(Y$15="Actual",ISBLANK($E$8)),SUMIFS('[1]NS Vendor Details'!$D:$D,'[1]NS Vendor Details'!$H:$H,'G&amp;A Vendor x GL Analysis'!Y$20,'[1]NS Vendor Details'!$L:$L,'G&amp;A Vendor x GL Analysis'!$D28,'[1]NS Vendor Details'!$O:$O,'G&amp;A Vendor x GL Analysis'!$F28,'[1]NS Vendor Details'!$N:$N,'G&amp;A Vendor x GL Analysis'!$C28,'[1]NS Vendor Details'!$I:$I,'G&amp;A Vendor x GL Analysis'!$E28),IF(Y$15="Actual",SUMIFS('[1]NS Vendor Details'!$D:$D,'[1]NS Vendor Details'!$H:$H,'G&amp;A Vendor x GL Analysis'!Y$20,'[1]NS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Z28" s="17">
        <f>IF(AND(Z$15="Actual",ISBLANK($E$8)),SUMIFS('[1]NS Vendor Details'!$D:$D,'[1]NS Vendor Details'!$H:$H,'G&amp;A Vendor x GL Analysis'!Z$20,'[1]NS Vendor Details'!$L:$L,'G&amp;A Vendor x GL Analysis'!$D28,'[1]NS Vendor Details'!$O:$O,'G&amp;A Vendor x GL Analysis'!$F28,'[1]NS Vendor Details'!$N:$N,'G&amp;A Vendor x GL Analysis'!$C28,'[1]NS Vendor Details'!$I:$I,'G&amp;A Vendor x GL Analysis'!$E28),IF(Z$15="Actual",SUMIFS('[1]NS Vendor Details'!$D:$D,'[1]NS Vendor Details'!$H:$H,'G&amp;A Vendor x GL Analysis'!Z$20,'[1]NS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AA28" s="17">
        <f>IF(AND(AA$15="Actual",ISBLANK($E$8)),SUMIFS('[1]NS Vendor Details'!$D:$D,'[1]NS Vendor Details'!$H:$H,'G&amp;A Vendor x GL Analysis'!AA$20,'[1]NS Vendor Details'!$L:$L,'G&amp;A Vendor x GL Analysis'!$D28,'[1]NS Vendor Details'!$O:$O,'G&amp;A Vendor x GL Analysis'!$F28,'[1]NS Vendor Details'!$N:$N,'G&amp;A Vendor x GL Analysis'!$C28,'[1]NS Vendor Details'!$I:$I,'G&amp;A Vendor x GL Analysis'!$E28),IF(AA$15="Actual",SUMIFS('[1]NS Vendor Details'!$D:$D,'[1]NS Vendor Details'!$H:$H,'G&amp;A Vendor x GL Analysis'!AA$20,'[1]NS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33579.69</v>
      </c>
      <c r="AB28" s="17">
        <f>IF(AND(AB$15="Actual",ISBLANK($E$8)),SUMIFS('[1]NS Vendor Details'!$D:$D,'[1]NS Vendor Details'!$H:$H,'G&amp;A Vendor x GL Analysis'!AB$20,'[1]NS Vendor Details'!$L:$L,'G&amp;A Vendor x GL Analysis'!$D28,'[1]NS Vendor Details'!$O:$O,'G&amp;A Vendor x GL Analysis'!$F28,'[1]NS Vendor Details'!$N:$N,'G&amp;A Vendor x GL Analysis'!$C28,'[1]NS Vendor Details'!$I:$I,'G&amp;A Vendor x GL Analysis'!$E28),IF(AB$15="Actual",SUMIFS('[1]NS Vendor Details'!$D:$D,'[1]NS Vendor Details'!$H:$H,'G&amp;A Vendor x GL Analysis'!AB$20,'[1]NS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AC28" s="18">
        <f>IF(AND(AC$15="Actual",ISBLANK($E$8)),SUMIFS('[1]NS Vendor Details'!$D:$D,'[1]NS Vendor Details'!$H:$H,'G&amp;A Vendor x GL Analysis'!AC$20,'[1]NS Vendor Details'!$L:$L,'G&amp;A Vendor x GL Analysis'!$D28,'[1]NS Vendor Details'!$O:$O,'G&amp;A Vendor x GL Analysis'!$F28,'[1]NS Vendor Details'!$N:$N,'G&amp;A Vendor x GL Analysis'!$C28,'[1]NS Vendor Details'!$I:$I,'G&amp;A Vendor x GL Analysis'!$E28),IF(AC$15="Actual",SUMIFS('[1]NS Vendor Details'!$D:$D,'[1]NS Vendor Details'!$H:$H,'G&amp;A Vendor x GL Analysis'!AC$20,'[1]NS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AD28" s="18">
        <f>IF(AND(AD$15="Actual",ISBLANK($E$8)),SUMIFS('[1]NS Vendor Details'!$D:$D,'[1]NS Vendor Details'!$H:$H,'G&amp;A Vendor x GL Analysis'!AD$20,'[1]NS Vendor Details'!$L:$L,'G&amp;A Vendor x GL Analysis'!$D28,'[1]NS Vendor Details'!$O:$O,'G&amp;A Vendor x GL Analysis'!$F28,'[1]NS Vendor Details'!$N:$N,'G&amp;A Vendor x GL Analysis'!$C28,'[1]NS Vendor Details'!$I:$I,'G&amp;A Vendor x GL Analysis'!$E28),IF(AD$15="Actual",SUMIFS('[1]NS Vendor Details'!$D:$D,'[1]NS Vendor Details'!$H:$H,'G&amp;A Vendor x GL Analysis'!AD$20,'[1]NS Vendor Details'!$L:$L,'G&amp;A Vendor x GL Analysis'!$D28,'[1]NS Vendor Details'!$O:$O,'G&amp;A Vendor x GL Analysis'!$F28,'[1]NS Vendor Details'!$N:$N,'G&amp;A Vendor x GL Analysis'!$C28,'[1]NS Vendor Details'!$K:$K,'G&amp;A Vendor x GL Analysis'!$E$8,'[1]NS Vendor Details'!$I:$I,'G&amp;A Vendor x GL Analysis'!$E28),0))</f>
        <v>0</v>
      </c>
      <c r="AF28" s="19">
        <f t="shared" si="9"/>
        <v>33579.69</v>
      </c>
    </row>
    <row r="29" spans="1:32" outlineLevel="1">
      <c r="A29" s="8" t="str">
        <f t="shared" si="8"/>
        <v>Advertising6284 - Advertising</v>
      </c>
      <c r="C29" s="8" t="s">
        <v>11</v>
      </c>
      <c r="D29" s="8" t="str">
        <f>D28</f>
        <v>Advertising</v>
      </c>
      <c r="E29" s="2" t="s">
        <v>20</v>
      </c>
      <c r="F29" s="2" t="s">
        <v>16</v>
      </c>
      <c r="G29" s="16">
        <f>IF(AND(G$15="Actual",ISBLANK($E$8)),SUMIFS('[1]NS Vendor Details'!$D:$D,'[1]NS Vendor Details'!$H:$H,'G&amp;A Vendor x GL Analysis'!G$20,'[1]NS Vendor Details'!$L:$L,'G&amp;A Vendor x GL Analysis'!$D29,'[1]NS Vendor Details'!$O:$O,'G&amp;A Vendor x GL Analysis'!$F29,'[1]NS Vendor Details'!$N:$N,'G&amp;A Vendor x GL Analysis'!$C29),IF(G$15="Actual",SUMIFS('[1]NS Vendor Details'!$D:$D,'[1]NS Vendor Details'!$H:$H,'G&amp;A Vendor x GL Analysis'!G$20,'[1]NS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-19852.71</v>
      </c>
      <c r="H29" s="17">
        <f>IF(AND(H$15="Actual",ISBLANK($E$8)),SUMIFS('[1]NS Vendor Details'!$D:$D,'[1]NS Vendor Details'!$H:$H,'G&amp;A Vendor x GL Analysis'!H$20,'[1]NS Vendor Details'!$L:$L,'G&amp;A Vendor x GL Analysis'!$D29,'[1]NS Vendor Details'!$O:$O,'G&amp;A Vendor x GL Analysis'!$F29,'[1]NS Vendor Details'!$N:$N,'G&amp;A Vendor x GL Analysis'!$C29),IF(H$15="Actual",SUMIFS('[1]NS Vendor Details'!$D:$D,'[1]NS Vendor Details'!$H:$H,'G&amp;A Vendor x GL Analysis'!H$20,'[1]NS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895.77</v>
      </c>
      <c r="I29" s="17">
        <f>IF(AND(I$15="Actual",ISBLANK($E$8)),SUMIFS('[1]NS Vendor Details'!$D:$D,'[1]NS Vendor Details'!$H:$H,'G&amp;A Vendor x GL Analysis'!I$20,'[1]NS Vendor Details'!$L:$L,'G&amp;A Vendor x GL Analysis'!$D29,'[1]NS Vendor Details'!$O:$O,'G&amp;A Vendor x GL Analysis'!$F29,'[1]NS Vendor Details'!$N:$N,'G&amp;A Vendor x GL Analysis'!$C29),IF(I$15="Actual",SUMIFS('[1]NS Vendor Details'!$D:$D,'[1]NS Vendor Details'!$H:$H,'G&amp;A Vendor x GL Analysis'!I$20,'[1]NS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47270.03</v>
      </c>
      <c r="J29" s="17">
        <f>IF(AND(J$15="Actual",ISBLANK($E$8)),SUMIFS('[1]NS Vendor Details'!$D:$D,'[1]NS Vendor Details'!$H:$H,'G&amp;A Vendor x GL Analysis'!J$20,'[1]NS Vendor Details'!$L:$L,'G&amp;A Vendor x GL Analysis'!$D29,'[1]NS Vendor Details'!$O:$O,'G&amp;A Vendor x GL Analysis'!$F29,'[1]NS Vendor Details'!$N:$N,'G&amp;A Vendor x GL Analysis'!$C29),IF(J$15="Actual",SUMIFS('[1]NS Vendor Details'!$D:$D,'[1]NS Vendor Details'!$H:$H,'G&amp;A Vendor x GL Analysis'!J$20,'[1]NS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37784.42</v>
      </c>
      <c r="K29" s="17">
        <f>IF(AND(K$15="Actual",ISBLANK($E$8)),SUMIFS('[1]NS Vendor Details'!$D:$D,'[1]NS Vendor Details'!$H:$H,'G&amp;A Vendor x GL Analysis'!K$20,'[1]NS Vendor Details'!$L:$L,'G&amp;A Vendor x GL Analysis'!$D29,'[1]NS Vendor Details'!$O:$O,'G&amp;A Vendor x GL Analysis'!$F29,'[1]NS Vendor Details'!$N:$N,'G&amp;A Vendor x GL Analysis'!$C29),IF(K$15="Actual",SUMIFS('[1]NS Vendor Details'!$D:$D,'[1]NS Vendor Details'!$H:$H,'G&amp;A Vendor x GL Analysis'!K$20,'[1]NS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37718.04</v>
      </c>
      <c r="L29" s="17">
        <f>IF(AND(L$15="Actual",ISBLANK($E$8)),SUMIFS('[1]NS Vendor Details'!$D:$D,'[1]NS Vendor Details'!$H:$H,'G&amp;A Vendor x GL Analysis'!L$20,'[1]NS Vendor Details'!$L:$L,'G&amp;A Vendor x GL Analysis'!$D29,'[1]NS Vendor Details'!$O:$O,'G&amp;A Vendor x GL Analysis'!$F29,'[1]NS Vendor Details'!$N:$N,'G&amp;A Vendor x GL Analysis'!$C29),IF(L$15="Actual",SUMIFS('[1]NS Vendor Details'!$D:$D,'[1]NS Vendor Details'!$H:$H,'G&amp;A Vendor x GL Analysis'!L$20,'[1]NS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40369.25</v>
      </c>
      <c r="M29" s="17">
        <f>IF(AND(M$15="Actual",ISBLANK($E$8)),SUMIFS('[1]NS Vendor Details'!$D:$D,'[1]NS Vendor Details'!$H:$H,'G&amp;A Vendor x GL Analysis'!M$20,'[1]NS Vendor Details'!$L:$L,'G&amp;A Vendor x GL Analysis'!$D29,'[1]NS Vendor Details'!$O:$O,'G&amp;A Vendor x GL Analysis'!$F29,'[1]NS Vendor Details'!$N:$N,'G&amp;A Vendor x GL Analysis'!$C29),IF(M$15="Actual",SUMIFS('[1]NS Vendor Details'!$D:$D,'[1]NS Vendor Details'!$H:$H,'G&amp;A Vendor x GL Analysis'!M$20,'[1]NS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50892.76</v>
      </c>
      <c r="N29" s="17">
        <f>IF(AND(N$15="Actual",ISBLANK($E$8)),SUMIFS('[1]NS Vendor Details'!$D:$D,'[1]NS Vendor Details'!$H:$H,'G&amp;A Vendor x GL Analysis'!N$20,'[1]NS Vendor Details'!$L:$L,'G&amp;A Vendor x GL Analysis'!$D29,'[1]NS Vendor Details'!$O:$O,'G&amp;A Vendor x GL Analysis'!$F29,'[1]NS Vendor Details'!$N:$N,'G&amp;A Vendor x GL Analysis'!$C29),IF(N$15="Actual",SUMIFS('[1]NS Vendor Details'!$D:$D,'[1]NS Vendor Details'!$H:$H,'G&amp;A Vendor x GL Analysis'!N$20,'[1]NS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54358.520000000004</v>
      </c>
      <c r="O29" s="17">
        <f>IF(AND(O$15="Actual",ISBLANK($E$8)),SUMIFS('[1]NS Vendor Details'!$D:$D,'[1]NS Vendor Details'!$H:$H,'G&amp;A Vendor x GL Analysis'!O$20,'[1]NS Vendor Details'!$L:$L,'G&amp;A Vendor x GL Analysis'!$D29,'[1]NS Vendor Details'!$O:$O,'G&amp;A Vendor x GL Analysis'!$F29,'[1]NS Vendor Details'!$N:$N,'G&amp;A Vendor x GL Analysis'!$C29),IF(O$15="Actual",SUMIFS('[1]NS Vendor Details'!$D:$D,'[1]NS Vendor Details'!$H:$H,'G&amp;A Vendor x GL Analysis'!O$20,'[1]NS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10154.700000000001</v>
      </c>
      <c r="P29" s="17">
        <f>IF(AND(P$15="Actual",ISBLANK($E$8)),SUMIFS('[1]NS Vendor Details'!$D:$D,'[1]NS Vendor Details'!$H:$H,'G&amp;A Vendor x GL Analysis'!P$20,'[1]NS Vendor Details'!$L:$L,'G&amp;A Vendor x GL Analysis'!$D29,'[1]NS Vendor Details'!$O:$O,'G&amp;A Vendor x GL Analysis'!$F29,'[1]NS Vendor Details'!$N:$N,'G&amp;A Vendor x GL Analysis'!$C29),IF(P$15="Actual",SUMIFS('[1]NS Vendor Details'!$D:$D,'[1]NS Vendor Details'!$H:$H,'G&amp;A Vendor x GL Analysis'!P$20,'[1]NS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22147.269999999997</v>
      </c>
      <c r="Q29" s="17">
        <f>IF(AND(Q$15="Actual",ISBLANK($E$8)),SUMIFS('[1]NS Vendor Details'!$D:$D,'[1]NS Vendor Details'!$H:$H,'G&amp;A Vendor x GL Analysis'!Q$20,'[1]NS Vendor Details'!$L:$L,'G&amp;A Vendor x GL Analysis'!$D29,'[1]NS Vendor Details'!$O:$O,'G&amp;A Vendor x GL Analysis'!$F29,'[1]NS Vendor Details'!$N:$N,'G&amp;A Vendor x GL Analysis'!$C29),IF(Q$15="Actual",SUMIFS('[1]NS Vendor Details'!$D:$D,'[1]NS Vendor Details'!$H:$H,'G&amp;A Vendor x GL Analysis'!Q$20,'[1]NS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9905.1200000000008</v>
      </c>
      <c r="R29" s="18">
        <f>IF(AND(R$15="Actual",ISBLANK($E$8)),SUMIFS('[1]NS Vendor Details'!$D:$D,'[1]NS Vendor Details'!$H:$H,'G&amp;A Vendor x GL Analysis'!R$20,'[1]NS Vendor Details'!$L:$L,'G&amp;A Vendor x GL Analysis'!$D29,'[1]NS Vendor Details'!$O:$O,'G&amp;A Vendor x GL Analysis'!$F29,'[1]NS Vendor Details'!$N:$N,'G&amp;A Vendor x GL Analysis'!$C29),IF(R$15="Actual",SUMIFS('[1]NS Vendor Details'!$D:$D,'[1]NS Vendor Details'!$H:$H,'G&amp;A Vendor x GL Analysis'!R$20,'[1]NS Vendor Details'!$L:$L,'G&amp;A Vendor x GL Analysis'!$D29,'[1]NS Vendor Details'!$O:$O,'G&amp;A Vendor x GL Analysis'!$F29,'[1]NS Vendor Details'!$N:$N,'G&amp;A Vendor x GL Analysis'!$C29,'[1]NS Vendor Details'!$K:$K,'G&amp;A Vendor x GL Analysis'!$E$8),0))</f>
        <v>37431.61</v>
      </c>
      <c r="S29" s="16">
        <f>IF(AND(S$15="Actual",ISBLANK($E$8)),SUMIFS('[1]NS Vendor Details'!$D:$D,'[1]NS Vendor Details'!$H:$H,'G&amp;A Vendor x GL Analysis'!S$20,'[1]NS Vendor Details'!$L:$L,'G&amp;A Vendor x GL Analysis'!$D29,'[1]NS Vendor Details'!$O:$O,'G&amp;A Vendor x GL Analysis'!$F29,'[1]NS Vendor Details'!$N:$N,'G&amp;A Vendor x GL Analysis'!$C29,'[1]NS Vendor Details'!$I:$I,'G&amp;A Vendor x GL Analysis'!$E29),IF(S$15="Actual",SUMIFS('[1]NS Vendor Details'!$D:$D,'[1]NS Vendor Details'!$H:$H,'G&amp;A Vendor x GL Analysis'!S$20,'[1]NS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1666.67</v>
      </c>
      <c r="T29" s="17">
        <f>IF(AND(T$15="Actual",ISBLANK($E$8)),SUMIFS('[1]NS Vendor Details'!$D:$D,'[1]NS Vendor Details'!$H:$H,'G&amp;A Vendor x GL Analysis'!T$20,'[1]NS Vendor Details'!$L:$L,'G&amp;A Vendor x GL Analysis'!$D29,'[1]NS Vendor Details'!$O:$O,'G&amp;A Vendor x GL Analysis'!$F29,'[1]NS Vendor Details'!$N:$N,'G&amp;A Vendor x GL Analysis'!$C29,'[1]NS Vendor Details'!$I:$I,'G&amp;A Vendor x GL Analysis'!$E29),IF(T$15="Actual",SUMIFS('[1]NS Vendor Details'!$D:$D,'[1]NS Vendor Details'!$H:$H,'G&amp;A Vendor x GL Analysis'!T$20,'[1]NS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1666.66</v>
      </c>
      <c r="U29" s="17">
        <f>IF(AND(U$15="Actual",ISBLANK($E$8)),SUMIFS('[1]NS Vendor Details'!$D:$D,'[1]NS Vendor Details'!$H:$H,'G&amp;A Vendor x GL Analysis'!U$20,'[1]NS Vendor Details'!$L:$L,'G&amp;A Vendor x GL Analysis'!$D29,'[1]NS Vendor Details'!$O:$O,'G&amp;A Vendor x GL Analysis'!$F29,'[1]NS Vendor Details'!$N:$N,'G&amp;A Vendor x GL Analysis'!$C29,'[1]NS Vendor Details'!$I:$I,'G&amp;A Vendor x GL Analysis'!$E29),IF(U$15="Actual",SUMIFS('[1]NS Vendor Details'!$D:$D,'[1]NS Vendor Details'!$H:$H,'G&amp;A Vendor x GL Analysis'!U$20,'[1]NS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0</v>
      </c>
      <c r="V29" s="17">
        <f>IF(AND(V$15="Actual",ISBLANK($E$8)),SUMIFS('[1]NS Vendor Details'!$D:$D,'[1]NS Vendor Details'!$H:$H,'G&amp;A Vendor x GL Analysis'!V$20,'[1]NS Vendor Details'!$L:$L,'G&amp;A Vendor x GL Analysis'!$D29,'[1]NS Vendor Details'!$O:$O,'G&amp;A Vendor x GL Analysis'!$F29,'[1]NS Vendor Details'!$N:$N,'G&amp;A Vendor x GL Analysis'!$C29,'[1]NS Vendor Details'!$I:$I,'G&amp;A Vendor x GL Analysis'!$E29),IF(V$15="Actual",SUMIFS('[1]NS Vendor Details'!$D:$D,'[1]NS Vendor Details'!$H:$H,'G&amp;A Vendor x GL Analysis'!V$20,'[1]NS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0</v>
      </c>
      <c r="W29" s="17">
        <f>IF(AND(W$15="Actual",ISBLANK($E$8)),SUMIFS('[1]NS Vendor Details'!$D:$D,'[1]NS Vendor Details'!$H:$H,'G&amp;A Vendor x GL Analysis'!W$20,'[1]NS Vendor Details'!$L:$L,'G&amp;A Vendor x GL Analysis'!$D29,'[1]NS Vendor Details'!$O:$O,'G&amp;A Vendor x GL Analysis'!$F29,'[1]NS Vendor Details'!$N:$N,'G&amp;A Vendor x GL Analysis'!$C29,'[1]NS Vendor Details'!$I:$I,'G&amp;A Vendor x GL Analysis'!$E29),IF(W$15="Actual",SUMIFS('[1]NS Vendor Details'!$D:$D,'[1]NS Vendor Details'!$H:$H,'G&amp;A Vendor x GL Analysis'!W$20,'[1]NS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3333.33</v>
      </c>
      <c r="X29" s="17">
        <f>IF(AND(X$15="Actual",ISBLANK($E$8)),SUMIFS('[1]NS Vendor Details'!$D:$D,'[1]NS Vendor Details'!$H:$H,'G&amp;A Vendor x GL Analysis'!X$20,'[1]NS Vendor Details'!$L:$L,'G&amp;A Vendor x GL Analysis'!$D29,'[1]NS Vendor Details'!$O:$O,'G&amp;A Vendor x GL Analysis'!$F29,'[1]NS Vendor Details'!$N:$N,'G&amp;A Vendor x GL Analysis'!$C29,'[1]NS Vendor Details'!$I:$I,'G&amp;A Vendor x GL Analysis'!$E29),IF(X$15="Actual",SUMIFS('[1]NS Vendor Details'!$D:$D,'[1]NS Vendor Details'!$H:$H,'G&amp;A Vendor x GL Analysis'!X$20,'[1]NS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2500.0100000000002</v>
      </c>
      <c r="Y29" s="17">
        <f>IF(AND(Y$15="Actual",ISBLANK($E$8)),SUMIFS('[1]NS Vendor Details'!$D:$D,'[1]NS Vendor Details'!$H:$H,'G&amp;A Vendor x GL Analysis'!Y$20,'[1]NS Vendor Details'!$L:$L,'G&amp;A Vendor x GL Analysis'!$D29,'[1]NS Vendor Details'!$O:$O,'G&amp;A Vendor x GL Analysis'!$F29,'[1]NS Vendor Details'!$N:$N,'G&amp;A Vendor x GL Analysis'!$C29,'[1]NS Vendor Details'!$I:$I,'G&amp;A Vendor x GL Analysis'!$E29),IF(Y$15="Actual",SUMIFS('[1]NS Vendor Details'!$D:$D,'[1]NS Vendor Details'!$H:$H,'G&amp;A Vendor x GL Analysis'!Y$20,'[1]NS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4166.67</v>
      </c>
      <c r="Z29" s="17">
        <f>IF(AND(Z$15="Actual",ISBLANK($E$8)),SUMIFS('[1]NS Vendor Details'!$D:$D,'[1]NS Vendor Details'!$H:$H,'G&amp;A Vendor x GL Analysis'!Z$20,'[1]NS Vendor Details'!$L:$L,'G&amp;A Vendor x GL Analysis'!$D29,'[1]NS Vendor Details'!$O:$O,'G&amp;A Vendor x GL Analysis'!$F29,'[1]NS Vendor Details'!$N:$N,'G&amp;A Vendor x GL Analysis'!$C29,'[1]NS Vendor Details'!$I:$I,'G&amp;A Vendor x GL Analysis'!$E29),IF(Z$15="Actual",SUMIFS('[1]NS Vendor Details'!$D:$D,'[1]NS Vendor Details'!$H:$H,'G&amp;A Vendor x GL Analysis'!Z$20,'[1]NS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4166.66</v>
      </c>
      <c r="AA29" s="17">
        <f>IF(AND(AA$15="Actual",ISBLANK($E$8)),SUMIFS('[1]NS Vendor Details'!$D:$D,'[1]NS Vendor Details'!$H:$H,'G&amp;A Vendor x GL Analysis'!AA$20,'[1]NS Vendor Details'!$L:$L,'G&amp;A Vendor x GL Analysis'!$D29,'[1]NS Vendor Details'!$O:$O,'G&amp;A Vendor x GL Analysis'!$F29,'[1]NS Vendor Details'!$N:$N,'G&amp;A Vendor x GL Analysis'!$C29,'[1]NS Vendor Details'!$I:$I,'G&amp;A Vendor x GL Analysis'!$E29),IF(AA$15="Actual",SUMIFS('[1]NS Vendor Details'!$D:$D,'[1]NS Vendor Details'!$H:$H,'G&amp;A Vendor x GL Analysis'!AA$20,'[1]NS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3333.34</v>
      </c>
      <c r="AB29" s="17">
        <f>IF(AND(AB$15="Actual",ISBLANK($E$8)),SUMIFS('[1]NS Vendor Details'!$D:$D,'[1]NS Vendor Details'!$H:$H,'G&amp;A Vendor x GL Analysis'!AB$20,'[1]NS Vendor Details'!$L:$L,'G&amp;A Vendor x GL Analysis'!$D29,'[1]NS Vendor Details'!$O:$O,'G&amp;A Vendor x GL Analysis'!$F29,'[1]NS Vendor Details'!$N:$N,'G&amp;A Vendor x GL Analysis'!$C29,'[1]NS Vendor Details'!$I:$I,'G&amp;A Vendor x GL Analysis'!$E29),IF(AB$15="Actual",SUMIFS('[1]NS Vendor Details'!$D:$D,'[1]NS Vendor Details'!$H:$H,'G&amp;A Vendor x GL Analysis'!AB$20,'[1]NS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0</v>
      </c>
      <c r="AC29" s="18">
        <f>IF(AND(AC$15="Actual",ISBLANK($E$8)),SUMIFS('[1]NS Vendor Details'!$D:$D,'[1]NS Vendor Details'!$H:$H,'G&amp;A Vendor x GL Analysis'!AC$20,'[1]NS Vendor Details'!$L:$L,'G&amp;A Vendor x GL Analysis'!$D29,'[1]NS Vendor Details'!$O:$O,'G&amp;A Vendor x GL Analysis'!$F29,'[1]NS Vendor Details'!$N:$N,'G&amp;A Vendor x GL Analysis'!$C29,'[1]NS Vendor Details'!$I:$I,'G&amp;A Vendor x GL Analysis'!$E29),IF(AC$15="Actual",SUMIFS('[1]NS Vendor Details'!$D:$D,'[1]NS Vendor Details'!$H:$H,'G&amp;A Vendor x GL Analysis'!AC$20,'[1]NS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0</v>
      </c>
      <c r="AD29" s="18">
        <f>IF(AND(AD$15="Actual",ISBLANK($E$8)),SUMIFS('[1]NS Vendor Details'!$D:$D,'[1]NS Vendor Details'!$H:$H,'G&amp;A Vendor x GL Analysis'!AD$20,'[1]NS Vendor Details'!$L:$L,'G&amp;A Vendor x GL Analysis'!$D29,'[1]NS Vendor Details'!$O:$O,'G&amp;A Vendor x GL Analysis'!$F29,'[1]NS Vendor Details'!$N:$N,'G&amp;A Vendor x GL Analysis'!$C29,'[1]NS Vendor Details'!$I:$I,'G&amp;A Vendor x GL Analysis'!$E29),IF(AD$15="Actual",SUMIFS('[1]NS Vendor Details'!$D:$D,'[1]NS Vendor Details'!$H:$H,'G&amp;A Vendor x GL Analysis'!AD$20,'[1]NS Vendor Details'!$L:$L,'G&amp;A Vendor x GL Analysis'!$D29,'[1]NS Vendor Details'!$O:$O,'G&amp;A Vendor x GL Analysis'!$F29,'[1]NS Vendor Details'!$N:$N,'G&amp;A Vendor x GL Analysis'!$C29,'[1]NS Vendor Details'!$K:$K,'G&amp;A Vendor x GL Analysis'!$E$8,'[1]NS Vendor Details'!$I:$I,'G&amp;A Vendor x GL Analysis'!$E29),0))</f>
        <v>0</v>
      </c>
      <c r="AF29" s="19">
        <f t="shared" si="9"/>
        <v>20833.34</v>
      </c>
    </row>
    <row r="30" spans="1:32" outlineLevel="1">
      <c r="A30" s="8" t="str">
        <f t="shared" si="8"/>
        <v>Advertising6285 - SEM Brand Marketing</v>
      </c>
      <c r="C30" s="8" t="s">
        <v>11</v>
      </c>
      <c r="D30" s="8" t="str">
        <f t="shared" si="10"/>
        <v>Advertising</v>
      </c>
      <c r="E30" s="2" t="s">
        <v>21</v>
      </c>
      <c r="F30" s="2" t="s">
        <v>22</v>
      </c>
      <c r="G30" s="16">
        <f>IF(AND(G$15="Actual",ISBLANK($E$8)),SUMIFS('[1]NS Vendor Details'!$D:$D,'[1]NS Vendor Details'!$H:$H,'G&amp;A Vendor x GL Analysis'!G$20,'[1]NS Vendor Details'!$L:$L,'G&amp;A Vendor x GL Analysis'!$D30,'[1]NS Vendor Details'!$O:$O,'G&amp;A Vendor x GL Analysis'!$F30,'[1]NS Vendor Details'!$N:$N,'G&amp;A Vendor x GL Analysis'!$C30),IF(G$15="Actual",SUMIFS('[1]NS Vendor Details'!$D:$D,'[1]NS Vendor Details'!$H:$H,'G&amp;A Vendor x GL Analysis'!G$20,'[1]NS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H30" s="17">
        <f>IF(AND(H$15="Actual",ISBLANK($E$8)),SUMIFS('[1]NS Vendor Details'!$D:$D,'[1]NS Vendor Details'!$H:$H,'G&amp;A Vendor x GL Analysis'!H$20,'[1]NS Vendor Details'!$L:$L,'G&amp;A Vendor x GL Analysis'!$D30,'[1]NS Vendor Details'!$O:$O,'G&amp;A Vendor x GL Analysis'!$F30,'[1]NS Vendor Details'!$N:$N,'G&amp;A Vendor x GL Analysis'!$C30),IF(H$15="Actual",SUMIFS('[1]NS Vendor Details'!$D:$D,'[1]NS Vendor Details'!$H:$H,'G&amp;A Vendor x GL Analysis'!H$20,'[1]NS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I30" s="17">
        <f>IF(AND(I$15="Actual",ISBLANK($E$8)),SUMIFS('[1]NS Vendor Details'!$D:$D,'[1]NS Vendor Details'!$H:$H,'G&amp;A Vendor x GL Analysis'!I$20,'[1]NS Vendor Details'!$L:$L,'G&amp;A Vendor x GL Analysis'!$D30,'[1]NS Vendor Details'!$O:$O,'G&amp;A Vendor x GL Analysis'!$F30,'[1]NS Vendor Details'!$N:$N,'G&amp;A Vendor x GL Analysis'!$C30),IF(I$15="Actual",SUMIFS('[1]NS Vendor Details'!$D:$D,'[1]NS Vendor Details'!$H:$H,'G&amp;A Vendor x GL Analysis'!I$20,'[1]NS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J30" s="17">
        <f>IF(AND(J$15="Actual",ISBLANK($E$8)),SUMIFS('[1]NS Vendor Details'!$D:$D,'[1]NS Vendor Details'!$H:$H,'G&amp;A Vendor x GL Analysis'!J$20,'[1]NS Vendor Details'!$L:$L,'G&amp;A Vendor x GL Analysis'!$D30,'[1]NS Vendor Details'!$O:$O,'G&amp;A Vendor x GL Analysis'!$F30,'[1]NS Vendor Details'!$N:$N,'G&amp;A Vendor x GL Analysis'!$C30),IF(J$15="Actual",SUMIFS('[1]NS Vendor Details'!$D:$D,'[1]NS Vendor Details'!$H:$H,'G&amp;A Vendor x GL Analysis'!J$20,'[1]NS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K30" s="17">
        <f>IF(AND(K$15="Actual",ISBLANK($E$8)),SUMIFS('[1]NS Vendor Details'!$D:$D,'[1]NS Vendor Details'!$H:$H,'G&amp;A Vendor x GL Analysis'!K$20,'[1]NS Vendor Details'!$L:$L,'G&amp;A Vendor x GL Analysis'!$D30,'[1]NS Vendor Details'!$O:$O,'G&amp;A Vendor x GL Analysis'!$F30,'[1]NS Vendor Details'!$N:$N,'G&amp;A Vendor x GL Analysis'!$C30),IF(K$15="Actual",SUMIFS('[1]NS Vendor Details'!$D:$D,'[1]NS Vendor Details'!$H:$H,'G&amp;A Vendor x GL Analysis'!K$20,'[1]NS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L30" s="17">
        <f>IF(AND(L$15="Actual",ISBLANK($E$8)),SUMIFS('[1]NS Vendor Details'!$D:$D,'[1]NS Vendor Details'!$H:$H,'G&amp;A Vendor x GL Analysis'!L$20,'[1]NS Vendor Details'!$L:$L,'G&amp;A Vendor x GL Analysis'!$D30,'[1]NS Vendor Details'!$O:$O,'G&amp;A Vendor x GL Analysis'!$F30,'[1]NS Vendor Details'!$N:$N,'G&amp;A Vendor x GL Analysis'!$C30),IF(L$15="Actual",SUMIFS('[1]NS Vendor Details'!$D:$D,'[1]NS Vendor Details'!$H:$H,'G&amp;A Vendor x GL Analysis'!L$20,'[1]NS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M30" s="17">
        <f>IF(AND(M$15="Actual",ISBLANK($E$8)),SUMIFS('[1]NS Vendor Details'!$D:$D,'[1]NS Vendor Details'!$H:$H,'G&amp;A Vendor x GL Analysis'!M$20,'[1]NS Vendor Details'!$L:$L,'G&amp;A Vendor x GL Analysis'!$D30,'[1]NS Vendor Details'!$O:$O,'G&amp;A Vendor x GL Analysis'!$F30,'[1]NS Vendor Details'!$N:$N,'G&amp;A Vendor x GL Analysis'!$C30),IF(M$15="Actual",SUMIFS('[1]NS Vendor Details'!$D:$D,'[1]NS Vendor Details'!$H:$H,'G&amp;A Vendor x GL Analysis'!M$20,'[1]NS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N30" s="17">
        <f>IF(AND(N$15="Actual",ISBLANK($E$8)),SUMIFS('[1]NS Vendor Details'!$D:$D,'[1]NS Vendor Details'!$H:$H,'G&amp;A Vendor x GL Analysis'!N$20,'[1]NS Vendor Details'!$L:$L,'G&amp;A Vendor x GL Analysis'!$D30,'[1]NS Vendor Details'!$O:$O,'G&amp;A Vendor x GL Analysis'!$F30,'[1]NS Vendor Details'!$N:$N,'G&amp;A Vendor x GL Analysis'!$C30),IF(N$15="Actual",SUMIFS('[1]NS Vendor Details'!$D:$D,'[1]NS Vendor Details'!$H:$H,'G&amp;A Vendor x GL Analysis'!N$20,'[1]NS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O30" s="17">
        <f>IF(AND(O$15="Actual",ISBLANK($E$8)),SUMIFS('[1]NS Vendor Details'!$D:$D,'[1]NS Vendor Details'!$H:$H,'G&amp;A Vendor x GL Analysis'!O$20,'[1]NS Vendor Details'!$L:$L,'G&amp;A Vendor x GL Analysis'!$D30,'[1]NS Vendor Details'!$O:$O,'G&amp;A Vendor x GL Analysis'!$F30,'[1]NS Vendor Details'!$N:$N,'G&amp;A Vendor x GL Analysis'!$C30),IF(O$15="Actual",SUMIFS('[1]NS Vendor Details'!$D:$D,'[1]NS Vendor Details'!$H:$H,'G&amp;A Vendor x GL Analysis'!O$20,'[1]NS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P30" s="17">
        <f>IF(AND(P$15="Actual",ISBLANK($E$8)),SUMIFS('[1]NS Vendor Details'!$D:$D,'[1]NS Vendor Details'!$H:$H,'G&amp;A Vendor x GL Analysis'!P$20,'[1]NS Vendor Details'!$L:$L,'G&amp;A Vendor x GL Analysis'!$D30,'[1]NS Vendor Details'!$O:$O,'G&amp;A Vendor x GL Analysis'!$F30,'[1]NS Vendor Details'!$N:$N,'G&amp;A Vendor x GL Analysis'!$C30),IF(P$15="Actual",SUMIFS('[1]NS Vendor Details'!$D:$D,'[1]NS Vendor Details'!$H:$H,'G&amp;A Vendor x GL Analysis'!P$20,'[1]NS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Q30" s="17">
        <f>IF(AND(Q$15="Actual",ISBLANK($E$8)),SUMIFS('[1]NS Vendor Details'!$D:$D,'[1]NS Vendor Details'!$H:$H,'G&amp;A Vendor x GL Analysis'!Q$20,'[1]NS Vendor Details'!$L:$L,'G&amp;A Vendor x GL Analysis'!$D30,'[1]NS Vendor Details'!$O:$O,'G&amp;A Vendor x GL Analysis'!$F30,'[1]NS Vendor Details'!$N:$N,'G&amp;A Vendor x GL Analysis'!$C30),IF(Q$15="Actual",SUMIFS('[1]NS Vendor Details'!$D:$D,'[1]NS Vendor Details'!$H:$H,'G&amp;A Vendor x GL Analysis'!Q$20,'[1]NS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R30" s="18">
        <f>IF(AND(R$15="Actual",ISBLANK($E$8)),SUMIFS('[1]NS Vendor Details'!$D:$D,'[1]NS Vendor Details'!$H:$H,'G&amp;A Vendor x GL Analysis'!R$20,'[1]NS Vendor Details'!$L:$L,'G&amp;A Vendor x GL Analysis'!$D30,'[1]NS Vendor Details'!$O:$O,'G&amp;A Vendor x GL Analysis'!$F30,'[1]NS Vendor Details'!$N:$N,'G&amp;A Vendor x GL Analysis'!$C30),IF(R$15="Actual",SUMIFS('[1]NS Vendor Details'!$D:$D,'[1]NS Vendor Details'!$H:$H,'G&amp;A Vendor x GL Analysis'!R$20,'[1]NS Vendor Details'!$L:$L,'G&amp;A Vendor x GL Analysis'!$D30,'[1]NS Vendor Details'!$O:$O,'G&amp;A Vendor x GL Analysis'!$F30,'[1]NS Vendor Details'!$N:$N,'G&amp;A Vendor x GL Analysis'!$C30,'[1]NS Vendor Details'!$K:$K,'G&amp;A Vendor x GL Analysis'!$E$8),0))</f>
        <v>0</v>
      </c>
      <c r="S30" s="16">
        <f>IF(AND(S$15="Actual",ISBLANK($E$8)),SUMIFS('[1]NS Vendor Details'!$D:$D,'[1]NS Vendor Details'!$H:$H,'G&amp;A Vendor x GL Analysis'!S$20,'[1]NS Vendor Details'!$L:$L,'G&amp;A Vendor x GL Analysis'!$D30,'[1]NS Vendor Details'!$O:$O,'G&amp;A Vendor x GL Analysis'!$F30,'[1]NS Vendor Details'!$N:$N,'G&amp;A Vendor x GL Analysis'!$C30,'[1]NS Vendor Details'!$I:$I,'G&amp;A Vendor x GL Analysis'!$E30),IF(S$15="Actual",SUMIFS('[1]NS Vendor Details'!$D:$D,'[1]NS Vendor Details'!$H:$H,'G&amp;A Vendor x GL Analysis'!S$20,'[1]NS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52909.75</v>
      </c>
      <c r="T30" s="17">
        <f>IF(AND(T$15="Actual",ISBLANK($E$8)),SUMIFS('[1]NS Vendor Details'!$D:$D,'[1]NS Vendor Details'!$H:$H,'G&amp;A Vendor x GL Analysis'!T$20,'[1]NS Vendor Details'!$L:$L,'G&amp;A Vendor x GL Analysis'!$D30,'[1]NS Vendor Details'!$O:$O,'G&amp;A Vendor x GL Analysis'!$F30,'[1]NS Vendor Details'!$N:$N,'G&amp;A Vendor x GL Analysis'!$C30,'[1]NS Vendor Details'!$I:$I,'G&amp;A Vendor x GL Analysis'!$E30),IF(T$15="Actual",SUMIFS('[1]NS Vendor Details'!$D:$D,'[1]NS Vendor Details'!$H:$H,'G&amp;A Vendor x GL Analysis'!T$20,'[1]NS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12846.029999999999</v>
      </c>
      <c r="U30" s="17">
        <f>IF(AND(U$15="Actual",ISBLANK($E$8)),SUMIFS('[1]NS Vendor Details'!$D:$D,'[1]NS Vendor Details'!$H:$H,'G&amp;A Vendor x GL Analysis'!U$20,'[1]NS Vendor Details'!$L:$L,'G&amp;A Vendor x GL Analysis'!$D30,'[1]NS Vendor Details'!$O:$O,'G&amp;A Vendor x GL Analysis'!$F30,'[1]NS Vendor Details'!$N:$N,'G&amp;A Vendor x GL Analysis'!$C30,'[1]NS Vendor Details'!$I:$I,'G&amp;A Vendor x GL Analysis'!$E30),IF(U$15="Actual",SUMIFS('[1]NS Vendor Details'!$D:$D,'[1]NS Vendor Details'!$H:$H,'G&amp;A Vendor x GL Analysis'!U$20,'[1]NS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22779.69</v>
      </c>
      <c r="V30" s="17">
        <f>IF(AND(V$15="Actual",ISBLANK($E$8)),SUMIFS('[1]NS Vendor Details'!$D:$D,'[1]NS Vendor Details'!$H:$H,'G&amp;A Vendor x GL Analysis'!V$20,'[1]NS Vendor Details'!$L:$L,'G&amp;A Vendor x GL Analysis'!$D30,'[1]NS Vendor Details'!$O:$O,'G&amp;A Vendor x GL Analysis'!$F30,'[1]NS Vendor Details'!$N:$N,'G&amp;A Vendor x GL Analysis'!$C30,'[1]NS Vendor Details'!$I:$I,'G&amp;A Vendor x GL Analysis'!$E30),IF(V$15="Actual",SUMIFS('[1]NS Vendor Details'!$D:$D,'[1]NS Vendor Details'!$H:$H,'G&amp;A Vendor x GL Analysis'!V$20,'[1]NS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12363.11</v>
      </c>
      <c r="W30" s="17">
        <f>IF(AND(W$15="Actual",ISBLANK($E$8)),SUMIFS('[1]NS Vendor Details'!$D:$D,'[1]NS Vendor Details'!$H:$H,'G&amp;A Vendor x GL Analysis'!W$20,'[1]NS Vendor Details'!$L:$L,'G&amp;A Vendor x GL Analysis'!$D30,'[1]NS Vendor Details'!$O:$O,'G&amp;A Vendor x GL Analysis'!$F30,'[1]NS Vendor Details'!$N:$N,'G&amp;A Vendor x GL Analysis'!$C30,'[1]NS Vendor Details'!$I:$I,'G&amp;A Vendor x GL Analysis'!$E30),IF(W$15="Actual",SUMIFS('[1]NS Vendor Details'!$D:$D,'[1]NS Vendor Details'!$H:$H,'G&amp;A Vendor x GL Analysis'!W$20,'[1]NS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10850.15</v>
      </c>
      <c r="X30" s="17">
        <f>IF(AND(X$15="Actual",ISBLANK($E$8)),SUMIFS('[1]NS Vendor Details'!$D:$D,'[1]NS Vendor Details'!$H:$H,'G&amp;A Vendor x GL Analysis'!X$20,'[1]NS Vendor Details'!$L:$L,'G&amp;A Vendor x GL Analysis'!$D30,'[1]NS Vendor Details'!$O:$O,'G&amp;A Vendor x GL Analysis'!$F30,'[1]NS Vendor Details'!$N:$N,'G&amp;A Vendor x GL Analysis'!$C30,'[1]NS Vendor Details'!$I:$I,'G&amp;A Vendor x GL Analysis'!$E30),IF(X$15="Actual",SUMIFS('[1]NS Vendor Details'!$D:$D,'[1]NS Vendor Details'!$H:$H,'G&amp;A Vendor x GL Analysis'!X$20,'[1]NS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9524.9</v>
      </c>
      <c r="Y30" s="17">
        <f>IF(AND(Y$15="Actual",ISBLANK($E$8)),SUMIFS('[1]NS Vendor Details'!$D:$D,'[1]NS Vendor Details'!$H:$H,'G&amp;A Vendor x GL Analysis'!Y$20,'[1]NS Vendor Details'!$L:$L,'G&amp;A Vendor x GL Analysis'!$D30,'[1]NS Vendor Details'!$O:$O,'G&amp;A Vendor x GL Analysis'!$F30,'[1]NS Vendor Details'!$N:$N,'G&amp;A Vendor x GL Analysis'!$C30,'[1]NS Vendor Details'!$I:$I,'G&amp;A Vendor x GL Analysis'!$E30),IF(Y$15="Actual",SUMIFS('[1]NS Vendor Details'!$D:$D,'[1]NS Vendor Details'!$H:$H,'G&amp;A Vendor x GL Analysis'!Y$20,'[1]NS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9059.06</v>
      </c>
      <c r="Z30" s="17">
        <f>IF(AND(Z$15="Actual",ISBLANK($E$8)),SUMIFS('[1]NS Vendor Details'!$D:$D,'[1]NS Vendor Details'!$H:$H,'G&amp;A Vendor x GL Analysis'!Z$20,'[1]NS Vendor Details'!$L:$L,'G&amp;A Vendor x GL Analysis'!$D30,'[1]NS Vendor Details'!$O:$O,'G&amp;A Vendor x GL Analysis'!$F30,'[1]NS Vendor Details'!$N:$N,'G&amp;A Vendor x GL Analysis'!$C30,'[1]NS Vendor Details'!$I:$I,'G&amp;A Vendor x GL Analysis'!$E30),IF(Z$15="Actual",SUMIFS('[1]NS Vendor Details'!$D:$D,'[1]NS Vendor Details'!$H:$H,'G&amp;A Vendor x GL Analysis'!Z$20,'[1]NS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13596.89</v>
      </c>
      <c r="AA30" s="17">
        <f>IF(AND(AA$15="Actual",ISBLANK($E$8)),SUMIFS('[1]NS Vendor Details'!$D:$D,'[1]NS Vendor Details'!$H:$H,'G&amp;A Vendor x GL Analysis'!AA$20,'[1]NS Vendor Details'!$L:$L,'G&amp;A Vendor x GL Analysis'!$D30,'[1]NS Vendor Details'!$O:$O,'G&amp;A Vendor x GL Analysis'!$F30,'[1]NS Vendor Details'!$N:$N,'G&amp;A Vendor x GL Analysis'!$C30,'[1]NS Vendor Details'!$I:$I,'G&amp;A Vendor x GL Analysis'!$E30),IF(AA$15="Actual",SUMIFS('[1]NS Vendor Details'!$D:$D,'[1]NS Vendor Details'!$H:$H,'G&amp;A Vendor x GL Analysis'!AA$20,'[1]NS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0</v>
      </c>
      <c r="AB30" s="17">
        <f>IF(AND(AB$15="Actual",ISBLANK($E$8)),SUMIFS('[1]NS Vendor Details'!$D:$D,'[1]NS Vendor Details'!$H:$H,'G&amp;A Vendor x GL Analysis'!AB$20,'[1]NS Vendor Details'!$L:$L,'G&amp;A Vendor x GL Analysis'!$D30,'[1]NS Vendor Details'!$O:$O,'G&amp;A Vendor x GL Analysis'!$F30,'[1]NS Vendor Details'!$N:$N,'G&amp;A Vendor x GL Analysis'!$C30,'[1]NS Vendor Details'!$I:$I,'G&amp;A Vendor x GL Analysis'!$E30),IF(AB$15="Actual",SUMIFS('[1]NS Vendor Details'!$D:$D,'[1]NS Vendor Details'!$H:$H,'G&amp;A Vendor x GL Analysis'!AB$20,'[1]NS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0</v>
      </c>
      <c r="AC30" s="18">
        <f>IF(AND(AC$15="Actual",ISBLANK($E$8)),SUMIFS('[1]NS Vendor Details'!$D:$D,'[1]NS Vendor Details'!$H:$H,'G&amp;A Vendor x GL Analysis'!AC$20,'[1]NS Vendor Details'!$L:$L,'G&amp;A Vendor x GL Analysis'!$D30,'[1]NS Vendor Details'!$O:$O,'G&amp;A Vendor x GL Analysis'!$F30,'[1]NS Vendor Details'!$N:$N,'G&amp;A Vendor x GL Analysis'!$C30,'[1]NS Vendor Details'!$I:$I,'G&amp;A Vendor x GL Analysis'!$E30),IF(AC$15="Actual",SUMIFS('[1]NS Vendor Details'!$D:$D,'[1]NS Vendor Details'!$H:$H,'G&amp;A Vendor x GL Analysis'!AC$20,'[1]NS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0</v>
      </c>
      <c r="AD30" s="18">
        <f>IF(AND(AD$15="Actual",ISBLANK($E$8)),SUMIFS('[1]NS Vendor Details'!$D:$D,'[1]NS Vendor Details'!$H:$H,'G&amp;A Vendor x GL Analysis'!AD$20,'[1]NS Vendor Details'!$L:$L,'G&amp;A Vendor x GL Analysis'!$D30,'[1]NS Vendor Details'!$O:$O,'G&amp;A Vendor x GL Analysis'!$F30,'[1]NS Vendor Details'!$N:$N,'G&amp;A Vendor x GL Analysis'!$C30,'[1]NS Vendor Details'!$I:$I,'G&amp;A Vendor x GL Analysis'!$E30),IF(AD$15="Actual",SUMIFS('[1]NS Vendor Details'!$D:$D,'[1]NS Vendor Details'!$H:$H,'G&amp;A Vendor x GL Analysis'!AD$20,'[1]NS Vendor Details'!$L:$L,'G&amp;A Vendor x GL Analysis'!$D30,'[1]NS Vendor Details'!$O:$O,'G&amp;A Vendor x GL Analysis'!$F30,'[1]NS Vendor Details'!$N:$N,'G&amp;A Vendor x GL Analysis'!$C30,'[1]NS Vendor Details'!$K:$K,'G&amp;A Vendor x GL Analysis'!$E$8,'[1]NS Vendor Details'!$I:$I,'G&amp;A Vendor x GL Analysis'!$E30),0))</f>
        <v>0</v>
      </c>
      <c r="AF30" s="19">
        <f t="shared" si="9"/>
        <v>143929.57999999999</v>
      </c>
    </row>
    <row r="31" spans="1:32" ht="15" outlineLevel="1">
      <c r="A31" s="8" t="str">
        <f t="shared" si="8"/>
        <v>Advertising6288 - Model</v>
      </c>
      <c r="C31" s="8" t="s">
        <v>11</v>
      </c>
      <c r="D31" s="8" t="str">
        <f t="shared" si="10"/>
        <v>Advertising</v>
      </c>
      <c r="E31" s="2" t="s">
        <v>23</v>
      </c>
      <c r="F31" s="2" t="s">
        <v>24</v>
      </c>
      <c r="G31" s="16">
        <f>IF(AND(G$15="Actual",ISBLANK($E$8)),SUMIFS('[1]NS Vendor Details'!$D:$D,'[1]NS Vendor Details'!$H:$H,'G&amp;A Vendor x GL Analysis'!G$20,'[1]NS Vendor Details'!$L:$L,'G&amp;A Vendor x GL Analysis'!$D31,'[1]NS Vendor Details'!$O:$O,'G&amp;A Vendor x GL Analysis'!$F31,'[1]NS Vendor Details'!$N:$N,'G&amp;A Vendor x GL Analysis'!$C31),IF(G$15="Actual",SUMIFS('[1]NS Vendor Details'!$D:$D,'[1]NS Vendor Details'!$H:$H,'G&amp;A Vendor x GL Analysis'!G$20,'[1]NS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H31" s="17">
        <f>IF(AND(H$15="Actual",ISBLANK($E$8)),SUMIFS('[1]NS Vendor Details'!$D:$D,'[1]NS Vendor Details'!$H:$H,'G&amp;A Vendor x GL Analysis'!H$20,'[1]NS Vendor Details'!$L:$L,'G&amp;A Vendor x GL Analysis'!$D31,'[1]NS Vendor Details'!$O:$O,'G&amp;A Vendor x GL Analysis'!$F31,'[1]NS Vendor Details'!$N:$N,'G&amp;A Vendor x GL Analysis'!$C31),IF(H$15="Actual",SUMIFS('[1]NS Vendor Details'!$D:$D,'[1]NS Vendor Details'!$H:$H,'G&amp;A Vendor x GL Analysis'!H$20,'[1]NS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I31" s="17">
        <f>IF(AND(I$15="Actual",ISBLANK($E$8)),SUMIFS('[1]NS Vendor Details'!$D:$D,'[1]NS Vendor Details'!$H:$H,'G&amp;A Vendor x GL Analysis'!I$20,'[1]NS Vendor Details'!$L:$L,'G&amp;A Vendor x GL Analysis'!$D31,'[1]NS Vendor Details'!$O:$O,'G&amp;A Vendor x GL Analysis'!$F31,'[1]NS Vendor Details'!$N:$N,'G&amp;A Vendor x GL Analysis'!$C31),IF(I$15="Actual",SUMIFS('[1]NS Vendor Details'!$D:$D,'[1]NS Vendor Details'!$H:$H,'G&amp;A Vendor x GL Analysis'!I$20,'[1]NS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J31" s="17">
        <f>IF(AND(J$15="Actual",ISBLANK($E$8)),SUMIFS('[1]NS Vendor Details'!$D:$D,'[1]NS Vendor Details'!$H:$H,'G&amp;A Vendor x GL Analysis'!J$20,'[1]NS Vendor Details'!$L:$L,'G&amp;A Vendor x GL Analysis'!$D31,'[1]NS Vendor Details'!$O:$O,'G&amp;A Vendor x GL Analysis'!$F31,'[1]NS Vendor Details'!$N:$N,'G&amp;A Vendor x GL Analysis'!$C31),IF(J$15="Actual",SUMIFS('[1]NS Vendor Details'!$D:$D,'[1]NS Vendor Details'!$H:$H,'G&amp;A Vendor x GL Analysis'!J$20,'[1]NS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K31" s="17">
        <f>IF(AND(K$15="Actual",ISBLANK($E$8)),SUMIFS('[1]NS Vendor Details'!$D:$D,'[1]NS Vendor Details'!$H:$H,'G&amp;A Vendor x GL Analysis'!K$20,'[1]NS Vendor Details'!$L:$L,'G&amp;A Vendor x GL Analysis'!$D31,'[1]NS Vendor Details'!$O:$O,'G&amp;A Vendor x GL Analysis'!$F31,'[1]NS Vendor Details'!$N:$N,'G&amp;A Vendor x GL Analysis'!$C31),IF(K$15="Actual",SUMIFS('[1]NS Vendor Details'!$D:$D,'[1]NS Vendor Details'!$H:$H,'G&amp;A Vendor x GL Analysis'!K$20,'[1]NS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L31" s="17">
        <f>IF(AND(L$15="Actual",ISBLANK($E$8)),SUMIFS('[1]NS Vendor Details'!$D:$D,'[1]NS Vendor Details'!$H:$H,'G&amp;A Vendor x GL Analysis'!L$20,'[1]NS Vendor Details'!$L:$L,'G&amp;A Vendor x GL Analysis'!$D31,'[1]NS Vendor Details'!$O:$O,'G&amp;A Vendor x GL Analysis'!$F31,'[1]NS Vendor Details'!$N:$N,'G&amp;A Vendor x GL Analysis'!$C31),IF(L$15="Actual",SUMIFS('[1]NS Vendor Details'!$D:$D,'[1]NS Vendor Details'!$H:$H,'G&amp;A Vendor x GL Analysis'!L$20,'[1]NS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M31" s="17">
        <f>IF(AND(M$15="Actual",ISBLANK($E$8)),SUMIFS('[1]NS Vendor Details'!$D:$D,'[1]NS Vendor Details'!$H:$H,'G&amp;A Vendor x GL Analysis'!M$20,'[1]NS Vendor Details'!$L:$L,'G&amp;A Vendor x GL Analysis'!$D31,'[1]NS Vendor Details'!$O:$O,'G&amp;A Vendor x GL Analysis'!$F31,'[1]NS Vendor Details'!$N:$N,'G&amp;A Vendor x GL Analysis'!$C31),IF(M$15="Actual",SUMIFS('[1]NS Vendor Details'!$D:$D,'[1]NS Vendor Details'!$H:$H,'G&amp;A Vendor x GL Analysis'!M$20,'[1]NS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N31" s="17">
        <f>IF(AND(N$15="Actual",ISBLANK($E$8)),SUMIFS('[1]NS Vendor Details'!$D:$D,'[1]NS Vendor Details'!$H:$H,'G&amp;A Vendor x GL Analysis'!N$20,'[1]NS Vendor Details'!$L:$L,'G&amp;A Vendor x GL Analysis'!$D31,'[1]NS Vendor Details'!$O:$O,'G&amp;A Vendor x GL Analysis'!$F31,'[1]NS Vendor Details'!$N:$N,'G&amp;A Vendor x GL Analysis'!$C31),IF(N$15="Actual",SUMIFS('[1]NS Vendor Details'!$D:$D,'[1]NS Vendor Details'!$H:$H,'G&amp;A Vendor x GL Analysis'!N$20,'[1]NS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O31" s="17">
        <f>IF(AND(O$15="Actual",ISBLANK($E$8)),SUMIFS('[1]NS Vendor Details'!$D:$D,'[1]NS Vendor Details'!$H:$H,'G&amp;A Vendor x GL Analysis'!O$20,'[1]NS Vendor Details'!$L:$L,'G&amp;A Vendor x GL Analysis'!$D31,'[1]NS Vendor Details'!$O:$O,'G&amp;A Vendor x GL Analysis'!$F31,'[1]NS Vendor Details'!$N:$N,'G&amp;A Vendor x GL Analysis'!$C31),IF(O$15="Actual",SUMIFS('[1]NS Vendor Details'!$D:$D,'[1]NS Vendor Details'!$H:$H,'G&amp;A Vendor x GL Analysis'!O$20,'[1]NS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P31" s="17">
        <f>IF(AND(P$15="Actual",ISBLANK($E$8)),SUMIFS('[1]NS Vendor Details'!$D:$D,'[1]NS Vendor Details'!$H:$H,'G&amp;A Vendor x GL Analysis'!P$20,'[1]NS Vendor Details'!$L:$L,'G&amp;A Vendor x GL Analysis'!$D31,'[1]NS Vendor Details'!$O:$O,'G&amp;A Vendor x GL Analysis'!$F31,'[1]NS Vendor Details'!$N:$N,'G&amp;A Vendor x GL Analysis'!$C31),IF(P$15="Actual",SUMIFS('[1]NS Vendor Details'!$D:$D,'[1]NS Vendor Details'!$H:$H,'G&amp;A Vendor x GL Analysis'!P$20,'[1]NS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Q31" s="17">
        <f>IF(AND(Q$15="Actual",ISBLANK($E$8)),SUMIFS('[1]NS Vendor Details'!$D:$D,'[1]NS Vendor Details'!$H:$H,'G&amp;A Vendor x GL Analysis'!Q$20,'[1]NS Vendor Details'!$L:$L,'G&amp;A Vendor x GL Analysis'!$D31,'[1]NS Vendor Details'!$O:$O,'G&amp;A Vendor x GL Analysis'!$F31,'[1]NS Vendor Details'!$N:$N,'G&amp;A Vendor x GL Analysis'!$C31),IF(Q$15="Actual",SUMIFS('[1]NS Vendor Details'!$D:$D,'[1]NS Vendor Details'!$H:$H,'G&amp;A Vendor x GL Analysis'!Q$20,'[1]NS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0</v>
      </c>
      <c r="R31" s="18">
        <f>IF(AND(R$15="Actual",ISBLANK($E$8)),SUMIFS('[1]NS Vendor Details'!$D:$D,'[1]NS Vendor Details'!$H:$H,'G&amp;A Vendor x GL Analysis'!R$20,'[1]NS Vendor Details'!$L:$L,'G&amp;A Vendor x GL Analysis'!$D31,'[1]NS Vendor Details'!$O:$O,'G&amp;A Vendor x GL Analysis'!$F31,'[1]NS Vendor Details'!$N:$N,'G&amp;A Vendor x GL Analysis'!$C31),IF(R$15="Actual",SUMIFS('[1]NS Vendor Details'!$D:$D,'[1]NS Vendor Details'!$H:$H,'G&amp;A Vendor x GL Analysis'!R$20,'[1]NS Vendor Details'!$L:$L,'G&amp;A Vendor x GL Analysis'!$D31,'[1]NS Vendor Details'!$O:$O,'G&amp;A Vendor x GL Analysis'!$F31,'[1]NS Vendor Details'!$N:$N,'G&amp;A Vendor x GL Analysis'!$C31,'[1]NS Vendor Details'!$K:$K,'G&amp;A Vendor x GL Analysis'!$E$8),0))</f>
        <v>2880</v>
      </c>
      <c r="S31" s="16">
        <f>IF(AND(S$15="Actual",ISBLANK($E$8)),SUMIFS('[1]NS Vendor Details'!$D:$D,'[1]NS Vendor Details'!$H:$H,'G&amp;A Vendor x GL Analysis'!S$20,'[1]NS Vendor Details'!$L:$L,'G&amp;A Vendor x GL Analysis'!$D31,'[1]NS Vendor Details'!$O:$O,'G&amp;A Vendor x GL Analysis'!$F31,'[1]NS Vendor Details'!$N:$N,'G&amp;A Vendor x GL Analysis'!$C31,'[1]NS Vendor Details'!$I:$I,'G&amp;A Vendor x GL Analysis'!$E31),IF(S$15="Actual",SUMIFS('[1]NS Vendor Details'!$D:$D,'[1]NS Vendor Details'!$H:$H,'G&amp;A Vendor x GL Analysis'!S$20,'[1]NS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1440</v>
      </c>
      <c r="T31" s="17">
        <f>IF(AND(T$15="Actual",ISBLANK($E$8)),SUMIFS('[1]NS Vendor Details'!$D:$D,'[1]NS Vendor Details'!$H:$H,'G&amp;A Vendor x GL Analysis'!T$20,'[1]NS Vendor Details'!$L:$L,'G&amp;A Vendor x GL Analysis'!$D31,'[1]NS Vendor Details'!$O:$O,'G&amp;A Vendor x GL Analysis'!$F31,'[1]NS Vendor Details'!$N:$N,'G&amp;A Vendor x GL Analysis'!$C31,'[1]NS Vendor Details'!$I:$I,'G&amp;A Vendor x GL Analysis'!$E31),IF(T$15="Actual",SUMIFS('[1]NS Vendor Details'!$D:$D,'[1]NS Vendor Details'!$H:$H,'G&amp;A Vendor x GL Analysis'!T$20,'[1]NS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U31" s="17">
        <f>IF(AND(U$15="Actual",ISBLANK($E$8)),SUMIFS('[1]NS Vendor Details'!$D:$D,'[1]NS Vendor Details'!$H:$H,'G&amp;A Vendor x GL Analysis'!U$20,'[1]NS Vendor Details'!$L:$L,'G&amp;A Vendor x GL Analysis'!$D31,'[1]NS Vendor Details'!$O:$O,'G&amp;A Vendor x GL Analysis'!$F31,'[1]NS Vendor Details'!$N:$N,'G&amp;A Vendor x GL Analysis'!$C31,'[1]NS Vendor Details'!$I:$I,'G&amp;A Vendor x GL Analysis'!$E31),IF(U$15="Actual",SUMIFS('[1]NS Vendor Details'!$D:$D,'[1]NS Vendor Details'!$H:$H,'G&amp;A Vendor x GL Analysis'!U$20,'[1]NS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V31" s="17">
        <f>IF(AND(V$15="Actual",ISBLANK($E$8)),SUMIFS('[1]NS Vendor Details'!$D:$D,'[1]NS Vendor Details'!$H:$H,'G&amp;A Vendor x GL Analysis'!V$20,'[1]NS Vendor Details'!$L:$L,'G&amp;A Vendor x GL Analysis'!$D31,'[1]NS Vendor Details'!$O:$O,'G&amp;A Vendor x GL Analysis'!$F31,'[1]NS Vendor Details'!$N:$N,'G&amp;A Vendor x GL Analysis'!$C31,'[1]NS Vendor Details'!$I:$I,'G&amp;A Vendor x GL Analysis'!$E31),IF(V$15="Actual",SUMIFS('[1]NS Vendor Details'!$D:$D,'[1]NS Vendor Details'!$H:$H,'G&amp;A Vendor x GL Analysis'!V$20,'[1]NS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W31" s="17">
        <f>IF(AND(W$15="Actual",ISBLANK($E$8)),SUMIFS('[1]NS Vendor Details'!$D:$D,'[1]NS Vendor Details'!$H:$H,'G&amp;A Vendor x GL Analysis'!W$20,'[1]NS Vendor Details'!$L:$L,'G&amp;A Vendor x GL Analysis'!$D31,'[1]NS Vendor Details'!$O:$O,'G&amp;A Vendor x GL Analysis'!$F31,'[1]NS Vendor Details'!$N:$N,'G&amp;A Vendor x GL Analysis'!$C31,'[1]NS Vendor Details'!$I:$I,'G&amp;A Vendor x GL Analysis'!$E31),IF(W$15="Actual",SUMIFS('[1]NS Vendor Details'!$D:$D,'[1]NS Vendor Details'!$H:$H,'G&amp;A Vendor x GL Analysis'!W$20,'[1]NS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X31" s="17">
        <f>IF(AND(X$15="Actual",ISBLANK($E$8)),SUMIFS('[1]NS Vendor Details'!$D:$D,'[1]NS Vendor Details'!$H:$H,'G&amp;A Vendor x GL Analysis'!X$20,'[1]NS Vendor Details'!$L:$L,'G&amp;A Vendor x GL Analysis'!$D31,'[1]NS Vendor Details'!$O:$O,'G&amp;A Vendor x GL Analysis'!$F31,'[1]NS Vendor Details'!$N:$N,'G&amp;A Vendor x GL Analysis'!$C31,'[1]NS Vendor Details'!$I:$I,'G&amp;A Vendor x GL Analysis'!$E31),IF(X$15="Actual",SUMIFS('[1]NS Vendor Details'!$D:$D,'[1]NS Vendor Details'!$H:$H,'G&amp;A Vendor x GL Analysis'!X$20,'[1]NS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1800</v>
      </c>
      <c r="Y31" s="17">
        <f>IF(AND(Y$15="Actual",ISBLANK($E$8)),SUMIFS('[1]NS Vendor Details'!$D:$D,'[1]NS Vendor Details'!$H:$H,'G&amp;A Vendor x GL Analysis'!Y$20,'[1]NS Vendor Details'!$L:$L,'G&amp;A Vendor x GL Analysis'!$D31,'[1]NS Vendor Details'!$O:$O,'G&amp;A Vendor x GL Analysis'!$F31,'[1]NS Vendor Details'!$N:$N,'G&amp;A Vendor x GL Analysis'!$C31,'[1]NS Vendor Details'!$I:$I,'G&amp;A Vendor x GL Analysis'!$E31),IF(Y$15="Actual",SUMIFS('[1]NS Vendor Details'!$D:$D,'[1]NS Vendor Details'!$H:$H,'G&amp;A Vendor x GL Analysis'!Y$20,'[1]NS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1800</v>
      </c>
      <c r="Z31" s="17">
        <f>IF(AND(Z$15="Actual",ISBLANK($E$8)),SUMIFS('[1]NS Vendor Details'!$D:$D,'[1]NS Vendor Details'!$H:$H,'G&amp;A Vendor x GL Analysis'!Z$20,'[1]NS Vendor Details'!$L:$L,'G&amp;A Vendor x GL Analysis'!$D31,'[1]NS Vendor Details'!$O:$O,'G&amp;A Vendor x GL Analysis'!$F31,'[1]NS Vendor Details'!$N:$N,'G&amp;A Vendor x GL Analysis'!$C31,'[1]NS Vendor Details'!$I:$I,'G&amp;A Vendor x GL Analysis'!$E31),IF(Z$15="Actual",SUMIFS('[1]NS Vendor Details'!$D:$D,'[1]NS Vendor Details'!$H:$H,'G&amp;A Vendor x GL Analysis'!Z$20,'[1]NS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AA31" s="17">
        <f>IF(AND(AA$15="Actual",ISBLANK($E$8)),SUMIFS('[1]NS Vendor Details'!$D:$D,'[1]NS Vendor Details'!$H:$H,'G&amp;A Vendor x GL Analysis'!AA$20,'[1]NS Vendor Details'!$L:$L,'G&amp;A Vendor x GL Analysis'!$D31,'[1]NS Vendor Details'!$O:$O,'G&amp;A Vendor x GL Analysis'!$F31,'[1]NS Vendor Details'!$N:$N,'G&amp;A Vendor x GL Analysis'!$C31,'[1]NS Vendor Details'!$I:$I,'G&amp;A Vendor x GL Analysis'!$E31),IF(AA$15="Actual",SUMIFS('[1]NS Vendor Details'!$D:$D,'[1]NS Vendor Details'!$H:$H,'G&amp;A Vendor x GL Analysis'!AA$20,'[1]NS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AB31" s="17">
        <f>IF(AND(AB$15="Actual",ISBLANK($E$8)),SUMIFS('[1]NS Vendor Details'!$D:$D,'[1]NS Vendor Details'!$H:$H,'G&amp;A Vendor x GL Analysis'!AB$20,'[1]NS Vendor Details'!$L:$L,'G&amp;A Vendor x GL Analysis'!$D31,'[1]NS Vendor Details'!$O:$O,'G&amp;A Vendor x GL Analysis'!$F31,'[1]NS Vendor Details'!$N:$N,'G&amp;A Vendor x GL Analysis'!$C31,'[1]NS Vendor Details'!$I:$I,'G&amp;A Vendor x GL Analysis'!$E31),IF(AB$15="Actual",SUMIFS('[1]NS Vendor Details'!$D:$D,'[1]NS Vendor Details'!$H:$H,'G&amp;A Vendor x GL Analysis'!AB$20,'[1]NS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AC31" s="18">
        <f>IF(AND(AC$15="Actual",ISBLANK($E$8)),SUMIFS('[1]NS Vendor Details'!$D:$D,'[1]NS Vendor Details'!$H:$H,'G&amp;A Vendor x GL Analysis'!AC$20,'[1]NS Vendor Details'!$L:$L,'G&amp;A Vendor x GL Analysis'!$D31,'[1]NS Vendor Details'!$O:$O,'G&amp;A Vendor x GL Analysis'!$F31,'[1]NS Vendor Details'!$N:$N,'G&amp;A Vendor x GL Analysis'!$C31,'[1]NS Vendor Details'!$I:$I,'G&amp;A Vendor x GL Analysis'!$E31),IF(AC$15="Actual",SUMIFS('[1]NS Vendor Details'!$D:$D,'[1]NS Vendor Details'!$H:$H,'G&amp;A Vendor x GL Analysis'!AC$20,'[1]NS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AD31" s="18">
        <f>IF(AND(AD$15="Actual",ISBLANK($E$8)),SUMIFS('[1]NS Vendor Details'!$D:$D,'[1]NS Vendor Details'!$H:$H,'G&amp;A Vendor x GL Analysis'!AD$20,'[1]NS Vendor Details'!$L:$L,'G&amp;A Vendor x GL Analysis'!$D31,'[1]NS Vendor Details'!$O:$O,'G&amp;A Vendor x GL Analysis'!$F31,'[1]NS Vendor Details'!$N:$N,'G&amp;A Vendor x GL Analysis'!$C31,'[1]NS Vendor Details'!$I:$I,'G&amp;A Vendor x GL Analysis'!$E31),IF(AD$15="Actual",SUMIFS('[1]NS Vendor Details'!$D:$D,'[1]NS Vendor Details'!$H:$H,'G&amp;A Vendor x GL Analysis'!AD$20,'[1]NS Vendor Details'!$L:$L,'G&amp;A Vendor x GL Analysis'!$D31,'[1]NS Vendor Details'!$O:$O,'G&amp;A Vendor x GL Analysis'!$F31,'[1]NS Vendor Details'!$N:$N,'G&amp;A Vendor x GL Analysis'!$C31,'[1]NS Vendor Details'!$K:$K,'G&amp;A Vendor x GL Analysis'!$E$8,'[1]NS Vendor Details'!$I:$I,'G&amp;A Vendor x GL Analysis'!$E31),0))</f>
        <v>0</v>
      </c>
      <c r="AF31" s="15">
        <f t="shared" si="9"/>
        <v>5040</v>
      </c>
    </row>
    <row r="32" spans="1:32" outlineLevel="1">
      <c r="A32" s="8" t="str">
        <f t="shared" si="8"/>
        <v>Advertising6288 - Model</v>
      </c>
      <c r="C32" s="8" t="s">
        <v>11</v>
      </c>
      <c r="D32" s="8" t="str">
        <f t="shared" si="10"/>
        <v>Advertising</v>
      </c>
      <c r="E32" s="2" t="s">
        <v>23</v>
      </c>
      <c r="F32" s="2" t="s">
        <v>25</v>
      </c>
      <c r="G32" s="16">
        <f>IF(AND(G$15="Actual",ISBLANK($E$8)),SUMIFS('[1]NS Vendor Details'!$D:$D,'[1]NS Vendor Details'!$H:$H,'G&amp;A Vendor x GL Analysis'!G$20,'[1]NS Vendor Details'!$L:$L,'G&amp;A Vendor x GL Analysis'!$D32,'[1]NS Vendor Details'!$O:$O,'G&amp;A Vendor x GL Analysis'!$F32,'[1]NS Vendor Details'!$N:$N,'G&amp;A Vendor x GL Analysis'!$C32),IF(G$15="Actual",SUMIFS('[1]NS Vendor Details'!$D:$D,'[1]NS Vendor Details'!$H:$H,'G&amp;A Vendor x GL Analysis'!G$20,'[1]NS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2625</v>
      </c>
      <c r="H32" s="17">
        <f>IF(AND(H$15="Actual",ISBLANK($E$8)),SUMIFS('[1]NS Vendor Details'!$D:$D,'[1]NS Vendor Details'!$H:$H,'G&amp;A Vendor x GL Analysis'!H$20,'[1]NS Vendor Details'!$L:$L,'G&amp;A Vendor x GL Analysis'!$D32,'[1]NS Vendor Details'!$O:$O,'G&amp;A Vendor x GL Analysis'!$F32,'[1]NS Vendor Details'!$N:$N,'G&amp;A Vendor x GL Analysis'!$C32),IF(H$15="Actual",SUMIFS('[1]NS Vendor Details'!$D:$D,'[1]NS Vendor Details'!$H:$H,'G&amp;A Vendor x GL Analysis'!H$20,'[1]NS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0</v>
      </c>
      <c r="I32" s="17">
        <f>IF(AND(I$15="Actual",ISBLANK($E$8)),SUMIFS('[1]NS Vendor Details'!$D:$D,'[1]NS Vendor Details'!$H:$H,'G&amp;A Vendor x GL Analysis'!I$20,'[1]NS Vendor Details'!$L:$L,'G&amp;A Vendor x GL Analysis'!$D32,'[1]NS Vendor Details'!$O:$O,'G&amp;A Vendor x GL Analysis'!$F32,'[1]NS Vendor Details'!$N:$N,'G&amp;A Vendor x GL Analysis'!$C32),IF(I$15="Actual",SUMIFS('[1]NS Vendor Details'!$D:$D,'[1]NS Vendor Details'!$H:$H,'G&amp;A Vendor x GL Analysis'!I$20,'[1]NS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2100</v>
      </c>
      <c r="J32" s="17">
        <f>IF(AND(J$15="Actual",ISBLANK($E$8)),SUMIFS('[1]NS Vendor Details'!$D:$D,'[1]NS Vendor Details'!$H:$H,'G&amp;A Vendor x GL Analysis'!J$20,'[1]NS Vendor Details'!$L:$L,'G&amp;A Vendor x GL Analysis'!$D32,'[1]NS Vendor Details'!$O:$O,'G&amp;A Vendor x GL Analysis'!$F32,'[1]NS Vendor Details'!$N:$N,'G&amp;A Vendor x GL Analysis'!$C32),IF(J$15="Actual",SUMIFS('[1]NS Vendor Details'!$D:$D,'[1]NS Vendor Details'!$H:$H,'G&amp;A Vendor x GL Analysis'!J$20,'[1]NS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540</v>
      </c>
      <c r="K32" s="17">
        <f>IF(AND(K$15="Actual",ISBLANK($E$8)),SUMIFS('[1]NS Vendor Details'!$D:$D,'[1]NS Vendor Details'!$H:$H,'G&amp;A Vendor x GL Analysis'!K$20,'[1]NS Vendor Details'!$L:$L,'G&amp;A Vendor x GL Analysis'!$D32,'[1]NS Vendor Details'!$O:$O,'G&amp;A Vendor x GL Analysis'!$F32,'[1]NS Vendor Details'!$N:$N,'G&amp;A Vendor x GL Analysis'!$C32),IF(K$15="Actual",SUMIFS('[1]NS Vendor Details'!$D:$D,'[1]NS Vendor Details'!$H:$H,'G&amp;A Vendor x GL Analysis'!K$20,'[1]NS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2400</v>
      </c>
      <c r="L32" s="17">
        <f>IF(AND(L$15="Actual",ISBLANK($E$8)),SUMIFS('[1]NS Vendor Details'!$D:$D,'[1]NS Vendor Details'!$H:$H,'G&amp;A Vendor x GL Analysis'!L$20,'[1]NS Vendor Details'!$L:$L,'G&amp;A Vendor x GL Analysis'!$D32,'[1]NS Vendor Details'!$O:$O,'G&amp;A Vendor x GL Analysis'!$F32,'[1]NS Vendor Details'!$N:$N,'G&amp;A Vendor x GL Analysis'!$C32),IF(L$15="Actual",SUMIFS('[1]NS Vendor Details'!$D:$D,'[1]NS Vendor Details'!$H:$H,'G&amp;A Vendor x GL Analysis'!L$20,'[1]NS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6780</v>
      </c>
      <c r="M32" s="17">
        <f>IF(AND(M$15="Actual",ISBLANK($E$8)),SUMIFS('[1]NS Vendor Details'!$D:$D,'[1]NS Vendor Details'!$H:$H,'G&amp;A Vendor x GL Analysis'!M$20,'[1]NS Vendor Details'!$L:$L,'G&amp;A Vendor x GL Analysis'!$D32,'[1]NS Vendor Details'!$O:$O,'G&amp;A Vendor x GL Analysis'!$F32,'[1]NS Vendor Details'!$N:$N,'G&amp;A Vendor x GL Analysis'!$C32),IF(M$15="Actual",SUMIFS('[1]NS Vendor Details'!$D:$D,'[1]NS Vendor Details'!$H:$H,'G&amp;A Vendor x GL Analysis'!M$20,'[1]NS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4680</v>
      </c>
      <c r="N32" s="17">
        <f>IF(AND(N$15="Actual",ISBLANK($E$8)),SUMIFS('[1]NS Vendor Details'!$D:$D,'[1]NS Vendor Details'!$H:$H,'G&amp;A Vendor x GL Analysis'!N$20,'[1]NS Vendor Details'!$L:$L,'G&amp;A Vendor x GL Analysis'!$D32,'[1]NS Vendor Details'!$O:$O,'G&amp;A Vendor x GL Analysis'!$F32,'[1]NS Vendor Details'!$N:$N,'G&amp;A Vendor x GL Analysis'!$C32),IF(N$15="Actual",SUMIFS('[1]NS Vendor Details'!$D:$D,'[1]NS Vendor Details'!$H:$H,'G&amp;A Vendor x GL Analysis'!N$20,'[1]NS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3900</v>
      </c>
      <c r="O32" s="17">
        <f>IF(AND(O$15="Actual",ISBLANK($E$8)),SUMIFS('[1]NS Vendor Details'!$D:$D,'[1]NS Vendor Details'!$H:$H,'G&amp;A Vendor x GL Analysis'!O$20,'[1]NS Vendor Details'!$L:$L,'G&amp;A Vendor x GL Analysis'!$D32,'[1]NS Vendor Details'!$O:$O,'G&amp;A Vendor x GL Analysis'!$F32,'[1]NS Vendor Details'!$N:$N,'G&amp;A Vendor x GL Analysis'!$C32),IF(O$15="Actual",SUMIFS('[1]NS Vendor Details'!$D:$D,'[1]NS Vendor Details'!$H:$H,'G&amp;A Vendor x GL Analysis'!O$20,'[1]NS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0</v>
      </c>
      <c r="P32" s="17">
        <f>IF(AND(P$15="Actual",ISBLANK($E$8)),SUMIFS('[1]NS Vendor Details'!$D:$D,'[1]NS Vendor Details'!$H:$H,'G&amp;A Vendor x GL Analysis'!P$20,'[1]NS Vendor Details'!$L:$L,'G&amp;A Vendor x GL Analysis'!$D32,'[1]NS Vendor Details'!$O:$O,'G&amp;A Vendor x GL Analysis'!$F32,'[1]NS Vendor Details'!$N:$N,'G&amp;A Vendor x GL Analysis'!$C32),IF(P$15="Actual",SUMIFS('[1]NS Vendor Details'!$D:$D,'[1]NS Vendor Details'!$H:$H,'G&amp;A Vendor x GL Analysis'!P$20,'[1]NS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750</v>
      </c>
      <c r="Q32" s="17">
        <f>IF(AND(Q$15="Actual",ISBLANK($E$8)),SUMIFS('[1]NS Vendor Details'!$D:$D,'[1]NS Vendor Details'!$H:$H,'G&amp;A Vendor x GL Analysis'!Q$20,'[1]NS Vendor Details'!$L:$L,'G&amp;A Vendor x GL Analysis'!$D32,'[1]NS Vendor Details'!$O:$O,'G&amp;A Vendor x GL Analysis'!$F32,'[1]NS Vendor Details'!$N:$N,'G&amp;A Vendor x GL Analysis'!$C32),IF(Q$15="Actual",SUMIFS('[1]NS Vendor Details'!$D:$D,'[1]NS Vendor Details'!$H:$H,'G&amp;A Vendor x GL Analysis'!Q$20,'[1]NS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5910</v>
      </c>
      <c r="R32" s="18">
        <f>IF(AND(R$15="Actual",ISBLANK($E$8)),SUMIFS('[1]NS Vendor Details'!$D:$D,'[1]NS Vendor Details'!$H:$H,'G&amp;A Vendor x GL Analysis'!R$20,'[1]NS Vendor Details'!$L:$L,'G&amp;A Vendor x GL Analysis'!$D32,'[1]NS Vendor Details'!$O:$O,'G&amp;A Vendor x GL Analysis'!$F32,'[1]NS Vendor Details'!$N:$N,'G&amp;A Vendor x GL Analysis'!$C32),IF(R$15="Actual",SUMIFS('[1]NS Vendor Details'!$D:$D,'[1]NS Vendor Details'!$H:$H,'G&amp;A Vendor x GL Analysis'!R$20,'[1]NS Vendor Details'!$L:$L,'G&amp;A Vendor x GL Analysis'!$D32,'[1]NS Vendor Details'!$O:$O,'G&amp;A Vendor x GL Analysis'!$F32,'[1]NS Vendor Details'!$N:$N,'G&amp;A Vendor x GL Analysis'!$C32,'[1]NS Vendor Details'!$K:$K,'G&amp;A Vendor x GL Analysis'!$E$8),0))</f>
        <v>4860</v>
      </c>
      <c r="S32" s="16">
        <f>IF(AND(S$15="Actual",ISBLANK($E$8)),SUMIFS('[1]NS Vendor Details'!$D:$D,'[1]NS Vendor Details'!$H:$H,'G&amp;A Vendor x GL Analysis'!S$20,'[1]NS Vendor Details'!$L:$L,'G&amp;A Vendor x GL Analysis'!$D32,'[1]NS Vendor Details'!$O:$O,'G&amp;A Vendor x GL Analysis'!$F32,'[1]NS Vendor Details'!$N:$N,'G&amp;A Vendor x GL Analysis'!$C32,'[1]NS Vendor Details'!$I:$I,'G&amp;A Vendor x GL Analysis'!$E32),IF(S$15="Actual",SUMIFS('[1]NS Vendor Details'!$D:$D,'[1]NS Vendor Details'!$H:$H,'G&amp;A Vendor x GL Analysis'!S$20,'[1]NS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3840</v>
      </c>
      <c r="T32" s="17">
        <f>IF(AND(T$15="Actual",ISBLANK($E$8)),SUMIFS('[1]NS Vendor Details'!$D:$D,'[1]NS Vendor Details'!$H:$H,'G&amp;A Vendor x GL Analysis'!T$20,'[1]NS Vendor Details'!$L:$L,'G&amp;A Vendor x GL Analysis'!$D32,'[1]NS Vendor Details'!$O:$O,'G&amp;A Vendor x GL Analysis'!$F32,'[1]NS Vendor Details'!$N:$N,'G&amp;A Vendor x GL Analysis'!$C32,'[1]NS Vendor Details'!$I:$I,'G&amp;A Vendor x GL Analysis'!$E32),IF(T$15="Actual",SUMIFS('[1]NS Vendor Details'!$D:$D,'[1]NS Vendor Details'!$H:$H,'G&amp;A Vendor x GL Analysis'!T$20,'[1]NS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1500</v>
      </c>
      <c r="U32" s="17">
        <f>IF(AND(U$15="Actual",ISBLANK($E$8)),SUMIFS('[1]NS Vendor Details'!$D:$D,'[1]NS Vendor Details'!$H:$H,'G&amp;A Vendor x GL Analysis'!U$20,'[1]NS Vendor Details'!$L:$L,'G&amp;A Vendor x GL Analysis'!$D32,'[1]NS Vendor Details'!$O:$O,'G&amp;A Vendor x GL Analysis'!$F32,'[1]NS Vendor Details'!$N:$N,'G&amp;A Vendor x GL Analysis'!$C32,'[1]NS Vendor Details'!$I:$I,'G&amp;A Vendor x GL Analysis'!$E32),IF(U$15="Actual",SUMIFS('[1]NS Vendor Details'!$D:$D,'[1]NS Vendor Details'!$H:$H,'G&amp;A Vendor x GL Analysis'!U$20,'[1]NS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840</v>
      </c>
      <c r="V32" s="17">
        <f>IF(AND(V$15="Actual",ISBLANK($E$8)),SUMIFS('[1]NS Vendor Details'!$D:$D,'[1]NS Vendor Details'!$H:$H,'G&amp;A Vendor x GL Analysis'!V$20,'[1]NS Vendor Details'!$L:$L,'G&amp;A Vendor x GL Analysis'!$D32,'[1]NS Vendor Details'!$O:$O,'G&amp;A Vendor x GL Analysis'!$F32,'[1]NS Vendor Details'!$N:$N,'G&amp;A Vendor x GL Analysis'!$C32,'[1]NS Vendor Details'!$I:$I,'G&amp;A Vendor x GL Analysis'!$E32),IF(V$15="Actual",SUMIFS('[1]NS Vendor Details'!$D:$D,'[1]NS Vendor Details'!$H:$H,'G&amp;A Vendor x GL Analysis'!V$20,'[1]NS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330</v>
      </c>
      <c r="W32" s="17">
        <f>IF(AND(W$15="Actual",ISBLANK($E$8)),SUMIFS('[1]NS Vendor Details'!$D:$D,'[1]NS Vendor Details'!$H:$H,'G&amp;A Vendor x GL Analysis'!W$20,'[1]NS Vendor Details'!$L:$L,'G&amp;A Vendor x GL Analysis'!$D32,'[1]NS Vendor Details'!$O:$O,'G&amp;A Vendor x GL Analysis'!$F32,'[1]NS Vendor Details'!$N:$N,'G&amp;A Vendor x GL Analysis'!$C32,'[1]NS Vendor Details'!$I:$I,'G&amp;A Vendor x GL Analysis'!$E32),IF(W$15="Actual",SUMIFS('[1]NS Vendor Details'!$D:$D,'[1]NS Vendor Details'!$H:$H,'G&amp;A Vendor x GL Analysis'!W$20,'[1]NS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4980</v>
      </c>
      <c r="X32" s="17">
        <f>IF(AND(X$15="Actual",ISBLANK($E$8)),SUMIFS('[1]NS Vendor Details'!$D:$D,'[1]NS Vendor Details'!$H:$H,'G&amp;A Vendor x GL Analysis'!X$20,'[1]NS Vendor Details'!$L:$L,'G&amp;A Vendor x GL Analysis'!$D32,'[1]NS Vendor Details'!$O:$O,'G&amp;A Vendor x GL Analysis'!$F32,'[1]NS Vendor Details'!$N:$N,'G&amp;A Vendor x GL Analysis'!$C32,'[1]NS Vendor Details'!$I:$I,'G&amp;A Vendor x GL Analysis'!$E32),IF(X$15="Actual",SUMIFS('[1]NS Vendor Details'!$D:$D,'[1]NS Vendor Details'!$H:$H,'G&amp;A Vendor x GL Analysis'!X$20,'[1]NS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1980</v>
      </c>
      <c r="Y32" s="17">
        <f>IF(AND(Y$15="Actual",ISBLANK($E$8)),SUMIFS('[1]NS Vendor Details'!$D:$D,'[1]NS Vendor Details'!$H:$H,'G&amp;A Vendor x GL Analysis'!Y$20,'[1]NS Vendor Details'!$L:$L,'G&amp;A Vendor x GL Analysis'!$D32,'[1]NS Vendor Details'!$O:$O,'G&amp;A Vendor x GL Analysis'!$F32,'[1]NS Vendor Details'!$N:$N,'G&amp;A Vendor x GL Analysis'!$C32,'[1]NS Vendor Details'!$I:$I,'G&amp;A Vendor x GL Analysis'!$E32),IF(Y$15="Actual",SUMIFS('[1]NS Vendor Details'!$D:$D,'[1]NS Vendor Details'!$H:$H,'G&amp;A Vendor x GL Analysis'!Y$20,'[1]NS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3150</v>
      </c>
      <c r="Z32" s="17">
        <f>IF(AND(Z$15="Actual",ISBLANK($E$8)),SUMIFS('[1]NS Vendor Details'!$D:$D,'[1]NS Vendor Details'!$H:$H,'G&amp;A Vendor x GL Analysis'!Z$20,'[1]NS Vendor Details'!$L:$L,'G&amp;A Vendor x GL Analysis'!$D32,'[1]NS Vendor Details'!$O:$O,'G&amp;A Vendor x GL Analysis'!$F32,'[1]NS Vendor Details'!$N:$N,'G&amp;A Vendor x GL Analysis'!$C32,'[1]NS Vendor Details'!$I:$I,'G&amp;A Vendor x GL Analysis'!$E32),IF(Z$15="Actual",SUMIFS('[1]NS Vendor Details'!$D:$D,'[1]NS Vendor Details'!$H:$H,'G&amp;A Vendor x GL Analysis'!Z$20,'[1]NS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1485</v>
      </c>
      <c r="AA32" s="17">
        <f>IF(AND(AA$15="Actual",ISBLANK($E$8)),SUMIFS('[1]NS Vendor Details'!$D:$D,'[1]NS Vendor Details'!$H:$H,'G&amp;A Vendor x GL Analysis'!AA$20,'[1]NS Vendor Details'!$L:$L,'G&amp;A Vendor x GL Analysis'!$D32,'[1]NS Vendor Details'!$O:$O,'G&amp;A Vendor x GL Analysis'!$F32,'[1]NS Vendor Details'!$N:$N,'G&amp;A Vendor x GL Analysis'!$C32,'[1]NS Vendor Details'!$I:$I,'G&amp;A Vendor x GL Analysis'!$E32),IF(AA$15="Actual",SUMIFS('[1]NS Vendor Details'!$D:$D,'[1]NS Vendor Details'!$H:$H,'G&amp;A Vendor x GL Analysis'!AA$20,'[1]NS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1155</v>
      </c>
      <c r="AB32" s="17">
        <f>IF(AND(AB$15="Actual",ISBLANK($E$8)),SUMIFS('[1]NS Vendor Details'!$D:$D,'[1]NS Vendor Details'!$H:$H,'G&amp;A Vendor x GL Analysis'!AB$20,'[1]NS Vendor Details'!$L:$L,'G&amp;A Vendor x GL Analysis'!$D32,'[1]NS Vendor Details'!$O:$O,'G&amp;A Vendor x GL Analysis'!$F32,'[1]NS Vendor Details'!$N:$N,'G&amp;A Vendor x GL Analysis'!$C32,'[1]NS Vendor Details'!$I:$I,'G&amp;A Vendor x GL Analysis'!$E32),IF(AB$15="Actual",SUMIFS('[1]NS Vendor Details'!$D:$D,'[1]NS Vendor Details'!$H:$H,'G&amp;A Vendor x GL Analysis'!AB$20,'[1]NS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0</v>
      </c>
      <c r="AC32" s="18">
        <f>IF(AND(AC$15="Actual",ISBLANK($E$8)),SUMIFS('[1]NS Vendor Details'!$D:$D,'[1]NS Vendor Details'!$H:$H,'G&amp;A Vendor x GL Analysis'!AC$20,'[1]NS Vendor Details'!$L:$L,'G&amp;A Vendor x GL Analysis'!$D32,'[1]NS Vendor Details'!$O:$O,'G&amp;A Vendor x GL Analysis'!$F32,'[1]NS Vendor Details'!$N:$N,'G&amp;A Vendor x GL Analysis'!$C32,'[1]NS Vendor Details'!$I:$I,'G&amp;A Vendor x GL Analysis'!$E32),IF(AC$15="Actual",SUMIFS('[1]NS Vendor Details'!$D:$D,'[1]NS Vendor Details'!$H:$H,'G&amp;A Vendor x GL Analysis'!AC$20,'[1]NS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1485</v>
      </c>
      <c r="AD32" s="18">
        <f>IF(AND(AD$15="Actual",ISBLANK($E$8)),SUMIFS('[1]NS Vendor Details'!$D:$D,'[1]NS Vendor Details'!$H:$H,'G&amp;A Vendor x GL Analysis'!AD$20,'[1]NS Vendor Details'!$L:$L,'G&amp;A Vendor x GL Analysis'!$D32,'[1]NS Vendor Details'!$O:$O,'G&amp;A Vendor x GL Analysis'!$F32,'[1]NS Vendor Details'!$N:$N,'G&amp;A Vendor x GL Analysis'!$C32,'[1]NS Vendor Details'!$I:$I,'G&amp;A Vendor x GL Analysis'!$E32),IF(AD$15="Actual",SUMIFS('[1]NS Vendor Details'!$D:$D,'[1]NS Vendor Details'!$H:$H,'G&amp;A Vendor x GL Analysis'!AD$20,'[1]NS Vendor Details'!$L:$L,'G&amp;A Vendor x GL Analysis'!$D32,'[1]NS Vendor Details'!$O:$O,'G&amp;A Vendor x GL Analysis'!$F32,'[1]NS Vendor Details'!$N:$N,'G&amp;A Vendor x GL Analysis'!$C32,'[1]NS Vendor Details'!$K:$K,'G&amp;A Vendor x GL Analysis'!$E$8,'[1]NS Vendor Details'!$I:$I,'G&amp;A Vendor x GL Analysis'!$E32),0))</f>
        <v>0</v>
      </c>
      <c r="AF32" s="19">
        <f t="shared" si="9"/>
        <v>20745</v>
      </c>
    </row>
    <row r="33" spans="1:32" outlineLevel="1">
      <c r="A33" s="8" t="str">
        <f t="shared" si="8"/>
        <v>Advertising6288 - Model</v>
      </c>
      <c r="C33" s="8" t="s">
        <v>11</v>
      </c>
      <c r="D33" s="8" t="str">
        <f t="shared" si="10"/>
        <v>Advertising</v>
      </c>
      <c r="E33" s="2" t="s">
        <v>23</v>
      </c>
      <c r="F33" s="2" t="s">
        <v>26</v>
      </c>
      <c r="G33" s="16">
        <f>IF(AND(G$15="Actual",ISBLANK($E$8)),SUMIFS('[1]NS Vendor Details'!$D:$D,'[1]NS Vendor Details'!$H:$H,'G&amp;A Vendor x GL Analysis'!G$20,'[1]NS Vendor Details'!$L:$L,'G&amp;A Vendor x GL Analysis'!$D33,'[1]NS Vendor Details'!$O:$O,'G&amp;A Vendor x GL Analysis'!$F33,'[1]NS Vendor Details'!$N:$N,'G&amp;A Vendor x GL Analysis'!$C33),IF(G$15="Actual",SUMIFS('[1]NS Vendor Details'!$D:$D,'[1]NS Vendor Details'!$H:$H,'G&amp;A Vendor x GL Analysis'!G$20,'[1]NS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H33" s="17">
        <f>IF(AND(H$15="Actual",ISBLANK($E$8)),SUMIFS('[1]NS Vendor Details'!$D:$D,'[1]NS Vendor Details'!$H:$H,'G&amp;A Vendor x GL Analysis'!H$20,'[1]NS Vendor Details'!$L:$L,'G&amp;A Vendor x GL Analysis'!$D33,'[1]NS Vendor Details'!$O:$O,'G&amp;A Vendor x GL Analysis'!$F33,'[1]NS Vendor Details'!$N:$N,'G&amp;A Vendor x GL Analysis'!$C33),IF(H$15="Actual",SUMIFS('[1]NS Vendor Details'!$D:$D,'[1]NS Vendor Details'!$H:$H,'G&amp;A Vendor x GL Analysis'!H$20,'[1]NS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I33" s="17">
        <f>IF(AND(I$15="Actual",ISBLANK($E$8)),SUMIFS('[1]NS Vendor Details'!$D:$D,'[1]NS Vendor Details'!$H:$H,'G&amp;A Vendor x GL Analysis'!I$20,'[1]NS Vendor Details'!$L:$L,'G&amp;A Vendor x GL Analysis'!$D33,'[1]NS Vendor Details'!$O:$O,'G&amp;A Vendor x GL Analysis'!$F33,'[1]NS Vendor Details'!$N:$N,'G&amp;A Vendor x GL Analysis'!$C33),IF(I$15="Actual",SUMIFS('[1]NS Vendor Details'!$D:$D,'[1]NS Vendor Details'!$H:$H,'G&amp;A Vendor x GL Analysis'!I$20,'[1]NS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J33" s="17">
        <f>IF(AND(J$15="Actual",ISBLANK($E$8)),SUMIFS('[1]NS Vendor Details'!$D:$D,'[1]NS Vendor Details'!$H:$H,'G&amp;A Vendor x GL Analysis'!J$20,'[1]NS Vendor Details'!$L:$L,'G&amp;A Vendor x GL Analysis'!$D33,'[1]NS Vendor Details'!$O:$O,'G&amp;A Vendor x GL Analysis'!$F33,'[1]NS Vendor Details'!$N:$N,'G&amp;A Vendor x GL Analysis'!$C33),IF(J$15="Actual",SUMIFS('[1]NS Vendor Details'!$D:$D,'[1]NS Vendor Details'!$H:$H,'G&amp;A Vendor x GL Analysis'!J$20,'[1]NS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K33" s="17">
        <f>IF(AND(K$15="Actual",ISBLANK($E$8)),SUMIFS('[1]NS Vendor Details'!$D:$D,'[1]NS Vendor Details'!$H:$H,'G&amp;A Vendor x GL Analysis'!K$20,'[1]NS Vendor Details'!$L:$L,'G&amp;A Vendor x GL Analysis'!$D33,'[1]NS Vendor Details'!$O:$O,'G&amp;A Vendor x GL Analysis'!$F33,'[1]NS Vendor Details'!$N:$N,'G&amp;A Vendor x GL Analysis'!$C33),IF(K$15="Actual",SUMIFS('[1]NS Vendor Details'!$D:$D,'[1]NS Vendor Details'!$H:$H,'G&amp;A Vendor x GL Analysis'!K$20,'[1]NS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L33" s="17">
        <f>IF(AND(L$15="Actual",ISBLANK($E$8)),SUMIFS('[1]NS Vendor Details'!$D:$D,'[1]NS Vendor Details'!$H:$H,'G&amp;A Vendor x GL Analysis'!L$20,'[1]NS Vendor Details'!$L:$L,'G&amp;A Vendor x GL Analysis'!$D33,'[1]NS Vendor Details'!$O:$O,'G&amp;A Vendor x GL Analysis'!$F33,'[1]NS Vendor Details'!$N:$N,'G&amp;A Vendor x GL Analysis'!$C33),IF(L$15="Actual",SUMIFS('[1]NS Vendor Details'!$D:$D,'[1]NS Vendor Details'!$H:$H,'G&amp;A Vendor x GL Analysis'!L$20,'[1]NS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M33" s="17">
        <f>IF(AND(M$15="Actual",ISBLANK($E$8)),SUMIFS('[1]NS Vendor Details'!$D:$D,'[1]NS Vendor Details'!$H:$H,'G&amp;A Vendor x GL Analysis'!M$20,'[1]NS Vendor Details'!$L:$L,'G&amp;A Vendor x GL Analysis'!$D33,'[1]NS Vendor Details'!$O:$O,'G&amp;A Vendor x GL Analysis'!$F33,'[1]NS Vendor Details'!$N:$N,'G&amp;A Vendor x GL Analysis'!$C33),IF(M$15="Actual",SUMIFS('[1]NS Vendor Details'!$D:$D,'[1]NS Vendor Details'!$H:$H,'G&amp;A Vendor x GL Analysis'!M$20,'[1]NS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N33" s="17">
        <f>IF(AND(N$15="Actual",ISBLANK($E$8)),SUMIFS('[1]NS Vendor Details'!$D:$D,'[1]NS Vendor Details'!$H:$H,'G&amp;A Vendor x GL Analysis'!N$20,'[1]NS Vendor Details'!$L:$L,'G&amp;A Vendor x GL Analysis'!$D33,'[1]NS Vendor Details'!$O:$O,'G&amp;A Vendor x GL Analysis'!$F33,'[1]NS Vendor Details'!$N:$N,'G&amp;A Vendor x GL Analysis'!$C33),IF(N$15="Actual",SUMIFS('[1]NS Vendor Details'!$D:$D,'[1]NS Vendor Details'!$H:$H,'G&amp;A Vendor x GL Analysis'!N$20,'[1]NS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O33" s="17">
        <f>IF(AND(O$15="Actual",ISBLANK($E$8)),SUMIFS('[1]NS Vendor Details'!$D:$D,'[1]NS Vendor Details'!$H:$H,'G&amp;A Vendor x GL Analysis'!O$20,'[1]NS Vendor Details'!$L:$L,'G&amp;A Vendor x GL Analysis'!$D33,'[1]NS Vendor Details'!$O:$O,'G&amp;A Vendor x GL Analysis'!$F33,'[1]NS Vendor Details'!$N:$N,'G&amp;A Vendor x GL Analysis'!$C33),IF(O$15="Actual",SUMIFS('[1]NS Vendor Details'!$D:$D,'[1]NS Vendor Details'!$H:$H,'G&amp;A Vendor x GL Analysis'!O$20,'[1]NS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P33" s="17">
        <f>IF(AND(P$15="Actual",ISBLANK($E$8)),SUMIFS('[1]NS Vendor Details'!$D:$D,'[1]NS Vendor Details'!$H:$H,'G&amp;A Vendor x GL Analysis'!P$20,'[1]NS Vendor Details'!$L:$L,'G&amp;A Vendor x GL Analysis'!$D33,'[1]NS Vendor Details'!$O:$O,'G&amp;A Vendor x GL Analysis'!$F33,'[1]NS Vendor Details'!$N:$N,'G&amp;A Vendor x GL Analysis'!$C33),IF(P$15="Actual",SUMIFS('[1]NS Vendor Details'!$D:$D,'[1]NS Vendor Details'!$H:$H,'G&amp;A Vendor x GL Analysis'!P$20,'[1]NS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Q33" s="17">
        <f>IF(AND(Q$15="Actual",ISBLANK($E$8)),SUMIFS('[1]NS Vendor Details'!$D:$D,'[1]NS Vendor Details'!$H:$H,'G&amp;A Vendor x GL Analysis'!Q$20,'[1]NS Vendor Details'!$L:$L,'G&amp;A Vendor x GL Analysis'!$D33,'[1]NS Vendor Details'!$O:$O,'G&amp;A Vendor x GL Analysis'!$F33,'[1]NS Vendor Details'!$N:$N,'G&amp;A Vendor x GL Analysis'!$C33),IF(Q$15="Actual",SUMIFS('[1]NS Vendor Details'!$D:$D,'[1]NS Vendor Details'!$H:$H,'G&amp;A Vendor x GL Analysis'!Q$20,'[1]NS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R33" s="18">
        <f>IF(AND(R$15="Actual",ISBLANK($E$8)),SUMIFS('[1]NS Vendor Details'!$D:$D,'[1]NS Vendor Details'!$H:$H,'G&amp;A Vendor x GL Analysis'!R$20,'[1]NS Vendor Details'!$L:$L,'G&amp;A Vendor x GL Analysis'!$D33,'[1]NS Vendor Details'!$O:$O,'G&amp;A Vendor x GL Analysis'!$F33,'[1]NS Vendor Details'!$N:$N,'G&amp;A Vendor x GL Analysis'!$C33),IF(R$15="Actual",SUMIFS('[1]NS Vendor Details'!$D:$D,'[1]NS Vendor Details'!$H:$H,'G&amp;A Vendor x GL Analysis'!R$20,'[1]NS Vendor Details'!$L:$L,'G&amp;A Vendor x GL Analysis'!$D33,'[1]NS Vendor Details'!$O:$O,'G&amp;A Vendor x GL Analysis'!$F33,'[1]NS Vendor Details'!$N:$N,'G&amp;A Vendor x GL Analysis'!$C33,'[1]NS Vendor Details'!$K:$K,'G&amp;A Vendor x GL Analysis'!$E$8),0))</f>
        <v>0</v>
      </c>
      <c r="S33" s="16">
        <f>IF(AND(S$15="Actual",ISBLANK($E$8)),SUMIFS('[1]NS Vendor Details'!$D:$D,'[1]NS Vendor Details'!$H:$H,'G&amp;A Vendor x GL Analysis'!S$20,'[1]NS Vendor Details'!$L:$L,'G&amp;A Vendor x GL Analysis'!$D33,'[1]NS Vendor Details'!$O:$O,'G&amp;A Vendor x GL Analysis'!$F33,'[1]NS Vendor Details'!$N:$N,'G&amp;A Vendor x GL Analysis'!$C33,'[1]NS Vendor Details'!$I:$I,'G&amp;A Vendor x GL Analysis'!$E33),IF(S$15="Actual",SUMIFS('[1]NS Vendor Details'!$D:$D,'[1]NS Vendor Details'!$H:$H,'G&amp;A Vendor x GL Analysis'!S$20,'[1]NS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720</v>
      </c>
      <c r="T33" s="17">
        <f>IF(AND(T$15="Actual",ISBLANK($E$8)),SUMIFS('[1]NS Vendor Details'!$D:$D,'[1]NS Vendor Details'!$H:$H,'G&amp;A Vendor x GL Analysis'!T$20,'[1]NS Vendor Details'!$L:$L,'G&amp;A Vendor x GL Analysis'!$D33,'[1]NS Vendor Details'!$O:$O,'G&amp;A Vendor x GL Analysis'!$F33,'[1]NS Vendor Details'!$N:$N,'G&amp;A Vendor x GL Analysis'!$C33,'[1]NS Vendor Details'!$I:$I,'G&amp;A Vendor x GL Analysis'!$E33),IF(T$15="Actual",SUMIFS('[1]NS Vendor Details'!$D:$D,'[1]NS Vendor Details'!$H:$H,'G&amp;A Vendor x GL Analysis'!T$20,'[1]NS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U33" s="17">
        <f>IF(AND(U$15="Actual",ISBLANK($E$8)),SUMIFS('[1]NS Vendor Details'!$D:$D,'[1]NS Vendor Details'!$H:$H,'G&amp;A Vendor x GL Analysis'!U$20,'[1]NS Vendor Details'!$L:$L,'G&amp;A Vendor x GL Analysis'!$D33,'[1]NS Vendor Details'!$O:$O,'G&amp;A Vendor x GL Analysis'!$F33,'[1]NS Vendor Details'!$N:$N,'G&amp;A Vendor x GL Analysis'!$C33,'[1]NS Vendor Details'!$I:$I,'G&amp;A Vendor x GL Analysis'!$E33),IF(U$15="Actual",SUMIFS('[1]NS Vendor Details'!$D:$D,'[1]NS Vendor Details'!$H:$H,'G&amp;A Vendor x GL Analysis'!U$20,'[1]NS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V33" s="17">
        <f>IF(AND(V$15="Actual",ISBLANK($E$8)),SUMIFS('[1]NS Vendor Details'!$D:$D,'[1]NS Vendor Details'!$H:$H,'G&amp;A Vendor x GL Analysis'!V$20,'[1]NS Vendor Details'!$L:$L,'G&amp;A Vendor x GL Analysis'!$D33,'[1]NS Vendor Details'!$O:$O,'G&amp;A Vendor x GL Analysis'!$F33,'[1]NS Vendor Details'!$N:$N,'G&amp;A Vendor x GL Analysis'!$C33,'[1]NS Vendor Details'!$I:$I,'G&amp;A Vendor x GL Analysis'!$E33),IF(V$15="Actual",SUMIFS('[1]NS Vendor Details'!$D:$D,'[1]NS Vendor Details'!$H:$H,'G&amp;A Vendor x GL Analysis'!V$20,'[1]NS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W33" s="17">
        <f>IF(AND(W$15="Actual",ISBLANK($E$8)),SUMIFS('[1]NS Vendor Details'!$D:$D,'[1]NS Vendor Details'!$H:$H,'G&amp;A Vendor x GL Analysis'!W$20,'[1]NS Vendor Details'!$L:$L,'G&amp;A Vendor x GL Analysis'!$D33,'[1]NS Vendor Details'!$O:$O,'G&amp;A Vendor x GL Analysis'!$F33,'[1]NS Vendor Details'!$N:$N,'G&amp;A Vendor x GL Analysis'!$C33,'[1]NS Vendor Details'!$I:$I,'G&amp;A Vendor x GL Analysis'!$E33),IF(W$15="Actual",SUMIFS('[1]NS Vendor Details'!$D:$D,'[1]NS Vendor Details'!$H:$H,'G&amp;A Vendor x GL Analysis'!W$20,'[1]NS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X33" s="17">
        <f>IF(AND(X$15="Actual",ISBLANK($E$8)),SUMIFS('[1]NS Vendor Details'!$D:$D,'[1]NS Vendor Details'!$H:$H,'G&amp;A Vendor x GL Analysis'!X$20,'[1]NS Vendor Details'!$L:$L,'G&amp;A Vendor x GL Analysis'!$D33,'[1]NS Vendor Details'!$O:$O,'G&amp;A Vendor x GL Analysis'!$F33,'[1]NS Vendor Details'!$N:$N,'G&amp;A Vendor x GL Analysis'!$C33,'[1]NS Vendor Details'!$I:$I,'G&amp;A Vendor x GL Analysis'!$E33),IF(X$15="Actual",SUMIFS('[1]NS Vendor Details'!$D:$D,'[1]NS Vendor Details'!$H:$H,'G&amp;A Vendor x GL Analysis'!X$20,'[1]NS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Y33" s="17">
        <f>IF(AND(Y$15="Actual",ISBLANK($E$8)),SUMIFS('[1]NS Vendor Details'!$D:$D,'[1]NS Vendor Details'!$H:$H,'G&amp;A Vendor x GL Analysis'!Y$20,'[1]NS Vendor Details'!$L:$L,'G&amp;A Vendor x GL Analysis'!$D33,'[1]NS Vendor Details'!$O:$O,'G&amp;A Vendor x GL Analysis'!$F33,'[1]NS Vendor Details'!$N:$N,'G&amp;A Vendor x GL Analysis'!$C33,'[1]NS Vendor Details'!$I:$I,'G&amp;A Vendor x GL Analysis'!$E33),IF(Y$15="Actual",SUMIFS('[1]NS Vendor Details'!$D:$D,'[1]NS Vendor Details'!$H:$H,'G&amp;A Vendor x GL Analysis'!Y$20,'[1]NS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Z33" s="17">
        <f>IF(AND(Z$15="Actual",ISBLANK($E$8)),SUMIFS('[1]NS Vendor Details'!$D:$D,'[1]NS Vendor Details'!$H:$H,'G&amp;A Vendor x GL Analysis'!Z$20,'[1]NS Vendor Details'!$L:$L,'G&amp;A Vendor x GL Analysis'!$D33,'[1]NS Vendor Details'!$O:$O,'G&amp;A Vendor x GL Analysis'!$F33,'[1]NS Vendor Details'!$N:$N,'G&amp;A Vendor x GL Analysis'!$C33,'[1]NS Vendor Details'!$I:$I,'G&amp;A Vendor x GL Analysis'!$E33),IF(Z$15="Actual",SUMIFS('[1]NS Vendor Details'!$D:$D,'[1]NS Vendor Details'!$H:$H,'G&amp;A Vendor x GL Analysis'!Z$20,'[1]NS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AA33" s="17">
        <f>IF(AND(AA$15="Actual",ISBLANK($E$8)),SUMIFS('[1]NS Vendor Details'!$D:$D,'[1]NS Vendor Details'!$H:$H,'G&amp;A Vendor x GL Analysis'!AA$20,'[1]NS Vendor Details'!$L:$L,'G&amp;A Vendor x GL Analysis'!$D33,'[1]NS Vendor Details'!$O:$O,'G&amp;A Vendor x GL Analysis'!$F33,'[1]NS Vendor Details'!$N:$N,'G&amp;A Vendor x GL Analysis'!$C33,'[1]NS Vendor Details'!$I:$I,'G&amp;A Vendor x GL Analysis'!$E33),IF(AA$15="Actual",SUMIFS('[1]NS Vendor Details'!$D:$D,'[1]NS Vendor Details'!$H:$H,'G&amp;A Vendor x GL Analysis'!AA$20,'[1]NS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AB33" s="17">
        <f>IF(AND(AB$15="Actual",ISBLANK($E$8)),SUMIFS('[1]NS Vendor Details'!$D:$D,'[1]NS Vendor Details'!$H:$H,'G&amp;A Vendor x GL Analysis'!AB$20,'[1]NS Vendor Details'!$L:$L,'G&amp;A Vendor x GL Analysis'!$D33,'[1]NS Vendor Details'!$O:$O,'G&amp;A Vendor x GL Analysis'!$F33,'[1]NS Vendor Details'!$N:$N,'G&amp;A Vendor x GL Analysis'!$C33,'[1]NS Vendor Details'!$I:$I,'G&amp;A Vendor x GL Analysis'!$E33),IF(AB$15="Actual",SUMIFS('[1]NS Vendor Details'!$D:$D,'[1]NS Vendor Details'!$H:$H,'G&amp;A Vendor x GL Analysis'!AB$20,'[1]NS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AC33" s="18">
        <f>IF(AND(AC$15="Actual",ISBLANK($E$8)),SUMIFS('[1]NS Vendor Details'!$D:$D,'[1]NS Vendor Details'!$H:$H,'G&amp;A Vendor x GL Analysis'!AC$20,'[1]NS Vendor Details'!$L:$L,'G&amp;A Vendor x GL Analysis'!$D33,'[1]NS Vendor Details'!$O:$O,'G&amp;A Vendor x GL Analysis'!$F33,'[1]NS Vendor Details'!$N:$N,'G&amp;A Vendor x GL Analysis'!$C33,'[1]NS Vendor Details'!$I:$I,'G&amp;A Vendor x GL Analysis'!$E33),IF(AC$15="Actual",SUMIFS('[1]NS Vendor Details'!$D:$D,'[1]NS Vendor Details'!$H:$H,'G&amp;A Vendor x GL Analysis'!AC$20,'[1]NS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AD33" s="18">
        <f>IF(AND(AD$15="Actual",ISBLANK($E$8)),SUMIFS('[1]NS Vendor Details'!$D:$D,'[1]NS Vendor Details'!$H:$H,'G&amp;A Vendor x GL Analysis'!AD$20,'[1]NS Vendor Details'!$L:$L,'G&amp;A Vendor x GL Analysis'!$D33,'[1]NS Vendor Details'!$O:$O,'G&amp;A Vendor x GL Analysis'!$F33,'[1]NS Vendor Details'!$N:$N,'G&amp;A Vendor x GL Analysis'!$C33,'[1]NS Vendor Details'!$I:$I,'G&amp;A Vendor x GL Analysis'!$E33),IF(AD$15="Actual",SUMIFS('[1]NS Vendor Details'!$D:$D,'[1]NS Vendor Details'!$H:$H,'G&amp;A Vendor x GL Analysis'!AD$20,'[1]NS Vendor Details'!$L:$L,'G&amp;A Vendor x GL Analysis'!$D33,'[1]NS Vendor Details'!$O:$O,'G&amp;A Vendor x GL Analysis'!$F33,'[1]NS Vendor Details'!$N:$N,'G&amp;A Vendor x GL Analysis'!$C33,'[1]NS Vendor Details'!$K:$K,'G&amp;A Vendor x GL Analysis'!$E$8,'[1]NS Vendor Details'!$I:$I,'G&amp;A Vendor x GL Analysis'!$E33),0))</f>
        <v>0</v>
      </c>
      <c r="AF33" s="19">
        <f t="shared" si="9"/>
        <v>720</v>
      </c>
    </row>
    <row r="34" spans="1:32" outlineLevel="1">
      <c r="A34" s="8" t="str">
        <f t="shared" si="8"/>
        <v>Advertising6288 - Model</v>
      </c>
      <c r="C34" s="8" t="s">
        <v>11</v>
      </c>
      <c r="D34" s="8" t="str">
        <f t="shared" si="10"/>
        <v>Advertising</v>
      </c>
      <c r="E34" s="2" t="s">
        <v>23</v>
      </c>
      <c r="F34" s="2" t="s">
        <v>27</v>
      </c>
      <c r="G34" s="16">
        <f>IF(AND(G$15="Actual",ISBLANK($E$8)),SUMIFS('[1]NS Vendor Details'!$D:$D,'[1]NS Vendor Details'!$H:$H,'G&amp;A Vendor x GL Analysis'!G$20,'[1]NS Vendor Details'!$L:$L,'G&amp;A Vendor x GL Analysis'!$D34,'[1]NS Vendor Details'!$O:$O,'G&amp;A Vendor x GL Analysis'!$F34,'[1]NS Vendor Details'!$N:$N,'G&amp;A Vendor x GL Analysis'!$C34),IF(G$15="Actual",SUMIFS('[1]NS Vendor Details'!$D:$D,'[1]NS Vendor Details'!$H:$H,'G&amp;A Vendor x GL Analysis'!G$20,'[1]NS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0</v>
      </c>
      <c r="H34" s="17">
        <f>IF(AND(H$15="Actual",ISBLANK($E$8)),SUMIFS('[1]NS Vendor Details'!$D:$D,'[1]NS Vendor Details'!$H:$H,'G&amp;A Vendor x GL Analysis'!H$20,'[1]NS Vendor Details'!$L:$L,'G&amp;A Vendor x GL Analysis'!$D34,'[1]NS Vendor Details'!$O:$O,'G&amp;A Vendor x GL Analysis'!$F34,'[1]NS Vendor Details'!$N:$N,'G&amp;A Vendor x GL Analysis'!$C34),IF(H$15="Actual",SUMIFS('[1]NS Vendor Details'!$D:$D,'[1]NS Vendor Details'!$H:$H,'G&amp;A Vendor x GL Analysis'!H$20,'[1]NS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0</v>
      </c>
      <c r="I34" s="17">
        <f>IF(AND(I$15="Actual",ISBLANK($E$8)),SUMIFS('[1]NS Vendor Details'!$D:$D,'[1]NS Vendor Details'!$H:$H,'G&amp;A Vendor x GL Analysis'!I$20,'[1]NS Vendor Details'!$L:$L,'G&amp;A Vendor x GL Analysis'!$D34,'[1]NS Vendor Details'!$O:$O,'G&amp;A Vendor x GL Analysis'!$F34,'[1]NS Vendor Details'!$N:$N,'G&amp;A Vendor x GL Analysis'!$C34),IF(I$15="Actual",SUMIFS('[1]NS Vendor Details'!$D:$D,'[1]NS Vendor Details'!$H:$H,'G&amp;A Vendor x GL Analysis'!I$20,'[1]NS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0</v>
      </c>
      <c r="J34" s="17">
        <f>IF(AND(J$15="Actual",ISBLANK($E$8)),SUMIFS('[1]NS Vendor Details'!$D:$D,'[1]NS Vendor Details'!$H:$H,'G&amp;A Vendor x GL Analysis'!J$20,'[1]NS Vendor Details'!$L:$L,'G&amp;A Vendor x GL Analysis'!$D34,'[1]NS Vendor Details'!$O:$O,'G&amp;A Vendor x GL Analysis'!$F34,'[1]NS Vendor Details'!$N:$N,'G&amp;A Vendor x GL Analysis'!$C34),IF(J$15="Actual",SUMIFS('[1]NS Vendor Details'!$D:$D,'[1]NS Vendor Details'!$H:$H,'G&amp;A Vendor x GL Analysis'!J$20,'[1]NS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0</v>
      </c>
      <c r="K34" s="17">
        <f>IF(AND(K$15="Actual",ISBLANK($E$8)),SUMIFS('[1]NS Vendor Details'!$D:$D,'[1]NS Vendor Details'!$H:$H,'G&amp;A Vendor x GL Analysis'!K$20,'[1]NS Vendor Details'!$L:$L,'G&amp;A Vendor x GL Analysis'!$D34,'[1]NS Vendor Details'!$O:$O,'G&amp;A Vendor x GL Analysis'!$F34,'[1]NS Vendor Details'!$N:$N,'G&amp;A Vendor x GL Analysis'!$C34),IF(K$15="Actual",SUMIFS('[1]NS Vendor Details'!$D:$D,'[1]NS Vendor Details'!$H:$H,'G&amp;A Vendor x GL Analysis'!K$20,'[1]NS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0</v>
      </c>
      <c r="L34" s="17">
        <f>IF(AND(L$15="Actual",ISBLANK($E$8)),SUMIFS('[1]NS Vendor Details'!$D:$D,'[1]NS Vendor Details'!$H:$H,'G&amp;A Vendor x GL Analysis'!L$20,'[1]NS Vendor Details'!$L:$L,'G&amp;A Vendor x GL Analysis'!$D34,'[1]NS Vendor Details'!$O:$O,'G&amp;A Vendor x GL Analysis'!$F34,'[1]NS Vendor Details'!$N:$N,'G&amp;A Vendor x GL Analysis'!$C34),IF(L$15="Actual",SUMIFS('[1]NS Vendor Details'!$D:$D,'[1]NS Vendor Details'!$H:$H,'G&amp;A Vendor x GL Analysis'!L$20,'[1]NS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4320</v>
      </c>
      <c r="M34" s="17">
        <f>IF(AND(M$15="Actual",ISBLANK($E$8)),SUMIFS('[1]NS Vendor Details'!$D:$D,'[1]NS Vendor Details'!$H:$H,'G&amp;A Vendor x GL Analysis'!M$20,'[1]NS Vendor Details'!$L:$L,'G&amp;A Vendor x GL Analysis'!$D34,'[1]NS Vendor Details'!$O:$O,'G&amp;A Vendor x GL Analysis'!$F34,'[1]NS Vendor Details'!$N:$N,'G&amp;A Vendor x GL Analysis'!$C34),IF(M$15="Actual",SUMIFS('[1]NS Vendor Details'!$D:$D,'[1]NS Vendor Details'!$H:$H,'G&amp;A Vendor x GL Analysis'!M$20,'[1]NS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0</v>
      </c>
      <c r="N34" s="17">
        <f>IF(AND(N$15="Actual",ISBLANK($E$8)),SUMIFS('[1]NS Vendor Details'!$D:$D,'[1]NS Vendor Details'!$H:$H,'G&amp;A Vendor x GL Analysis'!N$20,'[1]NS Vendor Details'!$L:$L,'G&amp;A Vendor x GL Analysis'!$D34,'[1]NS Vendor Details'!$O:$O,'G&amp;A Vendor x GL Analysis'!$F34,'[1]NS Vendor Details'!$N:$N,'G&amp;A Vendor x GL Analysis'!$C34),IF(N$15="Actual",SUMIFS('[1]NS Vendor Details'!$D:$D,'[1]NS Vendor Details'!$H:$H,'G&amp;A Vendor x GL Analysis'!N$20,'[1]NS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1440</v>
      </c>
      <c r="O34" s="17">
        <f>IF(AND(O$15="Actual",ISBLANK($E$8)),SUMIFS('[1]NS Vendor Details'!$D:$D,'[1]NS Vendor Details'!$H:$H,'G&amp;A Vendor x GL Analysis'!O$20,'[1]NS Vendor Details'!$L:$L,'G&amp;A Vendor x GL Analysis'!$D34,'[1]NS Vendor Details'!$O:$O,'G&amp;A Vendor x GL Analysis'!$F34,'[1]NS Vendor Details'!$N:$N,'G&amp;A Vendor x GL Analysis'!$C34),IF(O$15="Actual",SUMIFS('[1]NS Vendor Details'!$D:$D,'[1]NS Vendor Details'!$H:$H,'G&amp;A Vendor x GL Analysis'!O$20,'[1]NS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0</v>
      </c>
      <c r="P34" s="17">
        <f>IF(AND(P$15="Actual",ISBLANK($E$8)),SUMIFS('[1]NS Vendor Details'!$D:$D,'[1]NS Vendor Details'!$H:$H,'G&amp;A Vendor x GL Analysis'!P$20,'[1]NS Vendor Details'!$L:$L,'G&amp;A Vendor x GL Analysis'!$D34,'[1]NS Vendor Details'!$O:$O,'G&amp;A Vendor x GL Analysis'!$F34,'[1]NS Vendor Details'!$N:$N,'G&amp;A Vendor x GL Analysis'!$C34),IF(P$15="Actual",SUMIFS('[1]NS Vendor Details'!$D:$D,'[1]NS Vendor Details'!$H:$H,'G&amp;A Vendor x GL Analysis'!P$20,'[1]NS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0</v>
      </c>
      <c r="Q34" s="17">
        <f>IF(AND(Q$15="Actual",ISBLANK($E$8)),SUMIFS('[1]NS Vendor Details'!$D:$D,'[1]NS Vendor Details'!$H:$H,'G&amp;A Vendor x GL Analysis'!Q$20,'[1]NS Vendor Details'!$L:$L,'G&amp;A Vendor x GL Analysis'!$D34,'[1]NS Vendor Details'!$O:$O,'G&amp;A Vendor x GL Analysis'!$F34,'[1]NS Vendor Details'!$N:$N,'G&amp;A Vendor x GL Analysis'!$C34),IF(Q$15="Actual",SUMIFS('[1]NS Vendor Details'!$D:$D,'[1]NS Vendor Details'!$H:$H,'G&amp;A Vendor x GL Analysis'!Q$20,'[1]NS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4320</v>
      </c>
      <c r="R34" s="18">
        <f>IF(AND(R$15="Actual",ISBLANK($E$8)),SUMIFS('[1]NS Vendor Details'!$D:$D,'[1]NS Vendor Details'!$H:$H,'G&amp;A Vendor x GL Analysis'!R$20,'[1]NS Vendor Details'!$L:$L,'G&amp;A Vendor x GL Analysis'!$D34,'[1]NS Vendor Details'!$O:$O,'G&amp;A Vendor x GL Analysis'!$F34,'[1]NS Vendor Details'!$N:$N,'G&amp;A Vendor x GL Analysis'!$C34),IF(R$15="Actual",SUMIFS('[1]NS Vendor Details'!$D:$D,'[1]NS Vendor Details'!$H:$H,'G&amp;A Vendor x GL Analysis'!R$20,'[1]NS Vendor Details'!$L:$L,'G&amp;A Vendor x GL Analysis'!$D34,'[1]NS Vendor Details'!$O:$O,'G&amp;A Vendor x GL Analysis'!$F34,'[1]NS Vendor Details'!$N:$N,'G&amp;A Vendor x GL Analysis'!$C34,'[1]NS Vendor Details'!$K:$K,'G&amp;A Vendor x GL Analysis'!$E$8),0))</f>
        <v>2880</v>
      </c>
      <c r="S34" s="16">
        <f>IF(AND(S$15="Actual",ISBLANK($E$8)),SUMIFS('[1]NS Vendor Details'!$D:$D,'[1]NS Vendor Details'!$H:$H,'G&amp;A Vendor x GL Analysis'!S$20,'[1]NS Vendor Details'!$L:$L,'G&amp;A Vendor x GL Analysis'!$D34,'[1]NS Vendor Details'!$O:$O,'G&amp;A Vendor x GL Analysis'!$F34,'[1]NS Vendor Details'!$N:$N,'G&amp;A Vendor x GL Analysis'!$C34,'[1]NS Vendor Details'!$I:$I,'G&amp;A Vendor x GL Analysis'!$E34),IF(S$15="Actual",SUMIFS('[1]NS Vendor Details'!$D:$D,'[1]NS Vendor Details'!$H:$H,'G&amp;A Vendor x GL Analysis'!S$20,'[1]NS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1440</v>
      </c>
      <c r="T34" s="17">
        <f>IF(AND(T$15="Actual",ISBLANK($E$8)),SUMIFS('[1]NS Vendor Details'!$D:$D,'[1]NS Vendor Details'!$H:$H,'G&amp;A Vendor x GL Analysis'!T$20,'[1]NS Vendor Details'!$L:$L,'G&amp;A Vendor x GL Analysis'!$D34,'[1]NS Vendor Details'!$O:$O,'G&amp;A Vendor x GL Analysis'!$F34,'[1]NS Vendor Details'!$N:$N,'G&amp;A Vendor x GL Analysis'!$C34,'[1]NS Vendor Details'!$I:$I,'G&amp;A Vendor x GL Analysis'!$E34),IF(T$15="Actual",SUMIFS('[1]NS Vendor Details'!$D:$D,'[1]NS Vendor Details'!$H:$H,'G&amp;A Vendor x GL Analysis'!T$20,'[1]NS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U34" s="17">
        <f>IF(AND(U$15="Actual",ISBLANK($E$8)),SUMIFS('[1]NS Vendor Details'!$D:$D,'[1]NS Vendor Details'!$H:$H,'G&amp;A Vendor x GL Analysis'!U$20,'[1]NS Vendor Details'!$L:$L,'G&amp;A Vendor x GL Analysis'!$D34,'[1]NS Vendor Details'!$O:$O,'G&amp;A Vendor x GL Analysis'!$F34,'[1]NS Vendor Details'!$N:$N,'G&amp;A Vendor x GL Analysis'!$C34,'[1]NS Vendor Details'!$I:$I,'G&amp;A Vendor x GL Analysis'!$E34),IF(U$15="Actual",SUMIFS('[1]NS Vendor Details'!$D:$D,'[1]NS Vendor Details'!$H:$H,'G&amp;A Vendor x GL Analysis'!U$20,'[1]NS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V34" s="17">
        <f>IF(AND(V$15="Actual",ISBLANK($E$8)),SUMIFS('[1]NS Vendor Details'!$D:$D,'[1]NS Vendor Details'!$H:$H,'G&amp;A Vendor x GL Analysis'!V$20,'[1]NS Vendor Details'!$L:$L,'G&amp;A Vendor x GL Analysis'!$D34,'[1]NS Vendor Details'!$O:$O,'G&amp;A Vendor x GL Analysis'!$F34,'[1]NS Vendor Details'!$N:$N,'G&amp;A Vendor x GL Analysis'!$C34,'[1]NS Vendor Details'!$I:$I,'G&amp;A Vendor x GL Analysis'!$E34),IF(V$15="Actual",SUMIFS('[1]NS Vendor Details'!$D:$D,'[1]NS Vendor Details'!$H:$H,'G&amp;A Vendor x GL Analysis'!V$20,'[1]NS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W34" s="17">
        <f>IF(AND(W$15="Actual",ISBLANK($E$8)),SUMIFS('[1]NS Vendor Details'!$D:$D,'[1]NS Vendor Details'!$H:$H,'G&amp;A Vendor x GL Analysis'!W$20,'[1]NS Vendor Details'!$L:$L,'G&amp;A Vendor x GL Analysis'!$D34,'[1]NS Vendor Details'!$O:$O,'G&amp;A Vendor x GL Analysis'!$F34,'[1]NS Vendor Details'!$N:$N,'G&amp;A Vendor x GL Analysis'!$C34,'[1]NS Vendor Details'!$I:$I,'G&amp;A Vendor x GL Analysis'!$E34),IF(W$15="Actual",SUMIFS('[1]NS Vendor Details'!$D:$D,'[1]NS Vendor Details'!$H:$H,'G&amp;A Vendor x GL Analysis'!W$20,'[1]NS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X34" s="17">
        <f>IF(AND(X$15="Actual",ISBLANK($E$8)),SUMIFS('[1]NS Vendor Details'!$D:$D,'[1]NS Vendor Details'!$H:$H,'G&amp;A Vendor x GL Analysis'!X$20,'[1]NS Vendor Details'!$L:$L,'G&amp;A Vendor x GL Analysis'!$D34,'[1]NS Vendor Details'!$O:$O,'G&amp;A Vendor x GL Analysis'!$F34,'[1]NS Vendor Details'!$N:$N,'G&amp;A Vendor x GL Analysis'!$C34,'[1]NS Vendor Details'!$I:$I,'G&amp;A Vendor x GL Analysis'!$E34),IF(X$15="Actual",SUMIFS('[1]NS Vendor Details'!$D:$D,'[1]NS Vendor Details'!$H:$H,'G&amp;A Vendor x GL Analysis'!X$20,'[1]NS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4320</v>
      </c>
      <c r="Y34" s="17">
        <f>IF(AND(Y$15="Actual",ISBLANK($E$8)),SUMIFS('[1]NS Vendor Details'!$D:$D,'[1]NS Vendor Details'!$H:$H,'G&amp;A Vendor x GL Analysis'!Y$20,'[1]NS Vendor Details'!$L:$L,'G&amp;A Vendor x GL Analysis'!$D34,'[1]NS Vendor Details'!$O:$O,'G&amp;A Vendor x GL Analysis'!$F34,'[1]NS Vendor Details'!$N:$N,'G&amp;A Vendor x GL Analysis'!$C34,'[1]NS Vendor Details'!$I:$I,'G&amp;A Vendor x GL Analysis'!$E34),IF(Y$15="Actual",SUMIFS('[1]NS Vendor Details'!$D:$D,'[1]NS Vendor Details'!$H:$H,'G&amp;A Vendor x GL Analysis'!Y$20,'[1]NS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Z34" s="17">
        <f>IF(AND(Z$15="Actual",ISBLANK($E$8)),SUMIFS('[1]NS Vendor Details'!$D:$D,'[1]NS Vendor Details'!$H:$H,'G&amp;A Vendor x GL Analysis'!Z$20,'[1]NS Vendor Details'!$L:$L,'G&amp;A Vendor x GL Analysis'!$D34,'[1]NS Vendor Details'!$O:$O,'G&amp;A Vendor x GL Analysis'!$F34,'[1]NS Vendor Details'!$N:$N,'G&amp;A Vendor x GL Analysis'!$C34,'[1]NS Vendor Details'!$I:$I,'G&amp;A Vendor x GL Analysis'!$E34),IF(Z$15="Actual",SUMIFS('[1]NS Vendor Details'!$D:$D,'[1]NS Vendor Details'!$H:$H,'G&amp;A Vendor x GL Analysis'!Z$20,'[1]NS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1440</v>
      </c>
      <c r="AA34" s="17">
        <f>IF(AND(AA$15="Actual",ISBLANK($E$8)),SUMIFS('[1]NS Vendor Details'!$D:$D,'[1]NS Vendor Details'!$H:$H,'G&amp;A Vendor x GL Analysis'!AA$20,'[1]NS Vendor Details'!$L:$L,'G&amp;A Vendor x GL Analysis'!$D34,'[1]NS Vendor Details'!$O:$O,'G&amp;A Vendor x GL Analysis'!$F34,'[1]NS Vendor Details'!$N:$N,'G&amp;A Vendor x GL Analysis'!$C34,'[1]NS Vendor Details'!$I:$I,'G&amp;A Vendor x GL Analysis'!$E34),IF(AA$15="Actual",SUMIFS('[1]NS Vendor Details'!$D:$D,'[1]NS Vendor Details'!$H:$H,'G&amp;A Vendor x GL Analysis'!AA$20,'[1]NS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AB34" s="17">
        <f>IF(AND(AB$15="Actual",ISBLANK($E$8)),SUMIFS('[1]NS Vendor Details'!$D:$D,'[1]NS Vendor Details'!$H:$H,'G&amp;A Vendor x GL Analysis'!AB$20,'[1]NS Vendor Details'!$L:$L,'G&amp;A Vendor x GL Analysis'!$D34,'[1]NS Vendor Details'!$O:$O,'G&amp;A Vendor x GL Analysis'!$F34,'[1]NS Vendor Details'!$N:$N,'G&amp;A Vendor x GL Analysis'!$C34,'[1]NS Vendor Details'!$I:$I,'G&amp;A Vendor x GL Analysis'!$E34),IF(AB$15="Actual",SUMIFS('[1]NS Vendor Details'!$D:$D,'[1]NS Vendor Details'!$H:$H,'G&amp;A Vendor x GL Analysis'!AB$20,'[1]NS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AC34" s="18">
        <f>IF(AND(AC$15="Actual",ISBLANK($E$8)),SUMIFS('[1]NS Vendor Details'!$D:$D,'[1]NS Vendor Details'!$H:$H,'G&amp;A Vendor x GL Analysis'!AC$20,'[1]NS Vendor Details'!$L:$L,'G&amp;A Vendor x GL Analysis'!$D34,'[1]NS Vendor Details'!$O:$O,'G&amp;A Vendor x GL Analysis'!$F34,'[1]NS Vendor Details'!$N:$N,'G&amp;A Vendor x GL Analysis'!$C34,'[1]NS Vendor Details'!$I:$I,'G&amp;A Vendor x GL Analysis'!$E34),IF(AC$15="Actual",SUMIFS('[1]NS Vendor Details'!$D:$D,'[1]NS Vendor Details'!$H:$H,'G&amp;A Vendor x GL Analysis'!AC$20,'[1]NS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AD34" s="18">
        <f>IF(AND(AD$15="Actual",ISBLANK($E$8)),SUMIFS('[1]NS Vendor Details'!$D:$D,'[1]NS Vendor Details'!$H:$H,'G&amp;A Vendor x GL Analysis'!AD$20,'[1]NS Vendor Details'!$L:$L,'G&amp;A Vendor x GL Analysis'!$D34,'[1]NS Vendor Details'!$O:$O,'G&amp;A Vendor x GL Analysis'!$F34,'[1]NS Vendor Details'!$N:$N,'G&amp;A Vendor x GL Analysis'!$C34,'[1]NS Vendor Details'!$I:$I,'G&amp;A Vendor x GL Analysis'!$E34),IF(AD$15="Actual",SUMIFS('[1]NS Vendor Details'!$D:$D,'[1]NS Vendor Details'!$H:$H,'G&amp;A Vendor x GL Analysis'!AD$20,'[1]NS Vendor Details'!$L:$L,'G&amp;A Vendor x GL Analysis'!$D34,'[1]NS Vendor Details'!$O:$O,'G&amp;A Vendor x GL Analysis'!$F34,'[1]NS Vendor Details'!$N:$N,'G&amp;A Vendor x GL Analysis'!$C34,'[1]NS Vendor Details'!$K:$K,'G&amp;A Vendor x GL Analysis'!$E$8,'[1]NS Vendor Details'!$I:$I,'G&amp;A Vendor x GL Analysis'!$E34),0))</f>
        <v>0</v>
      </c>
      <c r="AF34" s="19">
        <f t="shared" si="9"/>
        <v>7200</v>
      </c>
    </row>
    <row r="35" spans="1:32" outlineLevel="1">
      <c r="A35" s="8" t="str">
        <f t="shared" si="8"/>
        <v>Advertising6288 - Model</v>
      </c>
      <c r="C35" s="8" t="s">
        <v>11</v>
      </c>
      <c r="D35" s="8" t="str">
        <f t="shared" si="10"/>
        <v>Advertising</v>
      </c>
      <c r="E35" s="2" t="s">
        <v>23</v>
      </c>
      <c r="F35" s="2" t="s">
        <v>28</v>
      </c>
      <c r="G35" s="16">
        <f>IF(AND(G$15="Actual",ISBLANK($E$8)),SUMIFS('[1]NS Vendor Details'!$D:$D,'[1]NS Vendor Details'!$H:$H,'G&amp;A Vendor x GL Analysis'!G$20,'[1]NS Vendor Details'!$L:$L,'G&amp;A Vendor x GL Analysis'!$D35,'[1]NS Vendor Details'!$O:$O,'G&amp;A Vendor x GL Analysis'!$F35,'[1]NS Vendor Details'!$N:$N,'G&amp;A Vendor x GL Analysis'!$C35),IF(G$15="Actual",SUMIFS('[1]NS Vendor Details'!$D:$D,'[1]NS Vendor Details'!$H:$H,'G&amp;A Vendor x GL Analysis'!G$20,'[1]NS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H35" s="17">
        <f>IF(AND(H$15="Actual",ISBLANK($E$8)),SUMIFS('[1]NS Vendor Details'!$D:$D,'[1]NS Vendor Details'!$H:$H,'G&amp;A Vendor x GL Analysis'!H$20,'[1]NS Vendor Details'!$L:$L,'G&amp;A Vendor x GL Analysis'!$D35,'[1]NS Vendor Details'!$O:$O,'G&amp;A Vendor x GL Analysis'!$F35,'[1]NS Vendor Details'!$N:$N,'G&amp;A Vendor x GL Analysis'!$C35),IF(H$15="Actual",SUMIFS('[1]NS Vendor Details'!$D:$D,'[1]NS Vendor Details'!$H:$H,'G&amp;A Vendor x GL Analysis'!H$20,'[1]NS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I35" s="17">
        <f>IF(AND(I$15="Actual",ISBLANK($E$8)),SUMIFS('[1]NS Vendor Details'!$D:$D,'[1]NS Vendor Details'!$H:$H,'G&amp;A Vendor x GL Analysis'!I$20,'[1]NS Vendor Details'!$L:$L,'G&amp;A Vendor x GL Analysis'!$D35,'[1]NS Vendor Details'!$O:$O,'G&amp;A Vendor x GL Analysis'!$F35,'[1]NS Vendor Details'!$N:$N,'G&amp;A Vendor x GL Analysis'!$C35),IF(I$15="Actual",SUMIFS('[1]NS Vendor Details'!$D:$D,'[1]NS Vendor Details'!$H:$H,'G&amp;A Vendor x GL Analysis'!I$20,'[1]NS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J35" s="17">
        <f>IF(AND(J$15="Actual",ISBLANK($E$8)),SUMIFS('[1]NS Vendor Details'!$D:$D,'[1]NS Vendor Details'!$H:$H,'G&amp;A Vendor x GL Analysis'!J$20,'[1]NS Vendor Details'!$L:$L,'G&amp;A Vendor x GL Analysis'!$D35,'[1]NS Vendor Details'!$O:$O,'G&amp;A Vendor x GL Analysis'!$F35,'[1]NS Vendor Details'!$N:$N,'G&amp;A Vendor x GL Analysis'!$C35),IF(J$15="Actual",SUMIFS('[1]NS Vendor Details'!$D:$D,'[1]NS Vendor Details'!$H:$H,'G&amp;A Vendor x GL Analysis'!J$20,'[1]NS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K35" s="17">
        <f>IF(AND(K$15="Actual",ISBLANK($E$8)),SUMIFS('[1]NS Vendor Details'!$D:$D,'[1]NS Vendor Details'!$H:$H,'G&amp;A Vendor x GL Analysis'!K$20,'[1]NS Vendor Details'!$L:$L,'G&amp;A Vendor x GL Analysis'!$D35,'[1]NS Vendor Details'!$O:$O,'G&amp;A Vendor x GL Analysis'!$F35,'[1]NS Vendor Details'!$N:$N,'G&amp;A Vendor x GL Analysis'!$C35),IF(K$15="Actual",SUMIFS('[1]NS Vendor Details'!$D:$D,'[1]NS Vendor Details'!$H:$H,'G&amp;A Vendor x GL Analysis'!K$20,'[1]NS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L35" s="17">
        <f>IF(AND(L$15="Actual",ISBLANK($E$8)),SUMIFS('[1]NS Vendor Details'!$D:$D,'[1]NS Vendor Details'!$H:$H,'G&amp;A Vendor x GL Analysis'!L$20,'[1]NS Vendor Details'!$L:$L,'G&amp;A Vendor x GL Analysis'!$D35,'[1]NS Vendor Details'!$O:$O,'G&amp;A Vendor x GL Analysis'!$F35,'[1]NS Vendor Details'!$N:$N,'G&amp;A Vendor x GL Analysis'!$C35),IF(L$15="Actual",SUMIFS('[1]NS Vendor Details'!$D:$D,'[1]NS Vendor Details'!$H:$H,'G&amp;A Vendor x GL Analysis'!L$20,'[1]NS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M35" s="17">
        <f>IF(AND(M$15="Actual",ISBLANK($E$8)),SUMIFS('[1]NS Vendor Details'!$D:$D,'[1]NS Vendor Details'!$H:$H,'G&amp;A Vendor x GL Analysis'!M$20,'[1]NS Vendor Details'!$L:$L,'G&amp;A Vendor x GL Analysis'!$D35,'[1]NS Vendor Details'!$O:$O,'G&amp;A Vendor x GL Analysis'!$F35,'[1]NS Vendor Details'!$N:$N,'G&amp;A Vendor x GL Analysis'!$C35),IF(M$15="Actual",SUMIFS('[1]NS Vendor Details'!$D:$D,'[1]NS Vendor Details'!$H:$H,'G&amp;A Vendor x GL Analysis'!M$20,'[1]NS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4800</v>
      </c>
      <c r="N35" s="17">
        <f>IF(AND(N$15="Actual",ISBLANK($E$8)),SUMIFS('[1]NS Vendor Details'!$D:$D,'[1]NS Vendor Details'!$H:$H,'G&amp;A Vendor x GL Analysis'!N$20,'[1]NS Vendor Details'!$L:$L,'G&amp;A Vendor x GL Analysis'!$D35,'[1]NS Vendor Details'!$O:$O,'G&amp;A Vendor x GL Analysis'!$F35,'[1]NS Vendor Details'!$N:$N,'G&amp;A Vendor x GL Analysis'!$C35),IF(N$15="Actual",SUMIFS('[1]NS Vendor Details'!$D:$D,'[1]NS Vendor Details'!$H:$H,'G&amp;A Vendor x GL Analysis'!N$20,'[1]NS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O35" s="17">
        <f>IF(AND(O$15="Actual",ISBLANK($E$8)),SUMIFS('[1]NS Vendor Details'!$D:$D,'[1]NS Vendor Details'!$H:$H,'G&amp;A Vendor x GL Analysis'!O$20,'[1]NS Vendor Details'!$L:$L,'G&amp;A Vendor x GL Analysis'!$D35,'[1]NS Vendor Details'!$O:$O,'G&amp;A Vendor x GL Analysis'!$F35,'[1]NS Vendor Details'!$N:$N,'G&amp;A Vendor x GL Analysis'!$C35),IF(O$15="Actual",SUMIFS('[1]NS Vendor Details'!$D:$D,'[1]NS Vendor Details'!$H:$H,'G&amp;A Vendor x GL Analysis'!O$20,'[1]NS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P35" s="17">
        <f>IF(AND(P$15="Actual",ISBLANK($E$8)),SUMIFS('[1]NS Vendor Details'!$D:$D,'[1]NS Vendor Details'!$H:$H,'G&amp;A Vendor x GL Analysis'!P$20,'[1]NS Vendor Details'!$L:$L,'G&amp;A Vendor x GL Analysis'!$D35,'[1]NS Vendor Details'!$O:$O,'G&amp;A Vendor x GL Analysis'!$F35,'[1]NS Vendor Details'!$N:$N,'G&amp;A Vendor x GL Analysis'!$C35),IF(P$15="Actual",SUMIFS('[1]NS Vendor Details'!$D:$D,'[1]NS Vendor Details'!$H:$H,'G&amp;A Vendor x GL Analysis'!P$20,'[1]NS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0</v>
      </c>
      <c r="Q35" s="17">
        <f>IF(AND(Q$15="Actual",ISBLANK($E$8)),SUMIFS('[1]NS Vendor Details'!$D:$D,'[1]NS Vendor Details'!$H:$H,'G&amp;A Vendor x GL Analysis'!Q$20,'[1]NS Vendor Details'!$L:$L,'G&amp;A Vendor x GL Analysis'!$D35,'[1]NS Vendor Details'!$O:$O,'G&amp;A Vendor x GL Analysis'!$F35,'[1]NS Vendor Details'!$N:$N,'G&amp;A Vendor x GL Analysis'!$C35),IF(Q$15="Actual",SUMIFS('[1]NS Vendor Details'!$D:$D,'[1]NS Vendor Details'!$H:$H,'G&amp;A Vendor x GL Analysis'!Q$20,'[1]NS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2400</v>
      </c>
      <c r="R35" s="18">
        <f>IF(AND(R$15="Actual",ISBLANK($E$8)),SUMIFS('[1]NS Vendor Details'!$D:$D,'[1]NS Vendor Details'!$H:$H,'G&amp;A Vendor x GL Analysis'!R$20,'[1]NS Vendor Details'!$L:$L,'G&amp;A Vendor x GL Analysis'!$D35,'[1]NS Vendor Details'!$O:$O,'G&amp;A Vendor x GL Analysis'!$F35,'[1]NS Vendor Details'!$N:$N,'G&amp;A Vendor x GL Analysis'!$C35),IF(R$15="Actual",SUMIFS('[1]NS Vendor Details'!$D:$D,'[1]NS Vendor Details'!$H:$H,'G&amp;A Vendor x GL Analysis'!R$20,'[1]NS Vendor Details'!$L:$L,'G&amp;A Vendor x GL Analysis'!$D35,'[1]NS Vendor Details'!$O:$O,'G&amp;A Vendor x GL Analysis'!$F35,'[1]NS Vendor Details'!$N:$N,'G&amp;A Vendor x GL Analysis'!$C35,'[1]NS Vendor Details'!$K:$K,'G&amp;A Vendor x GL Analysis'!$E$8),0))</f>
        <v>4800</v>
      </c>
      <c r="S35" s="16">
        <f>IF(AND(S$15="Actual",ISBLANK($E$8)),SUMIFS('[1]NS Vendor Details'!$D:$D,'[1]NS Vendor Details'!$H:$H,'G&amp;A Vendor x GL Analysis'!S$20,'[1]NS Vendor Details'!$L:$L,'G&amp;A Vendor x GL Analysis'!$D35,'[1]NS Vendor Details'!$O:$O,'G&amp;A Vendor x GL Analysis'!$F35,'[1]NS Vendor Details'!$N:$N,'G&amp;A Vendor x GL Analysis'!$C35,'[1]NS Vendor Details'!$I:$I,'G&amp;A Vendor x GL Analysis'!$E35),IF(S$15="Actual",SUMIFS('[1]NS Vendor Details'!$D:$D,'[1]NS Vendor Details'!$H:$H,'G&amp;A Vendor x GL Analysis'!S$20,'[1]NS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T35" s="17">
        <f>IF(AND(T$15="Actual",ISBLANK($E$8)),SUMIFS('[1]NS Vendor Details'!$D:$D,'[1]NS Vendor Details'!$H:$H,'G&amp;A Vendor x GL Analysis'!T$20,'[1]NS Vendor Details'!$L:$L,'G&amp;A Vendor x GL Analysis'!$D35,'[1]NS Vendor Details'!$O:$O,'G&amp;A Vendor x GL Analysis'!$F35,'[1]NS Vendor Details'!$N:$N,'G&amp;A Vendor x GL Analysis'!$C35,'[1]NS Vendor Details'!$I:$I,'G&amp;A Vendor x GL Analysis'!$E35),IF(T$15="Actual",SUMIFS('[1]NS Vendor Details'!$D:$D,'[1]NS Vendor Details'!$H:$H,'G&amp;A Vendor x GL Analysis'!T$20,'[1]NS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U35" s="17">
        <f>IF(AND(U$15="Actual",ISBLANK($E$8)),SUMIFS('[1]NS Vendor Details'!$D:$D,'[1]NS Vendor Details'!$H:$H,'G&amp;A Vendor x GL Analysis'!U$20,'[1]NS Vendor Details'!$L:$L,'G&amp;A Vendor x GL Analysis'!$D35,'[1]NS Vendor Details'!$O:$O,'G&amp;A Vendor x GL Analysis'!$F35,'[1]NS Vendor Details'!$N:$N,'G&amp;A Vendor x GL Analysis'!$C35,'[1]NS Vendor Details'!$I:$I,'G&amp;A Vendor x GL Analysis'!$E35),IF(U$15="Actual",SUMIFS('[1]NS Vendor Details'!$D:$D,'[1]NS Vendor Details'!$H:$H,'G&amp;A Vendor x GL Analysis'!U$20,'[1]NS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V35" s="17">
        <f>IF(AND(V$15="Actual",ISBLANK($E$8)),SUMIFS('[1]NS Vendor Details'!$D:$D,'[1]NS Vendor Details'!$H:$H,'G&amp;A Vendor x GL Analysis'!V$20,'[1]NS Vendor Details'!$L:$L,'G&amp;A Vendor x GL Analysis'!$D35,'[1]NS Vendor Details'!$O:$O,'G&amp;A Vendor x GL Analysis'!$F35,'[1]NS Vendor Details'!$N:$N,'G&amp;A Vendor x GL Analysis'!$C35,'[1]NS Vendor Details'!$I:$I,'G&amp;A Vendor x GL Analysis'!$E35),IF(V$15="Actual",SUMIFS('[1]NS Vendor Details'!$D:$D,'[1]NS Vendor Details'!$H:$H,'G&amp;A Vendor x GL Analysis'!V$20,'[1]NS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W35" s="17">
        <f>IF(AND(W$15="Actual",ISBLANK($E$8)),SUMIFS('[1]NS Vendor Details'!$D:$D,'[1]NS Vendor Details'!$H:$H,'G&amp;A Vendor x GL Analysis'!W$20,'[1]NS Vendor Details'!$L:$L,'G&amp;A Vendor x GL Analysis'!$D35,'[1]NS Vendor Details'!$O:$O,'G&amp;A Vendor x GL Analysis'!$F35,'[1]NS Vendor Details'!$N:$N,'G&amp;A Vendor x GL Analysis'!$C35,'[1]NS Vendor Details'!$I:$I,'G&amp;A Vendor x GL Analysis'!$E35),IF(W$15="Actual",SUMIFS('[1]NS Vendor Details'!$D:$D,'[1]NS Vendor Details'!$H:$H,'G&amp;A Vendor x GL Analysis'!W$20,'[1]NS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X35" s="17">
        <f>IF(AND(X$15="Actual",ISBLANK($E$8)),SUMIFS('[1]NS Vendor Details'!$D:$D,'[1]NS Vendor Details'!$H:$H,'G&amp;A Vendor x GL Analysis'!X$20,'[1]NS Vendor Details'!$L:$L,'G&amp;A Vendor x GL Analysis'!$D35,'[1]NS Vendor Details'!$O:$O,'G&amp;A Vendor x GL Analysis'!$F35,'[1]NS Vendor Details'!$N:$N,'G&amp;A Vendor x GL Analysis'!$C35,'[1]NS Vendor Details'!$I:$I,'G&amp;A Vendor x GL Analysis'!$E35),IF(X$15="Actual",SUMIFS('[1]NS Vendor Details'!$D:$D,'[1]NS Vendor Details'!$H:$H,'G&amp;A Vendor x GL Analysis'!X$20,'[1]NS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2462.6999999999998</v>
      </c>
      <c r="Y35" s="17">
        <f>IF(AND(Y$15="Actual",ISBLANK($E$8)),SUMIFS('[1]NS Vendor Details'!$D:$D,'[1]NS Vendor Details'!$H:$H,'G&amp;A Vendor x GL Analysis'!Y$20,'[1]NS Vendor Details'!$L:$L,'G&amp;A Vendor x GL Analysis'!$D35,'[1]NS Vendor Details'!$O:$O,'G&amp;A Vendor x GL Analysis'!$F35,'[1]NS Vendor Details'!$N:$N,'G&amp;A Vendor x GL Analysis'!$C35,'[1]NS Vendor Details'!$I:$I,'G&amp;A Vendor x GL Analysis'!$E35),IF(Y$15="Actual",SUMIFS('[1]NS Vendor Details'!$D:$D,'[1]NS Vendor Details'!$H:$H,'G&amp;A Vendor x GL Analysis'!Y$20,'[1]NS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2400</v>
      </c>
      <c r="Z35" s="17">
        <f>IF(AND(Z$15="Actual",ISBLANK($E$8)),SUMIFS('[1]NS Vendor Details'!$D:$D,'[1]NS Vendor Details'!$H:$H,'G&amp;A Vendor x GL Analysis'!Z$20,'[1]NS Vendor Details'!$L:$L,'G&amp;A Vendor x GL Analysis'!$D35,'[1]NS Vendor Details'!$O:$O,'G&amp;A Vendor x GL Analysis'!$F35,'[1]NS Vendor Details'!$N:$N,'G&amp;A Vendor x GL Analysis'!$C35,'[1]NS Vendor Details'!$I:$I,'G&amp;A Vendor x GL Analysis'!$E35),IF(Z$15="Actual",SUMIFS('[1]NS Vendor Details'!$D:$D,'[1]NS Vendor Details'!$H:$H,'G&amp;A Vendor x GL Analysis'!Z$20,'[1]NS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AA35" s="17">
        <f>IF(AND(AA$15="Actual",ISBLANK($E$8)),SUMIFS('[1]NS Vendor Details'!$D:$D,'[1]NS Vendor Details'!$H:$H,'G&amp;A Vendor x GL Analysis'!AA$20,'[1]NS Vendor Details'!$L:$L,'G&amp;A Vendor x GL Analysis'!$D35,'[1]NS Vendor Details'!$O:$O,'G&amp;A Vendor x GL Analysis'!$F35,'[1]NS Vendor Details'!$N:$N,'G&amp;A Vendor x GL Analysis'!$C35,'[1]NS Vendor Details'!$I:$I,'G&amp;A Vendor x GL Analysis'!$E35),IF(AA$15="Actual",SUMIFS('[1]NS Vendor Details'!$D:$D,'[1]NS Vendor Details'!$H:$H,'G&amp;A Vendor x GL Analysis'!AA$20,'[1]NS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AB35" s="17">
        <f>IF(AND(AB$15="Actual",ISBLANK($E$8)),SUMIFS('[1]NS Vendor Details'!$D:$D,'[1]NS Vendor Details'!$H:$H,'G&amp;A Vendor x GL Analysis'!AB$20,'[1]NS Vendor Details'!$L:$L,'G&amp;A Vendor x GL Analysis'!$D35,'[1]NS Vendor Details'!$O:$O,'G&amp;A Vendor x GL Analysis'!$F35,'[1]NS Vendor Details'!$N:$N,'G&amp;A Vendor x GL Analysis'!$C35,'[1]NS Vendor Details'!$I:$I,'G&amp;A Vendor x GL Analysis'!$E35),IF(AB$15="Actual",SUMIFS('[1]NS Vendor Details'!$D:$D,'[1]NS Vendor Details'!$H:$H,'G&amp;A Vendor x GL Analysis'!AB$20,'[1]NS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AC35" s="18">
        <f>IF(AND(AC$15="Actual",ISBLANK($E$8)),SUMIFS('[1]NS Vendor Details'!$D:$D,'[1]NS Vendor Details'!$H:$H,'G&amp;A Vendor x GL Analysis'!AC$20,'[1]NS Vendor Details'!$L:$L,'G&amp;A Vendor x GL Analysis'!$D35,'[1]NS Vendor Details'!$O:$O,'G&amp;A Vendor x GL Analysis'!$F35,'[1]NS Vendor Details'!$N:$N,'G&amp;A Vendor x GL Analysis'!$C35,'[1]NS Vendor Details'!$I:$I,'G&amp;A Vendor x GL Analysis'!$E35),IF(AC$15="Actual",SUMIFS('[1]NS Vendor Details'!$D:$D,'[1]NS Vendor Details'!$H:$H,'G&amp;A Vendor x GL Analysis'!AC$20,'[1]NS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AD35" s="18">
        <f>IF(AND(AD$15="Actual",ISBLANK($E$8)),SUMIFS('[1]NS Vendor Details'!$D:$D,'[1]NS Vendor Details'!$H:$H,'G&amp;A Vendor x GL Analysis'!AD$20,'[1]NS Vendor Details'!$L:$L,'G&amp;A Vendor x GL Analysis'!$D35,'[1]NS Vendor Details'!$O:$O,'G&amp;A Vendor x GL Analysis'!$F35,'[1]NS Vendor Details'!$N:$N,'G&amp;A Vendor x GL Analysis'!$C35,'[1]NS Vendor Details'!$I:$I,'G&amp;A Vendor x GL Analysis'!$E35),IF(AD$15="Actual",SUMIFS('[1]NS Vendor Details'!$D:$D,'[1]NS Vendor Details'!$H:$H,'G&amp;A Vendor x GL Analysis'!AD$20,'[1]NS Vendor Details'!$L:$L,'G&amp;A Vendor x GL Analysis'!$D35,'[1]NS Vendor Details'!$O:$O,'G&amp;A Vendor x GL Analysis'!$F35,'[1]NS Vendor Details'!$N:$N,'G&amp;A Vendor x GL Analysis'!$C35,'[1]NS Vendor Details'!$K:$K,'G&amp;A Vendor x GL Analysis'!$E$8,'[1]NS Vendor Details'!$I:$I,'G&amp;A Vendor x GL Analysis'!$E35),0))</f>
        <v>0</v>
      </c>
      <c r="AF35" s="19">
        <f t="shared" si="9"/>
        <v>4862.7</v>
      </c>
    </row>
    <row r="36" spans="1:32" outlineLevel="1">
      <c r="A36" s="8" t="str">
        <f t="shared" si="8"/>
        <v>Advertising6289 - Seeding / Product Placement</v>
      </c>
      <c r="C36" s="8" t="s">
        <v>11</v>
      </c>
      <c r="D36" s="8" t="str">
        <f>D34</f>
        <v>Advertising</v>
      </c>
      <c r="E36" s="2" t="s">
        <v>29</v>
      </c>
      <c r="F36" s="2" t="s">
        <v>16</v>
      </c>
      <c r="G36" s="16">
        <f>IF(AND(G$15="Actual",ISBLANK($E$8)),SUMIFS('[1]NS Vendor Details'!$D:$D,'[1]NS Vendor Details'!$H:$H,'G&amp;A Vendor x GL Analysis'!G$20,'[1]NS Vendor Details'!$L:$L,'G&amp;A Vendor x GL Analysis'!$D36,'[1]NS Vendor Details'!$O:$O,'G&amp;A Vendor x GL Analysis'!$F36,'[1]NS Vendor Details'!$N:$N,'G&amp;A Vendor x GL Analysis'!$C36),IF(G$15="Actual",SUMIFS('[1]NS Vendor Details'!$D:$D,'[1]NS Vendor Details'!$H:$H,'G&amp;A Vendor x GL Analysis'!G$20,'[1]NS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-19852.71</v>
      </c>
      <c r="H36" s="17">
        <f>IF(AND(H$15="Actual",ISBLANK($E$8)),SUMIFS('[1]NS Vendor Details'!$D:$D,'[1]NS Vendor Details'!$H:$H,'G&amp;A Vendor x GL Analysis'!H$20,'[1]NS Vendor Details'!$L:$L,'G&amp;A Vendor x GL Analysis'!$D36,'[1]NS Vendor Details'!$O:$O,'G&amp;A Vendor x GL Analysis'!$F36,'[1]NS Vendor Details'!$N:$N,'G&amp;A Vendor x GL Analysis'!$C36),IF(H$15="Actual",SUMIFS('[1]NS Vendor Details'!$D:$D,'[1]NS Vendor Details'!$H:$H,'G&amp;A Vendor x GL Analysis'!H$20,'[1]NS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895.77</v>
      </c>
      <c r="I36" s="17">
        <f>IF(AND(I$15="Actual",ISBLANK($E$8)),SUMIFS('[1]NS Vendor Details'!$D:$D,'[1]NS Vendor Details'!$H:$H,'G&amp;A Vendor x GL Analysis'!I$20,'[1]NS Vendor Details'!$L:$L,'G&amp;A Vendor x GL Analysis'!$D36,'[1]NS Vendor Details'!$O:$O,'G&amp;A Vendor x GL Analysis'!$F36,'[1]NS Vendor Details'!$N:$N,'G&amp;A Vendor x GL Analysis'!$C36),IF(I$15="Actual",SUMIFS('[1]NS Vendor Details'!$D:$D,'[1]NS Vendor Details'!$H:$H,'G&amp;A Vendor x GL Analysis'!I$20,'[1]NS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47270.03</v>
      </c>
      <c r="J36" s="17">
        <f>IF(AND(J$15="Actual",ISBLANK($E$8)),SUMIFS('[1]NS Vendor Details'!$D:$D,'[1]NS Vendor Details'!$H:$H,'G&amp;A Vendor x GL Analysis'!J$20,'[1]NS Vendor Details'!$L:$L,'G&amp;A Vendor x GL Analysis'!$D36,'[1]NS Vendor Details'!$O:$O,'G&amp;A Vendor x GL Analysis'!$F36,'[1]NS Vendor Details'!$N:$N,'G&amp;A Vendor x GL Analysis'!$C36),IF(J$15="Actual",SUMIFS('[1]NS Vendor Details'!$D:$D,'[1]NS Vendor Details'!$H:$H,'G&amp;A Vendor x GL Analysis'!J$20,'[1]NS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37784.42</v>
      </c>
      <c r="K36" s="17">
        <f>IF(AND(K$15="Actual",ISBLANK($E$8)),SUMIFS('[1]NS Vendor Details'!$D:$D,'[1]NS Vendor Details'!$H:$H,'G&amp;A Vendor x GL Analysis'!K$20,'[1]NS Vendor Details'!$L:$L,'G&amp;A Vendor x GL Analysis'!$D36,'[1]NS Vendor Details'!$O:$O,'G&amp;A Vendor x GL Analysis'!$F36,'[1]NS Vendor Details'!$N:$N,'G&amp;A Vendor x GL Analysis'!$C36),IF(K$15="Actual",SUMIFS('[1]NS Vendor Details'!$D:$D,'[1]NS Vendor Details'!$H:$H,'G&amp;A Vendor x GL Analysis'!K$20,'[1]NS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37718.04</v>
      </c>
      <c r="L36" s="17">
        <f>IF(AND(L$15="Actual",ISBLANK($E$8)),SUMIFS('[1]NS Vendor Details'!$D:$D,'[1]NS Vendor Details'!$H:$H,'G&amp;A Vendor x GL Analysis'!L$20,'[1]NS Vendor Details'!$L:$L,'G&amp;A Vendor x GL Analysis'!$D36,'[1]NS Vendor Details'!$O:$O,'G&amp;A Vendor x GL Analysis'!$F36,'[1]NS Vendor Details'!$N:$N,'G&amp;A Vendor x GL Analysis'!$C36),IF(L$15="Actual",SUMIFS('[1]NS Vendor Details'!$D:$D,'[1]NS Vendor Details'!$H:$H,'G&amp;A Vendor x GL Analysis'!L$20,'[1]NS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40369.25</v>
      </c>
      <c r="M36" s="17">
        <f>IF(AND(M$15="Actual",ISBLANK($E$8)),SUMIFS('[1]NS Vendor Details'!$D:$D,'[1]NS Vendor Details'!$H:$H,'G&amp;A Vendor x GL Analysis'!M$20,'[1]NS Vendor Details'!$L:$L,'G&amp;A Vendor x GL Analysis'!$D36,'[1]NS Vendor Details'!$O:$O,'G&amp;A Vendor x GL Analysis'!$F36,'[1]NS Vendor Details'!$N:$N,'G&amp;A Vendor x GL Analysis'!$C36),IF(M$15="Actual",SUMIFS('[1]NS Vendor Details'!$D:$D,'[1]NS Vendor Details'!$H:$H,'G&amp;A Vendor x GL Analysis'!M$20,'[1]NS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50892.76</v>
      </c>
      <c r="N36" s="17">
        <f>IF(AND(N$15="Actual",ISBLANK($E$8)),SUMIFS('[1]NS Vendor Details'!$D:$D,'[1]NS Vendor Details'!$H:$H,'G&amp;A Vendor x GL Analysis'!N$20,'[1]NS Vendor Details'!$L:$L,'G&amp;A Vendor x GL Analysis'!$D36,'[1]NS Vendor Details'!$O:$O,'G&amp;A Vendor x GL Analysis'!$F36,'[1]NS Vendor Details'!$N:$N,'G&amp;A Vendor x GL Analysis'!$C36),IF(N$15="Actual",SUMIFS('[1]NS Vendor Details'!$D:$D,'[1]NS Vendor Details'!$H:$H,'G&amp;A Vendor x GL Analysis'!N$20,'[1]NS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54358.520000000004</v>
      </c>
      <c r="O36" s="17">
        <f>IF(AND(O$15="Actual",ISBLANK($E$8)),SUMIFS('[1]NS Vendor Details'!$D:$D,'[1]NS Vendor Details'!$H:$H,'G&amp;A Vendor x GL Analysis'!O$20,'[1]NS Vendor Details'!$L:$L,'G&amp;A Vendor x GL Analysis'!$D36,'[1]NS Vendor Details'!$O:$O,'G&amp;A Vendor x GL Analysis'!$F36,'[1]NS Vendor Details'!$N:$N,'G&amp;A Vendor x GL Analysis'!$C36),IF(O$15="Actual",SUMIFS('[1]NS Vendor Details'!$D:$D,'[1]NS Vendor Details'!$H:$H,'G&amp;A Vendor x GL Analysis'!O$20,'[1]NS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10154.700000000001</v>
      </c>
      <c r="P36" s="17">
        <f>IF(AND(P$15="Actual",ISBLANK($E$8)),SUMIFS('[1]NS Vendor Details'!$D:$D,'[1]NS Vendor Details'!$H:$H,'G&amp;A Vendor x GL Analysis'!P$20,'[1]NS Vendor Details'!$L:$L,'G&amp;A Vendor x GL Analysis'!$D36,'[1]NS Vendor Details'!$O:$O,'G&amp;A Vendor x GL Analysis'!$F36,'[1]NS Vendor Details'!$N:$N,'G&amp;A Vendor x GL Analysis'!$C36),IF(P$15="Actual",SUMIFS('[1]NS Vendor Details'!$D:$D,'[1]NS Vendor Details'!$H:$H,'G&amp;A Vendor x GL Analysis'!P$20,'[1]NS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22147.269999999997</v>
      </c>
      <c r="Q36" s="17">
        <f>IF(AND(Q$15="Actual",ISBLANK($E$8)),SUMIFS('[1]NS Vendor Details'!$D:$D,'[1]NS Vendor Details'!$H:$H,'G&amp;A Vendor x GL Analysis'!Q$20,'[1]NS Vendor Details'!$L:$L,'G&amp;A Vendor x GL Analysis'!$D36,'[1]NS Vendor Details'!$O:$O,'G&amp;A Vendor x GL Analysis'!$F36,'[1]NS Vendor Details'!$N:$N,'G&amp;A Vendor x GL Analysis'!$C36),IF(Q$15="Actual",SUMIFS('[1]NS Vendor Details'!$D:$D,'[1]NS Vendor Details'!$H:$H,'G&amp;A Vendor x GL Analysis'!Q$20,'[1]NS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9905.1200000000008</v>
      </c>
      <c r="R36" s="18">
        <f>IF(AND(R$15="Actual",ISBLANK($E$8)),SUMIFS('[1]NS Vendor Details'!$D:$D,'[1]NS Vendor Details'!$H:$H,'G&amp;A Vendor x GL Analysis'!R$20,'[1]NS Vendor Details'!$L:$L,'G&amp;A Vendor x GL Analysis'!$D36,'[1]NS Vendor Details'!$O:$O,'G&amp;A Vendor x GL Analysis'!$F36,'[1]NS Vendor Details'!$N:$N,'G&amp;A Vendor x GL Analysis'!$C36),IF(R$15="Actual",SUMIFS('[1]NS Vendor Details'!$D:$D,'[1]NS Vendor Details'!$H:$H,'G&amp;A Vendor x GL Analysis'!R$20,'[1]NS Vendor Details'!$L:$L,'G&amp;A Vendor x GL Analysis'!$D36,'[1]NS Vendor Details'!$O:$O,'G&amp;A Vendor x GL Analysis'!$F36,'[1]NS Vendor Details'!$N:$N,'G&amp;A Vendor x GL Analysis'!$C36,'[1]NS Vendor Details'!$K:$K,'G&amp;A Vendor x GL Analysis'!$E$8),0))</f>
        <v>37431.61</v>
      </c>
      <c r="S36" s="16">
        <f>IF(AND(S$15="Actual",ISBLANK($E$8)),SUMIFS('[1]NS Vendor Details'!$D:$D,'[1]NS Vendor Details'!$H:$H,'G&amp;A Vendor x GL Analysis'!S$20,'[1]NS Vendor Details'!$L:$L,'G&amp;A Vendor x GL Analysis'!$D36,'[1]NS Vendor Details'!$O:$O,'G&amp;A Vendor x GL Analysis'!$F36,'[1]NS Vendor Details'!$N:$N,'G&amp;A Vendor x GL Analysis'!$C36,'[1]NS Vendor Details'!$I:$I,'G&amp;A Vendor x GL Analysis'!$E36),IF(S$15="Actual",SUMIFS('[1]NS Vendor Details'!$D:$D,'[1]NS Vendor Details'!$H:$H,'G&amp;A Vendor x GL Analysis'!S$20,'[1]NS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2935.36</v>
      </c>
      <c r="T36" s="17">
        <f>IF(AND(T$15="Actual",ISBLANK($E$8)),SUMIFS('[1]NS Vendor Details'!$D:$D,'[1]NS Vendor Details'!$H:$H,'G&amp;A Vendor x GL Analysis'!T$20,'[1]NS Vendor Details'!$L:$L,'G&amp;A Vendor x GL Analysis'!$D36,'[1]NS Vendor Details'!$O:$O,'G&amp;A Vendor x GL Analysis'!$F36,'[1]NS Vendor Details'!$N:$N,'G&amp;A Vendor x GL Analysis'!$C36,'[1]NS Vendor Details'!$I:$I,'G&amp;A Vendor x GL Analysis'!$E36),IF(T$15="Actual",SUMIFS('[1]NS Vendor Details'!$D:$D,'[1]NS Vendor Details'!$H:$H,'G&amp;A Vendor x GL Analysis'!T$20,'[1]NS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12496.96</v>
      </c>
      <c r="U36" s="17">
        <f>IF(AND(U$15="Actual",ISBLANK($E$8)),SUMIFS('[1]NS Vendor Details'!$D:$D,'[1]NS Vendor Details'!$H:$H,'G&amp;A Vendor x GL Analysis'!U$20,'[1]NS Vendor Details'!$L:$L,'G&amp;A Vendor x GL Analysis'!$D36,'[1]NS Vendor Details'!$O:$O,'G&amp;A Vendor x GL Analysis'!$F36,'[1]NS Vendor Details'!$N:$N,'G&amp;A Vendor x GL Analysis'!$C36,'[1]NS Vendor Details'!$I:$I,'G&amp;A Vendor x GL Analysis'!$E36),IF(U$15="Actual",SUMIFS('[1]NS Vendor Details'!$D:$D,'[1]NS Vendor Details'!$H:$H,'G&amp;A Vendor x GL Analysis'!U$20,'[1]NS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17399.95</v>
      </c>
      <c r="V36" s="17">
        <f>IF(AND(V$15="Actual",ISBLANK($E$8)),SUMIFS('[1]NS Vendor Details'!$D:$D,'[1]NS Vendor Details'!$H:$H,'G&amp;A Vendor x GL Analysis'!V$20,'[1]NS Vendor Details'!$L:$L,'G&amp;A Vendor x GL Analysis'!$D36,'[1]NS Vendor Details'!$O:$O,'G&amp;A Vendor x GL Analysis'!$F36,'[1]NS Vendor Details'!$N:$N,'G&amp;A Vendor x GL Analysis'!$C36,'[1]NS Vendor Details'!$I:$I,'G&amp;A Vendor x GL Analysis'!$E36),IF(V$15="Actual",SUMIFS('[1]NS Vendor Details'!$D:$D,'[1]NS Vendor Details'!$H:$H,'G&amp;A Vendor x GL Analysis'!V$20,'[1]NS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596.32000000000005</v>
      </c>
      <c r="W36" s="17">
        <f>IF(AND(W$15="Actual",ISBLANK($E$8)),SUMIFS('[1]NS Vendor Details'!$D:$D,'[1]NS Vendor Details'!$H:$H,'G&amp;A Vendor x GL Analysis'!W$20,'[1]NS Vendor Details'!$L:$L,'G&amp;A Vendor x GL Analysis'!$D36,'[1]NS Vendor Details'!$O:$O,'G&amp;A Vendor x GL Analysis'!$F36,'[1]NS Vendor Details'!$N:$N,'G&amp;A Vendor x GL Analysis'!$C36,'[1]NS Vendor Details'!$I:$I,'G&amp;A Vendor x GL Analysis'!$E36),IF(W$15="Actual",SUMIFS('[1]NS Vendor Details'!$D:$D,'[1]NS Vendor Details'!$H:$H,'G&amp;A Vendor x GL Analysis'!W$20,'[1]NS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957.07</v>
      </c>
      <c r="X36" s="17">
        <f>IF(AND(X$15="Actual",ISBLANK($E$8)),SUMIFS('[1]NS Vendor Details'!$D:$D,'[1]NS Vendor Details'!$H:$H,'G&amp;A Vendor x GL Analysis'!X$20,'[1]NS Vendor Details'!$L:$L,'G&amp;A Vendor x GL Analysis'!$D36,'[1]NS Vendor Details'!$O:$O,'G&amp;A Vendor x GL Analysis'!$F36,'[1]NS Vendor Details'!$N:$N,'G&amp;A Vendor x GL Analysis'!$C36,'[1]NS Vendor Details'!$I:$I,'G&amp;A Vendor x GL Analysis'!$E36),IF(X$15="Actual",SUMIFS('[1]NS Vendor Details'!$D:$D,'[1]NS Vendor Details'!$H:$H,'G&amp;A Vendor x GL Analysis'!X$20,'[1]NS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3769.18</v>
      </c>
      <c r="Y36" s="17">
        <f>IF(AND(Y$15="Actual",ISBLANK($E$8)),SUMIFS('[1]NS Vendor Details'!$D:$D,'[1]NS Vendor Details'!$H:$H,'G&amp;A Vendor x GL Analysis'!Y$20,'[1]NS Vendor Details'!$L:$L,'G&amp;A Vendor x GL Analysis'!$D36,'[1]NS Vendor Details'!$O:$O,'G&amp;A Vendor x GL Analysis'!$F36,'[1]NS Vendor Details'!$N:$N,'G&amp;A Vendor x GL Analysis'!$C36,'[1]NS Vendor Details'!$I:$I,'G&amp;A Vendor x GL Analysis'!$E36),IF(Y$15="Actual",SUMIFS('[1]NS Vendor Details'!$D:$D,'[1]NS Vendor Details'!$H:$H,'G&amp;A Vendor x GL Analysis'!Y$20,'[1]NS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7623.64</v>
      </c>
      <c r="Z36" s="17">
        <f>IF(AND(Z$15="Actual",ISBLANK($E$8)),SUMIFS('[1]NS Vendor Details'!$D:$D,'[1]NS Vendor Details'!$H:$H,'G&amp;A Vendor x GL Analysis'!Z$20,'[1]NS Vendor Details'!$L:$L,'G&amp;A Vendor x GL Analysis'!$D36,'[1]NS Vendor Details'!$O:$O,'G&amp;A Vendor x GL Analysis'!$F36,'[1]NS Vendor Details'!$N:$N,'G&amp;A Vendor x GL Analysis'!$C36,'[1]NS Vendor Details'!$I:$I,'G&amp;A Vendor x GL Analysis'!$E36),IF(Z$15="Actual",SUMIFS('[1]NS Vendor Details'!$D:$D,'[1]NS Vendor Details'!$H:$H,'G&amp;A Vendor x GL Analysis'!Z$20,'[1]NS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3324.38</v>
      </c>
      <c r="AA36" s="17">
        <f>IF(AND(AA$15="Actual",ISBLANK($E$8)),SUMIFS('[1]NS Vendor Details'!$D:$D,'[1]NS Vendor Details'!$H:$H,'G&amp;A Vendor x GL Analysis'!AA$20,'[1]NS Vendor Details'!$L:$L,'G&amp;A Vendor x GL Analysis'!$D36,'[1]NS Vendor Details'!$O:$O,'G&amp;A Vendor x GL Analysis'!$F36,'[1]NS Vendor Details'!$N:$N,'G&amp;A Vendor x GL Analysis'!$C36,'[1]NS Vendor Details'!$I:$I,'G&amp;A Vendor x GL Analysis'!$E36),IF(AA$15="Actual",SUMIFS('[1]NS Vendor Details'!$D:$D,'[1]NS Vendor Details'!$H:$H,'G&amp;A Vendor x GL Analysis'!AA$20,'[1]NS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10113.640000000001</v>
      </c>
      <c r="AB36" s="17">
        <f>IF(AND(AB$15="Actual",ISBLANK($E$8)),SUMIFS('[1]NS Vendor Details'!$D:$D,'[1]NS Vendor Details'!$H:$H,'G&amp;A Vendor x GL Analysis'!AB$20,'[1]NS Vendor Details'!$L:$L,'G&amp;A Vendor x GL Analysis'!$D36,'[1]NS Vendor Details'!$O:$O,'G&amp;A Vendor x GL Analysis'!$F36,'[1]NS Vendor Details'!$N:$N,'G&amp;A Vendor x GL Analysis'!$C36,'[1]NS Vendor Details'!$I:$I,'G&amp;A Vendor x GL Analysis'!$E36),IF(AB$15="Actual",SUMIFS('[1]NS Vendor Details'!$D:$D,'[1]NS Vendor Details'!$H:$H,'G&amp;A Vendor x GL Analysis'!AB$20,'[1]NS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8107.03</v>
      </c>
      <c r="AC36" s="18">
        <f>IF(AND(AC$15="Actual",ISBLANK($E$8)),SUMIFS('[1]NS Vendor Details'!$D:$D,'[1]NS Vendor Details'!$H:$H,'G&amp;A Vendor x GL Analysis'!AC$20,'[1]NS Vendor Details'!$L:$L,'G&amp;A Vendor x GL Analysis'!$D36,'[1]NS Vendor Details'!$O:$O,'G&amp;A Vendor x GL Analysis'!$F36,'[1]NS Vendor Details'!$N:$N,'G&amp;A Vendor x GL Analysis'!$C36,'[1]NS Vendor Details'!$I:$I,'G&amp;A Vendor x GL Analysis'!$E36),IF(AC$15="Actual",SUMIFS('[1]NS Vendor Details'!$D:$D,'[1]NS Vendor Details'!$H:$H,'G&amp;A Vendor x GL Analysis'!AC$20,'[1]NS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67365.38</v>
      </c>
      <c r="AD36" s="18">
        <f>IF(AND(AD$15="Actual",ISBLANK($E$8)),SUMIFS('[1]NS Vendor Details'!$D:$D,'[1]NS Vendor Details'!$H:$H,'G&amp;A Vendor x GL Analysis'!AD$20,'[1]NS Vendor Details'!$L:$L,'G&amp;A Vendor x GL Analysis'!$D36,'[1]NS Vendor Details'!$O:$O,'G&amp;A Vendor x GL Analysis'!$F36,'[1]NS Vendor Details'!$N:$N,'G&amp;A Vendor x GL Analysis'!$C36,'[1]NS Vendor Details'!$I:$I,'G&amp;A Vendor x GL Analysis'!$E36),IF(AD$15="Actual",SUMIFS('[1]NS Vendor Details'!$D:$D,'[1]NS Vendor Details'!$H:$H,'G&amp;A Vendor x GL Analysis'!AD$20,'[1]NS Vendor Details'!$L:$L,'G&amp;A Vendor x GL Analysis'!$D36,'[1]NS Vendor Details'!$O:$O,'G&amp;A Vendor x GL Analysis'!$F36,'[1]NS Vendor Details'!$N:$N,'G&amp;A Vendor x GL Analysis'!$C36,'[1]NS Vendor Details'!$K:$K,'G&amp;A Vendor x GL Analysis'!$E$8,'[1]NS Vendor Details'!$I:$I,'G&amp;A Vendor x GL Analysis'!$E36),0))</f>
        <v>0</v>
      </c>
      <c r="AF36" s="19">
        <f t="shared" si="9"/>
        <v>134688.91</v>
      </c>
    </row>
    <row r="37" spans="1:32" ht="15">
      <c r="A37" s="8" t="str">
        <f t="shared" si="8"/>
        <v>T&amp;E</v>
      </c>
      <c r="B37" s="8" t="s">
        <v>9</v>
      </c>
      <c r="E37" s="9" t="s">
        <v>30</v>
      </c>
      <c r="F37" s="9"/>
      <c r="G37" s="12">
        <f t="shared" ref="G37:AD37" si="11">SUMIFS(G:G,$D:$D,$E37)</f>
        <v>42381.25</v>
      </c>
      <c r="H37" s="13">
        <f t="shared" si="11"/>
        <v>38104.210000000006</v>
      </c>
      <c r="I37" s="13">
        <f t="shared" si="11"/>
        <v>87525.49</v>
      </c>
      <c r="J37" s="13">
        <f t="shared" si="11"/>
        <v>35456.69</v>
      </c>
      <c r="K37" s="13">
        <f t="shared" si="11"/>
        <v>38279.31</v>
      </c>
      <c r="L37" s="13">
        <f t="shared" si="11"/>
        <v>15088.349999999999</v>
      </c>
      <c r="M37" s="13">
        <f t="shared" si="11"/>
        <v>29110.39</v>
      </c>
      <c r="N37" s="13">
        <f t="shared" si="11"/>
        <v>104208.93999999999</v>
      </c>
      <c r="O37" s="13">
        <f t="shared" si="11"/>
        <v>21298.699999999997</v>
      </c>
      <c r="P37" s="13">
        <f t="shared" si="11"/>
        <v>14600.799999999997</v>
      </c>
      <c r="Q37" s="13">
        <f t="shared" si="11"/>
        <v>109824.02</v>
      </c>
      <c r="R37" s="14">
        <f t="shared" si="11"/>
        <v>69666.420000000013</v>
      </c>
      <c r="S37" s="12">
        <f t="shared" si="11"/>
        <v>4954.1500000000005</v>
      </c>
      <c r="T37" s="13">
        <f t="shared" si="11"/>
        <v>4505.18</v>
      </c>
      <c r="U37" s="13">
        <f t="shared" si="11"/>
        <v>23731.360000000001</v>
      </c>
      <c r="V37" s="13">
        <f t="shared" si="11"/>
        <v>4693.8700000000008</v>
      </c>
      <c r="W37" s="13">
        <f t="shared" si="11"/>
        <v>11759.87</v>
      </c>
      <c r="X37" s="13">
        <f t="shared" si="11"/>
        <v>1264.1300000000001</v>
      </c>
      <c r="Y37" s="13">
        <f t="shared" si="11"/>
        <v>1094.28</v>
      </c>
      <c r="Z37" s="13">
        <f t="shared" si="11"/>
        <v>1279.49</v>
      </c>
      <c r="AA37" s="13">
        <f t="shared" si="11"/>
        <v>856.24999999999989</v>
      </c>
      <c r="AB37" s="13">
        <f t="shared" si="11"/>
        <v>2066.6999999999998</v>
      </c>
      <c r="AC37" s="14">
        <f t="shared" si="11"/>
        <v>2531.04</v>
      </c>
      <c r="AD37" s="14">
        <f t="shared" si="11"/>
        <v>0</v>
      </c>
      <c r="AF37" s="19">
        <f t="shared" si="9"/>
        <v>58736.32</v>
      </c>
    </row>
    <row r="38" spans="1:32" outlineLevel="1">
      <c r="A38" s="8" t="str">
        <f t="shared" si="8"/>
        <v>T&amp;E6105 - Meals</v>
      </c>
      <c r="C38" s="8" t="s">
        <v>11</v>
      </c>
      <c r="D38" s="8" t="str">
        <f>E37</f>
        <v>T&amp;E</v>
      </c>
      <c r="E38" s="2" t="s">
        <v>31</v>
      </c>
      <c r="F38" s="2" t="s">
        <v>16</v>
      </c>
      <c r="G38" s="16">
        <f>IF(AND(G$15="Actual",ISBLANK($E$8)),SUMIFS('[1]NS Vendor Details'!$D:$D,'[1]NS Vendor Details'!$H:$H,'G&amp;A Vendor x GL Analysis'!G$20,'[1]NS Vendor Details'!$L:$L,'G&amp;A Vendor x GL Analysis'!$D38,'[1]NS Vendor Details'!$O:$O,'G&amp;A Vendor x GL Analysis'!$F38,'[1]NS Vendor Details'!$N:$N,'G&amp;A Vendor x GL Analysis'!$C38),IF(G$15="Actual",SUMIFS('[1]NS Vendor Details'!$D:$D,'[1]NS Vendor Details'!$H:$H,'G&amp;A Vendor x GL Analysis'!G$20,'[1]NS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8476.25</v>
      </c>
      <c r="H38" s="17">
        <f>IF(AND(H$15="Actual",ISBLANK($E$8)),SUMIFS('[1]NS Vendor Details'!$D:$D,'[1]NS Vendor Details'!$H:$H,'G&amp;A Vendor x GL Analysis'!H$20,'[1]NS Vendor Details'!$L:$L,'G&amp;A Vendor x GL Analysis'!$D38,'[1]NS Vendor Details'!$O:$O,'G&amp;A Vendor x GL Analysis'!$F38,'[1]NS Vendor Details'!$N:$N,'G&amp;A Vendor x GL Analysis'!$C38),IF(H$15="Actual",SUMIFS('[1]NS Vendor Details'!$D:$D,'[1]NS Vendor Details'!$H:$H,'G&amp;A Vendor x GL Analysis'!H$20,'[1]NS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7326.8300000000008</v>
      </c>
      <c r="I38" s="17">
        <f>IF(AND(I$15="Actual",ISBLANK($E$8)),SUMIFS('[1]NS Vendor Details'!$D:$D,'[1]NS Vendor Details'!$H:$H,'G&amp;A Vendor x GL Analysis'!I$20,'[1]NS Vendor Details'!$L:$L,'G&amp;A Vendor x GL Analysis'!$D38,'[1]NS Vendor Details'!$O:$O,'G&amp;A Vendor x GL Analysis'!$F38,'[1]NS Vendor Details'!$N:$N,'G&amp;A Vendor x GL Analysis'!$C38),IF(I$15="Actual",SUMIFS('[1]NS Vendor Details'!$D:$D,'[1]NS Vendor Details'!$H:$H,'G&amp;A Vendor x GL Analysis'!I$20,'[1]NS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16747.41</v>
      </c>
      <c r="J38" s="17">
        <f>IF(AND(J$15="Actual",ISBLANK($E$8)),SUMIFS('[1]NS Vendor Details'!$D:$D,'[1]NS Vendor Details'!$H:$H,'G&amp;A Vendor x GL Analysis'!J$20,'[1]NS Vendor Details'!$L:$L,'G&amp;A Vendor x GL Analysis'!$D38,'[1]NS Vendor Details'!$O:$O,'G&amp;A Vendor x GL Analysis'!$F38,'[1]NS Vendor Details'!$N:$N,'G&amp;A Vendor x GL Analysis'!$C38),IF(J$15="Actual",SUMIFS('[1]NS Vendor Details'!$D:$D,'[1]NS Vendor Details'!$H:$H,'G&amp;A Vendor x GL Analysis'!J$20,'[1]NS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6311.5900000000011</v>
      </c>
      <c r="K38" s="17">
        <f>IF(AND(K$15="Actual",ISBLANK($E$8)),SUMIFS('[1]NS Vendor Details'!$D:$D,'[1]NS Vendor Details'!$H:$H,'G&amp;A Vendor x GL Analysis'!K$20,'[1]NS Vendor Details'!$L:$L,'G&amp;A Vendor x GL Analysis'!$D38,'[1]NS Vendor Details'!$O:$O,'G&amp;A Vendor x GL Analysis'!$F38,'[1]NS Vendor Details'!$N:$N,'G&amp;A Vendor x GL Analysis'!$C38),IF(K$15="Actual",SUMIFS('[1]NS Vendor Details'!$D:$D,'[1]NS Vendor Details'!$H:$H,'G&amp;A Vendor x GL Analysis'!K$20,'[1]NS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7622.52</v>
      </c>
      <c r="L38" s="17">
        <f>IF(AND(L$15="Actual",ISBLANK($E$8)),SUMIFS('[1]NS Vendor Details'!$D:$D,'[1]NS Vendor Details'!$H:$H,'G&amp;A Vendor x GL Analysis'!L$20,'[1]NS Vendor Details'!$L:$L,'G&amp;A Vendor x GL Analysis'!$D38,'[1]NS Vendor Details'!$O:$O,'G&amp;A Vendor x GL Analysis'!$F38,'[1]NS Vendor Details'!$N:$N,'G&amp;A Vendor x GL Analysis'!$C38),IF(L$15="Actual",SUMIFS('[1]NS Vendor Details'!$D:$D,'[1]NS Vendor Details'!$H:$H,'G&amp;A Vendor x GL Analysis'!L$20,'[1]NS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3017.6699999999996</v>
      </c>
      <c r="M38" s="17">
        <f>IF(AND(M$15="Actual",ISBLANK($E$8)),SUMIFS('[1]NS Vendor Details'!$D:$D,'[1]NS Vendor Details'!$H:$H,'G&amp;A Vendor x GL Analysis'!M$20,'[1]NS Vendor Details'!$L:$L,'G&amp;A Vendor x GL Analysis'!$D38,'[1]NS Vendor Details'!$O:$O,'G&amp;A Vendor x GL Analysis'!$F38,'[1]NS Vendor Details'!$N:$N,'G&amp;A Vendor x GL Analysis'!$C38),IF(M$15="Actual",SUMIFS('[1]NS Vendor Details'!$D:$D,'[1]NS Vendor Details'!$H:$H,'G&amp;A Vendor x GL Analysis'!M$20,'[1]NS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5779.83</v>
      </c>
      <c r="N38" s="17">
        <f>IF(AND(N$15="Actual",ISBLANK($E$8)),SUMIFS('[1]NS Vendor Details'!$D:$D,'[1]NS Vendor Details'!$H:$H,'G&amp;A Vendor x GL Analysis'!N$20,'[1]NS Vendor Details'!$L:$L,'G&amp;A Vendor x GL Analysis'!$D38,'[1]NS Vendor Details'!$O:$O,'G&amp;A Vendor x GL Analysis'!$F38,'[1]NS Vendor Details'!$N:$N,'G&amp;A Vendor x GL Analysis'!$C38),IF(N$15="Actual",SUMIFS('[1]NS Vendor Details'!$D:$D,'[1]NS Vendor Details'!$H:$H,'G&amp;A Vendor x GL Analysis'!N$20,'[1]NS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20132.109999999997</v>
      </c>
      <c r="O38" s="17">
        <f>IF(AND(O$15="Actual",ISBLANK($E$8)),SUMIFS('[1]NS Vendor Details'!$D:$D,'[1]NS Vendor Details'!$H:$H,'G&amp;A Vendor x GL Analysis'!O$20,'[1]NS Vendor Details'!$L:$L,'G&amp;A Vendor x GL Analysis'!$D38,'[1]NS Vendor Details'!$O:$O,'G&amp;A Vendor x GL Analysis'!$F38,'[1]NS Vendor Details'!$N:$N,'G&amp;A Vendor x GL Analysis'!$C38),IF(O$15="Actual",SUMIFS('[1]NS Vendor Details'!$D:$D,'[1]NS Vendor Details'!$H:$H,'G&amp;A Vendor x GL Analysis'!O$20,'[1]NS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4175.83</v>
      </c>
      <c r="P38" s="17">
        <f>IF(AND(P$15="Actual",ISBLANK($E$8)),SUMIFS('[1]NS Vendor Details'!$D:$D,'[1]NS Vendor Details'!$H:$H,'G&amp;A Vendor x GL Analysis'!P$20,'[1]NS Vendor Details'!$L:$L,'G&amp;A Vendor x GL Analysis'!$D38,'[1]NS Vendor Details'!$O:$O,'G&amp;A Vendor x GL Analysis'!$F38,'[1]NS Vendor Details'!$N:$N,'G&amp;A Vendor x GL Analysis'!$C38),IF(P$15="Actual",SUMIFS('[1]NS Vendor Details'!$D:$D,'[1]NS Vendor Details'!$H:$H,'G&amp;A Vendor x GL Analysis'!P$20,'[1]NS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2776.9799999999996</v>
      </c>
      <c r="Q38" s="17">
        <f>IF(AND(Q$15="Actual",ISBLANK($E$8)),SUMIFS('[1]NS Vendor Details'!$D:$D,'[1]NS Vendor Details'!$H:$H,'G&amp;A Vendor x GL Analysis'!Q$20,'[1]NS Vendor Details'!$L:$L,'G&amp;A Vendor x GL Analysis'!$D38,'[1]NS Vendor Details'!$O:$O,'G&amp;A Vendor x GL Analysis'!$F38,'[1]NS Vendor Details'!$N:$N,'G&amp;A Vendor x GL Analysis'!$C38),IF(Q$15="Actual",SUMIFS('[1]NS Vendor Details'!$D:$D,'[1]NS Vendor Details'!$H:$H,'G&amp;A Vendor x GL Analysis'!Q$20,'[1]NS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21593.5</v>
      </c>
      <c r="R38" s="18">
        <f>IF(AND(R$15="Actual",ISBLANK($E$8)),SUMIFS('[1]NS Vendor Details'!$D:$D,'[1]NS Vendor Details'!$H:$H,'G&amp;A Vendor x GL Analysis'!R$20,'[1]NS Vendor Details'!$L:$L,'G&amp;A Vendor x GL Analysis'!$D38,'[1]NS Vendor Details'!$O:$O,'G&amp;A Vendor x GL Analysis'!$F38,'[1]NS Vendor Details'!$N:$N,'G&amp;A Vendor x GL Analysis'!$C38),IF(R$15="Actual",SUMIFS('[1]NS Vendor Details'!$D:$D,'[1]NS Vendor Details'!$H:$H,'G&amp;A Vendor x GL Analysis'!R$20,'[1]NS Vendor Details'!$L:$L,'G&amp;A Vendor x GL Analysis'!$D38,'[1]NS Vendor Details'!$O:$O,'G&amp;A Vendor x GL Analysis'!$F38,'[1]NS Vendor Details'!$N:$N,'G&amp;A Vendor x GL Analysis'!$C38,'[1]NS Vendor Details'!$K:$K,'G&amp;A Vendor x GL Analysis'!$E$8),0))</f>
        <v>13925.030000000002</v>
      </c>
      <c r="S38" s="16">
        <f>IF(AND(S$15="Actual",ISBLANK($E$8)),SUMIFS('[1]NS Vendor Details'!$D:$D,'[1]NS Vendor Details'!$H:$H,'G&amp;A Vendor x GL Analysis'!S$20,'[1]NS Vendor Details'!$L:$L,'G&amp;A Vendor x GL Analysis'!$D38,'[1]NS Vendor Details'!$O:$O,'G&amp;A Vendor x GL Analysis'!$F38,'[1]NS Vendor Details'!$N:$N,'G&amp;A Vendor x GL Analysis'!$C38,'[1]NS Vendor Details'!$I:$I,'G&amp;A Vendor x GL Analysis'!$E38),IF(S$15="Actual",SUMIFS('[1]NS Vendor Details'!$D:$D,'[1]NS Vendor Details'!$H:$H,'G&amp;A Vendor x GL Analysis'!S$20,'[1]NS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2026.6800000000005</v>
      </c>
      <c r="T38" s="17">
        <f>IF(AND(T$15="Actual",ISBLANK($E$8)),SUMIFS('[1]NS Vendor Details'!$D:$D,'[1]NS Vendor Details'!$H:$H,'G&amp;A Vendor x GL Analysis'!T$20,'[1]NS Vendor Details'!$L:$L,'G&amp;A Vendor x GL Analysis'!$D38,'[1]NS Vendor Details'!$O:$O,'G&amp;A Vendor x GL Analysis'!$F38,'[1]NS Vendor Details'!$N:$N,'G&amp;A Vendor x GL Analysis'!$C38,'[1]NS Vendor Details'!$I:$I,'G&amp;A Vendor x GL Analysis'!$E38),IF(T$15="Actual",SUMIFS('[1]NS Vendor Details'!$D:$D,'[1]NS Vendor Details'!$H:$H,'G&amp;A Vendor x GL Analysis'!T$20,'[1]NS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1876.06</v>
      </c>
      <c r="U38" s="17">
        <f>IF(AND(U$15="Actual",ISBLANK($E$8)),SUMIFS('[1]NS Vendor Details'!$D:$D,'[1]NS Vendor Details'!$H:$H,'G&amp;A Vendor x GL Analysis'!U$20,'[1]NS Vendor Details'!$L:$L,'G&amp;A Vendor x GL Analysis'!$D38,'[1]NS Vendor Details'!$O:$O,'G&amp;A Vendor x GL Analysis'!$F38,'[1]NS Vendor Details'!$N:$N,'G&amp;A Vendor x GL Analysis'!$C38,'[1]NS Vendor Details'!$I:$I,'G&amp;A Vendor x GL Analysis'!$E38),IF(U$15="Actual",SUMIFS('[1]NS Vendor Details'!$D:$D,'[1]NS Vendor Details'!$H:$H,'G&amp;A Vendor x GL Analysis'!U$20,'[1]NS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1421.08</v>
      </c>
      <c r="V38" s="17">
        <f>IF(AND(V$15="Actual",ISBLANK($E$8)),SUMIFS('[1]NS Vendor Details'!$D:$D,'[1]NS Vendor Details'!$H:$H,'G&amp;A Vendor x GL Analysis'!V$20,'[1]NS Vendor Details'!$L:$L,'G&amp;A Vendor x GL Analysis'!$D38,'[1]NS Vendor Details'!$O:$O,'G&amp;A Vendor x GL Analysis'!$F38,'[1]NS Vendor Details'!$N:$N,'G&amp;A Vendor x GL Analysis'!$C38,'[1]NS Vendor Details'!$I:$I,'G&amp;A Vendor x GL Analysis'!$E38),IF(V$15="Actual",SUMIFS('[1]NS Vendor Details'!$D:$D,'[1]NS Vendor Details'!$H:$H,'G&amp;A Vendor x GL Analysis'!V$20,'[1]NS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708.14999999999986</v>
      </c>
      <c r="W38" s="17">
        <f>IF(AND(W$15="Actual",ISBLANK($E$8)),SUMIFS('[1]NS Vendor Details'!$D:$D,'[1]NS Vendor Details'!$H:$H,'G&amp;A Vendor x GL Analysis'!W$20,'[1]NS Vendor Details'!$L:$L,'G&amp;A Vendor x GL Analysis'!$D38,'[1]NS Vendor Details'!$O:$O,'G&amp;A Vendor x GL Analysis'!$F38,'[1]NS Vendor Details'!$N:$N,'G&amp;A Vendor x GL Analysis'!$C38,'[1]NS Vendor Details'!$I:$I,'G&amp;A Vendor x GL Analysis'!$E38),IF(W$15="Actual",SUMIFS('[1]NS Vendor Details'!$D:$D,'[1]NS Vendor Details'!$H:$H,'G&amp;A Vendor x GL Analysis'!W$20,'[1]NS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2527.6500000000005</v>
      </c>
      <c r="X38" s="17">
        <f>IF(AND(X$15="Actual",ISBLANK($E$8)),SUMIFS('[1]NS Vendor Details'!$D:$D,'[1]NS Vendor Details'!$H:$H,'G&amp;A Vendor x GL Analysis'!X$20,'[1]NS Vendor Details'!$L:$L,'G&amp;A Vendor x GL Analysis'!$D38,'[1]NS Vendor Details'!$O:$O,'G&amp;A Vendor x GL Analysis'!$F38,'[1]NS Vendor Details'!$N:$N,'G&amp;A Vendor x GL Analysis'!$C38,'[1]NS Vendor Details'!$I:$I,'G&amp;A Vendor x GL Analysis'!$E38),IF(X$15="Actual",SUMIFS('[1]NS Vendor Details'!$D:$D,'[1]NS Vendor Details'!$H:$H,'G&amp;A Vendor x GL Analysis'!X$20,'[1]NS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952.22000000000014</v>
      </c>
      <c r="Y38" s="17">
        <f>IF(AND(Y$15="Actual",ISBLANK($E$8)),SUMIFS('[1]NS Vendor Details'!$D:$D,'[1]NS Vendor Details'!$H:$H,'G&amp;A Vendor x GL Analysis'!Y$20,'[1]NS Vendor Details'!$L:$L,'G&amp;A Vendor x GL Analysis'!$D38,'[1]NS Vendor Details'!$O:$O,'G&amp;A Vendor x GL Analysis'!$F38,'[1]NS Vendor Details'!$N:$N,'G&amp;A Vendor x GL Analysis'!$C38,'[1]NS Vendor Details'!$I:$I,'G&amp;A Vendor x GL Analysis'!$E38),IF(Y$15="Actual",SUMIFS('[1]NS Vendor Details'!$D:$D,'[1]NS Vendor Details'!$H:$H,'G&amp;A Vendor x GL Analysis'!Y$20,'[1]NS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60.89</v>
      </c>
      <c r="Z38" s="17">
        <f>IF(AND(Z$15="Actual",ISBLANK($E$8)),SUMIFS('[1]NS Vendor Details'!$D:$D,'[1]NS Vendor Details'!$H:$H,'G&amp;A Vendor x GL Analysis'!Z$20,'[1]NS Vendor Details'!$L:$L,'G&amp;A Vendor x GL Analysis'!$D38,'[1]NS Vendor Details'!$O:$O,'G&amp;A Vendor x GL Analysis'!$F38,'[1]NS Vendor Details'!$N:$N,'G&amp;A Vendor x GL Analysis'!$C38,'[1]NS Vendor Details'!$I:$I,'G&amp;A Vendor x GL Analysis'!$E38),IF(Z$15="Actual",SUMIFS('[1]NS Vendor Details'!$D:$D,'[1]NS Vendor Details'!$H:$H,'G&amp;A Vendor x GL Analysis'!Z$20,'[1]NS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235.86</v>
      </c>
      <c r="AA38" s="17">
        <f>IF(AND(AA$15="Actual",ISBLANK($E$8)),SUMIFS('[1]NS Vendor Details'!$D:$D,'[1]NS Vendor Details'!$H:$H,'G&amp;A Vendor x GL Analysis'!AA$20,'[1]NS Vendor Details'!$L:$L,'G&amp;A Vendor x GL Analysis'!$D38,'[1]NS Vendor Details'!$O:$O,'G&amp;A Vendor x GL Analysis'!$F38,'[1]NS Vendor Details'!$N:$N,'G&amp;A Vendor x GL Analysis'!$C38,'[1]NS Vendor Details'!$I:$I,'G&amp;A Vendor x GL Analysis'!$E38),IF(AA$15="Actual",SUMIFS('[1]NS Vendor Details'!$D:$D,'[1]NS Vendor Details'!$H:$H,'G&amp;A Vendor x GL Analysis'!AA$20,'[1]NS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249.48999999999998</v>
      </c>
      <c r="AB38" s="17">
        <f>IF(AND(AB$15="Actual",ISBLANK($E$8)),SUMIFS('[1]NS Vendor Details'!$D:$D,'[1]NS Vendor Details'!$H:$H,'G&amp;A Vendor x GL Analysis'!AB$20,'[1]NS Vendor Details'!$L:$L,'G&amp;A Vendor x GL Analysis'!$D38,'[1]NS Vendor Details'!$O:$O,'G&amp;A Vendor x GL Analysis'!$F38,'[1]NS Vendor Details'!$N:$N,'G&amp;A Vendor x GL Analysis'!$C38,'[1]NS Vendor Details'!$I:$I,'G&amp;A Vendor x GL Analysis'!$E38),IF(AB$15="Actual",SUMIFS('[1]NS Vendor Details'!$D:$D,'[1]NS Vendor Details'!$H:$H,'G&amp;A Vendor x GL Analysis'!AB$20,'[1]NS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954.77999999999986</v>
      </c>
      <c r="AC38" s="18">
        <f>IF(AND(AC$15="Actual",ISBLANK($E$8)),SUMIFS('[1]NS Vendor Details'!$D:$D,'[1]NS Vendor Details'!$H:$H,'G&amp;A Vendor x GL Analysis'!AC$20,'[1]NS Vendor Details'!$L:$L,'G&amp;A Vendor x GL Analysis'!$D38,'[1]NS Vendor Details'!$O:$O,'G&amp;A Vendor x GL Analysis'!$F38,'[1]NS Vendor Details'!$N:$N,'G&amp;A Vendor x GL Analysis'!$C38,'[1]NS Vendor Details'!$I:$I,'G&amp;A Vendor x GL Analysis'!$E38),IF(AC$15="Actual",SUMIFS('[1]NS Vendor Details'!$D:$D,'[1]NS Vendor Details'!$H:$H,'G&amp;A Vendor x GL Analysis'!AC$20,'[1]NS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403.75</v>
      </c>
      <c r="AD38" s="18">
        <f>IF(AND(AD$15="Actual",ISBLANK($E$8)),SUMIFS('[1]NS Vendor Details'!$D:$D,'[1]NS Vendor Details'!$H:$H,'G&amp;A Vendor x GL Analysis'!AD$20,'[1]NS Vendor Details'!$L:$L,'G&amp;A Vendor x GL Analysis'!$D38,'[1]NS Vendor Details'!$O:$O,'G&amp;A Vendor x GL Analysis'!$F38,'[1]NS Vendor Details'!$N:$N,'G&amp;A Vendor x GL Analysis'!$C38,'[1]NS Vendor Details'!$I:$I,'G&amp;A Vendor x GL Analysis'!$E38),IF(AD$15="Actual",SUMIFS('[1]NS Vendor Details'!$D:$D,'[1]NS Vendor Details'!$H:$H,'G&amp;A Vendor x GL Analysis'!AD$20,'[1]NS Vendor Details'!$L:$L,'G&amp;A Vendor x GL Analysis'!$D38,'[1]NS Vendor Details'!$O:$O,'G&amp;A Vendor x GL Analysis'!$F38,'[1]NS Vendor Details'!$N:$N,'G&amp;A Vendor x GL Analysis'!$C38,'[1]NS Vendor Details'!$K:$K,'G&amp;A Vendor x GL Analysis'!$E$8,'[1]NS Vendor Details'!$I:$I,'G&amp;A Vendor x GL Analysis'!$E38),0))</f>
        <v>0</v>
      </c>
      <c r="AF38" s="19">
        <f t="shared" si="9"/>
        <v>11416.61</v>
      </c>
    </row>
    <row r="39" spans="1:32" outlineLevel="1">
      <c r="A39" s="8" t="str">
        <f t="shared" si="8"/>
        <v>T&amp;E6105 - Meals</v>
      </c>
      <c r="C39" s="8" t="s">
        <v>11</v>
      </c>
      <c r="D39" s="8" t="str">
        <f>D38</f>
        <v>T&amp;E</v>
      </c>
      <c r="E39" s="2" t="s">
        <v>31</v>
      </c>
      <c r="F39" s="2" t="s">
        <v>32</v>
      </c>
      <c r="G39" s="16">
        <f>IF(AND(G$15="Actual",ISBLANK($E$8)),SUMIFS('[1]NS Vendor Details'!$D:$D,'[1]NS Vendor Details'!$H:$H,'G&amp;A Vendor x GL Analysis'!G$20,'[1]NS Vendor Details'!$L:$L,'G&amp;A Vendor x GL Analysis'!$D39,'[1]NS Vendor Details'!$O:$O,'G&amp;A Vendor x GL Analysis'!$F39,'[1]NS Vendor Details'!$N:$N,'G&amp;A Vendor x GL Analysis'!$C39),IF(G$15="Actual",SUMIFS('[1]NS Vendor Details'!$D:$D,'[1]NS Vendor Details'!$H:$H,'G&amp;A Vendor x GL Analysis'!G$20,'[1]NS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H39" s="17">
        <f>IF(AND(H$15="Actual",ISBLANK($E$8)),SUMIFS('[1]NS Vendor Details'!$D:$D,'[1]NS Vendor Details'!$H:$H,'G&amp;A Vendor x GL Analysis'!H$20,'[1]NS Vendor Details'!$L:$L,'G&amp;A Vendor x GL Analysis'!$D39,'[1]NS Vendor Details'!$O:$O,'G&amp;A Vendor x GL Analysis'!$F39,'[1]NS Vendor Details'!$N:$N,'G&amp;A Vendor x GL Analysis'!$C39),IF(H$15="Actual",SUMIFS('[1]NS Vendor Details'!$D:$D,'[1]NS Vendor Details'!$H:$H,'G&amp;A Vendor x GL Analysis'!H$20,'[1]NS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I39" s="17">
        <f>IF(AND(I$15="Actual",ISBLANK($E$8)),SUMIFS('[1]NS Vendor Details'!$D:$D,'[1]NS Vendor Details'!$H:$H,'G&amp;A Vendor x GL Analysis'!I$20,'[1]NS Vendor Details'!$L:$L,'G&amp;A Vendor x GL Analysis'!$D39,'[1]NS Vendor Details'!$O:$O,'G&amp;A Vendor x GL Analysis'!$F39,'[1]NS Vendor Details'!$N:$N,'G&amp;A Vendor x GL Analysis'!$C39),IF(I$15="Actual",SUMIFS('[1]NS Vendor Details'!$D:$D,'[1]NS Vendor Details'!$H:$H,'G&amp;A Vendor x GL Analysis'!I$20,'[1]NS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J39" s="17">
        <f>IF(AND(J$15="Actual",ISBLANK($E$8)),SUMIFS('[1]NS Vendor Details'!$D:$D,'[1]NS Vendor Details'!$H:$H,'G&amp;A Vendor x GL Analysis'!J$20,'[1]NS Vendor Details'!$L:$L,'G&amp;A Vendor x GL Analysis'!$D39,'[1]NS Vendor Details'!$O:$O,'G&amp;A Vendor x GL Analysis'!$F39,'[1]NS Vendor Details'!$N:$N,'G&amp;A Vendor x GL Analysis'!$C39),IF(J$15="Actual",SUMIFS('[1]NS Vendor Details'!$D:$D,'[1]NS Vendor Details'!$H:$H,'G&amp;A Vendor x GL Analysis'!J$20,'[1]NS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K39" s="17">
        <f>IF(AND(K$15="Actual",ISBLANK($E$8)),SUMIFS('[1]NS Vendor Details'!$D:$D,'[1]NS Vendor Details'!$H:$H,'G&amp;A Vendor x GL Analysis'!K$20,'[1]NS Vendor Details'!$L:$L,'G&amp;A Vendor x GL Analysis'!$D39,'[1]NS Vendor Details'!$O:$O,'G&amp;A Vendor x GL Analysis'!$F39,'[1]NS Vendor Details'!$N:$N,'G&amp;A Vendor x GL Analysis'!$C39),IF(K$15="Actual",SUMIFS('[1]NS Vendor Details'!$D:$D,'[1]NS Vendor Details'!$H:$H,'G&amp;A Vendor x GL Analysis'!K$20,'[1]NS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L39" s="17">
        <f>IF(AND(L$15="Actual",ISBLANK($E$8)),SUMIFS('[1]NS Vendor Details'!$D:$D,'[1]NS Vendor Details'!$H:$H,'G&amp;A Vendor x GL Analysis'!L$20,'[1]NS Vendor Details'!$L:$L,'G&amp;A Vendor x GL Analysis'!$D39,'[1]NS Vendor Details'!$O:$O,'G&amp;A Vendor x GL Analysis'!$F39,'[1]NS Vendor Details'!$N:$N,'G&amp;A Vendor x GL Analysis'!$C39),IF(L$15="Actual",SUMIFS('[1]NS Vendor Details'!$D:$D,'[1]NS Vendor Details'!$H:$H,'G&amp;A Vendor x GL Analysis'!L$20,'[1]NS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M39" s="17">
        <f>IF(AND(M$15="Actual",ISBLANK($E$8)),SUMIFS('[1]NS Vendor Details'!$D:$D,'[1]NS Vendor Details'!$H:$H,'G&amp;A Vendor x GL Analysis'!M$20,'[1]NS Vendor Details'!$L:$L,'G&amp;A Vendor x GL Analysis'!$D39,'[1]NS Vendor Details'!$O:$O,'G&amp;A Vendor x GL Analysis'!$F39,'[1]NS Vendor Details'!$N:$N,'G&amp;A Vendor x GL Analysis'!$C39),IF(M$15="Actual",SUMIFS('[1]NS Vendor Details'!$D:$D,'[1]NS Vendor Details'!$H:$H,'G&amp;A Vendor x GL Analysis'!M$20,'[1]NS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N39" s="17">
        <f>IF(AND(N$15="Actual",ISBLANK($E$8)),SUMIFS('[1]NS Vendor Details'!$D:$D,'[1]NS Vendor Details'!$H:$H,'G&amp;A Vendor x GL Analysis'!N$20,'[1]NS Vendor Details'!$L:$L,'G&amp;A Vendor x GL Analysis'!$D39,'[1]NS Vendor Details'!$O:$O,'G&amp;A Vendor x GL Analysis'!$F39,'[1]NS Vendor Details'!$N:$N,'G&amp;A Vendor x GL Analysis'!$C39),IF(N$15="Actual",SUMIFS('[1]NS Vendor Details'!$D:$D,'[1]NS Vendor Details'!$H:$H,'G&amp;A Vendor x GL Analysis'!N$20,'[1]NS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O39" s="17">
        <f>IF(AND(O$15="Actual",ISBLANK($E$8)),SUMIFS('[1]NS Vendor Details'!$D:$D,'[1]NS Vendor Details'!$H:$H,'G&amp;A Vendor x GL Analysis'!O$20,'[1]NS Vendor Details'!$L:$L,'G&amp;A Vendor x GL Analysis'!$D39,'[1]NS Vendor Details'!$O:$O,'G&amp;A Vendor x GL Analysis'!$F39,'[1]NS Vendor Details'!$N:$N,'G&amp;A Vendor x GL Analysis'!$C39),IF(O$15="Actual",SUMIFS('[1]NS Vendor Details'!$D:$D,'[1]NS Vendor Details'!$H:$H,'G&amp;A Vendor x GL Analysis'!O$20,'[1]NS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P39" s="17">
        <f>IF(AND(P$15="Actual",ISBLANK($E$8)),SUMIFS('[1]NS Vendor Details'!$D:$D,'[1]NS Vendor Details'!$H:$H,'G&amp;A Vendor x GL Analysis'!P$20,'[1]NS Vendor Details'!$L:$L,'G&amp;A Vendor x GL Analysis'!$D39,'[1]NS Vendor Details'!$O:$O,'G&amp;A Vendor x GL Analysis'!$F39,'[1]NS Vendor Details'!$N:$N,'G&amp;A Vendor x GL Analysis'!$C39),IF(P$15="Actual",SUMIFS('[1]NS Vendor Details'!$D:$D,'[1]NS Vendor Details'!$H:$H,'G&amp;A Vendor x GL Analysis'!P$20,'[1]NS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Q39" s="17">
        <f>IF(AND(Q$15="Actual",ISBLANK($E$8)),SUMIFS('[1]NS Vendor Details'!$D:$D,'[1]NS Vendor Details'!$H:$H,'G&amp;A Vendor x GL Analysis'!Q$20,'[1]NS Vendor Details'!$L:$L,'G&amp;A Vendor x GL Analysis'!$D39,'[1]NS Vendor Details'!$O:$O,'G&amp;A Vendor x GL Analysis'!$F39,'[1]NS Vendor Details'!$N:$N,'G&amp;A Vendor x GL Analysis'!$C39),IF(Q$15="Actual",SUMIFS('[1]NS Vendor Details'!$D:$D,'[1]NS Vendor Details'!$H:$H,'G&amp;A Vendor x GL Analysis'!Q$20,'[1]NS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R39" s="18">
        <f>IF(AND(R$15="Actual",ISBLANK($E$8)),SUMIFS('[1]NS Vendor Details'!$D:$D,'[1]NS Vendor Details'!$H:$H,'G&amp;A Vendor x GL Analysis'!R$20,'[1]NS Vendor Details'!$L:$L,'G&amp;A Vendor x GL Analysis'!$D39,'[1]NS Vendor Details'!$O:$O,'G&amp;A Vendor x GL Analysis'!$F39,'[1]NS Vendor Details'!$N:$N,'G&amp;A Vendor x GL Analysis'!$C39),IF(R$15="Actual",SUMIFS('[1]NS Vendor Details'!$D:$D,'[1]NS Vendor Details'!$H:$H,'G&amp;A Vendor x GL Analysis'!R$20,'[1]NS Vendor Details'!$L:$L,'G&amp;A Vendor x GL Analysis'!$D39,'[1]NS Vendor Details'!$O:$O,'G&amp;A Vendor x GL Analysis'!$F39,'[1]NS Vendor Details'!$N:$N,'G&amp;A Vendor x GL Analysis'!$C39,'[1]NS Vendor Details'!$K:$K,'G&amp;A Vendor x GL Analysis'!$E$8),0))</f>
        <v>0</v>
      </c>
      <c r="S39" s="16">
        <f>IF(AND(S$15="Actual",ISBLANK($E$8)),SUMIFS('[1]NS Vendor Details'!$D:$D,'[1]NS Vendor Details'!$H:$H,'G&amp;A Vendor x GL Analysis'!S$20,'[1]NS Vendor Details'!$L:$L,'G&amp;A Vendor x GL Analysis'!$D39,'[1]NS Vendor Details'!$O:$O,'G&amp;A Vendor x GL Analysis'!$F39,'[1]NS Vendor Details'!$N:$N,'G&amp;A Vendor x GL Analysis'!$C39,'[1]NS Vendor Details'!$I:$I,'G&amp;A Vendor x GL Analysis'!$E39),IF(S$15="Actual",SUMIFS('[1]NS Vendor Details'!$D:$D,'[1]NS Vendor Details'!$H:$H,'G&amp;A Vendor x GL Analysis'!S$20,'[1]NS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T39" s="17">
        <f>IF(AND(T$15="Actual",ISBLANK($E$8)),SUMIFS('[1]NS Vendor Details'!$D:$D,'[1]NS Vendor Details'!$H:$H,'G&amp;A Vendor x GL Analysis'!T$20,'[1]NS Vendor Details'!$L:$L,'G&amp;A Vendor x GL Analysis'!$D39,'[1]NS Vendor Details'!$O:$O,'G&amp;A Vendor x GL Analysis'!$F39,'[1]NS Vendor Details'!$N:$N,'G&amp;A Vendor x GL Analysis'!$C39,'[1]NS Vendor Details'!$I:$I,'G&amp;A Vendor x GL Analysis'!$E39),IF(T$15="Actual",SUMIFS('[1]NS Vendor Details'!$D:$D,'[1]NS Vendor Details'!$H:$H,'G&amp;A Vendor x GL Analysis'!T$20,'[1]NS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U39" s="17">
        <f>IF(AND(U$15="Actual",ISBLANK($E$8)),SUMIFS('[1]NS Vendor Details'!$D:$D,'[1]NS Vendor Details'!$H:$H,'G&amp;A Vendor x GL Analysis'!U$20,'[1]NS Vendor Details'!$L:$L,'G&amp;A Vendor x GL Analysis'!$D39,'[1]NS Vendor Details'!$O:$O,'G&amp;A Vendor x GL Analysis'!$F39,'[1]NS Vendor Details'!$N:$N,'G&amp;A Vendor x GL Analysis'!$C39,'[1]NS Vendor Details'!$I:$I,'G&amp;A Vendor x GL Analysis'!$E39),IF(U$15="Actual",SUMIFS('[1]NS Vendor Details'!$D:$D,'[1]NS Vendor Details'!$H:$H,'G&amp;A Vendor x GL Analysis'!U$20,'[1]NS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V39" s="17">
        <f>IF(AND(V$15="Actual",ISBLANK($E$8)),SUMIFS('[1]NS Vendor Details'!$D:$D,'[1]NS Vendor Details'!$H:$H,'G&amp;A Vendor x GL Analysis'!V$20,'[1]NS Vendor Details'!$L:$L,'G&amp;A Vendor x GL Analysis'!$D39,'[1]NS Vendor Details'!$O:$O,'G&amp;A Vendor x GL Analysis'!$F39,'[1]NS Vendor Details'!$N:$N,'G&amp;A Vendor x GL Analysis'!$C39,'[1]NS Vendor Details'!$I:$I,'G&amp;A Vendor x GL Analysis'!$E39),IF(V$15="Actual",SUMIFS('[1]NS Vendor Details'!$D:$D,'[1]NS Vendor Details'!$H:$H,'G&amp;A Vendor x GL Analysis'!V$20,'[1]NS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W39" s="17">
        <f>IF(AND(W$15="Actual",ISBLANK($E$8)),SUMIFS('[1]NS Vendor Details'!$D:$D,'[1]NS Vendor Details'!$H:$H,'G&amp;A Vendor x GL Analysis'!W$20,'[1]NS Vendor Details'!$L:$L,'G&amp;A Vendor x GL Analysis'!$D39,'[1]NS Vendor Details'!$O:$O,'G&amp;A Vendor x GL Analysis'!$F39,'[1]NS Vendor Details'!$N:$N,'G&amp;A Vendor x GL Analysis'!$C39,'[1]NS Vendor Details'!$I:$I,'G&amp;A Vendor x GL Analysis'!$E39),IF(W$15="Actual",SUMIFS('[1]NS Vendor Details'!$D:$D,'[1]NS Vendor Details'!$H:$H,'G&amp;A Vendor x GL Analysis'!W$20,'[1]NS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X39" s="17">
        <f>IF(AND(X$15="Actual",ISBLANK($E$8)),SUMIFS('[1]NS Vendor Details'!$D:$D,'[1]NS Vendor Details'!$H:$H,'G&amp;A Vendor x GL Analysis'!X$20,'[1]NS Vendor Details'!$L:$L,'G&amp;A Vendor x GL Analysis'!$D39,'[1]NS Vendor Details'!$O:$O,'G&amp;A Vendor x GL Analysis'!$F39,'[1]NS Vendor Details'!$N:$N,'G&amp;A Vendor x GL Analysis'!$C39,'[1]NS Vendor Details'!$I:$I,'G&amp;A Vendor x GL Analysis'!$E39),IF(X$15="Actual",SUMIFS('[1]NS Vendor Details'!$D:$D,'[1]NS Vendor Details'!$H:$H,'G&amp;A Vendor x GL Analysis'!X$20,'[1]NS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Y39" s="17">
        <f>IF(AND(Y$15="Actual",ISBLANK($E$8)),SUMIFS('[1]NS Vendor Details'!$D:$D,'[1]NS Vendor Details'!$H:$H,'G&amp;A Vendor x GL Analysis'!Y$20,'[1]NS Vendor Details'!$L:$L,'G&amp;A Vendor x GL Analysis'!$D39,'[1]NS Vendor Details'!$O:$O,'G&amp;A Vendor x GL Analysis'!$F39,'[1]NS Vendor Details'!$N:$N,'G&amp;A Vendor x GL Analysis'!$C39,'[1]NS Vendor Details'!$I:$I,'G&amp;A Vendor x GL Analysis'!$E39),IF(Y$15="Actual",SUMIFS('[1]NS Vendor Details'!$D:$D,'[1]NS Vendor Details'!$H:$H,'G&amp;A Vendor x GL Analysis'!Y$20,'[1]NS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204.2</v>
      </c>
      <c r="Z39" s="17">
        <f>IF(AND(Z$15="Actual",ISBLANK($E$8)),SUMIFS('[1]NS Vendor Details'!$D:$D,'[1]NS Vendor Details'!$H:$H,'G&amp;A Vendor x GL Analysis'!Z$20,'[1]NS Vendor Details'!$L:$L,'G&amp;A Vendor x GL Analysis'!$D39,'[1]NS Vendor Details'!$O:$O,'G&amp;A Vendor x GL Analysis'!$F39,'[1]NS Vendor Details'!$N:$N,'G&amp;A Vendor x GL Analysis'!$C39,'[1]NS Vendor Details'!$I:$I,'G&amp;A Vendor x GL Analysis'!$E39),IF(Z$15="Actual",SUMIFS('[1]NS Vendor Details'!$D:$D,'[1]NS Vendor Details'!$H:$H,'G&amp;A Vendor x GL Analysis'!Z$20,'[1]NS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AA39" s="17">
        <f>IF(AND(AA$15="Actual",ISBLANK($E$8)),SUMIFS('[1]NS Vendor Details'!$D:$D,'[1]NS Vendor Details'!$H:$H,'G&amp;A Vendor x GL Analysis'!AA$20,'[1]NS Vendor Details'!$L:$L,'G&amp;A Vendor x GL Analysis'!$D39,'[1]NS Vendor Details'!$O:$O,'G&amp;A Vendor x GL Analysis'!$F39,'[1]NS Vendor Details'!$N:$N,'G&amp;A Vendor x GL Analysis'!$C39,'[1]NS Vendor Details'!$I:$I,'G&amp;A Vendor x GL Analysis'!$E39),IF(AA$15="Actual",SUMIFS('[1]NS Vendor Details'!$D:$D,'[1]NS Vendor Details'!$H:$H,'G&amp;A Vendor x GL Analysis'!AA$20,'[1]NS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141.63999999999999</v>
      </c>
      <c r="AB39" s="17">
        <f>IF(AND(AB$15="Actual",ISBLANK($E$8)),SUMIFS('[1]NS Vendor Details'!$D:$D,'[1]NS Vendor Details'!$H:$H,'G&amp;A Vendor x GL Analysis'!AB$20,'[1]NS Vendor Details'!$L:$L,'G&amp;A Vendor x GL Analysis'!$D39,'[1]NS Vendor Details'!$O:$O,'G&amp;A Vendor x GL Analysis'!$F39,'[1]NS Vendor Details'!$N:$N,'G&amp;A Vendor x GL Analysis'!$C39,'[1]NS Vendor Details'!$I:$I,'G&amp;A Vendor x GL Analysis'!$E39),IF(AB$15="Actual",SUMIFS('[1]NS Vendor Details'!$D:$D,'[1]NS Vendor Details'!$H:$H,'G&amp;A Vendor x GL Analysis'!AB$20,'[1]NS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3.09</v>
      </c>
      <c r="AC39" s="18">
        <f>IF(AND(AC$15="Actual",ISBLANK($E$8)),SUMIFS('[1]NS Vendor Details'!$D:$D,'[1]NS Vendor Details'!$H:$H,'G&amp;A Vendor x GL Analysis'!AC$20,'[1]NS Vendor Details'!$L:$L,'G&amp;A Vendor x GL Analysis'!$D39,'[1]NS Vendor Details'!$O:$O,'G&amp;A Vendor x GL Analysis'!$F39,'[1]NS Vendor Details'!$N:$N,'G&amp;A Vendor x GL Analysis'!$C39,'[1]NS Vendor Details'!$I:$I,'G&amp;A Vendor x GL Analysis'!$E39),IF(AC$15="Actual",SUMIFS('[1]NS Vendor Details'!$D:$D,'[1]NS Vendor Details'!$H:$H,'G&amp;A Vendor x GL Analysis'!AC$20,'[1]NS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AD39" s="18">
        <f>IF(AND(AD$15="Actual",ISBLANK($E$8)),SUMIFS('[1]NS Vendor Details'!$D:$D,'[1]NS Vendor Details'!$H:$H,'G&amp;A Vendor x GL Analysis'!AD$20,'[1]NS Vendor Details'!$L:$L,'G&amp;A Vendor x GL Analysis'!$D39,'[1]NS Vendor Details'!$O:$O,'G&amp;A Vendor x GL Analysis'!$F39,'[1]NS Vendor Details'!$N:$N,'G&amp;A Vendor x GL Analysis'!$C39,'[1]NS Vendor Details'!$I:$I,'G&amp;A Vendor x GL Analysis'!$E39),IF(AD$15="Actual",SUMIFS('[1]NS Vendor Details'!$D:$D,'[1]NS Vendor Details'!$H:$H,'G&amp;A Vendor x GL Analysis'!AD$20,'[1]NS Vendor Details'!$L:$L,'G&amp;A Vendor x GL Analysis'!$D39,'[1]NS Vendor Details'!$O:$O,'G&amp;A Vendor x GL Analysis'!$F39,'[1]NS Vendor Details'!$N:$N,'G&amp;A Vendor x GL Analysis'!$C39,'[1]NS Vendor Details'!$K:$K,'G&amp;A Vendor x GL Analysis'!$E$8,'[1]NS Vendor Details'!$I:$I,'G&amp;A Vendor x GL Analysis'!$E39),0))</f>
        <v>0</v>
      </c>
      <c r="AF39" s="19">
        <f t="shared" si="9"/>
        <v>348.92999999999995</v>
      </c>
    </row>
    <row r="40" spans="1:32" outlineLevel="1">
      <c r="A40" s="8" t="str">
        <f t="shared" si="8"/>
        <v>T&amp;E6105 - Meals</v>
      </c>
      <c r="C40" s="8" t="s">
        <v>11</v>
      </c>
      <c r="D40" s="8" t="str">
        <f>D39</f>
        <v>T&amp;E</v>
      </c>
      <c r="E40" s="2" t="s">
        <v>31</v>
      </c>
      <c r="F40" s="2" t="s">
        <v>33</v>
      </c>
      <c r="G40" s="16">
        <f>IF(AND(G$15="Actual",ISBLANK($E$8)),SUMIFS('[1]NS Vendor Details'!$D:$D,'[1]NS Vendor Details'!$H:$H,'G&amp;A Vendor x GL Analysis'!G$20,'[1]NS Vendor Details'!$L:$L,'G&amp;A Vendor x GL Analysis'!$D40,'[1]NS Vendor Details'!$O:$O,'G&amp;A Vendor x GL Analysis'!$F40,'[1]NS Vendor Details'!$N:$N,'G&amp;A Vendor x GL Analysis'!$C40),IF(G$15="Actual",SUMIFS('[1]NS Vendor Details'!$D:$D,'[1]NS Vendor Details'!$H:$H,'G&amp;A Vendor x GL Analysis'!G$20,'[1]NS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0</v>
      </c>
      <c r="H40" s="17">
        <f>IF(AND(H$15="Actual",ISBLANK($E$8)),SUMIFS('[1]NS Vendor Details'!$D:$D,'[1]NS Vendor Details'!$H:$H,'G&amp;A Vendor x GL Analysis'!H$20,'[1]NS Vendor Details'!$L:$L,'G&amp;A Vendor x GL Analysis'!$D40,'[1]NS Vendor Details'!$O:$O,'G&amp;A Vendor x GL Analysis'!$F40,'[1]NS Vendor Details'!$N:$N,'G&amp;A Vendor x GL Analysis'!$C40),IF(H$15="Actual",SUMIFS('[1]NS Vendor Details'!$D:$D,'[1]NS Vendor Details'!$H:$H,'G&amp;A Vendor x GL Analysis'!H$20,'[1]NS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0</v>
      </c>
      <c r="I40" s="17">
        <f>IF(AND(I$15="Actual",ISBLANK($E$8)),SUMIFS('[1]NS Vendor Details'!$D:$D,'[1]NS Vendor Details'!$H:$H,'G&amp;A Vendor x GL Analysis'!I$20,'[1]NS Vendor Details'!$L:$L,'G&amp;A Vendor x GL Analysis'!$D40,'[1]NS Vendor Details'!$O:$O,'G&amp;A Vendor x GL Analysis'!$F40,'[1]NS Vendor Details'!$N:$N,'G&amp;A Vendor x GL Analysis'!$C40),IF(I$15="Actual",SUMIFS('[1]NS Vendor Details'!$D:$D,'[1]NS Vendor Details'!$H:$H,'G&amp;A Vendor x GL Analysis'!I$20,'[1]NS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0</v>
      </c>
      <c r="J40" s="17">
        <f>IF(AND(J$15="Actual",ISBLANK($E$8)),SUMIFS('[1]NS Vendor Details'!$D:$D,'[1]NS Vendor Details'!$H:$H,'G&amp;A Vendor x GL Analysis'!J$20,'[1]NS Vendor Details'!$L:$L,'G&amp;A Vendor x GL Analysis'!$D40,'[1]NS Vendor Details'!$O:$O,'G&amp;A Vendor x GL Analysis'!$F40,'[1]NS Vendor Details'!$N:$N,'G&amp;A Vendor x GL Analysis'!$C40),IF(J$15="Actual",SUMIFS('[1]NS Vendor Details'!$D:$D,'[1]NS Vendor Details'!$H:$H,'G&amp;A Vendor x GL Analysis'!J$20,'[1]NS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113</v>
      </c>
      <c r="K40" s="17">
        <f>IF(AND(K$15="Actual",ISBLANK($E$8)),SUMIFS('[1]NS Vendor Details'!$D:$D,'[1]NS Vendor Details'!$H:$H,'G&amp;A Vendor x GL Analysis'!K$20,'[1]NS Vendor Details'!$L:$L,'G&amp;A Vendor x GL Analysis'!$D40,'[1]NS Vendor Details'!$O:$O,'G&amp;A Vendor x GL Analysis'!$F40,'[1]NS Vendor Details'!$N:$N,'G&amp;A Vendor x GL Analysis'!$C40),IF(K$15="Actual",SUMIFS('[1]NS Vendor Details'!$D:$D,'[1]NS Vendor Details'!$H:$H,'G&amp;A Vendor x GL Analysis'!K$20,'[1]NS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166.71</v>
      </c>
      <c r="L40" s="17">
        <f>IF(AND(L$15="Actual",ISBLANK($E$8)),SUMIFS('[1]NS Vendor Details'!$D:$D,'[1]NS Vendor Details'!$H:$H,'G&amp;A Vendor x GL Analysis'!L$20,'[1]NS Vendor Details'!$L:$L,'G&amp;A Vendor x GL Analysis'!$D40,'[1]NS Vendor Details'!$O:$O,'G&amp;A Vendor x GL Analysis'!$F40,'[1]NS Vendor Details'!$N:$N,'G&amp;A Vendor x GL Analysis'!$C40),IF(L$15="Actual",SUMIFS('[1]NS Vendor Details'!$D:$D,'[1]NS Vendor Details'!$H:$H,'G&amp;A Vendor x GL Analysis'!L$20,'[1]NS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0</v>
      </c>
      <c r="M40" s="17">
        <f>IF(AND(M$15="Actual",ISBLANK($E$8)),SUMIFS('[1]NS Vendor Details'!$D:$D,'[1]NS Vendor Details'!$H:$H,'G&amp;A Vendor x GL Analysis'!M$20,'[1]NS Vendor Details'!$L:$L,'G&amp;A Vendor x GL Analysis'!$D40,'[1]NS Vendor Details'!$O:$O,'G&amp;A Vendor x GL Analysis'!$F40,'[1]NS Vendor Details'!$N:$N,'G&amp;A Vendor x GL Analysis'!$C40),IF(M$15="Actual",SUMIFS('[1]NS Vendor Details'!$D:$D,'[1]NS Vendor Details'!$H:$H,'G&amp;A Vendor x GL Analysis'!M$20,'[1]NS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211.24</v>
      </c>
      <c r="N40" s="17">
        <f>IF(AND(N$15="Actual",ISBLANK($E$8)),SUMIFS('[1]NS Vendor Details'!$D:$D,'[1]NS Vendor Details'!$H:$H,'G&amp;A Vendor x GL Analysis'!N$20,'[1]NS Vendor Details'!$L:$L,'G&amp;A Vendor x GL Analysis'!$D40,'[1]NS Vendor Details'!$O:$O,'G&amp;A Vendor x GL Analysis'!$F40,'[1]NS Vendor Details'!$N:$N,'G&amp;A Vendor x GL Analysis'!$C40),IF(N$15="Actual",SUMIFS('[1]NS Vendor Details'!$D:$D,'[1]NS Vendor Details'!$H:$H,'G&amp;A Vendor x GL Analysis'!N$20,'[1]NS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1348.13</v>
      </c>
      <c r="O40" s="17">
        <f>IF(AND(O$15="Actual",ISBLANK($E$8)),SUMIFS('[1]NS Vendor Details'!$D:$D,'[1]NS Vendor Details'!$H:$H,'G&amp;A Vendor x GL Analysis'!O$20,'[1]NS Vendor Details'!$L:$L,'G&amp;A Vendor x GL Analysis'!$D40,'[1]NS Vendor Details'!$O:$O,'G&amp;A Vendor x GL Analysis'!$F40,'[1]NS Vendor Details'!$N:$N,'G&amp;A Vendor x GL Analysis'!$C40),IF(O$15="Actual",SUMIFS('[1]NS Vendor Details'!$D:$D,'[1]NS Vendor Details'!$H:$H,'G&amp;A Vendor x GL Analysis'!O$20,'[1]NS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419.55</v>
      </c>
      <c r="P40" s="17">
        <f>IF(AND(P$15="Actual",ISBLANK($E$8)),SUMIFS('[1]NS Vendor Details'!$D:$D,'[1]NS Vendor Details'!$H:$H,'G&amp;A Vendor x GL Analysis'!P$20,'[1]NS Vendor Details'!$L:$L,'G&amp;A Vendor x GL Analysis'!$D40,'[1]NS Vendor Details'!$O:$O,'G&amp;A Vendor x GL Analysis'!$F40,'[1]NS Vendor Details'!$N:$N,'G&amp;A Vendor x GL Analysis'!$C40),IF(P$15="Actual",SUMIFS('[1]NS Vendor Details'!$D:$D,'[1]NS Vendor Details'!$H:$H,'G&amp;A Vendor x GL Analysis'!P$20,'[1]NS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715.9</v>
      </c>
      <c r="Q40" s="17">
        <f>IF(AND(Q$15="Actual",ISBLANK($E$8)),SUMIFS('[1]NS Vendor Details'!$D:$D,'[1]NS Vendor Details'!$H:$H,'G&amp;A Vendor x GL Analysis'!Q$20,'[1]NS Vendor Details'!$L:$L,'G&amp;A Vendor x GL Analysis'!$D40,'[1]NS Vendor Details'!$O:$O,'G&amp;A Vendor x GL Analysis'!$F40,'[1]NS Vendor Details'!$N:$N,'G&amp;A Vendor x GL Analysis'!$C40),IF(Q$15="Actual",SUMIFS('[1]NS Vendor Details'!$D:$D,'[1]NS Vendor Details'!$H:$H,'G&amp;A Vendor x GL Analysis'!Q$20,'[1]NS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1856.52</v>
      </c>
      <c r="R40" s="18">
        <f>IF(AND(R$15="Actual",ISBLANK($E$8)),SUMIFS('[1]NS Vendor Details'!$D:$D,'[1]NS Vendor Details'!$H:$H,'G&amp;A Vendor x GL Analysis'!R$20,'[1]NS Vendor Details'!$L:$L,'G&amp;A Vendor x GL Analysis'!$D40,'[1]NS Vendor Details'!$O:$O,'G&amp;A Vendor x GL Analysis'!$F40,'[1]NS Vendor Details'!$N:$N,'G&amp;A Vendor x GL Analysis'!$C40),IF(R$15="Actual",SUMIFS('[1]NS Vendor Details'!$D:$D,'[1]NS Vendor Details'!$H:$H,'G&amp;A Vendor x GL Analysis'!R$20,'[1]NS Vendor Details'!$L:$L,'G&amp;A Vendor x GL Analysis'!$D40,'[1]NS Vendor Details'!$O:$O,'G&amp;A Vendor x GL Analysis'!$F40,'[1]NS Vendor Details'!$N:$N,'G&amp;A Vendor x GL Analysis'!$C40,'[1]NS Vendor Details'!$K:$K,'G&amp;A Vendor x GL Analysis'!$E$8),0))</f>
        <v>0</v>
      </c>
      <c r="S40" s="16">
        <f>IF(AND(S$15="Actual",ISBLANK($E$8)),SUMIFS('[1]NS Vendor Details'!$D:$D,'[1]NS Vendor Details'!$H:$H,'G&amp;A Vendor x GL Analysis'!S$20,'[1]NS Vendor Details'!$L:$L,'G&amp;A Vendor x GL Analysis'!$D40,'[1]NS Vendor Details'!$O:$O,'G&amp;A Vendor x GL Analysis'!$F40,'[1]NS Vendor Details'!$N:$N,'G&amp;A Vendor x GL Analysis'!$C40,'[1]NS Vendor Details'!$I:$I,'G&amp;A Vendor x GL Analysis'!$E40),IF(S$15="Actual",SUMIFS('[1]NS Vendor Details'!$D:$D,'[1]NS Vendor Details'!$H:$H,'G&amp;A Vendor x GL Analysis'!S$20,'[1]NS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513.71</v>
      </c>
      <c r="T40" s="17">
        <f>IF(AND(T$15="Actual",ISBLANK($E$8)),SUMIFS('[1]NS Vendor Details'!$D:$D,'[1]NS Vendor Details'!$H:$H,'G&amp;A Vendor x GL Analysis'!T$20,'[1]NS Vendor Details'!$L:$L,'G&amp;A Vendor x GL Analysis'!$D40,'[1]NS Vendor Details'!$O:$O,'G&amp;A Vendor x GL Analysis'!$F40,'[1]NS Vendor Details'!$N:$N,'G&amp;A Vendor x GL Analysis'!$C40,'[1]NS Vendor Details'!$I:$I,'G&amp;A Vendor x GL Analysis'!$E40),IF(T$15="Actual",SUMIFS('[1]NS Vendor Details'!$D:$D,'[1]NS Vendor Details'!$H:$H,'G&amp;A Vendor x GL Analysis'!T$20,'[1]NS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U40" s="17">
        <f>IF(AND(U$15="Actual",ISBLANK($E$8)),SUMIFS('[1]NS Vendor Details'!$D:$D,'[1]NS Vendor Details'!$H:$H,'G&amp;A Vendor x GL Analysis'!U$20,'[1]NS Vendor Details'!$L:$L,'G&amp;A Vendor x GL Analysis'!$D40,'[1]NS Vendor Details'!$O:$O,'G&amp;A Vendor x GL Analysis'!$F40,'[1]NS Vendor Details'!$N:$N,'G&amp;A Vendor x GL Analysis'!$C40,'[1]NS Vendor Details'!$I:$I,'G&amp;A Vendor x GL Analysis'!$E40),IF(U$15="Actual",SUMIFS('[1]NS Vendor Details'!$D:$D,'[1]NS Vendor Details'!$H:$H,'G&amp;A Vendor x GL Analysis'!U$20,'[1]NS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V40" s="17">
        <f>IF(AND(V$15="Actual",ISBLANK($E$8)),SUMIFS('[1]NS Vendor Details'!$D:$D,'[1]NS Vendor Details'!$H:$H,'G&amp;A Vendor x GL Analysis'!V$20,'[1]NS Vendor Details'!$L:$L,'G&amp;A Vendor x GL Analysis'!$D40,'[1]NS Vendor Details'!$O:$O,'G&amp;A Vendor x GL Analysis'!$F40,'[1]NS Vendor Details'!$N:$N,'G&amp;A Vendor x GL Analysis'!$C40,'[1]NS Vendor Details'!$I:$I,'G&amp;A Vendor x GL Analysis'!$E40),IF(V$15="Actual",SUMIFS('[1]NS Vendor Details'!$D:$D,'[1]NS Vendor Details'!$H:$H,'G&amp;A Vendor x GL Analysis'!V$20,'[1]NS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W40" s="17">
        <f>IF(AND(W$15="Actual",ISBLANK($E$8)),SUMIFS('[1]NS Vendor Details'!$D:$D,'[1]NS Vendor Details'!$H:$H,'G&amp;A Vendor x GL Analysis'!W$20,'[1]NS Vendor Details'!$L:$L,'G&amp;A Vendor x GL Analysis'!$D40,'[1]NS Vendor Details'!$O:$O,'G&amp;A Vendor x GL Analysis'!$F40,'[1]NS Vendor Details'!$N:$N,'G&amp;A Vendor x GL Analysis'!$C40,'[1]NS Vendor Details'!$I:$I,'G&amp;A Vendor x GL Analysis'!$E40),IF(W$15="Actual",SUMIFS('[1]NS Vendor Details'!$D:$D,'[1]NS Vendor Details'!$H:$H,'G&amp;A Vendor x GL Analysis'!W$20,'[1]NS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X40" s="17">
        <f>IF(AND(X$15="Actual",ISBLANK($E$8)),SUMIFS('[1]NS Vendor Details'!$D:$D,'[1]NS Vendor Details'!$H:$H,'G&amp;A Vendor x GL Analysis'!X$20,'[1]NS Vendor Details'!$L:$L,'G&amp;A Vendor x GL Analysis'!$D40,'[1]NS Vendor Details'!$O:$O,'G&amp;A Vendor x GL Analysis'!$F40,'[1]NS Vendor Details'!$N:$N,'G&amp;A Vendor x GL Analysis'!$C40,'[1]NS Vendor Details'!$I:$I,'G&amp;A Vendor x GL Analysis'!$E40),IF(X$15="Actual",SUMIFS('[1]NS Vendor Details'!$D:$D,'[1]NS Vendor Details'!$H:$H,'G&amp;A Vendor x GL Analysis'!X$20,'[1]NS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Y40" s="17">
        <f>IF(AND(Y$15="Actual",ISBLANK($E$8)),SUMIFS('[1]NS Vendor Details'!$D:$D,'[1]NS Vendor Details'!$H:$H,'G&amp;A Vendor x GL Analysis'!Y$20,'[1]NS Vendor Details'!$L:$L,'G&amp;A Vendor x GL Analysis'!$D40,'[1]NS Vendor Details'!$O:$O,'G&amp;A Vendor x GL Analysis'!$F40,'[1]NS Vendor Details'!$N:$N,'G&amp;A Vendor x GL Analysis'!$C40,'[1]NS Vendor Details'!$I:$I,'G&amp;A Vendor x GL Analysis'!$E40),IF(Y$15="Actual",SUMIFS('[1]NS Vendor Details'!$D:$D,'[1]NS Vendor Details'!$H:$H,'G&amp;A Vendor x GL Analysis'!Y$20,'[1]NS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Z40" s="17">
        <f>IF(AND(Z$15="Actual",ISBLANK($E$8)),SUMIFS('[1]NS Vendor Details'!$D:$D,'[1]NS Vendor Details'!$H:$H,'G&amp;A Vendor x GL Analysis'!Z$20,'[1]NS Vendor Details'!$L:$L,'G&amp;A Vendor x GL Analysis'!$D40,'[1]NS Vendor Details'!$O:$O,'G&amp;A Vendor x GL Analysis'!$F40,'[1]NS Vendor Details'!$N:$N,'G&amp;A Vendor x GL Analysis'!$C40,'[1]NS Vendor Details'!$I:$I,'G&amp;A Vendor x GL Analysis'!$E40),IF(Z$15="Actual",SUMIFS('[1]NS Vendor Details'!$D:$D,'[1]NS Vendor Details'!$H:$H,'G&amp;A Vendor x GL Analysis'!Z$20,'[1]NS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AA40" s="17">
        <f>IF(AND(AA$15="Actual",ISBLANK($E$8)),SUMIFS('[1]NS Vendor Details'!$D:$D,'[1]NS Vendor Details'!$H:$H,'G&amp;A Vendor x GL Analysis'!AA$20,'[1]NS Vendor Details'!$L:$L,'G&amp;A Vendor x GL Analysis'!$D40,'[1]NS Vendor Details'!$O:$O,'G&amp;A Vendor x GL Analysis'!$F40,'[1]NS Vendor Details'!$N:$N,'G&amp;A Vendor x GL Analysis'!$C40,'[1]NS Vendor Details'!$I:$I,'G&amp;A Vendor x GL Analysis'!$E40),IF(AA$15="Actual",SUMIFS('[1]NS Vendor Details'!$D:$D,'[1]NS Vendor Details'!$H:$H,'G&amp;A Vendor x GL Analysis'!AA$20,'[1]NS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AB40" s="17">
        <f>IF(AND(AB$15="Actual",ISBLANK($E$8)),SUMIFS('[1]NS Vendor Details'!$D:$D,'[1]NS Vendor Details'!$H:$H,'G&amp;A Vendor x GL Analysis'!AB$20,'[1]NS Vendor Details'!$L:$L,'G&amp;A Vendor x GL Analysis'!$D40,'[1]NS Vendor Details'!$O:$O,'G&amp;A Vendor x GL Analysis'!$F40,'[1]NS Vendor Details'!$N:$N,'G&amp;A Vendor x GL Analysis'!$C40,'[1]NS Vendor Details'!$I:$I,'G&amp;A Vendor x GL Analysis'!$E40),IF(AB$15="Actual",SUMIFS('[1]NS Vendor Details'!$D:$D,'[1]NS Vendor Details'!$H:$H,'G&amp;A Vendor x GL Analysis'!AB$20,'[1]NS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AC40" s="18">
        <f>IF(AND(AC$15="Actual",ISBLANK($E$8)),SUMIFS('[1]NS Vendor Details'!$D:$D,'[1]NS Vendor Details'!$H:$H,'G&amp;A Vendor x GL Analysis'!AC$20,'[1]NS Vendor Details'!$L:$L,'G&amp;A Vendor x GL Analysis'!$D40,'[1]NS Vendor Details'!$O:$O,'G&amp;A Vendor x GL Analysis'!$F40,'[1]NS Vendor Details'!$N:$N,'G&amp;A Vendor x GL Analysis'!$C40,'[1]NS Vendor Details'!$I:$I,'G&amp;A Vendor x GL Analysis'!$E40),IF(AC$15="Actual",SUMIFS('[1]NS Vendor Details'!$D:$D,'[1]NS Vendor Details'!$H:$H,'G&amp;A Vendor x GL Analysis'!AC$20,'[1]NS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AD40" s="18">
        <f>IF(AND(AD$15="Actual",ISBLANK($E$8)),SUMIFS('[1]NS Vendor Details'!$D:$D,'[1]NS Vendor Details'!$H:$H,'G&amp;A Vendor x GL Analysis'!AD$20,'[1]NS Vendor Details'!$L:$L,'G&amp;A Vendor x GL Analysis'!$D40,'[1]NS Vendor Details'!$O:$O,'G&amp;A Vendor x GL Analysis'!$F40,'[1]NS Vendor Details'!$N:$N,'G&amp;A Vendor x GL Analysis'!$C40,'[1]NS Vendor Details'!$I:$I,'G&amp;A Vendor x GL Analysis'!$E40),IF(AD$15="Actual",SUMIFS('[1]NS Vendor Details'!$D:$D,'[1]NS Vendor Details'!$H:$H,'G&amp;A Vendor x GL Analysis'!AD$20,'[1]NS Vendor Details'!$L:$L,'G&amp;A Vendor x GL Analysis'!$D40,'[1]NS Vendor Details'!$O:$O,'G&amp;A Vendor x GL Analysis'!$F40,'[1]NS Vendor Details'!$N:$N,'G&amp;A Vendor x GL Analysis'!$C40,'[1]NS Vendor Details'!$K:$K,'G&amp;A Vendor x GL Analysis'!$E$8,'[1]NS Vendor Details'!$I:$I,'G&amp;A Vendor x GL Analysis'!$E40),0))</f>
        <v>0</v>
      </c>
      <c r="AF40" s="19">
        <f t="shared" si="9"/>
        <v>513.71</v>
      </c>
    </row>
    <row r="41" spans="1:32" outlineLevel="1">
      <c r="A41" s="8" t="str">
        <f t="shared" si="8"/>
        <v>T&amp;E6105 - Meals</v>
      </c>
      <c r="C41" s="8" t="s">
        <v>11</v>
      </c>
      <c r="D41" s="8" t="str">
        <f t="shared" ref="D41" si="12">D40</f>
        <v>T&amp;E</v>
      </c>
      <c r="E41" s="2" t="s">
        <v>31</v>
      </c>
      <c r="F41" s="2" t="s">
        <v>34</v>
      </c>
      <c r="G41" s="16">
        <f>IF(AND(G$15="Actual",ISBLANK($E$8)),SUMIFS('[1]NS Vendor Details'!$D:$D,'[1]NS Vendor Details'!$H:$H,'G&amp;A Vendor x GL Analysis'!G$20,'[1]NS Vendor Details'!$L:$L,'G&amp;A Vendor x GL Analysis'!$D41,'[1]NS Vendor Details'!$O:$O,'G&amp;A Vendor x GL Analysis'!$F41,'[1]NS Vendor Details'!$N:$N,'G&amp;A Vendor x GL Analysis'!$C41),IF(G$15="Actual",SUMIFS('[1]NS Vendor Details'!$D:$D,'[1]NS Vendor Details'!$H:$H,'G&amp;A Vendor x GL Analysis'!G$20,'[1]NS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H41" s="17">
        <f>IF(AND(H$15="Actual",ISBLANK($E$8)),SUMIFS('[1]NS Vendor Details'!$D:$D,'[1]NS Vendor Details'!$H:$H,'G&amp;A Vendor x GL Analysis'!H$20,'[1]NS Vendor Details'!$L:$L,'G&amp;A Vendor x GL Analysis'!$D41,'[1]NS Vendor Details'!$O:$O,'G&amp;A Vendor x GL Analysis'!$F41,'[1]NS Vendor Details'!$N:$N,'G&amp;A Vendor x GL Analysis'!$C41),IF(H$15="Actual",SUMIFS('[1]NS Vendor Details'!$D:$D,'[1]NS Vendor Details'!$H:$H,'G&amp;A Vendor x GL Analysis'!H$20,'[1]NS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I41" s="17">
        <f>IF(AND(I$15="Actual",ISBLANK($E$8)),SUMIFS('[1]NS Vendor Details'!$D:$D,'[1]NS Vendor Details'!$H:$H,'G&amp;A Vendor x GL Analysis'!I$20,'[1]NS Vendor Details'!$L:$L,'G&amp;A Vendor x GL Analysis'!$D41,'[1]NS Vendor Details'!$O:$O,'G&amp;A Vendor x GL Analysis'!$F41,'[1]NS Vendor Details'!$N:$N,'G&amp;A Vendor x GL Analysis'!$C41),IF(I$15="Actual",SUMIFS('[1]NS Vendor Details'!$D:$D,'[1]NS Vendor Details'!$H:$H,'G&amp;A Vendor x GL Analysis'!I$20,'[1]NS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J41" s="17">
        <f>IF(AND(J$15="Actual",ISBLANK($E$8)),SUMIFS('[1]NS Vendor Details'!$D:$D,'[1]NS Vendor Details'!$H:$H,'G&amp;A Vendor x GL Analysis'!J$20,'[1]NS Vendor Details'!$L:$L,'G&amp;A Vendor x GL Analysis'!$D41,'[1]NS Vendor Details'!$O:$O,'G&amp;A Vendor x GL Analysis'!$F41,'[1]NS Vendor Details'!$N:$N,'G&amp;A Vendor x GL Analysis'!$C41),IF(J$15="Actual",SUMIFS('[1]NS Vendor Details'!$D:$D,'[1]NS Vendor Details'!$H:$H,'G&amp;A Vendor x GL Analysis'!J$20,'[1]NS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K41" s="17">
        <f>IF(AND(K$15="Actual",ISBLANK($E$8)),SUMIFS('[1]NS Vendor Details'!$D:$D,'[1]NS Vendor Details'!$H:$H,'G&amp;A Vendor x GL Analysis'!K$20,'[1]NS Vendor Details'!$L:$L,'G&amp;A Vendor x GL Analysis'!$D41,'[1]NS Vendor Details'!$O:$O,'G&amp;A Vendor x GL Analysis'!$F41,'[1]NS Vendor Details'!$N:$N,'G&amp;A Vendor x GL Analysis'!$C41),IF(K$15="Actual",SUMIFS('[1]NS Vendor Details'!$D:$D,'[1]NS Vendor Details'!$H:$H,'G&amp;A Vendor x GL Analysis'!K$20,'[1]NS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L41" s="17">
        <f>IF(AND(L$15="Actual",ISBLANK($E$8)),SUMIFS('[1]NS Vendor Details'!$D:$D,'[1]NS Vendor Details'!$H:$H,'G&amp;A Vendor x GL Analysis'!L$20,'[1]NS Vendor Details'!$L:$L,'G&amp;A Vendor x GL Analysis'!$D41,'[1]NS Vendor Details'!$O:$O,'G&amp;A Vendor x GL Analysis'!$F41,'[1]NS Vendor Details'!$N:$N,'G&amp;A Vendor x GL Analysis'!$C41),IF(L$15="Actual",SUMIFS('[1]NS Vendor Details'!$D:$D,'[1]NS Vendor Details'!$H:$H,'G&amp;A Vendor x GL Analysis'!L$20,'[1]NS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M41" s="17">
        <f>IF(AND(M$15="Actual",ISBLANK($E$8)),SUMIFS('[1]NS Vendor Details'!$D:$D,'[1]NS Vendor Details'!$H:$H,'G&amp;A Vendor x GL Analysis'!M$20,'[1]NS Vendor Details'!$L:$L,'G&amp;A Vendor x GL Analysis'!$D41,'[1]NS Vendor Details'!$O:$O,'G&amp;A Vendor x GL Analysis'!$F41,'[1]NS Vendor Details'!$N:$N,'G&amp;A Vendor x GL Analysis'!$C41),IF(M$15="Actual",SUMIFS('[1]NS Vendor Details'!$D:$D,'[1]NS Vendor Details'!$H:$H,'G&amp;A Vendor x GL Analysis'!M$20,'[1]NS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N41" s="17">
        <f>IF(AND(N$15="Actual",ISBLANK($E$8)),SUMIFS('[1]NS Vendor Details'!$D:$D,'[1]NS Vendor Details'!$H:$H,'G&amp;A Vendor x GL Analysis'!N$20,'[1]NS Vendor Details'!$L:$L,'G&amp;A Vendor x GL Analysis'!$D41,'[1]NS Vendor Details'!$O:$O,'G&amp;A Vendor x GL Analysis'!$F41,'[1]NS Vendor Details'!$N:$N,'G&amp;A Vendor x GL Analysis'!$C41),IF(N$15="Actual",SUMIFS('[1]NS Vendor Details'!$D:$D,'[1]NS Vendor Details'!$H:$H,'G&amp;A Vendor x GL Analysis'!N$20,'[1]NS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O41" s="17">
        <f>IF(AND(O$15="Actual",ISBLANK($E$8)),SUMIFS('[1]NS Vendor Details'!$D:$D,'[1]NS Vendor Details'!$H:$H,'G&amp;A Vendor x GL Analysis'!O$20,'[1]NS Vendor Details'!$L:$L,'G&amp;A Vendor x GL Analysis'!$D41,'[1]NS Vendor Details'!$O:$O,'G&amp;A Vendor x GL Analysis'!$F41,'[1]NS Vendor Details'!$N:$N,'G&amp;A Vendor x GL Analysis'!$C41),IF(O$15="Actual",SUMIFS('[1]NS Vendor Details'!$D:$D,'[1]NS Vendor Details'!$H:$H,'G&amp;A Vendor x GL Analysis'!O$20,'[1]NS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P41" s="17">
        <f>IF(AND(P$15="Actual",ISBLANK($E$8)),SUMIFS('[1]NS Vendor Details'!$D:$D,'[1]NS Vendor Details'!$H:$H,'G&amp;A Vendor x GL Analysis'!P$20,'[1]NS Vendor Details'!$L:$L,'G&amp;A Vendor x GL Analysis'!$D41,'[1]NS Vendor Details'!$O:$O,'G&amp;A Vendor x GL Analysis'!$F41,'[1]NS Vendor Details'!$N:$N,'G&amp;A Vendor x GL Analysis'!$C41),IF(P$15="Actual",SUMIFS('[1]NS Vendor Details'!$D:$D,'[1]NS Vendor Details'!$H:$H,'G&amp;A Vendor x GL Analysis'!P$20,'[1]NS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Q41" s="17">
        <f>IF(AND(Q$15="Actual",ISBLANK($E$8)),SUMIFS('[1]NS Vendor Details'!$D:$D,'[1]NS Vendor Details'!$H:$H,'G&amp;A Vendor x GL Analysis'!Q$20,'[1]NS Vendor Details'!$L:$L,'G&amp;A Vendor x GL Analysis'!$D41,'[1]NS Vendor Details'!$O:$O,'G&amp;A Vendor x GL Analysis'!$F41,'[1]NS Vendor Details'!$N:$N,'G&amp;A Vendor x GL Analysis'!$C41),IF(Q$15="Actual",SUMIFS('[1]NS Vendor Details'!$D:$D,'[1]NS Vendor Details'!$H:$H,'G&amp;A Vendor x GL Analysis'!Q$20,'[1]NS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R41" s="18">
        <f>IF(AND(R$15="Actual",ISBLANK($E$8)),SUMIFS('[1]NS Vendor Details'!$D:$D,'[1]NS Vendor Details'!$H:$H,'G&amp;A Vendor x GL Analysis'!R$20,'[1]NS Vendor Details'!$L:$L,'G&amp;A Vendor x GL Analysis'!$D41,'[1]NS Vendor Details'!$O:$O,'G&amp;A Vendor x GL Analysis'!$F41,'[1]NS Vendor Details'!$N:$N,'G&amp;A Vendor x GL Analysis'!$C41),IF(R$15="Actual",SUMIFS('[1]NS Vendor Details'!$D:$D,'[1]NS Vendor Details'!$H:$H,'G&amp;A Vendor x GL Analysis'!R$20,'[1]NS Vendor Details'!$L:$L,'G&amp;A Vendor x GL Analysis'!$D41,'[1]NS Vendor Details'!$O:$O,'G&amp;A Vendor x GL Analysis'!$F41,'[1]NS Vendor Details'!$N:$N,'G&amp;A Vendor x GL Analysis'!$C41,'[1]NS Vendor Details'!$K:$K,'G&amp;A Vendor x GL Analysis'!$E$8),0))</f>
        <v>0</v>
      </c>
      <c r="S41" s="16">
        <f>IF(AND(S$15="Actual",ISBLANK($E$8)),SUMIFS('[1]NS Vendor Details'!$D:$D,'[1]NS Vendor Details'!$H:$H,'G&amp;A Vendor x GL Analysis'!S$20,'[1]NS Vendor Details'!$L:$L,'G&amp;A Vendor x GL Analysis'!$D41,'[1]NS Vendor Details'!$O:$O,'G&amp;A Vendor x GL Analysis'!$F41,'[1]NS Vendor Details'!$N:$N,'G&amp;A Vendor x GL Analysis'!$C41,'[1]NS Vendor Details'!$I:$I,'G&amp;A Vendor x GL Analysis'!$E41),IF(S$15="Actual",SUMIFS('[1]NS Vendor Details'!$D:$D,'[1]NS Vendor Details'!$H:$H,'G&amp;A Vendor x GL Analysis'!S$20,'[1]NS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0</v>
      </c>
      <c r="T41" s="17">
        <f>IF(AND(T$15="Actual",ISBLANK($E$8)),SUMIFS('[1]NS Vendor Details'!$D:$D,'[1]NS Vendor Details'!$H:$H,'G&amp;A Vendor x GL Analysis'!T$20,'[1]NS Vendor Details'!$L:$L,'G&amp;A Vendor x GL Analysis'!$D41,'[1]NS Vendor Details'!$O:$O,'G&amp;A Vendor x GL Analysis'!$F41,'[1]NS Vendor Details'!$N:$N,'G&amp;A Vendor x GL Analysis'!$C41,'[1]NS Vendor Details'!$I:$I,'G&amp;A Vendor x GL Analysis'!$E41),IF(T$15="Actual",SUMIFS('[1]NS Vendor Details'!$D:$D,'[1]NS Vendor Details'!$H:$H,'G&amp;A Vendor x GL Analysis'!T$20,'[1]NS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0</v>
      </c>
      <c r="U41" s="17">
        <f>IF(AND(U$15="Actual",ISBLANK($E$8)),SUMIFS('[1]NS Vendor Details'!$D:$D,'[1]NS Vendor Details'!$H:$H,'G&amp;A Vendor x GL Analysis'!U$20,'[1]NS Vendor Details'!$L:$L,'G&amp;A Vendor x GL Analysis'!$D41,'[1]NS Vendor Details'!$O:$O,'G&amp;A Vendor x GL Analysis'!$F41,'[1]NS Vendor Details'!$N:$N,'G&amp;A Vendor x GL Analysis'!$C41,'[1]NS Vendor Details'!$I:$I,'G&amp;A Vendor x GL Analysis'!$E41),IF(U$15="Actual",SUMIFS('[1]NS Vendor Details'!$D:$D,'[1]NS Vendor Details'!$H:$H,'G&amp;A Vendor x GL Analysis'!U$20,'[1]NS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0</v>
      </c>
      <c r="V41" s="17">
        <f>IF(AND(V$15="Actual",ISBLANK($E$8)),SUMIFS('[1]NS Vendor Details'!$D:$D,'[1]NS Vendor Details'!$H:$H,'G&amp;A Vendor x GL Analysis'!V$20,'[1]NS Vendor Details'!$L:$L,'G&amp;A Vendor x GL Analysis'!$D41,'[1]NS Vendor Details'!$O:$O,'G&amp;A Vendor x GL Analysis'!$F41,'[1]NS Vendor Details'!$N:$N,'G&amp;A Vendor x GL Analysis'!$C41,'[1]NS Vendor Details'!$I:$I,'G&amp;A Vendor x GL Analysis'!$E41),IF(V$15="Actual",SUMIFS('[1]NS Vendor Details'!$D:$D,'[1]NS Vendor Details'!$H:$H,'G&amp;A Vendor x GL Analysis'!V$20,'[1]NS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0</v>
      </c>
      <c r="W41" s="17">
        <f>IF(AND(W$15="Actual",ISBLANK($E$8)),SUMIFS('[1]NS Vendor Details'!$D:$D,'[1]NS Vendor Details'!$H:$H,'G&amp;A Vendor x GL Analysis'!W$20,'[1]NS Vendor Details'!$L:$L,'G&amp;A Vendor x GL Analysis'!$D41,'[1]NS Vendor Details'!$O:$O,'G&amp;A Vendor x GL Analysis'!$F41,'[1]NS Vendor Details'!$N:$N,'G&amp;A Vendor x GL Analysis'!$C41,'[1]NS Vendor Details'!$I:$I,'G&amp;A Vendor x GL Analysis'!$E41),IF(W$15="Actual",SUMIFS('[1]NS Vendor Details'!$D:$D,'[1]NS Vendor Details'!$H:$H,'G&amp;A Vendor x GL Analysis'!W$20,'[1]NS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0</v>
      </c>
      <c r="X41" s="17">
        <f>IF(AND(X$15="Actual",ISBLANK($E$8)),SUMIFS('[1]NS Vendor Details'!$D:$D,'[1]NS Vendor Details'!$H:$H,'G&amp;A Vendor x GL Analysis'!X$20,'[1]NS Vendor Details'!$L:$L,'G&amp;A Vendor x GL Analysis'!$D41,'[1]NS Vendor Details'!$O:$O,'G&amp;A Vendor x GL Analysis'!$F41,'[1]NS Vendor Details'!$N:$N,'G&amp;A Vendor x GL Analysis'!$C41,'[1]NS Vendor Details'!$I:$I,'G&amp;A Vendor x GL Analysis'!$E41),IF(X$15="Actual",SUMIFS('[1]NS Vendor Details'!$D:$D,'[1]NS Vendor Details'!$H:$H,'G&amp;A Vendor x GL Analysis'!X$20,'[1]NS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0</v>
      </c>
      <c r="Y41" s="17">
        <f>IF(AND(Y$15="Actual",ISBLANK($E$8)),SUMIFS('[1]NS Vendor Details'!$D:$D,'[1]NS Vendor Details'!$H:$H,'G&amp;A Vendor x GL Analysis'!Y$20,'[1]NS Vendor Details'!$L:$L,'G&amp;A Vendor x GL Analysis'!$D41,'[1]NS Vendor Details'!$O:$O,'G&amp;A Vendor x GL Analysis'!$F41,'[1]NS Vendor Details'!$N:$N,'G&amp;A Vendor x GL Analysis'!$C41,'[1]NS Vendor Details'!$I:$I,'G&amp;A Vendor x GL Analysis'!$E41),IF(Y$15="Actual",SUMIFS('[1]NS Vendor Details'!$D:$D,'[1]NS Vendor Details'!$H:$H,'G&amp;A Vendor x GL Analysis'!Y$20,'[1]NS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387.75</v>
      </c>
      <c r="Z41" s="17">
        <f>IF(AND(Z$15="Actual",ISBLANK($E$8)),SUMIFS('[1]NS Vendor Details'!$D:$D,'[1]NS Vendor Details'!$H:$H,'G&amp;A Vendor x GL Analysis'!Z$20,'[1]NS Vendor Details'!$L:$L,'G&amp;A Vendor x GL Analysis'!$D41,'[1]NS Vendor Details'!$O:$O,'G&amp;A Vendor x GL Analysis'!$F41,'[1]NS Vendor Details'!$N:$N,'G&amp;A Vendor x GL Analysis'!$C41,'[1]NS Vendor Details'!$I:$I,'G&amp;A Vendor x GL Analysis'!$E41),IF(Z$15="Actual",SUMIFS('[1]NS Vendor Details'!$D:$D,'[1]NS Vendor Details'!$H:$H,'G&amp;A Vendor x GL Analysis'!Z$20,'[1]NS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770.79</v>
      </c>
      <c r="AA41" s="17">
        <f>IF(AND(AA$15="Actual",ISBLANK($E$8)),SUMIFS('[1]NS Vendor Details'!$D:$D,'[1]NS Vendor Details'!$H:$H,'G&amp;A Vendor x GL Analysis'!AA$20,'[1]NS Vendor Details'!$L:$L,'G&amp;A Vendor x GL Analysis'!$D41,'[1]NS Vendor Details'!$O:$O,'G&amp;A Vendor x GL Analysis'!$F41,'[1]NS Vendor Details'!$N:$N,'G&amp;A Vendor x GL Analysis'!$C41,'[1]NS Vendor Details'!$I:$I,'G&amp;A Vendor x GL Analysis'!$E41),IF(AA$15="Actual",SUMIFS('[1]NS Vendor Details'!$D:$D,'[1]NS Vendor Details'!$H:$H,'G&amp;A Vendor x GL Analysis'!AA$20,'[1]NS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350.96</v>
      </c>
      <c r="AB41" s="17">
        <f>IF(AND(AB$15="Actual",ISBLANK($E$8)),SUMIFS('[1]NS Vendor Details'!$D:$D,'[1]NS Vendor Details'!$H:$H,'G&amp;A Vendor x GL Analysis'!AB$20,'[1]NS Vendor Details'!$L:$L,'G&amp;A Vendor x GL Analysis'!$D41,'[1]NS Vendor Details'!$O:$O,'G&amp;A Vendor x GL Analysis'!$F41,'[1]NS Vendor Details'!$N:$N,'G&amp;A Vendor x GL Analysis'!$C41,'[1]NS Vendor Details'!$I:$I,'G&amp;A Vendor x GL Analysis'!$E41),IF(AB$15="Actual",SUMIFS('[1]NS Vendor Details'!$D:$D,'[1]NS Vendor Details'!$H:$H,'G&amp;A Vendor x GL Analysis'!AB$20,'[1]NS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355.96</v>
      </c>
      <c r="AC41" s="18">
        <f>IF(AND(AC$15="Actual",ISBLANK($E$8)),SUMIFS('[1]NS Vendor Details'!$D:$D,'[1]NS Vendor Details'!$H:$H,'G&amp;A Vendor x GL Analysis'!AC$20,'[1]NS Vendor Details'!$L:$L,'G&amp;A Vendor x GL Analysis'!$D41,'[1]NS Vendor Details'!$O:$O,'G&amp;A Vendor x GL Analysis'!$F41,'[1]NS Vendor Details'!$N:$N,'G&amp;A Vendor x GL Analysis'!$C41,'[1]NS Vendor Details'!$I:$I,'G&amp;A Vendor x GL Analysis'!$E41),IF(AC$15="Actual",SUMIFS('[1]NS Vendor Details'!$D:$D,'[1]NS Vendor Details'!$H:$H,'G&amp;A Vendor x GL Analysis'!AC$20,'[1]NS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355.96</v>
      </c>
      <c r="AD41" s="18">
        <f>IF(AND(AD$15="Actual",ISBLANK($E$8)),SUMIFS('[1]NS Vendor Details'!$D:$D,'[1]NS Vendor Details'!$H:$H,'G&amp;A Vendor x GL Analysis'!AD$20,'[1]NS Vendor Details'!$L:$L,'G&amp;A Vendor x GL Analysis'!$D41,'[1]NS Vendor Details'!$O:$O,'G&amp;A Vendor x GL Analysis'!$F41,'[1]NS Vendor Details'!$N:$N,'G&amp;A Vendor x GL Analysis'!$C41,'[1]NS Vendor Details'!$I:$I,'G&amp;A Vendor x GL Analysis'!$E41),IF(AD$15="Actual",SUMIFS('[1]NS Vendor Details'!$D:$D,'[1]NS Vendor Details'!$H:$H,'G&amp;A Vendor x GL Analysis'!AD$20,'[1]NS Vendor Details'!$L:$L,'G&amp;A Vendor x GL Analysis'!$D41,'[1]NS Vendor Details'!$O:$O,'G&amp;A Vendor x GL Analysis'!$F41,'[1]NS Vendor Details'!$N:$N,'G&amp;A Vendor x GL Analysis'!$C41,'[1]NS Vendor Details'!$K:$K,'G&amp;A Vendor x GL Analysis'!$E$8,'[1]NS Vendor Details'!$I:$I,'G&amp;A Vendor x GL Analysis'!$E41),0))</f>
        <v>0</v>
      </c>
      <c r="AF41" s="19">
        <f t="shared" si="9"/>
        <v>2221.42</v>
      </c>
    </row>
    <row r="42" spans="1:32" outlineLevel="1">
      <c r="A42" s="8" t="str">
        <f t="shared" si="8"/>
        <v>T&amp;E6105 - Meals</v>
      </c>
      <c r="C42" s="8" t="s">
        <v>11</v>
      </c>
      <c r="D42" s="8" t="str">
        <f>D41</f>
        <v>T&amp;E</v>
      </c>
      <c r="E42" s="2" t="s">
        <v>31</v>
      </c>
      <c r="F42" s="2" t="s">
        <v>35</v>
      </c>
      <c r="G42" s="16">
        <f>IF(AND(G$15="Actual",ISBLANK($E$8)),SUMIFS('[1]NS Vendor Details'!$D:$D,'[1]NS Vendor Details'!$H:$H,'G&amp;A Vendor x GL Analysis'!G$20,'[1]NS Vendor Details'!$L:$L,'G&amp;A Vendor x GL Analysis'!$D42,'[1]NS Vendor Details'!$O:$O,'G&amp;A Vendor x GL Analysis'!$F42,'[1]NS Vendor Details'!$N:$N,'G&amp;A Vendor x GL Analysis'!$C42),IF(G$15="Actual",SUMIFS('[1]NS Vendor Details'!$D:$D,'[1]NS Vendor Details'!$H:$H,'G&amp;A Vendor x GL Analysis'!G$20,'[1]NS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H42" s="17">
        <f>IF(AND(H$15="Actual",ISBLANK($E$8)),SUMIFS('[1]NS Vendor Details'!$D:$D,'[1]NS Vendor Details'!$H:$H,'G&amp;A Vendor x GL Analysis'!H$20,'[1]NS Vendor Details'!$L:$L,'G&amp;A Vendor x GL Analysis'!$D42,'[1]NS Vendor Details'!$O:$O,'G&amp;A Vendor x GL Analysis'!$F42,'[1]NS Vendor Details'!$N:$N,'G&amp;A Vendor x GL Analysis'!$C42),IF(H$15="Actual",SUMIFS('[1]NS Vendor Details'!$D:$D,'[1]NS Vendor Details'!$H:$H,'G&amp;A Vendor x GL Analysis'!H$20,'[1]NS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I42" s="17">
        <f>IF(AND(I$15="Actual",ISBLANK($E$8)),SUMIFS('[1]NS Vendor Details'!$D:$D,'[1]NS Vendor Details'!$H:$H,'G&amp;A Vendor x GL Analysis'!I$20,'[1]NS Vendor Details'!$L:$L,'G&amp;A Vendor x GL Analysis'!$D42,'[1]NS Vendor Details'!$O:$O,'G&amp;A Vendor x GL Analysis'!$F42,'[1]NS Vendor Details'!$N:$N,'G&amp;A Vendor x GL Analysis'!$C42),IF(I$15="Actual",SUMIFS('[1]NS Vendor Details'!$D:$D,'[1]NS Vendor Details'!$H:$H,'G&amp;A Vendor x GL Analysis'!I$20,'[1]NS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J42" s="17">
        <f>IF(AND(J$15="Actual",ISBLANK($E$8)),SUMIFS('[1]NS Vendor Details'!$D:$D,'[1]NS Vendor Details'!$H:$H,'G&amp;A Vendor x GL Analysis'!J$20,'[1]NS Vendor Details'!$L:$L,'G&amp;A Vendor x GL Analysis'!$D42,'[1]NS Vendor Details'!$O:$O,'G&amp;A Vendor x GL Analysis'!$F42,'[1]NS Vendor Details'!$N:$N,'G&amp;A Vendor x GL Analysis'!$C42),IF(J$15="Actual",SUMIFS('[1]NS Vendor Details'!$D:$D,'[1]NS Vendor Details'!$H:$H,'G&amp;A Vendor x GL Analysis'!J$20,'[1]NS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K42" s="17">
        <f>IF(AND(K$15="Actual",ISBLANK($E$8)),SUMIFS('[1]NS Vendor Details'!$D:$D,'[1]NS Vendor Details'!$H:$H,'G&amp;A Vendor x GL Analysis'!K$20,'[1]NS Vendor Details'!$L:$L,'G&amp;A Vendor x GL Analysis'!$D42,'[1]NS Vendor Details'!$O:$O,'G&amp;A Vendor x GL Analysis'!$F42,'[1]NS Vendor Details'!$N:$N,'G&amp;A Vendor x GL Analysis'!$C42),IF(K$15="Actual",SUMIFS('[1]NS Vendor Details'!$D:$D,'[1]NS Vendor Details'!$H:$H,'G&amp;A Vendor x GL Analysis'!K$20,'[1]NS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L42" s="17">
        <f>IF(AND(L$15="Actual",ISBLANK($E$8)),SUMIFS('[1]NS Vendor Details'!$D:$D,'[1]NS Vendor Details'!$H:$H,'G&amp;A Vendor x GL Analysis'!L$20,'[1]NS Vendor Details'!$L:$L,'G&amp;A Vendor x GL Analysis'!$D42,'[1]NS Vendor Details'!$O:$O,'G&amp;A Vendor x GL Analysis'!$F42,'[1]NS Vendor Details'!$N:$N,'G&amp;A Vendor x GL Analysis'!$C42),IF(L$15="Actual",SUMIFS('[1]NS Vendor Details'!$D:$D,'[1]NS Vendor Details'!$H:$H,'G&amp;A Vendor x GL Analysis'!L$20,'[1]NS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M42" s="17">
        <f>IF(AND(M$15="Actual",ISBLANK($E$8)),SUMIFS('[1]NS Vendor Details'!$D:$D,'[1]NS Vendor Details'!$H:$H,'G&amp;A Vendor x GL Analysis'!M$20,'[1]NS Vendor Details'!$L:$L,'G&amp;A Vendor x GL Analysis'!$D42,'[1]NS Vendor Details'!$O:$O,'G&amp;A Vendor x GL Analysis'!$F42,'[1]NS Vendor Details'!$N:$N,'G&amp;A Vendor x GL Analysis'!$C42),IF(M$15="Actual",SUMIFS('[1]NS Vendor Details'!$D:$D,'[1]NS Vendor Details'!$H:$H,'G&amp;A Vendor x GL Analysis'!M$20,'[1]NS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N42" s="17">
        <f>IF(AND(N$15="Actual",ISBLANK($E$8)),SUMIFS('[1]NS Vendor Details'!$D:$D,'[1]NS Vendor Details'!$H:$H,'G&amp;A Vendor x GL Analysis'!N$20,'[1]NS Vendor Details'!$L:$L,'G&amp;A Vendor x GL Analysis'!$D42,'[1]NS Vendor Details'!$O:$O,'G&amp;A Vendor x GL Analysis'!$F42,'[1]NS Vendor Details'!$N:$N,'G&amp;A Vendor x GL Analysis'!$C42),IF(N$15="Actual",SUMIFS('[1]NS Vendor Details'!$D:$D,'[1]NS Vendor Details'!$H:$H,'G&amp;A Vendor x GL Analysis'!N$20,'[1]NS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O42" s="17">
        <f>IF(AND(O$15="Actual",ISBLANK($E$8)),SUMIFS('[1]NS Vendor Details'!$D:$D,'[1]NS Vendor Details'!$H:$H,'G&amp;A Vendor x GL Analysis'!O$20,'[1]NS Vendor Details'!$L:$L,'G&amp;A Vendor x GL Analysis'!$D42,'[1]NS Vendor Details'!$O:$O,'G&amp;A Vendor x GL Analysis'!$F42,'[1]NS Vendor Details'!$N:$N,'G&amp;A Vendor x GL Analysis'!$C42),IF(O$15="Actual",SUMIFS('[1]NS Vendor Details'!$D:$D,'[1]NS Vendor Details'!$H:$H,'G&amp;A Vendor x GL Analysis'!O$20,'[1]NS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P42" s="17">
        <f>IF(AND(P$15="Actual",ISBLANK($E$8)),SUMIFS('[1]NS Vendor Details'!$D:$D,'[1]NS Vendor Details'!$H:$H,'G&amp;A Vendor x GL Analysis'!P$20,'[1]NS Vendor Details'!$L:$L,'G&amp;A Vendor x GL Analysis'!$D42,'[1]NS Vendor Details'!$O:$O,'G&amp;A Vendor x GL Analysis'!$F42,'[1]NS Vendor Details'!$N:$N,'G&amp;A Vendor x GL Analysis'!$C42),IF(P$15="Actual",SUMIFS('[1]NS Vendor Details'!$D:$D,'[1]NS Vendor Details'!$H:$H,'G&amp;A Vendor x GL Analysis'!P$20,'[1]NS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Q42" s="17">
        <f>IF(AND(Q$15="Actual",ISBLANK($E$8)),SUMIFS('[1]NS Vendor Details'!$D:$D,'[1]NS Vendor Details'!$H:$H,'G&amp;A Vendor x GL Analysis'!Q$20,'[1]NS Vendor Details'!$L:$L,'G&amp;A Vendor x GL Analysis'!$D42,'[1]NS Vendor Details'!$O:$O,'G&amp;A Vendor x GL Analysis'!$F42,'[1]NS Vendor Details'!$N:$N,'G&amp;A Vendor x GL Analysis'!$C42),IF(Q$15="Actual",SUMIFS('[1]NS Vendor Details'!$D:$D,'[1]NS Vendor Details'!$H:$H,'G&amp;A Vendor x GL Analysis'!Q$20,'[1]NS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R42" s="18">
        <f>IF(AND(R$15="Actual",ISBLANK($E$8)),SUMIFS('[1]NS Vendor Details'!$D:$D,'[1]NS Vendor Details'!$H:$H,'G&amp;A Vendor x GL Analysis'!R$20,'[1]NS Vendor Details'!$L:$L,'G&amp;A Vendor x GL Analysis'!$D42,'[1]NS Vendor Details'!$O:$O,'G&amp;A Vendor x GL Analysis'!$F42,'[1]NS Vendor Details'!$N:$N,'G&amp;A Vendor x GL Analysis'!$C42),IF(R$15="Actual",SUMIFS('[1]NS Vendor Details'!$D:$D,'[1]NS Vendor Details'!$H:$H,'G&amp;A Vendor x GL Analysis'!R$20,'[1]NS Vendor Details'!$L:$L,'G&amp;A Vendor x GL Analysis'!$D42,'[1]NS Vendor Details'!$O:$O,'G&amp;A Vendor x GL Analysis'!$F42,'[1]NS Vendor Details'!$N:$N,'G&amp;A Vendor x GL Analysis'!$C42,'[1]NS Vendor Details'!$K:$K,'G&amp;A Vendor x GL Analysis'!$E$8),0))</f>
        <v>0</v>
      </c>
      <c r="S42" s="16">
        <f>IF(AND(S$15="Actual",ISBLANK($E$8)),SUMIFS('[1]NS Vendor Details'!$D:$D,'[1]NS Vendor Details'!$H:$H,'G&amp;A Vendor x GL Analysis'!S$20,'[1]NS Vendor Details'!$L:$L,'G&amp;A Vendor x GL Analysis'!$D42,'[1]NS Vendor Details'!$O:$O,'G&amp;A Vendor x GL Analysis'!$F42,'[1]NS Vendor Details'!$N:$N,'G&amp;A Vendor x GL Analysis'!$C42,'[1]NS Vendor Details'!$I:$I,'G&amp;A Vendor x GL Analysis'!$E42),IF(S$15="Actual",SUMIFS('[1]NS Vendor Details'!$D:$D,'[1]NS Vendor Details'!$H:$H,'G&amp;A Vendor x GL Analysis'!S$20,'[1]NS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0</v>
      </c>
      <c r="T42" s="17">
        <f>IF(AND(T$15="Actual",ISBLANK($E$8)),SUMIFS('[1]NS Vendor Details'!$D:$D,'[1]NS Vendor Details'!$H:$H,'G&amp;A Vendor x GL Analysis'!T$20,'[1]NS Vendor Details'!$L:$L,'G&amp;A Vendor x GL Analysis'!$D42,'[1]NS Vendor Details'!$O:$O,'G&amp;A Vendor x GL Analysis'!$F42,'[1]NS Vendor Details'!$N:$N,'G&amp;A Vendor x GL Analysis'!$C42,'[1]NS Vendor Details'!$I:$I,'G&amp;A Vendor x GL Analysis'!$E42),IF(T$15="Actual",SUMIFS('[1]NS Vendor Details'!$D:$D,'[1]NS Vendor Details'!$H:$H,'G&amp;A Vendor x GL Analysis'!T$20,'[1]NS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0</v>
      </c>
      <c r="U42" s="17">
        <f>IF(AND(U$15="Actual",ISBLANK($E$8)),SUMIFS('[1]NS Vendor Details'!$D:$D,'[1]NS Vendor Details'!$H:$H,'G&amp;A Vendor x GL Analysis'!U$20,'[1]NS Vendor Details'!$L:$L,'G&amp;A Vendor x GL Analysis'!$D42,'[1]NS Vendor Details'!$O:$O,'G&amp;A Vendor x GL Analysis'!$F42,'[1]NS Vendor Details'!$N:$N,'G&amp;A Vendor x GL Analysis'!$C42,'[1]NS Vendor Details'!$I:$I,'G&amp;A Vendor x GL Analysis'!$E42),IF(U$15="Actual",SUMIFS('[1]NS Vendor Details'!$D:$D,'[1]NS Vendor Details'!$H:$H,'G&amp;A Vendor x GL Analysis'!U$20,'[1]NS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0</v>
      </c>
      <c r="V42" s="17">
        <f>IF(AND(V$15="Actual",ISBLANK($E$8)),SUMIFS('[1]NS Vendor Details'!$D:$D,'[1]NS Vendor Details'!$H:$H,'G&amp;A Vendor x GL Analysis'!V$20,'[1]NS Vendor Details'!$L:$L,'G&amp;A Vendor x GL Analysis'!$D42,'[1]NS Vendor Details'!$O:$O,'G&amp;A Vendor x GL Analysis'!$F42,'[1]NS Vendor Details'!$N:$N,'G&amp;A Vendor x GL Analysis'!$C42,'[1]NS Vendor Details'!$I:$I,'G&amp;A Vendor x GL Analysis'!$E42),IF(V$15="Actual",SUMIFS('[1]NS Vendor Details'!$D:$D,'[1]NS Vendor Details'!$H:$H,'G&amp;A Vendor x GL Analysis'!V$20,'[1]NS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0</v>
      </c>
      <c r="W42" s="17">
        <f>IF(AND(W$15="Actual",ISBLANK($E$8)),SUMIFS('[1]NS Vendor Details'!$D:$D,'[1]NS Vendor Details'!$H:$H,'G&amp;A Vendor x GL Analysis'!W$20,'[1]NS Vendor Details'!$L:$L,'G&amp;A Vendor x GL Analysis'!$D42,'[1]NS Vendor Details'!$O:$O,'G&amp;A Vendor x GL Analysis'!$F42,'[1]NS Vendor Details'!$N:$N,'G&amp;A Vendor x GL Analysis'!$C42,'[1]NS Vendor Details'!$I:$I,'G&amp;A Vendor x GL Analysis'!$E42),IF(W$15="Actual",SUMIFS('[1]NS Vendor Details'!$D:$D,'[1]NS Vendor Details'!$H:$H,'G&amp;A Vendor x GL Analysis'!W$20,'[1]NS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0</v>
      </c>
      <c r="X42" s="17">
        <f>IF(AND(X$15="Actual",ISBLANK($E$8)),SUMIFS('[1]NS Vendor Details'!$D:$D,'[1]NS Vendor Details'!$H:$H,'G&amp;A Vendor x GL Analysis'!X$20,'[1]NS Vendor Details'!$L:$L,'G&amp;A Vendor x GL Analysis'!$D42,'[1]NS Vendor Details'!$O:$O,'G&amp;A Vendor x GL Analysis'!$F42,'[1]NS Vendor Details'!$N:$N,'G&amp;A Vendor x GL Analysis'!$C42,'[1]NS Vendor Details'!$I:$I,'G&amp;A Vendor x GL Analysis'!$E42),IF(X$15="Actual",SUMIFS('[1]NS Vendor Details'!$D:$D,'[1]NS Vendor Details'!$H:$H,'G&amp;A Vendor x GL Analysis'!X$20,'[1]NS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0</v>
      </c>
      <c r="Y42" s="17">
        <f>IF(AND(Y$15="Actual",ISBLANK($E$8)),SUMIFS('[1]NS Vendor Details'!$D:$D,'[1]NS Vendor Details'!$H:$H,'G&amp;A Vendor x GL Analysis'!Y$20,'[1]NS Vendor Details'!$L:$L,'G&amp;A Vendor x GL Analysis'!$D42,'[1]NS Vendor Details'!$O:$O,'G&amp;A Vendor x GL Analysis'!$F42,'[1]NS Vendor Details'!$N:$N,'G&amp;A Vendor x GL Analysis'!$C42,'[1]NS Vendor Details'!$I:$I,'G&amp;A Vendor x GL Analysis'!$E42),IF(Y$15="Actual",SUMIFS('[1]NS Vendor Details'!$D:$D,'[1]NS Vendor Details'!$H:$H,'G&amp;A Vendor x GL Analysis'!Y$20,'[1]NS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13.34</v>
      </c>
      <c r="Z42" s="17">
        <f>IF(AND(Z$15="Actual",ISBLANK($E$8)),SUMIFS('[1]NS Vendor Details'!$D:$D,'[1]NS Vendor Details'!$H:$H,'G&amp;A Vendor x GL Analysis'!Z$20,'[1]NS Vendor Details'!$L:$L,'G&amp;A Vendor x GL Analysis'!$D42,'[1]NS Vendor Details'!$O:$O,'G&amp;A Vendor x GL Analysis'!$F42,'[1]NS Vendor Details'!$N:$N,'G&amp;A Vendor x GL Analysis'!$C42,'[1]NS Vendor Details'!$I:$I,'G&amp;A Vendor x GL Analysis'!$E42),IF(Z$15="Actual",SUMIFS('[1]NS Vendor Details'!$D:$D,'[1]NS Vendor Details'!$H:$H,'G&amp;A Vendor x GL Analysis'!Z$20,'[1]NS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57.65</v>
      </c>
      <c r="AA42" s="17">
        <f>IF(AND(AA$15="Actual",ISBLANK($E$8)),SUMIFS('[1]NS Vendor Details'!$D:$D,'[1]NS Vendor Details'!$H:$H,'G&amp;A Vendor x GL Analysis'!AA$20,'[1]NS Vendor Details'!$L:$L,'G&amp;A Vendor x GL Analysis'!$D42,'[1]NS Vendor Details'!$O:$O,'G&amp;A Vendor x GL Analysis'!$F42,'[1]NS Vendor Details'!$N:$N,'G&amp;A Vendor x GL Analysis'!$C42,'[1]NS Vendor Details'!$I:$I,'G&amp;A Vendor x GL Analysis'!$E42),IF(AA$15="Actual",SUMIFS('[1]NS Vendor Details'!$D:$D,'[1]NS Vendor Details'!$H:$H,'G&amp;A Vendor x GL Analysis'!AA$20,'[1]NS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0</v>
      </c>
      <c r="AB42" s="17">
        <f>IF(AND(AB$15="Actual",ISBLANK($E$8)),SUMIFS('[1]NS Vendor Details'!$D:$D,'[1]NS Vendor Details'!$H:$H,'G&amp;A Vendor x GL Analysis'!AB$20,'[1]NS Vendor Details'!$L:$L,'G&amp;A Vendor x GL Analysis'!$D42,'[1]NS Vendor Details'!$O:$O,'G&amp;A Vendor x GL Analysis'!$F42,'[1]NS Vendor Details'!$N:$N,'G&amp;A Vendor x GL Analysis'!$C42,'[1]NS Vendor Details'!$I:$I,'G&amp;A Vendor x GL Analysis'!$E42),IF(AB$15="Actual",SUMIFS('[1]NS Vendor Details'!$D:$D,'[1]NS Vendor Details'!$H:$H,'G&amp;A Vendor x GL Analysis'!AB$20,'[1]NS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469.76</v>
      </c>
      <c r="AC42" s="18">
        <f>IF(AND(AC$15="Actual",ISBLANK($E$8)),SUMIFS('[1]NS Vendor Details'!$D:$D,'[1]NS Vendor Details'!$H:$H,'G&amp;A Vendor x GL Analysis'!AC$20,'[1]NS Vendor Details'!$L:$L,'G&amp;A Vendor x GL Analysis'!$D42,'[1]NS Vendor Details'!$O:$O,'G&amp;A Vendor x GL Analysis'!$F42,'[1]NS Vendor Details'!$N:$N,'G&amp;A Vendor x GL Analysis'!$C42,'[1]NS Vendor Details'!$I:$I,'G&amp;A Vendor x GL Analysis'!$E42),IF(AC$15="Actual",SUMIFS('[1]NS Vendor Details'!$D:$D,'[1]NS Vendor Details'!$H:$H,'G&amp;A Vendor x GL Analysis'!AC$20,'[1]NS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367.41</v>
      </c>
      <c r="AD42" s="18">
        <f>IF(AND(AD$15="Actual",ISBLANK($E$8)),SUMIFS('[1]NS Vendor Details'!$D:$D,'[1]NS Vendor Details'!$H:$H,'G&amp;A Vendor x GL Analysis'!AD$20,'[1]NS Vendor Details'!$L:$L,'G&amp;A Vendor x GL Analysis'!$D42,'[1]NS Vendor Details'!$O:$O,'G&amp;A Vendor x GL Analysis'!$F42,'[1]NS Vendor Details'!$N:$N,'G&amp;A Vendor x GL Analysis'!$C42,'[1]NS Vendor Details'!$I:$I,'G&amp;A Vendor x GL Analysis'!$E42),IF(AD$15="Actual",SUMIFS('[1]NS Vendor Details'!$D:$D,'[1]NS Vendor Details'!$H:$H,'G&amp;A Vendor x GL Analysis'!AD$20,'[1]NS Vendor Details'!$L:$L,'G&amp;A Vendor x GL Analysis'!$D42,'[1]NS Vendor Details'!$O:$O,'G&amp;A Vendor x GL Analysis'!$F42,'[1]NS Vendor Details'!$N:$N,'G&amp;A Vendor x GL Analysis'!$C42,'[1]NS Vendor Details'!$K:$K,'G&amp;A Vendor x GL Analysis'!$E$8,'[1]NS Vendor Details'!$I:$I,'G&amp;A Vendor x GL Analysis'!$E42),0))</f>
        <v>0</v>
      </c>
      <c r="AF42" s="19">
        <f t="shared" si="9"/>
        <v>908.16000000000008</v>
      </c>
    </row>
    <row r="43" spans="1:32" outlineLevel="1">
      <c r="A43" s="8" t="str">
        <f t="shared" si="8"/>
        <v>T&amp;E6115 - Airfare</v>
      </c>
      <c r="C43" s="8" t="s">
        <v>11</v>
      </c>
      <c r="D43" s="8" t="str">
        <f t="shared" ref="D43:D50" si="13">D42</f>
        <v>T&amp;E</v>
      </c>
      <c r="E43" s="2" t="s">
        <v>36</v>
      </c>
      <c r="F43" s="2" t="s">
        <v>16</v>
      </c>
      <c r="G43" s="16">
        <f>IF(AND(G$15="Actual",ISBLANK($E$8)),SUMIFS('[1]NS Vendor Details'!$D:$D,'[1]NS Vendor Details'!$H:$H,'G&amp;A Vendor x GL Analysis'!G$20,'[1]NS Vendor Details'!$L:$L,'G&amp;A Vendor x GL Analysis'!$D43,'[1]NS Vendor Details'!$O:$O,'G&amp;A Vendor x GL Analysis'!$F43,'[1]NS Vendor Details'!$N:$N,'G&amp;A Vendor x GL Analysis'!$C43),IF(G$15="Actual",SUMIFS('[1]NS Vendor Details'!$D:$D,'[1]NS Vendor Details'!$H:$H,'G&amp;A Vendor x GL Analysis'!G$20,'[1]NS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8476.25</v>
      </c>
      <c r="H43" s="17">
        <f>IF(AND(H$15="Actual",ISBLANK($E$8)),SUMIFS('[1]NS Vendor Details'!$D:$D,'[1]NS Vendor Details'!$H:$H,'G&amp;A Vendor x GL Analysis'!H$20,'[1]NS Vendor Details'!$L:$L,'G&amp;A Vendor x GL Analysis'!$D43,'[1]NS Vendor Details'!$O:$O,'G&amp;A Vendor x GL Analysis'!$F43,'[1]NS Vendor Details'!$N:$N,'G&amp;A Vendor x GL Analysis'!$C43),IF(H$15="Actual",SUMIFS('[1]NS Vendor Details'!$D:$D,'[1]NS Vendor Details'!$H:$H,'G&amp;A Vendor x GL Analysis'!H$20,'[1]NS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7326.8300000000008</v>
      </c>
      <c r="I43" s="17">
        <f>IF(AND(I$15="Actual",ISBLANK($E$8)),SUMIFS('[1]NS Vendor Details'!$D:$D,'[1]NS Vendor Details'!$H:$H,'G&amp;A Vendor x GL Analysis'!I$20,'[1]NS Vendor Details'!$L:$L,'G&amp;A Vendor x GL Analysis'!$D43,'[1]NS Vendor Details'!$O:$O,'G&amp;A Vendor x GL Analysis'!$F43,'[1]NS Vendor Details'!$N:$N,'G&amp;A Vendor x GL Analysis'!$C43),IF(I$15="Actual",SUMIFS('[1]NS Vendor Details'!$D:$D,'[1]NS Vendor Details'!$H:$H,'G&amp;A Vendor x GL Analysis'!I$20,'[1]NS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16747.41</v>
      </c>
      <c r="J43" s="17">
        <f>IF(AND(J$15="Actual",ISBLANK($E$8)),SUMIFS('[1]NS Vendor Details'!$D:$D,'[1]NS Vendor Details'!$H:$H,'G&amp;A Vendor x GL Analysis'!J$20,'[1]NS Vendor Details'!$L:$L,'G&amp;A Vendor x GL Analysis'!$D43,'[1]NS Vendor Details'!$O:$O,'G&amp;A Vendor x GL Analysis'!$F43,'[1]NS Vendor Details'!$N:$N,'G&amp;A Vendor x GL Analysis'!$C43),IF(J$15="Actual",SUMIFS('[1]NS Vendor Details'!$D:$D,'[1]NS Vendor Details'!$H:$H,'G&amp;A Vendor x GL Analysis'!J$20,'[1]NS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6311.5900000000011</v>
      </c>
      <c r="K43" s="17">
        <f>IF(AND(K$15="Actual",ISBLANK($E$8)),SUMIFS('[1]NS Vendor Details'!$D:$D,'[1]NS Vendor Details'!$H:$H,'G&amp;A Vendor x GL Analysis'!K$20,'[1]NS Vendor Details'!$L:$L,'G&amp;A Vendor x GL Analysis'!$D43,'[1]NS Vendor Details'!$O:$O,'G&amp;A Vendor x GL Analysis'!$F43,'[1]NS Vendor Details'!$N:$N,'G&amp;A Vendor x GL Analysis'!$C43),IF(K$15="Actual",SUMIFS('[1]NS Vendor Details'!$D:$D,'[1]NS Vendor Details'!$H:$H,'G&amp;A Vendor x GL Analysis'!K$20,'[1]NS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7622.52</v>
      </c>
      <c r="L43" s="17">
        <f>IF(AND(L$15="Actual",ISBLANK($E$8)),SUMIFS('[1]NS Vendor Details'!$D:$D,'[1]NS Vendor Details'!$H:$H,'G&amp;A Vendor x GL Analysis'!L$20,'[1]NS Vendor Details'!$L:$L,'G&amp;A Vendor x GL Analysis'!$D43,'[1]NS Vendor Details'!$O:$O,'G&amp;A Vendor x GL Analysis'!$F43,'[1]NS Vendor Details'!$N:$N,'G&amp;A Vendor x GL Analysis'!$C43),IF(L$15="Actual",SUMIFS('[1]NS Vendor Details'!$D:$D,'[1]NS Vendor Details'!$H:$H,'G&amp;A Vendor x GL Analysis'!L$20,'[1]NS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3017.6699999999996</v>
      </c>
      <c r="M43" s="17">
        <f>IF(AND(M$15="Actual",ISBLANK($E$8)),SUMIFS('[1]NS Vendor Details'!$D:$D,'[1]NS Vendor Details'!$H:$H,'G&amp;A Vendor x GL Analysis'!M$20,'[1]NS Vendor Details'!$L:$L,'G&amp;A Vendor x GL Analysis'!$D43,'[1]NS Vendor Details'!$O:$O,'G&amp;A Vendor x GL Analysis'!$F43,'[1]NS Vendor Details'!$N:$N,'G&amp;A Vendor x GL Analysis'!$C43),IF(M$15="Actual",SUMIFS('[1]NS Vendor Details'!$D:$D,'[1]NS Vendor Details'!$H:$H,'G&amp;A Vendor x GL Analysis'!M$20,'[1]NS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5779.83</v>
      </c>
      <c r="N43" s="17">
        <f>IF(AND(N$15="Actual",ISBLANK($E$8)),SUMIFS('[1]NS Vendor Details'!$D:$D,'[1]NS Vendor Details'!$H:$H,'G&amp;A Vendor x GL Analysis'!N$20,'[1]NS Vendor Details'!$L:$L,'G&amp;A Vendor x GL Analysis'!$D43,'[1]NS Vendor Details'!$O:$O,'G&amp;A Vendor x GL Analysis'!$F43,'[1]NS Vendor Details'!$N:$N,'G&amp;A Vendor x GL Analysis'!$C43),IF(N$15="Actual",SUMIFS('[1]NS Vendor Details'!$D:$D,'[1]NS Vendor Details'!$H:$H,'G&amp;A Vendor x GL Analysis'!N$20,'[1]NS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20132.109999999997</v>
      </c>
      <c r="O43" s="17">
        <f>IF(AND(O$15="Actual",ISBLANK($E$8)),SUMIFS('[1]NS Vendor Details'!$D:$D,'[1]NS Vendor Details'!$H:$H,'G&amp;A Vendor x GL Analysis'!O$20,'[1]NS Vendor Details'!$L:$L,'G&amp;A Vendor x GL Analysis'!$D43,'[1]NS Vendor Details'!$O:$O,'G&amp;A Vendor x GL Analysis'!$F43,'[1]NS Vendor Details'!$N:$N,'G&amp;A Vendor x GL Analysis'!$C43),IF(O$15="Actual",SUMIFS('[1]NS Vendor Details'!$D:$D,'[1]NS Vendor Details'!$H:$H,'G&amp;A Vendor x GL Analysis'!O$20,'[1]NS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4175.83</v>
      </c>
      <c r="P43" s="17">
        <f>IF(AND(P$15="Actual",ISBLANK($E$8)),SUMIFS('[1]NS Vendor Details'!$D:$D,'[1]NS Vendor Details'!$H:$H,'G&amp;A Vendor x GL Analysis'!P$20,'[1]NS Vendor Details'!$L:$L,'G&amp;A Vendor x GL Analysis'!$D43,'[1]NS Vendor Details'!$O:$O,'G&amp;A Vendor x GL Analysis'!$F43,'[1]NS Vendor Details'!$N:$N,'G&amp;A Vendor x GL Analysis'!$C43),IF(P$15="Actual",SUMIFS('[1]NS Vendor Details'!$D:$D,'[1]NS Vendor Details'!$H:$H,'G&amp;A Vendor x GL Analysis'!P$20,'[1]NS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2776.9799999999996</v>
      </c>
      <c r="Q43" s="17">
        <f>IF(AND(Q$15="Actual",ISBLANK($E$8)),SUMIFS('[1]NS Vendor Details'!$D:$D,'[1]NS Vendor Details'!$H:$H,'G&amp;A Vendor x GL Analysis'!Q$20,'[1]NS Vendor Details'!$L:$L,'G&amp;A Vendor x GL Analysis'!$D43,'[1]NS Vendor Details'!$O:$O,'G&amp;A Vendor x GL Analysis'!$F43,'[1]NS Vendor Details'!$N:$N,'G&amp;A Vendor x GL Analysis'!$C43),IF(Q$15="Actual",SUMIFS('[1]NS Vendor Details'!$D:$D,'[1]NS Vendor Details'!$H:$H,'G&amp;A Vendor x GL Analysis'!Q$20,'[1]NS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21593.5</v>
      </c>
      <c r="R43" s="18">
        <f>IF(AND(R$15="Actual",ISBLANK($E$8)),SUMIFS('[1]NS Vendor Details'!$D:$D,'[1]NS Vendor Details'!$H:$H,'G&amp;A Vendor x GL Analysis'!R$20,'[1]NS Vendor Details'!$L:$L,'G&amp;A Vendor x GL Analysis'!$D43,'[1]NS Vendor Details'!$O:$O,'G&amp;A Vendor x GL Analysis'!$F43,'[1]NS Vendor Details'!$N:$N,'G&amp;A Vendor x GL Analysis'!$C43),IF(R$15="Actual",SUMIFS('[1]NS Vendor Details'!$D:$D,'[1]NS Vendor Details'!$H:$H,'G&amp;A Vendor x GL Analysis'!R$20,'[1]NS Vendor Details'!$L:$L,'G&amp;A Vendor x GL Analysis'!$D43,'[1]NS Vendor Details'!$O:$O,'G&amp;A Vendor x GL Analysis'!$F43,'[1]NS Vendor Details'!$N:$N,'G&amp;A Vendor x GL Analysis'!$C43,'[1]NS Vendor Details'!$K:$K,'G&amp;A Vendor x GL Analysis'!$E$8),0))</f>
        <v>13925.030000000002</v>
      </c>
      <c r="S43" s="16">
        <f>IF(AND(S$15="Actual",ISBLANK($E$8)),SUMIFS('[1]NS Vendor Details'!$D:$D,'[1]NS Vendor Details'!$H:$H,'G&amp;A Vendor x GL Analysis'!S$20,'[1]NS Vendor Details'!$L:$L,'G&amp;A Vendor x GL Analysis'!$D43,'[1]NS Vendor Details'!$O:$O,'G&amp;A Vendor x GL Analysis'!$F43,'[1]NS Vendor Details'!$N:$N,'G&amp;A Vendor x GL Analysis'!$C43,'[1]NS Vendor Details'!$I:$I,'G&amp;A Vendor x GL Analysis'!$E43),IF(S$15="Actual",SUMIFS('[1]NS Vendor Details'!$D:$D,'[1]NS Vendor Details'!$H:$H,'G&amp;A Vendor x GL Analysis'!S$20,'[1]NS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0</v>
      </c>
      <c r="T43" s="17">
        <f>IF(AND(T$15="Actual",ISBLANK($E$8)),SUMIFS('[1]NS Vendor Details'!$D:$D,'[1]NS Vendor Details'!$H:$H,'G&amp;A Vendor x GL Analysis'!T$20,'[1]NS Vendor Details'!$L:$L,'G&amp;A Vendor x GL Analysis'!$D43,'[1]NS Vendor Details'!$O:$O,'G&amp;A Vendor x GL Analysis'!$F43,'[1]NS Vendor Details'!$N:$N,'G&amp;A Vendor x GL Analysis'!$C43,'[1]NS Vendor Details'!$I:$I,'G&amp;A Vendor x GL Analysis'!$E43),IF(T$15="Actual",SUMIFS('[1]NS Vendor Details'!$D:$D,'[1]NS Vendor Details'!$H:$H,'G&amp;A Vendor x GL Analysis'!T$20,'[1]NS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466.96</v>
      </c>
      <c r="U43" s="17">
        <f>IF(AND(U$15="Actual",ISBLANK($E$8)),SUMIFS('[1]NS Vendor Details'!$D:$D,'[1]NS Vendor Details'!$H:$H,'G&amp;A Vendor x GL Analysis'!U$20,'[1]NS Vendor Details'!$L:$L,'G&amp;A Vendor x GL Analysis'!$D43,'[1]NS Vendor Details'!$O:$O,'G&amp;A Vendor x GL Analysis'!$F43,'[1]NS Vendor Details'!$N:$N,'G&amp;A Vendor x GL Analysis'!$C43,'[1]NS Vendor Details'!$I:$I,'G&amp;A Vendor x GL Analysis'!$E43),IF(U$15="Actual",SUMIFS('[1]NS Vendor Details'!$D:$D,'[1]NS Vendor Details'!$H:$H,'G&amp;A Vendor x GL Analysis'!U$20,'[1]NS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19161.610000000004</v>
      </c>
      <c r="V43" s="17">
        <f>IF(AND(V$15="Actual",ISBLANK($E$8)),SUMIFS('[1]NS Vendor Details'!$D:$D,'[1]NS Vendor Details'!$H:$H,'G&amp;A Vendor x GL Analysis'!V$20,'[1]NS Vendor Details'!$L:$L,'G&amp;A Vendor x GL Analysis'!$D43,'[1]NS Vendor Details'!$O:$O,'G&amp;A Vendor x GL Analysis'!$F43,'[1]NS Vendor Details'!$N:$N,'G&amp;A Vendor x GL Analysis'!$C43,'[1]NS Vendor Details'!$I:$I,'G&amp;A Vendor x GL Analysis'!$E43),IF(V$15="Actual",SUMIFS('[1]NS Vendor Details'!$D:$D,'[1]NS Vendor Details'!$H:$H,'G&amp;A Vendor x GL Analysis'!V$20,'[1]NS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0</v>
      </c>
      <c r="W43" s="17">
        <f>IF(AND(W$15="Actual",ISBLANK($E$8)),SUMIFS('[1]NS Vendor Details'!$D:$D,'[1]NS Vendor Details'!$H:$H,'G&amp;A Vendor x GL Analysis'!W$20,'[1]NS Vendor Details'!$L:$L,'G&amp;A Vendor x GL Analysis'!$D43,'[1]NS Vendor Details'!$O:$O,'G&amp;A Vendor x GL Analysis'!$F43,'[1]NS Vendor Details'!$N:$N,'G&amp;A Vendor x GL Analysis'!$C43,'[1]NS Vendor Details'!$I:$I,'G&amp;A Vendor x GL Analysis'!$E43),IF(W$15="Actual",SUMIFS('[1]NS Vendor Details'!$D:$D,'[1]NS Vendor Details'!$H:$H,'G&amp;A Vendor x GL Analysis'!W$20,'[1]NS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3033.8100000000004</v>
      </c>
      <c r="X43" s="17">
        <f>IF(AND(X$15="Actual",ISBLANK($E$8)),SUMIFS('[1]NS Vendor Details'!$D:$D,'[1]NS Vendor Details'!$H:$H,'G&amp;A Vendor x GL Analysis'!X$20,'[1]NS Vendor Details'!$L:$L,'G&amp;A Vendor x GL Analysis'!$D43,'[1]NS Vendor Details'!$O:$O,'G&amp;A Vendor x GL Analysis'!$F43,'[1]NS Vendor Details'!$N:$N,'G&amp;A Vendor x GL Analysis'!$C43,'[1]NS Vendor Details'!$I:$I,'G&amp;A Vendor x GL Analysis'!$E43),IF(X$15="Actual",SUMIFS('[1]NS Vendor Details'!$D:$D,'[1]NS Vendor Details'!$H:$H,'G&amp;A Vendor x GL Analysis'!X$20,'[1]NS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0</v>
      </c>
      <c r="Y43" s="17">
        <f>IF(AND(Y$15="Actual",ISBLANK($E$8)),SUMIFS('[1]NS Vendor Details'!$D:$D,'[1]NS Vendor Details'!$H:$H,'G&amp;A Vendor x GL Analysis'!Y$20,'[1]NS Vendor Details'!$L:$L,'G&amp;A Vendor x GL Analysis'!$D43,'[1]NS Vendor Details'!$O:$O,'G&amp;A Vendor x GL Analysis'!$F43,'[1]NS Vendor Details'!$N:$N,'G&amp;A Vendor x GL Analysis'!$C43,'[1]NS Vendor Details'!$I:$I,'G&amp;A Vendor x GL Analysis'!$E43),IF(Y$15="Actual",SUMIFS('[1]NS Vendor Details'!$D:$D,'[1]NS Vendor Details'!$H:$H,'G&amp;A Vendor x GL Analysis'!Y$20,'[1]NS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0</v>
      </c>
      <c r="Z43" s="17">
        <f>IF(AND(Z$15="Actual",ISBLANK($E$8)),SUMIFS('[1]NS Vendor Details'!$D:$D,'[1]NS Vendor Details'!$H:$H,'G&amp;A Vendor x GL Analysis'!Z$20,'[1]NS Vendor Details'!$L:$L,'G&amp;A Vendor x GL Analysis'!$D43,'[1]NS Vendor Details'!$O:$O,'G&amp;A Vendor x GL Analysis'!$F43,'[1]NS Vendor Details'!$N:$N,'G&amp;A Vendor x GL Analysis'!$C43,'[1]NS Vendor Details'!$I:$I,'G&amp;A Vendor x GL Analysis'!$E43),IF(Z$15="Actual",SUMIFS('[1]NS Vendor Details'!$D:$D,'[1]NS Vendor Details'!$H:$H,'G&amp;A Vendor x GL Analysis'!Z$20,'[1]NS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0</v>
      </c>
      <c r="AA43" s="17">
        <f>IF(AND(AA$15="Actual",ISBLANK($E$8)),SUMIFS('[1]NS Vendor Details'!$D:$D,'[1]NS Vendor Details'!$H:$H,'G&amp;A Vendor x GL Analysis'!AA$20,'[1]NS Vendor Details'!$L:$L,'G&amp;A Vendor x GL Analysis'!$D43,'[1]NS Vendor Details'!$O:$O,'G&amp;A Vendor x GL Analysis'!$F43,'[1]NS Vendor Details'!$N:$N,'G&amp;A Vendor x GL Analysis'!$C43,'[1]NS Vendor Details'!$I:$I,'G&amp;A Vendor x GL Analysis'!$E43),IF(AA$15="Actual",SUMIFS('[1]NS Vendor Details'!$D:$D,'[1]NS Vendor Details'!$H:$H,'G&amp;A Vendor x GL Analysis'!AA$20,'[1]NS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0</v>
      </c>
      <c r="AB43" s="17">
        <f>IF(AND(AB$15="Actual",ISBLANK($E$8)),SUMIFS('[1]NS Vendor Details'!$D:$D,'[1]NS Vendor Details'!$H:$H,'G&amp;A Vendor x GL Analysis'!AB$20,'[1]NS Vendor Details'!$L:$L,'G&amp;A Vendor x GL Analysis'!$D43,'[1]NS Vendor Details'!$O:$O,'G&amp;A Vendor x GL Analysis'!$F43,'[1]NS Vendor Details'!$N:$N,'G&amp;A Vendor x GL Analysis'!$C43,'[1]NS Vendor Details'!$I:$I,'G&amp;A Vendor x GL Analysis'!$E43),IF(AB$15="Actual",SUMIFS('[1]NS Vendor Details'!$D:$D,'[1]NS Vendor Details'!$H:$H,'G&amp;A Vendor x GL Analysis'!AB$20,'[1]NS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0</v>
      </c>
      <c r="AC43" s="18">
        <f>IF(AND(AC$15="Actual",ISBLANK($E$8)),SUMIFS('[1]NS Vendor Details'!$D:$D,'[1]NS Vendor Details'!$H:$H,'G&amp;A Vendor x GL Analysis'!AC$20,'[1]NS Vendor Details'!$L:$L,'G&amp;A Vendor x GL Analysis'!$D43,'[1]NS Vendor Details'!$O:$O,'G&amp;A Vendor x GL Analysis'!$F43,'[1]NS Vendor Details'!$N:$N,'G&amp;A Vendor x GL Analysis'!$C43,'[1]NS Vendor Details'!$I:$I,'G&amp;A Vendor x GL Analysis'!$E43),IF(AC$15="Actual",SUMIFS('[1]NS Vendor Details'!$D:$D,'[1]NS Vendor Details'!$H:$H,'G&amp;A Vendor x GL Analysis'!AC$20,'[1]NS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356.97</v>
      </c>
      <c r="AD43" s="18">
        <f>IF(AND(AD$15="Actual",ISBLANK($E$8)),SUMIFS('[1]NS Vendor Details'!$D:$D,'[1]NS Vendor Details'!$H:$H,'G&amp;A Vendor x GL Analysis'!AD$20,'[1]NS Vendor Details'!$L:$L,'G&amp;A Vendor x GL Analysis'!$D43,'[1]NS Vendor Details'!$O:$O,'G&amp;A Vendor x GL Analysis'!$F43,'[1]NS Vendor Details'!$N:$N,'G&amp;A Vendor x GL Analysis'!$C43,'[1]NS Vendor Details'!$I:$I,'G&amp;A Vendor x GL Analysis'!$E43),IF(AD$15="Actual",SUMIFS('[1]NS Vendor Details'!$D:$D,'[1]NS Vendor Details'!$H:$H,'G&amp;A Vendor x GL Analysis'!AD$20,'[1]NS Vendor Details'!$L:$L,'G&amp;A Vendor x GL Analysis'!$D43,'[1]NS Vendor Details'!$O:$O,'G&amp;A Vendor x GL Analysis'!$F43,'[1]NS Vendor Details'!$N:$N,'G&amp;A Vendor x GL Analysis'!$C43,'[1]NS Vendor Details'!$K:$K,'G&amp;A Vendor x GL Analysis'!$E$8,'[1]NS Vendor Details'!$I:$I,'G&amp;A Vendor x GL Analysis'!$E43),0))</f>
        <v>0</v>
      </c>
      <c r="AF43" s="19">
        <f t="shared" si="9"/>
        <v>23019.350000000006</v>
      </c>
    </row>
    <row r="44" spans="1:32" ht="15" outlineLevel="1">
      <c r="A44" s="8" t="str">
        <f t="shared" si="8"/>
        <v>T&amp;E6115 - Airfare</v>
      </c>
      <c r="C44" s="8" t="s">
        <v>11</v>
      </c>
      <c r="D44" s="8" t="str">
        <f t="shared" si="13"/>
        <v>T&amp;E</v>
      </c>
      <c r="E44" s="2" t="s">
        <v>36</v>
      </c>
      <c r="F44" s="2" t="s">
        <v>37</v>
      </c>
      <c r="G44" s="16">
        <f>IF(AND(G$15="Actual",ISBLANK($E$8)),SUMIFS('[1]NS Vendor Details'!$D:$D,'[1]NS Vendor Details'!$H:$H,'G&amp;A Vendor x GL Analysis'!G$20,'[1]NS Vendor Details'!$L:$L,'G&amp;A Vendor x GL Analysis'!$D44,'[1]NS Vendor Details'!$O:$O,'G&amp;A Vendor x GL Analysis'!$F44,'[1]NS Vendor Details'!$N:$N,'G&amp;A Vendor x GL Analysis'!$C44),IF(G$15="Actual",SUMIFS('[1]NS Vendor Details'!$D:$D,'[1]NS Vendor Details'!$H:$H,'G&amp;A Vendor x GL Analysis'!G$20,'[1]NS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0</v>
      </c>
      <c r="H44" s="17">
        <f>IF(AND(H$15="Actual",ISBLANK($E$8)),SUMIFS('[1]NS Vendor Details'!$D:$D,'[1]NS Vendor Details'!$H:$H,'G&amp;A Vendor x GL Analysis'!H$20,'[1]NS Vendor Details'!$L:$L,'G&amp;A Vendor x GL Analysis'!$D44,'[1]NS Vendor Details'!$O:$O,'G&amp;A Vendor x GL Analysis'!$F44,'[1]NS Vendor Details'!$N:$N,'G&amp;A Vendor x GL Analysis'!$C44),IF(H$15="Actual",SUMIFS('[1]NS Vendor Details'!$D:$D,'[1]NS Vendor Details'!$H:$H,'G&amp;A Vendor x GL Analysis'!H$20,'[1]NS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735.03</v>
      </c>
      <c r="I44" s="17">
        <f>IF(AND(I$15="Actual",ISBLANK($E$8)),SUMIFS('[1]NS Vendor Details'!$D:$D,'[1]NS Vendor Details'!$H:$H,'G&amp;A Vendor x GL Analysis'!I$20,'[1]NS Vendor Details'!$L:$L,'G&amp;A Vendor x GL Analysis'!$D44,'[1]NS Vendor Details'!$O:$O,'G&amp;A Vendor x GL Analysis'!$F44,'[1]NS Vendor Details'!$N:$N,'G&amp;A Vendor x GL Analysis'!$C44),IF(I$15="Actual",SUMIFS('[1]NS Vendor Details'!$D:$D,'[1]NS Vendor Details'!$H:$H,'G&amp;A Vendor x GL Analysis'!I$20,'[1]NS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1894.2200000000003</v>
      </c>
      <c r="J44" s="17">
        <f>IF(AND(J$15="Actual",ISBLANK($E$8)),SUMIFS('[1]NS Vendor Details'!$D:$D,'[1]NS Vendor Details'!$H:$H,'G&amp;A Vendor x GL Analysis'!J$20,'[1]NS Vendor Details'!$L:$L,'G&amp;A Vendor x GL Analysis'!$D44,'[1]NS Vendor Details'!$O:$O,'G&amp;A Vendor x GL Analysis'!$F44,'[1]NS Vendor Details'!$N:$N,'G&amp;A Vendor x GL Analysis'!$C44),IF(J$15="Actual",SUMIFS('[1]NS Vendor Details'!$D:$D,'[1]NS Vendor Details'!$H:$H,'G&amp;A Vendor x GL Analysis'!J$20,'[1]NS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1892.87</v>
      </c>
      <c r="K44" s="17">
        <f>IF(AND(K$15="Actual",ISBLANK($E$8)),SUMIFS('[1]NS Vendor Details'!$D:$D,'[1]NS Vendor Details'!$H:$H,'G&amp;A Vendor x GL Analysis'!K$20,'[1]NS Vendor Details'!$L:$L,'G&amp;A Vendor x GL Analysis'!$D44,'[1]NS Vendor Details'!$O:$O,'G&amp;A Vendor x GL Analysis'!$F44,'[1]NS Vendor Details'!$N:$N,'G&amp;A Vendor x GL Analysis'!$C44),IF(K$15="Actual",SUMIFS('[1]NS Vendor Details'!$D:$D,'[1]NS Vendor Details'!$H:$H,'G&amp;A Vendor x GL Analysis'!K$20,'[1]NS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0</v>
      </c>
      <c r="L44" s="17">
        <f>IF(AND(L$15="Actual",ISBLANK($E$8)),SUMIFS('[1]NS Vendor Details'!$D:$D,'[1]NS Vendor Details'!$H:$H,'G&amp;A Vendor x GL Analysis'!L$20,'[1]NS Vendor Details'!$L:$L,'G&amp;A Vendor x GL Analysis'!$D44,'[1]NS Vendor Details'!$O:$O,'G&amp;A Vendor x GL Analysis'!$F44,'[1]NS Vendor Details'!$N:$N,'G&amp;A Vendor x GL Analysis'!$C44),IF(L$15="Actual",SUMIFS('[1]NS Vendor Details'!$D:$D,'[1]NS Vendor Details'!$H:$H,'G&amp;A Vendor x GL Analysis'!L$20,'[1]NS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0</v>
      </c>
      <c r="M44" s="17">
        <f>IF(AND(M$15="Actual",ISBLANK($E$8)),SUMIFS('[1]NS Vendor Details'!$D:$D,'[1]NS Vendor Details'!$H:$H,'G&amp;A Vendor x GL Analysis'!M$20,'[1]NS Vendor Details'!$L:$L,'G&amp;A Vendor x GL Analysis'!$D44,'[1]NS Vendor Details'!$O:$O,'G&amp;A Vendor x GL Analysis'!$F44,'[1]NS Vendor Details'!$N:$N,'G&amp;A Vendor x GL Analysis'!$C44),IF(M$15="Actual",SUMIFS('[1]NS Vendor Details'!$D:$D,'[1]NS Vendor Details'!$H:$H,'G&amp;A Vendor x GL Analysis'!M$20,'[1]NS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0</v>
      </c>
      <c r="N44" s="17">
        <f>IF(AND(N$15="Actual",ISBLANK($E$8)),SUMIFS('[1]NS Vendor Details'!$D:$D,'[1]NS Vendor Details'!$H:$H,'G&amp;A Vendor x GL Analysis'!N$20,'[1]NS Vendor Details'!$L:$L,'G&amp;A Vendor x GL Analysis'!$D44,'[1]NS Vendor Details'!$O:$O,'G&amp;A Vendor x GL Analysis'!$F44,'[1]NS Vendor Details'!$N:$N,'G&amp;A Vendor x GL Analysis'!$C44),IF(N$15="Actual",SUMIFS('[1]NS Vendor Details'!$D:$D,'[1]NS Vendor Details'!$H:$H,'G&amp;A Vendor x GL Analysis'!N$20,'[1]NS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1100.1299999999999</v>
      </c>
      <c r="O44" s="17">
        <f>IF(AND(O$15="Actual",ISBLANK($E$8)),SUMIFS('[1]NS Vendor Details'!$D:$D,'[1]NS Vendor Details'!$H:$H,'G&amp;A Vendor x GL Analysis'!O$20,'[1]NS Vendor Details'!$L:$L,'G&amp;A Vendor x GL Analysis'!$D44,'[1]NS Vendor Details'!$O:$O,'G&amp;A Vendor x GL Analysis'!$F44,'[1]NS Vendor Details'!$N:$N,'G&amp;A Vendor x GL Analysis'!$C44),IF(O$15="Actual",SUMIFS('[1]NS Vendor Details'!$D:$D,'[1]NS Vendor Details'!$H:$H,'G&amp;A Vendor x GL Analysis'!O$20,'[1]NS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0</v>
      </c>
      <c r="P44" s="17">
        <f>IF(AND(P$15="Actual",ISBLANK($E$8)),SUMIFS('[1]NS Vendor Details'!$D:$D,'[1]NS Vendor Details'!$H:$H,'G&amp;A Vendor x GL Analysis'!P$20,'[1]NS Vendor Details'!$L:$L,'G&amp;A Vendor x GL Analysis'!$D44,'[1]NS Vendor Details'!$O:$O,'G&amp;A Vendor x GL Analysis'!$F44,'[1]NS Vendor Details'!$N:$N,'G&amp;A Vendor x GL Analysis'!$C44),IF(P$15="Actual",SUMIFS('[1]NS Vendor Details'!$D:$D,'[1]NS Vendor Details'!$H:$H,'G&amp;A Vendor x GL Analysis'!P$20,'[1]NS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0</v>
      </c>
      <c r="Q44" s="17">
        <f>IF(AND(Q$15="Actual",ISBLANK($E$8)),SUMIFS('[1]NS Vendor Details'!$D:$D,'[1]NS Vendor Details'!$H:$H,'G&amp;A Vendor x GL Analysis'!Q$20,'[1]NS Vendor Details'!$L:$L,'G&amp;A Vendor x GL Analysis'!$D44,'[1]NS Vendor Details'!$O:$O,'G&amp;A Vendor x GL Analysis'!$F44,'[1]NS Vendor Details'!$N:$N,'G&amp;A Vendor x GL Analysis'!$C44),IF(Q$15="Actual",SUMIFS('[1]NS Vendor Details'!$D:$D,'[1]NS Vendor Details'!$H:$H,'G&amp;A Vendor x GL Analysis'!Q$20,'[1]NS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0</v>
      </c>
      <c r="R44" s="18">
        <f>IF(AND(R$15="Actual",ISBLANK($E$8)),SUMIFS('[1]NS Vendor Details'!$D:$D,'[1]NS Vendor Details'!$H:$H,'G&amp;A Vendor x GL Analysis'!R$20,'[1]NS Vendor Details'!$L:$L,'G&amp;A Vendor x GL Analysis'!$D44,'[1]NS Vendor Details'!$O:$O,'G&amp;A Vendor x GL Analysis'!$F44,'[1]NS Vendor Details'!$N:$N,'G&amp;A Vendor x GL Analysis'!$C44),IF(R$15="Actual",SUMIFS('[1]NS Vendor Details'!$D:$D,'[1]NS Vendor Details'!$H:$H,'G&amp;A Vendor x GL Analysis'!R$20,'[1]NS Vendor Details'!$L:$L,'G&amp;A Vendor x GL Analysis'!$D44,'[1]NS Vendor Details'!$O:$O,'G&amp;A Vendor x GL Analysis'!$F44,'[1]NS Vendor Details'!$N:$N,'G&amp;A Vendor x GL Analysis'!$C44,'[1]NS Vendor Details'!$K:$K,'G&amp;A Vendor x GL Analysis'!$E$8),0))</f>
        <v>0</v>
      </c>
      <c r="S44" s="16">
        <f>IF(AND(S$15="Actual",ISBLANK($E$8)),SUMIFS('[1]NS Vendor Details'!$D:$D,'[1]NS Vendor Details'!$H:$H,'G&amp;A Vendor x GL Analysis'!S$20,'[1]NS Vendor Details'!$L:$L,'G&amp;A Vendor x GL Analysis'!$D44,'[1]NS Vendor Details'!$O:$O,'G&amp;A Vendor x GL Analysis'!$F44,'[1]NS Vendor Details'!$N:$N,'G&amp;A Vendor x GL Analysis'!$C44,'[1]NS Vendor Details'!$I:$I,'G&amp;A Vendor x GL Analysis'!$E44),IF(S$15="Actual",SUMIFS('[1]NS Vendor Details'!$D:$D,'[1]NS Vendor Details'!$H:$H,'G&amp;A Vendor x GL Analysis'!S$20,'[1]NS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T44" s="17">
        <f>IF(AND(T$15="Actual",ISBLANK($E$8)),SUMIFS('[1]NS Vendor Details'!$D:$D,'[1]NS Vendor Details'!$H:$H,'G&amp;A Vendor x GL Analysis'!T$20,'[1]NS Vendor Details'!$L:$L,'G&amp;A Vendor x GL Analysis'!$D44,'[1]NS Vendor Details'!$O:$O,'G&amp;A Vendor x GL Analysis'!$F44,'[1]NS Vendor Details'!$N:$N,'G&amp;A Vendor x GL Analysis'!$C44,'[1]NS Vendor Details'!$I:$I,'G&amp;A Vendor x GL Analysis'!$E44),IF(T$15="Actual",SUMIFS('[1]NS Vendor Details'!$D:$D,'[1]NS Vendor Details'!$H:$H,'G&amp;A Vendor x GL Analysis'!T$20,'[1]NS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U44" s="17">
        <f>IF(AND(U$15="Actual",ISBLANK($E$8)),SUMIFS('[1]NS Vendor Details'!$D:$D,'[1]NS Vendor Details'!$H:$H,'G&amp;A Vendor x GL Analysis'!U$20,'[1]NS Vendor Details'!$L:$L,'G&amp;A Vendor x GL Analysis'!$D44,'[1]NS Vendor Details'!$O:$O,'G&amp;A Vendor x GL Analysis'!$F44,'[1]NS Vendor Details'!$N:$N,'G&amp;A Vendor x GL Analysis'!$C44,'[1]NS Vendor Details'!$I:$I,'G&amp;A Vendor x GL Analysis'!$E44),IF(U$15="Actual",SUMIFS('[1]NS Vendor Details'!$D:$D,'[1]NS Vendor Details'!$H:$H,'G&amp;A Vendor x GL Analysis'!U$20,'[1]NS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V44" s="17">
        <f>IF(AND(V$15="Actual",ISBLANK($E$8)),SUMIFS('[1]NS Vendor Details'!$D:$D,'[1]NS Vendor Details'!$H:$H,'G&amp;A Vendor x GL Analysis'!V$20,'[1]NS Vendor Details'!$L:$L,'G&amp;A Vendor x GL Analysis'!$D44,'[1]NS Vendor Details'!$O:$O,'G&amp;A Vendor x GL Analysis'!$F44,'[1]NS Vendor Details'!$N:$N,'G&amp;A Vendor x GL Analysis'!$C44,'[1]NS Vendor Details'!$I:$I,'G&amp;A Vendor x GL Analysis'!$E44),IF(V$15="Actual",SUMIFS('[1]NS Vendor Details'!$D:$D,'[1]NS Vendor Details'!$H:$H,'G&amp;A Vendor x GL Analysis'!V$20,'[1]NS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W44" s="17">
        <f>IF(AND(W$15="Actual",ISBLANK($E$8)),SUMIFS('[1]NS Vendor Details'!$D:$D,'[1]NS Vendor Details'!$H:$H,'G&amp;A Vendor x GL Analysis'!W$20,'[1]NS Vendor Details'!$L:$L,'G&amp;A Vendor x GL Analysis'!$D44,'[1]NS Vendor Details'!$O:$O,'G&amp;A Vendor x GL Analysis'!$F44,'[1]NS Vendor Details'!$N:$N,'G&amp;A Vendor x GL Analysis'!$C44,'[1]NS Vendor Details'!$I:$I,'G&amp;A Vendor x GL Analysis'!$E44),IF(W$15="Actual",SUMIFS('[1]NS Vendor Details'!$D:$D,'[1]NS Vendor Details'!$H:$H,'G&amp;A Vendor x GL Analysis'!W$20,'[1]NS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266.38</v>
      </c>
      <c r="X44" s="17">
        <f>IF(AND(X$15="Actual",ISBLANK($E$8)),SUMIFS('[1]NS Vendor Details'!$D:$D,'[1]NS Vendor Details'!$H:$H,'G&amp;A Vendor x GL Analysis'!X$20,'[1]NS Vendor Details'!$L:$L,'G&amp;A Vendor x GL Analysis'!$D44,'[1]NS Vendor Details'!$O:$O,'G&amp;A Vendor x GL Analysis'!$F44,'[1]NS Vendor Details'!$N:$N,'G&amp;A Vendor x GL Analysis'!$C44,'[1]NS Vendor Details'!$I:$I,'G&amp;A Vendor x GL Analysis'!$E44),IF(X$15="Actual",SUMIFS('[1]NS Vendor Details'!$D:$D,'[1]NS Vendor Details'!$H:$H,'G&amp;A Vendor x GL Analysis'!X$20,'[1]NS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Y44" s="17">
        <f>IF(AND(Y$15="Actual",ISBLANK($E$8)),SUMIFS('[1]NS Vendor Details'!$D:$D,'[1]NS Vendor Details'!$H:$H,'G&amp;A Vendor x GL Analysis'!Y$20,'[1]NS Vendor Details'!$L:$L,'G&amp;A Vendor x GL Analysis'!$D44,'[1]NS Vendor Details'!$O:$O,'G&amp;A Vendor x GL Analysis'!$F44,'[1]NS Vendor Details'!$N:$N,'G&amp;A Vendor x GL Analysis'!$C44,'[1]NS Vendor Details'!$I:$I,'G&amp;A Vendor x GL Analysis'!$E44),IF(Y$15="Actual",SUMIFS('[1]NS Vendor Details'!$D:$D,'[1]NS Vendor Details'!$H:$H,'G&amp;A Vendor x GL Analysis'!Y$20,'[1]NS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Z44" s="17">
        <f>IF(AND(Z$15="Actual",ISBLANK($E$8)),SUMIFS('[1]NS Vendor Details'!$D:$D,'[1]NS Vendor Details'!$H:$H,'G&amp;A Vendor x GL Analysis'!Z$20,'[1]NS Vendor Details'!$L:$L,'G&amp;A Vendor x GL Analysis'!$D44,'[1]NS Vendor Details'!$O:$O,'G&amp;A Vendor x GL Analysis'!$F44,'[1]NS Vendor Details'!$N:$N,'G&amp;A Vendor x GL Analysis'!$C44,'[1]NS Vendor Details'!$I:$I,'G&amp;A Vendor x GL Analysis'!$E44),IF(Z$15="Actual",SUMIFS('[1]NS Vendor Details'!$D:$D,'[1]NS Vendor Details'!$H:$H,'G&amp;A Vendor x GL Analysis'!Z$20,'[1]NS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AA44" s="17">
        <f>IF(AND(AA$15="Actual",ISBLANK($E$8)),SUMIFS('[1]NS Vendor Details'!$D:$D,'[1]NS Vendor Details'!$H:$H,'G&amp;A Vendor x GL Analysis'!AA$20,'[1]NS Vendor Details'!$L:$L,'G&amp;A Vendor x GL Analysis'!$D44,'[1]NS Vendor Details'!$O:$O,'G&amp;A Vendor x GL Analysis'!$F44,'[1]NS Vendor Details'!$N:$N,'G&amp;A Vendor x GL Analysis'!$C44,'[1]NS Vendor Details'!$I:$I,'G&amp;A Vendor x GL Analysis'!$E44),IF(AA$15="Actual",SUMIFS('[1]NS Vendor Details'!$D:$D,'[1]NS Vendor Details'!$H:$H,'G&amp;A Vendor x GL Analysis'!AA$20,'[1]NS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AB44" s="17">
        <f>IF(AND(AB$15="Actual",ISBLANK($E$8)),SUMIFS('[1]NS Vendor Details'!$D:$D,'[1]NS Vendor Details'!$H:$H,'G&amp;A Vendor x GL Analysis'!AB$20,'[1]NS Vendor Details'!$L:$L,'G&amp;A Vendor x GL Analysis'!$D44,'[1]NS Vendor Details'!$O:$O,'G&amp;A Vendor x GL Analysis'!$F44,'[1]NS Vendor Details'!$N:$N,'G&amp;A Vendor x GL Analysis'!$C44,'[1]NS Vendor Details'!$I:$I,'G&amp;A Vendor x GL Analysis'!$E44),IF(AB$15="Actual",SUMIFS('[1]NS Vendor Details'!$D:$D,'[1]NS Vendor Details'!$H:$H,'G&amp;A Vendor x GL Analysis'!AB$20,'[1]NS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AC44" s="18">
        <f>IF(AND(AC$15="Actual",ISBLANK($E$8)),SUMIFS('[1]NS Vendor Details'!$D:$D,'[1]NS Vendor Details'!$H:$H,'G&amp;A Vendor x GL Analysis'!AC$20,'[1]NS Vendor Details'!$L:$L,'G&amp;A Vendor x GL Analysis'!$D44,'[1]NS Vendor Details'!$O:$O,'G&amp;A Vendor x GL Analysis'!$F44,'[1]NS Vendor Details'!$N:$N,'G&amp;A Vendor x GL Analysis'!$C44,'[1]NS Vendor Details'!$I:$I,'G&amp;A Vendor x GL Analysis'!$E44),IF(AC$15="Actual",SUMIFS('[1]NS Vendor Details'!$D:$D,'[1]NS Vendor Details'!$H:$H,'G&amp;A Vendor x GL Analysis'!AC$20,'[1]NS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582.70000000000005</v>
      </c>
      <c r="AD44" s="18">
        <f>IF(AND(AD$15="Actual",ISBLANK($E$8)),SUMIFS('[1]NS Vendor Details'!$D:$D,'[1]NS Vendor Details'!$H:$H,'G&amp;A Vendor x GL Analysis'!AD$20,'[1]NS Vendor Details'!$L:$L,'G&amp;A Vendor x GL Analysis'!$D44,'[1]NS Vendor Details'!$O:$O,'G&amp;A Vendor x GL Analysis'!$F44,'[1]NS Vendor Details'!$N:$N,'G&amp;A Vendor x GL Analysis'!$C44,'[1]NS Vendor Details'!$I:$I,'G&amp;A Vendor x GL Analysis'!$E44),IF(AD$15="Actual",SUMIFS('[1]NS Vendor Details'!$D:$D,'[1]NS Vendor Details'!$H:$H,'G&amp;A Vendor x GL Analysis'!AD$20,'[1]NS Vendor Details'!$L:$L,'G&amp;A Vendor x GL Analysis'!$D44,'[1]NS Vendor Details'!$O:$O,'G&amp;A Vendor x GL Analysis'!$F44,'[1]NS Vendor Details'!$N:$N,'G&amp;A Vendor x GL Analysis'!$C44,'[1]NS Vendor Details'!$K:$K,'G&amp;A Vendor x GL Analysis'!$E$8,'[1]NS Vendor Details'!$I:$I,'G&amp;A Vendor x GL Analysis'!$E44),0))</f>
        <v>0</v>
      </c>
      <c r="AF44" s="15">
        <f t="shared" si="9"/>
        <v>849.08</v>
      </c>
    </row>
    <row r="45" spans="1:32" outlineLevel="1">
      <c r="A45" s="8" t="str">
        <f t="shared" si="8"/>
        <v>T&amp;E6120 - Lodging</v>
      </c>
      <c r="C45" s="8" t="s">
        <v>11</v>
      </c>
      <c r="D45" s="8" t="str">
        <f t="shared" si="13"/>
        <v>T&amp;E</v>
      </c>
      <c r="E45" s="2" t="s">
        <v>38</v>
      </c>
      <c r="F45" s="2" t="s">
        <v>16</v>
      </c>
      <c r="G45" s="16">
        <f>IF(AND(G$15="Actual",ISBLANK($E$8)),SUMIFS('[1]NS Vendor Details'!$D:$D,'[1]NS Vendor Details'!$H:$H,'G&amp;A Vendor x GL Analysis'!G$20,'[1]NS Vendor Details'!$L:$L,'G&amp;A Vendor x GL Analysis'!$D45,'[1]NS Vendor Details'!$O:$O,'G&amp;A Vendor x GL Analysis'!$F45,'[1]NS Vendor Details'!$N:$N,'G&amp;A Vendor x GL Analysis'!$C45),IF(G$15="Actual",SUMIFS('[1]NS Vendor Details'!$D:$D,'[1]NS Vendor Details'!$H:$H,'G&amp;A Vendor x GL Analysis'!G$20,'[1]NS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8476.25</v>
      </c>
      <c r="H45" s="17">
        <f>IF(AND(H$15="Actual",ISBLANK($E$8)),SUMIFS('[1]NS Vendor Details'!$D:$D,'[1]NS Vendor Details'!$H:$H,'G&amp;A Vendor x GL Analysis'!H$20,'[1]NS Vendor Details'!$L:$L,'G&amp;A Vendor x GL Analysis'!$D45,'[1]NS Vendor Details'!$O:$O,'G&amp;A Vendor x GL Analysis'!$F45,'[1]NS Vendor Details'!$N:$N,'G&amp;A Vendor x GL Analysis'!$C45),IF(H$15="Actual",SUMIFS('[1]NS Vendor Details'!$D:$D,'[1]NS Vendor Details'!$H:$H,'G&amp;A Vendor x GL Analysis'!H$20,'[1]NS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7326.8300000000008</v>
      </c>
      <c r="I45" s="17">
        <f>IF(AND(I$15="Actual",ISBLANK($E$8)),SUMIFS('[1]NS Vendor Details'!$D:$D,'[1]NS Vendor Details'!$H:$H,'G&amp;A Vendor x GL Analysis'!I$20,'[1]NS Vendor Details'!$L:$L,'G&amp;A Vendor x GL Analysis'!$D45,'[1]NS Vendor Details'!$O:$O,'G&amp;A Vendor x GL Analysis'!$F45,'[1]NS Vendor Details'!$N:$N,'G&amp;A Vendor x GL Analysis'!$C45),IF(I$15="Actual",SUMIFS('[1]NS Vendor Details'!$D:$D,'[1]NS Vendor Details'!$H:$H,'G&amp;A Vendor x GL Analysis'!I$20,'[1]NS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16747.41</v>
      </c>
      <c r="J45" s="17">
        <f>IF(AND(J$15="Actual",ISBLANK($E$8)),SUMIFS('[1]NS Vendor Details'!$D:$D,'[1]NS Vendor Details'!$H:$H,'G&amp;A Vendor x GL Analysis'!J$20,'[1]NS Vendor Details'!$L:$L,'G&amp;A Vendor x GL Analysis'!$D45,'[1]NS Vendor Details'!$O:$O,'G&amp;A Vendor x GL Analysis'!$F45,'[1]NS Vendor Details'!$N:$N,'G&amp;A Vendor x GL Analysis'!$C45),IF(J$15="Actual",SUMIFS('[1]NS Vendor Details'!$D:$D,'[1]NS Vendor Details'!$H:$H,'G&amp;A Vendor x GL Analysis'!J$20,'[1]NS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6311.5900000000011</v>
      </c>
      <c r="K45" s="17">
        <f>IF(AND(K$15="Actual",ISBLANK($E$8)),SUMIFS('[1]NS Vendor Details'!$D:$D,'[1]NS Vendor Details'!$H:$H,'G&amp;A Vendor x GL Analysis'!K$20,'[1]NS Vendor Details'!$L:$L,'G&amp;A Vendor x GL Analysis'!$D45,'[1]NS Vendor Details'!$O:$O,'G&amp;A Vendor x GL Analysis'!$F45,'[1]NS Vendor Details'!$N:$N,'G&amp;A Vendor x GL Analysis'!$C45),IF(K$15="Actual",SUMIFS('[1]NS Vendor Details'!$D:$D,'[1]NS Vendor Details'!$H:$H,'G&amp;A Vendor x GL Analysis'!K$20,'[1]NS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7622.52</v>
      </c>
      <c r="L45" s="17">
        <f>IF(AND(L$15="Actual",ISBLANK($E$8)),SUMIFS('[1]NS Vendor Details'!$D:$D,'[1]NS Vendor Details'!$H:$H,'G&amp;A Vendor x GL Analysis'!L$20,'[1]NS Vendor Details'!$L:$L,'G&amp;A Vendor x GL Analysis'!$D45,'[1]NS Vendor Details'!$O:$O,'G&amp;A Vendor x GL Analysis'!$F45,'[1]NS Vendor Details'!$N:$N,'G&amp;A Vendor x GL Analysis'!$C45),IF(L$15="Actual",SUMIFS('[1]NS Vendor Details'!$D:$D,'[1]NS Vendor Details'!$H:$H,'G&amp;A Vendor x GL Analysis'!L$20,'[1]NS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3017.6699999999996</v>
      </c>
      <c r="M45" s="17">
        <f>IF(AND(M$15="Actual",ISBLANK($E$8)),SUMIFS('[1]NS Vendor Details'!$D:$D,'[1]NS Vendor Details'!$H:$H,'G&amp;A Vendor x GL Analysis'!M$20,'[1]NS Vendor Details'!$L:$L,'G&amp;A Vendor x GL Analysis'!$D45,'[1]NS Vendor Details'!$O:$O,'G&amp;A Vendor x GL Analysis'!$F45,'[1]NS Vendor Details'!$N:$N,'G&amp;A Vendor x GL Analysis'!$C45),IF(M$15="Actual",SUMIFS('[1]NS Vendor Details'!$D:$D,'[1]NS Vendor Details'!$H:$H,'G&amp;A Vendor x GL Analysis'!M$20,'[1]NS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5779.83</v>
      </c>
      <c r="N45" s="17">
        <f>IF(AND(N$15="Actual",ISBLANK($E$8)),SUMIFS('[1]NS Vendor Details'!$D:$D,'[1]NS Vendor Details'!$H:$H,'G&amp;A Vendor x GL Analysis'!N$20,'[1]NS Vendor Details'!$L:$L,'G&amp;A Vendor x GL Analysis'!$D45,'[1]NS Vendor Details'!$O:$O,'G&amp;A Vendor x GL Analysis'!$F45,'[1]NS Vendor Details'!$N:$N,'G&amp;A Vendor x GL Analysis'!$C45),IF(N$15="Actual",SUMIFS('[1]NS Vendor Details'!$D:$D,'[1]NS Vendor Details'!$H:$H,'G&amp;A Vendor x GL Analysis'!N$20,'[1]NS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20132.109999999997</v>
      </c>
      <c r="O45" s="17">
        <f>IF(AND(O$15="Actual",ISBLANK($E$8)),SUMIFS('[1]NS Vendor Details'!$D:$D,'[1]NS Vendor Details'!$H:$H,'G&amp;A Vendor x GL Analysis'!O$20,'[1]NS Vendor Details'!$L:$L,'G&amp;A Vendor x GL Analysis'!$D45,'[1]NS Vendor Details'!$O:$O,'G&amp;A Vendor x GL Analysis'!$F45,'[1]NS Vendor Details'!$N:$N,'G&amp;A Vendor x GL Analysis'!$C45),IF(O$15="Actual",SUMIFS('[1]NS Vendor Details'!$D:$D,'[1]NS Vendor Details'!$H:$H,'G&amp;A Vendor x GL Analysis'!O$20,'[1]NS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4175.83</v>
      </c>
      <c r="P45" s="17">
        <f>IF(AND(P$15="Actual",ISBLANK($E$8)),SUMIFS('[1]NS Vendor Details'!$D:$D,'[1]NS Vendor Details'!$H:$H,'G&amp;A Vendor x GL Analysis'!P$20,'[1]NS Vendor Details'!$L:$L,'G&amp;A Vendor x GL Analysis'!$D45,'[1]NS Vendor Details'!$O:$O,'G&amp;A Vendor x GL Analysis'!$F45,'[1]NS Vendor Details'!$N:$N,'G&amp;A Vendor x GL Analysis'!$C45),IF(P$15="Actual",SUMIFS('[1]NS Vendor Details'!$D:$D,'[1]NS Vendor Details'!$H:$H,'G&amp;A Vendor x GL Analysis'!P$20,'[1]NS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2776.9799999999996</v>
      </c>
      <c r="Q45" s="17">
        <f>IF(AND(Q$15="Actual",ISBLANK($E$8)),SUMIFS('[1]NS Vendor Details'!$D:$D,'[1]NS Vendor Details'!$H:$H,'G&amp;A Vendor x GL Analysis'!Q$20,'[1]NS Vendor Details'!$L:$L,'G&amp;A Vendor x GL Analysis'!$D45,'[1]NS Vendor Details'!$O:$O,'G&amp;A Vendor x GL Analysis'!$F45,'[1]NS Vendor Details'!$N:$N,'G&amp;A Vendor x GL Analysis'!$C45),IF(Q$15="Actual",SUMIFS('[1]NS Vendor Details'!$D:$D,'[1]NS Vendor Details'!$H:$H,'G&amp;A Vendor x GL Analysis'!Q$20,'[1]NS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21593.5</v>
      </c>
      <c r="R45" s="18">
        <f>IF(AND(R$15="Actual",ISBLANK($E$8)),SUMIFS('[1]NS Vendor Details'!$D:$D,'[1]NS Vendor Details'!$H:$H,'G&amp;A Vendor x GL Analysis'!R$20,'[1]NS Vendor Details'!$L:$L,'G&amp;A Vendor x GL Analysis'!$D45,'[1]NS Vendor Details'!$O:$O,'G&amp;A Vendor x GL Analysis'!$F45,'[1]NS Vendor Details'!$N:$N,'G&amp;A Vendor x GL Analysis'!$C45),IF(R$15="Actual",SUMIFS('[1]NS Vendor Details'!$D:$D,'[1]NS Vendor Details'!$H:$H,'G&amp;A Vendor x GL Analysis'!R$20,'[1]NS Vendor Details'!$L:$L,'G&amp;A Vendor x GL Analysis'!$D45,'[1]NS Vendor Details'!$O:$O,'G&amp;A Vendor x GL Analysis'!$F45,'[1]NS Vendor Details'!$N:$N,'G&amp;A Vendor x GL Analysis'!$C45,'[1]NS Vendor Details'!$K:$K,'G&amp;A Vendor x GL Analysis'!$E$8),0))</f>
        <v>13925.030000000002</v>
      </c>
      <c r="S45" s="16">
        <f>IF(AND(S$15="Actual",ISBLANK($E$8)),SUMIFS('[1]NS Vendor Details'!$D:$D,'[1]NS Vendor Details'!$H:$H,'G&amp;A Vendor x GL Analysis'!S$20,'[1]NS Vendor Details'!$L:$L,'G&amp;A Vendor x GL Analysis'!$D45,'[1]NS Vendor Details'!$O:$O,'G&amp;A Vendor x GL Analysis'!$F45,'[1]NS Vendor Details'!$N:$N,'G&amp;A Vendor x GL Analysis'!$C45,'[1]NS Vendor Details'!$I:$I,'G&amp;A Vendor x GL Analysis'!$E45),IF(S$15="Actual",SUMIFS('[1]NS Vendor Details'!$D:$D,'[1]NS Vendor Details'!$H:$H,'G&amp;A Vendor x GL Analysis'!S$20,'[1]NS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1249.9000000000001</v>
      </c>
      <c r="T45" s="17">
        <f>IF(AND(T$15="Actual",ISBLANK($E$8)),SUMIFS('[1]NS Vendor Details'!$D:$D,'[1]NS Vendor Details'!$H:$H,'G&amp;A Vendor x GL Analysis'!T$20,'[1]NS Vendor Details'!$L:$L,'G&amp;A Vendor x GL Analysis'!$D45,'[1]NS Vendor Details'!$O:$O,'G&amp;A Vendor x GL Analysis'!$F45,'[1]NS Vendor Details'!$N:$N,'G&amp;A Vendor x GL Analysis'!$C45,'[1]NS Vendor Details'!$I:$I,'G&amp;A Vendor x GL Analysis'!$E45),IF(T$15="Actual",SUMIFS('[1]NS Vendor Details'!$D:$D,'[1]NS Vendor Details'!$H:$H,'G&amp;A Vendor x GL Analysis'!T$20,'[1]NS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1122.3599999999999</v>
      </c>
      <c r="U45" s="17">
        <f>IF(AND(U$15="Actual",ISBLANK($E$8)),SUMIFS('[1]NS Vendor Details'!$D:$D,'[1]NS Vendor Details'!$H:$H,'G&amp;A Vendor x GL Analysis'!U$20,'[1]NS Vendor Details'!$L:$L,'G&amp;A Vendor x GL Analysis'!$D45,'[1]NS Vendor Details'!$O:$O,'G&amp;A Vendor x GL Analysis'!$F45,'[1]NS Vendor Details'!$N:$N,'G&amp;A Vendor x GL Analysis'!$C45,'[1]NS Vendor Details'!$I:$I,'G&amp;A Vendor x GL Analysis'!$E45),IF(U$15="Actual",SUMIFS('[1]NS Vendor Details'!$D:$D,'[1]NS Vendor Details'!$H:$H,'G&amp;A Vendor x GL Analysis'!U$20,'[1]NS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1897.46</v>
      </c>
      <c r="V45" s="17">
        <f>IF(AND(V$15="Actual",ISBLANK($E$8)),SUMIFS('[1]NS Vendor Details'!$D:$D,'[1]NS Vendor Details'!$H:$H,'G&amp;A Vendor x GL Analysis'!V$20,'[1]NS Vendor Details'!$L:$L,'G&amp;A Vendor x GL Analysis'!$D45,'[1]NS Vendor Details'!$O:$O,'G&amp;A Vendor x GL Analysis'!$F45,'[1]NS Vendor Details'!$N:$N,'G&amp;A Vendor x GL Analysis'!$C45,'[1]NS Vendor Details'!$I:$I,'G&amp;A Vendor x GL Analysis'!$E45),IF(V$15="Actual",SUMIFS('[1]NS Vendor Details'!$D:$D,'[1]NS Vendor Details'!$H:$H,'G&amp;A Vendor x GL Analysis'!V$20,'[1]NS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3186.57</v>
      </c>
      <c r="W45" s="17">
        <f>IF(AND(W$15="Actual",ISBLANK($E$8)),SUMIFS('[1]NS Vendor Details'!$D:$D,'[1]NS Vendor Details'!$H:$H,'G&amp;A Vendor x GL Analysis'!W$20,'[1]NS Vendor Details'!$L:$L,'G&amp;A Vendor x GL Analysis'!$D45,'[1]NS Vendor Details'!$O:$O,'G&amp;A Vendor x GL Analysis'!$F45,'[1]NS Vendor Details'!$N:$N,'G&amp;A Vendor x GL Analysis'!$C45,'[1]NS Vendor Details'!$I:$I,'G&amp;A Vendor x GL Analysis'!$E45),IF(W$15="Actual",SUMIFS('[1]NS Vendor Details'!$D:$D,'[1]NS Vendor Details'!$H:$H,'G&amp;A Vendor x GL Analysis'!W$20,'[1]NS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5027.9199999999992</v>
      </c>
      <c r="X45" s="17">
        <f>IF(AND(X$15="Actual",ISBLANK($E$8)),SUMIFS('[1]NS Vendor Details'!$D:$D,'[1]NS Vendor Details'!$H:$H,'G&amp;A Vendor x GL Analysis'!X$20,'[1]NS Vendor Details'!$L:$L,'G&amp;A Vendor x GL Analysis'!$D45,'[1]NS Vendor Details'!$O:$O,'G&amp;A Vendor x GL Analysis'!$F45,'[1]NS Vendor Details'!$N:$N,'G&amp;A Vendor x GL Analysis'!$C45,'[1]NS Vendor Details'!$I:$I,'G&amp;A Vendor x GL Analysis'!$E45),IF(X$15="Actual",SUMIFS('[1]NS Vendor Details'!$D:$D,'[1]NS Vendor Details'!$H:$H,'G&amp;A Vendor x GL Analysis'!X$20,'[1]NS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0</v>
      </c>
      <c r="Y45" s="17">
        <f>IF(AND(Y$15="Actual",ISBLANK($E$8)),SUMIFS('[1]NS Vendor Details'!$D:$D,'[1]NS Vendor Details'!$H:$H,'G&amp;A Vendor x GL Analysis'!Y$20,'[1]NS Vendor Details'!$L:$L,'G&amp;A Vendor x GL Analysis'!$D45,'[1]NS Vendor Details'!$O:$O,'G&amp;A Vendor x GL Analysis'!$F45,'[1]NS Vendor Details'!$N:$N,'G&amp;A Vendor x GL Analysis'!$C45,'[1]NS Vendor Details'!$I:$I,'G&amp;A Vendor x GL Analysis'!$E45),IF(Y$15="Actual",SUMIFS('[1]NS Vendor Details'!$D:$D,'[1]NS Vendor Details'!$H:$H,'G&amp;A Vendor x GL Analysis'!Y$20,'[1]NS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0</v>
      </c>
      <c r="Z45" s="17">
        <f>IF(AND(Z$15="Actual",ISBLANK($E$8)),SUMIFS('[1]NS Vendor Details'!$D:$D,'[1]NS Vendor Details'!$H:$H,'G&amp;A Vendor x GL Analysis'!Z$20,'[1]NS Vendor Details'!$L:$L,'G&amp;A Vendor x GL Analysis'!$D45,'[1]NS Vendor Details'!$O:$O,'G&amp;A Vendor x GL Analysis'!$F45,'[1]NS Vendor Details'!$N:$N,'G&amp;A Vendor x GL Analysis'!$C45,'[1]NS Vendor Details'!$I:$I,'G&amp;A Vendor x GL Analysis'!$E45),IF(Z$15="Actual",SUMIFS('[1]NS Vendor Details'!$D:$D,'[1]NS Vendor Details'!$H:$H,'G&amp;A Vendor x GL Analysis'!Z$20,'[1]NS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0</v>
      </c>
      <c r="AA45" s="17">
        <f>IF(AND(AA$15="Actual",ISBLANK($E$8)),SUMIFS('[1]NS Vendor Details'!$D:$D,'[1]NS Vendor Details'!$H:$H,'G&amp;A Vendor x GL Analysis'!AA$20,'[1]NS Vendor Details'!$L:$L,'G&amp;A Vendor x GL Analysis'!$D45,'[1]NS Vendor Details'!$O:$O,'G&amp;A Vendor x GL Analysis'!$F45,'[1]NS Vendor Details'!$N:$N,'G&amp;A Vendor x GL Analysis'!$C45,'[1]NS Vendor Details'!$I:$I,'G&amp;A Vendor x GL Analysis'!$E45),IF(AA$15="Actual",SUMIFS('[1]NS Vendor Details'!$D:$D,'[1]NS Vendor Details'!$H:$H,'G&amp;A Vendor x GL Analysis'!AA$20,'[1]NS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0</v>
      </c>
      <c r="AB45" s="17">
        <f>IF(AND(AB$15="Actual",ISBLANK($E$8)),SUMIFS('[1]NS Vendor Details'!$D:$D,'[1]NS Vendor Details'!$H:$H,'G&amp;A Vendor x GL Analysis'!AB$20,'[1]NS Vendor Details'!$L:$L,'G&amp;A Vendor x GL Analysis'!$D45,'[1]NS Vendor Details'!$O:$O,'G&amp;A Vendor x GL Analysis'!$F45,'[1]NS Vendor Details'!$N:$N,'G&amp;A Vendor x GL Analysis'!$C45,'[1]NS Vendor Details'!$I:$I,'G&amp;A Vendor x GL Analysis'!$E45),IF(AB$15="Actual",SUMIFS('[1]NS Vendor Details'!$D:$D,'[1]NS Vendor Details'!$H:$H,'G&amp;A Vendor x GL Analysis'!AB$20,'[1]NS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0</v>
      </c>
      <c r="AC45" s="18">
        <f>IF(AND(AC$15="Actual",ISBLANK($E$8)),SUMIFS('[1]NS Vendor Details'!$D:$D,'[1]NS Vendor Details'!$H:$H,'G&amp;A Vendor x GL Analysis'!AC$20,'[1]NS Vendor Details'!$L:$L,'G&amp;A Vendor x GL Analysis'!$D45,'[1]NS Vendor Details'!$O:$O,'G&amp;A Vendor x GL Analysis'!$F45,'[1]NS Vendor Details'!$N:$N,'G&amp;A Vendor x GL Analysis'!$C45,'[1]NS Vendor Details'!$I:$I,'G&amp;A Vendor x GL Analysis'!$E45),IF(AC$15="Actual",SUMIFS('[1]NS Vendor Details'!$D:$D,'[1]NS Vendor Details'!$H:$H,'G&amp;A Vendor x GL Analysis'!AC$20,'[1]NS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0</v>
      </c>
      <c r="AD45" s="18">
        <f>IF(AND(AD$15="Actual",ISBLANK($E$8)),SUMIFS('[1]NS Vendor Details'!$D:$D,'[1]NS Vendor Details'!$H:$H,'G&amp;A Vendor x GL Analysis'!AD$20,'[1]NS Vendor Details'!$L:$L,'G&amp;A Vendor x GL Analysis'!$D45,'[1]NS Vendor Details'!$O:$O,'G&amp;A Vendor x GL Analysis'!$F45,'[1]NS Vendor Details'!$N:$N,'G&amp;A Vendor x GL Analysis'!$C45,'[1]NS Vendor Details'!$I:$I,'G&amp;A Vendor x GL Analysis'!$E45),IF(AD$15="Actual",SUMIFS('[1]NS Vendor Details'!$D:$D,'[1]NS Vendor Details'!$H:$H,'G&amp;A Vendor x GL Analysis'!AD$20,'[1]NS Vendor Details'!$L:$L,'G&amp;A Vendor x GL Analysis'!$D45,'[1]NS Vendor Details'!$O:$O,'G&amp;A Vendor x GL Analysis'!$F45,'[1]NS Vendor Details'!$N:$N,'G&amp;A Vendor x GL Analysis'!$C45,'[1]NS Vendor Details'!$K:$K,'G&amp;A Vendor x GL Analysis'!$E$8,'[1]NS Vendor Details'!$I:$I,'G&amp;A Vendor x GL Analysis'!$E45),0))</f>
        <v>0</v>
      </c>
      <c r="AF45" s="19">
        <f t="shared" si="9"/>
        <v>12484.21</v>
      </c>
    </row>
    <row r="46" spans="1:32" outlineLevel="1">
      <c r="A46" s="8" t="str">
        <f t="shared" si="8"/>
        <v>T&amp;E6120 - Lodging</v>
      </c>
      <c r="C46" s="8" t="s">
        <v>11</v>
      </c>
      <c r="D46" s="8" t="str">
        <f t="shared" si="13"/>
        <v>T&amp;E</v>
      </c>
      <c r="E46" s="2" t="s">
        <v>38</v>
      </c>
      <c r="F46" s="2" t="s">
        <v>39</v>
      </c>
      <c r="G46" s="16">
        <f>IF(AND(G$15="Actual",ISBLANK($E$8)),SUMIFS('[1]NS Vendor Details'!$D:$D,'[1]NS Vendor Details'!$H:$H,'G&amp;A Vendor x GL Analysis'!G$20,'[1]NS Vendor Details'!$L:$L,'G&amp;A Vendor x GL Analysis'!$D46,'[1]NS Vendor Details'!$O:$O,'G&amp;A Vendor x GL Analysis'!$F46,'[1]NS Vendor Details'!$N:$N,'G&amp;A Vendor x GL Analysis'!$C46),IF(G$15="Actual",SUMIFS('[1]NS Vendor Details'!$D:$D,'[1]NS Vendor Details'!$H:$H,'G&amp;A Vendor x GL Analysis'!G$20,'[1]NS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H46" s="17">
        <f>IF(AND(H$15="Actual",ISBLANK($E$8)),SUMIFS('[1]NS Vendor Details'!$D:$D,'[1]NS Vendor Details'!$H:$H,'G&amp;A Vendor x GL Analysis'!H$20,'[1]NS Vendor Details'!$L:$L,'G&amp;A Vendor x GL Analysis'!$D46,'[1]NS Vendor Details'!$O:$O,'G&amp;A Vendor x GL Analysis'!$F46,'[1]NS Vendor Details'!$N:$N,'G&amp;A Vendor x GL Analysis'!$C46),IF(H$15="Actual",SUMIFS('[1]NS Vendor Details'!$D:$D,'[1]NS Vendor Details'!$H:$H,'G&amp;A Vendor x GL Analysis'!H$20,'[1]NS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I46" s="17">
        <f>IF(AND(I$15="Actual",ISBLANK($E$8)),SUMIFS('[1]NS Vendor Details'!$D:$D,'[1]NS Vendor Details'!$H:$H,'G&amp;A Vendor x GL Analysis'!I$20,'[1]NS Vendor Details'!$L:$L,'G&amp;A Vendor x GL Analysis'!$D46,'[1]NS Vendor Details'!$O:$O,'G&amp;A Vendor x GL Analysis'!$F46,'[1]NS Vendor Details'!$N:$N,'G&amp;A Vendor x GL Analysis'!$C46),IF(I$15="Actual",SUMIFS('[1]NS Vendor Details'!$D:$D,'[1]NS Vendor Details'!$H:$H,'G&amp;A Vendor x GL Analysis'!I$20,'[1]NS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J46" s="17">
        <f>IF(AND(J$15="Actual",ISBLANK($E$8)),SUMIFS('[1]NS Vendor Details'!$D:$D,'[1]NS Vendor Details'!$H:$H,'G&amp;A Vendor x GL Analysis'!J$20,'[1]NS Vendor Details'!$L:$L,'G&amp;A Vendor x GL Analysis'!$D46,'[1]NS Vendor Details'!$O:$O,'G&amp;A Vendor x GL Analysis'!$F46,'[1]NS Vendor Details'!$N:$N,'G&amp;A Vendor x GL Analysis'!$C46),IF(J$15="Actual",SUMIFS('[1]NS Vendor Details'!$D:$D,'[1]NS Vendor Details'!$H:$H,'G&amp;A Vendor x GL Analysis'!J$20,'[1]NS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K46" s="17">
        <f>IF(AND(K$15="Actual",ISBLANK($E$8)),SUMIFS('[1]NS Vendor Details'!$D:$D,'[1]NS Vendor Details'!$H:$H,'G&amp;A Vendor x GL Analysis'!K$20,'[1]NS Vendor Details'!$L:$L,'G&amp;A Vendor x GL Analysis'!$D46,'[1]NS Vendor Details'!$O:$O,'G&amp;A Vendor x GL Analysis'!$F46,'[1]NS Vendor Details'!$N:$N,'G&amp;A Vendor x GL Analysis'!$C46),IF(K$15="Actual",SUMIFS('[1]NS Vendor Details'!$D:$D,'[1]NS Vendor Details'!$H:$H,'G&amp;A Vendor x GL Analysis'!K$20,'[1]NS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L46" s="17">
        <f>IF(AND(L$15="Actual",ISBLANK($E$8)),SUMIFS('[1]NS Vendor Details'!$D:$D,'[1]NS Vendor Details'!$H:$H,'G&amp;A Vendor x GL Analysis'!L$20,'[1]NS Vendor Details'!$L:$L,'G&amp;A Vendor x GL Analysis'!$D46,'[1]NS Vendor Details'!$O:$O,'G&amp;A Vendor x GL Analysis'!$F46,'[1]NS Vendor Details'!$N:$N,'G&amp;A Vendor x GL Analysis'!$C46),IF(L$15="Actual",SUMIFS('[1]NS Vendor Details'!$D:$D,'[1]NS Vendor Details'!$H:$H,'G&amp;A Vendor x GL Analysis'!L$20,'[1]NS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M46" s="17">
        <f>IF(AND(M$15="Actual",ISBLANK($E$8)),SUMIFS('[1]NS Vendor Details'!$D:$D,'[1]NS Vendor Details'!$H:$H,'G&amp;A Vendor x GL Analysis'!M$20,'[1]NS Vendor Details'!$L:$L,'G&amp;A Vendor x GL Analysis'!$D46,'[1]NS Vendor Details'!$O:$O,'G&amp;A Vendor x GL Analysis'!$F46,'[1]NS Vendor Details'!$N:$N,'G&amp;A Vendor x GL Analysis'!$C46),IF(M$15="Actual",SUMIFS('[1]NS Vendor Details'!$D:$D,'[1]NS Vendor Details'!$H:$H,'G&amp;A Vendor x GL Analysis'!M$20,'[1]NS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N46" s="17">
        <f>IF(AND(N$15="Actual",ISBLANK($E$8)),SUMIFS('[1]NS Vendor Details'!$D:$D,'[1]NS Vendor Details'!$H:$H,'G&amp;A Vendor x GL Analysis'!N$20,'[1]NS Vendor Details'!$L:$L,'G&amp;A Vendor x GL Analysis'!$D46,'[1]NS Vendor Details'!$O:$O,'G&amp;A Vendor x GL Analysis'!$F46,'[1]NS Vendor Details'!$N:$N,'G&amp;A Vendor x GL Analysis'!$C46),IF(N$15="Actual",SUMIFS('[1]NS Vendor Details'!$D:$D,'[1]NS Vendor Details'!$H:$H,'G&amp;A Vendor x GL Analysis'!N$20,'[1]NS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O46" s="17">
        <f>IF(AND(O$15="Actual",ISBLANK($E$8)),SUMIFS('[1]NS Vendor Details'!$D:$D,'[1]NS Vendor Details'!$H:$H,'G&amp;A Vendor x GL Analysis'!O$20,'[1]NS Vendor Details'!$L:$L,'G&amp;A Vendor x GL Analysis'!$D46,'[1]NS Vendor Details'!$O:$O,'G&amp;A Vendor x GL Analysis'!$F46,'[1]NS Vendor Details'!$N:$N,'G&amp;A Vendor x GL Analysis'!$C46),IF(O$15="Actual",SUMIFS('[1]NS Vendor Details'!$D:$D,'[1]NS Vendor Details'!$H:$H,'G&amp;A Vendor x GL Analysis'!O$20,'[1]NS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P46" s="17">
        <f>IF(AND(P$15="Actual",ISBLANK($E$8)),SUMIFS('[1]NS Vendor Details'!$D:$D,'[1]NS Vendor Details'!$H:$H,'G&amp;A Vendor x GL Analysis'!P$20,'[1]NS Vendor Details'!$L:$L,'G&amp;A Vendor x GL Analysis'!$D46,'[1]NS Vendor Details'!$O:$O,'G&amp;A Vendor x GL Analysis'!$F46,'[1]NS Vendor Details'!$N:$N,'G&amp;A Vendor x GL Analysis'!$C46),IF(P$15="Actual",SUMIFS('[1]NS Vendor Details'!$D:$D,'[1]NS Vendor Details'!$H:$H,'G&amp;A Vendor x GL Analysis'!P$20,'[1]NS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Q46" s="17">
        <f>IF(AND(Q$15="Actual",ISBLANK($E$8)),SUMIFS('[1]NS Vendor Details'!$D:$D,'[1]NS Vendor Details'!$H:$H,'G&amp;A Vendor x GL Analysis'!Q$20,'[1]NS Vendor Details'!$L:$L,'G&amp;A Vendor x GL Analysis'!$D46,'[1]NS Vendor Details'!$O:$O,'G&amp;A Vendor x GL Analysis'!$F46,'[1]NS Vendor Details'!$N:$N,'G&amp;A Vendor x GL Analysis'!$C46),IF(Q$15="Actual",SUMIFS('[1]NS Vendor Details'!$D:$D,'[1]NS Vendor Details'!$H:$H,'G&amp;A Vendor x GL Analysis'!Q$20,'[1]NS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R46" s="18">
        <f>IF(AND(R$15="Actual",ISBLANK($E$8)),SUMIFS('[1]NS Vendor Details'!$D:$D,'[1]NS Vendor Details'!$H:$H,'G&amp;A Vendor x GL Analysis'!R$20,'[1]NS Vendor Details'!$L:$L,'G&amp;A Vendor x GL Analysis'!$D46,'[1]NS Vendor Details'!$O:$O,'G&amp;A Vendor x GL Analysis'!$F46,'[1]NS Vendor Details'!$N:$N,'G&amp;A Vendor x GL Analysis'!$C46),IF(R$15="Actual",SUMIFS('[1]NS Vendor Details'!$D:$D,'[1]NS Vendor Details'!$H:$H,'G&amp;A Vendor x GL Analysis'!R$20,'[1]NS Vendor Details'!$L:$L,'G&amp;A Vendor x GL Analysis'!$D46,'[1]NS Vendor Details'!$O:$O,'G&amp;A Vendor x GL Analysis'!$F46,'[1]NS Vendor Details'!$N:$N,'G&amp;A Vendor x GL Analysis'!$C46,'[1]NS Vendor Details'!$K:$K,'G&amp;A Vendor x GL Analysis'!$E$8),0))</f>
        <v>0</v>
      </c>
      <c r="S46" s="16">
        <f>IF(AND(S$15="Actual",ISBLANK($E$8)),SUMIFS('[1]NS Vendor Details'!$D:$D,'[1]NS Vendor Details'!$H:$H,'G&amp;A Vendor x GL Analysis'!S$20,'[1]NS Vendor Details'!$L:$L,'G&amp;A Vendor x GL Analysis'!$D46,'[1]NS Vendor Details'!$O:$O,'G&amp;A Vendor x GL Analysis'!$F46,'[1]NS Vendor Details'!$N:$N,'G&amp;A Vendor x GL Analysis'!$C46,'[1]NS Vendor Details'!$I:$I,'G&amp;A Vendor x GL Analysis'!$E46),IF(S$15="Actual",SUMIFS('[1]NS Vendor Details'!$D:$D,'[1]NS Vendor Details'!$H:$H,'G&amp;A Vendor x GL Analysis'!S$20,'[1]NS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T46" s="17">
        <f>IF(AND(T$15="Actual",ISBLANK($E$8)),SUMIFS('[1]NS Vendor Details'!$D:$D,'[1]NS Vendor Details'!$H:$H,'G&amp;A Vendor x GL Analysis'!T$20,'[1]NS Vendor Details'!$L:$L,'G&amp;A Vendor x GL Analysis'!$D46,'[1]NS Vendor Details'!$O:$O,'G&amp;A Vendor x GL Analysis'!$F46,'[1]NS Vendor Details'!$N:$N,'G&amp;A Vendor x GL Analysis'!$C46,'[1]NS Vendor Details'!$I:$I,'G&amp;A Vendor x GL Analysis'!$E46),IF(T$15="Actual",SUMIFS('[1]NS Vendor Details'!$D:$D,'[1]NS Vendor Details'!$H:$H,'G&amp;A Vendor x GL Analysis'!T$20,'[1]NS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U46" s="17">
        <f>IF(AND(U$15="Actual",ISBLANK($E$8)),SUMIFS('[1]NS Vendor Details'!$D:$D,'[1]NS Vendor Details'!$H:$H,'G&amp;A Vendor x GL Analysis'!U$20,'[1]NS Vendor Details'!$L:$L,'G&amp;A Vendor x GL Analysis'!$D46,'[1]NS Vendor Details'!$O:$O,'G&amp;A Vendor x GL Analysis'!$F46,'[1]NS Vendor Details'!$N:$N,'G&amp;A Vendor x GL Analysis'!$C46,'[1]NS Vendor Details'!$I:$I,'G&amp;A Vendor x GL Analysis'!$E46),IF(U$15="Actual",SUMIFS('[1]NS Vendor Details'!$D:$D,'[1]NS Vendor Details'!$H:$H,'G&amp;A Vendor x GL Analysis'!U$20,'[1]NS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V46" s="17">
        <f>IF(AND(V$15="Actual",ISBLANK($E$8)),SUMIFS('[1]NS Vendor Details'!$D:$D,'[1]NS Vendor Details'!$H:$H,'G&amp;A Vendor x GL Analysis'!V$20,'[1]NS Vendor Details'!$L:$L,'G&amp;A Vendor x GL Analysis'!$D46,'[1]NS Vendor Details'!$O:$O,'G&amp;A Vendor x GL Analysis'!$F46,'[1]NS Vendor Details'!$N:$N,'G&amp;A Vendor x GL Analysis'!$C46,'[1]NS Vendor Details'!$I:$I,'G&amp;A Vendor x GL Analysis'!$E46),IF(V$15="Actual",SUMIFS('[1]NS Vendor Details'!$D:$D,'[1]NS Vendor Details'!$H:$H,'G&amp;A Vendor x GL Analysis'!V$20,'[1]NS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W46" s="17">
        <f>IF(AND(W$15="Actual",ISBLANK($E$8)),SUMIFS('[1]NS Vendor Details'!$D:$D,'[1]NS Vendor Details'!$H:$H,'G&amp;A Vendor x GL Analysis'!W$20,'[1]NS Vendor Details'!$L:$L,'G&amp;A Vendor x GL Analysis'!$D46,'[1]NS Vendor Details'!$O:$O,'G&amp;A Vendor x GL Analysis'!$F46,'[1]NS Vendor Details'!$N:$N,'G&amp;A Vendor x GL Analysis'!$C46,'[1]NS Vendor Details'!$I:$I,'G&amp;A Vendor x GL Analysis'!$E46),IF(W$15="Actual",SUMIFS('[1]NS Vendor Details'!$D:$D,'[1]NS Vendor Details'!$H:$H,'G&amp;A Vendor x GL Analysis'!W$20,'[1]NS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X46" s="17">
        <f>IF(AND(X$15="Actual",ISBLANK($E$8)),SUMIFS('[1]NS Vendor Details'!$D:$D,'[1]NS Vendor Details'!$H:$H,'G&amp;A Vendor x GL Analysis'!X$20,'[1]NS Vendor Details'!$L:$L,'G&amp;A Vendor x GL Analysis'!$D46,'[1]NS Vendor Details'!$O:$O,'G&amp;A Vendor x GL Analysis'!$F46,'[1]NS Vendor Details'!$N:$N,'G&amp;A Vendor x GL Analysis'!$C46,'[1]NS Vendor Details'!$I:$I,'G&amp;A Vendor x GL Analysis'!$E46),IF(X$15="Actual",SUMIFS('[1]NS Vendor Details'!$D:$D,'[1]NS Vendor Details'!$H:$H,'G&amp;A Vendor x GL Analysis'!X$20,'[1]NS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Y46" s="17">
        <f>IF(AND(Y$15="Actual",ISBLANK($E$8)),SUMIFS('[1]NS Vendor Details'!$D:$D,'[1]NS Vendor Details'!$H:$H,'G&amp;A Vendor x GL Analysis'!Y$20,'[1]NS Vendor Details'!$L:$L,'G&amp;A Vendor x GL Analysis'!$D46,'[1]NS Vendor Details'!$O:$O,'G&amp;A Vendor x GL Analysis'!$F46,'[1]NS Vendor Details'!$N:$N,'G&amp;A Vendor x GL Analysis'!$C46,'[1]NS Vendor Details'!$I:$I,'G&amp;A Vendor x GL Analysis'!$E46),IF(Y$15="Actual",SUMIFS('[1]NS Vendor Details'!$D:$D,'[1]NS Vendor Details'!$H:$H,'G&amp;A Vendor x GL Analysis'!Y$20,'[1]NS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335.32</v>
      </c>
      <c r="Z46" s="17">
        <f>IF(AND(Z$15="Actual",ISBLANK($E$8)),SUMIFS('[1]NS Vendor Details'!$D:$D,'[1]NS Vendor Details'!$H:$H,'G&amp;A Vendor x GL Analysis'!Z$20,'[1]NS Vendor Details'!$L:$L,'G&amp;A Vendor x GL Analysis'!$D46,'[1]NS Vendor Details'!$O:$O,'G&amp;A Vendor x GL Analysis'!$F46,'[1]NS Vendor Details'!$N:$N,'G&amp;A Vendor x GL Analysis'!$C46,'[1]NS Vendor Details'!$I:$I,'G&amp;A Vendor x GL Analysis'!$E46),IF(Z$15="Actual",SUMIFS('[1]NS Vendor Details'!$D:$D,'[1]NS Vendor Details'!$H:$H,'G&amp;A Vendor x GL Analysis'!Z$20,'[1]NS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AA46" s="17">
        <f>IF(AND(AA$15="Actual",ISBLANK($E$8)),SUMIFS('[1]NS Vendor Details'!$D:$D,'[1]NS Vendor Details'!$H:$H,'G&amp;A Vendor x GL Analysis'!AA$20,'[1]NS Vendor Details'!$L:$L,'G&amp;A Vendor x GL Analysis'!$D46,'[1]NS Vendor Details'!$O:$O,'G&amp;A Vendor x GL Analysis'!$F46,'[1]NS Vendor Details'!$N:$N,'G&amp;A Vendor x GL Analysis'!$C46,'[1]NS Vendor Details'!$I:$I,'G&amp;A Vendor x GL Analysis'!$E46),IF(AA$15="Actual",SUMIFS('[1]NS Vendor Details'!$D:$D,'[1]NS Vendor Details'!$H:$H,'G&amp;A Vendor x GL Analysis'!AA$20,'[1]NS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AB46" s="17">
        <f>IF(AND(AB$15="Actual",ISBLANK($E$8)),SUMIFS('[1]NS Vendor Details'!$D:$D,'[1]NS Vendor Details'!$H:$H,'G&amp;A Vendor x GL Analysis'!AB$20,'[1]NS Vendor Details'!$L:$L,'G&amp;A Vendor x GL Analysis'!$D46,'[1]NS Vendor Details'!$O:$O,'G&amp;A Vendor x GL Analysis'!$F46,'[1]NS Vendor Details'!$N:$N,'G&amp;A Vendor x GL Analysis'!$C46,'[1]NS Vendor Details'!$I:$I,'G&amp;A Vendor x GL Analysis'!$E46),IF(AB$15="Actual",SUMIFS('[1]NS Vendor Details'!$D:$D,'[1]NS Vendor Details'!$H:$H,'G&amp;A Vendor x GL Analysis'!AB$20,'[1]NS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AC46" s="18">
        <f>IF(AND(AC$15="Actual",ISBLANK($E$8)),SUMIFS('[1]NS Vendor Details'!$D:$D,'[1]NS Vendor Details'!$H:$H,'G&amp;A Vendor x GL Analysis'!AC$20,'[1]NS Vendor Details'!$L:$L,'G&amp;A Vendor x GL Analysis'!$D46,'[1]NS Vendor Details'!$O:$O,'G&amp;A Vendor x GL Analysis'!$F46,'[1]NS Vendor Details'!$N:$N,'G&amp;A Vendor x GL Analysis'!$C46,'[1]NS Vendor Details'!$I:$I,'G&amp;A Vendor x GL Analysis'!$E46),IF(AC$15="Actual",SUMIFS('[1]NS Vendor Details'!$D:$D,'[1]NS Vendor Details'!$H:$H,'G&amp;A Vendor x GL Analysis'!AC$20,'[1]NS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AD46" s="18">
        <f>IF(AND(AD$15="Actual",ISBLANK($E$8)),SUMIFS('[1]NS Vendor Details'!$D:$D,'[1]NS Vendor Details'!$H:$H,'G&amp;A Vendor x GL Analysis'!AD$20,'[1]NS Vendor Details'!$L:$L,'G&amp;A Vendor x GL Analysis'!$D46,'[1]NS Vendor Details'!$O:$O,'G&amp;A Vendor x GL Analysis'!$F46,'[1]NS Vendor Details'!$N:$N,'G&amp;A Vendor x GL Analysis'!$C46,'[1]NS Vendor Details'!$I:$I,'G&amp;A Vendor x GL Analysis'!$E46),IF(AD$15="Actual",SUMIFS('[1]NS Vendor Details'!$D:$D,'[1]NS Vendor Details'!$H:$H,'G&amp;A Vendor x GL Analysis'!AD$20,'[1]NS Vendor Details'!$L:$L,'G&amp;A Vendor x GL Analysis'!$D46,'[1]NS Vendor Details'!$O:$O,'G&amp;A Vendor x GL Analysis'!$F46,'[1]NS Vendor Details'!$N:$N,'G&amp;A Vendor x GL Analysis'!$C46,'[1]NS Vendor Details'!$K:$K,'G&amp;A Vendor x GL Analysis'!$E$8,'[1]NS Vendor Details'!$I:$I,'G&amp;A Vendor x GL Analysis'!$E46),0))</f>
        <v>0</v>
      </c>
      <c r="AF46" s="19">
        <f t="shared" si="9"/>
        <v>335.32</v>
      </c>
    </row>
    <row r="47" spans="1:32" outlineLevel="1">
      <c r="A47" s="8" t="str">
        <f t="shared" si="8"/>
        <v>T&amp;E6125 - Transportation and Fuel</v>
      </c>
      <c r="C47" s="8" t="s">
        <v>11</v>
      </c>
      <c r="D47" s="8" t="str">
        <f>D45</f>
        <v>T&amp;E</v>
      </c>
      <c r="E47" s="2" t="s">
        <v>40</v>
      </c>
      <c r="F47" s="2" t="s">
        <v>16</v>
      </c>
      <c r="G47" s="16">
        <f>IF(AND(G$15="Actual",ISBLANK($E$8)),SUMIFS('[1]NS Vendor Details'!$D:$D,'[1]NS Vendor Details'!$H:$H,'G&amp;A Vendor x GL Analysis'!G$20,'[1]NS Vendor Details'!$L:$L,'G&amp;A Vendor x GL Analysis'!$D47,'[1]NS Vendor Details'!$O:$O,'G&amp;A Vendor x GL Analysis'!$F47,'[1]NS Vendor Details'!$N:$N,'G&amp;A Vendor x GL Analysis'!$C47),IF(G$15="Actual",SUMIFS('[1]NS Vendor Details'!$D:$D,'[1]NS Vendor Details'!$H:$H,'G&amp;A Vendor x GL Analysis'!G$20,'[1]NS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8476.25</v>
      </c>
      <c r="H47" s="17">
        <f>IF(AND(H$15="Actual",ISBLANK($E$8)),SUMIFS('[1]NS Vendor Details'!$D:$D,'[1]NS Vendor Details'!$H:$H,'G&amp;A Vendor x GL Analysis'!H$20,'[1]NS Vendor Details'!$L:$L,'G&amp;A Vendor x GL Analysis'!$D47,'[1]NS Vendor Details'!$O:$O,'G&amp;A Vendor x GL Analysis'!$F47,'[1]NS Vendor Details'!$N:$N,'G&amp;A Vendor x GL Analysis'!$C47),IF(H$15="Actual",SUMIFS('[1]NS Vendor Details'!$D:$D,'[1]NS Vendor Details'!$H:$H,'G&amp;A Vendor x GL Analysis'!H$20,'[1]NS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7326.8300000000008</v>
      </c>
      <c r="I47" s="17">
        <f>IF(AND(I$15="Actual",ISBLANK($E$8)),SUMIFS('[1]NS Vendor Details'!$D:$D,'[1]NS Vendor Details'!$H:$H,'G&amp;A Vendor x GL Analysis'!I$20,'[1]NS Vendor Details'!$L:$L,'G&amp;A Vendor x GL Analysis'!$D47,'[1]NS Vendor Details'!$O:$O,'G&amp;A Vendor x GL Analysis'!$F47,'[1]NS Vendor Details'!$N:$N,'G&amp;A Vendor x GL Analysis'!$C47),IF(I$15="Actual",SUMIFS('[1]NS Vendor Details'!$D:$D,'[1]NS Vendor Details'!$H:$H,'G&amp;A Vendor x GL Analysis'!I$20,'[1]NS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16747.41</v>
      </c>
      <c r="J47" s="17">
        <f>IF(AND(J$15="Actual",ISBLANK($E$8)),SUMIFS('[1]NS Vendor Details'!$D:$D,'[1]NS Vendor Details'!$H:$H,'G&amp;A Vendor x GL Analysis'!J$20,'[1]NS Vendor Details'!$L:$L,'G&amp;A Vendor x GL Analysis'!$D47,'[1]NS Vendor Details'!$O:$O,'G&amp;A Vendor x GL Analysis'!$F47,'[1]NS Vendor Details'!$N:$N,'G&amp;A Vendor x GL Analysis'!$C47),IF(J$15="Actual",SUMIFS('[1]NS Vendor Details'!$D:$D,'[1]NS Vendor Details'!$H:$H,'G&amp;A Vendor x GL Analysis'!J$20,'[1]NS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6311.5900000000011</v>
      </c>
      <c r="K47" s="17">
        <f>IF(AND(K$15="Actual",ISBLANK($E$8)),SUMIFS('[1]NS Vendor Details'!$D:$D,'[1]NS Vendor Details'!$H:$H,'G&amp;A Vendor x GL Analysis'!K$20,'[1]NS Vendor Details'!$L:$L,'G&amp;A Vendor x GL Analysis'!$D47,'[1]NS Vendor Details'!$O:$O,'G&amp;A Vendor x GL Analysis'!$F47,'[1]NS Vendor Details'!$N:$N,'G&amp;A Vendor x GL Analysis'!$C47),IF(K$15="Actual",SUMIFS('[1]NS Vendor Details'!$D:$D,'[1]NS Vendor Details'!$H:$H,'G&amp;A Vendor x GL Analysis'!K$20,'[1]NS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7622.52</v>
      </c>
      <c r="L47" s="17">
        <f>IF(AND(L$15="Actual",ISBLANK($E$8)),SUMIFS('[1]NS Vendor Details'!$D:$D,'[1]NS Vendor Details'!$H:$H,'G&amp;A Vendor x GL Analysis'!L$20,'[1]NS Vendor Details'!$L:$L,'G&amp;A Vendor x GL Analysis'!$D47,'[1]NS Vendor Details'!$O:$O,'G&amp;A Vendor x GL Analysis'!$F47,'[1]NS Vendor Details'!$N:$N,'G&amp;A Vendor x GL Analysis'!$C47),IF(L$15="Actual",SUMIFS('[1]NS Vendor Details'!$D:$D,'[1]NS Vendor Details'!$H:$H,'G&amp;A Vendor x GL Analysis'!L$20,'[1]NS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3017.6699999999996</v>
      </c>
      <c r="M47" s="17">
        <f>IF(AND(M$15="Actual",ISBLANK($E$8)),SUMIFS('[1]NS Vendor Details'!$D:$D,'[1]NS Vendor Details'!$H:$H,'G&amp;A Vendor x GL Analysis'!M$20,'[1]NS Vendor Details'!$L:$L,'G&amp;A Vendor x GL Analysis'!$D47,'[1]NS Vendor Details'!$O:$O,'G&amp;A Vendor x GL Analysis'!$F47,'[1]NS Vendor Details'!$N:$N,'G&amp;A Vendor x GL Analysis'!$C47),IF(M$15="Actual",SUMIFS('[1]NS Vendor Details'!$D:$D,'[1]NS Vendor Details'!$H:$H,'G&amp;A Vendor x GL Analysis'!M$20,'[1]NS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5779.83</v>
      </c>
      <c r="N47" s="17">
        <f>IF(AND(N$15="Actual",ISBLANK($E$8)),SUMIFS('[1]NS Vendor Details'!$D:$D,'[1]NS Vendor Details'!$H:$H,'G&amp;A Vendor x GL Analysis'!N$20,'[1]NS Vendor Details'!$L:$L,'G&amp;A Vendor x GL Analysis'!$D47,'[1]NS Vendor Details'!$O:$O,'G&amp;A Vendor x GL Analysis'!$F47,'[1]NS Vendor Details'!$N:$N,'G&amp;A Vendor x GL Analysis'!$C47),IF(N$15="Actual",SUMIFS('[1]NS Vendor Details'!$D:$D,'[1]NS Vendor Details'!$H:$H,'G&amp;A Vendor x GL Analysis'!N$20,'[1]NS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20132.109999999997</v>
      </c>
      <c r="O47" s="17">
        <f>IF(AND(O$15="Actual",ISBLANK($E$8)),SUMIFS('[1]NS Vendor Details'!$D:$D,'[1]NS Vendor Details'!$H:$H,'G&amp;A Vendor x GL Analysis'!O$20,'[1]NS Vendor Details'!$L:$L,'G&amp;A Vendor x GL Analysis'!$D47,'[1]NS Vendor Details'!$O:$O,'G&amp;A Vendor x GL Analysis'!$F47,'[1]NS Vendor Details'!$N:$N,'G&amp;A Vendor x GL Analysis'!$C47),IF(O$15="Actual",SUMIFS('[1]NS Vendor Details'!$D:$D,'[1]NS Vendor Details'!$H:$H,'G&amp;A Vendor x GL Analysis'!O$20,'[1]NS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4175.83</v>
      </c>
      <c r="P47" s="17">
        <f>IF(AND(P$15="Actual",ISBLANK($E$8)),SUMIFS('[1]NS Vendor Details'!$D:$D,'[1]NS Vendor Details'!$H:$H,'G&amp;A Vendor x GL Analysis'!P$20,'[1]NS Vendor Details'!$L:$L,'G&amp;A Vendor x GL Analysis'!$D47,'[1]NS Vendor Details'!$O:$O,'G&amp;A Vendor x GL Analysis'!$F47,'[1]NS Vendor Details'!$N:$N,'G&amp;A Vendor x GL Analysis'!$C47),IF(P$15="Actual",SUMIFS('[1]NS Vendor Details'!$D:$D,'[1]NS Vendor Details'!$H:$H,'G&amp;A Vendor x GL Analysis'!P$20,'[1]NS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2776.9799999999996</v>
      </c>
      <c r="Q47" s="17">
        <f>IF(AND(Q$15="Actual",ISBLANK($E$8)),SUMIFS('[1]NS Vendor Details'!$D:$D,'[1]NS Vendor Details'!$H:$H,'G&amp;A Vendor x GL Analysis'!Q$20,'[1]NS Vendor Details'!$L:$L,'G&amp;A Vendor x GL Analysis'!$D47,'[1]NS Vendor Details'!$O:$O,'G&amp;A Vendor x GL Analysis'!$F47,'[1]NS Vendor Details'!$N:$N,'G&amp;A Vendor x GL Analysis'!$C47),IF(Q$15="Actual",SUMIFS('[1]NS Vendor Details'!$D:$D,'[1]NS Vendor Details'!$H:$H,'G&amp;A Vendor x GL Analysis'!Q$20,'[1]NS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21593.5</v>
      </c>
      <c r="R47" s="18">
        <f>IF(AND(R$15="Actual",ISBLANK($E$8)),SUMIFS('[1]NS Vendor Details'!$D:$D,'[1]NS Vendor Details'!$H:$H,'G&amp;A Vendor x GL Analysis'!R$20,'[1]NS Vendor Details'!$L:$L,'G&amp;A Vendor x GL Analysis'!$D47,'[1]NS Vendor Details'!$O:$O,'G&amp;A Vendor x GL Analysis'!$F47,'[1]NS Vendor Details'!$N:$N,'G&amp;A Vendor x GL Analysis'!$C47),IF(R$15="Actual",SUMIFS('[1]NS Vendor Details'!$D:$D,'[1]NS Vendor Details'!$H:$H,'G&amp;A Vendor x GL Analysis'!R$20,'[1]NS Vendor Details'!$L:$L,'G&amp;A Vendor x GL Analysis'!$D47,'[1]NS Vendor Details'!$O:$O,'G&amp;A Vendor x GL Analysis'!$F47,'[1]NS Vendor Details'!$N:$N,'G&amp;A Vendor x GL Analysis'!$C47,'[1]NS Vendor Details'!$K:$K,'G&amp;A Vendor x GL Analysis'!$E$8),0))</f>
        <v>13925.030000000002</v>
      </c>
      <c r="S47" s="16">
        <f>IF(AND(S$15="Actual",ISBLANK($E$8)),SUMIFS('[1]NS Vendor Details'!$D:$D,'[1]NS Vendor Details'!$H:$H,'G&amp;A Vendor x GL Analysis'!S$20,'[1]NS Vendor Details'!$L:$L,'G&amp;A Vendor x GL Analysis'!$D47,'[1]NS Vendor Details'!$O:$O,'G&amp;A Vendor x GL Analysis'!$F47,'[1]NS Vendor Details'!$N:$N,'G&amp;A Vendor x GL Analysis'!$C47,'[1]NS Vendor Details'!$I:$I,'G&amp;A Vendor x GL Analysis'!$E47),IF(S$15="Actual",SUMIFS('[1]NS Vendor Details'!$D:$D,'[1]NS Vendor Details'!$H:$H,'G&amp;A Vendor x GL Analysis'!S$20,'[1]NS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1163.8600000000004</v>
      </c>
      <c r="T47" s="17">
        <f>IF(AND(T$15="Actual",ISBLANK($E$8)),SUMIFS('[1]NS Vendor Details'!$D:$D,'[1]NS Vendor Details'!$H:$H,'G&amp;A Vendor x GL Analysis'!T$20,'[1]NS Vendor Details'!$L:$L,'G&amp;A Vendor x GL Analysis'!$D47,'[1]NS Vendor Details'!$O:$O,'G&amp;A Vendor x GL Analysis'!$F47,'[1]NS Vendor Details'!$N:$N,'G&amp;A Vendor x GL Analysis'!$C47,'[1]NS Vendor Details'!$I:$I,'G&amp;A Vendor x GL Analysis'!$E47),IF(T$15="Actual",SUMIFS('[1]NS Vendor Details'!$D:$D,'[1]NS Vendor Details'!$H:$H,'G&amp;A Vendor x GL Analysis'!T$20,'[1]NS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985.1400000000001</v>
      </c>
      <c r="U47" s="17">
        <f>IF(AND(U$15="Actual",ISBLANK($E$8)),SUMIFS('[1]NS Vendor Details'!$D:$D,'[1]NS Vendor Details'!$H:$H,'G&amp;A Vendor x GL Analysis'!U$20,'[1]NS Vendor Details'!$L:$L,'G&amp;A Vendor x GL Analysis'!$D47,'[1]NS Vendor Details'!$O:$O,'G&amp;A Vendor x GL Analysis'!$F47,'[1]NS Vendor Details'!$N:$N,'G&amp;A Vendor x GL Analysis'!$C47,'[1]NS Vendor Details'!$I:$I,'G&amp;A Vendor x GL Analysis'!$E47),IF(U$15="Actual",SUMIFS('[1]NS Vendor Details'!$D:$D,'[1]NS Vendor Details'!$H:$H,'G&amp;A Vendor x GL Analysis'!U$20,'[1]NS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954.93</v>
      </c>
      <c r="V47" s="17">
        <f>IF(AND(V$15="Actual",ISBLANK($E$8)),SUMIFS('[1]NS Vendor Details'!$D:$D,'[1]NS Vendor Details'!$H:$H,'G&amp;A Vendor x GL Analysis'!V$20,'[1]NS Vendor Details'!$L:$L,'G&amp;A Vendor x GL Analysis'!$D47,'[1]NS Vendor Details'!$O:$O,'G&amp;A Vendor x GL Analysis'!$F47,'[1]NS Vendor Details'!$N:$N,'G&amp;A Vendor x GL Analysis'!$C47,'[1]NS Vendor Details'!$I:$I,'G&amp;A Vendor x GL Analysis'!$E47),IF(V$15="Actual",SUMIFS('[1]NS Vendor Details'!$D:$D,'[1]NS Vendor Details'!$H:$H,'G&amp;A Vendor x GL Analysis'!V$20,'[1]NS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579.0200000000001</v>
      </c>
      <c r="W47" s="17">
        <f>IF(AND(W$15="Actual",ISBLANK($E$8)),SUMIFS('[1]NS Vendor Details'!$D:$D,'[1]NS Vendor Details'!$H:$H,'G&amp;A Vendor x GL Analysis'!W$20,'[1]NS Vendor Details'!$L:$L,'G&amp;A Vendor x GL Analysis'!$D47,'[1]NS Vendor Details'!$O:$O,'G&amp;A Vendor x GL Analysis'!$F47,'[1]NS Vendor Details'!$N:$N,'G&amp;A Vendor x GL Analysis'!$C47,'[1]NS Vendor Details'!$I:$I,'G&amp;A Vendor x GL Analysis'!$E47),IF(W$15="Actual",SUMIFS('[1]NS Vendor Details'!$D:$D,'[1]NS Vendor Details'!$H:$H,'G&amp;A Vendor x GL Analysis'!W$20,'[1]NS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410.67</v>
      </c>
      <c r="X47" s="17">
        <f>IF(AND(X$15="Actual",ISBLANK($E$8)),SUMIFS('[1]NS Vendor Details'!$D:$D,'[1]NS Vendor Details'!$H:$H,'G&amp;A Vendor x GL Analysis'!X$20,'[1]NS Vendor Details'!$L:$L,'G&amp;A Vendor x GL Analysis'!$D47,'[1]NS Vendor Details'!$O:$O,'G&amp;A Vendor x GL Analysis'!$F47,'[1]NS Vendor Details'!$N:$N,'G&amp;A Vendor x GL Analysis'!$C47,'[1]NS Vendor Details'!$I:$I,'G&amp;A Vendor x GL Analysis'!$E47),IF(X$15="Actual",SUMIFS('[1]NS Vendor Details'!$D:$D,'[1]NS Vendor Details'!$H:$H,'G&amp;A Vendor x GL Analysis'!X$20,'[1]NS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311.91000000000003</v>
      </c>
      <c r="Y47" s="17">
        <f>IF(AND(Y$15="Actual",ISBLANK($E$8)),SUMIFS('[1]NS Vendor Details'!$D:$D,'[1]NS Vendor Details'!$H:$H,'G&amp;A Vendor x GL Analysis'!Y$20,'[1]NS Vendor Details'!$L:$L,'G&amp;A Vendor x GL Analysis'!$D47,'[1]NS Vendor Details'!$O:$O,'G&amp;A Vendor x GL Analysis'!$F47,'[1]NS Vendor Details'!$N:$N,'G&amp;A Vendor x GL Analysis'!$C47,'[1]NS Vendor Details'!$I:$I,'G&amp;A Vendor x GL Analysis'!$E47),IF(Y$15="Actual",SUMIFS('[1]NS Vendor Details'!$D:$D,'[1]NS Vendor Details'!$H:$H,'G&amp;A Vendor x GL Analysis'!Y$20,'[1]NS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0</v>
      </c>
      <c r="Z47" s="17">
        <f>IF(AND(Z$15="Actual",ISBLANK($E$8)),SUMIFS('[1]NS Vendor Details'!$D:$D,'[1]NS Vendor Details'!$H:$H,'G&amp;A Vendor x GL Analysis'!Z$20,'[1]NS Vendor Details'!$L:$L,'G&amp;A Vendor x GL Analysis'!$D47,'[1]NS Vendor Details'!$O:$O,'G&amp;A Vendor x GL Analysis'!$F47,'[1]NS Vendor Details'!$N:$N,'G&amp;A Vendor x GL Analysis'!$C47,'[1]NS Vendor Details'!$I:$I,'G&amp;A Vendor x GL Analysis'!$E47),IF(Z$15="Actual",SUMIFS('[1]NS Vendor Details'!$D:$D,'[1]NS Vendor Details'!$H:$H,'G&amp;A Vendor x GL Analysis'!Z$20,'[1]NS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58.9</v>
      </c>
      <c r="AA47" s="17">
        <f>IF(AND(AA$15="Actual",ISBLANK($E$8)),SUMIFS('[1]NS Vendor Details'!$D:$D,'[1]NS Vendor Details'!$H:$H,'G&amp;A Vendor x GL Analysis'!AA$20,'[1]NS Vendor Details'!$L:$L,'G&amp;A Vendor x GL Analysis'!$D47,'[1]NS Vendor Details'!$O:$O,'G&amp;A Vendor x GL Analysis'!$F47,'[1]NS Vendor Details'!$N:$N,'G&amp;A Vendor x GL Analysis'!$C47,'[1]NS Vendor Details'!$I:$I,'G&amp;A Vendor x GL Analysis'!$E47),IF(AA$15="Actual",SUMIFS('[1]NS Vendor Details'!$D:$D,'[1]NS Vendor Details'!$H:$H,'G&amp;A Vendor x GL Analysis'!AA$20,'[1]NS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114.16</v>
      </c>
      <c r="AB47" s="17">
        <f>IF(AND(AB$15="Actual",ISBLANK($E$8)),SUMIFS('[1]NS Vendor Details'!$D:$D,'[1]NS Vendor Details'!$H:$H,'G&amp;A Vendor x GL Analysis'!AB$20,'[1]NS Vendor Details'!$L:$L,'G&amp;A Vendor x GL Analysis'!$D47,'[1]NS Vendor Details'!$O:$O,'G&amp;A Vendor x GL Analysis'!$F47,'[1]NS Vendor Details'!$N:$N,'G&amp;A Vendor x GL Analysis'!$C47,'[1]NS Vendor Details'!$I:$I,'G&amp;A Vendor x GL Analysis'!$E47),IF(AB$15="Actual",SUMIFS('[1]NS Vendor Details'!$D:$D,'[1]NS Vendor Details'!$H:$H,'G&amp;A Vendor x GL Analysis'!AB$20,'[1]NS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147.1</v>
      </c>
      <c r="AC47" s="18">
        <f>IF(AND(AC$15="Actual",ISBLANK($E$8)),SUMIFS('[1]NS Vendor Details'!$D:$D,'[1]NS Vendor Details'!$H:$H,'G&amp;A Vendor x GL Analysis'!AC$20,'[1]NS Vendor Details'!$L:$L,'G&amp;A Vendor x GL Analysis'!$D47,'[1]NS Vendor Details'!$O:$O,'G&amp;A Vendor x GL Analysis'!$F47,'[1]NS Vendor Details'!$N:$N,'G&amp;A Vendor x GL Analysis'!$C47,'[1]NS Vendor Details'!$I:$I,'G&amp;A Vendor x GL Analysis'!$E47),IF(AC$15="Actual",SUMIFS('[1]NS Vendor Details'!$D:$D,'[1]NS Vendor Details'!$H:$H,'G&amp;A Vendor x GL Analysis'!AC$20,'[1]NS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0</v>
      </c>
      <c r="AD47" s="18">
        <f>IF(AND(AD$15="Actual",ISBLANK($E$8)),SUMIFS('[1]NS Vendor Details'!$D:$D,'[1]NS Vendor Details'!$H:$H,'G&amp;A Vendor x GL Analysis'!AD$20,'[1]NS Vendor Details'!$L:$L,'G&amp;A Vendor x GL Analysis'!$D47,'[1]NS Vendor Details'!$O:$O,'G&amp;A Vendor x GL Analysis'!$F47,'[1]NS Vendor Details'!$N:$N,'G&amp;A Vendor x GL Analysis'!$C47,'[1]NS Vendor Details'!$I:$I,'G&amp;A Vendor x GL Analysis'!$E47),IF(AD$15="Actual",SUMIFS('[1]NS Vendor Details'!$D:$D,'[1]NS Vendor Details'!$H:$H,'G&amp;A Vendor x GL Analysis'!AD$20,'[1]NS Vendor Details'!$L:$L,'G&amp;A Vendor x GL Analysis'!$D47,'[1]NS Vendor Details'!$O:$O,'G&amp;A Vendor x GL Analysis'!$F47,'[1]NS Vendor Details'!$N:$N,'G&amp;A Vendor x GL Analysis'!$C47,'[1]NS Vendor Details'!$K:$K,'G&amp;A Vendor x GL Analysis'!$E$8,'[1]NS Vendor Details'!$I:$I,'G&amp;A Vendor x GL Analysis'!$E47),0))</f>
        <v>0</v>
      </c>
      <c r="AF47" s="19">
        <f t="shared" si="9"/>
        <v>4725.6900000000005</v>
      </c>
    </row>
    <row r="48" spans="1:32" ht="15" outlineLevel="1">
      <c r="A48" s="8" t="str">
        <f t="shared" si="8"/>
        <v>T&amp;E6125 - Transportation and Fuel</v>
      </c>
      <c r="C48" s="8" t="s">
        <v>11</v>
      </c>
      <c r="D48" s="8" t="str">
        <f t="shared" si="13"/>
        <v>T&amp;E</v>
      </c>
      <c r="E48" s="2" t="s">
        <v>40</v>
      </c>
      <c r="F48" s="2" t="s">
        <v>37</v>
      </c>
      <c r="G48" s="16">
        <f>IF(AND(G$15="Actual",ISBLANK($E$8)),SUMIFS('[1]NS Vendor Details'!$D:$D,'[1]NS Vendor Details'!$H:$H,'G&amp;A Vendor x GL Analysis'!G$20,'[1]NS Vendor Details'!$L:$L,'G&amp;A Vendor x GL Analysis'!$D48,'[1]NS Vendor Details'!$O:$O,'G&amp;A Vendor x GL Analysis'!$F48,'[1]NS Vendor Details'!$N:$N,'G&amp;A Vendor x GL Analysis'!$C48),IF(G$15="Actual",SUMIFS('[1]NS Vendor Details'!$D:$D,'[1]NS Vendor Details'!$H:$H,'G&amp;A Vendor x GL Analysis'!G$20,'[1]NS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0</v>
      </c>
      <c r="H48" s="17">
        <f>IF(AND(H$15="Actual",ISBLANK($E$8)),SUMIFS('[1]NS Vendor Details'!$D:$D,'[1]NS Vendor Details'!$H:$H,'G&amp;A Vendor x GL Analysis'!H$20,'[1]NS Vendor Details'!$L:$L,'G&amp;A Vendor x GL Analysis'!$D48,'[1]NS Vendor Details'!$O:$O,'G&amp;A Vendor x GL Analysis'!$F48,'[1]NS Vendor Details'!$N:$N,'G&amp;A Vendor x GL Analysis'!$C48),IF(H$15="Actual",SUMIFS('[1]NS Vendor Details'!$D:$D,'[1]NS Vendor Details'!$H:$H,'G&amp;A Vendor x GL Analysis'!H$20,'[1]NS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735.03</v>
      </c>
      <c r="I48" s="17">
        <f>IF(AND(I$15="Actual",ISBLANK($E$8)),SUMIFS('[1]NS Vendor Details'!$D:$D,'[1]NS Vendor Details'!$H:$H,'G&amp;A Vendor x GL Analysis'!I$20,'[1]NS Vendor Details'!$L:$L,'G&amp;A Vendor x GL Analysis'!$D48,'[1]NS Vendor Details'!$O:$O,'G&amp;A Vendor x GL Analysis'!$F48,'[1]NS Vendor Details'!$N:$N,'G&amp;A Vendor x GL Analysis'!$C48),IF(I$15="Actual",SUMIFS('[1]NS Vendor Details'!$D:$D,'[1]NS Vendor Details'!$H:$H,'G&amp;A Vendor x GL Analysis'!I$20,'[1]NS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1894.2200000000003</v>
      </c>
      <c r="J48" s="17">
        <f>IF(AND(J$15="Actual",ISBLANK($E$8)),SUMIFS('[1]NS Vendor Details'!$D:$D,'[1]NS Vendor Details'!$H:$H,'G&amp;A Vendor x GL Analysis'!J$20,'[1]NS Vendor Details'!$L:$L,'G&amp;A Vendor x GL Analysis'!$D48,'[1]NS Vendor Details'!$O:$O,'G&amp;A Vendor x GL Analysis'!$F48,'[1]NS Vendor Details'!$N:$N,'G&amp;A Vendor x GL Analysis'!$C48),IF(J$15="Actual",SUMIFS('[1]NS Vendor Details'!$D:$D,'[1]NS Vendor Details'!$H:$H,'G&amp;A Vendor x GL Analysis'!J$20,'[1]NS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1892.87</v>
      </c>
      <c r="K48" s="17">
        <f>IF(AND(K$15="Actual",ISBLANK($E$8)),SUMIFS('[1]NS Vendor Details'!$D:$D,'[1]NS Vendor Details'!$H:$H,'G&amp;A Vendor x GL Analysis'!K$20,'[1]NS Vendor Details'!$L:$L,'G&amp;A Vendor x GL Analysis'!$D48,'[1]NS Vendor Details'!$O:$O,'G&amp;A Vendor x GL Analysis'!$F48,'[1]NS Vendor Details'!$N:$N,'G&amp;A Vendor x GL Analysis'!$C48),IF(K$15="Actual",SUMIFS('[1]NS Vendor Details'!$D:$D,'[1]NS Vendor Details'!$H:$H,'G&amp;A Vendor x GL Analysis'!K$20,'[1]NS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0</v>
      </c>
      <c r="L48" s="17">
        <f>IF(AND(L$15="Actual",ISBLANK($E$8)),SUMIFS('[1]NS Vendor Details'!$D:$D,'[1]NS Vendor Details'!$H:$H,'G&amp;A Vendor x GL Analysis'!L$20,'[1]NS Vendor Details'!$L:$L,'G&amp;A Vendor x GL Analysis'!$D48,'[1]NS Vendor Details'!$O:$O,'G&amp;A Vendor x GL Analysis'!$F48,'[1]NS Vendor Details'!$N:$N,'G&amp;A Vendor x GL Analysis'!$C48),IF(L$15="Actual",SUMIFS('[1]NS Vendor Details'!$D:$D,'[1]NS Vendor Details'!$H:$H,'G&amp;A Vendor x GL Analysis'!L$20,'[1]NS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0</v>
      </c>
      <c r="M48" s="17">
        <f>IF(AND(M$15="Actual",ISBLANK($E$8)),SUMIFS('[1]NS Vendor Details'!$D:$D,'[1]NS Vendor Details'!$H:$H,'G&amp;A Vendor x GL Analysis'!M$20,'[1]NS Vendor Details'!$L:$L,'G&amp;A Vendor x GL Analysis'!$D48,'[1]NS Vendor Details'!$O:$O,'G&amp;A Vendor x GL Analysis'!$F48,'[1]NS Vendor Details'!$N:$N,'G&amp;A Vendor x GL Analysis'!$C48),IF(M$15="Actual",SUMIFS('[1]NS Vendor Details'!$D:$D,'[1]NS Vendor Details'!$H:$H,'G&amp;A Vendor x GL Analysis'!M$20,'[1]NS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0</v>
      </c>
      <c r="N48" s="17">
        <f>IF(AND(N$15="Actual",ISBLANK($E$8)),SUMIFS('[1]NS Vendor Details'!$D:$D,'[1]NS Vendor Details'!$H:$H,'G&amp;A Vendor x GL Analysis'!N$20,'[1]NS Vendor Details'!$L:$L,'G&amp;A Vendor x GL Analysis'!$D48,'[1]NS Vendor Details'!$O:$O,'G&amp;A Vendor x GL Analysis'!$F48,'[1]NS Vendor Details'!$N:$N,'G&amp;A Vendor x GL Analysis'!$C48),IF(N$15="Actual",SUMIFS('[1]NS Vendor Details'!$D:$D,'[1]NS Vendor Details'!$H:$H,'G&amp;A Vendor x GL Analysis'!N$20,'[1]NS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1100.1299999999999</v>
      </c>
      <c r="O48" s="17">
        <f>IF(AND(O$15="Actual",ISBLANK($E$8)),SUMIFS('[1]NS Vendor Details'!$D:$D,'[1]NS Vendor Details'!$H:$H,'G&amp;A Vendor x GL Analysis'!O$20,'[1]NS Vendor Details'!$L:$L,'G&amp;A Vendor x GL Analysis'!$D48,'[1]NS Vendor Details'!$O:$O,'G&amp;A Vendor x GL Analysis'!$F48,'[1]NS Vendor Details'!$N:$N,'G&amp;A Vendor x GL Analysis'!$C48),IF(O$15="Actual",SUMIFS('[1]NS Vendor Details'!$D:$D,'[1]NS Vendor Details'!$H:$H,'G&amp;A Vendor x GL Analysis'!O$20,'[1]NS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0</v>
      </c>
      <c r="P48" s="17">
        <f>IF(AND(P$15="Actual",ISBLANK($E$8)),SUMIFS('[1]NS Vendor Details'!$D:$D,'[1]NS Vendor Details'!$H:$H,'G&amp;A Vendor x GL Analysis'!P$20,'[1]NS Vendor Details'!$L:$L,'G&amp;A Vendor x GL Analysis'!$D48,'[1]NS Vendor Details'!$O:$O,'G&amp;A Vendor x GL Analysis'!$F48,'[1]NS Vendor Details'!$N:$N,'G&amp;A Vendor x GL Analysis'!$C48),IF(P$15="Actual",SUMIFS('[1]NS Vendor Details'!$D:$D,'[1]NS Vendor Details'!$H:$H,'G&amp;A Vendor x GL Analysis'!P$20,'[1]NS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0</v>
      </c>
      <c r="Q48" s="17">
        <f>IF(AND(Q$15="Actual",ISBLANK($E$8)),SUMIFS('[1]NS Vendor Details'!$D:$D,'[1]NS Vendor Details'!$H:$H,'G&amp;A Vendor x GL Analysis'!Q$20,'[1]NS Vendor Details'!$L:$L,'G&amp;A Vendor x GL Analysis'!$D48,'[1]NS Vendor Details'!$O:$O,'G&amp;A Vendor x GL Analysis'!$F48,'[1]NS Vendor Details'!$N:$N,'G&amp;A Vendor x GL Analysis'!$C48),IF(Q$15="Actual",SUMIFS('[1]NS Vendor Details'!$D:$D,'[1]NS Vendor Details'!$H:$H,'G&amp;A Vendor x GL Analysis'!Q$20,'[1]NS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0</v>
      </c>
      <c r="R48" s="18">
        <f>IF(AND(R$15="Actual",ISBLANK($E$8)),SUMIFS('[1]NS Vendor Details'!$D:$D,'[1]NS Vendor Details'!$H:$H,'G&amp;A Vendor x GL Analysis'!R$20,'[1]NS Vendor Details'!$L:$L,'G&amp;A Vendor x GL Analysis'!$D48,'[1]NS Vendor Details'!$O:$O,'G&amp;A Vendor x GL Analysis'!$F48,'[1]NS Vendor Details'!$N:$N,'G&amp;A Vendor x GL Analysis'!$C48),IF(R$15="Actual",SUMIFS('[1]NS Vendor Details'!$D:$D,'[1]NS Vendor Details'!$H:$H,'G&amp;A Vendor x GL Analysis'!R$20,'[1]NS Vendor Details'!$L:$L,'G&amp;A Vendor x GL Analysis'!$D48,'[1]NS Vendor Details'!$O:$O,'G&amp;A Vendor x GL Analysis'!$F48,'[1]NS Vendor Details'!$N:$N,'G&amp;A Vendor x GL Analysis'!$C48,'[1]NS Vendor Details'!$K:$K,'G&amp;A Vendor x GL Analysis'!$E$8),0))</f>
        <v>0</v>
      </c>
      <c r="S48" s="16">
        <f>IF(AND(S$15="Actual",ISBLANK($E$8)),SUMIFS('[1]NS Vendor Details'!$D:$D,'[1]NS Vendor Details'!$H:$H,'G&amp;A Vendor x GL Analysis'!S$20,'[1]NS Vendor Details'!$L:$L,'G&amp;A Vendor x GL Analysis'!$D48,'[1]NS Vendor Details'!$O:$O,'G&amp;A Vendor x GL Analysis'!$F48,'[1]NS Vendor Details'!$N:$N,'G&amp;A Vendor x GL Analysis'!$C48,'[1]NS Vendor Details'!$I:$I,'G&amp;A Vendor x GL Analysis'!$E48),IF(S$15="Actual",SUMIFS('[1]NS Vendor Details'!$D:$D,'[1]NS Vendor Details'!$H:$H,'G&amp;A Vendor x GL Analysis'!S$20,'[1]NS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T48" s="17">
        <f>IF(AND(T$15="Actual",ISBLANK($E$8)),SUMIFS('[1]NS Vendor Details'!$D:$D,'[1]NS Vendor Details'!$H:$H,'G&amp;A Vendor x GL Analysis'!T$20,'[1]NS Vendor Details'!$L:$L,'G&amp;A Vendor x GL Analysis'!$D48,'[1]NS Vendor Details'!$O:$O,'G&amp;A Vendor x GL Analysis'!$F48,'[1]NS Vendor Details'!$N:$N,'G&amp;A Vendor x GL Analysis'!$C48,'[1]NS Vendor Details'!$I:$I,'G&amp;A Vendor x GL Analysis'!$E48),IF(T$15="Actual",SUMIFS('[1]NS Vendor Details'!$D:$D,'[1]NS Vendor Details'!$H:$H,'G&amp;A Vendor x GL Analysis'!T$20,'[1]NS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U48" s="17">
        <f>IF(AND(U$15="Actual",ISBLANK($E$8)),SUMIFS('[1]NS Vendor Details'!$D:$D,'[1]NS Vendor Details'!$H:$H,'G&amp;A Vendor x GL Analysis'!U$20,'[1]NS Vendor Details'!$L:$L,'G&amp;A Vendor x GL Analysis'!$D48,'[1]NS Vendor Details'!$O:$O,'G&amp;A Vendor x GL Analysis'!$F48,'[1]NS Vendor Details'!$N:$N,'G&amp;A Vendor x GL Analysis'!$C48,'[1]NS Vendor Details'!$I:$I,'G&amp;A Vendor x GL Analysis'!$E48),IF(U$15="Actual",SUMIFS('[1]NS Vendor Details'!$D:$D,'[1]NS Vendor Details'!$H:$H,'G&amp;A Vendor x GL Analysis'!U$20,'[1]NS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V48" s="17">
        <f>IF(AND(V$15="Actual",ISBLANK($E$8)),SUMIFS('[1]NS Vendor Details'!$D:$D,'[1]NS Vendor Details'!$H:$H,'G&amp;A Vendor x GL Analysis'!V$20,'[1]NS Vendor Details'!$L:$L,'G&amp;A Vendor x GL Analysis'!$D48,'[1]NS Vendor Details'!$O:$O,'G&amp;A Vendor x GL Analysis'!$F48,'[1]NS Vendor Details'!$N:$N,'G&amp;A Vendor x GL Analysis'!$C48,'[1]NS Vendor Details'!$I:$I,'G&amp;A Vendor x GL Analysis'!$E48),IF(V$15="Actual",SUMIFS('[1]NS Vendor Details'!$D:$D,'[1]NS Vendor Details'!$H:$H,'G&amp;A Vendor x GL Analysis'!V$20,'[1]NS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W48" s="17">
        <f>IF(AND(W$15="Actual",ISBLANK($E$8)),SUMIFS('[1]NS Vendor Details'!$D:$D,'[1]NS Vendor Details'!$H:$H,'G&amp;A Vendor x GL Analysis'!W$20,'[1]NS Vendor Details'!$L:$L,'G&amp;A Vendor x GL Analysis'!$D48,'[1]NS Vendor Details'!$O:$O,'G&amp;A Vendor x GL Analysis'!$F48,'[1]NS Vendor Details'!$N:$N,'G&amp;A Vendor x GL Analysis'!$C48,'[1]NS Vendor Details'!$I:$I,'G&amp;A Vendor x GL Analysis'!$E48),IF(W$15="Actual",SUMIFS('[1]NS Vendor Details'!$D:$D,'[1]NS Vendor Details'!$H:$H,'G&amp;A Vendor x GL Analysis'!W$20,'[1]NS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418</v>
      </c>
      <c r="X48" s="17">
        <f>IF(AND(X$15="Actual",ISBLANK($E$8)),SUMIFS('[1]NS Vendor Details'!$D:$D,'[1]NS Vendor Details'!$H:$H,'G&amp;A Vendor x GL Analysis'!X$20,'[1]NS Vendor Details'!$L:$L,'G&amp;A Vendor x GL Analysis'!$D48,'[1]NS Vendor Details'!$O:$O,'G&amp;A Vendor x GL Analysis'!$F48,'[1]NS Vendor Details'!$N:$N,'G&amp;A Vendor x GL Analysis'!$C48,'[1]NS Vendor Details'!$I:$I,'G&amp;A Vendor x GL Analysis'!$E48),IF(X$15="Actual",SUMIFS('[1]NS Vendor Details'!$D:$D,'[1]NS Vendor Details'!$H:$H,'G&amp;A Vendor x GL Analysis'!X$20,'[1]NS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Y48" s="17">
        <f>IF(AND(Y$15="Actual",ISBLANK($E$8)),SUMIFS('[1]NS Vendor Details'!$D:$D,'[1]NS Vendor Details'!$H:$H,'G&amp;A Vendor x GL Analysis'!Y$20,'[1]NS Vendor Details'!$L:$L,'G&amp;A Vendor x GL Analysis'!$D48,'[1]NS Vendor Details'!$O:$O,'G&amp;A Vendor x GL Analysis'!$F48,'[1]NS Vendor Details'!$N:$N,'G&amp;A Vendor x GL Analysis'!$C48,'[1]NS Vendor Details'!$I:$I,'G&amp;A Vendor x GL Analysis'!$E48),IF(Y$15="Actual",SUMIFS('[1]NS Vendor Details'!$D:$D,'[1]NS Vendor Details'!$H:$H,'G&amp;A Vendor x GL Analysis'!Y$20,'[1]NS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Z48" s="17">
        <f>IF(AND(Z$15="Actual",ISBLANK($E$8)),SUMIFS('[1]NS Vendor Details'!$D:$D,'[1]NS Vendor Details'!$H:$H,'G&amp;A Vendor x GL Analysis'!Z$20,'[1]NS Vendor Details'!$L:$L,'G&amp;A Vendor x GL Analysis'!$D48,'[1]NS Vendor Details'!$O:$O,'G&amp;A Vendor x GL Analysis'!$F48,'[1]NS Vendor Details'!$N:$N,'G&amp;A Vendor x GL Analysis'!$C48,'[1]NS Vendor Details'!$I:$I,'G&amp;A Vendor x GL Analysis'!$E48),IF(Z$15="Actual",SUMIFS('[1]NS Vendor Details'!$D:$D,'[1]NS Vendor Details'!$H:$H,'G&amp;A Vendor x GL Analysis'!Z$20,'[1]NS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AA48" s="17">
        <f>IF(AND(AA$15="Actual",ISBLANK($E$8)),SUMIFS('[1]NS Vendor Details'!$D:$D,'[1]NS Vendor Details'!$H:$H,'G&amp;A Vendor x GL Analysis'!AA$20,'[1]NS Vendor Details'!$L:$L,'G&amp;A Vendor x GL Analysis'!$D48,'[1]NS Vendor Details'!$O:$O,'G&amp;A Vendor x GL Analysis'!$F48,'[1]NS Vendor Details'!$N:$N,'G&amp;A Vendor x GL Analysis'!$C48,'[1]NS Vendor Details'!$I:$I,'G&amp;A Vendor x GL Analysis'!$E48),IF(AA$15="Actual",SUMIFS('[1]NS Vendor Details'!$D:$D,'[1]NS Vendor Details'!$H:$H,'G&amp;A Vendor x GL Analysis'!AA$20,'[1]NS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AB48" s="17">
        <f>IF(AND(AB$15="Actual",ISBLANK($E$8)),SUMIFS('[1]NS Vendor Details'!$D:$D,'[1]NS Vendor Details'!$H:$H,'G&amp;A Vendor x GL Analysis'!AB$20,'[1]NS Vendor Details'!$L:$L,'G&amp;A Vendor x GL Analysis'!$D48,'[1]NS Vendor Details'!$O:$O,'G&amp;A Vendor x GL Analysis'!$F48,'[1]NS Vendor Details'!$N:$N,'G&amp;A Vendor x GL Analysis'!$C48,'[1]NS Vendor Details'!$I:$I,'G&amp;A Vendor x GL Analysis'!$E48),IF(AB$15="Actual",SUMIFS('[1]NS Vendor Details'!$D:$D,'[1]NS Vendor Details'!$H:$H,'G&amp;A Vendor x GL Analysis'!AB$20,'[1]NS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AC48" s="18">
        <f>IF(AND(AC$15="Actual",ISBLANK($E$8)),SUMIFS('[1]NS Vendor Details'!$D:$D,'[1]NS Vendor Details'!$H:$H,'G&amp;A Vendor x GL Analysis'!AC$20,'[1]NS Vendor Details'!$L:$L,'G&amp;A Vendor x GL Analysis'!$D48,'[1]NS Vendor Details'!$O:$O,'G&amp;A Vendor x GL Analysis'!$F48,'[1]NS Vendor Details'!$N:$N,'G&amp;A Vendor x GL Analysis'!$C48,'[1]NS Vendor Details'!$I:$I,'G&amp;A Vendor x GL Analysis'!$E48),IF(AC$15="Actual",SUMIFS('[1]NS Vendor Details'!$D:$D,'[1]NS Vendor Details'!$H:$H,'G&amp;A Vendor x GL Analysis'!AC$20,'[1]NS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464.25</v>
      </c>
      <c r="AD48" s="18">
        <f>IF(AND(AD$15="Actual",ISBLANK($E$8)),SUMIFS('[1]NS Vendor Details'!$D:$D,'[1]NS Vendor Details'!$H:$H,'G&amp;A Vendor x GL Analysis'!AD$20,'[1]NS Vendor Details'!$L:$L,'G&amp;A Vendor x GL Analysis'!$D48,'[1]NS Vendor Details'!$O:$O,'G&amp;A Vendor x GL Analysis'!$F48,'[1]NS Vendor Details'!$N:$N,'G&amp;A Vendor x GL Analysis'!$C48,'[1]NS Vendor Details'!$I:$I,'G&amp;A Vendor x GL Analysis'!$E48),IF(AD$15="Actual",SUMIFS('[1]NS Vendor Details'!$D:$D,'[1]NS Vendor Details'!$H:$H,'G&amp;A Vendor x GL Analysis'!AD$20,'[1]NS Vendor Details'!$L:$L,'G&amp;A Vendor x GL Analysis'!$D48,'[1]NS Vendor Details'!$O:$O,'G&amp;A Vendor x GL Analysis'!$F48,'[1]NS Vendor Details'!$N:$N,'G&amp;A Vendor x GL Analysis'!$C48,'[1]NS Vendor Details'!$K:$K,'G&amp;A Vendor x GL Analysis'!$E$8,'[1]NS Vendor Details'!$I:$I,'G&amp;A Vendor x GL Analysis'!$E48),0))</f>
        <v>0</v>
      </c>
      <c r="AF48" s="15">
        <f t="shared" si="9"/>
        <v>882.25</v>
      </c>
    </row>
    <row r="49" spans="1:32" outlineLevel="1">
      <c r="A49" s="8" t="str">
        <f t="shared" si="8"/>
        <v>T&amp;E6125 - Transportation and Fuel</v>
      </c>
      <c r="C49" s="8" t="s">
        <v>11</v>
      </c>
      <c r="D49" s="8" t="str">
        <f t="shared" si="13"/>
        <v>T&amp;E</v>
      </c>
      <c r="E49" s="2" t="s">
        <v>40</v>
      </c>
      <c r="F49" s="2" t="s">
        <v>41</v>
      </c>
      <c r="G49" s="16">
        <f>IF(AND(G$15="Actual",ISBLANK($E$8)),SUMIFS('[1]NS Vendor Details'!$D:$D,'[1]NS Vendor Details'!$H:$H,'G&amp;A Vendor x GL Analysis'!G$20,'[1]NS Vendor Details'!$L:$L,'G&amp;A Vendor x GL Analysis'!$D49,'[1]NS Vendor Details'!$O:$O,'G&amp;A Vendor x GL Analysis'!$F49,'[1]NS Vendor Details'!$N:$N,'G&amp;A Vendor x GL Analysis'!$C49),IF(G$15="Actual",SUMIFS('[1]NS Vendor Details'!$D:$D,'[1]NS Vendor Details'!$H:$H,'G&amp;A Vendor x GL Analysis'!G$20,'[1]NS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H49" s="17">
        <f>IF(AND(H$15="Actual",ISBLANK($E$8)),SUMIFS('[1]NS Vendor Details'!$D:$D,'[1]NS Vendor Details'!$H:$H,'G&amp;A Vendor x GL Analysis'!H$20,'[1]NS Vendor Details'!$L:$L,'G&amp;A Vendor x GL Analysis'!$D49,'[1]NS Vendor Details'!$O:$O,'G&amp;A Vendor x GL Analysis'!$F49,'[1]NS Vendor Details'!$N:$N,'G&amp;A Vendor x GL Analysis'!$C49),IF(H$15="Actual",SUMIFS('[1]NS Vendor Details'!$D:$D,'[1]NS Vendor Details'!$H:$H,'G&amp;A Vendor x GL Analysis'!H$20,'[1]NS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I49" s="17">
        <f>IF(AND(I$15="Actual",ISBLANK($E$8)),SUMIFS('[1]NS Vendor Details'!$D:$D,'[1]NS Vendor Details'!$H:$H,'G&amp;A Vendor x GL Analysis'!I$20,'[1]NS Vendor Details'!$L:$L,'G&amp;A Vendor x GL Analysis'!$D49,'[1]NS Vendor Details'!$O:$O,'G&amp;A Vendor x GL Analysis'!$F49,'[1]NS Vendor Details'!$N:$N,'G&amp;A Vendor x GL Analysis'!$C49),IF(I$15="Actual",SUMIFS('[1]NS Vendor Details'!$D:$D,'[1]NS Vendor Details'!$H:$H,'G&amp;A Vendor x GL Analysis'!I$20,'[1]NS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J49" s="17">
        <f>IF(AND(J$15="Actual",ISBLANK($E$8)),SUMIFS('[1]NS Vendor Details'!$D:$D,'[1]NS Vendor Details'!$H:$H,'G&amp;A Vendor x GL Analysis'!J$20,'[1]NS Vendor Details'!$L:$L,'G&amp;A Vendor x GL Analysis'!$D49,'[1]NS Vendor Details'!$O:$O,'G&amp;A Vendor x GL Analysis'!$F49,'[1]NS Vendor Details'!$N:$N,'G&amp;A Vendor x GL Analysis'!$C49),IF(J$15="Actual",SUMIFS('[1]NS Vendor Details'!$D:$D,'[1]NS Vendor Details'!$H:$H,'G&amp;A Vendor x GL Analysis'!J$20,'[1]NS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K49" s="17">
        <f>IF(AND(K$15="Actual",ISBLANK($E$8)),SUMIFS('[1]NS Vendor Details'!$D:$D,'[1]NS Vendor Details'!$H:$H,'G&amp;A Vendor x GL Analysis'!K$20,'[1]NS Vendor Details'!$L:$L,'G&amp;A Vendor x GL Analysis'!$D49,'[1]NS Vendor Details'!$O:$O,'G&amp;A Vendor x GL Analysis'!$F49,'[1]NS Vendor Details'!$N:$N,'G&amp;A Vendor x GL Analysis'!$C49),IF(K$15="Actual",SUMIFS('[1]NS Vendor Details'!$D:$D,'[1]NS Vendor Details'!$H:$H,'G&amp;A Vendor x GL Analysis'!K$20,'[1]NS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L49" s="17">
        <f>IF(AND(L$15="Actual",ISBLANK($E$8)),SUMIFS('[1]NS Vendor Details'!$D:$D,'[1]NS Vendor Details'!$H:$H,'G&amp;A Vendor x GL Analysis'!L$20,'[1]NS Vendor Details'!$L:$L,'G&amp;A Vendor x GL Analysis'!$D49,'[1]NS Vendor Details'!$O:$O,'G&amp;A Vendor x GL Analysis'!$F49,'[1]NS Vendor Details'!$N:$N,'G&amp;A Vendor x GL Analysis'!$C49),IF(L$15="Actual",SUMIFS('[1]NS Vendor Details'!$D:$D,'[1]NS Vendor Details'!$H:$H,'G&amp;A Vendor x GL Analysis'!L$20,'[1]NS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M49" s="17">
        <f>IF(AND(M$15="Actual",ISBLANK($E$8)),SUMIFS('[1]NS Vendor Details'!$D:$D,'[1]NS Vendor Details'!$H:$H,'G&amp;A Vendor x GL Analysis'!M$20,'[1]NS Vendor Details'!$L:$L,'G&amp;A Vendor x GL Analysis'!$D49,'[1]NS Vendor Details'!$O:$O,'G&amp;A Vendor x GL Analysis'!$F49,'[1]NS Vendor Details'!$N:$N,'G&amp;A Vendor x GL Analysis'!$C49),IF(M$15="Actual",SUMIFS('[1]NS Vendor Details'!$D:$D,'[1]NS Vendor Details'!$H:$H,'G&amp;A Vendor x GL Analysis'!M$20,'[1]NS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N49" s="17">
        <f>IF(AND(N$15="Actual",ISBLANK($E$8)),SUMIFS('[1]NS Vendor Details'!$D:$D,'[1]NS Vendor Details'!$H:$H,'G&amp;A Vendor x GL Analysis'!N$20,'[1]NS Vendor Details'!$L:$L,'G&amp;A Vendor x GL Analysis'!$D49,'[1]NS Vendor Details'!$O:$O,'G&amp;A Vendor x GL Analysis'!$F49,'[1]NS Vendor Details'!$N:$N,'G&amp;A Vendor x GL Analysis'!$C49),IF(N$15="Actual",SUMIFS('[1]NS Vendor Details'!$D:$D,'[1]NS Vendor Details'!$H:$H,'G&amp;A Vendor x GL Analysis'!N$20,'[1]NS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O49" s="17">
        <f>IF(AND(O$15="Actual",ISBLANK($E$8)),SUMIFS('[1]NS Vendor Details'!$D:$D,'[1]NS Vendor Details'!$H:$H,'G&amp;A Vendor x GL Analysis'!O$20,'[1]NS Vendor Details'!$L:$L,'G&amp;A Vendor x GL Analysis'!$D49,'[1]NS Vendor Details'!$O:$O,'G&amp;A Vendor x GL Analysis'!$F49,'[1]NS Vendor Details'!$N:$N,'G&amp;A Vendor x GL Analysis'!$C49),IF(O$15="Actual",SUMIFS('[1]NS Vendor Details'!$D:$D,'[1]NS Vendor Details'!$H:$H,'G&amp;A Vendor x GL Analysis'!O$20,'[1]NS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P49" s="17">
        <f>IF(AND(P$15="Actual",ISBLANK($E$8)),SUMIFS('[1]NS Vendor Details'!$D:$D,'[1]NS Vendor Details'!$H:$H,'G&amp;A Vendor x GL Analysis'!P$20,'[1]NS Vendor Details'!$L:$L,'G&amp;A Vendor x GL Analysis'!$D49,'[1]NS Vendor Details'!$O:$O,'G&amp;A Vendor x GL Analysis'!$F49,'[1]NS Vendor Details'!$N:$N,'G&amp;A Vendor x GL Analysis'!$C49),IF(P$15="Actual",SUMIFS('[1]NS Vendor Details'!$D:$D,'[1]NS Vendor Details'!$H:$H,'G&amp;A Vendor x GL Analysis'!P$20,'[1]NS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Q49" s="17">
        <f>IF(AND(Q$15="Actual",ISBLANK($E$8)),SUMIFS('[1]NS Vendor Details'!$D:$D,'[1]NS Vendor Details'!$H:$H,'G&amp;A Vendor x GL Analysis'!Q$20,'[1]NS Vendor Details'!$L:$L,'G&amp;A Vendor x GL Analysis'!$D49,'[1]NS Vendor Details'!$O:$O,'G&amp;A Vendor x GL Analysis'!$F49,'[1]NS Vendor Details'!$N:$N,'G&amp;A Vendor x GL Analysis'!$C49),IF(Q$15="Actual",SUMIFS('[1]NS Vendor Details'!$D:$D,'[1]NS Vendor Details'!$H:$H,'G&amp;A Vendor x GL Analysis'!Q$20,'[1]NS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0</v>
      </c>
      <c r="R49" s="18">
        <f>IF(AND(R$15="Actual",ISBLANK($E$8)),SUMIFS('[1]NS Vendor Details'!$D:$D,'[1]NS Vendor Details'!$H:$H,'G&amp;A Vendor x GL Analysis'!R$20,'[1]NS Vendor Details'!$L:$L,'G&amp;A Vendor x GL Analysis'!$D49,'[1]NS Vendor Details'!$O:$O,'G&amp;A Vendor x GL Analysis'!$F49,'[1]NS Vendor Details'!$N:$N,'G&amp;A Vendor x GL Analysis'!$C49),IF(R$15="Actual",SUMIFS('[1]NS Vendor Details'!$D:$D,'[1]NS Vendor Details'!$H:$H,'G&amp;A Vendor x GL Analysis'!R$20,'[1]NS Vendor Details'!$L:$L,'G&amp;A Vendor x GL Analysis'!$D49,'[1]NS Vendor Details'!$O:$O,'G&amp;A Vendor x GL Analysis'!$F49,'[1]NS Vendor Details'!$N:$N,'G&amp;A Vendor x GL Analysis'!$C49,'[1]NS Vendor Details'!$K:$K,'G&amp;A Vendor x GL Analysis'!$E$8),0))</f>
        <v>41.269999999999996</v>
      </c>
      <c r="S49" s="16">
        <f>IF(AND(S$15="Actual",ISBLANK($E$8)),SUMIFS('[1]NS Vendor Details'!$D:$D,'[1]NS Vendor Details'!$H:$H,'G&amp;A Vendor x GL Analysis'!S$20,'[1]NS Vendor Details'!$L:$L,'G&amp;A Vendor x GL Analysis'!$D49,'[1]NS Vendor Details'!$O:$O,'G&amp;A Vendor x GL Analysis'!$F49,'[1]NS Vendor Details'!$N:$N,'G&amp;A Vendor x GL Analysis'!$C49,'[1]NS Vendor Details'!$I:$I,'G&amp;A Vendor x GL Analysis'!$E49),IF(S$15="Actual",SUMIFS('[1]NS Vendor Details'!$D:$D,'[1]NS Vendor Details'!$H:$H,'G&amp;A Vendor x GL Analysis'!S$20,'[1]NS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T49" s="17">
        <f>IF(AND(T$15="Actual",ISBLANK($E$8)),SUMIFS('[1]NS Vendor Details'!$D:$D,'[1]NS Vendor Details'!$H:$H,'G&amp;A Vendor x GL Analysis'!T$20,'[1]NS Vendor Details'!$L:$L,'G&amp;A Vendor x GL Analysis'!$D49,'[1]NS Vendor Details'!$O:$O,'G&amp;A Vendor x GL Analysis'!$F49,'[1]NS Vendor Details'!$N:$N,'G&amp;A Vendor x GL Analysis'!$C49,'[1]NS Vendor Details'!$I:$I,'G&amp;A Vendor x GL Analysis'!$E49),IF(T$15="Actual",SUMIFS('[1]NS Vendor Details'!$D:$D,'[1]NS Vendor Details'!$H:$H,'G&amp;A Vendor x GL Analysis'!T$20,'[1]NS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49.66</v>
      </c>
      <c r="U49" s="17">
        <f>IF(AND(U$15="Actual",ISBLANK($E$8)),SUMIFS('[1]NS Vendor Details'!$D:$D,'[1]NS Vendor Details'!$H:$H,'G&amp;A Vendor x GL Analysis'!U$20,'[1]NS Vendor Details'!$L:$L,'G&amp;A Vendor x GL Analysis'!$D49,'[1]NS Vendor Details'!$O:$O,'G&amp;A Vendor x GL Analysis'!$F49,'[1]NS Vendor Details'!$N:$N,'G&amp;A Vendor x GL Analysis'!$C49,'[1]NS Vendor Details'!$I:$I,'G&amp;A Vendor x GL Analysis'!$E49),IF(U$15="Actual",SUMIFS('[1]NS Vendor Details'!$D:$D,'[1]NS Vendor Details'!$H:$H,'G&amp;A Vendor x GL Analysis'!U$20,'[1]NS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V49" s="17">
        <f>IF(AND(V$15="Actual",ISBLANK($E$8)),SUMIFS('[1]NS Vendor Details'!$D:$D,'[1]NS Vendor Details'!$H:$H,'G&amp;A Vendor x GL Analysis'!V$20,'[1]NS Vendor Details'!$L:$L,'G&amp;A Vendor x GL Analysis'!$D49,'[1]NS Vendor Details'!$O:$O,'G&amp;A Vendor x GL Analysis'!$F49,'[1]NS Vendor Details'!$N:$N,'G&amp;A Vendor x GL Analysis'!$C49,'[1]NS Vendor Details'!$I:$I,'G&amp;A Vendor x GL Analysis'!$E49),IF(V$15="Actual",SUMIFS('[1]NS Vendor Details'!$D:$D,'[1]NS Vendor Details'!$H:$H,'G&amp;A Vendor x GL Analysis'!V$20,'[1]NS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W49" s="17">
        <f>IF(AND(W$15="Actual",ISBLANK($E$8)),SUMIFS('[1]NS Vendor Details'!$D:$D,'[1]NS Vendor Details'!$H:$H,'G&amp;A Vendor x GL Analysis'!W$20,'[1]NS Vendor Details'!$L:$L,'G&amp;A Vendor x GL Analysis'!$D49,'[1]NS Vendor Details'!$O:$O,'G&amp;A Vendor x GL Analysis'!$F49,'[1]NS Vendor Details'!$N:$N,'G&amp;A Vendor x GL Analysis'!$C49,'[1]NS Vendor Details'!$I:$I,'G&amp;A Vendor x GL Analysis'!$E49),IF(W$15="Actual",SUMIFS('[1]NS Vendor Details'!$D:$D,'[1]NS Vendor Details'!$H:$H,'G&amp;A Vendor x GL Analysis'!W$20,'[1]NS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X49" s="17">
        <f>IF(AND(X$15="Actual",ISBLANK($E$8)),SUMIFS('[1]NS Vendor Details'!$D:$D,'[1]NS Vendor Details'!$H:$H,'G&amp;A Vendor x GL Analysis'!X$20,'[1]NS Vendor Details'!$L:$L,'G&amp;A Vendor x GL Analysis'!$D49,'[1]NS Vendor Details'!$O:$O,'G&amp;A Vendor x GL Analysis'!$F49,'[1]NS Vendor Details'!$N:$N,'G&amp;A Vendor x GL Analysis'!$C49,'[1]NS Vendor Details'!$I:$I,'G&amp;A Vendor x GL Analysis'!$E49),IF(X$15="Actual",SUMIFS('[1]NS Vendor Details'!$D:$D,'[1]NS Vendor Details'!$H:$H,'G&amp;A Vendor x GL Analysis'!X$20,'[1]NS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Y49" s="17">
        <f>IF(AND(Y$15="Actual",ISBLANK($E$8)),SUMIFS('[1]NS Vendor Details'!$D:$D,'[1]NS Vendor Details'!$H:$H,'G&amp;A Vendor x GL Analysis'!Y$20,'[1]NS Vendor Details'!$L:$L,'G&amp;A Vendor x GL Analysis'!$D49,'[1]NS Vendor Details'!$O:$O,'G&amp;A Vendor x GL Analysis'!$F49,'[1]NS Vendor Details'!$N:$N,'G&amp;A Vendor x GL Analysis'!$C49,'[1]NS Vendor Details'!$I:$I,'G&amp;A Vendor x GL Analysis'!$E49),IF(Y$15="Actual",SUMIFS('[1]NS Vendor Details'!$D:$D,'[1]NS Vendor Details'!$H:$H,'G&amp;A Vendor x GL Analysis'!Y$20,'[1]NS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Z49" s="17">
        <f>IF(AND(Z$15="Actual",ISBLANK($E$8)),SUMIFS('[1]NS Vendor Details'!$D:$D,'[1]NS Vendor Details'!$H:$H,'G&amp;A Vendor x GL Analysis'!Z$20,'[1]NS Vendor Details'!$L:$L,'G&amp;A Vendor x GL Analysis'!$D49,'[1]NS Vendor Details'!$O:$O,'G&amp;A Vendor x GL Analysis'!$F49,'[1]NS Vendor Details'!$N:$N,'G&amp;A Vendor x GL Analysis'!$C49,'[1]NS Vendor Details'!$I:$I,'G&amp;A Vendor x GL Analysis'!$E49),IF(Z$15="Actual",SUMIFS('[1]NS Vendor Details'!$D:$D,'[1]NS Vendor Details'!$H:$H,'G&amp;A Vendor x GL Analysis'!Z$20,'[1]NS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AA49" s="17">
        <f>IF(AND(AA$15="Actual",ISBLANK($E$8)),SUMIFS('[1]NS Vendor Details'!$D:$D,'[1]NS Vendor Details'!$H:$H,'G&amp;A Vendor x GL Analysis'!AA$20,'[1]NS Vendor Details'!$L:$L,'G&amp;A Vendor x GL Analysis'!$D49,'[1]NS Vendor Details'!$O:$O,'G&amp;A Vendor x GL Analysis'!$F49,'[1]NS Vendor Details'!$N:$N,'G&amp;A Vendor x GL Analysis'!$C49,'[1]NS Vendor Details'!$I:$I,'G&amp;A Vendor x GL Analysis'!$E49),IF(AA$15="Actual",SUMIFS('[1]NS Vendor Details'!$D:$D,'[1]NS Vendor Details'!$H:$H,'G&amp;A Vendor x GL Analysis'!AA$20,'[1]NS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AB49" s="17">
        <f>IF(AND(AB$15="Actual",ISBLANK($E$8)),SUMIFS('[1]NS Vendor Details'!$D:$D,'[1]NS Vendor Details'!$H:$H,'G&amp;A Vendor x GL Analysis'!AB$20,'[1]NS Vendor Details'!$L:$L,'G&amp;A Vendor x GL Analysis'!$D49,'[1]NS Vendor Details'!$O:$O,'G&amp;A Vendor x GL Analysis'!$F49,'[1]NS Vendor Details'!$N:$N,'G&amp;A Vendor x GL Analysis'!$C49,'[1]NS Vendor Details'!$I:$I,'G&amp;A Vendor x GL Analysis'!$E49),IF(AB$15="Actual",SUMIFS('[1]NS Vendor Details'!$D:$D,'[1]NS Vendor Details'!$H:$H,'G&amp;A Vendor x GL Analysis'!AB$20,'[1]NS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AC49" s="18">
        <f>IF(AND(AC$15="Actual",ISBLANK($E$8)),SUMIFS('[1]NS Vendor Details'!$D:$D,'[1]NS Vendor Details'!$H:$H,'G&amp;A Vendor x GL Analysis'!AC$20,'[1]NS Vendor Details'!$L:$L,'G&amp;A Vendor x GL Analysis'!$D49,'[1]NS Vendor Details'!$O:$O,'G&amp;A Vendor x GL Analysis'!$F49,'[1]NS Vendor Details'!$N:$N,'G&amp;A Vendor x GL Analysis'!$C49,'[1]NS Vendor Details'!$I:$I,'G&amp;A Vendor x GL Analysis'!$E49),IF(AC$15="Actual",SUMIFS('[1]NS Vendor Details'!$D:$D,'[1]NS Vendor Details'!$H:$H,'G&amp;A Vendor x GL Analysis'!AC$20,'[1]NS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AD49" s="18">
        <f>IF(AND(AD$15="Actual",ISBLANK($E$8)),SUMIFS('[1]NS Vendor Details'!$D:$D,'[1]NS Vendor Details'!$H:$H,'G&amp;A Vendor x GL Analysis'!AD$20,'[1]NS Vendor Details'!$L:$L,'G&amp;A Vendor x GL Analysis'!$D49,'[1]NS Vendor Details'!$O:$O,'G&amp;A Vendor x GL Analysis'!$F49,'[1]NS Vendor Details'!$N:$N,'G&amp;A Vendor x GL Analysis'!$C49,'[1]NS Vendor Details'!$I:$I,'G&amp;A Vendor x GL Analysis'!$E49),IF(AD$15="Actual",SUMIFS('[1]NS Vendor Details'!$D:$D,'[1]NS Vendor Details'!$H:$H,'G&amp;A Vendor x GL Analysis'!AD$20,'[1]NS Vendor Details'!$L:$L,'G&amp;A Vendor x GL Analysis'!$D49,'[1]NS Vendor Details'!$O:$O,'G&amp;A Vendor x GL Analysis'!$F49,'[1]NS Vendor Details'!$N:$N,'G&amp;A Vendor x GL Analysis'!$C49,'[1]NS Vendor Details'!$K:$K,'G&amp;A Vendor x GL Analysis'!$E$8,'[1]NS Vendor Details'!$I:$I,'G&amp;A Vendor x GL Analysis'!$E49),0))</f>
        <v>0</v>
      </c>
      <c r="AF49" s="19">
        <f t="shared" si="9"/>
        <v>49.66</v>
      </c>
    </row>
    <row r="50" spans="1:32" outlineLevel="1">
      <c r="A50" s="8" t="str">
        <f t="shared" si="8"/>
        <v>T&amp;E6125 - Transportation and Fuel</v>
      </c>
      <c r="C50" s="8" t="s">
        <v>11</v>
      </c>
      <c r="D50" s="8" t="str">
        <f t="shared" si="13"/>
        <v>T&amp;E</v>
      </c>
      <c r="E50" s="2" t="s">
        <v>40</v>
      </c>
      <c r="F50" s="2" t="s">
        <v>34</v>
      </c>
      <c r="G50" s="16">
        <f>IF(AND(G$15="Actual",ISBLANK($E$8)),SUMIFS('[1]NS Vendor Details'!$D:$D,'[1]NS Vendor Details'!$H:$H,'G&amp;A Vendor x GL Analysis'!G$20,'[1]NS Vendor Details'!$L:$L,'G&amp;A Vendor x GL Analysis'!$D50,'[1]NS Vendor Details'!$O:$O,'G&amp;A Vendor x GL Analysis'!$F50,'[1]NS Vendor Details'!$N:$N,'G&amp;A Vendor x GL Analysis'!$C50),IF(G$15="Actual",SUMIFS('[1]NS Vendor Details'!$D:$D,'[1]NS Vendor Details'!$H:$H,'G&amp;A Vendor x GL Analysis'!G$20,'[1]NS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H50" s="17">
        <f>IF(AND(H$15="Actual",ISBLANK($E$8)),SUMIFS('[1]NS Vendor Details'!$D:$D,'[1]NS Vendor Details'!$H:$H,'G&amp;A Vendor x GL Analysis'!H$20,'[1]NS Vendor Details'!$L:$L,'G&amp;A Vendor x GL Analysis'!$D50,'[1]NS Vendor Details'!$O:$O,'G&amp;A Vendor x GL Analysis'!$F50,'[1]NS Vendor Details'!$N:$N,'G&amp;A Vendor x GL Analysis'!$C50),IF(H$15="Actual",SUMIFS('[1]NS Vendor Details'!$D:$D,'[1]NS Vendor Details'!$H:$H,'G&amp;A Vendor x GL Analysis'!H$20,'[1]NS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I50" s="17">
        <f>IF(AND(I$15="Actual",ISBLANK($E$8)),SUMIFS('[1]NS Vendor Details'!$D:$D,'[1]NS Vendor Details'!$H:$H,'G&amp;A Vendor x GL Analysis'!I$20,'[1]NS Vendor Details'!$L:$L,'G&amp;A Vendor x GL Analysis'!$D50,'[1]NS Vendor Details'!$O:$O,'G&amp;A Vendor x GL Analysis'!$F50,'[1]NS Vendor Details'!$N:$N,'G&amp;A Vendor x GL Analysis'!$C50),IF(I$15="Actual",SUMIFS('[1]NS Vendor Details'!$D:$D,'[1]NS Vendor Details'!$H:$H,'G&amp;A Vendor x GL Analysis'!I$20,'[1]NS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J50" s="17">
        <f>IF(AND(J$15="Actual",ISBLANK($E$8)),SUMIFS('[1]NS Vendor Details'!$D:$D,'[1]NS Vendor Details'!$H:$H,'G&amp;A Vendor x GL Analysis'!J$20,'[1]NS Vendor Details'!$L:$L,'G&amp;A Vendor x GL Analysis'!$D50,'[1]NS Vendor Details'!$O:$O,'G&amp;A Vendor x GL Analysis'!$F50,'[1]NS Vendor Details'!$N:$N,'G&amp;A Vendor x GL Analysis'!$C50),IF(J$15="Actual",SUMIFS('[1]NS Vendor Details'!$D:$D,'[1]NS Vendor Details'!$H:$H,'G&amp;A Vendor x GL Analysis'!J$20,'[1]NS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K50" s="17">
        <f>IF(AND(K$15="Actual",ISBLANK($E$8)),SUMIFS('[1]NS Vendor Details'!$D:$D,'[1]NS Vendor Details'!$H:$H,'G&amp;A Vendor x GL Analysis'!K$20,'[1]NS Vendor Details'!$L:$L,'G&amp;A Vendor x GL Analysis'!$D50,'[1]NS Vendor Details'!$O:$O,'G&amp;A Vendor x GL Analysis'!$F50,'[1]NS Vendor Details'!$N:$N,'G&amp;A Vendor x GL Analysis'!$C50),IF(K$15="Actual",SUMIFS('[1]NS Vendor Details'!$D:$D,'[1]NS Vendor Details'!$H:$H,'G&amp;A Vendor x GL Analysis'!K$20,'[1]NS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L50" s="17">
        <f>IF(AND(L$15="Actual",ISBLANK($E$8)),SUMIFS('[1]NS Vendor Details'!$D:$D,'[1]NS Vendor Details'!$H:$H,'G&amp;A Vendor x GL Analysis'!L$20,'[1]NS Vendor Details'!$L:$L,'G&amp;A Vendor x GL Analysis'!$D50,'[1]NS Vendor Details'!$O:$O,'G&amp;A Vendor x GL Analysis'!$F50,'[1]NS Vendor Details'!$N:$N,'G&amp;A Vendor x GL Analysis'!$C50),IF(L$15="Actual",SUMIFS('[1]NS Vendor Details'!$D:$D,'[1]NS Vendor Details'!$H:$H,'G&amp;A Vendor x GL Analysis'!L$20,'[1]NS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M50" s="17">
        <f>IF(AND(M$15="Actual",ISBLANK($E$8)),SUMIFS('[1]NS Vendor Details'!$D:$D,'[1]NS Vendor Details'!$H:$H,'G&amp;A Vendor x GL Analysis'!M$20,'[1]NS Vendor Details'!$L:$L,'G&amp;A Vendor x GL Analysis'!$D50,'[1]NS Vendor Details'!$O:$O,'G&amp;A Vendor x GL Analysis'!$F50,'[1]NS Vendor Details'!$N:$N,'G&amp;A Vendor x GL Analysis'!$C50),IF(M$15="Actual",SUMIFS('[1]NS Vendor Details'!$D:$D,'[1]NS Vendor Details'!$H:$H,'G&amp;A Vendor x GL Analysis'!M$20,'[1]NS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N50" s="17">
        <f>IF(AND(N$15="Actual",ISBLANK($E$8)),SUMIFS('[1]NS Vendor Details'!$D:$D,'[1]NS Vendor Details'!$H:$H,'G&amp;A Vendor x GL Analysis'!N$20,'[1]NS Vendor Details'!$L:$L,'G&amp;A Vendor x GL Analysis'!$D50,'[1]NS Vendor Details'!$O:$O,'G&amp;A Vendor x GL Analysis'!$F50,'[1]NS Vendor Details'!$N:$N,'G&amp;A Vendor x GL Analysis'!$C50),IF(N$15="Actual",SUMIFS('[1]NS Vendor Details'!$D:$D,'[1]NS Vendor Details'!$H:$H,'G&amp;A Vendor x GL Analysis'!N$20,'[1]NS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O50" s="17">
        <f>IF(AND(O$15="Actual",ISBLANK($E$8)),SUMIFS('[1]NS Vendor Details'!$D:$D,'[1]NS Vendor Details'!$H:$H,'G&amp;A Vendor x GL Analysis'!O$20,'[1]NS Vendor Details'!$L:$L,'G&amp;A Vendor x GL Analysis'!$D50,'[1]NS Vendor Details'!$O:$O,'G&amp;A Vendor x GL Analysis'!$F50,'[1]NS Vendor Details'!$N:$N,'G&amp;A Vendor x GL Analysis'!$C50),IF(O$15="Actual",SUMIFS('[1]NS Vendor Details'!$D:$D,'[1]NS Vendor Details'!$H:$H,'G&amp;A Vendor x GL Analysis'!O$20,'[1]NS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P50" s="17">
        <f>IF(AND(P$15="Actual",ISBLANK($E$8)),SUMIFS('[1]NS Vendor Details'!$D:$D,'[1]NS Vendor Details'!$H:$H,'G&amp;A Vendor x GL Analysis'!P$20,'[1]NS Vendor Details'!$L:$L,'G&amp;A Vendor x GL Analysis'!$D50,'[1]NS Vendor Details'!$O:$O,'G&amp;A Vendor x GL Analysis'!$F50,'[1]NS Vendor Details'!$N:$N,'G&amp;A Vendor x GL Analysis'!$C50),IF(P$15="Actual",SUMIFS('[1]NS Vendor Details'!$D:$D,'[1]NS Vendor Details'!$H:$H,'G&amp;A Vendor x GL Analysis'!P$20,'[1]NS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Q50" s="17">
        <f>IF(AND(Q$15="Actual",ISBLANK($E$8)),SUMIFS('[1]NS Vendor Details'!$D:$D,'[1]NS Vendor Details'!$H:$H,'G&amp;A Vendor x GL Analysis'!Q$20,'[1]NS Vendor Details'!$L:$L,'G&amp;A Vendor x GL Analysis'!$D50,'[1]NS Vendor Details'!$O:$O,'G&amp;A Vendor x GL Analysis'!$F50,'[1]NS Vendor Details'!$N:$N,'G&amp;A Vendor x GL Analysis'!$C50),IF(Q$15="Actual",SUMIFS('[1]NS Vendor Details'!$D:$D,'[1]NS Vendor Details'!$H:$H,'G&amp;A Vendor x GL Analysis'!Q$20,'[1]NS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R50" s="18">
        <f>IF(AND(R$15="Actual",ISBLANK($E$8)),SUMIFS('[1]NS Vendor Details'!$D:$D,'[1]NS Vendor Details'!$H:$H,'G&amp;A Vendor x GL Analysis'!R$20,'[1]NS Vendor Details'!$L:$L,'G&amp;A Vendor x GL Analysis'!$D50,'[1]NS Vendor Details'!$O:$O,'G&amp;A Vendor x GL Analysis'!$F50,'[1]NS Vendor Details'!$N:$N,'G&amp;A Vendor x GL Analysis'!$C50),IF(R$15="Actual",SUMIFS('[1]NS Vendor Details'!$D:$D,'[1]NS Vendor Details'!$H:$H,'G&amp;A Vendor x GL Analysis'!R$20,'[1]NS Vendor Details'!$L:$L,'G&amp;A Vendor x GL Analysis'!$D50,'[1]NS Vendor Details'!$O:$O,'G&amp;A Vendor x GL Analysis'!$F50,'[1]NS Vendor Details'!$N:$N,'G&amp;A Vendor x GL Analysis'!$C50,'[1]NS Vendor Details'!$K:$K,'G&amp;A Vendor x GL Analysis'!$E$8),0))</f>
        <v>0</v>
      </c>
      <c r="S50" s="16">
        <f>IF(AND(S$15="Actual",ISBLANK($E$8)),SUMIFS('[1]NS Vendor Details'!$D:$D,'[1]NS Vendor Details'!$H:$H,'G&amp;A Vendor x GL Analysis'!S$20,'[1]NS Vendor Details'!$L:$L,'G&amp;A Vendor x GL Analysis'!$D50,'[1]NS Vendor Details'!$O:$O,'G&amp;A Vendor x GL Analysis'!$F50,'[1]NS Vendor Details'!$N:$N,'G&amp;A Vendor x GL Analysis'!$C50,'[1]NS Vendor Details'!$I:$I,'G&amp;A Vendor x GL Analysis'!$E50),IF(S$15="Actual",SUMIFS('[1]NS Vendor Details'!$D:$D,'[1]NS Vendor Details'!$H:$H,'G&amp;A Vendor x GL Analysis'!S$20,'[1]NS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T50" s="17">
        <f>IF(AND(T$15="Actual",ISBLANK($E$8)),SUMIFS('[1]NS Vendor Details'!$D:$D,'[1]NS Vendor Details'!$H:$H,'G&amp;A Vendor x GL Analysis'!T$20,'[1]NS Vendor Details'!$L:$L,'G&amp;A Vendor x GL Analysis'!$D50,'[1]NS Vendor Details'!$O:$O,'G&amp;A Vendor x GL Analysis'!$F50,'[1]NS Vendor Details'!$N:$N,'G&amp;A Vendor x GL Analysis'!$C50,'[1]NS Vendor Details'!$I:$I,'G&amp;A Vendor x GL Analysis'!$E50),IF(T$15="Actual",SUMIFS('[1]NS Vendor Details'!$D:$D,'[1]NS Vendor Details'!$H:$H,'G&amp;A Vendor x GL Analysis'!T$20,'[1]NS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U50" s="17">
        <f>IF(AND(U$15="Actual",ISBLANK($E$8)),SUMIFS('[1]NS Vendor Details'!$D:$D,'[1]NS Vendor Details'!$H:$H,'G&amp;A Vendor x GL Analysis'!U$20,'[1]NS Vendor Details'!$L:$L,'G&amp;A Vendor x GL Analysis'!$D50,'[1]NS Vendor Details'!$O:$O,'G&amp;A Vendor x GL Analysis'!$F50,'[1]NS Vendor Details'!$N:$N,'G&amp;A Vendor x GL Analysis'!$C50,'[1]NS Vendor Details'!$I:$I,'G&amp;A Vendor x GL Analysis'!$E50),IF(U$15="Actual",SUMIFS('[1]NS Vendor Details'!$D:$D,'[1]NS Vendor Details'!$H:$H,'G&amp;A Vendor x GL Analysis'!U$20,'[1]NS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V50" s="17">
        <f>IF(AND(V$15="Actual",ISBLANK($E$8)),SUMIFS('[1]NS Vendor Details'!$D:$D,'[1]NS Vendor Details'!$H:$H,'G&amp;A Vendor x GL Analysis'!V$20,'[1]NS Vendor Details'!$L:$L,'G&amp;A Vendor x GL Analysis'!$D50,'[1]NS Vendor Details'!$O:$O,'G&amp;A Vendor x GL Analysis'!$F50,'[1]NS Vendor Details'!$N:$N,'G&amp;A Vendor x GL Analysis'!$C50,'[1]NS Vendor Details'!$I:$I,'G&amp;A Vendor x GL Analysis'!$E50),IF(V$15="Actual",SUMIFS('[1]NS Vendor Details'!$D:$D,'[1]NS Vendor Details'!$H:$H,'G&amp;A Vendor x GL Analysis'!V$20,'[1]NS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W50" s="17">
        <f>IF(AND(W$15="Actual",ISBLANK($E$8)),SUMIFS('[1]NS Vendor Details'!$D:$D,'[1]NS Vendor Details'!$H:$H,'G&amp;A Vendor x GL Analysis'!W$20,'[1]NS Vendor Details'!$L:$L,'G&amp;A Vendor x GL Analysis'!$D50,'[1]NS Vendor Details'!$O:$O,'G&amp;A Vendor x GL Analysis'!$F50,'[1]NS Vendor Details'!$N:$N,'G&amp;A Vendor x GL Analysis'!$C50,'[1]NS Vendor Details'!$I:$I,'G&amp;A Vendor x GL Analysis'!$E50),IF(W$15="Actual",SUMIFS('[1]NS Vendor Details'!$D:$D,'[1]NS Vendor Details'!$H:$H,'G&amp;A Vendor x GL Analysis'!W$20,'[1]NS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X50" s="17">
        <f>IF(AND(X$15="Actual",ISBLANK($E$8)),SUMIFS('[1]NS Vendor Details'!$D:$D,'[1]NS Vendor Details'!$H:$H,'G&amp;A Vendor x GL Analysis'!X$20,'[1]NS Vendor Details'!$L:$L,'G&amp;A Vendor x GL Analysis'!$D50,'[1]NS Vendor Details'!$O:$O,'G&amp;A Vendor x GL Analysis'!$F50,'[1]NS Vendor Details'!$N:$N,'G&amp;A Vendor x GL Analysis'!$C50,'[1]NS Vendor Details'!$I:$I,'G&amp;A Vendor x GL Analysis'!$E50),IF(X$15="Actual",SUMIFS('[1]NS Vendor Details'!$D:$D,'[1]NS Vendor Details'!$H:$H,'G&amp;A Vendor x GL Analysis'!X$20,'[1]NS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Y50" s="17">
        <f>IF(AND(Y$15="Actual",ISBLANK($E$8)),SUMIFS('[1]NS Vendor Details'!$D:$D,'[1]NS Vendor Details'!$H:$H,'G&amp;A Vendor x GL Analysis'!Y$20,'[1]NS Vendor Details'!$L:$L,'G&amp;A Vendor x GL Analysis'!$D50,'[1]NS Vendor Details'!$O:$O,'G&amp;A Vendor x GL Analysis'!$F50,'[1]NS Vendor Details'!$N:$N,'G&amp;A Vendor x GL Analysis'!$C50,'[1]NS Vendor Details'!$I:$I,'G&amp;A Vendor x GL Analysis'!$E50),IF(Y$15="Actual",SUMIFS('[1]NS Vendor Details'!$D:$D,'[1]NS Vendor Details'!$H:$H,'G&amp;A Vendor x GL Analysis'!Y$20,'[1]NS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92.78</v>
      </c>
      <c r="Z50" s="17">
        <f>IF(AND(Z$15="Actual",ISBLANK($E$8)),SUMIFS('[1]NS Vendor Details'!$D:$D,'[1]NS Vendor Details'!$H:$H,'G&amp;A Vendor x GL Analysis'!Z$20,'[1]NS Vendor Details'!$L:$L,'G&amp;A Vendor x GL Analysis'!$D50,'[1]NS Vendor Details'!$O:$O,'G&amp;A Vendor x GL Analysis'!$F50,'[1]NS Vendor Details'!$N:$N,'G&amp;A Vendor x GL Analysis'!$C50,'[1]NS Vendor Details'!$I:$I,'G&amp;A Vendor x GL Analysis'!$E50),IF(Z$15="Actual",SUMIFS('[1]NS Vendor Details'!$D:$D,'[1]NS Vendor Details'!$H:$H,'G&amp;A Vendor x GL Analysis'!Z$20,'[1]NS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156.29000000000002</v>
      </c>
      <c r="AA50" s="17">
        <f>IF(AND(AA$15="Actual",ISBLANK($E$8)),SUMIFS('[1]NS Vendor Details'!$D:$D,'[1]NS Vendor Details'!$H:$H,'G&amp;A Vendor x GL Analysis'!AA$20,'[1]NS Vendor Details'!$L:$L,'G&amp;A Vendor x GL Analysis'!$D50,'[1]NS Vendor Details'!$O:$O,'G&amp;A Vendor x GL Analysis'!$F50,'[1]NS Vendor Details'!$N:$N,'G&amp;A Vendor x GL Analysis'!$C50,'[1]NS Vendor Details'!$I:$I,'G&amp;A Vendor x GL Analysis'!$E50),IF(AA$15="Actual",SUMIFS('[1]NS Vendor Details'!$D:$D,'[1]NS Vendor Details'!$H:$H,'G&amp;A Vendor x GL Analysis'!AA$20,'[1]NS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AB50" s="17">
        <f>IF(AND(AB$15="Actual",ISBLANK($E$8)),SUMIFS('[1]NS Vendor Details'!$D:$D,'[1]NS Vendor Details'!$H:$H,'G&amp;A Vendor x GL Analysis'!AB$20,'[1]NS Vendor Details'!$L:$L,'G&amp;A Vendor x GL Analysis'!$D50,'[1]NS Vendor Details'!$O:$O,'G&amp;A Vendor x GL Analysis'!$F50,'[1]NS Vendor Details'!$N:$N,'G&amp;A Vendor x GL Analysis'!$C50,'[1]NS Vendor Details'!$I:$I,'G&amp;A Vendor x GL Analysis'!$E50),IF(AB$15="Actual",SUMIFS('[1]NS Vendor Details'!$D:$D,'[1]NS Vendor Details'!$H:$H,'G&amp;A Vendor x GL Analysis'!AB$20,'[1]NS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136.01</v>
      </c>
      <c r="AC50" s="18">
        <f>IF(AND(AC$15="Actual",ISBLANK($E$8)),SUMIFS('[1]NS Vendor Details'!$D:$D,'[1]NS Vendor Details'!$H:$H,'G&amp;A Vendor x GL Analysis'!AC$20,'[1]NS Vendor Details'!$L:$L,'G&amp;A Vendor x GL Analysis'!$D50,'[1]NS Vendor Details'!$O:$O,'G&amp;A Vendor x GL Analysis'!$F50,'[1]NS Vendor Details'!$N:$N,'G&amp;A Vendor x GL Analysis'!$C50,'[1]NS Vendor Details'!$I:$I,'G&amp;A Vendor x GL Analysis'!$E50),IF(AC$15="Actual",SUMIFS('[1]NS Vendor Details'!$D:$D,'[1]NS Vendor Details'!$H:$H,'G&amp;A Vendor x GL Analysis'!AC$20,'[1]NS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AD50" s="18">
        <f>IF(AND(AD$15="Actual",ISBLANK($E$8)),SUMIFS('[1]NS Vendor Details'!$D:$D,'[1]NS Vendor Details'!$H:$H,'G&amp;A Vendor x GL Analysis'!AD$20,'[1]NS Vendor Details'!$L:$L,'G&amp;A Vendor x GL Analysis'!$D50,'[1]NS Vendor Details'!$O:$O,'G&amp;A Vendor x GL Analysis'!$F50,'[1]NS Vendor Details'!$N:$N,'G&amp;A Vendor x GL Analysis'!$C50,'[1]NS Vendor Details'!$I:$I,'G&amp;A Vendor x GL Analysis'!$E50),IF(AD$15="Actual",SUMIFS('[1]NS Vendor Details'!$D:$D,'[1]NS Vendor Details'!$H:$H,'G&amp;A Vendor x GL Analysis'!AD$20,'[1]NS Vendor Details'!$L:$L,'G&amp;A Vendor x GL Analysis'!$D50,'[1]NS Vendor Details'!$O:$O,'G&amp;A Vendor x GL Analysis'!$F50,'[1]NS Vendor Details'!$N:$N,'G&amp;A Vendor x GL Analysis'!$C50,'[1]NS Vendor Details'!$K:$K,'G&amp;A Vendor x GL Analysis'!$E$8,'[1]NS Vendor Details'!$I:$I,'G&amp;A Vendor x GL Analysis'!$E50),0))</f>
        <v>0</v>
      </c>
      <c r="AF50" s="19">
        <f t="shared" si="9"/>
        <v>385.08000000000004</v>
      </c>
    </row>
    <row r="51" spans="1:32" outlineLevel="1">
      <c r="A51" s="8" t="str">
        <f t="shared" si="8"/>
        <v>T&amp;E6140 - Other</v>
      </c>
      <c r="C51" s="8" t="s">
        <v>11</v>
      </c>
      <c r="D51" s="8" t="str">
        <f>D49</f>
        <v>T&amp;E</v>
      </c>
      <c r="E51" s="2" t="s">
        <v>42</v>
      </c>
      <c r="F51" s="2" t="s">
        <v>16</v>
      </c>
      <c r="G51" s="16">
        <f>IF(AND(G$15="Actual",ISBLANK($E$8)),SUMIFS('[1]NS Vendor Details'!$D:$D,'[1]NS Vendor Details'!$H:$H,'G&amp;A Vendor x GL Analysis'!G$20,'[1]NS Vendor Details'!$L:$L,'G&amp;A Vendor x GL Analysis'!$D51,'[1]NS Vendor Details'!$O:$O,'G&amp;A Vendor x GL Analysis'!$F51,'[1]NS Vendor Details'!$N:$N,'G&amp;A Vendor x GL Analysis'!$C51),IF(G$15="Actual",SUMIFS('[1]NS Vendor Details'!$D:$D,'[1]NS Vendor Details'!$H:$H,'G&amp;A Vendor x GL Analysis'!G$20,'[1]NS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8476.25</v>
      </c>
      <c r="H51" s="17">
        <f>IF(AND(H$15="Actual",ISBLANK($E$8)),SUMIFS('[1]NS Vendor Details'!$D:$D,'[1]NS Vendor Details'!$H:$H,'G&amp;A Vendor x GL Analysis'!H$20,'[1]NS Vendor Details'!$L:$L,'G&amp;A Vendor x GL Analysis'!$D51,'[1]NS Vendor Details'!$O:$O,'G&amp;A Vendor x GL Analysis'!$F51,'[1]NS Vendor Details'!$N:$N,'G&amp;A Vendor x GL Analysis'!$C51),IF(H$15="Actual",SUMIFS('[1]NS Vendor Details'!$D:$D,'[1]NS Vendor Details'!$H:$H,'G&amp;A Vendor x GL Analysis'!H$20,'[1]NS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7326.8300000000008</v>
      </c>
      <c r="I51" s="17">
        <f>IF(AND(I$15="Actual",ISBLANK($E$8)),SUMIFS('[1]NS Vendor Details'!$D:$D,'[1]NS Vendor Details'!$H:$H,'G&amp;A Vendor x GL Analysis'!I$20,'[1]NS Vendor Details'!$L:$L,'G&amp;A Vendor x GL Analysis'!$D51,'[1]NS Vendor Details'!$O:$O,'G&amp;A Vendor x GL Analysis'!$F51,'[1]NS Vendor Details'!$N:$N,'G&amp;A Vendor x GL Analysis'!$C51),IF(I$15="Actual",SUMIFS('[1]NS Vendor Details'!$D:$D,'[1]NS Vendor Details'!$H:$H,'G&amp;A Vendor x GL Analysis'!I$20,'[1]NS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16747.41</v>
      </c>
      <c r="J51" s="17">
        <f>IF(AND(J$15="Actual",ISBLANK($E$8)),SUMIFS('[1]NS Vendor Details'!$D:$D,'[1]NS Vendor Details'!$H:$H,'G&amp;A Vendor x GL Analysis'!J$20,'[1]NS Vendor Details'!$L:$L,'G&amp;A Vendor x GL Analysis'!$D51,'[1]NS Vendor Details'!$O:$O,'G&amp;A Vendor x GL Analysis'!$F51,'[1]NS Vendor Details'!$N:$N,'G&amp;A Vendor x GL Analysis'!$C51),IF(J$15="Actual",SUMIFS('[1]NS Vendor Details'!$D:$D,'[1]NS Vendor Details'!$H:$H,'G&amp;A Vendor x GL Analysis'!J$20,'[1]NS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6311.5900000000011</v>
      </c>
      <c r="K51" s="17">
        <f>IF(AND(K$15="Actual",ISBLANK($E$8)),SUMIFS('[1]NS Vendor Details'!$D:$D,'[1]NS Vendor Details'!$H:$H,'G&amp;A Vendor x GL Analysis'!K$20,'[1]NS Vendor Details'!$L:$L,'G&amp;A Vendor x GL Analysis'!$D51,'[1]NS Vendor Details'!$O:$O,'G&amp;A Vendor x GL Analysis'!$F51,'[1]NS Vendor Details'!$N:$N,'G&amp;A Vendor x GL Analysis'!$C51),IF(K$15="Actual",SUMIFS('[1]NS Vendor Details'!$D:$D,'[1]NS Vendor Details'!$H:$H,'G&amp;A Vendor x GL Analysis'!K$20,'[1]NS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7622.52</v>
      </c>
      <c r="L51" s="17">
        <f>IF(AND(L$15="Actual",ISBLANK($E$8)),SUMIFS('[1]NS Vendor Details'!$D:$D,'[1]NS Vendor Details'!$H:$H,'G&amp;A Vendor x GL Analysis'!L$20,'[1]NS Vendor Details'!$L:$L,'G&amp;A Vendor x GL Analysis'!$D51,'[1]NS Vendor Details'!$O:$O,'G&amp;A Vendor x GL Analysis'!$F51,'[1]NS Vendor Details'!$N:$N,'G&amp;A Vendor x GL Analysis'!$C51),IF(L$15="Actual",SUMIFS('[1]NS Vendor Details'!$D:$D,'[1]NS Vendor Details'!$H:$H,'G&amp;A Vendor x GL Analysis'!L$20,'[1]NS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3017.6699999999996</v>
      </c>
      <c r="M51" s="17">
        <f>IF(AND(M$15="Actual",ISBLANK($E$8)),SUMIFS('[1]NS Vendor Details'!$D:$D,'[1]NS Vendor Details'!$H:$H,'G&amp;A Vendor x GL Analysis'!M$20,'[1]NS Vendor Details'!$L:$L,'G&amp;A Vendor x GL Analysis'!$D51,'[1]NS Vendor Details'!$O:$O,'G&amp;A Vendor x GL Analysis'!$F51,'[1]NS Vendor Details'!$N:$N,'G&amp;A Vendor x GL Analysis'!$C51),IF(M$15="Actual",SUMIFS('[1]NS Vendor Details'!$D:$D,'[1]NS Vendor Details'!$H:$H,'G&amp;A Vendor x GL Analysis'!M$20,'[1]NS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5779.83</v>
      </c>
      <c r="N51" s="17">
        <f>IF(AND(N$15="Actual",ISBLANK($E$8)),SUMIFS('[1]NS Vendor Details'!$D:$D,'[1]NS Vendor Details'!$H:$H,'G&amp;A Vendor x GL Analysis'!N$20,'[1]NS Vendor Details'!$L:$L,'G&amp;A Vendor x GL Analysis'!$D51,'[1]NS Vendor Details'!$O:$O,'G&amp;A Vendor x GL Analysis'!$F51,'[1]NS Vendor Details'!$N:$N,'G&amp;A Vendor x GL Analysis'!$C51),IF(N$15="Actual",SUMIFS('[1]NS Vendor Details'!$D:$D,'[1]NS Vendor Details'!$H:$H,'G&amp;A Vendor x GL Analysis'!N$20,'[1]NS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20132.109999999997</v>
      </c>
      <c r="O51" s="17">
        <f>IF(AND(O$15="Actual",ISBLANK($E$8)),SUMIFS('[1]NS Vendor Details'!$D:$D,'[1]NS Vendor Details'!$H:$H,'G&amp;A Vendor x GL Analysis'!O$20,'[1]NS Vendor Details'!$L:$L,'G&amp;A Vendor x GL Analysis'!$D51,'[1]NS Vendor Details'!$O:$O,'G&amp;A Vendor x GL Analysis'!$F51,'[1]NS Vendor Details'!$N:$N,'G&amp;A Vendor x GL Analysis'!$C51),IF(O$15="Actual",SUMIFS('[1]NS Vendor Details'!$D:$D,'[1]NS Vendor Details'!$H:$H,'G&amp;A Vendor x GL Analysis'!O$20,'[1]NS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4175.83</v>
      </c>
      <c r="P51" s="17">
        <f>IF(AND(P$15="Actual",ISBLANK($E$8)),SUMIFS('[1]NS Vendor Details'!$D:$D,'[1]NS Vendor Details'!$H:$H,'G&amp;A Vendor x GL Analysis'!P$20,'[1]NS Vendor Details'!$L:$L,'G&amp;A Vendor x GL Analysis'!$D51,'[1]NS Vendor Details'!$O:$O,'G&amp;A Vendor x GL Analysis'!$F51,'[1]NS Vendor Details'!$N:$N,'G&amp;A Vendor x GL Analysis'!$C51),IF(P$15="Actual",SUMIFS('[1]NS Vendor Details'!$D:$D,'[1]NS Vendor Details'!$H:$H,'G&amp;A Vendor x GL Analysis'!P$20,'[1]NS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2776.9799999999996</v>
      </c>
      <c r="Q51" s="17">
        <f>IF(AND(Q$15="Actual",ISBLANK($E$8)),SUMIFS('[1]NS Vendor Details'!$D:$D,'[1]NS Vendor Details'!$H:$H,'G&amp;A Vendor x GL Analysis'!Q$20,'[1]NS Vendor Details'!$L:$L,'G&amp;A Vendor x GL Analysis'!$D51,'[1]NS Vendor Details'!$O:$O,'G&amp;A Vendor x GL Analysis'!$F51,'[1]NS Vendor Details'!$N:$N,'G&amp;A Vendor x GL Analysis'!$C51),IF(Q$15="Actual",SUMIFS('[1]NS Vendor Details'!$D:$D,'[1]NS Vendor Details'!$H:$H,'G&amp;A Vendor x GL Analysis'!Q$20,'[1]NS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21593.5</v>
      </c>
      <c r="R51" s="18">
        <f>IF(AND(R$15="Actual",ISBLANK($E$8)),SUMIFS('[1]NS Vendor Details'!$D:$D,'[1]NS Vendor Details'!$H:$H,'G&amp;A Vendor x GL Analysis'!R$20,'[1]NS Vendor Details'!$L:$L,'G&amp;A Vendor x GL Analysis'!$D51,'[1]NS Vendor Details'!$O:$O,'G&amp;A Vendor x GL Analysis'!$F51,'[1]NS Vendor Details'!$N:$N,'G&amp;A Vendor x GL Analysis'!$C51),IF(R$15="Actual",SUMIFS('[1]NS Vendor Details'!$D:$D,'[1]NS Vendor Details'!$H:$H,'G&amp;A Vendor x GL Analysis'!R$20,'[1]NS Vendor Details'!$L:$L,'G&amp;A Vendor x GL Analysis'!$D51,'[1]NS Vendor Details'!$O:$O,'G&amp;A Vendor x GL Analysis'!$F51,'[1]NS Vendor Details'!$N:$N,'G&amp;A Vendor x GL Analysis'!$C51,'[1]NS Vendor Details'!$K:$K,'G&amp;A Vendor x GL Analysis'!$E$8),0))</f>
        <v>13925.030000000002</v>
      </c>
      <c r="S51" s="16">
        <f>IF(AND(S$15="Actual",ISBLANK($E$8)),SUMIFS('[1]NS Vendor Details'!$D:$D,'[1]NS Vendor Details'!$H:$H,'G&amp;A Vendor x GL Analysis'!S$20,'[1]NS Vendor Details'!$L:$L,'G&amp;A Vendor x GL Analysis'!$D51,'[1]NS Vendor Details'!$O:$O,'G&amp;A Vendor x GL Analysis'!$F51,'[1]NS Vendor Details'!$N:$N,'G&amp;A Vendor x GL Analysis'!$C51,'[1]NS Vendor Details'!$I:$I,'G&amp;A Vendor x GL Analysis'!$E51),IF(S$15="Actual",SUMIFS('[1]NS Vendor Details'!$D:$D,'[1]NS Vendor Details'!$H:$H,'G&amp;A Vendor x GL Analysis'!S$20,'[1]NS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0</v>
      </c>
      <c r="T51" s="17">
        <f>IF(AND(T$15="Actual",ISBLANK($E$8)),SUMIFS('[1]NS Vendor Details'!$D:$D,'[1]NS Vendor Details'!$H:$H,'G&amp;A Vendor x GL Analysis'!T$20,'[1]NS Vendor Details'!$L:$L,'G&amp;A Vendor x GL Analysis'!$D51,'[1]NS Vendor Details'!$O:$O,'G&amp;A Vendor x GL Analysis'!$F51,'[1]NS Vendor Details'!$N:$N,'G&amp;A Vendor x GL Analysis'!$C51,'[1]NS Vendor Details'!$I:$I,'G&amp;A Vendor x GL Analysis'!$E51),IF(T$15="Actual",SUMIFS('[1]NS Vendor Details'!$D:$D,'[1]NS Vendor Details'!$H:$H,'G&amp;A Vendor x GL Analysis'!T$20,'[1]NS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5</v>
      </c>
      <c r="U51" s="17">
        <f>IF(AND(U$15="Actual",ISBLANK($E$8)),SUMIFS('[1]NS Vendor Details'!$D:$D,'[1]NS Vendor Details'!$H:$H,'G&amp;A Vendor x GL Analysis'!U$20,'[1]NS Vendor Details'!$L:$L,'G&amp;A Vendor x GL Analysis'!$D51,'[1]NS Vendor Details'!$O:$O,'G&amp;A Vendor x GL Analysis'!$F51,'[1]NS Vendor Details'!$N:$N,'G&amp;A Vendor x GL Analysis'!$C51,'[1]NS Vendor Details'!$I:$I,'G&amp;A Vendor x GL Analysis'!$E51),IF(U$15="Actual",SUMIFS('[1]NS Vendor Details'!$D:$D,'[1]NS Vendor Details'!$H:$H,'G&amp;A Vendor x GL Analysis'!U$20,'[1]NS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296.27999999999997</v>
      </c>
      <c r="V51" s="17">
        <f>IF(AND(V$15="Actual",ISBLANK($E$8)),SUMIFS('[1]NS Vendor Details'!$D:$D,'[1]NS Vendor Details'!$H:$H,'G&amp;A Vendor x GL Analysis'!V$20,'[1]NS Vendor Details'!$L:$L,'G&amp;A Vendor x GL Analysis'!$D51,'[1]NS Vendor Details'!$O:$O,'G&amp;A Vendor x GL Analysis'!$F51,'[1]NS Vendor Details'!$N:$N,'G&amp;A Vendor x GL Analysis'!$C51,'[1]NS Vendor Details'!$I:$I,'G&amp;A Vendor x GL Analysis'!$E51),IF(V$15="Actual",SUMIFS('[1]NS Vendor Details'!$D:$D,'[1]NS Vendor Details'!$H:$H,'G&amp;A Vendor x GL Analysis'!V$20,'[1]NS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220.13</v>
      </c>
      <c r="W51" s="17">
        <f>IF(AND(W$15="Actual",ISBLANK($E$8)),SUMIFS('[1]NS Vendor Details'!$D:$D,'[1]NS Vendor Details'!$H:$H,'G&amp;A Vendor x GL Analysis'!W$20,'[1]NS Vendor Details'!$L:$L,'G&amp;A Vendor x GL Analysis'!$D51,'[1]NS Vendor Details'!$O:$O,'G&amp;A Vendor x GL Analysis'!$F51,'[1]NS Vendor Details'!$N:$N,'G&amp;A Vendor x GL Analysis'!$C51,'[1]NS Vendor Details'!$I:$I,'G&amp;A Vendor x GL Analysis'!$E51),IF(W$15="Actual",SUMIFS('[1]NS Vendor Details'!$D:$D,'[1]NS Vendor Details'!$H:$H,'G&amp;A Vendor x GL Analysis'!W$20,'[1]NS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75.44</v>
      </c>
      <c r="X51" s="17">
        <f>IF(AND(X$15="Actual",ISBLANK($E$8)),SUMIFS('[1]NS Vendor Details'!$D:$D,'[1]NS Vendor Details'!$H:$H,'G&amp;A Vendor x GL Analysis'!X$20,'[1]NS Vendor Details'!$L:$L,'G&amp;A Vendor x GL Analysis'!$D51,'[1]NS Vendor Details'!$O:$O,'G&amp;A Vendor x GL Analysis'!$F51,'[1]NS Vendor Details'!$N:$N,'G&amp;A Vendor x GL Analysis'!$C51,'[1]NS Vendor Details'!$I:$I,'G&amp;A Vendor x GL Analysis'!$E51),IF(X$15="Actual",SUMIFS('[1]NS Vendor Details'!$D:$D,'[1]NS Vendor Details'!$H:$H,'G&amp;A Vendor x GL Analysis'!X$20,'[1]NS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0</v>
      </c>
      <c r="Y51" s="17">
        <f>IF(AND(Y$15="Actual",ISBLANK($E$8)),SUMIFS('[1]NS Vendor Details'!$D:$D,'[1]NS Vendor Details'!$H:$H,'G&amp;A Vendor x GL Analysis'!Y$20,'[1]NS Vendor Details'!$L:$L,'G&amp;A Vendor x GL Analysis'!$D51,'[1]NS Vendor Details'!$O:$O,'G&amp;A Vendor x GL Analysis'!$F51,'[1]NS Vendor Details'!$N:$N,'G&amp;A Vendor x GL Analysis'!$C51,'[1]NS Vendor Details'!$I:$I,'G&amp;A Vendor x GL Analysis'!$E51),IF(Y$15="Actual",SUMIFS('[1]NS Vendor Details'!$D:$D,'[1]NS Vendor Details'!$H:$H,'G&amp;A Vendor x GL Analysis'!Y$20,'[1]NS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0</v>
      </c>
      <c r="Z51" s="17">
        <f>IF(AND(Z$15="Actual",ISBLANK($E$8)),SUMIFS('[1]NS Vendor Details'!$D:$D,'[1]NS Vendor Details'!$H:$H,'G&amp;A Vendor x GL Analysis'!Z$20,'[1]NS Vendor Details'!$L:$L,'G&amp;A Vendor x GL Analysis'!$D51,'[1]NS Vendor Details'!$O:$O,'G&amp;A Vendor x GL Analysis'!$F51,'[1]NS Vendor Details'!$N:$N,'G&amp;A Vendor x GL Analysis'!$C51,'[1]NS Vendor Details'!$I:$I,'G&amp;A Vendor x GL Analysis'!$E51),IF(Z$15="Actual",SUMIFS('[1]NS Vendor Details'!$D:$D,'[1]NS Vendor Details'!$H:$H,'G&amp;A Vendor x GL Analysis'!Z$20,'[1]NS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0</v>
      </c>
      <c r="AA51" s="17">
        <f>IF(AND(AA$15="Actual",ISBLANK($E$8)),SUMIFS('[1]NS Vendor Details'!$D:$D,'[1]NS Vendor Details'!$H:$H,'G&amp;A Vendor x GL Analysis'!AA$20,'[1]NS Vendor Details'!$L:$L,'G&amp;A Vendor x GL Analysis'!$D51,'[1]NS Vendor Details'!$O:$O,'G&amp;A Vendor x GL Analysis'!$F51,'[1]NS Vendor Details'!$N:$N,'G&amp;A Vendor x GL Analysis'!$C51,'[1]NS Vendor Details'!$I:$I,'G&amp;A Vendor x GL Analysis'!$E51),IF(AA$15="Actual",SUMIFS('[1]NS Vendor Details'!$D:$D,'[1]NS Vendor Details'!$H:$H,'G&amp;A Vendor x GL Analysis'!AA$20,'[1]NS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0</v>
      </c>
      <c r="AB51" s="17">
        <f>IF(AND(AB$15="Actual",ISBLANK($E$8)),SUMIFS('[1]NS Vendor Details'!$D:$D,'[1]NS Vendor Details'!$H:$H,'G&amp;A Vendor x GL Analysis'!AB$20,'[1]NS Vendor Details'!$L:$L,'G&amp;A Vendor x GL Analysis'!$D51,'[1]NS Vendor Details'!$O:$O,'G&amp;A Vendor x GL Analysis'!$F51,'[1]NS Vendor Details'!$N:$N,'G&amp;A Vendor x GL Analysis'!$C51,'[1]NS Vendor Details'!$I:$I,'G&amp;A Vendor x GL Analysis'!$E51),IF(AB$15="Actual",SUMIFS('[1]NS Vendor Details'!$D:$D,'[1]NS Vendor Details'!$H:$H,'G&amp;A Vendor x GL Analysis'!AB$20,'[1]NS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0</v>
      </c>
      <c r="AC51" s="18">
        <f>IF(AND(AC$15="Actual",ISBLANK($E$8)),SUMIFS('[1]NS Vendor Details'!$D:$D,'[1]NS Vendor Details'!$H:$H,'G&amp;A Vendor x GL Analysis'!AC$20,'[1]NS Vendor Details'!$L:$L,'G&amp;A Vendor x GL Analysis'!$D51,'[1]NS Vendor Details'!$O:$O,'G&amp;A Vendor x GL Analysis'!$F51,'[1]NS Vendor Details'!$N:$N,'G&amp;A Vendor x GL Analysis'!$C51,'[1]NS Vendor Details'!$I:$I,'G&amp;A Vendor x GL Analysis'!$E51),IF(AC$15="Actual",SUMIFS('[1]NS Vendor Details'!$D:$D,'[1]NS Vendor Details'!$H:$H,'G&amp;A Vendor x GL Analysis'!AC$20,'[1]NS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0</v>
      </c>
      <c r="AD51" s="18">
        <f>IF(AND(AD$15="Actual",ISBLANK($E$8)),SUMIFS('[1]NS Vendor Details'!$D:$D,'[1]NS Vendor Details'!$H:$H,'G&amp;A Vendor x GL Analysis'!AD$20,'[1]NS Vendor Details'!$L:$L,'G&amp;A Vendor x GL Analysis'!$D51,'[1]NS Vendor Details'!$O:$O,'G&amp;A Vendor x GL Analysis'!$F51,'[1]NS Vendor Details'!$N:$N,'G&amp;A Vendor x GL Analysis'!$C51,'[1]NS Vendor Details'!$I:$I,'G&amp;A Vendor x GL Analysis'!$E51),IF(AD$15="Actual",SUMIFS('[1]NS Vendor Details'!$D:$D,'[1]NS Vendor Details'!$H:$H,'G&amp;A Vendor x GL Analysis'!AD$20,'[1]NS Vendor Details'!$L:$L,'G&amp;A Vendor x GL Analysis'!$D51,'[1]NS Vendor Details'!$O:$O,'G&amp;A Vendor x GL Analysis'!$F51,'[1]NS Vendor Details'!$N:$N,'G&amp;A Vendor x GL Analysis'!$C51,'[1]NS Vendor Details'!$K:$K,'G&amp;A Vendor x GL Analysis'!$E$8,'[1]NS Vendor Details'!$I:$I,'G&amp;A Vendor x GL Analysis'!$E51),0))</f>
        <v>0</v>
      </c>
      <c r="AF51" s="19">
        <f t="shared" si="9"/>
        <v>596.84999999999991</v>
      </c>
    </row>
    <row r="52" spans="1:32" ht="15">
      <c r="A52" s="8" t="str">
        <f t="shared" si="8"/>
        <v>Rent</v>
      </c>
      <c r="B52" s="8" t="s">
        <v>9</v>
      </c>
      <c r="E52" s="9" t="s">
        <v>43</v>
      </c>
      <c r="F52" s="9"/>
      <c r="G52" s="12">
        <f t="shared" ref="G52:AD52" si="14">SUMIFS(G:G,$D:$D,$E52)</f>
        <v>100300.45000000001</v>
      </c>
      <c r="H52" s="13">
        <f t="shared" si="14"/>
        <v>41833.380000000005</v>
      </c>
      <c r="I52" s="13">
        <f t="shared" si="14"/>
        <v>41839.710000000006</v>
      </c>
      <c r="J52" s="13">
        <f t="shared" si="14"/>
        <v>41846.069999999992</v>
      </c>
      <c r="K52" s="13">
        <f t="shared" si="14"/>
        <v>41852.460000000006</v>
      </c>
      <c r="L52" s="13">
        <f t="shared" si="14"/>
        <v>-125725.80000000002</v>
      </c>
      <c r="M52" s="13">
        <f t="shared" si="14"/>
        <v>13934.520000000004</v>
      </c>
      <c r="N52" s="13">
        <f t="shared" si="14"/>
        <v>13940.969999999998</v>
      </c>
      <c r="O52" s="13">
        <f t="shared" si="14"/>
        <v>13947.449999999997</v>
      </c>
      <c r="P52" s="13">
        <f t="shared" si="14"/>
        <v>13953.960000000003</v>
      </c>
      <c r="Q52" s="13">
        <f t="shared" si="14"/>
        <v>13960.500000000004</v>
      </c>
      <c r="R52" s="14">
        <f t="shared" si="14"/>
        <v>12212.84</v>
      </c>
      <c r="S52" s="12">
        <f t="shared" si="14"/>
        <v>24649.53</v>
      </c>
      <c r="T52" s="13">
        <f t="shared" si="14"/>
        <v>24651.739999999998</v>
      </c>
      <c r="U52" s="13">
        <f t="shared" si="14"/>
        <v>24653.989999999998</v>
      </c>
      <c r="V52" s="13">
        <f t="shared" si="14"/>
        <v>24656.17</v>
      </c>
      <c r="W52" s="13">
        <f t="shared" si="14"/>
        <v>24658.39</v>
      </c>
      <c r="X52" s="13">
        <f t="shared" si="14"/>
        <v>24660.63</v>
      </c>
      <c r="Y52" s="13">
        <f t="shared" si="14"/>
        <v>24662.87</v>
      </c>
      <c r="Z52" s="13">
        <f t="shared" si="14"/>
        <v>24665.13</v>
      </c>
      <c r="AA52" s="13">
        <f t="shared" si="14"/>
        <v>24667.39</v>
      </c>
      <c r="AB52" s="13">
        <f t="shared" si="14"/>
        <v>24669.66</v>
      </c>
      <c r="AC52" s="14">
        <f t="shared" si="14"/>
        <v>24671.94</v>
      </c>
      <c r="AD52" s="14">
        <f t="shared" si="14"/>
        <v>0</v>
      </c>
      <c r="AF52" s="19">
        <f t="shared" si="9"/>
        <v>271267.43999999994</v>
      </c>
    </row>
    <row r="53" spans="1:32" outlineLevel="1">
      <c r="A53" s="8" t="str">
        <f t="shared" si="8"/>
        <v>Rent6320 - Building Rent</v>
      </c>
      <c r="C53" s="8" t="s">
        <v>11</v>
      </c>
      <c r="D53" s="8" t="str">
        <f>E52</f>
        <v>Rent</v>
      </c>
      <c r="E53" s="2" t="s">
        <v>44</v>
      </c>
      <c r="F53" s="2" t="s">
        <v>16</v>
      </c>
      <c r="G53" s="16">
        <f>IF(AND(G$15="Actual",ISBLANK($E$8)),SUMIFS('[1]NS Vendor Details'!$D:$D,'[1]NS Vendor Details'!$H:$H,'G&amp;A Vendor x GL Analysis'!G$20,'[1]NS Vendor Details'!$L:$L,'G&amp;A Vendor x GL Analysis'!$D53,'[1]NS Vendor Details'!$O:$O,'G&amp;A Vendor x GL Analysis'!$F53,'[1]NS Vendor Details'!$N:$N,'G&amp;A Vendor x GL Analysis'!$C53),IF(G$15="Actual",SUMIFS('[1]NS Vendor Details'!$D:$D,'[1]NS Vendor Details'!$H:$H,'G&amp;A Vendor x GL Analysis'!G$20,'[1]NS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33193.550000000003</v>
      </c>
      <c r="H53" s="17">
        <f>IF(AND(H$15="Actual",ISBLANK($E$8)),SUMIFS('[1]NS Vendor Details'!$D:$D,'[1]NS Vendor Details'!$H:$H,'G&amp;A Vendor x GL Analysis'!H$20,'[1]NS Vendor Details'!$L:$L,'G&amp;A Vendor x GL Analysis'!$D53,'[1]NS Vendor Details'!$O:$O,'G&amp;A Vendor x GL Analysis'!$F53,'[1]NS Vendor Details'!$N:$N,'G&amp;A Vendor x GL Analysis'!$C53),IF(H$15="Actual",SUMIFS('[1]NS Vendor Details'!$D:$D,'[1]NS Vendor Details'!$H:$H,'G&amp;A Vendor x GL Analysis'!H$20,'[1]NS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3958.9700000000012</v>
      </c>
      <c r="I53" s="17">
        <f>IF(AND(I$15="Actual",ISBLANK($E$8)),SUMIFS('[1]NS Vendor Details'!$D:$D,'[1]NS Vendor Details'!$H:$H,'G&amp;A Vendor x GL Analysis'!I$20,'[1]NS Vendor Details'!$L:$L,'G&amp;A Vendor x GL Analysis'!$D53,'[1]NS Vendor Details'!$O:$O,'G&amp;A Vendor x GL Analysis'!$F53,'[1]NS Vendor Details'!$N:$N,'G&amp;A Vendor x GL Analysis'!$C53),IF(I$15="Actual",SUMIFS('[1]NS Vendor Details'!$D:$D,'[1]NS Vendor Details'!$H:$H,'G&amp;A Vendor x GL Analysis'!I$20,'[1]NS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3961.0800000000017</v>
      </c>
      <c r="J53" s="17">
        <f>IF(AND(J$15="Actual",ISBLANK($E$8)),SUMIFS('[1]NS Vendor Details'!$D:$D,'[1]NS Vendor Details'!$H:$H,'G&amp;A Vendor x GL Analysis'!J$20,'[1]NS Vendor Details'!$L:$L,'G&amp;A Vendor x GL Analysis'!$D53,'[1]NS Vendor Details'!$O:$O,'G&amp;A Vendor x GL Analysis'!$F53,'[1]NS Vendor Details'!$N:$N,'G&amp;A Vendor x GL Analysis'!$C53),IF(J$15="Actual",SUMIFS('[1]NS Vendor Details'!$D:$D,'[1]NS Vendor Details'!$H:$H,'G&amp;A Vendor x GL Analysis'!J$20,'[1]NS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3963.2000000000007</v>
      </c>
      <c r="K53" s="17">
        <f>IF(AND(K$15="Actual",ISBLANK($E$8)),SUMIFS('[1]NS Vendor Details'!$D:$D,'[1]NS Vendor Details'!$H:$H,'G&amp;A Vendor x GL Analysis'!K$20,'[1]NS Vendor Details'!$L:$L,'G&amp;A Vendor x GL Analysis'!$D53,'[1]NS Vendor Details'!$O:$O,'G&amp;A Vendor x GL Analysis'!$F53,'[1]NS Vendor Details'!$N:$N,'G&amp;A Vendor x GL Analysis'!$C53),IF(K$15="Actual",SUMIFS('[1]NS Vendor Details'!$D:$D,'[1]NS Vendor Details'!$H:$H,'G&amp;A Vendor x GL Analysis'!K$20,'[1]NS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3965.3300000000017</v>
      </c>
      <c r="L53" s="17">
        <f>IF(AND(L$15="Actual",ISBLANK($E$8)),SUMIFS('[1]NS Vendor Details'!$D:$D,'[1]NS Vendor Details'!$H:$H,'G&amp;A Vendor x GL Analysis'!L$20,'[1]NS Vendor Details'!$L:$L,'G&amp;A Vendor x GL Analysis'!$D53,'[1]NS Vendor Details'!$O:$O,'G&amp;A Vendor x GL Analysis'!$F53,'[1]NS Vendor Details'!$N:$N,'G&amp;A Vendor x GL Analysis'!$C53),IF(L$15="Actual",SUMIFS('[1]NS Vendor Details'!$D:$D,'[1]NS Vendor Details'!$H:$H,'G&amp;A Vendor x GL Analysis'!L$20,'[1]NS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-51894.090000000004</v>
      </c>
      <c r="M53" s="17">
        <f>IF(AND(M$15="Actual",ISBLANK($E$8)),SUMIFS('[1]NS Vendor Details'!$D:$D,'[1]NS Vendor Details'!$H:$H,'G&amp;A Vendor x GL Analysis'!M$20,'[1]NS Vendor Details'!$L:$L,'G&amp;A Vendor x GL Analysis'!$D53,'[1]NS Vendor Details'!$O:$O,'G&amp;A Vendor x GL Analysis'!$F53,'[1]NS Vendor Details'!$N:$N,'G&amp;A Vendor x GL Analysis'!$C53),IF(M$15="Actual",SUMIFS('[1]NS Vendor Details'!$D:$D,'[1]NS Vendor Details'!$H:$H,'G&amp;A Vendor x GL Analysis'!M$20,'[1]NS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-5340.6499999999978</v>
      </c>
      <c r="N53" s="17">
        <f>IF(AND(N$15="Actual",ISBLANK($E$8)),SUMIFS('[1]NS Vendor Details'!$D:$D,'[1]NS Vendor Details'!$H:$H,'G&amp;A Vendor x GL Analysis'!N$20,'[1]NS Vendor Details'!$L:$L,'G&amp;A Vendor x GL Analysis'!$D53,'[1]NS Vendor Details'!$O:$O,'G&amp;A Vendor x GL Analysis'!$F53,'[1]NS Vendor Details'!$N:$N,'G&amp;A Vendor x GL Analysis'!$C53),IF(N$15="Actual",SUMIFS('[1]NS Vendor Details'!$D:$D,'[1]NS Vendor Details'!$H:$H,'G&amp;A Vendor x GL Analysis'!N$20,'[1]NS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-5338.5</v>
      </c>
      <c r="O53" s="17">
        <f>IF(AND(O$15="Actual",ISBLANK($E$8)),SUMIFS('[1]NS Vendor Details'!$D:$D,'[1]NS Vendor Details'!$H:$H,'G&amp;A Vendor x GL Analysis'!O$20,'[1]NS Vendor Details'!$L:$L,'G&amp;A Vendor x GL Analysis'!$D53,'[1]NS Vendor Details'!$O:$O,'G&amp;A Vendor x GL Analysis'!$F53,'[1]NS Vendor Details'!$N:$N,'G&amp;A Vendor x GL Analysis'!$C53),IF(O$15="Actual",SUMIFS('[1]NS Vendor Details'!$D:$D,'[1]NS Vendor Details'!$H:$H,'G&amp;A Vendor x GL Analysis'!O$20,'[1]NS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-5336.34</v>
      </c>
      <c r="P53" s="17">
        <f>IF(AND(P$15="Actual",ISBLANK($E$8)),SUMIFS('[1]NS Vendor Details'!$D:$D,'[1]NS Vendor Details'!$H:$H,'G&amp;A Vendor x GL Analysis'!P$20,'[1]NS Vendor Details'!$L:$L,'G&amp;A Vendor x GL Analysis'!$D53,'[1]NS Vendor Details'!$O:$O,'G&amp;A Vendor x GL Analysis'!$F53,'[1]NS Vendor Details'!$N:$N,'G&amp;A Vendor x GL Analysis'!$C53),IF(P$15="Actual",SUMIFS('[1]NS Vendor Details'!$D:$D,'[1]NS Vendor Details'!$H:$H,'G&amp;A Vendor x GL Analysis'!P$20,'[1]NS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-5334.1699999999983</v>
      </c>
      <c r="Q53" s="17">
        <f>IF(AND(Q$15="Actual",ISBLANK($E$8)),SUMIFS('[1]NS Vendor Details'!$D:$D,'[1]NS Vendor Details'!$H:$H,'G&amp;A Vendor x GL Analysis'!Q$20,'[1]NS Vendor Details'!$L:$L,'G&amp;A Vendor x GL Analysis'!$D53,'[1]NS Vendor Details'!$O:$O,'G&amp;A Vendor x GL Analysis'!$F53,'[1]NS Vendor Details'!$N:$N,'G&amp;A Vendor x GL Analysis'!$C53),IF(Q$15="Actual",SUMIFS('[1]NS Vendor Details'!$D:$D,'[1]NS Vendor Details'!$H:$H,'G&amp;A Vendor x GL Analysis'!Q$20,'[1]NS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-5331.989999999998</v>
      </c>
      <c r="R53" s="18">
        <f>IF(AND(R$15="Actual",ISBLANK($E$8)),SUMIFS('[1]NS Vendor Details'!$D:$D,'[1]NS Vendor Details'!$H:$H,'G&amp;A Vendor x GL Analysis'!R$20,'[1]NS Vendor Details'!$L:$L,'G&amp;A Vendor x GL Analysis'!$D53,'[1]NS Vendor Details'!$O:$O,'G&amp;A Vendor x GL Analysis'!$F53,'[1]NS Vendor Details'!$N:$N,'G&amp;A Vendor x GL Analysis'!$C53),IF(R$15="Actual",SUMIFS('[1]NS Vendor Details'!$D:$D,'[1]NS Vendor Details'!$H:$H,'G&amp;A Vendor x GL Analysis'!R$20,'[1]NS Vendor Details'!$L:$L,'G&amp;A Vendor x GL Analysis'!$D53,'[1]NS Vendor Details'!$O:$O,'G&amp;A Vendor x GL Analysis'!$F53,'[1]NS Vendor Details'!$N:$N,'G&amp;A Vendor x GL Analysis'!$C53,'[1]NS Vendor Details'!$K:$K,'G&amp;A Vendor x GL Analysis'!$E$8),0))</f>
        <v>-6206.91</v>
      </c>
      <c r="S53" s="16">
        <f>IF(AND(S$15="Actual",ISBLANK($E$8)),SUMIFS('[1]NS Vendor Details'!$D:$D,'[1]NS Vendor Details'!$H:$H,'G&amp;A Vendor x GL Analysis'!S$20,'[1]NS Vendor Details'!$L:$L,'G&amp;A Vendor x GL Analysis'!$D53,'[1]NS Vendor Details'!$O:$O,'G&amp;A Vendor x GL Analysis'!$F53,'[1]NS Vendor Details'!$N:$N,'G&amp;A Vendor x GL Analysis'!$C53,'[1]NS Vendor Details'!$I:$I,'G&amp;A Vendor x GL Analysis'!$E53),IF(S$15="Actual",SUMIFS('[1]NS Vendor Details'!$D:$D,'[1]NS Vendor Details'!$H:$H,'G&amp;A Vendor x GL Analysis'!S$20,'[1]NS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T53" s="17">
        <f>IF(AND(T$15="Actual",ISBLANK($E$8)),SUMIFS('[1]NS Vendor Details'!$D:$D,'[1]NS Vendor Details'!$H:$H,'G&amp;A Vendor x GL Analysis'!T$20,'[1]NS Vendor Details'!$L:$L,'G&amp;A Vendor x GL Analysis'!$D53,'[1]NS Vendor Details'!$O:$O,'G&amp;A Vendor x GL Analysis'!$F53,'[1]NS Vendor Details'!$N:$N,'G&amp;A Vendor x GL Analysis'!$C53,'[1]NS Vendor Details'!$I:$I,'G&amp;A Vendor x GL Analysis'!$E53),IF(T$15="Actual",SUMIFS('[1]NS Vendor Details'!$D:$D,'[1]NS Vendor Details'!$H:$H,'G&amp;A Vendor x GL Analysis'!T$20,'[1]NS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U53" s="17">
        <f>IF(AND(U$15="Actual",ISBLANK($E$8)),SUMIFS('[1]NS Vendor Details'!$D:$D,'[1]NS Vendor Details'!$H:$H,'G&amp;A Vendor x GL Analysis'!U$20,'[1]NS Vendor Details'!$L:$L,'G&amp;A Vendor x GL Analysis'!$D53,'[1]NS Vendor Details'!$O:$O,'G&amp;A Vendor x GL Analysis'!$F53,'[1]NS Vendor Details'!$N:$N,'G&amp;A Vendor x GL Analysis'!$C53,'[1]NS Vendor Details'!$I:$I,'G&amp;A Vendor x GL Analysis'!$E53),IF(U$15="Actual",SUMIFS('[1]NS Vendor Details'!$D:$D,'[1]NS Vendor Details'!$H:$H,'G&amp;A Vendor x GL Analysis'!U$20,'[1]NS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V53" s="17">
        <f>IF(AND(V$15="Actual",ISBLANK($E$8)),SUMIFS('[1]NS Vendor Details'!$D:$D,'[1]NS Vendor Details'!$H:$H,'G&amp;A Vendor x GL Analysis'!V$20,'[1]NS Vendor Details'!$L:$L,'G&amp;A Vendor x GL Analysis'!$D53,'[1]NS Vendor Details'!$O:$O,'G&amp;A Vendor x GL Analysis'!$F53,'[1]NS Vendor Details'!$N:$N,'G&amp;A Vendor x GL Analysis'!$C53,'[1]NS Vendor Details'!$I:$I,'G&amp;A Vendor x GL Analysis'!$E53),IF(V$15="Actual",SUMIFS('[1]NS Vendor Details'!$D:$D,'[1]NS Vendor Details'!$H:$H,'G&amp;A Vendor x GL Analysis'!V$20,'[1]NS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W53" s="17">
        <f>IF(AND(W$15="Actual",ISBLANK($E$8)),SUMIFS('[1]NS Vendor Details'!$D:$D,'[1]NS Vendor Details'!$H:$H,'G&amp;A Vendor x GL Analysis'!W$20,'[1]NS Vendor Details'!$L:$L,'G&amp;A Vendor x GL Analysis'!$D53,'[1]NS Vendor Details'!$O:$O,'G&amp;A Vendor x GL Analysis'!$F53,'[1]NS Vendor Details'!$N:$N,'G&amp;A Vendor x GL Analysis'!$C53,'[1]NS Vendor Details'!$I:$I,'G&amp;A Vendor x GL Analysis'!$E53),IF(W$15="Actual",SUMIFS('[1]NS Vendor Details'!$D:$D,'[1]NS Vendor Details'!$H:$H,'G&amp;A Vendor x GL Analysis'!W$20,'[1]NS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X53" s="17">
        <f>IF(AND(X$15="Actual",ISBLANK($E$8)),SUMIFS('[1]NS Vendor Details'!$D:$D,'[1]NS Vendor Details'!$H:$H,'G&amp;A Vendor x GL Analysis'!X$20,'[1]NS Vendor Details'!$L:$L,'G&amp;A Vendor x GL Analysis'!$D53,'[1]NS Vendor Details'!$O:$O,'G&amp;A Vendor x GL Analysis'!$F53,'[1]NS Vendor Details'!$N:$N,'G&amp;A Vendor x GL Analysis'!$C53,'[1]NS Vendor Details'!$I:$I,'G&amp;A Vendor x GL Analysis'!$E53),IF(X$15="Actual",SUMIFS('[1]NS Vendor Details'!$D:$D,'[1]NS Vendor Details'!$H:$H,'G&amp;A Vendor x GL Analysis'!X$20,'[1]NS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Y53" s="17">
        <f>IF(AND(Y$15="Actual",ISBLANK($E$8)),SUMIFS('[1]NS Vendor Details'!$D:$D,'[1]NS Vendor Details'!$H:$H,'G&amp;A Vendor x GL Analysis'!Y$20,'[1]NS Vendor Details'!$L:$L,'G&amp;A Vendor x GL Analysis'!$D53,'[1]NS Vendor Details'!$O:$O,'G&amp;A Vendor x GL Analysis'!$F53,'[1]NS Vendor Details'!$N:$N,'G&amp;A Vendor x GL Analysis'!$C53,'[1]NS Vendor Details'!$I:$I,'G&amp;A Vendor x GL Analysis'!$E53),IF(Y$15="Actual",SUMIFS('[1]NS Vendor Details'!$D:$D,'[1]NS Vendor Details'!$H:$H,'G&amp;A Vendor x GL Analysis'!Y$20,'[1]NS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Z53" s="17">
        <f>IF(AND(Z$15="Actual",ISBLANK($E$8)),SUMIFS('[1]NS Vendor Details'!$D:$D,'[1]NS Vendor Details'!$H:$H,'G&amp;A Vendor x GL Analysis'!Z$20,'[1]NS Vendor Details'!$L:$L,'G&amp;A Vendor x GL Analysis'!$D53,'[1]NS Vendor Details'!$O:$O,'G&amp;A Vendor x GL Analysis'!$F53,'[1]NS Vendor Details'!$N:$N,'G&amp;A Vendor x GL Analysis'!$C53,'[1]NS Vendor Details'!$I:$I,'G&amp;A Vendor x GL Analysis'!$E53),IF(Z$15="Actual",SUMIFS('[1]NS Vendor Details'!$D:$D,'[1]NS Vendor Details'!$H:$H,'G&amp;A Vendor x GL Analysis'!Z$20,'[1]NS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AA53" s="17">
        <f>IF(AND(AA$15="Actual",ISBLANK($E$8)),SUMIFS('[1]NS Vendor Details'!$D:$D,'[1]NS Vendor Details'!$H:$H,'G&amp;A Vendor x GL Analysis'!AA$20,'[1]NS Vendor Details'!$L:$L,'G&amp;A Vendor x GL Analysis'!$D53,'[1]NS Vendor Details'!$O:$O,'G&amp;A Vendor x GL Analysis'!$F53,'[1]NS Vendor Details'!$N:$N,'G&amp;A Vendor x GL Analysis'!$C53,'[1]NS Vendor Details'!$I:$I,'G&amp;A Vendor x GL Analysis'!$E53),IF(AA$15="Actual",SUMIFS('[1]NS Vendor Details'!$D:$D,'[1]NS Vendor Details'!$H:$H,'G&amp;A Vendor x GL Analysis'!AA$20,'[1]NS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AB53" s="17">
        <f>IF(AND(AB$15="Actual",ISBLANK($E$8)),SUMIFS('[1]NS Vendor Details'!$D:$D,'[1]NS Vendor Details'!$H:$H,'G&amp;A Vendor x GL Analysis'!AB$20,'[1]NS Vendor Details'!$L:$L,'G&amp;A Vendor x GL Analysis'!$D53,'[1]NS Vendor Details'!$O:$O,'G&amp;A Vendor x GL Analysis'!$F53,'[1]NS Vendor Details'!$N:$N,'G&amp;A Vendor x GL Analysis'!$C53,'[1]NS Vendor Details'!$I:$I,'G&amp;A Vendor x GL Analysis'!$E53),IF(AB$15="Actual",SUMIFS('[1]NS Vendor Details'!$D:$D,'[1]NS Vendor Details'!$H:$H,'G&amp;A Vendor x GL Analysis'!AB$20,'[1]NS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AC53" s="18">
        <f>IF(AND(AC$15="Actual",ISBLANK($E$8)),SUMIFS('[1]NS Vendor Details'!$D:$D,'[1]NS Vendor Details'!$H:$H,'G&amp;A Vendor x GL Analysis'!AC$20,'[1]NS Vendor Details'!$L:$L,'G&amp;A Vendor x GL Analysis'!$D53,'[1]NS Vendor Details'!$O:$O,'G&amp;A Vendor x GL Analysis'!$F53,'[1]NS Vendor Details'!$N:$N,'G&amp;A Vendor x GL Analysis'!$C53,'[1]NS Vendor Details'!$I:$I,'G&amp;A Vendor x GL Analysis'!$E53),IF(AC$15="Actual",SUMIFS('[1]NS Vendor Details'!$D:$D,'[1]NS Vendor Details'!$H:$H,'G&amp;A Vendor x GL Analysis'!AC$20,'[1]NS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-30113.77</v>
      </c>
      <c r="AD53" s="18">
        <f>IF(AND(AD$15="Actual",ISBLANK($E$8)),SUMIFS('[1]NS Vendor Details'!$D:$D,'[1]NS Vendor Details'!$H:$H,'G&amp;A Vendor x GL Analysis'!AD$20,'[1]NS Vendor Details'!$L:$L,'G&amp;A Vendor x GL Analysis'!$D53,'[1]NS Vendor Details'!$O:$O,'G&amp;A Vendor x GL Analysis'!$F53,'[1]NS Vendor Details'!$N:$N,'G&amp;A Vendor x GL Analysis'!$C53,'[1]NS Vendor Details'!$I:$I,'G&amp;A Vendor x GL Analysis'!$E53),IF(AD$15="Actual",SUMIFS('[1]NS Vendor Details'!$D:$D,'[1]NS Vendor Details'!$H:$H,'G&amp;A Vendor x GL Analysis'!AD$20,'[1]NS Vendor Details'!$L:$L,'G&amp;A Vendor x GL Analysis'!$D53,'[1]NS Vendor Details'!$O:$O,'G&amp;A Vendor x GL Analysis'!$F53,'[1]NS Vendor Details'!$N:$N,'G&amp;A Vendor x GL Analysis'!$C53,'[1]NS Vendor Details'!$K:$K,'G&amp;A Vendor x GL Analysis'!$E$8,'[1]NS Vendor Details'!$I:$I,'G&amp;A Vendor x GL Analysis'!$E53),0))</f>
        <v>0</v>
      </c>
      <c r="AF53" s="19">
        <f t="shared" si="9"/>
        <v>331251.47000000003</v>
      </c>
    </row>
    <row r="54" spans="1:32" ht="15" outlineLevel="1">
      <c r="A54" s="8" t="str">
        <f t="shared" si="8"/>
        <v>Rent6320 - Building Rent</v>
      </c>
      <c r="C54" s="8" t="s">
        <v>11</v>
      </c>
      <c r="D54" s="8" t="str">
        <f>D53</f>
        <v>Rent</v>
      </c>
      <c r="E54" s="2" t="s">
        <v>44</v>
      </c>
      <c r="F54" s="2" t="s">
        <v>45</v>
      </c>
      <c r="G54" s="16">
        <f>IF(AND(G$15="Actual",ISBLANK($E$8)),SUMIFS('[1]NS Vendor Details'!$D:$D,'[1]NS Vendor Details'!$H:$H,'G&amp;A Vendor x GL Analysis'!G$20,'[1]NS Vendor Details'!$L:$L,'G&amp;A Vendor x GL Analysis'!$D54,'[1]NS Vendor Details'!$O:$O,'G&amp;A Vendor x GL Analysis'!$F54,'[1]NS Vendor Details'!$N:$N,'G&amp;A Vendor x GL Analysis'!$C54),IF(G$15="Actual",SUMIFS('[1]NS Vendor Details'!$D:$D,'[1]NS Vendor Details'!$H:$H,'G&amp;A Vendor x GL Analysis'!G$20,'[1]NS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0</v>
      </c>
      <c r="H54" s="17">
        <f>IF(AND(H$15="Actual",ISBLANK($E$8)),SUMIFS('[1]NS Vendor Details'!$D:$D,'[1]NS Vendor Details'!$H:$H,'G&amp;A Vendor x GL Analysis'!H$20,'[1]NS Vendor Details'!$L:$L,'G&amp;A Vendor x GL Analysis'!$D54,'[1]NS Vendor Details'!$O:$O,'G&amp;A Vendor x GL Analysis'!$F54,'[1]NS Vendor Details'!$N:$N,'G&amp;A Vendor x GL Analysis'!$C54),IF(H$15="Actual",SUMIFS('[1]NS Vendor Details'!$D:$D,'[1]NS Vendor Details'!$H:$H,'G&amp;A Vendor x GL Analysis'!H$20,'[1]NS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I54" s="17">
        <f>IF(AND(I$15="Actual",ISBLANK($E$8)),SUMIFS('[1]NS Vendor Details'!$D:$D,'[1]NS Vendor Details'!$H:$H,'G&amp;A Vendor x GL Analysis'!I$20,'[1]NS Vendor Details'!$L:$L,'G&amp;A Vendor x GL Analysis'!$D54,'[1]NS Vendor Details'!$O:$O,'G&amp;A Vendor x GL Analysis'!$F54,'[1]NS Vendor Details'!$N:$N,'G&amp;A Vendor x GL Analysis'!$C54),IF(I$15="Actual",SUMIFS('[1]NS Vendor Details'!$D:$D,'[1]NS Vendor Details'!$H:$H,'G&amp;A Vendor x GL Analysis'!I$20,'[1]NS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J54" s="17">
        <f>IF(AND(J$15="Actual",ISBLANK($E$8)),SUMIFS('[1]NS Vendor Details'!$D:$D,'[1]NS Vendor Details'!$H:$H,'G&amp;A Vendor x GL Analysis'!J$20,'[1]NS Vendor Details'!$L:$L,'G&amp;A Vendor x GL Analysis'!$D54,'[1]NS Vendor Details'!$O:$O,'G&amp;A Vendor x GL Analysis'!$F54,'[1]NS Vendor Details'!$N:$N,'G&amp;A Vendor x GL Analysis'!$C54),IF(J$15="Actual",SUMIFS('[1]NS Vendor Details'!$D:$D,'[1]NS Vendor Details'!$H:$H,'G&amp;A Vendor x GL Analysis'!J$20,'[1]NS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K54" s="17">
        <f>IF(AND(K$15="Actual",ISBLANK($E$8)),SUMIFS('[1]NS Vendor Details'!$D:$D,'[1]NS Vendor Details'!$H:$H,'G&amp;A Vendor x GL Analysis'!K$20,'[1]NS Vendor Details'!$L:$L,'G&amp;A Vendor x GL Analysis'!$D54,'[1]NS Vendor Details'!$O:$O,'G&amp;A Vendor x GL Analysis'!$F54,'[1]NS Vendor Details'!$N:$N,'G&amp;A Vendor x GL Analysis'!$C54),IF(K$15="Actual",SUMIFS('[1]NS Vendor Details'!$D:$D,'[1]NS Vendor Details'!$H:$H,'G&amp;A Vendor x GL Analysis'!K$20,'[1]NS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L54" s="17">
        <f>IF(AND(L$15="Actual",ISBLANK($E$8)),SUMIFS('[1]NS Vendor Details'!$D:$D,'[1]NS Vendor Details'!$H:$H,'G&amp;A Vendor x GL Analysis'!L$20,'[1]NS Vendor Details'!$L:$L,'G&amp;A Vendor x GL Analysis'!$D54,'[1]NS Vendor Details'!$O:$O,'G&amp;A Vendor x GL Analysis'!$F54,'[1]NS Vendor Details'!$N:$N,'G&amp;A Vendor x GL Analysis'!$C54),IF(L$15="Actual",SUMIFS('[1]NS Vendor Details'!$D:$D,'[1]NS Vendor Details'!$H:$H,'G&amp;A Vendor x GL Analysis'!L$20,'[1]NS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M54" s="17">
        <f>IF(AND(M$15="Actual",ISBLANK($E$8)),SUMIFS('[1]NS Vendor Details'!$D:$D,'[1]NS Vendor Details'!$H:$H,'G&amp;A Vendor x GL Analysis'!M$20,'[1]NS Vendor Details'!$L:$L,'G&amp;A Vendor x GL Analysis'!$D54,'[1]NS Vendor Details'!$O:$O,'G&amp;A Vendor x GL Analysis'!$F54,'[1]NS Vendor Details'!$N:$N,'G&amp;A Vendor x GL Analysis'!$C54),IF(M$15="Actual",SUMIFS('[1]NS Vendor Details'!$D:$D,'[1]NS Vendor Details'!$H:$H,'G&amp;A Vendor x GL Analysis'!M$20,'[1]NS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N54" s="17">
        <f>IF(AND(N$15="Actual",ISBLANK($E$8)),SUMIFS('[1]NS Vendor Details'!$D:$D,'[1]NS Vendor Details'!$H:$H,'G&amp;A Vendor x GL Analysis'!N$20,'[1]NS Vendor Details'!$L:$L,'G&amp;A Vendor x GL Analysis'!$D54,'[1]NS Vendor Details'!$O:$O,'G&amp;A Vendor x GL Analysis'!$F54,'[1]NS Vendor Details'!$N:$N,'G&amp;A Vendor x GL Analysis'!$C54),IF(N$15="Actual",SUMIFS('[1]NS Vendor Details'!$D:$D,'[1]NS Vendor Details'!$H:$H,'G&amp;A Vendor x GL Analysis'!N$20,'[1]NS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O54" s="17">
        <f>IF(AND(O$15="Actual",ISBLANK($E$8)),SUMIFS('[1]NS Vendor Details'!$D:$D,'[1]NS Vendor Details'!$H:$H,'G&amp;A Vendor x GL Analysis'!O$20,'[1]NS Vendor Details'!$L:$L,'G&amp;A Vendor x GL Analysis'!$D54,'[1]NS Vendor Details'!$O:$O,'G&amp;A Vendor x GL Analysis'!$F54,'[1]NS Vendor Details'!$N:$N,'G&amp;A Vendor x GL Analysis'!$C54),IF(O$15="Actual",SUMIFS('[1]NS Vendor Details'!$D:$D,'[1]NS Vendor Details'!$H:$H,'G&amp;A Vendor x GL Analysis'!O$20,'[1]NS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P54" s="17">
        <f>IF(AND(P$15="Actual",ISBLANK($E$8)),SUMIFS('[1]NS Vendor Details'!$D:$D,'[1]NS Vendor Details'!$H:$H,'G&amp;A Vendor x GL Analysis'!P$20,'[1]NS Vendor Details'!$L:$L,'G&amp;A Vendor x GL Analysis'!$D54,'[1]NS Vendor Details'!$O:$O,'G&amp;A Vendor x GL Analysis'!$F54,'[1]NS Vendor Details'!$N:$N,'G&amp;A Vendor x GL Analysis'!$C54),IF(P$15="Actual",SUMIFS('[1]NS Vendor Details'!$D:$D,'[1]NS Vendor Details'!$H:$H,'G&amp;A Vendor x GL Analysis'!P$20,'[1]NS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Q54" s="17">
        <f>IF(AND(Q$15="Actual",ISBLANK($E$8)),SUMIFS('[1]NS Vendor Details'!$D:$D,'[1]NS Vendor Details'!$H:$H,'G&amp;A Vendor x GL Analysis'!Q$20,'[1]NS Vendor Details'!$L:$L,'G&amp;A Vendor x GL Analysis'!$D54,'[1]NS Vendor Details'!$O:$O,'G&amp;A Vendor x GL Analysis'!$F54,'[1]NS Vendor Details'!$N:$N,'G&amp;A Vendor x GL Analysis'!$C54),IF(Q$15="Actual",SUMIFS('[1]NS Vendor Details'!$D:$D,'[1]NS Vendor Details'!$H:$H,'G&amp;A Vendor x GL Analysis'!Q$20,'[1]NS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29236.67</v>
      </c>
      <c r="R54" s="18">
        <f>IF(AND(R$15="Actual",ISBLANK($E$8)),SUMIFS('[1]NS Vendor Details'!$D:$D,'[1]NS Vendor Details'!$H:$H,'G&amp;A Vendor x GL Analysis'!R$20,'[1]NS Vendor Details'!$L:$L,'G&amp;A Vendor x GL Analysis'!$D54,'[1]NS Vendor Details'!$O:$O,'G&amp;A Vendor x GL Analysis'!$F54,'[1]NS Vendor Details'!$N:$N,'G&amp;A Vendor x GL Analysis'!$C54),IF(R$15="Actual",SUMIFS('[1]NS Vendor Details'!$D:$D,'[1]NS Vendor Details'!$H:$H,'G&amp;A Vendor x GL Analysis'!R$20,'[1]NS Vendor Details'!$L:$L,'G&amp;A Vendor x GL Analysis'!$D54,'[1]NS Vendor Details'!$O:$O,'G&amp;A Vendor x GL Analysis'!$F54,'[1]NS Vendor Details'!$N:$N,'G&amp;A Vendor x GL Analysis'!$C54,'[1]NS Vendor Details'!$K:$K,'G&amp;A Vendor x GL Analysis'!$E$8),0))</f>
        <v>30113.77</v>
      </c>
      <c r="S54" s="16">
        <f>IF(AND(S$15="Actual",ISBLANK($E$8)),SUMIFS('[1]NS Vendor Details'!$D:$D,'[1]NS Vendor Details'!$H:$H,'G&amp;A Vendor x GL Analysis'!S$20,'[1]NS Vendor Details'!$L:$L,'G&amp;A Vendor x GL Analysis'!$D54,'[1]NS Vendor Details'!$O:$O,'G&amp;A Vendor x GL Analysis'!$F54,'[1]NS Vendor Details'!$N:$N,'G&amp;A Vendor x GL Analysis'!$C54,'[1]NS Vendor Details'!$I:$I,'G&amp;A Vendor x GL Analysis'!$E54),IF(S$15="Actual",SUMIFS('[1]NS Vendor Details'!$D:$D,'[1]NS Vendor Details'!$H:$H,'G&amp;A Vendor x GL Analysis'!S$20,'[1]NS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T54" s="17">
        <f>IF(AND(T$15="Actual",ISBLANK($E$8)),SUMIFS('[1]NS Vendor Details'!$D:$D,'[1]NS Vendor Details'!$H:$H,'G&amp;A Vendor x GL Analysis'!T$20,'[1]NS Vendor Details'!$L:$L,'G&amp;A Vendor x GL Analysis'!$D54,'[1]NS Vendor Details'!$O:$O,'G&amp;A Vendor x GL Analysis'!$F54,'[1]NS Vendor Details'!$N:$N,'G&amp;A Vendor x GL Analysis'!$C54,'[1]NS Vendor Details'!$I:$I,'G&amp;A Vendor x GL Analysis'!$E54),IF(T$15="Actual",SUMIFS('[1]NS Vendor Details'!$D:$D,'[1]NS Vendor Details'!$H:$H,'G&amp;A Vendor x GL Analysis'!T$20,'[1]NS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U54" s="17">
        <f>IF(AND(U$15="Actual",ISBLANK($E$8)),SUMIFS('[1]NS Vendor Details'!$D:$D,'[1]NS Vendor Details'!$H:$H,'G&amp;A Vendor x GL Analysis'!U$20,'[1]NS Vendor Details'!$L:$L,'G&amp;A Vendor x GL Analysis'!$D54,'[1]NS Vendor Details'!$O:$O,'G&amp;A Vendor x GL Analysis'!$F54,'[1]NS Vendor Details'!$N:$N,'G&amp;A Vendor x GL Analysis'!$C54,'[1]NS Vendor Details'!$I:$I,'G&amp;A Vendor x GL Analysis'!$E54),IF(U$15="Actual",SUMIFS('[1]NS Vendor Details'!$D:$D,'[1]NS Vendor Details'!$H:$H,'G&amp;A Vendor x GL Analysis'!U$20,'[1]NS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V54" s="17">
        <f>IF(AND(V$15="Actual",ISBLANK($E$8)),SUMIFS('[1]NS Vendor Details'!$D:$D,'[1]NS Vendor Details'!$H:$H,'G&amp;A Vendor x GL Analysis'!V$20,'[1]NS Vendor Details'!$L:$L,'G&amp;A Vendor x GL Analysis'!$D54,'[1]NS Vendor Details'!$O:$O,'G&amp;A Vendor x GL Analysis'!$F54,'[1]NS Vendor Details'!$N:$N,'G&amp;A Vendor x GL Analysis'!$C54,'[1]NS Vendor Details'!$I:$I,'G&amp;A Vendor x GL Analysis'!$E54),IF(V$15="Actual",SUMIFS('[1]NS Vendor Details'!$D:$D,'[1]NS Vendor Details'!$H:$H,'G&amp;A Vendor x GL Analysis'!V$20,'[1]NS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W54" s="17">
        <f>IF(AND(W$15="Actual",ISBLANK($E$8)),SUMIFS('[1]NS Vendor Details'!$D:$D,'[1]NS Vendor Details'!$H:$H,'G&amp;A Vendor x GL Analysis'!W$20,'[1]NS Vendor Details'!$L:$L,'G&amp;A Vendor x GL Analysis'!$D54,'[1]NS Vendor Details'!$O:$O,'G&amp;A Vendor x GL Analysis'!$F54,'[1]NS Vendor Details'!$N:$N,'G&amp;A Vendor x GL Analysis'!$C54,'[1]NS Vendor Details'!$I:$I,'G&amp;A Vendor x GL Analysis'!$E54),IF(W$15="Actual",SUMIFS('[1]NS Vendor Details'!$D:$D,'[1]NS Vendor Details'!$H:$H,'G&amp;A Vendor x GL Analysis'!W$20,'[1]NS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X54" s="17">
        <f>IF(AND(X$15="Actual",ISBLANK($E$8)),SUMIFS('[1]NS Vendor Details'!$D:$D,'[1]NS Vendor Details'!$H:$H,'G&amp;A Vendor x GL Analysis'!X$20,'[1]NS Vendor Details'!$L:$L,'G&amp;A Vendor x GL Analysis'!$D54,'[1]NS Vendor Details'!$O:$O,'G&amp;A Vendor x GL Analysis'!$F54,'[1]NS Vendor Details'!$N:$N,'G&amp;A Vendor x GL Analysis'!$C54,'[1]NS Vendor Details'!$I:$I,'G&amp;A Vendor x GL Analysis'!$E54),IF(X$15="Actual",SUMIFS('[1]NS Vendor Details'!$D:$D,'[1]NS Vendor Details'!$H:$H,'G&amp;A Vendor x GL Analysis'!X$20,'[1]NS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Y54" s="17">
        <f>IF(AND(Y$15="Actual",ISBLANK($E$8)),SUMIFS('[1]NS Vendor Details'!$D:$D,'[1]NS Vendor Details'!$H:$H,'G&amp;A Vendor x GL Analysis'!Y$20,'[1]NS Vendor Details'!$L:$L,'G&amp;A Vendor x GL Analysis'!$D54,'[1]NS Vendor Details'!$O:$O,'G&amp;A Vendor x GL Analysis'!$F54,'[1]NS Vendor Details'!$N:$N,'G&amp;A Vendor x GL Analysis'!$C54,'[1]NS Vendor Details'!$I:$I,'G&amp;A Vendor x GL Analysis'!$E54),IF(Y$15="Actual",SUMIFS('[1]NS Vendor Details'!$D:$D,'[1]NS Vendor Details'!$H:$H,'G&amp;A Vendor x GL Analysis'!Y$20,'[1]NS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Z54" s="17">
        <f>IF(AND(Z$15="Actual",ISBLANK($E$8)),SUMIFS('[1]NS Vendor Details'!$D:$D,'[1]NS Vendor Details'!$H:$H,'G&amp;A Vendor x GL Analysis'!Z$20,'[1]NS Vendor Details'!$L:$L,'G&amp;A Vendor x GL Analysis'!$D54,'[1]NS Vendor Details'!$O:$O,'G&amp;A Vendor x GL Analysis'!$F54,'[1]NS Vendor Details'!$N:$N,'G&amp;A Vendor x GL Analysis'!$C54,'[1]NS Vendor Details'!$I:$I,'G&amp;A Vendor x GL Analysis'!$E54),IF(Z$15="Actual",SUMIFS('[1]NS Vendor Details'!$D:$D,'[1]NS Vendor Details'!$H:$H,'G&amp;A Vendor x GL Analysis'!Z$20,'[1]NS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AA54" s="17">
        <f>IF(AND(AA$15="Actual",ISBLANK($E$8)),SUMIFS('[1]NS Vendor Details'!$D:$D,'[1]NS Vendor Details'!$H:$H,'G&amp;A Vendor x GL Analysis'!AA$20,'[1]NS Vendor Details'!$L:$L,'G&amp;A Vendor x GL Analysis'!$D54,'[1]NS Vendor Details'!$O:$O,'G&amp;A Vendor x GL Analysis'!$F54,'[1]NS Vendor Details'!$N:$N,'G&amp;A Vendor x GL Analysis'!$C54,'[1]NS Vendor Details'!$I:$I,'G&amp;A Vendor x GL Analysis'!$E54),IF(AA$15="Actual",SUMIFS('[1]NS Vendor Details'!$D:$D,'[1]NS Vendor Details'!$H:$H,'G&amp;A Vendor x GL Analysis'!AA$20,'[1]NS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AB54" s="17">
        <f>IF(AND(AB$15="Actual",ISBLANK($E$8)),SUMIFS('[1]NS Vendor Details'!$D:$D,'[1]NS Vendor Details'!$H:$H,'G&amp;A Vendor x GL Analysis'!AB$20,'[1]NS Vendor Details'!$L:$L,'G&amp;A Vendor x GL Analysis'!$D54,'[1]NS Vendor Details'!$O:$O,'G&amp;A Vendor x GL Analysis'!$F54,'[1]NS Vendor Details'!$N:$N,'G&amp;A Vendor x GL Analysis'!$C54,'[1]NS Vendor Details'!$I:$I,'G&amp;A Vendor x GL Analysis'!$E54),IF(AB$15="Actual",SUMIFS('[1]NS Vendor Details'!$D:$D,'[1]NS Vendor Details'!$H:$H,'G&amp;A Vendor x GL Analysis'!AB$20,'[1]NS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AC54" s="18">
        <f>IF(AND(AC$15="Actual",ISBLANK($E$8)),SUMIFS('[1]NS Vendor Details'!$D:$D,'[1]NS Vendor Details'!$H:$H,'G&amp;A Vendor x GL Analysis'!AC$20,'[1]NS Vendor Details'!$L:$L,'G&amp;A Vendor x GL Analysis'!$D54,'[1]NS Vendor Details'!$O:$O,'G&amp;A Vendor x GL Analysis'!$F54,'[1]NS Vendor Details'!$N:$N,'G&amp;A Vendor x GL Analysis'!$C54,'[1]NS Vendor Details'!$I:$I,'G&amp;A Vendor x GL Analysis'!$E54),IF(AC$15="Actual",SUMIFS('[1]NS Vendor Details'!$D:$D,'[1]NS Vendor Details'!$H:$H,'G&amp;A Vendor x GL Analysis'!AC$20,'[1]NS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30113.77</v>
      </c>
      <c r="AD54" s="18">
        <f>IF(AND(AD$15="Actual",ISBLANK($E$8)),SUMIFS('[1]NS Vendor Details'!$D:$D,'[1]NS Vendor Details'!$H:$H,'G&amp;A Vendor x GL Analysis'!AD$20,'[1]NS Vendor Details'!$L:$L,'G&amp;A Vendor x GL Analysis'!$D54,'[1]NS Vendor Details'!$O:$O,'G&amp;A Vendor x GL Analysis'!$F54,'[1]NS Vendor Details'!$N:$N,'G&amp;A Vendor x GL Analysis'!$C54,'[1]NS Vendor Details'!$I:$I,'G&amp;A Vendor x GL Analysis'!$E54),IF(AD$15="Actual",SUMIFS('[1]NS Vendor Details'!$D:$D,'[1]NS Vendor Details'!$H:$H,'G&amp;A Vendor x GL Analysis'!AD$20,'[1]NS Vendor Details'!$L:$L,'G&amp;A Vendor x GL Analysis'!$D54,'[1]NS Vendor Details'!$O:$O,'G&amp;A Vendor x GL Analysis'!$F54,'[1]NS Vendor Details'!$N:$N,'G&amp;A Vendor x GL Analysis'!$C54,'[1]NS Vendor Details'!$K:$K,'G&amp;A Vendor x GL Analysis'!$E$8,'[1]NS Vendor Details'!$I:$I,'G&amp;A Vendor x GL Analysis'!$E54),0))</f>
        <v>0</v>
      </c>
      <c r="AF54" s="15">
        <f t="shared" si="9"/>
        <v>331251.47000000003</v>
      </c>
    </row>
    <row r="55" spans="1:32" outlineLevel="1">
      <c r="A55" s="8" t="str">
        <f t="shared" si="8"/>
        <v>Rent6410 - Lease Expense</v>
      </c>
      <c r="C55" s="8" t="s">
        <v>11</v>
      </c>
      <c r="D55" s="8" t="str">
        <f t="shared" ref="D55:D57" si="15">D54</f>
        <v>Rent</v>
      </c>
      <c r="E55" s="2" t="s">
        <v>46</v>
      </c>
      <c r="F55" s="2" t="s">
        <v>16</v>
      </c>
      <c r="G55" s="16">
        <f>IF(AND(G$15="Actual",ISBLANK($E$8)),SUMIFS('[1]NS Vendor Details'!$D:$D,'[1]NS Vendor Details'!$H:$H,'G&amp;A Vendor x GL Analysis'!G$20,'[1]NS Vendor Details'!$L:$L,'G&amp;A Vendor x GL Analysis'!$D55,'[1]NS Vendor Details'!$O:$O,'G&amp;A Vendor x GL Analysis'!$F55,'[1]NS Vendor Details'!$N:$N,'G&amp;A Vendor x GL Analysis'!$C55),IF(G$15="Actual",SUMIFS('[1]NS Vendor Details'!$D:$D,'[1]NS Vendor Details'!$H:$H,'G&amp;A Vendor x GL Analysis'!G$20,'[1]NS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33193.550000000003</v>
      </c>
      <c r="H55" s="17">
        <f>IF(AND(H$15="Actual",ISBLANK($E$8)),SUMIFS('[1]NS Vendor Details'!$D:$D,'[1]NS Vendor Details'!$H:$H,'G&amp;A Vendor x GL Analysis'!H$20,'[1]NS Vendor Details'!$L:$L,'G&amp;A Vendor x GL Analysis'!$D55,'[1]NS Vendor Details'!$O:$O,'G&amp;A Vendor x GL Analysis'!$F55,'[1]NS Vendor Details'!$N:$N,'G&amp;A Vendor x GL Analysis'!$C55),IF(H$15="Actual",SUMIFS('[1]NS Vendor Details'!$D:$D,'[1]NS Vendor Details'!$H:$H,'G&amp;A Vendor x GL Analysis'!H$20,'[1]NS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3958.9700000000012</v>
      </c>
      <c r="I55" s="17">
        <f>IF(AND(I$15="Actual",ISBLANK($E$8)),SUMIFS('[1]NS Vendor Details'!$D:$D,'[1]NS Vendor Details'!$H:$H,'G&amp;A Vendor x GL Analysis'!I$20,'[1]NS Vendor Details'!$L:$L,'G&amp;A Vendor x GL Analysis'!$D55,'[1]NS Vendor Details'!$O:$O,'G&amp;A Vendor x GL Analysis'!$F55,'[1]NS Vendor Details'!$N:$N,'G&amp;A Vendor x GL Analysis'!$C55),IF(I$15="Actual",SUMIFS('[1]NS Vendor Details'!$D:$D,'[1]NS Vendor Details'!$H:$H,'G&amp;A Vendor x GL Analysis'!I$20,'[1]NS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3961.0800000000017</v>
      </c>
      <c r="J55" s="17">
        <f>IF(AND(J$15="Actual",ISBLANK($E$8)),SUMIFS('[1]NS Vendor Details'!$D:$D,'[1]NS Vendor Details'!$H:$H,'G&amp;A Vendor x GL Analysis'!J$20,'[1]NS Vendor Details'!$L:$L,'G&amp;A Vendor x GL Analysis'!$D55,'[1]NS Vendor Details'!$O:$O,'G&amp;A Vendor x GL Analysis'!$F55,'[1]NS Vendor Details'!$N:$N,'G&amp;A Vendor x GL Analysis'!$C55),IF(J$15="Actual",SUMIFS('[1]NS Vendor Details'!$D:$D,'[1]NS Vendor Details'!$H:$H,'G&amp;A Vendor x GL Analysis'!J$20,'[1]NS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3963.2000000000007</v>
      </c>
      <c r="K55" s="17">
        <f>IF(AND(K$15="Actual",ISBLANK($E$8)),SUMIFS('[1]NS Vendor Details'!$D:$D,'[1]NS Vendor Details'!$H:$H,'G&amp;A Vendor x GL Analysis'!K$20,'[1]NS Vendor Details'!$L:$L,'G&amp;A Vendor x GL Analysis'!$D55,'[1]NS Vendor Details'!$O:$O,'G&amp;A Vendor x GL Analysis'!$F55,'[1]NS Vendor Details'!$N:$N,'G&amp;A Vendor x GL Analysis'!$C55),IF(K$15="Actual",SUMIFS('[1]NS Vendor Details'!$D:$D,'[1]NS Vendor Details'!$H:$H,'G&amp;A Vendor x GL Analysis'!K$20,'[1]NS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3965.3300000000017</v>
      </c>
      <c r="L55" s="17">
        <f>IF(AND(L$15="Actual",ISBLANK($E$8)),SUMIFS('[1]NS Vendor Details'!$D:$D,'[1]NS Vendor Details'!$H:$H,'G&amp;A Vendor x GL Analysis'!L$20,'[1]NS Vendor Details'!$L:$L,'G&amp;A Vendor x GL Analysis'!$D55,'[1]NS Vendor Details'!$O:$O,'G&amp;A Vendor x GL Analysis'!$F55,'[1]NS Vendor Details'!$N:$N,'G&amp;A Vendor x GL Analysis'!$C55),IF(L$15="Actual",SUMIFS('[1]NS Vendor Details'!$D:$D,'[1]NS Vendor Details'!$H:$H,'G&amp;A Vendor x GL Analysis'!L$20,'[1]NS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-51894.090000000004</v>
      </c>
      <c r="M55" s="17">
        <f>IF(AND(M$15="Actual",ISBLANK($E$8)),SUMIFS('[1]NS Vendor Details'!$D:$D,'[1]NS Vendor Details'!$H:$H,'G&amp;A Vendor x GL Analysis'!M$20,'[1]NS Vendor Details'!$L:$L,'G&amp;A Vendor x GL Analysis'!$D55,'[1]NS Vendor Details'!$O:$O,'G&amp;A Vendor x GL Analysis'!$F55,'[1]NS Vendor Details'!$N:$N,'G&amp;A Vendor x GL Analysis'!$C55),IF(M$15="Actual",SUMIFS('[1]NS Vendor Details'!$D:$D,'[1]NS Vendor Details'!$H:$H,'G&amp;A Vendor x GL Analysis'!M$20,'[1]NS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-5340.6499999999978</v>
      </c>
      <c r="N55" s="17">
        <f>IF(AND(N$15="Actual",ISBLANK($E$8)),SUMIFS('[1]NS Vendor Details'!$D:$D,'[1]NS Vendor Details'!$H:$H,'G&amp;A Vendor x GL Analysis'!N$20,'[1]NS Vendor Details'!$L:$L,'G&amp;A Vendor x GL Analysis'!$D55,'[1]NS Vendor Details'!$O:$O,'G&amp;A Vendor x GL Analysis'!$F55,'[1]NS Vendor Details'!$N:$N,'G&amp;A Vendor x GL Analysis'!$C55),IF(N$15="Actual",SUMIFS('[1]NS Vendor Details'!$D:$D,'[1]NS Vendor Details'!$H:$H,'G&amp;A Vendor x GL Analysis'!N$20,'[1]NS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-5338.5</v>
      </c>
      <c r="O55" s="17">
        <f>IF(AND(O$15="Actual",ISBLANK($E$8)),SUMIFS('[1]NS Vendor Details'!$D:$D,'[1]NS Vendor Details'!$H:$H,'G&amp;A Vendor x GL Analysis'!O$20,'[1]NS Vendor Details'!$L:$L,'G&amp;A Vendor x GL Analysis'!$D55,'[1]NS Vendor Details'!$O:$O,'G&amp;A Vendor x GL Analysis'!$F55,'[1]NS Vendor Details'!$N:$N,'G&amp;A Vendor x GL Analysis'!$C55),IF(O$15="Actual",SUMIFS('[1]NS Vendor Details'!$D:$D,'[1]NS Vendor Details'!$H:$H,'G&amp;A Vendor x GL Analysis'!O$20,'[1]NS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-5336.34</v>
      </c>
      <c r="P55" s="17">
        <f>IF(AND(P$15="Actual",ISBLANK($E$8)),SUMIFS('[1]NS Vendor Details'!$D:$D,'[1]NS Vendor Details'!$H:$H,'G&amp;A Vendor x GL Analysis'!P$20,'[1]NS Vendor Details'!$L:$L,'G&amp;A Vendor x GL Analysis'!$D55,'[1]NS Vendor Details'!$O:$O,'G&amp;A Vendor x GL Analysis'!$F55,'[1]NS Vendor Details'!$N:$N,'G&amp;A Vendor x GL Analysis'!$C55),IF(P$15="Actual",SUMIFS('[1]NS Vendor Details'!$D:$D,'[1]NS Vendor Details'!$H:$H,'G&amp;A Vendor x GL Analysis'!P$20,'[1]NS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-5334.1699999999983</v>
      </c>
      <c r="Q55" s="17">
        <f>IF(AND(Q$15="Actual",ISBLANK($E$8)),SUMIFS('[1]NS Vendor Details'!$D:$D,'[1]NS Vendor Details'!$H:$H,'G&amp;A Vendor x GL Analysis'!Q$20,'[1]NS Vendor Details'!$L:$L,'G&amp;A Vendor x GL Analysis'!$D55,'[1]NS Vendor Details'!$O:$O,'G&amp;A Vendor x GL Analysis'!$F55,'[1]NS Vendor Details'!$N:$N,'G&amp;A Vendor x GL Analysis'!$C55),IF(Q$15="Actual",SUMIFS('[1]NS Vendor Details'!$D:$D,'[1]NS Vendor Details'!$H:$H,'G&amp;A Vendor x GL Analysis'!Q$20,'[1]NS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-5331.989999999998</v>
      </c>
      <c r="R55" s="18">
        <f>IF(AND(R$15="Actual",ISBLANK($E$8)),SUMIFS('[1]NS Vendor Details'!$D:$D,'[1]NS Vendor Details'!$H:$H,'G&amp;A Vendor x GL Analysis'!R$20,'[1]NS Vendor Details'!$L:$L,'G&amp;A Vendor x GL Analysis'!$D55,'[1]NS Vendor Details'!$O:$O,'G&amp;A Vendor x GL Analysis'!$F55,'[1]NS Vendor Details'!$N:$N,'G&amp;A Vendor x GL Analysis'!$C55),IF(R$15="Actual",SUMIFS('[1]NS Vendor Details'!$D:$D,'[1]NS Vendor Details'!$H:$H,'G&amp;A Vendor x GL Analysis'!R$20,'[1]NS Vendor Details'!$L:$L,'G&amp;A Vendor x GL Analysis'!$D55,'[1]NS Vendor Details'!$O:$O,'G&amp;A Vendor x GL Analysis'!$F55,'[1]NS Vendor Details'!$N:$N,'G&amp;A Vendor x GL Analysis'!$C55,'[1]NS Vendor Details'!$K:$K,'G&amp;A Vendor x GL Analysis'!$E$8),0))</f>
        <v>-6206.91</v>
      </c>
      <c r="S55" s="16">
        <f>IF(AND(S$15="Actual",ISBLANK($E$8)),SUMIFS('[1]NS Vendor Details'!$D:$D,'[1]NS Vendor Details'!$H:$H,'G&amp;A Vendor x GL Analysis'!S$20,'[1]NS Vendor Details'!$L:$L,'G&amp;A Vendor x GL Analysis'!$D55,'[1]NS Vendor Details'!$O:$O,'G&amp;A Vendor x GL Analysis'!$F55,'[1]NS Vendor Details'!$N:$N,'G&amp;A Vendor x GL Analysis'!$C55,'[1]NS Vendor Details'!$I:$I,'G&amp;A Vendor x GL Analysis'!$E55),IF(S$15="Actual",SUMIFS('[1]NS Vendor Details'!$D:$D,'[1]NS Vendor Details'!$H:$H,'G&amp;A Vendor x GL Analysis'!S$20,'[1]NS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T55" s="17">
        <f>IF(AND(T$15="Actual",ISBLANK($E$8)),SUMIFS('[1]NS Vendor Details'!$D:$D,'[1]NS Vendor Details'!$H:$H,'G&amp;A Vendor x GL Analysis'!T$20,'[1]NS Vendor Details'!$L:$L,'G&amp;A Vendor x GL Analysis'!$D55,'[1]NS Vendor Details'!$O:$O,'G&amp;A Vendor x GL Analysis'!$F55,'[1]NS Vendor Details'!$N:$N,'G&amp;A Vendor x GL Analysis'!$C55,'[1]NS Vendor Details'!$I:$I,'G&amp;A Vendor x GL Analysis'!$E55),IF(T$15="Actual",SUMIFS('[1]NS Vendor Details'!$D:$D,'[1]NS Vendor Details'!$H:$H,'G&amp;A Vendor x GL Analysis'!T$20,'[1]NS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U55" s="17">
        <f>IF(AND(U$15="Actual",ISBLANK($E$8)),SUMIFS('[1]NS Vendor Details'!$D:$D,'[1]NS Vendor Details'!$H:$H,'G&amp;A Vendor x GL Analysis'!U$20,'[1]NS Vendor Details'!$L:$L,'G&amp;A Vendor x GL Analysis'!$D55,'[1]NS Vendor Details'!$O:$O,'G&amp;A Vendor x GL Analysis'!$F55,'[1]NS Vendor Details'!$N:$N,'G&amp;A Vendor x GL Analysis'!$C55,'[1]NS Vendor Details'!$I:$I,'G&amp;A Vendor x GL Analysis'!$E55),IF(U$15="Actual",SUMIFS('[1]NS Vendor Details'!$D:$D,'[1]NS Vendor Details'!$H:$H,'G&amp;A Vendor x GL Analysis'!U$20,'[1]NS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V55" s="17">
        <f>IF(AND(V$15="Actual",ISBLANK($E$8)),SUMIFS('[1]NS Vendor Details'!$D:$D,'[1]NS Vendor Details'!$H:$H,'G&amp;A Vendor x GL Analysis'!V$20,'[1]NS Vendor Details'!$L:$L,'G&amp;A Vendor x GL Analysis'!$D55,'[1]NS Vendor Details'!$O:$O,'G&amp;A Vendor x GL Analysis'!$F55,'[1]NS Vendor Details'!$N:$N,'G&amp;A Vendor x GL Analysis'!$C55,'[1]NS Vendor Details'!$I:$I,'G&amp;A Vendor x GL Analysis'!$E55),IF(V$15="Actual",SUMIFS('[1]NS Vendor Details'!$D:$D,'[1]NS Vendor Details'!$H:$H,'G&amp;A Vendor x GL Analysis'!V$20,'[1]NS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W55" s="17">
        <f>IF(AND(W$15="Actual",ISBLANK($E$8)),SUMIFS('[1]NS Vendor Details'!$D:$D,'[1]NS Vendor Details'!$H:$H,'G&amp;A Vendor x GL Analysis'!W$20,'[1]NS Vendor Details'!$L:$L,'G&amp;A Vendor x GL Analysis'!$D55,'[1]NS Vendor Details'!$O:$O,'G&amp;A Vendor x GL Analysis'!$F55,'[1]NS Vendor Details'!$N:$N,'G&amp;A Vendor x GL Analysis'!$C55,'[1]NS Vendor Details'!$I:$I,'G&amp;A Vendor x GL Analysis'!$E55),IF(W$15="Actual",SUMIFS('[1]NS Vendor Details'!$D:$D,'[1]NS Vendor Details'!$H:$H,'G&amp;A Vendor x GL Analysis'!W$20,'[1]NS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X55" s="17">
        <f>IF(AND(X$15="Actual",ISBLANK($E$8)),SUMIFS('[1]NS Vendor Details'!$D:$D,'[1]NS Vendor Details'!$H:$H,'G&amp;A Vendor x GL Analysis'!X$20,'[1]NS Vendor Details'!$L:$L,'G&amp;A Vendor x GL Analysis'!$D55,'[1]NS Vendor Details'!$O:$O,'G&amp;A Vendor x GL Analysis'!$F55,'[1]NS Vendor Details'!$N:$N,'G&amp;A Vendor x GL Analysis'!$C55,'[1]NS Vendor Details'!$I:$I,'G&amp;A Vendor x GL Analysis'!$E55),IF(X$15="Actual",SUMIFS('[1]NS Vendor Details'!$D:$D,'[1]NS Vendor Details'!$H:$H,'G&amp;A Vendor x GL Analysis'!X$20,'[1]NS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Y55" s="17">
        <f>IF(AND(Y$15="Actual",ISBLANK($E$8)),SUMIFS('[1]NS Vendor Details'!$D:$D,'[1]NS Vendor Details'!$H:$H,'G&amp;A Vendor x GL Analysis'!Y$20,'[1]NS Vendor Details'!$L:$L,'G&amp;A Vendor x GL Analysis'!$D55,'[1]NS Vendor Details'!$O:$O,'G&amp;A Vendor x GL Analysis'!$F55,'[1]NS Vendor Details'!$N:$N,'G&amp;A Vendor x GL Analysis'!$C55,'[1]NS Vendor Details'!$I:$I,'G&amp;A Vendor x GL Analysis'!$E55),IF(Y$15="Actual",SUMIFS('[1]NS Vendor Details'!$D:$D,'[1]NS Vendor Details'!$H:$H,'G&amp;A Vendor x GL Analysis'!Y$20,'[1]NS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Z55" s="17">
        <f>IF(AND(Z$15="Actual",ISBLANK($E$8)),SUMIFS('[1]NS Vendor Details'!$D:$D,'[1]NS Vendor Details'!$H:$H,'G&amp;A Vendor x GL Analysis'!Z$20,'[1]NS Vendor Details'!$L:$L,'G&amp;A Vendor x GL Analysis'!$D55,'[1]NS Vendor Details'!$O:$O,'G&amp;A Vendor x GL Analysis'!$F55,'[1]NS Vendor Details'!$N:$N,'G&amp;A Vendor x GL Analysis'!$C55,'[1]NS Vendor Details'!$I:$I,'G&amp;A Vendor x GL Analysis'!$E55),IF(Z$15="Actual",SUMIFS('[1]NS Vendor Details'!$D:$D,'[1]NS Vendor Details'!$H:$H,'G&amp;A Vendor x GL Analysis'!Z$20,'[1]NS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AA55" s="17">
        <f>IF(AND(AA$15="Actual",ISBLANK($E$8)),SUMIFS('[1]NS Vendor Details'!$D:$D,'[1]NS Vendor Details'!$H:$H,'G&amp;A Vendor x GL Analysis'!AA$20,'[1]NS Vendor Details'!$L:$L,'G&amp;A Vendor x GL Analysis'!$D55,'[1]NS Vendor Details'!$O:$O,'G&amp;A Vendor x GL Analysis'!$F55,'[1]NS Vendor Details'!$N:$N,'G&amp;A Vendor x GL Analysis'!$C55,'[1]NS Vendor Details'!$I:$I,'G&amp;A Vendor x GL Analysis'!$E55),IF(AA$15="Actual",SUMIFS('[1]NS Vendor Details'!$D:$D,'[1]NS Vendor Details'!$H:$H,'G&amp;A Vendor x GL Analysis'!AA$20,'[1]NS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AB55" s="17">
        <f>IF(AND(AB$15="Actual",ISBLANK($E$8)),SUMIFS('[1]NS Vendor Details'!$D:$D,'[1]NS Vendor Details'!$H:$H,'G&amp;A Vendor x GL Analysis'!AB$20,'[1]NS Vendor Details'!$L:$L,'G&amp;A Vendor x GL Analysis'!$D55,'[1]NS Vendor Details'!$O:$O,'G&amp;A Vendor x GL Analysis'!$F55,'[1]NS Vendor Details'!$N:$N,'G&amp;A Vendor x GL Analysis'!$C55,'[1]NS Vendor Details'!$I:$I,'G&amp;A Vendor x GL Analysis'!$E55),IF(AB$15="Actual",SUMIFS('[1]NS Vendor Details'!$D:$D,'[1]NS Vendor Details'!$H:$H,'G&amp;A Vendor x GL Analysis'!AB$20,'[1]NS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AC55" s="18">
        <f>IF(AND(AC$15="Actual",ISBLANK($E$8)),SUMIFS('[1]NS Vendor Details'!$D:$D,'[1]NS Vendor Details'!$H:$H,'G&amp;A Vendor x GL Analysis'!AC$20,'[1]NS Vendor Details'!$L:$L,'G&amp;A Vendor x GL Analysis'!$D55,'[1]NS Vendor Details'!$O:$O,'G&amp;A Vendor x GL Analysis'!$F55,'[1]NS Vendor Details'!$N:$N,'G&amp;A Vendor x GL Analysis'!$C55,'[1]NS Vendor Details'!$I:$I,'G&amp;A Vendor x GL Analysis'!$E55),IF(AC$15="Actual",SUMIFS('[1]NS Vendor Details'!$D:$D,'[1]NS Vendor Details'!$H:$H,'G&amp;A Vendor x GL Analysis'!AC$20,'[1]NS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-606</v>
      </c>
      <c r="AD55" s="18">
        <f>IF(AND(AD$15="Actual",ISBLANK($E$8)),SUMIFS('[1]NS Vendor Details'!$D:$D,'[1]NS Vendor Details'!$H:$H,'G&amp;A Vendor x GL Analysis'!AD$20,'[1]NS Vendor Details'!$L:$L,'G&amp;A Vendor x GL Analysis'!$D55,'[1]NS Vendor Details'!$O:$O,'G&amp;A Vendor x GL Analysis'!$F55,'[1]NS Vendor Details'!$N:$N,'G&amp;A Vendor x GL Analysis'!$C55,'[1]NS Vendor Details'!$I:$I,'G&amp;A Vendor x GL Analysis'!$E55),IF(AD$15="Actual",SUMIFS('[1]NS Vendor Details'!$D:$D,'[1]NS Vendor Details'!$H:$H,'G&amp;A Vendor x GL Analysis'!AD$20,'[1]NS Vendor Details'!$L:$L,'G&amp;A Vendor x GL Analysis'!$D55,'[1]NS Vendor Details'!$O:$O,'G&amp;A Vendor x GL Analysis'!$F55,'[1]NS Vendor Details'!$N:$N,'G&amp;A Vendor x GL Analysis'!$C55,'[1]NS Vendor Details'!$K:$K,'G&amp;A Vendor x GL Analysis'!$E$8,'[1]NS Vendor Details'!$I:$I,'G&amp;A Vendor x GL Analysis'!$E55),0))</f>
        <v>0</v>
      </c>
      <c r="AF55" s="19">
        <f t="shared" si="9"/>
        <v>6666</v>
      </c>
    </row>
    <row r="56" spans="1:32" outlineLevel="1">
      <c r="A56" s="8" t="str">
        <f t="shared" si="8"/>
        <v>Rent6410 - Lease Expense</v>
      </c>
      <c r="C56" s="8" t="s">
        <v>11</v>
      </c>
      <c r="D56" s="8" t="str">
        <f t="shared" si="15"/>
        <v>Rent</v>
      </c>
      <c r="E56" s="2" t="s">
        <v>46</v>
      </c>
      <c r="F56" s="2" t="s">
        <v>47</v>
      </c>
      <c r="G56" s="16">
        <f>IF(AND(G$15="Actual",ISBLANK($E$8)),SUMIFS('[1]NS Vendor Details'!$D:$D,'[1]NS Vendor Details'!$H:$H,'G&amp;A Vendor x GL Analysis'!G$20,'[1]NS Vendor Details'!$L:$L,'G&amp;A Vendor x GL Analysis'!$D56,'[1]NS Vendor Details'!$O:$O,'G&amp;A Vendor x GL Analysis'!$F56,'[1]NS Vendor Details'!$N:$N,'G&amp;A Vendor x GL Analysis'!$C56),IF(G$15="Actual",SUMIFS('[1]NS Vendor Details'!$D:$D,'[1]NS Vendor Details'!$H:$H,'G&amp;A Vendor x GL Analysis'!G$20,'[1]NS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H56" s="17">
        <f>IF(AND(H$15="Actual",ISBLANK($E$8)),SUMIFS('[1]NS Vendor Details'!$D:$D,'[1]NS Vendor Details'!$H:$H,'G&amp;A Vendor x GL Analysis'!H$20,'[1]NS Vendor Details'!$L:$L,'G&amp;A Vendor x GL Analysis'!$D56,'[1]NS Vendor Details'!$O:$O,'G&amp;A Vendor x GL Analysis'!$F56,'[1]NS Vendor Details'!$N:$N,'G&amp;A Vendor x GL Analysis'!$C56),IF(H$15="Actual",SUMIFS('[1]NS Vendor Details'!$D:$D,'[1]NS Vendor Details'!$H:$H,'G&amp;A Vendor x GL Analysis'!H$20,'[1]NS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I56" s="17">
        <f>IF(AND(I$15="Actual",ISBLANK($E$8)),SUMIFS('[1]NS Vendor Details'!$D:$D,'[1]NS Vendor Details'!$H:$H,'G&amp;A Vendor x GL Analysis'!I$20,'[1]NS Vendor Details'!$L:$L,'G&amp;A Vendor x GL Analysis'!$D56,'[1]NS Vendor Details'!$O:$O,'G&amp;A Vendor x GL Analysis'!$F56,'[1]NS Vendor Details'!$N:$N,'G&amp;A Vendor x GL Analysis'!$C56),IF(I$15="Actual",SUMIFS('[1]NS Vendor Details'!$D:$D,'[1]NS Vendor Details'!$H:$H,'G&amp;A Vendor x GL Analysis'!I$20,'[1]NS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J56" s="17">
        <f>IF(AND(J$15="Actual",ISBLANK($E$8)),SUMIFS('[1]NS Vendor Details'!$D:$D,'[1]NS Vendor Details'!$H:$H,'G&amp;A Vendor x GL Analysis'!J$20,'[1]NS Vendor Details'!$L:$L,'G&amp;A Vendor x GL Analysis'!$D56,'[1]NS Vendor Details'!$O:$O,'G&amp;A Vendor x GL Analysis'!$F56,'[1]NS Vendor Details'!$N:$N,'G&amp;A Vendor x GL Analysis'!$C56),IF(J$15="Actual",SUMIFS('[1]NS Vendor Details'!$D:$D,'[1]NS Vendor Details'!$H:$H,'G&amp;A Vendor x GL Analysis'!J$20,'[1]NS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K56" s="17">
        <f>IF(AND(K$15="Actual",ISBLANK($E$8)),SUMIFS('[1]NS Vendor Details'!$D:$D,'[1]NS Vendor Details'!$H:$H,'G&amp;A Vendor x GL Analysis'!K$20,'[1]NS Vendor Details'!$L:$L,'G&amp;A Vendor x GL Analysis'!$D56,'[1]NS Vendor Details'!$O:$O,'G&amp;A Vendor x GL Analysis'!$F56,'[1]NS Vendor Details'!$N:$N,'G&amp;A Vendor x GL Analysis'!$C56),IF(K$15="Actual",SUMIFS('[1]NS Vendor Details'!$D:$D,'[1]NS Vendor Details'!$H:$H,'G&amp;A Vendor x GL Analysis'!K$20,'[1]NS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L56" s="17">
        <f>IF(AND(L$15="Actual",ISBLANK($E$8)),SUMIFS('[1]NS Vendor Details'!$D:$D,'[1]NS Vendor Details'!$H:$H,'G&amp;A Vendor x GL Analysis'!L$20,'[1]NS Vendor Details'!$L:$L,'G&amp;A Vendor x GL Analysis'!$D56,'[1]NS Vendor Details'!$O:$O,'G&amp;A Vendor x GL Analysis'!$F56,'[1]NS Vendor Details'!$N:$N,'G&amp;A Vendor x GL Analysis'!$C56),IF(L$15="Actual",SUMIFS('[1]NS Vendor Details'!$D:$D,'[1]NS Vendor Details'!$H:$H,'G&amp;A Vendor x GL Analysis'!L$20,'[1]NS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M56" s="17">
        <f>IF(AND(M$15="Actual",ISBLANK($E$8)),SUMIFS('[1]NS Vendor Details'!$D:$D,'[1]NS Vendor Details'!$H:$H,'G&amp;A Vendor x GL Analysis'!M$20,'[1]NS Vendor Details'!$L:$L,'G&amp;A Vendor x GL Analysis'!$D56,'[1]NS Vendor Details'!$O:$O,'G&amp;A Vendor x GL Analysis'!$F56,'[1]NS Vendor Details'!$N:$N,'G&amp;A Vendor x GL Analysis'!$C56),IF(M$15="Actual",SUMIFS('[1]NS Vendor Details'!$D:$D,'[1]NS Vendor Details'!$H:$H,'G&amp;A Vendor x GL Analysis'!M$20,'[1]NS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N56" s="17">
        <f>IF(AND(N$15="Actual",ISBLANK($E$8)),SUMIFS('[1]NS Vendor Details'!$D:$D,'[1]NS Vendor Details'!$H:$H,'G&amp;A Vendor x GL Analysis'!N$20,'[1]NS Vendor Details'!$L:$L,'G&amp;A Vendor x GL Analysis'!$D56,'[1]NS Vendor Details'!$O:$O,'G&amp;A Vendor x GL Analysis'!$F56,'[1]NS Vendor Details'!$N:$N,'G&amp;A Vendor x GL Analysis'!$C56),IF(N$15="Actual",SUMIFS('[1]NS Vendor Details'!$D:$D,'[1]NS Vendor Details'!$H:$H,'G&amp;A Vendor x GL Analysis'!N$20,'[1]NS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O56" s="17">
        <f>IF(AND(O$15="Actual",ISBLANK($E$8)),SUMIFS('[1]NS Vendor Details'!$D:$D,'[1]NS Vendor Details'!$H:$H,'G&amp;A Vendor x GL Analysis'!O$20,'[1]NS Vendor Details'!$L:$L,'G&amp;A Vendor x GL Analysis'!$D56,'[1]NS Vendor Details'!$O:$O,'G&amp;A Vendor x GL Analysis'!$F56,'[1]NS Vendor Details'!$N:$N,'G&amp;A Vendor x GL Analysis'!$C56),IF(O$15="Actual",SUMIFS('[1]NS Vendor Details'!$D:$D,'[1]NS Vendor Details'!$H:$H,'G&amp;A Vendor x GL Analysis'!O$20,'[1]NS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P56" s="17">
        <f>IF(AND(P$15="Actual",ISBLANK($E$8)),SUMIFS('[1]NS Vendor Details'!$D:$D,'[1]NS Vendor Details'!$H:$H,'G&amp;A Vendor x GL Analysis'!P$20,'[1]NS Vendor Details'!$L:$L,'G&amp;A Vendor x GL Analysis'!$D56,'[1]NS Vendor Details'!$O:$O,'G&amp;A Vendor x GL Analysis'!$F56,'[1]NS Vendor Details'!$N:$N,'G&amp;A Vendor x GL Analysis'!$C56),IF(P$15="Actual",SUMIFS('[1]NS Vendor Details'!$D:$D,'[1]NS Vendor Details'!$H:$H,'G&amp;A Vendor x GL Analysis'!P$20,'[1]NS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Q56" s="17">
        <f>IF(AND(Q$15="Actual",ISBLANK($E$8)),SUMIFS('[1]NS Vendor Details'!$D:$D,'[1]NS Vendor Details'!$H:$H,'G&amp;A Vendor x GL Analysis'!Q$20,'[1]NS Vendor Details'!$L:$L,'G&amp;A Vendor x GL Analysis'!$D56,'[1]NS Vendor Details'!$O:$O,'G&amp;A Vendor x GL Analysis'!$F56,'[1]NS Vendor Details'!$N:$N,'G&amp;A Vendor x GL Analysis'!$C56),IF(Q$15="Actual",SUMIFS('[1]NS Vendor Details'!$D:$D,'[1]NS Vendor Details'!$H:$H,'G&amp;A Vendor x GL Analysis'!Q$20,'[1]NS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R56" s="18">
        <f>IF(AND(R$15="Actual",ISBLANK($E$8)),SUMIFS('[1]NS Vendor Details'!$D:$D,'[1]NS Vendor Details'!$H:$H,'G&amp;A Vendor x GL Analysis'!R$20,'[1]NS Vendor Details'!$L:$L,'G&amp;A Vendor x GL Analysis'!$D56,'[1]NS Vendor Details'!$O:$O,'G&amp;A Vendor x GL Analysis'!$F56,'[1]NS Vendor Details'!$N:$N,'G&amp;A Vendor x GL Analysis'!$C56),IF(R$15="Actual",SUMIFS('[1]NS Vendor Details'!$D:$D,'[1]NS Vendor Details'!$H:$H,'G&amp;A Vendor x GL Analysis'!R$20,'[1]NS Vendor Details'!$L:$L,'G&amp;A Vendor x GL Analysis'!$D56,'[1]NS Vendor Details'!$O:$O,'G&amp;A Vendor x GL Analysis'!$F56,'[1]NS Vendor Details'!$N:$N,'G&amp;A Vendor x GL Analysis'!$C56,'[1]NS Vendor Details'!$K:$K,'G&amp;A Vendor x GL Analysis'!$E$8),0))</f>
        <v>719.8</v>
      </c>
      <c r="S56" s="16">
        <f>IF(AND(S$15="Actual",ISBLANK($E$8)),SUMIFS('[1]NS Vendor Details'!$D:$D,'[1]NS Vendor Details'!$H:$H,'G&amp;A Vendor x GL Analysis'!S$20,'[1]NS Vendor Details'!$L:$L,'G&amp;A Vendor x GL Analysis'!$D56,'[1]NS Vendor Details'!$O:$O,'G&amp;A Vendor x GL Analysis'!$F56,'[1]NS Vendor Details'!$N:$N,'G&amp;A Vendor x GL Analysis'!$C56,'[1]NS Vendor Details'!$I:$I,'G&amp;A Vendor x GL Analysis'!$E56),IF(S$15="Actual",SUMIFS('[1]NS Vendor Details'!$D:$D,'[1]NS Vendor Details'!$H:$H,'G&amp;A Vendor x GL Analysis'!S$20,'[1]NS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T56" s="17">
        <f>IF(AND(T$15="Actual",ISBLANK($E$8)),SUMIFS('[1]NS Vendor Details'!$D:$D,'[1]NS Vendor Details'!$H:$H,'G&amp;A Vendor x GL Analysis'!T$20,'[1]NS Vendor Details'!$L:$L,'G&amp;A Vendor x GL Analysis'!$D56,'[1]NS Vendor Details'!$O:$O,'G&amp;A Vendor x GL Analysis'!$F56,'[1]NS Vendor Details'!$N:$N,'G&amp;A Vendor x GL Analysis'!$C56,'[1]NS Vendor Details'!$I:$I,'G&amp;A Vendor x GL Analysis'!$E56),IF(T$15="Actual",SUMIFS('[1]NS Vendor Details'!$D:$D,'[1]NS Vendor Details'!$H:$H,'G&amp;A Vendor x GL Analysis'!T$20,'[1]NS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U56" s="17">
        <f>IF(AND(U$15="Actual",ISBLANK($E$8)),SUMIFS('[1]NS Vendor Details'!$D:$D,'[1]NS Vendor Details'!$H:$H,'G&amp;A Vendor x GL Analysis'!U$20,'[1]NS Vendor Details'!$L:$L,'G&amp;A Vendor x GL Analysis'!$D56,'[1]NS Vendor Details'!$O:$O,'G&amp;A Vendor x GL Analysis'!$F56,'[1]NS Vendor Details'!$N:$N,'G&amp;A Vendor x GL Analysis'!$C56,'[1]NS Vendor Details'!$I:$I,'G&amp;A Vendor x GL Analysis'!$E56),IF(U$15="Actual",SUMIFS('[1]NS Vendor Details'!$D:$D,'[1]NS Vendor Details'!$H:$H,'G&amp;A Vendor x GL Analysis'!U$20,'[1]NS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V56" s="17">
        <f>IF(AND(V$15="Actual",ISBLANK($E$8)),SUMIFS('[1]NS Vendor Details'!$D:$D,'[1]NS Vendor Details'!$H:$H,'G&amp;A Vendor x GL Analysis'!V$20,'[1]NS Vendor Details'!$L:$L,'G&amp;A Vendor x GL Analysis'!$D56,'[1]NS Vendor Details'!$O:$O,'G&amp;A Vendor x GL Analysis'!$F56,'[1]NS Vendor Details'!$N:$N,'G&amp;A Vendor x GL Analysis'!$C56,'[1]NS Vendor Details'!$I:$I,'G&amp;A Vendor x GL Analysis'!$E56),IF(V$15="Actual",SUMIFS('[1]NS Vendor Details'!$D:$D,'[1]NS Vendor Details'!$H:$H,'G&amp;A Vendor x GL Analysis'!V$20,'[1]NS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W56" s="17">
        <f>IF(AND(W$15="Actual",ISBLANK($E$8)),SUMIFS('[1]NS Vendor Details'!$D:$D,'[1]NS Vendor Details'!$H:$H,'G&amp;A Vendor x GL Analysis'!W$20,'[1]NS Vendor Details'!$L:$L,'G&amp;A Vendor x GL Analysis'!$D56,'[1]NS Vendor Details'!$O:$O,'G&amp;A Vendor x GL Analysis'!$F56,'[1]NS Vendor Details'!$N:$N,'G&amp;A Vendor x GL Analysis'!$C56,'[1]NS Vendor Details'!$I:$I,'G&amp;A Vendor x GL Analysis'!$E56),IF(W$15="Actual",SUMIFS('[1]NS Vendor Details'!$D:$D,'[1]NS Vendor Details'!$H:$H,'G&amp;A Vendor x GL Analysis'!W$20,'[1]NS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X56" s="17">
        <f>IF(AND(X$15="Actual",ISBLANK($E$8)),SUMIFS('[1]NS Vendor Details'!$D:$D,'[1]NS Vendor Details'!$H:$H,'G&amp;A Vendor x GL Analysis'!X$20,'[1]NS Vendor Details'!$L:$L,'G&amp;A Vendor x GL Analysis'!$D56,'[1]NS Vendor Details'!$O:$O,'G&amp;A Vendor x GL Analysis'!$F56,'[1]NS Vendor Details'!$N:$N,'G&amp;A Vendor x GL Analysis'!$C56,'[1]NS Vendor Details'!$I:$I,'G&amp;A Vendor x GL Analysis'!$E56),IF(X$15="Actual",SUMIFS('[1]NS Vendor Details'!$D:$D,'[1]NS Vendor Details'!$H:$H,'G&amp;A Vendor x GL Analysis'!X$20,'[1]NS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Y56" s="17">
        <f>IF(AND(Y$15="Actual",ISBLANK($E$8)),SUMIFS('[1]NS Vendor Details'!$D:$D,'[1]NS Vendor Details'!$H:$H,'G&amp;A Vendor x GL Analysis'!Y$20,'[1]NS Vendor Details'!$L:$L,'G&amp;A Vendor x GL Analysis'!$D56,'[1]NS Vendor Details'!$O:$O,'G&amp;A Vendor x GL Analysis'!$F56,'[1]NS Vendor Details'!$N:$N,'G&amp;A Vendor x GL Analysis'!$C56,'[1]NS Vendor Details'!$I:$I,'G&amp;A Vendor x GL Analysis'!$E56),IF(Y$15="Actual",SUMIFS('[1]NS Vendor Details'!$D:$D,'[1]NS Vendor Details'!$H:$H,'G&amp;A Vendor x GL Analysis'!Y$20,'[1]NS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Z56" s="17">
        <f>IF(AND(Z$15="Actual",ISBLANK($E$8)),SUMIFS('[1]NS Vendor Details'!$D:$D,'[1]NS Vendor Details'!$H:$H,'G&amp;A Vendor x GL Analysis'!Z$20,'[1]NS Vendor Details'!$L:$L,'G&amp;A Vendor x GL Analysis'!$D56,'[1]NS Vendor Details'!$O:$O,'G&amp;A Vendor x GL Analysis'!$F56,'[1]NS Vendor Details'!$N:$N,'G&amp;A Vendor x GL Analysis'!$C56,'[1]NS Vendor Details'!$I:$I,'G&amp;A Vendor x GL Analysis'!$E56),IF(Z$15="Actual",SUMIFS('[1]NS Vendor Details'!$D:$D,'[1]NS Vendor Details'!$H:$H,'G&amp;A Vendor x GL Analysis'!Z$20,'[1]NS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AA56" s="17">
        <f>IF(AND(AA$15="Actual",ISBLANK($E$8)),SUMIFS('[1]NS Vendor Details'!$D:$D,'[1]NS Vendor Details'!$H:$H,'G&amp;A Vendor x GL Analysis'!AA$20,'[1]NS Vendor Details'!$L:$L,'G&amp;A Vendor x GL Analysis'!$D56,'[1]NS Vendor Details'!$O:$O,'G&amp;A Vendor x GL Analysis'!$F56,'[1]NS Vendor Details'!$N:$N,'G&amp;A Vendor x GL Analysis'!$C56,'[1]NS Vendor Details'!$I:$I,'G&amp;A Vendor x GL Analysis'!$E56),IF(AA$15="Actual",SUMIFS('[1]NS Vendor Details'!$D:$D,'[1]NS Vendor Details'!$H:$H,'G&amp;A Vendor x GL Analysis'!AA$20,'[1]NS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AB56" s="17">
        <f>IF(AND(AB$15="Actual",ISBLANK($E$8)),SUMIFS('[1]NS Vendor Details'!$D:$D,'[1]NS Vendor Details'!$H:$H,'G&amp;A Vendor x GL Analysis'!AB$20,'[1]NS Vendor Details'!$L:$L,'G&amp;A Vendor x GL Analysis'!$D56,'[1]NS Vendor Details'!$O:$O,'G&amp;A Vendor x GL Analysis'!$F56,'[1]NS Vendor Details'!$N:$N,'G&amp;A Vendor x GL Analysis'!$C56,'[1]NS Vendor Details'!$I:$I,'G&amp;A Vendor x GL Analysis'!$E56),IF(AB$15="Actual",SUMIFS('[1]NS Vendor Details'!$D:$D,'[1]NS Vendor Details'!$H:$H,'G&amp;A Vendor x GL Analysis'!AB$20,'[1]NS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AC56" s="18">
        <f>IF(AND(AC$15="Actual",ISBLANK($E$8)),SUMIFS('[1]NS Vendor Details'!$D:$D,'[1]NS Vendor Details'!$H:$H,'G&amp;A Vendor x GL Analysis'!AC$20,'[1]NS Vendor Details'!$L:$L,'G&amp;A Vendor x GL Analysis'!$D56,'[1]NS Vendor Details'!$O:$O,'G&amp;A Vendor x GL Analysis'!$F56,'[1]NS Vendor Details'!$N:$N,'G&amp;A Vendor x GL Analysis'!$C56,'[1]NS Vendor Details'!$I:$I,'G&amp;A Vendor x GL Analysis'!$E56),IF(AC$15="Actual",SUMIFS('[1]NS Vendor Details'!$D:$D,'[1]NS Vendor Details'!$H:$H,'G&amp;A Vendor x GL Analysis'!AC$20,'[1]NS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740.48</v>
      </c>
      <c r="AD56" s="18">
        <f>IF(AND(AD$15="Actual",ISBLANK($E$8)),SUMIFS('[1]NS Vendor Details'!$D:$D,'[1]NS Vendor Details'!$H:$H,'G&amp;A Vendor x GL Analysis'!AD$20,'[1]NS Vendor Details'!$L:$L,'G&amp;A Vendor x GL Analysis'!$D56,'[1]NS Vendor Details'!$O:$O,'G&amp;A Vendor x GL Analysis'!$F56,'[1]NS Vendor Details'!$N:$N,'G&amp;A Vendor x GL Analysis'!$C56,'[1]NS Vendor Details'!$I:$I,'G&amp;A Vendor x GL Analysis'!$E56),IF(AD$15="Actual",SUMIFS('[1]NS Vendor Details'!$D:$D,'[1]NS Vendor Details'!$H:$H,'G&amp;A Vendor x GL Analysis'!AD$20,'[1]NS Vendor Details'!$L:$L,'G&amp;A Vendor x GL Analysis'!$D56,'[1]NS Vendor Details'!$O:$O,'G&amp;A Vendor x GL Analysis'!$F56,'[1]NS Vendor Details'!$N:$N,'G&amp;A Vendor x GL Analysis'!$C56,'[1]NS Vendor Details'!$K:$K,'G&amp;A Vendor x GL Analysis'!$E$8,'[1]NS Vendor Details'!$I:$I,'G&amp;A Vendor x GL Analysis'!$E56),0))</f>
        <v>0</v>
      </c>
      <c r="AF56" s="19">
        <f t="shared" si="9"/>
        <v>8145.2799999999988</v>
      </c>
    </row>
    <row r="57" spans="1:32" outlineLevel="1">
      <c r="A57" s="8" t="str">
        <f t="shared" si="8"/>
        <v>Rent7140 - Amortization Exp - ROU Asset</v>
      </c>
      <c r="C57" s="8" t="s">
        <v>11</v>
      </c>
      <c r="D57" s="8" t="str">
        <f t="shared" si="15"/>
        <v>Rent</v>
      </c>
      <c r="E57" s="2" t="s">
        <v>48</v>
      </c>
      <c r="F57" s="2" t="s">
        <v>16</v>
      </c>
      <c r="G57" s="16">
        <f>IF(AND(G$15="Actual",ISBLANK($E$8)),SUMIFS('[1]NS Vendor Details'!$D:$D,'[1]NS Vendor Details'!$H:$H,'G&amp;A Vendor x GL Analysis'!G$20,'[1]NS Vendor Details'!$L:$L,'G&amp;A Vendor x GL Analysis'!$D57,'[1]NS Vendor Details'!$O:$O,'G&amp;A Vendor x GL Analysis'!$F57,'[1]NS Vendor Details'!$N:$N,'G&amp;A Vendor x GL Analysis'!$C57),IF(G$15="Actual",SUMIFS('[1]NS Vendor Details'!$D:$D,'[1]NS Vendor Details'!$H:$H,'G&amp;A Vendor x GL Analysis'!G$20,'[1]NS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33193.550000000003</v>
      </c>
      <c r="H57" s="17">
        <f>IF(AND(H$15="Actual",ISBLANK($E$8)),SUMIFS('[1]NS Vendor Details'!$D:$D,'[1]NS Vendor Details'!$H:$H,'G&amp;A Vendor x GL Analysis'!H$20,'[1]NS Vendor Details'!$L:$L,'G&amp;A Vendor x GL Analysis'!$D57,'[1]NS Vendor Details'!$O:$O,'G&amp;A Vendor x GL Analysis'!$F57,'[1]NS Vendor Details'!$N:$N,'G&amp;A Vendor x GL Analysis'!$C57),IF(H$15="Actual",SUMIFS('[1]NS Vendor Details'!$D:$D,'[1]NS Vendor Details'!$H:$H,'G&amp;A Vendor x GL Analysis'!H$20,'[1]NS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3958.9700000000012</v>
      </c>
      <c r="I57" s="17">
        <f>IF(AND(I$15="Actual",ISBLANK($E$8)),SUMIFS('[1]NS Vendor Details'!$D:$D,'[1]NS Vendor Details'!$H:$H,'G&amp;A Vendor x GL Analysis'!I$20,'[1]NS Vendor Details'!$L:$L,'G&amp;A Vendor x GL Analysis'!$D57,'[1]NS Vendor Details'!$O:$O,'G&amp;A Vendor x GL Analysis'!$F57,'[1]NS Vendor Details'!$N:$N,'G&amp;A Vendor x GL Analysis'!$C57),IF(I$15="Actual",SUMIFS('[1]NS Vendor Details'!$D:$D,'[1]NS Vendor Details'!$H:$H,'G&amp;A Vendor x GL Analysis'!I$20,'[1]NS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3961.0800000000017</v>
      </c>
      <c r="J57" s="17">
        <f>IF(AND(J$15="Actual",ISBLANK($E$8)),SUMIFS('[1]NS Vendor Details'!$D:$D,'[1]NS Vendor Details'!$H:$H,'G&amp;A Vendor x GL Analysis'!J$20,'[1]NS Vendor Details'!$L:$L,'G&amp;A Vendor x GL Analysis'!$D57,'[1]NS Vendor Details'!$O:$O,'G&amp;A Vendor x GL Analysis'!$F57,'[1]NS Vendor Details'!$N:$N,'G&amp;A Vendor x GL Analysis'!$C57),IF(J$15="Actual",SUMIFS('[1]NS Vendor Details'!$D:$D,'[1]NS Vendor Details'!$H:$H,'G&amp;A Vendor x GL Analysis'!J$20,'[1]NS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3963.2000000000007</v>
      </c>
      <c r="K57" s="17">
        <f>IF(AND(K$15="Actual",ISBLANK($E$8)),SUMIFS('[1]NS Vendor Details'!$D:$D,'[1]NS Vendor Details'!$H:$H,'G&amp;A Vendor x GL Analysis'!K$20,'[1]NS Vendor Details'!$L:$L,'G&amp;A Vendor x GL Analysis'!$D57,'[1]NS Vendor Details'!$O:$O,'G&amp;A Vendor x GL Analysis'!$F57,'[1]NS Vendor Details'!$N:$N,'G&amp;A Vendor x GL Analysis'!$C57),IF(K$15="Actual",SUMIFS('[1]NS Vendor Details'!$D:$D,'[1]NS Vendor Details'!$H:$H,'G&amp;A Vendor x GL Analysis'!K$20,'[1]NS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3965.3300000000017</v>
      </c>
      <c r="L57" s="17">
        <f>IF(AND(L$15="Actual",ISBLANK($E$8)),SUMIFS('[1]NS Vendor Details'!$D:$D,'[1]NS Vendor Details'!$H:$H,'G&amp;A Vendor x GL Analysis'!L$20,'[1]NS Vendor Details'!$L:$L,'G&amp;A Vendor x GL Analysis'!$D57,'[1]NS Vendor Details'!$O:$O,'G&amp;A Vendor x GL Analysis'!$F57,'[1]NS Vendor Details'!$N:$N,'G&amp;A Vendor x GL Analysis'!$C57),IF(L$15="Actual",SUMIFS('[1]NS Vendor Details'!$D:$D,'[1]NS Vendor Details'!$H:$H,'G&amp;A Vendor x GL Analysis'!L$20,'[1]NS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-51894.090000000004</v>
      </c>
      <c r="M57" s="17">
        <f>IF(AND(M$15="Actual",ISBLANK($E$8)),SUMIFS('[1]NS Vendor Details'!$D:$D,'[1]NS Vendor Details'!$H:$H,'G&amp;A Vendor x GL Analysis'!M$20,'[1]NS Vendor Details'!$L:$L,'G&amp;A Vendor x GL Analysis'!$D57,'[1]NS Vendor Details'!$O:$O,'G&amp;A Vendor x GL Analysis'!$F57,'[1]NS Vendor Details'!$N:$N,'G&amp;A Vendor x GL Analysis'!$C57),IF(M$15="Actual",SUMIFS('[1]NS Vendor Details'!$D:$D,'[1]NS Vendor Details'!$H:$H,'G&amp;A Vendor x GL Analysis'!M$20,'[1]NS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-5340.6499999999978</v>
      </c>
      <c r="N57" s="17">
        <f>IF(AND(N$15="Actual",ISBLANK($E$8)),SUMIFS('[1]NS Vendor Details'!$D:$D,'[1]NS Vendor Details'!$H:$H,'G&amp;A Vendor x GL Analysis'!N$20,'[1]NS Vendor Details'!$L:$L,'G&amp;A Vendor x GL Analysis'!$D57,'[1]NS Vendor Details'!$O:$O,'G&amp;A Vendor x GL Analysis'!$F57,'[1]NS Vendor Details'!$N:$N,'G&amp;A Vendor x GL Analysis'!$C57),IF(N$15="Actual",SUMIFS('[1]NS Vendor Details'!$D:$D,'[1]NS Vendor Details'!$H:$H,'G&amp;A Vendor x GL Analysis'!N$20,'[1]NS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-5338.5</v>
      </c>
      <c r="O57" s="17">
        <f>IF(AND(O$15="Actual",ISBLANK($E$8)),SUMIFS('[1]NS Vendor Details'!$D:$D,'[1]NS Vendor Details'!$H:$H,'G&amp;A Vendor x GL Analysis'!O$20,'[1]NS Vendor Details'!$L:$L,'G&amp;A Vendor x GL Analysis'!$D57,'[1]NS Vendor Details'!$O:$O,'G&amp;A Vendor x GL Analysis'!$F57,'[1]NS Vendor Details'!$N:$N,'G&amp;A Vendor x GL Analysis'!$C57),IF(O$15="Actual",SUMIFS('[1]NS Vendor Details'!$D:$D,'[1]NS Vendor Details'!$H:$H,'G&amp;A Vendor x GL Analysis'!O$20,'[1]NS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-5336.34</v>
      </c>
      <c r="P57" s="17">
        <f>IF(AND(P$15="Actual",ISBLANK($E$8)),SUMIFS('[1]NS Vendor Details'!$D:$D,'[1]NS Vendor Details'!$H:$H,'G&amp;A Vendor x GL Analysis'!P$20,'[1]NS Vendor Details'!$L:$L,'G&amp;A Vendor x GL Analysis'!$D57,'[1]NS Vendor Details'!$O:$O,'G&amp;A Vendor x GL Analysis'!$F57,'[1]NS Vendor Details'!$N:$N,'G&amp;A Vendor x GL Analysis'!$C57),IF(P$15="Actual",SUMIFS('[1]NS Vendor Details'!$D:$D,'[1]NS Vendor Details'!$H:$H,'G&amp;A Vendor x GL Analysis'!P$20,'[1]NS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-5334.1699999999983</v>
      </c>
      <c r="Q57" s="17">
        <f>IF(AND(Q$15="Actual",ISBLANK($E$8)),SUMIFS('[1]NS Vendor Details'!$D:$D,'[1]NS Vendor Details'!$H:$H,'G&amp;A Vendor x GL Analysis'!Q$20,'[1]NS Vendor Details'!$L:$L,'G&amp;A Vendor x GL Analysis'!$D57,'[1]NS Vendor Details'!$O:$O,'G&amp;A Vendor x GL Analysis'!$F57,'[1]NS Vendor Details'!$N:$N,'G&amp;A Vendor x GL Analysis'!$C57),IF(Q$15="Actual",SUMIFS('[1]NS Vendor Details'!$D:$D,'[1]NS Vendor Details'!$H:$H,'G&amp;A Vendor x GL Analysis'!Q$20,'[1]NS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-5331.989999999998</v>
      </c>
      <c r="R57" s="18">
        <f>IF(AND(R$15="Actual",ISBLANK($E$8)),SUMIFS('[1]NS Vendor Details'!$D:$D,'[1]NS Vendor Details'!$H:$H,'G&amp;A Vendor x GL Analysis'!R$20,'[1]NS Vendor Details'!$L:$L,'G&amp;A Vendor x GL Analysis'!$D57,'[1]NS Vendor Details'!$O:$O,'G&amp;A Vendor x GL Analysis'!$F57,'[1]NS Vendor Details'!$N:$N,'G&amp;A Vendor x GL Analysis'!$C57),IF(R$15="Actual",SUMIFS('[1]NS Vendor Details'!$D:$D,'[1]NS Vendor Details'!$H:$H,'G&amp;A Vendor x GL Analysis'!R$20,'[1]NS Vendor Details'!$L:$L,'G&amp;A Vendor x GL Analysis'!$D57,'[1]NS Vendor Details'!$O:$O,'G&amp;A Vendor x GL Analysis'!$F57,'[1]NS Vendor Details'!$N:$N,'G&amp;A Vendor x GL Analysis'!$C57,'[1]NS Vendor Details'!$K:$K,'G&amp;A Vendor x GL Analysis'!$E$8),0))</f>
        <v>-6206.91</v>
      </c>
      <c r="S57" s="16">
        <f>IF(AND(S$15="Actual",ISBLANK($E$8)),SUMIFS('[1]NS Vendor Details'!$D:$D,'[1]NS Vendor Details'!$H:$H,'G&amp;A Vendor x GL Analysis'!S$20,'[1]NS Vendor Details'!$L:$L,'G&amp;A Vendor x GL Analysis'!$D57,'[1]NS Vendor Details'!$O:$O,'G&amp;A Vendor x GL Analysis'!$F57,'[1]NS Vendor Details'!$N:$N,'G&amp;A Vendor x GL Analysis'!$C57,'[1]NS Vendor Details'!$I:$I,'G&amp;A Vendor x GL Analysis'!$E57),IF(S$15="Actual",SUMIFS('[1]NS Vendor Details'!$D:$D,'[1]NS Vendor Details'!$H:$H,'G&amp;A Vendor x GL Analysis'!S$20,'[1]NS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24515.05</v>
      </c>
      <c r="T57" s="17">
        <f>IF(AND(T$15="Actual",ISBLANK($E$8)),SUMIFS('[1]NS Vendor Details'!$D:$D,'[1]NS Vendor Details'!$H:$H,'G&amp;A Vendor x GL Analysis'!T$20,'[1]NS Vendor Details'!$L:$L,'G&amp;A Vendor x GL Analysis'!$D57,'[1]NS Vendor Details'!$O:$O,'G&amp;A Vendor x GL Analysis'!$F57,'[1]NS Vendor Details'!$N:$N,'G&amp;A Vendor x GL Analysis'!$C57,'[1]NS Vendor Details'!$I:$I,'G&amp;A Vendor x GL Analysis'!$E57),IF(T$15="Actual",SUMIFS('[1]NS Vendor Details'!$D:$D,'[1]NS Vendor Details'!$H:$H,'G&amp;A Vendor x GL Analysis'!T$20,'[1]NS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24517.26</v>
      </c>
      <c r="U57" s="17">
        <f>IF(AND(U$15="Actual",ISBLANK($E$8)),SUMIFS('[1]NS Vendor Details'!$D:$D,'[1]NS Vendor Details'!$H:$H,'G&amp;A Vendor x GL Analysis'!U$20,'[1]NS Vendor Details'!$L:$L,'G&amp;A Vendor x GL Analysis'!$D57,'[1]NS Vendor Details'!$O:$O,'G&amp;A Vendor x GL Analysis'!$F57,'[1]NS Vendor Details'!$N:$N,'G&amp;A Vendor x GL Analysis'!$C57,'[1]NS Vendor Details'!$I:$I,'G&amp;A Vendor x GL Analysis'!$E57),IF(U$15="Actual",SUMIFS('[1]NS Vendor Details'!$D:$D,'[1]NS Vendor Details'!$H:$H,'G&amp;A Vendor x GL Analysis'!U$20,'[1]NS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24519.51</v>
      </c>
      <c r="V57" s="17">
        <f>IF(AND(V$15="Actual",ISBLANK($E$8)),SUMIFS('[1]NS Vendor Details'!$D:$D,'[1]NS Vendor Details'!$H:$H,'G&amp;A Vendor x GL Analysis'!V$20,'[1]NS Vendor Details'!$L:$L,'G&amp;A Vendor x GL Analysis'!$D57,'[1]NS Vendor Details'!$O:$O,'G&amp;A Vendor x GL Analysis'!$F57,'[1]NS Vendor Details'!$N:$N,'G&amp;A Vendor x GL Analysis'!$C57,'[1]NS Vendor Details'!$I:$I,'G&amp;A Vendor x GL Analysis'!$E57),IF(V$15="Actual",SUMIFS('[1]NS Vendor Details'!$D:$D,'[1]NS Vendor Details'!$H:$H,'G&amp;A Vendor x GL Analysis'!V$20,'[1]NS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24521.69</v>
      </c>
      <c r="W57" s="17">
        <f>IF(AND(W$15="Actual",ISBLANK($E$8)),SUMIFS('[1]NS Vendor Details'!$D:$D,'[1]NS Vendor Details'!$H:$H,'G&amp;A Vendor x GL Analysis'!W$20,'[1]NS Vendor Details'!$L:$L,'G&amp;A Vendor x GL Analysis'!$D57,'[1]NS Vendor Details'!$O:$O,'G&amp;A Vendor x GL Analysis'!$F57,'[1]NS Vendor Details'!$N:$N,'G&amp;A Vendor x GL Analysis'!$C57,'[1]NS Vendor Details'!$I:$I,'G&amp;A Vendor x GL Analysis'!$E57),IF(W$15="Actual",SUMIFS('[1]NS Vendor Details'!$D:$D,'[1]NS Vendor Details'!$H:$H,'G&amp;A Vendor x GL Analysis'!W$20,'[1]NS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24523.91</v>
      </c>
      <c r="X57" s="17">
        <f>IF(AND(X$15="Actual",ISBLANK($E$8)),SUMIFS('[1]NS Vendor Details'!$D:$D,'[1]NS Vendor Details'!$H:$H,'G&amp;A Vendor x GL Analysis'!X$20,'[1]NS Vendor Details'!$L:$L,'G&amp;A Vendor x GL Analysis'!$D57,'[1]NS Vendor Details'!$O:$O,'G&amp;A Vendor x GL Analysis'!$F57,'[1]NS Vendor Details'!$N:$N,'G&amp;A Vendor x GL Analysis'!$C57,'[1]NS Vendor Details'!$I:$I,'G&amp;A Vendor x GL Analysis'!$E57),IF(X$15="Actual",SUMIFS('[1]NS Vendor Details'!$D:$D,'[1]NS Vendor Details'!$H:$H,'G&amp;A Vendor x GL Analysis'!X$20,'[1]NS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24526.15</v>
      </c>
      <c r="Y57" s="17">
        <f>IF(AND(Y$15="Actual",ISBLANK($E$8)),SUMIFS('[1]NS Vendor Details'!$D:$D,'[1]NS Vendor Details'!$H:$H,'G&amp;A Vendor x GL Analysis'!Y$20,'[1]NS Vendor Details'!$L:$L,'G&amp;A Vendor x GL Analysis'!$D57,'[1]NS Vendor Details'!$O:$O,'G&amp;A Vendor x GL Analysis'!$F57,'[1]NS Vendor Details'!$N:$N,'G&amp;A Vendor x GL Analysis'!$C57,'[1]NS Vendor Details'!$I:$I,'G&amp;A Vendor x GL Analysis'!$E57),IF(Y$15="Actual",SUMIFS('[1]NS Vendor Details'!$D:$D,'[1]NS Vendor Details'!$H:$H,'G&amp;A Vendor x GL Analysis'!Y$20,'[1]NS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24528.39</v>
      </c>
      <c r="Z57" s="17">
        <f>IF(AND(Z$15="Actual",ISBLANK($E$8)),SUMIFS('[1]NS Vendor Details'!$D:$D,'[1]NS Vendor Details'!$H:$H,'G&amp;A Vendor x GL Analysis'!Z$20,'[1]NS Vendor Details'!$L:$L,'G&amp;A Vendor x GL Analysis'!$D57,'[1]NS Vendor Details'!$O:$O,'G&amp;A Vendor x GL Analysis'!$F57,'[1]NS Vendor Details'!$N:$N,'G&amp;A Vendor x GL Analysis'!$C57,'[1]NS Vendor Details'!$I:$I,'G&amp;A Vendor x GL Analysis'!$E57),IF(Z$15="Actual",SUMIFS('[1]NS Vendor Details'!$D:$D,'[1]NS Vendor Details'!$H:$H,'G&amp;A Vendor x GL Analysis'!Z$20,'[1]NS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24530.65</v>
      </c>
      <c r="AA57" s="17">
        <f>IF(AND(AA$15="Actual",ISBLANK($E$8)),SUMIFS('[1]NS Vendor Details'!$D:$D,'[1]NS Vendor Details'!$H:$H,'G&amp;A Vendor x GL Analysis'!AA$20,'[1]NS Vendor Details'!$L:$L,'G&amp;A Vendor x GL Analysis'!$D57,'[1]NS Vendor Details'!$O:$O,'G&amp;A Vendor x GL Analysis'!$F57,'[1]NS Vendor Details'!$N:$N,'G&amp;A Vendor x GL Analysis'!$C57,'[1]NS Vendor Details'!$I:$I,'G&amp;A Vendor x GL Analysis'!$E57),IF(AA$15="Actual",SUMIFS('[1]NS Vendor Details'!$D:$D,'[1]NS Vendor Details'!$H:$H,'G&amp;A Vendor x GL Analysis'!AA$20,'[1]NS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24532.91</v>
      </c>
      <c r="AB57" s="17">
        <f>IF(AND(AB$15="Actual",ISBLANK($E$8)),SUMIFS('[1]NS Vendor Details'!$D:$D,'[1]NS Vendor Details'!$H:$H,'G&amp;A Vendor x GL Analysis'!AB$20,'[1]NS Vendor Details'!$L:$L,'G&amp;A Vendor x GL Analysis'!$D57,'[1]NS Vendor Details'!$O:$O,'G&amp;A Vendor x GL Analysis'!$F57,'[1]NS Vendor Details'!$N:$N,'G&amp;A Vendor x GL Analysis'!$C57,'[1]NS Vendor Details'!$I:$I,'G&amp;A Vendor x GL Analysis'!$E57),IF(AB$15="Actual",SUMIFS('[1]NS Vendor Details'!$D:$D,'[1]NS Vendor Details'!$H:$H,'G&amp;A Vendor x GL Analysis'!AB$20,'[1]NS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24535.18</v>
      </c>
      <c r="AC57" s="18">
        <f>IF(AND(AC$15="Actual",ISBLANK($E$8)),SUMIFS('[1]NS Vendor Details'!$D:$D,'[1]NS Vendor Details'!$H:$H,'G&amp;A Vendor x GL Analysis'!AC$20,'[1]NS Vendor Details'!$L:$L,'G&amp;A Vendor x GL Analysis'!$D57,'[1]NS Vendor Details'!$O:$O,'G&amp;A Vendor x GL Analysis'!$F57,'[1]NS Vendor Details'!$N:$N,'G&amp;A Vendor x GL Analysis'!$C57,'[1]NS Vendor Details'!$I:$I,'G&amp;A Vendor x GL Analysis'!$E57),IF(AC$15="Actual",SUMIFS('[1]NS Vendor Details'!$D:$D,'[1]NS Vendor Details'!$H:$H,'G&amp;A Vendor x GL Analysis'!AC$20,'[1]NS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24537.46</v>
      </c>
      <c r="AD57" s="18">
        <f>IF(AND(AD$15="Actual",ISBLANK($E$8)),SUMIFS('[1]NS Vendor Details'!$D:$D,'[1]NS Vendor Details'!$H:$H,'G&amp;A Vendor x GL Analysis'!AD$20,'[1]NS Vendor Details'!$L:$L,'G&amp;A Vendor x GL Analysis'!$D57,'[1]NS Vendor Details'!$O:$O,'G&amp;A Vendor x GL Analysis'!$F57,'[1]NS Vendor Details'!$N:$N,'G&amp;A Vendor x GL Analysis'!$C57,'[1]NS Vendor Details'!$I:$I,'G&amp;A Vendor x GL Analysis'!$E57),IF(AD$15="Actual",SUMIFS('[1]NS Vendor Details'!$D:$D,'[1]NS Vendor Details'!$H:$H,'G&amp;A Vendor x GL Analysis'!AD$20,'[1]NS Vendor Details'!$L:$L,'G&amp;A Vendor x GL Analysis'!$D57,'[1]NS Vendor Details'!$O:$O,'G&amp;A Vendor x GL Analysis'!$F57,'[1]NS Vendor Details'!$N:$N,'G&amp;A Vendor x GL Analysis'!$C57,'[1]NS Vendor Details'!$K:$K,'G&amp;A Vendor x GL Analysis'!$E$8,'[1]NS Vendor Details'!$I:$I,'G&amp;A Vendor x GL Analysis'!$E57),0))</f>
        <v>0</v>
      </c>
      <c r="AF57" s="19">
        <f t="shared" si="9"/>
        <v>269788.16000000003</v>
      </c>
    </row>
    <row r="58" spans="1:32" ht="15">
      <c r="A58" s="8" t="str">
        <f t="shared" si="8"/>
        <v>Sample</v>
      </c>
      <c r="B58" s="8" t="s">
        <v>9</v>
      </c>
      <c r="E58" s="9" t="s">
        <v>49</v>
      </c>
      <c r="F58" s="9"/>
      <c r="G58" s="12">
        <f t="shared" ref="G58:AD58" si="16">SUMIFS(G:G,$D:$D,$E58)</f>
        <v>59.6</v>
      </c>
      <c r="H58" s="13">
        <f t="shared" si="16"/>
        <v>74642.989999999991</v>
      </c>
      <c r="I58" s="13">
        <f t="shared" si="16"/>
        <v>630.46</v>
      </c>
      <c r="J58" s="13">
        <f t="shared" si="16"/>
        <v>1689.33</v>
      </c>
      <c r="K58" s="13">
        <f t="shared" si="16"/>
        <v>25448.63</v>
      </c>
      <c r="L58" s="13">
        <f t="shared" si="16"/>
        <v>22500.639999999999</v>
      </c>
      <c r="M58" s="13">
        <f t="shared" si="16"/>
        <v>7515.67</v>
      </c>
      <c r="N58" s="13">
        <f t="shared" si="16"/>
        <v>62102.6</v>
      </c>
      <c r="O58" s="13">
        <f t="shared" si="16"/>
        <v>2498.6400000000003</v>
      </c>
      <c r="P58" s="13">
        <f t="shared" si="16"/>
        <v>26695.890000000003</v>
      </c>
      <c r="Q58" s="13">
        <f t="shared" si="16"/>
        <v>9506.51</v>
      </c>
      <c r="R58" s="14">
        <f t="shared" si="16"/>
        <v>8994.2400000000016</v>
      </c>
      <c r="S58" s="12">
        <f t="shared" si="16"/>
        <v>38117.17</v>
      </c>
      <c r="T58" s="13">
        <f t="shared" si="16"/>
        <v>5126.67</v>
      </c>
      <c r="U58" s="13">
        <f t="shared" si="16"/>
        <v>3228.46</v>
      </c>
      <c r="V58" s="13">
        <f t="shared" si="16"/>
        <v>19361.09</v>
      </c>
      <c r="W58" s="13">
        <f t="shared" si="16"/>
        <v>2318.4700000000007</v>
      </c>
      <c r="X58" s="13">
        <f t="shared" si="16"/>
        <v>4924.2299999999996</v>
      </c>
      <c r="Y58" s="13">
        <f t="shared" si="16"/>
        <v>5195.26</v>
      </c>
      <c r="Z58" s="13">
        <f t="shared" si="16"/>
        <v>1935.81</v>
      </c>
      <c r="AA58" s="13">
        <f t="shared" si="16"/>
        <v>9966.5299999999988</v>
      </c>
      <c r="AB58" s="13">
        <f t="shared" si="16"/>
        <v>54506.46</v>
      </c>
      <c r="AC58" s="14">
        <f t="shared" si="16"/>
        <v>750</v>
      </c>
      <c r="AD58" s="14">
        <f t="shared" si="16"/>
        <v>0</v>
      </c>
      <c r="AF58" s="19">
        <f t="shared" si="9"/>
        <v>145430.15</v>
      </c>
    </row>
    <row r="59" spans="1:32" outlineLevel="1">
      <c r="A59" s="8" t="str">
        <f t="shared" si="8"/>
        <v>Sample6352 - Fabric &amp; Materials</v>
      </c>
      <c r="C59" s="8" t="s">
        <v>11</v>
      </c>
      <c r="D59" s="8" t="str">
        <f>E58</f>
        <v>Sample</v>
      </c>
      <c r="E59" s="2" t="s">
        <v>50</v>
      </c>
      <c r="F59" s="2" t="s">
        <v>51</v>
      </c>
      <c r="G59" s="16">
        <f>IF(AND(G$15="Actual",ISBLANK($E$8)),SUMIFS('[1]NS Vendor Details'!$D:$D,'[1]NS Vendor Details'!$H:$H,'G&amp;A Vendor x GL Analysis'!G$20,'[1]NS Vendor Details'!$L:$L,'G&amp;A Vendor x GL Analysis'!$D59,'[1]NS Vendor Details'!$O:$O,'G&amp;A Vendor x GL Analysis'!$F59,'[1]NS Vendor Details'!$N:$N,'G&amp;A Vendor x GL Analysis'!$C59),IF(G$15="Actual",SUMIFS('[1]NS Vendor Details'!$D:$D,'[1]NS Vendor Details'!$H:$H,'G&amp;A Vendor x GL Analysis'!G$20,'[1]NS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H59" s="17">
        <f>IF(AND(H$15="Actual",ISBLANK($E$8)),SUMIFS('[1]NS Vendor Details'!$D:$D,'[1]NS Vendor Details'!$H:$H,'G&amp;A Vendor x GL Analysis'!H$20,'[1]NS Vendor Details'!$L:$L,'G&amp;A Vendor x GL Analysis'!$D59,'[1]NS Vendor Details'!$O:$O,'G&amp;A Vendor x GL Analysis'!$F59,'[1]NS Vendor Details'!$N:$N,'G&amp;A Vendor x GL Analysis'!$C59),IF(H$15="Actual",SUMIFS('[1]NS Vendor Details'!$D:$D,'[1]NS Vendor Details'!$H:$H,'G&amp;A Vendor x GL Analysis'!H$20,'[1]NS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I59" s="17">
        <f>IF(AND(I$15="Actual",ISBLANK($E$8)),SUMIFS('[1]NS Vendor Details'!$D:$D,'[1]NS Vendor Details'!$H:$H,'G&amp;A Vendor x GL Analysis'!I$20,'[1]NS Vendor Details'!$L:$L,'G&amp;A Vendor x GL Analysis'!$D59,'[1]NS Vendor Details'!$O:$O,'G&amp;A Vendor x GL Analysis'!$F59,'[1]NS Vendor Details'!$N:$N,'G&amp;A Vendor x GL Analysis'!$C59),IF(I$15="Actual",SUMIFS('[1]NS Vendor Details'!$D:$D,'[1]NS Vendor Details'!$H:$H,'G&amp;A Vendor x GL Analysis'!I$20,'[1]NS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J59" s="17">
        <f>IF(AND(J$15="Actual",ISBLANK($E$8)),SUMIFS('[1]NS Vendor Details'!$D:$D,'[1]NS Vendor Details'!$H:$H,'G&amp;A Vendor x GL Analysis'!J$20,'[1]NS Vendor Details'!$L:$L,'G&amp;A Vendor x GL Analysis'!$D59,'[1]NS Vendor Details'!$O:$O,'G&amp;A Vendor x GL Analysis'!$F59,'[1]NS Vendor Details'!$N:$N,'G&amp;A Vendor x GL Analysis'!$C59),IF(J$15="Actual",SUMIFS('[1]NS Vendor Details'!$D:$D,'[1]NS Vendor Details'!$H:$H,'G&amp;A Vendor x GL Analysis'!J$20,'[1]NS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K59" s="17">
        <f>IF(AND(K$15="Actual",ISBLANK($E$8)),SUMIFS('[1]NS Vendor Details'!$D:$D,'[1]NS Vendor Details'!$H:$H,'G&amp;A Vendor x GL Analysis'!K$20,'[1]NS Vendor Details'!$L:$L,'G&amp;A Vendor x GL Analysis'!$D59,'[1]NS Vendor Details'!$O:$O,'G&amp;A Vendor x GL Analysis'!$F59,'[1]NS Vendor Details'!$N:$N,'G&amp;A Vendor x GL Analysis'!$C59),IF(K$15="Actual",SUMIFS('[1]NS Vendor Details'!$D:$D,'[1]NS Vendor Details'!$H:$H,'G&amp;A Vendor x GL Analysis'!K$20,'[1]NS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L59" s="17">
        <f>IF(AND(L$15="Actual",ISBLANK($E$8)),SUMIFS('[1]NS Vendor Details'!$D:$D,'[1]NS Vendor Details'!$H:$H,'G&amp;A Vendor x GL Analysis'!L$20,'[1]NS Vendor Details'!$L:$L,'G&amp;A Vendor x GL Analysis'!$D59,'[1]NS Vendor Details'!$O:$O,'G&amp;A Vendor x GL Analysis'!$F59,'[1]NS Vendor Details'!$N:$N,'G&amp;A Vendor x GL Analysis'!$C59),IF(L$15="Actual",SUMIFS('[1]NS Vendor Details'!$D:$D,'[1]NS Vendor Details'!$H:$H,'G&amp;A Vendor x GL Analysis'!L$20,'[1]NS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M59" s="17">
        <f>IF(AND(M$15="Actual",ISBLANK($E$8)),SUMIFS('[1]NS Vendor Details'!$D:$D,'[1]NS Vendor Details'!$H:$H,'G&amp;A Vendor x GL Analysis'!M$20,'[1]NS Vendor Details'!$L:$L,'G&amp;A Vendor x GL Analysis'!$D59,'[1]NS Vendor Details'!$O:$O,'G&amp;A Vendor x GL Analysis'!$F59,'[1]NS Vendor Details'!$N:$N,'G&amp;A Vendor x GL Analysis'!$C59),IF(M$15="Actual",SUMIFS('[1]NS Vendor Details'!$D:$D,'[1]NS Vendor Details'!$H:$H,'G&amp;A Vendor x GL Analysis'!M$20,'[1]NS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N59" s="17">
        <f>IF(AND(N$15="Actual",ISBLANK($E$8)),SUMIFS('[1]NS Vendor Details'!$D:$D,'[1]NS Vendor Details'!$H:$H,'G&amp;A Vendor x GL Analysis'!N$20,'[1]NS Vendor Details'!$L:$L,'G&amp;A Vendor x GL Analysis'!$D59,'[1]NS Vendor Details'!$O:$O,'G&amp;A Vendor x GL Analysis'!$F59,'[1]NS Vendor Details'!$N:$N,'G&amp;A Vendor x GL Analysis'!$C59),IF(N$15="Actual",SUMIFS('[1]NS Vendor Details'!$D:$D,'[1]NS Vendor Details'!$H:$H,'G&amp;A Vendor x GL Analysis'!N$20,'[1]NS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O59" s="17">
        <f>IF(AND(O$15="Actual",ISBLANK($E$8)),SUMIFS('[1]NS Vendor Details'!$D:$D,'[1]NS Vendor Details'!$H:$H,'G&amp;A Vendor x GL Analysis'!O$20,'[1]NS Vendor Details'!$L:$L,'G&amp;A Vendor x GL Analysis'!$D59,'[1]NS Vendor Details'!$O:$O,'G&amp;A Vendor x GL Analysis'!$F59,'[1]NS Vendor Details'!$N:$N,'G&amp;A Vendor x GL Analysis'!$C59),IF(O$15="Actual",SUMIFS('[1]NS Vendor Details'!$D:$D,'[1]NS Vendor Details'!$H:$H,'G&amp;A Vendor x GL Analysis'!O$20,'[1]NS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P59" s="17">
        <f>IF(AND(P$15="Actual",ISBLANK($E$8)),SUMIFS('[1]NS Vendor Details'!$D:$D,'[1]NS Vendor Details'!$H:$H,'G&amp;A Vendor x GL Analysis'!P$20,'[1]NS Vendor Details'!$L:$L,'G&amp;A Vendor x GL Analysis'!$D59,'[1]NS Vendor Details'!$O:$O,'G&amp;A Vendor x GL Analysis'!$F59,'[1]NS Vendor Details'!$N:$N,'G&amp;A Vendor x GL Analysis'!$C59),IF(P$15="Actual",SUMIFS('[1]NS Vendor Details'!$D:$D,'[1]NS Vendor Details'!$H:$H,'G&amp;A Vendor x GL Analysis'!P$20,'[1]NS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Q59" s="17">
        <f>IF(AND(Q$15="Actual",ISBLANK($E$8)),SUMIFS('[1]NS Vendor Details'!$D:$D,'[1]NS Vendor Details'!$H:$H,'G&amp;A Vendor x GL Analysis'!Q$20,'[1]NS Vendor Details'!$L:$L,'G&amp;A Vendor x GL Analysis'!$D59,'[1]NS Vendor Details'!$O:$O,'G&amp;A Vendor x GL Analysis'!$F59,'[1]NS Vendor Details'!$N:$N,'G&amp;A Vendor x GL Analysis'!$C59),IF(Q$15="Actual",SUMIFS('[1]NS Vendor Details'!$D:$D,'[1]NS Vendor Details'!$H:$H,'G&amp;A Vendor x GL Analysis'!Q$20,'[1]NS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R59" s="18">
        <f>IF(AND(R$15="Actual",ISBLANK($E$8)),SUMIFS('[1]NS Vendor Details'!$D:$D,'[1]NS Vendor Details'!$H:$H,'G&amp;A Vendor x GL Analysis'!R$20,'[1]NS Vendor Details'!$L:$L,'G&amp;A Vendor x GL Analysis'!$D59,'[1]NS Vendor Details'!$O:$O,'G&amp;A Vendor x GL Analysis'!$F59,'[1]NS Vendor Details'!$N:$N,'G&amp;A Vendor x GL Analysis'!$C59),IF(R$15="Actual",SUMIFS('[1]NS Vendor Details'!$D:$D,'[1]NS Vendor Details'!$H:$H,'G&amp;A Vendor x GL Analysis'!R$20,'[1]NS Vendor Details'!$L:$L,'G&amp;A Vendor x GL Analysis'!$D59,'[1]NS Vendor Details'!$O:$O,'G&amp;A Vendor x GL Analysis'!$F59,'[1]NS Vendor Details'!$N:$N,'G&amp;A Vendor x GL Analysis'!$C59,'[1]NS Vendor Details'!$K:$K,'G&amp;A Vendor x GL Analysis'!$E$8),0))</f>
        <v>0</v>
      </c>
      <c r="S59" s="16">
        <f>IF(AND(S$15="Actual",ISBLANK($E$8)),SUMIFS('[1]NS Vendor Details'!$D:$D,'[1]NS Vendor Details'!$H:$H,'G&amp;A Vendor x GL Analysis'!S$20,'[1]NS Vendor Details'!$L:$L,'G&amp;A Vendor x GL Analysis'!$D59,'[1]NS Vendor Details'!$O:$O,'G&amp;A Vendor x GL Analysis'!$F59,'[1]NS Vendor Details'!$N:$N,'G&amp;A Vendor x GL Analysis'!$C59,'[1]NS Vendor Details'!$I:$I,'G&amp;A Vendor x GL Analysis'!$E59),IF(S$15="Actual",SUMIFS('[1]NS Vendor Details'!$D:$D,'[1]NS Vendor Details'!$H:$H,'G&amp;A Vendor x GL Analysis'!S$20,'[1]NS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T59" s="17">
        <f>IF(AND(T$15="Actual",ISBLANK($E$8)),SUMIFS('[1]NS Vendor Details'!$D:$D,'[1]NS Vendor Details'!$H:$H,'G&amp;A Vendor x GL Analysis'!T$20,'[1]NS Vendor Details'!$L:$L,'G&amp;A Vendor x GL Analysis'!$D59,'[1]NS Vendor Details'!$O:$O,'G&amp;A Vendor x GL Analysis'!$F59,'[1]NS Vendor Details'!$N:$N,'G&amp;A Vendor x GL Analysis'!$C59,'[1]NS Vendor Details'!$I:$I,'G&amp;A Vendor x GL Analysis'!$E59),IF(T$15="Actual",SUMIFS('[1]NS Vendor Details'!$D:$D,'[1]NS Vendor Details'!$H:$H,'G&amp;A Vendor x GL Analysis'!T$20,'[1]NS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U59" s="17">
        <f>IF(AND(U$15="Actual",ISBLANK($E$8)),SUMIFS('[1]NS Vendor Details'!$D:$D,'[1]NS Vendor Details'!$H:$H,'G&amp;A Vendor x GL Analysis'!U$20,'[1]NS Vendor Details'!$L:$L,'G&amp;A Vendor x GL Analysis'!$D59,'[1]NS Vendor Details'!$O:$O,'G&amp;A Vendor x GL Analysis'!$F59,'[1]NS Vendor Details'!$N:$N,'G&amp;A Vendor x GL Analysis'!$C59,'[1]NS Vendor Details'!$I:$I,'G&amp;A Vendor x GL Analysis'!$E59),IF(U$15="Actual",SUMIFS('[1]NS Vendor Details'!$D:$D,'[1]NS Vendor Details'!$H:$H,'G&amp;A Vendor x GL Analysis'!U$20,'[1]NS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144</v>
      </c>
      <c r="V59" s="17">
        <f>IF(AND(V$15="Actual",ISBLANK($E$8)),SUMIFS('[1]NS Vendor Details'!$D:$D,'[1]NS Vendor Details'!$H:$H,'G&amp;A Vendor x GL Analysis'!V$20,'[1]NS Vendor Details'!$L:$L,'G&amp;A Vendor x GL Analysis'!$D59,'[1]NS Vendor Details'!$O:$O,'G&amp;A Vendor x GL Analysis'!$F59,'[1]NS Vendor Details'!$N:$N,'G&amp;A Vendor x GL Analysis'!$C59,'[1]NS Vendor Details'!$I:$I,'G&amp;A Vendor x GL Analysis'!$E59),IF(V$15="Actual",SUMIFS('[1]NS Vendor Details'!$D:$D,'[1]NS Vendor Details'!$H:$H,'G&amp;A Vendor x GL Analysis'!V$20,'[1]NS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W59" s="17">
        <f>IF(AND(W$15="Actual",ISBLANK($E$8)),SUMIFS('[1]NS Vendor Details'!$D:$D,'[1]NS Vendor Details'!$H:$H,'G&amp;A Vendor x GL Analysis'!W$20,'[1]NS Vendor Details'!$L:$L,'G&amp;A Vendor x GL Analysis'!$D59,'[1]NS Vendor Details'!$O:$O,'G&amp;A Vendor x GL Analysis'!$F59,'[1]NS Vendor Details'!$N:$N,'G&amp;A Vendor x GL Analysis'!$C59,'[1]NS Vendor Details'!$I:$I,'G&amp;A Vendor x GL Analysis'!$E59),IF(W$15="Actual",SUMIFS('[1]NS Vendor Details'!$D:$D,'[1]NS Vendor Details'!$H:$H,'G&amp;A Vendor x GL Analysis'!W$20,'[1]NS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X59" s="17">
        <f>IF(AND(X$15="Actual",ISBLANK($E$8)),SUMIFS('[1]NS Vendor Details'!$D:$D,'[1]NS Vendor Details'!$H:$H,'G&amp;A Vendor x GL Analysis'!X$20,'[1]NS Vendor Details'!$L:$L,'G&amp;A Vendor x GL Analysis'!$D59,'[1]NS Vendor Details'!$O:$O,'G&amp;A Vendor x GL Analysis'!$F59,'[1]NS Vendor Details'!$N:$N,'G&amp;A Vendor x GL Analysis'!$C59,'[1]NS Vendor Details'!$I:$I,'G&amp;A Vendor x GL Analysis'!$E59),IF(X$15="Actual",SUMIFS('[1]NS Vendor Details'!$D:$D,'[1]NS Vendor Details'!$H:$H,'G&amp;A Vendor x GL Analysis'!X$20,'[1]NS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Y59" s="17">
        <f>IF(AND(Y$15="Actual",ISBLANK($E$8)),SUMIFS('[1]NS Vendor Details'!$D:$D,'[1]NS Vendor Details'!$H:$H,'G&amp;A Vendor x GL Analysis'!Y$20,'[1]NS Vendor Details'!$L:$L,'G&amp;A Vendor x GL Analysis'!$D59,'[1]NS Vendor Details'!$O:$O,'G&amp;A Vendor x GL Analysis'!$F59,'[1]NS Vendor Details'!$N:$N,'G&amp;A Vendor x GL Analysis'!$C59,'[1]NS Vendor Details'!$I:$I,'G&amp;A Vendor x GL Analysis'!$E59),IF(Y$15="Actual",SUMIFS('[1]NS Vendor Details'!$D:$D,'[1]NS Vendor Details'!$H:$H,'G&amp;A Vendor x GL Analysis'!Y$20,'[1]NS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Z59" s="17">
        <f>IF(AND(Z$15="Actual",ISBLANK($E$8)),SUMIFS('[1]NS Vendor Details'!$D:$D,'[1]NS Vendor Details'!$H:$H,'G&amp;A Vendor x GL Analysis'!Z$20,'[1]NS Vendor Details'!$L:$L,'G&amp;A Vendor x GL Analysis'!$D59,'[1]NS Vendor Details'!$O:$O,'G&amp;A Vendor x GL Analysis'!$F59,'[1]NS Vendor Details'!$N:$N,'G&amp;A Vendor x GL Analysis'!$C59,'[1]NS Vendor Details'!$I:$I,'G&amp;A Vendor x GL Analysis'!$E59),IF(Z$15="Actual",SUMIFS('[1]NS Vendor Details'!$D:$D,'[1]NS Vendor Details'!$H:$H,'G&amp;A Vendor x GL Analysis'!Z$20,'[1]NS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AA59" s="17">
        <f>IF(AND(AA$15="Actual",ISBLANK($E$8)),SUMIFS('[1]NS Vendor Details'!$D:$D,'[1]NS Vendor Details'!$H:$H,'G&amp;A Vendor x GL Analysis'!AA$20,'[1]NS Vendor Details'!$L:$L,'G&amp;A Vendor x GL Analysis'!$D59,'[1]NS Vendor Details'!$O:$O,'G&amp;A Vendor x GL Analysis'!$F59,'[1]NS Vendor Details'!$N:$N,'G&amp;A Vendor x GL Analysis'!$C59,'[1]NS Vendor Details'!$I:$I,'G&amp;A Vendor x GL Analysis'!$E59),IF(AA$15="Actual",SUMIFS('[1]NS Vendor Details'!$D:$D,'[1]NS Vendor Details'!$H:$H,'G&amp;A Vendor x GL Analysis'!AA$20,'[1]NS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AB59" s="17">
        <f>IF(AND(AB$15="Actual",ISBLANK($E$8)),SUMIFS('[1]NS Vendor Details'!$D:$D,'[1]NS Vendor Details'!$H:$H,'G&amp;A Vendor x GL Analysis'!AB$20,'[1]NS Vendor Details'!$L:$L,'G&amp;A Vendor x GL Analysis'!$D59,'[1]NS Vendor Details'!$O:$O,'G&amp;A Vendor x GL Analysis'!$F59,'[1]NS Vendor Details'!$N:$N,'G&amp;A Vendor x GL Analysis'!$C59,'[1]NS Vendor Details'!$I:$I,'G&amp;A Vendor x GL Analysis'!$E59),IF(AB$15="Actual",SUMIFS('[1]NS Vendor Details'!$D:$D,'[1]NS Vendor Details'!$H:$H,'G&amp;A Vendor x GL Analysis'!AB$20,'[1]NS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AC59" s="18">
        <f>IF(AND(AC$15="Actual",ISBLANK($E$8)),SUMIFS('[1]NS Vendor Details'!$D:$D,'[1]NS Vendor Details'!$H:$H,'G&amp;A Vendor x GL Analysis'!AC$20,'[1]NS Vendor Details'!$L:$L,'G&amp;A Vendor x GL Analysis'!$D59,'[1]NS Vendor Details'!$O:$O,'G&amp;A Vendor x GL Analysis'!$F59,'[1]NS Vendor Details'!$N:$N,'G&amp;A Vendor x GL Analysis'!$C59,'[1]NS Vendor Details'!$I:$I,'G&amp;A Vendor x GL Analysis'!$E59),IF(AC$15="Actual",SUMIFS('[1]NS Vendor Details'!$D:$D,'[1]NS Vendor Details'!$H:$H,'G&amp;A Vendor x GL Analysis'!AC$20,'[1]NS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AD59" s="18">
        <f>IF(AND(AD$15="Actual",ISBLANK($E$8)),SUMIFS('[1]NS Vendor Details'!$D:$D,'[1]NS Vendor Details'!$H:$H,'G&amp;A Vendor x GL Analysis'!AD$20,'[1]NS Vendor Details'!$L:$L,'G&amp;A Vendor x GL Analysis'!$D59,'[1]NS Vendor Details'!$O:$O,'G&amp;A Vendor x GL Analysis'!$F59,'[1]NS Vendor Details'!$N:$N,'G&amp;A Vendor x GL Analysis'!$C59,'[1]NS Vendor Details'!$I:$I,'G&amp;A Vendor x GL Analysis'!$E59),IF(AD$15="Actual",SUMIFS('[1]NS Vendor Details'!$D:$D,'[1]NS Vendor Details'!$H:$H,'G&amp;A Vendor x GL Analysis'!AD$20,'[1]NS Vendor Details'!$L:$L,'G&amp;A Vendor x GL Analysis'!$D59,'[1]NS Vendor Details'!$O:$O,'G&amp;A Vendor x GL Analysis'!$F59,'[1]NS Vendor Details'!$N:$N,'G&amp;A Vendor x GL Analysis'!$C59,'[1]NS Vendor Details'!$K:$K,'G&amp;A Vendor x GL Analysis'!$E$8,'[1]NS Vendor Details'!$I:$I,'G&amp;A Vendor x GL Analysis'!$E59),0))</f>
        <v>0</v>
      </c>
      <c r="AF59" s="19">
        <f t="shared" si="9"/>
        <v>144</v>
      </c>
    </row>
    <row r="60" spans="1:32" outlineLevel="1">
      <c r="A60" s="8" t="str">
        <f t="shared" si="8"/>
        <v>Sample6352 - Fabric &amp; Materials</v>
      </c>
      <c r="C60" s="8" t="s">
        <v>11</v>
      </c>
      <c r="D60" s="8" t="str">
        <f>D59</f>
        <v>Sample</v>
      </c>
      <c r="E60" s="2" t="s">
        <v>50</v>
      </c>
      <c r="F60" s="2" t="s">
        <v>52</v>
      </c>
      <c r="G60" s="16">
        <f>IF(AND(G$15="Actual",ISBLANK($E$8)),SUMIFS('[1]NS Vendor Details'!$D:$D,'[1]NS Vendor Details'!$H:$H,'G&amp;A Vendor x GL Analysis'!G$20,'[1]NS Vendor Details'!$L:$L,'G&amp;A Vendor x GL Analysis'!$D60,'[1]NS Vendor Details'!$O:$O,'G&amp;A Vendor x GL Analysis'!$F60,'[1]NS Vendor Details'!$N:$N,'G&amp;A Vendor x GL Analysis'!$C60),IF(G$15="Actual",SUMIFS('[1]NS Vendor Details'!$D:$D,'[1]NS Vendor Details'!$H:$H,'G&amp;A Vendor x GL Analysis'!G$20,'[1]NS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H60" s="17">
        <f>IF(AND(H$15="Actual",ISBLANK($E$8)),SUMIFS('[1]NS Vendor Details'!$D:$D,'[1]NS Vendor Details'!$H:$H,'G&amp;A Vendor x GL Analysis'!H$20,'[1]NS Vendor Details'!$L:$L,'G&amp;A Vendor x GL Analysis'!$D60,'[1]NS Vendor Details'!$O:$O,'G&amp;A Vendor x GL Analysis'!$F60,'[1]NS Vendor Details'!$N:$N,'G&amp;A Vendor x GL Analysis'!$C60),IF(H$15="Actual",SUMIFS('[1]NS Vendor Details'!$D:$D,'[1]NS Vendor Details'!$H:$H,'G&amp;A Vendor x GL Analysis'!H$20,'[1]NS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I60" s="17">
        <f>IF(AND(I$15="Actual",ISBLANK($E$8)),SUMIFS('[1]NS Vendor Details'!$D:$D,'[1]NS Vendor Details'!$H:$H,'G&amp;A Vendor x GL Analysis'!I$20,'[1]NS Vendor Details'!$L:$L,'G&amp;A Vendor x GL Analysis'!$D60,'[1]NS Vendor Details'!$O:$O,'G&amp;A Vendor x GL Analysis'!$F60,'[1]NS Vendor Details'!$N:$N,'G&amp;A Vendor x GL Analysis'!$C60),IF(I$15="Actual",SUMIFS('[1]NS Vendor Details'!$D:$D,'[1]NS Vendor Details'!$H:$H,'G&amp;A Vendor x GL Analysis'!I$20,'[1]NS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J60" s="17">
        <f>IF(AND(J$15="Actual",ISBLANK($E$8)),SUMIFS('[1]NS Vendor Details'!$D:$D,'[1]NS Vendor Details'!$H:$H,'G&amp;A Vendor x GL Analysis'!J$20,'[1]NS Vendor Details'!$L:$L,'G&amp;A Vendor x GL Analysis'!$D60,'[1]NS Vendor Details'!$O:$O,'G&amp;A Vendor x GL Analysis'!$F60,'[1]NS Vendor Details'!$N:$N,'G&amp;A Vendor x GL Analysis'!$C60),IF(J$15="Actual",SUMIFS('[1]NS Vendor Details'!$D:$D,'[1]NS Vendor Details'!$H:$H,'G&amp;A Vendor x GL Analysis'!J$20,'[1]NS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K60" s="17">
        <f>IF(AND(K$15="Actual",ISBLANK($E$8)),SUMIFS('[1]NS Vendor Details'!$D:$D,'[1]NS Vendor Details'!$H:$H,'G&amp;A Vendor x GL Analysis'!K$20,'[1]NS Vendor Details'!$L:$L,'G&amp;A Vendor x GL Analysis'!$D60,'[1]NS Vendor Details'!$O:$O,'G&amp;A Vendor x GL Analysis'!$F60,'[1]NS Vendor Details'!$N:$N,'G&amp;A Vendor x GL Analysis'!$C60),IF(K$15="Actual",SUMIFS('[1]NS Vendor Details'!$D:$D,'[1]NS Vendor Details'!$H:$H,'G&amp;A Vendor x GL Analysis'!K$20,'[1]NS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L60" s="17">
        <f>IF(AND(L$15="Actual",ISBLANK($E$8)),SUMIFS('[1]NS Vendor Details'!$D:$D,'[1]NS Vendor Details'!$H:$H,'G&amp;A Vendor x GL Analysis'!L$20,'[1]NS Vendor Details'!$L:$L,'G&amp;A Vendor x GL Analysis'!$D60,'[1]NS Vendor Details'!$O:$O,'G&amp;A Vendor x GL Analysis'!$F60,'[1]NS Vendor Details'!$N:$N,'G&amp;A Vendor x GL Analysis'!$C60),IF(L$15="Actual",SUMIFS('[1]NS Vendor Details'!$D:$D,'[1]NS Vendor Details'!$H:$H,'G&amp;A Vendor x GL Analysis'!L$20,'[1]NS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M60" s="17">
        <f>IF(AND(M$15="Actual",ISBLANK($E$8)),SUMIFS('[1]NS Vendor Details'!$D:$D,'[1]NS Vendor Details'!$H:$H,'G&amp;A Vendor x GL Analysis'!M$20,'[1]NS Vendor Details'!$L:$L,'G&amp;A Vendor x GL Analysis'!$D60,'[1]NS Vendor Details'!$O:$O,'G&amp;A Vendor x GL Analysis'!$F60,'[1]NS Vendor Details'!$N:$N,'G&amp;A Vendor x GL Analysis'!$C60),IF(M$15="Actual",SUMIFS('[1]NS Vendor Details'!$D:$D,'[1]NS Vendor Details'!$H:$H,'G&amp;A Vendor x GL Analysis'!M$20,'[1]NS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N60" s="17">
        <f>IF(AND(N$15="Actual",ISBLANK($E$8)),SUMIFS('[1]NS Vendor Details'!$D:$D,'[1]NS Vendor Details'!$H:$H,'G&amp;A Vendor x GL Analysis'!N$20,'[1]NS Vendor Details'!$L:$L,'G&amp;A Vendor x GL Analysis'!$D60,'[1]NS Vendor Details'!$O:$O,'G&amp;A Vendor x GL Analysis'!$F60,'[1]NS Vendor Details'!$N:$N,'G&amp;A Vendor x GL Analysis'!$C60),IF(N$15="Actual",SUMIFS('[1]NS Vendor Details'!$D:$D,'[1]NS Vendor Details'!$H:$H,'G&amp;A Vendor x GL Analysis'!N$20,'[1]NS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O60" s="17">
        <f>IF(AND(O$15="Actual",ISBLANK($E$8)),SUMIFS('[1]NS Vendor Details'!$D:$D,'[1]NS Vendor Details'!$H:$H,'G&amp;A Vendor x GL Analysis'!O$20,'[1]NS Vendor Details'!$L:$L,'G&amp;A Vendor x GL Analysis'!$D60,'[1]NS Vendor Details'!$O:$O,'G&amp;A Vendor x GL Analysis'!$F60,'[1]NS Vendor Details'!$N:$N,'G&amp;A Vendor x GL Analysis'!$C60),IF(O$15="Actual",SUMIFS('[1]NS Vendor Details'!$D:$D,'[1]NS Vendor Details'!$H:$H,'G&amp;A Vendor x GL Analysis'!O$20,'[1]NS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P60" s="17">
        <f>IF(AND(P$15="Actual",ISBLANK($E$8)),SUMIFS('[1]NS Vendor Details'!$D:$D,'[1]NS Vendor Details'!$H:$H,'G&amp;A Vendor x GL Analysis'!P$20,'[1]NS Vendor Details'!$L:$L,'G&amp;A Vendor x GL Analysis'!$D60,'[1]NS Vendor Details'!$O:$O,'G&amp;A Vendor x GL Analysis'!$F60,'[1]NS Vendor Details'!$N:$N,'G&amp;A Vendor x GL Analysis'!$C60),IF(P$15="Actual",SUMIFS('[1]NS Vendor Details'!$D:$D,'[1]NS Vendor Details'!$H:$H,'G&amp;A Vendor x GL Analysis'!P$20,'[1]NS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Q60" s="17">
        <f>IF(AND(Q$15="Actual",ISBLANK($E$8)),SUMIFS('[1]NS Vendor Details'!$D:$D,'[1]NS Vendor Details'!$H:$H,'G&amp;A Vendor x GL Analysis'!Q$20,'[1]NS Vendor Details'!$L:$L,'G&amp;A Vendor x GL Analysis'!$D60,'[1]NS Vendor Details'!$O:$O,'G&amp;A Vendor x GL Analysis'!$F60,'[1]NS Vendor Details'!$N:$N,'G&amp;A Vendor x GL Analysis'!$C60),IF(Q$15="Actual",SUMIFS('[1]NS Vendor Details'!$D:$D,'[1]NS Vendor Details'!$H:$H,'G&amp;A Vendor x GL Analysis'!Q$20,'[1]NS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R60" s="18">
        <f>IF(AND(R$15="Actual",ISBLANK($E$8)),SUMIFS('[1]NS Vendor Details'!$D:$D,'[1]NS Vendor Details'!$H:$H,'G&amp;A Vendor x GL Analysis'!R$20,'[1]NS Vendor Details'!$L:$L,'G&amp;A Vendor x GL Analysis'!$D60,'[1]NS Vendor Details'!$O:$O,'G&amp;A Vendor x GL Analysis'!$F60,'[1]NS Vendor Details'!$N:$N,'G&amp;A Vendor x GL Analysis'!$C60),IF(R$15="Actual",SUMIFS('[1]NS Vendor Details'!$D:$D,'[1]NS Vendor Details'!$H:$H,'G&amp;A Vendor x GL Analysis'!R$20,'[1]NS Vendor Details'!$L:$L,'G&amp;A Vendor x GL Analysis'!$D60,'[1]NS Vendor Details'!$O:$O,'G&amp;A Vendor x GL Analysis'!$F60,'[1]NS Vendor Details'!$N:$N,'G&amp;A Vendor x GL Analysis'!$C60,'[1]NS Vendor Details'!$K:$K,'G&amp;A Vendor x GL Analysis'!$E$8),0))</f>
        <v>0</v>
      </c>
      <c r="S60" s="16">
        <f>IF(AND(S$15="Actual",ISBLANK($E$8)),SUMIFS('[1]NS Vendor Details'!$D:$D,'[1]NS Vendor Details'!$H:$H,'G&amp;A Vendor x GL Analysis'!S$20,'[1]NS Vendor Details'!$L:$L,'G&amp;A Vendor x GL Analysis'!$D60,'[1]NS Vendor Details'!$O:$O,'G&amp;A Vendor x GL Analysis'!$F60,'[1]NS Vendor Details'!$N:$N,'G&amp;A Vendor x GL Analysis'!$C60,'[1]NS Vendor Details'!$I:$I,'G&amp;A Vendor x GL Analysis'!$E60),IF(S$15="Actual",SUMIFS('[1]NS Vendor Details'!$D:$D,'[1]NS Vendor Details'!$H:$H,'G&amp;A Vendor x GL Analysis'!S$20,'[1]NS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T60" s="17">
        <f>IF(AND(T$15="Actual",ISBLANK($E$8)),SUMIFS('[1]NS Vendor Details'!$D:$D,'[1]NS Vendor Details'!$H:$H,'G&amp;A Vendor x GL Analysis'!T$20,'[1]NS Vendor Details'!$L:$L,'G&amp;A Vendor x GL Analysis'!$D60,'[1]NS Vendor Details'!$O:$O,'G&amp;A Vendor x GL Analysis'!$F60,'[1]NS Vendor Details'!$N:$N,'G&amp;A Vendor x GL Analysis'!$C60,'[1]NS Vendor Details'!$I:$I,'G&amp;A Vendor x GL Analysis'!$E60),IF(T$15="Actual",SUMIFS('[1]NS Vendor Details'!$D:$D,'[1]NS Vendor Details'!$H:$H,'G&amp;A Vendor x GL Analysis'!T$20,'[1]NS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U60" s="17">
        <f>IF(AND(U$15="Actual",ISBLANK($E$8)),SUMIFS('[1]NS Vendor Details'!$D:$D,'[1]NS Vendor Details'!$H:$H,'G&amp;A Vendor x GL Analysis'!U$20,'[1]NS Vendor Details'!$L:$L,'G&amp;A Vendor x GL Analysis'!$D60,'[1]NS Vendor Details'!$O:$O,'G&amp;A Vendor x GL Analysis'!$F60,'[1]NS Vendor Details'!$N:$N,'G&amp;A Vendor x GL Analysis'!$C60,'[1]NS Vendor Details'!$I:$I,'G&amp;A Vendor x GL Analysis'!$E60),IF(U$15="Actual",SUMIFS('[1]NS Vendor Details'!$D:$D,'[1]NS Vendor Details'!$H:$H,'G&amp;A Vendor x GL Analysis'!U$20,'[1]NS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V60" s="17">
        <f>IF(AND(V$15="Actual",ISBLANK($E$8)),SUMIFS('[1]NS Vendor Details'!$D:$D,'[1]NS Vendor Details'!$H:$H,'G&amp;A Vendor x GL Analysis'!V$20,'[1]NS Vendor Details'!$L:$L,'G&amp;A Vendor x GL Analysis'!$D60,'[1]NS Vendor Details'!$O:$O,'G&amp;A Vendor x GL Analysis'!$F60,'[1]NS Vendor Details'!$N:$N,'G&amp;A Vendor x GL Analysis'!$C60,'[1]NS Vendor Details'!$I:$I,'G&amp;A Vendor x GL Analysis'!$E60),IF(V$15="Actual",SUMIFS('[1]NS Vendor Details'!$D:$D,'[1]NS Vendor Details'!$H:$H,'G&amp;A Vendor x GL Analysis'!V$20,'[1]NS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W60" s="17">
        <f>IF(AND(W$15="Actual",ISBLANK($E$8)),SUMIFS('[1]NS Vendor Details'!$D:$D,'[1]NS Vendor Details'!$H:$H,'G&amp;A Vendor x GL Analysis'!W$20,'[1]NS Vendor Details'!$L:$L,'G&amp;A Vendor x GL Analysis'!$D60,'[1]NS Vendor Details'!$O:$O,'G&amp;A Vendor x GL Analysis'!$F60,'[1]NS Vendor Details'!$N:$N,'G&amp;A Vendor x GL Analysis'!$C60,'[1]NS Vendor Details'!$I:$I,'G&amp;A Vendor x GL Analysis'!$E60),IF(W$15="Actual",SUMIFS('[1]NS Vendor Details'!$D:$D,'[1]NS Vendor Details'!$H:$H,'G&amp;A Vendor x GL Analysis'!W$20,'[1]NS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X60" s="17">
        <f>IF(AND(X$15="Actual",ISBLANK($E$8)),SUMIFS('[1]NS Vendor Details'!$D:$D,'[1]NS Vendor Details'!$H:$H,'G&amp;A Vendor x GL Analysis'!X$20,'[1]NS Vendor Details'!$L:$L,'G&amp;A Vendor x GL Analysis'!$D60,'[1]NS Vendor Details'!$O:$O,'G&amp;A Vendor x GL Analysis'!$F60,'[1]NS Vendor Details'!$N:$N,'G&amp;A Vendor x GL Analysis'!$C60,'[1]NS Vendor Details'!$I:$I,'G&amp;A Vendor x GL Analysis'!$E60),IF(X$15="Actual",SUMIFS('[1]NS Vendor Details'!$D:$D,'[1]NS Vendor Details'!$H:$H,'G&amp;A Vendor x GL Analysis'!X$20,'[1]NS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Y60" s="17">
        <f>IF(AND(Y$15="Actual",ISBLANK($E$8)),SUMIFS('[1]NS Vendor Details'!$D:$D,'[1]NS Vendor Details'!$H:$H,'G&amp;A Vendor x GL Analysis'!Y$20,'[1]NS Vendor Details'!$L:$L,'G&amp;A Vendor x GL Analysis'!$D60,'[1]NS Vendor Details'!$O:$O,'G&amp;A Vendor x GL Analysis'!$F60,'[1]NS Vendor Details'!$N:$N,'G&amp;A Vendor x GL Analysis'!$C60,'[1]NS Vendor Details'!$I:$I,'G&amp;A Vendor x GL Analysis'!$E60),IF(Y$15="Actual",SUMIFS('[1]NS Vendor Details'!$D:$D,'[1]NS Vendor Details'!$H:$H,'G&amp;A Vendor x GL Analysis'!Y$20,'[1]NS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Z60" s="17">
        <f>IF(AND(Z$15="Actual",ISBLANK($E$8)),SUMIFS('[1]NS Vendor Details'!$D:$D,'[1]NS Vendor Details'!$H:$H,'G&amp;A Vendor x GL Analysis'!Z$20,'[1]NS Vendor Details'!$L:$L,'G&amp;A Vendor x GL Analysis'!$D60,'[1]NS Vendor Details'!$O:$O,'G&amp;A Vendor x GL Analysis'!$F60,'[1]NS Vendor Details'!$N:$N,'G&amp;A Vendor x GL Analysis'!$C60,'[1]NS Vendor Details'!$I:$I,'G&amp;A Vendor x GL Analysis'!$E60),IF(Z$15="Actual",SUMIFS('[1]NS Vendor Details'!$D:$D,'[1]NS Vendor Details'!$H:$H,'G&amp;A Vendor x GL Analysis'!Z$20,'[1]NS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AA60" s="17">
        <f>IF(AND(AA$15="Actual",ISBLANK($E$8)),SUMIFS('[1]NS Vendor Details'!$D:$D,'[1]NS Vendor Details'!$H:$H,'G&amp;A Vendor x GL Analysis'!AA$20,'[1]NS Vendor Details'!$L:$L,'G&amp;A Vendor x GL Analysis'!$D60,'[1]NS Vendor Details'!$O:$O,'G&amp;A Vendor x GL Analysis'!$F60,'[1]NS Vendor Details'!$N:$N,'G&amp;A Vendor x GL Analysis'!$C60,'[1]NS Vendor Details'!$I:$I,'G&amp;A Vendor x GL Analysis'!$E60),IF(AA$15="Actual",SUMIFS('[1]NS Vendor Details'!$D:$D,'[1]NS Vendor Details'!$H:$H,'G&amp;A Vendor x GL Analysis'!AA$20,'[1]NS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459.25</v>
      </c>
      <c r="AB60" s="17">
        <f>IF(AND(AB$15="Actual",ISBLANK($E$8)),SUMIFS('[1]NS Vendor Details'!$D:$D,'[1]NS Vendor Details'!$H:$H,'G&amp;A Vendor x GL Analysis'!AB$20,'[1]NS Vendor Details'!$L:$L,'G&amp;A Vendor x GL Analysis'!$D60,'[1]NS Vendor Details'!$O:$O,'G&amp;A Vendor x GL Analysis'!$F60,'[1]NS Vendor Details'!$N:$N,'G&amp;A Vendor x GL Analysis'!$C60,'[1]NS Vendor Details'!$I:$I,'G&amp;A Vendor x GL Analysis'!$E60),IF(AB$15="Actual",SUMIFS('[1]NS Vendor Details'!$D:$D,'[1]NS Vendor Details'!$H:$H,'G&amp;A Vendor x GL Analysis'!AB$20,'[1]NS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AC60" s="18">
        <f>IF(AND(AC$15="Actual",ISBLANK($E$8)),SUMIFS('[1]NS Vendor Details'!$D:$D,'[1]NS Vendor Details'!$H:$H,'G&amp;A Vendor x GL Analysis'!AC$20,'[1]NS Vendor Details'!$L:$L,'G&amp;A Vendor x GL Analysis'!$D60,'[1]NS Vendor Details'!$O:$O,'G&amp;A Vendor x GL Analysis'!$F60,'[1]NS Vendor Details'!$N:$N,'G&amp;A Vendor x GL Analysis'!$C60,'[1]NS Vendor Details'!$I:$I,'G&amp;A Vendor x GL Analysis'!$E60),IF(AC$15="Actual",SUMIFS('[1]NS Vendor Details'!$D:$D,'[1]NS Vendor Details'!$H:$H,'G&amp;A Vendor x GL Analysis'!AC$20,'[1]NS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AD60" s="18">
        <f>IF(AND(AD$15="Actual",ISBLANK($E$8)),SUMIFS('[1]NS Vendor Details'!$D:$D,'[1]NS Vendor Details'!$H:$H,'G&amp;A Vendor x GL Analysis'!AD$20,'[1]NS Vendor Details'!$L:$L,'G&amp;A Vendor x GL Analysis'!$D60,'[1]NS Vendor Details'!$O:$O,'G&amp;A Vendor x GL Analysis'!$F60,'[1]NS Vendor Details'!$N:$N,'G&amp;A Vendor x GL Analysis'!$C60,'[1]NS Vendor Details'!$I:$I,'G&amp;A Vendor x GL Analysis'!$E60),IF(AD$15="Actual",SUMIFS('[1]NS Vendor Details'!$D:$D,'[1]NS Vendor Details'!$H:$H,'G&amp;A Vendor x GL Analysis'!AD$20,'[1]NS Vendor Details'!$L:$L,'G&amp;A Vendor x GL Analysis'!$D60,'[1]NS Vendor Details'!$O:$O,'G&amp;A Vendor x GL Analysis'!$F60,'[1]NS Vendor Details'!$N:$N,'G&amp;A Vendor x GL Analysis'!$C60,'[1]NS Vendor Details'!$K:$K,'G&amp;A Vendor x GL Analysis'!$E$8,'[1]NS Vendor Details'!$I:$I,'G&amp;A Vendor x GL Analysis'!$E60),0))</f>
        <v>0</v>
      </c>
      <c r="AF60" s="19">
        <f t="shared" si="9"/>
        <v>459.25</v>
      </c>
    </row>
    <row r="61" spans="1:32" outlineLevel="1">
      <c r="A61" s="8" t="str">
        <f t="shared" si="8"/>
        <v>Sample6352 - Fabric &amp; Materials</v>
      </c>
      <c r="C61" s="8" t="s">
        <v>11</v>
      </c>
      <c r="D61" s="8" t="str">
        <f t="shared" ref="D61:D74" si="17">D60</f>
        <v>Sample</v>
      </c>
      <c r="E61" s="2" t="s">
        <v>50</v>
      </c>
      <c r="F61" s="2" t="s">
        <v>53</v>
      </c>
      <c r="G61" s="16">
        <f>IF(AND(G$15="Actual",ISBLANK($E$8)),SUMIFS('[1]NS Vendor Details'!$D:$D,'[1]NS Vendor Details'!$H:$H,'G&amp;A Vendor x GL Analysis'!G$20,'[1]NS Vendor Details'!$L:$L,'G&amp;A Vendor x GL Analysis'!$D61,'[1]NS Vendor Details'!$O:$O,'G&amp;A Vendor x GL Analysis'!$F61,'[1]NS Vendor Details'!$N:$N,'G&amp;A Vendor x GL Analysis'!$C61),IF(G$15="Actual",SUMIFS('[1]NS Vendor Details'!$D:$D,'[1]NS Vendor Details'!$H:$H,'G&amp;A Vendor x GL Analysis'!G$20,'[1]NS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H61" s="17">
        <f>IF(AND(H$15="Actual",ISBLANK($E$8)),SUMIFS('[1]NS Vendor Details'!$D:$D,'[1]NS Vendor Details'!$H:$H,'G&amp;A Vendor x GL Analysis'!H$20,'[1]NS Vendor Details'!$L:$L,'G&amp;A Vendor x GL Analysis'!$D61,'[1]NS Vendor Details'!$O:$O,'G&amp;A Vendor x GL Analysis'!$F61,'[1]NS Vendor Details'!$N:$N,'G&amp;A Vendor x GL Analysis'!$C61),IF(H$15="Actual",SUMIFS('[1]NS Vendor Details'!$D:$D,'[1]NS Vendor Details'!$H:$H,'G&amp;A Vendor x GL Analysis'!H$20,'[1]NS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I61" s="17">
        <f>IF(AND(I$15="Actual",ISBLANK($E$8)),SUMIFS('[1]NS Vendor Details'!$D:$D,'[1]NS Vendor Details'!$H:$H,'G&amp;A Vendor x GL Analysis'!I$20,'[1]NS Vendor Details'!$L:$L,'G&amp;A Vendor x GL Analysis'!$D61,'[1]NS Vendor Details'!$O:$O,'G&amp;A Vendor x GL Analysis'!$F61,'[1]NS Vendor Details'!$N:$N,'G&amp;A Vendor x GL Analysis'!$C61),IF(I$15="Actual",SUMIFS('[1]NS Vendor Details'!$D:$D,'[1]NS Vendor Details'!$H:$H,'G&amp;A Vendor x GL Analysis'!I$20,'[1]NS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J61" s="17">
        <f>IF(AND(J$15="Actual",ISBLANK($E$8)),SUMIFS('[1]NS Vendor Details'!$D:$D,'[1]NS Vendor Details'!$H:$H,'G&amp;A Vendor x GL Analysis'!J$20,'[1]NS Vendor Details'!$L:$L,'G&amp;A Vendor x GL Analysis'!$D61,'[1]NS Vendor Details'!$O:$O,'G&amp;A Vendor x GL Analysis'!$F61,'[1]NS Vendor Details'!$N:$N,'G&amp;A Vendor x GL Analysis'!$C61),IF(J$15="Actual",SUMIFS('[1]NS Vendor Details'!$D:$D,'[1]NS Vendor Details'!$H:$H,'G&amp;A Vendor x GL Analysis'!J$20,'[1]NS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K61" s="17">
        <f>IF(AND(K$15="Actual",ISBLANK($E$8)),SUMIFS('[1]NS Vendor Details'!$D:$D,'[1]NS Vendor Details'!$H:$H,'G&amp;A Vendor x GL Analysis'!K$20,'[1]NS Vendor Details'!$L:$L,'G&amp;A Vendor x GL Analysis'!$D61,'[1]NS Vendor Details'!$O:$O,'G&amp;A Vendor x GL Analysis'!$F61,'[1]NS Vendor Details'!$N:$N,'G&amp;A Vendor x GL Analysis'!$C61),IF(K$15="Actual",SUMIFS('[1]NS Vendor Details'!$D:$D,'[1]NS Vendor Details'!$H:$H,'G&amp;A Vendor x GL Analysis'!K$20,'[1]NS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L61" s="17">
        <f>IF(AND(L$15="Actual",ISBLANK($E$8)),SUMIFS('[1]NS Vendor Details'!$D:$D,'[1]NS Vendor Details'!$H:$H,'G&amp;A Vendor x GL Analysis'!L$20,'[1]NS Vendor Details'!$L:$L,'G&amp;A Vendor x GL Analysis'!$D61,'[1]NS Vendor Details'!$O:$O,'G&amp;A Vendor x GL Analysis'!$F61,'[1]NS Vendor Details'!$N:$N,'G&amp;A Vendor x GL Analysis'!$C61),IF(L$15="Actual",SUMIFS('[1]NS Vendor Details'!$D:$D,'[1]NS Vendor Details'!$H:$H,'G&amp;A Vendor x GL Analysis'!L$20,'[1]NS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M61" s="17">
        <f>IF(AND(M$15="Actual",ISBLANK($E$8)),SUMIFS('[1]NS Vendor Details'!$D:$D,'[1]NS Vendor Details'!$H:$H,'G&amp;A Vendor x GL Analysis'!M$20,'[1]NS Vendor Details'!$L:$L,'G&amp;A Vendor x GL Analysis'!$D61,'[1]NS Vendor Details'!$O:$O,'G&amp;A Vendor x GL Analysis'!$F61,'[1]NS Vendor Details'!$N:$N,'G&amp;A Vendor x GL Analysis'!$C61),IF(M$15="Actual",SUMIFS('[1]NS Vendor Details'!$D:$D,'[1]NS Vendor Details'!$H:$H,'G&amp;A Vendor x GL Analysis'!M$20,'[1]NS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1108.06</v>
      </c>
      <c r="N61" s="17">
        <f>IF(AND(N$15="Actual",ISBLANK($E$8)),SUMIFS('[1]NS Vendor Details'!$D:$D,'[1]NS Vendor Details'!$H:$H,'G&amp;A Vendor x GL Analysis'!N$20,'[1]NS Vendor Details'!$L:$L,'G&amp;A Vendor x GL Analysis'!$D61,'[1]NS Vendor Details'!$O:$O,'G&amp;A Vendor x GL Analysis'!$F61,'[1]NS Vendor Details'!$N:$N,'G&amp;A Vendor x GL Analysis'!$C61),IF(N$15="Actual",SUMIFS('[1]NS Vendor Details'!$D:$D,'[1]NS Vendor Details'!$H:$H,'G&amp;A Vendor x GL Analysis'!N$20,'[1]NS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O61" s="17">
        <f>IF(AND(O$15="Actual",ISBLANK($E$8)),SUMIFS('[1]NS Vendor Details'!$D:$D,'[1]NS Vendor Details'!$H:$H,'G&amp;A Vendor x GL Analysis'!O$20,'[1]NS Vendor Details'!$L:$L,'G&amp;A Vendor x GL Analysis'!$D61,'[1]NS Vendor Details'!$O:$O,'G&amp;A Vendor x GL Analysis'!$F61,'[1]NS Vendor Details'!$N:$N,'G&amp;A Vendor x GL Analysis'!$C61),IF(O$15="Actual",SUMIFS('[1]NS Vendor Details'!$D:$D,'[1]NS Vendor Details'!$H:$H,'G&amp;A Vendor x GL Analysis'!O$20,'[1]NS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P61" s="17">
        <f>IF(AND(P$15="Actual",ISBLANK($E$8)),SUMIFS('[1]NS Vendor Details'!$D:$D,'[1]NS Vendor Details'!$H:$H,'G&amp;A Vendor x GL Analysis'!P$20,'[1]NS Vendor Details'!$L:$L,'G&amp;A Vendor x GL Analysis'!$D61,'[1]NS Vendor Details'!$O:$O,'G&amp;A Vendor x GL Analysis'!$F61,'[1]NS Vendor Details'!$N:$N,'G&amp;A Vendor x GL Analysis'!$C61),IF(P$15="Actual",SUMIFS('[1]NS Vendor Details'!$D:$D,'[1]NS Vendor Details'!$H:$H,'G&amp;A Vendor x GL Analysis'!P$20,'[1]NS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Q61" s="17">
        <f>IF(AND(Q$15="Actual",ISBLANK($E$8)),SUMIFS('[1]NS Vendor Details'!$D:$D,'[1]NS Vendor Details'!$H:$H,'G&amp;A Vendor x GL Analysis'!Q$20,'[1]NS Vendor Details'!$L:$L,'G&amp;A Vendor x GL Analysis'!$D61,'[1]NS Vendor Details'!$O:$O,'G&amp;A Vendor x GL Analysis'!$F61,'[1]NS Vendor Details'!$N:$N,'G&amp;A Vendor x GL Analysis'!$C61),IF(Q$15="Actual",SUMIFS('[1]NS Vendor Details'!$D:$D,'[1]NS Vendor Details'!$H:$H,'G&amp;A Vendor x GL Analysis'!Q$20,'[1]NS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R61" s="18">
        <f>IF(AND(R$15="Actual",ISBLANK($E$8)),SUMIFS('[1]NS Vendor Details'!$D:$D,'[1]NS Vendor Details'!$H:$H,'G&amp;A Vendor x GL Analysis'!R$20,'[1]NS Vendor Details'!$L:$L,'G&amp;A Vendor x GL Analysis'!$D61,'[1]NS Vendor Details'!$O:$O,'G&amp;A Vendor x GL Analysis'!$F61,'[1]NS Vendor Details'!$N:$N,'G&amp;A Vendor x GL Analysis'!$C61),IF(R$15="Actual",SUMIFS('[1]NS Vendor Details'!$D:$D,'[1]NS Vendor Details'!$H:$H,'G&amp;A Vendor x GL Analysis'!R$20,'[1]NS Vendor Details'!$L:$L,'G&amp;A Vendor x GL Analysis'!$D61,'[1]NS Vendor Details'!$O:$O,'G&amp;A Vendor x GL Analysis'!$F61,'[1]NS Vendor Details'!$N:$N,'G&amp;A Vendor x GL Analysis'!$C61,'[1]NS Vendor Details'!$K:$K,'G&amp;A Vendor x GL Analysis'!$E$8),0))</f>
        <v>0</v>
      </c>
      <c r="S61" s="16">
        <f>IF(AND(S$15="Actual",ISBLANK($E$8)),SUMIFS('[1]NS Vendor Details'!$D:$D,'[1]NS Vendor Details'!$H:$H,'G&amp;A Vendor x GL Analysis'!S$20,'[1]NS Vendor Details'!$L:$L,'G&amp;A Vendor x GL Analysis'!$D61,'[1]NS Vendor Details'!$O:$O,'G&amp;A Vendor x GL Analysis'!$F61,'[1]NS Vendor Details'!$N:$N,'G&amp;A Vendor x GL Analysis'!$C61,'[1]NS Vendor Details'!$I:$I,'G&amp;A Vendor x GL Analysis'!$E61),IF(S$15="Actual",SUMIFS('[1]NS Vendor Details'!$D:$D,'[1]NS Vendor Details'!$H:$H,'G&amp;A Vendor x GL Analysis'!S$20,'[1]NS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2643.63</v>
      </c>
      <c r="T61" s="17">
        <f>IF(AND(T$15="Actual",ISBLANK($E$8)),SUMIFS('[1]NS Vendor Details'!$D:$D,'[1]NS Vendor Details'!$H:$H,'G&amp;A Vendor x GL Analysis'!T$20,'[1]NS Vendor Details'!$L:$L,'G&amp;A Vendor x GL Analysis'!$D61,'[1]NS Vendor Details'!$O:$O,'G&amp;A Vendor x GL Analysis'!$F61,'[1]NS Vendor Details'!$N:$N,'G&amp;A Vendor x GL Analysis'!$C61,'[1]NS Vendor Details'!$I:$I,'G&amp;A Vendor x GL Analysis'!$E61),IF(T$15="Actual",SUMIFS('[1]NS Vendor Details'!$D:$D,'[1]NS Vendor Details'!$H:$H,'G&amp;A Vendor x GL Analysis'!T$20,'[1]NS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U61" s="17">
        <f>IF(AND(U$15="Actual",ISBLANK($E$8)),SUMIFS('[1]NS Vendor Details'!$D:$D,'[1]NS Vendor Details'!$H:$H,'G&amp;A Vendor x GL Analysis'!U$20,'[1]NS Vendor Details'!$L:$L,'G&amp;A Vendor x GL Analysis'!$D61,'[1]NS Vendor Details'!$O:$O,'G&amp;A Vendor x GL Analysis'!$F61,'[1]NS Vendor Details'!$N:$N,'G&amp;A Vendor x GL Analysis'!$C61,'[1]NS Vendor Details'!$I:$I,'G&amp;A Vendor x GL Analysis'!$E61),IF(U$15="Actual",SUMIFS('[1]NS Vendor Details'!$D:$D,'[1]NS Vendor Details'!$H:$H,'G&amp;A Vendor x GL Analysis'!U$20,'[1]NS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V61" s="17">
        <f>IF(AND(V$15="Actual",ISBLANK($E$8)),SUMIFS('[1]NS Vendor Details'!$D:$D,'[1]NS Vendor Details'!$H:$H,'G&amp;A Vendor x GL Analysis'!V$20,'[1]NS Vendor Details'!$L:$L,'G&amp;A Vendor x GL Analysis'!$D61,'[1]NS Vendor Details'!$O:$O,'G&amp;A Vendor x GL Analysis'!$F61,'[1]NS Vendor Details'!$N:$N,'G&amp;A Vendor x GL Analysis'!$C61,'[1]NS Vendor Details'!$I:$I,'G&amp;A Vendor x GL Analysis'!$E61),IF(V$15="Actual",SUMIFS('[1]NS Vendor Details'!$D:$D,'[1]NS Vendor Details'!$H:$H,'G&amp;A Vendor x GL Analysis'!V$20,'[1]NS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W61" s="17">
        <f>IF(AND(W$15="Actual",ISBLANK($E$8)),SUMIFS('[1]NS Vendor Details'!$D:$D,'[1]NS Vendor Details'!$H:$H,'G&amp;A Vendor x GL Analysis'!W$20,'[1]NS Vendor Details'!$L:$L,'G&amp;A Vendor x GL Analysis'!$D61,'[1]NS Vendor Details'!$O:$O,'G&amp;A Vendor x GL Analysis'!$F61,'[1]NS Vendor Details'!$N:$N,'G&amp;A Vendor x GL Analysis'!$C61,'[1]NS Vendor Details'!$I:$I,'G&amp;A Vendor x GL Analysis'!$E61),IF(W$15="Actual",SUMIFS('[1]NS Vendor Details'!$D:$D,'[1]NS Vendor Details'!$H:$H,'G&amp;A Vendor x GL Analysis'!W$20,'[1]NS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X61" s="17">
        <f>IF(AND(X$15="Actual",ISBLANK($E$8)),SUMIFS('[1]NS Vendor Details'!$D:$D,'[1]NS Vendor Details'!$H:$H,'G&amp;A Vendor x GL Analysis'!X$20,'[1]NS Vendor Details'!$L:$L,'G&amp;A Vendor x GL Analysis'!$D61,'[1]NS Vendor Details'!$O:$O,'G&amp;A Vendor x GL Analysis'!$F61,'[1]NS Vendor Details'!$N:$N,'G&amp;A Vendor x GL Analysis'!$C61,'[1]NS Vendor Details'!$I:$I,'G&amp;A Vendor x GL Analysis'!$E61),IF(X$15="Actual",SUMIFS('[1]NS Vendor Details'!$D:$D,'[1]NS Vendor Details'!$H:$H,'G&amp;A Vendor x GL Analysis'!X$20,'[1]NS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Y61" s="17">
        <f>IF(AND(Y$15="Actual",ISBLANK($E$8)),SUMIFS('[1]NS Vendor Details'!$D:$D,'[1]NS Vendor Details'!$H:$H,'G&amp;A Vendor x GL Analysis'!Y$20,'[1]NS Vendor Details'!$L:$L,'G&amp;A Vendor x GL Analysis'!$D61,'[1]NS Vendor Details'!$O:$O,'G&amp;A Vendor x GL Analysis'!$F61,'[1]NS Vendor Details'!$N:$N,'G&amp;A Vendor x GL Analysis'!$C61,'[1]NS Vendor Details'!$I:$I,'G&amp;A Vendor x GL Analysis'!$E61),IF(Y$15="Actual",SUMIFS('[1]NS Vendor Details'!$D:$D,'[1]NS Vendor Details'!$H:$H,'G&amp;A Vendor x GL Analysis'!Y$20,'[1]NS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Z61" s="17">
        <f>IF(AND(Z$15="Actual",ISBLANK($E$8)),SUMIFS('[1]NS Vendor Details'!$D:$D,'[1]NS Vendor Details'!$H:$H,'G&amp;A Vendor x GL Analysis'!Z$20,'[1]NS Vendor Details'!$L:$L,'G&amp;A Vendor x GL Analysis'!$D61,'[1]NS Vendor Details'!$O:$O,'G&amp;A Vendor x GL Analysis'!$F61,'[1]NS Vendor Details'!$N:$N,'G&amp;A Vendor x GL Analysis'!$C61,'[1]NS Vendor Details'!$I:$I,'G&amp;A Vendor x GL Analysis'!$E61),IF(Z$15="Actual",SUMIFS('[1]NS Vendor Details'!$D:$D,'[1]NS Vendor Details'!$H:$H,'G&amp;A Vendor x GL Analysis'!Z$20,'[1]NS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AA61" s="17">
        <f>IF(AND(AA$15="Actual",ISBLANK($E$8)),SUMIFS('[1]NS Vendor Details'!$D:$D,'[1]NS Vendor Details'!$H:$H,'G&amp;A Vendor x GL Analysis'!AA$20,'[1]NS Vendor Details'!$L:$L,'G&amp;A Vendor x GL Analysis'!$D61,'[1]NS Vendor Details'!$O:$O,'G&amp;A Vendor x GL Analysis'!$F61,'[1]NS Vendor Details'!$N:$N,'G&amp;A Vendor x GL Analysis'!$C61,'[1]NS Vendor Details'!$I:$I,'G&amp;A Vendor x GL Analysis'!$E61),IF(AA$15="Actual",SUMIFS('[1]NS Vendor Details'!$D:$D,'[1]NS Vendor Details'!$H:$H,'G&amp;A Vendor x GL Analysis'!AA$20,'[1]NS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AB61" s="17">
        <f>IF(AND(AB$15="Actual",ISBLANK($E$8)),SUMIFS('[1]NS Vendor Details'!$D:$D,'[1]NS Vendor Details'!$H:$H,'G&amp;A Vendor x GL Analysis'!AB$20,'[1]NS Vendor Details'!$L:$L,'G&amp;A Vendor x GL Analysis'!$D61,'[1]NS Vendor Details'!$O:$O,'G&amp;A Vendor x GL Analysis'!$F61,'[1]NS Vendor Details'!$N:$N,'G&amp;A Vendor x GL Analysis'!$C61,'[1]NS Vendor Details'!$I:$I,'G&amp;A Vendor x GL Analysis'!$E61),IF(AB$15="Actual",SUMIFS('[1]NS Vendor Details'!$D:$D,'[1]NS Vendor Details'!$H:$H,'G&amp;A Vendor x GL Analysis'!AB$20,'[1]NS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AC61" s="18">
        <f>IF(AND(AC$15="Actual",ISBLANK($E$8)),SUMIFS('[1]NS Vendor Details'!$D:$D,'[1]NS Vendor Details'!$H:$H,'G&amp;A Vendor x GL Analysis'!AC$20,'[1]NS Vendor Details'!$L:$L,'G&amp;A Vendor x GL Analysis'!$D61,'[1]NS Vendor Details'!$O:$O,'G&amp;A Vendor x GL Analysis'!$F61,'[1]NS Vendor Details'!$N:$N,'G&amp;A Vendor x GL Analysis'!$C61,'[1]NS Vendor Details'!$I:$I,'G&amp;A Vendor x GL Analysis'!$E61),IF(AC$15="Actual",SUMIFS('[1]NS Vendor Details'!$D:$D,'[1]NS Vendor Details'!$H:$H,'G&amp;A Vendor x GL Analysis'!AC$20,'[1]NS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AD61" s="18">
        <f>IF(AND(AD$15="Actual",ISBLANK($E$8)),SUMIFS('[1]NS Vendor Details'!$D:$D,'[1]NS Vendor Details'!$H:$H,'G&amp;A Vendor x GL Analysis'!AD$20,'[1]NS Vendor Details'!$L:$L,'G&amp;A Vendor x GL Analysis'!$D61,'[1]NS Vendor Details'!$O:$O,'G&amp;A Vendor x GL Analysis'!$F61,'[1]NS Vendor Details'!$N:$N,'G&amp;A Vendor x GL Analysis'!$C61,'[1]NS Vendor Details'!$I:$I,'G&amp;A Vendor x GL Analysis'!$E61),IF(AD$15="Actual",SUMIFS('[1]NS Vendor Details'!$D:$D,'[1]NS Vendor Details'!$H:$H,'G&amp;A Vendor x GL Analysis'!AD$20,'[1]NS Vendor Details'!$L:$L,'G&amp;A Vendor x GL Analysis'!$D61,'[1]NS Vendor Details'!$O:$O,'G&amp;A Vendor x GL Analysis'!$F61,'[1]NS Vendor Details'!$N:$N,'G&amp;A Vendor x GL Analysis'!$C61,'[1]NS Vendor Details'!$K:$K,'G&amp;A Vendor x GL Analysis'!$E$8,'[1]NS Vendor Details'!$I:$I,'G&amp;A Vendor x GL Analysis'!$E61),0))</f>
        <v>0</v>
      </c>
      <c r="AF61" s="19">
        <f t="shared" si="9"/>
        <v>2643.63</v>
      </c>
    </row>
    <row r="62" spans="1:32" outlineLevel="1">
      <c r="A62" s="8" t="str">
        <f t="shared" si="8"/>
        <v>Sample6360 - Model - Fitting</v>
      </c>
      <c r="C62" s="8" t="s">
        <v>11</v>
      </c>
      <c r="D62" s="8" t="str">
        <f t="shared" si="17"/>
        <v>Sample</v>
      </c>
      <c r="E62" s="2" t="s">
        <v>54</v>
      </c>
      <c r="F62" s="2" t="s">
        <v>16</v>
      </c>
      <c r="G62" s="16">
        <f>IF(AND(G$15="Actual",ISBLANK($E$8)),SUMIFS('[1]NS Vendor Details'!$D:$D,'[1]NS Vendor Details'!$H:$H,'G&amp;A Vendor x GL Analysis'!G$20,'[1]NS Vendor Details'!$L:$L,'G&amp;A Vendor x GL Analysis'!$D62,'[1]NS Vendor Details'!$O:$O,'G&amp;A Vendor x GL Analysis'!$F62,'[1]NS Vendor Details'!$N:$N,'G&amp;A Vendor x GL Analysis'!$C62),IF(G$15="Actual",SUMIFS('[1]NS Vendor Details'!$D:$D,'[1]NS Vendor Details'!$H:$H,'G&amp;A Vendor x GL Analysis'!G$20,'[1]NS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29.8</v>
      </c>
      <c r="H62" s="17">
        <f>IF(AND(H$15="Actual",ISBLANK($E$8)),SUMIFS('[1]NS Vendor Details'!$D:$D,'[1]NS Vendor Details'!$H:$H,'G&amp;A Vendor x GL Analysis'!H$20,'[1]NS Vendor Details'!$L:$L,'G&amp;A Vendor x GL Analysis'!$D62,'[1]NS Vendor Details'!$O:$O,'G&amp;A Vendor x GL Analysis'!$F62,'[1]NS Vendor Details'!$N:$N,'G&amp;A Vendor x GL Analysis'!$C62),IF(H$15="Actual",SUMIFS('[1]NS Vendor Details'!$D:$D,'[1]NS Vendor Details'!$H:$H,'G&amp;A Vendor x GL Analysis'!H$20,'[1]NS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89.82</v>
      </c>
      <c r="I62" s="17">
        <f>IF(AND(I$15="Actual",ISBLANK($E$8)),SUMIFS('[1]NS Vendor Details'!$D:$D,'[1]NS Vendor Details'!$H:$H,'G&amp;A Vendor x GL Analysis'!I$20,'[1]NS Vendor Details'!$L:$L,'G&amp;A Vendor x GL Analysis'!$D62,'[1]NS Vendor Details'!$O:$O,'G&amp;A Vendor x GL Analysis'!$F62,'[1]NS Vendor Details'!$N:$N,'G&amp;A Vendor x GL Analysis'!$C62),IF(I$15="Actual",SUMIFS('[1]NS Vendor Details'!$D:$D,'[1]NS Vendor Details'!$H:$H,'G&amp;A Vendor x GL Analysis'!I$20,'[1]NS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314.62</v>
      </c>
      <c r="J62" s="17">
        <f>IF(AND(J$15="Actual",ISBLANK($E$8)),SUMIFS('[1]NS Vendor Details'!$D:$D,'[1]NS Vendor Details'!$H:$H,'G&amp;A Vendor x GL Analysis'!J$20,'[1]NS Vendor Details'!$L:$L,'G&amp;A Vendor x GL Analysis'!$D62,'[1]NS Vendor Details'!$O:$O,'G&amp;A Vendor x GL Analysis'!$F62,'[1]NS Vendor Details'!$N:$N,'G&amp;A Vendor x GL Analysis'!$C62),IF(J$15="Actual",SUMIFS('[1]NS Vendor Details'!$D:$D,'[1]NS Vendor Details'!$H:$H,'G&amp;A Vendor x GL Analysis'!J$20,'[1]NS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535.02</v>
      </c>
      <c r="K62" s="17">
        <f>IF(AND(K$15="Actual",ISBLANK($E$8)),SUMIFS('[1]NS Vendor Details'!$D:$D,'[1]NS Vendor Details'!$H:$H,'G&amp;A Vendor x GL Analysis'!K$20,'[1]NS Vendor Details'!$L:$L,'G&amp;A Vendor x GL Analysis'!$D62,'[1]NS Vendor Details'!$O:$O,'G&amp;A Vendor x GL Analysis'!$F62,'[1]NS Vendor Details'!$N:$N,'G&amp;A Vendor x GL Analysis'!$C62),IF(K$15="Actual",SUMIFS('[1]NS Vendor Details'!$D:$D,'[1]NS Vendor Details'!$H:$H,'G&amp;A Vendor x GL Analysis'!K$20,'[1]NS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1301.72</v>
      </c>
      <c r="L62" s="17">
        <f>IF(AND(L$15="Actual",ISBLANK($E$8)),SUMIFS('[1]NS Vendor Details'!$D:$D,'[1]NS Vendor Details'!$H:$H,'G&amp;A Vendor x GL Analysis'!L$20,'[1]NS Vendor Details'!$L:$L,'G&amp;A Vendor x GL Analysis'!$D62,'[1]NS Vendor Details'!$O:$O,'G&amp;A Vendor x GL Analysis'!$F62,'[1]NS Vendor Details'!$N:$N,'G&amp;A Vendor x GL Analysis'!$C62),IF(L$15="Actual",SUMIFS('[1]NS Vendor Details'!$D:$D,'[1]NS Vendor Details'!$H:$H,'G&amp;A Vendor x GL Analysis'!L$20,'[1]NS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1533.37</v>
      </c>
      <c r="M62" s="17">
        <f>IF(AND(M$15="Actual",ISBLANK($E$8)),SUMIFS('[1]NS Vendor Details'!$D:$D,'[1]NS Vendor Details'!$H:$H,'G&amp;A Vendor x GL Analysis'!M$20,'[1]NS Vendor Details'!$L:$L,'G&amp;A Vendor x GL Analysis'!$D62,'[1]NS Vendor Details'!$O:$O,'G&amp;A Vendor x GL Analysis'!$F62,'[1]NS Vendor Details'!$N:$N,'G&amp;A Vendor x GL Analysis'!$C62),IF(M$15="Actual",SUMIFS('[1]NS Vendor Details'!$D:$D,'[1]NS Vendor Details'!$H:$H,'G&amp;A Vendor x GL Analysis'!M$20,'[1]NS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551.02</v>
      </c>
      <c r="N62" s="17">
        <f>IF(AND(N$15="Actual",ISBLANK($E$8)),SUMIFS('[1]NS Vendor Details'!$D:$D,'[1]NS Vendor Details'!$H:$H,'G&amp;A Vendor x GL Analysis'!N$20,'[1]NS Vendor Details'!$L:$L,'G&amp;A Vendor x GL Analysis'!$D62,'[1]NS Vendor Details'!$O:$O,'G&amp;A Vendor x GL Analysis'!$F62,'[1]NS Vendor Details'!$N:$N,'G&amp;A Vendor x GL Analysis'!$C62),IF(N$15="Actual",SUMIFS('[1]NS Vendor Details'!$D:$D,'[1]NS Vendor Details'!$H:$H,'G&amp;A Vendor x GL Analysis'!N$20,'[1]NS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268.48</v>
      </c>
      <c r="O62" s="17">
        <f>IF(AND(O$15="Actual",ISBLANK($E$8)),SUMIFS('[1]NS Vendor Details'!$D:$D,'[1]NS Vendor Details'!$H:$H,'G&amp;A Vendor x GL Analysis'!O$20,'[1]NS Vendor Details'!$L:$L,'G&amp;A Vendor x GL Analysis'!$D62,'[1]NS Vendor Details'!$O:$O,'G&amp;A Vendor x GL Analysis'!$F62,'[1]NS Vendor Details'!$N:$N,'G&amp;A Vendor x GL Analysis'!$C62),IF(O$15="Actual",SUMIFS('[1]NS Vendor Details'!$D:$D,'[1]NS Vendor Details'!$H:$H,'G&amp;A Vendor x GL Analysis'!O$20,'[1]NS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0</v>
      </c>
      <c r="P62" s="17">
        <f>IF(AND(P$15="Actual",ISBLANK($E$8)),SUMIFS('[1]NS Vendor Details'!$D:$D,'[1]NS Vendor Details'!$H:$H,'G&amp;A Vendor x GL Analysis'!P$20,'[1]NS Vendor Details'!$L:$L,'G&amp;A Vendor x GL Analysis'!$D62,'[1]NS Vendor Details'!$O:$O,'G&amp;A Vendor x GL Analysis'!$F62,'[1]NS Vendor Details'!$N:$N,'G&amp;A Vendor x GL Analysis'!$C62),IF(P$15="Actual",SUMIFS('[1]NS Vendor Details'!$D:$D,'[1]NS Vendor Details'!$H:$H,'G&amp;A Vendor x GL Analysis'!P$20,'[1]NS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722.45</v>
      </c>
      <c r="Q62" s="17">
        <f>IF(AND(Q$15="Actual",ISBLANK($E$8)),SUMIFS('[1]NS Vendor Details'!$D:$D,'[1]NS Vendor Details'!$H:$H,'G&amp;A Vendor x GL Analysis'!Q$20,'[1]NS Vendor Details'!$L:$L,'G&amp;A Vendor x GL Analysis'!$D62,'[1]NS Vendor Details'!$O:$O,'G&amp;A Vendor x GL Analysis'!$F62,'[1]NS Vendor Details'!$N:$N,'G&amp;A Vendor x GL Analysis'!$C62),IF(Q$15="Actual",SUMIFS('[1]NS Vendor Details'!$D:$D,'[1]NS Vendor Details'!$H:$H,'G&amp;A Vendor x GL Analysis'!Q$20,'[1]NS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3978.82</v>
      </c>
      <c r="R62" s="18">
        <f>IF(AND(R$15="Actual",ISBLANK($E$8)),SUMIFS('[1]NS Vendor Details'!$D:$D,'[1]NS Vendor Details'!$H:$H,'G&amp;A Vendor x GL Analysis'!R$20,'[1]NS Vendor Details'!$L:$L,'G&amp;A Vendor x GL Analysis'!$D62,'[1]NS Vendor Details'!$O:$O,'G&amp;A Vendor x GL Analysis'!$F62,'[1]NS Vendor Details'!$N:$N,'G&amp;A Vendor x GL Analysis'!$C62),IF(R$15="Actual",SUMIFS('[1]NS Vendor Details'!$D:$D,'[1]NS Vendor Details'!$H:$H,'G&amp;A Vendor x GL Analysis'!R$20,'[1]NS Vendor Details'!$L:$L,'G&amp;A Vendor x GL Analysis'!$D62,'[1]NS Vendor Details'!$O:$O,'G&amp;A Vendor x GL Analysis'!$F62,'[1]NS Vendor Details'!$N:$N,'G&amp;A Vendor x GL Analysis'!$C62,'[1]NS Vendor Details'!$K:$K,'G&amp;A Vendor x GL Analysis'!$E$8),0))</f>
        <v>697.12</v>
      </c>
      <c r="S62" s="16">
        <f>IF(AND(S$15="Actual",ISBLANK($E$8)),SUMIFS('[1]NS Vendor Details'!$D:$D,'[1]NS Vendor Details'!$H:$H,'G&amp;A Vendor x GL Analysis'!S$20,'[1]NS Vendor Details'!$L:$L,'G&amp;A Vendor x GL Analysis'!$D62,'[1]NS Vendor Details'!$O:$O,'G&amp;A Vendor x GL Analysis'!$F62,'[1]NS Vendor Details'!$N:$N,'G&amp;A Vendor x GL Analysis'!$C62,'[1]NS Vendor Details'!$I:$I,'G&amp;A Vendor x GL Analysis'!$E62),IF(S$15="Actual",SUMIFS('[1]NS Vendor Details'!$D:$D,'[1]NS Vendor Details'!$H:$H,'G&amp;A Vendor x GL Analysis'!S$20,'[1]NS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0</v>
      </c>
      <c r="T62" s="17">
        <f>IF(AND(T$15="Actual",ISBLANK($E$8)),SUMIFS('[1]NS Vendor Details'!$D:$D,'[1]NS Vendor Details'!$H:$H,'G&amp;A Vendor x GL Analysis'!T$20,'[1]NS Vendor Details'!$L:$L,'G&amp;A Vendor x GL Analysis'!$D62,'[1]NS Vendor Details'!$O:$O,'G&amp;A Vendor x GL Analysis'!$F62,'[1]NS Vendor Details'!$N:$N,'G&amp;A Vendor x GL Analysis'!$C62,'[1]NS Vendor Details'!$I:$I,'G&amp;A Vendor x GL Analysis'!$E62),IF(T$15="Actual",SUMIFS('[1]NS Vendor Details'!$D:$D,'[1]NS Vendor Details'!$H:$H,'G&amp;A Vendor x GL Analysis'!T$20,'[1]NS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0</v>
      </c>
      <c r="U62" s="17">
        <f>IF(AND(U$15="Actual",ISBLANK($E$8)),SUMIFS('[1]NS Vendor Details'!$D:$D,'[1]NS Vendor Details'!$H:$H,'G&amp;A Vendor x GL Analysis'!U$20,'[1]NS Vendor Details'!$L:$L,'G&amp;A Vendor x GL Analysis'!$D62,'[1]NS Vendor Details'!$O:$O,'G&amp;A Vendor x GL Analysis'!$F62,'[1]NS Vendor Details'!$N:$N,'G&amp;A Vendor x GL Analysis'!$C62,'[1]NS Vendor Details'!$I:$I,'G&amp;A Vendor x GL Analysis'!$E62),IF(U$15="Actual",SUMIFS('[1]NS Vendor Details'!$D:$D,'[1]NS Vendor Details'!$H:$H,'G&amp;A Vendor x GL Analysis'!U$20,'[1]NS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1000</v>
      </c>
      <c r="V62" s="17">
        <f>IF(AND(V$15="Actual",ISBLANK($E$8)),SUMIFS('[1]NS Vendor Details'!$D:$D,'[1]NS Vendor Details'!$H:$H,'G&amp;A Vendor x GL Analysis'!V$20,'[1]NS Vendor Details'!$L:$L,'G&amp;A Vendor x GL Analysis'!$D62,'[1]NS Vendor Details'!$O:$O,'G&amp;A Vendor x GL Analysis'!$F62,'[1]NS Vendor Details'!$N:$N,'G&amp;A Vendor x GL Analysis'!$C62,'[1]NS Vendor Details'!$I:$I,'G&amp;A Vendor x GL Analysis'!$E62),IF(V$15="Actual",SUMIFS('[1]NS Vendor Details'!$D:$D,'[1]NS Vendor Details'!$H:$H,'G&amp;A Vendor x GL Analysis'!V$20,'[1]NS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-1000</v>
      </c>
      <c r="W62" s="17">
        <f>IF(AND(W$15="Actual",ISBLANK($E$8)),SUMIFS('[1]NS Vendor Details'!$D:$D,'[1]NS Vendor Details'!$H:$H,'G&amp;A Vendor x GL Analysis'!W$20,'[1]NS Vendor Details'!$L:$L,'G&amp;A Vendor x GL Analysis'!$D62,'[1]NS Vendor Details'!$O:$O,'G&amp;A Vendor x GL Analysis'!$F62,'[1]NS Vendor Details'!$N:$N,'G&amp;A Vendor x GL Analysis'!$C62,'[1]NS Vendor Details'!$I:$I,'G&amp;A Vendor x GL Analysis'!$E62),IF(W$15="Actual",SUMIFS('[1]NS Vendor Details'!$D:$D,'[1]NS Vendor Details'!$H:$H,'G&amp;A Vendor x GL Analysis'!W$20,'[1]NS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400</v>
      </c>
      <c r="X62" s="17">
        <f>IF(AND(X$15="Actual",ISBLANK($E$8)),SUMIFS('[1]NS Vendor Details'!$D:$D,'[1]NS Vendor Details'!$H:$H,'G&amp;A Vendor x GL Analysis'!X$20,'[1]NS Vendor Details'!$L:$L,'G&amp;A Vendor x GL Analysis'!$D62,'[1]NS Vendor Details'!$O:$O,'G&amp;A Vendor x GL Analysis'!$F62,'[1]NS Vendor Details'!$N:$N,'G&amp;A Vendor x GL Analysis'!$C62,'[1]NS Vendor Details'!$I:$I,'G&amp;A Vendor x GL Analysis'!$E62),IF(X$15="Actual",SUMIFS('[1]NS Vendor Details'!$D:$D,'[1]NS Vendor Details'!$H:$H,'G&amp;A Vendor x GL Analysis'!X$20,'[1]NS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-400</v>
      </c>
      <c r="Y62" s="17">
        <f>IF(AND(Y$15="Actual",ISBLANK($E$8)),SUMIFS('[1]NS Vendor Details'!$D:$D,'[1]NS Vendor Details'!$H:$H,'G&amp;A Vendor x GL Analysis'!Y$20,'[1]NS Vendor Details'!$L:$L,'G&amp;A Vendor x GL Analysis'!$D62,'[1]NS Vendor Details'!$O:$O,'G&amp;A Vendor x GL Analysis'!$F62,'[1]NS Vendor Details'!$N:$N,'G&amp;A Vendor x GL Analysis'!$C62,'[1]NS Vendor Details'!$I:$I,'G&amp;A Vendor x GL Analysis'!$E62),IF(Y$15="Actual",SUMIFS('[1]NS Vendor Details'!$D:$D,'[1]NS Vendor Details'!$H:$H,'G&amp;A Vendor x GL Analysis'!Y$20,'[1]NS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1300</v>
      </c>
      <c r="Z62" s="17">
        <f>IF(AND(Z$15="Actual",ISBLANK($E$8)),SUMIFS('[1]NS Vendor Details'!$D:$D,'[1]NS Vendor Details'!$H:$H,'G&amp;A Vendor x GL Analysis'!Z$20,'[1]NS Vendor Details'!$L:$L,'G&amp;A Vendor x GL Analysis'!$D62,'[1]NS Vendor Details'!$O:$O,'G&amp;A Vendor x GL Analysis'!$F62,'[1]NS Vendor Details'!$N:$N,'G&amp;A Vendor x GL Analysis'!$C62,'[1]NS Vendor Details'!$I:$I,'G&amp;A Vendor x GL Analysis'!$E62),IF(Z$15="Actual",SUMIFS('[1]NS Vendor Details'!$D:$D,'[1]NS Vendor Details'!$H:$H,'G&amp;A Vendor x GL Analysis'!Z$20,'[1]NS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-1300</v>
      </c>
      <c r="AA62" s="17">
        <f>IF(AND(AA$15="Actual",ISBLANK($E$8)),SUMIFS('[1]NS Vendor Details'!$D:$D,'[1]NS Vendor Details'!$H:$H,'G&amp;A Vendor x GL Analysis'!AA$20,'[1]NS Vendor Details'!$L:$L,'G&amp;A Vendor x GL Analysis'!$D62,'[1]NS Vendor Details'!$O:$O,'G&amp;A Vendor x GL Analysis'!$F62,'[1]NS Vendor Details'!$N:$N,'G&amp;A Vendor x GL Analysis'!$C62,'[1]NS Vendor Details'!$I:$I,'G&amp;A Vendor x GL Analysis'!$E62),IF(AA$15="Actual",SUMIFS('[1]NS Vendor Details'!$D:$D,'[1]NS Vendor Details'!$H:$H,'G&amp;A Vendor x GL Analysis'!AA$20,'[1]NS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0</v>
      </c>
      <c r="AB62" s="17">
        <f>IF(AND(AB$15="Actual",ISBLANK($E$8)),SUMIFS('[1]NS Vendor Details'!$D:$D,'[1]NS Vendor Details'!$H:$H,'G&amp;A Vendor x GL Analysis'!AB$20,'[1]NS Vendor Details'!$L:$L,'G&amp;A Vendor x GL Analysis'!$D62,'[1]NS Vendor Details'!$O:$O,'G&amp;A Vendor x GL Analysis'!$F62,'[1]NS Vendor Details'!$N:$N,'G&amp;A Vendor x GL Analysis'!$C62,'[1]NS Vendor Details'!$I:$I,'G&amp;A Vendor x GL Analysis'!$E62),IF(AB$15="Actual",SUMIFS('[1]NS Vendor Details'!$D:$D,'[1]NS Vendor Details'!$H:$H,'G&amp;A Vendor x GL Analysis'!AB$20,'[1]NS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0</v>
      </c>
      <c r="AC62" s="18">
        <f>IF(AND(AC$15="Actual",ISBLANK($E$8)),SUMIFS('[1]NS Vendor Details'!$D:$D,'[1]NS Vendor Details'!$H:$H,'G&amp;A Vendor x GL Analysis'!AC$20,'[1]NS Vendor Details'!$L:$L,'G&amp;A Vendor x GL Analysis'!$D62,'[1]NS Vendor Details'!$O:$O,'G&amp;A Vendor x GL Analysis'!$F62,'[1]NS Vendor Details'!$N:$N,'G&amp;A Vendor x GL Analysis'!$C62,'[1]NS Vendor Details'!$I:$I,'G&amp;A Vendor x GL Analysis'!$E62),IF(AC$15="Actual",SUMIFS('[1]NS Vendor Details'!$D:$D,'[1]NS Vendor Details'!$H:$H,'G&amp;A Vendor x GL Analysis'!AC$20,'[1]NS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0</v>
      </c>
      <c r="AD62" s="18">
        <f>IF(AND(AD$15="Actual",ISBLANK($E$8)),SUMIFS('[1]NS Vendor Details'!$D:$D,'[1]NS Vendor Details'!$H:$H,'G&amp;A Vendor x GL Analysis'!AD$20,'[1]NS Vendor Details'!$L:$L,'G&amp;A Vendor x GL Analysis'!$D62,'[1]NS Vendor Details'!$O:$O,'G&amp;A Vendor x GL Analysis'!$F62,'[1]NS Vendor Details'!$N:$N,'G&amp;A Vendor x GL Analysis'!$C62,'[1]NS Vendor Details'!$I:$I,'G&amp;A Vendor x GL Analysis'!$E62),IF(AD$15="Actual",SUMIFS('[1]NS Vendor Details'!$D:$D,'[1]NS Vendor Details'!$H:$H,'G&amp;A Vendor x GL Analysis'!AD$20,'[1]NS Vendor Details'!$L:$L,'G&amp;A Vendor x GL Analysis'!$D62,'[1]NS Vendor Details'!$O:$O,'G&amp;A Vendor x GL Analysis'!$F62,'[1]NS Vendor Details'!$N:$N,'G&amp;A Vendor x GL Analysis'!$C62,'[1]NS Vendor Details'!$K:$K,'G&amp;A Vendor x GL Analysis'!$E$8,'[1]NS Vendor Details'!$I:$I,'G&amp;A Vendor x GL Analysis'!$E62),0))</f>
        <v>0</v>
      </c>
      <c r="AF62" s="19">
        <f t="shared" si="9"/>
        <v>5400</v>
      </c>
    </row>
    <row r="63" spans="1:32" outlineLevel="1">
      <c r="A63" s="8" t="str">
        <f t="shared" si="8"/>
        <v>Sample6360 - Model - Fitting</v>
      </c>
      <c r="C63" s="8" t="s">
        <v>11</v>
      </c>
      <c r="D63" s="8" t="str">
        <f t="shared" si="17"/>
        <v>Sample</v>
      </c>
      <c r="E63" s="2" t="s">
        <v>54</v>
      </c>
      <c r="F63" s="2" t="s">
        <v>55</v>
      </c>
      <c r="G63" s="16">
        <f>IF(AND(G$15="Actual",ISBLANK($E$8)),SUMIFS('[1]NS Vendor Details'!$D:$D,'[1]NS Vendor Details'!$H:$H,'G&amp;A Vendor x GL Analysis'!G$20,'[1]NS Vendor Details'!$L:$L,'G&amp;A Vendor x GL Analysis'!$D63,'[1]NS Vendor Details'!$O:$O,'G&amp;A Vendor x GL Analysis'!$F63,'[1]NS Vendor Details'!$N:$N,'G&amp;A Vendor x GL Analysis'!$C63),IF(G$15="Actual",SUMIFS('[1]NS Vendor Details'!$D:$D,'[1]NS Vendor Details'!$H:$H,'G&amp;A Vendor x GL Analysis'!G$20,'[1]NS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H63" s="17">
        <f>IF(AND(H$15="Actual",ISBLANK($E$8)),SUMIFS('[1]NS Vendor Details'!$D:$D,'[1]NS Vendor Details'!$H:$H,'G&amp;A Vendor x GL Analysis'!H$20,'[1]NS Vendor Details'!$L:$L,'G&amp;A Vendor x GL Analysis'!$D63,'[1]NS Vendor Details'!$O:$O,'G&amp;A Vendor x GL Analysis'!$F63,'[1]NS Vendor Details'!$N:$N,'G&amp;A Vendor x GL Analysis'!$C63),IF(H$15="Actual",SUMIFS('[1]NS Vendor Details'!$D:$D,'[1]NS Vendor Details'!$H:$H,'G&amp;A Vendor x GL Analysis'!H$20,'[1]NS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I63" s="17">
        <f>IF(AND(I$15="Actual",ISBLANK($E$8)),SUMIFS('[1]NS Vendor Details'!$D:$D,'[1]NS Vendor Details'!$H:$H,'G&amp;A Vendor x GL Analysis'!I$20,'[1]NS Vendor Details'!$L:$L,'G&amp;A Vendor x GL Analysis'!$D63,'[1]NS Vendor Details'!$O:$O,'G&amp;A Vendor x GL Analysis'!$F63,'[1]NS Vendor Details'!$N:$N,'G&amp;A Vendor x GL Analysis'!$C63),IF(I$15="Actual",SUMIFS('[1]NS Vendor Details'!$D:$D,'[1]NS Vendor Details'!$H:$H,'G&amp;A Vendor x GL Analysis'!I$20,'[1]NS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J63" s="17">
        <f>IF(AND(J$15="Actual",ISBLANK($E$8)),SUMIFS('[1]NS Vendor Details'!$D:$D,'[1]NS Vendor Details'!$H:$H,'G&amp;A Vendor x GL Analysis'!J$20,'[1]NS Vendor Details'!$L:$L,'G&amp;A Vendor x GL Analysis'!$D63,'[1]NS Vendor Details'!$O:$O,'G&amp;A Vendor x GL Analysis'!$F63,'[1]NS Vendor Details'!$N:$N,'G&amp;A Vendor x GL Analysis'!$C63),IF(J$15="Actual",SUMIFS('[1]NS Vendor Details'!$D:$D,'[1]NS Vendor Details'!$H:$H,'G&amp;A Vendor x GL Analysis'!J$20,'[1]NS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K63" s="17">
        <f>IF(AND(K$15="Actual",ISBLANK($E$8)),SUMIFS('[1]NS Vendor Details'!$D:$D,'[1]NS Vendor Details'!$H:$H,'G&amp;A Vendor x GL Analysis'!K$20,'[1]NS Vendor Details'!$L:$L,'G&amp;A Vendor x GL Analysis'!$D63,'[1]NS Vendor Details'!$O:$O,'G&amp;A Vendor x GL Analysis'!$F63,'[1]NS Vendor Details'!$N:$N,'G&amp;A Vendor x GL Analysis'!$C63),IF(K$15="Actual",SUMIFS('[1]NS Vendor Details'!$D:$D,'[1]NS Vendor Details'!$H:$H,'G&amp;A Vendor x GL Analysis'!K$20,'[1]NS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L63" s="17">
        <f>IF(AND(L$15="Actual",ISBLANK($E$8)),SUMIFS('[1]NS Vendor Details'!$D:$D,'[1]NS Vendor Details'!$H:$H,'G&amp;A Vendor x GL Analysis'!L$20,'[1]NS Vendor Details'!$L:$L,'G&amp;A Vendor x GL Analysis'!$D63,'[1]NS Vendor Details'!$O:$O,'G&amp;A Vendor x GL Analysis'!$F63,'[1]NS Vendor Details'!$N:$N,'G&amp;A Vendor x GL Analysis'!$C63),IF(L$15="Actual",SUMIFS('[1]NS Vendor Details'!$D:$D,'[1]NS Vendor Details'!$H:$H,'G&amp;A Vendor x GL Analysis'!L$20,'[1]NS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M63" s="17">
        <f>IF(AND(M$15="Actual",ISBLANK($E$8)),SUMIFS('[1]NS Vendor Details'!$D:$D,'[1]NS Vendor Details'!$H:$H,'G&amp;A Vendor x GL Analysis'!M$20,'[1]NS Vendor Details'!$L:$L,'G&amp;A Vendor x GL Analysis'!$D63,'[1]NS Vendor Details'!$O:$O,'G&amp;A Vendor x GL Analysis'!$F63,'[1]NS Vendor Details'!$N:$N,'G&amp;A Vendor x GL Analysis'!$C63),IF(M$15="Actual",SUMIFS('[1]NS Vendor Details'!$D:$D,'[1]NS Vendor Details'!$H:$H,'G&amp;A Vendor x GL Analysis'!M$20,'[1]NS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N63" s="17">
        <f>IF(AND(N$15="Actual",ISBLANK($E$8)),SUMIFS('[1]NS Vendor Details'!$D:$D,'[1]NS Vendor Details'!$H:$H,'G&amp;A Vendor x GL Analysis'!N$20,'[1]NS Vendor Details'!$L:$L,'G&amp;A Vendor x GL Analysis'!$D63,'[1]NS Vendor Details'!$O:$O,'G&amp;A Vendor x GL Analysis'!$F63,'[1]NS Vendor Details'!$N:$N,'G&amp;A Vendor x GL Analysis'!$C63),IF(N$15="Actual",SUMIFS('[1]NS Vendor Details'!$D:$D,'[1]NS Vendor Details'!$H:$H,'G&amp;A Vendor x GL Analysis'!N$20,'[1]NS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O63" s="17">
        <f>IF(AND(O$15="Actual",ISBLANK($E$8)),SUMIFS('[1]NS Vendor Details'!$D:$D,'[1]NS Vendor Details'!$H:$H,'G&amp;A Vendor x GL Analysis'!O$20,'[1]NS Vendor Details'!$L:$L,'G&amp;A Vendor x GL Analysis'!$D63,'[1]NS Vendor Details'!$O:$O,'G&amp;A Vendor x GL Analysis'!$F63,'[1]NS Vendor Details'!$N:$N,'G&amp;A Vendor x GL Analysis'!$C63),IF(O$15="Actual",SUMIFS('[1]NS Vendor Details'!$D:$D,'[1]NS Vendor Details'!$H:$H,'G&amp;A Vendor x GL Analysis'!O$20,'[1]NS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P63" s="17">
        <f>IF(AND(P$15="Actual",ISBLANK($E$8)),SUMIFS('[1]NS Vendor Details'!$D:$D,'[1]NS Vendor Details'!$H:$H,'G&amp;A Vendor x GL Analysis'!P$20,'[1]NS Vendor Details'!$L:$L,'G&amp;A Vendor x GL Analysis'!$D63,'[1]NS Vendor Details'!$O:$O,'G&amp;A Vendor x GL Analysis'!$F63,'[1]NS Vendor Details'!$N:$N,'G&amp;A Vendor x GL Analysis'!$C63),IF(P$15="Actual",SUMIFS('[1]NS Vendor Details'!$D:$D,'[1]NS Vendor Details'!$H:$H,'G&amp;A Vendor x GL Analysis'!P$20,'[1]NS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Q63" s="17">
        <f>IF(AND(Q$15="Actual",ISBLANK($E$8)),SUMIFS('[1]NS Vendor Details'!$D:$D,'[1]NS Vendor Details'!$H:$H,'G&amp;A Vendor x GL Analysis'!Q$20,'[1]NS Vendor Details'!$L:$L,'G&amp;A Vendor x GL Analysis'!$D63,'[1]NS Vendor Details'!$O:$O,'G&amp;A Vendor x GL Analysis'!$F63,'[1]NS Vendor Details'!$N:$N,'G&amp;A Vendor x GL Analysis'!$C63),IF(Q$15="Actual",SUMIFS('[1]NS Vendor Details'!$D:$D,'[1]NS Vendor Details'!$H:$H,'G&amp;A Vendor x GL Analysis'!Q$20,'[1]NS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R63" s="18">
        <f>IF(AND(R$15="Actual",ISBLANK($E$8)),SUMIFS('[1]NS Vendor Details'!$D:$D,'[1]NS Vendor Details'!$H:$H,'G&amp;A Vendor x GL Analysis'!R$20,'[1]NS Vendor Details'!$L:$L,'G&amp;A Vendor x GL Analysis'!$D63,'[1]NS Vendor Details'!$O:$O,'G&amp;A Vendor x GL Analysis'!$F63,'[1]NS Vendor Details'!$N:$N,'G&amp;A Vendor x GL Analysis'!$C63),IF(R$15="Actual",SUMIFS('[1]NS Vendor Details'!$D:$D,'[1]NS Vendor Details'!$H:$H,'G&amp;A Vendor x GL Analysis'!R$20,'[1]NS Vendor Details'!$L:$L,'G&amp;A Vendor x GL Analysis'!$D63,'[1]NS Vendor Details'!$O:$O,'G&amp;A Vendor x GL Analysis'!$F63,'[1]NS Vendor Details'!$N:$N,'G&amp;A Vendor x GL Analysis'!$C63,'[1]NS Vendor Details'!$K:$K,'G&amp;A Vendor x GL Analysis'!$E$8),0))</f>
        <v>0</v>
      </c>
      <c r="S63" s="16">
        <f>IF(AND(S$15="Actual",ISBLANK($E$8)),SUMIFS('[1]NS Vendor Details'!$D:$D,'[1]NS Vendor Details'!$H:$H,'G&amp;A Vendor x GL Analysis'!S$20,'[1]NS Vendor Details'!$L:$L,'G&amp;A Vendor x GL Analysis'!$D63,'[1]NS Vendor Details'!$O:$O,'G&amp;A Vendor x GL Analysis'!$F63,'[1]NS Vendor Details'!$N:$N,'G&amp;A Vendor x GL Analysis'!$C63,'[1]NS Vendor Details'!$I:$I,'G&amp;A Vendor x GL Analysis'!$E63),IF(S$15="Actual",SUMIFS('[1]NS Vendor Details'!$D:$D,'[1]NS Vendor Details'!$H:$H,'G&amp;A Vendor x GL Analysis'!S$20,'[1]NS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T63" s="17">
        <f>IF(AND(T$15="Actual",ISBLANK($E$8)),SUMIFS('[1]NS Vendor Details'!$D:$D,'[1]NS Vendor Details'!$H:$H,'G&amp;A Vendor x GL Analysis'!T$20,'[1]NS Vendor Details'!$L:$L,'G&amp;A Vendor x GL Analysis'!$D63,'[1]NS Vendor Details'!$O:$O,'G&amp;A Vendor x GL Analysis'!$F63,'[1]NS Vendor Details'!$N:$N,'G&amp;A Vendor x GL Analysis'!$C63,'[1]NS Vendor Details'!$I:$I,'G&amp;A Vendor x GL Analysis'!$E63),IF(T$15="Actual",SUMIFS('[1]NS Vendor Details'!$D:$D,'[1]NS Vendor Details'!$H:$H,'G&amp;A Vendor x GL Analysis'!T$20,'[1]NS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U63" s="17">
        <f>IF(AND(U$15="Actual",ISBLANK($E$8)),SUMIFS('[1]NS Vendor Details'!$D:$D,'[1]NS Vendor Details'!$H:$H,'G&amp;A Vendor x GL Analysis'!U$20,'[1]NS Vendor Details'!$L:$L,'G&amp;A Vendor x GL Analysis'!$D63,'[1]NS Vendor Details'!$O:$O,'G&amp;A Vendor x GL Analysis'!$F63,'[1]NS Vendor Details'!$N:$N,'G&amp;A Vendor x GL Analysis'!$C63,'[1]NS Vendor Details'!$I:$I,'G&amp;A Vendor x GL Analysis'!$E63),IF(U$15="Actual",SUMIFS('[1]NS Vendor Details'!$D:$D,'[1]NS Vendor Details'!$H:$H,'G&amp;A Vendor x GL Analysis'!U$20,'[1]NS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V63" s="17">
        <f>IF(AND(V$15="Actual",ISBLANK($E$8)),SUMIFS('[1]NS Vendor Details'!$D:$D,'[1]NS Vendor Details'!$H:$H,'G&amp;A Vendor x GL Analysis'!V$20,'[1]NS Vendor Details'!$L:$L,'G&amp;A Vendor x GL Analysis'!$D63,'[1]NS Vendor Details'!$O:$O,'G&amp;A Vendor x GL Analysis'!$F63,'[1]NS Vendor Details'!$N:$N,'G&amp;A Vendor x GL Analysis'!$C63,'[1]NS Vendor Details'!$I:$I,'G&amp;A Vendor x GL Analysis'!$E63),IF(V$15="Actual",SUMIFS('[1]NS Vendor Details'!$D:$D,'[1]NS Vendor Details'!$H:$H,'G&amp;A Vendor x GL Analysis'!V$20,'[1]NS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W63" s="17">
        <f>IF(AND(W$15="Actual",ISBLANK($E$8)),SUMIFS('[1]NS Vendor Details'!$D:$D,'[1]NS Vendor Details'!$H:$H,'G&amp;A Vendor x GL Analysis'!W$20,'[1]NS Vendor Details'!$L:$L,'G&amp;A Vendor x GL Analysis'!$D63,'[1]NS Vendor Details'!$O:$O,'G&amp;A Vendor x GL Analysis'!$F63,'[1]NS Vendor Details'!$N:$N,'G&amp;A Vendor x GL Analysis'!$C63,'[1]NS Vendor Details'!$I:$I,'G&amp;A Vendor x GL Analysis'!$E63),IF(W$15="Actual",SUMIFS('[1]NS Vendor Details'!$D:$D,'[1]NS Vendor Details'!$H:$H,'G&amp;A Vendor x GL Analysis'!W$20,'[1]NS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X63" s="17">
        <f>IF(AND(X$15="Actual",ISBLANK($E$8)),SUMIFS('[1]NS Vendor Details'!$D:$D,'[1]NS Vendor Details'!$H:$H,'G&amp;A Vendor x GL Analysis'!X$20,'[1]NS Vendor Details'!$L:$L,'G&amp;A Vendor x GL Analysis'!$D63,'[1]NS Vendor Details'!$O:$O,'G&amp;A Vendor x GL Analysis'!$F63,'[1]NS Vendor Details'!$N:$N,'G&amp;A Vendor x GL Analysis'!$C63,'[1]NS Vendor Details'!$I:$I,'G&amp;A Vendor x GL Analysis'!$E63),IF(X$15="Actual",SUMIFS('[1]NS Vendor Details'!$D:$D,'[1]NS Vendor Details'!$H:$H,'G&amp;A Vendor x GL Analysis'!X$20,'[1]NS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Y63" s="17">
        <f>IF(AND(Y$15="Actual",ISBLANK($E$8)),SUMIFS('[1]NS Vendor Details'!$D:$D,'[1]NS Vendor Details'!$H:$H,'G&amp;A Vendor x GL Analysis'!Y$20,'[1]NS Vendor Details'!$L:$L,'G&amp;A Vendor x GL Analysis'!$D63,'[1]NS Vendor Details'!$O:$O,'G&amp;A Vendor x GL Analysis'!$F63,'[1]NS Vendor Details'!$N:$N,'G&amp;A Vendor x GL Analysis'!$C63,'[1]NS Vendor Details'!$I:$I,'G&amp;A Vendor x GL Analysis'!$E63),IF(Y$15="Actual",SUMIFS('[1]NS Vendor Details'!$D:$D,'[1]NS Vendor Details'!$H:$H,'G&amp;A Vendor x GL Analysis'!Y$20,'[1]NS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Z63" s="17">
        <f>IF(AND(Z$15="Actual",ISBLANK($E$8)),SUMIFS('[1]NS Vendor Details'!$D:$D,'[1]NS Vendor Details'!$H:$H,'G&amp;A Vendor x GL Analysis'!Z$20,'[1]NS Vendor Details'!$L:$L,'G&amp;A Vendor x GL Analysis'!$D63,'[1]NS Vendor Details'!$O:$O,'G&amp;A Vendor x GL Analysis'!$F63,'[1]NS Vendor Details'!$N:$N,'G&amp;A Vendor x GL Analysis'!$C63,'[1]NS Vendor Details'!$I:$I,'G&amp;A Vendor x GL Analysis'!$E63),IF(Z$15="Actual",SUMIFS('[1]NS Vendor Details'!$D:$D,'[1]NS Vendor Details'!$H:$H,'G&amp;A Vendor x GL Analysis'!Z$20,'[1]NS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AA63" s="17">
        <f>IF(AND(AA$15="Actual",ISBLANK($E$8)),SUMIFS('[1]NS Vendor Details'!$D:$D,'[1]NS Vendor Details'!$H:$H,'G&amp;A Vendor x GL Analysis'!AA$20,'[1]NS Vendor Details'!$L:$L,'G&amp;A Vendor x GL Analysis'!$D63,'[1]NS Vendor Details'!$O:$O,'G&amp;A Vendor x GL Analysis'!$F63,'[1]NS Vendor Details'!$N:$N,'G&amp;A Vendor x GL Analysis'!$C63,'[1]NS Vendor Details'!$I:$I,'G&amp;A Vendor x GL Analysis'!$E63),IF(AA$15="Actual",SUMIFS('[1]NS Vendor Details'!$D:$D,'[1]NS Vendor Details'!$H:$H,'G&amp;A Vendor x GL Analysis'!AA$20,'[1]NS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6450.84</v>
      </c>
      <c r="AB63" s="17">
        <f>IF(AND(AB$15="Actual",ISBLANK($E$8)),SUMIFS('[1]NS Vendor Details'!$D:$D,'[1]NS Vendor Details'!$H:$H,'G&amp;A Vendor x GL Analysis'!AB$20,'[1]NS Vendor Details'!$L:$L,'G&amp;A Vendor x GL Analysis'!$D63,'[1]NS Vendor Details'!$O:$O,'G&amp;A Vendor x GL Analysis'!$F63,'[1]NS Vendor Details'!$N:$N,'G&amp;A Vendor x GL Analysis'!$C63,'[1]NS Vendor Details'!$I:$I,'G&amp;A Vendor x GL Analysis'!$E63),IF(AB$15="Actual",SUMIFS('[1]NS Vendor Details'!$D:$D,'[1]NS Vendor Details'!$H:$H,'G&amp;A Vendor x GL Analysis'!AB$20,'[1]NS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AC63" s="18">
        <f>IF(AND(AC$15="Actual",ISBLANK($E$8)),SUMIFS('[1]NS Vendor Details'!$D:$D,'[1]NS Vendor Details'!$H:$H,'G&amp;A Vendor x GL Analysis'!AC$20,'[1]NS Vendor Details'!$L:$L,'G&amp;A Vendor x GL Analysis'!$D63,'[1]NS Vendor Details'!$O:$O,'G&amp;A Vendor x GL Analysis'!$F63,'[1]NS Vendor Details'!$N:$N,'G&amp;A Vendor x GL Analysis'!$C63,'[1]NS Vendor Details'!$I:$I,'G&amp;A Vendor x GL Analysis'!$E63),IF(AC$15="Actual",SUMIFS('[1]NS Vendor Details'!$D:$D,'[1]NS Vendor Details'!$H:$H,'G&amp;A Vendor x GL Analysis'!AC$20,'[1]NS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AD63" s="18">
        <f>IF(AND(AD$15="Actual",ISBLANK($E$8)),SUMIFS('[1]NS Vendor Details'!$D:$D,'[1]NS Vendor Details'!$H:$H,'G&amp;A Vendor x GL Analysis'!AD$20,'[1]NS Vendor Details'!$L:$L,'G&amp;A Vendor x GL Analysis'!$D63,'[1]NS Vendor Details'!$O:$O,'G&amp;A Vendor x GL Analysis'!$F63,'[1]NS Vendor Details'!$N:$N,'G&amp;A Vendor x GL Analysis'!$C63,'[1]NS Vendor Details'!$I:$I,'G&amp;A Vendor x GL Analysis'!$E63),IF(AD$15="Actual",SUMIFS('[1]NS Vendor Details'!$D:$D,'[1]NS Vendor Details'!$H:$H,'G&amp;A Vendor x GL Analysis'!AD$20,'[1]NS Vendor Details'!$L:$L,'G&amp;A Vendor x GL Analysis'!$D63,'[1]NS Vendor Details'!$O:$O,'G&amp;A Vendor x GL Analysis'!$F63,'[1]NS Vendor Details'!$N:$N,'G&amp;A Vendor x GL Analysis'!$C63,'[1]NS Vendor Details'!$K:$K,'G&amp;A Vendor x GL Analysis'!$E$8,'[1]NS Vendor Details'!$I:$I,'G&amp;A Vendor x GL Analysis'!$E63),0))</f>
        <v>0</v>
      </c>
      <c r="AF63" s="19">
        <f t="shared" si="9"/>
        <v>6450.84</v>
      </c>
    </row>
    <row r="64" spans="1:32" outlineLevel="1">
      <c r="A64" s="8" t="str">
        <f t="shared" si="8"/>
        <v>Sample6360 - Model - Fitting</v>
      </c>
      <c r="C64" s="8" t="s">
        <v>11</v>
      </c>
      <c r="D64" s="8" t="str">
        <f t="shared" si="17"/>
        <v>Sample</v>
      </c>
      <c r="E64" s="2" t="s">
        <v>54</v>
      </c>
      <c r="F64" s="2" t="s">
        <v>56</v>
      </c>
      <c r="G64" s="16">
        <f>IF(AND(G$15="Actual",ISBLANK($E$8)),SUMIFS('[1]NS Vendor Details'!$D:$D,'[1]NS Vendor Details'!$H:$H,'G&amp;A Vendor x GL Analysis'!G$20,'[1]NS Vendor Details'!$L:$L,'G&amp;A Vendor x GL Analysis'!$D64,'[1]NS Vendor Details'!$O:$O,'G&amp;A Vendor x GL Analysis'!$F64,'[1]NS Vendor Details'!$N:$N,'G&amp;A Vendor x GL Analysis'!$C64),IF(G$15="Actual",SUMIFS('[1]NS Vendor Details'!$D:$D,'[1]NS Vendor Details'!$H:$H,'G&amp;A Vendor x GL Analysis'!G$20,'[1]NS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H64" s="17">
        <f>IF(AND(H$15="Actual",ISBLANK($E$8)),SUMIFS('[1]NS Vendor Details'!$D:$D,'[1]NS Vendor Details'!$H:$H,'G&amp;A Vendor x GL Analysis'!H$20,'[1]NS Vendor Details'!$L:$L,'G&amp;A Vendor x GL Analysis'!$D64,'[1]NS Vendor Details'!$O:$O,'G&amp;A Vendor x GL Analysis'!$F64,'[1]NS Vendor Details'!$N:$N,'G&amp;A Vendor x GL Analysis'!$C64),IF(H$15="Actual",SUMIFS('[1]NS Vendor Details'!$D:$D,'[1]NS Vendor Details'!$H:$H,'G&amp;A Vendor x GL Analysis'!H$20,'[1]NS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I64" s="17">
        <f>IF(AND(I$15="Actual",ISBLANK($E$8)),SUMIFS('[1]NS Vendor Details'!$D:$D,'[1]NS Vendor Details'!$H:$H,'G&amp;A Vendor x GL Analysis'!I$20,'[1]NS Vendor Details'!$L:$L,'G&amp;A Vendor x GL Analysis'!$D64,'[1]NS Vendor Details'!$O:$O,'G&amp;A Vendor x GL Analysis'!$F64,'[1]NS Vendor Details'!$N:$N,'G&amp;A Vendor x GL Analysis'!$C64),IF(I$15="Actual",SUMIFS('[1]NS Vendor Details'!$D:$D,'[1]NS Vendor Details'!$H:$H,'G&amp;A Vendor x GL Analysis'!I$20,'[1]NS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J64" s="17">
        <f>IF(AND(J$15="Actual",ISBLANK($E$8)),SUMIFS('[1]NS Vendor Details'!$D:$D,'[1]NS Vendor Details'!$H:$H,'G&amp;A Vendor x GL Analysis'!J$20,'[1]NS Vendor Details'!$L:$L,'G&amp;A Vendor x GL Analysis'!$D64,'[1]NS Vendor Details'!$O:$O,'G&amp;A Vendor x GL Analysis'!$F64,'[1]NS Vendor Details'!$N:$N,'G&amp;A Vendor x GL Analysis'!$C64),IF(J$15="Actual",SUMIFS('[1]NS Vendor Details'!$D:$D,'[1]NS Vendor Details'!$H:$H,'G&amp;A Vendor x GL Analysis'!J$20,'[1]NS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K64" s="17">
        <f>IF(AND(K$15="Actual",ISBLANK($E$8)),SUMIFS('[1]NS Vendor Details'!$D:$D,'[1]NS Vendor Details'!$H:$H,'G&amp;A Vendor x GL Analysis'!K$20,'[1]NS Vendor Details'!$L:$L,'G&amp;A Vendor x GL Analysis'!$D64,'[1]NS Vendor Details'!$O:$O,'G&amp;A Vendor x GL Analysis'!$F64,'[1]NS Vendor Details'!$N:$N,'G&amp;A Vendor x GL Analysis'!$C64),IF(K$15="Actual",SUMIFS('[1]NS Vendor Details'!$D:$D,'[1]NS Vendor Details'!$H:$H,'G&amp;A Vendor x GL Analysis'!K$20,'[1]NS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L64" s="17">
        <f>IF(AND(L$15="Actual",ISBLANK($E$8)),SUMIFS('[1]NS Vendor Details'!$D:$D,'[1]NS Vendor Details'!$H:$H,'G&amp;A Vendor x GL Analysis'!L$20,'[1]NS Vendor Details'!$L:$L,'G&amp;A Vendor x GL Analysis'!$D64,'[1]NS Vendor Details'!$O:$O,'G&amp;A Vendor x GL Analysis'!$F64,'[1]NS Vendor Details'!$N:$N,'G&amp;A Vendor x GL Analysis'!$C64),IF(L$15="Actual",SUMIFS('[1]NS Vendor Details'!$D:$D,'[1]NS Vendor Details'!$H:$H,'G&amp;A Vendor x GL Analysis'!L$20,'[1]NS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300</v>
      </c>
      <c r="M64" s="17">
        <f>IF(AND(M$15="Actual",ISBLANK($E$8)),SUMIFS('[1]NS Vendor Details'!$D:$D,'[1]NS Vendor Details'!$H:$H,'G&amp;A Vendor x GL Analysis'!M$20,'[1]NS Vendor Details'!$L:$L,'G&amp;A Vendor x GL Analysis'!$D64,'[1]NS Vendor Details'!$O:$O,'G&amp;A Vendor x GL Analysis'!$F64,'[1]NS Vendor Details'!$N:$N,'G&amp;A Vendor x GL Analysis'!$C64),IF(M$15="Actual",SUMIFS('[1]NS Vendor Details'!$D:$D,'[1]NS Vendor Details'!$H:$H,'G&amp;A Vendor x GL Analysis'!M$20,'[1]NS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N64" s="17">
        <f>IF(AND(N$15="Actual",ISBLANK($E$8)),SUMIFS('[1]NS Vendor Details'!$D:$D,'[1]NS Vendor Details'!$H:$H,'G&amp;A Vendor x GL Analysis'!N$20,'[1]NS Vendor Details'!$L:$L,'G&amp;A Vendor x GL Analysis'!$D64,'[1]NS Vendor Details'!$O:$O,'G&amp;A Vendor x GL Analysis'!$F64,'[1]NS Vendor Details'!$N:$N,'G&amp;A Vendor x GL Analysis'!$C64),IF(N$15="Actual",SUMIFS('[1]NS Vendor Details'!$D:$D,'[1]NS Vendor Details'!$H:$H,'G&amp;A Vendor x GL Analysis'!N$20,'[1]NS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500</v>
      </c>
      <c r="O64" s="17">
        <f>IF(AND(O$15="Actual",ISBLANK($E$8)),SUMIFS('[1]NS Vendor Details'!$D:$D,'[1]NS Vendor Details'!$H:$H,'G&amp;A Vendor x GL Analysis'!O$20,'[1]NS Vendor Details'!$L:$L,'G&amp;A Vendor x GL Analysis'!$D64,'[1]NS Vendor Details'!$O:$O,'G&amp;A Vendor x GL Analysis'!$F64,'[1]NS Vendor Details'!$N:$N,'G&amp;A Vendor x GL Analysis'!$C64),IF(O$15="Actual",SUMIFS('[1]NS Vendor Details'!$D:$D,'[1]NS Vendor Details'!$H:$H,'G&amp;A Vendor x GL Analysis'!O$20,'[1]NS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P64" s="17">
        <f>IF(AND(P$15="Actual",ISBLANK($E$8)),SUMIFS('[1]NS Vendor Details'!$D:$D,'[1]NS Vendor Details'!$H:$H,'G&amp;A Vendor x GL Analysis'!P$20,'[1]NS Vendor Details'!$L:$L,'G&amp;A Vendor x GL Analysis'!$D64,'[1]NS Vendor Details'!$O:$O,'G&amp;A Vendor x GL Analysis'!$F64,'[1]NS Vendor Details'!$N:$N,'G&amp;A Vendor x GL Analysis'!$C64),IF(P$15="Actual",SUMIFS('[1]NS Vendor Details'!$D:$D,'[1]NS Vendor Details'!$H:$H,'G&amp;A Vendor x GL Analysis'!P$20,'[1]NS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600</v>
      </c>
      <c r="Q64" s="17">
        <f>IF(AND(Q$15="Actual",ISBLANK($E$8)),SUMIFS('[1]NS Vendor Details'!$D:$D,'[1]NS Vendor Details'!$H:$H,'G&amp;A Vendor x GL Analysis'!Q$20,'[1]NS Vendor Details'!$L:$L,'G&amp;A Vendor x GL Analysis'!$D64,'[1]NS Vendor Details'!$O:$O,'G&amp;A Vendor x GL Analysis'!$F64,'[1]NS Vendor Details'!$N:$N,'G&amp;A Vendor x GL Analysis'!$C64),IF(Q$15="Actual",SUMIFS('[1]NS Vendor Details'!$D:$D,'[1]NS Vendor Details'!$H:$H,'G&amp;A Vendor x GL Analysis'!Q$20,'[1]NS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R64" s="18">
        <f>IF(AND(R$15="Actual",ISBLANK($E$8)),SUMIFS('[1]NS Vendor Details'!$D:$D,'[1]NS Vendor Details'!$H:$H,'G&amp;A Vendor x GL Analysis'!R$20,'[1]NS Vendor Details'!$L:$L,'G&amp;A Vendor x GL Analysis'!$D64,'[1]NS Vendor Details'!$O:$O,'G&amp;A Vendor x GL Analysis'!$F64,'[1]NS Vendor Details'!$N:$N,'G&amp;A Vendor x GL Analysis'!$C64),IF(R$15="Actual",SUMIFS('[1]NS Vendor Details'!$D:$D,'[1]NS Vendor Details'!$H:$H,'G&amp;A Vendor x GL Analysis'!R$20,'[1]NS Vendor Details'!$L:$L,'G&amp;A Vendor x GL Analysis'!$D64,'[1]NS Vendor Details'!$O:$O,'G&amp;A Vendor x GL Analysis'!$F64,'[1]NS Vendor Details'!$N:$N,'G&amp;A Vendor x GL Analysis'!$C64,'[1]NS Vendor Details'!$K:$K,'G&amp;A Vendor x GL Analysis'!$E$8),0))</f>
        <v>0</v>
      </c>
      <c r="S64" s="16">
        <f>IF(AND(S$15="Actual",ISBLANK($E$8)),SUMIFS('[1]NS Vendor Details'!$D:$D,'[1]NS Vendor Details'!$H:$H,'G&amp;A Vendor x GL Analysis'!S$20,'[1]NS Vendor Details'!$L:$L,'G&amp;A Vendor x GL Analysis'!$D64,'[1]NS Vendor Details'!$O:$O,'G&amp;A Vendor x GL Analysis'!$F64,'[1]NS Vendor Details'!$N:$N,'G&amp;A Vendor x GL Analysis'!$C64,'[1]NS Vendor Details'!$I:$I,'G&amp;A Vendor x GL Analysis'!$E64),IF(S$15="Actual",SUMIFS('[1]NS Vendor Details'!$D:$D,'[1]NS Vendor Details'!$H:$H,'G&amp;A Vendor x GL Analysis'!S$20,'[1]NS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T64" s="17">
        <f>IF(AND(T$15="Actual",ISBLANK($E$8)),SUMIFS('[1]NS Vendor Details'!$D:$D,'[1]NS Vendor Details'!$H:$H,'G&amp;A Vendor x GL Analysis'!T$20,'[1]NS Vendor Details'!$L:$L,'G&amp;A Vendor x GL Analysis'!$D64,'[1]NS Vendor Details'!$O:$O,'G&amp;A Vendor x GL Analysis'!$F64,'[1]NS Vendor Details'!$N:$N,'G&amp;A Vendor x GL Analysis'!$C64,'[1]NS Vendor Details'!$I:$I,'G&amp;A Vendor x GL Analysis'!$E64),IF(T$15="Actual",SUMIFS('[1]NS Vendor Details'!$D:$D,'[1]NS Vendor Details'!$H:$H,'G&amp;A Vendor x GL Analysis'!T$20,'[1]NS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300</v>
      </c>
      <c r="U64" s="17">
        <f>IF(AND(U$15="Actual",ISBLANK($E$8)),SUMIFS('[1]NS Vendor Details'!$D:$D,'[1]NS Vendor Details'!$H:$H,'G&amp;A Vendor x GL Analysis'!U$20,'[1]NS Vendor Details'!$L:$L,'G&amp;A Vendor x GL Analysis'!$D64,'[1]NS Vendor Details'!$O:$O,'G&amp;A Vendor x GL Analysis'!$F64,'[1]NS Vendor Details'!$N:$N,'G&amp;A Vendor x GL Analysis'!$C64,'[1]NS Vendor Details'!$I:$I,'G&amp;A Vendor x GL Analysis'!$E64),IF(U$15="Actual",SUMIFS('[1]NS Vendor Details'!$D:$D,'[1]NS Vendor Details'!$H:$H,'G&amp;A Vendor x GL Analysis'!U$20,'[1]NS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V64" s="17">
        <f>IF(AND(V$15="Actual",ISBLANK($E$8)),SUMIFS('[1]NS Vendor Details'!$D:$D,'[1]NS Vendor Details'!$H:$H,'G&amp;A Vendor x GL Analysis'!V$20,'[1]NS Vendor Details'!$L:$L,'G&amp;A Vendor x GL Analysis'!$D64,'[1]NS Vendor Details'!$O:$O,'G&amp;A Vendor x GL Analysis'!$F64,'[1]NS Vendor Details'!$N:$N,'G&amp;A Vendor x GL Analysis'!$C64,'[1]NS Vendor Details'!$I:$I,'G&amp;A Vendor x GL Analysis'!$E64),IF(V$15="Actual",SUMIFS('[1]NS Vendor Details'!$D:$D,'[1]NS Vendor Details'!$H:$H,'G&amp;A Vendor x GL Analysis'!V$20,'[1]NS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W64" s="17">
        <f>IF(AND(W$15="Actual",ISBLANK($E$8)),SUMIFS('[1]NS Vendor Details'!$D:$D,'[1]NS Vendor Details'!$H:$H,'G&amp;A Vendor x GL Analysis'!W$20,'[1]NS Vendor Details'!$L:$L,'G&amp;A Vendor x GL Analysis'!$D64,'[1]NS Vendor Details'!$O:$O,'G&amp;A Vendor x GL Analysis'!$F64,'[1]NS Vendor Details'!$N:$N,'G&amp;A Vendor x GL Analysis'!$C64,'[1]NS Vendor Details'!$I:$I,'G&amp;A Vendor x GL Analysis'!$E64),IF(W$15="Actual",SUMIFS('[1]NS Vendor Details'!$D:$D,'[1]NS Vendor Details'!$H:$H,'G&amp;A Vendor x GL Analysis'!W$20,'[1]NS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X64" s="17">
        <f>IF(AND(X$15="Actual",ISBLANK($E$8)),SUMIFS('[1]NS Vendor Details'!$D:$D,'[1]NS Vendor Details'!$H:$H,'G&amp;A Vendor x GL Analysis'!X$20,'[1]NS Vendor Details'!$L:$L,'G&amp;A Vendor x GL Analysis'!$D64,'[1]NS Vendor Details'!$O:$O,'G&amp;A Vendor x GL Analysis'!$F64,'[1]NS Vendor Details'!$N:$N,'G&amp;A Vendor x GL Analysis'!$C64,'[1]NS Vendor Details'!$I:$I,'G&amp;A Vendor x GL Analysis'!$E64),IF(X$15="Actual",SUMIFS('[1]NS Vendor Details'!$D:$D,'[1]NS Vendor Details'!$H:$H,'G&amp;A Vendor x GL Analysis'!X$20,'[1]NS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Y64" s="17">
        <f>IF(AND(Y$15="Actual",ISBLANK($E$8)),SUMIFS('[1]NS Vendor Details'!$D:$D,'[1]NS Vendor Details'!$H:$H,'G&amp;A Vendor x GL Analysis'!Y$20,'[1]NS Vendor Details'!$L:$L,'G&amp;A Vendor x GL Analysis'!$D64,'[1]NS Vendor Details'!$O:$O,'G&amp;A Vendor x GL Analysis'!$F64,'[1]NS Vendor Details'!$N:$N,'G&amp;A Vendor x GL Analysis'!$C64,'[1]NS Vendor Details'!$I:$I,'G&amp;A Vendor x GL Analysis'!$E64),IF(Y$15="Actual",SUMIFS('[1]NS Vendor Details'!$D:$D,'[1]NS Vendor Details'!$H:$H,'G&amp;A Vendor x GL Analysis'!Y$20,'[1]NS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Z64" s="17">
        <f>IF(AND(Z$15="Actual",ISBLANK($E$8)),SUMIFS('[1]NS Vendor Details'!$D:$D,'[1]NS Vendor Details'!$H:$H,'G&amp;A Vendor x GL Analysis'!Z$20,'[1]NS Vendor Details'!$L:$L,'G&amp;A Vendor x GL Analysis'!$D64,'[1]NS Vendor Details'!$O:$O,'G&amp;A Vendor x GL Analysis'!$F64,'[1]NS Vendor Details'!$N:$N,'G&amp;A Vendor x GL Analysis'!$C64,'[1]NS Vendor Details'!$I:$I,'G&amp;A Vendor x GL Analysis'!$E64),IF(Z$15="Actual",SUMIFS('[1]NS Vendor Details'!$D:$D,'[1]NS Vendor Details'!$H:$H,'G&amp;A Vendor x GL Analysis'!Z$20,'[1]NS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AA64" s="17">
        <f>IF(AND(AA$15="Actual",ISBLANK($E$8)),SUMIFS('[1]NS Vendor Details'!$D:$D,'[1]NS Vendor Details'!$H:$H,'G&amp;A Vendor x GL Analysis'!AA$20,'[1]NS Vendor Details'!$L:$L,'G&amp;A Vendor x GL Analysis'!$D64,'[1]NS Vendor Details'!$O:$O,'G&amp;A Vendor x GL Analysis'!$F64,'[1]NS Vendor Details'!$N:$N,'G&amp;A Vendor x GL Analysis'!$C64,'[1]NS Vendor Details'!$I:$I,'G&amp;A Vendor x GL Analysis'!$E64),IF(AA$15="Actual",SUMIFS('[1]NS Vendor Details'!$D:$D,'[1]NS Vendor Details'!$H:$H,'G&amp;A Vendor x GL Analysis'!AA$20,'[1]NS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AB64" s="17">
        <f>IF(AND(AB$15="Actual",ISBLANK($E$8)),SUMIFS('[1]NS Vendor Details'!$D:$D,'[1]NS Vendor Details'!$H:$H,'G&amp;A Vendor x GL Analysis'!AB$20,'[1]NS Vendor Details'!$L:$L,'G&amp;A Vendor x GL Analysis'!$D64,'[1]NS Vendor Details'!$O:$O,'G&amp;A Vendor x GL Analysis'!$F64,'[1]NS Vendor Details'!$N:$N,'G&amp;A Vendor x GL Analysis'!$C64,'[1]NS Vendor Details'!$I:$I,'G&amp;A Vendor x GL Analysis'!$E64),IF(AB$15="Actual",SUMIFS('[1]NS Vendor Details'!$D:$D,'[1]NS Vendor Details'!$H:$H,'G&amp;A Vendor x GL Analysis'!AB$20,'[1]NS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375</v>
      </c>
      <c r="AC64" s="18">
        <f>IF(AND(AC$15="Actual",ISBLANK($E$8)),SUMIFS('[1]NS Vendor Details'!$D:$D,'[1]NS Vendor Details'!$H:$H,'G&amp;A Vendor x GL Analysis'!AC$20,'[1]NS Vendor Details'!$L:$L,'G&amp;A Vendor x GL Analysis'!$D64,'[1]NS Vendor Details'!$O:$O,'G&amp;A Vendor x GL Analysis'!$F64,'[1]NS Vendor Details'!$N:$N,'G&amp;A Vendor x GL Analysis'!$C64,'[1]NS Vendor Details'!$I:$I,'G&amp;A Vendor x GL Analysis'!$E64),IF(AC$15="Actual",SUMIFS('[1]NS Vendor Details'!$D:$D,'[1]NS Vendor Details'!$H:$H,'G&amp;A Vendor x GL Analysis'!AC$20,'[1]NS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AD64" s="18">
        <f>IF(AND(AD$15="Actual",ISBLANK($E$8)),SUMIFS('[1]NS Vendor Details'!$D:$D,'[1]NS Vendor Details'!$H:$H,'G&amp;A Vendor x GL Analysis'!AD$20,'[1]NS Vendor Details'!$L:$L,'G&amp;A Vendor x GL Analysis'!$D64,'[1]NS Vendor Details'!$O:$O,'G&amp;A Vendor x GL Analysis'!$F64,'[1]NS Vendor Details'!$N:$N,'G&amp;A Vendor x GL Analysis'!$C64,'[1]NS Vendor Details'!$I:$I,'G&amp;A Vendor x GL Analysis'!$E64),IF(AD$15="Actual",SUMIFS('[1]NS Vendor Details'!$D:$D,'[1]NS Vendor Details'!$H:$H,'G&amp;A Vendor x GL Analysis'!AD$20,'[1]NS Vendor Details'!$L:$L,'G&amp;A Vendor x GL Analysis'!$D64,'[1]NS Vendor Details'!$O:$O,'G&amp;A Vendor x GL Analysis'!$F64,'[1]NS Vendor Details'!$N:$N,'G&amp;A Vendor x GL Analysis'!$C64,'[1]NS Vendor Details'!$K:$K,'G&amp;A Vendor x GL Analysis'!$E$8,'[1]NS Vendor Details'!$I:$I,'G&amp;A Vendor x GL Analysis'!$E64),0))</f>
        <v>0</v>
      </c>
      <c r="AF64" s="19">
        <f t="shared" si="9"/>
        <v>675</v>
      </c>
    </row>
    <row r="65" spans="1:32" outlineLevel="1">
      <c r="A65" s="8" t="str">
        <f t="shared" si="8"/>
        <v>Sample6360 - Model - Fitting</v>
      </c>
      <c r="C65" s="8" t="s">
        <v>11</v>
      </c>
      <c r="D65" s="8" t="str">
        <f t="shared" si="17"/>
        <v>Sample</v>
      </c>
      <c r="E65" s="2" t="s">
        <v>54</v>
      </c>
      <c r="F65" s="2" t="s">
        <v>57</v>
      </c>
      <c r="G65" s="16">
        <f>IF(AND(G$15="Actual",ISBLANK($E$8)),SUMIFS('[1]NS Vendor Details'!$D:$D,'[1]NS Vendor Details'!$H:$H,'G&amp;A Vendor x GL Analysis'!G$20,'[1]NS Vendor Details'!$L:$L,'G&amp;A Vendor x GL Analysis'!$D65,'[1]NS Vendor Details'!$O:$O,'G&amp;A Vendor x GL Analysis'!$F65,'[1]NS Vendor Details'!$N:$N,'G&amp;A Vendor x GL Analysis'!$C65),IF(G$15="Actual",SUMIFS('[1]NS Vendor Details'!$D:$D,'[1]NS Vendor Details'!$H:$H,'G&amp;A Vendor x GL Analysis'!G$20,'[1]NS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0</v>
      </c>
      <c r="H65" s="17">
        <f>IF(AND(H$15="Actual",ISBLANK($E$8)),SUMIFS('[1]NS Vendor Details'!$D:$D,'[1]NS Vendor Details'!$H:$H,'G&amp;A Vendor x GL Analysis'!H$20,'[1]NS Vendor Details'!$L:$L,'G&amp;A Vendor x GL Analysis'!$D65,'[1]NS Vendor Details'!$O:$O,'G&amp;A Vendor x GL Analysis'!$F65,'[1]NS Vendor Details'!$N:$N,'G&amp;A Vendor x GL Analysis'!$C65),IF(H$15="Actual",SUMIFS('[1]NS Vendor Details'!$D:$D,'[1]NS Vendor Details'!$H:$H,'G&amp;A Vendor x GL Analysis'!H$20,'[1]NS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0</v>
      </c>
      <c r="I65" s="17">
        <f>IF(AND(I$15="Actual",ISBLANK($E$8)),SUMIFS('[1]NS Vendor Details'!$D:$D,'[1]NS Vendor Details'!$H:$H,'G&amp;A Vendor x GL Analysis'!I$20,'[1]NS Vendor Details'!$L:$L,'G&amp;A Vendor x GL Analysis'!$D65,'[1]NS Vendor Details'!$O:$O,'G&amp;A Vendor x GL Analysis'!$F65,'[1]NS Vendor Details'!$N:$N,'G&amp;A Vendor x GL Analysis'!$C65),IF(I$15="Actual",SUMIFS('[1]NS Vendor Details'!$D:$D,'[1]NS Vendor Details'!$H:$H,'G&amp;A Vendor x GL Analysis'!I$20,'[1]NS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0</v>
      </c>
      <c r="J65" s="17">
        <f>IF(AND(J$15="Actual",ISBLANK($E$8)),SUMIFS('[1]NS Vendor Details'!$D:$D,'[1]NS Vendor Details'!$H:$H,'G&amp;A Vendor x GL Analysis'!J$20,'[1]NS Vendor Details'!$L:$L,'G&amp;A Vendor x GL Analysis'!$D65,'[1]NS Vendor Details'!$O:$O,'G&amp;A Vendor x GL Analysis'!$F65,'[1]NS Vendor Details'!$N:$N,'G&amp;A Vendor x GL Analysis'!$C65),IF(J$15="Actual",SUMIFS('[1]NS Vendor Details'!$D:$D,'[1]NS Vendor Details'!$H:$H,'G&amp;A Vendor x GL Analysis'!J$20,'[1]NS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600</v>
      </c>
      <c r="K65" s="17">
        <f>IF(AND(K$15="Actual",ISBLANK($E$8)),SUMIFS('[1]NS Vendor Details'!$D:$D,'[1]NS Vendor Details'!$H:$H,'G&amp;A Vendor x GL Analysis'!K$20,'[1]NS Vendor Details'!$L:$L,'G&amp;A Vendor x GL Analysis'!$D65,'[1]NS Vendor Details'!$O:$O,'G&amp;A Vendor x GL Analysis'!$F65,'[1]NS Vendor Details'!$N:$N,'G&amp;A Vendor x GL Analysis'!$C65),IF(K$15="Actual",SUMIFS('[1]NS Vendor Details'!$D:$D,'[1]NS Vendor Details'!$H:$H,'G&amp;A Vendor x GL Analysis'!K$20,'[1]NS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0</v>
      </c>
      <c r="L65" s="17">
        <f>IF(AND(L$15="Actual",ISBLANK($E$8)),SUMIFS('[1]NS Vendor Details'!$D:$D,'[1]NS Vendor Details'!$H:$H,'G&amp;A Vendor x GL Analysis'!L$20,'[1]NS Vendor Details'!$L:$L,'G&amp;A Vendor x GL Analysis'!$D65,'[1]NS Vendor Details'!$O:$O,'G&amp;A Vendor x GL Analysis'!$F65,'[1]NS Vendor Details'!$N:$N,'G&amp;A Vendor x GL Analysis'!$C65),IF(L$15="Actual",SUMIFS('[1]NS Vendor Details'!$D:$D,'[1]NS Vendor Details'!$H:$H,'G&amp;A Vendor x GL Analysis'!L$20,'[1]NS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0</v>
      </c>
      <c r="M65" s="17">
        <f>IF(AND(M$15="Actual",ISBLANK($E$8)),SUMIFS('[1]NS Vendor Details'!$D:$D,'[1]NS Vendor Details'!$H:$H,'G&amp;A Vendor x GL Analysis'!M$20,'[1]NS Vendor Details'!$L:$L,'G&amp;A Vendor x GL Analysis'!$D65,'[1]NS Vendor Details'!$O:$O,'G&amp;A Vendor x GL Analysis'!$F65,'[1]NS Vendor Details'!$N:$N,'G&amp;A Vendor x GL Analysis'!$C65),IF(M$15="Actual",SUMIFS('[1]NS Vendor Details'!$D:$D,'[1]NS Vendor Details'!$H:$H,'G&amp;A Vendor x GL Analysis'!M$20,'[1]NS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2000</v>
      </c>
      <c r="N65" s="17">
        <f>IF(AND(N$15="Actual",ISBLANK($E$8)),SUMIFS('[1]NS Vendor Details'!$D:$D,'[1]NS Vendor Details'!$H:$H,'G&amp;A Vendor x GL Analysis'!N$20,'[1]NS Vendor Details'!$L:$L,'G&amp;A Vendor x GL Analysis'!$D65,'[1]NS Vendor Details'!$O:$O,'G&amp;A Vendor x GL Analysis'!$F65,'[1]NS Vendor Details'!$N:$N,'G&amp;A Vendor x GL Analysis'!$C65),IF(N$15="Actual",SUMIFS('[1]NS Vendor Details'!$D:$D,'[1]NS Vendor Details'!$H:$H,'G&amp;A Vendor x GL Analysis'!N$20,'[1]NS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1100</v>
      </c>
      <c r="O65" s="17">
        <f>IF(AND(O$15="Actual",ISBLANK($E$8)),SUMIFS('[1]NS Vendor Details'!$D:$D,'[1]NS Vendor Details'!$H:$H,'G&amp;A Vendor x GL Analysis'!O$20,'[1]NS Vendor Details'!$L:$L,'G&amp;A Vendor x GL Analysis'!$D65,'[1]NS Vendor Details'!$O:$O,'G&amp;A Vendor x GL Analysis'!$F65,'[1]NS Vendor Details'!$N:$N,'G&amp;A Vendor x GL Analysis'!$C65),IF(O$15="Actual",SUMIFS('[1]NS Vendor Details'!$D:$D,'[1]NS Vendor Details'!$H:$H,'G&amp;A Vendor x GL Analysis'!O$20,'[1]NS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0</v>
      </c>
      <c r="P65" s="17">
        <f>IF(AND(P$15="Actual",ISBLANK($E$8)),SUMIFS('[1]NS Vendor Details'!$D:$D,'[1]NS Vendor Details'!$H:$H,'G&amp;A Vendor x GL Analysis'!P$20,'[1]NS Vendor Details'!$L:$L,'G&amp;A Vendor x GL Analysis'!$D65,'[1]NS Vendor Details'!$O:$O,'G&amp;A Vendor x GL Analysis'!$F65,'[1]NS Vendor Details'!$N:$N,'G&amp;A Vendor x GL Analysis'!$C65),IF(P$15="Actual",SUMIFS('[1]NS Vendor Details'!$D:$D,'[1]NS Vendor Details'!$H:$H,'G&amp;A Vendor x GL Analysis'!P$20,'[1]NS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0</v>
      </c>
      <c r="Q65" s="17">
        <f>IF(AND(Q$15="Actual",ISBLANK($E$8)),SUMIFS('[1]NS Vendor Details'!$D:$D,'[1]NS Vendor Details'!$H:$H,'G&amp;A Vendor x GL Analysis'!Q$20,'[1]NS Vendor Details'!$L:$L,'G&amp;A Vendor x GL Analysis'!$D65,'[1]NS Vendor Details'!$O:$O,'G&amp;A Vendor x GL Analysis'!$F65,'[1]NS Vendor Details'!$N:$N,'G&amp;A Vendor x GL Analysis'!$C65),IF(Q$15="Actual",SUMIFS('[1]NS Vendor Details'!$D:$D,'[1]NS Vendor Details'!$H:$H,'G&amp;A Vendor x GL Analysis'!Q$20,'[1]NS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0</v>
      </c>
      <c r="R65" s="18">
        <f>IF(AND(R$15="Actual",ISBLANK($E$8)),SUMIFS('[1]NS Vendor Details'!$D:$D,'[1]NS Vendor Details'!$H:$H,'G&amp;A Vendor x GL Analysis'!R$20,'[1]NS Vendor Details'!$L:$L,'G&amp;A Vendor x GL Analysis'!$D65,'[1]NS Vendor Details'!$O:$O,'G&amp;A Vendor x GL Analysis'!$F65,'[1]NS Vendor Details'!$N:$N,'G&amp;A Vendor x GL Analysis'!$C65),IF(R$15="Actual",SUMIFS('[1]NS Vendor Details'!$D:$D,'[1]NS Vendor Details'!$H:$H,'G&amp;A Vendor x GL Analysis'!R$20,'[1]NS Vendor Details'!$L:$L,'G&amp;A Vendor x GL Analysis'!$D65,'[1]NS Vendor Details'!$O:$O,'G&amp;A Vendor x GL Analysis'!$F65,'[1]NS Vendor Details'!$N:$N,'G&amp;A Vendor x GL Analysis'!$C65,'[1]NS Vendor Details'!$K:$K,'G&amp;A Vendor x GL Analysis'!$E$8),0))</f>
        <v>7600</v>
      </c>
      <c r="S65" s="16">
        <f>IF(AND(S$15="Actual",ISBLANK($E$8)),SUMIFS('[1]NS Vendor Details'!$D:$D,'[1]NS Vendor Details'!$H:$H,'G&amp;A Vendor x GL Analysis'!S$20,'[1]NS Vendor Details'!$L:$L,'G&amp;A Vendor x GL Analysis'!$D65,'[1]NS Vendor Details'!$O:$O,'G&amp;A Vendor x GL Analysis'!$F65,'[1]NS Vendor Details'!$N:$N,'G&amp;A Vendor x GL Analysis'!$C65,'[1]NS Vendor Details'!$I:$I,'G&amp;A Vendor x GL Analysis'!$E65),IF(S$15="Actual",SUMIFS('[1]NS Vendor Details'!$D:$D,'[1]NS Vendor Details'!$H:$H,'G&amp;A Vendor x GL Analysis'!S$20,'[1]NS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1500</v>
      </c>
      <c r="T65" s="17">
        <f>IF(AND(T$15="Actual",ISBLANK($E$8)),SUMIFS('[1]NS Vendor Details'!$D:$D,'[1]NS Vendor Details'!$H:$H,'G&amp;A Vendor x GL Analysis'!T$20,'[1]NS Vendor Details'!$L:$L,'G&amp;A Vendor x GL Analysis'!$D65,'[1]NS Vendor Details'!$O:$O,'G&amp;A Vendor x GL Analysis'!$F65,'[1]NS Vendor Details'!$N:$N,'G&amp;A Vendor x GL Analysis'!$C65,'[1]NS Vendor Details'!$I:$I,'G&amp;A Vendor x GL Analysis'!$E65),IF(T$15="Actual",SUMIFS('[1]NS Vendor Details'!$D:$D,'[1]NS Vendor Details'!$H:$H,'G&amp;A Vendor x GL Analysis'!T$20,'[1]NS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0</v>
      </c>
      <c r="U65" s="17">
        <f>IF(AND(U$15="Actual",ISBLANK($E$8)),SUMIFS('[1]NS Vendor Details'!$D:$D,'[1]NS Vendor Details'!$H:$H,'G&amp;A Vendor x GL Analysis'!U$20,'[1]NS Vendor Details'!$L:$L,'G&amp;A Vendor x GL Analysis'!$D65,'[1]NS Vendor Details'!$O:$O,'G&amp;A Vendor x GL Analysis'!$F65,'[1]NS Vendor Details'!$N:$N,'G&amp;A Vendor x GL Analysis'!$C65,'[1]NS Vendor Details'!$I:$I,'G&amp;A Vendor x GL Analysis'!$E65),IF(U$15="Actual",SUMIFS('[1]NS Vendor Details'!$D:$D,'[1]NS Vendor Details'!$H:$H,'G&amp;A Vendor x GL Analysis'!U$20,'[1]NS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1000</v>
      </c>
      <c r="V65" s="17">
        <f>IF(AND(V$15="Actual",ISBLANK($E$8)),SUMIFS('[1]NS Vendor Details'!$D:$D,'[1]NS Vendor Details'!$H:$H,'G&amp;A Vendor x GL Analysis'!V$20,'[1]NS Vendor Details'!$L:$L,'G&amp;A Vendor x GL Analysis'!$D65,'[1]NS Vendor Details'!$O:$O,'G&amp;A Vendor x GL Analysis'!$F65,'[1]NS Vendor Details'!$N:$N,'G&amp;A Vendor x GL Analysis'!$C65,'[1]NS Vendor Details'!$I:$I,'G&amp;A Vendor x GL Analysis'!$E65),IF(V$15="Actual",SUMIFS('[1]NS Vendor Details'!$D:$D,'[1]NS Vendor Details'!$H:$H,'G&amp;A Vendor x GL Analysis'!V$20,'[1]NS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1000</v>
      </c>
      <c r="W65" s="17">
        <f>IF(AND(W$15="Actual",ISBLANK($E$8)),SUMIFS('[1]NS Vendor Details'!$D:$D,'[1]NS Vendor Details'!$H:$H,'G&amp;A Vendor x GL Analysis'!W$20,'[1]NS Vendor Details'!$L:$L,'G&amp;A Vendor x GL Analysis'!$D65,'[1]NS Vendor Details'!$O:$O,'G&amp;A Vendor x GL Analysis'!$F65,'[1]NS Vendor Details'!$N:$N,'G&amp;A Vendor x GL Analysis'!$C65,'[1]NS Vendor Details'!$I:$I,'G&amp;A Vendor x GL Analysis'!$E65),IF(W$15="Actual",SUMIFS('[1]NS Vendor Details'!$D:$D,'[1]NS Vendor Details'!$H:$H,'G&amp;A Vendor x GL Analysis'!W$20,'[1]NS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0</v>
      </c>
      <c r="X65" s="17">
        <f>IF(AND(X$15="Actual",ISBLANK($E$8)),SUMIFS('[1]NS Vendor Details'!$D:$D,'[1]NS Vendor Details'!$H:$H,'G&amp;A Vendor x GL Analysis'!X$20,'[1]NS Vendor Details'!$L:$L,'G&amp;A Vendor x GL Analysis'!$D65,'[1]NS Vendor Details'!$O:$O,'G&amp;A Vendor x GL Analysis'!$F65,'[1]NS Vendor Details'!$N:$N,'G&amp;A Vendor x GL Analysis'!$C65,'[1]NS Vendor Details'!$I:$I,'G&amp;A Vendor x GL Analysis'!$E65),IF(X$15="Actual",SUMIFS('[1]NS Vendor Details'!$D:$D,'[1]NS Vendor Details'!$H:$H,'G&amp;A Vendor x GL Analysis'!X$20,'[1]NS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2100</v>
      </c>
      <c r="Y65" s="17">
        <f>IF(AND(Y$15="Actual",ISBLANK($E$8)),SUMIFS('[1]NS Vendor Details'!$D:$D,'[1]NS Vendor Details'!$H:$H,'G&amp;A Vendor x GL Analysis'!Y$20,'[1]NS Vendor Details'!$L:$L,'G&amp;A Vendor x GL Analysis'!$D65,'[1]NS Vendor Details'!$O:$O,'G&amp;A Vendor x GL Analysis'!$F65,'[1]NS Vendor Details'!$N:$N,'G&amp;A Vendor x GL Analysis'!$C65,'[1]NS Vendor Details'!$I:$I,'G&amp;A Vendor x GL Analysis'!$E65),IF(Y$15="Actual",SUMIFS('[1]NS Vendor Details'!$D:$D,'[1]NS Vendor Details'!$H:$H,'G&amp;A Vendor x GL Analysis'!Y$20,'[1]NS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1300</v>
      </c>
      <c r="Z65" s="17">
        <f>IF(AND(Z$15="Actual",ISBLANK($E$8)),SUMIFS('[1]NS Vendor Details'!$D:$D,'[1]NS Vendor Details'!$H:$H,'G&amp;A Vendor x GL Analysis'!Z$20,'[1]NS Vendor Details'!$L:$L,'G&amp;A Vendor x GL Analysis'!$D65,'[1]NS Vendor Details'!$O:$O,'G&amp;A Vendor x GL Analysis'!$F65,'[1]NS Vendor Details'!$N:$N,'G&amp;A Vendor x GL Analysis'!$C65,'[1]NS Vendor Details'!$I:$I,'G&amp;A Vendor x GL Analysis'!$E65),IF(Z$15="Actual",SUMIFS('[1]NS Vendor Details'!$D:$D,'[1]NS Vendor Details'!$H:$H,'G&amp;A Vendor x GL Analysis'!Z$20,'[1]NS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1350</v>
      </c>
      <c r="AA65" s="17">
        <f>IF(AND(AA$15="Actual",ISBLANK($E$8)),SUMIFS('[1]NS Vendor Details'!$D:$D,'[1]NS Vendor Details'!$H:$H,'G&amp;A Vendor x GL Analysis'!AA$20,'[1]NS Vendor Details'!$L:$L,'G&amp;A Vendor x GL Analysis'!$D65,'[1]NS Vendor Details'!$O:$O,'G&amp;A Vendor x GL Analysis'!$F65,'[1]NS Vendor Details'!$N:$N,'G&amp;A Vendor x GL Analysis'!$C65,'[1]NS Vendor Details'!$I:$I,'G&amp;A Vendor x GL Analysis'!$E65),IF(AA$15="Actual",SUMIFS('[1]NS Vendor Details'!$D:$D,'[1]NS Vendor Details'!$H:$H,'G&amp;A Vendor x GL Analysis'!AA$20,'[1]NS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900</v>
      </c>
      <c r="AB65" s="17">
        <f>IF(AND(AB$15="Actual",ISBLANK($E$8)),SUMIFS('[1]NS Vendor Details'!$D:$D,'[1]NS Vendor Details'!$H:$H,'G&amp;A Vendor x GL Analysis'!AB$20,'[1]NS Vendor Details'!$L:$L,'G&amp;A Vendor x GL Analysis'!$D65,'[1]NS Vendor Details'!$O:$O,'G&amp;A Vendor x GL Analysis'!$F65,'[1]NS Vendor Details'!$N:$N,'G&amp;A Vendor x GL Analysis'!$C65,'[1]NS Vendor Details'!$I:$I,'G&amp;A Vendor x GL Analysis'!$E65),IF(AB$15="Actual",SUMIFS('[1]NS Vendor Details'!$D:$D,'[1]NS Vendor Details'!$H:$H,'G&amp;A Vendor x GL Analysis'!AB$20,'[1]NS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0</v>
      </c>
      <c r="AC65" s="18">
        <f>IF(AND(AC$15="Actual",ISBLANK($E$8)),SUMIFS('[1]NS Vendor Details'!$D:$D,'[1]NS Vendor Details'!$H:$H,'G&amp;A Vendor x GL Analysis'!AC$20,'[1]NS Vendor Details'!$L:$L,'G&amp;A Vendor x GL Analysis'!$D65,'[1]NS Vendor Details'!$O:$O,'G&amp;A Vendor x GL Analysis'!$F65,'[1]NS Vendor Details'!$N:$N,'G&amp;A Vendor x GL Analysis'!$C65,'[1]NS Vendor Details'!$I:$I,'G&amp;A Vendor x GL Analysis'!$E65),IF(AC$15="Actual",SUMIFS('[1]NS Vendor Details'!$D:$D,'[1]NS Vendor Details'!$H:$H,'G&amp;A Vendor x GL Analysis'!AC$20,'[1]NS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750</v>
      </c>
      <c r="AD65" s="18">
        <f>IF(AND(AD$15="Actual",ISBLANK($E$8)),SUMIFS('[1]NS Vendor Details'!$D:$D,'[1]NS Vendor Details'!$H:$H,'G&amp;A Vendor x GL Analysis'!AD$20,'[1]NS Vendor Details'!$L:$L,'G&amp;A Vendor x GL Analysis'!$D65,'[1]NS Vendor Details'!$O:$O,'G&amp;A Vendor x GL Analysis'!$F65,'[1]NS Vendor Details'!$N:$N,'G&amp;A Vendor x GL Analysis'!$C65,'[1]NS Vendor Details'!$I:$I,'G&amp;A Vendor x GL Analysis'!$E65),IF(AD$15="Actual",SUMIFS('[1]NS Vendor Details'!$D:$D,'[1]NS Vendor Details'!$H:$H,'G&amp;A Vendor x GL Analysis'!AD$20,'[1]NS Vendor Details'!$L:$L,'G&amp;A Vendor x GL Analysis'!$D65,'[1]NS Vendor Details'!$O:$O,'G&amp;A Vendor x GL Analysis'!$F65,'[1]NS Vendor Details'!$N:$N,'G&amp;A Vendor x GL Analysis'!$C65,'[1]NS Vendor Details'!$K:$K,'G&amp;A Vendor x GL Analysis'!$E$8,'[1]NS Vendor Details'!$I:$I,'G&amp;A Vendor x GL Analysis'!$E65),0))</f>
        <v>0</v>
      </c>
      <c r="AF65" s="19">
        <f t="shared" si="9"/>
        <v>9900</v>
      </c>
    </row>
    <row r="66" spans="1:32" ht="15" outlineLevel="1">
      <c r="A66" s="8" t="str">
        <f t="shared" si="8"/>
        <v>Sample6363 - Development</v>
      </c>
      <c r="C66" s="8" t="s">
        <v>11</v>
      </c>
      <c r="D66" s="8" t="str">
        <f t="shared" si="17"/>
        <v>Sample</v>
      </c>
      <c r="E66" s="2" t="s">
        <v>58</v>
      </c>
      <c r="F66" s="2" t="s">
        <v>59</v>
      </c>
      <c r="G66" s="16">
        <f>IF(AND(G$15="Actual",ISBLANK($E$8)),SUMIFS('[1]NS Vendor Details'!$D:$D,'[1]NS Vendor Details'!$H:$H,'G&amp;A Vendor x GL Analysis'!G$20,'[1]NS Vendor Details'!$L:$L,'G&amp;A Vendor x GL Analysis'!$D66,'[1]NS Vendor Details'!$O:$O,'G&amp;A Vendor x GL Analysis'!$F66,'[1]NS Vendor Details'!$N:$N,'G&amp;A Vendor x GL Analysis'!$C66),IF(G$15="Actual",SUMIFS('[1]NS Vendor Details'!$D:$D,'[1]NS Vendor Details'!$H:$H,'G&amp;A Vendor x GL Analysis'!G$20,'[1]NS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0</v>
      </c>
      <c r="H66" s="17">
        <f>IF(AND(H$15="Actual",ISBLANK($E$8)),SUMIFS('[1]NS Vendor Details'!$D:$D,'[1]NS Vendor Details'!$H:$H,'G&amp;A Vendor x GL Analysis'!H$20,'[1]NS Vendor Details'!$L:$L,'G&amp;A Vendor x GL Analysis'!$D66,'[1]NS Vendor Details'!$O:$O,'G&amp;A Vendor x GL Analysis'!$F66,'[1]NS Vendor Details'!$N:$N,'G&amp;A Vendor x GL Analysis'!$C66),IF(H$15="Actual",SUMIFS('[1]NS Vendor Details'!$D:$D,'[1]NS Vendor Details'!$H:$H,'G&amp;A Vendor x GL Analysis'!H$20,'[1]NS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19.149999999999999</v>
      </c>
      <c r="I66" s="17">
        <f>IF(AND(I$15="Actual",ISBLANK($E$8)),SUMIFS('[1]NS Vendor Details'!$D:$D,'[1]NS Vendor Details'!$H:$H,'G&amp;A Vendor x GL Analysis'!I$20,'[1]NS Vendor Details'!$L:$L,'G&amp;A Vendor x GL Analysis'!$D66,'[1]NS Vendor Details'!$O:$O,'G&amp;A Vendor x GL Analysis'!$F66,'[1]NS Vendor Details'!$N:$N,'G&amp;A Vendor x GL Analysis'!$C66),IF(I$15="Actual",SUMIFS('[1]NS Vendor Details'!$D:$D,'[1]NS Vendor Details'!$H:$H,'G&amp;A Vendor x GL Analysis'!I$20,'[1]NS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1.22</v>
      </c>
      <c r="J66" s="17">
        <f>IF(AND(J$15="Actual",ISBLANK($E$8)),SUMIFS('[1]NS Vendor Details'!$D:$D,'[1]NS Vendor Details'!$H:$H,'G&amp;A Vendor x GL Analysis'!J$20,'[1]NS Vendor Details'!$L:$L,'G&amp;A Vendor x GL Analysis'!$D66,'[1]NS Vendor Details'!$O:$O,'G&amp;A Vendor x GL Analysis'!$F66,'[1]NS Vendor Details'!$N:$N,'G&amp;A Vendor x GL Analysis'!$C66),IF(J$15="Actual",SUMIFS('[1]NS Vendor Details'!$D:$D,'[1]NS Vendor Details'!$H:$H,'G&amp;A Vendor x GL Analysis'!J$20,'[1]NS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19.29</v>
      </c>
      <c r="K66" s="17">
        <f>IF(AND(K$15="Actual",ISBLANK($E$8)),SUMIFS('[1]NS Vendor Details'!$D:$D,'[1]NS Vendor Details'!$H:$H,'G&amp;A Vendor x GL Analysis'!K$20,'[1]NS Vendor Details'!$L:$L,'G&amp;A Vendor x GL Analysis'!$D66,'[1]NS Vendor Details'!$O:$O,'G&amp;A Vendor x GL Analysis'!$F66,'[1]NS Vendor Details'!$N:$N,'G&amp;A Vendor x GL Analysis'!$C66),IF(K$15="Actual",SUMIFS('[1]NS Vendor Details'!$D:$D,'[1]NS Vendor Details'!$H:$H,'G&amp;A Vendor x GL Analysis'!K$20,'[1]NS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955.46</v>
      </c>
      <c r="L66" s="17">
        <f>IF(AND(L$15="Actual",ISBLANK($E$8)),SUMIFS('[1]NS Vendor Details'!$D:$D,'[1]NS Vendor Details'!$H:$H,'G&amp;A Vendor x GL Analysis'!L$20,'[1]NS Vendor Details'!$L:$L,'G&amp;A Vendor x GL Analysis'!$D66,'[1]NS Vendor Details'!$O:$O,'G&amp;A Vendor x GL Analysis'!$F66,'[1]NS Vendor Details'!$N:$N,'G&amp;A Vendor x GL Analysis'!$C66),IF(L$15="Actual",SUMIFS('[1]NS Vendor Details'!$D:$D,'[1]NS Vendor Details'!$H:$H,'G&amp;A Vendor x GL Analysis'!L$20,'[1]NS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0</v>
      </c>
      <c r="M66" s="17">
        <f>IF(AND(M$15="Actual",ISBLANK($E$8)),SUMIFS('[1]NS Vendor Details'!$D:$D,'[1]NS Vendor Details'!$H:$H,'G&amp;A Vendor x GL Analysis'!M$20,'[1]NS Vendor Details'!$L:$L,'G&amp;A Vendor x GL Analysis'!$D66,'[1]NS Vendor Details'!$O:$O,'G&amp;A Vendor x GL Analysis'!$F66,'[1]NS Vendor Details'!$N:$N,'G&amp;A Vendor x GL Analysis'!$C66),IF(M$15="Actual",SUMIFS('[1]NS Vendor Details'!$D:$D,'[1]NS Vendor Details'!$H:$H,'G&amp;A Vendor x GL Analysis'!M$20,'[1]NS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705.57</v>
      </c>
      <c r="N66" s="17">
        <f>IF(AND(N$15="Actual",ISBLANK($E$8)),SUMIFS('[1]NS Vendor Details'!$D:$D,'[1]NS Vendor Details'!$H:$H,'G&amp;A Vendor x GL Analysis'!N$20,'[1]NS Vendor Details'!$L:$L,'G&amp;A Vendor x GL Analysis'!$D66,'[1]NS Vendor Details'!$O:$O,'G&amp;A Vendor x GL Analysis'!$F66,'[1]NS Vendor Details'!$N:$N,'G&amp;A Vendor x GL Analysis'!$C66),IF(N$15="Actual",SUMIFS('[1]NS Vendor Details'!$D:$D,'[1]NS Vendor Details'!$H:$H,'G&amp;A Vendor x GL Analysis'!N$20,'[1]NS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142.13999999999999</v>
      </c>
      <c r="O66" s="17">
        <f>IF(AND(O$15="Actual",ISBLANK($E$8)),SUMIFS('[1]NS Vendor Details'!$D:$D,'[1]NS Vendor Details'!$H:$H,'G&amp;A Vendor x GL Analysis'!O$20,'[1]NS Vendor Details'!$L:$L,'G&amp;A Vendor x GL Analysis'!$D66,'[1]NS Vendor Details'!$O:$O,'G&amp;A Vendor x GL Analysis'!$F66,'[1]NS Vendor Details'!$N:$N,'G&amp;A Vendor x GL Analysis'!$C66),IF(O$15="Actual",SUMIFS('[1]NS Vendor Details'!$D:$D,'[1]NS Vendor Details'!$H:$H,'G&amp;A Vendor x GL Analysis'!O$20,'[1]NS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243.76</v>
      </c>
      <c r="P66" s="17">
        <f>IF(AND(P$15="Actual",ISBLANK($E$8)),SUMIFS('[1]NS Vendor Details'!$D:$D,'[1]NS Vendor Details'!$H:$H,'G&amp;A Vendor x GL Analysis'!P$20,'[1]NS Vendor Details'!$L:$L,'G&amp;A Vendor x GL Analysis'!$D66,'[1]NS Vendor Details'!$O:$O,'G&amp;A Vendor x GL Analysis'!$F66,'[1]NS Vendor Details'!$N:$N,'G&amp;A Vendor x GL Analysis'!$C66),IF(P$15="Actual",SUMIFS('[1]NS Vendor Details'!$D:$D,'[1]NS Vendor Details'!$H:$H,'G&amp;A Vendor x GL Analysis'!P$20,'[1]NS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461.97999999999996</v>
      </c>
      <c r="Q66" s="17">
        <f>IF(AND(Q$15="Actual",ISBLANK($E$8)),SUMIFS('[1]NS Vendor Details'!$D:$D,'[1]NS Vendor Details'!$H:$H,'G&amp;A Vendor x GL Analysis'!Q$20,'[1]NS Vendor Details'!$L:$L,'G&amp;A Vendor x GL Analysis'!$D66,'[1]NS Vendor Details'!$O:$O,'G&amp;A Vendor x GL Analysis'!$F66,'[1]NS Vendor Details'!$N:$N,'G&amp;A Vendor x GL Analysis'!$C66),IF(Q$15="Actual",SUMIFS('[1]NS Vendor Details'!$D:$D,'[1]NS Vendor Details'!$H:$H,'G&amp;A Vendor x GL Analysis'!Q$20,'[1]NS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31.59</v>
      </c>
      <c r="R66" s="18">
        <f>IF(AND(R$15="Actual",ISBLANK($E$8)),SUMIFS('[1]NS Vendor Details'!$D:$D,'[1]NS Vendor Details'!$H:$H,'G&amp;A Vendor x GL Analysis'!R$20,'[1]NS Vendor Details'!$L:$L,'G&amp;A Vendor x GL Analysis'!$D66,'[1]NS Vendor Details'!$O:$O,'G&amp;A Vendor x GL Analysis'!$F66,'[1]NS Vendor Details'!$N:$N,'G&amp;A Vendor x GL Analysis'!$C66),IF(R$15="Actual",SUMIFS('[1]NS Vendor Details'!$D:$D,'[1]NS Vendor Details'!$H:$H,'G&amp;A Vendor x GL Analysis'!R$20,'[1]NS Vendor Details'!$L:$L,'G&amp;A Vendor x GL Analysis'!$D66,'[1]NS Vendor Details'!$O:$O,'G&amp;A Vendor x GL Analysis'!$F66,'[1]NS Vendor Details'!$N:$N,'G&amp;A Vendor x GL Analysis'!$C66,'[1]NS Vendor Details'!$K:$K,'G&amp;A Vendor x GL Analysis'!$E$8),0))</f>
        <v>0</v>
      </c>
      <c r="S66" s="16">
        <f>IF(AND(S$15="Actual",ISBLANK($E$8)),SUMIFS('[1]NS Vendor Details'!$D:$D,'[1]NS Vendor Details'!$H:$H,'G&amp;A Vendor x GL Analysis'!S$20,'[1]NS Vendor Details'!$L:$L,'G&amp;A Vendor x GL Analysis'!$D66,'[1]NS Vendor Details'!$O:$O,'G&amp;A Vendor x GL Analysis'!$F66,'[1]NS Vendor Details'!$N:$N,'G&amp;A Vendor x GL Analysis'!$C66,'[1]NS Vendor Details'!$I:$I,'G&amp;A Vendor x GL Analysis'!$E66),IF(S$15="Actual",SUMIFS('[1]NS Vendor Details'!$D:$D,'[1]NS Vendor Details'!$H:$H,'G&amp;A Vendor x GL Analysis'!S$20,'[1]NS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T66" s="17">
        <f>IF(AND(T$15="Actual",ISBLANK($E$8)),SUMIFS('[1]NS Vendor Details'!$D:$D,'[1]NS Vendor Details'!$H:$H,'G&amp;A Vendor x GL Analysis'!T$20,'[1]NS Vendor Details'!$L:$L,'G&amp;A Vendor x GL Analysis'!$D66,'[1]NS Vendor Details'!$O:$O,'G&amp;A Vendor x GL Analysis'!$F66,'[1]NS Vendor Details'!$N:$N,'G&amp;A Vendor x GL Analysis'!$C66,'[1]NS Vendor Details'!$I:$I,'G&amp;A Vendor x GL Analysis'!$E66),IF(T$15="Actual",SUMIFS('[1]NS Vendor Details'!$D:$D,'[1]NS Vendor Details'!$H:$H,'G&amp;A Vendor x GL Analysis'!T$20,'[1]NS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3493.5699999999997</v>
      </c>
      <c r="U66" s="17">
        <f>IF(AND(U$15="Actual",ISBLANK($E$8)),SUMIFS('[1]NS Vendor Details'!$D:$D,'[1]NS Vendor Details'!$H:$H,'G&amp;A Vendor x GL Analysis'!U$20,'[1]NS Vendor Details'!$L:$L,'G&amp;A Vendor x GL Analysis'!$D66,'[1]NS Vendor Details'!$O:$O,'G&amp;A Vendor x GL Analysis'!$F66,'[1]NS Vendor Details'!$N:$N,'G&amp;A Vendor x GL Analysis'!$C66,'[1]NS Vendor Details'!$I:$I,'G&amp;A Vendor x GL Analysis'!$E66),IF(U$15="Actual",SUMIFS('[1]NS Vendor Details'!$D:$D,'[1]NS Vendor Details'!$H:$H,'G&amp;A Vendor x GL Analysis'!U$20,'[1]NS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V66" s="17">
        <f>IF(AND(V$15="Actual",ISBLANK($E$8)),SUMIFS('[1]NS Vendor Details'!$D:$D,'[1]NS Vendor Details'!$H:$H,'G&amp;A Vendor x GL Analysis'!V$20,'[1]NS Vendor Details'!$L:$L,'G&amp;A Vendor x GL Analysis'!$D66,'[1]NS Vendor Details'!$O:$O,'G&amp;A Vendor x GL Analysis'!$F66,'[1]NS Vendor Details'!$N:$N,'G&amp;A Vendor x GL Analysis'!$C66,'[1]NS Vendor Details'!$I:$I,'G&amp;A Vendor x GL Analysis'!$E66),IF(V$15="Actual",SUMIFS('[1]NS Vendor Details'!$D:$D,'[1]NS Vendor Details'!$H:$H,'G&amp;A Vendor x GL Analysis'!V$20,'[1]NS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W66" s="17">
        <f>IF(AND(W$15="Actual",ISBLANK($E$8)),SUMIFS('[1]NS Vendor Details'!$D:$D,'[1]NS Vendor Details'!$H:$H,'G&amp;A Vendor x GL Analysis'!W$20,'[1]NS Vendor Details'!$L:$L,'G&amp;A Vendor x GL Analysis'!$D66,'[1]NS Vendor Details'!$O:$O,'G&amp;A Vendor x GL Analysis'!$F66,'[1]NS Vendor Details'!$N:$N,'G&amp;A Vendor x GL Analysis'!$C66,'[1]NS Vendor Details'!$I:$I,'G&amp;A Vendor x GL Analysis'!$E66),IF(W$15="Actual",SUMIFS('[1]NS Vendor Details'!$D:$D,'[1]NS Vendor Details'!$H:$H,'G&amp;A Vendor x GL Analysis'!W$20,'[1]NS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X66" s="17">
        <f>IF(AND(X$15="Actual",ISBLANK($E$8)),SUMIFS('[1]NS Vendor Details'!$D:$D,'[1]NS Vendor Details'!$H:$H,'G&amp;A Vendor x GL Analysis'!X$20,'[1]NS Vendor Details'!$L:$L,'G&amp;A Vendor x GL Analysis'!$D66,'[1]NS Vendor Details'!$O:$O,'G&amp;A Vendor x GL Analysis'!$F66,'[1]NS Vendor Details'!$N:$N,'G&amp;A Vendor x GL Analysis'!$C66,'[1]NS Vendor Details'!$I:$I,'G&amp;A Vendor x GL Analysis'!$E66),IF(X$15="Actual",SUMIFS('[1]NS Vendor Details'!$D:$D,'[1]NS Vendor Details'!$H:$H,'G&amp;A Vendor x GL Analysis'!X$20,'[1]NS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Y66" s="17">
        <f>IF(AND(Y$15="Actual",ISBLANK($E$8)),SUMIFS('[1]NS Vendor Details'!$D:$D,'[1]NS Vendor Details'!$H:$H,'G&amp;A Vendor x GL Analysis'!Y$20,'[1]NS Vendor Details'!$L:$L,'G&amp;A Vendor x GL Analysis'!$D66,'[1]NS Vendor Details'!$O:$O,'G&amp;A Vendor x GL Analysis'!$F66,'[1]NS Vendor Details'!$N:$N,'G&amp;A Vendor x GL Analysis'!$C66,'[1]NS Vendor Details'!$I:$I,'G&amp;A Vendor x GL Analysis'!$E66),IF(Y$15="Actual",SUMIFS('[1]NS Vendor Details'!$D:$D,'[1]NS Vendor Details'!$H:$H,'G&amp;A Vendor x GL Analysis'!Y$20,'[1]NS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Z66" s="17">
        <f>IF(AND(Z$15="Actual",ISBLANK($E$8)),SUMIFS('[1]NS Vendor Details'!$D:$D,'[1]NS Vendor Details'!$H:$H,'G&amp;A Vendor x GL Analysis'!Z$20,'[1]NS Vendor Details'!$L:$L,'G&amp;A Vendor x GL Analysis'!$D66,'[1]NS Vendor Details'!$O:$O,'G&amp;A Vendor x GL Analysis'!$F66,'[1]NS Vendor Details'!$N:$N,'G&amp;A Vendor x GL Analysis'!$C66,'[1]NS Vendor Details'!$I:$I,'G&amp;A Vendor x GL Analysis'!$E66),IF(Z$15="Actual",SUMIFS('[1]NS Vendor Details'!$D:$D,'[1]NS Vendor Details'!$H:$H,'G&amp;A Vendor x GL Analysis'!Z$20,'[1]NS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1885.81</v>
      </c>
      <c r="AA66" s="17">
        <f>IF(AND(AA$15="Actual",ISBLANK($E$8)),SUMIFS('[1]NS Vendor Details'!$D:$D,'[1]NS Vendor Details'!$H:$H,'G&amp;A Vendor x GL Analysis'!AA$20,'[1]NS Vendor Details'!$L:$L,'G&amp;A Vendor x GL Analysis'!$D66,'[1]NS Vendor Details'!$O:$O,'G&amp;A Vendor x GL Analysis'!$F66,'[1]NS Vendor Details'!$N:$N,'G&amp;A Vendor x GL Analysis'!$C66,'[1]NS Vendor Details'!$I:$I,'G&amp;A Vendor x GL Analysis'!$E66),IF(AA$15="Actual",SUMIFS('[1]NS Vendor Details'!$D:$D,'[1]NS Vendor Details'!$H:$H,'G&amp;A Vendor x GL Analysis'!AA$20,'[1]NS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AB66" s="17">
        <f>IF(AND(AB$15="Actual",ISBLANK($E$8)),SUMIFS('[1]NS Vendor Details'!$D:$D,'[1]NS Vendor Details'!$H:$H,'G&amp;A Vendor x GL Analysis'!AB$20,'[1]NS Vendor Details'!$L:$L,'G&amp;A Vendor x GL Analysis'!$D66,'[1]NS Vendor Details'!$O:$O,'G&amp;A Vendor x GL Analysis'!$F66,'[1]NS Vendor Details'!$N:$N,'G&amp;A Vendor x GL Analysis'!$C66,'[1]NS Vendor Details'!$I:$I,'G&amp;A Vendor x GL Analysis'!$E66),IF(AB$15="Actual",SUMIFS('[1]NS Vendor Details'!$D:$D,'[1]NS Vendor Details'!$H:$H,'G&amp;A Vendor x GL Analysis'!AB$20,'[1]NS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AC66" s="18">
        <f>IF(AND(AC$15="Actual",ISBLANK($E$8)),SUMIFS('[1]NS Vendor Details'!$D:$D,'[1]NS Vendor Details'!$H:$H,'G&amp;A Vendor x GL Analysis'!AC$20,'[1]NS Vendor Details'!$L:$L,'G&amp;A Vendor x GL Analysis'!$D66,'[1]NS Vendor Details'!$O:$O,'G&amp;A Vendor x GL Analysis'!$F66,'[1]NS Vendor Details'!$N:$N,'G&amp;A Vendor x GL Analysis'!$C66,'[1]NS Vendor Details'!$I:$I,'G&amp;A Vendor x GL Analysis'!$E66),IF(AC$15="Actual",SUMIFS('[1]NS Vendor Details'!$D:$D,'[1]NS Vendor Details'!$H:$H,'G&amp;A Vendor x GL Analysis'!AC$20,'[1]NS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AD66" s="18">
        <f>IF(AND(AD$15="Actual",ISBLANK($E$8)),SUMIFS('[1]NS Vendor Details'!$D:$D,'[1]NS Vendor Details'!$H:$H,'G&amp;A Vendor x GL Analysis'!AD$20,'[1]NS Vendor Details'!$L:$L,'G&amp;A Vendor x GL Analysis'!$D66,'[1]NS Vendor Details'!$O:$O,'G&amp;A Vendor x GL Analysis'!$F66,'[1]NS Vendor Details'!$N:$N,'G&amp;A Vendor x GL Analysis'!$C66,'[1]NS Vendor Details'!$I:$I,'G&amp;A Vendor x GL Analysis'!$E66),IF(AD$15="Actual",SUMIFS('[1]NS Vendor Details'!$D:$D,'[1]NS Vendor Details'!$H:$H,'G&amp;A Vendor x GL Analysis'!AD$20,'[1]NS Vendor Details'!$L:$L,'G&amp;A Vendor x GL Analysis'!$D66,'[1]NS Vendor Details'!$O:$O,'G&amp;A Vendor x GL Analysis'!$F66,'[1]NS Vendor Details'!$N:$N,'G&amp;A Vendor x GL Analysis'!$C66,'[1]NS Vendor Details'!$K:$K,'G&amp;A Vendor x GL Analysis'!$E$8,'[1]NS Vendor Details'!$I:$I,'G&amp;A Vendor x GL Analysis'!$E66),0))</f>
        <v>0</v>
      </c>
      <c r="AF66" s="15">
        <f t="shared" si="9"/>
        <v>5379.3799999999992</v>
      </c>
    </row>
    <row r="67" spans="1:32" outlineLevel="1">
      <c r="A67" s="8" t="str">
        <f t="shared" si="8"/>
        <v>Sample6363 - Development</v>
      </c>
      <c r="C67" s="8" t="s">
        <v>11</v>
      </c>
      <c r="D67" s="8" t="str">
        <f t="shared" si="17"/>
        <v>Sample</v>
      </c>
      <c r="E67" s="2" t="s">
        <v>58</v>
      </c>
      <c r="F67" s="2" t="s">
        <v>60</v>
      </c>
      <c r="G67" s="16">
        <f>IF(AND(G$15="Actual",ISBLANK($E$8)),SUMIFS('[1]NS Vendor Details'!$D:$D,'[1]NS Vendor Details'!$H:$H,'G&amp;A Vendor x GL Analysis'!G$20,'[1]NS Vendor Details'!$L:$L,'G&amp;A Vendor x GL Analysis'!$D67,'[1]NS Vendor Details'!$O:$O,'G&amp;A Vendor x GL Analysis'!$F67,'[1]NS Vendor Details'!$N:$N,'G&amp;A Vendor x GL Analysis'!$C67),IF(G$15="Actual",SUMIFS('[1]NS Vendor Details'!$D:$D,'[1]NS Vendor Details'!$H:$H,'G&amp;A Vendor x GL Analysis'!G$20,'[1]NS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0</v>
      </c>
      <c r="H67" s="17">
        <f>IF(AND(H$15="Actual",ISBLANK($E$8)),SUMIFS('[1]NS Vendor Details'!$D:$D,'[1]NS Vendor Details'!$H:$H,'G&amp;A Vendor x GL Analysis'!H$20,'[1]NS Vendor Details'!$L:$L,'G&amp;A Vendor x GL Analysis'!$D67,'[1]NS Vendor Details'!$O:$O,'G&amp;A Vendor x GL Analysis'!$F67,'[1]NS Vendor Details'!$N:$N,'G&amp;A Vendor x GL Analysis'!$C67),IF(H$15="Actual",SUMIFS('[1]NS Vendor Details'!$D:$D,'[1]NS Vendor Details'!$H:$H,'G&amp;A Vendor x GL Analysis'!H$20,'[1]NS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37222.1</v>
      </c>
      <c r="I67" s="17">
        <f>IF(AND(I$15="Actual",ISBLANK($E$8)),SUMIFS('[1]NS Vendor Details'!$D:$D,'[1]NS Vendor Details'!$H:$H,'G&amp;A Vendor x GL Analysis'!I$20,'[1]NS Vendor Details'!$L:$L,'G&amp;A Vendor x GL Analysis'!$D67,'[1]NS Vendor Details'!$O:$O,'G&amp;A Vendor x GL Analysis'!$F67,'[1]NS Vendor Details'!$N:$N,'G&amp;A Vendor x GL Analysis'!$C67),IF(I$15="Actual",SUMIFS('[1]NS Vendor Details'!$D:$D,'[1]NS Vendor Details'!$H:$H,'G&amp;A Vendor x GL Analysis'!I$20,'[1]NS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0</v>
      </c>
      <c r="J67" s="17">
        <f>IF(AND(J$15="Actual",ISBLANK($E$8)),SUMIFS('[1]NS Vendor Details'!$D:$D,'[1]NS Vendor Details'!$H:$H,'G&amp;A Vendor x GL Analysis'!J$20,'[1]NS Vendor Details'!$L:$L,'G&amp;A Vendor x GL Analysis'!$D67,'[1]NS Vendor Details'!$O:$O,'G&amp;A Vendor x GL Analysis'!$F67,'[1]NS Vendor Details'!$N:$N,'G&amp;A Vendor x GL Analysis'!$C67),IF(J$15="Actual",SUMIFS('[1]NS Vendor Details'!$D:$D,'[1]NS Vendor Details'!$H:$H,'G&amp;A Vendor x GL Analysis'!J$20,'[1]NS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0</v>
      </c>
      <c r="K67" s="17">
        <f>IF(AND(K$15="Actual",ISBLANK($E$8)),SUMIFS('[1]NS Vendor Details'!$D:$D,'[1]NS Vendor Details'!$H:$H,'G&amp;A Vendor x GL Analysis'!K$20,'[1]NS Vendor Details'!$L:$L,'G&amp;A Vendor x GL Analysis'!$D67,'[1]NS Vendor Details'!$O:$O,'G&amp;A Vendor x GL Analysis'!$F67,'[1]NS Vendor Details'!$N:$N,'G&amp;A Vendor x GL Analysis'!$C67),IF(K$15="Actual",SUMIFS('[1]NS Vendor Details'!$D:$D,'[1]NS Vendor Details'!$H:$H,'G&amp;A Vendor x GL Analysis'!K$20,'[1]NS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8957.9</v>
      </c>
      <c r="L67" s="17">
        <f>IF(AND(L$15="Actual",ISBLANK($E$8)),SUMIFS('[1]NS Vendor Details'!$D:$D,'[1]NS Vendor Details'!$H:$H,'G&amp;A Vendor x GL Analysis'!L$20,'[1]NS Vendor Details'!$L:$L,'G&amp;A Vendor x GL Analysis'!$D67,'[1]NS Vendor Details'!$O:$O,'G&amp;A Vendor x GL Analysis'!$F67,'[1]NS Vendor Details'!$N:$N,'G&amp;A Vendor x GL Analysis'!$C67),IF(L$15="Actual",SUMIFS('[1]NS Vendor Details'!$D:$D,'[1]NS Vendor Details'!$H:$H,'G&amp;A Vendor x GL Analysis'!L$20,'[1]NS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9566.9500000000007</v>
      </c>
      <c r="M67" s="17">
        <f>IF(AND(M$15="Actual",ISBLANK($E$8)),SUMIFS('[1]NS Vendor Details'!$D:$D,'[1]NS Vendor Details'!$H:$H,'G&amp;A Vendor x GL Analysis'!M$20,'[1]NS Vendor Details'!$L:$L,'G&amp;A Vendor x GL Analysis'!$D67,'[1]NS Vendor Details'!$O:$O,'G&amp;A Vendor x GL Analysis'!$F67,'[1]NS Vendor Details'!$N:$N,'G&amp;A Vendor x GL Analysis'!$C67),IF(M$15="Actual",SUMIFS('[1]NS Vendor Details'!$D:$D,'[1]NS Vendor Details'!$H:$H,'G&amp;A Vendor x GL Analysis'!M$20,'[1]NS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1300</v>
      </c>
      <c r="N67" s="17">
        <f>IF(AND(N$15="Actual",ISBLANK($E$8)),SUMIFS('[1]NS Vendor Details'!$D:$D,'[1]NS Vendor Details'!$H:$H,'G&amp;A Vendor x GL Analysis'!N$20,'[1]NS Vendor Details'!$L:$L,'G&amp;A Vendor x GL Analysis'!$D67,'[1]NS Vendor Details'!$O:$O,'G&amp;A Vendor x GL Analysis'!$F67,'[1]NS Vendor Details'!$N:$N,'G&amp;A Vendor x GL Analysis'!$C67),IF(N$15="Actual",SUMIFS('[1]NS Vendor Details'!$D:$D,'[1]NS Vendor Details'!$H:$H,'G&amp;A Vendor x GL Analysis'!N$20,'[1]NS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29885.3</v>
      </c>
      <c r="O67" s="17">
        <f>IF(AND(O$15="Actual",ISBLANK($E$8)),SUMIFS('[1]NS Vendor Details'!$D:$D,'[1]NS Vendor Details'!$H:$H,'G&amp;A Vendor x GL Analysis'!O$20,'[1]NS Vendor Details'!$L:$L,'G&amp;A Vendor x GL Analysis'!$D67,'[1]NS Vendor Details'!$O:$O,'G&amp;A Vendor x GL Analysis'!$F67,'[1]NS Vendor Details'!$N:$N,'G&amp;A Vendor x GL Analysis'!$C67),IF(O$15="Actual",SUMIFS('[1]NS Vendor Details'!$D:$D,'[1]NS Vendor Details'!$H:$H,'G&amp;A Vendor x GL Analysis'!O$20,'[1]NS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1127.44</v>
      </c>
      <c r="P67" s="17">
        <f>IF(AND(P$15="Actual",ISBLANK($E$8)),SUMIFS('[1]NS Vendor Details'!$D:$D,'[1]NS Vendor Details'!$H:$H,'G&amp;A Vendor x GL Analysis'!P$20,'[1]NS Vendor Details'!$L:$L,'G&amp;A Vendor x GL Analysis'!$D67,'[1]NS Vendor Details'!$O:$O,'G&amp;A Vendor x GL Analysis'!$F67,'[1]NS Vendor Details'!$N:$N,'G&amp;A Vendor x GL Analysis'!$C67),IF(P$15="Actual",SUMIFS('[1]NS Vendor Details'!$D:$D,'[1]NS Vendor Details'!$H:$H,'G&amp;A Vendor x GL Analysis'!P$20,'[1]NS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8795.5600000000013</v>
      </c>
      <c r="Q67" s="17">
        <f>IF(AND(Q$15="Actual",ISBLANK($E$8)),SUMIFS('[1]NS Vendor Details'!$D:$D,'[1]NS Vendor Details'!$H:$H,'G&amp;A Vendor x GL Analysis'!Q$20,'[1]NS Vendor Details'!$L:$L,'G&amp;A Vendor x GL Analysis'!$D67,'[1]NS Vendor Details'!$O:$O,'G&amp;A Vendor x GL Analysis'!$F67,'[1]NS Vendor Details'!$N:$N,'G&amp;A Vendor x GL Analysis'!$C67),IF(Q$15="Actual",SUMIFS('[1]NS Vendor Details'!$D:$D,'[1]NS Vendor Details'!$H:$H,'G&amp;A Vendor x GL Analysis'!Q$20,'[1]NS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0</v>
      </c>
      <c r="R67" s="18">
        <f>IF(AND(R$15="Actual",ISBLANK($E$8)),SUMIFS('[1]NS Vendor Details'!$D:$D,'[1]NS Vendor Details'!$H:$H,'G&amp;A Vendor x GL Analysis'!R$20,'[1]NS Vendor Details'!$L:$L,'G&amp;A Vendor x GL Analysis'!$D67,'[1]NS Vendor Details'!$O:$O,'G&amp;A Vendor x GL Analysis'!$F67,'[1]NS Vendor Details'!$N:$N,'G&amp;A Vendor x GL Analysis'!$C67),IF(R$15="Actual",SUMIFS('[1]NS Vendor Details'!$D:$D,'[1]NS Vendor Details'!$H:$H,'G&amp;A Vendor x GL Analysis'!R$20,'[1]NS Vendor Details'!$L:$L,'G&amp;A Vendor x GL Analysis'!$D67,'[1]NS Vendor Details'!$O:$O,'G&amp;A Vendor x GL Analysis'!$F67,'[1]NS Vendor Details'!$N:$N,'G&amp;A Vendor x GL Analysis'!$C67,'[1]NS Vendor Details'!$K:$K,'G&amp;A Vendor x GL Analysis'!$E$8),0))</f>
        <v>0</v>
      </c>
      <c r="S67" s="16">
        <f>IF(AND(S$15="Actual",ISBLANK($E$8)),SUMIFS('[1]NS Vendor Details'!$D:$D,'[1]NS Vendor Details'!$H:$H,'G&amp;A Vendor x GL Analysis'!S$20,'[1]NS Vendor Details'!$L:$L,'G&amp;A Vendor x GL Analysis'!$D67,'[1]NS Vendor Details'!$O:$O,'G&amp;A Vendor x GL Analysis'!$F67,'[1]NS Vendor Details'!$N:$N,'G&amp;A Vendor x GL Analysis'!$C67,'[1]NS Vendor Details'!$I:$I,'G&amp;A Vendor x GL Analysis'!$E67),IF(S$15="Actual",SUMIFS('[1]NS Vendor Details'!$D:$D,'[1]NS Vendor Details'!$H:$H,'G&amp;A Vendor x GL Analysis'!S$20,'[1]NS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33542.5</v>
      </c>
      <c r="T67" s="17">
        <f>IF(AND(T$15="Actual",ISBLANK($E$8)),SUMIFS('[1]NS Vendor Details'!$D:$D,'[1]NS Vendor Details'!$H:$H,'G&amp;A Vendor x GL Analysis'!T$20,'[1]NS Vendor Details'!$L:$L,'G&amp;A Vendor x GL Analysis'!$D67,'[1]NS Vendor Details'!$O:$O,'G&amp;A Vendor x GL Analysis'!$F67,'[1]NS Vendor Details'!$N:$N,'G&amp;A Vendor x GL Analysis'!$C67,'[1]NS Vendor Details'!$I:$I,'G&amp;A Vendor x GL Analysis'!$E67),IF(T$15="Actual",SUMIFS('[1]NS Vendor Details'!$D:$D,'[1]NS Vendor Details'!$H:$H,'G&amp;A Vendor x GL Analysis'!T$20,'[1]NS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0</v>
      </c>
      <c r="U67" s="17">
        <f>IF(AND(U$15="Actual",ISBLANK($E$8)),SUMIFS('[1]NS Vendor Details'!$D:$D,'[1]NS Vendor Details'!$H:$H,'G&amp;A Vendor x GL Analysis'!U$20,'[1]NS Vendor Details'!$L:$L,'G&amp;A Vendor x GL Analysis'!$D67,'[1]NS Vendor Details'!$O:$O,'G&amp;A Vendor x GL Analysis'!$F67,'[1]NS Vendor Details'!$N:$N,'G&amp;A Vendor x GL Analysis'!$C67,'[1]NS Vendor Details'!$I:$I,'G&amp;A Vendor x GL Analysis'!$E67),IF(U$15="Actual",SUMIFS('[1]NS Vendor Details'!$D:$D,'[1]NS Vendor Details'!$H:$H,'G&amp;A Vendor x GL Analysis'!U$20,'[1]NS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0</v>
      </c>
      <c r="V67" s="17">
        <f>IF(AND(V$15="Actual",ISBLANK($E$8)),SUMIFS('[1]NS Vendor Details'!$D:$D,'[1]NS Vendor Details'!$H:$H,'G&amp;A Vendor x GL Analysis'!V$20,'[1]NS Vendor Details'!$L:$L,'G&amp;A Vendor x GL Analysis'!$D67,'[1]NS Vendor Details'!$O:$O,'G&amp;A Vendor x GL Analysis'!$F67,'[1]NS Vendor Details'!$N:$N,'G&amp;A Vendor x GL Analysis'!$C67,'[1]NS Vendor Details'!$I:$I,'G&amp;A Vendor x GL Analysis'!$E67),IF(V$15="Actual",SUMIFS('[1]NS Vendor Details'!$D:$D,'[1]NS Vendor Details'!$H:$H,'G&amp;A Vendor x GL Analysis'!V$20,'[1]NS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4151.25</v>
      </c>
      <c r="W67" s="17">
        <f>IF(AND(W$15="Actual",ISBLANK($E$8)),SUMIFS('[1]NS Vendor Details'!$D:$D,'[1]NS Vendor Details'!$H:$H,'G&amp;A Vendor x GL Analysis'!W$20,'[1]NS Vendor Details'!$L:$L,'G&amp;A Vendor x GL Analysis'!$D67,'[1]NS Vendor Details'!$O:$O,'G&amp;A Vendor x GL Analysis'!$F67,'[1]NS Vendor Details'!$N:$N,'G&amp;A Vendor x GL Analysis'!$C67,'[1]NS Vendor Details'!$I:$I,'G&amp;A Vendor x GL Analysis'!$E67),IF(W$15="Actual",SUMIFS('[1]NS Vendor Details'!$D:$D,'[1]NS Vendor Details'!$H:$H,'G&amp;A Vendor x GL Analysis'!W$20,'[1]NS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0</v>
      </c>
      <c r="X67" s="17">
        <f>IF(AND(X$15="Actual",ISBLANK($E$8)),SUMIFS('[1]NS Vendor Details'!$D:$D,'[1]NS Vendor Details'!$H:$H,'G&amp;A Vendor x GL Analysis'!X$20,'[1]NS Vendor Details'!$L:$L,'G&amp;A Vendor x GL Analysis'!$D67,'[1]NS Vendor Details'!$O:$O,'G&amp;A Vendor x GL Analysis'!$F67,'[1]NS Vendor Details'!$N:$N,'G&amp;A Vendor x GL Analysis'!$C67,'[1]NS Vendor Details'!$I:$I,'G&amp;A Vendor x GL Analysis'!$E67),IF(X$15="Actual",SUMIFS('[1]NS Vendor Details'!$D:$D,'[1]NS Vendor Details'!$H:$H,'G&amp;A Vendor x GL Analysis'!X$20,'[1]NS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0</v>
      </c>
      <c r="Y67" s="17">
        <f>IF(AND(Y$15="Actual",ISBLANK($E$8)),SUMIFS('[1]NS Vendor Details'!$D:$D,'[1]NS Vendor Details'!$H:$H,'G&amp;A Vendor x GL Analysis'!Y$20,'[1]NS Vendor Details'!$L:$L,'G&amp;A Vendor x GL Analysis'!$D67,'[1]NS Vendor Details'!$O:$O,'G&amp;A Vendor x GL Analysis'!$F67,'[1]NS Vendor Details'!$N:$N,'G&amp;A Vendor x GL Analysis'!$C67,'[1]NS Vendor Details'!$I:$I,'G&amp;A Vendor x GL Analysis'!$E67),IF(Y$15="Actual",SUMIFS('[1]NS Vendor Details'!$D:$D,'[1]NS Vendor Details'!$H:$H,'G&amp;A Vendor x GL Analysis'!Y$20,'[1]NS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2422</v>
      </c>
      <c r="Z67" s="17">
        <f>IF(AND(Z$15="Actual",ISBLANK($E$8)),SUMIFS('[1]NS Vendor Details'!$D:$D,'[1]NS Vendor Details'!$H:$H,'G&amp;A Vendor x GL Analysis'!Z$20,'[1]NS Vendor Details'!$L:$L,'G&amp;A Vendor x GL Analysis'!$D67,'[1]NS Vendor Details'!$O:$O,'G&amp;A Vendor x GL Analysis'!$F67,'[1]NS Vendor Details'!$N:$N,'G&amp;A Vendor x GL Analysis'!$C67,'[1]NS Vendor Details'!$I:$I,'G&amp;A Vendor x GL Analysis'!$E67),IF(Z$15="Actual",SUMIFS('[1]NS Vendor Details'!$D:$D,'[1]NS Vendor Details'!$H:$H,'G&amp;A Vendor x GL Analysis'!Z$20,'[1]NS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0</v>
      </c>
      <c r="AA67" s="17">
        <f>IF(AND(AA$15="Actual",ISBLANK($E$8)),SUMIFS('[1]NS Vendor Details'!$D:$D,'[1]NS Vendor Details'!$H:$H,'G&amp;A Vendor x GL Analysis'!AA$20,'[1]NS Vendor Details'!$L:$L,'G&amp;A Vendor x GL Analysis'!$D67,'[1]NS Vendor Details'!$O:$O,'G&amp;A Vendor x GL Analysis'!$F67,'[1]NS Vendor Details'!$N:$N,'G&amp;A Vendor x GL Analysis'!$C67,'[1]NS Vendor Details'!$I:$I,'G&amp;A Vendor x GL Analysis'!$E67),IF(AA$15="Actual",SUMIFS('[1]NS Vendor Details'!$D:$D,'[1]NS Vendor Details'!$H:$H,'G&amp;A Vendor x GL Analysis'!AA$20,'[1]NS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0</v>
      </c>
      <c r="AB67" s="17">
        <f>IF(AND(AB$15="Actual",ISBLANK($E$8)),SUMIFS('[1]NS Vendor Details'!$D:$D,'[1]NS Vendor Details'!$H:$H,'G&amp;A Vendor x GL Analysis'!AB$20,'[1]NS Vendor Details'!$L:$L,'G&amp;A Vendor x GL Analysis'!$D67,'[1]NS Vendor Details'!$O:$O,'G&amp;A Vendor x GL Analysis'!$F67,'[1]NS Vendor Details'!$N:$N,'G&amp;A Vendor x GL Analysis'!$C67,'[1]NS Vendor Details'!$I:$I,'G&amp;A Vendor x GL Analysis'!$E67),IF(AB$15="Actual",SUMIFS('[1]NS Vendor Details'!$D:$D,'[1]NS Vendor Details'!$H:$H,'G&amp;A Vendor x GL Analysis'!AB$20,'[1]NS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42492</v>
      </c>
      <c r="AC67" s="18">
        <f>IF(AND(AC$15="Actual",ISBLANK($E$8)),SUMIFS('[1]NS Vendor Details'!$D:$D,'[1]NS Vendor Details'!$H:$H,'G&amp;A Vendor x GL Analysis'!AC$20,'[1]NS Vendor Details'!$L:$L,'G&amp;A Vendor x GL Analysis'!$D67,'[1]NS Vendor Details'!$O:$O,'G&amp;A Vendor x GL Analysis'!$F67,'[1]NS Vendor Details'!$N:$N,'G&amp;A Vendor x GL Analysis'!$C67,'[1]NS Vendor Details'!$I:$I,'G&amp;A Vendor x GL Analysis'!$E67),IF(AC$15="Actual",SUMIFS('[1]NS Vendor Details'!$D:$D,'[1]NS Vendor Details'!$H:$H,'G&amp;A Vendor x GL Analysis'!AC$20,'[1]NS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0</v>
      </c>
      <c r="AD67" s="18">
        <f>IF(AND(AD$15="Actual",ISBLANK($E$8)),SUMIFS('[1]NS Vendor Details'!$D:$D,'[1]NS Vendor Details'!$H:$H,'G&amp;A Vendor x GL Analysis'!AD$20,'[1]NS Vendor Details'!$L:$L,'G&amp;A Vendor x GL Analysis'!$D67,'[1]NS Vendor Details'!$O:$O,'G&amp;A Vendor x GL Analysis'!$F67,'[1]NS Vendor Details'!$N:$N,'G&amp;A Vendor x GL Analysis'!$C67,'[1]NS Vendor Details'!$I:$I,'G&amp;A Vendor x GL Analysis'!$E67),IF(AD$15="Actual",SUMIFS('[1]NS Vendor Details'!$D:$D,'[1]NS Vendor Details'!$H:$H,'G&amp;A Vendor x GL Analysis'!AD$20,'[1]NS Vendor Details'!$L:$L,'G&amp;A Vendor x GL Analysis'!$D67,'[1]NS Vendor Details'!$O:$O,'G&amp;A Vendor x GL Analysis'!$F67,'[1]NS Vendor Details'!$N:$N,'G&amp;A Vendor x GL Analysis'!$C67,'[1]NS Vendor Details'!$K:$K,'G&amp;A Vendor x GL Analysis'!$E$8,'[1]NS Vendor Details'!$I:$I,'G&amp;A Vendor x GL Analysis'!$E67),0))</f>
        <v>0</v>
      </c>
      <c r="AF67" s="19">
        <f t="shared" si="9"/>
        <v>82607.75</v>
      </c>
    </row>
    <row r="68" spans="1:32" outlineLevel="1">
      <c r="A68" s="8" t="str">
        <f t="shared" si="8"/>
        <v>Sample6370 - Samples</v>
      </c>
      <c r="C68" s="8" t="s">
        <v>11</v>
      </c>
      <c r="D68" s="8" t="str">
        <f t="shared" si="17"/>
        <v>Sample</v>
      </c>
      <c r="E68" s="2" t="s">
        <v>61</v>
      </c>
      <c r="F68" s="2" t="s">
        <v>16</v>
      </c>
      <c r="G68" s="16">
        <f>IF(AND(G$15="Actual",ISBLANK($E$8)),SUMIFS('[1]NS Vendor Details'!$D:$D,'[1]NS Vendor Details'!$H:$H,'G&amp;A Vendor x GL Analysis'!G$20,'[1]NS Vendor Details'!$L:$L,'G&amp;A Vendor x GL Analysis'!$D68,'[1]NS Vendor Details'!$O:$O,'G&amp;A Vendor x GL Analysis'!$F68,'[1]NS Vendor Details'!$N:$N,'G&amp;A Vendor x GL Analysis'!$C68),IF(G$15="Actual",SUMIFS('[1]NS Vendor Details'!$D:$D,'[1]NS Vendor Details'!$H:$H,'G&amp;A Vendor x GL Analysis'!G$20,'[1]NS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29.8</v>
      </c>
      <c r="H68" s="17">
        <f>IF(AND(H$15="Actual",ISBLANK($E$8)),SUMIFS('[1]NS Vendor Details'!$D:$D,'[1]NS Vendor Details'!$H:$H,'G&amp;A Vendor x GL Analysis'!H$20,'[1]NS Vendor Details'!$L:$L,'G&amp;A Vendor x GL Analysis'!$D68,'[1]NS Vendor Details'!$O:$O,'G&amp;A Vendor x GL Analysis'!$F68,'[1]NS Vendor Details'!$N:$N,'G&amp;A Vendor x GL Analysis'!$C68),IF(H$15="Actual",SUMIFS('[1]NS Vendor Details'!$D:$D,'[1]NS Vendor Details'!$H:$H,'G&amp;A Vendor x GL Analysis'!H$20,'[1]NS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89.82</v>
      </c>
      <c r="I68" s="17">
        <f>IF(AND(I$15="Actual",ISBLANK($E$8)),SUMIFS('[1]NS Vendor Details'!$D:$D,'[1]NS Vendor Details'!$H:$H,'G&amp;A Vendor x GL Analysis'!I$20,'[1]NS Vendor Details'!$L:$L,'G&amp;A Vendor x GL Analysis'!$D68,'[1]NS Vendor Details'!$O:$O,'G&amp;A Vendor x GL Analysis'!$F68,'[1]NS Vendor Details'!$N:$N,'G&amp;A Vendor x GL Analysis'!$C68),IF(I$15="Actual",SUMIFS('[1]NS Vendor Details'!$D:$D,'[1]NS Vendor Details'!$H:$H,'G&amp;A Vendor x GL Analysis'!I$20,'[1]NS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314.62</v>
      </c>
      <c r="J68" s="17">
        <f>IF(AND(J$15="Actual",ISBLANK($E$8)),SUMIFS('[1]NS Vendor Details'!$D:$D,'[1]NS Vendor Details'!$H:$H,'G&amp;A Vendor x GL Analysis'!J$20,'[1]NS Vendor Details'!$L:$L,'G&amp;A Vendor x GL Analysis'!$D68,'[1]NS Vendor Details'!$O:$O,'G&amp;A Vendor x GL Analysis'!$F68,'[1]NS Vendor Details'!$N:$N,'G&amp;A Vendor x GL Analysis'!$C68),IF(J$15="Actual",SUMIFS('[1]NS Vendor Details'!$D:$D,'[1]NS Vendor Details'!$H:$H,'G&amp;A Vendor x GL Analysis'!J$20,'[1]NS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535.02</v>
      </c>
      <c r="K68" s="17">
        <f>IF(AND(K$15="Actual",ISBLANK($E$8)),SUMIFS('[1]NS Vendor Details'!$D:$D,'[1]NS Vendor Details'!$H:$H,'G&amp;A Vendor x GL Analysis'!K$20,'[1]NS Vendor Details'!$L:$L,'G&amp;A Vendor x GL Analysis'!$D68,'[1]NS Vendor Details'!$O:$O,'G&amp;A Vendor x GL Analysis'!$F68,'[1]NS Vendor Details'!$N:$N,'G&amp;A Vendor x GL Analysis'!$C68),IF(K$15="Actual",SUMIFS('[1]NS Vendor Details'!$D:$D,'[1]NS Vendor Details'!$H:$H,'G&amp;A Vendor x GL Analysis'!K$20,'[1]NS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1301.72</v>
      </c>
      <c r="L68" s="17">
        <f>IF(AND(L$15="Actual",ISBLANK($E$8)),SUMIFS('[1]NS Vendor Details'!$D:$D,'[1]NS Vendor Details'!$H:$H,'G&amp;A Vendor x GL Analysis'!L$20,'[1]NS Vendor Details'!$L:$L,'G&amp;A Vendor x GL Analysis'!$D68,'[1]NS Vendor Details'!$O:$O,'G&amp;A Vendor x GL Analysis'!$F68,'[1]NS Vendor Details'!$N:$N,'G&amp;A Vendor x GL Analysis'!$C68),IF(L$15="Actual",SUMIFS('[1]NS Vendor Details'!$D:$D,'[1]NS Vendor Details'!$H:$H,'G&amp;A Vendor x GL Analysis'!L$20,'[1]NS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1533.37</v>
      </c>
      <c r="M68" s="17">
        <f>IF(AND(M$15="Actual",ISBLANK($E$8)),SUMIFS('[1]NS Vendor Details'!$D:$D,'[1]NS Vendor Details'!$H:$H,'G&amp;A Vendor x GL Analysis'!M$20,'[1]NS Vendor Details'!$L:$L,'G&amp;A Vendor x GL Analysis'!$D68,'[1]NS Vendor Details'!$O:$O,'G&amp;A Vendor x GL Analysis'!$F68,'[1]NS Vendor Details'!$N:$N,'G&amp;A Vendor x GL Analysis'!$C68),IF(M$15="Actual",SUMIFS('[1]NS Vendor Details'!$D:$D,'[1]NS Vendor Details'!$H:$H,'G&amp;A Vendor x GL Analysis'!M$20,'[1]NS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551.02</v>
      </c>
      <c r="N68" s="17">
        <f>IF(AND(N$15="Actual",ISBLANK($E$8)),SUMIFS('[1]NS Vendor Details'!$D:$D,'[1]NS Vendor Details'!$H:$H,'G&amp;A Vendor x GL Analysis'!N$20,'[1]NS Vendor Details'!$L:$L,'G&amp;A Vendor x GL Analysis'!$D68,'[1]NS Vendor Details'!$O:$O,'G&amp;A Vendor x GL Analysis'!$F68,'[1]NS Vendor Details'!$N:$N,'G&amp;A Vendor x GL Analysis'!$C68),IF(N$15="Actual",SUMIFS('[1]NS Vendor Details'!$D:$D,'[1]NS Vendor Details'!$H:$H,'G&amp;A Vendor x GL Analysis'!N$20,'[1]NS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268.48</v>
      </c>
      <c r="O68" s="17">
        <f>IF(AND(O$15="Actual",ISBLANK($E$8)),SUMIFS('[1]NS Vendor Details'!$D:$D,'[1]NS Vendor Details'!$H:$H,'G&amp;A Vendor x GL Analysis'!O$20,'[1]NS Vendor Details'!$L:$L,'G&amp;A Vendor x GL Analysis'!$D68,'[1]NS Vendor Details'!$O:$O,'G&amp;A Vendor x GL Analysis'!$F68,'[1]NS Vendor Details'!$N:$N,'G&amp;A Vendor x GL Analysis'!$C68),IF(O$15="Actual",SUMIFS('[1]NS Vendor Details'!$D:$D,'[1]NS Vendor Details'!$H:$H,'G&amp;A Vendor x GL Analysis'!O$20,'[1]NS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0</v>
      </c>
      <c r="P68" s="17">
        <f>IF(AND(P$15="Actual",ISBLANK($E$8)),SUMIFS('[1]NS Vendor Details'!$D:$D,'[1]NS Vendor Details'!$H:$H,'G&amp;A Vendor x GL Analysis'!P$20,'[1]NS Vendor Details'!$L:$L,'G&amp;A Vendor x GL Analysis'!$D68,'[1]NS Vendor Details'!$O:$O,'G&amp;A Vendor x GL Analysis'!$F68,'[1]NS Vendor Details'!$N:$N,'G&amp;A Vendor x GL Analysis'!$C68),IF(P$15="Actual",SUMIFS('[1]NS Vendor Details'!$D:$D,'[1]NS Vendor Details'!$H:$H,'G&amp;A Vendor x GL Analysis'!P$20,'[1]NS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722.45</v>
      </c>
      <c r="Q68" s="17">
        <f>IF(AND(Q$15="Actual",ISBLANK($E$8)),SUMIFS('[1]NS Vendor Details'!$D:$D,'[1]NS Vendor Details'!$H:$H,'G&amp;A Vendor x GL Analysis'!Q$20,'[1]NS Vendor Details'!$L:$L,'G&amp;A Vendor x GL Analysis'!$D68,'[1]NS Vendor Details'!$O:$O,'G&amp;A Vendor x GL Analysis'!$F68,'[1]NS Vendor Details'!$N:$N,'G&amp;A Vendor x GL Analysis'!$C68),IF(Q$15="Actual",SUMIFS('[1]NS Vendor Details'!$D:$D,'[1]NS Vendor Details'!$H:$H,'G&amp;A Vendor x GL Analysis'!Q$20,'[1]NS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3978.82</v>
      </c>
      <c r="R68" s="18">
        <f>IF(AND(R$15="Actual",ISBLANK($E$8)),SUMIFS('[1]NS Vendor Details'!$D:$D,'[1]NS Vendor Details'!$H:$H,'G&amp;A Vendor x GL Analysis'!R$20,'[1]NS Vendor Details'!$L:$L,'G&amp;A Vendor x GL Analysis'!$D68,'[1]NS Vendor Details'!$O:$O,'G&amp;A Vendor x GL Analysis'!$F68,'[1]NS Vendor Details'!$N:$N,'G&amp;A Vendor x GL Analysis'!$C68),IF(R$15="Actual",SUMIFS('[1]NS Vendor Details'!$D:$D,'[1]NS Vendor Details'!$H:$H,'G&amp;A Vendor x GL Analysis'!R$20,'[1]NS Vendor Details'!$L:$L,'G&amp;A Vendor x GL Analysis'!$D68,'[1]NS Vendor Details'!$O:$O,'G&amp;A Vendor x GL Analysis'!$F68,'[1]NS Vendor Details'!$N:$N,'G&amp;A Vendor x GL Analysis'!$C68,'[1]NS Vendor Details'!$K:$K,'G&amp;A Vendor x GL Analysis'!$E$8),0))</f>
        <v>697.12</v>
      </c>
      <c r="S68" s="16">
        <f>IF(AND(S$15="Actual",ISBLANK($E$8)),SUMIFS('[1]NS Vendor Details'!$D:$D,'[1]NS Vendor Details'!$H:$H,'G&amp;A Vendor x GL Analysis'!S$20,'[1]NS Vendor Details'!$L:$L,'G&amp;A Vendor x GL Analysis'!$D68,'[1]NS Vendor Details'!$O:$O,'G&amp;A Vendor x GL Analysis'!$F68,'[1]NS Vendor Details'!$N:$N,'G&amp;A Vendor x GL Analysis'!$C68,'[1]NS Vendor Details'!$I:$I,'G&amp;A Vendor x GL Analysis'!$E68),IF(S$15="Actual",SUMIFS('[1]NS Vendor Details'!$D:$D,'[1]NS Vendor Details'!$H:$H,'G&amp;A Vendor x GL Analysis'!S$20,'[1]NS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431.04</v>
      </c>
      <c r="T68" s="17">
        <f>IF(AND(T$15="Actual",ISBLANK($E$8)),SUMIFS('[1]NS Vendor Details'!$D:$D,'[1]NS Vendor Details'!$H:$H,'G&amp;A Vendor x GL Analysis'!T$20,'[1]NS Vendor Details'!$L:$L,'G&amp;A Vendor x GL Analysis'!$D68,'[1]NS Vendor Details'!$O:$O,'G&amp;A Vendor x GL Analysis'!$F68,'[1]NS Vendor Details'!$N:$N,'G&amp;A Vendor x GL Analysis'!$C68,'[1]NS Vendor Details'!$I:$I,'G&amp;A Vendor x GL Analysis'!$E68),IF(T$15="Actual",SUMIFS('[1]NS Vendor Details'!$D:$D,'[1]NS Vendor Details'!$H:$H,'G&amp;A Vendor x GL Analysis'!T$20,'[1]NS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1333.1</v>
      </c>
      <c r="U68" s="17">
        <f>IF(AND(U$15="Actual",ISBLANK($E$8)),SUMIFS('[1]NS Vendor Details'!$D:$D,'[1]NS Vendor Details'!$H:$H,'G&amp;A Vendor x GL Analysis'!U$20,'[1]NS Vendor Details'!$L:$L,'G&amp;A Vendor x GL Analysis'!$D68,'[1]NS Vendor Details'!$O:$O,'G&amp;A Vendor x GL Analysis'!$F68,'[1]NS Vendor Details'!$N:$N,'G&amp;A Vendor x GL Analysis'!$C68,'[1]NS Vendor Details'!$I:$I,'G&amp;A Vendor x GL Analysis'!$E68),IF(U$15="Actual",SUMIFS('[1]NS Vendor Details'!$D:$D,'[1]NS Vendor Details'!$H:$H,'G&amp;A Vendor x GL Analysis'!U$20,'[1]NS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1084.46</v>
      </c>
      <c r="V68" s="17">
        <f>IF(AND(V$15="Actual",ISBLANK($E$8)),SUMIFS('[1]NS Vendor Details'!$D:$D,'[1]NS Vendor Details'!$H:$H,'G&amp;A Vendor x GL Analysis'!V$20,'[1]NS Vendor Details'!$L:$L,'G&amp;A Vendor x GL Analysis'!$D68,'[1]NS Vendor Details'!$O:$O,'G&amp;A Vendor x GL Analysis'!$F68,'[1]NS Vendor Details'!$N:$N,'G&amp;A Vendor x GL Analysis'!$C68,'[1]NS Vendor Details'!$I:$I,'G&amp;A Vendor x GL Analysis'!$E68),IF(V$15="Actual",SUMIFS('[1]NS Vendor Details'!$D:$D,'[1]NS Vendor Details'!$H:$H,'G&amp;A Vendor x GL Analysis'!V$20,'[1]NS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194.07</v>
      </c>
      <c r="W68" s="17">
        <f>IF(AND(W$15="Actual",ISBLANK($E$8)),SUMIFS('[1]NS Vendor Details'!$D:$D,'[1]NS Vendor Details'!$H:$H,'G&amp;A Vendor x GL Analysis'!W$20,'[1]NS Vendor Details'!$L:$L,'G&amp;A Vendor x GL Analysis'!$D68,'[1]NS Vendor Details'!$O:$O,'G&amp;A Vendor x GL Analysis'!$F68,'[1]NS Vendor Details'!$N:$N,'G&amp;A Vendor x GL Analysis'!$C68,'[1]NS Vendor Details'!$I:$I,'G&amp;A Vendor x GL Analysis'!$E68),IF(W$15="Actual",SUMIFS('[1]NS Vendor Details'!$D:$D,'[1]NS Vendor Details'!$H:$H,'G&amp;A Vendor x GL Analysis'!W$20,'[1]NS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-3029.1299999999997</v>
      </c>
      <c r="X68" s="17">
        <f>IF(AND(X$15="Actual",ISBLANK($E$8)),SUMIFS('[1]NS Vendor Details'!$D:$D,'[1]NS Vendor Details'!$H:$H,'G&amp;A Vendor x GL Analysis'!X$20,'[1]NS Vendor Details'!$L:$L,'G&amp;A Vendor x GL Analysis'!$D68,'[1]NS Vendor Details'!$O:$O,'G&amp;A Vendor x GL Analysis'!$F68,'[1]NS Vendor Details'!$N:$N,'G&amp;A Vendor x GL Analysis'!$C68,'[1]NS Vendor Details'!$I:$I,'G&amp;A Vendor x GL Analysis'!$E68),IF(X$15="Actual",SUMIFS('[1]NS Vendor Details'!$D:$D,'[1]NS Vendor Details'!$H:$H,'G&amp;A Vendor x GL Analysis'!X$20,'[1]NS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983.95</v>
      </c>
      <c r="Y68" s="17">
        <f>IF(AND(Y$15="Actual",ISBLANK($E$8)),SUMIFS('[1]NS Vendor Details'!$D:$D,'[1]NS Vendor Details'!$H:$H,'G&amp;A Vendor x GL Analysis'!Y$20,'[1]NS Vendor Details'!$L:$L,'G&amp;A Vendor x GL Analysis'!$D68,'[1]NS Vendor Details'!$O:$O,'G&amp;A Vendor x GL Analysis'!$F68,'[1]NS Vendor Details'!$N:$N,'G&amp;A Vendor x GL Analysis'!$C68,'[1]NS Vendor Details'!$I:$I,'G&amp;A Vendor x GL Analysis'!$E68),IF(Y$15="Actual",SUMIFS('[1]NS Vendor Details'!$D:$D,'[1]NS Vendor Details'!$H:$H,'G&amp;A Vendor x GL Analysis'!Y$20,'[1]NS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0</v>
      </c>
      <c r="Z68" s="17">
        <f>IF(AND(Z$15="Actual",ISBLANK($E$8)),SUMIFS('[1]NS Vendor Details'!$D:$D,'[1]NS Vendor Details'!$H:$H,'G&amp;A Vendor x GL Analysis'!Z$20,'[1]NS Vendor Details'!$L:$L,'G&amp;A Vendor x GL Analysis'!$D68,'[1]NS Vendor Details'!$O:$O,'G&amp;A Vendor x GL Analysis'!$F68,'[1]NS Vendor Details'!$N:$N,'G&amp;A Vendor x GL Analysis'!$C68,'[1]NS Vendor Details'!$I:$I,'G&amp;A Vendor x GL Analysis'!$E68),IF(Z$15="Actual",SUMIFS('[1]NS Vendor Details'!$D:$D,'[1]NS Vendor Details'!$H:$H,'G&amp;A Vendor x GL Analysis'!Z$20,'[1]NS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0</v>
      </c>
      <c r="AA68" s="17">
        <f>IF(AND(AA$15="Actual",ISBLANK($E$8)),SUMIFS('[1]NS Vendor Details'!$D:$D,'[1]NS Vendor Details'!$H:$H,'G&amp;A Vendor x GL Analysis'!AA$20,'[1]NS Vendor Details'!$L:$L,'G&amp;A Vendor x GL Analysis'!$D68,'[1]NS Vendor Details'!$O:$O,'G&amp;A Vendor x GL Analysis'!$F68,'[1]NS Vendor Details'!$N:$N,'G&amp;A Vendor x GL Analysis'!$C68,'[1]NS Vendor Details'!$I:$I,'G&amp;A Vendor x GL Analysis'!$E68),IF(AA$15="Actual",SUMIFS('[1]NS Vendor Details'!$D:$D,'[1]NS Vendor Details'!$H:$H,'G&amp;A Vendor x GL Analysis'!AA$20,'[1]NS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535.14</v>
      </c>
      <c r="AB68" s="17">
        <f>IF(AND(AB$15="Actual",ISBLANK($E$8)),SUMIFS('[1]NS Vendor Details'!$D:$D,'[1]NS Vendor Details'!$H:$H,'G&amp;A Vendor x GL Analysis'!AB$20,'[1]NS Vendor Details'!$L:$L,'G&amp;A Vendor x GL Analysis'!$D68,'[1]NS Vendor Details'!$O:$O,'G&amp;A Vendor x GL Analysis'!$F68,'[1]NS Vendor Details'!$N:$N,'G&amp;A Vendor x GL Analysis'!$C68,'[1]NS Vendor Details'!$I:$I,'G&amp;A Vendor x GL Analysis'!$E68),IF(AB$15="Actual",SUMIFS('[1]NS Vendor Details'!$D:$D,'[1]NS Vendor Details'!$H:$H,'G&amp;A Vendor x GL Analysis'!AB$20,'[1]NS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359.25</v>
      </c>
      <c r="AC68" s="18">
        <f>IF(AND(AC$15="Actual",ISBLANK($E$8)),SUMIFS('[1]NS Vendor Details'!$D:$D,'[1]NS Vendor Details'!$H:$H,'G&amp;A Vendor x GL Analysis'!AC$20,'[1]NS Vendor Details'!$L:$L,'G&amp;A Vendor x GL Analysis'!$D68,'[1]NS Vendor Details'!$O:$O,'G&amp;A Vendor x GL Analysis'!$F68,'[1]NS Vendor Details'!$N:$N,'G&amp;A Vendor x GL Analysis'!$C68,'[1]NS Vendor Details'!$I:$I,'G&amp;A Vendor x GL Analysis'!$E68),IF(AC$15="Actual",SUMIFS('[1]NS Vendor Details'!$D:$D,'[1]NS Vendor Details'!$H:$H,'G&amp;A Vendor x GL Analysis'!AC$20,'[1]NS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0</v>
      </c>
      <c r="AD68" s="18">
        <f>IF(AND(AD$15="Actual",ISBLANK($E$8)),SUMIFS('[1]NS Vendor Details'!$D:$D,'[1]NS Vendor Details'!$H:$H,'G&amp;A Vendor x GL Analysis'!AD$20,'[1]NS Vendor Details'!$L:$L,'G&amp;A Vendor x GL Analysis'!$D68,'[1]NS Vendor Details'!$O:$O,'G&amp;A Vendor x GL Analysis'!$F68,'[1]NS Vendor Details'!$N:$N,'G&amp;A Vendor x GL Analysis'!$C68,'[1]NS Vendor Details'!$I:$I,'G&amp;A Vendor x GL Analysis'!$E68),IF(AD$15="Actual",SUMIFS('[1]NS Vendor Details'!$D:$D,'[1]NS Vendor Details'!$H:$H,'G&amp;A Vendor x GL Analysis'!AD$20,'[1]NS Vendor Details'!$L:$L,'G&amp;A Vendor x GL Analysis'!$D68,'[1]NS Vendor Details'!$O:$O,'G&amp;A Vendor x GL Analysis'!$F68,'[1]NS Vendor Details'!$N:$N,'G&amp;A Vendor x GL Analysis'!$C68,'[1]NS Vendor Details'!$K:$K,'G&amp;A Vendor x GL Analysis'!$E$8,'[1]NS Vendor Details'!$I:$I,'G&amp;A Vendor x GL Analysis'!$E68),0))</f>
        <v>0</v>
      </c>
      <c r="AF68" s="19">
        <f t="shared" si="9"/>
        <v>7950.1399999999994</v>
      </c>
    </row>
    <row r="69" spans="1:32" outlineLevel="1">
      <c r="A69" s="8" t="str">
        <f t="shared" si="8"/>
        <v>Sample6370 - Samples</v>
      </c>
      <c r="C69" s="8" t="s">
        <v>11</v>
      </c>
      <c r="D69" s="8" t="str">
        <f t="shared" ref="D69" si="18">D67</f>
        <v>Sample</v>
      </c>
      <c r="E69" s="2" t="s">
        <v>61</v>
      </c>
      <c r="F69" s="2" t="s">
        <v>62</v>
      </c>
      <c r="G69" s="16">
        <f>IF(AND(G$15="Actual",ISBLANK($E$8)),SUMIFS('[1]NS Vendor Details'!$D:$D,'[1]NS Vendor Details'!$H:$H,'G&amp;A Vendor x GL Analysis'!G$20,'[1]NS Vendor Details'!$L:$L,'G&amp;A Vendor x GL Analysis'!$D69,'[1]NS Vendor Details'!$O:$O,'G&amp;A Vendor x GL Analysis'!$F69,'[1]NS Vendor Details'!$N:$N,'G&amp;A Vendor x GL Analysis'!$C69),IF(G$15="Actual",SUMIFS('[1]NS Vendor Details'!$D:$D,'[1]NS Vendor Details'!$H:$H,'G&amp;A Vendor x GL Analysis'!G$20,'[1]NS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H69" s="17">
        <f>IF(AND(H$15="Actual",ISBLANK($E$8)),SUMIFS('[1]NS Vendor Details'!$D:$D,'[1]NS Vendor Details'!$H:$H,'G&amp;A Vendor x GL Analysis'!H$20,'[1]NS Vendor Details'!$L:$L,'G&amp;A Vendor x GL Analysis'!$D69,'[1]NS Vendor Details'!$O:$O,'G&amp;A Vendor x GL Analysis'!$F69,'[1]NS Vendor Details'!$N:$N,'G&amp;A Vendor x GL Analysis'!$C69),IF(H$15="Actual",SUMIFS('[1]NS Vendor Details'!$D:$D,'[1]NS Vendor Details'!$H:$H,'G&amp;A Vendor x GL Analysis'!H$20,'[1]NS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I69" s="17">
        <f>IF(AND(I$15="Actual",ISBLANK($E$8)),SUMIFS('[1]NS Vendor Details'!$D:$D,'[1]NS Vendor Details'!$H:$H,'G&amp;A Vendor x GL Analysis'!I$20,'[1]NS Vendor Details'!$L:$L,'G&amp;A Vendor x GL Analysis'!$D69,'[1]NS Vendor Details'!$O:$O,'G&amp;A Vendor x GL Analysis'!$F69,'[1]NS Vendor Details'!$N:$N,'G&amp;A Vendor x GL Analysis'!$C69),IF(I$15="Actual",SUMIFS('[1]NS Vendor Details'!$D:$D,'[1]NS Vendor Details'!$H:$H,'G&amp;A Vendor x GL Analysis'!I$20,'[1]NS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J69" s="17">
        <f>IF(AND(J$15="Actual",ISBLANK($E$8)),SUMIFS('[1]NS Vendor Details'!$D:$D,'[1]NS Vendor Details'!$H:$H,'G&amp;A Vendor x GL Analysis'!J$20,'[1]NS Vendor Details'!$L:$L,'G&amp;A Vendor x GL Analysis'!$D69,'[1]NS Vendor Details'!$O:$O,'G&amp;A Vendor x GL Analysis'!$F69,'[1]NS Vendor Details'!$N:$N,'G&amp;A Vendor x GL Analysis'!$C69),IF(J$15="Actual",SUMIFS('[1]NS Vendor Details'!$D:$D,'[1]NS Vendor Details'!$H:$H,'G&amp;A Vendor x GL Analysis'!J$20,'[1]NS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K69" s="17">
        <f>IF(AND(K$15="Actual",ISBLANK($E$8)),SUMIFS('[1]NS Vendor Details'!$D:$D,'[1]NS Vendor Details'!$H:$H,'G&amp;A Vendor x GL Analysis'!K$20,'[1]NS Vendor Details'!$L:$L,'G&amp;A Vendor x GL Analysis'!$D69,'[1]NS Vendor Details'!$O:$O,'G&amp;A Vendor x GL Analysis'!$F69,'[1]NS Vendor Details'!$N:$N,'G&amp;A Vendor x GL Analysis'!$C69),IF(K$15="Actual",SUMIFS('[1]NS Vendor Details'!$D:$D,'[1]NS Vendor Details'!$H:$H,'G&amp;A Vendor x GL Analysis'!K$20,'[1]NS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1467.7</v>
      </c>
      <c r="L69" s="17">
        <f>IF(AND(L$15="Actual",ISBLANK($E$8)),SUMIFS('[1]NS Vendor Details'!$D:$D,'[1]NS Vendor Details'!$H:$H,'G&amp;A Vendor x GL Analysis'!L$20,'[1]NS Vendor Details'!$L:$L,'G&amp;A Vendor x GL Analysis'!$D69,'[1]NS Vendor Details'!$O:$O,'G&amp;A Vendor x GL Analysis'!$F69,'[1]NS Vendor Details'!$N:$N,'G&amp;A Vendor x GL Analysis'!$C69),IF(L$15="Actual",SUMIFS('[1]NS Vendor Details'!$D:$D,'[1]NS Vendor Details'!$H:$H,'G&amp;A Vendor x GL Analysis'!L$20,'[1]NS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M69" s="17">
        <f>IF(AND(M$15="Actual",ISBLANK($E$8)),SUMIFS('[1]NS Vendor Details'!$D:$D,'[1]NS Vendor Details'!$H:$H,'G&amp;A Vendor x GL Analysis'!M$20,'[1]NS Vendor Details'!$L:$L,'G&amp;A Vendor x GL Analysis'!$D69,'[1]NS Vendor Details'!$O:$O,'G&amp;A Vendor x GL Analysis'!$F69,'[1]NS Vendor Details'!$N:$N,'G&amp;A Vendor x GL Analysis'!$C69),IF(M$15="Actual",SUMIFS('[1]NS Vendor Details'!$D:$D,'[1]NS Vendor Details'!$H:$H,'G&amp;A Vendor x GL Analysis'!M$20,'[1]NS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N69" s="17">
        <f>IF(AND(N$15="Actual",ISBLANK($E$8)),SUMIFS('[1]NS Vendor Details'!$D:$D,'[1]NS Vendor Details'!$H:$H,'G&amp;A Vendor x GL Analysis'!N$20,'[1]NS Vendor Details'!$L:$L,'G&amp;A Vendor x GL Analysis'!$D69,'[1]NS Vendor Details'!$O:$O,'G&amp;A Vendor x GL Analysis'!$F69,'[1]NS Vendor Details'!$N:$N,'G&amp;A Vendor x GL Analysis'!$C69),IF(N$15="Actual",SUMIFS('[1]NS Vendor Details'!$D:$D,'[1]NS Vendor Details'!$H:$H,'G&amp;A Vendor x GL Analysis'!N$20,'[1]NS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52.9</v>
      </c>
      <c r="O69" s="17">
        <f>IF(AND(O$15="Actual",ISBLANK($E$8)),SUMIFS('[1]NS Vendor Details'!$D:$D,'[1]NS Vendor Details'!$H:$H,'G&amp;A Vendor x GL Analysis'!O$20,'[1]NS Vendor Details'!$L:$L,'G&amp;A Vendor x GL Analysis'!$D69,'[1]NS Vendor Details'!$O:$O,'G&amp;A Vendor x GL Analysis'!$F69,'[1]NS Vendor Details'!$N:$N,'G&amp;A Vendor x GL Analysis'!$C69),IF(O$15="Actual",SUMIFS('[1]NS Vendor Details'!$D:$D,'[1]NS Vendor Details'!$H:$H,'G&amp;A Vendor x GL Analysis'!O$20,'[1]NS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P69" s="17">
        <f>IF(AND(P$15="Actual",ISBLANK($E$8)),SUMIFS('[1]NS Vendor Details'!$D:$D,'[1]NS Vendor Details'!$H:$H,'G&amp;A Vendor x GL Analysis'!P$20,'[1]NS Vendor Details'!$L:$L,'G&amp;A Vendor x GL Analysis'!$D69,'[1]NS Vendor Details'!$O:$O,'G&amp;A Vendor x GL Analysis'!$F69,'[1]NS Vendor Details'!$N:$N,'G&amp;A Vendor x GL Analysis'!$C69),IF(P$15="Actual",SUMIFS('[1]NS Vendor Details'!$D:$D,'[1]NS Vendor Details'!$H:$H,'G&amp;A Vendor x GL Analysis'!P$20,'[1]NS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Q69" s="17">
        <f>IF(AND(Q$15="Actual",ISBLANK($E$8)),SUMIFS('[1]NS Vendor Details'!$D:$D,'[1]NS Vendor Details'!$H:$H,'G&amp;A Vendor x GL Analysis'!Q$20,'[1]NS Vendor Details'!$L:$L,'G&amp;A Vendor x GL Analysis'!$D69,'[1]NS Vendor Details'!$O:$O,'G&amp;A Vendor x GL Analysis'!$F69,'[1]NS Vendor Details'!$N:$N,'G&amp;A Vendor x GL Analysis'!$C69),IF(Q$15="Actual",SUMIFS('[1]NS Vendor Details'!$D:$D,'[1]NS Vendor Details'!$H:$H,'G&amp;A Vendor x GL Analysis'!Q$20,'[1]NS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162.4</v>
      </c>
      <c r="R69" s="18">
        <f>IF(AND(R$15="Actual",ISBLANK($E$8)),SUMIFS('[1]NS Vendor Details'!$D:$D,'[1]NS Vendor Details'!$H:$H,'G&amp;A Vendor x GL Analysis'!R$20,'[1]NS Vendor Details'!$L:$L,'G&amp;A Vendor x GL Analysis'!$D69,'[1]NS Vendor Details'!$O:$O,'G&amp;A Vendor x GL Analysis'!$F69,'[1]NS Vendor Details'!$N:$N,'G&amp;A Vendor x GL Analysis'!$C69),IF(R$15="Actual",SUMIFS('[1]NS Vendor Details'!$D:$D,'[1]NS Vendor Details'!$H:$H,'G&amp;A Vendor x GL Analysis'!R$20,'[1]NS Vendor Details'!$L:$L,'G&amp;A Vendor x GL Analysis'!$D69,'[1]NS Vendor Details'!$O:$O,'G&amp;A Vendor x GL Analysis'!$F69,'[1]NS Vendor Details'!$N:$N,'G&amp;A Vendor x GL Analysis'!$C69,'[1]NS Vendor Details'!$K:$K,'G&amp;A Vendor x GL Analysis'!$E$8),0))</f>
        <v>0</v>
      </c>
      <c r="S69" s="16">
        <f>IF(AND(S$15="Actual",ISBLANK($E$8)),SUMIFS('[1]NS Vendor Details'!$D:$D,'[1]NS Vendor Details'!$H:$H,'G&amp;A Vendor x GL Analysis'!S$20,'[1]NS Vendor Details'!$L:$L,'G&amp;A Vendor x GL Analysis'!$D69,'[1]NS Vendor Details'!$O:$O,'G&amp;A Vendor x GL Analysis'!$F69,'[1]NS Vendor Details'!$N:$N,'G&amp;A Vendor x GL Analysis'!$C69,'[1]NS Vendor Details'!$I:$I,'G&amp;A Vendor x GL Analysis'!$E69),IF(S$15="Actual",SUMIFS('[1]NS Vendor Details'!$D:$D,'[1]NS Vendor Details'!$H:$H,'G&amp;A Vendor x GL Analysis'!S$20,'[1]NS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T69" s="17">
        <f>IF(AND(T$15="Actual",ISBLANK($E$8)),SUMIFS('[1]NS Vendor Details'!$D:$D,'[1]NS Vendor Details'!$H:$H,'G&amp;A Vendor x GL Analysis'!T$20,'[1]NS Vendor Details'!$L:$L,'G&amp;A Vendor x GL Analysis'!$D69,'[1]NS Vendor Details'!$O:$O,'G&amp;A Vendor x GL Analysis'!$F69,'[1]NS Vendor Details'!$N:$N,'G&amp;A Vendor x GL Analysis'!$C69,'[1]NS Vendor Details'!$I:$I,'G&amp;A Vendor x GL Analysis'!$E69),IF(T$15="Actual",SUMIFS('[1]NS Vendor Details'!$D:$D,'[1]NS Vendor Details'!$H:$H,'G&amp;A Vendor x GL Analysis'!T$20,'[1]NS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U69" s="17">
        <f>IF(AND(U$15="Actual",ISBLANK($E$8)),SUMIFS('[1]NS Vendor Details'!$D:$D,'[1]NS Vendor Details'!$H:$H,'G&amp;A Vendor x GL Analysis'!U$20,'[1]NS Vendor Details'!$L:$L,'G&amp;A Vendor x GL Analysis'!$D69,'[1]NS Vendor Details'!$O:$O,'G&amp;A Vendor x GL Analysis'!$F69,'[1]NS Vendor Details'!$N:$N,'G&amp;A Vendor x GL Analysis'!$C69,'[1]NS Vendor Details'!$I:$I,'G&amp;A Vendor x GL Analysis'!$E69),IF(U$15="Actual",SUMIFS('[1]NS Vendor Details'!$D:$D,'[1]NS Vendor Details'!$H:$H,'G&amp;A Vendor x GL Analysis'!U$20,'[1]NS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V69" s="17">
        <f>IF(AND(V$15="Actual",ISBLANK($E$8)),SUMIFS('[1]NS Vendor Details'!$D:$D,'[1]NS Vendor Details'!$H:$H,'G&amp;A Vendor x GL Analysis'!V$20,'[1]NS Vendor Details'!$L:$L,'G&amp;A Vendor x GL Analysis'!$D69,'[1]NS Vendor Details'!$O:$O,'G&amp;A Vendor x GL Analysis'!$F69,'[1]NS Vendor Details'!$N:$N,'G&amp;A Vendor x GL Analysis'!$C69,'[1]NS Vendor Details'!$I:$I,'G&amp;A Vendor x GL Analysis'!$E69),IF(V$15="Actual",SUMIFS('[1]NS Vendor Details'!$D:$D,'[1]NS Vendor Details'!$H:$H,'G&amp;A Vendor x GL Analysis'!V$20,'[1]NS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W69" s="17">
        <f>IF(AND(W$15="Actual",ISBLANK($E$8)),SUMIFS('[1]NS Vendor Details'!$D:$D,'[1]NS Vendor Details'!$H:$H,'G&amp;A Vendor x GL Analysis'!W$20,'[1]NS Vendor Details'!$L:$L,'G&amp;A Vendor x GL Analysis'!$D69,'[1]NS Vendor Details'!$O:$O,'G&amp;A Vendor x GL Analysis'!$F69,'[1]NS Vendor Details'!$N:$N,'G&amp;A Vendor x GL Analysis'!$C69,'[1]NS Vendor Details'!$I:$I,'G&amp;A Vendor x GL Analysis'!$E69),IF(W$15="Actual",SUMIFS('[1]NS Vendor Details'!$D:$D,'[1]NS Vendor Details'!$H:$H,'G&amp;A Vendor x GL Analysis'!W$20,'[1]NS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X69" s="17">
        <f>IF(AND(X$15="Actual",ISBLANK($E$8)),SUMIFS('[1]NS Vendor Details'!$D:$D,'[1]NS Vendor Details'!$H:$H,'G&amp;A Vendor x GL Analysis'!X$20,'[1]NS Vendor Details'!$L:$L,'G&amp;A Vendor x GL Analysis'!$D69,'[1]NS Vendor Details'!$O:$O,'G&amp;A Vendor x GL Analysis'!$F69,'[1]NS Vendor Details'!$N:$N,'G&amp;A Vendor x GL Analysis'!$C69,'[1]NS Vendor Details'!$I:$I,'G&amp;A Vendor x GL Analysis'!$E69),IF(X$15="Actual",SUMIFS('[1]NS Vendor Details'!$D:$D,'[1]NS Vendor Details'!$H:$H,'G&amp;A Vendor x GL Analysis'!X$20,'[1]NS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Y69" s="17">
        <f>IF(AND(Y$15="Actual",ISBLANK($E$8)),SUMIFS('[1]NS Vendor Details'!$D:$D,'[1]NS Vendor Details'!$H:$H,'G&amp;A Vendor x GL Analysis'!Y$20,'[1]NS Vendor Details'!$L:$L,'G&amp;A Vendor x GL Analysis'!$D69,'[1]NS Vendor Details'!$O:$O,'G&amp;A Vendor x GL Analysis'!$F69,'[1]NS Vendor Details'!$N:$N,'G&amp;A Vendor x GL Analysis'!$C69,'[1]NS Vendor Details'!$I:$I,'G&amp;A Vendor x GL Analysis'!$E69),IF(Y$15="Actual",SUMIFS('[1]NS Vendor Details'!$D:$D,'[1]NS Vendor Details'!$H:$H,'G&amp;A Vendor x GL Analysis'!Y$20,'[1]NS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Z69" s="17">
        <f>IF(AND(Z$15="Actual",ISBLANK($E$8)),SUMIFS('[1]NS Vendor Details'!$D:$D,'[1]NS Vendor Details'!$H:$H,'G&amp;A Vendor x GL Analysis'!Z$20,'[1]NS Vendor Details'!$L:$L,'G&amp;A Vendor x GL Analysis'!$D69,'[1]NS Vendor Details'!$O:$O,'G&amp;A Vendor x GL Analysis'!$F69,'[1]NS Vendor Details'!$N:$N,'G&amp;A Vendor x GL Analysis'!$C69,'[1]NS Vendor Details'!$I:$I,'G&amp;A Vendor x GL Analysis'!$E69),IF(Z$15="Actual",SUMIFS('[1]NS Vendor Details'!$D:$D,'[1]NS Vendor Details'!$H:$H,'G&amp;A Vendor x GL Analysis'!Z$20,'[1]NS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AA69" s="17">
        <f>IF(AND(AA$15="Actual",ISBLANK($E$8)),SUMIFS('[1]NS Vendor Details'!$D:$D,'[1]NS Vendor Details'!$H:$H,'G&amp;A Vendor x GL Analysis'!AA$20,'[1]NS Vendor Details'!$L:$L,'G&amp;A Vendor x GL Analysis'!$D69,'[1]NS Vendor Details'!$O:$O,'G&amp;A Vendor x GL Analysis'!$F69,'[1]NS Vendor Details'!$N:$N,'G&amp;A Vendor x GL Analysis'!$C69,'[1]NS Vendor Details'!$I:$I,'G&amp;A Vendor x GL Analysis'!$E69),IF(AA$15="Actual",SUMIFS('[1]NS Vendor Details'!$D:$D,'[1]NS Vendor Details'!$H:$H,'G&amp;A Vendor x GL Analysis'!AA$20,'[1]NS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702.8</v>
      </c>
      <c r="AB69" s="17">
        <f>IF(AND(AB$15="Actual",ISBLANK($E$8)),SUMIFS('[1]NS Vendor Details'!$D:$D,'[1]NS Vendor Details'!$H:$H,'G&amp;A Vendor x GL Analysis'!AB$20,'[1]NS Vendor Details'!$L:$L,'G&amp;A Vendor x GL Analysis'!$D69,'[1]NS Vendor Details'!$O:$O,'G&amp;A Vendor x GL Analysis'!$F69,'[1]NS Vendor Details'!$N:$N,'G&amp;A Vendor x GL Analysis'!$C69,'[1]NS Vendor Details'!$I:$I,'G&amp;A Vendor x GL Analysis'!$E69),IF(AB$15="Actual",SUMIFS('[1]NS Vendor Details'!$D:$D,'[1]NS Vendor Details'!$H:$H,'G&amp;A Vendor x GL Analysis'!AB$20,'[1]NS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AC69" s="18">
        <f>IF(AND(AC$15="Actual",ISBLANK($E$8)),SUMIFS('[1]NS Vendor Details'!$D:$D,'[1]NS Vendor Details'!$H:$H,'G&amp;A Vendor x GL Analysis'!AC$20,'[1]NS Vendor Details'!$L:$L,'G&amp;A Vendor x GL Analysis'!$D69,'[1]NS Vendor Details'!$O:$O,'G&amp;A Vendor x GL Analysis'!$F69,'[1]NS Vendor Details'!$N:$N,'G&amp;A Vendor x GL Analysis'!$C69,'[1]NS Vendor Details'!$I:$I,'G&amp;A Vendor x GL Analysis'!$E69),IF(AC$15="Actual",SUMIFS('[1]NS Vendor Details'!$D:$D,'[1]NS Vendor Details'!$H:$H,'G&amp;A Vendor x GL Analysis'!AC$20,'[1]NS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AD69" s="18">
        <f>IF(AND(AD$15="Actual",ISBLANK($E$8)),SUMIFS('[1]NS Vendor Details'!$D:$D,'[1]NS Vendor Details'!$H:$H,'G&amp;A Vendor x GL Analysis'!AD$20,'[1]NS Vendor Details'!$L:$L,'G&amp;A Vendor x GL Analysis'!$D69,'[1]NS Vendor Details'!$O:$O,'G&amp;A Vendor x GL Analysis'!$F69,'[1]NS Vendor Details'!$N:$N,'G&amp;A Vendor x GL Analysis'!$C69,'[1]NS Vendor Details'!$I:$I,'G&amp;A Vendor x GL Analysis'!$E69),IF(AD$15="Actual",SUMIFS('[1]NS Vendor Details'!$D:$D,'[1]NS Vendor Details'!$H:$H,'G&amp;A Vendor x GL Analysis'!AD$20,'[1]NS Vendor Details'!$L:$L,'G&amp;A Vendor x GL Analysis'!$D69,'[1]NS Vendor Details'!$O:$O,'G&amp;A Vendor x GL Analysis'!$F69,'[1]NS Vendor Details'!$N:$N,'G&amp;A Vendor x GL Analysis'!$C69,'[1]NS Vendor Details'!$K:$K,'G&amp;A Vendor x GL Analysis'!$E$8,'[1]NS Vendor Details'!$I:$I,'G&amp;A Vendor x GL Analysis'!$E69),0))</f>
        <v>0</v>
      </c>
      <c r="AF69" s="19">
        <f t="shared" si="9"/>
        <v>702.8</v>
      </c>
    </row>
    <row r="70" spans="1:32" outlineLevel="1">
      <c r="A70" s="8" t="str">
        <f t="shared" si="8"/>
        <v>Sample6370 - Samples</v>
      </c>
      <c r="C70" s="8" t="s">
        <v>11</v>
      </c>
      <c r="D70" s="8" t="str">
        <f>D68</f>
        <v>Sample</v>
      </c>
      <c r="E70" s="2" t="s">
        <v>61</v>
      </c>
      <c r="F70" s="2" t="s">
        <v>52</v>
      </c>
      <c r="G70" s="16">
        <f>IF(AND(G$15="Actual",ISBLANK($E$8)),SUMIFS('[1]NS Vendor Details'!$D:$D,'[1]NS Vendor Details'!$H:$H,'G&amp;A Vendor x GL Analysis'!G$20,'[1]NS Vendor Details'!$L:$L,'G&amp;A Vendor x GL Analysis'!$D70,'[1]NS Vendor Details'!$O:$O,'G&amp;A Vendor x GL Analysis'!$F70,'[1]NS Vendor Details'!$N:$N,'G&amp;A Vendor x GL Analysis'!$C70),IF(G$15="Actual",SUMIFS('[1]NS Vendor Details'!$D:$D,'[1]NS Vendor Details'!$H:$H,'G&amp;A Vendor x GL Analysis'!G$20,'[1]NS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H70" s="17">
        <f>IF(AND(H$15="Actual",ISBLANK($E$8)),SUMIFS('[1]NS Vendor Details'!$D:$D,'[1]NS Vendor Details'!$H:$H,'G&amp;A Vendor x GL Analysis'!H$20,'[1]NS Vendor Details'!$L:$L,'G&amp;A Vendor x GL Analysis'!$D70,'[1]NS Vendor Details'!$O:$O,'G&amp;A Vendor x GL Analysis'!$F70,'[1]NS Vendor Details'!$N:$N,'G&amp;A Vendor x GL Analysis'!$C70),IF(H$15="Actual",SUMIFS('[1]NS Vendor Details'!$D:$D,'[1]NS Vendor Details'!$H:$H,'G&amp;A Vendor x GL Analysis'!H$20,'[1]NS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I70" s="17">
        <f>IF(AND(I$15="Actual",ISBLANK($E$8)),SUMIFS('[1]NS Vendor Details'!$D:$D,'[1]NS Vendor Details'!$H:$H,'G&amp;A Vendor x GL Analysis'!I$20,'[1]NS Vendor Details'!$L:$L,'G&amp;A Vendor x GL Analysis'!$D70,'[1]NS Vendor Details'!$O:$O,'G&amp;A Vendor x GL Analysis'!$F70,'[1]NS Vendor Details'!$N:$N,'G&amp;A Vendor x GL Analysis'!$C70),IF(I$15="Actual",SUMIFS('[1]NS Vendor Details'!$D:$D,'[1]NS Vendor Details'!$H:$H,'G&amp;A Vendor x GL Analysis'!I$20,'[1]NS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J70" s="17">
        <f>IF(AND(J$15="Actual",ISBLANK($E$8)),SUMIFS('[1]NS Vendor Details'!$D:$D,'[1]NS Vendor Details'!$H:$H,'G&amp;A Vendor x GL Analysis'!J$20,'[1]NS Vendor Details'!$L:$L,'G&amp;A Vendor x GL Analysis'!$D70,'[1]NS Vendor Details'!$O:$O,'G&amp;A Vendor x GL Analysis'!$F70,'[1]NS Vendor Details'!$N:$N,'G&amp;A Vendor x GL Analysis'!$C70),IF(J$15="Actual",SUMIFS('[1]NS Vendor Details'!$D:$D,'[1]NS Vendor Details'!$H:$H,'G&amp;A Vendor x GL Analysis'!J$20,'[1]NS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K70" s="17">
        <f>IF(AND(K$15="Actual",ISBLANK($E$8)),SUMIFS('[1]NS Vendor Details'!$D:$D,'[1]NS Vendor Details'!$H:$H,'G&amp;A Vendor x GL Analysis'!K$20,'[1]NS Vendor Details'!$L:$L,'G&amp;A Vendor x GL Analysis'!$D70,'[1]NS Vendor Details'!$O:$O,'G&amp;A Vendor x GL Analysis'!$F70,'[1]NS Vendor Details'!$N:$N,'G&amp;A Vendor x GL Analysis'!$C70),IF(K$15="Actual",SUMIFS('[1]NS Vendor Details'!$D:$D,'[1]NS Vendor Details'!$H:$H,'G&amp;A Vendor x GL Analysis'!K$20,'[1]NS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L70" s="17">
        <f>IF(AND(L$15="Actual",ISBLANK($E$8)),SUMIFS('[1]NS Vendor Details'!$D:$D,'[1]NS Vendor Details'!$H:$H,'G&amp;A Vendor x GL Analysis'!L$20,'[1]NS Vendor Details'!$L:$L,'G&amp;A Vendor x GL Analysis'!$D70,'[1]NS Vendor Details'!$O:$O,'G&amp;A Vendor x GL Analysis'!$F70,'[1]NS Vendor Details'!$N:$N,'G&amp;A Vendor x GL Analysis'!$C70),IF(L$15="Actual",SUMIFS('[1]NS Vendor Details'!$D:$D,'[1]NS Vendor Details'!$H:$H,'G&amp;A Vendor x GL Analysis'!L$20,'[1]NS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M70" s="17">
        <f>IF(AND(M$15="Actual",ISBLANK($E$8)),SUMIFS('[1]NS Vendor Details'!$D:$D,'[1]NS Vendor Details'!$H:$H,'G&amp;A Vendor x GL Analysis'!M$20,'[1]NS Vendor Details'!$L:$L,'G&amp;A Vendor x GL Analysis'!$D70,'[1]NS Vendor Details'!$O:$O,'G&amp;A Vendor x GL Analysis'!$F70,'[1]NS Vendor Details'!$N:$N,'G&amp;A Vendor x GL Analysis'!$C70),IF(M$15="Actual",SUMIFS('[1]NS Vendor Details'!$D:$D,'[1]NS Vendor Details'!$H:$H,'G&amp;A Vendor x GL Analysis'!M$20,'[1]NS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N70" s="17">
        <f>IF(AND(N$15="Actual",ISBLANK($E$8)),SUMIFS('[1]NS Vendor Details'!$D:$D,'[1]NS Vendor Details'!$H:$H,'G&amp;A Vendor x GL Analysis'!N$20,'[1]NS Vendor Details'!$L:$L,'G&amp;A Vendor x GL Analysis'!$D70,'[1]NS Vendor Details'!$O:$O,'G&amp;A Vendor x GL Analysis'!$F70,'[1]NS Vendor Details'!$N:$N,'G&amp;A Vendor x GL Analysis'!$C70),IF(N$15="Actual",SUMIFS('[1]NS Vendor Details'!$D:$D,'[1]NS Vendor Details'!$H:$H,'G&amp;A Vendor x GL Analysis'!N$20,'[1]NS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O70" s="17">
        <f>IF(AND(O$15="Actual",ISBLANK($E$8)),SUMIFS('[1]NS Vendor Details'!$D:$D,'[1]NS Vendor Details'!$H:$H,'G&amp;A Vendor x GL Analysis'!O$20,'[1]NS Vendor Details'!$L:$L,'G&amp;A Vendor x GL Analysis'!$D70,'[1]NS Vendor Details'!$O:$O,'G&amp;A Vendor x GL Analysis'!$F70,'[1]NS Vendor Details'!$N:$N,'G&amp;A Vendor x GL Analysis'!$C70),IF(O$15="Actual",SUMIFS('[1]NS Vendor Details'!$D:$D,'[1]NS Vendor Details'!$H:$H,'G&amp;A Vendor x GL Analysis'!O$20,'[1]NS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P70" s="17">
        <f>IF(AND(P$15="Actual",ISBLANK($E$8)),SUMIFS('[1]NS Vendor Details'!$D:$D,'[1]NS Vendor Details'!$H:$H,'G&amp;A Vendor x GL Analysis'!P$20,'[1]NS Vendor Details'!$L:$L,'G&amp;A Vendor x GL Analysis'!$D70,'[1]NS Vendor Details'!$O:$O,'G&amp;A Vendor x GL Analysis'!$F70,'[1]NS Vendor Details'!$N:$N,'G&amp;A Vendor x GL Analysis'!$C70),IF(P$15="Actual",SUMIFS('[1]NS Vendor Details'!$D:$D,'[1]NS Vendor Details'!$H:$H,'G&amp;A Vendor x GL Analysis'!P$20,'[1]NS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Q70" s="17">
        <f>IF(AND(Q$15="Actual",ISBLANK($E$8)),SUMIFS('[1]NS Vendor Details'!$D:$D,'[1]NS Vendor Details'!$H:$H,'G&amp;A Vendor x GL Analysis'!Q$20,'[1]NS Vendor Details'!$L:$L,'G&amp;A Vendor x GL Analysis'!$D70,'[1]NS Vendor Details'!$O:$O,'G&amp;A Vendor x GL Analysis'!$F70,'[1]NS Vendor Details'!$N:$N,'G&amp;A Vendor x GL Analysis'!$C70),IF(Q$15="Actual",SUMIFS('[1]NS Vendor Details'!$D:$D,'[1]NS Vendor Details'!$H:$H,'G&amp;A Vendor x GL Analysis'!Q$20,'[1]NS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R70" s="18">
        <f>IF(AND(R$15="Actual",ISBLANK($E$8)),SUMIFS('[1]NS Vendor Details'!$D:$D,'[1]NS Vendor Details'!$H:$H,'G&amp;A Vendor x GL Analysis'!R$20,'[1]NS Vendor Details'!$L:$L,'G&amp;A Vendor x GL Analysis'!$D70,'[1]NS Vendor Details'!$O:$O,'G&amp;A Vendor x GL Analysis'!$F70,'[1]NS Vendor Details'!$N:$N,'G&amp;A Vendor x GL Analysis'!$C70),IF(R$15="Actual",SUMIFS('[1]NS Vendor Details'!$D:$D,'[1]NS Vendor Details'!$H:$H,'G&amp;A Vendor x GL Analysis'!R$20,'[1]NS Vendor Details'!$L:$L,'G&amp;A Vendor x GL Analysis'!$D70,'[1]NS Vendor Details'!$O:$O,'G&amp;A Vendor x GL Analysis'!$F70,'[1]NS Vendor Details'!$N:$N,'G&amp;A Vendor x GL Analysis'!$C70,'[1]NS Vendor Details'!$K:$K,'G&amp;A Vendor x GL Analysis'!$E$8),0))</f>
        <v>0</v>
      </c>
      <c r="S70" s="16">
        <f>IF(AND(S$15="Actual",ISBLANK($E$8)),SUMIFS('[1]NS Vendor Details'!$D:$D,'[1]NS Vendor Details'!$H:$H,'G&amp;A Vendor x GL Analysis'!S$20,'[1]NS Vendor Details'!$L:$L,'G&amp;A Vendor x GL Analysis'!$D70,'[1]NS Vendor Details'!$O:$O,'G&amp;A Vendor x GL Analysis'!$F70,'[1]NS Vendor Details'!$N:$N,'G&amp;A Vendor x GL Analysis'!$C70,'[1]NS Vendor Details'!$I:$I,'G&amp;A Vendor x GL Analysis'!$E70),IF(S$15="Actual",SUMIFS('[1]NS Vendor Details'!$D:$D,'[1]NS Vendor Details'!$H:$H,'G&amp;A Vendor x GL Analysis'!S$20,'[1]NS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T70" s="17">
        <f>IF(AND(T$15="Actual",ISBLANK($E$8)),SUMIFS('[1]NS Vendor Details'!$D:$D,'[1]NS Vendor Details'!$H:$H,'G&amp;A Vendor x GL Analysis'!T$20,'[1]NS Vendor Details'!$L:$L,'G&amp;A Vendor x GL Analysis'!$D70,'[1]NS Vendor Details'!$O:$O,'G&amp;A Vendor x GL Analysis'!$F70,'[1]NS Vendor Details'!$N:$N,'G&amp;A Vendor x GL Analysis'!$C70,'[1]NS Vendor Details'!$I:$I,'G&amp;A Vendor x GL Analysis'!$E70),IF(T$15="Actual",SUMIFS('[1]NS Vendor Details'!$D:$D,'[1]NS Vendor Details'!$H:$H,'G&amp;A Vendor x GL Analysis'!T$20,'[1]NS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U70" s="17">
        <f>IF(AND(U$15="Actual",ISBLANK($E$8)),SUMIFS('[1]NS Vendor Details'!$D:$D,'[1]NS Vendor Details'!$H:$H,'G&amp;A Vendor x GL Analysis'!U$20,'[1]NS Vendor Details'!$L:$L,'G&amp;A Vendor x GL Analysis'!$D70,'[1]NS Vendor Details'!$O:$O,'G&amp;A Vendor x GL Analysis'!$F70,'[1]NS Vendor Details'!$N:$N,'G&amp;A Vendor x GL Analysis'!$C70,'[1]NS Vendor Details'!$I:$I,'G&amp;A Vendor x GL Analysis'!$E70),IF(U$15="Actual",SUMIFS('[1]NS Vendor Details'!$D:$D,'[1]NS Vendor Details'!$H:$H,'G&amp;A Vendor x GL Analysis'!U$20,'[1]NS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V70" s="17">
        <f>IF(AND(V$15="Actual",ISBLANK($E$8)),SUMIFS('[1]NS Vendor Details'!$D:$D,'[1]NS Vendor Details'!$H:$H,'G&amp;A Vendor x GL Analysis'!V$20,'[1]NS Vendor Details'!$L:$L,'G&amp;A Vendor x GL Analysis'!$D70,'[1]NS Vendor Details'!$O:$O,'G&amp;A Vendor x GL Analysis'!$F70,'[1]NS Vendor Details'!$N:$N,'G&amp;A Vendor x GL Analysis'!$C70,'[1]NS Vendor Details'!$I:$I,'G&amp;A Vendor x GL Analysis'!$E70),IF(V$15="Actual",SUMIFS('[1]NS Vendor Details'!$D:$D,'[1]NS Vendor Details'!$H:$H,'G&amp;A Vendor x GL Analysis'!V$20,'[1]NS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482.25</v>
      </c>
      <c r="W70" s="17">
        <f>IF(AND(W$15="Actual",ISBLANK($E$8)),SUMIFS('[1]NS Vendor Details'!$D:$D,'[1]NS Vendor Details'!$H:$H,'G&amp;A Vendor x GL Analysis'!W$20,'[1]NS Vendor Details'!$L:$L,'G&amp;A Vendor x GL Analysis'!$D70,'[1]NS Vendor Details'!$O:$O,'G&amp;A Vendor x GL Analysis'!$F70,'[1]NS Vendor Details'!$N:$N,'G&amp;A Vendor x GL Analysis'!$C70,'[1]NS Vendor Details'!$I:$I,'G&amp;A Vendor x GL Analysis'!$E70),IF(W$15="Actual",SUMIFS('[1]NS Vendor Details'!$D:$D,'[1]NS Vendor Details'!$H:$H,'G&amp;A Vendor x GL Analysis'!W$20,'[1]NS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X70" s="17">
        <f>IF(AND(X$15="Actual",ISBLANK($E$8)),SUMIFS('[1]NS Vendor Details'!$D:$D,'[1]NS Vendor Details'!$H:$H,'G&amp;A Vendor x GL Analysis'!X$20,'[1]NS Vendor Details'!$L:$L,'G&amp;A Vendor x GL Analysis'!$D70,'[1]NS Vendor Details'!$O:$O,'G&amp;A Vendor x GL Analysis'!$F70,'[1]NS Vendor Details'!$N:$N,'G&amp;A Vendor x GL Analysis'!$C70,'[1]NS Vendor Details'!$I:$I,'G&amp;A Vendor x GL Analysis'!$E70),IF(X$15="Actual",SUMIFS('[1]NS Vendor Details'!$D:$D,'[1]NS Vendor Details'!$H:$H,'G&amp;A Vendor x GL Analysis'!X$20,'[1]NS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Y70" s="17">
        <f>IF(AND(Y$15="Actual",ISBLANK($E$8)),SUMIFS('[1]NS Vendor Details'!$D:$D,'[1]NS Vendor Details'!$H:$H,'G&amp;A Vendor x GL Analysis'!Y$20,'[1]NS Vendor Details'!$L:$L,'G&amp;A Vendor x GL Analysis'!$D70,'[1]NS Vendor Details'!$O:$O,'G&amp;A Vendor x GL Analysis'!$F70,'[1]NS Vendor Details'!$N:$N,'G&amp;A Vendor x GL Analysis'!$C70,'[1]NS Vendor Details'!$I:$I,'G&amp;A Vendor x GL Analysis'!$E70),IF(Y$15="Actual",SUMIFS('[1]NS Vendor Details'!$D:$D,'[1]NS Vendor Details'!$H:$H,'G&amp;A Vendor x GL Analysis'!Y$20,'[1]NS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Z70" s="17">
        <f>IF(AND(Z$15="Actual",ISBLANK($E$8)),SUMIFS('[1]NS Vendor Details'!$D:$D,'[1]NS Vendor Details'!$H:$H,'G&amp;A Vendor x GL Analysis'!Z$20,'[1]NS Vendor Details'!$L:$L,'G&amp;A Vendor x GL Analysis'!$D70,'[1]NS Vendor Details'!$O:$O,'G&amp;A Vendor x GL Analysis'!$F70,'[1]NS Vendor Details'!$N:$N,'G&amp;A Vendor x GL Analysis'!$C70,'[1]NS Vendor Details'!$I:$I,'G&amp;A Vendor x GL Analysis'!$E70),IF(Z$15="Actual",SUMIFS('[1]NS Vendor Details'!$D:$D,'[1]NS Vendor Details'!$H:$H,'G&amp;A Vendor x GL Analysis'!Z$20,'[1]NS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AA70" s="17">
        <f>IF(AND(AA$15="Actual",ISBLANK($E$8)),SUMIFS('[1]NS Vendor Details'!$D:$D,'[1]NS Vendor Details'!$H:$H,'G&amp;A Vendor x GL Analysis'!AA$20,'[1]NS Vendor Details'!$L:$L,'G&amp;A Vendor x GL Analysis'!$D70,'[1]NS Vendor Details'!$O:$O,'G&amp;A Vendor x GL Analysis'!$F70,'[1]NS Vendor Details'!$N:$N,'G&amp;A Vendor x GL Analysis'!$C70,'[1]NS Vendor Details'!$I:$I,'G&amp;A Vendor x GL Analysis'!$E70),IF(AA$15="Actual",SUMIFS('[1]NS Vendor Details'!$D:$D,'[1]NS Vendor Details'!$H:$H,'G&amp;A Vendor x GL Analysis'!AA$20,'[1]NS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918.5</v>
      </c>
      <c r="AB70" s="17">
        <f>IF(AND(AB$15="Actual",ISBLANK($E$8)),SUMIFS('[1]NS Vendor Details'!$D:$D,'[1]NS Vendor Details'!$H:$H,'G&amp;A Vendor x GL Analysis'!AB$20,'[1]NS Vendor Details'!$L:$L,'G&amp;A Vendor x GL Analysis'!$D70,'[1]NS Vendor Details'!$O:$O,'G&amp;A Vendor x GL Analysis'!$F70,'[1]NS Vendor Details'!$N:$N,'G&amp;A Vendor x GL Analysis'!$C70,'[1]NS Vendor Details'!$I:$I,'G&amp;A Vendor x GL Analysis'!$E70),IF(AB$15="Actual",SUMIFS('[1]NS Vendor Details'!$D:$D,'[1]NS Vendor Details'!$H:$H,'G&amp;A Vendor x GL Analysis'!AB$20,'[1]NS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AC70" s="18">
        <f>IF(AND(AC$15="Actual",ISBLANK($E$8)),SUMIFS('[1]NS Vendor Details'!$D:$D,'[1]NS Vendor Details'!$H:$H,'G&amp;A Vendor x GL Analysis'!AC$20,'[1]NS Vendor Details'!$L:$L,'G&amp;A Vendor x GL Analysis'!$D70,'[1]NS Vendor Details'!$O:$O,'G&amp;A Vendor x GL Analysis'!$F70,'[1]NS Vendor Details'!$N:$N,'G&amp;A Vendor x GL Analysis'!$C70,'[1]NS Vendor Details'!$I:$I,'G&amp;A Vendor x GL Analysis'!$E70),IF(AC$15="Actual",SUMIFS('[1]NS Vendor Details'!$D:$D,'[1]NS Vendor Details'!$H:$H,'G&amp;A Vendor x GL Analysis'!AC$20,'[1]NS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AD70" s="18">
        <f>IF(AND(AD$15="Actual",ISBLANK($E$8)),SUMIFS('[1]NS Vendor Details'!$D:$D,'[1]NS Vendor Details'!$H:$H,'G&amp;A Vendor x GL Analysis'!AD$20,'[1]NS Vendor Details'!$L:$L,'G&amp;A Vendor x GL Analysis'!$D70,'[1]NS Vendor Details'!$O:$O,'G&amp;A Vendor x GL Analysis'!$F70,'[1]NS Vendor Details'!$N:$N,'G&amp;A Vendor x GL Analysis'!$C70,'[1]NS Vendor Details'!$I:$I,'G&amp;A Vendor x GL Analysis'!$E70),IF(AD$15="Actual",SUMIFS('[1]NS Vendor Details'!$D:$D,'[1]NS Vendor Details'!$H:$H,'G&amp;A Vendor x GL Analysis'!AD$20,'[1]NS Vendor Details'!$L:$L,'G&amp;A Vendor x GL Analysis'!$D70,'[1]NS Vendor Details'!$O:$O,'G&amp;A Vendor x GL Analysis'!$F70,'[1]NS Vendor Details'!$N:$N,'G&amp;A Vendor x GL Analysis'!$C70,'[1]NS Vendor Details'!$K:$K,'G&amp;A Vendor x GL Analysis'!$E$8,'[1]NS Vendor Details'!$I:$I,'G&amp;A Vendor x GL Analysis'!$E70),0))</f>
        <v>0</v>
      </c>
      <c r="AF70" s="19">
        <f t="shared" si="9"/>
        <v>1400.75</v>
      </c>
    </row>
    <row r="71" spans="1:32" outlineLevel="1">
      <c r="A71" s="8" t="str">
        <f t="shared" si="8"/>
        <v>Sample6370 - Samples</v>
      </c>
      <c r="C71" s="8" t="s">
        <v>11</v>
      </c>
      <c r="D71" s="8" t="str">
        <f t="shared" si="17"/>
        <v>Sample</v>
      </c>
      <c r="E71" s="2" t="s">
        <v>61</v>
      </c>
      <c r="F71" s="2" t="s">
        <v>60</v>
      </c>
      <c r="G71" s="16">
        <f>IF(AND(G$15="Actual",ISBLANK($E$8)),SUMIFS('[1]NS Vendor Details'!$D:$D,'[1]NS Vendor Details'!$H:$H,'G&amp;A Vendor x GL Analysis'!G$20,'[1]NS Vendor Details'!$L:$L,'G&amp;A Vendor x GL Analysis'!$D71,'[1]NS Vendor Details'!$O:$O,'G&amp;A Vendor x GL Analysis'!$F71,'[1]NS Vendor Details'!$N:$N,'G&amp;A Vendor x GL Analysis'!$C71),IF(G$15="Actual",SUMIFS('[1]NS Vendor Details'!$D:$D,'[1]NS Vendor Details'!$H:$H,'G&amp;A Vendor x GL Analysis'!G$20,'[1]NS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0</v>
      </c>
      <c r="H71" s="17">
        <f>IF(AND(H$15="Actual",ISBLANK($E$8)),SUMIFS('[1]NS Vendor Details'!$D:$D,'[1]NS Vendor Details'!$H:$H,'G&amp;A Vendor x GL Analysis'!H$20,'[1]NS Vendor Details'!$L:$L,'G&amp;A Vendor x GL Analysis'!$D71,'[1]NS Vendor Details'!$O:$O,'G&amp;A Vendor x GL Analysis'!$F71,'[1]NS Vendor Details'!$N:$N,'G&amp;A Vendor x GL Analysis'!$C71),IF(H$15="Actual",SUMIFS('[1]NS Vendor Details'!$D:$D,'[1]NS Vendor Details'!$H:$H,'G&amp;A Vendor x GL Analysis'!H$20,'[1]NS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37222.1</v>
      </c>
      <c r="I71" s="17">
        <f>IF(AND(I$15="Actual",ISBLANK($E$8)),SUMIFS('[1]NS Vendor Details'!$D:$D,'[1]NS Vendor Details'!$H:$H,'G&amp;A Vendor x GL Analysis'!I$20,'[1]NS Vendor Details'!$L:$L,'G&amp;A Vendor x GL Analysis'!$D71,'[1]NS Vendor Details'!$O:$O,'G&amp;A Vendor x GL Analysis'!$F71,'[1]NS Vendor Details'!$N:$N,'G&amp;A Vendor x GL Analysis'!$C71),IF(I$15="Actual",SUMIFS('[1]NS Vendor Details'!$D:$D,'[1]NS Vendor Details'!$H:$H,'G&amp;A Vendor x GL Analysis'!I$20,'[1]NS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0</v>
      </c>
      <c r="J71" s="17">
        <f>IF(AND(J$15="Actual",ISBLANK($E$8)),SUMIFS('[1]NS Vendor Details'!$D:$D,'[1]NS Vendor Details'!$H:$H,'G&amp;A Vendor x GL Analysis'!J$20,'[1]NS Vendor Details'!$L:$L,'G&amp;A Vendor x GL Analysis'!$D71,'[1]NS Vendor Details'!$O:$O,'G&amp;A Vendor x GL Analysis'!$F71,'[1]NS Vendor Details'!$N:$N,'G&amp;A Vendor x GL Analysis'!$C71),IF(J$15="Actual",SUMIFS('[1]NS Vendor Details'!$D:$D,'[1]NS Vendor Details'!$H:$H,'G&amp;A Vendor x GL Analysis'!J$20,'[1]NS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0</v>
      </c>
      <c r="K71" s="17">
        <f>IF(AND(K$15="Actual",ISBLANK($E$8)),SUMIFS('[1]NS Vendor Details'!$D:$D,'[1]NS Vendor Details'!$H:$H,'G&amp;A Vendor x GL Analysis'!K$20,'[1]NS Vendor Details'!$L:$L,'G&amp;A Vendor x GL Analysis'!$D71,'[1]NS Vendor Details'!$O:$O,'G&amp;A Vendor x GL Analysis'!$F71,'[1]NS Vendor Details'!$N:$N,'G&amp;A Vendor x GL Analysis'!$C71),IF(K$15="Actual",SUMIFS('[1]NS Vendor Details'!$D:$D,'[1]NS Vendor Details'!$H:$H,'G&amp;A Vendor x GL Analysis'!K$20,'[1]NS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8957.9</v>
      </c>
      <c r="L71" s="17">
        <f>IF(AND(L$15="Actual",ISBLANK($E$8)),SUMIFS('[1]NS Vendor Details'!$D:$D,'[1]NS Vendor Details'!$H:$H,'G&amp;A Vendor x GL Analysis'!L$20,'[1]NS Vendor Details'!$L:$L,'G&amp;A Vendor x GL Analysis'!$D71,'[1]NS Vendor Details'!$O:$O,'G&amp;A Vendor x GL Analysis'!$F71,'[1]NS Vendor Details'!$N:$N,'G&amp;A Vendor x GL Analysis'!$C71),IF(L$15="Actual",SUMIFS('[1]NS Vendor Details'!$D:$D,'[1]NS Vendor Details'!$H:$H,'G&amp;A Vendor x GL Analysis'!L$20,'[1]NS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9566.9500000000007</v>
      </c>
      <c r="M71" s="17">
        <f>IF(AND(M$15="Actual",ISBLANK($E$8)),SUMIFS('[1]NS Vendor Details'!$D:$D,'[1]NS Vendor Details'!$H:$H,'G&amp;A Vendor x GL Analysis'!M$20,'[1]NS Vendor Details'!$L:$L,'G&amp;A Vendor x GL Analysis'!$D71,'[1]NS Vendor Details'!$O:$O,'G&amp;A Vendor x GL Analysis'!$F71,'[1]NS Vendor Details'!$N:$N,'G&amp;A Vendor x GL Analysis'!$C71),IF(M$15="Actual",SUMIFS('[1]NS Vendor Details'!$D:$D,'[1]NS Vendor Details'!$H:$H,'G&amp;A Vendor x GL Analysis'!M$20,'[1]NS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1300</v>
      </c>
      <c r="N71" s="17">
        <f>IF(AND(N$15="Actual",ISBLANK($E$8)),SUMIFS('[1]NS Vendor Details'!$D:$D,'[1]NS Vendor Details'!$H:$H,'G&amp;A Vendor x GL Analysis'!N$20,'[1]NS Vendor Details'!$L:$L,'G&amp;A Vendor x GL Analysis'!$D71,'[1]NS Vendor Details'!$O:$O,'G&amp;A Vendor x GL Analysis'!$F71,'[1]NS Vendor Details'!$N:$N,'G&amp;A Vendor x GL Analysis'!$C71),IF(N$15="Actual",SUMIFS('[1]NS Vendor Details'!$D:$D,'[1]NS Vendor Details'!$H:$H,'G&amp;A Vendor x GL Analysis'!N$20,'[1]NS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29885.3</v>
      </c>
      <c r="O71" s="17">
        <f>IF(AND(O$15="Actual",ISBLANK($E$8)),SUMIFS('[1]NS Vendor Details'!$D:$D,'[1]NS Vendor Details'!$H:$H,'G&amp;A Vendor x GL Analysis'!O$20,'[1]NS Vendor Details'!$L:$L,'G&amp;A Vendor x GL Analysis'!$D71,'[1]NS Vendor Details'!$O:$O,'G&amp;A Vendor x GL Analysis'!$F71,'[1]NS Vendor Details'!$N:$N,'G&amp;A Vendor x GL Analysis'!$C71),IF(O$15="Actual",SUMIFS('[1]NS Vendor Details'!$D:$D,'[1]NS Vendor Details'!$H:$H,'G&amp;A Vendor x GL Analysis'!O$20,'[1]NS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1127.44</v>
      </c>
      <c r="P71" s="17">
        <f>IF(AND(P$15="Actual",ISBLANK($E$8)),SUMIFS('[1]NS Vendor Details'!$D:$D,'[1]NS Vendor Details'!$H:$H,'G&amp;A Vendor x GL Analysis'!P$20,'[1]NS Vendor Details'!$L:$L,'G&amp;A Vendor x GL Analysis'!$D71,'[1]NS Vendor Details'!$O:$O,'G&amp;A Vendor x GL Analysis'!$F71,'[1]NS Vendor Details'!$N:$N,'G&amp;A Vendor x GL Analysis'!$C71),IF(P$15="Actual",SUMIFS('[1]NS Vendor Details'!$D:$D,'[1]NS Vendor Details'!$H:$H,'G&amp;A Vendor x GL Analysis'!P$20,'[1]NS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8795.5600000000013</v>
      </c>
      <c r="Q71" s="17">
        <f>IF(AND(Q$15="Actual",ISBLANK($E$8)),SUMIFS('[1]NS Vendor Details'!$D:$D,'[1]NS Vendor Details'!$H:$H,'G&amp;A Vendor x GL Analysis'!Q$20,'[1]NS Vendor Details'!$L:$L,'G&amp;A Vendor x GL Analysis'!$D71,'[1]NS Vendor Details'!$O:$O,'G&amp;A Vendor x GL Analysis'!$F71,'[1]NS Vendor Details'!$N:$N,'G&amp;A Vendor x GL Analysis'!$C71),IF(Q$15="Actual",SUMIFS('[1]NS Vendor Details'!$D:$D,'[1]NS Vendor Details'!$H:$H,'G&amp;A Vendor x GL Analysis'!Q$20,'[1]NS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0</v>
      </c>
      <c r="R71" s="18">
        <f>IF(AND(R$15="Actual",ISBLANK($E$8)),SUMIFS('[1]NS Vendor Details'!$D:$D,'[1]NS Vendor Details'!$H:$H,'G&amp;A Vendor x GL Analysis'!R$20,'[1]NS Vendor Details'!$L:$L,'G&amp;A Vendor x GL Analysis'!$D71,'[1]NS Vendor Details'!$O:$O,'G&amp;A Vendor x GL Analysis'!$F71,'[1]NS Vendor Details'!$N:$N,'G&amp;A Vendor x GL Analysis'!$C71),IF(R$15="Actual",SUMIFS('[1]NS Vendor Details'!$D:$D,'[1]NS Vendor Details'!$H:$H,'G&amp;A Vendor x GL Analysis'!R$20,'[1]NS Vendor Details'!$L:$L,'G&amp;A Vendor x GL Analysis'!$D71,'[1]NS Vendor Details'!$O:$O,'G&amp;A Vendor x GL Analysis'!$F71,'[1]NS Vendor Details'!$N:$N,'G&amp;A Vendor x GL Analysis'!$C71,'[1]NS Vendor Details'!$K:$K,'G&amp;A Vendor x GL Analysis'!$E$8),0))</f>
        <v>0</v>
      </c>
      <c r="S71" s="16">
        <f>IF(AND(S$15="Actual",ISBLANK($E$8)),SUMIFS('[1]NS Vendor Details'!$D:$D,'[1]NS Vendor Details'!$H:$H,'G&amp;A Vendor x GL Analysis'!S$20,'[1]NS Vendor Details'!$L:$L,'G&amp;A Vendor x GL Analysis'!$D71,'[1]NS Vendor Details'!$O:$O,'G&amp;A Vendor x GL Analysis'!$F71,'[1]NS Vendor Details'!$N:$N,'G&amp;A Vendor x GL Analysis'!$C71,'[1]NS Vendor Details'!$I:$I,'G&amp;A Vendor x GL Analysis'!$E71),IF(S$15="Actual",SUMIFS('[1]NS Vendor Details'!$D:$D,'[1]NS Vendor Details'!$H:$H,'G&amp;A Vendor x GL Analysis'!S$20,'[1]NS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T71" s="17">
        <f>IF(AND(T$15="Actual",ISBLANK($E$8)),SUMIFS('[1]NS Vendor Details'!$D:$D,'[1]NS Vendor Details'!$H:$H,'G&amp;A Vendor x GL Analysis'!T$20,'[1]NS Vendor Details'!$L:$L,'G&amp;A Vendor x GL Analysis'!$D71,'[1]NS Vendor Details'!$O:$O,'G&amp;A Vendor x GL Analysis'!$F71,'[1]NS Vendor Details'!$N:$N,'G&amp;A Vendor x GL Analysis'!$C71,'[1]NS Vendor Details'!$I:$I,'G&amp;A Vendor x GL Analysis'!$E71),IF(T$15="Actual",SUMIFS('[1]NS Vendor Details'!$D:$D,'[1]NS Vendor Details'!$H:$H,'G&amp;A Vendor x GL Analysis'!T$20,'[1]NS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U71" s="17">
        <f>IF(AND(U$15="Actual",ISBLANK($E$8)),SUMIFS('[1]NS Vendor Details'!$D:$D,'[1]NS Vendor Details'!$H:$H,'G&amp;A Vendor x GL Analysis'!U$20,'[1]NS Vendor Details'!$L:$L,'G&amp;A Vendor x GL Analysis'!$D71,'[1]NS Vendor Details'!$O:$O,'G&amp;A Vendor x GL Analysis'!$F71,'[1]NS Vendor Details'!$N:$N,'G&amp;A Vendor x GL Analysis'!$C71,'[1]NS Vendor Details'!$I:$I,'G&amp;A Vendor x GL Analysis'!$E71),IF(U$15="Actual",SUMIFS('[1]NS Vendor Details'!$D:$D,'[1]NS Vendor Details'!$H:$H,'G&amp;A Vendor x GL Analysis'!U$20,'[1]NS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V71" s="17">
        <f>IF(AND(V$15="Actual",ISBLANK($E$8)),SUMIFS('[1]NS Vendor Details'!$D:$D,'[1]NS Vendor Details'!$H:$H,'G&amp;A Vendor x GL Analysis'!V$20,'[1]NS Vendor Details'!$L:$L,'G&amp;A Vendor x GL Analysis'!$D71,'[1]NS Vendor Details'!$O:$O,'G&amp;A Vendor x GL Analysis'!$F71,'[1]NS Vendor Details'!$N:$N,'G&amp;A Vendor x GL Analysis'!$C71,'[1]NS Vendor Details'!$I:$I,'G&amp;A Vendor x GL Analysis'!$E71),IF(V$15="Actual",SUMIFS('[1]NS Vendor Details'!$D:$D,'[1]NS Vendor Details'!$H:$H,'G&amp;A Vendor x GL Analysis'!V$20,'[1]NS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6819.92</v>
      </c>
      <c r="W71" s="17">
        <f>IF(AND(W$15="Actual",ISBLANK($E$8)),SUMIFS('[1]NS Vendor Details'!$D:$D,'[1]NS Vendor Details'!$H:$H,'G&amp;A Vendor x GL Analysis'!W$20,'[1]NS Vendor Details'!$L:$L,'G&amp;A Vendor x GL Analysis'!$D71,'[1]NS Vendor Details'!$O:$O,'G&amp;A Vendor x GL Analysis'!$F71,'[1]NS Vendor Details'!$N:$N,'G&amp;A Vendor x GL Analysis'!$C71,'[1]NS Vendor Details'!$I:$I,'G&amp;A Vendor x GL Analysis'!$E71),IF(W$15="Actual",SUMIFS('[1]NS Vendor Details'!$D:$D,'[1]NS Vendor Details'!$H:$H,'G&amp;A Vendor x GL Analysis'!W$20,'[1]NS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X71" s="17">
        <f>IF(AND(X$15="Actual",ISBLANK($E$8)),SUMIFS('[1]NS Vendor Details'!$D:$D,'[1]NS Vendor Details'!$H:$H,'G&amp;A Vendor x GL Analysis'!X$20,'[1]NS Vendor Details'!$L:$L,'G&amp;A Vendor x GL Analysis'!$D71,'[1]NS Vendor Details'!$O:$O,'G&amp;A Vendor x GL Analysis'!$F71,'[1]NS Vendor Details'!$N:$N,'G&amp;A Vendor x GL Analysis'!$C71,'[1]NS Vendor Details'!$I:$I,'G&amp;A Vendor x GL Analysis'!$E71),IF(X$15="Actual",SUMIFS('[1]NS Vendor Details'!$D:$D,'[1]NS Vendor Details'!$H:$H,'G&amp;A Vendor x GL Analysis'!X$20,'[1]NS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2240.2800000000002</v>
      </c>
      <c r="Y71" s="17">
        <f>IF(AND(Y$15="Actual",ISBLANK($E$8)),SUMIFS('[1]NS Vendor Details'!$D:$D,'[1]NS Vendor Details'!$H:$H,'G&amp;A Vendor x GL Analysis'!Y$20,'[1]NS Vendor Details'!$L:$L,'G&amp;A Vendor x GL Analysis'!$D71,'[1]NS Vendor Details'!$O:$O,'G&amp;A Vendor x GL Analysis'!$F71,'[1]NS Vendor Details'!$N:$N,'G&amp;A Vendor x GL Analysis'!$C71,'[1]NS Vendor Details'!$I:$I,'G&amp;A Vendor x GL Analysis'!$E71),IF(Y$15="Actual",SUMIFS('[1]NS Vendor Details'!$D:$D,'[1]NS Vendor Details'!$H:$H,'G&amp;A Vendor x GL Analysis'!Y$20,'[1]NS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Z71" s="17">
        <f>IF(AND(Z$15="Actual",ISBLANK($E$8)),SUMIFS('[1]NS Vendor Details'!$D:$D,'[1]NS Vendor Details'!$H:$H,'G&amp;A Vendor x GL Analysis'!Z$20,'[1]NS Vendor Details'!$L:$L,'G&amp;A Vendor x GL Analysis'!$D71,'[1]NS Vendor Details'!$O:$O,'G&amp;A Vendor x GL Analysis'!$F71,'[1]NS Vendor Details'!$N:$N,'G&amp;A Vendor x GL Analysis'!$C71,'[1]NS Vendor Details'!$I:$I,'G&amp;A Vendor x GL Analysis'!$E71),IF(Z$15="Actual",SUMIFS('[1]NS Vendor Details'!$D:$D,'[1]NS Vendor Details'!$H:$H,'G&amp;A Vendor x GL Analysis'!Z$20,'[1]NS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AA71" s="17">
        <f>IF(AND(AA$15="Actual",ISBLANK($E$8)),SUMIFS('[1]NS Vendor Details'!$D:$D,'[1]NS Vendor Details'!$H:$H,'G&amp;A Vendor x GL Analysis'!AA$20,'[1]NS Vendor Details'!$L:$L,'G&amp;A Vendor x GL Analysis'!$D71,'[1]NS Vendor Details'!$O:$O,'G&amp;A Vendor x GL Analysis'!$F71,'[1]NS Vendor Details'!$N:$N,'G&amp;A Vendor x GL Analysis'!$C71,'[1]NS Vendor Details'!$I:$I,'G&amp;A Vendor x GL Analysis'!$E71),IF(AA$15="Actual",SUMIFS('[1]NS Vendor Details'!$D:$D,'[1]NS Vendor Details'!$H:$H,'G&amp;A Vendor x GL Analysis'!AA$20,'[1]NS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AB71" s="17">
        <f>IF(AND(AB$15="Actual",ISBLANK($E$8)),SUMIFS('[1]NS Vendor Details'!$D:$D,'[1]NS Vendor Details'!$H:$H,'G&amp;A Vendor x GL Analysis'!AB$20,'[1]NS Vendor Details'!$L:$L,'G&amp;A Vendor x GL Analysis'!$D71,'[1]NS Vendor Details'!$O:$O,'G&amp;A Vendor x GL Analysis'!$F71,'[1]NS Vendor Details'!$N:$N,'G&amp;A Vendor x GL Analysis'!$C71,'[1]NS Vendor Details'!$I:$I,'G&amp;A Vendor x GL Analysis'!$E71),IF(AB$15="Actual",SUMIFS('[1]NS Vendor Details'!$D:$D,'[1]NS Vendor Details'!$H:$H,'G&amp;A Vendor x GL Analysis'!AB$20,'[1]NS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6867.14</v>
      </c>
      <c r="AC71" s="18">
        <f>IF(AND(AC$15="Actual",ISBLANK($E$8)),SUMIFS('[1]NS Vendor Details'!$D:$D,'[1]NS Vendor Details'!$H:$H,'G&amp;A Vendor x GL Analysis'!AC$20,'[1]NS Vendor Details'!$L:$L,'G&amp;A Vendor x GL Analysis'!$D71,'[1]NS Vendor Details'!$O:$O,'G&amp;A Vendor x GL Analysis'!$F71,'[1]NS Vendor Details'!$N:$N,'G&amp;A Vendor x GL Analysis'!$C71,'[1]NS Vendor Details'!$I:$I,'G&amp;A Vendor x GL Analysis'!$E71),IF(AC$15="Actual",SUMIFS('[1]NS Vendor Details'!$D:$D,'[1]NS Vendor Details'!$H:$H,'G&amp;A Vendor x GL Analysis'!AC$20,'[1]NS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AD71" s="18">
        <f>IF(AND(AD$15="Actual",ISBLANK($E$8)),SUMIFS('[1]NS Vendor Details'!$D:$D,'[1]NS Vendor Details'!$H:$H,'G&amp;A Vendor x GL Analysis'!AD$20,'[1]NS Vendor Details'!$L:$L,'G&amp;A Vendor x GL Analysis'!$D71,'[1]NS Vendor Details'!$O:$O,'G&amp;A Vendor x GL Analysis'!$F71,'[1]NS Vendor Details'!$N:$N,'G&amp;A Vendor x GL Analysis'!$C71,'[1]NS Vendor Details'!$I:$I,'G&amp;A Vendor x GL Analysis'!$E71),IF(AD$15="Actual",SUMIFS('[1]NS Vendor Details'!$D:$D,'[1]NS Vendor Details'!$H:$H,'G&amp;A Vendor x GL Analysis'!AD$20,'[1]NS Vendor Details'!$L:$L,'G&amp;A Vendor x GL Analysis'!$D71,'[1]NS Vendor Details'!$O:$O,'G&amp;A Vendor x GL Analysis'!$F71,'[1]NS Vendor Details'!$N:$N,'G&amp;A Vendor x GL Analysis'!$C71,'[1]NS Vendor Details'!$K:$K,'G&amp;A Vendor x GL Analysis'!$E$8,'[1]NS Vendor Details'!$I:$I,'G&amp;A Vendor x GL Analysis'!$E71),0))</f>
        <v>0</v>
      </c>
      <c r="AF71" s="19">
        <f t="shared" si="9"/>
        <v>15927.34</v>
      </c>
    </row>
    <row r="72" spans="1:32" outlineLevel="1">
      <c r="A72" s="8" t="str">
        <f t="shared" si="8"/>
        <v>Sample6370 - Samples</v>
      </c>
      <c r="C72" s="8" t="s">
        <v>11</v>
      </c>
      <c r="D72" s="8" t="str">
        <f t="shared" si="17"/>
        <v>Sample</v>
      </c>
      <c r="E72" s="2" t="s">
        <v>61</v>
      </c>
      <c r="F72" s="2" t="s">
        <v>63</v>
      </c>
      <c r="G72" s="16">
        <f>IF(AND(G$15="Actual",ISBLANK($E$8)),SUMIFS('[1]NS Vendor Details'!$D:$D,'[1]NS Vendor Details'!$H:$H,'G&amp;A Vendor x GL Analysis'!G$20,'[1]NS Vendor Details'!$L:$L,'G&amp;A Vendor x GL Analysis'!$D72,'[1]NS Vendor Details'!$O:$O,'G&amp;A Vendor x GL Analysis'!$F72,'[1]NS Vendor Details'!$N:$N,'G&amp;A Vendor x GL Analysis'!$C72),IF(G$15="Actual",SUMIFS('[1]NS Vendor Details'!$D:$D,'[1]NS Vendor Details'!$H:$H,'G&amp;A Vendor x GL Analysis'!G$20,'[1]NS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H72" s="17">
        <f>IF(AND(H$15="Actual",ISBLANK($E$8)),SUMIFS('[1]NS Vendor Details'!$D:$D,'[1]NS Vendor Details'!$H:$H,'G&amp;A Vendor x GL Analysis'!H$20,'[1]NS Vendor Details'!$L:$L,'G&amp;A Vendor x GL Analysis'!$D72,'[1]NS Vendor Details'!$O:$O,'G&amp;A Vendor x GL Analysis'!$F72,'[1]NS Vendor Details'!$N:$N,'G&amp;A Vendor x GL Analysis'!$C72),IF(H$15="Actual",SUMIFS('[1]NS Vendor Details'!$D:$D,'[1]NS Vendor Details'!$H:$H,'G&amp;A Vendor x GL Analysis'!H$20,'[1]NS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I72" s="17">
        <f>IF(AND(I$15="Actual",ISBLANK($E$8)),SUMIFS('[1]NS Vendor Details'!$D:$D,'[1]NS Vendor Details'!$H:$H,'G&amp;A Vendor x GL Analysis'!I$20,'[1]NS Vendor Details'!$L:$L,'G&amp;A Vendor x GL Analysis'!$D72,'[1]NS Vendor Details'!$O:$O,'G&amp;A Vendor x GL Analysis'!$F72,'[1]NS Vendor Details'!$N:$N,'G&amp;A Vendor x GL Analysis'!$C72),IF(I$15="Actual",SUMIFS('[1]NS Vendor Details'!$D:$D,'[1]NS Vendor Details'!$H:$H,'G&amp;A Vendor x GL Analysis'!I$20,'[1]NS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J72" s="17">
        <f>IF(AND(J$15="Actual",ISBLANK($E$8)),SUMIFS('[1]NS Vendor Details'!$D:$D,'[1]NS Vendor Details'!$H:$H,'G&amp;A Vendor x GL Analysis'!J$20,'[1]NS Vendor Details'!$L:$L,'G&amp;A Vendor x GL Analysis'!$D72,'[1]NS Vendor Details'!$O:$O,'G&amp;A Vendor x GL Analysis'!$F72,'[1]NS Vendor Details'!$N:$N,'G&amp;A Vendor x GL Analysis'!$C72),IF(J$15="Actual",SUMIFS('[1]NS Vendor Details'!$D:$D,'[1]NS Vendor Details'!$H:$H,'G&amp;A Vendor x GL Analysis'!J$20,'[1]NS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K72" s="17">
        <f>IF(AND(K$15="Actual",ISBLANK($E$8)),SUMIFS('[1]NS Vendor Details'!$D:$D,'[1]NS Vendor Details'!$H:$H,'G&amp;A Vendor x GL Analysis'!K$20,'[1]NS Vendor Details'!$L:$L,'G&amp;A Vendor x GL Analysis'!$D72,'[1]NS Vendor Details'!$O:$O,'G&amp;A Vendor x GL Analysis'!$F72,'[1]NS Vendor Details'!$N:$N,'G&amp;A Vendor x GL Analysis'!$C72),IF(K$15="Actual",SUMIFS('[1]NS Vendor Details'!$D:$D,'[1]NS Vendor Details'!$H:$H,'G&amp;A Vendor x GL Analysis'!K$20,'[1]NS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L72" s="17">
        <f>IF(AND(L$15="Actual",ISBLANK($E$8)),SUMIFS('[1]NS Vendor Details'!$D:$D,'[1]NS Vendor Details'!$H:$H,'G&amp;A Vendor x GL Analysis'!L$20,'[1]NS Vendor Details'!$L:$L,'G&amp;A Vendor x GL Analysis'!$D72,'[1]NS Vendor Details'!$O:$O,'G&amp;A Vendor x GL Analysis'!$F72,'[1]NS Vendor Details'!$N:$N,'G&amp;A Vendor x GL Analysis'!$C72),IF(L$15="Actual",SUMIFS('[1]NS Vendor Details'!$D:$D,'[1]NS Vendor Details'!$H:$H,'G&amp;A Vendor x GL Analysis'!L$20,'[1]NS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M72" s="17">
        <f>IF(AND(M$15="Actual",ISBLANK($E$8)),SUMIFS('[1]NS Vendor Details'!$D:$D,'[1]NS Vendor Details'!$H:$H,'G&amp;A Vendor x GL Analysis'!M$20,'[1]NS Vendor Details'!$L:$L,'G&amp;A Vendor x GL Analysis'!$D72,'[1]NS Vendor Details'!$O:$O,'G&amp;A Vendor x GL Analysis'!$F72,'[1]NS Vendor Details'!$N:$N,'G&amp;A Vendor x GL Analysis'!$C72),IF(M$15="Actual",SUMIFS('[1]NS Vendor Details'!$D:$D,'[1]NS Vendor Details'!$H:$H,'G&amp;A Vendor x GL Analysis'!M$20,'[1]NS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N72" s="17">
        <f>IF(AND(N$15="Actual",ISBLANK($E$8)),SUMIFS('[1]NS Vendor Details'!$D:$D,'[1]NS Vendor Details'!$H:$H,'G&amp;A Vendor x GL Analysis'!N$20,'[1]NS Vendor Details'!$L:$L,'G&amp;A Vendor x GL Analysis'!$D72,'[1]NS Vendor Details'!$O:$O,'G&amp;A Vendor x GL Analysis'!$F72,'[1]NS Vendor Details'!$N:$N,'G&amp;A Vendor x GL Analysis'!$C72),IF(N$15="Actual",SUMIFS('[1]NS Vendor Details'!$D:$D,'[1]NS Vendor Details'!$H:$H,'G&amp;A Vendor x GL Analysis'!N$20,'[1]NS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O72" s="17">
        <f>IF(AND(O$15="Actual",ISBLANK($E$8)),SUMIFS('[1]NS Vendor Details'!$D:$D,'[1]NS Vendor Details'!$H:$H,'G&amp;A Vendor x GL Analysis'!O$20,'[1]NS Vendor Details'!$L:$L,'G&amp;A Vendor x GL Analysis'!$D72,'[1]NS Vendor Details'!$O:$O,'G&amp;A Vendor x GL Analysis'!$F72,'[1]NS Vendor Details'!$N:$N,'G&amp;A Vendor x GL Analysis'!$C72),IF(O$15="Actual",SUMIFS('[1]NS Vendor Details'!$D:$D,'[1]NS Vendor Details'!$H:$H,'G&amp;A Vendor x GL Analysis'!O$20,'[1]NS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P72" s="17">
        <f>IF(AND(P$15="Actual",ISBLANK($E$8)),SUMIFS('[1]NS Vendor Details'!$D:$D,'[1]NS Vendor Details'!$H:$H,'G&amp;A Vendor x GL Analysis'!P$20,'[1]NS Vendor Details'!$L:$L,'G&amp;A Vendor x GL Analysis'!$D72,'[1]NS Vendor Details'!$O:$O,'G&amp;A Vendor x GL Analysis'!$F72,'[1]NS Vendor Details'!$N:$N,'G&amp;A Vendor x GL Analysis'!$C72),IF(P$15="Actual",SUMIFS('[1]NS Vendor Details'!$D:$D,'[1]NS Vendor Details'!$H:$H,'G&amp;A Vendor x GL Analysis'!P$20,'[1]NS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Q72" s="17">
        <f>IF(AND(Q$15="Actual",ISBLANK($E$8)),SUMIFS('[1]NS Vendor Details'!$D:$D,'[1]NS Vendor Details'!$H:$H,'G&amp;A Vendor x GL Analysis'!Q$20,'[1]NS Vendor Details'!$L:$L,'G&amp;A Vendor x GL Analysis'!$D72,'[1]NS Vendor Details'!$O:$O,'G&amp;A Vendor x GL Analysis'!$F72,'[1]NS Vendor Details'!$N:$N,'G&amp;A Vendor x GL Analysis'!$C72),IF(Q$15="Actual",SUMIFS('[1]NS Vendor Details'!$D:$D,'[1]NS Vendor Details'!$H:$H,'G&amp;A Vendor x GL Analysis'!Q$20,'[1]NS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R72" s="18">
        <f>IF(AND(R$15="Actual",ISBLANK($E$8)),SUMIFS('[1]NS Vendor Details'!$D:$D,'[1]NS Vendor Details'!$H:$H,'G&amp;A Vendor x GL Analysis'!R$20,'[1]NS Vendor Details'!$L:$L,'G&amp;A Vendor x GL Analysis'!$D72,'[1]NS Vendor Details'!$O:$O,'G&amp;A Vendor x GL Analysis'!$F72,'[1]NS Vendor Details'!$N:$N,'G&amp;A Vendor x GL Analysis'!$C72),IF(R$15="Actual",SUMIFS('[1]NS Vendor Details'!$D:$D,'[1]NS Vendor Details'!$H:$H,'G&amp;A Vendor x GL Analysis'!R$20,'[1]NS Vendor Details'!$L:$L,'G&amp;A Vendor x GL Analysis'!$D72,'[1]NS Vendor Details'!$O:$O,'G&amp;A Vendor x GL Analysis'!$F72,'[1]NS Vendor Details'!$N:$N,'G&amp;A Vendor x GL Analysis'!$C72,'[1]NS Vendor Details'!$K:$K,'G&amp;A Vendor x GL Analysis'!$E$8),0))</f>
        <v>0</v>
      </c>
      <c r="S72" s="16">
        <f>IF(AND(S$15="Actual",ISBLANK($E$8)),SUMIFS('[1]NS Vendor Details'!$D:$D,'[1]NS Vendor Details'!$H:$H,'G&amp;A Vendor x GL Analysis'!S$20,'[1]NS Vendor Details'!$L:$L,'G&amp;A Vendor x GL Analysis'!$D72,'[1]NS Vendor Details'!$O:$O,'G&amp;A Vendor x GL Analysis'!$F72,'[1]NS Vendor Details'!$N:$N,'G&amp;A Vendor x GL Analysis'!$C72,'[1]NS Vendor Details'!$I:$I,'G&amp;A Vendor x GL Analysis'!$E72),IF(S$15="Actual",SUMIFS('[1]NS Vendor Details'!$D:$D,'[1]NS Vendor Details'!$H:$H,'G&amp;A Vendor x GL Analysis'!S$20,'[1]NS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T72" s="17">
        <f>IF(AND(T$15="Actual",ISBLANK($E$8)),SUMIFS('[1]NS Vendor Details'!$D:$D,'[1]NS Vendor Details'!$H:$H,'G&amp;A Vendor x GL Analysis'!T$20,'[1]NS Vendor Details'!$L:$L,'G&amp;A Vendor x GL Analysis'!$D72,'[1]NS Vendor Details'!$O:$O,'G&amp;A Vendor x GL Analysis'!$F72,'[1]NS Vendor Details'!$N:$N,'G&amp;A Vendor x GL Analysis'!$C72,'[1]NS Vendor Details'!$I:$I,'G&amp;A Vendor x GL Analysis'!$E72),IF(T$15="Actual",SUMIFS('[1]NS Vendor Details'!$D:$D,'[1]NS Vendor Details'!$H:$H,'G&amp;A Vendor x GL Analysis'!T$20,'[1]NS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U72" s="17">
        <f>IF(AND(U$15="Actual",ISBLANK($E$8)),SUMIFS('[1]NS Vendor Details'!$D:$D,'[1]NS Vendor Details'!$H:$H,'G&amp;A Vendor x GL Analysis'!U$20,'[1]NS Vendor Details'!$L:$L,'G&amp;A Vendor x GL Analysis'!$D72,'[1]NS Vendor Details'!$O:$O,'G&amp;A Vendor x GL Analysis'!$F72,'[1]NS Vendor Details'!$N:$N,'G&amp;A Vendor x GL Analysis'!$C72,'[1]NS Vendor Details'!$I:$I,'G&amp;A Vendor x GL Analysis'!$E72),IF(U$15="Actual",SUMIFS('[1]NS Vendor Details'!$D:$D,'[1]NS Vendor Details'!$H:$H,'G&amp;A Vendor x GL Analysis'!U$20,'[1]NS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V72" s="17">
        <f>IF(AND(V$15="Actual",ISBLANK($E$8)),SUMIFS('[1]NS Vendor Details'!$D:$D,'[1]NS Vendor Details'!$H:$H,'G&amp;A Vendor x GL Analysis'!V$20,'[1]NS Vendor Details'!$L:$L,'G&amp;A Vendor x GL Analysis'!$D72,'[1]NS Vendor Details'!$O:$O,'G&amp;A Vendor x GL Analysis'!$F72,'[1]NS Vendor Details'!$N:$N,'G&amp;A Vendor x GL Analysis'!$C72,'[1]NS Vendor Details'!$I:$I,'G&amp;A Vendor x GL Analysis'!$E72),IF(V$15="Actual",SUMIFS('[1]NS Vendor Details'!$D:$D,'[1]NS Vendor Details'!$H:$H,'G&amp;A Vendor x GL Analysis'!V$20,'[1]NS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540</v>
      </c>
      <c r="W72" s="17">
        <f>IF(AND(W$15="Actual",ISBLANK($E$8)),SUMIFS('[1]NS Vendor Details'!$D:$D,'[1]NS Vendor Details'!$H:$H,'G&amp;A Vendor x GL Analysis'!W$20,'[1]NS Vendor Details'!$L:$L,'G&amp;A Vendor x GL Analysis'!$D72,'[1]NS Vendor Details'!$O:$O,'G&amp;A Vendor x GL Analysis'!$F72,'[1]NS Vendor Details'!$N:$N,'G&amp;A Vendor x GL Analysis'!$C72,'[1]NS Vendor Details'!$I:$I,'G&amp;A Vendor x GL Analysis'!$E72),IF(W$15="Actual",SUMIFS('[1]NS Vendor Details'!$D:$D,'[1]NS Vendor Details'!$H:$H,'G&amp;A Vendor x GL Analysis'!W$20,'[1]NS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X72" s="17">
        <f>IF(AND(X$15="Actual",ISBLANK($E$8)),SUMIFS('[1]NS Vendor Details'!$D:$D,'[1]NS Vendor Details'!$H:$H,'G&amp;A Vendor x GL Analysis'!X$20,'[1]NS Vendor Details'!$L:$L,'G&amp;A Vendor x GL Analysis'!$D72,'[1]NS Vendor Details'!$O:$O,'G&amp;A Vendor x GL Analysis'!$F72,'[1]NS Vendor Details'!$N:$N,'G&amp;A Vendor x GL Analysis'!$C72,'[1]NS Vendor Details'!$I:$I,'G&amp;A Vendor x GL Analysis'!$E72),IF(X$15="Actual",SUMIFS('[1]NS Vendor Details'!$D:$D,'[1]NS Vendor Details'!$H:$H,'G&amp;A Vendor x GL Analysis'!X$20,'[1]NS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Y72" s="17">
        <f>IF(AND(Y$15="Actual",ISBLANK($E$8)),SUMIFS('[1]NS Vendor Details'!$D:$D,'[1]NS Vendor Details'!$H:$H,'G&amp;A Vendor x GL Analysis'!Y$20,'[1]NS Vendor Details'!$L:$L,'G&amp;A Vendor x GL Analysis'!$D72,'[1]NS Vendor Details'!$O:$O,'G&amp;A Vendor x GL Analysis'!$F72,'[1]NS Vendor Details'!$N:$N,'G&amp;A Vendor x GL Analysis'!$C72,'[1]NS Vendor Details'!$I:$I,'G&amp;A Vendor x GL Analysis'!$E72),IF(Y$15="Actual",SUMIFS('[1]NS Vendor Details'!$D:$D,'[1]NS Vendor Details'!$H:$H,'G&amp;A Vendor x GL Analysis'!Y$20,'[1]NS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Z72" s="17">
        <f>IF(AND(Z$15="Actual",ISBLANK($E$8)),SUMIFS('[1]NS Vendor Details'!$D:$D,'[1]NS Vendor Details'!$H:$H,'G&amp;A Vendor x GL Analysis'!Z$20,'[1]NS Vendor Details'!$L:$L,'G&amp;A Vendor x GL Analysis'!$D72,'[1]NS Vendor Details'!$O:$O,'G&amp;A Vendor x GL Analysis'!$F72,'[1]NS Vendor Details'!$N:$N,'G&amp;A Vendor x GL Analysis'!$C72,'[1]NS Vendor Details'!$I:$I,'G&amp;A Vendor x GL Analysis'!$E72),IF(Z$15="Actual",SUMIFS('[1]NS Vendor Details'!$D:$D,'[1]NS Vendor Details'!$H:$H,'G&amp;A Vendor x GL Analysis'!Z$20,'[1]NS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AA72" s="17">
        <f>IF(AND(AA$15="Actual",ISBLANK($E$8)),SUMIFS('[1]NS Vendor Details'!$D:$D,'[1]NS Vendor Details'!$H:$H,'G&amp;A Vendor x GL Analysis'!AA$20,'[1]NS Vendor Details'!$L:$L,'G&amp;A Vendor x GL Analysis'!$D72,'[1]NS Vendor Details'!$O:$O,'G&amp;A Vendor x GL Analysis'!$F72,'[1]NS Vendor Details'!$N:$N,'G&amp;A Vendor x GL Analysis'!$C72,'[1]NS Vendor Details'!$I:$I,'G&amp;A Vendor x GL Analysis'!$E72),IF(AA$15="Actual",SUMIFS('[1]NS Vendor Details'!$D:$D,'[1]NS Vendor Details'!$H:$H,'G&amp;A Vendor x GL Analysis'!AA$20,'[1]NS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AB72" s="17">
        <f>IF(AND(AB$15="Actual",ISBLANK($E$8)),SUMIFS('[1]NS Vendor Details'!$D:$D,'[1]NS Vendor Details'!$H:$H,'G&amp;A Vendor x GL Analysis'!AB$20,'[1]NS Vendor Details'!$L:$L,'G&amp;A Vendor x GL Analysis'!$D72,'[1]NS Vendor Details'!$O:$O,'G&amp;A Vendor x GL Analysis'!$F72,'[1]NS Vendor Details'!$N:$N,'G&amp;A Vendor x GL Analysis'!$C72,'[1]NS Vendor Details'!$I:$I,'G&amp;A Vendor x GL Analysis'!$E72),IF(AB$15="Actual",SUMIFS('[1]NS Vendor Details'!$D:$D,'[1]NS Vendor Details'!$H:$H,'G&amp;A Vendor x GL Analysis'!AB$20,'[1]NS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AC72" s="18">
        <f>IF(AND(AC$15="Actual",ISBLANK($E$8)),SUMIFS('[1]NS Vendor Details'!$D:$D,'[1]NS Vendor Details'!$H:$H,'G&amp;A Vendor x GL Analysis'!AC$20,'[1]NS Vendor Details'!$L:$L,'G&amp;A Vendor x GL Analysis'!$D72,'[1]NS Vendor Details'!$O:$O,'G&amp;A Vendor x GL Analysis'!$F72,'[1]NS Vendor Details'!$N:$N,'G&amp;A Vendor x GL Analysis'!$C72,'[1]NS Vendor Details'!$I:$I,'G&amp;A Vendor x GL Analysis'!$E72),IF(AC$15="Actual",SUMIFS('[1]NS Vendor Details'!$D:$D,'[1]NS Vendor Details'!$H:$H,'G&amp;A Vendor x GL Analysis'!AC$20,'[1]NS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AD72" s="18">
        <f>IF(AND(AD$15="Actual",ISBLANK($E$8)),SUMIFS('[1]NS Vendor Details'!$D:$D,'[1]NS Vendor Details'!$H:$H,'G&amp;A Vendor x GL Analysis'!AD$20,'[1]NS Vendor Details'!$L:$L,'G&amp;A Vendor x GL Analysis'!$D72,'[1]NS Vendor Details'!$O:$O,'G&amp;A Vendor x GL Analysis'!$F72,'[1]NS Vendor Details'!$N:$N,'G&amp;A Vendor x GL Analysis'!$C72,'[1]NS Vendor Details'!$I:$I,'G&amp;A Vendor x GL Analysis'!$E72),IF(AD$15="Actual",SUMIFS('[1]NS Vendor Details'!$D:$D,'[1]NS Vendor Details'!$H:$H,'G&amp;A Vendor x GL Analysis'!AD$20,'[1]NS Vendor Details'!$L:$L,'G&amp;A Vendor x GL Analysis'!$D72,'[1]NS Vendor Details'!$O:$O,'G&amp;A Vendor x GL Analysis'!$F72,'[1]NS Vendor Details'!$N:$N,'G&amp;A Vendor x GL Analysis'!$C72,'[1]NS Vendor Details'!$K:$K,'G&amp;A Vendor x GL Analysis'!$E$8,'[1]NS Vendor Details'!$I:$I,'G&amp;A Vendor x GL Analysis'!$E72),0))</f>
        <v>0</v>
      </c>
      <c r="AF72" s="19">
        <f t="shared" si="9"/>
        <v>540</v>
      </c>
    </row>
    <row r="73" spans="1:32" outlineLevel="1">
      <c r="A73" s="8" t="str">
        <f t="shared" si="8"/>
        <v>Sample6370 - Samples</v>
      </c>
      <c r="C73" s="8" t="s">
        <v>11</v>
      </c>
      <c r="D73" s="8" t="str">
        <f t="shared" si="17"/>
        <v>Sample</v>
      </c>
      <c r="E73" s="2" t="s">
        <v>61</v>
      </c>
      <c r="F73" s="2" t="s">
        <v>64</v>
      </c>
      <c r="G73" s="16">
        <f>IF(AND(G$15="Actual",ISBLANK($E$8)),SUMIFS('[1]NS Vendor Details'!$D:$D,'[1]NS Vendor Details'!$H:$H,'G&amp;A Vendor x GL Analysis'!G$20,'[1]NS Vendor Details'!$L:$L,'G&amp;A Vendor x GL Analysis'!$D73,'[1]NS Vendor Details'!$O:$O,'G&amp;A Vendor x GL Analysis'!$F73,'[1]NS Vendor Details'!$N:$N,'G&amp;A Vendor x GL Analysis'!$C73),IF(G$15="Actual",SUMIFS('[1]NS Vendor Details'!$D:$D,'[1]NS Vendor Details'!$H:$H,'G&amp;A Vendor x GL Analysis'!G$20,'[1]NS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H73" s="17">
        <f>IF(AND(H$15="Actual",ISBLANK($E$8)),SUMIFS('[1]NS Vendor Details'!$D:$D,'[1]NS Vendor Details'!$H:$H,'G&amp;A Vendor x GL Analysis'!H$20,'[1]NS Vendor Details'!$L:$L,'G&amp;A Vendor x GL Analysis'!$D73,'[1]NS Vendor Details'!$O:$O,'G&amp;A Vendor x GL Analysis'!$F73,'[1]NS Vendor Details'!$N:$N,'G&amp;A Vendor x GL Analysis'!$C73),IF(H$15="Actual",SUMIFS('[1]NS Vendor Details'!$D:$D,'[1]NS Vendor Details'!$H:$H,'G&amp;A Vendor x GL Analysis'!H$20,'[1]NS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I73" s="17">
        <f>IF(AND(I$15="Actual",ISBLANK($E$8)),SUMIFS('[1]NS Vendor Details'!$D:$D,'[1]NS Vendor Details'!$H:$H,'G&amp;A Vendor x GL Analysis'!I$20,'[1]NS Vendor Details'!$L:$L,'G&amp;A Vendor x GL Analysis'!$D73,'[1]NS Vendor Details'!$O:$O,'G&amp;A Vendor x GL Analysis'!$F73,'[1]NS Vendor Details'!$N:$N,'G&amp;A Vendor x GL Analysis'!$C73),IF(I$15="Actual",SUMIFS('[1]NS Vendor Details'!$D:$D,'[1]NS Vendor Details'!$H:$H,'G&amp;A Vendor x GL Analysis'!I$20,'[1]NS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J73" s="17">
        <f>IF(AND(J$15="Actual",ISBLANK($E$8)),SUMIFS('[1]NS Vendor Details'!$D:$D,'[1]NS Vendor Details'!$H:$H,'G&amp;A Vendor x GL Analysis'!J$20,'[1]NS Vendor Details'!$L:$L,'G&amp;A Vendor x GL Analysis'!$D73,'[1]NS Vendor Details'!$O:$O,'G&amp;A Vendor x GL Analysis'!$F73,'[1]NS Vendor Details'!$N:$N,'G&amp;A Vendor x GL Analysis'!$C73),IF(J$15="Actual",SUMIFS('[1]NS Vendor Details'!$D:$D,'[1]NS Vendor Details'!$H:$H,'G&amp;A Vendor x GL Analysis'!J$20,'[1]NS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K73" s="17">
        <f>IF(AND(K$15="Actual",ISBLANK($E$8)),SUMIFS('[1]NS Vendor Details'!$D:$D,'[1]NS Vendor Details'!$H:$H,'G&amp;A Vendor x GL Analysis'!K$20,'[1]NS Vendor Details'!$L:$L,'G&amp;A Vendor x GL Analysis'!$D73,'[1]NS Vendor Details'!$O:$O,'G&amp;A Vendor x GL Analysis'!$F73,'[1]NS Vendor Details'!$N:$N,'G&amp;A Vendor x GL Analysis'!$C73),IF(K$15="Actual",SUMIFS('[1]NS Vendor Details'!$D:$D,'[1]NS Vendor Details'!$H:$H,'G&amp;A Vendor x GL Analysis'!K$20,'[1]NS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953</v>
      </c>
      <c r="L73" s="17">
        <f>IF(AND(L$15="Actual",ISBLANK($E$8)),SUMIFS('[1]NS Vendor Details'!$D:$D,'[1]NS Vendor Details'!$H:$H,'G&amp;A Vendor x GL Analysis'!L$20,'[1]NS Vendor Details'!$L:$L,'G&amp;A Vendor x GL Analysis'!$D73,'[1]NS Vendor Details'!$O:$O,'G&amp;A Vendor x GL Analysis'!$F73,'[1]NS Vendor Details'!$N:$N,'G&amp;A Vendor x GL Analysis'!$C73),IF(L$15="Actual",SUMIFS('[1]NS Vendor Details'!$D:$D,'[1]NS Vendor Details'!$H:$H,'G&amp;A Vendor x GL Analysis'!L$20,'[1]NS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M73" s="17">
        <f>IF(AND(M$15="Actual",ISBLANK($E$8)),SUMIFS('[1]NS Vendor Details'!$D:$D,'[1]NS Vendor Details'!$H:$H,'G&amp;A Vendor x GL Analysis'!M$20,'[1]NS Vendor Details'!$L:$L,'G&amp;A Vendor x GL Analysis'!$D73,'[1]NS Vendor Details'!$O:$O,'G&amp;A Vendor x GL Analysis'!$F73,'[1]NS Vendor Details'!$N:$N,'G&amp;A Vendor x GL Analysis'!$C73),IF(M$15="Actual",SUMIFS('[1]NS Vendor Details'!$D:$D,'[1]NS Vendor Details'!$H:$H,'G&amp;A Vendor x GL Analysis'!M$20,'[1]NS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N73" s="17">
        <f>IF(AND(N$15="Actual",ISBLANK($E$8)),SUMIFS('[1]NS Vendor Details'!$D:$D,'[1]NS Vendor Details'!$H:$H,'G&amp;A Vendor x GL Analysis'!N$20,'[1]NS Vendor Details'!$L:$L,'G&amp;A Vendor x GL Analysis'!$D73,'[1]NS Vendor Details'!$O:$O,'G&amp;A Vendor x GL Analysis'!$F73,'[1]NS Vendor Details'!$N:$N,'G&amp;A Vendor x GL Analysis'!$C73),IF(N$15="Actual",SUMIFS('[1]NS Vendor Details'!$D:$D,'[1]NS Vendor Details'!$H:$H,'G&amp;A Vendor x GL Analysis'!N$20,'[1]NS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O73" s="17">
        <f>IF(AND(O$15="Actual",ISBLANK($E$8)),SUMIFS('[1]NS Vendor Details'!$D:$D,'[1]NS Vendor Details'!$H:$H,'G&amp;A Vendor x GL Analysis'!O$20,'[1]NS Vendor Details'!$L:$L,'G&amp;A Vendor x GL Analysis'!$D73,'[1]NS Vendor Details'!$O:$O,'G&amp;A Vendor x GL Analysis'!$F73,'[1]NS Vendor Details'!$N:$N,'G&amp;A Vendor x GL Analysis'!$C73),IF(O$15="Actual",SUMIFS('[1]NS Vendor Details'!$D:$D,'[1]NS Vendor Details'!$H:$H,'G&amp;A Vendor x GL Analysis'!O$20,'[1]NS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P73" s="17">
        <f>IF(AND(P$15="Actual",ISBLANK($E$8)),SUMIFS('[1]NS Vendor Details'!$D:$D,'[1]NS Vendor Details'!$H:$H,'G&amp;A Vendor x GL Analysis'!P$20,'[1]NS Vendor Details'!$L:$L,'G&amp;A Vendor x GL Analysis'!$D73,'[1]NS Vendor Details'!$O:$O,'G&amp;A Vendor x GL Analysis'!$F73,'[1]NS Vendor Details'!$N:$N,'G&amp;A Vendor x GL Analysis'!$C73),IF(P$15="Actual",SUMIFS('[1]NS Vendor Details'!$D:$D,'[1]NS Vendor Details'!$H:$H,'G&amp;A Vendor x GL Analysis'!P$20,'[1]NS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Q73" s="17">
        <f>IF(AND(Q$15="Actual",ISBLANK($E$8)),SUMIFS('[1]NS Vendor Details'!$D:$D,'[1]NS Vendor Details'!$H:$H,'G&amp;A Vendor x GL Analysis'!Q$20,'[1]NS Vendor Details'!$L:$L,'G&amp;A Vendor x GL Analysis'!$D73,'[1]NS Vendor Details'!$O:$O,'G&amp;A Vendor x GL Analysis'!$F73,'[1]NS Vendor Details'!$N:$N,'G&amp;A Vendor x GL Analysis'!$C73),IF(Q$15="Actual",SUMIFS('[1]NS Vendor Details'!$D:$D,'[1]NS Vendor Details'!$H:$H,'G&amp;A Vendor x GL Analysis'!Q$20,'[1]NS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1354.88</v>
      </c>
      <c r="R73" s="18">
        <f>IF(AND(R$15="Actual",ISBLANK($E$8)),SUMIFS('[1]NS Vendor Details'!$D:$D,'[1]NS Vendor Details'!$H:$H,'G&amp;A Vendor x GL Analysis'!R$20,'[1]NS Vendor Details'!$L:$L,'G&amp;A Vendor x GL Analysis'!$D73,'[1]NS Vendor Details'!$O:$O,'G&amp;A Vendor x GL Analysis'!$F73,'[1]NS Vendor Details'!$N:$N,'G&amp;A Vendor x GL Analysis'!$C73),IF(R$15="Actual",SUMIFS('[1]NS Vendor Details'!$D:$D,'[1]NS Vendor Details'!$H:$H,'G&amp;A Vendor x GL Analysis'!R$20,'[1]NS Vendor Details'!$L:$L,'G&amp;A Vendor x GL Analysis'!$D73,'[1]NS Vendor Details'!$O:$O,'G&amp;A Vendor x GL Analysis'!$F73,'[1]NS Vendor Details'!$N:$N,'G&amp;A Vendor x GL Analysis'!$C73,'[1]NS Vendor Details'!$K:$K,'G&amp;A Vendor x GL Analysis'!$E$8),0))</f>
        <v>0</v>
      </c>
      <c r="S73" s="16">
        <f>IF(AND(S$15="Actual",ISBLANK($E$8)),SUMIFS('[1]NS Vendor Details'!$D:$D,'[1]NS Vendor Details'!$H:$H,'G&amp;A Vendor x GL Analysis'!S$20,'[1]NS Vendor Details'!$L:$L,'G&amp;A Vendor x GL Analysis'!$D73,'[1]NS Vendor Details'!$O:$O,'G&amp;A Vendor x GL Analysis'!$F73,'[1]NS Vendor Details'!$N:$N,'G&amp;A Vendor x GL Analysis'!$C73,'[1]NS Vendor Details'!$I:$I,'G&amp;A Vendor x GL Analysis'!$E73),IF(S$15="Actual",SUMIFS('[1]NS Vendor Details'!$D:$D,'[1]NS Vendor Details'!$H:$H,'G&amp;A Vendor x GL Analysis'!S$20,'[1]NS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T73" s="17">
        <f>IF(AND(T$15="Actual",ISBLANK($E$8)),SUMIFS('[1]NS Vendor Details'!$D:$D,'[1]NS Vendor Details'!$H:$H,'G&amp;A Vendor x GL Analysis'!T$20,'[1]NS Vendor Details'!$L:$L,'G&amp;A Vendor x GL Analysis'!$D73,'[1]NS Vendor Details'!$O:$O,'G&amp;A Vendor x GL Analysis'!$F73,'[1]NS Vendor Details'!$N:$N,'G&amp;A Vendor x GL Analysis'!$C73,'[1]NS Vendor Details'!$I:$I,'G&amp;A Vendor x GL Analysis'!$E73),IF(T$15="Actual",SUMIFS('[1]NS Vendor Details'!$D:$D,'[1]NS Vendor Details'!$H:$H,'G&amp;A Vendor x GL Analysis'!T$20,'[1]NS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U73" s="17">
        <f>IF(AND(U$15="Actual",ISBLANK($E$8)),SUMIFS('[1]NS Vendor Details'!$D:$D,'[1]NS Vendor Details'!$H:$H,'G&amp;A Vendor x GL Analysis'!U$20,'[1]NS Vendor Details'!$L:$L,'G&amp;A Vendor x GL Analysis'!$D73,'[1]NS Vendor Details'!$O:$O,'G&amp;A Vendor x GL Analysis'!$F73,'[1]NS Vendor Details'!$N:$N,'G&amp;A Vendor x GL Analysis'!$C73,'[1]NS Vendor Details'!$I:$I,'G&amp;A Vendor x GL Analysis'!$E73),IF(U$15="Actual",SUMIFS('[1]NS Vendor Details'!$D:$D,'[1]NS Vendor Details'!$H:$H,'G&amp;A Vendor x GL Analysis'!U$20,'[1]NS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V73" s="17">
        <f>IF(AND(V$15="Actual",ISBLANK($E$8)),SUMIFS('[1]NS Vendor Details'!$D:$D,'[1]NS Vendor Details'!$H:$H,'G&amp;A Vendor x GL Analysis'!V$20,'[1]NS Vendor Details'!$L:$L,'G&amp;A Vendor x GL Analysis'!$D73,'[1]NS Vendor Details'!$O:$O,'G&amp;A Vendor x GL Analysis'!$F73,'[1]NS Vendor Details'!$N:$N,'G&amp;A Vendor x GL Analysis'!$C73,'[1]NS Vendor Details'!$I:$I,'G&amp;A Vendor x GL Analysis'!$E73),IF(V$15="Actual",SUMIFS('[1]NS Vendor Details'!$D:$D,'[1]NS Vendor Details'!$H:$H,'G&amp;A Vendor x GL Analysis'!V$20,'[1]NS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5712.4</v>
      </c>
      <c r="W73" s="17">
        <f>IF(AND(W$15="Actual",ISBLANK($E$8)),SUMIFS('[1]NS Vendor Details'!$D:$D,'[1]NS Vendor Details'!$H:$H,'G&amp;A Vendor x GL Analysis'!W$20,'[1]NS Vendor Details'!$L:$L,'G&amp;A Vendor x GL Analysis'!$D73,'[1]NS Vendor Details'!$O:$O,'G&amp;A Vendor x GL Analysis'!$F73,'[1]NS Vendor Details'!$N:$N,'G&amp;A Vendor x GL Analysis'!$C73,'[1]NS Vendor Details'!$I:$I,'G&amp;A Vendor x GL Analysis'!$E73),IF(W$15="Actual",SUMIFS('[1]NS Vendor Details'!$D:$D,'[1]NS Vendor Details'!$H:$H,'G&amp;A Vendor x GL Analysis'!W$20,'[1]NS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X73" s="17">
        <f>IF(AND(X$15="Actual",ISBLANK($E$8)),SUMIFS('[1]NS Vendor Details'!$D:$D,'[1]NS Vendor Details'!$H:$H,'G&amp;A Vendor x GL Analysis'!X$20,'[1]NS Vendor Details'!$L:$L,'G&amp;A Vendor x GL Analysis'!$D73,'[1]NS Vendor Details'!$O:$O,'G&amp;A Vendor x GL Analysis'!$F73,'[1]NS Vendor Details'!$N:$N,'G&amp;A Vendor x GL Analysis'!$C73,'[1]NS Vendor Details'!$I:$I,'G&amp;A Vendor x GL Analysis'!$E73),IF(X$15="Actual",SUMIFS('[1]NS Vendor Details'!$D:$D,'[1]NS Vendor Details'!$H:$H,'G&amp;A Vendor x GL Analysis'!X$20,'[1]NS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Y73" s="17">
        <f>IF(AND(Y$15="Actual",ISBLANK($E$8)),SUMIFS('[1]NS Vendor Details'!$D:$D,'[1]NS Vendor Details'!$H:$H,'G&amp;A Vendor x GL Analysis'!Y$20,'[1]NS Vendor Details'!$L:$L,'G&amp;A Vendor x GL Analysis'!$D73,'[1]NS Vendor Details'!$O:$O,'G&amp;A Vendor x GL Analysis'!$F73,'[1]NS Vendor Details'!$N:$N,'G&amp;A Vendor x GL Analysis'!$C73,'[1]NS Vendor Details'!$I:$I,'G&amp;A Vendor x GL Analysis'!$E73),IF(Y$15="Actual",SUMIFS('[1]NS Vendor Details'!$D:$D,'[1]NS Vendor Details'!$H:$H,'G&amp;A Vendor x GL Analysis'!Y$20,'[1]NS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Z73" s="17">
        <f>IF(AND(Z$15="Actual",ISBLANK($E$8)),SUMIFS('[1]NS Vendor Details'!$D:$D,'[1]NS Vendor Details'!$H:$H,'G&amp;A Vendor x GL Analysis'!Z$20,'[1]NS Vendor Details'!$L:$L,'G&amp;A Vendor x GL Analysis'!$D73,'[1]NS Vendor Details'!$O:$O,'G&amp;A Vendor x GL Analysis'!$F73,'[1]NS Vendor Details'!$N:$N,'G&amp;A Vendor x GL Analysis'!$C73,'[1]NS Vendor Details'!$I:$I,'G&amp;A Vendor x GL Analysis'!$E73),IF(Z$15="Actual",SUMIFS('[1]NS Vendor Details'!$D:$D,'[1]NS Vendor Details'!$H:$H,'G&amp;A Vendor x GL Analysis'!Z$20,'[1]NS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AA73" s="17">
        <f>IF(AND(AA$15="Actual",ISBLANK($E$8)),SUMIFS('[1]NS Vendor Details'!$D:$D,'[1]NS Vendor Details'!$H:$H,'G&amp;A Vendor x GL Analysis'!AA$20,'[1]NS Vendor Details'!$L:$L,'G&amp;A Vendor x GL Analysis'!$D73,'[1]NS Vendor Details'!$O:$O,'G&amp;A Vendor x GL Analysis'!$F73,'[1]NS Vendor Details'!$N:$N,'G&amp;A Vendor x GL Analysis'!$C73,'[1]NS Vendor Details'!$I:$I,'G&amp;A Vendor x GL Analysis'!$E73),IF(AA$15="Actual",SUMIFS('[1]NS Vendor Details'!$D:$D,'[1]NS Vendor Details'!$H:$H,'G&amp;A Vendor x GL Analysis'!AA$20,'[1]NS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AB73" s="17">
        <f>IF(AND(AB$15="Actual",ISBLANK($E$8)),SUMIFS('[1]NS Vendor Details'!$D:$D,'[1]NS Vendor Details'!$H:$H,'G&amp;A Vendor x GL Analysis'!AB$20,'[1]NS Vendor Details'!$L:$L,'G&amp;A Vendor x GL Analysis'!$D73,'[1]NS Vendor Details'!$O:$O,'G&amp;A Vendor x GL Analysis'!$F73,'[1]NS Vendor Details'!$N:$N,'G&amp;A Vendor x GL Analysis'!$C73,'[1]NS Vendor Details'!$I:$I,'G&amp;A Vendor x GL Analysis'!$E73),IF(AB$15="Actual",SUMIFS('[1]NS Vendor Details'!$D:$D,'[1]NS Vendor Details'!$H:$H,'G&amp;A Vendor x GL Analysis'!AB$20,'[1]NS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2581.1999999999998</v>
      </c>
      <c r="AC73" s="18">
        <f>IF(AND(AC$15="Actual",ISBLANK($E$8)),SUMIFS('[1]NS Vendor Details'!$D:$D,'[1]NS Vendor Details'!$H:$H,'G&amp;A Vendor x GL Analysis'!AC$20,'[1]NS Vendor Details'!$L:$L,'G&amp;A Vendor x GL Analysis'!$D73,'[1]NS Vendor Details'!$O:$O,'G&amp;A Vendor x GL Analysis'!$F73,'[1]NS Vendor Details'!$N:$N,'G&amp;A Vendor x GL Analysis'!$C73,'[1]NS Vendor Details'!$I:$I,'G&amp;A Vendor x GL Analysis'!$E73),IF(AC$15="Actual",SUMIFS('[1]NS Vendor Details'!$D:$D,'[1]NS Vendor Details'!$H:$H,'G&amp;A Vendor x GL Analysis'!AC$20,'[1]NS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AD73" s="18">
        <f>IF(AND(AD$15="Actual",ISBLANK($E$8)),SUMIFS('[1]NS Vendor Details'!$D:$D,'[1]NS Vendor Details'!$H:$H,'G&amp;A Vendor x GL Analysis'!AD$20,'[1]NS Vendor Details'!$L:$L,'G&amp;A Vendor x GL Analysis'!$D73,'[1]NS Vendor Details'!$O:$O,'G&amp;A Vendor x GL Analysis'!$F73,'[1]NS Vendor Details'!$N:$N,'G&amp;A Vendor x GL Analysis'!$C73,'[1]NS Vendor Details'!$I:$I,'G&amp;A Vendor x GL Analysis'!$E73),IF(AD$15="Actual",SUMIFS('[1]NS Vendor Details'!$D:$D,'[1]NS Vendor Details'!$H:$H,'G&amp;A Vendor x GL Analysis'!AD$20,'[1]NS Vendor Details'!$L:$L,'G&amp;A Vendor x GL Analysis'!$D73,'[1]NS Vendor Details'!$O:$O,'G&amp;A Vendor x GL Analysis'!$F73,'[1]NS Vendor Details'!$N:$N,'G&amp;A Vendor x GL Analysis'!$C73,'[1]NS Vendor Details'!$K:$K,'G&amp;A Vendor x GL Analysis'!$E$8,'[1]NS Vendor Details'!$I:$I,'G&amp;A Vendor x GL Analysis'!$E73),0))</f>
        <v>0</v>
      </c>
      <c r="AF73" s="19">
        <f t="shared" si="9"/>
        <v>8293.5999999999985</v>
      </c>
    </row>
    <row r="74" spans="1:32" outlineLevel="1">
      <c r="A74" s="8" t="str">
        <f t="shared" si="8"/>
        <v>Sample6370 - Samples</v>
      </c>
      <c r="C74" s="8" t="s">
        <v>11</v>
      </c>
      <c r="D74" s="8" t="str">
        <f t="shared" si="17"/>
        <v>Sample</v>
      </c>
      <c r="E74" s="2" t="s">
        <v>61</v>
      </c>
      <c r="F74" s="2" t="s">
        <v>65</v>
      </c>
      <c r="G74" s="16">
        <f>IF(AND(G$15="Actual",ISBLANK($E$8)),SUMIFS('[1]NS Vendor Details'!$D:$D,'[1]NS Vendor Details'!$H:$H,'G&amp;A Vendor x GL Analysis'!G$20,'[1]NS Vendor Details'!$L:$L,'G&amp;A Vendor x GL Analysis'!$D74,'[1]NS Vendor Details'!$O:$O,'G&amp;A Vendor x GL Analysis'!$F74,'[1]NS Vendor Details'!$N:$N,'G&amp;A Vendor x GL Analysis'!$C74),IF(G$15="Actual",SUMIFS('[1]NS Vendor Details'!$D:$D,'[1]NS Vendor Details'!$H:$H,'G&amp;A Vendor x GL Analysis'!G$20,'[1]NS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H74" s="17">
        <f>IF(AND(H$15="Actual",ISBLANK($E$8)),SUMIFS('[1]NS Vendor Details'!$D:$D,'[1]NS Vendor Details'!$H:$H,'G&amp;A Vendor x GL Analysis'!H$20,'[1]NS Vendor Details'!$L:$L,'G&amp;A Vendor x GL Analysis'!$D74,'[1]NS Vendor Details'!$O:$O,'G&amp;A Vendor x GL Analysis'!$F74,'[1]NS Vendor Details'!$N:$N,'G&amp;A Vendor x GL Analysis'!$C74),IF(H$15="Actual",SUMIFS('[1]NS Vendor Details'!$D:$D,'[1]NS Vendor Details'!$H:$H,'G&amp;A Vendor x GL Analysis'!H$20,'[1]NS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I74" s="17">
        <f>IF(AND(I$15="Actual",ISBLANK($E$8)),SUMIFS('[1]NS Vendor Details'!$D:$D,'[1]NS Vendor Details'!$H:$H,'G&amp;A Vendor x GL Analysis'!I$20,'[1]NS Vendor Details'!$L:$L,'G&amp;A Vendor x GL Analysis'!$D74,'[1]NS Vendor Details'!$O:$O,'G&amp;A Vendor x GL Analysis'!$F74,'[1]NS Vendor Details'!$N:$N,'G&amp;A Vendor x GL Analysis'!$C74),IF(I$15="Actual",SUMIFS('[1]NS Vendor Details'!$D:$D,'[1]NS Vendor Details'!$H:$H,'G&amp;A Vendor x GL Analysis'!I$20,'[1]NS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J74" s="17">
        <f>IF(AND(J$15="Actual",ISBLANK($E$8)),SUMIFS('[1]NS Vendor Details'!$D:$D,'[1]NS Vendor Details'!$H:$H,'G&amp;A Vendor x GL Analysis'!J$20,'[1]NS Vendor Details'!$L:$L,'G&amp;A Vendor x GL Analysis'!$D74,'[1]NS Vendor Details'!$O:$O,'G&amp;A Vendor x GL Analysis'!$F74,'[1]NS Vendor Details'!$N:$N,'G&amp;A Vendor x GL Analysis'!$C74),IF(J$15="Actual",SUMIFS('[1]NS Vendor Details'!$D:$D,'[1]NS Vendor Details'!$H:$H,'G&amp;A Vendor x GL Analysis'!J$20,'[1]NS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K74" s="17">
        <f>IF(AND(K$15="Actual",ISBLANK($E$8)),SUMIFS('[1]NS Vendor Details'!$D:$D,'[1]NS Vendor Details'!$H:$H,'G&amp;A Vendor x GL Analysis'!K$20,'[1]NS Vendor Details'!$L:$L,'G&amp;A Vendor x GL Analysis'!$D74,'[1]NS Vendor Details'!$O:$O,'G&amp;A Vendor x GL Analysis'!$F74,'[1]NS Vendor Details'!$N:$N,'G&amp;A Vendor x GL Analysis'!$C74),IF(K$15="Actual",SUMIFS('[1]NS Vendor Details'!$D:$D,'[1]NS Vendor Details'!$H:$H,'G&amp;A Vendor x GL Analysis'!K$20,'[1]NS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1553.23</v>
      </c>
      <c r="L74" s="17">
        <f>IF(AND(L$15="Actual",ISBLANK($E$8)),SUMIFS('[1]NS Vendor Details'!$D:$D,'[1]NS Vendor Details'!$H:$H,'G&amp;A Vendor x GL Analysis'!L$20,'[1]NS Vendor Details'!$L:$L,'G&amp;A Vendor x GL Analysis'!$D74,'[1]NS Vendor Details'!$O:$O,'G&amp;A Vendor x GL Analysis'!$F74,'[1]NS Vendor Details'!$N:$N,'G&amp;A Vendor x GL Analysis'!$C74),IF(L$15="Actual",SUMIFS('[1]NS Vendor Details'!$D:$D,'[1]NS Vendor Details'!$H:$H,'G&amp;A Vendor x GL Analysis'!L$20,'[1]NS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M74" s="17">
        <f>IF(AND(M$15="Actual",ISBLANK($E$8)),SUMIFS('[1]NS Vendor Details'!$D:$D,'[1]NS Vendor Details'!$H:$H,'G&amp;A Vendor x GL Analysis'!M$20,'[1]NS Vendor Details'!$L:$L,'G&amp;A Vendor x GL Analysis'!$D74,'[1]NS Vendor Details'!$O:$O,'G&amp;A Vendor x GL Analysis'!$F74,'[1]NS Vendor Details'!$N:$N,'G&amp;A Vendor x GL Analysis'!$C74),IF(M$15="Actual",SUMIFS('[1]NS Vendor Details'!$D:$D,'[1]NS Vendor Details'!$H:$H,'G&amp;A Vendor x GL Analysis'!M$20,'[1]NS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N74" s="17">
        <f>IF(AND(N$15="Actual",ISBLANK($E$8)),SUMIFS('[1]NS Vendor Details'!$D:$D,'[1]NS Vendor Details'!$H:$H,'G&amp;A Vendor x GL Analysis'!N$20,'[1]NS Vendor Details'!$L:$L,'G&amp;A Vendor x GL Analysis'!$D74,'[1]NS Vendor Details'!$O:$O,'G&amp;A Vendor x GL Analysis'!$F74,'[1]NS Vendor Details'!$N:$N,'G&amp;A Vendor x GL Analysis'!$C74),IF(N$15="Actual",SUMIFS('[1]NS Vendor Details'!$D:$D,'[1]NS Vendor Details'!$H:$H,'G&amp;A Vendor x GL Analysis'!N$20,'[1]NS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O74" s="17">
        <f>IF(AND(O$15="Actual",ISBLANK($E$8)),SUMIFS('[1]NS Vendor Details'!$D:$D,'[1]NS Vendor Details'!$H:$H,'G&amp;A Vendor x GL Analysis'!O$20,'[1]NS Vendor Details'!$L:$L,'G&amp;A Vendor x GL Analysis'!$D74,'[1]NS Vendor Details'!$O:$O,'G&amp;A Vendor x GL Analysis'!$F74,'[1]NS Vendor Details'!$N:$N,'G&amp;A Vendor x GL Analysis'!$C74),IF(O$15="Actual",SUMIFS('[1]NS Vendor Details'!$D:$D,'[1]NS Vendor Details'!$H:$H,'G&amp;A Vendor x GL Analysis'!O$20,'[1]NS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P74" s="17">
        <f>IF(AND(P$15="Actual",ISBLANK($E$8)),SUMIFS('[1]NS Vendor Details'!$D:$D,'[1]NS Vendor Details'!$H:$H,'G&amp;A Vendor x GL Analysis'!P$20,'[1]NS Vendor Details'!$L:$L,'G&amp;A Vendor x GL Analysis'!$D74,'[1]NS Vendor Details'!$O:$O,'G&amp;A Vendor x GL Analysis'!$F74,'[1]NS Vendor Details'!$N:$N,'G&amp;A Vendor x GL Analysis'!$C74),IF(P$15="Actual",SUMIFS('[1]NS Vendor Details'!$D:$D,'[1]NS Vendor Details'!$H:$H,'G&amp;A Vendor x GL Analysis'!P$20,'[1]NS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4013.6899999999996</v>
      </c>
      <c r="Q74" s="17">
        <f>IF(AND(Q$15="Actual",ISBLANK($E$8)),SUMIFS('[1]NS Vendor Details'!$D:$D,'[1]NS Vendor Details'!$H:$H,'G&amp;A Vendor x GL Analysis'!Q$20,'[1]NS Vendor Details'!$L:$L,'G&amp;A Vendor x GL Analysis'!$D74,'[1]NS Vendor Details'!$O:$O,'G&amp;A Vendor x GL Analysis'!$F74,'[1]NS Vendor Details'!$N:$N,'G&amp;A Vendor x GL Analysis'!$C74),IF(Q$15="Actual",SUMIFS('[1]NS Vendor Details'!$D:$D,'[1]NS Vendor Details'!$H:$H,'G&amp;A Vendor x GL Analysis'!Q$20,'[1]NS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R74" s="18">
        <f>IF(AND(R$15="Actual",ISBLANK($E$8)),SUMIFS('[1]NS Vendor Details'!$D:$D,'[1]NS Vendor Details'!$H:$H,'G&amp;A Vendor x GL Analysis'!R$20,'[1]NS Vendor Details'!$L:$L,'G&amp;A Vendor x GL Analysis'!$D74,'[1]NS Vendor Details'!$O:$O,'G&amp;A Vendor x GL Analysis'!$F74,'[1]NS Vendor Details'!$N:$N,'G&amp;A Vendor x GL Analysis'!$C74),IF(R$15="Actual",SUMIFS('[1]NS Vendor Details'!$D:$D,'[1]NS Vendor Details'!$H:$H,'G&amp;A Vendor x GL Analysis'!R$20,'[1]NS Vendor Details'!$L:$L,'G&amp;A Vendor x GL Analysis'!$D74,'[1]NS Vendor Details'!$O:$O,'G&amp;A Vendor x GL Analysis'!$F74,'[1]NS Vendor Details'!$N:$N,'G&amp;A Vendor x GL Analysis'!$C74,'[1]NS Vendor Details'!$K:$K,'G&amp;A Vendor x GL Analysis'!$E$8),0))</f>
        <v>0</v>
      </c>
      <c r="S74" s="16">
        <f>IF(AND(S$15="Actual",ISBLANK($E$8)),SUMIFS('[1]NS Vendor Details'!$D:$D,'[1]NS Vendor Details'!$H:$H,'G&amp;A Vendor x GL Analysis'!S$20,'[1]NS Vendor Details'!$L:$L,'G&amp;A Vendor x GL Analysis'!$D74,'[1]NS Vendor Details'!$O:$O,'G&amp;A Vendor x GL Analysis'!$F74,'[1]NS Vendor Details'!$N:$N,'G&amp;A Vendor x GL Analysis'!$C74,'[1]NS Vendor Details'!$I:$I,'G&amp;A Vendor x GL Analysis'!$E74),IF(S$15="Actual",SUMIFS('[1]NS Vendor Details'!$D:$D,'[1]NS Vendor Details'!$H:$H,'G&amp;A Vendor x GL Analysis'!S$20,'[1]NS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T74" s="17">
        <f>IF(AND(T$15="Actual",ISBLANK($E$8)),SUMIFS('[1]NS Vendor Details'!$D:$D,'[1]NS Vendor Details'!$H:$H,'G&amp;A Vendor x GL Analysis'!T$20,'[1]NS Vendor Details'!$L:$L,'G&amp;A Vendor x GL Analysis'!$D74,'[1]NS Vendor Details'!$O:$O,'G&amp;A Vendor x GL Analysis'!$F74,'[1]NS Vendor Details'!$N:$N,'G&amp;A Vendor x GL Analysis'!$C74,'[1]NS Vendor Details'!$I:$I,'G&amp;A Vendor x GL Analysis'!$E74),IF(T$15="Actual",SUMIFS('[1]NS Vendor Details'!$D:$D,'[1]NS Vendor Details'!$H:$H,'G&amp;A Vendor x GL Analysis'!T$20,'[1]NS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U74" s="17">
        <f>IF(AND(U$15="Actual",ISBLANK($E$8)),SUMIFS('[1]NS Vendor Details'!$D:$D,'[1]NS Vendor Details'!$H:$H,'G&amp;A Vendor x GL Analysis'!U$20,'[1]NS Vendor Details'!$L:$L,'G&amp;A Vendor x GL Analysis'!$D74,'[1]NS Vendor Details'!$O:$O,'G&amp;A Vendor x GL Analysis'!$F74,'[1]NS Vendor Details'!$N:$N,'G&amp;A Vendor x GL Analysis'!$C74,'[1]NS Vendor Details'!$I:$I,'G&amp;A Vendor x GL Analysis'!$E74),IF(U$15="Actual",SUMIFS('[1]NS Vendor Details'!$D:$D,'[1]NS Vendor Details'!$H:$H,'G&amp;A Vendor x GL Analysis'!U$20,'[1]NS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V74" s="17">
        <f>IF(AND(V$15="Actual",ISBLANK($E$8)),SUMIFS('[1]NS Vendor Details'!$D:$D,'[1]NS Vendor Details'!$H:$H,'G&amp;A Vendor x GL Analysis'!V$20,'[1]NS Vendor Details'!$L:$L,'G&amp;A Vendor x GL Analysis'!$D74,'[1]NS Vendor Details'!$O:$O,'G&amp;A Vendor x GL Analysis'!$F74,'[1]NS Vendor Details'!$N:$N,'G&amp;A Vendor x GL Analysis'!$C74,'[1]NS Vendor Details'!$I:$I,'G&amp;A Vendor x GL Analysis'!$E74),IF(V$15="Actual",SUMIFS('[1]NS Vendor Details'!$D:$D,'[1]NS Vendor Details'!$H:$H,'G&amp;A Vendor x GL Analysis'!V$20,'[1]NS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W74" s="17">
        <f>IF(AND(W$15="Actual",ISBLANK($E$8)),SUMIFS('[1]NS Vendor Details'!$D:$D,'[1]NS Vendor Details'!$H:$H,'G&amp;A Vendor x GL Analysis'!W$20,'[1]NS Vendor Details'!$L:$L,'G&amp;A Vendor x GL Analysis'!$D74,'[1]NS Vendor Details'!$O:$O,'G&amp;A Vendor x GL Analysis'!$F74,'[1]NS Vendor Details'!$N:$N,'G&amp;A Vendor x GL Analysis'!$C74,'[1]NS Vendor Details'!$I:$I,'G&amp;A Vendor x GL Analysis'!$E74),IF(W$15="Actual",SUMIFS('[1]NS Vendor Details'!$D:$D,'[1]NS Vendor Details'!$H:$H,'G&amp;A Vendor x GL Analysis'!W$20,'[1]NS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4947.6000000000004</v>
      </c>
      <c r="X74" s="17">
        <f>IF(AND(X$15="Actual",ISBLANK($E$8)),SUMIFS('[1]NS Vendor Details'!$D:$D,'[1]NS Vendor Details'!$H:$H,'G&amp;A Vendor x GL Analysis'!X$20,'[1]NS Vendor Details'!$L:$L,'G&amp;A Vendor x GL Analysis'!$D74,'[1]NS Vendor Details'!$O:$O,'G&amp;A Vendor x GL Analysis'!$F74,'[1]NS Vendor Details'!$N:$N,'G&amp;A Vendor x GL Analysis'!$C74,'[1]NS Vendor Details'!$I:$I,'G&amp;A Vendor x GL Analysis'!$E74),IF(X$15="Actual",SUMIFS('[1]NS Vendor Details'!$D:$D,'[1]NS Vendor Details'!$H:$H,'G&amp;A Vendor x GL Analysis'!X$20,'[1]NS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Y74" s="17">
        <f>IF(AND(Y$15="Actual",ISBLANK($E$8)),SUMIFS('[1]NS Vendor Details'!$D:$D,'[1]NS Vendor Details'!$H:$H,'G&amp;A Vendor x GL Analysis'!Y$20,'[1]NS Vendor Details'!$L:$L,'G&amp;A Vendor x GL Analysis'!$D74,'[1]NS Vendor Details'!$O:$O,'G&amp;A Vendor x GL Analysis'!$F74,'[1]NS Vendor Details'!$N:$N,'G&amp;A Vendor x GL Analysis'!$C74,'[1]NS Vendor Details'!$I:$I,'G&amp;A Vendor x GL Analysis'!$E74),IF(Y$15="Actual",SUMIFS('[1]NS Vendor Details'!$D:$D,'[1]NS Vendor Details'!$H:$H,'G&amp;A Vendor x GL Analysis'!Y$20,'[1]NS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Z74" s="17">
        <f>IF(AND(Z$15="Actual",ISBLANK($E$8)),SUMIFS('[1]NS Vendor Details'!$D:$D,'[1]NS Vendor Details'!$H:$H,'G&amp;A Vendor x GL Analysis'!Z$20,'[1]NS Vendor Details'!$L:$L,'G&amp;A Vendor x GL Analysis'!$D74,'[1]NS Vendor Details'!$O:$O,'G&amp;A Vendor x GL Analysis'!$F74,'[1]NS Vendor Details'!$N:$N,'G&amp;A Vendor x GL Analysis'!$C74,'[1]NS Vendor Details'!$I:$I,'G&amp;A Vendor x GL Analysis'!$E74),IF(Z$15="Actual",SUMIFS('[1]NS Vendor Details'!$D:$D,'[1]NS Vendor Details'!$H:$H,'G&amp;A Vendor x GL Analysis'!Z$20,'[1]NS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AA74" s="17">
        <f>IF(AND(AA$15="Actual",ISBLANK($E$8)),SUMIFS('[1]NS Vendor Details'!$D:$D,'[1]NS Vendor Details'!$H:$H,'G&amp;A Vendor x GL Analysis'!AA$20,'[1]NS Vendor Details'!$L:$L,'G&amp;A Vendor x GL Analysis'!$D74,'[1]NS Vendor Details'!$O:$O,'G&amp;A Vendor x GL Analysis'!$F74,'[1]NS Vendor Details'!$N:$N,'G&amp;A Vendor x GL Analysis'!$C74,'[1]NS Vendor Details'!$I:$I,'G&amp;A Vendor x GL Analysis'!$E74),IF(AA$15="Actual",SUMIFS('[1]NS Vendor Details'!$D:$D,'[1]NS Vendor Details'!$H:$H,'G&amp;A Vendor x GL Analysis'!AA$20,'[1]NS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AB74" s="17">
        <f>IF(AND(AB$15="Actual",ISBLANK($E$8)),SUMIFS('[1]NS Vendor Details'!$D:$D,'[1]NS Vendor Details'!$H:$H,'G&amp;A Vendor x GL Analysis'!AB$20,'[1]NS Vendor Details'!$L:$L,'G&amp;A Vendor x GL Analysis'!$D74,'[1]NS Vendor Details'!$O:$O,'G&amp;A Vendor x GL Analysis'!$F74,'[1]NS Vendor Details'!$N:$N,'G&amp;A Vendor x GL Analysis'!$C74,'[1]NS Vendor Details'!$I:$I,'G&amp;A Vendor x GL Analysis'!$E74),IF(AB$15="Actual",SUMIFS('[1]NS Vendor Details'!$D:$D,'[1]NS Vendor Details'!$H:$H,'G&amp;A Vendor x GL Analysis'!AB$20,'[1]NS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1831.8700000000008</v>
      </c>
      <c r="AC74" s="18">
        <f>IF(AND(AC$15="Actual",ISBLANK($E$8)),SUMIFS('[1]NS Vendor Details'!$D:$D,'[1]NS Vendor Details'!$H:$H,'G&amp;A Vendor x GL Analysis'!AC$20,'[1]NS Vendor Details'!$L:$L,'G&amp;A Vendor x GL Analysis'!$D74,'[1]NS Vendor Details'!$O:$O,'G&amp;A Vendor x GL Analysis'!$F74,'[1]NS Vendor Details'!$N:$N,'G&amp;A Vendor x GL Analysis'!$C74,'[1]NS Vendor Details'!$I:$I,'G&amp;A Vendor x GL Analysis'!$E74),IF(AC$15="Actual",SUMIFS('[1]NS Vendor Details'!$D:$D,'[1]NS Vendor Details'!$H:$H,'G&amp;A Vendor x GL Analysis'!AC$20,'[1]NS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AD74" s="18">
        <f>IF(AND(AD$15="Actual",ISBLANK($E$8)),SUMIFS('[1]NS Vendor Details'!$D:$D,'[1]NS Vendor Details'!$H:$H,'G&amp;A Vendor x GL Analysis'!AD$20,'[1]NS Vendor Details'!$L:$L,'G&amp;A Vendor x GL Analysis'!$D74,'[1]NS Vendor Details'!$O:$O,'G&amp;A Vendor x GL Analysis'!$F74,'[1]NS Vendor Details'!$N:$N,'G&amp;A Vendor x GL Analysis'!$C74,'[1]NS Vendor Details'!$I:$I,'G&amp;A Vendor x GL Analysis'!$E74),IF(AD$15="Actual",SUMIFS('[1]NS Vendor Details'!$D:$D,'[1]NS Vendor Details'!$H:$H,'G&amp;A Vendor x GL Analysis'!AD$20,'[1]NS Vendor Details'!$L:$L,'G&amp;A Vendor x GL Analysis'!$D74,'[1]NS Vendor Details'!$O:$O,'G&amp;A Vendor x GL Analysis'!$F74,'[1]NS Vendor Details'!$N:$N,'G&amp;A Vendor x GL Analysis'!$C74,'[1]NS Vendor Details'!$K:$K,'G&amp;A Vendor x GL Analysis'!$E$8,'[1]NS Vendor Details'!$I:$I,'G&amp;A Vendor x GL Analysis'!$E74),0))</f>
        <v>0</v>
      </c>
      <c r="AF74" s="19">
        <f t="shared" si="9"/>
        <v>6779.4700000000012</v>
      </c>
    </row>
    <row r="75" spans="1:32" ht="15" outlineLevel="1">
      <c r="A75" s="8" t="str">
        <f t="shared" si="8"/>
        <v>Sample6370 - Samples</v>
      </c>
      <c r="C75" s="8" t="s">
        <v>11</v>
      </c>
      <c r="D75" s="8" t="str">
        <f t="shared" ref="D75" si="19">D73</f>
        <v>Sample</v>
      </c>
      <c r="E75" s="2" t="s">
        <v>61</v>
      </c>
      <c r="F75" s="2" t="s">
        <v>66</v>
      </c>
      <c r="G75" s="16">
        <f>IF(AND(G$15="Actual",ISBLANK($E$8)),SUMIFS('[1]NS Vendor Details'!$D:$D,'[1]NS Vendor Details'!$H:$H,'G&amp;A Vendor x GL Analysis'!G$20,'[1]NS Vendor Details'!$L:$L,'G&amp;A Vendor x GL Analysis'!$D75,'[1]NS Vendor Details'!$O:$O,'G&amp;A Vendor x GL Analysis'!$F75,'[1]NS Vendor Details'!$N:$N,'G&amp;A Vendor x GL Analysis'!$C75),IF(G$15="Actual",SUMIFS('[1]NS Vendor Details'!$D:$D,'[1]NS Vendor Details'!$H:$H,'G&amp;A Vendor x GL Analysis'!G$20,'[1]NS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H75" s="17">
        <f>IF(AND(H$15="Actual",ISBLANK($E$8)),SUMIFS('[1]NS Vendor Details'!$D:$D,'[1]NS Vendor Details'!$H:$H,'G&amp;A Vendor x GL Analysis'!H$20,'[1]NS Vendor Details'!$L:$L,'G&amp;A Vendor x GL Analysis'!$D75,'[1]NS Vendor Details'!$O:$O,'G&amp;A Vendor x GL Analysis'!$F75,'[1]NS Vendor Details'!$N:$N,'G&amp;A Vendor x GL Analysis'!$C75),IF(H$15="Actual",SUMIFS('[1]NS Vendor Details'!$D:$D,'[1]NS Vendor Details'!$H:$H,'G&amp;A Vendor x GL Analysis'!H$20,'[1]NS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I75" s="17">
        <f>IF(AND(I$15="Actual",ISBLANK($E$8)),SUMIFS('[1]NS Vendor Details'!$D:$D,'[1]NS Vendor Details'!$H:$H,'G&amp;A Vendor x GL Analysis'!I$20,'[1]NS Vendor Details'!$L:$L,'G&amp;A Vendor x GL Analysis'!$D75,'[1]NS Vendor Details'!$O:$O,'G&amp;A Vendor x GL Analysis'!$F75,'[1]NS Vendor Details'!$N:$N,'G&amp;A Vendor x GL Analysis'!$C75),IF(I$15="Actual",SUMIFS('[1]NS Vendor Details'!$D:$D,'[1]NS Vendor Details'!$H:$H,'G&amp;A Vendor x GL Analysis'!I$20,'[1]NS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J75" s="17">
        <f>IF(AND(J$15="Actual",ISBLANK($E$8)),SUMIFS('[1]NS Vendor Details'!$D:$D,'[1]NS Vendor Details'!$H:$H,'G&amp;A Vendor x GL Analysis'!J$20,'[1]NS Vendor Details'!$L:$L,'G&amp;A Vendor x GL Analysis'!$D75,'[1]NS Vendor Details'!$O:$O,'G&amp;A Vendor x GL Analysis'!$F75,'[1]NS Vendor Details'!$N:$N,'G&amp;A Vendor x GL Analysis'!$C75),IF(J$15="Actual",SUMIFS('[1]NS Vendor Details'!$D:$D,'[1]NS Vendor Details'!$H:$H,'G&amp;A Vendor x GL Analysis'!J$20,'[1]NS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K75" s="17">
        <f>IF(AND(K$15="Actual",ISBLANK($E$8)),SUMIFS('[1]NS Vendor Details'!$D:$D,'[1]NS Vendor Details'!$H:$H,'G&amp;A Vendor x GL Analysis'!K$20,'[1]NS Vendor Details'!$L:$L,'G&amp;A Vendor x GL Analysis'!$D75,'[1]NS Vendor Details'!$O:$O,'G&amp;A Vendor x GL Analysis'!$F75,'[1]NS Vendor Details'!$N:$N,'G&amp;A Vendor x GL Analysis'!$C75),IF(K$15="Actual",SUMIFS('[1]NS Vendor Details'!$D:$D,'[1]NS Vendor Details'!$H:$H,'G&amp;A Vendor x GL Analysis'!K$20,'[1]NS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L75" s="17">
        <f>IF(AND(L$15="Actual",ISBLANK($E$8)),SUMIFS('[1]NS Vendor Details'!$D:$D,'[1]NS Vendor Details'!$H:$H,'G&amp;A Vendor x GL Analysis'!L$20,'[1]NS Vendor Details'!$L:$L,'G&amp;A Vendor x GL Analysis'!$D75,'[1]NS Vendor Details'!$O:$O,'G&amp;A Vendor x GL Analysis'!$F75,'[1]NS Vendor Details'!$N:$N,'G&amp;A Vendor x GL Analysis'!$C75),IF(L$15="Actual",SUMIFS('[1]NS Vendor Details'!$D:$D,'[1]NS Vendor Details'!$H:$H,'G&amp;A Vendor x GL Analysis'!L$20,'[1]NS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M75" s="17">
        <f>IF(AND(M$15="Actual",ISBLANK($E$8)),SUMIFS('[1]NS Vendor Details'!$D:$D,'[1]NS Vendor Details'!$H:$H,'G&amp;A Vendor x GL Analysis'!M$20,'[1]NS Vendor Details'!$L:$L,'G&amp;A Vendor x GL Analysis'!$D75,'[1]NS Vendor Details'!$O:$O,'G&amp;A Vendor x GL Analysis'!$F75,'[1]NS Vendor Details'!$N:$N,'G&amp;A Vendor x GL Analysis'!$C75),IF(M$15="Actual",SUMIFS('[1]NS Vendor Details'!$D:$D,'[1]NS Vendor Details'!$H:$H,'G&amp;A Vendor x GL Analysis'!M$20,'[1]NS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N75" s="17">
        <f>IF(AND(N$15="Actual",ISBLANK($E$8)),SUMIFS('[1]NS Vendor Details'!$D:$D,'[1]NS Vendor Details'!$H:$H,'G&amp;A Vendor x GL Analysis'!N$20,'[1]NS Vendor Details'!$L:$L,'G&amp;A Vendor x GL Analysis'!$D75,'[1]NS Vendor Details'!$O:$O,'G&amp;A Vendor x GL Analysis'!$F75,'[1]NS Vendor Details'!$N:$N,'G&amp;A Vendor x GL Analysis'!$C75),IF(N$15="Actual",SUMIFS('[1]NS Vendor Details'!$D:$D,'[1]NS Vendor Details'!$H:$H,'G&amp;A Vendor x GL Analysis'!N$20,'[1]NS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O75" s="17">
        <f>IF(AND(O$15="Actual",ISBLANK($E$8)),SUMIFS('[1]NS Vendor Details'!$D:$D,'[1]NS Vendor Details'!$H:$H,'G&amp;A Vendor x GL Analysis'!O$20,'[1]NS Vendor Details'!$L:$L,'G&amp;A Vendor x GL Analysis'!$D75,'[1]NS Vendor Details'!$O:$O,'G&amp;A Vendor x GL Analysis'!$F75,'[1]NS Vendor Details'!$N:$N,'G&amp;A Vendor x GL Analysis'!$C75),IF(O$15="Actual",SUMIFS('[1]NS Vendor Details'!$D:$D,'[1]NS Vendor Details'!$H:$H,'G&amp;A Vendor x GL Analysis'!O$20,'[1]NS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P75" s="17">
        <f>IF(AND(P$15="Actual",ISBLANK($E$8)),SUMIFS('[1]NS Vendor Details'!$D:$D,'[1]NS Vendor Details'!$H:$H,'G&amp;A Vendor x GL Analysis'!P$20,'[1]NS Vendor Details'!$L:$L,'G&amp;A Vendor x GL Analysis'!$D75,'[1]NS Vendor Details'!$O:$O,'G&amp;A Vendor x GL Analysis'!$F75,'[1]NS Vendor Details'!$N:$N,'G&amp;A Vendor x GL Analysis'!$C75),IF(P$15="Actual",SUMIFS('[1]NS Vendor Details'!$D:$D,'[1]NS Vendor Details'!$H:$H,'G&amp;A Vendor x GL Analysis'!P$20,'[1]NS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2584.1999999999998</v>
      </c>
      <c r="Q75" s="17">
        <f>IF(AND(Q$15="Actual",ISBLANK($E$8)),SUMIFS('[1]NS Vendor Details'!$D:$D,'[1]NS Vendor Details'!$H:$H,'G&amp;A Vendor x GL Analysis'!Q$20,'[1]NS Vendor Details'!$L:$L,'G&amp;A Vendor x GL Analysis'!$D75,'[1]NS Vendor Details'!$O:$O,'G&amp;A Vendor x GL Analysis'!$F75,'[1]NS Vendor Details'!$N:$N,'G&amp;A Vendor x GL Analysis'!$C75),IF(Q$15="Actual",SUMIFS('[1]NS Vendor Details'!$D:$D,'[1]NS Vendor Details'!$H:$H,'G&amp;A Vendor x GL Analysis'!Q$20,'[1]NS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R75" s="18">
        <f>IF(AND(R$15="Actual",ISBLANK($E$8)),SUMIFS('[1]NS Vendor Details'!$D:$D,'[1]NS Vendor Details'!$H:$H,'G&amp;A Vendor x GL Analysis'!R$20,'[1]NS Vendor Details'!$L:$L,'G&amp;A Vendor x GL Analysis'!$D75,'[1]NS Vendor Details'!$O:$O,'G&amp;A Vendor x GL Analysis'!$F75,'[1]NS Vendor Details'!$N:$N,'G&amp;A Vendor x GL Analysis'!$C75),IF(R$15="Actual",SUMIFS('[1]NS Vendor Details'!$D:$D,'[1]NS Vendor Details'!$H:$H,'G&amp;A Vendor x GL Analysis'!R$20,'[1]NS Vendor Details'!$L:$L,'G&amp;A Vendor x GL Analysis'!$D75,'[1]NS Vendor Details'!$O:$O,'G&amp;A Vendor x GL Analysis'!$F75,'[1]NS Vendor Details'!$N:$N,'G&amp;A Vendor x GL Analysis'!$C75,'[1]NS Vendor Details'!$K:$K,'G&amp;A Vendor x GL Analysis'!$E$8),0))</f>
        <v>0</v>
      </c>
      <c r="S75" s="16">
        <f>IF(AND(S$15="Actual",ISBLANK($E$8)),SUMIFS('[1]NS Vendor Details'!$D:$D,'[1]NS Vendor Details'!$H:$H,'G&amp;A Vendor x GL Analysis'!S$20,'[1]NS Vendor Details'!$L:$L,'G&amp;A Vendor x GL Analysis'!$D75,'[1]NS Vendor Details'!$O:$O,'G&amp;A Vendor x GL Analysis'!$F75,'[1]NS Vendor Details'!$N:$N,'G&amp;A Vendor x GL Analysis'!$C75,'[1]NS Vendor Details'!$I:$I,'G&amp;A Vendor x GL Analysis'!$E75),IF(S$15="Actual",SUMIFS('[1]NS Vendor Details'!$D:$D,'[1]NS Vendor Details'!$H:$H,'G&amp;A Vendor x GL Analysis'!S$20,'[1]NS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T75" s="17">
        <f>IF(AND(T$15="Actual",ISBLANK($E$8)),SUMIFS('[1]NS Vendor Details'!$D:$D,'[1]NS Vendor Details'!$H:$H,'G&amp;A Vendor x GL Analysis'!T$20,'[1]NS Vendor Details'!$L:$L,'G&amp;A Vendor x GL Analysis'!$D75,'[1]NS Vendor Details'!$O:$O,'G&amp;A Vendor x GL Analysis'!$F75,'[1]NS Vendor Details'!$N:$N,'G&amp;A Vendor x GL Analysis'!$C75,'[1]NS Vendor Details'!$I:$I,'G&amp;A Vendor x GL Analysis'!$E75),IF(T$15="Actual",SUMIFS('[1]NS Vendor Details'!$D:$D,'[1]NS Vendor Details'!$H:$H,'G&amp;A Vendor x GL Analysis'!T$20,'[1]NS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U75" s="17">
        <f>IF(AND(U$15="Actual",ISBLANK($E$8)),SUMIFS('[1]NS Vendor Details'!$D:$D,'[1]NS Vendor Details'!$H:$H,'G&amp;A Vendor x GL Analysis'!U$20,'[1]NS Vendor Details'!$L:$L,'G&amp;A Vendor x GL Analysis'!$D75,'[1]NS Vendor Details'!$O:$O,'G&amp;A Vendor x GL Analysis'!$F75,'[1]NS Vendor Details'!$N:$N,'G&amp;A Vendor x GL Analysis'!$C75,'[1]NS Vendor Details'!$I:$I,'G&amp;A Vendor x GL Analysis'!$E75),IF(U$15="Actual",SUMIFS('[1]NS Vendor Details'!$D:$D,'[1]NS Vendor Details'!$H:$H,'G&amp;A Vendor x GL Analysis'!U$20,'[1]NS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V75" s="17">
        <f>IF(AND(V$15="Actual",ISBLANK($E$8)),SUMIFS('[1]NS Vendor Details'!$D:$D,'[1]NS Vendor Details'!$H:$H,'G&amp;A Vendor x GL Analysis'!V$20,'[1]NS Vendor Details'!$L:$L,'G&amp;A Vendor x GL Analysis'!$D75,'[1]NS Vendor Details'!$O:$O,'G&amp;A Vendor x GL Analysis'!$F75,'[1]NS Vendor Details'!$N:$N,'G&amp;A Vendor x GL Analysis'!$C75,'[1]NS Vendor Details'!$I:$I,'G&amp;A Vendor x GL Analysis'!$E75),IF(V$15="Actual",SUMIFS('[1]NS Vendor Details'!$D:$D,'[1]NS Vendor Details'!$H:$H,'G&amp;A Vendor x GL Analysis'!V$20,'[1]NS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1461.2</v>
      </c>
      <c r="W75" s="17">
        <f>IF(AND(W$15="Actual",ISBLANK($E$8)),SUMIFS('[1]NS Vendor Details'!$D:$D,'[1]NS Vendor Details'!$H:$H,'G&amp;A Vendor x GL Analysis'!W$20,'[1]NS Vendor Details'!$L:$L,'G&amp;A Vendor x GL Analysis'!$D75,'[1]NS Vendor Details'!$O:$O,'G&amp;A Vendor x GL Analysis'!$F75,'[1]NS Vendor Details'!$N:$N,'G&amp;A Vendor x GL Analysis'!$C75,'[1]NS Vendor Details'!$I:$I,'G&amp;A Vendor x GL Analysis'!$E75),IF(W$15="Actual",SUMIFS('[1]NS Vendor Details'!$D:$D,'[1]NS Vendor Details'!$H:$H,'G&amp;A Vendor x GL Analysis'!W$20,'[1]NS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X75" s="17">
        <f>IF(AND(X$15="Actual",ISBLANK($E$8)),SUMIFS('[1]NS Vendor Details'!$D:$D,'[1]NS Vendor Details'!$H:$H,'G&amp;A Vendor x GL Analysis'!X$20,'[1]NS Vendor Details'!$L:$L,'G&amp;A Vendor x GL Analysis'!$D75,'[1]NS Vendor Details'!$O:$O,'G&amp;A Vendor x GL Analysis'!$F75,'[1]NS Vendor Details'!$N:$N,'G&amp;A Vendor x GL Analysis'!$C75,'[1]NS Vendor Details'!$I:$I,'G&amp;A Vendor x GL Analysis'!$E75),IF(X$15="Actual",SUMIFS('[1]NS Vendor Details'!$D:$D,'[1]NS Vendor Details'!$H:$H,'G&amp;A Vendor x GL Analysis'!X$20,'[1]NS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Y75" s="17">
        <f>IF(AND(Y$15="Actual",ISBLANK($E$8)),SUMIFS('[1]NS Vendor Details'!$D:$D,'[1]NS Vendor Details'!$H:$H,'G&amp;A Vendor x GL Analysis'!Y$20,'[1]NS Vendor Details'!$L:$L,'G&amp;A Vendor x GL Analysis'!$D75,'[1]NS Vendor Details'!$O:$O,'G&amp;A Vendor x GL Analysis'!$F75,'[1]NS Vendor Details'!$N:$N,'G&amp;A Vendor x GL Analysis'!$C75,'[1]NS Vendor Details'!$I:$I,'G&amp;A Vendor x GL Analysis'!$E75),IF(Y$15="Actual",SUMIFS('[1]NS Vendor Details'!$D:$D,'[1]NS Vendor Details'!$H:$H,'G&amp;A Vendor x GL Analysis'!Y$20,'[1]NS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Z75" s="17">
        <f>IF(AND(Z$15="Actual",ISBLANK($E$8)),SUMIFS('[1]NS Vendor Details'!$D:$D,'[1]NS Vendor Details'!$H:$H,'G&amp;A Vendor x GL Analysis'!Z$20,'[1]NS Vendor Details'!$L:$L,'G&amp;A Vendor x GL Analysis'!$D75,'[1]NS Vendor Details'!$O:$O,'G&amp;A Vendor x GL Analysis'!$F75,'[1]NS Vendor Details'!$N:$N,'G&amp;A Vendor x GL Analysis'!$C75,'[1]NS Vendor Details'!$I:$I,'G&amp;A Vendor x GL Analysis'!$E75),IF(Z$15="Actual",SUMIFS('[1]NS Vendor Details'!$D:$D,'[1]NS Vendor Details'!$H:$H,'G&amp;A Vendor x GL Analysis'!Z$20,'[1]NS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AA75" s="17">
        <f>IF(AND(AA$15="Actual",ISBLANK($E$8)),SUMIFS('[1]NS Vendor Details'!$D:$D,'[1]NS Vendor Details'!$H:$H,'G&amp;A Vendor x GL Analysis'!AA$20,'[1]NS Vendor Details'!$L:$L,'G&amp;A Vendor x GL Analysis'!$D75,'[1]NS Vendor Details'!$O:$O,'G&amp;A Vendor x GL Analysis'!$F75,'[1]NS Vendor Details'!$N:$N,'G&amp;A Vendor x GL Analysis'!$C75,'[1]NS Vendor Details'!$I:$I,'G&amp;A Vendor x GL Analysis'!$E75),IF(AA$15="Actual",SUMIFS('[1]NS Vendor Details'!$D:$D,'[1]NS Vendor Details'!$H:$H,'G&amp;A Vendor x GL Analysis'!AA$20,'[1]NS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AB75" s="17">
        <f>IF(AND(AB$15="Actual",ISBLANK($E$8)),SUMIFS('[1]NS Vendor Details'!$D:$D,'[1]NS Vendor Details'!$H:$H,'G&amp;A Vendor x GL Analysis'!AB$20,'[1]NS Vendor Details'!$L:$L,'G&amp;A Vendor x GL Analysis'!$D75,'[1]NS Vendor Details'!$O:$O,'G&amp;A Vendor x GL Analysis'!$F75,'[1]NS Vendor Details'!$N:$N,'G&amp;A Vendor x GL Analysis'!$C75,'[1]NS Vendor Details'!$I:$I,'G&amp;A Vendor x GL Analysis'!$E75),IF(AB$15="Actual",SUMIFS('[1]NS Vendor Details'!$D:$D,'[1]NS Vendor Details'!$H:$H,'G&amp;A Vendor x GL Analysis'!AB$20,'[1]NS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AC75" s="18">
        <f>IF(AND(AC$15="Actual",ISBLANK($E$8)),SUMIFS('[1]NS Vendor Details'!$D:$D,'[1]NS Vendor Details'!$H:$H,'G&amp;A Vendor x GL Analysis'!AC$20,'[1]NS Vendor Details'!$L:$L,'G&amp;A Vendor x GL Analysis'!$D75,'[1]NS Vendor Details'!$O:$O,'G&amp;A Vendor x GL Analysis'!$F75,'[1]NS Vendor Details'!$N:$N,'G&amp;A Vendor x GL Analysis'!$C75,'[1]NS Vendor Details'!$I:$I,'G&amp;A Vendor x GL Analysis'!$E75),IF(AC$15="Actual",SUMIFS('[1]NS Vendor Details'!$D:$D,'[1]NS Vendor Details'!$H:$H,'G&amp;A Vendor x GL Analysis'!AC$20,'[1]NS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AD75" s="18">
        <f>IF(AND(AD$15="Actual",ISBLANK($E$8)),SUMIFS('[1]NS Vendor Details'!$D:$D,'[1]NS Vendor Details'!$H:$H,'G&amp;A Vendor x GL Analysis'!AD$20,'[1]NS Vendor Details'!$L:$L,'G&amp;A Vendor x GL Analysis'!$D75,'[1]NS Vendor Details'!$O:$O,'G&amp;A Vendor x GL Analysis'!$F75,'[1]NS Vendor Details'!$N:$N,'G&amp;A Vendor x GL Analysis'!$C75,'[1]NS Vendor Details'!$I:$I,'G&amp;A Vendor x GL Analysis'!$E75),IF(AD$15="Actual",SUMIFS('[1]NS Vendor Details'!$D:$D,'[1]NS Vendor Details'!$H:$H,'G&amp;A Vendor x GL Analysis'!AD$20,'[1]NS Vendor Details'!$L:$L,'G&amp;A Vendor x GL Analysis'!$D75,'[1]NS Vendor Details'!$O:$O,'G&amp;A Vendor x GL Analysis'!$F75,'[1]NS Vendor Details'!$N:$N,'G&amp;A Vendor x GL Analysis'!$C75,'[1]NS Vendor Details'!$K:$K,'G&amp;A Vendor x GL Analysis'!$E$8,'[1]NS Vendor Details'!$I:$I,'G&amp;A Vendor x GL Analysis'!$E75),0))</f>
        <v>0</v>
      </c>
      <c r="AF75" s="15">
        <f t="shared" si="9"/>
        <v>1461.2</v>
      </c>
    </row>
    <row r="76" spans="1:32" ht="15" outlineLevel="1">
      <c r="A76" s="8" t="str">
        <f t="shared" si="8"/>
        <v>Sample6370 - Samples</v>
      </c>
      <c r="C76" s="8" t="s">
        <v>11</v>
      </c>
      <c r="D76" s="8" t="str">
        <f>D74</f>
        <v>Sample</v>
      </c>
      <c r="E76" s="2" t="s">
        <v>61</v>
      </c>
      <c r="F76" s="2" t="s">
        <v>67</v>
      </c>
      <c r="G76" s="16">
        <f>IF(AND(G$15="Actual",ISBLANK($E$8)),SUMIFS('[1]NS Vendor Details'!$D:$D,'[1]NS Vendor Details'!$H:$H,'G&amp;A Vendor x GL Analysis'!G$20,'[1]NS Vendor Details'!$L:$L,'G&amp;A Vendor x GL Analysis'!$D76,'[1]NS Vendor Details'!$O:$O,'G&amp;A Vendor x GL Analysis'!$F76,'[1]NS Vendor Details'!$N:$N,'G&amp;A Vendor x GL Analysis'!$C76),IF(G$15="Actual",SUMIFS('[1]NS Vendor Details'!$D:$D,'[1]NS Vendor Details'!$H:$H,'G&amp;A Vendor x GL Analysis'!G$20,'[1]NS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H76" s="17">
        <f>IF(AND(H$15="Actual",ISBLANK($E$8)),SUMIFS('[1]NS Vendor Details'!$D:$D,'[1]NS Vendor Details'!$H:$H,'G&amp;A Vendor x GL Analysis'!H$20,'[1]NS Vendor Details'!$L:$L,'G&amp;A Vendor x GL Analysis'!$D76,'[1]NS Vendor Details'!$O:$O,'G&amp;A Vendor x GL Analysis'!$F76,'[1]NS Vendor Details'!$N:$N,'G&amp;A Vendor x GL Analysis'!$C76),IF(H$15="Actual",SUMIFS('[1]NS Vendor Details'!$D:$D,'[1]NS Vendor Details'!$H:$H,'G&amp;A Vendor x GL Analysis'!H$20,'[1]NS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I76" s="17">
        <f>IF(AND(I$15="Actual",ISBLANK($E$8)),SUMIFS('[1]NS Vendor Details'!$D:$D,'[1]NS Vendor Details'!$H:$H,'G&amp;A Vendor x GL Analysis'!I$20,'[1]NS Vendor Details'!$L:$L,'G&amp;A Vendor x GL Analysis'!$D76,'[1]NS Vendor Details'!$O:$O,'G&amp;A Vendor x GL Analysis'!$F76,'[1]NS Vendor Details'!$N:$N,'G&amp;A Vendor x GL Analysis'!$C76),IF(I$15="Actual",SUMIFS('[1]NS Vendor Details'!$D:$D,'[1]NS Vendor Details'!$H:$H,'G&amp;A Vendor x GL Analysis'!I$20,'[1]NS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J76" s="17">
        <f>IF(AND(J$15="Actual",ISBLANK($E$8)),SUMIFS('[1]NS Vendor Details'!$D:$D,'[1]NS Vendor Details'!$H:$H,'G&amp;A Vendor x GL Analysis'!J$20,'[1]NS Vendor Details'!$L:$L,'G&amp;A Vendor x GL Analysis'!$D76,'[1]NS Vendor Details'!$O:$O,'G&amp;A Vendor x GL Analysis'!$F76,'[1]NS Vendor Details'!$N:$N,'G&amp;A Vendor x GL Analysis'!$C76),IF(J$15="Actual",SUMIFS('[1]NS Vendor Details'!$D:$D,'[1]NS Vendor Details'!$H:$H,'G&amp;A Vendor x GL Analysis'!J$20,'[1]NS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K76" s="17">
        <f>IF(AND(K$15="Actual",ISBLANK($E$8)),SUMIFS('[1]NS Vendor Details'!$D:$D,'[1]NS Vendor Details'!$H:$H,'G&amp;A Vendor x GL Analysis'!K$20,'[1]NS Vendor Details'!$L:$L,'G&amp;A Vendor x GL Analysis'!$D76,'[1]NS Vendor Details'!$O:$O,'G&amp;A Vendor x GL Analysis'!$F76,'[1]NS Vendor Details'!$N:$N,'G&amp;A Vendor x GL Analysis'!$C76),IF(K$15="Actual",SUMIFS('[1]NS Vendor Details'!$D:$D,'[1]NS Vendor Details'!$H:$H,'G&amp;A Vendor x GL Analysis'!K$20,'[1]NS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L76" s="17">
        <f>IF(AND(L$15="Actual",ISBLANK($E$8)),SUMIFS('[1]NS Vendor Details'!$D:$D,'[1]NS Vendor Details'!$H:$H,'G&amp;A Vendor x GL Analysis'!L$20,'[1]NS Vendor Details'!$L:$L,'G&amp;A Vendor x GL Analysis'!$D76,'[1]NS Vendor Details'!$O:$O,'G&amp;A Vendor x GL Analysis'!$F76,'[1]NS Vendor Details'!$N:$N,'G&amp;A Vendor x GL Analysis'!$C76),IF(L$15="Actual",SUMIFS('[1]NS Vendor Details'!$D:$D,'[1]NS Vendor Details'!$H:$H,'G&amp;A Vendor x GL Analysis'!L$20,'[1]NS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M76" s="17">
        <f>IF(AND(M$15="Actual",ISBLANK($E$8)),SUMIFS('[1]NS Vendor Details'!$D:$D,'[1]NS Vendor Details'!$H:$H,'G&amp;A Vendor x GL Analysis'!M$20,'[1]NS Vendor Details'!$L:$L,'G&amp;A Vendor x GL Analysis'!$D76,'[1]NS Vendor Details'!$O:$O,'G&amp;A Vendor x GL Analysis'!$F76,'[1]NS Vendor Details'!$N:$N,'G&amp;A Vendor x GL Analysis'!$C76),IF(M$15="Actual",SUMIFS('[1]NS Vendor Details'!$D:$D,'[1]NS Vendor Details'!$H:$H,'G&amp;A Vendor x GL Analysis'!M$20,'[1]NS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N76" s="17">
        <f>IF(AND(N$15="Actual",ISBLANK($E$8)),SUMIFS('[1]NS Vendor Details'!$D:$D,'[1]NS Vendor Details'!$H:$H,'G&amp;A Vendor x GL Analysis'!N$20,'[1]NS Vendor Details'!$L:$L,'G&amp;A Vendor x GL Analysis'!$D76,'[1]NS Vendor Details'!$O:$O,'G&amp;A Vendor x GL Analysis'!$F76,'[1]NS Vendor Details'!$N:$N,'G&amp;A Vendor x GL Analysis'!$C76),IF(N$15="Actual",SUMIFS('[1]NS Vendor Details'!$D:$D,'[1]NS Vendor Details'!$H:$H,'G&amp;A Vendor x GL Analysis'!N$20,'[1]NS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O76" s="17">
        <f>IF(AND(O$15="Actual",ISBLANK($E$8)),SUMIFS('[1]NS Vendor Details'!$D:$D,'[1]NS Vendor Details'!$H:$H,'G&amp;A Vendor x GL Analysis'!O$20,'[1]NS Vendor Details'!$L:$L,'G&amp;A Vendor x GL Analysis'!$D76,'[1]NS Vendor Details'!$O:$O,'G&amp;A Vendor x GL Analysis'!$F76,'[1]NS Vendor Details'!$N:$N,'G&amp;A Vendor x GL Analysis'!$C76),IF(O$15="Actual",SUMIFS('[1]NS Vendor Details'!$D:$D,'[1]NS Vendor Details'!$H:$H,'G&amp;A Vendor x GL Analysis'!O$20,'[1]NS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P76" s="17">
        <f>IF(AND(P$15="Actual",ISBLANK($E$8)),SUMIFS('[1]NS Vendor Details'!$D:$D,'[1]NS Vendor Details'!$H:$H,'G&amp;A Vendor x GL Analysis'!P$20,'[1]NS Vendor Details'!$L:$L,'G&amp;A Vendor x GL Analysis'!$D76,'[1]NS Vendor Details'!$O:$O,'G&amp;A Vendor x GL Analysis'!$F76,'[1]NS Vendor Details'!$N:$N,'G&amp;A Vendor x GL Analysis'!$C76),IF(P$15="Actual",SUMIFS('[1]NS Vendor Details'!$D:$D,'[1]NS Vendor Details'!$H:$H,'G&amp;A Vendor x GL Analysis'!P$20,'[1]NS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Q76" s="17">
        <f>IF(AND(Q$15="Actual",ISBLANK($E$8)),SUMIFS('[1]NS Vendor Details'!$D:$D,'[1]NS Vendor Details'!$H:$H,'G&amp;A Vendor x GL Analysis'!Q$20,'[1]NS Vendor Details'!$L:$L,'G&amp;A Vendor x GL Analysis'!$D76,'[1]NS Vendor Details'!$O:$O,'G&amp;A Vendor x GL Analysis'!$F76,'[1]NS Vendor Details'!$N:$N,'G&amp;A Vendor x GL Analysis'!$C76),IF(Q$15="Actual",SUMIFS('[1]NS Vendor Details'!$D:$D,'[1]NS Vendor Details'!$H:$H,'G&amp;A Vendor x GL Analysis'!Q$20,'[1]NS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R76" s="18">
        <f>IF(AND(R$15="Actual",ISBLANK($E$8)),SUMIFS('[1]NS Vendor Details'!$D:$D,'[1]NS Vendor Details'!$H:$H,'G&amp;A Vendor x GL Analysis'!R$20,'[1]NS Vendor Details'!$L:$L,'G&amp;A Vendor x GL Analysis'!$D76,'[1]NS Vendor Details'!$O:$O,'G&amp;A Vendor x GL Analysis'!$F76,'[1]NS Vendor Details'!$N:$N,'G&amp;A Vendor x GL Analysis'!$C76),IF(R$15="Actual",SUMIFS('[1]NS Vendor Details'!$D:$D,'[1]NS Vendor Details'!$H:$H,'G&amp;A Vendor x GL Analysis'!R$20,'[1]NS Vendor Details'!$L:$L,'G&amp;A Vendor x GL Analysis'!$D76,'[1]NS Vendor Details'!$O:$O,'G&amp;A Vendor x GL Analysis'!$F76,'[1]NS Vendor Details'!$N:$N,'G&amp;A Vendor x GL Analysis'!$C76,'[1]NS Vendor Details'!$K:$K,'G&amp;A Vendor x GL Analysis'!$E$8),0))</f>
        <v>0</v>
      </c>
      <c r="S76" s="16">
        <f>IF(AND(S$15="Actual",ISBLANK($E$8)),SUMIFS('[1]NS Vendor Details'!$D:$D,'[1]NS Vendor Details'!$H:$H,'G&amp;A Vendor x GL Analysis'!S$20,'[1]NS Vendor Details'!$L:$L,'G&amp;A Vendor x GL Analysis'!$D76,'[1]NS Vendor Details'!$O:$O,'G&amp;A Vendor x GL Analysis'!$F76,'[1]NS Vendor Details'!$N:$N,'G&amp;A Vendor x GL Analysis'!$C76,'[1]NS Vendor Details'!$I:$I,'G&amp;A Vendor x GL Analysis'!$E76),IF(S$15="Actual",SUMIFS('[1]NS Vendor Details'!$D:$D,'[1]NS Vendor Details'!$H:$H,'G&amp;A Vendor x GL Analysis'!S$20,'[1]NS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T76" s="17">
        <f>IF(AND(T$15="Actual",ISBLANK($E$8)),SUMIFS('[1]NS Vendor Details'!$D:$D,'[1]NS Vendor Details'!$H:$H,'G&amp;A Vendor x GL Analysis'!T$20,'[1]NS Vendor Details'!$L:$L,'G&amp;A Vendor x GL Analysis'!$D76,'[1]NS Vendor Details'!$O:$O,'G&amp;A Vendor x GL Analysis'!$F76,'[1]NS Vendor Details'!$N:$N,'G&amp;A Vendor x GL Analysis'!$C76,'[1]NS Vendor Details'!$I:$I,'G&amp;A Vendor x GL Analysis'!$E76),IF(T$15="Actual",SUMIFS('[1]NS Vendor Details'!$D:$D,'[1]NS Vendor Details'!$H:$H,'G&amp;A Vendor x GL Analysis'!T$20,'[1]NS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U76" s="17">
        <f>IF(AND(U$15="Actual",ISBLANK($E$8)),SUMIFS('[1]NS Vendor Details'!$D:$D,'[1]NS Vendor Details'!$H:$H,'G&amp;A Vendor x GL Analysis'!U$20,'[1]NS Vendor Details'!$L:$L,'G&amp;A Vendor x GL Analysis'!$D76,'[1]NS Vendor Details'!$O:$O,'G&amp;A Vendor x GL Analysis'!$F76,'[1]NS Vendor Details'!$N:$N,'G&amp;A Vendor x GL Analysis'!$C76,'[1]NS Vendor Details'!$I:$I,'G&amp;A Vendor x GL Analysis'!$E76),IF(U$15="Actual",SUMIFS('[1]NS Vendor Details'!$D:$D,'[1]NS Vendor Details'!$H:$H,'G&amp;A Vendor x GL Analysis'!U$20,'[1]NS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V76" s="17">
        <f>IF(AND(V$15="Actual",ISBLANK($E$8)),SUMIFS('[1]NS Vendor Details'!$D:$D,'[1]NS Vendor Details'!$H:$H,'G&amp;A Vendor x GL Analysis'!V$20,'[1]NS Vendor Details'!$L:$L,'G&amp;A Vendor x GL Analysis'!$D76,'[1]NS Vendor Details'!$O:$O,'G&amp;A Vendor x GL Analysis'!$F76,'[1]NS Vendor Details'!$N:$N,'G&amp;A Vendor x GL Analysis'!$C76,'[1]NS Vendor Details'!$I:$I,'G&amp;A Vendor x GL Analysis'!$E76),IF(V$15="Actual",SUMIFS('[1]NS Vendor Details'!$D:$D,'[1]NS Vendor Details'!$H:$H,'G&amp;A Vendor x GL Analysis'!V$20,'[1]NS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W76" s="17">
        <f>IF(AND(W$15="Actual",ISBLANK($E$8)),SUMIFS('[1]NS Vendor Details'!$D:$D,'[1]NS Vendor Details'!$H:$H,'G&amp;A Vendor x GL Analysis'!W$20,'[1]NS Vendor Details'!$L:$L,'G&amp;A Vendor x GL Analysis'!$D76,'[1]NS Vendor Details'!$O:$O,'G&amp;A Vendor x GL Analysis'!$F76,'[1]NS Vendor Details'!$N:$N,'G&amp;A Vendor x GL Analysis'!$C76,'[1]NS Vendor Details'!$I:$I,'G&amp;A Vendor x GL Analysis'!$E76),IF(W$15="Actual",SUMIFS('[1]NS Vendor Details'!$D:$D,'[1]NS Vendor Details'!$H:$H,'G&amp;A Vendor x GL Analysis'!W$20,'[1]NS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X76" s="17">
        <f>IF(AND(X$15="Actual",ISBLANK($E$8)),SUMIFS('[1]NS Vendor Details'!$D:$D,'[1]NS Vendor Details'!$H:$H,'G&amp;A Vendor x GL Analysis'!X$20,'[1]NS Vendor Details'!$L:$L,'G&amp;A Vendor x GL Analysis'!$D76,'[1]NS Vendor Details'!$O:$O,'G&amp;A Vendor x GL Analysis'!$F76,'[1]NS Vendor Details'!$N:$N,'G&amp;A Vendor x GL Analysis'!$C76,'[1]NS Vendor Details'!$I:$I,'G&amp;A Vendor x GL Analysis'!$E76),IF(X$15="Actual",SUMIFS('[1]NS Vendor Details'!$D:$D,'[1]NS Vendor Details'!$H:$H,'G&amp;A Vendor x GL Analysis'!X$20,'[1]NS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Y76" s="17">
        <f>IF(AND(Y$15="Actual",ISBLANK($E$8)),SUMIFS('[1]NS Vendor Details'!$D:$D,'[1]NS Vendor Details'!$H:$H,'G&amp;A Vendor x GL Analysis'!Y$20,'[1]NS Vendor Details'!$L:$L,'G&amp;A Vendor x GL Analysis'!$D76,'[1]NS Vendor Details'!$O:$O,'G&amp;A Vendor x GL Analysis'!$F76,'[1]NS Vendor Details'!$N:$N,'G&amp;A Vendor x GL Analysis'!$C76,'[1]NS Vendor Details'!$I:$I,'G&amp;A Vendor x GL Analysis'!$E76),IF(Y$15="Actual",SUMIFS('[1]NS Vendor Details'!$D:$D,'[1]NS Vendor Details'!$H:$H,'G&amp;A Vendor x GL Analysis'!Y$20,'[1]NS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173.26</v>
      </c>
      <c r="Z76" s="17">
        <f>IF(AND(Z$15="Actual",ISBLANK($E$8)),SUMIFS('[1]NS Vendor Details'!$D:$D,'[1]NS Vendor Details'!$H:$H,'G&amp;A Vendor x GL Analysis'!Z$20,'[1]NS Vendor Details'!$L:$L,'G&amp;A Vendor x GL Analysis'!$D76,'[1]NS Vendor Details'!$O:$O,'G&amp;A Vendor x GL Analysis'!$F76,'[1]NS Vendor Details'!$N:$N,'G&amp;A Vendor x GL Analysis'!$C76,'[1]NS Vendor Details'!$I:$I,'G&amp;A Vendor x GL Analysis'!$E76),IF(Z$15="Actual",SUMIFS('[1]NS Vendor Details'!$D:$D,'[1]NS Vendor Details'!$H:$H,'G&amp;A Vendor x GL Analysis'!Z$20,'[1]NS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AA76" s="17">
        <f>IF(AND(AA$15="Actual",ISBLANK($E$8)),SUMIFS('[1]NS Vendor Details'!$D:$D,'[1]NS Vendor Details'!$H:$H,'G&amp;A Vendor x GL Analysis'!AA$20,'[1]NS Vendor Details'!$L:$L,'G&amp;A Vendor x GL Analysis'!$D76,'[1]NS Vendor Details'!$O:$O,'G&amp;A Vendor x GL Analysis'!$F76,'[1]NS Vendor Details'!$N:$N,'G&amp;A Vendor x GL Analysis'!$C76,'[1]NS Vendor Details'!$I:$I,'G&amp;A Vendor x GL Analysis'!$E76),IF(AA$15="Actual",SUMIFS('[1]NS Vendor Details'!$D:$D,'[1]NS Vendor Details'!$H:$H,'G&amp;A Vendor x GL Analysis'!AA$20,'[1]NS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AB76" s="17">
        <f>IF(AND(AB$15="Actual",ISBLANK($E$8)),SUMIFS('[1]NS Vendor Details'!$D:$D,'[1]NS Vendor Details'!$H:$H,'G&amp;A Vendor x GL Analysis'!AB$20,'[1]NS Vendor Details'!$L:$L,'G&amp;A Vendor x GL Analysis'!$D76,'[1]NS Vendor Details'!$O:$O,'G&amp;A Vendor x GL Analysis'!$F76,'[1]NS Vendor Details'!$N:$N,'G&amp;A Vendor x GL Analysis'!$C76,'[1]NS Vendor Details'!$I:$I,'G&amp;A Vendor x GL Analysis'!$E76),IF(AB$15="Actual",SUMIFS('[1]NS Vendor Details'!$D:$D,'[1]NS Vendor Details'!$H:$H,'G&amp;A Vendor x GL Analysis'!AB$20,'[1]NS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AC76" s="18">
        <f>IF(AND(AC$15="Actual",ISBLANK($E$8)),SUMIFS('[1]NS Vendor Details'!$D:$D,'[1]NS Vendor Details'!$H:$H,'G&amp;A Vendor x GL Analysis'!AC$20,'[1]NS Vendor Details'!$L:$L,'G&amp;A Vendor x GL Analysis'!$D76,'[1]NS Vendor Details'!$O:$O,'G&amp;A Vendor x GL Analysis'!$F76,'[1]NS Vendor Details'!$N:$N,'G&amp;A Vendor x GL Analysis'!$C76,'[1]NS Vendor Details'!$I:$I,'G&amp;A Vendor x GL Analysis'!$E76),IF(AC$15="Actual",SUMIFS('[1]NS Vendor Details'!$D:$D,'[1]NS Vendor Details'!$H:$H,'G&amp;A Vendor x GL Analysis'!AC$20,'[1]NS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AD76" s="18">
        <f>IF(AND(AD$15="Actual",ISBLANK($E$8)),SUMIFS('[1]NS Vendor Details'!$D:$D,'[1]NS Vendor Details'!$H:$H,'G&amp;A Vendor x GL Analysis'!AD$20,'[1]NS Vendor Details'!$L:$L,'G&amp;A Vendor x GL Analysis'!$D76,'[1]NS Vendor Details'!$O:$O,'G&amp;A Vendor x GL Analysis'!$F76,'[1]NS Vendor Details'!$N:$N,'G&amp;A Vendor x GL Analysis'!$C76,'[1]NS Vendor Details'!$I:$I,'G&amp;A Vendor x GL Analysis'!$E76),IF(AD$15="Actual",SUMIFS('[1]NS Vendor Details'!$D:$D,'[1]NS Vendor Details'!$H:$H,'G&amp;A Vendor x GL Analysis'!AD$20,'[1]NS Vendor Details'!$L:$L,'G&amp;A Vendor x GL Analysis'!$D76,'[1]NS Vendor Details'!$O:$O,'G&amp;A Vendor x GL Analysis'!$F76,'[1]NS Vendor Details'!$N:$N,'G&amp;A Vendor x GL Analysis'!$C76,'[1]NS Vendor Details'!$K:$K,'G&amp;A Vendor x GL Analysis'!$E$8,'[1]NS Vendor Details'!$I:$I,'G&amp;A Vendor x GL Analysis'!$E76),0))</f>
        <v>0</v>
      </c>
      <c r="AF76" s="15">
        <f t="shared" si="9"/>
        <v>173.26</v>
      </c>
    </row>
    <row r="77" spans="1:32" ht="15">
      <c r="A77" s="8" t="str">
        <f t="shared" si="8"/>
        <v>Professional Service</v>
      </c>
      <c r="B77" s="8" t="s">
        <v>9</v>
      </c>
      <c r="E77" s="9" t="s">
        <v>68</v>
      </c>
      <c r="F77" s="9"/>
      <c r="G77" s="12">
        <f t="shared" ref="G77:AD77" si="20">SUMIFS(G:G,$D:$D,$E77)</f>
        <v>174667.67</v>
      </c>
      <c r="H77" s="13">
        <f t="shared" si="20"/>
        <v>65652.949999999983</v>
      </c>
      <c r="I77" s="13">
        <f t="shared" si="20"/>
        <v>163348.28999999998</v>
      </c>
      <c r="J77" s="13">
        <f t="shared" si="20"/>
        <v>174867.46000000002</v>
      </c>
      <c r="K77" s="13">
        <f t="shared" si="20"/>
        <v>89039.340000000026</v>
      </c>
      <c r="L77" s="13">
        <f t="shared" si="20"/>
        <v>101026.30000000002</v>
      </c>
      <c r="M77" s="13">
        <f t="shared" si="20"/>
        <v>67239.09</v>
      </c>
      <c r="N77" s="13">
        <f t="shared" si="20"/>
        <v>73541.72</v>
      </c>
      <c r="O77" s="13">
        <f t="shared" si="20"/>
        <v>39605.72</v>
      </c>
      <c r="P77" s="13">
        <f t="shared" si="20"/>
        <v>113654.61</v>
      </c>
      <c r="Q77" s="13">
        <f t="shared" si="20"/>
        <v>144325.8600000001</v>
      </c>
      <c r="R77" s="14">
        <f t="shared" si="20"/>
        <v>545303.91000000015</v>
      </c>
      <c r="S77" s="12">
        <f t="shared" si="20"/>
        <v>52659.669999999984</v>
      </c>
      <c r="T77" s="13">
        <f t="shared" si="20"/>
        <v>81730.59</v>
      </c>
      <c r="U77" s="13">
        <f t="shared" si="20"/>
        <v>56640.989999999976</v>
      </c>
      <c r="V77" s="13">
        <f t="shared" si="20"/>
        <v>89562.290000000037</v>
      </c>
      <c r="W77" s="13">
        <f t="shared" si="20"/>
        <v>218381.11999999997</v>
      </c>
      <c r="X77" s="13">
        <f t="shared" si="20"/>
        <v>111685.52</v>
      </c>
      <c r="Y77" s="13">
        <f t="shared" si="20"/>
        <v>90051.690000000017</v>
      </c>
      <c r="Z77" s="13">
        <f t="shared" si="20"/>
        <v>117665.73999999999</v>
      </c>
      <c r="AA77" s="13">
        <f t="shared" si="20"/>
        <v>97907.41</v>
      </c>
      <c r="AB77" s="13">
        <f t="shared" si="20"/>
        <v>109881.78</v>
      </c>
      <c r="AC77" s="14">
        <f t="shared" si="20"/>
        <v>60529.759999999995</v>
      </c>
      <c r="AD77" s="14">
        <f t="shared" si="20"/>
        <v>0</v>
      </c>
      <c r="AF77" s="19">
        <f t="shared" si="9"/>
        <v>1086696.56</v>
      </c>
    </row>
    <row r="78" spans="1:32" outlineLevel="1">
      <c r="A78" s="8" t="str">
        <f t="shared" si="8"/>
        <v>Professional Service6210 - Monitoring</v>
      </c>
      <c r="C78" s="8" t="s">
        <v>11</v>
      </c>
      <c r="D78" s="8" t="str">
        <f>E77</f>
        <v>Professional Service</v>
      </c>
      <c r="E78" s="2" t="s">
        <v>69</v>
      </c>
      <c r="F78" s="2" t="s">
        <v>70</v>
      </c>
      <c r="G78" s="16">
        <f>IF(AND(G$15="Actual",ISBLANK($E$8)),SUMIFS('[1]NS Vendor Details'!$D:$D,'[1]NS Vendor Details'!$H:$H,'G&amp;A Vendor x GL Analysis'!G$20,'[1]NS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Analysis'!G$20,'[1]NS Vendor Details'!$L:$L,'G&amp;A Vendor x GL Analysis'!$D78,'[1]NS Vendor Details'!$O:$O,'G&amp;A Vendor x GL Analysis'!$F78,'[1]NS Vendor Details'!$N:$N,"Direct Costs",'[1]NS Vendor Details'!$J:$J,0),IF(G$15="Actual",SUMIFS('[1]NS Vendor Details'!$D:$D,'[1]NS Vendor Details'!$H:$H,'G&amp;A Vendor x GL Analysis'!G$20,'[1]NS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Analysis'!G$20,'[1]NS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H78" s="17">
        <f>IF(AND(H$15="Actual",ISBLANK($E$8)),SUMIFS('[1]NS Vendor Details'!$D:$D,'[1]NS Vendor Details'!$H:$H,'G&amp;A Vendor x GL Analysis'!H$20,'[1]NS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Analysis'!H$20,'[1]NS Vendor Details'!$L:$L,'G&amp;A Vendor x GL Analysis'!$D78,'[1]NS Vendor Details'!$O:$O,'G&amp;A Vendor x GL Analysis'!$F78,'[1]NS Vendor Details'!$N:$N,"Direct Costs",'[1]NS Vendor Details'!$J:$J,0),IF(H$15="Actual",SUMIFS('[1]NS Vendor Details'!$D:$D,'[1]NS Vendor Details'!$H:$H,'G&amp;A Vendor x GL Analysis'!H$20,'[1]NS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Analysis'!H$20,'[1]NS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I78" s="17">
        <f>IF(AND(I$15="Actual",ISBLANK($E$8)),SUMIFS('[1]NS Vendor Details'!$D:$D,'[1]NS Vendor Details'!$H:$H,'G&amp;A Vendor x GL Analysis'!I$20,'[1]NS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Analysis'!I$20,'[1]NS Vendor Details'!$L:$L,'G&amp;A Vendor x GL Analysis'!$D78,'[1]NS Vendor Details'!$O:$O,'G&amp;A Vendor x GL Analysis'!$F78,'[1]NS Vendor Details'!$N:$N,"Direct Costs",'[1]NS Vendor Details'!$J:$J,0),IF(I$15="Actual",SUMIFS('[1]NS Vendor Details'!$D:$D,'[1]NS Vendor Details'!$H:$H,'G&amp;A Vendor x GL Analysis'!I$20,'[1]NS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Analysis'!I$20,'[1]NS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J78" s="17">
        <f>IF(AND(J$15="Actual",ISBLANK($E$8)),SUMIFS('[1]NS Vendor Details'!$D:$D,'[1]NS Vendor Details'!$H:$H,'G&amp;A Vendor x GL Analysis'!J$20,'[1]NS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Analysis'!J$20,'[1]NS Vendor Details'!$L:$L,'G&amp;A Vendor x GL Analysis'!$D78,'[1]NS Vendor Details'!$O:$O,'G&amp;A Vendor x GL Analysis'!$F78,'[1]NS Vendor Details'!$N:$N,"Direct Costs",'[1]NS Vendor Details'!$J:$J,0),IF(J$15="Actual",SUMIFS('[1]NS Vendor Details'!$D:$D,'[1]NS Vendor Details'!$H:$H,'G&amp;A Vendor x GL Analysis'!J$20,'[1]NS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Analysis'!J$20,'[1]NS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K78" s="17">
        <f>IF(AND(K$15="Actual",ISBLANK($E$8)),SUMIFS('[1]NS Vendor Details'!$D:$D,'[1]NS Vendor Details'!$H:$H,'G&amp;A Vendor x GL Analysis'!K$20,'[1]NS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Analysis'!K$20,'[1]NS Vendor Details'!$L:$L,'G&amp;A Vendor x GL Analysis'!$D78,'[1]NS Vendor Details'!$O:$O,'G&amp;A Vendor x GL Analysis'!$F78,'[1]NS Vendor Details'!$N:$N,"Direct Costs",'[1]NS Vendor Details'!$J:$J,0),IF(K$15="Actual",SUMIFS('[1]NS Vendor Details'!$D:$D,'[1]NS Vendor Details'!$H:$H,'G&amp;A Vendor x GL Analysis'!K$20,'[1]NS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Analysis'!K$20,'[1]NS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L78" s="17">
        <f>IF(AND(L$15="Actual",ISBLANK($E$8)),SUMIFS('[1]NS Vendor Details'!$D:$D,'[1]NS Vendor Details'!$H:$H,'G&amp;A Vendor x GL Analysis'!L$20,'[1]NS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Analysis'!L$20,'[1]NS Vendor Details'!$L:$L,'G&amp;A Vendor x GL Analysis'!$D78,'[1]NS Vendor Details'!$O:$O,'G&amp;A Vendor x GL Analysis'!$F78,'[1]NS Vendor Details'!$N:$N,"Direct Costs",'[1]NS Vendor Details'!$J:$J,0),IF(L$15="Actual",SUMIFS('[1]NS Vendor Details'!$D:$D,'[1]NS Vendor Details'!$H:$H,'G&amp;A Vendor x GL Analysis'!L$20,'[1]NS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Analysis'!L$20,'[1]NS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M78" s="17">
        <f>IF(AND(M$15="Actual",ISBLANK($E$8)),SUMIFS('[1]NS Vendor Details'!$D:$D,'[1]NS Vendor Details'!$H:$H,'G&amp;A Vendor x GL Analysis'!M$20,'[1]NS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Analysis'!M$20,'[1]NS Vendor Details'!$L:$L,'G&amp;A Vendor x GL Analysis'!$D78,'[1]NS Vendor Details'!$O:$O,'G&amp;A Vendor x GL Analysis'!$F78,'[1]NS Vendor Details'!$N:$N,"Direct Costs",'[1]NS Vendor Details'!$J:$J,0),IF(M$15="Actual",SUMIFS('[1]NS Vendor Details'!$D:$D,'[1]NS Vendor Details'!$H:$H,'G&amp;A Vendor x GL Analysis'!M$20,'[1]NS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Analysis'!M$20,'[1]NS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N78" s="17">
        <f>IF(AND(N$15="Actual",ISBLANK($E$8)),SUMIFS('[1]NS Vendor Details'!$D:$D,'[1]NS Vendor Details'!$H:$H,'G&amp;A Vendor x GL Analysis'!N$20,'[1]NS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Analysis'!N$20,'[1]NS Vendor Details'!$L:$L,'G&amp;A Vendor x GL Analysis'!$D78,'[1]NS Vendor Details'!$O:$O,'G&amp;A Vendor x GL Analysis'!$F78,'[1]NS Vendor Details'!$N:$N,"Direct Costs",'[1]NS Vendor Details'!$J:$J,0),IF(N$15="Actual",SUMIFS('[1]NS Vendor Details'!$D:$D,'[1]NS Vendor Details'!$H:$H,'G&amp;A Vendor x GL Analysis'!N$20,'[1]NS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Analysis'!N$20,'[1]NS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O78" s="17">
        <f>IF(AND(O$15="Actual",ISBLANK($E$8)),SUMIFS('[1]NS Vendor Details'!$D:$D,'[1]NS Vendor Details'!$H:$H,'G&amp;A Vendor x GL Analysis'!O$20,'[1]NS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Analysis'!O$20,'[1]NS Vendor Details'!$L:$L,'G&amp;A Vendor x GL Analysis'!$D78,'[1]NS Vendor Details'!$O:$O,'G&amp;A Vendor x GL Analysis'!$F78,'[1]NS Vendor Details'!$N:$N,"Direct Costs",'[1]NS Vendor Details'!$J:$J,0),IF(O$15="Actual",SUMIFS('[1]NS Vendor Details'!$D:$D,'[1]NS Vendor Details'!$H:$H,'G&amp;A Vendor x GL Analysis'!O$20,'[1]NS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Analysis'!O$20,'[1]NS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P78" s="17">
        <f>IF(AND(P$15="Actual",ISBLANK($E$8)),SUMIFS('[1]NS Vendor Details'!$D:$D,'[1]NS Vendor Details'!$H:$H,'G&amp;A Vendor x GL Analysis'!P$20,'[1]NS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Analysis'!P$20,'[1]NS Vendor Details'!$L:$L,'G&amp;A Vendor x GL Analysis'!$D78,'[1]NS Vendor Details'!$O:$O,'G&amp;A Vendor x GL Analysis'!$F78,'[1]NS Vendor Details'!$N:$N,"Direct Costs",'[1]NS Vendor Details'!$J:$J,0),IF(P$15="Actual",SUMIFS('[1]NS Vendor Details'!$D:$D,'[1]NS Vendor Details'!$H:$H,'G&amp;A Vendor x GL Analysis'!P$20,'[1]NS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Analysis'!P$20,'[1]NS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Q78" s="17">
        <f>IF(AND(Q$15="Actual",ISBLANK($E$8)),SUMIFS('[1]NS Vendor Details'!$D:$D,'[1]NS Vendor Details'!$H:$H,'G&amp;A Vendor x GL Analysis'!Q$20,'[1]NS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Analysis'!Q$20,'[1]NS Vendor Details'!$L:$L,'G&amp;A Vendor x GL Analysis'!$D78,'[1]NS Vendor Details'!$O:$O,'G&amp;A Vendor x GL Analysis'!$F78,'[1]NS Vendor Details'!$N:$N,"Direct Costs",'[1]NS Vendor Details'!$J:$J,0),IF(Q$15="Actual",SUMIFS('[1]NS Vendor Details'!$D:$D,'[1]NS Vendor Details'!$H:$H,'G&amp;A Vendor x GL Analysis'!Q$20,'[1]NS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Analysis'!Q$20,'[1]NS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R78" s="18">
        <f>IF(AND(R$15="Actual",ISBLANK($E$8)),SUMIFS('[1]NS Vendor Details'!$D:$D,'[1]NS Vendor Details'!$H:$H,'G&amp;A Vendor x GL Analysis'!R$20,'[1]NS Vendor Details'!$L:$L,'G&amp;A Vendor x GL Analysis'!$D78,'[1]NS Vendor Details'!$O:$O,'G&amp;A Vendor x GL Analysis'!$F78,'[1]NS Vendor Details'!$N:$N,'G&amp;A Vendor x GL Analysis'!$C78)+SUMIFS('[1]NS Vendor Details'!$D:$D,'[1]NS Vendor Details'!$H:$H,'G&amp;A Vendor x GL Analysis'!R$20,'[1]NS Vendor Details'!$L:$L,'G&amp;A Vendor x GL Analysis'!$D78,'[1]NS Vendor Details'!$O:$O,'G&amp;A Vendor x GL Analysis'!$F78,'[1]NS Vendor Details'!$N:$N,"Direct Costs",'[1]NS Vendor Details'!$J:$J,0),IF(R$15="Actual",SUMIFS('[1]NS Vendor Details'!$D:$D,'[1]NS Vendor Details'!$H:$H,'G&amp;A Vendor x GL Analysis'!R$20,'[1]NS Vendor Details'!$L:$L,'G&amp;A Vendor x GL Analysis'!$D78,'[1]NS Vendor Details'!$O:$O,'G&amp;A Vendor x GL Analysis'!$F78,'[1]NS Vendor Details'!$N:$N,'G&amp;A Vendor x GL Analysis'!$C78,'[1]NS Vendor Details'!$K:$K,'G&amp;A Vendor x GL Analysis'!$E$8)+SUMIFS('[1]NS Vendor Details'!$D:$D,'[1]NS Vendor Details'!$H:$H,'G&amp;A Vendor x GL Analysis'!R$20,'[1]NS Vendor Details'!$L:$L,'G&amp;A Vendor x GL Analysis'!$D78,'[1]NS Vendor Details'!$O:$O,'G&amp;A Vendor x GL Analysis'!$F78,'[1]NS Vendor Details'!$N:$N,"Direct Costs",'[1]NS Vendor Details'!$J:$J,0,'[1]NS Vendor Details'!$K:$K,'G&amp;A Vendor x GL Analysis'!$E$8),0))</f>
        <v>0</v>
      </c>
      <c r="S78" s="16">
        <f>IF(AND(S$15="Actual",ISBLANK($E$8)),SUMIFS('[1]NS Vendor Details'!$D:$D,'[1]NS Vendor Details'!$H:$H,'G&amp;A Vendor x GL Analysis'!S$20,'[1]NS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Analysis'!S$20,'[1]NS Vendor Details'!$L:$L,'G&amp;A Vendor x GL Analysis'!$D78,'[1]NS Vendor Details'!$O:$O,'G&amp;A Vendor x GL Analysis'!$F78,'[1]NS Vendor Details'!$N:$N,"Direct Costs",'[1]NS Vendor Details'!$J:$J,0,'[1]NS Vendor Details'!$I:$I,'G&amp;A Vendor x GL Analysis'!$E78),IF(S$15="Actual",SUMIFS('[1]NS Vendor Details'!$D:$D,'[1]NS Vendor Details'!$H:$H,'G&amp;A Vendor x GL Analysis'!S$20,'[1]NS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Analysis'!S$20,'[1]NS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T78" s="17">
        <f>IF(AND(T$15="Actual",ISBLANK($E$8)),SUMIFS('[1]NS Vendor Details'!$D:$D,'[1]NS Vendor Details'!$H:$H,'G&amp;A Vendor x GL Analysis'!T$20,'[1]NS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Analysis'!T$20,'[1]NS Vendor Details'!$L:$L,'G&amp;A Vendor x GL Analysis'!$D78,'[1]NS Vendor Details'!$O:$O,'G&amp;A Vendor x GL Analysis'!$F78,'[1]NS Vendor Details'!$N:$N,"Direct Costs",'[1]NS Vendor Details'!$J:$J,0,'[1]NS Vendor Details'!$I:$I,'G&amp;A Vendor x GL Analysis'!$E78),IF(T$15="Actual",SUMIFS('[1]NS Vendor Details'!$D:$D,'[1]NS Vendor Details'!$H:$H,'G&amp;A Vendor x GL Analysis'!T$20,'[1]NS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Analysis'!T$20,'[1]NS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U78" s="17">
        <f>IF(AND(U$15="Actual",ISBLANK($E$8)),SUMIFS('[1]NS Vendor Details'!$D:$D,'[1]NS Vendor Details'!$H:$H,'G&amp;A Vendor x GL Analysis'!U$20,'[1]NS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Analysis'!U$20,'[1]NS Vendor Details'!$L:$L,'G&amp;A Vendor x GL Analysis'!$D78,'[1]NS Vendor Details'!$O:$O,'G&amp;A Vendor x GL Analysis'!$F78,'[1]NS Vendor Details'!$N:$N,"Direct Costs",'[1]NS Vendor Details'!$J:$J,0,'[1]NS Vendor Details'!$I:$I,'G&amp;A Vendor x GL Analysis'!$E78),IF(U$15="Actual",SUMIFS('[1]NS Vendor Details'!$D:$D,'[1]NS Vendor Details'!$H:$H,'G&amp;A Vendor x GL Analysis'!U$20,'[1]NS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Analysis'!U$20,'[1]NS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V78" s="17">
        <f>IF(AND(V$15="Actual",ISBLANK($E$8)),SUMIFS('[1]NS Vendor Details'!$D:$D,'[1]NS Vendor Details'!$H:$H,'G&amp;A Vendor x GL Analysis'!V$20,'[1]NS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Analysis'!V$20,'[1]NS Vendor Details'!$L:$L,'G&amp;A Vendor x GL Analysis'!$D78,'[1]NS Vendor Details'!$O:$O,'G&amp;A Vendor x GL Analysis'!$F78,'[1]NS Vendor Details'!$N:$N,"Direct Costs",'[1]NS Vendor Details'!$J:$J,0,'[1]NS Vendor Details'!$I:$I,'G&amp;A Vendor x GL Analysis'!$E78),IF(V$15="Actual",SUMIFS('[1]NS Vendor Details'!$D:$D,'[1]NS Vendor Details'!$H:$H,'G&amp;A Vendor x GL Analysis'!V$20,'[1]NS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Analysis'!V$20,'[1]NS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W78" s="17">
        <f>IF(AND(W$15="Actual",ISBLANK($E$8)),SUMIFS('[1]NS Vendor Details'!$D:$D,'[1]NS Vendor Details'!$H:$H,'G&amp;A Vendor x GL Analysis'!W$20,'[1]NS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Analysis'!W$20,'[1]NS Vendor Details'!$L:$L,'G&amp;A Vendor x GL Analysis'!$D78,'[1]NS Vendor Details'!$O:$O,'G&amp;A Vendor x GL Analysis'!$F78,'[1]NS Vendor Details'!$N:$N,"Direct Costs",'[1]NS Vendor Details'!$J:$J,0,'[1]NS Vendor Details'!$I:$I,'G&amp;A Vendor x GL Analysis'!$E78),IF(W$15="Actual",SUMIFS('[1]NS Vendor Details'!$D:$D,'[1]NS Vendor Details'!$H:$H,'G&amp;A Vendor x GL Analysis'!W$20,'[1]NS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Analysis'!W$20,'[1]NS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X78" s="17">
        <f>IF(AND(X$15="Actual",ISBLANK($E$8)),SUMIFS('[1]NS Vendor Details'!$D:$D,'[1]NS Vendor Details'!$H:$H,'G&amp;A Vendor x GL Analysis'!X$20,'[1]NS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Analysis'!X$20,'[1]NS Vendor Details'!$L:$L,'G&amp;A Vendor x GL Analysis'!$D78,'[1]NS Vendor Details'!$O:$O,'G&amp;A Vendor x GL Analysis'!$F78,'[1]NS Vendor Details'!$N:$N,"Direct Costs",'[1]NS Vendor Details'!$J:$J,0,'[1]NS Vendor Details'!$I:$I,'G&amp;A Vendor x GL Analysis'!$E78),IF(X$15="Actual",SUMIFS('[1]NS Vendor Details'!$D:$D,'[1]NS Vendor Details'!$H:$H,'G&amp;A Vendor x GL Analysis'!X$20,'[1]NS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Analysis'!X$20,'[1]NS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Y78" s="17">
        <f>IF(AND(Y$15="Actual",ISBLANK($E$8)),SUMIFS('[1]NS Vendor Details'!$D:$D,'[1]NS Vendor Details'!$H:$H,'G&amp;A Vendor x GL Analysis'!Y$20,'[1]NS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Analysis'!Y$20,'[1]NS Vendor Details'!$L:$L,'G&amp;A Vendor x GL Analysis'!$D78,'[1]NS Vendor Details'!$O:$O,'G&amp;A Vendor x GL Analysis'!$F78,'[1]NS Vendor Details'!$N:$N,"Direct Costs",'[1]NS Vendor Details'!$J:$J,0,'[1]NS Vendor Details'!$I:$I,'G&amp;A Vendor x GL Analysis'!$E78),IF(Y$15="Actual",SUMIFS('[1]NS Vendor Details'!$D:$D,'[1]NS Vendor Details'!$H:$H,'G&amp;A Vendor x GL Analysis'!Y$20,'[1]NS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Analysis'!Y$20,'[1]NS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Z78" s="17">
        <f>IF(AND(Z$15="Actual",ISBLANK($E$8)),SUMIFS('[1]NS Vendor Details'!$D:$D,'[1]NS Vendor Details'!$H:$H,'G&amp;A Vendor x GL Analysis'!Z$20,'[1]NS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Analysis'!Z$20,'[1]NS Vendor Details'!$L:$L,'G&amp;A Vendor x GL Analysis'!$D78,'[1]NS Vendor Details'!$O:$O,'G&amp;A Vendor x GL Analysis'!$F78,'[1]NS Vendor Details'!$N:$N,"Direct Costs",'[1]NS Vendor Details'!$J:$J,0,'[1]NS Vendor Details'!$I:$I,'G&amp;A Vendor x GL Analysis'!$E78),IF(Z$15="Actual",SUMIFS('[1]NS Vendor Details'!$D:$D,'[1]NS Vendor Details'!$H:$H,'G&amp;A Vendor x GL Analysis'!Z$20,'[1]NS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Analysis'!Z$20,'[1]NS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AA78" s="17">
        <f>IF(AND(AA$15="Actual",ISBLANK($E$8)),SUMIFS('[1]NS Vendor Details'!$D:$D,'[1]NS Vendor Details'!$H:$H,'G&amp;A Vendor x GL Analysis'!AA$20,'[1]NS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Analysis'!AA$20,'[1]NS Vendor Details'!$L:$L,'G&amp;A Vendor x GL Analysis'!$D78,'[1]NS Vendor Details'!$O:$O,'G&amp;A Vendor x GL Analysis'!$F78,'[1]NS Vendor Details'!$N:$N,"Direct Costs",'[1]NS Vendor Details'!$J:$J,0,'[1]NS Vendor Details'!$I:$I,'G&amp;A Vendor x GL Analysis'!$E78),IF(AA$15="Actual",SUMIFS('[1]NS Vendor Details'!$D:$D,'[1]NS Vendor Details'!$H:$H,'G&amp;A Vendor x GL Analysis'!AA$20,'[1]NS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Analysis'!AA$20,'[1]NS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AB78" s="17">
        <f>IF(AND(AB$15="Actual",ISBLANK($E$8)),SUMIFS('[1]NS Vendor Details'!$D:$D,'[1]NS Vendor Details'!$H:$H,'G&amp;A Vendor x GL Analysis'!AB$20,'[1]NS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Analysis'!AB$20,'[1]NS Vendor Details'!$L:$L,'G&amp;A Vendor x GL Analysis'!$D78,'[1]NS Vendor Details'!$O:$O,'G&amp;A Vendor x GL Analysis'!$F78,'[1]NS Vendor Details'!$N:$N,"Direct Costs",'[1]NS Vendor Details'!$J:$J,0,'[1]NS Vendor Details'!$I:$I,'G&amp;A Vendor x GL Analysis'!$E78),IF(AB$15="Actual",SUMIFS('[1]NS Vendor Details'!$D:$D,'[1]NS Vendor Details'!$H:$H,'G&amp;A Vendor x GL Analysis'!AB$20,'[1]NS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Analysis'!AB$20,'[1]NS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AC78" s="18">
        <f>IF(AND(AC$15="Actual",ISBLANK($E$8)),SUMIFS('[1]NS Vendor Details'!$D:$D,'[1]NS Vendor Details'!$H:$H,'G&amp;A Vendor x GL Analysis'!AC$20,'[1]NS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Analysis'!AC$20,'[1]NS Vendor Details'!$L:$L,'G&amp;A Vendor x GL Analysis'!$D78,'[1]NS Vendor Details'!$O:$O,'G&amp;A Vendor x GL Analysis'!$F78,'[1]NS Vendor Details'!$N:$N,"Direct Costs",'[1]NS Vendor Details'!$J:$J,0,'[1]NS Vendor Details'!$I:$I,'G&amp;A Vendor x GL Analysis'!$E78),IF(AC$15="Actual",SUMIFS('[1]NS Vendor Details'!$D:$D,'[1]NS Vendor Details'!$H:$H,'G&amp;A Vendor x GL Analysis'!AC$20,'[1]NS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Analysis'!AC$20,'[1]NS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AD78" s="18">
        <f>IF(AND(AD$15="Actual",ISBLANK($E$8)),SUMIFS('[1]NS Vendor Details'!$D:$D,'[1]NS Vendor Details'!$H:$H,'G&amp;A Vendor x GL Analysis'!AD$20,'[1]NS Vendor Details'!$L:$L,'G&amp;A Vendor x GL Analysis'!$D78,'[1]NS Vendor Details'!$O:$O,'G&amp;A Vendor x GL Analysis'!$F78,'[1]NS Vendor Details'!$N:$N,'G&amp;A Vendor x GL Analysis'!$C78,'[1]NS Vendor Details'!$I:$I,'G&amp;A Vendor x GL Analysis'!$E78)+SUMIFS('[1]NS Vendor Details'!$D:$D,'[1]NS Vendor Details'!$H:$H,'G&amp;A Vendor x GL Analysis'!AD$20,'[1]NS Vendor Details'!$L:$L,'G&amp;A Vendor x GL Analysis'!$D78,'[1]NS Vendor Details'!$O:$O,'G&amp;A Vendor x GL Analysis'!$F78,'[1]NS Vendor Details'!$N:$N,"Direct Costs",'[1]NS Vendor Details'!$J:$J,0,'[1]NS Vendor Details'!$I:$I,'G&amp;A Vendor x GL Analysis'!$E78),IF(AD$15="Actual",SUMIFS('[1]NS Vendor Details'!$D:$D,'[1]NS Vendor Details'!$H:$H,'G&amp;A Vendor x GL Analysis'!AD$20,'[1]NS Vendor Details'!$L:$L,'G&amp;A Vendor x GL Analysis'!$D78,'[1]NS Vendor Details'!$O:$O,'G&amp;A Vendor x GL Analysis'!$F78,'[1]NS Vendor Details'!$N:$N,'G&amp;A Vendor x GL Analysis'!$C78,'[1]NS Vendor Details'!$K:$K,'G&amp;A Vendor x GL Analysis'!$E$8,'[1]NS Vendor Details'!$I:$I,'G&amp;A Vendor x GL Analysis'!$E78)+SUMIFS('[1]NS Vendor Details'!$D:$D,'[1]NS Vendor Details'!$H:$H,'G&amp;A Vendor x GL Analysis'!AD$20,'[1]NS Vendor Details'!$L:$L,'G&amp;A Vendor x GL Analysis'!$D78,'[1]NS Vendor Details'!$O:$O,'G&amp;A Vendor x GL Analysis'!$F78,'[1]NS Vendor Details'!$N:$N,"Direct Costs",'[1]NS Vendor Details'!$J:$J,0,'[1]NS Vendor Details'!$K:$K,'G&amp;A Vendor x GL Analysis'!$E$8,'[1]NS Vendor Details'!$I:$I,'G&amp;A Vendor x GL Analysis'!$E78),0))</f>
        <v>0</v>
      </c>
      <c r="AF78" s="19">
        <f t="shared" si="9"/>
        <v>0</v>
      </c>
    </row>
    <row r="79" spans="1:32" outlineLevel="1">
      <c r="A79" s="8" t="str">
        <f t="shared" si="8"/>
        <v>Professional Service6215 - Recruitment</v>
      </c>
      <c r="C79" s="8" t="s">
        <v>11</v>
      </c>
      <c r="D79" s="8" t="str">
        <f>D78</f>
        <v>Professional Service</v>
      </c>
      <c r="E79" s="2" t="s">
        <v>71</v>
      </c>
      <c r="F79" s="2" t="s">
        <v>72</v>
      </c>
      <c r="G79" s="16">
        <f>IF(AND(G$15="Actual",ISBLANK($E$8)),SUMIFS('[1]NS Vendor Details'!$D:$D,'[1]NS Vendor Details'!$H:$H,'G&amp;A Vendor x GL Analysis'!G$20,'[1]NS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Analysis'!G$20,'[1]NS Vendor Details'!$L:$L,'G&amp;A Vendor x GL Analysis'!$D79,'[1]NS Vendor Details'!$O:$O,'G&amp;A Vendor x GL Analysis'!$F79,'[1]NS Vendor Details'!$N:$N,"Direct Costs",'[1]NS Vendor Details'!$J:$J,0),IF(G$15="Actual",SUMIFS('[1]NS Vendor Details'!$D:$D,'[1]NS Vendor Details'!$H:$H,'G&amp;A Vendor x GL Analysis'!G$20,'[1]NS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Analysis'!G$20,'[1]NS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H79" s="17">
        <f>IF(AND(H$15="Actual",ISBLANK($E$8)),SUMIFS('[1]NS Vendor Details'!$D:$D,'[1]NS Vendor Details'!$H:$H,'G&amp;A Vendor x GL Analysis'!H$20,'[1]NS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Analysis'!H$20,'[1]NS Vendor Details'!$L:$L,'G&amp;A Vendor x GL Analysis'!$D79,'[1]NS Vendor Details'!$O:$O,'G&amp;A Vendor x GL Analysis'!$F79,'[1]NS Vendor Details'!$N:$N,"Direct Costs",'[1]NS Vendor Details'!$J:$J,0),IF(H$15="Actual",SUMIFS('[1]NS Vendor Details'!$D:$D,'[1]NS Vendor Details'!$H:$H,'G&amp;A Vendor x GL Analysis'!H$20,'[1]NS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Analysis'!H$20,'[1]NS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I79" s="17">
        <f>IF(AND(I$15="Actual",ISBLANK($E$8)),SUMIFS('[1]NS Vendor Details'!$D:$D,'[1]NS Vendor Details'!$H:$H,'G&amp;A Vendor x GL Analysis'!I$20,'[1]NS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Analysis'!I$20,'[1]NS Vendor Details'!$L:$L,'G&amp;A Vendor x GL Analysis'!$D79,'[1]NS Vendor Details'!$O:$O,'G&amp;A Vendor x GL Analysis'!$F79,'[1]NS Vendor Details'!$N:$N,"Direct Costs",'[1]NS Vendor Details'!$J:$J,0),IF(I$15="Actual",SUMIFS('[1]NS Vendor Details'!$D:$D,'[1]NS Vendor Details'!$H:$H,'G&amp;A Vendor x GL Analysis'!I$20,'[1]NS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Analysis'!I$20,'[1]NS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18150</v>
      </c>
      <c r="J79" s="17">
        <f>IF(AND(J$15="Actual",ISBLANK($E$8)),SUMIFS('[1]NS Vendor Details'!$D:$D,'[1]NS Vendor Details'!$H:$H,'G&amp;A Vendor x GL Analysis'!J$20,'[1]NS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Analysis'!J$20,'[1]NS Vendor Details'!$L:$L,'G&amp;A Vendor x GL Analysis'!$D79,'[1]NS Vendor Details'!$O:$O,'G&amp;A Vendor x GL Analysis'!$F79,'[1]NS Vendor Details'!$N:$N,"Direct Costs",'[1]NS Vendor Details'!$J:$J,0),IF(J$15="Actual",SUMIFS('[1]NS Vendor Details'!$D:$D,'[1]NS Vendor Details'!$H:$H,'G&amp;A Vendor x GL Analysis'!J$20,'[1]NS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Analysis'!J$20,'[1]NS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3899.37</v>
      </c>
      <c r="K79" s="17">
        <f>IF(AND(K$15="Actual",ISBLANK($E$8)),SUMIFS('[1]NS Vendor Details'!$D:$D,'[1]NS Vendor Details'!$H:$H,'G&amp;A Vendor x GL Analysis'!K$20,'[1]NS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Analysis'!K$20,'[1]NS Vendor Details'!$L:$L,'G&amp;A Vendor x GL Analysis'!$D79,'[1]NS Vendor Details'!$O:$O,'G&amp;A Vendor x GL Analysis'!$F79,'[1]NS Vendor Details'!$N:$N,"Direct Costs",'[1]NS Vendor Details'!$J:$J,0),IF(K$15="Actual",SUMIFS('[1]NS Vendor Details'!$D:$D,'[1]NS Vendor Details'!$H:$H,'G&amp;A Vendor x GL Analysis'!K$20,'[1]NS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Analysis'!K$20,'[1]NS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L79" s="17">
        <f>IF(AND(L$15="Actual",ISBLANK($E$8)),SUMIFS('[1]NS Vendor Details'!$D:$D,'[1]NS Vendor Details'!$H:$H,'G&amp;A Vendor x GL Analysis'!L$20,'[1]NS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Analysis'!L$20,'[1]NS Vendor Details'!$L:$L,'G&amp;A Vendor x GL Analysis'!$D79,'[1]NS Vendor Details'!$O:$O,'G&amp;A Vendor x GL Analysis'!$F79,'[1]NS Vendor Details'!$N:$N,"Direct Costs",'[1]NS Vendor Details'!$J:$J,0),IF(L$15="Actual",SUMIFS('[1]NS Vendor Details'!$D:$D,'[1]NS Vendor Details'!$H:$H,'G&amp;A Vendor x GL Analysis'!L$20,'[1]NS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Analysis'!L$20,'[1]NS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M79" s="17">
        <f>IF(AND(M$15="Actual",ISBLANK($E$8)),SUMIFS('[1]NS Vendor Details'!$D:$D,'[1]NS Vendor Details'!$H:$H,'G&amp;A Vendor x GL Analysis'!M$20,'[1]NS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Analysis'!M$20,'[1]NS Vendor Details'!$L:$L,'G&amp;A Vendor x GL Analysis'!$D79,'[1]NS Vendor Details'!$O:$O,'G&amp;A Vendor x GL Analysis'!$F79,'[1]NS Vendor Details'!$N:$N,"Direct Costs",'[1]NS Vendor Details'!$J:$J,0),IF(M$15="Actual",SUMIFS('[1]NS Vendor Details'!$D:$D,'[1]NS Vendor Details'!$H:$H,'G&amp;A Vendor x GL Analysis'!M$20,'[1]NS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Analysis'!M$20,'[1]NS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N79" s="17">
        <f>IF(AND(N$15="Actual",ISBLANK($E$8)),SUMIFS('[1]NS Vendor Details'!$D:$D,'[1]NS Vendor Details'!$H:$H,'G&amp;A Vendor x GL Analysis'!N$20,'[1]NS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Analysis'!N$20,'[1]NS Vendor Details'!$L:$L,'G&amp;A Vendor x GL Analysis'!$D79,'[1]NS Vendor Details'!$O:$O,'G&amp;A Vendor x GL Analysis'!$F79,'[1]NS Vendor Details'!$N:$N,"Direct Costs",'[1]NS Vendor Details'!$J:$J,0),IF(N$15="Actual",SUMIFS('[1]NS Vendor Details'!$D:$D,'[1]NS Vendor Details'!$H:$H,'G&amp;A Vendor x GL Analysis'!N$20,'[1]NS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Analysis'!N$20,'[1]NS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O79" s="17">
        <f>IF(AND(O$15="Actual",ISBLANK($E$8)),SUMIFS('[1]NS Vendor Details'!$D:$D,'[1]NS Vendor Details'!$H:$H,'G&amp;A Vendor x GL Analysis'!O$20,'[1]NS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Analysis'!O$20,'[1]NS Vendor Details'!$L:$L,'G&amp;A Vendor x GL Analysis'!$D79,'[1]NS Vendor Details'!$O:$O,'G&amp;A Vendor x GL Analysis'!$F79,'[1]NS Vendor Details'!$N:$N,"Direct Costs",'[1]NS Vendor Details'!$J:$J,0),IF(O$15="Actual",SUMIFS('[1]NS Vendor Details'!$D:$D,'[1]NS Vendor Details'!$H:$H,'G&amp;A Vendor x GL Analysis'!O$20,'[1]NS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Analysis'!O$20,'[1]NS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P79" s="17">
        <f>IF(AND(P$15="Actual",ISBLANK($E$8)),SUMIFS('[1]NS Vendor Details'!$D:$D,'[1]NS Vendor Details'!$H:$H,'G&amp;A Vendor x GL Analysis'!P$20,'[1]NS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Analysis'!P$20,'[1]NS Vendor Details'!$L:$L,'G&amp;A Vendor x GL Analysis'!$D79,'[1]NS Vendor Details'!$O:$O,'G&amp;A Vendor x GL Analysis'!$F79,'[1]NS Vendor Details'!$N:$N,"Direct Costs",'[1]NS Vendor Details'!$J:$J,0),IF(P$15="Actual",SUMIFS('[1]NS Vendor Details'!$D:$D,'[1]NS Vendor Details'!$H:$H,'G&amp;A Vendor x GL Analysis'!P$20,'[1]NS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Analysis'!P$20,'[1]NS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Q79" s="17">
        <f>IF(AND(Q$15="Actual",ISBLANK($E$8)),SUMIFS('[1]NS Vendor Details'!$D:$D,'[1]NS Vendor Details'!$H:$H,'G&amp;A Vendor x GL Analysis'!Q$20,'[1]NS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Analysis'!Q$20,'[1]NS Vendor Details'!$L:$L,'G&amp;A Vendor x GL Analysis'!$D79,'[1]NS Vendor Details'!$O:$O,'G&amp;A Vendor x GL Analysis'!$F79,'[1]NS Vendor Details'!$N:$N,"Direct Costs",'[1]NS Vendor Details'!$J:$J,0),IF(Q$15="Actual",SUMIFS('[1]NS Vendor Details'!$D:$D,'[1]NS Vendor Details'!$H:$H,'G&amp;A Vendor x GL Analysis'!Q$20,'[1]NS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Analysis'!Q$20,'[1]NS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R79" s="18">
        <f>IF(AND(R$15="Actual",ISBLANK($E$8)),SUMIFS('[1]NS Vendor Details'!$D:$D,'[1]NS Vendor Details'!$H:$H,'G&amp;A Vendor x GL Analysis'!R$20,'[1]NS Vendor Details'!$L:$L,'G&amp;A Vendor x GL Analysis'!$D79,'[1]NS Vendor Details'!$O:$O,'G&amp;A Vendor x GL Analysis'!$F79,'[1]NS Vendor Details'!$N:$N,'G&amp;A Vendor x GL Analysis'!$C79)+SUMIFS('[1]NS Vendor Details'!$D:$D,'[1]NS Vendor Details'!$H:$H,'G&amp;A Vendor x GL Analysis'!R$20,'[1]NS Vendor Details'!$L:$L,'G&amp;A Vendor x GL Analysis'!$D79,'[1]NS Vendor Details'!$O:$O,'G&amp;A Vendor x GL Analysis'!$F79,'[1]NS Vendor Details'!$N:$N,"Direct Costs",'[1]NS Vendor Details'!$J:$J,0),IF(R$15="Actual",SUMIFS('[1]NS Vendor Details'!$D:$D,'[1]NS Vendor Details'!$H:$H,'G&amp;A Vendor x GL Analysis'!R$20,'[1]NS Vendor Details'!$L:$L,'G&amp;A Vendor x GL Analysis'!$D79,'[1]NS Vendor Details'!$O:$O,'G&amp;A Vendor x GL Analysis'!$F79,'[1]NS Vendor Details'!$N:$N,'G&amp;A Vendor x GL Analysis'!$C79,'[1]NS Vendor Details'!$K:$K,'G&amp;A Vendor x GL Analysis'!$E$8)+SUMIFS('[1]NS Vendor Details'!$D:$D,'[1]NS Vendor Details'!$H:$H,'G&amp;A Vendor x GL Analysis'!R$20,'[1]NS Vendor Details'!$L:$L,'G&amp;A Vendor x GL Analysis'!$D79,'[1]NS Vendor Details'!$O:$O,'G&amp;A Vendor x GL Analysis'!$F79,'[1]NS Vendor Details'!$N:$N,"Direct Costs",'[1]NS Vendor Details'!$J:$J,0,'[1]NS Vendor Details'!$K:$K,'G&amp;A Vendor x GL Analysis'!$E$8),0))</f>
        <v>0</v>
      </c>
      <c r="S79" s="16">
        <f>IF(AND(S$15="Actual",ISBLANK($E$8)),SUMIFS('[1]NS Vendor Details'!$D:$D,'[1]NS Vendor Details'!$H:$H,'G&amp;A Vendor x GL Analysis'!S$20,'[1]NS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Analysis'!S$20,'[1]NS Vendor Details'!$L:$L,'G&amp;A Vendor x GL Analysis'!$D79,'[1]NS Vendor Details'!$O:$O,'G&amp;A Vendor x GL Analysis'!$F79,'[1]NS Vendor Details'!$N:$N,"Direct Costs",'[1]NS Vendor Details'!$J:$J,0,'[1]NS Vendor Details'!$I:$I,'G&amp;A Vendor x GL Analysis'!$E79),IF(S$15="Actual",SUMIFS('[1]NS Vendor Details'!$D:$D,'[1]NS Vendor Details'!$H:$H,'G&amp;A Vendor x GL Analysis'!S$20,'[1]NS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Analysis'!S$20,'[1]NS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T79" s="17">
        <f>IF(AND(T$15="Actual",ISBLANK($E$8)),SUMIFS('[1]NS Vendor Details'!$D:$D,'[1]NS Vendor Details'!$H:$H,'G&amp;A Vendor x GL Analysis'!T$20,'[1]NS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Analysis'!T$20,'[1]NS Vendor Details'!$L:$L,'G&amp;A Vendor x GL Analysis'!$D79,'[1]NS Vendor Details'!$O:$O,'G&amp;A Vendor x GL Analysis'!$F79,'[1]NS Vendor Details'!$N:$N,"Direct Costs",'[1]NS Vendor Details'!$J:$J,0,'[1]NS Vendor Details'!$I:$I,'G&amp;A Vendor x GL Analysis'!$E79),IF(T$15="Actual",SUMIFS('[1]NS Vendor Details'!$D:$D,'[1]NS Vendor Details'!$H:$H,'G&amp;A Vendor x GL Analysis'!T$20,'[1]NS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Analysis'!T$20,'[1]NS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U79" s="17">
        <f>IF(AND(U$15="Actual",ISBLANK($E$8)),SUMIFS('[1]NS Vendor Details'!$D:$D,'[1]NS Vendor Details'!$H:$H,'G&amp;A Vendor x GL Analysis'!U$20,'[1]NS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Analysis'!U$20,'[1]NS Vendor Details'!$L:$L,'G&amp;A Vendor x GL Analysis'!$D79,'[1]NS Vendor Details'!$O:$O,'G&amp;A Vendor x GL Analysis'!$F79,'[1]NS Vendor Details'!$N:$N,"Direct Costs",'[1]NS Vendor Details'!$J:$J,0,'[1]NS Vendor Details'!$I:$I,'G&amp;A Vendor x GL Analysis'!$E79),IF(U$15="Actual",SUMIFS('[1]NS Vendor Details'!$D:$D,'[1]NS Vendor Details'!$H:$H,'G&amp;A Vendor x GL Analysis'!U$20,'[1]NS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Analysis'!U$20,'[1]NS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V79" s="17">
        <f>IF(AND(V$15="Actual",ISBLANK($E$8)),SUMIFS('[1]NS Vendor Details'!$D:$D,'[1]NS Vendor Details'!$H:$H,'G&amp;A Vendor x GL Analysis'!V$20,'[1]NS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Analysis'!V$20,'[1]NS Vendor Details'!$L:$L,'G&amp;A Vendor x GL Analysis'!$D79,'[1]NS Vendor Details'!$O:$O,'G&amp;A Vendor x GL Analysis'!$F79,'[1]NS Vendor Details'!$N:$N,"Direct Costs",'[1]NS Vendor Details'!$J:$J,0,'[1]NS Vendor Details'!$I:$I,'G&amp;A Vendor x GL Analysis'!$E79),IF(V$15="Actual",SUMIFS('[1]NS Vendor Details'!$D:$D,'[1]NS Vendor Details'!$H:$H,'G&amp;A Vendor x GL Analysis'!V$20,'[1]NS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Analysis'!V$20,'[1]NS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W79" s="17">
        <f>IF(AND(W$15="Actual",ISBLANK($E$8)),SUMIFS('[1]NS Vendor Details'!$D:$D,'[1]NS Vendor Details'!$H:$H,'G&amp;A Vendor x GL Analysis'!W$20,'[1]NS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Analysis'!W$20,'[1]NS Vendor Details'!$L:$L,'G&amp;A Vendor x GL Analysis'!$D79,'[1]NS Vendor Details'!$O:$O,'G&amp;A Vendor x GL Analysis'!$F79,'[1]NS Vendor Details'!$N:$N,"Direct Costs",'[1]NS Vendor Details'!$J:$J,0,'[1]NS Vendor Details'!$I:$I,'G&amp;A Vendor x GL Analysis'!$E79),IF(W$15="Actual",SUMIFS('[1]NS Vendor Details'!$D:$D,'[1]NS Vendor Details'!$H:$H,'G&amp;A Vendor x GL Analysis'!W$20,'[1]NS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Analysis'!W$20,'[1]NS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X79" s="17">
        <f>IF(AND(X$15="Actual",ISBLANK($E$8)),SUMIFS('[1]NS Vendor Details'!$D:$D,'[1]NS Vendor Details'!$H:$H,'G&amp;A Vendor x GL Analysis'!X$20,'[1]NS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Analysis'!X$20,'[1]NS Vendor Details'!$L:$L,'G&amp;A Vendor x GL Analysis'!$D79,'[1]NS Vendor Details'!$O:$O,'G&amp;A Vendor x GL Analysis'!$F79,'[1]NS Vendor Details'!$N:$N,"Direct Costs",'[1]NS Vendor Details'!$J:$J,0,'[1]NS Vendor Details'!$I:$I,'G&amp;A Vendor x GL Analysis'!$E79),IF(X$15="Actual",SUMIFS('[1]NS Vendor Details'!$D:$D,'[1]NS Vendor Details'!$H:$H,'G&amp;A Vendor x GL Analysis'!X$20,'[1]NS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Analysis'!X$20,'[1]NS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12164.55</v>
      </c>
      <c r="Y79" s="17">
        <f>IF(AND(Y$15="Actual",ISBLANK($E$8)),SUMIFS('[1]NS Vendor Details'!$D:$D,'[1]NS Vendor Details'!$H:$H,'G&amp;A Vendor x GL Analysis'!Y$20,'[1]NS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Analysis'!Y$20,'[1]NS Vendor Details'!$L:$L,'G&amp;A Vendor x GL Analysis'!$D79,'[1]NS Vendor Details'!$O:$O,'G&amp;A Vendor x GL Analysis'!$F79,'[1]NS Vendor Details'!$N:$N,"Direct Costs",'[1]NS Vendor Details'!$J:$J,0,'[1]NS Vendor Details'!$I:$I,'G&amp;A Vendor x GL Analysis'!$E79),IF(Y$15="Actual",SUMIFS('[1]NS Vendor Details'!$D:$D,'[1]NS Vendor Details'!$H:$H,'G&amp;A Vendor x GL Analysis'!Y$20,'[1]NS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Analysis'!Y$20,'[1]NS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Z79" s="17">
        <f>IF(AND(Z$15="Actual",ISBLANK($E$8)),SUMIFS('[1]NS Vendor Details'!$D:$D,'[1]NS Vendor Details'!$H:$H,'G&amp;A Vendor x GL Analysis'!Z$20,'[1]NS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Analysis'!Z$20,'[1]NS Vendor Details'!$L:$L,'G&amp;A Vendor x GL Analysis'!$D79,'[1]NS Vendor Details'!$O:$O,'G&amp;A Vendor x GL Analysis'!$F79,'[1]NS Vendor Details'!$N:$N,"Direct Costs",'[1]NS Vendor Details'!$J:$J,0,'[1]NS Vendor Details'!$I:$I,'G&amp;A Vendor x GL Analysis'!$E79),IF(Z$15="Actual",SUMIFS('[1]NS Vendor Details'!$D:$D,'[1]NS Vendor Details'!$H:$H,'G&amp;A Vendor x GL Analysis'!Z$20,'[1]NS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Analysis'!Z$20,'[1]NS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45634.63</v>
      </c>
      <c r="AA79" s="17">
        <f>IF(AND(AA$15="Actual",ISBLANK($E$8)),SUMIFS('[1]NS Vendor Details'!$D:$D,'[1]NS Vendor Details'!$H:$H,'G&amp;A Vendor x GL Analysis'!AA$20,'[1]NS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Analysis'!AA$20,'[1]NS Vendor Details'!$L:$L,'G&amp;A Vendor x GL Analysis'!$D79,'[1]NS Vendor Details'!$O:$O,'G&amp;A Vendor x GL Analysis'!$F79,'[1]NS Vendor Details'!$N:$N,"Direct Costs",'[1]NS Vendor Details'!$J:$J,0,'[1]NS Vendor Details'!$I:$I,'G&amp;A Vendor x GL Analysis'!$E79),IF(AA$15="Actual",SUMIFS('[1]NS Vendor Details'!$D:$D,'[1]NS Vendor Details'!$H:$H,'G&amp;A Vendor x GL Analysis'!AA$20,'[1]NS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Analysis'!AA$20,'[1]NS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AB79" s="17">
        <f>IF(AND(AB$15="Actual",ISBLANK($E$8)),SUMIFS('[1]NS Vendor Details'!$D:$D,'[1]NS Vendor Details'!$H:$H,'G&amp;A Vendor x GL Analysis'!AB$20,'[1]NS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Analysis'!AB$20,'[1]NS Vendor Details'!$L:$L,'G&amp;A Vendor x GL Analysis'!$D79,'[1]NS Vendor Details'!$O:$O,'G&amp;A Vendor x GL Analysis'!$F79,'[1]NS Vendor Details'!$N:$N,"Direct Costs",'[1]NS Vendor Details'!$J:$J,0,'[1]NS Vendor Details'!$I:$I,'G&amp;A Vendor x GL Analysis'!$E79),IF(AB$15="Actual",SUMIFS('[1]NS Vendor Details'!$D:$D,'[1]NS Vendor Details'!$H:$H,'G&amp;A Vendor x GL Analysis'!AB$20,'[1]NS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Analysis'!AB$20,'[1]NS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AC79" s="18">
        <f>IF(AND(AC$15="Actual",ISBLANK($E$8)),SUMIFS('[1]NS Vendor Details'!$D:$D,'[1]NS Vendor Details'!$H:$H,'G&amp;A Vendor x GL Analysis'!AC$20,'[1]NS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Analysis'!AC$20,'[1]NS Vendor Details'!$L:$L,'G&amp;A Vendor x GL Analysis'!$D79,'[1]NS Vendor Details'!$O:$O,'G&amp;A Vendor x GL Analysis'!$F79,'[1]NS Vendor Details'!$N:$N,"Direct Costs",'[1]NS Vendor Details'!$J:$J,0,'[1]NS Vendor Details'!$I:$I,'G&amp;A Vendor x GL Analysis'!$E79),IF(AC$15="Actual",SUMIFS('[1]NS Vendor Details'!$D:$D,'[1]NS Vendor Details'!$H:$H,'G&amp;A Vendor x GL Analysis'!AC$20,'[1]NS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Analysis'!AC$20,'[1]NS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AD79" s="18">
        <f>IF(AND(AD$15="Actual",ISBLANK($E$8)),SUMIFS('[1]NS Vendor Details'!$D:$D,'[1]NS Vendor Details'!$H:$H,'G&amp;A Vendor x GL Analysis'!AD$20,'[1]NS Vendor Details'!$L:$L,'G&amp;A Vendor x GL Analysis'!$D79,'[1]NS Vendor Details'!$O:$O,'G&amp;A Vendor x GL Analysis'!$F79,'[1]NS Vendor Details'!$N:$N,'G&amp;A Vendor x GL Analysis'!$C79,'[1]NS Vendor Details'!$I:$I,'G&amp;A Vendor x GL Analysis'!$E79)+SUMIFS('[1]NS Vendor Details'!$D:$D,'[1]NS Vendor Details'!$H:$H,'G&amp;A Vendor x GL Analysis'!AD$20,'[1]NS Vendor Details'!$L:$L,'G&amp;A Vendor x GL Analysis'!$D79,'[1]NS Vendor Details'!$O:$O,'G&amp;A Vendor x GL Analysis'!$F79,'[1]NS Vendor Details'!$N:$N,"Direct Costs",'[1]NS Vendor Details'!$J:$J,0,'[1]NS Vendor Details'!$I:$I,'G&amp;A Vendor x GL Analysis'!$E79),IF(AD$15="Actual",SUMIFS('[1]NS Vendor Details'!$D:$D,'[1]NS Vendor Details'!$H:$H,'G&amp;A Vendor x GL Analysis'!AD$20,'[1]NS Vendor Details'!$L:$L,'G&amp;A Vendor x GL Analysis'!$D79,'[1]NS Vendor Details'!$O:$O,'G&amp;A Vendor x GL Analysis'!$F79,'[1]NS Vendor Details'!$N:$N,'G&amp;A Vendor x GL Analysis'!$C79,'[1]NS Vendor Details'!$K:$K,'G&amp;A Vendor x GL Analysis'!$E$8,'[1]NS Vendor Details'!$I:$I,'G&amp;A Vendor x GL Analysis'!$E79)+SUMIFS('[1]NS Vendor Details'!$D:$D,'[1]NS Vendor Details'!$H:$H,'G&amp;A Vendor x GL Analysis'!AD$20,'[1]NS Vendor Details'!$L:$L,'G&amp;A Vendor x GL Analysis'!$D79,'[1]NS Vendor Details'!$O:$O,'G&amp;A Vendor x GL Analysis'!$F79,'[1]NS Vendor Details'!$N:$N,"Direct Costs",'[1]NS Vendor Details'!$J:$J,0,'[1]NS Vendor Details'!$K:$K,'G&amp;A Vendor x GL Analysis'!$E$8,'[1]NS Vendor Details'!$I:$I,'G&amp;A Vendor x GL Analysis'!$E79),0))</f>
        <v>0</v>
      </c>
      <c r="AF79" s="19">
        <f t="shared" si="9"/>
        <v>57799.179999999993</v>
      </c>
    </row>
    <row r="80" spans="1:32" outlineLevel="1">
      <c r="A80" s="8" t="str">
        <f t="shared" si="8"/>
        <v>Professional Service6215 - Recruitment</v>
      </c>
      <c r="C80" s="8" t="s">
        <v>11</v>
      </c>
      <c r="D80" s="8" t="str">
        <f t="shared" ref="D80:D143" si="21">D79</f>
        <v>Professional Service</v>
      </c>
      <c r="E80" s="2" t="s">
        <v>71</v>
      </c>
      <c r="F80" s="2" t="s">
        <v>73</v>
      </c>
      <c r="G80" s="16">
        <f>IF(AND(G$15="Actual",ISBLANK($E$8)),SUMIFS('[1]NS Vendor Details'!$D:$D,'[1]NS Vendor Details'!$H:$H,'G&amp;A Vendor x GL Analysis'!G$20,'[1]NS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Analysis'!G$20,'[1]NS Vendor Details'!$L:$L,'G&amp;A Vendor x GL Analysis'!$D80,'[1]NS Vendor Details'!$O:$O,'G&amp;A Vendor x GL Analysis'!$F80,'[1]NS Vendor Details'!$N:$N,"Direct Costs",'[1]NS Vendor Details'!$J:$J,0),IF(G$15="Actual",SUMIFS('[1]NS Vendor Details'!$D:$D,'[1]NS Vendor Details'!$H:$H,'G&amp;A Vendor x GL Analysis'!G$20,'[1]NS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Analysis'!G$20,'[1]NS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H80" s="17">
        <f>IF(AND(H$15="Actual",ISBLANK($E$8)),SUMIFS('[1]NS Vendor Details'!$D:$D,'[1]NS Vendor Details'!$H:$H,'G&amp;A Vendor x GL Analysis'!H$20,'[1]NS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Analysis'!H$20,'[1]NS Vendor Details'!$L:$L,'G&amp;A Vendor x GL Analysis'!$D80,'[1]NS Vendor Details'!$O:$O,'G&amp;A Vendor x GL Analysis'!$F80,'[1]NS Vendor Details'!$N:$N,"Direct Costs",'[1]NS Vendor Details'!$J:$J,0),IF(H$15="Actual",SUMIFS('[1]NS Vendor Details'!$D:$D,'[1]NS Vendor Details'!$H:$H,'G&amp;A Vendor x GL Analysis'!H$20,'[1]NS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Analysis'!H$20,'[1]NS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I80" s="17">
        <f>IF(AND(I$15="Actual",ISBLANK($E$8)),SUMIFS('[1]NS Vendor Details'!$D:$D,'[1]NS Vendor Details'!$H:$H,'G&amp;A Vendor x GL Analysis'!I$20,'[1]NS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Analysis'!I$20,'[1]NS Vendor Details'!$L:$L,'G&amp;A Vendor x GL Analysis'!$D80,'[1]NS Vendor Details'!$O:$O,'G&amp;A Vendor x GL Analysis'!$F80,'[1]NS Vendor Details'!$N:$N,"Direct Costs",'[1]NS Vendor Details'!$J:$J,0),IF(I$15="Actual",SUMIFS('[1]NS Vendor Details'!$D:$D,'[1]NS Vendor Details'!$H:$H,'G&amp;A Vendor x GL Analysis'!I$20,'[1]NS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Analysis'!I$20,'[1]NS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J80" s="17">
        <f>IF(AND(J$15="Actual",ISBLANK($E$8)),SUMIFS('[1]NS Vendor Details'!$D:$D,'[1]NS Vendor Details'!$H:$H,'G&amp;A Vendor x GL Analysis'!J$20,'[1]NS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Analysis'!J$20,'[1]NS Vendor Details'!$L:$L,'G&amp;A Vendor x GL Analysis'!$D80,'[1]NS Vendor Details'!$O:$O,'G&amp;A Vendor x GL Analysis'!$F80,'[1]NS Vendor Details'!$N:$N,"Direct Costs",'[1]NS Vendor Details'!$J:$J,0),IF(J$15="Actual",SUMIFS('[1]NS Vendor Details'!$D:$D,'[1]NS Vendor Details'!$H:$H,'G&amp;A Vendor x GL Analysis'!J$20,'[1]NS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Analysis'!J$20,'[1]NS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K80" s="17">
        <f>IF(AND(K$15="Actual",ISBLANK($E$8)),SUMIFS('[1]NS Vendor Details'!$D:$D,'[1]NS Vendor Details'!$H:$H,'G&amp;A Vendor x GL Analysis'!K$20,'[1]NS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Analysis'!K$20,'[1]NS Vendor Details'!$L:$L,'G&amp;A Vendor x GL Analysis'!$D80,'[1]NS Vendor Details'!$O:$O,'G&amp;A Vendor x GL Analysis'!$F80,'[1]NS Vendor Details'!$N:$N,"Direct Costs",'[1]NS Vendor Details'!$J:$J,0),IF(K$15="Actual",SUMIFS('[1]NS Vendor Details'!$D:$D,'[1]NS Vendor Details'!$H:$H,'G&amp;A Vendor x GL Analysis'!K$20,'[1]NS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Analysis'!K$20,'[1]NS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L80" s="17">
        <f>IF(AND(L$15="Actual",ISBLANK($E$8)),SUMIFS('[1]NS Vendor Details'!$D:$D,'[1]NS Vendor Details'!$H:$H,'G&amp;A Vendor x GL Analysis'!L$20,'[1]NS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Analysis'!L$20,'[1]NS Vendor Details'!$L:$L,'G&amp;A Vendor x GL Analysis'!$D80,'[1]NS Vendor Details'!$O:$O,'G&amp;A Vendor x GL Analysis'!$F80,'[1]NS Vendor Details'!$N:$N,"Direct Costs",'[1]NS Vendor Details'!$J:$J,0),IF(L$15="Actual",SUMIFS('[1]NS Vendor Details'!$D:$D,'[1]NS Vendor Details'!$H:$H,'G&amp;A Vendor x GL Analysis'!L$20,'[1]NS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Analysis'!L$20,'[1]NS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M80" s="17">
        <f>IF(AND(M$15="Actual",ISBLANK($E$8)),SUMIFS('[1]NS Vendor Details'!$D:$D,'[1]NS Vendor Details'!$H:$H,'G&amp;A Vendor x GL Analysis'!M$20,'[1]NS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Analysis'!M$20,'[1]NS Vendor Details'!$L:$L,'G&amp;A Vendor x GL Analysis'!$D80,'[1]NS Vendor Details'!$O:$O,'G&amp;A Vendor x GL Analysis'!$F80,'[1]NS Vendor Details'!$N:$N,"Direct Costs",'[1]NS Vendor Details'!$J:$J,0),IF(M$15="Actual",SUMIFS('[1]NS Vendor Details'!$D:$D,'[1]NS Vendor Details'!$H:$H,'G&amp;A Vendor x GL Analysis'!M$20,'[1]NS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Analysis'!M$20,'[1]NS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N80" s="17">
        <f>IF(AND(N$15="Actual",ISBLANK($E$8)),SUMIFS('[1]NS Vendor Details'!$D:$D,'[1]NS Vendor Details'!$H:$H,'G&amp;A Vendor x GL Analysis'!N$20,'[1]NS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Analysis'!N$20,'[1]NS Vendor Details'!$L:$L,'G&amp;A Vendor x GL Analysis'!$D80,'[1]NS Vendor Details'!$O:$O,'G&amp;A Vendor x GL Analysis'!$F80,'[1]NS Vendor Details'!$N:$N,"Direct Costs",'[1]NS Vendor Details'!$J:$J,0),IF(N$15="Actual",SUMIFS('[1]NS Vendor Details'!$D:$D,'[1]NS Vendor Details'!$H:$H,'G&amp;A Vendor x GL Analysis'!N$20,'[1]NS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Analysis'!N$20,'[1]NS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O80" s="17">
        <f>IF(AND(O$15="Actual",ISBLANK($E$8)),SUMIFS('[1]NS Vendor Details'!$D:$D,'[1]NS Vendor Details'!$H:$H,'G&amp;A Vendor x GL Analysis'!O$20,'[1]NS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Analysis'!O$20,'[1]NS Vendor Details'!$L:$L,'G&amp;A Vendor x GL Analysis'!$D80,'[1]NS Vendor Details'!$O:$O,'G&amp;A Vendor x GL Analysis'!$F80,'[1]NS Vendor Details'!$N:$N,"Direct Costs",'[1]NS Vendor Details'!$J:$J,0),IF(O$15="Actual",SUMIFS('[1]NS Vendor Details'!$D:$D,'[1]NS Vendor Details'!$H:$H,'G&amp;A Vendor x GL Analysis'!O$20,'[1]NS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Analysis'!O$20,'[1]NS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3000</v>
      </c>
      <c r="P80" s="17">
        <f>IF(AND(P$15="Actual",ISBLANK($E$8)),SUMIFS('[1]NS Vendor Details'!$D:$D,'[1]NS Vendor Details'!$H:$H,'G&amp;A Vendor x GL Analysis'!P$20,'[1]NS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Analysis'!P$20,'[1]NS Vendor Details'!$L:$L,'G&amp;A Vendor x GL Analysis'!$D80,'[1]NS Vendor Details'!$O:$O,'G&amp;A Vendor x GL Analysis'!$F80,'[1]NS Vendor Details'!$N:$N,"Direct Costs",'[1]NS Vendor Details'!$J:$J,0),IF(P$15="Actual",SUMIFS('[1]NS Vendor Details'!$D:$D,'[1]NS Vendor Details'!$H:$H,'G&amp;A Vendor x GL Analysis'!P$20,'[1]NS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Analysis'!P$20,'[1]NS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Q80" s="17">
        <f>IF(AND(Q$15="Actual",ISBLANK($E$8)),SUMIFS('[1]NS Vendor Details'!$D:$D,'[1]NS Vendor Details'!$H:$H,'G&amp;A Vendor x GL Analysis'!Q$20,'[1]NS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Analysis'!Q$20,'[1]NS Vendor Details'!$L:$L,'G&amp;A Vendor x GL Analysis'!$D80,'[1]NS Vendor Details'!$O:$O,'G&amp;A Vendor x GL Analysis'!$F80,'[1]NS Vendor Details'!$N:$N,"Direct Costs",'[1]NS Vendor Details'!$J:$J,0),IF(Q$15="Actual",SUMIFS('[1]NS Vendor Details'!$D:$D,'[1]NS Vendor Details'!$H:$H,'G&amp;A Vendor x GL Analysis'!Q$20,'[1]NS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Analysis'!Q$20,'[1]NS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79500</v>
      </c>
      <c r="R80" s="18">
        <f>IF(AND(R$15="Actual",ISBLANK($E$8)),SUMIFS('[1]NS Vendor Details'!$D:$D,'[1]NS Vendor Details'!$H:$H,'G&amp;A Vendor x GL Analysis'!R$20,'[1]NS Vendor Details'!$L:$L,'G&amp;A Vendor x GL Analysis'!$D80,'[1]NS Vendor Details'!$O:$O,'G&amp;A Vendor x GL Analysis'!$F80,'[1]NS Vendor Details'!$N:$N,'G&amp;A Vendor x GL Analysis'!$C80)+SUMIFS('[1]NS Vendor Details'!$D:$D,'[1]NS Vendor Details'!$H:$H,'G&amp;A Vendor x GL Analysis'!R$20,'[1]NS Vendor Details'!$L:$L,'G&amp;A Vendor x GL Analysis'!$D80,'[1]NS Vendor Details'!$O:$O,'G&amp;A Vendor x GL Analysis'!$F80,'[1]NS Vendor Details'!$N:$N,"Direct Costs",'[1]NS Vendor Details'!$J:$J,0),IF(R$15="Actual",SUMIFS('[1]NS Vendor Details'!$D:$D,'[1]NS Vendor Details'!$H:$H,'G&amp;A Vendor x GL Analysis'!R$20,'[1]NS Vendor Details'!$L:$L,'G&amp;A Vendor x GL Analysis'!$D80,'[1]NS Vendor Details'!$O:$O,'G&amp;A Vendor x GL Analysis'!$F80,'[1]NS Vendor Details'!$N:$N,'G&amp;A Vendor x GL Analysis'!$C80,'[1]NS Vendor Details'!$K:$K,'G&amp;A Vendor x GL Analysis'!$E$8)+SUMIFS('[1]NS Vendor Details'!$D:$D,'[1]NS Vendor Details'!$H:$H,'G&amp;A Vendor x GL Analysis'!R$20,'[1]NS Vendor Details'!$L:$L,'G&amp;A Vendor x GL Analysis'!$D80,'[1]NS Vendor Details'!$O:$O,'G&amp;A Vendor x GL Analysis'!$F80,'[1]NS Vendor Details'!$N:$N,"Direct Costs",'[1]NS Vendor Details'!$J:$J,0,'[1]NS Vendor Details'!$K:$K,'G&amp;A Vendor x GL Analysis'!$E$8),0))</f>
        <v>0</v>
      </c>
      <c r="S80" s="16">
        <f>IF(AND(S$15="Actual",ISBLANK($E$8)),SUMIFS('[1]NS Vendor Details'!$D:$D,'[1]NS Vendor Details'!$H:$H,'G&amp;A Vendor x GL Analysis'!S$20,'[1]NS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Analysis'!S$20,'[1]NS Vendor Details'!$L:$L,'G&amp;A Vendor x GL Analysis'!$D80,'[1]NS Vendor Details'!$O:$O,'G&amp;A Vendor x GL Analysis'!$F80,'[1]NS Vendor Details'!$N:$N,"Direct Costs",'[1]NS Vendor Details'!$J:$J,0,'[1]NS Vendor Details'!$I:$I,'G&amp;A Vendor x GL Analysis'!$E80),IF(S$15="Actual",SUMIFS('[1]NS Vendor Details'!$D:$D,'[1]NS Vendor Details'!$H:$H,'G&amp;A Vendor x GL Analysis'!S$20,'[1]NS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Analysis'!S$20,'[1]NS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T80" s="17">
        <f>IF(AND(T$15="Actual",ISBLANK($E$8)),SUMIFS('[1]NS Vendor Details'!$D:$D,'[1]NS Vendor Details'!$H:$H,'G&amp;A Vendor x GL Analysis'!T$20,'[1]NS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Analysis'!T$20,'[1]NS Vendor Details'!$L:$L,'G&amp;A Vendor x GL Analysis'!$D80,'[1]NS Vendor Details'!$O:$O,'G&amp;A Vendor x GL Analysis'!$F80,'[1]NS Vendor Details'!$N:$N,"Direct Costs",'[1]NS Vendor Details'!$J:$J,0,'[1]NS Vendor Details'!$I:$I,'G&amp;A Vendor x GL Analysis'!$E80),IF(T$15="Actual",SUMIFS('[1]NS Vendor Details'!$D:$D,'[1]NS Vendor Details'!$H:$H,'G&amp;A Vendor x GL Analysis'!T$20,'[1]NS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Analysis'!T$20,'[1]NS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25000</v>
      </c>
      <c r="U80" s="17">
        <f>IF(AND(U$15="Actual",ISBLANK($E$8)),SUMIFS('[1]NS Vendor Details'!$D:$D,'[1]NS Vendor Details'!$H:$H,'G&amp;A Vendor x GL Analysis'!U$20,'[1]NS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Analysis'!U$20,'[1]NS Vendor Details'!$L:$L,'G&amp;A Vendor x GL Analysis'!$D80,'[1]NS Vendor Details'!$O:$O,'G&amp;A Vendor x GL Analysis'!$F80,'[1]NS Vendor Details'!$N:$N,"Direct Costs",'[1]NS Vendor Details'!$J:$J,0,'[1]NS Vendor Details'!$I:$I,'G&amp;A Vendor x GL Analysis'!$E80),IF(U$15="Actual",SUMIFS('[1]NS Vendor Details'!$D:$D,'[1]NS Vendor Details'!$H:$H,'G&amp;A Vendor x GL Analysis'!U$20,'[1]NS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Analysis'!U$20,'[1]NS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V80" s="17">
        <f>IF(AND(V$15="Actual",ISBLANK($E$8)),SUMIFS('[1]NS Vendor Details'!$D:$D,'[1]NS Vendor Details'!$H:$H,'G&amp;A Vendor x GL Analysis'!V$20,'[1]NS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Analysis'!V$20,'[1]NS Vendor Details'!$L:$L,'G&amp;A Vendor x GL Analysis'!$D80,'[1]NS Vendor Details'!$O:$O,'G&amp;A Vendor x GL Analysis'!$F80,'[1]NS Vendor Details'!$N:$N,"Direct Costs",'[1]NS Vendor Details'!$J:$J,0,'[1]NS Vendor Details'!$I:$I,'G&amp;A Vendor x GL Analysis'!$E80),IF(V$15="Actual",SUMIFS('[1]NS Vendor Details'!$D:$D,'[1]NS Vendor Details'!$H:$H,'G&amp;A Vendor x GL Analysis'!V$20,'[1]NS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Analysis'!V$20,'[1]NS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W80" s="17">
        <f>IF(AND(W$15="Actual",ISBLANK($E$8)),SUMIFS('[1]NS Vendor Details'!$D:$D,'[1]NS Vendor Details'!$H:$H,'G&amp;A Vendor x GL Analysis'!W$20,'[1]NS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Analysis'!W$20,'[1]NS Vendor Details'!$L:$L,'G&amp;A Vendor x GL Analysis'!$D80,'[1]NS Vendor Details'!$O:$O,'G&amp;A Vendor x GL Analysis'!$F80,'[1]NS Vendor Details'!$N:$N,"Direct Costs",'[1]NS Vendor Details'!$J:$J,0,'[1]NS Vendor Details'!$I:$I,'G&amp;A Vendor x GL Analysis'!$E80),IF(W$15="Actual",SUMIFS('[1]NS Vendor Details'!$D:$D,'[1]NS Vendor Details'!$H:$H,'G&amp;A Vendor x GL Analysis'!W$20,'[1]NS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Analysis'!W$20,'[1]NS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146750</v>
      </c>
      <c r="X80" s="17">
        <f>IF(AND(X$15="Actual",ISBLANK($E$8)),SUMIFS('[1]NS Vendor Details'!$D:$D,'[1]NS Vendor Details'!$H:$H,'G&amp;A Vendor x GL Analysis'!X$20,'[1]NS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Analysis'!X$20,'[1]NS Vendor Details'!$L:$L,'G&amp;A Vendor x GL Analysis'!$D80,'[1]NS Vendor Details'!$O:$O,'G&amp;A Vendor x GL Analysis'!$F80,'[1]NS Vendor Details'!$N:$N,"Direct Costs",'[1]NS Vendor Details'!$J:$J,0,'[1]NS Vendor Details'!$I:$I,'G&amp;A Vendor x GL Analysis'!$E80),IF(X$15="Actual",SUMIFS('[1]NS Vendor Details'!$D:$D,'[1]NS Vendor Details'!$H:$H,'G&amp;A Vendor x GL Analysis'!X$20,'[1]NS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Analysis'!X$20,'[1]NS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Y80" s="17">
        <f>IF(AND(Y$15="Actual",ISBLANK($E$8)),SUMIFS('[1]NS Vendor Details'!$D:$D,'[1]NS Vendor Details'!$H:$H,'G&amp;A Vendor x GL Analysis'!Y$20,'[1]NS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Analysis'!Y$20,'[1]NS Vendor Details'!$L:$L,'G&amp;A Vendor x GL Analysis'!$D80,'[1]NS Vendor Details'!$O:$O,'G&amp;A Vendor x GL Analysis'!$F80,'[1]NS Vendor Details'!$N:$N,"Direct Costs",'[1]NS Vendor Details'!$J:$J,0,'[1]NS Vendor Details'!$I:$I,'G&amp;A Vendor x GL Analysis'!$E80),IF(Y$15="Actual",SUMIFS('[1]NS Vendor Details'!$D:$D,'[1]NS Vendor Details'!$H:$H,'G&amp;A Vendor x GL Analysis'!Y$20,'[1]NS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Analysis'!Y$20,'[1]NS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Z80" s="17">
        <f>IF(AND(Z$15="Actual",ISBLANK($E$8)),SUMIFS('[1]NS Vendor Details'!$D:$D,'[1]NS Vendor Details'!$H:$H,'G&amp;A Vendor x GL Analysis'!Z$20,'[1]NS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Analysis'!Z$20,'[1]NS Vendor Details'!$L:$L,'G&amp;A Vendor x GL Analysis'!$D80,'[1]NS Vendor Details'!$O:$O,'G&amp;A Vendor x GL Analysis'!$F80,'[1]NS Vendor Details'!$N:$N,"Direct Costs",'[1]NS Vendor Details'!$J:$J,0,'[1]NS Vendor Details'!$I:$I,'G&amp;A Vendor x GL Analysis'!$E80),IF(Z$15="Actual",SUMIFS('[1]NS Vendor Details'!$D:$D,'[1]NS Vendor Details'!$H:$H,'G&amp;A Vendor x GL Analysis'!Z$20,'[1]NS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Analysis'!Z$20,'[1]NS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AA80" s="17">
        <f>IF(AND(AA$15="Actual",ISBLANK($E$8)),SUMIFS('[1]NS Vendor Details'!$D:$D,'[1]NS Vendor Details'!$H:$H,'G&amp;A Vendor x GL Analysis'!AA$20,'[1]NS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Analysis'!AA$20,'[1]NS Vendor Details'!$L:$L,'G&amp;A Vendor x GL Analysis'!$D80,'[1]NS Vendor Details'!$O:$O,'G&amp;A Vendor x GL Analysis'!$F80,'[1]NS Vendor Details'!$N:$N,"Direct Costs",'[1]NS Vendor Details'!$J:$J,0,'[1]NS Vendor Details'!$I:$I,'G&amp;A Vendor x GL Analysis'!$E80),IF(AA$15="Actual",SUMIFS('[1]NS Vendor Details'!$D:$D,'[1]NS Vendor Details'!$H:$H,'G&amp;A Vendor x GL Analysis'!AA$20,'[1]NS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Analysis'!AA$20,'[1]NS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AB80" s="17">
        <f>IF(AND(AB$15="Actual",ISBLANK($E$8)),SUMIFS('[1]NS Vendor Details'!$D:$D,'[1]NS Vendor Details'!$H:$H,'G&amp;A Vendor x GL Analysis'!AB$20,'[1]NS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Analysis'!AB$20,'[1]NS Vendor Details'!$L:$L,'G&amp;A Vendor x GL Analysis'!$D80,'[1]NS Vendor Details'!$O:$O,'G&amp;A Vendor x GL Analysis'!$F80,'[1]NS Vendor Details'!$N:$N,"Direct Costs",'[1]NS Vendor Details'!$J:$J,0,'[1]NS Vendor Details'!$I:$I,'G&amp;A Vendor x GL Analysis'!$E80),IF(AB$15="Actual",SUMIFS('[1]NS Vendor Details'!$D:$D,'[1]NS Vendor Details'!$H:$H,'G&amp;A Vendor x GL Analysis'!AB$20,'[1]NS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Analysis'!AB$20,'[1]NS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AC80" s="18">
        <f>IF(AND(AC$15="Actual",ISBLANK($E$8)),SUMIFS('[1]NS Vendor Details'!$D:$D,'[1]NS Vendor Details'!$H:$H,'G&amp;A Vendor x GL Analysis'!AC$20,'[1]NS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Analysis'!AC$20,'[1]NS Vendor Details'!$L:$L,'G&amp;A Vendor x GL Analysis'!$D80,'[1]NS Vendor Details'!$O:$O,'G&amp;A Vendor x GL Analysis'!$F80,'[1]NS Vendor Details'!$N:$N,"Direct Costs",'[1]NS Vendor Details'!$J:$J,0,'[1]NS Vendor Details'!$I:$I,'G&amp;A Vendor x GL Analysis'!$E80),IF(AC$15="Actual",SUMIFS('[1]NS Vendor Details'!$D:$D,'[1]NS Vendor Details'!$H:$H,'G&amp;A Vendor x GL Analysis'!AC$20,'[1]NS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Analysis'!AC$20,'[1]NS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AD80" s="18">
        <f>IF(AND(AD$15="Actual",ISBLANK($E$8)),SUMIFS('[1]NS Vendor Details'!$D:$D,'[1]NS Vendor Details'!$H:$H,'G&amp;A Vendor x GL Analysis'!AD$20,'[1]NS Vendor Details'!$L:$L,'G&amp;A Vendor x GL Analysis'!$D80,'[1]NS Vendor Details'!$O:$O,'G&amp;A Vendor x GL Analysis'!$F80,'[1]NS Vendor Details'!$N:$N,'G&amp;A Vendor x GL Analysis'!$C80,'[1]NS Vendor Details'!$I:$I,'G&amp;A Vendor x GL Analysis'!$E80)+SUMIFS('[1]NS Vendor Details'!$D:$D,'[1]NS Vendor Details'!$H:$H,'G&amp;A Vendor x GL Analysis'!AD$20,'[1]NS Vendor Details'!$L:$L,'G&amp;A Vendor x GL Analysis'!$D80,'[1]NS Vendor Details'!$O:$O,'G&amp;A Vendor x GL Analysis'!$F80,'[1]NS Vendor Details'!$N:$N,"Direct Costs",'[1]NS Vendor Details'!$J:$J,0,'[1]NS Vendor Details'!$I:$I,'G&amp;A Vendor x GL Analysis'!$E80),IF(AD$15="Actual",SUMIFS('[1]NS Vendor Details'!$D:$D,'[1]NS Vendor Details'!$H:$H,'G&amp;A Vendor x GL Analysis'!AD$20,'[1]NS Vendor Details'!$L:$L,'G&amp;A Vendor x GL Analysis'!$D80,'[1]NS Vendor Details'!$O:$O,'G&amp;A Vendor x GL Analysis'!$F80,'[1]NS Vendor Details'!$N:$N,'G&amp;A Vendor x GL Analysis'!$C80,'[1]NS Vendor Details'!$K:$K,'G&amp;A Vendor x GL Analysis'!$E$8,'[1]NS Vendor Details'!$I:$I,'G&amp;A Vendor x GL Analysis'!$E80)+SUMIFS('[1]NS Vendor Details'!$D:$D,'[1]NS Vendor Details'!$H:$H,'G&amp;A Vendor x GL Analysis'!AD$20,'[1]NS Vendor Details'!$L:$L,'G&amp;A Vendor x GL Analysis'!$D80,'[1]NS Vendor Details'!$O:$O,'G&amp;A Vendor x GL Analysis'!$F80,'[1]NS Vendor Details'!$N:$N,"Direct Costs",'[1]NS Vendor Details'!$J:$J,0,'[1]NS Vendor Details'!$K:$K,'G&amp;A Vendor x GL Analysis'!$E$8,'[1]NS Vendor Details'!$I:$I,'G&amp;A Vendor x GL Analysis'!$E80),0))</f>
        <v>0</v>
      </c>
      <c r="AF80" s="19">
        <f t="shared" si="9"/>
        <v>171750</v>
      </c>
    </row>
    <row r="81" spans="1:32" outlineLevel="1">
      <c r="A81" s="8" t="str">
        <f t="shared" si="8"/>
        <v>Professional Service6215 - Recruitment</v>
      </c>
      <c r="C81" s="8" t="s">
        <v>11</v>
      </c>
      <c r="D81" s="8" t="str">
        <f t="shared" si="21"/>
        <v>Professional Service</v>
      </c>
      <c r="E81" s="2" t="s">
        <v>71</v>
      </c>
      <c r="F81" s="2" t="s">
        <v>74</v>
      </c>
      <c r="G81" s="16">
        <f>IF(AND(G$15="Actual",ISBLANK($E$8)),SUMIFS('[1]NS Vendor Details'!$D:$D,'[1]NS Vendor Details'!$H:$H,'G&amp;A Vendor x GL Analysis'!G$20,'[1]NS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Analysis'!G$20,'[1]NS Vendor Details'!$L:$L,'G&amp;A Vendor x GL Analysis'!$D81,'[1]NS Vendor Details'!$O:$O,'G&amp;A Vendor x GL Analysis'!$F81,'[1]NS Vendor Details'!$N:$N,"Direct Costs",'[1]NS Vendor Details'!$J:$J,0),IF(G$15="Actual",SUMIFS('[1]NS Vendor Details'!$D:$D,'[1]NS Vendor Details'!$H:$H,'G&amp;A Vendor x GL Analysis'!G$20,'[1]NS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Analysis'!G$20,'[1]NS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H81" s="17">
        <f>IF(AND(H$15="Actual",ISBLANK($E$8)),SUMIFS('[1]NS Vendor Details'!$D:$D,'[1]NS Vendor Details'!$H:$H,'G&amp;A Vendor x GL Analysis'!H$20,'[1]NS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Analysis'!H$20,'[1]NS Vendor Details'!$L:$L,'G&amp;A Vendor x GL Analysis'!$D81,'[1]NS Vendor Details'!$O:$O,'G&amp;A Vendor x GL Analysis'!$F81,'[1]NS Vendor Details'!$N:$N,"Direct Costs",'[1]NS Vendor Details'!$J:$J,0),IF(H$15="Actual",SUMIFS('[1]NS Vendor Details'!$D:$D,'[1]NS Vendor Details'!$H:$H,'G&amp;A Vendor x GL Analysis'!H$20,'[1]NS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Analysis'!H$20,'[1]NS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I81" s="17">
        <f>IF(AND(I$15="Actual",ISBLANK($E$8)),SUMIFS('[1]NS Vendor Details'!$D:$D,'[1]NS Vendor Details'!$H:$H,'G&amp;A Vendor x GL Analysis'!I$20,'[1]NS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Analysis'!I$20,'[1]NS Vendor Details'!$L:$L,'G&amp;A Vendor x GL Analysis'!$D81,'[1]NS Vendor Details'!$O:$O,'G&amp;A Vendor x GL Analysis'!$F81,'[1]NS Vendor Details'!$N:$N,"Direct Costs",'[1]NS Vendor Details'!$J:$J,0),IF(I$15="Actual",SUMIFS('[1]NS Vendor Details'!$D:$D,'[1]NS Vendor Details'!$H:$H,'G&amp;A Vendor x GL Analysis'!I$20,'[1]NS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Analysis'!I$20,'[1]NS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J81" s="17">
        <f>IF(AND(J$15="Actual",ISBLANK($E$8)),SUMIFS('[1]NS Vendor Details'!$D:$D,'[1]NS Vendor Details'!$H:$H,'G&amp;A Vendor x GL Analysis'!J$20,'[1]NS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Analysis'!J$20,'[1]NS Vendor Details'!$L:$L,'G&amp;A Vendor x GL Analysis'!$D81,'[1]NS Vendor Details'!$O:$O,'G&amp;A Vendor x GL Analysis'!$F81,'[1]NS Vendor Details'!$N:$N,"Direct Costs",'[1]NS Vendor Details'!$J:$J,0),IF(J$15="Actual",SUMIFS('[1]NS Vendor Details'!$D:$D,'[1]NS Vendor Details'!$H:$H,'G&amp;A Vendor x GL Analysis'!J$20,'[1]NS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Analysis'!J$20,'[1]NS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K81" s="17">
        <f>IF(AND(K$15="Actual",ISBLANK($E$8)),SUMIFS('[1]NS Vendor Details'!$D:$D,'[1]NS Vendor Details'!$H:$H,'G&amp;A Vendor x GL Analysis'!K$20,'[1]NS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Analysis'!K$20,'[1]NS Vendor Details'!$L:$L,'G&amp;A Vendor x GL Analysis'!$D81,'[1]NS Vendor Details'!$O:$O,'G&amp;A Vendor x GL Analysis'!$F81,'[1]NS Vendor Details'!$N:$N,"Direct Costs",'[1]NS Vendor Details'!$J:$J,0),IF(K$15="Actual",SUMIFS('[1]NS Vendor Details'!$D:$D,'[1]NS Vendor Details'!$H:$H,'G&amp;A Vendor x GL Analysis'!K$20,'[1]NS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Analysis'!K$20,'[1]NS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L81" s="17">
        <f>IF(AND(L$15="Actual",ISBLANK($E$8)),SUMIFS('[1]NS Vendor Details'!$D:$D,'[1]NS Vendor Details'!$H:$H,'G&amp;A Vendor x GL Analysis'!L$20,'[1]NS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Analysis'!L$20,'[1]NS Vendor Details'!$L:$L,'G&amp;A Vendor x GL Analysis'!$D81,'[1]NS Vendor Details'!$O:$O,'G&amp;A Vendor x GL Analysis'!$F81,'[1]NS Vendor Details'!$N:$N,"Direct Costs",'[1]NS Vendor Details'!$J:$J,0),IF(L$15="Actual",SUMIFS('[1]NS Vendor Details'!$D:$D,'[1]NS Vendor Details'!$H:$H,'G&amp;A Vendor x GL Analysis'!L$20,'[1]NS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Analysis'!L$20,'[1]NS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1714.49</v>
      </c>
      <c r="M81" s="17">
        <f>IF(AND(M$15="Actual",ISBLANK($E$8)),SUMIFS('[1]NS Vendor Details'!$D:$D,'[1]NS Vendor Details'!$H:$H,'G&amp;A Vendor x GL Analysis'!M$20,'[1]NS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Analysis'!M$20,'[1]NS Vendor Details'!$L:$L,'G&amp;A Vendor x GL Analysis'!$D81,'[1]NS Vendor Details'!$O:$O,'G&amp;A Vendor x GL Analysis'!$F81,'[1]NS Vendor Details'!$N:$N,"Direct Costs",'[1]NS Vendor Details'!$J:$J,0),IF(M$15="Actual",SUMIFS('[1]NS Vendor Details'!$D:$D,'[1]NS Vendor Details'!$H:$H,'G&amp;A Vendor x GL Analysis'!M$20,'[1]NS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Analysis'!M$20,'[1]NS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1714.49</v>
      </c>
      <c r="N81" s="17">
        <f>IF(AND(N$15="Actual",ISBLANK($E$8)),SUMIFS('[1]NS Vendor Details'!$D:$D,'[1]NS Vendor Details'!$H:$H,'G&amp;A Vendor x GL Analysis'!N$20,'[1]NS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Analysis'!N$20,'[1]NS Vendor Details'!$L:$L,'G&amp;A Vendor x GL Analysis'!$D81,'[1]NS Vendor Details'!$O:$O,'G&amp;A Vendor x GL Analysis'!$F81,'[1]NS Vendor Details'!$N:$N,"Direct Costs",'[1]NS Vendor Details'!$J:$J,0),IF(N$15="Actual",SUMIFS('[1]NS Vendor Details'!$D:$D,'[1]NS Vendor Details'!$H:$H,'G&amp;A Vendor x GL Analysis'!N$20,'[1]NS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Analysis'!N$20,'[1]NS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1714.49</v>
      </c>
      <c r="O81" s="17">
        <f>IF(AND(O$15="Actual",ISBLANK($E$8)),SUMIFS('[1]NS Vendor Details'!$D:$D,'[1]NS Vendor Details'!$H:$H,'G&amp;A Vendor x GL Analysis'!O$20,'[1]NS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Analysis'!O$20,'[1]NS Vendor Details'!$L:$L,'G&amp;A Vendor x GL Analysis'!$D81,'[1]NS Vendor Details'!$O:$O,'G&amp;A Vendor x GL Analysis'!$F81,'[1]NS Vendor Details'!$N:$N,"Direct Costs",'[1]NS Vendor Details'!$J:$J,0),IF(O$15="Actual",SUMIFS('[1]NS Vendor Details'!$D:$D,'[1]NS Vendor Details'!$H:$H,'G&amp;A Vendor x GL Analysis'!O$20,'[1]NS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Analysis'!O$20,'[1]NS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P81" s="17">
        <f>IF(AND(P$15="Actual",ISBLANK($E$8)),SUMIFS('[1]NS Vendor Details'!$D:$D,'[1]NS Vendor Details'!$H:$H,'G&amp;A Vendor x GL Analysis'!P$20,'[1]NS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Analysis'!P$20,'[1]NS Vendor Details'!$L:$L,'G&amp;A Vendor x GL Analysis'!$D81,'[1]NS Vendor Details'!$O:$O,'G&amp;A Vendor x GL Analysis'!$F81,'[1]NS Vendor Details'!$N:$N,"Direct Costs",'[1]NS Vendor Details'!$J:$J,0),IF(P$15="Actual",SUMIFS('[1]NS Vendor Details'!$D:$D,'[1]NS Vendor Details'!$H:$H,'G&amp;A Vendor x GL Analysis'!P$20,'[1]NS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Analysis'!P$20,'[1]NS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Q81" s="17">
        <f>IF(AND(Q$15="Actual",ISBLANK($E$8)),SUMIFS('[1]NS Vendor Details'!$D:$D,'[1]NS Vendor Details'!$H:$H,'G&amp;A Vendor x GL Analysis'!Q$20,'[1]NS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Analysis'!Q$20,'[1]NS Vendor Details'!$L:$L,'G&amp;A Vendor x GL Analysis'!$D81,'[1]NS Vendor Details'!$O:$O,'G&amp;A Vendor x GL Analysis'!$F81,'[1]NS Vendor Details'!$N:$N,"Direct Costs",'[1]NS Vendor Details'!$J:$J,0),IF(Q$15="Actual",SUMIFS('[1]NS Vendor Details'!$D:$D,'[1]NS Vendor Details'!$H:$H,'G&amp;A Vendor x GL Analysis'!Q$20,'[1]NS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Analysis'!Q$20,'[1]NS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R81" s="18">
        <f>IF(AND(R$15="Actual",ISBLANK($E$8)),SUMIFS('[1]NS Vendor Details'!$D:$D,'[1]NS Vendor Details'!$H:$H,'G&amp;A Vendor x GL Analysis'!R$20,'[1]NS Vendor Details'!$L:$L,'G&amp;A Vendor x GL Analysis'!$D81,'[1]NS Vendor Details'!$O:$O,'G&amp;A Vendor x GL Analysis'!$F81,'[1]NS Vendor Details'!$N:$N,'G&amp;A Vendor x GL Analysis'!$C81)+SUMIFS('[1]NS Vendor Details'!$D:$D,'[1]NS Vendor Details'!$H:$H,'G&amp;A Vendor x GL Analysis'!R$20,'[1]NS Vendor Details'!$L:$L,'G&amp;A Vendor x GL Analysis'!$D81,'[1]NS Vendor Details'!$O:$O,'G&amp;A Vendor x GL Analysis'!$F81,'[1]NS Vendor Details'!$N:$N,"Direct Costs",'[1]NS Vendor Details'!$J:$J,0),IF(R$15="Actual",SUMIFS('[1]NS Vendor Details'!$D:$D,'[1]NS Vendor Details'!$H:$H,'G&amp;A Vendor x GL Analysis'!R$20,'[1]NS Vendor Details'!$L:$L,'G&amp;A Vendor x GL Analysis'!$D81,'[1]NS Vendor Details'!$O:$O,'G&amp;A Vendor x GL Analysis'!$F81,'[1]NS Vendor Details'!$N:$N,'G&amp;A Vendor x GL Analysis'!$C81,'[1]NS Vendor Details'!$K:$K,'G&amp;A Vendor x GL Analysis'!$E$8)+SUMIFS('[1]NS Vendor Details'!$D:$D,'[1]NS Vendor Details'!$H:$H,'G&amp;A Vendor x GL Analysis'!R$20,'[1]NS Vendor Details'!$L:$L,'G&amp;A Vendor x GL Analysis'!$D81,'[1]NS Vendor Details'!$O:$O,'G&amp;A Vendor x GL Analysis'!$F81,'[1]NS Vendor Details'!$N:$N,"Direct Costs",'[1]NS Vendor Details'!$J:$J,0,'[1]NS Vendor Details'!$K:$K,'G&amp;A Vendor x GL Analysis'!$E$8),0))</f>
        <v>0</v>
      </c>
      <c r="S81" s="16">
        <f>IF(AND(S$15="Actual",ISBLANK($E$8)),SUMIFS('[1]NS Vendor Details'!$D:$D,'[1]NS Vendor Details'!$H:$H,'G&amp;A Vendor x GL Analysis'!S$20,'[1]NS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Analysis'!S$20,'[1]NS Vendor Details'!$L:$L,'G&amp;A Vendor x GL Analysis'!$D81,'[1]NS Vendor Details'!$O:$O,'G&amp;A Vendor x GL Analysis'!$F81,'[1]NS Vendor Details'!$N:$N,"Direct Costs",'[1]NS Vendor Details'!$J:$J,0,'[1]NS Vendor Details'!$I:$I,'G&amp;A Vendor x GL Analysis'!$E81),IF(S$15="Actual",SUMIFS('[1]NS Vendor Details'!$D:$D,'[1]NS Vendor Details'!$H:$H,'G&amp;A Vendor x GL Analysis'!S$20,'[1]NS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Analysis'!S$20,'[1]NS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T81" s="17">
        <f>IF(AND(T$15="Actual",ISBLANK($E$8)),SUMIFS('[1]NS Vendor Details'!$D:$D,'[1]NS Vendor Details'!$H:$H,'G&amp;A Vendor x GL Analysis'!T$20,'[1]NS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Analysis'!T$20,'[1]NS Vendor Details'!$L:$L,'G&amp;A Vendor x GL Analysis'!$D81,'[1]NS Vendor Details'!$O:$O,'G&amp;A Vendor x GL Analysis'!$F81,'[1]NS Vendor Details'!$N:$N,"Direct Costs",'[1]NS Vendor Details'!$J:$J,0,'[1]NS Vendor Details'!$I:$I,'G&amp;A Vendor x GL Analysis'!$E81),IF(T$15="Actual",SUMIFS('[1]NS Vendor Details'!$D:$D,'[1]NS Vendor Details'!$H:$H,'G&amp;A Vendor x GL Analysis'!T$20,'[1]NS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Analysis'!T$20,'[1]NS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U81" s="17">
        <f>IF(AND(U$15="Actual",ISBLANK($E$8)),SUMIFS('[1]NS Vendor Details'!$D:$D,'[1]NS Vendor Details'!$H:$H,'G&amp;A Vendor x GL Analysis'!U$20,'[1]NS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Analysis'!U$20,'[1]NS Vendor Details'!$L:$L,'G&amp;A Vendor x GL Analysis'!$D81,'[1]NS Vendor Details'!$O:$O,'G&amp;A Vendor x GL Analysis'!$F81,'[1]NS Vendor Details'!$N:$N,"Direct Costs",'[1]NS Vendor Details'!$J:$J,0,'[1]NS Vendor Details'!$I:$I,'G&amp;A Vendor x GL Analysis'!$E81),IF(U$15="Actual",SUMIFS('[1]NS Vendor Details'!$D:$D,'[1]NS Vendor Details'!$H:$H,'G&amp;A Vendor x GL Analysis'!U$20,'[1]NS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Analysis'!U$20,'[1]NS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V81" s="17">
        <f>IF(AND(V$15="Actual",ISBLANK($E$8)),SUMIFS('[1]NS Vendor Details'!$D:$D,'[1]NS Vendor Details'!$H:$H,'G&amp;A Vendor x GL Analysis'!V$20,'[1]NS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Analysis'!V$20,'[1]NS Vendor Details'!$L:$L,'G&amp;A Vendor x GL Analysis'!$D81,'[1]NS Vendor Details'!$O:$O,'G&amp;A Vendor x GL Analysis'!$F81,'[1]NS Vendor Details'!$N:$N,"Direct Costs",'[1]NS Vendor Details'!$J:$J,0,'[1]NS Vendor Details'!$I:$I,'G&amp;A Vendor x GL Analysis'!$E81),IF(V$15="Actual",SUMIFS('[1]NS Vendor Details'!$D:$D,'[1]NS Vendor Details'!$H:$H,'G&amp;A Vendor x GL Analysis'!V$20,'[1]NS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Analysis'!V$20,'[1]NS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W81" s="17">
        <f>IF(AND(W$15="Actual",ISBLANK($E$8)),SUMIFS('[1]NS Vendor Details'!$D:$D,'[1]NS Vendor Details'!$H:$H,'G&amp;A Vendor x GL Analysis'!W$20,'[1]NS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Analysis'!W$20,'[1]NS Vendor Details'!$L:$L,'G&amp;A Vendor x GL Analysis'!$D81,'[1]NS Vendor Details'!$O:$O,'G&amp;A Vendor x GL Analysis'!$F81,'[1]NS Vendor Details'!$N:$N,"Direct Costs",'[1]NS Vendor Details'!$J:$J,0,'[1]NS Vendor Details'!$I:$I,'G&amp;A Vendor x GL Analysis'!$E81),IF(W$15="Actual",SUMIFS('[1]NS Vendor Details'!$D:$D,'[1]NS Vendor Details'!$H:$H,'G&amp;A Vendor x GL Analysis'!W$20,'[1]NS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Analysis'!W$20,'[1]NS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X81" s="17">
        <f>IF(AND(X$15="Actual",ISBLANK($E$8)),SUMIFS('[1]NS Vendor Details'!$D:$D,'[1]NS Vendor Details'!$H:$H,'G&amp;A Vendor x GL Analysis'!X$20,'[1]NS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Analysis'!X$20,'[1]NS Vendor Details'!$L:$L,'G&amp;A Vendor x GL Analysis'!$D81,'[1]NS Vendor Details'!$O:$O,'G&amp;A Vendor x GL Analysis'!$F81,'[1]NS Vendor Details'!$N:$N,"Direct Costs",'[1]NS Vendor Details'!$J:$J,0,'[1]NS Vendor Details'!$I:$I,'G&amp;A Vendor x GL Analysis'!$E81),IF(X$15="Actual",SUMIFS('[1]NS Vendor Details'!$D:$D,'[1]NS Vendor Details'!$H:$H,'G&amp;A Vendor x GL Analysis'!X$20,'[1]NS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Analysis'!X$20,'[1]NS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Y81" s="17">
        <f>IF(AND(Y$15="Actual",ISBLANK($E$8)),SUMIFS('[1]NS Vendor Details'!$D:$D,'[1]NS Vendor Details'!$H:$H,'G&amp;A Vendor x GL Analysis'!Y$20,'[1]NS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Analysis'!Y$20,'[1]NS Vendor Details'!$L:$L,'G&amp;A Vendor x GL Analysis'!$D81,'[1]NS Vendor Details'!$O:$O,'G&amp;A Vendor x GL Analysis'!$F81,'[1]NS Vendor Details'!$N:$N,"Direct Costs",'[1]NS Vendor Details'!$J:$J,0,'[1]NS Vendor Details'!$I:$I,'G&amp;A Vendor x GL Analysis'!$E81),IF(Y$15="Actual",SUMIFS('[1]NS Vendor Details'!$D:$D,'[1]NS Vendor Details'!$H:$H,'G&amp;A Vendor x GL Analysis'!Y$20,'[1]NS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Analysis'!Y$20,'[1]NS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Z81" s="17">
        <f>IF(AND(Z$15="Actual",ISBLANK($E$8)),SUMIFS('[1]NS Vendor Details'!$D:$D,'[1]NS Vendor Details'!$H:$H,'G&amp;A Vendor x GL Analysis'!Z$20,'[1]NS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Analysis'!Z$20,'[1]NS Vendor Details'!$L:$L,'G&amp;A Vendor x GL Analysis'!$D81,'[1]NS Vendor Details'!$O:$O,'G&amp;A Vendor x GL Analysis'!$F81,'[1]NS Vendor Details'!$N:$N,"Direct Costs",'[1]NS Vendor Details'!$J:$J,0,'[1]NS Vendor Details'!$I:$I,'G&amp;A Vendor x GL Analysis'!$E81),IF(Z$15="Actual",SUMIFS('[1]NS Vendor Details'!$D:$D,'[1]NS Vendor Details'!$H:$H,'G&amp;A Vendor x GL Analysis'!Z$20,'[1]NS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Analysis'!Z$20,'[1]NS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2313.6299999999997</v>
      </c>
      <c r="AA81" s="17">
        <f>IF(AND(AA$15="Actual",ISBLANK($E$8)),SUMIFS('[1]NS Vendor Details'!$D:$D,'[1]NS Vendor Details'!$H:$H,'G&amp;A Vendor x GL Analysis'!AA$20,'[1]NS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Analysis'!AA$20,'[1]NS Vendor Details'!$L:$L,'G&amp;A Vendor x GL Analysis'!$D81,'[1]NS Vendor Details'!$O:$O,'G&amp;A Vendor x GL Analysis'!$F81,'[1]NS Vendor Details'!$N:$N,"Direct Costs",'[1]NS Vendor Details'!$J:$J,0,'[1]NS Vendor Details'!$I:$I,'G&amp;A Vendor x GL Analysis'!$E81),IF(AA$15="Actual",SUMIFS('[1]NS Vendor Details'!$D:$D,'[1]NS Vendor Details'!$H:$H,'G&amp;A Vendor x GL Analysis'!AA$20,'[1]NS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Analysis'!AA$20,'[1]NS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43.54</v>
      </c>
      <c r="AB81" s="17">
        <f>IF(AND(AB$15="Actual",ISBLANK($E$8)),SUMIFS('[1]NS Vendor Details'!$D:$D,'[1]NS Vendor Details'!$H:$H,'G&amp;A Vendor x GL Analysis'!AB$20,'[1]NS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Analysis'!AB$20,'[1]NS Vendor Details'!$L:$L,'G&amp;A Vendor x GL Analysis'!$D81,'[1]NS Vendor Details'!$O:$O,'G&amp;A Vendor x GL Analysis'!$F81,'[1]NS Vendor Details'!$N:$N,"Direct Costs",'[1]NS Vendor Details'!$J:$J,0,'[1]NS Vendor Details'!$I:$I,'G&amp;A Vendor x GL Analysis'!$E81),IF(AB$15="Actual",SUMIFS('[1]NS Vendor Details'!$D:$D,'[1]NS Vendor Details'!$H:$H,'G&amp;A Vendor x GL Analysis'!AB$20,'[1]NS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Analysis'!AB$20,'[1]NS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AC81" s="18">
        <f>IF(AND(AC$15="Actual",ISBLANK($E$8)),SUMIFS('[1]NS Vendor Details'!$D:$D,'[1]NS Vendor Details'!$H:$H,'G&amp;A Vendor x GL Analysis'!AC$20,'[1]NS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Analysis'!AC$20,'[1]NS Vendor Details'!$L:$L,'G&amp;A Vendor x GL Analysis'!$D81,'[1]NS Vendor Details'!$O:$O,'G&amp;A Vendor x GL Analysis'!$F81,'[1]NS Vendor Details'!$N:$N,"Direct Costs",'[1]NS Vendor Details'!$J:$J,0,'[1]NS Vendor Details'!$I:$I,'G&amp;A Vendor x GL Analysis'!$E81),IF(AC$15="Actual",SUMIFS('[1]NS Vendor Details'!$D:$D,'[1]NS Vendor Details'!$H:$H,'G&amp;A Vendor x GL Analysis'!AC$20,'[1]NS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Analysis'!AC$20,'[1]NS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AD81" s="18">
        <f>IF(AND(AD$15="Actual",ISBLANK($E$8)),SUMIFS('[1]NS Vendor Details'!$D:$D,'[1]NS Vendor Details'!$H:$H,'G&amp;A Vendor x GL Analysis'!AD$20,'[1]NS Vendor Details'!$L:$L,'G&amp;A Vendor x GL Analysis'!$D81,'[1]NS Vendor Details'!$O:$O,'G&amp;A Vendor x GL Analysis'!$F81,'[1]NS Vendor Details'!$N:$N,'G&amp;A Vendor x GL Analysis'!$C81,'[1]NS Vendor Details'!$I:$I,'G&amp;A Vendor x GL Analysis'!$E81)+SUMIFS('[1]NS Vendor Details'!$D:$D,'[1]NS Vendor Details'!$H:$H,'G&amp;A Vendor x GL Analysis'!AD$20,'[1]NS Vendor Details'!$L:$L,'G&amp;A Vendor x GL Analysis'!$D81,'[1]NS Vendor Details'!$O:$O,'G&amp;A Vendor x GL Analysis'!$F81,'[1]NS Vendor Details'!$N:$N,"Direct Costs",'[1]NS Vendor Details'!$J:$J,0,'[1]NS Vendor Details'!$I:$I,'G&amp;A Vendor x GL Analysis'!$E81),IF(AD$15="Actual",SUMIFS('[1]NS Vendor Details'!$D:$D,'[1]NS Vendor Details'!$H:$H,'G&amp;A Vendor x GL Analysis'!AD$20,'[1]NS Vendor Details'!$L:$L,'G&amp;A Vendor x GL Analysis'!$D81,'[1]NS Vendor Details'!$O:$O,'G&amp;A Vendor x GL Analysis'!$F81,'[1]NS Vendor Details'!$N:$N,'G&amp;A Vendor x GL Analysis'!$C81,'[1]NS Vendor Details'!$K:$K,'G&amp;A Vendor x GL Analysis'!$E$8,'[1]NS Vendor Details'!$I:$I,'G&amp;A Vendor x GL Analysis'!$E81)+SUMIFS('[1]NS Vendor Details'!$D:$D,'[1]NS Vendor Details'!$H:$H,'G&amp;A Vendor x GL Analysis'!AD$20,'[1]NS Vendor Details'!$L:$L,'G&amp;A Vendor x GL Analysis'!$D81,'[1]NS Vendor Details'!$O:$O,'G&amp;A Vendor x GL Analysis'!$F81,'[1]NS Vendor Details'!$N:$N,"Direct Costs",'[1]NS Vendor Details'!$J:$J,0,'[1]NS Vendor Details'!$K:$K,'G&amp;A Vendor x GL Analysis'!$E$8,'[1]NS Vendor Details'!$I:$I,'G&amp;A Vendor x GL Analysis'!$E81),0))</f>
        <v>0</v>
      </c>
      <c r="AF81" s="19">
        <f t="shared" si="9"/>
        <v>2357.1699999999996</v>
      </c>
    </row>
    <row r="82" spans="1:32" ht="15" outlineLevel="1">
      <c r="A82" s="8" t="str">
        <f t="shared" si="8"/>
        <v>Professional Service6225 - Professional Services</v>
      </c>
      <c r="C82" s="8" t="s">
        <v>11</v>
      </c>
      <c r="D82" s="8" t="str">
        <f t="shared" si="21"/>
        <v>Professional Service</v>
      </c>
      <c r="E82" s="2" t="s">
        <v>75</v>
      </c>
      <c r="F82" s="2" t="s">
        <v>76</v>
      </c>
      <c r="G82" s="16">
        <f>IF(AND(G$15="Actual",ISBLANK($E$8)),SUMIFS('[1]NS Vendor Details'!$D:$D,'[1]NS Vendor Details'!$H:$H,'G&amp;A Vendor x GL Analysis'!G$20,'[1]NS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Analysis'!G$20,'[1]NS Vendor Details'!$L:$L,'G&amp;A Vendor x GL Analysis'!$D82,'[1]NS Vendor Details'!$O:$O,'G&amp;A Vendor x GL Analysis'!$F82,'[1]NS Vendor Details'!$N:$N,"Direct Costs",'[1]NS Vendor Details'!$J:$J,0),IF(G$15="Actual",SUMIFS('[1]NS Vendor Details'!$D:$D,'[1]NS Vendor Details'!$H:$H,'G&amp;A Vendor x GL Analysis'!G$20,'[1]NS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Analysis'!G$20,'[1]NS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H82" s="17">
        <f>IF(AND(H$15="Actual",ISBLANK($E$8)),SUMIFS('[1]NS Vendor Details'!$D:$D,'[1]NS Vendor Details'!$H:$H,'G&amp;A Vendor x GL Analysis'!H$20,'[1]NS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Analysis'!H$20,'[1]NS Vendor Details'!$L:$L,'G&amp;A Vendor x GL Analysis'!$D82,'[1]NS Vendor Details'!$O:$O,'G&amp;A Vendor x GL Analysis'!$F82,'[1]NS Vendor Details'!$N:$N,"Direct Costs",'[1]NS Vendor Details'!$J:$J,0),IF(H$15="Actual",SUMIFS('[1]NS Vendor Details'!$D:$D,'[1]NS Vendor Details'!$H:$H,'G&amp;A Vendor x GL Analysis'!H$20,'[1]NS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Analysis'!H$20,'[1]NS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I82" s="17">
        <f>IF(AND(I$15="Actual",ISBLANK($E$8)),SUMIFS('[1]NS Vendor Details'!$D:$D,'[1]NS Vendor Details'!$H:$H,'G&amp;A Vendor x GL Analysis'!I$20,'[1]NS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Analysis'!I$20,'[1]NS Vendor Details'!$L:$L,'G&amp;A Vendor x GL Analysis'!$D82,'[1]NS Vendor Details'!$O:$O,'G&amp;A Vendor x GL Analysis'!$F82,'[1]NS Vendor Details'!$N:$N,"Direct Costs",'[1]NS Vendor Details'!$J:$J,0),IF(I$15="Actual",SUMIFS('[1]NS Vendor Details'!$D:$D,'[1]NS Vendor Details'!$H:$H,'G&amp;A Vendor x GL Analysis'!I$20,'[1]NS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Analysis'!I$20,'[1]NS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J82" s="17">
        <f>IF(AND(J$15="Actual",ISBLANK($E$8)),SUMIFS('[1]NS Vendor Details'!$D:$D,'[1]NS Vendor Details'!$H:$H,'G&amp;A Vendor x GL Analysis'!J$20,'[1]NS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Analysis'!J$20,'[1]NS Vendor Details'!$L:$L,'G&amp;A Vendor x GL Analysis'!$D82,'[1]NS Vendor Details'!$O:$O,'G&amp;A Vendor x GL Analysis'!$F82,'[1]NS Vendor Details'!$N:$N,"Direct Costs",'[1]NS Vendor Details'!$J:$J,0),IF(J$15="Actual",SUMIFS('[1]NS Vendor Details'!$D:$D,'[1]NS Vendor Details'!$H:$H,'G&amp;A Vendor x GL Analysis'!J$20,'[1]NS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Analysis'!J$20,'[1]NS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K82" s="17">
        <f>IF(AND(K$15="Actual",ISBLANK($E$8)),SUMIFS('[1]NS Vendor Details'!$D:$D,'[1]NS Vendor Details'!$H:$H,'G&amp;A Vendor x GL Analysis'!K$20,'[1]NS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Analysis'!K$20,'[1]NS Vendor Details'!$L:$L,'G&amp;A Vendor x GL Analysis'!$D82,'[1]NS Vendor Details'!$O:$O,'G&amp;A Vendor x GL Analysis'!$F82,'[1]NS Vendor Details'!$N:$N,"Direct Costs",'[1]NS Vendor Details'!$J:$J,0),IF(K$15="Actual",SUMIFS('[1]NS Vendor Details'!$D:$D,'[1]NS Vendor Details'!$H:$H,'G&amp;A Vendor x GL Analysis'!K$20,'[1]NS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Analysis'!K$20,'[1]NS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L82" s="17">
        <f>IF(AND(L$15="Actual",ISBLANK($E$8)),SUMIFS('[1]NS Vendor Details'!$D:$D,'[1]NS Vendor Details'!$H:$H,'G&amp;A Vendor x GL Analysis'!L$20,'[1]NS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Analysis'!L$20,'[1]NS Vendor Details'!$L:$L,'G&amp;A Vendor x GL Analysis'!$D82,'[1]NS Vendor Details'!$O:$O,'G&amp;A Vendor x GL Analysis'!$F82,'[1]NS Vendor Details'!$N:$N,"Direct Costs",'[1]NS Vendor Details'!$J:$J,0),IF(L$15="Actual",SUMIFS('[1]NS Vendor Details'!$D:$D,'[1]NS Vendor Details'!$H:$H,'G&amp;A Vendor x GL Analysis'!L$20,'[1]NS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Analysis'!L$20,'[1]NS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M82" s="17">
        <f>IF(AND(M$15="Actual",ISBLANK($E$8)),SUMIFS('[1]NS Vendor Details'!$D:$D,'[1]NS Vendor Details'!$H:$H,'G&amp;A Vendor x GL Analysis'!M$20,'[1]NS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Analysis'!M$20,'[1]NS Vendor Details'!$L:$L,'G&amp;A Vendor x GL Analysis'!$D82,'[1]NS Vendor Details'!$O:$O,'G&amp;A Vendor x GL Analysis'!$F82,'[1]NS Vendor Details'!$N:$N,"Direct Costs",'[1]NS Vendor Details'!$J:$J,0),IF(M$15="Actual",SUMIFS('[1]NS Vendor Details'!$D:$D,'[1]NS Vendor Details'!$H:$H,'G&amp;A Vendor x GL Analysis'!M$20,'[1]NS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Analysis'!M$20,'[1]NS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N82" s="17">
        <f>IF(AND(N$15="Actual",ISBLANK($E$8)),SUMIFS('[1]NS Vendor Details'!$D:$D,'[1]NS Vendor Details'!$H:$H,'G&amp;A Vendor x GL Analysis'!N$20,'[1]NS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Analysis'!N$20,'[1]NS Vendor Details'!$L:$L,'G&amp;A Vendor x GL Analysis'!$D82,'[1]NS Vendor Details'!$O:$O,'G&amp;A Vendor x GL Analysis'!$F82,'[1]NS Vendor Details'!$N:$N,"Direct Costs",'[1]NS Vendor Details'!$J:$J,0),IF(N$15="Actual",SUMIFS('[1]NS Vendor Details'!$D:$D,'[1]NS Vendor Details'!$H:$H,'G&amp;A Vendor x GL Analysis'!N$20,'[1]NS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Analysis'!N$20,'[1]NS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O82" s="17">
        <f>IF(AND(O$15="Actual",ISBLANK($E$8)),SUMIFS('[1]NS Vendor Details'!$D:$D,'[1]NS Vendor Details'!$H:$H,'G&amp;A Vendor x GL Analysis'!O$20,'[1]NS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Analysis'!O$20,'[1]NS Vendor Details'!$L:$L,'G&amp;A Vendor x GL Analysis'!$D82,'[1]NS Vendor Details'!$O:$O,'G&amp;A Vendor x GL Analysis'!$F82,'[1]NS Vendor Details'!$N:$N,"Direct Costs",'[1]NS Vendor Details'!$J:$J,0),IF(O$15="Actual",SUMIFS('[1]NS Vendor Details'!$D:$D,'[1]NS Vendor Details'!$H:$H,'G&amp;A Vendor x GL Analysis'!O$20,'[1]NS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Analysis'!O$20,'[1]NS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P82" s="17">
        <f>IF(AND(P$15="Actual",ISBLANK($E$8)),SUMIFS('[1]NS Vendor Details'!$D:$D,'[1]NS Vendor Details'!$H:$H,'G&amp;A Vendor x GL Analysis'!P$20,'[1]NS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Analysis'!P$20,'[1]NS Vendor Details'!$L:$L,'G&amp;A Vendor x GL Analysis'!$D82,'[1]NS Vendor Details'!$O:$O,'G&amp;A Vendor x GL Analysis'!$F82,'[1]NS Vendor Details'!$N:$N,"Direct Costs",'[1]NS Vendor Details'!$J:$J,0),IF(P$15="Actual",SUMIFS('[1]NS Vendor Details'!$D:$D,'[1]NS Vendor Details'!$H:$H,'G&amp;A Vendor x GL Analysis'!P$20,'[1]NS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Analysis'!P$20,'[1]NS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Q82" s="17">
        <f>IF(AND(Q$15="Actual",ISBLANK($E$8)),SUMIFS('[1]NS Vendor Details'!$D:$D,'[1]NS Vendor Details'!$H:$H,'G&amp;A Vendor x GL Analysis'!Q$20,'[1]NS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Analysis'!Q$20,'[1]NS Vendor Details'!$L:$L,'G&amp;A Vendor x GL Analysis'!$D82,'[1]NS Vendor Details'!$O:$O,'G&amp;A Vendor x GL Analysis'!$F82,'[1]NS Vendor Details'!$N:$N,"Direct Costs",'[1]NS Vendor Details'!$J:$J,0),IF(Q$15="Actual",SUMIFS('[1]NS Vendor Details'!$D:$D,'[1]NS Vendor Details'!$H:$H,'G&amp;A Vendor x GL Analysis'!Q$20,'[1]NS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Analysis'!Q$20,'[1]NS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R82" s="18">
        <f>IF(AND(R$15="Actual",ISBLANK($E$8)),SUMIFS('[1]NS Vendor Details'!$D:$D,'[1]NS Vendor Details'!$H:$H,'G&amp;A Vendor x GL Analysis'!R$20,'[1]NS Vendor Details'!$L:$L,'G&amp;A Vendor x GL Analysis'!$D82,'[1]NS Vendor Details'!$O:$O,'G&amp;A Vendor x GL Analysis'!$F82,'[1]NS Vendor Details'!$N:$N,'G&amp;A Vendor x GL Analysis'!$C82)+SUMIFS('[1]NS Vendor Details'!$D:$D,'[1]NS Vendor Details'!$H:$H,'G&amp;A Vendor x GL Analysis'!R$20,'[1]NS Vendor Details'!$L:$L,'G&amp;A Vendor x GL Analysis'!$D82,'[1]NS Vendor Details'!$O:$O,'G&amp;A Vendor x GL Analysis'!$F82,'[1]NS Vendor Details'!$N:$N,"Direct Costs",'[1]NS Vendor Details'!$J:$J,0),IF(R$15="Actual",SUMIFS('[1]NS Vendor Details'!$D:$D,'[1]NS Vendor Details'!$H:$H,'G&amp;A Vendor x GL Analysis'!R$20,'[1]NS Vendor Details'!$L:$L,'G&amp;A Vendor x GL Analysis'!$D82,'[1]NS Vendor Details'!$O:$O,'G&amp;A Vendor x GL Analysis'!$F82,'[1]NS Vendor Details'!$N:$N,'G&amp;A Vendor x GL Analysis'!$C82,'[1]NS Vendor Details'!$K:$K,'G&amp;A Vendor x GL Analysis'!$E$8)+SUMIFS('[1]NS Vendor Details'!$D:$D,'[1]NS Vendor Details'!$H:$H,'G&amp;A Vendor x GL Analysis'!R$20,'[1]NS Vendor Details'!$L:$L,'G&amp;A Vendor x GL Analysis'!$D82,'[1]NS Vendor Details'!$O:$O,'G&amp;A Vendor x GL Analysis'!$F82,'[1]NS Vendor Details'!$N:$N,"Direct Costs",'[1]NS Vendor Details'!$J:$J,0,'[1]NS Vendor Details'!$K:$K,'G&amp;A Vendor x GL Analysis'!$E$8),0))</f>
        <v>150</v>
      </c>
      <c r="S82" s="16">
        <f>IF(AND(S$15="Actual",ISBLANK($E$8)),SUMIFS('[1]NS Vendor Details'!$D:$D,'[1]NS Vendor Details'!$H:$H,'G&amp;A Vendor x GL Analysis'!S$20,'[1]NS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Analysis'!S$20,'[1]NS Vendor Details'!$L:$L,'G&amp;A Vendor x GL Analysis'!$D82,'[1]NS Vendor Details'!$O:$O,'G&amp;A Vendor x GL Analysis'!$F82,'[1]NS Vendor Details'!$N:$N,"Direct Costs",'[1]NS Vendor Details'!$J:$J,0,'[1]NS Vendor Details'!$I:$I,'G&amp;A Vendor x GL Analysis'!$E82),IF(S$15="Actual",SUMIFS('[1]NS Vendor Details'!$D:$D,'[1]NS Vendor Details'!$H:$H,'G&amp;A Vendor x GL Analysis'!S$20,'[1]NS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Analysis'!S$20,'[1]NS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150</v>
      </c>
      <c r="T82" s="17">
        <f>IF(AND(T$15="Actual",ISBLANK($E$8)),SUMIFS('[1]NS Vendor Details'!$D:$D,'[1]NS Vendor Details'!$H:$H,'G&amp;A Vendor x GL Analysis'!T$20,'[1]NS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Analysis'!T$20,'[1]NS Vendor Details'!$L:$L,'G&amp;A Vendor x GL Analysis'!$D82,'[1]NS Vendor Details'!$O:$O,'G&amp;A Vendor x GL Analysis'!$F82,'[1]NS Vendor Details'!$N:$N,"Direct Costs",'[1]NS Vendor Details'!$J:$J,0,'[1]NS Vendor Details'!$I:$I,'G&amp;A Vendor x GL Analysis'!$E82),IF(T$15="Actual",SUMIFS('[1]NS Vendor Details'!$D:$D,'[1]NS Vendor Details'!$H:$H,'G&amp;A Vendor x GL Analysis'!T$20,'[1]NS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Analysis'!T$20,'[1]NS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150</v>
      </c>
      <c r="U82" s="17">
        <f>IF(AND(U$15="Actual",ISBLANK($E$8)),SUMIFS('[1]NS Vendor Details'!$D:$D,'[1]NS Vendor Details'!$H:$H,'G&amp;A Vendor x GL Analysis'!U$20,'[1]NS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Analysis'!U$20,'[1]NS Vendor Details'!$L:$L,'G&amp;A Vendor x GL Analysis'!$D82,'[1]NS Vendor Details'!$O:$O,'G&amp;A Vendor x GL Analysis'!$F82,'[1]NS Vendor Details'!$N:$N,"Direct Costs",'[1]NS Vendor Details'!$J:$J,0,'[1]NS Vendor Details'!$I:$I,'G&amp;A Vendor x GL Analysis'!$E82),IF(U$15="Actual",SUMIFS('[1]NS Vendor Details'!$D:$D,'[1]NS Vendor Details'!$H:$H,'G&amp;A Vendor x GL Analysis'!U$20,'[1]NS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Analysis'!U$20,'[1]NS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150</v>
      </c>
      <c r="V82" s="17">
        <f>IF(AND(V$15="Actual",ISBLANK($E$8)),SUMIFS('[1]NS Vendor Details'!$D:$D,'[1]NS Vendor Details'!$H:$H,'G&amp;A Vendor x GL Analysis'!V$20,'[1]NS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Analysis'!V$20,'[1]NS Vendor Details'!$L:$L,'G&amp;A Vendor x GL Analysis'!$D82,'[1]NS Vendor Details'!$O:$O,'G&amp;A Vendor x GL Analysis'!$F82,'[1]NS Vendor Details'!$N:$N,"Direct Costs",'[1]NS Vendor Details'!$J:$J,0,'[1]NS Vendor Details'!$I:$I,'G&amp;A Vendor x GL Analysis'!$E82),IF(V$15="Actual",SUMIFS('[1]NS Vendor Details'!$D:$D,'[1]NS Vendor Details'!$H:$H,'G&amp;A Vendor x GL Analysis'!V$20,'[1]NS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Analysis'!V$20,'[1]NS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150</v>
      </c>
      <c r="W82" s="17">
        <f>IF(AND(W$15="Actual",ISBLANK($E$8)),SUMIFS('[1]NS Vendor Details'!$D:$D,'[1]NS Vendor Details'!$H:$H,'G&amp;A Vendor x GL Analysis'!W$20,'[1]NS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Analysis'!W$20,'[1]NS Vendor Details'!$L:$L,'G&amp;A Vendor x GL Analysis'!$D82,'[1]NS Vendor Details'!$O:$O,'G&amp;A Vendor x GL Analysis'!$F82,'[1]NS Vendor Details'!$N:$N,"Direct Costs",'[1]NS Vendor Details'!$J:$J,0,'[1]NS Vendor Details'!$I:$I,'G&amp;A Vendor x GL Analysis'!$E82),IF(W$15="Actual",SUMIFS('[1]NS Vendor Details'!$D:$D,'[1]NS Vendor Details'!$H:$H,'G&amp;A Vendor x GL Analysis'!W$20,'[1]NS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Analysis'!W$20,'[1]NS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175</v>
      </c>
      <c r="X82" s="17">
        <f>IF(AND(X$15="Actual",ISBLANK($E$8)),SUMIFS('[1]NS Vendor Details'!$D:$D,'[1]NS Vendor Details'!$H:$H,'G&amp;A Vendor x GL Analysis'!X$20,'[1]NS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Analysis'!X$20,'[1]NS Vendor Details'!$L:$L,'G&amp;A Vendor x GL Analysis'!$D82,'[1]NS Vendor Details'!$O:$O,'G&amp;A Vendor x GL Analysis'!$F82,'[1]NS Vendor Details'!$N:$N,"Direct Costs",'[1]NS Vendor Details'!$J:$J,0,'[1]NS Vendor Details'!$I:$I,'G&amp;A Vendor x GL Analysis'!$E82),IF(X$15="Actual",SUMIFS('[1]NS Vendor Details'!$D:$D,'[1]NS Vendor Details'!$H:$H,'G&amp;A Vendor x GL Analysis'!X$20,'[1]NS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Analysis'!X$20,'[1]NS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175</v>
      </c>
      <c r="Y82" s="17">
        <f>IF(AND(Y$15="Actual",ISBLANK($E$8)),SUMIFS('[1]NS Vendor Details'!$D:$D,'[1]NS Vendor Details'!$H:$H,'G&amp;A Vendor x GL Analysis'!Y$20,'[1]NS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Analysis'!Y$20,'[1]NS Vendor Details'!$L:$L,'G&amp;A Vendor x GL Analysis'!$D82,'[1]NS Vendor Details'!$O:$O,'G&amp;A Vendor x GL Analysis'!$F82,'[1]NS Vendor Details'!$N:$N,"Direct Costs",'[1]NS Vendor Details'!$J:$J,0,'[1]NS Vendor Details'!$I:$I,'G&amp;A Vendor x GL Analysis'!$E82),IF(Y$15="Actual",SUMIFS('[1]NS Vendor Details'!$D:$D,'[1]NS Vendor Details'!$H:$H,'G&amp;A Vendor x GL Analysis'!Y$20,'[1]NS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Analysis'!Y$20,'[1]NS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175</v>
      </c>
      <c r="Z82" s="17">
        <f>IF(AND(Z$15="Actual",ISBLANK($E$8)),SUMIFS('[1]NS Vendor Details'!$D:$D,'[1]NS Vendor Details'!$H:$H,'G&amp;A Vendor x GL Analysis'!Z$20,'[1]NS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Analysis'!Z$20,'[1]NS Vendor Details'!$L:$L,'G&amp;A Vendor x GL Analysis'!$D82,'[1]NS Vendor Details'!$O:$O,'G&amp;A Vendor x GL Analysis'!$F82,'[1]NS Vendor Details'!$N:$N,"Direct Costs",'[1]NS Vendor Details'!$J:$J,0,'[1]NS Vendor Details'!$I:$I,'G&amp;A Vendor x GL Analysis'!$E82),IF(Z$15="Actual",SUMIFS('[1]NS Vendor Details'!$D:$D,'[1]NS Vendor Details'!$H:$H,'G&amp;A Vendor x GL Analysis'!Z$20,'[1]NS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Analysis'!Z$20,'[1]NS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175</v>
      </c>
      <c r="AA82" s="17">
        <f>IF(AND(AA$15="Actual",ISBLANK($E$8)),SUMIFS('[1]NS Vendor Details'!$D:$D,'[1]NS Vendor Details'!$H:$H,'G&amp;A Vendor x GL Analysis'!AA$20,'[1]NS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Analysis'!AA$20,'[1]NS Vendor Details'!$L:$L,'G&amp;A Vendor x GL Analysis'!$D82,'[1]NS Vendor Details'!$O:$O,'G&amp;A Vendor x GL Analysis'!$F82,'[1]NS Vendor Details'!$N:$N,"Direct Costs",'[1]NS Vendor Details'!$J:$J,0,'[1]NS Vendor Details'!$I:$I,'G&amp;A Vendor x GL Analysis'!$E82),IF(AA$15="Actual",SUMIFS('[1]NS Vendor Details'!$D:$D,'[1]NS Vendor Details'!$H:$H,'G&amp;A Vendor x GL Analysis'!AA$20,'[1]NS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Analysis'!AA$20,'[1]NS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175</v>
      </c>
      <c r="AB82" s="17">
        <f>IF(AND(AB$15="Actual",ISBLANK($E$8)),SUMIFS('[1]NS Vendor Details'!$D:$D,'[1]NS Vendor Details'!$H:$H,'G&amp;A Vendor x GL Analysis'!AB$20,'[1]NS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Analysis'!AB$20,'[1]NS Vendor Details'!$L:$L,'G&amp;A Vendor x GL Analysis'!$D82,'[1]NS Vendor Details'!$O:$O,'G&amp;A Vendor x GL Analysis'!$F82,'[1]NS Vendor Details'!$N:$N,"Direct Costs",'[1]NS Vendor Details'!$J:$J,0,'[1]NS Vendor Details'!$I:$I,'G&amp;A Vendor x GL Analysis'!$E82),IF(AB$15="Actual",SUMIFS('[1]NS Vendor Details'!$D:$D,'[1]NS Vendor Details'!$H:$H,'G&amp;A Vendor x GL Analysis'!AB$20,'[1]NS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Analysis'!AB$20,'[1]NS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175</v>
      </c>
      <c r="AC82" s="18">
        <f>IF(AND(AC$15="Actual",ISBLANK($E$8)),SUMIFS('[1]NS Vendor Details'!$D:$D,'[1]NS Vendor Details'!$H:$H,'G&amp;A Vendor x GL Analysis'!AC$20,'[1]NS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Analysis'!AC$20,'[1]NS Vendor Details'!$L:$L,'G&amp;A Vendor x GL Analysis'!$D82,'[1]NS Vendor Details'!$O:$O,'G&amp;A Vendor x GL Analysis'!$F82,'[1]NS Vendor Details'!$N:$N,"Direct Costs",'[1]NS Vendor Details'!$J:$J,0,'[1]NS Vendor Details'!$I:$I,'G&amp;A Vendor x GL Analysis'!$E82),IF(AC$15="Actual",SUMIFS('[1]NS Vendor Details'!$D:$D,'[1]NS Vendor Details'!$H:$H,'G&amp;A Vendor x GL Analysis'!AC$20,'[1]NS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Analysis'!AC$20,'[1]NS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175</v>
      </c>
      <c r="AD82" s="18">
        <f>IF(AND(AD$15="Actual",ISBLANK($E$8)),SUMIFS('[1]NS Vendor Details'!$D:$D,'[1]NS Vendor Details'!$H:$H,'G&amp;A Vendor x GL Analysis'!AD$20,'[1]NS Vendor Details'!$L:$L,'G&amp;A Vendor x GL Analysis'!$D82,'[1]NS Vendor Details'!$O:$O,'G&amp;A Vendor x GL Analysis'!$F82,'[1]NS Vendor Details'!$N:$N,'G&amp;A Vendor x GL Analysis'!$C82,'[1]NS Vendor Details'!$I:$I,'G&amp;A Vendor x GL Analysis'!$E82)+SUMIFS('[1]NS Vendor Details'!$D:$D,'[1]NS Vendor Details'!$H:$H,'G&amp;A Vendor x GL Analysis'!AD$20,'[1]NS Vendor Details'!$L:$L,'G&amp;A Vendor x GL Analysis'!$D82,'[1]NS Vendor Details'!$O:$O,'G&amp;A Vendor x GL Analysis'!$F82,'[1]NS Vendor Details'!$N:$N,"Direct Costs",'[1]NS Vendor Details'!$J:$J,0,'[1]NS Vendor Details'!$I:$I,'G&amp;A Vendor x GL Analysis'!$E82),IF(AD$15="Actual",SUMIFS('[1]NS Vendor Details'!$D:$D,'[1]NS Vendor Details'!$H:$H,'G&amp;A Vendor x GL Analysis'!AD$20,'[1]NS Vendor Details'!$L:$L,'G&amp;A Vendor x GL Analysis'!$D82,'[1]NS Vendor Details'!$O:$O,'G&amp;A Vendor x GL Analysis'!$F82,'[1]NS Vendor Details'!$N:$N,'G&amp;A Vendor x GL Analysis'!$C82,'[1]NS Vendor Details'!$K:$K,'G&amp;A Vendor x GL Analysis'!$E$8,'[1]NS Vendor Details'!$I:$I,'G&amp;A Vendor x GL Analysis'!$E82)+SUMIFS('[1]NS Vendor Details'!$D:$D,'[1]NS Vendor Details'!$H:$H,'G&amp;A Vendor x GL Analysis'!AD$20,'[1]NS Vendor Details'!$L:$L,'G&amp;A Vendor x GL Analysis'!$D82,'[1]NS Vendor Details'!$O:$O,'G&amp;A Vendor x GL Analysis'!$F82,'[1]NS Vendor Details'!$N:$N,"Direct Costs",'[1]NS Vendor Details'!$J:$J,0,'[1]NS Vendor Details'!$K:$K,'G&amp;A Vendor x GL Analysis'!$E$8,'[1]NS Vendor Details'!$I:$I,'G&amp;A Vendor x GL Analysis'!$E82),0))</f>
        <v>0</v>
      </c>
      <c r="AF82" s="20">
        <f t="shared" si="9"/>
        <v>1825</v>
      </c>
    </row>
    <row r="83" spans="1:32" outlineLevel="1">
      <c r="A83" s="8" t="str">
        <f t="shared" si="8"/>
        <v>Professional Service6225 - Professional Services</v>
      </c>
      <c r="C83" s="8" t="s">
        <v>11</v>
      </c>
      <c r="D83" s="8" t="str">
        <f t="shared" si="21"/>
        <v>Professional Service</v>
      </c>
      <c r="E83" s="2" t="s">
        <v>75</v>
      </c>
      <c r="F83" s="2" t="s">
        <v>77</v>
      </c>
      <c r="G83" s="16">
        <f>IF(AND(G$15="Actual",ISBLANK($E$8)),SUMIFS('[1]NS Vendor Details'!$D:$D,'[1]NS Vendor Details'!$H:$H,'G&amp;A Vendor x GL Analysis'!G$20,'[1]NS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Analysis'!G$20,'[1]NS Vendor Details'!$L:$L,'G&amp;A Vendor x GL Analysis'!$D83,'[1]NS Vendor Details'!$O:$O,'G&amp;A Vendor x GL Analysis'!$F83,'[1]NS Vendor Details'!$N:$N,"Direct Costs",'[1]NS Vendor Details'!$J:$J,0),IF(G$15="Actual",SUMIFS('[1]NS Vendor Details'!$D:$D,'[1]NS Vendor Details'!$H:$H,'G&amp;A Vendor x GL Analysis'!G$20,'[1]NS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Analysis'!G$20,'[1]NS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H83" s="17">
        <f>IF(AND(H$15="Actual",ISBLANK($E$8)),SUMIFS('[1]NS Vendor Details'!$D:$D,'[1]NS Vendor Details'!$H:$H,'G&amp;A Vendor x GL Analysis'!H$20,'[1]NS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Analysis'!H$20,'[1]NS Vendor Details'!$L:$L,'G&amp;A Vendor x GL Analysis'!$D83,'[1]NS Vendor Details'!$O:$O,'G&amp;A Vendor x GL Analysis'!$F83,'[1]NS Vendor Details'!$N:$N,"Direct Costs",'[1]NS Vendor Details'!$J:$J,0),IF(H$15="Actual",SUMIFS('[1]NS Vendor Details'!$D:$D,'[1]NS Vendor Details'!$H:$H,'G&amp;A Vendor x GL Analysis'!H$20,'[1]NS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Analysis'!H$20,'[1]NS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I83" s="17">
        <f>IF(AND(I$15="Actual",ISBLANK($E$8)),SUMIFS('[1]NS Vendor Details'!$D:$D,'[1]NS Vendor Details'!$H:$H,'G&amp;A Vendor x GL Analysis'!I$20,'[1]NS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Analysis'!I$20,'[1]NS Vendor Details'!$L:$L,'G&amp;A Vendor x GL Analysis'!$D83,'[1]NS Vendor Details'!$O:$O,'G&amp;A Vendor x GL Analysis'!$F83,'[1]NS Vendor Details'!$N:$N,"Direct Costs",'[1]NS Vendor Details'!$J:$J,0),IF(I$15="Actual",SUMIFS('[1]NS Vendor Details'!$D:$D,'[1]NS Vendor Details'!$H:$H,'G&amp;A Vendor x GL Analysis'!I$20,'[1]NS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Analysis'!I$20,'[1]NS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J83" s="17">
        <f>IF(AND(J$15="Actual",ISBLANK($E$8)),SUMIFS('[1]NS Vendor Details'!$D:$D,'[1]NS Vendor Details'!$H:$H,'G&amp;A Vendor x GL Analysis'!J$20,'[1]NS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Analysis'!J$20,'[1]NS Vendor Details'!$L:$L,'G&amp;A Vendor x GL Analysis'!$D83,'[1]NS Vendor Details'!$O:$O,'G&amp;A Vendor x GL Analysis'!$F83,'[1]NS Vendor Details'!$N:$N,"Direct Costs",'[1]NS Vendor Details'!$J:$J,0),IF(J$15="Actual",SUMIFS('[1]NS Vendor Details'!$D:$D,'[1]NS Vendor Details'!$H:$H,'G&amp;A Vendor x GL Analysis'!J$20,'[1]NS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Analysis'!J$20,'[1]NS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K83" s="17">
        <f>IF(AND(K$15="Actual",ISBLANK($E$8)),SUMIFS('[1]NS Vendor Details'!$D:$D,'[1]NS Vendor Details'!$H:$H,'G&amp;A Vendor x GL Analysis'!K$20,'[1]NS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Analysis'!K$20,'[1]NS Vendor Details'!$L:$L,'G&amp;A Vendor x GL Analysis'!$D83,'[1]NS Vendor Details'!$O:$O,'G&amp;A Vendor x GL Analysis'!$F83,'[1]NS Vendor Details'!$N:$N,"Direct Costs",'[1]NS Vendor Details'!$J:$J,0),IF(K$15="Actual",SUMIFS('[1]NS Vendor Details'!$D:$D,'[1]NS Vendor Details'!$H:$H,'G&amp;A Vendor x GL Analysis'!K$20,'[1]NS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Analysis'!K$20,'[1]NS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L83" s="17">
        <f>IF(AND(L$15="Actual",ISBLANK($E$8)),SUMIFS('[1]NS Vendor Details'!$D:$D,'[1]NS Vendor Details'!$H:$H,'G&amp;A Vendor x GL Analysis'!L$20,'[1]NS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Analysis'!L$20,'[1]NS Vendor Details'!$L:$L,'G&amp;A Vendor x GL Analysis'!$D83,'[1]NS Vendor Details'!$O:$O,'G&amp;A Vendor x GL Analysis'!$F83,'[1]NS Vendor Details'!$N:$N,"Direct Costs",'[1]NS Vendor Details'!$J:$J,0),IF(L$15="Actual",SUMIFS('[1]NS Vendor Details'!$D:$D,'[1]NS Vendor Details'!$H:$H,'G&amp;A Vendor x GL Analysis'!L$20,'[1]NS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Analysis'!L$20,'[1]NS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M83" s="17">
        <f>IF(AND(M$15="Actual",ISBLANK($E$8)),SUMIFS('[1]NS Vendor Details'!$D:$D,'[1]NS Vendor Details'!$H:$H,'G&amp;A Vendor x GL Analysis'!M$20,'[1]NS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Analysis'!M$20,'[1]NS Vendor Details'!$L:$L,'G&amp;A Vendor x GL Analysis'!$D83,'[1]NS Vendor Details'!$O:$O,'G&amp;A Vendor x GL Analysis'!$F83,'[1]NS Vendor Details'!$N:$N,"Direct Costs",'[1]NS Vendor Details'!$J:$J,0),IF(M$15="Actual",SUMIFS('[1]NS Vendor Details'!$D:$D,'[1]NS Vendor Details'!$H:$H,'G&amp;A Vendor x GL Analysis'!M$20,'[1]NS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Analysis'!M$20,'[1]NS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N83" s="17">
        <f>IF(AND(N$15="Actual",ISBLANK($E$8)),SUMIFS('[1]NS Vendor Details'!$D:$D,'[1]NS Vendor Details'!$H:$H,'G&amp;A Vendor x GL Analysis'!N$20,'[1]NS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Analysis'!N$20,'[1]NS Vendor Details'!$L:$L,'G&amp;A Vendor x GL Analysis'!$D83,'[1]NS Vendor Details'!$O:$O,'G&amp;A Vendor x GL Analysis'!$F83,'[1]NS Vendor Details'!$N:$N,"Direct Costs",'[1]NS Vendor Details'!$J:$J,0),IF(N$15="Actual",SUMIFS('[1]NS Vendor Details'!$D:$D,'[1]NS Vendor Details'!$H:$H,'G&amp;A Vendor x GL Analysis'!N$20,'[1]NS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Analysis'!N$20,'[1]NS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O83" s="17">
        <f>IF(AND(O$15="Actual",ISBLANK($E$8)),SUMIFS('[1]NS Vendor Details'!$D:$D,'[1]NS Vendor Details'!$H:$H,'G&amp;A Vendor x GL Analysis'!O$20,'[1]NS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Analysis'!O$20,'[1]NS Vendor Details'!$L:$L,'G&amp;A Vendor x GL Analysis'!$D83,'[1]NS Vendor Details'!$O:$O,'G&amp;A Vendor x GL Analysis'!$F83,'[1]NS Vendor Details'!$N:$N,"Direct Costs",'[1]NS Vendor Details'!$J:$J,0),IF(O$15="Actual",SUMIFS('[1]NS Vendor Details'!$D:$D,'[1]NS Vendor Details'!$H:$H,'G&amp;A Vendor x GL Analysis'!O$20,'[1]NS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Analysis'!O$20,'[1]NS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P83" s="17">
        <f>IF(AND(P$15="Actual",ISBLANK($E$8)),SUMIFS('[1]NS Vendor Details'!$D:$D,'[1]NS Vendor Details'!$H:$H,'G&amp;A Vendor x GL Analysis'!P$20,'[1]NS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Analysis'!P$20,'[1]NS Vendor Details'!$L:$L,'G&amp;A Vendor x GL Analysis'!$D83,'[1]NS Vendor Details'!$O:$O,'G&amp;A Vendor x GL Analysis'!$F83,'[1]NS Vendor Details'!$N:$N,"Direct Costs",'[1]NS Vendor Details'!$J:$J,0),IF(P$15="Actual",SUMIFS('[1]NS Vendor Details'!$D:$D,'[1]NS Vendor Details'!$H:$H,'G&amp;A Vendor x GL Analysis'!P$20,'[1]NS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Analysis'!P$20,'[1]NS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Q83" s="17">
        <f>IF(AND(Q$15="Actual",ISBLANK($E$8)),SUMIFS('[1]NS Vendor Details'!$D:$D,'[1]NS Vendor Details'!$H:$H,'G&amp;A Vendor x GL Analysis'!Q$20,'[1]NS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Analysis'!Q$20,'[1]NS Vendor Details'!$L:$L,'G&amp;A Vendor x GL Analysis'!$D83,'[1]NS Vendor Details'!$O:$O,'G&amp;A Vendor x GL Analysis'!$F83,'[1]NS Vendor Details'!$N:$N,"Direct Costs",'[1]NS Vendor Details'!$J:$J,0),IF(Q$15="Actual",SUMIFS('[1]NS Vendor Details'!$D:$D,'[1]NS Vendor Details'!$H:$H,'G&amp;A Vendor x GL Analysis'!Q$20,'[1]NS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Analysis'!Q$20,'[1]NS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R83" s="18">
        <f>IF(AND(R$15="Actual",ISBLANK($E$8)),SUMIFS('[1]NS Vendor Details'!$D:$D,'[1]NS Vendor Details'!$H:$H,'G&amp;A Vendor x GL Analysis'!R$20,'[1]NS Vendor Details'!$L:$L,'G&amp;A Vendor x GL Analysis'!$D83,'[1]NS Vendor Details'!$O:$O,'G&amp;A Vendor x GL Analysis'!$F83,'[1]NS Vendor Details'!$N:$N,'G&amp;A Vendor x GL Analysis'!$C83)+SUMIFS('[1]NS Vendor Details'!$D:$D,'[1]NS Vendor Details'!$H:$H,'G&amp;A Vendor x GL Analysis'!R$20,'[1]NS Vendor Details'!$L:$L,'G&amp;A Vendor x GL Analysis'!$D83,'[1]NS Vendor Details'!$O:$O,'G&amp;A Vendor x GL Analysis'!$F83,'[1]NS Vendor Details'!$N:$N,"Direct Costs",'[1]NS Vendor Details'!$J:$J,0),IF(R$15="Actual",SUMIFS('[1]NS Vendor Details'!$D:$D,'[1]NS Vendor Details'!$H:$H,'G&amp;A Vendor x GL Analysis'!R$20,'[1]NS Vendor Details'!$L:$L,'G&amp;A Vendor x GL Analysis'!$D83,'[1]NS Vendor Details'!$O:$O,'G&amp;A Vendor x GL Analysis'!$F83,'[1]NS Vendor Details'!$N:$N,'G&amp;A Vendor x GL Analysis'!$C83,'[1]NS Vendor Details'!$K:$K,'G&amp;A Vendor x GL Analysis'!$E$8)+SUMIFS('[1]NS Vendor Details'!$D:$D,'[1]NS Vendor Details'!$H:$H,'G&amp;A Vendor x GL Analysis'!R$20,'[1]NS Vendor Details'!$L:$L,'G&amp;A Vendor x GL Analysis'!$D83,'[1]NS Vendor Details'!$O:$O,'G&amp;A Vendor x GL Analysis'!$F83,'[1]NS Vendor Details'!$N:$N,"Direct Costs",'[1]NS Vendor Details'!$J:$J,0,'[1]NS Vendor Details'!$K:$K,'G&amp;A Vendor x GL Analysis'!$E$8),0))</f>
        <v>0</v>
      </c>
      <c r="S83" s="16">
        <f>IF(AND(S$15="Actual",ISBLANK($E$8)),SUMIFS('[1]NS Vendor Details'!$D:$D,'[1]NS Vendor Details'!$H:$H,'G&amp;A Vendor x GL Analysis'!S$20,'[1]NS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Analysis'!S$20,'[1]NS Vendor Details'!$L:$L,'G&amp;A Vendor x GL Analysis'!$D83,'[1]NS Vendor Details'!$O:$O,'G&amp;A Vendor x GL Analysis'!$F83,'[1]NS Vendor Details'!$N:$N,"Direct Costs",'[1]NS Vendor Details'!$J:$J,0,'[1]NS Vendor Details'!$I:$I,'G&amp;A Vendor x GL Analysis'!$E83),IF(S$15="Actual",SUMIFS('[1]NS Vendor Details'!$D:$D,'[1]NS Vendor Details'!$H:$H,'G&amp;A Vendor x GL Analysis'!S$20,'[1]NS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Analysis'!S$20,'[1]NS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T83" s="17">
        <f>IF(AND(T$15="Actual",ISBLANK($E$8)),SUMIFS('[1]NS Vendor Details'!$D:$D,'[1]NS Vendor Details'!$H:$H,'G&amp;A Vendor x GL Analysis'!T$20,'[1]NS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Analysis'!T$20,'[1]NS Vendor Details'!$L:$L,'G&amp;A Vendor x GL Analysis'!$D83,'[1]NS Vendor Details'!$O:$O,'G&amp;A Vendor x GL Analysis'!$F83,'[1]NS Vendor Details'!$N:$N,"Direct Costs",'[1]NS Vendor Details'!$J:$J,0,'[1]NS Vendor Details'!$I:$I,'G&amp;A Vendor x GL Analysis'!$E83),IF(T$15="Actual",SUMIFS('[1]NS Vendor Details'!$D:$D,'[1]NS Vendor Details'!$H:$H,'G&amp;A Vendor x GL Analysis'!T$20,'[1]NS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Analysis'!T$20,'[1]NS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U83" s="17">
        <f>IF(AND(U$15="Actual",ISBLANK($E$8)),SUMIFS('[1]NS Vendor Details'!$D:$D,'[1]NS Vendor Details'!$H:$H,'G&amp;A Vendor x GL Analysis'!U$20,'[1]NS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Analysis'!U$20,'[1]NS Vendor Details'!$L:$L,'G&amp;A Vendor x GL Analysis'!$D83,'[1]NS Vendor Details'!$O:$O,'G&amp;A Vendor x GL Analysis'!$F83,'[1]NS Vendor Details'!$N:$N,"Direct Costs",'[1]NS Vendor Details'!$J:$J,0,'[1]NS Vendor Details'!$I:$I,'G&amp;A Vendor x GL Analysis'!$E83),IF(U$15="Actual",SUMIFS('[1]NS Vendor Details'!$D:$D,'[1]NS Vendor Details'!$H:$H,'G&amp;A Vendor x GL Analysis'!U$20,'[1]NS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Analysis'!U$20,'[1]NS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V83" s="17">
        <f>IF(AND(V$15="Actual",ISBLANK($E$8)),SUMIFS('[1]NS Vendor Details'!$D:$D,'[1]NS Vendor Details'!$H:$H,'G&amp;A Vendor x GL Analysis'!V$20,'[1]NS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Analysis'!V$20,'[1]NS Vendor Details'!$L:$L,'G&amp;A Vendor x GL Analysis'!$D83,'[1]NS Vendor Details'!$O:$O,'G&amp;A Vendor x GL Analysis'!$F83,'[1]NS Vendor Details'!$N:$N,"Direct Costs",'[1]NS Vendor Details'!$J:$J,0,'[1]NS Vendor Details'!$I:$I,'G&amp;A Vendor x GL Analysis'!$E83),IF(V$15="Actual",SUMIFS('[1]NS Vendor Details'!$D:$D,'[1]NS Vendor Details'!$H:$H,'G&amp;A Vendor x GL Analysis'!V$20,'[1]NS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Analysis'!V$20,'[1]NS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W83" s="17">
        <f>IF(AND(W$15="Actual",ISBLANK($E$8)),SUMIFS('[1]NS Vendor Details'!$D:$D,'[1]NS Vendor Details'!$H:$H,'G&amp;A Vendor x GL Analysis'!W$20,'[1]NS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Analysis'!W$20,'[1]NS Vendor Details'!$L:$L,'G&amp;A Vendor x GL Analysis'!$D83,'[1]NS Vendor Details'!$O:$O,'G&amp;A Vendor x GL Analysis'!$F83,'[1]NS Vendor Details'!$N:$N,"Direct Costs",'[1]NS Vendor Details'!$J:$J,0,'[1]NS Vendor Details'!$I:$I,'G&amp;A Vendor x GL Analysis'!$E83),IF(W$15="Actual",SUMIFS('[1]NS Vendor Details'!$D:$D,'[1]NS Vendor Details'!$H:$H,'G&amp;A Vendor x GL Analysis'!W$20,'[1]NS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Analysis'!W$20,'[1]NS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345</v>
      </c>
      <c r="X83" s="17">
        <f>IF(AND(X$15="Actual",ISBLANK($E$8)),SUMIFS('[1]NS Vendor Details'!$D:$D,'[1]NS Vendor Details'!$H:$H,'G&amp;A Vendor x GL Analysis'!X$20,'[1]NS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Analysis'!X$20,'[1]NS Vendor Details'!$L:$L,'G&amp;A Vendor x GL Analysis'!$D83,'[1]NS Vendor Details'!$O:$O,'G&amp;A Vendor x GL Analysis'!$F83,'[1]NS Vendor Details'!$N:$N,"Direct Costs",'[1]NS Vendor Details'!$J:$J,0,'[1]NS Vendor Details'!$I:$I,'G&amp;A Vendor x GL Analysis'!$E83),IF(X$15="Actual",SUMIFS('[1]NS Vendor Details'!$D:$D,'[1]NS Vendor Details'!$H:$H,'G&amp;A Vendor x GL Analysis'!X$20,'[1]NS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Analysis'!X$20,'[1]NS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Y83" s="17">
        <f>IF(AND(Y$15="Actual",ISBLANK($E$8)),SUMIFS('[1]NS Vendor Details'!$D:$D,'[1]NS Vendor Details'!$H:$H,'G&amp;A Vendor x GL Analysis'!Y$20,'[1]NS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Analysis'!Y$20,'[1]NS Vendor Details'!$L:$L,'G&amp;A Vendor x GL Analysis'!$D83,'[1]NS Vendor Details'!$O:$O,'G&amp;A Vendor x GL Analysis'!$F83,'[1]NS Vendor Details'!$N:$N,"Direct Costs",'[1]NS Vendor Details'!$J:$J,0,'[1]NS Vendor Details'!$I:$I,'G&amp;A Vendor x GL Analysis'!$E83),IF(Y$15="Actual",SUMIFS('[1]NS Vendor Details'!$D:$D,'[1]NS Vendor Details'!$H:$H,'G&amp;A Vendor x GL Analysis'!Y$20,'[1]NS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Analysis'!Y$20,'[1]NS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Z83" s="17">
        <f>IF(AND(Z$15="Actual",ISBLANK($E$8)),SUMIFS('[1]NS Vendor Details'!$D:$D,'[1]NS Vendor Details'!$H:$H,'G&amp;A Vendor x GL Analysis'!Z$20,'[1]NS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Analysis'!Z$20,'[1]NS Vendor Details'!$L:$L,'G&amp;A Vendor x GL Analysis'!$D83,'[1]NS Vendor Details'!$O:$O,'G&amp;A Vendor x GL Analysis'!$F83,'[1]NS Vendor Details'!$N:$N,"Direct Costs",'[1]NS Vendor Details'!$J:$J,0,'[1]NS Vendor Details'!$I:$I,'G&amp;A Vendor x GL Analysis'!$E83),IF(Z$15="Actual",SUMIFS('[1]NS Vendor Details'!$D:$D,'[1]NS Vendor Details'!$H:$H,'G&amp;A Vendor x GL Analysis'!Z$20,'[1]NS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Analysis'!Z$20,'[1]NS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AA83" s="17">
        <f>IF(AND(AA$15="Actual",ISBLANK($E$8)),SUMIFS('[1]NS Vendor Details'!$D:$D,'[1]NS Vendor Details'!$H:$H,'G&amp;A Vendor x GL Analysis'!AA$20,'[1]NS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Analysis'!AA$20,'[1]NS Vendor Details'!$L:$L,'G&amp;A Vendor x GL Analysis'!$D83,'[1]NS Vendor Details'!$O:$O,'G&amp;A Vendor x GL Analysis'!$F83,'[1]NS Vendor Details'!$N:$N,"Direct Costs",'[1]NS Vendor Details'!$J:$J,0,'[1]NS Vendor Details'!$I:$I,'G&amp;A Vendor x GL Analysis'!$E83),IF(AA$15="Actual",SUMIFS('[1]NS Vendor Details'!$D:$D,'[1]NS Vendor Details'!$H:$H,'G&amp;A Vendor x GL Analysis'!AA$20,'[1]NS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Analysis'!AA$20,'[1]NS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AB83" s="17">
        <f>IF(AND(AB$15="Actual",ISBLANK($E$8)),SUMIFS('[1]NS Vendor Details'!$D:$D,'[1]NS Vendor Details'!$H:$H,'G&amp;A Vendor x GL Analysis'!AB$20,'[1]NS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Analysis'!AB$20,'[1]NS Vendor Details'!$L:$L,'G&amp;A Vendor x GL Analysis'!$D83,'[1]NS Vendor Details'!$O:$O,'G&amp;A Vendor x GL Analysis'!$F83,'[1]NS Vendor Details'!$N:$N,"Direct Costs",'[1]NS Vendor Details'!$J:$J,0,'[1]NS Vendor Details'!$I:$I,'G&amp;A Vendor x GL Analysis'!$E83),IF(AB$15="Actual",SUMIFS('[1]NS Vendor Details'!$D:$D,'[1]NS Vendor Details'!$H:$H,'G&amp;A Vendor x GL Analysis'!AB$20,'[1]NS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Analysis'!AB$20,'[1]NS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AC83" s="18">
        <f>IF(AND(AC$15="Actual",ISBLANK($E$8)),SUMIFS('[1]NS Vendor Details'!$D:$D,'[1]NS Vendor Details'!$H:$H,'G&amp;A Vendor x GL Analysis'!AC$20,'[1]NS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Analysis'!AC$20,'[1]NS Vendor Details'!$L:$L,'G&amp;A Vendor x GL Analysis'!$D83,'[1]NS Vendor Details'!$O:$O,'G&amp;A Vendor x GL Analysis'!$F83,'[1]NS Vendor Details'!$N:$N,"Direct Costs",'[1]NS Vendor Details'!$J:$J,0,'[1]NS Vendor Details'!$I:$I,'G&amp;A Vendor x GL Analysis'!$E83),IF(AC$15="Actual",SUMIFS('[1]NS Vendor Details'!$D:$D,'[1]NS Vendor Details'!$H:$H,'G&amp;A Vendor x GL Analysis'!AC$20,'[1]NS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Analysis'!AC$20,'[1]NS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AD83" s="18">
        <f>IF(AND(AD$15="Actual",ISBLANK($E$8)),SUMIFS('[1]NS Vendor Details'!$D:$D,'[1]NS Vendor Details'!$H:$H,'G&amp;A Vendor x GL Analysis'!AD$20,'[1]NS Vendor Details'!$L:$L,'G&amp;A Vendor x GL Analysis'!$D83,'[1]NS Vendor Details'!$O:$O,'G&amp;A Vendor x GL Analysis'!$F83,'[1]NS Vendor Details'!$N:$N,'G&amp;A Vendor x GL Analysis'!$C83,'[1]NS Vendor Details'!$I:$I,'G&amp;A Vendor x GL Analysis'!$E83)+SUMIFS('[1]NS Vendor Details'!$D:$D,'[1]NS Vendor Details'!$H:$H,'G&amp;A Vendor x GL Analysis'!AD$20,'[1]NS Vendor Details'!$L:$L,'G&amp;A Vendor x GL Analysis'!$D83,'[1]NS Vendor Details'!$O:$O,'G&amp;A Vendor x GL Analysis'!$F83,'[1]NS Vendor Details'!$N:$N,"Direct Costs",'[1]NS Vendor Details'!$J:$J,0,'[1]NS Vendor Details'!$I:$I,'G&amp;A Vendor x GL Analysis'!$E83),IF(AD$15="Actual",SUMIFS('[1]NS Vendor Details'!$D:$D,'[1]NS Vendor Details'!$H:$H,'G&amp;A Vendor x GL Analysis'!AD$20,'[1]NS Vendor Details'!$L:$L,'G&amp;A Vendor x GL Analysis'!$D83,'[1]NS Vendor Details'!$O:$O,'G&amp;A Vendor x GL Analysis'!$F83,'[1]NS Vendor Details'!$N:$N,'G&amp;A Vendor x GL Analysis'!$C83,'[1]NS Vendor Details'!$K:$K,'G&amp;A Vendor x GL Analysis'!$E$8,'[1]NS Vendor Details'!$I:$I,'G&amp;A Vendor x GL Analysis'!$E83)+SUMIFS('[1]NS Vendor Details'!$D:$D,'[1]NS Vendor Details'!$H:$H,'G&amp;A Vendor x GL Analysis'!AD$20,'[1]NS Vendor Details'!$L:$L,'G&amp;A Vendor x GL Analysis'!$D83,'[1]NS Vendor Details'!$O:$O,'G&amp;A Vendor x GL Analysis'!$F83,'[1]NS Vendor Details'!$N:$N,"Direct Costs",'[1]NS Vendor Details'!$J:$J,0,'[1]NS Vendor Details'!$K:$K,'G&amp;A Vendor x GL Analysis'!$E$8,'[1]NS Vendor Details'!$I:$I,'G&amp;A Vendor x GL Analysis'!$E83),0))</f>
        <v>0</v>
      </c>
      <c r="AF83" s="19">
        <f t="shared" si="9"/>
        <v>345</v>
      </c>
    </row>
    <row r="84" spans="1:32" outlineLevel="1">
      <c r="A84" s="8" t="str">
        <f t="shared" si="8"/>
        <v>Professional Service6225 - Professional Services</v>
      </c>
      <c r="C84" s="8" t="s">
        <v>11</v>
      </c>
      <c r="D84" s="8" t="str">
        <f t="shared" si="21"/>
        <v>Professional Service</v>
      </c>
      <c r="E84" s="2" t="s">
        <v>75</v>
      </c>
      <c r="F84" s="2" t="s">
        <v>78</v>
      </c>
      <c r="G84" s="16">
        <f>IF(AND(G$15="Actual",ISBLANK($E$8)),SUMIFS('[1]NS Vendor Details'!$D:$D,'[1]NS Vendor Details'!$H:$H,'G&amp;A Vendor x GL Analysis'!G$20,'[1]NS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Analysis'!G$20,'[1]NS Vendor Details'!$L:$L,'G&amp;A Vendor x GL Analysis'!$D84,'[1]NS Vendor Details'!$O:$O,'G&amp;A Vendor x GL Analysis'!$F84,'[1]NS Vendor Details'!$N:$N,"Direct Costs",'[1]NS Vendor Details'!$J:$J,0),IF(G$15="Actual",SUMIFS('[1]NS Vendor Details'!$D:$D,'[1]NS Vendor Details'!$H:$H,'G&amp;A Vendor x GL Analysis'!G$20,'[1]NS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Analysis'!G$20,'[1]NS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H84" s="17">
        <f>IF(AND(H$15="Actual",ISBLANK($E$8)),SUMIFS('[1]NS Vendor Details'!$D:$D,'[1]NS Vendor Details'!$H:$H,'G&amp;A Vendor x GL Analysis'!H$20,'[1]NS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Analysis'!H$20,'[1]NS Vendor Details'!$L:$L,'G&amp;A Vendor x GL Analysis'!$D84,'[1]NS Vendor Details'!$O:$O,'G&amp;A Vendor x GL Analysis'!$F84,'[1]NS Vendor Details'!$N:$N,"Direct Costs",'[1]NS Vendor Details'!$J:$J,0),IF(H$15="Actual",SUMIFS('[1]NS Vendor Details'!$D:$D,'[1]NS Vendor Details'!$H:$H,'G&amp;A Vendor x GL Analysis'!H$20,'[1]NS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Analysis'!H$20,'[1]NS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I84" s="17">
        <f>IF(AND(I$15="Actual",ISBLANK($E$8)),SUMIFS('[1]NS Vendor Details'!$D:$D,'[1]NS Vendor Details'!$H:$H,'G&amp;A Vendor x GL Analysis'!I$20,'[1]NS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Analysis'!I$20,'[1]NS Vendor Details'!$L:$L,'G&amp;A Vendor x GL Analysis'!$D84,'[1]NS Vendor Details'!$O:$O,'G&amp;A Vendor x GL Analysis'!$F84,'[1]NS Vendor Details'!$N:$N,"Direct Costs",'[1]NS Vendor Details'!$J:$J,0),IF(I$15="Actual",SUMIFS('[1]NS Vendor Details'!$D:$D,'[1]NS Vendor Details'!$H:$H,'G&amp;A Vendor x GL Analysis'!I$20,'[1]NS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Analysis'!I$20,'[1]NS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J84" s="17">
        <f>IF(AND(J$15="Actual",ISBLANK($E$8)),SUMIFS('[1]NS Vendor Details'!$D:$D,'[1]NS Vendor Details'!$H:$H,'G&amp;A Vendor x GL Analysis'!J$20,'[1]NS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Analysis'!J$20,'[1]NS Vendor Details'!$L:$L,'G&amp;A Vendor x GL Analysis'!$D84,'[1]NS Vendor Details'!$O:$O,'G&amp;A Vendor x GL Analysis'!$F84,'[1]NS Vendor Details'!$N:$N,"Direct Costs",'[1]NS Vendor Details'!$J:$J,0),IF(J$15="Actual",SUMIFS('[1]NS Vendor Details'!$D:$D,'[1]NS Vendor Details'!$H:$H,'G&amp;A Vendor x GL Analysis'!J$20,'[1]NS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Analysis'!J$20,'[1]NS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K84" s="17">
        <f>IF(AND(K$15="Actual",ISBLANK($E$8)),SUMIFS('[1]NS Vendor Details'!$D:$D,'[1]NS Vendor Details'!$H:$H,'G&amp;A Vendor x GL Analysis'!K$20,'[1]NS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Analysis'!K$20,'[1]NS Vendor Details'!$L:$L,'G&amp;A Vendor x GL Analysis'!$D84,'[1]NS Vendor Details'!$O:$O,'G&amp;A Vendor x GL Analysis'!$F84,'[1]NS Vendor Details'!$N:$N,"Direct Costs",'[1]NS Vendor Details'!$J:$J,0),IF(K$15="Actual",SUMIFS('[1]NS Vendor Details'!$D:$D,'[1]NS Vendor Details'!$H:$H,'G&amp;A Vendor x GL Analysis'!K$20,'[1]NS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Analysis'!K$20,'[1]NS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460</v>
      </c>
      <c r="L84" s="17">
        <f>IF(AND(L$15="Actual",ISBLANK($E$8)),SUMIFS('[1]NS Vendor Details'!$D:$D,'[1]NS Vendor Details'!$H:$H,'G&amp;A Vendor x GL Analysis'!L$20,'[1]NS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Analysis'!L$20,'[1]NS Vendor Details'!$L:$L,'G&amp;A Vendor x GL Analysis'!$D84,'[1]NS Vendor Details'!$O:$O,'G&amp;A Vendor x GL Analysis'!$F84,'[1]NS Vendor Details'!$N:$N,"Direct Costs",'[1]NS Vendor Details'!$J:$J,0),IF(L$15="Actual",SUMIFS('[1]NS Vendor Details'!$D:$D,'[1]NS Vendor Details'!$H:$H,'G&amp;A Vendor x GL Analysis'!L$20,'[1]NS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Analysis'!L$20,'[1]NS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M84" s="17">
        <f>IF(AND(M$15="Actual",ISBLANK($E$8)),SUMIFS('[1]NS Vendor Details'!$D:$D,'[1]NS Vendor Details'!$H:$H,'G&amp;A Vendor x GL Analysis'!M$20,'[1]NS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Analysis'!M$20,'[1]NS Vendor Details'!$L:$L,'G&amp;A Vendor x GL Analysis'!$D84,'[1]NS Vendor Details'!$O:$O,'G&amp;A Vendor x GL Analysis'!$F84,'[1]NS Vendor Details'!$N:$N,"Direct Costs",'[1]NS Vendor Details'!$J:$J,0),IF(M$15="Actual",SUMIFS('[1]NS Vendor Details'!$D:$D,'[1]NS Vendor Details'!$H:$H,'G&amp;A Vendor x GL Analysis'!M$20,'[1]NS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Analysis'!M$20,'[1]NS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N84" s="17">
        <f>IF(AND(N$15="Actual",ISBLANK($E$8)),SUMIFS('[1]NS Vendor Details'!$D:$D,'[1]NS Vendor Details'!$H:$H,'G&amp;A Vendor x GL Analysis'!N$20,'[1]NS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Analysis'!N$20,'[1]NS Vendor Details'!$L:$L,'G&amp;A Vendor x GL Analysis'!$D84,'[1]NS Vendor Details'!$O:$O,'G&amp;A Vendor x GL Analysis'!$F84,'[1]NS Vendor Details'!$N:$N,"Direct Costs",'[1]NS Vendor Details'!$J:$J,0),IF(N$15="Actual",SUMIFS('[1]NS Vendor Details'!$D:$D,'[1]NS Vendor Details'!$H:$H,'G&amp;A Vendor x GL Analysis'!N$20,'[1]NS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Analysis'!N$20,'[1]NS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O84" s="17">
        <f>IF(AND(O$15="Actual",ISBLANK($E$8)),SUMIFS('[1]NS Vendor Details'!$D:$D,'[1]NS Vendor Details'!$H:$H,'G&amp;A Vendor x GL Analysis'!O$20,'[1]NS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Analysis'!O$20,'[1]NS Vendor Details'!$L:$L,'G&amp;A Vendor x GL Analysis'!$D84,'[1]NS Vendor Details'!$O:$O,'G&amp;A Vendor x GL Analysis'!$F84,'[1]NS Vendor Details'!$N:$N,"Direct Costs",'[1]NS Vendor Details'!$J:$J,0),IF(O$15="Actual",SUMIFS('[1]NS Vendor Details'!$D:$D,'[1]NS Vendor Details'!$H:$H,'G&amp;A Vendor x GL Analysis'!O$20,'[1]NS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Analysis'!O$20,'[1]NS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P84" s="17">
        <f>IF(AND(P$15="Actual",ISBLANK($E$8)),SUMIFS('[1]NS Vendor Details'!$D:$D,'[1]NS Vendor Details'!$H:$H,'G&amp;A Vendor x GL Analysis'!P$20,'[1]NS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Analysis'!P$20,'[1]NS Vendor Details'!$L:$L,'G&amp;A Vendor x GL Analysis'!$D84,'[1]NS Vendor Details'!$O:$O,'G&amp;A Vendor x GL Analysis'!$F84,'[1]NS Vendor Details'!$N:$N,"Direct Costs",'[1]NS Vendor Details'!$J:$J,0),IF(P$15="Actual",SUMIFS('[1]NS Vendor Details'!$D:$D,'[1]NS Vendor Details'!$H:$H,'G&amp;A Vendor x GL Analysis'!P$20,'[1]NS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Analysis'!P$20,'[1]NS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Q84" s="17">
        <f>IF(AND(Q$15="Actual",ISBLANK($E$8)),SUMIFS('[1]NS Vendor Details'!$D:$D,'[1]NS Vendor Details'!$H:$H,'G&amp;A Vendor x GL Analysis'!Q$20,'[1]NS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Analysis'!Q$20,'[1]NS Vendor Details'!$L:$L,'G&amp;A Vendor x GL Analysis'!$D84,'[1]NS Vendor Details'!$O:$O,'G&amp;A Vendor x GL Analysis'!$F84,'[1]NS Vendor Details'!$N:$N,"Direct Costs",'[1]NS Vendor Details'!$J:$J,0),IF(Q$15="Actual",SUMIFS('[1]NS Vendor Details'!$D:$D,'[1]NS Vendor Details'!$H:$H,'G&amp;A Vendor x GL Analysis'!Q$20,'[1]NS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Analysis'!Q$20,'[1]NS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R84" s="18">
        <f>IF(AND(R$15="Actual",ISBLANK($E$8)),SUMIFS('[1]NS Vendor Details'!$D:$D,'[1]NS Vendor Details'!$H:$H,'G&amp;A Vendor x GL Analysis'!R$20,'[1]NS Vendor Details'!$L:$L,'G&amp;A Vendor x GL Analysis'!$D84,'[1]NS Vendor Details'!$O:$O,'G&amp;A Vendor x GL Analysis'!$F84,'[1]NS Vendor Details'!$N:$N,'G&amp;A Vendor x GL Analysis'!$C84)+SUMIFS('[1]NS Vendor Details'!$D:$D,'[1]NS Vendor Details'!$H:$H,'G&amp;A Vendor x GL Analysis'!R$20,'[1]NS Vendor Details'!$L:$L,'G&amp;A Vendor x GL Analysis'!$D84,'[1]NS Vendor Details'!$O:$O,'G&amp;A Vendor x GL Analysis'!$F84,'[1]NS Vendor Details'!$N:$N,"Direct Costs",'[1]NS Vendor Details'!$J:$J,0),IF(R$15="Actual",SUMIFS('[1]NS Vendor Details'!$D:$D,'[1]NS Vendor Details'!$H:$H,'G&amp;A Vendor x GL Analysis'!R$20,'[1]NS Vendor Details'!$L:$L,'G&amp;A Vendor x GL Analysis'!$D84,'[1]NS Vendor Details'!$O:$O,'G&amp;A Vendor x GL Analysis'!$F84,'[1]NS Vendor Details'!$N:$N,'G&amp;A Vendor x GL Analysis'!$C84,'[1]NS Vendor Details'!$K:$K,'G&amp;A Vendor x GL Analysis'!$E$8)+SUMIFS('[1]NS Vendor Details'!$D:$D,'[1]NS Vendor Details'!$H:$H,'G&amp;A Vendor x GL Analysis'!R$20,'[1]NS Vendor Details'!$L:$L,'G&amp;A Vendor x GL Analysis'!$D84,'[1]NS Vendor Details'!$O:$O,'G&amp;A Vendor x GL Analysis'!$F84,'[1]NS Vendor Details'!$N:$N,"Direct Costs",'[1]NS Vendor Details'!$J:$J,0,'[1]NS Vendor Details'!$K:$K,'G&amp;A Vendor x GL Analysis'!$E$8),0))</f>
        <v>0</v>
      </c>
      <c r="S84" s="16">
        <f>IF(AND(S$15="Actual",ISBLANK($E$8)),SUMIFS('[1]NS Vendor Details'!$D:$D,'[1]NS Vendor Details'!$H:$H,'G&amp;A Vendor x GL Analysis'!S$20,'[1]NS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Analysis'!S$20,'[1]NS Vendor Details'!$L:$L,'G&amp;A Vendor x GL Analysis'!$D84,'[1]NS Vendor Details'!$O:$O,'G&amp;A Vendor x GL Analysis'!$F84,'[1]NS Vendor Details'!$N:$N,"Direct Costs",'[1]NS Vendor Details'!$J:$J,0,'[1]NS Vendor Details'!$I:$I,'G&amp;A Vendor x GL Analysis'!$E84),IF(S$15="Actual",SUMIFS('[1]NS Vendor Details'!$D:$D,'[1]NS Vendor Details'!$H:$H,'G&amp;A Vendor x GL Analysis'!S$20,'[1]NS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Analysis'!S$20,'[1]NS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T84" s="17">
        <f>IF(AND(T$15="Actual",ISBLANK($E$8)),SUMIFS('[1]NS Vendor Details'!$D:$D,'[1]NS Vendor Details'!$H:$H,'G&amp;A Vendor x GL Analysis'!T$20,'[1]NS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Analysis'!T$20,'[1]NS Vendor Details'!$L:$L,'G&amp;A Vendor x GL Analysis'!$D84,'[1]NS Vendor Details'!$O:$O,'G&amp;A Vendor x GL Analysis'!$F84,'[1]NS Vendor Details'!$N:$N,"Direct Costs",'[1]NS Vendor Details'!$J:$J,0,'[1]NS Vendor Details'!$I:$I,'G&amp;A Vendor x GL Analysis'!$E84),IF(T$15="Actual",SUMIFS('[1]NS Vendor Details'!$D:$D,'[1]NS Vendor Details'!$H:$H,'G&amp;A Vendor x GL Analysis'!T$20,'[1]NS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Analysis'!T$20,'[1]NS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U84" s="17">
        <f>IF(AND(U$15="Actual",ISBLANK($E$8)),SUMIFS('[1]NS Vendor Details'!$D:$D,'[1]NS Vendor Details'!$H:$H,'G&amp;A Vendor x GL Analysis'!U$20,'[1]NS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Analysis'!U$20,'[1]NS Vendor Details'!$L:$L,'G&amp;A Vendor x GL Analysis'!$D84,'[1]NS Vendor Details'!$O:$O,'G&amp;A Vendor x GL Analysis'!$F84,'[1]NS Vendor Details'!$N:$N,"Direct Costs",'[1]NS Vendor Details'!$J:$J,0,'[1]NS Vendor Details'!$I:$I,'G&amp;A Vendor x GL Analysis'!$E84),IF(U$15="Actual",SUMIFS('[1]NS Vendor Details'!$D:$D,'[1]NS Vendor Details'!$H:$H,'G&amp;A Vendor x GL Analysis'!U$20,'[1]NS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Analysis'!U$20,'[1]NS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V84" s="17">
        <f>IF(AND(V$15="Actual",ISBLANK($E$8)),SUMIFS('[1]NS Vendor Details'!$D:$D,'[1]NS Vendor Details'!$H:$H,'G&amp;A Vendor x GL Analysis'!V$20,'[1]NS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Analysis'!V$20,'[1]NS Vendor Details'!$L:$L,'G&amp;A Vendor x GL Analysis'!$D84,'[1]NS Vendor Details'!$O:$O,'G&amp;A Vendor x GL Analysis'!$F84,'[1]NS Vendor Details'!$N:$N,"Direct Costs",'[1]NS Vendor Details'!$J:$J,0,'[1]NS Vendor Details'!$I:$I,'G&amp;A Vendor x GL Analysis'!$E84),IF(V$15="Actual",SUMIFS('[1]NS Vendor Details'!$D:$D,'[1]NS Vendor Details'!$H:$H,'G&amp;A Vendor x GL Analysis'!V$20,'[1]NS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Analysis'!V$20,'[1]NS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W84" s="17">
        <f>IF(AND(W$15="Actual",ISBLANK($E$8)),SUMIFS('[1]NS Vendor Details'!$D:$D,'[1]NS Vendor Details'!$H:$H,'G&amp;A Vendor x GL Analysis'!W$20,'[1]NS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Analysis'!W$20,'[1]NS Vendor Details'!$L:$L,'G&amp;A Vendor x GL Analysis'!$D84,'[1]NS Vendor Details'!$O:$O,'G&amp;A Vendor x GL Analysis'!$F84,'[1]NS Vendor Details'!$N:$N,"Direct Costs",'[1]NS Vendor Details'!$J:$J,0,'[1]NS Vendor Details'!$I:$I,'G&amp;A Vendor x GL Analysis'!$E84),IF(W$15="Actual",SUMIFS('[1]NS Vendor Details'!$D:$D,'[1]NS Vendor Details'!$H:$H,'G&amp;A Vendor x GL Analysis'!W$20,'[1]NS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Analysis'!W$20,'[1]NS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115</v>
      </c>
      <c r="X84" s="17">
        <f>IF(AND(X$15="Actual",ISBLANK($E$8)),SUMIFS('[1]NS Vendor Details'!$D:$D,'[1]NS Vendor Details'!$H:$H,'G&amp;A Vendor x GL Analysis'!X$20,'[1]NS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Analysis'!X$20,'[1]NS Vendor Details'!$L:$L,'G&amp;A Vendor x GL Analysis'!$D84,'[1]NS Vendor Details'!$O:$O,'G&amp;A Vendor x GL Analysis'!$F84,'[1]NS Vendor Details'!$N:$N,"Direct Costs",'[1]NS Vendor Details'!$J:$J,0,'[1]NS Vendor Details'!$I:$I,'G&amp;A Vendor x GL Analysis'!$E84),IF(X$15="Actual",SUMIFS('[1]NS Vendor Details'!$D:$D,'[1]NS Vendor Details'!$H:$H,'G&amp;A Vendor x GL Analysis'!X$20,'[1]NS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Analysis'!X$20,'[1]NS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Y84" s="17">
        <f>IF(AND(Y$15="Actual",ISBLANK($E$8)),SUMIFS('[1]NS Vendor Details'!$D:$D,'[1]NS Vendor Details'!$H:$H,'G&amp;A Vendor x GL Analysis'!Y$20,'[1]NS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Analysis'!Y$20,'[1]NS Vendor Details'!$L:$L,'G&amp;A Vendor x GL Analysis'!$D84,'[1]NS Vendor Details'!$O:$O,'G&amp;A Vendor x GL Analysis'!$F84,'[1]NS Vendor Details'!$N:$N,"Direct Costs",'[1]NS Vendor Details'!$J:$J,0,'[1]NS Vendor Details'!$I:$I,'G&amp;A Vendor x GL Analysis'!$E84),IF(Y$15="Actual",SUMIFS('[1]NS Vendor Details'!$D:$D,'[1]NS Vendor Details'!$H:$H,'G&amp;A Vendor x GL Analysis'!Y$20,'[1]NS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Analysis'!Y$20,'[1]NS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Z84" s="17">
        <f>IF(AND(Z$15="Actual",ISBLANK($E$8)),SUMIFS('[1]NS Vendor Details'!$D:$D,'[1]NS Vendor Details'!$H:$H,'G&amp;A Vendor x GL Analysis'!Z$20,'[1]NS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Analysis'!Z$20,'[1]NS Vendor Details'!$L:$L,'G&amp;A Vendor x GL Analysis'!$D84,'[1]NS Vendor Details'!$O:$O,'G&amp;A Vendor x GL Analysis'!$F84,'[1]NS Vendor Details'!$N:$N,"Direct Costs",'[1]NS Vendor Details'!$J:$J,0,'[1]NS Vendor Details'!$I:$I,'G&amp;A Vendor x GL Analysis'!$E84),IF(Z$15="Actual",SUMIFS('[1]NS Vendor Details'!$D:$D,'[1]NS Vendor Details'!$H:$H,'G&amp;A Vendor x GL Analysis'!Z$20,'[1]NS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Analysis'!Z$20,'[1]NS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AA84" s="17">
        <f>IF(AND(AA$15="Actual",ISBLANK($E$8)),SUMIFS('[1]NS Vendor Details'!$D:$D,'[1]NS Vendor Details'!$H:$H,'G&amp;A Vendor x GL Analysis'!AA$20,'[1]NS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Analysis'!AA$20,'[1]NS Vendor Details'!$L:$L,'G&amp;A Vendor x GL Analysis'!$D84,'[1]NS Vendor Details'!$O:$O,'G&amp;A Vendor x GL Analysis'!$F84,'[1]NS Vendor Details'!$N:$N,"Direct Costs",'[1]NS Vendor Details'!$J:$J,0,'[1]NS Vendor Details'!$I:$I,'G&amp;A Vendor x GL Analysis'!$E84),IF(AA$15="Actual",SUMIFS('[1]NS Vendor Details'!$D:$D,'[1]NS Vendor Details'!$H:$H,'G&amp;A Vendor x GL Analysis'!AA$20,'[1]NS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Analysis'!AA$20,'[1]NS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AB84" s="17">
        <f>IF(AND(AB$15="Actual",ISBLANK($E$8)),SUMIFS('[1]NS Vendor Details'!$D:$D,'[1]NS Vendor Details'!$H:$H,'G&amp;A Vendor x GL Analysis'!AB$20,'[1]NS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Analysis'!AB$20,'[1]NS Vendor Details'!$L:$L,'G&amp;A Vendor x GL Analysis'!$D84,'[1]NS Vendor Details'!$O:$O,'G&amp;A Vendor x GL Analysis'!$F84,'[1]NS Vendor Details'!$N:$N,"Direct Costs",'[1]NS Vendor Details'!$J:$J,0,'[1]NS Vendor Details'!$I:$I,'G&amp;A Vendor x GL Analysis'!$E84),IF(AB$15="Actual",SUMIFS('[1]NS Vendor Details'!$D:$D,'[1]NS Vendor Details'!$H:$H,'G&amp;A Vendor x GL Analysis'!AB$20,'[1]NS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Analysis'!AB$20,'[1]NS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AC84" s="18">
        <f>IF(AND(AC$15="Actual",ISBLANK($E$8)),SUMIFS('[1]NS Vendor Details'!$D:$D,'[1]NS Vendor Details'!$H:$H,'G&amp;A Vendor x GL Analysis'!AC$20,'[1]NS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Analysis'!AC$20,'[1]NS Vendor Details'!$L:$L,'G&amp;A Vendor x GL Analysis'!$D84,'[1]NS Vendor Details'!$O:$O,'G&amp;A Vendor x GL Analysis'!$F84,'[1]NS Vendor Details'!$N:$N,"Direct Costs",'[1]NS Vendor Details'!$J:$J,0,'[1]NS Vendor Details'!$I:$I,'G&amp;A Vendor x GL Analysis'!$E84),IF(AC$15="Actual",SUMIFS('[1]NS Vendor Details'!$D:$D,'[1]NS Vendor Details'!$H:$H,'G&amp;A Vendor x GL Analysis'!AC$20,'[1]NS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Analysis'!AC$20,'[1]NS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AD84" s="18">
        <f>IF(AND(AD$15="Actual",ISBLANK($E$8)),SUMIFS('[1]NS Vendor Details'!$D:$D,'[1]NS Vendor Details'!$H:$H,'G&amp;A Vendor x GL Analysis'!AD$20,'[1]NS Vendor Details'!$L:$L,'G&amp;A Vendor x GL Analysis'!$D84,'[1]NS Vendor Details'!$O:$O,'G&amp;A Vendor x GL Analysis'!$F84,'[1]NS Vendor Details'!$N:$N,'G&amp;A Vendor x GL Analysis'!$C84,'[1]NS Vendor Details'!$I:$I,'G&amp;A Vendor x GL Analysis'!$E84)+SUMIFS('[1]NS Vendor Details'!$D:$D,'[1]NS Vendor Details'!$H:$H,'G&amp;A Vendor x GL Analysis'!AD$20,'[1]NS Vendor Details'!$L:$L,'G&amp;A Vendor x GL Analysis'!$D84,'[1]NS Vendor Details'!$O:$O,'G&amp;A Vendor x GL Analysis'!$F84,'[1]NS Vendor Details'!$N:$N,"Direct Costs",'[1]NS Vendor Details'!$J:$J,0,'[1]NS Vendor Details'!$I:$I,'G&amp;A Vendor x GL Analysis'!$E84),IF(AD$15="Actual",SUMIFS('[1]NS Vendor Details'!$D:$D,'[1]NS Vendor Details'!$H:$H,'G&amp;A Vendor x GL Analysis'!AD$20,'[1]NS Vendor Details'!$L:$L,'G&amp;A Vendor x GL Analysis'!$D84,'[1]NS Vendor Details'!$O:$O,'G&amp;A Vendor x GL Analysis'!$F84,'[1]NS Vendor Details'!$N:$N,'G&amp;A Vendor x GL Analysis'!$C84,'[1]NS Vendor Details'!$K:$K,'G&amp;A Vendor x GL Analysis'!$E$8,'[1]NS Vendor Details'!$I:$I,'G&amp;A Vendor x GL Analysis'!$E84)+SUMIFS('[1]NS Vendor Details'!$D:$D,'[1]NS Vendor Details'!$H:$H,'G&amp;A Vendor x GL Analysis'!AD$20,'[1]NS Vendor Details'!$L:$L,'G&amp;A Vendor x GL Analysis'!$D84,'[1]NS Vendor Details'!$O:$O,'G&amp;A Vendor x GL Analysis'!$F84,'[1]NS Vendor Details'!$N:$N,"Direct Costs",'[1]NS Vendor Details'!$J:$J,0,'[1]NS Vendor Details'!$K:$K,'G&amp;A Vendor x GL Analysis'!$E$8,'[1]NS Vendor Details'!$I:$I,'G&amp;A Vendor x GL Analysis'!$E84),0))</f>
        <v>0</v>
      </c>
      <c r="AF84" s="19">
        <f t="shared" si="9"/>
        <v>115</v>
      </c>
    </row>
    <row r="85" spans="1:32" outlineLevel="1">
      <c r="A85" s="8" t="str">
        <f t="shared" si="8"/>
        <v>Professional Service6225 - Professional Services</v>
      </c>
      <c r="C85" s="8" t="s">
        <v>11</v>
      </c>
      <c r="D85" s="8" t="str">
        <f t="shared" si="21"/>
        <v>Professional Service</v>
      </c>
      <c r="E85" s="2" t="s">
        <v>75</v>
      </c>
      <c r="F85" s="2" t="s">
        <v>79</v>
      </c>
      <c r="G85" s="16">
        <f>IF(AND(G$15="Actual",ISBLANK($E$8)),SUMIFS('[1]NS Vendor Details'!$D:$D,'[1]NS Vendor Details'!$H:$H,'G&amp;A Vendor x GL Analysis'!G$20,'[1]NS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Analysis'!G$20,'[1]NS Vendor Details'!$L:$L,'G&amp;A Vendor x GL Analysis'!$D85,'[1]NS Vendor Details'!$O:$O,'G&amp;A Vendor x GL Analysis'!$F85,'[1]NS Vendor Details'!$N:$N,"Direct Costs",'[1]NS Vendor Details'!$J:$J,0),IF(G$15="Actual",SUMIFS('[1]NS Vendor Details'!$D:$D,'[1]NS Vendor Details'!$H:$H,'G&amp;A Vendor x GL Analysis'!G$20,'[1]NS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Analysis'!G$20,'[1]NS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4297.1000000000004</v>
      </c>
      <c r="H85" s="17">
        <f>IF(AND(H$15="Actual",ISBLANK($E$8)),SUMIFS('[1]NS Vendor Details'!$D:$D,'[1]NS Vendor Details'!$H:$H,'G&amp;A Vendor x GL Analysis'!H$20,'[1]NS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Analysis'!H$20,'[1]NS Vendor Details'!$L:$L,'G&amp;A Vendor x GL Analysis'!$D85,'[1]NS Vendor Details'!$O:$O,'G&amp;A Vendor x GL Analysis'!$F85,'[1]NS Vendor Details'!$N:$N,"Direct Costs",'[1]NS Vendor Details'!$J:$J,0),IF(H$15="Actual",SUMIFS('[1]NS Vendor Details'!$D:$D,'[1]NS Vendor Details'!$H:$H,'G&amp;A Vendor x GL Analysis'!H$20,'[1]NS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Analysis'!H$20,'[1]NS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3924.1</v>
      </c>
      <c r="I85" s="17">
        <f>IF(AND(I$15="Actual",ISBLANK($E$8)),SUMIFS('[1]NS Vendor Details'!$D:$D,'[1]NS Vendor Details'!$H:$H,'G&amp;A Vendor x GL Analysis'!I$20,'[1]NS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Analysis'!I$20,'[1]NS Vendor Details'!$L:$L,'G&amp;A Vendor x GL Analysis'!$D85,'[1]NS Vendor Details'!$O:$O,'G&amp;A Vendor x GL Analysis'!$F85,'[1]NS Vendor Details'!$N:$N,"Direct Costs",'[1]NS Vendor Details'!$J:$J,0),IF(I$15="Actual",SUMIFS('[1]NS Vendor Details'!$D:$D,'[1]NS Vendor Details'!$H:$H,'G&amp;A Vendor x GL Analysis'!I$20,'[1]NS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Analysis'!I$20,'[1]NS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3924.1</v>
      </c>
      <c r="J85" s="17">
        <f>IF(AND(J$15="Actual",ISBLANK($E$8)),SUMIFS('[1]NS Vendor Details'!$D:$D,'[1]NS Vendor Details'!$H:$H,'G&amp;A Vendor x GL Analysis'!J$20,'[1]NS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Analysis'!J$20,'[1]NS Vendor Details'!$L:$L,'G&amp;A Vendor x GL Analysis'!$D85,'[1]NS Vendor Details'!$O:$O,'G&amp;A Vendor x GL Analysis'!$F85,'[1]NS Vendor Details'!$N:$N,"Direct Costs",'[1]NS Vendor Details'!$J:$J,0),IF(J$15="Actual",SUMIFS('[1]NS Vendor Details'!$D:$D,'[1]NS Vendor Details'!$H:$H,'G&amp;A Vendor x GL Analysis'!J$20,'[1]NS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Analysis'!J$20,'[1]NS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3920.5</v>
      </c>
      <c r="K85" s="17">
        <f>IF(AND(K$15="Actual",ISBLANK($E$8)),SUMIFS('[1]NS Vendor Details'!$D:$D,'[1]NS Vendor Details'!$H:$H,'G&amp;A Vendor x GL Analysis'!K$20,'[1]NS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Analysis'!K$20,'[1]NS Vendor Details'!$L:$L,'G&amp;A Vendor x GL Analysis'!$D85,'[1]NS Vendor Details'!$O:$O,'G&amp;A Vendor x GL Analysis'!$F85,'[1]NS Vendor Details'!$N:$N,"Direct Costs",'[1]NS Vendor Details'!$J:$J,0),IF(K$15="Actual",SUMIFS('[1]NS Vendor Details'!$D:$D,'[1]NS Vendor Details'!$H:$H,'G&amp;A Vendor x GL Analysis'!K$20,'[1]NS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Analysis'!K$20,'[1]NS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3920.5</v>
      </c>
      <c r="L85" s="17">
        <f>IF(AND(L$15="Actual",ISBLANK($E$8)),SUMIFS('[1]NS Vendor Details'!$D:$D,'[1]NS Vendor Details'!$H:$H,'G&amp;A Vendor x GL Analysis'!L$20,'[1]NS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Analysis'!L$20,'[1]NS Vendor Details'!$L:$L,'G&amp;A Vendor x GL Analysis'!$D85,'[1]NS Vendor Details'!$O:$O,'G&amp;A Vendor x GL Analysis'!$F85,'[1]NS Vendor Details'!$N:$N,"Direct Costs",'[1]NS Vendor Details'!$J:$J,0),IF(L$15="Actual",SUMIFS('[1]NS Vendor Details'!$D:$D,'[1]NS Vendor Details'!$H:$H,'G&amp;A Vendor x GL Analysis'!L$20,'[1]NS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Analysis'!L$20,'[1]NS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3920.5</v>
      </c>
      <c r="M85" s="17">
        <f>IF(AND(M$15="Actual",ISBLANK($E$8)),SUMIFS('[1]NS Vendor Details'!$D:$D,'[1]NS Vendor Details'!$H:$H,'G&amp;A Vendor x GL Analysis'!M$20,'[1]NS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Analysis'!M$20,'[1]NS Vendor Details'!$L:$L,'G&amp;A Vendor x GL Analysis'!$D85,'[1]NS Vendor Details'!$O:$O,'G&amp;A Vendor x GL Analysis'!$F85,'[1]NS Vendor Details'!$N:$N,"Direct Costs",'[1]NS Vendor Details'!$J:$J,0),IF(M$15="Actual",SUMIFS('[1]NS Vendor Details'!$D:$D,'[1]NS Vendor Details'!$H:$H,'G&amp;A Vendor x GL Analysis'!M$20,'[1]NS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Analysis'!M$20,'[1]NS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3920.5</v>
      </c>
      <c r="N85" s="17">
        <f>IF(AND(N$15="Actual",ISBLANK($E$8)),SUMIFS('[1]NS Vendor Details'!$D:$D,'[1]NS Vendor Details'!$H:$H,'G&amp;A Vendor x GL Analysis'!N$20,'[1]NS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Analysis'!N$20,'[1]NS Vendor Details'!$L:$L,'G&amp;A Vendor x GL Analysis'!$D85,'[1]NS Vendor Details'!$O:$O,'G&amp;A Vendor x GL Analysis'!$F85,'[1]NS Vendor Details'!$N:$N,"Direct Costs",'[1]NS Vendor Details'!$J:$J,0),IF(N$15="Actual",SUMIFS('[1]NS Vendor Details'!$D:$D,'[1]NS Vendor Details'!$H:$H,'G&amp;A Vendor x GL Analysis'!N$20,'[1]NS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Analysis'!N$20,'[1]NS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3920.5</v>
      </c>
      <c r="O85" s="17">
        <f>IF(AND(O$15="Actual",ISBLANK($E$8)),SUMIFS('[1]NS Vendor Details'!$D:$D,'[1]NS Vendor Details'!$H:$H,'G&amp;A Vendor x GL Analysis'!O$20,'[1]NS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Analysis'!O$20,'[1]NS Vendor Details'!$L:$L,'G&amp;A Vendor x GL Analysis'!$D85,'[1]NS Vendor Details'!$O:$O,'G&amp;A Vendor x GL Analysis'!$F85,'[1]NS Vendor Details'!$N:$N,"Direct Costs",'[1]NS Vendor Details'!$J:$J,0),IF(O$15="Actual",SUMIFS('[1]NS Vendor Details'!$D:$D,'[1]NS Vendor Details'!$H:$H,'G&amp;A Vendor x GL Analysis'!O$20,'[1]NS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Analysis'!O$20,'[1]NS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3920.5</v>
      </c>
      <c r="P85" s="17">
        <f>IF(AND(P$15="Actual",ISBLANK($E$8)),SUMIFS('[1]NS Vendor Details'!$D:$D,'[1]NS Vendor Details'!$H:$H,'G&amp;A Vendor x GL Analysis'!P$20,'[1]NS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Analysis'!P$20,'[1]NS Vendor Details'!$L:$L,'G&amp;A Vendor x GL Analysis'!$D85,'[1]NS Vendor Details'!$O:$O,'G&amp;A Vendor x GL Analysis'!$F85,'[1]NS Vendor Details'!$N:$N,"Direct Costs",'[1]NS Vendor Details'!$J:$J,0),IF(P$15="Actual",SUMIFS('[1]NS Vendor Details'!$D:$D,'[1]NS Vendor Details'!$H:$H,'G&amp;A Vendor x GL Analysis'!P$20,'[1]NS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Analysis'!P$20,'[1]NS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3920.5</v>
      </c>
      <c r="Q85" s="17">
        <f>IF(AND(Q$15="Actual",ISBLANK($E$8)),SUMIFS('[1]NS Vendor Details'!$D:$D,'[1]NS Vendor Details'!$H:$H,'G&amp;A Vendor x GL Analysis'!Q$20,'[1]NS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Analysis'!Q$20,'[1]NS Vendor Details'!$L:$L,'G&amp;A Vendor x GL Analysis'!$D85,'[1]NS Vendor Details'!$O:$O,'G&amp;A Vendor x GL Analysis'!$F85,'[1]NS Vendor Details'!$N:$N,"Direct Costs",'[1]NS Vendor Details'!$J:$J,0),IF(Q$15="Actual",SUMIFS('[1]NS Vendor Details'!$D:$D,'[1]NS Vendor Details'!$H:$H,'G&amp;A Vendor x GL Analysis'!Q$20,'[1]NS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Analysis'!Q$20,'[1]NS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3292</v>
      </c>
      <c r="R85" s="18">
        <f>IF(AND(R$15="Actual",ISBLANK($E$8)),SUMIFS('[1]NS Vendor Details'!$D:$D,'[1]NS Vendor Details'!$H:$H,'G&amp;A Vendor x GL Analysis'!R$20,'[1]NS Vendor Details'!$L:$L,'G&amp;A Vendor x GL Analysis'!$D85,'[1]NS Vendor Details'!$O:$O,'G&amp;A Vendor x GL Analysis'!$F85,'[1]NS Vendor Details'!$N:$N,'G&amp;A Vendor x GL Analysis'!$C85)+SUMIFS('[1]NS Vendor Details'!$D:$D,'[1]NS Vendor Details'!$H:$H,'G&amp;A Vendor x GL Analysis'!R$20,'[1]NS Vendor Details'!$L:$L,'G&amp;A Vendor x GL Analysis'!$D85,'[1]NS Vendor Details'!$O:$O,'G&amp;A Vendor x GL Analysis'!$F85,'[1]NS Vendor Details'!$N:$N,"Direct Costs",'[1]NS Vendor Details'!$J:$J,0),IF(R$15="Actual",SUMIFS('[1]NS Vendor Details'!$D:$D,'[1]NS Vendor Details'!$H:$H,'G&amp;A Vendor x GL Analysis'!R$20,'[1]NS Vendor Details'!$L:$L,'G&amp;A Vendor x GL Analysis'!$D85,'[1]NS Vendor Details'!$O:$O,'G&amp;A Vendor x GL Analysis'!$F85,'[1]NS Vendor Details'!$N:$N,'G&amp;A Vendor x GL Analysis'!$C85,'[1]NS Vendor Details'!$K:$K,'G&amp;A Vendor x GL Analysis'!$E$8)+SUMIFS('[1]NS Vendor Details'!$D:$D,'[1]NS Vendor Details'!$H:$H,'G&amp;A Vendor x GL Analysis'!R$20,'[1]NS Vendor Details'!$L:$L,'G&amp;A Vendor x GL Analysis'!$D85,'[1]NS Vendor Details'!$O:$O,'G&amp;A Vendor x GL Analysis'!$F85,'[1]NS Vendor Details'!$N:$N,"Direct Costs",'[1]NS Vendor Details'!$J:$J,0,'[1]NS Vendor Details'!$K:$K,'G&amp;A Vendor x GL Analysis'!$E$8),0))</f>
        <v>3292</v>
      </c>
      <c r="S85" s="16">
        <f>IF(AND(S$15="Actual",ISBLANK($E$8)),SUMIFS('[1]NS Vendor Details'!$D:$D,'[1]NS Vendor Details'!$H:$H,'G&amp;A Vendor x GL Analysis'!S$20,'[1]NS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Analysis'!S$20,'[1]NS Vendor Details'!$L:$L,'G&amp;A Vendor x GL Analysis'!$D85,'[1]NS Vendor Details'!$O:$O,'G&amp;A Vendor x GL Analysis'!$F85,'[1]NS Vendor Details'!$N:$N,"Direct Costs",'[1]NS Vendor Details'!$J:$J,0,'[1]NS Vendor Details'!$I:$I,'G&amp;A Vendor x GL Analysis'!$E85),IF(S$15="Actual",SUMIFS('[1]NS Vendor Details'!$D:$D,'[1]NS Vendor Details'!$H:$H,'G&amp;A Vendor x GL Analysis'!S$20,'[1]NS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Analysis'!S$20,'[1]NS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</v>
      </c>
      <c r="T85" s="17">
        <f>IF(AND(T$15="Actual",ISBLANK($E$8)),SUMIFS('[1]NS Vendor Details'!$D:$D,'[1]NS Vendor Details'!$H:$H,'G&amp;A Vendor x GL Analysis'!T$20,'[1]NS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Analysis'!T$20,'[1]NS Vendor Details'!$L:$L,'G&amp;A Vendor x GL Analysis'!$D85,'[1]NS Vendor Details'!$O:$O,'G&amp;A Vendor x GL Analysis'!$F85,'[1]NS Vendor Details'!$N:$N,"Direct Costs",'[1]NS Vendor Details'!$J:$J,0,'[1]NS Vendor Details'!$I:$I,'G&amp;A Vendor x GL Analysis'!$E85),IF(T$15="Actual",SUMIFS('[1]NS Vendor Details'!$D:$D,'[1]NS Vendor Details'!$H:$H,'G&amp;A Vendor x GL Analysis'!T$20,'[1]NS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Analysis'!T$20,'[1]NS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</v>
      </c>
      <c r="U85" s="17">
        <f>IF(AND(U$15="Actual",ISBLANK($E$8)),SUMIFS('[1]NS Vendor Details'!$D:$D,'[1]NS Vendor Details'!$H:$H,'G&amp;A Vendor x GL Analysis'!U$20,'[1]NS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Analysis'!U$20,'[1]NS Vendor Details'!$L:$L,'G&amp;A Vendor x GL Analysis'!$D85,'[1]NS Vendor Details'!$O:$O,'G&amp;A Vendor x GL Analysis'!$F85,'[1]NS Vendor Details'!$N:$N,"Direct Costs",'[1]NS Vendor Details'!$J:$J,0,'[1]NS Vendor Details'!$I:$I,'G&amp;A Vendor x GL Analysis'!$E85),IF(U$15="Actual",SUMIFS('[1]NS Vendor Details'!$D:$D,'[1]NS Vendor Details'!$H:$H,'G&amp;A Vendor x GL Analysis'!U$20,'[1]NS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Analysis'!U$20,'[1]NS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</v>
      </c>
      <c r="V85" s="17">
        <f>IF(AND(V$15="Actual",ISBLANK($E$8)),SUMIFS('[1]NS Vendor Details'!$D:$D,'[1]NS Vendor Details'!$H:$H,'G&amp;A Vendor x GL Analysis'!V$20,'[1]NS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Analysis'!V$20,'[1]NS Vendor Details'!$L:$L,'G&amp;A Vendor x GL Analysis'!$D85,'[1]NS Vendor Details'!$O:$O,'G&amp;A Vendor x GL Analysis'!$F85,'[1]NS Vendor Details'!$N:$N,"Direct Costs",'[1]NS Vendor Details'!$J:$J,0,'[1]NS Vendor Details'!$I:$I,'G&amp;A Vendor x GL Analysis'!$E85),IF(V$15="Actual",SUMIFS('[1]NS Vendor Details'!$D:$D,'[1]NS Vendor Details'!$H:$H,'G&amp;A Vendor x GL Analysis'!V$20,'[1]NS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Analysis'!V$20,'[1]NS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</v>
      </c>
      <c r="W85" s="17">
        <f>IF(AND(W$15="Actual",ISBLANK($E$8)),SUMIFS('[1]NS Vendor Details'!$D:$D,'[1]NS Vendor Details'!$H:$H,'G&amp;A Vendor x GL Analysis'!W$20,'[1]NS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Analysis'!W$20,'[1]NS Vendor Details'!$L:$L,'G&amp;A Vendor x GL Analysis'!$D85,'[1]NS Vendor Details'!$O:$O,'G&amp;A Vendor x GL Analysis'!$F85,'[1]NS Vendor Details'!$N:$N,"Direct Costs",'[1]NS Vendor Details'!$J:$J,0,'[1]NS Vendor Details'!$I:$I,'G&amp;A Vendor x GL Analysis'!$E85),IF(W$15="Actual",SUMIFS('[1]NS Vendor Details'!$D:$D,'[1]NS Vendor Details'!$H:$H,'G&amp;A Vendor x GL Analysis'!W$20,'[1]NS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Analysis'!W$20,'[1]NS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3292.9</v>
      </c>
      <c r="X85" s="17">
        <f>IF(AND(X$15="Actual",ISBLANK($E$8)),SUMIFS('[1]NS Vendor Details'!$D:$D,'[1]NS Vendor Details'!$H:$H,'G&amp;A Vendor x GL Analysis'!X$20,'[1]NS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Analysis'!X$20,'[1]NS Vendor Details'!$L:$L,'G&amp;A Vendor x GL Analysis'!$D85,'[1]NS Vendor Details'!$O:$O,'G&amp;A Vendor x GL Analysis'!$F85,'[1]NS Vendor Details'!$N:$N,"Direct Costs",'[1]NS Vendor Details'!$J:$J,0,'[1]NS Vendor Details'!$I:$I,'G&amp;A Vendor x GL Analysis'!$E85),IF(X$15="Actual",SUMIFS('[1]NS Vendor Details'!$D:$D,'[1]NS Vendor Details'!$H:$H,'G&amp;A Vendor x GL Analysis'!X$20,'[1]NS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Analysis'!X$20,'[1]NS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3292.9</v>
      </c>
      <c r="Y85" s="17">
        <f>IF(AND(Y$15="Actual",ISBLANK($E$8)),SUMIFS('[1]NS Vendor Details'!$D:$D,'[1]NS Vendor Details'!$H:$H,'G&amp;A Vendor x GL Analysis'!Y$20,'[1]NS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Analysis'!Y$20,'[1]NS Vendor Details'!$L:$L,'G&amp;A Vendor x GL Analysis'!$D85,'[1]NS Vendor Details'!$O:$O,'G&amp;A Vendor x GL Analysis'!$F85,'[1]NS Vendor Details'!$N:$N,"Direct Costs",'[1]NS Vendor Details'!$J:$J,0,'[1]NS Vendor Details'!$I:$I,'G&amp;A Vendor x GL Analysis'!$E85),IF(Y$15="Actual",SUMIFS('[1]NS Vendor Details'!$D:$D,'[1]NS Vendor Details'!$H:$H,'G&amp;A Vendor x GL Analysis'!Y$20,'[1]NS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Analysis'!Y$20,'[1]NS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3292.9</v>
      </c>
      <c r="Z85" s="17">
        <f>IF(AND(Z$15="Actual",ISBLANK($E$8)),SUMIFS('[1]NS Vendor Details'!$D:$D,'[1]NS Vendor Details'!$H:$H,'G&amp;A Vendor x GL Analysis'!Z$20,'[1]NS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Analysis'!Z$20,'[1]NS Vendor Details'!$L:$L,'G&amp;A Vendor x GL Analysis'!$D85,'[1]NS Vendor Details'!$O:$O,'G&amp;A Vendor x GL Analysis'!$F85,'[1]NS Vendor Details'!$N:$N,"Direct Costs",'[1]NS Vendor Details'!$J:$J,0,'[1]NS Vendor Details'!$I:$I,'G&amp;A Vendor x GL Analysis'!$E85),IF(Z$15="Actual",SUMIFS('[1]NS Vendor Details'!$D:$D,'[1]NS Vendor Details'!$H:$H,'G&amp;A Vendor x GL Analysis'!Z$20,'[1]NS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Analysis'!Z$20,'[1]NS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3292.9</v>
      </c>
      <c r="AA85" s="17">
        <f>IF(AND(AA$15="Actual",ISBLANK($E$8)),SUMIFS('[1]NS Vendor Details'!$D:$D,'[1]NS Vendor Details'!$H:$H,'G&amp;A Vendor x GL Analysis'!AA$20,'[1]NS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Analysis'!AA$20,'[1]NS Vendor Details'!$L:$L,'G&amp;A Vendor x GL Analysis'!$D85,'[1]NS Vendor Details'!$O:$O,'G&amp;A Vendor x GL Analysis'!$F85,'[1]NS Vendor Details'!$N:$N,"Direct Costs",'[1]NS Vendor Details'!$J:$J,0,'[1]NS Vendor Details'!$I:$I,'G&amp;A Vendor x GL Analysis'!$E85),IF(AA$15="Actual",SUMIFS('[1]NS Vendor Details'!$D:$D,'[1]NS Vendor Details'!$H:$H,'G&amp;A Vendor x GL Analysis'!AA$20,'[1]NS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Analysis'!AA$20,'[1]NS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3292.9</v>
      </c>
      <c r="AB85" s="17">
        <f>IF(AND(AB$15="Actual",ISBLANK($E$8)),SUMIFS('[1]NS Vendor Details'!$D:$D,'[1]NS Vendor Details'!$H:$H,'G&amp;A Vendor x GL Analysis'!AB$20,'[1]NS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Analysis'!AB$20,'[1]NS Vendor Details'!$L:$L,'G&amp;A Vendor x GL Analysis'!$D85,'[1]NS Vendor Details'!$O:$O,'G&amp;A Vendor x GL Analysis'!$F85,'[1]NS Vendor Details'!$N:$N,"Direct Costs",'[1]NS Vendor Details'!$J:$J,0,'[1]NS Vendor Details'!$I:$I,'G&amp;A Vendor x GL Analysis'!$E85),IF(AB$15="Actual",SUMIFS('[1]NS Vendor Details'!$D:$D,'[1]NS Vendor Details'!$H:$H,'G&amp;A Vendor x GL Analysis'!AB$20,'[1]NS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Analysis'!AB$20,'[1]NS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3292.9</v>
      </c>
      <c r="AC85" s="18">
        <f>IF(AND(AC$15="Actual",ISBLANK($E$8)),SUMIFS('[1]NS Vendor Details'!$D:$D,'[1]NS Vendor Details'!$H:$H,'G&amp;A Vendor x GL Analysis'!AC$20,'[1]NS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Analysis'!AC$20,'[1]NS Vendor Details'!$L:$L,'G&amp;A Vendor x GL Analysis'!$D85,'[1]NS Vendor Details'!$O:$O,'G&amp;A Vendor x GL Analysis'!$F85,'[1]NS Vendor Details'!$N:$N,"Direct Costs",'[1]NS Vendor Details'!$J:$J,0,'[1]NS Vendor Details'!$I:$I,'G&amp;A Vendor x GL Analysis'!$E85),IF(AC$15="Actual",SUMIFS('[1]NS Vendor Details'!$D:$D,'[1]NS Vendor Details'!$H:$H,'G&amp;A Vendor x GL Analysis'!AC$20,'[1]NS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Analysis'!AC$20,'[1]NS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3292.9</v>
      </c>
      <c r="AD85" s="18">
        <f>IF(AND(AD$15="Actual",ISBLANK($E$8)),SUMIFS('[1]NS Vendor Details'!$D:$D,'[1]NS Vendor Details'!$H:$H,'G&amp;A Vendor x GL Analysis'!AD$20,'[1]NS Vendor Details'!$L:$L,'G&amp;A Vendor x GL Analysis'!$D85,'[1]NS Vendor Details'!$O:$O,'G&amp;A Vendor x GL Analysis'!$F85,'[1]NS Vendor Details'!$N:$N,'G&amp;A Vendor x GL Analysis'!$C85,'[1]NS Vendor Details'!$I:$I,'G&amp;A Vendor x GL Analysis'!$E85)+SUMIFS('[1]NS Vendor Details'!$D:$D,'[1]NS Vendor Details'!$H:$H,'G&amp;A Vendor x GL Analysis'!AD$20,'[1]NS Vendor Details'!$L:$L,'G&amp;A Vendor x GL Analysis'!$D85,'[1]NS Vendor Details'!$O:$O,'G&amp;A Vendor x GL Analysis'!$F85,'[1]NS Vendor Details'!$N:$N,"Direct Costs",'[1]NS Vendor Details'!$J:$J,0,'[1]NS Vendor Details'!$I:$I,'G&amp;A Vendor x GL Analysis'!$E85),IF(AD$15="Actual",SUMIFS('[1]NS Vendor Details'!$D:$D,'[1]NS Vendor Details'!$H:$H,'G&amp;A Vendor x GL Analysis'!AD$20,'[1]NS Vendor Details'!$L:$L,'G&amp;A Vendor x GL Analysis'!$D85,'[1]NS Vendor Details'!$O:$O,'G&amp;A Vendor x GL Analysis'!$F85,'[1]NS Vendor Details'!$N:$N,'G&amp;A Vendor x GL Analysis'!$C85,'[1]NS Vendor Details'!$K:$K,'G&amp;A Vendor x GL Analysis'!$E$8,'[1]NS Vendor Details'!$I:$I,'G&amp;A Vendor x GL Analysis'!$E85)+SUMIFS('[1]NS Vendor Details'!$D:$D,'[1]NS Vendor Details'!$H:$H,'G&amp;A Vendor x GL Analysis'!AD$20,'[1]NS Vendor Details'!$L:$L,'G&amp;A Vendor x GL Analysis'!$D85,'[1]NS Vendor Details'!$O:$O,'G&amp;A Vendor x GL Analysis'!$F85,'[1]NS Vendor Details'!$N:$N,"Direct Costs",'[1]NS Vendor Details'!$J:$J,0,'[1]NS Vendor Details'!$K:$K,'G&amp;A Vendor x GL Analysis'!$E$8,'[1]NS Vendor Details'!$I:$I,'G&amp;A Vendor x GL Analysis'!$E85),0))</f>
        <v>0</v>
      </c>
      <c r="AF85" s="19">
        <f t="shared" si="9"/>
        <v>36218.30000000001</v>
      </c>
    </row>
    <row r="86" spans="1:32" outlineLevel="1">
      <c r="A86" s="8" t="str">
        <f t="shared" ref="A86:A164" si="22">D86&amp;E86</f>
        <v>Professional Service6225 - Professional Services</v>
      </c>
      <c r="C86" s="8" t="s">
        <v>11</v>
      </c>
      <c r="D86" s="8" t="str">
        <f t="shared" si="21"/>
        <v>Professional Service</v>
      </c>
      <c r="E86" s="2" t="s">
        <v>75</v>
      </c>
      <c r="F86" s="2" t="s">
        <v>80</v>
      </c>
      <c r="G86" s="16">
        <f>IF(AND(G$15="Actual",ISBLANK($E$8)),SUMIFS('[1]NS Vendor Details'!$D:$D,'[1]NS Vendor Details'!$H:$H,'G&amp;A Vendor x GL Analysis'!G$20,'[1]NS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Analysis'!G$20,'[1]NS Vendor Details'!$L:$L,'G&amp;A Vendor x GL Analysis'!$D86,'[1]NS Vendor Details'!$O:$O,'G&amp;A Vendor x GL Analysis'!$F86,'[1]NS Vendor Details'!$N:$N,"Direct Costs",'[1]NS Vendor Details'!$J:$J,0),IF(G$15="Actual",SUMIFS('[1]NS Vendor Details'!$D:$D,'[1]NS Vendor Details'!$H:$H,'G&amp;A Vendor x GL Analysis'!G$20,'[1]NS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Analysis'!G$20,'[1]NS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H86" s="17">
        <f>IF(AND(H$15="Actual",ISBLANK($E$8)),SUMIFS('[1]NS Vendor Details'!$D:$D,'[1]NS Vendor Details'!$H:$H,'G&amp;A Vendor x GL Analysis'!H$20,'[1]NS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Analysis'!H$20,'[1]NS Vendor Details'!$L:$L,'G&amp;A Vendor x GL Analysis'!$D86,'[1]NS Vendor Details'!$O:$O,'G&amp;A Vendor x GL Analysis'!$F86,'[1]NS Vendor Details'!$N:$N,"Direct Costs",'[1]NS Vendor Details'!$J:$J,0),IF(H$15="Actual",SUMIFS('[1]NS Vendor Details'!$D:$D,'[1]NS Vendor Details'!$H:$H,'G&amp;A Vendor x GL Analysis'!H$20,'[1]NS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Analysis'!H$20,'[1]NS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I86" s="17">
        <f>IF(AND(I$15="Actual",ISBLANK($E$8)),SUMIFS('[1]NS Vendor Details'!$D:$D,'[1]NS Vendor Details'!$H:$H,'G&amp;A Vendor x GL Analysis'!I$20,'[1]NS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Analysis'!I$20,'[1]NS Vendor Details'!$L:$L,'G&amp;A Vendor x GL Analysis'!$D86,'[1]NS Vendor Details'!$O:$O,'G&amp;A Vendor x GL Analysis'!$F86,'[1]NS Vendor Details'!$N:$N,"Direct Costs",'[1]NS Vendor Details'!$J:$J,0),IF(I$15="Actual",SUMIFS('[1]NS Vendor Details'!$D:$D,'[1]NS Vendor Details'!$H:$H,'G&amp;A Vendor x GL Analysis'!I$20,'[1]NS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Analysis'!I$20,'[1]NS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J86" s="17">
        <f>IF(AND(J$15="Actual",ISBLANK($E$8)),SUMIFS('[1]NS Vendor Details'!$D:$D,'[1]NS Vendor Details'!$H:$H,'G&amp;A Vendor x GL Analysis'!J$20,'[1]NS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Analysis'!J$20,'[1]NS Vendor Details'!$L:$L,'G&amp;A Vendor x GL Analysis'!$D86,'[1]NS Vendor Details'!$O:$O,'G&amp;A Vendor x GL Analysis'!$F86,'[1]NS Vendor Details'!$N:$N,"Direct Costs",'[1]NS Vendor Details'!$J:$J,0),IF(J$15="Actual",SUMIFS('[1]NS Vendor Details'!$D:$D,'[1]NS Vendor Details'!$H:$H,'G&amp;A Vendor x GL Analysis'!J$20,'[1]NS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Analysis'!J$20,'[1]NS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K86" s="17">
        <f>IF(AND(K$15="Actual",ISBLANK($E$8)),SUMIFS('[1]NS Vendor Details'!$D:$D,'[1]NS Vendor Details'!$H:$H,'G&amp;A Vendor x GL Analysis'!K$20,'[1]NS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Analysis'!K$20,'[1]NS Vendor Details'!$L:$L,'G&amp;A Vendor x GL Analysis'!$D86,'[1]NS Vendor Details'!$O:$O,'G&amp;A Vendor x GL Analysis'!$F86,'[1]NS Vendor Details'!$N:$N,"Direct Costs",'[1]NS Vendor Details'!$J:$J,0),IF(K$15="Actual",SUMIFS('[1]NS Vendor Details'!$D:$D,'[1]NS Vendor Details'!$H:$H,'G&amp;A Vendor x GL Analysis'!K$20,'[1]NS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Analysis'!K$20,'[1]NS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L86" s="17">
        <f>IF(AND(L$15="Actual",ISBLANK($E$8)),SUMIFS('[1]NS Vendor Details'!$D:$D,'[1]NS Vendor Details'!$H:$H,'G&amp;A Vendor x GL Analysis'!L$20,'[1]NS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Analysis'!L$20,'[1]NS Vendor Details'!$L:$L,'G&amp;A Vendor x GL Analysis'!$D86,'[1]NS Vendor Details'!$O:$O,'G&amp;A Vendor x GL Analysis'!$F86,'[1]NS Vendor Details'!$N:$N,"Direct Costs",'[1]NS Vendor Details'!$J:$J,0),IF(L$15="Actual",SUMIFS('[1]NS Vendor Details'!$D:$D,'[1]NS Vendor Details'!$H:$H,'G&amp;A Vendor x GL Analysis'!L$20,'[1]NS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Analysis'!L$20,'[1]NS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M86" s="17">
        <f>IF(AND(M$15="Actual",ISBLANK($E$8)),SUMIFS('[1]NS Vendor Details'!$D:$D,'[1]NS Vendor Details'!$H:$H,'G&amp;A Vendor x GL Analysis'!M$20,'[1]NS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Analysis'!M$20,'[1]NS Vendor Details'!$L:$L,'G&amp;A Vendor x GL Analysis'!$D86,'[1]NS Vendor Details'!$O:$O,'G&amp;A Vendor x GL Analysis'!$F86,'[1]NS Vendor Details'!$N:$N,"Direct Costs",'[1]NS Vendor Details'!$J:$J,0),IF(M$15="Actual",SUMIFS('[1]NS Vendor Details'!$D:$D,'[1]NS Vendor Details'!$H:$H,'G&amp;A Vendor x GL Analysis'!M$20,'[1]NS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Analysis'!M$20,'[1]NS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N86" s="17">
        <f>IF(AND(N$15="Actual",ISBLANK($E$8)),SUMIFS('[1]NS Vendor Details'!$D:$D,'[1]NS Vendor Details'!$H:$H,'G&amp;A Vendor x GL Analysis'!N$20,'[1]NS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Analysis'!N$20,'[1]NS Vendor Details'!$L:$L,'G&amp;A Vendor x GL Analysis'!$D86,'[1]NS Vendor Details'!$O:$O,'G&amp;A Vendor x GL Analysis'!$F86,'[1]NS Vendor Details'!$N:$N,"Direct Costs",'[1]NS Vendor Details'!$J:$J,0),IF(N$15="Actual",SUMIFS('[1]NS Vendor Details'!$D:$D,'[1]NS Vendor Details'!$H:$H,'G&amp;A Vendor x GL Analysis'!N$20,'[1]NS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Analysis'!N$20,'[1]NS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O86" s="17">
        <f>IF(AND(O$15="Actual",ISBLANK($E$8)),SUMIFS('[1]NS Vendor Details'!$D:$D,'[1]NS Vendor Details'!$H:$H,'G&amp;A Vendor x GL Analysis'!O$20,'[1]NS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Analysis'!O$20,'[1]NS Vendor Details'!$L:$L,'G&amp;A Vendor x GL Analysis'!$D86,'[1]NS Vendor Details'!$O:$O,'G&amp;A Vendor x GL Analysis'!$F86,'[1]NS Vendor Details'!$N:$N,"Direct Costs",'[1]NS Vendor Details'!$J:$J,0),IF(O$15="Actual",SUMIFS('[1]NS Vendor Details'!$D:$D,'[1]NS Vendor Details'!$H:$H,'G&amp;A Vendor x GL Analysis'!O$20,'[1]NS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Analysis'!O$20,'[1]NS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P86" s="17">
        <f>IF(AND(P$15="Actual",ISBLANK($E$8)),SUMIFS('[1]NS Vendor Details'!$D:$D,'[1]NS Vendor Details'!$H:$H,'G&amp;A Vendor x GL Analysis'!P$20,'[1]NS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Analysis'!P$20,'[1]NS Vendor Details'!$L:$L,'G&amp;A Vendor x GL Analysis'!$D86,'[1]NS Vendor Details'!$O:$O,'G&amp;A Vendor x GL Analysis'!$F86,'[1]NS Vendor Details'!$N:$N,"Direct Costs",'[1]NS Vendor Details'!$J:$J,0),IF(P$15="Actual",SUMIFS('[1]NS Vendor Details'!$D:$D,'[1]NS Vendor Details'!$H:$H,'G&amp;A Vendor x GL Analysis'!P$20,'[1]NS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Analysis'!P$20,'[1]NS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Q86" s="17">
        <f>IF(AND(Q$15="Actual",ISBLANK($E$8)),SUMIFS('[1]NS Vendor Details'!$D:$D,'[1]NS Vendor Details'!$H:$H,'G&amp;A Vendor x GL Analysis'!Q$20,'[1]NS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Analysis'!Q$20,'[1]NS Vendor Details'!$L:$L,'G&amp;A Vendor x GL Analysis'!$D86,'[1]NS Vendor Details'!$O:$O,'G&amp;A Vendor x GL Analysis'!$F86,'[1]NS Vendor Details'!$N:$N,"Direct Costs",'[1]NS Vendor Details'!$J:$J,0),IF(Q$15="Actual",SUMIFS('[1]NS Vendor Details'!$D:$D,'[1]NS Vendor Details'!$H:$H,'G&amp;A Vendor x GL Analysis'!Q$20,'[1]NS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Analysis'!Q$20,'[1]NS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R86" s="18">
        <f>IF(AND(R$15="Actual",ISBLANK($E$8)),SUMIFS('[1]NS Vendor Details'!$D:$D,'[1]NS Vendor Details'!$H:$H,'G&amp;A Vendor x GL Analysis'!R$20,'[1]NS Vendor Details'!$L:$L,'G&amp;A Vendor x GL Analysis'!$D86,'[1]NS Vendor Details'!$O:$O,'G&amp;A Vendor x GL Analysis'!$F86,'[1]NS Vendor Details'!$N:$N,'G&amp;A Vendor x GL Analysis'!$C86)+SUMIFS('[1]NS Vendor Details'!$D:$D,'[1]NS Vendor Details'!$H:$H,'G&amp;A Vendor x GL Analysis'!R$20,'[1]NS Vendor Details'!$L:$L,'G&amp;A Vendor x GL Analysis'!$D86,'[1]NS Vendor Details'!$O:$O,'G&amp;A Vendor x GL Analysis'!$F86,'[1]NS Vendor Details'!$N:$N,"Direct Costs",'[1]NS Vendor Details'!$J:$J,0),IF(R$15="Actual",SUMIFS('[1]NS Vendor Details'!$D:$D,'[1]NS Vendor Details'!$H:$H,'G&amp;A Vendor x GL Analysis'!R$20,'[1]NS Vendor Details'!$L:$L,'G&amp;A Vendor x GL Analysis'!$D86,'[1]NS Vendor Details'!$O:$O,'G&amp;A Vendor x GL Analysis'!$F86,'[1]NS Vendor Details'!$N:$N,'G&amp;A Vendor x GL Analysis'!$C86,'[1]NS Vendor Details'!$K:$K,'G&amp;A Vendor x GL Analysis'!$E$8)+SUMIFS('[1]NS Vendor Details'!$D:$D,'[1]NS Vendor Details'!$H:$H,'G&amp;A Vendor x GL Analysis'!R$20,'[1]NS Vendor Details'!$L:$L,'G&amp;A Vendor x GL Analysis'!$D86,'[1]NS Vendor Details'!$O:$O,'G&amp;A Vendor x GL Analysis'!$F86,'[1]NS Vendor Details'!$N:$N,"Direct Costs",'[1]NS Vendor Details'!$J:$J,0,'[1]NS Vendor Details'!$K:$K,'G&amp;A Vendor x GL Analysis'!$E$8),0))</f>
        <v>0</v>
      </c>
      <c r="S86" s="16">
        <f>IF(AND(S$15="Actual",ISBLANK($E$8)),SUMIFS('[1]NS Vendor Details'!$D:$D,'[1]NS Vendor Details'!$H:$H,'G&amp;A Vendor x GL Analysis'!S$20,'[1]NS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Analysis'!S$20,'[1]NS Vendor Details'!$L:$L,'G&amp;A Vendor x GL Analysis'!$D86,'[1]NS Vendor Details'!$O:$O,'G&amp;A Vendor x GL Analysis'!$F86,'[1]NS Vendor Details'!$N:$N,"Direct Costs",'[1]NS Vendor Details'!$J:$J,0,'[1]NS Vendor Details'!$I:$I,'G&amp;A Vendor x GL Analysis'!$E86),IF(S$15="Actual",SUMIFS('[1]NS Vendor Details'!$D:$D,'[1]NS Vendor Details'!$H:$H,'G&amp;A Vendor x GL Analysis'!S$20,'[1]NS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Analysis'!S$20,'[1]NS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T86" s="17">
        <f>IF(AND(T$15="Actual",ISBLANK($E$8)),SUMIFS('[1]NS Vendor Details'!$D:$D,'[1]NS Vendor Details'!$H:$H,'G&amp;A Vendor x GL Analysis'!T$20,'[1]NS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Analysis'!T$20,'[1]NS Vendor Details'!$L:$L,'G&amp;A Vendor x GL Analysis'!$D86,'[1]NS Vendor Details'!$O:$O,'G&amp;A Vendor x GL Analysis'!$F86,'[1]NS Vendor Details'!$N:$N,"Direct Costs",'[1]NS Vendor Details'!$J:$J,0,'[1]NS Vendor Details'!$I:$I,'G&amp;A Vendor x GL Analysis'!$E86),IF(T$15="Actual",SUMIFS('[1]NS Vendor Details'!$D:$D,'[1]NS Vendor Details'!$H:$H,'G&amp;A Vendor x GL Analysis'!T$20,'[1]NS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Analysis'!T$20,'[1]NS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U86" s="17">
        <f>IF(AND(U$15="Actual",ISBLANK($E$8)),SUMIFS('[1]NS Vendor Details'!$D:$D,'[1]NS Vendor Details'!$H:$H,'G&amp;A Vendor x GL Analysis'!U$20,'[1]NS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Analysis'!U$20,'[1]NS Vendor Details'!$L:$L,'G&amp;A Vendor x GL Analysis'!$D86,'[1]NS Vendor Details'!$O:$O,'G&amp;A Vendor x GL Analysis'!$F86,'[1]NS Vendor Details'!$N:$N,"Direct Costs",'[1]NS Vendor Details'!$J:$J,0,'[1]NS Vendor Details'!$I:$I,'G&amp;A Vendor x GL Analysis'!$E86),IF(U$15="Actual",SUMIFS('[1]NS Vendor Details'!$D:$D,'[1]NS Vendor Details'!$H:$H,'G&amp;A Vendor x GL Analysis'!U$20,'[1]NS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Analysis'!U$20,'[1]NS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V86" s="17">
        <f>IF(AND(V$15="Actual",ISBLANK($E$8)),SUMIFS('[1]NS Vendor Details'!$D:$D,'[1]NS Vendor Details'!$H:$H,'G&amp;A Vendor x GL Analysis'!V$20,'[1]NS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Analysis'!V$20,'[1]NS Vendor Details'!$L:$L,'G&amp;A Vendor x GL Analysis'!$D86,'[1]NS Vendor Details'!$O:$O,'G&amp;A Vendor x GL Analysis'!$F86,'[1]NS Vendor Details'!$N:$N,"Direct Costs",'[1]NS Vendor Details'!$J:$J,0,'[1]NS Vendor Details'!$I:$I,'G&amp;A Vendor x GL Analysis'!$E86),IF(V$15="Actual",SUMIFS('[1]NS Vendor Details'!$D:$D,'[1]NS Vendor Details'!$H:$H,'G&amp;A Vendor x GL Analysis'!V$20,'[1]NS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Analysis'!V$20,'[1]NS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W86" s="17">
        <f>IF(AND(W$15="Actual",ISBLANK($E$8)),SUMIFS('[1]NS Vendor Details'!$D:$D,'[1]NS Vendor Details'!$H:$H,'G&amp;A Vendor x GL Analysis'!W$20,'[1]NS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Analysis'!W$20,'[1]NS Vendor Details'!$L:$L,'G&amp;A Vendor x GL Analysis'!$D86,'[1]NS Vendor Details'!$O:$O,'G&amp;A Vendor x GL Analysis'!$F86,'[1]NS Vendor Details'!$N:$N,"Direct Costs",'[1]NS Vendor Details'!$J:$J,0,'[1]NS Vendor Details'!$I:$I,'G&amp;A Vendor x GL Analysis'!$E86),IF(W$15="Actual",SUMIFS('[1]NS Vendor Details'!$D:$D,'[1]NS Vendor Details'!$H:$H,'G&amp;A Vendor x GL Analysis'!W$20,'[1]NS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Analysis'!W$20,'[1]NS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X86" s="17">
        <f>IF(AND(X$15="Actual",ISBLANK($E$8)),SUMIFS('[1]NS Vendor Details'!$D:$D,'[1]NS Vendor Details'!$H:$H,'G&amp;A Vendor x GL Analysis'!X$20,'[1]NS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Analysis'!X$20,'[1]NS Vendor Details'!$L:$L,'G&amp;A Vendor x GL Analysis'!$D86,'[1]NS Vendor Details'!$O:$O,'G&amp;A Vendor x GL Analysis'!$F86,'[1]NS Vendor Details'!$N:$N,"Direct Costs",'[1]NS Vendor Details'!$J:$J,0,'[1]NS Vendor Details'!$I:$I,'G&amp;A Vendor x GL Analysis'!$E86),IF(X$15="Actual",SUMIFS('[1]NS Vendor Details'!$D:$D,'[1]NS Vendor Details'!$H:$H,'G&amp;A Vendor x GL Analysis'!X$20,'[1]NS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Analysis'!X$20,'[1]NS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Y86" s="17">
        <f>IF(AND(Y$15="Actual",ISBLANK($E$8)),SUMIFS('[1]NS Vendor Details'!$D:$D,'[1]NS Vendor Details'!$H:$H,'G&amp;A Vendor x GL Analysis'!Y$20,'[1]NS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Analysis'!Y$20,'[1]NS Vendor Details'!$L:$L,'G&amp;A Vendor x GL Analysis'!$D86,'[1]NS Vendor Details'!$O:$O,'G&amp;A Vendor x GL Analysis'!$F86,'[1]NS Vendor Details'!$N:$N,"Direct Costs",'[1]NS Vendor Details'!$J:$J,0,'[1]NS Vendor Details'!$I:$I,'G&amp;A Vendor x GL Analysis'!$E86),IF(Y$15="Actual",SUMIFS('[1]NS Vendor Details'!$D:$D,'[1]NS Vendor Details'!$H:$H,'G&amp;A Vendor x GL Analysis'!Y$20,'[1]NS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Analysis'!Y$20,'[1]NS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Z86" s="17">
        <f>IF(AND(Z$15="Actual",ISBLANK($E$8)),SUMIFS('[1]NS Vendor Details'!$D:$D,'[1]NS Vendor Details'!$H:$H,'G&amp;A Vendor x GL Analysis'!Z$20,'[1]NS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Analysis'!Z$20,'[1]NS Vendor Details'!$L:$L,'G&amp;A Vendor x GL Analysis'!$D86,'[1]NS Vendor Details'!$O:$O,'G&amp;A Vendor x GL Analysis'!$F86,'[1]NS Vendor Details'!$N:$N,"Direct Costs",'[1]NS Vendor Details'!$J:$J,0,'[1]NS Vendor Details'!$I:$I,'G&amp;A Vendor x GL Analysis'!$E86),IF(Z$15="Actual",SUMIFS('[1]NS Vendor Details'!$D:$D,'[1]NS Vendor Details'!$H:$H,'G&amp;A Vendor x GL Analysis'!Z$20,'[1]NS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Analysis'!Z$20,'[1]NS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AA86" s="17">
        <f>IF(AND(AA$15="Actual",ISBLANK($E$8)),SUMIFS('[1]NS Vendor Details'!$D:$D,'[1]NS Vendor Details'!$H:$H,'G&amp;A Vendor x GL Analysis'!AA$20,'[1]NS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Analysis'!AA$20,'[1]NS Vendor Details'!$L:$L,'G&amp;A Vendor x GL Analysis'!$D86,'[1]NS Vendor Details'!$O:$O,'G&amp;A Vendor x GL Analysis'!$F86,'[1]NS Vendor Details'!$N:$N,"Direct Costs",'[1]NS Vendor Details'!$J:$J,0,'[1]NS Vendor Details'!$I:$I,'G&amp;A Vendor x GL Analysis'!$E86),IF(AA$15="Actual",SUMIFS('[1]NS Vendor Details'!$D:$D,'[1]NS Vendor Details'!$H:$H,'G&amp;A Vendor x GL Analysis'!AA$20,'[1]NS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Analysis'!AA$20,'[1]NS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AB86" s="17">
        <f>IF(AND(AB$15="Actual",ISBLANK($E$8)),SUMIFS('[1]NS Vendor Details'!$D:$D,'[1]NS Vendor Details'!$H:$H,'G&amp;A Vendor x GL Analysis'!AB$20,'[1]NS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Analysis'!AB$20,'[1]NS Vendor Details'!$L:$L,'G&amp;A Vendor x GL Analysis'!$D86,'[1]NS Vendor Details'!$O:$O,'G&amp;A Vendor x GL Analysis'!$F86,'[1]NS Vendor Details'!$N:$N,"Direct Costs",'[1]NS Vendor Details'!$J:$J,0,'[1]NS Vendor Details'!$I:$I,'G&amp;A Vendor x GL Analysis'!$E86),IF(AB$15="Actual",SUMIFS('[1]NS Vendor Details'!$D:$D,'[1]NS Vendor Details'!$H:$H,'G&amp;A Vendor x GL Analysis'!AB$20,'[1]NS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Analysis'!AB$20,'[1]NS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AC86" s="18">
        <f>IF(AND(AC$15="Actual",ISBLANK($E$8)),SUMIFS('[1]NS Vendor Details'!$D:$D,'[1]NS Vendor Details'!$H:$H,'G&amp;A Vendor x GL Analysis'!AC$20,'[1]NS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Analysis'!AC$20,'[1]NS Vendor Details'!$L:$L,'G&amp;A Vendor x GL Analysis'!$D86,'[1]NS Vendor Details'!$O:$O,'G&amp;A Vendor x GL Analysis'!$F86,'[1]NS Vendor Details'!$N:$N,"Direct Costs",'[1]NS Vendor Details'!$J:$J,0,'[1]NS Vendor Details'!$I:$I,'G&amp;A Vendor x GL Analysis'!$E86),IF(AC$15="Actual",SUMIFS('[1]NS Vendor Details'!$D:$D,'[1]NS Vendor Details'!$H:$H,'G&amp;A Vendor x GL Analysis'!AC$20,'[1]NS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Analysis'!AC$20,'[1]NS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AD86" s="18">
        <f>IF(AND(AD$15="Actual",ISBLANK($E$8)),SUMIFS('[1]NS Vendor Details'!$D:$D,'[1]NS Vendor Details'!$H:$H,'G&amp;A Vendor x GL Analysis'!AD$20,'[1]NS Vendor Details'!$L:$L,'G&amp;A Vendor x GL Analysis'!$D86,'[1]NS Vendor Details'!$O:$O,'G&amp;A Vendor x GL Analysis'!$F86,'[1]NS Vendor Details'!$N:$N,'G&amp;A Vendor x GL Analysis'!$C86,'[1]NS Vendor Details'!$I:$I,'G&amp;A Vendor x GL Analysis'!$E86)+SUMIFS('[1]NS Vendor Details'!$D:$D,'[1]NS Vendor Details'!$H:$H,'G&amp;A Vendor x GL Analysis'!AD$20,'[1]NS Vendor Details'!$L:$L,'G&amp;A Vendor x GL Analysis'!$D86,'[1]NS Vendor Details'!$O:$O,'G&amp;A Vendor x GL Analysis'!$F86,'[1]NS Vendor Details'!$N:$N,"Direct Costs",'[1]NS Vendor Details'!$J:$J,0,'[1]NS Vendor Details'!$I:$I,'G&amp;A Vendor x GL Analysis'!$E86),IF(AD$15="Actual",SUMIFS('[1]NS Vendor Details'!$D:$D,'[1]NS Vendor Details'!$H:$H,'G&amp;A Vendor x GL Analysis'!AD$20,'[1]NS Vendor Details'!$L:$L,'G&amp;A Vendor x GL Analysis'!$D86,'[1]NS Vendor Details'!$O:$O,'G&amp;A Vendor x GL Analysis'!$F86,'[1]NS Vendor Details'!$N:$N,'G&amp;A Vendor x GL Analysis'!$C86,'[1]NS Vendor Details'!$K:$K,'G&amp;A Vendor x GL Analysis'!$E$8,'[1]NS Vendor Details'!$I:$I,'G&amp;A Vendor x GL Analysis'!$E86)+SUMIFS('[1]NS Vendor Details'!$D:$D,'[1]NS Vendor Details'!$H:$H,'G&amp;A Vendor x GL Analysis'!AD$20,'[1]NS Vendor Details'!$L:$L,'G&amp;A Vendor x GL Analysis'!$D86,'[1]NS Vendor Details'!$O:$O,'G&amp;A Vendor x GL Analysis'!$F86,'[1]NS Vendor Details'!$N:$N,"Direct Costs",'[1]NS Vendor Details'!$J:$J,0,'[1]NS Vendor Details'!$K:$K,'G&amp;A Vendor x GL Analysis'!$E$8,'[1]NS Vendor Details'!$I:$I,'G&amp;A Vendor x GL Analysis'!$E86),0))</f>
        <v>0</v>
      </c>
      <c r="AF86" s="19">
        <f t="shared" si="9"/>
        <v>0</v>
      </c>
    </row>
    <row r="87" spans="1:32" outlineLevel="1">
      <c r="A87" s="8" t="str">
        <f t="shared" si="22"/>
        <v>Professional Service6225 - Professional Services</v>
      </c>
      <c r="C87" s="8" t="s">
        <v>11</v>
      </c>
      <c r="D87" s="8" t="str">
        <f t="shared" si="21"/>
        <v>Professional Service</v>
      </c>
      <c r="E87" s="2" t="s">
        <v>75</v>
      </c>
      <c r="F87" s="2" t="s">
        <v>73</v>
      </c>
      <c r="G87" s="16">
        <f>IF(AND(G$15="Actual",ISBLANK($E$8)),SUMIFS('[1]NS Vendor Details'!$D:$D,'[1]NS Vendor Details'!$H:$H,'G&amp;A Vendor x GL Analysis'!G$20,'[1]NS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Analysis'!G$20,'[1]NS Vendor Details'!$L:$L,'G&amp;A Vendor x GL Analysis'!$D87,'[1]NS Vendor Details'!$O:$O,'G&amp;A Vendor x GL Analysis'!$F87,'[1]NS Vendor Details'!$N:$N,"Direct Costs",'[1]NS Vendor Details'!$J:$J,0),IF(G$15="Actual",SUMIFS('[1]NS Vendor Details'!$D:$D,'[1]NS Vendor Details'!$H:$H,'G&amp;A Vendor x GL Analysis'!G$20,'[1]NS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Analysis'!G$20,'[1]NS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H87" s="17">
        <f>IF(AND(H$15="Actual",ISBLANK($E$8)),SUMIFS('[1]NS Vendor Details'!$D:$D,'[1]NS Vendor Details'!$H:$H,'G&amp;A Vendor x GL Analysis'!H$20,'[1]NS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Analysis'!H$20,'[1]NS Vendor Details'!$L:$L,'G&amp;A Vendor x GL Analysis'!$D87,'[1]NS Vendor Details'!$O:$O,'G&amp;A Vendor x GL Analysis'!$F87,'[1]NS Vendor Details'!$N:$N,"Direct Costs",'[1]NS Vendor Details'!$J:$J,0),IF(H$15="Actual",SUMIFS('[1]NS Vendor Details'!$D:$D,'[1]NS Vendor Details'!$H:$H,'G&amp;A Vendor x GL Analysis'!H$20,'[1]NS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Analysis'!H$20,'[1]NS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I87" s="17">
        <f>IF(AND(I$15="Actual",ISBLANK($E$8)),SUMIFS('[1]NS Vendor Details'!$D:$D,'[1]NS Vendor Details'!$H:$H,'G&amp;A Vendor x GL Analysis'!I$20,'[1]NS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Analysis'!I$20,'[1]NS Vendor Details'!$L:$L,'G&amp;A Vendor x GL Analysis'!$D87,'[1]NS Vendor Details'!$O:$O,'G&amp;A Vendor x GL Analysis'!$F87,'[1]NS Vendor Details'!$N:$N,"Direct Costs",'[1]NS Vendor Details'!$J:$J,0),IF(I$15="Actual",SUMIFS('[1]NS Vendor Details'!$D:$D,'[1]NS Vendor Details'!$H:$H,'G&amp;A Vendor x GL Analysis'!I$20,'[1]NS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Analysis'!I$20,'[1]NS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J87" s="17">
        <f>IF(AND(J$15="Actual",ISBLANK($E$8)),SUMIFS('[1]NS Vendor Details'!$D:$D,'[1]NS Vendor Details'!$H:$H,'G&amp;A Vendor x GL Analysis'!J$20,'[1]NS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Analysis'!J$20,'[1]NS Vendor Details'!$L:$L,'G&amp;A Vendor x GL Analysis'!$D87,'[1]NS Vendor Details'!$O:$O,'G&amp;A Vendor x GL Analysis'!$F87,'[1]NS Vendor Details'!$N:$N,"Direct Costs",'[1]NS Vendor Details'!$J:$J,0),IF(J$15="Actual",SUMIFS('[1]NS Vendor Details'!$D:$D,'[1]NS Vendor Details'!$H:$H,'G&amp;A Vendor x GL Analysis'!J$20,'[1]NS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Analysis'!J$20,'[1]NS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K87" s="17">
        <f>IF(AND(K$15="Actual",ISBLANK($E$8)),SUMIFS('[1]NS Vendor Details'!$D:$D,'[1]NS Vendor Details'!$H:$H,'G&amp;A Vendor x GL Analysis'!K$20,'[1]NS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Analysis'!K$20,'[1]NS Vendor Details'!$L:$L,'G&amp;A Vendor x GL Analysis'!$D87,'[1]NS Vendor Details'!$O:$O,'G&amp;A Vendor x GL Analysis'!$F87,'[1]NS Vendor Details'!$N:$N,"Direct Costs",'[1]NS Vendor Details'!$J:$J,0),IF(K$15="Actual",SUMIFS('[1]NS Vendor Details'!$D:$D,'[1]NS Vendor Details'!$H:$H,'G&amp;A Vendor x GL Analysis'!K$20,'[1]NS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Analysis'!K$20,'[1]NS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L87" s="17">
        <f>IF(AND(L$15="Actual",ISBLANK($E$8)),SUMIFS('[1]NS Vendor Details'!$D:$D,'[1]NS Vendor Details'!$H:$H,'G&amp;A Vendor x GL Analysis'!L$20,'[1]NS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Analysis'!L$20,'[1]NS Vendor Details'!$L:$L,'G&amp;A Vendor x GL Analysis'!$D87,'[1]NS Vendor Details'!$O:$O,'G&amp;A Vendor x GL Analysis'!$F87,'[1]NS Vendor Details'!$N:$N,"Direct Costs",'[1]NS Vendor Details'!$J:$J,0),IF(L$15="Actual",SUMIFS('[1]NS Vendor Details'!$D:$D,'[1]NS Vendor Details'!$H:$H,'G&amp;A Vendor x GL Analysis'!L$20,'[1]NS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Analysis'!L$20,'[1]NS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M87" s="17">
        <f>IF(AND(M$15="Actual",ISBLANK($E$8)),SUMIFS('[1]NS Vendor Details'!$D:$D,'[1]NS Vendor Details'!$H:$H,'G&amp;A Vendor x GL Analysis'!M$20,'[1]NS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Analysis'!M$20,'[1]NS Vendor Details'!$L:$L,'G&amp;A Vendor x GL Analysis'!$D87,'[1]NS Vendor Details'!$O:$O,'G&amp;A Vendor x GL Analysis'!$F87,'[1]NS Vendor Details'!$N:$N,"Direct Costs",'[1]NS Vendor Details'!$J:$J,0),IF(M$15="Actual",SUMIFS('[1]NS Vendor Details'!$D:$D,'[1]NS Vendor Details'!$H:$H,'G&amp;A Vendor x GL Analysis'!M$20,'[1]NS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Analysis'!M$20,'[1]NS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N87" s="17">
        <f>IF(AND(N$15="Actual",ISBLANK($E$8)),SUMIFS('[1]NS Vendor Details'!$D:$D,'[1]NS Vendor Details'!$H:$H,'G&amp;A Vendor x GL Analysis'!N$20,'[1]NS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Analysis'!N$20,'[1]NS Vendor Details'!$L:$L,'G&amp;A Vendor x GL Analysis'!$D87,'[1]NS Vendor Details'!$O:$O,'G&amp;A Vendor x GL Analysis'!$F87,'[1]NS Vendor Details'!$N:$N,"Direct Costs",'[1]NS Vendor Details'!$J:$J,0),IF(N$15="Actual",SUMIFS('[1]NS Vendor Details'!$D:$D,'[1]NS Vendor Details'!$H:$H,'G&amp;A Vendor x GL Analysis'!N$20,'[1]NS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Analysis'!N$20,'[1]NS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O87" s="17">
        <f>IF(AND(O$15="Actual",ISBLANK($E$8)),SUMIFS('[1]NS Vendor Details'!$D:$D,'[1]NS Vendor Details'!$H:$H,'G&amp;A Vendor x GL Analysis'!O$20,'[1]NS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Analysis'!O$20,'[1]NS Vendor Details'!$L:$L,'G&amp;A Vendor x GL Analysis'!$D87,'[1]NS Vendor Details'!$O:$O,'G&amp;A Vendor x GL Analysis'!$F87,'[1]NS Vendor Details'!$N:$N,"Direct Costs",'[1]NS Vendor Details'!$J:$J,0),IF(O$15="Actual",SUMIFS('[1]NS Vendor Details'!$D:$D,'[1]NS Vendor Details'!$H:$H,'G&amp;A Vendor x GL Analysis'!O$20,'[1]NS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Analysis'!O$20,'[1]NS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3000</v>
      </c>
      <c r="P87" s="17">
        <f>IF(AND(P$15="Actual",ISBLANK($E$8)),SUMIFS('[1]NS Vendor Details'!$D:$D,'[1]NS Vendor Details'!$H:$H,'G&amp;A Vendor x GL Analysis'!P$20,'[1]NS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Analysis'!P$20,'[1]NS Vendor Details'!$L:$L,'G&amp;A Vendor x GL Analysis'!$D87,'[1]NS Vendor Details'!$O:$O,'G&amp;A Vendor x GL Analysis'!$F87,'[1]NS Vendor Details'!$N:$N,"Direct Costs",'[1]NS Vendor Details'!$J:$J,0),IF(P$15="Actual",SUMIFS('[1]NS Vendor Details'!$D:$D,'[1]NS Vendor Details'!$H:$H,'G&amp;A Vendor x GL Analysis'!P$20,'[1]NS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Analysis'!P$20,'[1]NS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Q87" s="17">
        <f>IF(AND(Q$15="Actual",ISBLANK($E$8)),SUMIFS('[1]NS Vendor Details'!$D:$D,'[1]NS Vendor Details'!$H:$H,'G&amp;A Vendor x GL Analysis'!Q$20,'[1]NS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Analysis'!Q$20,'[1]NS Vendor Details'!$L:$L,'G&amp;A Vendor x GL Analysis'!$D87,'[1]NS Vendor Details'!$O:$O,'G&amp;A Vendor x GL Analysis'!$F87,'[1]NS Vendor Details'!$N:$N,"Direct Costs",'[1]NS Vendor Details'!$J:$J,0),IF(Q$15="Actual",SUMIFS('[1]NS Vendor Details'!$D:$D,'[1]NS Vendor Details'!$H:$H,'G&amp;A Vendor x GL Analysis'!Q$20,'[1]NS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Analysis'!Q$20,'[1]NS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79500</v>
      </c>
      <c r="R87" s="18">
        <f>IF(AND(R$15="Actual",ISBLANK($E$8)),SUMIFS('[1]NS Vendor Details'!$D:$D,'[1]NS Vendor Details'!$H:$H,'G&amp;A Vendor x GL Analysis'!R$20,'[1]NS Vendor Details'!$L:$L,'G&amp;A Vendor x GL Analysis'!$D87,'[1]NS Vendor Details'!$O:$O,'G&amp;A Vendor x GL Analysis'!$F87,'[1]NS Vendor Details'!$N:$N,'G&amp;A Vendor x GL Analysis'!$C87)+SUMIFS('[1]NS Vendor Details'!$D:$D,'[1]NS Vendor Details'!$H:$H,'G&amp;A Vendor x GL Analysis'!R$20,'[1]NS Vendor Details'!$L:$L,'G&amp;A Vendor x GL Analysis'!$D87,'[1]NS Vendor Details'!$O:$O,'G&amp;A Vendor x GL Analysis'!$F87,'[1]NS Vendor Details'!$N:$N,"Direct Costs",'[1]NS Vendor Details'!$J:$J,0),IF(R$15="Actual",SUMIFS('[1]NS Vendor Details'!$D:$D,'[1]NS Vendor Details'!$H:$H,'G&amp;A Vendor x GL Analysis'!R$20,'[1]NS Vendor Details'!$L:$L,'G&amp;A Vendor x GL Analysis'!$D87,'[1]NS Vendor Details'!$O:$O,'G&amp;A Vendor x GL Analysis'!$F87,'[1]NS Vendor Details'!$N:$N,'G&amp;A Vendor x GL Analysis'!$C87,'[1]NS Vendor Details'!$K:$K,'G&amp;A Vendor x GL Analysis'!$E$8)+SUMIFS('[1]NS Vendor Details'!$D:$D,'[1]NS Vendor Details'!$H:$H,'G&amp;A Vendor x GL Analysis'!R$20,'[1]NS Vendor Details'!$L:$L,'G&amp;A Vendor x GL Analysis'!$D87,'[1]NS Vendor Details'!$O:$O,'G&amp;A Vendor x GL Analysis'!$F87,'[1]NS Vendor Details'!$N:$N,"Direct Costs",'[1]NS Vendor Details'!$J:$J,0,'[1]NS Vendor Details'!$K:$K,'G&amp;A Vendor x GL Analysis'!$E$8),0))</f>
        <v>0</v>
      </c>
      <c r="S87" s="16">
        <f>IF(AND(S$15="Actual",ISBLANK($E$8)),SUMIFS('[1]NS Vendor Details'!$D:$D,'[1]NS Vendor Details'!$H:$H,'G&amp;A Vendor x GL Analysis'!S$20,'[1]NS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Analysis'!S$20,'[1]NS Vendor Details'!$L:$L,'G&amp;A Vendor x GL Analysis'!$D87,'[1]NS Vendor Details'!$O:$O,'G&amp;A Vendor x GL Analysis'!$F87,'[1]NS Vendor Details'!$N:$N,"Direct Costs",'[1]NS Vendor Details'!$J:$J,0,'[1]NS Vendor Details'!$I:$I,'G&amp;A Vendor x GL Analysis'!$E87),IF(S$15="Actual",SUMIFS('[1]NS Vendor Details'!$D:$D,'[1]NS Vendor Details'!$H:$H,'G&amp;A Vendor x GL Analysis'!S$20,'[1]NS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Analysis'!S$20,'[1]NS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T87" s="17">
        <f>IF(AND(T$15="Actual",ISBLANK($E$8)),SUMIFS('[1]NS Vendor Details'!$D:$D,'[1]NS Vendor Details'!$H:$H,'G&amp;A Vendor x GL Analysis'!T$20,'[1]NS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Analysis'!T$20,'[1]NS Vendor Details'!$L:$L,'G&amp;A Vendor x GL Analysis'!$D87,'[1]NS Vendor Details'!$O:$O,'G&amp;A Vendor x GL Analysis'!$F87,'[1]NS Vendor Details'!$N:$N,"Direct Costs",'[1]NS Vendor Details'!$J:$J,0,'[1]NS Vendor Details'!$I:$I,'G&amp;A Vendor x GL Analysis'!$E87),IF(T$15="Actual",SUMIFS('[1]NS Vendor Details'!$D:$D,'[1]NS Vendor Details'!$H:$H,'G&amp;A Vendor x GL Analysis'!T$20,'[1]NS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Analysis'!T$20,'[1]NS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U87" s="17">
        <f>IF(AND(U$15="Actual",ISBLANK($E$8)),SUMIFS('[1]NS Vendor Details'!$D:$D,'[1]NS Vendor Details'!$H:$H,'G&amp;A Vendor x GL Analysis'!U$20,'[1]NS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Analysis'!U$20,'[1]NS Vendor Details'!$L:$L,'G&amp;A Vendor x GL Analysis'!$D87,'[1]NS Vendor Details'!$O:$O,'G&amp;A Vendor x GL Analysis'!$F87,'[1]NS Vendor Details'!$N:$N,"Direct Costs",'[1]NS Vendor Details'!$J:$J,0,'[1]NS Vendor Details'!$I:$I,'G&amp;A Vendor x GL Analysis'!$E87),IF(U$15="Actual",SUMIFS('[1]NS Vendor Details'!$D:$D,'[1]NS Vendor Details'!$H:$H,'G&amp;A Vendor x GL Analysis'!U$20,'[1]NS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Analysis'!U$20,'[1]NS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V87" s="17">
        <f>IF(AND(V$15="Actual",ISBLANK($E$8)),SUMIFS('[1]NS Vendor Details'!$D:$D,'[1]NS Vendor Details'!$H:$H,'G&amp;A Vendor x GL Analysis'!V$20,'[1]NS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Analysis'!V$20,'[1]NS Vendor Details'!$L:$L,'G&amp;A Vendor x GL Analysis'!$D87,'[1]NS Vendor Details'!$O:$O,'G&amp;A Vendor x GL Analysis'!$F87,'[1]NS Vendor Details'!$N:$N,"Direct Costs",'[1]NS Vendor Details'!$J:$J,0,'[1]NS Vendor Details'!$I:$I,'G&amp;A Vendor x GL Analysis'!$E87),IF(V$15="Actual",SUMIFS('[1]NS Vendor Details'!$D:$D,'[1]NS Vendor Details'!$H:$H,'G&amp;A Vendor x GL Analysis'!V$20,'[1]NS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Analysis'!V$20,'[1]NS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18000</v>
      </c>
      <c r="W87" s="17">
        <f>IF(AND(W$15="Actual",ISBLANK($E$8)),SUMIFS('[1]NS Vendor Details'!$D:$D,'[1]NS Vendor Details'!$H:$H,'G&amp;A Vendor x GL Analysis'!W$20,'[1]NS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Analysis'!W$20,'[1]NS Vendor Details'!$L:$L,'G&amp;A Vendor x GL Analysis'!$D87,'[1]NS Vendor Details'!$O:$O,'G&amp;A Vendor x GL Analysis'!$F87,'[1]NS Vendor Details'!$N:$N,"Direct Costs",'[1]NS Vendor Details'!$J:$J,0,'[1]NS Vendor Details'!$I:$I,'G&amp;A Vendor x GL Analysis'!$E87),IF(W$15="Actual",SUMIFS('[1]NS Vendor Details'!$D:$D,'[1]NS Vendor Details'!$H:$H,'G&amp;A Vendor x GL Analysis'!W$20,'[1]NS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Analysis'!W$20,'[1]NS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12000</v>
      </c>
      <c r="X87" s="17">
        <f>IF(AND(X$15="Actual",ISBLANK($E$8)),SUMIFS('[1]NS Vendor Details'!$D:$D,'[1]NS Vendor Details'!$H:$H,'G&amp;A Vendor x GL Analysis'!X$20,'[1]NS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Analysis'!X$20,'[1]NS Vendor Details'!$L:$L,'G&amp;A Vendor x GL Analysis'!$D87,'[1]NS Vendor Details'!$O:$O,'G&amp;A Vendor x GL Analysis'!$F87,'[1]NS Vendor Details'!$N:$N,"Direct Costs",'[1]NS Vendor Details'!$J:$J,0,'[1]NS Vendor Details'!$I:$I,'G&amp;A Vendor x GL Analysis'!$E87),IF(X$15="Actual",SUMIFS('[1]NS Vendor Details'!$D:$D,'[1]NS Vendor Details'!$H:$H,'G&amp;A Vendor x GL Analysis'!X$20,'[1]NS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Analysis'!X$20,'[1]NS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6000</v>
      </c>
      <c r="Y87" s="17">
        <f>IF(AND(Y$15="Actual",ISBLANK($E$8)),SUMIFS('[1]NS Vendor Details'!$D:$D,'[1]NS Vendor Details'!$H:$H,'G&amp;A Vendor x GL Analysis'!Y$20,'[1]NS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Analysis'!Y$20,'[1]NS Vendor Details'!$L:$L,'G&amp;A Vendor x GL Analysis'!$D87,'[1]NS Vendor Details'!$O:$O,'G&amp;A Vendor x GL Analysis'!$F87,'[1]NS Vendor Details'!$N:$N,"Direct Costs",'[1]NS Vendor Details'!$J:$J,0,'[1]NS Vendor Details'!$I:$I,'G&amp;A Vendor x GL Analysis'!$E87),IF(Y$15="Actual",SUMIFS('[1]NS Vendor Details'!$D:$D,'[1]NS Vendor Details'!$H:$H,'G&amp;A Vendor x GL Analysis'!Y$20,'[1]NS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Analysis'!Y$20,'[1]NS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Z87" s="17">
        <f>IF(AND(Z$15="Actual",ISBLANK($E$8)),SUMIFS('[1]NS Vendor Details'!$D:$D,'[1]NS Vendor Details'!$H:$H,'G&amp;A Vendor x GL Analysis'!Z$20,'[1]NS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Analysis'!Z$20,'[1]NS Vendor Details'!$L:$L,'G&amp;A Vendor x GL Analysis'!$D87,'[1]NS Vendor Details'!$O:$O,'G&amp;A Vendor x GL Analysis'!$F87,'[1]NS Vendor Details'!$N:$N,"Direct Costs",'[1]NS Vendor Details'!$J:$J,0,'[1]NS Vendor Details'!$I:$I,'G&amp;A Vendor x GL Analysis'!$E87),IF(Z$15="Actual",SUMIFS('[1]NS Vendor Details'!$D:$D,'[1]NS Vendor Details'!$H:$H,'G&amp;A Vendor x GL Analysis'!Z$20,'[1]NS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Analysis'!Z$20,'[1]NS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AA87" s="17">
        <f>IF(AND(AA$15="Actual",ISBLANK($E$8)),SUMIFS('[1]NS Vendor Details'!$D:$D,'[1]NS Vendor Details'!$H:$H,'G&amp;A Vendor x GL Analysis'!AA$20,'[1]NS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Analysis'!AA$20,'[1]NS Vendor Details'!$L:$L,'G&amp;A Vendor x GL Analysis'!$D87,'[1]NS Vendor Details'!$O:$O,'G&amp;A Vendor x GL Analysis'!$F87,'[1]NS Vendor Details'!$N:$N,"Direct Costs",'[1]NS Vendor Details'!$J:$J,0,'[1]NS Vendor Details'!$I:$I,'G&amp;A Vendor x GL Analysis'!$E87),IF(AA$15="Actual",SUMIFS('[1]NS Vendor Details'!$D:$D,'[1]NS Vendor Details'!$H:$H,'G&amp;A Vendor x GL Analysis'!AA$20,'[1]NS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Analysis'!AA$20,'[1]NS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AB87" s="17">
        <f>IF(AND(AB$15="Actual",ISBLANK($E$8)),SUMIFS('[1]NS Vendor Details'!$D:$D,'[1]NS Vendor Details'!$H:$H,'G&amp;A Vendor x GL Analysis'!AB$20,'[1]NS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Analysis'!AB$20,'[1]NS Vendor Details'!$L:$L,'G&amp;A Vendor x GL Analysis'!$D87,'[1]NS Vendor Details'!$O:$O,'G&amp;A Vendor x GL Analysis'!$F87,'[1]NS Vendor Details'!$N:$N,"Direct Costs",'[1]NS Vendor Details'!$J:$J,0,'[1]NS Vendor Details'!$I:$I,'G&amp;A Vendor x GL Analysis'!$E87),IF(AB$15="Actual",SUMIFS('[1]NS Vendor Details'!$D:$D,'[1]NS Vendor Details'!$H:$H,'G&amp;A Vendor x GL Analysis'!AB$20,'[1]NS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Analysis'!AB$20,'[1]NS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AC87" s="18">
        <f>IF(AND(AC$15="Actual",ISBLANK($E$8)),SUMIFS('[1]NS Vendor Details'!$D:$D,'[1]NS Vendor Details'!$H:$H,'G&amp;A Vendor x GL Analysis'!AC$20,'[1]NS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Analysis'!AC$20,'[1]NS Vendor Details'!$L:$L,'G&amp;A Vendor x GL Analysis'!$D87,'[1]NS Vendor Details'!$O:$O,'G&amp;A Vendor x GL Analysis'!$F87,'[1]NS Vendor Details'!$N:$N,"Direct Costs",'[1]NS Vendor Details'!$J:$J,0,'[1]NS Vendor Details'!$I:$I,'G&amp;A Vendor x GL Analysis'!$E87),IF(AC$15="Actual",SUMIFS('[1]NS Vendor Details'!$D:$D,'[1]NS Vendor Details'!$H:$H,'G&amp;A Vendor x GL Analysis'!AC$20,'[1]NS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Analysis'!AC$20,'[1]NS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AD87" s="18">
        <f>IF(AND(AD$15="Actual",ISBLANK($E$8)),SUMIFS('[1]NS Vendor Details'!$D:$D,'[1]NS Vendor Details'!$H:$H,'G&amp;A Vendor x GL Analysis'!AD$20,'[1]NS Vendor Details'!$L:$L,'G&amp;A Vendor x GL Analysis'!$D87,'[1]NS Vendor Details'!$O:$O,'G&amp;A Vendor x GL Analysis'!$F87,'[1]NS Vendor Details'!$N:$N,'G&amp;A Vendor x GL Analysis'!$C87,'[1]NS Vendor Details'!$I:$I,'G&amp;A Vendor x GL Analysis'!$E87)+SUMIFS('[1]NS Vendor Details'!$D:$D,'[1]NS Vendor Details'!$H:$H,'G&amp;A Vendor x GL Analysis'!AD$20,'[1]NS Vendor Details'!$L:$L,'G&amp;A Vendor x GL Analysis'!$D87,'[1]NS Vendor Details'!$O:$O,'G&amp;A Vendor x GL Analysis'!$F87,'[1]NS Vendor Details'!$N:$N,"Direct Costs",'[1]NS Vendor Details'!$J:$J,0,'[1]NS Vendor Details'!$I:$I,'G&amp;A Vendor x GL Analysis'!$E87),IF(AD$15="Actual",SUMIFS('[1]NS Vendor Details'!$D:$D,'[1]NS Vendor Details'!$H:$H,'G&amp;A Vendor x GL Analysis'!AD$20,'[1]NS Vendor Details'!$L:$L,'G&amp;A Vendor x GL Analysis'!$D87,'[1]NS Vendor Details'!$O:$O,'G&amp;A Vendor x GL Analysis'!$F87,'[1]NS Vendor Details'!$N:$N,'G&amp;A Vendor x GL Analysis'!$C87,'[1]NS Vendor Details'!$K:$K,'G&amp;A Vendor x GL Analysis'!$E$8,'[1]NS Vendor Details'!$I:$I,'G&amp;A Vendor x GL Analysis'!$E87)+SUMIFS('[1]NS Vendor Details'!$D:$D,'[1]NS Vendor Details'!$H:$H,'G&amp;A Vendor x GL Analysis'!AD$20,'[1]NS Vendor Details'!$L:$L,'G&amp;A Vendor x GL Analysis'!$D87,'[1]NS Vendor Details'!$O:$O,'G&amp;A Vendor x GL Analysis'!$F87,'[1]NS Vendor Details'!$N:$N,"Direct Costs",'[1]NS Vendor Details'!$J:$J,0,'[1]NS Vendor Details'!$K:$K,'G&amp;A Vendor x GL Analysis'!$E$8,'[1]NS Vendor Details'!$I:$I,'G&amp;A Vendor x GL Analysis'!$E87),0))</f>
        <v>0</v>
      </c>
      <c r="AF87" s="19">
        <f t="shared" si="9"/>
        <v>36000</v>
      </c>
    </row>
    <row r="88" spans="1:32" outlineLevel="1">
      <c r="A88" s="8" t="str">
        <f t="shared" si="22"/>
        <v>Professional Service6225 - Professional Services</v>
      </c>
      <c r="C88" s="8" t="s">
        <v>11</v>
      </c>
      <c r="D88" s="8" t="str">
        <f t="shared" si="21"/>
        <v>Professional Service</v>
      </c>
      <c r="E88" s="2" t="s">
        <v>75</v>
      </c>
      <c r="F88" s="2" t="s">
        <v>81</v>
      </c>
      <c r="G88" s="16">
        <f>IF(AND(G$15="Actual",ISBLANK($E$8)),SUMIFS('[1]NS Vendor Details'!$D:$D,'[1]NS Vendor Details'!$H:$H,'G&amp;A Vendor x GL Analysis'!G$20,'[1]NS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Analysis'!G$20,'[1]NS Vendor Details'!$L:$L,'G&amp;A Vendor x GL Analysis'!$D88,'[1]NS Vendor Details'!$O:$O,'G&amp;A Vendor x GL Analysis'!$F88,'[1]NS Vendor Details'!$N:$N,"Direct Costs",'[1]NS Vendor Details'!$J:$J,0),IF(G$15="Actual",SUMIFS('[1]NS Vendor Details'!$D:$D,'[1]NS Vendor Details'!$H:$H,'G&amp;A Vendor x GL Analysis'!G$20,'[1]NS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Analysis'!G$20,'[1]NS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0</v>
      </c>
      <c r="H88" s="17">
        <f>IF(AND(H$15="Actual",ISBLANK($E$8)),SUMIFS('[1]NS Vendor Details'!$D:$D,'[1]NS Vendor Details'!$H:$H,'G&amp;A Vendor x GL Analysis'!H$20,'[1]NS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Analysis'!H$20,'[1]NS Vendor Details'!$L:$L,'G&amp;A Vendor x GL Analysis'!$D88,'[1]NS Vendor Details'!$O:$O,'G&amp;A Vendor x GL Analysis'!$F88,'[1]NS Vendor Details'!$N:$N,"Direct Costs",'[1]NS Vendor Details'!$J:$J,0),IF(H$15="Actual",SUMIFS('[1]NS Vendor Details'!$D:$D,'[1]NS Vendor Details'!$H:$H,'G&amp;A Vendor x GL Analysis'!H$20,'[1]NS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Analysis'!H$20,'[1]NS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0</v>
      </c>
      <c r="I88" s="17">
        <f>IF(AND(I$15="Actual",ISBLANK($E$8)),SUMIFS('[1]NS Vendor Details'!$D:$D,'[1]NS Vendor Details'!$H:$H,'G&amp;A Vendor x GL Analysis'!I$20,'[1]NS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Analysis'!I$20,'[1]NS Vendor Details'!$L:$L,'G&amp;A Vendor x GL Analysis'!$D88,'[1]NS Vendor Details'!$O:$O,'G&amp;A Vendor x GL Analysis'!$F88,'[1]NS Vendor Details'!$N:$N,"Direct Costs",'[1]NS Vendor Details'!$J:$J,0),IF(I$15="Actual",SUMIFS('[1]NS Vendor Details'!$D:$D,'[1]NS Vendor Details'!$H:$H,'G&amp;A Vendor x GL Analysis'!I$20,'[1]NS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Analysis'!I$20,'[1]NS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0</v>
      </c>
      <c r="J88" s="17">
        <f>IF(AND(J$15="Actual",ISBLANK($E$8)),SUMIFS('[1]NS Vendor Details'!$D:$D,'[1]NS Vendor Details'!$H:$H,'G&amp;A Vendor x GL Analysis'!J$20,'[1]NS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Analysis'!J$20,'[1]NS Vendor Details'!$L:$L,'G&amp;A Vendor x GL Analysis'!$D88,'[1]NS Vendor Details'!$O:$O,'G&amp;A Vendor x GL Analysis'!$F88,'[1]NS Vendor Details'!$N:$N,"Direct Costs",'[1]NS Vendor Details'!$J:$J,0),IF(J$15="Actual",SUMIFS('[1]NS Vendor Details'!$D:$D,'[1]NS Vendor Details'!$H:$H,'G&amp;A Vendor x GL Analysis'!J$20,'[1]NS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Analysis'!J$20,'[1]NS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0</v>
      </c>
      <c r="K88" s="17">
        <f>IF(AND(K$15="Actual",ISBLANK($E$8)),SUMIFS('[1]NS Vendor Details'!$D:$D,'[1]NS Vendor Details'!$H:$H,'G&amp;A Vendor x GL Analysis'!K$20,'[1]NS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Analysis'!K$20,'[1]NS Vendor Details'!$L:$L,'G&amp;A Vendor x GL Analysis'!$D88,'[1]NS Vendor Details'!$O:$O,'G&amp;A Vendor x GL Analysis'!$F88,'[1]NS Vendor Details'!$N:$N,"Direct Costs",'[1]NS Vendor Details'!$J:$J,0),IF(K$15="Actual",SUMIFS('[1]NS Vendor Details'!$D:$D,'[1]NS Vendor Details'!$H:$H,'G&amp;A Vendor x GL Analysis'!K$20,'[1]NS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Analysis'!K$20,'[1]NS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0</v>
      </c>
      <c r="L88" s="17">
        <f>IF(AND(L$15="Actual",ISBLANK($E$8)),SUMIFS('[1]NS Vendor Details'!$D:$D,'[1]NS Vendor Details'!$H:$H,'G&amp;A Vendor x GL Analysis'!L$20,'[1]NS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Analysis'!L$20,'[1]NS Vendor Details'!$L:$L,'G&amp;A Vendor x GL Analysis'!$D88,'[1]NS Vendor Details'!$O:$O,'G&amp;A Vendor x GL Analysis'!$F88,'[1]NS Vendor Details'!$N:$N,"Direct Costs",'[1]NS Vendor Details'!$J:$J,0),IF(L$15="Actual",SUMIFS('[1]NS Vendor Details'!$D:$D,'[1]NS Vendor Details'!$H:$H,'G&amp;A Vendor x GL Analysis'!L$20,'[1]NS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Analysis'!L$20,'[1]NS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1400</v>
      </c>
      <c r="M88" s="17">
        <f>IF(AND(M$15="Actual",ISBLANK($E$8)),SUMIFS('[1]NS Vendor Details'!$D:$D,'[1]NS Vendor Details'!$H:$H,'G&amp;A Vendor x GL Analysis'!M$20,'[1]NS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Analysis'!M$20,'[1]NS Vendor Details'!$L:$L,'G&amp;A Vendor x GL Analysis'!$D88,'[1]NS Vendor Details'!$O:$O,'G&amp;A Vendor x GL Analysis'!$F88,'[1]NS Vendor Details'!$N:$N,"Direct Costs",'[1]NS Vendor Details'!$J:$J,0),IF(M$15="Actual",SUMIFS('[1]NS Vendor Details'!$D:$D,'[1]NS Vendor Details'!$H:$H,'G&amp;A Vendor x GL Analysis'!M$20,'[1]NS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Analysis'!M$20,'[1]NS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1400</v>
      </c>
      <c r="N88" s="17">
        <f>IF(AND(N$15="Actual",ISBLANK($E$8)),SUMIFS('[1]NS Vendor Details'!$D:$D,'[1]NS Vendor Details'!$H:$H,'G&amp;A Vendor x GL Analysis'!N$20,'[1]NS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Analysis'!N$20,'[1]NS Vendor Details'!$L:$L,'G&amp;A Vendor x GL Analysis'!$D88,'[1]NS Vendor Details'!$O:$O,'G&amp;A Vendor x GL Analysis'!$F88,'[1]NS Vendor Details'!$N:$N,"Direct Costs",'[1]NS Vendor Details'!$J:$J,0),IF(N$15="Actual",SUMIFS('[1]NS Vendor Details'!$D:$D,'[1]NS Vendor Details'!$H:$H,'G&amp;A Vendor x GL Analysis'!N$20,'[1]NS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Analysis'!N$20,'[1]NS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700</v>
      </c>
      <c r="O88" s="17">
        <f>IF(AND(O$15="Actual",ISBLANK($E$8)),SUMIFS('[1]NS Vendor Details'!$D:$D,'[1]NS Vendor Details'!$H:$H,'G&amp;A Vendor x GL Analysis'!O$20,'[1]NS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Analysis'!O$20,'[1]NS Vendor Details'!$L:$L,'G&amp;A Vendor x GL Analysis'!$D88,'[1]NS Vendor Details'!$O:$O,'G&amp;A Vendor x GL Analysis'!$F88,'[1]NS Vendor Details'!$N:$N,"Direct Costs",'[1]NS Vendor Details'!$J:$J,0),IF(O$15="Actual",SUMIFS('[1]NS Vendor Details'!$D:$D,'[1]NS Vendor Details'!$H:$H,'G&amp;A Vendor x GL Analysis'!O$20,'[1]NS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Analysis'!O$20,'[1]NS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0</v>
      </c>
      <c r="P88" s="17">
        <f>IF(AND(P$15="Actual",ISBLANK($E$8)),SUMIFS('[1]NS Vendor Details'!$D:$D,'[1]NS Vendor Details'!$H:$H,'G&amp;A Vendor x GL Analysis'!P$20,'[1]NS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Analysis'!P$20,'[1]NS Vendor Details'!$L:$L,'G&amp;A Vendor x GL Analysis'!$D88,'[1]NS Vendor Details'!$O:$O,'G&amp;A Vendor x GL Analysis'!$F88,'[1]NS Vendor Details'!$N:$N,"Direct Costs",'[1]NS Vendor Details'!$J:$J,0),IF(P$15="Actual",SUMIFS('[1]NS Vendor Details'!$D:$D,'[1]NS Vendor Details'!$H:$H,'G&amp;A Vendor x GL Analysis'!P$20,'[1]NS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Analysis'!P$20,'[1]NS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19000</v>
      </c>
      <c r="Q88" s="17">
        <f>IF(AND(Q$15="Actual",ISBLANK($E$8)),SUMIFS('[1]NS Vendor Details'!$D:$D,'[1]NS Vendor Details'!$H:$H,'G&amp;A Vendor x GL Analysis'!Q$20,'[1]NS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Analysis'!Q$20,'[1]NS Vendor Details'!$L:$L,'G&amp;A Vendor x GL Analysis'!$D88,'[1]NS Vendor Details'!$O:$O,'G&amp;A Vendor x GL Analysis'!$F88,'[1]NS Vendor Details'!$N:$N,"Direct Costs",'[1]NS Vendor Details'!$J:$J,0),IF(Q$15="Actual",SUMIFS('[1]NS Vendor Details'!$D:$D,'[1]NS Vendor Details'!$H:$H,'G&amp;A Vendor x GL Analysis'!Q$20,'[1]NS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Analysis'!Q$20,'[1]NS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12300</v>
      </c>
      <c r="R88" s="18">
        <f>IF(AND(R$15="Actual",ISBLANK($E$8)),SUMIFS('[1]NS Vendor Details'!$D:$D,'[1]NS Vendor Details'!$H:$H,'G&amp;A Vendor x GL Analysis'!R$20,'[1]NS Vendor Details'!$L:$L,'G&amp;A Vendor x GL Analysis'!$D88,'[1]NS Vendor Details'!$O:$O,'G&amp;A Vendor x GL Analysis'!$F88,'[1]NS Vendor Details'!$N:$N,'G&amp;A Vendor x GL Analysis'!$C88)+SUMIFS('[1]NS Vendor Details'!$D:$D,'[1]NS Vendor Details'!$H:$H,'G&amp;A Vendor x GL Analysis'!R$20,'[1]NS Vendor Details'!$L:$L,'G&amp;A Vendor x GL Analysis'!$D88,'[1]NS Vendor Details'!$O:$O,'G&amp;A Vendor x GL Analysis'!$F88,'[1]NS Vendor Details'!$N:$N,"Direct Costs",'[1]NS Vendor Details'!$J:$J,0),IF(R$15="Actual",SUMIFS('[1]NS Vendor Details'!$D:$D,'[1]NS Vendor Details'!$H:$H,'G&amp;A Vendor x GL Analysis'!R$20,'[1]NS Vendor Details'!$L:$L,'G&amp;A Vendor x GL Analysis'!$D88,'[1]NS Vendor Details'!$O:$O,'G&amp;A Vendor x GL Analysis'!$F88,'[1]NS Vendor Details'!$N:$N,'G&amp;A Vendor x GL Analysis'!$C88,'[1]NS Vendor Details'!$K:$K,'G&amp;A Vendor x GL Analysis'!$E$8)+SUMIFS('[1]NS Vendor Details'!$D:$D,'[1]NS Vendor Details'!$H:$H,'G&amp;A Vendor x GL Analysis'!R$20,'[1]NS Vendor Details'!$L:$L,'G&amp;A Vendor x GL Analysis'!$D88,'[1]NS Vendor Details'!$O:$O,'G&amp;A Vendor x GL Analysis'!$F88,'[1]NS Vendor Details'!$N:$N,"Direct Costs",'[1]NS Vendor Details'!$J:$J,0,'[1]NS Vendor Details'!$K:$K,'G&amp;A Vendor x GL Analysis'!$E$8),0))</f>
        <v>2100</v>
      </c>
      <c r="S88" s="16">
        <f>IF(AND(S$15="Actual",ISBLANK($E$8)),SUMIFS('[1]NS Vendor Details'!$D:$D,'[1]NS Vendor Details'!$H:$H,'G&amp;A Vendor x GL Analysis'!S$20,'[1]NS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Analysis'!S$20,'[1]NS Vendor Details'!$L:$L,'G&amp;A Vendor x GL Analysis'!$D88,'[1]NS Vendor Details'!$O:$O,'G&amp;A Vendor x GL Analysis'!$F88,'[1]NS Vendor Details'!$N:$N,"Direct Costs",'[1]NS Vendor Details'!$J:$J,0,'[1]NS Vendor Details'!$I:$I,'G&amp;A Vendor x GL Analysis'!$E88),IF(S$15="Actual",SUMIFS('[1]NS Vendor Details'!$D:$D,'[1]NS Vendor Details'!$H:$H,'G&amp;A Vendor x GL Analysis'!S$20,'[1]NS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Analysis'!S$20,'[1]NS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700</v>
      </c>
      <c r="T88" s="17">
        <f>IF(AND(T$15="Actual",ISBLANK($E$8)),SUMIFS('[1]NS Vendor Details'!$D:$D,'[1]NS Vendor Details'!$H:$H,'G&amp;A Vendor x GL Analysis'!T$20,'[1]NS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Analysis'!T$20,'[1]NS Vendor Details'!$L:$L,'G&amp;A Vendor x GL Analysis'!$D88,'[1]NS Vendor Details'!$O:$O,'G&amp;A Vendor x GL Analysis'!$F88,'[1]NS Vendor Details'!$N:$N,"Direct Costs",'[1]NS Vendor Details'!$J:$J,0,'[1]NS Vendor Details'!$I:$I,'G&amp;A Vendor x GL Analysis'!$E88),IF(T$15="Actual",SUMIFS('[1]NS Vendor Details'!$D:$D,'[1]NS Vendor Details'!$H:$H,'G&amp;A Vendor x GL Analysis'!T$20,'[1]NS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Analysis'!T$20,'[1]NS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0</v>
      </c>
      <c r="U88" s="17">
        <f>IF(AND(U$15="Actual",ISBLANK($E$8)),SUMIFS('[1]NS Vendor Details'!$D:$D,'[1]NS Vendor Details'!$H:$H,'G&amp;A Vendor x GL Analysis'!U$20,'[1]NS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Analysis'!U$20,'[1]NS Vendor Details'!$L:$L,'G&amp;A Vendor x GL Analysis'!$D88,'[1]NS Vendor Details'!$O:$O,'G&amp;A Vendor x GL Analysis'!$F88,'[1]NS Vendor Details'!$N:$N,"Direct Costs",'[1]NS Vendor Details'!$J:$J,0,'[1]NS Vendor Details'!$I:$I,'G&amp;A Vendor x GL Analysis'!$E88),IF(U$15="Actual",SUMIFS('[1]NS Vendor Details'!$D:$D,'[1]NS Vendor Details'!$H:$H,'G&amp;A Vendor x GL Analysis'!U$20,'[1]NS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Analysis'!U$20,'[1]NS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0</v>
      </c>
      <c r="V88" s="17">
        <f>IF(AND(V$15="Actual",ISBLANK($E$8)),SUMIFS('[1]NS Vendor Details'!$D:$D,'[1]NS Vendor Details'!$H:$H,'G&amp;A Vendor x GL Analysis'!V$20,'[1]NS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Analysis'!V$20,'[1]NS Vendor Details'!$L:$L,'G&amp;A Vendor x GL Analysis'!$D88,'[1]NS Vendor Details'!$O:$O,'G&amp;A Vendor x GL Analysis'!$F88,'[1]NS Vendor Details'!$N:$N,"Direct Costs",'[1]NS Vendor Details'!$J:$J,0,'[1]NS Vendor Details'!$I:$I,'G&amp;A Vendor x GL Analysis'!$E88),IF(V$15="Actual",SUMIFS('[1]NS Vendor Details'!$D:$D,'[1]NS Vendor Details'!$H:$H,'G&amp;A Vendor x GL Analysis'!V$20,'[1]NS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Analysis'!V$20,'[1]NS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0</v>
      </c>
      <c r="W88" s="17">
        <f>IF(AND(W$15="Actual",ISBLANK($E$8)),SUMIFS('[1]NS Vendor Details'!$D:$D,'[1]NS Vendor Details'!$H:$H,'G&amp;A Vendor x GL Analysis'!W$20,'[1]NS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Analysis'!W$20,'[1]NS Vendor Details'!$L:$L,'G&amp;A Vendor x GL Analysis'!$D88,'[1]NS Vendor Details'!$O:$O,'G&amp;A Vendor x GL Analysis'!$F88,'[1]NS Vendor Details'!$N:$N,"Direct Costs",'[1]NS Vendor Details'!$J:$J,0,'[1]NS Vendor Details'!$I:$I,'G&amp;A Vendor x GL Analysis'!$E88),IF(W$15="Actual",SUMIFS('[1]NS Vendor Details'!$D:$D,'[1]NS Vendor Details'!$H:$H,'G&amp;A Vendor x GL Analysis'!W$20,'[1]NS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Analysis'!W$20,'[1]NS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0</v>
      </c>
      <c r="X88" s="17">
        <f>IF(AND(X$15="Actual",ISBLANK($E$8)),SUMIFS('[1]NS Vendor Details'!$D:$D,'[1]NS Vendor Details'!$H:$H,'G&amp;A Vendor x GL Analysis'!X$20,'[1]NS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Analysis'!X$20,'[1]NS Vendor Details'!$L:$L,'G&amp;A Vendor x GL Analysis'!$D88,'[1]NS Vendor Details'!$O:$O,'G&amp;A Vendor x GL Analysis'!$F88,'[1]NS Vendor Details'!$N:$N,"Direct Costs",'[1]NS Vendor Details'!$J:$J,0,'[1]NS Vendor Details'!$I:$I,'G&amp;A Vendor x GL Analysis'!$E88),IF(X$15="Actual",SUMIFS('[1]NS Vendor Details'!$D:$D,'[1]NS Vendor Details'!$H:$H,'G&amp;A Vendor x GL Analysis'!X$20,'[1]NS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Analysis'!X$20,'[1]NS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22800</v>
      </c>
      <c r="Y88" s="17">
        <f>IF(AND(Y$15="Actual",ISBLANK($E$8)),SUMIFS('[1]NS Vendor Details'!$D:$D,'[1]NS Vendor Details'!$H:$H,'G&amp;A Vendor x GL Analysis'!Y$20,'[1]NS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Analysis'!Y$20,'[1]NS Vendor Details'!$L:$L,'G&amp;A Vendor x GL Analysis'!$D88,'[1]NS Vendor Details'!$O:$O,'G&amp;A Vendor x GL Analysis'!$F88,'[1]NS Vendor Details'!$N:$N,"Direct Costs",'[1]NS Vendor Details'!$J:$J,0,'[1]NS Vendor Details'!$I:$I,'G&amp;A Vendor x GL Analysis'!$E88),IF(Y$15="Actual",SUMIFS('[1]NS Vendor Details'!$D:$D,'[1]NS Vendor Details'!$H:$H,'G&amp;A Vendor x GL Analysis'!Y$20,'[1]NS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Analysis'!Y$20,'[1]NS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13500</v>
      </c>
      <c r="Z88" s="17">
        <f>IF(AND(Z$15="Actual",ISBLANK($E$8)),SUMIFS('[1]NS Vendor Details'!$D:$D,'[1]NS Vendor Details'!$H:$H,'G&amp;A Vendor x GL Analysis'!Z$20,'[1]NS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Analysis'!Z$20,'[1]NS Vendor Details'!$L:$L,'G&amp;A Vendor x GL Analysis'!$D88,'[1]NS Vendor Details'!$O:$O,'G&amp;A Vendor x GL Analysis'!$F88,'[1]NS Vendor Details'!$N:$N,"Direct Costs",'[1]NS Vendor Details'!$J:$J,0,'[1]NS Vendor Details'!$I:$I,'G&amp;A Vendor x GL Analysis'!$E88),IF(Z$15="Actual",SUMIFS('[1]NS Vendor Details'!$D:$D,'[1]NS Vendor Details'!$H:$H,'G&amp;A Vendor x GL Analysis'!Z$20,'[1]NS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Analysis'!Z$20,'[1]NS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0</v>
      </c>
      <c r="AA88" s="17">
        <f>IF(AND(AA$15="Actual",ISBLANK($E$8)),SUMIFS('[1]NS Vendor Details'!$D:$D,'[1]NS Vendor Details'!$H:$H,'G&amp;A Vendor x GL Analysis'!AA$20,'[1]NS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Analysis'!AA$20,'[1]NS Vendor Details'!$L:$L,'G&amp;A Vendor x GL Analysis'!$D88,'[1]NS Vendor Details'!$O:$O,'G&amp;A Vendor x GL Analysis'!$F88,'[1]NS Vendor Details'!$N:$N,"Direct Costs",'[1]NS Vendor Details'!$J:$J,0,'[1]NS Vendor Details'!$I:$I,'G&amp;A Vendor x GL Analysis'!$E88),IF(AA$15="Actual",SUMIFS('[1]NS Vendor Details'!$D:$D,'[1]NS Vendor Details'!$H:$H,'G&amp;A Vendor x GL Analysis'!AA$20,'[1]NS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Analysis'!AA$20,'[1]NS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11000</v>
      </c>
      <c r="AB88" s="17">
        <f>IF(AND(AB$15="Actual",ISBLANK($E$8)),SUMIFS('[1]NS Vendor Details'!$D:$D,'[1]NS Vendor Details'!$H:$H,'G&amp;A Vendor x GL Analysis'!AB$20,'[1]NS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Analysis'!AB$20,'[1]NS Vendor Details'!$L:$L,'G&amp;A Vendor x GL Analysis'!$D88,'[1]NS Vendor Details'!$O:$O,'G&amp;A Vendor x GL Analysis'!$F88,'[1]NS Vendor Details'!$N:$N,"Direct Costs",'[1]NS Vendor Details'!$J:$J,0,'[1]NS Vendor Details'!$I:$I,'G&amp;A Vendor x GL Analysis'!$E88),IF(AB$15="Actual",SUMIFS('[1]NS Vendor Details'!$D:$D,'[1]NS Vendor Details'!$H:$H,'G&amp;A Vendor x GL Analysis'!AB$20,'[1]NS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Analysis'!AB$20,'[1]NS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0</v>
      </c>
      <c r="AC88" s="18">
        <f>IF(AND(AC$15="Actual",ISBLANK($E$8)),SUMIFS('[1]NS Vendor Details'!$D:$D,'[1]NS Vendor Details'!$H:$H,'G&amp;A Vendor x GL Analysis'!AC$20,'[1]NS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Analysis'!AC$20,'[1]NS Vendor Details'!$L:$L,'G&amp;A Vendor x GL Analysis'!$D88,'[1]NS Vendor Details'!$O:$O,'G&amp;A Vendor x GL Analysis'!$F88,'[1]NS Vendor Details'!$N:$N,"Direct Costs",'[1]NS Vendor Details'!$J:$J,0,'[1]NS Vendor Details'!$I:$I,'G&amp;A Vendor x GL Analysis'!$E88),IF(AC$15="Actual",SUMIFS('[1]NS Vendor Details'!$D:$D,'[1]NS Vendor Details'!$H:$H,'G&amp;A Vendor x GL Analysis'!AC$20,'[1]NS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Analysis'!AC$20,'[1]NS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14150</v>
      </c>
      <c r="AD88" s="18">
        <f>IF(AND(AD$15="Actual",ISBLANK($E$8)),SUMIFS('[1]NS Vendor Details'!$D:$D,'[1]NS Vendor Details'!$H:$H,'G&amp;A Vendor x GL Analysis'!AD$20,'[1]NS Vendor Details'!$L:$L,'G&amp;A Vendor x GL Analysis'!$D88,'[1]NS Vendor Details'!$O:$O,'G&amp;A Vendor x GL Analysis'!$F88,'[1]NS Vendor Details'!$N:$N,'G&amp;A Vendor x GL Analysis'!$C88,'[1]NS Vendor Details'!$I:$I,'G&amp;A Vendor x GL Analysis'!$E88)+SUMIFS('[1]NS Vendor Details'!$D:$D,'[1]NS Vendor Details'!$H:$H,'G&amp;A Vendor x GL Analysis'!AD$20,'[1]NS Vendor Details'!$L:$L,'G&amp;A Vendor x GL Analysis'!$D88,'[1]NS Vendor Details'!$O:$O,'G&amp;A Vendor x GL Analysis'!$F88,'[1]NS Vendor Details'!$N:$N,"Direct Costs",'[1]NS Vendor Details'!$J:$J,0,'[1]NS Vendor Details'!$I:$I,'G&amp;A Vendor x GL Analysis'!$E88),IF(AD$15="Actual",SUMIFS('[1]NS Vendor Details'!$D:$D,'[1]NS Vendor Details'!$H:$H,'G&amp;A Vendor x GL Analysis'!AD$20,'[1]NS Vendor Details'!$L:$L,'G&amp;A Vendor x GL Analysis'!$D88,'[1]NS Vendor Details'!$O:$O,'G&amp;A Vendor x GL Analysis'!$F88,'[1]NS Vendor Details'!$N:$N,'G&amp;A Vendor x GL Analysis'!$C88,'[1]NS Vendor Details'!$K:$K,'G&amp;A Vendor x GL Analysis'!$E$8,'[1]NS Vendor Details'!$I:$I,'G&amp;A Vendor x GL Analysis'!$E88)+SUMIFS('[1]NS Vendor Details'!$D:$D,'[1]NS Vendor Details'!$H:$H,'G&amp;A Vendor x GL Analysis'!AD$20,'[1]NS Vendor Details'!$L:$L,'G&amp;A Vendor x GL Analysis'!$D88,'[1]NS Vendor Details'!$O:$O,'G&amp;A Vendor x GL Analysis'!$F88,'[1]NS Vendor Details'!$N:$N,"Direct Costs",'[1]NS Vendor Details'!$J:$J,0,'[1]NS Vendor Details'!$K:$K,'G&amp;A Vendor x GL Analysis'!$E$8,'[1]NS Vendor Details'!$I:$I,'G&amp;A Vendor x GL Analysis'!$E88),0))</f>
        <v>0</v>
      </c>
      <c r="AF88" s="19">
        <f t="shared" si="9"/>
        <v>62150</v>
      </c>
    </row>
    <row r="89" spans="1:32" outlineLevel="1">
      <c r="A89" s="8" t="str">
        <f t="shared" si="22"/>
        <v>Professional Service6225 - Professional Services</v>
      </c>
      <c r="C89" s="8" t="s">
        <v>11</v>
      </c>
      <c r="D89" s="8" t="str">
        <f t="shared" si="21"/>
        <v>Professional Service</v>
      </c>
      <c r="E89" s="2" t="s">
        <v>75</v>
      </c>
      <c r="F89" s="2" t="s">
        <v>82</v>
      </c>
      <c r="G89" s="16">
        <f>IF(AND(G$15="Actual",ISBLANK($E$8)),SUMIFS('[1]NS Vendor Details'!$D:$D,'[1]NS Vendor Details'!$H:$H,'G&amp;A Vendor x GL Analysis'!G$20,'[1]NS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Analysis'!G$20,'[1]NS Vendor Details'!$L:$L,'G&amp;A Vendor x GL Analysis'!$D89,'[1]NS Vendor Details'!$O:$O,'G&amp;A Vendor x GL Analysis'!$F89,'[1]NS Vendor Details'!$N:$N,"Direct Costs",'[1]NS Vendor Details'!$J:$J,0),IF(G$15="Actual",SUMIFS('[1]NS Vendor Details'!$D:$D,'[1]NS Vendor Details'!$H:$H,'G&amp;A Vendor x GL Analysis'!G$20,'[1]NS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Analysis'!G$20,'[1]NS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0</v>
      </c>
      <c r="H89" s="17">
        <f>IF(AND(H$15="Actual",ISBLANK($E$8)),SUMIFS('[1]NS Vendor Details'!$D:$D,'[1]NS Vendor Details'!$H:$H,'G&amp;A Vendor x GL Analysis'!H$20,'[1]NS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Analysis'!H$20,'[1]NS Vendor Details'!$L:$L,'G&amp;A Vendor x GL Analysis'!$D89,'[1]NS Vendor Details'!$O:$O,'G&amp;A Vendor x GL Analysis'!$F89,'[1]NS Vendor Details'!$N:$N,"Direct Costs",'[1]NS Vendor Details'!$J:$J,0),IF(H$15="Actual",SUMIFS('[1]NS Vendor Details'!$D:$D,'[1]NS Vendor Details'!$H:$H,'G&amp;A Vendor x GL Analysis'!H$20,'[1]NS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Analysis'!H$20,'[1]NS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0</v>
      </c>
      <c r="I89" s="17">
        <f>IF(AND(I$15="Actual",ISBLANK($E$8)),SUMIFS('[1]NS Vendor Details'!$D:$D,'[1]NS Vendor Details'!$H:$H,'G&amp;A Vendor x GL Analysis'!I$20,'[1]NS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Analysis'!I$20,'[1]NS Vendor Details'!$L:$L,'G&amp;A Vendor x GL Analysis'!$D89,'[1]NS Vendor Details'!$O:$O,'G&amp;A Vendor x GL Analysis'!$F89,'[1]NS Vendor Details'!$N:$N,"Direct Costs",'[1]NS Vendor Details'!$J:$J,0),IF(I$15="Actual",SUMIFS('[1]NS Vendor Details'!$D:$D,'[1]NS Vendor Details'!$H:$H,'G&amp;A Vendor x GL Analysis'!I$20,'[1]NS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Analysis'!I$20,'[1]NS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0</v>
      </c>
      <c r="J89" s="17">
        <f>IF(AND(J$15="Actual",ISBLANK($E$8)),SUMIFS('[1]NS Vendor Details'!$D:$D,'[1]NS Vendor Details'!$H:$H,'G&amp;A Vendor x GL Analysis'!J$20,'[1]NS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Analysis'!J$20,'[1]NS Vendor Details'!$L:$L,'G&amp;A Vendor x GL Analysis'!$D89,'[1]NS Vendor Details'!$O:$O,'G&amp;A Vendor x GL Analysis'!$F89,'[1]NS Vendor Details'!$N:$N,"Direct Costs",'[1]NS Vendor Details'!$J:$J,0),IF(J$15="Actual",SUMIFS('[1]NS Vendor Details'!$D:$D,'[1]NS Vendor Details'!$H:$H,'G&amp;A Vendor x GL Analysis'!J$20,'[1]NS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Analysis'!J$20,'[1]NS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0</v>
      </c>
      <c r="K89" s="17">
        <f>IF(AND(K$15="Actual",ISBLANK($E$8)),SUMIFS('[1]NS Vendor Details'!$D:$D,'[1]NS Vendor Details'!$H:$H,'G&amp;A Vendor x GL Analysis'!K$20,'[1]NS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Analysis'!K$20,'[1]NS Vendor Details'!$L:$L,'G&amp;A Vendor x GL Analysis'!$D89,'[1]NS Vendor Details'!$O:$O,'G&amp;A Vendor x GL Analysis'!$F89,'[1]NS Vendor Details'!$N:$N,"Direct Costs",'[1]NS Vendor Details'!$J:$J,0),IF(K$15="Actual",SUMIFS('[1]NS Vendor Details'!$D:$D,'[1]NS Vendor Details'!$H:$H,'G&amp;A Vendor x GL Analysis'!K$20,'[1]NS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Analysis'!K$20,'[1]NS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0</v>
      </c>
      <c r="L89" s="17">
        <f>IF(AND(L$15="Actual",ISBLANK($E$8)),SUMIFS('[1]NS Vendor Details'!$D:$D,'[1]NS Vendor Details'!$H:$H,'G&amp;A Vendor x GL Analysis'!L$20,'[1]NS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Analysis'!L$20,'[1]NS Vendor Details'!$L:$L,'G&amp;A Vendor x GL Analysis'!$D89,'[1]NS Vendor Details'!$O:$O,'G&amp;A Vendor x GL Analysis'!$F89,'[1]NS Vendor Details'!$N:$N,"Direct Costs",'[1]NS Vendor Details'!$J:$J,0),IF(L$15="Actual",SUMIFS('[1]NS Vendor Details'!$D:$D,'[1]NS Vendor Details'!$H:$H,'G&amp;A Vendor x GL Analysis'!L$20,'[1]NS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Analysis'!L$20,'[1]NS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0</v>
      </c>
      <c r="M89" s="17">
        <f>IF(AND(M$15="Actual",ISBLANK($E$8)),SUMIFS('[1]NS Vendor Details'!$D:$D,'[1]NS Vendor Details'!$H:$H,'G&amp;A Vendor x GL Analysis'!M$20,'[1]NS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Analysis'!M$20,'[1]NS Vendor Details'!$L:$L,'G&amp;A Vendor x GL Analysis'!$D89,'[1]NS Vendor Details'!$O:$O,'G&amp;A Vendor x GL Analysis'!$F89,'[1]NS Vendor Details'!$N:$N,"Direct Costs",'[1]NS Vendor Details'!$J:$J,0),IF(M$15="Actual",SUMIFS('[1]NS Vendor Details'!$D:$D,'[1]NS Vendor Details'!$H:$H,'G&amp;A Vendor x GL Analysis'!M$20,'[1]NS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Analysis'!M$20,'[1]NS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7500</v>
      </c>
      <c r="N89" s="17">
        <f>IF(AND(N$15="Actual",ISBLANK($E$8)),SUMIFS('[1]NS Vendor Details'!$D:$D,'[1]NS Vendor Details'!$H:$H,'G&amp;A Vendor x GL Analysis'!N$20,'[1]NS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Analysis'!N$20,'[1]NS Vendor Details'!$L:$L,'G&amp;A Vendor x GL Analysis'!$D89,'[1]NS Vendor Details'!$O:$O,'G&amp;A Vendor x GL Analysis'!$F89,'[1]NS Vendor Details'!$N:$N,"Direct Costs",'[1]NS Vendor Details'!$J:$J,0),IF(N$15="Actual",SUMIFS('[1]NS Vendor Details'!$D:$D,'[1]NS Vendor Details'!$H:$H,'G&amp;A Vendor x GL Analysis'!N$20,'[1]NS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Analysis'!N$20,'[1]NS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7500</v>
      </c>
      <c r="O89" s="17">
        <f>IF(AND(O$15="Actual",ISBLANK($E$8)),SUMIFS('[1]NS Vendor Details'!$D:$D,'[1]NS Vendor Details'!$H:$H,'G&amp;A Vendor x GL Analysis'!O$20,'[1]NS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Analysis'!O$20,'[1]NS Vendor Details'!$L:$L,'G&amp;A Vendor x GL Analysis'!$D89,'[1]NS Vendor Details'!$O:$O,'G&amp;A Vendor x GL Analysis'!$F89,'[1]NS Vendor Details'!$N:$N,"Direct Costs",'[1]NS Vendor Details'!$J:$J,0),IF(O$15="Actual",SUMIFS('[1]NS Vendor Details'!$D:$D,'[1]NS Vendor Details'!$H:$H,'G&amp;A Vendor x GL Analysis'!O$20,'[1]NS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Analysis'!O$20,'[1]NS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7500</v>
      </c>
      <c r="P89" s="17">
        <f>IF(AND(P$15="Actual",ISBLANK($E$8)),SUMIFS('[1]NS Vendor Details'!$D:$D,'[1]NS Vendor Details'!$H:$H,'G&amp;A Vendor x GL Analysis'!P$20,'[1]NS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Analysis'!P$20,'[1]NS Vendor Details'!$L:$L,'G&amp;A Vendor x GL Analysis'!$D89,'[1]NS Vendor Details'!$O:$O,'G&amp;A Vendor x GL Analysis'!$F89,'[1]NS Vendor Details'!$N:$N,"Direct Costs",'[1]NS Vendor Details'!$J:$J,0),IF(P$15="Actual",SUMIFS('[1]NS Vendor Details'!$D:$D,'[1]NS Vendor Details'!$H:$H,'G&amp;A Vendor x GL Analysis'!P$20,'[1]NS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Analysis'!P$20,'[1]NS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7500</v>
      </c>
      <c r="Q89" s="17">
        <f>IF(AND(Q$15="Actual",ISBLANK($E$8)),SUMIFS('[1]NS Vendor Details'!$D:$D,'[1]NS Vendor Details'!$H:$H,'G&amp;A Vendor x GL Analysis'!Q$20,'[1]NS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Analysis'!Q$20,'[1]NS Vendor Details'!$L:$L,'G&amp;A Vendor x GL Analysis'!$D89,'[1]NS Vendor Details'!$O:$O,'G&amp;A Vendor x GL Analysis'!$F89,'[1]NS Vendor Details'!$N:$N,"Direct Costs",'[1]NS Vendor Details'!$J:$J,0),IF(Q$15="Actual",SUMIFS('[1]NS Vendor Details'!$D:$D,'[1]NS Vendor Details'!$H:$H,'G&amp;A Vendor x GL Analysis'!Q$20,'[1]NS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Analysis'!Q$20,'[1]NS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7500</v>
      </c>
      <c r="R89" s="18">
        <f>IF(AND(R$15="Actual",ISBLANK($E$8)),SUMIFS('[1]NS Vendor Details'!$D:$D,'[1]NS Vendor Details'!$H:$H,'G&amp;A Vendor x GL Analysis'!R$20,'[1]NS Vendor Details'!$L:$L,'G&amp;A Vendor x GL Analysis'!$D89,'[1]NS Vendor Details'!$O:$O,'G&amp;A Vendor x GL Analysis'!$F89,'[1]NS Vendor Details'!$N:$N,'G&amp;A Vendor x GL Analysis'!$C89)+SUMIFS('[1]NS Vendor Details'!$D:$D,'[1]NS Vendor Details'!$H:$H,'G&amp;A Vendor x GL Analysis'!R$20,'[1]NS Vendor Details'!$L:$L,'G&amp;A Vendor x GL Analysis'!$D89,'[1]NS Vendor Details'!$O:$O,'G&amp;A Vendor x GL Analysis'!$F89,'[1]NS Vendor Details'!$N:$N,"Direct Costs",'[1]NS Vendor Details'!$J:$J,0),IF(R$15="Actual",SUMIFS('[1]NS Vendor Details'!$D:$D,'[1]NS Vendor Details'!$H:$H,'G&amp;A Vendor x GL Analysis'!R$20,'[1]NS Vendor Details'!$L:$L,'G&amp;A Vendor x GL Analysis'!$D89,'[1]NS Vendor Details'!$O:$O,'G&amp;A Vendor x GL Analysis'!$F89,'[1]NS Vendor Details'!$N:$N,'G&amp;A Vendor x GL Analysis'!$C89,'[1]NS Vendor Details'!$K:$K,'G&amp;A Vendor x GL Analysis'!$E$8)+SUMIFS('[1]NS Vendor Details'!$D:$D,'[1]NS Vendor Details'!$H:$H,'G&amp;A Vendor x GL Analysis'!R$20,'[1]NS Vendor Details'!$L:$L,'G&amp;A Vendor x GL Analysis'!$D89,'[1]NS Vendor Details'!$O:$O,'G&amp;A Vendor x GL Analysis'!$F89,'[1]NS Vendor Details'!$N:$N,"Direct Costs",'[1]NS Vendor Details'!$J:$J,0,'[1]NS Vendor Details'!$K:$K,'G&amp;A Vendor x GL Analysis'!$E$8),0))</f>
        <v>7500</v>
      </c>
      <c r="S89" s="16">
        <f>IF(AND(S$15="Actual",ISBLANK($E$8)),SUMIFS('[1]NS Vendor Details'!$D:$D,'[1]NS Vendor Details'!$H:$H,'G&amp;A Vendor x GL Analysis'!S$20,'[1]NS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Analysis'!S$20,'[1]NS Vendor Details'!$L:$L,'G&amp;A Vendor x GL Analysis'!$D89,'[1]NS Vendor Details'!$O:$O,'G&amp;A Vendor x GL Analysis'!$F89,'[1]NS Vendor Details'!$N:$N,"Direct Costs",'[1]NS Vendor Details'!$J:$J,0,'[1]NS Vendor Details'!$I:$I,'G&amp;A Vendor x GL Analysis'!$E89),IF(S$15="Actual",SUMIFS('[1]NS Vendor Details'!$D:$D,'[1]NS Vendor Details'!$H:$H,'G&amp;A Vendor x GL Analysis'!S$20,'[1]NS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Analysis'!S$20,'[1]NS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7500</v>
      </c>
      <c r="T89" s="17">
        <f>IF(AND(T$15="Actual",ISBLANK($E$8)),SUMIFS('[1]NS Vendor Details'!$D:$D,'[1]NS Vendor Details'!$H:$H,'G&amp;A Vendor x GL Analysis'!T$20,'[1]NS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Analysis'!T$20,'[1]NS Vendor Details'!$L:$L,'G&amp;A Vendor x GL Analysis'!$D89,'[1]NS Vendor Details'!$O:$O,'G&amp;A Vendor x GL Analysis'!$F89,'[1]NS Vendor Details'!$N:$N,"Direct Costs",'[1]NS Vendor Details'!$J:$J,0,'[1]NS Vendor Details'!$I:$I,'G&amp;A Vendor x GL Analysis'!$E89),IF(T$15="Actual",SUMIFS('[1]NS Vendor Details'!$D:$D,'[1]NS Vendor Details'!$H:$H,'G&amp;A Vendor x GL Analysis'!T$20,'[1]NS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Analysis'!T$20,'[1]NS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7500</v>
      </c>
      <c r="U89" s="17">
        <f>IF(AND(U$15="Actual",ISBLANK($E$8)),SUMIFS('[1]NS Vendor Details'!$D:$D,'[1]NS Vendor Details'!$H:$H,'G&amp;A Vendor x GL Analysis'!U$20,'[1]NS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Analysis'!U$20,'[1]NS Vendor Details'!$L:$L,'G&amp;A Vendor x GL Analysis'!$D89,'[1]NS Vendor Details'!$O:$O,'G&amp;A Vendor x GL Analysis'!$F89,'[1]NS Vendor Details'!$N:$N,"Direct Costs",'[1]NS Vendor Details'!$J:$J,0,'[1]NS Vendor Details'!$I:$I,'G&amp;A Vendor x GL Analysis'!$E89),IF(U$15="Actual",SUMIFS('[1]NS Vendor Details'!$D:$D,'[1]NS Vendor Details'!$H:$H,'G&amp;A Vendor x GL Analysis'!U$20,'[1]NS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Analysis'!U$20,'[1]NS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V89" s="17">
        <f>IF(AND(V$15="Actual",ISBLANK($E$8)),SUMIFS('[1]NS Vendor Details'!$D:$D,'[1]NS Vendor Details'!$H:$H,'G&amp;A Vendor x GL Analysis'!V$20,'[1]NS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Analysis'!V$20,'[1]NS Vendor Details'!$L:$L,'G&amp;A Vendor x GL Analysis'!$D89,'[1]NS Vendor Details'!$O:$O,'G&amp;A Vendor x GL Analysis'!$F89,'[1]NS Vendor Details'!$N:$N,"Direct Costs",'[1]NS Vendor Details'!$J:$J,0,'[1]NS Vendor Details'!$I:$I,'G&amp;A Vendor x GL Analysis'!$E89),IF(V$15="Actual",SUMIFS('[1]NS Vendor Details'!$D:$D,'[1]NS Vendor Details'!$H:$H,'G&amp;A Vendor x GL Analysis'!V$20,'[1]NS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Analysis'!V$20,'[1]NS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W89" s="17">
        <f>IF(AND(W$15="Actual",ISBLANK($E$8)),SUMIFS('[1]NS Vendor Details'!$D:$D,'[1]NS Vendor Details'!$H:$H,'G&amp;A Vendor x GL Analysis'!W$20,'[1]NS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Analysis'!W$20,'[1]NS Vendor Details'!$L:$L,'G&amp;A Vendor x GL Analysis'!$D89,'[1]NS Vendor Details'!$O:$O,'G&amp;A Vendor x GL Analysis'!$F89,'[1]NS Vendor Details'!$N:$N,"Direct Costs",'[1]NS Vendor Details'!$J:$J,0,'[1]NS Vendor Details'!$I:$I,'G&amp;A Vendor x GL Analysis'!$E89),IF(W$15="Actual",SUMIFS('[1]NS Vendor Details'!$D:$D,'[1]NS Vendor Details'!$H:$H,'G&amp;A Vendor x GL Analysis'!W$20,'[1]NS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Analysis'!W$20,'[1]NS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X89" s="17">
        <f>IF(AND(X$15="Actual",ISBLANK($E$8)),SUMIFS('[1]NS Vendor Details'!$D:$D,'[1]NS Vendor Details'!$H:$H,'G&amp;A Vendor x GL Analysis'!X$20,'[1]NS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Analysis'!X$20,'[1]NS Vendor Details'!$L:$L,'G&amp;A Vendor x GL Analysis'!$D89,'[1]NS Vendor Details'!$O:$O,'G&amp;A Vendor x GL Analysis'!$F89,'[1]NS Vendor Details'!$N:$N,"Direct Costs",'[1]NS Vendor Details'!$J:$J,0,'[1]NS Vendor Details'!$I:$I,'G&amp;A Vendor x GL Analysis'!$E89),IF(X$15="Actual",SUMIFS('[1]NS Vendor Details'!$D:$D,'[1]NS Vendor Details'!$H:$H,'G&amp;A Vendor x GL Analysis'!X$20,'[1]NS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Analysis'!X$20,'[1]NS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Y89" s="17">
        <f>IF(AND(Y$15="Actual",ISBLANK($E$8)),SUMIFS('[1]NS Vendor Details'!$D:$D,'[1]NS Vendor Details'!$H:$H,'G&amp;A Vendor x GL Analysis'!Y$20,'[1]NS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Analysis'!Y$20,'[1]NS Vendor Details'!$L:$L,'G&amp;A Vendor x GL Analysis'!$D89,'[1]NS Vendor Details'!$O:$O,'G&amp;A Vendor x GL Analysis'!$F89,'[1]NS Vendor Details'!$N:$N,"Direct Costs",'[1]NS Vendor Details'!$J:$J,0,'[1]NS Vendor Details'!$I:$I,'G&amp;A Vendor x GL Analysis'!$E89),IF(Y$15="Actual",SUMIFS('[1]NS Vendor Details'!$D:$D,'[1]NS Vendor Details'!$H:$H,'G&amp;A Vendor x GL Analysis'!Y$20,'[1]NS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Analysis'!Y$20,'[1]NS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Z89" s="17">
        <f>IF(AND(Z$15="Actual",ISBLANK($E$8)),SUMIFS('[1]NS Vendor Details'!$D:$D,'[1]NS Vendor Details'!$H:$H,'G&amp;A Vendor x GL Analysis'!Z$20,'[1]NS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Analysis'!Z$20,'[1]NS Vendor Details'!$L:$L,'G&amp;A Vendor x GL Analysis'!$D89,'[1]NS Vendor Details'!$O:$O,'G&amp;A Vendor x GL Analysis'!$F89,'[1]NS Vendor Details'!$N:$N,"Direct Costs",'[1]NS Vendor Details'!$J:$J,0,'[1]NS Vendor Details'!$I:$I,'G&amp;A Vendor x GL Analysis'!$E89),IF(Z$15="Actual",SUMIFS('[1]NS Vendor Details'!$D:$D,'[1]NS Vendor Details'!$H:$H,'G&amp;A Vendor x GL Analysis'!Z$20,'[1]NS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Analysis'!Z$20,'[1]NS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AA89" s="17">
        <f>IF(AND(AA$15="Actual",ISBLANK($E$8)),SUMIFS('[1]NS Vendor Details'!$D:$D,'[1]NS Vendor Details'!$H:$H,'G&amp;A Vendor x GL Analysis'!AA$20,'[1]NS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Analysis'!AA$20,'[1]NS Vendor Details'!$L:$L,'G&amp;A Vendor x GL Analysis'!$D89,'[1]NS Vendor Details'!$O:$O,'G&amp;A Vendor x GL Analysis'!$F89,'[1]NS Vendor Details'!$N:$N,"Direct Costs",'[1]NS Vendor Details'!$J:$J,0,'[1]NS Vendor Details'!$I:$I,'G&amp;A Vendor x GL Analysis'!$E89),IF(AA$15="Actual",SUMIFS('[1]NS Vendor Details'!$D:$D,'[1]NS Vendor Details'!$H:$H,'G&amp;A Vendor x GL Analysis'!AA$20,'[1]NS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Analysis'!AA$20,'[1]NS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AB89" s="17">
        <f>IF(AND(AB$15="Actual",ISBLANK($E$8)),SUMIFS('[1]NS Vendor Details'!$D:$D,'[1]NS Vendor Details'!$H:$H,'G&amp;A Vendor x GL Analysis'!AB$20,'[1]NS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Analysis'!AB$20,'[1]NS Vendor Details'!$L:$L,'G&amp;A Vendor x GL Analysis'!$D89,'[1]NS Vendor Details'!$O:$O,'G&amp;A Vendor x GL Analysis'!$F89,'[1]NS Vendor Details'!$N:$N,"Direct Costs",'[1]NS Vendor Details'!$J:$J,0,'[1]NS Vendor Details'!$I:$I,'G&amp;A Vendor x GL Analysis'!$E89),IF(AB$15="Actual",SUMIFS('[1]NS Vendor Details'!$D:$D,'[1]NS Vendor Details'!$H:$H,'G&amp;A Vendor x GL Analysis'!AB$20,'[1]NS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Analysis'!AB$20,'[1]NS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AC89" s="18">
        <f>IF(AND(AC$15="Actual",ISBLANK($E$8)),SUMIFS('[1]NS Vendor Details'!$D:$D,'[1]NS Vendor Details'!$H:$H,'G&amp;A Vendor x GL Analysis'!AC$20,'[1]NS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Analysis'!AC$20,'[1]NS Vendor Details'!$L:$L,'G&amp;A Vendor x GL Analysis'!$D89,'[1]NS Vendor Details'!$O:$O,'G&amp;A Vendor x GL Analysis'!$F89,'[1]NS Vendor Details'!$N:$N,"Direct Costs",'[1]NS Vendor Details'!$J:$J,0,'[1]NS Vendor Details'!$I:$I,'G&amp;A Vendor x GL Analysis'!$E89),IF(AC$15="Actual",SUMIFS('[1]NS Vendor Details'!$D:$D,'[1]NS Vendor Details'!$H:$H,'G&amp;A Vendor x GL Analysis'!AC$20,'[1]NS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Analysis'!AC$20,'[1]NS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AD89" s="18">
        <f>IF(AND(AD$15="Actual",ISBLANK($E$8)),SUMIFS('[1]NS Vendor Details'!$D:$D,'[1]NS Vendor Details'!$H:$H,'G&amp;A Vendor x GL Analysis'!AD$20,'[1]NS Vendor Details'!$L:$L,'G&amp;A Vendor x GL Analysis'!$D89,'[1]NS Vendor Details'!$O:$O,'G&amp;A Vendor x GL Analysis'!$F89,'[1]NS Vendor Details'!$N:$N,'G&amp;A Vendor x GL Analysis'!$C89,'[1]NS Vendor Details'!$I:$I,'G&amp;A Vendor x GL Analysis'!$E89)+SUMIFS('[1]NS Vendor Details'!$D:$D,'[1]NS Vendor Details'!$H:$H,'G&amp;A Vendor x GL Analysis'!AD$20,'[1]NS Vendor Details'!$L:$L,'G&amp;A Vendor x GL Analysis'!$D89,'[1]NS Vendor Details'!$O:$O,'G&amp;A Vendor x GL Analysis'!$F89,'[1]NS Vendor Details'!$N:$N,"Direct Costs",'[1]NS Vendor Details'!$J:$J,0,'[1]NS Vendor Details'!$I:$I,'G&amp;A Vendor x GL Analysis'!$E89),IF(AD$15="Actual",SUMIFS('[1]NS Vendor Details'!$D:$D,'[1]NS Vendor Details'!$H:$H,'G&amp;A Vendor x GL Analysis'!AD$20,'[1]NS Vendor Details'!$L:$L,'G&amp;A Vendor x GL Analysis'!$D89,'[1]NS Vendor Details'!$O:$O,'G&amp;A Vendor x GL Analysis'!$F89,'[1]NS Vendor Details'!$N:$N,'G&amp;A Vendor x GL Analysis'!$C89,'[1]NS Vendor Details'!$K:$K,'G&amp;A Vendor x GL Analysis'!$E$8,'[1]NS Vendor Details'!$I:$I,'G&amp;A Vendor x GL Analysis'!$E89)+SUMIFS('[1]NS Vendor Details'!$D:$D,'[1]NS Vendor Details'!$H:$H,'G&amp;A Vendor x GL Analysis'!AD$20,'[1]NS Vendor Details'!$L:$L,'G&amp;A Vendor x GL Analysis'!$D89,'[1]NS Vendor Details'!$O:$O,'G&amp;A Vendor x GL Analysis'!$F89,'[1]NS Vendor Details'!$N:$N,"Direct Costs",'[1]NS Vendor Details'!$J:$J,0,'[1]NS Vendor Details'!$K:$K,'G&amp;A Vendor x GL Analysis'!$E$8,'[1]NS Vendor Details'!$I:$I,'G&amp;A Vendor x GL Analysis'!$E89),0))</f>
        <v>0</v>
      </c>
      <c r="AF89" s="19">
        <f t="shared" si="9"/>
        <v>15000</v>
      </c>
    </row>
    <row r="90" spans="1:32" outlineLevel="1">
      <c r="A90" s="8" t="str">
        <f t="shared" si="22"/>
        <v>Professional Service6225 - Professional Services</v>
      </c>
      <c r="C90" s="8" t="s">
        <v>11</v>
      </c>
      <c r="D90" s="8" t="str">
        <f t="shared" si="21"/>
        <v>Professional Service</v>
      </c>
      <c r="E90" s="2" t="s">
        <v>75</v>
      </c>
      <c r="F90" s="2" t="s">
        <v>83</v>
      </c>
      <c r="G90" s="16">
        <f>IF(AND(G$15="Actual",ISBLANK($E$8)),SUMIFS('[1]NS Vendor Details'!$D:$D,'[1]NS Vendor Details'!$H:$H,'G&amp;A Vendor x GL Analysis'!G$20,'[1]NS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Analysis'!G$20,'[1]NS Vendor Details'!$L:$L,'G&amp;A Vendor x GL Analysis'!$D90,'[1]NS Vendor Details'!$O:$O,'G&amp;A Vendor x GL Analysis'!$F90,'[1]NS Vendor Details'!$N:$N,"Direct Costs",'[1]NS Vendor Details'!$J:$J,0),IF(G$15="Actual",SUMIFS('[1]NS Vendor Details'!$D:$D,'[1]NS Vendor Details'!$H:$H,'G&amp;A Vendor x GL Analysis'!G$20,'[1]NS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Analysis'!G$20,'[1]NS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0</v>
      </c>
      <c r="H90" s="17">
        <f>IF(AND(H$15="Actual",ISBLANK($E$8)),SUMIFS('[1]NS Vendor Details'!$D:$D,'[1]NS Vendor Details'!$H:$H,'G&amp;A Vendor x GL Analysis'!H$20,'[1]NS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Analysis'!H$20,'[1]NS Vendor Details'!$L:$L,'G&amp;A Vendor x GL Analysis'!$D90,'[1]NS Vendor Details'!$O:$O,'G&amp;A Vendor x GL Analysis'!$F90,'[1]NS Vendor Details'!$N:$N,"Direct Costs",'[1]NS Vendor Details'!$J:$J,0),IF(H$15="Actual",SUMIFS('[1]NS Vendor Details'!$D:$D,'[1]NS Vendor Details'!$H:$H,'G&amp;A Vendor x GL Analysis'!H$20,'[1]NS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Analysis'!H$20,'[1]NS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0</v>
      </c>
      <c r="I90" s="17">
        <f>IF(AND(I$15="Actual",ISBLANK($E$8)),SUMIFS('[1]NS Vendor Details'!$D:$D,'[1]NS Vendor Details'!$H:$H,'G&amp;A Vendor x GL Analysis'!I$20,'[1]NS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Analysis'!I$20,'[1]NS Vendor Details'!$L:$L,'G&amp;A Vendor x GL Analysis'!$D90,'[1]NS Vendor Details'!$O:$O,'G&amp;A Vendor x GL Analysis'!$F90,'[1]NS Vendor Details'!$N:$N,"Direct Costs",'[1]NS Vendor Details'!$J:$J,0),IF(I$15="Actual",SUMIFS('[1]NS Vendor Details'!$D:$D,'[1]NS Vendor Details'!$H:$H,'G&amp;A Vendor x GL Analysis'!I$20,'[1]NS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Analysis'!I$20,'[1]NS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2500</v>
      </c>
      <c r="J90" s="17">
        <f>IF(AND(J$15="Actual",ISBLANK($E$8)),SUMIFS('[1]NS Vendor Details'!$D:$D,'[1]NS Vendor Details'!$H:$H,'G&amp;A Vendor x GL Analysis'!J$20,'[1]NS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Analysis'!J$20,'[1]NS Vendor Details'!$L:$L,'G&amp;A Vendor x GL Analysis'!$D90,'[1]NS Vendor Details'!$O:$O,'G&amp;A Vendor x GL Analysis'!$F90,'[1]NS Vendor Details'!$N:$N,"Direct Costs",'[1]NS Vendor Details'!$J:$J,0),IF(J$15="Actual",SUMIFS('[1]NS Vendor Details'!$D:$D,'[1]NS Vendor Details'!$H:$H,'G&amp;A Vendor x GL Analysis'!J$20,'[1]NS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Analysis'!J$20,'[1]NS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2500</v>
      </c>
      <c r="K90" s="17">
        <f>IF(AND(K$15="Actual",ISBLANK($E$8)),SUMIFS('[1]NS Vendor Details'!$D:$D,'[1]NS Vendor Details'!$H:$H,'G&amp;A Vendor x GL Analysis'!K$20,'[1]NS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Analysis'!K$20,'[1]NS Vendor Details'!$L:$L,'G&amp;A Vendor x GL Analysis'!$D90,'[1]NS Vendor Details'!$O:$O,'G&amp;A Vendor x GL Analysis'!$F90,'[1]NS Vendor Details'!$N:$N,"Direct Costs",'[1]NS Vendor Details'!$J:$J,0),IF(K$15="Actual",SUMIFS('[1]NS Vendor Details'!$D:$D,'[1]NS Vendor Details'!$H:$H,'G&amp;A Vendor x GL Analysis'!K$20,'[1]NS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Analysis'!K$20,'[1]NS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0</v>
      </c>
      <c r="L90" s="17">
        <f>IF(AND(L$15="Actual",ISBLANK($E$8)),SUMIFS('[1]NS Vendor Details'!$D:$D,'[1]NS Vendor Details'!$H:$H,'G&amp;A Vendor x GL Analysis'!L$20,'[1]NS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Analysis'!L$20,'[1]NS Vendor Details'!$L:$L,'G&amp;A Vendor x GL Analysis'!$D90,'[1]NS Vendor Details'!$O:$O,'G&amp;A Vendor x GL Analysis'!$F90,'[1]NS Vendor Details'!$N:$N,"Direct Costs",'[1]NS Vendor Details'!$J:$J,0),IF(L$15="Actual",SUMIFS('[1]NS Vendor Details'!$D:$D,'[1]NS Vendor Details'!$H:$H,'G&amp;A Vendor x GL Analysis'!L$20,'[1]NS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Analysis'!L$20,'[1]NS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0</v>
      </c>
      <c r="M90" s="17">
        <f>IF(AND(M$15="Actual",ISBLANK($E$8)),SUMIFS('[1]NS Vendor Details'!$D:$D,'[1]NS Vendor Details'!$H:$H,'G&amp;A Vendor x GL Analysis'!M$20,'[1]NS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Analysis'!M$20,'[1]NS Vendor Details'!$L:$L,'G&amp;A Vendor x GL Analysis'!$D90,'[1]NS Vendor Details'!$O:$O,'G&amp;A Vendor x GL Analysis'!$F90,'[1]NS Vendor Details'!$N:$N,"Direct Costs",'[1]NS Vendor Details'!$J:$J,0),IF(M$15="Actual",SUMIFS('[1]NS Vendor Details'!$D:$D,'[1]NS Vendor Details'!$H:$H,'G&amp;A Vendor x GL Analysis'!M$20,'[1]NS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Analysis'!M$20,'[1]NS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2500</v>
      </c>
      <c r="N90" s="17">
        <f>IF(AND(N$15="Actual",ISBLANK($E$8)),SUMIFS('[1]NS Vendor Details'!$D:$D,'[1]NS Vendor Details'!$H:$H,'G&amp;A Vendor x GL Analysis'!N$20,'[1]NS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Analysis'!N$20,'[1]NS Vendor Details'!$L:$L,'G&amp;A Vendor x GL Analysis'!$D90,'[1]NS Vendor Details'!$O:$O,'G&amp;A Vendor x GL Analysis'!$F90,'[1]NS Vendor Details'!$N:$N,"Direct Costs",'[1]NS Vendor Details'!$J:$J,0),IF(N$15="Actual",SUMIFS('[1]NS Vendor Details'!$D:$D,'[1]NS Vendor Details'!$H:$H,'G&amp;A Vendor x GL Analysis'!N$20,'[1]NS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Analysis'!N$20,'[1]NS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0</v>
      </c>
      <c r="O90" s="17">
        <f>IF(AND(O$15="Actual",ISBLANK($E$8)),SUMIFS('[1]NS Vendor Details'!$D:$D,'[1]NS Vendor Details'!$H:$H,'G&amp;A Vendor x GL Analysis'!O$20,'[1]NS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Analysis'!O$20,'[1]NS Vendor Details'!$L:$L,'G&amp;A Vendor x GL Analysis'!$D90,'[1]NS Vendor Details'!$O:$O,'G&amp;A Vendor x GL Analysis'!$F90,'[1]NS Vendor Details'!$N:$N,"Direct Costs",'[1]NS Vendor Details'!$J:$J,0),IF(O$15="Actual",SUMIFS('[1]NS Vendor Details'!$D:$D,'[1]NS Vendor Details'!$H:$H,'G&amp;A Vendor x GL Analysis'!O$20,'[1]NS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Analysis'!O$20,'[1]NS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0</v>
      </c>
      <c r="P90" s="17">
        <f>IF(AND(P$15="Actual",ISBLANK($E$8)),SUMIFS('[1]NS Vendor Details'!$D:$D,'[1]NS Vendor Details'!$H:$H,'G&amp;A Vendor x GL Analysis'!P$20,'[1]NS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Analysis'!P$20,'[1]NS Vendor Details'!$L:$L,'G&amp;A Vendor x GL Analysis'!$D90,'[1]NS Vendor Details'!$O:$O,'G&amp;A Vendor x GL Analysis'!$F90,'[1]NS Vendor Details'!$N:$N,"Direct Costs",'[1]NS Vendor Details'!$J:$J,0),IF(P$15="Actual",SUMIFS('[1]NS Vendor Details'!$D:$D,'[1]NS Vendor Details'!$H:$H,'G&amp;A Vendor x GL Analysis'!P$20,'[1]NS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Analysis'!P$20,'[1]NS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2500</v>
      </c>
      <c r="Q90" s="17">
        <f>IF(AND(Q$15="Actual",ISBLANK($E$8)),SUMIFS('[1]NS Vendor Details'!$D:$D,'[1]NS Vendor Details'!$H:$H,'G&amp;A Vendor x GL Analysis'!Q$20,'[1]NS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Analysis'!Q$20,'[1]NS Vendor Details'!$L:$L,'G&amp;A Vendor x GL Analysis'!$D90,'[1]NS Vendor Details'!$O:$O,'G&amp;A Vendor x GL Analysis'!$F90,'[1]NS Vendor Details'!$N:$N,"Direct Costs",'[1]NS Vendor Details'!$J:$J,0),IF(Q$15="Actual",SUMIFS('[1]NS Vendor Details'!$D:$D,'[1]NS Vendor Details'!$H:$H,'G&amp;A Vendor x GL Analysis'!Q$20,'[1]NS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Analysis'!Q$20,'[1]NS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0</v>
      </c>
      <c r="R90" s="18">
        <f>IF(AND(R$15="Actual",ISBLANK($E$8)),SUMIFS('[1]NS Vendor Details'!$D:$D,'[1]NS Vendor Details'!$H:$H,'G&amp;A Vendor x GL Analysis'!R$20,'[1]NS Vendor Details'!$L:$L,'G&amp;A Vendor x GL Analysis'!$D90,'[1]NS Vendor Details'!$O:$O,'G&amp;A Vendor x GL Analysis'!$F90,'[1]NS Vendor Details'!$N:$N,'G&amp;A Vendor x GL Analysis'!$C90)+SUMIFS('[1]NS Vendor Details'!$D:$D,'[1]NS Vendor Details'!$H:$H,'G&amp;A Vendor x GL Analysis'!R$20,'[1]NS Vendor Details'!$L:$L,'G&amp;A Vendor x GL Analysis'!$D90,'[1]NS Vendor Details'!$O:$O,'G&amp;A Vendor x GL Analysis'!$F90,'[1]NS Vendor Details'!$N:$N,"Direct Costs",'[1]NS Vendor Details'!$J:$J,0),IF(R$15="Actual",SUMIFS('[1]NS Vendor Details'!$D:$D,'[1]NS Vendor Details'!$H:$H,'G&amp;A Vendor x GL Analysis'!R$20,'[1]NS Vendor Details'!$L:$L,'G&amp;A Vendor x GL Analysis'!$D90,'[1]NS Vendor Details'!$O:$O,'G&amp;A Vendor x GL Analysis'!$F90,'[1]NS Vendor Details'!$N:$N,'G&amp;A Vendor x GL Analysis'!$C90,'[1]NS Vendor Details'!$K:$K,'G&amp;A Vendor x GL Analysis'!$E$8)+SUMIFS('[1]NS Vendor Details'!$D:$D,'[1]NS Vendor Details'!$H:$H,'G&amp;A Vendor x GL Analysis'!R$20,'[1]NS Vendor Details'!$L:$L,'G&amp;A Vendor x GL Analysis'!$D90,'[1]NS Vendor Details'!$O:$O,'G&amp;A Vendor x GL Analysis'!$F90,'[1]NS Vendor Details'!$N:$N,"Direct Costs",'[1]NS Vendor Details'!$J:$J,0,'[1]NS Vendor Details'!$K:$K,'G&amp;A Vendor x GL Analysis'!$E$8),0))</f>
        <v>0</v>
      </c>
      <c r="S90" s="16">
        <f>IF(AND(S$15="Actual",ISBLANK($E$8)),SUMIFS('[1]NS Vendor Details'!$D:$D,'[1]NS Vendor Details'!$H:$H,'G&amp;A Vendor x GL Analysis'!S$20,'[1]NS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Analysis'!S$20,'[1]NS Vendor Details'!$L:$L,'G&amp;A Vendor x GL Analysis'!$D90,'[1]NS Vendor Details'!$O:$O,'G&amp;A Vendor x GL Analysis'!$F90,'[1]NS Vendor Details'!$N:$N,"Direct Costs",'[1]NS Vendor Details'!$J:$J,0,'[1]NS Vendor Details'!$I:$I,'G&amp;A Vendor x GL Analysis'!$E90),IF(S$15="Actual",SUMIFS('[1]NS Vendor Details'!$D:$D,'[1]NS Vendor Details'!$H:$H,'G&amp;A Vendor x GL Analysis'!S$20,'[1]NS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Analysis'!S$20,'[1]NS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0</v>
      </c>
      <c r="T90" s="17">
        <f>IF(AND(T$15="Actual",ISBLANK($E$8)),SUMIFS('[1]NS Vendor Details'!$D:$D,'[1]NS Vendor Details'!$H:$H,'G&amp;A Vendor x GL Analysis'!T$20,'[1]NS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Analysis'!T$20,'[1]NS Vendor Details'!$L:$L,'G&amp;A Vendor x GL Analysis'!$D90,'[1]NS Vendor Details'!$O:$O,'G&amp;A Vendor x GL Analysis'!$F90,'[1]NS Vendor Details'!$N:$N,"Direct Costs",'[1]NS Vendor Details'!$J:$J,0,'[1]NS Vendor Details'!$I:$I,'G&amp;A Vendor x GL Analysis'!$E90),IF(T$15="Actual",SUMIFS('[1]NS Vendor Details'!$D:$D,'[1]NS Vendor Details'!$H:$H,'G&amp;A Vendor x GL Analysis'!T$20,'[1]NS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Analysis'!T$20,'[1]NS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2500</v>
      </c>
      <c r="U90" s="17">
        <f>IF(AND(U$15="Actual",ISBLANK($E$8)),SUMIFS('[1]NS Vendor Details'!$D:$D,'[1]NS Vendor Details'!$H:$H,'G&amp;A Vendor x GL Analysis'!U$20,'[1]NS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Analysis'!U$20,'[1]NS Vendor Details'!$L:$L,'G&amp;A Vendor x GL Analysis'!$D90,'[1]NS Vendor Details'!$O:$O,'G&amp;A Vendor x GL Analysis'!$F90,'[1]NS Vendor Details'!$N:$N,"Direct Costs",'[1]NS Vendor Details'!$J:$J,0,'[1]NS Vendor Details'!$I:$I,'G&amp;A Vendor x GL Analysis'!$E90),IF(U$15="Actual",SUMIFS('[1]NS Vendor Details'!$D:$D,'[1]NS Vendor Details'!$H:$H,'G&amp;A Vendor x GL Analysis'!U$20,'[1]NS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Analysis'!U$20,'[1]NS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0</v>
      </c>
      <c r="V90" s="17">
        <f>IF(AND(V$15="Actual",ISBLANK($E$8)),SUMIFS('[1]NS Vendor Details'!$D:$D,'[1]NS Vendor Details'!$H:$H,'G&amp;A Vendor x GL Analysis'!V$20,'[1]NS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Analysis'!V$20,'[1]NS Vendor Details'!$L:$L,'G&amp;A Vendor x GL Analysis'!$D90,'[1]NS Vendor Details'!$O:$O,'G&amp;A Vendor x GL Analysis'!$F90,'[1]NS Vendor Details'!$N:$N,"Direct Costs",'[1]NS Vendor Details'!$J:$J,0,'[1]NS Vendor Details'!$I:$I,'G&amp;A Vendor x GL Analysis'!$E90),IF(V$15="Actual",SUMIFS('[1]NS Vendor Details'!$D:$D,'[1]NS Vendor Details'!$H:$H,'G&amp;A Vendor x GL Analysis'!V$20,'[1]NS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Analysis'!V$20,'[1]NS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3333.33</v>
      </c>
      <c r="W90" s="17">
        <f>IF(AND(W$15="Actual",ISBLANK($E$8)),SUMIFS('[1]NS Vendor Details'!$D:$D,'[1]NS Vendor Details'!$H:$H,'G&amp;A Vendor x GL Analysis'!W$20,'[1]NS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Analysis'!W$20,'[1]NS Vendor Details'!$L:$L,'G&amp;A Vendor x GL Analysis'!$D90,'[1]NS Vendor Details'!$O:$O,'G&amp;A Vendor x GL Analysis'!$F90,'[1]NS Vendor Details'!$N:$N,"Direct Costs",'[1]NS Vendor Details'!$J:$J,0,'[1]NS Vendor Details'!$I:$I,'G&amp;A Vendor x GL Analysis'!$E90),IF(W$15="Actual",SUMIFS('[1]NS Vendor Details'!$D:$D,'[1]NS Vendor Details'!$H:$H,'G&amp;A Vendor x GL Analysis'!W$20,'[1]NS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Analysis'!W$20,'[1]NS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833.33</v>
      </c>
      <c r="X90" s="17">
        <f>IF(AND(X$15="Actual",ISBLANK($E$8)),SUMIFS('[1]NS Vendor Details'!$D:$D,'[1]NS Vendor Details'!$H:$H,'G&amp;A Vendor x GL Analysis'!X$20,'[1]NS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Analysis'!X$20,'[1]NS Vendor Details'!$L:$L,'G&amp;A Vendor x GL Analysis'!$D90,'[1]NS Vendor Details'!$O:$O,'G&amp;A Vendor x GL Analysis'!$F90,'[1]NS Vendor Details'!$N:$N,"Direct Costs",'[1]NS Vendor Details'!$J:$J,0,'[1]NS Vendor Details'!$I:$I,'G&amp;A Vendor x GL Analysis'!$E90),IF(X$15="Actual",SUMIFS('[1]NS Vendor Details'!$D:$D,'[1]NS Vendor Details'!$H:$H,'G&amp;A Vendor x GL Analysis'!X$20,'[1]NS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Analysis'!X$20,'[1]NS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833.33</v>
      </c>
      <c r="Y90" s="17">
        <f>IF(AND(Y$15="Actual",ISBLANK($E$8)),SUMIFS('[1]NS Vendor Details'!$D:$D,'[1]NS Vendor Details'!$H:$H,'G&amp;A Vendor x GL Analysis'!Y$20,'[1]NS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Analysis'!Y$20,'[1]NS Vendor Details'!$L:$L,'G&amp;A Vendor x GL Analysis'!$D90,'[1]NS Vendor Details'!$O:$O,'G&amp;A Vendor x GL Analysis'!$F90,'[1]NS Vendor Details'!$N:$N,"Direct Costs",'[1]NS Vendor Details'!$J:$J,0,'[1]NS Vendor Details'!$I:$I,'G&amp;A Vendor x GL Analysis'!$E90),IF(Y$15="Actual",SUMIFS('[1]NS Vendor Details'!$D:$D,'[1]NS Vendor Details'!$H:$H,'G&amp;A Vendor x GL Analysis'!Y$20,'[1]NS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Analysis'!Y$20,'[1]NS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833.3399999999998</v>
      </c>
      <c r="Z90" s="17">
        <f>IF(AND(Z$15="Actual",ISBLANK($E$8)),SUMIFS('[1]NS Vendor Details'!$D:$D,'[1]NS Vendor Details'!$H:$H,'G&amp;A Vendor x GL Analysis'!Z$20,'[1]NS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Analysis'!Z$20,'[1]NS Vendor Details'!$L:$L,'G&amp;A Vendor x GL Analysis'!$D90,'[1]NS Vendor Details'!$O:$O,'G&amp;A Vendor x GL Analysis'!$F90,'[1]NS Vendor Details'!$N:$N,"Direct Costs",'[1]NS Vendor Details'!$J:$J,0,'[1]NS Vendor Details'!$I:$I,'G&amp;A Vendor x GL Analysis'!$E90),IF(Z$15="Actual",SUMIFS('[1]NS Vendor Details'!$D:$D,'[1]NS Vendor Details'!$H:$H,'G&amp;A Vendor x GL Analysis'!Z$20,'[1]NS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Analysis'!Z$20,'[1]NS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833.33</v>
      </c>
      <c r="AA90" s="17">
        <f>IF(AND(AA$15="Actual",ISBLANK($E$8)),SUMIFS('[1]NS Vendor Details'!$D:$D,'[1]NS Vendor Details'!$H:$H,'G&amp;A Vendor x GL Analysis'!AA$20,'[1]NS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Analysis'!AA$20,'[1]NS Vendor Details'!$L:$L,'G&amp;A Vendor x GL Analysis'!$D90,'[1]NS Vendor Details'!$O:$O,'G&amp;A Vendor x GL Analysis'!$F90,'[1]NS Vendor Details'!$N:$N,"Direct Costs",'[1]NS Vendor Details'!$J:$J,0,'[1]NS Vendor Details'!$I:$I,'G&amp;A Vendor x GL Analysis'!$E90),IF(AA$15="Actual",SUMIFS('[1]NS Vendor Details'!$D:$D,'[1]NS Vendor Details'!$H:$H,'G&amp;A Vendor x GL Analysis'!AA$20,'[1]NS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Analysis'!AA$20,'[1]NS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833.33</v>
      </c>
      <c r="AB90" s="17">
        <f>IF(AND(AB$15="Actual",ISBLANK($E$8)),SUMIFS('[1]NS Vendor Details'!$D:$D,'[1]NS Vendor Details'!$H:$H,'G&amp;A Vendor x GL Analysis'!AB$20,'[1]NS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Analysis'!AB$20,'[1]NS Vendor Details'!$L:$L,'G&amp;A Vendor x GL Analysis'!$D90,'[1]NS Vendor Details'!$O:$O,'G&amp;A Vendor x GL Analysis'!$F90,'[1]NS Vendor Details'!$N:$N,"Direct Costs",'[1]NS Vendor Details'!$J:$J,0,'[1]NS Vendor Details'!$I:$I,'G&amp;A Vendor x GL Analysis'!$E90),IF(AB$15="Actual",SUMIFS('[1]NS Vendor Details'!$D:$D,'[1]NS Vendor Details'!$H:$H,'G&amp;A Vendor x GL Analysis'!AB$20,'[1]NS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Analysis'!AB$20,'[1]NS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833.3399999999998</v>
      </c>
      <c r="AC90" s="18">
        <f>IF(AND(AC$15="Actual",ISBLANK($E$8)),SUMIFS('[1]NS Vendor Details'!$D:$D,'[1]NS Vendor Details'!$H:$H,'G&amp;A Vendor x GL Analysis'!AC$20,'[1]NS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Analysis'!AC$20,'[1]NS Vendor Details'!$L:$L,'G&amp;A Vendor x GL Analysis'!$D90,'[1]NS Vendor Details'!$O:$O,'G&amp;A Vendor x GL Analysis'!$F90,'[1]NS Vendor Details'!$N:$N,"Direct Costs",'[1]NS Vendor Details'!$J:$J,0,'[1]NS Vendor Details'!$I:$I,'G&amp;A Vendor x GL Analysis'!$E90),IF(AC$15="Actual",SUMIFS('[1]NS Vendor Details'!$D:$D,'[1]NS Vendor Details'!$H:$H,'G&amp;A Vendor x GL Analysis'!AC$20,'[1]NS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Analysis'!AC$20,'[1]NS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833.33</v>
      </c>
      <c r="AD90" s="18">
        <f>IF(AND(AD$15="Actual",ISBLANK($E$8)),SUMIFS('[1]NS Vendor Details'!$D:$D,'[1]NS Vendor Details'!$H:$H,'G&amp;A Vendor x GL Analysis'!AD$20,'[1]NS Vendor Details'!$L:$L,'G&amp;A Vendor x GL Analysis'!$D90,'[1]NS Vendor Details'!$O:$O,'G&amp;A Vendor x GL Analysis'!$F90,'[1]NS Vendor Details'!$N:$N,'G&amp;A Vendor x GL Analysis'!$C90,'[1]NS Vendor Details'!$I:$I,'G&amp;A Vendor x GL Analysis'!$E90)+SUMIFS('[1]NS Vendor Details'!$D:$D,'[1]NS Vendor Details'!$H:$H,'G&amp;A Vendor x GL Analysis'!AD$20,'[1]NS Vendor Details'!$L:$L,'G&amp;A Vendor x GL Analysis'!$D90,'[1]NS Vendor Details'!$O:$O,'G&amp;A Vendor x GL Analysis'!$F90,'[1]NS Vendor Details'!$N:$N,"Direct Costs",'[1]NS Vendor Details'!$J:$J,0,'[1]NS Vendor Details'!$I:$I,'G&amp;A Vendor x GL Analysis'!$E90),IF(AD$15="Actual",SUMIFS('[1]NS Vendor Details'!$D:$D,'[1]NS Vendor Details'!$H:$H,'G&amp;A Vendor x GL Analysis'!AD$20,'[1]NS Vendor Details'!$L:$L,'G&amp;A Vendor x GL Analysis'!$D90,'[1]NS Vendor Details'!$O:$O,'G&amp;A Vendor x GL Analysis'!$F90,'[1]NS Vendor Details'!$N:$N,'G&amp;A Vendor x GL Analysis'!$C90,'[1]NS Vendor Details'!$K:$K,'G&amp;A Vendor x GL Analysis'!$E$8,'[1]NS Vendor Details'!$I:$I,'G&amp;A Vendor x GL Analysis'!$E90)+SUMIFS('[1]NS Vendor Details'!$D:$D,'[1]NS Vendor Details'!$H:$H,'G&amp;A Vendor x GL Analysis'!AD$20,'[1]NS Vendor Details'!$L:$L,'G&amp;A Vendor x GL Analysis'!$D90,'[1]NS Vendor Details'!$O:$O,'G&amp;A Vendor x GL Analysis'!$F90,'[1]NS Vendor Details'!$N:$N,"Direct Costs",'[1]NS Vendor Details'!$J:$J,0,'[1]NS Vendor Details'!$K:$K,'G&amp;A Vendor x GL Analysis'!$E$8,'[1]NS Vendor Details'!$I:$I,'G&amp;A Vendor x GL Analysis'!$E90),0))</f>
        <v>0</v>
      </c>
      <c r="AF90" s="19">
        <f t="shared" si="9"/>
        <v>11666.66</v>
      </c>
    </row>
    <row r="91" spans="1:32" outlineLevel="1">
      <c r="A91" s="8" t="str">
        <f t="shared" si="22"/>
        <v>Professional Service6225 - Professional Services</v>
      </c>
      <c r="C91" s="8" t="s">
        <v>11</v>
      </c>
      <c r="D91" s="8" t="str">
        <f t="shared" si="21"/>
        <v>Professional Service</v>
      </c>
      <c r="E91" s="2" t="s">
        <v>75</v>
      </c>
      <c r="F91" s="2" t="s">
        <v>84</v>
      </c>
      <c r="G91" s="16">
        <f>IF(AND(G$15="Actual",ISBLANK($E$8)),SUMIFS('[1]NS Vendor Details'!$D:$D,'[1]NS Vendor Details'!$H:$H,'G&amp;A Vendor x GL Analysis'!G$20,'[1]NS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Analysis'!G$20,'[1]NS Vendor Details'!$L:$L,'G&amp;A Vendor x GL Analysis'!$D91,'[1]NS Vendor Details'!$O:$O,'G&amp;A Vendor x GL Analysis'!$F91,'[1]NS Vendor Details'!$N:$N,"Direct Costs",'[1]NS Vendor Details'!$J:$J,0),IF(G$15="Actual",SUMIFS('[1]NS Vendor Details'!$D:$D,'[1]NS Vendor Details'!$H:$H,'G&amp;A Vendor x GL Analysis'!G$20,'[1]NS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Analysis'!G$20,'[1]NS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H91" s="17">
        <f>IF(AND(H$15="Actual",ISBLANK($E$8)),SUMIFS('[1]NS Vendor Details'!$D:$D,'[1]NS Vendor Details'!$H:$H,'G&amp;A Vendor x GL Analysis'!H$20,'[1]NS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Analysis'!H$20,'[1]NS Vendor Details'!$L:$L,'G&amp;A Vendor x GL Analysis'!$D91,'[1]NS Vendor Details'!$O:$O,'G&amp;A Vendor x GL Analysis'!$F91,'[1]NS Vendor Details'!$N:$N,"Direct Costs",'[1]NS Vendor Details'!$J:$J,0),IF(H$15="Actual",SUMIFS('[1]NS Vendor Details'!$D:$D,'[1]NS Vendor Details'!$H:$H,'G&amp;A Vendor x GL Analysis'!H$20,'[1]NS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Analysis'!H$20,'[1]NS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I91" s="17">
        <f>IF(AND(I$15="Actual",ISBLANK($E$8)),SUMIFS('[1]NS Vendor Details'!$D:$D,'[1]NS Vendor Details'!$H:$H,'G&amp;A Vendor x GL Analysis'!I$20,'[1]NS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Analysis'!I$20,'[1]NS Vendor Details'!$L:$L,'G&amp;A Vendor x GL Analysis'!$D91,'[1]NS Vendor Details'!$O:$O,'G&amp;A Vendor x GL Analysis'!$F91,'[1]NS Vendor Details'!$N:$N,"Direct Costs",'[1]NS Vendor Details'!$J:$J,0),IF(I$15="Actual",SUMIFS('[1]NS Vendor Details'!$D:$D,'[1]NS Vendor Details'!$H:$H,'G&amp;A Vendor x GL Analysis'!I$20,'[1]NS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Analysis'!I$20,'[1]NS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J91" s="17">
        <f>IF(AND(J$15="Actual",ISBLANK($E$8)),SUMIFS('[1]NS Vendor Details'!$D:$D,'[1]NS Vendor Details'!$H:$H,'G&amp;A Vendor x GL Analysis'!J$20,'[1]NS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Analysis'!J$20,'[1]NS Vendor Details'!$L:$L,'G&amp;A Vendor x GL Analysis'!$D91,'[1]NS Vendor Details'!$O:$O,'G&amp;A Vendor x GL Analysis'!$F91,'[1]NS Vendor Details'!$N:$N,"Direct Costs",'[1]NS Vendor Details'!$J:$J,0),IF(J$15="Actual",SUMIFS('[1]NS Vendor Details'!$D:$D,'[1]NS Vendor Details'!$H:$H,'G&amp;A Vendor x GL Analysis'!J$20,'[1]NS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Analysis'!J$20,'[1]NS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K91" s="17">
        <f>IF(AND(K$15="Actual",ISBLANK($E$8)),SUMIFS('[1]NS Vendor Details'!$D:$D,'[1]NS Vendor Details'!$H:$H,'G&amp;A Vendor x GL Analysis'!K$20,'[1]NS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Analysis'!K$20,'[1]NS Vendor Details'!$L:$L,'G&amp;A Vendor x GL Analysis'!$D91,'[1]NS Vendor Details'!$O:$O,'G&amp;A Vendor x GL Analysis'!$F91,'[1]NS Vendor Details'!$N:$N,"Direct Costs",'[1]NS Vendor Details'!$J:$J,0),IF(K$15="Actual",SUMIFS('[1]NS Vendor Details'!$D:$D,'[1]NS Vendor Details'!$H:$H,'G&amp;A Vendor x GL Analysis'!K$20,'[1]NS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Analysis'!K$20,'[1]NS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L91" s="17">
        <f>IF(AND(L$15="Actual",ISBLANK($E$8)),SUMIFS('[1]NS Vendor Details'!$D:$D,'[1]NS Vendor Details'!$H:$H,'G&amp;A Vendor x GL Analysis'!L$20,'[1]NS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Analysis'!L$20,'[1]NS Vendor Details'!$L:$L,'G&amp;A Vendor x GL Analysis'!$D91,'[1]NS Vendor Details'!$O:$O,'G&amp;A Vendor x GL Analysis'!$F91,'[1]NS Vendor Details'!$N:$N,"Direct Costs",'[1]NS Vendor Details'!$J:$J,0),IF(L$15="Actual",SUMIFS('[1]NS Vendor Details'!$D:$D,'[1]NS Vendor Details'!$H:$H,'G&amp;A Vendor x GL Analysis'!L$20,'[1]NS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Analysis'!L$20,'[1]NS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M91" s="17">
        <f>IF(AND(M$15="Actual",ISBLANK($E$8)),SUMIFS('[1]NS Vendor Details'!$D:$D,'[1]NS Vendor Details'!$H:$H,'G&amp;A Vendor x GL Analysis'!M$20,'[1]NS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Analysis'!M$20,'[1]NS Vendor Details'!$L:$L,'G&amp;A Vendor x GL Analysis'!$D91,'[1]NS Vendor Details'!$O:$O,'G&amp;A Vendor x GL Analysis'!$F91,'[1]NS Vendor Details'!$N:$N,"Direct Costs",'[1]NS Vendor Details'!$J:$J,0),IF(M$15="Actual",SUMIFS('[1]NS Vendor Details'!$D:$D,'[1]NS Vendor Details'!$H:$H,'G&amp;A Vendor x GL Analysis'!M$20,'[1]NS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Analysis'!M$20,'[1]NS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N91" s="17">
        <f>IF(AND(N$15="Actual",ISBLANK($E$8)),SUMIFS('[1]NS Vendor Details'!$D:$D,'[1]NS Vendor Details'!$H:$H,'G&amp;A Vendor x GL Analysis'!N$20,'[1]NS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Analysis'!N$20,'[1]NS Vendor Details'!$L:$L,'G&amp;A Vendor x GL Analysis'!$D91,'[1]NS Vendor Details'!$O:$O,'G&amp;A Vendor x GL Analysis'!$F91,'[1]NS Vendor Details'!$N:$N,"Direct Costs",'[1]NS Vendor Details'!$J:$J,0),IF(N$15="Actual",SUMIFS('[1]NS Vendor Details'!$D:$D,'[1]NS Vendor Details'!$H:$H,'G&amp;A Vendor x GL Analysis'!N$20,'[1]NS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Analysis'!N$20,'[1]NS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O91" s="17">
        <f>IF(AND(O$15="Actual",ISBLANK($E$8)),SUMIFS('[1]NS Vendor Details'!$D:$D,'[1]NS Vendor Details'!$H:$H,'G&amp;A Vendor x GL Analysis'!O$20,'[1]NS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Analysis'!O$20,'[1]NS Vendor Details'!$L:$L,'G&amp;A Vendor x GL Analysis'!$D91,'[1]NS Vendor Details'!$O:$O,'G&amp;A Vendor x GL Analysis'!$F91,'[1]NS Vendor Details'!$N:$N,"Direct Costs",'[1]NS Vendor Details'!$J:$J,0),IF(O$15="Actual",SUMIFS('[1]NS Vendor Details'!$D:$D,'[1]NS Vendor Details'!$H:$H,'G&amp;A Vendor x GL Analysis'!O$20,'[1]NS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Analysis'!O$20,'[1]NS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P91" s="17">
        <f>IF(AND(P$15="Actual",ISBLANK($E$8)),SUMIFS('[1]NS Vendor Details'!$D:$D,'[1]NS Vendor Details'!$H:$H,'G&amp;A Vendor x GL Analysis'!P$20,'[1]NS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Analysis'!P$20,'[1]NS Vendor Details'!$L:$L,'G&amp;A Vendor x GL Analysis'!$D91,'[1]NS Vendor Details'!$O:$O,'G&amp;A Vendor x GL Analysis'!$F91,'[1]NS Vendor Details'!$N:$N,"Direct Costs",'[1]NS Vendor Details'!$J:$J,0),IF(P$15="Actual",SUMIFS('[1]NS Vendor Details'!$D:$D,'[1]NS Vendor Details'!$H:$H,'G&amp;A Vendor x GL Analysis'!P$20,'[1]NS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Analysis'!P$20,'[1]NS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Q91" s="17">
        <f>IF(AND(Q$15="Actual",ISBLANK($E$8)),SUMIFS('[1]NS Vendor Details'!$D:$D,'[1]NS Vendor Details'!$H:$H,'G&amp;A Vendor x GL Analysis'!Q$20,'[1]NS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Analysis'!Q$20,'[1]NS Vendor Details'!$L:$L,'G&amp;A Vendor x GL Analysis'!$D91,'[1]NS Vendor Details'!$O:$O,'G&amp;A Vendor x GL Analysis'!$F91,'[1]NS Vendor Details'!$N:$N,"Direct Costs",'[1]NS Vendor Details'!$J:$J,0),IF(Q$15="Actual",SUMIFS('[1]NS Vendor Details'!$D:$D,'[1]NS Vendor Details'!$H:$H,'G&amp;A Vendor x GL Analysis'!Q$20,'[1]NS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Analysis'!Q$20,'[1]NS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R91" s="18">
        <f>IF(AND(R$15="Actual",ISBLANK($E$8)),SUMIFS('[1]NS Vendor Details'!$D:$D,'[1]NS Vendor Details'!$H:$H,'G&amp;A Vendor x GL Analysis'!R$20,'[1]NS Vendor Details'!$L:$L,'G&amp;A Vendor x GL Analysis'!$D91,'[1]NS Vendor Details'!$O:$O,'G&amp;A Vendor x GL Analysis'!$F91,'[1]NS Vendor Details'!$N:$N,'G&amp;A Vendor x GL Analysis'!$C91)+SUMIFS('[1]NS Vendor Details'!$D:$D,'[1]NS Vendor Details'!$H:$H,'G&amp;A Vendor x GL Analysis'!R$20,'[1]NS Vendor Details'!$L:$L,'G&amp;A Vendor x GL Analysis'!$D91,'[1]NS Vendor Details'!$O:$O,'G&amp;A Vendor x GL Analysis'!$F91,'[1]NS Vendor Details'!$N:$N,"Direct Costs",'[1]NS Vendor Details'!$J:$J,0),IF(R$15="Actual",SUMIFS('[1]NS Vendor Details'!$D:$D,'[1]NS Vendor Details'!$H:$H,'G&amp;A Vendor x GL Analysis'!R$20,'[1]NS Vendor Details'!$L:$L,'G&amp;A Vendor x GL Analysis'!$D91,'[1]NS Vendor Details'!$O:$O,'G&amp;A Vendor x GL Analysis'!$F91,'[1]NS Vendor Details'!$N:$N,'G&amp;A Vendor x GL Analysis'!$C91,'[1]NS Vendor Details'!$K:$K,'G&amp;A Vendor x GL Analysis'!$E$8)+SUMIFS('[1]NS Vendor Details'!$D:$D,'[1]NS Vendor Details'!$H:$H,'G&amp;A Vendor x GL Analysis'!R$20,'[1]NS Vendor Details'!$L:$L,'G&amp;A Vendor x GL Analysis'!$D91,'[1]NS Vendor Details'!$O:$O,'G&amp;A Vendor x GL Analysis'!$F91,'[1]NS Vendor Details'!$N:$N,"Direct Costs",'[1]NS Vendor Details'!$J:$J,0,'[1]NS Vendor Details'!$K:$K,'G&amp;A Vendor x GL Analysis'!$E$8),0))</f>
        <v>0</v>
      </c>
      <c r="S91" s="16">
        <f>IF(AND(S$15="Actual",ISBLANK($E$8)),SUMIFS('[1]NS Vendor Details'!$D:$D,'[1]NS Vendor Details'!$H:$H,'G&amp;A Vendor x GL Analysis'!S$20,'[1]NS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Analysis'!S$20,'[1]NS Vendor Details'!$L:$L,'G&amp;A Vendor x GL Analysis'!$D91,'[1]NS Vendor Details'!$O:$O,'G&amp;A Vendor x GL Analysis'!$F91,'[1]NS Vendor Details'!$N:$N,"Direct Costs",'[1]NS Vendor Details'!$J:$J,0,'[1]NS Vendor Details'!$I:$I,'G&amp;A Vendor x GL Analysis'!$E91),IF(S$15="Actual",SUMIFS('[1]NS Vendor Details'!$D:$D,'[1]NS Vendor Details'!$H:$H,'G&amp;A Vendor x GL Analysis'!S$20,'[1]NS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Analysis'!S$20,'[1]NS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T91" s="17">
        <f>IF(AND(T$15="Actual",ISBLANK($E$8)),SUMIFS('[1]NS Vendor Details'!$D:$D,'[1]NS Vendor Details'!$H:$H,'G&amp;A Vendor x GL Analysis'!T$20,'[1]NS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Analysis'!T$20,'[1]NS Vendor Details'!$L:$L,'G&amp;A Vendor x GL Analysis'!$D91,'[1]NS Vendor Details'!$O:$O,'G&amp;A Vendor x GL Analysis'!$F91,'[1]NS Vendor Details'!$N:$N,"Direct Costs",'[1]NS Vendor Details'!$J:$J,0,'[1]NS Vendor Details'!$I:$I,'G&amp;A Vendor x GL Analysis'!$E91),IF(T$15="Actual",SUMIFS('[1]NS Vendor Details'!$D:$D,'[1]NS Vendor Details'!$H:$H,'G&amp;A Vendor x GL Analysis'!T$20,'[1]NS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Analysis'!T$20,'[1]NS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U91" s="17">
        <f>IF(AND(U$15="Actual",ISBLANK($E$8)),SUMIFS('[1]NS Vendor Details'!$D:$D,'[1]NS Vendor Details'!$H:$H,'G&amp;A Vendor x GL Analysis'!U$20,'[1]NS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Analysis'!U$20,'[1]NS Vendor Details'!$L:$L,'G&amp;A Vendor x GL Analysis'!$D91,'[1]NS Vendor Details'!$O:$O,'G&amp;A Vendor x GL Analysis'!$F91,'[1]NS Vendor Details'!$N:$N,"Direct Costs",'[1]NS Vendor Details'!$J:$J,0,'[1]NS Vendor Details'!$I:$I,'G&amp;A Vendor x GL Analysis'!$E91),IF(U$15="Actual",SUMIFS('[1]NS Vendor Details'!$D:$D,'[1]NS Vendor Details'!$H:$H,'G&amp;A Vendor x GL Analysis'!U$20,'[1]NS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Analysis'!U$20,'[1]NS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V91" s="17">
        <f>IF(AND(V$15="Actual",ISBLANK($E$8)),SUMIFS('[1]NS Vendor Details'!$D:$D,'[1]NS Vendor Details'!$H:$H,'G&amp;A Vendor x GL Analysis'!V$20,'[1]NS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Analysis'!V$20,'[1]NS Vendor Details'!$L:$L,'G&amp;A Vendor x GL Analysis'!$D91,'[1]NS Vendor Details'!$O:$O,'G&amp;A Vendor x GL Analysis'!$F91,'[1]NS Vendor Details'!$N:$N,"Direct Costs",'[1]NS Vendor Details'!$J:$J,0,'[1]NS Vendor Details'!$I:$I,'G&amp;A Vendor x GL Analysis'!$E91),IF(V$15="Actual",SUMIFS('[1]NS Vendor Details'!$D:$D,'[1]NS Vendor Details'!$H:$H,'G&amp;A Vendor x GL Analysis'!V$20,'[1]NS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Analysis'!V$20,'[1]NS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W91" s="17">
        <f>IF(AND(W$15="Actual",ISBLANK($E$8)),SUMIFS('[1]NS Vendor Details'!$D:$D,'[1]NS Vendor Details'!$H:$H,'G&amp;A Vendor x GL Analysis'!W$20,'[1]NS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Analysis'!W$20,'[1]NS Vendor Details'!$L:$L,'G&amp;A Vendor x GL Analysis'!$D91,'[1]NS Vendor Details'!$O:$O,'G&amp;A Vendor x GL Analysis'!$F91,'[1]NS Vendor Details'!$N:$N,"Direct Costs",'[1]NS Vendor Details'!$J:$J,0,'[1]NS Vendor Details'!$I:$I,'G&amp;A Vendor x GL Analysis'!$E91),IF(W$15="Actual",SUMIFS('[1]NS Vendor Details'!$D:$D,'[1]NS Vendor Details'!$H:$H,'G&amp;A Vendor x GL Analysis'!W$20,'[1]NS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Analysis'!W$20,'[1]NS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X91" s="17">
        <f>IF(AND(X$15="Actual",ISBLANK($E$8)),SUMIFS('[1]NS Vendor Details'!$D:$D,'[1]NS Vendor Details'!$H:$H,'G&amp;A Vendor x GL Analysis'!X$20,'[1]NS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Analysis'!X$20,'[1]NS Vendor Details'!$L:$L,'G&amp;A Vendor x GL Analysis'!$D91,'[1]NS Vendor Details'!$O:$O,'G&amp;A Vendor x GL Analysis'!$F91,'[1]NS Vendor Details'!$N:$N,"Direct Costs",'[1]NS Vendor Details'!$J:$J,0,'[1]NS Vendor Details'!$I:$I,'G&amp;A Vendor x GL Analysis'!$E91),IF(X$15="Actual",SUMIFS('[1]NS Vendor Details'!$D:$D,'[1]NS Vendor Details'!$H:$H,'G&amp;A Vendor x GL Analysis'!X$20,'[1]NS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Analysis'!X$20,'[1]NS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Y91" s="17">
        <f>IF(AND(Y$15="Actual",ISBLANK($E$8)),SUMIFS('[1]NS Vendor Details'!$D:$D,'[1]NS Vendor Details'!$H:$H,'G&amp;A Vendor x GL Analysis'!Y$20,'[1]NS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Analysis'!Y$20,'[1]NS Vendor Details'!$L:$L,'G&amp;A Vendor x GL Analysis'!$D91,'[1]NS Vendor Details'!$O:$O,'G&amp;A Vendor x GL Analysis'!$F91,'[1]NS Vendor Details'!$N:$N,"Direct Costs",'[1]NS Vendor Details'!$J:$J,0,'[1]NS Vendor Details'!$I:$I,'G&amp;A Vendor x GL Analysis'!$E91),IF(Y$15="Actual",SUMIFS('[1]NS Vendor Details'!$D:$D,'[1]NS Vendor Details'!$H:$H,'G&amp;A Vendor x GL Analysis'!Y$20,'[1]NS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Analysis'!Y$20,'[1]NS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Z91" s="17">
        <f>IF(AND(Z$15="Actual",ISBLANK($E$8)),SUMIFS('[1]NS Vendor Details'!$D:$D,'[1]NS Vendor Details'!$H:$H,'G&amp;A Vendor x GL Analysis'!Z$20,'[1]NS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Analysis'!Z$20,'[1]NS Vendor Details'!$L:$L,'G&amp;A Vendor x GL Analysis'!$D91,'[1]NS Vendor Details'!$O:$O,'G&amp;A Vendor x GL Analysis'!$F91,'[1]NS Vendor Details'!$N:$N,"Direct Costs",'[1]NS Vendor Details'!$J:$J,0,'[1]NS Vendor Details'!$I:$I,'G&amp;A Vendor x GL Analysis'!$E91),IF(Z$15="Actual",SUMIFS('[1]NS Vendor Details'!$D:$D,'[1]NS Vendor Details'!$H:$H,'G&amp;A Vendor x GL Analysis'!Z$20,'[1]NS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Analysis'!Z$20,'[1]NS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AA91" s="17">
        <f>IF(AND(AA$15="Actual",ISBLANK($E$8)),SUMIFS('[1]NS Vendor Details'!$D:$D,'[1]NS Vendor Details'!$H:$H,'G&amp;A Vendor x GL Analysis'!AA$20,'[1]NS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Analysis'!AA$20,'[1]NS Vendor Details'!$L:$L,'G&amp;A Vendor x GL Analysis'!$D91,'[1]NS Vendor Details'!$O:$O,'G&amp;A Vendor x GL Analysis'!$F91,'[1]NS Vendor Details'!$N:$N,"Direct Costs",'[1]NS Vendor Details'!$J:$J,0,'[1]NS Vendor Details'!$I:$I,'G&amp;A Vendor x GL Analysis'!$E91),IF(AA$15="Actual",SUMIFS('[1]NS Vendor Details'!$D:$D,'[1]NS Vendor Details'!$H:$H,'G&amp;A Vendor x GL Analysis'!AA$20,'[1]NS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Analysis'!AA$20,'[1]NS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AB91" s="17">
        <f>IF(AND(AB$15="Actual",ISBLANK($E$8)),SUMIFS('[1]NS Vendor Details'!$D:$D,'[1]NS Vendor Details'!$H:$H,'G&amp;A Vendor x GL Analysis'!AB$20,'[1]NS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Analysis'!AB$20,'[1]NS Vendor Details'!$L:$L,'G&amp;A Vendor x GL Analysis'!$D91,'[1]NS Vendor Details'!$O:$O,'G&amp;A Vendor x GL Analysis'!$F91,'[1]NS Vendor Details'!$N:$N,"Direct Costs",'[1]NS Vendor Details'!$J:$J,0,'[1]NS Vendor Details'!$I:$I,'G&amp;A Vendor x GL Analysis'!$E91),IF(AB$15="Actual",SUMIFS('[1]NS Vendor Details'!$D:$D,'[1]NS Vendor Details'!$H:$H,'G&amp;A Vendor x GL Analysis'!AB$20,'[1]NS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Analysis'!AB$20,'[1]NS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AC91" s="18">
        <f>IF(AND(AC$15="Actual",ISBLANK($E$8)),SUMIFS('[1]NS Vendor Details'!$D:$D,'[1]NS Vendor Details'!$H:$H,'G&amp;A Vendor x GL Analysis'!AC$20,'[1]NS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Analysis'!AC$20,'[1]NS Vendor Details'!$L:$L,'G&amp;A Vendor x GL Analysis'!$D91,'[1]NS Vendor Details'!$O:$O,'G&amp;A Vendor x GL Analysis'!$F91,'[1]NS Vendor Details'!$N:$N,"Direct Costs",'[1]NS Vendor Details'!$J:$J,0,'[1]NS Vendor Details'!$I:$I,'G&amp;A Vendor x GL Analysis'!$E91),IF(AC$15="Actual",SUMIFS('[1]NS Vendor Details'!$D:$D,'[1]NS Vendor Details'!$H:$H,'G&amp;A Vendor x GL Analysis'!AC$20,'[1]NS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Analysis'!AC$20,'[1]NS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AD91" s="18">
        <f>IF(AND(AD$15="Actual",ISBLANK($E$8)),SUMIFS('[1]NS Vendor Details'!$D:$D,'[1]NS Vendor Details'!$H:$H,'G&amp;A Vendor x GL Analysis'!AD$20,'[1]NS Vendor Details'!$L:$L,'G&amp;A Vendor x GL Analysis'!$D91,'[1]NS Vendor Details'!$O:$O,'G&amp;A Vendor x GL Analysis'!$F91,'[1]NS Vendor Details'!$N:$N,'G&amp;A Vendor x GL Analysis'!$C91,'[1]NS Vendor Details'!$I:$I,'G&amp;A Vendor x GL Analysis'!$E91)+SUMIFS('[1]NS Vendor Details'!$D:$D,'[1]NS Vendor Details'!$H:$H,'G&amp;A Vendor x GL Analysis'!AD$20,'[1]NS Vendor Details'!$L:$L,'G&amp;A Vendor x GL Analysis'!$D91,'[1]NS Vendor Details'!$O:$O,'G&amp;A Vendor x GL Analysis'!$F91,'[1]NS Vendor Details'!$N:$N,"Direct Costs",'[1]NS Vendor Details'!$J:$J,0,'[1]NS Vendor Details'!$I:$I,'G&amp;A Vendor x GL Analysis'!$E91),IF(AD$15="Actual",SUMIFS('[1]NS Vendor Details'!$D:$D,'[1]NS Vendor Details'!$H:$H,'G&amp;A Vendor x GL Analysis'!AD$20,'[1]NS Vendor Details'!$L:$L,'G&amp;A Vendor x GL Analysis'!$D91,'[1]NS Vendor Details'!$O:$O,'G&amp;A Vendor x GL Analysis'!$F91,'[1]NS Vendor Details'!$N:$N,'G&amp;A Vendor x GL Analysis'!$C91,'[1]NS Vendor Details'!$K:$K,'G&amp;A Vendor x GL Analysis'!$E$8,'[1]NS Vendor Details'!$I:$I,'G&amp;A Vendor x GL Analysis'!$E91)+SUMIFS('[1]NS Vendor Details'!$D:$D,'[1]NS Vendor Details'!$H:$H,'G&amp;A Vendor x GL Analysis'!AD$20,'[1]NS Vendor Details'!$L:$L,'G&amp;A Vendor x GL Analysis'!$D91,'[1]NS Vendor Details'!$O:$O,'G&amp;A Vendor x GL Analysis'!$F91,'[1]NS Vendor Details'!$N:$N,"Direct Costs",'[1]NS Vendor Details'!$J:$J,0,'[1]NS Vendor Details'!$K:$K,'G&amp;A Vendor x GL Analysis'!$E$8,'[1]NS Vendor Details'!$I:$I,'G&amp;A Vendor x GL Analysis'!$E91),0))</f>
        <v>0</v>
      </c>
      <c r="AF91" s="19">
        <f t="shared" si="9"/>
        <v>0</v>
      </c>
    </row>
    <row r="92" spans="1:32" outlineLevel="1">
      <c r="A92" s="8" t="str">
        <f t="shared" si="22"/>
        <v>Professional Service6225 - Professional Services</v>
      </c>
      <c r="C92" s="8" t="s">
        <v>11</v>
      </c>
      <c r="D92" s="8" t="str">
        <f t="shared" si="21"/>
        <v>Professional Service</v>
      </c>
      <c r="E92" s="2" t="s">
        <v>75</v>
      </c>
      <c r="F92" s="2" t="s">
        <v>85</v>
      </c>
      <c r="G92" s="16">
        <f>IF(AND(G$15="Actual",ISBLANK($E$8)),SUMIFS('[1]NS Vendor Details'!$D:$D,'[1]NS Vendor Details'!$H:$H,'G&amp;A Vendor x GL Analysis'!G$20,'[1]NS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Analysis'!G$20,'[1]NS Vendor Details'!$L:$L,'G&amp;A Vendor x GL Analysis'!$D92,'[1]NS Vendor Details'!$O:$O,'G&amp;A Vendor x GL Analysis'!$F92,'[1]NS Vendor Details'!$N:$N,"Direct Costs",'[1]NS Vendor Details'!$J:$J,0),IF(G$15="Actual",SUMIFS('[1]NS Vendor Details'!$D:$D,'[1]NS Vendor Details'!$H:$H,'G&amp;A Vendor x GL Analysis'!G$20,'[1]NS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Analysis'!G$20,'[1]NS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H92" s="17">
        <f>IF(AND(H$15="Actual",ISBLANK($E$8)),SUMIFS('[1]NS Vendor Details'!$D:$D,'[1]NS Vendor Details'!$H:$H,'G&amp;A Vendor x GL Analysis'!H$20,'[1]NS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Analysis'!H$20,'[1]NS Vendor Details'!$L:$L,'G&amp;A Vendor x GL Analysis'!$D92,'[1]NS Vendor Details'!$O:$O,'G&amp;A Vendor x GL Analysis'!$F92,'[1]NS Vendor Details'!$N:$N,"Direct Costs",'[1]NS Vendor Details'!$J:$J,0),IF(H$15="Actual",SUMIFS('[1]NS Vendor Details'!$D:$D,'[1]NS Vendor Details'!$H:$H,'G&amp;A Vendor x GL Analysis'!H$20,'[1]NS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Analysis'!H$20,'[1]NS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I92" s="17">
        <f>IF(AND(I$15="Actual",ISBLANK($E$8)),SUMIFS('[1]NS Vendor Details'!$D:$D,'[1]NS Vendor Details'!$H:$H,'G&amp;A Vendor x GL Analysis'!I$20,'[1]NS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Analysis'!I$20,'[1]NS Vendor Details'!$L:$L,'G&amp;A Vendor x GL Analysis'!$D92,'[1]NS Vendor Details'!$O:$O,'G&amp;A Vendor x GL Analysis'!$F92,'[1]NS Vendor Details'!$N:$N,"Direct Costs",'[1]NS Vendor Details'!$J:$J,0),IF(I$15="Actual",SUMIFS('[1]NS Vendor Details'!$D:$D,'[1]NS Vendor Details'!$H:$H,'G&amp;A Vendor x GL Analysis'!I$20,'[1]NS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Analysis'!I$20,'[1]NS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J92" s="17">
        <f>IF(AND(J$15="Actual",ISBLANK($E$8)),SUMIFS('[1]NS Vendor Details'!$D:$D,'[1]NS Vendor Details'!$H:$H,'G&amp;A Vendor x GL Analysis'!J$20,'[1]NS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Analysis'!J$20,'[1]NS Vendor Details'!$L:$L,'G&amp;A Vendor x GL Analysis'!$D92,'[1]NS Vendor Details'!$O:$O,'G&amp;A Vendor x GL Analysis'!$F92,'[1]NS Vendor Details'!$N:$N,"Direct Costs",'[1]NS Vendor Details'!$J:$J,0),IF(J$15="Actual",SUMIFS('[1]NS Vendor Details'!$D:$D,'[1]NS Vendor Details'!$H:$H,'G&amp;A Vendor x GL Analysis'!J$20,'[1]NS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Analysis'!J$20,'[1]NS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K92" s="17">
        <f>IF(AND(K$15="Actual",ISBLANK($E$8)),SUMIFS('[1]NS Vendor Details'!$D:$D,'[1]NS Vendor Details'!$H:$H,'G&amp;A Vendor x GL Analysis'!K$20,'[1]NS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Analysis'!K$20,'[1]NS Vendor Details'!$L:$L,'G&amp;A Vendor x GL Analysis'!$D92,'[1]NS Vendor Details'!$O:$O,'G&amp;A Vendor x GL Analysis'!$F92,'[1]NS Vendor Details'!$N:$N,"Direct Costs",'[1]NS Vendor Details'!$J:$J,0),IF(K$15="Actual",SUMIFS('[1]NS Vendor Details'!$D:$D,'[1]NS Vendor Details'!$H:$H,'G&amp;A Vendor x GL Analysis'!K$20,'[1]NS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Analysis'!K$20,'[1]NS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L92" s="17">
        <f>IF(AND(L$15="Actual",ISBLANK($E$8)),SUMIFS('[1]NS Vendor Details'!$D:$D,'[1]NS Vendor Details'!$H:$H,'G&amp;A Vendor x GL Analysis'!L$20,'[1]NS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Analysis'!L$20,'[1]NS Vendor Details'!$L:$L,'G&amp;A Vendor x GL Analysis'!$D92,'[1]NS Vendor Details'!$O:$O,'G&amp;A Vendor x GL Analysis'!$F92,'[1]NS Vendor Details'!$N:$N,"Direct Costs",'[1]NS Vendor Details'!$J:$J,0),IF(L$15="Actual",SUMIFS('[1]NS Vendor Details'!$D:$D,'[1]NS Vendor Details'!$H:$H,'G&amp;A Vendor x GL Analysis'!L$20,'[1]NS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Analysis'!L$20,'[1]NS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M92" s="17">
        <f>IF(AND(M$15="Actual",ISBLANK($E$8)),SUMIFS('[1]NS Vendor Details'!$D:$D,'[1]NS Vendor Details'!$H:$H,'G&amp;A Vendor x GL Analysis'!M$20,'[1]NS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Analysis'!M$20,'[1]NS Vendor Details'!$L:$L,'G&amp;A Vendor x GL Analysis'!$D92,'[1]NS Vendor Details'!$O:$O,'G&amp;A Vendor x GL Analysis'!$F92,'[1]NS Vendor Details'!$N:$N,"Direct Costs",'[1]NS Vendor Details'!$J:$J,0),IF(M$15="Actual",SUMIFS('[1]NS Vendor Details'!$D:$D,'[1]NS Vendor Details'!$H:$H,'G&amp;A Vendor x GL Analysis'!M$20,'[1]NS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Analysis'!M$20,'[1]NS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N92" s="17">
        <f>IF(AND(N$15="Actual",ISBLANK($E$8)),SUMIFS('[1]NS Vendor Details'!$D:$D,'[1]NS Vendor Details'!$H:$H,'G&amp;A Vendor x GL Analysis'!N$20,'[1]NS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Analysis'!N$20,'[1]NS Vendor Details'!$L:$L,'G&amp;A Vendor x GL Analysis'!$D92,'[1]NS Vendor Details'!$O:$O,'G&amp;A Vendor x GL Analysis'!$F92,'[1]NS Vendor Details'!$N:$N,"Direct Costs",'[1]NS Vendor Details'!$J:$J,0),IF(N$15="Actual",SUMIFS('[1]NS Vendor Details'!$D:$D,'[1]NS Vendor Details'!$H:$H,'G&amp;A Vendor x GL Analysis'!N$20,'[1]NS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Analysis'!N$20,'[1]NS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O92" s="17">
        <f>IF(AND(O$15="Actual",ISBLANK($E$8)),SUMIFS('[1]NS Vendor Details'!$D:$D,'[1]NS Vendor Details'!$H:$H,'G&amp;A Vendor x GL Analysis'!O$20,'[1]NS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Analysis'!O$20,'[1]NS Vendor Details'!$L:$L,'G&amp;A Vendor x GL Analysis'!$D92,'[1]NS Vendor Details'!$O:$O,'G&amp;A Vendor x GL Analysis'!$F92,'[1]NS Vendor Details'!$N:$N,"Direct Costs",'[1]NS Vendor Details'!$J:$J,0),IF(O$15="Actual",SUMIFS('[1]NS Vendor Details'!$D:$D,'[1]NS Vendor Details'!$H:$H,'G&amp;A Vendor x GL Analysis'!O$20,'[1]NS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Analysis'!O$20,'[1]NS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P92" s="17">
        <f>IF(AND(P$15="Actual",ISBLANK($E$8)),SUMIFS('[1]NS Vendor Details'!$D:$D,'[1]NS Vendor Details'!$H:$H,'G&amp;A Vendor x GL Analysis'!P$20,'[1]NS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Analysis'!P$20,'[1]NS Vendor Details'!$L:$L,'G&amp;A Vendor x GL Analysis'!$D92,'[1]NS Vendor Details'!$O:$O,'G&amp;A Vendor x GL Analysis'!$F92,'[1]NS Vendor Details'!$N:$N,"Direct Costs",'[1]NS Vendor Details'!$J:$J,0),IF(P$15="Actual",SUMIFS('[1]NS Vendor Details'!$D:$D,'[1]NS Vendor Details'!$H:$H,'G&amp;A Vendor x GL Analysis'!P$20,'[1]NS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Analysis'!P$20,'[1]NS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Q92" s="17">
        <f>IF(AND(Q$15="Actual",ISBLANK($E$8)),SUMIFS('[1]NS Vendor Details'!$D:$D,'[1]NS Vendor Details'!$H:$H,'G&amp;A Vendor x GL Analysis'!Q$20,'[1]NS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Analysis'!Q$20,'[1]NS Vendor Details'!$L:$L,'G&amp;A Vendor x GL Analysis'!$D92,'[1]NS Vendor Details'!$O:$O,'G&amp;A Vendor x GL Analysis'!$F92,'[1]NS Vendor Details'!$N:$N,"Direct Costs",'[1]NS Vendor Details'!$J:$J,0),IF(Q$15="Actual",SUMIFS('[1]NS Vendor Details'!$D:$D,'[1]NS Vendor Details'!$H:$H,'G&amp;A Vendor x GL Analysis'!Q$20,'[1]NS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Analysis'!Q$20,'[1]NS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R92" s="18">
        <f>IF(AND(R$15="Actual",ISBLANK($E$8)),SUMIFS('[1]NS Vendor Details'!$D:$D,'[1]NS Vendor Details'!$H:$H,'G&amp;A Vendor x GL Analysis'!R$20,'[1]NS Vendor Details'!$L:$L,'G&amp;A Vendor x GL Analysis'!$D92,'[1]NS Vendor Details'!$O:$O,'G&amp;A Vendor x GL Analysis'!$F92,'[1]NS Vendor Details'!$N:$N,'G&amp;A Vendor x GL Analysis'!$C92)+SUMIFS('[1]NS Vendor Details'!$D:$D,'[1]NS Vendor Details'!$H:$H,'G&amp;A Vendor x GL Analysis'!R$20,'[1]NS Vendor Details'!$L:$L,'G&amp;A Vendor x GL Analysis'!$D92,'[1]NS Vendor Details'!$O:$O,'G&amp;A Vendor x GL Analysis'!$F92,'[1]NS Vendor Details'!$N:$N,"Direct Costs",'[1]NS Vendor Details'!$J:$J,0),IF(R$15="Actual",SUMIFS('[1]NS Vendor Details'!$D:$D,'[1]NS Vendor Details'!$H:$H,'G&amp;A Vendor x GL Analysis'!R$20,'[1]NS Vendor Details'!$L:$L,'G&amp;A Vendor x GL Analysis'!$D92,'[1]NS Vendor Details'!$O:$O,'G&amp;A Vendor x GL Analysis'!$F92,'[1]NS Vendor Details'!$N:$N,'G&amp;A Vendor x GL Analysis'!$C92,'[1]NS Vendor Details'!$K:$K,'G&amp;A Vendor x GL Analysis'!$E$8)+SUMIFS('[1]NS Vendor Details'!$D:$D,'[1]NS Vendor Details'!$H:$H,'G&amp;A Vendor x GL Analysis'!R$20,'[1]NS Vendor Details'!$L:$L,'G&amp;A Vendor x GL Analysis'!$D92,'[1]NS Vendor Details'!$O:$O,'G&amp;A Vendor x GL Analysis'!$F92,'[1]NS Vendor Details'!$N:$N,"Direct Costs",'[1]NS Vendor Details'!$J:$J,0,'[1]NS Vendor Details'!$K:$K,'G&amp;A Vendor x GL Analysis'!$E$8),0))</f>
        <v>0</v>
      </c>
      <c r="S92" s="16">
        <f>IF(AND(S$15="Actual",ISBLANK($E$8)),SUMIFS('[1]NS Vendor Details'!$D:$D,'[1]NS Vendor Details'!$H:$H,'G&amp;A Vendor x GL Analysis'!S$20,'[1]NS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Analysis'!S$20,'[1]NS Vendor Details'!$L:$L,'G&amp;A Vendor x GL Analysis'!$D92,'[1]NS Vendor Details'!$O:$O,'G&amp;A Vendor x GL Analysis'!$F92,'[1]NS Vendor Details'!$N:$N,"Direct Costs",'[1]NS Vendor Details'!$J:$J,0,'[1]NS Vendor Details'!$I:$I,'G&amp;A Vendor x GL Analysis'!$E92),IF(S$15="Actual",SUMIFS('[1]NS Vendor Details'!$D:$D,'[1]NS Vendor Details'!$H:$H,'G&amp;A Vendor x GL Analysis'!S$20,'[1]NS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Analysis'!S$20,'[1]NS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T92" s="17">
        <f>IF(AND(T$15="Actual",ISBLANK($E$8)),SUMIFS('[1]NS Vendor Details'!$D:$D,'[1]NS Vendor Details'!$H:$H,'G&amp;A Vendor x GL Analysis'!T$20,'[1]NS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Analysis'!T$20,'[1]NS Vendor Details'!$L:$L,'G&amp;A Vendor x GL Analysis'!$D92,'[1]NS Vendor Details'!$O:$O,'G&amp;A Vendor x GL Analysis'!$F92,'[1]NS Vendor Details'!$N:$N,"Direct Costs",'[1]NS Vendor Details'!$J:$J,0,'[1]NS Vendor Details'!$I:$I,'G&amp;A Vendor x GL Analysis'!$E92),IF(T$15="Actual",SUMIFS('[1]NS Vendor Details'!$D:$D,'[1]NS Vendor Details'!$H:$H,'G&amp;A Vendor x GL Analysis'!T$20,'[1]NS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Analysis'!T$20,'[1]NS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U92" s="17">
        <f>IF(AND(U$15="Actual",ISBLANK($E$8)),SUMIFS('[1]NS Vendor Details'!$D:$D,'[1]NS Vendor Details'!$H:$H,'G&amp;A Vendor x GL Analysis'!U$20,'[1]NS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Analysis'!U$20,'[1]NS Vendor Details'!$L:$L,'G&amp;A Vendor x GL Analysis'!$D92,'[1]NS Vendor Details'!$O:$O,'G&amp;A Vendor x GL Analysis'!$F92,'[1]NS Vendor Details'!$N:$N,"Direct Costs",'[1]NS Vendor Details'!$J:$J,0,'[1]NS Vendor Details'!$I:$I,'G&amp;A Vendor x GL Analysis'!$E92),IF(U$15="Actual",SUMIFS('[1]NS Vendor Details'!$D:$D,'[1]NS Vendor Details'!$H:$H,'G&amp;A Vendor x GL Analysis'!U$20,'[1]NS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Analysis'!U$20,'[1]NS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V92" s="17">
        <f>IF(AND(V$15="Actual",ISBLANK($E$8)),SUMIFS('[1]NS Vendor Details'!$D:$D,'[1]NS Vendor Details'!$H:$H,'G&amp;A Vendor x GL Analysis'!V$20,'[1]NS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Analysis'!V$20,'[1]NS Vendor Details'!$L:$L,'G&amp;A Vendor x GL Analysis'!$D92,'[1]NS Vendor Details'!$O:$O,'G&amp;A Vendor x GL Analysis'!$F92,'[1]NS Vendor Details'!$N:$N,"Direct Costs",'[1]NS Vendor Details'!$J:$J,0,'[1]NS Vendor Details'!$I:$I,'G&amp;A Vendor x GL Analysis'!$E92),IF(V$15="Actual",SUMIFS('[1]NS Vendor Details'!$D:$D,'[1]NS Vendor Details'!$H:$H,'G&amp;A Vendor x GL Analysis'!V$20,'[1]NS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Analysis'!V$20,'[1]NS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W92" s="17">
        <f>IF(AND(W$15="Actual",ISBLANK($E$8)),SUMIFS('[1]NS Vendor Details'!$D:$D,'[1]NS Vendor Details'!$H:$H,'G&amp;A Vendor x GL Analysis'!W$20,'[1]NS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Analysis'!W$20,'[1]NS Vendor Details'!$L:$L,'G&amp;A Vendor x GL Analysis'!$D92,'[1]NS Vendor Details'!$O:$O,'G&amp;A Vendor x GL Analysis'!$F92,'[1]NS Vendor Details'!$N:$N,"Direct Costs",'[1]NS Vendor Details'!$J:$J,0,'[1]NS Vendor Details'!$I:$I,'G&amp;A Vendor x GL Analysis'!$E92),IF(W$15="Actual",SUMIFS('[1]NS Vendor Details'!$D:$D,'[1]NS Vendor Details'!$H:$H,'G&amp;A Vendor x GL Analysis'!W$20,'[1]NS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Analysis'!W$20,'[1]NS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X92" s="17">
        <f>IF(AND(X$15="Actual",ISBLANK($E$8)),SUMIFS('[1]NS Vendor Details'!$D:$D,'[1]NS Vendor Details'!$H:$H,'G&amp;A Vendor x GL Analysis'!X$20,'[1]NS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Analysis'!X$20,'[1]NS Vendor Details'!$L:$L,'G&amp;A Vendor x GL Analysis'!$D92,'[1]NS Vendor Details'!$O:$O,'G&amp;A Vendor x GL Analysis'!$F92,'[1]NS Vendor Details'!$N:$N,"Direct Costs",'[1]NS Vendor Details'!$J:$J,0,'[1]NS Vendor Details'!$I:$I,'G&amp;A Vendor x GL Analysis'!$E92),IF(X$15="Actual",SUMIFS('[1]NS Vendor Details'!$D:$D,'[1]NS Vendor Details'!$H:$H,'G&amp;A Vendor x GL Analysis'!X$20,'[1]NS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Analysis'!X$20,'[1]NS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Y92" s="17">
        <f>IF(AND(Y$15="Actual",ISBLANK($E$8)),SUMIFS('[1]NS Vendor Details'!$D:$D,'[1]NS Vendor Details'!$H:$H,'G&amp;A Vendor x GL Analysis'!Y$20,'[1]NS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Analysis'!Y$20,'[1]NS Vendor Details'!$L:$L,'G&amp;A Vendor x GL Analysis'!$D92,'[1]NS Vendor Details'!$O:$O,'G&amp;A Vendor x GL Analysis'!$F92,'[1]NS Vendor Details'!$N:$N,"Direct Costs",'[1]NS Vendor Details'!$J:$J,0,'[1]NS Vendor Details'!$I:$I,'G&amp;A Vendor x GL Analysis'!$E92),IF(Y$15="Actual",SUMIFS('[1]NS Vendor Details'!$D:$D,'[1]NS Vendor Details'!$H:$H,'G&amp;A Vendor x GL Analysis'!Y$20,'[1]NS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Analysis'!Y$20,'[1]NS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Z92" s="17">
        <f>IF(AND(Z$15="Actual",ISBLANK($E$8)),SUMIFS('[1]NS Vendor Details'!$D:$D,'[1]NS Vendor Details'!$H:$H,'G&amp;A Vendor x GL Analysis'!Z$20,'[1]NS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Analysis'!Z$20,'[1]NS Vendor Details'!$L:$L,'G&amp;A Vendor x GL Analysis'!$D92,'[1]NS Vendor Details'!$O:$O,'G&amp;A Vendor x GL Analysis'!$F92,'[1]NS Vendor Details'!$N:$N,"Direct Costs",'[1]NS Vendor Details'!$J:$J,0,'[1]NS Vendor Details'!$I:$I,'G&amp;A Vendor x GL Analysis'!$E92),IF(Z$15="Actual",SUMIFS('[1]NS Vendor Details'!$D:$D,'[1]NS Vendor Details'!$H:$H,'G&amp;A Vendor x GL Analysis'!Z$20,'[1]NS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Analysis'!Z$20,'[1]NS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AA92" s="17">
        <f>IF(AND(AA$15="Actual",ISBLANK($E$8)),SUMIFS('[1]NS Vendor Details'!$D:$D,'[1]NS Vendor Details'!$H:$H,'G&amp;A Vendor x GL Analysis'!AA$20,'[1]NS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Analysis'!AA$20,'[1]NS Vendor Details'!$L:$L,'G&amp;A Vendor x GL Analysis'!$D92,'[1]NS Vendor Details'!$O:$O,'G&amp;A Vendor x GL Analysis'!$F92,'[1]NS Vendor Details'!$N:$N,"Direct Costs",'[1]NS Vendor Details'!$J:$J,0,'[1]NS Vendor Details'!$I:$I,'G&amp;A Vendor x GL Analysis'!$E92),IF(AA$15="Actual",SUMIFS('[1]NS Vendor Details'!$D:$D,'[1]NS Vendor Details'!$H:$H,'G&amp;A Vendor x GL Analysis'!AA$20,'[1]NS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Analysis'!AA$20,'[1]NS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AB92" s="17">
        <f>IF(AND(AB$15="Actual",ISBLANK($E$8)),SUMIFS('[1]NS Vendor Details'!$D:$D,'[1]NS Vendor Details'!$H:$H,'G&amp;A Vendor x GL Analysis'!AB$20,'[1]NS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Analysis'!AB$20,'[1]NS Vendor Details'!$L:$L,'G&amp;A Vendor x GL Analysis'!$D92,'[1]NS Vendor Details'!$O:$O,'G&amp;A Vendor x GL Analysis'!$F92,'[1]NS Vendor Details'!$N:$N,"Direct Costs",'[1]NS Vendor Details'!$J:$J,0,'[1]NS Vendor Details'!$I:$I,'G&amp;A Vendor x GL Analysis'!$E92),IF(AB$15="Actual",SUMIFS('[1]NS Vendor Details'!$D:$D,'[1]NS Vendor Details'!$H:$H,'G&amp;A Vendor x GL Analysis'!AB$20,'[1]NS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Analysis'!AB$20,'[1]NS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AC92" s="18">
        <f>IF(AND(AC$15="Actual",ISBLANK($E$8)),SUMIFS('[1]NS Vendor Details'!$D:$D,'[1]NS Vendor Details'!$H:$H,'G&amp;A Vendor x GL Analysis'!AC$20,'[1]NS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Analysis'!AC$20,'[1]NS Vendor Details'!$L:$L,'G&amp;A Vendor x GL Analysis'!$D92,'[1]NS Vendor Details'!$O:$O,'G&amp;A Vendor x GL Analysis'!$F92,'[1]NS Vendor Details'!$N:$N,"Direct Costs",'[1]NS Vendor Details'!$J:$J,0,'[1]NS Vendor Details'!$I:$I,'G&amp;A Vendor x GL Analysis'!$E92),IF(AC$15="Actual",SUMIFS('[1]NS Vendor Details'!$D:$D,'[1]NS Vendor Details'!$H:$H,'G&amp;A Vendor x GL Analysis'!AC$20,'[1]NS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Analysis'!AC$20,'[1]NS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AD92" s="18">
        <f>IF(AND(AD$15="Actual",ISBLANK($E$8)),SUMIFS('[1]NS Vendor Details'!$D:$D,'[1]NS Vendor Details'!$H:$H,'G&amp;A Vendor x GL Analysis'!AD$20,'[1]NS Vendor Details'!$L:$L,'G&amp;A Vendor x GL Analysis'!$D92,'[1]NS Vendor Details'!$O:$O,'G&amp;A Vendor x GL Analysis'!$F92,'[1]NS Vendor Details'!$N:$N,'G&amp;A Vendor x GL Analysis'!$C92,'[1]NS Vendor Details'!$I:$I,'G&amp;A Vendor x GL Analysis'!$E92)+SUMIFS('[1]NS Vendor Details'!$D:$D,'[1]NS Vendor Details'!$H:$H,'G&amp;A Vendor x GL Analysis'!AD$20,'[1]NS Vendor Details'!$L:$L,'G&amp;A Vendor x GL Analysis'!$D92,'[1]NS Vendor Details'!$O:$O,'G&amp;A Vendor x GL Analysis'!$F92,'[1]NS Vendor Details'!$N:$N,"Direct Costs",'[1]NS Vendor Details'!$J:$J,0,'[1]NS Vendor Details'!$I:$I,'G&amp;A Vendor x GL Analysis'!$E92),IF(AD$15="Actual",SUMIFS('[1]NS Vendor Details'!$D:$D,'[1]NS Vendor Details'!$H:$H,'G&amp;A Vendor x GL Analysis'!AD$20,'[1]NS Vendor Details'!$L:$L,'G&amp;A Vendor x GL Analysis'!$D92,'[1]NS Vendor Details'!$O:$O,'G&amp;A Vendor x GL Analysis'!$F92,'[1]NS Vendor Details'!$N:$N,'G&amp;A Vendor x GL Analysis'!$C92,'[1]NS Vendor Details'!$K:$K,'G&amp;A Vendor x GL Analysis'!$E$8,'[1]NS Vendor Details'!$I:$I,'G&amp;A Vendor x GL Analysis'!$E92)+SUMIFS('[1]NS Vendor Details'!$D:$D,'[1]NS Vendor Details'!$H:$H,'G&amp;A Vendor x GL Analysis'!AD$20,'[1]NS Vendor Details'!$L:$L,'G&amp;A Vendor x GL Analysis'!$D92,'[1]NS Vendor Details'!$O:$O,'G&amp;A Vendor x GL Analysis'!$F92,'[1]NS Vendor Details'!$N:$N,"Direct Costs",'[1]NS Vendor Details'!$J:$J,0,'[1]NS Vendor Details'!$K:$K,'G&amp;A Vendor x GL Analysis'!$E$8,'[1]NS Vendor Details'!$I:$I,'G&amp;A Vendor x GL Analysis'!$E92),0))</f>
        <v>0</v>
      </c>
      <c r="AF92" s="19">
        <f t="shared" si="9"/>
        <v>0</v>
      </c>
    </row>
    <row r="93" spans="1:32" outlineLevel="1">
      <c r="A93" s="8" t="str">
        <f t="shared" si="22"/>
        <v>Professional Service6225 - Professional Services</v>
      </c>
      <c r="C93" s="8" t="s">
        <v>11</v>
      </c>
      <c r="D93" s="8" t="str">
        <f t="shared" si="21"/>
        <v>Professional Service</v>
      </c>
      <c r="E93" s="2" t="s">
        <v>75</v>
      </c>
      <c r="F93" s="2" t="s">
        <v>86</v>
      </c>
      <c r="G93" s="16">
        <f>IF(AND(G$15="Actual",ISBLANK($E$8)),SUMIFS('[1]NS Vendor Details'!$D:$D,'[1]NS Vendor Details'!$H:$H,'G&amp;A Vendor x GL Analysis'!G$20,'[1]NS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Analysis'!G$20,'[1]NS Vendor Details'!$L:$L,'G&amp;A Vendor x GL Analysis'!$D93,'[1]NS Vendor Details'!$O:$O,'G&amp;A Vendor x GL Analysis'!$F93,'[1]NS Vendor Details'!$N:$N,"Direct Costs",'[1]NS Vendor Details'!$J:$J,0),IF(G$15="Actual",SUMIFS('[1]NS Vendor Details'!$D:$D,'[1]NS Vendor Details'!$H:$H,'G&amp;A Vendor x GL Analysis'!G$20,'[1]NS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Analysis'!G$20,'[1]NS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H93" s="17">
        <f>IF(AND(H$15="Actual",ISBLANK($E$8)),SUMIFS('[1]NS Vendor Details'!$D:$D,'[1]NS Vendor Details'!$H:$H,'G&amp;A Vendor x GL Analysis'!H$20,'[1]NS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Analysis'!H$20,'[1]NS Vendor Details'!$L:$L,'G&amp;A Vendor x GL Analysis'!$D93,'[1]NS Vendor Details'!$O:$O,'G&amp;A Vendor x GL Analysis'!$F93,'[1]NS Vendor Details'!$N:$N,"Direct Costs",'[1]NS Vendor Details'!$J:$J,0),IF(H$15="Actual",SUMIFS('[1]NS Vendor Details'!$D:$D,'[1]NS Vendor Details'!$H:$H,'G&amp;A Vendor x GL Analysis'!H$20,'[1]NS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Analysis'!H$20,'[1]NS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I93" s="17">
        <f>IF(AND(I$15="Actual",ISBLANK($E$8)),SUMIFS('[1]NS Vendor Details'!$D:$D,'[1]NS Vendor Details'!$H:$H,'G&amp;A Vendor x GL Analysis'!I$20,'[1]NS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Analysis'!I$20,'[1]NS Vendor Details'!$L:$L,'G&amp;A Vendor x GL Analysis'!$D93,'[1]NS Vendor Details'!$O:$O,'G&amp;A Vendor x GL Analysis'!$F93,'[1]NS Vendor Details'!$N:$N,"Direct Costs",'[1]NS Vendor Details'!$J:$J,0),IF(I$15="Actual",SUMIFS('[1]NS Vendor Details'!$D:$D,'[1]NS Vendor Details'!$H:$H,'G&amp;A Vendor x GL Analysis'!I$20,'[1]NS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Analysis'!I$20,'[1]NS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J93" s="17">
        <f>IF(AND(J$15="Actual",ISBLANK($E$8)),SUMIFS('[1]NS Vendor Details'!$D:$D,'[1]NS Vendor Details'!$H:$H,'G&amp;A Vendor x GL Analysis'!J$20,'[1]NS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Analysis'!J$20,'[1]NS Vendor Details'!$L:$L,'G&amp;A Vendor x GL Analysis'!$D93,'[1]NS Vendor Details'!$O:$O,'G&amp;A Vendor x GL Analysis'!$F93,'[1]NS Vendor Details'!$N:$N,"Direct Costs",'[1]NS Vendor Details'!$J:$J,0),IF(J$15="Actual",SUMIFS('[1]NS Vendor Details'!$D:$D,'[1]NS Vendor Details'!$H:$H,'G&amp;A Vendor x GL Analysis'!J$20,'[1]NS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Analysis'!J$20,'[1]NS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K93" s="17">
        <f>IF(AND(K$15="Actual",ISBLANK($E$8)),SUMIFS('[1]NS Vendor Details'!$D:$D,'[1]NS Vendor Details'!$H:$H,'G&amp;A Vendor x GL Analysis'!K$20,'[1]NS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Analysis'!K$20,'[1]NS Vendor Details'!$L:$L,'G&amp;A Vendor x GL Analysis'!$D93,'[1]NS Vendor Details'!$O:$O,'G&amp;A Vendor x GL Analysis'!$F93,'[1]NS Vendor Details'!$N:$N,"Direct Costs",'[1]NS Vendor Details'!$J:$J,0),IF(K$15="Actual",SUMIFS('[1]NS Vendor Details'!$D:$D,'[1]NS Vendor Details'!$H:$H,'G&amp;A Vendor x GL Analysis'!K$20,'[1]NS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Analysis'!K$20,'[1]NS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L93" s="17">
        <f>IF(AND(L$15="Actual",ISBLANK($E$8)),SUMIFS('[1]NS Vendor Details'!$D:$D,'[1]NS Vendor Details'!$H:$H,'G&amp;A Vendor x GL Analysis'!L$20,'[1]NS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Analysis'!L$20,'[1]NS Vendor Details'!$L:$L,'G&amp;A Vendor x GL Analysis'!$D93,'[1]NS Vendor Details'!$O:$O,'G&amp;A Vendor x GL Analysis'!$F93,'[1]NS Vendor Details'!$N:$N,"Direct Costs",'[1]NS Vendor Details'!$J:$J,0),IF(L$15="Actual",SUMIFS('[1]NS Vendor Details'!$D:$D,'[1]NS Vendor Details'!$H:$H,'G&amp;A Vendor x GL Analysis'!L$20,'[1]NS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Analysis'!L$20,'[1]NS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M93" s="17">
        <f>IF(AND(M$15="Actual",ISBLANK($E$8)),SUMIFS('[1]NS Vendor Details'!$D:$D,'[1]NS Vendor Details'!$H:$H,'G&amp;A Vendor x GL Analysis'!M$20,'[1]NS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Analysis'!M$20,'[1]NS Vendor Details'!$L:$L,'G&amp;A Vendor x GL Analysis'!$D93,'[1]NS Vendor Details'!$O:$O,'G&amp;A Vendor x GL Analysis'!$F93,'[1]NS Vendor Details'!$N:$N,"Direct Costs",'[1]NS Vendor Details'!$J:$J,0),IF(M$15="Actual",SUMIFS('[1]NS Vendor Details'!$D:$D,'[1]NS Vendor Details'!$H:$H,'G&amp;A Vendor x GL Analysis'!M$20,'[1]NS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Analysis'!M$20,'[1]NS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N93" s="17">
        <f>IF(AND(N$15="Actual",ISBLANK($E$8)),SUMIFS('[1]NS Vendor Details'!$D:$D,'[1]NS Vendor Details'!$H:$H,'G&amp;A Vendor x GL Analysis'!N$20,'[1]NS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Analysis'!N$20,'[1]NS Vendor Details'!$L:$L,'G&amp;A Vendor x GL Analysis'!$D93,'[1]NS Vendor Details'!$O:$O,'G&amp;A Vendor x GL Analysis'!$F93,'[1]NS Vendor Details'!$N:$N,"Direct Costs",'[1]NS Vendor Details'!$J:$J,0),IF(N$15="Actual",SUMIFS('[1]NS Vendor Details'!$D:$D,'[1]NS Vendor Details'!$H:$H,'G&amp;A Vendor x GL Analysis'!N$20,'[1]NS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Analysis'!N$20,'[1]NS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O93" s="17">
        <f>IF(AND(O$15="Actual",ISBLANK($E$8)),SUMIFS('[1]NS Vendor Details'!$D:$D,'[1]NS Vendor Details'!$H:$H,'G&amp;A Vendor x GL Analysis'!O$20,'[1]NS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Analysis'!O$20,'[1]NS Vendor Details'!$L:$L,'G&amp;A Vendor x GL Analysis'!$D93,'[1]NS Vendor Details'!$O:$O,'G&amp;A Vendor x GL Analysis'!$F93,'[1]NS Vendor Details'!$N:$N,"Direct Costs",'[1]NS Vendor Details'!$J:$J,0),IF(O$15="Actual",SUMIFS('[1]NS Vendor Details'!$D:$D,'[1]NS Vendor Details'!$H:$H,'G&amp;A Vendor x GL Analysis'!O$20,'[1]NS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Analysis'!O$20,'[1]NS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P93" s="17">
        <f>IF(AND(P$15="Actual",ISBLANK($E$8)),SUMIFS('[1]NS Vendor Details'!$D:$D,'[1]NS Vendor Details'!$H:$H,'G&amp;A Vendor x GL Analysis'!P$20,'[1]NS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Analysis'!P$20,'[1]NS Vendor Details'!$L:$L,'G&amp;A Vendor x GL Analysis'!$D93,'[1]NS Vendor Details'!$O:$O,'G&amp;A Vendor x GL Analysis'!$F93,'[1]NS Vendor Details'!$N:$N,"Direct Costs",'[1]NS Vendor Details'!$J:$J,0),IF(P$15="Actual",SUMIFS('[1]NS Vendor Details'!$D:$D,'[1]NS Vendor Details'!$H:$H,'G&amp;A Vendor x GL Analysis'!P$20,'[1]NS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Analysis'!P$20,'[1]NS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Q93" s="17">
        <f>IF(AND(Q$15="Actual",ISBLANK($E$8)),SUMIFS('[1]NS Vendor Details'!$D:$D,'[1]NS Vendor Details'!$H:$H,'G&amp;A Vendor x GL Analysis'!Q$20,'[1]NS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Analysis'!Q$20,'[1]NS Vendor Details'!$L:$L,'G&amp;A Vendor x GL Analysis'!$D93,'[1]NS Vendor Details'!$O:$O,'G&amp;A Vendor x GL Analysis'!$F93,'[1]NS Vendor Details'!$N:$N,"Direct Costs",'[1]NS Vendor Details'!$J:$J,0),IF(Q$15="Actual",SUMIFS('[1]NS Vendor Details'!$D:$D,'[1]NS Vendor Details'!$H:$H,'G&amp;A Vendor x GL Analysis'!Q$20,'[1]NS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Analysis'!Q$20,'[1]NS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R93" s="18">
        <f>IF(AND(R$15="Actual",ISBLANK($E$8)),SUMIFS('[1]NS Vendor Details'!$D:$D,'[1]NS Vendor Details'!$H:$H,'G&amp;A Vendor x GL Analysis'!R$20,'[1]NS Vendor Details'!$L:$L,'G&amp;A Vendor x GL Analysis'!$D93,'[1]NS Vendor Details'!$O:$O,'G&amp;A Vendor x GL Analysis'!$F93,'[1]NS Vendor Details'!$N:$N,'G&amp;A Vendor x GL Analysis'!$C93)+SUMIFS('[1]NS Vendor Details'!$D:$D,'[1]NS Vendor Details'!$H:$H,'G&amp;A Vendor x GL Analysis'!R$20,'[1]NS Vendor Details'!$L:$L,'G&amp;A Vendor x GL Analysis'!$D93,'[1]NS Vendor Details'!$O:$O,'G&amp;A Vendor x GL Analysis'!$F93,'[1]NS Vendor Details'!$N:$N,"Direct Costs",'[1]NS Vendor Details'!$J:$J,0),IF(R$15="Actual",SUMIFS('[1]NS Vendor Details'!$D:$D,'[1]NS Vendor Details'!$H:$H,'G&amp;A Vendor x GL Analysis'!R$20,'[1]NS Vendor Details'!$L:$L,'G&amp;A Vendor x GL Analysis'!$D93,'[1]NS Vendor Details'!$O:$O,'G&amp;A Vendor x GL Analysis'!$F93,'[1]NS Vendor Details'!$N:$N,'G&amp;A Vendor x GL Analysis'!$C93,'[1]NS Vendor Details'!$K:$K,'G&amp;A Vendor x GL Analysis'!$E$8)+SUMIFS('[1]NS Vendor Details'!$D:$D,'[1]NS Vendor Details'!$H:$H,'G&amp;A Vendor x GL Analysis'!R$20,'[1]NS Vendor Details'!$L:$L,'G&amp;A Vendor x GL Analysis'!$D93,'[1]NS Vendor Details'!$O:$O,'G&amp;A Vendor x GL Analysis'!$F93,'[1]NS Vendor Details'!$N:$N,"Direct Costs",'[1]NS Vendor Details'!$J:$J,0,'[1]NS Vendor Details'!$K:$K,'G&amp;A Vendor x GL Analysis'!$E$8),0))</f>
        <v>0</v>
      </c>
      <c r="S93" s="16">
        <f>IF(AND(S$15="Actual",ISBLANK($E$8)),SUMIFS('[1]NS Vendor Details'!$D:$D,'[1]NS Vendor Details'!$H:$H,'G&amp;A Vendor x GL Analysis'!S$20,'[1]NS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Analysis'!S$20,'[1]NS Vendor Details'!$L:$L,'G&amp;A Vendor x GL Analysis'!$D93,'[1]NS Vendor Details'!$O:$O,'G&amp;A Vendor x GL Analysis'!$F93,'[1]NS Vendor Details'!$N:$N,"Direct Costs",'[1]NS Vendor Details'!$J:$J,0,'[1]NS Vendor Details'!$I:$I,'G&amp;A Vendor x GL Analysis'!$E93),IF(S$15="Actual",SUMIFS('[1]NS Vendor Details'!$D:$D,'[1]NS Vendor Details'!$H:$H,'G&amp;A Vendor x GL Analysis'!S$20,'[1]NS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Analysis'!S$20,'[1]NS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0</v>
      </c>
      <c r="T93" s="17">
        <f>IF(AND(T$15="Actual",ISBLANK($E$8)),SUMIFS('[1]NS Vendor Details'!$D:$D,'[1]NS Vendor Details'!$H:$H,'G&amp;A Vendor x GL Analysis'!T$20,'[1]NS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Analysis'!T$20,'[1]NS Vendor Details'!$L:$L,'G&amp;A Vendor x GL Analysis'!$D93,'[1]NS Vendor Details'!$O:$O,'G&amp;A Vendor x GL Analysis'!$F93,'[1]NS Vendor Details'!$N:$N,"Direct Costs",'[1]NS Vendor Details'!$J:$J,0,'[1]NS Vendor Details'!$I:$I,'G&amp;A Vendor x GL Analysis'!$E93),IF(T$15="Actual",SUMIFS('[1]NS Vendor Details'!$D:$D,'[1]NS Vendor Details'!$H:$H,'G&amp;A Vendor x GL Analysis'!T$20,'[1]NS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Analysis'!T$20,'[1]NS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0</v>
      </c>
      <c r="U93" s="17">
        <f>IF(AND(U$15="Actual",ISBLANK($E$8)),SUMIFS('[1]NS Vendor Details'!$D:$D,'[1]NS Vendor Details'!$H:$H,'G&amp;A Vendor x GL Analysis'!U$20,'[1]NS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Analysis'!U$20,'[1]NS Vendor Details'!$L:$L,'G&amp;A Vendor x GL Analysis'!$D93,'[1]NS Vendor Details'!$O:$O,'G&amp;A Vendor x GL Analysis'!$F93,'[1]NS Vendor Details'!$N:$N,"Direct Costs",'[1]NS Vendor Details'!$J:$J,0,'[1]NS Vendor Details'!$I:$I,'G&amp;A Vendor x GL Analysis'!$E93),IF(U$15="Actual",SUMIFS('[1]NS Vendor Details'!$D:$D,'[1]NS Vendor Details'!$H:$H,'G&amp;A Vendor x GL Analysis'!U$20,'[1]NS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Analysis'!U$20,'[1]NS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11250</v>
      </c>
      <c r="V93" s="17">
        <f>IF(AND(V$15="Actual",ISBLANK($E$8)),SUMIFS('[1]NS Vendor Details'!$D:$D,'[1]NS Vendor Details'!$H:$H,'G&amp;A Vendor x GL Analysis'!V$20,'[1]NS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Analysis'!V$20,'[1]NS Vendor Details'!$L:$L,'G&amp;A Vendor x GL Analysis'!$D93,'[1]NS Vendor Details'!$O:$O,'G&amp;A Vendor x GL Analysis'!$F93,'[1]NS Vendor Details'!$N:$N,"Direct Costs",'[1]NS Vendor Details'!$J:$J,0,'[1]NS Vendor Details'!$I:$I,'G&amp;A Vendor x GL Analysis'!$E93),IF(V$15="Actual",SUMIFS('[1]NS Vendor Details'!$D:$D,'[1]NS Vendor Details'!$H:$H,'G&amp;A Vendor x GL Analysis'!V$20,'[1]NS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Analysis'!V$20,'[1]NS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14324.47</v>
      </c>
      <c r="W93" s="17">
        <f>IF(AND(W$15="Actual",ISBLANK($E$8)),SUMIFS('[1]NS Vendor Details'!$D:$D,'[1]NS Vendor Details'!$H:$H,'G&amp;A Vendor x GL Analysis'!W$20,'[1]NS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Analysis'!W$20,'[1]NS Vendor Details'!$L:$L,'G&amp;A Vendor x GL Analysis'!$D93,'[1]NS Vendor Details'!$O:$O,'G&amp;A Vendor x GL Analysis'!$F93,'[1]NS Vendor Details'!$N:$N,"Direct Costs",'[1]NS Vendor Details'!$J:$J,0,'[1]NS Vendor Details'!$I:$I,'G&amp;A Vendor x GL Analysis'!$E93),IF(W$15="Actual",SUMIFS('[1]NS Vendor Details'!$D:$D,'[1]NS Vendor Details'!$H:$H,'G&amp;A Vendor x GL Analysis'!W$20,'[1]NS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Analysis'!W$20,'[1]NS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11362.47</v>
      </c>
      <c r="X93" s="17">
        <f>IF(AND(X$15="Actual",ISBLANK($E$8)),SUMIFS('[1]NS Vendor Details'!$D:$D,'[1]NS Vendor Details'!$H:$H,'G&amp;A Vendor x GL Analysis'!X$20,'[1]NS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Analysis'!X$20,'[1]NS Vendor Details'!$L:$L,'G&amp;A Vendor x GL Analysis'!$D93,'[1]NS Vendor Details'!$O:$O,'G&amp;A Vendor x GL Analysis'!$F93,'[1]NS Vendor Details'!$N:$N,"Direct Costs",'[1]NS Vendor Details'!$J:$J,0,'[1]NS Vendor Details'!$I:$I,'G&amp;A Vendor x GL Analysis'!$E93),IF(X$15="Actual",SUMIFS('[1]NS Vendor Details'!$D:$D,'[1]NS Vendor Details'!$H:$H,'G&amp;A Vendor x GL Analysis'!X$20,'[1]NS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Analysis'!X$20,'[1]NS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11250</v>
      </c>
      <c r="Y93" s="17">
        <f>IF(AND(Y$15="Actual",ISBLANK($E$8)),SUMIFS('[1]NS Vendor Details'!$D:$D,'[1]NS Vendor Details'!$H:$H,'G&amp;A Vendor x GL Analysis'!Y$20,'[1]NS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Analysis'!Y$20,'[1]NS Vendor Details'!$L:$L,'G&amp;A Vendor x GL Analysis'!$D93,'[1]NS Vendor Details'!$O:$O,'G&amp;A Vendor x GL Analysis'!$F93,'[1]NS Vendor Details'!$N:$N,"Direct Costs",'[1]NS Vendor Details'!$J:$J,0,'[1]NS Vendor Details'!$I:$I,'G&amp;A Vendor x GL Analysis'!$E93),IF(Y$15="Actual",SUMIFS('[1]NS Vendor Details'!$D:$D,'[1]NS Vendor Details'!$H:$H,'G&amp;A Vendor x GL Analysis'!Y$20,'[1]NS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Analysis'!Y$20,'[1]NS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11250</v>
      </c>
      <c r="Z93" s="17">
        <f>IF(AND(Z$15="Actual",ISBLANK($E$8)),SUMIFS('[1]NS Vendor Details'!$D:$D,'[1]NS Vendor Details'!$H:$H,'G&amp;A Vendor x GL Analysis'!Z$20,'[1]NS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Analysis'!Z$20,'[1]NS Vendor Details'!$L:$L,'G&amp;A Vendor x GL Analysis'!$D93,'[1]NS Vendor Details'!$O:$O,'G&amp;A Vendor x GL Analysis'!$F93,'[1]NS Vendor Details'!$N:$N,"Direct Costs",'[1]NS Vendor Details'!$J:$J,0,'[1]NS Vendor Details'!$I:$I,'G&amp;A Vendor x GL Analysis'!$E93),IF(Z$15="Actual",SUMIFS('[1]NS Vendor Details'!$D:$D,'[1]NS Vendor Details'!$H:$H,'G&amp;A Vendor x GL Analysis'!Z$20,'[1]NS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Analysis'!Z$20,'[1]NS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11275.130000000001</v>
      </c>
      <c r="AA93" s="17">
        <f>IF(AND(AA$15="Actual",ISBLANK($E$8)),SUMIFS('[1]NS Vendor Details'!$D:$D,'[1]NS Vendor Details'!$H:$H,'G&amp;A Vendor x GL Analysis'!AA$20,'[1]NS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Analysis'!AA$20,'[1]NS Vendor Details'!$L:$L,'G&amp;A Vendor x GL Analysis'!$D93,'[1]NS Vendor Details'!$O:$O,'G&amp;A Vendor x GL Analysis'!$F93,'[1]NS Vendor Details'!$N:$N,"Direct Costs",'[1]NS Vendor Details'!$J:$J,0,'[1]NS Vendor Details'!$I:$I,'G&amp;A Vendor x GL Analysis'!$E93),IF(AA$15="Actual",SUMIFS('[1]NS Vendor Details'!$D:$D,'[1]NS Vendor Details'!$H:$H,'G&amp;A Vendor x GL Analysis'!AA$20,'[1]NS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Analysis'!AA$20,'[1]NS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13411.56</v>
      </c>
      <c r="AB93" s="17">
        <f>IF(AND(AB$15="Actual",ISBLANK($E$8)),SUMIFS('[1]NS Vendor Details'!$D:$D,'[1]NS Vendor Details'!$H:$H,'G&amp;A Vendor x GL Analysis'!AB$20,'[1]NS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Analysis'!AB$20,'[1]NS Vendor Details'!$L:$L,'G&amp;A Vendor x GL Analysis'!$D93,'[1]NS Vendor Details'!$O:$O,'G&amp;A Vendor x GL Analysis'!$F93,'[1]NS Vendor Details'!$N:$N,"Direct Costs",'[1]NS Vendor Details'!$J:$J,0,'[1]NS Vendor Details'!$I:$I,'G&amp;A Vendor x GL Analysis'!$E93),IF(AB$15="Actual",SUMIFS('[1]NS Vendor Details'!$D:$D,'[1]NS Vendor Details'!$H:$H,'G&amp;A Vendor x GL Analysis'!AB$20,'[1]NS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Analysis'!AB$20,'[1]NS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13022.649999999998</v>
      </c>
      <c r="AC93" s="18">
        <f>IF(AND(AC$15="Actual",ISBLANK($E$8)),SUMIFS('[1]NS Vendor Details'!$D:$D,'[1]NS Vendor Details'!$H:$H,'G&amp;A Vendor x GL Analysis'!AC$20,'[1]NS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Analysis'!AC$20,'[1]NS Vendor Details'!$L:$L,'G&amp;A Vendor x GL Analysis'!$D93,'[1]NS Vendor Details'!$O:$O,'G&amp;A Vendor x GL Analysis'!$F93,'[1]NS Vendor Details'!$N:$N,"Direct Costs",'[1]NS Vendor Details'!$J:$J,0,'[1]NS Vendor Details'!$I:$I,'G&amp;A Vendor x GL Analysis'!$E93),IF(AC$15="Actual",SUMIFS('[1]NS Vendor Details'!$D:$D,'[1]NS Vendor Details'!$H:$H,'G&amp;A Vendor x GL Analysis'!AC$20,'[1]NS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Analysis'!AC$20,'[1]NS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11403.67</v>
      </c>
      <c r="AD93" s="18">
        <f>IF(AND(AD$15="Actual",ISBLANK($E$8)),SUMIFS('[1]NS Vendor Details'!$D:$D,'[1]NS Vendor Details'!$H:$H,'G&amp;A Vendor x GL Analysis'!AD$20,'[1]NS Vendor Details'!$L:$L,'G&amp;A Vendor x GL Analysis'!$D93,'[1]NS Vendor Details'!$O:$O,'G&amp;A Vendor x GL Analysis'!$F93,'[1]NS Vendor Details'!$N:$N,'G&amp;A Vendor x GL Analysis'!$C93,'[1]NS Vendor Details'!$I:$I,'G&amp;A Vendor x GL Analysis'!$E93)+SUMIFS('[1]NS Vendor Details'!$D:$D,'[1]NS Vendor Details'!$H:$H,'G&amp;A Vendor x GL Analysis'!AD$20,'[1]NS Vendor Details'!$L:$L,'G&amp;A Vendor x GL Analysis'!$D93,'[1]NS Vendor Details'!$O:$O,'G&amp;A Vendor x GL Analysis'!$F93,'[1]NS Vendor Details'!$N:$N,"Direct Costs",'[1]NS Vendor Details'!$J:$J,0,'[1]NS Vendor Details'!$I:$I,'G&amp;A Vendor x GL Analysis'!$E93),IF(AD$15="Actual",SUMIFS('[1]NS Vendor Details'!$D:$D,'[1]NS Vendor Details'!$H:$H,'G&amp;A Vendor x GL Analysis'!AD$20,'[1]NS Vendor Details'!$L:$L,'G&amp;A Vendor x GL Analysis'!$D93,'[1]NS Vendor Details'!$O:$O,'G&amp;A Vendor x GL Analysis'!$F93,'[1]NS Vendor Details'!$N:$N,'G&amp;A Vendor x GL Analysis'!$C93,'[1]NS Vendor Details'!$K:$K,'G&amp;A Vendor x GL Analysis'!$E$8,'[1]NS Vendor Details'!$I:$I,'G&amp;A Vendor x GL Analysis'!$E93)+SUMIFS('[1]NS Vendor Details'!$D:$D,'[1]NS Vendor Details'!$H:$H,'G&amp;A Vendor x GL Analysis'!AD$20,'[1]NS Vendor Details'!$L:$L,'G&amp;A Vendor x GL Analysis'!$D93,'[1]NS Vendor Details'!$O:$O,'G&amp;A Vendor x GL Analysis'!$F93,'[1]NS Vendor Details'!$N:$N,"Direct Costs",'[1]NS Vendor Details'!$J:$J,0,'[1]NS Vendor Details'!$K:$K,'G&amp;A Vendor x GL Analysis'!$E$8,'[1]NS Vendor Details'!$I:$I,'G&amp;A Vendor x GL Analysis'!$E93),0))</f>
        <v>0</v>
      </c>
      <c r="AF93" s="19">
        <f t="shared" si="9"/>
        <v>108549.95</v>
      </c>
    </row>
    <row r="94" spans="1:32" outlineLevel="1">
      <c r="A94" s="8" t="str">
        <f t="shared" si="22"/>
        <v>Professional Service6300 - Payroll Service Fees</v>
      </c>
      <c r="C94" s="8" t="s">
        <v>11</v>
      </c>
      <c r="D94" s="8" t="str">
        <f t="shared" si="21"/>
        <v>Professional Service</v>
      </c>
      <c r="E94" s="2" t="s">
        <v>87</v>
      </c>
      <c r="F94" s="2" t="s">
        <v>16</v>
      </c>
      <c r="G94" s="16">
        <f>IF(AND(G$15="Actual",ISBLANK($E$8)),SUMIFS('[1]NS Vendor Details'!$D:$D,'[1]NS Vendor Details'!$H:$H,'G&amp;A Vendor x GL Analysis'!G$20,'[1]NS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Analysis'!G$20,'[1]NS Vendor Details'!$L:$L,'G&amp;A Vendor x GL Analysis'!$D94,'[1]NS Vendor Details'!$O:$O,'G&amp;A Vendor x GL Analysis'!$F94,'[1]NS Vendor Details'!$N:$N,"Direct Costs",'[1]NS Vendor Details'!$J:$J,0),IF(G$15="Actual",SUMIFS('[1]NS Vendor Details'!$D:$D,'[1]NS Vendor Details'!$H:$H,'G&amp;A Vendor x GL Analysis'!G$20,'[1]NS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Analysis'!G$20,'[1]NS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20387.23</v>
      </c>
      <c r="H94" s="17">
        <f>IF(AND(H$15="Actual",ISBLANK($E$8)),SUMIFS('[1]NS Vendor Details'!$D:$D,'[1]NS Vendor Details'!$H:$H,'G&amp;A Vendor x GL Analysis'!H$20,'[1]NS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Analysis'!H$20,'[1]NS Vendor Details'!$L:$L,'G&amp;A Vendor x GL Analysis'!$D94,'[1]NS Vendor Details'!$O:$O,'G&amp;A Vendor x GL Analysis'!$F94,'[1]NS Vendor Details'!$N:$N,"Direct Costs",'[1]NS Vendor Details'!$J:$J,0),IF(H$15="Actual",SUMIFS('[1]NS Vendor Details'!$D:$D,'[1]NS Vendor Details'!$H:$H,'G&amp;A Vendor x GL Analysis'!H$20,'[1]NS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Analysis'!H$20,'[1]NS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2882.1599999999994</v>
      </c>
      <c r="I94" s="17">
        <f>IF(AND(I$15="Actual",ISBLANK($E$8)),SUMIFS('[1]NS Vendor Details'!$D:$D,'[1]NS Vendor Details'!$H:$H,'G&amp;A Vendor x GL Analysis'!I$20,'[1]NS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Analysis'!I$20,'[1]NS Vendor Details'!$L:$L,'G&amp;A Vendor x GL Analysis'!$D94,'[1]NS Vendor Details'!$O:$O,'G&amp;A Vendor x GL Analysis'!$F94,'[1]NS Vendor Details'!$N:$N,"Direct Costs",'[1]NS Vendor Details'!$J:$J,0),IF(I$15="Actual",SUMIFS('[1]NS Vendor Details'!$D:$D,'[1]NS Vendor Details'!$H:$H,'G&amp;A Vendor x GL Analysis'!I$20,'[1]NS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Analysis'!I$20,'[1]NS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2608.1800000000007</v>
      </c>
      <c r="J94" s="17">
        <f>IF(AND(J$15="Actual",ISBLANK($E$8)),SUMIFS('[1]NS Vendor Details'!$D:$D,'[1]NS Vendor Details'!$H:$H,'G&amp;A Vendor x GL Analysis'!J$20,'[1]NS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Analysis'!J$20,'[1]NS Vendor Details'!$L:$L,'G&amp;A Vendor x GL Analysis'!$D94,'[1]NS Vendor Details'!$O:$O,'G&amp;A Vendor x GL Analysis'!$F94,'[1]NS Vendor Details'!$N:$N,"Direct Costs",'[1]NS Vendor Details'!$J:$J,0),IF(J$15="Actual",SUMIFS('[1]NS Vendor Details'!$D:$D,'[1]NS Vendor Details'!$H:$H,'G&amp;A Vendor x GL Analysis'!J$20,'[1]NS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Analysis'!J$20,'[1]NS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17994.830000000002</v>
      </c>
      <c r="K94" s="17">
        <f>IF(AND(K$15="Actual",ISBLANK($E$8)),SUMIFS('[1]NS Vendor Details'!$D:$D,'[1]NS Vendor Details'!$H:$H,'G&amp;A Vendor x GL Analysis'!K$20,'[1]NS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Analysis'!K$20,'[1]NS Vendor Details'!$L:$L,'G&amp;A Vendor x GL Analysis'!$D94,'[1]NS Vendor Details'!$O:$O,'G&amp;A Vendor x GL Analysis'!$F94,'[1]NS Vendor Details'!$N:$N,"Direct Costs",'[1]NS Vendor Details'!$J:$J,0),IF(K$15="Actual",SUMIFS('[1]NS Vendor Details'!$D:$D,'[1]NS Vendor Details'!$H:$H,'G&amp;A Vendor x GL Analysis'!K$20,'[1]NS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Analysis'!K$20,'[1]NS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7253.27</v>
      </c>
      <c r="L94" s="17">
        <f>IF(AND(L$15="Actual",ISBLANK($E$8)),SUMIFS('[1]NS Vendor Details'!$D:$D,'[1]NS Vendor Details'!$H:$H,'G&amp;A Vendor x GL Analysis'!L$20,'[1]NS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Analysis'!L$20,'[1]NS Vendor Details'!$L:$L,'G&amp;A Vendor x GL Analysis'!$D94,'[1]NS Vendor Details'!$O:$O,'G&amp;A Vendor x GL Analysis'!$F94,'[1]NS Vendor Details'!$N:$N,"Direct Costs",'[1]NS Vendor Details'!$J:$J,0),IF(L$15="Actual",SUMIFS('[1]NS Vendor Details'!$D:$D,'[1]NS Vendor Details'!$H:$H,'G&amp;A Vendor x GL Analysis'!L$20,'[1]NS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Analysis'!L$20,'[1]NS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9261.7000000000007</v>
      </c>
      <c r="M94" s="17">
        <f>IF(AND(M$15="Actual",ISBLANK($E$8)),SUMIFS('[1]NS Vendor Details'!$D:$D,'[1]NS Vendor Details'!$H:$H,'G&amp;A Vendor x GL Analysis'!M$20,'[1]NS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Analysis'!M$20,'[1]NS Vendor Details'!$L:$L,'G&amp;A Vendor x GL Analysis'!$D94,'[1]NS Vendor Details'!$O:$O,'G&amp;A Vendor x GL Analysis'!$F94,'[1]NS Vendor Details'!$N:$N,"Direct Costs",'[1]NS Vendor Details'!$J:$J,0),IF(M$15="Actual",SUMIFS('[1]NS Vendor Details'!$D:$D,'[1]NS Vendor Details'!$H:$H,'G&amp;A Vendor x GL Analysis'!M$20,'[1]NS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Analysis'!M$20,'[1]NS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1403.4799999999998</v>
      </c>
      <c r="N94" s="17">
        <f>IF(AND(N$15="Actual",ISBLANK($E$8)),SUMIFS('[1]NS Vendor Details'!$D:$D,'[1]NS Vendor Details'!$H:$H,'G&amp;A Vendor x GL Analysis'!N$20,'[1]NS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Analysis'!N$20,'[1]NS Vendor Details'!$L:$L,'G&amp;A Vendor x GL Analysis'!$D94,'[1]NS Vendor Details'!$O:$O,'G&amp;A Vendor x GL Analysis'!$F94,'[1]NS Vendor Details'!$N:$N,"Direct Costs",'[1]NS Vendor Details'!$J:$J,0),IF(N$15="Actual",SUMIFS('[1]NS Vendor Details'!$D:$D,'[1]NS Vendor Details'!$H:$H,'G&amp;A Vendor x GL Analysis'!N$20,'[1]NS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Analysis'!N$20,'[1]NS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1481.0099999999998</v>
      </c>
      <c r="O94" s="17">
        <f>IF(AND(O$15="Actual",ISBLANK($E$8)),SUMIFS('[1]NS Vendor Details'!$D:$D,'[1]NS Vendor Details'!$H:$H,'G&amp;A Vendor x GL Analysis'!O$20,'[1]NS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Analysis'!O$20,'[1]NS Vendor Details'!$L:$L,'G&amp;A Vendor x GL Analysis'!$D94,'[1]NS Vendor Details'!$O:$O,'G&amp;A Vendor x GL Analysis'!$F94,'[1]NS Vendor Details'!$N:$N,"Direct Costs",'[1]NS Vendor Details'!$J:$J,0),IF(O$15="Actual",SUMIFS('[1]NS Vendor Details'!$D:$D,'[1]NS Vendor Details'!$H:$H,'G&amp;A Vendor x GL Analysis'!O$20,'[1]NS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Analysis'!O$20,'[1]NS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-1780.9000000000005</v>
      </c>
      <c r="P94" s="17">
        <f>IF(AND(P$15="Actual",ISBLANK($E$8)),SUMIFS('[1]NS Vendor Details'!$D:$D,'[1]NS Vendor Details'!$H:$H,'G&amp;A Vendor x GL Analysis'!P$20,'[1]NS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Analysis'!P$20,'[1]NS Vendor Details'!$L:$L,'G&amp;A Vendor x GL Analysis'!$D94,'[1]NS Vendor Details'!$O:$O,'G&amp;A Vendor x GL Analysis'!$F94,'[1]NS Vendor Details'!$N:$N,"Direct Costs",'[1]NS Vendor Details'!$J:$J,0),IF(P$15="Actual",SUMIFS('[1]NS Vendor Details'!$D:$D,'[1]NS Vendor Details'!$H:$H,'G&amp;A Vendor x GL Analysis'!P$20,'[1]NS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Analysis'!P$20,'[1]NS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1662.3999999999999</v>
      </c>
      <c r="Q94" s="17">
        <f>IF(AND(Q$15="Actual",ISBLANK($E$8)),SUMIFS('[1]NS Vendor Details'!$D:$D,'[1]NS Vendor Details'!$H:$H,'G&amp;A Vendor x GL Analysis'!Q$20,'[1]NS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Analysis'!Q$20,'[1]NS Vendor Details'!$L:$L,'G&amp;A Vendor x GL Analysis'!$D94,'[1]NS Vendor Details'!$O:$O,'G&amp;A Vendor x GL Analysis'!$F94,'[1]NS Vendor Details'!$N:$N,"Direct Costs",'[1]NS Vendor Details'!$J:$J,0),IF(Q$15="Actual",SUMIFS('[1]NS Vendor Details'!$D:$D,'[1]NS Vendor Details'!$H:$H,'G&amp;A Vendor x GL Analysis'!Q$20,'[1]NS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Analysis'!Q$20,'[1]NS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-9958.9199999999983</v>
      </c>
      <c r="R94" s="18">
        <f>IF(AND(R$15="Actual",ISBLANK($E$8)),SUMIFS('[1]NS Vendor Details'!$D:$D,'[1]NS Vendor Details'!$H:$H,'G&amp;A Vendor x GL Analysis'!R$20,'[1]NS Vendor Details'!$L:$L,'G&amp;A Vendor x GL Analysis'!$D94,'[1]NS Vendor Details'!$O:$O,'G&amp;A Vendor x GL Analysis'!$F94,'[1]NS Vendor Details'!$N:$N,'G&amp;A Vendor x GL Analysis'!$C94)+SUMIFS('[1]NS Vendor Details'!$D:$D,'[1]NS Vendor Details'!$H:$H,'G&amp;A Vendor x GL Analysis'!R$20,'[1]NS Vendor Details'!$L:$L,'G&amp;A Vendor x GL Analysis'!$D94,'[1]NS Vendor Details'!$O:$O,'G&amp;A Vendor x GL Analysis'!$F94,'[1]NS Vendor Details'!$N:$N,"Direct Costs",'[1]NS Vendor Details'!$J:$J,0),IF(R$15="Actual",SUMIFS('[1]NS Vendor Details'!$D:$D,'[1]NS Vendor Details'!$H:$H,'G&amp;A Vendor x GL Analysis'!R$20,'[1]NS Vendor Details'!$L:$L,'G&amp;A Vendor x GL Analysis'!$D94,'[1]NS Vendor Details'!$O:$O,'G&amp;A Vendor x GL Analysis'!$F94,'[1]NS Vendor Details'!$N:$N,'G&amp;A Vendor x GL Analysis'!$C94,'[1]NS Vendor Details'!$K:$K,'G&amp;A Vendor x GL Analysis'!$E$8)+SUMIFS('[1]NS Vendor Details'!$D:$D,'[1]NS Vendor Details'!$H:$H,'G&amp;A Vendor x GL Analysis'!R$20,'[1]NS Vendor Details'!$L:$L,'G&amp;A Vendor x GL Analysis'!$D94,'[1]NS Vendor Details'!$O:$O,'G&amp;A Vendor x GL Analysis'!$F94,'[1]NS Vendor Details'!$N:$N,"Direct Costs",'[1]NS Vendor Details'!$J:$J,0,'[1]NS Vendor Details'!$K:$K,'G&amp;A Vendor x GL Analysis'!$E$8),0))</f>
        <v>71148.460000000021</v>
      </c>
      <c r="S94" s="16">
        <f>IF(AND(S$15="Actual",ISBLANK($E$8)),SUMIFS('[1]NS Vendor Details'!$D:$D,'[1]NS Vendor Details'!$H:$H,'G&amp;A Vendor x GL Analysis'!S$20,'[1]NS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Analysis'!S$20,'[1]NS Vendor Details'!$L:$L,'G&amp;A Vendor x GL Analysis'!$D94,'[1]NS Vendor Details'!$O:$O,'G&amp;A Vendor x GL Analysis'!$F94,'[1]NS Vendor Details'!$N:$N,"Direct Costs",'[1]NS Vendor Details'!$J:$J,0,'[1]NS Vendor Details'!$I:$I,'G&amp;A Vendor x GL Analysis'!$E94),IF(S$15="Actual",SUMIFS('[1]NS Vendor Details'!$D:$D,'[1]NS Vendor Details'!$H:$H,'G&amp;A Vendor x GL Analysis'!S$20,'[1]NS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Analysis'!S$20,'[1]NS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T94" s="17">
        <f>IF(AND(T$15="Actual",ISBLANK($E$8)),SUMIFS('[1]NS Vendor Details'!$D:$D,'[1]NS Vendor Details'!$H:$H,'G&amp;A Vendor x GL Analysis'!T$20,'[1]NS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Analysis'!T$20,'[1]NS Vendor Details'!$L:$L,'G&amp;A Vendor x GL Analysis'!$D94,'[1]NS Vendor Details'!$O:$O,'G&amp;A Vendor x GL Analysis'!$F94,'[1]NS Vendor Details'!$N:$N,"Direct Costs",'[1]NS Vendor Details'!$J:$J,0,'[1]NS Vendor Details'!$I:$I,'G&amp;A Vendor x GL Analysis'!$E94),IF(T$15="Actual",SUMIFS('[1]NS Vendor Details'!$D:$D,'[1]NS Vendor Details'!$H:$H,'G&amp;A Vendor x GL Analysis'!T$20,'[1]NS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Analysis'!T$20,'[1]NS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U94" s="17">
        <f>IF(AND(U$15="Actual",ISBLANK($E$8)),SUMIFS('[1]NS Vendor Details'!$D:$D,'[1]NS Vendor Details'!$H:$H,'G&amp;A Vendor x GL Analysis'!U$20,'[1]NS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Analysis'!U$20,'[1]NS Vendor Details'!$L:$L,'G&amp;A Vendor x GL Analysis'!$D94,'[1]NS Vendor Details'!$O:$O,'G&amp;A Vendor x GL Analysis'!$F94,'[1]NS Vendor Details'!$N:$N,"Direct Costs",'[1]NS Vendor Details'!$J:$J,0,'[1]NS Vendor Details'!$I:$I,'G&amp;A Vendor x GL Analysis'!$E94),IF(U$15="Actual",SUMIFS('[1]NS Vendor Details'!$D:$D,'[1]NS Vendor Details'!$H:$H,'G&amp;A Vendor x GL Analysis'!U$20,'[1]NS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Analysis'!U$20,'[1]NS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V94" s="17">
        <f>IF(AND(V$15="Actual",ISBLANK($E$8)),SUMIFS('[1]NS Vendor Details'!$D:$D,'[1]NS Vendor Details'!$H:$H,'G&amp;A Vendor x GL Analysis'!V$20,'[1]NS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Analysis'!V$20,'[1]NS Vendor Details'!$L:$L,'G&amp;A Vendor x GL Analysis'!$D94,'[1]NS Vendor Details'!$O:$O,'G&amp;A Vendor x GL Analysis'!$F94,'[1]NS Vendor Details'!$N:$N,"Direct Costs",'[1]NS Vendor Details'!$J:$J,0,'[1]NS Vendor Details'!$I:$I,'G&amp;A Vendor x GL Analysis'!$E94),IF(V$15="Actual",SUMIFS('[1]NS Vendor Details'!$D:$D,'[1]NS Vendor Details'!$H:$H,'G&amp;A Vendor x GL Analysis'!V$20,'[1]NS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Analysis'!V$20,'[1]NS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W94" s="17">
        <f>IF(AND(W$15="Actual",ISBLANK($E$8)),SUMIFS('[1]NS Vendor Details'!$D:$D,'[1]NS Vendor Details'!$H:$H,'G&amp;A Vendor x GL Analysis'!W$20,'[1]NS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Analysis'!W$20,'[1]NS Vendor Details'!$L:$L,'G&amp;A Vendor x GL Analysis'!$D94,'[1]NS Vendor Details'!$O:$O,'G&amp;A Vendor x GL Analysis'!$F94,'[1]NS Vendor Details'!$N:$N,"Direct Costs",'[1]NS Vendor Details'!$J:$J,0,'[1]NS Vendor Details'!$I:$I,'G&amp;A Vendor x GL Analysis'!$E94),IF(W$15="Actual",SUMIFS('[1]NS Vendor Details'!$D:$D,'[1]NS Vendor Details'!$H:$H,'G&amp;A Vendor x GL Analysis'!W$20,'[1]NS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Analysis'!W$20,'[1]NS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X94" s="17">
        <f>IF(AND(X$15="Actual",ISBLANK($E$8)),SUMIFS('[1]NS Vendor Details'!$D:$D,'[1]NS Vendor Details'!$H:$H,'G&amp;A Vendor x GL Analysis'!X$20,'[1]NS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Analysis'!X$20,'[1]NS Vendor Details'!$L:$L,'G&amp;A Vendor x GL Analysis'!$D94,'[1]NS Vendor Details'!$O:$O,'G&amp;A Vendor x GL Analysis'!$F94,'[1]NS Vendor Details'!$N:$N,"Direct Costs",'[1]NS Vendor Details'!$J:$J,0,'[1]NS Vendor Details'!$I:$I,'G&amp;A Vendor x GL Analysis'!$E94),IF(X$15="Actual",SUMIFS('[1]NS Vendor Details'!$D:$D,'[1]NS Vendor Details'!$H:$H,'G&amp;A Vendor x GL Analysis'!X$20,'[1]NS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Analysis'!X$20,'[1]NS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Y94" s="17">
        <f>IF(AND(Y$15="Actual",ISBLANK($E$8)),SUMIFS('[1]NS Vendor Details'!$D:$D,'[1]NS Vendor Details'!$H:$H,'G&amp;A Vendor x GL Analysis'!Y$20,'[1]NS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Analysis'!Y$20,'[1]NS Vendor Details'!$L:$L,'G&amp;A Vendor x GL Analysis'!$D94,'[1]NS Vendor Details'!$O:$O,'G&amp;A Vendor x GL Analysis'!$F94,'[1]NS Vendor Details'!$N:$N,"Direct Costs",'[1]NS Vendor Details'!$J:$J,0,'[1]NS Vendor Details'!$I:$I,'G&amp;A Vendor x GL Analysis'!$E94),IF(Y$15="Actual",SUMIFS('[1]NS Vendor Details'!$D:$D,'[1]NS Vendor Details'!$H:$H,'G&amp;A Vendor x GL Analysis'!Y$20,'[1]NS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Analysis'!Y$20,'[1]NS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-224.51</v>
      </c>
      <c r="Z94" s="17">
        <f>IF(AND(Z$15="Actual",ISBLANK($E$8)),SUMIFS('[1]NS Vendor Details'!$D:$D,'[1]NS Vendor Details'!$H:$H,'G&amp;A Vendor x GL Analysis'!Z$20,'[1]NS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Analysis'!Z$20,'[1]NS Vendor Details'!$L:$L,'G&amp;A Vendor x GL Analysis'!$D94,'[1]NS Vendor Details'!$O:$O,'G&amp;A Vendor x GL Analysis'!$F94,'[1]NS Vendor Details'!$N:$N,"Direct Costs",'[1]NS Vendor Details'!$J:$J,0,'[1]NS Vendor Details'!$I:$I,'G&amp;A Vendor x GL Analysis'!$E94),IF(Z$15="Actual",SUMIFS('[1]NS Vendor Details'!$D:$D,'[1]NS Vendor Details'!$H:$H,'G&amp;A Vendor x GL Analysis'!Z$20,'[1]NS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Analysis'!Z$20,'[1]NS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518.86</v>
      </c>
      <c r="AA94" s="17">
        <f>IF(AND(AA$15="Actual",ISBLANK($E$8)),SUMIFS('[1]NS Vendor Details'!$D:$D,'[1]NS Vendor Details'!$H:$H,'G&amp;A Vendor x GL Analysis'!AA$20,'[1]NS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Analysis'!AA$20,'[1]NS Vendor Details'!$L:$L,'G&amp;A Vendor x GL Analysis'!$D94,'[1]NS Vendor Details'!$O:$O,'G&amp;A Vendor x GL Analysis'!$F94,'[1]NS Vendor Details'!$N:$N,"Direct Costs",'[1]NS Vendor Details'!$J:$J,0,'[1]NS Vendor Details'!$I:$I,'G&amp;A Vendor x GL Analysis'!$E94),IF(AA$15="Actual",SUMIFS('[1]NS Vendor Details'!$D:$D,'[1]NS Vendor Details'!$H:$H,'G&amp;A Vendor x GL Analysis'!AA$20,'[1]NS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Analysis'!AA$20,'[1]NS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AB94" s="17">
        <f>IF(AND(AB$15="Actual",ISBLANK($E$8)),SUMIFS('[1]NS Vendor Details'!$D:$D,'[1]NS Vendor Details'!$H:$H,'G&amp;A Vendor x GL Analysis'!AB$20,'[1]NS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Analysis'!AB$20,'[1]NS Vendor Details'!$L:$L,'G&amp;A Vendor x GL Analysis'!$D94,'[1]NS Vendor Details'!$O:$O,'G&amp;A Vendor x GL Analysis'!$F94,'[1]NS Vendor Details'!$N:$N,"Direct Costs",'[1]NS Vendor Details'!$J:$J,0,'[1]NS Vendor Details'!$I:$I,'G&amp;A Vendor x GL Analysis'!$E94),IF(AB$15="Actual",SUMIFS('[1]NS Vendor Details'!$D:$D,'[1]NS Vendor Details'!$H:$H,'G&amp;A Vendor x GL Analysis'!AB$20,'[1]NS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Analysis'!AB$20,'[1]NS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AC94" s="18">
        <f>IF(AND(AC$15="Actual",ISBLANK($E$8)),SUMIFS('[1]NS Vendor Details'!$D:$D,'[1]NS Vendor Details'!$H:$H,'G&amp;A Vendor x GL Analysis'!AC$20,'[1]NS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Analysis'!AC$20,'[1]NS Vendor Details'!$L:$L,'G&amp;A Vendor x GL Analysis'!$D94,'[1]NS Vendor Details'!$O:$O,'G&amp;A Vendor x GL Analysis'!$F94,'[1]NS Vendor Details'!$N:$N,"Direct Costs",'[1]NS Vendor Details'!$J:$J,0,'[1]NS Vendor Details'!$I:$I,'G&amp;A Vendor x GL Analysis'!$E94),IF(AC$15="Actual",SUMIFS('[1]NS Vendor Details'!$D:$D,'[1]NS Vendor Details'!$H:$H,'G&amp;A Vendor x GL Analysis'!AC$20,'[1]NS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Analysis'!AC$20,'[1]NS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AD94" s="18">
        <f>IF(AND(AD$15="Actual",ISBLANK($E$8)),SUMIFS('[1]NS Vendor Details'!$D:$D,'[1]NS Vendor Details'!$H:$H,'G&amp;A Vendor x GL Analysis'!AD$20,'[1]NS Vendor Details'!$L:$L,'G&amp;A Vendor x GL Analysis'!$D94,'[1]NS Vendor Details'!$O:$O,'G&amp;A Vendor x GL Analysis'!$F94,'[1]NS Vendor Details'!$N:$N,'G&amp;A Vendor x GL Analysis'!$C94,'[1]NS Vendor Details'!$I:$I,'G&amp;A Vendor x GL Analysis'!$E94)+SUMIFS('[1]NS Vendor Details'!$D:$D,'[1]NS Vendor Details'!$H:$H,'G&amp;A Vendor x GL Analysis'!AD$20,'[1]NS Vendor Details'!$L:$L,'G&amp;A Vendor x GL Analysis'!$D94,'[1]NS Vendor Details'!$O:$O,'G&amp;A Vendor x GL Analysis'!$F94,'[1]NS Vendor Details'!$N:$N,"Direct Costs",'[1]NS Vendor Details'!$J:$J,0,'[1]NS Vendor Details'!$I:$I,'G&amp;A Vendor x GL Analysis'!$E94),IF(AD$15="Actual",SUMIFS('[1]NS Vendor Details'!$D:$D,'[1]NS Vendor Details'!$H:$H,'G&amp;A Vendor x GL Analysis'!AD$20,'[1]NS Vendor Details'!$L:$L,'G&amp;A Vendor x GL Analysis'!$D94,'[1]NS Vendor Details'!$O:$O,'G&amp;A Vendor x GL Analysis'!$F94,'[1]NS Vendor Details'!$N:$N,'G&amp;A Vendor x GL Analysis'!$C94,'[1]NS Vendor Details'!$K:$K,'G&amp;A Vendor x GL Analysis'!$E$8,'[1]NS Vendor Details'!$I:$I,'G&amp;A Vendor x GL Analysis'!$E94)+SUMIFS('[1]NS Vendor Details'!$D:$D,'[1]NS Vendor Details'!$H:$H,'G&amp;A Vendor x GL Analysis'!AD$20,'[1]NS Vendor Details'!$L:$L,'G&amp;A Vendor x GL Analysis'!$D94,'[1]NS Vendor Details'!$O:$O,'G&amp;A Vendor x GL Analysis'!$F94,'[1]NS Vendor Details'!$N:$N,"Direct Costs",'[1]NS Vendor Details'!$J:$J,0,'[1]NS Vendor Details'!$K:$K,'G&amp;A Vendor x GL Analysis'!$E$8,'[1]NS Vendor Details'!$I:$I,'G&amp;A Vendor x GL Analysis'!$E94),0))</f>
        <v>0</v>
      </c>
      <c r="AF94" s="19">
        <f t="shared" si="9"/>
        <v>743.37</v>
      </c>
    </row>
    <row r="95" spans="1:32" outlineLevel="1">
      <c r="A95" s="8" t="str">
        <f t="shared" si="22"/>
        <v>Professional Service6300 - Payroll Service Fees</v>
      </c>
      <c r="C95" s="8" t="s">
        <v>11</v>
      </c>
      <c r="D95" s="8" t="str">
        <f t="shared" si="21"/>
        <v>Professional Service</v>
      </c>
      <c r="E95" s="2" t="s">
        <v>87</v>
      </c>
      <c r="F95" s="2" t="s">
        <v>88</v>
      </c>
      <c r="G95" s="16">
        <f>IF(AND(G$15="Actual",ISBLANK($E$8)),SUMIFS('[1]NS Vendor Details'!$D:$D,'[1]NS Vendor Details'!$H:$H,'G&amp;A Vendor x GL Analysis'!G$20,'[1]NS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Analysis'!G$20,'[1]NS Vendor Details'!$L:$L,'G&amp;A Vendor x GL Analysis'!$D95,'[1]NS Vendor Details'!$O:$O,'G&amp;A Vendor x GL Analysis'!$F95,'[1]NS Vendor Details'!$N:$N,"Direct Costs",'[1]NS Vendor Details'!$J:$J,0),IF(G$15="Actual",SUMIFS('[1]NS Vendor Details'!$D:$D,'[1]NS Vendor Details'!$H:$H,'G&amp;A Vendor x GL Analysis'!G$20,'[1]NS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Analysis'!G$20,'[1]NS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2151.6799999999998</v>
      </c>
      <c r="H95" s="17">
        <f>IF(AND(H$15="Actual",ISBLANK($E$8)),SUMIFS('[1]NS Vendor Details'!$D:$D,'[1]NS Vendor Details'!$H:$H,'G&amp;A Vendor x GL Analysis'!H$20,'[1]NS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Analysis'!H$20,'[1]NS Vendor Details'!$L:$L,'G&amp;A Vendor x GL Analysis'!$D95,'[1]NS Vendor Details'!$O:$O,'G&amp;A Vendor x GL Analysis'!$F95,'[1]NS Vendor Details'!$N:$N,"Direct Costs",'[1]NS Vendor Details'!$J:$J,0),IF(H$15="Actual",SUMIFS('[1]NS Vendor Details'!$D:$D,'[1]NS Vendor Details'!$H:$H,'G&amp;A Vendor x GL Analysis'!H$20,'[1]NS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Analysis'!H$20,'[1]NS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383.08000000000004</v>
      </c>
      <c r="I95" s="17">
        <f>IF(AND(I$15="Actual",ISBLANK($E$8)),SUMIFS('[1]NS Vendor Details'!$D:$D,'[1]NS Vendor Details'!$H:$H,'G&amp;A Vendor x GL Analysis'!I$20,'[1]NS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Analysis'!I$20,'[1]NS Vendor Details'!$L:$L,'G&amp;A Vendor x GL Analysis'!$D95,'[1]NS Vendor Details'!$O:$O,'G&amp;A Vendor x GL Analysis'!$F95,'[1]NS Vendor Details'!$N:$N,"Direct Costs",'[1]NS Vendor Details'!$J:$J,0),IF(I$15="Actual",SUMIFS('[1]NS Vendor Details'!$D:$D,'[1]NS Vendor Details'!$H:$H,'G&amp;A Vendor x GL Analysis'!I$20,'[1]NS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Analysis'!I$20,'[1]NS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1938.14</v>
      </c>
      <c r="J95" s="17">
        <f>IF(AND(J$15="Actual",ISBLANK($E$8)),SUMIFS('[1]NS Vendor Details'!$D:$D,'[1]NS Vendor Details'!$H:$H,'G&amp;A Vendor x GL Analysis'!J$20,'[1]NS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Analysis'!J$20,'[1]NS Vendor Details'!$L:$L,'G&amp;A Vendor x GL Analysis'!$D95,'[1]NS Vendor Details'!$O:$O,'G&amp;A Vendor x GL Analysis'!$F95,'[1]NS Vendor Details'!$N:$N,"Direct Costs",'[1]NS Vendor Details'!$J:$J,0),IF(J$15="Actual",SUMIFS('[1]NS Vendor Details'!$D:$D,'[1]NS Vendor Details'!$H:$H,'G&amp;A Vendor x GL Analysis'!J$20,'[1]NS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Analysis'!J$20,'[1]NS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1819.24</v>
      </c>
      <c r="K95" s="17">
        <f>IF(AND(K$15="Actual",ISBLANK($E$8)),SUMIFS('[1]NS Vendor Details'!$D:$D,'[1]NS Vendor Details'!$H:$H,'G&amp;A Vendor x GL Analysis'!K$20,'[1]NS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Analysis'!K$20,'[1]NS Vendor Details'!$L:$L,'G&amp;A Vendor x GL Analysis'!$D95,'[1]NS Vendor Details'!$O:$O,'G&amp;A Vendor x GL Analysis'!$F95,'[1]NS Vendor Details'!$N:$N,"Direct Costs",'[1]NS Vendor Details'!$J:$J,0),IF(K$15="Actual",SUMIFS('[1]NS Vendor Details'!$D:$D,'[1]NS Vendor Details'!$H:$H,'G&amp;A Vendor x GL Analysis'!K$20,'[1]NS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Analysis'!K$20,'[1]NS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1395.86</v>
      </c>
      <c r="L95" s="17">
        <f>IF(AND(L$15="Actual",ISBLANK($E$8)),SUMIFS('[1]NS Vendor Details'!$D:$D,'[1]NS Vendor Details'!$H:$H,'G&amp;A Vendor x GL Analysis'!L$20,'[1]NS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Analysis'!L$20,'[1]NS Vendor Details'!$L:$L,'G&amp;A Vendor x GL Analysis'!$D95,'[1]NS Vendor Details'!$O:$O,'G&amp;A Vendor x GL Analysis'!$F95,'[1]NS Vendor Details'!$N:$N,"Direct Costs",'[1]NS Vendor Details'!$J:$J,0),IF(L$15="Actual",SUMIFS('[1]NS Vendor Details'!$D:$D,'[1]NS Vendor Details'!$H:$H,'G&amp;A Vendor x GL Analysis'!L$20,'[1]NS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Analysis'!L$20,'[1]NS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1346.74</v>
      </c>
      <c r="M95" s="17">
        <f>IF(AND(M$15="Actual",ISBLANK($E$8)),SUMIFS('[1]NS Vendor Details'!$D:$D,'[1]NS Vendor Details'!$H:$H,'G&amp;A Vendor x GL Analysis'!M$20,'[1]NS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Analysis'!M$20,'[1]NS Vendor Details'!$L:$L,'G&amp;A Vendor x GL Analysis'!$D95,'[1]NS Vendor Details'!$O:$O,'G&amp;A Vendor x GL Analysis'!$F95,'[1]NS Vendor Details'!$N:$N,"Direct Costs",'[1]NS Vendor Details'!$J:$J,0),IF(M$15="Actual",SUMIFS('[1]NS Vendor Details'!$D:$D,'[1]NS Vendor Details'!$H:$H,'G&amp;A Vendor x GL Analysis'!M$20,'[1]NS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Analysis'!M$20,'[1]NS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813.23</v>
      </c>
      <c r="N95" s="17">
        <f>IF(AND(N$15="Actual",ISBLANK($E$8)),SUMIFS('[1]NS Vendor Details'!$D:$D,'[1]NS Vendor Details'!$H:$H,'G&amp;A Vendor x GL Analysis'!N$20,'[1]NS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Analysis'!N$20,'[1]NS Vendor Details'!$L:$L,'G&amp;A Vendor x GL Analysis'!$D95,'[1]NS Vendor Details'!$O:$O,'G&amp;A Vendor x GL Analysis'!$F95,'[1]NS Vendor Details'!$N:$N,"Direct Costs",'[1]NS Vendor Details'!$J:$J,0),IF(N$15="Actual",SUMIFS('[1]NS Vendor Details'!$D:$D,'[1]NS Vendor Details'!$H:$H,'G&amp;A Vendor x GL Analysis'!N$20,'[1]NS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Analysis'!N$20,'[1]NS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1738.6200000000001</v>
      </c>
      <c r="O95" s="17">
        <f>IF(AND(O$15="Actual",ISBLANK($E$8)),SUMIFS('[1]NS Vendor Details'!$D:$D,'[1]NS Vendor Details'!$H:$H,'G&amp;A Vendor x GL Analysis'!O$20,'[1]NS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Analysis'!O$20,'[1]NS Vendor Details'!$L:$L,'G&amp;A Vendor x GL Analysis'!$D95,'[1]NS Vendor Details'!$O:$O,'G&amp;A Vendor x GL Analysis'!$F95,'[1]NS Vendor Details'!$N:$N,"Direct Costs",'[1]NS Vendor Details'!$J:$J,0),IF(O$15="Actual",SUMIFS('[1]NS Vendor Details'!$D:$D,'[1]NS Vendor Details'!$H:$H,'G&amp;A Vendor x GL Analysis'!O$20,'[1]NS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Analysis'!O$20,'[1]NS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1421.04</v>
      </c>
      <c r="P95" s="17">
        <f>IF(AND(P$15="Actual",ISBLANK($E$8)),SUMIFS('[1]NS Vendor Details'!$D:$D,'[1]NS Vendor Details'!$H:$H,'G&amp;A Vendor x GL Analysis'!P$20,'[1]NS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Analysis'!P$20,'[1]NS Vendor Details'!$L:$L,'G&amp;A Vendor x GL Analysis'!$D95,'[1]NS Vendor Details'!$O:$O,'G&amp;A Vendor x GL Analysis'!$F95,'[1]NS Vendor Details'!$N:$N,"Direct Costs",'[1]NS Vendor Details'!$J:$J,0),IF(P$15="Actual",SUMIFS('[1]NS Vendor Details'!$D:$D,'[1]NS Vendor Details'!$H:$H,'G&amp;A Vendor x GL Analysis'!P$20,'[1]NS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Analysis'!P$20,'[1]NS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1385.93</v>
      </c>
      <c r="Q95" s="17">
        <f>IF(AND(Q$15="Actual",ISBLANK($E$8)),SUMIFS('[1]NS Vendor Details'!$D:$D,'[1]NS Vendor Details'!$H:$H,'G&amp;A Vendor x GL Analysis'!Q$20,'[1]NS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Analysis'!Q$20,'[1]NS Vendor Details'!$L:$L,'G&amp;A Vendor x GL Analysis'!$D95,'[1]NS Vendor Details'!$O:$O,'G&amp;A Vendor x GL Analysis'!$F95,'[1]NS Vendor Details'!$N:$N,"Direct Costs",'[1]NS Vendor Details'!$J:$J,0),IF(Q$15="Actual",SUMIFS('[1]NS Vendor Details'!$D:$D,'[1]NS Vendor Details'!$H:$H,'G&amp;A Vendor x GL Analysis'!Q$20,'[1]NS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Analysis'!Q$20,'[1]NS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1408.24</v>
      </c>
      <c r="R95" s="18">
        <f>IF(AND(R$15="Actual",ISBLANK($E$8)),SUMIFS('[1]NS Vendor Details'!$D:$D,'[1]NS Vendor Details'!$H:$H,'G&amp;A Vendor x GL Analysis'!R$20,'[1]NS Vendor Details'!$L:$L,'G&amp;A Vendor x GL Analysis'!$D95,'[1]NS Vendor Details'!$O:$O,'G&amp;A Vendor x GL Analysis'!$F95,'[1]NS Vendor Details'!$N:$N,'G&amp;A Vendor x GL Analysis'!$C95)+SUMIFS('[1]NS Vendor Details'!$D:$D,'[1]NS Vendor Details'!$H:$H,'G&amp;A Vendor x GL Analysis'!R$20,'[1]NS Vendor Details'!$L:$L,'G&amp;A Vendor x GL Analysis'!$D95,'[1]NS Vendor Details'!$O:$O,'G&amp;A Vendor x GL Analysis'!$F95,'[1]NS Vendor Details'!$N:$N,"Direct Costs",'[1]NS Vendor Details'!$J:$J,0),IF(R$15="Actual",SUMIFS('[1]NS Vendor Details'!$D:$D,'[1]NS Vendor Details'!$H:$H,'G&amp;A Vendor x GL Analysis'!R$20,'[1]NS Vendor Details'!$L:$L,'G&amp;A Vendor x GL Analysis'!$D95,'[1]NS Vendor Details'!$O:$O,'G&amp;A Vendor x GL Analysis'!$F95,'[1]NS Vendor Details'!$N:$N,'G&amp;A Vendor x GL Analysis'!$C95,'[1]NS Vendor Details'!$K:$K,'G&amp;A Vendor x GL Analysis'!$E$8)+SUMIFS('[1]NS Vendor Details'!$D:$D,'[1]NS Vendor Details'!$H:$H,'G&amp;A Vendor x GL Analysis'!R$20,'[1]NS Vendor Details'!$L:$L,'G&amp;A Vendor x GL Analysis'!$D95,'[1]NS Vendor Details'!$O:$O,'G&amp;A Vendor x GL Analysis'!$F95,'[1]NS Vendor Details'!$N:$N,"Direct Costs",'[1]NS Vendor Details'!$J:$J,0,'[1]NS Vendor Details'!$K:$K,'G&amp;A Vendor x GL Analysis'!$E$8),0))</f>
        <v>1448.09</v>
      </c>
      <c r="S95" s="16">
        <f>IF(AND(S$15="Actual",ISBLANK($E$8)),SUMIFS('[1]NS Vendor Details'!$D:$D,'[1]NS Vendor Details'!$H:$H,'G&amp;A Vendor x GL Analysis'!S$20,'[1]NS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Analysis'!S$20,'[1]NS Vendor Details'!$L:$L,'G&amp;A Vendor x GL Analysis'!$D95,'[1]NS Vendor Details'!$O:$O,'G&amp;A Vendor x GL Analysis'!$F95,'[1]NS Vendor Details'!$N:$N,"Direct Costs",'[1]NS Vendor Details'!$J:$J,0,'[1]NS Vendor Details'!$I:$I,'G&amp;A Vendor x GL Analysis'!$E95),IF(S$15="Actual",SUMIFS('[1]NS Vendor Details'!$D:$D,'[1]NS Vendor Details'!$H:$H,'G&amp;A Vendor x GL Analysis'!S$20,'[1]NS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Analysis'!S$20,'[1]NS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2303.89</v>
      </c>
      <c r="T95" s="17">
        <f>IF(AND(T$15="Actual",ISBLANK($E$8)),SUMIFS('[1]NS Vendor Details'!$D:$D,'[1]NS Vendor Details'!$H:$H,'G&amp;A Vendor x GL Analysis'!T$20,'[1]NS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Analysis'!T$20,'[1]NS Vendor Details'!$L:$L,'G&amp;A Vendor x GL Analysis'!$D95,'[1]NS Vendor Details'!$O:$O,'G&amp;A Vendor x GL Analysis'!$F95,'[1]NS Vendor Details'!$N:$N,"Direct Costs",'[1]NS Vendor Details'!$J:$J,0,'[1]NS Vendor Details'!$I:$I,'G&amp;A Vendor x GL Analysis'!$E95),IF(T$15="Actual",SUMIFS('[1]NS Vendor Details'!$D:$D,'[1]NS Vendor Details'!$H:$H,'G&amp;A Vendor x GL Analysis'!T$20,'[1]NS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Analysis'!T$20,'[1]NS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1003.44</v>
      </c>
      <c r="U95" s="17">
        <f>IF(AND(U$15="Actual",ISBLANK($E$8)),SUMIFS('[1]NS Vendor Details'!$D:$D,'[1]NS Vendor Details'!$H:$H,'G&amp;A Vendor x GL Analysis'!U$20,'[1]NS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Analysis'!U$20,'[1]NS Vendor Details'!$L:$L,'G&amp;A Vendor x GL Analysis'!$D95,'[1]NS Vendor Details'!$O:$O,'G&amp;A Vendor x GL Analysis'!$F95,'[1]NS Vendor Details'!$N:$N,"Direct Costs",'[1]NS Vendor Details'!$J:$J,0,'[1]NS Vendor Details'!$I:$I,'G&amp;A Vendor x GL Analysis'!$E95),IF(U$15="Actual",SUMIFS('[1]NS Vendor Details'!$D:$D,'[1]NS Vendor Details'!$H:$H,'G&amp;A Vendor x GL Analysis'!U$20,'[1]NS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Analysis'!U$20,'[1]NS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1487.47</v>
      </c>
      <c r="V95" s="17">
        <f>IF(AND(V$15="Actual",ISBLANK($E$8)),SUMIFS('[1]NS Vendor Details'!$D:$D,'[1]NS Vendor Details'!$H:$H,'G&amp;A Vendor x GL Analysis'!V$20,'[1]NS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Analysis'!V$20,'[1]NS Vendor Details'!$L:$L,'G&amp;A Vendor x GL Analysis'!$D95,'[1]NS Vendor Details'!$O:$O,'G&amp;A Vendor x GL Analysis'!$F95,'[1]NS Vendor Details'!$N:$N,"Direct Costs",'[1]NS Vendor Details'!$J:$J,0,'[1]NS Vendor Details'!$I:$I,'G&amp;A Vendor x GL Analysis'!$E95),IF(V$15="Actual",SUMIFS('[1]NS Vendor Details'!$D:$D,'[1]NS Vendor Details'!$H:$H,'G&amp;A Vendor x GL Analysis'!V$20,'[1]NS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Analysis'!V$20,'[1]NS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1451.9399999999998</v>
      </c>
      <c r="W95" s="17">
        <f>IF(AND(W$15="Actual",ISBLANK($E$8)),SUMIFS('[1]NS Vendor Details'!$D:$D,'[1]NS Vendor Details'!$H:$H,'G&amp;A Vendor x GL Analysis'!W$20,'[1]NS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Analysis'!W$20,'[1]NS Vendor Details'!$L:$L,'G&amp;A Vendor x GL Analysis'!$D95,'[1]NS Vendor Details'!$O:$O,'G&amp;A Vendor x GL Analysis'!$F95,'[1]NS Vendor Details'!$N:$N,"Direct Costs",'[1]NS Vendor Details'!$J:$J,0,'[1]NS Vendor Details'!$I:$I,'G&amp;A Vendor x GL Analysis'!$E95),IF(W$15="Actual",SUMIFS('[1]NS Vendor Details'!$D:$D,'[1]NS Vendor Details'!$H:$H,'G&amp;A Vendor x GL Analysis'!W$20,'[1]NS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Analysis'!W$20,'[1]NS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1426.2</v>
      </c>
      <c r="X95" s="17">
        <f>IF(AND(X$15="Actual",ISBLANK($E$8)),SUMIFS('[1]NS Vendor Details'!$D:$D,'[1]NS Vendor Details'!$H:$H,'G&amp;A Vendor x GL Analysis'!X$20,'[1]NS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Analysis'!X$20,'[1]NS Vendor Details'!$L:$L,'G&amp;A Vendor x GL Analysis'!$D95,'[1]NS Vendor Details'!$O:$O,'G&amp;A Vendor x GL Analysis'!$F95,'[1]NS Vendor Details'!$N:$N,"Direct Costs",'[1]NS Vendor Details'!$J:$J,0,'[1]NS Vendor Details'!$I:$I,'G&amp;A Vendor x GL Analysis'!$E95),IF(X$15="Actual",SUMIFS('[1]NS Vendor Details'!$D:$D,'[1]NS Vendor Details'!$H:$H,'G&amp;A Vendor x GL Analysis'!X$20,'[1]NS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Analysis'!X$20,'[1]NS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1881.9099999999999</v>
      </c>
      <c r="Y95" s="17">
        <f>IF(AND(Y$15="Actual",ISBLANK($E$8)),SUMIFS('[1]NS Vendor Details'!$D:$D,'[1]NS Vendor Details'!$H:$H,'G&amp;A Vendor x GL Analysis'!Y$20,'[1]NS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Analysis'!Y$20,'[1]NS Vendor Details'!$L:$L,'G&amp;A Vendor x GL Analysis'!$D95,'[1]NS Vendor Details'!$O:$O,'G&amp;A Vendor x GL Analysis'!$F95,'[1]NS Vendor Details'!$N:$N,"Direct Costs",'[1]NS Vendor Details'!$J:$J,0,'[1]NS Vendor Details'!$I:$I,'G&amp;A Vendor x GL Analysis'!$E95),IF(Y$15="Actual",SUMIFS('[1]NS Vendor Details'!$D:$D,'[1]NS Vendor Details'!$H:$H,'G&amp;A Vendor x GL Analysis'!Y$20,'[1]NS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Analysis'!Y$20,'[1]NS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1374.4499999999998</v>
      </c>
      <c r="Z95" s="17">
        <f>IF(AND(Z$15="Actual",ISBLANK($E$8)),SUMIFS('[1]NS Vendor Details'!$D:$D,'[1]NS Vendor Details'!$H:$H,'G&amp;A Vendor x GL Analysis'!Z$20,'[1]NS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Analysis'!Z$20,'[1]NS Vendor Details'!$L:$L,'G&amp;A Vendor x GL Analysis'!$D95,'[1]NS Vendor Details'!$O:$O,'G&amp;A Vendor x GL Analysis'!$F95,'[1]NS Vendor Details'!$N:$N,"Direct Costs",'[1]NS Vendor Details'!$J:$J,0,'[1]NS Vendor Details'!$I:$I,'G&amp;A Vendor x GL Analysis'!$E95),IF(Z$15="Actual",SUMIFS('[1]NS Vendor Details'!$D:$D,'[1]NS Vendor Details'!$H:$H,'G&amp;A Vendor x GL Analysis'!Z$20,'[1]NS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Analysis'!Z$20,'[1]NS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1270.23</v>
      </c>
      <c r="AA95" s="17">
        <f>IF(AND(AA$15="Actual",ISBLANK($E$8)),SUMIFS('[1]NS Vendor Details'!$D:$D,'[1]NS Vendor Details'!$H:$H,'G&amp;A Vendor x GL Analysis'!AA$20,'[1]NS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Analysis'!AA$20,'[1]NS Vendor Details'!$L:$L,'G&amp;A Vendor x GL Analysis'!$D95,'[1]NS Vendor Details'!$O:$O,'G&amp;A Vendor x GL Analysis'!$F95,'[1]NS Vendor Details'!$N:$N,"Direct Costs",'[1]NS Vendor Details'!$J:$J,0,'[1]NS Vendor Details'!$I:$I,'G&amp;A Vendor x GL Analysis'!$E95),IF(AA$15="Actual",SUMIFS('[1]NS Vendor Details'!$D:$D,'[1]NS Vendor Details'!$H:$H,'G&amp;A Vendor x GL Analysis'!AA$20,'[1]NS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Analysis'!AA$20,'[1]NS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1359.73</v>
      </c>
      <c r="AB95" s="17">
        <f>IF(AND(AB$15="Actual",ISBLANK($E$8)),SUMIFS('[1]NS Vendor Details'!$D:$D,'[1]NS Vendor Details'!$H:$H,'G&amp;A Vendor x GL Analysis'!AB$20,'[1]NS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Analysis'!AB$20,'[1]NS Vendor Details'!$L:$L,'G&amp;A Vendor x GL Analysis'!$D95,'[1]NS Vendor Details'!$O:$O,'G&amp;A Vendor x GL Analysis'!$F95,'[1]NS Vendor Details'!$N:$N,"Direct Costs",'[1]NS Vendor Details'!$J:$J,0,'[1]NS Vendor Details'!$I:$I,'G&amp;A Vendor x GL Analysis'!$E95),IF(AB$15="Actual",SUMIFS('[1]NS Vendor Details'!$D:$D,'[1]NS Vendor Details'!$H:$H,'G&amp;A Vendor x GL Analysis'!AB$20,'[1]NS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Analysis'!AB$20,'[1]NS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1821.7800000000002</v>
      </c>
      <c r="AC95" s="18">
        <f>IF(AND(AC$15="Actual",ISBLANK($E$8)),SUMIFS('[1]NS Vendor Details'!$D:$D,'[1]NS Vendor Details'!$H:$H,'G&amp;A Vendor x GL Analysis'!AC$20,'[1]NS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Analysis'!AC$20,'[1]NS Vendor Details'!$L:$L,'G&amp;A Vendor x GL Analysis'!$D95,'[1]NS Vendor Details'!$O:$O,'G&amp;A Vendor x GL Analysis'!$F95,'[1]NS Vendor Details'!$N:$N,"Direct Costs",'[1]NS Vendor Details'!$J:$J,0,'[1]NS Vendor Details'!$I:$I,'G&amp;A Vendor x GL Analysis'!$E95),IF(AC$15="Actual",SUMIFS('[1]NS Vendor Details'!$D:$D,'[1]NS Vendor Details'!$H:$H,'G&amp;A Vendor x GL Analysis'!AC$20,'[1]NS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Analysis'!AC$20,'[1]NS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768.41000000000008</v>
      </c>
      <c r="AD95" s="18">
        <f>IF(AND(AD$15="Actual",ISBLANK($E$8)),SUMIFS('[1]NS Vendor Details'!$D:$D,'[1]NS Vendor Details'!$H:$H,'G&amp;A Vendor x GL Analysis'!AD$20,'[1]NS Vendor Details'!$L:$L,'G&amp;A Vendor x GL Analysis'!$D95,'[1]NS Vendor Details'!$O:$O,'G&amp;A Vendor x GL Analysis'!$F95,'[1]NS Vendor Details'!$N:$N,'G&amp;A Vendor x GL Analysis'!$C95,'[1]NS Vendor Details'!$I:$I,'G&amp;A Vendor x GL Analysis'!$E95)+SUMIFS('[1]NS Vendor Details'!$D:$D,'[1]NS Vendor Details'!$H:$H,'G&amp;A Vendor x GL Analysis'!AD$20,'[1]NS Vendor Details'!$L:$L,'G&amp;A Vendor x GL Analysis'!$D95,'[1]NS Vendor Details'!$O:$O,'G&amp;A Vendor x GL Analysis'!$F95,'[1]NS Vendor Details'!$N:$N,"Direct Costs",'[1]NS Vendor Details'!$J:$J,0,'[1]NS Vendor Details'!$I:$I,'G&amp;A Vendor x GL Analysis'!$E95),IF(AD$15="Actual",SUMIFS('[1]NS Vendor Details'!$D:$D,'[1]NS Vendor Details'!$H:$H,'G&amp;A Vendor x GL Analysis'!AD$20,'[1]NS Vendor Details'!$L:$L,'G&amp;A Vendor x GL Analysis'!$D95,'[1]NS Vendor Details'!$O:$O,'G&amp;A Vendor x GL Analysis'!$F95,'[1]NS Vendor Details'!$N:$N,'G&amp;A Vendor x GL Analysis'!$C95,'[1]NS Vendor Details'!$K:$K,'G&amp;A Vendor x GL Analysis'!$E$8,'[1]NS Vendor Details'!$I:$I,'G&amp;A Vendor x GL Analysis'!$E95)+SUMIFS('[1]NS Vendor Details'!$D:$D,'[1]NS Vendor Details'!$H:$H,'G&amp;A Vendor x GL Analysis'!AD$20,'[1]NS Vendor Details'!$L:$L,'G&amp;A Vendor x GL Analysis'!$D95,'[1]NS Vendor Details'!$O:$O,'G&amp;A Vendor x GL Analysis'!$F95,'[1]NS Vendor Details'!$N:$N,"Direct Costs",'[1]NS Vendor Details'!$J:$J,0,'[1]NS Vendor Details'!$K:$K,'G&amp;A Vendor x GL Analysis'!$E$8,'[1]NS Vendor Details'!$I:$I,'G&amp;A Vendor x GL Analysis'!$E95),0))</f>
        <v>0</v>
      </c>
      <c r="AF95" s="19">
        <f t="shared" si="9"/>
        <v>16149.449999999999</v>
      </c>
    </row>
    <row r="96" spans="1:32" outlineLevel="1">
      <c r="A96" s="8" t="str">
        <f t="shared" si="22"/>
        <v>Professional Service6300 - Payroll Service Fees</v>
      </c>
      <c r="C96" s="8" t="s">
        <v>11</v>
      </c>
      <c r="D96" s="8" t="str">
        <f t="shared" si="21"/>
        <v>Professional Service</v>
      </c>
      <c r="E96" s="2" t="s">
        <v>87</v>
      </c>
      <c r="F96" s="2" t="s">
        <v>89</v>
      </c>
      <c r="G96" s="16">
        <f>IF(AND(G$15="Actual",ISBLANK($E$8)),SUMIFS('[1]NS Vendor Details'!$D:$D,'[1]NS Vendor Details'!$H:$H,'G&amp;A Vendor x GL Analysis'!G$20,'[1]NS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Analysis'!G$20,'[1]NS Vendor Details'!$L:$L,'G&amp;A Vendor x GL Analysis'!$D96,'[1]NS Vendor Details'!$O:$O,'G&amp;A Vendor x GL Analysis'!$F96,'[1]NS Vendor Details'!$N:$N,"Direct Costs",'[1]NS Vendor Details'!$J:$J,0),IF(G$15="Actual",SUMIFS('[1]NS Vendor Details'!$D:$D,'[1]NS Vendor Details'!$H:$H,'G&amp;A Vendor x GL Analysis'!G$20,'[1]NS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Analysis'!G$20,'[1]NS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7197.5</v>
      </c>
      <c r="H96" s="17">
        <f>IF(AND(H$15="Actual",ISBLANK($E$8)),SUMIFS('[1]NS Vendor Details'!$D:$D,'[1]NS Vendor Details'!$H:$H,'G&amp;A Vendor x GL Analysis'!H$20,'[1]NS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Analysis'!H$20,'[1]NS Vendor Details'!$L:$L,'G&amp;A Vendor x GL Analysis'!$D96,'[1]NS Vendor Details'!$O:$O,'G&amp;A Vendor x GL Analysis'!$F96,'[1]NS Vendor Details'!$N:$N,"Direct Costs",'[1]NS Vendor Details'!$J:$J,0),IF(H$15="Actual",SUMIFS('[1]NS Vendor Details'!$D:$D,'[1]NS Vendor Details'!$H:$H,'G&amp;A Vendor x GL Analysis'!H$20,'[1]NS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Analysis'!H$20,'[1]NS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14423.75</v>
      </c>
      <c r="I96" s="17">
        <f>IF(AND(I$15="Actual",ISBLANK($E$8)),SUMIFS('[1]NS Vendor Details'!$D:$D,'[1]NS Vendor Details'!$H:$H,'G&amp;A Vendor x GL Analysis'!I$20,'[1]NS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Analysis'!I$20,'[1]NS Vendor Details'!$L:$L,'G&amp;A Vendor x GL Analysis'!$D96,'[1]NS Vendor Details'!$O:$O,'G&amp;A Vendor x GL Analysis'!$F96,'[1]NS Vendor Details'!$N:$N,"Direct Costs",'[1]NS Vendor Details'!$J:$J,0),IF(I$15="Actual",SUMIFS('[1]NS Vendor Details'!$D:$D,'[1]NS Vendor Details'!$H:$H,'G&amp;A Vendor x GL Analysis'!I$20,'[1]NS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Analysis'!I$20,'[1]NS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14748.75</v>
      </c>
      <c r="J96" s="17">
        <f>IF(AND(J$15="Actual",ISBLANK($E$8)),SUMIFS('[1]NS Vendor Details'!$D:$D,'[1]NS Vendor Details'!$H:$H,'G&amp;A Vendor x GL Analysis'!J$20,'[1]NS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Analysis'!J$20,'[1]NS Vendor Details'!$L:$L,'G&amp;A Vendor x GL Analysis'!$D96,'[1]NS Vendor Details'!$O:$O,'G&amp;A Vendor x GL Analysis'!$F96,'[1]NS Vendor Details'!$N:$N,"Direct Costs",'[1]NS Vendor Details'!$J:$J,0),IF(J$15="Actual",SUMIFS('[1]NS Vendor Details'!$D:$D,'[1]NS Vendor Details'!$H:$H,'G&amp;A Vendor x GL Analysis'!J$20,'[1]NS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Analysis'!J$20,'[1]NS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4030</v>
      </c>
      <c r="K96" s="17">
        <f>IF(AND(K$15="Actual",ISBLANK($E$8)),SUMIFS('[1]NS Vendor Details'!$D:$D,'[1]NS Vendor Details'!$H:$H,'G&amp;A Vendor x GL Analysis'!K$20,'[1]NS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Analysis'!K$20,'[1]NS Vendor Details'!$L:$L,'G&amp;A Vendor x GL Analysis'!$D96,'[1]NS Vendor Details'!$O:$O,'G&amp;A Vendor x GL Analysis'!$F96,'[1]NS Vendor Details'!$N:$N,"Direct Costs",'[1]NS Vendor Details'!$J:$J,0),IF(K$15="Actual",SUMIFS('[1]NS Vendor Details'!$D:$D,'[1]NS Vendor Details'!$H:$H,'G&amp;A Vendor x GL Analysis'!K$20,'[1]NS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Analysis'!K$20,'[1]NS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3962.5</v>
      </c>
      <c r="L96" s="17">
        <f>IF(AND(L$15="Actual",ISBLANK($E$8)),SUMIFS('[1]NS Vendor Details'!$D:$D,'[1]NS Vendor Details'!$H:$H,'G&amp;A Vendor x GL Analysis'!L$20,'[1]NS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Analysis'!L$20,'[1]NS Vendor Details'!$L:$L,'G&amp;A Vendor x GL Analysis'!$D96,'[1]NS Vendor Details'!$O:$O,'G&amp;A Vendor x GL Analysis'!$F96,'[1]NS Vendor Details'!$N:$N,"Direct Costs",'[1]NS Vendor Details'!$J:$J,0),IF(L$15="Actual",SUMIFS('[1]NS Vendor Details'!$D:$D,'[1]NS Vendor Details'!$H:$H,'G&amp;A Vendor x GL Analysis'!L$20,'[1]NS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Analysis'!L$20,'[1]NS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3070</v>
      </c>
      <c r="M96" s="17">
        <f>IF(AND(M$15="Actual",ISBLANK($E$8)),SUMIFS('[1]NS Vendor Details'!$D:$D,'[1]NS Vendor Details'!$H:$H,'G&amp;A Vendor x GL Analysis'!M$20,'[1]NS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Analysis'!M$20,'[1]NS Vendor Details'!$L:$L,'G&amp;A Vendor x GL Analysis'!$D96,'[1]NS Vendor Details'!$O:$O,'G&amp;A Vendor x GL Analysis'!$F96,'[1]NS Vendor Details'!$N:$N,"Direct Costs",'[1]NS Vendor Details'!$J:$J,0),IF(M$15="Actual",SUMIFS('[1]NS Vendor Details'!$D:$D,'[1]NS Vendor Details'!$H:$H,'G&amp;A Vendor x GL Analysis'!M$20,'[1]NS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Analysis'!M$20,'[1]NS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4045</v>
      </c>
      <c r="N96" s="17">
        <f>IF(AND(N$15="Actual",ISBLANK($E$8)),SUMIFS('[1]NS Vendor Details'!$D:$D,'[1]NS Vendor Details'!$H:$H,'G&amp;A Vendor x GL Analysis'!N$20,'[1]NS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Analysis'!N$20,'[1]NS Vendor Details'!$L:$L,'G&amp;A Vendor x GL Analysis'!$D96,'[1]NS Vendor Details'!$O:$O,'G&amp;A Vendor x GL Analysis'!$F96,'[1]NS Vendor Details'!$N:$N,"Direct Costs",'[1]NS Vendor Details'!$J:$J,0),IF(N$15="Actual",SUMIFS('[1]NS Vendor Details'!$D:$D,'[1]NS Vendor Details'!$H:$H,'G&amp;A Vendor x GL Analysis'!N$20,'[1]NS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Analysis'!N$20,'[1]NS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4077.5</v>
      </c>
      <c r="O96" s="17">
        <f>IF(AND(O$15="Actual",ISBLANK($E$8)),SUMIFS('[1]NS Vendor Details'!$D:$D,'[1]NS Vendor Details'!$H:$H,'G&amp;A Vendor x GL Analysis'!O$20,'[1]NS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Analysis'!O$20,'[1]NS Vendor Details'!$L:$L,'G&amp;A Vendor x GL Analysis'!$D96,'[1]NS Vendor Details'!$O:$O,'G&amp;A Vendor x GL Analysis'!$F96,'[1]NS Vendor Details'!$N:$N,"Direct Costs",'[1]NS Vendor Details'!$J:$J,0),IF(O$15="Actual",SUMIFS('[1]NS Vendor Details'!$D:$D,'[1]NS Vendor Details'!$H:$H,'G&amp;A Vendor x GL Analysis'!O$20,'[1]NS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Analysis'!O$20,'[1]NS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4402.5</v>
      </c>
      <c r="P96" s="17">
        <f>IF(AND(P$15="Actual",ISBLANK($E$8)),SUMIFS('[1]NS Vendor Details'!$D:$D,'[1]NS Vendor Details'!$H:$H,'G&amp;A Vendor x GL Analysis'!P$20,'[1]NS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Analysis'!P$20,'[1]NS Vendor Details'!$L:$L,'G&amp;A Vendor x GL Analysis'!$D96,'[1]NS Vendor Details'!$O:$O,'G&amp;A Vendor x GL Analysis'!$F96,'[1]NS Vendor Details'!$N:$N,"Direct Costs",'[1]NS Vendor Details'!$J:$J,0),IF(P$15="Actual",SUMIFS('[1]NS Vendor Details'!$D:$D,'[1]NS Vendor Details'!$H:$H,'G&amp;A Vendor x GL Analysis'!P$20,'[1]NS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Analysis'!P$20,'[1]NS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4110</v>
      </c>
      <c r="Q96" s="17">
        <f>IF(AND(Q$15="Actual",ISBLANK($E$8)),SUMIFS('[1]NS Vendor Details'!$D:$D,'[1]NS Vendor Details'!$H:$H,'G&amp;A Vendor x GL Analysis'!Q$20,'[1]NS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Analysis'!Q$20,'[1]NS Vendor Details'!$L:$L,'G&amp;A Vendor x GL Analysis'!$D96,'[1]NS Vendor Details'!$O:$O,'G&amp;A Vendor x GL Analysis'!$F96,'[1]NS Vendor Details'!$N:$N,"Direct Costs",'[1]NS Vendor Details'!$J:$J,0),IF(Q$15="Actual",SUMIFS('[1]NS Vendor Details'!$D:$D,'[1]NS Vendor Details'!$H:$H,'G&amp;A Vendor x GL Analysis'!Q$20,'[1]NS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Analysis'!Q$20,'[1]NS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2777.5</v>
      </c>
      <c r="R96" s="18">
        <f>IF(AND(R$15="Actual",ISBLANK($E$8)),SUMIFS('[1]NS Vendor Details'!$D:$D,'[1]NS Vendor Details'!$H:$H,'G&amp;A Vendor x GL Analysis'!R$20,'[1]NS Vendor Details'!$L:$L,'G&amp;A Vendor x GL Analysis'!$D96,'[1]NS Vendor Details'!$O:$O,'G&amp;A Vendor x GL Analysis'!$F96,'[1]NS Vendor Details'!$N:$N,'G&amp;A Vendor x GL Analysis'!$C96)+SUMIFS('[1]NS Vendor Details'!$D:$D,'[1]NS Vendor Details'!$H:$H,'G&amp;A Vendor x GL Analysis'!R$20,'[1]NS Vendor Details'!$L:$L,'G&amp;A Vendor x GL Analysis'!$D96,'[1]NS Vendor Details'!$O:$O,'G&amp;A Vendor x GL Analysis'!$F96,'[1]NS Vendor Details'!$N:$N,"Direct Costs",'[1]NS Vendor Details'!$J:$J,0),IF(R$15="Actual",SUMIFS('[1]NS Vendor Details'!$D:$D,'[1]NS Vendor Details'!$H:$H,'G&amp;A Vendor x GL Analysis'!R$20,'[1]NS Vendor Details'!$L:$L,'G&amp;A Vendor x GL Analysis'!$D96,'[1]NS Vendor Details'!$O:$O,'G&amp;A Vendor x GL Analysis'!$F96,'[1]NS Vendor Details'!$N:$N,'G&amp;A Vendor x GL Analysis'!$C96,'[1]NS Vendor Details'!$K:$K,'G&amp;A Vendor x GL Analysis'!$E$8)+SUMIFS('[1]NS Vendor Details'!$D:$D,'[1]NS Vendor Details'!$H:$H,'G&amp;A Vendor x GL Analysis'!R$20,'[1]NS Vendor Details'!$L:$L,'G&amp;A Vendor x GL Analysis'!$D96,'[1]NS Vendor Details'!$O:$O,'G&amp;A Vendor x GL Analysis'!$F96,'[1]NS Vendor Details'!$N:$N,"Direct Costs",'[1]NS Vendor Details'!$J:$J,0,'[1]NS Vendor Details'!$K:$K,'G&amp;A Vendor x GL Analysis'!$E$8),0))</f>
        <v>2307.5</v>
      </c>
      <c r="S96" s="16">
        <f>IF(AND(S$15="Actual",ISBLANK($E$8)),SUMIFS('[1]NS Vendor Details'!$D:$D,'[1]NS Vendor Details'!$H:$H,'G&amp;A Vendor x GL Analysis'!S$20,'[1]NS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Analysis'!S$20,'[1]NS Vendor Details'!$L:$L,'G&amp;A Vendor x GL Analysis'!$D96,'[1]NS Vendor Details'!$O:$O,'G&amp;A Vendor x GL Analysis'!$F96,'[1]NS Vendor Details'!$N:$N,"Direct Costs",'[1]NS Vendor Details'!$J:$J,0,'[1]NS Vendor Details'!$I:$I,'G&amp;A Vendor x GL Analysis'!$E96),IF(S$15="Actual",SUMIFS('[1]NS Vendor Details'!$D:$D,'[1]NS Vendor Details'!$H:$H,'G&amp;A Vendor x GL Analysis'!S$20,'[1]NS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Analysis'!S$20,'[1]NS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2133.75</v>
      </c>
      <c r="T96" s="17">
        <f>IF(AND(T$15="Actual",ISBLANK($E$8)),SUMIFS('[1]NS Vendor Details'!$D:$D,'[1]NS Vendor Details'!$H:$H,'G&amp;A Vendor x GL Analysis'!T$20,'[1]NS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Analysis'!T$20,'[1]NS Vendor Details'!$L:$L,'G&amp;A Vendor x GL Analysis'!$D96,'[1]NS Vendor Details'!$O:$O,'G&amp;A Vendor x GL Analysis'!$F96,'[1]NS Vendor Details'!$N:$N,"Direct Costs",'[1]NS Vendor Details'!$J:$J,0,'[1]NS Vendor Details'!$I:$I,'G&amp;A Vendor x GL Analysis'!$E96),IF(T$15="Actual",SUMIFS('[1]NS Vendor Details'!$D:$D,'[1]NS Vendor Details'!$H:$H,'G&amp;A Vendor x GL Analysis'!T$20,'[1]NS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Analysis'!T$20,'[1]NS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3695</v>
      </c>
      <c r="U96" s="17">
        <f>IF(AND(U$15="Actual",ISBLANK($E$8)),SUMIFS('[1]NS Vendor Details'!$D:$D,'[1]NS Vendor Details'!$H:$H,'G&amp;A Vendor x GL Analysis'!U$20,'[1]NS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Analysis'!U$20,'[1]NS Vendor Details'!$L:$L,'G&amp;A Vendor x GL Analysis'!$D96,'[1]NS Vendor Details'!$O:$O,'G&amp;A Vendor x GL Analysis'!$F96,'[1]NS Vendor Details'!$N:$N,"Direct Costs",'[1]NS Vendor Details'!$J:$J,0,'[1]NS Vendor Details'!$I:$I,'G&amp;A Vendor x GL Analysis'!$E96),IF(U$15="Actual",SUMIFS('[1]NS Vendor Details'!$D:$D,'[1]NS Vendor Details'!$H:$H,'G&amp;A Vendor x GL Analysis'!U$20,'[1]NS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Analysis'!U$20,'[1]NS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3105</v>
      </c>
      <c r="V96" s="17">
        <f>IF(AND(V$15="Actual",ISBLANK($E$8)),SUMIFS('[1]NS Vendor Details'!$D:$D,'[1]NS Vendor Details'!$H:$H,'G&amp;A Vendor x GL Analysis'!V$20,'[1]NS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Analysis'!V$20,'[1]NS Vendor Details'!$L:$L,'G&amp;A Vendor x GL Analysis'!$D96,'[1]NS Vendor Details'!$O:$O,'G&amp;A Vendor x GL Analysis'!$F96,'[1]NS Vendor Details'!$N:$N,"Direct Costs",'[1]NS Vendor Details'!$J:$J,0,'[1]NS Vendor Details'!$I:$I,'G&amp;A Vendor x GL Analysis'!$E96),IF(V$15="Actual",SUMIFS('[1]NS Vendor Details'!$D:$D,'[1]NS Vendor Details'!$H:$H,'G&amp;A Vendor x GL Analysis'!V$20,'[1]NS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Analysis'!V$20,'[1]NS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2716.25</v>
      </c>
      <c r="W96" s="17">
        <f>IF(AND(W$15="Actual",ISBLANK($E$8)),SUMIFS('[1]NS Vendor Details'!$D:$D,'[1]NS Vendor Details'!$H:$H,'G&amp;A Vendor x GL Analysis'!W$20,'[1]NS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Analysis'!W$20,'[1]NS Vendor Details'!$L:$L,'G&amp;A Vendor x GL Analysis'!$D96,'[1]NS Vendor Details'!$O:$O,'G&amp;A Vendor x GL Analysis'!$F96,'[1]NS Vendor Details'!$N:$N,"Direct Costs",'[1]NS Vendor Details'!$J:$J,0,'[1]NS Vendor Details'!$I:$I,'G&amp;A Vendor x GL Analysis'!$E96),IF(W$15="Actual",SUMIFS('[1]NS Vendor Details'!$D:$D,'[1]NS Vendor Details'!$H:$H,'G&amp;A Vendor x GL Analysis'!W$20,'[1]NS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Analysis'!W$20,'[1]NS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4320</v>
      </c>
      <c r="X96" s="17">
        <f>IF(AND(X$15="Actual",ISBLANK($E$8)),SUMIFS('[1]NS Vendor Details'!$D:$D,'[1]NS Vendor Details'!$H:$H,'G&amp;A Vendor x GL Analysis'!X$20,'[1]NS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Analysis'!X$20,'[1]NS Vendor Details'!$L:$L,'G&amp;A Vendor x GL Analysis'!$D96,'[1]NS Vendor Details'!$O:$O,'G&amp;A Vendor x GL Analysis'!$F96,'[1]NS Vendor Details'!$N:$N,"Direct Costs",'[1]NS Vendor Details'!$J:$J,0,'[1]NS Vendor Details'!$I:$I,'G&amp;A Vendor x GL Analysis'!$E96),IF(X$15="Actual",SUMIFS('[1]NS Vendor Details'!$D:$D,'[1]NS Vendor Details'!$H:$H,'G&amp;A Vendor x GL Analysis'!X$20,'[1]NS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Analysis'!X$20,'[1]NS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2531.25</v>
      </c>
      <c r="Y96" s="17">
        <f>IF(AND(Y$15="Actual",ISBLANK($E$8)),SUMIFS('[1]NS Vendor Details'!$D:$D,'[1]NS Vendor Details'!$H:$H,'G&amp;A Vendor x GL Analysis'!Y$20,'[1]NS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Analysis'!Y$20,'[1]NS Vendor Details'!$L:$L,'G&amp;A Vendor x GL Analysis'!$D96,'[1]NS Vendor Details'!$O:$O,'G&amp;A Vendor x GL Analysis'!$F96,'[1]NS Vendor Details'!$N:$N,"Direct Costs",'[1]NS Vendor Details'!$J:$J,0,'[1]NS Vendor Details'!$I:$I,'G&amp;A Vendor x GL Analysis'!$E96),IF(Y$15="Actual",SUMIFS('[1]NS Vendor Details'!$D:$D,'[1]NS Vendor Details'!$H:$H,'G&amp;A Vendor x GL Analysis'!Y$20,'[1]NS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Analysis'!Y$20,'[1]NS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6663.75</v>
      </c>
      <c r="Z96" s="17">
        <f>IF(AND(Z$15="Actual",ISBLANK($E$8)),SUMIFS('[1]NS Vendor Details'!$D:$D,'[1]NS Vendor Details'!$H:$H,'G&amp;A Vendor x GL Analysis'!Z$20,'[1]NS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Analysis'!Z$20,'[1]NS Vendor Details'!$L:$L,'G&amp;A Vendor x GL Analysis'!$D96,'[1]NS Vendor Details'!$O:$O,'G&amp;A Vendor x GL Analysis'!$F96,'[1]NS Vendor Details'!$N:$N,"Direct Costs",'[1]NS Vendor Details'!$J:$J,0,'[1]NS Vendor Details'!$I:$I,'G&amp;A Vendor x GL Analysis'!$E96),IF(Z$15="Actual",SUMIFS('[1]NS Vendor Details'!$D:$D,'[1]NS Vendor Details'!$H:$H,'G&amp;A Vendor x GL Analysis'!Z$20,'[1]NS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Analysis'!Z$20,'[1]NS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8800</v>
      </c>
      <c r="AA96" s="17">
        <f>IF(AND(AA$15="Actual",ISBLANK($E$8)),SUMIFS('[1]NS Vendor Details'!$D:$D,'[1]NS Vendor Details'!$H:$H,'G&amp;A Vendor x GL Analysis'!AA$20,'[1]NS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Analysis'!AA$20,'[1]NS Vendor Details'!$L:$L,'G&amp;A Vendor x GL Analysis'!$D96,'[1]NS Vendor Details'!$O:$O,'G&amp;A Vendor x GL Analysis'!$F96,'[1]NS Vendor Details'!$N:$N,"Direct Costs",'[1]NS Vendor Details'!$J:$J,0,'[1]NS Vendor Details'!$I:$I,'G&amp;A Vendor x GL Analysis'!$E96),IF(AA$15="Actual",SUMIFS('[1]NS Vendor Details'!$D:$D,'[1]NS Vendor Details'!$H:$H,'G&amp;A Vendor x GL Analysis'!AA$20,'[1]NS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Analysis'!AA$20,'[1]NS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5645</v>
      </c>
      <c r="AB96" s="17">
        <f>IF(AND(AB$15="Actual",ISBLANK($E$8)),SUMIFS('[1]NS Vendor Details'!$D:$D,'[1]NS Vendor Details'!$H:$H,'G&amp;A Vendor x GL Analysis'!AB$20,'[1]NS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Analysis'!AB$20,'[1]NS Vendor Details'!$L:$L,'G&amp;A Vendor x GL Analysis'!$D96,'[1]NS Vendor Details'!$O:$O,'G&amp;A Vendor x GL Analysis'!$F96,'[1]NS Vendor Details'!$N:$N,"Direct Costs",'[1]NS Vendor Details'!$J:$J,0,'[1]NS Vendor Details'!$I:$I,'G&amp;A Vendor x GL Analysis'!$E96),IF(AB$15="Actual",SUMIFS('[1]NS Vendor Details'!$D:$D,'[1]NS Vendor Details'!$H:$H,'G&amp;A Vendor x GL Analysis'!AB$20,'[1]NS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Analysis'!AB$20,'[1]NS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6612.5</v>
      </c>
      <c r="AC96" s="18">
        <f>IF(AND(AC$15="Actual",ISBLANK($E$8)),SUMIFS('[1]NS Vendor Details'!$D:$D,'[1]NS Vendor Details'!$H:$H,'G&amp;A Vendor x GL Analysis'!AC$20,'[1]NS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Analysis'!AC$20,'[1]NS Vendor Details'!$L:$L,'G&amp;A Vendor x GL Analysis'!$D96,'[1]NS Vendor Details'!$O:$O,'G&amp;A Vendor x GL Analysis'!$F96,'[1]NS Vendor Details'!$N:$N,"Direct Costs",'[1]NS Vendor Details'!$J:$J,0,'[1]NS Vendor Details'!$I:$I,'G&amp;A Vendor x GL Analysis'!$E96),IF(AC$15="Actual",SUMIFS('[1]NS Vendor Details'!$D:$D,'[1]NS Vendor Details'!$H:$H,'G&amp;A Vendor x GL Analysis'!AC$20,'[1]NS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Analysis'!AC$20,'[1]NS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4400</v>
      </c>
      <c r="AD96" s="18">
        <f>IF(AND(AD$15="Actual",ISBLANK($E$8)),SUMIFS('[1]NS Vendor Details'!$D:$D,'[1]NS Vendor Details'!$H:$H,'G&amp;A Vendor x GL Analysis'!AD$20,'[1]NS Vendor Details'!$L:$L,'G&amp;A Vendor x GL Analysis'!$D96,'[1]NS Vendor Details'!$O:$O,'G&amp;A Vendor x GL Analysis'!$F96,'[1]NS Vendor Details'!$N:$N,'G&amp;A Vendor x GL Analysis'!$C96,'[1]NS Vendor Details'!$I:$I,'G&amp;A Vendor x GL Analysis'!$E96)+SUMIFS('[1]NS Vendor Details'!$D:$D,'[1]NS Vendor Details'!$H:$H,'G&amp;A Vendor x GL Analysis'!AD$20,'[1]NS Vendor Details'!$L:$L,'G&amp;A Vendor x GL Analysis'!$D96,'[1]NS Vendor Details'!$O:$O,'G&amp;A Vendor x GL Analysis'!$F96,'[1]NS Vendor Details'!$N:$N,"Direct Costs",'[1]NS Vendor Details'!$J:$J,0,'[1]NS Vendor Details'!$I:$I,'G&amp;A Vendor x GL Analysis'!$E96),IF(AD$15="Actual",SUMIFS('[1]NS Vendor Details'!$D:$D,'[1]NS Vendor Details'!$H:$H,'G&amp;A Vendor x GL Analysis'!AD$20,'[1]NS Vendor Details'!$L:$L,'G&amp;A Vendor x GL Analysis'!$D96,'[1]NS Vendor Details'!$O:$O,'G&amp;A Vendor x GL Analysis'!$F96,'[1]NS Vendor Details'!$N:$N,'G&amp;A Vendor x GL Analysis'!$C96,'[1]NS Vendor Details'!$K:$K,'G&amp;A Vendor x GL Analysis'!$E$8,'[1]NS Vendor Details'!$I:$I,'G&amp;A Vendor x GL Analysis'!$E96)+SUMIFS('[1]NS Vendor Details'!$D:$D,'[1]NS Vendor Details'!$H:$H,'G&amp;A Vendor x GL Analysis'!AD$20,'[1]NS Vendor Details'!$L:$L,'G&amp;A Vendor x GL Analysis'!$D96,'[1]NS Vendor Details'!$O:$O,'G&amp;A Vendor x GL Analysis'!$F96,'[1]NS Vendor Details'!$N:$N,"Direct Costs",'[1]NS Vendor Details'!$J:$J,0,'[1]NS Vendor Details'!$K:$K,'G&amp;A Vendor x GL Analysis'!$E$8,'[1]NS Vendor Details'!$I:$I,'G&amp;A Vendor x GL Analysis'!$E96),0))</f>
        <v>0</v>
      </c>
      <c r="AF96" s="19">
        <f t="shared" si="9"/>
        <v>50622.5</v>
      </c>
    </row>
    <row r="97" spans="1:32" outlineLevel="1">
      <c r="A97" s="8" t="str">
        <f t="shared" si="22"/>
        <v>Professional Service6380 - Legal &amp; Accounting</v>
      </c>
      <c r="C97" s="8" t="s">
        <v>11</v>
      </c>
      <c r="D97" s="8" t="str">
        <f t="shared" si="21"/>
        <v>Professional Service</v>
      </c>
      <c r="E97" s="2" t="s">
        <v>90</v>
      </c>
      <c r="F97" s="2" t="s">
        <v>16</v>
      </c>
      <c r="G97" s="16">
        <f>IF(AND(G$15="Actual",ISBLANK($E$8)),SUMIFS('[1]NS Vendor Details'!$D:$D,'[1]NS Vendor Details'!$H:$H,'G&amp;A Vendor x GL Analysis'!G$20,'[1]NS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Analysis'!G$20,'[1]NS Vendor Details'!$L:$L,'G&amp;A Vendor x GL Analysis'!$D97,'[1]NS Vendor Details'!$O:$O,'G&amp;A Vendor x GL Analysis'!$F97,'[1]NS Vendor Details'!$N:$N,"Direct Costs",'[1]NS Vendor Details'!$J:$J,0),IF(G$15="Actual",SUMIFS('[1]NS Vendor Details'!$D:$D,'[1]NS Vendor Details'!$H:$H,'G&amp;A Vendor x GL Analysis'!G$20,'[1]NS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Analysis'!G$20,'[1]NS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20387.23</v>
      </c>
      <c r="H97" s="17">
        <f>IF(AND(H$15="Actual",ISBLANK($E$8)),SUMIFS('[1]NS Vendor Details'!$D:$D,'[1]NS Vendor Details'!$H:$H,'G&amp;A Vendor x GL Analysis'!H$20,'[1]NS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Analysis'!H$20,'[1]NS Vendor Details'!$L:$L,'G&amp;A Vendor x GL Analysis'!$D97,'[1]NS Vendor Details'!$O:$O,'G&amp;A Vendor x GL Analysis'!$F97,'[1]NS Vendor Details'!$N:$N,"Direct Costs",'[1]NS Vendor Details'!$J:$J,0),IF(H$15="Actual",SUMIFS('[1]NS Vendor Details'!$D:$D,'[1]NS Vendor Details'!$H:$H,'G&amp;A Vendor x GL Analysis'!H$20,'[1]NS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Analysis'!H$20,'[1]NS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2882.1599999999994</v>
      </c>
      <c r="I97" s="17">
        <f>IF(AND(I$15="Actual",ISBLANK($E$8)),SUMIFS('[1]NS Vendor Details'!$D:$D,'[1]NS Vendor Details'!$H:$H,'G&amp;A Vendor x GL Analysis'!I$20,'[1]NS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Analysis'!I$20,'[1]NS Vendor Details'!$L:$L,'G&amp;A Vendor x GL Analysis'!$D97,'[1]NS Vendor Details'!$O:$O,'G&amp;A Vendor x GL Analysis'!$F97,'[1]NS Vendor Details'!$N:$N,"Direct Costs",'[1]NS Vendor Details'!$J:$J,0),IF(I$15="Actual",SUMIFS('[1]NS Vendor Details'!$D:$D,'[1]NS Vendor Details'!$H:$H,'G&amp;A Vendor x GL Analysis'!I$20,'[1]NS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Analysis'!I$20,'[1]NS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2608.1800000000007</v>
      </c>
      <c r="J97" s="17">
        <f>IF(AND(J$15="Actual",ISBLANK($E$8)),SUMIFS('[1]NS Vendor Details'!$D:$D,'[1]NS Vendor Details'!$H:$H,'G&amp;A Vendor x GL Analysis'!J$20,'[1]NS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Analysis'!J$20,'[1]NS Vendor Details'!$L:$L,'G&amp;A Vendor x GL Analysis'!$D97,'[1]NS Vendor Details'!$O:$O,'G&amp;A Vendor x GL Analysis'!$F97,'[1]NS Vendor Details'!$N:$N,"Direct Costs",'[1]NS Vendor Details'!$J:$J,0),IF(J$15="Actual",SUMIFS('[1]NS Vendor Details'!$D:$D,'[1]NS Vendor Details'!$H:$H,'G&amp;A Vendor x GL Analysis'!J$20,'[1]NS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Analysis'!J$20,'[1]NS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17994.830000000002</v>
      </c>
      <c r="K97" s="17">
        <f>IF(AND(K$15="Actual",ISBLANK($E$8)),SUMIFS('[1]NS Vendor Details'!$D:$D,'[1]NS Vendor Details'!$H:$H,'G&amp;A Vendor x GL Analysis'!K$20,'[1]NS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Analysis'!K$20,'[1]NS Vendor Details'!$L:$L,'G&amp;A Vendor x GL Analysis'!$D97,'[1]NS Vendor Details'!$O:$O,'G&amp;A Vendor x GL Analysis'!$F97,'[1]NS Vendor Details'!$N:$N,"Direct Costs",'[1]NS Vendor Details'!$J:$J,0),IF(K$15="Actual",SUMIFS('[1]NS Vendor Details'!$D:$D,'[1]NS Vendor Details'!$H:$H,'G&amp;A Vendor x GL Analysis'!K$20,'[1]NS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Analysis'!K$20,'[1]NS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7253.27</v>
      </c>
      <c r="L97" s="17">
        <f>IF(AND(L$15="Actual",ISBLANK($E$8)),SUMIFS('[1]NS Vendor Details'!$D:$D,'[1]NS Vendor Details'!$H:$H,'G&amp;A Vendor x GL Analysis'!L$20,'[1]NS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Analysis'!L$20,'[1]NS Vendor Details'!$L:$L,'G&amp;A Vendor x GL Analysis'!$D97,'[1]NS Vendor Details'!$O:$O,'G&amp;A Vendor x GL Analysis'!$F97,'[1]NS Vendor Details'!$N:$N,"Direct Costs",'[1]NS Vendor Details'!$J:$J,0),IF(L$15="Actual",SUMIFS('[1]NS Vendor Details'!$D:$D,'[1]NS Vendor Details'!$H:$H,'G&amp;A Vendor x GL Analysis'!L$20,'[1]NS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Analysis'!L$20,'[1]NS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9261.7000000000007</v>
      </c>
      <c r="M97" s="17">
        <f>IF(AND(M$15="Actual",ISBLANK($E$8)),SUMIFS('[1]NS Vendor Details'!$D:$D,'[1]NS Vendor Details'!$H:$H,'G&amp;A Vendor x GL Analysis'!M$20,'[1]NS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Analysis'!M$20,'[1]NS Vendor Details'!$L:$L,'G&amp;A Vendor x GL Analysis'!$D97,'[1]NS Vendor Details'!$O:$O,'G&amp;A Vendor x GL Analysis'!$F97,'[1]NS Vendor Details'!$N:$N,"Direct Costs",'[1]NS Vendor Details'!$J:$J,0),IF(M$15="Actual",SUMIFS('[1]NS Vendor Details'!$D:$D,'[1]NS Vendor Details'!$H:$H,'G&amp;A Vendor x GL Analysis'!M$20,'[1]NS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Analysis'!M$20,'[1]NS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1403.4799999999998</v>
      </c>
      <c r="N97" s="17">
        <f>IF(AND(N$15="Actual",ISBLANK($E$8)),SUMIFS('[1]NS Vendor Details'!$D:$D,'[1]NS Vendor Details'!$H:$H,'G&amp;A Vendor x GL Analysis'!N$20,'[1]NS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Analysis'!N$20,'[1]NS Vendor Details'!$L:$L,'G&amp;A Vendor x GL Analysis'!$D97,'[1]NS Vendor Details'!$O:$O,'G&amp;A Vendor x GL Analysis'!$F97,'[1]NS Vendor Details'!$N:$N,"Direct Costs",'[1]NS Vendor Details'!$J:$J,0),IF(N$15="Actual",SUMIFS('[1]NS Vendor Details'!$D:$D,'[1]NS Vendor Details'!$H:$H,'G&amp;A Vendor x GL Analysis'!N$20,'[1]NS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Analysis'!N$20,'[1]NS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1481.0099999999998</v>
      </c>
      <c r="O97" s="17">
        <f>IF(AND(O$15="Actual",ISBLANK($E$8)),SUMIFS('[1]NS Vendor Details'!$D:$D,'[1]NS Vendor Details'!$H:$H,'G&amp;A Vendor x GL Analysis'!O$20,'[1]NS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Analysis'!O$20,'[1]NS Vendor Details'!$L:$L,'G&amp;A Vendor x GL Analysis'!$D97,'[1]NS Vendor Details'!$O:$O,'G&amp;A Vendor x GL Analysis'!$F97,'[1]NS Vendor Details'!$N:$N,"Direct Costs",'[1]NS Vendor Details'!$J:$J,0),IF(O$15="Actual",SUMIFS('[1]NS Vendor Details'!$D:$D,'[1]NS Vendor Details'!$H:$H,'G&amp;A Vendor x GL Analysis'!O$20,'[1]NS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Analysis'!O$20,'[1]NS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-1780.9000000000005</v>
      </c>
      <c r="P97" s="17">
        <f>IF(AND(P$15="Actual",ISBLANK($E$8)),SUMIFS('[1]NS Vendor Details'!$D:$D,'[1]NS Vendor Details'!$H:$H,'G&amp;A Vendor x GL Analysis'!P$20,'[1]NS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Analysis'!P$20,'[1]NS Vendor Details'!$L:$L,'G&amp;A Vendor x GL Analysis'!$D97,'[1]NS Vendor Details'!$O:$O,'G&amp;A Vendor x GL Analysis'!$F97,'[1]NS Vendor Details'!$N:$N,"Direct Costs",'[1]NS Vendor Details'!$J:$J,0),IF(P$15="Actual",SUMIFS('[1]NS Vendor Details'!$D:$D,'[1]NS Vendor Details'!$H:$H,'G&amp;A Vendor x GL Analysis'!P$20,'[1]NS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Analysis'!P$20,'[1]NS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1662.3999999999999</v>
      </c>
      <c r="Q97" s="17">
        <f>IF(AND(Q$15="Actual",ISBLANK($E$8)),SUMIFS('[1]NS Vendor Details'!$D:$D,'[1]NS Vendor Details'!$H:$H,'G&amp;A Vendor x GL Analysis'!Q$20,'[1]NS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Analysis'!Q$20,'[1]NS Vendor Details'!$L:$L,'G&amp;A Vendor x GL Analysis'!$D97,'[1]NS Vendor Details'!$O:$O,'G&amp;A Vendor x GL Analysis'!$F97,'[1]NS Vendor Details'!$N:$N,"Direct Costs",'[1]NS Vendor Details'!$J:$J,0),IF(Q$15="Actual",SUMIFS('[1]NS Vendor Details'!$D:$D,'[1]NS Vendor Details'!$H:$H,'G&amp;A Vendor x GL Analysis'!Q$20,'[1]NS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Analysis'!Q$20,'[1]NS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-9958.9199999999983</v>
      </c>
      <c r="R97" s="18">
        <f>IF(AND(R$15="Actual",ISBLANK($E$8)),SUMIFS('[1]NS Vendor Details'!$D:$D,'[1]NS Vendor Details'!$H:$H,'G&amp;A Vendor x GL Analysis'!R$20,'[1]NS Vendor Details'!$L:$L,'G&amp;A Vendor x GL Analysis'!$D97,'[1]NS Vendor Details'!$O:$O,'G&amp;A Vendor x GL Analysis'!$F97,'[1]NS Vendor Details'!$N:$N,'G&amp;A Vendor x GL Analysis'!$C97)+SUMIFS('[1]NS Vendor Details'!$D:$D,'[1]NS Vendor Details'!$H:$H,'G&amp;A Vendor x GL Analysis'!R$20,'[1]NS Vendor Details'!$L:$L,'G&amp;A Vendor x GL Analysis'!$D97,'[1]NS Vendor Details'!$O:$O,'G&amp;A Vendor x GL Analysis'!$F97,'[1]NS Vendor Details'!$N:$N,"Direct Costs",'[1]NS Vendor Details'!$J:$J,0),IF(R$15="Actual",SUMIFS('[1]NS Vendor Details'!$D:$D,'[1]NS Vendor Details'!$H:$H,'G&amp;A Vendor x GL Analysis'!R$20,'[1]NS Vendor Details'!$L:$L,'G&amp;A Vendor x GL Analysis'!$D97,'[1]NS Vendor Details'!$O:$O,'G&amp;A Vendor x GL Analysis'!$F97,'[1]NS Vendor Details'!$N:$N,'G&amp;A Vendor x GL Analysis'!$C97,'[1]NS Vendor Details'!$K:$K,'G&amp;A Vendor x GL Analysis'!$E$8)+SUMIFS('[1]NS Vendor Details'!$D:$D,'[1]NS Vendor Details'!$H:$H,'G&amp;A Vendor x GL Analysis'!R$20,'[1]NS Vendor Details'!$L:$L,'G&amp;A Vendor x GL Analysis'!$D97,'[1]NS Vendor Details'!$O:$O,'G&amp;A Vendor x GL Analysis'!$F97,'[1]NS Vendor Details'!$N:$N,"Direct Costs",'[1]NS Vendor Details'!$J:$J,0,'[1]NS Vendor Details'!$K:$K,'G&amp;A Vendor x GL Analysis'!$E$8),0))</f>
        <v>71148.460000000021</v>
      </c>
      <c r="S97" s="16">
        <f>IF(AND(S$15="Actual",ISBLANK($E$8)),SUMIFS('[1]NS Vendor Details'!$D:$D,'[1]NS Vendor Details'!$H:$H,'G&amp;A Vendor x GL Analysis'!S$20,'[1]NS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Analysis'!S$20,'[1]NS Vendor Details'!$L:$L,'G&amp;A Vendor x GL Analysis'!$D97,'[1]NS Vendor Details'!$O:$O,'G&amp;A Vendor x GL Analysis'!$F97,'[1]NS Vendor Details'!$N:$N,"Direct Costs",'[1]NS Vendor Details'!$J:$J,0,'[1]NS Vendor Details'!$I:$I,'G&amp;A Vendor x GL Analysis'!$E97),IF(S$15="Actual",SUMIFS('[1]NS Vendor Details'!$D:$D,'[1]NS Vendor Details'!$H:$H,'G&amp;A Vendor x GL Analysis'!S$20,'[1]NS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Analysis'!S$20,'[1]NS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-500</v>
      </c>
      <c r="T97" s="17">
        <f>IF(AND(T$15="Actual",ISBLANK($E$8)),SUMIFS('[1]NS Vendor Details'!$D:$D,'[1]NS Vendor Details'!$H:$H,'G&amp;A Vendor x GL Analysis'!T$20,'[1]NS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Analysis'!T$20,'[1]NS Vendor Details'!$L:$L,'G&amp;A Vendor x GL Analysis'!$D97,'[1]NS Vendor Details'!$O:$O,'G&amp;A Vendor x GL Analysis'!$F97,'[1]NS Vendor Details'!$N:$N,"Direct Costs",'[1]NS Vendor Details'!$J:$J,0,'[1]NS Vendor Details'!$I:$I,'G&amp;A Vendor x GL Analysis'!$E97),IF(T$15="Actual",SUMIFS('[1]NS Vendor Details'!$D:$D,'[1]NS Vendor Details'!$H:$H,'G&amp;A Vendor x GL Analysis'!T$20,'[1]NS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Analysis'!T$20,'[1]NS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-500</v>
      </c>
      <c r="U97" s="17">
        <f>IF(AND(U$15="Actual",ISBLANK($E$8)),SUMIFS('[1]NS Vendor Details'!$D:$D,'[1]NS Vendor Details'!$H:$H,'G&amp;A Vendor x GL Analysis'!U$20,'[1]NS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Analysis'!U$20,'[1]NS Vendor Details'!$L:$L,'G&amp;A Vendor x GL Analysis'!$D97,'[1]NS Vendor Details'!$O:$O,'G&amp;A Vendor x GL Analysis'!$F97,'[1]NS Vendor Details'!$N:$N,"Direct Costs",'[1]NS Vendor Details'!$J:$J,0,'[1]NS Vendor Details'!$I:$I,'G&amp;A Vendor x GL Analysis'!$E97),IF(U$15="Actual",SUMIFS('[1]NS Vendor Details'!$D:$D,'[1]NS Vendor Details'!$H:$H,'G&amp;A Vendor x GL Analysis'!U$20,'[1]NS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Analysis'!U$20,'[1]NS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-68000</v>
      </c>
      <c r="V97" s="17">
        <f>IF(AND(V$15="Actual",ISBLANK($E$8)),SUMIFS('[1]NS Vendor Details'!$D:$D,'[1]NS Vendor Details'!$H:$H,'G&amp;A Vendor x GL Analysis'!V$20,'[1]NS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Analysis'!V$20,'[1]NS Vendor Details'!$L:$L,'G&amp;A Vendor x GL Analysis'!$D97,'[1]NS Vendor Details'!$O:$O,'G&amp;A Vendor x GL Analysis'!$F97,'[1]NS Vendor Details'!$N:$N,"Direct Costs",'[1]NS Vendor Details'!$J:$J,0,'[1]NS Vendor Details'!$I:$I,'G&amp;A Vendor x GL Analysis'!$E97),IF(V$15="Actual",SUMIFS('[1]NS Vendor Details'!$D:$D,'[1]NS Vendor Details'!$H:$H,'G&amp;A Vendor x GL Analysis'!V$20,'[1]NS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Analysis'!V$20,'[1]NS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0</v>
      </c>
      <c r="W97" s="17">
        <f>IF(AND(W$15="Actual",ISBLANK($E$8)),SUMIFS('[1]NS Vendor Details'!$D:$D,'[1]NS Vendor Details'!$H:$H,'G&amp;A Vendor x GL Analysis'!W$20,'[1]NS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Analysis'!W$20,'[1]NS Vendor Details'!$L:$L,'G&amp;A Vendor x GL Analysis'!$D97,'[1]NS Vendor Details'!$O:$O,'G&amp;A Vendor x GL Analysis'!$F97,'[1]NS Vendor Details'!$N:$N,"Direct Costs",'[1]NS Vendor Details'!$J:$J,0,'[1]NS Vendor Details'!$I:$I,'G&amp;A Vendor x GL Analysis'!$E97),IF(W$15="Actual",SUMIFS('[1]NS Vendor Details'!$D:$D,'[1]NS Vendor Details'!$H:$H,'G&amp;A Vendor x GL Analysis'!W$20,'[1]NS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Analysis'!W$20,'[1]NS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-734.29</v>
      </c>
      <c r="X97" s="17">
        <f>IF(AND(X$15="Actual",ISBLANK($E$8)),SUMIFS('[1]NS Vendor Details'!$D:$D,'[1]NS Vendor Details'!$H:$H,'G&amp;A Vendor x GL Analysis'!X$20,'[1]NS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Analysis'!X$20,'[1]NS Vendor Details'!$L:$L,'G&amp;A Vendor x GL Analysis'!$D97,'[1]NS Vendor Details'!$O:$O,'G&amp;A Vendor x GL Analysis'!$F97,'[1]NS Vendor Details'!$N:$N,"Direct Costs",'[1]NS Vendor Details'!$J:$J,0,'[1]NS Vendor Details'!$I:$I,'G&amp;A Vendor x GL Analysis'!$E97),IF(X$15="Actual",SUMIFS('[1]NS Vendor Details'!$D:$D,'[1]NS Vendor Details'!$H:$H,'G&amp;A Vendor x GL Analysis'!X$20,'[1]NS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Analysis'!X$20,'[1]NS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0</v>
      </c>
      <c r="Y97" s="17">
        <f>IF(AND(Y$15="Actual",ISBLANK($E$8)),SUMIFS('[1]NS Vendor Details'!$D:$D,'[1]NS Vendor Details'!$H:$H,'G&amp;A Vendor x GL Analysis'!Y$20,'[1]NS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Analysis'!Y$20,'[1]NS Vendor Details'!$L:$L,'G&amp;A Vendor x GL Analysis'!$D97,'[1]NS Vendor Details'!$O:$O,'G&amp;A Vendor x GL Analysis'!$F97,'[1]NS Vendor Details'!$N:$N,"Direct Costs",'[1]NS Vendor Details'!$J:$J,0,'[1]NS Vendor Details'!$I:$I,'G&amp;A Vendor x GL Analysis'!$E97),IF(Y$15="Actual",SUMIFS('[1]NS Vendor Details'!$D:$D,'[1]NS Vendor Details'!$H:$H,'G&amp;A Vendor x GL Analysis'!Y$20,'[1]NS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Analysis'!Y$20,'[1]NS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0</v>
      </c>
      <c r="Z97" s="17">
        <f>IF(AND(Z$15="Actual",ISBLANK($E$8)),SUMIFS('[1]NS Vendor Details'!$D:$D,'[1]NS Vendor Details'!$H:$H,'G&amp;A Vendor x GL Analysis'!Z$20,'[1]NS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Analysis'!Z$20,'[1]NS Vendor Details'!$L:$L,'G&amp;A Vendor x GL Analysis'!$D97,'[1]NS Vendor Details'!$O:$O,'G&amp;A Vendor x GL Analysis'!$F97,'[1]NS Vendor Details'!$N:$N,"Direct Costs",'[1]NS Vendor Details'!$J:$J,0,'[1]NS Vendor Details'!$I:$I,'G&amp;A Vendor x GL Analysis'!$E97),IF(Z$15="Actual",SUMIFS('[1]NS Vendor Details'!$D:$D,'[1]NS Vendor Details'!$H:$H,'G&amp;A Vendor x GL Analysis'!Z$20,'[1]NS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Analysis'!Z$20,'[1]NS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1000</v>
      </c>
      <c r="AA97" s="17">
        <f>IF(AND(AA$15="Actual",ISBLANK($E$8)),SUMIFS('[1]NS Vendor Details'!$D:$D,'[1]NS Vendor Details'!$H:$H,'G&amp;A Vendor x GL Analysis'!AA$20,'[1]NS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Analysis'!AA$20,'[1]NS Vendor Details'!$L:$L,'G&amp;A Vendor x GL Analysis'!$D97,'[1]NS Vendor Details'!$O:$O,'G&amp;A Vendor x GL Analysis'!$F97,'[1]NS Vendor Details'!$N:$N,"Direct Costs",'[1]NS Vendor Details'!$J:$J,0,'[1]NS Vendor Details'!$I:$I,'G&amp;A Vendor x GL Analysis'!$E97),IF(AA$15="Actual",SUMIFS('[1]NS Vendor Details'!$D:$D,'[1]NS Vendor Details'!$H:$H,'G&amp;A Vendor x GL Analysis'!AA$20,'[1]NS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Analysis'!AA$20,'[1]NS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0</v>
      </c>
      <c r="AB97" s="17">
        <f>IF(AND(AB$15="Actual",ISBLANK($E$8)),SUMIFS('[1]NS Vendor Details'!$D:$D,'[1]NS Vendor Details'!$H:$H,'G&amp;A Vendor x GL Analysis'!AB$20,'[1]NS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Analysis'!AB$20,'[1]NS Vendor Details'!$L:$L,'G&amp;A Vendor x GL Analysis'!$D97,'[1]NS Vendor Details'!$O:$O,'G&amp;A Vendor x GL Analysis'!$F97,'[1]NS Vendor Details'!$N:$N,"Direct Costs",'[1]NS Vendor Details'!$J:$J,0,'[1]NS Vendor Details'!$I:$I,'G&amp;A Vendor x GL Analysis'!$E97),IF(AB$15="Actual",SUMIFS('[1]NS Vendor Details'!$D:$D,'[1]NS Vendor Details'!$H:$H,'G&amp;A Vendor x GL Analysis'!AB$20,'[1]NS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Analysis'!AB$20,'[1]NS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0</v>
      </c>
      <c r="AC97" s="18">
        <f>IF(AND(AC$15="Actual",ISBLANK($E$8)),SUMIFS('[1]NS Vendor Details'!$D:$D,'[1]NS Vendor Details'!$H:$H,'G&amp;A Vendor x GL Analysis'!AC$20,'[1]NS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Analysis'!AC$20,'[1]NS Vendor Details'!$L:$L,'G&amp;A Vendor x GL Analysis'!$D97,'[1]NS Vendor Details'!$O:$O,'G&amp;A Vendor x GL Analysis'!$F97,'[1]NS Vendor Details'!$N:$N,"Direct Costs",'[1]NS Vendor Details'!$J:$J,0,'[1]NS Vendor Details'!$I:$I,'G&amp;A Vendor x GL Analysis'!$E97),IF(AC$15="Actual",SUMIFS('[1]NS Vendor Details'!$D:$D,'[1]NS Vendor Details'!$H:$H,'G&amp;A Vendor x GL Analysis'!AC$20,'[1]NS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Analysis'!AC$20,'[1]NS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0</v>
      </c>
      <c r="AD97" s="18">
        <f>IF(AND(AD$15="Actual",ISBLANK($E$8)),SUMIFS('[1]NS Vendor Details'!$D:$D,'[1]NS Vendor Details'!$H:$H,'G&amp;A Vendor x GL Analysis'!AD$20,'[1]NS Vendor Details'!$L:$L,'G&amp;A Vendor x GL Analysis'!$D97,'[1]NS Vendor Details'!$O:$O,'G&amp;A Vendor x GL Analysis'!$F97,'[1]NS Vendor Details'!$N:$N,'G&amp;A Vendor x GL Analysis'!$C97,'[1]NS Vendor Details'!$I:$I,'G&amp;A Vendor x GL Analysis'!$E97)+SUMIFS('[1]NS Vendor Details'!$D:$D,'[1]NS Vendor Details'!$H:$H,'G&amp;A Vendor x GL Analysis'!AD$20,'[1]NS Vendor Details'!$L:$L,'G&amp;A Vendor x GL Analysis'!$D97,'[1]NS Vendor Details'!$O:$O,'G&amp;A Vendor x GL Analysis'!$F97,'[1]NS Vendor Details'!$N:$N,"Direct Costs",'[1]NS Vendor Details'!$J:$J,0,'[1]NS Vendor Details'!$I:$I,'G&amp;A Vendor x GL Analysis'!$E97),IF(AD$15="Actual",SUMIFS('[1]NS Vendor Details'!$D:$D,'[1]NS Vendor Details'!$H:$H,'G&amp;A Vendor x GL Analysis'!AD$20,'[1]NS Vendor Details'!$L:$L,'G&amp;A Vendor x GL Analysis'!$D97,'[1]NS Vendor Details'!$O:$O,'G&amp;A Vendor x GL Analysis'!$F97,'[1]NS Vendor Details'!$N:$N,'G&amp;A Vendor x GL Analysis'!$C97,'[1]NS Vendor Details'!$K:$K,'G&amp;A Vendor x GL Analysis'!$E$8,'[1]NS Vendor Details'!$I:$I,'G&amp;A Vendor x GL Analysis'!$E97)+SUMIFS('[1]NS Vendor Details'!$D:$D,'[1]NS Vendor Details'!$H:$H,'G&amp;A Vendor x GL Analysis'!AD$20,'[1]NS Vendor Details'!$L:$L,'G&amp;A Vendor x GL Analysis'!$D97,'[1]NS Vendor Details'!$O:$O,'G&amp;A Vendor x GL Analysis'!$F97,'[1]NS Vendor Details'!$N:$N,"Direct Costs",'[1]NS Vendor Details'!$J:$J,0,'[1]NS Vendor Details'!$K:$K,'G&amp;A Vendor x GL Analysis'!$E$8,'[1]NS Vendor Details'!$I:$I,'G&amp;A Vendor x GL Analysis'!$E97),0))</f>
        <v>0</v>
      </c>
      <c r="AF97" s="19">
        <f t="shared" si="9"/>
        <v>70734.289999999994</v>
      </c>
    </row>
    <row r="98" spans="1:32" outlineLevel="1">
      <c r="A98" s="8" t="str">
        <f t="shared" si="22"/>
        <v>Professional Service6380 - Legal &amp; Accounting</v>
      </c>
      <c r="C98" s="8" t="s">
        <v>11</v>
      </c>
      <c r="D98" s="8" t="str">
        <f t="shared" si="21"/>
        <v>Professional Service</v>
      </c>
      <c r="E98" s="2" t="s">
        <v>90</v>
      </c>
      <c r="F98" s="2" t="s">
        <v>91</v>
      </c>
      <c r="G98" s="16">
        <f>IF(AND(G$15="Actual",ISBLANK($E$8)),SUMIFS('[1]NS Vendor Details'!$D:$D,'[1]NS Vendor Details'!$H:$H,'G&amp;A Vendor x GL Analysis'!G$20,'[1]NS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Analysis'!G$20,'[1]NS Vendor Details'!$L:$L,'G&amp;A Vendor x GL Analysis'!$D98,'[1]NS Vendor Details'!$O:$O,'G&amp;A Vendor x GL Analysis'!$F98,'[1]NS Vendor Details'!$N:$N,"Direct Costs",'[1]NS Vendor Details'!$J:$J,0),IF(G$15="Actual",SUMIFS('[1]NS Vendor Details'!$D:$D,'[1]NS Vendor Details'!$H:$H,'G&amp;A Vendor x GL Analysis'!G$20,'[1]NS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Analysis'!G$20,'[1]NS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H98" s="17">
        <f>IF(AND(H$15="Actual",ISBLANK($E$8)),SUMIFS('[1]NS Vendor Details'!$D:$D,'[1]NS Vendor Details'!$H:$H,'G&amp;A Vendor x GL Analysis'!H$20,'[1]NS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Analysis'!H$20,'[1]NS Vendor Details'!$L:$L,'G&amp;A Vendor x GL Analysis'!$D98,'[1]NS Vendor Details'!$O:$O,'G&amp;A Vendor x GL Analysis'!$F98,'[1]NS Vendor Details'!$N:$N,"Direct Costs",'[1]NS Vendor Details'!$J:$J,0),IF(H$15="Actual",SUMIFS('[1]NS Vendor Details'!$D:$D,'[1]NS Vendor Details'!$H:$H,'G&amp;A Vendor x GL Analysis'!H$20,'[1]NS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Analysis'!H$20,'[1]NS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I98" s="17">
        <f>IF(AND(I$15="Actual",ISBLANK($E$8)),SUMIFS('[1]NS Vendor Details'!$D:$D,'[1]NS Vendor Details'!$H:$H,'G&amp;A Vendor x GL Analysis'!I$20,'[1]NS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Analysis'!I$20,'[1]NS Vendor Details'!$L:$L,'G&amp;A Vendor x GL Analysis'!$D98,'[1]NS Vendor Details'!$O:$O,'G&amp;A Vendor x GL Analysis'!$F98,'[1]NS Vendor Details'!$N:$N,"Direct Costs",'[1]NS Vendor Details'!$J:$J,0),IF(I$15="Actual",SUMIFS('[1]NS Vendor Details'!$D:$D,'[1]NS Vendor Details'!$H:$H,'G&amp;A Vendor x GL Analysis'!I$20,'[1]NS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Analysis'!I$20,'[1]NS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J98" s="17">
        <f>IF(AND(J$15="Actual",ISBLANK($E$8)),SUMIFS('[1]NS Vendor Details'!$D:$D,'[1]NS Vendor Details'!$H:$H,'G&amp;A Vendor x GL Analysis'!J$20,'[1]NS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Analysis'!J$20,'[1]NS Vendor Details'!$L:$L,'G&amp;A Vendor x GL Analysis'!$D98,'[1]NS Vendor Details'!$O:$O,'G&amp;A Vendor x GL Analysis'!$F98,'[1]NS Vendor Details'!$N:$N,"Direct Costs",'[1]NS Vendor Details'!$J:$J,0),IF(J$15="Actual",SUMIFS('[1]NS Vendor Details'!$D:$D,'[1]NS Vendor Details'!$H:$H,'G&amp;A Vendor x GL Analysis'!J$20,'[1]NS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Analysis'!J$20,'[1]NS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K98" s="17">
        <f>IF(AND(K$15="Actual",ISBLANK($E$8)),SUMIFS('[1]NS Vendor Details'!$D:$D,'[1]NS Vendor Details'!$H:$H,'G&amp;A Vendor x GL Analysis'!K$20,'[1]NS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Analysis'!K$20,'[1]NS Vendor Details'!$L:$L,'G&amp;A Vendor x GL Analysis'!$D98,'[1]NS Vendor Details'!$O:$O,'G&amp;A Vendor x GL Analysis'!$F98,'[1]NS Vendor Details'!$N:$N,"Direct Costs",'[1]NS Vendor Details'!$J:$J,0),IF(K$15="Actual",SUMIFS('[1]NS Vendor Details'!$D:$D,'[1]NS Vendor Details'!$H:$H,'G&amp;A Vendor x GL Analysis'!K$20,'[1]NS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Analysis'!K$20,'[1]NS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L98" s="17">
        <f>IF(AND(L$15="Actual",ISBLANK($E$8)),SUMIFS('[1]NS Vendor Details'!$D:$D,'[1]NS Vendor Details'!$H:$H,'G&amp;A Vendor x GL Analysis'!L$20,'[1]NS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Analysis'!L$20,'[1]NS Vendor Details'!$L:$L,'G&amp;A Vendor x GL Analysis'!$D98,'[1]NS Vendor Details'!$O:$O,'G&amp;A Vendor x GL Analysis'!$F98,'[1]NS Vendor Details'!$N:$N,"Direct Costs",'[1]NS Vendor Details'!$J:$J,0),IF(L$15="Actual",SUMIFS('[1]NS Vendor Details'!$D:$D,'[1]NS Vendor Details'!$H:$H,'G&amp;A Vendor x GL Analysis'!L$20,'[1]NS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Analysis'!L$20,'[1]NS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M98" s="17">
        <f>IF(AND(M$15="Actual",ISBLANK($E$8)),SUMIFS('[1]NS Vendor Details'!$D:$D,'[1]NS Vendor Details'!$H:$H,'G&amp;A Vendor x GL Analysis'!M$20,'[1]NS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Analysis'!M$20,'[1]NS Vendor Details'!$L:$L,'G&amp;A Vendor x GL Analysis'!$D98,'[1]NS Vendor Details'!$O:$O,'G&amp;A Vendor x GL Analysis'!$F98,'[1]NS Vendor Details'!$N:$N,"Direct Costs",'[1]NS Vendor Details'!$J:$J,0),IF(M$15="Actual",SUMIFS('[1]NS Vendor Details'!$D:$D,'[1]NS Vendor Details'!$H:$H,'G&amp;A Vendor x GL Analysis'!M$20,'[1]NS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Analysis'!M$20,'[1]NS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N98" s="17">
        <f>IF(AND(N$15="Actual",ISBLANK($E$8)),SUMIFS('[1]NS Vendor Details'!$D:$D,'[1]NS Vendor Details'!$H:$H,'G&amp;A Vendor x GL Analysis'!N$20,'[1]NS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Analysis'!N$20,'[1]NS Vendor Details'!$L:$L,'G&amp;A Vendor x GL Analysis'!$D98,'[1]NS Vendor Details'!$O:$O,'G&amp;A Vendor x GL Analysis'!$F98,'[1]NS Vendor Details'!$N:$N,"Direct Costs",'[1]NS Vendor Details'!$J:$J,0),IF(N$15="Actual",SUMIFS('[1]NS Vendor Details'!$D:$D,'[1]NS Vendor Details'!$H:$H,'G&amp;A Vendor x GL Analysis'!N$20,'[1]NS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Analysis'!N$20,'[1]NS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O98" s="17">
        <f>IF(AND(O$15="Actual",ISBLANK($E$8)),SUMIFS('[1]NS Vendor Details'!$D:$D,'[1]NS Vendor Details'!$H:$H,'G&amp;A Vendor x GL Analysis'!O$20,'[1]NS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Analysis'!O$20,'[1]NS Vendor Details'!$L:$L,'G&amp;A Vendor x GL Analysis'!$D98,'[1]NS Vendor Details'!$O:$O,'G&amp;A Vendor x GL Analysis'!$F98,'[1]NS Vendor Details'!$N:$N,"Direct Costs",'[1]NS Vendor Details'!$J:$J,0),IF(O$15="Actual",SUMIFS('[1]NS Vendor Details'!$D:$D,'[1]NS Vendor Details'!$H:$H,'G&amp;A Vendor x GL Analysis'!O$20,'[1]NS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Analysis'!O$20,'[1]NS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P98" s="17">
        <f>IF(AND(P$15="Actual",ISBLANK($E$8)),SUMIFS('[1]NS Vendor Details'!$D:$D,'[1]NS Vendor Details'!$H:$H,'G&amp;A Vendor x GL Analysis'!P$20,'[1]NS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Analysis'!P$20,'[1]NS Vendor Details'!$L:$L,'G&amp;A Vendor x GL Analysis'!$D98,'[1]NS Vendor Details'!$O:$O,'G&amp;A Vendor x GL Analysis'!$F98,'[1]NS Vendor Details'!$N:$N,"Direct Costs",'[1]NS Vendor Details'!$J:$J,0),IF(P$15="Actual",SUMIFS('[1]NS Vendor Details'!$D:$D,'[1]NS Vendor Details'!$H:$H,'G&amp;A Vendor x GL Analysis'!P$20,'[1]NS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Analysis'!P$20,'[1]NS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Q98" s="17">
        <f>IF(AND(Q$15="Actual",ISBLANK($E$8)),SUMIFS('[1]NS Vendor Details'!$D:$D,'[1]NS Vendor Details'!$H:$H,'G&amp;A Vendor x GL Analysis'!Q$20,'[1]NS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Analysis'!Q$20,'[1]NS Vendor Details'!$L:$L,'G&amp;A Vendor x GL Analysis'!$D98,'[1]NS Vendor Details'!$O:$O,'G&amp;A Vendor x GL Analysis'!$F98,'[1]NS Vendor Details'!$N:$N,"Direct Costs",'[1]NS Vendor Details'!$J:$J,0),IF(Q$15="Actual",SUMIFS('[1]NS Vendor Details'!$D:$D,'[1]NS Vendor Details'!$H:$H,'G&amp;A Vendor x GL Analysis'!Q$20,'[1]NS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Analysis'!Q$20,'[1]NS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R98" s="18">
        <f>IF(AND(R$15="Actual",ISBLANK($E$8)),SUMIFS('[1]NS Vendor Details'!$D:$D,'[1]NS Vendor Details'!$H:$H,'G&amp;A Vendor x GL Analysis'!R$20,'[1]NS Vendor Details'!$L:$L,'G&amp;A Vendor x GL Analysis'!$D98,'[1]NS Vendor Details'!$O:$O,'G&amp;A Vendor x GL Analysis'!$F98,'[1]NS Vendor Details'!$N:$N,'G&amp;A Vendor x GL Analysis'!$C98)+SUMIFS('[1]NS Vendor Details'!$D:$D,'[1]NS Vendor Details'!$H:$H,'G&amp;A Vendor x GL Analysis'!R$20,'[1]NS Vendor Details'!$L:$L,'G&amp;A Vendor x GL Analysis'!$D98,'[1]NS Vendor Details'!$O:$O,'G&amp;A Vendor x GL Analysis'!$F98,'[1]NS Vendor Details'!$N:$N,"Direct Costs",'[1]NS Vendor Details'!$J:$J,0),IF(R$15="Actual",SUMIFS('[1]NS Vendor Details'!$D:$D,'[1]NS Vendor Details'!$H:$H,'G&amp;A Vendor x GL Analysis'!R$20,'[1]NS Vendor Details'!$L:$L,'G&amp;A Vendor x GL Analysis'!$D98,'[1]NS Vendor Details'!$O:$O,'G&amp;A Vendor x GL Analysis'!$F98,'[1]NS Vendor Details'!$N:$N,'G&amp;A Vendor x GL Analysis'!$C98,'[1]NS Vendor Details'!$K:$K,'G&amp;A Vendor x GL Analysis'!$E$8)+SUMIFS('[1]NS Vendor Details'!$D:$D,'[1]NS Vendor Details'!$H:$H,'G&amp;A Vendor x GL Analysis'!R$20,'[1]NS Vendor Details'!$L:$L,'G&amp;A Vendor x GL Analysis'!$D98,'[1]NS Vendor Details'!$O:$O,'G&amp;A Vendor x GL Analysis'!$F98,'[1]NS Vendor Details'!$N:$N,"Direct Costs",'[1]NS Vendor Details'!$J:$J,0,'[1]NS Vendor Details'!$K:$K,'G&amp;A Vendor x GL Analysis'!$E$8),0))</f>
        <v>0</v>
      </c>
      <c r="S98" s="16">
        <f>IF(AND(S$15="Actual",ISBLANK($E$8)),SUMIFS('[1]NS Vendor Details'!$D:$D,'[1]NS Vendor Details'!$H:$H,'G&amp;A Vendor x GL Analysis'!S$20,'[1]NS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Analysis'!S$20,'[1]NS Vendor Details'!$L:$L,'G&amp;A Vendor x GL Analysis'!$D98,'[1]NS Vendor Details'!$O:$O,'G&amp;A Vendor x GL Analysis'!$F98,'[1]NS Vendor Details'!$N:$N,"Direct Costs",'[1]NS Vendor Details'!$J:$J,0,'[1]NS Vendor Details'!$I:$I,'G&amp;A Vendor x GL Analysis'!$E98),IF(S$15="Actual",SUMIFS('[1]NS Vendor Details'!$D:$D,'[1]NS Vendor Details'!$H:$H,'G&amp;A Vendor x GL Analysis'!S$20,'[1]NS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Analysis'!S$20,'[1]NS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0</v>
      </c>
      <c r="T98" s="17">
        <f>IF(AND(T$15="Actual",ISBLANK($E$8)),SUMIFS('[1]NS Vendor Details'!$D:$D,'[1]NS Vendor Details'!$H:$H,'G&amp;A Vendor x GL Analysis'!T$20,'[1]NS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Analysis'!T$20,'[1]NS Vendor Details'!$L:$L,'G&amp;A Vendor x GL Analysis'!$D98,'[1]NS Vendor Details'!$O:$O,'G&amp;A Vendor x GL Analysis'!$F98,'[1]NS Vendor Details'!$N:$N,"Direct Costs",'[1]NS Vendor Details'!$J:$J,0,'[1]NS Vendor Details'!$I:$I,'G&amp;A Vendor x GL Analysis'!$E98),IF(T$15="Actual",SUMIFS('[1]NS Vendor Details'!$D:$D,'[1]NS Vendor Details'!$H:$H,'G&amp;A Vendor x GL Analysis'!T$20,'[1]NS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Analysis'!T$20,'[1]NS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0</v>
      </c>
      <c r="U98" s="17">
        <f>IF(AND(U$15="Actual",ISBLANK($E$8)),SUMIFS('[1]NS Vendor Details'!$D:$D,'[1]NS Vendor Details'!$H:$H,'G&amp;A Vendor x GL Analysis'!U$20,'[1]NS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Analysis'!U$20,'[1]NS Vendor Details'!$L:$L,'G&amp;A Vendor x GL Analysis'!$D98,'[1]NS Vendor Details'!$O:$O,'G&amp;A Vendor x GL Analysis'!$F98,'[1]NS Vendor Details'!$N:$N,"Direct Costs",'[1]NS Vendor Details'!$J:$J,0,'[1]NS Vendor Details'!$I:$I,'G&amp;A Vendor x GL Analysis'!$E98),IF(U$15="Actual",SUMIFS('[1]NS Vendor Details'!$D:$D,'[1]NS Vendor Details'!$H:$H,'G&amp;A Vendor x GL Analysis'!U$20,'[1]NS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Analysis'!U$20,'[1]NS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0</v>
      </c>
      <c r="V98" s="17">
        <f>IF(AND(V$15="Actual",ISBLANK($E$8)),SUMIFS('[1]NS Vendor Details'!$D:$D,'[1]NS Vendor Details'!$H:$H,'G&amp;A Vendor x GL Analysis'!V$20,'[1]NS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Analysis'!V$20,'[1]NS Vendor Details'!$L:$L,'G&amp;A Vendor x GL Analysis'!$D98,'[1]NS Vendor Details'!$O:$O,'G&amp;A Vendor x GL Analysis'!$F98,'[1]NS Vendor Details'!$N:$N,"Direct Costs",'[1]NS Vendor Details'!$J:$J,0,'[1]NS Vendor Details'!$I:$I,'G&amp;A Vendor x GL Analysis'!$E98),IF(V$15="Actual",SUMIFS('[1]NS Vendor Details'!$D:$D,'[1]NS Vendor Details'!$H:$H,'G&amp;A Vendor x GL Analysis'!V$20,'[1]NS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Analysis'!V$20,'[1]NS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5380.51</v>
      </c>
      <c r="W98" s="17">
        <f>IF(AND(W$15="Actual",ISBLANK($E$8)),SUMIFS('[1]NS Vendor Details'!$D:$D,'[1]NS Vendor Details'!$H:$H,'G&amp;A Vendor x GL Analysis'!W$20,'[1]NS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Analysis'!W$20,'[1]NS Vendor Details'!$L:$L,'G&amp;A Vendor x GL Analysis'!$D98,'[1]NS Vendor Details'!$O:$O,'G&amp;A Vendor x GL Analysis'!$F98,'[1]NS Vendor Details'!$N:$N,"Direct Costs",'[1]NS Vendor Details'!$J:$J,0,'[1]NS Vendor Details'!$I:$I,'G&amp;A Vendor x GL Analysis'!$E98),IF(W$15="Actual",SUMIFS('[1]NS Vendor Details'!$D:$D,'[1]NS Vendor Details'!$H:$H,'G&amp;A Vendor x GL Analysis'!W$20,'[1]NS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Analysis'!W$20,'[1]NS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0</v>
      </c>
      <c r="X98" s="17">
        <f>IF(AND(X$15="Actual",ISBLANK($E$8)),SUMIFS('[1]NS Vendor Details'!$D:$D,'[1]NS Vendor Details'!$H:$H,'G&amp;A Vendor x GL Analysis'!X$20,'[1]NS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Analysis'!X$20,'[1]NS Vendor Details'!$L:$L,'G&amp;A Vendor x GL Analysis'!$D98,'[1]NS Vendor Details'!$O:$O,'G&amp;A Vendor x GL Analysis'!$F98,'[1]NS Vendor Details'!$N:$N,"Direct Costs",'[1]NS Vendor Details'!$J:$J,0,'[1]NS Vendor Details'!$I:$I,'G&amp;A Vendor x GL Analysis'!$E98),IF(X$15="Actual",SUMIFS('[1]NS Vendor Details'!$D:$D,'[1]NS Vendor Details'!$H:$H,'G&amp;A Vendor x GL Analysis'!X$20,'[1]NS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Analysis'!X$20,'[1]NS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9350.32</v>
      </c>
      <c r="Y98" s="17">
        <f>IF(AND(Y$15="Actual",ISBLANK($E$8)),SUMIFS('[1]NS Vendor Details'!$D:$D,'[1]NS Vendor Details'!$H:$H,'G&amp;A Vendor x GL Analysis'!Y$20,'[1]NS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Analysis'!Y$20,'[1]NS Vendor Details'!$L:$L,'G&amp;A Vendor x GL Analysis'!$D98,'[1]NS Vendor Details'!$O:$O,'G&amp;A Vendor x GL Analysis'!$F98,'[1]NS Vendor Details'!$N:$N,"Direct Costs",'[1]NS Vendor Details'!$J:$J,0,'[1]NS Vendor Details'!$I:$I,'G&amp;A Vendor x GL Analysis'!$E98),IF(Y$15="Actual",SUMIFS('[1]NS Vendor Details'!$D:$D,'[1]NS Vendor Details'!$H:$H,'G&amp;A Vendor x GL Analysis'!Y$20,'[1]NS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Analysis'!Y$20,'[1]NS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15586.39</v>
      </c>
      <c r="Z98" s="17">
        <f>IF(AND(Z$15="Actual",ISBLANK($E$8)),SUMIFS('[1]NS Vendor Details'!$D:$D,'[1]NS Vendor Details'!$H:$H,'G&amp;A Vendor x GL Analysis'!Z$20,'[1]NS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Analysis'!Z$20,'[1]NS Vendor Details'!$L:$L,'G&amp;A Vendor x GL Analysis'!$D98,'[1]NS Vendor Details'!$O:$O,'G&amp;A Vendor x GL Analysis'!$F98,'[1]NS Vendor Details'!$N:$N,"Direct Costs",'[1]NS Vendor Details'!$J:$J,0,'[1]NS Vendor Details'!$I:$I,'G&amp;A Vendor x GL Analysis'!$E98),IF(Z$15="Actual",SUMIFS('[1]NS Vendor Details'!$D:$D,'[1]NS Vendor Details'!$H:$H,'G&amp;A Vendor x GL Analysis'!Z$20,'[1]NS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Analysis'!Z$20,'[1]NS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0</v>
      </c>
      <c r="AA98" s="17">
        <f>IF(AND(AA$15="Actual",ISBLANK($E$8)),SUMIFS('[1]NS Vendor Details'!$D:$D,'[1]NS Vendor Details'!$H:$H,'G&amp;A Vendor x GL Analysis'!AA$20,'[1]NS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Analysis'!AA$20,'[1]NS Vendor Details'!$L:$L,'G&amp;A Vendor x GL Analysis'!$D98,'[1]NS Vendor Details'!$O:$O,'G&amp;A Vendor x GL Analysis'!$F98,'[1]NS Vendor Details'!$N:$N,"Direct Costs",'[1]NS Vendor Details'!$J:$J,0,'[1]NS Vendor Details'!$I:$I,'G&amp;A Vendor x GL Analysis'!$E98),IF(AA$15="Actual",SUMIFS('[1]NS Vendor Details'!$D:$D,'[1]NS Vendor Details'!$H:$H,'G&amp;A Vendor x GL Analysis'!AA$20,'[1]NS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Analysis'!AA$20,'[1]NS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23145.289999999997</v>
      </c>
      <c r="AB98" s="17">
        <f>IF(AND(AB$15="Actual",ISBLANK($E$8)),SUMIFS('[1]NS Vendor Details'!$D:$D,'[1]NS Vendor Details'!$H:$H,'G&amp;A Vendor x GL Analysis'!AB$20,'[1]NS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Analysis'!AB$20,'[1]NS Vendor Details'!$L:$L,'G&amp;A Vendor x GL Analysis'!$D98,'[1]NS Vendor Details'!$O:$O,'G&amp;A Vendor x GL Analysis'!$F98,'[1]NS Vendor Details'!$N:$N,"Direct Costs",'[1]NS Vendor Details'!$J:$J,0,'[1]NS Vendor Details'!$I:$I,'G&amp;A Vendor x GL Analysis'!$E98),IF(AB$15="Actual",SUMIFS('[1]NS Vendor Details'!$D:$D,'[1]NS Vendor Details'!$H:$H,'G&amp;A Vendor x GL Analysis'!AB$20,'[1]NS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Analysis'!AB$20,'[1]NS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3870.62</v>
      </c>
      <c r="AC98" s="18">
        <f>IF(AND(AC$15="Actual",ISBLANK($E$8)),SUMIFS('[1]NS Vendor Details'!$D:$D,'[1]NS Vendor Details'!$H:$H,'G&amp;A Vendor x GL Analysis'!AC$20,'[1]NS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Analysis'!AC$20,'[1]NS Vendor Details'!$L:$L,'G&amp;A Vendor x GL Analysis'!$D98,'[1]NS Vendor Details'!$O:$O,'G&amp;A Vendor x GL Analysis'!$F98,'[1]NS Vendor Details'!$N:$N,"Direct Costs",'[1]NS Vendor Details'!$J:$J,0,'[1]NS Vendor Details'!$I:$I,'G&amp;A Vendor x GL Analysis'!$E98),IF(AC$15="Actual",SUMIFS('[1]NS Vendor Details'!$D:$D,'[1]NS Vendor Details'!$H:$H,'G&amp;A Vendor x GL Analysis'!AC$20,'[1]NS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Analysis'!AC$20,'[1]NS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0</v>
      </c>
      <c r="AD98" s="18">
        <f>IF(AND(AD$15="Actual",ISBLANK($E$8)),SUMIFS('[1]NS Vendor Details'!$D:$D,'[1]NS Vendor Details'!$H:$H,'G&amp;A Vendor x GL Analysis'!AD$20,'[1]NS Vendor Details'!$L:$L,'G&amp;A Vendor x GL Analysis'!$D98,'[1]NS Vendor Details'!$O:$O,'G&amp;A Vendor x GL Analysis'!$F98,'[1]NS Vendor Details'!$N:$N,'G&amp;A Vendor x GL Analysis'!$C98,'[1]NS Vendor Details'!$I:$I,'G&amp;A Vendor x GL Analysis'!$E98)+SUMIFS('[1]NS Vendor Details'!$D:$D,'[1]NS Vendor Details'!$H:$H,'G&amp;A Vendor x GL Analysis'!AD$20,'[1]NS Vendor Details'!$L:$L,'G&amp;A Vendor x GL Analysis'!$D98,'[1]NS Vendor Details'!$O:$O,'G&amp;A Vendor x GL Analysis'!$F98,'[1]NS Vendor Details'!$N:$N,"Direct Costs",'[1]NS Vendor Details'!$J:$J,0,'[1]NS Vendor Details'!$I:$I,'G&amp;A Vendor x GL Analysis'!$E98),IF(AD$15="Actual",SUMIFS('[1]NS Vendor Details'!$D:$D,'[1]NS Vendor Details'!$H:$H,'G&amp;A Vendor x GL Analysis'!AD$20,'[1]NS Vendor Details'!$L:$L,'G&amp;A Vendor x GL Analysis'!$D98,'[1]NS Vendor Details'!$O:$O,'G&amp;A Vendor x GL Analysis'!$F98,'[1]NS Vendor Details'!$N:$N,'G&amp;A Vendor x GL Analysis'!$C98,'[1]NS Vendor Details'!$K:$K,'G&amp;A Vendor x GL Analysis'!$E$8,'[1]NS Vendor Details'!$I:$I,'G&amp;A Vendor x GL Analysis'!$E98)+SUMIFS('[1]NS Vendor Details'!$D:$D,'[1]NS Vendor Details'!$H:$H,'G&amp;A Vendor x GL Analysis'!AD$20,'[1]NS Vendor Details'!$L:$L,'G&amp;A Vendor x GL Analysis'!$D98,'[1]NS Vendor Details'!$O:$O,'G&amp;A Vendor x GL Analysis'!$F98,'[1]NS Vendor Details'!$N:$N,"Direct Costs",'[1]NS Vendor Details'!$J:$J,0,'[1]NS Vendor Details'!$K:$K,'G&amp;A Vendor x GL Analysis'!$E$8,'[1]NS Vendor Details'!$I:$I,'G&amp;A Vendor x GL Analysis'!$E98),0))</f>
        <v>0</v>
      </c>
      <c r="AF98" s="19">
        <f t="shared" ref="AF98:AF172" si="23">ABS(S98)+ABS(T98)+ABS(U98)+ABS(V98)+ABS(W98)+ABS(X98)+ABS(Y98)+ABS(Z98)+ABS(AA98)+ABS(AB98)+ABS(AC98)+ABS(AD98)</f>
        <v>57333.13</v>
      </c>
    </row>
    <row r="99" spans="1:32" outlineLevel="1">
      <c r="A99" s="8" t="str">
        <f t="shared" si="22"/>
        <v>Professional Service6380 - Legal &amp; Accounting</v>
      </c>
      <c r="C99" s="8" t="s">
        <v>11</v>
      </c>
      <c r="D99" s="8" t="str">
        <f t="shared" si="21"/>
        <v>Professional Service</v>
      </c>
      <c r="E99" s="2" t="s">
        <v>90</v>
      </c>
      <c r="F99" s="2" t="s">
        <v>92</v>
      </c>
      <c r="G99" s="16">
        <f>IF(AND(G$15="Actual",ISBLANK($E$8)),SUMIFS('[1]NS Vendor Details'!$D:$D,'[1]NS Vendor Details'!$H:$H,'G&amp;A Vendor x GL Analysis'!G$20,'[1]NS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Analysis'!G$20,'[1]NS Vendor Details'!$L:$L,'G&amp;A Vendor x GL Analysis'!$D99,'[1]NS Vendor Details'!$O:$O,'G&amp;A Vendor x GL Analysis'!$F99,'[1]NS Vendor Details'!$N:$N,"Direct Costs",'[1]NS Vendor Details'!$J:$J,0),IF(G$15="Actual",SUMIFS('[1]NS Vendor Details'!$D:$D,'[1]NS Vendor Details'!$H:$H,'G&amp;A Vendor x GL Analysis'!G$20,'[1]NS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Analysis'!G$20,'[1]NS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0</v>
      </c>
      <c r="H99" s="17">
        <f>IF(AND(H$15="Actual",ISBLANK($E$8)),SUMIFS('[1]NS Vendor Details'!$D:$D,'[1]NS Vendor Details'!$H:$H,'G&amp;A Vendor x GL Analysis'!H$20,'[1]NS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Analysis'!H$20,'[1]NS Vendor Details'!$L:$L,'G&amp;A Vendor x GL Analysis'!$D99,'[1]NS Vendor Details'!$O:$O,'G&amp;A Vendor x GL Analysis'!$F99,'[1]NS Vendor Details'!$N:$N,"Direct Costs",'[1]NS Vendor Details'!$J:$J,0),IF(H$15="Actual",SUMIFS('[1]NS Vendor Details'!$D:$D,'[1]NS Vendor Details'!$H:$H,'G&amp;A Vendor x GL Analysis'!H$20,'[1]NS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Analysis'!H$20,'[1]NS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0</v>
      </c>
      <c r="I99" s="17">
        <f>IF(AND(I$15="Actual",ISBLANK($E$8)),SUMIFS('[1]NS Vendor Details'!$D:$D,'[1]NS Vendor Details'!$H:$H,'G&amp;A Vendor x GL Analysis'!I$20,'[1]NS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Analysis'!I$20,'[1]NS Vendor Details'!$L:$L,'G&amp;A Vendor x GL Analysis'!$D99,'[1]NS Vendor Details'!$O:$O,'G&amp;A Vendor x GL Analysis'!$F99,'[1]NS Vendor Details'!$N:$N,"Direct Costs",'[1]NS Vendor Details'!$J:$J,0),IF(I$15="Actual",SUMIFS('[1]NS Vendor Details'!$D:$D,'[1]NS Vendor Details'!$H:$H,'G&amp;A Vendor x GL Analysis'!I$20,'[1]NS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Analysis'!I$20,'[1]NS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8000</v>
      </c>
      <c r="J99" s="17">
        <f>IF(AND(J$15="Actual",ISBLANK($E$8)),SUMIFS('[1]NS Vendor Details'!$D:$D,'[1]NS Vendor Details'!$H:$H,'G&amp;A Vendor x GL Analysis'!J$20,'[1]NS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Analysis'!J$20,'[1]NS Vendor Details'!$L:$L,'G&amp;A Vendor x GL Analysis'!$D99,'[1]NS Vendor Details'!$O:$O,'G&amp;A Vendor x GL Analysis'!$F99,'[1]NS Vendor Details'!$N:$N,"Direct Costs",'[1]NS Vendor Details'!$J:$J,0),IF(J$15="Actual",SUMIFS('[1]NS Vendor Details'!$D:$D,'[1]NS Vendor Details'!$H:$H,'G&amp;A Vendor x GL Analysis'!J$20,'[1]NS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Analysis'!J$20,'[1]NS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0</v>
      </c>
      <c r="K99" s="17">
        <f>IF(AND(K$15="Actual",ISBLANK($E$8)),SUMIFS('[1]NS Vendor Details'!$D:$D,'[1]NS Vendor Details'!$H:$H,'G&amp;A Vendor x GL Analysis'!K$20,'[1]NS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Analysis'!K$20,'[1]NS Vendor Details'!$L:$L,'G&amp;A Vendor x GL Analysis'!$D99,'[1]NS Vendor Details'!$O:$O,'G&amp;A Vendor x GL Analysis'!$F99,'[1]NS Vendor Details'!$N:$N,"Direct Costs",'[1]NS Vendor Details'!$J:$J,0),IF(K$15="Actual",SUMIFS('[1]NS Vendor Details'!$D:$D,'[1]NS Vendor Details'!$H:$H,'G&amp;A Vendor x GL Analysis'!K$20,'[1]NS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Analysis'!K$20,'[1]NS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0</v>
      </c>
      <c r="L99" s="17">
        <f>IF(AND(L$15="Actual",ISBLANK($E$8)),SUMIFS('[1]NS Vendor Details'!$D:$D,'[1]NS Vendor Details'!$H:$H,'G&amp;A Vendor x GL Analysis'!L$20,'[1]NS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Analysis'!L$20,'[1]NS Vendor Details'!$L:$L,'G&amp;A Vendor x GL Analysis'!$D99,'[1]NS Vendor Details'!$O:$O,'G&amp;A Vendor x GL Analysis'!$F99,'[1]NS Vendor Details'!$N:$N,"Direct Costs",'[1]NS Vendor Details'!$J:$J,0),IF(L$15="Actual",SUMIFS('[1]NS Vendor Details'!$D:$D,'[1]NS Vendor Details'!$H:$H,'G&amp;A Vendor x GL Analysis'!L$20,'[1]NS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Analysis'!L$20,'[1]NS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0</v>
      </c>
      <c r="M99" s="17">
        <f>IF(AND(M$15="Actual",ISBLANK($E$8)),SUMIFS('[1]NS Vendor Details'!$D:$D,'[1]NS Vendor Details'!$H:$H,'G&amp;A Vendor x GL Analysis'!M$20,'[1]NS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Analysis'!M$20,'[1]NS Vendor Details'!$L:$L,'G&amp;A Vendor x GL Analysis'!$D99,'[1]NS Vendor Details'!$O:$O,'G&amp;A Vendor x GL Analysis'!$F99,'[1]NS Vendor Details'!$N:$N,"Direct Costs",'[1]NS Vendor Details'!$J:$J,0),IF(M$15="Actual",SUMIFS('[1]NS Vendor Details'!$D:$D,'[1]NS Vendor Details'!$H:$H,'G&amp;A Vendor x GL Analysis'!M$20,'[1]NS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Analysis'!M$20,'[1]NS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0</v>
      </c>
      <c r="N99" s="17">
        <f>IF(AND(N$15="Actual",ISBLANK($E$8)),SUMIFS('[1]NS Vendor Details'!$D:$D,'[1]NS Vendor Details'!$H:$H,'G&amp;A Vendor x GL Analysis'!N$20,'[1]NS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Analysis'!N$20,'[1]NS Vendor Details'!$L:$L,'G&amp;A Vendor x GL Analysis'!$D99,'[1]NS Vendor Details'!$O:$O,'G&amp;A Vendor x GL Analysis'!$F99,'[1]NS Vendor Details'!$N:$N,"Direct Costs",'[1]NS Vendor Details'!$J:$J,0),IF(N$15="Actual",SUMIFS('[1]NS Vendor Details'!$D:$D,'[1]NS Vendor Details'!$H:$H,'G&amp;A Vendor x GL Analysis'!N$20,'[1]NS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Analysis'!N$20,'[1]NS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0</v>
      </c>
      <c r="O99" s="17">
        <f>IF(AND(O$15="Actual",ISBLANK($E$8)),SUMIFS('[1]NS Vendor Details'!$D:$D,'[1]NS Vendor Details'!$H:$H,'G&amp;A Vendor x GL Analysis'!O$20,'[1]NS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Analysis'!O$20,'[1]NS Vendor Details'!$L:$L,'G&amp;A Vendor x GL Analysis'!$D99,'[1]NS Vendor Details'!$O:$O,'G&amp;A Vendor x GL Analysis'!$F99,'[1]NS Vendor Details'!$N:$N,"Direct Costs",'[1]NS Vendor Details'!$J:$J,0),IF(O$15="Actual",SUMIFS('[1]NS Vendor Details'!$D:$D,'[1]NS Vendor Details'!$H:$H,'G&amp;A Vendor x GL Analysis'!O$20,'[1]NS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Analysis'!O$20,'[1]NS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1333.5</v>
      </c>
      <c r="P99" s="17">
        <f>IF(AND(P$15="Actual",ISBLANK($E$8)),SUMIFS('[1]NS Vendor Details'!$D:$D,'[1]NS Vendor Details'!$H:$H,'G&amp;A Vendor x GL Analysis'!P$20,'[1]NS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Analysis'!P$20,'[1]NS Vendor Details'!$L:$L,'G&amp;A Vendor x GL Analysis'!$D99,'[1]NS Vendor Details'!$O:$O,'G&amp;A Vendor x GL Analysis'!$F99,'[1]NS Vendor Details'!$N:$N,"Direct Costs",'[1]NS Vendor Details'!$J:$J,0),IF(P$15="Actual",SUMIFS('[1]NS Vendor Details'!$D:$D,'[1]NS Vendor Details'!$H:$H,'G&amp;A Vendor x GL Analysis'!P$20,'[1]NS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Analysis'!P$20,'[1]NS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1437.5</v>
      </c>
      <c r="Q99" s="17">
        <f>IF(AND(Q$15="Actual",ISBLANK($E$8)),SUMIFS('[1]NS Vendor Details'!$D:$D,'[1]NS Vendor Details'!$H:$H,'G&amp;A Vendor x GL Analysis'!Q$20,'[1]NS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Analysis'!Q$20,'[1]NS Vendor Details'!$L:$L,'G&amp;A Vendor x GL Analysis'!$D99,'[1]NS Vendor Details'!$O:$O,'G&amp;A Vendor x GL Analysis'!$F99,'[1]NS Vendor Details'!$N:$N,"Direct Costs",'[1]NS Vendor Details'!$J:$J,0),IF(Q$15="Actual",SUMIFS('[1]NS Vendor Details'!$D:$D,'[1]NS Vendor Details'!$H:$H,'G&amp;A Vendor x GL Analysis'!Q$20,'[1]NS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Analysis'!Q$20,'[1]NS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1293</v>
      </c>
      <c r="R99" s="18">
        <f>IF(AND(R$15="Actual",ISBLANK($E$8)),SUMIFS('[1]NS Vendor Details'!$D:$D,'[1]NS Vendor Details'!$H:$H,'G&amp;A Vendor x GL Analysis'!R$20,'[1]NS Vendor Details'!$L:$L,'G&amp;A Vendor x GL Analysis'!$D99,'[1]NS Vendor Details'!$O:$O,'G&amp;A Vendor x GL Analysis'!$F99,'[1]NS Vendor Details'!$N:$N,'G&amp;A Vendor x GL Analysis'!$C99)+SUMIFS('[1]NS Vendor Details'!$D:$D,'[1]NS Vendor Details'!$H:$H,'G&amp;A Vendor x GL Analysis'!R$20,'[1]NS Vendor Details'!$L:$L,'G&amp;A Vendor x GL Analysis'!$D99,'[1]NS Vendor Details'!$O:$O,'G&amp;A Vendor x GL Analysis'!$F99,'[1]NS Vendor Details'!$N:$N,"Direct Costs",'[1]NS Vendor Details'!$J:$J,0),IF(R$15="Actual",SUMIFS('[1]NS Vendor Details'!$D:$D,'[1]NS Vendor Details'!$H:$H,'G&amp;A Vendor x GL Analysis'!R$20,'[1]NS Vendor Details'!$L:$L,'G&amp;A Vendor x GL Analysis'!$D99,'[1]NS Vendor Details'!$O:$O,'G&amp;A Vendor x GL Analysis'!$F99,'[1]NS Vendor Details'!$N:$N,'G&amp;A Vendor x GL Analysis'!$C99,'[1]NS Vendor Details'!$K:$K,'G&amp;A Vendor x GL Analysis'!$E$8)+SUMIFS('[1]NS Vendor Details'!$D:$D,'[1]NS Vendor Details'!$H:$H,'G&amp;A Vendor x GL Analysis'!R$20,'[1]NS Vendor Details'!$L:$L,'G&amp;A Vendor x GL Analysis'!$D99,'[1]NS Vendor Details'!$O:$O,'G&amp;A Vendor x GL Analysis'!$F99,'[1]NS Vendor Details'!$N:$N,"Direct Costs",'[1]NS Vendor Details'!$J:$J,0,'[1]NS Vendor Details'!$K:$K,'G&amp;A Vendor x GL Analysis'!$E$8),0))</f>
        <v>575</v>
      </c>
      <c r="S99" s="16">
        <f>IF(AND(S$15="Actual",ISBLANK($E$8)),SUMIFS('[1]NS Vendor Details'!$D:$D,'[1]NS Vendor Details'!$H:$H,'G&amp;A Vendor x GL Analysis'!S$20,'[1]NS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Analysis'!S$20,'[1]NS Vendor Details'!$L:$L,'G&amp;A Vendor x GL Analysis'!$D99,'[1]NS Vendor Details'!$O:$O,'G&amp;A Vendor x GL Analysis'!$F99,'[1]NS Vendor Details'!$N:$N,"Direct Costs",'[1]NS Vendor Details'!$J:$J,0,'[1]NS Vendor Details'!$I:$I,'G&amp;A Vendor x GL Analysis'!$E99),IF(S$15="Actual",SUMIFS('[1]NS Vendor Details'!$D:$D,'[1]NS Vendor Details'!$H:$H,'G&amp;A Vendor x GL Analysis'!S$20,'[1]NS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Analysis'!S$20,'[1]NS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761.5</v>
      </c>
      <c r="T99" s="17">
        <f>IF(AND(T$15="Actual",ISBLANK($E$8)),SUMIFS('[1]NS Vendor Details'!$D:$D,'[1]NS Vendor Details'!$H:$H,'G&amp;A Vendor x GL Analysis'!T$20,'[1]NS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Analysis'!T$20,'[1]NS Vendor Details'!$L:$L,'G&amp;A Vendor x GL Analysis'!$D99,'[1]NS Vendor Details'!$O:$O,'G&amp;A Vendor x GL Analysis'!$F99,'[1]NS Vendor Details'!$N:$N,"Direct Costs",'[1]NS Vendor Details'!$J:$J,0,'[1]NS Vendor Details'!$I:$I,'G&amp;A Vendor x GL Analysis'!$E99),IF(T$15="Actual",SUMIFS('[1]NS Vendor Details'!$D:$D,'[1]NS Vendor Details'!$H:$H,'G&amp;A Vendor x GL Analysis'!T$20,'[1]NS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Analysis'!T$20,'[1]NS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0</v>
      </c>
      <c r="U99" s="17">
        <f>IF(AND(U$15="Actual",ISBLANK($E$8)),SUMIFS('[1]NS Vendor Details'!$D:$D,'[1]NS Vendor Details'!$H:$H,'G&amp;A Vendor x GL Analysis'!U$20,'[1]NS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Analysis'!U$20,'[1]NS Vendor Details'!$L:$L,'G&amp;A Vendor x GL Analysis'!$D99,'[1]NS Vendor Details'!$O:$O,'G&amp;A Vendor x GL Analysis'!$F99,'[1]NS Vendor Details'!$N:$N,"Direct Costs",'[1]NS Vendor Details'!$J:$J,0,'[1]NS Vendor Details'!$I:$I,'G&amp;A Vendor x GL Analysis'!$E99),IF(U$15="Actual",SUMIFS('[1]NS Vendor Details'!$D:$D,'[1]NS Vendor Details'!$H:$H,'G&amp;A Vendor x GL Analysis'!U$20,'[1]NS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Analysis'!U$20,'[1]NS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0</v>
      </c>
      <c r="V99" s="17">
        <f>IF(AND(V$15="Actual",ISBLANK($E$8)),SUMIFS('[1]NS Vendor Details'!$D:$D,'[1]NS Vendor Details'!$H:$H,'G&amp;A Vendor x GL Analysis'!V$20,'[1]NS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Analysis'!V$20,'[1]NS Vendor Details'!$L:$L,'G&amp;A Vendor x GL Analysis'!$D99,'[1]NS Vendor Details'!$O:$O,'G&amp;A Vendor x GL Analysis'!$F99,'[1]NS Vendor Details'!$N:$N,"Direct Costs",'[1]NS Vendor Details'!$J:$J,0,'[1]NS Vendor Details'!$I:$I,'G&amp;A Vendor x GL Analysis'!$E99),IF(V$15="Actual",SUMIFS('[1]NS Vendor Details'!$D:$D,'[1]NS Vendor Details'!$H:$H,'G&amp;A Vendor x GL Analysis'!V$20,'[1]NS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Analysis'!V$20,'[1]NS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776</v>
      </c>
      <c r="W99" s="17">
        <f>IF(AND(W$15="Actual",ISBLANK($E$8)),SUMIFS('[1]NS Vendor Details'!$D:$D,'[1]NS Vendor Details'!$H:$H,'G&amp;A Vendor x GL Analysis'!W$20,'[1]NS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Analysis'!W$20,'[1]NS Vendor Details'!$L:$L,'G&amp;A Vendor x GL Analysis'!$D99,'[1]NS Vendor Details'!$O:$O,'G&amp;A Vendor x GL Analysis'!$F99,'[1]NS Vendor Details'!$N:$N,"Direct Costs",'[1]NS Vendor Details'!$J:$J,0,'[1]NS Vendor Details'!$I:$I,'G&amp;A Vendor x GL Analysis'!$E99),IF(W$15="Actual",SUMIFS('[1]NS Vendor Details'!$D:$D,'[1]NS Vendor Details'!$H:$H,'G&amp;A Vendor x GL Analysis'!W$20,'[1]NS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Analysis'!W$20,'[1]NS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120</v>
      </c>
      <c r="X99" s="17">
        <f>IF(AND(X$15="Actual",ISBLANK($E$8)),SUMIFS('[1]NS Vendor Details'!$D:$D,'[1]NS Vendor Details'!$H:$H,'G&amp;A Vendor x GL Analysis'!X$20,'[1]NS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Analysis'!X$20,'[1]NS Vendor Details'!$L:$L,'G&amp;A Vendor x GL Analysis'!$D99,'[1]NS Vendor Details'!$O:$O,'G&amp;A Vendor x GL Analysis'!$F99,'[1]NS Vendor Details'!$N:$N,"Direct Costs",'[1]NS Vendor Details'!$J:$J,0,'[1]NS Vendor Details'!$I:$I,'G&amp;A Vendor x GL Analysis'!$E99),IF(X$15="Actual",SUMIFS('[1]NS Vendor Details'!$D:$D,'[1]NS Vendor Details'!$H:$H,'G&amp;A Vendor x GL Analysis'!X$20,'[1]NS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Analysis'!X$20,'[1]NS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0</v>
      </c>
      <c r="Y99" s="17">
        <f>IF(AND(Y$15="Actual",ISBLANK($E$8)),SUMIFS('[1]NS Vendor Details'!$D:$D,'[1]NS Vendor Details'!$H:$H,'G&amp;A Vendor x GL Analysis'!Y$20,'[1]NS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Analysis'!Y$20,'[1]NS Vendor Details'!$L:$L,'G&amp;A Vendor x GL Analysis'!$D99,'[1]NS Vendor Details'!$O:$O,'G&amp;A Vendor x GL Analysis'!$F99,'[1]NS Vendor Details'!$N:$N,"Direct Costs",'[1]NS Vendor Details'!$J:$J,0,'[1]NS Vendor Details'!$I:$I,'G&amp;A Vendor x GL Analysis'!$E99),IF(Y$15="Actual",SUMIFS('[1]NS Vendor Details'!$D:$D,'[1]NS Vendor Details'!$H:$H,'G&amp;A Vendor x GL Analysis'!Y$20,'[1]NS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Analysis'!Y$20,'[1]NS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2124</v>
      </c>
      <c r="Z99" s="17">
        <f>IF(AND(Z$15="Actual",ISBLANK($E$8)),SUMIFS('[1]NS Vendor Details'!$D:$D,'[1]NS Vendor Details'!$H:$H,'G&amp;A Vendor x GL Analysis'!Z$20,'[1]NS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Analysis'!Z$20,'[1]NS Vendor Details'!$L:$L,'G&amp;A Vendor x GL Analysis'!$D99,'[1]NS Vendor Details'!$O:$O,'G&amp;A Vendor x GL Analysis'!$F99,'[1]NS Vendor Details'!$N:$N,"Direct Costs",'[1]NS Vendor Details'!$J:$J,0,'[1]NS Vendor Details'!$I:$I,'G&amp;A Vendor x GL Analysis'!$E99),IF(Z$15="Actual",SUMIFS('[1]NS Vendor Details'!$D:$D,'[1]NS Vendor Details'!$H:$H,'G&amp;A Vendor x GL Analysis'!Z$20,'[1]NS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Analysis'!Z$20,'[1]NS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0</v>
      </c>
      <c r="AA99" s="17">
        <f>IF(AND(AA$15="Actual",ISBLANK($E$8)),SUMIFS('[1]NS Vendor Details'!$D:$D,'[1]NS Vendor Details'!$H:$H,'G&amp;A Vendor x GL Analysis'!AA$20,'[1]NS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Analysis'!AA$20,'[1]NS Vendor Details'!$L:$L,'G&amp;A Vendor x GL Analysis'!$D99,'[1]NS Vendor Details'!$O:$O,'G&amp;A Vendor x GL Analysis'!$F99,'[1]NS Vendor Details'!$N:$N,"Direct Costs",'[1]NS Vendor Details'!$J:$J,0,'[1]NS Vendor Details'!$I:$I,'G&amp;A Vendor x GL Analysis'!$E99),IF(AA$15="Actual",SUMIFS('[1]NS Vendor Details'!$D:$D,'[1]NS Vendor Details'!$H:$H,'G&amp;A Vendor x GL Analysis'!AA$20,'[1]NS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Analysis'!AA$20,'[1]NS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0</v>
      </c>
      <c r="AB99" s="17">
        <f>IF(AND(AB$15="Actual",ISBLANK($E$8)),SUMIFS('[1]NS Vendor Details'!$D:$D,'[1]NS Vendor Details'!$H:$H,'G&amp;A Vendor x GL Analysis'!AB$20,'[1]NS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Analysis'!AB$20,'[1]NS Vendor Details'!$L:$L,'G&amp;A Vendor x GL Analysis'!$D99,'[1]NS Vendor Details'!$O:$O,'G&amp;A Vendor x GL Analysis'!$F99,'[1]NS Vendor Details'!$N:$N,"Direct Costs",'[1]NS Vendor Details'!$J:$J,0,'[1]NS Vendor Details'!$I:$I,'G&amp;A Vendor x GL Analysis'!$E99),IF(AB$15="Actual",SUMIFS('[1]NS Vendor Details'!$D:$D,'[1]NS Vendor Details'!$H:$H,'G&amp;A Vendor x GL Analysis'!AB$20,'[1]NS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Analysis'!AB$20,'[1]NS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0</v>
      </c>
      <c r="AC99" s="18">
        <f>IF(AND(AC$15="Actual",ISBLANK($E$8)),SUMIFS('[1]NS Vendor Details'!$D:$D,'[1]NS Vendor Details'!$H:$H,'G&amp;A Vendor x GL Analysis'!AC$20,'[1]NS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Analysis'!AC$20,'[1]NS Vendor Details'!$L:$L,'G&amp;A Vendor x GL Analysis'!$D99,'[1]NS Vendor Details'!$O:$O,'G&amp;A Vendor x GL Analysis'!$F99,'[1]NS Vendor Details'!$N:$N,"Direct Costs",'[1]NS Vendor Details'!$J:$J,0,'[1]NS Vendor Details'!$I:$I,'G&amp;A Vendor x GL Analysis'!$E99),IF(AC$15="Actual",SUMIFS('[1]NS Vendor Details'!$D:$D,'[1]NS Vendor Details'!$H:$H,'G&amp;A Vendor x GL Analysis'!AC$20,'[1]NS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Analysis'!AC$20,'[1]NS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0</v>
      </c>
      <c r="AD99" s="18">
        <f>IF(AND(AD$15="Actual",ISBLANK($E$8)),SUMIFS('[1]NS Vendor Details'!$D:$D,'[1]NS Vendor Details'!$H:$H,'G&amp;A Vendor x GL Analysis'!AD$20,'[1]NS Vendor Details'!$L:$L,'G&amp;A Vendor x GL Analysis'!$D99,'[1]NS Vendor Details'!$O:$O,'G&amp;A Vendor x GL Analysis'!$F99,'[1]NS Vendor Details'!$N:$N,'G&amp;A Vendor x GL Analysis'!$C99,'[1]NS Vendor Details'!$I:$I,'G&amp;A Vendor x GL Analysis'!$E99)+SUMIFS('[1]NS Vendor Details'!$D:$D,'[1]NS Vendor Details'!$H:$H,'G&amp;A Vendor x GL Analysis'!AD$20,'[1]NS Vendor Details'!$L:$L,'G&amp;A Vendor x GL Analysis'!$D99,'[1]NS Vendor Details'!$O:$O,'G&amp;A Vendor x GL Analysis'!$F99,'[1]NS Vendor Details'!$N:$N,"Direct Costs",'[1]NS Vendor Details'!$J:$J,0,'[1]NS Vendor Details'!$I:$I,'G&amp;A Vendor x GL Analysis'!$E99),IF(AD$15="Actual",SUMIFS('[1]NS Vendor Details'!$D:$D,'[1]NS Vendor Details'!$H:$H,'G&amp;A Vendor x GL Analysis'!AD$20,'[1]NS Vendor Details'!$L:$L,'G&amp;A Vendor x GL Analysis'!$D99,'[1]NS Vendor Details'!$O:$O,'G&amp;A Vendor x GL Analysis'!$F99,'[1]NS Vendor Details'!$N:$N,'G&amp;A Vendor x GL Analysis'!$C99,'[1]NS Vendor Details'!$K:$K,'G&amp;A Vendor x GL Analysis'!$E$8,'[1]NS Vendor Details'!$I:$I,'G&amp;A Vendor x GL Analysis'!$E99)+SUMIFS('[1]NS Vendor Details'!$D:$D,'[1]NS Vendor Details'!$H:$H,'G&amp;A Vendor x GL Analysis'!AD$20,'[1]NS Vendor Details'!$L:$L,'G&amp;A Vendor x GL Analysis'!$D99,'[1]NS Vendor Details'!$O:$O,'G&amp;A Vendor x GL Analysis'!$F99,'[1]NS Vendor Details'!$N:$N,"Direct Costs",'[1]NS Vendor Details'!$J:$J,0,'[1]NS Vendor Details'!$K:$K,'G&amp;A Vendor x GL Analysis'!$E$8,'[1]NS Vendor Details'!$I:$I,'G&amp;A Vendor x GL Analysis'!$E99),0))</f>
        <v>0</v>
      </c>
      <c r="AF99" s="19">
        <f t="shared" si="23"/>
        <v>3781.5</v>
      </c>
    </row>
    <row r="100" spans="1:32" outlineLevel="1">
      <c r="A100" s="8" t="str">
        <f t="shared" si="22"/>
        <v>Professional Service6380 - Legal &amp; Accounting</v>
      </c>
      <c r="C100" s="8" t="s">
        <v>11</v>
      </c>
      <c r="D100" s="8" t="str">
        <f t="shared" si="21"/>
        <v>Professional Service</v>
      </c>
      <c r="E100" s="2" t="s">
        <v>90</v>
      </c>
      <c r="F100" s="2" t="s">
        <v>93</v>
      </c>
      <c r="G100" s="16">
        <f>IF(AND(G$15="Actual",ISBLANK($E$8)),SUMIFS('[1]NS Vendor Details'!$D:$D,'[1]NS Vendor Details'!$H:$H,'G&amp;A Vendor x GL Analysis'!G$20,'[1]NS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Analysis'!G$20,'[1]NS Vendor Details'!$L:$L,'G&amp;A Vendor x GL Analysis'!$D100,'[1]NS Vendor Details'!$O:$O,'G&amp;A Vendor x GL Analysis'!$F100,'[1]NS Vendor Details'!$N:$N,"Direct Costs",'[1]NS Vendor Details'!$J:$J,0),IF(G$15="Actual",SUMIFS('[1]NS Vendor Details'!$D:$D,'[1]NS Vendor Details'!$H:$H,'G&amp;A Vendor x GL Analysis'!G$20,'[1]NS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Analysis'!G$20,'[1]NS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500</v>
      </c>
      <c r="H100" s="17">
        <f>IF(AND(H$15="Actual",ISBLANK($E$8)),SUMIFS('[1]NS Vendor Details'!$D:$D,'[1]NS Vendor Details'!$H:$H,'G&amp;A Vendor x GL Analysis'!H$20,'[1]NS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Analysis'!H$20,'[1]NS Vendor Details'!$L:$L,'G&amp;A Vendor x GL Analysis'!$D100,'[1]NS Vendor Details'!$O:$O,'G&amp;A Vendor x GL Analysis'!$F100,'[1]NS Vendor Details'!$N:$N,"Direct Costs",'[1]NS Vendor Details'!$J:$J,0),IF(H$15="Actual",SUMIFS('[1]NS Vendor Details'!$D:$D,'[1]NS Vendor Details'!$H:$H,'G&amp;A Vendor x GL Analysis'!H$20,'[1]NS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Analysis'!H$20,'[1]NS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1110</v>
      </c>
      <c r="I100" s="17">
        <f>IF(AND(I$15="Actual",ISBLANK($E$8)),SUMIFS('[1]NS Vendor Details'!$D:$D,'[1]NS Vendor Details'!$H:$H,'G&amp;A Vendor x GL Analysis'!I$20,'[1]NS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Analysis'!I$20,'[1]NS Vendor Details'!$L:$L,'G&amp;A Vendor x GL Analysis'!$D100,'[1]NS Vendor Details'!$O:$O,'G&amp;A Vendor x GL Analysis'!$F100,'[1]NS Vendor Details'!$N:$N,"Direct Costs",'[1]NS Vendor Details'!$J:$J,0),IF(I$15="Actual",SUMIFS('[1]NS Vendor Details'!$D:$D,'[1]NS Vendor Details'!$H:$H,'G&amp;A Vendor x GL Analysis'!I$20,'[1]NS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Analysis'!I$20,'[1]NS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25500</v>
      </c>
      <c r="J100" s="17">
        <f>IF(AND(J$15="Actual",ISBLANK($E$8)),SUMIFS('[1]NS Vendor Details'!$D:$D,'[1]NS Vendor Details'!$H:$H,'G&amp;A Vendor x GL Analysis'!J$20,'[1]NS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Analysis'!J$20,'[1]NS Vendor Details'!$L:$L,'G&amp;A Vendor x GL Analysis'!$D100,'[1]NS Vendor Details'!$O:$O,'G&amp;A Vendor x GL Analysis'!$F100,'[1]NS Vendor Details'!$N:$N,"Direct Costs",'[1]NS Vendor Details'!$J:$J,0),IF(J$15="Actual",SUMIFS('[1]NS Vendor Details'!$D:$D,'[1]NS Vendor Details'!$H:$H,'G&amp;A Vendor x GL Analysis'!J$20,'[1]NS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Analysis'!J$20,'[1]NS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500</v>
      </c>
      <c r="K100" s="17">
        <f>IF(AND(K$15="Actual",ISBLANK($E$8)),SUMIFS('[1]NS Vendor Details'!$D:$D,'[1]NS Vendor Details'!$H:$H,'G&amp;A Vendor x GL Analysis'!K$20,'[1]NS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Analysis'!K$20,'[1]NS Vendor Details'!$L:$L,'G&amp;A Vendor x GL Analysis'!$D100,'[1]NS Vendor Details'!$O:$O,'G&amp;A Vendor x GL Analysis'!$F100,'[1]NS Vendor Details'!$N:$N,"Direct Costs",'[1]NS Vendor Details'!$J:$J,0),IF(K$15="Actual",SUMIFS('[1]NS Vendor Details'!$D:$D,'[1]NS Vendor Details'!$H:$H,'G&amp;A Vendor x GL Analysis'!K$20,'[1]NS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Analysis'!K$20,'[1]NS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500</v>
      </c>
      <c r="L100" s="17">
        <f>IF(AND(L$15="Actual",ISBLANK($E$8)),SUMIFS('[1]NS Vendor Details'!$D:$D,'[1]NS Vendor Details'!$H:$H,'G&amp;A Vendor x GL Analysis'!L$20,'[1]NS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Analysis'!L$20,'[1]NS Vendor Details'!$L:$L,'G&amp;A Vendor x GL Analysis'!$D100,'[1]NS Vendor Details'!$O:$O,'G&amp;A Vendor x GL Analysis'!$F100,'[1]NS Vendor Details'!$N:$N,"Direct Costs",'[1]NS Vendor Details'!$J:$J,0),IF(L$15="Actual",SUMIFS('[1]NS Vendor Details'!$D:$D,'[1]NS Vendor Details'!$H:$H,'G&amp;A Vendor x GL Analysis'!L$20,'[1]NS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Analysis'!L$20,'[1]NS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500</v>
      </c>
      <c r="M100" s="17">
        <f>IF(AND(M$15="Actual",ISBLANK($E$8)),SUMIFS('[1]NS Vendor Details'!$D:$D,'[1]NS Vendor Details'!$H:$H,'G&amp;A Vendor x GL Analysis'!M$20,'[1]NS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Analysis'!M$20,'[1]NS Vendor Details'!$L:$L,'G&amp;A Vendor x GL Analysis'!$D100,'[1]NS Vendor Details'!$O:$O,'G&amp;A Vendor x GL Analysis'!$F100,'[1]NS Vendor Details'!$N:$N,"Direct Costs",'[1]NS Vendor Details'!$J:$J,0),IF(M$15="Actual",SUMIFS('[1]NS Vendor Details'!$D:$D,'[1]NS Vendor Details'!$H:$H,'G&amp;A Vendor x GL Analysis'!M$20,'[1]NS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Analysis'!M$20,'[1]NS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500</v>
      </c>
      <c r="N100" s="17">
        <f>IF(AND(N$15="Actual",ISBLANK($E$8)),SUMIFS('[1]NS Vendor Details'!$D:$D,'[1]NS Vendor Details'!$H:$H,'G&amp;A Vendor x GL Analysis'!N$20,'[1]NS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Analysis'!N$20,'[1]NS Vendor Details'!$L:$L,'G&amp;A Vendor x GL Analysis'!$D100,'[1]NS Vendor Details'!$O:$O,'G&amp;A Vendor x GL Analysis'!$F100,'[1]NS Vendor Details'!$N:$N,"Direct Costs",'[1]NS Vendor Details'!$J:$J,0),IF(N$15="Actual",SUMIFS('[1]NS Vendor Details'!$D:$D,'[1]NS Vendor Details'!$H:$H,'G&amp;A Vendor x GL Analysis'!N$20,'[1]NS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Analysis'!N$20,'[1]NS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1000</v>
      </c>
      <c r="O100" s="17">
        <f>IF(AND(O$15="Actual",ISBLANK($E$8)),SUMIFS('[1]NS Vendor Details'!$D:$D,'[1]NS Vendor Details'!$H:$H,'G&amp;A Vendor x GL Analysis'!O$20,'[1]NS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Analysis'!O$20,'[1]NS Vendor Details'!$L:$L,'G&amp;A Vendor x GL Analysis'!$D100,'[1]NS Vendor Details'!$O:$O,'G&amp;A Vendor x GL Analysis'!$F100,'[1]NS Vendor Details'!$N:$N,"Direct Costs",'[1]NS Vendor Details'!$J:$J,0),IF(O$15="Actual",SUMIFS('[1]NS Vendor Details'!$D:$D,'[1]NS Vendor Details'!$H:$H,'G&amp;A Vendor x GL Analysis'!O$20,'[1]NS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Analysis'!O$20,'[1]NS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500</v>
      </c>
      <c r="P100" s="17">
        <f>IF(AND(P$15="Actual",ISBLANK($E$8)),SUMIFS('[1]NS Vendor Details'!$D:$D,'[1]NS Vendor Details'!$H:$H,'G&amp;A Vendor x GL Analysis'!P$20,'[1]NS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Analysis'!P$20,'[1]NS Vendor Details'!$L:$L,'G&amp;A Vendor x GL Analysis'!$D100,'[1]NS Vendor Details'!$O:$O,'G&amp;A Vendor x GL Analysis'!$F100,'[1]NS Vendor Details'!$N:$N,"Direct Costs",'[1]NS Vendor Details'!$J:$J,0),IF(P$15="Actual",SUMIFS('[1]NS Vendor Details'!$D:$D,'[1]NS Vendor Details'!$H:$H,'G&amp;A Vendor x GL Analysis'!P$20,'[1]NS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Analysis'!P$20,'[1]NS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6500</v>
      </c>
      <c r="Q100" s="17">
        <f>IF(AND(Q$15="Actual",ISBLANK($E$8)),SUMIFS('[1]NS Vendor Details'!$D:$D,'[1]NS Vendor Details'!$H:$H,'G&amp;A Vendor x GL Analysis'!Q$20,'[1]NS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Analysis'!Q$20,'[1]NS Vendor Details'!$L:$L,'G&amp;A Vendor x GL Analysis'!$D100,'[1]NS Vendor Details'!$O:$O,'G&amp;A Vendor x GL Analysis'!$F100,'[1]NS Vendor Details'!$N:$N,"Direct Costs",'[1]NS Vendor Details'!$J:$J,0),IF(Q$15="Actual",SUMIFS('[1]NS Vendor Details'!$D:$D,'[1]NS Vendor Details'!$H:$H,'G&amp;A Vendor x GL Analysis'!Q$20,'[1]NS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Analysis'!Q$20,'[1]NS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500</v>
      </c>
      <c r="R100" s="18">
        <f>IF(AND(R$15="Actual",ISBLANK($E$8)),SUMIFS('[1]NS Vendor Details'!$D:$D,'[1]NS Vendor Details'!$H:$H,'G&amp;A Vendor x GL Analysis'!R$20,'[1]NS Vendor Details'!$L:$L,'G&amp;A Vendor x GL Analysis'!$D100,'[1]NS Vendor Details'!$O:$O,'G&amp;A Vendor x GL Analysis'!$F100,'[1]NS Vendor Details'!$N:$N,'G&amp;A Vendor x GL Analysis'!$C100)+SUMIFS('[1]NS Vendor Details'!$D:$D,'[1]NS Vendor Details'!$H:$H,'G&amp;A Vendor x GL Analysis'!R$20,'[1]NS Vendor Details'!$L:$L,'G&amp;A Vendor x GL Analysis'!$D100,'[1]NS Vendor Details'!$O:$O,'G&amp;A Vendor x GL Analysis'!$F100,'[1]NS Vendor Details'!$N:$N,"Direct Costs",'[1]NS Vendor Details'!$J:$J,0),IF(R$15="Actual",SUMIFS('[1]NS Vendor Details'!$D:$D,'[1]NS Vendor Details'!$H:$H,'G&amp;A Vendor x GL Analysis'!R$20,'[1]NS Vendor Details'!$L:$L,'G&amp;A Vendor x GL Analysis'!$D100,'[1]NS Vendor Details'!$O:$O,'G&amp;A Vendor x GL Analysis'!$F100,'[1]NS Vendor Details'!$N:$N,'G&amp;A Vendor x GL Analysis'!$C100,'[1]NS Vendor Details'!$K:$K,'G&amp;A Vendor x GL Analysis'!$E$8)+SUMIFS('[1]NS Vendor Details'!$D:$D,'[1]NS Vendor Details'!$H:$H,'G&amp;A Vendor x GL Analysis'!R$20,'[1]NS Vendor Details'!$L:$L,'G&amp;A Vendor x GL Analysis'!$D100,'[1]NS Vendor Details'!$O:$O,'G&amp;A Vendor x GL Analysis'!$F100,'[1]NS Vendor Details'!$N:$N,"Direct Costs",'[1]NS Vendor Details'!$J:$J,0,'[1]NS Vendor Details'!$K:$K,'G&amp;A Vendor x GL Analysis'!$E$8),0))</f>
        <v>500</v>
      </c>
      <c r="S100" s="16">
        <f>IF(AND(S$15="Actual",ISBLANK($E$8)),SUMIFS('[1]NS Vendor Details'!$D:$D,'[1]NS Vendor Details'!$H:$H,'G&amp;A Vendor x GL Analysis'!S$20,'[1]NS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Analysis'!S$20,'[1]NS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Analysis'!$E100),IF(S$15="Actual",SUMIFS('[1]NS Vendor Details'!$D:$D,'[1]NS Vendor Details'!$H:$H,'G&amp;A Vendor x GL Analysis'!S$20,'[1]NS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Analysis'!S$20,'[1]NS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500</v>
      </c>
      <c r="T100" s="17">
        <f>IF(AND(T$15="Actual",ISBLANK($E$8)),SUMIFS('[1]NS Vendor Details'!$D:$D,'[1]NS Vendor Details'!$H:$H,'G&amp;A Vendor x GL Analysis'!T$20,'[1]NS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Analysis'!T$20,'[1]NS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Analysis'!$E100),IF(T$15="Actual",SUMIFS('[1]NS Vendor Details'!$D:$D,'[1]NS Vendor Details'!$H:$H,'G&amp;A Vendor x GL Analysis'!T$20,'[1]NS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Analysis'!T$20,'[1]NS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610</v>
      </c>
      <c r="U100" s="17">
        <f>IF(AND(U$15="Actual",ISBLANK($E$8)),SUMIFS('[1]NS Vendor Details'!$D:$D,'[1]NS Vendor Details'!$H:$H,'G&amp;A Vendor x GL Analysis'!U$20,'[1]NS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Analysis'!U$20,'[1]NS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Analysis'!$E100),IF(U$15="Actual",SUMIFS('[1]NS Vendor Details'!$D:$D,'[1]NS Vendor Details'!$H:$H,'G&amp;A Vendor x GL Analysis'!U$20,'[1]NS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Analysis'!U$20,'[1]NS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25000</v>
      </c>
      <c r="V100" s="17">
        <f>IF(AND(V$15="Actual",ISBLANK($E$8)),SUMIFS('[1]NS Vendor Details'!$D:$D,'[1]NS Vendor Details'!$H:$H,'G&amp;A Vendor x GL Analysis'!V$20,'[1]NS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Analysis'!V$20,'[1]NS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Analysis'!$E100),IF(V$15="Actual",SUMIFS('[1]NS Vendor Details'!$D:$D,'[1]NS Vendor Details'!$H:$H,'G&amp;A Vendor x GL Analysis'!V$20,'[1]NS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Analysis'!V$20,'[1]NS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500</v>
      </c>
      <c r="W100" s="17">
        <f>IF(AND(W$15="Actual",ISBLANK($E$8)),SUMIFS('[1]NS Vendor Details'!$D:$D,'[1]NS Vendor Details'!$H:$H,'G&amp;A Vendor x GL Analysis'!W$20,'[1]NS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Analysis'!W$20,'[1]NS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Analysis'!$E100),IF(W$15="Actual",SUMIFS('[1]NS Vendor Details'!$D:$D,'[1]NS Vendor Details'!$H:$H,'G&amp;A Vendor x GL Analysis'!W$20,'[1]NS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Analysis'!W$20,'[1]NS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500</v>
      </c>
      <c r="X100" s="17">
        <f>IF(AND(X$15="Actual",ISBLANK($E$8)),SUMIFS('[1]NS Vendor Details'!$D:$D,'[1]NS Vendor Details'!$H:$H,'G&amp;A Vendor x GL Analysis'!X$20,'[1]NS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Analysis'!X$20,'[1]NS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Analysis'!$E100),IF(X$15="Actual",SUMIFS('[1]NS Vendor Details'!$D:$D,'[1]NS Vendor Details'!$H:$H,'G&amp;A Vendor x GL Analysis'!X$20,'[1]NS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Analysis'!X$20,'[1]NS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6500</v>
      </c>
      <c r="Y100" s="17">
        <f>IF(AND(Y$15="Actual",ISBLANK($E$8)),SUMIFS('[1]NS Vendor Details'!$D:$D,'[1]NS Vendor Details'!$H:$H,'G&amp;A Vendor x GL Analysis'!Y$20,'[1]NS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Analysis'!Y$20,'[1]NS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Analysis'!$E100),IF(Y$15="Actual",SUMIFS('[1]NS Vendor Details'!$D:$D,'[1]NS Vendor Details'!$H:$H,'G&amp;A Vendor x GL Analysis'!Y$20,'[1]NS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Analysis'!Y$20,'[1]NS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500</v>
      </c>
      <c r="Z100" s="17">
        <f>IF(AND(Z$15="Actual",ISBLANK($E$8)),SUMIFS('[1]NS Vendor Details'!$D:$D,'[1]NS Vendor Details'!$H:$H,'G&amp;A Vendor x GL Analysis'!Z$20,'[1]NS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Analysis'!Z$20,'[1]NS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Analysis'!$E100),IF(Z$15="Actual",SUMIFS('[1]NS Vendor Details'!$D:$D,'[1]NS Vendor Details'!$H:$H,'G&amp;A Vendor x GL Analysis'!Z$20,'[1]NS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Analysis'!Z$20,'[1]NS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500</v>
      </c>
      <c r="AA100" s="17">
        <f>IF(AND(AA$15="Actual",ISBLANK($E$8)),SUMIFS('[1]NS Vendor Details'!$D:$D,'[1]NS Vendor Details'!$H:$H,'G&amp;A Vendor x GL Analysis'!AA$20,'[1]NS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Analysis'!AA$20,'[1]NS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Analysis'!$E100),IF(AA$15="Actual",SUMIFS('[1]NS Vendor Details'!$D:$D,'[1]NS Vendor Details'!$H:$H,'G&amp;A Vendor x GL Analysis'!AA$20,'[1]NS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Analysis'!AA$20,'[1]NS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500</v>
      </c>
      <c r="AB100" s="17">
        <f>IF(AND(AB$15="Actual",ISBLANK($E$8)),SUMIFS('[1]NS Vendor Details'!$D:$D,'[1]NS Vendor Details'!$H:$H,'G&amp;A Vendor x GL Analysis'!AB$20,'[1]NS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Analysis'!AB$20,'[1]NS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Analysis'!$E100),IF(AB$15="Actual",SUMIFS('[1]NS Vendor Details'!$D:$D,'[1]NS Vendor Details'!$H:$H,'G&amp;A Vendor x GL Analysis'!AB$20,'[1]NS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Analysis'!AB$20,'[1]NS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500</v>
      </c>
      <c r="AC100" s="18">
        <f>IF(AND(AC$15="Actual",ISBLANK($E$8)),SUMIFS('[1]NS Vendor Details'!$D:$D,'[1]NS Vendor Details'!$H:$H,'G&amp;A Vendor x GL Analysis'!AC$20,'[1]NS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Analysis'!AC$20,'[1]NS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Analysis'!$E100),IF(AC$15="Actual",SUMIFS('[1]NS Vendor Details'!$D:$D,'[1]NS Vendor Details'!$H:$H,'G&amp;A Vendor x GL Analysis'!AC$20,'[1]NS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Analysis'!AC$20,'[1]NS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500</v>
      </c>
      <c r="AD100" s="18">
        <f>IF(AND(AD$15="Actual",ISBLANK($E$8)),SUMIFS('[1]NS Vendor Details'!$D:$D,'[1]NS Vendor Details'!$H:$H,'G&amp;A Vendor x GL Analysis'!AD$20,'[1]NS Vendor Details'!$L:$L,'G&amp;A Vendor x GL Analysis'!$D100,'[1]NS Vendor Details'!$O:$O,'G&amp;A Vendor x GL Analysis'!$F100,'[1]NS Vendor Details'!$N:$N,'G&amp;A Vendor x GL Analysis'!$C100,'[1]NS Vendor Details'!$I:$I,'G&amp;A Vendor x GL Analysis'!$E100)+SUMIFS('[1]NS Vendor Details'!$D:$D,'[1]NS Vendor Details'!$H:$H,'G&amp;A Vendor x GL Analysis'!AD$20,'[1]NS Vendor Details'!$L:$L,'G&amp;A Vendor x GL Analysis'!$D100,'[1]NS Vendor Details'!$O:$O,'G&amp;A Vendor x GL Analysis'!$F100,'[1]NS Vendor Details'!$N:$N,"Direct Costs",'[1]NS Vendor Details'!$J:$J,0,'[1]NS Vendor Details'!$I:$I,'G&amp;A Vendor x GL Analysis'!$E100),IF(AD$15="Actual",SUMIFS('[1]NS Vendor Details'!$D:$D,'[1]NS Vendor Details'!$H:$H,'G&amp;A Vendor x GL Analysis'!AD$20,'[1]NS Vendor Details'!$L:$L,'G&amp;A Vendor x GL Analysis'!$D100,'[1]NS Vendor Details'!$O:$O,'G&amp;A Vendor x GL Analysis'!$F100,'[1]NS Vendor Details'!$N:$N,'G&amp;A Vendor x GL Analysis'!$C100,'[1]NS Vendor Details'!$K:$K,'G&amp;A Vendor x GL Analysis'!$E$8,'[1]NS Vendor Details'!$I:$I,'G&amp;A Vendor x GL Analysis'!$E100)+SUMIFS('[1]NS Vendor Details'!$D:$D,'[1]NS Vendor Details'!$H:$H,'G&amp;A Vendor x GL Analysis'!AD$20,'[1]NS Vendor Details'!$L:$L,'G&amp;A Vendor x GL Analysis'!$D100,'[1]NS Vendor Details'!$O:$O,'G&amp;A Vendor x GL Analysis'!$F100,'[1]NS Vendor Details'!$N:$N,"Direct Costs",'[1]NS Vendor Details'!$J:$J,0,'[1]NS Vendor Details'!$K:$K,'G&amp;A Vendor x GL Analysis'!$E$8,'[1]NS Vendor Details'!$I:$I,'G&amp;A Vendor x GL Analysis'!$E100),0))</f>
        <v>0</v>
      </c>
      <c r="AF100" s="19">
        <f t="shared" si="23"/>
        <v>36110</v>
      </c>
    </row>
    <row r="101" spans="1:32" outlineLevel="1">
      <c r="A101" s="8" t="str">
        <f t="shared" si="22"/>
        <v>Professional Service6380 - Legal &amp; Accounting</v>
      </c>
      <c r="C101" s="8" t="s">
        <v>11</v>
      </c>
      <c r="D101" s="8" t="str">
        <f t="shared" si="21"/>
        <v>Professional Service</v>
      </c>
      <c r="E101" s="2" t="s">
        <v>90</v>
      </c>
      <c r="F101" s="2" t="s">
        <v>94</v>
      </c>
      <c r="G101" s="16">
        <f>IF(AND(G$15="Actual",ISBLANK($E$8)),SUMIFS('[1]NS Vendor Details'!$D:$D,'[1]NS Vendor Details'!$H:$H,'G&amp;A Vendor x GL Analysis'!G$20,'[1]NS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Analysis'!G$20,'[1]NS Vendor Details'!$L:$L,'G&amp;A Vendor x GL Analysis'!$D101,'[1]NS Vendor Details'!$O:$O,'G&amp;A Vendor x GL Analysis'!$F101,'[1]NS Vendor Details'!$N:$N,"Direct Costs",'[1]NS Vendor Details'!$J:$J,0),IF(G$15="Actual",SUMIFS('[1]NS Vendor Details'!$D:$D,'[1]NS Vendor Details'!$H:$H,'G&amp;A Vendor x GL Analysis'!G$20,'[1]NS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Analysis'!G$20,'[1]NS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1000</v>
      </c>
      <c r="H101" s="17">
        <f>IF(AND(H$15="Actual",ISBLANK($E$8)),SUMIFS('[1]NS Vendor Details'!$D:$D,'[1]NS Vendor Details'!$H:$H,'G&amp;A Vendor x GL Analysis'!H$20,'[1]NS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Analysis'!H$20,'[1]NS Vendor Details'!$L:$L,'G&amp;A Vendor x GL Analysis'!$D101,'[1]NS Vendor Details'!$O:$O,'G&amp;A Vendor x GL Analysis'!$F101,'[1]NS Vendor Details'!$N:$N,"Direct Costs",'[1]NS Vendor Details'!$J:$J,0),IF(H$15="Actual",SUMIFS('[1]NS Vendor Details'!$D:$D,'[1]NS Vendor Details'!$H:$H,'G&amp;A Vendor x GL Analysis'!H$20,'[1]NS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Analysis'!H$20,'[1]NS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2070</v>
      </c>
      <c r="I101" s="17">
        <f>IF(AND(I$15="Actual",ISBLANK($E$8)),SUMIFS('[1]NS Vendor Details'!$D:$D,'[1]NS Vendor Details'!$H:$H,'G&amp;A Vendor x GL Analysis'!I$20,'[1]NS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Analysis'!I$20,'[1]NS Vendor Details'!$L:$L,'G&amp;A Vendor x GL Analysis'!$D101,'[1]NS Vendor Details'!$O:$O,'G&amp;A Vendor x GL Analysis'!$F101,'[1]NS Vendor Details'!$N:$N,"Direct Costs",'[1]NS Vendor Details'!$J:$J,0),IF(I$15="Actual",SUMIFS('[1]NS Vendor Details'!$D:$D,'[1]NS Vendor Details'!$H:$H,'G&amp;A Vendor x GL Analysis'!I$20,'[1]NS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Analysis'!I$20,'[1]NS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53370.26</v>
      </c>
      <c r="J101" s="17">
        <f>IF(AND(J$15="Actual",ISBLANK($E$8)),SUMIFS('[1]NS Vendor Details'!$D:$D,'[1]NS Vendor Details'!$H:$H,'G&amp;A Vendor x GL Analysis'!J$20,'[1]NS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Analysis'!J$20,'[1]NS Vendor Details'!$L:$L,'G&amp;A Vendor x GL Analysis'!$D101,'[1]NS Vendor Details'!$O:$O,'G&amp;A Vendor x GL Analysis'!$F101,'[1]NS Vendor Details'!$N:$N,"Direct Costs",'[1]NS Vendor Details'!$J:$J,0),IF(J$15="Actual",SUMIFS('[1]NS Vendor Details'!$D:$D,'[1]NS Vendor Details'!$H:$H,'G&amp;A Vendor x GL Analysis'!J$20,'[1]NS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Analysis'!J$20,'[1]NS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1000</v>
      </c>
      <c r="K101" s="17">
        <f>IF(AND(K$15="Actual",ISBLANK($E$8)),SUMIFS('[1]NS Vendor Details'!$D:$D,'[1]NS Vendor Details'!$H:$H,'G&amp;A Vendor x GL Analysis'!K$20,'[1]NS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Analysis'!K$20,'[1]NS Vendor Details'!$L:$L,'G&amp;A Vendor x GL Analysis'!$D101,'[1]NS Vendor Details'!$O:$O,'G&amp;A Vendor x GL Analysis'!$F101,'[1]NS Vendor Details'!$N:$N,"Direct Costs",'[1]NS Vendor Details'!$J:$J,0),IF(K$15="Actual",SUMIFS('[1]NS Vendor Details'!$D:$D,'[1]NS Vendor Details'!$H:$H,'G&amp;A Vendor x GL Analysis'!K$20,'[1]NS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Analysis'!K$20,'[1]NS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1000</v>
      </c>
      <c r="L101" s="17">
        <f>IF(AND(L$15="Actual",ISBLANK($E$8)),SUMIFS('[1]NS Vendor Details'!$D:$D,'[1]NS Vendor Details'!$H:$H,'G&amp;A Vendor x GL Analysis'!L$20,'[1]NS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Analysis'!L$20,'[1]NS Vendor Details'!$L:$L,'G&amp;A Vendor x GL Analysis'!$D101,'[1]NS Vendor Details'!$O:$O,'G&amp;A Vendor x GL Analysis'!$F101,'[1]NS Vendor Details'!$N:$N,"Direct Costs",'[1]NS Vendor Details'!$J:$J,0),IF(L$15="Actual",SUMIFS('[1]NS Vendor Details'!$D:$D,'[1]NS Vendor Details'!$H:$H,'G&amp;A Vendor x GL Analysis'!L$20,'[1]NS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Analysis'!L$20,'[1]NS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1000</v>
      </c>
      <c r="M101" s="17">
        <f>IF(AND(M$15="Actual",ISBLANK($E$8)),SUMIFS('[1]NS Vendor Details'!$D:$D,'[1]NS Vendor Details'!$H:$H,'G&amp;A Vendor x GL Analysis'!M$20,'[1]NS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Analysis'!M$20,'[1]NS Vendor Details'!$L:$L,'G&amp;A Vendor x GL Analysis'!$D101,'[1]NS Vendor Details'!$O:$O,'G&amp;A Vendor x GL Analysis'!$F101,'[1]NS Vendor Details'!$N:$N,"Direct Costs",'[1]NS Vendor Details'!$J:$J,0),IF(M$15="Actual",SUMIFS('[1]NS Vendor Details'!$D:$D,'[1]NS Vendor Details'!$H:$H,'G&amp;A Vendor x GL Analysis'!M$20,'[1]NS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Analysis'!M$20,'[1]NS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2000</v>
      </c>
      <c r="N101" s="17">
        <f>IF(AND(N$15="Actual",ISBLANK($E$8)),SUMIFS('[1]NS Vendor Details'!$D:$D,'[1]NS Vendor Details'!$H:$H,'G&amp;A Vendor x GL Analysis'!N$20,'[1]NS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Analysis'!N$20,'[1]NS Vendor Details'!$L:$L,'G&amp;A Vendor x GL Analysis'!$D101,'[1]NS Vendor Details'!$O:$O,'G&amp;A Vendor x GL Analysis'!$F101,'[1]NS Vendor Details'!$N:$N,"Direct Costs",'[1]NS Vendor Details'!$J:$J,0),IF(N$15="Actual",SUMIFS('[1]NS Vendor Details'!$D:$D,'[1]NS Vendor Details'!$H:$H,'G&amp;A Vendor x GL Analysis'!N$20,'[1]NS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Analysis'!N$20,'[1]NS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1000</v>
      </c>
      <c r="O101" s="17">
        <f>IF(AND(O$15="Actual",ISBLANK($E$8)),SUMIFS('[1]NS Vendor Details'!$D:$D,'[1]NS Vendor Details'!$H:$H,'G&amp;A Vendor x GL Analysis'!O$20,'[1]NS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Analysis'!O$20,'[1]NS Vendor Details'!$L:$L,'G&amp;A Vendor x GL Analysis'!$D101,'[1]NS Vendor Details'!$O:$O,'G&amp;A Vendor x GL Analysis'!$F101,'[1]NS Vendor Details'!$N:$N,"Direct Costs",'[1]NS Vendor Details'!$J:$J,0),IF(O$15="Actual",SUMIFS('[1]NS Vendor Details'!$D:$D,'[1]NS Vendor Details'!$H:$H,'G&amp;A Vendor x GL Analysis'!O$20,'[1]NS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Analysis'!O$20,'[1]NS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1000</v>
      </c>
      <c r="P101" s="17">
        <f>IF(AND(P$15="Actual",ISBLANK($E$8)),SUMIFS('[1]NS Vendor Details'!$D:$D,'[1]NS Vendor Details'!$H:$H,'G&amp;A Vendor x GL Analysis'!P$20,'[1]NS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Analysis'!P$20,'[1]NS Vendor Details'!$L:$L,'G&amp;A Vendor x GL Analysis'!$D101,'[1]NS Vendor Details'!$O:$O,'G&amp;A Vendor x GL Analysis'!$F101,'[1]NS Vendor Details'!$N:$N,"Direct Costs",'[1]NS Vendor Details'!$J:$J,0),IF(P$15="Actual",SUMIFS('[1]NS Vendor Details'!$D:$D,'[1]NS Vendor Details'!$H:$H,'G&amp;A Vendor x GL Analysis'!P$20,'[1]NS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Analysis'!P$20,'[1]NS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18000</v>
      </c>
      <c r="Q101" s="17">
        <f>IF(AND(Q$15="Actual",ISBLANK($E$8)),SUMIFS('[1]NS Vendor Details'!$D:$D,'[1]NS Vendor Details'!$H:$H,'G&amp;A Vendor x GL Analysis'!Q$20,'[1]NS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Analysis'!Q$20,'[1]NS Vendor Details'!$L:$L,'G&amp;A Vendor x GL Analysis'!$D101,'[1]NS Vendor Details'!$O:$O,'G&amp;A Vendor x GL Analysis'!$F101,'[1]NS Vendor Details'!$N:$N,"Direct Costs",'[1]NS Vendor Details'!$J:$J,0),IF(Q$15="Actual",SUMIFS('[1]NS Vendor Details'!$D:$D,'[1]NS Vendor Details'!$H:$H,'G&amp;A Vendor x GL Analysis'!Q$20,'[1]NS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Analysis'!Q$20,'[1]NS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1000</v>
      </c>
      <c r="R101" s="18">
        <f>IF(AND(R$15="Actual",ISBLANK($E$8)),SUMIFS('[1]NS Vendor Details'!$D:$D,'[1]NS Vendor Details'!$H:$H,'G&amp;A Vendor x GL Analysis'!R$20,'[1]NS Vendor Details'!$L:$L,'G&amp;A Vendor x GL Analysis'!$D101,'[1]NS Vendor Details'!$O:$O,'G&amp;A Vendor x GL Analysis'!$F101,'[1]NS Vendor Details'!$N:$N,'G&amp;A Vendor x GL Analysis'!$C101)+SUMIFS('[1]NS Vendor Details'!$D:$D,'[1]NS Vendor Details'!$H:$H,'G&amp;A Vendor x GL Analysis'!R$20,'[1]NS Vendor Details'!$L:$L,'G&amp;A Vendor x GL Analysis'!$D101,'[1]NS Vendor Details'!$O:$O,'G&amp;A Vendor x GL Analysis'!$F101,'[1]NS Vendor Details'!$N:$N,"Direct Costs",'[1]NS Vendor Details'!$J:$J,0),IF(R$15="Actual",SUMIFS('[1]NS Vendor Details'!$D:$D,'[1]NS Vendor Details'!$H:$H,'G&amp;A Vendor x GL Analysis'!R$20,'[1]NS Vendor Details'!$L:$L,'G&amp;A Vendor x GL Analysis'!$D101,'[1]NS Vendor Details'!$O:$O,'G&amp;A Vendor x GL Analysis'!$F101,'[1]NS Vendor Details'!$N:$N,'G&amp;A Vendor x GL Analysis'!$C101,'[1]NS Vendor Details'!$K:$K,'G&amp;A Vendor x GL Analysis'!$E$8)+SUMIFS('[1]NS Vendor Details'!$D:$D,'[1]NS Vendor Details'!$H:$H,'G&amp;A Vendor x GL Analysis'!R$20,'[1]NS Vendor Details'!$L:$L,'G&amp;A Vendor x GL Analysis'!$D101,'[1]NS Vendor Details'!$O:$O,'G&amp;A Vendor x GL Analysis'!$F101,'[1]NS Vendor Details'!$N:$N,"Direct Costs",'[1]NS Vendor Details'!$J:$J,0,'[1]NS Vendor Details'!$K:$K,'G&amp;A Vendor x GL Analysis'!$E$8),0))</f>
        <v>10500</v>
      </c>
      <c r="S101" s="16">
        <f>IF(AND(S$15="Actual",ISBLANK($E$8)),SUMIFS('[1]NS Vendor Details'!$D:$D,'[1]NS Vendor Details'!$H:$H,'G&amp;A Vendor x GL Analysis'!S$20,'[1]NS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Analysis'!S$20,'[1]NS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Analysis'!$E101),IF(S$15="Actual",SUMIFS('[1]NS Vendor Details'!$D:$D,'[1]NS Vendor Details'!$H:$H,'G&amp;A Vendor x GL Analysis'!S$20,'[1]NS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Analysis'!S$20,'[1]NS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1000</v>
      </c>
      <c r="T101" s="17">
        <f>IF(AND(T$15="Actual",ISBLANK($E$8)),SUMIFS('[1]NS Vendor Details'!$D:$D,'[1]NS Vendor Details'!$H:$H,'G&amp;A Vendor x GL Analysis'!T$20,'[1]NS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Analysis'!T$20,'[1]NS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Analysis'!$E101),IF(T$15="Actual",SUMIFS('[1]NS Vendor Details'!$D:$D,'[1]NS Vendor Details'!$H:$H,'G&amp;A Vendor x GL Analysis'!T$20,'[1]NS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Analysis'!T$20,'[1]NS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1370</v>
      </c>
      <c r="U101" s="17">
        <f>IF(AND(U$15="Actual",ISBLANK($E$8)),SUMIFS('[1]NS Vendor Details'!$D:$D,'[1]NS Vendor Details'!$H:$H,'G&amp;A Vendor x GL Analysis'!U$20,'[1]NS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Analysis'!U$20,'[1]NS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Analysis'!$E101),IF(U$15="Actual",SUMIFS('[1]NS Vendor Details'!$D:$D,'[1]NS Vendor Details'!$H:$H,'G&amp;A Vendor x GL Analysis'!U$20,'[1]NS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Analysis'!U$20,'[1]NS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48022.46</v>
      </c>
      <c r="V101" s="17">
        <f>IF(AND(V$15="Actual",ISBLANK($E$8)),SUMIFS('[1]NS Vendor Details'!$D:$D,'[1]NS Vendor Details'!$H:$H,'G&amp;A Vendor x GL Analysis'!V$20,'[1]NS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Analysis'!V$20,'[1]NS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Analysis'!$E101),IF(V$15="Actual",SUMIFS('[1]NS Vendor Details'!$D:$D,'[1]NS Vendor Details'!$H:$H,'G&amp;A Vendor x GL Analysis'!V$20,'[1]NS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Analysis'!V$20,'[1]NS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1000</v>
      </c>
      <c r="W101" s="17">
        <f>IF(AND(W$15="Actual",ISBLANK($E$8)),SUMIFS('[1]NS Vendor Details'!$D:$D,'[1]NS Vendor Details'!$H:$H,'G&amp;A Vendor x GL Analysis'!W$20,'[1]NS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Analysis'!W$20,'[1]NS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Analysis'!$E101),IF(W$15="Actual",SUMIFS('[1]NS Vendor Details'!$D:$D,'[1]NS Vendor Details'!$H:$H,'G&amp;A Vendor x GL Analysis'!W$20,'[1]NS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Analysis'!W$20,'[1]NS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1000</v>
      </c>
      <c r="X101" s="17">
        <f>IF(AND(X$15="Actual",ISBLANK($E$8)),SUMIFS('[1]NS Vendor Details'!$D:$D,'[1]NS Vendor Details'!$H:$H,'G&amp;A Vendor x GL Analysis'!X$20,'[1]NS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Analysis'!X$20,'[1]NS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Analysis'!$E101),IF(X$15="Actual",SUMIFS('[1]NS Vendor Details'!$D:$D,'[1]NS Vendor Details'!$H:$H,'G&amp;A Vendor x GL Analysis'!X$20,'[1]NS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Analysis'!X$20,'[1]NS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1000</v>
      </c>
      <c r="Y101" s="17">
        <f>IF(AND(Y$15="Actual",ISBLANK($E$8)),SUMIFS('[1]NS Vendor Details'!$D:$D,'[1]NS Vendor Details'!$H:$H,'G&amp;A Vendor x GL Analysis'!Y$20,'[1]NS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Analysis'!Y$20,'[1]NS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Analysis'!$E101),IF(Y$15="Actual",SUMIFS('[1]NS Vendor Details'!$D:$D,'[1]NS Vendor Details'!$H:$H,'G&amp;A Vendor x GL Analysis'!Y$20,'[1]NS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Analysis'!Y$20,'[1]NS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1000</v>
      </c>
      <c r="Z101" s="17">
        <f>IF(AND(Z$15="Actual",ISBLANK($E$8)),SUMIFS('[1]NS Vendor Details'!$D:$D,'[1]NS Vendor Details'!$H:$H,'G&amp;A Vendor x GL Analysis'!Z$20,'[1]NS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Analysis'!Z$20,'[1]NS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Analysis'!$E101),IF(Z$15="Actual",SUMIFS('[1]NS Vendor Details'!$D:$D,'[1]NS Vendor Details'!$H:$H,'G&amp;A Vendor x GL Analysis'!Z$20,'[1]NS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Analysis'!Z$20,'[1]NS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1000</v>
      </c>
      <c r="AA101" s="17">
        <f>IF(AND(AA$15="Actual",ISBLANK($E$8)),SUMIFS('[1]NS Vendor Details'!$D:$D,'[1]NS Vendor Details'!$H:$H,'G&amp;A Vendor x GL Analysis'!AA$20,'[1]NS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Analysis'!AA$20,'[1]NS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Analysis'!$E101),IF(AA$15="Actual",SUMIFS('[1]NS Vendor Details'!$D:$D,'[1]NS Vendor Details'!$H:$H,'G&amp;A Vendor x GL Analysis'!AA$20,'[1]NS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Analysis'!AA$20,'[1]NS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1000</v>
      </c>
      <c r="AB101" s="17">
        <f>IF(AND(AB$15="Actual",ISBLANK($E$8)),SUMIFS('[1]NS Vendor Details'!$D:$D,'[1]NS Vendor Details'!$H:$H,'G&amp;A Vendor x GL Analysis'!AB$20,'[1]NS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Analysis'!AB$20,'[1]NS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Analysis'!$E101),IF(AB$15="Actual",SUMIFS('[1]NS Vendor Details'!$D:$D,'[1]NS Vendor Details'!$H:$H,'G&amp;A Vendor x GL Analysis'!AB$20,'[1]NS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Analysis'!AB$20,'[1]NS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25000</v>
      </c>
      <c r="AC101" s="18">
        <f>IF(AND(AC$15="Actual",ISBLANK($E$8)),SUMIFS('[1]NS Vendor Details'!$D:$D,'[1]NS Vendor Details'!$H:$H,'G&amp;A Vendor x GL Analysis'!AC$20,'[1]NS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Analysis'!AC$20,'[1]NS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Analysis'!$E101),IF(AC$15="Actual",SUMIFS('[1]NS Vendor Details'!$D:$D,'[1]NS Vendor Details'!$H:$H,'G&amp;A Vendor x GL Analysis'!AC$20,'[1]NS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Analysis'!AC$20,'[1]NS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1000</v>
      </c>
      <c r="AD101" s="18">
        <f>IF(AND(AD$15="Actual",ISBLANK($E$8)),SUMIFS('[1]NS Vendor Details'!$D:$D,'[1]NS Vendor Details'!$H:$H,'G&amp;A Vendor x GL Analysis'!AD$20,'[1]NS Vendor Details'!$L:$L,'G&amp;A Vendor x GL Analysis'!$D101,'[1]NS Vendor Details'!$O:$O,'G&amp;A Vendor x GL Analysis'!$F101,'[1]NS Vendor Details'!$N:$N,'G&amp;A Vendor x GL Analysis'!$C101,'[1]NS Vendor Details'!$I:$I,'G&amp;A Vendor x GL Analysis'!$E101)+SUMIFS('[1]NS Vendor Details'!$D:$D,'[1]NS Vendor Details'!$H:$H,'G&amp;A Vendor x GL Analysis'!AD$20,'[1]NS Vendor Details'!$L:$L,'G&amp;A Vendor x GL Analysis'!$D101,'[1]NS Vendor Details'!$O:$O,'G&amp;A Vendor x GL Analysis'!$F101,'[1]NS Vendor Details'!$N:$N,"Direct Costs",'[1]NS Vendor Details'!$J:$J,0,'[1]NS Vendor Details'!$I:$I,'G&amp;A Vendor x GL Analysis'!$E101),IF(AD$15="Actual",SUMIFS('[1]NS Vendor Details'!$D:$D,'[1]NS Vendor Details'!$H:$H,'G&amp;A Vendor x GL Analysis'!AD$20,'[1]NS Vendor Details'!$L:$L,'G&amp;A Vendor x GL Analysis'!$D101,'[1]NS Vendor Details'!$O:$O,'G&amp;A Vendor x GL Analysis'!$F101,'[1]NS Vendor Details'!$N:$N,'G&amp;A Vendor x GL Analysis'!$C101,'[1]NS Vendor Details'!$K:$K,'G&amp;A Vendor x GL Analysis'!$E$8,'[1]NS Vendor Details'!$I:$I,'G&amp;A Vendor x GL Analysis'!$E101)+SUMIFS('[1]NS Vendor Details'!$D:$D,'[1]NS Vendor Details'!$H:$H,'G&amp;A Vendor x GL Analysis'!AD$20,'[1]NS Vendor Details'!$L:$L,'G&amp;A Vendor x GL Analysis'!$D101,'[1]NS Vendor Details'!$O:$O,'G&amp;A Vendor x GL Analysis'!$F101,'[1]NS Vendor Details'!$N:$N,"Direct Costs",'[1]NS Vendor Details'!$J:$J,0,'[1]NS Vendor Details'!$K:$K,'G&amp;A Vendor x GL Analysis'!$E$8,'[1]NS Vendor Details'!$I:$I,'G&amp;A Vendor x GL Analysis'!$E101),0))</f>
        <v>0</v>
      </c>
      <c r="AF101" s="19">
        <f t="shared" si="23"/>
        <v>82392.459999999992</v>
      </c>
    </row>
    <row r="102" spans="1:32" outlineLevel="1">
      <c r="A102" s="8" t="str">
        <f t="shared" si="22"/>
        <v>Professional Service6380 - Legal &amp; Accounting</v>
      </c>
      <c r="C102" s="8" t="s">
        <v>11</v>
      </c>
      <c r="D102" s="8" t="str">
        <f t="shared" si="21"/>
        <v>Professional Service</v>
      </c>
      <c r="E102" s="2" t="s">
        <v>90</v>
      </c>
      <c r="F102" s="2" t="s">
        <v>95</v>
      </c>
      <c r="G102" s="16">
        <f>IF(AND(G$15="Actual",ISBLANK($E$8)),SUMIFS('[1]NS Vendor Details'!$D:$D,'[1]NS Vendor Details'!$H:$H,'G&amp;A Vendor x GL Analysis'!G$20,'[1]NS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Analysis'!G$20,'[1]NS Vendor Details'!$L:$L,'G&amp;A Vendor x GL Analysis'!$D102,'[1]NS Vendor Details'!$O:$O,'G&amp;A Vendor x GL Analysis'!$F102,'[1]NS Vendor Details'!$N:$N,"Direct Costs",'[1]NS Vendor Details'!$J:$J,0),IF(G$15="Actual",SUMIFS('[1]NS Vendor Details'!$D:$D,'[1]NS Vendor Details'!$H:$H,'G&amp;A Vendor x GL Analysis'!G$20,'[1]NS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Analysis'!G$20,'[1]NS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0</v>
      </c>
      <c r="H102" s="17">
        <f>IF(AND(H$15="Actual",ISBLANK($E$8)),SUMIFS('[1]NS Vendor Details'!$D:$D,'[1]NS Vendor Details'!$H:$H,'G&amp;A Vendor x GL Analysis'!H$20,'[1]NS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Analysis'!H$20,'[1]NS Vendor Details'!$L:$L,'G&amp;A Vendor x GL Analysis'!$D102,'[1]NS Vendor Details'!$O:$O,'G&amp;A Vendor x GL Analysis'!$F102,'[1]NS Vendor Details'!$N:$N,"Direct Costs",'[1]NS Vendor Details'!$J:$J,0),IF(H$15="Actual",SUMIFS('[1]NS Vendor Details'!$D:$D,'[1]NS Vendor Details'!$H:$H,'G&amp;A Vendor x GL Analysis'!H$20,'[1]NS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Analysis'!H$20,'[1]NS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10720</v>
      </c>
      <c r="I102" s="17">
        <f>IF(AND(I$15="Actual",ISBLANK($E$8)),SUMIFS('[1]NS Vendor Details'!$D:$D,'[1]NS Vendor Details'!$H:$H,'G&amp;A Vendor x GL Analysis'!I$20,'[1]NS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Analysis'!I$20,'[1]NS Vendor Details'!$L:$L,'G&amp;A Vendor x GL Analysis'!$D102,'[1]NS Vendor Details'!$O:$O,'G&amp;A Vendor x GL Analysis'!$F102,'[1]NS Vendor Details'!$N:$N,"Direct Costs",'[1]NS Vendor Details'!$J:$J,0),IF(I$15="Actual",SUMIFS('[1]NS Vendor Details'!$D:$D,'[1]NS Vendor Details'!$H:$H,'G&amp;A Vendor x GL Analysis'!I$20,'[1]NS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Analysis'!I$20,'[1]NS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3120</v>
      </c>
      <c r="J102" s="17">
        <f>IF(AND(J$15="Actual",ISBLANK($E$8)),SUMIFS('[1]NS Vendor Details'!$D:$D,'[1]NS Vendor Details'!$H:$H,'G&amp;A Vendor x GL Analysis'!J$20,'[1]NS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Analysis'!J$20,'[1]NS Vendor Details'!$L:$L,'G&amp;A Vendor x GL Analysis'!$D102,'[1]NS Vendor Details'!$O:$O,'G&amp;A Vendor x GL Analysis'!$F102,'[1]NS Vendor Details'!$N:$N,"Direct Costs",'[1]NS Vendor Details'!$J:$J,0),IF(J$15="Actual",SUMIFS('[1]NS Vendor Details'!$D:$D,'[1]NS Vendor Details'!$H:$H,'G&amp;A Vendor x GL Analysis'!J$20,'[1]NS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Analysis'!J$20,'[1]NS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0</v>
      </c>
      <c r="K102" s="17">
        <f>IF(AND(K$15="Actual",ISBLANK($E$8)),SUMIFS('[1]NS Vendor Details'!$D:$D,'[1]NS Vendor Details'!$H:$H,'G&amp;A Vendor x GL Analysis'!K$20,'[1]NS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Analysis'!K$20,'[1]NS Vendor Details'!$L:$L,'G&amp;A Vendor x GL Analysis'!$D102,'[1]NS Vendor Details'!$O:$O,'G&amp;A Vendor x GL Analysis'!$F102,'[1]NS Vendor Details'!$N:$N,"Direct Costs",'[1]NS Vendor Details'!$J:$J,0),IF(K$15="Actual",SUMIFS('[1]NS Vendor Details'!$D:$D,'[1]NS Vendor Details'!$H:$H,'G&amp;A Vendor x GL Analysis'!K$20,'[1]NS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Analysis'!K$20,'[1]NS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0</v>
      </c>
      <c r="L102" s="17">
        <f>IF(AND(L$15="Actual",ISBLANK($E$8)),SUMIFS('[1]NS Vendor Details'!$D:$D,'[1]NS Vendor Details'!$H:$H,'G&amp;A Vendor x GL Analysis'!L$20,'[1]NS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Analysis'!L$20,'[1]NS Vendor Details'!$L:$L,'G&amp;A Vendor x GL Analysis'!$D102,'[1]NS Vendor Details'!$O:$O,'G&amp;A Vendor x GL Analysis'!$F102,'[1]NS Vendor Details'!$N:$N,"Direct Costs",'[1]NS Vendor Details'!$J:$J,0),IF(L$15="Actual",SUMIFS('[1]NS Vendor Details'!$D:$D,'[1]NS Vendor Details'!$H:$H,'G&amp;A Vendor x GL Analysis'!L$20,'[1]NS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Analysis'!L$20,'[1]NS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0</v>
      </c>
      <c r="M102" s="17">
        <f>IF(AND(M$15="Actual",ISBLANK($E$8)),SUMIFS('[1]NS Vendor Details'!$D:$D,'[1]NS Vendor Details'!$H:$H,'G&amp;A Vendor x GL Analysis'!M$20,'[1]NS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Analysis'!M$20,'[1]NS Vendor Details'!$L:$L,'G&amp;A Vendor x GL Analysis'!$D102,'[1]NS Vendor Details'!$O:$O,'G&amp;A Vendor x GL Analysis'!$F102,'[1]NS Vendor Details'!$N:$N,"Direct Costs",'[1]NS Vendor Details'!$J:$J,0),IF(M$15="Actual",SUMIFS('[1]NS Vendor Details'!$D:$D,'[1]NS Vendor Details'!$H:$H,'G&amp;A Vendor x GL Analysis'!M$20,'[1]NS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Analysis'!M$20,'[1]NS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0</v>
      </c>
      <c r="N102" s="17">
        <f>IF(AND(N$15="Actual",ISBLANK($E$8)),SUMIFS('[1]NS Vendor Details'!$D:$D,'[1]NS Vendor Details'!$H:$H,'G&amp;A Vendor x GL Analysis'!N$20,'[1]NS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Analysis'!N$20,'[1]NS Vendor Details'!$L:$L,'G&amp;A Vendor x GL Analysis'!$D102,'[1]NS Vendor Details'!$O:$O,'G&amp;A Vendor x GL Analysis'!$F102,'[1]NS Vendor Details'!$N:$N,"Direct Costs",'[1]NS Vendor Details'!$J:$J,0),IF(N$15="Actual",SUMIFS('[1]NS Vendor Details'!$D:$D,'[1]NS Vendor Details'!$H:$H,'G&amp;A Vendor x GL Analysis'!N$20,'[1]NS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Analysis'!N$20,'[1]NS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0</v>
      </c>
      <c r="O102" s="17">
        <f>IF(AND(O$15="Actual",ISBLANK($E$8)),SUMIFS('[1]NS Vendor Details'!$D:$D,'[1]NS Vendor Details'!$H:$H,'G&amp;A Vendor x GL Analysis'!O$20,'[1]NS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Analysis'!O$20,'[1]NS Vendor Details'!$L:$L,'G&amp;A Vendor x GL Analysis'!$D102,'[1]NS Vendor Details'!$O:$O,'G&amp;A Vendor x GL Analysis'!$F102,'[1]NS Vendor Details'!$N:$N,"Direct Costs",'[1]NS Vendor Details'!$J:$J,0),IF(O$15="Actual",SUMIFS('[1]NS Vendor Details'!$D:$D,'[1]NS Vendor Details'!$H:$H,'G&amp;A Vendor x GL Analysis'!O$20,'[1]NS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Analysis'!O$20,'[1]NS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760</v>
      </c>
      <c r="P102" s="17">
        <f>IF(AND(P$15="Actual",ISBLANK($E$8)),SUMIFS('[1]NS Vendor Details'!$D:$D,'[1]NS Vendor Details'!$H:$H,'G&amp;A Vendor x GL Analysis'!P$20,'[1]NS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Analysis'!P$20,'[1]NS Vendor Details'!$L:$L,'G&amp;A Vendor x GL Analysis'!$D102,'[1]NS Vendor Details'!$O:$O,'G&amp;A Vendor x GL Analysis'!$F102,'[1]NS Vendor Details'!$N:$N,"Direct Costs",'[1]NS Vendor Details'!$J:$J,0),IF(P$15="Actual",SUMIFS('[1]NS Vendor Details'!$D:$D,'[1]NS Vendor Details'!$H:$H,'G&amp;A Vendor x GL Analysis'!P$20,'[1]NS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Analysis'!P$20,'[1]NS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0</v>
      </c>
      <c r="Q102" s="17">
        <f>IF(AND(Q$15="Actual",ISBLANK($E$8)),SUMIFS('[1]NS Vendor Details'!$D:$D,'[1]NS Vendor Details'!$H:$H,'G&amp;A Vendor x GL Analysis'!Q$20,'[1]NS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Analysis'!Q$20,'[1]NS Vendor Details'!$L:$L,'G&amp;A Vendor x GL Analysis'!$D102,'[1]NS Vendor Details'!$O:$O,'G&amp;A Vendor x GL Analysis'!$F102,'[1]NS Vendor Details'!$N:$N,"Direct Costs",'[1]NS Vendor Details'!$J:$J,0),IF(Q$15="Actual",SUMIFS('[1]NS Vendor Details'!$D:$D,'[1]NS Vendor Details'!$H:$H,'G&amp;A Vendor x GL Analysis'!Q$20,'[1]NS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Analysis'!Q$20,'[1]NS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2455</v>
      </c>
      <c r="R102" s="18">
        <f>IF(AND(R$15="Actual",ISBLANK($E$8)),SUMIFS('[1]NS Vendor Details'!$D:$D,'[1]NS Vendor Details'!$H:$H,'G&amp;A Vendor x GL Analysis'!R$20,'[1]NS Vendor Details'!$L:$L,'G&amp;A Vendor x GL Analysis'!$D102,'[1]NS Vendor Details'!$O:$O,'G&amp;A Vendor x GL Analysis'!$F102,'[1]NS Vendor Details'!$N:$N,'G&amp;A Vendor x GL Analysis'!$C102)+SUMIFS('[1]NS Vendor Details'!$D:$D,'[1]NS Vendor Details'!$H:$H,'G&amp;A Vendor x GL Analysis'!R$20,'[1]NS Vendor Details'!$L:$L,'G&amp;A Vendor x GL Analysis'!$D102,'[1]NS Vendor Details'!$O:$O,'G&amp;A Vendor x GL Analysis'!$F102,'[1]NS Vendor Details'!$N:$N,"Direct Costs",'[1]NS Vendor Details'!$J:$J,0),IF(R$15="Actual",SUMIFS('[1]NS Vendor Details'!$D:$D,'[1]NS Vendor Details'!$H:$H,'G&amp;A Vendor x GL Analysis'!R$20,'[1]NS Vendor Details'!$L:$L,'G&amp;A Vendor x GL Analysis'!$D102,'[1]NS Vendor Details'!$O:$O,'G&amp;A Vendor x GL Analysis'!$F102,'[1]NS Vendor Details'!$N:$N,'G&amp;A Vendor x GL Analysis'!$C102,'[1]NS Vendor Details'!$K:$K,'G&amp;A Vendor x GL Analysis'!$E$8)+SUMIFS('[1]NS Vendor Details'!$D:$D,'[1]NS Vendor Details'!$H:$H,'G&amp;A Vendor x GL Analysis'!R$20,'[1]NS Vendor Details'!$L:$L,'G&amp;A Vendor x GL Analysis'!$D102,'[1]NS Vendor Details'!$O:$O,'G&amp;A Vendor x GL Analysis'!$F102,'[1]NS Vendor Details'!$N:$N,"Direct Costs",'[1]NS Vendor Details'!$J:$J,0,'[1]NS Vendor Details'!$K:$K,'G&amp;A Vendor x GL Analysis'!$E$8),0))</f>
        <v>500</v>
      </c>
      <c r="S102" s="16">
        <f>IF(AND(S$15="Actual",ISBLANK($E$8)),SUMIFS('[1]NS Vendor Details'!$D:$D,'[1]NS Vendor Details'!$H:$H,'G&amp;A Vendor x GL Analysis'!S$20,'[1]NS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Analysis'!S$20,'[1]NS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Analysis'!$E102),IF(S$15="Actual",SUMIFS('[1]NS Vendor Details'!$D:$D,'[1]NS Vendor Details'!$H:$H,'G&amp;A Vendor x GL Analysis'!S$20,'[1]NS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Analysis'!S$20,'[1]NS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T102" s="17">
        <f>IF(AND(T$15="Actual",ISBLANK($E$8)),SUMIFS('[1]NS Vendor Details'!$D:$D,'[1]NS Vendor Details'!$H:$H,'G&amp;A Vendor x GL Analysis'!T$20,'[1]NS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Analysis'!T$20,'[1]NS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Analysis'!$E102),IF(T$15="Actual",SUMIFS('[1]NS Vendor Details'!$D:$D,'[1]NS Vendor Details'!$H:$H,'G&amp;A Vendor x GL Analysis'!T$20,'[1]NS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Analysis'!T$20,'[1]NS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U102" s="17">
        <f>IF(AND(U$15="Actual",ISBLANK($E$8)),SUMIFS('[1]NS Vendor Details'!$D:$D,'[1]NS Vendor Details'!$H:$H,'G&amp;A Vendor x GL Analysis'!U$20,'[1]NS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Analysis'!U$20,'[1]NS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Analysis'!$E102),IF(U$15="Actual",SUMIFS('[1]NS Vendor Details'!$D:$D,'[1]NS Vendor Details'!$H:$H,'G&amp;A Vendor x GL Analysis'!U$20,'[1]NS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Analysis'!U$20,'[1]NS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V102" s="17">
        <f>IF(AND(V$15="Actual",ISBLANK($E$8)),SUMIFS('[1]NS Vendor Details'!$D:$D,'[1]NS Vendor Details'!$H:$H,'G&amp;A Vendor x GL Analysis'!V$20,'[1]NS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Analysis'!V$20,'[1]NS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Analysis'!$E102),IF(V$15="Actual",SUMIFS('[1]NS Vendor Details'!$D:$D,'[1]NS Vendor Details'!$H:$H,'G&amp;A Vendor x GL Analysis'!V$20,'[1]NS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Analysis'!V$20,'[1]NS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W102" s="17">
        <f>IF(AND(W$15="Actual",ISBLANK($E$8)),SUMIFS('[1]NS Vendor Details'!$D:$D,'[1]NS Vendor Details'!$H:$H,'G&amp;A Vendor x GL Analysis'!W$20,'[1]NS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Analysis'!W$20,'[1]NS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Analysis'!$E102),IF(W$15="Actual",SUMIFS('[1]NS Vendor Details'!$D:$D,'[1]NS Vendor Details'!$H:$H,'G&amp;A Vendor x GL Analysis'!W$20,'[1]NS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Analysis'!W$20,'[1]NS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X102" s="17">
        <f>IF(AND(X$15="Actual",ISBLANK($E$8)),SUMIFS('[1]NS Vendor Details'!$D:$D,'[1]NS Vendor Details'!$H:$H,'G&amp;A Vendor x GL Analysis'!X$20,'[1]NS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Analysis'!X$20,'[1]NS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Analysis'!$E102),IF(X$15="Actual",SUMIFS('[1]NS Vendor Details'!$D:$D,'[1]NS Vendor Details'!$H:$H,'G&amp;A Vendor x GL Analysis'!X$20,'[1]NS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Analysis'!X$20,'[1]NS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Y102" s="17">
        <f>IF(AND(Y$15="Actual",ISBLANK($E$8)),SUMIFS('[1]NS Vendor Details'!$D:$D,'[1]NS Vendor Details'!$H:$H,'G&amp;A Vendor x GL Analysis'!Y$20,'[1]NS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Analysis'!Y$20,'[1]NS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Analysis'!$E102),IF(Y$15="Actual",SUMIFS('[1]NS Vendor Details'!$D:$D,'[1]NS Vendor Details'!$H:$H,'G&amp;A Vendor x GL Analysis'!Y$20,'[1]NS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Analysis'!Y$20,'[1]NS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2290</v>
      </c>
      <c r="Z102" s="17">
        <f>IF(AND(Z$15="Actual",ISBLANK($E$8)),SUMIFS('[1]NS Vendor Details'!$D:$D,'[1]NS Vendor Details'!$H:$H,'G&amp;A Vendor x GL Analysis'!Z$20,'[1]NS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Analysis'!Z$20,'[1]NS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Analysis'!$E102),IF(Z$15="Actual",SUMIFS('[1]NS Vendor Details'!$D:$D,'[1]NS Vendor Details'!$H:$H,'G&amp;A Vendor x GL Analysis'!Z$20,'[1]NS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Analysis'!Z$20,'[1]NS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AA102" s="17">
        <f>IF(AND(AA$15="Actual",ISBLANK($E$8)),SUMIFS('[1]NS Vendor Details'!$D:$D,'[1]NS Vendor Details'!$H:$H,'G&amp;A Vendor x GL Analysis'!AA$20,'[1]NS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Analysis'!AA$20,'[1]NS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Analysis'!$E102),IF(AA$15="Actual",SUMIFS('[1]NS Vendor Details'!$D:$D,'[1]NS Vendor Details'!$H:$H,'G&amp;A Vendor x GL Analysis'!AA$20,'[1]NS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Analysis'!AA$20,'[1]NS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AB102" s="17">
        <f>IF(AND(AB$15="Actual",ISBLANK($E$8)),SUMIFS('[1]NS Vendor Details'!$D:$D,'[1]NS Vendor Details'!$H:$H,'G&amp;A Vendor x GL Analysis'!AB$20,'[1]NS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Analysis'!AB$20,'[1]NS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Analysis'!$E102),IF(AB$15="Actual",SUMIFS('[1]NS Vendor Details'!$D:$D,'[1]NS Vendor Details'!$H:$H,'G&amp;A Vendor x GL Analysis'!AB$20,'[1]NS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Analysis'!AB$20,'[1]NS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AC102" s="18">
        <f>IF(AND(AC$15="Actual",ISBLANK($E$8)),SUMIFS('[1]NS Vendor Details'!$D:$D,'[1]NS Vendor Details'!$H:$H,'G&amp;A Vendor x GL Analysis'!AC$20,'[1]NS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Analysis'!AC$20,'[1]NS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Analysis'!$E102),IF(AC$15="Actual",SUMIFS('[1]NS Vendor Details'!$D:$D,'[1]NS Vendor Details'!$H:$H,'G&amp;A Vendor x GL Analysis'!AC$20,'[1]NS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Analysis'!AC$20,'[1]NS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AD102" s="18">
        <f>IF(AND(AD$15="Actual",ISBLANK($E$8)),SUMIFS('[1]NS Vendor Details'!$D:$D,'[1]NS Vendor Details'!$H:$H,'G&amp;A Vendor x GL Analysis'!AD$20,'[1]NS Vendor Details'!$L:$L,'G&amp;A Vendor x GL Analysis'!$D102,'[1]NS Vendor Details'!$O:$O,'G&amp;A Vendor x GL Analysis'!$F102,'[1]NS Vendor Details'!$N:$N,'G&amp;A Vendor x GL Analysis'!$C102,'[1]NS Vendor Details'!$I:$I,'G&amp;A Vendor x GL Analysis'!$E102)+SUMIFS('[1]NS Vendor Details'!$D:$D,'[1]NS Vendor Details'!$H:$H,'G&amp;A Vendor x GL Analysis'!AD$20,'[1]NS Vendor Details'!$L:$L,'G&amp;A Vendor x GL Analysis'!$D102,'[1]NS Vendor Details'!$O:$O,'G&amp;A Vendor x GL Analysis'!$F102,'[1]NS Vendor Details'!$N:$N,"Direct Costs",'[1]NS Vendor Details'!$J:$J,0,'[1]NS Vendor Details'!$I:$I,'G&amp;A Vendor x GL Analysis'!$E102),IF(AD$15="Actual",SUMIFS('[1]NS Vendor Details'!$D:$D,'[1]NS Vendor Details'!$H:$H,'G&amp;A Vendor x GL Analysis'!AD$20,'[1]NS Vendor Details'!$L:$L,'G&amp;A Vendor x GL Analysis'!$D102,'[1]NS Vendor Details'!$O:$O,'G&amp;A Vendor x GL Analysis'!$F102,'[1]NS Vendor Details'!$N:$N,'G&amp;A Vendor x GL Analysis'!$C102,'[1]NS Vendor Details'!$K:$K,'G&amp;A Vendor x GL Analysis'!$E$8,'[1]NS Vendor Details'!$I:$I,'G&amp;A Vendor x GL Analysis'!$E102)+SUMIFS('[1]NS Vendor Details'!$D:$D,'[1]NS Vendor Details'!$H:$H,'G&amp;A Vendor x GL Analysis'!AD$20,'[1]NS Vendor Details'!$L:$L,'G&amp;A Vendor x GL Analysis'!$D102,'[1]NS Vendor Details'!$O:$O,'G&amp;A Vendor x GL Analysis'!$F102,'[1]NS Vendor Details'!$N:$N,"Direct Costs",'[1]NS Vendor Details'!$J:$J,0,'[1]NS Vendor Details'!$K:$K,'G&amp;A Vendor x GL Analysis'!$E$8,'[1]NS Vendor Details'!$I:$I,'G&amp;A Vendor x GL Analysis'!$E102),0))</f>
        <v>0</v>
      </c>
      <c r="AF102" s="19">
        <f t="shared" si="23"/>
        <v>2290</v>
      </c>
    </row>
    <row r="103" spans="1:32" outlineLevel="1">
      <c r="A103" s="8" t="str">
        <f t="shared" si="22"/>
        <v>Professional Service6380 - Legal &amp; Accounting</v>
      </c>
      <c r="C103" s="8" t="s">
        <v>11</v>
      </c>
      <c r="D103" s="8" t="str">
        <f t="shared" si="21"/>
        <v>Professional Service</v>
      </c>
      <c r="E103" s="2" t="s">
        <v>90</v>
      </c>
      <c r="F103" s="2" t="s">
        <v>96</v>
      </c>
      <c r="G103" s="16">
        <f>IF(AND(G$15="Actual",ISBLANK($E$8)),SUMIFS('[1]NS Vendor Details'!$D:$D,'[1]NS Vendor Details'!$H:$H,'G&amp;A Vendor x GL Analysis'!G$20,'[1]NS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Analysis'!G$20,'[1]NS Vendor Details'!$L:$L,'G&amp;A Vendor x GL Analysis'!$D103,'[1]NS Vendor Details'!$O:$O,'G&amp;A Vendor x GL Analysis'!$F103,'[1]NS Vendor Details'!$N:$N,"Direct Costs",'[1]NS Vendor Details'!$J:$J,0),IF(G$15="Actual",SUMIFS('[1]NS Vendor Details'!$D:$D,'[1]NS Vendor Details'!$H:$H,'G&amp;A Vendor x GL Analysis'!G$20,'[1]NS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Analysis'!G$20,'[1]NS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H103" s="17">
        <f>IF(AND(H$15="Actual",ISBLANK($E$8)),SUMIFS('[1]NS Vendor Details'!$D:$D,'[1]NS Vendor Details'!$H:$H,'G&amp;A Vendor x GL Analysis'!H$20,'[1]NS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Analysis'!H$20,'[1]NS Vendor Details'!$L:$L,'G&amp;A Vendor x GL Analysis'!$D103,'[1]NS Vendor Details'!$O:$O,'G&amp;A Vendor x GL Analysis'!$F103,'[1]NS Vendor Details'!$N:$N,"Direct Costs",'[1]NS Vendor Details'!$J:$J,0),IF(H$15="Actual",SUMIFS('[1]NS Vendor Details'!$D:$D,'[1]NS Vendor Details'!$H:$H,'G&amp;A Vendor x GL Analysis'!H$20,'[1]NS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Analysis'!H$20,'[1]NS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I103" s="17">
        <f>IF(AND(I$15="Actual",ISBLANK($E$8)),SUMIFS('[1]NS Vendor Details'!$D:$D,'[1]NS Vendor Details'!$H:$H,'G&amp;A Vendor x GL Analysis'!I$20,'[1]NS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Analysis'!I$20,'[1]NS Vendor Details'!$L:$L,'G&amp;A Vendor x GL Analysis'!$D103,'[1]NS Vendor Details'!$O:$O,'G&amp;A Vendor x GL Analysis'!$F103,'[1]NS Vendor Details'!$N:$N,"Direct Costs",'[1]NS Vendor Details'!$J:$J,0),IF(I$15="Actual",SUMIFS('[1]NS Vendor Details'!$D:$D,'[1]NS Vendor Details'!$H:$H,'G&amp;A Vendor x GL Analysis'!I$20,'[1]NS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Analysis'!I$20,'[1]NS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J103" s="17">
        <f>IF(AND(J$15="Actual",ISBLANK($E$8)),SUMIFS('[1]NS Vendor Details'!$D:$D,'[1]NS Vendor Details'!$H:$H,'G&amp;A Vendor x GL Analysis'!J$20,'[1]NS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Analysis'!J$20,'[1]NS Vendor Details'!$L:$L,'G&amp;A Vendor x GL Analysis'!$D103,'[1]NS Vendor Details'!$O:$O,'G&amp;A Vendor x GL Analysis'!$F103,'[1]NS Vendor Details'!$N:$N,"Direct Costs",'[1]NS Vendor Details'!$J:$J,0),IF(J$15="Actual",SUMIFS('[1]NS Vendor Details'!$D:$D,'[1]NS Vendor Details'!$H:$H,'G&amp;A Vendor x GL Analysis'!J$20,'[1]NS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Analysis'!J$20,'[1]NS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K103" s="17">
        <f>IF(AND(K$15="Actual",ISBLANK($E$8)),SUMIFS('[1]NS Vendor Details'!$D:$D,'[1]NS Vendor Details'!$H:$H,'G&amp;A Vendor x GL Analysis'!K$20,'[1]NS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Analysis'!K$20,'[1]NS Vendor Details'!$L:$L,'G&amp;A Vendor x GL Analysis'!$D103,'[1]NS Vendor Details'!$O:$O,'G&amp;A Vendor x GL Analysis'!$F103,'[1]NS Vendor Details'!$N:$N,"Direct Costs",'[1]NS Vendor Details'!$J:$J,0),IF(K$15="Actual",SUMIFS('[1]NS Vendor Details'!$D:$D,'[1]NS Vendor Details'!$H:$H,'G&amp;A Vendor x GL Analysis'!K$20,'[1]NS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Analysis'!K$20,'[1]NS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L103" s="17">
        <f>IF(AND(L$15="Actual",ISBLANK($E$8)),SUMIFS('[1]NS Vendor Details'!$D:$D,'[1]NS Vendor Details'!$H:$H,'G&amp;A Vendor x GL Analysis'!L$20,'[1]NS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Analysis'!L$20,'[1]NS Vendor Details'!$L:$L,'G&amp;A Vendor x GL Analysis'!$D103,'[1]NS Vendor Details'!$O:$O,'G&amp;A Vendor x GL Analysis'!$F103,'[1]NS Vendor Details'!$N:$N,"Direct Costs",'[1]NS Vendor Details'!$J:$J,0),IF(L$15="Actual",SUMIFS('[1]NS Vendor Details'!$D:$D,'[1]NS Vendor Details'!$H:$H,'G&amp;A Vendor x GL Analysis'!L$20,'[1]NS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Analysis'!L$20,'[1]NS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M103" s="17">
        <f>IF(AND(M$15="Actual",ISBLANK($E$8)),SUMIFS('[1]NS Vendor Details'!$D:$D,'[1]NS Vendor Details'!$H:$H,'G&amp;A Vendor x GL Analysis'!M$20,'[1]NS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Analysis'!M$20,'[1]NS Vendor Details'!$L:$L,'G&amp;A Vendor x GL Analysis'!$D103,'[1]NS Vendor Details'!$O:$O,'G&amp;A Vendor x GL Analysis'!$F103,'[1]NS Vendor Details'!$N:$N,"Direct Costs",'[1]NS Vendor Details'!$J:$J,0),IF(M$15="Actual",SUMIFS('[1]NS Vendor Details'!$D:$D,'[1]NS Vendor Details'!$H:$H,'G&amp;A Vendor x GL Analysis'!M$20,'[1]NS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Analysis'!M$20,'[1]NS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N103" s="17">
        <f>IF(AND(N$15="Actual",ISBLANK($E$8)),SUMIFS('[1]NS Vendor Details'!$D:$D,'[1]NS Vendor Details'!$H:$H,'G&amp;A Vendor x GL Analysis'!N$20,'[1]NS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Analysis'!N$20,'[1]NS Vendor Details'!$L:$L,'G&amp;A Vendor x GL Analysis'!$D103,'[1]NS Vendor Details'!$O:$O,'G&amp;A Vendor x GL Analysis'!$F103,'[1]NS Vendor Details'!$N:$N,"Direct Costs",'[1]NS Vendor Details'!$J:$J,0),IF(N$15="Actual",SUMIFS('[1]NS Vendor Details'!$D:$D,'[1]NS Vendor Details'!$H:$H,'G&amp;A Vendor x GL Analysis'!N$20,'[1]NS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Analysis'!N$20,'[1]NS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O103" s="17">
        <f>IF(AND(O$15="Actual",ISBLANK($E$8)),SUMIFS('[1]NS Vendor Details'!$D:$D,'[1]NS Vendor Details'!$H:$H,'G&amp;A Vendor x GL Analysis'!O$20,'[1]NS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Analysis'!O$20,'[1]NS Vendor Details'!$L:$L,'G&amp;A Vendor x GL Analysis'!$D103,'[1]NS Vendor Details'!$O:$O,'G&amp;A Vendor x GL Analysis'!$F103,'[1]NS Vendor Details'!$N:$N,"Direct Costs",'[1]NS Vendor Details'!$J:$J,0),IF(O$15="Actual",SUMIFS('[1]NS Vendor Details'!$D:$D,'[1]NS Vendor Details'!$H:$H,'G&amp;A Vendor x GL Analysis'!O$20,'[1]NS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Analysis'!O$20,'[1]NS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P103" s="17">
        <f>IF(AND(P$15="Actual",ISBLANK($E$8)),SUMIFS('[1]NS Vendor Details'!$D:$D,'[1]NS Vendor Details'!$H:$H,'G&amp;A Vendor x GL Analysis'!P$20,'[1]NS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Analysis'!P$20,'[1]NS Vendor Details'!$L:$L,'G&amp;A Vendor x GL Analysis'!$D103,'[1]NS Vendor Details'!$O:$O,'G&amp;A Vendor x GL Analysis'!$F103,'[1]NS Vendor Details'!$N:$N,"Direct Costs",'[1]NS Vendor Details'!$J:$J,0),IF(P$15="Actual",SUMIFS('[1]NS Vendor Details'!$D:$D,'[1]NS Vendor Details'!$H:$H,'G&amp;A Vendor x GL Analysis'!P$20,'[1]NS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Analysis'!P$20,'[1]NS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Q103" s="17">
        <f>IF(AND(Q$15="Actual",ISBLANK($E$8)),SUMIFS('[1]NS Vendor Details'!$D:$D,'[1]NS Vendor Details'!$H:$H,'G&amp;A Vendor x GL Analysis'!Q$20,'[1]NS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Analysis'!Q$20,'[1]NS Vendor Details'!$L:$L,'G&amp;A Vendor x GL Analysis'!$D103,'[1]NS Vendor Details'!$O:$O,'G&amp;A Vendor x GL Analysis'!$F103,'[1]NS Vendor Details'!$N:$N,"Direct Costs",'[1]NS Vendor Details'!$J:$J,0),IF(Q$15="Actual",SUMIFS('[1]NS Vendor Details'!$D:$D,'[1]NS Vendor Details'!$H:$H,'G&amp;A Vendor x GL Analysis'!Q$20,'[1]NS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Analysis'!Q$20,'[1]NS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R103" s="18">
        <f>IF(AND(R$15="Actual",ISBLANK($E$8)),SUMIFS('[1]NS Vendor Details'!$D:$D,'[1]NS Vendor Details'!$H:$H,'G&amp;A Vendor x GL Analysis'!R$20,'[1]NS Vendor Details'!$L:$L,'G&amp;A Vendor x GL Analysis'!$D103,'[1]NS Vendor Details'!$O:$O,'G&amp;A Vendor x GL Analysis'!$F103,'[1]NS Vendor Details'!$N:$N,'G&amp;A Vendor x GL Analysis'!$C103)+SUMIFS('[1]NS Vendor Details'!$D:$D,'[1]NS Vendor Details'!$H:$H,'G&amp;A Vendor x GL Analysis'!R$20,'[1]NS Vendor Details'!$L:$L,'G&amp;A Vendor x GL Analysis'!$D103,'[1]NS Vendor Details'!$O:$O,'G&amp;A Vendor x GL Analysis'!$F103,'[1]NS Vendor Details'!$N:$N,"Direct Costs",'[1]NS Vendor Details'!$J:$J,0),IF(R$15="Actual",SUMIFS('[1]NS Vendor Details'!$D:$D,'[1]NS Vendor Details'!$H:$H,'G&amp;A Vendor x GL Analysis'!R$20,'[1]NS Vendor Details'!$L:$L,'G&amp;A Vendor x GL Analysis'!$D103,'[1]NS Vendor Details'!$O:$O,'G&amp;A Vendor x GL Analysis'!$F103,'[1]NS Vendor Details'!$N:$N,'G&amp;A Vendor x GL Analysis'!$C103,'[1]NS Vendor Details'!$K:$K,'G&amp;A Vendor x GL Analysis'!$E$8)+SUMIFS('[1]NS Vendor Details'!$D:$D,'[1]NS Vendor Details'!$H:$H,'G&amp;A Vendor x GL Analysis'!R$20,'[1]NS Vendor Details'!$L:$L,'G&amp;A Vendor x GL Analysis'!$D103,'[1]NS Vendor Details'!$O:$O,'G&amp;A Vendor x GL Analysis'!$F103,'[1]NS Vendor Details'!$N:$N,"Direct Costs",'[1]NS Vendor Details'!$J:$J,0,'[1]NS Vendor Details'!$K:$K,'G&amp;A Vendor x GL Analysis'!$E$8),0))</f>
        <v>0</v>
      </c>
      <c r="S103" s="16">
        <f>IF(AND(S$15="Actual",ISBLANK($E$8)),SUMIFS('[1]NS Vendor Details'!$D:$D,'[1]NS Vendor Details'!$H:$H,'G&amp;A Vendor x GL Analysis'!S$20,'[1]NS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Analysis'!S$20,'[1]NS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Analysis'!$E103),IF(S$15="Actual",SUMIFS('[1]NS Vendor Details'!$D:$D,'[1]NS Vendor Details'!$H:$H,'G&amp;A Vendor x GL Analysis'!S$20,'[1]NS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Analysis'!S$20,'[1]NS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T103" s="17">
        <f>IF(AND(T$15="Actual",ISBLANK($E$8)),SUMIFS('[1]NS Vendor Details'!$D:$D,'[1]NS Vendor Details'!$H:$H,'G&amp;A Vendor x GL Analysis'!T$20,'[1]NS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Analysis'!T$20,'[1]NS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Analysis'!$E103),IF(T$15="Actual",SUMIFS('[1]NS Vendor Details'!$D:$D,'[1]NS Vendor Details'!$H:$H,'G&amp;A Vendor x GL Analysis'!T$20,'[1]NS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Analysis'!T$20,'[1]NS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U103" s="17">
        <f>IF(AND(U$15="Actual",ISBLANK($E$8)),SUMIFS('[1]NS Vendor Details'!$D:$D,'[1]NS Vendor Details'!$H:$H,'G&amp;A Vendor x GL Analysis'!U$20,'[1]NS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Analysis'!U$20,'[1]NS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Analysis'!$E103),IF(U$15="Actual",SUMIFS('[1]NS Vendor Details'!$D:$D,'[1]NS Vendor Details'!$H:$H,'G&amp;A Vendor x GL Analysis'!U$20,'[1]NS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Analysis'!U$20,'[1]NS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V103" s="17">
        <f>IF(AND(V$15="Actual",ISBLANK($E$8)),SUMIFS('[1]NS Vendor Details'!$D:$D,'[1]NS Vendor Details'!$H:$H,'G&amp;A Vendor x GL Analysis'!V$20,'[1]NS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Analysis'!V$20,'[1]NS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Analysis'!$E103),IF(V$15="Actual",SUMIFS('[1]NS Vendor Details'!$D:$D,'[1]NS Vendor Details'!$H:$H,'G&amp;A Vendor x GL Analysis'!V$20,'[1]NS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Analysis'!V$20,'[1]NS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5563.59</v>
      </c>
      <c r="W103" s="17">
        <f>IF(AND(W$15="Actual",ISBLANK($E$8)),SUMIFS('[1]NS Vendor Details'!$D:$D,'[1]NS Vendor Details'!$H:$H,'G&amp;A Vendor x GL Analysis'!W$20,'[1]NS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Analysis'!W$20,'[1]NS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Analysis'!$E103),IF(W$15="Actual",SUMIFS('[1]NS Vendor Details'!$D:$D,'[1]NS Vendor Details'!$H:$H,'G&amp;A Vendor x GL Analysis'!W$20,'[1]NS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Analysis'!W$20,'[1]NS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X103" s="17">
        <f>IF(AND(X$15="Actual",ISBLANK($E$8)),SUMIFS('[1]NS Vendor Details'!$D:$D,'[1]NS Vendor Details'!$H:$H,'G&amp;A Vendor x GL Analysis'!X$20,'[1]NS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Analysis'!X$20,'[1]NS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Analysis'!$E103),IF(X$15="Actual",SUMIFS('[1]NS Vendor Details'!$D:$D,'[1]NS Vendor Details'!$H:$H,'G&amp;A Vendor x GL Analysis'!X$20,'[1]NS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Analysis'!X$20,'[1]NS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Y103" s="17">
        <f>IF(AND(Y$15="Actual",ISBLANK($E$8)),SUMIFS('[1]NS Vendor Details'!$D:$D,'[1]NS Vendor Details'!$H:$H,'G&amp;A Vendor x GL Analysis'!Y$20,'[1]NS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Analysis'!Y$20,'[1]NS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Analysis'!$E103),IF(Y$15="Actual",SUMIFS('[1]NS Vendor Details'!$D:$D,'[1]NS Vendor Details'!$H:$H,'G&amp;A Vendor x GL Analysis'!Y$20,'[1]NS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Analysis'!Y$20,'[1]NS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Z103" s="17">
        <f>IF(AND(Z$15="Actual",ISBLANK($E$8)),SUMIFS('[1]NS Vendor Details'!$D:$D,'[1]NS Vendor Details'!$H:$H,'G&amp;A Vendor x GL Analysis'!Z$20,'[1]NS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Analysis'!Z$20,'[1]NS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Analysis'!$E103),IF(Z$15="Actual",SUMIFS('[1]NS Vendor Details'!$D:$D,'[1]NS Vendor Details'!$H:$H,'G&amp;A Vendor x GL Analysis'!Z$20,'[1]NS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Analysis'!Z$20,'[1]NS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AA103" s="17">
        <f>IF(AND(AA$15="Actual",ISBLANK($E$8)),SUMIFS('[1]NS Vendor Details'!$D:$D,'[1]NS Vendor Details'!$H:$H,'G&amp;A Vendor x GL Analysis'!AA$20,'[1]NS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Analysis'!AA$20,'[1]NS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Analysis'!$E103),IF(AA$15="Actual",SUMIFS('[1]NS Vendor Details'!$D:$D,'[1]NS Vendor Details'!$H:$H,'G&amp;A Vendor x GL Analysis'!AA$20,'[1]NS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Analysis'!AA$20,'[1]NS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AB103" s="17">
        <f>IF(AND(AB$15="Actual",ISBLANK($E$8)),SUMIFS('[1]NS Vendor Details'!$D:$D,'[1]NS Vendor Details'!$H:$H,'G&amp;A Vendor x GL Analysis'!AB$20,'[1]NS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Analysis'!AB$20,'[1]NS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Analysis'!$E103),IF(AB$15="Actual",SUMIFS('[1]NS Vendor Details'!$D:$D,'[1]NS Vendor Details'!$H:$H,'G&amp;A Vendor x GL Analysis'!AB$20,'[1]NS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Analysis'!AB$20,'[1]NS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AC103" s="18">
        <f>IF(AND(AC$15="Actual",ISBLANK($E$8)),SUMIFS('[1]NS Vendor Details'!$D:$D,'[1]NS Vendor Details'!$H:$H,'G&amp;A Vendor x GL Analysis'!AC$20,'[1]NS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Analysis'!AC$20,'[1]NS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Analysis'!$E103),IF(AC$15="Actual",SUMIFS('[1]NS Vendor Details'!$D:$D,'[1]NS Vendor Details'!$H:$H,'G&amp;A Vendor x GL Analysis'!AC$20,'[1]NS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Analysis'!AC$20,'[1]NS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AD103" s="18">
        <f>IF(AND(AD$15="Actual",ISBLANK($E$8)),SUMIFS('[1]NS Vendor Details'!$D:$D,'[1]NS Vendor Details'!$H:$H,'G&amp;A Vendor x GL Analysis'!AD$20,'[1]NS Vendor Details'!$L:$L,'G&amp;A Vendor x GL Analysis'!$D103,'[1]NS Vendor Details'!$O:$O,'G&amp;A Vendor x GL Analysis'!$F103,'[1]NS Vendor Details'!$N:$N,'G&amp;A Vendor x GL Analysis'!$C103,'[1]NS Vendor Details'!$I:$I,'G&amp;A Vendor x GL Analysis'!$E103)+SUMIFS('[1]NS Vendor Details'!$D:$D,'[1]NS Vendor Details'!$H:$H,'G&amp;A Vendor x GL Analysis'!AD$20,'[1]NS Vendor Details'!$L:$L,'G&amp;A Vendor x GL Analysis'!$D103,'[1]NS Vendor Details'!$O:$O,'G&amp;A Vendor x GL Analysis'!$F103,'[1]NS Vendor Details'!$N:$N,"Direct Costs",'[1]NS Vendor Details'!$J:$J,0,'[1]NS Vendor Details'!$I:$I,'G&amp;A Vendor x GL Analysis'!$E103),IF(AD$15="Actual",SUMIFS('[1]NS Vendor Details'!$D:$D,'[1]NS Vendor Details'!$H:$H,'G&amp;A Vendor x GL Analysis'!AD$20,'[1]NS Vendor Details'!$L:$L,'G&amp;A Vendor x GL Analysis'!$D103,'[1]NS Vendor Details'!$O:$O,'G&amp;A Vendor x GL Analysis'!$F103,'[1]NS Vendor Details'!$N:$N,'G&amp;A Vendor x GL Analysis'!$C103,'[1]NS Vendor Details'!$K:$K,'G&amp;A Vendor x GL Analysis'!$E$8,'[1]NS Vendor Details'!$I:$I,'G&amp;A Vendor x GL Analysis'!$E103)+SUMIFS('[1]NS Vendor Details'!$D:$D,'[1]NS Vendor Details'!$H:$H,'G&amp;A Vendor x GL Analysis'!AD$20,'[1]NS Vendor Details'!$L:$L,'G&amp;A Vendor x GL Analysis'!$D103,'[1]NS Vendor Details'!$O:$O,'G&amp;A Vendor x GL Analysis'!$F103,'[1]NS Vendor Details'!$N:$N,"Direct Costs",'[1]NS Vendor Details'!$J:$J,0,'[1]NS Vendor Details'!$K:$K,'G&amp;A Vendor x GL Analysis'!$E$8,'[1]NS Vendor Details'!$I:$I,'G&amp;A Vendor x GL Analysis'!$E103),0))</f>
        <v>0</v>
      </c>
      <c r="AF103" s="19">
        <f t="shared" si="23"/>
        <v>5563.59</v>
      </c>
    </row>
    <row r="104" spans="1:32" outlineLevel="1">
      <c r="A104" s="8" t="str">
        <f t="shared" si="22"/>
        <v>Professional Service6380 - Legal &amp; Accounting</v>
      </c>
      <c r="C104" s="8" t="s">
        <v>11</v>
      </c>
      <c r="D104" s="8" t="str">
        <f t="shared" si="21"/>
        <v>Professional Service</v>
      </c>
      <c r="E104" s="2" t="s">
        <v>90</v>
      </c>
      <c r="F104" s="2" t="s">
        <v>97</v>
      </c>
      <c r="G104" s="16">
        <f>IF(AND(G$15="Actual",ISBLANK($E$8)),SUMIFS('[1]NS Vendor Details'!$D:$D,'[1]NS Vendor Details'!$H:$H,'G&amp;A Vendor x GL Analysis'!G$20,'[1]NS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Analysis'!G$20,'[1]NS Vendor Details'!$L:$L,'G&amp;A Vendor x GL Analysis'!$D104,'[1]NS Vendor Details'!$O:$O,'G&amp;A Vendor x GL Analysis'!$F104,'[1]NS Vendor Details'!$N:$N,"Direct Costs",'[1]NS Vendor Details'!$J:$J,0),IF(G$15="Actual",SUMIFS('[1]NS Vendor Details'!$D:$D,'[1]NS Vendor Details'!$H:$H,'G&amp;A Vendor x GL Analysis'!G$20,'[1]NS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Analysis'!G$20,'[1]NS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11772.95</v>
      </c>
      <c r="H104" s="17">
        <f>IF(AND(H$15="Actual",ISBLANK($E$8)),SUMIFS('[1]NS Vendor Details'!$D:$D,'[1]NS Vendor Details'!$H:$H,'G&amp;A Vendor x GL Analysis'!H$20,'[1]NS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Analysis'!H$20,'[1]NS Vendor Details'!$L:$L,'G&amp;A Vendor x GL Analysis'!$D104,'[1]NS Vendor Details'!$O:$O,'G&amp;A Vendor x GL Analysis'!$F104,'[1]NS Vendor Details'!$N:$N,"Direct Costs",'[1]NS Vendor Details'!$J:$J,0),IF(H$15="Actual",SUMIFS('[1]NS Vendor Details'!$D:$D,'[1]NS Vendor Details'!$H:$H,'G&amp;A Vendor x GL Analysis'!H$20,'[1]NS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Analysis'!H$20,'[1]NS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10607.73</v>
      </c>
      <c r="I104" s="17">
        <f>IF(AND(I$15="Actual",ISBLANK($E$8)),SUMIFS('[1]NS Vendor Details'!$D:$D,'[1]NS Vendor Details'!$H:$H,'G&amp;A Vendor x GL Analysis'!I$20,'[1]NS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Analysis'!I$20,'[1]NS Vendor Details'!$L:$L,'G&amp;A Vendor x GL Analysis'!$D104,'[1]NS Vendor Details'!$O:$O,'G&amp;A Vendor x GL Analysis'!$F104,'[1]NS Vendor Details'!$N:$N,"Direct Costs",'[1]NS Vendor Details'!$J:$J,0),IF(I$15="Actual",SUMIFS('[1]NS Vendor Details'!$D:$D,'[1]NS Vendor Details'!$H:$H,'G&amp;A Vendor x GL Analysis'!I$20,'[1]NS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Analysis'!I$20,'[1]NS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10266.09</v>
      </c>
      <c r="J104" s="17">
        <f>IF(AND(J$15="Actual",ISBLANK($E$8)),SUMIFS('[1]NS Vendor Details'!$D:$D,'[1]NS Vendor Details'!$H:$H,'G&amp;A Vendor x GL Analysis'!J$20,'[1]NS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Analysis'!J$20,'[1]NS Vendor Details'!$L:$L,'G&amp;A Vendor x GL Analysis'!$D104,'[1]NS Vendor Details'!$O:$O,'G&amp;A Vendor x GL Analysis'!$F104,'[1]NS Vendor Details'!$N:$N,"Direct Costs",'[1]NS Vendor Details'!$J:$J,0),IF(J$15="Actual",SUMIFS('[1]NS Vendor Details'!$D:$D,'[1]NS Vendor Details'!$H:$H,'G&amp;A Vendor x GL Analysis'!J$20,'[1]NS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Analysis'!J$20,'[1]NS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10634.17</v>
      </c>
      <c r="K104" s="17">
        <f>IF(AND(K$15="Actual",ISBLANK($E$8)),SUMIFS('[1]NS Vendor Details'!$D:$D,'[1]NS Vendor Details'!$H:$H,'G&amp;A Vendor x GL Analysis'!K$20,'[1]NS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Analysis'!K$20,'[1]NS Vendor Details'!$L:$L,'G&amp;A Vendor x GL Analysis'!$D104,'[1]NS Vendor Details'!$O:$O,'G&amp;A Vendor x GL Analysis'!$F104,'[1]NS Vendor Details'!$N:$N,"Direct Costs",'[1]NS Vendor Details'!$J:$J,0),IF(K$15="Actual",SUMIFS('[1]NS Vendor Details'!$D:$D,'[1]NS Vendor Details'!$H:$H,'G&amp;A Vendor x GL Analysis'!K$20,'[1]NS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Analysis'!K$20,'[1]NS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9539.75</v>
      </c>
      <c r="L104" s="17">
        <f>IF(AND(L$15="Actual",ISBLANK($E$8)),SUMIFS('[1]NS Vendor Details'!$D:$D,'[1]NS Vendor Details'!$H:$H,'G&amp;A Vendor x GL Analysis'!L$20,'[1]NS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Analysis'!L$20,'[1]NS Vendor Details'!$L:$L,'G&amp;A Vendor x GL Analysis'!$D104,'[1]NS Vendor Details'!$O:$O,'G&amp;A Vendor x GL Analysis'!$F104,'[1]NS Vendor Details'!$N:$N,"Direct Costs",'[1]NS Vendor Details'!$J:$J,0),IF(L$15="Actual",SUMIFS('[1]NS Vendor Details'!$D:$D,'[1]NS Vendor Details'!$H:$H,'G&amp;A Vendor x GL Analysis'!L$20,'[1]NS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Analysis'!L$20,'[1]NS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12984.57</v>
      </c>
      <c r="M104" s="17">
        <f>IF(AND(M$15="Actual",ISBLANK($E$8)),SUMIFS('[1]NS Vendor Details'!$D:$D,'[1]NS Vendor Details'!$H:$H,'G&amp;A Vendor x GL Analysis'!M$20,'[1]NS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Analysis'!M$20,'[1]NS Vendor Details'!$L:$L,'G&amp;A Vendor x GL Analysis'!$D104,'[1]NS Vendor Details'!$O:$O,'G&amp;A Vendor x GL Analysis'!$F104,'[1]NS Vendor Details'!$N:$N,"Direct Costs",'[1]NS Vendor Details'!$J:$J,0),IF(M$15="Actual",SUMIFS('[1]NS Vendor Details'!$D:$D,'[1]NS Vendor Details'!$H:$H,'G&amp;A Vendor x GL Analysis'!M$20,'[1]NS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Analysis'!M$20,'[1]NS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17776.669999999998</v>
      </c>
      <c r="N104" s="17">
        <f>IF(AND(N$15="Actual",ISBLANK($E$8)),SUMIFS('[1]NS Vendor Details'!$D:$D,'[1]NS Vendor Details'!$H:$H,'G&amp;A Vendor x GL Analysis'!N$20,'[1]NS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Analysis'!N$20,'[1]NS Vendor Details'!$L:$L,'G&amp;A Vendor x GL Analysis'!$D104,'[1]NS Vendor Details'!$O:$O,'G&amp;A Vendor x GL Analysis'!$F104,'[1]NS Vendor Details'!$N:$N,"Direct Costs",'[1]NS Vendor Details'!$J:$J,0),IF(N$15="Actual",SUMIFS('[1]NS Vendor Details'!$D:$D,'[1]NS Vendor Details'!$H:$H,'G&amp;A Vendor x GL Analysis'!N$20,'[1]NS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Analysis'!N$20,'[1]NS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24380.81</v>
      </c>
      <c r="O104" s="17">
        <f>IF(AND(O$15="Actual",ISBLANK($E$8)),SUMIFS('[1]NS Vendor Details'!$D:$D,'[1]NS Vendor Details'!$H:$H,'G&amp;A Vendor x GL Analysis'!O$20,'[1]NS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Analysis'!O$20,'[1]NS Vendor Details'!$L:$L,'G&amp;A Vendor x GL Analysis'!$D104,'[1]NS Vendor Details'!$O:$O,'G&amp;A Vendor x GL Analysis'!$F104,'[1]NS Vendor Details'!$N:$N,"Direct Costs",'[1]NS Vendor Details'!$J:$J,0),IF(O$15="Actual",SUMIFS('[1]NS Vendor Details'!$D:$D,'[1]NS Vendor Details'!$H:$H,'G&amp;A Vendor x GL Analysis'!O$20,'[1]NS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Analysis'!O$20,'[1]NS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11704.76</v>
      </c>
      <c r="P104" s="17">
        <f>IF(AND(P$15="Actual",ISBLANK($E$8)),SUMIFS('[1]NS Vendor Details'!$D:$D,'[1]NS Vendor Details'!$H:$H,'G&amp;A Vendor x GL Analysis'!P$20,'[1]NS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Analysis'!P$20,'[1]NS Vendor Details'!$L:$L,'G&amp;A Vendor x GL Analysis'!$D104,'[1]NS Vendor Details'!$O:$O,'G&amp;A Vendor x GL Analysis'!$F104,'[1]NS Vendor Details'!$N:$N,"Direct Costs",'[1]NS Vendor Details'!$J:$J,0),IF(P$15="Actual",SUMIFS('[1]NS Vendor Details'!$D:$D,'[1]NS Vendor Details'!$H:$H,'G&amp;A Vendor x GL Analysis'!P$20,'[1]NS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Analysis'!P$20,'[1]NS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17000</v>
      </c>
      <c r="Q104" s="17">
        <f>IF(AND(Q$15="Actual",ISBLANK($E$8)),SUMIFS('[1]NS Vendor Details'!$D:$D,'[1]NS Vendor Details'!$H:$H,'G&amp;A Vendor x GL Analysis'!Q$20,'[1]NS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Analysis'!Q$20,'[1]NS Vendor Details'!$L:$L,'G&amp;A Vendor x GL Analysis'!$D104,'[1]NS Vendor Details'!$O:$O,'G&amp;A Vendor x GL Analysis'!$F104,'[1]NS Vendor Details'!$N:$N,"Direct Costs",'[1]NS Vendor Details'!$J:$J,0),IF(Q$15="Actual",SUMIFS('[1]NS Vendor Details'!$D:$D,'[1]NS Vendor Details'!$H:$H,'G&amp;A Vendor x GL Analysis'!Q$20,'[1]NS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Analysis'!Q$20,'[1]NS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7371.369999999999</v>
      </c>
      <c r="R104" s="18">
        <f>IF(AND(R$15="Actual",ISBLANK($E$8)),SUMIFS('[1]NS Vendor Details'!$D:$D,'[1]NS Vendor Details'!$H:$H,'G&amp;A Vendor x GL Analysis'!R$20,'[1]NS Vendor Details'!$L:$L,'G&amp;A Vendor x GL Analysis'!$D104,'[1]NS Vendor Details'!$O:$O,'G&amp;A Vendor x GL Analysis'!$F104,'[1]NS Vendor Details'!$N:$N,'G&amp;A Vendor x GL Analysis'!$C104)+SUMIFS('[1]NS Vendor Details'!$D:$D,'[1]NS Vendor Details'!$H:$H,'G&amp;A Vendor x GL Analysis'!R$20,'[1]NS Vendor Details'!$L:$L,'G&amp;A Vendor x GL Analysis'!$D104,'[1]NS Vendor Details'!$O:$O,'G&amp;A Vendor x GL Analysis'!$F104,'[1]NS Vendor Details'!$N:$N,"Direct Costs",'[1]NS Vendor Details'!$J:$J,0),IF(R$15="Actual",SUMIFS('[1]NS Vendor Details'!$D:$D,'[1]NS Vendor Details'!$H:$H,'G&amp;A Vendor x GL Analysis'!R$20,'[1]NS Vendor Details'!$L:$L,'G&amp;A Vendor x GL Analysis'!$D104,'[1]NS Vendor Details'!$O:$O,'G&amp;A Vendor x GL Analysis'!$F104,'[1]NS Vendor Details'!$N:$N,'G&amp;A Vendor x GL Analysis'!$C104,'[1]NS Vendor Details'!$K:$K,'G&amp;A Vendor x GL Analysis'!$E$8)+SUMIFS('[1]NS Vendor Details'!$D:$D,'[1]NS Vendor Details'!$H:$H,'G&amp;A Vendor x GL Analysis'!R$20,'[1]NS Vendor Details'!$L:$L,'G&amp;A Vendor x GL Analysis'!$D104,'[1]NS Vendor Details'!$O:$O,'G&amp;A Vendor x GL Analysis'!$F104,'[1]NS Vendor Details'!$N:$N,"Direct Costs",'[1]NS Vendor Details'!$J:$J,0,'[1]NS Vendor Details'!$K:$K,'G&amp;A Vendor x GL Analysis'!$E$8),0))</f>
        <v>3242.58</v>
      </c>
      <c r="S104" s="16">
        <f>IF(AND(S$15="Actual",ISBLANK($E$8)),SUMIFS('[1]NS Vendor Details'!$D:$D,'[1]NS Vendor Details'!$H:$H,'G&amp;A Vendor x GL Analysis'!S$20,'[1]NS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Analysis'!S$20,'[1]NS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Analysis'!$E104),IF(S$15="Actual",SUMIFS('[1]NS Vendor Details'!$D:$D,'[1]NS Vendor Details'!$H:$H,'G&amp;A Vendor x GL Analysis'!S$20,'[1]NS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Analysis'!S$20,'[1]NS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16833.400000000001</v>
      </c>
      <c r="T104" s="17">
        <f>IF(AND(T$15="Actual",ISBLANK($E$8)),SUMIFS('[1]NS Vendor Details'!$D:$D,'[1]NS Vendor Details'!$H:$H,'G&amp;A Vendor x GL Analysis'!T$20,'[1]NS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Analysis'!T$20,'[1]NS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Analysis'!$E104),IF(T$15="Actual",SUMIFS('[1]NS Vendor Details'!$D:$D,'[1]NS Vendor Details'!$H:$H,'G&amp;A Vendor x GL Analysis'!T$20,'[1]NS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Analysis'!T$20,'[1]NS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11810.98</v>
      </c>
      <c r="U104" s="17">
        <f>IF(AND(U$15="Actual",ISBLANK($E$8)),SUMIFS('[1]NS Vendor Details'!$D:$D,'[1]NS Vendor Details'!$H:$H,'G&amp;A Vendor x GL Analysis'!U$20,'[1]NS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Analysis'!U$20,'[1]NS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Analysis'!$E104),IF(U$15="Actual",SUMIFS('[1]NS Vendor Details'!$D:$D,'[1]NS Vendor Details'!$H:$H,'G&amp;A Vendor x GL Analysis'!U$20,'[1]NS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Analysis'!U$20,'[1]NS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5903.69</v>
      </c>
      <c r="V104" s="17">
        <f>IF(AND(V$15="Actual",ISBLANK($E$8)),SUMIFS('[1]NS Vendor Details'!$D:$D,'[1]NS Vendor Details'!$H:$H,'G&amp;A Vendor x GL Analysis'!V$20,'[1]NS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Analysis'!V$20,'[1]NS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Analysis'!$E104),IF(V$15="Actual",SUMIFS('[1]NS Vendor Details'!$D:$D,'[1]NS Vendor Details'!$H:$H,'G&amp;A Vendor x GL Analysis'!V$20,'[1]NS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Analysis'!V$20,'[1]NS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15463.72</v>
      </c>
      <c r="W104" s="17">
        <f>IF(AND(W$15="Actual",ISBLANK($E$8)),SUMIFS('[1]NS Vendor Details'!$D:$D,'[1]NS Vendor Details'!$H:$H,'G&amp;A Vendor x GL Analysis'!W$20,'[1]NS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Analysis'!W$20,'[1]NS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Analysis'!$E104),IF(W$15="Actual",SUMIFS('[1]NS Vendor Details'!$D:$D,'[1]NS Vendor Details'!$H:$H,'G&amp;A Vendor x GL Analysis'!W$20,'[1]NS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Analysis'!W$20,'[1]NS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10318.950000000001</v>
      </c>
      <c r="X104" s="17">
        <f>IF(AND(X$15="Actual",ISBLANK($E$8)),SUMIFS('[1]NS Vendor Details'!$D:$D,'[1]NS Vendor Details'!$H:$H,'G&amp;A Vendor x GL Analysis'!X$20,'[1]NS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Analysis'!X$20,'[1]NS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Analysis'!$E104),IF(X$15="Actual",SUMIFS('[1]NS Vendor Details'!$D:$D,'[1]NS Vendor Details'!$H:$H,'G&amp;A Vendor x GL Analysis'!X$20,'[1]NS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Analysis'!X$20,'[1]NS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10445.06</v>
      </c>
      <c r="Y104" s="17">
        <f>IF(AND(Y$15="Actual",ISBLANK($E$8)),SUMIFS('[1]NS Vendor Details'!$D:$D,'[1]NS Vendor Details'!$H:$H,'G&amp;A Vendor x GL Analysis'!Y$20,'[1]NS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Analysis'!Y$20,'[1]NS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Analysis'!$E104),IF(Y$15="Actual",SUMIFS('[1]NS Vendor Details'!$D:$D,'[1]NS Vendor Details'!$H:$H,'G&amp;A Vendor x GL Analysis'!Y$20,'[1]NS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Analysis'!Y$20,'[1]NS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10726.58</v>
      </c>
      <c r="Z104" s="17">
        <f>IF(AND(Z$15="Actual",ISBLANK($E$8)),SUMIFS('[1]NS Vendor Details'!$D:$D,'[1]NS Vendor Details'!$H:$H,'G&amp;A Vendor x GL Analysis'!Z$20,'[1]NS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Analysis'!Z$20,'[1]NS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Analysis'!$E104),IF(Z$15="Actual",SUMIFS('[1]NS Vendor Details'!$D:$D,'[1]NS Vendor Details'!$H:$H,'G&amp;A Vendor x GL Analysis'!Z$20,'[1]NS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Analysis'!Z$20,'[1]NS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10363.42</v>
      </c>
      <c r="AA104" s="17">
        <f>IF(AND(AA$15="Actual",ISBLANK($E$8)),SUMIFS('[1]NS Vendor Details'!$D:$D,'[1]NS Vendor Details'!$H:$H,'G&amp;A Vendor x GL Analysis'!AA$20,'[1]NS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Analysis'!AA$20,'[1]NS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Analysis'!$E104),IF(AA$15="Actual",SUMIFS('[1]NS Vendor Details'!$D:$D,'[1]NS Vendor Details'!$H:$H,'G&amp;A Vendor x GL Analysis'!AA$20,'[1]NS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Analysis'!AA$20,'[1]NS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10145</v>
      </c>
      <c r="AB104" s="17">
        <f>IF(AND(AB$15="Actual",ISBLANK($E$8)),SUMIFS('[1]NS Vendor Details'!$D:$D,'[1]NS Vendor Details'!$H:$H,'G&amp;A Vendor x GL Analysis'!AB$20,'[1]NS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Analysis'!AB$20,'[1]NS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Analysis'!$E104),IF(AB$15="Actual",SUMIFS('[1]NS Vendor Details'!$D:$D,'[1]NS Vendor Details'!$H:$H,'G&amp;A Vendor x GL Analysis'!AB$20,'[1]NS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Analysis'!AB$20,'[1]NS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10447.35</v>
      </c>
      <c r="AC104" s="18">
        <f>IF(AND(AC$15="Actual",ISBLANK($E$8)),SUMIFS('[1]NS Vendor Details'!$D:$D,'[1]NS Vendor Details'!$H:$H,'G&amp;A Vendor x GL Analysis'!AC$20,'[1]NS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Analysis'!AC$20,'[1]NS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Analysis'!$E104),IF(AC$15="Actual",SUMIFS('[1]NS Vendor Details'!$D:$D,'[1]NS Vendor Details'!$H:$H,'G&amp;A Vendor x GL Analysis'!AC$20,'[1]NS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Analysis'!AC$20,'[1]NS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10000</v>
      </c>
      <c r="AD104" s="18">
        <f>IF(AND(AD$15="Actual",ISBLANK($E$8)),SUMIFS('[1]NS Vendor Details'!$D:$D,'[1]NS Vendor Details'!$H:$H,'G&amp;A Vendor x GL Analysis'!AD$20,'[1]NS Vendor Details'!$L:$L,'G&amp;A Vendor x GL Analysis'!$D104,'[1]NS Vendor Details'!$O:$O,'G&amp;A Vendor x GL Analysis'!$F104,'[1]NS Vendor Details'!$N:$N,'G&amp;A Vendor x GL Analysis'!$C104,'[1]NS Vendor Details'!$I:$I,'G&amp;A Vendor x GL Analysis'!$E104)+SUMIFS('[1]NS Vendor Details'!$D:$D,'[1]NS Vendor Details'!$H:$H,'G&amp;A Vendor x GL Analysis'!AD$20,'[1]NS Vendor Details'!$L:$L,'G&amp;A Vendor x GL Analysis'!$D104,'[1]NS Vendor Details'!$O:$O,'G&amp;A Vendor x GL Analysis'!$F104,'[1]NS Vendor Details'!$N:$N,"Direct Costs",'[1]NS Vendor Details'!$J:$J,0,'[1]NS Vendor Details'!$I:$I,'G&amp;A Vendor x GL Analysis'!$E104),IF(AD$15="Actual",SUMIFS('[1]NS Vendor Details'!$D:$D,'[1]NS Vendor Details'!$H:$H,'G&amp;A Vendor x GL Analysis'!AD$20,'[1]NS Vendor Details'!$L:$L,'G&amp;A Vendor x GL Analysis'!$D104,'[1]NS Vendor Details'!$O:$O,'G&amp;A Vendor x GL Analysis'!$F104,'[1]NS Vendor Details'!$N:$N,'G&amp;A Vendor x GL Analysis'!$C104,'[1]NS Vendor Details'!$K:$K,'G&amp;A Vendor x GL Analysis'!$E$8,'[1]NS Vendor Details'!$I:$I,'G&amp;A Vendor x GL Analysis'!$E104)+SUMIFS('[1]NS Vendor Details'!$D:$D,'[1]NS Vendor Details'!$H:$H,'G&amp;A Vendor x GL Analysis'!AD$20,'[1]NS Vendor Details'!$L:$L,'G&amp;A Vendor x GL Analysis'!$D104,'[1]NS Vendor Details'!$O:$O,'G&amp;A Vendor x GL Analysis'!$F104,'[1]NS Vendor Details'!$N:$N,"Direct Costs",'[1]NS Vendor Details'!$J:$J,0,'[1]NS Vendor Details'!$K:$K,'G&amp;A Vendor x GL Analysis'!$E$8,'[1]NS Vendor Details'!$I:$I,'G&amp;A Vendor x GL Analysis'!$E104),0))</f>
        <v>0</v>
      </c>
      <c r="AF104" s="19">
        <f t="shared" si="23"/>
        <v>122458.15000000001</v>
      </c>
    </row>
    <row r="105" spans="1:32" outlineLevel="1">
      <c r="A105" s="8" t="str">
        <f t="shared" si="22"/>
        <v>Professional Service6385 - Insurance</v>
      </c>
      <c r="C105" s="8" t="s">
        <v>11</v>
      </c>
      <c r="D105" s="8" t="str">
        <f t="shared" si="21"/>
        <v>Professional Service</v>
      </c>
      <c r="E105" s="2" t="s">
        <v>98</v>
      </c>
      <c r="F105" s="2" t="s">
        <v>16</v>
      </c>
      <c r="G105" s="16">
        <f>IF(AND(G$15="Actual",ISBLANK($E$8)),SUMIFS('[1]NS Vendor Details'!$D:$D,'[1]NS Vendor Details'!$H:$H,'G&amp;A Vendor x GL Analysis'!G$20,'[1]NS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Analysis'!G$20,'[1]NS Vendor Details'!$L:$L,'G&amp;A Vendor x GL Analysis'!$D105,'[1]NS Vendor Details'!$O:$O,'G&amp;A Vendor x GL Analysis'!$F105,'[1]NS Vendor Details'!$N:$N,"Direct Costs",'[1]NS Vendor Details'!$J:$J,0),IF(G$15="Actual",SUMIFS('[1]NS Vendor Details'!$D:$D,'[1]NS Vendor Details'!$H:$H,'G&amp;A Vendor x GL Analysis'!G$20,'[1]NS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Analysis'!G$20,'[1]NS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20387.23</v>
      </c>
      <c r="H105" s="17">
        <f>IF(AND(H$15="Actual",ISBLANK($E$8)),SUMIFS('[1]NS Vendor Details'!$D:$D,'[1]NS Vendor Details'!$H:$H,'G&amp;A Vendor x GL Analysis'!H$20,'[1]NS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Analysis'!H$20,'[1]NS Vendor Details'!$L:$L,'G&amp;A Vendor x GL Analysis'!$D105,'[1]NS Vendor Details'!$O:$O,'G&amp;A Vendor x GL Analysis'!$F105,'[1]NS Vendor Details'!$N:$N,"Direct Costs",'[1]NS Vendor Details'!$J:$J,0),IF(H$15="Actual",SUMIFS('[1]NS Vendor Details'!$D:$D,'[1]NS Vendor Details'!$H:$H,'G&amp;A Vendor x GL Analysis'!H$20,'[1]NS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Analysis'!H$20,'[1]NS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2882.1599999999994</v>
      </c>
      <c r="I105" s="17">
        <f>IF(AND(I$15="Actual",ISBLANK($E$8)),SUMIFS('[1]NS Vendor Details'!$D:$D,'[1]NS Vendor Details'!$H:$H,'G&amp;A Vendor x GL Analysis'!I$20,'[1]NS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Analysis'!I$20,'[1]NS Vendor Details'!$L:$L,'G&amp;A Vendor x GL Analysis'!$D105,'[1]NS Vendor Details'!$O:$O,'G&amp;A Vendor x GL Analysis'!$F105,'[1]NS Vendor Details'!$N:$N,"Direct Costs",'[1]NS Vendor Details'!$J:$J,0),IF(I$15="Actual",SUMIFS('[1]NS Vendor Details'!$D:$D,'[1]NS Vendor Details'!$H:$H,'G&amp;A Vendor x GL Analysis'!I$20,'[1]NS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Analysis'!I$20,'[1]NS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2608.1800000000007</v>
      </c>
      <c r="J105" s="17">
        <f>IF(AND(J$15="Actual",ISBLANK($E$8)),SUMIFS('[1]NS Vendor Details'!$D:$D,'[1]NS Vendor Details'!$H:$H,'G&amp;A Vendor x GL Analysis'!J$20,'[1]NS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Analysis'!J$20,'[1]NS Vendor Details'!$L:$L,'G&amp;A Vendor x GL Analysis'!$D105,'[1]NS Vendor Details'!$O:$O,'G&amp;A Vendor x GL Analysis'!$F105,'[1]NS Vendor Details'!$N:$N,"Direct Costs",'[1]NS Vendor Details'!$J:$J,0),IF(J$15="Actual",SUMIFS('[1]NS Vendor Details'!$D:$D,'[1]NS Vendor Details'!$H:$H,'G&amp;A Vendor x GL Analysis'!J$20,'[1]NS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Analysis'!J$20,'[1]NS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17994.830000000002</v>
      </c>
      <c r="K105" s="17">
        <f>IF(AND(K$15="Actual",ISBLANK($E$8)),SUMIFS('[1]NS Vendor Details'!$D:$D,'[1]NS Vendor Details'!$H:$H,'G&amp;A Vendor x GL Analysis'!K$20,'[1]NS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Analysis'!K$20,'[1]NS Vendor Details'!$L:$L,'G&amp;A Vendor x GL Analysis'!$D105,'[1]NS Vendor Details'!$O:$O,'G&amp;A Vendor x GL Analysis'!$F105,'[1]NS Vendor Details'!$N:$N,"Direct Costs",'[1]NS Vendor Details'!$J:$J,0),IF(K$15="Actual",SUMIFS('[1]NS Vendor Details'!$D:$D,'[1]NS Vendor Details'!$H:$H,'G&amp;A Vendor x GL Analysis'!K$20,'[1]NS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Analysis'!K$20,'[1]NS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7253.27</v>
      </c>
      <c r="L105" s="17">
        <f>IF(AND(L$15="Actual",ISBLANK($E$8)),SUMIFS('[1]NS Vendor Details'!$D:$D,'[1]NS Vendor Details'!$H:$H,'G&amp;A Vendor x GL Analysis'!L$20,'[1]NS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Analysis'!L$20,'[1]NS Vendor Details'!$L:$L,'G&amp;A Vendor x GL Analysis'!$D105,'[1]NS Vendor Details'!$O:$O,'G&amp;A Vendor x GL Analysis'!$F105,'[1]NS Vendor Details'!$N:$N,"Direct Costs",'[1]NS Vendor Details'!$J:$J,0),IF(L$15="Actual",SUMIFS('[1]NS Vendor Details'!$D:$D,'[1]NS Vendor Details'!$H:$H,'G&amp;A Vendor x GL Analysis'!L$20,'[1]NS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Analysis'!L$20,'[1]NS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9261.7000000000007</v>
      </c>
      <c r="M105" s="17">
        <f>IF(AND(M$15="Actual",ISBLANK($E$8)),SUMIFS('[1]NS Vendor Details'!$D:$D,'[1]NS Vendor Details'!$H:$H,'G&amp;A Vendor x GL Analysis'!M$20,'[1]NS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Analysis'!M$20,'[1]NS Vendor Details'!$L:$L,'G&amp;A Vendor x GL Analysis'!$D105,'[1]NS Vendor Details'!$O:$O,'G&amp;A Vendor x GL Analysis'!$F105,'[1]NS Vendor Details'!$N:$N,"Direct Costs",'[1]NS Vendor Details'!$J:$J,0),IF(M$15="Actual",SUMIFS('[1]NS Vendor Details'!$D:$D,'[1]NS Vendor Details'!$H:$H,'G&amp;A Vendor x GL Analysis'!M$20,'[1]NS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Analysis'!M$20,'[1]NS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1403.4799999999998</v>
      </c>
      <c r="N105" s="17">
        <f>IF(AND(N$15="Actual",ISBLANK($E$8)),SUMIFS('[1]NS Vendor Details'!$D:$D,'[1]NS Vendor Details'!$H:$H,'G&amp;A Vendor x GL Analysis'!N$20,'[1]NS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Analysis'!N$20,'[1]NS Vendor Details'!$L:$L,'G&amp;A Vendor x GL Analysis'!$D105,'[1]NS Vendor Details'!$O:$O,'G&amp;A Vendor x GL Analysis'!$F105,'[1]NS Vendor Details'!$N:$N,"Direct Costs",'[1]NS Vendor Details'!$J:$J,0),IF(N$15="Actual",SUMIFS('[1]NS Vendor Details'!$D:$D,'[1]NS Vendor Details'!$H:$H,'G&amp;A Vendor x GL Analysis'!N$20,'[1]NS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Analysis'!N$20,'[1]NS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1481.0099999999998</v>
      </c>
      <c r="O105" s="17">
        <f>IF(AND(O$15="Actual",ISBLANK($E$8)),SUMIFS('[1]NS Vendor Details'!$D:$D,'[1]NS Vendor Details'!$H:$H,'G&amp;A Vendor x GL Analysis'!O$20,'[1]NS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Analysis'!O$20,'[1]NS Vendor Details'!$L:$L,'G&amp;A Vendor x GL Analysis'!$D105,'[1]NS Vendor Details'!$O:$O,'G&amp;A Vendor x GL Analysis'!$F105,'[1]NS Vendor Details'!$N:$N,"Direct Costs",'[1]NS Vendor Details'!$J:$J,0),IF(O$15="Actual",SUMIFS('[1]NS Vendor Details'!$D:$D,'[1]NS Vendor Details'!$H:$H,'G&amp;A Vendor x GL Analysis'!O$20,'[1]NS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Analysis'!O$20,'[1]NS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-1780.9000000000005</v>
      </c>
      <c r="P105" s="17">
        <f>IF(AND(P$15="Actual",ISBLANK($E$8)),SUMIFS('[1]NS Vendor Details'!$D:$D,'[1]NS Vendor Details'!$H:$H,'G&amp;A Vendor x GL Analysis'!P$20,'[1]NS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Analysis'!P$20,'[1]NS Vendor Details'!$L:$L,'G&amp;A Vendor x GL Analysis'!$D105,'[1]NS Vendor Details'!$O:$O,'G&amp;A Vendor x GL Analysis'!$F105,'[1]NS Vendor Details'!$N:$N,"Direct Costs",'[1]NS Vendor Details'!$J:$J,0),IF(P$15="Actual",SUMIFS('[1]NS Vendor Details'!$D:$D,'[1]NS Vendor Details'!$H:$H,'G&amp;A Vendor x GL Analysis'!P$20,'[1]NS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Analysis'!P$20,'[1]NS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1662.3999999999999</v>
      </c>
      <c r="Q105" s="17">
        <f>IF(AND(Q$15="Actual",ISBLANK($E$8)),SUMIFS('[1]NS Vendor Details'!$D:$D,'[1]NS Vendor Details'!$H:$H,'G&amp;A Vendor x GL Analysis'!Q$20,'[1]NS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Analysis'!Q$20,'[1]NS Vendor Details'!$L:$L,'G&amp;A Vendor x GL Analysis'!$D105,'[1]NS Vendor Details'!$O:$O,'G&amp;A Vendor x GL Analysis'!$F105,'[1]NS Vendor Details'!$N:$N,"Direct Costs",'[1]NS Vendor Details'!$J:$J,0),IF(Q$15="Actual",SUMIFS('[1]NS Vendor Details'!$D:$D,'[1]NS Vendor Details'!$H:$H,'G&amp;A Vendor x GL Analysis'!Q$20,'[1]NS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Analysis'!Q$20,'[1]NS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-9958.9199999999983</v>
      </c>
      <c r="R105" s="18">
        <f>IF(AND(R$15="Actual",ISBLANK($E$8)),SUMIFS('[1]NS Vendor Details'!$D:$D,'[1]NS Vendor Details'!$H:$H,'G&amp;A Vendor x GL Analysis'!R$20,'[1]NS Vendor Details'!$L:$L,'G&amp;A Vendor x GL Analysis'!$D105,'[1]NS Vendor Details'!$O:$O,'G&amp;A Vendor x GL Analysis'!$F105,'[1]NS Vendor Details'!$N:$N,'G&amp;A Vendor x GL Analysis'!$C105)+SUMIFS('[1]NS Vendor Details'!$D:$D,'[1]NS Vendor Details'!$H:$H,'G&amp;A Vendor x GL Analysis'!R$20,'[1]NS Vendor Details'!$L:$L,'G&amp;A Vendor x GL Analysis'!$D105,'[1]NS Vendor Details'!$O:$O,'G&amp;A Vendor x GL Analysis'!$F105,'[1]NS Vendor Details'!$N:$N,"Direct Costs",'[1]NS Vendor Details'!$J:$J,0),IF(R$15="Actual",SUMIFS('[1]NS Vendor Details'!$D:$D,'[1]NS Vendor Details'!$H:$H,'G&amp;A Vendor x GL Analysis'!R$20,'[1]NS Vendor Details'!$L:$L,'G&amp;A Vendor x GL Analysis'!$D105,'[1]NS Vendor Details'!$O:$O,'G&amp;A Vendor x GL Analysis'!$F105,'[1]NS Vendor Details'!$N:$N,'G&amp;A Vendor x GL Analysis'!$C105,'[1]NS Vendor Details'!$K:$K,'G&amp;A Vendor x GL Analysis'!$E$8)+SUMIFS('[1]NS Vendor Details'!$D:$D,'[1]NS Vendor Details'!$H:$H,'G&amp;A Vendor x GL Analysis'!R$20,'[1]NS Vendor Details'!$L:$L,'G&amp;A Vendor x GL Analysis'!$D105,'[1]NS Vendor Details'!$O:$O,'G&amp;A Vendor x GL Analysis'!$F105,'[1]NS Vendor Details'!$N:$N,"Direct Costs",'[1]NS Vendor Details'!$J:$J,0,'[1]NS Vendor Details'!$K:$K,'G&amp;A Vendor x GL Analysis'!$E$8),0))</f>
        <v>71148.460000000021</v>
      </c>
      <c r="S105" s="16">
        <f>IF(AND(S$15="Actual",ISBLANK($E$8)),SUMIFS('[1]NS Vendor Details'!$D:$D,'[1]NS Vendor Details'!$H:$H,'G&amp;A Vendor x GL Analysis'!S$20,'[1]NS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Analysis'!S$20,'[1]NS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Analysis'!$E105),IF(S$15="Actual",SUMIFS('[1]NS Vendor Details'!$D:$D,'[1]NS Vendor Details'!$H:$H,'G&amp;A Vendor x GL Analysis'!S$20,'[1]NS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Analysis'!S$20,'[1]NS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545.05999999999995</v>
      </c>
      <c r="T105" s="17">
        <f>IF(AND(T$15="Actual",ISBLANK($E$8)),SUMIFS('[1]NS Vendor Details'!$D:$D,'[1]NS Vendor Details'!$H:$H,'G&amp;A Vendor x GL Analysis'!T$20,'[1]NS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Analysis'!T$20,'[1]NS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Analysis'!$E105),IF(T$15="Actual",SUMIFS('[1]NS Vendor Details'!$D:$D,'[1]NS Vendor Details'!$H:$H,'G&amp;A Vendor x GL Analysis'!T$20,'[1]NS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Analysis'!T$20,'[1]NS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845.91999999999985</v>
      </c>
      <c r="U105" s="17">
        <f>IF(AND(U$15="Actual",ISBLANK($E$8)),SUMIFS('[1]NS Vendor Details'!$D:$D,'[1]NS Vendor Details'!$H:$H,'G&amp;A Vendor x GL Analysis'!U$20,'[1]NS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Analysis'!U$20,'[1]NS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Analysis'!$E105),IF(U$15="Actual",SUMIFS('[1]NS Vendor Details'!$D:$D,'[1]NS Vendor Details'!$H:$H,'G&amp;A Vendor x GL Analysis'!U$20,'[1]NS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Analysis'!U$20,'[1]NS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2913.4100000000003</v>
      </c>
      <c r="V105" s="17">
        <f>IF(AND(V$15="Actual",ISBLANK($E$8)),SUMIFS('[1]NS Vendor Details'!$D:$D,'[1]NS Vendor Details'!$H:$H,'G&amp;A Vendor x GL Analysis'!V$20,'[1]NS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Analysis'!V$20,'[1]NS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Analysis'!$E105),IF(V$15="Actual",SUMIFS('[1]NS Vendor Details'!$D:$D,'[1]NS Vendor Details'!$H:$H,'G&amp;A Vendor x GL Analysis'!V$20,'[1]NS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Analysis'!V$20,'[1]NS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817.88</v>
      </c>
      <c r="W105" s="17">
        <f>IF(AND(W$15="Actual",ISBLANK($E$8)),SUMIFS('[1]NS Vendor Details'!$D:$D,'[1]NS Vendor Details'!$H:$H,'G&amp;A Vendor x GL Analysis'!W$20,'[1]NS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Analysis'!W$20,'[1]NS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Analysis'!$E105),IF(W$15="Actual",SUMIFS('[1]NS Vendor Details'!$D:$D,'[1]NS Vendor Details'!$H:$H,'G&amp;A Vendor x GL Analysis'!W$20,'[1]NS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Analysis'!W$20,'[1]NS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622.66</v>
      </c>
      <c r="X105" s="17">
        <f>IF(AND(X$15="Actual",ISBLANK($E$8)),SUMIFS('[1]NS Vendor Details'!$D:$D,'[1]NS Vendor Details'!$H:$H,'G&amp;A Vendor x GL Analysis'!X$20,'[1]NS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Analysis'!X$20,'[1]NS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Analysis'!$E105),IF(X$15="Actual",SUMIFS('[1]NS Vendor Details'!$D:$D,'[1]NS Vendor Details'!$H:$H,'G&amp;A Vendor x GL Analysis'!X$20,'[1]NS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Analysis'!X$20,'[1]NS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688.75</v>
      </c>
      <c r="Y105" s="17">
        <f>IF(AND(Y$15="Actual",ISBLANK($E$8)),SUMIFS('[1]NS Vendor Details'!$D:$D,'[1]NS Vendor Details'!$H:$H,'G&amp;A Vendor x GL Analysis'!Y$20,'[1]NS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Analysis'!Y$20,'[1]NS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Analysis'!$E105),IF(Y$15="Actual",SUMIFS('[1]NS Vendor Details'!$D:$D,'[1]NS Vendor Details'!$H:$H,'G&amp;A Vendor x GL Analysis'!Y$20,'[1]NS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Analysis'!Y$20,'[1]NS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325.5</v>
      </c>
      <c r="Z105" s="17">
        <f>IF(AND(Z$15="Actual",ISBLANK($E$8)),SUMIFS('[1]NS Vendor Details'!$D:$D,'[1]NS Vendor Details'!$H:$H,'G&amp;A Vendor x GL Analysis'!Z$20,'[1]NS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Analysis'!Z$20,'[1]NS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Analysis'!$E105),IF(Z$15="Actual",SUMIFS('[1]NS Vendor Details'!$D:$D,'[1]NS Vendor Details'!$H:$H,'G&amp;A Vendor x GL Analysis'!Z$20,'[1]NS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Analysis'!Z$20,'[1]NS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429.72</v>
      </c>
      <c r="AA105" s="17">
        <f>IF(AND(AA$15="Actual",ISBLANK($E$8)),SUMIFS('[1]NS Vendor Details'!$D:$D,'[1]NS Vendor Details'!$H:$H,'G&amp;A Vendor x GL Analysis'!AA$20,'[1]NS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Analysis'!AA$20,'[1]NS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Analysis'!$E105),IF(AA$15="Actual",SUMIFS('[1]NS Vendor Details'!$D:$D,'[1]NS Vendor Details'!$H:$H,'G&amp;A Vendor x GL Analysis'!AA$20,'[1]NS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Analysis'!AA$20,'[1]NS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511.54000000000008</v>
      </c>
      <c r="AB105" s="17">
        <f>IF(AND(AB$15="Actual",ISBLANK($E$8)),SUMIFS('[1]NS Vendor Details'!$D:$D,'[1]NS Vendor Details'!$H:$H,'G&amp;A Vendor x GL Analysis'!AB$20,'[1]NS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Analysis'!AB$20,'[1]NS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Analysis'!$E105),IF(AB$15="Actual",SUMIFS('[1]NS Vendor Details'!$D:$D,'[1]NS Vendor Details'!$H:$H,'G&amp;A Vendor x GL Analysis'!AB$20,'[1]NS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Analysis'!AB$20,'[1]NS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586.88</v>
      </c>
      <c r="AC105" s="18">
        <f>IF(AND(AC$15="Actual",ISBLANK($E$8)),SUMIFS('[1]NS Vendor Details'!$D:$D,'[1]NS Vendor Details'!$H:$H,'G&amp;A Vendor x GL Analysis'!AC$20,'[1]NS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Analysis'!AC$20,'[1]NS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Analysis'!$E105),IF(AC$15="Actual",SUMIFS('[1]NS Vendor Details'!$D:$D,'[1]NS Vendor Details'!$H:$H,'G&amp;A Vendor x GL Analysis'!AC$20,'[1]NS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Analysis'!AC$20,'[1]NS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-16420.840000000004</v>
      </c>
      <c r="AD105" s="18">
        <f>IF(AND(AD$15="Actual",ISBLANK($E$8)),SUMIFS('[1]NS Vendor Details'!$D:$D,'[1]NS Vendor Details'!$H:$H,'G&amp;A Vendor x GL Analysis'!AD$20,'[1]NS Vendor Details'!$L:$L,'G&amp;A Vendor x GL Analysis'!$D105,'[1]NS Vendor Details'!$O:$O,'G&amp;A Vendor x GL Analysis'!$F105,'[1]NS Vendor Details'!$N:$N,'G&amp;A Vendor x GL Analysis'!$C105,'[1]NS Vendor Details'!$I:$I,'G&amp;A Vendor x GL Analysis'!$E105)+SUMIFS('[1]NS Vendor Details'!$D:$D,'[1]NS Vendor Details'!$H:$H,'G&amp;A Vendor x GL Analysis'!AD$20,'[1]NS Vendor Details'!$L:$L,'G&amp;A Vendor x GL Analysis'!$D105,'[1]NS Vendor Details'!$O:$O,'G&amp;A Vendor x GL Analysis'!$F105,'[1]NS Vendor Details'!$N:$N,"Direct Costs",'[1]NS Vendor Details'!$J:$J,0,'[1]NS Vendor Details'!$I:$I,'G&amp;A Vendor x GL Analysis'!$E105),IF(AD$15="Actual",SUMIFS('[1]NS Vendor Details'!$D:$D,'[1]NS Vendor Details'!$H:$H,'G&amp;A Vendor x GL Analysis'!AD$20,'[1]NS Vendor Details'!$L:$L,'G&amp;A Vendor x GL Analysis'!$D105,'[1]NS Vendor Details'!$O:$O,'G&amp;A Vendor x GL Analysis'!$F105,'[1]NS Vendor Details'!$N:$N,'G&amp;A Vendor x GL Analysis'!$C105,'[1]NS Vendor Details'!$K:$K,'G&amp;A Vendor x GL Analysis'!$E$8,'[1]NS Vendor Details'!$I:$I,'G&amp;A Vendor x GL Analysis'!$E105)+SUMIFS('[1]NS Vendor Details'!$D:$D,'[1]NS Vendor Details'!$H:$H,'G&amp;A Vendor x GL Analysis'!AD$20,'[1]NS Vendor Details'!$L:$L,'G&amp;A Vendor x GL Analysis'!$D105,'[1]NS Vendor Details'!$O:$O,'G&amp;A Vendor x GL Analysis'!$F105,'[1]NS Vendor Details'!$N:$N,"Direct Costs",'[1]NS Vendor Details'!$J:$J,0,'[1]NS Vendor Details'!$K:$K,'G&amp;A Vendor x GL Analysis'!$E$8,'[1]NS Vendor Details'!$I:$I,'G&amp;A Vendor x GL Analysis'!$E105),0))</f>
        <v>0</v>
      </c>
      <c r="AF105" s="19">
        <f t="shared" si="23"/>
        <v>24708.160000000003</v>
      </c>
    </row>
    <row r="106" spans="1:32" outlineLevel="1">
      <c r="A106" s="8" t="str">
        <f t="shared" si="22"/>
        <v>Professional Service6385 - Insurance</v>
      </c>
      <c r="C106" s="8" t="s">
        <v>11</v>
      </c>
      <c r="D106" s="8" t="str">
        <f t="shared" si="21"/>
        <v>Professional Service</v>
      </c>
      <c r="E106" s="2" t="s">
        <v>98</v>
      </c>
      <c r="F106" s="2" t="s">
        <v>99</v>
      </c>
      <c r="G106" s="16">
        <f>IF(AND(G$15="Actual",ISBLANK($E$8)),SUMIFS('[1]NS Vendor Details'!$D:$D,'[1]NS Vendor Details'!$H:$H,'G&amp;A Vendor x GL Analysis'!G$20,'[1]NS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Analysis'!G$20,'[1]NS Vendor Details'!$L:$L,'G&amp;A Vendor x GL Analysis'!$D106,'[1]NS Vendor Details'!$O:$O,'G&amp;A Vendor x GL Analysis'!$F106,'[1]NS Vendor Details'!$N:$N,"Direct Costs",'[1]NS Vendor Details'!$J:$J,0),IF(G$15="Actual",SUMIFS('[1]NS Vendor Details'!$D:$D,'[1]NS Vendor Details'!$H:$H,'G&amp;A Vendor x GL Analysis'!G$20,'[1]NS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Analysis'!G$20,'[1]NS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3718.71</v>
      </c>
      <c r="H106" s="17">
        <f>IF(AND(H$15="Actual",ISBLANK($E$8)),SUMIFS('[1]NS Vendor Details'!$D:$D,'[1]NS Vendor Details'!$H:$H,'G&amp;A Vendor x GL Analysis'!H$20,'[1]NS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Analysis'!H$20,'[1]NS Vendor Details'!$L:$L,'G&amp;A Vendor x GL Analysis'!$D106,'[1]NS Vendor Details'!$O:$O,'G&amp;A Vendor x GL Analysis'!$F106,'[1]NS Vendor Details'!$N:$N,"Direct Costs",'[1]NS Vendor Details'!$J:$J,0),IF(H$15="Actual",SUMIFS('[1]NS Vendor Details'!$D:$D,'[1]NS Vendor Details'!$H:$H,'G&amp;A Vendor x GL Analysis'!H$20,'[1]NS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Analysis'!H$20,'[1]NS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955.05</v>
      </c>
      <c r="I106" s="17">
        <f>IF(AND(I$15="Actual",ISBLANK($E$8)),SUMIFS('[1]NS Vendor Details'!$D:$D,'[1]NS Vendor Details'!$H:$H,'G&amp;A Vendor x GL Analysis'!I$20,'[1]NS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Analysis'!I$20,'[1]NS Vendor Details'!$L:$L,'G&amp;A Vendor x GL Analysis'!$D106,'[1]NS Vendor Details'!$O:$O,'G&amp;A Vendor x GL Analysis'!$F106,'[1]NS Vendor Details'!$N:$N,"Direct Costs",'[1]NS Vendor Details'!$J:$J,0),IF(I$15="Actual",SUMIFS('[1]NS Vendor Details'!$D:$D,'[1]NS Vendor Details'!$H:$H,'G&amp;A Vendor x GL Analysis'!I$20,'[1]NS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Analysis'!I$20,'[1]NS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2289.5700000000002</v>
      </c>
      <c r="J106" s="17">
        <f>IF(AND(J$15="Actual",ISBLANK($E$8)),SUMIFS('[1]NS Vendor Details'!$D:$D,'[1]NS Vendor Details'!$H:$H,'G&amp;A Vendor x GL Analysis'!J$20,'[1]NS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Analysis'!J$20,'[1]NS Vendor Details'!$L:$L,'G&amp;A Vendor x GL Analysis'!$D106,'[1]NS Vendor Details'!$O:$O,'G&amp;A Vendor x GL Analysis'!$F106,'[1]NS Vendor Details'!$N:$N,"Direct Costs",'[1]NS Vendor Details'!$J:$J,0),IF(J$15="Actual",SUMIFS('[1]NS Vendor Details'!$D:$D,'[1]NS Vendor Details'!$H:$H,'G&amp;A Vendor x GL Analysis'!J$20,'[1]NS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Analysis'!J$20,'[1]NS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798.82</v>
      </c>
      <c r="K106" s="17">
        <f>IF(AND(K$15="Actual",ISBLANK($E$8)),SUMIFS('[1]NS Vendor Details'!$D:$D,'[1]NS Vendor Details'!$H:$H,'G&amp;A Vendor x GL Analysis'!K$20,'[1]NS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Analysis'!K$20,'[1]NS Vendor Details'!$L:$L,'G&amp;A Vendor x GL Analysis'!$D106,'[1]NS Vendor Details'!$O:$O,'G&amp;A Vendor x GL Analysis'!$F106,'[1]NS Vendor Details'!$N:$N,"Direct Costs",'[1]NS Vendor Details'!$J:$J,0),IF(K$15="Actual",SUMIFS('[1]NS Vendor Details'!$D:$D,'[1]NS Vendor Details'!$H:$H,'G&amp;A Vendor x GL Analysis'!K$20,'[1]NS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Analysis'!K$20,'[1]NS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1888.94</v>
      </c>
      <c r="L106" s="17">
        <f>IF(AND(L$15="Actual",ISBLANK($E$8)),SUMIFS('[1]NS Vendor Details'!$D:$D,'[1]NS Vendor Details'!$H:$H,'G&amp;A Vendor x GL Analysis'!L$20,'[1]NS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Analysis'!L$20,'[1]NS Vendor Details'!$L:$L,'G&amp;A Vendor x GL Analysis'!$D106,'[1]NS Vendor Details'!$O:$O,'G&amp;A Vendor x GL Analysis'!$F106,'[1]NS Vendor Details'!$N:$N,"Direct Costs",'[1]NS Vendor Details'!$J:$J,0),IF(L$15="Actual",SUMIFS('[1]NS Vendor Details'!$D:$D,'[1]NS Vendor Details'!$H:$H,'G&amp;A Vendor x GL Analysis'!L$20,'[1]NS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Analysis'!L$20,'[1]NS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1786.24</v>
      </c>
      <c r="M106" s="17">
        <f>IF(AND(M$15="Actual",ISBLANK($E$8)),SUMIFS('[1]NS Vendor Details'!$D:$D,'[1]NS Vendor Details'!$H:$H,'G&amp;A Vendor x GL Analysis'!M$20,'[1]NS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Analysis'!M$20,'[1]NS Vendor Details'!$L:$L,'G&amp;A Vendor x GL Analysis'!$D106,'[1]NS Vendor Details'!$O:$O,'G&amp;A Vendor x GL Analysis'!$F106,'[1]NS Vendor Details'!$N:$N,"Direct Costs",'[1]NS Vendor Details'!$J:$J,0),IF(M$15="Actual",SUMIFS('[1]NS Vendor Details'!$D:$D,'[1]NS Vendor Details'!$H:$H,'G&amp;A Vendor x GL Analysis'!M$20,'[1]NS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Analysis'!M$20,'[1]NS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1786.24</v>
      </c>
      <c r="N106" s="17">
        <f>IF(AND(N$15="Actual",ISBLANK($E$8)),SUMIFS('[1]NS Vendor Details'!$D:$D,'[1]NS Vendor Details'!$H:$H,'G&amp;A Vendor x GL Analysis'!N$20,'[1]NS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Analysis'!N$20,'[1]NS Vendor Details'!$L:$L,'G&amp;A Vendor x GL Analysis'!$D106,'[1]NS Vendor Details'!$O:$O,'G&amp;A Vendor x GL Analysis'!$F106,'[1]NS Vendor Details'!$N:$N,"Direct Costs",'[1]NS Vendor Details'!$J:$J,0),IF(N$15="Actual",SUMIFS('[1]NS Vendor Details'!$D:$D,'[1]NS Vendor Details'!$H:$H,'G&amp;A Vendor x GL Analysis'!N$20,'[1]NS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Analysis'!N$20,'[1]NS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1806.24</v>
      </c>
      <c r="O106" s="17">
        <f>IF(AND(O$15="Actual",ISBLANK($E$8)),SUMIFS('[1]NS Vendor Details'!$D:$D,'[1]NS Vendor Details'!$H:$H,'G&amp;A Vendor x GL Analysis'!O$20,'[1]NS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Analysis'!O$20,'[1]NS Vendor Details'!$L:$L,'G&amp;A Vendor x GL Analysis'!$D106,'[1]NS Vendor Details'!$O:$O,'G&amp;A Vendor x GL Analysis'!$F106,'[1]NS Vendor Details'!$N:$N,"Direct Costs",'[1]NS Vendor Details'!$J:$J,0),IF(O$15="Actual",SUMIFS('[1]NS Vendor Details'!$D:$D,'[1]NS Vendor Details'!$H:$H,'G&amp;A Vendor x GL Analysis'!O$20,'[1]NS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Analysis'!O$20,'[1]NS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1806.24</v>
      </c>
      <c r="P106" s="17">
        <f>IF(AND(P$15="Actual",ISBLANK($E$8)),SUMIFS('[1]NS Vendor Details'!$D:$D,'[1]NS Vendor Details'!$H:$H,'G&amp;A Vendor x GL Analysis'!P$20,'[1]NS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Analysis'!P$20,'[1]NS Vendor Details'!$L:$L,'G&amp;A Vendor x GL Analysis'!$D106,'[1]NS Vendor Details'!$O:$O,'G&amp;A Vendor x GL Analysis'!$F106,'[1]NS Vendor Details'!$N:$N,"Direct Costs",'[1]NS Vendor Details'!$J:$J,0),IF(P$15="Actual",SUMIFS('[1]NS Vendor Details'!$D:$D,'[1]NS Vendor Details'!$H:$H,'G&amp;A Vendor x GL Analysis'!P$20,'[1]NS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Analysis'!P$20,'[1]NS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7614.13</v>
      </c>
      <c r="Q106" s="17">
        <f>IF(AND(Q$15="Actual",ISBLANK($E$8)),SUMIFS('[1]NS Vendor Details'!$D:$D,'[1]NS Vendor Details'!$H:$H,'G&amp;A Vendor x GL Analysis'!Q$20,'[1]NS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Analysis'!Q$20,'[1]NS Vendor Details'!$L:$L,'G&amp;A Vendor x GL Analysis'!$D106,'[1]NS Vendor Details'!$O:$O,'G&amp;A Vendor x GL Analysis'!$F106,'[1]NS Vendor Details'!$N:$N,"Direct Costs",'[1]NS Vendor Details'!$J:$J,0),IF(Q$15="Actual",SUMIFS('[1]NS Vendor Details'!$D:$D,'[1]NS Vendor Details'!$H:$H,'G&amp;A Vendor x GL Analysis'!Q$20,'[1]NS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Analysis'!Q$20,'[1]NS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1280.6199999999999</v>
      </c>
      <c r="R106" s="18">
        <f>IF(AND(R$15="Actual",ISBLANK($E$8)),SUMIFS('[1]NS Vendor Details'!$D:$D,'[1]NS Vendor Details'!$H:$H,'G&amp;A Vendor x GL Analysis'!R$20,'[1]NS Vendor Details'!$L:$L,'G&amp;A Vendor x GL Analysis'!$D106,'[1]NS Vendor Details'!$O:$O,'G&amp;A Vendor x GL Analysis'!$F106,'[1]NS Vendor Details'!$N:$N,'G&amp;A Vendor x GL Analysis'!$C106)+SUMIFS('[1]NS Vendor Details'!$D:$D,'[1]NS Vendor Details'!$H:$H,'G&amp;A Vendor x GL Analysis'!R$20,'[1]NS Vendor Details'!$L:$L,'G&amp;A Vendor x GL Analysis'!$D106,'[1]NS Vendor Details'!$O:$O,'G&amp;A Vendor x GL Analysis'!$F106,'[1]NS Vendor Details'!$N:$N,"Direct Costs",'[1]NS Vendor Details'!$J:$J,0),IF(R$15="Actual",SUMIFS('[1]NS Vendor Details'!$D:$D,'[1]NS Vendor Details'!$H:$H,'G&amp;A Vendor x GL Analysis'!R$20,'[1]NS Vendor Details'!$L:$L,'G&amp;A Vendor x GL Analysis'!$D106,'[1]NS Vendor Details'!$O:$O,'G&amp;A Vendor x GL Analysis'!$F106,'[1]NS Vendor Details'!$N:$N,'G&amp;A Vendor x GL Analysis'!$C106,'[1]NS Vendor Details'!$K:$K,'G&amp;A Vendor x GL Analysis'!$E$8)+SUMIFS('[1]NS Vendor Details'!$D:$D,'[1]NS Vendor Details'!$H:$H,'G&amp;A Vendor x GL Analysis'!R$20,'[1]NS Vendor Details'!$L:$L,'G&amp;A Vendor x GL Analysis'!$D106,'[1]NS Vendor Details'!$O:$O,'G&amp;A Vendor x GL Analysis'!$F106,'[1]NS Vendor Details'!$N:$N,"Direct Costs",'[1]NS Vendor Details'!$J:$J,0,'[1]NS Vendor Details'!$K:$K,'G&amp;A Vendor x GL Analysis'!$E$8),0))</f>
        <v>1280.6199999999999</v>
      </c>
      <c r="S106" s="16">
        <f>IF(AND(S$15="Actual",ISBLANK($E$8)),SUMIFS('[1]NS Vendor Details'!$D:$D,'[1]NS Vendor Details'!$H:$H,'G&amp;A Vendor x GL Analysis'!S$20,'[1]NS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Analysis'!S$20,'[1]NS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Analysis'!$E106),IF(S$15="Actual",SUMIFS('[1]NS Vendor Details'!$D:$D,'[1]NS Vendor Details'!$H:$H,'G&amp;A Vendor x GL Analysis'!S$20,'[1]NS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Analysis'!S$20,'[1]NS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0</v>
      </c>
      <c r="T106" s="17">
        <f>IF(AND(T$15="Actual",ISBLANK($E$8)),SUMIFS('[1]NS Vendor Details'!$D:$D,'[1]NS Vendor Details'!$H:$H,'G&amp;A Vendor x GL Analysis'!T$20,'[1]NS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Analysis'!T$20,'[1]NS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Analysis'!$E106),IF(T$15="Actual",SUMIFS('[1]NS Vendor Details'!$D:$D,'[1]NS Vendor Details'!$H:$H,'G&amp;A Vendor x GL Analysis'!T$20,'[1]NS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Analysis'!T$20,'[1]NS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0</v>
      </c>
      <c r="U106" s="17">
        <f>IF(AND(U$15="Actual",ISBLANK($E$8)),SUMIFS('[1]NS Vendor Details'!$D:$D,'[1]NS Vendor Details'!$H:$H,'G&amp;A Vendor x GL Analysis'!U$20,'[1]NS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Analysis'!U$20,'[1]NS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Analysis'!$E106),IF(U$15="Actual",SUMIFS('[1]NS Vendor Details'!$D:$D,'[1]NS Vendor Details'!$H:$H,'G&amp;A Vendor x GL Analysis'!U$20,'[1]NS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Analysis'!U$20,'[1]NS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1973.84</v>
      </c>
      <c r="V106" s="17">
        <f>IF(AND(V$15="Actual",ISBLANK($E$8)),SUMIFS('[1]NS Vendor Details'!$D:$D,'[1]NS Vendor Details'!$H:$H,'G&amp;A Vendor x GL Analysis'!V$20,'[1]NS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Analysis'!V$20,'[1]NS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Analysis'!$E106),IF(V$15="Actual",SUMIFS('[1]NS Vendor Details'!$D:$D,'[1]NS Vendor Details'!$H:$H,'G&amp;A Vendor x GL Analysis'!V$20,'[1]NS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Analysis'!V$20,'[1]NS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2007.6</v>
      </c>
      <c r="W106" s="17">
        <f>IF(AND(W$15="Actual",ISBLANK($E$8)),SUMIFS('[1]NS Vendor Details'!$D:$D,'[1]NS Vendor Details'!$H:$H,'G&amp;A Vendor x GL Analysis'!W$20,'[1]NS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Analysis'!W$20,'[1]NS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Analysis'!$E106),IF(W$15="Actual",SUMIFS('[1]NS Vendor Details'!$D:$D,'[1]NS Vendor Details'!$H:$H,'G&amp;A Vendor x GL Analysis'!W$20,'[1]NS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Analysis'!W$20,'[1]NS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2001.3</v>
      </c>
      <c r="X106" s="17">
        <f>IF(AND(X$15="Actual",ISBLANK($E$8)),SUMIFS('[1]NS Vendor Details'!$D:$D,'[1]NS Vendor Details'!$H:$H,'G&amp;A Vendor x GL Analysis'!X$20,'[1]NS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Analysis'!X$20,'[1]NS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Analysis'!$E106),IF(X$15="Actual",SUMIFS('[1]NS Vendor Details'!$D:$D,'[1]NS Vendor Details'!$H:$H,'G&amp;A Vendor x GL Analysis'!X$20,'[1]NS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Analysis'!X$20,'[1]NS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3264.54</v>
      </c>
      <c r="Y106" s="17">
        <f>IF(AND(Y$15="Actual",ISBLANK($E$8)),SUMIFS('[1]NS Vendor Details'!$D:$D,'[1]NS Vendor Details'!$H:$H,'G&amp;A Vendor x GL Analysis'!Y$20,'[1]NS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Analysis'!Y$20,'[1]NS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Analysis'!$E106),IF(Y$15="Actual",SUMIFS('[1]NS Vendor Details'!$D:$D,'[1]NS Vendor Details'!$H:$H,'G&amp;A Vendor x GL Analysis'!Y$20,'[1]NS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Analysis'!Y$20,'[1]NS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2427.06</v>
      </c>
      <c r="Z106" s="17">
        <f>IF(AND(Z$15="Actual",ISBLANK($E$8)),SUMIFS('[1]NS Vendor Details'!$D:$D,'[1]NS Vendor Details'!$H:$H,'G&amp;A Vendor x GL Analysis'!Z$20,'[1]NS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Analysis'!Z$20,'[1]NS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Analysis'!$E106),IF(Z$15="Actual",SUMIFS('[1]NS Vendor Details'!$D:$D,'[1]NS Vendor Details'!$H:$H,'G&amp;A Vendor x GL Analysis'!Z$20,'[1]NS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Analysis'!Z$20,'[1]NS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2425.5500000000002</v>
      </c>
      <c r="AA106" s="17">
        <f>IF(AND(AA$15="Actual",ISBLANK($E$8)),SUMIFS('[1]NS Vendor Details'!$D:$D,'[1]NS Vendor Details'!$H:$H,'G&amp;A Vendor x GL Analysis'!AA$20,'[1]NS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Analysis'!AA$20,'[1]NS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Analysis'!$E106),IF(AA$15="Actual",SUMIFS('[1]NS Vendor Details'!$D:$D,'[1]NS Vendor Details'!$H:$H,'G&amp;A Vendor x GL Analysis'!AA$20,'[1]NS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Analysis'!AA$20,'[1]NS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2425.5500000000002</v>
      </c>
      <c r="AB106" s="17">
        <f>IF(AND(AB$15="Actual",ISBLANK($E$8)),SUMIFS('[1]NS Vendor Details'!$D:$D,'[1]NS Vendor Details'!$H:$H,'G&amp;A Vendor x GL Analysis'!AB$20,'[1]NS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Analysis'!AB$20,'[1]NS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Analysis'!$E106),IF(AB$15="Actual",SUMIFS('[1]NS Vendor Details'!$D:$D,'[1]NS Vendor Details'!$H:$H,'G&amp;A Vendor x GL Analysis'!AB$20,'[1]NS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Analysis'!AB$20,'[1]NS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20246.55</v>
      </c>
      <c r="AC106" s="18">
        <f>IF(AND(AC$15="Actual",ISBLANK($E$8)),SUMIFS('[1]NS Vendor Details'!$D:$D,'[1]NS Vendor Details'!$H:$H,'G&amp;A Vendor x GL Analysis'!AC$20,'[1]NS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Analysis'!AC$20,'[1]NS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Analysis'!$E106),IF(AC$15="Actual",SUMIFS('[1]NS Vendor Details'!$D:$D,'[1]NS Vendor Details'!$H:$H,'G&amp;A Vendor x GL Analysis'!AC$20,'[1]NS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Analysis'!AC$20,'[1]NS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2001.3</v>
      </c>
      <c r="AD106" s="18">
        <f>IF(AND(AD$15="Actual",ISBLANK($E$8)),SUMIFS('[1]NS Vendor Details'!$D:$D,'[1]NS Vendor Details'!$H:$H,'G&amp;A Vendor x GL Analysis'!AD$20,'[1]NS Vendor Details'!$L:$L,'G&amp;A Vendor x GL Analysis'!$D106,'[1]NS Vendor Details'!$O:$O,'G&amp;A Vendor x GL Analysis'!$F106,'[1]NS Vendor Details'!$N:$N,'G&amp;A Vendor x GL Analysis'!$C106,'[1]NS Vendor Details'!$I:$I,'G&amp;A Vendor x GL Analysis'!$E106)+SUMIFS('[1]NS Vendor Details'!$D:$D,'[1]NS Vendor Details'!$H:$H,'G&amp;A Vendor x GL Analysis'!AD$20,'[1]NS Vendor Details'!$L:$L,'G&amp;A Vendor x GL Analysis'!$D106,'[1]NS Vendor Details'!$O:$O,'G&amp;A Vendor x GL Analysis'!$F106,'[1]NS Vendor Details'!$N:$N,"Direct Costs",'[1]NS Vendor Details'!$J:$J,0,'[1]NS Vendor Details'!$I:$I,'G&amp;A Vendor x GL Analysis'!$E106),IF(AD$15="Actual",SUMIFS('[1]NS Vendor Details'!$D:$D,'[1]NS Vendor Details'!$H:$H,'G&amp;A Vendor x GL Analysis'!AD$20,'[1]NS Vendor Details'!$L:$L,'G&amp;A Vendor x GL Analysis'!$D106,'[1]NS Vendor Details'!$O:$O,'G&amp;A Vendor x GL Analysis'!$F106,'[1]NS Vendor Details'!$N:$N,'G&amp;A Vendor x GL Analysis'!$C106,'[1]NS Vendor Details'!$K:$K,'G&amp;A Vendor x GL Analysis'!$E$8,'[1]NS Vendor Details'!$I:$I,'G&amp;A Vendor x GL Analysis'!$E106)+SUMIFS('[1]NS Vendor Details'!$D:$D,'[1]NS Vendor Details'!$H:$H,'G&amp;A Vendor x GL Analysis'!AD$20,'[1]NS Vendor Details'!$L:$L,'G&amp;A Vendor x GL Analysis'!$D106,'[1]NS Vendor Details'!$O:$O,'G&amp;A Vendor x GL Analysis'!$F106,'[1]NS Vendor Details'!$N:$N,"Direct Costs",'[1]NS Vendor Details'!$J:$J,0,'[1]NS Vendor Details'!$K:$K,'G&amp;A Vendor x GL Analysis'!$E$8,'[1]NS Vendor Details'!$I:$I,'G&amp;A Vendor x GL Analysis'!$E106),0))</f>
        <v>0</v>
      </c>
      <c r="AF106" s="19">
        <f t="shared" si="23"/>
        <v>38773.29</v>
      </c>
    </row>
    <row r="107" spans="1:32" outlineLevel="1">
      <c r="A107" s="8" t="str">
        <f t="shared" si="22"/>
        <v>Professional Service6385 - Insurance</v>
      </c>
      <c r="C107" s="8" t="s">
        <v>11</v>
      </c>
      <c r="D107" s="8" t="str">
        <f t="shared" si="21"/>
        <v>Professional Service</v>
      </c>
      <c r="E107" s="2" t="s">
        <v>98</v>
      </c>
      <c r="F107" s="2" t="s">
        <v>100</v>
      </c>
      <c r="G107" s="16">
        <f>IF(AND(G$15="Actual",ISBLANK($E$8)),SUMIFS('[1]NS Vendor Details'!$D:$D,'[1]NS Vendor Details'!$H:$H,'G&amp;A Vendor x GL Analysis'!G$20,'[1]NS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Analysis'!G$20,'[1]NS Vendor Details'!$L:$L,'G&amp;A Vendor x GL Analysis'!$D107,'[1]NS Vendor Details'!$O:$O,'G&amp;A Vendor x GL Analysis'!$F107,'[1]NS Vendor Details'!$N:$N,"Direct Costs",'[1]NS Vendor Details'!$J:$J,0),IF(G$15="Actual",SUMIFS('[1]NS Vendor Details'!$D:$D,'[1]NS Vendor Details'!$H:$H,'G&amp;A Vendor x GL Analysis'!G$20,'[1]NS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Analysis'!G$20,'[1]NS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H107" s="17">
        <f>IF(AND(H$15="Actual",ISBLANK($E$8)),SUMIFS('[1]NS Vendor Details'!$D:$D,'[1]NS Vendor Details'!$H:$H,'G&amp;A Vendor x GL Analysis'!H$20,'[1]NS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Analysis'!H$20,'[1]NS Vendor Details'!$L:$L,'G&amp;A Vendor x GL Analysis'!$D107,'[1]NS Vendor Details'!$O:$O,'G&amp;A Vendor x GL Analysis'!$F107,'[1]NS Vendor Details'!$N:$N,"Direct Costs",'[1]NS Vendor Details'!$J:$J,0),IF(H$15="Actual",SUMIFS('[1]NS Vendor Details'!$D:$D,'[1]NS Vendor Details'!$H:$H,'G&amp;A Vendor x GL Analysis'!H$20,'[1]NS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Analysis'!H$20,'[1]NS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I107" s="17">
        <f>IF(AND(I$15="Actual",ISBLANK($E$8)),SUMIFS('[1]NS Vendor Details'!$D:$D,'[1]NS Vendor Details'!$H:$H,'G&amp;A Vendor x GL Analysis'!I$20,'[1]NS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Analysis'!I$20,'[1]NS Vendor Details'!$L:$L,'G&amp;A Vendor x GL Analysis'!$D107,'[1]NS Vendor Details'!$O:$O,'G&amp;A Vendor x GL Analysis'!$F107,'[1]NS Vendor Details'!$N:$N,"Direct Costs",'[1]NS Vendor Details'!$J:$J,0),IF(I$15="Actual",SUMIFS('[1]NS Vendor Details'!$D:$D,'[1]NS Vendor Details'!$H:$H,'G&amp;A Vendor x GL Analysis'!I$20,'[1]NS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Analysis'!I$20,'[1]NS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J107" s="17">
        <f>IF(AND(J$15="Actual",ISBLANK($E$8)),SUMIFS('[1]NS Vendor Details'!$D:$D,'[1]NS Vendor Details'!$H:$H,'G&amp;A Vendor x GL Analysis'!J$20,'[1]NS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Analysis'!J$20,'[1]NS Vendor Details'!$L:$L,'G&amp;A Vendor x GL Analysis'!$D107,'[1]NS Vendor Details'!$O:$O,'G&amp;A Vendor x GL Analysis'!$F107,'[1]NS Vendor Details'!$N:$N,"Direct Costs",'[1]NS Vendor Details'!$J:$J,0),IF(J$15="Actual",SUMIFS('[1]NS Vendor Details'!$D:$D,'[1]NS Vendor Details'!$H:$H,'G&amp;A Vendor x GL Analysis'!J$20,'[1]NS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Analysis'!J$20,'[1]NS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K107" s="17">
        <f>IF(AND(K$15="Actual",ISBLANK($E$8)),SUMIFS('[1]NS Vendor Details'!$D:$D,'[1]NS Vendor Details'!$H:$H,'G&amp;A Vendor x GL Analysis'!K$20,'[1]NS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Analysis'!K$20,'[1]NS Vendor Details'!$L:$L,'G&amp;A Vendor x GL Analysis'!$D107,'[1]NS Vendor Details'!$O:$O,'G&amp;A Vendor x GL Analysis'!$F107,'[1]NS Vendor Details'!$N:$N,"Direct Costs",'[1]NS Vendor Details'!$J:$J,0),IF(K$15="Actual",SUMIFS('[1]NS Vendor Details'!$D:$D,'[1]NS Vendor Details'!$H:$H,'G&amp;A Vendor x GL Analysis'!K$20,'[1]NS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Analysis'!K$20,'[1]NS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6051</v>
      </c>
      <c r="L107" s="17">
        <f>IF(AND(L$15="Actual",ISBLANK($E$8)),SUMIFS('[1]NS Vendor Details'!$D:$D,'[1]NS Vendor Details'!$H:$H,'G&amp;A Vendor x GL Analysis'!L$20,'[1]NS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Analysis'!L$20,'[1]NS Vendor Details'!$L:$L,'G&amp;A Vendor x GL Analysis'!$D107,'[1]NS Vendor Details'!$O:$O,'G&amp;A Vendor x GL Analysis'!$F107,'[1]NS Vendor Details'!$N:$N,"Direct Costs",'[1]NS Vendor Details'!$J:$J,0),IF(L$15="Actual",SUMIFS('[1]NS Vendor Details'!$D:$D,'[1]NS Vendor Details'!$H:$H,'G&amp;A Vendor x GL Analysis'!L$20,'[1]NS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Analysis'!L$20,'[1]NS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M107" s="17">
        <f>IF(AND(M$15="Actual",ISBLANK($E$8)),SUMIFS('[1]NS Vendor Details'!$D:$D,'[1]NS Vendor Details'!$H:$H,'G&amp;A Vendor x GL Analysis'!M$20,'[1]NS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Analysis'!M$20,'[1]NS Vendor Details'!$L:$L,'G&amp;A Vendor x GL Analysis'!$D107,'[1]NS Vendor Details'!$O:$O,'G&amp;A Vendor x GL Analysis'!$F107,'[1]NS Vendor Details'!$N:$N,"Direct Costs",'[1]NS Vendor Details'!$J:$J,0),IF(M$15="Actual",SUMIFS('[1]NS Vendor Details'!$D:$D,'[1]NS Vendor Details'!$H:$H,'G&amp;A Vendor x GL Analysis'!M$20,'[1]NS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Analysis'!M$20,'[1]NS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N107" s="17">
        <f>IF(AND(N$15="Actual",ISBLANK($E$8)),SUMIFS('[1]NS Vendor Details'!$D:$D,'[1]NS Vendor Details'!$H:$H,'G&amp;A Vendor x GL Analysis'!N$20,'[1]NS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Analysis'!N$20,'[1]NS Vendor Details'!$L:$L,'G&amp;A Vendor x GL Analysis'!$D107,'[1]NS Vendor Details'!$O:$O,'G&amp;A Vendor x GL Analysis'!$F107,'[1]NS Vendor Details'!$N:$N,"Direct Costs",'[1]NS Vendor Details'!$J:$J,0),IF(N$15="Actual",SUMIFS('[1]NS Vendor Details'!$D:$D,'[1]NS Vendor Details'!$H:$H,'G&amp;A Vendor x GL Analysis'!N$20,'[1]NS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Analysis'!N$20,'[1]NS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O107" s="17">
        <f>IF(AND(O$15="Actual",ISBLANK($E$8)),SUMIFS('[1]NS Vendor Details'!$D:$D,'[1]NS Vendor Details'!$H:$H,'G&amp;A Vendor x GL Analysis'!O$20,'[1]NS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Analysis'!O$20,'[1]NS Vendor Details'!$L:$L,'G&amp;A Vendor x GL Analysis'!$D107,'[1]NS Vendor Details'!$O:$O,'G&amp;A Vendor x GL Analysis'!$F107,'[1]NS Vendor Details'!$N:$N,"Direct Costs",'[1]NS Vendor Details'!$J:$J,0),IF(O$15="Actual",SUMIFS('[1]NS Vendor Details'!$D:$D,'[1]NS Vendor Details'!$H:$H,'G&amp;A Vendor x GL Analysis'!O$20,'[1]NS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Analysis'!O$20,'[1]NS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P107" s="17">
        <f>IF(AND(P$15="Actual",ISBLANK($E$8)),SUMIFS('[1]NS Vendor Details'!$D:$D,'[1]NS Vendor Details'!$H:$H,'G&amp;A Vendor x GL Analysis'!P$20,'[1]NS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Analysis'!P$20,'[1]NS Vendor Details'!$L:$L,'G&amp;A Vendor x GL Analysis'!$D107,'[1]NS Vendor Details'!$O:$O,'G&amp;A Vendor x GL Analysis'!$F107,'[1]NS Vendor Details'!$N:$N,"Direct Costs",'[1]NS Vendor Details'!$J:$J,0),IF(P$15="Actual",SUMIFS('[1]NS Vendor Details'!$D:$D,'[1]NS Vendor Details'!$H:$H,'G&amp;A Vendor x GL Analysis'!P$20,'[1]NS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Analysis'!P$20,'[1]NS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Q107" s="17">
        <f>IF(AND(Q$15="Actual",ISBLANK($E$8)),SUMIFS('[1]NS Vendor Details'!$D:$D,'[1]NS Vendor Details'!$H:$H,'G&amp;A Vendor x GL Analysis'!Q$20,'[1]NS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Analysis'!Q$20,'[1]NS Vendor Details'!$L:$L,'G&amp;A Vendor x GL Analysis'!$D107,'[1]NS Vendor Details'!$O:$O,'G&amp;A Vendor x GL Analysis'!$F107,'[1]NS Vendor Details'!$N:$N,"Direct Costs",'[1]NS Vendor Details'!$J:$J,0),IF(Q$15="Actual",SUMIFS('[1]NS Vendor Details'!$D:$D,'[1]NS Vendor Details'!$H:$H,'G&amp;A Vendor x GL Analysis'!Q$20,'[1]NS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Analysis'!Q$20,'[1]NS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R107" s="18">
        <f>IF(AND(R$15="Actual",ISBLANK($E$8)),SUMIFS('[1]NS Vendor Details'!$D:$D,'[1]NS Vendor Details'!$H:$H,'G&amp;A Vendor x GL Analysis'!R$20,'[1]NS Vendor Details'!$L:$L,'G&amp;A Vendor x GL Analysis'!$D107,'[1]NS Vendor Details'!$O:$O,'G&amp;A Vendor x GL Analysis'!$F107,'[1]NS Vendor Details'!$N:$N,'G&amp;A Vendor x GL Analysis'!$C107)+SUMIFS('[1]NS Vendor Details'!$D:$D,'[1]NS Vendor Details'!$H:$H,'G&amp;A Vendor x GL Analysis'!R$20,'[1]NS Vendor Details'!$L:$L,'G&amp;A Vendor x GL Analysis'!$D107,'[1]NS Vendor Details'!$O:$O,'G&amp;A Vendor x GL Analysis'!$F107,'[1]NS Vendor Details'!$N:$N,"Direct Costs",'[1]NS Vendor Details'!$J:$J,0),IF(R$15="Actual",SUMIFS('[1]NS Vendor Details'!$D:$D,'[1]NS Vendor Details'!$H:$H,'G&amp;A Vendor x GL Analysis'!R$20,'[1]NS Vendor Details'!$L:$L,'G&amp;A Vendor x GL Analysis'!$D107,'[1]NS Vendor Details'!$O:$O,'G&amp;A Vendor x GL Analysis'!$F107,'[1]NS Vendor Details'!$N:$N,'G&amp;A Vendor x GL Analysis'!$C107,'[1]NS Vendor Details'!$K:$K,'G&amp;A Vendor x GL Analysis'!$E$8)+SUMIFS('[1]NS Vendor Details'!$D:$D,'[1]NS Vendor Details'!$H:$H,'G&amp;A Vendor x GL Analysis'!R$20,'[1]NS Vendor Details'!$L:$L,'G&amp;A Vendor x GL Analysis'!$D107,'[1]NS Vendor Details'!$O:$O,'G&amp;A Vendor x GL Analysis'!$F107,'[1]NS Vendor Details'!$N:$N,"Direct Costs",'[1]NS Vendor Details'!$J:$J,0,'[1]NS Vendor Details'!$K:$K,'G&amp;A Vendor x GL Analysis'!$E$8),0))</f>
        <v>0</v>
      </c>
      <c r="S107" s="16">
        <f>IF(AND(S$15="Actual",ISBLANK($E$8)),SUMIFS('[1]NS Vendor Details'!$D:$D,'[1]NS Vendor Details'!$H:$H,'G&amp;A Vendor x GL Analysis'!S$20,'[1]NS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Analysis'!S$20,'[1]NS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Analysis'!$E107),IF(S$15="Actual",SUMIFS('[1]NS Vendor Details'!$D:$D,'[1]NS Vendor Details'!$H:$H,'G&amp;A Vendor x GL Analysis'!S$20,'[1]NS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Analysis'!S$20,'[1]NS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0</v>
      </c>
      <c r="T107" s="17">
        <f>IF(AND(T$15="Actual",ISBLANK($E$8)),SUMIFS('[1]NS Vendor Details'!$D:$D,'[1]NS Vendor Details'!$H:$H,'G&amp;A Vendor x GL Analysis'!T$20,'[1]NS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Analysis'!T$20,'[1]NS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Analysis'!$E107),IF(T$15="Actual",SUMIFS('[1]NS Vendor Details'!$D:$D,'[1]NS Vendor Details'!$H:$H,'G&amp;A Vendor x GL Analysis'!T$20,'[1]NS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Analysis'!T$20,'[1]NS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0</v>
      </c>
      <c r="U107" s="17">
        <f>IF(AND(U$15="Actual",ISBLANK($E$8)),SUMIFS('[1]NS Vendor Details'!$D:$D,'[1]NS Vendor Details'!$H:$H,'G&amp;A Vendor x GL Analysis'!U$20,'[1]NS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Analysis'!U$20,'[1]NS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Analysis'!$E107),IF(U$15="Actual",SUMIFS('[1]NS Vendor Details'!$D:$D,'[1]NS Vendor Details'!$H:$H,'G&amp;A Vendor x GL Analysis'!U$20,'[1]NS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Analysis'!U$20,'[1]NS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0</v>
      </c>
      <c r="V107" s="17">
        <f>IF(AND(V$15="Actual",ISBLANK($E$8)),SUMIFS('[1]NS Vendor Details'!$D:$D,'[1]NS Vendor Details'!$H:$H,'G&amp;A Vendor x GL Analysis'!V$20,'[1]NS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Analysis'!V$20,'[1]NS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Analysis'!$E107),IF(V$15="Actual",SUMIFS('[1]NS Vendor Details'!$D:$D,'[1]NS Vendor Details'!$H:$H,'G&amp;A Vendor x GL Analysis'!V$20,'[1]NS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Analysis'!V$20,'[1]NS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1285.4000000000001</v>
      </c>
      <c r="W107" s="17">
        <f>IF(AND(W$15="Actual",ISBLANK($E$8)),SUMIFS('[1]NS Vendor Details'!$D:$D,'[1]NS Vendor Details'!$H:$H,'G&amp;A Vendor x GL Analysis'!W$20,'[1]NS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Analysis'!W$20,'[1]NS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Analysis'!$E107),IF(W$15="Actual",SUMIFS('[1]NS Vendor Details'!$D:$D,'[1]NS Vendor Details'!$H:$H,'G&amp;A Vendor x GL Analysis'!W$20,'[1]NS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Analysis'!W$20,'[1]NS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2529.9</v>
      </c>
      <c r="X107" s="17">
        <f>IF(AND(X$15="Actual",ISBLANK($E$8)),SUMIFS('[1]NS Vendor Details'!$D:$D,'[1]NS Vendor Details'!$H:$H,'G&amp;A Vendor x GL Analysis'!X$20,'[1]NS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Analysis'!X$20,'[1]NS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Analysis'!$E107),IF(X$15="Actual",SUMIFS('[1]NS Vendor Details'!$D:$D,'[1]NS Vendor Details'!$H:$H,'G&amp;A Vendor x GL Analysis'!X$20,'[1]NS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Analysis'!X$20,'[1]NS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428.3</v>
      </c>
      <c r="Y107" s="17">
        <f>IF(AND(Y$15="Actual",ISBLANK($E$8)),SUMIFS('[1]NS Vendor Details'!$D:$D,'[1]NS Vendor Details'!$H:$H,'G&amp;A Vendor x GL Analysis'!Y$20,'[1]NS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Analysis'!Y$20,'[1]NS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Analysis'!$E107),IF(Y$15="Actual",SUMIFS('[1]NS Vendor Details'!$D:$D,'[1]NS Vendor Details'!$H:$H,'G&amp;A Vendor x GL Analysis'!Y$20,'[1]NS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Analysis'!Y$20,'[1]NS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428.3</v>
      </c>
      <c r="Z107" s="17">
        <f>IF(AND(Z$15="Actual",ISBLANK($E$8)),SUMIFS('[1]NS Vendor Details'!$D:$D,'[1]NS Vendor Details'!$H:$H,'G&amp;A Vendor x GL Analysis'!Z$20,'[1]NS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Analysis'!Z$20,'[1]NS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Analysis'!$E107),IF(Z$15="Actual",SUMIFS('[1]NS Vendor Details'!$D:$D,'[1]NS Vendor Details'!$H:$H,'G&amp;A Vendor x GL Analysis'!Z$20,'[1]NS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Analysis'!Z$20,'[1]NS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428.3</v>
      </c>
      <c r="AA107" s="17">
        <f>IF(AND(AA$15="Actual",ISBLANK($E$8)),SUMIFS('[1]NS Vendor Details'!$D:$D,'[1]NS Vendor Details'!$H:$H,'G&amp;A Vendor x GL Analysis'!AA$20,'[1]NS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Analysis'!AA$20,'[1]NS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Analysis'!$E107),IF(AA$15="Actual",SUMIFS('[1]NS Vendor Details'!$D:$D,'[1]NS Vendor Details'!$H:$H,'G&amp;A Vendor x GL Analysis'!AA$20,'[1]NS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Analysis'!AA$20,'[1]NS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428.3</v>
      </c>
      <c r="AB107" s="17">
        <f>IF(AND(AB$15="Actual",ISBLANK($E$8)),SUMIFS('[1]NS Vendor Details'!$D:$D,'[1]NS Vendor Details'!$H:$H,'G&amp;A Vendor x GL Analysis'!AB$20,'[1]NS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Analysis'!AB$20,'[1]NS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Analysis'!$E107),IF(AB$15="Actual",SUMIFS('[1]NS Vendor Details'!$D:$D,'[1]NS Vendor Details'!$H:$H,'G&amp;A Vendor x GL Analysis'!AB$20,'[1]NS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Analysis'!AB$20,'[1]NS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428.3</v>
      </c>
      <c r="AC107" s="18">
        <f>IF(AND(AC$15="Actual",ISBLANK($E$8)),SUMIFS('[1]NS Vendor Details'!$D:$D,'[1]NS Vendor Details'!$H:$H,'G&amp;A Vendor x GL Analysis'!AC$20,'[1]NS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Analysis'!AC$20,'[1]NS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Analysis'!$E107),IF(AC$15="Actual",SUMIFS('[1]NS Vendor Details'!$D:$D,'[1]NS Vendor Details'!$H:$H,'G&amp;A Vendor x GL Analysis'!AC$20,'[1]NS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Analysis'!AC$20,'[1]NS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428.3</v>
      </c>
      <c r="AD107" s="18">
        <f>IF(AND(AD$15="Actual",ISBLANK($E$8)),SUMIFS('[1]NS Vendor Details'!$D:$D,'[1]NS Vendor Details'!$H:$H,'G&amp;A Vendor x GL Analysis'!AD$20,'[1]NS Vendor Details'!$L:$L,'G&amp;A Vendor x GL Analysis'!$D107,'[1]NS Vendor Details'!$O:$O,'G&amp;A Vendor x GL Analysis'!$F107,'[1]NS Vendor Details'!$N:$N,'G&amp;A Vendor x GL Analysis'!$C107,'[1]NS Vendor Details'!$I:$I,'G&amp;A Vendor x GL Analysis'!$E107)+SUMIFS('[1]NS Vendor Details'!$D:$D,'[1]NS Vendor Details'!$H:$H,'G&amp;A Vendor x GL Analysis'!AD$20,'[1]NS Vendor Details'!$L:$L,'G&amp;A Vendor x GL Analysis'!$D107,'[1]NS Vendor Details'!$O:$O,'G&amp;A Vendor x GL Analysis'!$F107,'[1]NS Vendor Details'!$N:$N,"Direct Costs",'[1]NS Vendor Details'!$J:$J,0,'[1]NS Vendor Details'!$I:$I,'G&amp;A Vendor x GL Analysis'!$E107),IF(AD$15="Actual",SUMIFS('[1]NS Vendor Details'!$D:$D,'[1]NS Vendor Details'!$H:$H,'G&amp;A Vendor x GL Analysis'!AD$20,'[1]NS Vendor Details'!$L:$L,'G&amp;A Vendor x GL Analysis'!$D107,'[1]NS Vendor Details'!$O:$O,'G&amp;A Vendor x GL Analysis'!$F107,'[1]NS Vendor Details'!$N:$N,'G&amp;A Vendor x GL Analysis'!$C107,'[1]NS Vendor Details'!$K:$K,'G&amp;A Vendor x GL Analysis'!$E$8,'[1]NS Vendor Details'!$I:$I,'G&amp;A Vendor x GL Analysis'!$E107)+SUMIFS('[1]NS Vendor Details'!$D:$D,'[1]NS Vendor Details'!$H:$H,'G&amp;A Vendor x GL Analysis'!AD$20,'[1]NS Vendor Details'!$L:$L,'G&amp;A Vendor x GL Analysis'!$D107,'[1]NS Vendor Details'!$O:$O,'G&amp;A Vendor x GL Analysis'!$F107,'[1]NS Vendor Details'!$N:$N,"Direct Costs",'[1]NS Vendor Details'!$J:$J,0,'[1]NS Vendor Details'!$K:$K,'G&amp;A Vendor x GL Analysis'!$E$8,'[1]NS Vendor Details'!$I:$I,'G&amp;A Vendor x GL Analysis'!$E107),0))</f>
        <v>0</v>
      </c>
      <c r="AF107" s="19">
        <f t="shared" si="23"/>
        <v>6385.1000000000013</v>
      </c>
    </row>
    <row r="108" spans="1:32" outlineLevel="1">
      <c r="A108" s="8" t="str">
        <f t="shared" si="22"/>
        <v>Professional Service6393 - Software</v>
      </c>
      <c r="C108" s="8" t="s">
        <v>11</v>
      </c>
      <c r="D108" s="8" t="str">
        <f t="shared" si="21"/>
        <v>Professional Service</v>
      </c>
      <c r="E108" s="2" t="s">
        <v>101</v>
      </c>
      <c r="F108" s="2" t="s">
        <v>16</v>
      </c>
      <c r="G108" s="16">
        <f>IF(AND(G$15="Actual",ISBLANK($E$8)),SUMIFS('[1]NS Vendor Details'!$D:$D,'[1]NS Vendor Details'!$H:$H,'G&amp;A Vendor x GL Analysis'!G$20,'[1]NS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Analysis'!G$20,'[1]NS Vendor Details'!$L:$L,'G&amp;A Vendor x GL Analysis'!$D108,'[1]NS Vendor Details'!$O:$O,'G&amp;A Vendor x GL Analysis'!$F108,'[1]NS Vendor Details'!$N:$N,"Direct Costs",'[1]NS Vendor Details'!$J:$J,0),IF(G$15="Actual",SUMIFS('[1]NS Vendor Details'!$D:$D,'[1]NS Vendor Details'!$H:$H,'G&amp;A Vendor x GL Analysis'!G$20,'[1]NS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Analysis'!G$20,'[1]NS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20387.23</v>
      </c>
      <c r="H108" s="17">
        <f>IF(AND(H$15="Actual",ISBLANK($E$8)),SUMIFS('[1]NS Vendor Details'!$D:$D,'[1]NS Vendor Details'!$H:$H,'G&amp;A Vendor x GL Analysis'!H$20,'[1]NS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Analysis'!H$20,'[1]NS Vendor Details'!$L:$L,'G&amp;A Vendor x GL Analysis'!$D108,'[1]NS Vendor Details'!$O:$O,'G&amp;A Vendor x GL Analysis'!$F108,'[1]NS Vendor Details'!$N:$N,"Direct Costs",'[1]NS Vendor Details'!$J:$J,0),IF(H$15="Actual",SUMIFS('[1]NS Vendor Details'!$D:$D,'[1]NS Vendor Details'!$H:$H,'G&amp;A Vendor x GL Analysis'!H$20,'[1]NS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Analysis'!H$20,'[1]NS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2882.1599999999994</v>
      </c>
      <c r="I108" s="17">
        <f>IF(AND(I$15="Actual",ISBLANK($E$8)),SUMIFS('[1]NS Vendor Details'!$D:$D,'[1]NS Vendor Details'!$H:$H,'G&amp;A Vendor x GL Analysis'!I$20,'[1]NS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Analysis'!I$20,'[1]NS Vendor Details'!$L:$L,'G&amp;A Vendor x GL Analysis'!$D108,'[1]NS Vendor Details'!$O:$O,'G&amp;A Vendor x GL Analysis'!$F108,'[1]NS Vendor Details'!$N:$N,"Direct Costs",'[1]NS Vendor Details'!$J:$J,0),IF(I$15="Actual",SUMIFS('[1]NS Vendor Details'!$D:$D,'[1]NS Vendor Details'!$H:$H,'G&amp;A Vendor x GL Analysis'!I$20,'[1]NS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Analysis'!I$20,'[1]NS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2608.1800000000007</v>
      </c>
      <c r="J108" s="17">
        <f>IF(AND(J$15="Actual",ISBLANK($E$8)),SUMIFS('[1]NS Vendor Details'!$D:$D,'[1]NS Vendor Details'!$H:$H,'G&amp;A Vendor x GL Analysis'!J$20,'[1]NS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Analysis'!J$20,'[1]NS Vendor Details'!$L:$L,'G&amp;A Vendor x GL Analysis'!$D108,'[1]NS Vendor Details'!$O:$O,'G&amp;A Vendor x GL Analysis'!$F108,'[1]NS Vendor Details'!$N:$N,"Direct Costs",'[1]NS Vendor Details'!$J:$J,0),IF(J$15="Actual",SUMIFS('[1]NS Vendor Details'!$D:$D,'[1]NS Vendor Details'!$H:$H,'G&amp;A Vendor x GL Analysis'!J$20,'[1]NS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Analysis'!J$20,'[1]NS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17994.830000000002</v>
      </c>
      <c r="K108" s="17">
        <f>IF(AND(K$15="Actual",ISBLANK($E$8)),SUMIFS('[1]NS Vendor Details'!$D:$D,'[1]NS Vendor Details'!$H:$H,'G&amp;A Vendor x GL Analysis'!K$20,'[1]NS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Analysis'!K$20,'[1]NS Vendor Details'!$L:$L,'G&amp;A Vendor x GL Analysis'!$D108,'[1]NS Vendor Details'!$O:$O,'G&amp;A Vendor x GL Analysis'!$F108,'[1]NS Vendor Details'!$N:$N,"Direct Costs",'[1]NS Vendor Details'!$J:$J,0),IF(K$15="Actual",SUMIFS('[1]NS Vendor Details'!$D:$D,'[1]NS Vendor Details'!$H:$H,'G&amp;A Vendor x GL Analysis'!K$20,'[1]NS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Analysis'!K$20,'[1]NS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7253.27</v>
      </c>
      <c r="L108" s="17">
        <f>IF(AND(L$15="Actual",ISBLANK($E$8)),SUMIFS('[1]NS Vendor Details'!$D:$D,'[1]NS Vendor Details'!$H:$H,'G&amp;A Vendor x GL Analysis'!L$20,'[1]NS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Analysis'!L$20,'[1]NS Vendor Details'!$L:$L,'G&amp;A Vendor x GL Analysis'!$D108,'[1]NS Vendor Details'!$O:$O,'G&amp;A Vendor x GL Analysis'!$F108,'[1]NS Vendor Details'!$N:$N,"Direct Costs",'[1]NS Vendor Details'!$J:$J,0),IF(L$15="Actual",SUMIFS('[1]NS Vendor Details'!$D:$D,'[1]NS Vendor Details'!$H:$H,'G&amp;A Vendor x GL Analysis'!L$20,'[1]NS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Analysis'!L$20,'[1]NS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9261.7000000000007</v>
      </c>
      <c r="M108" s="17">
        <f>IF(AND(M$15="Actual",ISBLANK($E$8)),SUMIFS('[1]NS Vendor Details'!$D:$D,'[1]NS Vendor Details'!$H:$H,'G&amp;A Vendor x GL Analysis'!M$20,'[1]NS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Analysis'!M$20,'[1]NS Vendor Details'!$L:$L,'G&amp;A Vendor x GL Analysis'!$D108,'[1]NS Vendor Details'!$O:$O,'G&amp;A Vendor x GL Analysis'!$F108,'[1]NS Vendor Details'!$N:$N,"Direct Costs",'[1]NS Vendor Details'!$J:$J,0),IF(M$15="Actual",SUMIFS('[1]NS Vendor Details'!$D:$D,'[1]NS Vendor Details'!$H:$H,'G&amp;A Vendor x GL Analysis'!M$20,'[1]NS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Analysis'!M$20,'[1]NS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1403.4799999999998</v>
      </c>
      <c r="N108" s="17">
        <f>IF(AND(N$15="Actual",ISBLANK($E$8)),SUMIFS('[1]NS Vendor Details'!$D:$D,'[1]NS Vendor Details'!$H:$H,'G&amp;A Vendor x GL Analysis'!N$20,'[1]NS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Analysis'!N$20,'[1]NS Vendor Details'!$L:$L,'G&amp;A Vendor x GL Analysis'!$D108,'[1]NS Vendor Details'!$O:$O,'G&amp;A Vendor x GL Analysis'!$F108,'[1]NS Vendor Details'!$N:$N,"Direct Costs",'[1]NS Vendor Details'!$J:$J,0),IF(N$15="Actual",SUMIFS('[1]NS Vendor Details'!$D:$D,'[1]NS Vendor Details'!$H:$H,'G&amp;A Vendor x GL Analysis'!N$20,'[1]NS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Analysis'!N$20,'[1]NS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1481.0099999999998</v>
      </c>
      <c r="O108" s="17">
        <f>IF(AND(O$15="Actual",ISBLANK($E$8)),SUMIFS('[1]NS Vendor Details'!$D:$D,'[1]NS Vendor Details'!$H:$H,'G&amp;A Vendor x GL Analysis'!O$20,'[1]NS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Analysis'!O$20,'[1]NS Vendor Details'!$L:$L,'G&amp;A Vendor x GL Analysis'!$D108,'[1]NS Vendor Details'!$O:$O,'G&amp;A Vendor x GL Analysis'!$F108,'[1]NS Vendor Details'!$N:$N,"Direct Costs",'[1]NS Vendor Details'!$J:$J,0),IF(O$15="Actual",SUMIFS('[1]NS Vendor Details'!$D:$D,'[1]NS Vendor Details'!$H:$H,'G&amp;A Vendor x GL Analysis'!O$20,'[1]NS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Analysis'!O$20,'[1]NS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-1780.9000000000005</v>
      </c>
      <c r="P108" s="17">
        <f>IF(AND(P$15="Actual",ISBLANK($E$8)),SUMIFS('[1]NS Vendor Details'!$D:$D,'[1]NS Vendor Details'!$H:$H,'G&amp;A Vendor x GL Analysis'!P$20,'[1]NS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Analysis'!P$20,'[1]NS Vendor Details'!$L:$L,'G&amp;A Vendor x GL Analysis'!$D108,'[1]NS Vendor Details'!$O:$O,'G&amp;A Vendor x GL Analysis'!$F108,'[1]NS Vendor Details'!$N:$N,"Direct Costs",'[1]NS Vendor Details'!$J:$J,0),IF(P$15="Actual",SUMIFS('[1]NS Vendor Details'!$D:$D,'[1]NS Vendor Details'!$H:$H,'G&amp;A Vendor x GL Analysis'!P$20,'[1]NS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Analysis'!P$20,'[1]NS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1662.3999999999999</v>
      </c>
      <c r="Q108" s="17">
        <f>IF(AND(Q$15="Actual",ISBLANK($E$8)),SUMIFS('[1]NS Vendor Details'!$D:$D,'[1]NS Vendor Details'!$H:$H,'G&amp;A Vendor x GL Analysis'!Q$20,'[1]NS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Analysis'!Q$20,'[1]NS Vendor Details'!$L:$L,'G&amp;A Vendor x GL Analysis'!$D108,'[1]NS Vendor Details'!$O:$O,'G&amp;A Vendor x GL Analysis'!$F108,'[1]NS Vendor Details'!$N:$N,"Direct Costs",'[1]NS Vendor Details'!$J:$J,0),IF(Q$15="Actual",SUMIFS('[1]NS Vendor Details'!$D:$D,'[1]NS Vendor Details'!$H:$H,'G&amp;A Vendor x GL Analysis'!Q$20,'[1]NS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Analysis'!Q$20,'[1]NS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-9958.9199999999983</v>
      </c>
      <c r="R108" s="18">
        <f>IF(AND(R$15="Actual",ISBLANK($E$8)),SUMIFS('[1]NS Vendor Details'!$D:$D,'[1]NS Vendor Details'!$H:$H,'G&amp;A Vendor x GL Analysis'!R$20,'[1]NS Vendor Details'!$L:$L,'G&amp;A Vendor x GL Analysis'!$D108,'[1]NS Vendor Details'!$O:$O,'G&amp;A Vendor x GL Analysis'!$F108,'[1]NS Vendor Details'!$N:$N,'G&amp;A Vendor x GL Analysis'!$C108)+SUMIFS('[1]NS Vendor Details'!$D:$D,'[1]NS Vendor Details'!$H:$H,'G&amp;A Vendor x GL Analysis'!R$20,'[1]NS Vendor Details'!$L:$L,'G&amp;A Vendor x GL Analysis'!$D108,'[1]NS Vendor Details'!$O:$O,'G&amp;A Vendor x GL Analysis'!$F108,'[1]NS Vendor Details'!$N:$N,"Direct Costs",'[1]NS Vendor Details'!$J:$J,0),IF(R$15="Actual",SUMIFS('[1]NS Vendor Details'!$D:$D,'[1]NS Vendor Details'!$H:$H,'G&amp;A Vendor x GL Analysis'!R$20,'[1]NS Vendor Details'!$L:$L,'G&amp;A Vendor x GL Analysis'!$D108,'[1]NS Vendor Details'!$O:$O,'G&amp;A Vendor x GL Analysis'!$F108,'[1]NS Vendor Details'!$N:$N,'G&amp;A Vendor x GL Analysis'!$C108,'[1]NS Vendor Details'!$K:$K,'G&amp;A Vendor x GL Analysis'!$E$8)+SUMIFS('[1]NS Vendor Details'!$D:$D,'[1]NS Vendor Details'!$H:$H,'G&amp;A Vendor x GL Analysis'!R$20,'[1]NS Vendor Details'!$L:$L,'G&amp;A Vendor x GL Analysis'!$D108,'[1]NS Vendor Details'!$O:$O,'G&amp;A Vendor x GL Analysis'!$F108,'[1]NS Vendor Details'!$N:$N,"Direct Costs",'[1]NS Vendor Details'!$J:$J,0,'[1]NS Vendor Details'!$K:$K,'G&amp;A Vendor x GL Analysis'!$E$8),0))</f>
        <v>71148.460000000021</v>
      </c>
      <c r="S108" s="16">
        <f>IF(AND(S$15="Actual",ISBLANK($E$8)),SUMIFS('[1]NS Vendor Details'!$D:$D,'[1]NS Vendor Details'!$H:$H,'G&amp;A Vendor x GL Analysis'!S$20,'[1]NS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Analysis'!S$20,'[1]NS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Analysis'!$E108),IF(S$15="Actual",SUMIFS('[1]NS Vendor Details'!$D:$D,'[1]NS Vendor Details'!$H:$H,'G&amp;A Vendor x GL Analysis'!S$20,'[1]NS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Analysis'!S$20,'[1]NS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T108" s="17">
        <f>IF(AND(T$15="Actual",ISBLANK($E$8)),SUMIFS('[1]NS Vendor Details'!$D:$D,'[1]NS Vendor Details'!$H:$H,'G&amp;A Vendor x GL Analysis'!T$20,'[1]NS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Analysis'!T$20,'[1]NS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Analysis'!$E108),IF(T$15="Actual",SUMIFS('[1]NS Vendor Details'!$D:$D,'[1]NS Vendor Details'!$H:$H,'G&amp;A Vendor x GL Analysis'!T$20,'[1]NS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Analysis'!T$20,'[1]NS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U108" s="17">
        <f>IF(AND(U$15="Actual",ISBLANK($E$8)),SUMIFS('[1]NS Vendor Details'!$D:$D,'[1]NS Vendor Details'!$H:$H,'G&amp;A Vendor x GL Analysis'!U$20,'[1]NS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Analysis'!U$20,'[1]NS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Analysis'!$E108),IF(U$15="Actual",SUMIFS('[1]NS Vendor Details'!$D:$D,'[1]NS Vendor Details'!$H:$H,'G&amp;A Vendor x GL Analysis'!U$20,'[1]NS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Analysis'!U$20,'[1]NS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V108" s="17">
        <f>IF(AND(V$15="Actual",ISBLANK($E$8)),SUMIFS('[1]NS Vendor Details'!$D:$D,'[1]NS Vendor Details'!$H:$H,'G&amp;A Vendor x GL Analysis'!V$20,'[1]NS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Analysis'!V$20,'[1]NS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Analysis'!$E108),IF(V$15="Actual",SUMIFS('[1]NS Vendor Details'!$D:$D,'[1]NS Vendor Details'!$H:$H,'G&amp;A Vendor x GL Analysis'!V$20,'[1]NS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Analysis'!V$20,'[1]NS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W108" s="17">
        <f>IF(AND(W$15="Actual",ISBLANK($E$8)),SUMIFS('[1]NS Vendor Details'!$D:$D,'[1]NS Vendor Details'!$H:$H,'G&amp;A Vendor x GL Analysis'!W$20,'[1]NS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Analysis'!W$20,'[1]NS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Analysis'!$E108),IF(W$15="Actual",SUMIFS('[1]NS Vendor Details'!$D:$D,'[1]NS Vendor Details'!$H:$H,'G&amp;A Vendor x GL Analysis'!W$20,'[1]NS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Analysis'!W$20,'[1]NS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X108" s="17">
        <f>IF(AND(X$15="Actual",ISBLANK($E$8)),SUMIFS('[1]NS Vendor Details'!$D:$D,'[1]NS Vendor Details'!$H:$H,'G&amp;A Vendor x GL Analysis'!X$20,'[1]NS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Analysis'!X$20,'[1]NS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Analysis'!$E108),IF(X$15="Actual",SUMIFS('[1]NS Vendor Details'!$D:$D,'[1]NS Vendor Details'!$H:$H,'G&amp;A Vendor x GL Analysis'!X$20,'[1]NS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Analysis'!X$20,'[1]NS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Y108" s="17">
        <f>IF(AND(Y$15="Actual",ISBLANK($E$8)),SUMIFS('[1]NS Vendor Details'!$D:$D,'[1]NS Vendor Details'!$H:$H,'G&amp;A Vendor x GL Analysis'!Y$20,'[1]NS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Analysis'!Y$20,'[1]NS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Analysis'!$E108),IF(Y$15="Actual",SUMIFS('[1]NS Vendor Details'!$D:$D,'[1]NS Vendor Details'!$H:$H,'G&amp;A Vendor x GL Analysis'!Y$20,'[1]NS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Analysis'!Y$20,'[1]NS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Z108" s="17">
        <f>IF(AND(Z$15="Actual",ISBLANK($E$8)),SUMIFS('[1]NS Vendor Details'!$D:$D,'[1]NS Vendor Details'!$H:$H,'G&amp;A Vendor x GL Analysis'!Z$20,'[1]NS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Analysis'!Z$20,'[1]NS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Analysis'!$E108),IF(Z$15="Actual",SUMIFS('[1]NS Vendor Details'!$D:$D,'[1]NS Vendor Details'!$H:$H,'G&amp;A Vendor x GL Analysis'!Z$20,'[1]NS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Analysis'!Z$20,'[1]NS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AA108" s="17">
        <f>IF(AND(AA$15="Actual",ISBLANK($E$8)),SUMIFS('[1]NS Vendor Details'!$D:$D,'[1]NS Vendor Details'!$H:$H,'G&amp;A Vendor x GL Analysis'!AA$20,'[1]NS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Analysis'!AA$20,'[1]NS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Analysis'!$E108),IF(AA$15="Actual",SUMIFS('[1]NS Vendor Details'!$D:$D,'[1]NS Vendor Details'!$H:$H,'G&amp;A Vendor x GL Analysis'!AA$20,'[1]NS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Analysis'!AA$20,'[1]NS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AB108" s="17">
        <f>IF(AND(AB$15="Actual",ISBLANK($E$8)),SUMIFS('[1]NS Vendor Details'!$D:$D,'[1]NS Vendor Details'!$H:$H,'G&amp;A Vendor x GL Analysis'!AB$20,'[1]NS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Analysis'!AB$20,'[1]NS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Analysis'!$E108),IF(AB$15="Actual",SUMIFS('[1]NS Vendor Details'!$D:$D,'[1]NS Vendor Details'!$H:$H,'G&amp;A Vendor x GL Analysis'!AB$20,'[1]NS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Analysis'!AB$20,'[1]NS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591.66999999999996</v>
      </c>
      <c r="AC108" s="18">
        <f>IF(AND(AC$15="Actual",ISBLANK($E$8)),SUMIFS('[1]NS Vendor Details'!$D:$D,'[1]NS Vendor Details'!$H:$H,'G&amp;A Vendor x GL Analysis'!AC$20,'[1]NS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Analysis'!AC$20,'[1]NS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Analysis'!$E108),IF(AC$15="Actual",SUMIFS('[1]NS Vendor Details'!$D:$D,'[1]NS Vendor Details'!$H:$H,'G&amp;A Vendor x GL Analysis'!AC$20,'[1]NS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Analysis'!AC$20,'[1]NS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108.80000000000001</v>
      </c>
      <c r="AD108" s="18">
        <f>IF(AND(AD$15="Actual",ISBLANK($E$8)),SUMIFS('[1]NS Vendor Details'!$D:$D,'[1]NS Vendor Details'!$H:$H,'G&amp;A Vendor x GL Analysis'!AD$20,'[1]NS Vendor Details'!$L:$L,'G&amp;A Vendor x GL Analysis'!$D108,'[1]NS Vendor Details'!$O:$O,'G&amp;A Vendor x GL Analysis'!$F108,'[1]NS Vendor Details'!$N:$N,'G&amp;A Vendor x GL Analysis'!$C108,'[1]NS Vendor Details'!$I:$I,'G&amp;A Vendor x GL Analysis'!$E108)+SUMIFS('[1]NS Vendor Details'!$D:$D,'[1]NS Vendor Details'!$H:$H,'G&amp;A Vendor x GL Analysis'!AD$20,'[1]NS Vendor Details'!$L:$L,'G&amp;A Vendor x GL Analysis'!$D108,'[1]NS Vendor Details'!$O:$O,'G&amp;A Vendor x GL Analysis'!$F108,'[1]NS Vendor Details'!$N:$N,"Direct Costs",'[1]NS Vendor Details'!$J:$J,0,'[1]NS Vendor Details'!$I:$I,'G&amp;A Vendor x GL Analysis'!$E108),IF(AD$15="Actual",SUMIFS('[1]NS Vendor Details'!$D:$D,'[1]NS Vendor Details'!$H:$H,'G&amp;A Vendor x GL Analysis'!AD$20,'[1]NS Vendor Details'!$L:$L,'G&amp;A Vendor x GL Analysis'!$D108,'[1]NS Vendor Details'!$O:$O,'G&amp;A Vendor x GL Analysis'!$F108,'[1]NS Vendor Details'!$N:$N,'G&amp;A Vendor x GL Analysis'!$C108,'[1]NS Vendor Details'!$K:$K,'G&amp;A Vendor x GL Analysis'!$E$8,'[1]NS Vendor Details'!$I:$I,'G&amp;A Vendor x GL Analysis'!$E108)+SUMIFS('[1]NS Vendor Details'!$D:$D,'[1]NS Vendor Details'!$H:$H,'G&amp;A Vendor x GL Analysis'!AD$20,'[1]NS Vendor Details'!$L:$L,'G&amp;A Vendor x GL Analysis'!$D108,'[1]NS Vendor Details'!$O:$O,'G&amp;A Vendor x GL Analysis'!$F108,'[1]NS Vendor Details'!$N:$N,"Direct Costs",'[1]NS Vendor Details'!$J:$J,0,'[1]NS Vendor Details'!$K:$K,'G&amp;A Vendor x GL Analysis'!$E$8,'[1]NS Vendor Details'!$I:$I,'G&amp;A Vendor x GL Analysis'!$E108),0))</f>
        <v>0</v>
      </c>
      <c r="AF108" s="19">
        <f t="shared" si="23"/>
        <v>700.47</v>
      </c>
    </row>
    <row r="109" spans="1:32" outlineLevel="1">
      <c r="A109" s="8" t="str">
        <f t="shared" si="22"/>
        <v>Professional Service6393 - Software</v>
      </c>
      <c r="C109" s="8" t="s">
        <v>11</v>
      </c>
      <c r="D109" s="8" t="str">
        <f t="shared" si="21"/>
        <v>Professional Service</v>
      </c>
      <c r="E109" s="2" t="s">
        <v>101</v>
      </c>
      <c r="F109" s="2" t="s">
        <v>102</v>
      </c>
      <c r="G109" s="16">
        <f>IF(AND(G$15="Actual",ISBLANK($E$8)),SUMIFS('[1]NS Vendor Details'!$D:$D,'[1]NS Vendor Details'!$H:$H,'G&amp;A Vendor x GL Analysis'!G$20,'[1]NS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Analysis'!G$20,'[1]NS Vendor Details'!$L:$L,'G&amp;A Vendor x GL Analysis'!$D109,'[1]NS Vendor Details'!$O:$O,'G&amp;A Vendor x GL Analysis'!$F109,'[1]NS Vendor Details'!$N:$N,"Direct Costs",'[1]NS Vendor Details'!$J:$J,0),IF(G$15="Actual",SUMIFS('[1]NS Vendor Details'!$D:$D,'[1]NS Vendor Details'!$H:$H,'G&amp;A Vendor x GL Analysis'!G$20,'[1]NS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Analysis'!G$20,'[1]NS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0</v>
      </c>
      <c r="H109" s="17">
        <f>IF(AND(H$15="Actual",ISBLANK($E$8)),SUMIFS('[1]NS Vendor Details'!$D:$D,'[1]NS Vendor Details'!$H:$H,'G&amp;A Vendor x GL Analysis'!H$20,'[1]NS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Analysis'!H$20,'[1]NS Vendor Details'!$L:$L,'G&amp;A Vendor x GL Analysis'!$D109,'[1]NS Vendor Details'!$O:$O,'G&amp;A Vendor x GL Analysis'!$F109,'[1]NS Vendor Details'!$N:$N,"Direct Costs",'[1]NS Vendor Details'!$J:$J,0),IF(H$15="Actual",SUMIFS('[1]NS Vendor Details'!$D:$D,'[1]NS Vendor Details'!$H:$H,'G&amp;A Vendor x GL Analysis'!H$20,'[1]NS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Analysis'!H$20,'[1]NS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0</v>
      </c>
      <c r="I109" s="17">
        <f>IF(AND(I$15="Actual",ISBLANK($E$8)),SUMIFS('[1]NS Vendor Details'!$D:$D,'[1]NS Vendor Details'!$H:$H,'G&amp;A Vendor x GL Analysis'!I$20,'[1]NS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Analysis'!I$20,'[1]NS Vendor Details'!$L:$L,'G&amp;A Vendor x GL Analysis'!$D109,'[1]NS Vendor Details'!$O:$O,'G&amp;A Vendor x GL Analysis'!$F109,'[1]NS Vendor Details'!$N:$N,"Direct Costs",'[1]NS Vendor Details'!$J:$J,0),IF(I$15="Actual",SUMIFS('[1]NS Vendor Details'!$D:$D,'[1]NS Vendor Details'!$H:$H,'G&amp;A Vendor x GL Analysis'!I$20,'[1]NS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Analysis'!I$20,'[1]NS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0</v>
      </c>
      <c r="J109" s="17">
        <f>IF(AND(J$15="Actual",ISBLANK($E$8)),SUMIFS('[1]NS Vendor Details'!$D:$D,'[1]NS Vendor Details'!$H:$H,'G&amp;A Vendor x GL Analysis'!J$20,'[1]NS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Analysis'!J$20,'[1]NS Vendor Details'!$L:$L,'G&amp;A Vendor x GL Analysis'!$D109,'[1]NS Vendor Details'!$O:$O,'G&amp;A Vendor x GL Analysis'!$F109,'[1]NS Vendor Details'!$N:$N,"Direct Costs",'[1]NS Vendor Details'!$J:$J,0),IF(J$15="Actual",SUMIFS('[1]NS Vendor Details'!$D:$D,'[1]NS Vendor Details'!$H:$H,'G&amp;A Vendor x GL Analysis'!J$20,'[1]NS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Analysis'!J$20,'[1]NS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0</v>
      </c>
      <c r="K109" s="17">
        <f>IF(AND(K$15="Actual",ISBLANK($E$8)),SUMIFS('[1]NS Vendor Details'!$D:$D,'[1]NS Vendor Details'!$H:$H,'G&amp;A Vendor x GL Analysis'!K$20,'[1]NS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Analysis'!K$20,'[1]NS Vendor Details'!$L:$L,'G&amp;A Vendor x GL Analysis'!$D109,'[1]NS Vendor Details'!$O:$O,'G&amp;A Vendor x GL Analysis'!$F109,'[1]NS Vendor Details'!$N:$N,"Direct Costs",'[1]NS Vendor Details'!$J:$J,0),IF(K$15="Actual",SUMIFS('[1]NS Vendor Details'!$D:$D,'[1]NS Vendor Details'!$H:$H,'G&amp;A Vendor x GL Analysis'!K$20,'[1]NS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Analysis'!K$20,'[1]NS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1687.3</v>
      </c>
      <c r="L109" s="17">
        <f>IF(AND(L$15="Actual",ISBLANK($E$8)),SUMIFS('[1]NS Vendor Details'!$D:$D,'[1]NS Vendor Details'!$H:$H,'G&amp;A Vendor x GL Analysis'!L$20,'[1]NS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Analysis'!L$20,'[1]NS Vendor Details'!$L:$L,'G&amp;A Vendor x GL Analysis'!$D109,'[1]NS Vendor Details'!$O:$O,'G&amp;A Vendor x GL Analysis'!$F109,'[1]NS Vendor Details'!$N:$N,"Direct Costs",'[1]NS Vendor Details'!$J:$J,0),IF(L$15="Actual",SUMIFS('[1]NS Vendor Details'!$D:$D,'[1]NS Vendor Details'!$H:$H,'G&amp;A Vendor x GL Analysis'!L$20,'[1]NS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Analysis'!L$20,'[1]NS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1687.3</v>
      </c>
      <c r="M109" s="17">
        <f>IF(AND(M$15="Actual",ISBLANK($E$8)),SUMIFS('[1]NS Vendor Details'!$D:$D,'[1]NS Vendor Details'!$H:$H,'G&amp;A Vendor x GL Analysis'!M$20,'[1]NS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Analysis'!M$20,'[1]NS Vendor Details'!$L:$L,'G&amp;A Vendor x GL Analysis'!$D109,'[1]NS Vendor Details'!$O:$O,'G&amp;A Vendor x GL Analysis'!$F109,'[1]NS Vendor Details'!$N:$N,"Direct Costs",'[1]NS Vendor Details'!$J:$J,0),IF(M$15="Actual",SUMIFS('[1]NS Vendor Details'!$D:$D,'[1]NS Vendor Details'!$H:$H,'G&amp;A Vendor x GL Analysis'!M$20,'[1]NS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Analysis'!M$20,'[1]NS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1687.3</v>
      </c>
      <c r="N109" s="17">
        <f>IF(AND(N$15="Actual",ISBLANK($E$8)),SUMIFS('[1]NS Vendor Details'!$D:$D,'[1]NS Vendor Details'!$H:$H,'G&amp;A Vendor x GL Analysis'!N$20,'[1]NS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Analysis'!N$20,'[1]NS Vendor Details'!$L:$L,'G&amp;A Vendor x GL Analysis'!$D109,'[1]NS Vendor Details'!$O:$O,'G&amp;A Vendor x GL Analysis'!$F109,'[1]NS Vendor Details'!$N:$N,"Direct Costs",'[1]NS Vendor Details'!$J:$J,0),IF(N$15="Actual",SUMIFS('[1]NS Vendor Details'!$D:$D,'[1]NS Vendor Details'!$H:$H,'G&amp;A Vendor x GL Analysis'!N$20,'[1]NS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Analysis'!N$20,'[1]NS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1687.3</v>
      </c>
      <c r="O109" s="17">
        <f>IF(AND(O$15="Actual",ISBLANK($E$8)),SUMIFS('[1]NS Vendor Details'!$D:$D,'[1]NS Vendor Details'!$H:$H,'G&amp;A Vendor x GL Analysis'!O$20,'[1]NS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Analysis'!O$20,'[1]NS Vendor Details'!$L:$L,'G&amp;A Vendor x GL Analysis'!$D109,'[1]NS Vendor Details'!$O:$O,'G&amp;A Vendor x GL Analysis'!$F109,'[1]NS Vendor Details'!$N:$N,"Direct Costs",'[1]NS Vendor Details'!$J:$J,0),IF(O$15="Actual",SUMIFS('[1]NS Vendor Details'!$D:$D,'[1]NS Vendor Details'!$H:$H,'G&amp;A Vendor x GL Analysis'!O$20,'[1]NS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Analysis'!O$20,'[1]NS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1687.3</v>
      </c>
      <c r="P109" s="17">
        <f>IF(AND(P$15="Actual",ISBLANK($E$8)),SUMIFS('[1]NS Vendor Details'!$D:$D,'[1]NS Vendor Details'!$H:$H,'G&amp;A Vendor x GL Analysis'!P$20,'[1]NS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Analysis'!P$20,'[1]NS Vendor Details'!$L:$L,'G&amp;A Vendor x GL Analysis'!$D109,'[1]NS Vendor Details'!$O:$O,'G&amp;A Vendor x GL Analysis'!$F109,'[1]NS Vendor Details'!$N:$N,"Direct Costs",'[1]NS Vendor Details'!$J:$J,0),IF(P$15="Actual",SUMIFS('[1]NS Vendor Details'!$D:$D,'[1]NS Vendor Details'!$H:$H,'G&amp;A Vendor x GL Analysis'!P$20,'[1]NS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Analysis'!P$20,'[1]NS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1687.3</v>
      </c>
      <c r="Q109" s="17">
        <f>IF(AND(Q$15="Actual",ISBLANK($E$8)),SUMIFS('[1]NS Vendor Details'!$D:$D,'[1]NS Vendor Details'!$H:$H,'G&amp;A Vendor x GL Analysis'!Q$20,'[1]NS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Analysis'!Q$20,'[1]NS Vendor Details'!$L:$L,'G&amp;A Vendor x GL Analysis'!$D109,'[1]NS Vendor Details'!$O:$O,'G&amp;A Vendor x GL Analysis'!$F109,'[1]NS Vendor Details'!$N:$N,"Direct Costs",'[1]NS Vendor Details'!$J:$J,0),IF(Q$15="Actual",SUMIFS('[1]NS Vendor Details'!$D:$D,'[1]NS Vendor Details'!$H:$H,'G&amp;A Vendor x GL Analysis'!Q$20,'[1]NS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Analysis'!Q$20,'[1]NS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1779.84</v>
      </c>
      <c r="R109" s="18">
        <f>IF(AND(R$15="Actual",ISBLANK($E$8)),SUMIFS('[1]NS Vendor Details'!$D:$D,'[1]NS Vendor Details'!$H:$H,'G&amp;A Vendor x GL Analysis'!R$20,'[1]NS Vendor Details'!$L:$L,'G&amp;A Vendor x GL Analysis'!$D109,'[1]NS Vendor Details'!$O:$O,'G&amp;A Vendor x GL Analysis'!$F109,'[1]NS Vendor Details'!$N:$N,'G&amp;A Vendor x GL Analysis'!$C109)+SUMIFS('[1]NS Vendor Details'!$D:$D,'[1]NS Vendor Details'!$H:$H,'G&amp;A Vendor x GL Analysis'!R$20,'[1]NS Vendor Details'!$L:$L,'G&amp;A Vendor x GL Analysis'!$D109,'[1]NS Vendor Details'!$O:$O,'G&amp;A Vendor x GL Analysis'!$F109,'[1]NS Vendor Details'!$N:$N,"Direct Costs",'[1]NS Vendor Details'!$J:$J,0),IF(R$15="Actual",SUMIFS('[1]NS Vendor Details'!$D:$D,'[1]NS Vendor Details'!$H:$H,'G&amp;A Vendor x GL Analysis'!R$20,'[1]NS Vendor Details'!$L:$L,'G&amp;A Vendor x GL Analysis'!$D109,'[1]NS Vendor Details'!$O:$O,'G&amp;A Vendor x GL Analysis'!$F109,'[1]NS Vendor Details'!$N:$N,'G&amp;A Vendor x GL Analysis'!$C109,'[1]NS Vendor Details'!$K:$K,'G&amp;A Vendor x GL Analysis'!$E$8)+SUMIFS('[1]NS Vendor Details'!$D:$D,'[1]NS Vendor Details'!$H:$H,'G&amp;A Vendor x GL Analysis'!R$20,'[1]NS Vendor Details'!$L:$L,'G&amp;A Vendor x GL Analysis'!$D109,'[1]NS Vendor Details'!$O:$O,'G&amp;A Vendor x GL Analysis'!$F109,'[1]NS Vendor Details'!$N:$N,"Direct Costs",'[1]NS Vendor Details'!$J:$J,0,'[1]NS Vendor Details'!$K:$K,'G&amp;A Vendor x GL Analysis'!$E$8),0))</f>
        <v>1779.84</v>
      </c>
      <c r="S109" s="16">
        <f>IF(AND(S$15="Actual",ISBLANK($E$8)),SUMIFS('[1]NS Vendor Details'!$D:$D,'[1]NS Vendor Details'!$H:$H,'G&amp;A Vendor x GL Analysis'!S$20,'[1]NS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Analysis'!S$20,'[1]NS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Analysis'!$E109),IF(S$15="Actual",SUMIFS('[1]NS Vendor Details'!$D:$D,'[1]NS Vendor Details'!$H:$H,'G&amp;A Vendor x GL Analysis'!S$20,'[1]NS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Analysis'!S$20,'[1]NS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T109" s="17">
        <f>IF(AND(T$15="Actual",ISBLANK($E$8)),SUMIFS('[1]NS Vendor Details'!$D:$D,'[1]NS Vendor Details'!$H:$H,'G&amp;A Vendor x GL Analysis'!T$20,'[1]NS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Analysis'!T$20,'[1]NS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Analysis'!$E109),IF(T$15="Actual",SUMIFS('[1]NS Vendor Details'!$D:$D,'[1]NS Vendor Details'!$H:$H,'G&amp;A Vendor x GL Analysis'!T$20,'[1]NS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Analysis'!T$20,'[1]NS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U109" s="17">
        <f>IF(AND(U$15="Actual",ISBLANK($E$8)),SUMIFS('[1]NS Vendor Details'!$D:$D,'[1]NS Vendor Details'!$H:$H,'G&amp;A Vendor x GL Analysis'!U$20,'[1]NS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Analysis'!U$20,'[1]NS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Analysis'!$E109),IF(U$15="Actual",SUMIFS('[1]NS Vendor Details'!$D:$D,'[1]NS Vendor Details'!$H:$H,'G&amp;A Vendor x GL Analysis'!U$20,'[1]NS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Analysis'!U$20,'[1]NS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V109" s="17">
        <f>IF(AND(V$15="Actual",ISBLANK($E$8)),SUMIFS('[1]NS Vendor Details'!$D:$D,'[1]NS Vendor Details'!$H:$H,'G&amp;A Vendor x GL Analysis'!V$20,'[1]NS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Analysis'!V$20,'[1]NS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Analysis'!$E109),IF(V$15="Actual",SUMIFS('[1]NS Vendor Details'!$D:$D,'[1]NS Vendor Details'!$H:$H,'G&amp;A Vendor x GL Analysis'!V$20,'[1]NS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Analysis'!V$20,'[1]NS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W109" s="17">
        <f>IF(AND(W$15="Actual",ISBLANK($E$8)),SUMIFS('[1]NS Vendor Details'!$D:$D,'[1]NS Vendor Details'!$H:$H,'G&amp;A Vendor x GL Analysis'!W$20,'[1]NS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Analysis'!W$20,'[1]NS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Analysis'!$E109),IF(W$15="Actual",SUMIFS('[1]NS Vendor Details'!$D:$D,'[1]NS Vendor Details'!$H:$H,'G&amp;A Vendor x GL Analysis'!W$20,'[1]NS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Analysis'!W$20,'[1]NS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X109" s="17">
        <f>IF(AND(X$15="Actual",ISBLANK($E$8)),SUMIFS('[1]NS Vendor Details'!$D:$D,'[1]NS Vendor Details'!$H:$H,'G&amp;A Vendor x GL Analysis'!X$20,'[1]NS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Analysis'!X$20,'[1]NS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Analysis'!$E109),IF(X$15="Actual",SUMIFS('[1]NS Vendor Details'!$D:$D,'[1]NS Vendor Details'!$H:$H,'G&amp;A Vendor x GL Analysis'!X$20,'[1]NS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Analysis'!X$20,'[1]NS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Y109" s="17">
        <f>IF(AND(Y$15="Actual",ISBLANK($E$8)),SUMIFS('[1]NS Vendor Details'!$D:$D,'[1]NS Vendor Details'!$H:$H,'G&amp;A Vendor x GL Analysis'!Y$20,'[1]NS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Analysis'!Y$20,'[1]NS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Analysis'!$E109),IF(Y$15="Actual",SUMIFS('[1]NS Vendor Details'!$D:$D,'[1]NS Vendor Details'!$H:$H,'G&amp;A Vendor x GL Analysis'!Y$20,'[1]NS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Analysis'!Y$20,'[1]NS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Z109" s="17">
        <f>IF(AND(Z$15="Actual",ISBLANK($E$8)),SUMIFS('[1]NS Vendor Details'!$D:$D,'[1]NS Vendor Details'!$H:$H,'G&amp;A Vendor x GL Analysis'!Z$20,'[1]NS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Analysis'!Z$20,'[1]NS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Analysis'!$E109),IF(Z$15="Actual",SUMIFS('[1]NS Vendor Details'!$D:$D,'[1]NS Vendor Details'!$H:$H,'G&amp;A Vendor x GL Analysis'!Z$20,'[1]NS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Analysis'!Z$20,'[1]NS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AA109" s="17">
        <f>IF(AND(AA$15="Actual",ISBLANK($E$8)),SUMIFS('[1]NS Vendor Details'!$D:$D,'[1]NS Vendor Details'!$H:$H,'G&amp;A Vendor x GL Analysis'!AA$20,'[1]NS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Analysis'!AA$20,'[1]NS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Analysis'!$E109),IF(AA$15="Actual",SUMIFS('[1]NS Vendor Details'!$D:$D,'[1]NS Vendor Details'!$H:$H,'G&amp;A Vendor x GL Analysis'!AA$20,'[1]NS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Analysis'!AA$20,'[1]NS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AB109" s="17">
        <f>IF(AND(AB$15="Actual",ISBLANK($E$8)),SUMIFS('[1]NS Vendor Details'!$D:$D,'[1]NS Vendor Details'!$H:$H,'G&amp;A Vendor x GL Analysis'!AB$20,'[1]NS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Analysis'!AB$20,'[1]NS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Analysis'!$E109),IF(AB$15="Actual",SUMIFS('[1]NS Vendor Details'!$D:$D,'[1]NS Vendor Details'!$H:$H,'G&amp;A Vendor x GL Analysis'!AB$20,'[1]NS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Analysis'!AB$20,'[1]NS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1779.84</v>
      </c>
      <c r="AC109" s="18">
        <f>IF(AND(AC$15="Actual",ISBLANK($E$8)),SUMIFS('[1]NS Vendor Details'!$D:$D,'[1]NS Vendor Details'!$H:$H,'G&amp;A Vendor x GL Analysis'!AC$20,'[1]NS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Analysis'!AC$20,'[1]NS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Analysis'!$E109),IF(AC$15="Actual",SUMIFS('[1]NS Vendor Details'!$D:$D,'[1]NS Vendor Details'!$H:$H,'G&amp;A Vendor x GL Analysis'!AC$20,'[1]NS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Analysis'!AC$20,'[1]NS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2159.27</v>
      </c>
      <c r="AD109" s="18">
        <f>IF(AND(AD$15="Actual",ISBLANK($E$8)),SUMIFS('[1]NS Vendor Details'!$D:$D,'[1]NS Vendor Details'!$H:$H,'G&amp;A Vendor x GL Analysis'!AD$20,'[1]NS Vendor Details'!$L:$L,'G&amp;A Vendor x GL Analysis'!$D109,'[1]NS Vendor Details'!$O:$O,'G&amp;A Vendor x GL Analysis'!$F109,'[1]NS Vendor Details'!$N:$N,'G&amp;A Vendor x GL Analysis'!$C109,'[1]NS Vendor Details'!$I:$I,'G&amp;A Vendor x GL Analysis'!$E109)+SUMIFS('[1]NS Vendor Details'!$D:$D,'[1]NS Vendor Details'!$H:$H,'G&amp;A Vendor x GL Analysis'!AD$20,'[1]NS Vendor Details'!$L:$L,'G&amp;A Vendor x GL Analysis'!$D109,'[1]NS Vendor Details'!$O:$O,'G&amp;A Vendor x GL Analysis'!$F109,'[1]NS Vendor Details'!$N:$N,"Direct Costs",'[1]NS Vendor Details'!$J:$J,0,'[1]NS Vendor Details'!$I:$I,'G&amp;A Vendor x GL Analysis'!$E109),IF(AD$15="Actual",SUMIFS('[1]NS Vendor Details'!$D:$D,'[1]NS Vendor Details'!$H:$H,'G&amp;A Vendor x GL Analysis'!AD$20,'[1]NS Vendor Details'!$L:$L,'G&amp;A Vendor x GL Analysis'!$D109,'[1]NS Vendor Details'!$O:$O,'G&amp;A Vendor x GL Analysis'!$F109,'[1]NS Vendor Details'!$N:$N,'G&amp;A Vendor x GL Analysis'!$C109,'[1]NS Vendor Details'!$K:$K,'G&amp;A Vendor x GL Analysis'!$E$8,'[1]NS Vendor Details'!$I:$I,'G&amp;A Vendor x GL Analysis'!$E109)+SUMIFS('[1]NS Vendor Details'!$D:$D,'[1]NS Vendor Details'!$H:$H,'G&amp;A Vendor x GL Analysis'!AD$20,'[1]NS Vendor Details'!$L:$L,'G&amp;A Vendor x GL Analysis'!$D109,'[1]NS Vendor Details'!$O:$O,'G&amp;A Vendor x GL Analysis'!$F109,'[1]NS Vendor Details'!$N:$N,"Direct Costs",'[1]NS Vendor Details'!$J:$J,0,'[1]NS Vendor Details'!$K:$K,'G&amp;A Vendor x GL Analysis'!$E$8,'[1]NS Vendor Details'!$I:$I,'G&amp;A Vendor x GL Analysis'!$E109),0))</f>
        <v>0</v>
      </c>
      <c r="AF109" s="19">
        <f t="shared" si="23"/>
        <v>19957.669999999998</v>
      </c>
    </row>
    <row r="110" spans="1:32" outlineLevel="1">
      <c r="A110" s="8" t="str">
        <f t="shared" si="22"/>
        <v>Professional Service6393 - Software</v>
      </c>
      <c r="C110" s="8" t="s">
        <v>11</v>
      </c>
      <c r="D110" s="8" t="str">
        <f t="shared" si="21"/>
        <v>Professional Service</v>
      </c>
      <c r="E110" s="2" t="s">
        <v>101</v>
      </c>
      <c r="F110" s="2" t="s">
        <v>103</v>
      </c>
      <c r="G110" s="16">
        <f>IF(AND(G$15="Actual",ISBLANK($E$8)),SUMIFS('[1]NS Vendor Details'!$D:$D,'[1]NS Vendor Details'!$H:$H,'G&amp;A Vendor x GL Analysis'!G$20,'[1]NS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Analysis'!G$20,'[1]NS Vendor Details'!$L:$L,'G&amp;A Vendor x GL Analysis'!$D110,'[1]NS Vendor Details'!$O:$O,'G&amp;A Vendor x GL Analysis'!$F110,'[1]NS Vendor Details'!$N:$N,"Direct Costs",'[1]NS Vendor Details'!$J:$J,0),IF(G$15="Actual",SUMIFS('[1]NS Vendor Details'!$D:$D,'[1]NS Vendor Details'!$H:$H,'G&amp;A Vendor x GL Analysis'!G$20,'[1]NS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Analysis'!G$20,'[1]NS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H110" s="17">
        <f>IF(AND(H$15="Actual",ISBLANK($E$8)),SUMIFS('[1]NS Vendor Details'!$D:$D,'[1]NS Vendor Details'!$H:$H,'G&amp;A Vendor x GL Analysis'!H$20,'[1]NS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Analysis'!H$20,'[1]NS Vendor Details'!$L:$L,'G&amp;A Vendor x GL Analysis'!$D110,'[1]NS Vendor Details'!$O:$O,'G&amp;A Vendor x GL Analysis'!$F110,'[1]NS Vendor Details'!$N:$N,"Direct Costs",'[1]NS Vendor Details'!$J:$J,0),IF(H$15="Actual",SUMIFS('[1]NS Vendor Details'!$D:$D,'[1]NS Vendor Details'!$H:$H,'G&amp;A Vendor x GL Analysis'!H$20,'[1]NS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Analysis'!H$20,'[1]NS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I110" s="17">
        <f>IF(AND(I$15="Actual",ISBLANK($E$8)),SUMIFS('[1]NS Vendor Details'!$D:$D,'[1]NS Vendor Details'!$H:$H,'G&amp;A Vendor x GL Analysis'!I$20,'[1]NS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Analysis'!I$20,'[1]NS Vendor Details'!$L:$L,'G&amp;A Vendor x GL Analysis'!$D110,'[1]NS Vendor Details'!$O:$O,'G&amp;A Vendor x GL Analysis'!$F110,'[1]NS Vendor Details'!$N:$N,"Direct Costs",'[1]NS Vendor Details'!$J:$J,0),IF(I$15="Actual",SUMIFS('[1]NS Vendor Details'!$D:$D,'[1]NS Vendor Details'!$H:$H,'G&amp;A Vendor x GL Analysis'!I$20,'[1]NS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Analysis'!I$20,'[1]NS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J110" s="17">
        <f>IF(AND(J$15="Actual",ISBLANK($E$8)),SUMIFS('[1]NS Vendor Details'!$D:$D,'[1]NS Vendor Details'!$H:$H,'G&amp;A Vendor x GL Analysis'!J$20,'[1]NS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Analysis'!J$20,'[1]NS Vendor Details'!$L:$L,'G&amp;A Vendor x GL Analysis'!$D110,'[1]NS Vendor Details'!$O:$O,'G&amp;A Vendor x GL Analysis'!$F110,'[1]NS Vendor Details'!$N:$N,"Direct Costs",'[1]NS Vendor Details'!$J:$J,0),IF(J$15="Actual",SUMIFS('[1]NS Vendor Details'!$D:$D,'[1]NS Vendor Details'!$H:$H,'G&amp;A Vendor x GL Analysis'!J$20,'[1]NS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Analysis'!J$20,'[1]NS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K110" s="17">
        <f>IF(AND(K$15="Actual",ISBLANK($E$8)),SUMIFS('[1]NS Vendor Details'!$D:$D,'[1]NS Vendor Details'!$H:$H,'G&amp;A Vendor x GL Analysis'!K$20,'[1]NS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Analysis'!K$20,'[1]NS Vendor Details'!$L:$L,'G&amp;A Vendor x GL Analysis'!$D110,'[1]NS Vendor Details'!$O:$O,'G&amp;A Vendor x GL Analysis'!$F110,'[1]NS Vendor Details'!$N:$N,"Direct Costs",'[1]NS Vendor Details'!$J:$J,0),IF(K$15="Actual",SUMIFS('[1]NS Vendor Details'!$D:$D,'[1]NS Vendor Details'!$H:$H,'G&amp;A Vendor x GL Analysis'!K$20,'[1]NS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Analysis'!K$20,'[1]NS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L110" s="17">
        <f>IF(AND(L$15="Actual",ISBLANK($E$8)),SUMIFS('[1]NS Vendor Details'!$D:$D,'[1]NS Vendor Details'!$H:$H,'G&amp;A Vendor x GL Analysis'!L$20,'[1]NS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Analysis'!L$20,'[1]NS Vendor Details'!$L:$L,'G&amp;A Vendor x GL Analysis'!$D110,'[1]NS Vendor Details'!$O:$O,'G&amp;A Vendor x GL Analysis'!$F110,'[1]NS Vendor Details'!$N:$N,"Direct Costs",'[1]NS Vendor Details'!$J:$J,0),IF(L$15="Actual",SUMIFS('[1]NS Vendor Details'!$D:$D,'[1]NS Vendor Details'!$H:$H,'G&amp;A Vendor x GL Analysis'!L$20,'[1]NS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Analysis'!L$20,'[1]NS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M110" s="17">
        <f>IF(AND(M$15="Actual",ISBLANK($E$8)),SUMIFS('[1]NS Vendor Details'!$D:$D,'[1]NS Vendor Details'!$H:$H,'G&amp;A Vendor x GL Analysis'!M$20,'[1]NS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Analysis'!M$20,'[1]NS Vendor Details'!$L:$L,'G&amp;A Vendor x GL Analysis'!$D110,'[1]NS Vendor Details'!$O:$O,'G&amp;A Vendor x GL Analysis'!$F110,'[1]NS Vendor Details'!$N:$N,"Direct Costs",'[1]NS Vendor Details'!$J:$J,0),IF(M$15="Actual",SUMIFS('[1]NS Vendor Details'!$D:$D,'[1]NS Vendor Details'!$H:$H,'G&amp;A Vendor x GL Analysis'!M$20,'[1]NS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Analysis'!M$20,'[1]NS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N110" s="17">
        <f>IF(AND(N$15="Actual",ISBLANK($E$8)),SUMIFS('[1]NS Vendor Details'!$D:$D,'[1]NS Vendor Details'!$H:$H,'G&amp;A Vendor x GL Analysis'!N$20,'[1]NS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Analysis'!N$20,'[1]NS Vendor Details'!$L:$L,'G&amp;A Vendor x GL Analysis'!$D110,'[1]NS Vendor Details'!$O:$O,'G&amp;A Vendor x GL Analysis'!$F110,'[1]NS Vendor Details'!$N:$N,"Direct Costs",'[1]NS Vendor Details'!$J:$J,0),IF(N$15="Actual",SUMIFS('[1]NS Vendor Details'!$D:$D,'[1]NS Vendor Details'!$H:$H,'G&amp;A Vendor x GL Analysis'!N$20,'[1]NS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Analysis'!N$20,'[1]NS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O110" s="17">
        <f>IF(AND(O$15="Actual",ISBLANK($E$8)),SUMIFS('[1]NS Vendor Details'!$D:$D,'[1]NS Vendor Details'!$H:$H,'G&amp;A Vendor x GL Analysis'!O$20,'[1]NS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Analysis'!O$20,'[1]NS Vendor Details'!$L:$L,'G&amp;A Vendor x GL Analysis'!$D110,'[1]NS Vendor Details'!$O:$O,'G&amp;A Vendor x GL Analysis'!$F110,'[1]NS Vendor Details'!$N:$N,"Direct Costs",'[1]NS Vendor Details'!$J:$J,0),IF(O$15="Actual",SUMIFS('[1]NS Vendor Details'!$D:$D,'[1]NS Vendor Details'!$H:$H,'G&amp;A Vendor x GL Analysis'!O$20,'[1]NS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Analysis'!O$20,'[1]NS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P110" s="17">
        <f>IF(AND(P$15="Actual",ISBLANK($E$8)),SUMIFS('[1]NS Vendor Details'!$D:$D,'[1]NS Vendor Details'!$H:$H,'G&amp;A Vendor x GL Analysis'!P$20,'[1]NS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Analysis'!P$20,'[1]NS Vendor Details'!$L:$L,'G&amp;A Vendor x GL Analysis'!$D110,'[1]NS Vendor Details'!$O:$O,'G&amp;A Vendor x GL Analysis'!$F110,'[1]NS Vendor Details'!$N:$N,"Direct Costs",'[1]NS Vendor Details'!$J:$J,0),IF(P$15="Actual",SUMIFS('[1]NS Vendor Details'!$D:$D,'[1]NS Vendor Details'!$H:$H,'G&amp;A Vendor x GL Analysis'!P$20,'[1]NS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Analysis'!P$20,'[1]NS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Q110" s="17">
        <f>IF(AND(Q$15="Actual",ISBLANK($E$8)),SUMIFS('[1]NS Vendor Details'!$D:$D,'[1]NS Vendor Details'!$H:$H,'G&amp;A Vendor x GL Analysis'!Q$20,'[1]NS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Analysis'!Q$20,'[1]NS Vendor Details'!$L:$L,'G&amp;A Vendor x GL Analysis'!$D110,'[1]NS Vendor Details'!$O:$O,'G&amp;A Vendor x GL Analysis'!$F110,'[1]NS Vendor Details'!$N:$N,"Direct Costs",'[1]NS Vendor Details'!$J:$J,0),IF(Q$15="Actual",SUMIFS('[1]NS Vendor Details'!$D:$D,'[1]NS Vendor Details'!$H:$H,'G&amp;A Vendor x GL Analysis'!Q$20,'[1]NS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Analysis'!Q$20,'[1]NS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R110" s="18">
        <f>IF(AND(R$15="Actual",ISBLANK($E$8)),SUMIFS('[1]NS Vendor Details'!$D:$D,'[1]NS Vendor Details'!$H:$H,'G&amp;A Vendor x GL Analysis'!R$20,'[1]NS Vendor Details'!$L:$L,'G&amp;A Vendor x GL Analysis'!$D110,'[1]NS Vendor Details'!$O:$O,'G&amp;A Vendor x GL Analysis'!$F110,'[1]NS Vendor Details'!$N:$N,'G&amp;A Vendor x GL Analysis'!$C110)+SUMIFS('[1]NS Vendor Details'!$D:$D,'[1]NS Vendor Details'!$H:$H,'G&amp;A Vendor x GL Analysis'!R$20,'[1]NS Vendor Details'!$L:$L,'G&amp;A Vendor x GL Analysis'!$D110,'[1]NS Vendor Details'!$O:$O,'G&amp;A Vendor x GL Analysis'!$F110,'[1]NS Vendor Details'!$N:$N,"Direct Costs",'[1]NS Vendor Details'!$J:$J,0),IF(R$15="Actual",SUMIFS('[1]NS Vendor Details'!$D:$D,'[1]NS Vendor Details'!$H:$H,'G&amp;A Vendor x GL Analysis'!R$20,'[1]NS Vendor Details'!$L:$L,'G&amp;A Vendor x GL Analysis'!$D110,'[1]NS Vendor Details'!$O:$O,'G&amp;A Vendor x GL Analysis'!$F110,'[1]NS Vendor Details'!$N:$N,'G&amp;A Vendor x GL Analysis'!$C110,'[1]NS Vendor Details'!$K:$K,'G&amp;A Vendor x GL Analysis'!$E$8)+SUMIFS('[1]NS Vendor Details'!$D:$D,'[1]NS Vendor Details'!$H:$H,'G&amp;A Vendor x GL Analysis'!R$20,'[1]NS Vendor Details'!$L:$L,'G&amp;A Vendor x GL Analysis'!$D110,'[1]NS Vendor Details'!$O:$O,'G&amp;A Vendor x GL Analysis'!$F110,'[1]NS Vendor Details'!$N:$N,"Direct Costs",'[1]NS Vendor Details'!$J:$J,0,'[1]NS Vendor Details'!$K:$K,'G&amp;A Vendor x GL Analysis'!$E$8),0))</f>
        <v>0</v>
      </c>
      <c r="S110" s="16">
        <f>IF(AND(S$15="Actual",ISBLANK($E$8)),SUMIFS('[1]NS Vendor Details'!$D:$D,'[1]NS Vendor Details'!$H:$H,'G&amp;A Vendor x GL Analysis'!S$20,'[1]NS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Analysis'!S$20,'[1]NS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Analysis'!$E110),IF(S$15="Actual",SUMIFS('[1]NS Vendor Details'!$D:$D,'[1]NS Vendor Details'!$H:$H,'G&amp;A Vendor x GL Analysis'!S$20,'[1]NS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Analysis'!S$20,'[1]NS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T110" s="17">
        <f>IF(AND(T$15="Actual",ISBLANK($E$8)),SUMIFS('[1]NS Vendor Details'!$D:$D,'[1]NS Vendor Details'!$H:$H,'G&amp;A Vendor x GL Analysis'!T$20,'[1]NS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Analysis'!T$20,'[1]NS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Analysis'!$E110),IF(T$15="Actual",SUMIFS('[1]NS Vendor Details'!$D:$D,'[1]NS Vendor Details'!$H:$H,'G&amp;A Vendor x GL Analysis'!T$20,'[1]NS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Analysis'!T$20,'[1]NS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U110" s="17">
        <f>IF(AND(U$15="Actual",ISBLANK($E$8)),SUMIFS('[1]NS Vendor Details'!$D:$D,'[1]NS Vendor Details'!$H:$H,'G&amp;A Vendor x GL Analysis'!U$20,'[1]NS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Analysis'!U$20,'[1]NS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Analysis'!$E110),IF(U$15="Actual",SUMIFS('[1]NS Vendor Details'!$D:$D,'[1]NS Vendor Details'!$H:$H,'G&amp;A Vendor x GL Analysis'!U$20,'[1]NS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Analysis'!U$20,'[1]NS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V110" s="17">
        <f>IF(AND(V$15="Actual",ISBLANK($E$8)),SUMIFS('[1]NS Vendor Details'!$D:$D,'[1]NS Vendor Details'!$H:$H,'G&amp;A Vendor x GL Analysis'!V$20,'[1]NS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Analysis'!V$20,'[1]NS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Analysis'!$E110),IF(V$15="Actual",SUMIFS('[1]NS Vendor Details'!$D:$D,'[1]NS Vendor Details'!$H:$H,'G&amp;A Vendor x GL Analysis'!V$20,'[1]NS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Analysis'!V$20,'[1]NS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W110" s="17">
        <f>IF(AND(W$15="Actual",ISBLANK($E$8)),SUMIFS('[1]NS Vendor Details'!$D:$D,'[1]NS Vendor Details'!$H:$H,'G&amp;A Vendor x GL Analysis'!W$20,'[1]NS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Analysis'!W$20,'[1]NS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Analysis'!$E110),IF(W$15="Actual",SUMIFS('[1]NS Vendor Details'!$D:$D,'[1]NS Vendor Details'!$H:$H,'G&amp;A Vendor x GL Analysis'!W$20,'[1]NS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Analysis'!W$20,'[1]NS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X110" s="17">
        <f>IF(AND(X$15="Actual",ISBLANK($E$8)),SUMIFS('[1]NS Vendor Details'!$D:$D,'[1]NS Vendor Details'!$H:$H,'G&amp;A Vendor x GL Analysis'!X$20,'[1]NS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Analysis'!X$20,'[1]NS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Analysis'!$E110),IF(X$15="Actual",SUMIFS('[1]NS Vendor Details'!$D:$D,'[1]NS Vendor Details'!$H:$H,'G&amp;A Vendor x GL Analysis'!X$20,'[1]NS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Analysis'!X$20,'[1]NS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Y110" s="17">
        <f>IF(AND(Y$15="Actual",ISBLANK($E$8)),SUMIFS('[1]NS Vendor Details'!$D:$D,'[1]NS Vendor Details'!$H:$H,'G&amp;A Vendor x GL Analysis'!Y$20,'[1]NS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Analysis'!Y$20,'[1]NS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Analysis'!$E110),IF(Y$15="Actual",SUMIFS('[1]NS Vendor Details'!$D:$D,'[1]NS Vendor Details'!$H:$H,'G&amp;A Vendor x GL Analysis'!Y$20,'[1]NS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Analysis'!Y$20,'[1]NS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Z110" s="17">
        <f>IF(AND(Z$15="Actual",ISBLANK($E$8)),SUMIFS('[1]NS Vendor Details'!$D:$D,'[1]NS Vendor Details'!$H:$H,'G&amp;A Vendor x GL Analysis'!Z$20,'[1]NS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Analysis'!Z$20,'[1]NS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Analysis'!$E110),IF(Z$15="Actual",SUMIFS('[1]NS Vendor Details'!$D:$D,'[1]NS Vendor Details'!$H:$H,'G&amp;A Vendor x GL Analysis'!Z$20,'[1]NS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Analysis'!Z$20,'[1]NS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AA110" s="17">
        <f>IF(AND(AA$15="Actual",ISBLANK($E$8)),SUMIFS('[1]NS Vendor Details'!$D:$D,'[1]NS Vendor Details'!$H:$H,'G&amp;A Vendor x GL Analysis'!AA$20,'[1]NS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Analysis'!AA$20,'[1]NS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Analysis'!$E110),IF(AA$15="Actual",SUMIFS('[1]NS Vendor Details'!$D:$D,'[1]NS Vendor Details'!$H:$H,'G&amp;A Vendor x GL Analysis'!AA$20,'[1]NS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Analysis'!AA$20,'[1]NS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AB110" s="17">
        <f>IF(AND(AB$15="Actual",ISBLANK($E$8)),SUMIFS('[1]NS Vendor Details'!$D:$D,'[1]NS Vendor Details'!$H:$H,'G&amp;A Vendor x GL Analysis'!AB$20,'[1]NS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Analysis'!AB$20,'[1]NS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Analysis'!$E110),IF(AB$15="Actual",SUMIFS('[1]NS Vendor Details'!$D:$D,'[1]NS Vendor Details'!$H:$H,'G&amp;A Vendor x GL Analysis'!AB$20,'[1]NS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Analysis'!AB$20,'[1]NS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AC110" s="18">
        <f>IF(AND(AC$15="Actual",ISBLANK($E$8)),SUMIFS('[1]NS Vendor Details'!$D:$D,'[1]NS Vendor Details'!$H:$H,'G&amp;A Vendor x GL Analysis'!AC$20,'[1]NS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Analysis'!AC$20,'[1]NS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Analysis'!$E110),IF(AC$15="Actual",SUMIFS('[1]NS Vendor Details'!$D:$D,'[1]NS Vendor Details'!$H:$H,'G&amp;A Vendor x GL Analysis'!AC$20,'[1]NS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Analysis'!AC$20,'[1]NS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AD110" s="18">
        <f>IF(AND(AD$15="Actual",ISBLANK($E$8)),SUMIFS('[1]NS Vendor Details'!$D:$D,'[1]NS Vendor Details'!$H:$H,'G&amp;A Vendor x GL Analysis'!AD$20,'[1]NS Vendor Details'!$L:$L,'G&amp;A Vendor x GL Analysis'!$D110,'[1]NS Vendor Details'!$O:$O,'G&amp;A Vendor x GL Analysis'!$F110,'[1]NS Vendor Details'!$N:$N,'G&amp;A Vendor x GL Analysis'!$C110,'[1]NS Vendor Details'!$I:$I,'G&amp;A Vendor x GL Analysis'!$E110)+SUMIFS('[1]NS Vendor Details'!$D:$D,'[1]NS Vendor Details'!$H:$H,'G&amp;A Vendor x GL Analysis'!AD$20,'[1]NS Vendor Details'!$L:$L,'G&amp;A Vendor x GL Analysis'!$D110,'[1]NS Vendor Details'!$O:$O,'G&amp;A Vendor x GL Analysis'!$F110,'[1]NS Vendor Details'!$N:$N,"Direct Costs",'[1]NS Vendor Details'!$J:$J,0,'[1]NS Vendor Details'!$I:$I,'G&amp;A Vendor x GL Analysis'!$E110),IF(AD$15="Actual",SUMIFS('[1]NS Vendor Details'!$D:$D,'[1]NS Vendor Details'!$H:$H,'G&amp;A Vendor x GL Analysis'!AD$20,'[1]NS Vendor Details'!$L:$L,'G&amp;A Vendor x GL Analysis'!$D110,'[1]NS Vendor Details'!$O:$O,'G&amp;A Vendor x GL Analysis'!$F110,'[1]NS Vendor Details'!$N:$N,'G&amp;A Vendor x GL Analysis'!$C110,'[1]NS Vendor Details'!$K:$K,'G&amp;A Vendor x GL Analysis'!$E$8,'[1]NS Vendor Details'!$I:$I,'G&amp;A Vendor x GL Analysis'!$E110)+SUMIFS('[1]NS Vendor Details'!$D:$D,'[1]NS Vendor Details'!$H:$H,'G&amp;A Vendor x GL Analysis'!AD$20,'[1]NS Vendor Details'!$L:$L,'G&amp;A Vendor x GL Analysis'!$D110,'[1]NS Vendor Details'!$O:$O,'G&amp;A Vendor x GL Analysis'!$F110,'[1]NS Vendor Details'!$N:$N,"Direct Costs",'[1]NS Vendor Details'!$J:$J,0,'[1]NS Vendor Details'!$K:$K,'G&amp;A Vendor x GL Analysis'!$E$8,'[1]NS Vendor Details'!$I:$I,'G&amp;A Vendor x GL Analysis'!$E110),0))</f>
        <v>0</v>
      </c>
      <c r="AF110" s="19">
        <f t="shared" si="23"/>
        <v>0</v>
      </c>
    </row>
    <row r="111" spans="1:32" outlineLevel="1">
      <c r="A111" s="8" t="str">
        <f t="shared" si="22"/>
        <v>Professional Service6393 - Software</v>
      </c>
      <c r="C111" s="8" t="s">
        <v>11</v>
      </c>
      <c r="D111" s="8" t="str">
        <f t="shared" si="21"/>
        <v>Professional Service</v>
      </c>
      <c r="E111" s="2" t="s">
        <v>101</v>
      </c>
      <c r="F111" s="2" t="s">
        <v>104</v>
      </c>
      <c r="G111" s="16">
        <f>IF(AND(G$15="Actual",ISBLANK($E$8)),SUMIFS('[1]NS Vendor Details'!$D:$D,'[1]NS Vendor Details'!$H:$H,'G&amp;A Vendor x GL Analysis'!G$20,'[1]NS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Analysis'!G$20,'[1]NS Vendor Details'!$L:$L,'G&amp;A Vendor x GL Analysis'!$D111,'[1]NS Vendor Details'!$O:$O,'G&amp;A Vendor x GL Analysis'!$F111,'[1]NS Vendor Details'!$N:$N,"Direct Costs",'[1]NS Vendor Details'!$J:$J,0),IF(G$15="Actual",SUMIFS('[1]NS Vendor Details'!$D:$D,'[1]NS Vendor Details'!$H:$H,'G&amp;A Vendor x GL Analysis'!G$20,'[1]NS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Analysis'!G$20,'[1]NS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0</v>
      </c>
      <c r="H111" s="17">
        <f>IF(AND(H$15="Actual",ISBLANK($E$8)),SUMIFS('[1]NS Vendor Details'!$D:$D,'[1]NS Vendor Details'!$H:$H,'G&amp;A Vendor x GL Analysis'!H$20,'[1]NS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Analysis'!H$20,'[1]NS Vendor Details'!$L:$L,'G&amp;A Vendor x GL Analysis'!$D111,'[1]NS Vendor Details'!$O:$O,'G&amp;A Vendor x GL Analysis'!$F111,'[1]NS Vendor Details'!$N:$N,"Direct Costs",'[1]NS Vendor Details'!$J:$J,0),IF(H$15="Actual",SUMIFS('[1]NS Vendor Details'!$D:$D,'[1]NS Vendor Details'!$H:$H,'G&amp;A Vendor x GL Analysis'!H$20,'[1]NS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Analysis'!H$20,'[1]NS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0</v>
      </c>
      <c r="I111" s="17">
        <f>IF(AND(I$15="Actual",ISBLANK($E$8)),SUMIFS('[1]NS Vendor Details'!$D:$D,'[1]NS Vendor Details'!$H:$H,'G&amp;A Vendor x GL Analysis'!I$20,'[1]NS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Analysis'!I$20,'[1]NS Vendor Details'!$L:$L,'G&amp;A Vendor x GL Analysis'!$D111,'[1]NS Vendor Details'!$O:$O,'G&amp;A Vendor x GL Analysis'!$F111,'[1]NS Vendor Details'!$N:$N,"Direct Costs",'[1]NS Vendor Details'!$J:$J,0),IF(I$15="Actual",SUMIFS('[1]NS Vendor Details'!$D:$D,'[1]NS Vendor Details'!$H:$H,'G&amp;A Vendor x GL Analysis'!I$20,'[1]NS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Analysis'!I$20,'[1]NS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0</v>
      </c>
      <c r="J111" s="17">
        <f>IF(AND(J$15="Actual",ISBLANK($E$8)),SUMIFS('[1]NS Vendor Details'!$D:$D,'[1]NS Vendor Details'!$H:$H,'G&amp;A Vendor x GL Analysis'!J$20,'[1]NS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Analysis'!J$20,'[1]NS Vendor Details'!$L:$L,'G&amp;A Vendor x GL Analysis'!$D111,'[1]NS Vendor Details'!$O:$O,'G&amp;A Vendor x GL Analysis'!$F111,'[1]NS Vendor Details'!$N:$N,"Direct Costs",'[1]NS Vendor Details'!$J:$J,0),IF(J$15="Actual",SUMIFS('[1]NS Vendor Details'!$D:$D,'[1]NS Vendor Details'!$H:$H,'G&amp;A Vendor x GL Analysis'!J$20,'[1]NS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Analysis'!J$20,'[1]NS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0</v>
      </c>
      <c r="K111" s="17">
        <f>IF(AND(K$15="Actual",ISBLANK($E$8)),SUMIFS('[1]NS Vendor Details'!$D:$D,'[1]NS Vendor Details'!$H:$H,'G&amp;A Vendor x GL Analysis'!K$20,'[1]NS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Analysis'!K$20,'[1]NS Vendor Details'!$L:$L,'G&amp;A Vendor x GL Analysis'!$D111,'[1]NS Vendor Details'!$O:$O,'G&amp;A Vendor x GL Analysis'!$F111,'[1]NS Vendor Details'!$N:$N,"Direct Costs",'[1]NS Vendor Details'!$J:$J,0),IF(K$15="Actual",SUMIFS('[1]NS Vendor Details'!$D:$D,'[1]NS Vendor Details'!$H:$H,'G&amp;A Vendor x GL Analysis'!K$20,'[1]NS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Analysis'!K$20,'[1]NS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2721.88</v>
      </c>
      <c r="L111" s="17">
        <f>IF(AND(L$15="Actual",ISBLANK($E$8)),SUMIFS('[1]NS Vendor Details'!$D:$D,'[1]NS Vendor Details'!$H:$H,'G&amp;A Vendor x GL Analysis'!L$20,'[1]NS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Analysis'!L$20,'[1]NS Vendor Details'!$L:$L,'G&amp;A Vendor x GL Analysis'!$D111,'[1]NS Vendor Details'!$O:$O,'G&amp;A Vendor x GL Analysis'!$F111,'[1]NS Vendor Details'!$N:$N,"Direct Costs",'[1]NS Vendor Details'!$J:$J,0),IF(L$15="Actual",SUMIFS('[1]NS Vendor Details'!$D:$D,'[1]NS Vendor Details'!$H:$H,'G&amp;A Vendor x GL Analysis'!L$20,'[1]NS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Analysis'!L$20,'[1]NS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2721.88</v>
      </c>
      <c r="M111" s="17">
        <f>IF(AND(M$15="Actual",ISBLANK($E$8)),SUMIFS('[1]NS Vendor Details'!$D:$D,'[1]NS Vendor Details'!$H:$H,'G&amp;A Vendor x GL Analysis'!M$20,'[1]NS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Analysis'!M$20,'[1]NS Vendor Details'!$L:$L,'G&amp;A Vendor x GL Analysis'!$D111,'[1]NS Vendor Details'!$O:$O,'G&amp;A Vendor x GL Analysis'!$F111,'[1]NS Vendor Details'!$N:$N,"Direct Costs",'[1]NS Vendor Details'!$J:$J,0),IF(M$15="Actual",SUMIFS('[1]NS Vendor Details'!$D:$D,'[1]NS Vendor Details'!$H:$H,'G&amp;A Vendor x GL Analysis'!M$20,'[1]NS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Analysis'!M$20,'[1]NS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2721.88</v>
      </c>
      <c r="N111" s="17">
        <f>IF(AND(N$15="Actual",ISBLANK($E$8)),SUMIFS('[1]NS Vendor Details'!$D:$D,'[1]NS Vendor Details'!$H:$H,'G&amp;A Vendor x GL Analysis'!N$20,'[1]NS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Analysis'!N$20,'[1]NS Vendor Details'!$L:$L,'G&amp;A Vendor x GL Analysis'!$D111,'[1]NS Vendor Details'!$O:$O,'G&amp;A Vendor x GL Analysis'!$F111,'[1]NS Vendor Details'!$N:$N,"Direct Costs",'[1]NS Vendor Details'!$J:$J,0),IF(N$15="Actual",SUMIFS('[1]NS Vendor Details'!$D:$D,'[1]NS Vendor Details'!$H:$H,'G&amp;A Vendor x GL Analysis'!N$20,'[1]NS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Analysis'!N$20,'[1]NS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2721.88</v>
      </c>
      <c r="O111" s="17">
        <f>IF(AND(O$15="Actual",ISBLANK($E$8)),SUMIFS('[1]NS Vendor Details'!$D:$D,'[1]NS Vendor Details'!$H:$H,'G&amp;A Vendor x GL Analysis'!O$20,'[1]NS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Analysis'!O$20,'[1]NS Vendor Details'!$L:$L,'G&amp;A Vendor x GL Analysis'!$D111,'[1]NS Vendor Details'!$O:$O,'G&amp;A Vendor x GL Analysis'!$F111,'[1]NS Vendor Details'!$N:$N,"Direct Costs",'[1]NS Vendor Details'!$J:$J,0),IF(O$15="Actual",SUMIFS('[1]NS Vendor Details'!$D:$D,'[1]NS Vendor Details'!$H:$H,'G&amp;A Vendor x GL Analysis'!O$20,'[1]NS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Analysis'!O$20,'[1]NS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2721.88</v>
      </c>
      <c r="P111" s="17">
        <f>IF(AND(P$15="Actual",ISBLANK($E$8)),SUMIFS('[1]NS Vendor Details'!$D:$D,'[1]NS Vendor Details'!$H:$H,'G&amp;A Vendor x GL Analysis'!P$20,'[1]NS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Analysis'!P$20,'[1]NS Vendor Details'!$L:$L,'G&amp;A Vendor x GL Analysis'!$D111,'[1]NS Vendor Details'!$O:$O,'G&amp;A Vendor x GL Analysis'!$F111,'[1]NS Vendor Details'!$N:$N,"Direct Costs",'[1]NS Vendor Details'!$J:$J,0),IF(P$15="Actual",SUMIFS('[1]NS Vendor Details'!$D:$D,'[1]NS Vendor Details'!$H:$H,'G&amp;A Vendor x GL Analysis'!P$20,'[1]NS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Analysis'!P$20,'[1]NS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2721.88</v>
      </c>
      <c r="Q111" s="17">
        <f>IF(AND(Q$15="Actual",ISBLANK($E$8)),SUMIFS('[1]NS Vendor Details'!$D:$D,'[1]NS Vendor Details'!$H:$H,'G&amp;A Vendor x GL Analysis'!Q$20,'[1]NS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Analysis'!Q$20,'[1]NS Vendor Details'!$L:$L,'G&amp;A Vendor x GL Analysis'!$D111,'[1]NS Vendor Details'!$O:$O,'G&amp;A Vendor x GL Analysis'!$F111,'[1]NS Vendor Details'!$N:$N,"Direct Costs",'[1]NS Vendor Details'!$J:$J,0),IF(Q$15="Actual",SUMIFS('[1]NS Vendor Details'!$D:$D,'[1]NS Vendor Details'!$H:$H,'G&amp;A Vendor x GL Analysis'!Q$20,'[1]NS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Analysis'!Q$20,'[1]NS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2721.88</v>
      </c>
      <c r="R111" s="18">
        <f>IF(AND(R$15="Actual",ISBLANK($E$8)),SUMIFS('[1]NS Vendor Details'!$D:$D,'[1]NS Vendor Details'!$H:$H,'G&amp;A Vendor x GL Analysis'!R$20,'[1]NS Vendor Details'!$L:$L,'G&amp;A Vendor x GL Analysis'!$D111,'[1]NS Vendor Details'!$O:$O,'G&amp;A Vendor x GL Analysis'!$F111,'[1]NS Vendor Details'!$N:$N,'G&amp;A Vendor x GL Analysis'!$C111)+SUMIFS('[1]NS Vendor Details'!$D:$D,'[1]NS Vendor Details'!$H:$H,'G&amp;A Vendor x GL Analysis'!R$20,'[1]NS Vendor Details'!$L:$L,'G&amp;A Vendor x GL Analysis'!$D111,'[1]NS Vendor Details'!$O:$O,'G&amp;A Vendor x GL Analysis'!$F111,'[1]NS Vendor Details'!$N:$N,"Direct Costs",'[1]NS Vendor Details'!$J:$J,0),IF(R$15="Actual",SUMIFS('[1]NS Vendor Details'!$D:$D,'[1]NS Vendor Details'!$H:$H,'G&amp;A Vendor x GL Analysis'!R$20,'[1]NS Vendor Details'!$L:$L,'G&amp;A Vendor x GL Analysis'!$D111,'[1]NS Vendor Details'!$O:$O,'G&amp;A Vendor x GL Analysis'!$F111,'[1]NS Vendor Details'!$N:$N,'G&amp;A Vendor x GL Analysis'!$C111,'[1]NS Vendor Details'!$K:$K,'G&amp;A Vendor x GL Analysis'!$E$8)+SUMIFS('[1]NS Vendor Details'!$D:$D,'[1]NS Vendor Details'!$H:$H,'G&amp;A Vendor x GL Analysis'!R$20,'[1]NS Vendor Details'!$L:$L,'G&amp;A Vendor x GL Analysis'!$D111,'[1]NS Vendor Details'!$O:$O,'G&amp;A Vendor x GL Analysis'!$F111,'[1]NS Vendor Details'!$N:$N,"Direct Costs",'[1]NS Vendor Details'!$J:$J,0,'[1]NS Vendor Details'!$K:$K,'G&amp;A Vendor x GL Analysis'!$E$8),0))</f>
        <v>2721.88</v>
      </c>
      <c r="S111" s="16">
        <f>IF(AND(S$15="Actual",ISBLANK($E$8)),SUMIFS('[1]NS Vendor Details'!$D:$D,'[1]NS Vendor Details'!$H:$H,'G&amp;A Vendor x GL Analysis'!S$20,'[1]NS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Analysis'!S$20,'[1]NS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Analysis'!$E111),IF(S$15="Actual",SUMIFS('[1]NS Vendor Details'!$D:$D,'[1]NS Vendor Details'!$H:$H,'G&amp;A Vendor x GL Analysis'!S$20,'[1]NS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Analysis'!S$20,'[1]NS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2721.88</v>
      </c>
      <c r="T111" s="17">
        <f>IF(AND(T$15="Actual",ISBLANK($E$8)),SUMIFS('[1]NS Vendor Details'!$D:$D,'[1]NS Vendor Details'!$H:$H,'G&amp;A Vendor x GL Analysis'!T$20,'[1]NS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Analysis'!T$20,'[1]NS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Analysis'!$E111),IF(T$15="Actual",SUMIFS('[1]NS Vendor Details'!$D:$D,'[1]NS Vendor Details'!$H:$H,'G&amp;A Vendor x GL Analysis'!T$20,'[1]NS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Analysis'!T$20,'[1]NS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2721.88</v>
      </c>
      <c r="U111" s="17">
        <f>IF(AND(U$15="Actual",ISBLANK($E$8)),SUMIFS('[1]NS Vendor Details'!$D:$D,'[1]NS Vendor Details'!$H:$H,'G&amp;A Vendor x GL Analysis'!U$20,'[1]NS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Analysis'!U$20,'[1]NS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Analysis'!$E111),IF(U$15="Actual",SUMIFS('[1]NS Vendor Details'!$D:$D,'[1]NS Vendor Details'!$H:$H,'G&amp;A Vendor x GL Analysis'!U$20,'[1]NS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Analysis'!U$20,'[1]NS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2721.88</v>
      </c>
      <c r="V111" s="17">
        <f>IF(AND(V$15="Actual",ISBLANK($E$8)),SUMIFS('[1]NS Vendor Details'!$D:$D,'[1]NS Vendor Details'!$H:$H,'G&amp;A Vendor x GL Analysis'!V$20,'[1]NS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Analysis'!V$20,'[1]NS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Analysis'!$E111),IF(V$15="Actual",SUMIFS('[1]NS Vendor Details'!$D:$D,'[1]NS Vendor Details'!$H:$H,'G&amp;A Vendor x GL Analysis'!V$20,'[1]NS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Analysis'!V$20,'[1]NS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2721.82</v>
      </c>
      <c r="W111" s="17">
        <f>IF(AND(W$15="Actual",ISBLANK($E$8)),SUMIFS('[1]NS Vendor Details'!$D:$D,'[1]NS Vendor Details'!$H:$H,'G&amp;A Vendor x GL Analysis'!W$20,'[1]NS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Analysis'!W$20,'[1]NS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Analysis'!$E111),IF(W$15="Actual",SUMIFS('[1]NS Vendor Details'!$D:$D,'[1]NS Vendor Details'!$H:$H,'G&amp;A Vendor x GL Analysis'!W$20,'[1]NS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Analysis'!W$20,'[1]NS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2582.46</v>
      </c>
      <c r="X111" s="17">
        <f>IF(AND(X$15="Actual",ISBLANK($E$8)),SUMIFS('[1]NS Vendor Details'!$D:$D,'[1]NS Vendor Details'!$H:$H,'G&amp;A Vendor x GL Analysis'!X$20,'[1]NS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Analysis'!X$20,'[1]NS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Analysis'!$E111),IF(X$15="Actual",SUMIFS('[1]NS Vendor Details'!$D:$D,'[1]NS Vendor Details'!$H:$H,'G&amp;A Vendor x GL Analysis'!X$20,'[1]NS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Analysis'!X$20,'[1]NS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2582.46</v>
      </c>
      <c r="Y111" s="17">
        <f>IF(AND(Y$15="Actual",ISBLANK($E$8)),SUMIFS('[1]NS Vendor Details'!$D:$D,'[1]NS Vendor Details'!$H:$H,'G&amp;A Vendor x GL Analysis'!Y$20,'[1]NS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Analysis'!Y$20,'[1]NS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Analysis'!$E111),IF(Y$15="Actual",SUMIFS('[1]NS Vendor Details'!$D:$D,'[1]NS Vendor Details'!$H:$H,'G&amp;A Vendor x GL Analysis'!Y$20,'[1]NS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Analysis'!Y$20,'[1]NS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2582.46</v>
      </c>
      <c r="Z111" s="17">
        <f>IF(AND(Z$15="Actual",ISBLANK($E$8)),SUMIFS('[1]NS Vendor Details'!$D:$D,'[1]NS Vendor Details'!$H:$H,'G&amp;A Vendor x GL Analysis'!Z$20,'[1]NS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Analysis'!Z$20,'[1]NS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Analysis'!$E111),IF(Z$15="Actual",SUMIFS('[1]NS Vendor Details'!$D:$D,'[1]NS Vendor Details'!$H:$H,'G&amp;A Vendor x GL Analysis'!Z$20,'[1]NS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Analysis'!Z$20,'[1]NS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2582.46</v>
      </c>
      <c r="AA111" s="17">
        <f>IF(AND(AA$15="Actual",ISBLANK($E$8)),SUMIFS('[1]NS Vendor Details'!$D:$D,'[1]NS Vendor Details'!$H:$H,'G&amp;A Vendor x GL Analysis'!AA$20,'[1]NS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Analysis'!AA$20,'[1]NS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Analysis'!$E111),IF(AA$15="Actual",SUMIFS('[1]NS Vendor Details'!$D:$D,'[1]NS Vendor Details'!$H:$H,'G&amp;A Vendor x GL Analysis'!AA$20,'[1]NS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Analysis'!AA$20,'[1]NS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2582.46</v>
      </c>
      <c r="AB111" s="17">
        <f>IF(AND(AB$15="Actual",ISBLANK($E$8)),SUMIFS('[1]NS Vendor Details'!$D:$D,'[1]NS Vendor Details'!$H:$H,'G&amp;A Vendor x GL Analysis'!AB$20,'[1]NS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Analysis'!AB$20,'[1]NS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Analysis'!$E111),IF(AB$15="Actual",SUMIFS('[1]NS Vendor Details'!$D:$D,'[1]NS Vendor Details'!$H:$H,'G&amp;A Vendor x GL Analysis'!AB$20,'[1]NS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Analysis'!AB$20,'[1]NS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2582.46</v>
      </c>
      <c r="AC111" s="18">
        <f>IF(AND(AC$15="Actual",ISBLANK($E$8)),SUMIFS('[1]NS Vendor Details'!$D:$D,'[1]NS Vendor Details'!$H:$H,'G&amp;A Vendor x GL Analysis'!AC$20,'[1]NS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Analysis'!AC$20,'[1]NS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Analysis'!$E111),IF(AC$15="Actual",SUMIFS('[1]NS Vendor Details'!$D:$D,'[1]NS Vendor Details'!$H:$H,'G&amp;A Vendor x GL Analysis'!AC$20,'[1]NS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Analysis'!AC$20,'[1]NS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2582.46</v>
      </c>
      <c r="AD111" s="18">
        <f>IF(AND(AD$15="Actual",ISBLANK($E$8)),SUMIFS('[1]NS Vendor Details'!$D:$D,'[1]NS Vendor Details'!$H:$H,'G&amp;A Vendor x GL Analysis'!AD$20,'[1]NS Vendor Details'!$L:$L,'G&amp;A Vendor x GL Analysis'!$D111,'[1]NS Vendor Details'!$O:$O,'G&amp;A Vendor x GL Analysis'!$F111,'[1]NS Vendor Details'!$N:$N,'G&amp;A Vendor x GL Analysis'!$C111,'[1]NS Vendor Details'!$I:$I,'G&amp;A Vendor x GL Analysis'!$E111)+SUMIFS('[1]NS Vendor Details'!$D:$D,'[1]NS Vendor Details'!$H:$H,'G&amp;A Vendor x GL Analysis'!AD$20,'[1]NS Vendor Details'!$L:$L,'G&amp;A Vendor x GL Analysis'!$D111,'[1]NS Vendor Details'!$O:$O,'G&amp;A Vendor x GL Analysis'!$F111,'[1]NS Vendor Details'!$N:$N,"Direct Costs",'[1]NS Vendor Details'!$J:$J,0,'[1]NS Vendor Details'!$I:$I,'G&amp;A Vendor x GL Analysis'!$E111),IF(AD$15="Actual",SUMIFS('[1]NS Vendor Details'!$D:$D,'[1]NS Vendor Details'!$H:$H,'G&amp;A Vendor x GL Analysis'!AD$20,'[1]NS Vendor Details'!$L:$L,'G&amp;A Vendor x GL Analysis'!$D111,'[1]NS Vendor Details'!$O:$O,'G&amp;A Vendor x GL Analysis'!$F111,'[1]NS Vendor Details'!$N:$N,'G&amp;A Vendor x GL Analysis'!$C111,'[1]NS Vendor Details'!$K:$K,'G&amp;A Vendor x GL Analysis'!$E$8,'[1]NS Vendor Details'!$I:$I,'G&amp;A Vendor x GL Analysis'!$E111)+SUMIFS('[1]NS Vendor Details'!$D:$D,'[1]NS Vendor Details'!$H:$H,'G&amp;A Vendor x GL Analysis'!AD$20,'[1]NS Vendor Details'!$L:$L,'G&amp;A Vendor x GL Analysis'!$D111,'[1]NS Vendor Details'!$O:$O,'G&amp;A Vendor x GL Analysis'!$F111,'[1]NS Vendor Details'!$N:$N,"Direct Costs",'[1]NS Vendor Details'!$J:$J,0,'[1]NS Vendor Details'!$K:$K,'G&amp;A Vendor x GL Analysis'!$E$8,'[1]NS Vendor Details'!$I:$I,'G&amp;A Vendor x GL Analysis'!$E111),0))</f>
        <v>0</v>
      </c>
      <c r="AF111" s="19">
        <f t="shared" si="23"/>
        <v>28964.679999999997</v>
      </c>
    </row>
    <row r="112" spans="1:32" outlineLevel="1">
      <c r="A112" s="8" t="str">
        <f t="shared" si="22"/>
        <v>Professional Service6393 - Software</v>
      </c>
      <c r="C112" s="8" t="s">
        <v>11</v>
      </c>
      <c r="D112" s="8" t="str">
        <f t="shared" si="21"/>
        <v>Professional Service</v>
      </c>
      <c r="E112" s="2" t="s">
        <v>101</v>
      </c>
      <c r="F112" s="2" t="s">
        <v>105</v>
      </c>
      <c r="G112" s="16">
        <f>IF(AND(G$15="Actual",ISBLANK($E$8)),SUMIFS('[1]NS Vendor Details'!$D:$D,'[1]NS Vendor Details'!$H:$H,'G&amp;A Vendor x GL Analysis'!G$20,'[1]NS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Analysis'!G$20,'[1]NS Vendor Details'!$L:$L,'G&amp;A Vendor x GL Analysis'!$D112,'[1]NS Vendor Details'!$O:$O,'G&amp;A Vendor x GL Analysis'!$F112,'[1]NS Vendor Details'!$N:$N,"Direct Costs",'[1]NS Vendor Details'!$J:$J,0),IF(G$15="Actual",SUMIFS('[1]NS Vendor Details'!$D:$D,'[1]NS Vendor Details'!$H:$H,'G&amp;A Vendor x GL Analysis'!G$20,'[1]NS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Analysis'!G$20,'[1]NS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H112" s="17">
        <f>IF(AND(H$15="Actual",ISBLANK($E$8)),SUMIFS('[1]NS Vendor Details'!$D:$D,'[1]NS Vendor Details'!$H:$H,'G&amp;A Vendor x GL Analysis'!H$20,'[1]NS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Analysis'!H$20,'[1]NS Vendor Details'!$L:$L,'G&amp;A Vendor x GL Analysis'!$D112,'[1]NS Vendor Details'!$O:$O,'G&amp;A Vendor x GL Analysis'!$F112,'[1]NS Vendor Details'!$N:$N,"Direct Costs",'[1]NS Vendor Details'!$J:$J,0),IF(H$15="Actual",SUMIFS('[1]NS Vendor Details'!$D:$D,'[1]NS Vendor Details'!$H:$H,'G&amp;A Vendor x GL Analysis'!H$20,'[1]NS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Analysis'!H$20,'[1]NS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I112" s="17">
        <f>IF(AND(I$15="Actual",ISBLANK($E$8)),SUMIFS('[1]NS Vendor Details'!$D:$D,'[1]NS Vendor Details'!$H:$H,'G&amp;A Vendor x GL Analysis'!I$20,'[1]NS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Analysis'!I$20,'[1]NS Vendor Details'!$L:$L,'G&amp;A Vendor x GL Analysis'!$D112,'[1]NS Vendor Details'!$O:$O,'G&amp;A Vendor x GL Analysis'!$F112,'[1]NS Vendor Details'!$N:$N,"Direct Costs",'[1]NS Vendor Details'!$J:$J,0),IF(I$15="Actual",SUMIFS('[1]NS Vendor Details'!$D:$D,'[1]NS Vendor Details'!$H:$H,'G&amp;A Vendor x GL Analysis'!I$20,'[1]NS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Analysis'!I$20,'[1]NS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J112" s="17">
        <f>IF(AND(J$15="Actual",ISBLANK($E$8)),SUMIFS('[1]NS Vendor Details'!$D:$D,'[1]NS Vendor Details'!$H:$H,'G&amp;A Vendor x GL Analysis'!J$20,'[1]NS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Analysis'!J$20,'[1]NS Vendor Details'!$L:$L,'G&amp;A Vendor x GL Analysis'!$D112,'[1]NS Vendor Details'!$O:$O,'G&amp;A Vendor x GL Analysis'!$F112,'[1]NS Vendor Details'!$N:$N,"Direct Costs",'[1]NS Vendor Details'!$J:$J,0),IF(J$15="Actual",SUMIFS('[1]NS Vendor Details'!$D:$D,'[1]NS Vendor Details'!$H:$H,'G&amp;A Vendor x GL Analysis'!J$20,'[1]NS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Analysis'!J$20,'[1]NS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K112" s="17">
        <f>IF(AND(K$15="Actual",ISBLANK($E$8)),SUMIFS('[1]NS Vendor Details'!$D:$D,'[1]NS Vendor Details'!$H:$H,'G&amp;A Vendor x GL Analysis'!K$20,'[1]NS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Analysis'!K$20,'[1]NS Vendor Details'!$L:$L,'G&amp;A Vendor x GL Analysis'!$D112,'[1]NS Vendor Details'!$O:$O,'G&amp;A Vendor x GL Analysis'!$F112,'[1]NS Vendor Details'!$N:$N,"Direct Costs",'[1]NS Vendor Details'!$J:$J,0),IF(K$15="Actual",SUMIFS('[1]NS Vendor Details'!$D:$D,'[1]NS Vendor Details'!$H:$H,'G&amp;A Vendor x GL Analysis'!K$20,'[1]NS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Analysis'!K$20,'[1]NS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L112" s="17">
        <f>IF(AND(L$15="Actual",ISBLANK($E$8)),SUMIFS('[1]NS Vendor Details'!$D:$D,'[1]NS Vendor Details'!$H:$H,'G&amp;A Vendor x GL Analysis'!L$20,'[1]NS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Analysis'!L$20,'[1]NS Vendor Details'!$L:$L,'G&amp;A Vendor x GL Analysis'!$D112,'[1]NS Vendor Details'!$O:$O,'G&amp;A Vendor x GL Analysis'!$F112,'[1]NS Vendor Details'!$N:$N,"Direct Costs",'[1]NS Vendor Details'!$J:$J,0),IF(L$15="Actual",SUMIFS('[1]NS Vendor Details'!$D:$D,'[1]NS Vendor Details'!$H:$H,'G&amp;A Vendor x GL Analysis'!L$20,'[1]NS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Analysis'!L$20,'[1]NS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M112" s="17">
        <f>IF(AND(M$15="Actual",ISBLANK($E$8)),SUMIFS('[1]NS Vendor Details'!$D:$D,'[1]NS Vendor Details'!$H:$H,'G&amp;A Vendor x GL Analysis'!M$20,'[1]NS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Analysis'!M$20,'[1]NS Vendor Details'!$L:$L,'G&amp;A Vendor x GL Analysis'!$D112,'[1]NS Vendor Details'!$O:$O,'G&amp;A Vendor x GL Analysis'!$F112,'[1]NS Vendor Details'!$N:$N,"Direct Costs",'[1]NS Vendor Details'!$J:$J,0),IF(M$15="Actual",SUMIFS('[1]NS Vendor Details'!$D:$D,'[1]NS Vendor Details'!$H:$H,'G&amp;A Vendor x GL Analysis'!M$20,'[1]NS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Analysis'!M$20,'[1]NS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N112" s="17">
        <f>IF(AND(N$15="Actual",ISBLANK($E$8)),SUMIFS('[1]NS Vendor Details'!$D:$D,'[1]NS Vendor Details'!$H:$H,'G&amp;A Vendor x GL Analysis'!N$20,'[1]NS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Analysis'!N$20,'[1]NS Vendor Details'!$L:$L,'G&amp;A Vendor x GL Analysis'!$D112,'[1]NS Vendor Details'!$O:$O,'G&amp;A Vendor x GL Analysis'!$F112,'[1]NS Vendor Details'!$N:$N,"Direct Costs",'[1]NS Vendor Details'!$J:$J,0),IF(N$15="Actual",SUMIFS('[1]NS Vendor Details'!$D:$D,'[1]NS Vendor Details'!$H:$H,'G&amp;A Vendor x GL Analysis'!N$20,'[1]NS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Analysis'!N$20,'[1]NS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O112" s="17">
        <f>IF(AND(O$15="Actual",ISBLANK($E$8)),SUMIFS('[1]NS Vendor Details'!$D:$D,'[1]NS Vendor Details'!$H:$H,'G&amp;A Vendor x GL Analysis'!O$20,'[1]NS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Analysis'!O$20,'[1]NS Vendor Details'!$L:$L,'G&amp;A Vendor x GL Analysis'!$D112,'[1]NS Vendor Details'!$O:$O,'G&amp;A Vendor x GL Analysis'!$F112,'[1]NS Vendor Details'!$N:$N,"Direct Costs",'[1]NS Vendor Details'!$J:$J,0),IF(O$15="Actual",SUMIFS('[1]NS Vendor Details'!$D:$D,'[1]NS Vendor Details'!$H:$H,'G&amp;A Vendor x GL Analysis'!O$20,'[1]NS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Analysis'!O$20,'[1]NS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P112" s="17">
        <f>IF(AND(P$15="Actual",ISBLANK($E$8)),SUMIFS('[1]NS Vendor Details'!$D:$D,'[1]NS Vendor Details'!$H:$H,'G&amp;A Vendor x GL Analysis'!P$20,'[1]NS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Analysis'!P$20,'[1]NS Vendor Details'!$L:$L,'G&amp;A Vendor x GL Analysis'!$D112,'[1]NS Vendor Details'!$O:$O,'G&amp;A Vendor x GL Analysis'!$F112,'[1]NS Vendor Details'!$N:$N,"Direct Costs",'[1]NS Vendor Details'!$J:$J,0),IF(P$15="Actual",SUMIFS('[1]NS Vendor Details'!$D:$D,'[1]NS Vendor Details'!$H:$H,'G&amp;A Vendor x GL Analysis'!P$20,'[1]NS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Analysis'!P$20,'[1]NS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Q112" s="17">
        <f>IF(AND(Q$15="Actual",ISBLANK($E$8)),SUMIFS('[1]NS Vendor Details'!$D:$D,'[1]NS Vendor Details'!$H:$H,'G&amp;A Vendor x GL Analysis'!Q$20,'[1]NS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Analysis'!Q$20,'[1]NS Vendor Details'!$L:$L,'G&amp;A Vendor x GL Analysis'!$D112,'[1]NS Vendor Details'!$O:$O,'G&amp;A Vendor x GL Analysis'!$F112,'[1]NS Vendor Details'!$N:$N,"Direct Costs",'[1]NS Vendor Details'!$J:$J,0),IF(Q$15="Actual",SUMIFS('[1]NS Vendor Details'!$D:$D,'[1]NS Vendor Details'!$H:$H,'G&amp;A Vendor x GL Analysis'!Q$20,'[1]NS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Analysis'!Q$20,'[1]NS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R112" s="18">
        <f>IF(AND(R$15="Actual",ISBLANK($E$8)),SUMIFS('[1]NS Vendor Details'!$D:$D,'[1]NS Vendor Details'!$H:$H,'G&amp;A Vendor x GL Analysis'!R$20,'[1]NS Vendor Details'!$L:$L,'G&amp;A Vendor x GL Analysis'!$D112,'[1]NS Vendor Details'!$O:$O,'G&amp;A Vendor x GL Analysis'!$F112,'[1]NS Vendor Details'!$N:$N,'G&amp;A Vendor x GL Analysis'!$C112)+SUMIFS('[1]NS Vendor Details'!$D:$D,'[1]NS Vendor Details'!$H:$H,'G&amp;A Vendor x GL Analysis'!R$20,'[1]NS Vendor Details'!$L:$L,'G&amp;A Vendor x GL Analysis'!$D112,'[1]NS Vendor Details'!$O:$O,'G&amp;A Vendor x GL Analysis'!$F112,'[1]NS Vendor Details'!$N:$N,"Direct Costs",'[1]NS Vendor Details'!$J:$J,0),IF(R$15="Actual",SUMIFS('[1]NS Vendor Details'!$D:$D,'[1]NS Vendor Details'!$H:$H,'G&amp;A Vendor x GL Analysis'!R$20,'[1]NS Vendor Details'!$L:$L,'G&amp;A Vendor x GL Analysis'!$D112,'[1]NS Vendor Details'!$O:$O,'G&amp;A Vendor x GL Analysis'!$F112,'[1]NS Vendor Details'!$N:$N,'G&amp;A Vendor x GL Analysis'!$C112,'[1]NS Vendor Details'!$K:$K,'G&amp;A Vendor x GL Analysis'!$E$8)+SUMIFS('[1]NS Vendor Details'!$D:$D,'[1]NS Vendor Details'!$H:$H,'G&amp;A Vendor x GL Analysis'!R$20,'[1]NS Vendor Details'!$L:$L,'G&amp;A Vendor x GL Analysis'!$D112,'[1]NS Vendor Details'!$O:$O,'G&amp;A Vendor x GL Analysis'!$F112,'[1]NS Vendor Details'!$N:$N,"Direct Costs",'[1]NS Vendor Details'!$J:$J,0,'[1]NS Vendor Details'!$K:$K,'G&amp;A Vendor x GL Analysis'!$E$8),0))</f>
        <v>0</v>
      </c>
      <c r="S112" s="16">
        <f>IF(AND(S$15="Actual",ISBLANK($E$8)),SUMIFS('[1]NS Vendor Details'!$D:$D,'[1]NS Vendor Details'!$H:$H,'G&amp;A Vendor x GL Analysis'!S$20,'[1]NS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Analysis'!S$20,'[1]NS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Analysis'!$E112),IF(S$15="Actual",SUMIFS('[1]NS Vendor Details'!$D:$D,'[1]NS Vendor Details'!$H:$H,'G&amp;A Vendor x GL Analysis'!S$20,'[1]NS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Analysis'!S$20,'[1]NS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T112" s="17">
        <f>IF(AND(T$15="Actual",ISBLANK($E$8)),SUMIFS('[1]NS Vendor Details'!$D:$D,'[1]NS Vendor Details'!$H:$H,'G&amp;A Vendor x GL Analysis'!T$20,'[1]NS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Analysis'!T$20,'[1]NS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Analysis'!$E112),IF(T$15="Actual",SUMIFS('[1]NS Vendor Details'!$D:$D,'[1]NS Vendor Details'!$H:$H,'G&amp;A Vendor x GL Analysis'!T$20,'[1]NS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Analysis'!T$20,'[1]NS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U112" s="17">
        <f>IF(AND(U$15="Actual",ISBLANK($E$8)),SUMIFS('[1]NS Vendor Details'!$D:$D,'[1]NS Vendor Details'!$H:$H,'G&amp;A Vendor x GL Analysis'!U$20,'[1]NS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Analysis'!U$20,'[1]NS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Analysis'!$E112),IF(U$15="Actual",SUMIFS('[1]NS Vendor Details'!$D:$D,'[1]NS Vendor Details'!$H:$H,'G&amp;A Vendor x GL Analysis'!U$20,'[1]NS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Analysis'!U$20,'[1]NS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V112" s="17">
        <f>IF(AND(V$15="Actual",ISBLANK($E$8)),SUMIFS('[1]NS Vendor Details'!$D:$D,'[1]NS Vendor Details'!$H:$H,'G&amp;A Vendor x GL Analysis'!V$20,'[1]NS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Analysis'!V$20,'[1]NS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Analysis'!$E112),IF(V$15="Actual",SUMIFS('[1]NS Vendor Details'!$D:$D,'[1]NS Vendor Details'!$H:$H,'G&amp;A Vendor x GL Analysis'!V$20,'[1]NS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Analysis'!V$20,'[1]NS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W112" s="17">
        <f>IF(AND(W$15="Actual",ISBLANK($E$8)),SUMIFS('[1]NS Vendor Details'!$D:$D,'[1]NS Vendor Details'!$H:$H,'G&amp;A Vendor x GL Analysis'!W$20,'[1]NS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Analysis'!W$20,'[1]NS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Analysis'!$E112),IF(W$15="Actual",SUMIFS('[1]NS Vendor Details'!$D:$D,'[1]NS Vendor Details'!$H:$H,'G&amp;A Vendor x GL Analysis'!W$20,'[1]NS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Analysis'!W$20,'[1]NS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X112" s="17">
        <f>IF(AND(X$15="Actual",ISBLANK($E$8)),SUMIFS('[1]NS Vendor Details'!$D:$D,'[1]NS Vendor Details'!$H:$H,'G&amp;A Vendor x GL Analysis'!X$20,'[1]NS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Analysis'!X$20,'[1]NS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Analysis'!$E112),IF(X$15="Actual",SUMIFS('[1]NS Vendor Details'!$D:$D,'[1]NS Vendor Details'!$H:$H,'G&amp;A Vendor x GL Analysis'!X$20,'[1]NS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Analysis'!X$20,'[1]NS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Y112" s="17">
        <f>IF(AND(Y$15="Actual",ISBLANK($E$8)),SUMIFS('[1]NS Vendor Details'!$D:$D,'[1]NS Vendor Details'!$H:$H,'G&amp;A Vendor x GL Analysis'!Y$20,'[1]NS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Analysis'!Y$20,'[1]NS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Analysis'!$E112),IF(Y$15="Actual",SUMIFS('[1]NS Vendor Details'!$D:$D,'[1]NS Vendor Details'!$H:$H,'G&amp;A Vendor x GL Analysis'!Y$20,'[1]NS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Analysis'!Y$20,'[1]NS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Z112" s="17">
        <f>IF(AND(Z$15="Actual",ISBLANK($E$8)),SUMIFS('[1]NS Vendor Details'!$D:$D,'[1]NS Vendor Details'!$H:$H,'G&amp;A Vendor x GL Analysis'!Z$20,'[1]NS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Analysis'!Z$20,'[1]NS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Analysis'!$E112),IF(Z$15="Actual",SUMIFS('[1]NS Vendor Details'!$D:$D,'[1]NS Vendor Details'!$H:$H,'G&amp;A Vendor x GL Analysis'!Z$20,'[1]NS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Analysis'!Z$20,'[1]NS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AA112" s="17">
        <f>IF(AND(AA$15="Actual",ISBLANK($E$8)),SUMIFS('[1]NS Vendor Details'!$D:$D,'[1]NS Vendor Details'!$H:$H,'G&amp;A Vendor x GL Analysis'!AA$20,'[1]NS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Analysis'!AA$20,'[1]NS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Analysis'!$E112),IF(AA$15="Actual",SUMIFS('[1]NS Vendor Details'!$D:$D,'[1]NS Vendor Details'!$H:$H,'G&amp;A Vendor x GL Analysis'!AA$20,'[1]NS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Analysis'!AA$20,'[1]NS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AB112" s="17">
        <f>IF(AND(AB$15="Actual",ISBLANK($E$8)),SUMIFS('[1]NS Vendor Details'!$D:$D,'[1]NS Vendor Details'!$H:$H,'G&amp;A Vendor x GL Analysis'!AB$20,'[1]NS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Analysis'!AB$20,'[1]NS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Analysis'!$E112),IF(AB$15="Actual",SUMIFS('[1]NS Vendor Details'!$D:$D,'[1]NS Vendor Details'!$H:$H,'G&amp;A Vendor x GL Analysis'!AB$20,'[1]NS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Analysis'!AB$20,'[1]NS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AC112" s="18">
        <f>IF(AND(AC$15="Actual",ISBLANK($E$8)),SUMIFS('[1]NS Vendor Details'!$D:$D,'[1]NS Vendor Details'!$H:$H,'G&amp;A Vendor x GL Analysis'!AC$20,'[1]NS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Analysis'!AC$20,'[1]NS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Analysis'!$E112),IF(AC$15="Actual",SUMIFS('[1]NS Vendor Details'!$D:$D,'[1]NS Vendor Details'!$H:$H,'G&amp;A Vendor x GL Analysis'!AC$20,'[1]NS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Analysis'!AC$20,'[1]NS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AD112" s="18">
        <f>IF(AND(AD$15="Actual",ISBLANK($E$8)),SUMIFS('[1]NS Vendor Details'!$D:$D,'[1]NS Vendor Details'!$H:$H,'G&amp;A Vendor x GL Analysis'!AD$20,'[1]NS Vendor Details'!$L:$L,'G&amp;A Vendor x GL Analysis'!$D112,'[1]NS Vendor Details'!$O:$O,'G&amp;A Vendor x GL Analysis'!$F112,'[1]NS Vendor Details'!$N:$N,'G&amp;A Vendor x GL Analysis'!$C112,'[1]NS Vendor Details'!$I:$I,'G&amp;A Vendor x GL Analysis'!$E112)+SUMIFS('[1]NS Vendor Details'!$D:$D,'[1]NS Vendor Details'!$H:$H,'G&amp;A Vendor x GL Analysis'!AD$20,'[1]NS Vendor Details'!$L:$L,'G&amp;A Vendor x GL Analysis'!$D112,'[1]NS Vendor Details'!$O:$O,'G&amp;A Vendor x GL Analysis'!$F112,'[1]NS Vendor Details'!$N:$N,"Direct Costs",'[1]NS Vendor Details'!$J:$J,0,'[1]NS Vendor Details'!$I:$I,'G&amp;A Vendor x GL Analysis'!$E112),IF(AD$15="Actual",SUMIFS('[1]NS Vendor Details'!$D:$D,'[1]NS Vendor Details'!$H:$H,'G&amp;A Vendor x GL Analysis'!AD$20,'[1]NS Vendor Details'!$L:$L,'G&amp;A Vendor x GL Analysis'!$D112,'[1]NS Vendor Details'!$O:$O,'G&amp;A Vendor x GL Analysis'!$F112,'[1]NS Vendor Details'!$N:$N,'G&amp;A Vendor x GL Analysis'!$C112,'[1]NS Vendor Details'!$K:$K,'G&amp;A Vendor x GL Analysis'!$E$8,'[1]NS Vendor Details'!$I:$I,'G&amp;A Vendor x GL Analysis'!$E112)+SUMIFS('[1]NS Vendor Details'!$D:$D,'[1]NS Vendor Details'!$H:$H,'G&amp;A Vendor x GL Analysis'!AD$20,'[1]NS Vendor Details'!$L:$L,'G&amp;A Vendor x GL Analysis'!$D112,'[1]NS Vendor Details'!$O:$O,'G&amp;A Vendor x GL Analysis'!$F112,'[1]NS Vendor Details'!$N:$N,"Direct Costs",'[1]NS Vendor Details'!$J:$J,0,'[1]NS Vendor Details'!$K:$K,'G&amp;A Vendor x GL Analysis'!$E$8,'[1]NS Vendor Details'!$I:$I,'G&amp;A Vendor x GL Analysis'!$E112),0))</f>
        <v>0</v>
      </c>
      <c r="AF112" s="19">
        <f t="shared" si="23"/>
        <v>0</v>
      </c>
    </row>
    <row r="113" spans="1:32" outlineLevel="1">
      <c r="A113" s="8" t="str">
        <f t="shared" si="22"/>
        <v>Professional Service6393 - Software</v>
      </c>
      <c r="C113" s="8" t="s">
        <v>11</v>
      </c>
      <c r="D113" s="8" t="str">
        <f t="shared" si="21"/>
        <v>Professional Service</v>
      </c>
      <c r="E113" s="2" t="s">
        <v>101</v>
      </c>
      <c r="F113" s="2" t="s">
        <v>106</v>
      </c>
      <c r="G113" s="16">
        <f>IF(AND(G$15="Actual",ISBLANK($E$8)),SUMIFS('[1]NS Vendor Details'!$D:$D,'[1]NS Vendor Details'!$H:$H,'G&amp;A Vendor x GL Analysis'!G$20,'[1]NS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Analysis'!G$20,'[1]NS Vendor Details'!$L:$L,'G&amp;A Vendor x GL Analysis'!$D113,'[1]NS Vendor Details'!$O:$O,'G&amp;A Vendor x GL Analysis'!$F113,'[1]NS Vendor Details'!$N:$N,"Direct Costs",'[1]NS Vendor Details'!$J:$J,0),IF(G$15="Actual",SUMIFS('[1]NS Vendor Details'!$D:$D,'[1]NS Vendor Details'!$H:$H,'G&amp;A Vendor x GL Analysis'!G$20,'[1]NS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Analysis'!G$20,'[1]NS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H113" s="17">
        <f>IF(AND(H$15="Actual",ISBLANK($E$8)),SUMIFS('[1]NS Vendor Details'!$D:$D,'[1]NS Vendor Details'!$H:$H,'G&amp;A Vendor x GL Analysis'!H$20,'[1]NS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Analysis'!H$20,'[1]NS Vendor Details'!$L:$L,'G&amp;A Vendor x GL Analysis'!$D113,'[1]NS Vendor Details'!$O:$O,'G&amp;A Vendor x GL Analysis'!$F113,'[1]NS Vendor Details'!$N:$N,"Direct Costs",'[1]NS Vendor Details'!$J:$J,0),IF(H$15="Actual",SUMIFS('[1]NS Vendor Details'!$D:$D,'[1]NS Vendor Details'!$H:$H,'G&amp;A Vendor x GL Analysis'!H$20,'[1]NS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Analysis'!H$20,'[1]NS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I113" s="17">
        <f>IF(AND(I$15="Actual",ISBLANK($E$8)),SUMIFS('[1]NS Vendor Details'!$D:$D,'[1]NS Vendor Details'!$H:$H,'G&amp;A Vendor x GL Analysis'!I$20,'[1]NS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Analysis'!I$20,'[1]NS Vendor Details'!$L:$L,'G&amp;A Vendor x GL Analysis'!$D113,'[1]NS Vendor Details'!$O:$O,'G&amp;A Vendor x GL Analysis'!$F113,'[1]NS Vendor Details'!$N:$N,"Direct Costs",'[1]NS Vendor Details'!$J:$J,0),IF(I$15="Actual",SUMIFS('[1]NS Vendor Details'!$D:$D,'[1]NS Vendor Details'!$H:$H,'G&amp;A Vendor x GL Analysis'!I$20,'[1]NS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Analysis'!I$20,'[1]NS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J113" s="17">
        <f>IF(AND(J$15="Actual",ISBLANK($E$8)),SUMIFS('[1]NS Vendor Details'!$D:$D,'[1]NS Vendor Details'!$H:$H,'G&amp;A Vendor x GL Analysis'!J$20,'[1]NS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Analysis'!J$20,'[1]NS Vendor Details'!$L:$L,'G&amp;A Vendor x GL Analysis'!$D113,'[1]NS Vendor Details'!$O:$O,'G&amp;A Vendor x GL Analysis'!$F113,'[1]NS Vendor Details'!$N:$N,"Direct Costs",'[1]NS Vendor Details'!$J:$J,0),IF(J$15="Actual",SUMIFS('[1]NS Vendor Details'!$D:$D,'[1]NS Vendor Details'!$H:$H,'G&amp;A Vendor x GL Analysis'!J$20,'[1]NS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Analysis'!J$20,'[1]NS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K113" s="17">
        <f>IF(AND(K$15="Actual",ISBLANK($E$8)),SUMIFS('[1]NS Vendor Details'!$D:$D,'[1]NS Vendor Details'!$H:$H,'G&amp;A Vendor x GL Analysis'!K$20,'[1]NS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Analysis'!K$20,'[1]NS Vendor Details'!$L:$L,'G&amp;A Vendor x GL Analysis'!$D113,'[1]NS Vendor Details'!$O:$O,'G&amp;A Vendor x GL Analysis'!$F113,'[1]NS Vendor Details'!$N:$N,"Direct Costs",'[1]NS Vendor Details'!$J:$J,0),IF(K$15="Actual",SUMIFS('[1]NS Vendor Details'!$D:$D,'[1]NS Vendor Details'!$H:$H,'G&amp;A Vendor x GL Analysis'!K$20,'[1]NS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Analysis'!K$20,'[1]NS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L113" s="17">
        <f>IF(AND(L$15="Actual",ISBLANK($E$8)),SUMIFS('[1]NS Vendor Details'!$D:$D,'[1]NS Vendor Details'!$H:$H,'G&amp;A Vendor x GL Analysis'!L$20,'[1]NS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Analysis'!L$20,'[1]NS Vendor Details'!$L:$L,'G&amp;A Vendor x GL Analysis'!$D113,'[1]NS Vendor Details'!$O:$O,'G&amp;A Vendor x GL Analysis'!$F113,'[1]NS Vendor Details'!$N:$N,"Direct Costs",'[1]NS Vendor Details'!$J:$J,0),IF(L$15="Actual",SUMIFS('[1]NS Vendor Details'!$D:$D,'[1]NS Vendor Details'!$H:$H,'G&amp;A Vendor x GL Analysis'!L$20,'[1]NS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Analysis'!L$20,'[1]NS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M113" s="17">
        <f>IF(AND(M$15="Actual",ISBLANK($E$8)),SUMIFS('[1]NS Vendor Details'!$D:$D,'[1]NS Vendor Details'!$H:$H,'G&amp;A Vendor x GL Analysis'!M$20,'[1]NS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Analysis'!M$20,'[1]NS Vendor Details'!$L:$L,'G&amp;A Vendor x GL Analysis'!$D113,'[1]NS Vendor Details'!$O:$O,'G&amp;A Vendor x GL Analysis'!$F113,'[1]NS Vendor Details'!$N:$N,"Direct Costs",'[1]NS Vendor Details'!$J:$J,0),IF(M$15="Actual",SUMIFS('[1]NS Vendor Details'!$D:$D,'[1]NS Vendor Details'!$H:$H,'G&amp;A Vendor x GL Analysis'!M$20,'[1]NS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Analysis'!M$20,'[1]NS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N113" s="17">
        <f>IF(AND(N$15="Actual",ISBLANK($E$8)),SUMIFS('[1]NS Vendor Details'!$D:$D,'[1]NS Vendor Details'!$H:$H,'G&amp;A Vendor x GL Analysis'!N$20,'[1]NS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Analysis'!N$20,'[1]NS Vendor Details'!$L:$L,'G&amp;A Vendor x GL Analysis'!$D113,'[1]NS Vendor Details'!$O:$O,'G&amp;A Vendor x GL Analysis'!$F113,'[1]NS Vendor Details'!$N:$N,"Direct Costs",'[1]NS Vendor Details'!$J:$J,0),IF(N$15="Actual",SUMIFS('[1]NS Vendor Details'!$D:$D,'[1]NS Vendor Details'!$H:$H,'G&amp;A Vendor x GL Analysis'!N$20,'[1]NS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Analysis'!N$20,'[1]NS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O113" s="17">
        <f>IF(AND(O$15="Actual",ISBLANK($E$8)),SUMIFS('[1]NS Vendor Details'!$D:$D,'[1]NS Vendor Details'!$H:$H,'G&amp;A Vendor x GL Analysis'!O$20,'[1]NS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Analysis'!O$20,'[1]NS Vendor Details'!$L:$L,'G&amp;A Vendor x GL Analysis'!$D113,'[1]NS Vendor Details'!$O:$O,'G&amp;A Vendor x GL Analysis'!$F113,'[1]NS Vendor Details'!$N:$N,"Direct Costs",'[1]NS Vendor Details'!$J:$J,0),IF(O$15="Actual",SUMIFS('[1]NS Vendor Details'!$D:$D,'[1]NS Vendor Details'!$H:$H,'G&amp;A Vendor x GL Analysis'!O$20,'[1]NS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Analysis'!O$20,'[1]NS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P113" s="17">
        <f>IF(AND(P$15="Actual",ISBLANK($E$8)),SUMIFS('[1]NS Vendor Details'!$D:$D,'[1]NS Vendor Details'!$H:$H,'G&amp;A Vendor x GL Analysis'!P$20,'[1]NS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Analysis'!P$20,'[1]NS Vendor Details'!$L:$L,'G&amp;A Vendor x GL Analysis'!$D113,'[1]NS Vendor Details'!$O:$O,'G&amp;A Vendor x GL Analysis'!$F113,'[1]NS Vendor Details'!$N:$N,"Direct Costs",'[1]NS Vendor Details'!$J:$J,0),IF(P$15="Actual",SUMIFS('[1]NS Vendor Details'!$D:$D,'[1]NS Vendor Details'!$H:$H,'G&amp;A Vendor x GL Analysis'!P$20,'[1]NS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Analysis'!P$20,'[1]NS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Q113" s="17">
        <f>IF(AND(Q$15="Actual",ISBLANK($E$8)),SUMIFS('[1]NS Vendor Details'!$D:$D,'[1]NS Vendor Details'!$H:$H,'G&amp;A Vendor x GL Analysis'!Q$20,'[1]NS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Analysis'!Q$20,'[1]NS Vendor Details'!$L:$L,'G&amp;A Vendor x GL Analysis'!$D113,'[1]NS Vendor Details'!$O:$O,'G&amp;A Vendor x GL Analysis'!$F113,'[1]NS Vendor Details'!$N:$N,"Direct Costs",'[1]NS Vendor Details'!$J:$J,0),IF(Q$15="Actual",SUMIFS('[1]NS Vendor Details'!$D:$D,'[1]NS Vendor Details'!$H:$H,'G&amp;A Vendor x GL Analysis'!Q$20,'[1]NS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Analysis'!Q$20,'[1]NS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R113" s="18">
        <f>IF(AND(R$15="Actual",ISBLANK($E$8)),SUMIFS('[1]NS Vendor Details'!$D:$D,'[1]NS Vendor Details'!$H:$H,'G&amp;A Vendor x GL Analysis'!R$20,'[1]NS Vendor Details'!$L:$L,'G&amp;A Vendor x GL Analysis'!$D113,'[1]NS Vendor Details'!$O:$O,'G&amp;A Vendor x GL Analysis'!$F113,'[1]NS Vendor Details'!$N:$N,'G&amp;A Vendor x GL Analysis'!$C113)+SUMIFS('[1]NS Vendor Details'!$D:$D,'[1]NS Vendor Details'!$H:$H,'G&amp;A Vendor x GL Analysis'!R$20,'[1]NS Vendor Details'!$L:$L,'G&amp;A Vendor x GL Analysis'!$D113,'[1]NS Vendor Details'!$O:$O,'G&amp;A Vendor x GL Analysis'!$F113,'[1]NS Vendor Details'!$N:$N,"Direct Costs",'[1]NS Vendor Details'!$J:$J,0),IF(R$15="Actual",SUMIFS('[1]NS Vendor Details'!$D:$D,'[1]NS Vendor Details'!$H:$H,'G&amp;A Vendor x GL Analysis'!R$20,'[1]NS Vendor Details'!$L:$L,'G&amp;A Vendor x GL Analysis'!$D113,'[1]NS Vendor Details'!$O:$O,'G&amp;A Vendor x GL Analysis'!$F113,'[1]NS Vendor Details'!$N:$N,'G&amp;A Vendor x GL Analysis'!$C113,'[1]NS Vendor Details'!$K:$K,'G&amp;A Vendor x GL Analysis'!$E$8)+SUMIFS('[1]NS Vendor Details'!$D:$D,'[1]NS Vendor Details'!$H:$H,'G&amp;A Vendor x GL Analysis'!R$20,'[1]NS Vendor Details'!$L:$L,'G&amp;A Vendor x GL Analysis'!$D113,'[1]NS Vendor Details'!$O:$O,'G&amp;A Vendor x GL Analysis'!$F113,'[1]NS Vendor Details'!$N:$N,"Direct Costs",'[1]NS Vendor Details'!$J:$J,0,'[1]NS Vendor Details'!$K:$K,'G&amp;A Vendor x GL Analysis'!$E$8),0))</f>
        <v>0</v>
      </c>
      <c r="S113" s="16">
        <f>IF(AND(S$15="Actual",ISBLANK($E$8)),SUMIFS('[1]NS Vendor Details'!$D:$D,'[1]NS Vendor Details'!$H:$H,'G&amp;A Vendor x GL Analysis'!S$20,'[1]NS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Analysis'!S$20,'[1]NS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Analysis'!$E113),IF(S$15="Actual",SUMIFS('[1]NS Vendor Details'!$D:$D,'[1]NS Vendor Details'!$H:$H,'G&amp;A Vendor x GL Analysis'!S$20,'[1]NS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Analysis'!S$20,'[1]NS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T113" s="17">
        <f>IF(AND(T$15="Actual",ISBLANK($E$8)),SUMIFS('[1]NS Vendor Details'!$D:$D,'[1]NS Vendor Details'!$H:$H,'G&amp;A Vendor x GL Analysis'!T$20,'[1]NS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Analysis'!T$20,'[1]NS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Analysis'!$E113),IF(T$15="Actual",SUMIFS('[1]NS Vendor Details'!$D:$D,'[1]NS Vendor Details'!$H:$H,'G&amp;A Vendor x GL Analysis'!T$20,'[1]NS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Analysis'!T$20,'[1]NS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U113" s="17">
        <f>IF(AND(U$15="Actual",ISBLANK($E$8)),SUMIFS('[1]NS Vendor Details'!$D:$D,'[1]NS Vendor Details'!$H:$H,'G&amp;A Vendor x GL Analysis'!U$20,'[1]NS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Analysis'!U$20,'[1]NS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Analysis'!$E113),IF(U$15="Actual",SUMIFS('[1]NS Vendor Details'!$D:$D,'[1]NS Vendor Details'!$H:$H,'G&amp;A Vendor x GL Analysis'!U$20,'[1]NS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Analysis'!U$20,'[1]NS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V113" s="17">
        <f>IF(AND(V$15="Actual",ISBLANK($E$8)),SUMIFS('[1]NS Vendor Details'!$D:$D,'[1]NS Vendor Details'!$H:$H,'G&amp;A Vendor x GL Analysis'!V$20,'[1]NS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Analysis'!V$20,'[1]NS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Analysis'!$E113),IF(V$15="Actual",SUMIFS('[1]NS Vendor Details'!$D:$D,'[1]NS Vendor Details'!$H:$H,'G&amp;A Vendor x GL Analysis'!V$20,'[1]NS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Analysis'!V$20,'[1]NS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W113" s="17">
        <f>IF(AND(W$15="Actual",ISBLANK($E$8)),SUMIFS('[1]NS Vendor Details'!$D:$D,'[1]NS Vendor Details'!$H:$H,'G&amp;A Vendor x GL Analysis'!W$20,'[1]NS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Analysis'!W$20,'[1]NS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Analysis'!$E113),IF(W$15="Actual",SUMIFS('[1]NS Vendor Details'!$D:$D,'[1]NS Vendor Details'!$H:$H,'G&amp;A Vendor x GL Analysis'!W$20,'[1]NS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Analysis'!W$20,'[1]NS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X113" s="17">
        <f>IF(AND(X$15="Actual",ISBLANK($E$8)),SUMIFS('[1]NS Vendor Details'!$D:$D,'[1]NS Vendor Details'!$H:$H,'G&amp;A Vendor x GL Analysis'!X$20,'[1]NS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Analysis'!X$20,'[1]NS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Analysis'!$E113),IF(X$15="Actual",SUMIFS('[1]NS Vendor Details'!$D:$D,'[1]NS Vendor Details'!$H:$H,'G&amp;A Vendor x GL Analysis'!X$20,'[1]NS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Analysis'!X$20,'[1]NS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Y113" s="17">
        <f>IF(AND(Y$15="Actual",ISBLANK($E$8)),SUMIFS('[1]NS Vendor Details'!$D:$D,'[1]NS Vendor Details'!$H:$H,'G&amp;A Vendor x GL Analysis'!Y$20,'[1]NS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Analysis'!Y$20,'[1]NS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Analysis'!$E113),IF(Y$15="Actual",SUMIFS('[1]NS Vendor Details'!$D:$D,'[1]NS Vendor Details'!$H:$H,'G&amp;A Vendor x GL Analysis'!Y$20,'[1]NS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Analysis'!Y$20,'[1]NS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Z113" s="17">
        <f>IF(AND(Z$15="Actual",ISBLANK($E$8)),SUMIFS('[1]NS Vendor Details'!$D:$D,'[1]NS Vendor Details'!$H:$H,'G&amp;A Vendor x GL Analysis'!Z$20,'[1]NS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Analysis'!Z$20,'[1]NS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Analysis'!$E113),IF(Z$15="Actual",SUMIFS('[1]NS Vendor Details'!$D:$D,'[1]NS Vendor Details'!$H:$H,'G&amp;A Vendor x GL Analysis'!Z$20,'[1]NS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Analysis'!Z$20,'[1]NS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AA113" s="17">
        <f>IF(AND(AA$15="Actual",ISBLANK($E$8)),SUMIFS('[1]NS Vendor Details'!$D:$D,'[1]NS Vendor Details'!$H:$H,'G&amp;A Vendor x GL Analysis'!AA$20,'[1]NS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Analysis'!AA$20,'[1]NS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Analysis'!$E113),IF(AA$15="Actual",SUMIFS('[1]NS Vendor Details'!$D:$D,'[1]NS Vendor Details'!$H:$H,'G&amp;A Vendor x GL Analysis'!AA$20,'[1]NS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Analysis'!AA$20,'[1]NS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AB113" s="17">
        <f>IF(AND(AB$15="Actual",ISBLANK($E$8)),SUMIFS('[1]NS Vendor Details'!$D:$D,'[1]NS Vendor Details'!$H:$H,'G&amp;A Vendor x GL Analysis'!AB$20,'[1]NS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Analysis'!AB$20,'[1]NS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Analysis'!$E113),IF(AB$15="Actual",SUMIFS('[1]NS Vendor Details'!$D:$D,'[1]NS Vendor Details'!$H:$H,'G&amp;A Vendor x GL Analysis'!AB$20,'[1]NS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Analysis'!AB$20,'[1]NS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AC113" s="18">
        <f>IF(AND(AC$15="Actual",ISBLANK($E$8)),SUMIFS('[1]NS Vendor Details'!$D:$D,'[1]NS Vendor Details'!$H:$H,'G&amp;A Vendor x GL Analysis'!AC$20,'[1]NS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Analysis'!AC$20,'[1]NS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Analysis'!$E113),IF(AC$15="Actual",SUMIFS('[1]NS Vendor Details'!$D:$D,'[1]NS Vendor Details'!$H:$H,'G&amp;A Vendor x GL Analysis'!AC$20,'[1]NS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Analysis'!AC$20,'[1]NS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AD113" s="18">
        <f>IF(AND(AD$15="Actual",ISBLANK($E$8)),SUMIFS('[1]NS Vendor Details'!$D:$D,'[1]NS Vendor Details'!$H:$H,'G&amp;A Vendor x GL Analysis'!AD$20,'[1]NS Vendor Details'!$L:$L,'G&amp;A Vendor x GL Analysis'!$D113,'[1]NS Vendor Details'!$O:$O,'G&amp;A Vendor x GL Analysis'!$F113,'[1]NS Vendor Details'!$N:$N,'G&amp;A Vendor x GL Analysis'!$C113,'[1]NS Vendor Details'!$I:$I,'G&amp;A Vendor x GL Analysis'!$E113)+SUMIFS('[1]NS Vendor Details'!$D:$D,'[1]NS Vendor Details'!$H:$H,'G&amp;A Vendor x GL Analysis'!AD$20,'[1]NS Vendor Details'!$L:$L,'G&amp;A Vendor x GL Analysis'!$D113,'[1]NS Vendor Details'!$O:$O,'G&amp;A Vendor x GL Analysis'!$F113,'[1]NS Vendor Details'!$N:$N,"Direct Costs",'[1]NS Vendor Details'!$J:$J,0,'[1]NS Vendor Details'!$I:$I,'G&amp;A Vendor x GL Analysis'!$E113),IF(AD$15="Actual",SUMIFS('[1]NS Vendor Details'!$D:$D,'[1]NS Vendor Details'!$H:$H,'G&amp;A Vendor x GL Analysis'!AD$20,'[1]NS Vendor Details'!$L:$L,'G&amp;A Vendor x GL Analysis'!$D113,'[1]NS Vendor Details'!$O:$O,'G&amp;A Vendor x GL Analysis'!$F113,'[1]NS Vendor Details'!$N:$N,'G&amp;A Vendor x GL Analysis'!$C113,'[1]NS Vendor Details'!$K:$K,'G&amp;A Vendor x GL Analysis'!$E$8,'[1]NS Vendor Details'!$I:$I,'G&amp;A Vendor x GL Analysis'!$E113)+SUMIFS('[1]NS Vendor Details'!$D:$D,'[1]NS Vendor Details'!$H:$H,'G&amp;A Vendor x GL Analysis'!AD$20,'[1]NS Vendor Details'!$L:$L,'G&amp;A Vendor x GL Analysis'!$D113,'[1]NS Vendor Details'!$O:$O,'G&amp;A Vendor x GL Analysis'!$F113,'[1]NS Vendor Details'!$N:$N,"Direct Costs",'[1]NS Vendor Details'!$J:$J,0,'[1]NS Vendor Details'!$K:$K,'G&amp;A Vendor x GL Analysis'!$E$8,'[1]NS Vendor Details'!$I:$I,'G&amp;A Vendor x GL Analysis'!$E113),0))</f>
        <v>0</v>
      </c>
      <c r="AF113" s="19">
        <f t="shared" si="23"/>
        <v>0</v>
      </c>
    </row>
    <row r="114" spans="1:32" outlineLevel="1">
      <c r="A114" s="8" t="str">
        <f t="shared" si="22"/>
        <v>Professional Service6393 - Software</v>
      </c>
      <c r="C114" s="8" t="s">
        <v>11</v>
      </c>
      <c r="D114" s="8" t="str">
        <f t="shared" si="21"/>
        <v>Professional Service</v>
      </c>
      <c r="E114" s="2" t="s">
        <v>101</v>
      </c>
      <c r="F114" s="2" t="s">
        <v>107</v>
      </c>
      <c r="G114" s="16">
        <f>IF(AND(G$15="Actual",ISBLANK($E$8)),SUMIFS('[1]NS Vendor Details'!$D:$D,'[1]NS Vendor Details'!$H:$H,'G&amp;A Vendor x GL Analysis'!G$20,'[1]NS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Analysis'!G$20,'[1]NS Vendor Details'!$L:$L,'G&amp;A Vendor x GL Analysis'!$D114,'[1]NS Vendor Details'!$O:$O,'G&amp;A Vendor x GL Analysis'!$F114,'[1]NS Vendor Details'!$N:$N,"Direct Costs",'[1]NS Vendor Details'!$J:$J,0),IF(G$15="Actual",SUMIFS('[1]NS Vendor Details'!$D:$D,'[1]NS Vendor Details'!$H:$H,'G&amp;A Vendor x GL Analysis'!G$20,'[1]NS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Analysis'!G$20,'[1]NS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H114" s="17">
        <f>IF(AND(H$15="Actual",ISBLANK($E$8)),SUMIFS('[1]NS Vendor Details'!$D:$D,'[1]NS Vendor Details'!$H:$H,'G&amp;A Vendor x GL Analysis'!H$20,'[1]NS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Analysis'!H$20,'[1]NS Vendor Details'!$L:$L,'G&amp;A Vendor x GL Analysis'!$D114,'[1]NS Vendor Details'!$O:$O,'G&amp;A Vendor x GL Analysis'!$F114,'[1]NS Vendor Details'!$N:$N,"Direct Costs",'[1]NS Vendor Details'!$J:$J,0),IF(H$15="Actual",SUMIFS('[1]NS Vendor Details'!$D:$D,'[1]NS Vendor Details'!$H:$H,'G&amp;A Vendor x GL Analysis'!H$20,'[1]NS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Analysis'!H$20,'[1]NS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I114" s="17">
        <f>IF(AND(I$15="Actual",ISBLANK($E$8)),SUMIFS('[1]NS Vendor Details'!$D:$D,'[1]NS Vendor Details'!$H:$H,'G&amp;A Vendor x GL Analysis'!I$20,'[1]NS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Analysis'!I$20,'[1]NS Vendor Details'!$L:$L,'G&amp;A Vendor x GL Analysis'!$D114,'[1]NS Vendor Details'!$O:$O,'G&amp;A Vendor x GL Analysis'!$F114,'[1]NS Vendor Details'!$N:$N,"Direct Costs",'[1]NS Vendor Details'!$J:$J,0),IF(I$15="Actual",SUMIFS('[1]NS Vendor Details'!$D:$D,'[1]NS Vendor Details'!$H:$H,'G&amp;A Vendor x GL Analysis'!I$20,'[1]NS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Analysis'!I$20,'[1]NS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J114" s="17">
        <f>IF(AND(J$15="Actual",ISBLANK($E$8)),SUMIFS('[1]NS Vendor Details'!$D:$D,'[1]NS Vendor Details'!$H:$H,'G&amp;A Vendor x GL Analysis'!J$20,'[1]NS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Analysis'!J$20,'[1]NS Vendor Details'!$L:$L,'G&amp;A Vendor x GL Analysis'!$D114,'[1]NS Vendor Details'!$O:$O,'G&amp;A Vendor x GL Analysis'!$F114,'[1]NS Vendor Details'!$N:$N,"Direct Costs",'[1]NS Vendor Details'!$J:$J,0),IF(J$15="Actual",SUMIFS('[1]NS Vendor Details'!$D:$D,'[1]NS Vendor Details'!$H:$H,'G&amp;A Vendor x GL Analysis'!J$20,'[1]NS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Analysis'!J$20,'[1]NS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K114" s="17">
        <f>IF(AND(K$15="Actual",ISBLANK($E$8)),SUMIFS('[1]NS Vendor Details'!$D:$D,'[1]NS Vendor Details'!$H:$H,'G&amp;A Vendor x GL Analysis'!K$20,'[1]NS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Analysis'!K$20,'[1]NS Vendor Details'!$L:$L,'G&amp;A Vendor x GL Analysis'!$D114,'[1]NS Vendor Details'!$O:$O,'G&amp;A Vendor x GL Analysis'!$F114,'[1]NS Vendor Details'!$N:$N,"Direct Costs",'[1]NS Vendor Details'!$J:$J,0),IF(K$15="Actual",SUMIFS('[1]NS Vendor Details'!$D:$D,'[1]NS Vendor Details'!$H:$H,'G&amp;A Vendor x GL Analysis'!K$20,'[1]NS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Analysis'!K$20,'[1]NS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L114" s="17">
        <f>IF(AND(L$15="Actual",ISBLANK($E$8)),SUMIFS('[1]NS Vendor Details'!$D:$D,'[1]NS Vendor Details'!$H:$H,'G&amp;A Vendor x GL Analysis'!L$20,'[1]NS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Analysis'!L$20,'[1]NS Vendor Details'!$L:$L,'G&amp;A Vendor x GL Analysis'!$D114,'[1]NS Vendor Details'!$O:$O,'G&amp;A Vendor x GL Analysis'!$F114,'[1]NS Vendor Details'!$N:$N,"Direct Costs",'[1]NS Vendor Details'!$J:$J,0),IF(L$15="Actual",SUMIFS('[1]NS Vendor Details'!$D:$D,'[1]NS Vendor Details'!$H:$H,'G&amp;A Vendor x GL Analysis'!L$20,'[1]NS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Analysis'!L$20,'[1]NS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M114" s="17">
        <f>IF(AND(M$15="Actual",ISBLANK($E$8)),SUMIFS('[1]NS Vendor Details'!$D:$D,'[1]NS Vendor Details'!$H:$H,'G&amp;A Vendor x GL Analysis'!M$20,'[1]NS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Analysis'!M$20,'[1]NS Vendor Details'!$L:$L,'G&amp;A Vendor x GL Analysis'!$D114,'[1]NS Vendor Details'!$O:$O,'G&amp;A Vendor x GL Analysis'!$F114,'[1]NS Vendor Details'!$N:$N,"Direct Costs",'[1]NS Vendor Details'!$J:$J,0),IF(M$15="Actual",SUMIFS('[1]NS Vendor Details'!$D:$D,'[1]NS Vendor Details'!$H:$H,'G&amp;A Vendor x GL Analysis'!M$20,'[1]NS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Analysis'!M$20,'[1]NS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N114" s="17">
        <f>IF(AND(N$15="Actual",ISBLANK($E$8)),SUMIFS('[1]NS Vendor Details'!$D:$D,'[1]NS Vendor Details'!$H:$H,'G&amp;A Vendor x GL Analysis'!N$20,'[1]NS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Analysis'!N$20,'[1]NS Vendor Details'!$L:$L,'G&amp;A Vendor x GL Analysis'!$D114,'[1]NS Vendor Details'!$O:$O,'G&amp;A Vendor x GL Analysis'!$F114,'[1]NS Vendor Details'!$N:$N,"Direct Costs",'[1]NS Vendor Details'!$J:$J,0),IF(N$15="Actual",SUMIFS('[1]NS Vendor Details'!$D:$D,'[1]NS Vendor Details'!$H:$H,'G&amp;A Vendor x GL Analysis'!N$20,'[1]NS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Analysis'!N$20,'[1]NS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O114" s="17">
        <f>IF(AND(O$15="Actual",ISBLANK($E$8)),SUMIFS('[1]NS Vendor Details'!$D:$D,'[1]NS Vendor Details'!$H:$H,'G&amp;A Vendor x GL Analysis'!O$20,'[1]NS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Analysis'!O$20,'[1]NS Vendor Details'!$L:$L,'G&amp;A Vendor x GL Analysis'!$D114,'[1]NS Vendor Details'!$O:$O,'G&amp;A Vendor x GL Analysis'!$F114,'[1]NS Vendor Details'!$N:$N,"Direct Costs",'[1]NS Vendor Details'!$J:$J,0),IF(O$15="Actual",SUMIFS('[1]NS Vendor Details'!$D:$D,'[1]NS Vendor Details'!$H:$H,'G&amp;A Vendor x GL Analysis'!O$20,'[1]NS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Analysis'!O$20,'[1]NS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P114" s="17">
        <f>IF(AND(P$15="Actual",ISBLANK($E$8)),SUMIFS('[1]NS Vendor Details'!$D:$D,'[1]NS Vendor Details'!$H:$H,'G&amp;A Vendor x GL Analysis'!P$20,'[1]NS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Analysis'!P$20,'[1]NS Vendor Details'!$L:$L,'G&amp;A Vendor x GL Analysis'!$D114,'[1]NS Vendor Details'!$O:$O,'G&amp;A Vendor x GL Analysis'!$F114,'[1]NS Vendor Details'!$N:$N,"Direct Costs",'[1]NS Vendor Details'!$J:$J,0),IF(P$15="Actual",SUMIFS('[1]NS Vendor Details'!$D:$D,'[1]NS Vendor Details'!$H:$H,'G&amp;A Vendor x GL Analysis'!P$20,'[1]NS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Analysis'!P$20,'[1]NS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Q114" s="17">
        <f>IF(AND(Q$15="Actual",ISBLANK($E$8)),SUMIFS('[1]NS Vendor Details'!$D:$D,'[1]NS Vendor Details'!$H:$H,'G&amp;A Vendor x GL Analysis'!Q$20,'[1]NS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Analysis'!Q$20,'[1]NS Vendor Details'!$L:$L,'G&amp;A Vendor x GL Analysis'!$D114,'[1]NS Vendor Details'!$O:$O,'G&amp;A Vendor x GL Analysis'!$F114,'[1]NS Vendor Details'!$N:$N,"Direct Costs",'[1]NS Vendor Details'!$J:$J,0),IF(Q$15="Actual",SUMIFS('[1]NS Vendor Details'!$D:$D,'[1]NS Vendor Details'!$H:$H,'G&amp;A Vendor x GL Analysis'!Q$20,'[1]NS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Analysis'!Q$20,'[1]NS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R114" s="18">
        <f>IF(AND(R$15="Actual",ISBLANK($E$8)),SUMIFS('[1]NS Vendor Details'!$D:$D,'[1]NS Vendor Details'!$H:$H,'G&amp;A Vendor x GL Analysis'!R$20,'[1]NS Vendor Details'!$L:$L,'G&amp;A Vendor x GL Analysis'!$D114,'[1]NS Vendor Details'!$O:$O,'G&amp;A Vendor x GL Analysis'!$F114,'[1]NS Vendor Details'!$N:$N,'G&amp;A Vendor x GL Analysis'!$C114)+SUMIFS('[1]NS Vendor Details'!$D:$D,'[1]NS Vendor Details'!$H:$H,'G&amp;A Vendor x GL Analysis'!R$20,'[1]NS Vendor Details'!$L:$L,'G&amp;A Vendor x GL Analysis'!$D114,'[1]NS Vendor Details'!$O:$O,'G&amp;A Vendor x GL Analysis'!$F114,'[1]NS Vendor Details'!$N:$N,"Direct Costs",'[1]NS Vendor Details'!$J:$J,0),IF(R$15="Actual",SUMIFS('[1]NS Vendor Details'!$D:$D,'[1]NS Vendor Details'!$H:$H,'G&amp;A Vendor x GL Analysis'!R$20,'[1]NS Vendor Details'!$L:$L,'G&amp;A Vendor x GL Analysis'!$D114,'[1]NS Vendor Details'!$O:$O,'G&amp;A Vendor x GL Analysis'!$F114,'[1]NS Vendor Details'!$N:$N,'G&amp;A Vendor x GL Analysis'!$C114,'[1]NS Vendor Details'!$K:$K,'G&amp;A Vendor x GL Analysis'!$E$8)+SUMIFS('[1]NS Vendor Details'!$D:$D,'[1]NS Vendor Details'!$H:$H,'G&amp;A Vendor x GL Analysis'!R$20,'[1]NS Vendor Details'!$L:$L,'G&amp;A Vendor x GL Analysis'!$D114,'[1]NS Vendor Details'!$O:$O,'G&amp;A Vendor x GL Analysis'!$F114,'[1]NS Vendor Details'!$N:$N,"Direct Costs",'[1]NS Vendor Details'!$J:$J,0,'[1]NS Vendor Details'!$K:$K,'G&amp;A Vendor x GL Analysis'!$E$8),0))</f>
        <v>0</v>
      </c>
      <c r="S114" s="16">
        <f>IF(AND(S$15="Actual",ISBLANK($E$8)),SUMIFS('[1]NS Vendor Details'!$D:$D,'[1]NS Vendor Details'!$H:$H,'G&amp;A Vendor x GL Analysis'!S$20,'[1]NS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Analysis'!S$20,'[1]NS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Analysis'!$E114),IF(S$15="Actual",SUMIFS('[1]NS Vendor Details'!$D:$D,'[1]NS Vendor Details'!$H:$H,'G&amp;A Vendor x GL Analysis'!S$20,'[1]NS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Analysis'!S$20,'[1]NS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T114" s="17">
        <f>IF(AND(T$15="Actual",ISBLANK($E$8)),SUMIFS('[1]NS Vendor Details'!$D:$D,'[1]NS Vendor Details'!$H:$H,'G&amp;A Vendor x GL Analysis'!T$20,'[1]NS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Analysis'!T$20,'[1]NS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Analysis'!$E114),IF(T$15="Actual",SUMIFS('[1]NS Vendor Details'!$D:$D,'[1]NS Vendor Details'!$H:$H,'G&amp;A Vendor x GL Analysis'!T$20,'[1]NS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Analysis'!T$20,'[1]NS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U114" s="17">
        <f>IF(AND(U$15="Actual",ISBLANK($E$8)),SUMIFS('[1]NS Vendor Details'!$D:$D,'[1]NS Vendor Details'!$H:$H,'G&amp;A Vendor x GL Analysis'!U$20,'[1]NS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Analysis'!U$20,'[1]NS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Analysis'!$E114),IF(U$15="Actual",SUMIFS('[1]NS Vendor Details'!$D:$D,'[1]NS Vendor Details'!$H:$H,'G&amp;A Vendor x GL Analysis'!U$20,'[1]NS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Analysis'!U$20,'[1]NS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V114" s="17">
        <f>IF(AND(V$15="Actual",ISBLANK($E$8)),SUMIFS('[1]NS Vendor Details'!$D:$D,'[1]NS Vendor Details'!$H:$H,'G&amp;A Vendor x GL Analysis'!V$20,'[1]NS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Analysis'!V$20,'[1]NS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Analysis'!$E114),IF(V$15="Actual",SUMIFS('[1]NS Vendor Details'!$D:$D,'[1]NS Vendor Details'!$H:$H,'G&amp;A Vendor x GL Analysis'!V$20,'[1]NS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Analysis'!V$20,'[1]NS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2015.48</v>
      </c>
      <c r="W114" s="17">
        <f>IF(AND(W$15="Actual",ISBLANK($E$8)),SUMIFS('[1]NS Vendor Details'!$D:$D,'[1]NS Vendor Details'!$H:$H,'G&amp;A Vendor x GL Analysis'!W$20,'[1]NS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Analysis'!W$20,'[1]NS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Analysis'!$E114),IF(W$15="Actual",SUMIFS('[1]NS Vendor Details'!$D:$D,'[1]NS Vendor Details'!$H:$H,'G&amp;A Vendor x GL Analysis'!W$20,'[1]NS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Analysis'!W$20,'[1]NS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X114" s="17">
        <f>IF(AND(X$15="Actual",ISBLANK($E$8)),SUMIFS('[1]NS Vendor Details'!$D:$D,'[1]NS Vendor Details'!$H:$H,'G&amp;A Vendor x GL Analysis'!X$20,'[1]NS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Analysis'!X$20,'[1]NS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Analysis'!$E114),IF(X$15="Actual",SUMIFS('[1]NS Vendor Details'!$D:$D,'[1]NS Vendor Details'!$H:$H,'G&amp;A Vendor x GL Analysis'!X$20,'[1]NS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Analysis'!X$20,'[1]NS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Y114" s="17">
        <f>IF(AND(Y$15="Actual",ISBLANK($E$8)),SUMIFS('[1]NS Vendor Details'!$D:$D,'[1]NS Vendor Details'!$H:$H,'G&amp;A Vendor x GL Analysis'!Y$20,'[1]NS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Analysis'!Y$20,'[1]NS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Analysis'!$E114),IF(Y$15="Actual",SUMIFS('[1]NS Vendor Details'!$D:$D,'[1]NS Vendor Details'!$H:$H,'G&amp;A Vendor x GL Analysis'!Y$20,'[1]NS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Analysis'!Y$20,'[1]NS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Z114" s="17">
        <f>IF(AND(Z$15="Actual",ISBLANK($E$8)),SUMIFS('[1]NS Vendor Details'!$D:$D,'[1]NS Vendor Details'!$H:$H,'G&amp;A Vendor x GL Analysis'!Z$20,'[1]NS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Analysis'!Z$20,'[1]NS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Analysis'!$E114),IF(Z$15="Actual",SUMIFS('[1]NS Vendor Details'!$D:$D,'[1]NS Vendor Details'!$H:$H,'G&amp;A Vendor x GL Analysis'!Z$20,'[1]NS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Analysis'!Z$20,'[1]NS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AA114" s="17">
        <f>IF(AND(AA$15="Actual",ISBLANK($E$8)),SUMIFS('[1]NS Vendor Details'!$D:$D,'[1]NS Vendor Details'!$H:$H,'G&amp;A Vendor x GL Analysis'!AA$20,'[1]NS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Analysis'!AA$20,'[1]NS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Analysis'!$E114),IF(AA$15="Actual",SUMIFS('[1]NS Vendor Details'!$D:$D,'[1]NS Vendor Details'!$H:$H,'G&amp;A Vendor x GL Analysis'!AA$20,'[1]NS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Analysis'!AA$20,'[1]NS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AB114" s="17">
        <f>IF(AND(AB$15="Actual",ISBLANK($E$8)),SUMIFS('[1]NS Vendor Details'!$D:$D,'[1]NS Vendor Details'!$H:$H,'G&amp;A Vendor x GL Analysis'!AB$20,'[1]NS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Analysis'!AB$20,'[1]NS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Analysis'!$E114),IF(AB$15="Actual",SUMIFS('[1]NS Vendor Details'!$D:$D,'[1]NS Vendor Details'!$H:$H,'G&amp;A Vendor x GL Analysis'!AB$20,'[1]NS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Analysis'!AB$20,'[1]NS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AC114" s="18">
        <f>IF(AND(AC$15="Actual",ISBLANK($E$8)),SUMIFS('[1]NS Vendor Details'!$D:$D,'[1]NS Vendor Details'!$H:$H,'G&amp;A Vendor x GL Analysis'!AC$20,'[1]NS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Analysis'!AC$20,'[1]NS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Analysis'!$E114),IF(AC$15="Actual",SUMIFS('[1]NS Vendor Details'!$D:$D,'[1]NS Vendor Details'!$H:$H,'G&amp;A Vendor x GL Analysis'!AC$20,'[1]NS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Analysis'!AC$20,'[1]NS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AD114" s="18">
        <f>IF(AND(AD$15="Actual",ISBLANK($E$8)),SUMIFS('[1]NS Vendor Details'!$D:$D,'[1]NS Vendor Details'!$H:$H,'G&amp;A Vendor x GL Analysis'!AD$20,'[1]NS Vendor Details'!$L:$L,'G&amp;A Vendor x GL Analysis'!$D114,'[1]NS Vendor Details'!$O:$O,'G&amp;A Vendor x GL Analysis'!$F114,'[1]NS Vendor Details'!$N:$N,'G&amp;A Vendor x GL Analysis'!$C114,'[1]NS Vendor Details'!$I:$I,'G&amp;A Vendor x GL Analysis'!$E114)+SUMIFS('[1]NS Vendor Details'!$D:$D,'[1]NS Vendor Details'!$H:$H,'G&amp;A Vendor x GL Analysis'!AD$20,'[1]NS Vendor Details'!$L:$L,'G&amp;A Vendor x GL Analysis'!$D114,'[1]NS Vendor Details'!$O:$O,'G&amp;A Vendor x GL Analysis'!$F114,'[1]NS Vendor Details'!$N:$N,"Direct Costs",'[1]NS Vendor Details'!$J:$J,0,'[1]NS Vendor Details'!$I:$I,'G&amp;A Vendor x GL Analysis'!$E114),IF(AD$15="Actual",SUMIFS('[1]NS Vendor Details'!$D:$D,'[1]NS Vendor Details'!$H:$H,'G&amp;A Vendor x GL Analysis'!AD$20,'[1]NS Vendor Details'!$L:$L,'G&amp;A Vendor x GL Analysis'!$D114,'[1]NS Vendor Details'!$O:$O,'G&amp;A Vendor x GL Analysis'!$F114,'[1]NS Vendor Details'!$N:$N,'G&amp;A Vendor x GL Analysis'!$C114,'[1]NS Vendor Details'!$K:$K,'G&amp;A Vendor x GL Analysis'!$E$8,'[1]NS Vendor Details'!$I:$I,'G&amp;A Vendor x GL Analysis'!$E114)+SUMIFS('[1]NS Vendor Details'!$D:$D,'[1]NS Vendor Details'!$H:$H,'G&amp;A Vendor x GL Analysis'!AD$20,'[1]NS Vendor Details'!$L:$L,'G&amp;A Vendor x GL Analysis'!$D114,'[1]NS Vendor Details'!$O:$O,'G&amp;A Vendor x GL Analysis'!$F114,'[1]NS Vendor Details'!$N:$N,"Direct Costs",'[1]NS Vendor Details'!$J:$J,0,'[1]NS Vendor Details'!$K:$K,'G&amp;A Vendor x GL Analysis'!$E$8,'[1]NS Vendor Details'!$I:$I,'G&amp;A Vendor x GL Analysis'!$E114),0))</f>
        <v>0</v>
      </c>
      <c r="AF114" s="19">
        <f t="shared" si="23"/>
        <v>2015.48</v>
      </c>
    </row>
    <row r="115" spans="1:32" outlineLevel="1">
      <c r="A115" s="8" t="str">
        <f t="shared" si="22"/>
        <v>Professional Service6393 - Software</v>
      </c>
      <c r="C115" s="8" t="s">
        <v>11</v>
      </c>
      <c r="D115" s="8" t="str">
        <f t="shared" si="21"/>
        <v>Professional Service</v>
      </c>
      <c r="E115" s="2" t="s">
        <v>101</v>
      </c>
      <c r="F115" s="2" t="s">
        <v>108</v>
      </c>
      <c r="G115" s="16">
        <f>IF(AND(G$15="Actual",ISBLANK($E$8)),SUMIFS('[1]NS Vendor Details'!$D:$D,'[1]NS Vendor Details'!$H:$H,'G&amp;A Vendor x GL Analysis'!G$20,'[1]NS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Analysis'!G$20,'[1]NS Vendor Details'!$L:$L,'G&amp;A Vendor x GL Analysis'!$D115,'[1]NS Vendor Details'!$O:$O,'G&amp;A Vendor x GL Analysis'!$F115,'[1]NS Vendor Details'!$N:$N,"Direct Costs",'[1]NS Vendor Details'!$J:$J,0),IF(G$15="Actual",SUMIFS('[1]NS Vendor Details'!$D:$D,'[1]NS Vendor Details'!$H:$H,'G&amp;A Vendor x GL Analysis'!G$20,'[1]NS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Analysis'!G$20,'[1]NS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0</v>
      </c>
      <c r="H115" s="17">
        <f>IF(AND(H$15="Actual",ISBLANK($E$8)),SUMIFS('[1]NS Vendor Details'!$D:$D,'[1]NS Vendor Details'!$H:$H,'G&amp;A Vendor x GL Analysis'!H$20,'[1]NS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Analysis'!H$20,'[1]NS Vendor Details'!$L:$L,'G&amp;A Vendor x GL Analysis'!$D115,'[1]NS Vendor Details'!$O:$O,'G&amp;A Vendor x GL Analysis'!$F115,'[1]NS Vendor Details'!$N:$N,"Direct Costs",'[1]NS Vendor Details'!$J:$J,0),IF(H$15="Actual",SUMIFS('[1]NS Vendor Details'!$D:$D,'[1]NS Vendor Details'!$H:$H,'G&amp;A Vendor x GL Analysis'!H$20,'[1]NS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Analysis'!H$20,'[1]NS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0</v>
      </c>
      <c r="I115" s="17">
        <f>IF(AND(I$15="Actual",ISBLANK($E$8)),SUMIFS('[1]NS Vendor Details'!$D:$D,'[1]NS Vendor Details'!$H:$H,'G&amp;A Vendor x GL Analysis'!I$20,'[1]NS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Analysis'!I$20,'[1]NS Vendor Details'!$L:$L,'G&amp;A Vendor x GL Analysis'!$D115,'[1]NS Vendor Details'!$O:$O,'G&amp;A Vendor x GL Analysis'!$F115,'[1]NS Vendor Details'!$N:$N,"Direct Costs",'[1]NS Vendor Details'!$J:$J,0),IF(I$15="Actual",SUMIFS('[1]NS Vendor Details'!$D:$D,'[1]NS Vendor Details'!$H:$H,'G&amp;A Vendor x GL Analysis'!I$20,'[1]NS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Analysis'!I$20,'[1]NS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0</v>
      </c>
      <c r="J115" s="17">
        <f>IF(AND(J$15="Actual",ISBLANK($E$8)),SUMIFS('[1]NS Vendor Details'!$D:$D,'[1]NS Vendor Details'!$H:$H,'G&amp;A Vendor x GL Analysis'!J$20,'[1]NS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Analysis'!J$20,'[1]NS Vendor Details'!$L:$L,'G&amp;A Vendor x GL Analysis'!$D115,'[1]NS Vendor Details'!$O:$O,'G&amp;A Vendor x GL Analysis'!$F115,'[1]NS Vendor Details'!$N:$N,"Direct Costs",'[1]NS Vendor Details'!$J:$J,0),IF(J$15="Actual",SUMIFS('[1]NS Vendor Details'!$D:$D,'[1]NS Vendor Details'!$H:$H,'G&amp;A Vendor x GL Analysis'!J$20,'[1]NS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Analysis'!J$20,'[1]NS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1302.44</v>
      </c>
      <c r="K115" s="17">
        <f>IF(AND(K$15="Actual",ISBLANK($E$8)),SUMIFS('[1]NS Vendor Details'!$D:$D,'[1]NS Vendor Details'!$H:$H,'G&amp;A Vendor x GL Analysis'!K$20,'[1]NS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Analysis'!K$20,'[1]NS Vendor Details'!$L:$L,'G&amp;A Vendor x GL Analysis'!$D115,'[1]NS Vendor Details'!$O:$O,'G&amp;A Vendor x GL Analysis'!$F115,'[1]NS Vendor Details'!$N:$N,"Direct Costs",'[1]NS Vendor Details'!$J:$J,0),IF(K$15="Actual",SUMIFS('[1]NS Vendor Details'!$D:$D,'[1]NS Vendor Details'!$H:$H,'G&amp;A Vendor x GL Analysis'!K$20,'[1]NS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Analysis'!K$20,'[1]NS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1302.44</v>
      </c>
      <c r="L115" s="17">
        <f>IF(AND(L$15="Actual",ISBLANK($E$8)),SUMIFS('[1]NS Vendor Details'!$D:$D,'[1]NS Vendor Details'!$H:$H,'G&amp;A Vendor x GL Analysis'!L$20,'[1]NS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Analysis'!L$20,'[1]NS Vendor Details'!$L:$L,'G&amp;A Vendor x GL Analysis'!$D115,'[1]NS Vendor Details'!$O:$O,'G&amp;A Vendor x GL Analysis'!$F115,'[1]NS Vendor Details'!$N:$N,"Direct Costs",'[1]NS Vendor Details'!$J:$J,0),IF(L$15="Actual",SUMIFS('[1]NS Vendor Details'!$D:$D,'[1]NS Vendor Details'!$H:$H,'G&amp;A Vendor x GL Analysis'!L$20,'[1]NS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Analysis'!L$20,'[1]NS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0</v>
      </c>
      <c r="M115" s="17">
        <f>IF(AND(M$15="Actual",ISBLANK($E$8)),SUMIFS('[1]NS Vendor Details'!$D:$D,'[1]NS Vendor Details'!$H:$H,'G&amp;A Vendor x GL Analysis'!M$20,'[1]NS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Analysis'!M$20,'[1]NS Vendor Details'!$L:$L,'G&amp;A Vendor x GL Analysis'!$D115,'[1]NS Vendor Details'!$O:$O,'G&amp;A Vendor x GL Analysis'!$F115,'[1]NS Vendor Details'!$N:$N,"Direct Costs",'[1]NS Vendor Details'!$J:$J,0),IF(M$15="Actual",SUMIFS('[1]NS Vendor Details'!$D:$D,'[1]NS Vendor Details'!$H:$H,'G&amp;A Vendor x GL Analysis'!M$20,'[1]NS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Analysis'!M$20,'[1]NS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1302.44</v>
      </c>
      <c r="N115" s="17">
        <f>IF(AND(N$15="Actual",ISBLANK($E$8)),SUMIFS('[1]NS Vendor Details'!$D:$D,'[1]NS Vendor Details'!$H:$H,'G&amp;A Vendor x GL Analysis'!N$20,'[1]NS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Analysis'!N$20,'[1]NS Vendor Details'!$L:$L,'G&amp;A Vendor x GL Analysis'!$D115,'[1]NS Vendor Details'!$O:$O,'G&amp;A Vendor x GL Analysis'!$F115,'[1]NS Vendor Details'!$N:$N,"Direct Costs",'[1]NS Vendor Details'!$J:$J,0),IF(N$15="Actual",SUMIFS('[1]NS Vendor Details'!$D:$D,'[1]NS Vendor Details'!$H:$H,'G&amp;A Vendor x GL Analysis'!N$20,'[1]NS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Analysis'!N$20,'[1]NS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1302.44</v>
      </c>
      <c r="O115" s="17">
        <f>IF(AND(O$15="Actual",ISBLANK($E$8)),SUMIFS('[1]NS Vendor Details'!$D:$D,'[1]NS Vendor Details'!$H:$H,'G&amp;A Vendor x GL Analysis'!O$20,'[1]NS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Analysis'!O$20,'[1]NS Vendor Details'!$L:$L,'G&amp;A Vendor x GL Analysis'!$D115,'[1]NS Vendor Details'!$O:$O,'G&amp;A Vendor x GL Analysis'!$F115,'[1]NS Vendor Details'!$N:$N,"Direct Costs",'[1]NS Vendor Details'!$J:$J,0),IF(O$15="Actual",SUMIFS('[1]NS Vendor Details'!$D:$D,'[1]NS Vendor Details'!$H:$H,'G&amp;A Vendor x GL Analysis'!O$20,'[1]NS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Analysis'!O$20,'[1]NS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1302.44</v>
      </c>
      <c r="P115" s="17">
        <f>IF(AND(P$15="Actual",ISBLANK($E$8)),SUMIFS('[1]NS Vendor Details'!$D:$D,'[1]NS Vendor Details'!$H:$H,'G&amp;A Vendor x GL Analysis'!P$20,'[1]NS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Analysis'!P$20,'[1]NS Vendor Details'!$L:$L,'G&amp;A Vendor x GL Analysis'!$D115,'[1]NS Vendor Details'!$O:$O,'G&amp;A Vendor x GL Analysis'!$F115,'[1]NS Vendor Details'!$N:$N,"Direct Costs",'[1]NS Vendor Details'!$J:$J,0),IF(P$15="Actual",SUMIFS('[1]NS Vendor Details'!$D:$D,'[1]NS Vendor Details'!$H:$H,'G&amp;A Vendor x GL Analysis'!P$20,'[1]NS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Analysis'!P$20,'[1]NS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1302.44</v>
      </c>
      <c r="Q115" s="17">
        <f>IF(AND(Q$15="Actual",ISBLANK($E$8)),SUMIFS('[1]NS Vendor Details'!$D:$D,'[1]NS Vendor Details'!$H:$H,'G&amp;A Vendor x GL Analysis'!Q$20,'[1]NS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Analysis'!Q$20,'[1]NS Vendor Details'!$L:$L,'G&amp;A Vendor x GL Analysis'!$D115,'[1]NS Vendor Details'!$O:$O,'G&amp;A Vendor x GL Analysis'!$F115,'[1]NS Vendor Details'!$N:$N,"Direct Costs",'[1]NS Vendor Details'!$J:$J,0),IF(Q$15="Actual",SUMIFS('[1]NS Vendor Details'!$D:$D,'[1]NS Vendor Details'!$H:$H,'G&amp;A Vendor x GL Analysis'!Q$20,'[1]NS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Analysis'!Q$20,'[1]NS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1302.44</v>
      </c>
      <c r="R115" s="18">
        <f>IF(AND(R$15="Actual",ISBLANK($E$8)),SUMIFS('[1]NS Vendor Details'!$D:$D,'[1]NS Vendor Details'!$H:$H,'G&amp;A Vendor x GL Analysis'!R$20,'[1]NS Vendor Details'!$L:$L,'G&amp;A Vendor x GL Analysis'!$D115,'[1]NS Vendor Details'!$O:$O,'G&amp;A Vendor x GL Analysis'!$F115,'[1]NS Vendor Details'!$N:$N,'G&amp;A Vendor x GL Analysis'!$C115)+SUMIFS('[1]NS Vendor Details'!$D:$D,'[1]NS Vendor Details'!$H:$H,'G&amp;A Vendor x GL Analysis'!R$20,'[1]NS Vendor Details'!$L:$L,'G&amp;A Vendor x GL Analysis'!$D115,'[1]NS Vendor Details'!$O:$O,'G&amp;A Vendor x GL Analysis'!$F115,'[1]NS Vendor Details'!$N:$N,"Direct Costs",'[1]NS Vendor Details'!$J:$J,0),IF(R$15="Actual",SUMIFS('[1]NS Vendor Details'!$D:$D,'[1]NS Vendor Details'!$H:$H,'G&amp;A Vendor x GL Analysis'!R$20,'[1]NS Vendor Details'!$L:$L,'G&amp;A Vendor x GL Analysis'!$D115,'[1]NS Vendor Details'!$O:$O,'G&amp;A Vendor x GL Analysis'!$F115,'[1]NS Vendor Details'!$N:$N,'G&amp;A Vendor x GL Analysis'!$C115,'[1]NS Vendor Details'!$K:$K,'G&amp;A Vendor x GL Analysis'!$E$8)+SUMIFS('[1]NS Vendor Details'!$D:$D,'[1]NS Vendor Details'!$H:$H,'G&amp;A Vendor x GL Analysis'!R$20,'[1]NS Vendor Details'!$L:$L,'G&amp;A Vendor x GL Analysis'!$D115,'[1]NS Vendor Details'!$O:$O,'G&amp;A Vendor x GL Analysis'!$F115,'[1]NS Vendor Details'!$N:$N,"Direct Costs",'[1]NS Vendor Details'!$J:$J,0,'[1]NS Vendor Details'!$K:$K,'G&amp;A Vendor x GL Analysis'!$E$8),0))</f>
        <v>1302.44</v>
      </c>
      <c r="S115" s="16">
        <f>IF(AND(S$15="Actual",ISBLANK($E$8)),SUMIFS('[1]NS Vendor Details'!$D:$D,'[1]NS Vendor Details'!$H:$H,'G&amp;A Vendor x GL Analysis'!S$20,'[1]NS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Analysis'!S$20,'[1]NS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Analysis'!$E115),IF(S$15="Actual",SUMIFS('[1]NS Vendor Details'!$D:$D,'[1]NS Vendor Details'!$H:$H,'G&amp;A Vendor x GL Analysis'!S$20,'[1]NS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Analysis'!S$20,'[1]NS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1966.62</v>
      </c>
      <c r="T115" s="17">
        <f>IF(AND(T$15="Actual",ISBLANK($E$8)),SUMIFS('[1]NS Vendor Details'!$D:$D,'[1]NS Vendor Details'!$H:$H,'G&amp;A Vendor x GL Analysis'!T$20,'[1]NS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Analysis'!T$20,'[1]NS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Analysis'!$E115),IF(T$15="Actual",SUMIFS('[1]NS Vendor Details'!$D:$D,'[1]NS Vendor Details'!$H:$H,'G&amp;A Vendor x GL Analysis'!T$20,'[1]NS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Analysis'!T$20,'[1]NS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1966.62</v>
      </c>
      <c r="U115" s="17">
        <f>IF(AND(U$15="Actual",ISBLANK($E$8)),SUMIFS('[1]NS Vendor Details'!$D:$D,'[1]NS Vendor Details'!$H:$H,'G&amp;A Vendor x GL Analysis'!U$20,'[1]NS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Analysis'!U$20,'[1]NS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Analysis'!$E115),IF(U$15="Actual",SUMIFS('[1]NS Vendor Details'!$D:$D,'[1]NS Vendor Details'!$H:$H,'G&amp;A Vendor x GL Analysis'!U$20,'[1]NS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Analysis'!U$20,'[1]NS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2193.36</v>
      </c>
      <c r="V115" s="17">
        <f>IF(AND(V$15="Actual",ISBLANK($E$8)),SUMIFS('[1]NS Vendor Details'!$D:$D,'[1]NS Vendor Details'!$H:$H,'G&amp;A Vendor x GL Analysis'!V$20,'[1]NS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Analysis'!V$20,'[1]NS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Analysis'!$E115),IF(V$15="Actual",SUMIFS('[1]NS Vendor Details'!$D:$D,'[1]NS Vendor Details'!$H:$H,'G&amp;A Vendor x GL Analysis'!V$20,'[1]NS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Analysis'!V$20,'[1]NS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226.82</v>
      </c>
      <c r="W115" s="17">
        <f>IF(AND(W$15="Actual",ISBLANK($E$8)),SUMIFS('[1]NS Vendor Details'!$D:$D,'[1]NS Vendor Details'!$H:$H,'G&amp;A Vendor x GL Analysis'!W$20,'[1]NS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Analysis'!W$20,'[1]NS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Analysis'!$E115),IF(W$15="Actual",SUMIFS('[1]NS Vendor Details'!$D:$D,'[1]NS Vendor Details'!$H:$H,'G&amp;A Vendor x GL Analysis'!W$20,'[1]NS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Analysis'!W$20,'[1]NS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3406.04</v>
      </c>
      <c r="X115" s="17">
        <f>IF(AND(X$15="Actual",ISBLANK($E$8)),SUMIFS('[1]NS Vendor Details'!$D:$D,'[1]NS Vendor Details'!$H:$H,'G&amp;A Vendor x GL Analysis'!X$20,'[1]NS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Analysis'!X$20,'[1]NS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Analysis'!$E115),IF(X$15="Actual",SUMIFS('[1]NS Vendor Details'!$D:$D,'[1]NS Vendor Details'!$H:$H,'G&amp;A Vendor x GL Analysis'!X$20,'[1]NS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Analysis'!X$20,'[1]NS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3406.04</v>
      </c>
      <c r="Y115" s="17">
        <f>IF(AND(Y$15="Actual",ISBLANK($E$8)),SUMIFS('[1]NS Vendor Details'!$D:$D,'[1]NS Vendor Details'!$H:$H,'G&amp;A Vendor x GL Analysis'!Y$20,'[1]NS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Analysis'!Y$20,'[1]NS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Analysis'!$E115),IF(Y$15="Actual",SUMIFS('[1]NS Vendor Details'!$D:$D,'[1]NS Vendor Details'!$H:$H,'G&amp;A Vendor x GL Analysis'!Y$20,'[1]NS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Analysis'!Y$20,'[1]NS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3406.04</v>
      </c>
      <c r="Z115" s="17">
        <f>IF(AND(Z$15="Actual",ISBLANK($E$8)),SUMIFS('[1]NS Vendor Details'!$D:$D,'[1]NS Vendor Details'!$H:$H,'G&amp;A Vendor x GL Analysis'!Z$20,'[1]NS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Analysis'!Z$20,'[1]NS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Analysis'!$E115),IF(Z$15="Actual",SUMIFS('[1]NS Vendor Details'!$D:$D,'[1]NS Vendor Details'!$H:$H,'G&amp;A Vendor x GL Analysis'!Z$20,'[1]NS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Analysis'!Z$20,'[1]NS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3406.04</v>
      </c>
      <c r="AA115" s="17">
        <f>IF(AND(AA$15="Actual",ISBLANK($E$8)),SUMIFS('[1]NS Vendor Details'!$D:$D,'[1]NS Vendor Details'!$H:$H,'G&amp;A Vendor x GL Analysis'!AA$20,'[1]NS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Analysis'!AA$20,'[1]NS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Analysis'!$E115),IF(AA$15="Actual",SUMIFS('[1]NS Vendor Details'!$D:$D,'[1]NS Vendor Details'!$H:$H,'G&amp;A Vendor x GL Analysis'!AA$20,'[1]NS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Analysis'!AA$20,'[1]NS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3406.04</v>
      </c>
      <c r="AB115" s="17">
        <f>IF(AND(AB$15="Actual",ISBLANK($E$8)),SUMIFS('[1]NS Vendor Details'!$D:$D,'[1]NS Vendor Details'!$H:$H,'G&amp;A Vendor x GL Analysis'!AB$20,'[1]NS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Analysis'!AB$20,'[1]NS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Analysis'!$E115),IF(AB$15="Actual",SUMIFS('[1]NS Vendor Details'!$D:$D,'[1]NS Vendor Details'!$H:$H,'G&amp;A Vendor x GL Analysis'!AB$20,'[1]NS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Analysis'!AB$20,'[1]NS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3406.04</v>
      </c>
      <c r="AC115" s="18">
        <f>IF(AND(AC$15="Actual",ISBLANK($E$8)),SUMIFS('[1]NS Vendor Details'!$D:$D,'[1]NS Vendor Details'!$H:$H,'G&amp;A Vendor x GL Analysis'!AC$20,'[1]NS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Analysis'!AC$20,'[1]NS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Analysis'!$E115),IF(AC$15="Actual",SUMIFS('[1]NS Vendor Details'!$D:$D,'[1]NS Vendor Details'!$H:$H,'G&amp;A Vendor x GL Analysis'!AC$20,'[1]NS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Analysis'!AC$20,'[1]NS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3406.04</v>
      </c>
      <c r="AD115" s="18">
        <f>IF(AND(AD$15="Actual",ISBLANK($E$8)),SUMIFS('[1]NS Vendor Details'!$D:$D,'[1]NS Vendor Details'!$H:$H,'G&amp;A Vendor x GL Analysis'!AD$20,'[1]NS Vendor Details'!$L:$L,'G&amp;A Vendor x GL Analysis'!$D115,'[1]NS Vendor Details'!$O:$O,'G&amp;A Vendor x GL Analysis'!$F115,'[1]NS Vendor Details'!$N:$N,'G&amp;A Vendor x GL Analysis'!$C115,'[1]NS Vendor Details'!$I:$I,'G&amp;A Vendor x GL Analysis'!$E115)+SUMIFS('[1]NS Vendor Details'!$D:$D,'[1]NS Vendor Details'!$H:$H,'G&amp;A Vendor x GL Analysis'!AD$20,'[1]NS Vendor Details'!$L:$L,'G&amp;A Vendor x GL Analysis'!$D115,'[1]NS Vendor Details'!$O:$O,'G&amp;A Vendor x GL Analysis'!$F115,'[1]NS Vendor Details'!$N:$N,"Direct Costs",'[1]NS Vendor Details'!$J:$J,0,'[1]NS Vendor Details'!$I:$I,'G&amp;A Vendor x GL Analysis'!$E115),IF(AD$15="Actual",SUMIFS('[1]NS Vendor Details'!$D:$D,'[1]NS Vendor Details'!$H:$H,'G&amp;A Vendor x GL Analysis'!AD$20,'[1]NS Vendor Details'!$L:$L,'G&amp;A Vendor x GL Analysis'!$D115,'[1]NS Vendor Details'!$O:$O,'G&amp;A Vendor x GL Analysis'!$F115,'[1]NS Vendor Details'!$N:$N,'G&amp;A Vendor x GL Analysis'!$C115,'[1]NS Vendor Details'!$K:$K,'G&amp;A Vendor x GL Analysis'!$E$8,'[1]NS Vendor Details'!$I:$I,'G&amp;A Vendor x GL Analysis'!$E115)+SUMIFS('[1]NS Vendor Details'!$D:$D,'[1]NS Vendor Details'!$H:$H,'G&amp;A Vendor x GL Analysis'!AD$20,'[1]NS Vendor Details'!$L:$L,'G&amp;A Vendor x GL Analysis'!$D115,'[1]NS Vendor Details'!$O:$O,'G&amp;A Vendor x GL Analysis'!$F115,'[1]NS Vendor Details'!$N:$N,"Direct Costs",'[1]NS Vendor Details'!$J:$J,0,'[1]NS Vendor Details'!$K:$K,'G&amp;A Vendor x GL Analysis'!$E$8,'[1]NS Vendor Details'!$I:$I,'G&amp;A Vendor x GL Analysis'!$E115),0))</f>
        <v>0</v>
      </c>
      <c r="AF115" s="19">
        <f t="shared" si="23"/>
        <v>30195.700000000004</v>
      </c>
    </row>
    <row r="116" spans="1:32" outlineLevel="1">
      <c r="A116" s="8" t="str">
        <f t="shared" si="22"/>
        <v>Professional Service6393 - Software</v>
      </c>
      <c r="C116" s="8" t="s">
        <v>11</v>
      </c>
      <c r="D116" s="8" t="str">
        <f t="shared" si="21"/>
        <v>Professional Service</v>
      </c>
      <c r="E116" s="2" t="s">
        <v>101</v>
      </c>
      <c r="F116" s="2" t="s">
        <v>109</v>
      </c>
      <c r="G116" s="16">
        <f>IF(AND(G$15="Actual",ISBLANK($E$8)),SUMIFS('[1]NS Vendor Details'!$D:$D,'[1]NS Vendor Details'!$H:$H,'G&amp;A Vendor x GL Analysis'!G$20,'[1]NS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Analysis'!G$20,'[1]NS Vendor Details'!$L:$L,'G&amp;A Vendor x GL Analysis'!$D116,'[1]NS Vendor Details'!$O:$O,'G&amp;A Vendor x GL Analysis'!$F116,'[1]NS Vendor Details'!$N:$N,"Direct Costs",'[1]NS Vendor Details'!$J:$J,0),IF(G$15="Actual",SUMIFS('[1]NS Vendor Details'!$D:$D,'[1]NS Vendor Details'!$H:$H,'G&amp;A Vendor x GL Analysis'!G$20,'[1]NS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Analysis'!G$20,'[1]NS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H116" s="17">
        <f>IF(AND(H$15="Actual",ISBLANK($E$8)),SUMIFS('[1]NS Vendor Details'!$D:$D,'[1]NS Vendor Details'!$H:$H,'G&amp;A Vendor x GL Analysis'!H$20,'[1]NS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Analysis'!H$20,'[1]NS Vendor Details'!$L:$L,'G&amp;A Vendor x GL Analysis'!$D116,'[1]NS Vendor Details'!$O:$O,'G&amp;A Vendor x GL Analysis'!$F116,'[1]NS Vendor Details'!$N:$N,"Direct Costs",'[1]NS Vendor Details'!$J:$J,0),IF(H$15="Actual",SUMIFS('[1]NS Vendor Details'!$D:$D,'[1]NS Vendor Details'!$H:$H,'G&amp;A Vendor x GL Analysis'!H$20,'[1]NS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Analysis'!H$20,'[1]NS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I116" s="17">
        <f>IF(AND(I$15="Actual",ISBLANK($E$8)),SUMIFS('[1]NS Vendor Details'!$D:$D,'[1]NS Vendor Details'!$H:$H,'G&amp;A Vendor x GL Analysis'!I$20,'[1]NS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Analysis'!I$20,'[1]NS Vendor Details'!$L:$L,'G&amp;A Vendor x GL Analysis'!$D116,'[1]NS Vendor Details'!$O:$O,'G&amp;A Vendor x GL Analysis'!$F116,'[1]NS Vendor Details'!$N:$N,"Direct Costs",'[1]NS Vendor Details'!$J:$J,0),IF(I$15="Actual",SUMIFS('[1]NS Vendor Details'!$D:$D,'[1]NS Vendor Details'!$H:$H,'G&amp;A Vendor x GL Analysis'!I$20,'[1]NS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Analysis'!I$20,'[1]NS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J116" s="17">
        <f>IF(AND(J$15="Actual",ISBLANK($E$8)),SUMIFS('[1]NS Vendor Details'!$D:$D,'[1]NS Vendor Details'!$H:$H,'G&amp;A Vendor x GL Analysis'!J$20,'[1]NS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Analysis'!J$20,'[1]NS Vendor Details'!$L:$L,'G&amp;A Vendor x GL Analysis'!$D116,'[1]NS Vendor Details'!$O:$O,'G&amp;A Vendor x GL Analysis'!$F116,'[1]NS Vendor Details'!$N:$N,"Direct Costs",'[1]NS Vendor Details'!$J:$J,0),IF(J$15="Actual",SUMIFS('[1]NS Vendor Details'!$D:$D,'[1]NS Vendor Details'!$H:$H,'G&amp;A Vendor x GL Analysis'!J$20,'[1]NS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Analysis'!J$20,'[1]NS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K116" s="17">
        <f>IF(AND(K$15="Actual",ISBLANK($E$8)),SUMIFS('[1]NS Vendor Details'!$D:$D,'[1]NS Vendor Details'!$H:$H,'G&amp;A Vendor x GL Analysis'!K$20,'[1]NS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Analysis'!K$20,'[1]NS Vendor Details'!$L:$L,'G&amp;A Vendor x GL Analysis'!$D116,'[1]NS Vendor Details'!$O:$O,'G&amp;A Vendor x GL Analysis'!$F116,'[1]NS Vendor Details'!$N:$N,"Direct Costs",'[1]NS Vendor Details'!$J:$J,0),IF(K$15="Actual",SUMIFS('[1]NS Vendor Details'!$D:$D,'[1]NS Vendor Details'!$H:$H,'G&amp;A Vendor x GL Analysis'!K$20,'[1]NS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Analysis'!K$20,'[1]NS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L116" s="17">
        <f>IF(AND(L$15="Actual",ISBLANK($E$8)),SUMIFS('[1]NS Vendor Details'!$D:$D,'[1]NS Vendor Details'!$H:$H,'G&amp;A Vendor x GL Analysis'!L$20,'[1]NS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Analysis'!L$20,'[1]NS Vendor Details'!$L:$L,'G&amp;A Vendor x GL Analysis'!$D116,'[1]NS Vendor Details'!$O:$O,'G&amp;A Vendor x GL Analysis'!$F116,'[1]NS Vendor Details'!$N:$N,"Direct Costs",'[1]NS Vendor Details'!$J:$J,0),IF(L$15="Actual",SUMIFS('[1]NS Vendor Details'!$D:$D,'[1]NS Vendor Details'!$H:$H,'G&amp;A Vendor x GL Analysis'!L$20,'[1]NS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Analysis'!L$20,'[1]NS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M116" s="17">
        <f>IF(AND(M$15="Actual",ISBLANK($E$8)),SUMIFS('[1]NS Vendor Details'!$D:$D,'[1]NS Vendor Details'!$H:$H,'G&amp;A Vendor x GL Analysis'!M$20,'[1]NS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Analysis'!M$20,'[1]NS Vendor Details'!$L:$L,'G&amp;A Vendor x GL Analysis'!$D116,'[1]NS Vendor Details'!$O:$O,'G&amp;A Vendor x GL Analysis'!$F116,'[1]NS Vendor Details'!$N:$N,"Direct Costs",'[1]NS Vendor Details'!$J:$J,0),IF(M$15="Actual",SUMIFS('[1]NS Vendor Details'!$D:$D,'[1]NS Vendor Details'!$H:$H,'G&amp;A Vendor x GL Analysis'!M$20,'[1]NS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Analysis'!M$20,'[1]NS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N116" s="17">
        <f>IF(AND(N$15="Actual",ISBLANK($E$8)),SUMIFS('[1]NS Vendor Details'!$D:$D,'[1]NS Vendor Details'!$H:$H,'G&amp;A Vendor x GL Analysis'!N$20,'[1]NS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Analysis'!N$20,'[1]NS Vendor Details'!$L:$L,'G&amp;A Vendor x GL Analysis'!$D116,'[1]NS Vendor Details'!$O:$O,'G&amp;A Vendor x GL Analysis'!$F116,'[1]NS Vendor Details'!$N:$N,"Direct Costs",'[1]NS Vendor Details'!$J:$J,0),IF(N$15="Actual",SUMIFS('[1]NS Vendor Details'!$D:$D,'[1]NS Vendor Details'!$H:$H,'G&amp;A Vendor x GL Analysis'!N$20,'[1]NS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Analysis'!N$20,'[1]NS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O116" s="17">
        <f>IF(AND(O$15="Actual",ISBLANK($E$8)),SUMIFS('[1]NS Vendor Details'!$D:$D,'[1]NS Vendor Details'!$H:$H,'G&amp;A Vendor x GL Analysis'!O$20,'[1]NS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Analysis'!O$20,'[1]NS Vendor Details'!$L:$L,'G&amp;A Vendor x GL Analysis'!$D116,'[1]NS Vendor Details'!$O:$O,'G&amp;A Vendor x GL Analysis'!$F116,'[1]NS Vendor Details'!$N:$N,"Direct Costs",'[1]NS Vendor Details'!$J:$J,0),IF(O$15="Actual",SUMIFS('[1]NS Vendor Details'!$D:$D,'[1]NS Vendor Details'!$H:$H,'G&amp;A Vendor x GL Analysis'!O$20,'[1]NS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Analysis'!O$20,'[1]NS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P116" s="17">
        <f>IF(AND(P$15="Actual",ISBLANK($E$8)),SUMIFS('[1]NS Vendor Details'!$D:$D,'[1]NS Vendor Details'!$H:$H,'G&amp;A Vendor x GL Analysis'!P$20,'[1]NS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Analysis'!P$20,'[1]NS Vendor Details'!$L:$L,'G&amp;A Vendor x GL Analysis'!$D116,'[1]NS Vendor Details'!$O:$O,'G&amp;A Vendor x GL Analysis'!$F116,'[1]NS Vendor Details'!$N:$N,"Direct Costs",'[1]NS Vendor Details'!$J:$J,0),IF(P$15="Actual",SUMIFS('[1]NS Vendor Details'!$D:$D,'[1]NS Vendor Details'!$H:$H,'G&amp;A Vendor x GL Analysis'!P$20,'[1]NS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Analysis'!P$20,'[1]NS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Q116" s="17">
        <f>IF(AND(Q$15="Actual",ISBLANK($E$8)),SUMIFS('[1]NS Vendor Details'!$D:$D,'[1]NS Vendor Details'!$H:$H,'G&amp;A Vendor x GL Analysis'!Q$20,'[1]NS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Analysis'!Q$20,'[1]NS Vendor Details'!$L:$L,'G&amp;A Vendor x GL Analysis'!$D116,'[1]NS Vendor Details'!$O:$O,'G&amp;A Vendor x GL Analysis'!$F116,'[1]NS Vendor Details'!$N:$N,"Direct Costs",'[1]NS Vendor Details'!$J:$J,0),IF(Q$15="Actual",SUMIFS('[1]NS Vendor Details'!$D:$D,'[1]NS Vendor Details'!$H:$H,'G&amp;A Vendor x GL Analysis'!Q$20,'[1]NS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Analysis'!Q$20,'[1]NS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1245</v>
      </c>
      <c r="R116" s="18">
        <f>IF(AND(R$15="Actual",ISBLANK($E$8)),SUMIFS('[1]NS Vendor Details'!$D:$D,'[1]NS Vendor Details'!$H:$H,'G&amp;A Vendor x GL Analysis'!R$20,'[1]NS Vendor Details'!$L:$L,'G&amp;A Vendor x GL Analysis'!$D116,'[1]NS Vendor Details'!$O:$O,'G&amp;A Vendor x GL Analysis'!$F116,'[1]NS Vendor Details'!$N:$N,'G&amp;A Vendor x GL Analysis'!$C116)+SUMIFS('[1]NS Vendor Details'!$D:$D,'[1]NS Vendor Details'!$H:$H,'G&amp;A Vendor x GL Analysis'!R$20,'[1]NS Vendor Details'!$L:$L,'G&amp;A Vendor x GL Analysis'!$D116,'[1]NS Vendor Details'!$O:$O,'G&amp;A Vendor x GL Analysis'!$F116,'[1]NS Vendor Details'!$N:$N,"Direct Costs",'[1]NS Vendor Details'!$J:$J,0),IF(R$15="Actual",SUMIFS('[1]NS Vendor Details'!$D:$D,'[1]NS Vendor Details'!$H:$H,'G&amp;A Vendor x GL Analysis'!R$20,'[1]NS Vendor Details'!$L:$L,'G&amp;A Vendor x GL Analysis'!$D116,'[1]NS Vendor Details'!$O:$O,'G&amp;A Vendor x GL Analysis'!$F116,'[1]NS Vendor Details'!$N:$N,'G&amp;A Vendor x GL Analysis'!$C116,'[1]NS Vendor Details'!$K:$K,'G&amp;A Vendor x GL Analysis'!$E$8)+SUMIFS('[1]NS Vendor Details'!$D:$D,'[1]NS Vendor Details'!$H:$H,'G&amp;A Vendor x GL Analysis'!R$20,'[1]NS Vendor Details'!$L:$L,'G&amp;A Vendor x GL Analysis'!$D116,'[1]NS Vendor Details'!$O:$O,'G&amp;A Vendor x GL Analysis'!$F116,'[1]NS Vendor Details'!$N:$N,"Direct Costs",'[1]NS Vendor Details'!$J:$J,0,'[1]NS Vendor Details'!$K:$K,'G&amp;A Vendor x GL Analysis'!$E$8),0))</f>
        <v>0</v>
      </c>
      <c r="S116" s="16">
        <f>IF(AND(S$15="Actual",ISBLANK($E$8)),SUMIFS('[1]NS Vendor Details'!$D:$D,'[1]NS Vendor Details'!$H:$H,'G&amp;A Vendor x GL Analysis'!S$20,'[1]NS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Analysis'!S$20,'[1]NS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Analysis'!$E116),IF(S$15="Actual",SUMIFS('[1]NS Vendor Details'!$D:$D,'[1]NS Vendor Details'!$H:$H,'G&amp;A Vendor x GL Analysis'!S$20,'[1]NS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Analysis'!S$20,'[1]NS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1245</v>
      </c>
      <c r="T116" s="17">
        <f>IF(AND(T$15="Actual",ISBLANK($E$8)),SUMIFS('[1]NS Vendor Details'!$D:$D,'[1]NS Vendor Details'!$H:$H,'G&amp;A Vendor x GL Analysis'!T$20,'[1]NS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Analysis'!T$20,'[1]NS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Analysis'!$E116),IF(T$15="Actual",SUMIFS('[1]NS Vendor Details'!$D:$D,'[1]NS Vendor Details'!$H:$H,'G&amp;A Vendor x GL Analysis'!T$20,'[1]NS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Analysis'!T$20,'[1]NS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1245</v>
      </c>
      <c r="U116" s="17">
        <f>IF(AND(U$15="Actual",ISBLANK($E$8)),SUMIFS('[1]NS Vendor Details'!$D:$D,'[1]NS Vendor Details'!$H:$H,'G&amp;A Vendor x GL Analysis'!U$20,'[1]NS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Analysis'!U$20,'[1]NS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Analysis'!$E116),IF(U$15="Actual",SUMIFS('[1]NS Vendor Details'!$D:$D,'[1]NS Vendor Details'!$H:$H,'G&amp;A Vendor x GL Analysis'!U$20,'[1]NS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Analysis'!U$20,'[1]NS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0</v>
      </c>
      <c r="V116" s="17">
        <f>IF(AND(V$15="Actual",ISBLANK($E$8)),SUMIFS('[1]NS Vendor Details'!$D:$D,'[1]NS Vendor Details'!$H:$H,'G&amp;A Vendor x GL Analysis'!V$20,'[1]NS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Analysis'!V$20,'[1]NS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Analysis'!$E116),IF(V$15="Actual",SUMIFS('[1]NS Vendor Details'!$D:$D,'[1]NS Vendor Details'!$H:$H,'G&amp;A Vendor x GL Analysis'!V$20,'[1]NS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Analysis'!V$20,'[1]NS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0</v>
      </c>
      <c r="W116" s="17">
        <f>IF(AND(W$15="Actual",ISBLANK($E$8)),SUMIFS('[1]NS Vendor Details'!$D:$D,'[1]NS Vendor Details'!$H:$H,'G&amp;A Vendor x GL Analysis'!W$20,'[1]NS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Analysis'!W$20,'[1]NS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Analysis'!$E116),IF(W$15="Actual",SUMIFS('[1]NS Vendor Details'!$D:$D,'[1]NS Vendor Details'!$H:$H,'G&amp;A Vendor x GL Analysis'!W$20,'[1]NS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Analysis'!W$20,'[1]NS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1494</v>
      </c>
      <c r="X116" s="17">
        <f>IF(AND(X$15="Actual",ISBLANK($E$8)),SUMIFS('[1]NS Vendor Details'!$D:$D,'[1]NS Vendor Details'!$H:$H,'G&amp;A Vendor x GL Analysis'!X$20,'[1]NS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Analysis'!X$20,'[1]NS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Analysis'!$E116),IF(X$15="Actual",SUMIFS('[1]NS Vendor Details'!$D:$D,'[1]NS Vendor Details'!$H:$H,'G&amp;A Vendor x GL Analysis'!X$20,'[1]NS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Analysis'!X$20,'[1]NS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1494</v>
      </c>
      <c r="Y116" s="17">
        <f>IF(AND(Y$15="Actual",ISBLANK($E$8)),SUMIFS('[1]NS Vendor Details'!$D:$D,'[1]NS Vendor Details'!$H:$H,'G&amp;A Vendor x GL Analysis'!Y$20,'[1]NS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Analysis'!Y$20,'[1]NS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Analysis'!$E116),IF(Y$15="Actual",SUMIFS('[1]NS Vendor Details'!$D:$D,'[1]NS Vendor Details'!$H:$H,'G&amp;A Vendor x GL Analysis'!Y$20,'[1]NS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Analysis'!Y$20,'[1]NS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1494</v>
      </c>
      <c r="Z116" s="17">
        <f>IF(AND(Z$15="Actual",ISBLANK($E$8)),SUMIFS('[1]NS Vendor Details'!$D:$D,'[1]NS Vendor Details'!$H:$H,'G&amp;A Vendor x GL Analysis'!Z$20,'[1]NS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Analysis'!Z$20,'[1]NS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Analysis'!$E116),IF(Z$15="Actual",SUMIFS('[1]NS Vendor Details'!$D:$D,'[1]NS Vendor Details'!$H:$H,'G&amp;A Vendor x GL Analysis'!Z$20,'[1]NS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Analysis'!Z$20,'[1]NS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1494</v>
      </c>
      <c r="AA116" s="17">
        <f>IF(AND(AA$15="Actual",ISBLANK($E$8)),SUMIFS('[1]NS Vendor Details'!$D:$D,'[1]NS Vendor Details'!$H:$H,'G&amp;A Vendor x GL Analysis'!AA$20,'[1]NS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Analysis'!AA$20,'[1]NS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Analysis'!$E116),IF(AA$15="Actual",SUMIFS('[1]NS Vendor Details'!$D:$D,'[1]NS Vendor Details'!$H:$H,'G&amp;A Vendor x GL Analysis'!AA$20,'[1]NS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Analysis'!AA$20,'[1]NS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1494</v>
      </c>
      <c r="AB116" s="17">
        <f>IF(AND(AB$15="Actual",ISBLANK($E$8)),SUMIFS('[1]NS Vendor Details'!$D:$D,'[1]NS Vendor Details'!$H:$H,'G&amp;A Vendor x GL Analysis'!AB$20,'[1]NS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Analysis'!AB$20,'[1]NS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Analysis'!$E116),IF(AB$15="Actual",SUMIFS('[1]NS Vendor Details'!$D:$D,'[1]NS Vendor Details'!$H:$H,'G&amp;A Vendor x GL Analysis'!AB$20,'[1]NS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Analysis'!AB$20,'[1]NS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1494</v>
      </c>
      <c r="AC116" s="18">
        <f>IF(AND(AC$15="Actual",ISBLANK($E$8)),SUMIFS('[1]NS Vendor Details'!$D:$D,'[1]NS Vendor Details'!$H:$H,'G&amp;A Vendor x GL Analysis'!AC$20,'[1]NS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Analysis'!AC$20,'[1]NS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Analysis'!$E116),IF(AC$15="Actual",SUMIFS('[1]NS Vendor Details'!$D:$D,'[1]NS Vendor Details'!$H:$H,'G&amp;A Vendor x GL Analysis'!AC$20,'[1]NS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Analysis'!AC$20,'[1]NS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1494</v>
      </c>
      <c r="AD116" s="18">
        <f>IF(AND(AD$15="Actual",ISBLANK($E$8)),SUMIFS('[1]NS Vendor Details'!$D:$D,'[1]NS Vendor Details'!$H:$H,'G&amp;A Vendor x GL Analysis'!AD$20,'[1]NS Vendor Details'!$L:$L,'G&amp;A Vendor x GL Analysis'!$D116,'[1]NS Vendor Details'!$O:$O,'G&amp;A Vendor x GL Analysis'!$F116,'[1]NS Vendor Details'!$N:$N,'G&amp;A Vendor x GL Analysis'!$C116,'[1]NS Vendor Details'!$I:$I,'G&amp;A Vendor x GL Analysis'!$E116)+SUMIFS('[1]NS Vendor Details'!$D:$D,'[1]NS Vendor Details'!$H:$H,'G&amp;A Vendor x GL Analysis'!AD$20,'[1]NS Vendor Details'!$L:$L,'G&amp;A Vendor x GL Analysis'!$D116,'[1]NS Vendor Details'!$O:$O,'G&amp;A Vendor x GL Analysis'!$F116,'[1]NS Vendor Details'!$N:$N,"Direct Costs",'[1]NS Vendor Details'!$J:$J,0,'[1]NS Vendor Details'!$I:$I,'G&amp;A Vendor x GL Analysis'!$E116),IF(AD$15="Actual",SUMIFS('[1]NS Vendor Details'!$D:$D,'[1]NS Vendor Details'!$H:$H,'G&amp;A Vendor x GL Analysis'!AD$20,'[1]NS Vendor Details'!$L:$L,'G&amp;A Vendor x GL Analysis'!$D116,'[1]NS Vendor Details'!$O:$O,'G&amp;A Vendor x GL Analysis'!$F116,'[1]NS Vendor Details'!$N:$N,'G&amp;A Vendor x GL Analysis'!$C116,'[1]NS Vendor Details'!$K:$K,'G&amp;A Vendor x GL Analysis'!$E$8,'[1]NS Vendor Details'!$I:$I,'G&amp;A Vendor x GL Analysis'!$E116)+SUMIFS('[1]NS Vendor Details'!$D:$D,'[1]NS Vendor Details'!$H:$H,'G&amp;A Vendor x GL Analysis'!AD$20,'[1]NS Vendor Details'!$L:$L,'G&amp;A Vendor x GL Analysis'!$D116,'[1]NS Vendor Details'!$O:$O,'G&amp;A Vendor x GL Analysis'!$F116,'[1]NS Vendor Details'!$N:$N,"Direct Costs",'[1]NS Vendor Details'!$J:$J,0,'[1]NS Vendor Details'!$K:$K,'G&amp;A Vendor x GL Analysis'!$E$8,'[1]NS Vendor Details'!$I:$I,'G&amp;A Vendor x GL Analysis'!$E116),0))</f>
        <v>0</v>
      </c>
      <c r="AF116" s="19">
        <f t="shared" si="23"/>
        <v>12948</v>
      </c>
    </row>
    <row r="117" spans="1:32" outlineLevel="1">
      <c r="A117" s="8" t="str">
        <f t="shared" si="22"/>
        <v>Professional Service6393 - Software</v>
      </c>
      <c r="C117" s="8" t="s">
        <v>11</v>
      </c>
      <c r="D117" s="8" t="str">
        <f t="shared" si="21"/>
        <v>Professional Service</v>
      </c>
      <c r="E117" s="2" t="s">
        <v>101</v>
      </c>
      <c r="F117" s="2" t="s">
        <v>110</v>
      </c>
      <c r="G117" s="16">
        <f>IF(AND(G$15="Actual",ISBLANK($E$8)),SUMIFS('[1]NS Vendor Details'!$D:$D,'[1]NS Vendor Details'!$H:$H,'G&amp;A Vendor x GL Analysis'!G$20,'[1]NS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Analysis'!G$20,'[1]NS Vendor Details'!$L:$L,'G&amp;A Vendor x GL Analysis'!$D117,'[1]NS Vendor Details'!$O:$O,'G&amp;A Vendor x GL Analysis'!$F117,'[1]NS Vendor Details'!$N:$N,"Direct Costs",'[1]NS Vendor Details'!$J:$J,0),IF(G$15="Actual",SUMIFS('[1]NS Vendor Details'!$D:$D,'[1]NS Vendor Details'!$H:$H,'G&amp;A Vendor x GL Analysis'!G$20,'[1]NS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Analysis'!G$20,'[1]NS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H117" s="17">
        <f>IF(AND(H$15="Actual",ISBLANK($E$8)),SUMIFS('[1]NS Vendor Details'!$D:$D,'[1]NS Vendor Details'!$H:$H,'G&amp;A Vendor x GL Analysis'!H$20,'[1]NS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Analysis'!H$20,'[1]NS Vendor Details'!$L:$L,'G&amp;A Vendor x GL Analysis'!$D117,'[1]NS Vendor Details'!$O:$O,'G&amp;A Vendor x GL Analysis'!$F117,'[1]NS Vendor Details'!$N:$N,"Direct Costs",'[1]NS Vendor Details'!$J:$J,0),IF(H$15="Actual",SUMIFS('[1]NS Vendor Details'!$D:$D,'[1]NS Vendor Details'!$H:$H,'G&amp;A Vendor x GL Analysis'!H$20,'[1]NS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Analysis'!H$20,'[1]NS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I117" s="17">
        <f>IF(AND(I$15="Actual",ISBLANK($E$8)),SUMIFS('[1]NS Vendor Details'!$D:$D,'[1]NS Vendor Details'!$H:$H,'G&amp;A Vendor x GL Analysis'!I$20,'[1]NS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Analysis'!I$20,'[1]NS Vendor Details'!$L:$L,'G&amp;A Vendor x GL Analysis'!$D117,'[1]NS Vendor Details'!$O:$O,'G&amp;A Vendor x GL Analysis'!$F117,'[1]NS Vendor Details'!$N:$N,"Direct Costs",'[1]NS Vendor Details'!$J:$J,0),IF(I$15="Actual",SUMIFS('[1]NS Vendor Details'!$D:$D,'[1]NS Vendor Details'!$H:$H,'G&amp;A Vendor x GL Analysis'!I$20,'[1]NS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Analysis'!I$20,'[1]NS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J117" s="17">
        <f>IF(AND(J$15="Actual",ISBLANK($E$8)),SUMIFS('[1]NS Vendor Details'!$D:$D,'[1]NS Vendor Details'!$H:$H,'G&amp;A Vendor x GL Analysis'!J$20,'[1]NS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Analysis'!J$20,'[1]NS Vendor Details'!$L:$L,'G&amp;A Vendor x GL Analysis'!$D117,'[1]NS Vendor Details'!$O:$O,'G&amp;A Vendor x GL Analysis'!$F117,'[1]NS Vendor Details'!$N:$N,"Direct Costs",'[1]NS Vendor Details'!$J:$J,0),IF(J$15="Actual",SUMIFS('[1]NS Vendor Details'!$D:$D,'[1]NS Vendor Details'!$H:$H,'G&amp;A Vendor x GL Analysis'!J$20,'[1]NS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Analysis'!J$20,'[1]NS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K117" s="17">
        <f>IF(AND(K$15="Actual",ISBLANK($E$8)),SUMIFS('[1]NS Vendor Details'!$D:$D,'[1]NS Vendor Details'!$H:$H,'G&amp;A Vendor x GL Analysis'!K$20,'[1]NS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Analysis'!K$20,'[1]NS Vendor Details'!$L:$L,'G&amp;A Vendor x GL Analysis'!$D117,'[1]NS Vendor Details'!$O:$O,'G&amp;A Vendor x GL Analysis'!$F117,'[1]NS Vendor Details'!$N:$N,"Direct Costs",'[1]NS Vendor Details'!$J:$J,0),IF(K$15="Actual",SUMIFS('[1]NS Vendor Details'!$D:$D,'[1]NS Vendor Details'!$H:$H,'G&amp;A Vendor x GL Analysis'!K$20,'[1]NS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Analysis'!K$20,'[1]NS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L117" s="17">
        <f>IF(AND(L$15="Actual",ISBLANK($E$8)),SUMIFS('[1]NS Vendor Details'!$D:$D,'[1]NS Vendor Details'!$H:$H,'G&amp;A Vendor x GL Analysis'!L$20,'[1]NS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Analysis'!L$20,'[1]NS Vendor Details'!$L:$L,'G&amp;A Vendor x GL Analysis'!$D117,'[1]NS Vendor Details'!$O:$O,'G&amp;A Vendor x GL Analysis'!$F117,'[1]NS Vendor Details'!$N:$N,"Direct Costs",'[1]NS Vendor Details'!$J:$J,0),IF(L$15="Actual",SUMIFS('[1]NS Vendor Details'!$D:$D,'[1]NS Vendor Details'!$H:$H,'G&amp;A Vendor x GL Analysis'!L$20,'[1]NS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Analysis'!L$20,'[1]NS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M117" s="17">
        <f>IF(AND(M$15="Actual",ISBLANK($E$8)),SUMIFS('[1]NS Vendor Details'!$D:$D,'[1]NS Vendor Details'!$H:$H,'G&amp;A Vendor x GL Analysis'!M$20,'[1]NS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Analysis'!M$20,'[1]NS Vendor Details'!$L:$L,'G&amp;A Vendor x GL Analysis'!$D117,'[1]NS Vendor Details'!$O:$O,'G&amp;A Vendor x GL Analysis'!$F117,'[1]NS Vendor Details'!$N:$N,"Direct Costs",'[1]NS Vendor Details'!$J:$J,0),IF(M$15="Actual",SUMIFS('[1]NS Vendor Details'!$D:$D,'[1]NS Vendor Details'!$H:$H,'G&amp;A Vendor x GL Analysis'!M$20,'[1]NS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Analysis'!M$20,'[1]NS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N117" s="17">
        <f>IF(AND(N$15="Actual",ISBLANK($E$8)),SUMIFS('[1]NS Vendor Details'!$D:$D,'[1]NS Vendor Details'!$H:$H,'G&amp;A Vendor x GL Analysis'!N$20,'[1]NS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Analysis'!N$20,'[1]NS Vendor Details'!$L:$L,'G&amp;A Vendor x GL Analysis'!$D117,'[1]NS Vendor Details'!$O:$O,'G&amp;A Vendor x GL Analysis'!$F117,'[1]NS Vendor Details'!$N:$N,"Direct Costs",'[1]NS Vendor Details'!$J:$J,0),IF(N$15="Actual",SUMIFS('[1]NS Vendor Details'!$D:$D,'[1]NS Vendor Details'!$H:$H,'G&amp;A Vendor x GL Analysis'!N$20,'[1]NS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Analysis'!N$20,'[1]NS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O117" s="17">
        <f>IF(AND(O$15="Actual",ISBLANK($E$8)),SUMIFS('[1]NS Vendor Details'!$D:$D,'[1]NS Vendor Details'!$H:$H,'G&amp;A Vendor x GL Analysis'!O$20,'[1]NS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Analysis'!O$20,'[1]NS Vendor Details'!$L:$L,'G&amp;A Vendor x GL Analysis'!$D117,'[1]NS Vendor Details'!$O:$O,'G&amp;A Vendor x GL Analysis'!$F117,'[1]NS Vendor Details'!$N:$N,"Direct Costs",'[1]NS Vendor Details'!$J:$J,0),IF(O$15="Actual",SUMIFS('[1]NS Vendor Details'!$D:$D,'[1]NS Vendor Details'!$H:$H,'G&amp;A Vendor x GL Analysis'!O$20,'[1]NS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Analysis'!O$20,'[1]NS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P117" s="17">
        <f>IF(AND(P$15="Actual",ISBLANK($E$8)),SUMIFS('[1]NS Vendor Details'!$D:$D,'[1]NS Vendor Details'!$H:$H,'G&amp;A Vendor x GL Analysis'!P$20,'[1]NS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Analysis'!P$20,'[1]NS Vendor Details'!$L:$L,'G&amp;A Vendor x GL Analysis'!$D117,'[1]NS Vendor Details'!$O:$O,'G&amp;A Vendor x GL Analysis'!$F117,'[1]NS Vendor Details'!$N:$N,"Direct Costs",'[1]NS Vendor Details'!$J:$J,0),IF(P$15="Actual",SUMIFS('[1]NS Vendor Details'!$D:$D,'[1]NS Vendor Details'!$H:$H,'G&amp;A Vendor x GL Analysis'!P$20,'[1]NS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Analysis'!P$20,'[1]NS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Q117" s="17">
        <f>IF(AND(Q$15="Actual",ISBLANK($E$8)),SUMIFS('[1]NS Vendor Details'!$D:$D,'[1]NS Vendor Details'!$H:$H,'G&amp;A Vendor x GL Analysis'!Q$20,'[1]NS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Analysis'!Q$20,'[1]NS Vendor Details'!$L:$L,'G&amp;A Vendor x GL Analysis'!$D117,'[1]NS Vendor Details'!$O:$O,'G&amp;A Vendor x GL Analysis'!$F117,'[1]NS Vendor Details'!$N:$N,"Direct Costs",'[1]NS Vendor Details'!$J:$J,0),IF(Q$15="Actual",SUMIFS('[1]NS Vendor Details'!$D:$D,'[1]NS Vendor Details'!$H:$H,'G&amp;A Vendor x GL Analysis'!Q$20,'[1]NS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Analysis'!Q$20,'[1]NS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R117" s="18">
        <f>IF(AND(R$15="Actual",ISBLANK($E$8)),SUMIFS('[1]NS Vendor Details'!$D:$D,'[1]NS Vendor Details'!$H:$H,'G&amp;A Vendor x GL Analysis'!R$20,'[1]NS Vendor Details'!$L:$L,'G&amp;A Vendor x GL Analysis'!$D117,'[1]NS Vendor Details'!$O:$O,'G&amp;A Vendor x GL Analysis'!$F117,'[1]NS Vendor Details'!$N:$N,'G&amp;A Vendor x GL Analysis'!$C117)+SUMIFS('[1]NS Vendor Details'!$D:$D,'[1]NS Vendor Details'!$H:$H,'G&amp;A Vendor x GL Analysis'!R$20,'[1]NS Vendor Details'!$L:$L,'G&amp;A Vendor x GL Analysis'!$D117,'[1]NS Vendor Details'!$O:$O,'G&amp;A Vendor x GL Analysis'!$F117,'[1]NS Vendor Details'!$N:$N,"Direct Costs",'[1]NS Vendor Details'!$J:$J,0),IF(R$15="Actual",SUMIFS('[1]NS Vendor Details'!$D:$D,'[1]NS Vendor Details'!$H:$H,'G&amp;A Vendor x GL Analysis'!R$20,'[1]NS Vendor Details'!$L:$L,'G&amp;A Vendor x GL Analysis'!$D117,'[1]NS Vendor Details'!$O:$O,'G&amp;A Vendor x GL Analysis'!$F117,'[1]NS Vendor Details'!$N:$N,'G&amp;A Vendor x GL Analysis'!$C117,'[1]NS Vendor Details'!$K:$K,'G&amp;A Vendor x GL Analysis'!$E$8)+SUMIFS('[1]NS Vendor Details'!$D:$D,'[1]NS Vendor Details'!$H:$H,'G&amp;A Vendor x GL Analysis'!R$20,'[1]NS Vendor Details'!$L:$L,'G&amp;A Vendor x GL Analysis'!$D117,'[1]NS Vendor Details'!$O:$O,'G&amp;A Vendor x GL Analysis'!$F117,'[1]NS Vendor Details'!$N:$N,"Direct Costs",'[1]NS Vendor Details'!$J:$J,0,'[1]NS Vendor Details'!$K:$K,'G&amp;A Vendor x GL Analysis'!$E$8),0))</f>
        <v>0</v>
      </c>
      <c r="S117" s="16">
        <f>IF(AND(S$15="Actual",ISBLANK($E$8)),SUMIFS('[1]NS Vendor Details'!$D:$D,'[1]NS Vendor Details'!$H:$H,'G&amp;A Vendor x GL Analysis'!S$20,'[1]NS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Analysis'!S$20,'[1]NS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Analysis'!$E117),IF(S$15="Actual",SUMIFS('[1]NS Vendor Details'!$D:$D,'[1]NS Vendor Details'!$H:$H,'G&amp;A Vendor x GL Analysis'!S$20,'[1]NS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Analysis'!S$20,'[1]NS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T117" s="17">
        <f>IF(AND(T$15="Actual",ISBLANK($E$8)),SUMIFS('[1]NS Vendor Details'!$D:$D,'[1]NS Vendor Details'!$H:$H,'G&amp;A Vendor x GL Analysis'!T$20,'[1]NS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Analysis'!T$20,'[1]NS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Analysis'!$E117),IF(T$15="Actual",SUMIFS('[1]NS Vendor Details'!$D:$D,'[1]NS Vendor Details'!$H:$H,'G&amp;A Vendor x GL Analysis'!T$20,'[1]NS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Analysis'!T$20,'[1]NS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U117" s="17">
        <f>IF(AND(U$15="Actual",ISBLANK($E$8)),SUMIFS('[1]NS Vendor Details'!$D:$D,'[1]NS Vendor Details'!$H:$H,'G&amp;A Vendor x GL Analysis'!U$20,'[1]NS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Analysis'!U$20,'[1]NS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Analysis'!$E117),IF(U$15="Actual",SUMIFS('[1]NS Vendor Details'!$D:$D,'[1]NS Vendor Details'!$H:$H,'G&amp;A Vendor x GL Analysis'!U$20,'[1]NS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Analysis'!U$20,'[1]NS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V117" s="17">
        <f>IF(AND(V$15="Actual",ISBLANK($E$8)),SUMIFS('[1]NS Vendor Details'!$D:$D,'[1]NS Vendor Details'!$H:$H,'G&amp;A Vendor x GL Analysis'!V$20,'[1]NS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Analysis'!V$20,'[1]NS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Analysis'!$E117),IF(V$15="Actual",SUMIFS('[1]NS Vendor Details'!$D:$D,'[1]NS Vendor Details'!$H:$H,'G&amp;A Vendor x GL Analysis'!V$20,'[1]NS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Analysis'!V$20,'[1]NS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W117" s="17">
        <f>IF(AND(W$15="Actual",ISBLANK($E$8)),SUMIFS('[1]NS Vendor Details'!$D:$D,'[1]NS Vendor Details'!$H:$H,'G&amp;A Vendor x GL Analysis'!W$20,'[1]NS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Analysis'!W$20,'[1]NS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Analysis'!$E117),IF(W$15="Actual",SUMIFS('[1]NS Vendor Details'!$D:$D,'[1]NS Vendor Details'!$H:$H,'G&amp;A Vendor x GL Analysis'!W$20,'[1]NS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Analysis'!W$20,'[1]NS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X117" s="17">
        <f>IF(AND(X$15="Actual",ISBLANK($E$8)),SUMIFS('[1]NS Vendor Details'!$D:$D,'[1]NS Vendor Details'!$H:$H,'G&amp;A Vendor x GL Analysis'!X$20,'[1]NS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Analysis'!X$20,'[1]NS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Analysis'!$E117),IF(X$15="Actual",SUMIFS('[1]NS Vendor Details'!$D:$D,'[1]NS Vendor Details'!$H:$H,'G&amp;A Vendor x GL Analysis'!X$20,'[1]NS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Analysis'!X$20,'[1]NS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4.16</v>
      </c>
      <c r="Y117" s="17">
        <f>IF(AND(Y$15="Actual",ISBLANK($E$8)),SUMIFS('[1]NS Vendor Details'!$D:$D,'[1]NS Vendor Details'!$H:$H,'G&amp;A Vendor x GL Analysis'!Y$20,'[1]NS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Analysis'!Y$20,'[1]NS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Analysis'!$E117),IF(Y$15="Actual",SUMIFS('[1]NS Vendor Details'!$D:$D,'[1]NS Vendor Details'!$H:$H,'G&amp;A Vendor x GL Analysis'!Y$20,'[1]NS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Analysis'!Y$20,'[1]NS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Z117" s="17">
        <f>IF(AND(Z$15="Actual",ISBLANK($E$8)),SUMIFS('[1]NS Vendor Details'!$D:$D,'[1]NS Vendor Details'!$H:$H,'G&amp;A Vendor x GL Analysis'!Z$20,'[1]NS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Analysis'!Z$20,'[1]NS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Analysis'!$E117),IF(Z$15="Actual",SUMIFS('[1]NS Vendor Details'!$D:$D,'[1]NS Vendor Details'!$H:$H,'G&amp;A Vendor x GL Analysis'!Z$20,'[1]NS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Analysis'!Z$20,'[1]NS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AA117" s="17">
        <f>IF(AND(AA$15="Actual",ISBLANK($E$8)),SUMIFS('[1]NS Vendor Details'!$D:$D,'[1]NS Vendor Details'!$H:$H,'G&amp;A Vendor x GL Analysis'!AA$20,'[1]NS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Analysis'!AA$20,'[1]NS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Analysis'!$E117),IF(AA$15="Actual",SUMIFS('[1]NS Vendor Details'!$D:$D,'[1]NS Vendor Details'!$H:$H,'G&amp;A Vendor x GL Analysis'!AA$20,'[1]NS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Analysis'!AA$20,'[1]NS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AB117" s="17">
        <f>IF(AND(AB$15="Actual",ISBLANK($E$8)),SUMIFS('[1]NS Vendor Details'!$D:$D,'[1]NS Vendor Details'!$H:$H,'G&amp;A Vendor x GL Analysis'!AB$20,'[1]NS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Analysis'!AB$20,'[1]NS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Analysis'!$E117),IF(AB$15="Actual",SUMIFS('[1]NS Vendor Details'!$D:$D,'[1]NS Vendor Details'!$H:$H,'G&amp;A Vendor x GL Analysis'!AB$20,'[1]NS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Analysis'!AB$20,'[1]NS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AC117" s="18">
        <f>IF(AND(AC$15="Actual",ISBLANK($E$8)),SUMIFS('[1]NS Vendor Details'!$D:$D,'[1]NS Vendor Details'!$H:$H,'G&amp;A Vendor x GL Analysis'!AC$20,'[1]NS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Analysis'!AC$20,'[1]NS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Analysis'!$E117),IF(AC$15="Actual",SUMIFS('[1]NS Vendor Details'!$D:$D,'[1]NS Vendor Details'!$H:$H,'G&amp;A Vendor x GL Analysis'!AC$20,'[1]NS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Analysis'!AC$20,'[1]NS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AD117" s="18">
        <f>IF(AND(AD$15="Actual",ISBLANK($E$8)),SUMIFS('[1]NS Vendor Details'!$D:$D,'[1]NS Vendor Details'!$H:$H,'G&amp;A Vendor x GL Analysis'!AD$20,'[1]NS Vendor Details'!$L:$L,'G&amp;A Vendor x GL Analysis'!$D117,'[1]NS Vendor Details'!$O:$O,'G&amp;A Vendor x GL Analysis'!$F117,'[1]NS Vendor Details'!$N:$N,'G&amp;A Vendor x GL Analysis'!$C117,'[1]NS Vendor Details'!$I:$I,'G&amp;A Vendor x GL Analysis'!$E117)+SUMIFS('[1]NS Vendor Details'!$D:$D,'[1]NS Vendor Details'!$H:$H,'G&amp;A Vendor x GL Analysis'!AD$20,'[1]NS Vendor Details'!$L:$L,'G&amp;A Vendor x GL Analysis'!$D117,'[1]NS Vendor Details'!$O:$O,'G&amp;A Vendor x GL Analysis'!$F117,'[1]NS Vendor Details'!$N:$N,"Direct Costs",'[1]NS Vendor Details'!$J:$J,0,'[1]NS Vendor Details'!$I:$I,'G&amp;A Vendor x GL Analysis'!$E117),IF(AD$15="Actual",SUMIFS('[1]NS Vendor Details'!$D:$D,'[1]NS Vendor Details'!$H:$H,'G&amp;A Vendor x GL Analysis'!AD$20,'[1]NS Vendor Details'!$L:$L,'G&amp;A Vendor x GL Analysis'!$D117,'[1]NS Vendor Details'!$O:$O,'G&amp;A Vendor x GL Analysis'!$F117,'[1]NS Vendor Details'!$N:$N,'G&amp;A Vendor x GL Analysis'!$C117,'[1]NS Vendor Details'!$K:$K,'G&amp;A Vendor x GL Analysis'!$E$8,'[1]NS Vendor Details'!$I:$I,'G&amp;A Vendor x GL Analysis'!$E117)+SUMIFS('[1]NS Vendor Details'!$D:$D,'[1]NS Vendor Details'!$H:$H,'G&amp;A Vendor x GL Analysis'!AD$20,'[1]NS Vendor Details'!$L:$L,'G&amp;A Vendor x GL Analysis'!$D117,'[1]NS Vendor Details'!$O:$O,'G&amp;A Vendor x GL Analysis'!$F117,'[1]NS Vendor Details'!$N:$N,"Direct Costs",'[1]NS Vendor Details'!$J:$J,0,'[1]NS Vendor Details'!$K:$K,'G&amp;A Vendor x GL Analysis'!$E$8,'[1]NS Vendor Details'!$I:$I,'G&amp;A Vendor x GL Analysis'!$E117),0))</f>
        <v>0</v>
      </c>
      <c r="AF117" s="19">
        <f t="shared" si="23"/>
        <v>4.16</v>
      </c>
    </row>
    <row r="118" spans="1:32" outlineLevel="1">
      <c r="A118" s="8" t="str">
        <f t="shared" si="22"/>
        <v>Professional Service6393 - Software</v>
      </c>
      <c r="C118" s="8" t="s">
        <v>11</v>
      </c>
      <c r="D118" s="8" t="str">
        <f t="shared" si="21"/>
        <v>Professional Service</v>
      </c>
      <c r="E118" s="2" t="s">
        <v>101</v>
      </c>
      <c r="F118" s="2" t="s">
        <v>111</v>
      </c>
      <c r="G118" s="16">
        <f>IF(AND(G$15="Actual",ISBLANK($E$8)),SUMIFS('[1]NS Vendor Details'!$D:$D,'[1]NS Vendor Details'!$H:$H,'G&amp;A Vendor x GL Analysis'!G$20,'[1]NS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Analysis'!G$20,'[1]NS Vendor Details'!$L:$L,'G&amp;A Vendor x GL Analysis'!$D118,'[1]NS Vendor Details'!$O:$O,'G&amp;A Vendor x GL Analysis'!$F118,'[1]NS Vendor Details'!$N:$N,"Direct Costs",'[1]NS Vendor Details'!$J:$J,0),IF(G$15="Actual",SUMIFS('[1]NS Vendor Details'!$D:$D,'[1]NS Vendor Details'!$H:$H,'G&amp;A Vendor x GL Analysis'!G$20,'[1]NS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Analysis'!G$20,'[1]NS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H118" s="17">
        <f>IF(AND(H$15="Actual",ISBLANK($E$8)),SUMIFS('[1]NS Vendor Details'!$D:$D,'[1]NS Vendor Details'!$H:$H,'G&amp;A Vendor x GL Analysis'!H$20,'[1]NS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Analysis'!H$20,'[1]NS Vendor Details'!$L:$L,'G&amp;A Vendor x GL Analysis'!$D118,'[1]NS Vendor Details'!$O:$O,'G&amp;A Vendor x GL Analysis'!$F118,'[1]NS Vendor Details'!$N:$N,"Direct Costs",'[1]NS Vendor Details'!$J:$J,0),IF(H$15="Actual",SUMIFS('[1]NS Vendor Details'!$D:$D,'[1]NS Vendor Details'!$H:$H,'G&amp;A Vendor x GL Analysis'!H$20,'[1]NS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Analysis'!H$20,'[1]NS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I118" s="17">
        <f>IF(AND(I$15="Actual",ISBLANK($E$8)),SUMIFS('[1]NS Vendor Details'!$D:$D,'[1]NS Vendor Details'!$H:$H,'G&amp;A Vendor x GL Analysis'!I$20,'[1]NS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Analysis'!I$20,'[1]NS Vendor Details'!$L:$L,'G&amp;A Vendor x GL Analysis'!$D118,'[1]NS Vendor Details'!$O:$O,'G&amp;A Vendor x GL Analysis'!$F118,'[1]NS Vendor Details'!$N:$N,"Direct Costs",'[1]NS Vendor Details'!$J:$J,0),IF(I$15="Actual",SUMIFS('[1]NS Vendor Details'!$D:$D,'[1]NS Vendor Details'!$H:$H,'G&amp;A Vendor x GL Analysis'!I$20,'[1]NS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Analysis'!I$20,'[1]NS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J118" s="17">
        <f>IF(AND(J$15="Actual",ISBLANK($E$8)),SUMIFS('[1]NS Vendor Details'!$D:$D,'[1]NS Vendor Details'!$H:$H,'G&amp;A Vendor x GL Analysis'!J$20,'[1]NS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Analysis'!J$20,'[1]NS Vendor Details'!$L:$L,'G&amp;A Vendor x GL Analysis'!$D118,'[1]NS Vendor Details'!$O:$O,'G&amp;A Vendor x GL Analysis'!$F118,'[1]NS Vendor Details'!$N:$N,"Direct Costs",'[1]NS Vendor Details'!$J:$J,0),IF(J$15="Actual",SUMIFS('[1]NS Vendor Details'!$D:$D,'[1]NS Vendor Details'!$H:$H,'G&amp;A Vendor x GL Analysis'!J$20,'[1]NS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Analysis'!J$20,'[1]NS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K118" s="17">
        <f>IF(AND(K$15="Actual",ISBLANK($E$8)),SUMIFS('[1]NS Vendor Details'!$D:$D,'[1]NS Vendor Details'!$H:$H,'G&amp;A Vendor x GL Analysis'!K$20,'[1]NS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Analysis'!K$20,'[1]NS Vendor Details'!$L:$L,'G&amp;A Vendor x GL Analysis'!$D118,'[1]NS Vendor Details'!$O:$O,'G&amp;A Vendor x GL Analysis'!$F118,'[1]NS Vendor Details'!$N:$N,"Direct Costs",'[1]NS Vendor Details'!$J:$J,0),IF(K$15="Actual",SUMIFS('[1]NS Vendor Details'!$D:$D,'[1]NS Vendor Details'!$H:$H,'G&amp;A Vendor x GL Analysis'!K$20,'[1]NS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Analysis'!K$20,'[1]NS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L118" s="17">
        <f>IF(AND(L$15="Actual",ISBLANK($E$8)),SUMIFS('[1]NS Vendor Details'!$D:$D,'[1]NS Vendor Details'!$H:$H,'G&amp;A Vendor x GL Analysis'!L$20,'[1]NS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Analysis'!L$20,'[1]NS Vendor Details'!$L:$L,'G&amp;A Vendor x GL Analysis'!$D118,'[1]NS Vendor Details'!$O:$O,'G&amp;A Vendor x GL Analysis'!$F118,'[1]NS Vendor Details'!$N:$N,"Direct Costs",'[1]NS Vendor Details'!$J:$J,0),IF(L$15="Actual",SUMIFS('[1]NS Vendor Details'!$D:$D,'[1]NS Vendor Details'!$H:$H,'G&amp;A Vendor x GL Analysis'!L$20,'[1]NS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Analysis'!L$20,'[1]NS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M118" s="17">
        <f>IF(AND(M$15="Actual",ISBLANK($E$8)),SUMIFS('[1]NS Vendor Details'!$D:$D,'[1]NS Vendor Details'!$H:$H,'G&amp;A Vendor x GL Analysis'!M$20,'[1]NS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Analysis'!M$20,'[1]NS Vendor Details'!$L:$L,'G&amp;A Vendor x GL Analysis'!$D118,'[1]NS Vendor Details'!$O:$O,'G&amp;A Vendor x GL Analysis'!$F118,'[1]NS Vendor Details'!$N:$N,"Direct Costs",'[1]NS Vendor Details'!$J:$J,0),IF(M$15="Actual",SUMIFS('[1]NS Vendor Details'!$D:$D,'[1]NS Vendor Details'!$H:$H,'G&amp;A Vendor x GL Analysis'!M$20,'[1]NS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Analysis'!M$20,'[1]NS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N118" s="17">
        <f>IF(AND(N$15="Actual",ISBLANK($E$8)),SUMIFS('[1]NS Vendor Details'!$D:$D,'[1]NS Vendor Details'!$H:$H,'G&amp;A Vendor x GL Analysis'!N$20,'[1]NS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Analysis'!N$20,'[1]NS Vendor Details'!$L:$L,'G&amp;A Vendor x GL Analysis'!$D118,'[1]NS Vendor Details'!$O:$O,'G&amp;A Vendor x GL Analysis'!$F118,'[1]NS Vendor Details'!$N:$N,"Direct Costs",'[1]NS Vendor Details'!$J:$J,0),IF(N$15="Actual",SUMIFS('[1]NS Vendor Details'!$D:$D,'[1]NS Vendor Details'!$H:$H,'G&amp;A Vendor x GL Analysis'!N$20,'[1]NS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Analysis'!N$20,'[1]NS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O118" s="17">
        <f>IF(AND(O$15="Actual",ISBLANK($E$8)),SUMIFS('[1]NS Vendor Details'!$D:$D,'[1]NS Vendor Details'!$H:$H,'G&amp;A Vendor x GL Analysis'!O$20,'[1]NS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Analysis'!O$20,'[1]NS Vendor Details'!$L:$L,'G&amp;A Vendor x GL Analysis'!$D118,'[1]NS Vendor Details'!$O:$O,'G&amp;A Vendor x GL Analysis'!$F118,'[1]NS Vendor Details'!$N:$N,"Direct Costs",'[1]NS Vendor Details'!$J:$J,0),IF(O$15="Actual",SUMIFS('[1]NS Vendor Details'!$D:$D,'[1]NS Vendor Details'!$H:$H,'G&amp;A Vendor x GL Analysis'!O$20,'[1]NS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Analysis'!O$20,'[1]NS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P118" s="17">
        <f>IF(AND(P$15="Actual",ISBLANK($E$8)),SUMIFS('[1]NS Vendor Details'!$D:$D,'[1]NS Vendor Details'!$H:$H,'G&amp;A Vendor x GL Analysis'!P$20,'[1]NS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Analysis'!P$20,'[1]NS Vendor Details'!$L:$L,'G&amp;A Vendor x GL Analysis'!$D118,'[1]NS Vendor Details'!$O:$O,'G&amp;A Vendor x GL Analysis'!$F118,'[1]NS Vendor Details'!$N:$N,"Direct Costs",'[1]NS Vendor Details'!$J:$J,0),IF(P$15="Actual",SUMIFS('[1]NS Vendor Details'!$D:$D,'[1]NS Vendor Details'!$H:$H,'G&amp;A Vendor x GL Analysis'!P$20,'[1]NS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Analysis'!P$20,'[1]NS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Q118" s="17">
        <f>IF(AND(Q$15="Actual",ISBLANK($E$8)),SUMIFS('[1]NS Vendor Details'!$D:$D,'[1]NS Vendor Details'!$H:$H,'G&amp;A Vendor x GL Analysis'!Q$20,'[1]NS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Analysis'!Q$20,'[1]NS Vendor Details'!$L:$L,'G&amp;A Vendor x GL Analysis'!$D118,'[1]NS Vendor Details'!$O:$O,'G&amp;A Vendor x GL Analysis'!$F118,'[1]NS Vendor Details'!$N:$N,"Direct Costs",'[1]NS Vendor Details'!$J:$J,0),IF(Q$15="Actual",SUMIFS('[1]NS Vendor Details'!$D:$D,'[1]NS Vendor Details'!$H:$H,'G&amp;A Vendor x GL Analysis'!Q$20,'[1]NS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Analysis'!Q$20,'[1]NS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R118" s="18">
        <f>IF(AND(R$15="Actual",ISBLANK($E$8)),SUMIFS('[1]NS Vendor Details'!$D:$D,'[1]NS Vendor Details'!$H:$H,'G&amp;A Vendor x GL Analysis'!R$20,'[1]NS Vendor Details'!$L:$L,'G&amp;A Vendor x GL Analysis'!$D118,'[1]NS Vendor Details'!$O:$O,'G&amp;A Vendor x GL Analysis'!$F118,'[1]NS Vendor Details'!$N:$N,'G&amp;A Vendor x GL Analysis'!$C118)+SUMIFS('[1]NS Vendor Details'!$D:$D,'[1]NS Vendor Details'!$H:$H,'G&amp;A Vendor x GL Analysis'!R$20,'[1]NS Vendor Details'!$L:$L,'G&amp;A Vendor x GL Analysis'!$D118,'[1]NS Vendor Details'!$O:$O,'G&amp;A Vendor x GL Analysis'!$F118,'[1]NS Vendor Details'!$N:$N,"Direct Costs",'[1]NS Vendor Details'!$J:$J,0),IF(R$15="Actual",SUMIFS('[1]NS Vendor Details'!$D:$D,'[1]NS Vendor Details'!$H:$H,'G&amp;A Vendor x GL Analysis'!R$20,'[1]NS Vendor Details'!$L:$L,'G&amp;A Vendor x GL Analysis'!$D118,'[1]NS Vendor Details'!$O:$O,'G&amp;A Vendor x GL Analysis'!$F118,'[1]NS Vendor Details'!$N:$N,'G&amp;A Vendor x GL Analysis'!$C118,'[1]NS Vendor Details'!$K:$K,'G&amp;A Vendor x GL Analysis'!$E$8)+SUMIFS('[1]NS Vendor Details'!$D:$D,'[1]NS Vendor Details'!$H:$H,'G&amp;A Vendor x GL Analysis'!R$20,'[1]NS Vendor Details'!$L:$L,'G&amp;A Vendor x GL Analysis'!$D118,'[1]NS Vendor Details'!$O:$O,'G&amp;A Vendor x GL Analysis'!$F118,'[1]NS Vendor Details'!$N:$N,"Direct Costs",'[1]NS Vendor Details'!$J:$J,0,'[1]NS Vendor Details'!$K:$K,'G&amp;A Vendor x GL Analysis'!$E$8),0))</f>
        <v>0</v>
      </c>
      <c r="S118" s="16">
        <f>IF(AND(S$15="Actual",ISBLANK($E$8)),SUMIFS('[1]NS Vendor Details'!$D:$D,'[1]NS Vendor Details'!$H:$H,'G&amp;A Vendor x GL Analysis'!S$20,'[1]NS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Analysis'!S$20,'[1]NS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Analysis'!$E118),IF(S$15="Actual",SUMIFS('[1]NS Vendor Details'!$D:$D,'[1]NS Vendor Details'!$H:$H,'G&amp;A Vendor x GL Analysis'!S$20,'[1]NS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Analysis'!S$20,'[1]NS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30</v>
      </c>
      <c r="T118" s="17">
        <f>IF(AND(T$15="Actual",ISBLANK($E$8)),SUMIFS('[1]NS Vendor Details'!$D:$D,'[1]NS Vendor Details'!$H:$H,'G&amp;A Vendor x GL Analysis'!T$20,'[1]NS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Analysis'!T$20,'[1]NS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Analysis'!$E118),IF(T$15="Actual",SUMIFS('[1]NS Vendor Details'!$D:$D,'[1]NS Vendor Details'!$H:$H,'G&amp;A Vendor x GL Analysis'!T$20,'[1]NS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Analysis'!T$20,'[1]NS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30</v>
      </c>
      <c r="U118" s="17">
        <f>IF(AND(U$15="Actual",ISBLANK($E$8)),SUMIFS('[1]NS Vendor Details'!$D:$D,'[1]NS Vendor Details'!$H:$H,'G&amp;A Vendor x GL Analysis'!U$20,'[1]NS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Analysis'!U$20,'[1]NS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Analysis'!$E118),IF(U$15="Actual",SUMIFS('[1]NS Vendor Details'!$D:$D,'[1]NS Vendor Details'!$H:$H,'G&amp;A Vendor x GL Analysis'!U$20,'[1]NS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Analysis'!U$20,'[1]NS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30</v>
      </c>
      <c r="V118" s="17">
        <f>IF(AND(V$15="Actual",ISBLANK($E$8)),SUMIFS('[1]NS Vendor Details'!$D:$D,'[1]NS Vendor Details'!$H:$H,'G&amp;A Vendor x GL Analysis'!V$20,'[1]NS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Analysis'!V$20,'[1]NS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Analysis'!$E118),IF(V$15="Actual",SUMIFS('[1]NS Vendor Details'!$D:$D,'[1]NS Vendor Details'!$H:$H,'G&amp;A Vendor x GL Analysis'!V$20,'[1]NS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Analysis'!V$20,'[1]NS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W118" s="17">
        <f>IF(AND(W$15="Actual",ISBLANK($E$8)),SUMIFS('[1]NS Vendor Details'!$D:$D,'[1]NS Vendor Details'!$H:$H,'G&amp;A Vendor x GL Analysis'!W$20,'[1]NS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Analysis'!W$20,'[1]NS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Analysis'!$E118),IF(W$15="Actual",SUMIFS('[1]NS Vendor Details'!$D:$D,'[1]NS Vendor Details'!$H:$H,'G&amp;A Vendor x GL Analysis'!W$20,'[1]NS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Analysis'!W$20,'[1]NS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X118" s="17">
        <f>IF(AND(X$15="Actual",ISBLANK($E$8)),SUMIFS('[1]NS Vendor Details'!$D:$D,'[1]NS Vendor Details'!$H:$H,'G&amp;A Vendor x GL Analysis'!X$20,'[1]NS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Analysis'!X$20,'[1]NS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Analysis'!$E118),IF(X$15="Actual",SUMIFS('[1]NS Vendor Details'!$D:$D,'[1]NS Vendor Details'!$H:$H,'G&amp;A Vendor x GL Analysis'!X$20,'[1]NS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Analysis'!X$20,'[1]NS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Y118" s="17">
        <f>IF(AND(Y$15="Actual",ISBLANK($E$8)),SUMIFS('[1]NS Vendor Details'!$D:$D,'[1]NS Vendor Details'!$H:$H,'G&amp;A Vendor x GL Analysis'!Y$20,'[1]NS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Analysis'!Y$20,'[1]NS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Analysis'!$E118),IF(Y$15="Actual",SUMIFS('[1]NS Vendor Details'!$D:$D,'[1]NS Vendor Details'!$H:$H,'G&amp;A Vendor x GL Analysis'!Y$20,'[1]NS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Analysis'!Y$20,'[1]NS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Z118" s="17">
        <f>IF(AND(Z$15="Actual",ISBLANK($E$8)),SUMIFS('[1]NS Vendor Details'!$D:$D,'[1]NS Vendor Details'!$H:$H,'G&amp;A Vendor x GL Analysis'!Z$20,'[1]NS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Analysis'!Z$20,'[1]NS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Analysis'!$E118),IF(Z$15="Actual",SUMIFS('[1]NS Vendor Details'!$D:$D,'[1]NS Vendor Details'!$H:$H,'G&amp;A Vendor x GL Analysis'!Z$20,'[1]NS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Analysis'!Z$20,'[1]NS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AA118" s="17">
        <f>IF(AND(AA$15="Actual",ISBLANK($E$8)),SUMIFS('[1]NS Vendor Details'!$D:$D,'[1]NS Vendor Details'!$H:$H,'G&amp;A Vendor x GL Analysis'!AA$20,'[1]NS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Analysis'!AA$20,'[1]NS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Analysis'!$E118),IF(AA$15="Actual",SUMIFS('[1]NS Vendor Details'!$D:$D,'[1]NS Vendor Details'!$H:$H,'G&amp;A Vendor x GL Analysis'!AA$20,'[1]NS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Analysis'!AA$20,'[1]NS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AB118" s="17">
        <f>IF(AND(AB$15="Actual",ISBLANK($E$8)),SUMIFS('[1]NS Vendor Details'!$D:$D,'[1]NS Vendor Details'!$H:$H,'G&amp;A Vendor x GL Analysis'!AB$20,'[1]NS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Analysis'!AB$20,'[1]NS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Analysis'!$E118),IF(AB$15="Actual",SUMIFS('[1]NS Vendor Details'!$D:$D,'[1]NS Vendor Details'!$H:$H,'G&amp;A Vendor x GL Analysis'!AB$20,'[1]NS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Analysis'!AB$20,'[1]NS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AC118" s="18">
        <f>IF(AND(AC$15="Actual",ISBLANK($E$8)),SUMIFS('[1]NS Vendor Details'!$D:$D,'[1]NS Vendor Details'!$H:$H,'G&amp;A Vendor x GL Analysis'!AC$20,'[1]NS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Analysis'!AC$20,'[1]NS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Analysis'!$E118),IF(AC$15="Actual",SUMIFS('[1]NS Vendor Details'!$D:$D,'[1]NS Vendor Details'!$H:$H,'G&amp;A Vendor x GL Analysis'!AC$20,'[1]NS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Analysis'!AC$20,'[1]NS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AD118" s="18">
        <f>IF(AND(AD$15="Actual",ISBLANK($E$8)),SUMIFS('[1]NS Vendor Details'!$D:$D,'[1]NS Vendor Details'!$H:$H,'G&amp;A Vendor x GL Analysis'!AD$20,'[1]NS Vendor Details'!$L:$L,'G&amp;A Vendor x GL Analysis'!$D118,'[1]NS Vendor Details'!$O:$O,'G&amp;A Vendor x GL Analysis'!$F118,'[1]NS Vendor Details'!$N:$N,'G&amp;A Vendor x GL Analysis'!$C118,'[1]NS Vendor Details'!$I:$I,'G&amp;A Vendor x GL Analysis'!$E118)+SUMIFS('[1]NS Vendor Details'!$D:$D,'[1]NS Vendor Details'!$H:$H,'G&amp;A Vendor x GL Analysis'!AD$20,'[1]NS Vendor Details'!$L:$L,'G&amp;A Vendor x GL Analysis'!$D118,'[1]NS Vendor Details'!$O:$O,'G&amp;A Vendor x GL Analysis'!$F118,'[1]NS Vendor Details'!$N:$N,"Direct Costs",'[1]NS Vendor Details'!$J:$J,0,'[1]NS Vendor Details'!$I:$I,'G&amp;A Vendor x GL Analysis'!$E118),IF(AD$15="Actual",SUMIFS('[1]NS Vendor Details'!$D:$D,'[1]NS Vendor Details'!$H:$H,'G&amp;A Vendor x GL Analysis'!AD$20,'[1]NS Vendor Details'!$L:$L,'G&amp;A Vendor x GL Analysis'!$D118,'[1]NS Vendor Details'!$O:$O,'G&amp;A Vendor x GL Analysis'!$F118,'[1]NS Vendor Details'!$N:$N,'G&amp;A Vendor x GL Analysis'!$C118,'[1]NS Vendor Details'!$K:$K,'G&amp;A Vendor x GL Analysis'!$E$8,'[1]NS Vendor Details'!$I:$I,'G&amp;A Vendor x GL Analysis'!$E118)+SUMIFS('[1]NS Vendor Details'!$D:$D,'[1]NS Vendor Details'!$H:$H,'G&amp;A Vendor x GL Analysis'!AD$20,'[1]NS Vendor Details'!$L:$L,'G&amp;A Vendor x GL Analysis'!$D118,'[1]NS Vendor Details'!$O:$O,'G&amp;A Vendor x GL Analysis'!$F118,'[1]NS Vendor Details'!$N:$N,"Direct Costs",'[1]NS Vendor Details'!$J:$J,0,'[1]NS Vendor Details'!$K:$K,'G&amp;A Vendor x GL Analysis'!$E$8,'[1]NS Vendor Details'!$I:$I,'G&amp;A Vendor x GL Analysis'!$E118),0))</f>
        <v>0</v>
      </c>
      <c r="AF118" s="19">
        <f t="shared" si="23"/>
        <v>90</v>
      </c>
    </row>
    <row r="119" spans="1:32" outlineLevel="1">
      <c r="A119" s="8" t="str">
        <f t="shared" si="22"/>
        <v>Professional Service6393 - Software</v>
      </c>
      <c r="C119" s="8" t="s">
        <v>11</v>
      </c>
      <c r="D119" s="8" t="str">
        <f t="shared" si="21"/>
        <v>Professional Service</v>
      </c>
      <c r="E119" s="2" t="s">
        <v>101</v>
      </c>
      <c r="F119" s="2" t="s">
        <v>112</v>
      </c>
      <c r="G119" s="16">
        <f>IF(AND(G$15="Actual",ISBLANK($E$8)),SUMIFS('[1]NS Vendor Details'!$D:$D,'[1]NS Vendor Details'!$H:$H,'G&amp;A Vendor x GL Analysis'!G$20,'[1]NS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Analysis'!G$20,'[1]NS Vendor Details'!$L:$L,'G&amp;A Vendor x GL Analysis'!$D119,'[1]NS Vendor Details'!$O:$O,'G&amp;A Vendor x GL Analysis'!$F119,'[1]NS Vendor Details'!$N:$N,"Direct Costs",'[1]NS Vendor Details'!$J:$J,0),IF(G$15="Actual",SUMIFS('[1]NS Vendor Details'!$D:$D,'[1]NS Vendor Details'!$H:$H,'G&amp;A Vendor x GL Analysis'!G$20,'[1]NS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Analysis'!G$20,'[1]NS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0</v>
      </c>
      <c r="H119" s="17">
        <f>IF(AND(H$15="Actual",ISBLANK($E$8)),SUMIFS('[1]NS Vendor Details'!$D:$D,'[1]NS Vendor Details'!$H:$H,'G&amp;A Vendor x GL Analysis'!H$20,'[1]NS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Analysis'!H$20,'[1]NS Vendor Details'!$L:$L,'G&amp;A Vendor x GL Analysis'!$D119,'[1]NS Vendor Details'!$O:$O,'G&amp;A Vendor x GL Analysis'!$F119,'[1]NS Vendor Details'!$N:$N,"Direct Costs",'[1]NS Vendor Details'!$J:$J,0),IF(H$15="Actual",SUMIFS('[1]NS Vendor Details'!$D:$D,'[1]NS Vendor Details'!$H:$H,'G&amp;A Vendor x GL Analysis'!H$20,'[1]NS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Analysis'!H$20,'[1]NS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0</v>
      </c>
      <c r="I119" s="17">
        <f>IF(AND(I$15="Actual",ISBLANK($E$8)),SUMIFS('[1]NS Vendor Details'!$D:$D,'[1]NS Vendor Details'!$H:$H,'G&amp;A Vendor x GL Analysis'!I$20,'[1]NS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Analysis'!I$20,'[1]NS Vendor Details'!$L:$L,'G&amp;A Vendor x GL Analysis'!$D119,'[1]NS Vendor Details'!$O:$O,'G&amp;A Vendor x GL Analysis'!$F119,'[1]NS Vendor Details'!$N:$N,"Direct Costs",'[1]NS Vendor Details'!$J:$J,0),IF(I$15="Actual",SUMIFS('[1]NS Vendor Details'!$D:$D,'[1]NS Vendor Details'!$H:$H,'G&amp;A Vendor x GL Analysis'!I$20,'[1]NS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Analysis'!I$20,'[1]NS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0</v>
      </c>
      <c r="J119" s="17">
        <f>IF(AND(J$15="Actual",ISBLANK($E$8)),SUMIFS('[1]NS Vendor Details'!$D:$D,'[1]NS Vendor Details'!$H:$H,'G&amp;A Vendor x GL Analysis'!J$20,'[1]NS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Analysis'!J$20,'[1]NS Vendor Details'!$L:$L,'G&amp;A Vendor x GL Analysis'!$D119,'[1]NS Vendor Details'!$O:$O,'G&amp;A Vendor x GL Analysis'!$F119,'[1]NS Vendor Details'!$N:$N,"Direct Costs",'[1]NS Vendor Details'!$J:$J,0),IF(J$15="Actual",SUMIFS('[1]NS Vendor Details'!$D:$D,'[1]NS Vendor Details'!$H:$H,'G&amp;A Vendor x GL Analysis'!J$20,'[1]NS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Analysis'!J$20,'[1]NS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0</v>
      </c>
      <c r="K119" s="17">
        <f>IF(AND(K$15="Actual",ISBLANK($E$8)),SUMIFS('[1]NS Vendor Details'!$D:$D,'[1]NS Vendor Details'!$H:$H,'G&amp;A Vendor x GL Analysis'!K$20,'[1]NS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Analysis'!K$20,'[1]NS Vendor Details'!$L:$L,'G&amp;A Vendor x GL Analysis'!$D119,'[1]NS Vendor Details'!$O:$O,'G&amp;A Vendor x GL Analysis'!$F119,'[1]NS Vendor Details'!$N:$N,"Direct Costs",'[1]NS Vendor Details'!$J:$J,0),IF(K$15="Actual",SUMIFS('[1]NS Vendor Details'!$D:$D,'[1]NS Vendor Details'!$H:$H,'G&amp;A Vendor x GL Analysis'!K$20,'[1]NS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Analysis'!K$20,'[1]NS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0</v>
      </c>
      <c r="L119" s="17">
        <f>IF(AND(L$15="Actual",ISBLANK($E$8)),SUMIFS('[1]NS Vendor Details'!$D:$D,'[1]NS Vendor Details'!$H:$H,'G&amp;A Vendor x GL Analysis'!L$20,'[1]NS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Analysis'!L$20,'[1]NS Vendor Details'!$L:$L,'G&amp;A Vendor x GL Analysis'!$D119,'[1]NS Vendor Details'!$O:$O,'G&amp;A Vendor x GL Analysis'!$F119,'[1]NS Vendor Details'!$N:$N,"Direct Costs",'[1]NS Vendor Details'!$J:$J,0),IF(L$15="Actual",SUMIFS('[1]NS Vendor Details'!$D:$D,'[1]NS Vendor Details'!$H:$H,'G&amp;A Vendor x GL Analysis'!L$20,'[1]NS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Analysis'!L$20,'[1]NS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0</v>
      </c>
      <c r="M119" s="17">
        <f>IF(AND(M$15="Actual",ISBLANK($E$8)),SUMIFS('[1]NS Vendor Details'!$D:$D,'[1]NS Vendor Details'!$H:$H,'G&amp;A Vendor x GL Analysis'!M$20,'[1]NS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Analysis'!M$20,'[1]NS Vendor Details'!$L:$L,'G&amp;A Vendor x GL Analysis'!$D119,'[1]NS Vendor Details'!$O:$O,'G&amp;A Vendor x GL Analysis'!$F119,'[1]NS Vendor Details'!$N:$N,"Direct Costs",'[1]NS Vendor Details'!$J:$J,0),IF(M$15="Actual",SUMIFS('[1]NS Vendor Details'!$D:$D,'[1]NS Vendor Details'!$H:$H,'G&amp;A Vendor x GL Analysis'!M$20,'[1]NS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Analysis'!M$20,'[1]NS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0</v>
      </c>
      <c r="N119" s="17">
        <f>IF(AND(N$15="Actual",ISBLANK($E$8)),SUMIFS('[1]NS Vendor Details'!$D:$D,'[1]NS Vendor Details'!$H:$H,'G&amp;A Vendor x GL Analysis'!N$20,'[1]NS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Analysis'!N$20,'[1]NS Vendor Details'!$L:$L,'G&amp;A Vendor x GL Analysis'!$D119,'[1]NS Vendor Details'!$O:$O,'G&amp;A Vendor x GL Analysis'!$F119,'[1]NS Vendor Details'!$N:$N,"Direct Costs",'[1]NS Vendor Details'!$J:$J,0),IF(N$15="Actual",SUMIFS('[1]NS Vendor Details'!$D:$D,'[1]NS Vendor Details'!$H:$H,'G&amp;A Vendor x GL Analysis'!N$20,'[1]NS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Analysis'!N$20,'[1]NS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21.78</v>
      </c>
      <c r="O119" s="17">
        <f>IF(AND(O$15="Actual",ISBLANK($E$8)),SUMIFS('[1]NS Vendor Details'!$D:$D,'[1]NS Vendor Details'!$H:$H,'G&amp;A Vendor x GL Analysis'!O$20,'[1]NS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Analysis'!O$20,'[1]NS Vendor Details'!$L:$L,'G&amp;A Vendor x GL Analysis'!$D119,'[1]NS Vendor Details'!$O:$O,'G&amp;A Vendor x GL Analysis'!$F119,'[1]NS Vendor Details'!$N:$N,"Direct Costs",'[1]NS Vendor Details'!$J:$J,0),IF(O$15="Actual",SUMIFS('[1]NS Vendor Details'!$D:$D,'[1]NS Vendor Details'!$H:$H,'G&amp;A Vendor x GL Analysis'!O$20,'[1]NS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Analysis'!O$20,'[1]NS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21.78</v>
      </c>
      <c r="P119" s="17">
        <f>IF(AND(P$15="Actual",ISBLANK($E$8)),SUMIFS('[1]NS Vendor Details'!$D:$D,'[1]NS Vendor Details'!$H:$H,'G&amp;A Vendor x GL Analysis'!P$20,'[1]NS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Analysis'!P$20,'[1]NS Vendor Details'!$L:$L,'G&amp;A Vendor x GL Analysis'!$D119,'[1]NS Vendor Details'!$O:$O,'G&amp;A Vendor x GL Analysis'!$F119,'[1]NS Vendor Details'!$N:$N,"Direct Costs",'[1]NS Vendor Details'!$J:$J,0),IF(P$15="Actual",SUMIFS('[1]NS Vendor Details'!$D:$D,'[1]NS Vendor Details'!$H:$H,'G&amp;A Vendor x GL Analysis'!P$20,'[1]NS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Analysis'!P$20,'[1]NS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21.78</v>
      </c>
      <c r="Q119" s="17">
        <f>IF(AND(Q$15="Actual",ISBLANK($E$8)),SUMIFS('[1]NS Vendor Details'!$D:$D,'[1]NS Vendor Details'!$H:$H,'G&amp;A Vendor x GL Analysis'!Q$20,'[1]NS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Analysis'!Q$20,'[1]NS Vendor Details'!$L:$L,'G&amp;A Vendor x GL Analysis'!$D119,'[1]NS Vendor Details'!$O:$O,'G&amp;A Vendor x GL Analysis'!$F119,'[1]NS Vendor Details'!$N:$N,"Direct Costs",'[1]NS Vendor Details'!$J:$J,0),IF(Q$15="Actual",SUMIFS('[1]NS Vendor Details'!$D:$D,'[1]NS Vendor Details'!$H:$H,'G&amp;A Vendor x GL Analysis'!Q$20,'[1]NS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Analysis'!Q$20,'[1]NS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43.56</v>
      </c>
      <c r="R119" s="18">
        <f>IF(AND(R$15="Actual",ISBLANK($E$8)),SUMIFS('[1]NS Vendor Details'!$D:$D,'[1]NS Vendor Details'!$H:$H,'G&amp;A Vendor x GL Analysis'!R$20,'[1]NS Vendor Details'!$L:$L,'G&amp;A Vendor x GL Analysis'!$D119,'[1]NS Vendor Details'!$O:$O,'G&amp;A Vendor x GL Analysis'!$F119,'[1]NS Vendor Details'!$N:$N,'G&amp;A Vendor x GL Analysis'!$C119)+SUMIFS('[1]NS Vendor Details'!$D:$D,'[1]NS Vendor Details'!$H:$H,'G&amp;A Vendor x GL Analysis'!R$20,'[1]NS Vendor Details'!$L:$L,'G&amp;A Vendor x GL Analysis'!$D119,'[1]NS Vendor Details'!$O:$O,'G&amp;A Vendor x GL Analysis'!$F119,'[1]NS Vendor Details'!$N:$N,"Direct Costs",'[1]NS Vendor Details'!$J:$J,0),IF(R$15="Actual",SUMIFS('[1]NS Vendor Details'!$D:$D,'[1]NS Vendor Details'!$H:$H,'G&amp;A Vendor x GL Analysis'!R$20,'[1]NS Vendor Details'!$L:$L,'G&amp;A Vendor x GL Analysis'!$D119,'[1]NS Vendor Details'!$O:$O,'G&amp;A Vendor x GL Analysis'!$F119,'[1]NS Vendor Details'!$N:$N,'G&amp;A Vendor x GL Analysis'!$C119,'[1]NS Vendor Details'!$K:$K,'G&amp;A Vendor x GL Analysis'!$E$8)+SUMIFS('[1]NS Vendor Details'!$D:$D,'[1]NS Vendor Details'!$H:$H,'G&amp;A Vendor x GL Analysis'!R$20,'[1]NS Vendor Details'!$L:$L,'G&amp;A Vendor x GL Analysis'!$D119,'[1]NS Vendor Details'!$O:$O,'G&amp;A Vendor x GL Analysis'!$F119,'[1]NS Vendor Details'!$N:$N,"Direct Costs",'[1]NS Vendor Details'!$J:$J,0,'[1]NS Vendor Details'!$K:$K,'G&amp;A Vendor x GL Analysis'!$E$8),0))</f>
        <v>65.34</v>
      </c>
      <c r="S119" s="16">
        <f>IF(AND(S$15="Actual",ISBLANK($E$8)),SUMIFS('[1]NS Vendor Details'!$D:$D,'[1]NS Vendor Details'!$H:$H,'G&amp;A Vendor x GL Analysis'!S$20,'[1]NS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Analysis'!S$20,'[1]NS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Analysis'!$E119),IF(S$15="Actual",SUMIFS('[1]NS Vendor Details'!$D:$D,'[1]NS Vendor Details'!$H:$H,'G&amp;A Vendor x GL Analysis'!S$20,'[1]NS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Analysis'!S$20,'[1]NS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65.34</v>
      </c>
      <c r="T119" s="17">
        <f>IF(AND(T$15="Actual",ISBLANK($E$8)),SUMIFS('[1]NS Vendor Details'!$D:$D,'[1]NS Vendor Details'!$H:$H,'G&amp;A Vendor x GL Analysis'!T$20,'[1]NS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Analysis'!T$20,'[1]NS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Analysis'!$E119),IF(T$15="Actual",SUMIFS('[1]NS Vendor Details'!$D:$D,'[1]NS Vendor Details'!$H:$H,'G&amp;A Vendor x GL Analysis'!T$20,'[1]NS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Analysis'!T$20,'[1]NS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43.56</v>
      </c>
      <c r="U119" s="17">
        <f>IF(AND(U$15="Actual",ISBLANK($E$8)),SUMIFS('[1]NS Vendor Details'!$D:$D,'[1]NS Vendor Details'!$H:$H,'G&amp;A Vendor x GL Analysis'!U$20,'[1]NS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Analysis'!U$20,'[1]NS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Analysis'!$E119),IF(U$15="Actual",SUMIFS('[1]NS Vendor Details'!$D:$D,'[1]NS Vendor Details'!$H:$H,'G&amp;A Vendor x GL Analysis'!U$20,'[1]NS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Analysis'!U$20,'[1]NS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65.34</v>
      </c>
      <c r="V119" s="17">
        <f>IF(AND(V$15="Actual",ISBLANK($E$8)),SUMIFS('[1]NS Vendor Details'!$D:$D,'[1]NS Vendor Details'!$H:$H,'G&amp;A Vendor x GL Analysis'!V$20,'[1]NS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Analysis'!V$20,'[1]NS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Analysis'!$E119),IF(V$15="Actual",SUMIFS('[1]NS Vendor Details'!$D:$D,'[1]NS Vendor Details'!$H:$H,'G&amp;A Vendor x GL Analysis'!V$20,'[1]NS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Analysis'!V$20,'[1]NS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43.56</v>
      </c>
      <c r="W119" s="17">
        <f>IF(AND(W$15="Actual",ISBLANK($E$8)),SUMIFS('[1]NS Vendor Details'!$D:$D,'[1]NS Vendor Details'!$H:$H,'G&amp;A Vendor x GL Analysis'!W$20,'[1]NS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Analysis'!W$20,'[1]NS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Analysis'!$E119),IF(W$15="Actual",SUMIFS('[1]NS Vendor Details'!$D:$D,'[1]NS Vendor Details'!$H:$H,'G&amp;A Vendor x GL Analysis'!W$20,'[1]NS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Analysis'!W$20,'[1]NS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60.55</v>
      </c>
      <c r="X119" s="17">
        <f>IF(AND(X$15="Actual",ISBLANK($E$8)),SUMIFS('[1]NS Vendor Details'!$D:$D,'[1]NS Vendor Details'!$H:$H,'G&amp;A Vendor x GL Analysis'!X$20,'[1]NS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Analysis'!X$20,'[1]NS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Analysis'!$E119),IF(X$15="Actual",SUMIFS('[1]NS Vendor Details'!$D:$D,'[1]NS Vendor Details'!$H:$H,'G&amp;A Vendor x GL Analysis'!X$20,'[1]NS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Analysis'!X$20,'[1]NS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21.78</v>
      </c>
      <c r="Y119" s="17">
        <f>IF(AND(Y$15="Actual",ISBLANK($E$8)),SUMIFS('[1]NS Vendor Details'!$D:$D,'[1]NS Vendor Details'!$H:$H,'G&amp;A Vendor x GL Analysis'!Y$20,'[1]NS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Analysis'!Y$20,'[1]NS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Analysis'!$E119),IF(Y$15="Actual",SUMIFS('[1]NS Vendor Details'!$D:$D,'[1]NS Vendor Details'!$H:$H,'G&amp;A Vendor x GL Analysis'!Y$20,'[1]NS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Analysis'!Y$20,'[1]NS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43.56</v>
      </c>
      <c r="Z119" s="17">
        <f>IF(AND(Z$15="Actual",ISBLANK($E$8)),SUMIFS('[1]NS Vendor Details'!$D:$D,'[1]NS Vendor Details'!$H:$H,'G&amp;A Vendor x GL Analysis'!Z$20,'[1]NS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Analysis'!Z$20,'[1]NS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Analysis'!$E119),IF(Z$15="Actual",SUMIFS('[1]NS Vendor Details'!$D:$D,'[1]NS Vendor Details'!$H:$H,'G&amp;A Vendor x GL Analysis'!Z$20,'[1]NS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Analysis'!Z$20,'[1]NS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43.56</v>
      </c>
      <c r="AA119" s="17">
        <f>IF(AND(AA$15="Actual",ISBLANK($E$8)),SUMIFS('[1]NS Vendor Details'!$D:$D,'[1]NS Vendor Details'!$H:$H,'G&amp;A Vendor x GL Analysis'!AA$20,'[1]NS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Analysis'!AA$20,'[1]NS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Analysis'!$E119),IF(AA$15="Actual",SUMIFS('[1]NS Vendor Details'!$D:$D,'[1]NS Vendor Details'!$H:$H,'G&amp;A Vendor x GL Analysis'!AA$20,'[1]NS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Analysis'!AA$20,'[1]NS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101.58000000000001</v>
      </c>
      <c r="AB119" s="17">
        <f>IF(AND(AB$15="Actual",ISBLANK($E$8)),SUMIFS('[1]NS Vendor Details'!$D:$D,'[1]NS Vendor Details'!$H:$H,'G&amp;A Vendor x GL Analysis'!AB$20,'[1]NS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Analysis'!AB$20,'[1]NS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Analysis'!$E119),IF(AB$15="Actual",SUMIFS('[1]NS Vendor Details'!$D:$D,'[1]NS Vendor Details'!$H:$H,'G&amp;A Vendor x GL Analysis'!AB$20,'[1]NS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Analysis'!AB$20,'[1]NS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208.39000000000001</v>
      </c>
      <c r="AC119" s="18">
        <f>IF(AND(AC$15="Actual",ISBLANK($E$8)),SUMIFS('[1]NS Vendor Details'!$D:$D,'[1]NS Vendor Details'!$H:$H,'G&amp;A Vendor x GL Analysis'!AC$20,'[1]NS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Analysis'!AC$20,'[1]NS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Analysis'!$E119),IF(AC$15="Actual",SUMIFS('[1]NS Vendor Details'!$D:$D,'[1]NS Vendor Details'!$H:$H,'G&amp;A Vendor x GL Analysis'!AC$20,'[1]NS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Analysis'!AC$20,'[1]NS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0</v>
      </c>
      <c r="AD119" s="18">
        <f>IF(AND(AD$15="Actual",ISBLANK($E$8)),SUMIFS('[1]NS Vendor Details'!$D:$D,'[1]NS Vendor Details'!$H:$H,'G&amp;A Vendor x GL Analysis'!AD$20,'[1]NS Vendor Details'!$L:$L,'G&amp;A Vendor x GL Analysis'!$D119,'[1]NS Vendor Details'!$O:$O,'G&amp;A Vendor x GL Analysis'!$F119,'[1]NS Vendor Details'!$N:$N,'G&amp;A Vendor x GL Analysis'!$C119,'[1]NS Vendor Details'!$I:$I,'G&amp;A Vendor x GL Analysis'!$E119)+SUMIFS('[1]NS Vendor Details'!$D:$D,'[1]NS Vendor Details'!$H:$H,'G&amp;A Vendor x GL Analysis'!AD$20,'[1]NS Vendor Details'!$L:$L,'G&amp;A Vendor x GL Analysis'!$D119,'[1]NS Vendor Details'!$O:$O,'G&amp;A Vendor x GL Analysis'!$F119,'[1]NS Vendor Details'!$N:$N,"Direct Costs",'[1]NS Vendor Details'!$J:$J,0,'[1]NS Vendor Details'!$I:$I,'G&amp;A Vendor x GL Analysis'!$E119),IF(AD$15="Actual",SUMIFS('[1]NS Vendor Details'!$D:$D,'[1]NS Vendor Details'!$H:$H,'G&amp;A Vendor x GL Analysis'!AD$20,'[1]NS Vendor Details'!$L:$L,'G&amp;A Vendor x GL Analysis'!$D119,'[1]NS Vendor Details'!$O:$O,'G&amp;A Vendor x GL Analysis'!$F119,'[1]NS Vendor Details'!$N:$N,'G&amp;A Vendor x GL Analysis'!$C119,'[1]NS Vendor Details'!$K:$K,'G&amp;A Vendor x GL Analysis'!$E$8,'[1]NS Vendor Details'!$I:$I,'G&amp;A Vendor x GL Analysis'!$E119)+SUMIFS('[1]NS Vendor Details'!$D:$D,'[1]NS Vendor Details'!$H:$H,'G&amp;A Vendor x GL Analysis'!AD$20,'[1]NS Vendor Details'!$L:$L,'G&amp;A Vendor x GL Analysis'!$D119,'[1]NS Vendor Details'!$O:$O,'G&amp;A Vendor x GL Analysis'!$F119,'[1]NS Vendor Details'!$N:$N,"Direct Costs",'[1]NS Vendor Details'!$J:$J,0,'[1]NS Vendor Details'!$K:$K,'G&amp;A Vendor x GL Analysis'!$E$8,'[1]NS Vendor Details'!$I:$I,'G&amp;A Vendor x GL Analysis'!$E119),0))</f>
        <v>0</v>
      </c>
      <c r="AF119" s="19">
        <f t="shared" si="23"/>
        <v>697.22</v>
      </c>
    </row>
    <row r="120" spans="1:32" outlineLevel="1">
      <c r="A120" s="8" t="str">
        <f t="shared" si="22"/>
        <v>Professional Service6393 - Software</v>
      </c>
      <c r="C120" s="8" t="s">
        <v>11</v>
      </c>
      <c r="D120" s="8" t="str">
        <f t="shared" si="21"/>
        <v>Professional Service</v>
      </c>
      <c r="E120" s="2" t="s">
        <v>101</v>
      </c>
      <c r="F120" s="2" t="s">
        <v>113</v>
      </c>
      <c r="G120" s="16">
        <f>IF(AND(G$15="Actual",ISBLANK($E$8)),SUMIFS('[1]NS Vendor Details'!$D:$D,'[1]NS Vendor Details'!$H:$H,'G&amp;A Vendor x GL Analysis'!G$20,'[1]NS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Analysis'!G$20,'[1]NS Vendor Details'!$L:$L,'G&amp;A Vendor x GL Analysis'!$D120,'[1]NS Vendor Details'!$O:$O,'G&amp;A Vendor x GL Analysis'!$F120,'[1]NS Vendor Details'!$N:$N,"Direct Costs",'[1]NS Vendor Details'!$J:$J,0),IF(G$15="Actual",SUMIFS('[1]NS Vendor Details'!$D:$D,'[1]NS Vendor Details'!$H:$H,'G&amp;A Vendor x GL Analysis'!G$20,'[1]NS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Analysis'!G$20,'[1]NS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H120" s="17">
        <f>IF(AND(H$15="Actual",ISBLANK($E$8)),SUMIFS('[1]NS Vendor Details'!$D:$D,'[1]NS Vendor Details'!$H:$H,'G&amp;A Vendor x GL Analysis'!H$20,'[1]NS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Analysis'!H$20,'[1]NS Vendor Details'!$L:$L,'G&amp;A Vendor x GL Analysis'!$D120,'[1]NS Vendor Details'!$O:$O,'G&amp;A Vendor x GL Analysis'!$F120,'[1]NS Vendor Details'!$N:$N,"Direct Costs",'[1]NS Vendor Details'!$J:$J,0),IF(H$15="Actual",SUMIFS('[1]NS Vendor Details'!$D:$D,'[1]NS Vendor Details'!$H:$H,'G&amp;A Vendor x GL Analysis'!H$20,'[1]NS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Analysis'!H$20,'[1]NS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I120" s="17">
        <f>IF(AND(I$15="Actual",ISBLANK($E$8)),SUMIFS('[1]NS Vendor Details'!$D:$D,'[1]NS Vendor Details'!$H:$H,'G&amp;A Vendor x GL Analysis'!I$20,'[1]NS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Analysis'!I$20,'[1]NS Vendor Details'!$L:$L,'G&amp;A Vendor x GL Analysis'!$D120,'[1]NS Vendor Details'!$O:$O,'G&amp;A Vendor x GL Analysis'!$F120,'[1]NS Vendor Details'!$N:$N,"Direct Costs",'[1]NS Vendor Details'!$J:$J,0),IF(I$15="Actual",SUMIFS('[1]NS Vendor Details'!$D:$D,'[1]NS Vendor Details'!$H:$H,'G&amp;A Vendor x GL Analysis'!I$20,'[1]NS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Analysis'!I$20,'[1]NS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J120" s="17">
        <f>IF(AND(J$15="Actual",ISBLANK($E$8)),SUMIFS('[1]NS Vendor Details'!$D:$D,'[1]NS Vendor Details'!$H:$H,'G&amp;A Vendor x GL Analysis'!J$20,'[1]NS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Analysis'!J$20,'[1]NS Vendor Details'!$L:$L,'G&amp;A Vendor x GL Analysis'!$D120,'[1]NS Vendor Details'!$O:$O,'G&amp;A Vendor x GL Analysis'!$F120,'[1]NS Vendor Details'!$N:$N,"Direct Costs",'[1]NS Vendor Details'!$J:$J,0),IF(J$15="Actual",SUMIFS('[1]NS Vendor Details'!$D:$D,'[1]NS Vendor Details'!$H:$H,'G&amp;A Vendor x GL Analysis'!J$20,'[1]NS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Analysis'!J$20,'[1]NS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K120" s="17">
        <f>IF(AND(K$15="Actual",ISBLANK($E$8)),SUMIFS('[1]NS Vendor Details'!$D:$D,'[1]NS Vendor Details'!$H:$H,'G&amp;A Vendor x GL Analysis'!K$20,'[1]NS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Analysis'!K$20,'[1]NS Vendor Details'!$L:$L,'G&amp;A Vendor x GL Analysis'!$D120,'[1]NS Vendor Details'!$O:$O,'G&amp;A Vendor x GL Analysis'!$F120,'[1]NS Vendor Details'!$N:$N,"Direct Costs",'[1]NS Vendor Details'!$J:$J,0),IF(K$15="Actual",SUMIFS('[1]NS Vendor Details'!$D:$D,'[1]NS Vendor Details'!$H:$H,'G&amp;A Vendor x GL Analysis'!K$20,'[1]NS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Analysis'!K$20,'[1]NS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L120" s="17">
        <f>IF(AND(L$15="Actual",ISBLANK($E$8)),SUMIFS('[1]NS Vendor Details'!$D:$D,'[1]NS Vendor Details'!$H:$H,'G&amp;A Vendor x GL Analysis'!L$20,'[1]NS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Analysis'!L$20,'[1]NS Vendor Details'!$L:$L,'G&amp;A Vendor x GL Analysis'!$D120,'[1]NS Vendor Details'!$O:$O,'G&amp;A Vendor x GL Analysis'!$F120,'[1]NS Vendor Details'!$N:$N,"Direct Costs",'[1]NS Vendor Details'!$J:$J,0),IF(L$15="Actual",SUMIFS('[1]NS Vendor Details'!$D:$D,'[1]NS Vendor Details'!$H:$H,'G&amp;A Vendor x GL Analysis'!L$20,'[1]NS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Analysis'!L$20,'[1]NS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M120" s="17">
        <f>IF(AND(M$15="Actual",ISBLANK($E$8)),SUMIFS('[1]NS Vendor Details'!$D:$D,'[1]NS Vendor Details'!$H:$H,'G&amp;A Vendor x GL Analysis'!M$20,'[1]NS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Analysis'!M$20,'[1]NS Vendor Details'!$L:$L,'G&amp;A Vendor x GL Analysis'!$D120,'[1]NS Vendor Details'!$O:$O,'G&amp;A Vendor x GL Analysis'!$F120,'[1]NS Vendor Details'!$N:$N,"Direct Costs",'[1]NS Vendor Details'!$J:$J,0),IF(M$15="Actual",SUMIFS('[1]NS Vendor Details'!$D:$D,'[1]NS Vendor Details'!$H:$H,'G&amp;A Vendor x GL Analysis'!M$20,'[1]NS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Analysis'!M$20,'[1]NS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N120" s="17">
        <f>IF(AND(N$15="Actual",ISBLANK($E$8)),SUMIFS('[1]NS Vendor Details'!$D:$D,'[1]NS Vendor Details'!$H:$H,'G&amp;A Vendor x GL Analysis'!N$20,'[1]NS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Analysis'!N$20,'[1]NS Vendor Details'!$L:$L,'G&amp;A Vendor x GL Analysis'!$D120,'[1]NS Vendor Details'!$O:$O,'G&amp;A Vendor x GL Analysis'!$F120,'[1]NS Vendor Details'!$N:$N,"Direct Costs",'[1]NS Vendor Details'!$J:$J,0),IF(N$15="Actual",SUMIFS('[1]NS Vendor Details'!$D:$D,'[1]NS Vendor Details'!$H:$H,'G&amp;A Vendor x GL Analysis'!N$20,'[1]NS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Analysis'!N$20,'[1]NS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O120" s="17">
        <f>IF(AND(O$15="Actual",ISBLANK($E$8)),SUMIFS('[1]NS Vendor Details'!$D:$D,'[1]NS Vendor Details'!$H:$H,'G&amp;A Vendor x GL Analysis'!O$20,'[1]NS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Analysis'!O$20,'[1]NS Vendor Details'!$L:$L,'G&amp;A Vendor x GL Analysis'!$D120,'[1]NS Vendor Details'!$O:$O,'G&amp;A Vendor x GL Analysis'!$F120,'[1]NS Vendor Details'!$N:$N,"Direct Costs",'[1]NS Vendor Details'!$J:$J,0),IF(O$15="Actual",SUMIFS('[1]NS Vendor Details'!$D:$D,'[1]NS Vendor Details'!$H:$H,'G&amp;A Vendor x GL Analysis'!O$20,'[1]NS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Analysis'!O$20,'[1]NS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P120" s="17">
        <f>IF(AND(P$15="Actual",ISBLANK($E$8)),SUMIFS('[1]NS Vendor Details'!$D:$D,'[1]NS Vendor Details'!$H:$H,'G&amp;A Vendor x GL Analysis'!P$20,'[1]NS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Analysis'!P$20,'[1]NS Vendor Details'!$L:$L,'G&amp;A Vendor x GL Analysis'!$D120,'[1]NS Vendor Details'!$O:$O,'G&amp;A Vendor x GL Analysis'!$F120,'[1]NS Vendor Details'!$N:$N,"Direct Costs",'[1]NS Vendor Details'!$J:$J,0),IF(P$15="Actual",SUMIFS('[1]NS Vendor Details'!$D:$D,'[1]NS Vendor Details'!$H:$H,'G&amp;A Vendor x GL Analysis'!P$20,'[1]NS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Analysis'!P$20,'[1]NS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Q120" s="17">
        <f>IF(AND(Q$15="Actual",ISBLANK($E$8)),SUMIFS('[1]NS Vendor Details'!$D:$D,'[1]NS Vendor Details'!$H:$H,'G&amp;A Vendor x GL Analysis'!Q$20,'[1]NS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Analysis'!Q$20,'[1]NS Vendor Details'!$L:$L,'G&amp;A Vendor x GL Analysis'!$D120,'[1]NS Vendor Details'!$O:$O,'G&amp;A Vendor x GL Analysis'!$F120,'[1]NS Vendor Details'!$N:$N,"Direct Costs",'[1]NS Vendor Details'!$J:$J,0),IF(Q$15="Actual",SUMIFS('[1]NS Vendor Details'!$D:$D,'[1]NS Vendor Details'!$H:$H,'G&amp;A Vendor x GL Analysis'!Q$20,'[1]NS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Analysis'!Q$20,'[1]NS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R120" s="18">
        <f>IF(AND(R$15="Actual",ISBLANK($E$8)),SUMIFS('[1]NS Vendor Details'!$D:$D,'[1]NS Vendor Details'!$H:$H,'G&amp;A Vendor x GL Analysis'!R$20,'[1]NS Vendor Details'!$L:$L,'G&amp;A Vendor x GL Analysis'!$D120,'[1]NS Vendor Details'!$O:$O,'G&amp;A Vendor x GL Analysis'!$F120,'[1]NS Vendor Details'!$N:$N,'G&amp;A Vendor x GL Analysis'!$C120)+SUMIFS('[1]NS Vendor Details'!$D:$D,'[1]NS Vendor Details'!$H:$H,'G&amp;A Vendor x GL Analysis'!R$20,'[1]NS Vendor Details'!$L:$L,'G&amp;A Vendor x GL Analysis'!$D120,'[1]NS Vendor Details'!$O:$O,'G&amp;A Vendor x GL Analysis'!$F120,'[1]NS Vendor Details'!$N:$N,"Direct Costs",'[1]NS Vendor Details'!$J:$J,0),IF(R$15="Actual",SUMIFS('[1]NS Vendor Details'!$D:$D,'[1]NS Vendor Details'!$H:$H,'G&amp;A Vendor x GL Analysis'!R$20,'[1]NS Vendor Details'!$L:$L,'G&amp;A Vendor x GL Analysis'!$D120,'[1]NS Vendor Details'!$O:$O,'G&amp;A Vendor x GL Analysis'!$F120,'[1]NS Vendor Details'!$N:$N,'G&amp;A Vendor x GL Analysis'!$C120,'[1]NS Vendor Details'!$K:$K,'G&amp;A Vendor x GL Analysis'!$E$8)+SUMIFS('[1]NS Vendor Details'!$D:$D,'[1]NS Vendor Details'!$H:$H,'G&amp;A Vendor x GL Analysis'!R$20,'[1]NS Vendor Details'!$L:$L,'G&amp;A Vendor x GL Analysis'!$D120,'[1]NS Vendor Details'!$O:$O,'G&amp;A Vendor x GL Analysis'!$F120,'[1]NS Vendor Details'!$N:$N,"Direct Costs",'[1]NS Vendor Details'!$J:$J,0,'[1]NS Vendor Details'!$K:$K,'G&amp;A Vendor x GL Analysis'!$E$8),0))</f>
        <v>0</v>
      </c>
      <c r="S120" s="16">
        <f>IF(AND(S$15="Actual",ISBLANK($E$8)),SUMIFS('[1]NS Vendor Details'!$D:$D,'[1]NS Vendor Details'!$H:$H,'G&amp;A Vendor x GL Analysis'!S$20,'[1]NS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Analysis'!S$20,'[1]NS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Analysis'!$E120),IF(S$15="Actual",SUMIFS('[1]NS Vendor Details'!$D:$D,'[1]NS Vendor Details'!$H:$H,'G&amp;A Vendor x GL Analysis'!S$20,'[1]NS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Analysis'!S$20,'[1]NS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0</v>
      </c>
      <c r="T120" s="17">
        <f>IF(AND(T$15="Actual",ISBLANK($E$8)),SUMIFS('[1]NS Vendor Details'!$D:$D,'[1]NS Vendor Details'!$H:$H,'G&amp;A Vendor x GL Analysis'!T$20,'[1]NS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Analysis'!T$20,'[1]NS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Analysis'!$E120),IF(T$15="Actual",SUMIFS('[1]NS Vendor Details'!$D:$D,'[1]NS Vendor Details'!$H:$H,'G&amp;A Vendor x GL Analysis'!T$20,'[1]NS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Analysis'!T$20,'[1]NS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5098.55</v>
      </c>
      <c r="U120" s="17">
        <f>IF(AND(U$15="Actual",ISBLANK($E$8)),SUMIFS('[1]NS Vendor Details'!$D:$D,'[1]NS Vendor Details'!$H:$H,'G&amp;A Vendor x GL Analysis'!U$20,'[1]NS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Analysis'!U$20,'[1]NS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Analysis'!$E120),IF(U$15="Actual",SUMIFS('[1]NS Vendor Details'!$D:$D,'[1]NS Vendor Details'!$H:$H,'G&amp;A Vendor x GL Analysis'!U$20,'[1]NS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Analysis'!U$20,'[1]NS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544.02</v>
      </c>
      <c r="V120" s="17">
        <f>IF(AND(V$15="Actual",ISBLANK($E$8)),SUMIFS('[1]NS Vendor Details'!$D:$D,'[1]NS Vendor Details'!$H:$H,'G&amp;A Vendor x GL Analysis'!V$20,'[1]NS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Analysis'!V$20,'[1]NS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Analysis'!$E120),IF(V$15="Actual",SUMIFS('[1]NS Vendor Details'!$D:$D,'[1]NS Vendor Details'!$H:$H,'G&amp;A Vendor x GL Analysis'!V$20,'[1]NS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Analysis'!V$20,'[1]NS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1543.5</v>
      </c>
      <c r="W120" s="17">
        <f>IF(AND(W$15="Actual",ISBLANK($E$8)),SUMIFS('[1]NS Vendor Details'!$D:$D,'[1]NS Vendor Details'!$H:$H,'G&amp;A Vendor x GL Analysis'!W$20,'[1]NS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Analysis'!W$20,'[1]NS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Analysis'!$E120),IF(W$15="Actual",SUMIFS('[1]NS Vendor Details'!$D:$D,'[1]NS Vendor Details'!$H:$H,'G&amp;A Vendor x GL Analysis'!W$20,'[1]NS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Analysis'!W$20,'[1]NS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543.5</v>
      </c>
      <c r="X120" s="17">
        <f>IF(AND(X$15="Actual",ISBLANK($E$8)),SUMIFS('[1]NS Vendor Details'!$D:$D,'[1]NS Vendor Details'!$H:$H,'G&amp;A Vendor x GL Analysis'!X$20,'[1]NS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Analysis'!X$20,'[1]NS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Analysis'!$E120),IF(X$15="Actual",SUMIFS('[1]NS Vendor Details'!$D:$D,'[1]NS Vendor Details'!$H:$H,'G&amp;A Vendor x GL Analysis'!X$20,'[1]NS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Analysis'!X$20,'[1]NS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544.32000000000005</v>
      </c>
      <c r="Y120" s="17">
        <f>IF(AND(Y$15="Actual",ISBLANK($E$8)),SUMIFS('[1]NS Vendor Details'!$D:$D,'[1]NS Vendor Details'!$H:$H,'G&amp;A Vendor x GL Analysis'!Y$20,'[1]NS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Analysis'!Y$20,'[1]NS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Analysis'!$E120),IF(Y$15="Actual",SUMIFS('[1]NS Vendor Details'!$D:$D,'[1]NS Vendor Details'!$H:$H,'G&amp;A Vendor x GL Analysis'!Y$20,'[1]NS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Analysis'!Y$20,'[1]NS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543.99</v>
      </c>
      <c r="Z120" s="17">
        <f>IF(AND(Z$15="Actual",ISBLANK($E$8)),SUMIFS('[1]NS Vendor Details'!$D:$D,'[1]NS Vendor Details'!$H:$H,'G&amp;A Vendor x GL Analysis'!Z$20,'[1]NS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Analysis'!Z$20,'[1]NS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Analysis'!$E120),IF(Z$15="Actual",SUMIFS('[1]NS Vendor Details'!$D:$D,'[1]NS Vendor Details'!$H:$H,'G&amp;A Vendor x GL Analysis'!Z$20,'[1]NS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Analysis'!Z$20,'[1]NS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543.66999999999996</v>
      </c>
      <c r="AA120" s="17">
        <f>IF(AND(AA$15="Actual",ISBLANK($E$8)),SUMIFS('[1]NS Vendor Details'!$D:$D,'[1]NS Vendor Details'!$H:$H,'G&amp;A Vendor x GL Analysis'!AA$20,'[1]NS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Analysis'!AA$20,'[1]NS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Analysis'!$E120),IF(AA$15="Actual",SUMIFS('[1]NS Vendor Details'!$D:$D,'[1]NS Vendor Details'!$H:$H,'G&amp;A Vendor x GL Analysis'!AA$20,'[1]NS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Analysis'!AA$20,'[1]NS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543.5</v>
      </c>
      <c r="AB120" s="17">
        <f>IF(AND(AB$15="Actual",ISBLANK($E$8)),SUMIFS('[1]NS Vendor Details'!$D:$D,'[1]NS Vendor Details'!$H:$H,'G&amp;A Vendor x GL Analysis'!AB$20,'[1]NS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Analysis'!AB$20,'[1]NS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Analysis'!$E120),IF(AB$15="Actual",SUMIFS('[1]NS Vendor Details'!$D:$D,'[1]NS Vendor Details'!$H:$H,'G&amp;A Vendor x GL Analysis'!AB$20,'[1]NS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Analysis'!AB$20,'[1]NS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543.66999999999996</v>
      </c>
      <c r="AC120" s="18">
        <f>IF(AND(AC$15="Actual",ISBLANK($E$8)),SUMIFS('[1]NS Vendor Details'!$D:$D,'[1]NS Vendor Details'!$H:$H,'G&amp;A Vendor x GL Analysis'!AC$20,'[1]NS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Analysis'!AC$20,'[1]NS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Analysis'!$E120),IF(AC$15="Actual",SUMIFS('[1]NS Vendor Details'!$D:$D,'[1]NS Vendor Details'!$H:$H,'G&amp;A Vendor x GL Analysis'!AC$20,'[1]NS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Analysis'!AC$20,'[1]NS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543.5</v>
      </c>
      <c r="AD120" s="18">
        <f>IF(AND(AD$15="Actual",ISBLANK($E$8)),SUMIFS('[1]NS Vendor Details'!$D:$D,'[1]NS Vendor Details'!$H:$H,'G&amp;A Vendor x GL Analysis'!AD$20,'[1]NS Vendor Details'!$L:$L,'G&amp;A Vendor x GL Analysis'!$D120,'[1]NS Vendor Details'!$O:$O,'G&amp;A Vendor x GL Analysis'!$F120,'[1]NS Vendor Details'!$N:$N,'G&amp;A Vendor x GL Analysis'!$C120,'[1]NS Vendor Details'!$I:$I,'G&amp;A Vendor x GL Analysis'!$E120)+SUMIFS('[1]NS Vendor Details'!$D:$D,'[1]NS Vendor Details'!$H:$H,'G&amp;A Vendor x GL Analysis'!AD$20,'[1]NS Vendor Details'!$L:$L,'G&amp;A Vendor x GL Analysis'!$D120,'[1]NS Vendor Details'!$O:$O,'G&amp;A Vendor x GL Analysis'!$F120,'[1]NS Vendor Details'!$N:$N,"Direct Costs",'[1]NS Vendor Details'!$J:$J,0,'[1]NS Vendor Details'!$I:$I,'G&amp;A Vendor x GL Analysis'!$E120),IF(AD$15="Actual",SUMIFS('[1]NS Vendor Details'!$D:$D,'[1]NS Vendor Details'!$H:$H,'G&amp;A Vendor x GL Analysis'!AD$20,'[1]NS Vendor Details'!$L:$L,'G&amp;A Vendor x GL Analysis'!$D120,'[1]NS Vendor Details'!$O:$O,'G&amp;A Vendor x GL Analysis'!$F120,'[1]NS Vendor Details'!$N:$N,'G&amp;A Vendor x GL Analysis'!$C120,'[1]NS Vendor Details'!$K:$K,'G&amp;A Vendor x GL Analysis'!$E$8,'[1]NS Vendor Details'!$I:$I,'G&amp;A Vendor x GL Analysis'!$E120)+SUMIFS('[1]NS Vendor Details'!$D:$D,'[1]NS Vendor Details'!$H:$H,'G&amp;A Vendor x GL Analysis'!AD$20,'[1]NS Vendor Details'!$L:$L,'G&amp;A Vendor x GL Analysis'!$D120,'[1]NS Vendor Details'!$O:$O,'G&amp;A Vendor x GL Analysis'!$F120,'[1]NS Vendor Details'!$N:$N,"Direct Costs",'[1]NS Vendor Details'!$J:$J,0,'[1]NS Vendor Details'!$K:$K,'G&amp;A Vendor x GL Analysis'!$E$8,'[1]NS Vendor Details'!$I:$I,'G&amp;A Vendor x GL Analysis'!$E120),0))</f>
        <v>0</v>
      </c>
      <c r="AF120" s="19">
        <f t="shared" si="23"/>
        <v>10992.22</v>
      </c>
    </row>
    <row r="121" spans="1:32" outlineLevel="1">
      <c r="A121" s="8" t="str">
        <f t="shared" si="22"/>
        <v>Professional Service6393 - Software</v>
      </c>
      <c r="C121" s="8" t="s">
        <v>11</v>
      </c>
      <c r="D121" s="8" t="str">
        <f t="shared" si="21"/>
        <v>Professional Service</v>
      </c>
      <c r="E121" s="2" t="s">
        <v>101</v>
      </c>
      <c r="F121" s="2" t="s">
        <v>114</v>
      </c>
      <c r="G121" s="16">
        <f>IF(AND(G$15="Actual",ISBLANK($E$8)),SUMIFS('[1]NS Vendor Details'!$D:$D,'[1]NS Vendor Details'!$H:$H,'G&amp;A Vendor x GL Analysis'!G$20,'[1]NS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Analysis'!G$20,'[1]NS Vendor Details'!$L:$L,'G&amp;A Vendor x GL Analysis'!$D121,'[1]NS Vendor Details'!$O:$O,'G&amp;A Vendor x GL Analysis'!$F121,'[1]NS Vendor Details'!$N:$N,"Direct Costs",'[1]NS Vendor Details'!$J:$J,0),IF(G$15="Actual",SUMIFS('[1]NS Vendor Details'!$D:$D,'[1]NS Vendor Details'!$H:$H,'G&amp;A Vendor x GL Analysis'!G$20,'[1]NS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Analysis'!G$20,'[1]NS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H121" s="17">
        <f>IF(AND(H$15="Actual",ISBLANK($E$8)),SUMIFS('[1]NS Vendor Details'!$D:$D,'[1]NS Vendor Details'!$H:$H,'G&amp;A Vendor x GL Analysis'!H$20,'[1]NS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Analysis'!H$20,'[1]NS Vendor Details'!$L:$L,'G&amp;A Vendor x GL Analysis'!$D121,'[1]NS Vendor Details'!$O:$O,'G&amp;A Vendor x GL Analysis'!$F121,'[1]NS Vendor Details'!$N:$N,"Direct Costs",'[1]NS Vendor Details'!$J:$J,0),IF(H$15="Actual",SUMIFS('[1]NS Vendor Details'!$D:$D,'[1]NS Vendor Details'!$H:$H,'G&amp;A Vendor x GL Analysis'!H$20,'[1]NS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Analysis'!H$20,'[1]NS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I121" s="17">
        <f>IF(AND(I$15="Actual",ISBLANK($E$8)),SUMIFS('[1]NS Vendor Details'!$D:$D,'[1]NS Vendor Details'!$H:$H,'G&amp;A Vendor x GL Analysis'!I$20,'[1]NS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Analysis'!I$20,'[1]NS Vendor Details'!$L:$L,'G&amp;A Vendor x GL Analysis'!$D121,'[1]NS Vendor Details'!$O:$O,'G&amp;A Vendor x GL Analysis'!$F121,'[1]NS Vendor Details'!$N:$N,"Direct Costs",'[1]NS Vendor Details'!$J:$J,0),IF(I$15="Actual",SUMIFS('[1]NS Vendor Details'!$D:$D,'[1]NS Vendor Details'!$H:$H,'G&amp;A Vendor x GL Analysis'!I$20,'[1]NS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Analysis'!I$20,'[1]NS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J121" s="17">
        <f>IF(AND(J$15="Actual",ISBLANK($E$8)),SUMIFS('[1]NS Vendor Details'!$D:$D,'[1]NS Vendor Details'!$H:$H,'G&amp;A Vendor x GL Analysis'!J$20,'[1]NS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Analysis'!J$20,'[1]NS Vendor Details'!$L:$L,'G&amp;A Vendor x GL Analysis'!$D121,'[1]NS Vendor Details'!$O:$O,'G&amp;A Vendor x GL Analysis'!$F121,'[1]NS Vendor Details'!$N:$N,"Direct Costs",'[1]NS Vendor Details'!$J:$J,0),IF(J$15="Actual",SUMIFS('[1]NS Vendor Details'!$D:$D,'[1]NS Vendor Details'!$H:$H,'G&amp;A Vendor x GL Analysis'!J$20,'[1]NS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Analysis'!J$20,'[1]NS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K121" s="17">
        <f>IF(AND(K$15="Actual",ISBLANK($E$8)),SUMIFS('[1]NS Vendor Details'!$D:$D,'[1]NS Vendor Details'!$H:$H,'G&amp;A Vendor x GL Analysis'!K$20,'[1]NS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Analysis'!K$20,'[1]NS Vendor Details'!$L:$L,'G&amp;A Vendor x GL Analysis'!$D121,'[1]NS Vendor Details'!$O:$O,'G&amp;A Vendor x GL Analysis'!$F121,'[1]NS Vendor Details'!$N:$N,"Direct Costs",'[1]NS Vendor Details'!$J:$J,0),IF(K$15="Actual",SUMIFS('[1]NS Vendor Details'!$D:$D,'[1]NS Vendor Details'!$H:$H,'G&amp;A Vendor x GL Analysis'!K$20,'[1]NS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Analysis'!K$20,'[1]NS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L121" s="17">
        <f>IF(AND(L$15="Actual",ISBLANK($E$8)),SUMIFS('[1]NS Vendor Details'!$D:$D,'[1]NS Vendor Details'!$H:$H,'G&amp;A Vendor x GL Analysis'!L$20,'[1]NS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Analysis'!L$20,'[1]NS Vendor Details'!$L:$L,'G&amp;A Vendor x GL Analysis'!$D121,'[1]NS Vendor Details'!$O:$O,'G&amp;A Vendor x GL Analysis'!$F121,'[1]NS Vendor Details'!$N:$N,"Direct Costs",'[1]NS Vendor Details'!$J:$J,0),IF(L$15="Actual",SUMIFS('[1]NS Vendor Details'!$D:$D,'[1]NS Vendor Details'!$H:$H,'G&amp;A Vendor x GL Analysis'!L$20,'[1]NS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Analysis'!L$20,'[1]NS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M121" s="17">
        <f>IF(AND(M$15="Actual",ISBLANK($E$8)),SUMIFS('[1]NS Vendor Details'!$D:$D,'[1]NS Vendor Details'!$H:$H,'G&amp;A Vendor x GL Analysis'!M$20,'[1]NS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Analysis'!M$20,'[1]NS Vendor Details'!$L:$L,'G&amp;A Vendor x GL Analysis'!$D121,'[1]NS Vendor Details'!$O:$O,'G&amp;A Vendor x GL Analysis'!$F121,'[1]NS Vendor Details'!$N:$N,"Direct Costs",'[1]NS Vendor Details'!$J:$J,0),IF(M$15="Actual",SUMIFS('[1]NS Vendor Details'!$D:$D,'[1]NS Vendor Details'!$H:$H,'G&amp;A Vendor x GL Analysis'!M$20,'[1]NS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Analysis'!M$20,'[1]NS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N121" s="17">
        <f>IF(AND(N$15="Actual",ISBLANK($E$8)),SUMIFS('[1]NS Vendor Details'!$D:$D,'[1]NS Vendor Details'!$H:$H,'G&amp;A Vendor x GL Analysis'!N$20,'[1]NS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Analysis'!N$20,'[1]NS Vendor Details'!$L:$L,'G&amp;A Vendor x GL Analysis'!$D121,'[1]NS Vendor Details'!$O:$O,'G&amp;A Vendor x GL Analysis'!$F121,'[1]NS Vendor Details'!$N:$N,"Direct Costs",'[1]NS Vendor Details'!$J:$J,0),IF(N$15="Actual",SUMIFS('[1]NS Vendor Details'!$D:$D,'[1]NS Vendor Details'!$H:$H,'G&amp;A Vendor x GL Analysis'!N$20,'[1]NS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Analysis'!N$20,'[1]NS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1959.75</v>
      </c>
      <c r="O121" s="17">
        <f>IF(AND(O$15="Actual",ISBLANK($E$8)),SUMIFS('[1]NS Vendor Details'!$D:$D,'[1]NS Vendor Details'!$H:$H,'G&amp;A Vendor x GL Analysis'!O$20,'[1]NS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Analysis'!O$20,'[1]NS Vendor Details'!$L:$L,'G&amp;A Vendor x GL Analysis'!$D121,'[1]NS Vendor Details'!$O:$O,'G&amp;A Vendor x GL Analysis'!$F121,'[1]NS Vendor Details'!$N:$N,"Direct Costs",'[1]NS Vendor Details'!$J:$J,0),IF(O$15="Actual",SUMIFS('[1]NS Vendor Details'!$D:$D,'[1]NS Vendor Details'!$H:$H,'G&amp;A Vendor x GL Analysis'!O$20,'[1]NS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Analysis'!O$20,'[1]NS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P121" s="17">
        <f>IF(AND(P$15="Actual",ISBLANK($E$8)),SUMIFS('[1]NS Vendor Details'!$D:$D,'[1]NS Vendor Details'!$H:$H,'G&amp;A Vendor x GL Analysis'!P$20,'[1]NS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Analysis'!P$20,'[1]NS Vendor Details'!$L:$L,'G&amp;A Vendor x GL Analysis'!$D121,'[1]NS Vendor Details'!$O:$O,'G&amp;A Vendor x GL Analysis'!$F121,'[1]NS Vendor Details'!$N:$N,"Direct Costs",'[1]NS Vendor Details'!$J:$J,0),IF(P$15="Actual",SUMIFS('[1]NS Vendor Details'!$D:$D,'[1]NS Vendor Details'!$H:$H,'G&amp;A Vendor x GL Analysis'!P$20,'[1]NS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Analysis'!P$20,'[1]NS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1265.06</v>
      </c>
      <c r="Q121" s="17">
        <f>IF(AND(Q$15="Actual",ISBLANK($E$8)),SUMIFS('[1]NS Vendor Details'!$D:$D,'[1]NS Vendor Details'!$H:$H,'G&amp;A Vendor x GL Analysis'!Q$20,'[1]NS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Analysis'!Q$20,'[1]NS Vendor Details'!$L:$L,'G&amp;A Vendor x GL Analysis'!$D121,'[1]NS Vendor Details'!$O:$O,'G&amp;A Vendor x GL Analysis'!$F121,'[1]NS Vendor Details'!$N:$N,"Direct Costs",'[1]NS Vendor Details'!$J:$J,0),IF(Q$15="Actual",SUMIFS('[1]NS Vendor Details'!$D:$D,'[1]NS Vendor Details'!$H:$H,'G&amp;A Vendor x GL Analysis'!Q$20,'[1]NS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Analysis'!Q$20,'[1]NS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0</v>
      </c>
      <c r="R121" s="18">
        <f>IF(AND(R$15="Actual",ISBLANK($E$8)),SUMIFS('[1]NS Vendor Details'!$D:$D,'[1]NS Vendor Details'!$H:$H,'G&amp;A Vendor x GL Analysis'!R$20,'[1]NS Vendor Details'!$L:$L,'G&amp;A Vendor x GL Analysis'!$D121,'[1]NS Vendor Details'!$O:$O,'G&amp;A Vendor x GL Analysis'!$F121,'[1]NS Vendor Details'!$N:$N,'G&amp;A Vendor x GL Analysis'!$C121)+SUMIFS('[1]NS Vendor Details'!$D:$D,'[1]NS Vendor Details'!$H:$H,'G&amp;A Vendor x GL Analysis'!R$20,'[1]NS Vendor Details'!$L:$L,'G&amp;A Vendor x GL Analysis'!$D121,'[1]NS Vendor Details'!$O:$O,'G&amp;A Vendor x GL Analysis'!$F121,'[1]NS Vendor Details'!$N:$N,"Direct Costs",'[1]NS Vendor Details'!$J:$J,0),IF(R$15="Actual",SUMIFS('[1]NS Vendor Details'!$D:$D,'[1]NS Vendor Details'!$H:$H,'G&amp;A Vendor x GL Analysis'!R$20,'[1]NS Vendor Details'!$L:$L,'G&amp;A Vendor x GL Analysis'!$D121,'[1]NS Vendor Details'!$O:$O,'G&amp;A Vendor x GL Analysis'!$F121,'[1]NS Vendor Details'!$N:$N,'G&amp;A Vendor x GL Analysis'!$C121,'[1]NS Vendor Details'!$K:$K,'G&amp;A Vendor x GL Analysis'!$E$8)+SUMIFS('[1]NS Vendor Details'!$D:$D,'[1]NS Vendor Details'!$H:$H,'G&amp;A Vendor x GL Analysis'!R$20,'[1]NS Vendor Details'!$L:$L,'G&amp;A Vendor x GL Analysis'!$D121,'[1]NS Vendor Details'!$O:$O,'G&amp;A Vendor x GL Analysis'!$F121,'[1]NS Vendor Details'!$N:$N,"Direct Costs",'[1]NS Vendor Details'!$J:$J,0,'[1]NS Vendor Details'!$K:$K,'G&amp;A Vendor x GL Analysis'!$E$8),0))</f>
        <v>1265.06</v>
      </c>
      <c r="S121" s="16">
        <f>IF(AND(S$15="Actual",ISBLANK($E$8)),SUMIFS('[1]NS Vendor Details'!$D:$D,'[1]NS Vendor Details'!$H:$H,'G&amp;A Vendor x GL Analysis'!S$20,'[1]NS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Analysis'!S$20,'[1]NS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Analysis'!$E121),IF(S$15="Actual",SUMIFS('[1]NS Vendor Details'!$D:$D,'[1]NS Vendor Details'!$H:$H,'G&amp;A Vendor x GL Analysis'!S$20,'[1]NS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Analysis'!S$20,'[1]NS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0</v>
      </c>
      <c r="T121" s="17">
        <f>IF(AND(T$15="Actual",ISBLANK($E$8)),SUMIFS('[1]NS Vendor Details'!$D:$D,'[1]NS Vendor Details'!$H:$H,'G&amp;A Vendor x GL Analysis'!T$20,'[1]NS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Analysis'!T$20,'[1]NS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Analysis'!$E121),IF(T$15="Actual",SUMIFS('[1]NS Vendor Details'!$D:$D,'[1]NS Vendor Details'!$H:$H,'G&amp;A Vendor x GL Analysis'!T$20,'[1]NS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Analysis'!T$20,'[1]NS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0</v>
      </c>
      <c r="U121" s="17">
        <f>IF(AND(U$15="Actual",ISBLANK($E$8)),SUMIFS('[1]NS Vendor Details'!$D:$D,'[1]NS Vendor Details'!$H:$H,'G&amp;A Vendor x GL Analysis'!U$20,'[1]NS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Analysis'!U$20,'[1]NS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Analysis'!$E121),IF(U$15="Actual",SUMIFS('[1]NS Vendor Details'!$D:$D,'[1]NS Vendor Details'!$H:$H,'G&amp;A Vendor x GL Analysis'!U$20,'[1]NS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Analysis'!U$20,'[1]NS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0</v>
      </c>
      <c r="V121" s="17">
        <f>IF(AND(V$15="Actual",ISBLANK($E$8)),SUMIFS('[1]NS Vendor Details'!$D:$D,'[1]NS Vendor Details'!$H:$H,'G&amp;A Vendor x GL Analysis'!V$20,'[1]NS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Analysis'!V$20,'[1]NS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Analysis'!$E121),IF(V$15="Actual",SUMIFS('[1]NS Vendor Details'!$D:$D,'[1]NS Vendor Details'!$H:$H,'G&amp;A Vendor x GL Analysis'!V$20,'[1]NS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Analysis'!V$20,'[1]NS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0</v>
      </c>
      <c r="W121" s="17">
        <f>IF(AND(W$15="Actual",ISBLANK($E$8)),SUMIFS('[1]NS Vendor Details'!$D:$D,'[1]NS Vendor Details'!$H:$H,'G&amp;A Vendor x GL Analysis'!W$20,'[1]NS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Analysis'!W$20,'[1]NS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Analysis'!$E121),IF(W$15="Actual",SUMIFS('[1]NS Vendor Details'!$D:$D,'[1]NS Vendor Details'!$H:$H,'G&amp;A Vendor x GL Analysis'!W$20,'[1]NS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Analysis'!W$20,'[1]NS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1265.06</v>
      </c>
      <c r="X121" s="17">
        <f>IF(AND(X$15="Actual",ISBLANK($E$8)),SUMIFS('[1]NS Vendor Details'!$D:$D,'[1]NS Vendor Details'!$H:$H,'G&amp;A Vendor x GL Analysis'!X$20,'[1]NS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Analysis'!X$20,'[1]NS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Analysis'!$E121),IF(X$15="Actual",SUMIFS('[1]NS Vendor Details'!$D:$D,'[1]NS Vendor Details'!$H:$H,'G&amp;A Vendor x GL Analysis'!X$20,'[1]NS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Analysis'!X$20,'[1]NS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1265.06</v>
      </c>
      <c r="Y121" s="17">
        <f>IF(AND(Y$15="Actual",ISBLANK($E$8)),SUMIFS('[1]NS Vendor Details'!$D:$D,'[1]NS Vendor Details'!$H:$H,'G&amp;A Vendor x GL Analysis'!Y$20,'[1]NS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Analysis'!Y$20,'[1]NS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Analysis'!$E121),IF(Y$15="Actual",SUMIFS('[1]NS Vendor Details'!$D:$D,'[1]NS Vendor Details'!$H:$H,'G&amp;A Vendor x GL Analysis'!Y$20,'[1]NS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Analysis'!Y$20,'[1]NS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0</v>
      </c>
      <c r="Z121" s="17">
        <f>IF(AND(Z$15="Actual",ISBLANK($E$8)),SUMIFS('[1]NS Vendor Details'!$D:$D,'[1]NS Vendor Details'!$H:$H,'G&amp;A Vendor x GL Analysis'!Z$20,'[1]NS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Analysis'!Z$20,'[1]NS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Analysis'!$E121),IF(Z$15="Actual",SUMIFS('[1]NS Vendor Details'!$D:$D,'[1]NS Vendor Details'!$H:$H,'G&amp;A Vendor x GL Analysis'!Z$20,'[1]NS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Analysis'!Z$20,'[1]NS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0</v>
      </c>
      <c r="AA121" s="17">
        <f>IF(AND(AA$15="Actual",ISBLANK($E$8)),SUMIFS('[1]NS Vendor Details'!$D:$D,'[1]NS Vendor Details'!$H:$H,'G&amp;A Vendor x GL Analysis'!AA$20,'[1]NS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Analysis'!AA$20,'[1]NS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Analysis'!$E121),IF(AA$15="Actual",SUMIFS('[1]NS Vendor Details'!$D:$D,'[1]NS Vendor Details'!$H:$H,'G&amp;A Vendor x GL Analysis'!AA$20,'[1]NS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Analysis'!AA$20,'[1]NS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421.69</v>
      </c>
      <c r="AB121" s="17">
        <f>IF(AND(AB$15="Actual",ISBLANK($E$8)),SUMIFS('[1]NS Vendor Details'!$D:$D,'[1]NS Vendor Details'!$H:$H,'G&amp;A Vendor x GL Analysis'!AB$20,'[1]NS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Analysis'!AB$20,'[1]NS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Analysis'!$E121),IF(AB$15="Actual",SUMIFS('[1]NS Vendor Details'!$D:$D,'[1]NS Vendor Details'!$H:$H,'G&amp;A Vendor x GL Analysis'!AB$20,'[1]NS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Analysis'!AB$20,'[1]NS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421.69</v>
      </c>
      <c r="AC121" s="18">
        <f>IF(AND(AC$15="Actual",ISBLANK($E$8)),SUMIFS('[1]NS Vendor Details'!$D:$D,'[1]NS Vendor Details'!$H:$H,'G&amp;A Vendor x GL Analysis'!AC$20,'[1]NS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Analysis'!AC$20,'[1]NS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Analysis'!$E121),IF(AC$15="Actual",SUMIFS('[1]NS Vendor Details'!$D:$D,'[1]NS Vendor Details'!$H:$H,'G&amp;A Vendor x GL Analysis'!AC$20,'[1]NS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Analysis'!AC$20,'[1]NS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421.68</v>
      </c>
      <c r="AD121" s="18">
        <f>IF(AND(AD$15="Actual",ISBLANK($E$8)),SUMIFS('[1]NS Vendor Details'!$D:$D,'[1]NS Vendor Details'!$H:$H,'G&amp;A Vendor x GL Analysis'!AD$20,'[1]NS Vendor Details'!$L:$L,'G&amp;A Vendor x GL Analysis'!$D121,'[1]NS Vendor Details'!$O:$O,'G&amp;A Vendor x GL Analysis'!$F121,'[1]NS Vendor Details'!$N:$N,'G&amp;A Vendor x GL Analysis'!$C121,'[1]NS Vendor Details'!$I:$I,'G&amp;A Vendor x GL Analysis'!$E121)+SUMIFS('[1]NS Vendor Details'!$D:$D,'[1]NS Vendor Details'!$H:$H,'G&amp;A Vendor x GL Analysis'!AD$20,'[1]NS Vendor Details'!$L:$L,'G&amp;A Vendor x GL Analysis'!$D121,'[1]NS Vendor Details'!$O:$O,'G&amp;A Vendor x GL Analysis'!$F121,'[1]NS Vendor Details'!$N:$N,"Direct Costs",'[1]NS Vendor Details'!$J:$J,0,'[1]NS Vendor Details'!$I:$I,'G&amp;A Vendor x GL Analysis'!$E121),IF(AD$15="Actual",SUMIFS('[1]NS Vendor Details'!$D:$D,'[1]NS Vendor Details'!$H:$H,'G&amp;A Vendor x GL Analysis'!AD$20,'[1]NS Vendor Details'!$L:$L,'G&amp;A Vendor x GL Analysis'!$D121,'[1]NS Vendor Details'!$O:$O,'G&amp;A Vendor x GL Analysis'!$F121,'[1]NS Vendor Details'!$N:$N,'G&amp;A Vendor x GL Analysis'!$C121,'[1]NS Vendor Details'!$K:$K,'G&amp;A Vendor x GL Analysis'!$E$8,'[1]NS Vendor Details'!$I:$I,'G&amp;A Vendor x GL Analysis'!$E121)+SUMIFS('[1]NS Vendor Details'!$D:$D,'[1]NS Vendor Details'!$H:$H,'G&amp;A Vendor x GL Analysis'!AD$20,'[1]NS Vendor Details'!$L:$L,'G&amp;A Vendor x GL Analysis'!$D121,'[1]NS Vendor Details'!$O:$O,'G&amp;A Vendor x GL Analysis'!$F121,'[1]NS Vendor Details'!$N:$N,"Direct Costs",'[1]NS Vendor Details'!$J:$J,0,'[1]NS Vendor Details'!$K:$K,'G&amp;A Vendor x GL Analysis'!$E$8,'[1]NS Vendor Details'!$I:$I,'G&amp;A Vendor x GL Analysis'!$E121),0))</f>
        <v>0</v>
      </c>
      <c r="AF121" s="19">
        <f t="shared" si="23"/>
        <v>3795.18</v>
      </c>
    </row>
    <row r="122" spans="1:32" outlineLevel="1">
      <c r="A122" s="8" t="str">
        <f t="shared" si="22"/>
        <v>Professional Service6393 - Software</v>
      </c>
      <c r="C122" s="8" t="s">
        <v>11</v>
      </c>
      <c r="D122" s="8" t="str">
        <f t="shared" si="21"/>
        <v>Professional Service</v>
      </c>
      <c r="E122" s="2" t="s">
        <v>101</v>
      </c>
      <c r="F122" s="2" t="s">
        <v>115</v>
      </c>
      <c r="G122" s="16">
        <f>IF(AND(G$15="Actual",ISBLANK($E$8)),SUMIFS('[1]NS Vendor Details'!$D:$D,'[1]NS Vendor Details'!$H:$H,'G&amp;A Vendor x GL Analysis'!G$20,'[1]NS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Analysis'!G$20,'[1]NS Vendor Details'!$L:$L,'G&amp;A Vendor x GL Analysis'!$D122,'[1]NS Vendor Details'!$O:$O,'G&amp;A Vendor x GL Analysis'!$F122,'[1]NS Vendor Details'!$N:$N,"Direct Costs",'[1]NS Vendor Details'!$J:$J,0),IF(G$15="Actual",SUMIFS('[1]NS Vendor Details'!$D:$D,'[1]NS Vendor Details'!$H:$H,'G&amp;A Vendor x GL Analysis'!G$20,'[1]NS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Analysis'!G$20,'[1]NS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0</v>
      </c>
      <c r="H122" s="17">
        <f>IF(AND(H$15="Actual",ISBLANK($E$8)),SUMIFS('[1]NS Vendor Details'!$D:$D,'[1]NS Vendor Details'!$H:$H,'G&amp;A Vendor x GL Analysis'!H$20,'[1]NS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Analysis'!H$20,'[1]NS Vendor Details'!$L:$L,'G&amp;A Vendor x GL Analysis'!$D122,'[1]NS Vendor Details'!$O:$O,'G&amp;A Vendor x GL Analysis'!$F122,'[1]NS Vendor Details'!$N:$N,"Direct Costs",'[1]NS Vendor Details'!$J:$J,0),IF(H$15="Actual",SUMIFS('[1]NS Vendor Details'!$D:$D,'[1]NS Vendor Details'!$H:$H,'G&amp;A Vendor x GL Analysis'!H$20,'[1]NS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Analysis'!H$20,'[1]NS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0</v>
      </c>
      <c r="I122" s="17">
        <f>IF(AND(I$15="Actual",ISBLANK($E$8)),SUMIFS('[1]NS Vendor Details'!$D:$D,'[1]NS Vendor Details'!$H:$H,'G&amp;A Vendor x GL Analysis'!I$20,'[1]NS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Analysis'!I$20,'[1]NS Vendor Details'!$L:$L,'G&amp;A Vendor x GL Analysis'!$D122,'[1]NS Vendor Details'!$O:$O,'G&amp;A Vendor x GL Analysis'!$F122,'[1]NS Vendor Details'!$N:$N,"Direct Costs",'[1]NS Vendor Details'!$J:$J,0),IF(I$15="Actual",SUMIFS('[1]NS Vendor Details'!$D:$D,'[1]NS Vendor Details'!$H:$H,'G&amp;A Vendor x GL Analysis'!I$20,'[1]NS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Analysis'!I$20,'[1]NS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0</v>
      </c>
      <c r="J122" s="17">
        <f>IF(AND(J$15="Actual",ISBLANK($E$8)),SUMIFS('[1]NS Vendor Details'!$D:$D,'[1]NS Vendor Details'!$H:$H,'G&amp;A Vendor x GL Analysis'!J$20,'[1]NS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Analysis'!J$20,'[1]NS Vendor Details'!$L:$L,'G&amp;A Vendor x GL Analysis'!$D122,'[1]NS Vendor Details'!$O:$O,'G&amp;A Vendor x GL Analysis'!$F122,'[1]NS Vendor Details'!$N:$N,"Direct Costs",'[1]NS Vendor Details'!$J:$J,0),IF(J$15="Actual",SUMIFS('[1]NS Vendor Details'!$D:$D,'[1]NS Vendor Details'!$H:$H,'G&amp;A Vendor x GL Analysis'!J$20,'[1]NS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Analysis'!J$20,'[1]NS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0</v>
      </c>
      <c r="K122" s="17">
        <f>IF(AND(K$15="Actual",ISBLANK($E$8)),SUMIFS('[1]NS Vendor Details'!$D:$D,'[1]NS Vendor Details'!$H:$H,'G&amp;A Vendor x GL Analysis'!K$20,'[1]NS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Analysis'!K$20,'[1]NS Vendor Details'!$L:$L,'G&amp;A Vendor x GL Analysis'!$D122,'[1]NS Vendor Details'!$O:$O,'G&amp;A Vendor x GL Analysis'!$F122,'[1]NS Vendor Details'!$N:$N,"Direct Costs",'[1]NS Vendor Details'!$J:$J,0),IF(K$15="Actual",SUMIFS('[1]NS Vendor Details'!$D:$D,'[1]NS Vendor Details'!$H:$H,'G&amp;A Vendor x GL Analysis'!K$20,'[1]NS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Analysis'!K$20,'[1]NS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0</v>
      </c>
      <c r="L122" s="17">
        <f>IF(AND(L$15="Actual",ISBLANK($E$8)),SUMIFS('[1]NS Vendor Details'!$D:$D,'[1]NS Vendor Details'!$H:$H,'G&amp;A Vendor x GL Analysis'!L$20,'[1]NS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Analysis'!L$20,'[1]NS Vendor Details'!$L:$L,'G&amp;A Vendor x GL Analysis'!$D122,'[1]NS Vendor Details'!$O:$O,'G&amp;A Vendor x GL Analysis'!$F122,'[1]NS Vendor Details'!$N:$N,"Direct Costs",'[1]NS Vendor Details'!$J:$J,0),IF(L$15="Actual",SUMIFS('[1]NS Vendor Details'!$D:$D,'[1]NS Vendor Details'!$H:$H,'G&amp;A Vendor x GL Analysis'!L$20,'[1]NS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Analysis'!L$20,'[1]NS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0</v>
      </c>
      <c r="M122" s="17">
        <f>IF(AND(M$15="Actual",ISBLANK($E$8)),SUMIFS('[1]NS Vendor Details'!$D:$D,'[1]NS Vendor Details'!$H:$H,'G&amp;A Vendor x GL Analysis'!M$20,'[1]NS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Analysis'!M$20,'[1]NS Vendor Details'!$L:$L,'G&amp;A Vendor x GL Analysis'!$D122,'[1]NS Vendor Details'!$O:$O,'G&amp;A Vendor x GL Analysis'!$F122,'[1]NS Vendor Details'!$N:$N,"Direct Costs",'[1]NS Vendor Details'!$J:$J,0),IF(M$15="Actual",SUMIFS('[1]NS Vendor Details'!$D:$D,'[1]NS Vendor Details'!$H:$H,'G&amp;A Vendor x GL Analysis'!M$20,'[1]NS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Analysis'!M$20,'[1]NS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9.99</v>
      </c>
      <c r="N122" s="17">
        <f>IF(AND(N$15="Actual",ISBLANK($E$8)),SUMIFS('[1]NS Vendor Details'!$D:$D,'[1]NS Vendor Details'!$H:$H,'G&amp;A Vendor x GL Analysis'!N$20,'[1]NS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Analysis'!N$20,'[1]NS Vendor Details'!$L:$L,'G&amp;A Vendor x GL Analysis'!$D122,'[1]NS Vendor Details'!$O:$O,'G&amp;A Vendor x GL Analysis'!$F122,'[1]NS Vendor Details'!$N:$N,"Direct Costs",'[1]NS Vendor Details'!$J:$J,0),IF(N$15="Actual",SUMIFS('[1]NS Vendor Details'!$D:$D,'[1]NS Vendor Details'!$H:$H,'G&amp;A Vendor x GL Analysis'!N$20,'[1]NS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Analysis'!N$20,'[1]NS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9.99</v>
      </c>
      <c r="O122" s="17">
        <f>IF(AND(O$15="Actual",ISBLANK($E$8)),SUMIFS('[1]NS Vendor Details'!$D:$D,'[1]NS Vendor Details'!$H:$H,'G&amp;A Vendor x GL Analysis'!O$20,'[1]NS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Analysis'!O$20,'[1]NS Vendor Details'!$L:$L,'G&amp;A Vendor x GL Analysis'!$D122,'[1]NS Vendor Details'!$O:$O,'G&amp;A Vendor x GL Analysis'!$F122,'[1]NS Vendor Details'!$N:$N,"Direct Costs",'[1]NS Vendor Details'!$J:$J,0),IF(O$15="Actual",SUMIFS('[1]NS Vendor Details'!$D:$D,'[1]NS Vendor Details'!$H:$H,'G&amp;A Vendor x GL Analysis'!O$20,'[1]NS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Analysis'!O$20,'[1]NS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9.99</v>
      </c>
      <c r="P122" s="17">
        <f>IF(AND(P$15="Actual",ISBLANK($E$8)),SUMIFS('[1]NS Vendor Details'!$D:$D,'[1]NS Vendor Details'!$H:$H,'G&amp;A Vendor x GL Analysis'!P$20,'[1]NS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Analysis'!P$20,'[1]NS Vendor Details'!$L:$L,'G&amp;A Vendor x GL Analysis'!$D122,'[1]NS Vendor Details'!$O:$O,'G&amp;A Vendor x GL Analysis'!$F122,'[1]NS Vendor Details'!$N:$N,"Direct Costs",'[1]NS Vendor Details'!$J:$J,0),IF(P$15="Actual",SUMIFS('[1]NS Vendor Details'!$D:$D,'[1]NS Vendor Details'!$H:$H,'G&amp;A Vendor x GL Analysis'!P$20,'[1]NS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Analysis'!P$20,'[1]NS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9.99</v>
      </c>
      <c r="Q122" s="17">
        <f>IF(AND(Q$15="Actual",ISBLANK($E$8)),SUMIFS('[1]NS Vendor Details'!$D:$D,'[1]NS Vendor Details'!$H:$H,'G&amp;A Vendor x GL Analysis'!Q$20,'[1]NS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Analysis'!Q$20,'[1]NS Vendor Details'!$L:$L,'G&amp;A Vendor x GL Analysis'!$D122,'[1]NS Vendor Details'!$O:$O,'G&amp;A Vendor x GL Analysis'!$F122,'[1]NS Vendor Details'!$N:$N,"Direct Costs",'[1]NS Vendor Details'!$J:$J,0),IF(Q$15="Actual",SUMIFS('[1]NS Vendor Details'!$D:$D,'[1]NS Vendor Details'!$H:$H,'G&amp;A Vendor x GL Analysis'!Q$20,'[1]NS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Analysis'!Q$20,'[1]NS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9.99</v>
      </c>
      <c r="R122" s="18">
        <f>IF(AND(R$15="Actual",ISBLANK($E$8)),SUMIFS('[1]NS Vendor Details'!$D:$D,'[1]NS Vendor Details'!$H:$H,'G&amp;A Vendor x GL Analysis'!R$20,'[1]NS Vendor Details'!$L:$L,'G&amp;A Vendor x GL Analysis'!$D122,'[1]NS Vendor Details'!$O:$O,'G&amp;A Vendor x GL Analysis'!$F122,'[1]NS Vendor Details'!$N:$N,'G&amp;A Vendor x GL Analysis'!$C122)+SUMIFS('[1]NS Vendor Details'!$D:$D,'[1]NS Vendor Details'!$H:$H,'G&amp;A Vendor x GL Analysis'!R$20,'[1]NS Vendor Details'!$L:$L,'G&amp;A Vendor x GL Analysis'!$D122,'[1]NS Vendor Details'!$O:$O,'G&amp;A Vendor x GL Analysis'!$F122,'[1]NS Vendor Details'!$N:$N,"Direct Costs",'[1]NS Vendor Details'!$J:$J,0),IF(R$15="Actual",SUMIFS('[1]NS Vendor Details'!$D:$D,'[1]NS Vendor Details'!$H:$H,'G&amp;A Vendor x GL Analysis'!R$20,'[1]NS Vendor Details'!$L:$L,'G&amp;A Vendor x GL Analysis'!$D122,'[1]NS Vendor Details'!$O:$O,'G&amp;A Vendor x GL Analysis'!$F122,'[1]NS Vendor Details'!$N:$N,'G&amp;A Vendor x GL Analysis'!$C122,'[1]NS Vendor Details'!$K:$K,'G&amp;A Vendor x GL Analysis'!$E$8)+SUMIFS('[1]NS Vendor Details'!$D:$D,'[1]NS Vendor Details'!$H:$H,'G&amp;A Vendor x GL Analysis'!R$20,'[1]NS Vendor Details'!$L:$L,'G&amp;A Vendor x GL Analysis'!$D122,'[1]NS Vendor Details'!$O:$O,'G&amp;A Vendor x GL Analysis'!$F122,'[1]NS Vendor Details'!$N:$N,"Direct Costs",'[1]NS Vendor Details'!$J:$J,0,'[1]NS Vendor Details'!$K:$K,'G&amp;A Vendor x GL Analysis'!$E$8),0))</f>
        <v>9.99</v>
      </c>
      <c r="S122" s="16">
        <f>IF(AND(S$15="Actual",ISBLANK($E$8)),SUMIFS('[1]NS Vendor Details'!$D:$D,'[1]NS Vendor Details'!$H:$H,'G&amp;A Vendor x GL Analysis'!S$20,'[1]NS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Analysis'!S$20,'[1]NS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Analysis'!$E122),IF(S$15="Actual",SUMIFS('[1]NS Vendor Details'!$D:$D,'[1]NS Vendor Details'!$H:$H,'G&amp;A Vendor x GL Analysis'!S$20,'[1]NS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Analysis'!S$20,'[1]NS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T122" s="17">
        <f>IF(AND(T$15="Actual",ISBLANK($E$8)),SUMIFS('[1]NS Vendor Details'!$D:$D,'[1]NS Vendor Details'!$H:$H,'G&amp;A Vendor x GL Analysis'!T$20,'[1]NS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Analysis'!T$20,'[1]NS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Analysis'!$E122),IF(T$15="Actual",SUMIFS('[1]NS Vendor Details'!$D:$D,'[1]NS Vendor Details'!$H:$H,'G&amp;A Vendor x GL Analysis'!T$20,'[1]NS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Analysis'!T$20,'[1]NS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U122" s="17">
        <f>IF(AND(U$15="Actual",ISBLANK($E$8)),SUMIFS('[1]NS Vendor Details'!$D:$D,'[1]NS Vendor Details'!$H:$H,'G&amp;A Vendor x GL Analysis'!U$20,'[1]NS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Analysis'!U$20,'[1]NS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Analysis'!$E122),IF(U$15="Actual",SUMIFS('[1]NS Vendor Details'!$D:$D,'[1]NS Vendor Details'!$H:$H,'G&amp;A Vendor x GL Analysis'!U$20,'[1]NS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Analysis'!U$20,'[1]NS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V122" s="17">
        <f>IF(AND(V$15="Actual",ISBLANK($E$8)),SUMIFS('[1]NS Vendor Details'!$D:$D,'[1]NS Vendor Details'!$H:$H,'G&amp;A Vendor x GL Analysis'!V$20,'[1]NS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Analysis'!V$20,'[1]NS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Analysis'!$E122),IF(V$15="Actual",SUMIFS('[1]NS Vendor Details'!$D:$D,'[1]NS Vendor Details'!$H:$H,'G&amp;A Vendor x GL Analysis'!V$20,'[1]NS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Analysis'!V$20,'[1]NS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W122" s="17">
        <f>IF(AND(W$15="Actual",ISBLANK($E$8)),SUMIFS('[1]NS Vendor Details'!$D:$D,'[1]NS Vendor Details'!$H:$H,'G&amp;A Vendor x GL Analysis'!W$20,'[1]NS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Analysis'!W$20,'[1]NS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Analysis'!$E122),IF(W$15="Actual",SUMIFS('[1]NS Vendor Details'!$D:$D,'[1]NS Vendor Details'!$H:$H,'G&amp;A Vendor x GL Analysis'!W$20,'[1]NS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Analysis'!W$20,'[1]NS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X122" s="17">
        <f>IF(AND(X$15="Actual",ISBLANK($E$8)),SUMIFS('[1]NS Vendor Details'!$D:$D,'[1]NS Vendor Details'!$H:$H,'G&amp;A Vendor x GL Analysis'!X$20,'[1]NS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Analysis'!X$20,'[1]NS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Analysis'!$E122),IF(X$15="Actual",SUMIFS('[1]NS Vendor Details'!$D:$D,'[1]NS Vendor Details'!$H:$H,'G&amp;A Vendor x GL Analysis'!X$20,'[1]NS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Analysis'!X$20,'[1]NS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Y122" s="17">
        <f>IF(AND(Y$15="Actual",ISBLANK($E$8)),SUMIFS('[1]NS Vendor Details'!$D:$D,'[1]NS Vendor Details'!$H:$H,'G&amp;A Vendor x GL Analysis'!Y$20,'[1]NS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Analysis'!Y$20,'[1]NS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Analysis'!$E122),IF(Y$15="Actual",SUMIFS('[1]NS Vendor Details'!$D:$D,'[1]NS Vendor Details'!$H:$H,'G&amp;A Vendor x GL Analysis'!Y$20,'[1]NS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Analysis'!Y$20,'[1]NS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Z122" s="17">
        <f>IF(AND(Z$15="Actual",ISBLANK($E$8)),SUMIFS('[1]NS Vendor Details'!$D:$D,'[1]NS Vendor Details'!$H:$H,'G&amp;A Vendor x GL Analysis'!Z$20,'[1]NS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Analysis'!Z$20,'[1]NS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Analysis'!$E122),IF(Z$15="Actual",SUMIFS('[1]NS Vendor Details'!$D:$D,'[1]NS Vendor Details'!$H:$H,'G&amp;A Vendor x GL Analysis'!Z$20,'[1]NS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Analysis'!Z$20,'[1]NS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AA122" s="17">
        <f>IF(AND(AA$15="Actual",ISBLANK($E$8)),SUMIFS('[1]NS Vendor Details'!$D:$D,'[1]NS Vendor Details'!$H:$H,'G&amp;A Vendor x GL Analysis'!AA$20,'[1]NS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Analysis'!AA$20,'[1]NS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Analysis'!$E122),IF(AA$15="Actual",SUMIFS('[1]NS Vendor Details'!$D:$D,'[1]NS Vendor Details'!$H:$H,'G&amp;A Vendor x GL Analysis'!AA$20,'[1]NS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Analysis'!AA$20,'[1]NS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AB122" s="17">
        <f>IF(AND(AB$15="Actual",ISBLANK($E$8)),SUMIFS('[1]NS Vendor Details'!$D:$D,'[1]NS Vendor Details'!$H:$H,'G&amp;A Vendor x GL Analysis'!AB$20,'[1]NS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Analysis'!AB$20,'[1]NS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Analysis'!$E122),IF(AB$15="Actual",SUMIFS('[1]NS Vendor Details'!$D:$D,'[1]NS Vendor Details'!$H:$H,'G&amp;A Vendor x GL Analysis'!AB$20,'[1]NS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Analysis'!AB$20,'[1]NS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AC122" s="18">
        <f>IF(AND(AC$15="Actual",ISBLANK($E$8)),SUMIFS('[1]NS Vendor Details'!$D:$D,'[1]NS Vendor Details'!$H:$H,'G&amp;A Vendor x GL Analysis'!AC$20,'[1]NS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Analysis'!AC$20,'[1]NS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Analysis'!$E122),IF(AC$15="Actual",SUMIFS('[1]NS Vendor Details'!$D:$D,'[1]NS Vendor Details'!$H:$H,'G&amp;A Vendor x GL Analysis'!AC$20,'[1]NS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Analysis'!AC$20,'[1]NS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9.99</v>
      </c>
      <c r="AD122" s="18">
        <f>IF(AND(AD$15="Actual",ISBLANK($E$8)),SUMIFS('[1]NS Vendor Details'!$D:$D,'[1]NS Vendor Details'!$H:$H,'G&amp;A Vendor x GL Analysis'!AD$20,'[1]NS Vendor Details'!$L:$L,'G&amp;A Vendor x GL Analysis'!$D122,'[1]NS Vendor Details'!$O:$O,'G&amp;A Vendor x GL Analysis'!$F122,'[1]NS Vendor Details'!$N:$N,'G&amp;A Vendor x GL Analysis'!$C122,'[1]NS Vendor Details'!$I:$I,'G&amp;A Vendor x GL Analysis'!$E122)+SUMIFS('[1]NS Vendor Details'!$D:$D,'[1]NS Vendor Details'!$H:$H,'G&amp;A Vendor x GL Analysis'!AD$20,'[1]NS Vendor Details'!$L:$L,'G&amp;A Vendor x GL Analysis'!$D122,'[1]NS Vendor Details'!$O:$O,'G&amp;A Vendor x GL Analysis'!$F122,'[1]NS Vendor Details'!$N:$N,"Direct Costs",'[1]NS Vendor Details'!$J:$J,0,'[1]NS Vendor Details'!$I:$I,'G&amp;A Vendor x GL Analysis'!$E122),IF(AD$15="Actual",SUMIFS('[1]NS Vendor Details'!$D:$D,'[1]NS Vendor Details'!$H:$H,'G&amp;A Vendor x GL Analysis'!AD$20,'[1]NS Vendor Details'!$L:$L,'G&amp;A Vendor x GL Analysis'!$D122,'[1]NS Vendor Details'!$O:$O,'G&amp;A Vendor x GL Analysis'!$F122,'[1]NS Vendor Details'!$N:$N,'G&amp;A Vendor x GL Analysis'!$C122,'[1]NS Vendor Details'!$K:$K,'G&amp;A Vendor x GL Analysis'!$E$8,'[1]NS Vendor Details'!$I:$I,'G&amp;A Vendor x GL Analysis'!$E122)+SUMIFS('[1]NS Vendor Details'!$D:$D,'[1]NS Vendor Details'!$H:$H,'G&amp;A Vendor x GL Analysis'!AD$20,'[1]NS Vendor Details'!$L:$L,'G&amp;A Vendor x GL Analysis'!$D122,'[1]NS Vendor Details'!$O:$O,'G&amp;A Vendor x GL Analysis'!$F122,'[1]NS Vendor Details'!$N:$N,"Direct Costs",'[1]NS Vendor Details'!$J:$J,0,'[1]NS Vendor Details'!$K:$K,'G&amp;A Vendor x GL Analysis'!$E$8,'[1]NS Vendor Details'!$I:$I,'G&amp;A Vendor x GL Analysis'!$E122),0))</f>
        <v>0</v>
      </c>
      <c r="AF122" s="19">
        <f t="shared" si="23"/>
        <v>109.88999999999999</v>
      </c>
    </row>
    <row r="123" spans="1:32" outlineLevel="1">
      <c r="A123" s="8" t="str">
        <f t="shared" si="22"/>
        <v>Professional Service6393 - Software</v>
      </c>
      <c r="C123" s="8" t="s">
        <v>11</v>
      </c>
      <c r="D123" s="8" t="str">
        <f t="shared" si="21"/>
        <v>Professional Service</v>
      </c>
      <c r="E123" s="2" t="s">
        <v>101</v>
      </c>
      <c r="F123" s="2" t="s">
        <v>116</v>
      </c>
      <c r="G123" s="16">
        <f>IF(AND(G$15="Actual",ISBLANK($E$8)),SUMIFS('[1]NS Vendor Details'!$D:$D,'[1]NS Vendor Details'!$H:$H,'G&amp;A Vendor x GL Analysis'!G$20,'[1]NS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Analysis'!G$20,'[1]NS Vendor Details'!$L:$L,'G&amp;A Vendor x GL Analysis'!$D123,'[1]NS Vendor Details'!$O:$O,'G&amp;A Vendor x GL Analysis'!$F123,'[1]NS Vendor Details'!$N:$N,"Direct Costs",'[1]NS Vendor Details'!$J:$J,0),IF(G$15="Actual",SUMIFS('[1]NS Vendor Details'!$D:$D,'[1]NS Vendor Details'!$H:$H,'G&amp;A Vendor x GL Analysis'!G$20,'[1]NS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Analysis'!G$20,'[1]NS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H123" s="17">
        <f>IF(AND(H$15="Actual",ISBLANK($E$8)),SUMIFS('[1]NS Vendor Details'!$D:$D,'[1]NS Vendor Details'!$H:$H,'G&amp;A Vendor x GL Analysis'!H$20,'[1]NS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Analysis'!H$20,'[1]NS Vendor Details'!$L:$L,'G&amp;A Vendor x GL Analysis'!$D123,'[1]NS Vendor Details'!$O:$O,'G&amp;A Vendor x GL Analysis'!$F123,'[1]NS Vendor Details'!$N:$N,"Direct Costs",'[1]NS Vendor Details'!$J:$J,0),IF(H$15="Actual",SUMIFS('[1]NS Vendor Details'!$D:$D,'[1]NS Vendor Details'!$H:$H,'G&amp;A Vendor x GL Analysis'!H$20,'[1]NS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Analysis'!H$20,'[1]NS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I123" s="17">
        <f>IF(AND(I$15="Actual",ISBLANK($E$8)),SUMIFS('[1]NS Vendor Details'!$D:$D,'[1]NS Vendor Details'!$H:$H,'G&amp;A Vendor x GL Analysis'!I$20,'[1]NS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Analysis'!I$20,'[1]NS Vendor Details'!$L:$L,'G&amp;A Vendor x GL Analysis'!$D123,'[1]NS Vendor Details'!$O:$O,'G&amp;A Vendor x GL Analysis'!$F123,'[1]NS Vendor Details'!$N:$N,"Direct Costs",'[1]NS Vendor Details'!$J:$J,0),IF(I$15="Actual",SUMIFS('[1]NS Vendor Details'!$D:$D,'[1]NS Vendor Details'!$H:$H,'G&amp;A Vendor x GL Analysis'!I$20,'[1]NS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Analysis'!I$20,'[1]NS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J123" s="17">
        <f>IF(AND(J$15="Actual",ISBLANK($E$8)),SUMIFS('[1]NS Vendor Details'!$D:$D,'[1]NS Vendor Details'!$H:$H,'G&amp;A Vendor x GL Analysis'!J$20,'[1]NS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Analysis'!J$20,'[1]NS Vendor Details'!$L:$L,'G&amp;A Vendor x GL Analysis'!$D123,'[1]NS Vendor Details'!$O:$O,'G&amp;A Vendor x GL Analysis'!$F123,'[1]NS Vendor Details'!$N:$N,"Direct Costs",'[1]NS Vendor Details'!$J:$J,0),IF(J$15="Actual",SUMIFS('[1]NS Vendor Details'!$D:$D,'[1]NS Vendor Details'!$H:$H,'G&amp;A Vendor x GL Analysis'!J$20,'[1]NS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Analysis'!J$20,'[1]NS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K123" s="17">
        <f>IF(AND(K$15="Actual",ISBLANK($E$8)),SUMIFS('[1]NS Vendor Details'!$D:$D,'[1]NS Vendor Details'!$H:$H,'G&amp;A Vendor x GL Analysis'!K$20,'[1]NS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Analysis'!K$20,'[1]NS Vendor Details'!$L:$L,'G&amp;A Vendor x GL Analysis'!$D123,'[1]NS Vendor Details'!$O:$O,'G&amp;A Vendor x GL Analysis'!$F123,'[1]NS Vendor Details'!$N:$N,"Direct Costs",'[1]NS Vendor Details'!$J:$J,0),IF(K$15="Actual",SUMIFS('[1]NS Vendor Details'!$D:$D,'[1]NS Vendor Details'!$H:$H,'G&amp;A Vendor x GL Analysis'!K$20,'[1]NS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Analysis'!K$20,'[1]NS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L123" s="17">
        <f>IF(AND(L$15="Actual",ISBLANK($E$8)),SUMIFS('[1]NS Vendor Details'!$D:$D,'[1]NS Vendor Details'!$H:$H,'G&amp;A Vendor x GL Analysis'!L$20,'[1]NS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Analysis'!L$20,'[1]NS Vendor Details'!$L:$L,'G&amp;A Vendor x GL Analysis'!$D123,'[1]NS Vendor Details'!$O:$O,'G&amp;A Vendor x GL Analysis'!$F123,'[1]NS Vendor Details'!$N:$N,"Direct Costs",'[1]NS Vendor Details'!$J:$J,0),IF(L$15="Actual",SUMIFS('[1]NS Vendor Details'!$D:$D,'[1]NS Vendor Details'!$H:$H,'G&amp;A Vendor x GL Analysis'!L$20,'[1]NS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Analysis'!L$20,'[1]NS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M123" s="17">
        <f>IF(AND(M$15="Actual",ISBLANK($E$8)),SUMIFS('[1]NS Vendor Details'!$D:$D,'[1]NS Vendor Details'!$H:$H,'G&amp;A Vendor x GL Analysis'!M$20,'[1]NS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Analysis'!M$20,'[1]NS Vendor Details'!$L:$L,'G&amp;A Vendor x GL Analysis'!$D123,'[1]NS Vendor Details'!$O:$O,'G&amp;A Vendor x GL Analysis'!$F123,'[1]NS Vendor Details'!$N:$N,"Direct Costs",'[1]NS Vendor Details'!$J:$J,0),IF(M$15="Actual",SUMIFS('[1]NS Vendor Details'!$D:$D,'[1]NS Vendor Details'!$H:$H,'G&amp;A Vendor x GL Analysis'!M$20,'[1]NS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Analysis'!M$20,'[1]NS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N123" s="17">
        <f>IF(AND(N$15="Actual",ISBLANK($E$8)),SUMIFS('[1]NS Vendor Details'!$D:$D,'[1]NS Vendor Details'!$H:$H,'G&amp;A Vendor x GL Analysis'!N$20,'[1]NS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Analysis'!N$20,'[1]NS Vendor Details'!$L:$L,'G&amp;A Vendor x GL Analysis'!$D123,'[1]NS Vendor Details'!$O:$O,'G&amp;A Vendor x GL Analysis'!$F123,'[1]NS Vendor Details'!$N:$N,"Direct Costs",'[1]NS Vendor Details'!$J:$J,0),IF(N$15="Actual",SUMIFS('[1]NS Vendor Details'!$D:$D,'[1]NS Vendor Details'!$H:$H,'G&amp;A Vendor x GL Analysis'!N$20,'[1]NS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Analysis'!N$20,'[1]NS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O123" s="17">
        <f>IF(AND(O$15="Actual",ISBLANK($E$8)),SUMIFS('[1]NS Vendor Details'!$D:$D,'[1]NS Vendor Details'!$H:$H,'G&amp;A Vendor x GL Analysis'!O$20,'[1]NS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Analysis'!O$20,'[1]NS Vendor Details'!$L:$L,'G&amp;A Vendor x GL Analysis'!$D123,'[1]NS Vendor Details'!$O:$O,'G&amp;A Vendor x GL Analysis'!$F123,'[1]NS Vendor Details'!$N:$N,"Direct Costs",'[1]NS Vendor Details'!$J:$J,0),IF(O$15="Actual",SUMIFS('[1]NS Vendor Details'!$D:$D,'[1]NS Vendor Details'!$H:$H,'G&amp;A Vendor x GL Analysis'!O$20,'[1]NS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Analysis'!O$20,'[1]NS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P123" s="17">
        <f>IF(AND(P$15="Actual",ISBLANK($E$8)),SUMIFS('[1]NS Vendor Details'!$D:$D,'[1]NS Vendor Details'!$H:$H,'G&amp;A Vendor x GL Analysis'!P$20,'[1]NS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Analysis'!P$20,'[1]NS Vendor Details'!$L:$L,'G&amp;A Vendor x GL Analysis'!$D123,'[1]NS Vendor Details'!$O:$O,'G&amp;A Vendor x GL Analysis'!$F123,'[1]NS Vendor Details'!$N:$N,"Direct Costs",'[1]NS Vendor Details'!$J:$J,0),IF(P$15="Actual",SUMIFS('[1]NS Vendor Details'!$D:$D,'[1]NS Vendor Details'!$H:$H,'G&amp;A Vendor x GL Analysis'!P$20,'[1]NS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Analysis'!P$20,'[1]NS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Q123" s="17">
        <f>IF(AND(Q$15="Actual",ISBLANK($E$8)),SUMIFS('[1]NS Vendor Details'!$D:$D,'[1]NS Vendor Details'!$H:$H,'G&amp;A Vendor x GL Analysis'!Q$20,'[1]NS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Analysis'!Q$20,'[1]NS Vendor Details'!$L:$L,'G&amp;A Vendor x GL Analysis'!$D123,'[1]NS Vendor Details'!$O:$O,'G&amp;A Vendor x GL Analysis'!$F123,'[1]NS Vendor Details'!$N:$N,"Direct Costs",'[1]NS Vendor Details'!$J:$J,0),IF(Q$15="Actual",SUMIFS('[1]NS Vendor Details'!$D:$D,'[1]NS Vendor Details'!$H:$H,'G&amp;A Vendor x GL Analysis'!Q$20,'[1]NS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Analysis'!Q$20,'[1]NS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R123" s="18">
        <f>IF(AND(R$15="Actual",ISBLANK($E$8)),SUMIFS('[1]NS Vendor Details'!$D:$D,'[1]NS Vendor Details'!$H:$H,'G&amp;A Vendor x GL Analysis'!R$20,'[1]NS Vendor Details'!$L:$L,'G&amp;A Vendor x GL Analysis'!$D123,'[1]NS Vendor Details'!$O:$O,'G&amp;A Vendor x GL Analysis'!$F123,'[1]NS Vendor Details'!$N:$N,'G&amp;A Vendor x GL Analysis'!$C123)+SUMIFS('[1]NS Vendor Details'!$D:$D,'[1]NS Vendor Details'!$H:$H,'G&amp;A Vendor x GL Analysis'!R$20,'[1]NS Vendor Details'!$L:$L,'G&amp;A Vendor x GL Analysis'!$D123,'[1]NS Vendor Details'!$O:$O,'G&amp;A Vendor x GL Analysis'!$F123,'[1]NS Vendor Details'!$N:$N,"Direct Costs",'[1]NS Vendor Details'!$J:$J,0),IF(R$15="Actual",SUMIFS('[1]NS Vendor Details'!$D:$D,'[1]NS Vendor Details'!$H:$H,'G&amp;A Vendor x GL Analysis'!R$20,'[1]NS Vendor Details'!$L:$L,'G&amp;A Vendor x GL Analysis'!$D123,'[1]NS Vendor Details'!$O:$O,'G&amp;A Vendor x GL Analysis'!$F123,'[1]NS Vendor Details'!$N:$N,'G&amp;A Vendor x GL Analysis'!$C123,'[1]NS Vendor Details'!$K:$K,'G&amp;A Vendor x GL Analysis'!$E$8)+SUMIFS('[1]NS Vendor Details'!$D:$D,'[1]NS Vendor Details'!$H:$H,'G&amp;A Vendor x GL Analysis'!R$20,'[1]NS Vendor Details'!$L:$L,'G&amp;A Vendor x GL Analysis'!$D123,'[1]NS Vendor Details'!$O:$O,'G&amp;A Vendor x GL Analysis'!$F123,'[1]NS Vendor Details'!$N:$N,"Direct Costs",'[1]NS Vendor Details'!$J:$J,0,'[1]NS Vendor Details'!$K:$K,'G&amp;A Vendor x GL Analysis'!$E$8),0))</f>
        <v>0</v>
      </c>
      <c r="S123" s="16">
        <f>IF(AND(S$15="Actual",ISBLANK($E$8)),SUMIFS('[1]NS Vendor Details'!$D:$D,'[1]NS Vendor Details'!$H:$H,'G&amp;A Vendor x GL Analysis'!S$20,'[1]NS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Analysis'!S$20,'[1]NS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Analysis'!$E123),IF(S$15="Actual",SUMIFS('[1]NS Vendor Details'!$D:$D,'[1]NS Vendor Details'!$H:$H,'G&amp;A Vendor x GL Analysis'!S$20,'[1]NS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Analysis'!S$20,'[1]NS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T123" s="17">
        <f>IF(AND(T$15="Actual",ISBLANK($E$8)),SUMIFS('[1]NS Vendor Details'!$D:$D,'[1]NS Vendor Details'!$H:$H,'G&amp;A Vendor x GL Analysis'!T$20,'[1]NS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Analysis'!T$20,'[1]NS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Analysis'!$E123),IF(T$15="Actual",SUMIFS('[1]NS Vendor Details'!$D:$D,'[1]NS Vendor Details'!$H:$H,'G&amp;A Vendor x GL Analysis'!T$20,'[1]NS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Analysis'!T$20,'[1]NS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U123" s="17">
        <f>IF(AND(U$15="Actual",ISBLANK($E$8)),SUMIFS('[1]NS Vendor Details'!$D:$D,'[1]NS Vendor Details'!$H:$H,'G&amp;A Vendor x GL Analysis'!U$20,'[1]NS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Analysis'!U$20,'[1]NS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Analysis'!$E123),IF(U$15="Actual",SUMIFS('[1]NS Vendor Details'!$D:$D,'[1]NS Vendor Details'!$H:$H,'G&amp;A Vendor x GL Analysis'!U$20,'[1]NS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Analysis'!U$20,'[1]NS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V123" s="17">
        <f>IF(AND(V$15="Actual",ISBLANK($E$8)),SUMIFS('[1]NS Vendor Details'!$D:$D,'[1]NS Vendor Details'!$H:$H,'G&amp;A Vendor x GL Analysis'!V$20,'[1]NS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Analysis'!V$20,'[1]NS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Analysis'!$E123),IF(V$15="Actual",SUMIFS('[1]NS Vendor Details'!$D:$D,'[1]NS Vendor Details'!$H:$H,'G&amp;A Vendor x GL Analysis'!V$20,'[1]NS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Analysis'!V$20,'[1]NS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W123" s="17">
        <f>IF(AND(W$15="Actual",ISBLANK($E$8)),SUMIFS('[1]NS Vendor Details'!$D:$D,'[1]NS Vendor Details'!$H:$H,'G&amp;A Vendor x GL Analysis'!W$20,'[1]NS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Analysis'!W$20,'[1]NS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Analysis'!$E123),IF(W$15="Actual",SUMIFS('[1]NS Vendor Details'!$D:$D,'[1]NS Vendor Details'!$H:$H,'G&amp;A Vendor x GL Analysis'!W$20,'[1]NS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Analysis'!W$20,'[1]NS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X123" s="17">
        <f>IF(AND(X$15="Actual",ISBLANK($E$8)),SUMIFS('[1]NS Vendor Details'!$D:$D,'[1]NS Vendor Details'!$H:$H,'G&amp;A Vendor x GL Analysis'!X$20,'[1]NS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Analysis'!X$20,'[1]NS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Analysis'!$E123),IF(X$15="Actual",SUMIFS('[1]NS Vendor Details'!$D:$D,'[1]NS Vendor Details'!$H:$H,'G&amp;A Vendor x GL Analysis'!X$20,'[1]NS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Analysis'!X$20,'[1]NS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Y123" s="17">
        <f>IF(AND(Y$15="Actual",ISBLANK($E$8)),SUMIFS('[1]NS Vendor Details'!$D:$D,'[1]NS Vendor Details'!$H:$H,'G&amp;A Vendor x GL Analysis'!Y$20,'[1]NS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Analysis'!Y$20,'[1]NS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Analysis'!$E123),IF(Y$15="Actual",SUMIFS('[1]NS Vendor Details'!$D:$D,'[1]NS Vendor Details'!$H:$H,'G&amp;A Vendor x GL Analysis'!Y$20,'[1]NS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Analysis'!Y$20,'[1]NS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Z123" s="17">
        <f>IF(AND(Z$15="Actual",ISBLANK($E$8)),SUMIFS('[1]NS Vendor Details'!$D:$D,'[1]NS Vendor Details'!$H:$H,'G&amp;A Vendor x GL Analysis'!Z$20,'[1]NS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Analysis'!Z$20,'[1]NS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Analysis'!$E123),IF(Z$15="Actual",SUMIFS('[1]NS Vendor Details'!$D:$D,'[1]NS Vendor Details'!$H:$H,'G&amp;A Vendor x GL Analysis'!Z$20,'[1]NS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Analysis'!Z$20,'[1]NS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AA123" s="17">
        <f>IF(AND(AA$15="Actual",ISBLANK($E$8)),SUMIFS('[1]NS Vendor Details'!$D:$D,'[1]NS Vendor Details'!$H:$H,'G&amp;A Vendor x GL Analysis'!AA$20,'[1]NS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Analysis'!AA$20,'[1]NS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Analysis'!$E123),IF(AA$15="Actual",SUMIFS('[1]NS Vendor Details'!$D:$D,'[1]NS Vendor Details'!$H:$H,'G&amp;A Vendor x GL Analysis'!AA$20,'[1]NS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Analysis'!AA$20,'[1]NS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AB123" s="17">
        <f>IF(AND(AB$15="Actual",ISBLANK($E$8)),SUMIFS('[1]NS Vendor Details'!$D:$D,'[1]NS Vendor Details'!$H:$H,'G&amp;A Vendor x GL Analysis'!AB$20,'[1]NS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Analysis'!AB$20,'[1]NS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Analysis'!$E123),IF(AB$15="Actual",SUMIFS('[1]NS Vendor Details'!$D:$D,'[1]NS Vendor Details'!$H:$H,'G&amp;A Vendor x GL Analysis'!AB$20,'[1]NS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Analysis'!AB$20,'[1]NS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AC123" s="18">
        <f>IF(AND(AC$15="Actual",ISBLANK($E$8)),SUMIFS('[1]NS Vendor Details'!$D:$D,'[1]NS Vendor Details'!$H:$H,'G&amp;A Vendor x GL Analysis'!AC$20,'[1]NS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Analysis'!AC$20,'[1]NS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Analysis'!$E123),IF(AC$15="Actual",SUMIFS('[1]NS Vendor Details'!$D:$D,'[1]NS Vendor Details'!$H:$H,'G&amp;A Vendor x GL Analysis'!AC$20,'[1]NS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Analysis'!AC$20,'[1]NS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AD123" s="18">
        <f>IF(AND(AD$15="Actual",ISBLANK($E$8)),SUMIFS('[1]NS Vendor Details'!$D:$D,'[1]NS Vendor Details'!$H:$H,'G&amp;A Vendor x GL Analysis'!AD$20,'[1]NS Vendor Details'!$L:$L,'G&amp;A Vendor x GL Analysis'!$D123,'[1]NS Vendor Details'!$O:$O,'G&amp;A Vendor x GL Analysis'!$F123,'[1]NS Vendor Details'!$N:$N,'G&amp;A Vendor x GL Analysis'!$C123,'[1]NS Vendor Details'!$I:$I,'G&amp;A Vendor x GL Analysis'!$E123)+SUMIFS('[1]NS Vendor Details'!$D:$D,'[1]NS Vendor Details'!$H:$H,'G&amp;A Vendor x GL Analysis'!AD$20,'[1]NS Vendor Details'!$L:$L,'G&amp;A Vendor x GL Analysis'!$D123,'[1]NS Vendor Details'!$O:$O,'G&amp;A Vendor x GL Analysis'!$F123,'[1]NS Vendor Details'!$N:$N,"Direct Costs",'[1]NS Vendor Details'!$J:$J,0,'[1]NS Vendor Details'!$I:$I,'G&amp;A Vendor x GL Analysis'!$E123),IF(AD$15="Actual",SUMIFS('[1]NS Vendor Details'!$D:$D,'[1]NS Vendor Details'!$H:$H,'G&amp;A Vendor x GL Analysis'!AD$20,'[1]NS Vendor Details'!$L:$L,'G&amp;A Vendor x GL Analysis'!$D123,'[1]NS Vendor Details'!$O:$O,'G&amp;A Vendor x GL Analysis'!$F123,'[1]NS Vendor Details'!$N:$N,'G&amp;A Vendor x GL Analysis'!$C123,'[1]NS Vendor Details'!$K:$K,'G&amp;A Vendor x GL Analysis'!$E$8,'[1]NS Vendor Details'!$I:$I,'G&amp;A Vendor x GL Analysis'!$E123)+SUMIFS('[1]NS Vendor Details'!$D:$D,'[1]NS Vendor Details'!$H:$H,'G&amp;A Vendor x GL Analysis'!AD$20,'[1]NS Vendor Details'!$L:$L,'G&amp;A Vendor x GL Analysis'!$D123,'[1]NS Vendor Details'!$O:$O,'G&amp;A Vendor x GL Analysis'!$F123,'[1]NS Vendor Details'!$N:$N,"Direct Costs",'[1]NS Vendor Details'!$J:$J,0,'[1]NS Vendor Details'!$K:$K,'G&amp;A Vendor x GL Analysis'!$E$8,'[1]NS Vendor Details'!$I:$I,'G&amp;A Vendor x GL Analysis'!$E123),0))</f>
        <v>0</v>
      </c>
      <c r="AF123" s="19">
        <f t="shared" si="23"/>
        <v>0</v>
      </c>
    </row>
    <row r="124" spans="1:32" outlineLevel="1">
      <c r="A124" s="8" t="str">
        <f t="shared" si="22"/>
        <v>Professional Service6393 - Software</v>
      </c>
      <c r="C124" s="8" t="s">
        <v>11</v>
      </c>
      <c r="D124" s="8" t="str">
        <f t="shared" si="21"/>
        <v>Professional Service</v>
      </c>
      <c r="E124" s="2" t="s">
        <v>101</v>
      </c>
      <c r="F124" s="2" t="s">
        <v>117</v>
      </c>
      <c r="G124" s="16">
        <f>IF(AND(G$15="Actual",ISBLANK($E$8)),SUMIFS('[1]NS Vendor Details'!$D:$D,'[1]NS Vendor Details'!$H:$H,'G&amp;A Vendor x GL Analysis'!G$20,'[1]NS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Analysis'!G$20,'[1]NS Vendor Details'!$L:$L,'G&amp;A Vendor x GL Analysis'!$D124,'[1]NS Vendor Details'!$O:$O,'G&amp;A Vendor x GL Analysis'!$F124,'[1]NS Vendor Details'!$N:$N,"Direct Costs",'[1]NS Vendor Details'!$J:$J,0),IF(G$15="Actual",SUMIFS('[1]NS Vendor Details'!$D:$D,'[1]NS Vendor Details'!$H:$H,'G&amp;A Vendor x GL Analysis'!G$20,'[1]NS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Analysis'!G$20,'[1]NS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1134.1199999999999</v>
      </c>
      <c r="H124" s="17">
        <f>IF(AND(H$15="Actual",ISBLANK($E$8)),SUMIFS('[1]NS Vendor Details'!$D:$D,'[1]NS Vendor Details'!$H:$H,'G&amp;A Vendor x GL Analysis'!H$20,'[1]NS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Analysis'!H$20,'[1]NS Vendor Details'!$L:$L,'G&amp;A Vendor x GL Analysis'!$D124,'[1]NS Vendor Details'!$O:$O,'G&amp;A Vendor x GL Analysis'!$F124,'[1]NS Vendor Details'!$N:$N,"Direct Costs",'[1]NS Vendor Details'!$J:$J,0),IF(H$15="Actual",SUMIFS('[1]NS Vendor Details'!$D:$D,'[1]NS Vendor Details'!$H:$H,'G&amp;A Vendor x GL Analysis'!H$20,'[1]NS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Analysis'!H$20,'[1]NS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1134.1199999999999</v>
      </c>
      <c r="I124" s="17">
        <f>IF(AND(I$15="Actual",ISBLANK($E$8)),SUMIFS('[1]NS Vendor Details'!$D:$D,'[1]NS Vendor Details'!$H:$H,'G&amp;A Vendor x GL Analysis'!I$20,'[1]NS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Analysis'!I$20,'[1]NS Vendor Details'!$L:$L,'G&amp;A Vendor x GL Analysis'!$D124,'[1]NS Vendor Details'!$O:$O,'G&amp;A Vendor x GL Analysis'!$F124,'[1]NS Vendor Details'!$N:$N,"Direct Costs",'[1]NS Vendor Details'!$J:$J,0),IF(I$15="Actual",SUMIFS('[1]NS Vendor Details'!$D:$D,'[1]NS Vendor Details'!$H:$H,'G&amp;A Vendor x GL Analysis'!I$20,'[1]NS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Analysis'!I$20,'[1]NS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1134.1199999999999</v>
      </c>
      <c r="J124" s="17">
        <f>IF(AND(J$15="Actual",ISBLANK($E$8)),SUMIFS('[1]NS Vendor Details'!$D:$D,'[1]NS Vendor Details'!$H:$H,'G&amp;A Vendor x GL Analysis'!J$20,'[1]NS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Analysis'!J$20,'[1]NS Vendor Details'!$L:$L,'G&amp;A Vendor x GL Analysis'!$D124,'[1]NS Vendor Details'!$O:$O,'G&amp;A Vendor x GL Analysis'!$F124,'[1]NS Vendor Details'!$N:$N,"Direct Costs",'[1]NS Vendor Details'!$J:$J,0),IF(J$15="Actual",SUMIFS('[1]NS Vendor Details'!$D:$D,'[1]NS Vendor Details'!$H:$H,'G&amp;A Vendor x GL Analysis'!J$20,'[1]NS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Analysis'!J$20,'[1]NS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17011.669999999998</v>
      </c>
      <c r="K124" s="17">
        <f>IF(AND(K$15="Actual",ISBLANK($E$8)),SUMIFS('[1]NS Vendor Details'!$D:$D,'[1]NS Vendor Details'!$H:$H,'G&amp;A Vendor x GL Analysis'!K$20,'[1]NS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Analysis'!K$20,'[1]NS Vendor Details'!$L:$L,'G&amp;A Vendor x GL Analysis'!$D124,'[1]NS Vendor Details'!$O:$O,'G&amp;A Vendor x GL Analysis'!$F124,'[1]NS Vendor Details'!$N:$N,"Direct Costs",'[1]NS Vendor Details'!$J:$J,0),IF(K$15="Actual",SUMIFS('[1]NS Vendor Details'!$D:$D,'[1]NS Vendor Details'!$H:$H,'G&amp;A Vendor x GL Analysis'!K$20,'[1]NS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Analysis'!K$20,'[1]NS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2268.23</v>
      </c>
      <c r="L124" s="17">
        <f>IF(AND(L$15="Actual",ISBLANK($E$8)),SUMIFS('[1]NS Vendor Details'!$D:$D,'[1]NS Vendor Details'!$H:$H,'G&amp;A Vendor x GL Analysis'!L$20,'[1]NS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Analysis'!L$20,'[1]NS Vendor Details'!$L:$L,'G&amp;A Vendor x GL Analysis'!$D124,'[1]NS Vendor Details'!$O:$O,'G&amp;A Vendor x GL Analysis'!$F124,'[1]NS Vendor Details'!$N:$N,"Direct Costs",'[1]NS Vendor Details'!$J:$J,0),IF(L$15="Actual",SUMIFS('[1]NS Vendor Details'!$D:$D,'[1]NS Vendor Details'!$H:$H,'G&amp;A Vendor x GL Analysis'!L$20,'[1]NS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Analysis'!L$20,'[1]NS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0</v>
      </c>
      <c r="M124" s="17">
        <f>IF(AND(M$15="Actual",ISBLANK($E$8)),SUMIFS('[1]NS Vendor Details'!$D:$D,'[1]NS Vendor Details'!$H:$H,'G&amp;A Vendor x GL Analysis'!M$20,'[1]NS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Analysis'!M$20,'[1]NS Vendor Details'!$L:$L,'G&amp;A Vendor x GL Analysis'!$D124,'[1]NS Vendor Details'!$O:$O,'G&amp;A Vendor x GL Analysis'!$F124,'[1]NS Vendor Details'!$N:$N,"Direct Costs",'[1]NS Vendor Details'!$J:$J,0),IF(M$15="Actual",SUMIFS('[1]NS Vendor Details'!$D:$D,'[1]NS Vendor Details'!$H:$H,'G&amp;A Vendor x GL Analysis'!M$20,'[1]NS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Analysis'!M$20,'[1]NS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2268.23</v>
      </c>
      <c r="N124" s="17">
        <f>IF(AND(N$15="Actual",ISBLANK($E$8)),SUMIFS('[1]NS Vendor Details'!$D:$D,'[1]NS Vendor Details'!$H:$H,'G&amp;A Vendor x GL Analysis'!N$20,'[1]NS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Analysis'!N$20,'[1]NS Vendor Details'!$L:$L,'G&amp;A Vendor x GL Analysis'!$D124,'[1]NS Vendor Details'!$O:$O,'G&amp;A Vendor x GL Analysis'!$F124,'[1]NS Vendor Details'!$N:$N,"Direct Costs",'[1]NS Vendor Details'!$J:$J,0),IF(N$15="Actual",SUMIFS('[1]NS Vendor Details'!$D:$D,'[1]NS Vendor Details'!$H:$H,'G&amp;A Vendor x GL Analysis'!N$20,'[1]NS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Analysis'!N$20,'[1]NS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2268.23</v>
      </c>
      <c r="O124" s="17">
        <f>IF(AND(O$15="Actual",ISBLANK($E$8)),SUMIFS('[1]NS Vendor Details'!$D:$D,'[1]NS Vendor Details'!$H:$H,'G&amp;A Vendor x GL Analysis'!O$20,'[1]NS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Analysis'!O$20,'[1]NS Vendor Details'!$L:$L,'G&amp;A Vendor x GL Analysis'!$D124,'[1]NS Vendor Details'!$O:$O,'G&amp;A Vendor x GL Analysis'!$F124,'[1]NS Vendor Details'!$N:$N,"Direct Costs",'[1]NS Vendor Details'!$J:$J,0),IF(O$15="Actual",SUMIFS('[1]NS Vendor Details'!$D:$D,'[1]NS Vendor Details'!$H:$H,'G&amp;A Vendor x GL Analysis'!O$20,'[1]NS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Analysis'!O$20,'[1]NS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2268.23</v>
      </c>
      <c r="P124" s="17">
        <f>IF(AND(P$15="Actual",ISBLANK($E$8)),SUMIFS('[1]NS Vendor Details'!$D:$D,'[1]NS Vendor Details'!$H:$H,'G&amp;A Vendor x GL Analysis'!P$20,'[1]NS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Analysis'!P$20,'[1]NS Vendor Details'!$L:$L,'G&amp;A Vendor x GL Analysis'!$D124,'[1]NS Vendor Details'!$O:$O,'G&amp;A Vendor x GL Analysis'!$F124,'[1]NS Vendor Details'!$N:$N,"Direct Costs",'[1]NS Vendor Details'!$J:$J,0),IF(P$15="Actual",SUMIFS('[1]NS Vendor Details'!$D:$D,'[1]NS Vendor Details'!$H:$H,'G&amp;A Vendor x GL Analysis'!P$20,'[1]NS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Analysis'!P$20,'[1]NS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2268.23</v>
      </c>
      <c r="Q124" s="17">
        <f>IF(AND(Q$15="Actual",ISBLANK($E$8)),SUMIFS('[1]NS Vendor Details'!$D:$D,'[1]NS Vendor Details'!$H:$H,'G&amp;A Vendor x GL Analysis'!Q$20,'[1]NS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Analysis'!Q$20,'[1]NS Vendor Details'!$L:$L,'G&amp;A Vendor x GL Analysis'!$D124,'[1]NS Vendor Details'!$O:$O,'G&amp;A Vendor x GL Analysis'!$F124,'[1]NS Vendor Details'!$N:$N,"Direct Costs",'[1]NS Vendor Details'!$J:$J,0),IF(Q$15="Actual",SUMIFS('[1]NS Vendor Details'!$D:$D,'[1]NS Vendor Details'!$H:$H,'G&amp;A Vendor x GL Analysis'!Q$20,'[1]NS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Analysis'!Q$20,'[1]NS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2268.23</v>
      </c>
      <c r="R124" s="18">
        <f>IF(AND(R$15="Actual",ISBLANK($E$8)),SUMIFS('[1]NS Vendor Details'!$D:$D,'[1]NS Vendor Details'!$H:$H,'G&amp;A Vendor x GL Analysis'!R$20,'[1]NS Vendor Details'!$L:$L,'G&amp;A Vendor x GL Analysis'!$D124,'[1]NS Vendor Details'!$O:$O,'G&amp;A Vendor x GL Analysis'!$F124,'[1]NS Vendor Details'!$N:$N,'G&amp;A Vendor x GL Analysis'!$C124)+SUMIFS('[1]NS Vendor Details'!$D:$D,'[1]NS Vendor Details'!$H:$H,'G&amp;A Vendor x GL Analysis'!R$20,'[1]NS Vendor Details'!$L:$L,'G&amp;A Vendor x GL Analysis'!$D124,'[1]NS Vendor Details'!$O:$O,'G&amp;A Vendor x GL Analysis'!$F124,'[1]NS Vendor Details'!$N:$N,"Direct Costs",'[1]NS Vendor Details'!$J:$J,0),IF(R$15="Actual",SUMIFS('[1]NS Vendor Details'!$D:$D,'[1]NS Vendor Details'!$H:$H,'G&amp;A Vendor x GL Analysis'!R$20,'[1]NS Vendor Details'!$L:$L,'G&amp;A Vendor x GL Analysis'!$D124,'[1]NS Vendor Details'!$O:$O,'G&amp;A Vendor x GL Analysis'!$F124,'[1]NS Vendor Details'!$N:$N,'G&amp;A Vendor x GL Analysis'!$C124,'[1]NS Vendor Details'!$K:$K,'G&amp;A Vendor x GL Analysis'!$E$8)+SUMIFS('[1]NS Vendor Details'!$D:$D,'[1]NS Vendor Details'!$H:$H,'G&amp;A Vendor x GL Analysis'!R$20,'[1]NS Vendor Details'!$L:$L,'G&amp;A Vendor x GL Analysis'!$D124,'[1]NS Vendor Details'!$O:$O,'G&amp;A Vendor x GL Analysis'!$F124,'[1]NS Vendor Details'!$N:$N,"Direct Costs",'[1]NS Vendor Details'!$J:$J,0,'[1]NS Vendor Details'!$K:$K,'G&amp;A Vendor x GL Analysis'!$E$8),0))</f>
        <v>2268.23</v>
      </c>
      <c r="S124" s="16">
        <f>IF(AND(S$15="Actual",ISBLANK($E$8)),SUMIFS('[1]NS Vendor Details'!$D:$D,'[1]NS Vendor Details'!$H:$H,'G&amp;A Vendor x GL Analysis'!S$20,'[1]NS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Analysis'!S$20,'[1]NS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Analysis'!$E124),IF(S$15="Actual",SUMIFS('[1]NS Vendor Details'!$D:$D,'[1]NS Vendor Details'!$H:$H,'G&amp;A Vendor x GL Analysis'!S$20,'[1]NS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Analysis'!S$20,'[1]NS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2268.23</v>
      </c>
      <c r="T124" s="17">
        <f>IF(AND(T$15="Actual",ISBLANK($E$8)),SUMIFS('[1]NS Vendor Details'!$D:$D,'[1]NS Vendor Details'!$H:$H,'G&amp;A Vendor x GL Analysis'!T$20,'[1]NS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Analysis'!T$20,'[1]NS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Analysis'!$E124),IF(T$15="Actual",SUMIFS('[1]NS Vendor Details'!$D:$D,'[1]NS Vendor Details'!$H:$H,'G&amp;A Vendor x GL Analysis'!T$20,'[1]NS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Analysis'!T$20,'[1]NS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2268.23</v>
      </c>
      <c r="U124" s="17">
        <f>IF(AND(U$15="Actual",ISBLANK($E$8)),SUMIFS('[1]NS Vendor Details'!$D:$D,'[1]NS Vendor Details'!$H:$H,'G&amp;A Vendor x GL Analysis'!U$20,'[1]NS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Analysis'!U$20,'[1]NS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Analysis'!$E124),IF(U$15="Actual",SUMIFS('[1]NS Vendor Details'!$D:$D,'[1]NS Vendor Details'!$H:$H,'G&amp;A Vendor x GL Analysis'!U$20,'[1]NS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Analysis'!U$20,'[1]NS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2268.2199999999998</v>
      </c>
      <c r="V124" s="17">
        <f>IF(AND(V$15="Actual",ISBLANK($E$8)),SUMIFS('[1]NS Vendor Details'!$D:$D,'[1]NS Vendor Details'!$H:$H,'G&amp;A Vendor x GL Analysis'!V$20,'[1]NS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Analysis'!V$20,'[1]NS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Analysis'!$E124),IF(V$15="Actual",SUMIFS('[1]NS Vendor Details'!$D:$D,'[1]NS Vendor Details'!$H:$H,'G&amp;A Vendor x GL Analysis'!V$20,'[1]NS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Analysis'!V$20,'[1]NS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0</v>
      </c>
      <c r="W124" s="17">
        <f>IF(AND(W$15="Actual",ISBLANK($E$8)),SUMIFS('[1]NS Vendor Details'!$D:$D,'[1]NS Vendor Details'!$H:$H,'G&amp;A Vendor x GL Analysis'!W$20,'[1]NS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Analysis'!W$20,'[1]NS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Analysis'!$E124),IF(W$15="Actual",SUMIFS('[1]NS Vendor Details'!$D:$D,'[1]NS Vendor Details'!$H:$H,'G&amp;A Vendor x GL Analysis'!W$20,'[1]NS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Analysis'!W$20,'[1]NS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4536.46</v>
      </c>
      <c r="X124" s="17">
        <f>IF(AND(X$15="Actual",ISBLANK($E$8)),SUMIFS('[1]NS Vendor Details'!$D:$D,'[1]NS Vendor Details'!$H:$H,'G&amp;A Vendor x GL Analysis'!X$20,'[1]NS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Analysis'!X$20,'[1]NS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Analysis'!$E124),IF(X$15="Actual",SUMIFS('[1]NS Vendor Details'!$D:$D,'[1]NS Vendor Details'!$H:$H,'G&amp;A Vendor x GL Analysis'!X$20,'[1]NS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Analysis'!X$20,'[1]NS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2268.23</v>
      </c>
      <c r="Y124" s="17">
        <f>IF(AND(Y$15="Actual",ISBLANK($E$8)),SUMIFS('[1]NS Vendor Details'!$D:$D,'[1]NS Vendor Details'!$H:$H,'G&amp;A Vendor x GL Analysis'!Y$20,'[1]NS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Analysis'!Y$20,'[1]NS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Analysis'!$E124),IF(Y$15="Actual",SUMIFS('[1]NS Vendor Details'!$D:$D,'[1]NS Vendor Details'!$H:$H,'G&amp;A Vendor x GL Analysis'!Y$20,'[1]NS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Analysis'!Y$20,'[1]NS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2268.23</v>
      </c>
      <c r="Z124" s="17">
        <f>IF(AND(Z$15="Actual",ISBLANK($E$8)),SUMIFS('[1]NS Vendor Details'!$D:$D,'[1]NS Vendor Details'!$H:$H,'G&amp;A Vendor x GL Analysis'!Z$20,'[1]NS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Analysis'!Z$20,'[1]NS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Analysis'!$E124),IF(Z$15="Actual",SUMIFS('[1]NS Vendor Details'!$D:$D,'[1]NS Vendor Details'!$H:$H,'G&amp;A Vendor x GL Analysis'!Z$20,'[1]NS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Analysis'!Z$20,'[1]NS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2268.23</v>
      </c>
      <c r="AA124" s="17">
        <f>IF(AND(AA$15="Actual",ISBLANK($E$8)),SUMIFS('[1]NS Vendor Details'!$D:$D,'[1]NS Vendor Details'!$H:$H,'G&amp;A Vendor x GL Analysis'!AA$20,'[1]NS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Analysis'!AA$20,'[1]NS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Analysis'!$E124),IF(AA$15="Actual",SUMIFS('[1]NS Vendor Details'!$D:$D,'[1]NS Vendor Details'!$H:$H,'G&amp;A Vendor x GL Analysis'!AA$20,'[1]NS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Analysis'!AA$20,'[1]NS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2268.23</v>
      </c>
      <c r="AB124" s="17">
        <f>IF(AND(AB$15="Actual",ISBLANK($E$8)),SUMIFS('[1]NS Vendor Details'!$D:$D,'[1]NS Vendor Details'!$H:$H,'G&amp;A Vendor x GL Analysis'!AB$20,'[1]NS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Analysis'!AB$20,'[1]NS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Analysis'!$E124),IF(AB$15="Actual",SUMIFS('[1]NS Vendor Details'!$D:$D,'[1]NS Vendor Details'!$H:$H,'G&amp;A Vendor x GL Analysis'!AB$20,'[1]NS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Analysis'!AB$20,'[1]NS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2268.23</v>
      </c>
      <c r="AC124" s="18">
        <f>IF(AND(AC$15="Actual",ISBLANK($E$8)),SUMIFS('[1]NS Vendor Details'!$D:$D,'[1]NS Vendor Details'!$H:$H,'G&amp;A Vendor x GL Analysis'!AC$20,'[1]NS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Analysis'!AC$20,'[1]NS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Analysis'!$E124),IF(AC$15="Actual",SUMIFS('[1]NS Vendor Details'!$D:$D,'[1]NS Vendor Details'!$H:$H,'G&amp;A Vendor x GL Analysis'!AC$20,'[1]NS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Analysis'!AC$20,'[1]NS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2268.23</v>
      </c>
      <c r="AD124" s="18">
        <f>IF(AND(AD$15="Actual",ISBLANK($E$8)),SUMIFS('[1]NS Vendor Details'!$D:$D,'[1]NS Vendor Details'!$H:$H,'G&amp;A Vendor x GL Analysis'!AD$20,'[1]NS Vendor Details'!$L:$L,'G&amp;A Vendor x GL Analysis'!$D124,'[1]NS Vendor Details'!$O:$O,'G&amp;A Vendor x GL Analysis'!$F124,'[1]NS Vendor Details'!$N:$N,'G&amp;A Vendor x GL Analysis'!$C124,'[1]NS Vendor Details'!$I:$I,'G&amp;A Vendor x GL Analysis'!$E124)+SUMIFS('[1]NS Vendor Details'!$D:$D,'[1]NS Vendor Details'!$H:$H,'G&amp;A Vendor x GL Analysis'!AD$20,'[1]NS Vendor Details'!$L:$L,'G&amp;A Vendor x GL Analysis'!$D124,'[1]NS Vendor Details'!$O:$O,'G&amp;A Vendor x GL Analysis'!$F124,'[1]NS Vendor Details'!$N:$N,"Direct Costs",'[1]NS Vendor Details'!$J:$J,0,'[1]NS Vendor Details'!$I:$I,'G&amp;A Vendor x GL Analysis'!$E124),IF(AD$15="Actual",SUMIFS('[1]NS Vendor Details'!$D:$D,'[1]NS Vendor Details'!$H:$H,'G&amp;A Vendor x GL Analysis'!AD$20,'[1]NS Vendor Details'!$L:$L,'G&amp;A Vendor x GL Analysis'!$D124,'[1]NS Vendor Details'!$O:$O,'G&amp;A Vendor x GL Analysis'!$F124,'[1]NS Vendor Details'!$N:$N,'G&amp;A Vendor x GL Analysis'!$C124,'[1]NS Vendor Details'!$K:$K,'G&amp;A Vendor x GL Analysis'!$E$8,'[1]NS Vendor Details'!$I:$I,'G&amp;A Vendor x GL Analysis'!$E124)+SUMIFS('[1]NS Vendor Details'!$D:$D,'[1]NS Vendor Details'!$H:$H,'G&amp;A Vendor x GL Analysis'!AD$20,'[1]NS Vendor Details'!$L:$L,'G&amp;A Vendor x GL Analysis'!$D124,'[1]NS Vendor Details'!$O:$O,'G&amp;A Vendor x GL Analysis'!$F124,'[1]NS Vendor Details'!$N:$N,"Direct Costs",'[1]NS Vendor Details'!$J:$J,0,'[1]NS Vendor Details'!$K:$K,'G&amp;A Vendor x GL Analysis'!$E$8,'[1]NS Vendor Details'!$I:$I,'G&amp;A Vendor x GL Analysis'!$E124),0))</f>
        <v>0</v>
      </c>
      <c r="AF124" s="19">
        <f t="shared" si="23"/>
        <v>24950.519999999997</v>
      </c>
    </row>
    <row r="125" spans="1:32" outlineLevel="1">
      <c r="A125" s="8" t="str">
        <f t="shared" si="22"/>
        <v>Professional Service6393 - Software</v>
      </c>
      <c r="C125" s="8" t="s">
        <v>11</v>
      </c>
      <c r="D125" s="8" t="str">
        <f t="shared" si="21"/>
        <v>Professional Service</v>
      </c>
      <c r="E125" s="2" t="s">
        <v>101</v>
      </c>
      <c r="F125" s="2" t="s">
        <v>118</v>
      </c>
      <c r="G125" s="16">
        <f>IF(AND(G$15="Actual",ISBLANK($E$8)),SUMIFS('[1]NS Vendor Details'!$D:$D,'[1]NS Vendor Details'!$H:$H,'G&amp;A Vendor x GL Analysis'!G$20,'[1]NS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Analysis'!G$20,'[1]NS Vendor Details'!$L:$L,'G&amp;A Vendor x GL Analysis'!$D125,'[1]NS Vendor Details'!$O:$O,'G&amp;A Vendor x GL Analysis'!$F125,'[1]NS Vendor Details'!$N:$N,"Direct Costs",'[1]NS Vendor Details'!$J:$J,0),IF(G$15="Actual",SUMIFS('[1]NS Vendor Details'!$D:$D,'[1]NS Vendor Details'!$H:$H,'G&amp;A Vendor x GL Analysis'!G$20,'[1]NS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Analysis'!G$20,'[1]NS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H125" s="17">
        <f>IF(AND(H$15="Actual",ISBLANK($E$8)),SUMIFS('[1]NS Vendor Details'!$D:$D,'[1]NS Vendor Details'!$H:$H,'G&amp;A Vendor x GL Analysis'!H$20,'[1]NS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Analysis'!H$20,'[1]NS Vendor Details'!$L:$L,'G&amp;A Vendor x GL Analysis'!$D125,'[1]NS Vendor Details'!$O:$O,'G&amp;A Vendor x GL Analysis'!$F125,'[1]NS Vendor Details'!$N:$N,"Direct Costs",'[1]NS Vendor Details'!$J:$J,0),IF(H$15="Actual",SUMIFS('[1]NS Vendor Details'!$D:$D,'[1]NS Vendor Details'!$H:$H,'G&amp;A Vendor x GL Analysis'!H$20,'[1]NS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Analysis'!H$20,'[1]NS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I125" s="17">
        <f>IF(AND(I$15="Actual",ISBLANK($E$8)),SUMIFS('[1]NS Vendor Details'!$D:$D,'[1]NS Vendor Details'!$H:$H,'G&amp;A Vendor x GL Analysis'!I$20,'[1]NS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Analysis'!I$20,'[1]NS Vendor Details'!$L:$L,'G&amp;A Vendor x GL Analysis'!$D125,'[1]NS Vendor Details'!$O:$O,'G&amp;A Vendor x GL Analysis'!$F125,'[1]NS Vendor Details'!$N:$N,"Direct Costs",'[1]NS Vendor Details'!$J:$J,0),IF(I$15="Actual",SUMIFS('[1]NS Vendor Details'!$D:$D,'[1]NS Vendor Details'!$H:$H,'G&amp;A Vendor x GL Analysis'!I$20,'[1]NS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Analysis'!I$20,'[1]NS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J125" s="17">
        <f>IF(AND(J$15="Actual",ISBLANK($E$8)),SUMIFS('[1]NS Vendor Details'!$D:$D,'[1]NS Vendor Details'!$H:$H,'G&amp;A Vendor x GL Analysis'!J$20,'[1]NS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Analysis'!J$20,'[1]NS Vendor Details'!$L:$L,'G&amp;A Vendor x GL Analysis'!$D125,'[1]NS Vendor Details'!$O:$O,'G&amp;A Vendor x GL Analysis'!$F125,'[1]NS Vendor Details'!$N:$N,"Direct Costs",'[1]NS Vendor Details'!$J:$J,0),IF(J$15="Actual",SUMIFS('[1]NS Vendor Details'!$D:$D,'[1]NS Vendor Details'!$H:$H,'G&amp;A Vendor x GL Analysis'!J$20,'[1]NS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Analysis'!J$20,'[1]NS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K125" s="17">
        <f>IF(AND(K$15="Actual",ISBLANK($E$8)),SUMIFS('[1]NS Vendor Details'!$D:$D,'[1]NS Vendor Details'!$H:$H,'G&amp;A Vendor x GL Analysis'!K$20,'[1]NS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Analysis'!K$20,'[1]NS Vendor Details'!$L:$L,'G&amp;A Vendor x GL Analysis'!$D125,'[1]NS Vendor Details'!$O:$O,'G&amp;A Vendor x GL Analysis'!$F125,'[1]NS Vendor Details'!$N:$N,"Direct Costs",'[1]NS Vendor Details'!$J:$J,0),IF(K$15="Actual",SUMIFS('[1]NS Vendor Details'!$D:$D,'[1]NS Vendor Details'!$H:$H,'G&amp;A Vendor x GL Analysis'!K$20,'[1]NS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Analysis'!K$20,'[1]NS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L125" s="17">
        <f>IF(AND(L$15="Actual",ISBLANK($E$8)),SUMIFS('[1]NS Vendor Details'!$D:$D,'[1]NS Vendor Details'!$H:$H,'G&amp;A Vendor x GL Analysis'!L$20,'[1]NS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Analysis'!L$20,'[1]NS Vendor Details'!$L:$L,'G&amp;A Vendor x GL Analysis'!$D125,'[1]NS Vendor Details'!$O:$O,'G&amp;A Vendor x GL Analysis'!$F125,'[1]NS Vendor Details'!$N:$N,"Direct Costs",'[1]NS Vendor Details'!$J:$J,0),IF(L$15="Actual",SUMIFS('[1]NS Vendor Details'!$D:$D,'[1]NS Vendor Details'!$H:$H,'G&amp;A Vendor x GL Analysis'!L$20,'[1]NS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Analysis'!L$20,'[1]NS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M125" s="17">
        <f>IF(AND(M$15="Actual",ISBLANK($E$8)),SUMIFS('[1]NS Vendor Details'!$D:$D,'[1]NS Vendor Details'!$H:$H,'G&amp;A Vendor x GL Analysis'!M$20,'[1]NS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Analysis'!M$20,'[1]NS Vendor Details'!$L:$L,'G&amp;A Vendor x GL Analysis'!$D125,'[1]NS Vendor Details'!$O:$O,'G&amp;A Vendor x GL Analysis'!$F125,'[1]NS Vendor Details'!$N:$N,"Direct Costs",'[1]NS Vendor Details'!$J:$J,0),IF(M$15="Actual",SUMIFS('[1]NS Vendor Details'!$D:$D,'[1]NS Vendor Details'!$H:$H,'G&amp;A Vendor x GL Analysis'!M$20,'[1]NS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Analysis'!M$20,'[1]NS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N125" s="17">
        <f>IF(AND(N$15="Actual",ISBLANK($E$8)),SUMIFS('[1]NS Vendor Details'!$D:$D,'[1]NS Vendor Details'!$H:$H,'G&amp;A Vendor x GL Analysis'!N$20,'[1]NS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Analysis'!N$20,'[1]NS Vendor Details'!$L:$L,'G&amp;A Vendor x GL Analysis'!$D125,'[1]NS Vendor Details'!$O:$O,'G&amp;A Vendor x GL Analysis'!$F125,'[1]NS Vendor Details'!$N:$N,"Direct Costs",'[1]NS Vendor Details'!$J:$J,0),IF(N$15="Actual",SUMIFS('[1]NS Vendor Details'!$D:$D,'[1]NS Vendor Details'!$H:$H,'G&amp;A Vendor x GL Analysis'!N$20,'[1]NS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Analysis'!N$20,'[1]NS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O125" s="17">
        <f>IF(AND(O$15="Actual",ISBLANK($E$8)),SUMIFS('[1]NS Vendor Details'!$D:$D,'[1]NS Vendor Details'!$H:$H,'G&amp;A Vendor x GL Analysis'!O$20,'[1]NS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Analysis'!O$20,'[1]NS Vendor Details'!$L:$L,'G&amp;A Vendor x GL Analysis'!$D125,'[1]NS Vendor Details'!$O:$O,'G&amp;A Vendor x GL Analysis'!$F125,'[1]NS Vendor Details'!$N:$N,"Direct Costs",'[1]NS Vendor Details'!$J:$J,0),IF(O$15="Actual",SUMIFS('[1]NS Vendor Details'!$D:$D,'[1]NS Vendor Details'!$H:$H,'G&amp;A Vendor x GL Analysis'!O$20,'[1]NS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Analysis'!O$20,'[1]NS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P125" s="17">
        <f>IF(AND(P$15="Actual",ISBLANK($E$8)),SUMIFS('[1]NS Vendor Details'!$D:$D,'[1]NS Vendor Details'!$H:$H,'G&amp;A Vendor x GL Analysis'!P$20,'[1]NS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Analysis'!P$20,'[1]NS Vendor Details'!$L:$L,'G&amp;A Vendor x GL Analysis'!$D125,'[1]NS Vendor Details'!$O:$O,'G&amp;A Vendor x GL Analysis'!$F125,'[1]NS Vendor Details'!$N:$N,"Direct Costs",'[1]NS Vendor Details'!$J:$J,0),IF(P$15="Actual",SUMIFS('[1]NS Vendor Details'!$D:$D,'[1]NS Vendor Details'!$H:$H,'G&amp;A Vendor x GL Analysis'!P$20,'[1]NS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Analysis'!P$20,'[1]NS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Q125" s="17">
        <f>IF(AND(Q$15="Actual",ISBLANK($E$8)),SUMIFS('[1]NS Vendor Details'!$D:$D,'[1]NS Vendor Details'!$H:$H,'G&amp;A Vendor x GL Analysis'!Q$20,'[1]NS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Analysis'!Q$20,'[1]NS Vendor Details'!$L:$L,'G&amp;A Vendor x GL Analysis'!$D125,'[1]NS Vendor Details'!$O:$O,'G&amp;A Vendor x GL Analysis'!$F125,'[1]NS Vendor Details'!$N:$N,"Direct Costs",'[1]NS Vendor Details'!$J:$J,0),IF(Q$15="Actual",SUMIFS('[1]NS Vendor Details'!$D:$D,'[1]NS Vendor Details'!$H:$H,'G&amp;A Vendor x GL Analysis'!Q$20,'[1]NS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Analysis'!Q$20,'[1]NS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R125" s="18">
        <f>IF(AND(R$15="Actual",ISBLANK($E$8)),SUMIFS('[1]NS Vendor Details'!$D:$D,'[1]NS Vendor Details'!$H:$H,'G&amp;A Vendor x GL Analysis'!R$20,'[1]NS Vendor Details'!$L:$L,'G&amp;A Vendor x GL Analysis'!$D125,'[1]NS Vendor Details'!$O:$O,'G&amp;A Vendor x GL Analysis'!$F125,'[1]NS Vendor Details'!$N:$N,'G&amp;A Vendor x GL Analysis'!$C125)+SUMIFS('[1]NS Vendor Details'!$D:$D,'[1]NS Vendor Details'!$H:$H,'G&amp;A Vendor x GL Analysis'!R$20,'[1]NS Vendor Details'!$L:$L,'G&amp;A Vendor x GL Analysis'!$D125,'[1]NS Vendor Details'!$O:$O,'G&amp;A Vendor x GL Analysis'!$F125,'[1]NS Vendor Details'!$N:$N,"Direct Costs",'[1]NS Vendor Details'!$J:$J,0),IF(R$15="Actual",SUMIFS('[1]NS Vendor Details'!$D:$D,'[1]NS Vendor Details'!$H:$H,'G&amp;A Vendor x GL Analysis'!R$20,'[1]NS Vendor Details'!$L:$L,'G&amp;A Vendor x GL Analysis'!$D125,'[1]NS Vendor Details'!$O:$O,'G&amp;A Vendor x GL Analysis'!$F125,'[1]NS Vendor Details'!$N:$N,'G&amp;A Vendor x GL Analysis'!$C125,'[1]NS Vendor Details'!$K:$K,'G&amp;A Vendor x GL Analysis'!$E$8)+SUMIFS('[1]NS Vendor Details'!$D:$D,'[1]NS Vendor Details'!$H:$H,'G&amp;A Vendor x GL Analysis'!R$20,'[1]NS Vendor Details'!$L:$L,'G&amp;A Vendor x GL Analysis'!$D125,'[1]NS Vendor Details'!$O:$O,'G&amp;A Vendor x GL Analysis'!$F125,'[1]NS Vendor Details'!$N:$N,"Direct Costs",'[1]NS Vendor Details'!$J:$J,0,'[1]NS Vendor Details'!$K:$K,'G&amp;A Vendor x GL Analysis'!$E$8),0))</f>
        <v>0</v>
      </c>
      <c r="S125" s="16">
        <f>IF(AND(S$15="Actual",ISBLANK($E$8)),SUMIFS('[1]NS Vendor Details'!$D:$D,'[1]NS Vendor Details'!$H:$H,'G&amp;A Vendor x GL Analysis'!S$20,'[1]NS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Analysis'!S$20,'[1]NS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Analysis'!$E125),IF(S$15="Actual",SUMIFS('[1]NS Vendor Details'!$D:$D,'[1]NS Vendor Details'!$H:$H,'G&amp;A Vendor x GL Analysis'!S$20,'[1]NS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Analysis'!S$20,'[1]NS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T125" s="17">
        <f>IF(AND(T$15="Actual",ISBLANK($E$8)),SUMIFS('[1]NS Vendor Details'!$D:$D,'[1]NS Vendor Details'!$H:$H,'G&amp;A Vendor x GL Analysis'!T$20,'[1]NS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Analysis'!T$20,'[1]NS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Analysis'!$E125),IF(T$15="Actual",SUMIFS('[1]NS Vendor Details'!$D:$D,'[1]NS Vendor Details'!$H:$H,'G&amp;A Vendor x GL Analysis'!T$20,'[1]NS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Analysis'!T$20,'[1]NS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U125" s="17">
        <f>IF(AND(U$15="Actual",ISBLANK($E$8)),SUMIFS('[1]NS Vendor Details'!$D:$D,'[1]NS Vendor Details'!$H:$H,'G&amp;A Vendor x GL Analysis'!U$20,'[1]NS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Analysis'!U$20,'[1]NS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Analysis'!$E125),IF(U$15="Actual",SUMIFS('[1]NS Vendor Details'!$D:$D,'[1]NS Vendor Details'!$H:$H,'G&amp;A Vendor x GL Analysis'!U$20,'[1]NS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Analysis'!U$20,'[1]NS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V125" s="17">
        <f>IF(AND(V$15="Actual",ISBLANK($E$8)),SUMIFS('[1]NS Vendor Details'!$D:$D,'[1]NS Vendor Details'!$H:$H,'G&amp;A Vendor x GL Analysis'!V$20,'[1]NS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Analysis'!V$20,'[1]NS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Analysis'!$E125),IF(V$15="Actual",SUMIFS('[1]NS Vendor Details'!$D:$D,'[1]NS Vendor Details'!$H:$H,'G&amp;A Vendor x GL Analysis'!V$20,'[1]NS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Analysis'!V$20,'[1]NS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W125" s="17">
        <f>IF(AND(W$15="Actual",ISBLANK($E$8)),SUMIFS('[1]NS Vendor Details'!$D:$D,'[1]NS Vendor Details'!$H:$H,'G&amp;A Vendor x GL Analysis'!W$20,'[1]NS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Analysis'!W$20,'[1]NS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Analysis'!$E125),IF(W$15="Actual",SUMIFS('[1]NS Vendor Details'!$D:$D,'[1]NS Vendor Details'!$H:$H,'G&amp;A Vendor x GL Analysis'!W$20,'[1]NS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Analysis'!W$20,'[1]NS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X125" s="17">
        <f>IF(AND(X$15="Actual",ISBLANK($E$8)),SUMIFS('[1]NS Vendor Details'!$D:$D,'[1]NS Vendor Details'!$H:$H,'G&amp;A Vendor x GL Analysis'!X$20,'[1]NS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Analysis'!X$20,'[1]NS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Analysis'!$E125),IF(X$15="Actual",SUMIFS('[1]NS Vendor Details'!$D:$D,'[1]NS Vendor Details'!$H:$H,'G&amp;A Vendor x GL Analysis'!X$20,'[1]NS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Analysis'!X$20,'[1]NS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Y125" s="17">
        <f>IF(AND(Y$15="Actual",ISBLANK($E$8)),SUMIFS('[1]NS Vendor Details'!$D:$D,'[1]NS Vendor Details'!$H:$H,'G&amp;A Vendor x GL Analysis'!Y$20,'[1]NS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Analysis'!Y$20,'[1]NS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Analysis'!$E125),IF(Y$15="Actual",SUMIFS('[1]NS Vendor Details'!$D:$D,'[1]NS Vendor Details'!$H:$H,'G&amp;A Vendor x GL Analysis'!Y$20,'[1]NS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Analysis'!Y$20,'[1]NS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Z125" s="17">
        <f>IF(AND(Z$15="Actual",ISBLANK($E$8)),SUMIFS('[1]NS Vendor Details'!$D:$D,'[1]NS Vendor Details'!$H:$H,'G&amp;A Vendor x GL Analysis'!Z$20,'[1]NS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Analysis'!Z$20,'[1]NS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Analysis'!$E125),IF(Z$15="Actual",SUMIFS('[1]NS Vendor Details'!$D:$D,'[1]NS Vendor Details'!$H:$H,'G&amp;A Vendor x GL Analysis'!Z$20,'[1]NS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Analysis'!Z$20,'[1]NS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AA125" s="17">
        <f>IF(AND(AA$15="Actual",ISBLANK($E$8)),SUMIFS('[1]NS Vendor Details'!$D:$D,'[1]NS Vendor Details'!$H:$H,'G&amp;A Vendor x GL Analysis'!AA$20,'[1]NS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Analysis'!AA$20,'[1]NS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Analysis'!$E125),IF(AA$15="Actual",SUMIFS('[1]NS Vendor Details'!$D:$D,'[1]NS Vendor Details'!$H:$H,'G&amp;A Vendor x GL Analysis'!AA$20,'[1]NS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Analysis'!AA$20,'[1]NS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AB125" s="17">
        <f>IF(AND(AB$15="Actual",ISBLANK($E$8)),SUMIFS('[1]NS Vendor Details'!$D:$D,'[1]NS Vendor Details'!$H:$H,'G&amp;A Vendor x GL Analysis'!AB$20,'[1]NS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Analysis'!AB$20,'[1]NS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Analysis'!$E125),IF(AB$15="Actual",SUMIFS('[1]NS Vendor Details'!$D:$D,'[1]NS Vendor Details'!$H:$H,'G&amp;A Vendor x GL Analysis'!AB$20,'[1]NS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Analysis'!AB$20,'[1]NS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AC125" s="18">
        <f>IF(AND(AC$15="Actual",ISBLANK($E$8)),SUMIFS('[1]NS Vendor Details'!$D:$D,'[1]NS Vendor Details'!$H:$H,'G&amp;A Vendor x GL Analysis'!AC$20,'[1]NS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Analysis'!AC$20,'[1]NS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Analysis'!$E125),IF(AC$15="Actual",SUMIFS('[1]NS Vendor Details'!$D:$D,'[1]NS Vendor Details'!$H:$H,'G&amp;A Vendor x GL Analysis'!AC$20,'[1]NS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Analysis'!AC$20,'[1]NS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AD125" s="18">
        <f>IF(AND(AD$15="Actual",ISBLANK($E$8)),SUMIFS('[1]NS Vendor Details'!$D:$D,'[1]NS Vendor Details'!$H:$H,'G&amp;A Vendor x GL Analysis'!AD$20,'[1]NS Vendor Details'!$L:$L,'G&amp;A Vendor x GL Analysis'!$D125,'[1]NS Vendor Details'!$O:$O,'G&amp;A Vendor x GL Analysis'!$F125,'[1]NS Vendor Details'!$N:$N,'G&amp;A Vendor x GL Analysis'!$C125,'[1]NS Vendor Details'!$I:$I,'G&amp;A Vendor x GL Analysis'!$E125)+SUMIFS('[1]NS Vendor Details'!$D:$D,'[1]NS Vendor Details'!$H:$H,'G&amp;A Vendor x GL Analysis'!AD$20,'[1]NS Vendor Details'!$L:$L,'G&amp;A Vendor x GL Analysis'!$D125,'[1]NS Vendor Details'!$O:$O,'G&amp;A Vendor x GL Analysis'!$F125,'[1]NS Vendor Details'!$N:$N,"Direct Costs",'[1]NS Vendor Details'!$J:$J,0,'[1]NS Vendor Details'!$I:$I,'G&amp;A Vendor x GL Analysis'!$E125),IF(AD$15="Actual",SUMIFS('[1]NS Vendor Details'!$D:$D,'[1]NS Vendor Details'!$H:$H,'G&amp;A Vendor x GL Analysis'!AD$20,'[1]NS Vendor Details'!$L:$L,'G&amp;A Vendor x GL Analysis'!$D125,'[1]NS Vendor Details'!$O:$O,'G&amp;A Vendor x GL Analysis'!$F125,'[1]NS Vendor Details'!$N:$N,'G&amp;A Vendor x GL Analysis'!$C125,'[1]NS Vendor Details'!$K:$K,'G&amp;A Vendor x GL Analysis'!$E$8,'[1]NS Vendor Details'!$I:$I,'G&amp;A Vendor x GL Analysis'!$E125)+SUMIFS('[1]NS Vendor Details'!$D:$D,'[1]NS Vendor Details'!$H:$H,'G&amp;A Vendor x GL Analysis'!AD$20,'[1]NS Vendor Details'!$L:$L,'G&amp;A Vendor x GL Analysis'!$D125,'[1]NS Vendor Details'!$O:$O,'G&amp;A Vendor x GL Analysis'!$F125,'[1]NS Vendor Details'!$N:$N,"Direct Costs",'[1]NS Vendor Details'!$J:$J,0,'[1]NS Vendor Details'!$K:$K,'G&amp;A Vendor x GL Analysis'!$E$8,'[1]NS Vendor Details'!$I:$I,'G&amp;A Vendor x GL Analysis'!$E125),0))</f>
        <v>0</v>
      </c>
      <c r="AF125" s="19">
        <f t="shared" si="23"/>
        <v>0</v>
      </c>
    </row>
    <row r="126" spans="1:32" outlineLevel="1">
      <c r="A126" s="8" t="str">
        <f t="shared" si="22"/>
        <v>Professional Service6393 - Software</v>
      </c>
      <c r="C126" s="8" t="s">
        <v>11</v>
      </c>
      <c r="D126" s="8" t="str">
        <f t="shared" si="21"/>
        <v>Professional Service</v>
      </c>
      <c r="E126" s="2" t="s">
        <v>101</v>
      </c>
      <c r="F126" s="2" t="s">
        <v>119</v>
      </c>
      <c r="G126" s="16">
        <f>IF(AND(G$15="Actual",ISBLANK($E$8)),SUMIFS('[1]NS Vendor Details'!$D:$D,'[1]NS Vendor Details'!$H:$H,'G&amp;A Vendor x GL Analysis'!G$20,'[1]NS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Analysis'!G$20,'[1]NS Vendor Details'!$L:$L,'G&amp;A Vendor x GL Analysis'!$D126,'[1]NS Vendor Details'!$O:$O,'G&amp;A Vendor x GL Analysis'!$F126,'[1]NS Vendor Details'!$N:$N,"Direct Costs",'[1]NS Vendor Details'!$J:$J,0),IF(G$15="Actual",SUMIFS('[1]NS Vendor Details'!$D:$D,'[1]NS Vendor Details'!$H:$H,'G&amp;A Vendor x GL Analysis'!G$20,'[1]NS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Analysis'!G$20,'[1]NS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H126" s="17">
        <f>IF(AND(H$15="Actual",ISBLANK($E$8)),SUMIFS('[1]NS Vendor Details'!$D:$D,'[1]NS Vendor Details'!$H:$H,'G&amp;A Vendor x GL Analysis'!H$20,'[1]NS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Analysis'!H$20,'[1]NS Vendor Details'!$L:$L,'G&amp;A Vendor x GL Analysis'!$D126,'[1]NS Vendor Details'!$O:$O,'G&amp;A Vendor x GL Analysis'!$F126,'[1]NS Vendor Details'!$N:$N,"Direct Costs",'[1]NS Vendor Details'!$J:$J,0),IF(H$15="Actual",SUMIFS('[1]NS Vendor Details'!$D:$D,'[1]NS Vendor Details'!$H:$H,'G&amp;A Vendor x GL Analysis'!H$20,'[1]NS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Analysis'!H$20,'[1]NS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I126" s="17">
        <f>IF(AND(I$15="Actual",ISBLANK($E$8)),SUMIFS('[1]NS Vendor Details'!$D:$D,'[1]NS Vendor Details'!$H:$H,'G&amp;A Vendor x GL Analysis'!I$20,'[1]NS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Analysis'!I$20,'[1]NS Vendor Details'!$L:$L,'G&amp;A Vendor x GL Analysis'!$D126,'[1]NS Vendor Details'!$O:$O,'G&amp;A Vendor x GL Analysis'!$F126,'[1]NS Vendor Details'!$N:$N,"Direct Costs",'[1]NS Vendor Details'!$J:$J,0),IF(I$15="Actual",SUMIFS('[1]NS Vendor Details'!$D:$D,'[1]NS Vendor Details'!$H:$H,'G&amp;A Vendor x GL Analysis'!I$20,'[1]NS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Analysis'!I$20,'[1]NS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J126" s="17">
        <f>IF(AND(J$15="Actual",ISBLANK($E$8)),SUMIFS('[1]NS Vendor Details'!$D:$D,'[1]NS Vendor Details'!$H:$H,'G&amp;A Vendor x GL Analysis'!J$20,'[1]NS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Analysis'!J$20,'[1]NS Vendor Details'!$L:$L,'G&amp;A Vendor x GL Analysis'!$D126,'[1]NS Vendor Details'!$O:$O,'G&amp;A Vendor x GL Analysis'!$F126,'[1]NS Vendor Details'!$N:$N,"Direct Costs",'[1]NS Vendor Details'!$J:$J,0),IF(J$15="Actual",SUMIFS('[1]NS Vendor Details'!$D:$D,'[1]NS Vendor Details'!$H:$H,'G&amp;A Vendor x GL Analysis'!J$20,'[1]NS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Analysis'!J$20,'[1]NS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K126" s="17">
        <f>IF(AND(K$15="Actual",ISBLANK($E$8)),SUMIFS('[1]NS Vendor Details'!$D:$D,'[1]NS Vendor Details'!$H:$H,'G&amp;A Vendor x GL Analysis'!K$20,'[1]NS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Analysis'!K$20,'[1]NS Vendor Details'!$L:$L,'G&amp;A Vendor x GL Analysis'!$D126,'[1]NS Vendor Details'!$O:$O,'G&amp;A Vendor x GL Analysis'!$F126,'[1]NS Vendor Details'!$N:$N,"Direct Costs",'[1]NS Vendor Details'!$J:$J,0),IF(K$15="Actual",SUMIFS('[1]NS Vendor Details'!$D:$D,'[1]NS Vendor Details'!$H:$H,'G&amp;A Vendor x GL Analysis'!K$20,'[1]NS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Analysis'!K$20,'[1]NS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L126" s="17">
        <f>IF(AND(L$15="Actual",ISBLANK($E$8)),SUMIFS('[1]NS Vendor Details'!$D:$D,'[1]NS Vendor Details'!$H:$H,'G&amp;A Vendor x GL Analysis'!L$20,'[1]NS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Analysis'!L$20,'[1]NS Vendor Details'!$L:$L,'G&amp;A Vendor x GL Analysis'!$D126,'[1]NS Vendor Details'!$O:$O,'G&amp;A Vendor x GL Analysis'!$F126,'[1]NS Vendor Details'!$N:$N,"Direct Costs",'[1]NS Vendor Details'!$J:$J,0),IF(L$15="Actual",SUMIFS('[1]NS Vendor Details'!$D:$D,'[1]NS Vendor Details'!$H:$H,'G&amp;A Vendor x GL Analysis'!L$20,'[1]NS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Analysis'!L$20,'[1]NS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M126" s="17">
        <f>IF(AND(M$15="Actual",ISBLANK($E$8)),SUMIFS('[1]NS Vendor Details'!$D:$D,'[1]NS Vendor Details'!$H:$H,'G&amp;A Vendor x GL Analysis'!M$20,'[1]NS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Analysis'!M$20,'[1]NS Vendor Details'!$L:$L,'G&amp;A Vendor x GL Analysis'!$D126,'[1]NS Vendor Details'!$O:$O,'G&amp;A Vendor x GL Analysis'!$F126,'[1]NS Vendor Details'!$N:$N,"Direct Costs",'[1]NS Vendor Details'!$J:$J,0),IF(M$15="Actual",SUMIFS('[1]NS Vendor Details'!$D:$D,'[1]NS Vendor Details'!$H:$H,'G&amp;A Vendor x GL Analysis'!M$20,'[1]NS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Analysis'!M$20,'[1]NS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N126" s="17">
        <f>IF(AND(N$15="Actual",ISBLANK($E$8)),SUMIFS('[1]NS Vendor Details'!$D:$D,'[1]NS Vendor Details'!$H:$H,'G&amp;A Vendor x GL Analysis'!N$20,'[1]NS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Analysis'!N$20,'[1]NS Vendor Details'!$L:$L,'G&amp;A Vendor x GL Analysis'!$D126,'[1]NS Vendor Details'!$O:$O,'G&amp;A Vendor x GL Analysis'!$F126,'[1]NS Vendor Details'!$N:$N,"Direct Costs",'[1]NS Vendor Details'!$J:$J,0),IF(N$15="Actual",SUMIFS('[1]NS Vendor Details'!$D:$D,'[1]NS Vendor Details'!$H:$H,'G&amp;A Vendor x GL Analysis'!N$20,'[1]NS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Analysis'!N$20,'[1]NS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O126" s="17">
        <f>IF(AND(O$15="Actual",ISBLANK($E$8)),SUMIFS('[1]NS Vendor Details'!$D:$D,'[1]NS Vendor Details'!$H:$H,'G&amp;A Vendor x GL Analysis'!O$20,'[1]NS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Analysis'!O$20,'[1]NS Vendor Details'!$L:$L,'G&amp;A Vendor x GL Analysis'!$D126,'[1]NS Vendor Details'!$O:$O,'G&amp;A Vendor x GL Analysis'!$F126,'[1]NS Vendor Details'!$N:$N,"Direct Costs",'[1]NS Vendor Details'!$J:$J,0),IF(O$15="Actual",SUMIFS('[1]NS Vendor Details'!$D:$D,'[1]NS Vendor Details'!$H:$H,'G&amp;A Vendor x GL Analysis'!O$20,'[1]NS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Analysis'!O$20,'[1]NS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P126" s="17">
        <f>IF(AND(P$15="Actual",ISBLANK($E$8)),SUMIFS('[1]NS Vendor Details'!$D:$D,'[1]NS Vendor Details'!$H:$H,'G&amp;A Vendor x GL Analysis'!P$20,'[1]NS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Analysis'!P$20,'[1]NS Vendor Details'!$L:$L,'G&amp;A Vendor x GL Analysis'!$D126,'[1]NS Vendor Details'!$O:$O,'G&amp;A Vendor x GL Analysis'!$F126,'[1]NS Vendor Details'!$N:$N,"Direct Costs",'[1]NS Vendor Details'!$J:$J,0),IF(P$15="Actual",SUMIFS('[1]NS Vendor Details'!$D:$D,'[1]NS Vendor Details'!$H:$H,'G&amp;A Vendor x GL Analysis'!P$20,'[1]NS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Analysis'!P$20,'[1]NS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Q126" s="17">
        <f>IF(AND(Q$15="Actual",ISBLANK($E$8)),SUMIFS('[1]NS Vendor Details'!$D:$D,'[1]NS Vendor Details'!$H:$H,'G&amp;A Vendor x GL Analysis'!Q$20,'[1]NS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Analysis'!Q$20,'[1]NS Vendor Details'!$L:$L,'G&amp;A Vendor x GL Analysis'!$D126,'[1]NS Vendor Details'!$O:$O,'G&amp;A Vendor x GL Analysis'!$F126,'[1]NS Vendor Details'!$N:$N,"Direct Costs",'[1]NS Vendor Details'!$J:$J,0),IF(Q$15="Actual",SUMIFS('[1]NS Vendor Details'!$D:$D,'[1]NS Vendor Details'!$H:$H,'G&amp;A Vendor x GL Analysis'!Q$20,'[1]NS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Analysis'!Q$20,'[1]NS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R126" s="18">
        <f>IF(AND(R$15="Actual",ISBLANK($E$8)),SUMIFS('[1]NS Vendor Details'!$D:$D,'[1]NS Vendor Details'!$H:$H,'G&amp;A Vendor x GL Analysis'!R$20,'[1]NS Vendor Details'!$L:$L,'G&amp;A Vendor x GL Analysis'!$D126,'[1]NS Vendor Details'!$O:$O,'G&amp;A Vendor x GL Analysis'!$F126,'[1]NS Vendor Details'!$N:$N,'G&amp;A Vendor x GL Analysis'!$C126)+SUMIFS('[1]NS Vendor Details'!$D:$D,'[1]NS Vendor Details'!$H:$H,'G&amp;A Vendor x GL Analysis'!R$20,'[1]NS Vendor Details'!$L:$L,'G&amp;A Vendor x GL Analysis'!$D126,'[1]NS Vendor Details'!$O:$O,'G&amp;A Vendor x GL Analysis'!$F126,'[1]NS Vendor Details'!$N:$N,"Direct Costs",'[1]NS Vendor Details'!$J:$J,0),IF(R$15="Actual",SUMIFS('[1]NS Vendor Details'!$D:$D,'[1]NS Vendor Details'!$H:$H,'G&amp;A Vendor x GL Analysis'!R$20,'[1]NS Vendor Details'!$L:$L,'G&amp;A Vendor x GL Analysis'!$D126,'[1]NS Vendor Details'!$O:$O,'G&amp;A Vendor x GL Analysis'!$F126,'[1]NS Vendor Details'!$N:$N,'G&amp;A Vendor x GL Analysis'!$C126,'[1]NS Vendor Details'!$K:$K,'G&amp;A Vendor x GL Analysis'!$E$8)+SUMIFS('[1]NS Vendor Details'!$D:$D,'[1]NS Vendor Details'!$H:$H,'G&amp;A Vendor x GL Analysis'!R$20,'[1]NS Vendor Details'!$L:$L,'G&amp;A Vendor x GL Analysis'!$D126,'[1]NS Vendor Details'!$O:$O,'G&amp;A Vendor x GL Analysis'!$F126,'[1]NS Vendor Details'!$N:$N,"Direct Costs",'[1]NS Vendor Details'!$J:$J,0,'[1]NS Vendor Details'!$K:$K,'G&amp;A Vendor x GL Analysis'!$E$8),0))</f>
        <v>0</v>
      </c>
      <c r="S126" s="16">
        <f>IF(AND(S$15="Actual",ISBLANK($E$8)),SUMIFS('[1]NS Vendor Details'!$D:$D,'[1]NS Vendor Details'!$H:$H,'G&amp;A Vendor x GL Analysis'!S$20,'[1]NS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Analysis'!S$20,'[1]NS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Analysis'!$E126),IF(S$15="Actual",SUMIFS('[1]NS Vendor Details'!$D:$D,'[1]NS Vendor Details'!$H:$H,'G&amp;A Vendor x GL Analysis'!S$20,'[1]NS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Analysis'!S$20,'[1]NS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T126" s="17">
        <f>IF(AND(T$15="Actual",ISBLANK($E$8)),SUMIFS('[1]NS Vendor Details'!$D:$D,'[1]NS Vendor Details'!$H:$H,'G&amp;A Vendor x GL Analysis'!T$20,'[1]NS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Analysis'!T$20,'[1]NS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Analysis'!$E126),IF(T$15="Actual",SUMIFS('[1]NS Vendor Details'!$D:$D,'[1]NS Vendor Details'!$H:$H,'G&amp;A Vendor x GL Analysis'!T$20,'[1]NS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Analysis'!T$20,'[1]NS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U126" s="17">
        <f>IF(AND(U$15="Actual",ISBLANK($E$8)),SUMIFS('[1]NS Vendor Details'!$D:$D,'[1]NS Vendor Details'!$H:$H,'G&amp;A Vendor x GL Analysis'!U$20,'[1]NS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Analysis'!U$20,'[1]NS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Analysis'!$E126),IF(U$15="Actual",SUMIFS('[1]NS Vendor Details'!$D:$D,'[1]NS Vendor Details'!$H:$H,'G&amp;A Vendor x GL Analysis'!U$20,'[1]NS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Analysis'!U$20,'[1]NS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V126" s="17">
        <f>IF(AND(V$15="Actual",ISBLANK($E$8)),SUMIFS('[1]NS Vendor Details'!$D:$D,'[1]NS Vendor Details'!$H:$H,'G&amp;A Vendor x GL Analysis'!V$20,'[1]NS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Analysis'!V$20,'[1]NS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Analysis'!$E126),IF(V$15="Actual",SUMIFS('[1]NS Vendor Details'!$D:$D,'[1]NS Vendor Details'!$H:$H,'G&amp;A Vendor x GL Analysis'!V$20,'[1]NS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Analysis'!V$20,'[1]NS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W126" s="17">
        <f>IF(AND(W$15="Actual",ISBLANK($E$8)),SUMIFS('[1]NS Vendor Details'!$D:$D,'[1]NS Vendor Details'!$H:$H,'G&amp;A Vendor x GL Analysis'!W$20,'[1]NS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Analysis'!W$20,'[1]NS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Analysis'!$E126),IF(W$15="Actual",SUMIFS('[1]NS Vendor Details'!$D:$D,'[1]NS Vendor Details'!$H:$H,'G&amp;A Vendor x GL Analysis'!W$20,'[1]NS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Analysis'!W$20,'[1]NS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X126" s="17">
        <f>IF(AND(X$15="Actual",ISBLANK($E$8)),SUMIFS('[1]NS Vendor Details'!$D:$D,'[1]NS Vendor Details'!$H:$H,'G&amp;A Vendor x GL Analysis'!X$20,'[1]NS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Analysis'!X$20,'[1]NS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Analysis'!$E126),IF(X$15="Actual",SUMIFS('[1]NS Vendor Details'!$D:$D,'[1]NS Vendor Details'!$H:$H,'G&amp;A Vendor x GL Analysis'!X$20,'[1]NS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Analysis'!X$20,'[1]NS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Y126" s="17">
        <f>IF(AND(Y$15="Actual",ISBLANK($E$8)),SUMIFS('[1]NS Vendor Details'!$D:$D,'[1]NS Vendor Details'!$H:$H,'G&amp;A Vendor x GL Analysis'!Y$20,'[1]NS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Analysis'!Y$20,'[1]NS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Analysis'!$E126),IF(Y$15="Actual",SUMIFS('[1]NS Vendor Details'!$D:$D,'[1]NS Vendor Details'!$H:$H,'G&amp;A Vendor x GL Analysis'!Y$20,'[1]NS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Analysis'!Y$20,'[1]NS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Z126" s="17">
        <f>IF(AND(Z$15="Actual",ISBLANK($E$8)),SUMIFS('[1]NS Vendor Details'!$D:$D,'[1]NS Vendor Details'!$H:$H,'G&amp;A Vendor x GL Analysis'!Z$20,'[1]NS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Analysis'!Z$20,'[1]NS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Analysis'!$E126),IF(Z$15="Actual",SUMIFS('[1]NS Vendor Details'!$D:$D,'[1]NS Vendor Details'!$H:$H,'G&amp;A Vendor x GL Analysis'!Z$20,'[1]NS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Analysis'!Z$20,'[1]NS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AA126" s="17">
        <f>IF(AND(AA$15="Actual",ISBLANK($E$8)),SUMIFS('[1]NS Vendor Details'!$D:$D,'[1]NS Vendor Details'!$H:$H,'G&amp;A Vendor x GL Analysis'!AA$20,'[1]NS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Analysis'!AA$20,'[1]NS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Analysis'!$E126),IF(AA$15="Actual",SUMIFS('[1]NS Vendor Details'!$D:$D,'[1]NS Vendor Details'!$H:$H,'G&amp;A Vendor x GL Analysis'!AA$20,'[1]NS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Analysis'!AA$20,'[1]NS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AB126" s="17">
        <f>IF(AND(AB$15="Actual",ISBLANK($E$8)),SUMIFS('[1]NS Vendor Details'!$D:$D,'[1]NS Vendor Details'!$H:$H,'G&amp;A Vendor x GL Analysis'!AB$20,'[1]NS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Analysis'!AB$20,'[1]NS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Analysis'!$E126),IF(AB$15="Actual",SUMIFS('[1]NS Vendor Details'!$D:$D,'[1]NS Vendor Details'!$H:$H,'G&amp;A Vendor x GL Analysis'!AB$20,'[1]NS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Analysis'!AB$20,'[1]NS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AC126" s="18">
        <f>IF(AND(AC$15="Actual",ISBLANK($E$8)),SUMIFS('[1]NS Vendor Details'!$D:$D,'[1]NS Vendor Details'!$H:$H,'G&amp;A Vendor x GL Analysis'!AC$20,'[1]NS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Analysis'!AC$20,'[1]NS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Analysis'!$E126),IF(AC$15="Actual",SUMIFS('[1]NS Vendor Details'!$D:$D,'[1]NS Vendor Details'!$H:$H,'G&amp;A Vendor x GL Analysis'!AC$20,'[1]NS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Analysis'!AC$20,'[1]NS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AD126" s="18">
        <f>IF(AND(AD$15="Actual",ISBLANK($E$8)),SUMIFS('[1]NS Vendor Details'!$D:$D,'[1]NS Vendor Details'!$H:$H,'G&amp;A Vendor x GL Analysis'!AD$20,'[1]NS Vendor Details'!$L:$L,'G&amp;A Vendor x GL Analysis'!$D126,'[1]NS Vendor Details'!$O:$O,'G&amp;A Vendor x GL Analysis'!$F126,'[1]NS Vendor Details'!$N:$N,'G&amp;A Vendor x GL Analysis'!$C126,'[1]NS Vendor Details'!$I:$I,'G&amp;A Vendor x GL Analysis'!$E126)+SUMIFS('[1]NS Vendor Details'!$D:$D,'[1]NS Vendor Details'!$H:$H,'G&amp;A Vendor x GL Analysis'!AD$20,'[1]NS Vendor Details'!$L:$L,'G&amp;A Vendor x GL Analysis'!$D126,'[1]NS Vendor Details'!$O:$O,'G&amp;A Vendor x GL Analysis'!$F126,'[1]NS Vendor Details'!$N:$N,"Direct Costs",'[1]NS Vendor Details'!$J:$J,0,'[1]NS Vendor Details'!$I:$I,'G&amp;A Vendor x GL Analysis'!$E126),IF(AD$15="Actual",SUMIFS('[1]NS Vendor Details'!$D:$D,'[1]NS Vendor Details'!$H:$H,'G&amp;A Vendor x GL Analysis'!AD$20,'[1]NS Vendor Details'!$L:$L,'G&amp;A Vendor x GL Analysis'!$D126,'[1]NS Vendor Details'!$O:$O,'G&amp;A Vendor x GL Analysis'!$F126,'[1]NS Vendor Details'!$N:$N,'G&amp;A Vendor x GL Analysis'!$C126,'[1]NS Vendor Details'!$K:$K,'G&amp;A Vendor x GL Analysis'!$E$8,'[1]NS Vendor Details'!$I:$I,'G&amp;A Vendor x GL Analysis'!$E126)+SUMIFS('[1]NS Vendor Details'!$D:$D,'[1]NS Vendor Details'!$H:$H,'G&amp;A Vendor x GL Analysis'!AD$20,'[1]NS Vendor Details'!$L:$L,'G&amp;A Vendor x GL Analysis'!$D126,'[1]NS Vendor Details'!$O:$O,'G&amp;A Vendor x GL Analysis'!$F126,'[1]NS Vendor Details'!$N:$N,"Direct Costs",'[1]NS Vendor Details'!$J:$J,0,'[1]NS Vendor Details'!$K:$K,'G&amp;A Vendor x GL Analysis'!$E$8,'[1]NS Vendor Details'!$I:$I,'G&amp;A Vendor x GL Analysis'!$E126),0))</f>
        <v>0</v>
      </c>
      <c r="AF126" s="19">
        <f t="shared" si="23"/>
        <v>0</v>
      </c>
    </row>
    <row r="127" spans="1:32" outlineLevel="1">
      <c r="A127" s="8" t="str">
        <f t="shared" si="22"/>
        <v>Professional Service6393 - Software</v>
      </c>
      <c r="C127" s="8" t="s">
        <v>11</v>
      </c>
      <c r="D127" s="8" t="str">
        <f t="shared" si="21"/>
        <v>Professional Service</v>
      </c>
      <c r="E127" s="2" t="s">
        <v>101</v>
      </c>
      <c r="F127" s="2" t="s">
        <v>120</v>
      </c>
      <c r="G127" s="16">
        <f>IF(AND(G$15="Actual",ISBLANK($E$8)),SUMIFS('[1]NS Vendor Details'!$D:$D,'[1]NS Vendor Details'!$H:$H,'G&amp;A Vendor x GL Analysis'!G$20,'[1]NS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Analysis'!G$20,'[1]NS Vendor Details'!$L:$L,'G&amp;A Vendor x GL Analysis'!$D127,'[1]NS Vendor Details'!$O:$O,'G&amp;A Vendor x GL Analysis'!$F127,'[1]NS Vendor Details'!$N:$N,"Direct Costs",'[1]NS Vendor Details'!$J:$J,0),IF(G$15="Actual",SUMIFS('[1]NS Vendor Details'!$D:$D,'[1]NS Vendor Details'!$H:$H,'G&amp;A Vendor x GL Analysis'!G$20,'[1]NS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Analysis'!G$20,'[1]NS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H127" s="17">
        <f>IF(AND(H$15="Actual",ISBLANK($E$8)),SUMIFS('[1]NS Vendor Details'!$D:$D,'[1]NS Vendor Details'!$H:$H,'G&amp;A Vendor x GL Analysis'!H$20,'[1]NS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Analysis'!H$20,'[1]NS Vendor Details'!$L:$L,'G&amp;A Vendor x GL Analysis'!$D127,'[1]NS Vendor Details'!$O:$O,'G&amp;A Vendor x GL Analysis'!$F127,'[1]NS Vendor Details'!$N:$N,"Direct Costs",'[1]NS Vendor Details'!$J:$J,0),IF(H$15="Actual",SUMIFS('[1]NS Vendor Details'!$D:$D,'[1]NS Vendor Details'!$H:$H,'G&amp;A Vendor x GL Analysis'!H$20,'[1]NS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Analysis'!H$20,'[1]NS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I127" s="17">
        <f>IF(AND(I$15="Actual",ISBLANK($E$8)),SUMIFS('[1]NS Vendor Details'!$D:$D,'[1]NS Vendor Details'!$H:$H,'G&amp;A Vendor x GL Analysis'!I$20,'[1]NS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Analysis'!I$20,'[1]NS Vendor Details'!$L:$L,'G&amp;A Vendor x GL Analysis'!$D127,'[1]NS Vendor Details'!$O:$O,'G&amp;A Vendor x GL Analysis'!$F127,'[1]NS Vendor Details'!$N:$N,"Direct Costs",'[1]NS Vendor Details'!$J:$J,0),IF(I$15="Actual",SUMIFS('[1]NS Vendor Details'!$D:$D,'[1]NS Vendor Details'!$H:$H,'G&amp;A Vendor x GL Analysis'!I$20,'[1]NS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Analysis'!I$20,'[1]NS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J127" s="17">
        <f>IF(AND(J$15="Actual",ISBLANK($E$8)),SUMIFS('[1]NS Vendor Details'!$D:$D,'[1]NS Vendor Details'!$H:$H,'G&amp;A Vendor x GL Analysis'!J$20,'[1]NS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Analysis'!J$20,'[1]NS Vendor Details'!$L:$L,'G&amp;A Vendor x GL Analysis'!$D127,'[1]NS Vendor Details'!$O:$O,'G&amp;A Vendor x GL Analysis'!$F127,'[1]NS Vendor Details'!$N:$N,"Direct Costs",'[1]NS Vendor Details'!$J:$J,0),IF(J$15="Actual",SUMIFS('[1]NS Vendor Details'!$D:$D,'[1]NS Vendor Details'!$H:$H,'G&amp;A Vendor x GL Analysis'!J$20,'[1]NS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Analysis'!J$20,'[1]NS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K127" s="17">
        <f>IF(AND(K$15="Actual",ISBLANK($E$8)),SUMIFS('[1]NS Vendor Details'!$D:$D,'[1]NS Vendor Details'!$H:$H,'G&amp;A Vendor x GL Analysis'!K$20,'[1]NS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Analysis'!K$20,'[1]NS Vendor Details'!$L:$L,'G&amp;A Vendor x GL Analysis'!$D127,'[1]NS Vendor Details'!$O:$O,'G&amp;A Vendor x GL Analysis'!$F127,'[1]NS Vendor Details'!$N:$N,"Direct Costs",'[1]NS Vendor Details'!$J:$J,0),IF(K$15="Actual",SUMIFS('[1]NS Vendor Details'!$D:$D,'[1]NS Vendor Details'!$H:$H,'G&amp;A Vendor x GL Analysis'!K$20,'[1]NS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Analysis'!K$20,'[1]NS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L127" s="17">
        <f>IF(AND(L$15="Actual",ISBLANK($E$8)),SUMIFS('[1]NS Vendor Details'!$D:$D,'[1]NS Vendor Details'!$H:$H,'G&amp;A Vendor x GL Analysis'!L$20,'[1]NS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Analysis'!L$20,'[1]NS Vendor Details'!$L:$L,'G&amp;A Vendor x GL Analysis'!$D127,'[1]NS Vendor Details'!$O:$O,'G&amp;A Vendor x GL Analysis'!$F127,'[1]NS Vendor Details'!$N:$N,"Direct Costs",'[1]NS Vendor Details'!$J:$J,0),IF(L$15="Actual",SUMIFS('[1]NS Vendor Details'!$D:$D,'[1]NS Vendor Details'!$H:$H,'G&amp;A Vendor x GL Analysis'!L$20,'[1]NS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Analysis'!L$20,'[1]NS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M127" s="17">
        <f>IF(AND(M$15="Actual",ISBLANK($E$8)),SUMIFS('[1]NS Vendor Details'!$D:$D,'[1]NS Vendor Details'!$H:$H,'G&amp;A Vendor x GL Analysis'!M$20,'[1]NS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Analysis'!M$20,'[1]NS Vendor Details'!$L:$L,'G&amp;A Vendor x GL Analysis'!$D127,'[1]NS Vendor Details'!$O:$O,'G&amp;A Vendor x GL Analysis'!$F127,'[1]NS Vendor Details'!$N:$N,"Direct Costs",'[1]NS Vendor Details'!$J:$J,0),IF(M$15="Actual",SUMIFS('[1]NS Vendor Details'!$D:$D,'[1]NS Vendor Details'!$H:$H,'G&amp;A Vendor x GL Analysis'!M$20,'[1]NS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Analysis'!M$20,'[1]NS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N127" s="17">
        <f>IF(AND(N$15="Actual",ISBLANK($E$8)),SUMIFS('[1]NS Vendor Details'!$D:$D,'[1]NS Vendor Details'!$H:$H,'G&amp;A Vendor x GL Analysis'!N$20,'[1]NS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Analysis'!N$20,'[1]NS Vendor Details'!$L:$L,'G&amp;A Vendor x GL Analysis'!$D127,'[1]NS Vendor Details'!$O:$O,'G&amp;A Vendor x GL Analysis'!$F127,'[1]NS Vendor Details'!$N:$N,"Direct Costs",'[1]NS Vendor Details'!$J:$J,0),IF(N$15="Actual",SUMIFS('[1]NS Vendor Details'!$D:$D,'[1]NS Vendor Details'!$H:$H,'G&amp;A Vendor x GL Analysis'!N$20,'[1]NS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Analysis'!N$20,'[1]NS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O127" s="17">
        <f>IF(AND(O$15="Actual",ISBLANK($E$8)),SUMIFS('[1]NS Vendor Details'!$D:$D,'[1]NS Vendor Details'!$H:$H,'G&amp;A Vendor x GL Analysis'!O$20,'[1]NS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Analysis'!O$20,'[1]NS Vendor Details'!$L:$L,'G&amp;A Vendor x GL Analysis'!$D127,'[1]NS Vendor Details'!$O:$O,'G&amp;A Vendor x GL Analysis'!$F127,'[1]NS Vendor Details'!$N:$N,"Direct Costs",'[1]NS Vendor Details'!$J:$J,0),IF(O$15="Actual",SUMIFS('[1]NS Vendor Details'!$D:$D,'[1]NS Vendor Details'!$H:$H,'G&amp;A Vendor x GL Analysis'!O$20,'[1]NS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Analysis'!O$20,'[1]NS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P127" s="17">
        <f>IF(AND(P$15="Actual",ISBLANK($E$8)),SUMIFS('[1]NS Vendor Details'!$D:$D,'[1]NS Vendor Details'!$H:$H,'G&amp;A Vendor x GL Analysis'!P$20,'[1]NS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Analysis'!P$20,'[1]NS Vendor Details'!$L:$L,'G&amp;A Vendor x GL Analysis'!$D127,'[1]NS Vendor Details'!$O:$O,'G&amp;A Vendor x GL Analysis'!$F127,'[1]NS Vendor Details'!$N:$N,"Direct Costs",'[1]NS Vendor Details'!$J:$J,0),IF(P$15="Actual",SUMIFS('[1]NS Vendor Details'!$D:$D,'[1]NS Vendor Details'!$H:$H,'G&amp;A Vendor x GL Analysis'!P$20,'[1]NS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Analysis'!P$20,'[1]NS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Q127" s="17">
        <f>IF(AND(Q$15="Actual",ISBLANK($E$8)),SUMIFS('[1]NS Vendor Details'!$D:$D,'[1]NS Vendor Details'!$H:$H,'G&amp;A Vendor x GL Analysis'!Q$20,'[1]NS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Analysis'!Q$20,'[1]NS Vendor Details'!$L:$L,'G&amp;A Vendor x GL Analysis'!$D127,'[1]NS Vendor Details'!$O:$O,'G&amp;A Vendor x GL Analysis'!$F127,'[1]NS Vendor Details'!$N:$N,"Direct Costs",'[1]NS Vendor Details'!$J:$J,0),IF(Q$15="Actual",SUMIFS('[1]NS Vendor Details'!$D:$D,'[1]NS Vendor Details'!$H:$H,'G&amp;A Vendor x GL Analysis'!Q$20,'[1]NS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Analysis'!Q$20,'[1]NS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R127" s="18">
        <f>IF(AND(R$15="Actual",ISBLANK($E$8)),SUMIFS('[1]NS Vendor Details'!$D:$D,'[1]NS Vendor Details'!$H:$H,'G&amp;A Vendor x GL Analysis'!R$20,'[1]NS Vendor Details'!$L:$L,'G&amp;A Vendor x GL Analysis'!$D127,'[1]NS Vendor Details'!$O:$O,'G&amp;A Vendor x GL Analysis'!$F127,'[1]NS Vendor Details'!$N:$N,'G&amp;A Vendor x GL Analysis'!$C127)+SUMIFS('[1]NS Vendor Details'!$D:$D,'[1]NS Vendor Details'!$H:$H,'G&amp;A Vendor x GL Analysis'!R$20,'[1]NS Vendor Details'!$L:$L,'G&amp;A Vendor x GL Analysis'!$D127,'[1]NS Vendor Details'!$O:$O,'G&amp;A Vendor x GL Analysis'!$F127,'[1]NS Vendor Details'!$N:$N,"Direct Costs",'[1]NS Vendor Details'!$J:$J,0),IF(R$15="Actual",SUMIFS('[1]NS Vendor Details'!$D:$D,'[1]NS Vendor Details'!$H:$H,'G&amp;A Vendor x GL Analysis'!R$20,'[1]NS Vendor Details'!$L:$L,'G&amp;A Vendor x GL Analysis'!$D127,'[1]NS Vendor Details'!$O:$O,'G&amp;A Vendor x GL Analysis'!$F127,'[1]NS Vendor Details'!$N:$N,'G&amp;A Vendor x GL Analysis'!$C127,'[1]NS Vendor Details'!$K:$K,'G&amp;A Vendor x GL Analysis'!$E$8)+SUMIFS('[1]NS Vendor Details'!$D:$D,'[1]NS Vendor Details'!$H:$H,'G&amp;A Vendor x GL Analysis'!R$20,'[1]NS Vendor Details'!$L:$L,'G&amp;A Vendor x GL Analysis'!$D127,'[1]NS Vendor Details'!$O:$O,'G&amp;A Vendor x GL Analysis'!$F127,'[1]NS Vendor Details'!$N:$N,"Direct Costs",'[1]NS Vendor Details'!$J:$J,0,'[1]NS Vendor Details'!$K:$K,'G&amp;A Vendor x GL Analysis'!$E$8),0))</f>
        <v>0</v>
      </c>
      <c r="S127" s="16">
        <f>IF(AND(S$15="Actual",ISBLANK($E$8)),SUMIFS('[1]NS Vendor Details'!$D:$D,'[1]NS Vendor Details'!$H:$H,'G&amp;A Vendor x GL Analysis'!S$20,'[1]NS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Analysis'!S$20,'[1]NS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Analysis'!$E127),IF(S$15="Actual",SUMIFS('[1]NS Vendor Details'!$D:$D,'[1]NS Vendor Details'!$H:$H,'G&amp;A Vendor x GL Analysis'!S$20,'[1]NS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Analysis'!S$20,'[1]NS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T127" s="17">
        <f>IF(AND(T$15="Actual",ISBLANK($E$8)),SUMIFS('[1]NS Vendor Details'!$D:$D,'[1]NS Vendor Details'!$H:$H,'G&amp;A Vendor x GL Analysis'!T$20,'[1]NS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Analysis'!T$20,'[1]NS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Analysis'!$E127),IF(T$15="Actual",SUMIFS('[1]NS Vendor Details'!$D:$D,'[1]NS Vendor Details'!$H:$H,'G&amp;A Vendor x GL Analysis'!T$20,'[1]NS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Analysis'!T$20,'[1]NS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U127" s="17">
        <f>IF(AND(U$15="Actual",ISBLANK($E$8)),SUMIFS('[1]NS Vendor Details'!$D:$D,'[1]NS Vendor Details'!$H:$H,'G&amp;A Vendor x GL Analysis'!U$20,'[1]NS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Analysis'!U$20,'[1]NS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Analysis'!$E127),IF(U$15="Actual",SUMIFS('[1]NS Vendor Details'!$D:$D,'[1]NS Vendor Details'!$H:$H,'G&amp;A Vendor x GL Analysis'!U$20,'[1]NS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Analysis'!U$20,'[1]NS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V127" s="17">
        <f>IF(AND(V$15="Actual",ISBLANK($E$8)),SUMIFS('[1]NS Vendor Details'!$D:$D,'[1]NS Vendor Details'!$H:$H,'G&amp;A Vendor x GL Analysis'!V$20,'[1]NS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Analysis'!V$20,'[1]NS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Analysis'!$E127),IF(V$15="Actual",SUMIFS('[1]NS Vendor Details'!$D:$D,'[1]NS Vendor Details'!$H:$H,'G&amp;A Vendor x GL Analysis'!V$20,'[1]NS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Analysis'!V$20,'[1]NS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W127" s="17">
        <f>IF(AND(W$15="Actual",ISBLANK($E$8)),SUMIFS('[1]NS Vendor Details'!$D:$D,'[1]NS Vendor Details'!$H:$H,'G&amp;A Vendor x GL Analysis'!W$20,'[1]NS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Analysis'!W$20,'[1]NS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Analysis'!$E127),IF(W$15="Actual",SUMIFS('[1]NS Vendor Details'!$D:$D,'[1]NS Vendor Details'!$H:$H,'G&amp;A Vendor x GL Analysis'!W$20,'[1]NS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Analysis'!W$20,'[1]NS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X127" s="17">
        <f>IF(AND(X$15="Actual",ISBLANK($E$8)),SUMIFS('[1]NS Vendor Details'!$D:$D,'[1]NS Vendor Details'!$H:$H,'G&amp;A Vendor x GL Analysis'!X$20,'[1]NS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Analysis'!X$20,'[1]NS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Analysis'!$E127),IF(X$15="Actual",SUMIFS('[1]NS Vendor Details'!$D:$D,'[1]NS Vendor Details'!$H:$H,'G&amp;A Vendor x GL Analysis'!X$20,'[1]NS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Analysis'!X$20,'[1]NS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Y127" s="17">
        <f>IF(AND(Y$15="Actual",ISBLANK($E$8)),SUMIFS('[1]NS Vendor Details'!$D:$D,'[1]NS Vendor Details'!$H:$H,'G&amp;A Vendor x GL Analysis'!Y$20,'[1]NS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Analysis'!Y$20,'[1]NS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Analysis'!$E127),IF(Y$15="Actual",SUMIFS('[1]NS Vendor Details'!$D:$D,'[1]NS Vendor Details'!$H:$H,'G&amp;A Vendor x GL Analysis'!Y$20,'[1]NS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Analysis'!Y$20,'[1]NS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Z127" s="17">
        <f>IF(AND(Z$15="Actual",ISBLANK($E$8)),SUMIFS('[1]NS Vendor Details'!$D:$D,'[1]NS Vendor Details'!$H:$H,'G&amp;A Vendor x GL Analysis'!Z$20,'[1]NS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Analysis'!Z$20,'[1]NS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Analysis'!$E127),IF(Z$15="Actual",SUMIFS('[1]NS Vendor Details'!$D:$D,'[1]NS Vendor Details'!$H:$H,'G&amp;A Vendor x GL Analysis'!Z$20,'[1]NS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Analysis'!Z$20,'[1]NS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AA127" s="17">
        <f>IF(AND(AA$15="Actual",ISBLANK($E$8)),SUMIFS('[1]NS Vendor Details'!$D:$D,'[1]NS Vendor Details'!$H:$H,'G&amp;A Vendor x GL Analysis'!AA$20,'[1]NS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Analysis'!AA$20,'[1]NS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Analysis'!$E127),IF(AA$15="Actual",SUMIFS('[1]NS Vendor Details'!$D:$D,'[1]NS Vendor Details'!$H:$H,'G&amp;A Vendor x GL Analysis'!AA$20,'[1]NS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Analysis'!AA$20,'[1]NS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AB127" s="17">
        <f>IF(AND(AB$15="Actual",ISBLANK($E$8)),SUMIFS('[1]NS Vendor Details'!$D:$D,'[1]NS Vendor Details'!$H:$H,'G&amp;A Vendor x GL Analysis'!AB$20,'[1]NS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Analysis'!AB$20,'[1]NS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Analysis'!$E127),IF(AB$15="Actual",SUMIFS('[1]NS Vendor Details'!$D:$D,'[1]NS Vendor Details'!$H:$H,'G&amp;A Vendor x GL Analysis'!AB$20,'[1]NS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Analysis'!AB$20,'[1]NS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AC127" s="18">
        <f>IF(AND(AC$15="Actual",ISBLANK($E$8)),SUMIFS('[1]NS Vendor Details'!$D:$D,'[1]NS Vendor Details'!$H:$H,'G&amp;A Vendor x GL Analysis'!AC$20,'[1]NS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Analysis'!AC$20,'[1]NS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Analysis'!$E127),IF(AC$15="Actual",SUMIFS('[1]NS Vendor Details'!$D:$D,'[1]NS Vendor Details'!$H:$H,'G&amp;A Vendor x GL Analysis'!AC$20,'[1]NS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Analysis'!AC$20,'[1]NS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AD127" s="18">
        <f>IF(AND(AD$15="Actual",ISBLANK($E$8)),SUMIFS('[1]NS Vendor Details'!$D:$D,'[1]NS Vendor Details'!$H:$H,'G&amp;A Vendor x GL Analysis'!AD$20,'[1]NS Vendor Details'!$L:$L,'G&amp;A Vendor x GL Analysis'!$D127,'[1]NS Vendor Details'!$O:$O,'G&amp;A Vendor x GL Analysis'!$F127,'[1]NS Vendor Details'!$N:$N,'G&amp;A Vendor x GL Analysis'!$C127,'[1]NS Vendor Details'!$I:$I,'G&amp;A Vendor x GL Analysis'!$E127)+SUMIFS('[1]NS Vendor Details'!$D:$D,'[1]NS Vendor Details'!$H:$H,'G&amp;A Vendor x GL Analysis'!AD$20,'[1]NS Vendor Details'!$L:$L,'G&amp;A Vendor x GL Analysis'!$D127,'[1]NS Vendor Details'!$O:$O,'G&amp;A Vendor x GL Analysis'!$F127,'[1]NS Vendor Details'!$N:$N,"Direct Costs",'[1]NS Vendor Details'!$J:$J,0,'[1]NS Vendor Details'!$I:$I,'G&amp;A Vendor x GL Analysis'!$E127),IF(AD$15="Actual",SUMIFS('[1]NS Vendor Details'!$D:$D,'[1]NS Vendor Details'!$H:$H,'G&amp;A Vendor x GL Analysis'!AD$20,'[1]NS Vendor Details'!$L:$L,'G&amp;A Vendor x GL Analysis'!$D127,'[1]NS Vendor Details'!$O:$O,'G&amp;A Vendor x GL Analysis'!$F127,'[1]NS Vendor Details'!$N:$N,'G&amp;A Vendor x GL Analysis'!$C127,'[1]NS Vendor Details'!$K:$K,'G&amp;A Vendor x GL Analysis'!$E$8,'[1]NS Vendor Details'!$I:$I,'G&amp;A Vendor x GL Analysis'!$E127)+SUMIFS('[1]NS Vendor Details'!$D:$D,'[1]NS Vendor Details'!$H:$H,'G&amp;A Vendor x GL Analysis'!AD$20,'[1]NS Vendor Details'!$L:$L,'G&amp;A Vendor x GL Analysis'!$D127,'[1]NS Vendor Details'!$O:$O,'G&amp;A Vendor x GL Analysis'!$F127,'[1]NS Vendor Details'!$N:$N,"Direct Costs",'[1]NS Vendor Details'!$J:$J,0,'[1]NS Vendor Details'!$K:$K,'G&amp;A Vendor x GL Analysis'!$E$8,'[1]NS Vendor Details'!$I:$I,'G&amp;A Vendor x GL Analysis'!$E127),0))</f>
        <v>0</v>
      </c>
      <c r="AF127" s="19">
        <f t="shared" si="23"/>
        <v>0</v>
      </c>
    </row>
    <row r="128" spans="1:32" outlineLevel="1">
      <c r="A128" s="8" t="str">
        <f t="shared" si="22"/>
        <v>Professional Service6393 - Software</v>
      </c>
      <c r="C128" s="8" t="s">
        <v>11</v>
      </c>
      <c r="D128" s="8" t="str">
        <f t="shared" si="21"/>
        <v>Professional Service</v>
      </c>
      <c r="E128" s="2" t="s">
        <v>101</v>
      </c>
      <c r="F128" s="2" t="s">
        <v>121</v>
      </c>
      <c r="G128" s="16">
        <f>IF(AND(G$15="Actual",ISBLANK($E$8)),SUMIFS('[1]NS Vendor Details'!$D:$D,'[1]NS Vendor Details'!$H:$H,'G&amp;A Vendor x GL Analysis'!G$20,'[1]NS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Analysis'!G$20,'[1]NS Vendor Details'!$L:$L,'G&amp;A Vendor x GL Analysis'!$D128,'[1]NS Vendor Details'!$O:$O,'G&amp;A Vendor x GL Analysis'!$F128,'[1]NS Vendor Details'!$N:$N,"Direct Costs",'[1]NS Vendor Details'!$J:$J,0),IF(G$15="Actual",SUMIFS('[1]NS Vendor Details'!$D:$D,'[1]NS Vendor Details'!$H:$H,'G&amp;A Vendor x GL Analysis'!G$20,'[1]NS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Analysis'!G$20,'[1]NS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H128" s="17">
        <f>IF(AND(H$15="Actual",ISBLANK($E$8)),SUMIFS('[1]NS Vendor Details'!$D:$D,'[1]NS Vendor Details'!$H:$H,'G&amp;A Vendor x GL Analysis'!H$20,'[1]NS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Analysis'!H$20,'[1]NS Vendor Details'!$L:$L,'G&amp;A Vendor x GL Analysis'!$D128,'[1]NS Vendor Details'!$O:$O,'G&amp;A Vendor x GL Analysis'!$F128,'[1]NS Vendor Details'!$N:$N,"Direct Costs",'[1]NS Vendor Details'!$J:$J,0),IF(H$15="Actual",SUMIFS('[1]NS Vendor Details'!$D:$D,'[1]NS Vendor Details'!$H:$H,'G&amp;A Vendor x GL Analysis'!H$20,'[1]NS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Analysis'!H$20,'[1]NS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I128" s="17">
        <f>IF(AND(I$15="Actual",ISBLANK($E$8)),SUMIFS('[1]NS Vendor Details'!$D:$D,'[1]NS Vendor Details'!$H:$H,'G&amp;A Vendor x GL Analysis'!I$20,'[1]NS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Analysis'!I$20,'[1]NS Vendor Details'!$L:$L,'G&amp;A Vendor x GL Analysis'!$D128,'[1]NS Vendor Details'!$O:$O,'G&amp;A Vendor x GL Analysis'!$F128,'[1]NS Vendor Details'!$N:$N,"Direct Costs",'[1]NS Vendor Details'!$J:$J,0),IF(I$15="Actual",SUMIFS('[1]NS Vendor Details'!$D:$D,'[1]NS Vendor Details'!$H:$H,'G&amp;A Vendor x GL Analysis'!I$20,'[1]NS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Analysis'!I$20,'[1]NS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J128" s="17">
        <f>IF(AND(J$15="Actual",ISBLANK($E$8)),SUMIFS('[1]NS Vendor Details'!$D:$D,'[1]NS Vendor Details'!$H:$H,'G&amp;A Vendor x GL Analysis'!J$20,'[1]NS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Analysis'!J$20,'[1]NS Vendor Details'!$L:$L,'G&amp;A Vendor x GL Analysis'!$D128,'[1]NS Vendor Details'!$O:$O,'G&amp;A Vendor x GL Analysis'!$F128,'[1]NS Vendor Details'!$N:$N,"Direct Costs",'[1]NS Vendor Details'!$J:$J,0),IF(J$15="Actual",SUMIFS('[1]NS Vendor Details'!$D:$D,'[1]NS Vendor Details'!$H:$H,'G&amp;A Vendor x GL Analysis'!J$20,'[1]NS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Analysis'!J$20,'[1]NS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K128" s="17">
        <f>IF(AND(K$15="Actual",ISBLANK($E$8)),SUMIFS('[1]NS Vendor Details'!$D:$D,'[1]NS Vendor Details'!$H:$H,'G&amp;A Vendor x GL Analysis'!K$20,'[1]NS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Analysis'!K$20,'[1]NS Vendor Details'!$L:$L,'G&amp;A Vendor x GL Analysis'!$D128,'[1]NS Vendor Details'!$O:$O,'G&amp;A Vendor x GL Analysis'!$F128,'[1]NS Vendor Details'!$N:$N,"Direct Costs",'[1]NS Vendor Details'!$J:$J,0),IF(K$15="Actual",SUMIFS('[1]NS Vendor Details'!$D:$D,'[1]NS Vendor Details'!$H:$H,'G&amp;A Vendor x GL Analysis'!K$20,'[1]NS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Analysis'!K$20,'[1]NS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L128" s="17">
        <f>IF(AND(L$15="Actual",ISBLANK($E$8)),SUMIFS('[1]NS Vendor Details'!$D:$D,'[1]NS Vendor Details'!$H:$H,'G&amp;A Vendor x GL Analysis'!L$20,'[1]NS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Analysis'!L$20,'[1]NS Vendor Details'!$L:$L,'G&amp;A Vendor x GL Analysis'!$D128,'[1]NS Vendor Details'!$O:$O,'G&amp;A Vendor x GL Analysis'!$F128,'[1]NS Vendor Details'!$N:$N,"Direct Costs",'[1]NS Vendor Details'!$J:$J,0),IF(L$15="Actual",SUMIFS('[1]NS Vendor Details'!$D:$D,'[1]NS Vendor Details'!$H:$H,'G&amp;A Vendor x GL Analysis'!L$20,'[1]NS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Analysis'!L$20,'[1]NS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M128" s="17">
        <f>IF(AND(M$15="Actual",ISBLANK($E$8)),SUMIFS('[1]NS Vendor Details'!$D:$D,'[1]NS Vendor Details'!$H:$H,'G&amp;A Vendor x GL Analysis'!M$20,'[1]NS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Analysis'!M$20,'[1]NS Vendor Details'!$L:$L,'G&amp;A Vendor x GL Analysis'!$D128,'[1]NS Vendor Details'!$O:$O,'G&amp;A Vendor x GL Analysis'!$F128,'[1]NS Vendor Details'!$N:$N,"Direct Costs",'[1]NS Vendor Details'!$J:$J,0),IF(M$15="Actual",SUMIFS('[1]NS Vendor Details'!$D:$D,'[1]NS Vendor Details'!$H:$H,'G&amp;A Vendor x GL Analysis'!M$20,'[1]NS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Analysis'!M$20,'[1]NS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N128" s="17">
        <f>IF(AND(N$15="Actual",ISBLANK($E$8)),SUMIFS('[1]NS Vendor Details'!$D:$D,'[1]NS Vendor Details'!$H:$H,'G&amp;A Vendor x GL Analysis'!N$20,'[1]NS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Analysis'!N$20,'[1]NS Vendor Details'!$L:$L,'G&amp;A Vendor x GL Analysis'!$D128,'[1]NS Vendor Details'!$O:$O,'G&amp;A Vendor x GL Analysis'!$F128,'[1]NS Vendor Details'!$N:$N,"Direct Costs",'[1]NS Vendor Details'!$J:$J,0),IF(N$15="Actual",SUMIFS('[1]NS Vendor Details'!$D:$D,'[1]NS Vendor Details'!$H:$H,'G&amp;A Vendor x GL Analysis'!N$20,'[1]NS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Analysis'!N$20,'[1]NS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O128" s="17">
        <f>IF(AND(O$15="Actual",ISBLANK($E$8)),SUMIFS('[1]NS Vendor Details'!$D:$D,'[1]NS Vendor Details'!$H:$H,'G&amp;A Vendor x GL Analysis'!O$20,'[1]NS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Analysis'!O$20,'[1]NS Vendor Details'!$L:$L,'G&amp;A Vendor x GL Analysis'!$D128,'[1]NS Vendor Details'!$O:$O,'G&amp;A Vendor x GL Analysis'!$F128,'[1]NS Vendor Details'!$N:$N,"Direct Costs",'[1]NS Vendor Details'!$J:$J,0),IF(O$15="Actual",SUMIFS('[1]NS Vendor Details'!$D:$D,'[1]NS Vendor Details'!$H:$H,'G&amp;A Vendor x GL Analysis'!O$20,'[1]NS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Analysis'!O$20,'[1]NS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P128" s="17">
        <f>IF(AND(P$15="Actual",ISBLANK($E$8)),SUMIFS('[1]NS Vendor Details'!$D:$D,'[1]NS Vendor Details'!$H:$H,'G&amp;A Vendor x GL Analysis'!P$20,'[1]NS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Analysis'!P$20,'[1]NS Vendor Details'!$L:$L,'G&amp;A Vendor x GL Analysis'!$D128,'[1]NS Vendor Details'!$O:$O,'G&amp;A Vendor x GL Analysis'!$F128,'[1]NS Vendor Details'!$N:$N,"Direct Costs",'[1]NS Vendor Details'!$J:$J,0),IF(P$15="Actual",SUMIFS('[1]NS Vendor Details'!$D:$D,'[1]NS Vendor Details'!$H:$H,'G&amp;A Vendor x GL Analysis'!P$20,'[1]NS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Analysis'!P$20,'[1]NS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Q128" s="17">
        <f>IF(AND(Q$15="Actual",ISBLANK($E$8)),SUMIFS('[1]NS Vendor Details'!$D:$D,'[1]NS Vendor Details'!$H:$H,'G&amp;A Vendor x GL Analysis'!Q$20,'[1]NS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Analysis'!Q$20,'[1]NS Vendor Details'!$L:$L,'G&amp;A Vendor x GL Analysis'!$D128,'[1]NS Vendor Details'!$O:$O,'G&amp;A Vendor x GL Analysis'!$F128,'[1]NS Vendor Details'!$N:$N,"Direct Costs",'[1]NS Vendor Details'!$J:$J,0),IF(Q$15="Actual",SUMIFS('[1]NS Vendor Details'!$D:$D,'[1]NS Vendor Details'!$H:$H,'G&amp;A Vendor x GL Analysis'!Q$20,'[1]NS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Analysis'!Q$20,'[1]NS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R128" s="18">
        <f>IF(AND(R$15="Actual",ISBLANK($E$8)),SUMIFS('[1]NS Vendor Details'!$D:$D,'[1]NS Vendor Details'!$H:$H,'G&amp;A Vendor x GL Analysis'!R$20,'[1]NS Vendor Details'!$L:$L,'G&amp;A Vendor x GL Analysis'!$D128,'[1]NS Vendor Details'!$O:$O,'G&amp;A Vendor x GL Analysis'!$F128,'[1]NS Vendor Details'!$N:$N,'G&amp;A Vendor x GL Analysis'!$C128)+SUMIFS('[1]NS Vendor Details'!$D:$D,'[1]NS Vendor Details'!$H:$H,'G&amp;A Vendor x GL Analysis'!R$20,'[1]NS Vendor Details'!$L:$L,'G&amp;A Vendor x GL Analysis'!$D128,'[1]NS Vendor Details'!$O:$O,'G&amp;A Vendor x GL Analysis'!$F128,'[1]NS Vendor Details'!$N:$N,"Direct Costs",'[1]NS Vendor Details'!$J:$J,0),IF(R$15="Actual",SUMIFS('[1]NS Vendor Details'!$D:$D,'[1]NS Vendor Details'!$H:$H,'G&amp;A Vendor x GL Analysis'!R$20,'[1]NS Vendor Details'!$L:$L,'G&amp;A Vendor x GL Analysis'!$D128,'[1]NS Vendor Details'!$O:$O,'G&amp;A Vendor x GL Analysis'!$F128,'[1]NS Vendor Details'!$N:$N,'G&amp;A Vendor x GL Analysis'!$C128,'[1]NS Vendor Details'!$K:$K,'G&amp;A Vendor x GL Analysis'!$E$8)+SUMIFS('[1]NS Vendor Details'!$D:$D,'[1]NS Vendor Details'!$H:$H,'G&amp;A Vendor x GL Analysis'!R$20,'[1]NS Vendor Details'!$L:$L,'G&amp;A Vendor x GL Analysis'!$D128,'[1]NS Vendor Details'!$O:$O,'G&amp;A Vendor x GL Analysis'!$F128,'[1]NS Vendor Details'!$N:$N,"Direct Costs",'[1]NS Vendor Details'!$J:$J,0,'[1]NS Vendor Details'!$K:$K,'G&amp;A Vendor x GL Analysis'!$E$8),0))</f>
        <v>0</v>
      </c>
      <c r="S128" s="16">
        <f>IF(AND(S$15="Actual",ISBLANK($E$8)),SUMIFS('[1]NS Vendor Details'!$D:$D,'[1]NS Vendor Details'!$H:$H,'G&amp;A Vendor x GL Analysis'!S$20,'[1]NS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Analysis'!S$20,'[1]NS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Analysis'!$E128),IF(S$15="Actual",SUMIFS('[1]NS Vendor Details'!$D:$D,'[1]NS Vendor Details'!$H:$H,'G&amp;A Vendor x GL Analysis'!S$20,'[1]NS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Analysis'!S$20,'[1]NS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29.99</v>
      </c>
      <c r="T128" s="17">
        <f>IF(AND(T$15="Actual",ISBLANK($E$8)),SUMIFS('[1]NS Vendor Details'!$D:$D,'[1]NS Vendor Details'!$H:$H,'G&amp;A Vendor x GL Analysis'!T$20,'[1]NS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Analysis'!T$20,'[1]NS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Analysis'!$E128),IF(T$15="Actual",SUMIFS('[1]NS Vendor Details'!$D:$D,'[1]NS Vendor Details'!$H:$H,'G&amp;A Vendor x GL Analysis'!T$20,'[1]NS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Analysis'!T$20,'[1]NS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U128" s="17">
        <f>IF(AND(U$15="Actual",ISBLANK($E$8)),SUMIFS('[1]NS Vendor Details'!$D:$D,'[1]NS Vendor Details'!$H:$H,'G&amp;A Vendor x GL Analysis'!U$20,'[1]NS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Analysis'!U$20,'[1]NS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Analysis'!$E128),IF(U$15="Actual",SUMIFS('[1]NS Vendor Details'!$D:$D,'[1]NS Vendor Details'!$H:$H,'G&amp;A Vendor x GL Analysis'!U$20,'[1]NS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Analysis'!U$20,'[1]NS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V128" s="17">
        <f>IF(AND(V$15="Actual",ISBLANK($E$8)),SUMIFS('[1]NS Vendor Details'!$D:$D,'[1]NS Vendor Details'!$H:$H,'G&amp;A Vendor x GL Analysis'!V$20,'[1]NS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Analysis'!V$20,'[1]NS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Analysis'!$E128),IF(V$15="Actual",SUMIFS('[1]NS Vendor Details'!$D:$D,'[1]NS Vendor Details'!$H:$H,'G&amp;A Vendor x GL Analysis'!V$20,'[1]NS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Analysis'!V$20,'[1]NS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W128" s="17">
        <f>IF(AND(W$15="Actual",ISBLANK($E$8)),SUMIFS('[1]NS Vendor Details'!$D:$D,'[1]NS Vendor Details'!$H:$H,'G&amp;A Vendor x GL Analysis'!W$20,'[1]NS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Analysis'!W$20,'[1]NS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Analysis'!$E128),IF(W$15="Actual",SUMIFS('[1]NS Vendor Details'!$D:$D,'[1]NS Vendor Details'!$H:$H,'G&amp;A Vendor x GL Analysis'!W$20,'[1]NS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Analysis'!W$20,'[1]NS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X128" s="17">
        <f>IF(AND(X$15="Actual",ISBLANK($E$8)),SUMIFS('[1]NS Vendor Details'!$D:$D,'[1]NS Vendor Details'!$H:$H,'G&amp;A Vendor x GL Analysis'!X$20,'[1]NS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Analysis'!X$20,'[1]NS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Analysis'!$E128),IF(X$15="Actual",SUMIFS('[1]NS Vendor Details'!$D:$D,'[1]NS Vendor Details'!$H:$H,'G&amp;A Vendor x GL Analysis'!X$20,'[1]NS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Analysis'!X$20,'[1]NS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Y128" s="17">
        <f>IF(AND(Y$15="Actual",ISBLANK($E$8)),SUMIFS('[1]NS Vendor Details'!$D:$D,'[1]NS Vendor Details'!$H:$H,'G&amp;A Vendor x GL Analysis'!Y$20,'[1]NS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Analysis'!Y$20,'[1]NS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Analysis'!$E128),IF(Y$15="Actual",SUMIFS('[1]NS Vendor Details'!$D:$D,'[1]NS Vendor Details'!$H:$H,'G&amp;A Vendor x GL Analysis'!Y$20,'[1]NS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Analysis'!Y$20,'[1]NS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Z128" s="17">
        <f>IF(AND(Z$15="Actual",ISBLANK($E$8)),SUMIFS('[1]NS Vendor Details'!$D:$D,'[1]NS Vendor Details'!$H:$H,'G&amp;A Vendor x GL Analysis'!Z$20,'[1]NS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Analysis'!Z$20,'[1]NS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Analysis'!$E128),IF(Z$15="Actual",SUMIFS('[1]NS Vendor Details'!$D:$D,'[1]NS Vendor Details'!$H:$H,'G&amp;A Vendor x GL Analysis'!Z$20,'[1]NS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Analysis'!Z$20,'[1]NS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AA128" s="17">
        <f>IF(AND(AA$15="Actual",ISBLANK($E$8)),SUMIFS('[1]NS Vendor Details'!$D:$D,'[1]NS Vendor Details'!$H:$H,'G&amp;A Vendor x GL Analysis'!AA$20,'[1]NS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Analysis'!AA$20,'[1]NS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Analysis'!$E128),IF(AA$15="Actual",SUMIFS('[1]NS Vendor Details'!$D:$D,'[1]NS Vendor Details'!$H:$H,'G&amp;A Vendor x GL Analysis'!AA$20,'[1]NS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Analysis'!AA$20,'[1]NS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AB128" s="17">
        <f>IF(AND(AB$15="Actual",ISBLANK($E$8)),SUMIFS('[1]NS Vendor Details'!$D:$D,'[1]NS Vendor Details'!$H:$H,'G&amp;A Vendor x GL Analysis'!AB$20,'[1]NS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Analysis'!AB$20,'[1]NS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Analysis'!$E128),IF(AB$15="Actual",SUMIFS('[1]NS Vendor Details'!$D:$D,'[1]NS Vendor Details'!$H:$H,'G&amp;A Vendor x GL Analysis'!AB$20,'[1]NS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Analysis'!AB$20,'[1]NS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AC128" s="18">
        <f>IF(AND(AC$15="Actual",ISBLANK($E$8)),SUMIFS('[1]NS Vendor Details'!$D:$D,'[1]NS Vendor Details'!$H:$H,'G&amp;A Vendor x GL Analysis'!AC$20,'[1]NS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Analysis'!AC$20,'[1]NS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Analysis'!$E128),IF(AC$15="Actual",SUMIFS('[1]NS Vendor Details'!$D:$D,'[1]NS Vendor Details'!$H:$H,'G&amp;A Vendor x GL Analysis'!AC$20,'[1]NS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Analysis'!AC$20,'[1]NS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AD128" s="18">
        <f>IF(AND(AD$15="Actual",ISBLANK($E$8)),SUMIFS('[1]NS Vendor Details'!$D:$D,'[1]NS Vendor Details'!$H:$H,'G&amp;A Vendor x GL Analysis'!AD$20,'[1]NS Vendor Details'!$L:$L,'G&amp;A Vendor x GL Analysis'!$D128,'[1]NS Vendor Details'!$O:$O,'G&amp;A Vendor x GL Analysis'!$F128,'[1]NS Vendor Details'!$N:$N,'G&amp;A Vendor x GL Analysis'!$C128,'[1]NS Vendor Details'!$I:$I,'G&amp;A Vendor x GL Analysis'!$E128)+SUMIFS('[1]NS Vendor Details'!$D:$D,'[1]NS Vendor Details'!$H:$H,'G&amp;A Vendor x GL Analysis'!AD$20,'[1]NS Vendor Details'!$L:$L,'G&amp;A Vendor x GL Analysis'!$D128,'[1]NS Vendor Details'!$O:$O,'G&amp;A Vendor x GL Analysis'!$F128,'[1]NS Vendor Details'!$N:$N,"Direct Costs",'[1]NS Vendor Details'!$J:$J,0,'[1]NS Vendor Details'!$I:$I,'G&amp;A Vendor x GL Analysis'!$E128),IF(AD$15="Actual",SUMIFS('[1]NS Vendor Details'!$D:$D,'[1]NS Vendor Details'!$H:$H,'G&amp;A Vendor x GL Analysis'!AD$20,'[1]NS Vendor Details'!$L:$L,'G&amp;A Vendor x GL Analysis'!$D128,'[1]NS Vendor Details'!$O:$O,'G&amp;A Vendor x GL Analysis'!$F128,'[1]NS Vendor Details'!$N:$N,'G&amp;A Vendor x GL Analysis'!$C128,'[1]NS Vendor Details'!$K:$K,'G&amp;A Vendor x GL Analysis'!$E$8,'[1]NS Vendor Details'!$I:$I,'G&amp;A Vendor x GL Analysis'!$E128)+SUMIFS('[1]NS Vendor Details'!$D:$D,'[1]NS Vendor Details'!$H:$H,'G&amp;A Vendor x GL Analysis'!AD$20,'[1]NS Vendor Details'!$L:$L,'G&amp;A Vendor x GL Analysis'!$D128,'[1]NS Vendor Details'!$O:$O,'G&amp;A Vendor x GL Analysis'!$F128,'[1]NS Vendor Details'!$N:$N,"Direct Costs",'[1]NS Vendor Details'!$J:$J,0,'[1]NS Vendor Details'!$K:$K,'G&amp;A Vendor x GL Analysis'!$E$8,'[1]NS Vendor Details'!$I:$I,'G&amp;A Vendor x GL Analysis'!$E128),0))</f>
        <v>0</v>
      </c>
      <c r="AF128" s="19">
        <f t="shared" si="23"/>
        <v>29.99</v>
      </c>
    </row>
    <row r="129" spans="1:32" outlineLevel="1">
      <c r="A129" s="8" t="str">
        <f t="shared" si="22"/>
        <v>Professional Service6393 - Software</v>
      </c>
      <c r="C129" s="8" t="s">
        <v>11</v>
      </c>
      <c r="D129" s="8" t="str">
        <f t="shared" si="21"/>
        <v>Professional Service</v>
      </c>
      <c r="E129" s="2" t="s">
        <v>101</v>
      </c>
      <c r="F129" s="2" t="s">
        <v>122</v>
      </c>
      <c r="G129" s="16">
        <f>IF(AND(G$15="Actual",ISBLANK($E$8)),SUMIFS('[1]NS Vendor Details'!$D:$D,'[1]NS Vendor Details'!$H:$H,'G&amp;A Vendor x GL Analysis'!G$20,'[1]NS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Analysis'!G$20,'[1]NS Vendor Details'!$L:$L,'G&amp;A Vendor x GL Analysis'!$D129,'[1]NS Vendor Details'!$O:$O,'G&amp;A Vendor x GL Analysis'!$F129,'[1]NS Vendor Details'!$N:$N,"Direct Costs",'[1]NS Vendor Details'!$J:$J,0),IF(G$15="Actual",SUMIFS('[1]NS Vendor Details'!$D:$D,'[1]NS Vendor Details'!$H:$H,'G&amp;A Vendor x GL Analysis'!G$20,'[1]NS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Analysis'!G$20,'[1]NS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H129" s="17">
        <f>IF(AND(H$15="Actual",ISBLANK($E$8)),SUMIFS('[1]NS Vendor Details'!$D:$D,'[1]NS Vendor Details'!$H:$H,'G&amp;A Vendor x GL Analysis'!H$20,'[1]NS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Analysis'!H$20,'[1]NS Vendor Details'!$L:$L,'G&amp;A Vendor x GL Analysis'!$D129,'[1]NS Vendor Details'!$O:$O,'G&amp;A Vendor x GL Analysis'!$F129,'[1]NS Vendor Details'!$N:$N,"Direct Costs",'[1]NS Vendor Details'!$J:$J,0),IF(H$15="Actual",SUMIFS('[1]NS Vendor Details'!$D:$D,'[1]NS Vendor Details'!$H:$H,'G&amp;A Vendor x GL Analysis'!H$20,'[1]NS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Analysis'!H$20,'[1]NS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I129" s="17">
        <f>IF(AND(I$15="Actual",ISBLANK($E$8)),SUMIFS('[1]NS Vendor Details'!$D:$D,'[1]NS Vendor Details'!$H:$H,'G&amp;A Vendor x GL Analysis'!I$20,'[1]NS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Analysis'!I$20,'[1]NS Vendor Details'!$L:$L,'G&amp;A Vendor x GL Analysis'!$D129,'[1]NS Vendor Details'!$O:$O,'G&amp;A Vendor x GL Analysis'!$F129,'[1]NS Vendor Details'!$N:$N,"Direct Costs",'[1]NS Vendor Details'!$J:$J,0),IF(I$15="Actual",SUMIFS('[1]NS Vendor Details'!$D:$D,'[1]NS Vendor Details'!$H:$H,'G&amp;A Vendor x GL Analysis'!I$20,'[1]NS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Analysis'!I$20,'[1]NS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J129" s="17">
        <f>IF(AND(J$15="Actual",ISBLANK($E$8)),SUMIFS('[1]NS Vendor Details'!$D:$D,'[1]NS Vendor Details'!$H:$H,'G&amp;A Vendor x GL Analysis'!J$20,'[1]NS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Analysis'!J$20,'[1]NS Vendor Details'!$L:$L,'G&amp;A Vendor x GL Analysis'!$D129,'[1]NS Vendor Details'!$O:$O,'G&amp;A Vendor x GL Analysis'!$F129,'[1]NS Vendor Details'!$N:$N,"Direct Costs",'[1]NS Vendor Details'!$J:$J,0),IF(J$15="Actual",SUMIFS('[1]NS Vendor Details'!$D:$D,'[1]NS Vendor Details'!$H:$H,'G&amp;A Vendor x GL Analysis'!J$20,'[1]NS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Analysis'!J$20,'[1]NS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K129" s="17">
        <f>IF(AND(K$15="Actual",ISBLANK($E$8)),SUMIFS('[1]NS Vendor Details'!$D:$D,'[1]NS Vendor Details'!$H:$H,'G&amp;A Vendor x GL Analysis'!K$20,'[1]NS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Analysis'!K$20,'[1]NS Vendor Details'!$L:$L,'G&amp;A Vendor x GL Analysis'!$D129,'[1]NS Vendor Details'!$O:$O,'G&amp;A Vendor x GL Analysis'!$F129,'[1]NS Vendor Details'!$N:$N,"Direct Costs",'[1]NS Vendor Details'!$J:$J,0),IF(K$15="Actual",SUMIFS('[1]NS Vendor Details'!$D:$D,'[1]NS Vendor Details'!$H:$H,'G&amp;A Vendor x GL Analysis'!K$20,'[1]NS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Analysis'!K$20,'[1]NS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L129" s="17">
        <f>IF(AND(L$15="Actual",ISBLANK($E$8)),SUMIFS('[1]NS Vendor Details'!$D:$D,'[1]NS Vendor Details'!$H:$H,'G&amp;A Vendor x GL Analysis'!L$20,'[1]NS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Analysis'!L$20,'[1]NS Vendor Details'!$L:$L,'G&amp;A Vendor x GL Analysis'!$D129,'[1]NS Vendor Details'!$O:$O,'G&amp;A Vendor x GL Analysis'!$F129,'[1]NS Vendor Details'!$N:$N,"Direct Costs",'[1]NS Vendor Details'!$J:$J,0),IF(L$15="Actual",SUMIFS('[1]NS Vendor Details'!$D:$D,'[1]NS Vendor Details'!$H:$H,'G&amp;A Vendor x GL Analysis'!L$20,'[1]NS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Analysis'!L$20,'[1]NS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M129" s="17">
        <f>IF(AND(M$15="Actual",ISBLANK($E$8)),SUMIFS('[1]NS Vendor Details'!$D:$D,'[1]NS Vendor Details'!$H:$H,'G&amp;A Vendor x GL Analysis'!M$20,'[1]NS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Analysis'!M$20,'[1]NS Vendor Details'!$L:$L,'G&amp;A Vendor x GL Analysis'!$D129,'[1]NS Vendor Details'!$O:$O,'G&amp;A Vendor x GL Analysis'!$F129,'[1]NS Vendor Details'!$N:$N,"Direct Costs",'[1]NS Vendor Details'!$J:$J,0),IF(M$15="Actual",SUMIFS('[1]NS Vendor Details'!$D:$D,'[1]NS Vendor Details'!$H:$H,'G&amp;A Vendor x GL Analysis'!M$20,'[1]NS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Analysis'!M$20,'[1]NS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N129" s="17">
        <f>IF(AND(N$15="Actual",ISBLANK($E$8)),SUMIFS('[1]NS Vendor Details'!$D:$D,'[1]NS Vendor Details'!$H:$H,'G&amp;A Vendor x GL Analysis'!N$20,'[1]NS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Analysis'!N$20,'[1]NS Vendor Details'!$L:$L,'G&amp;A Vendor x GL Analysis'!$D129,'[1]NS Vendor Details'!$O:$O,'G&amp;A Vendor x GL Analysis'!$F129,'[1]NS Vendor Details'!$N:$N,"Direct Costs",'[1]NS Vendor Details'!$J:$J,0),IF(N$15="Actual",SUMIFS('[1]NS Vendor Details'!$D:$D,'[1]NS Vendor Details'!$H:$H,'G&amp;A Vendor x GL Analysis'!N$20,'[1]NS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Analysis'!N$20,'[1]NS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O129" s="17">
        <f>IF(AND(O$15="Actual",ISBLANK($E$8)),SUMIFS('[1]NS Vendor Details'!$D:$D,'[1]NS Vendor Details'!$H:$H,'G&amp;A Vendor x GL Analysis'!O$20,'[1]NS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Analysis'!O$20,'[1]NS Vendor Details'!$L:$L,'G&amp;A Vendor x GL Analysis'!$D129,'[1]NS Vendor Details'!$O:$O,'G&amp;A Vendor x GL Analysis'!$F129,'[1]NS Vendor Details'!$N:$N,"Direct Costs",'[1]NS Vendor Details'!$J:$J,0),IF(O$15="Actual",SUMIFS('[1]NS Vendor Details'!$D:$D,'[1]NS Vendor Details'!$H:$H,'G&amp;A Vendor x GL Analysis'!O$20,'[1]NS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Analysis'!O$20,'[1]NS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P129" s="17">
        <f>IF(AND(P$15="Actual",ISBLANK($E$8)),SUMIFS('[1]NS Vendor Details'!$D:$D,'[1]NS Vendor Details'!$H:$H,'G&amp;A Vendor x GL Analysis'!P$20,'[1]NS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Analysis'!P$20,'[1]NS Vendor Details'!$L:$L,'G&amp;A Vendor x GL Analysis'!$D129,'[1]NS Vendor Details'!$O:$O,'G&amp;A Vendor x GL Analysis'!$F129,'[1]NS Vendor Details'!$N:$N,"Direct Costs",'[1]NS Vendor Details'!$J:$J,0),IF(P$15="Actual",SUMIFS('[1]NS Vendor Details'!$D:$D,'[1]NS Vendor Details'!$H:$H,'G&amp;A Vendor x GL Analysis'!P$20,'[1]NS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Analysis'!P$20,'[1]NS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Q129" s="17">
        <f>IF(AND(Q$15="Actual",ISBLANK($E$8)),SUMIFS('[1]NS Vendor Details'!$D:$D,'[1]NS Vendor Details'!$H:$H,'G&amp;A Vendor x GL Analysis'!Q$20,'[1]NS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Analysis'!Q$20,'[1]NS Vendor Details'!$L:$L,'G&amp;A Vendor x GL Analysis'!$D129,'[1]NS Vendor Details'!$O:$O,'G&amp;A Vendor x GL Analysis'!$F129,'[1]NS Vendor Details'!$N:$N,"Direct Costs",'[1]NS Vendor Details'!$J:$J,0),IF(Q$15="Actual",SUMIFS('[1]NS Vendor Details'!$D:$D,'[1]NS Vendor Details'!$H:$H,'G&amp;A Vendor x GL Analysis'!Q$20,'[1]NS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Analysis'!Q$20,'[1]NS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R129" s="18">
        <f>IF(AND(R$15="Actual",ISBLANK($E$8)),SUMIFS('[1]NS Vendor Details'!$D:$D,'[1]NS Vendor Details'!$H:$H,'G&amp;A Vendor x GL Analysis'!R$20,'[1]NS Vendor Details'!$L:$L,'G&amp;A Vendor x GL Analysis'!$D129,'[1]NS Vendor Details'!$O:$O,'G&amp;A Vendor x GL Analysis'!$F129,'[1]NS Vendor Details'!$N:$N,'G&amp;A Vendor x GL Analysis'!$C129)+SUMIFS('[1]NS Vendor Details'!$D:$D,'[1]NS Vendor Details'!$H:$H,'G&amp;A Vendor x GL Analysis'!R$20,'[1]NS Vendor Details'!$L:$L,'G&amp;A Vendor x GL Analysis'!$D129,'[1]NS Vendor Details'!$O:$O,'G&amp;A Vendor x GL Analysis'!$F129,'[1]NS Vendor Details'!$N:$N,"Direct Costs",'[1]NS Vendor Details'!$J:$J,0),IF(R$15="Actual",SUMIFS('[1]NS Vendor Details'!$D:$D,'[1]NS Vendor Details'!$H:$H,'G&amp;A Vendor x GL Analysis'!R$20,'[1]NS Vendor Details'!$L:$L,'G&amp;A Vendor x GL Analysis'!$D129,'[1]NS Vendor Details'!$O:$O,'G&amp;A Vendor x GL Analysis'!$F129,'[1]NS Vendor Details'!$N:$N,'G&amp;A Vendor x GL Analysis'!$C129,'[1]NS Vendor Details'!$K:$K,'G&amp;A Vendor x GL Analysis'!$E$8)+SUMIFS('[1]NS Vendor Details'!$D:$D,'[1]NS Vendor Details'!$H:$H,'G&amp;A Vendor x GL Analysis'!R$20,'[1]NS Vendor Details'!$L:$L,'G&amp;A Vendor x GL Analysis'!$D129,'[1]NS Vendor Details'!$O:$O,'G&amp;A Vendor x GL Analysis'!$F129,'[1]NS Vendor Details'!$N:$N,"Direct Costs",'[1]NS Vendor Details'!$J:$J,0,'[1]NS Vendor Details'!$K:$K,'G&amp;A Vendor x GL Analysis'!$E$8),0))</f>
        <v>0</v>
      </c>
      <c r="S129" s="16">
        <f>IF(AND(S$15="Actual",ISBLANK($E$8)),SUMIFS('[1]NS Vendor Details'!$D:$D,'[1]NS Vendor Details'!$H:$H,'G&amp;A Vendor x GL Analysis'!S$20,'[1]NS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Analysis'!S$20,'[1]NS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Analysis'!$E129),IF(S$15="Actual",SUMIFS('[1]NS Vendor Details'!$D:$D,'[1]NS Vendor Details'!$H:$H,'G&amp;A Vendor x GL Analysis'!S$20,'[1]NS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Analysis'!S$20,'[1]NS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T129" s="17">
        <f>IF(AND(T$15="Actual",ISBLANK($E$8)),SUMIFS('[1]NS Vendor Details'!$D:$D,'[1]NS Vendor Details'!$H:$H,'G&amp;A Vendor x GL Analysis'!T$20,'[1]NS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Analysis'!T$20,'[1]NS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Analysis'!$E129),IF(T$15="Actual",SUMIFS('[1]NS Vendor Details'!$D:$D,'[1]NS Vendor Details'!$H:$H,'G&amp;A Vendor x GL Analysis'!T$20,'[1]NS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Analysis'!T$20,'[1]NS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U129" s="17">
        <f>IF(AND(U$15="Actual",ISBLANK($E$8)),SUMIFS('[1]NS Vendor Details'!$D:$D,'[1]NS Vendor Details'!$H:$H,'G&amp;A Vendor x GL Analysis'!U$20,'[1]NS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Analysis'!U$20,'[1]NS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Analysis'!$E129),IF(U$15="Actual",SUMIFS('[1]NS Vendor Details'!$D:$D,'[1]NS Vendor Details'!$H:$H,'G&amp;A Vendor x GL Analysis'!U$20,'[1]NS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Analysis'!U$20,'[1]NS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V129" s="17">
        <f>IF(AND(V$15="Actual",ISBLANK($E$8)),SUMIFS('[1]NS Vendor Details'!$D:$D,'[1]NS Vendor Details'!$H:$H,'G&amp;A Vendor x GL Analysis'!V$20,'[1]NS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Analysis'!V$20,'[1]NS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Analysis'!$E129),IF(V$15="Actual",SUMIFS('[1]NS Vendor Details'!$D:$D,'[1]NS Vendor Details'!$H:$H,'G&amp;A Vendor x GL Analysis'!V$20,'[1]NS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Analysis'!V$20,'[1]NS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W129" s="17">
        <f>IF(AND(W$15="Actual",ISBLANK($E$8)),SUMIFS('[1]NS Vendor Details'!$D:$D,'[1]NS Vendor Details'!$H:$H,'G&amp;A Vendor x GL Analysis'!W$20,'[1]NS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Analysis'!W$20,'[1]NS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Analysis'!$E129),IF(W$15="Actual",SUMIFS('[1]NS Vendor Details'!$D:$D,'[1]NS Vendor Details'!$H:$H,'G&amp;A Vendor x GL Analysis'!W$20,'[1]NS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Analysis'!W$20,'[1]NS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X129" s="17">
        <f>IF(AND(X$15="Actual",ISBLANK($E$8)),SUMIFS('[1]NS Vendor Details'!$D:$D,'[1]NS Vendor Details'!$H:$H,'G&amp;A Vendor x GL Analysis'!X$20,'[1]NS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Analysis'!X$20,'[1]NS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Analysis'!$E129),IF(X$15="Actual",SUMIFS('[1]NS Vendor Details'!$D:$D,'[1]NS Vendor Details'!$H:$H,'G&amp;A Vendor x GL Analysis'!X$20,'[1]NS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Analysis'!X$20,'[1]NS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Y129" s="17">
        <f>IF(AND(Y$15="Actual",ISBLANK($E$8)),SUMIFS('[1]NS Vendor Details'!$D:$D,'[1]NS Vendor Details'!$H:$H,'G&amp;A Vendor x GL Analysis'!Y$20,'[1]NS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Analysis'!Y$20,'[1]NS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Analysis'!$E129),IF(Y$15="Actual",SUMIFS('[1]NS Vendor Details'!$D:$D,'[1]NS Vendor Details'!$H:$H,'G&amp;A Vendor x GL Analysis'!Y$20,'[1]NS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Analysis'!Y$20,'[1]NS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Z129" s="17">
        <f>IF(AND(Z$15="Actual",ISBLANK($E$8)),SUMIFS('[1]NS Vendor Details'!$D:$D,'[1]NS Vendor Details'!$H:$H,'G&amp;A Vendor x GL Analysis'!Z$20,'[1]NS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Analysis'!Z$20,'[1]NS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Analysis'!$E129),IF(Z$15="Actual",SUMIFS('[1]NS Vendor Details'!$D:$D,'[1]NS Vendor Details'!$H:$H,'G&amp;A Vendor x GL Analysis'!Z$20,'[1]NS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Analysis'!Z$20,'[1]NS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AA129" s="17">
        <f>IF(AND(AA$15="Actual",ISBLANK($E$8)),SUMIFS('[1]NS Vendor Details'!$D:$D,'[1]NS Vendor Details'!$H:$H,'G&amp;A Vendor x GL Analysis'!AA$20,'[1]NS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Analysis'!AA$20,'[1]NS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Analysis'!$E129),IF(AA$15="Actual",SUMIFS('[1]NS Vendor Details'!$D:$D,'[1]NS Vendor Details'!$H:$H,'G&amp;A Vendor x GL Analysis'!AA$20,'[1]NS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Analysis'!AA$20,'[1]NS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AB129" s="17">
        <f>IF(AND(AB$15="Actual",ISBLANK($E$8)),SUMIFS('[1]NS Vendor Details'!$D:$D,'[1]NS Vendor Details'!$H:$H,'G&amp;A Vendor x GL Analysis'!AB$20,'[1]NS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Analysis'!AB$20,'[1]NS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Analysis'!$E129),IF(AB$15="Actual",SUMIFS('[1]NS Vendor Details'!$D:$D,'[1]NS Vendor Details'!$H:$H,'G&amp;A Vendor x GL Analysis'!AB$20,'[1]NS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Analysis'!AB$20,'[1]NS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AC129" s="18">
        <f>IF(AND(AC$15="Actual",ISBLANK($E$8)),SUMIFS('[1]NS Vendor Details'!$D:$D,'[1]NS Vendor Details'!$H:$H,'G&amp;A Vendor x GL Analysis'!AC$20,'[1]NS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Analysis'!AC$20,'[1]NS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Analysis'!$E129),IF(AC$15="Actual",SUMIFS('[1]NS Vendor Details'!$D:$D,'[1]NS Vendor Details'!$H:$H,'G&amp;A Vendor x GL Analysis'!AC$20,'[1]NS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Analysis'!AC$20,'[1]NS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AD129" s="18">
        <f>IF(AND(AD$15="Actual",ISBLANK($E$8)),SUMIFS('[1]NS Vendor Details'!$D:$D,'[1]NS Vendor Details'!$H:$H,'G&amp;A Vendor x GL Analysis'!AD$20,'[1]NS Vendor Details'!$L:$L,'G&amp;A Vendor x GL Analysis'!$D129,'[1]NS Vendor Details'!$O:$O,'G&amp;A Vendor x GL Analysis'!$F129,'[1]NS Vendor Details'!$N:$N,'G&amp;A Vendor x GL Analysis'!$C129,'[1]NS Vendor Details'!$I:$I,'G&amp;A Vendor x GL Analysis'!$E129)+SUMIFS('[1]NS Vendor Details'!$D:$D,'[1]NS Vendor Details'!$H:$H,'G&amp;A Vendor x GL Analysis'!AD$20,'[1]NS Vendor Details'!$L:$L,'G&amp;A Vendor x GL Analysis'!$D129,'[1]NS Vendor Details'!$O:$O,'G&amp;A Vendor x GL Analysis'!$F129,'[1]NS Vendor Details'!$N:$N,"Direct Costs",'[1]NS Vendor Details'!$J:$J,0,'[1]NS Vendor Details'!$I:$I,'G&amp;A Vendor x GL Analysis'!$E129),IF(AD$15="Actual",SUMIFS('[1]NS Vendor Details'!$D:$D,'[1]NS Vendor Details'!$H:$H,'G&amp;A Vendor x GL Analysis'!AD$20,'[1]NS Vendor Details'!$L:$L,'G&amp;A Vendor x GL Analysis'!$D129,'[1]NS Vendor Details'!$O:$O,'G&amp;A Vendor x GL Analysis'!$F129,'[1]NS Vendor Details'!$N:$N,'G&amp;A Vendor x GL Analysis'!$C129,'[1]NS Vendor Details'!$K:$K,'G&amp;A Vendor x GL Analysis'!$E$8,'[1]NS Vendor Details'!$I:$I,'G&amp;A Vendor x GL Analysis'!$E129)+SUMIFS('[1]NS Vendor Details'!$D:$D,'[1]NS Vendor Details'!$H:$H,'G&amp;A Vendor x GL Analysis'!AD$20,'[1]NS Vendor Details'!$L:$L,'G&amp;A Vendor x GL Analysis'!$D129,'[1]NS Vendor Details'!$O:$O,'G&amp;A Vendor x GL Analysis'!$F129,'[1]NS Vendor Details'!$N:$N,"Direct Costs",'[1]NS Vendor Details'!$J:$J,0,'[1]NS Vendor Details'!$K:$K,'G&amp;A Vendor x GL Analysis'!$E$8,'[1]NS Vendor Details'!$I:$I,'G&amp;A Vendor x GL Analysis'!$E129),0))</f>
        <v>0</v>
      </c>
      <c r="AF129" s="19">
        <f t="shared" si="23"/>
        <v>0</v>
      </c>
    </row>
    <row r="130" spans="1:32" outlineLevel="1">
      <c r="A130" s="8" t="str">
        <f t="shared" si="22"/>
        <v>Professional Service6393 - Software</v>
      </c>
      <c r="C130" s="8" t="s">
        <v>11</v>
      </c>
      <c r="D130" s="8" t="str">
        <f t="shared" si="21"/>
        <v>Professional Service</v>
      </c>
      <c r="E130" s="2" t="s">
        <v>101</v>
      </c>
      <c r="F130" s="2" t="s">
        <v>123</v>
      </c>
      <c r="G130" s="16">
        <f>IF(AND(G$15="Actual",ISBLANK($E$8)),SUMIFS('[1]NS Vendor Details'!$D:$D,'[1]NS Vendor Details'!$H:$H,'G&amp;A Vendor x GL Analysis'!G$20,'[1]NS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Analysis'!G$20,'[1]NS Vendor Details'!$L:$L,'G&amp;A Vendor x GL Analysis'!$D130,'[1]NS Vendor Details'!$O:$O,'G&amp;A Vendor x GL Analysis'!$F130,'[1]NS Vendor Details'!$N:$N,"Direct Costs",'[1]NS Vendor Details'!$J:$J,0),IF(G$15="Actual",SUMIFS('[1]NS Vendor Details'!$D:$D,'[1]NS Vendor Details'!$H:$H,'G&amp;A Vendor x GL Analysis'!G$20,'[1]NS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Analysis'!G$20,'[1]NS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H130" s="17">
        <f>IF(AND(H$15="Actual",ISBLANK($E$8)),SUMIFS('[1]NS Vendor Details'!$D:$D,'[1]NS Vendor Details'!$H:$H,'G&amp;A Vendor x GL Analysis'!H$20,'[1]NS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Analysis'!H$20,'[1]NS Vendor Details'!$L:$L,'G&amp;A Vendor x GL Analysis'!$D130,'[1]NS Vendor Details'!$O:$O,'G&amp;A Vendor x GL Analysis'!$F130,'[1]NS Vendor Details'!$N:$N,"Direct Costs",'[1]NS Vendor Details'!$J:$J,0),IF(H$15="Actual",SUMIFS('[1]NS Vendor Details'!$D:$D,'[1]NS Vendor Details'!$H:$H,'G&amp;A Vendor x GL Analysis'!H$20,'[1]NS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Analysis'!H$20,'[1]NS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I130" s="17">
        <f>IF(AND(I$15="Actual",ISBLANK($E$8)),SUMIFS('[1]NS Vendor Details'!$D:$D,'[1]NS Vendor Details'!$H:$H,'G&amp;A Vendor x GL Analysis'!I$20,'[1]NS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Analysis'!I$20,'[1]NS Vendor Details'!$L:$L,'G&amp;A Vendor x GL Analysis'!$D130,'[1]NS Vendor Details'!$O:$O,'G&amp;A Vendor x GL Analysis'!$F130,'[1]NS Vendor Details'!$N:$N,"Direct Costs",'[1]NS Vendor Details'!$J:$J,0),IF(I$15="Actual",SUMIFS('[1]NS Vendor Details'!$D:$D,'[1]NS Vendor Details'!$H:$H,'G&amp;A Vendor x GL Analysis'!I$20,'[1]NS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Analysis'!I$20,'[1]NS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J130" s="17">
        <f>IF(AND(J$15="Actual",ISBLANK($E$8)),SUMIFS('[1]NS Vendor Details'!$D:$D,'[1]NS Vendor Details'!$H:$H,'G&amp;A Vendor x GL Analysis'!J$20,'[1]NS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Analysis'!J$20,'[1]NS Vendor Details'!$L:$L,'G&amp;A Vendor x GL Analysis'!$D130,'[1]NS Vendor Details'!$O:$O,'G&amp;A Vendor x GL Analysis'!$F130,'[1]NS Vendor Details'!$N:$N,"Direct Costs",'[1]NS Vendor Details'!$J:$J,0),IF(J$15="Actual",SUMIFS('[1]NS Vendor Details'!$D:$D,'[1]NS Vendor Details'!$H:$H,'G&amp;A Vendor x GL Analysis'!J$20,'[1]NS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Analysis'!J$20,'[1]NS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K130" s="17">
        <f>IF(AND(K$15="Actual",ISBLANK($E$8)),SUMIFS('[1]NS Vendor Details'!$D:$D,'[1]NS Vendor Details'!$H:$H,'G&amp;A Vendor x GL Analysis'!K$20,'[1]NS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Analysis'!K$20,'[1]NS Vendor Details'!$L:$L,'G&amp;A Vendor x GL Analysis'!$D130,'[1]NS Vendor Details'!$O:$O,'G&amp;A Vendor x GL Analysis'!$F130,'[1]NS Vendor Details'!$N:$N,"Direct Costs",'[1]NS Vendor Details'!$J:$J,0),IF(K$15="Actual",SUMIFS('[1]NS Vendor Details'!$D:$D,'[1]NS Vendor Details'!$H:$H,'G&amp;A Vendor x GL Analysis'!K$20,'[1]NS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Analysis'!K$20,'[1]NS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L130" s="17">
        <f>IF(AND(L$15="Actual",ISBLANK($E$8)),SUMIFS('[1]NS Vendor Details'!$D:$D,'[1]NS Vendor Details'!$H:$H,'G&amp;A Vendor x GL Analysis'!L$20,'[1]NS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Analysis'!L$20,'[1]NS Vendor Details'!$L:$L,'G&amp;A Vendor x GL Analysis'!$D130,'[1]NS Vendor Details'!$O:$O,'G&amp;A Vendor x GL Analysis'!$F130,'[1]NS Vendor Details'!$N:$N,"Direct Costs",'[1]NS Vendor Details'!$J:$J,0),IF(L$15="Actual",SUMIFS('[1]NS Vendor Details'!$D:$D,'[1]NS Vendor Details'!$H:$H,'G&amp;A Vendor x GL Analysis'!L$20,'[1]NS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Analysis'!L$20,'[1]NS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M130" s="17">
        <f>IF(AND(M$15="Actual",ISBLANK($E$8)),SUMIFS('[1]NS Vendor Details'!$D:$D,'[1]NS Vendor Details'!$H:$H,'G&amp;A Vendor x GL Analysis'!M$20,'[1]NS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Analysis'!M$20,'[1]NS Vendor Details'!$L:$L,'G&amp;A Vendor x GL Analysis'!$D130,'[1]NS Vendor Details'!$O:$O,'G&amp;A Vendor x GL Analysis'!$F130,'[1]NS Vendor Details'!$N:$N,"Direct Costs",'[1]NS Vendor Details'!$J:$J,0),IF(M$15="Actual",SUMIFS('[1]NS Vendor Details'!$D:$D,'[1]NS Vendor Details'!$H:$H,'G&amp;A Vendor x GL Analysis'!M$20,'[1]NS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Analysis'!M$20,'[1]NS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N130" s="17">
        <f>IF(AND(N$15="Actual",ISBLANK($E$8)),SUMIFS('[1]NS Vendor Details'!$D:$D,'[1]NS Vendor Details'!$H:$H,'G&amp;A Vendor x GL Analysis'!N$20,'[1]NS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Analysis'!N$20,'[1]NS Vendor Details'!$L:$L,'G&amp;A Vendor x GL Analysis'!$D130,'[1]NS Vendor Details'!$O:$O,'G&amp;A Vendor x GL Analysis'!$F130,'[1]NS Vendor Details'!$N:$N,"Direct Costs",'[1]NS Vendor Details'!$J:$J,0),IF(N$15="Actual",SUMIFS('[1]NS Vendor Details'!$D:$D,'[1]NS Vendor Details'!$H:$H,'G&amp;A Vendor x GL Analysis'!N$20,'[1]NS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Analysis'!N$20,'[1]NS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O130" s="17">
        <f>IF(AND(O$15="Actual",ISBLANK($E$8)),SUMIFS('[1]NS Vendor Details'!$D:$D,'[1]NS Vendor Details'!$H:$H,'G&amp;A Vendor x GL Analysis'!O$20,'[1]NS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Analysis'!O$20,'[1]NS Vendor Details'!$L:$L,'G&amp;A Vendor x GL Analysis'!$D130,'[1]NS Vendor Details'!$O:$O,'G&amp;A Vendor x GL Analysis'!$F130,'[1]NS Vendor Details'!$N:$N,"Direct Costs",'[1]NS Vendor Details'!$J:$J,0),IF(O$15="Actual",SUMIFS('[1]NS Vendor Details'!$D:$D,'[1]NS Vendor Details'!$H:$H,'G&amp;A Vendor x GL Analysis'!O$20,'[1]NS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Analysis'!O$20,'[1]NS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P130" s="17">
        <f>IF(AND(P$15="Actual",ISBLANK($E$8)),SUMIFS('[1]NS Vendor Details'!$D:$D,'[1]NS Vendor Details'!$H:$H,'G&amp;A Vendor x GL Analysis'!P$20,'[1]NS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Analysis'!P$20,'[1]NS Vendor Details'!$L:$L,'G&amp;A Vendor x GL Analysis'!$D130,'[1]NS Vendor Details'!$O:$O,'G&amp;A Vendor x GL Analysis'!$F130,'[1]NS Vendor Details'!$N:$N,"Direct Costs",'[1]NS Vendor Details'!$J:$J,0),IF(P$15="Actual",SUMIFS('[1]NS Vendor Details'!$D:$D,'[1]NS Vendor Details'!$H:$H,'G&amp;A Vendor x GL Analysis'!P$20,'[1]NS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Analysis'!P$20,'[1]NS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Q130" s="17">
        <f>IF(AND(Q$15="Actual",ISBLANK($E$8)),SUMIFS('[1]NS Vendor Details'!$D:$D,'[1]NS Vendor Details'!$H:$H,'G&amp;A Vendor x GL Analysis'!Q$20,'[1]NS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Analysis'!Q$20,'[1]NS Vendor Details'!$L:$L,'G&amp;A Vendor x GL Analysis'!$D130,'[1]NS Vendor Details'!$O:$O,'G&amp;A Vendor x GL Analysis'!$F130,'[1]NS Vendor Details'!$N:$N,"Direct Costs",'[1]NS Vendor Details'!$J:$J,0),IF(Q$15="Actual",SUMIFS('[1]NS Vendor Details'!$D:$D,'[1]NS Vendor Details'!$H:$H,'G&amp;A Vendor x GL Analysis'!Q$20,'[1]NS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Analysis'!Q$20,'[1]NS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R130" s="18">
        <f>IF(AND(R$15="Actual",ISBLANK($E$8)),SUMIFS('[1]NS Vendor Details'!$D:$D,'[1]NS Vendor Details'!$H:$H,'G&amp;A Vendor x GL Analysis'!R$20,'[1]NS Vendor Details'!$L:$L,'G&amp;A Vendor x GL Analysis'!$D130,'[1]NS Vendor Details'!$O:$O,'G&amp;A Vendor x GL Analysis'!$F130,'[1]NS Vendor Details'!$N:$N,'G&amp;A Vendor x GL Analysis'!$C130)+SUMIFS('[1]NS Vendor Details'!$D:$D,'[1]NS Vendor Details'!$H:$H,'G&amp;A Vendor x GL Analysis'!R$20,'[1]NS Vendor Details'!$L:$L,'G&amp;A Vendor x GL Analysis'!$D130,'[1]NS Vendor Details'!$O:$O,'G&amp;A Vendor x GL Analysis'!$F130,'[1]NS Vendor Details'!$N:$N,"Direct Costs",'[1]NS Vendor Details'!$J:$J,0),IF(R$15="Actual",SUMIFS('[1]NS Vendor Details'!$D:$D,'[1]NS Vendor Details'!$H:$H,'G&amp;A Vendor x GL Analysis'!R$20,'[1]NS Vendor Details'!$L:$L,'G&amp;A Vendor x GL Analysis'!$D130,'[1]NS Vendor Details'!$O:$O,'G&amp;A Vendor x GL Analysis'!$F130,'[1]NS Vendor Details'!$N:$N,'G&amp;A Vendor x GL Analysis'!$C130,'[1]NS Vendor Details'!$K:$K,'G&amp;A Vendor x GL Analysis'!$E$8)+SUMIFS('[1]NS Vendor Details'!$D:$D,'[1]NS Vendor Details'!$H:$H,'G&amp;A Vendor x GL Analysis'!R$20,'[1]NS Vendor Details'!$L:$L,'G&amp;A Vendor x GL Analysis'!$D130,'[1]NS Vendor Details'!$O:$O,'G&amp;A Vendor x GL Analysis'!$F130,'[1]NS Vendor Details'!$N:$N,"Direct Costs",'[1]NS Vendor Details'!$J:$J,0,'[1]NS Vendor Details'!$K:$K,'G&amp;A Vendor x GL Analysis'!$E$8),0))</f>
        <v>0</v>
      </c>
      <c r="S130" s="16">
        <f>IF(AND(S$15="Actual",ISBLANK($E$8)),SUMIFS('[1]NS Vendor Details'!$D:$D,'[1]NS Vendor Details'!$H:$H,'G&amp;A Vendor x GL Analysis'!S$20,'[1]NS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Analysis'!S$20,'[1]NS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Analysis'!$E130),IF(S$15="Actual",SUMIFS('[1]NS Vendor Details'!$D:$D,'[1]NS Vendor Details'!$H:$H,'G&amp;A Vendor x GL Analysis'!S$20,'[1]NS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Analysis'!S$20,'[1]NS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T130" s="17">
        <f>IF(AND(T$15="Actual",ISBLANK($E$8)),SUMIFS('[1]NS Vendor Details'!$D:$D,'[1]NS Vendor Details'!$H:$H,'G&amp;A Vendor x GL Analysis'!T$20,'[1]NS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Analysis'!T$20,'[1]NS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Analysis'!$E130),IF(T$15="Actual",SUMIFS('[1]NS Vendor Details'!$D:$D,'[1]NS Vendor Details'!$H:$H,'G&amp;A Vendor x GL Analysis'!T$20,'[1]NS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Analysis'!T$20,'[1]NS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U130" s="17">
        <f>IF(AND(U$15="Actual",ISBLANK($E$8)),SUMIFS('[1]NS Vendor Details'!$D:$D,'[1]NS Vendor Details'!$H:$H,'G&amp;A Vendor x GL Analysis'!U$20,'[1]NS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Analysis'!U$20,'[1]NS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Analysis'!$E130),IF(U$15="Actual",SUMIFS('[1]NS Vendor Details'!$D:$D,'[1]NS Vendor Details'!$H:$H,'G&amp;A Vendor x GL Analysis'!U$20,'[1]NS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Analysis'!U$20,'[1]NS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V130" s="17">
        <f>IF(AND(V$15="Actual",ISBLANK($E$8)),SUMIFS('[1]NS Vendor Details'!$D:$D,'[1]NS Vendor Details'!$H:$H,'G&amp;A Vendor x GL Analysis'!V$20,'[1]NS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Analysis'!V$20,'[1]NS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Analysis'!$E130),IF(V$15="Actual",SUMIFS('[1]NS Vendor Details'!$D:$D,'[1]NS Vendor Details'!$H:$H,'G&amp;A Vendor x GL Analysis'!V$20,'[1]NS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Analysis'!V$20,'[1]NS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W130" s="17">
        <f>IF(AND(W$15="Actual",ISBLANK($E$8)),SUMIFS('[1]NS Vendor Details'!$D:$D,'[1]NS Vendor Details'!$H:$H,'G&amp;A Vendor x GL Analysis'!W$20,'[1]NS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Analysis'!W$20,'[1]NS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Analysis'!$E130),IF(W$15="Actual",SUMIFS('[1]NS Vendor Details'!$D:$D,'[1]NS Vendor Details'!$H:$H,'G&amp;A Vendor x GL Analysis'!W$20,'[1]NS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Analysis'!W$20,'[1]NS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X130" s="17">
        <f>IF(AND(X$15="Actual",ISBLANK($E$8)),SUMIFS('[1]NS Vendor Details'!$D:$D,'[1]NS Vendor Details'!$H:$H,'G&amp;A Vendor x GL Analysis'!X$20,'[1]NS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Analysis'!X$20,'[1]NS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Analysis'!$E130),IF(X$15="Actual",SUMIFS('[1]NS Vendor Details'!$D:$D,'[1]NS Vendor Details'!$H:$H,'G&amp;A Vendor x GL Analysis'!X$20,'[1]NS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Analysis'!X$20,'[1]NS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Y130" s="17">
        <f>IF(AND(Y$15="Actual",ISBLANK($E$8)),SUMIFS('[1]NS Vendor Details'!$D:$D,'[1]NS Vendor Details'!$H:$H,'G&amp;A Vendor x GL Analysis'!Y$20,'[1]NS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Analysis'!Y$20,'[1]NS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Analysis'!$E130),IF(Y$15="Actual",SUMIFS('[1]NS Vendor Details'!$D:$D,'[1]NS Vendor Details'!$H:$H,'G&amp;A Vendor x GL Analysis'!Y$20,'[1]NS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Analysis'!Y$20,'[1]NS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Z130" s="17">
        <f>IF(AND(Z$15="Actual",ISBLANK($E$8)),SUMIFS('[1]NS Vendor Details'!$D:$D,'[1]NS Vendor Details'!$H:$H,'G&amp;A Vendor x GL Analysis'!Z$20,'[1]NS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Analysis'!Z$20,'[1]NS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Analysis'!$E130),IF(Z$15="Actual",SUMIFS('[1]NS Vendor Details'!$D:$D,'[1]NS Vendor Details'!$H:$H,'G&amp;A Vendor x GL Analysis'!Z$20,'[1]NS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Analysis'!Z$20,'[1]NS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AA130" s="17">
        <f>IF(AND(AA$15="Actual",ISBLANK($E$8)),SUMIFS('[1]NS Vendor Details'!$D:$D,'[1]NS Vendor Details'!$H:$H,'G&amp;A Vendor x GL Analysis'!AA$20,'[1]NS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Analysis'!AA$20,'[1]NS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Analysis'!$E130),IF(AA$15="Actual",SUMIFS('[1]NS Vendor Details'!$D:$D,'[1]NS Vendor Details'!$H:$H,'G&amp;A Vendor x GL Analysis'!AA$20,'[1]NS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Analysis'!AA$20,'[1]NS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AB130" s="17">
        <f>IF(AND(AB$15="Actual",ISBLANK($E$8)),SUMIFS('[1]NS Vendor Details'!$D:$D,'[1]NS Vendor Details'!$H:$H,'G&amp;A Vendor x GL Analysis'!AB$20,'[1]NS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Analysis'!AB$20,'[1]NS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Analysis'!$E130),IF(AB$15="Actual",SUMIFS('[1]NS Vendor Details'!$D:$D,'[1]NS Vendor Details'!$H:$H,'G&amp;A Vendor x GL Analysis'!AB$20,'[1]NS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Analysis'!AB$20,'[1]NS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AC130" s="18">
        <f>IF(AND(AC$15="Actual",ISBLANK($E$8)),SUMIFS('[1]NS Vendor Details'!$D:$D,'[1]NS Vendor Details'!$H:$H,'G&amp;A Vendor x GL Analysis'!AC$20,'[1]NS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Analysis'!AC$20,'[1]NS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Analysis'!$E130),IF(AC$15="Actual",SUMIFS('[1]NS Vendor Details'!$D:$D,'[1]NS Vendor Details'!$H:$H,'G&amp;A Vendor x GL Analysis'!AC$20,'[1]NS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Analysis'!AC$20,'[1]NS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AD130" s="18">
        <f>IF(AND(AD$15="Actual",ISBLANK($E$8)),SUMIFS('[1]NS Vendor Details'!$D:$D,'[1]NS Vendor Details'!$H:$H,'G&amp;A Vendor x GL Analysis'!AD$20,'[1]NS Vendor Details'!$L:$L,'G&amp;A Vendor x GL Analysis'!$D130,'[1]NS Vendor Details'!$O:$O,'G&amp;A Vendor x GL Analysis'!$F130,'[1]NS Vendor Details'!$N:$N,'G&amp;A Vendor x GL Analysis'!$C130,'[1]NS Vendor Details'!$I:$I,'G&amp;A Vendor x GL Analysis'!$E130)+SUMIFS('[1]NS Vendor Details'!$D:$D,'[1]NS Vendor Details'!$H:$H,'G&amp;A Vendor x GL Analysis'!AD$20,'[1]NS Vendor Details'!$L:$L,'G&amp;A Vendor x GL Analysis'!$D130,'[1]NS Vendor Details'!$O:$O,'G&amp;A Vendor x GL Analysis'!$F130,'[1]NS Vendor Details'!$N:$N,"Direct Costs",'[1]NS Vendor Details'!$J:$J,0,'[1]NS Vendor Details'!$I:$I,'G&amp;A Vendor x GL Analysis'!$E130),IF(AD$15="Actual",SUMIFS('[1]NS Vendor Details'!$D:$D,'[1]NS Vendor Details'!$H:$H,'G&amp;A Vendor x GL Analysis'!AD$20,'[1]NS Vendor Details'!$L:$L,'G&amp;A Vendor x GL Analysis'!$D130,'[1]NS Vendor Details'!$O:$O,'G&amp;A Vendor x GL Analysis'!$F130,'[1]NS Vendor Details'!$N:$N,'G&amp;A Vendor x GL Analysis'!$C130,'[1]NS Vendor Details'!$K:$K,'G&amp;A Vendor x GL Analysis'!$E$8,'[1]NS Vendor Details'!$I:$I,'G&amp;A Vendor x GL Analysis'!$E130)+SUMIFS('[1]NS Vendor Details'!$D:$D,'[1]NS Vendor Details'!$H:$H,'G&amp;A Vendor x GL Analysis'!AD$20,'[1]NS Vendor Details'!$L:$L,'G&amp;A Vendor x GL Analysis'!$D130,'[1]NS Vendor Details'!$O:$O,'G&amp;A Vendor x GL Analysis'!$F130,'[1]NS Vendor Details'!$N:$N,"Direct Costs",'[1]NS Vendor Details'!$J:$J,0,'[1]NS Vendor Details'!$K:$K,'G&amp;A Vendor x GL Analysis'!$E$8,'[1]NS Vendor Details'!$I:$I,'G&amp;A Vendor x GL Analysis'!$E130),0))</f>
        <v>0</v>
      </c>
      <c r="AF130" s="19">
        <f t="shared" si="23"/>
        <v>0</v>
      </c>
    </row>
    <row r="131" spans="1:32" outlineLevel="1">
      <c r="A131" s="8" t="str">
        <f t="shared" si="22"/>
        <v>Professional Service6393 - Software</v>
      </c>
      <c r="C131" s="8" t="s">
        <v>11</v>
      </c>
      <c r="D131" s="8" t="str">
        <f t="shared" si="21"/>
        <v>Professional Service</v>
      </c>
      <c r="E131" s="2" t="s">
        <v>101</v>
      </c>
      <c r="F131" s="2" t="s">
        <v>74</v>
      </c>
      <c r="G131" s="16">
        <f>IF(AND(G$15="Actual",ISBLANK($E$8)),SUMIFS('[1]NS Vendor Details'!$D:$D,'[1]NS Vendor Details'!$H:$H,'G&amp;A Vendor x GL Analysis'!G$20,'[1]NS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Analysis'!G$20,'[1]NS Vendor Details'!$L:$L,'G&amp;A Vendor x GL Analysis'!$D131,'[1]NS Vendor Details'!$O:$O,'G&amp;A Vendor x GL Analysis'!$F131,'[1]NS Vendor Details'!$N:$N,"Direct Costs",'[1]NS Vendor Details'!$J:$J,0),IF(G$15="Actual",SUMIFS('[1]NS Vendor Details'!$D:$D,'[1]NS Vendor Details'!$H:$H,'G&amp;A Vendor x GL Analysis'!G$20,'[1]NS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Analysis'!G$20,'[1]NS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H131" s="17">
        <f>IF(AND(H$15="Actual",ISBLANK($E$8)),SUMIFS('[1]NS Vendor Details'!$D:$D,'[1]NS Vendor Details'!$H:$H,'G&amp;A Vendor x GL Analysis'!H$20,'[1]NS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Analysis'!H$20,'[1]NS Vendor Details'!$L:$L,'G&amp;A Vendor x GL Analysis'!$D131,'[1]NS Vendor Details'!$O:$O,'G&amp;A Vendor x GL Analysis'!$F131,'[1]NS Vendor Details'!$N:$N,"Direct Costs",'[1]NS Vendor Details'!$J:$J,0),IF(H$15="Actual",SUMIFS('[1]NS Vendor Details'!$D:$D,'[1]NS Vendor Details'!$H:$H,'G&amp;A Vendor x GL Analysis'!H$20,'[1]NS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Analysis'!H$20,'[1]NS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I131" s="17">
        <f>IF(AND(I$15="Actual",ISBLANK($E$8)),SUMIFS('[1]NS Vendor Details'!$D:$D,'[1]NS Vendor Details'!$H:$H,'G&amp;A Vendor x GL Analysis'!I$20,'[1]NS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Analysis'!I$20,'[1]NS Vendor Details'!$L:$L,'G&amp;A Vendor x GL Analysis'!$D131,'[1]NS Vendor Details'!$O:$O,'G&amp;A Vendor x GL Analysis'!$F131,'[1]NS Vendor Details'!$N:$N,"Direct Costs",'[1]NS Vendor Details'!$J:$J,0),IF(I$15="Actual",SUMIFS('[1]NS Vendor Details'!$D:$D,'[1]NS Vendor Details'!$H:$H,'G&amp;A Vendor x GL Analysis'!I$20,'[1]NS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Analysis'!I$20,'[1]NS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J131" s="17">
        <f>IF(AND(J$15="Actual",ISBLANK($E$8)),SUMIFS('[1]NS Vendor Details'!$D:$D,'[1]NS Vendor Details'!$H:$H,'G&amp;A Vendor x GL Analysis'!J$20,'[1]NS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Analysis'!J$20,'[1]NS Vendor Details'!$L:$L,'G&amp;A Vendor x GL Analysis'!$D131,'[1]NS Vendor Details'!$O:$O,'G&amp;A Vendor x GL Analysis'!$F131,'[1]NS Vendor Details'!$N:$N,"Direct Costs",'[1]NS Vendor Details'!$J:$J,0),IF(J$15="Actual",SUMIFS('[1]NS Vendor Details'!$D:$D,'[1]NS Vendor Details'!$H:$H,'G&amp;A Vendor x GL Analysis'!J$20,'[1]NS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Analysis'!J$20,'[1]NS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K131" s="17">
        <f>IF(AND(K$15="Actual",ISBLANK($E$8)),SUMIFS('[1]NS Vendor Details'!$D:$D,'[1]NS Vendor Details'!$H:$H,'G&amp;A Vendor x GL Analysis'!K$20,'[1]NS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Analysis'!K$20,'[1]NS Vendor Details'!$L:$L,'G&amp;A Vendor x GL Analysis'!$D131,'[1]NS Vendor Details'!$O:$O,'G&amp;A Vendor x GL Analysis'!$F131,'[1]NS Vendor Details'!$N:$N,"Direct Costs",'[1]NS Vendor Details'!$J:$J,0),IF(K$15="Actual",SUMIFS('[1]NS Vendor Details'!$D:$D,'[1]NS Vendor Details'!$H:$H,'G&amp;A Vendor x GL Analysis'!K$20,'[1]NS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Analysis'!K$20,'[1]NS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L131" s="17">
        <f>IF(AND(L$15="Actual",ISBLANK($E$8)),SUMIFS('[1]NS Vendor Details'!$D:$D,'[1]NS Vendor Details'!$H:$H,'G&amp;A Vendor x GL Analysis'!L$20,'[1]NS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Analysis'!L$20,'[1]NS Vendor Details'!$L:$L,'G&amp;A Vendor x GL Analysis'!$D131,'[1]NS Vendor Details'!$O:$O,'G&amp;A Vendor x GL Analysis'!$F131,'[1]NS Vendor Details'!$N:$N,"Direct Costs",'[1]NS Vendor Details'!$J:$J,0),IF(L$15="Actual",SUMIFS('[1]NS Vendor Details'!$D:$D,'[1]NS Vendor Details'!$H:$H,'G&amp;A Vendor x GL Analysis'!L$20,'[1]NS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Analysis'!L$20,'[1]NS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1714.49</v>
      </c>
      <c r="M131" s="17">
        <f>IF(AND(M$15="Actual",ISBLANK($E$8)),SUMIFS('[1]NS Vendor Details'!$D:$D,'[1]NS Vendor Details'!$H:$H,'G&amp;A Vendor x GL Analysis'!M$20,'[1]NS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Analysis'!M$20,'[1]NS Vendor Details'!$L:$L,'G&amp;A Vendor x GL Analysis'!$D131,'[1]NS Vendor Details'!$O:$O,'G&amp;A Vendor x GL Analysis'!$F131,'[1]NS Vendor Details'!$N:$N,"Direct Costs",'[1]NS Vendor Details'!$J:$J,0),IF(M$15="Actual",SUMIFS('[1]NS Vendor Details'!$D:$D,'[1]NS Vendor Details'!$H:$H,'G&amp;A Vendor x GL Analysis'!M$20,'[1]NS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Analysis'!M$20,'[1]NS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1714.49</v>
      </c>
      <c r="N131" s="17">
        <f>IF(AND(N$15="Actual",ISBLANK($E$8)),SUMIFS('[1]NS Vendor Details'!$D:$D,'[1]NS Vendor Details'!$H:$H,'G&amp;A Vendor x GL Analysis'!N$20,'[1]NS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Analysis'!N$20,'[1]NS Vendor Details'!$L:$L,'G&amp;A Vendor x GL Analysis'!$D131,'[1]NS Vendor Details'!$O:$O,'G&amp;A Vendor x GL Analysis'!$F131,'[1]NS Vendor Details'!$N:$N,"Direct Costs",'[1]NS Vendor Details'!$J:$J,0),IF(N$15="Actual",SUMIFS('[1]NS Vendor Details'!$D:$D,'[1]NS Vendor Details'!$H:$H,'G&amp;A Vendor x GL Analysis'!N$20,'[1]NS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Analysis'!N$20,'[1]NS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1714.49</v>
      </c>
      <c r="O131" s="17">
        <f>IF(AND(O$15="Actual",ISBLANK($E$8)),SUMIFS('[1]NS Vendor Details'!$D:$D,'[1]NS Vendor Details'!$H:$H,'G&amp;A Vendor x GL Analysis'!O$20,'[1]NS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Analysis'!O$20,'[1]NS Vendor Details'!$L:$L,'G&amp;A Vendor x GL Analysis'!$D131,'[1]NS Vendor Details'!$O:$O,'G&amp;A Vendor x GL Analysis'!$F131,'[1]NS Vendor Details'!$N:$N,"Direct Costs",'[1]NS Vendor Details'!$J:$J,0),IF(O$15="Actual",SUMIFS('[1]NS Vendor Details'!$D:$D,'[1]NS Vendor Details'!$H:$H,'G&amp;A Vendor x GL Analysis'!O$20,'[1]NS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Analysis'!O$20,'[1]NS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P131" s="17">
        <f>IF(AND(P$15="Actual",ISBLANK($E$8)),SUMIFS('[1]NS Vendor Details'!$D:$D,'[1]NS Vendor Details'!$H:$H,'G&amp;A Vendor x GL Analysis'!P$20,'[1]NS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Analysis'!P$20,'[1]NS Vendor Details'!$L:$L,'G&amp;A Vendor x GL Analysis'!$D131,'[1]NS Vendor Details'!$O:$O,'G&amp;A Vendor x GL Analysis'!$F131,'[1]NS Vendor Details'!$N:$N,"Direct Costs",'[1]NS Vendor Details'!$J:$J,0),IF(P$15="Actual",SUMIFS('[1]NS Vendor Details'!$D:$D,'[1]NS Vendor Details'!$H:$H,'G&amp;A Vendor x GL Analysis'!P$20,'[1]NS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Analysis'!P$20,'[1]NS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Q131" s="17">
        <f>IF(AND(Q$15="Actual",ISBLANK($E$8)),SUMIFS('[1]NS Vendor Details'!$D:$D,'[1]NS Vendor Details'!$H:$H,'G&amp;A Vendor x GL Analysis'!Q$20,'[1]NS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Analysis'!Q$20,'[1]NS Vendor Details'!$L:$L,'G&amp;A Vendor x GL Analysis'!$D131,'[1]NS Vendor Details'!$O:$O,'G&amp;A Vendor x GL Analysis'!$F131,'[1]NS Vendor Details'!$N:$N,"Direct Costs",'[1]NS Vendor Details'!$J:$J,0),IF(Q$15="Actual",SUMIFS('[1]NS Vendor Details'!$D:$D,'[1]NS Vendor Details'!$H:$H,'G&amp;A Vendor x GL Analysis'!Q$20,'[1]NS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Analysis'!Q$20,'[1]NS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R131" s="18">
        <f>IF(AND(R$15="Actual",ISBLANK($E$8)),SUMIFS('[1]NS Vendor Details'!$D:$D,'[1]NS Vendor Details'!$H:$H,'G&amp;A Vendor x GL Analysis'!R$20,'[1]NS Vendor Details'!$L:$L,'G&amp;A Vendor x GL Analysis'!$D131,'[1]NS Vendor Details'!$O:$O,'G&amp;A Vendor x GL Analysis'!$F131,'[1]NS Vendor Details'!$N:$N,'G&amp;A Vendor x GL Analysis'!$C131)+SUMIFS('[1]NS Vendor Details'!$D:$D,'[1]NS Vendor Details'!$H:$H,'G&amp;A Vendor x GL Analysis'!R$20,'[1]NS Vendor Details'!$L:$L,'G&amp;A Vendor x GL Analysis'!$D131,'[1]NS Vendor Details'!$O:$O,'G&amp;A Vendor x GL Analysis'!$F131,'[1]NS Vendor Details'!$N:$N,"Direct Costs",'[1]NS Vendor Details'!$J:$J,0),IF(R$15="Actual",SUMIFS('[1]NS Vendor Details'!$D:$D,'[1]NS Vendor Details'!$H:$H,'G&amp;A Vendor x GL Analysis'!R$20,'[1]NS Vendor Details'!$L:$L,'G&amp;A Vendor x GL Analysis'!$D131,'[1]NS Vendor Details'!$O:$O,'G&amp;A Vendor x GL Analysis'!$F131,'[1]NS Vendor Details'!$N:$N,'G&amp;A Vendor x GL Analysis'!$C131,'[1]NS Vendor Details'!$K:$K,'G&amp;A Vendor x GL Analysis'!$E$8)+SUMIFS('[1]NS Vendor Details'!$D:$D,'[1]NS Vendor Details'!$H:$H,'G&amp;A Vendor x GL Analysis'!R$20,'[1]NS Vendor Details'!$L:$L,'G&amp;A Vendor x GL Analysis'!$D131,'[1]NS Vendor Details'!$O:$O,'G&amp;A Vendor x GL Analysis'!$F131,'[1]NS Vendor Details'!$N:$N,"Direct Costs",'[1]NS Vendor Details'!$J:$J,0,'[1]NS Vendor Details'!$K:$K,'G&amp;A Vendor x GL Analysis'!$E$8),0))</f>
        <v>0</v>
      </c>
      <c r="S131" s="16">
        <f>IF(AND(S$15="Actual",ISBLANK($E$8)),SUMIFS('[1]NS Vendor Details'!$D:$D,'[1]NS Vendor Details'!$H:$H,'G&amp;A Vendor x GL Analysis'!S$20,'[1]NS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Analysis'!S$20,'[1]NS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Analysis'!$E131),IF(S$15="Actual",SUMIFS('[1]NS Vendor Details'!$D:$D,'[1]NS Vendor Details'!$H:$H,'G&amp;A Vendor x GL Analysis'!S$20,'[1]NS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Analysis'!S$20,'[1]NS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T131" s="17">
        <f>IF(AND(T$15="Actual",ISBLANK($E$8)),SUMIFS('[1]NS Vendor Details'!$D:$D,'[1]NS Vendor Details'!$H:$H,'G&amp;A Vendor x GL Analysis'!T$20,'[1]NS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Analysis'!T$20,'[1]NS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Analysis'!$E131),IF(T$15="Actual",SUMIFS('[1]NS Vendor Details'!$D:$D,'[1]NS Vendor Details'!$H:$H,'G&amp;A Vendor x GL Analysis'!T$20,'[1]NS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Analysis'!T$20,'[1]NS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U131" s="17">
        <f>IF(AND(U$15="Actual",ISBLANK($E$8)),SUMIFS('[1]NS Vendor Details'!$D:$D,'[1]NS Vendor Details'!$H:$H,'G&amp;A Vendor x GL Analysis'!U$20,'[1]NS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Analysis'!U$20,'[1]NS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Analysis'!$E131),IF(U$15="Actual",SUMIFS('[1]NS Vendor Details'!$D:$D,'[1]NS Vendor Details'!$H:$H,'G&amp;A Vendor x GL Analysis'!U$20,'[1]NS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Analysis'!U$20,'[1]NS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V131" s="17">
        <f>IF(AND(V$15="Actual",ISBLANK($E$8)),SUMIFS('[1]NS Vendor Details'!$D:$D,'[1]NS Vendor Details'!$H:$H,'G&amp;A Vendor x GL Analysis'!V$20,'[1]NS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Analysis'!V$20,'[1]NS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Analysis'!$E131),IF(V$15="Actual",SUMIFS('[1]NS Vendor Details'!$D:$D,'[1]NS Vendor Details'!$H:$H,'G&amp;A Vendor x GL Analysis'!V$20,'[1]NS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Analysis'!V$20,'[1]NS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W131" s="17">
        <f>IF(AND(W$15="Actual",ISBLANK($E$8)),SUMIFS('[1]NS Vendor Details'!$D:$D,'[1]NS Vendor Details'!$H:$H,'G&amp;A Vendor x GL Analysis'!W$20,'[1]NS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Analysis'!W$20,'[1]NS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Analysis'!$E131),IF(W$15="Actual",SUMIFS('[1]NS Vendor Details'!$D:$D,'[1]NS Vendor Details'!$H:$H,'G&amp;A Vendor x GL Analysis'!W$20,'[1]NS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Analysis'!W$20,'[1]NS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X131" s="17">
        <f>IF(AND(X$15="Actual",ISBLANK($E$8)),SUMIFS('[1]NS Vendor Details'!$D:$D,'[1]NS Vendor Details'!$H:$H,'G&amp;A Vendor x GL Analysis'!X$20,'[1]NS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Analysis'!X$20,'[1]NS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Analysis'!$E131),IF(X$15="Actual",SUMIFS('[1]NS Vendor Details'!$D:$D,'[1]NS Vendor Details'!$H:$H,'G&amp;A Vendor x GL Analysis'!X$20,'[1]NS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Analysis'!X$20,'[1]NS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Y131" s="17">
        <f>IF(AND(Y$15="Actual",ISBLANK($E$8)),SUMIFS('[1]NS Vendor Details'!$D:$D,'[1]NS Vendor Details'!$H:$H,'G&amp;A Vendor x GL Analysis'!Y$20,'[1]NS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Analysis'!Y$20,'[1]NS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Analysis'!$E131),IF(Y$15="Actual",SUMIFS('[1]NS Vendor Details'!$D:$D,'[1]NS Vendor Details'!$H:$H,'G&amp;A Vendor x GL Analysis'!Y$20,'[1]NS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Analysis'!Y$20,'[1]NS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Z131" s="17">
        <f>IF(AND(Z$15="Actual",ISBLANK($E$8)),SUMIFS('[1]NS Vendor Details'!$D:$D,'[1]NS Vendor Details'!$H:$H,'G&amp;A Vendor x GL Analysis'!Z$20,'[1]NS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Analysis'!Z$20,'[1]NS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Analysis'!$E131),IF(Z$15="Actual",SUMIFS('[1]NS Vendor Details'!$D:$D,'[1]NS Vendor Details'!$H:$H,'G&amp;A Vendor x GL Analysis'!Z$20,'[1]NS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Analysis'!Z$20,'[1]NS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AA131" s="17">
        <f>IF(AND(AA$15="Actual",ISBLANK($E$8)),SUMIFS('[1]NS Vendor Details'!$D:$D,'[1]NS Vendor Details'!$H:$H,'G&amp;A Vendor x GL Analysis'!AA$20,'[1]NS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Analysis'!AA$20,'[1]NS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Analysis'!$E131),IF(AA$15="Actual",SUMIFS('[1]NS Vendor Details'!$D:$D,'[1]NS Vendor Details'!$H:$H,'G&amp;A Vendor x GL Analysis'!AA$20,'[1]NS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Analysis'!AA$20,'[1]NS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108.86</v>
      </c>
      <c r="AB131" s="17">
        <f>IF(AND(AB$15="Actual",ISBLANK($E$8)),SUMIFS('[1]NS Vendor Details'!$D:$D,'[1]NS Vendor Details'!$H:$H,'G&amp;A Vendor x GL Analysis'!AB$20,'[1]NS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Analysis'!AB$20,'[1]NS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Analysis'!$E131),IF(AB$15="Actual",SUMIFS('[1]NS Vendor Details'!$D:$D,'[1]NS Vendor Details'!$H:$H,'G&amp;A Vendor x GL Analysis'!AB$20,'[1]NS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Analysis'!AB$20,'[1]NS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108.86</v>
      </c>
      <c r="AC131" s="18">
        <f>IF(AND(AC$15="Actual",ISBLANK($E$8)),SUMIFS('[1]NS Vendor Details'!$D:$D,'[1]NS Vendor Details'!$H:$H,'G&amp;A Vendor x GL Analysis'!AC$20,'[1]NS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Analysis'!AC$20,'[1]NS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Analysis'!$E131),IF(AC$15="Actual",SUMIFS('[1]NS Vendor Details'!$D:$D,'[1]NS Vendor Details'!$H:$H,'G&amp;A Vendor x GL Analysis'!AC$20,'[1]NS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Analysis'!AC$20,'[1]NS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AD131" s="18">
        <f>IF(AND(AD$15="Actual",ISBLANK($E$8)),SUMIFS('[1]NS Vendor Details'!$D:$D,'[1]NS Vendor Details'!$H:$H,'G&amp;A Vendor x GL Analysis'!AD$20,'[1]NS Vendor Details'!$L:$L,'G&amp;A Vendor x GL Analysis'!$D131,'[1]NS Vendor Details'!$O:$O,'G&amp;A Vendor x GL Analysis'!$F131,'[1]NS Vendor Details'!$N:$N,'G&amp;A Vendor x GL Analysis'!$C131,'[1]NS Vendor Details'!$I:$I,'G&amp;A Vendor x GL Analysis'!$E131)+SUMIFS('[1]NS Vendor Details'!$D:$D,'[1]NS Vendor Details'!$H:$H,'G&amp;A Vendor x GL Analysis'!AD$20,'[1]NS Vendor Details'!$L:$L,'G&amp;A Vendor x GL Analysis'!$D131,'[1]NS Vendor Details'!$O:$O,'G&amp;A Vendor x GL Analysis'!$F131,'[1]NS Vendor Details'!$N:$N,"Direct Costs",'[1]NS Vendor Details'!$J:$J,0,'[1]NS Vendor Details'!$I:$I,'G&amp;A Vendor x GL Analysis'!$E131),IF(AD$15="Actual",SUMIFS('[1]NS Vendor Details'!$D:$D,'[1]NS Vendor Details'!$H:$H,'G&amp;A Vendor x GL Analysis'!AD$20,'[1]NS Vendor Details'!$L:$L,'G&amp;A Vendor x GL Analysis'!$D131,'[1]NS Vendor Details'!$O:$O,'G&amp;A Vendor x GL Analysis'!$F131,'[1]NS Vendor Details'!$N:$N,'G&amp;A Vendor x GL Analysis'!$C131,'[1]NS Vendor Details'!$K:$K,'G&amp;A Vendor x GL Analysis'!$E$8,'[1]NS Vendor Details'!$I:$I,'G&amp;A Vendor x GL Analysis'!$E131)+SUMIFS('[1]NS Vendor Details'!$D:$D,'[1]NS Vendor Details'!$H:$H,'G&amp;A Vendor x GL Analysis'!AD$20,'[1]NS Vendor Details'!$L:$L,'G&amp;A Vendor x GL Analysis'!$D131,'[1]NS Vendor Details'!$O:$O,'G&amp;A Vendor x GL Analysis'!$F131,'[1]NS Vendor Details'!$N:$N,"Direct Costs",'[1]NS Vendor Details'!$J:$J,0,'[1]NS Vendor Details'!$K:$K,'G&amp;A Vendor x GL Analysis'!$E$8,'[1]NS Vendor Details'!$I:$I,'G&amp;A Vendor x GL Analysis'!$E131),0))</f>
        <v>0</v>
      </c>
      <c r="AF131" s="19">
        <f t="shared" si="23"/>
        <v>217.72</v>
      </c>
    </row>
    <row r="132" spans="1:32" outlineLevel="1">
      <c r="A132" s="8" t="str">
        <f t="shared" si="22"/>
        <v>Professional Service6393 - Software</v>
      </c>
      <c r="C132" s="8" t="s">
        <v>11</v>
      </c>
      <c r="D132" s="8" t="str">
        <f t="shared" si="21"/>
        <v>Professional Service</v>
      </c>
      <c r="E132" s="2" t="s">
        <v>101</v>
      </c>
      <c r="F132" s="2" t="s">
        <v>124</v>
      </c>
      <c r="G132" s="16">
        <f>IF(AND(G$15="Actual",ISBLANK($E$8)),SUMIFS('[1]NS Vendor Details'!$D:$D,'[1]NS Vendor Details'!$H:$H,'G&amp;A Vendor x GL Analysis'!G$20,'[1]NS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Analysis'!G$20,'[1]NS Vendor Details'!$L:$L,'G&amp;A Vendor x GL Analysis'!$D132,'[1]NS Vendor Details'!$O:$O,'G&amp;A Vendor x GL Analysis'!$F132,'[1]NS Vendor Details'!$N:$N,"Direct Costs",'[1]NS Vendor Details'!$J:$J,0),IF(G$15="Actual",SUMIFS('[1]NS Vendor Details'!$D:$D,'[1]NS Vendor Details'!$H:$H,'G&amp;A Vendor x GL Analysis'!G$20,'[1]NS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Analysis'!G$20,'[1]NS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H132" s="17">
        <f>IF(AND(H$15="Actual",ISBLANK($E$8)),SUMIFS('[1]NS Vendor Details'!$D:$D,'[1]NS Vendor Details'!$H:$H,'G&amp;A Vendor x GL Analysis'!H$20,'[1]NS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Analysis'!H$20,'[1]NS Vendor Details'!$L:$L,'G&amp;A Vendor x GL Analysis'!$D132,'[1]NS Vendor Details'!$O:$O,'G&amp;A Vendor x GL Analysis'!$F132,'[1]NS Vendor Details'!$N:$N,"Direct Costs",'[1]NS Vendor Details'!$J:$J,0),IF(H$15="Actual",SUMIFS('[1]NS Vendor Details'!$D:$D,'[1]NS Vendor Details'!$H:$H,'G&amp;A Vendor x GL Analysis'!H$20,'[1]NS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Analysis'!H$20,'[1]NS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I132" s="17">
        <f>IF(AND(I$15="Actual",ISBLANK($E$8)),SUMIFS('[1]NS Vendor Details'!$D:$D,'[1]NS Vendor Details'!$H:$H,'G&amp;A Vendor x GL Analysis'!I$20,'[1]NS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Analysis'!I$20,'[1]NS Vendor Details'!$L:$L,'G&amp;A Vendor x GL Analysis'!$D132,'[1]NS Vendor Details'!$O:$O,'G&amp;A Vendor x GL Analysis'!$F132,'[1]NS Vendor Details'!$N:$N,"Direct Costs",'[1]NS Vendor Details'!$J:$J,0),IF(I$15="Actual",SUMIFS('[1]NS Vendor Details'!$D:$D,'[1]NS Vendor Details'!$H:$H,'G&amp;A Vendor x GL Analysis'!I$20,'[1]NS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Analysis'!I$20,'[1]NS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J132" s="17">
        <f>IF(AND(J$15="Actual",ISBLANK($E$8)),SUMIFS('[1]NS Vendor Details'!$D:$D,'[1]NS Vendor Details'!$H:$H,'G&amp;A Vendor x GL Analysis'!J$20,'[1]NS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Analysis'!J$20,'[1]NS Vendor Details'!$L:$L,'G&amp;A Vendor x GL Analysis'!$D132,'[1]NS Vendor Details'!$O:$O,'G&amp;A Vendor x GL Analysis'!$F132,'[1]NS Vendor Details'!$N:$N,"Direct Costs",'[1]NS Vendor Details'!$J:$J,0),IF(J$15="Actual",SUMIFS('[1]NS Vendor Details'!$D:$D,'[1]NS Vendor Details'!$H:$H,'G&amp;A Vendor x GL Analysis'!J$20,'[1]NS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Analysis'!J$20,'[1]NS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K132" s="17">
        <f>IF(AND(K$15="Actual",ISBLANK($E$8)),SUMIFS('[1]NS Vendor Details'!$D:$D,'[1]NS Vendor Details'!$H:$H,'G&amp;A Vendor x GL Analysis'!K$20,'[1]NS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Analysis'!K$20,'[1]NS Vendor Details'!$L:$L,'G&amp;A Vendor x GL Analysis'!$D132,'[1]NS Vendor Details'!$O:$O,'G&amp;A Vendor x GL Analysis'!$F132,'[1]NS Vendor Details'!$N:$N,"Direct Costs",'[1]NS Vendor Details'!$J:$J,0),IF(K$15="Actual",SUMIFS('[1]NS Vendor Details'!$D:$D,'[1]NS Vendor Details'!$H:$H,'G&amp;A Vendor x GL Analysis'!K$20,'[1]NS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Analysis'!K$20,'[1]NS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L132" s="17">
        <f>IF(AND(L$15="Actual",ISBLANK($E$8)),SUMIFS('[1]NS Vendor Details'!$D:$D,'[1]NS Vendor Details'!$H:$H,'G&amp;A Vendor x GL Analysis'!L$20,'[1]NS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Analysis'!L$20,'[1]NS Vendor Details'!$L:$L,'G&amp;A Vendor x GL Analysis'!$D132,'[1]NS Vendor Details'!$O:$O,'G&amp;A Vendor x GL Analysis'!$F132,'[1]NS Vendor Details'!$N:$N,"Direct Costs",'[1]NS Vendor Details'!$J:$J,0),IF(L$15="Actual",SUMIFS('[1]NS Vendor Details'!$D:$D,'[1]NS Vendor Details'!$H:$H,'G&amp;A Vendor x GL Analysis'!L$20,'[1]NS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Analysis'!L$20,'[1]NS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M132" s="17">
        <f>IF(AND(M$15="Actual",ISBLANK($E$8)),SUMIFS('[1]NS Vendor Details'!$D:$D,'[1]NS Vendor Details'!$H:$H,'G&amp;A Vendor x GL Analysis'!M$20,'[1]NS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Analysis'!M$20,'[1]NS Vendor Details'!$L:$L,'G&amp;A Vendor x GL Analysis'!$D132,'[1]NS Vendor Details'!$O:$O,'G&amp;A Vendor x GL Analysis'!$F132,'[1]NS Vendor Details'!$N:$N,"Direct Costs",'[1]NS Vendor Details'!$J:$J,0),IF(M$15="Actual",SUMIFS('[1]NS Vendor Details'!$D:$D,'[1]NS Vendor Details'!$H:$H,'G&amp;A Vendor x GL Analysis'!M$20,'[1]NS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Analysis'!M$20,'[1]NS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N132" s="17">
        <f>IF(AND(N$15="Actual",ISBLANK($E$8)),SUMIFS('[1]NS Vendor Details'!$D:$D,'[1]NS Vendor Details'!$H:$H,'G&amp;A Vendor x GL Analysis'!N$20,'[1]NS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Analysis'!N$20,'[1]NS Vendor Details'!$L:$L,'G&amp;A Vendor x GL Analysis'!$D132,'[1]NS Vendor Details'!$O:$O,'G&amp;A Vendor x GL Analysis'!$F132,'[1]NS Vendor Details'!$N:$N,"Direct Costs",'[1]NS Vendor Details'!$J:$J,0),IF(N$15="Actual",SUMIFS('[1]NS Vendor Details'!$D:$D,'[1]NS Vendor Details'!$H:$H,'G&amp;A Vendor x GL Analysis'!N$20,'[1]NS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Analysis'!N$20,'[1]NS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O132" s="17">
        <f>IF(AND(O$15="Actual",ISBLANK($E$8)),SUMIFS('[1]NS Vendor Details'!$D:$D,'[1]NS Vendor Details'!$H:$H,'G&amp;A Vendor x GL Analysis'!O$20,'[1]NS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Analysis'!O$20,'[1]NS Vendor Details'!$L:$L,'G&amp;A Vendor x GL Analysis'!$D132,'[1]NS Vendor Details'!$O:$O,'G&amp;A Vendor x GL Analysis'!$F132,'[1]NS Vendor Details'!$N:$N,"Direct Costs",'[1]NS Vendor Details'!$J:$J,0),IF(O$15="Actual",SUMIFS('[1]NS Vendor Details'!$D:$D,'[1]NS Vendor Details'!$H:$H,'G&amp;A Vendor x GL Analysis'!O$20,'[1]NS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Analysis'!O$20,'[1]NS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P132" s="17">
        <f>IF(AND(P$15="Actual",ISBLANK($E$8)),SUMIFS('[1]NS Vendor Details'!$D:$D,'[1]NS Vendor Details'!$H:$H,'G&amp;A Vendor x GL Analysis'!P$20,'[1]NS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Analysis'!P$20,'[1]NS Vendor Details'!$L:$L,'G&amp;A Vendor x GL Analysis'!$D132,'[1]NS Vendor Details'!$O:$O,'G&amp;A Vendor x GL Analysis'!$F132,'[1]NS Vendor Details'!$N:$N,"Direct Costs",'[1]NS Vendor Details'!$J:$J,0),IF(P$15="Actual",SUMIFS('[1]NS Vendor Details'!$D:$D,'[1]NS Vendor Details'!$H:$H,'G&amp;A Vendor x GL Analysis'!P$20,'[1]NS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Analysis'!P$20,'[1]NS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Q132" s="17">
        <f>IF(AND(Q$15="Actual",ISBLANK($E$8)),SUMIFS('[1]NS Vendor Details'!$D:$D,'[1]NS Vendor Details'!$H:$H,'G&amp;A Vendor x GL Analysis'!Q$20,'[1]NS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Analysis'!Q$20,'[1]NS Vendor Details'!$L:$L,'G&amp;A Vendor x GL Analysis'!$D132,'[1]NS Vendor Details'!$O:$O,'G&amp;A Vendor x GL Analysis'!$F132,'[1]NS Vendor Details'!$N:$N,"Direct Costs",'[1]NS Vendor Details'!$J:$J,0),IF(Q$15="Actual",SUMIFS('[1]NS Vendor Details'!$D:$D,'[1]NS Vendor Details'!$H:$H,'G&amp;A Vendor x GL Analysis'!Q$20,'[1]NS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Analysis'!Q$20,'[1]NS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R132" s="18">
        <f>IF(AND(R$15="Actual",ISBLANK($E$8)),SUMIFS('[1]NS Vendor Details'!$D:$D,'[1]NS Vendor Details'!$H:$H,'G&amp;A Vendor x GL Analysis'!R$20,'[1]NS Vendor Details'!$L:$L,'G&amp;A Vendor x GL Analysis'!$D132,'[1]NS Vendor Details'!$O:$O,'G&amp;A Vendor x GL Analysis'!$F132,'[1]NS Vendor Details'!$N:$N,'G&amp;A Vendor x GL Analysis'!$C132)+SUMIFS('[1]NS Vendor Details'!$D:$D,'[1]NS Vendor Details'!$H:$H,'G&amp;A Vendor x GL Analysis'!R$20,'[1]NS Vendor Details'!$L:$L,'G&amp;A Vendor x GL Analysis'!$D132,'[1]NS Vendor Details'!$O:$O,'G&amp;A Vendor x GL Analysis'!$F132,'[1]NS Vendor Details'!$N:$N,"Direct Costs",'[1]NS Vendor Details'!$J:$J,0),IF(R$15="Actual",SUMIFS('[1]NS Vendor Details'!$D:$D,'[1]NS Vendor Details'!$H:$H,'G&amp;A Vendor x GL Analysis'!R$20,'[1]NS Vendor Details'!$L:$L,'G&amp;A Vendor x GL Analysis'!$D132,'[1]NS Vendor Details'!$O:$O,'G&amp;A Vendor x GL Analysis'!$F132,'[1]NS Vendor Details'!$N:$N,'G&amp;A Vendor x GL Analysis'!$C132,'[1]NS Vendor Details'!$K:$K,'G&amp;A Vendor x GL Analysis'!$E$8)+SUMIFS('[1]NS Vendor Details'!$D:$D,'[1]NS Vendor Details'!$H:$H,'G&amp;A Vendor x GL Analysis'!R$20,'[1]NS Vendor Details'!$L:$L,'G&amp;A Vendor x GL Analysis'!$D132,'[1]NS Vendor Details'!$O:$O,'G&amp;A Vendor x GL Analysis'!$F132,'[1]NS Vendor Details'!$N:$N,"Direct Costs",'[1]NS Vendor Details'!$J:$J,0,'[1]NS Vendor Details'!$K:$K,'G&amp;A Vendor x GL Analysis'!$E$8),0))</f>
        <v>0</v>
      </c>
      <c r="S132" s="16">
        <f>IF(AND(S$15="Actual",ISBLANK($E$8)),SUMIFS('[1]NS Vendor Details'!$D:$D,'[1]NS Vendor Details'!$H:$H,'G&amp;A Vendor x GL Analysis'!S$20,'[1]NS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Analysis'!S$20,'[1]NS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Analysis'!$E132),IF(S$15="Actual",SUMIFS('[1]NS Vendor Details'!$D:$D,'[1]NS Vendor Details'!$H:$H,'G&amp;A Vendor x GL Analysis'!S$20,'[1]NS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Analysis'!S$20,'[1]NS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0</v>
      </c>
      <c r="T132" s="17">
        <f>IF(AND(T$15="Actual",ISBLANK($E$8)),SUMIFS('[1]NS Vendor Details'!$D:$D,'[1]NS Vendor Details'!$H:$H,'G&amp;A Vendor x GL Analysis'!T$20,'[1]NS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Analysis'!T$20,'[1]NS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Analysis'!$E132),IF(T$15="Actual",SUMIFS('[1]NS Vendor Details'!$D:$D,'[1]NS Vendor Details'!$H:$H,'G&amp;A Vendor x GL Analysis'!T$20,'[1]NS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Analysis'!T$20,'[1]NS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3019.92</v>
      </c>
      <c r="U132" s="17">
        <f>IF(AND(U$15="Actual",ISBLANK($E$8)),SUMIFS('[1]NS Vendor Details'!$D:$D,'[1]NS Vendor Details'!$H:$H,'G&amp;A Vendor x GL Analysis'!U$20,'[1]NS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Analysis'!U$20,'[1]NS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Analysis'!$E132),IF(U$15="Actual",SUMIFS('[1]NS Vendor Details'!$D:$D,'[1]NS Vendor Details'!$H:$H,'G&amp;A Vendor x GL Analysis'!U$20,'[1]NS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Analysis'!U$20,'[1]NS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862.84</v>
      </c>
      <c r="V132" s="17">
        <f>IF(AND(V$15="Actual",ISBLANK($E$8)),SUMIFS('[1]NS Vendor Details'!$D:$D,'[1]NS Vendor Details'!$H:$H,'G&amp;A Vendor x GL Analysis'!V$20,'[1]NS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Analysis'!V$20,'[1]NS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Analysis'!$E132),IF(V$15="Actual",SUMIFS('[1]NS Vendor Details'!$D:$D,'[1]NS Vendor Details'!$H:$H,'G&amp;A Vendor x GL Analysis'!V$20,'[1]NS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Analysis'!V$20,'[1]NS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431.42</v>
      </c>
      <c r="W132" s="17">
        <f>IF(AND(W$15="Actual",ISBLANK($E$8)),SUMIFS('[1]NS Vendor Details'!$D:$D,'[1]NS Vendor Details'!$H:$H,'G&amp;A Vendor x GL Analysis'!W$20,'[1]NS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Analysis'!W$20,'[1]NS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Analysis'!$E132),IF(W$15="Actual",SUMIFS('[1]NS Vendor Details'!$D:$D,'[1]NS Vendor Details'!$H:$H,'G&amp;A Vendor x GL Analysis'!W$20,'[1]NS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Analysis'!W$20,'[1]NS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431.42</v>
      </c>
      <c r="X132" s="17">
        <f>IF(AND(X$15="Actual",ISBLANK($E$8)),SUMIFS('[1]NS Vendor Details'!$D:$D,'[1]NS Vendor Details'!$H:$H,'G&amp;A Vendor x GL Analysis'!X$20,'[1]NS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Analysis'!X$20,'[1]NS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Analysis'!$E132),IF(X$15="Actual",SUMIFS('[1]NS Vendor Details'!$D:$D,'[1]NS Vendor Details'!$H:$H,'G&amp;A Vendor x GL Analysis'!X$20,'[1]NS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Analysis'!X$20,'[1]NS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431.4</v>
      </c>
      <c r="Y132" s="17">
        <f>IF(AND(Y$15="Actual",ISBLANK($E$8)),SUMIFS('[1]NS Vendor Details'!$D:$D,'[1]NS Vendor Details'!$H:$H,'G&amp;A Vendor x GL Analysis'!Y$20,'[1]NS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Analysis'!Y$20,'[1]NS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Analysis'!$E132),IF(Y$15="Actual",SUMIFS('[1]NS Vendor Details'!$D:$D,'[1]NS Vendor Details'!$H:$H,'G&amp;A Vendor x GL Analysis'!Y$20,'[1]NS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Analysis'!Y$20,'[1]NS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411.58</v>
      </c>
      <c r="Z132" s="17">
        <f>IF(AND(Z$15="Actual",ISBLANK($E$8)),SUMIFS('[1]NS Vendor Details'!$D:$D,'[1]NS Vendor Details'!$H:$H,'G&amp;A Vendor x GL Analysis'!Z$20,'[1]NS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Analysis'!Z$20,'[1]NS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Analysis'!$E132),IF(Z$15="Actual",SUMIFS('[1]NS Vendor Details'!$D:$D,'[1]NS Vendor Details'!$H:$H,'G&amp;A Vendor x GL Analysis'!Z$20,'[1]NS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Analysis'!Z$20,'[1]NS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411.58</v>
      </c>
      <c r="AA132" s="17">
        <f>IF(AND(AA$15="Actual",ISBLANK($E$8)),SUMIFS('[1]NS Vendor Details'!$D:$D,'[1]NS Vendor Details'!$H:$H,'G&amp;A Vendor x GL Analysis'!AA$20,'[1]NS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Analysis'!AA$20,'[1]NS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Analysis'!$E132),IF(AA$15="Actual",SUMIFS('[1]NS Vendor Details'!$D:$D,'[1]NS Vendor Details'!$H:$H,'G&amp;A Vendor x GL Analysis'!AA$20,'[1]NS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Analysis'!AA$20,'[1]NS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411.58</v>
      </c>
      <c r="AB132" s="17">
        <f>IF(AND(AB$15="Actual",ISBLANK($E$8)),SUMIFS('[1]NS Vendor Details'!$D:$D,'[1]NS Vendor Details'!$H:$H,'G&amp;A Vendor x GL Analysis'!AB$20,'[1]NS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Analysis'!AB$20,'[1]NS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Analysis'!$E132),IF(AB$15="Actual",SUMIFS('[1]NS Vendor Details'!$D:$D,'[1]NS Vendor Details'!$H:$H,'G&amp;A Vendor x GL Analysis'!AB$20,'[1]NS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Analysis'!AB$20,'[1]NS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411.58</v>
      </c>
      <c r="AC132" s="18">
        <f>IF(AND(AC$15="Actual",ISBLANK($E$8)),SUMIFS('[1]NS Vendor Details'!$D:$D,'[1]NS Vendor Details'!$H:$H,'G&amp;A Vendor x GL Analysis'!AC$20,'[1]NS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Analysis'!AC$20,'[1]NS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Analysis'!$E132),IF(AC$15="Actual",SUMIFS('[1]NS Vendor Details'!$D:$D,'[1]NS Vendor Details'!$H:$H,'G&amp;A Vendor x GL Analysis'!AC$20,'[1]NS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Analysis'!AC$20,'[1]NS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411.58</v>
      </c>
      <c r="AD132" s="18">
        <f>IF(AND(AD$15="Actual",ISBLANK($E$8)),SUMIFS('[1]NS Vendor Details'!$D:$D,'[1]NS Vendor Details'!$H:$H,'G&amp;A Vendor x GL Analysis'!AD$20,'[1]NS Vendor Details'!$L:$L,'G&amp;A Vendor x GL Analysis'!$D132,'[1]NS Vendor Details'!$O:$O,'G&amp;A Vendor x GL Analysis'!$F132,'[1]NS Vendor Details'!$N:$N,'G&amp;A Vendor x GL Analysis'!$C132,'[1]NS Vendor Details'!$I:$I,'G&amp;A Vendor x GL Analysis'!$E132)+SUMIFS('[1]NS Vendor Details'!$D:$D,'[1]NS Vendor Details'!$H:$H,'G&amp;A Vendor x GL Analysis'!AD$20,'[1]NS Vendor Details'!$L:$L,'G&amp;A Vendor x GL Analysis'!$D132,'[1]NS Vendor Details'!$O:$O,'G&amp;A Vendor x GL Analysis'!$F132,'[1]NS Vendor Details'!$N:$N,"Direct Costs",'[1]NS Vendor Details'!$J:$J,0,'[1]NS Vendor Details'!$I:$I,'G&amp;A Vendor x GL Analysis'!$E132),IF(AD$15="Actual",SUMIFS('[1]NS Vendor Details'!$D:$D,'[1]NS Vendor Details'!$H:$H,'G&amp;A Vendor x GL Analysis'!AD$20,'[1]NS Vendor Details'!$L:$L,'G&amp;A Vendor x GL Analysis'!$D132,'[1]NS Vendor Details'!$O:$O,'G&amp;A Vendor x GL Analysis'!$F132,'[1]NS Vendor Details'!$N:$N,'G&amp;A Vendor x GL Analysis'!$C132,'[1]NS Vendor Details'!$K:$K,'G&amp;A Vendor x GL Analysis'!$E$8,'[1]NS Vendor Details'!$I:$I,'G&amp;A Vendor x GL Analysis'!$E132)+SUMIFS('[1]NS Vendor Details'!$D:$D,'[1]NS Vendor Details'!$H:$H,'G&amp;A Vendor x GL Analysis'!AD$20,'[1]NS Vendor Details'!$L:$L,'G&amp;A Vendor x GL Analysis'!$D132,'[1]NS Vendor Details'!$O:$O,'G&amp;A Vendor x GL Analysis'!$F132,'[1]NS Vendor Details'!$N:$N,"Direct Costs",'[1]NS Vendor Details'!$J:$J,0,'[1]NS Vendor Details'!$K:$K,'G&amp;A Vendor x GL Analysis'!$E$8,'[1]NS Vendor Details'!$I:$I,'G&amp;A Vendor x GL Analysis'!$E132),0))</f>
        <v>0</v>
      </c>
      <c r="AF132" s="19">
        <f t="shared" si="23"/>
        <v>7234.9</v>
      </c>
    </row>
    <row r="133" spans="1:32" outlineLevel="1">
      <c r="A133" s="8" t="str">
        <f t="shared" si="22"/>
        <v>Professional Service6393 - Software</v>
      </c>
      <c r="C133" s="8" t="s">
        <v>11</v>
      </c>
      <c r="D133" s="8" t="str">
        <f t="shared" si="21"/>
        <v>Professional Service</v>
      </c>
      <c r="E133" s="2" t="s">
        <v>101</v>
      </c>
      <c r="F133" s="2" t="s">
        <v>125</v>
      </c>
      <c r="G133" s="16">
        <f>IF(AND(G$15="Actual",ISBLANK($E$8)),SUMIFS('[1]NS Vendor Details'!$D:$D,'[1]NS Vendor Details'!$H:$H,'G&amp;A Vendor x GL Analysis'!G$20,'[1]NS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Analysis'!G$20,'[1]NS Vendor Details'!$L:$L,'G&amp;A Vendor x GL Analysis'!$D133,'[1]NS Vendor Details'!$O:$O,'G&amp;A Vendor x GL Analysis'!$F133,'[1]NS Vendor Details'!$N:$N,"Direct Costs",'[1]NS Vendor Details'!$J:$J,0),IF(G$15="Actual",SUMIFS('[1]NS Vendor Details'!$D:$D,'[1]NS Vendor Details'!$H:$H,'G&amp;A Vendor x GL Analysis'!G$20,'[1]NS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Analysis'!G$20,'[1]NS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H133" s="17">
        <f>IF(AND(H$15="Actual",ISBLANK($E$8)),SUMIFS('[1]NS Vendor Details'!$D:$D,'[1]NS Vendor Details'!$H:$H,'G&amp;A Vendor x GL Analysis'!H$20,'[1]NS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Analysis'!H$20,'[1]NS Vendor Details'!$L:$L,'G&amp;A Vendor x GL Analysis'!$D133,'[1]NS Vendor Details'!$O:$O,'G&amp;A Vendor x GL Analysis'!$F133,'[1]NS Vendor Details'!$N:$N,"Direct Costs",'[1]NS Vendor Details'!$J:$J,0),IF(H$15="Actual",SUMIFS('[1]NS Vendor Details'!$D:$D,'[1]NS Vendor Details'!$H:$H,'G&amp;A Vendor x GL Analysis'!H$20,'[1]NS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Analysis'!H$20,'[1]NS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I133" s="17">
        <f>IF(AND(I$15="Actual",ISBLANK($E$8)),SUMIFS('[1]NS Vendor Details'!$D:$D,'[1]NS Vendor Details'!$H:$H,'G&amp;A Vendor x GL Analysis'!I$20,'[1]NS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Analysis'!I$20,'[1]NS Vendor Details'!$L:$L,'G&amp;A Vendor x GL Analysis'!$D133,'[1]NS Vendor Details'!$O:$O,'G&amp;A Vendor x GL Analysis'!$F133,'[1]NS Vendor Details'!$N:$N,"Direct Costs",'[1]NS Vendor Details'!$J:$J,0),IF(I$15="Actual",SUMIFS('[1]NS Vendor Details'!$D:$D,'[1]NS Vendor Details'!$H:$H,'G&amp;A Vendor x GL Analysis'!I$20,'[1]NS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Analysis'!I$20,'[1]NS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J133" s="17">
        <f>IF(AND(J$15="Actual",ISBLANK($E$8)),SUMIFS('[1]NS Vendor Details'!$D:$D,'[1]NS Vendor Details'!$H:$H,'G&amp;A Vendor x GL Analysis'!J$20,'[1]NS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Analysis'!J$20,'[1]NS Vendor Details'!$L:$L,'G&amp;A Vendor x GL Analysis'!$D133,'[1]NS Vendor Details'!$O:$O,'G&amp;A Vendor x GL Analysis'!$F133,'[1]NS Vendor Details'!$N:$N,"Direct Costs",'[1]NS Vendor Details'!$J:$J,0),IF(J$15="Actual",SUMIFS('[1]NS Vendor Details'!$D:$D,'[1]NS Vendor Details'!$H:$H,'G&amp;A Vendor x GL Analysis'!J$20,'[1]NS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Analysis'!J$20,'[1]NS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K133" s="17">
        <f>IF(AND(K$15="Actual",ISBLANK($E$8)),SUMIFS('[1]NS Vendor Details'!$D:$D,'[1]NS Vendor Details'!$H:$H,'G&amp;A Vendor x GL Analysis'!K$20,'[1]NS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Analysis'!K$20,'[1]NS Vendor Details'!$L:$L,'G&amp;A Vendor x GL Analysis'!$D133,'[1]NS Vendor Details'!$O:$O,'G&amp;A Vendor x GL Analysis'!$F133,'[1]NS Vendor Details'!$N:$N,"Direct Costs",'[1]NS Vendor Details'!$J:$J,0),IF(K$15="Actual",SUMIFS('[1]NS Vendor Details'!$D:$D,'[1]NS Vendor Details'!$H:$H,'G&amp;A Vendor x GL Analysis'!K$20,'[1]NS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Analysis'!K$20,'[1]NS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L133" s="17">
        <f>IF(AND(L$15="Actual",ISBLANK($E$8)),SUMIFS('[1]NS Vendor Details'!$D:$D,'[1]NS Vendor Details'!$H:$H,'G&amp;A Vendor x GL Analysis'!L$20,'[1]NS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Analysis'!L$20,'[1]NS Vendor Details'!$L:$L,'G&amp;A Vendor x GL Analysis'!$D133,'[1]NS Vendor Details'!$O:$O,'G&amp;A Vendor x GL Analysis'!$F133,'[1]NS Vendor Details'!$N:$N,"Direct Costs",'[1]NS Vendor Details'!$J:$J,0),IF(L$15="Actual",SUMIFS('[1]NS Vendor Details'!$D:$D,'[1]NS Vendor Details'!$H:$H,'G&amp;A Vendor x GL Analysis'!L$20,'[1]NS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Analysis'!L$20,'[1]NS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M133" s="17">
        <f>IF(AND(M$15="Actual",ISBLANK($E$8)),SUMIFS('[1]NS Vendor Details'!$D:$D,'[1]NS Vendor Details'!$H:$H,'G&amp;A Vendor x GL Analysis'!M$20,'[1]NS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Analysis'!M$20,'[1]NS Vendor Details'!$L:$L,'G&amp;A Vendor x GL Analysis'!$D133,'[1]NS Vendor Details'!$O:$O,'G&amp;A Vendor x GL Analysis'!$F133,'[1]NS Vendor Details'!$N:$N,"Direct Costs",'[1]NS Vendor Details'!$J:$J,0),IF(M$15="Actual",SUMIFS('[1]NS Vendor Details'!$D:$D,'[1]NS Vendor Details'!$H:$H,'G&amp;A Vendor x GL Analysis'!M$20,'[1]NS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Analysis'!M$20,'[1]NS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N133" s="17">
        <f>IF(AND(N$15="Actual",ISBLANK($E$8)),SUMIFS('[1]NS Vendor Details'!$D:$D,'[1]NS Vendor Details'!$H:$H,'G&amp;A Vendor x GL Analysis'!N$20,'[1]NS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Analysis'!N$20,'[1]NS Vendor Details'!$L:$L,'G&amp;A Vendor x GL Analysis'!$D133,'[1]NS Vendor Details'!$O:$O,'G&amp;A Vendor x GL Analysis'!$F133,'[1]NS Vendor Details'!$N:$N,"Direct Costs",'[1]NS Vendor Details'!$J:$J,0),IF(N$15="Actual",SUMIFS('[1]NS Vendor Details'!$D:$D,'[1]NS Vendor Details'!$H:$H,'G&amp;A Vendor x GL Analysis'!N$20,'[1]NS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Analysis'!N$20,'[1]NS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O133" s="17">
        <f>IF(AND(O$15="Actual",ISBLANK($E$8)),SUMIFS('[1]NS Vendor Details'!$D:$D,'[1]NS Vendor Details'!$H:$H,'G&amp;A Vendor x GL Analysis'!O$20,'[1]NS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Analysis'!O$20,'[1]NS Vendor Details'!$L:$L,'G&amp;A Vendor x GL Analysis'!$D133,'[1]NS Vendor Details'!$O:$O,'G&amp;A Vendor x GL Analysis'!$F133,'[1]NS Vendor Details'!$N:$N,"Direct Costs",'[1]NS Vendor Details'!$J:$J,0),IF(O$15="Actual",SUMIFS('[1]NS Vendor Details'!$D:$D,'[1]NS Vendor Details'!$H:$H,'G&amp;A Vendor x GL Analysis'!O$20,'[1]NS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Analysis'!O$20,'[1]NS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P133" s="17">
        <f>IF(AND(P$15="Actual",ISBLANK($E$8)),SUMIFS('[1]NS Vendor Details'!$D:$D,'[1]NS Vendor Details'!$H:$H,'G&amp;A Vendor x GL Analysis'!P$20,'[1]NS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Analysis'!P$20,'[1]NS Vendor Details'!$L:$L,'G&amp;A Vendor x GL Analysis'!$D133,'[1]NS Vendor Details'!$O:$O,'G&amp;A Vendor x GL Analysis'!$F133,'[1]NS Vendor Details'!$N:$N,"Direct Costs",'[1]NS Vendor Details'!$J:$J,0),IF(P$15="Actual",SUMIFS('[1]NS Vendor Details'!$D:$D,'[1]NS Vendor Details'!$H:$H,'G&amp;A Vendor x GL Analysis'!P$20,'[1]NS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Analysis'!P$20,'[1]NS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Q133" s="17">
        <f>IF(AND(Q$15="Actual",ISBLANK($E$8)),SUMIFS('[1]NS Vendor Details'!$D:$D,'[1]NS Vendor Details'!$H:$H,'G&amp;A Vendor x GL Analysis'!Q$20,'[1]NS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Analysis'!Q$20,'[1]NS Vendor Details'!$L:$L,'G&amp;A Vendor x GL Analysis'!$D133,'[1]NS Vendor Details'!$O:$O,'G&amp;A Vendor x GL Analysis'!$F133,'[1]NS Vendor Details'!$N:$N,"Direct Costs",'[1]NS Vendor Details'!$J:$J,0),IF(Q$15="Actual",SUMIFS('[1]NS Vendor Details'!$D:$D,'[1]NS Vendor Details'!$H:$H,'G&amp;A Vendor x GL Analysis'!Q$20,'[1]NS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Analysis'!Q$20,'[1]NS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R133" s="18">
        <f>IF(AND(R$15="Actual",ISBLANK($E$8)),SUMIFS('[1]NS Vendor Details'!$D:$D,'[1]NS Vendor Details'!$H:$H,'G&amp;A Vendor x GL Analysis'!R$20,'[1]NS Vendor Details'!$L:$L,'G&amp;A Vendor x GL Analysis'!$D133,'[1]NS Vendor Details'!$O:$O,'G&amp;A Vendor x GL Analysis'!$F133,'[1]NS Vendor Details'!$N:$N,'G&amp;A Vendor x GL Analysis'!$C133)+SUMIFS('[1]NS Vendor Details'!$D:$D,'[1]NS Vendor Details'!$H:$H,'G&amp;A Vendor x GL Analysis'!R$20,'[1]NS Vendor Details'!$L:$L,'G&amp;A Vendor x GL Analysis'!$D133,'[1]NS Vendor Details'!$O:$O,'G&amp;A Vendor x GL Analysis'!$F133,'[1]NS Vendor Details'!$N:$N,"Direct Costs",'[1]NS Vendor Details'!$J:$J,0),IF(R$15="Actual",SUMIFS('[1]NS Vendor Details'!$D:$D,'[1]NS Vendor Details'!$H:$H,'G&amp;A Vendor x GL Analysis'!R$20,'[1]NS Vendor Details'!$L:$L,'G&amp;A Vendor x GL Analysis'!$D133,'[1]NS Vendor Details'!$O:$O,'G&amp;A Vendor x GL Analysis'!$F133,'[1]NS Vendor Details'!$N:$N,'G&amp;A Vendor x GL Analysis'!$C133,'[1]NS Vendor Details'!$K:$K,'G&amp;A Vendor x GL Analysis'!$E$8)+SUMIFS('[1]NS Vendor Details'!$D:$D,'[1]NS Vendor Details'!$H:$H,'G&amp;A Vendor x GL Analysis'!R$20,'[1]NS Vendor Details'!$L:$L,'G&amp;A Vendor x GL Analysis'!$D133,'[1]NS Vendor Details'!$O:$O,'G&amp;A Vendor x GL Analysis'!$F133,'[1]NS Vendor Details'!$N:$N,"Direct Costs",'[1]NS Vendor Details'!$J:$J,0,'[1]NS Vendor Details'!$K:$K,'G&amp;A Vendor x GL Analysis'!$E$8),0))</f>
        <v>0</v>
      </c>
      <c r="S133" s="16">
        <f>IF(AND(S$15="Actual",ISBLANK($E$8)),SUMIFS('[1]NS Vendor Details'!$D:$D,'[1]NS Vendor Details'!$H:$H,'G&amp;A Vendor x GL Analysis'!S$20,'[1]NS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Analysis'!S$20,'[1]NS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Analysis'!$E133),IF(S$15="Actual",SUMIFS('[1]NS Vendor Details'!$D:$D,'[1]NS Vendor Details'!$H:$H,'G&amp;A Vendor x GL Analysis'!S$20,'[1]NS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Analysis'!S$20,'[1]NS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T133" s="17">
        <f>IF(AND(T$15="Actual",ISBLANK($E$8)),SUMIFS('[1]NS Vendor Details'!$D:$D,'[1]NS Vendor Details'!$H:$H,'G&amp;A Vendor x GL Analysis'!T$20,'[1]NS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Analysis'!T$20,'[1]NS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Analysis'!$E133),IF(T$15="Actual",SUMIFS('[1]NS Vendor Details'!$D:$D,'[1]NS Vendor Details'!$H:$H,'G&amp;A Vendor x GL Analysis'!T$20,'[1]NS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Analysis'!T$20,'[1]NS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U133" s="17">
        <f>IF(AND(U$15="Actual",ISBLANK($E$8)),SUMIFS('[1]NS Vendor Details'!$D:$D,'[1]NS Vendor Details'!$H:$H,'G&amp;A Vendor x GL Analysis'!U$20,'[1]NS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Analysis'!U$20,'[1]NS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Analysis'!$E133),IF(U$15="Actual",SUMIFS('[1]NS Vendor Details'!$D:$D,'[1]NS Vendor Details'!$H:$H,'G&amp;A Vendor x GL Analysis'!U$20,'[1]NS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Analysis'!U$20,'[1]NS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V133" s="17">
        <f>IF(AND(V$15="Actual",ISBLANK($E$8)),SUMIFS('[1]NS Vendor Details'!$D:$D,'[1]NS Vendor Details'!$H:$H,'G&amp;A Vendor x GL Analysis'!V$20,'[1]NS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Analysis'!V$20,'[1]NS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Analysis'!$E133),IF(V$15="Actual",SUMIFS('[1]NS Vendor Details'!$D:$D,'[1]NS Vendor Details'!$H:$H,'G&amp;A Vendor x GL Analysis'!V$20,'[1]NS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Analysis'!V$20,'[1]NS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W133" s="17">
        <f>IF(AND(W$15="Actual",ISBLANK($E$8)),SUMIFS('[1]NS Vendor Details'!$D:$D,'[1]NS Vendor Details'!$H:$H,'G&amp;A Vendor x GL Analysis'!W$20,'[1]NS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Analysis'!W$20,'[1]NS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Analysis'!$E133),IF(W$15="Actual",SUMIFS('[1]NS Vendor Details'!$D:$D,'[1]NS Vendor Details'!$H:$H,'G&amp;A Vendor x GL Analysis'!W$20,'[1]NS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Analysis'!W$20,'[1]NS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X133" s="17">
        <f>IF(AND(X$15="Actual",ISBLANK($E$8)),SUMIFS('[1]NS Vendor Details'!$D:$D,'[1]NS Vendor Details'!$H:$H,'G&amp;A Vendor x GL Analysis'!X$20,'[1]NS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Analysis'!X$20,'[1]NS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Analysis'!$E133),IF(X$15="Actual",SUMIFS('[1]NS Vendor Details'!$D:$D,'[1]NS Vendor Details'!$H:$H,'G&amp;A Vendor x GL Analysis'!X$20,'[1]NS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Analysis'!X$20,'[1]NS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Y133" s="17">
        <f>IF(AND(Y$15="Actual",ISBLANK($E$8)),SUMIFS('[1]NS Vendor Details'!$D:$D,'[1]NS Vendor Details'!$H:$H,'G&amp;A Vendor x GL Analysis'!Y$20,'[1]NS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Analysis'!Y$20,'[1]NS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Analysis'!$E133),IF(Y$15="Actual",SUMIFS('[1]NS Vendor Details'!$D:$D,'[1]NS Vendor Details'!$H:$H,'G&amp;A Vendor x GL Analysis'!Y$20,'[1]NS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Analysis'!Y$20,'[1]NS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Z133" s="17">
        <f>IF(AND(Z$15="Actual",ISBLANK($E$8)),SUMIFS('[1]NS Vendor Details'!$D:$D,'[1]NS Vendor Details'!$H:$H,'G&amp;A Vendor x GL Analysis'!Z$20,'[1]NS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Analysis'!Z$20,'[1]NS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Analysis'!$E133),IF(Z$15="Actual",SUMIFS('[1]NS Vendor Details'!$D:$D,'[1]NS Vendor Details'!$H:$H,'G&amp;A Vendor x GL Analysis'!Z$20,'[1]NS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Analysis'!Z$20,'[1]NS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AA133" s="17">
        <f>IF(AND(AA$15="Actual",ISBLANK($E$8)),SUMIFS('[1]NS Vendor Details'!$D:$D,'[1]NS Vendor Details'!$H:$H,'G&amp;A Vendor x GL Analysis'!AA$20,'[1]NS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Analysis'!AA$20,'[1]NS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Analysis'!$E133),IF(AA$15="Actual",SUMIFS('[1]NS Vendor Details'!$D:$D,'[1]NS Vendor Details'!$H:$H,'G&amp;A Vendor x GL Analysis'!AA$20,'[1]NS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Analysis'!AA$20,'[1]NS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AB133" s="17">
        <f>IF(AND(AB$15="Actual",ISBLANK($E$8)),SUMIFS('[1]NS Vendor Details'!$D:$D,'[1]NS Vendor Details'!$H:$H,'G&amp;A Vendor x GL Analysis'!AB$20,'[1]NS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Analysis'!AB$20,'[1]NS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Analysis'!$E133),IF(AB$15="Actual",SUMIFS('[1]NS Vendor Details'!$D:$D,'[1]NS Vendor Details'!$H:$H,'G&amp;A Vendor x GL Analysis'!AB$20,'[1]NS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Analysis'!AB$20,'[1]NS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AC133" s="18">
        <f>IF(AND(AC$15="Actual",ISBLANK($E$8)),SUMIFS('[1]NS Vendor Details'!$D:$D,'[1]NS Vendor Details'!$H:$H,'G&amp;A Vendor x GL Analysis'!AC$20,'[1]NS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Analysis'!AC$20,'[1]NS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Analysis'!$E133),IF(AC$15="Actual",SUMIFS('[1]NS Vendor Details'!$D:$D,'[1]NS Vendor Details'!$H:$H,'G&amp;A Vendor x GL Analysis'!AC$20,'[1]NS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Analysis'!AC$20,'[1]NS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AD133" s="18">
        <f>IF(AND(AD$15="Actual",ISBLANK($E$8)),SUMIFS('[1]NS Vendor Details'!$D:$D,'[1]NS Vendor Details'!$H:$H,'G&amp;A Vendor x GL Analysis'!AD$20,'[1]NS Vendor Details'!$L:$L,'G&amp;A Vendor x GL Analysis'!$D133,'[1]NS Vendor Details'!$O:$O,'G&amp;A Vendor x GL Analysis'!$F133,'[1]NS Vendor Details'!$N:$N,'G&amp;A Vendor x GL Analysis'!$C133,'[1]NS Vendor Details'!$I:$I,'G&amp;A Vendor x GL Analysis'!$E133)+SUMIFS('[1]NS Vendor Details'!$D:$D,'[1]NS Vendor Details'!$H:$H,'G&amp;A Vendor x GL Analysis'!AD$20,'[1]NS Vendor Details'!$L:$L,'G&amp;A Vendor x GL Analysis'!$D133,'[1]NS Vendor Details'!$O:$O,'G&amp;A Vendor x GL Analysis'!$F133,'[1]NS Vendor Details'!$N:$N,"Direct Costs",'[1]NS Vendor Details'!$J:$J,0,'[1]NS Vendor Details'!$I:$I,'G&amp;A Vendor x GL Analysis'!$E133),IF(AD$15="Actual",SUMIFS('[1]NS Vendor Details'!$D:$D,'[1]NS Vendor Details'!$H:$H,'G&amp;A Vendor x GL Analysis'!AD$20,'[1]NS Vendor Details'!$L:$L,'G&amp;A Vendor x GL Analysis'!$D133,'[1]NS Vendor Details'!$O:$O,'G&amp;A Vendor x GL Analysis'!$F133,'[1]NS Vendor Details'!$N:$N,'G&amp;A Vendor x GL Analysis'!$C133,'[1]NS Vendor Details'!$K:$K,'G&amp;A Vendor x GL Analysis'!$E$8,'[1]NS Vendor Details'!$I:$I,'G&amp;A Vendor x GL Analysis'!$E133)+SUMIFS('[1]NS Vendor Details'!$D:$D,'[1]NS Vendor Details'!$H:$H,'G&amp;A Vendor x GL Analysis'!AD$20,'[1]NS Vendor Details'!$L:$L,'G&amp;A Vendor x GL Analysis'!$D133,'[1]NS Vendor Details'!$O:$O,'G&amp;A Vendor x GL Analysis'!$F133,'[1]NS Vendor Details'!$N:$N,"Direct Costs",'[1]NS Vendor Details'!$J:$J,0,'[1]NS Vendor Details'!$K:$K,'G&amp;A Vendor x GL Analysis'!$E$8,'[1]NS Vendor Details'!$I:$I,'G&amp;A Vendor x GL Analysis'!$E133),0))</f>
        <v>0</v>
      </c>
      <c r="AF133" s="19">
        <f t="shared" si="23"/>
        <v>0</v>
      </c>
    </row>
    <row r="134" spans="1:32" outlineLevel="1">
      <c r="A134" s="8" t="str">
        <f t="shared" si="22"/>
        <v>Professional Service6393 - Software</v>
      </c>
      <c r="C134" s="8" t="s">
        <v>11</v>
      </c>
      <c r="D134" s="8" t="str">
        <f t="shared" si="21"/>
        <v>Professional Service</v>
      </c>
      <c r="E134" s="2" t="s">
        <v>101</v>
      </c>
      <c r="F134" s="2" t="s">
        <v>126</v>
      </c>
      <c r="G134" s="16">
        <f>IF(AND(G$15="Actual",ISBLANK($E$8)),SUMIFS('[1]NS Vendor Details'!$D:$D,'[1]NS Vendor Details'!$H:$H,'G&amp;A Vendor x GL Analysis'!G$20,'[1]NS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Analysis'!G$20,'[1]NS Vendor Details'!$L:$L,'G&amp;A Vendor x GL Analysis'!$D134,'[1]NS Vendor Details'!$O:$O,'G&amp;A Vendor x GL Analysis'!$F134,'[1]NS Vendor Details'!$N:$N,"Direct Costs",'[1]NS Vendor Details'!$J:$J,0),IF(G$15="Actual",SUMIFS('[1]NS Vendor Details'!$D:$D,'[1]NS Vendor Details'!$H:$H,'G&amp;A Vendor x GL Analysis'!G$20,'[1]NS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Analysis'!G$20,'[1]NS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H134" s="17">
        <f>IF(AND(H$15="Actual",ISBLANK($E$8)),SUMIFS('[1]NS Vendor Details'!$D:$D,'[1]NS Vendor Details'!$H:$H,'G&amp;A Vendor x GL Analysis'!H$20,'[1]NS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Analysis'!H$20,'[1]NS Vendor Details'!$L:$L,'G&amp;A Vendor x GL Analysis'!$D134,'[1]NS Vendor Details'!$O:$O,'G&amp;A Vendor x GL Analysis'!$F134,'[1]NS Vendor Details'!$N:$N,"Direct Costs",'[1]NS Vendor Details'!$J:$J,0),IF(H$15="Actual",SUMIFS('[1]NS Vendor Details'!$D:$D,'[1]NS Vendor Details'!$H:$H,'G&amp;A Vendor x GL Analysis'!H$20,'[1]NS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Analysis'!H$20,'[1]NS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I134" s="17">
        <f>IF(AND(I$15="Actual",ISBLANK($E$8)),SUMIFS('[1]NS Vendor Details'!$D:$D,'[1]NS Vendor Details'!$H:$H,'G&amp;A Vendor x GL Analysis'!I$20,'[1]NS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Analysis'!I$20,'[1]NS Vendor Details'!$L:$L,'G&amp;A Vendor x GL Analysis'!$D134,'[1]NS Vendor Details'!$O:$O,'G&amp;A Vendor x GL Analysis'!$F134,'[1]NS Vendor Details'!$N:$N,"Direct Costs",'[1]NS Vendor Details'!$J:$J,0),IF(I$15="Actual",SUMIFS('[1]NS Vendor Details'!$D:$D,'[1]NS Vendor Details'!$H:$H,'G&amp;A Vendor x GL Analysis'!I$20,'[1]NS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Analysis'!I$20,'[1]NS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J134" s="17">
        <f>IF(AND(J$15="Actual",ISBLANK($E$8)),SUMIFS('[1]NS Vendor Details'!$D:$D,'[1]NS Vendor Details'!$H:$H,'G&amp;A Vendor x GL Analysis'!J$20,'[1]NS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Analysis'!J$20,'[1]NS Vendor Details'!$L:$L,'G&amp;A Vendor x GL Analysis'!$D134,'[1]NS Vendor Details'!$O:$O,'G&amp;A Vendor x GL Analysis'!$F134,'[1]NS Vendor Details'!$N:$N,"Direct Costs",'[1]NS Vendor Details'!$J:$J,0),IF(J$15="Actual",SUMIFS('[1]NS Vendor Details'!$D:$D,'[1]NS Vendor Details'!$H:$H,'G&amp;A Vendor x GL Analysis'!J$20,'[1]NS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Analysis'!J$20,'[1]NS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K134" s="17">
        <f>IF(AND(K$15="Actual",ISBLANK($E$8)),SUMIFS('[1]NS Vendor Details'!$D:$D,'[1]NS Vendor Details'!$H:$H,'G&amp;A Vendor x GL Analysis'!K$20,'[1]NS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Analysis'!K$20,'[1]NS Vendor Details'!$L:$L,'G&amp;A Vendor x GL Analysis'!$D134,'[1]NS Vendor Details'!$O:$O,'G&amp;A Vendor x GL Analysis'!$F134,'[1]NS Vendor Details'!$N:$N,"Direct Costs",'[1]NS Vendor Details'!$J:$J,0),IF(K$15="Actual",SUMIFS('[1]NS Vendor Details'!$D:$D,'[1]NS Vendor Details'!$H:$H,'G&amp;A Vendor x GL Analysis'!K$20,'[1]NS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Analysis'!K$20,'[1]NS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L134" s="17">
        <f>IF(AND(L$15="Actual",ISBLANK($E$8)),SUMIFS('[1]NS Vendor Details'!$D:$D,'[1]NS Vendor Details'!$H:$H,'G&amp;A Vendor x GL Analysis'!L$20,'[1]NS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Analysis'!L$20,'[1]NS Vendor Details'!$L:$L,'G&amp;A Vendor x GL Analysis'!$D134,'[1]NS Vendor Details'!$O:$O,'G&amp;A Vendor x GL Analysis'!$F134,'[1]NS Vendor Details'!$N:$N,"Direct Costs",'[1]NS Vendor Details'!$J:$J,0),IF(L$15="Actual",SUMIFS('[1]NS Vendor Details'!$D:$D,'[1]NS Vendor Details'!$H:$H,'G&amp;A Vendor x GL Analysis'!L$20,'[1]NS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Analysis'!L$20,'[1]NS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M134" s="17">
        <f>IF(AND(M$15="Actual",ISBLANK($E$8)),SUMIFS('[1]NS Vendor Details'!$D:$D,'[1]NS Vendor Details'!$H:$H,'G&amp;A Vendor x GL Analysis'!M$20,'[1]NS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Analysis'!M$20,'[1]NS Vendor Details'!$L:$L,'G&amp;A Vendor x GL Analysis'!$D134,'[1]NS Vendor Details'!$O:$O,'G&amp;A Vendor x GL Analysis'!$F134,'[1]NS Vendor Details'!$N:$N,"Direct Costs",'[1]NS Vendor Details'!$J:$J,0),IF(M$15="Actual",SUMIFS('[1]NS Vendor Details'!$D:$D,'[1]NS Vendor Details'!$H:$H,'G&amp;A Vendor x GL Analysis'!M$20,'[1]NS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Analysis'!M$20,'[1]NS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N134" s="17">
        <f>IF(AND(N$15="Actual",ISBLANK($E$8)),SUMIFS('[1]NS Vendor Details'!$D:$D,'[1]NS Vendor Details'!$H:$H,'G&amp;A Vendor x GL Analysis'!N$20,'[1]NS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Analysis'!N$20,'[1]NS Vendor Details'!$L:$L,'G&amp;A Vendor x GL Analysis'!$D134,'[1]NS Vendor Details'!$O:$O,'G&amp;A Vendor x GL Analysis'!$F134,'[1]NS Vendor Details'!$N:$N,"Direct Costs",'[1]NS Vendor Details'!$J:$J,0),IF(N$15="Actual",SUMIFS('[1]NS Vendor Details'!$D:$D,'[1]NS Vendor Details'!$H:$H,'G&amp;A Vendor x GL Analysis'!N$20,'[1]NS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Analysis'!N$20,'[1]NS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O134" s="17">
        <f>IF(AND(O$15="Actual",ISBLANK($E$8)),SUMIFS('[1]NS Vendor Details'!$D:$D,'[1]NS Vendor Details'!$H:$H,'G&amp;A Vendor x GL Analysis'!O$20,'[1]NS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Analysis'!O$20,'[1]NS Vendor Details'!$L:$L,'G&amp;A Vendor x GL Analysis'!$D134,'[1]NS Vendor Details'!$O:$O,'G&amp;A Vendor x GL Analysis'!$F134,'[1]NS Vendor Details'!$N:$N,"Direct Costs",'[1]NS Vendor Details'!$J:$J,0),IF(O$15="Actual",SUMIFS('[1]NS Vendor Details'!$D:$D,'[1]NS Vendor Details'!$H:$H,'G&amp;A Vendor x GL Analysis'!O$20,'[1]NS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Analysis'!O$20,'[1]NS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P134" s="17">
        <f>IF(AND(P$15="Actual",ISBLANK($E$8)),SUMIFS('[1]NS Vendor Details'!$D:$D,'[1]NS Vendor Details'!$H:$H,'G&amp;A Vendor x GL Analysis'!P$20,'[1]NS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Analysis'!P$20,'[1]NS Vendor Details'!$L:$L,'G&amp;A Vendor x GL Analysis'!$D134,'[1]NS Vendor Details'!$O:$O,'G&amp;A Vendor x GL Analysis'!$F134,'[1]NS Vendor Details'!$N:$N,"Direct Costs",'[1]NS Vendor Details'!$J:$J,0),IF(P$15="Actual",SUMIFS('[1]NS Vendor Details'!$D:$D,'[1]NS Vendor Details'!$H:$H,'G&amp;A Vendor x GL Analysis'!P$20,'[1]NS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Analysis'!P$20,'[1]NS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Q134" s="17">
        <f>IF(AND(Q$15="Actual",ISBLANK($E$8)),SUMIFS('[1]NS Vendor Details'!$D:$D,'[1]NS Vendor Details'!$H:$H,'G&amp;A Vendor x GL Analysis'!Q$20,'[1]NS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Analysis'!Q$20,'[1]NS Vendor Details'!$L:$L,'G&amp;A Vendor x GL Analysis'!$D134,'[1]NS Vendor Details'!$O:$O,'G&amp;A Vendor x GL Analysis'!$F134,'[1]NS Vendor Details'!$N:$N,"Direct Costs",'[1]NS Vendor Details'!$J:$J,0),IF(Q$15="Actual",SUMIFS('[1]NS Vendor Details'!$D:$D,'[1]NS Vendor Details'!$H:$H,'G&amp;A Vendor x GL Analysis'!Q$20,'[1]NS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Analysis'!Q$20,'[1]NS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R134" s="18">
        <f>IF(AND(R$15="Actual",ISBLANK($E$8)),SUMIFS('[1]NS Vendor Details'!$D:$D,'[1]NS Vendor Details'!$H:$H,'G&amp;A Vendor x GL Analysis'!R$20,'[1]NS Vendor Details'!$L:$L,'G&amp;A Vendor x GL Analysis'!$D134,'[1]NS Vendor Details'!$O:$O,'G&amp;A Vendor x GL Analysis'!$F134,'[1]NS Vendor Details'!$N:$N,'G&amp;A Vendor x GL Analysis'!$C134)+SUMIFS('[1]NS Vendor Details'!$D:$D,'[1]NS Vendor Details'!$H:$H,'G&amp;A Vendor x GL Analysis'!R$20,'[1]NS Vendor Details'!$L:$L,'G&amp;A Vendor x GL Analysis'!$D134,'[1]NS Vendor Details'!$O:$O,'G&amp;A Vendor x GL Analysis'!$F134,'[1]NS Vendor Details'!$N:$N,"Direct Costs",'[1]NS Vendor Details'!$J:$J,0),IF(R$15="Actual",SUMIFS('[1]NS Vendor Details'!$D:$D,'[1]NS Vendor Details'!$H:$H,'G&amp;A Vendor x GL Analysis'!R$20,'[1]NS Vendor Details'!$L:$L,'G&amp;A Vendor x GL Analysis'!$D134,'[1]NS Vendor Details'!$O:$O,'G&amp;A Vendor x GL Analysis'!$F134,'[1]NS Vendor Details'!$N:$N,'G&amp;A Vendor x GL Analysis'!$C134,'[1]NS Vendor Details'!$K:$K,'G&amp;A Vendor x GL Analysis'!$E$8)+SUMIFS('[1]NS Vendor Details'!$D:$D,'[1]NS Vendor Details'!$H:$H,'G&amp;A Vendor x GL Analysis'!R$20,'[1]NS Vendor Details'!$L:$L,'G&amp;A Vendor x GL Analysis'!$D134,'[1]NS Vendor Details'!$O:$O,'G&amp;A Vendor x GL Analysis'!$F134,'[1]NS Vendor Details'!$N:$N,"Direct Costs",'[1]NS Vendor Details'!$J:$J,0,'[1]NS Vendor Details'!$K:$K,'G&amp;A Vendor x GL Analysis'!$E$8),0))</f>
        <v>0</v>
      </c>
      <c r="S134" s="16">
        <f>IF(AND(S$15="Actual",ISBLANK($E$8)),SUMIFS('[1]NS Vendor Details'!$D:$D,'[1]NS Vendor Details'!$H:$H,'G&amp;A Vendor x GL Analysis'!S$20,'[1]NS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Analysis'!S$20,'[1]NS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Analysis'!$E134),IF(S$15="Actual",SUMIFS('[1]NS Vendor Details'!$D:$D,'[1]NS Vendor Details'!$H:$H,'G&amp;A Vendor x GL Analysis'!S$20,'[1]NS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Analysis'!S$20,'[1]NS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T134" s="17">
        <f>IF(AND(T$15="Actual",ISBLANK($E$8)),SUMIFS('[1]NS Vendor Details'!$D:$D,'[1]NS Vendor Details'!$H:$H,'G&amp;A Vendor x GL Analysis'!T$20,'[1]NS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Analysis'!T$20,'[1]NS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Analysis'!$E134),IF(T$15="Actual",SUMIFS('[1]NS Vendor Details'!$D:$D,'[1]NS Vendor Details'!$H:$H,'G&amp;A Vendor x GL Analysis'!T$20,'[1]NS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Analysis'!T$20,'[1]NS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U134" s="17">
        <f>IF(AND(U$15="Actual",ISBLANK($E$8)),SUMIFS('[1]NS Vendor Details'!$D:$D,'[1]NS Vendor Details'!$H:$H,'G&amp;A Vendor x GL Analysis'!U$20,'[1]NS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Analysis'!U$20,'[1]NS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Analysis'!$E134),IF(U$15="Actual",SUMIFS('[1]NS Vendor Details'!$D:$D,'[1]NS Vendor Details'!$H:$H,'G&amp;A Vendor x GL Analysis'!U$20,'[1]NS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Analysis'!U$20,'[1]NS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V134" s="17">
        <f>IF(AND(V$15="Actual",ISBLANK($E$8)),SUMIFS('[1]NS Vendor Details'!$D:$D,'[1]NS Vendor Details'!$H:$H,'G&amp;A Vendor x GL Analysis'!V$20,'[1]NS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Analysis'!V$20,'[1]NS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Analysis'!$E134),IF(V$15="Actual",SUMIFS('[1]NS Vendor Details'!$D:$D,'[1]NS Vendor Details'!$H:$H,'G&amp;A Vendor x GL Analysis'!V$20,'[1]NS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Analysis'!V$20,'[1]NS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W134" s="17">
        <f>IF(AND(W$15="Actual",ISBLANK($E$8)),SUMIFS('[1]NS Vendor Details'!$D:$D,'[1]NS Vendor Details'!$H:$H,'G&amp;A Vendor x GL Analysis'!W$20,'[1]NS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Analysis'!W$20,'[1]NS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Analysis'!$E134),IF(W$15="Actual",SUMIFS('[1]NS Vendor Details'!$D:$D,'[1]NS Vendor Details'!$H:$H,'G&amp;A Vendor x GL Analysis'!W$20,'[1]NS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Analysis'!W$20,'[1]NS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X134" s="17">
        <f>IF(AND(X$15="Actual",ISBLANK($E$8)),SUMIFS('[1]NS Vendor Details'!$D:$D,'[1]NS Vendor Details'!$H:$H,'G&amp;A Vendor x GL Analysis'!X$20,'[1]NS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Analysis'!X$20,'[1]NS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Analysis'!$E134),IF(X$15="Actual",SUMIFS('[1]NS Vendor Details'!$D:$D,'[1]NS Vendor Details'!$H:$H,'G&amp;A Vendor x GL Analysis'!X$20,'[1]NS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Analysis'!X$20,'[1]NS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Y134" s="17">
        <f>IF(AND(Y$15="Actual",ISBLANK($E$8)),SUMIFS('[1]NS Vendor Details'!$D:$D,'[1]NS Vendor Details'!$H:$H,'G&amp;A Vendor x GL Analysis'!Y$20,'[1]NS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Analysis'!Y$20,'[1]NS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Analysis'!$E134),IF(Y$15="Actual",SUMIFS('[1]NS Vendor Details'!$D:$D,'[1]NS Vendor Details'!$H:$H,'G&amp;A Vendor x GL Analysis'!Y$20,'[1]NS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Analysis'!Y$20,'[1]NS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Z134" s="17">
        <f>IF(AND(Z$15="Actual",ISBLANK($E$8)),SUMIFS('[1]NS Vendor Details'!$D:$D,'[1]NS Vendor Details'!$H:$H,'G&amp;A Vendor x GL Analysis'!Z$20,'[1]NS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Analysis'!Z$20,'[1]NS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Analysis'!$E134),IF(Z$15="Actual",SUMIFS('[1]NS Vendor Details'!$D:$D,'[1]NS Vendor Details'!$H:$H,'G&amp;A Vendor x GL Analysis'!Z$20,'[1]NS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Analysis'!Z$20,'[1]NS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AA134" s="17">
        <f>IF(AND(AA$15="Actual",ISBLANK($E$8)),SUMIFS('[1]NS Vendor Details'!$D:$D,'[1]NS Vendor Details'!$H:$H,'G&amp;A Vendor x GL Analysis'!AA$20,'[1]NS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Analysis'!AA$20,'[1]NS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Analysis'!$E134),IF(AA$15="Actual",SUMIFS('[1]NS Vendor Details'!$D:$D,'[1]NS Vendor Details'!$H:$H,'G&amp;A Vendor x GL Analysis'!AA$20,'[1]NS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Analysis'!AA$20,'[1]NS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AB134" s="17">
        <f>IF(AND(AB$15="Actual",ISBLANK($E$8)),SUMIFS('[1]NS Vendor Details'!$D:$D,'[1]NS Vendor Details'!$H:$H,'G&amp;A Vendor x GL Analysis'!AB$20,'[1]NS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Analysis'!AB$20,'[1]NS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Analysis'!$E134),IF(AB$15="Actual",SUMIFS('[1]NS Vendor Details'!$D:$D,'[1]NS Vendor Details'!$H:$H,'G&amp;A Vendor x GL Analysis'!AB$20,'[1]NS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Analysis'!AB$20,'[1]NS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AC134" s="18">
        <f>IF(AND(AC$15="Actual",ISBLANK($E$8)),SUMIFS('[1]NS Vendor Details'!$D:$D,'[1]NS Vendor Details'!$H:$H,'G&amp;A Vendor x GL Analysis'!AC$20,'[1]NS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Analysis'!AC$20,'[1]NS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Analysis'!$E134),IF(AC$15="Actual",SUMIFS('[1]NS Vendor Details'!$D:$D,'[1]NS Vendor Details'!$H:$H,'G&amp;A Vendor x GL Analysis'!AC$20,'[1]NS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Analysis'!AC$20,'[1]NS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AD134" s="18">
        <f>IF(AND(AD$15="Actual",ISBLANK($E$8)),SUMIFS('[1]NS Vendor Details'!$D:$D,'[1]NS Vendor Details'!$H:$H,'G&amp;A Vendor x GL Analysis'!AD$20,'[1]NS Vendor Details'!$L:$L,'G&amp;A Vendor x GL Analysis'!$D134,'[1]NS Vendor Details'!$O:$O,'G&amp;A Vendor x GL Analysis'!$F134,'[1]NS Vendor Details'!$N:$N,'G&amp;A Vendor x GL Analysis'!$C134,'[1]NS Vendor Details'!$I:$I,'G&amp;A Vendor x GL Analysis'!$E134)+SUMIFS('[1]NS Vendor Details'!$D:$D,'[1]NS Vendor Details'!$H:$H,'G&amp;A Vendor x GL Analysis'!AD$20,'[1]NS Vendor Details'!$L:$L,'G&amp;A Vendor x GL Analysis'!$D134,'[1]NS Vendor Details'!$O:$O,'G&amp;A Vendor x GL Analysis'!$F134,'[1]NS Vendor Details'!$N:$N,"Direct Costs",'[1]NS Vendor Details'!$J:$J,0,'[1]NS Vendor Details'!$I:$I,'G&amp;A Vendor x GL Analysis'!$E134),IF(AD$15="Actual",SUMIFS('[1]NS Vendor Details'!$D:$D,'[1]NS Vendor Details'!$H:$H,'G&amp;A Vendor x GL Analysis'!AD$20,'[1]NS Vendor Details'!$L:$L,'G&amp;A Vendor x GL Analysis'!$D134,'[1]NS Vendor Details'!$O:$O,'G&amp;A Vendor x GL Analysis'!$F134,'[1]NS Vendor Details'!$N:$N,'G&amp;A Vendor x GL Analysis'!$C134,'[1]NS Vendor Details'!$K:$K,'G&amp;A Vendor x GL Analysis'!$E$8,'[1]NS Vendor Details'!$I:$I,'G&amp;A Vendor x GL Analysis'!$E134)+SUMIFS('[1]NS Vendor Details'!$D:$D,'[1]NS Vendor Details'!$H:$H,'G&amp;A Vendor x GL Analysis'!AD$20,'[1]NS Vendor Details'!$L:$L,'G&amp;A Vendor x GL Analysis'!$D134,'[1]NS Vendor Details'!$O:$O,'G&amp;A Vendor x GL Analysis'!$F134,'[1]NS Vendor Details'!$N:$N,"Direct Costs",'[1]NS Vendor Details'!$J:$J,0,'[1]NS Vendor Details'!$K:$K,'G&amp;A Vendor x GL Analysis'!$E$8,'[1]NS Vendor Details'!$I:$I,'G&amp;A Vendor x GL Analysis'!$E134),0))</f>
        <v>0</v>
      </c>
      <c r="AF134" s="19">
        <f t="shared" si="23"/>
        <v>0</v>
      </c>
    </row>
    <row r="135" spans="1:32" outlineLevel="1">
      <c r="A135" s="8" t="str">
        <f t="shared" si="22"/>
        <v>Professional Service6393 - Software</v>
      </c>
      <c r="C135" s="8" t="s">
        <v>11</v>
      </c>
      <c r="D135" s="8" t="str">
        <f t="shared" si="21"/>
        <v>Professional Service</v>
      </c>
      <c r="E135" s="2" t="s">
        <v>101</v>
      </c>
      <c r="F135" s="2" t="s">
        <v>127</v>
      </c>
      <c r="G135" s="16">
        <f>IF(AND(G$15="Actual",ISBLANK($E$8)),SUMIFS('[1]NS Vendor Details'!$D:$D,'[1]NS Vendor Details'!$H:$H,'G&amp;A Vendor x GL Analysis'!G$20,'[1]NS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Analysis'!G$20,'[1]NS Vendor Details'!$L:$L,'G&amp;A Vendor x GL Analysis'!$D135,'[1]NS Vendor Details'!$O:$O,'G&amp;A Vendor x GL Analysis'!$F135,'[1]NS Vendor Details'!$N:$N,"Direct Costs",'[1]NS Vendor Details'!$J:$J,0),IF(G$15="Actual",SUMIFS('[1]NS Vendor Details'!$D:$D,'[1]NS Vendor Details'!$H:$H,'G&amp;A Vendor x GL Analysis'!G$20,'[1]NS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Analysis'!G$20,'[1]NS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0</v>
      </c>
      <c r="H135" s="17">
        <f>IF(AND(H$15="Actual",ISBLANK($E$8)),SUMIFS('[1]NS Vendor Details'!$D:$D,'[1]NS Vendor Details'!$H:$H,'G&amp;A Vendor x GL Analysis'!H$20,'[1]NS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Analysis'!H$20,'[1]NS Vendor Details'!$L:$L,'G&amp;A Vendor x GL Analysis'!$D135,'[1]NS Vendor Details'!$O:$O,'G&amp;A Vendor x GL Analysis'!$F135,'[1]NS Vendor Details'!$N:$N,"Direct Costs",'[1]NS Vendor Details'!$J:$J,0),IF(H$15="Actual",SUMIFS('[1]NS Vendor Details'!$D:$D,'[1]NS Vendor Details'!$H:$H,'G&amp;A Vendor x GL Analysis'!H$20,'[1]NS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Analysis'!H$20,'[1]NS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0</v>
      </c>
      <c r="I135" s="17">
        <f>IF(AND(I$15="Actual",ISBLANK($E$8)),SUMIFS('[1]NS Vendor Details'!$D:$D,'[1]NS Vendor Details'!$H:$H,'G&amp;A Vendor x GL Analysis'!I$20,'[1]NS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Analysis'!I$20,'[1]NS Vendor Details'!$L:$L,'G&amp;A Vendor x GL Analysis'!$D135,'[1]NS Vendor Details'!$O:$O,'G&amp;A Vendor x GL Analysis'!$F135,'[1]NS Vendor Details'!$N:$N,"Direct Costs",'[1]NS Vendor Details'!$J:$J,0),IF(I$15="Actual",SUMIFS('[1]NS Vendor Details'!$D:$D,'[1]NS Vendor Details'!$H:$H,'G&amp;A Vendor x GL Analysis'!I$20,'[1]NS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Analysis'!I$20,'[1]NS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0</v>
      </c>
      <c r="J135" s="17">
        <f>IF(AND(J$15="Actual",ISBLANK($E$8)),SUMIFS('[1]NS Vendor Details'!$D:$D,'[1]NS Vendor Details'!$H:$H,'G&amp;A Vendor x GL Analysis'!J$20,'[1]NS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Analysis'!J$20,'[1]NS Vendor Details'!$L:$L,'G&amp;A Vendor x GL Analysis'!$D135,'[1]NS Vendor Details'!$O:$O,'G&amp;A Vendor x GL Analysis'!$F135,'[1]NS Vendor Details'!$N:$N,"Direct Costs",'[1]NS Vendor Details'!$J:$J,0),IF(J$15="Actual",SUMIFS('[1]NS Vendor Details'!$D:$D,'[1]NS Vendor Details'!$H:$H,'G&amp;A Vendor x GL Analysis'!J$20,'[1]NS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Analysis'!J$20,'[1]NS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0</v>
      </c>
      <c r="K135" s="17">
        <f>IF(AND(K$15="Actual",ISBLANK($E$8)),SUMIFS('[1]NS Vendor Details'!$D:$D,'[1]NS Vendor Details'!$H:$H,'G&amp;A Vendor x GL Analysis'!K$20,'[1]NS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Analysis'!K$20,'[1]NS Vendor Details'!$L:$L,'G&amp;A Vendor x GL Analysis'!$D135,'[1]NS Vendor Details'!$O:$O,'G&amp;A Vendor x GL Analysis'!$F135,'[1]NS Vendor Details'!$N:$N,"Direct Costs",'[1]NS Vendor Details'!$J:$J,0),IF(K$15="Actual",SUMIFS('[1]NS Vendor Details'!$D:$D,'[1]NS Vendor Details'!$H:$H,'G&amp;A Vendor x GL Analysis'!K$20,'[1]NS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Analysis'!K$20,'[1]NS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0</v>
      </c>
      <c r="L135" s="17">
        <f>IF(AND(L$15="Actual",ISBLANK($E$8)),SUMIFS('[1]NS Vendor Details'!$D:$D,'[1]NS Vendor Details'!$H:$H,'G&amp;A Vendor x GL Analysis'!L$20,'[1]NS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Analysis'!L$20,'[1]NS Vendor Details'!$L:$L,'G&amp;A Vendor x GL Analysis'!$D135,'[1]NS Vendor Details'!$O:$O,'G&amp;A Vendor x GL Analysis'!$F135,'[1]NS Vendor Details'!$N:$N,"Direct Costs",'[1]NS Vendor Details'!$J:$J,0),IF(L$15="Actual",SUMIFS('[1]NS Vendor Details'!$D:$D,'[1]NS Vendor Details'!$H:$H,'G&amp;A Vendor x GL Analysis'!L$20,'[1]NS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Analysis'!L$20,'[1]NS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2198.19</v>
      </c>
      <c r="M135" s="17">
        <f>IF(AND(M$15="Actual",ISBLANK($E$8)),SUMIFS('[1]NS Vendor Details'!$D:$D,'[1]NS Vendor Details'!$H:$H,'G&amp;A Vendor x GL Analysis'!M$20,'[1]NS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Analysis'!M$20,'[1]NS Vendor Details'!$L:$L,'G&amp;A Vendor x GL Analysis'!$D135,'[1]NS Vendor Details'!$O:$O,'G&amp;A Vendor x GL Analysis'!$F135,'[1]NS Vendor Details'!$N:$N,"Direct Costs",'[1]NS Vendor Details'!$J:$J,0),IF(M$15="Actual",SUMIFS('[1]NS Vendor Details'!$D:$D,'[1]NS Vendor Details'!$H:$H,'G&amp;A Vendor x GL Analysis'!M$20,'[1]NS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Analysis'!M$20,'[1]NS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2198.19</v>
      </c>
      <c r="N135" s="17">
        <f>IF(AND(N$15="Actual",ISBLANK($E$8)),SUMIFS('[1]NS Vendor Details'!$D:$D,'[1]NS Vendor Details'!$H:$H,'G&amp;A Vendor x GL Analysis'!N$20,'[1]NS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Analysis'!N$20,'[1]NS Vendor Details'!$L:$L,'G&amp;A Vendor x GL Analysis'!$D135,'[1]NS Vendor Details'!$O:$O,'G&amp;A Vendor x GL Analysis'!$F135,'[1]NS Vendor Details'!$N:$N,"Direct Costs",'[1]NS Vendor Details'!$J:$J,0),IF(N$15="Actual",SUMIFS('[1]NS Vendor Details'!$D:$D,'[1]NS Vendor Details'!$H:$H,'G&amp;A Vendor x GL Analysis'!N$20,'[1]NS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Analysis'!N$20,'[1]NS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2198.19</v>
      </c>
      <c r="O135" s="17">
        <f>IF(AND(O$15="Actual",ISBLANK($E$8)),SUMIFS('[1]NS Vendor Details'!$D:$D,'[1]NS Vendor Details'!$H:$H,'G&amp;A Vendor x GL Analysis'!O$20,'[1]NS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Analysis'!O$20,'[1]NS Vendor Details'!$L:$L,'G&amp;A Vendor x GL Analysis'!$D135,'[1]NS Vendor Details'!$O:$O,'G&amp;A Vendor x GL Analysis'!$F135,'[1]NS Vendor Details'!$N:$N,"Direct Costs",'[1]NS Vendor Details'!$J:$J,0),IF(O$15="Actual",SUMIFS('[1]NS Vendor Details'!$D:$D,'[1]NS Vendor Details'!$H:$H,'G&amp;A Vendor x GL Analysis'!O$20,'[1]NS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Analysis'!O$20,'[1]NS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2198.19</v>
      </c>
      <c r="P135" s="17">
        <f>IF(AND(P$15="Actual",ISBLANK($E$8)),SUMIFS('[1]NS Vendor Details'!$D:$D,'[1]NS Vendor Details'!$H:$H,'G&amp;A Vendor x GL Analysis'!P$20,'[1]NS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Analysis'!P$20,'[1]NS Vendor Details'!$L:$L,'G&amp;A Vendor x GL Analysis'!$D135,'[1]NS Vendor Details'!$O:$O,'G&amp;A Vendor x GL Analysis'!$F135,'[1]NS Vendor Details'!$N:$N,"Direct Costs",'[1]NS Vendor Details'!$J:$J,0),IF(P$15="Actual",SUMIFS('[1]NS Vendor Details'!$D:$D,'[1]NS Vendor Details'!$H:$H,'G&amp;A Vendor x GL Analysis'!P$20,'[1]NS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Analysis'!P$20,'[1]NS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2198.19</v>
      </c>
      <c r="Q135" s="17">
        <f>IF(AND(Q$15="Actual",ISBLANK($E$8)),SUMIFS('[1]NS Vendor Details'!$D:$D,'[1]NS Vendor Details'!$H:$H,'G&amp;A Vendor x GL Analysis'!Q$20,'[1]NS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Analysis'!Q$20,'[1]NS Vendor Details'!$L:$L,'G&amp;A Vendor x GL Analysis'!$D135,'[1]NS Vendor Details'!$O:$O,'G&amp;A Vendor x GL Analysis'!$F135,'[1]NS Vendor Details'!$N:$N,"Direct Costs",'[1]NS Vendor Details'!$J:$J,0),IF(Q$15="Actual",SUMIFS('[1]NS Vendor Details'!$D:$D,'[1]NS Vendor Details'!$H:$H,'G&amp;A Vendor x GL Analysis'!Q$20,'[1]NS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Analysis'!Q$20,'[1]NS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3037.19</v>
      </c>
      <c r="R135" s="18">
        <f>IF(AND(R$15="Actual",ISBLANK($E$8)),SUMIFS('[1]NS Vendor Details'!$D:$D,'[1]NS Vendor Details'!$H:$H,'G&amp;A Vendor x GL Analysis'!R$20,'[1]NS Vendor Details'!$L:$L,'G&amp;A Vendor x GL Analysis'!$D135,'[1]NS Vendor Details'!$O:$O,'G&amp;A Vendor x GL Analysis'!$F135,'[1]NS Vendor Details'!$N:$N,'G&amp;A Vendor x GL Analysis'!$C135)+SUMIFS('[1]NS Vendor Details'!$D:$D,'[1]NS Vendor Details'!$H:$H,'G&amp;A Vendor x GL Analysis'!R$20,'[1]NS Vendor Details'!$L:$L,'G&amp;A Vendor x GL Analysis'!$D135,'[1]NS Vendor Details'!$O:$O,'G&amp;A Vendor x GL Analysis'!$F135,'[1]NS Vendor Details'!$N:$N,"Direct Costs",'[1]NS Vendor Details'!$J:$J,0),IF(R$15="Actual",SUMIFS('[1]NS Vendor Details'!$D:$D,'[1]NS Vendor Details'!$H:$H,'G&amp;A Vendor x GL Analysis'!R$20,'[1]NS Vendor Details'!$L:$L,'G&amp;A Vendor x GL Analysis'!$D135,'[1]NS Vendor Details'!$O:$O,'G&amp;A Vendor x GL Analysis'!$F135,'[1]NS Vendor Details'!$N:$N,'G&amp;A Vendor x GL Analysis'!$C135,'[1]NS Vendor Details'!$K:$K,'G&amp;A Vendor x GL Analysis'!$E$8)+SUMIFS('[1]NS Vendor Details'!$D:$D,'[1]NS Vendor Details'!$H:$H,'G&amp;A Vendor x GL Analysis'!R$20,'[1]NS Vendor Details'!$L:$L,'G&amp;A Vendor x GL Analysis'!$D135,'[1]NS Vendor Details'!$O:$O,'G&amp;A Vendor x GL Analysis'!$F135,'[1]NS Vendor Details'!$N:$N,"Direct Costs",'[1]NS Vendor Details'!$J:$J,0,'[1]NS Vendor Details'!$K:$K,'G&amp;A Vendor x GL Analysis'!$E$8),0))</f>
        <v>3037.19</v>
      </c>
      <c r="S135" s="16">
        <f>IF(AND(S$15="Actual",ISBLANK($E$8)),SUMIFS('[1]NS Vendor Details'!$D:$D,'[1]NS Vendor Details'!$H:$H,'G&amp;A Vendor x GL Analysis'!S$20,'[1]NS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Analysis'!S$20,'[1]NS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Analysis'!$E135),IF(S$15="Actual",SUMIFS('[1]NS Vendor Details'!$D:$D,'[1]NS Vendor Details'!$H:$H,'G&amp;A Vendor x GL Analysis'!S$20,'[1]NS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Analysis'!S$20,'[1]NS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3037.19</v>
      </c>
      <c r="T135" s="17">
        <f>IF(AND(T$15="Actual",ISBLANK($E$8)),SUMIFS('[1]NS Vendor Details'!$D:$D,'[1]NS Vendor Details'!$H:$H,'G&amp;A Vendor x GL Analysis'!T$20,'[1]NS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Analysis'!T$20,'[1]NS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Analysis'!$E135),IF(T$15="Actual",SUMIFS('[1]NS Vendor Details'!$D:$D,'[1]NS Vendor Details'!$H:$H,'G&amp;A Vendor x GL Analysis'!T$20,'[1]NS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Analysis'!T$20,'[1]NS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3037.19</v>
      </c>
      <c r="U135" s="17">
        <f>IF(AND(U$15="Actual",ISBLANK($E$8)),SUMIFS('[1]NS Vendor Details'!$D:$D,'[1]NS Vendor Details'!$H:$H,'G&amp;A Vendor x GL Analysis'!U$20,'[1]NS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Analysis'!U$20,'[1]NS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Analysis'!$E135),IF(U$15="Actual",SUMIFS('[1]NS Vendor Details'!$D:$D,'[1]NS Vendor Details'!$H:$H,'G&amp;A Vendor x GL Analysis'!U$20,'[1]NS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Analysis'!U$20,'[1]NS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3876.19</v>
      </c>
      <c r="V135" s="17">
        <f>IF(AND(V$15="Actual",ISBLANK($E$8)),SUMIFS('[1]NS Vendor Details'!$D:$D,'[1]NS Vendor Details'!$H:$H,'G&amp;A Vendor x GL Analysis'!V$20,'[1]NS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Analysis'!V$20,'[1]NS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Analysis'!$E135),IF(V$15="Actual",SUMIFS('[1]NS Vendor Details'!$D:$D,'[1]NS Vendor Details'!$H:$H,'G&amp;A Vendor x GL Analysis'!V$20,'[1]NS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Analysis'!V$20,'[1]NS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3037.19</v>
      </c>
      <c r="W135" s="17">
        <f>IF(AND(W$15="Actual",ISBLANK($E$8)),SUMIFS('[1]NS Vendor Details'!$D:$D,'[1]NS Vendor Details'!$H:$H,'G&amp;A Vendor x GL Analysis'!W$20,'[1]NS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Analysis'!W$20,'[1]NS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Analysis'!$E135),IF(W$15="Actual",SUMIFS('[1]NS Vendor Details'!$D:$D,'[1]NS Vendor Details'!$H:$H,'G&amp;A Vendor x GL Analysis'!W$20,'[1]NS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Analysis'!W$20,'[1]NS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4501.2800000000007</v>
      </c>
      <c r="X135" s="17">
        <f>IF(AND(X$15="Actual",ISBLANK($E$8)),SUMIFS('[1]NS Vendor Details'!$D:$D,'[1]NS Vendor Details'!$H:$H,'G&amp;A Vendor x GL Analysis'!X$20,'[1]NS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Analysis'!X$20,'[1]NS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Analysis'!$E135),IF(X$15="Actual",SUMIFS('[1]NS Vendor Details'!$D:$D,'[1]NS Vendor Details'!$H:$H,'G&amp;A Vendor x GL Analysis'!X$20,'[1]NS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Analysis'!X$20,'[1]NS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4100</v>
      </c>
      <c r="Y135" s="17">
        <f>IF(AND(Y$15="Actual",ISBLANK($E$8)),SUMIFS('[1]NS Vendor Details'!$D:$D,'[1]NS Vendor Details'!$H:$H,'G&amp;A Vendor x GL Analysis'!Y$20,'[1]NS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Analysis'!Y$20,'[1]NS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Analysis'!$E135),IF(Y$15="Actual",SUMIFS('[1]NS Vendor Details'!$D:$D,'[1]NS Vendor Details'!$H:$H,'G&amp;A Vendor x GL Analysis'!Y$20,'[1]NS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Analysis'!Y$20,'[1]NS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4100</v>
      </c>
      <c r="Z135" s="17">
        <f>IF(AND(Z$15="Actual",ISBLANK($E$8)),SUMIFS('[1]NS Vendor Details'!$D:$D,'[1]NS Vendor Details'!$H:$H,'G&amp;A Vendor x GL Analysis'!Z$20,'[1]NS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Analysis'!Z$20,'[1]NS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Analysis'!$E135),IF(Z$15="Actual",SUMIFS('[1]NS Vendor Details'!$D:$D,'[1]NS Vendor Details'!$H:$H,'G&amp;A Vendor x GL Analysis'!Z$20,'[1]NS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Analysis'!Z$20,'[1]NS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4244.7700000000004</v>
      </c>
      <c r="AA135" s="17">
        <f>IF(AND(AA$15="Actual",ISBLANK($E$8)),SUMIFS('[1]NS Vendor Details'!$D:$D,'[1]NS Vendor Details'!$H:$H,'G&amp;A Vendor x GL Analysis'!AA$20,'[1]NS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Analysis'!AA$20,'[1]NS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Analysis'!$E135),IF(AA$15="Actual",SUMIFS('[1]NS Vendor Details'!$D:$D,'[1]NS Vendor Details'!$H:$H,'G&amp;A Vendor x GL Analysis'!AA$20,'[1]NS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Analysis'!AA$20,'[1]NS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0</v>
      </c>
      <c r="AB135" s="17">
        <f>IF(AND(AB$15="Actual",ISBLANK($E$8)),SUMIFS('[1]NS Vendor Details'!$D:$D,'[1]NS Vendor Details'!$H:$H,'G&amp;A Vendor x GL Analysis'!AB$20,'[1]NS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Analysis'!AB$20,'[1]NS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Analysis'!$E135),IF(AB$15="Actual",SUMIFS('[1]NS Vendor Details'!$D:$D,'[1]NS Vendor Details'!$H:$H,'G&amp;A Vendor x GL Analysis'!AB$20,'[1]NS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Analysis'!AB$20,'[1]NS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8296.51</v>
      </c>
      <c r="AC135" s="18">
        <f>IF(AND(AC$15="Actual",ISBLANK($E$8)),SUMIFS('[1]NS Vendor Details'!$D:$D,'[1]NS Vendor Details'!$H:$H,'G&amp;A Vendor x GL Analysis'!AC$20,'[1]NS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Analysis'!AC$20,'[1]NS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Analysis'!$E135),IF(AC$15="Actual",SUMIFS('[1]NS Vendor Details'!$D:$D,'[1]NS Vendor Details'!$H:$H,'G&amp;A Vendor x GL Analysis'!AC$20,'[1]NS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Analysis'!AC$20,'[1]NS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4148.26</v>
      </c>
      <c r="AD135" s="18">
        <f>IF(AND(AD$15="Actual",ISBLANK($E$8)),SUMIFS('[1]NS Vendor Details'!$D:$D,'[1]NS Vendor Details'!$H:$H,'G&amp;A Vendor x GL Analysis'!AD$20,'[1]NS Vendor Details'!$L:$L,'G&amp;A Vendor x GL Analysis'!$D135,'[1]NS Vendor Details'!$O:$O,'G&amp;A Vendor x GL Analysis'!$F135,'[1]NS Vendor Details'!$N:$N,'G&amp;A Vendor x GL Analysis'!$C135,'[1]NS Vendor Details'!$I:$I,'G&amp;A Vendor x GL Analysis'!$E135)+SUMIFS('[1]NS Vendor Details'!$D:$D,'[1]NS Vendor Details'!$H:$H,'G&amp;A Vendor x GL Analysis'!AD$20,'[1]NS Vendor Details'!$L:$L,'G&amp;A Vendor x GL Analysis'!$D135,'[1]NS Vendor Details'!$O:$O,'G&amp;A Vendor x GL Analysis'!$F135,'[1]NS Vendor Details'!$N:$N,"Direct Costs",'[1]NS Vendor Details'!$J:$J,0,'[1]NS Vendor Details'!$I:$I,'G&amp;A Vendor x GL Analysis'!$E135),IF(AD$15="Actual",SUMIFS('[1]NS Vendor Details'!$D:$D,'[1]NS Vendor Details'!$H:$H,'G&amp;A Vendor x GL Analysis'!AD$20,'[1]NS Vendor Details'!$L:$L,'G&amp;A Vendor x GL Analysis'!$D135,'[1]NS Vendor Details'!$O:$O,'G&amp;A Vendor x GL Analysis'!$F135,'[1]NS Vendor Details'!$N:$N,'G&amp;A Vendor x GL Analysis'!$C135,'[1]NS Vendor Details'!$K:$K,'G&amp;A Vendor x GL Analysis'!$E$8,'[1]NS Vendor Details'!$I:$I,'G&amp;A Vendor x GL Analysis'!$E135)+SUMIFS('[1]NS Vendor Details'!$D:$D,'[1]NS Vendor Details'!$H:$H,'G&amp;A Vendor x GL Analysis'!AD$20,'[1]NS Vendor Details'!$L:$L,'G&amp;A Vendor x GL Analysis'!$D135,'[1]NS Vendor Details'!$O:$O,'G&amp;A Vendor x GL Analysis'!$F135,'[1]NS Vendor Details'!$N:$N,"Direct Costs",'[1]NS Vendor Details'!$J:$J,0,'[1]NS Vendor Details'!$K:$K,'G&amp;A Vendor x GL Analysis'!$E$8,'[1]NS Vendor Details'!$I:$I,'G&amp;A Vendor x GL Analysis'!$E135),0))</f>
        <v>0</v>
      </c>
      <c r="AF135" s="19">
        <f t="shared" si="23"/>
        <v>42378.58</v>
      </c>
    </row>
    <row r="136" spans="1:32" outlineLevel="1">
      <c r="A136" s="8" t="str">
        <f t="shared" si="22"/>
        <v>Professional Service6393 - Software</v>
      </c>
      <c r="C136" s="8" t="s">
        <v>11</v>
      </c>
      <c r="D136" s="8" t="str">
        <f t="shared" si="21"/>
        <v>Professional Service</v>
      </c>
      <c r="E136" s="2" t="s">
        <v>101</v>
      </c>
      <c r="F136" s="2" t="s">
        <v>128</v>
      </c>
      <c r="G136" s="16">
        <f>IF(AND(G$15="Actual",ISBLANK($E$8)),SUMIFS('[1]NS Vendor Details'!$D:$D,'[1]NS Vendor Details'!$H:$H,'G&amp;A Vendor x GL Analysis'!G$20,'[1]NS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Analysis'!G$20,'[1]NS Vendor Details'!$L:$L,'G&amp;A Vendor x GL Analysis'!$D136,'[1]NS Vendor Details'!$O:$O,'G&amp;A Vendor x GL Analysis'!$F136,'[1]NS Vendor Details'!$N:$N,"Direct Costs",'[1]NS Vendor Details'!$J:$J,0),IF(G$15="Actual",SUMIFS('[1]NS Vendor Details'!$D:$D,'[1]NS Vendor Details'!$H:$H,'G&amp;A Vendor x GL Analysis'!G$20,'[1]NS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Analysis'!G$20,'[1]NS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H136" s="17">
        <f>IF(AND(H$15="Actual",ISBLANK($E$8)),SUMIFS('[1]NS Vendor Details'!$D:$D,'[1]NS Vendor Details'!$H:$H,'G&amp;A Vendor x GL Analysis'!H$20,'[1]NS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Analysis'!H$20,'[1]NS Vendor Details'!$L:$L,'G&amp;A Vendor x GL Analysis'!$D136,'[1]NS Vendor Details'!$O:$O,'G&amp;A Vendor x GL Analysis'!$F136,'[1]NS Vendor Details'!$N:$N,"Direct Costs",'[1]NS Vendor Details'!$J:$J,0),IF(H$15="Actual",SUMIFS('[1]NS Vendor Details'!$D:$D,'[1]NS Vendor Details'!$H:$H,'G&amp;A Vendor x GL Analysis'!H$20,'[1]NS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Analysis'!H$20,'[1]NS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I136" s="17">
        <f>IF(AND(I$15="Actual",ISBLANK($E$8)),SUMIFS('[1]NS Vendor Details'!$D:$D,'[1]NS Vendor Details'!$H:$H,'G&amp;A Vendor x GL Analysis'!I$20,'[1]NS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Analysis'!I$20,'[1]NS Vendor Details'!$L:$L,'G&amp;A Vendor x GL Analysis'!$D136,'[1]NS Vendor Details'!$O:$O,'G&amp;A Vendor x GL Analysis'!$F136,'[1]NS Vendor Details'!$N:$N,"Direct Costs",'[1]NS Vendor Details'!$J:$J,0),IF(I$15="Actual",SUMIFS('[1]NS Vendor Details'!$D:$D,'[1]NS Vendor Details'!$H:$H,'G&amp;A Vendor x GL Analysis'!I$20,'[1]NS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Analysis'!I$20,'[1]NS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J136" s="17">
        <f>IF(AND(J$15="Actual",ISBLANK($E$8)),SUMIFS('[1]NS Vendor Details'!$D:$D,'[1]NS Vendor Details'!$H:$H,'G&amp;A Vendor x GL Analysis'!J$20,'[1]NS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Analysis'!J$20,'[1]NS Vendor Details'!$L:$L,'G&amp;A Vendor x GL Analysis'!$D136,'[1]NS Vendor Details'!$O:$O,'G&amp;A Vendor x GL Analysis'!$F136,'[1]NS Vendor Details'!$N:$N,"Direct Costs",'[1]NS Vendor Details'!$J:$J,0),IF(J$15="Actual",SUMIFS('[1]NS Vendor Details'!$D:$D,'[1]NS Vendor Details'!$H:$H,'G&amp;A Vendor x GL Analysis'!J$20,'[1]NS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Analysis'!J$20,'[1]NS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K136" s="17">
        <f>IF(AND(K$15="Actual",ISBLANK($E$8)),SUMIFS('[1]NS Vendor Details'!$D:$D,'[1]NS Vendor Details'!$H:$H,'G&amp;A Vendor x GL Analysis'!K$20,'[1]NS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Analysis'!K$20,'[1]NS Vendor Details'!$L:$L,'G&amp;A Vendor x GL Analysis'!$D136,'[1]NS Vendor Details'!$O:$O,'G&amp;A Vendor x GL Analysis'!$F136,'[1]NS Vendor Details'!$N:$N,"Direct Costs",'[1]NS Vendor Details'!$J:$J,0),IF(K$15="Actual",SUMIFS('[1]NS Vendor Details'!$D:$D,'[1]NS Vendor Details'!$H:$H,'G&amp;A Vendor x GL Analysis'!K$20,'[1]NS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Analysis'!K$20,'[1]NS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L136" s="17">
        <f>IF(AND(L$15="Actual",ISBLANK($E$8)),SUMIFS('[1]NS Vendor Details'!$D:$D,'[1]NS Vendor Details'!$H:$H,'G&amp;A Vendor x GL Analysis'!L$20,'[1]NS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Analysis'!L$20,'[1]NS Vendor Details'!$L:$L,'G&amp;A Vendor x GL Analysis'!$D136,'[1]NS Vendor Details'!$O:$O,'G&amp;A Vendor x GL Analysis'!$F136,'[1]NS Vendor Details'!$N:$N,"Direct Costs",'[1]NS Vendor Details'!$J:$J,0),IF(L$15="Actual",SUMIFS('[1]NS Vendor Details'!$D:$D,'[1]NS Vendor Details'!$H:$H,'G&amp;A Vendor x GL Analysis'!L$20,'[1]NS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Analysis'!L$20,'[1]NS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M136" s="17">
        <f>IF(AND(M$15="Actual",ISBLANK($E$8)),SUMIFS('[1]NS Vendor Details'!$D:$D,'[1]NS Vendor Details'!$H:$H,'G&amp;A Vendor x GL Analysis'!M$20,'[1]NS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Analysis'!M$20,'[1]NS Vendor Details'!$L:$L,'G&amp;A Vendor x GL Analysis'!$D136,'[1]NS Vendor Details'!$O:$O,'G&amp;A Vendor x GL Analysis'!$F136,'[1]NS Vendor Details'!$N:$N,"Direct Costs",'[1]NS Vendor Details'!$J:$J,0),IF(M$15="Actual",SUMIFS('[1]NS Vendor Details'!$D:$D,'[1]NS Vendor Details'!$H:$H,'G&amp;A Vendor x GL Analysis'!M$20,'[1]NS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Analysis'!M$20,'[1]NS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N136" s="17">
        <f>IF(AND(N$15="Actual",ISBLANK($E$8)),SUMIFS('[1]NS Vendor Details'!$D:$D,'[1]NS Vendor Details'!$H:$H,'G&amp;A Vendor x GL Analysis'!N$20,'[1]NS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Analysis'!N$20,'[1]NS Vendor Details'!$L:$L,'G&amp;A Vendor x GL Analysis'!$D136,'[1]NS Vendor Details'!$O:$O,'G&amp;A Vendor x GL Analysis'!$F136,'[1]NS Vendor Details'!$N:$N,"Direct Costs",'[1]NS Vendor Details'!$J:$J,0),IF(N$15="Actual",SUMIFS('[1]NS Vendor Details'!$D:$D,'[1]NS Vendor Details'!$H:$H,'G&amp;A Vendor x GL Analysis'!N$20,'[1]NS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Analysis'!N$20,'[1]NS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O136" s="17">
        <f>IF(AND(O$15="Actual",ISBLANK($E$8)),SUMIFS('[1]NS Vendor Details'!$D:$D,'[1]NS Vendor Details'!$H:$H,'G&amp;A Vendor x GL Analysis'!O$20,'[1]NS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Analysis'!O$20,'[1]NS Vendor Details'!$L:$L,'G&amp;A Vendor x GL Analysis'!$D136,'[1]NS Vendor Details'!$O:$O,'G&amp;A Vendor x GL Analysis'!$F136,'[1]NS Vendor Details'!$N:$N,"Direct Costs",'[1]NS Vendor Details'!$J:$J,0),IF(O$15="Actual",SUMIFS('[1]NS Vendor Details'!$D:$D,'[1]NS Vendor Details'!$H:$H,'G&amp;A Vendor x GL Analysis'!O$20,'[1]NS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Analysis'!O$20,'[1]NS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P136" s="17">
        <f>IF(AND(P$15="Actual",ISBLANK($E$8)),SUMIFS('[1]NS Vendor Details'!$D:$D,'[1]NS Vendor Details'!$H:$H,'G&amp;A Vendor x GL Analysis'!P$20,'[1]NS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Analysis'!P$20,'[1]NS Vendor Details'!$L:$L,'G&amp;A Vendor x GL Analysis'!$D136,'[1]NS Vendor Details'!$O:$O,'G&amp;A Vendor x GL Analysis'!$F136,'[1]NS Vendor Details'!$N:$N,"Direct Costs",'[1]NS Vendor Details'!$J:$J,0),IF(P$15="Actual",SUMIFS('[1]NS Vendor Details'!$D:$D,'[1]NS Vendor Details'!$H:$H,'G&amp;A Vendor x GL Analysis'!P$20,'[1]NS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Analysis'!P$20,'[1]NS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Q136" s="17">
        <f>IF(AND(Q$15="Actual",ISBLANK($E$8)),SUMIFS('[1]NS Vendor Details'!$D:$D,'[1]NS Vendor Details'!$H:$H,'G&amp;A Vendor x GL Analysis'!Q$20,'[1]NS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Analysis'!Q$20,'[1]NS Vendor Details'!$L:$L,'G&amp;A Vendor x GL Analysis'!$D136,'[1]NS Vendor Details'!$O:$O,'G&amp;A Vendor x GL Analysis'!$F136,'[1]NS Vendor Details'!$N:$N,"Direct Costs",'[1]NS Vendor Details'!$J:$J,0),IF(Q$15="Actual",SUMIFS('[1]NS Vendor Details'!$D:$D,'[1]NS Vendor Details'!$H:$H,'G&amp;A Vendor x GL Analysis'!Q$20,'[1]NS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Analysis'!Q$20,'[1]NS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R136" s="18">
        <f>IF(AND(R$15="Actual",ISBLANK($E$8)),SUMIFS('[1]NS Vendor Details'!$D:$D,'[1]NS Vendor Details'!$H:$H,'G&amp;A Vendor x GL Analysis'!R$20,'[1]NS Vendor Details'!$L:$L,'G&amp;A Vendor x GL Analysis'!$D136,'[1]NS Vendor Details'!$O:$O,'G&amp;A Vendor x GL Analysis'!$F136,'[1]NS Vendor Details'!$N:$N,'G&amp;A Vendor x GL Analysis'!$C136)+SUMIFS('[1]NS Vendor Details'!$D:$D,'[1]NS Vendor Details'!$H:$H,'G&amp;A Vendor x GL Analysis'!R$20,'[1]NS Vendor Details'!$L:$L,'G&amp;A Vendor x GL Analysis'!$D136,'[1]NS Vendor Details'!$O:$O,'G&amp;A Vendor x GL Analysis'!$F136,'[1]NS Vendor Details'!$N:$N,"Direct Costs",'[1]NS Vendor Details'!$J:$J,0),IF(R$15="Actual",SUMIFS('[1]NS Vendor Details'!$D:$D,'[1]NS Vendor Details'!$H:$H,'G&amp;A Vendor x GL Analysis'!R$20,'[1]NS Vendor Details'!$L:$L,'G&amp;A Vendor x GL Analysis'!$D136,'[1]NS Vendor Details'!$O:$O,'G&amp;A Vendor x GL Analysis'!$F136,'[1]NS Vendor Details'!$N:$N,'G&amp;A Vendor x GL Analysis'!$C136,'[1]NS Vendor Details'!$K:$K,'G&amp;A Vendor x GL Analysis'!$E$8)+SUMIFS('[1]NS Vendor Details'!$D:$D,'[1]NS Vendor Details'!$H:$H,'G&amp;A Vendor x GL Analysis'!R$20,'[1]NS Vendor Details'!$L:$L,'G&amp;A Vendor x GL Analysis'!$D136,'[1]NS Vendor Details'!$O:$O,'G&amp;A Vendor x GL Analysis'!$F136,'[1]NS Vendor Details'!$N:$N,"Direct Costs",'[1]NS Vendor Details'!$J:$J,0,'[1]NS Vendor Details'!$K:$K,'G&amp;A Vendor x GL Analysis'!$E$8),0))</f>
        <v>0</v>
      </c>
      <c r="S136" s="16">
        <f>IF(AND(S$15="Actual",ISBLANK($E$8)),SUMIFS('[1]NS Vendor Details'!$D:$D,'[1]NS Vendor Details'!$H:$H,'G&amp;A Vendor x GL Analysis'!S$20,'[1]NS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Analysis'!S$20,'[1]NS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Analysis'!$E136),IF(S$15="Actual",SUMIFS('[1]NS Vendor Details'!$D:$D,'[1]NS Vendor Details'!$H:$H,'G&amp;A Vendor x GL Analysis'!S$20,'[1]NS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Analysis'!S$20,'[1]NS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T136" s="17">
        <f>IF(AND(T$15="Actual",ISBLANK($E$8)),SUMIFS('[1]NS Vendor Details'!$D:$D,'[1]NS Vendor Details'!$H:$H,'G&amp;A Vendor x GL Analysis'!T$20,'[1]NS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Analysis'!T$20,'[1]NS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Analysis'!$E136),IF(T$15="Actual",SUMIFS('[1]NS Vendor Details'!$D:$D,'[1]NS Vendor Details'!$H:$H,'G&amp;A Vendor x GL Analysis'!T$20,'[1]NS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Analysis'!T$20,'[1]NS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U136" s="17">
        <f>IF(AND(U$15="Actual",ISBLANK($E$8)),SUMIFS('[1]NS Vendor Details'!$D:$D,'[1]NS Vendor Details'!$H:$H,'G&amp;A Vendor x GL Analysis'!U$20,'[1]NS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Analysis'!U$20,'[1]NS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Analysis'!$E136),IF(U$15="Actual",SUMIFS('[1]NS Vendor Details'!$D:$D,'[1]NS Vendor Details'!$H:$H,'G&amp;A Vendor x GL Analysis'!U$20,'[1]NS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Analysis'!U$20,'[1]NS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16.989999999999998</v>
      </c>
      <c r="V136" s="17">
        <f>IF(AND(V$15="Actual",ISBLANK($E$8)),SUMIFS('[1]NS Vendor Details'!$D:$D,'[1]NS Vendor Details'!$H:$H,'G&amp;A Vendor x GL Analysis'!V$20,'[1]NS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Analysis'!V$20,'[1]NS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Analysis'!$E136),IF(V$15="Actual",SUMIFS('[1]NS Vendor Details'!$D:$D,'[1]NS Vendor Details'!$H:$H,'G&amp;A Vendor x GL Analysis'!V$20,'[1]NS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Analysis'!V$20,'[1]NS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16.989999999999998</v>
      </c>
      <c r="W136" s="17">
        <f>IF(AND(W$15="Actual",ISBLANK($E$8)),SUMIFS('[1]NS Vendor Details'!$D:$D,'[1]NS Vendor Details'!$H:$H,'G&amp;A Vendor x GL Analysis'!W$20,'[1]NS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Analysis'!W$20,'[1]NS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Analysis'!$E136),IF(W$15="Actual",SUMIFS('[1]NS Vendor Details'!$D:$D,'[1]NS Vendor Details'!$H:$H,'G&amp;A Vendor x GL Analysis'!W$20,'[1]NS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Analysis'!W$20,'[1]NS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X136" s="17">
        <f>IF(AND(X$15="Actual",ISBLANK($E$8)),SUMIFS('[1]NS Vendor Details'!$D:$D,'[1]NS Vendor Details'!$H:$H,'G&amp;A Vendor x GL Analysis'!X$20,'[1]NS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Analysis'!X$20,'[1]NS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Analysis'!$E136),IF(X$15="Actual",SUMIFS('[1]NS Vendor Details'!$D:$D,'[1]NS Vendor Details'!$H:$H,'G&amp;A Vendor x GL Analysis'!X$20,'[1]NS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Analysis'!X$20,'[1]NS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Y136" s="17">
        <f>IF(AND(Y$15="Actual",ISBLANK($E$8)),SUMIFS('[1]NS Vendor Details'!$D:$D,'[1]NS Vendor Details'!$H:$H,'G&amp;A Vendor x GL Analysis'!Y$20,'[1]NS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Analysis'!Y$20,'[1]NS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Analysis'!$E136),IF(Y$15="Actual",SUMIFS('[1]NS Vendor Details'!$D:$D,'[1]NS Vendor Details'!$H:$H,'G&amp;A Vendor x GL Analysis'!Y$20,'[1]NS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Analysis'!Y$20,'[1]NS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Z136" s="17">
        <f>IF(AND(Z$15="Actual",ISBLANK($E$8)),SUMIFS('[1]NS Vendor Details'!$D:$D,'[1]NS Vendor Details'!$H:$H,'G&amp;A Vendor x GL Analysis'!Z$20,'[1]NS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Analysis'!Z$20,'[1]NS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Analysis'!$E136),IF(Z$15="Actual",SUMIFS('[1]NS Vendor Details'!$D:$D,'[1]NS Vendor Details'!$H:$H,'G&amp;A Vendor x GL Analysis'!Z$20,'[1]NS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Analysis'!Z$20,'[1]NS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AA136" s="17">
        <f>IF(AND(AA$15="Actual",ISBLANK($E$8)),SUMIFS('[1]NS Vendor Details'!$D:$D,'[1]NS Vendor Details'!$H:$H,'G&amp;A Vendor x GL Analysis'!AA$20,'[1]NS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Analysis'!AA$20,'[1]NS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Analysis'!$E136),IF(AA$15="Actual",SUMIFS('[1]NS Vendor Details'!$D:$D,'[1]NS Vendor Details'!$H:$H,'G&amp;A Vendor x GL Analysis'!AA$20,'[1]NS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Analysis'!AA$20,'[1]NS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AB136" s="17">
        <f>IF(AND(AB$15="Actual",ISBLANK($E$8)),SUMIFS('[1]NS Vendor Details'!$D:$D,'[1]NS Vendor Details'!$H:$H,'G&amp;A Vendor x GL Analysis'!AB$20,'[1]NS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Analysis'!AB$20,'[1]NS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Analysis'!$E136),IF(AB$15="Actual",SUMIFS('[1]NS Vendor Details'!$D:$D,'[1]NS Vendor Details'!$H:$H,'G&amp;A Vendor x GL Analysis'!AB$20,'[1]NS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Analysis'!AB$20,'[1]NS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AC136" s="18">
        <f>IF(AND(AC$15="Actual",ISBLANK($E$8)),SUMIFS('[1]NS Vendor Details'!$D:$D,'[1]NS Vendor Details'!$H:$H,'G&amp;A Vendor x GL Analysis'!AC$20,'[1]NS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Analysis'!AC$20,'[1]NS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Analysis'!$E136),IF(AC$15="Actual",SUMIFS('[1]NS Vendor Details'!$D:$D,'[1]NS Vendor Details'!$H:$H,'G&amp;A Vendor x GL Analysis'!AC$20,'[1]NS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Analysis'!AC$20,'[1]NS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AD136" s="18">
        <f>IF(AND(AD$15="Actual",ISBLANK($E$8)),SUMIFS('[1]NS Vendor Details'!$D:$D,'[1]NS Vendor Details'!$H:$H,'G&amp;A Vendor x GL Analysis'!AD$20,'[1]NS Vendor Details'!$L:$L,'G&amp;A Vendor x GL Analysis'!$D136,'[1]NS Vendor Details'!$O:$O,'G&amp;A Vendor x GL Analysis'!$F136,'[1]NS Vendor Details'!$N:$N,'G&amp;A Vendor x GL Analysis'!$C136,'[1]NS Vendor Details'!$I:$I,'G&amp;A Vendor x GL Analysis'!$E136)+SUMIFS('[1]NS Vendor Details'!$D:$D,'[1]NS Vendor Details'!$H:$H,'G&amp;A Vendor x GL Analysis'!AD$20,'[1]NS Vendor Details'!$L:$L,'G&amp;A Vendor x GL Analysis'!$D136,'[1]NS Vendor Details'!$O:$O,'G&amp;A Vendor x GL Analysis'!$F136,'[1]NS Vendor Details'!$N:$N,"Direct Costs",'[1]NS Vendor Details'!$J:$J,0,'[1]NS Vendor Details'!$I:$I,'G&amp;A Vendor x GL Analysis'!$E136),IF(AD$15="Actual",SUMIFS('[1]NS Vendor Details'!$D:$D,'[1]NS Vendor Details'!$H:$H,'G&amp;A Vendor x GL Analysis'!AD$20,'[1]NS Vendor Details'!$L:$L,'G&amp;A Vendor x GL Analysis'!$D136,'[1]NS Vendor Details'!$O:$O,'G&amp;A Vendor x GL Analysis'!$F136,'[1]NS Vendor Details'!$N:$N,'G&amp;A Vendor x GL Analysis'!$C136,'[1]NS Vendor Details'!$K:$K,'G&amp;A Vendor x GL Analysis'!$E$8,'[1]NS Vendor Details'!$I:$I,'G&amp;A Vendor x GL Analysis'!$E136)+SUMIFS('[1]NS Vendor Details'!$D:$D,'[1]NS Vendor Details'!$H:$H,'G&amp;A Vendor x GL Analysis'!AD$20,'[1]NS Vendor Details'!$L:$L,'G&amp;A Vendor x GL Analysis'!$D136,'[1]NS Vendor Details'!$O:$O,'G&amp;A Vendor x GL Analysis'!$F136,'[1]NS Vendor Details'!$N:$N,"Direct Costs",'[1]NS Vendor Details'!$J:$J,0,'[1]NS Vendor Details'!$K:$K,'G&amp;A Vendor x GL Analysis'!$E$8,'[1]NS Vendor Details'!$I:$I,'G&amp;A Vendor x GL Analysis'!$E136),0))</f>
        <v>0</v>
      </c>
      <c r="AF136" s="19">
        <f t="shared" si="23"/>
        <v>33.979999999999997</v>
      </c>
    </row>
    <row r="137" spans="1:32" outlineLevel="1">
      <c r="A137" s="8" t="str">
        <f t="shared" si="22"/>
        <v>Professional Service6393 - Software</v>
      </c>
      <c r="C137" s="8" t="s">
        <v>11</v>
      </c>
      <c r="D137" s="8" t="str">
        <f t="shared" si="21"/>
        <v>Professional Service</v>
      </c>
      <c r="E137" s="2" t="s">
        <v>101</v>
      </c>
      <c r="F137" s="2" t="s">
        <v>129</v>
      </c>
      <c r="G137" s="16">
        <f>IF(AND(G$15="Actual",ISBLANK($E$8)),SUMIFS('[1]NS Vendor Details'!$D:$D,'[1]NS Vendor Details'!$H:$H,'G&amp;A Vendor x GL Analysis'!G$20,'[1]NS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Analysis'!G$20,'[1]NS Vendor Details'!$L:$L,'G&amp;A Vendor x GL Analysis'!$D137,'[1]NS Vendor Details'!$O:$O,'G&amp;A Vendor x GL Analysis'!$F137,'[1]NS Vendor Details'!$N:$N,"Direct Costs",'[1]NS Vendor Details'!$J:$J,0),IF(G$15="Actual",SUMIFS('[1]NS Vendor Details'!$D:$D,'[1]NS Vendor Details'!$H:$H,'G&amp;A Vendor x GL Analysis'!G$20,'[1]NS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Analysis'!G$20,'[1]NS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H137" s="17">
        <f>IF(AND(H$15="Actual",ISBLANK($E$8)),SUMIFS('[1]NS Vendor Details'!$D:$D,'[1]NS Vendor Details'!$H:$H,'G&amp;A Vendor x GL Analysis'!H$20,'[1]NS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Analysis'!H$20,'[1]NS Vendor Details'!$L:$L,'G&amp;A Vendor x GL Analysis'!$D137,'[1]NS Vendor Details'!$O:$O,'G&amp;A Vendor x GL Analysis'!$F137,'[1]NS Vendor Details'!$N:$N,"Direct Costs",'[1]NS Vendor Details'!$J:$J,0),IF(H$15="Actual",SUMIFS('[1]NS Vendor Details'!$D:$D,'[1]NS Vendor Details'!$H:$H,'G&amp;A Vendor x GL Analysis'!H$20,'[1]NS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Analysis'!H$20,'[1]NS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I137" s="17">
        <f>IF(AND(I$15="Actual",ISBLANK($E$8)),SUMIFS('[1]NS Vendor Details'!$D:$D,'[1]NS Vendor Details'!$H:$H,'G&amp;A Vendor x GL Analysis'!I$20,'[1]NS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Analysis'!I$20,'[1]NS Vendor Details'!$L:$L,'G&amp;A Vendor x GL Analysis'!$D137,'[1]NS Vendor Details'!$O:$O,'G&amp;A Vendor x GL Analysis'!$F137,'[1]NS Vendor Details'!$N:$N,"Direct Costs",'[1]NS Vendor Details'!$J:$J,0),IF(I$15="Actual",SUMIFS('[1]NS Vendor Details'!$D:$D,'[1]NS Vendor Details'!$H:$H,'G&amp;A Vendor x GL Analysis'!I$20,'[1]NS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Analysis'!I$20,'[1]NS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J137" s="17">
        <f>IF(AND(J$15="Actual",ISBLANK($E$8)),SUMIFS('[1]NS Vendor Details'!$D:$D,'[1]NS Vendor Details'!$H:$H,'G&amp;A Vendor x GL Analysis'!J$20,'[1]NS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Analysis'!J$20,'[1]NS Vendor Details'!$L:$L,'G&amp;A Vendor x GL Analysis'!$D137,'[1]NS Vendor Details'!$O:$O,'G&amp;A Vendor x GL Analysis'!$F137,'[1]NS Vendor Details'!$N:$N,"Direct Costs",'[1]NS Vendor Details'!$J:$J,0),IF(J$15="Actual",SUMIFS('[1]NS Vendor Details'!$D:$D,'[1]NS Vendor Details'!$H:$H,'G&amp;A Vendor x GL Analysis'!J$20,'[1]NS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Analysis'!J$20,'[1]NS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K137" s="17">
        <f>IF(AND(K$15="Actual",ISBLANK($E$8)),SUMIFS('[1]NS Vendor Details'!$D:$D,'[1]NS Vendor Details'!$H:$H,'G&amp;A Vendor x GL Analysis'!K$20,'[1]NS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Analysis'!K$20,'[1]NS Vendor Details'!$L:$L,'G&amp;A Vendor x GL Analysis'!$D137,'[1]NS Vendor Details'!$O:$O,'G&amp;A Vendor x GL Analysis'!$F137,'[1]NS Vendor Details'!$N:$N,"Direct Costs",'[1]NS Vendor Details'!$J:$J,0),IF(K$15="Actual",SUMIFS('[1]NS Vendor Details'!$D:$D,'[1]NS Vendor Details'!$H:$H,'G&amp;A Vendor x GL Analysis'!K$20,'[1]NS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Analysis'!K$20,'[1]NS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L137" s="17">
        <f>IF(AND(L$15="Actual",ISBLANK($E$8)),SUMIFS('[1]NS Vendor Details'!$D:$D,'[1]NS Vendor Details'!$H:$H,'G&amp;A Vendor x GL Analysis'!L$20,'[1]NS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Analysis'!L$20,'[1]NS Vendor Details'!$L:$L,'G&amp;A Vendor x GL Analysis'!$D137,'[1]NS Vendor Details'!$O:$O,'G&amp;A Vendor x GL Analysis'!$F137,'[1]NS Vendor Details'!$N:$N,"Direct Costs",'[1]NS Vendor Details'!$J:$J,0),IF(L$15="Actual",SUMIFS('[1]NS Vendor Details'!$D:$D,'[1]NS Vendor Details'!$H:$H,'G&amp;A Vendor x GL Analysis'!L$20,'[1]NS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Analysis'!L$20,'[1]NS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M137" s="17">
        <f>IF(AND(M$15="Actual",ISBLANK($E$8)),SUMIFS('[1]NS Vendor Details'!$D:$D,'[1]NS Vendor Details'!$H:$H,'G&amp;A Vendor x GL Analysis'!M$20,'[1]NS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Analysis'!M$20,'[1]NS Vendor Details'!$L:$L,'G&amp;A Vendor x GL Analysis'!$D137,'[1]NS Vendor Details'!$O:$O,'G&amp;A Vendor x GL Analysis'!$F137,'[1]NS Vendor Details'!$N:$N,"Direct Costs",'[1]NS Vendor Details'!$J:$J,0),IF(M$15="Actual",SUMIFS('[1]NS Vendor Details'!$D:$D,'[1]NS Vendor Details'!$H:$H,'G&amp;A Vendor x GL Analysis'!M$20,'[1]NS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Analysis'!M$20,'[1]NS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N137" s="17">
        <f>IF(AND(N$15="Actual",ISBLANK($E$8)),SUMIFS('[1]NS Vendor Details'!$D:$D,'[1]NS Vendor Details'!$H:$H,'G&amp;A Vendor x GL Analysis'!N$20,'[1]NS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Analysis'!N$20,'[1]NS Vendor Details'!$L:$L,'G&amp;A Vendor x GL Analysis'!$D137,'[1]NS Vendor Details'!$O:$O,'G&amp;A Vendor x GL Analysis'!$F137,'[1]NS Vendor Details'!$N:$N,"Direct Costs",'[1]NS Vendor Details'!$J:$J,0),IF(N$15="Actual",SUMIFS('[1]NS Vendor Details'!$D:$D,'[1]NS Vendor Details'!$H:$H,'G&amp;A Vendor x GL Analysis'!N$20,'[1]NS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Analysis'!N$20,'[1]NS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O137" s="17">
        <f>IF(AND(O$15="Actual",ISBLANK($E$8)),SUMIFS('[1]NS Vendor Details'!$D:$D,'[1]NS Vendor Details'!$H:$H,'G&amp;A Vendor x GL Analysis'!O$20,'[1]NS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Analysis'!O$20,'[1]NS Vendor Details'!$L:$L,'G&amp;A Vendor x GL Analysis'!$D137,'[1]NS Vendor Details'!$O:$O,'G&amp;A Vendor x GL Analysis'!$F137,'[1]NS Vendor Details'!$N:$N,"Direct Costs",'[1]NS Vendor Details'!$J:$J,0),IF(O$15="Actual",SUMIFS('[1]NS Vendor Details'!$D:$D,'[1]NS Vendor Details'!$H:$H,'G&amp;A Vendor x GL Analysis'!O$20,'[1]NS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Analysis'!O$20,'[1]NS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P137" s="17">
        <f>IF(AND(P$15="Actual",ISBLANK($E$8)),SUMIFS('[1]NS Vendor Details'!$D:$D,'[1]NS Vendor Details'!$H:$H,'G&amp;A Vendor x GL Analysis'!P$20,'[1]NS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Analysis'!P$20,'[1]NS Vendor Details'!$L:$L,'G&amp;A Vendor x GL Analysis'!$D137,'[1]NS Vendor Details'!$O:$O,'G&amp;A Vendor x GL Analysis'!$F137,'[1]NS Vendor Details'!$N:$N,"Direct Costs",'[1]NS Vendor Details'!$J:$J,0),IF(P$15="Actual",SUMIFS('[1]NS Vendor Details'!$D:$D,'[1]NS Vendor Details'!$H:$H,'G&amp;A Vendor x GL Analysis'!P$20,'[1]NS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Analysis'!P$20,'[1]NS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Q137" s="17">
        <f>IF(AND(Q$15="Actual",ISBLANK($E$8)),SUMIFS('[1]NS Vendor Details'!$D:$D,'[1]NS Vendor Details'!$H:$H,'G&amp;A Vendor x GL Analysis'!Q$20,'[1]NS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Analysis'!Q$20,'[1]NS Vendor Details'!$L:$L,'G&amp;A Vendor x GL Analysis'!$D137,'[1]NS Vendor Details'!$O:$O,'G&amp;A Vendor x GL Analysis'!$F137,'[1]NS Vendor Details'!$N:$N,"Direct Costs",'[1]NS Vendor Details'!$J:$J,0),IF(Q$15="Actual",SUMIFS('[1]NS Vendor Details'!$D:$D,'[1]NS Vendor Details'!$H:$H,'G&amp;A Vendor x GL Analysis'!Q$20,'[1]NS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Analysis'!Q$20,'[1]NS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R137" s="18">
        <f>IF(AND(R$15="Actual",ISBLANK($E$8)),SUMIFS('[1]NS Vendor Details'!$D:$D,'[1]NS Vendor Details'!$H:$H,'G&amp;A Vendor x GL Analysis'!R$20,'[1]NS Vendor Details'!$L:$L,'G&amp;A Vendor x GL Analysis'!$D137,'[1]NS Vendor Details'!$O:$O,'G&amp;A Vendor x GL Analysis'!$F137,'[1]NS Vendor Details'!$N:$N,'G&amp;A Vendor x GL Analysis'!$C137)+SUMIFS('[1]NS Vendor Details'!$D:$D,'[1]NS Vendor Details'!$H:$H,'G&amp;A Vendor x GL Analysis'!R$20,'[1]NS Vendor Details'!$L:$L,'G&amp;A Vendor x GL Analysis'!$D137,'[1]NS Vendor Details'!$O:$O,'G&amp;A Vendor x GL Analysis'!$F137,'[1]NS Vendor Details'!$N:$N,"Direct Costs",'[1]NS Vendor Details'!$J:$J,0),IF(R$15="Actual",SUMIFS('[1]NS Vendor Details'!$D:$D,'[1]NS Vendor Details'!$H:$H,'G&amp;A Vendor x GL Analysis'!R$20,'[1]NS Vendor Details'!$L:$L,'G&amp;A Vendor x GL Analysis'!$D137,'[1]NS Vendor Details'!$O:$O,'G&amp;A Vendor x GL Analysis'!$F137,'[1]NS Vendor Details'!$N:$N,'G&amp;A Vendor x GL Analysis'!$C137,'[1]NS Vendor Details'!$K:$K,'G&amp;A Vendor x GL Analysis'!$E$8)+SUMIFS('[1]NS Vendor Details'!$D:$D,'[1]NS Vendor Details'!$H:$H,'G&amp;A Vendor x GL Analysis'!R$20,'[1]NS Vendor Details'!$L:$L,'G&amp;A Vendor x GL Analysis'!$D137,'[1]NS Vendor Details'!$O:$O,'G&amp;A Vendor x GL Analysis'!$F137,'[1]NS Vendor Details'!$N:$N,"Direct Costs",'[1]NS Vendor Details'!$J:$J,0,'[1]NS Vendor Details'!$K:$K,'G&amp;A Vendor x GL Analysis'!$E$8),0))</f>
        <v>0</v>
      </c>
      <c r="S137" s="16">
        <f>IF(AND(S$15="Actual",ISBLANK($E$8)),SUMIFS('[1]NS Vendor Details'!$D:$D,'[1]NS Vendor Details'!$H:$H,'G&amp;A Vendor x GL Analysis'!S$20,'[1]NS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Analysis'!S$20,'[1]NS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Analysis'!$E137),IF(S$15="Actual",SUMIFS('[1]NS Vendor Details'!$D:$D,'[1]NS Vendor Details'!$H:$H,'G&amp;A Vendor x GL Analysis'!S$20,'[1]NS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Analysis'!S$20,'[1]NS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89.99</v>
      </c>
      <c r="T137" s="17">
        <f>IF(AND(T$15="Actual",ISBLANK($E$8)),SUMIFS('[1]NS Vendor Details'!$D:$D,'[1]NS Vendor Details'!$H:$H,'G&amp;A Vendor x GL Analysis'!T$20,'[1]NS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Analysis'!T$20,'[1]NS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Analysis'!$E137),IF(T$15="Actual",SUMIFS('[1]NS Vendor Details'!$D:$D,'[1]NS Vendor Details'!$H:$H,'G&amp;A Vendor x GL Analysis'!T$20,'[1]NS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Analysis'!T$20,'[1]NS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U137" s="17">
        <f>IF(AND(U$15="Actual",ISBLANK($E$8)),SUMIFS('[1]NS Vendor Details'!$D:$D,'[1]NS Vendor Details'!$H:$H,'G&amp;A Vendor x GL Analysis'!U$20,'[1]NS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Analysis'!U$20,'[1]NS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Analysis'!$E137),IF(U$15="Actual",SUMIFS('[1]NS Vendor Details'!$D:$D,'[1]NS Vendor Details'!$H:$H,'G&amp;A Vendor x GL Analysis'!U$20,'[1]NS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Analysis'!U$20,'[1]NS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V137" s="17">
        <f>IF(AND(V$15="Actual",ISBLANK($E$8)),SUMIFS('[1]NS Vendor Details'!$D:$D,'[1]NS Vendor Details'!$H:$H,'G&amp;A Vendor x GL Analysis'!V$20,'[1]NS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Analysis'!V$20,'[1]NS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Analysis'!$E137),IF(V$15="Actual",SUMIFS('[1]NS Vendor Details'!$D:$D,'[1]NS Vendor Details'!$H:$H,'G&amp;A Vendor x GL Analysis'!V$20,'[1]NS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Analysis'!V$20,'[1]NS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W137" s="17">
        <f>IF(AND(W$15="Actual",ISBLANK($E$8)),SUMIFS('[1]NS Vendor Details'!$D:$D,'[1]NS Vendor Details'!$H:$H,'G&amp;A Vendor x GL Analysis'!W$20,'[1]NS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Analysis'!W$20,'[1]NS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Analysis'!$E137),IF(W$15="Actual",SUMIFS('[1]NS Vendor Details'!$D:$D,'[1]NS Vendor Details'!$H:$H,'G&amp;A Vendor x GL Analysis'!W$20,'[1]NS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Analysis'!W$20,'[1]NS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X137" s="17">
        <f>IF(AND(X$15="Actual",ISBLANK($E$8)),SUMIFS('[1]NS Vendor Details'!$D:$D,'[1]NS Vendor Details'!$H:$H,'G&amp;A Vendor x GL Analysis'!X$20,'[1]NS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Analysis'!X$20,'[1]NS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Analysis'!$E137),IF(X$15="Actual",SUMIFS('[1]NS Vendor Details'!$D:$D,'[1]NS Vendor Details'!$H:$H,'G&amp;A Vendor x GL Analysis'!X$20,'[1]NS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Analysis'!X$20,'[1]NS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Y137" s="17">
        <f>IF(AND(Y$15="Actual",ISBLANK($E$8)),SUMIFS('[1]NS Vendor Details'!$D:$D,'[1]NS Vendor Details'!$H:$H,'G&amp;A Vendor x GL Analysis'!Y$20,'[1]NS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Analysis'!Y$20,'[1]NS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Analysis'!$E137),IF(Y$15="Actual",SUMIFS('[1]NS Vendor Details'!$D:$D,'[1]NS Vendor Details'!$H:$H,'G&amp;A Vendor x GL Analysis'!Y$20,'[1]NS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Analysis'!Y$20,'[1]NS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Z137" s="17">
        <f>IF(AND(Z$15="Actual",ISBLANK($E$8)),SUMIFS('[1]NS Vendor Details'!$D:$D,'[1]NS Vendor Details'!$H:$H,'G&amp;A Vendor x GL Analysis'!Z$20,'[1]NS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Analysis'!Z$20,'[1]NS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Analysis'!$E137),IF(Z$15="Actual",SUMIFS('[1]NS Vendor Details'!$D:$D,'[1]NS Vendor Details'!$H:$H,'G&amp;A Vendor x GL Analysis'!Z$20,'[1]NS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Analysis'!Z$20,'[1]NS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AA137" s="17">
        <f>IF(AND(AA$15="Actual",ISBLANK($E$8)),SUMIFS('[1]NS Vendor Details'!$D:$D,'[1]NS Vendor Details'!$H:$H,'G&amp;A Vendor x GL Analysis'!AA$20,'[1]NS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Analysis'!AA$20,'[1]NS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Analysis'!$E137),IF(AA$15="Actual",SUMIFS('[1]NS Vendor Details'!$D:$D,'[1]NS Vendor Details'!$H:$H,'G&amp;A Vendor x GL Analysis'!AA$20,'[1]NS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Analysis'!AA$20,'[1]NS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AB137" s="17">
        <f>IF(AND(AB$15="Actual",ISBLANK($E$8)),SUMIFS('[1]NS Vendor Details'!$D:$D,'[1]NS Vendor Details'!$H:$H,'G&amp;A Vendor x GL Analysis'!AB$20,'[1]NS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Analysis'!AB$20,'[1]NS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Analysis'!$E137),IF(AB$15="Actual",SUMIFS('[1]NS Vendor Details'!$D:$D,'[1]NS Vendor Details'!$H:$H,'G&amp;A Vendor x GL Analysis'!AB$20,'[1]NS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Analysis'!AB$20,'[1]NS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AC137" s="18">
        <f>IF(AND(AC$15="Actual",ISBLANK($E$8)),SUMIFS('[1]NS Vendor Details'!$D:$D,'[1]NS Vendor Details'!$H:$H,'G&amp;A Vendor x GL Analysis'!AC$20,'[1]NS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Analysis'!AC$20,'[1]NS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Analysis'!$E137),IF(AC$15="Actual",SUMIFS('[1]NS Vendor Details'!$D:$D,'[1]NS Vendor Details'!$H:$H,'G&amp;A Vendor x GL Analysis'!AC$20,'[1]NS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Analysis'!AC$20,'[1]NS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AD137" s="18">
        <f>IF(AND(AD$15="Actual",ISBLANK($E$8)),SUMIFS('[1]NS Vendor Details'!$D:$D,'[1]NS Vendor Details'!$H:$H,'G&amp;A Vendor x GL Analysis'!AD$20,'[1]NS Vendor Details'!$L:$L,'G&amp;A Vendor x GL Analysis'!$D137,'[1]NS Vendor Details'!$O:$O,'G&amp;A Vendor x GL Analysis'!$F137,'[1]NS Vendor Details'!$N:$N,'G&amp;A Vendor x GL Analysis'!$C137,'[1]NS Vendor Details'!$I:$I,'G&amp;A Vendor x GL Analysis'!$E137)+SUMIFS('[1]NS Vendor Details'!$D:$D,'[1]NS Vendor Details'!$H:$H,'G&amp;A Vendor x GL Analysis'!AD$20,'[1]NS Vendor Details'!$L:$L,'G&amp;A Vendor x GL Analysis'!$D137,'[1]NS Vendor Details'!$O:$O,'G&amp;A Vendor x GL Analysis'!$F137,'[1]NS Vendor Details'!$N:$N,"Direct Costs",'[1]NS Vendor Details'!$J:$J,0,'[1]NS Vendor Details'!$I:$I,'G&amp;A Vendor x GL Analysis'!$E137),IF(AD$15="Actual",SUMIFS('[1]NS Vendor Details'!$D:$D,'[1]NS Vendor Details'!$H:$H,'G&amp;A Vendor x GL Analysis'!AD$20,'[1]NS Vendor Details'!$L:$L,'G&amp;A Vendor x GL Analysis'!$D137,'[1]NS Vendor Details'!$O:$O,'G&amp;A Vendor x GL Analysis'!$F137,'[1]NS Vendor Details'!$N:$N,'G&amp;A Vendor x GL Analysis'!$C137,'[1]NS Vendor Details'!$K:$K,'G&amp;A Vendor x GL Analysis'!$E$8,'[1]NS Vendor Details'!$I:$I,'G&amp;A Vendor x GL Analysis'!$E137)+SUMIFS('[1]NS Vendor Details'!$D:$D,'[1]NS Vendor Details'!$H:$H,'G&amp;A Vendor x GL Analysis'!AD$20,'[1]NS Vendor Details'!$L:$L,'G&amp;A Vendor x GL Analysis'!$D137,'[1]NS Vendor Details'!$O:$O,'G&amp;A Vendor x GL Analysis'!$F137,'[1]NS Vendor Details'!$N:$N,"Direct Costs",'[1]NS Vendor Details'!$J:$J,0,'[1]NS Vendor Details'!$K:$K,'G&amp;A Vendor x GL Analysis'!$E$8,'[1]NS Vendor Details'!$I:$I,'G&amp;A Vendor x GL Analysis'!$E137),0))</f>
        <v>0</v>
      </c>
      <c r="AF137" s="19">
        <f t="shared" si="23"/>
        <v>89.99</v>
      </c>
    </row>
    <row r="138" spans="1:32" outlineLevel="1">
      <c r="A138" s="8" t="str">
        <f t="shared" si="22"/>
        <v>Professional Service6393 - Software</v>
      </c>
      <c r="C138" s="8" t="s">
        <v>11</v>
      </c>
      <c r="D138" s="8" t="str">
        <f t="shared" si="21"/>
        <v>Professional Service</v>
      </c>
      <c r="E138" s="2" t="s">
        <v>101</v>
      </c>
      <c r="F138" s="2" t="s">
        <v>130</v>
      </c>
      <c r="G138" s="16">
        <f>IF(AND(G$15="Actual",ISBLANK($E$8)),SUMIFS('[1]NS Vendor Details'!$D:$D,'[1]NS Vendor Details'!$H:$H,'G&amp;A Vendor x GL Analysis'!G$20,'[1]NS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Analysis'!G$20,'[1]NS Vendor Details'!$L:$L,'G&amp;A Vendor x GL Analysis'!$D138,'[1]NS Vendor Details'!$O:$O,'G&amp;A Vendor x GL Analysis'!$F138,'[1]NS Vendor Details'!$N:$N,"Direct Costs",'[1]NS Vendor Details'!$J:$J,0),IF(G$15="Actual",SUMIFS('[1]NS Vendor Details'!$D:$D,'[1]NS Vendor Details'!$H:$H,'G&amp;A Vendor x GL Analysis'!G$20,'[1]NS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Analysis'!G$20,'[1]NS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H138" s="17">
        <f>IF(AND(H$15="Actual",ISBLANK($E$8)),SUMIFS('[1]NS Vendor Details'!$D:$D,'[1]NS Vendor Details'!$H:$H,'G&amp;A Vendor x GL Analysis'!H$20,'[1]NS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Analysis'!H$20,'[1]NS Vendor Details'!$L:$L,'G&amp;A Vendor x GL Analysis'!$D138,'[1]NS Vendor Details'!$O:$O,'G&amp;A Vendor x GL Analysis'!$F138,'[1]NS Vendor Details'!$N:$N,"Direct Costs",'[1]NS Vendor Details'!$J:$J,0),IF(H$15="Actual",SUMIFS('[1]NS Vendor Details'!$D:$D,'[1]NS Vendor Details'!$H:$H,'G&amp;A Vendor x GL Analysis'!H$20,'[1]NS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Analysis'!H$20,'[1]NS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I138" s="17">
        <f>IF(AND(I$15="Actual",ISBLANK($E$8)),SUMIFS('[1]NS Vendor Details'!$D:$D,'[1]NS Vendor Details'!$H:$H,'G&amp;A Vendor x GL Analysis'!I$20,'[1]NS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Analysis'!I$20,'[1]NS Vendor Details'!$L:$L,'G&amp;A Vendor x GL Analysis'!$D138,'[1]NS Vendor Details'!$O:$O,'G&amp;A Vendor x GL Analysis'!$F138,'[1]NS Vendor Details'!$N:$N,"Direct Costs",'[1]NS Vendor Details'!$J:$J,0),IF(I$15="Actual",SUMIFS('[1]NS Vendor Details'!$D:$D,'[1]NS Vendor Details'!$H:$H,'G&amp;A Vendor x GL Analysis'!I$20,'[1]NS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Analysis'!I$20,'[1]NS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J138" s="17">
        <f>IF(AND(J$15="Actual",ISBLANK($E$8)),SUMIFS('[1]NS Vendor Details'!$D:$D,'[1]NS Vendor Details'!$H:$H,'G&amp;A Vendor x GL Analysis'!J$20,'[1]NS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Analysis'!J$20,'[1]NS Vendor Details'!$L:$L,'G&amp;A Vendor x GL Analysis'!$D138,'[1]NS Vendor Details'!$O:$O,'G&amp;A Vendor x GL Analysis'!$F138,'[1]NS Vendor Details'!$N:$N,"Direct Costs",'[1]NS Vendor Details'!$J:$J,0),IF(J$15="Actual",SUMIFS('[1]NS Vendor Details'!$D:$D,'[1]NS Vendor Details'!$H:$H,'G&amp;A Vendor x GL Analysis'!J$20,'[1]NS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Analysis'!J$20,'[1]NS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K138" s="17">
        <f>IF(AND(K$15="Actual",ISBLANK($E$8)),SUMIFS('[1]NS Vendor Details'!$D:$D,'[1]NS Vendor Details'!$H:$H,'G&amp;A Vendor x GL Analysis'!K$20,'[1]NS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Analysis'!K$20,'[1]NS Vendor Details'!$L:$L,'G&amp;A Vendor x GL Analysis'!$D138,'[1]NS Vendor Details'!$O:$O,'G&amp;A Vendor x GL Analysis'!$F138,'[1]NS Vendor Details'!$N:$N,"Direct Costs",'[1]NS Vendor Details'!$J:$J,0),IF(K$15="Actual",SUMIFS('[1]NS Vendor Details'!$D:$D,'[1]NS Vendor Details'!$H:$H,'G&amp;A Vendor x GL Analysis'!K$20,'[1]NS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Analysis'!K$20,'[1]NS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L138" s="17">
        <f>IF(AND(L$15="Actual",ISBLANK($E$8)),SUMIFS('[1]NS Vendor Details'!$D:$D,'[1]NS Vendor Details'!$H:$H,'G&amp;A Vendor x GL Analysis'!L$20,'[1]NS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Analysis'!L$20,'[1]NS Vendor Details'!$L:$L,'G&amp;A Vendor x GL Analysis'!$D138,'[1]NS Vendor Details'!$O:$O,'G&amp;A Vendor x GL Analysis'!$F138,'[1]NS Vendor Details'!$N:$N,"Direct Costs",'[1]NS Vendor Details'!$J:$J,0),IF(L$15="Actual",SUMIFS('[1]NS Vendor Details'!$D:$D,'[1]NS Vendor Details'!$H:$H,'G&amp;A Vendor x GL Analysis'!L$20,'[1]NS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Analysis'!L$20,'[1]NS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M138" s="17">
        <f>IF(AND(M$15="Actual",ISBLANK($E$8)),SUMIFS('[1]NS Vendor Details'!$D:$D,'[1]NS Vendor Details'!$H:$H,'G&amp;A Vendor x GL Analysis'!M$20,'[1]NS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Analysis'!M$20,'[1]NS Vendor Details'!$L:$L,'G&amp;A Vendor x GL Analysis'!$D138,'[1]NS Vendor Details'!$O:$O,'G&amp;A Vendor x GL Analysis'!$F138,'[1]NS Vendor Details'!$N:$N,"Direct Costs",'[1]NS Vendor Details'!$J:$J,0),IF(M$15="Actual",SUMIFS('[1]NS Vendor Details'!$D:$D,'[1]NS Vendor Details'!$H:$H,'G&amp;A Vendor x GL Analysis'!M$20,'[1]NS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Analysis'!M$20,'[1]NS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N138" s="17">
        <f>IF(AND(N$15="Actual",ISBLANK($E$8)),SUMIFS('[1]NS Vendor Details'!$D:$D,'[1]NS Vendor Details'!$H:$H,'G&amp;A Vendor x GL Analysis'!N$20,'[1]NS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Analysis'!N$20,'[1]NS Vendor Details'!$L:$L,'G&amp;A Vendor x GL Analysis'!$D138,'[1]NS Vendor Details'!$O:$O,'G&amp;A Vendor x GL Analysis'!$F138,'[1]NS Vendor Details'!$N:$N,"Direct Costs",'[1]NS Vendor Details'!$J:$J,0),IF(N$15="Actual",SUMIFS('[1]NS Vendor Details'!$D:$D,'[1]NS Vendor Details'!$H:$H,'G&amp;A Vendor x GL Analysis'!N$20,'[1]NS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Analysis'!N$20,'[1]NS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O138" s="17">
        <f>IF(AND(O$15="Actual",ISBLANK($E$8)),SUMIFS('[1]NS Vendor Details'!$D:$D,'[1]NS Vendor Details'!$H:$H,'G&amp;A Vendor x GL Analysis'!O$20,'[1]NS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Analysis'!O$20,'[1]NS Vendor Details'!$L:$L,'G&amp;A Vendor x GL Analysis'!$D138,'[1]NS Vendor Details'!$O:$O,'G&amp;A Vendor x GL Analysis'!$F138,'[1]NS Vendor Details'!$N:$N,"Direct Costs",'[1]NS Vendor Details'!$J:$J,0),IF(O$15="Actual",SUMIFS('[1]NS Vendor Details'!$D:$D,'[1]NS Vendor Details'!$H:$H,'G&amp;A Vendor x GL Analysis'!O$20,'[1]NS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Analysis'!O$20,'[1]NS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P138" s="17">
        <f>IF(AND(P$15="Actual",ISBLANK($E$8)),SUMIFS('[1]NS Vendor Details'!$D:$D,'[1]NS Vendor Details'!$H:$H,'G&amp;A Vendor x GL Analysis'!P$20,'[1]NS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Analysis'!P$20,'[1]NS Vendor Details'!$L:$L,'G&amp;A Vendor x GL Analysis'!$D138,'[1]NS Vendor Details'!$O:$O,'G&amp;A Vendor x GL Analysis'!$F138,'[1]NS Vendor Details'!$N:$N,"Direct Costs",'[1]NS Vendor Details'!$J:$J,0),IF(P$15="Actual",SUMIFS('[1]NS Vendor Details'!$D:$D,'[1]NS Vendor Details'!$H:$H,'G&amp;A Vendor x GL Analysis'!P$20,'[1]NS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Analysis'!P$20,'[1]NS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Q138" s="17">
        <f>IF(AND(Q$15="Actual",ISBLANK($E$8)),SUMIFS('[1]NS Vendor Details'!$D:$D,'[1]NS Vendor Details'!$H:$H,'G&amp;A Vendor x GL Analysis'!Q$20,'[1]NS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Analysis'!Q$20,'[1]NS Vendor Details'!$L:$L,'G&amp;A Vendor x GL Analysis'!$D138,'[1]NS Vendor Details'!$O:$O,'G&amp;A Vendor x GL Analysis'!$F138,'[1]NS Vendor Details'!$N:$N,"Direct Costs",'[1]NS Vendor Details'!$J:$J,0),IF(Q$15="Actual",SUMIFS('[1]NS Vendor Details'!$D:$D,'[1]NS Vendor Details'!$H:$H,'G&amp;A Vendor x GL Analysis'!Q$20,'[1]NS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Analysis'!Q$20,'[1]NS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R138" s="18">
        <f>IF(AND(R$15="Actual",ISBLANK($E$8)),SUMIFS('[1]NS Vendor Details'!$D:$D,'[1]NS Vendor Details'!$H:$H,'G&amp;A Vendor x GL Analysis'!R$20,'[1]NS Vendor Details'!$L:$L,'G&amp;A Vendor x GL Analysis'!$D138,'[1]NS Vendor Details'!$O:$O,'G&amp;A Vendor x GL Analysis'!$F138,'[1]NS Vendor Details'!$N:$N,'G&amp;A Vendor x GL Analysis'!$C138)+SUMIFS('[1]NS Vendor Details'!$D:$D,'[1]NS Vendor Details'!$H:$H,'G&amp;A Vendor x GL Analysis'!R$20,'[1]NS Vendor Details'!$L:$L,'G&amp;A Vendor x GL Analysis'!$D138,'[1]NS Vendor Details'!$O:$O,'G&amp;A Vendor x GL Analysis'!$F138,'[1]NS Vendor Details'!$N:$N,"Direct Costs",'[1]NS Vendor Details'!$J:$J,0),IF(R$15="Actual",SUMIFS('[1]NS Vendor Details'!$D:$D,'[1]NS Vendor Details'!$H:$H,'G&amp;A Vendor x GL Analysis'!R$20,'[1]NS Vendor Details'!$L:$L,'G&amp;A Vendor x GL Analysis'!$D138,'[1]NS Vendor Details'!$O:$O,'G&amp;A Vendor x GL Analysis'!$F138,'[1]NS Vendor Details'!$N:$N,'G&amp;A Vendor x GL Analysis'!$C138,'[1]NS Vendor Details'!$K:$K,'G&amp;A Vendor x GL Analysis'!$E$8)+SUMIFS('[1]NS Vendor Details'!$D:$D,'[1]NS Vendor Details'!$H:$H,'G&amp;A Vendor x GL Analysis'!R$20,'[1]NS Vendor Details'!$L:$L,'G&amp;A Vendor x GL Analysis'!$D138,'[1]NS Vendor Details'!$O:$O,'G&amp;A Vendor x GL Analysis'!$F138,'[1]NS Vendor Details'!$N:$N,"Direct Costs",'[1]NS Vendor Details'!$J:$J,0,'[1]NS Vendor Details'!$K:$K,'G&amp;A Vendor x GL Analysis'!$E$8),0))</f>
        <v>0</v>
      </c>
      <c r="S138" s="16">
        <f>IF(AND(S$15="Actual",ISBLANK($E$8)),SUMIFS('[1]NS Vendor Details'!$D:$D,'[1]NS Vendor Details'!$H:$H,'G&amp;A Vendor x GL Analysis'!S$20,'[1]NS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Analysis'!S$20,'[1]NS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Analysis'!$E138),IF(S$15="Actual",SUMIFS('[1]NS Vendor Details'!$D:$D,'[1]NS Vendor Details'!$H:$H,'G&amp;A Vendor x GL Analysis'!S$20,'[1]NS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Analysis'!S$20,'[1]NS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T138" s="17">
        <f>IF(AND(T$15="Actual",ISBLANK($E$8)),SUMIFS('[1]NS Vendor Details'!$D:$D,'[1]NS Vendor Details'!$H:$H,'G&amp;A Vendor x GL Analysis'!T$20,'[1]NS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Analysis'!T$20,'[1]NS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Analysis'!$E138),IF(T$15="Actual",SUMIFS('[1]NS Vendor Details'!$D:$D,'[1]NS Vendor Details'!$H:$H,'G&amp;A Vendor x GL Analysis'!T$20,'[1]NS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Analysis'!T$20,'[1]NS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U138" s="17">
        <f>IF(AND(U$15="Actual",ISBLANK($E$8)),SUMIFS('[1]NS Vendor Details'!$D:$D,'[1]NS Vendor Details'!$H:$H,'G&amp;A Vendor x GL Analysis'!U$20,'[1]NS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Analysis'!U$20,'[1]NS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Analysis'!$E138),IF(U$15="Actual",SUMIFS('[1]NS Vendor Details'!$D:$D,'[1]NS Vendor Details'!$H:$H,'G&amp;A Vendor x GL Analysis'!U$20,'[1]NS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Analysis'!U$20,'[1]NS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V138" s="17">
        <f>IF(AND(V$15="Actual",ISBLANK($E$8)),SUMIFS('[1]NS Vendor Details'!$D:$D,'[1]NS Vendor Details'!$H:$H,'G&amp;A Vendor x GL Analysis'!V$20,'[1]NS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Analysis'!V$20,'[1]NS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Analysis'!$E138),IF(V$15="Actual",SUMIFS('[1]NS Vendor Details'!$D:$D,'[1]NS Vendor Details'!$H:$H,'G&amp;A Vendor x GL Analysis'!V$20,'[1]NS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Analysis'!V$20,'[1]NS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W138" s="17">
        <f>IF(AND(W$15="Actual",ISBLANK($E$8)),SUMIFS('[1]NS Vendor Details'!$D:$D,'[1]NS Vendor Details'!$H:$H,'G&amp;A Vendor x GL Analysis'!W$20,'[1]NS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Analysis'!W$20,'[1]NS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Analysis'!$E138),IF(W$15="Actual",SUMIFS('[1]NS Vendor Details'!$D:$D,'[1]NS Vendor Details'!$H:$H,'G&amp;A Vendor x GL Analysis'!W$20,'[1]NS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Analysis'!W$20,'[1]NS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X138" s="17">
        <f>IF(AND(X$15="Actual",ISBLANK($E$8)),SUMIFS('[1]NS Vendor Details'!$D:$D,'[1]NS Vendor Details'!$H:$H,'G&amp;A Vendor x GL Analysis'!X$20,'[1]NS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Analysis'!X$20,'[1]NS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Analysis'!$E138),IF(X$15="Actual",SUMIFS('[1]NS Vendor Details'!$D:$D,'[1]NS Vendor Details'!$H:$H,'G&amp;A Vendor x GL Analysis'!X$20,'[1]NS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Analysis'!X$20,'[1]NS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Y138" s="17">
        <f>IF(AND(Y$15="Actual",ISBLANK($E$8)),SUMIFS('[1]NS Vendor Details'!$D:$D,'[1]NS Vendor Details'!$H:$H,'G&amp;A Vendor x GL Analysis'!Y$20,'[1]NS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Analysis'!Y$20,'[1]NS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Analysis'!$E138),IF(Y$15="Actual",SUMIFS('[1]NS Vendor Details'!$D:$D,'[1]NS Vendor Details'!$H:$H,'G&amp;A Vendor x GL Analysis'!Y$20,'[1]NS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Analysis'!Y$20,'[1]NS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Z138" s="17">
        <f>IF(AND(Z$15="Actual",ISBLANK($E$8)),SUMIFS('[1]NS Vendor Details'!$D:$D,'[1]NS Vendor Details'!$H:$H,'G&amp;A Vendor x GL Analysis'!Z$20,'[1]NS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Analysis'!Z$20,'[1]NS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Analysis'!$E138),IF(Z$15="Actual",SUMIFS('[1]NS Vendor Details'!$D:$D,'[1]NS Vendor Details'!$H:$H,'G&amp;A Vendor x GL Analysis'!Z$20,'[1]NS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Analysis'!Z$20,'[1]NS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10000</v>
      </c>
      <c r="AA138" s="17">
        <f>IF(AND(AA$15="Actual",ISBLANK($E$8)),SUMIFS('[1]NS Vendor Details'!$D:$D,'[1]NS Vendor Details'!$H:$H,'G&amp;A Vendor x GL Analysis'!AA$20,'[1]NS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Analysis'!AA$20,'[1]NS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Analysis'!$E138),IF(AA$15="Actual",SUMIFS('[1]NS Vendor Details'!$D:$D,'[1]NS Vendor Details'!$H:$H,'G&amp;A Vendor x GL Analysis'!AA$20,'[1]NS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Analysis'!AA$20,'[1]NS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10000</v>
      </c>
      <c r="AB138" s="17">
        <f>IF(AND(AB$15="Actual",ISBLANK($E$8)),SUMIFS('[1]NS Vendor Details'!$D:$D,'[1]NS Vendor Details'!$H:$H,'G&amp;A Vendor x GL Analysis'!AB$20,'[1]NS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Analysis'!AB$20,'[1]NS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Analysis'!$E138),IF(AB$15="Actual",SUMIFS('[1]NS Vendor Details'!$D:$D,'[1]NS Vendor Details'!$H:$H,'G&amp;A Vendor x GL Analysis'!AB$20,'[1]NS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Analysis'!AB$20,'[1]NS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AC138" s="18">
        <f>IF(AND(AC$15="Actual",ISBLANK($E$8)),SUMIFS('[1]NS Vendor Details'!$D:$D,'[1]NS Vendor Details'!$H:$H,'G&amp;A Vendor x GL Analysis'!AC$20,'[1]NS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Analysis'!AC$20,'[1]NS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Analysis'!$E138),IF(AC$15="Actual",SUMIFS('[1]NS Vendor Details'!$D:$D,'[1]NS Vendor Details'!$H:$H,'G&amp;A Vendor x GL Analysis'!AC$20,'[1]NS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Analysis'!AC$20,'[1]NS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10000</v>
      </c>
      <c r="AD138" s="18">
        <f>IF(AND(AD$15="Actual",ISBLANK($E$8)),SUMIFS('[1]NS Vendor Details'!$D:$D,'[1]NS Vendor Details'!$H:$H,'G&amp;A Vendor x GL Analysis'!AD$20,'[1]NS Vendor Details'!$L:$L,'G&amp;A Vendor x GL Analysis'!$D138,'[1]NS Vendor Details'!$O:$O,'G&amp;A Vendor x GL Analysis'!$F138,'[1]NS Vendor Details'!$N:$N,'G&amp;A Vendor x GL Analysis'!$C138,'[1]NS Vendor Details'!$I:$I,'G&amp;A Vendor x GL Analysis'!$E138)+SUMIFS('[1]NS Vendor Details'!$D:$D,'[1]NS Vendor Details'!$H:$H,'G&amp;A Vendor x GL Analysis'!AD$20,'[1]NS Vendor Details'!$L:$L,'G&amp;A Vendor x GL Analysis'!$D138,'[1]NS Vendor Details'!$O:$O,'G&amp;A Vendor x GL Analysis'!$F138,'[1]NS Vendor Details'!$N:$N,"Direct Costs",'[1]NS Vendor Details'!$J:$J,0,'[1]NS Vendor Details'!$I:$I,'G&amp;A Vendor x GL Analysis'!$E138),IF(AD$15="Actual",SUMIFS('[1]NS Vendor Details'!$D:$D,'[1]NS Vendor Details'!$H:$H,'G&amp;A Vendor x GL Analysis'!AD$20,'[1]NS Vendor Details'!$L:$L,'G&amp;A Vendor x GL Analysis'!$D138,'[1]NS Vendor Details'!$O:$O,'G&amp;A Vendor x GL Analysis'!$F138,'[1]NS Vendor Details'!$N:$N,'G&amp;A Vendor x GL Analysis'!$C138,'[1]NS Vendor Details'!$K:$K,'G&amp;A Vendor x GL Analysis'!$E$8,'[1]NS Vendor Details'!$I:$I,'G&amp;A Vendor x GL Analysis'!$E138)+SUMIFS('[1]NS Vendor Details'!$D:$D,'[1]NS Vendor Details'!$H:$H,'G&amp;A Vendor x GL Analysis'!AD$20,'[1]NS Vendor Details'!$L:$L,'G&amp;A Vendor x GL Analysis'!$D138,'[1]NS Vendor Details'!$O:$O,'G&amp;A Vendor x GL Analysis'!$F138,'[1]NS Vendor Details'!$N:$N,"Direct Costs",'[1]NS Vendor Details'!$J:$J,0,'[1]NS Vendor Details'!$K:$K,'G&amp;A Vendor x GL Analysis'!$E$8,'[1]NS Vendor Details'!$I:$I,'G&amp;A Vendor x GL Analysis'!$E138),0))</f>
        <v>0</v>
      </c>
      <c r="AF138" s="19">
        <f t="shared" si="23"/>
        <v>30000</v>
      </c>
    </row>
    <row r="139" spans="1:32" outlineLevel="1">
      <c r="A139" s="8" t="str">
        <f t="shared" si="22"/>
        <v>Professional Service6393 - Software</v>
      </c>
      <c r="C139" s="8" t="s">
        <v>11</v>
      </c>
      <c r="D139" s="8" t="str">
        <f t="shared" si="21"/>
        <v>Professional Service</v>
      </c>
      <c r="E139" s="2" t="s">
        <v>101</v>
      </c>
      <c r="F139" s="2" t="s">
        <v>131</v>
      </c>
      <c r="G139" s="16">
        <f>IF(AND(G$15="Actual",ISBLANK($E$8)),SUMIFS('[1]NS Vendor Details'!$D:$D,'[1]NS Vendor Details'!$H:$H,'G&amp;A Vendor x GL Analysis'!G$20,'[1]NS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Analysis'!G$20,'[1]NS Vendor Details'!$L:$L,'G&amp;A Vendor x GL Analysis'!$D139,'[1]NS Vendor Details'!$O:$O,'G&amp;A Vendor x GL Analysis'!$F139,'[1]NS Vendor Details'!$N:$N,"Direct Costs",'[1]NS Vendor Details'!$J:$J,0),IF(G$15="Actual",SUMIFS('[1]NS Vendor Details'!$D:$D,'[1]NS Vendor Details'!$H:$H,'G&amp;A Vendor x GL Analysis'!G$20,'[1]NS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Analysis'!G$20,'[1]NS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H139" s="17">
        <f>IF(AND(H$15="Actual",ISBLANK($E$8)),SUMIFS('[1]NS Vendor Details'!$D:$D,'[1]NS Vendor Details'!$H:$H,'G&amp;A Vendor x GL Analysis'!H$20,'[1]NS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Analysis'!H$20,'[1]NS Vendor Details'!$L:$L,'G&amp;A Vendor x GL Analysis'!$D139,'[1]NS Vendor Details'!$O:$O,'G&amp;A Vendor x GL Analysis'!$F139,'[1]NS Vendor Details'!$N:$N,"Direct Costs",'[1]NS Vendor Details'!$J:$J,0),IF(H$15="Actual",SUMIFS('[1]NS Vendor Details'!$D:$D,'[1]NS Vendor Details'!$H:$H,'G&amp;A Vendor x GL Analysis'!H$20,'[1]NS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Analysis'!H$20,'[1]NS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I139" s="17">
        <f>IF(AND(I$15="Actual",ISBLANK($E$8)),SUMIFS('[1]NS Vendor Details'!$D:$D,'[1]NS Vendor Details'!$H:$H,'G&amp;A Vendor x GL Analysis'!I$20,'[1]NS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Analysis'!I$20,'[1]NS Vendor Details'!$L:$L,'G&amp;A Vendor x GL Analysis'!$D139,'[1]NS Vendor Details'!$O:$O,'G&amp;A Vendor x GL Analysis'!$F139,'[1]NS Vendor Details'!$N:$N,"Direct Costs",'[1]NS Vendor Details'!$J:$J,0),IF(I$15="Actual",SUMIFS('[1]NS Vendor Details'!$D:$D,'[1]NS Vendor Details'!$H:$H,'G&amp;A Vendor x GL Analysis'!I$20,'[1]NS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Analysis'!I$20,'[1]NS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J139" s="17">
        <f>IF(AND(J$15="Actual",ISBLANK($E$8)),SUMIFS('[1]NS Vendor Details'!$D:$D,'[1]NS Vendor Details'!$H:$H,'G&amp;A Vendor x GL Analysis'!J$20,'[1]NS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Analysis'!J$20,'[1]NS Vendor Details'!$L:$L,'G&amp;A Vendor x GL Analysis'!$D139,'[1]NS Vendor Details'!$O:$O,'G&amp;A Vendor x GL Analysis'!$F139,'[1]NS Vendor Details'!$N:$N,"Direct Costs",'[1]NS Vendor Details'!$J:$J,0),IF(J$15="Actual",SUMIFS('[1]NS Vendor Details'!$D:$D,'[1]NS Vendor Details'!$H:$H,'G&amp;A Vendor x GL Analysis'!J$20,'[1]NS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Analysis'!J$20,'[1]NS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K139" s="17">
        <f>IF(AND(K$15="Actual",ISBLANK($E$8)),SUMIFS('[1]NS Vendor Details'!$D:$D,'[1]NS Vendor Details'!$H:$H,'G&amp;A Vendor x GL Analysis'!K$20,'[1]NS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Analysis'!K$20,'[1]NS Vendor Details'!$L:$L,'G&amp;A Vendor x GL Analysis'!$D139,'[1]NS Vendor Details'!$O:$O,'G&amp;A Vendor x GL Analysis'!$F139,'[1]NS Vendor Details'!$N:$N,"Direct Costs",'[1]NS Vendor Details'!$J:$J,0),IF(K$15="Actual",SUMIFS('[1]NS Vendor Details'!$D:$D,'[1]NS Vendor Details'!$H:$H,'G&amp;A Vendor x GL Analysis'!K$20,'[1]NS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Analysis'!K$20,'[1]NS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115.61</v>
      </c>
      <c r="L139" s="17">
        <f>IF(AND(L$15="Actual",ISBLANK($E$8)),SUMIFS('[1]NS Vendor Details'!$D:$D,'[1]NS Vendor Details'!$H:$H,'G&amp;A Vendor x GL Analysis'!L$20,'[1]NS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Analysis'!L$20,'[1]NS Vendor Details'!$L:$L,'G&amp;A Vendor x GL Analysis'!$D139,'[1]NS Vendor Details'!$O:$O,'G&amp;A Vendor x GL Analysis'!$F139,'[1]NS Vendor Details'!$N:$N,"Direct Costs",'[1]NS Vendor Details'!$J:$J,0),IF(L$15="Actual",SUMIFS('[1]NS Vendor Details'!$D:$D,'[1]NS Vendor Details'!$H:$H,'G&amp;A Vendor x GL Analysis'!L$20,'[1]NS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Analysis'!L$20,'[1]NS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M139" s="17">
        <f>IF(AND(M$15="Actual",ISBLANK($E$8)),SUMIFS('[1]NS Vendor Details'!$D:$D,'[1]NS Vendor Details'!$H:$H,'G&amp;A Vendor x GL Analysis'!M$20,'[1]NS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Analysis'!M$20,'[1]NS Vendor Details'!$L:$L,'G&amp;A Vendor x GL Analysis'!$D139,'[1]NS Vendor Details'!$O:$O,'G&amp;A Vendor x GL Analysis'!$F139,'[1]NS Vendor Details'!$N:$N,"Direct Costs",'[1]NS Vendor Details'!$J:$J,0),IF(M$15="Actual",SUMIFS('[1]NS Vendor Details'!$D:$D,'[1]NS Vendor Details'!$H:$H,'G&amp;A Vendor x GL Analysis'!M$20,'[1]NS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Analysis'!M$20,'[1]NS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N139" s="17">
        <f>IF(AND(N$15="Actual",ISBLANK($E$8)),SUMIFS('[1]NS Vendor Details'!$D:$D,'[1]NS Vendor Details'!$H:$H,'G&amp;A Vendor x GL Analysis'!N$20,'[1]NS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Analysis'!N$20,'[1]NS Vendor Details'!$L:$L,'G&amp;A Vendor x GL Analysis'!$D139,'[1]NS Vendor Details'!$O:$O,'G&amp;A Vendor x GL Analysis'!$F139,'[1]NS Vendor Details'!$N:$N,"Direct Costs",'[1]NS Vendor Details'!$J:$J,0),IF(N$15="Actual",SUMIFS('[1]NS Vendor Details'!$D:$D,'[1]NS Vendor Details'!$H:$H,'G&amp;A Vendor x GL Analysis'!N$20,'[1]NS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Analysis'!N$20,'[1]NS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O139" s="17">
        <f>IF(AND(O$15="Actual",ISBLANK($E$8)),SUMIFS('[1]NS Vendor Details'!$D:$D,'[1]NS Vendor Details'!$H:$H,'G&amp;A Vendor x GL Analysis'!O$20,'[1]NS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Analysis'!O$20,'[1]NS Vendor Details'!$L:$L,'G&amp;A Vendor x GL Analysis'!$D139,'[1]NS Vendor Details'!$O:$O,'G&amp;A Vendor x GL Analysis'!$F139,'[1]NS Vendor Details'!$N:$N,"Direct Costs",'[1]NS Vendor Details'!$J:$J,0),IF(O$15="Actual",SUMIFS('[1]NS Vendor Details'!$D:$D,'[1]NS Vendor Details'!$H:$H,'G&amp;A Vendor x GL Analysis'!O$20,'[1]NS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Analysis'!O$20,'[1]NS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P139" s="17">
        <f>IF(AND(P$15="Actual",ISBLANK($E$8)),SUMIFS('[1]NS Vendor Details'!$D:$D,'[1]NS Vendor Details'!$H:$H,'G&amp;A Vendor x GL Analysis'!P$20,'[1]NS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Analysis'!P$20,'[1]NS Vendor Details'!$L:$L,'G&amp;A Vendor x GL Analysis'!$D139,'[1]NS Vendor Details'!$O:$O,'G&amp;A Vendor x GL Analysis'!$F139,'[1]NS Vendor Details'!$N:$N,"Direct Costs",'[1]NS Vendor Details'!$J:$J,0),IF(P$15="Actual",SUMIFS('[1]NS Vendor Details'!$D:$D,'[1]NS Vendor Details'!$H:$H,'G&amp;A Vendor x GL Analysis'!P$20,'[1]NS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Analysis'!P$20,'[1]NS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Q139" s="17">
        <f>IF(AND(Q$15="Actual",ISBLANK($E$8)),SUMIFS('[1]NS Vendor Details'!$D:$D,'[1]NS Vendor Details'!$H:$H,'G&amp;A Vendor x GL Analysis'!Q$20,'[1]NS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Analysis'!Q$20,'[1]NS Vendor Details'!$L:$L,'G&amp;A Vendor x GL Analysis'!$D139,'[1]NS Vendor Details'!$O:$O,'G&amp;A Vendor x GL Analysis'!$F139,'[1]NS Vendor Details'!$N:$N,"Direct Costs",'[1]NS Vendor Details'!$J:$J,0),IF(Q$15="Actual",SUMIFS('[1]NS Vendor Details'!$D:$D,'[1]NS Vendor Details'!$H:$H,'G&amp;A Vendor x GL Analysis'!Q$20,'[1]NS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Analysis'!Q$20,'[1]NS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R139" s="18">
        <f>IF(AND(R$15="Actual",ISBLANK($E$8)),SUMIFS('[1]NS Vendor Details'!$D:$D,'[1]NS Vendor Details'!$H:$H,'G&amp;A Vendor x GL Analysis'!R$20,'[1]NS Vendor Details'!$L:$L,'G&amp;A Vendor x GL Analysis'!$D139,'[1]NS Vendor Details'!$O:$O,'G&amp;A Vendor x GL Analysis'!$F139,'[1]NS Vendor Details'!$N:$N,'G&amp;A Vendor x GL Analysis'!$C139)+SUMIFS('[1]NS Vendor Details'!$D:$D,'[1]NS Vendor Details'!$H:$H,'G&amp;A Vendor x GL Analysis'!R$20,'[1]NS Vendor Details'!$L:$L,'G&amp;A Vendor x GL Analysis'!$D139,'[1]NS Vendor Details'!$O:$O,'G&amp;A Vendor x GL Analysis'!$F139,'[1]NS Vendor Details'!$N:$N,"Direct Costs",'[1]NS Vendor Details'!$J:$J,0),IF(R$15="Actual",SUMIFS('[1]NS Vendor Details'!$D:$D,'[1]NS Vendor Details'!$H:$H,'G&amp;A Vendor x GL Analysis'!R$20,'[1]NS Vendor Details'!$L:$L,'G&amp;A Vendor x GL Analysis'!$D139,'[1]NS Vendor Details'!$O:$O,'G&amp;A Vendor x GL Analysis'!$F139,'[1]NS Vendor Details'!$N:$N,'G&amp;A Vendor x GL Analysis'!$C139,'[1]NS Vendor Details'!$K:$K,'G&amp;A Vendor x GL Analysis'!$E$8)+SUMIFS('[1]NS Vendor Details'!$D:$D,'[1]NS Vendor Details'!$H:$H,'G&amp;A Vendor x GL Analysis'!R$20,'[1]NS Vendor Details'!$L:$L,'G&amp;A Vendor x GL Analysis'!$D139,'[1]NS Vendor Details'!$O:$O,'G&amp;A Vendor x GL Analysis'!$F139,'[1]NS Vendor Details'!$N:$N,"Direct Costs",'[1]NS Vendor Details'!$J:$J,0,'[1]NS Vendor Details'!$K:$K,'G&amp;A Vendor x GL Analysis'!$E$8),0))</f>
        <v>0</v>
      </c>
      <c r="S139" s="16">
        <f>IF(AND(S$15="Actual",ISBLANK($E$8)),SUMIFS('[1]NS Vendor Details'!$D:$D,'[1]NS Vendor Details'!$H:$H,'G&amp;A Vendor x GL Analysis'!S$20,'[1]NS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Analysis'!S$20,'[1]NS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Analysis'!$E139),IF(S$15="Actual",SUMIFS('[1]NS Vendor Details'!$D:$D,'[1]NS Vendor Details'!$H:$H,'G&amp;A Vendor x GL Analysis'!S$20,'[1]NS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Analysis'!S$20,'[1]NS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70.31</v>
      </c>
      <c r="T139" s="17">
        <f>IF(AND(T$15="Actual",ISBLANK($E$8)),SUMIFS('[1]NS Vendor Details'!$D:$D,'[1]NS Vendor Details'!$H:$H,'G&amp;A Vendor x GL Analysis'!T$20,'[1]NS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Analysis'!T$20,'[1]NS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Analysis'!$E139),IF(T$15="Actual",SUMIFS('[1]NS Vendor Details'!$D:$D,'[1]NS Vendor Details'!$H:$H,'G&amp;A Vendor x GL Analysis'!T$20,'[1]NS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Analysis'!T$20,'[1]NS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0</v>
      </c>
      <c r="U139" s="17">
        <f>IF(AND(U$15="Actual",ISBLANK($E$8)),SUMIFS('[1]NS Vendor Details'!$D:$D,'[1]NS Vendor Details'!$H:$H,'G&amp;A Vendor x GL Analysis'!U$20,'[1]NS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Analysis'!U$20,'[1]NS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Analysis'!$E139),IF(U$15="Actual",SUMIFS('[1]NS Vendor Details'!$D:$D,'[1]NS Vendor Details'!$H:$H,'G&amp;A Vendor x GL Analysis'!U$20,'[1]NS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Analysis'!U$20,'[1]NS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0</v>
      </c>
      <c r="V139" s="17">
        <f>IF(AND(V$15="Actual",ISBLANK($E$8)),SUMIFS('[1]NS Vendor Details'!$D:$D,'[1]NS Vendor Details'!$H:$H,'G&amp;A Vendor x GL Analysis'!V$20,'[1]NS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Analysis'!V$20,'[1]NS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Analysis'!$E139),IF(V$15="Actual",SUMIFS('[1]NS Vendor Details'!$D:$D,'[1]NS Vendor Details'!$H:$H,'G&amp;A Vendor x GL Analysis'!V$20,'[1]NS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Analysis'!V$20,'[1]NS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0</v>
      </c>
      <c r="W139" s="17">
        <f>IF(AND(W$15="Actual",ISBLANK($E$8)),SUMIFS('[1]NS Vendor Details'!$D:$D,'[1]NS Vendor Details'!$H:$H,'G&amp;A Vendor x GL Analysis'!W$20,'[1]NS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Analysis'!W$20,'[1]NS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Analysis'!$E139),IF(W$15="Actual",SUMIFS('[1]NS Vendor Details'!$D:$D,'[1]NS Vendor Details'!$H:$H,'G&amp;A Vendor x GL Analysis'!W$20,'[1]NS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Analysis'!W$20,'[1]NS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75.849999999999994</v>
      </c>
      <c r="X139" s="17">
        <f>IF(AND(X$15="Actual",ISBLANK($E$8)),SUMIFS('[1]NS Vendor Details'!$D:$D,'[1]NS Vendor Details'!$H:$H,'G&amp;A Vendor x GL Analysis'!X$20,'[1]NS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Analysis'!X$20,'[1]NS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Analysis'!$E139),IF(X$15="Actual",SUMIFS('[1]NS Vendor Details'!$D:$D,'[1]NS Vendor Details'!$H:$H,'G&amp;A Vendor x GL Analysis'!X$20,'[1]NS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Analysis'!X$20,'[1]NS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76.2</v>
      </c>
      <c r="Y139" s="17">
        <f>IF(AND(Y$15="Actual",ISBLANK($E$8)),SUMIFS('[1]NS Vendor Details'!$D:$D,'[1]NS Vendor Details'!$H:$H,'G&amp;A Vendor x GL Analysis'!Y$20,'[1]NS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Analysis'!Y$20,'[1]NS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Analysis'!$E139),IF(Y$15="Actual",SUMIFS('[1]NS Vendor Details'!$D:$D,'[1]NS Vendor Details'!$H:$H,'G&amp;A Vendor x GL Analysis'!Y$20,'[1]NS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Analysis'!Y$20,'[1]NS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0</v>
      </c>
      <c r="Z139" s="17">
        <f>IF(AND(Z$15="Actual",ISBLANK($E$8)),SUMIFS('[1]NS Vendor Details'!$D:$D,'[1]NS Vendor Details'!$H:$H,'G&amp;A Vendor x GL Analysis'!Z$20,'[1]NS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Analysis'!Z$20,'[1]NS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Analysis'!$E139),IF(Z$15="Actual",SUMIFS('[1]NS Vendor Details'!$D:$D,'[1]NS Vendor Details'!$H:$H,'G&amp;A Vendor x GL Analysis'!Z$20,'[1]NS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Analysis'!Z$20,'[1]NS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0</v>
      </c>
      <c r="AA139" s="17">
        <f>IF(AND(AA$15="Actual",ISBLANK($E$8)),SUMIFS('[1]NS Vendor Details'!$D:$D,'[1]NS Vendor Details'!$H:$H,'G&amp;A Vendor x GL Analysis'!AA$20,'[1]NS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Analysis'!AA$20,'[1]NS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Analysis'!$E139),IF(AA$15="Actual",SUMIFS('[1]NS Vendor Details'!$D:$D,'[1]NS Vendor Details'!$H:$H,'G&amp;A Vendor x GL Analysis'!AA$20,'[1]NS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Analysis'!AA$20,'[1]NS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76.27</v>
      </c>
      <c r="AB139" s="17">
        <f>IF(AND(AB$15="Actual",ISBLANK($E$8)),SUMIFS('[1]NS Vendor Details'!$D:$D,'[1]NS Vendor Details'!$H:$H,'G&amp;A Vendor x GL Analysis'!AB$20,'[1]NS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Analysis'!AB$20,'[1]NS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Analysis'!$E139),IF(AB$15="Actual",SUMIFS('[1]NS Vendor Details'!$D:$D,'[1]NS Vendor Details'!$H:$H,'G&amp;A Vendor x GL Analysis'!AB$20,'[1]NS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Analysis'!AB$20,'[1]NS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150.84</v>
      </c>
      <c r="AC139" s="18">
        <f>IF(AND(AC$15="Actual",ISBLANK($E$8)),SUMIFS('[1]NS Vendor Details'!$D:$D,'[1]NS Vendor Details'!$H:$H,'G&amp;A Vendor x GL Analysis'!AC$20,'[1]NS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Analysis'!AC$20,'[1]NS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Analysis'!$E139),IF(AC$15="Actual",SUMIFS('[1]NS Vendor Details'!$D:$D,'[1]NS Vendor Details'!$H:$H,'G&amp;A Vendor x GL Analysis'!AC$20,'[1]NS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Analysis'!AC$20,'[1]NS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0</v>
      </c>
      <c r="AD139" s="18">
        <f>IF(AND(AD$15="Actual",ISBLANK($E$8)),SUMIFS('[1]NS Vendor Details'!$D:$D,'[1]NS Vendor Details'!$H:$H,'G&amp;A Vendor x GL Analysis'!AD$20,'[1]NS Vendor Details'!$L:$L,'G&amp;A Vendor x GL Analysis'!$D139,'[1]NS Vendor Details'!$O:$O,'G&amp;A Vendor x GL Analysis'!$F139,'[1]NS Vendor Details'!$N:$N,'G&amp;A Vendor x GL Analysis'!$C139,'[1]NS Vendor Details'!$I:$I,'G&amp;A Vendor x GL Analysis'!$E139)+SUMIFS('[1]NS Vendor Details'!$D:$D,'[1]NS Vendor Details'!$H:$H,'G&amp;A Vendor x GL Analysis'!AD$20,'[1]NS Vendor Details'!$L:$L,'G&amp;A Vendor x GL Analysis'!$D139,'[1]NS Vendor Details'!$O:$O,'G&amp;A Vendor x GL Analysis'!$F139,'[1]NS Vendor Details'!$N:$N,"Direct Costs",'[1]NS Vendor Details'!$J:$J,0,'[1]NS Vendor Details'!$I:$I,'G&amp;A Vendor x GL Analysis'!$E139),IF(AD$15="Actual",SUMIFS('[1]NS Vendor Details'!$D:$D,'[1]NS Vendor Details'!$H:$H,'G&amp;A Vendor x GL Analysis'!AD$20,'[1]NS Vendor Details'!$L:$L,'G&amp;A Vendor x GL Analysis'!$D139,'[1]NS Vendor Details'!$O:$O,'G&amp;A Vendor x GL Analysis'!$F139,'[1]NS Vendor Details'!$N:$N,'G&amp;A Vendor x GL Analysis'!$C139,'[1]NS Vendor Details'!$K:$K,'G&amp;A Vendor x GL Analysis'!$E$8,'[1]NS Vendor Details'!$I:$I,'G&amp;A Vendor x GL Analysis'!$E139)+SUMIFS('[1]NS Vendor Details'!$D:$D,'[1]NS Vendor Details'!$H:$H,'G&amp;A Vendor x GL Analysis'!AD$20,'[1]NS Vendor Details'!$L:$L,'G&amp;A Vendor x GL Analysis'!$D139,'[1]NS Vendor Details'!$O:$O,'G&amp;A Vendor x GL Analysis'!$F139,'[1]NS Vendor Details'!$N:$N,"Direct Costs",'[1]NS Vendor Details'!$J:$J,0,'[1]NS Vendor Details'!$K:$K,'G&amp;A Vendor x GL Analysis'!$E$8,'[1]NS Vendor Details'!$I:$I,'G&amp;A Vendor x GL Analysis'!$E139),0))</f>
        <v>0</v>
      </c>
      <c r="AF139" s="19">
        <f t="shared" si="23"/>
        <v>449.47</v>
      </c>
    </row>
    <row r="140" spans="1:32" outlineLevel="1">
      <c r="A140" s="8" t="str">
        <f t="shared" si="22"/>
        <v>Professional Service6393 - Software</v>
      </c>
      <c r="C140" s="8" t="s">
        <v>11</v>
      </c>
      <c r="D140" s="8" t="str">
        <f t="shared" si="21"/>
        <v>Professional Service</v>
      </c>
      <c r="E140" s="2" t="s">
        <v>101</v>
      </c>
      <c r="F140" s="2" t="s">
        <v>132</v>
      </c>
      <c r="G140" s="16">
        <f>IF(AND(G$15="Actual",ISBLANK($E$8)),SUMIFS('[1]NS Vendor Details'!$D:$D,'[1]NS Vendor Details'!$H:$H,'G&amp;A Vendor x GL Analysis'!G$20,'[1]NS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Analysis'!G$20,'[1]NS Vendor Details'!$L:$L,'G&amp;A Vendor x GL Analysis'!$D140,'[1]NS Vendor Details'!$O:$O,'G&amp;A Vendor x GL Analysis'!$F140,'[1]NS Vendor Details'!$N:$N,"Direct Costs",'[1]NS Vendor Details'!$J:$J,0),IF(G$15="Actual",SUMIFS('[1]NS Vendor Details'!$D:$D,'[1]NS Vendor Details'!$H:$H,'G&amp;A Vendor x GL Analysis'!G$20,'[1]NS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Analysis'!G$20,'[1]NS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0</v>
      </c>
      <c r="H140" s="17">
        <f>IF(AND(H$15="Actual",ISBLANK($E$8)),SUMIFS('[1]NS Vendor Details'!$D:$D,'[1]NS Vendor Details'!$H:$H,'G&amp;A Vendor x GL Analysis'!H$20,'[1]NS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Analysis'!H$20,'[1]NS Vendor Details'!$L:$L,'G&amp;A Vendor x GL Analysis'!$D140,'[1]NS Vendor Details'!$O:$O,'G&amp;A Vendor x GL Analysis'!$F140,'[1]NS Vendor Details'!$N:$N,"Direct Costs",'[1]NS Vendor Details'!$J:$J,0),IF(H$15="Actual",SUMIFS('[1]NS Vendor Details'!$D:$D,'[1]NS Vendor Details'!$H:$H,'G&amp;A Vendor x GL Analysis'!H$20,'[1]NS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Analysis'!H$20,'[1]NS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0</v>
      </c>
      <c r="I140" s="17">
        <f>IF(AND(I$15="Actual",ISBLANK($E$8)),SUMIFS('[1]NS Vendor Details'!$D:$D,'[1]NS Vendor Details'!$H:$H,'G&amp;A Vendor x GL Analysis'!I$20,'[1]NS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Analysis'!I$20,'[1]NS Vendor Details'!$L:$L,'G&amp;A Vendor x GL Analysis'!$D140,'[1]NS Vendor Details'!$O:$O,'G&amp;A Vendor x GL Analysis'!$F140,'[1]NS Vendor Details'!$N:$N,"Direct Costs",'[1]NS Vendor Details'!$J:$J,0),IF(I$15="Actual",SUMIFS('[1]NS Vendor Details'!$D:$D,'[1]NS Vendor Details'!$H:$H,'G&amp;A Vendor x GL Analysis'!I$20,'[1]NS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Analysis'!I$20,'[1]NS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0</v>
      </c>
      <c r="J140" s="17">
        <f>IF(AND(J$15="Actual",ISBLANK($E$8)),SUMIFS('[1]NS Vendor Details'!$D:$D,'[1]NS Vendor Details'!$H:$H,'G&amp;A Vendor x GL Analysis'!J$20,'[1]NS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Analysis'!J$20,'[1]NS Vendor Details'!$L:$L,'G&amp;A Vendor x GL Analysis'!$D140,'[1]NS Vendor Details'!$O:$O,'G&amp;A Vendor x GL Analysis'!$F140,'[1]NS Vendor Details'!$N:$N,"Direct Costs",'[1]NS Vendor Details'!$J:$J,0),IF(J$15="Actual",SUMIFS('[1]NS Vendor Details'!$D:$D,'[1]NS Vendor Details'!$H:$H,'G&amp;A Vendor x GL Analysis'!J$20,'[1]NS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Analysis'!J$20,'[1]NS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0</v>
      </c>
      <c r="K140" s="17">
        <f>IF(AND(K$15="Actual",ISBLANK($E$8)),SUMIFS('[1]NS Vendor Details'!$D:$D,'[1]NS Vendor Details'!$H:$H,'G&amp;A Vendor x GL Analysis'!K$20,'[1]NS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Analysis'!K$20,'[1]NS Vendor Details'!$L:$L,'G&amp;A Vendor x GL Analysis'!$D140,'[1]NS Vendor Details'!$O:$O,'G&amp;A Vendor x GL Analysis'!$F140,'[1]NS Vendor Details'!$N:$N,"Direct Costs",'[1]NS Vendor Details'!$J:$J,0),IF(K$15="Actual",SUMIFS('[1]NS Vendor Details'!$D:$D,'[1]NS Vendor Details'!$H:$H,'G&amp;A Vendor x GL Analysis'!K$20,'[1]NS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Analysis'!K$20,'[1]NS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0</v>
      </c>
      <c r="L140" s="17">
        <f>IF(AND(L$15="Actual",ISBLANK($E$8)),SUMIFS('[1]NS Vendor Details'!$D:$D,'[1]NS Vendor Details'!$H:$H,'G&amp;A Vendor x GL Analysis'!L$20,'[1]NS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Analysis'!L$20,'[1]NS Vendor Details'!$L:$L,'G&amp;A Vendor x GL Analysis'!$D140,'[1]NS Vendor Details'!$O:$O,'G&amp;A Vendor x GL Analysis'!$F140,'[1]NS Vendor Details'!$N:$N,"Direct Costs",'[1]NS Vendor Details'!$J:$J,0),IF(L$15="Actual",SUMIFS('[1]NS Vendor Details'!$D:$D,'[1]NS Vendor Details'!$H:$H,'G&amp;A Vendor x GL Analysis'!L$20,'[1]NS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Analysis'!L$20,'[1]NS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0</v>
      </c>
      <c r="M140" s="17">
        <f>IF(AND(M$15="Actual",ISBLANK($E$8)),SUMIFS('[1]NS Vendor Details'!$D:$D,'[1]NS Vendor Details'!$H:$H,'G&amp;A Vendor x GL Analysis'!M$20,'[1]NS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Analysis'!M$20,'[1]NS Vendor Details'!$L:$L,'G&amp;A Vendor x GL Analysis'!$D140,'[1]NS Vendor Details'!$O:$O,'G&amp;A Vendor x GL Analysis'!$F140,'[1]NS Vendor Details'!$N:$N,"Direct Costs",'[1]NS Vendor Details'!$J:$J,0),IF(M$15="Actual",SUMIFS('[1]NS Vendor Details'!$D:$D,'[1]NS Vendor Details'!$H:$H,'G&amp;A Vendor x GL Analysis'!M$20,'[1]NS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Analysis'!M$20,'[1]NS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58.64</v>
      </c>
      <c r="N140" s="17">
        <f>IF(AND(N$15="Actual",ISBLANK($E$8)),SUMIFS('[1]NS Vendor Details'!$D:$D,'[1]NS Vendor Details'!$H:$H,'G&amp;A Vendor x GL Analysis'!N$20,'[1]NS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Analysis'!N$20,'[1]NS Vendor Details'!$L:$L,'G&amp;A Vendor x GL Analysis'!$D140,'[1]NS Vendor Details'!$O:$O,'G&amp;A Vendor x GL Analysis'!$F140,'[1]NS Vendor Details'!$N:$N,"Direct Costs",'[1]NS Vendor Details'!$J:$J,0),IF(N$15="Actual",SUMIFS('[1]NS Vendor Details'!$D:$D,'[1]NS Vendor Details'!$H:$H,'G&amp;A Vendor x GL Analysis'!N$20,'[1]NS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Analysis'!N$20,'[1]NS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0</v>
      </c>
      <c r="O140" s="17">
        <f>IF(AND(O$15="Actual",ISBLANK($E$8)),SUMIFS('[1]NS Vendor Details'!$D:$D,'[1]NS Vendor Details'!$H:$H,'G&amp;A Vendor x GL Analysis'!O$20,'[1]NS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Analysis'!O$20,'[1]NS Vendor Details'!$L:$L,'G&amp;A Vendor x GL Analysis'!$D140,'[1]NS Vendor Details'!$O:$O,'G&amp;A Vendor x GL Analysis'!$F140,'[1]NS Vendor Details'!$N:$N,"Direct Costs",'[1]NS Vendor Details'!$J:$J,0),IF(O$15="Actual",SUMIFS('[1]NS Vendor Details'!$D:$D,'[1]NS Vendor Details'!$H:$H,'G&amp;A Vendor x GL Analysis'!O$20,'[1]NS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Analysis'!O$20,'[1]NS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61.23</v>
      </c>
      <c r="P140" s="17">
        <f>IF(AND(P$15="Actual",ISBLANK($E$8)),SUMIFS('[1]NS Vendor Details'!$D:$D,'[1]NS Vendor Details'!$H:$H,'G&amp;A Vendor x GL Analysis'!P$20,'[1]NS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Analysis'!P$20,'[1]NS Vendor Details'!$L:$L,'G&amp;A Vendor x GL Analysis'!$D140,'[1]NS Vendor Details'!$O:$O,'G&amp;A Vendor x GL Analysis'!$F140,'[1]NS Vendor Details'!$N:$N,"Direct Costs",'[1]NS Vendor Details'!$J:$J,0),IF(P$15="Actual",SUMIFS('[1]NS Vendor Details'!$D:$D,'[1]NS Vendor Details'!$H:$H,'G&amp;A Vendor x GL Analysis'!P$20,'[1]NS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Analysis'!P$20,'[1]NS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122.44</v>
      </c>
      <c r="Q140" s="17">
        <f>IF(AND(Q$15="Actual",ISBLANK($E$8)),SUMIFS('[1]NS Vendor Details'!$D:$D,'[1]NS Vendor Details'!$H:$H,'G&amp;A Vendor x GL Analysis'!Q$20,'[1]NS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Analysis'!Q$20,'[1]NS Vendor Details'!$L:$L,'G&amp;A Vendor x GL Analysis'!$D140,'[1]NS Vendor Details'!$O:$O,'G&amp;A Vendor x GL Analysis'!$F140,'[1]NS Vendor Details'!$N:$N,"Direct Costs",'[1]NS Vendor Details'!$J:$J,0),IF(Q$15="Actual",SUMIFS('[1]NS Vendor Details'!$D:$D,'[1]NS Vendor Details'!$H:$H,'G&amp;A Vendor x GL Analysis'!Q$20,'[1]NS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Analysis'!Q$20,'[1]NS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0</v>
      </c>
      <c r="R140" s="18">
        <f>IF(AND(R$15="Actual",ISBLANK($E$8)),SUMIFS('[1]NS Vendor Details'!$D:$D,'[1]NS Vendor Details'!$H:$H,'G&amp;A Vendor x GL Analysis'!R$20,'[1]NS Vendor Details'!$L:$L,'G&amp;A Vendor x GL Analysis'!$D140,'[1]NS Vendor Details'!$O:$O,'G&amp;A Vendor x GL Analysis'!$F140,'[1]NS Vendor Details'!$N:$N,'G&amp;A Vendor x GL Analysis'!$C140)+SUMIFS('[1]NS Vendor Details'!$D:$D,'[1]NS Vendor Details'!$H:$H,'G&amp;A Vendor x GL Analysis'!R$20,'[1]NS Vendor Details'!$L:$L,'G&amp;A Vendor x GL Analysis'!$D140,'[1]NS Vendor Details'!$O:$O,'G&amp;A Vendor x GL Analysis'!$F140,'[1]NS Vendor Details'!$N:$N,"Direct Costs",'[1]NS Vendor Details'!$J:$J,0),IF(R$15="Actual",SUMIFS('[1]NS Vendor Details'!$D:$D,'[1]NS Vendor Details'!$H:$H,'G&amp;A Vendor x GL Analysis'!R$20,'[1]NS Vendor Details'!$L:$L,'G&amp;A Vendor x GL Analysis'!$D140,'[1]NS Vendor Details'!$O:$O,'G&amp;A Vendor x GL Analysis'!$F140,'[1]NS Vendor Details'!$N:$N,'G&amp;A Vendor x GL Analysis'!$C140,'[1]NS Vendor Details'!$K:$K,'G&amp;A Vendor x GL Analysis'!$E$8)+SUMIFS('[1]NS Vendor Details'!$D:$D,'[1]NS Vendor Details'!$H:$H,'G&amp;A Vendor x GL Analysis'!R$20,'[1]NS Vendor Details'!$L:$L,'G&amp;A Vendor x GL Analysis'!$D140,'[1]NS Vendor Details'!$O:$O,'G&amp;A Vendor x GL Analysis'!$F140,'[1]NS Vendor Details'!$N:$N,"Direct Costs",'[1]NS Vendor Details'!$J:$J,0,'[1]NS Vendor Details'!$K:$K,'G&amp;A Vendor x GL Analysis'!$E$8),0))</f>
        <v>116.49000000000001</v>
      </c>
      <c r="S140" s="16">
        <f>IF(AND(S$15="Actual",ISBLANK($E$8)),SUMIFS('[1]NS Vendor Details'!$D:$D,'[1]NS Vendor Details'!$H:$H,'G&amp;A Vendor x GL Analysis'!S$20,'[1]NS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Analysis'!S$20,'[1]NS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Analysis'!$E140),IF(S$15="Actual",SUMIFS('[1]NS Vendor Details'!$D:$D,'[1]NS Vendor Details'!$H:$H,'G&amp;A Vendor x GL Analysis'!S$20,'[1]NS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Analysis'!S$20,'[1]NS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T140" s="17">
        <f>IF(AND(T$15="Actual",ISBLANK($E$8)),SUMIFS('[1]NS Vendor Details'!$D:$D,'[1]NS Vendor Details'!$H:$H,'G&amp;A Vendor x GL Analysis'!T$20,'[1]NS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Analysis'!T$20,'[1]NS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Analysis'!$E140),IF(T$15="Actual",SUMIFS('[1]NS Vendor Details'!$D:$D,'[1]NS Vendor Details'!$H:$H,'G&amp;A Vendor x GL Analysis'!T$20,'[1]NS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Analysis'!T$20,'[1]NS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U140" s="17">
        <f>IF(AND(U$15="Actual",ISBLANK($E$8)),SUMIFS('[1]NS Vendor Details'!$D:$D,'[1]NS Vendor Details'!$H:$H,'G&amp;A Vendor x GL Analysis'!U$20,'[1]NS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Analysis'!U$20,'[1]NS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Analysis'!$E140),IF(U$15="Actual",SUMIFS('[1]NS Vendor Details'!$D:$D,'[1]NS Vendor Details'!$H:$H,'G&amp;A Vendor x GL Analysis'!U$20,'[1]NS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Analysis'!U$20,'[1]NS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71.209999999999994</v>
      </c>
      <c r="V140" s="17">
        <f>IF(AND(V$15="Actual",ISBLANK($E$8)),SUMIFS('[1]NS Vendor Details'!$D:$D,'[1]NS Vendor Details'!$H:$H,'G&amp;A Vendor x GL Analysis'!V$20,'[1]NS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Analysis'!V$20,'[1]NS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Analysis'!$E140),IF(V$15="Actual",SUMIFS('[1]NS Vendor Details'!$D:$D,'[1]NS Vendor Details'!$H:$H,'G&amp;A Vendor x GL Analysis'!V$20,'[1]NS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Analysis'!V$20,'[1]NS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73.48</v>
      </c>
      <c r="W140" s="17">
        <f>IF(AND(W$15="Actual",ISBLANK($E$8)),SUMIFS('[1]NS Vendor Details'!$D:$D,'[1]NS Vendor Details'!$H:$H,'G&amp;A Vendor x GL Analysis'!W$20,'[1]NS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Analysis'!W$20,'[1]NS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Analysis'!$E140),IF(W$15="Actual",SUMIFS('[1]NS Vendor Details'!$D:$D,'[1]NS Vendor Details'!$H:$H,'G&amp;A Vendor x GL Analysis'!W$20,'[1]NS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Analysis'!W$20,'[1]NS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X140" s="17">
        <f>IF(AND(X$15="Actual",ISBLANK($E$8)),SUMIFS('[1]NS Vendor Details'!$D:$D,'[1]NS Vendor Details'!$H:$H,'G&amp;A Vendor x GL Analysis'!X$20,'[1]NS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Analysis'!X$20,'[1]NS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Analysis'!$E140),IF(X$15="Actual",SUMIFS('[1]NS Vendor Details'!$D:$D,'[1]NS Vendor Details'!$H:$H,'G&amp;A Vendor x GL Analysis'!X$20,'[1]NS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Analysis'!X$20,'[1]NS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Y140" s="17">
        <f>IF(AND(Y$15="Actual",ISBLANK($E$8)),SUMIFS('[1]NS Vendor Details'!$D:$D,'[1]NS Vendor Details'!$H:$H,'G&amp;A Vendor x GL Analysis'!Y$20,'[1]NS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Analysis'!Y$20,'[1]NS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Analysis'!$E140),IF(Y$15="Actual",SUMIFS('[1]NS Vendor Details'!$D:$D,'[1]NS Vendor Details'!$H:$H,'G&amp;A Vendor x GL Analysis'!Y$20,'[1]NS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Analysis'!Y$20,'[1]NS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152.98000000000002</v>
      </c>
      <c r="Z140" s="17">
        <f>IF(AND(Z$15="Actual",ISBLANK($E$8)),SUMIFS('[1]NS Vendor Details'!$D:$D,'[1]NS Vendor Details'!$H:$H,'G&amp;A Vendor x GL Analysis'!Z$20,'[1]NS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Analysis'!Z$20,'[1]NS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Analysis'!$E140),IF(Z$15="Actual",SUMIFS('[1]NS Vendor Details'!$D:$D,'[1]NS Vendor Details'!$H:$H,'G&amp;A Vendor x GL Analysis'!Z$20,'[1]NS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Analysis'!Z$20,'[1]NS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AA140" s="17">
        <f>IF(AND(AA$15="Actual",ISBLANK($E$8)),SUMIFS('[1]NS Vendor Details'!$D:$D,'[1]NS Vendor Details'!$H:$H,'G&amp;A Vendor x GL Analysis'!AA$20,'[1]NS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Analysis'!AA$20,'[1]NS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Analysis'!$E140),IF(AA$15="Actual",SUMIFS('[1]NS Vendor Details'!$D:$D,'[1]NS Vendor Details'!$H:$H,'G&amp;A Vendor x GL Analysis'!AA$20,'[1]NS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Analysis'!AA$20,'[1]NS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AB140" s="17">
        <f>IF(AND(AB$15="Actual",ISBLANK($E$8)),SUMIFS('[1]NS Vendor Details'!$D:$D,'[1]NS Vendor Details'!$H:$H,'G&amp;A Vendor x GL Analysis'!AB$20,'[1]NS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Analysis'!AB$20,'[1]NS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Analysis'!$E140),IF(AB$15="Actual",SUMIFS('[1]NS Vendor Details'!$D:$D,'[1]NS Vendor Details'!$H:$H,'G&amp;A Vendor x GL Analysis'!AB$20,'[1]NS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Analysis'!AB$20,'[1]NS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AC140" s="18">
        <f>IF(AND(AC$15="Actual",ISBLANK($E$8)),SUMIFS('[1]NS Vendor Details'!$D:$D,'[1]NS Vendor Details'!$H:$H,'G&amp;A Vendor x GL Analysis'!AC$20,'[1]NS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Analysis'!AC$20,'[1]NS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Analysis'!$E140),IF(AC$15="Actual",SUMIFS('[1]NS Vendor Details'!$D:$D,'[1]NS Vendor Details'!$H:$H,'G&amp;A Vendor x GL Analysis'!AC$20,'[1]NS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Analysis'!AC$20,'[1]NS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AD140" s="18">
        <f>IF(AND(AD$15="Actual",ISBLANK($E$8)),SUMIFS('[1]NS Vendor Details'!$D:$D,'[1]NS Vendor Details'!$H:$H,'G&amp;A Vendor x GL Analysis'!AD$20,'[1]NS Vendor Details'!$L:$L,'G&amp;A Vendor x GL Analysis'!$D140,'[1]NS Vendor Details'!$O:$O,'G&amp;A Vendor x GL Analysis'!$F140,'[1]NS Vendor Details'!$N:$N,'G&amp;A Vendor x GL Analysis'!$C140,'[1]NS Vendor Details'!$I:$I,'G&amp;A Vendor x GL Analysis'!$E140)+SUMIFS('[1]NS Vendor Details'!$D:$D,'[1]NS Vendor Details'!$H:$H,'G&amp;A Vendor x GL Analysis'!AD$20,'[1]NS Vendor Details'!$L:$L,'G&amp;A Vendor x GL Analysis'!$D140,'[1]NS Vendor Details'!$O:$O,'G&amp;A Vendor x GL Analysis'!$F140,'[1]NS Vendor Details'!$N:$N,"Direct Costs",'[1]NS Vendor Details'!$J:$J,0,'[1]NS Vendor Details'!$I:$I,'G&amp;A Vendor x GL Analysis'!$E140),IF(AD$15="Actual",SUMIFS('[1]NS Vendor Details'!$D:$D,'[1]NS Vendor Details'!$H:$H,'G&amp;A Vendor x GL Analysis'!AD$20,'[1]NS Vendor Details'!$L:$L,'G&amp;A Vendor x GL Analysis'!$D140,'[1]NS Vendor Details'!$O:$O,'G&amp;A Vendor x GL Analysis'!$F140,'[1]NS Vendor Details'!$N:$N,'G&amp;A Vendor x GL Analysis'!$C140,'[1]NS Vendor Details'!$K:$K,'G&amp;A Vendor x GL Analysis'!$E$8,'[1]NS Vendor Details'!$I:$I,'G&amp;A Vendor x GL Analysis'!$E140)+SUMIFS('[1]NS Vendor Details'!$D:$D,'[1]NS Vendor Details'!$H:$H,'G&amp;A Vendor x GL Analysis'!AD$20,'[1]NS Vendor Details'!$L:$L,'G&amp;A Vendor x GL Analysis'!$D140,'[1]NS Vendor Details'!$O:$O,'G&amp;A Vendor x GL Analysis'!$F140,'[1]NS Vendor Details'!$N:$N,"Direct Costs",'[1]NS Vendor Details'!$J:$J,0,'[1]NS Vendor Details'!$K:$K,'G&amp;A Vendor x GL Analysis'!$E$8,'[1]NS Vendor Details'!$I:$I,'G&amp;A Vendor x GL Analysis'!$E140),0))</f>
        <v>0</v>
      </c>
      <c r="AF140" s="19">
        <f t="shared" si="23"/>
        <v>297.67</v>
      </c>
    </row>
    <row r="141" spans="1:32" outlineLevel="1">
      <c r="A141" s="8" t="str">
        <f t="shared" si="22"/>
        <v>Professional Service6393 - Software</v>
      </c>
      <c r="C141" s="8" t="s">
        <v>11</v>
      </c>
      <c r="D141" s="8" t="str">
        <f t="shared" si="21"/>
        <v>Professional Service</v>
      </c>
      <c r="E141" s="2" t="s">
        <v>101</v>
      </c>
      <c r="F141" s="2" t="s">
        <v>133</v>
      </c>
      <c r="G141" s="16">
        <f>IF(AND(G$15="Actual",ISBLANK($E$8)),SUMIFS('[1]NS Vendor Details'!$D:$D,'[1]NS Vendor Details'!$H:$H,'G&amp;A Vendor x GL Analysis'!G$20,'[1]NS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Analysis'!G$20,'[1]NS Vendor Details'!$L:$L,'G&amp;A Vendor x GL Analysis'!$D141,'[1]NS Vendor Details'!$O:$O,'G&amp;A Vendor x GL Analysis'!$F141,'[1]NS Vendor Details'!$N:$N,"Direct Costs",'[1]NS Vendor Details'!$J:$J,0),IF(G$15="Actual",SUMIFS('[1]NS Vendor Details'!$D:$D,'[1]NS Vendor Details'!$H:$H,'G&amp;A Vendor x GL Analysis'!G$20,'[1]NS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Analysis'!G$20,'[1]NS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H141" s="17">
        <f>IF(AND(H$15="Actual",ISBLANK($E$8)),SUMIFS('[1]NS Vendor Details'!$D:$D,'[1]NS Vendor Details'!$H:$H,'G&amp;A Vendor x GL Analysis'!H$20,'[1]NS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Analysis'!H$20,'[1]NS Vendor Details'!$L:$L,'G&amp;A Vendor x GL Analysis'!$D141,'[1]NS Vendor Details'!$O:$O,'G&amp;A Vendor x GL Analysis'!$F141,'[1]NS Vendor Details'!$N:$N,"Direct Costs",'[1]NS Vendor Details'!$J:$J,0),IF(H$15="Actual",SUMIFS('[1]NS Vendor Details'!$D:$D,'[1]NS Vendor Details'!$H:$H,'G&amp;A Vendor x GL Analysis'!H$20,'[1]NS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Analysis'!H$20,'[1]NS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I141" s="17">
        <f>IF(AND(I$15="Actual",ISBLANK($E$8)),SUMIFS('[1]NS Vendor Details'!$D:$D,'[1]NS Vendor Details'!$H:$H,'G&amp;A Vendor x GL Analysis'!I$20,'[1]NS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Analysis'!I$20,'[1]NS Vendor Details'!$L:$L,'G&amp;A Vendor x GL Analysis'!$D141,'[1]NS Vendor Details'!$O:$O,'G&amp;A Vendor x GL Analysis'!$F141,'[1]NS Vendor Details'!$N:$N,"Direct Costs",'[1]NS Vendor Details'!$J:$J,0),IF(I$15="Actual",SUMIFS('[1]NS Vendor Details'!$D:$D,'[1]NS Vendor Details'!$H:$H,'G&amp;A Vendor x GL Analysis'!I$20,'[1]NS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Analysis'!I$20,'[1]NS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J141" s="17">
        <f>IF(AND(J$15="Actual",ISBLANK($E$8)),SUMIFS('[1]NS Vendor Details'!$D:$D,'[1]NS Vendor Details'!$H:$H,'G&amp;A Vendor x GL Analysis'!J$20,'[1]NS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Analysis'!J$20,'[1]NS Vendor Details'!$L:$L,'G&amp;A Vendor x GL Analysis'!$D141,'[1]NS Vendor Details'!$O:$O,'G&amp;A Vendor x GL Analysis'!$F141,'[1]NS Vendor Details'!$N:$N,"Direct Costs",'[1]NS Vendor Details'!$J:$J,0),IF(J$15="Actual",SUMIFS('[1]NS Vendor Details'!$D:$D,'[1]NS Vendor Details'!$H:$H,'G&amp;A Vendor x GL Analysis'!J$20,'[1]NS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Analysis'!J$20,'[1]NS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K141" s="17">
        <f>IF(AND(K$15="Actual",ISBLANK($E$8)),SUMIFS('[1]NS Vendor Details'!$D:$D,'[1]NS Vendor Details'!$H:$H,'G&amp;A Vendor x GL Analysis'!K$20,'[1]NS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Analysis'!K$20,'[1]NS Vendor Details'!$L:$L,'G&amp;A Vendor x GL Analysis'!$D141,'[1]NS Vendor Details'!$O:$O,'G&amp;A Vendor x GL Analysis'!$F141,'[1]NS Vendor Details'!$N:$N,"Direct Costs",'[1]NS Vendor Details'!$J:$J,0),IF(K$15="Actual",SUMIFS('[1]NS Vendor Details'!$D:$D,'[1]NS Vendor Details'!$H:$H,'G&amp;A Vendor x GL Analysis'!K$20,'[1]NS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Analysis'!K$20,'[1]NS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L141" s="17">
        <f>IF(AND(L$15="Actual",ISBLANK($E$8)),SUMIFS('[1]NS Vendor Details'!$D:$D,'[1]NS Vendor Details'!$H:$H,'G&amp;A Vendor x GL Analysis'!L$20,'[1]NS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Analysis'!L$20,'[1]NS Vendor Details'!$L:$L,'G&amp;A Vendor x GL Analysis'!$D141,'[1]NS Vendor Details'!$O:$O,'G&amp;A Vendor x GL Analysis'!$F141,'[1]NS Vendor Details'!$N:$N,"Direct Costs",'[1]NS Vendor Details'!$J:$J,0),IF(L$15="Actual",SUMIFS('[1]NS Vendor Details'!$D:$D,'[1]NS Vendor Details'!$H:$H,'G&amp;A Vendor x GL Analysis'!L$20,'[1]NS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Analysis'!L$20,'[1]NS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M141" s="17">
        <f>IF(AND(M$15="Actual",ISBLANK($E$8)),SUMIFS('[1]NS Vendor Details'!$D:$D,'[1]NS Vendor Details'!$H:$H,'G&amp;A Vendor x GL Analysis'!M$20,'[1]NS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Analysis'!M$20,'[1]NS Vendor Details'!$L:$L,'G&amp;A Vendor x GL Analysis'!$D141,'[1]NS Vendor Details'!$O:$O,'G&amp;A Vendor x GL Analysis'!$F141,'[1]NS Vendor Details'!$N:$N,"Direct Costs",'[1]NS Vendor Details'!$J:$J,0),IF(M$15="Actual",SUMIFS('[1]NS Vendor Details'!$D:$D,'[1]NS Vendor Details'!$H:$H,'G&amp;A Vendor x GL Analysis'!M$20,'[1]NS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Analysis'!M$20,'[1]NS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N141" s="17">
        <f>IF(AND(N$15="Actual",ISBLANK($E$8)),SUMIFS('[1]NS Vendor Details'!$D:$D,'[1]NS Vendor Details'!$H:$H,'G&amp;A Vendor x GL Analysis'!N$20,'[1]NS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Analysis'!N$20,'[1]NS Vendor Details'!$L:$L,'G&amp;A Vendor x GL Analysis'!$D141,'[1]NS Vendor Details'!$O:$O,'G&amp;A Vendor x GL Analysis'!$F141,'[1]NS Vendor Details'!$N:$N,"Direct Costs",'[1]NS Vendor Details'!$J:$J,0),IF(N$15="Actual",SUMIFS('[1]NS Vendor Details'!$D:$D,'[1]NS Vendor Details'!$H:$H,'G&amp;A Vendor x GL Analysis'!N$20,'[1]NS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Analysis'!N$20,'[1]NS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O141" s="17">
        <f>IF(AND(O$15="Actual",ISBLANK($E$8)),SUMIFS('[1]NS Vendor Details'!$D:$D,'[1]NS Vendor Details'!$H:$H,'G&amp;A Vendor x GL Analysis'!O$20,'[1]NS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Analysis'!O$20,'[1]NS Vendor Details'!$L:$L,'G&amp;A Vendor x GL Analysis'!$D141,'[1]NS Vendor Details'!$O:$O,'G&amp;A Vendor x GL Analysis'!$F141,'[1]NS Vendor Details'!$N:$N,"Direct Costs",'[1]NS Vendor Details'!$J:$J,0),IF(O$15="Actual",SUMIFS('[1]NS Vendor Details'!$D:$D,'[1]NS Vendor Details'!$H:$H,'G&amp;A Vendor x GL Analysis'!O$20,'[1]NS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Analysis'!O$20,'[1]NS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P141" s="17">
        <f>IF(AND(P$15="Actual",ISBLANK($E$8)),SUMIFS('[1]NS Vendor Details'!$D:$D,'[1]NS Vendor Details'!$H:$H,'G&amp;A Vendor x GL Analysis'!P$20,'[1]NS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Analysis'!P$20,'[1]NS Vendor Details'!$L:$L,'G&amp;A Vendor x GL Analysis'!$D141,'[1]NS Vendor Details'!$O:$O,'G&amp;A Vendor x GL Analysis'!$F141,'[1]NS Vendor Details'!$N:$N,"Direct Costs",'[1]NS Vendor Details'!$J:$J,0),IF(P$15="Actual",SUMIFS('[1]NS Vendor Details'!$D:$D,'[1]NS Vendor Details'!$H:$H,'G&amp;A Vendor x GL Analysis'!P$20,'[1]NS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Analysis'!P$20,'[1]NS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Q141" s="17">
        <f>IF(AND(Q$15="Actual",ISBLANK($E$8)),SUMIFS('[1]NS Vendor Details'!$D:$D,'[1]NS Vendor Details'!$H:$H,'G&amp;A Vendor x GL Analysis'!Q$20,'[1]NS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Analysis'!Q$20,'[1]NS Vendor Details'!$L:$L,'G&amp;A Vendor x GL Analysis'!$D141,'[1]NS Vendor Details'!$O:$O,'G&amp;A Vendor x GL Analysis'!$F141,'[1]NS Vendor Details'!$N:$N,"Direct Costs",'[1]NS Vendor Details'!$J:$J,0),IF(Q$15="Actual",SUMIFS('[1]NS Vendor Details'!$D:$D,'[1]NS Vendor Details'!$H:$H,'G&amp;A Vendor x GL Analysis'!Q$20,'[1]NS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Analysis'!Q$20,'[1]NS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R141" s="18">
        <f>IF(AND(R$15="Actual",ISBLANK($E$8)),SUMIFS('[1]NS Vendor Details'!$D:$D,'[1]NS Vendor Details'!$H:$H,'G&amp;A Vendor x GL Analysis'!R$20,'[1]NS Vendor Details'!$L:$L,'G&amp;A Vendor x GL Analysis'!$D141,'[1]NS Vendor Details'!$O:$O,'G&amp;A Vendor x GL Analysis'!$F141,'[1]NS Vendor Details'!$N:$N,'G&amp;A Vendor x GL Analysis'!$C141)+SUMIFS('[1]NS Vendor Details'!$D:$D,'[1]NS Vendor Details'!$H:$H,'G&amp;A Vendor x GL Analysis'!R$20,'[1]NS Vendor Details'!$L:$L,'G&amp;A Vendor x GL Analysis'!$D141,'[1]NS Vendor Details'!$O:$O,'G&amp;A Vendor x GL Analysis'!$F141,'[1]NS Vendor Details'!$N:$N,"Direct Costs",'[1]NS Vendor Details'!$J:$J,0),IF(R$15="Actual",SUMIFS('[1]NS Vendor Details'!$D:$D,'[1]NS Vendor Details'!$H:$H,'G&amp;A Vendor x GL Analysis'!R$20,'[1]NS Vendor Details'!$L:$L,'G&amp;A Vendor x GL Analysis'!$D141,'[1]NS Vendor Details'!$O:$O,'G&amp;A Vendor x GL Analysis'!$F141,'[1]NS Vendor Details'!$N:$N,'G&amp;A Vendor x GL Analysis'!$C141,'[1]NS Vendor Details'!$K:$K,'G&amp;A Vendor x GL Analysis'!$E$8)+SUMIFS('[1]NS Vendor Details'!$D:$D,'[1]NS Vendor Details'!$H:$H,'G&amp;A Vendor x GL Analysis'!R$20,'[1]NS Vendor Details'!$L:$L,'G&amp;A Vendor x GL Analysis'!$D141,'[1]NS Vendor Details'!$O:$O,'G&amp;A Vendor x GL Analysis'!$F141,'[1]NS Vendor Details'!$N:$N,"Direct Costs",'[1]NS Vendor Details'!$J:$J,0,'[1]NS Vendor Details'!$K:$K,'G&amp;A Vendor x GL Analysis'!$E$8),0))</f>
        <v>0</v>
      </c>
      <c r="S141" s="16">
        <f>IF(AND(S$15="Actual",ISBLANK($E$8)),SUMIFS('[1]NS Vendor Details'!$D:$D,'[1]NS Vendor Details'!$H:$H,'G&amp;A Vendor x GL Analysis'!S$20,'[1]NS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Analysis'!S$20,'[1]NS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Analysis'!$E141),IF(S$15="Actual",SUMIFS('[1]NS Vendor Details'!$D:$D,'[1]NS Vendor Details'!$H:$H,'G&amp;A Vendor x GL Analysis'!S$20,'[1]NS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Analysis'!S$20,'[1]NS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T141" s="17">
        <f>IF(AND(T$15="Actual",ISBLANK($E$8)),SUMIFS('[1]NS Vendor Details'!$D:$D,'[1]NS Vendor Details'!$H:$H,'G&amp;A Vendor x GL Analysis'!T$20,'[1]NS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Analysis'!T$20,'[1]NS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Analysis'!$E141),IF(T$15="Actual",SUMIFS('[1]NS Vendor Details'!$D:$D,'[1]NS Vendor Details'!$H:$H,'G&amp;A Vendor x GL Analysis'!T$20,'[1]NS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Analysis'!T$20,'[1]NS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U141" s="17">
        <f>IF(AND(U$15="Actual",ISBLANK($E$8)),SUMIFS('[1]NS Vendor Details'!$D:$D,'[1]NS Vendor Details'!$H:$H,'G&amp;A Vendor x GL Analysis'!U$20,'[1]NS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Analysis'!U$20,'[1]NS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Analysis'!$E141),IF(U$15="Actual",SUMIFS('[1]NS Vendor Details'!$D:$D,'[1]NS Vendor Details'!$H:$H,'G&amp;A Vendor x GL Analysis'!U$20,'[1]NS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Analysis'!U$20,'[1]NS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V141" s="17">
        <f>IF(AND(V$15="Actual",ISBLANK($E$8)),SUMIFS('[1]NS Vendor Details'!$D:$D,'[1]NS Vendor Details'!$H:$H,'G&amp;A Vendor x GL Analysis'!V$20,'[1]NS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Analysis'!V$20,'[1]NS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Analysis'!$E141),IF(V$15="Actual",SUMIFS('[1]NS Vendor Details'!$D:$D,'[1]NS Vendor Details'!$H:$H,'G&amp;A Vendor x GL Analysis'!V$20,'[1]NS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Analysis'!V$20,'[1]NS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W141" s="17">
        <f>IF(AND(W$15="Actual",ISBLANK($E$8)),SUMIFS('[1]NS Vendor Details'!$D:$D,'[1]NS Vendor Details'!$H:$H,'G&amp;A Vendor x GL Analysis'!W$20,'[1]NS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Analysis'!W$20,'[1]NS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Analysis'!$E141),IF(W$15="Actual",SUMIFS('[1]NS Vendor Details'!$D:$D,'[1]NS Vendor Details'!$H:$H,'G&amp;A Vendor x GL Analysis'!W$20,'[1]NS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Analysis'!W$20,'[1]NS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X141" s="17">
        <f>IF(AND(X$15="Actual",ISBLANK($E$8)),SUMIFS('[1]NS Vendor Details'!$D:$D,'[1]NS Vendor Details'!$H:$H,'G&amp;A Vendor x GL Analysis'!X$20,'[1]NS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Analysis'!X$20,'[1]NS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Analysis'!$E141),IF(X$15="Actual",SUMIFS('[1]NS Vendor Details'!$D:$D,'[1]NS Vendor Details'!$H:$H,'G&amp;A Vendor x GL Analysis'!X$20,'[1]NS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Analysis'!X$20,'[1]NS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Y141" s="17">
        <f>IF(AND(Y$15="Actual",ISBLANK($E$8)),SUMIFS('[1]NS Vendor Details'!$D:$D,'[1]NS Vendor Details'!$H:$H,'G&amp;A Vendor x GL Analysis'!Y$20,'[1]NS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Analysis'!Y$20,'[1]NS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Analysis'!$E141),IF(Y$15="Actual",SUMIFS('[1]NS Vendor Details'!$D:$D,'[1]NS Vendor Details'!$H:$H,'G&amp;A Vendor x GL Analysis'!Y$20,'[1]NS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Analysis'!Y$20,'[1]NS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Z141" s="17">
        <f>IF(AND(Z$15="Actual",ISBLANK($E$8)),SUMIFS('[1]NS Vendor Details'!$D:$D,'[1]NS Vendor Details'!$H:$H,'G&amp;A Vendor x GL Analysis'!Z$20,'[1]NS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Analysis'!Z$20,'[1]NS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Analysis'!$E141),IF(Z$15="Actual",SUMIFS('[1]NS Vendor Details'!$D:$D,'[1]NS Vendor Details'!$H:$H,'G&amp;A Vendor x GL Analysis'!Z$20,'[1]NS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Analysis'!Z$20,'[1]NS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AA141" s="17">
        <f>IF(AND(AA$15="Actual",ISBLANK($E$8)),SUMIFS('[1]NS Vendor Details'!$D:$D,'[1]NS Vendor Details'!$H:$H,'G&amp;A Vendor x GL Analysis'!AA$20,'[1]NS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Analysis'!AA$20,'[1]NS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Analysis'!$E141),IF(AA$15="Actual",SUMIFS('[1]NS Vendor Details'!$D:$D,'[1]NS Vendor Details'!$H:$H,'G&amp;A Vendor x GL Analysis'!AA$20,'[1]NS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Analysis'!AA$20,'[1]NS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AB141" s="17">
        <f>IF(AND(AB$15="Actual",ISBLANK($E$8)),SUMIFS('[1]NS Vendor Details'!$D:$D,'[1]NS Vendor Details'!$H:$H,'G&amp;A Vendor x GL Analysis'!AB$20,'[1]NS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Analysis'!AB$20,'[1]NS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Analysis'!$E141),IF(AB$15="Actual",SUMIFS('[1]NS Vendor Details'!$D:$D,'[1]NS Vendor Details'!$H:$H,'G&amp;A Vendor x GL Analysis'!AB$20,'[1]NS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Analysis'!AB$20,'[1]NS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AC141" s="18">
        <f>IF(AND(AC$15="Actual",ISBLANK($E$8)),SUMIFS('[1]NS Vendor Details'!$D:$D,'[1]NS Vendor Details'!$H:$H,'G&amp;A Vendor x GL Analysis'!AC$20,'[1]NS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Analysis'!AC$20,'[1]NS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Analysis'!$E141),IF(AC$15="Actual",SUMIFS('[1]NS Vendor Details'!$D:$D,'[1]NS Vendor Details'!$H:$H,'G&amp;A Vendor x GL Analysis'!AC$20,'[1]NS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Analysis'!AC$20,'[1]NS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AD141" s="18">
        <f>IF(AND(AD$15="Actual",ISBLANK($E$8)),SUMIFS('[1]NS Vendor Details'!$D:$D,'[1]NS Vendor Details'!$H:$H,'G&amp;A Vendor x GL Analysis'!AD$20,'[1]NS Vendor Details'!$L:$L,'G&amp;A Vendor x GL Analysis'!$D141,'[1]NS Vendor Details'!$O:$O,'G&amp;A Vendor x GL Analysis'!$F141,'[1]NS Vendor Details'!$N:$N,'G&amp;A Vendor x GL Analysis'!$C141,'[1]NS Vendor Details'!$I:$I,'G&amp;A Vendor x GL Analysis'!$E141)+SUMIFS('[1]NS Vendor Details'!$D:$D,'[1]NS Vendor Details'!$H:$H,'G&amp;A Vendor x GL Analysis'!AD$20,'[1]NS Vendor Details'!$L:$L,'G&amp;A Vendor x GL Analysis'!$D141,'[1]NS Vendor Details'!$O:$O,'G&amp;A Vendor x GL Analysis'!$F141,'[1]NS Vendor Details'!$N:$N,"Direct Costs",'[1]NS Vendor Details'!$J:$J,0,'[1]NS Vendor Details'!$I:$I,'G&amp;A Vendor x GL Analysis'!$E141),IF(AD$15="Actual",SUMIFS('[1]NS Vendor Details'!$D:$D,'[1]NS Vendor Details'!$H:$H,'G&amp;A Vendor x GL Analysis'!AD$20,'[1]NS Vendor Details'!$L:$L,'G&amp;A Vendor x GL Analysis'!$D141,'[1]NS Vendor Details'!$O:$O,'G&amp;A Vendor x GL Analysis'!$F141,'[1]NS Vendor Details'!$N:$N,'G&amp;A Vendor x GL Analysis'!$C141,'[1]NS Vendor Details'!$K:$K,'G&amp;A Vendor x GL Analysis'!$E$8,'[1]NS Vendor Details'!$I:$I,'G&amp;A Vendor x GL Analysis'!$E141)+SUMIFS('[1]NS Vendor Details'!$D:$D,'[1]NS Vendor Details'!$H:$H,'G&amp;A Vendor x GL Analysis'!AD$20,'[1]NS Vendor Details'!$L:$L,'G&amp;A Vendor x GL Analysis'!$D141,'[1]NS Vendor Details'!$O:$O,'G&amp;A Vendor x GL Analysis'!$F141,'[1]NS Vendor Details'!$N:$N,"Direct Costs",'[1]NS Vendor Details'!$J:$J,0,'[1]NS Vendor Details'!$K:$K,'G&amp;A Vendor x GL Analysis'!$E$8,'[1]NS Vendor Details'!$I:$I,'G&amp;A Vendor x GL Analysis'!$E141),0))</f>
        <v>0</v>
      </c>
      <c r="AF141" s="19">
        <f t="shared" si="23"/>
        <v>0</v>
      </c>
    </row>
    <row r="142" spans="1:32" outlineLevel="1">
      <c r="A142" s="8" t="str">
        <f t="shared" si="22"/>
        <v>Professional Service6393 - Software</v>
      </c>
      <c r="C142" s="8" t="s">
        <v>11</v>
      </c>
      <c r="D142" s="8" t="str">
        <f t="shared" si="21"/>
        <v>Professional Service</v>
      </c>
      <c r="E142" s="2" t="s">
        <v>101</v>
      </c>
      <c r="F142" s="2" t="s">
        <v>134</v>
      </c>
      <c r="G142" s="16">
        <f>IF(AND(G$15="Actual",ISBLANK($E$8)),SUMIFS('[1]NS Vendor Details'!$D:$D,'[1]NS Vendor Details'!$H:$H,'G&amp;A Vendor x GL Analysis'!G$20,'[1]NS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Analysis'!G$20,'[1]NS Vendor Details'!$L:$L,'G&amp;A Vendor x GL Analysis'!$D142,'[1]NS Vendor Details'!$O:$O,'G&amp;A Vendor x GL Analysis'!$F142,'[1]NS Vendor Details'!$N:$N,"Direct Costs",'[1]NS Vendor Details'!$J:$J,0),IF(G$15="Actual",SUMIFS('[1]NS Vendor Details'!$D:$D,'[1]NS Vendor Details'!$H:$H,'G&amp;A Vendor x GL Analysis'!G$20,'[1]NS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Analysis'!G$20,'[1]NS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H142" s="17">
        <f>IF(AND(H$15="Actual",ISBLANK($E$8)),SUMIFS('[1]NS Vendor Details'!$D:$D,'[1]NS Vendor Details'!$H:$H,'G&amp;A Vendor x GL Analysis'!H$20,'[1]NS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Analysis'!H$20,'[1]NS Vendor Details'!$L:$L,'G&amp;A Vendor x GL Analysis'!$D142,'[1]NS Vendor Details'!$O:$O,'G&amp;A Vendor x GL Analysis'!$F142,'[1]NS Vendor Details'!$N:$N,"Direct Costs",'[1]NS Vendor Details'!$J:$J,0),IF(H$15="Actual",SUMIFS('[1]NS Vendor Details'!$D:$D,'[1]NS Vendor Details'!$H:$H,'G&amp;A Vendor x GL Analysis'!H$20,'[1]NS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Analysis'!H$20,'[1]NS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I142" s="17">
        <f>IF(AND(I$15="Actual",ISBLANK($E$8)),SUMIFS('[1]NS Vendor Details'!$D:$D,'[1]NS Vendor Details'!$H:$H,'G&amp;A Vendor x GL Analysis'!I$20,'[1]NS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Analysis'!I$20,'[1]NS Vendor Details'!$L:$L,'G&amp;A Vendor x GL Analysis'!$D142,'[1]NS Vendor Details'!$O:$O,'G&amp;A Vendor x GL Analysis'!$F142,'[1]NS Vendor Details'!$N:$N,"Direct Costs",'[1]NS Vendor Details'!$J:$J,0),IF(I$15="Actual",SUMIFS('[1]NS Vendor Details'!$D:$D,'[1]NS Vendor Details'!$H:$H,'G&amp;A Vendor x GL Analysis'!I$20,'[1]NS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Analysis'!I$20,'[1]NS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J142" s="17">
        <f>IF(AND(J$15="Actual",ISBLANK($E$8)),SUMIFS('[1]NS Vendor Details'!$D:$D,'[1]NS Vendor Details'!$H:$H,'G&amp;A Vendor x GL Analysis'!J$20,'[1]NS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Analysis'!J$20,'[1]NS Vendor Details'!$L:$L,'G&amp;A Vendor x GL Analysis'!$D142,'[1]NS Vendor Details'!$O:$O,'G&amp;A Vendor x GL Analysis'!$F142,'[1]NS Vendor Details'!$N:$N,"Direct Costs",'[1]NS Vendor Details'!$J:$J,0),IF(J$15="Actual",SUMIFS('[1]NS Vendor Details'!$D:$D,'[1]NS Vendor Details'!$H:$H,'G&amp;A Vendor x GL Analysis'!J$20,'[1]NS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Analysis'!J$20,'[1]NS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K142" s="17">
        <f>IF(AND(K$15="Actual",ISBLANK($E$8)),SUMIFS('[1]NS Vendor Details'!$D:$D,'[1]NS Vendor Details'!$H:$H,'G&amp;A Vendor x GL Analysis'!K$20,'[1]NS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Analysis'!K$20,'[1]NS Vendor Details'!$L:$L,'G&amp;A Vendor x GL Analysis'!$D142,'[1]NS Vendor Details'!$O:$O,'G&amp;A Vendor x GL Analysis'!$F142,'[1]NS Vendor Details'!$N:$N,"Direct Costs",'[1]NS Vendor Details'!$J:$J,0),IF(K$15="Actual",SUMIFS('[1]NS Vendor Details'!$D:$D,'[1]NS Vendor Details'!$H:$H,'G&amp;A Vendor x GL Analysis'!K$20,'[1]NS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Analysis'!K$20,'[1]NS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L142" s="17">
        <f>IF(AND(L$15="Actual",ISBLANK($E$8)),SUMIFS('[1]NS Vendor Details'!$D:$D,'[1]NS Vendor Details'!$H:$H,'G&amp;A Vendor x GL Analysis'!L$20,'[1]NS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Analysis'!L$20,'[1]NS Vendor Details'!$L:$L,'G&amp;A Vendor x GL Analysis'!$D142,'[1]NS Vendor Details'!$O:$O,'G&amp;A Vendor x GL Analysis'!$F142,'[1]NS Vendor Details'!$N:$N,"Direct Costs",'[1]NS Vendor Details'!$J:$J,0),IF(L$15="Actual",SUMIFS('[1]NS Vendor Details'!$D:$D,'[1]NS Vendor Details'!$H:$H,'G&amp;A Vendor x GL Analysis'!L$20,'[1]NS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Analysis'!L$20,'[1]NS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M142" s="17">
        <f>IF(AND(M$15="Actual",ISBLANK($E$8)),SUMIFS('[1]NS Vendor Details'!$D:$D,'[1]NS Vendor Details'!$H:$H,'G&amp;A Vendor x GL Analysis'!M$20,'[1]NS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Analysis'!M$20,'[1]NS Vendor Details'!$L:$L,'G&amp;A Vendor x GL Analysis'!$D142,'[1]NS Vendor Details'!$O:$O,'G&amp;A Vendor x GL Analysis'!$F142,'[1]NS Vendor Details'!$N:$N,"Direct Costs",'[1]NS Vendor Details'!$J:$J,0),IF(M$15="Actual",SUMIFS('[1]NS Vendor Details'!$D:$D,'[1]NS Vendor Details'!$H:$H,'G&amp;A Vendor x GL Analysis'!M$20,'[1]NS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Analysis'!M$20,'[1]NS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N142" s="17">
        <f>IF(AND(N$15="Actual",ISBLANK($E$8)),SUMIFS('[1]NS Vendor Details'!$D:$D,'[1]NS Vendor Details'!$H:$H,'G&amp;A Vendor x GL Analysis'!N$20,'[1]NS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Analysis'!N$20,'[1]NS Vendor Details'!$L:$L,'G&amp;A Vendor x GL Analysis'!$D142,'[1]NS Vendor Details'!$O:$O,'G&amp;A Vendor x GL Analysis'!$F142,'[1]NS Vendor Details'!$N:$N,"Direct Costs",'[1]NS Vendor Details'!$J:$J,0),IF(N$15="Actual",SUMIFS('[1]NS Vendor Details'!$D:$D,'[1]NS Vendor Details'!$H:$H,'G&amp;A Vendor x GL Analysis'!N$20,'[1]NS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Analysis'!N$20,'[1]NS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O142" s="17">
        <f>IF(AND(O$15="Actual",ISBLANK($E$8)),SUMIFS('[1]NS Vendor Details'!$D:$D,'[1]NS Vendor Details'!$H:$H,'G&amp;A Vendor x GL Analysis'!O$20,'[1]NS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Analysis'!O$20,'[1]NS Vendor Details'!$L:$L,'G&amp;A Vendor x GL Analysis'!$D142,'[1]NS Vendor Details'!$O:$O,'G&amp;A Vendor x GL Analysis'!$F142,'[1]NS Vendor Details'!$N:$N,"Direct Costs",'[1]NS Vendor Details'!$J:$J,0),IF(O$15="Actual",SUMIFS('[1]NS Vendor Details'!$D:$D,'[1]NS Vendor Details'!$H:$H,'G&amp;A Vendor x GL Analysis'!O$20,'[1]NS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Analysis'!O$20,'[1]NS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P142" s="17">
        <f>IF(AND(P$15="Actual",ISBLANK($E$8)),SUMIFS('[1]NS Vendor Details'!$D:$D,'[1]NS Vendor Details'!$H:$H,'G&amp;A Vendor x GL Analysis'!P$20,'[1]NS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Analysis'!P$20,'[1]NS Vendor Details'!$L:$L,'G&amp;A Vendor x GL Analysis'!$D142,'[1]NS Vendor Details'!$O:$O,'G&amp;A Vendor x GL Analysis'!$F142,'[1]NS Vendor Details'!$N:$N,"Direct Costs",'[1]NS Vendor Details'!$J:$J,0),IF(P$15="Actual",SUMIFS('[1]NS Vendor Details'!$D:$D,'[1]NS Vendor Details'!$H:$H,'G&amp;A Vendor x GL Analysis'!P$20,'[1]NS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Analysis'!P$20,'[1]NS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Q142" s="17">
        <f>IF(AND(Q$15="Actual",ISBLANK($E$8)),SUMIFS('[1]NS Vendor Details'!$D:$D,'[1]NS Vendor Details'!$H:$H,'G&amp;A Vendor x GL Analysis'!Q$20,'[1]NS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Analysis'!Q$20,'[1]NS Vendor Details'!$L:$L,'G&amp;A Vendor x GL Analysis'!$D142,'[1]NS Vendor Details'!$O:$O,'G&amp;A Vendor x GL Analysis'!$F142,'[1]NS Vendor Details'!$N:$N,"Direct Costs",'[1]NS Vendor Details'!$J:$J,0),IF(Q$15="Actual",SUMIFS('[1]NS Vendor Details'!$D:$D,'[1]NS Vendor Details'!$H:$H,'G&amp;A Vendor x GL Analysis'!Q$20,'[1]NS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Analysis'!Q$20,'[1]NS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R142" s="18">
        <f>IF(AND(R$15="Actual",ISBLANK($E$8)),SUMIFS('[1]NS Vendor Details'!$D:$D,'[1]NS Vendor Details'!$H:$H,'G&amp;A Vendor x GL Analysis'!R$20,'[1]NS Vendor Details'!$L:$L,'G&amp;A Vendor x GL Analysis'!$D142,'[1]NS Vendor Details'!$O:$O,'G&amp;A Vendor x GL Analysis'!$F142,'[1]NS Vendor Details'!$N:$N,'G&amp;A Vendor x GL Analysis'!$C142)+SUMIFS('[1]NS Vendor Details'!$D:$D,'[1]NS Vendor Details'!$H:$H,'G&amp;A Vendor x GL Analysis'!R$20,'[1]NS Vendor Details'!$L:$L,'G&amp;A Vendor x GL Analysis'!$D142,'[1]NS Vendor Details'!$O:$O,'G&amp;A Vendor x GL Analysis'!$F142,'[1]NS Vendor Details'!$N:$N,"Direct Costs",'[1]NS Vendor Details'!$J:$J,0),IF(R$15="Actual",SUMIFS('[1]NS Vendor Details'!$D:$D,'[1]NS Vendor Details'!$H:$H,'G&amp;A Vendor x GL Analysis'!R$20,'[1]NS Vendor Details'!$L:$L,'G&amp;A Vendor x GL Analysis'!$D142,'[1]NS Vendor Details'!$O:$O,'G&amp;A Vendor x GL Analysis'!$F142,'[1]NS Vendor Details'!$N:$N,'G&amp;A Vendor x GL Analysis'!$C142,'[1]NS Vendor Details'!$K:$K,'G&amp;A Vendor x GL Analysis'!$E$8)+SUMIFS('[1]NS Vendor Details'!$D:$D,'[1]NS Vendor Details'!$H:$H,'G&amp;A Vendor x GL Analysis'!R$20,'[1]NS Vendor Details'!$L:$L,'G&amp;A Vendor x GL Analysis'!$D142,'[1]NS Vendor Details'!$O:$O,'G&amp;A Vendor x GL Analysis'!$F142,'[1]NS Vendor Details'!$N:$N,"Direct Costs",'[1]NS Vendor Details'!$J:$J,0,'[1]NS Vendor Details'!$K:$K,'G&amp;A Vendor x GL Analysis'!$E$8),0))</f>
        <v>0</v>
      </c>
      <c r="S142" s="16">
        <f>IF(AND(S$15="Actual",ISBLANK($E$8)),SUMIFS('[1]NS Vendor Details'!$D:$D,'[1]NS Vendor Details'!$H:$H,'G&amp;A Vendor x GL Analysis'!S$20,'[1]NS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Analysis'!S$20,'[1]NS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Analysis'!$E142),IF(S$15="Actual",SUMIFS('[1]NS Vendor Details'!$D:$D,'[1]NS Vendor Details'!$H:$H,'G&amp;A Vendor x GL Analysis'!S$20,'[1]NS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Analysis'!S$20,'[1]NS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T142" s="17">
        <f>IF(AND(T$15="Actual",ISBLANK($E$8)),SUMIFS('[1]NS Vendor Details'!$D:$D,'[1]NS Vendor Details'!$H:$H,'G&amp;A Vendor x GL Analysis'!T$20,'[1]NS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Analysis'!T$20,'[1]NS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Analysis'!$E142),IF(T$15="Actual",SUMIFS('[1]NS Vendor Details'!$D:$D,'[1]NS Vendor Details'!$H:$H,'G&amp;A Vendor x GL Analysis'!T$20,'[1]NS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Analysis'!T$20,'[1]NS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U142" s="17">
        <f>IF(AND(U$15="Actual",ISBLANK($E$8)),SUMIFS('[1]NS Vendor Details'!$D:$D,'[1]NS Vendor Details'!$H:$H,'G&amp;A Vendor x GL Analysis'!U$20,'[1]NS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Analysis'!U$20,'[1]NS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Analysis'!$E142),IF(U$15="Actual",SUMIFS('[1]NS Vendor Details'!$D:$D,'[1]NS Vendor Details'!$H:$H,'G&amp;A Vendor x GL Analysis'!U$20,'[1]NS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Analysis'!U$20,'[1]NS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V142" s="17">
        <f>IF(AND(V$15="Actual",ISBLANK($E$8)),SUMIFS('[1]NS Vendor Details'!$D:$D,'[1]NS Vendor Details'!$H:$H,'G&amp;A Vendor x GL Analysis'!V$20,'[1]NS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Analysis'!V$20,'[1]NS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Analysis'!$E142),IF(V$15="Actual",SUMIFS('[1]NS Vendor Details'!$D:$D,'[1]NS Vendor Details'!$H:$H,'G&amp;A Vendor x GL Analysis'!V$20,'[1]NS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Analysis'!V$20,'[1]NS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W142" s="17">
        <f>IF(AND(W$15="Actual",ISBLANK($E$8)),SUMIFS('[1]NS Vendor Details'!$D:$D,'[1]NS Vendor Details'!$H:$H,'G&amp;A Vendor x GL Analysis'!W$20,'[1]NS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Analysis'!W$20,'[1]NS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Analysis'!$E142),IF(W$15="Actual",SUMIFS('[1]NS Vendor Details'!$D:$D,'[1]NS Vendor Details'!$H:$H,'G&amp;A Vendor x GL Analysis'!W$20,'[1]NS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Analysis'!W$20,'[1]NS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X142" s="17">
        <f>IF(AND(X$15="Actual",ISBLANK($E$8)),SUMIFS('[1]NS Vendor Details'!$D:$D,'[1]NS Vendor Details'!$H:$H,'G&amp;A Vendor x GL Analysis'!X$20,'[1]NS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Analysis'!X$20,'[1]NS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Analysis'!$E142),IF(X$15="Actual",SUMIFS('[1]NS Vendor Details'!$D:$D,'[1]NS Vendor Details'!$H:$H,'G&amp;A Vendor x GL Analysis'!X$20,'[1]NS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Analysis'!X$20,'[1]NS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Y142" s="17">
        <f>IF(AND(Y$15="Actual",ISBLANK($E$8)),SUMIFS('[1]NS Vendor Details'!$D:$D,'[1]NS Vendor Details'!$H:$H,'G&amp;A Vendor x GL Analysis'!Y$20,'[1]NS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Analysis'!Y$20,'[1]NS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Analysis'!$E142),IF(Y$15="Actual",SUMIFS('[1]NS Vendor Details'!$D:$D,'[1]NS Vendor Details'!$H:$H,'G&amp;A Vendor x GL Analysis'!Y$20,'[1]NS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Analysis'!Y$20,'[1]NS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Z142" s="17">
        <f>IF(AND(Z$15="Actual",ISBLANK($E$8)),SUMIFS('[1]NS Vendor Details'!$D:$D,'[1]NS Vendor Details'!$H:$H,'G&amp;A Vendor x GL Analysis'!Z$20,'[1]NS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Analysis'!Z$20,'[1]NS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Analysis'!$E142),IF(Z$15="Actual",SUMIFS('[1]NS Vendor Details'!$D:$D,'[1]NS Vendor Details'!$H:$H,'G&amp;A Vendor x GL Analysis'!Z$20,'[1]NS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Analysis'!Z$20,'[1]NS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AA142" s="17">
        <f>IF(AND(AA$15="Actual",ISBLANK($E$8)),SUMIFS('[1]NS Vendor Details'!$D:$D,'[1]NS Vendor Details'!$H:$H,'G&amp;A Vendor x GL Analysis'!AA$20,'[1]NS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Analysis'!AA$20,'[1]NS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Analysis'!$E142),IF(AA$15="Actual",SUMIFS('[1]NS Vendor Details'!$D:$D,'[1]NS Vendor Details'!$H:$H,'G&amp;A Vendor x GL Analysis'!AA$20,'[1]NS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Analysis'!AA$20,'[1]NS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AB142" s="17">
        <f>IF(AND(AB$15="Actual",ISBLANK($E$8)),SUMIFS('[1]NS Vendor Details'!$D:$D,'[1]NS Vendor Details'!$H:$H,'G&amp;A Vendor x GL Analysis'!AB$20,'[1]NS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Analysis'!AB$20,'[1]NS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Analysis'!$E142),IF(AB$15="Actual",SUMIFS('[1]NS Vendor Details'!$D:$D,'[1]NS Vendor Details'!$H:$H,'G&amp;A Vendor x GL Analysis'!AB$20,'[1]NS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Analysis'!AB$20,'[1]NS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AC142" s="18">
        <f>IF(AND(AC$15="Actual",ISBLANK($E$8)),SUMIFS('[1]NS Vendor Details'!$D:$D,'[1]NS Vendor Details'!$H:$H,'G&amp;A Vendor x GL Analysis'!AC$20,'[1]NS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Analysis'!AC$20,'[1]NS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Analysis'!$E142),IF(AC$15="Actual",SUMIFS('[1]NS Vendor Details'!$D:$D,'[1]NS Vendor Details'!$H:$H,'G&amp;A Vendor x GL Analysis'!AC$20,'[1]NS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Analysis'!AC$20,'[1]NS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AD142" s="18">
        <f>IF(AND(AD$15="Actual",ISBLANK($E$8)),SUMIFS('[1]NS Vendor Details'!$D:$D,'[1]NS Vendor Details'!$H:$H,'G&amp;A Vendor x GL Analysis'!AD$20,'[1]NS Vendor Details'!$L:$L,'G&amp;A Vendor x GL Analysis'!$D142,'[1]NS Vendor Details'!$O:$O,'G&amp;A Vendor x GL Analysis'!$F142,'[1]NS Vendor Details'!$N:$N,'G&amp;A Vendor x GL Analysis'!$C142,'[1]NS Vendor Details'!$I:$I,'G&amp;A Vendor x GL Analysis'!$E142)+SUMIFS('[1]NS Vendor Details'!$D:$D,'[1]NS Vendor Details'!$H:$H,'G&amp;A Vendor x GL Analysis'!AD$20,'[1]NS Vendor Details'!$L:$L,'G&amp;A Vendor x GL Analysis'!$D142,'[1]NS Vendor Details'!$O:$O,'G&amp;A Vendor x GL Analysis'!$F142,'[1]NS Vendor Details'!$N:$N,"Direct Costs",'[1]NS Vendor Details'!$J:$J,0,'[1]NS Vendor Details'!$I:$I,'G&amp;A Vendor x GL Analysis'!$E142),IF(AD$15="Actual",SUMIFS('[1]NS Vendor Details'!$D:$D,'[1]NS Vendor Details'!$H:$H,'G&amp;A Vendor x GL Analysis'!AD$20,'[1]NS Vendor Details'!$L:$L,'G&amp;A Vendor x GL Analysis'!$D142,'[1]NS Vendor Details'!$O:$O,'G&amp;A Vendor x GL Analysis'!$F142,'[1]NS Vendor Details'!$N:$N,'G&amp;A Vendor x GL Analysis'!$C142,'[1]NS Vendor Details'!$K:$K,'G&amp;A Vendor x GL Analysis'!$E$8,'[1]NS Vendor Details'!$I:$I,'G&amp;A Vendor x GL Analysis'!$E142)+SUMIFS('[1]NS Vendor Details'!$D:$D,'[1]NS Vendor Details'!$H:$H,'G&amp;A Vendor x GL Analysis'!AD$20,'[1]NS Vendor Details'!$L:$L,'G&amp;A Vendor x GL Analysis'!$D142,'[1]NS Vendor Details'!$O:$O,'G&amp;A Vendor x GL Analysis'!$F142,'[1]NS Vendor Details'!$N:$N,"Direct Costs",'[1]NS Vendor Details'!$J:$J,0,'[1]NS Vendor Details'!$K:$K,'G&amp;A Vendor x GL Analysis'!$E$8,'[1]NS Vendor Details'!$I:$I,'G&amp;A Vendor x GL Analysis'!$E142),0))</f>
        <v>0</v>
      </c>
      <c r="AF142" s="19">
        <f t="shared" si="23"/>
        <v>0</v>
      </c>
    </row>
    <row r="143" spans="1:32" outlineLevel="1">
      <c r="A143" s="8" t="str">
        <f t="shared" si="22"/>
        <v>Professional Service6393 - Software</v>
      </c>
      <c r="C143" s="8" t="s">
        <v>11</v>
      </c>
      <c r="D143" s="8" t="str">
        <f t="shared" si="21"/>
        <v>Professional Service</v>
      </c>
      <c r="E143" s="2" t="s">
        <v>101</v>
      </c>
      <c r="F143" s="2" t="s">
        <v>135</v>
      </c>
      <c r="G143" s="16">
        <f>IF(AND(G$15="Actual",ISBLANK($E$8)),SUMIFS('[1]NS Vendor Details'!$D:$D,'[1]NS Vendor Details'!$H:$H,'G&amp;A Vendor x GL Analysis'!G$20,'[1]NS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Analysis'!G$20,'[1]NS Vendor Details'!$L:$L,'G&amp;A Vendor x GL Analysis'!$D143,'[1]NS Vendor Details'!$O:$O,'G&amp;A Vendor x GL Analysis'!$F143,'[1]NS Vendor Details'!$N:$N,"Direct Costs",'[1]NS Vendor Details'!$J:$J,0),IF(G$15="Actual",SUMIFS('[1]NS Vendor Details'!$D:$D,'[1]NS Vendor Details'!$H:$H,'G&amp;A Vendor x GL Analysis'!G$20,'[1]NS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Analysis'!G$20,'[1]NS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H143" s="17">
        <f>IF(AND(H$15="Actual",ISBLANK($E$8)),SUMIFS('[1]NS Vendor Details'!$D:$D,'[1]NS Vendor Details'!$H:$H,'G&amp;A Vendor x GL Analysis'!H$20,'[1]NS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Analysis'!H$20,'[1]NS Vendor Details'!$L:$L,'G&amp;A Vendor x GL Analysis'!$D143,'[1]NS Vendor Details'!$O:$O,'G&amp;A Vendor x GL Analysis'!$F143,'[1]NS Vendor Details'!$N:$N,"Direct Costs",'[1]NS Vendor Details'!$J:$J,0),IF(H$15="Actual",SUMIFS('[1]NS Vendor Details'!$D:$D,'[1]NS Vendor Details'!$H:$H,'G&amp;A Vendor x GL Analysis'!H$20,'[1]NS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Analysis'!H$20,'[1]NS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I143" s="17">
        <f>IF(AND(I$15="Actual",ISBLANK($E$8)),SUMIFS('[1]NS Vendor Details'!$D:$D,'[1]NS Vendor Details'!$H:$H,'G&amp;A Vendor x GL Analysis'!I$20,'[1]NS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Analysis'!I$20,'[1]NS Vendor Details'!$L:$L,'G&amp;A Vendor x GL Analysis'!$D143,'[1]NS Vendor Details'!$O:$O,'G&amp;A Vendor x GL Analysis'!$F143,'[1]NS Vendor Details'!$N:$N,"Direct Costs",'[1]NS Vendor Details'!$J:$J,0),IF(I$15="Actual",SUMIFS('[1]NS Vendor Details'!$D:$D,'[1]NS Vendor Details'!$H:$H,'G&amp;A Vendor x GL Analysis'!I$20,'[1]NS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Analysis'!I$20,'[1]NS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J143" s="17">
        <f>IF(AND(J$15="Actual",ISBLANK($E$8)),SUMIFS('[1]NS Vendor Details'!$D:$D,'[1]NS Vendor Details'!$H:$H,'G&amp;A Vendor x GL Analysis'!J$20,'[1]NS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Analysis'!J$20,'[1]NS Vendor Details'!$L:$L,'G&amp;A Vendor x GL Analysis'!$D143,'[1]NS Vendor Details'!$O:$O,'G&amp;A Vendor x GL Analysis'!$F143,'[1]NS Vendor Details'!$N:$N,"Direct Costs",'[1]NS Vendor Details'!$J:$J,0),IF(J$15="Actual",SUMIFS('[1]NS Vendor Details'!$D:$D,'[1]NS Vendor Details'!$H:$H,'G&amp;A Vendor x GL Analysis'!J$20,'[1]NS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Analysis'!J$20,'[1]NS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K143" s="17">
        <f>IF(AND(K$15="Actual",ISBLANK($E$8)),SUMIFS('[1]NS Vendor Details'!$D:$D,'[1]NS Vendor Details'!$H:$H,'G&amp;A Vendor x GL Analysis'!K$20,'[1]NS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Analysis'!K$20,'[1]NS Vendor Details'!$L:$L,'G&amp;A Vendor x GL Analysis'!$D143,'[1]NS Vendor Details'!$O:$O,'G&amp;A Vendor x GL Analysis'!$F143,'[1]NS Vendor Details'!$N:$N,"Direct Costs",'[1]NS Vendor Details'!$J:$J,0),IF(K$15="Actual",SUMIFS('[1]NS Vendor Details'!$D:$D,'[1]NS Vendor Details'!$H:$H,'G&amp;A Vendor x GL Analysis'!K$20,'[1]NS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Analysis'!K$20,'[1]NS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L143" s="17">
        <f>IF(AND(L$15="Actual",ISBLANK($E$8)),SUMIFS('[1]NS Vendor Details'!$D:$D,'[1]NS Vendor Details'!$H:$H,'G&amp;A Vendor x GL Analysis'!L$20,'[1]NS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Analysis'!L$20,'[1]NS Vendor Details'!$L:$L,'G&amp;A Vendor x GL Analysis'!$D143,'[1]NS Vendor Details'!$O:$O,'G&amp;A Vendor x GL Analysis'!$F143,'[1]NS Vendor Details'!$N:$N,"Direct Costs",'[1]NS Vendor Details'!$J:$J,0),IF(L$15="Actual",SUMIFS('[1]NS Vendor Details'!$D:$D,'[1]NS Vendor Details'!$H:$H,'G&amp;A Vendor x GL Analysis'!L$20,'[1]NS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Analysis'!L$20,'[1]NS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M143" s="17">
        <f>IF(AND(M$15="Actual",ISBLANK($E$8)),SUMIFS('[1]NS Vendor Details'!$D:$D,'[1]NS Vendor Details'!$H:$H,'G&amp;A Vendor x GL Analysis'!M$20,'[1]NS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Analysis'!M$20,'[1]NS Vendor Details'!$L:$L,'G&amp;A Vendor x GL Analysis'!$D143,'[1]NS Vendor Details'!$O:$O,'G&amp;A Vendor x GL Analysis'!$F143,'[1]NS Vendor Details'!$N:$N,"Direct Costs",'[1]NS Vendor Details'!$J:$J,0),IF(M$15="Actual",SUMIFS('[1]NS Vendor Details'!$D:$D,'[1]NS Vendor Details'!$H:$H,'G&amp;A Vendor x GL Analysis'!M$20,'[1]NS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Analysis'!M$20,'[1]NS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N143" s="17">
        <f>IF(AND(N$15="Actual",ISBLANK($E$8)),SUMIFS('[1]NS Vendor Details'!$D:$D,'[1]NS Vendor Details'!$H:$H,'G&amp;A Vendor x GL Analysis'!N$20,'[1]NS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Analysis'!N$20,'[1]NS Vendor Details'!$L:$L,'G&amp;A Vendor x GL Analysis'!$D143,'[1]NS Vendor Details'!$O:$O,'G&amp;A Vendor x GL Analysis'!$F143,'[1]NS Vendor Details'!$N:$N,"Direct Costs",'[1]NS Vendor Details'!$J:$J,0),IF(N$15="Actual",SUMIFS('[1]NS Vendor Details'!$D:$D,'[1]NS Vendor Details'!$H:$H,'G&amp;A Vendor x GL Analysis'!N$20,'[1]NS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Analysis'!N$20,'[1]NS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O143" s="17">
        <f>IF(AND(O$15="Actual",ISBLANK($E$8)),SUMIFS('[1]NS Vendor Details'!$D:$D,'[1]NS Vendor Details'!$H:$H,'G&amp;A Vendor x GL Analysis'!O$20,'[1]NS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Analysis'!O$20,'[1]NS Vendor Details'!$L:$L,'G&amp;A Vendor x GL Analysis'!$D143,'[1]NS Vendor Details'!$O:$O,'G&amp;A Vendor x GL Analysis'!$F143,'[1]NS Vendor Details'!$N:$N,"Direct Costs",'[1]NS Vendor Details'!$J:$J,0),IF(O$15="Actual",SUMIFS('[1]NS Vendor Details'!$D:$D,'[1]NS Vendor Details'!$H:$H,'G&amp;A Vendor x GL Analysis'!O$20,'[1]NS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Analysis'!O$20,'[1]NS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P143" s="17">
        <f>IF(AND(P$15="Actual",ISBLANK($E$8)),SUMIFS('[1]NS Vendor Details'!$D:$D,'[1]NS Vendor Details'!$H:$H,'G&amp;A Vendor x GL Analysis'!P$20,'[1]NS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Analysis'!P$20,'[1]NS Vendor Details'!$L:$L,'G&amp;A Vendor x GL Analysis'!$D143,'[1]NS Vendor Details'!$O:$O,'G&amp;A Vendor x GL Analysis'!$F143,'[1]NS Vendor Details'!$N:$N,"Direct Costs",'[1]NS Vendor Details'!$J:$J,0),IF(P$15="Actual",SUMIFS('[1]NS Vendor Details'!$D:$D,'[1]NS Vendor Details'!$H:$H,'G&amp;A Vendor x GL Analysis'!P$20,'[1]NS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Analysis'!P$20,'[1]NS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Q143" s="17">
        <f>IF(AND(Q$15="Actual",ISBLANK($E$8)),SUMIFS('[1]NS Vendor Details'!$D:$D,'[1]NS Vendor Details'!$H:$H,'G&amp;A Vendor x GL Analysis'!Q$20,'[1]NS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Analysis'!Q$20,'[1]NS Vendor Details'!$L:$L,'G&amp;A Vendor x GL Analysis'!$D143,'[1]NS Vendor Details'!$O:$O,'G&amp;A Vendor x GL Analysis'!$F143,'[1]NS Vendor Details'!$N:$N,"Direct Costs",'[1]NS Vendor Details'!$J:$J,0),IF(Q$15="Actual",SUMIFS('[1]NS Vendor Details'!$D:$D,'[1]NS Vendor Details'!$H:$H,'G&amp;A Vendor x GL Analysis'!Q$20,'[1]NS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Analysis'!Q$20,'[1]NS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R143" s="18">
        <f>IF(AND(R$15="Actual",ISBLANK($E$8)),SUMIFS('[1]NS Vendor Details'!$D:$D,'[1]NS Vendor Details'!$H:$H,'G&amp;A Vendor x GL Analysis'!R$20,'[1]NS Vendor Details'!$L:$L,'G&amp;A Vendor x GL Analysis'!$D143,'[1]NS Vendor Details'!$O:$O,'G&amp;A Vendor x GL Analysis'!$F143,'[1]NS Vendor Details'!$N:$N,'G&amp;A Vendor x GL Analysis'!$C143)+SUMIFS('[1]NS Vendor Details'!$D:$D,'[1]NS Vendor Details'!$H:$H,'G&amp;A Vendor x GL Analysis'!R$20,'[1]NS Vendor Details'!$L:$L,'G&amp;A Vendor x GL Analysis'!$D143,'[1]NS Vendor Details'!$O:$O,'G&amp;A Vendor x GL Analysis'!$F143,'[1]NS Vendor Details'!$N:$N,"Direct Costs",'[1]NS Vendor Details'!$J:$J,0),IF(R$15="Actual",SUMIFS('[1]NS Vendor Details'!$D:$D,'[1]NS Vendor Details'!$H:$H,'G&amp;A Vendor x GL Analysis'!R$20,'[1]NS Vendor Details'!$L:$L,'G&amp;A Vendor x GL Analysis'!$D143,'[1]NS Vendor Details'!$O:$O,'G&amp;A Vendor x GL Analysis'!$F143,'[1]NS Vendor Details'!$N:$N,'G&amp;A Vendor x GL Analysis'!$C143,'[1]NS Vendor Details'!$K:$K,'G&amp;A Vendor x GL Analysis'!$E$8)+SUMIFS('[1]NS Vendor Details'!$D:$D,'[1]NS Vendor Details'!$H:$H,'G&amp;A Vendor x GL Analysis'!R$20,'[1]NS Vendor Details'!$L:$L,'G&amp;A Vendor x GL Analysis'!$D143,'[1]NS Vendor Details'!$O:$O,'G&amp;A Vendor x GL Analysis'!$F143,'[1]NS Vendor Details'!$N:$N,"Direct Costs",'[1]NS Vendor Details'!$J:$J,0,'[1]NS Vendor Details'!$K:$K,'G&amp;A Vendor x GL Analysis'!$E$8),0))</f>
        <v>0</v>
      </c>
      <c r="S143" s="16">
        <f>IF(AND(S$15="Actual",ISBLANK($E$8)),SUMIFS('[1]NS Vendor Details'!$D:$D,'[1]NS Vendor Details'!$H:$H,'G&amp;A Vendor x GL Analysis'!S$20,'[1]NS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Analysis'!S$20,'[1]NS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Analysis'!$E143),IF(S$15="Actual",SUMIFS('[1]NS Vendor Details'!$D:$D,'[1]NS Vendor Details'!$H:$H,'G&amp;A Vendor x GL Analysis'!S$20,'[1]NS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Analysis'!S$20,'[1]NS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T143" s="17">
        <f>IF(AND(T$15="Actual",ISBLANK($E$8)),SUMIFS('[1]NS Vendor Details'!$D:$D,'[1]NS Vendor Details'!$H:$H,'G&amp;A Vendor x GL Analysis'!T$20,'[1]NS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Analysis'!T$20,'[1]NS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Analysis'!$E143),IF(T$15="Actual",SUMIFS('[1]NS Vendor Details'!$D:$D,'[1]NS Vendor Details'!$H:$H,'G&amp;A Vendor x GL Analysis'!T$20,'[1]NS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Analysis'!T$20,'[1]NS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U143" s="17">
        <f>IF(AND(U$15="Actual",ISBLANK($E$8)),SUMIFS('[1]NS Vendor Details'!$D:$D,'[1]NS Vendor Details'!$H:$H,'G&amp;A Vendor x GL Analysis'!U$20,'[1]NS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Analysis'!U$20,'[1]NS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Analysis'!$E143),IF(U$15="Actual",SUMIFS('[1]NS Vendor Details'!$D:$D,'[1]NS Vendor Details'!$H:$H,'G&amp;A Vendor x GL Analysis'!U$20,'[1]NS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Analysis'!U$20,'[1]NS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V143" s="17">
        <f>IF(AND(V$15="Actual",ISBLANK($E$8)),SUMIFS('[1]NS Vendor Details'!$D:$D,'[1]NS Vendor Details'!$H:$H,'G&amp;A Vendor x GL Analysis'!V$20,'[1]NS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Analysis'!V$20,'[1]NS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Analysis'!$E143),IF(V$15="Actual",SUMIFS('[1]NS Vendor Details'!$D:$D,'[1]NS Vendor Details'!$H:$H,'G&amp;A Vendor x GL Analysis'!V$20,'[1]NS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Analysis'!V$20,'[1]NS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W143" s="17">
        <f>IF(AND(W$15="Actual",ISBLANK($E$8)),SUMIFS('[1]NS Vendor Details'!$D:$D,'[1]NS Vendor Details'!$H:$H,'G&amp;A Vendor x GL Analysis'!W$20,'[1]NS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Analysis'!W$20,'[1]NS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Analysis'!$E143),IF(W$15="Actual",SUMIFS('[1]NS Vendor Details'!$D:$D,'[1]NS Vendor Details'!$H:$H,'G&amp;A Vendor x GL Analysis'!W$20,'[1]NS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Analysis'!W$20,'[1]NS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X143" s="17">
        <f>IF(AND(X$15="Actual",ISBLANK($E$8)),SUMIFS('[1]NS Vendor Details'!$D:$D,'[1]NS Vendor Details'!$H:$H,'G&amp;A Vendor x GL Analysis'!X$20,'[1]NS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Analysis'!X$20,'[1]NS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Analysis'!$E143),IF(X$15="Actual",SUMIFS('[1]NS Vendor Details'!$D:$D,'[1]NS Vendor Details'!$H:$H,'G&amp;A Vendor x GL Analysis'!X$20,'[1]NS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Analysis'!X$20,'[1]NS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Y143" s="17">
        <f>IF(AND(Y$15="Actual",ISBLANK($E$8)),SUMIFS('[1]NS Vendor Details'!$D:$D,'[1]NS Vendor Details'!$H:$H,'G&amp;A Vendor x GL Analysis'!Y$20,'[1]NS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Analysis'!Y$20,'[1]NS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Analysis'!$E143),IF(Y$15="Actual",SUMIFS('[1]NS Vendor Details'!$D:$D,'[1]NS Vendor Details'!$H:$H,'G&amp;A Vendor x GL Analysis'!Y$20,'[1]NS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Analysis'!Y$20,'[1]NS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Z143" s="17">
        <f>IF(AND(Z$15="Actual",ISBLANK($E$8)),SUMIFS('[1]NS Vendor Details'!$D:$D,'[1]NS Vendor Details'!$H:$H,'G&amp;A Vendor x GL Analysis'!Z$20,'[1]NS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Analysis'!Z$20,'[1]NS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Analysis'!$E143),IF(Z$15="Actual",SUMIFS('[1]NS Vendor Details'!$D:$D,'[1]NS Vendor Details'!$H:$H,'G&amp;A Vendor x GL Analysis'!Z$20,'[1]NS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Analysis'!Z$20,'[1]NS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AA143" s="17">
        <f>IF(AND(AA$15="Actual",ISBLANK($E$8)),SUMIFS('[1]NS Vendor Details'!$D:$D,'[1]NS Vendor Details'!$H:$H,'G&amp;A Vendor x GL Analysis'!AA$20,'[1]NS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Analysis'!AA$20,'[1]NS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Analysis'!$E143),IF(AA$15="Actual",SUMIFS('[1]NS Vendor Details'!$D:$D,'[1]NS Vendor Details'!$H:$H,'G&amp;A Vendor x GL Analysis'!AA$20,'[1]NS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Analysis'!AA$20,'[1]NS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AB143" s="17">
        <f>IF(AND(AB$15="Actual",ISBLANK($E$8)),SUMIFS('[1]NS Vendor Details'!$D:$D,'[1]NS Vendor Details'!$H:$H,'G&amp;A Vendor x GL Analysis'!AB$20,'[1]NS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Analysis'!AB$20,'[1]NS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Analysis'!$E143),IF(AB$15="Actual",SUMIFS('[1]NS Vendor Details'!$D:$D,'[1]NS Vendor Details'!$H:$H,'G&amp;A Vendor x GL Analysis'!AB$20,'[1]NS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Analysis'!AB$20,'[1]NS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AC143" s="18">
        <f>IF(AND(AC$15="Actual",ISBLANK($E$8)),SUMIFS('[1]NS Vendor Details'!$D:$D,'[1]NS Vendor Details'!$H:$H,'G&amp;A Vendor x GL Analysis'!AC$20,'[1]NS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Analysis'!AC$20,'[1]NS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Analysis'!$E143),IF(AC$15="Actual",SUMIFS('[1]NS Vendor Details'!$D:$D,'[1]NS Vendor Details'!$H:$H,'G&amp;A Vendor x GL Analysis'!AC$20,'[1]NS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Analysis'!AC$20,'[1]NS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AD143" s="18">
        <f>IF(AND(AD$15="Actual",ISBLANK($E$8)),SUMIFS('[1]NS Vendor Details'!$D:$D,'[1]NS Vendor Details'!$H:$H,'G&amp;A Vendor x GL Analysis'!AD$20,'[1]NS Vendor Details'!$L:$L,'G&amp;A Vendor x GL Analysis'!$D143,'[1]NS Vendor Details'!$O:$O,'G&amp;A Vendor x GL Analysis'!$F143,'[1]NS Vendor Details'!$N:$N,'G&amp;A Vendor x GL Analysis'!$C143,'[1]NS Vendor Details'!$I:$I,'G&amp;A Vendor x GL Analysis'!$E143)+SUMIFS('[1]NS Vendor Details'!$D:$D,'[1]NS Vendor Details'!$H:$H,'G&amp;A Vendor x GL Analysis'!AD$20,'[1]NS Vendor Details'!$L:$L,'G&amp;A Vendor x GL Analysis'!$D143,'[1]NS Vendor Details'!$O:$O,'G&amp;A Vendor x GL Analysis'!$F143,'[1]NS Vendor Details'!$N:$N,"Direct Costs",'[1]NS Vendor Details'!$J:$J,0,'[1]NS Vendor Details'!$I:$I,'G&amp;A Vendor x GL Analysis'!$E143),IF(AD$15="Actual",SUMIFS('[1]NS Vendor Details'!$D:$D,'[1]NS Vendor Details'!$H:$H,'G&amp;A Vendor x GL Analysis'!AD$20,'[1]NS Vendor Details'!$L:$L,'G&amp;A Vendor x GL Analysis'!$D143,'[1]NS Vendor Details'!$O:$O,'G&amp;A Vendor x GL Analysis'!$F143,'[1]NS Vendor Details'!$N:$N,'G&amp;A Vendor x GL Analysis'!$C143,'[1]NS Vendor Details'!$K:$K,'G&amp;A Vendor x GL Analysis'!$E$8,'[1]NS Vendor Details'!$I:$I,'G&amp;A Vendor x GL Analysis'!$E143)+SUMIFS('[1]NS Vendor Details'!$D:$D,'[1]NS Vendor Details'!$H:$H,'G&amp;A Vendor x GL Analysis'!AD$20,'[1]NS Vendor Details'!$L:$L,'G&amp;A Vendor x GL Analysis'!$D143,'[1]NS Vendor Details'!$O:$O,'G&amp;A Vendor x GL Analysis'!$F143,'[1]NS Vendor Details'!$N:$N,"Direct Costs",'[1]NS Vendor Details'!$J:$J,0,'[1]NS Vendor Details'!$K:$K,'G&amp;A Vendor x GL Analysis'!$E$8,'[1]NS Vendor Details'!$I:$I,'G&amp;A Vendor x GL Analysis'!$E143),0))</f>
        <v>0</v>
      </c>
      <c r="AF143" s="19">
        <f t="shared" si="23"/>
        <v>0</v>
      </c>
    </row>
    <row r="144" spans="1:32" outlineLevel="1">
      <c r="A144" s="8" t="str">
        <f t="shared" si="22"/>
        <v>Professional Service6393 - Software</v>
      </c>
      <c r="C144" s="8" t="s">
        <v>11</v>
      </c>
      <c r="D144" s="8" t="str">
        <f t="shared" ref="D144:D162" si="24">D143</f>
        <v>Professional Service</v>
      </c>
      <c r="E144" s="2" t="s">
        <v>101</v>
      </c>
      <c r="F144" s="2" t="s">
        <v>136</v>
      </c>
      <c r="G144" s="16">
        <f>IF(AND(G$15="Actual",ISBLANK($E$8)),SUMIFS('[1]NS Vendor Details'!$D:$D,'[1]NS Vendor Details'!$H:$H,'G&amp;A Vendor x GL Analysis'!G$20,'[1]NS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Analysis'!G$20,'[1]NS Vendor Details'!$L:$L,'G&amp;A Vendor x GL Analysis'!$D144,'[1]NS Vendor Details'!$O:$O,'G&amp;A Vendor x GL Analysis'!$F144,'[1]NS Vendor Details'!$N:$N,"Direct Costs",'[1]NS Vendor Details'!$J:$J,0),IF(G$15="Actual",SUMIFS('[1]NS Vendor Details'!$D:$D,'[1]NS Vendor Details'!$H:$H,'G&amp;A Vendor x GL Analysis'!G$20,'[1]NS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Analysis'!G$20,'[1]NS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H144" s="17">
        <f>IF(AND(H$15="Actual",ISBLANK($E$8)),SUMIFS('[1]NS Vendor Details'!$D:$D,'[1]NS Vendor Details'!$H:$H,'G&amp;A Vendor x GL Analysis'!H$20,'[1]NS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Analysis'!H$20,'[1]NS Vendor Details'!$L:$L,'G&amp;A Vendor x GL Analysis'!$D144,'[1]NS Vendor Details'!$O:$O,'G&amp;A Vendor x GL Analysis'!$F144,'[1]NS Vendor Details'!$N:$N,"Direct Costs",'[1]NS Vendor Details'!$J:$J,0),IF(H$15="Actual",SUMIFS('[1]NS Vendor Details'!$D:$D,'[1]NS Vendor Details'!$H:$H,'G&amp;A Vendor x GL Analysis'!H$20,'[1]NS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Analysis'!H$20,'[1]NS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I144" s="17">
        <f>IF(AND(I$15="Actual",ISBLANK($E$8)),SUMIFS('[1]NS Vendor Details'!$D:$D,'[1]NS Vendor Details'!$H:$H,'G&amp;A Vendor x GL Analysis'!I$20,'[1]NS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Analysis'!I$20,'[1]NS Vendor Details'!$L:$L,'G&amp;A Vendor x GL Analysis'!$D144,'[1]NS Vendor Details'!$O:$O,'G&amp;A Vendor x GL Analysis'!$F144,'[1]NS Vendor Details'!$N:$N,"Direct Costs",'[1]NS Vendor Details'!$J:$J,0),IF(I$15="Actual",SUMIFS('[1]NS Vendor Details'!$D:$D,'[1]NS Vendor Details'!$H:$H,'G&amp;A Vendor x GL Analysis'!I$20,'[1]NS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Analysis'!I$20,'[1]NS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J144" s="17">
        <f>IF(AND(J$15="Actual",ISBLANK($E$8)),SUMIFS('[1]NS Vendor Details'!$D:$D,'[1]NS Vendor Details'!$H:$H,'G&amp;A Vendor x GL Analysis'!J$20,'[1]NS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Analysis'!J$20,'[1]NS Vendor Details'!$L:$L,'G&amp;A Vendor x GL Analysis'!$D144,'[1]NS Vendor Details'!$O:$O,'G&amp;A Vendor x GL Analysis'!$F144,'[1]NS Vendor Details'!$N:$N,"Direct Costs",'[1]NS Vendor Details'!$J:$J,0),IF(J$15="Actual",SUMIFS('[1]NS Vendor Details'!$D:$D,'[1]NS Vendor Details'!$H:$H,'G&amp;A Vendor x GL Analysis'!J$20,'[1]NS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Analysis'!J$20,'[1]NS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K144" s="17">
        <f>IF(AND(K$15="Actual",ISBLANK($E$8)),SUMIFS('[1]NS Vendor Details'!$D:$D,'[1]NS Vendor Details'!$H:$H,'G&amp;A Vendor x GL Analysis'!K$20,'[1]NS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Analysis'!K$20,'[1]NS Vendor Details'!$L:$L,'G&amp;A Vendor x GL Analysis'!$D144,'[1]NS Vendor Details'!$O:$O,'G&amp;A Vendor x GL Analysis'!$F144,'[1]NS Vendor Details'!$N:$N,"Direct Costs",'[1]NS Vendor Details'!$J:$J,0),IF(K$15="Actual",SUMIFS('[1]NS Vendor Details'!$D:$D,'[1]NS Vendor Details'!$H:$H,'G&amp;A Vendor x GL Analysis'!K$20,'[1]NS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Analysis'!K$20,'[1]NS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L144" s="17">
        <f>IF(AND(L$15="Actual",ISBLANK($E$8)),SUMIFS('[1]NS Vendor Details'!$D:$D,'[1]NS Vendor Details'!$H:$H,'G&amp;A Vendor x GL Analysis'!L$20,'[1]NS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Analysis'!L$20,'[1]NS Vendor Details'!$L:$L,'G&amp;A Vendor x GL Analysis'!$D144,'[1]NS Vendor Details'!$O:$O,'G&amp;A Vendor x GL Analysis'!$F144,'[1]NS Vendor Details'!$N:$N,"Direct Costs",'[1]NS Vendor Details'!$J:$J,0),IF(L$15="Actual",SUMIFS('[1]NS Vendor Details'!$D:$D,'[1]NS Vendor Details'!$H:$H,'G&amp;A Vendor x GL Analysis'!L$20,'[1]NS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Analysis'!L$20,'[1]NS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M144" s="17">
        <f>IF(AND(M$15="Actual",ISBLANK($E$8)),SUMIFS('[1]NS Vendor Details'!$D:$D,'[1]NS Vendor Details'!$H:$H,'G&amp;A Vendor x GL Analysis'!M$20,'[1]NS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Analysis'!M$20,'[1]NS Vendor Details'!$L:$L,'G&amp;A Vendor x GL Analysis'!$D144,'[1]NS Vendor Details'!$O:$O,'G&amp;A Vendor x GL Analysis'!$F144,'[1]NS Vendor Details'!$N:$N,"Direct Costs",'[1]NS Vendor Details'!$J:$J,0),IF(M$15="Actual",SUMIFS('[1]NS Vendor Details'!$D:$D,'[1]NS Vendor Details'!$H:$H,'G&amp;A Vendor x GL Analysis'!M$20,'[1]NS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Analysis'!M$20,'[1]NS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N144" s="17">
        <f>IF(AND(N$15="Actual",ISBLANK($E$8)),SUMIFS('[1]NS Vendor Details'!$D:$D,'[1]NS Vendor Details'!$H:$H,'G&amp;A Vendor x GL Analysis'!N$20,'[1]NS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Analysis'!N$20,'[1]NS Vendor Details'!$L:$L,'G&amp;A Vendor x GL Analysis'!$D144,'[1]NS Vendor Details'!$O:$O,'G&amp;A Vendor x GL Analysis'!$F144,'[1]NS Vendor Details'!$N:$N,"Direct Costs",'[1]NS Vendor Details'!$J:$J,0),IF(N$15="Actual",SUMIFS('[1]NS Vendor Details'!$D:$D,'[1]NS Vendor Details'!$H:$H,'G&amp;A Vendor x GL Analysis'!N$20,'[1]NS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Analysis'!N$20,'[1]NS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O144" s="17">
        <f>IF(AND(O$15="Actual",ISBLANK($E$8)),SUMIFS('[1]NS Vendor Details'!$D:$D,'[1]NS Vendor Details'!$H:$H,'G&amp;A Vendor x GL Analysis'!O$20,'[1]NS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Analysis'!O$20,'[1]NS Vendor Details'!$L:$L,'G&amp;A Vendor x GL Analysis'!$D144,'[1]NS Vendor Details'!$O:$O,'G&amp;A Vendor x GL Analysis'!$F144,'[1]NS Vendor Details'!$N:$N,"Direct Costs",'[1]NS Vendor Details'!$J:$J,0),IF(O$15="Actual",SUMIFS('[1]NS Vendor Details'!$D:$D,'[1]NS Vendor Details'!$H:$H,'G&amp;A Vendor x GL Analysis'!O$20,'[1]NS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Analysis'!O$20,'[1]NS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P144" s="17">
        <f>IF(AND(P$15="Actual",ISBLANK($E$8)),SUMIFS('[1]NS Vendor Details'!$D:$D,'[1]NS Vendor Details'!$H:$H,'G&amp;A Vendor x GL Analysis'!P$20,'[1]NS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Analysis'!P$20,'[1]NS Vendor Details'!$L:$L,'G&amp;A Vendor x GL Analysis'!$D144,'[1]NS Vendor Details'!$O:$O,'G&amp;A Vendor x GL Analysis'!$F144,'[1]NS Vendor Details'!$N:$N,"Direct Costs",'[1]NS Vendor Details'!$J:$J,0),IF(P$15="Actual",SUMIFS('[1]NS Vendor Details'!$D:$D,'[1]NS Vendor Details'!$H:$H,'G&amp;A Vendor x GL Analysis'!P$20,'[1]NS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Analysis'!P$20,'[1]NS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Q144" s="17">
        <f>IF(AND(Q$15="Actual",ISBLANK($E$8)),SUMIFS('[1]NS Vendor Details'!$D:$D,'[1]NS Vendor Details'!$H:$H,'G&amp;A Vendor x GL Analysis'!Q$20,'[1]NS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Analysis'!Q$20,'[1]NS Vendor Details'!$L:$L,'G&amp;A Vendor x GL Analysis'!$D144,'[1]NS Vendor Details'!$O:$O,'G&amp;A Vendor x GL Analysis'!$F144,'[1]NS Vendor Details'!$N:$N,"Direct Costs",'[1]NS Vendor Details'!$J:$J,0),IF(Q$15="Actual",SUMIFS('[1]NS Vendor Details'!$D:$D,'[1]NS Vendor Details'!$H:$H,'G&amp;A Vendor x GL Analysis'!Q$20,'[1]NS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Analysis'!Q$20,'[1]NS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R144" s="18">
        <f>IF(AND(R$15="Actual",ISBLANK($E$8)),SUMIFS('[1]NS Vendor Details'!$D:$D,'[1]NS Vendor Details'!$H:$H,'G&amp;A Vendor x GL Analysis'!R$20,'[1]NS Vendor Details'!$L:$L,'G&amp;A Vendor x GL Analysis'!$D144,'[1]NS Vendor Details'!$O:$O,'G&amp;A Vendor x GL Analysis'!$F144,'[1]NS Vendor Details'!$N:$N,'G&amp;A Vendor x GL Analysis'!$C144)+SUMIFS('[1]NS Vendor Details'!$D:$D,'[1]NS Vendor Details'!$H:$H,'G&amp;A Vendor x GL Analysis'!R$20,'[1]NS Vendor Details'!$L:$L,'G&amp;A Vendor x GL Analysis'!$D144,'[1]NS Vendor Details'!$O:$O,'G&amp;A Vendor x GL Analysis'!$F144,'[1]NS Vendor Details'!$N:$N,"Direct Costs",'[1]NS Vendor Details'!$J:$J,0),IF(R$15="Actual",SUMIFS('[1]NS Vendor Details'!$D:$D,'[1]NS Vendor Details'!$H:$H,'G&amp;A Vendor x GL Analysis'!R$20,'[1]NS Vendor Details'!$L:$L,'G&amp;A Vendor x GL Analysis'!$D144,'[1]NS Vendor Details'!$O:$O,'G&amp;A Vendor x GL Analysis'!$F144,'[1]NS Vendor Details'!$N:$N,'G&amp;A Vendor x GL Analysis'!$C144,'[1]NS Vendor Details'!$K:$K,'G&amp;A Vendor x GL Analysis'!$E$8)+SUMIFS('[1]NS Vendor Details'!$D:$D,'[1]NS Vendor Details'!$H:$H,'G&amp;A Vendor x GL Analysis'!R$20,'[1]NS Vendor Details'!$L:$L,'G&amp;A Vendor x GL Analysis'!$D144,'[1]NS Vendor Details'!$O:$O,'G&amp;A Vendor x GL Analysis'!$F144,'[1]NS Vendor Details'!$N:$N,"Direct Costs",'[1]NS Vendor Details'!$J:$J,0,'[1]NS Vendor Details'!$K:$K,'G&amp;A Vendor x GL Analysis'!$E$8),0))</f>
        <v>0</v>
      </c>
      <c r="S144" s="16">
        <f>IF(AND(S$15="Actual",ISBLANK($E$8)),SUMIFS('[1]NS Vendor Details'!$D:$D,'[1]NS Vendor Details'!$H:$H,'G&amp;A Vendor x GL Analysis'!S$20,'[1]NS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Analysis'!S$20,'[1]NS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Analysis'!$E144),IF(S$15="Actual",SUMIFS('[1]NS Vendor Details'!$D:$D,'[1]NS Vendor Details'!$H:$H,'G&amp;A Vendor x GL Analysis'!S$20,'[1]NS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Analysis'!S$20,'[1]NS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T144" s="17">
        <f>IF(AND(T$15="Actual",ISBLANK($E$8)),SUMIFS('[1]NS Vendor Details'!$D:$D,'[1]NS Vendor Details'!$H:$H,'G&amp;A Vendor x GL Analysis'!T$20,'[1]NS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Analysis'!T$20,'[1]NS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Analysis'!$E144),IF(T$15="Actual",SUMIFS('[1]NS Vendor Details'!$D:$D,'[1]NS Vendor Details'!$H:$H,'G&amp;A Vendor x GL Analysis'!T$20,'[1]NS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Analysis'!T$20,'[1]NS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U144" s="17">
        <f>IF(AND(U$15="Actual",ISBLANK($E$8)),SUMIFS('[1]NS Vendor Details'!$D:$D,'[1]NS Vendor Details'!$H:$H,'G&amp;A Vendor x GL Analysis'!U$20,'[1]NS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Analysis'!U$20,'[1]NS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Analysis'!$E144),IF(U$15="Actual",SUMIFS('[1]NS Vendor Details'!$D:$D,'[1]NS Vendor Details'!$H:$H,'G&amp;A Vendor x GL Analysis'!U$20,'[1]NS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Analysis'!U$20,'[1]NS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V144" s="17">
        <f>IF(AND(V$15="Actual",ISBLANK($E$8)),SUMIFS('[1]NS Vendor Details'!$D:$D,'[1]NS Vendor Details'!$H:$H,'G&amp;A Vendor x GL Analysis'!V$20,'[1]NS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Analysis'!V$20,'[1]NS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Analysis'!$E144),IF(V$15="Actual",SUMIFS('[1]NS Vendor Details'!$D:$D,'[1]NS Vendor Details'!$H:$H,'G&amp;A Vendor x GL Analysis'!V$20,'[1]NS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Analysis'!V$20,'[1]NS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W144" s="17">
        <f>IF(AND(W$15="Actual",ISBLANK($E$8)),SUMIFS('[1]NS Vendor Details'!$D:$D,'[1]NS Vendor Details'!$H:$H,'G&amp;A Vendor x GL Analysis'!W$20,'[1]NS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Analysis'!W$20,'[1]NS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Analysis'!$E144),IF(W$15="Actual",SUMIFS('[1]NS Vendor Details'!$D:$D,'[1]NS Vendor Details'!$H:$H,'G&amp;A Vendor x GL Analysis'!W$20,'[1]NS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Analysis'!W$20,'[1]NS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X144" s="17">
        <f>IF(AND(X$15="Actual",ISBLANK($E$8)),SUMIFS('[1]NS Vendor Details'!$D:$D,'[1]NS Vendor Details'!$H:$H,'G&amp;A Vendor x GL Analysis'!X$20,'[1]NS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Analysis'!X$20,'[1]NS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Analysis'!$E144),IF(X$15="Actual",SUMIFS('[1]NS Vendor Details'!$D:$D,'[1]NS Vendor Details'!$H:$H,'G&amp;A Vendor x GL Analysis'!X$20,'[1]NS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Analysis'!X$20,'[1]NS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Y144" s="17">
        <f>IF(AND(Y$15="Actual",ISBLANK($E$8)),SUMIFS('[1]NS Vendor Details'!$D:$D,'[1]NS Vendor Details'!$H:$H,'G&amp;A Vendor x GL Analysis'!Y$20,'[1]NS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Analysis'!Y$20,'[1]NS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Analysis'!$E144),IF(Y$15="Actual",SUMIFS('[1]NS Vendor Details'!$D:$D,'[1]NS Vendor Details'!$H:$H,'G&amp;A Vendor x GL Analysis'!Y$20,'[1]NS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Analysis'!Y$20,'[1]NS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Z144" s="17">
        <f>IF(AND(Z$15="Actual",ISBLANK($E$8)),SUMIFS('[1]NS Vendor Details'!$D:$D,'[1]NS Vendor Details'!$H:$H,'G&amp;A Vendor x GL Analysis'!Z$20,'[1]NS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Analysis'!Z$20,'[1]NS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Analysis'!$E144),IF(Z$15="Actual",SUMIFS('[1]NS Vendor Details'!$D:$D,'[1]NS Vendor Details'!$H:$H,'G&amp;A Vendor x GL Analysis'!Z$20,'[1]NS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Analysis'!Z$20,'[1]NS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AA144" s="17">
        <f>IF(AND(AA$15="Actual",ISBLANK($E$8)),SUMIFS('[1]NS Vendor Details'!$D:$D,'[1]NS Vendor Details'!$H:$H,'G&amp;A Vendor x GL Analysis'!AA$20,'[1]NS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Analysis'!AA$20,'[1]NS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Analysis'!$E144),IF(AA$15="Actual",SUMIFS('[1]NS Vendor Details'!$D:$D,'[1]NS Vendor Details'!$H:$H,'G&amp;A Vendor x GL Analysis'!AA$20,'[1]NS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Analysis'!AA$20,'[1]NS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AB144" s="17">
        <f>IF(AND(AB$15="Actual",ISBLANK($E$8)),SUMIFS('[1]NS Vendor Details'!$D:$D,'[1]NS Vendor Details'!$H:$H,'G&amp;A Vendor x GL Analysis'!AB$20,'[1]NS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Analysis'!AB$20,'[1]NS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Analysis'!$E144),IF(AB$15="Actual",SUMIFS('[1]NS Vendor Details'!$D:$D,'[1]NS Vendor Details'!$H:$H,'G&amp;A Vendor x GL Analysis'!AB$20,'[1]NS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Analysis'!AB$20,'[1]NS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AC144" s="18">
        <f>IF(AND(AC$15="Actual",ISBLANK($E$8)),SUMIFS('[1]NS Vendor Details'!$D:$D,'[1]NS Vendor Details'!$H:$H,'G&amp;A Vendor x GL Analysis'!AC$20,'[1]NS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Analysis'!AC$20,'[1]NS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Analysis'!$E144),IF(AC$15="Actual",SUMIFS('[1]NS Vendor Details'!$D:$D,'[1]NS Vendor Details'!$H:$H,'G&amp;A Vendor x GL Analysis'!AC$20,'[1]NS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Analysis'!AC$20,'[1]NS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AD144" s="18">
        <f>IF(AND(AD$15="Actual",ISBLANK($E$8)),SUMIFS('[1]NS Vendor Details'!$D:$D,'[1]NS Vendor Details'!$H:$H,'G&amp;A Vendor x GL Analysis'!AD$20,'[1]NS Vendor Details'!$L:$L,'G&amp;A Vendor x GL Analysis'!$D144,'[1]NS Vendor Details'!$O:$O,'G&amp;A Vendor x GL Analysis'!$F144,'[1]NS Vendor Details'!$N:$N,'G&amp;A Vendor x GL Analysis'!$C144,'[1]NS Vendor Details'!$I:$I,'G&amp;A Vendor x GL Analysis'!$E144)+SUMIFS('[1]NS Vendor Details'!$D:$D,'[1]NS Vendor Details'!$H:$H,'G&amp;A Vendor x GL Analysis'!AD$20,'[1]NS Vendor Details'!$L:$L,'G&amp;A Vendor x GL Analysis'!$D144,'[1]NS Vendor Details'!$O:$O,'G&amp;A Vendor x GL Analysis'!$F144,'[1]NS Vendor Details'!$N:$N,"Direct Costs",'[1]NS Vendor Details'!$J:$J,0,'[1]NS Vendor Details'!$I:$I,'G&amp;A Vendor x GL Analysis'!$E144),IF(AD$15="Actual",SUMIFS('[1]NS Vendor Details'!$D:$D,'[1]NS Vendor Details'!$H:$H,'G&amp;A Vendor x GL Analysis'!AD$20,'[1]NS Vendor Details'!$L:$L,'G&amp;A Vendor x GL Analysis'!$D144,'[1]NS Vendor Details'!$O:$O,'G&amp;A Vendor x GL Analysis'!$F144,'[1]NS Vendor Details'!$N:$N,'G&amp;A Vendor x GL Analysis'!$C144,'[1]NS Vendor Details'!$K:$K,'G&amp;A Vendor x GL Analysis'!$E$8,'[1]NS Vendor Details'!$I:$I,'G&amp;A Vendor x GL Analysis'!$E144)+SUMIFS('[1]NS Vendor Details'!$D:$D,'[1]NS Vendor Details'!$H:$H,'G&amp;A Vendor x GL Analysis'!AD$20,'[1]NS Vendor Details'!$L:$L,'G&amp;A Vendor x GL Analysis'!$D144,'[1]NS Vendor Details'!$O:$O,'G&amp;A Vendor x GL Analysis'!$F144,'[1]NS Vendor Details'!$N:$N,"Direct Costs",'[1]NS Vendor Details'!$J:$J,0,'[1]NS Vendor Details'!$K:$K,'G&amp;A Vendor x GL Analysis'!$E$8,'[1]NS Vendor Details'!$I:$I,'G&amp;A Vendor x GL Analysis'!$E144),0))</f>
        <v>0</v>
      </c>
      <c r="AF144" s="19">
        <f t="shared" si="23"/>
        <v>0</v>
      </c>
    </row>
    <row r="145" spans="1:32" outlineLevel="1">
      <c r="A145" s="8" t="str">
        <f t="shared" si="22"/>
        <v>Professional Service6393 - Software</v>
      </c>
      <c r="C145" s="8" t="s">
        <v>11</v>
      </c>
      <c r="D145" s="8" t="str">
        <f t="shared" si="24"/>
        <v>Professional Service</v>
      </c>
      <c r="E145" s="2" t="s">
        <v>101</v>
      </c>
      <c r="F145" s="2" t="s">
        <v>137</v>
      </c>
      <c r="G145" s="16">
        <f>IF(AND(G$15="Actual",ISBLANK($E$8)),SUMIFS('[1]NS Vendor Details'!$D:$D,'[1]NS Vendor Details'!$H:$H,'G&amp;A Vendor x GL Analysis'!G$20,'[1]NS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Analysis'!G$20,'[1]NS Vendor Details'!$L:$L,'G&amp;A Vendor x GL Analysis'!$D145,'[1]NS Vendor Details'!$O:$O,'G&amp;A Vendor x GL Analysis'!$F145,'[1]NS Vendor Details'!$N:$N,"Direct Costs",'[1]NS Vendor Details'!$J:$J,0),IF(G$15="Actual",SUMIFS('[1]NS Vendor Details'!$D:$D,'[1]NS Vendor Details'!$H:$H,'G&amp;A Vendor x GL Analysis'!G$20,'[1]NS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Analysis'!G$20,'[1]NS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H145" s="17">
        <f>IF(AND(H$15="Actual",ISBLANK($E$8)),SUMIFS('[1]NS Vendor Details'!$D:$D,'[1]NS Vendor Details'!$H:$H,'G&amp;A Vendor x GL Analysis'!H$20,'[1]NS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Analysis'!H$20,'[1]NS Vendor Details'!$L:$L,'G&amp;A Vendor x GL Analysis'!$D145,'[1]NS Vendor Details'!$O:$O,'G&amp;A Vendor x GL Analysis'!$F145,'[1]NS Vendor Details'!$N:$N,"Direct Costs",'[1]NS Vendor Details'!$J:$J,0),IF(H$15="Actual",SUMIFS('[1]NS Vendor Details'!$D:$D,'[1]NS Vendor Details'!$H:$H,'G&amp;A Vendor x GL Analysis'!H$20,'[1]NS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Analysis'!H$20,'[1]NS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I145" s="17">
        <f>IF(AND(I$15="Actual",ISBLANK($E$8)),SUMIFS('[1]NS Vendor Details'!$D:$D,'[1]NS Vendor Details'!$H:$H,'G&amp;A Vendor x GL Analysis'!I$20,'[1]NS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Analysis'!I$20,'[1]NS Vendor Details'!$L:$L,'G&amp;A Vendor x GL Analysis'!$D145,'[1]NS Vendor Details'!$O:$O,'G&amp;A Vendor x GL Analysis'!$F145,'[1]NS Vendor Details'!$N:$N,"Direct Costs",'[1]NS Vendor Details'!$J:$J,0),IF(I$15="Actual",SUMIFS('[1]NS Vendor Details'!$D:$D,'[1]NS Vendor Details'!$H:$H,'G&amp;A Vendor x GL Analysis'!I$20,'[1]NS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Analysis'!I$20,'[1]NS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J145" s="17">
        <f>IF(AND(J$15="Actual",ISBLANK($E$8)),SUMIFS('[1]NS Vendor Details'!$D:$D,'[1]NS Vendor Details'!$H:$H,'G&amp;A Vendor x GL Analysis'!J$20,'[1]NS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Analysis'!J$20,'[1]NS Vendor Details'!$L:$L,'G&amp;A Vendor x GL Analysis'!$D145,'[1]NS Vendor Details'!$O:$O,'G&amp;A Vendor x GL Analysis'!$F145,'[1]NS Vendor Details'!$N:$N,"Direct Costs",'[1]NS Vendor Details'!$J:$J,0),IF(J$15="Actual",SUMIFS('[1]NS Vendor Details'!$D:$D,'[1]NS Vendor Details'!$H:$H,'G&amp;A Vendor x GL Analysis'!J$20,'[1]NS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Analysis'!J$20,'[1]NS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K145" s="17">
        <f>IF(AND(K$15="Actual",ISBLANK($E$8)),SUMIFS('[1]NS Vendor Details'!$D:$D,'[1]NS Vendor Details'!$H:$H,'G&amp;A Vendor x GL Analysis'!K$20,'[1]NS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Analysis'!K$20,'[1]NS Vendor Details'!$L:$L,'G&amp;A Vendor x GL Analysis'!$D145,'[1]NS Vendor Details'!$O:$O,'G&amp;A Vendor x GL Analysis'!$F145,'[1]NS Vendor Details'!$N:$N,"Direct Costs",'[1]NS Vendor Details'!$J:$J,0),IF(K$15="Actual",SUMIFS('[1]NS Vendor Details'!$D:$D,'[1]NS Vendor Details'!$H:$H,'G&amp;A Vendor x GL Analysis'!K$20,'[1]NS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Analysis'!K$20,'[1]NS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L145" s="17">
        <f>IF(AND(L$15="Actual",ISBLANK($E$8)),SUMIFS('[1]NS Vendor Details'!$D:$D,'[1]NS Vendor Details'!$H:$H,'G&amp;A Vendor x GL Analysis'!L$20,'[1]NS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Analysis'!L$20,'[1]NS Vendor Details'!$L:$L,'G&amp;A Vendor x GL Analysis'!$D145,'[1]NS Vendor Details'!$O:$O,'G&amp;A Vendor x GL Analysis'!$F145,'[1]NS Vendor Details'!$N:$N,"Direct Costs",'[1]NS Vendor Details'!$J:$J,0),IF(L$15="Actual",SUMIFS('[1]NS Vendor Details'!$D:$D,'[1]NS Vendor Details'!$H:$H,'G&amp;A Vendor x GL Analysis'!L$20,'[1]NS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Analysis'!L$20,'[1]NS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M145" s="17">
        <f>IF(AND(M$15="Actual",ISBLANK($E$8)),SUMIFS('[1]NS Vendor Details'!$D:$D,'[1]NS Vendor Details'!$H:$H,'G&amp;A Vendor x GL Analysis'!M$20,'[1]NS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Analysis'!M$20,'[1]NS Vendor Details'!$L:$L,'G&amp;A Vendor x GL Analysis'!$D145,'[1]NS Vendor Details'!$O:$O,'G&amp;A Vendor x GL Analysis'!$F145,'[1]NS Vendor Details'!$N:$N,"Direct Costs",'[1]NS Vendor Details'!$J:$J,0),IF(M$15="Actual",SUMIFS('[1]NS Vendor Details'!$D:$D,'[1]NS Vendor Details'!$H:$H,'G&amp;A Vendor x GL Analysis'!M$20,'[1]NS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Analysis'!M$20,'[1]NS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N145" s="17">
        <f>IF(AND(N$15="Actual",ISBLANK($E$8)),SUMIFS('[1]NS Vendor Details'!$D:$D,'[1]NS Vendor Details'!$H:$H,'G&amp;A Vendor x GL Analysis'!N$20,'[1]NS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Analysis'!N$20,'[1]NS Vendor Details'!$L:$L,'G&amp;A Vendor x GL Analysis'!$D145,'[1]NS Vendor Details'!$O:$O,'G&amp;A Vendor x GL Analysis'!$F145,'[1]NS Vendor Details'!$N:$N,"Direct Costs",'[1]NS Vendor Details'!$J:$J,0),IF(N$15="Actual",SUMIFS('[1]NS Vendor Details'!$D:$D,'[1]NS Vendor Details'!$H:$H,'G&amp;A Vendor x GL Analysis'!N$20,'[1]NS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Analysis'!N$20,'[1]NS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O145" s="17">
        <f>IF(AND(O$15="Actual",ISBLANK($E$8)),SUMIFS('[1]NS Vendor Details'!$D:$D,'[1]NS Vendor Details'!$H:$H,'G&amp;A Vendor x GL Analysis'!O$20,'[1]NS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Analysis'!O$20,'[1]NS Vendor Details'!$L:$L,'G&amp;A Vendor x GL Analysis'!$D145,'[1]NS Vendor Details'!$O:$O,'G&amp;A Vendor x GL Analysis'!$F145,'[1]NS Vendor Details'!$N:$N,"Direct Costs",'[1]NS Vendor Details'!$J:$J,0),IF(O$15="Actual",SUMIFS('[1]NS Vendor Details'!$D:$D,'[1]NS Vendor Details'!$H:$H,'G&amp;A Vendor x GL Analysis'!O$20,'[1]NS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Analysis'!O$20,'[1]NS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P145" s="17">
        <f>IF(AND(P$15="Actual",ISBLANK($E$8)),SUMIFS('[1]NS Vendor Details'!$D:$D,'[1]NS Vendor Details'!$H:$H,'G&amp;A Vendor x GL Analysis'!P$20,'[1]NS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Analysis'!P$20,'[1]NS Vendor Details'!$L:$L,'G&amp;A Vendor x GL Analysis'!$D145,'[1]NS Vendor Details'!$O:$O,'G&amp;A Vendor x GL Analysis'!$F145,'[1]NS Vendor Details'!$N:$N,"Direct Costs",'[1]NS Vendor Details'!$J:$J,0),IF(P$15="Actual",SUMIFS('[1]NS Vendor Details'!$D:$D,'[1]NS Vendor Details'!$H:$H,'G&amp;A Vendor x GL Analysis'!P$20,'[1]NS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Analysis'!P$20,'[1]NS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Q145" s="17">
        <f>IF(AND(Q$15="Actual",ISBLANK($E$8)),SUMIFS('[1]NS Vendor Details'!$D:$D,'[1]NS Vendor Details'!$H:$H,'G&amp;A Vendor x GL Analysis'!Q$20,'[1]NS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Analysis'!Q$20,'[1]NS Vendor Details'!$L:$L,'G&amp;A Vendor x GL Analysis'!$D145,'[1]NS Vendor Details'!$O:$O,'G&amp;A Vendor x GL Analysis'!$F145,'[1]NS Vendor Details'!$N:$N,"Direct Costs",'[1]NS Vendor Details'!$J:$J,0),IF(Q$15="Actual",SUMIFS('[1]NS Vendor Details'!$D:$D,'[1]NS Vendor Details'!$H:$H,'G&amp;A Vendor x GL Analysis'!Q$20,'[1]NS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Analysis'!Q$20,'[1]NS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R145" s="18">
        <f>IF(AND(R$15="Actual",ISBLANK($E$8)),SUMIFS('[1]NS Vendor Details'!$D:$D,'[1]NS Vendor Details'!$H:$H,'G&amp;A Vendor x GL Analysis'!R$20,'[1]NS Vendor Details'!$L:$L,'G&amp;A Vendor x GL Analysis'!$D145,'[1]NS Vendor Details'!$O:$O,'G&amp;A Vendor x GL Analysis'!$F145,'[1]NS Vendor Details'!$N:$N,'G&amp;A Vendor x GL Analysis'!$C145)+SUMIFS('[1]NS Vendor Details'!$D:$D,'[1]NS Vendor Details'!$H:$H,'G&amp;A Vendor x GL Analysis'!R$20,'[1]NS Vendor Details'!$L:$L,'G&amp;A Vendor x GL Analysis'!$D145,'[1]NS Vendor Details'!$O:$O,'G&amp;A Vendor x GL Analysis'!$F145,'[1]NS Vendor Details'!$N:$N,"Direct Costs",'[1]NS Vendor Details'!$J:$J,0),IF(R$15="Actual",SUMIFS('[1]NS Vendor Details'!$D:$D,'[1]NS Vendor Details'!$H:$H,'G&amp;A Vendor x GL Analysis'!R$20,'[1]NS Vendor Details'!$L:$L,'G&amp;A Vendor x GL Analysis'!$D145,'[1]NS Vendor Details'!$O:$O,'G&amp;A Vendor x GL Analysis'!$F145,'[1]NS Vendor Details'!$N:$N,'G&amp;A Vendor x GL Analysis'!$C145,'[1]NS Vendor Details'!$K:$K,'G&amp;A Vendor x GL Analysis'!$E$8)+SUMIFS('[1]NS Vendor Details'!$D:$D,'[1]NS Vendor Details'!$H:$H,'G&amp;A Vendor x GL Analysis'!R$20,'[1]NS Vendor Details'!$L:$L,'G&amp;A Vendor x GL Analysis'!$D145,'[1]NS Vendor Details'!$O:$O,'G&amp;A Vendor x GL Analysis'!$F145,'[1]NS Vendor Details'!$N:$N,"Direct Costs",'[1]NS Vendor Details'!$J:$J,0,'[1]NS Vendor Details'!$K:$K,'G&amp;A Vendor x GL Analysis'!$E$8),0))</f>
        <v>0</v>
      </c>
      <c r="S145" s="16">
        <f>IF(AND(S$15="Actual",ISBLANK($E$8)),SUMIFS('[1]NS Vendor Details'!$D:$D,'[1]NS Vendor Details'!$H:$H,'G&amp;A Vendor x GL Analysis'!S$20,'[1]NS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Analysis'!S$20,'[1]NS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Analysis'!$E145),IF(S$15="Actual",SUMIFS('[1]NS Vendor Details'!$D:$D,'[1]NS Vendor Details'!$H:$H,'G&amp;A Vendor x GL Analysis'!S$20,'[1]NS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Analysis'!S$20,'[1]NS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11.99</v>
      </c>
      <c r="T145" s="17">
        <f>IF(AND(T$15="Actual",ISBLANK($E$8)),SUMIFS('[1]NS Vendor Details'!$D:$D,'[1]NS Vendor Details'!$H:$H,'G&amp;A Vendor x GL Analysis'!T$20,'[1]NS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Analysis'!T$20,'[1]NS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Analysis'!$E145),IF(T$15="Actual",SUMIFS('[1]NS Vendor Details'!$D:$D,'[1]NS Vendor Details'!$H:$H,'G&amp;A Vendor x GL Analysis'!T$20,'[1]NS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Analysis'!T$20,'[1]NS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11.99</v>
      </c>
      <c r="U145" s="17">
        <f>IF(AND(U$15="Actual",ISBLANK($E$8)),SUMIFS('[1]NS Vendor Details'!$D:$D,'[1]NS Vendor Details'!$H:$H,'G&amp;A Vendor x GL Analysis'!U$20,'[1]NS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Analysis'!U$20,'[1]NS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Analysis'!$E145),IF(U$15="Actual",SUMIFS('[1]NS Vendor Details'!$D:$D,'[1]NS Vendor Details'!$H:$H,'G&amp;A Vendor x GL Analysis'!U$20,'[1]NS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Analysis'!U$20,'[1]NS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11.99</v>
      </c>
      <c r="V145" s="17">
        <f>IF(AND(V$15="Actual",ISBLANK($E$8)),SUMIFS('[1]NS Vendor Details'!$D:$D,'[1]NS Vendor Details'!$H:$H,'G&amp;A Vendor x GL Analysis'!V$20,'[1]NS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Analysis'!V$20,'[1]NS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Analysis'!$E145),IF(V$15="Actual",SUMIFS('[1]NS Vendor Details'!$D:$D,'[1]NS Vendor Details'!$H:$H,'G&amp;A Vendor x GL Analysis'!V$20,'[1]NS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Analysis'!V$20,'[1]NS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11.99</v>
      </c>
      <c r="W145" s="17">
        <f>IF(AND(W$15="Actual",ISBLANK($E$8)),SUMIFS('[1]NS Vendor Details'!$D:$D,'[1]NS Vendor Details'!$H:$H,'G&amp;A Vendor x GL Analysis'!W$20,'[1]NS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Analysis'!W$20,'[1]NS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Analysis'!$E145),IF(W$15="Actual",SUMIFS('[1]NS Vendor Details'!$D:$D,'[1]NS Vendor Details'!$H:$H,'G&amp;A Vendor x GL Analysis'!W$20,'[1]NS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Analysis'!W$20,'[1]NS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11.99</v>
      </c>
      <c r="X145" s="17">
        <f>IF(AND(X$15="Actual",ISBLANK($E$8)),SUMIFS('[1]NS Vendor Details'!$D:$D,'[1]NS Vendor Details'!$H:$H,'G&amp;A Vendor x GL Analysis'!X$20,'[1]NS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Analysis'!X$20,'[1]NS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Analysis'!$E145),IF(X$15="Actual",SUMIFS('[1]NS Vendor Details'!$D:$D,'[1]NS Vendor Details'!$H:$H,'G&amp;A Vendor x GL Analysis'!X$20,'[1]NS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Analysis'!X$20,'[1]NS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0</v>
      </c>
      <c r="Y145" s="17">
        <f>IF(AND(Y$15="Actual",ISBLANK($E$8)),SUMIFS('[1]NS Vendor Details'!$D:$D,'[1]NS Vendor Details'!$H:$H,'G&amp;A Vendor x GL Analysis'!Y$20,'[1]NS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Analysis'!Y$20,'[1]NS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Analysis'!$E145),IF(Y$15="Actual",SUMIFS('[1]NS Vendor Details'!$D:$D,'[1]NS Vendor Details'!$H:$H,'G&amp;A Vendor x GL Analysis'!Y$20,'[1]NS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Analysis'!Y$20,'[1]NS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0</v>
      </c>
      <c r="Z145" s="17">
        <f>IF(AND(Z$15="Actual",ISBLANK($E$8)),SUMIFS('[1]NS Vendor Details'!$D:$D,'[1]NS Vendor Details'!$H:$H,'G&amp;A Vendor x GL Analysis'!Z$20,'[1]NS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Analysis'!Z$20,'[1]NS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Analysis'!$E145),IF(Z$15="Actual",SUMIFS('[1]NS Vendor Details'!$D:$D,'[1]NS Vendor Details'!$H:$H,'G&amp;A Vendor x GL Analysis'!Z$20,'[1]NS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Analysis'!Z$20,'[1]NS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0</v>
      </c>
      <c r="AA145" s="17">
        <f>IF(AND(AA$15="Actual",ISBLANK($E$8)),SUMIFS('[1]NS Vendor Details'!$D:$D,'[1]NS Vendor Details'!$H:$H,'G&amp;A Vendor x GL Analysis'!AA$20,'[1]NS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Analysis'!AA$20,'[1]NS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Analysis'!$E145),IF(AA$15="Actual",SUMIFS('[1]NS Vendor Details'!$D:$D,'[1]NS Vendor Details'!$H:$H,'G&amp;A Vendor x GL Analysis'!AA$20,'[1]NS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Analysis'!AA$20,'[1]NS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0</v>
      </c>
      <c r="AB145" s="17">
        <f>IF(AND(AB$15="Actual",ISBLANK($E$8)),SUMIFS('[1]NS Vendor Details'!$D:$D,'[1]NS Vendor Details'!$H:$H,'G&amp;A Vendor x GL Analysis'!AB$20,'[1]NS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Analysis'!AB$20,'[1]NS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Analysis'!$E145),IF(AB$15="Actual",SUMIFS('[1]NS Vendor Details'!$D:$D,'[1]NS Vendor Details'!$H:$H,'G&amp;A Vendor x GL Analysis'!AB$20,'[1]NS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Analysis'!AB$20,'[1]NS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0</v>
      </c>
      <c r="AC145" s="18">
        <f>IF(AND(AC$15="Actual",ISBLANK($E$8)),SUMIFS('[1]NS Vendor Details'!$D:$D,'[1]NS Vendor Details'!$H:$H,'G&amp;A Vendor x GL Analysis'!AC$20,'[1]NS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Analysis'!AC$20,'[1]NS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Analysis'!$E145),IF(AC$15="Actual",SUMIFS('[1]NS Vendor Details'!$D:$D,'[1]NS Vendor Details'!$H:$H,'G&amp;A Vendor x GL Analysis'!AC$20,'[1]NS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Analysis'!AC$20,'[1]NS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0</v>
      </c>
      <c r="AD145" s="18">
        <f>IF(AND(AD$15="Actual",ISBLANK($E$8)),SUMIFS('[1]NS Vendor Details'!$D:$D,'[1]NS Vendor Details'!$H:$H,'G&amp;A Vendor x GL Analysis'!AD$20,'[1]NS Vendor Details'!$L:$L,'G&amp;A Vendor x GL Analysis'!$D145,'[1]NS Vendor Details'!$O:$O,'G&amp;A Vendor x GL Analysis'!$F145,'[1]NS Vendor Details'!$N:$N,'G&amp;A Vendor x GL Analysis'!$C145,'[1]NS Vendor Details'!$I:$I,'G&amp;A Vendor x GL Analysis'!$E145)+SUMIFS('[1]NS Vendor Details'!$D:$D,'[1]NS Vendor Details'!$H:$H,'G&amp;A Vendor x GL Analysis'!AD$20,'[1]NS Vendor Details'!$L:$L,'G&amp;A Vendor x GL Analysis'!$D145,'[1]NS Vendor Details'!$O:$O,'G&amp;A Vendor x GL Analysis'!$F145,'[1]NS Vendor Details'!$N:$N,"Direct Costs",'[1]NS Vendor Details'!$J:$J,0,'[1]NS Vendor Details'!$I:$I,'G&amp;A Vendor x GL Analysis'!$E145),IF(AD$15="Actual",SUMIFS('[1]NS Vendor Details'!$D:$D,'[1]NS Vendor Details'!$H:$H,'G&amp;A Vendor x GL Analysis'!AD$20,'[1]NS Vendor Details'!$L:$L,'G&amp;A Vendor x GL Analysis'!$D145,'[1]NS Vendor Details'!$O:$O,'G&amp;A Vendor x GL Analysis'!$F145,'[1]NS Vendor Details'!$N:$N,'G&amp;A Vendor x GL Analysis'!$C145,'[1]NS Vendor Details'!$K:$K,'G&amp;A Vendor x GL Analysis'!$E$8,'[1]NS Vendor Details'!$I:$I,'G&amp;A Vendor x GL Analysis'!$E145)+SUMIFS('[1]NS Vendor Details'!$D:$D,'[1]NS Vendor Details'!$H:$H,'G&amp;A Vendor x GL Analysis'!AD$20,'[1]NS Vendor Details'!$L:$L,'G&amp;A Vendor x GL Analysis'!$D145,'[1]NS Vendor Details'!$O:$O,'G&amp;A Vendor x GL Analysis'!$F145,'[1]NS Vendor Details'!$N:$N,"Direct Costs",'[1]NS Vendor Details'!$J:$J,0,'[1]NS Vendor Details'!$K:$K,'G&amp;A Vendor x GL Analysis'!$E$8,'[1]NS Vendor Details'!$I:$I,'G&amp;A Vendor x GL Analysis'!$E145),0))</f>
        <v>0</v>
      </c>
      <c r="AF145" s="19">
        <f t="shared" si="23"/>
        <v>59.95</v>
      </c>
    </row>
    <row r="146" spans="1:32" outlineLevel="1">
      <c r="A146" s="8" t="str">
        <f t="shared" si="22"/>
        <v>Professional Service6393 - Software</v>
      </c>
      <c r="C146" s="8" t="s">
        <v>11</v>
      </c>
      <c r="D146" s="8" t="str">
        <f t="shared" si="24"/>
        <v>Professional Service</v>
      </c>
      <c r="E146" s="2" t="s">
        <v>101</v>
      </c>
      <c r="F146" s="2" t="s">
        <v>138</v>
      </c>
      <c r="G146" s="16">
        <f>IF(AND(G$15="Actual",ISBLANK($E$8)),SUMIFS('[1]NS Vendor Details'!$D:$D,'[1]NS Vendor Details'!$H:$H,'G&amp;A Vendor x GL Analysis'!G$20,'[1]NS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Analysis'!G$20,'[1]NS Vendor Details'!$L:$L,'G&amp;A Vendor x GL Analysis'!$D146,'[1]NS Vendor Details'!$O:$O,'G&amp;A Vendor x GL Analysis'!$F146,'[1]NS Vendor Details'!$N:$N,"Direct Costs",'[1]NS Vendor Details'!$J:$J,0),IF(G$15="Actual",SUMIFS('[1]NS Vendor Details'!$D:$D,'[1]NS Vendor Details'!$H:$H,'G&amp;A Vendor x GL Analysis'!G$20,'[1]NS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Analysis'!G$20,'[1]NS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H146" s="17">
        <f>IF(AND(H$15="Actual",ISBLANK($E$8)),SUMIFS('[1]NS Vendor Details'!$D:$D,'[1]NS Vendor Details'!$H:$H,'G&amp;A Vendor x GL Analysis'!H$20,'[1]NS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Analysis'!H$20,'[1]NS Vendor Details'!$L:$L,'G&amp;A Vendor x GL Analysis'!$D146,'[1]NS Vendor Details'!$O:$O,'G&amp;A Vendor x GL Analysis'!$F146,'[1]NS Vendor Details'!$N:$N,"Direct Costs",'[1]NS Vendor Details'!$J:$J,0),IF(H$15="Actual",SUMIFS('[1]NS Vendor Details'!$D:$D,'[1]NS Vendor Details'!$H:$H,'G&amp;A Vendor x GL Analysis'!H$20,'[1]NS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Analysis'!H$20,'[1]NS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I146" s="17">
        <f>IF(AND(I$15="Actual",ISBLANK($E$8)),SUMIFS('[1]NS Vendor Details'!$D:$D,'[1]NS Vendor Details'!$H:$H,'G&amp;A Vendor x GL Analysis'!I$20,'[1]NS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Analysis'!I$20,'[1]NS Vendor Details'!$L:$L,'G&amp;A Vendor x GL Analysis'!$D146,'[1]NS Vendor Details'!$O:$O,'G&amp;A Vendor x GL Analysis'!$F146,'[1]NS Vendor Details'!$N:$N,"Direct Costs",'[1]NS Vendor Details'!$J:$J,0),IF(I$15="Actual",SUMIFS('[1]NS Vendor Details'!$D:$D,'[1]NS Vendor Details'!$H:$H,'G&amp;A Vendor x GL Analysis'!I$20,'[1]NS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Analysis'!I$20,'[1]NS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J146" s="17">
        <f>IF(AND(J$15="Actual",ISBLANK($E$8)),SUMIFS('[1]NS Vendor Details'!$D:$D,'[1]NS Vendor Details'!$H:$H,'G&amp;A Vendor x GL Analysis'!J$20,'[1]NS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Analysis'!J$20,'[1]NS Vendor Details'!$L:$L,'G&amp;A Vendor x GL Analysis'!$D146,'[1]NS Vendor Details'!$O:$O,'G&amp;A Vendor x GL Analysis'!$F146,'[1]NS Vendor Details'!$N:$N,"Direct Costs",'[1]NS Vendor Details'!$J:$J,0),IF(J$15="Actual",SUMIFS('[1]NS Vendor Details'!$D:$D,'[1]NS Vendor Details'!$H:$H,'G&amp;A Vendor x GL Analysis'!J$20,'[1]NS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Analysis'!J$20,'[1]NS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K146" s="17">
        <f>IF(AND(K$15="Actual",ISBLANK($E$8)),SUMIFS('[1]NS Vendor Details'!$D:$D,'[1]NS Vendor Details'!$H:$H,'G&amp;A Vendor x GL Analysis'!K$20,'[1]NS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Analysis'!K$20,'[1]NS Vendor Details'!$L:$L,'G&amp;A Vendor x GL Analysis'!$D146,'[1]NS Vendor Details'!$O:$O,'G&amp;A Vendor x GL Analysis'!$F146,'[1]NS Vendor Details'!$N:$N,"Direct Costs",'[1]NS Vendor Details'!$J:$J,0),IF(K$15="Actual",SUMIFS('[1]NS Vendor Details'!$D:$D,'[1]NS Vendor Details'!$H:$H,'G&amp;A Vendor x GL Analysis'!K$20,'[1]NS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Analysis'!K$20,'[1]NS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L146" s="17">
        <f>IF(AND(L$15="Actual",ISBLANK($E$8)),SUMIFS('[1]NS Vendor Details'!$D:$D,'[1]NS Vendor Details'!$H:$H,'G&amp;A Vendor x GL Analysis'!L$20,'[1]NS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Analysis'!L$20,'[1]NS Vendor Details'!$L:$L,'G&amp;A Vendor x GL Analysis'!$D146,'[1]NS Vendor Details'!$O:$O,'G&amp;A Vendor x GL Analysis'!$F146,'[1]NS Vendor Details'!$N:$N,"Direct Costs",'[1]NS Vendor Details'!$J:$J,0),IF(L$15="Actual",SUMIFS('[1]NS Vendor Details'!$D:$D,'[1]NS Vendor Details'!$H:$H,'G&amp;A Vendor x GL Analysis'!L$20,'[1]NS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Analysis'!L$20,'[1]NS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M146" s="17">
        <f>IF(AND(M$15="Actual",ISBLANK($E$8)),SUMIFS('[1]NS Vendor Details'!$D:$D,'[1]NS Vendor Details'!$H:$H,'G&amp;A Vendor x GL Analysis'!M$20,'[1]NS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Analysis'!M$20,'[1]NS Vendor Details'!$L:$L,'G&amp;A Vendor x GL Analysis'!$D146,'[1]NS Vendor Details'!$O:$O,'G&amp;A Vendor x GL Analysis'!$F146,'[1]NS Vendor Details'!$N:$N,"Direct Costs",'[1]NS Vendor Details'!$J:$J,0),IF(M$15="Actual",SUMIFS('[1]NS Vendor Details'!$D:$D,'[1]NS Vendor Details'!$H:$H,'G&amp;A Vendor x GL Analysis'!M$20,'[1]NS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Analysis'!M$20,'[1]NS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N146" s="17">
        <f>IF(AND(N$15="Actual",ISBLANK($E$8)),SUMIFS('[1]NS Vendor Details'!$D:$D,'[1]NS Vendor Details'!$H:$H,'G&amp;A Vendor x GL Analysis'!N$20,'[1]NS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Analysis'!N$20,'[1]NS Vendor Details'!$L:$L,'G&amp;A Vendor x GL Analysis'!$D146,'[1]NS Vendor Details'!$O:$O,'G&amp;A Vendor x GL Analysis'!$F146,'[1]NS Vendor Details'!$N:$N,"Direct Costs",'[1]NS Vendor Details'!$J:$J,0),IF(N$15="Actual",SUMIFS('[1]NS Vendor Details'!$D:$D,'[1]NS Vendor Details'!$H:$H,'G&amp;A Vendor x GL Analysis'!N$20,'[1]NS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Analysis'!N$20,'[1]NS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O146" s="17">
        <f>IF(AND(O$15="Actual",ISBLANK($E$8)),SUMIFS('[1]NS Vendor Details'!$D:$D,'[1]NS Vendor Details'!$H:$H,'G&amp;A Vendor x GL Analysis'!O$20,'[1]NS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Analysis'!O$20,'[1]NS Vendor Details'!$L:$L,'G&amp;A Vendor x GL Analysis'!$D146,'[1]NS Vendor Details'!$O:$O,'G&amp;A Vendor x GL Analysis'!$F146,'[1]NS Vendor Details'!$N:$N,"Direct Costs",'[1]NS Vendor Details'!$J:$J,0),IF(O$15="Actual",SUMIFS('[1]NS Vendor Details'!$D:$D,'[1]NS Vendor Details'!$H:$H,'G&amp;A Vendor x GL Analysis'!O$20,'[1]NS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Analysis'!O$20,'[1]NS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P146" s="17">
        <f>IF(AND(P$15="Actual",ISBLANK($E$8)),SUMIFS('[1]NS Vendor Details'!$D:$D,'[1]NS Vendor Details'!$H:$H,'G&amp;A Vendor x GL Analysis'!P$20,'[1]NS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Analysis'!P$20,'[1]NS Vendor Details'!$L:$L,'G&amp;A Vendor x GL Analysis'!$D146,'[1]NS Vendor Details'!$O:$O,'G&amp;A Vendor x GL Analysis'!$F146,'[1]NS Vendor Details'!$N:$N,"Direct Costs",'[1]NS Vendor Details'!$J:$J,0),IF(P$15="Actual",SUMIFS('[1]NS Vendor Details'!$D:$D,'[1]NS Vendor Details'!$H:$H,'G&amp;A Vendor x GL Analysis'!P$20,'[1]NS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Analysis'!P$20,'[1]NS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Q146" s="17">
        <f>IF(AND(Q$15="Actual",ISBLANK($E$8)),SUMIFS('[1]NS Vendor Details'!$D:$D,'[1]NS Vendor Details'!$H:$H,'G&amp;A Vendor x GL Analysis'!Q$20,'[1]NS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Analysis'!Q$20,'[1]NS Vendor Details'!$L:$L,'G&amp;A Vendor x GL Analysis'!$D146,'[1]NS Vendor Details'!$O:$O,'G&amp;A Vendor x GL Analysis'!$F146,'[1]NS Vendor Details'!$N:$N,"Direct Costs",'[1]NS Vendor Details'!$J:$J,0),IF(Q$15="Actual",SUMIFS('[1]NS Vendor Details'!$D:$D,'[1]NS Vendor Details'!$H:$H,'G&amp;A Vendor x GL Analysis'!Q$20,'[1]NS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Analysis'!Q$20,'[1]NS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R146" s="18">
        <f>IF(AND(R$15="Actual",ISBLANK($E$8)),SUMIFS('[1]NS Vendor Details'!$D:$D,'[1]NS Vendor Details'!$H:$H,'G&amp;A Vendor x GL Analysis'!R$20,'[1]NS Vendor Details'!$L:$L,'G&amp;A Vendor x GL Analysis'!$D146,'[1]NS Vendor Details'!$O:$O,'G&amp;A Vendor x GL Analysis'!$F146,'[1]NS Vendor Details'!$N:$N,'G&amp;A Vendor x GL Analysis'!$C146)+SUMIFS('[1]NS Vendor Details'!$D:$D,'[1]NS Vendor Details'!$H:$H,'G&amp;A Vendor x GL Analysis'!R$20,'[1]NS Vendor Details'!$L:$L,'G&amp;A Vendor x GL Analysis'!$D146,'[1]NS Vendor Details'!$O:$O,'G&amp;A Vendor x GL Analysis'!$F146,'[1]NS Vendor Details'!$N:$N,"Direct Costs",'[1]NS Vendor Details'!$J:$J,0),IF(R$15="Actual",SUMIFS('[1]NS Vendor Details'!$D:$D,'[1]NS Vendor Details'!$H:$H,'G&amp;A Vendor x GL Analysis'!R$20,'[1]NS Vendor Details'!$L:$L,'G&amp;A Vendor x GL Analysis'!$D146,'[1]NS Vendor Details'!$O:$O,'G&amp;A Vendor x GL Analysis'!$F146,'[1]NS Vendor Details'!$N:$N,'G&amp;A Vendor x GL Analysis'!$C146,'[1]NS Vendor Details'!$K:$K,'G&amp;A Vendor x GL Analysis'!$E$8)+SUMIFS('[1]NS Vendor Details'!$D:$D,'[1]NS Vendor Details'!$H:$H,'G&amp;A Vendor x GL Analysis'!R$20,'[1]NS Vendor Details'!$L:$L,'G&amp;A Vendor x GL Analysis'!$D146,'[1]NS Vendor Details'!$O:$O,'G&amp;A Vendor x GL Analysis'!$F146,'[1]NS Vendor Details'!$N:$N,"Direct Costs",'[1]NS Vendor Details'!$J:$J,0,'[1]NS Vendor Details'!$K:$K,'G&amp;A Vendor x GL Analysis'!$E$8),0))</f>
        <v>0</v>
      </c>
      <c r="S146" s="16">
        <f>IF(AND(S$15="Actual",ISBLANK($E$8)),SUMIFS('[1]NS Vendor Details'!$D:$D,'[1]NS Vendor Details'!$H:$H,'G&amp;A Vendor x GL Analysis'!S$20,'[1]NS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Analysis'!S$20,'[1]NS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Analysis'!$E146),IF(S$15="Actual",SUMIFS('[1]NS Vendor Details'!$D:$D,'[1]NS Vendor Details'!$H:$H,'G&amp;A Vendor x GL Analysis'!S$20,'[1]NS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Analysis'!S$20,'[1]NS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T146" s="17">
        <f>IF(AND(T$15="Actual",ISBLANK($E$8)),SUMIFS('[1]NS Vendor Details'!$D:$D,'[1]NS Vendor Details'!$H:$H,'G&amp;A Vendor x GL Analysis'!T$20,'[1]NS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Analysis'!T$20,'[1]NS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Analysis'!$E146),IF(T$15="Actual",SUMIFS('[1]NS Vendor Details'!$D:$D,'[1]NS Vendor Details'!$H:$H,'G&amp;A Vendor x GL Analysis'!T$20,'[1]NS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Analysis'!T$20,'[1]NS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U146" s="17">
        <f>IF(AND(U$15="Actual",ISBLANK($E$8)),SUMIFS('[1]NS Vendor Details'!$D:$D,'[1]NS Vendor Details'!$H:$H,'G&amp;A Vendor x GL Analysis'!U$20,'[1]NS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Analysis'!U$20,'[1]NS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Analysis'!$E146),IF(U$15="Actual",SUMIFS('[1]NS Vendor Details'!$D:$D,'[1]NS Vendor Details'!$H:$H,'G&amp;A Vendor x GL Analysis'!U$20,'[1]NS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Analysis'!U$20,'[1]NS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V146" s="17">
        <f>IF(AND(V$15="Actual",ISBLANK($E$8)),SUMIFS('[1]NS Vendor Details'!$D:$D,'[1]NS Vendor Details'!$H:$H,'G&amp;A Vendor x GL Analysis'!V$20,'[1]NS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Analysis'!V$20,'[1]NS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Analysis'!$E146),IF(V$15="Actual",SUMIFS('[1]NS Vendor Details'!$D:$D,'[1]NS Vendor Details'!$H:$H,'G&amp;A Vendor x GL Analysis'!V$20,'[1]NS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Analysis'!V$20,'[1]NS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W146" s="17">
        <f>IF(AND(W$15="Actual",ISBLANK($E$8)),SUMIFS('[1]NS Vendor Details'!$D:$D,'[1]NS Vendor Details'!$H:$H,'G&amp;A Vendor x GL Analysis'!W$20,'[1]NS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Analysis'!W$20,'[1]NS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Analysis'!$E146),IF(W$15="Actual",SUMIFS('[1]NS Vendor Details'!$D:$D,'[1]NS Vendor Details'!$H:$H,'G&amp;A Vendor x GL Analysis'!W$20,'[1]NS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Analysis'!W$20,'[1]NS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X146" s="17">
        <f>IF(AND(X$15="Actual",ISBLANK($E$8)),SUMIFS('[1]NS Vendor Details'!$D:$D,'[1]NS Vendor Details'!$H:$H,'G&amp;A Vendor x GL Analysis'!X$20,'[1]NS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Analysis'!X$20,'[1]NS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Analysis'!$E146),IF(X$15="Actual",SUMIFS('[1]NS Vendor Details'!$D:$D,'[1]NS Vendor Details'!$H:$H,'G&amp;A Vendor x GL Analysis'!X$20,'[1]NS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Analysis'!X$20,'[1]NS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Y146" s="17">
        <f>IF(AND(Y$15="Actual",ISBLANK($E$8)),SUMIFS('[1]NS Vendor Details'!$D:$D,'[1]NS Vendor Details'!$H:$H,'G&amp;A Vendor x GL Analysis'!Y$20,'[1]NS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Analysis'!Y$20,'[1]NS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Analysis'!$E146),IF(Y$15="Actual",SUMIFS('[1]NS Vendor Details'!$D:$D,'[1]NS Vendor Details'!$H:$H,'G&amp;A Vendor x GL Analysis'!Y$20,'[1]NS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Analysis'!Y$20,'[1]NS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Z146" s="17">
        <f>IF(AND(Z$15="Actual",ISBLANK($E$8)),SUMIFS('[1]NS Vendor Details'!$D:$D,'[1]NS Vendor Details'!$H:$H,'G&amp;A Vendor x GL Analysis'!Z$20,'[1]NS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Analysis'!Z$20,'[1]NS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Analysis'!$E146),IF(Z$15="Actual",SUMIFS('[1]NS Vendor Details'!$D:$D,'[1]NS Vendor Details'!$H:$H,'G&amp;A Vendor x GL Analysis'!Z$20,'[1]NS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Analysis'!Z$20,'[1]NS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AA146" s="17">
        <f>IF(AND(AA$15="Actual",ISBLANK($E$8)),SUMIFS('[1]NS Vendor Details'!$D:$D,'[1]NS Vendor Details'!$H:$H,'G&amp;A Vendor x GL Analysis'!AA$20,'[1]NS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Analysis'!AA$20,'[1]NS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Analysis'!$E146),IF(AA$15="Actual",SUMIFS('[1]NS Vendor Details'!$D:$D,'[1]NS Vendor Details'!$H:$H,'G&amp;A Vendor x GL Analysis'!AA$20,'[1]NS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Analysis'!AA$20,'[1]NS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AB146" s="17">
        <f>IF(AND(AB$15="Actual",ISBLANK($E$8)),SUMIFS('[1]NS Vendor Details'!$D:$D,'[1]NS Vendor Details'!$H:$H,'G&amp;A Vendor x GL Analysis'!AB$20,'[1]NS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Analysis'!AB$20,'[1]NS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Analysis'!$E146),IF(AB$15="Actual",SUMIFS('[1]NS Vendor Details'!$D:$D,'[1]NS Vendor Details'!$H:$H,'G&amp;A Vendor x GL Analysis'!AB$20,'[1]NS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Analysis'!AB$20,'[1]NS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AC146" s="18">
        <f>IF(AND(AC$15="Actual",ISBLANK($E$8)),SUMIFS('[1]NS Vendor Details'!$D:$D,'[1]NS Vendor Details'!$H:$H,'G&amp;A Vendor x GL Analysis'!AC$20,'[1]NS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Analysis'!AC$20,'[1]NS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Analysis'!$E146),IF(AC$15="Actual",SUMIFS('[1]NS Vendor Details'!$D:$D,'[1]NS Vendor Details'!$H:$H,'G&amp;A Vendor x GL Analysis'!AC$20,'[1]NS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Analysis'!AC$20,'[1]NS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AD146" s="18">
        <f>IF(AND(AD$15="Actual",ISBLANK($E$8)),SUMIFS('[1]NS Vendor Details'!$D:$D,'[1]NS Vendor Details'!$H:$H,'G&amp;A Vendor x GL Analysis'!AD$20,'[1]NS Vendor Details'!$L:$L,'G&amp;A Vendor x GL Analysis'!$D146,'[1]NS Vendor Details'!$O:$O,'G&amp;A Vendor x GL Analysis'!$F146,'[1]NS Vendor Details'!$N:$N,'G&amp;A Vendor x GL Analysis'!$C146,'[1]NS Vendor Details'!$I:$I,'G&amp;A Vendor x GL Analysis'!$E146)+SUMIFS('[1]NS Vendor Details'!$D:$D,'[1]NS Vendor Details'!$H:$H,'G&amp;A Vendor x GL Analysis'!AD$20,'[1]NS Vendor Details'!$L:$L,'G&amp;A Vendor x GL Analysis'!$D146,'[1]NS Vendor Details'!$O:$O,'G&amp;A Vendor x GL Analysis'!$F146,'[1]NS Vendor Details'!$N:$N,"Direct Costs",'[1]NS Vendor Details'!$J:$J,0,'[1]NS Vendor Details'!$I:$I,'G&amp;A Vendor x GL Analysis'!$E146),IF(AD$15="Actual",SUMIFS('[1]NS Vendor Details'!$D:$D,'[1]NS Vendor Details'!$H:$H,'G&amp;A Vendor x GL Analysis'!AD$20,'[1]NS Vendor Details'!$L:$L,'G&amp;A Vendor x GL Analysis'!$D146,'[1]NS Vendor Details'!$O:$O,'G&amp;A Vendor x GL Analysis'!$F146,'[1]NS Vendor Details'!$N:$N,'G&amp;A Vendor x GL Analysis'!$C146,'[1]NS Vendor Details'!$K:$K,'G&amp;A Vendor x GL Analysis'!$E$8,'[1]NS Vendor Details'!$I:$I,'G&amp;A Vendor x GL Analysis'!$E146)+SUMIFS('[1]NS Vendor Details'!$D:$D,'[1]NS Vendor Details'!$H:$H,'G&amp;A Vendor x GL Analysis'!AD$20,'[1]NS Vendor Details'!$L:$L,'G&amp;A Vendor x GL Analysis'!$D146,'[1]NS Vendor Details'!$O:$O,'G&amp;A Vendor x GL Analysis'!$F146,'[1]NS Vendor Details'!$N:$N,"Direct Costs",'[1]NS Vendor Details'!$J:$J,0,'[1]NS Vendor Details'!$K:$K,'G&amp;A Vendor x GL Analysis'!$E$8,'[1]NS Vendor Details'!$I:$I,'G&amp;A Vendor x GL Analysis'!$E146),0))</f>
        <v>0</v>
      </c>
      <c r="AF146" s="19">
        <f t="shared" si="23"/>
        <v>0</v>
      </c>
    </row>
    <row r="147" spans="1:32" outlineLevel="1">
      <c r="A147" s="8" t="str">
        <f t="shared" si="22"/>
        <v>Professional Service6393 - Software</v>
      </c>
      <c r="C147" s="8" t="s">
        <v>11</v>
      </c>
      <c r="D147" s="8" t="str">
        <f t="shared" si="24"/>
        <v>Professional Service</v>
      </c>
      <c r="E147" s="2" t="s">
        <v>101</v>
      </c>
      <c r="F147" s="2" t="s">
        <v>139</v>
      </c>
      <c r="G147" s="16">
        <f>IF(AND(G$15="Actual",ISBLANK($E$8)),SUMIFS('[1]NS Vendor Details'!$D:$D,'[1]NS Vendor Details'!$H:$H,'G&amp;A Vendor x GL Analysis'!G$20,'[1]NS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Analysis'!G$20,'[1]NS Vendor Details'!$L:$L,'G&amp;A Vendor x GL Analysis'!$D147,'[1]NS Vendor Details'!$O:$O,'G&amp;A Vendor x GL Analysis'!$F147,'[1]NS Vendor Details'!$N:$N,"Direct Costs",'[1]NS Vendor Details'!$J:$J,0),IF(G$15="Actual",SUMIFS('[1]NS Vendor Details'!$D:$D,'[1]NS Vendor Details'!$H:$H,'G&amp;A Vendor x GL Analysis'!G$20,'[1]NS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Analysis'!G$20,'[1]NS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H147" s="17">
        <f>IF(AND(H$15="Actual",ISBLANK($E$8)),SUMIFS('[1]NS Vendor Details'!$D:$D,'[1]NS Vendor Details'!$H:$H,'G&amp;A Vendor x GL Analysis'!H$20,'[1]NS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Analysis'!H$20,'[1]NS Vendor Details'!$L:$L,'G&amp;A Vendor x GL Analysis'!$D147,'[1]NS Vendor Details'!$O:$O,'G&amp;A Vendor x GL Analysis'!$F147,'[1]NS Vendor Details'!$N:$N,"Direct Costs",'[1]NS Vendor Details'!$J:$J,0),IF(H$15="Actual",SUMIFS('[1]NS Vendor Details'!$D:$D,'[1]NS Vendor Details'!$H:$H,'G&amp;A Vendor x GL Analysis'!H$20,'[1]NS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Analysis'!H$20,'[1]NS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I147" s="17">
        <f>IF(AND(I$15="Actual",ISBLANK($E$8)),SUMIFS('[1]NS Vendor Details'!$D:$D,'[1]NS Vendor Details'!$H:$H,'G&amp;A Vendor x GL Analysis'!I$20,'[1]NS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Analysis'!I$20,'[1]NS Vendor Details'!$L:$L,'G&amp;A Vendor x GL Analysis'!$D147,'[1]NS Vendor Details'!$O:$O,'G&amp;A Vendor x GL Analysis'!$F147,'[1]NS Vendor Details'!$N:$N,"Direct Costs",'[1]NS Vendor Details'!$J:$J,0),IF(I$15="Actual",SUMIFS('[1]NS Vendor Details'!$D:$D,'[1]NS Vendor Details'!$H:$H,'G&amp;A Vendor x GL Analysis'!I$20,'[1]NS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Analysis'!I$20,'[1]NS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J147" s="17">
        <f>IF(AND(J$15="Actual",ISBLANK($E$8)),SUMIFS('[1]NS Vendor Details'!$D:$D,'[1]NS Vendor Details'!$H:$H,'G&amp;A Vendor x GL Analysis'!J$20,'[1]NS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Analysis'!J$20,'[1]NS Vendor Details'!$L:$L,'G&amp;A Vendor x GL Analysis'!$D147,'[1]NS Vendor Details'!$O:$O,'G&amp;A Vendor x GL Analysis'!$F147,'[1]NS Vendor Details'!$N:$N,"Direct Costs",'[1]NS Vendor Details'!$J:$J,0),IF(J$15="Actual",SUMIFS('[1]NS Vendor Details'!$D:$D,'[1]NS Vendor Details'!$H:$H,'G&amp;A Vendor x GL Analysis'!J$20,'[1]NS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Analysis'!J$20,'[1]NS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K147" s="17">
        <f>IF(AND(K$15="Actual",ISBLANK($E$8)),SUMIFS('[1]NS Vendor Details'!$D:$D,'[1]NS Vendor Details'!$H:$H,'G&amp;A Vendor x GL Analysis'!K$20,'[1]NS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Analysis'!K$20,'[1]NS Vendor Details'!$L:$L,'G&amp;A Vendor x GL Analysis'!$D147,'[1]NS Vendor Details'!$O:$O,'G&amp;A Vendor x GL Analysis'!$F147,'[1]NS Vendor Details'!$N:$N,"Direct Costs",'[1]NS Vendor Details'!$J:$J,0),IF(K$15="Actual",SUMIFS('[1]NS Vendor Details'!$D:$D,'[1]NS Vendor Details'!$H:$H,'G&amp;A Vendor x GL Analysis'!K$20,'[1]NS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Analysis'!K$20,'[1]NS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L147" s="17">
        <f>IF(AND(L$15="Actual",ISBLANK($E$8)),SUMIFS('[1]NS Vendor Details'!$D:$D,'[1]NS Vendor Details'!$H:$H,'G&amp;A Vendor x GL Analysis'!L$20,'[1]NS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Analysis'!L$20,'[1]NS Vendor Details'!$L:$L,'G&amp;A Vendor x GL Analysis'!$D147,'[1]NS Vendor Details'!$O:$O,'G&amp;A Vendor x GL Analysis'!$F147,'[1]NS Vendor Details'!$N:$N,"Direct Costs",'[1]NS Vendor Details'!$J:$J,0),IF(L$15="Actual",SUMIFS('[1]NS Vendor Details'!$D:$D,'[1]NS Vendor Details'!$H:$H,'G&amp;A Vendor x GL Analysis'!L$20,'[1]NS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Analysis'!L$20,'[1]NS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M147" s="17">
        <f>IF(AND(M$15="Actual",ISBLANK($E$8)),SUMIFS('[1]NS Vendor Details'!$D:$D,'[1]NS Vendor Details'!$H:$H,'G&amp;A Vendor x GL Analysis'!M$20,'[1]NS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Analysis'!M$20,'[1]NS Vendor Details'!$L:$L,'G&amp;A Vendor x GL Analysis'!$D147,'[1]NS Vendor Details'!$O:$O,'G&amp;A Vendor x GL Analysis'!$F147,'[1]NS Vendor Details'!$N:$N,"Direct Costs",'[1]NS Vendor Details'!$J:$J,0),IF(M$15="Actual",SUMIFS('[1]NS Vendor Details'!$D:$D,'[1]NS Vendor Details'!$H:$H,'G&amp;A Vendor x GL Analysis'!M$20,'[1]NS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Analysis'!M$20,'[1]NS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N147" s="17">
        <f>IF(AND(N$15="Actual",ISBLANK($E$8)),SUMIFS('[1]NS Vendor Details'!$D:$D,'[1]NS Vendor Details'!$H:$H,'G&amp;A Vendor x GL Analysis'!N$20,'[1]NS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Analysis'!N$20,'[1]NS Vendor Details'!$L:$L,'G&amp;A Vendor x GL Analysis'!$D147,'[1]NS Vendor Details'!$O:$O,'G&amp;A Vendor x GL Analysis'!$F147,'[1]NS Vendor Details'!$N:$N,"Direct Costs",'[1]NS Vendor Details'!$J:$J,0),IF(N$15="Actual",SUMIFS('[1]NS Vendor Details'!$D:$D,'[1]NS Vendor Details'!$H:$H,'G&amp;A Vendor x GL Analysis'!N$20,'[1]NS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Analysis'!N$20,'[1]NS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O147" s="17">
        <f>IF(AND(O$15="Actual",ISBLANK($E$8)),SUMIFS('[1]NS Vendor Details'!$D:$D,'[1]NS Vendor Details'!$H:$H,'G&amp;A Vendor x GL Analysis'!O$20,'[1]NS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Analysis'!O$20,'[1]NS Vendor Details'!$L:$L,'G&amp;A Vendor x GL Analysis'!$D147,'[1]NS Vendor Details'!$O:$O,'G&amp;A Vendor x GL Analysis'!$F147,'[1]NS Vendor Details'!$N:$N,"Direct Costs",'[1]NS Vendor Details'!$J:$J,0),IF(O$15="Actual",SUMIFS('[1]NS Vendor Details'!$D:$D,'[1]NS Vendor Details'!$H:$H,'G&amp;A Vendor x GL Analysis'!O$20,'[1]NS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Analysis'!O$20,'[1]NS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P147" s="17">
        <f>IF(AND(P$15="Actual",ISBLANK($E$8)),SUMIFS('[1]NS Vendor Details'!$D:$D,'[1]NS Vendor Details'!$H:$H,'G&amp;A Vendor x GL Analysis'!P$20,'[1]NS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Analysis'!P$20,'[1]NS Vendor Details'!$L:$L,'G&amp;A Vendor x GL Analysis'!$D147,'[1]NS Vendor Details'!$O:$O,'G&amp;A Vendor x GL Analysis'!$F147,'[1]NS Vendor Details'!$N:$N,"Direct Costs",'[1]NS Vendor Details'!$J:$J,0),IF(P$15="Actual",SUMIFS('[1]NS Vendor Details'!$D:$D,'[1]NS Vendor Details'!$H:$H,'G&amp;A Vendor x GL Analysis'!P$20,'[1]NS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Analysis'!P$20,'[1]NS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Q147" s="17">
        <f>IF(AND(Q$15="Actual",ISBLANK($E$8)),SUMIFS('[1]NS Vendor Details'!$D:$D,'[1]NS Vendor Details'!$H:$H,'G&amp;A Vendor x GL Analysis'!Q$20,'[1]NS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Analysis'!Q$20,'[1]NS Vendor Details'!$L:$L,'G&amp;A Vendor x GL Analysis'!$D147,'[1]NS Vendor Details'!$O:$O,'G&amp;A Vendor x GL Analysis'!$F147,'[1]NS Vendor Details'!$N:$N,"Direct Costs",'[1]NS Vendor Details'!$J:$J,0),IF(Q$15="Actual",SUMIFS('[1]NS Vendor Details'!$D:$D,'[1]NS Vendor Details'!$H:$H,'G&amp;A Vendor x GL Analysis'!Q$20,'[1]NS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Analysis'!Q$20,'[1]NS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R147" s="18">
        <f>IF(AND(R$15="Actual",ISBLANK($E$8)),SUMIFS('[1]NS Vendor Details'!$D:$D,'[1]NS Vendor Details'!$H:$H,'G&amp;A Vendor x GL Analysis'!R$20,'[1]NS Vendor Details'!$L:$L,'G&amp;A Vendor x GL Analysis'!$D147,'[1]NS Vendor Details'!$O:$O,'G&amp;A Vendor x GL Analysis'!$F147,'[1]NS Vendor Details'!$N:$N,'G&amp;A Vendor x GL Analysis'!$C147)+SUMIFS('[1]NS Vendor Details'!$D:$D,'[1]NS Vendor Details'!$H:$H,'G&amp;A Vendor x GL Analysis'!R$20,'[1]NS Vendor Details'!$L:$L,'G&amp;A Vendor x GL Analysis'!$D147,'[1]NS Vendor Details'!$O:$O,'G&amp;A Vendor x GL Analysis'!$F147,'[1]NS Vendor Details'!$N:$N,"Direct Costs",'[1]NS Vendor Details'!$J:$J,0),IF(R$15="Actual",SUMIFS('[1]NS Vendor Details'!$D:$D,'[1]NS Vendor Details'!$H:$H,'G&amp;A Vendor x GL Analysis'!R$20,'[1]NS Vendor Details'!$L:$L,'G&amp;A Vendor x GL Analysis'!$D147,'[1]NS Vendor Details'!$O:$O,'G&amp;A Vendor x GL Analysis'!$F147,'[1]NS Vendor Details'!$N:$N,'G&amp;A Vendor x GL Analysis'!$C147,'[1]NS Vendor Details'!$K:$K,'G&amp;A Vendor x GL Analysis'!$E$8)+SUMIFS('[1]NS Vendor Details'!$D:$D,'[1]NS Vendor Details'!$H:$H,'G&amp;A Vendor x GL Analysis'!R$20,'[1]NS Vendor Details'!$L:$L,'G&amp;A Vendor x GL Analysis'!$D147,'[1]NS Vendor Details'!$O:$O,'G&amp;A Vendor x GL Analysis'!$F147,'[1]NS Vendor Details'!$N:$N,"Direct Costs",'[1]NS Vendor Details'!$J:$J,0,'[1]NS Vendor Details'!$K:$K,'G&amp;A Vendor x GL Analysis'!$E$8),0))</f>
        <v>0</v>
      </c>
      <c r="S147" s="16">
        <f>IF(AND(S$15="Actual",ISBLANK($E$8)),SUMIFS('[1]NS Vendor Details'!$D:$D,'[1]NS Vendor Details'!$H:$H,'G&amp;A Vendor x GL Analysis'!S$20,'[1]NS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Analysis'!S$20,'[1]NS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Analysis'!$E147),IF(S$15="Actual",SUMIFS('[1]NS Vendor Details'!$D:$D,'[1]NS Vendor Details'!$H:$H,'G&amp;A Vendor x GL Analysis'!S$20,'[1]NS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Analysis'!S$20,'[1]NS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T147" s="17">
        <f>IF(AND(T$15="Actual",ISBLANK($E$8)),SUMIFS('[1]NS Vendor Details'!$D:$D,'[1]NS Vendor Details'!$H:$H,'G&amp;A Vendor x GL Analysis'!T$20,'[1]NS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Analysis'!T$20,'[1]NS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Analysis'!$E147),IF(T$15="Actual",SUMIFS('[1]NS Vendor Details'!$D:$D,'[1]NS Vendor Details'!$H:$H,'G&amp;A Vendor x GL Analysis'!T$20,'[1]NS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Analysis'!T$20,'[1]NS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U147" s="17">
        <f>IF(AND(U$15="Actual",ISBLANK($E$8)),SUMIFS('[1]NS Vendor Details'!$D:$D,'[1]NS Vendor Details'!$H:$H,'G&amp;A Vendor x GL Analysis'!U$20,'[1]NS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Analysis'!U$20,'[1]NS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Analysis'!$E147),IF(U$15="Actual",SUMIFS('[1]NS Vendor Details'!$D:$D,'[1]NS Vendor Details'!$H:$H,'G&amp;A Vendor x GL Analysis'!U$20,'[1]NS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Analysis'!U$20,'[1]NS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V147" s="17">
        <f>IF(AND(V$15="Actual",ISBLANK($E$8)),SUMIFS('[1]NS Vendor Details'!$D:$D,'[1]NS Vendor Details'!$H:$H,'G&amp;A Vendor x GL Analysis'!V$20,'[1]NS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Analysis'!V$20,'[1]NS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Analysis'!$E147),IF(V$15="Actual",SUMIFS('[1]NS Vendor Details'!$D:$D,'[1]NS Vendor Details'!$H:$H,'G&amp;A Vendor x GL Analysis'!V$20,'[1]NS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Analysis'!V$20,'[1]NS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W147" s="17">
        <f>IF(AND(W$15="Actual",ISBLANK($E$8)),SUMIFS('[1]NS Vendor Details'!$D:$D,'[1]NS Vendor Details'!$H:$H,'G&amp;A Vendor x GL Analysis'!W$20,'[1]NS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Analysis'!W$20,'[1]NS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Analysis'!$E147),IF(W$15="Actual",SUMIFS('[1]NS Vendor Details'!$D:$D,'[1]NS Vendor Details'!$H:$H,'G&amp;A Vendor x GL Analysis'!W$20,'[1]NS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Analysis'!W$20,'[1]NS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X147" s="17">
        <f>IF(AND(X$15="Actual",ISBLANK($E$8)),SUMIFS('[1]NS Vendor Details'!$D:$D,'[1]NS Vendor Details'!$H:$H,'G&amp;A Vendor x GL Analysis'!X$20,'[1]NS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Analysis'!X$20,'[1]NS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Analysis'!$E147),IF(X$15="Actual",SUMIFS('[1]NS Vendor Details'!$D:$D,'[1]NS Vendor Details'!$H:$H,'G&amp;A Vendor x GL Analysis'!X$20,'[1]NS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Analysis'!X$20,'[1]NS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Y147" s="17">
        <f>IF(AND(Y$15="Actual",ISBLANK($E$8)),SUMIFS('[1]NS Vendor Details'!$D:$D,'[1]NS Vendor Details'!$H:$H,'G&amp;A Vendor x GL Analysis'!Y$20,'[1]NS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Analysis'!Y$20,'[1]NS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Analysis'!$E147),IF(Y$15="Actual",SUMIFS('[1]NS Vendor Details'!$D:$D,'[1]NS Vendor Details'!$H:$H,'G&amp;A Vendor x GL Analysis'!Y$20,'[1]NS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Analysis'!Y$20,'[1]NS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Z147" s="17">
        <f>IF(AND(Z$15="Actual",ISBLANK($E$8)),SUMIFS('[1]NS Vendor Details'!$D:$D,'[1]NS Vendor Details'!$H:$H,'G&amp;A Vendor x GL Analysis'!Z$20,'[1]NS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Analysis'!Z$20,'[1]NS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Analysis'!$E147),IF(Z$15="Actual",SUMIFS('[1]NS Vendor Details'!$D:$D,'[1]NS Vendor Details'!$H:$H,'G&amp;A Vendor x GL Analysis'!Z$20,'[1]NS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Analysis'!Z$20,'[1]NS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25</v>
      </c>
      <c r="AA147" s="17">
        <f>IF(AND(AA$15="Actual",ISBLANK($E$8)),SUMIFS('[1]NS Vendor Details'!$D:$D,'[1]NS Vendor Details'!$H:$H,'G&amp;A Vendor x GL Analysis'!AA$20,'[1]NS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Analysis'!AA$20,'[1]NS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Analysis'!$E147),IF(AA$15="Actual",SUMIFS('[1]NS Vendor Details'!$D:$D,'[1]NS Vendor Details'!$H:$H,'G&amp;A Vendor x GL Analysis'!AA$20,'[1]NS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Analysis'!AA$20,'[1]NS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AB147" s="17">
        <f>IF(AND(AB$15="Actual",ISBLANK($E$8)),SUMIFS('[1]NS Vendor Details'!$D:$D,'[1]NS Vendor Details'!$H:$H,'G&amp;A Vendor x GL Analysis'!AB$20,'[1]NS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Analysis'!AB$20,'[1]NS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Analysis'!$E147),IF(AB$15="Actual",SUMIFS('[1]NS Vendor Details'!$D:$D,'[1]NS Vendor Details'!$H:$H,'G&amp;A Vendor x GL Analysis'!AB$20,'[1]NS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Analysis'!AB$20,'[1]NS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AC147" s="18">
        <f>IF(AND(AC$15="Actual",ISBLANK($E$8)),SUMIFS('[1]NS Vendor Details'!$D:$D,'[1]NS Vendor Details'!$H:$H,'G&amp;A Vendor x GL Analysis'!AC$20,'[1]NS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Analysis'!AC$20,'[1]NS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Analysis'!$E147),IF(AC$15="Actual",SUMIFS('[1]NS Vendor Details'!$D:$D,'[1]NS Vendor Details'!$H:$H,'G&amp;A Vendor x GL Analysis'!AC$20,'[1]NS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Analysis'!AC$20,'[1]NS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AD147" s="18">
        <f>IF(AND(AD$15="Actual",ISBLANK($E$8)),SUMIFS('[1]NS Vendor Details'!$D:$D,'[1]NS Vendor Details'!$H:$H,'G&amp;A Vendor x GL Analysis'!AD$20,'[1]NS Vendor Details'!$L:$L,'G&amp;A Vendor x GL Analysis'!$D147,'[1]NS Vendor Details'!$O:$O,'G&amp;A Vendor x GL Analysis'!$F147,'[1]NS Vendor Details'!$N:$N,'G&amp;A Vendor x GL Analysis'!$C147,'[1]NS Vendor Details'!$I:$I,'G&amp;A Vendor x GL Analysis'!$E147)+SUMIFS('[1]NS Vendor Details'!$D:$D,'[1]NS Vendor Details'!$H:$H,'G&amp;A Vendor x GL Analysis'!AD$20,'[1]NS Vendor Details'!$L:$L,'G&amp;A Vendor x GL Analysis'!$D147,'[1]NS Vendor Details'!$O:$O,'G&amp;A Vendor x GL Analysis'!$F147,'[1]NS Vendor Details'!$N:$N,"Direct Costs",'[1]NS Vendor Details'!$J:$J,0,'[1]NS Vendor Details'!$I:$I,'G&amp;A Vendor x GL Analysis'!$E147),IF(AD$15="Actual",SUMIFS('[1]NS Vendor Details'!$D:$D,'[1]NS Vendor Details'!$H:$H,'G&amp;A Vendor x GL Analysis'!AD$20,'[1]NS Vendor Details'!$L:$L,'G&amp;A Vendor x GL Analysis'!$D147,'[1]NS Vendor Details'!$O:$O,'G&amp;A Vendor x GL Analysis'!$F147,'[1]NS Vendor Details'!$N:$N,'G&amp;A Vendor x GL Analysis'!$C147,'[1]NS Vendor Details'!$K:$K,'G&amp;A Vendor x GL Analysis'!$E$8,'[1]NS Vendor Details'!$I:$I,'G&amp;A Vendor x GL Analysis'!$E147)+SUMIFS('[1]NS Vendor Details'!$D:$D,'[1]NS Vendor Details'!$H:$H,'G&amp;A Vendor x GL Analysis'!AD$20,'[1]NS Vendor Details'!$L:$L,'G&amp;A Vendor x GL Analysis'!$D147,'[1]NS Vendor Details'!$O:$O,'G&amp;A Vendor x GL Analysis'!$F147,'[1]NS Vendor Details'!$N:$N,"Direct Costs",'[1]NS Vendor Details'!$J:$J,0,'[1]NS Vendor Details'!$K:$K,'G&amp;A Vendor x GL Analysis'!$E$8,'[1]NS Vendor Details'!$I:$I,'G&amp;A Vendor x GL Analysis'!$E147),0))</f>
        <v>0</v>
      </c>
      <c r="AF147" s="19">
        <f t="shared" si="23"/>
        <v>25</v>
      </c>
    </row>
    <row r="148" spans="1:32" outlineLevel="1">
      <c r="A148" s="8" t="str">
        <f t="shared" si="22"/>
        <v>Professional Service6393 - Software</v>
      </c>
      <c r="C148" s="8" t="s">
        <v>11</v>
      </c>
      <c r="D148" s="8" t="str">
        <f t="shared" si="24"/>
        <v>Professional Service</v>
      </c>
      <c r="E148" s="2" t="s">
        <v>101</v>
      </c>
      <c r="F148" s="2" t="s">
        <v>140</v>
      </c>
      <c r="G148" s="16">
        <f>IF(AND(G$15="Actual",ISBLANK($E$8)),SUMIFS('[1]NS Vendor Details'!$D:$D,'[1]NS Vendor Details'!$H:$H,'G&amp;A Vendor x GL Analysis'!G$20,'[1]NS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Analysis'!G$20,'[1]NS Vendor Details'!$L:$L,'G&amp;A Vendor x GL Analysis'!$D148,'[1]NS Vendor Details'!$O:$O,'G&amp;A Vendor x GL Analysis'!$F148,'[1]NS Vendor Details'!$N:$N,"Direct Costs",'[1]NS Vendor Details'!$J:$J,0),IF(G$15="Actual",SUMIFS('[1]NS Vendor Details'!$D:$D,'[1]NS Vendor Details'!$H:$H,'G&amp;A Vendor x GL Analysis'!G$20,'[1]NS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Analysis'!G$20,'[1]NS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H148" s="17">
        <f>IF(AND(H$15="Actual",ISBLANK($E$8)),SUMIFS('[1]NS Vendor Details'!$D:$D,'[1]NS Vendor Details'!$H:$H,'G&amp;A Vendor x GL Analysis'!H$20,'[1]NS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Analysis'!H$20,'[1]NS Vendor Details'!$L:$L,'G&amp;A Vendor x GL Analysis'!$D148,'[1]NS Vendor Details'!$O:$O,'G&amp;A Vendor x GL Analysis'!$F148,'[1]NS Vendor Details'!$N:$N,"Direct Costs",'[1]NS Vendor Details'!$J:$J,0),IF(H$15="Actual",SUMIFS('[1]NS Vendor Details'!$D:$D,'[1]NS Vendor Details'!$H:$H,'G&amp;A Vendor x GL Analysis'!H$20,'[1]NS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Analysis'!H$20,'[1]NS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I148" s="17">
        <f>IF(AND(I$15="Actual",ISBLANK($E$8)),SUMIFS('[1]NS Vendor Details'!$D:$D,'[1]NS Vendor Details'!$H:$H,'G&amp;A Vendor x GL Analysis'!I$20,'[1]NS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Analysis'!I$20,'[1]NS Vendor Details'!$L:$L,'G&amp;A Vendor x GL Analysis'!$D148,'[1]NS Vendor Details'!$O:$O,'G&amp;A Vendor x GL Analysis'!$F148,'[1]NS Vendor Details'!$N:$N,"Direct Costs",'[1]NS Vendor Details'!$J:$J,0),IF(I$15="Actual",SUMIFS('[1]NS Vendor Details'!$D:$D,'[1]NS Vendor Details'!$H:$H,'G&amp;A Vendor x GL Analysis'!I$20,'[1]NS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Analysis'!I$20,'[1]NS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J148" s="17">
        <f>IF(AND(J$15="Actual",ISBLANK($E$8)),SUMIFS('[1]NS Vendor Details'!$D:$D,'[1]NS Vendor Details'!$H:$H,'G&amp;A Vendor x GL Analysis'!J$20,'[1]NS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Analysis'!J$20,'[1]NS Vendor Details'!$L:$L,'G&amp;A Vendor x GL Analysis'!$D148,'[1]NS Vendor Details'!$O:$O,'G&amp;A Vendor x GL Analysis'!$F148,'[1]NS Vendor Details'!$N:$N,"Direct Costs",'[1]NS Vendor Details'!$J:$J,0),IF(J$15="Actual",SUMIFS('[1]NS Vendor Details'!$D:$D,'[1]NS Vendor Details'!$H:$H,'G&amp;A Vendor x GL Analysis'!J$20,'[1]NS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Analysis'!J$20,'[1]NS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K148" s="17">
        <f>IF(AND(K$15="Actual",ISBLANK($E$8)),SUMIFS('[1]NS Vendor Details'!$D:$D,'[1]NS Vendor Details'!$H:$H,'G&amp;A Vendor x GL Analysis'!K$20,'[1]NS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Analysis'!K$20,'[1]NS Vendor Details'!$L:$L,'G&amp;A Vendor x GL Analysis'!$D148,'[1]NS Vendor Details'!$O:$O,'G&amp;A Vendor x GL Analysis'!$F148,'[1]NS Vendor Details'!$N:$N,"Direct Costs",'[1]NS Vendor Details'!$J:$J,0),IF(K$15="Actual",SUMIFS('[1]NS Vendor Details'!$D:$D,'[1]NS Vendor Details'!$H:$H,'G&amp;A Vendor x GL Analysis'!K$20,'[1]NS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Analysis'!K$20,'[1]NS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L148" s="17">
        <f>IF(AND(L$15="Actual",ISBLANK($E$8)),SUMIFS('[1]NS Vendor Details'!$D:$D,'[1]NS Vendor Details'!$H:$H,'G&amp;A Vendor x GL Analysis'!L$20,'[1]NS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Analysis'!L$20,'[1]NS Vendor Details'!$L:$L,'G&amp;A Vendor x GL Analysis'!$D148,'[1]NS Vendor Details'!$O:$O,'G&amp;A Vendor x GL Analysis'!$F148,'[1]NS Vendor Details'!$N:$N,"Direct Costs",'[1]NS Vendor Details'!$J:$J,0),IF(L$15="Actual",SUMIFS('[1]NS Vendor Details'!$D:$D,'[1]NS Vendor Details'!$H:$H,'G&amp;A Vendor x GL Analysis'!L$20,'[1]NS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Analysis'!L$20,'[1]NS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M148" s="17">
        <f>IF(AND(M$15="Actual",ISBLANK($E$8)),SUMIFS('[1]NS Vendor Details'!$D:$D,'[1]NS Vendor Details'!$H:$H,'G&amp;A Vendor x GL Analysis'!M$20,'[1]NS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Analysis'!M$20,'[1]NS Vendor Details'!$L:$L,'G&amp;A Vendor x GL Analysis'!$D148,'[1]NS Vendor Details'!$O:$O,'G&amp;A Vendor x GL Analysis'!$F148,'[1]NS Vendor Details'!$N:$N,"Direct Costs",'[1]NS Vendor Details'!$J:$J,0),IF(M$15="Actual",SUMIFS('[1]NS Vendor Details'!$D:$D,'[1]NS Vendor Details'!$H:$H,'G&amp;A Vendor x GL Analysis'!M$20,'[1]NS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Analysis'!M$20,'[1]NS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N148" s="17">
        <f>IF(AND(N$15="Actual",ISBLANK($E$8)),SUMIFS('[1]NS Vendor Details'!$D:$D,'[1]NS Vendor Details'!$H:$H,'G&amp;A Vendor x GL Analysis'!N$20,'[1]NS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Analysis'!N$20,'[1]NS Vendor Details'!$L:$L,'G&amp;A Vendor x GL Analysis'!$D148,'[1]NS Vendor Details'!$O:$O,'G&amp;A Vendor x GL Analysis'!$F148,'[1]NS Vendor Details'!$N:$N,"Direct Costs",'[1]NS Vendor Details'!$J:$J,0),IF(N$15="Actual",SUMIFS('[1]NS Vendor Details'!$D:$D,'[1]NS Vendor Details'!$H:$H,'G&amp;A Vendor x GL Analysis'!N$20,'[1]NS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Analysis'!N$20,'[1]NS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O148" s="17">
        <f>IF(AND(O$15="Actual",ISBLANK($E$8)),SUMIFS('[1]NS Vendor Details'!$D:$D,'[1]NS Vendor Details'!$H:$H,'G&amp;A Vendor x GL Analysis'!O$20,'[1]NS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Analysis'!O$20,'[1]NS Vendor Details'!$L:$L,'G&amp;A Vendor x GL Analysis'!$D148,'[1]NS Vendor Details'!$O:$O,'G&amp;A Vendor x GL Analysis'!$F148,'[1]NS Vendor Details'!$N:$N,"Direct Costs",'[1]NS Vendor Details'!$J:$J,0),IF(O$15="Actual",SUMIFS('[1]NS Vendor Details'!$D:$D,'[1]NS Vendor Details'!$H:$H,'G&amp;A Vendor x GL Analysis'!O$20,'[1]NS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Analysis'!O$20,'[1]NS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P148" s="17">
        <f>IF(AND(P$15="Actual",ISBLANK($E$8)),SUMIFS('[1]NS Vendor Details'!$D:$D,'[1]NS Vendor Details'!$H:$H,'G&amp;A Vendor x GL Analysis'!P$20,'[1]NS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Analysis'!P$20,'[1]NS Vendor Details'!$L:$L,'G&amp;A Vendor x GL Analysis'!$D148,'[1]NS Vendor Details'!$O:$O,'G&amp;A Vendor x GL Analysis'!$F148,'[1]NS Vendor Details'!$N:$N,"Direct Costs",'[1]NS Vendor Details'!$J:$J,0),IF(P$15="Actual",SUMIFS('[1]NS Vendor Details'!$D:$D,'[1]NS Vendor Details'!$H:$H,'G&amp;A Vendor x GL Analysis'!P$20,'[1]NS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Analysis'!P$20,'[1]NS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Q148" s="17">
        <f>IF(AND(Q$15="Actual",ISBLANK($E$8)),SUMIFS('[1]NS Vendor Details'!$D:$D,'[1]NS Vendor Details'!$H:$H,'G&amp;A Vendor x GL Analysis'!Q$20,'[1]NS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Analysis'!Q$20,'[1]NS Vendor Details'!$L:$L,'G&amp;A Vendor x GL Analysis'!$D148,'[1]NS Vendor Details'!$O:$O,'G&amp;A Vendor x GL Analysis'!$F148,'[1]NS Vendor Details'!$N:$N,"Direct Costs",'[1]NS Vendor Details'!$J:$J,0),IF(Q$15="Actual",SUMIFS('[1]NS Vendor Details'!$D:$D,'[1]NS Vendor Details'!$H:$H,'G&amp;A Vendor x GL Analysis'!Q$20,'[1]NS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Analysis'!Q$20,'[1]NS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R148" s="18">
        <f>IF(AND(R$15="Actual",ISBLANK($E$8)),SUMIFS('[1]NS Vendor Details'!$D:$D,'[1]NS Vendor Details'!$H:$H,'G&amp;A Vendor x GL Analysis'!R$20,'[1]NS Vendor Details'!$L:$L,'G&amp;A Vendor x GL Analysis'!$D148,'[1]NS Vendor Details'!$O:$O,'G&amp;A Vendor x GL Analysis'!$F148,'[1]NS Vendor Details'!$N:$N,'G&amp;A Vendor x GL Analysis'!$C148)+SUMIFS('[1]NS Vendor Details'!$D:$D,'[1]NS Vendor Details'!$H:$H,'G&amp;A Vendor x GL Analysis'!R$20,'[1]NS Vendor Details'!$L:$L,'G&amp;A Vendor x GL Analysis'!$D148,'[1]NS Vendor Details'!$O:$O,'G&amp;A Vendor x GL Analysis'!$F148,'[1]NS Vendor Details'!$N:$N,"Direct Costs",'[1]NS Vendor Details'!$J:$J,0),IF(R$15="Actual",SUMIFS('[1]NS Vendor Details'!$D:$D,'[1]NS Vendor Details'!$H:$H,'G&amp;A Vendor x GL Analysis'!R$20,'[1]NS Vendor Details'!$L:$L,'G&amp;A Vendor x GL Analysis'!$D148,'[1]NS Vendor Details'!$O:$O,'G&amp;A Vendor x GL Analysis'!$F148,'[1]NS Vendor Details'!$N:$N,'G&amp;A Vendor x GL Analysis'!$C148,'[1]NS Vendor Details'!$K:$K,'G&amp;A Vendor x GL Analysis'!$E$8)+SUMIFS('[1]NS Vendor Details'!$D:$D,'[1]NS Vendor Details'!$H:$H,'G&amp;A Vendor x GL Analysis'!R$20,'[1]NS Vendor Details'!$L:$L,'G&amp;A Vendor x GL Analysis'!$D148,'[1]NS Vendor Details'!$O:$O,'G&amp;A Vendor x GL Analysis'!$F148,'[1]NS Vendor Details'!$N:$N,"Direct Costs",'[1]NS Vendor Details'!$J:$J,0,'[1]NS Vendor Details'!$K:$K,'G&amp;A Vendor x GL Analysis'!$E$8),0))</f>
        <v>0</v>
      </c>
      <c r="S148" s="16">
        <f>IF(AND(S$15="Actual",ISBLANK($E$8)),SUMIFS('[1]NS Vendor Details'!$D:$D,'[1]NS Vendor Details'!$H:$H,'G&amp;A Vendor x GL Analysis'!S$20,'[1]NS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Analysis'!S$20,'[1]NS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Analysis'!$E148),IF(S$15="Actual",SUMIFS('[1]NS Vendor Details'!$D:$D,'[1]NS Vendor Details'!$H:$H,'G&amp;A Vendor x GL Analysis'!S$20,'[1]NS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Analysis'!S$20,'[1]NS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T148" s="17">
        <f>IF(AND(T$15="Actual",ISBLANK($E$8)),SUMIFS('[1]NS Vendor Details'!$D:$D,'[1]NS Vendor Details'!$H:$H,'G&amp;A Vendor x GL Analysis'!T$20,'[1]NS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Analysis'!T$20,'[1]NS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Analysis'!$E148),IF(T$15="Actual",SUMIFS('[1]NS Vendor Details'!$D:$D,'[1]NS Vendor Details'!$H:$H,'G&amp;A Vendor x GL Analysis'!T$20,'[1]NS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Analysis'!T$20,'[1]NS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107.79</v>
      </c>
      <c r="U148" s="17">
        <f>IF(AND(U$15="Actual",ISBLANK($E$8)),SUMIFS('[1]NS Vendor Details'!$D:$D,'[1]NS Vendor Details'!$H:$H,'G&amp;A Vendor x GL Analysis'!U$20,'[1]NS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Analysis'!U$20,'[1]NS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Analysis'!$E148),IF(U$15="Actual",SUMIFS('[1]NS Vendor Details'!$D:$D,'[1]NS Vendor Details'!$H:$H,'G&amp;A Vendor x GL Analysis'!U$20,'[1]NS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Analysis'!U$20,'[1]NS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V148" s="17">
        <f>IF(AND(V$15="Actual",ISBLANK($E$8)),SUMIFS('[1]NS Vendor Details'!$D:$D,'[1]NS Vendor Details'!$H:$H,'G&amp;A Vendor x GL Analysis'!V$20,'[1]NS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Analysis'!V$20,'[1]NS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Analysis'!$E148),IF(V$15="Actual",SUMIFS('[1]NS Vendor Details'!$D:$D,'[1]NS Vendor Details'!$H:$H,'G&amp;A Vendor x GL Analysis'!V$20,'[1]NS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Analysis'!V$20,'[1]NS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W148" s="17">
        <f>IF(AND(W$15="Actual",ISBLANK($E$8)),SUMIFS('[1]NS Vendor Details'!$D:$D,'[1]NS Vendor Details'!$H:$H,'G&amp;A Vendor x GL Analysis'!W$20,'[1]NS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Analysis'!W$20,'[1]NS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Analysis'!$E148),IF(W$15="Actual",SUMIFS('[1]NS Vendor Details'!$D:$D,'[1]NS Vendor Details'!$H:$H,'G&amp;A Vendor x GL Analysis'!W$20,'[1]NS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Analysis'!W$20,'[1]NS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X148" s="17">
        <f>IF(AND(X$15="Actual",ISBLANK($E$8)),SUMIFS('[1]NS Vendor Details'!$D:$D,'[1]NS Vendor Details'!$H:$H,'G&amp;A Vendor x GL Analysis'!X$20,'[1]NS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Analysis'!X$20,'[1]NS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Analysis'!$E148),IF(X$15="Actual",SUMIFS('[1]NS Vendor Details'!$D:$D,'[1]NS Vendor Details'!$H:$H,'G&amp;A Vendor x GL Analysis'!X$20,'[1]NS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Analysis'!X$20,'[1]NS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Y148" s="17">
        <f>IF(AND(Y$15="Actual",ISBLANK($E$8)),SUMIFS('[1]NS Vendor Details'!$D:$D,'[1]NS Vendor Details'!$H:$H,'G&amp;A Vendor x GL Analysis'!Y$20,'[1]NS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Analysis'!Y$20,'[1]NS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Analysis'!$E148),IF(Y$15="Actual",SUMIFS('[1]NS Vendor Details'!$D:$D,'[1]NS Vendor Details'!$H:$H,'G&amp;A Vendor x GL Analysis'!Y$20,'[1]NS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Analysis'!Y$20,'[1]NS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Z148" s="17">
        <f>IF(AND(Z$15="Actual",ISBLANK($E$8)),SUMIFS('[1]NS Vendor Details'!$D:$D,'[1]NS Vendor Details'!$H:$H,'G&amp;A Vendor x GL Analysis'!Z$20,'[1]NS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Analysis'!Z$20,'[1]NS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Analysis'!$E148),IF(Z$15="Actual",SUMIFS('[1]NS Vendor Details'!$D:$D,'[1]NS Vendor Details'!$H:$H,'G&amp;A Vendor x GL Analysis'!Z$20,'[1]NS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Analysis'!Z$20,'[1]NS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AA148" s="17">
        <f>IF(AND(AA$15="Actual",ISBLANK($E$8)),SUMIFS('[1]NS Vendor Details'!$D:$D,'[1]NS Vendor Details'!$H:$H,'G&amp;A Vendor x GL Analysis'!AA$20,'[1]NS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Analysis'!AA$20,'[1]NS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Analysis'!$E148),IF(AA$15="Actual",SUMIFS('[1]NS Vendor Details'!$D:$D,'[1]NS Vendor Details'!$H:$H,'G&amp;A Vendor x GL Analysis'!AA$20,'[1]NS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Analysis'!AA$20,'[1]NS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AB148" s="17">
        <f>IF(AND(AB$15="Actual",ISBLANK($E$8)),SUMIFS('[1]NS Vendor Details'!$D:$D,'[1]NS Vendor Details'!$H:$H,'G&amp;A Vendor x GL Analysis'!AB$20,'[1]NS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Analysis'!AB$20,'[1]NS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Analysis'!$E148),IF(AB$15="Actual",SUMIFS('[1]NS Vendor Details'!$D:$D,'[1]NS Vendor Details'!$H:$H,'G&amp;A Vendor x GL Analysis'!AB$20,'[1]NS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Analysis'!AB$20,'[1]NS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AC148" s="18">
        <f>IF(AND(AC$15="Actual",ISBLANK($E$8)),SUMIFS('[1]NS Vendor Details'!$D:$D,'[1]NS Vendor Details'!$H:$H,'G&amp;A Vendor x GL Analysis'!AC$20,'[1]NS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Analysis'!AC$20,'[1]NS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Analysis'!$E148),IF(AC$15="Actual",SUMIFS('[1]NS Vendor Details'!$D:$D,'[1]NS Vendor Details'!$H:$H,'G&amp;A Vendor x GL Analysis'!AC$20,'[1]NS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Analysis'!AC$20,'[1]NS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AD148" s="18">
        <f>IF(AND(AD$15="Actual",ISBLANK($E$8)),SUMIFS('[1]NS Vendor Details'!$D:$D,'[1]NS Vendor Details'!$H:$H,'G&amp;A Vendor x GL Analysis'!AD$20,'[1]NS Vendor Details'!$L:$L,'G&amp;A Vendor x GL Analysis'!$D148,'[1]NS Vendor Details'!$O:$O,'G&amp;A Vendor x GL Analysis'!$F148,'[1]NS Vendor Details'!$N:$N,'G&amp;A Vendor x GL Analysis'!$C148,'[1]NS Vendor Details'!$I:$I,'G&amp;A Vendor x GL Analysis'!$E148)+SUMIFS('[1]NS Vendor Details'!$D:$D,'[1]NS Vendor Details'!$H:$H,'G&amp;A Vendor x GL Analysis'!AD$20,'[1]NS Vendor Details'!$L:$L,'G&amp;A Vendor x GL Analysis'!$D148,'[1]NS Vendor Details'!$O:$O,'G&amp;A Vendor x GL Analysis'!$F148,'[1]NS Vendor Details'!$N:$N,"Direct Costs",'[1]NS Vendor Details'!$J:$J,0,'[1]NS Vendor Details'!$I:$I,'G&amp;A Vendor x GL Analysis'!$E148),IF(AD$15="Actual",SUMIFS('[1]NS Vendor Details'!$D:$D,'[1]NS Vendor Details'!$H:$H,'G&amp;A Vendor x GL Analysis'!AD$20,'[1]NS Vendor Details'!$L:$L,'G&amp;A Vendor x GL Analysis'!$D148,'[1]NS Vendor Details'!$O:$O,'G&amp;A Vendor x GL Analysis'!$F148,'[1]NS Vendor Details'!$N:$N,'G&amp;A Vendor x GL Analysis'!$C148,'[1]NS Vendor Details'!$K:$K,'G&amp;A Vendor x GL Analysis'!$E$8,'[1]NS Vendor Details'!$I:$I,'G&amp;A Vendor x GL Analysis'!$E148)+SUMIFS('[1]NS Vendor Details'!$D:$D,'[1]NS Vendor Details'!$H:$H,'G&amp;A Vendor x GL Analysis'!AD$20,'[1]NS Vendor Details'!$L:$L,'G&amp;A Vendor x GL Analysis'!$D148,'[1]NS Vendor Details'!$O:$O,'G&amp;A Vendor x GL Analysis'!$F148,'[1]NS Vendor Details'!$N:$N,"Direct Costs",'[1]NS Vendor Details'!$J:$J,0,'[1]NS Vendor Details'!$K:$K,'G&amp;A Vendor x GL Analysis'!$E$8,'[1]NS Vendor Details'!$I:$I,'G&amp;A Vendor x GL Analysis'!$E148),0))</f>
        <v>0</v>
      </c>
      <c r="AF148" s="19">
        <f t="shared" si="23"/>
        <v>107.79</v>
      </c>
    </row>
    <row r="149" spans="1:32" outlineLevel="1">
      <c r="A149" s="8" t="str">
        <f t="shared" si="22"/>
        <v>Professional Service6393 - Software</v>
      </c>
      <c r="C149" s="8" t="s">
        <v>11</v>
      </c>
      <c r="D149" s="8" t="str">
        <f t="shared" si="24"/>
        <v>Professional Service</v>
      </c>
      <c r="E149" s="2" t="s">
        <v>101</v>
      </c>
      <c r="F149" s="2" t="s">
        <v>141</v>
      </c>
      <c r="G149" s="16">
        <f>IF(AND(G$15="Actual",ISBLANK($E$8)),SUMIFS('[1]NS Vendor Details'!$D:$D,'[1]NS Vendor Details'!$H:$H,'G&amp;A Vendor x GL Analysis'!G$20,'[1]NS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Analysis'!G$20,'[1]NS Vendor Details'!$L:$L,'G&amp;A Vendor x GL Analysis'!$D149,'[1]NS Vendor Details'!$O:$O,'G&amp;A Vendor x GL Analysis'!$F149,'[1]NS Vendor Details'!$N:$N,"Direct Costs",'[1]NS Vendor Details'!$J:$J,0),IF(G$15="Actual",SUMIFS('[1]NS Vendor Details'!$D:$D,'[1]NS Vendor Details'!$H:$H,'G&amp;A Vendor x GL Analysis'!G$20,'[1]NS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Analysis'!G$20,'[1]NS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H149" s="17">
        <f>IF(AND(H$15="Actual",ISBLANK($E$8)),SUMIFS('[1]NS Vendor Details'!$D:$D,'[1]NS Vendor Details'!$H:$H,'G&amp;A Vendor x GL Analysis'!H$20,'[1]NS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Analysis'!H$20,'[1]NS Vendor Details'!$L:$L,'G&amp;A Vendor x GL Analysis'!$D149,'[1]NS Vendor Details'!$O:$O,'G&amp;A Vendor x GL Analysis'!$F149,'[1]NS Vendor Details'!$N:$N,"Direct Costs",'[1]NS Vendor Details'!$J:$J,0),IF(H$15="Actual",SUMIFS('[1]NS Vendor Details'!$D:$D,'[1]NS Vendor Details'!$H:$H,'G&amp;A Vendor x GL Analysis'!H$20,'[1]NS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Analysis'!H$20,'[1]NS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I149" s="17">
        <f>IF(AND(I$15="Actual",ISBLANK($E$8)),SUMIFS('[1]NS Vendor Details'!$D:$D,'[1]NS Vendor Details'!$H:$H,'G&amp;A Vendor x GL Analysis'!I$20,'[1]NS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Analysis'!I$20,'[1]NS Vendor Details'!$L:$L,'G&amp;A Vendor x GL Analysis'!$D149,'[1]NS Vendor Details'!$O:$O,'G&amp;A Vendor x GL Analysis'!$F149,'[1]NS Vendor Details'!$N:$N,"Direct Costs",'[1]NS Vendor Details'!$J:$J,0),IF(I$15="Actual",SUMIFS('[1]NS Vendor Details'!$D:$D,'[1]NS Vendor Details'!$H:$H,'G&amp;A Vendor x GL Analysis'!I$20,'[1]NS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Analysis'!I$20,'[1]NS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J149" s="17">
        <f>IF(AND(J$15="Actual",ISBLANK($E$8)),SUMIFS('[1]NS Vendor Details'!$D:$D,'[1]NS Vendor Details'!$H:$H,'G&amp;A Vendor x GL Analysis'!J$20,'[1]NS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Analysis'!J$20,'[1]NS Vendor Details'!$L:$L,'G&amp;A Vendor x GL Analysis'!$D149,'[1]NS Vendor Details'!$O:$O,'G&amp;A Vendor x GL Analysis'!$F149,'[1]NS Vendor Details'!$N:$N,"Direct Costs",'[1]NS Vendor Details'!$J:$J,0),IF(J$15="Actual",SUMIFS('[1]NS Vendor Details'!$D:$D,'[1]NS Vendor Details'!$H:$H,'G&amp;A Vendor x GL Analysis'!J$20,'[1]NS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Analysis'!J$20,'[1]NS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K149" s="17">
        <f>IF(AND(K$15="Actual",ISBLANK($E$8)),SUMIFS('[1]NS Vendor Details'!$D:$D,'[1]NS Vendor Details'!$H:$H,'G&amp;A Vendor x GL Analysis'!K$20,'[1]NS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Analysis'!K$20,'[1]NS Vendor Details'!$L:$L,'G&amp;A Vendor x GL Analysis'!$D149,'[1]NS Vendor Details'!$O:$O,'G&amp;A Vendor x GL Analysis'!$F149,'[1]NS Vendor Details'!$N:$N,"Direct Costs",'[1]NS Vendor Details'!$J:$J,0),IF(K$15="Actual",SUMIFS('[1]NS Vendor Details'!$D:$D,'[1]NS Vendor Details'!$H:$H,'G&amp;A Vendor x GL Analysis'!K$20,'[1]NS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Analysis'!K$20,'[1]NS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L149" s="17">
        <f>IF(AND(L$15="Actual",ISBLANK($E$8)),SUMIFS('[1]NS Vendor Details'!$D:$D,'[1]NS Vendor Details'!$H:$H,'G&amp;A Vendor x GL Analysis'!L$20,'[1]NS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Analysis'!L$20,'[1]NS Vendor Details'!$L:$L,'G&amp;A Vendor x GL Analysis'!$D149,'[1]NS Vendor Details'!$O:$O,'G&amp;A Vendor x GL Analysis'!$F149,'[1]NS Vendor Details'!$N:$N,"Direct Costs",'[1]NS Vendor Details'!$J:$J,0),IF(L$15="Actual",SUMIFS('[1]NS Vendor Details'!$D:$D,'[1]NS Vendor Details'!$H:$H,'G&amp;A Vendor x GL Analysis'!L$20,'[1]NS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Analysis'!L$20,'[1]NS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M149" s="17">
        <f>IF(AND(M$15="Actual",ISBLANK($E$8)),SUMIFS('[1]NS Vendor Details'!$D:$D,'[1]NS Vendor Details'!$H:$H,'G&amp;A Vendor x GL Analysis'!M$20,'[1]NS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Analysis'!M$20,'[1]NS Vendor Details'!$L:$L,'G&amp;A Vendor x GL Analysis'!$D149,'[1]NS Vendor Details'!$O:$O,'G&amp;A Vendor x GL Analysis'!$F149,'[1]NS Vendor Details'!$N:$N,"Direct Costs",'[1]NS Vendor Details'!$J:$J,0),IF(M$15="Actual",SUMIFS('[1]NS Vendor Details'!$D:$D,'[1]NS Vendor Details'!$H:$H,'G&amp;A Vendor x GL Analysis'!M$20,'[1]NS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Analysis'!M$20,'[1]NS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N149" s="17">
        <f>IF(AND(N$15="Actual",ISBLANK($E$8)),SUMIFS('[1]NS Vendor Details'!$D:$D,'[1]NS Vendor Details'!$H:$H,'G&amp;A Vendor x GL Analysis'!N$20,'[1]NS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Analysis'!N$20,'[1]NS Vendor Details'!$L:$L,'G&amp;A Vendor x GL Analysis'!$D149,'[1]NS Vendor Details'!$O:$O,'G&amp;A Vendor x GL Analysis'!$F149,'[1]NS Vendor Details'!$N:$N,"Direct Costs",'[1]NS Vendor Details'!$J:$J,0),IF(N$15="Actual",SUMIFS('[1]NS Vendor Details'!$D:$D,'[1]NS Vendor Details'!$H:$H,'G&amp;A Vendor x GL Analysis'!N$20,'[1]NS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Analysis'!N$20,'[1]NS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O149" s="17">
        <f>IF(AND(O$15="Actual",ISBLANK($E$8)),SUMIFS('[1]NS Vendor Details'!$D:$D,'[1]NS Vendor Details'!$H:$H,'G&amp;A Vendor x GL Analysis'!O$20,'[1]NS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Analysis'!O$20,'[1]NS Vendor Details'!$L:$L,'G&amp;A Vendor x GL Analysis'!$D149,'[1]NS Vendor Details'!$O:$O,'G&amp;A Vendor x GL Analysis'!$F149,'[1]NS Vendor Details'!$N:$N,"Direct Costs",'[1]NS Vendor Details'!$J:$J,0),IF(O$15="Actual",SUMIFS('[1]NS Vendor Details'!$D:$D,'[1]NS Vendor Details'!$H:$H,'G&amp;A Vendor x GL Analysis'!O$20,'[1]NS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Analysis'!O$20,'[1]NS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P149" s="17">
        <f>IF(AND(P$15="Actual",ISBLANK($E$8)),SUMIFS('[1]NS Vendor Details'!$D:$D,'[1]NS Vendor Details'!$H:$H,'G&amp;A Vendor x GL Analysis'!P$20,'[1]NS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Analysis'!P$20,'[1]NS Vendor Details'!$L:$L,'G&amp;A Vendor x GL Analysis'!$D149,'[1]NS Vendor Details'!$O:$O,'G&amp;A Vendor x GL Analysis'!$F149,'[1]NS Vendor Details'!$N:$N,"Direct Costs",'[1]NS Vendor Details'!$J:$J,0),IF(P$15="Actual",SUMIFS('[1]NS Vendor Details'!$D:$D,'[1]NS Vendor Details'!$H:$H,'G&amp;A Vendor x GL Analysis'!P$20,'[1]NS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Analysis'!P$20,'[1]NS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Q149" s="17">
        <f>IF(AND(Q$15="Actual",ISBLANK($E$8)),SUMIFS('[1]NS Vendor Details'!$D:$D,'[1]NS Vendor Details'!$H:$H,'G&amp;A Vendor x GL Analysis'!Q$20,'[1]NS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Analysis'!Q$20,'[1]NS Vendor Details'!$L:$L,'G&amp;A Vendor x GL Analysis'!$D149,'[1]NS Vendor Details'!$O:$O,'G&amp;A Vendor x GL Analysis'!$F149,'[1]NS Vendor Details'!$N:$N,"Direct Costs",'[1]NS Vendor Details'!$J:$J,0),IF(Q$15="Actual",SUMIFS('[1]NS Vendor Details'!$D:$D,'[1]NS Vendor Details'!$H:$H,'G&amp;A Vendor x GL Analysis'!Q$20,'[1]NS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Analysis'!Q$20,'[1]NS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R149" s="18">
        <f>IF(AND(R$15="Actual",ISBLANK($E$8)),SUMIFS('[1]NS Vendor Details'!$D:$D,'[1]NS Vendor Details'!$H:$H,'G&amp;A Vendor x GL Analysis'!R$20,'[1]NS Vendor Details'!$L:$L,'G&amp;A Vendor x GL Analysis'!$D149,'[1]NS Vendor Details'!$O:$O,'G&amp;A Vendor x GL Analysis'!$F149,'[1]NS Vendor Details'!$N:$N,'G&amp;A Vendor x GL Analysis'!$C149)+SUMIFS('[1]NS Vendor Details'!$D:$D,'[1]NS Vendor Details'!$H:$H,'G&amp;A Vendor x GL Analysis'!R$20,'[1]NS Vendor Details'!$L:$L,'G&amp;A Vendor x GL Analysis'!$D149,'[1]NS Vendor Details'!$O:$O,'G&amp;A Vendor x GL Analysis'!$F149,'[1]NS Vendor Details'!$N:$N,"Direct Costs",'[1]NS Vendor Details'!$J:$J,0),IF(R$15="Actual",SUMIFS('[1]NS Vendor Details'!$D:$D,'[1]NS Vendor Details'!$H:$H,'G&amp;A Vendor x GL Analysis'!R$20,'[1]NS Vendor Details'!$L:$L,'G&amp;A Vendor x GL Analysis'!$D149,'[1]NS Vendor Details'!$O:$O,'G&amp;A Vendor x GL Analysis'!$F149,'[1]NS Vendor Details'!$N:$N,'G&amp;A Vendor x GL Analysis'!$C149,'[1]NS Vendor Details'!$K:$K,'G&amp;A Vendor x GL Analysis'!$E$8)+SUMIFS('[1]NS Vendor Details'!$D:$D,'[1]NS Vendor Details'!$H:$H,'G&amp;A Vendor x GL Analysis'!R$20,'[1]NS Vendor Details'!$L:$L,'G&amp;A Vendor x GL Analysis'!$D149,'[1]NS Vendor Details'!$O:$O,'G&amp;A Vendor x GL Analysis'!$F149,'[1]NS Vendor Details'!$N:$N,"Direct Costs",'[1]NS Vendor Details'!$J:$J,0,'[1]NS Vendor Details'!$K:$K,'G&amp;A Vendor x GL Analysis'!$E$8),0))</f>
        <v>0</v>
      </c>
      <c r="S149" s="16">
        <f>IF(AND(S$15="Actual",ISBLANK($E$8)),SUMIFS('[1]NS Vendor Details'!$D:$D,'[1]NS Vendor Details'!$H:$H,'G&amp;A Vendor x GL Analysis'!S$20,'[1]NS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Analysis'!S$20,'[1]NS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Analysis'!$E149),IF(S$15="Actual",SUMIFS('[1]NS Vendor Details'!$D:$D,'[1]NS Vendor Details'!$H:$H,'G&amp;A Vendor x GL Analysis'!S$20,'[1]NS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Analysis'!S$20,'[1]NS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T149" s="17">
        <f>IF(AND(T$15="Actual",ISBLANK($E$8)),SUMIFS('[1]NS Vendor Details'!$D:$D,'[1]NS Vendor Details'!$H:$H,'G&amp;A Vendor x GL Analysis'!T$20,'[1]NS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Analysis'!T$20,'[1]NS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Analysis'!$E149),IF(T$15="Actual",SUMIFS('[1]NS Vendor Details'!$D:$D,'[1]NS Vendor Details'!$H:$H,'G&amp;A Vendor x GL Analysis'!T$20,'[1]NS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Analysis'!T$20,'[1]NS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U149" s="17">
        <f>IF(AND(U$15="Actual",ISBLANK($E$8)),SUMIFS('[1]NS Vendor Details'!$D:$D,'[1]NS Vendor Details'!$H:$H,'G&amp;A Vendor x GL Analysis'!U$20,'[1]NS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Analysis'!U$20,'[1]NS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Analysis'!$E149),IF(U$15="Actual",SUMIFS('[1]NS Vendor Details'!$D:$D,'[1]NS Vendor Details'!$H:$H,'G&amp;A Vendor x GL Analysis'!U$20,'[1]NS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Analysis'!U$20,'[1]NS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269</v>
      </c>
      <c r="V149" s="17">
        <f>IF(AND(V$15="Actual",ISBLANK($E$8)),SUMIFS('[1]NS Vendor Details'!$D:$D,'[1]NS Vendor Details'!$H:$H,'G&amp;A Vendor x GL Analysis'!V$20,'[1]NS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Analysis'!V$20,'[1]NS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Analysis'!$E149),IF(V$15="Actual",SUMIFS('[1]NS Vendor Details'!$D:$D,'[1]NS Vendor Details'!$H:$H,'G&amp;A Vendor x GL Analysis'!V$20,'[1]NS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Analysis'!V$20,'[1]NS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W149" s="17">
        <f>IF(AND(W$15="Actual",ISBLANK($E$8)),SUMIFS('[1]NS Vendor Details'!$D:$D,'[1]NS Vendor Details'!$H:$H,'G&amp;A Vendor x GL Analysis'!W$20,'[1]NS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Analysis'!W$20,'[1]NS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Analysis'!$E149),IF(W$15="Actual",SUMIFS('[1]NS Vendor Details'!$D:$D,'[1]NS Vendor Details'!$H:$H,'G&amp;A Vendor x GL Analysis'!W$20,'[1]NS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Analysis'!W$20,'[1]NS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X149" s="17">
        <f>IF(AND(X$15="Actual",ISBLANK($E$8)),SUMIFS('[1]NS Vendor Details'!$D:$D,'[1]NS Vendor Details'!$H:$H,'G&amp;A Vendor x GL Analysis'!X$20,'[1]NS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Analysis'!X$20,'[1]NS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Analysis'!$E149),IF(X$15="Actual",SUMIFS('[1]NS Vendor Details'!$D:$D,'[1]NS Vendor Details'!$H:$H,'G&amp;A Vendor x GL Analysis'!X$20,'[1]NS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Analysis'!X$20,'[1]NS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Y149" s="17">
        <f>IF(AND(Y$15="Actual",ISBLANK($E$8)),SUMIFS('[1]NS Vendor Details'!$D:$D,'[1]NS Vendor Details'!$H:$H,'G&amp;A Vendor x GL Analysis'!Y$20,'[1]NS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Analysis'!Y$20,'[1]NS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Analysis'!$E149),IF(Y$15="Actual",SUMIFS('[1]NS Vendor Details'!$D:$D,'[1]NS Vendor Details'!$H:$H,'G&amp;A Vendor x GL Analysis'!Y$20,'[1]NS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Analysis'!Y$20,'[1]NS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Z149" s="17">
        <f>IF(AND(Z$15="Actual",ISBLANK($E$8)),SUMIFS('[1]NS Vendor Details'!$D:$D,'[1]NS Vendor Details'!$H:$H,'G&amp;A Vendor x GL Analysis'!Z$20,'[1]NS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Analysis'!Z$20,'[1]NS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Analysis'!$E149),IF(Z$15="Actual",SUMIFS('[1]NS Vendor Details'!$D:$D,'[1]NS Vendor Details'!$H:$H,'G&amp;A Vendor x GL Analysis'!Z$20,'[1]NS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Analysis'!Z$20,'[1]NS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AA149" s="17">
        <f>IF(AND(AA$15="Actual",ISBLANK($E$8)),SUMIFS('[1]NS Vendor Details'!$D:$D,'[1]NS Vendor Details'!$H:$H,'G&amp;A Vendor x GL Analysis'!AA$20,'[1]NS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Analysis'!AA$20,'[1]NS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Analysis'!$E149),IF(AA$15="Actual",SUMIFS('[1]NS Vendor Details'!$D:$D,'[1]NS Vendor Details'!$H:$H,'G&amp;A Vendor x GL Analysis'!AA$20,'[1]NS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Analysis'!AA$20,'[1]NS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AB149" s="17">
        <f>IF(AND(AB$15="Actual",ISBLANK($E$8)),SUMIFS('[1]NS Vendor Details'!$D:$D,'[1]NS Vendor Details'!$H:$H,'G&amp;A Vendor x GL Analysis'!AB$20,'[1]NS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Analysis'!AB$20,'[1]NS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Analysis'!$E149),IF(AB$15="Actual",SUMIFS('[1]NS Vendor Details'!$D:$D,'[1]NS Vendor Details'!$H:$H,'G&amp;A Vendor x GL Analysis'!AB$20,'[1]NS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Analysis'!AB$20,'[1]NS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AC149" s="18">
        <f>IF(AND(AC$15="Actual",ISBLANK($E$8)),SUMIFS('[1]NS Vendor Details'!$D:$D,'[1]NS Vendor Details'!$H:$H,'G&amp;A Vendor x GL Analysis'!AC$20,'[1]NS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Analysis'!AC$20,'[1]NS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Analysis'!$E149),IF(AC$15="Actual",SUMIFS('[1]NS Vendor Details'!$D:$D,'[1]NS Vendor Details'!$H:$H,'G&amp;A Vendor x GL Analysis'!AC$20,'[1]NS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Analysis'!AC$20,'[1]NS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AD149" s="18">
        <f>IF(AND(AD$15="Actual",ISBLANK($E$8)),SUMIFS('[1]NS Vendor Details'!$D:$D,'[1]NS Vendor Details'!$H:$H,'G&amp;A Vendor x GL Analysis'!AD$20,'[1]NS Vendor Details'!$L:$L,'G&amp;A Vendor x GL Analysis'!$D149,'[1]NS Vendor Details'!$O:$O,'G&amp;A Vendor x GL Analysis'!$F149,'[1]NS Vendor Details'!$N:$N,'G&amp;A Vendor x GL Analysis'!$C149,'[1]NS Vendor Details'!$I:$I,'G&amp;A Vendor x GL Analysis'!$E149)+SUMIFS('[1]NS Vendor Details'!$D:$D,'[1]NS Vendor Details'!$H:$H,'G&amp;A Vendor x GL Analysis'!AD$20,'[1]NS Vendor Details'!$L:$L,'G&amp;A Vendor x GL Analysis'!$D149,'[1]NS Vendor Details'!$O:$O,'G&amp;A Vendor x GL Analysis'!$F149,'[1]NS Vendor Details'!$N:$N,"Direct Costs",'[1]NS Vendor Details'!$J:$J,0,'[1]NS Vendor Details'!$I:$I,'G&amp;A Vendor x GL Analysis'!$E149),IF(AD$15="Actual",SUMIFS('[1]NS Vendor Details'!$D:$D,'[1]NS Vendor Details'!$H:$H,'G&amp;A Vendor x GL Analysis'!AD$20,'[1]NS Vendor Details'!$L:$L,'G&amp;A Vendor x GL Analysis'!$D149,'[1]NS Vendor Details'!$O:$O,'G&amp;A Vendor x GL Analysis'!$F149,'[1]NS Vendor Details'!$N:$N,'G&amp;A Vendor x GL Analysis'!$C149,'[1]NS Vendor Details'!$K:$K,'G&amp;A Vendor x GL Analysis'!$E$8,'[1]NS Vendor Details'!$I:$I,'G&amp;A Vendor x GL Analysis'!$E149)+SUMIFS('[1]NS Vendor Details'!$D:$D,'[1]NS Vendor Details'!$H:$H,'G&amp;A Vendor x GL Analysis'!AD$20,'[1]NS Vendor Details'!$L:$L,'G&amp;A Vendor x GL Analysis'!$D149,'[1]NS Vendor Details'!$O:$O,'G&amp;A Vendor x GL Analysis'!$F149,'[1]NS Vendor Details'!$N:$N,"Direct Costs",'[1]NS Vendor Details'!$J:$J,0,'[1]NS Vendor Details'!$K:$K,'G&amp;A Vendor x GL Analysis'!$E$8,'[1]NS Vendor Details'!$I:$I,'G&amp;A Vendor x GL Analysis'!$E149),0))</f>
        <v>0</v>
      </c>
      <c r="AF149" s="19">
        <f t="shared" si="23"/>
        <v>269</v>
      </c>
    </row>
    <row r="150" spans="1:32" outlineLevel="1">
      <c r="A150" s="8" t="str">
        <f t="shared" si="22"/>
        <v>Professional Service6393 - Software</v>
      </c>
      <c r="C150" s="8" t="s">
        <v>11</v>
      </c>
      <c r="D150" s="8" t="str">
        <f t="shared" si="24"/>
        <v>Professional Service</v>
      </c>
      <c r="E150" s="2" t="s">
        <v>101</v>
      </c>
      <c r="F150" s="2" t="s">
        <v>142</v>
      </c>
      <c r="G150" s="16">
        <f>IF(AND(G$15="Actual",ISBLANK($E$8)),SUMIFS('[1]NS Vendor Details'!$D:$D,'[1]NS Vendor Details'!$H:$H,'G&amp;A Vendor x GL Analysis'!G$20,'[1]NS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Analysis'!G$20,'[1]NS Vendor Details'!$L:$L,'G&amp;A Vendor x GL Analysis'!$D150,'[1]NS Vendor Details'!$O:$O,'G&amp;A Vendor x GL Analysis'!$F150,'[1]NS Vendor Details'!$N:$N,"Direct Costs",'[1]NS Vendor Details'!$J:$J,0),IF(G$15="Actual",SUMIFS('[1]NS Vendor Details'!$D:$D,'[1]NS Vendor Details'!$H:$H,'G&amp;A Vendor x GL Analysis'!G$20,'[1]NS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Analysis'!G$20,'[1]NS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H150" s="17">
        <f>IF(AND(H$15="Actual",ISBLANK($E$8)),SUMIFS('[1]NS Vendor Details'!$D:$D,'[1]NS Vendor Details'!$H:$H,'G&amp;A Vendor x GL Analysis'!H$20,'[1]NS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Analysis'!H$20,'[1]NS Vendor Details'!$L:$L,'G&amp;A Vendor x GL Analysis'!$D150,'[1]NS Vendor Details'!$O:$O,'G&amp;A Vendor x GL Analysis'!$F150,'[1]NS Vendor Details'!$N:$N,"Direct Costs",'[1]NS Vendor Details'!$J:$J,0),IF(H$15="Actual",SUMIFS('[1]NS Vendor Details'!$D:$D,'[1]NS Vendor Details'!$H:$H,'G&amp;A Vendor x GL Analysis'!H$20,'[1]NS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Analysis'!H$20,'[1]NS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I150" s="17">
        <f>IF(AND(I$15="Actual",ISBLANK($E$8)),SUMIFS('[1]NS Vendor Details'!$D:$D,'[1]NS Vendor Details'!$H:$H,'G&amp;A Vendor x GL Analysis'!I$20,'[1]NS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Analysis'!I$20,'[1]NS Vendor Details'!$L:$L,'G&amp;A Vendor x GL Analysis'!$D150,'[1]NS Vendor Details'!$O:$O,'G&amp;A Vendor x GL Analysis'!$F150,'[1]NS Vendor Details'!$N:$N,"Direct Costs",'[1]NS Vendor Details'!$J:$J,0),IF(I$15="Actual",SUMIFS('[1]NS Vendor Details'!$D:$D,'[1]NS Vendor Details'!$H:$H,'G&amp;A Vendor x GL Analysis'!I$20,'[1]NS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Analysis'!I$20,'[1]NS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J150" s="17">
        <f>IF(AND(J$15="Actual",ISBLANK($E$8)),SUMIFS('[1]NS Vendor Details'!$D:$D,'[1]NS Vendor Details'!$H:$H,'G&amp;A Vendor x GL Analysis'!J$20,'[1]NS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Analysis'!J$20,'[1]NS Vendor Details'!$L:$L,'G&amp;A Vendor x GL Analysis'!$D150,'[1]NS Vendor Details'!$O:$O,'G&amp;A Vendor x GL Analysis'!$F150,'[1]NS Vendor Details'!$N:$N,"Direct Costs",'[1]NS Vendor Details'!$J:$J,0),IF(J$15="Actual",SUMIFS('[1]NS Vendor Details'!$D:$D,'[1]NS Vendor Details'!$H:$H,'G&amp;A Vendor x GL Analysis'!J$20,'[1]NS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Analysis'!J$20,'[1]NS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K150" s="17">
        <f>IF(AND(K$15="Actual",ISBLANK($E$8)),SUMIFS('[1]NS Vendor Details'!$D:$D,'[1]NS Vendor Details'!$H:$H,'G&amp;A Vendor x GL Analysis'!K$20,'[1]NS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Analysis'!K$20,'[1]NS Vendor Details'!$L:$L,'G&amp;A Vendor x GL Analysis'!$D150,'[1]NS Vendor Details'!$O:$O,'G&amp;A Vendor x GL Analysis'!$F150,'[1]NS Vendor Details'!$N:$N,"Direct Costs",'[1]NS Vendor Details'!$J:$J,0),IF(K$15="Actual",SUMIFS('[1]NS Vendor Details'!$D:$D,'[1]NS Vendor Details'!$H:$H,'G&amp;A Vendor x GL Analysis'!K$20,'[1]NS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Analysis'!K$20,'[1]NS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L150" s="17">
        <f>IF(AND(L$15="Actual",ISBLANK($E$8)),SUMIFS('[1]NS Vendor Details'!$D:$D,'[1]NS Vendor Details'!$H:$H,'G&amp;A Vendor x GL Analysis'!L$20,'[1]NS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Analysis'!L$20,'[1]NS Vendor Details'!$L:$L,'G&amp;A Vendor x GL Analysis'!$D150,'[1]NS Vendor Details'!$O:$O,'G&amp;A Vendor x GL Analysis'!$F150,'[1]NS Vendor Details'!$N:$N,"Direct Costs",'[1]NS Vendor Details'!$J:$J,0),IF(L$15="Actual",SUMIFS('[1]NS Vendor Details'!$D:$D,'[1]NS Vendor Details'!$H:$H,'G&amp;A Vendor x GL Analysis'!L$20,'[1]NS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Analysis'!L$20,'[1]NS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M150" s="17">
        <f>IF(AND(M$15="Actual",ISBLANK($E$8)),SUMIFS('[1]NS Vendor Details'!$D:$D,'[1]NS Vendor Details'!$H:$H,'G&amp;A Vendor x GL Analysis'!M$20,'[1]NS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Analysis'!M$20,'[1]NS Vendor Details'!$L:$L,'G&amp;A Vendor x GL Analysis'!$D150,'[1]NS Vendor Details'!$O:$O,'G&amp;A Vendor x GL Analysis'!$F150,'[1]NS Vendor Details'!$N:$N,"Direct Costs",'[1]NS Vendor Details'!$J:$J,0),IF(M$15="Actual",SUMIFS('[1]NS Vendor Details'!$D:$D,'[1]NS Vendor Details'!$H:$H,'G&amp;A Vendor x GL Analysis'!M$20,'[1]NS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Analysis'!M$20,'[1]NS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N150" s="17">
        <f>IF(AND(N$15="Actual",ISBLANK($E$8)),SUMIFS('[1]NS Vendor Details'!$D:$D,'[1]NS Vendor Details'!$H:$H,'G&amp;A Vendor x GL Analysis'!N$20,'[1]NS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Analysis'!N$20,'[1]NS Vendor Details'!$L:$L,'G&amp;A Vendor x GL Analysis'!$D150,'[1]NS Vendor Details'!$O:$O,'G&amp;A Vendor x GL Analysis'!$F150,'[1]NS Vendor Details'!$N:$N,"Direct Costs",'[1]NS Vendor Details'!$J:$J,0),IF(N$15="Actual",SUMIFS('[1]NS Vendor Details'!$D:$D,'[1]NS Vendor Details'!$H:$H,'G&amp;A Vendor x GL Analysis'!N$20,'[1]NS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Analysis'!N$20,'[1]NS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O150" s="17">
        <f>IF(AND(O$15="Actual",ISBLANK($E$8)),SUMIFS('[1]NS Vendor Details'!$D:$D,'[1]NS Vendor Details'!$H:$H,'G&amp;A Vendor x GL Analysis'!O$20,'[1]NS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Analysis'!O$20,'[1]NS Vendor Details'!$L:$L,'G&amp;A Vendor x GL Analysis'!$D150,'[1]NS Vendor Details'!$O:$O,'G&amp;A Vendor x GL Analysis'!$F150,'[1]NS Vendor Details'!$N:$N,"Direct Costs",'[1]NS Vendor Details'!$J:$J,0),IF(O$15="Actual",SUMIFS('[1]NS Vendor Details'!$D:$D,'[1]NS Vendor Details'!$H:$H,'G&amp;A Vendor x GL Analysis'!O$20,'[1]NS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Analysis'!O$20,'[1]NS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P150" s="17">
        <f>IF(AND(P$15="Actual",ISBLANK($E$8)),SUMIFS('[1]NS Vendor Details'!$D:$D,'[1]NS Vendor Details'!$H:$H,'G&amp;A Vendor x GL Analysis'!P$20,'[1]NS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Analysis'!P$20,'[1]NS Vendor Details'!$L:$L,'G&amp;A Vendor x GL Analysis'!$D150,'[1]NS Vendor Details'!$O:$O,'G&amp;A Vendor x GL Analysis'!$F150,'[1]NS Vendor Details'!$N:$N,"Direct Costs",'[1]NS Vendor Details'!$J:$J,0),IF(P$15="Actual",SUMIFS('[1]NS Vendor Details'!$D:$D,'[1]NS Vendor Details'!$H:$H,'G&amp;A Vendor x GL Analysis'!P$20,'[1]NS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Analysis'!P$20,'[1]NS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Q150" s="17">
        <f>IF(AND(Q$15="Actual",ISBLANK($E$8)),SUMIFS('[1]NS Vendor Details'!$D:$D,'[1]NS Vendor Details'!$H:$H,'G&amp;A Vendor x GL Analysis'!Q$20,'[1]NS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Analysis'!Q$20,'[1]NS Vendor Details'!$L:$L,'G&amp;A Vendor x GL Analysis'!$D150,'[1]NS Vendor Details'!$O:$O,'G&amp;A Vendor x GL Analysis'!$F150,'[1]NS Vendor Details'!$N:$N,"Direct Costs",'[1]NS Vendor Details'!$J:$J,0),IF(Q$15="Actual",SUMIFS('[1]NS Vendor Details'!$D:$D,'[1]NS Vendor Details'!$H:$H,'G&amp;A Vendor x GL Analysis'!Q$20,'[1]NS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Analysis'!Q$20,'[1]NS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R150" s="18">
        <f>IF(AND(R$15="Actual",ISBLANK($E$8)),SUMIFS('[1]NS Vendor Details'!$D:$D,'[1]NS Vendor Details'!$H:$H,'G&amp;A Vendor x GL Analysis'!R$20,'[1]NS Vendor Details'!$L:$L,'G&amp;A Vendor x GL Analysis'!$D150,'[1]NS Vendor Details'!$O:$O,'G&amp;A Vendor x GL Analysis'!$F150,'[1]NS Vendor Details'!$N:$N,'G&amp;A Vendor x GL Analysis'!$C150)+SUMIFS('[1]NS Vendor Details'!$D:$D,'[1]NS Vendor Details'!$H:$H,'G&amp;A Vendor x GL Analysis'!R$20,'[1]NS Vendor Details'!$L:$L,'G&amp;A Vendor x GL Analysis'!$D150,'[1]NS Vendor Details'!$O:$O,'G&amp;A Vendor x GL Analysis'!$F150,'[1]NS Vendor Details'!$N:$N,"Direct Costs",'[1]NS Vendor Details'!$J:$J,0),IF(R$15="Actual",SUMIFS('[1]NS Vendor Details'!$D:$D,'[1]NS Vendor Details'!$H:$H,'G&amp;A Vendor x GL Analysis'!R$20,'[1]NS Vendor Details'!$L:$L,'G&amp;A Vendor x GL Analysis'!$D150,'[1]NS Vendor Details'!$O:$O,'G&amp;A Vendor x GL Analysis'!$F150,'[1]NS Vendor Details'!$N:$N,'G&amp;A Vendor x GL Analysis'!$C150,'[1]NS Vendor Details'!$K:$K,'G&amp;A Vendor x GL Analysis'!$E$8)+SUMIFS('[1]NS Vendor Details'!$D:$D,'[1]NS Vendor Details'!$H:$H,'G&amp;A Vendor x GL Analysis'!R$20,'[1]NS Vendor Details'!$L:$L,'G&amp;A Vendor x GL Analysis'!$D150,'[1]NS Vendor Details'!$O:$O,'G&amp;A Vendor x GL Analysis'!$F150,'[1]NS Vendor Details'!$N:$N,"Direct Costs",'[1]NS Vendor Details'!$J:$J,0,'[1]NS Vendor Details'!$K:$K,'G&amp;A Vendor x GL Analysis'!$E$8),0))</f>
        <v>0</v>
      </c>
      <c r="S150" s="16">
        <f>IF(AND(S$15="Actual",ISBLANK($E$8)),SUMIFS('[1]NS Vendor Details'!$D:$D,'[1]NS Vendor Details'!$H:$H,'G&amp;A Vendor x GL Analysis'!S$20,'[1]NS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Analysis'!S$20,'[1]NS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Analysis'!$E150),IF(S$15="Actual",SUMIFS('[1]NS Vendor Details'!$D:$D,'[1]NS Vendor Details'!$H:$H,'G&amp;A Vendor x GL Analysis'!S$20,'[1]NS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Analysis'!S$20,'[1]NS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13.65</v>
      </c>
      <c r="T150" s="17">
        <f>IF(AND(T$15="Actual",ISBLANK($E$8)),SUMIFS('[1]NS Vendor Details'!$D:$D,'[1]NS Vendor Details'!$H:$H,'G&amp;A Vendor x GL Analysis'!T$20,'[1]NS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Analysis'!T$20,'[1]NS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Analysis'!$E150),IF(T$15="Actual",SUMIFS('[1]NS Vendor Details'!$D:$D,'[1]NS Vendor Details'!$H:$H,'G&amp;A Vendor x GL Analysis'!T$20,'[1]NS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Analysis'!T$20,'[1]NS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13.65</v>
      </c>
      <c r="U150" s="17">
        <f>IF(AND(U$15="Actual",ISBLANK($E$8)),SUMIFS('[1]NS Vendor Details'!$D:$D,'[1]NS Vendor Details'!$H:$H,'G&amp;A Vendor x GL Analysis'!U$20,'[1]NS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Analysis'!U$20,'[1]NS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Analysis'!$E150),IF(U$15="Actual",SUMIFS('[1]NS Vendor Details'!$D:$D,'[1]NS Vendor Details'!$H:$H,'G&amp;A Vendor x GL Analysis'!U$20,'[1]NS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Analysis'!U$20,'[1]NS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13.65</v>
      </c>
      <c r="V150" s="17">
        <f>IF(AND(V$15="Actual",ISBLANK($E$8)),SUMIFS('[1]NS Vendor Details'!$D:$D,'[1]NS Vendor Details'!$H:$H,'G&amp;A Vendor x GL Analysis'!V$20,'[1]NS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Analysis'!V$20,'[1]NS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Analysis'!$E150),IF(V$15="Actual",SUMIFS('[1]NS Vendor Details'!$D:$D,'[1]NS Vendor Details'!$H:$H,'G&amp;A Vendor x GL Analysis'!V$20,'[1]NS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Analysis'!V$20,'[1]NS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13.6</v>
      </c>
      <c r="W150" s="17">
        <f>IF(AND(W$15="Actual",ISBLANK($E$8)),SUMIFS('[1]NS Vendor Details'!$D:$D,'[1]NS Vendor Details'!$H:$H,'G&amp;A Vendor x GL Analysis'!W$20,'[1]NS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Analysis'!W$20,'[1]NS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Analysis'!$E150),IF(W$15="Actual",SUMIFS('[1]NS Vendor Details'!$D:$D,'[1]NS Vendor Details'!$H:$H,'G&amp;A Vendor x GL Analysis'!W$20,'[1]NS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Analysis'!W$20,'[1]NS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0</v>
      </c>
      <c r="X150" s="17">
        <f>IF(AND(X$15="Actual",ISBLANK($E$8)),SUMIFS('[1]NS Vendor Details'!$D:$D,'[1]NS Vendor Details'!$H:$H,'G&amp;A Vendor x GL Analysis'!X$20,'[1]NS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Analysis'!X$20,'[1]NS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Analysis'!$E150),IF(X$15="Actual",SUMIFS('[1]NS Vendor Details'!$D:$D,'[1]NS Vendor Details'!$H:$H,'G&amp;A Vendor x GL Analysis'!X$20,'[1]NS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Analysis'!X$20,'[1]NS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0</v>
      </c>
      <c r="Y150" s="17">
        <f>IF(AND(Y$15="Actual",ISBLANK($E$8)),SUMIFS('[1]NS Vendor Details'!$D:$D,'[1]NS Vendor Details'!$H:$H,'G&amp;A Vendor x GL Analysis'!Y$20,'[1]NS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Analysis'!Y$20,'[1]NS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Analysis'!$E150),IF(Y$15="Actual",SUMIFS('[1]NS Vendor Details'!$D:$D,'[1]NS Vendor Details'!$H:$H,'G&amp;A Vendor x GL Analysis'!Y$20,'[1]NS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Analysis'!Y$20,'[1]NS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0</v>
      </c>
      <c r="Z150" s="17">
        <f>IF(AND(Z$15="Actual",ISBLANK($E$8)),SUMIFS('[1]NS Vendor Details'!$D:$D,'[1]NS Vendor Details'!$H:$H,'G&amp;A Vendor x GL Analysis'!Z$20,'[1]NS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Analysis'!Z$20,'[1]NS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Analysis'!$E150),IF(Z$15="Actual",SUMIFS('[1]NS Vendor Details'!$D:$D,'[1]NS Vendor Details'!$H:$H,'G&amp;A Vendor x GL Analysis'!Z$20,'[1]NS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Analysis'!Z$20,'[1]NS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0</v>
      </c>
      <c r="AA150" s="17">
        <f>IF(AND(AA$15="Actual",ISBLANK($E$8)),SUMIFS('[1]NS Vendor Details'!$D:$D,'[1]NS Vendor Details'!$H:$H,'G&amp;A Vendor x GL Analysis'!AA$20,'[1]NS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Analysis'!AA$20,'[1]NS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Analysis'!$E150),IF(AA$15="Actual",SUMIFS('[1]NS Vendor Details'!$D:$D,'[1]NS Vendor Details'!$H:$H,'G&amp;A Vendor x GL Analysis'!AA$20,'[1]NS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Analysis'!AA$20,'[1]NS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0</v>
      </c>
      <c r="AB150" s="17">
        <f>IF(AND(AB$15="Actual",ISBLANK($E$8)),SUMIFS('[1]NS Vendor Details'!$D:$D,'[1]NS Vendor Details'!$H:$H,'G&amp;A Vendor x GL Analysis'!AB$20,'[1]NS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Analysis'!AB$20,'[1]NS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Analysis'!$E150),IF(AB$15="Actual",SUMIFS('[1]NS Vendor Details'!$D:$D,'[1]NS Vendor Details'!$H:$H,'G&amp;A Vendor x GL Analysis'!AB$20,'[1]NS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Analysis'!AB$20,'[1]NS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0</v>
      </c>
      <c r="AC150" s="18">
        <f>IF(AND(AC$15="Actual",ISBLANK($E$8)),SUMIFS('[1]NS Vendor Details'!$D:$D,'[1]NS Vendor Details'!$H:$H,'G&amp;A Vendor x GL Analysis'!AC$20,'[1]NS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Analysis'!AC$20,'[1]NS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Analysis'!$E150),IF(AC$15="Actual",SUMIFS('[1]NS Vendor Details'!$D:$D,'[1]NS Vendor Details'!$H:$H,'G&amp;A Vendor x GL Analysis'!AC$20,'[1]NS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Analysis'!AC$20,'[1]NS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0</v>
      </c>
      <c r="AD150" s="18">
        <f>IF(AND(AD$15="Actual",ISBLANK($E$8)),SUMIFS('[1]NS Vendor Details'!$D:$D,'[1]NS Vendor Details'!$H:$H,'G&amp;A Vendor x GL Analysis'!AD$20,'[1]NS Vendor Details'!$L:$L,'G&amp;A Vendor x GL Analysis'!$D150,'[1]NS Vendor Details'!$O:$O,'G&amp;A Vendor x GL Analysis'!$F150,'[1]NS Vendor Details'!$N:$N,'G&amp;A Vendor x GL Analysis'!$C150,'[1]NS Vendor Details'!$I:$I,'G&amp;A Vendor x GL Analysis'!$E150)+SUMIFS('[1]NS Vendor Details'!$D:$D,'[1]NS Vendor Details'!$H:$H,'G&amp;A Vendor x GL Analysis'!AD$20,'[1]NS Vendor Details'!$L:$L,'G&amp;A Vendor x GL Analysis'!$D150,'[1]NS Vendor Details'!$O:$O,'G&amp;A Vendor x GL Analysis'!$F150,'[1]NS Vendor Details'!$N:$N,"Direct Costs",'[1]NS Vendor Details'!$J:$J,0,'[1]NS Vendor Details'!$I:$I,'G&amp;A Vendor x GL Analysis'!$E150),IF(AD$15="Actual",SUMIFS('[1]NS Vendor Details'!$D:$D,'[1]NS Vendor Details'!$H:$H,'G&amp;A Vendor x GL Analysis'!AD$20,'[1]NS Vendor Details'!$L:$L,'G&amp;A Vendor x GL Analysis'!$D150,'[1]NS Vendor Details'!$O:$O,'G&amp;A Vendor x GL Analysis'!$F150,'[1]NS Vendor Details'!$N:$N,'G&amp;A Vendor x GL Analysis'!$C150,'[1]NS Vendor Details'!$K:$K,'G&amp;A Vendor x GL Analysis'!$E$8,'[1]NS Vendor Details'!$I:$I,'G&amp;A Vendor x GL Analysis'!$E150)+SUMIFS('[1]NS Vendor Details'!$D:$D,'[1]NS Vendor Details'!$H:$H,'G&amp;A Vendor x GL Analysis'!AD$20,'[1]NS Vendor Details'!$L:$L,'G&amp;A Vendor x GL Analysis'!$D150,'[1]NS Vendor Details'!$O:$O,'G&amp;A Vendor x GL Analysis'!$F150,'[1]NS Vendor Details'!$N:$N,"Direct Costs",'[1]NS Vendor Details'!$J:$J,0,'[1]NS Vendor Details'!$K:$K,'G&amp;A Vendor x GL Analysis'!$E$8,'[1]NS Vendor Details'!$I:$I,'G&amp;A Vendor x GL Analysis'!$E150),0))</f>
        <v>0</v>
      </c>
      <c r="AF150" s="19">
        <f t="shared" si="23"/>
        <v>54.550000000000004</v>
      </c>
    </row>
    <row r="151" spans="1:32" outlineLevel="1">
      <c r="A151" s="8" t="str">
        <f t="shared" si="22"/>
        <v>Professional Service6420 - Licenses &amp; Membership</v>
      </c>
      <c r="C151" s="8" t="s">
        <v>11</v>
      </c>
      <c r="D151" s="8" t="str">
        <f t="shared" si="24"/>
        <v>Professional Service</v>
      </c>
      <c r="E151" s="2" t="s">
        <v>143</v>
      </c>
      <c r="F151" s="2" t="s">
        <v>16</v>
      </c>
      <c r="G151" s="16">
        <f>IF(AND(G$15="Actual",ISBLANK($E$8)),SUMIFS('[1]NS Vendor Details'!$D:$D,'[1]NS Vendor Details'!$H:$H,'G&amp;A Vendor x GL Analysis'!G$20,'[1]NS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Analysis'!G$20,'[1]NS Vendor Details'!$L:$L,'G&amp;A Vendor x GL Analysis'!$D151,'[1]NS Vendor Details'!$O:$O,'G&amp;A Vendor x GL Analysis'!$F151,'[1]NS Vendor Details'!$N:$N,"Direct Costs",'[1]NS Vendor Details'!$J:$J,0),IF(G$15="Actual",SUMIFS('[1]NS Vendor Details'!$D:$D,'[1]NS Vendor Details'!$H:$H,'G&amp;A Vendor x GL Analysis'!G$20,'[1]NS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Analysis'!G$20,'[1]NS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20387.23</v>
      </c>
      <c r="H151" s="17">
        <f>IF(AND(H$15="Actual",ISBLANK($E$8)),SUMIFS('[1]NS Vendor Details'!$D:$D,'[1]NS Vendor Details'!$H:$H,'G&amp;A Vendor x GL Analysis'!H$20,'[1]NS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Analysis'!H$20,'[1]NS Vendor Details'!$L:$L,'G&amp;A Vendor x GL Analysis'!$D151,'[1]NS Vendor Details'!$O:$O,'G&amp;A Vendor x GL Analysis'!$F151,'[1]NS Vendor Details'!$N:$N,"Direct Costs",'[1]NS Vendor Details'!$J:$J,0),IF(H$15="Actual",SUMIFS('[1]NS Vendor Details'!$D:$D,'[1]NS Vendor Details'!$H:$H,'G&amp;A Vendor x GL Analysis'!H$20,'[1]NS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Analysis'!H$20,'[1]NS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2882.1599999999994</v>
      </c>
      <c r="I151" s="17">
        <f>IF(AND(I$15="Actual",ISBLANK($E$8)),SUMIFS('[1]NS Vendor Details'!$D:$D,'[1]NS Vendor Details'!$H:$H,'G&amp;A Vendor x GL Analysis'!I$20,'[1]NS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Analysis'!I$20,'[1]NS Vendor Details'!$L:$L,'G&amp;A Vendor x GL Analysis'!$D151,'[1]NS Vendor Details'!$O:$O,'G&amp;A Vendor x GL Analysis'!$F151,'[1]NS Vendor Details'!$N:$N,"Direct Costs",'[1]NS Vendor Details'!$J:$J,0),IF(I$15="Actual",SUMIFS('[1]NS Vendor Details'!$D:$D,'[1]NS Vendor Details'!$H:$H,'G&amp;A Vendor x GL Analysis'!I$20,'[1]NS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Analysis'!I$20,'[1]NS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2608.1800000000007</v>
      </c>
      <c r="J151" s="17">
        <f>IF(AND(J$15="Actual",ISBLANK($E$8)),SUMIFS('[1]NS Vendor Details'!$D:$D,'[1]NS Vendor Details'!$H:$H,'G&amp;A Vendor x GL Analysis'!J$20,'[1]NS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Analysis'!J$20,'[1]NS Vendor Details'!$L:$L,'G&amp;A Vendor x GL Analysis'!$D151,'[1]NS Vendor Details'!$O:$O,'G&amp;A Vendor x GL Analysis'!$F151,'[1]NS Vendor Details'!$N:$N,"Direct Costs",'[1]NS Vendor Details'!$J:$J,0),IF(J$15="Actual",SUMIFS('[1]NS Vendor Details'!$D:$D,'[1]NS Vendor Details'!$H:$H,'G&amp;A Vendor x GL Analysis'!J$20,'[1]NS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Analysis'!J$20,'[1]NS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17994.830000000002</v>
      </c>
      <c r="K151" s="17">
        <f>IF(AND(K$15="Actual",ISBLANK($E$8)),SUMIFS('[1]NS Vendor Details'!$D:$D,'[1]NS Vendor Details'!$H:$H,'G&amp;A Vendor x GL Analysis'!K$20,'[1]NS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Analysis'!K$20,'[1]NS Vendor Details'!$L:$L,'G&amp;A Vendor x GL Analysis'!$D151,'[1]NS Vendor Details'!$O:$O,'G&amp;A Vendor x GL Analysis'!$F151,'[1]NS Vendor Details'!$N:$N,"Direct Costs",'[1]NS Vendor Details'!$J:$J,0),IF(K$15="Actual",SUMIFS('[1]NS Vendor Details'!$D:$D,'[1]NS Vendor Details'!$H:$H,'G&amp;A Vendor x GL Analysis'!K$20,'[1]NS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Analysis'!K$20,'[1]NS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7253.27</v>
      </c>
      <c r="L151" s="17">
        <f>IF(AND(L$15="Actual",ISBLANK($E$8)),SUMIFS('[1]NS Vendor Details'!$D:$D,'[1]NS Vendor Details'!$H:$H,'G&amp;A Vendor x GL Analysis'!L$20,'[1]NS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Analysis'!L$20,'[1]NS Vendor Details'!$L:$L,'G&amp;A Vendor x GL Analysis'!$D151,'[1]NS Vendor Details'!$O:$O,'G&amp;A Vendor x GL Analysis'!$F151,'[1]NS Vendor Details'!$N:$N,"Direct Costs",'[1]NS Vendor Details'!$J:$J,0),IF(L$15="Actual",SUMIFS('[1]NS Vendor Details'!$D:$D,'[1]NS Vendor Details'!$H:$H,'G&amp;A Vendor x GL Analysis'!L$20,'[1]NS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Analysis'!L$20,'[1]NS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9261.7000000000007</v>
      </c>
      <c r="M151" s="17">
        <f>IF(AND(M$15="Actual",ISBLANK($E$8)),SUMIFS('[1]NS Vendor Details'!$D:$D,'[1]NS Vendor Details'!$H:$H,'G&amp;A Vendor x GL Analysis'!M$20,'[1]NS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Analysis'!M$20,'[1]NS Vendor Details'!$L:$L,'G&amp;A Vendor x GL Analysis'!$D151,'[1]NS Vendor Details'!$O:$O,'G&amp;A Vendor x GL Analysis'!$F151,'[1]NS Vendor Details'!$N:$N,"Direct Costs",'[1]NS Vendor Details'!$J:$J,0),IF(M$15="Actual",SUMIFS('[1]NS Vendor Details'!$D:$D,'[1]NS Vendor Details'!$H:$H,'G&amp;A Vendor x GL Analysis'!M$20,'[1]NS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Analysis'!M$20,'[1]NS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1403.4799999999998</v>
      </c>
      <c r="N151" s="17">
        <f>IF(AND(N$15="Actual",ISBLANK($E$8)),SUMIFS('[1]NS Vendor Details'!$D:$D,'[1]NS Vendor Details'!$H:$H,'G&amp;A Vendor x GL Analysis'!N$20,'[1]NS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Analysis'!N$20,'[1]NS Vendor Details'!$L:$L,'G&amp;A Vendor x GL Analysis'!$D151,'[1]NS Vendor Details'!$O:$O,'G&amp;A Vendor x GL Analysis'!$F151,'[1]NS Vendor Details'!$N:$N,"Direct Costs",'[1]NS Vendor Details'!$J:$J,0),IF(N$15="Actual",SUMIFS('[1]NS Vendor Details'!$D:$D,'[1]NS Vendor Details'!$H:$H,'G&amp;A Vendor x GL Analysis'!N$20,'[1]NS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Analysis'!N$20,'[1]NS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1481.0099999999998</v>
      </c>
      <c r="O151" s="17">
        <f>IF(AND(O$15="Actual",ISBLANK($E$8)),SUMIFS('[1]NS Vendor Details'!$D:$D,'[1]NS Vendor Details'!$H:$H,'G&amp;A Vendor x GL Analysis'!O$20,'[1]NS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Analysis'!O$20,'[1]NS Vendor Details'!$L:$L,'G&amp;A Vendor x GL Analysis'!$D151,'[1]NS Vendor Details'!$O:$O,'G&amp;A Vendor x GL Analysis'!$F151,'[1]NS Vendor Details'!$N:$N,"Direct Costs",'[1]NS Vendor Details'!$J:$J,0),IF(O$15="Actual",SUMIFS('[1]NS Vendor Details'!$D:$D,'[1]NS Vendor Details'!$H:$H,'G&amp;A Vendor x GL Analysis'!O$20,'[1]NS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Analysis'!O$20,'[1]NS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-1780.9000000000005</v>
      </c>
      <c r="P151" s="17">
        <f>IF(AND(P$15="Actual",ISBLANK($E$8)),SUMIFS('[1]NS Vendor Details'!$D:$D,'[1]NS Vendor Details'!$H:$H,'G&amp;A Vendor x GL Analysis'!P$20,'[1]NS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Analysis'!P$20,'[1]NS Vendor Details'!$L:$L,'G&amp;A Vendor x GL Analysis'!$D151,'[1]NS Vendor Details'!$O:$O,'G&amp;A Vendor x GL Analysis'!$F151,'[1]NS Vendor Details'!$N:$N,"Direct Costs",'[1]NS Vendor Details'!$J:$J,0),IF(P$15="Actual",SUMIFS('[1]NS Vendor Details'!$D:$D,'[1]NS Vendor Details'!$H:$H,'G&amp;A Vendor x GL Analysis'!P$20,'[1]NS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Analysis'!P$20,'[1]NS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1662.3999999999999</v>
      </c>
      <c r="Q151" s="17">
        <f>IF(AND(Q$15="Actual",ISBLANK($E$8)),SUMIFS('[1]NS Vendor Details'!$D:$D,'[1]NS Vendor Details'!$H:$H,'G&amp;A Vendor x GL Analysis'!Q$20,'[1]NS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Analysis'!Q$20,'[1]NS Vendor Details'!$L:$L,'G&amp;A Vendor x GL Analysis'!$D151,'[1]NS Vendor Details'!$O:$O,'G&amp;A Vendor x GL Analysis'!$F151,'[1]NS Vendor Details'!$N:$N,"Direct Costs",'[1]NS Vendor Details'!$J:$J,0),IF(Q$15="Actual",SUMIFS('[1]NS Vendor Details'!$D:$D,'[1]NS Vendor Details'!$H:$H,'G&amp;A Vendor x GL Analysis'!Q$20,'[1]NS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Analysis'!Q$20,'[1]NS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-9958.9199999999983</v>
      </c>
      <c r="R151" s="18">
        <f>IF(AND(R$15="Actual",ISBLANK($E$8)),SUMIFS('[1]NS Vendor Details'!$D:$D,'[1]NS Vendor Details'!$H:$H,'G&amp;A Vendor x GL Analysis'!R$20,'[1]NS Vendor Details'!$L:$L,'G&amp;A Vendor x GL Analysis'!$D151,'[1]NS Vendor Details'!$O:$O,'G&amp;A Vendor x GL Analysis'!$F151,'[1]NS Vendor Details'!$N:$N,'G&amp;A Vendor x GL Analysis'!$C151)+SUMIFS('[1]NS Vendor Details'!$D:$D,'[1]NS Vendor Details'!$H:$H,'G&amp;A Vendor x GL Analysis'!R$20,'[1]NS Vendor Details'!$L:$L,'G&amp;A Vendor x GL Analysis'!$D151,'[1]NS Vendor Details'!$O:$O,'G&amp;A Vendor x GL Analysis'!$F151,'[1]NS Vendor Details'!$N:$N,"Direct Costs",'[1]NS Vendor Details'!$J:$J,0),IF(R$15="Actual",SUMIFS('[1]NS Vendor Details'!$D:$D,'[1]NS Vendor Details'!$H:$H,'G&amp;A Vendor x GL Analysis'!R$20,'[1]NS Vendor Details'!$L:$L,'G&amp;A Vendor x GL Analysis'!$D151,'[1]NS Vendor Details'!$O:$O,'G&amp;A Vendor x GL Analysis'!$F151,'[1]NS Vendor Details'!$N:$N,'G&amp;A Vendor x GL Analysis'!$C151,'[1]NS Vendor Details'!$K:$K,'G&amp;A Vendor x GL Analysis'!$E$8)+SUMIFS('[1]NS Vendor Details'!$D:$D,'[1]NS Vendor Details'!$H:$H,'G&amp;A Vendor x GL Analysis'!R$20,'[1]NS Vendor Details'!$L:$L,'G&amp;A Vendor x GL Analysis'!$D151,'[1]NS Vendor Details'!$O:$O,'G&amp;A Vendor x GL Analysis'!$F151,'[1]NS Vendor Details'!$N:$N,"Direct Costs",'[1]NS Vendor Details'!$J:$J,0,'[1]NS Vendor Details'!$K:$K,'G&amp;A Vendor x GL Analysis'!$E$8),0))</f>
        <v>71148.460000000021</v>
      </c>
      <c r="S151" s="16">
        <f>IF(AND(S$15="Actual",ISBLANK($E$8)),SUMIFS('[1]NS Vendor Details'!$D:$D,'[1]NS Vendor Details'!$H:$H,'G&amp;A Vendor x GL Analysis'!S$20,'[1]NS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Analysis'!S$20,'[1]NS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Analysis'!$E151),IF(S$15="Actual",SUMIFS('[1]NS Vendor Details'!$D:$D,'[1]NS Vendor Details'!$H:$H,'G&amp;A Vendor x GL Analysis'!S$20,'[1]NS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Analysis'!S$20,'[1]NS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165.42</v>
      </c>
      <c r="T151" s="17">
        <f>IF(AND(T$15="Actual",ISBLANK($E$8)),SUMIFS('[1]NS Vendor Details'!$D:$D,'[1]NS Vendor Details'!$H:$H,'G&amp;A Vendor x GL Analysis'!T$20,'[1]NS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Analysis'!T$20,'[1]NS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Analysis'!$E151),IF(T$15="Actual",SUMIFS('[1]NS Vendor Details'!$D:$D,'[1]NS Vendor Details'!$H:$H,'G&amp;A Vendor x GL Analysis'!T$20,'[1]NS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Analysis'!T$20,'[1]NS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165.38</v>
      </c>
      <c r="U151" s="17">
        <f>IF(AND(U$15="Actual",ISBLANK($E$8)),SUMIFS('[1]NS Vendor Details'!$D:$D,'[1]NS Vendor Details'!$H:$H,'G&amp;A Vendor x GL Analysis'!U$20,'[1]NS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Analysis'!U$20,'[1]NS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Analysis'!$E151),IF(U$15="Actual",SUMIFS('[1]NS Vendor Details'!$D:$D,'[1]NS Vendor Details'!$H:$H,'G&amp;A Vendor x GL Analysis'!U$20,'[1]NS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Analysis'!U$20,'[1]NS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153</v>
      </c>
      <c r="V151" s="17">
        <f>IF(AND(V$15="Actual",ISBLANK($E$8)),SUMIFS('[1]NS Vendor Details'!$D:$D,'[1]NS Vendor Details'!$H:$H,'G&amp;A Vendor x GL Analysis'!V$20,'[1]NS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Analysis'!V$20,'[1]NS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Analysis'!$E151),IF(V$15="Actual",SUMIFS('[1]NS Vendor Details'!$D:$D,'[1]NS Vendor Details'!$H:$H,'G&amp;A Vendor x GL Analysis'!V$20,'[1]NS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Analysis'!V$20,'[1]NS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153</v>
      </c>
      <c r="W151" s="17">
        <f>IF(AND(W$15="Actual",ISBLANK($E$8)),SUMIFS('[1]NS Vendor Details'!$D:$D,'[1]NS Vendor Details'!$H:$H,'G&amp;A Vendor x GL Analysis'!W$20,'[1]NS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Analysis'!W$20,'[1]NS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Analysis'!$E151),IF(W$15="Actual",SUMIFS('[1]NS Vendor Details'!$D:$D,'[1]NS Vendor Details'!$H:$H,'G&amp;A Vendor x GL Analysis'!W$20,'[1]NS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Analysis'!W$20,'[1]NS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153</v>
      </c>
      <c r="X151" s="17">
        <f>IF(AND(X$15="Actual",ISBLANK($E$8)),SUMIFS('[1]NS Vendor Details'!$D:$D,'[1]NS Vendor Details'!$H:$H,'G&amp;A Vendor x GL Analysis'!X$20,'[1]NS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Analysis'!X$20,'[1]NS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Analysis'!$E151),IF(X$15="Actual",SUMIFS('[1]NS Vendor Details'!$D:$D,'[1]NS Vendor Details'!$H:$H,'G&amp;A Vendor x GL Analysis'!X$20,'[1]NS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Analysis'!X$20,'[1]NS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153</v>
      </c>
      <c r="Y151" s="17">
        <f>IF(AND(Y$15="Actual",ISBLANK($E$8)),SUMIFS('[1]NS Vendor Details'!$D:$D,'[1]NS Vendor Details'!$H:$H,'G&amp;A Vendor x GL Analysis'!Y$20,'[1]NS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Analysis'!Y$20,'[1]NS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Analysis'!$E151),IF(Y$15="Actual",SUMIFS('[1]NS Vendor Details'!$D:$D,'[1]NS Vendor Details'!$H:$H,'G&amp;A Vendor x GL Analysis'!Y$20,'[1]NS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Analysis'!Y$20,'[1]NS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153</v>
      </c>
      <c r="Z151" s="17">
        <f>IF(AND(Z$15="Actual",ISBLANK($E$8)),SUMIFS('[1]NS Vendor Details'!$D:$D,'[1]NS Vendor Details'!$H:$H,'G&amp;A Vendor x GL Analysis'!Z$20,'[1]NS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Analysis'!Z$20,'[1]NS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Analysis'!$E151),IF(Z$15="Actual",SUMIFS('[1]NS Vendor Details'!$D:$D,'[1]NS Vendor Details'!$H:$H,'G&amp;A Vendor x GL Analysis'!Z$20,'[1]NS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Analysis'!Z$20,'[1]NS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0</v>
      </c>
      <c r="AA151" s="17">
        <f>IF(AND(AA$15="Actual",ISBLANK($E$8)),SUMIFS('[1]NS Vendor Details'!$D:$D,'[1]NS Vendor Details'!$H:$H,'G&amp;A Vendor x GL Analysis'!AA$20,'[1]NS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Analysis'!AA$20,'[1]NS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Analysis'!$E151),IF(AA$15="Actual",SUMIFS('[1]NS Vendor Details'!$D:$D,'[1]NS Vendor Details'!$H:$H,'G&amp;A Vendor x GL Analysis'!AA$20,'[1]NS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Analysis'!AA$20,'[1]NS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0</v>
      </c>
      <c r="AB151" s="17">
        <f>IF(AND(AB$15="Actual",ISBLANK($E$8)),SUMIFS('[1]NS Vendor Details'!$D:$D,'[1]NS Vendor Details'!$H:$H,'G&amp;A Vendor x GL Analysis'!AB$20,'[1]NS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Analysis'!AB$20,'[1]NS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Analysis'!$E151),IF(AB$15="Actual",SUMIFS('[1]NS Vendor Details'!$D:$D,'[1]NS Vendor Details'!$H:$H,'G&amp;A Vendor x GL Analysis'!AB$20,'[1]NS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Analysis'!AB$20,'[1]NS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0</v>
      </c>
      <c r="AC151" s="18">
        <f>IF(AND(AC$15="Actual",ISBLANK($E$8)),SUMIFS('[1]NS Vendor Details'!$D:$D,'[1]NS Vendor Details'!$H:$H,'G&amp;A Vendor x GL Analysis'!AC$20,'[1]NS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Analysis'!AC$20,'[1]NS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Analysis'!$E151),IF(AC$15="Actual",SUMIFS('[1]NS Vendor Details'!$D:$D,'[1]NS Vendor Details'!$H:$H,'G&amp;A Vendor x GL Analysis'!AC$20,'[1]NS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Analysis'!AC$20,'[1]NS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0</v>
      </c>
      <c r="AD151" s="18">
        <f>IF(AND(AD$15="Actual",ISBLANK($E$8)),SUMIFS('[1]NS Vendor Details'!$D:$D,'[1]NS Vendor Details'!$H:$H,'G&amp;A Vendor x GL Analysis'!AD$20,'[1]NS Vendor Details'!$L:$L,'G&amp;A Vendor x GL Analysis'!$D151,'[1]NS Vendor Details'!$O:$O,'G&amp;A Vendor x GL Analysis'!$F151,'[1]NS Vendor Details'!$N:$N,'G&amp;A Vendor x GL Analysis'!$C151,'[1]NS Vendor Details'!$I:$I,'G&amp;A Vendor x GL Analysis'!$E151)+SUMIFS('[1]NS Vendor Details'!$D:$D,'[1]NS Vendor Details'!$H:$H,'G&amp;A Vendor x GL Analysis'!AD$20,'[1]NS Vendor Details'!$L:$L,'G&amp;A Vendor x GL Analysis'!$D151,'[1]NS Vendor Details'!$O:$O,'G&amp;A Vendor x GL Analysis'!$F151,'[1]NS Vendor Details'!$N:$N,"Direct Costs",'[1]NS Vendor Details'!$J:$J,0,'[1]NS Vendor Details'!$I:$I,'G&amp;A Vendor x GL Analysis'!$E151),IF(AD$15="Actual",SUMIFS('[1]NS Vendor Details'!$D:$D,'[1]NS Vendor Details'!$H:$H,'G&amp;A Vendor x GL Analysis'!AD$20,'[1]NS Vendor Details'!$L:$L,'G&amp;A Vendor x GL Analysis'!$D151,'[1]NS Vendor Details'!$O:$O,'G&amp;A Vendor x GL Analysis'!$F151,'[1]NS Vendor Details'!$N:$N,'G&amp;A Vendor x GL Analysis'!$C151,'[1]NS Vendor Details'!$K:$K,'G&amp;A Vendor x GL Analysis'!$E$8,'[1]NS Vendor Details'!$I:$I,'G&amp;A Vendor x GL Analysis'!$E151)+SUMIFS('[1]NS Vendor Details'!$D:$D,'[1]NS Vendor Details'!$H:$H,'G&amp;A Vendor x GL Analysis'!AD$20,'[1]NS Vendor Details'!$L:$L,'G&amp;A Vendor x GL Analysis'!$D151,'[1]NS Vendor Details'!$O:$O,'G&amp;A Vendor x GL Analysis'!$F151,'[1]NS Vendor Details'!$N:$N,"Direct Costs",'[1]NS Vendor Details'!$J:$J,0,'[1]NS Vendor Details'!$K:$K,'G&amp;A Vendor x GL Analysis'!$E$8,'[1]NS Vendor Details'!$I:$I,'G&amp;A Vendor x GL Analysis'!$E151),0))</f>
        <v>0</v>
      </c>
      <c r="AF151" s="19">
        <f t="shared" si="23"/>
        <v>1095.8</v>
      </c>
    </row>
    <row r="152" spans="1:32" outlineLevel="1">
      <c r="A152" s="8" t="str">
        <f t="shared" si="22"/>
        <v>Professional Service6420 - Licenses &amp; Membership</v>
      </c>
      <c r="C152" s="8" t="s">
        <v>11</v>
      </c>
      <c r="D152" s="8" t="str">
        <f t="shared" si="24"/>
        <v>Professional Service</v>
      </c>
      <c r="E152" s="2" t="s">
        <v>143</v>
      </c>
      <c r="F152" s="2" t="s">
        <v>108</v>
      </c>
      <c r="G152" s="16">
        <f>IF(AND(G$15="Actual",ISBLANK($E$8)),SUMIFS('[1]NS Vendor Details'!$D:$D,'[1]NS Vendor Details'!$H:$H,'G&amp;A Vendor x GL Analysis'!G$20,'[1]NS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Analysis'!G$20,'[1]NS Vendor Details'!$L:$L,'G&amp;A Vendor x GL Analysis'!$D152,'[1]NS Vendor Details'!$O:$O,'G&amp;A Vendor x GL Analysis'!$F152,'[1]NS Vendor Details'!$N:$N,"Direct Costs",'[1]NS Vendor Details'!$J:$J,0),IF(G$15="Actual",SUMIFS('[1]NS Vendor Details'!$D:$D,'[1]NS Vendor Details'!$H:$H,'G&amp;A Vendor x GL Analysis'!G$20,'[1]NS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Analysis'!G$20,'[1]NS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0</v>
      </c>
      <c r="H152" s="17">
        <f>IF(AND(H$15="Actual",ISBLANK($E$8)),SUMIFS('[1]NS Vendor Details'!$D:$D,'[1]NS Vendor Details'!$H:$H,'G&amp;A Vendor x GL Analysis'!H$20,'[1]NS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Analysis'!H$20,'[1]NS Vendor Details'!$L:$L,'G&amp;A Vendor x GL Analysis'!$D152,'[1]NS Vendor Details'!$O:$O,'G&amp;A Vendor x GL Analysis'!$F152,'[1]NS Vendor Details'!$N:$N,"Direct Costs",'[1]NS Vendor Details'!$J:$J,0),IF(H$15="Actual",SUMIFS('[1]NS Vendor Details'!$D:$D,'[1]NS Vendor Details'!$H:$H,'G&amp;A Vendor x GL Analysis'!H$20,'[1]NS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Analysis'!H$20,'[1]NS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0</v>
      </c>
      <c r="I152" s="17">
        <f>IF(AND(I$15="Actual",ISBLANK($E$8)),SUMIFS('[1]NS Vendor Details'!$D:$D,'[1]NS Vendor Details'!$H:$H,'G&amp;A Vendor x GL Analysis'!I$20,'[1]NS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Analysis'!I$20,'[1]NS Vendor Details'!$L:$L,'G&amp;A Vendor x GL Analysis'!$D152,'[1]NS Vendor Details'!$O:$O,'G&amp;A Vendor x GL Analysis'!$F152,'[1]NS Vendor Details'!$N:$N,"Direct Costs",'[1]NS Vendor Details'!$J:$J,0),IF(I$15="Actual",SUMIFS('[1]NS Vendor Details'!$D:$D,'[1]NS Vendor Details'!$H:$H,'G&amp;A Vendor x GL Analysis'!I$20,'[1]NS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Analysis'!I$20,'[1]NS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0</v>
      </c>
      <c r="J152" s="17">
        <f>IF(AND(J$15="Actual",ISBLANK($E$8)),SUMIFS('[1]NS Vendor Details'!$D:$D,'[1]NS Vendor Details'!$H:$H,'G&amp;A Vendor x GL Analysis'!J$20,'[1]NS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Analysis'!J$20,'[1]NS Vendor Details'!$L:$L,'G&amp;A Vendor x GL Analysis'!$D152,'[1]NS Vendor Details'!$O:$O,'G&amp;A Vendor x GL Analysis'!$F152,'[1]NS Vendor Details'!$N:$N,"Direct Costs",'[1]NS Vendor Details'!$J:$J,0),IF(J$15="Actual",SUMIFS('[1]NS Vendor Details'!$D:$D,'[1]NS Vendor Details'!$H:$H,'G&amp;A Vendor x GL Analysis'!J$20,'[1]NS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Analysis'!J$20,'[1]NS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1302.44</v>
      </c>
      <c r="K152" s="17">
        <f>IF(AND(K$15="Actual",ISBLANK($E$8)),SUMIFS('[1]NS Vendor Details'!$D:$D,'[1]NS Vendor Details'!$H:$H,'G&amp;A Vendor x GL Analysis'!K$20,'[1]NS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Analysis'!K$20,'[1]NS Vendor Details'!$L:$L,'G&amp;A Vendor x GL Analysis'!$D152,'[1]NS Vendor Details'!$O:$O,'G&amp;A Vendor x GL Analysis'!$F152,'[1]NS Vendor Details'!$N:$N,"Direct Costs",'[1]NS Vendor Details'!$J:$J,0),IF(K$15="Actual",SUMIFS('[1]NS Vendor Details'!$D:$D,'[1]NS Vendor Details'!$H:$H,'G&amp;A Vendor x GL Analysis'!K$20,'[1]NS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Analysis'!K$20,'[1]NS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1302.44</v>
      </c>
      <c r="L152" s="17">
        <f>IF(AND(L$15="Actual",ISBLANK($E$8)),SUMIFS('[1]NS Vendor Details'!$D:$D,'[1]NS Vendor Details'!$H:$H,'G&amp;A Vendor x GL Analysis'!L$20,'[1]NS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Analysis'!L$20,'[1]NS Vendor Details'!$L:$L,'G&amp;A Vendor x GL Analysis'!$D152,'[1]NS Vendor Details'!$O:$O,'G&amp;A Vendor x GL Analysis'!$F152,'[1]NS Vendor Details'!$N:$N,"Direct Costs",'[1]NS Vendor Details'!$J:$J,0),IF(L$15="Actual",SUMIFS('[1]NS Vendor Details'!$D:$D,'[1]NS Vendor Details'!$H:$H,'G&amp;A Vendor x GL Analysis'!L$20,'[1]NS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Analysis'!L$20,'[1]NS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0</v>
      </c>
      <c r="M152" s="17">
        <f>IF(AND(M$15="Actual",ISBLANK($E$8)),SUMIFS('[1]NS Vendor Details'!$D:$D,'[1]NS Vendor Details'!$H:$H,'G&amp;A Vendor x GL Analysis'!M$20,'[1]NS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Analysis'!M$20,'[1]NS Vendor Details'!$L:$L,'G&amp;A Vendor x GL Analysis'!$D152,'[1]NS Vendor Details'!$O:$O,'G&amp;A Vendor x GL Analysis'!$F152,'[1]NS Vendor Details'!$N:$N,"Direct Costs",'[1]NS Vendor Details'!$J:$J,0),IF(M$15="Actual",SUMIFS('[1]NS Vendor Details'!$D:$D,'[1]NS Vendor Details'!$H:$H,'G&amp;A Vendor x GL Analysis'!M$20,'[1]NS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Analysis'!M$20,'[1]NS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1302.44</v>
      </c>
      <c r="N152" s="17">
        <f>IF(AND(N$15="Actual",ISBLANK($E$8)),SUMIFS('[1]NS Vendor Details'!$D:$D,'[1]NS Vendor Details'!$H:$H,'G&amp;A Vendor x GL Analysis'!N$20,'[1]NS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Analysis'!N$20,'[1]NS Vendor Details'!$L:$L,'G&amp;A Vendor x GL Analysis'!$D152,'[1]NS Vendor Details'!$O:$O,'G&amp;A Vendor x GL Analysis'!$F152,'[1]NS Vendor Details'!$N:$N,"Direct Costs",'[1]NS Vendor Details'!$J:$J,0),IF(N$15="Actual",SUMIFS('[1]NS Vendor Details'!$D:$D,'[1]NS Vendor Details'!$H:$H,'G&amp;A Vendor x GL Analysis'!N$20,'[1]NS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Analysis'!N$20,'[1]NS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1302.44</v>
      </c>
      <c r="O152" s="17">
        <f>IF(AND(O$15="Actual",ISBLANK($E$8)),SUMIFS('[1]NS Vendor Details'!$D:$D,'[1]NS Vendor Details'!$H:$H,'G&amp;A Vendor x GL Analysis'!O$20,'[1]NS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Analysis'!O$20,'[1]NS Vendor Details'!$L:$L,'G&amp;A Vendor x GL Analysis'!$D152,'[1]NS Vendor Details'!$O:$O,'G&amp;A Vendor x GL Analysis'!$F152,'[1]NS Vendor Details'!$N:$N,"Direct Costs",'[1]NS Vendor Details'!$J:$J,0),IF(O$15="Actual",SUMIFS('[1]NS Vendor Details'!$D:$D,'[1]NS Vendor Details'!$H:$H,'G&amp;A Vendor x GL Analysis'!O$20,'[1]NS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Analysis'!O$20,'[1]NS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1302.44</v>
      </c>
      <c r="P152" s="17">
        <f>IF(AND(P$15="Actual",ISBLANK($E$8)),SUMIFS('[1]NS Vendor Details'!$D:$D,'[1]NS Vendor Details'!$H:$H,'G&amp;A Vendor x GL Analysis'!P$20,'[1]NS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Analysis'!P$20,'[1]NS Vendor Details'!$L:$L,'G&amp;A Vendor x GL Analysis'!$D152,'[1]NS Vendor Details'!$O:$O,'G&amp;A Vendor x GL Analysis'!$F152,'[1]NS Vendor Details'!$N:$N,"Direct Costs",'[1]NS Vendor Details'!$J:$J,0),IF(P$15="Actual",SUMIFS('[1]NS Vendor Details'!$D:$D,'[1]NS Vendor Details'!$H:$H,'G&amp;A Vendor x GL Analysis'!P$20,'[1]NS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Analysis'!P$20,'[1]NS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1302.44</v>
      </c>
      <c r="Q152" s="17">
        <f>IF(AND(Q$15="Actual",ISBLANK($E$8)),SUMIFS('[1]NS Vendor Details'!$D:$D,'[1]NS Vendor Details'!$H:$H,'G&amp;A Vendor x GL Analysis'!Q$20,'[1]NS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Analysis'!Q$20,'[1]NS Vendor Details'!$L:$L,'G&amp;A Vendor x GL Analysis'!$D152,'[1]NS Vendor Details'!$O:$O,'G&amp;A Vendor x GL Analysis'!$F152,'[1]NS Vendor Details'!$N:$N,"Direct Costs",'[1]NS Vendor Details'!$J:$J,0),IF(Q$15="Actual",SUMIFS('[1]NS Vendor Details'!$D:$D,'[1]NS Vendor Details'!$H:$H,'G&amp;A Vendor x GL Analysis'!Q$20,'[1]NS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Analysis'!Q$20,'[1]NS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1302.44</v>
      </c>
      <c r="R152" s="18">
        <f>IF(AND(R$15="Actual",ISBLANK($E$8)),SUMIFS('[1]NS Vendor Details'!$D:$D,'[1]NS Vendor Details'!$H:$H,'G&amp;A Vendor x GL Analysis'!R$20,'[1]NS Vendor Details'!$L:$L,'G&amp;A Vendor x GL Analysis'!$D152,'[1]NS Vendor Details'!$O:$O,'G&amp;A Vendor x GL Analysis'!$F152,'[1]NS Vendor Details'!$N:$N,'G&amp;A Vendor x GL Analysis'!$C152)+SUMIFS('[1]NS Vendor Details'!$D:$D,'[1]NS Vendor Details'!$H:$H,'G&amp;A Vendor x GL Analysis'!R$20,'[1]NS Vendor Details'!$L:$L,'G&amp;A Vendor x GL Analysis'!$D152,'[1]NS Vendor Details'!$O:$O,'G&amp;A Vendor x GL Analysis'!$F152,'[1]NS Vendor Details'!$N:$N,"Direct Costs",'[1]NS Vendor Details'!$J:$J,0),IF(R$15="Actual",SUMIFS('[1]NS Vendor Details'!$D:$D,'[1]NS Vendor Details'!$H:$H,'G&amp;A Vendor x GL Analysis'!R$20,'[1]NS Vendor Details'!$L:$L,'G&amp;A Vendor x GL Analysis'!$D152,'[1]NS Vendor Details'!$O:$O,'G&amp;A Vendor x GL Analysis'!$F152,'[1]NS Vendor Details'!$N:$N,'G&amp;A Vendor x GL Analysis'!$C152,'[1]NS Vendor Details'!$K:$K,'G&amp;A Vendor x GL Analysis'!$E$8)+SUMIFS('[1]NS Vendor Details'!$D:$D,'[1]NS Vendor Details'!$H:$H,'G&amp;A Vendor x GL Analysis'!R$20,'[1]NS Vendor Details'!$L:$L,'G&amp;A Vendor x GL Analysis'!$D152,'[1]NS Vendor Details'!$O:$O,'G&amp;A Vendor x GL Analysis'!$F152,'[1]NS Vendor Details'!$N:$N,"Direct Costs",'[1]NS Vendor Details'!$J:$J,0,'[1]NS Vendor Details'!$K:$K,'G&amp;A Vendor x GL Analysis'!$E$8),0))</f>
        <v>1302.44</v>
      </c>
      <c r="S152" s="16">
        <f>IF(AND(S$15="Actual",ISBLANK($E$8)),SUMIFS('[1]NS Vendor Details'!$D:$D,'[1]NS Vendor Details'!$H:$H,'G&amp;A Vendor x GL Analysis'!S$20,'[1]NS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Analysis'!S$20,'[1]NS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Analysis'!$E152),IF(S$15="Actual",SUMIFS('[1]NS Vendor Details'!$D:$D,'[1]NS Vendor Details'!$H:$H,'G&amp;A Vendor x GL Analysis'!S$20,'[1]NS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Analysis'!S$20,'[1]NS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226.82</v>
      </c>
      <c r="T152" s="17">
        <f>IF(AND(T$15="Actual",ISBLANK($E$8)),SUMIFS('[1]NS Vendor Details'!$D:$D,'[1]NS Vendor Details'!$H:$H,'G&amp;A Vendor x GL Analysis'!T$20,'[1]NS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Analysis'!T$20,'[1]NS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Analysis'!$E152),IF(T$15="Actual",SUMIFS('[1]NS Vendor Details'!$D:$D,'[1]NS Vendor Details'!$H:$H,'G&amp;A Vendor x GL Analysis'!T$20,'[1]NS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Analysis'!T$20,'[1]NS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226.82</v>
      </c>
      <c r="U152" s="17">
        <f>IF(AND(U$15="Actual",ISBLANK($E$8)),SUMIFS('[1]NS Vendor Details'!$D:$D,'[1]NS Vendor Details'!$H:$H,'G&amp;A Vendor x GL Analysis'!U$20,'[1]NS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Analysis'!U$20,'[1]NS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Analysis'!$E152),IF(U$15="Actual",SUMIFS('[1]NS Vendor Details'!$D:$D,'[1]NS Vendor Details'!$H:$H,'G&amp;A Vendor x GL Analysis'!U$20,'[1]NS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Analysis'!U$20,'[1]NS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V152" s="17">
        <f>IF(AND(V$15="Actual",ISBLANK($E$8)),SUMIFS('[1]NS Vendor Details'!$D:$D,'[1]NS Vendor Details'!$H:$H,'G&amp;A Vendor x GL Analysis'!V$20,'[1]NS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Analysis'!V$20,'[1]NS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Analysis'!$E152),IF(V$15="Actual",SUMIFS('[1]NS Vendor Details'!$D:$D,'[1]NS Vendor Details'!$H:$H,'G&amp;A Vendor x GL Analysis'!V$20,'[1]NS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Analysis'!V$20,'[1]NS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W152" s="17">
        <f>IF(AND(W$15="Actual",ISBLANK($E$8)),SUMIFS('[1]NS Vendor Details'!$D:$D,'[1]NS Vendor Details'!$H:$H,'G&amp;A Vendor x GL Analysis'!W$20,'[1]NS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Analysis'!W$20,'[1]NS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Analysis'!$E152),IF(W$15="Actual",SUMIFS('[1]NS Vendor Details'!$D:$D,'[1]NS Vendor Details'!$H:$H,'G&amp;A Vendor x GL Analysis'!W$20,'[1]NS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Analysis'!W$20,'[1]NS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X152" s="17">
        <f>IF(AND(X$15="Actual",ISBLANK($E$8)),SUMIFS('[1]NS Vendor Details'!$D:$D,'[1]NS Vendor Details'!$H:$H,'G&amp;A Vendor x GL Analysis'!X$20,'[1]NS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Analysis'!X$20,'[1]NS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Analysis'!$E152),IF(X$15="Actual",SUMIFS('[1]NS Vendor Details'!$D:$D,'[1]NS Vendor Details'!$H:$H,'G&amp;A Vendor x GL Analysis'!X$20,'[1]NS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Analysis'!X$20,'[1]NS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Y152" s="17">
        <f>IF(AND(Y$15="Actual",ISBLANK($E$8)),SUMIFS('[1]NS Vendor Details'!$D:$D,'[1]NS Vendor Details'!$H:$H,'G&amp;A Vendor x GL Analysis'!Y$20,'[1]NS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Analysis'!Y$20,'[1]NS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Analysis'!$E152),IF(Y$15="Actual",SUMIFS('[1]NS Vendor Details'!$D:$D,'[1]NS Vendor Details'!$H:$H,'G&amp;A Vendor x GL Analysis'!Y$20,'[1]NS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Analysis'!Y$20,'[1]NS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Z152" s="17">
        <f>IF(AND(Z$15="Actual",ISBLANK($E$8)),SUMIFS('[1]NS Vendor Details'!$D:$D,'[1]NS Vendor Details'!$H:$H,'G&amp;A Vendor x GL Analysis'!Z$20,'[1]NS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Analysis'!Z$20,'[1]NS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Analysis'!$E152),IF(Z$15="Actual",SUMIFS('[1]NS Vendor Details'!$D:$D,'[1]NS Vendor Details'!$H:$H,'G&amp;A Vendor x GL Analysis'!Z$20,'[1]NS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Analysis'!Z$20,'[1]NS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AA152" s="17">
        <f>IF(AND(AA$15="Actual",ISBLANK($E$8)),SUMIFS('[1]NS Vendor Details'!$D:$D,'[1]NS Vendor Details'!$H:$H,'G&amp;A Vendor x GL Analysis'!AA$20,'[1]NS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Analysis'!AA$20,'[1]NS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Analysis'!$E152),IF(AA$15="Actual",SUMIFS('[1]NS Vendor Details'!$D:$D,'[1]NS Vendor Details'!$H:$H,'G&amp;A Vendor x GL Analysis'!AA$20,'[1]NS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Analysis'!AA$20,'[1]NS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AB152" s="17">
        <f>IF(AND(AB$15="Actual",ISBLANK($E$8)),SUMIFS('[1]NS Vendor Details'!$D:$D,'[1]NS Vendor Details'!$H:$H,'G&amp;A Vendor x GL Analysis'!AB$20,'[1]NS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Analysis'!AB$20,'[1]NS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Analysis'!$E152),IF(AB$15="Actual",SUMIFS('[1]NS Vendor Details'!$D:$D,'[1]NS Vendor Details'!$H:$H,'G&amp;A Vendor x GL Analysis'!AB$20,'[1]NS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Analysis'!AB$20,'[1]NS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AC152" s="18">
        <f>IF(AND(AC$15="Actual",ISBLANK($E$8)),SUMIFS('[1]NS Vendor Details'!$D:$D,'[1]NS Vendor Details'!$H:$H,'G&amp;A Vendor x GL Analysis'!AC$20,'[1]NS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Analysis'!AC$20,'[1]NS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Analysis'!$E152),IF(AC$15="Actual",SUMIFS('[1]NS Vendor Details'!$D:$D,'[1]NS Vendor Details'!$H:$H,'G&amp;A Vendor x GL Analysis'!AC$20,'[1]NS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Analysis'!AC$20,'[1]NS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AD152" s="18">
        <f>IF(AND(AD$15="Actual",ISBLANK($E$8)),SUMIFS('[1]NS Vendor Details'!$D:$D,'[1]NS Vendor Details'!$H:$H,'G&amp;A Vendor x GL Analysis'!AD$20,'[1]NS Vendor Details'!$L:$L,'G&amp;A Vendor x GL Analysis'!$D152,'[1]NS Vendor Details'!$O:$O,'G&amp;A Vendor x GL Analysis'!$F152,'[1]NS Vendor Details'!$N:$N,'G&amp;A Vendor x GL Analysis'!$C152,'[1]NS Vendor Details'!$I:$I,'G&amp;A Vendor x GL Analysis'!$E152)+SUMIFS('[1]NS Vendor Details'!$D:$D,'[1]NS Vendor Details'!$H:$H,'G&amp;A Vendor x GL Analysis'!AD$20,'[1]NS Vendor Details'!$L:$L,'G&amp;A Vendor x GL Analysis'!$D152,'[1]NS Vendor Details'!$O:$O,'G&amp;A Vendor x GL Analysis'!$F152,'[1]NS Vendor Details'!$N:$N,"Direct Costs",'[1]NS Vendor Details'!$J:$J,0,'[1]NS Vendor Details'!$I:$I,'G&amp;A Vendor x GL Analysis'!$E152),IF(AD$15="Actual",SUMIFS('[1]NS Vendor Details'!$D:$D,'[1]NS Vendor Details'!$H:$H,'G&amp;A Vendor x GL Analysis'!AD$20,'[1]NS Vendor Details'!$L:$L,'G&amp;A Vendor x GL Analysis'!$D152,'[1]NS Vendor Details'!$O:$O,'G&amp;A Vendor x GL Analysis'!$F152,'[1]NS Vendor Details'!$N:$N,'G&amp;A Vendor x GL Analysis'!$C152,'[1]NS Vendor Details'!$K:$K,'G&amp;A Vendor x GL Analysis'!$E$8,'[1]NS Vendor Details'!$I:$I,'G&amp;A Vendor x GL Analysis'!$E152)+SUMIFS('[1]NS Vendor Details'!$D:$D,'[1]NS Vendor Details'!$H:$H,'G&amp;A Vendor x GL Analysis'!AD$20,'[1]NS Vendor Details'!$L:$L,'G&amp;A Vendor x GL Analysis'!$D152,'[1]NS Vendor Details'!$O:$O,'G&amp;A Vendor x GL Analysis'!$F152,'[1]NS Vendor Details'!$N:$N,"Direct Costs",'[1]NS Vendor Details'!$J:$J,0,'[1]NS Vendor Details'!$K:$K,'G&amp;A Vendor x GL Analysis'!$E$8,'[1]NS Vendor Details'!$I:$I,'G&amp;A Vendor x GL Analysis'!$E152),0))</f>
        <v>0</v>
      </c>
      <c r="AF152" s="19">
        <f t="shared" si="23"/>
        <v>453.64</v>
      </c>
    </row>
    <row r="153" spans="1:32" outlineLevel="1">
      <c r="A153" s="8" t="str">
        <f t="shared" si="22"/>
        <v>Professional Service6420 - Licenses &amp; Membership</v>
      </c>
      <c r="C153" s="8" t="s">
        <v>11</v>
      </c>
      <c r="D153" s="8" t="str">
        <f t="shared" si="24"/>
        <v>Professional Service</v>
      </c>
      <c r="E153" s="2" t="s">
        <v>143</v>
      </c>
      <c r="F153" s="2" t="s">
        <v>144</v>
      </c>
      <c r="G153" s="16">
        <f>IF(AND(G$15="Actual",ISBLANK($E$8)),SUMIFS('[1]NS Vendor Details'!$D:$D,'[1]NS Vendor Details'!$H:$H,'G&amp;A Vendor x GL Analysis'!G$20,'[1]NS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Analysis'!G$20,'[1]NS Vendor Details'!$L:$L,'G&amp;A Vendor x GL Analysis'!$D153,'[1]NS Vendor Details'!$O:$O,'G&amp;A Vendor x GL Analysis'!$F153,'[1]NS Vendor Details'!$N:$N,"Direct Costs",'[1]NS Vendor Details'!$J:$J,0),IF(G$15="Actual",SUMIFS('[1]NS Vendor Details'!$D:$D,'[1]NS Vendor Details'!$H:$H,'G&amp;A Vendor x GL Analysis'!G$20,'[1]NS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Analysis'!G$20,'[1]NS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H153" s="17">
        <f>IF(AND(H$15="Actual",ISBLANK($E$8)),SUMIFS('[1]NS Vendor Details'!$D:$D,'[1]NS Vendor Details'!$H:$H,'G&amp;A Vendor x GL Analysis'!H$20,'[1]NS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Analysis'!H$20,'[1]NS Vendor Details'!$L:$L,'G&amp;A Vendor x GL Analysis'!$D153,'[1]NS Vendor Details'!$O:$O,'G&amp;A Vendor x GL Analysis'!$F153,'[1]NS Vendor Details'!$N:$N,"Direct Costs",'[1]NS Vendor Details'!$J:$J,0),IF(H$15="Actual",SUMIFS('[1]NS Vendor Details'!$D:$D,'[1]NS Vendor Details'!$H:$H,'G&amp;A Vendor x GL Analysis'!H$20,'[1]NS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Analysis'!H$20,'[1]NS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I153" s="17">
        <f>IF(AND(I$15="Actual",ISBLANK($E$8)),SUMIFS('[1]NS Vendor Details'!$D:$D,'[1]NS Vendor Details'!$H:$H,'G&amp;A Vendor x GL Analysis'!I$20,'[1]NS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Analysis'!I$20,'[1]NS Vendor Details'!$L:$L,'G&amp;A Vendor x GL Analysis'!$D153,'[1]NS Vendor Details'!$O:$O,'G&amp;A Vendor x GL Analysis'!$F153,'[1]NS Vendor Details'!$N:$N,"Direct Costs",'[1]NS Vendor Details'!$J:$J,0),IF(I$15="Actual",SUMIFS('[1]NS Vendor Details'!$D:$D,'[1]NS Vendor Details'!$H:$H,'G&amp;A Vendor x GL Analysis'!I$20,'[1]NS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Analysis'!I$20,'[1]NS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J153" s="17">
        <f>IF(AND(J$15="Actual",ISBLANK($E$8)),SUMIFS('[1]NS Vendor Details'!$D:$D,'[1]NS Vendor Details'!$H:$H,'G&amp;A Vendor x GL Analysis'!J$20,'[1]NS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Analysis'!J$20,'[1]NS Vendor Details'!$L:$L,'G&amp;A Vendor x GL Analysis'!$D153,'[1]NS Vendor Details'!$O:$O,'G&amp;A Vendor x GL Analysis'!$F153,'[1]NS Vendor Details'!$N:$N,"Direct Costs",'[1]NS Vendor Details'!$J:$J,0),IF(J$15="Actual",SUMIFS('[1]NS Vendor Details'!$D:$D,'[1]NS Vendor Details'!$H:$H,'G&amp;A Vendor x GL Analysis'!J$20,'[1]NS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Analysis'!J$20,'[1]NS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K153" s="17">
        <f>IF(AND(K$15="Actual",ISBLANK($E$8)),SUMIFS('[1]NS Vendor Details'!$D:$D,'[1]NS Vendor Details'!$H:$H,'G&amp;A Vendor x GL Analysis'!K$20,'[1]NS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Analysis'!K$20,'[1]NS Vendor Details'!$L:$L,'G&amp;A Vendor x GL Analysis'!$D153,'[1]NS Vendor Details'!$O:$O,'G&amp;A Vendor x GL Analysis'!$F153,'[1]NS Vendor Details'!$N:$N,"Direct Costs",'[1]NS Vendor Details'!$J:$J,0),IF(K$15="Actual",SUMIFS('[1]NS Vendor Details'!$D:$D,'[1]NS Vendor Details'!$H:$H,'G&amp;A Vendor x GL Analysis'!K$20,'[1]NS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Analysis'!K$20,'[1]NS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L153" s="17">
        <f>IF(AND(L$15="Actual",ISBLANK($E$8)),SUMIFS('[1]NS Vendor Details'!$D:$D,'[1]NS Vendor Details'!$H:$H,'G&amp;A Vendor x GL Analysis'!L$20,'[1]NS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Analysis'!L$20,'[1]NS Vendor Details'!$L:$L,'G&amp;A Vendor x GL Analysis'!$D153,'[1]NS Vendor Details'!$O:$O,'G&amp;A Vendor x GL Analysis'!$F153,'[1]NS Vendor Details'!$N:$N,"Direct Costs",'[1]NS Vendor Details'!$J:$J,0),IF(L$15="Actual",SUMIFS('[1]NS Vendor Details'!$D:$D,'[1]NS Vendor Details'!$H:$H,'G&amp;A Vendor x GL Analysis'!L$20,'[1]NS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Analysis'!L$20,'[1]NS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M153" s="17">
        <f>IF(AND(M$15="Actual",ISBLANK($E$8)),SUMIFS('[1]NS Vendor Details'!$D:$D,'[1]NS Vendor Details'!$H:$H,'G&amp;A Vendor x GL Analysis'!M$20,'[1]NS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Analysis'!M$20,'[1]NS Vendor Details'!$L:$L,'G&amp;A Vendor x GL Analysis'!$D153,'[1]NS Vendor Details'!$O:$O,'G&amp;A Vendor x GL Analysis'!$F153,'[1]NS Vendor Details'!$N:$N,"Direct Costs",'[1]NS Vendor Details'!$J:$J,0),IF(M$15="Actual",SUMIFS('[1]NS Vendor Details'!$D:$D,'[1]NS Vendor Details'!$H:$H,'G&amp;A Vendor x GL Analysis'!M$20,'[1]NS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Analysis'!M$20,'[1]NS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N153" s="17">
        <f>IF(AND(N$15="Actual",ISBLANK($E$8)),SUMIFS('[1]NS Vendor Details'!$D:$D,'[1]NS Vendor Details'!$H:$H,'G&amp;A Vendor x GL Analysis'!N$20,'[1]NS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Analysis'!N$20,'[1]NS Vendor Details'!$L:$L,'G&amp;A Vendor x GL Analysis'!$D153,'[1]NS Vendor Details'!$O:$O,'G&amp;A Vendor x GL Analysis'!$F153,'[1]NS Vendor Details'!$N:$N,"Direct Costs",'[1]NS Vendor Details'!$J:$J,0),IF(N$15="Actual",SUMIFS('[1]NS Vendor Details'!$D:$D,'[1]NS Vendor Details'!$H:$H,'G&amp;A Vendor x GL Analysis'!N$20,'[1]NS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Analysis'!N$20,'[1]NS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O153" s="17">
        <f>IF(AND(O$15="Actual",ISBLANK($E$8)),SUMIFS('[1]NS Vendor Details'!$D:$D,'[1]NS Vendor Details'!$H:$H,'G&amp;A Vendor x GL Analysis'!O$20,'[1]NS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Analysis'!O$20,'[1]NS Vendor Details'!$L:$L,'G&amp;A Vendor x GL Analysis'!$D153,'[1]NS Vendor Details'!$O:$O,'G&amp;A Vendor x GL Analysis'!$F153,'[1]NS Vendor Details'!$N:$N,"Direct Costs",'[1]NS Vendor Details'!$J:$J,0),IF(O$15="Actual",SUMIFS('[1]NS Vendor Details'!$D:$D,'[1]NS Vendor Details'!$H:$H,'G&amp;A Vendor x GL Analysis'!O$20,'[1]NS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Analysis'!O$20,'[1]NS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P153" s="17">
        <f>IF(AND(P$15="Actual",ISBLANK($E$8)),SUMIFS('[1]NS Vendor Details'!$D:$D,'[1]NS Vendor Details'!$H:$H,'G&amp;A Vendor x GL Analysis'!P$20,'[1]NS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Analysis'!P$20,'[1]NS Vendor Details'!$L:$L,'G&amp;A Vendor x GL Analysis'!$D153,'[1]NS Vendor Details'!$O:$O,'G&amp;A Vendor x GL Analysis'!$F153,'[1]NS Vendor Details'!$N:$N,"Direct Costs",'[1]NS Vendor Details'!$J:$J,0),IF(P$15="Actual",SUMIFS('[1]NS Vendor Details'!$D:$D,'[1]NS Vendor Details'!$H:$H,'G&amp;A Vendor x GL Analysis'!P$20,'[1]NS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Analysis'!P$20,'[1]NS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Q153" s="17">
        <f>IF(AND(Q$15="Actual",ISBLANK($E$8)),SUMIFS('[1]NS Vendor Details'!$D:$D,'[1]NS Vendor Details'!$H:$H,'G&amp;A Vendor x GL Analysis'!Q$20,'[1]NS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Analysis'!Q$20,'[1]NS Vendor Details'!$L:$L,'G&amp;A Vendor x GL Analysis'!$D153,'[1]NS Vendor Details'!$O:$O,'G&amp;A Vendor x GL Analysis'!$F153,'[1]NS Vendor Details'!$N:$N,"Direct Costs",'[1]NS Vendor Details'!$J:$J,0),IF(Q$15="Actual",SUMIFS('[1]NS Vendor Details'!$D:$D,'[1]NS Vendor Details'!$H:$H,'G&amp;A Vendor x GL Analysis'!Q$20,'[1]NS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Analysis'!Q$20,'[1]NS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R153" s="18">
        <f>IF(AND(R$15="Actual",ISBLANK($E$8)),SUMIFS('[1]NS Vendor Details'!$D:$D,'[1]NS Vendor Details'!$H:$H,'G&amp;A Vendor x GL Analysis'!R$20,'[1]NS Vendor Details'!$L:$L,'G&amp;A Vendor x GL Analysis'!$D153,'[1]NS Vendor Details'!$O:$O,'G&amp;A Vendor x GL Analysis'!$F153,'[1]NS Vendor Details'!$N:$N,'G&amp;A Vendor x GL Analysis'!$C153)+SUMIFS('[1]NS Vendor Details'!$D:$D,'[1]NS Vendor Details'!$H:$H,'G&amp;A Vendor x GL Analysis'!R$20,'[1]NS Vendor Details'!$L:$L,'G&amp;A Vendor x GL Analysis'!$D153,'[1]NS Vendor Details'!$O:$O,'G&amp;A Vendor x GL Analysis'!$F153,'[1]NS Vendor Details'!$N:$N,"Direct Costs",'[1]NS Vendor Details'!$J:$J,0),IF(R$15="Actual",SUMIFS('[1]NS Vendor Details'!$D:$D,'[1]NS Vendor Details'!$H:$H,'G&amp;A Vendor x GL Analysis'!R$20,'[1]NS Vendor Details'!$L:$L,'G&amp;A Vendor x GL Analysis'!$D153,'[1]NS Vendor Details'!$O:$O,'G&amp;A Vendor x GL Analysis'!$F153,'[1]NS Vendor Details'!$N:$N,'G&amp;A Vendor x GL Analysis'!$C153,'[1]NS Vendor Details'!$K:$K,'G&amp;A Vendor x GL Analysis'!$E$8)+SUMIFS('[1]NS Vendor Details'!$D:$D,'[1]NS Vendor Details'!$H:$H,'G&amp;A Vendor x GL Analysis'!R$20,'[1]NS Vendor Details'!$L:$L,'G&amp;A Vendor x GL Analysis'!$D153,'[1]NS Vendor Details'!$O:$O,'G&amp;A Vendor x GL Analysis'!$F153,'[1]NS Vendor Details'!$N:$N,"Direct Costs",'[1]NS Vendor Details'!$J:$J,0,'[1]NS Vendor Details'!$K:$K,'G&amp;A Vendor x GL Analysis'!$E$8),0))</f>
        <v>0</v>
      </c>
      <c r="S153" s="16">
        <f>IF(AND(S$15="Actual",ISBLANK($E$8)),SUMIFS('[1]NS Vendor Details'!$D:$D,'[1]NS Vendor Details'!$H:$H,'G&amp;A Vendor x GL Analysis'!S$20,'[1]NS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Analysis'!S$20,'[1]NS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Analysis'!$E153),IF(S$15="Actual",SUMIFS('[1]NS Vendor Details'!$D:$D,'[1]NS Vendor Details'!$H:$H,'G&amp;A Vendor x GL Analysis'!S$20,'[1]NS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Analysis'!S$20,'[1]NS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T153" s="17">
        <f>IF(AND(T$15="Actual",ISBLANK($E$8)),SUMIFS('[1]NS Vendor Details'!$D:$D,'[1]NS Vendor Details'!$H:$H,'G&amp;A Vendor x GL Analysis'!T$20,'[1]NS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Analysis'!T$20,'[1]NS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Analysis'!$E153),IF(T$15="Actual",SUMIFS('[1]NS Vendor Details'!$D:$D,'[1]NS Vendor Details'!$H:$H,'G&amp;A Vendor x GL Analysis'!T$20,'[1]NS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Analysis'!T$20,'[1]NS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U153" s="17">
        <f>IF(AND(U$15="Actual",ISBLANK($E$8)),SUMIFS('[1]NS Vendor Details'!$D:$D,'[1]NS Vendor Details'!$H:$H,'G&amp;A Vendor x GL Analysis'!U$20,'[1]NS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Analysis'!U$20,'[1]NS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Analysis'!$E153),IF(U$15="Actual",SUMIFS('[1]NS Vendor Details'!$D:$D,'[1]NS Vendor Details'!$H:$H,'G&amp;A Vendor x GL Analysis'!U$20,'[1]NS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Analysis'!U$20,'[1]NS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V153" s="17">
        <f>IF(AND(V$15="Actual",ISBLANK($E$8)),SUMIFS('[1]NS Vendor Details'!$D:$D,'[1]NS Vendor Details'!$H:$H,'G&amp;A Vendor x GL Analysis'!V$20,'[1]NS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Analysis'!V$20,'[1]NS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Analysis'!$E153),IF(V$15="Actual",SUMIFS('[1]NS Vendor Details'!$D:$D,'[1]NS Vendor Details'!$H:$H,'G&amp;A Vendor x GL Analysis'!V$20,'[1]NS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Analysis'!V$20,'[1]NS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W153" s="17">
        <f>IF(AND(W$15="Actual",ISBLANK($E$8)),SUMIFS('[1]NS Vendor Details'!$D:$D,'[1]NS Vendor Details'!$H:$H,'G&amp;A Vendor x GL Analysis'!W$20,'[1]NS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Analysis'!W$20,'[1]NS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Analysis'!$E153),IF(W$15="Actual",SUMIFS('[1]NS Vendor Details'!$D:$D,'[1]NS Vendor Details'!$H:$H,'G&amp;A Vendor x GL Analysis'!W$20,'[1]NS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Analysis'!W$20,'[1]NS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X153" s="17">
        <f>IF(AND(X$15="Actual",ISBLANK($E$8)),SUMIFS('[1]NS Vendor Details'!$D:$D,'[1]NS Vendor Details'!$H:$H,'G&amp;A Vendor x GL Analysis'!X$20,'[1]NS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Analysis'!X$20,'[1]NS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Analysis'!$E153),IF(X$15="Actual",SUMIFS('[1]NS Vendor Details'!$D:$D,'[1]NS Vendor Details'!$H:$H,'G&amp;A Vendor x GL Analysis'!X$20,'[1]NS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Analysis'!X$20,'[1]NS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Y153" s="17">
        <f>IF(AND(Y$15="Actual",ISBLANK($E$8)),SUMIFS('[1]NS Vendor Details'!$D:$D,'[1]NS Vendor Details'!$H:$H,'G&amp;A Vendor x GL Analysis'!Y$20,'[1]NS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Analysis'!Y$20,'[1]NS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Analysis'!$E153),IF(Y$15="Actual",SUMIFS('[1]NS Vendor Details'!$D:$D,'[1]NS Vendor Details'!$H:$H,'G&amp;A Vendor x GL Analysis'!Y$20,'[1]NS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Analysis'!Y$20,'[1]NS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Z153" s="17">
        <f>IF(AND(Z$15="Actual",ISBLANK($E$8)),SUMIFS('[1]NS Vendor Details'!$D:$D,'[1]NS Vendor Details'!$H:$H,'G&amp;A Vendor x GL Analysis'!Z$20,'[1]NS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Analysis'!Z$20,'[1]NS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Analysis'!$E153),IF(Z$15="Actual",SUMIFS('[1]NS Vendor Details'!$D:$D,'[1]NS Vendor Details'!$H:$H,'G&amp;A Vendor x GL Analysis'!Z$20,'[1]NS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Analysis'!Z$20,'[1]NS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AA153" s="17">
        <f>IF(AND(AA$15="Actual",ISBLANK($E$8)),SUMIFS('[1]NS Vendor Details'!$D:$D,'[1]NS Vendor Details'!$H:$H,'G&amp;A Vendor x GL Analysis'!AA$20,'[1]NS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Analysis'!AA$20,'[1]NS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Analysis'!$E153),IF(AA$15="Actual",SUMIFS('[1]NS Vendor Details'!$D:$D,'[1]NS Vendor Details'!$H:$H,'G&amp;A Vendor x GL Analysis'!AA$20,'[1]NS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Analysis'!AA$20,'[1]NS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AB153" s="17">
        <f>IF(AND(AB$15="Actual",ISBLANK($E$8)),SUMIFS('[1]NS Vendor Details'!$D:$D,'[1]NS Vendor Details'!$H:$H,'G&amp;A Vendor x GL Analysis'!AB$20,'[1]NS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Analysis'!AB$20,'[1]NS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Analysis'!$E153),IF(AB$15="Actual",SUMIFS('[1]NS Vendor Details'!$D:$D,'[1]NS Vendor Details'!$H:$H,'G&amp;A Vendor x GL Analysis'!AB$20,'[1]NS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Analysis'!AB$20,'[1]NS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AC153" s="18">
        <f>IF(AND(AC$15="Actual",ISBLANK($E$8)),SUMIFS('[1]NS Vendor Details'!$D:$D,'[1]NS Vendor Details'!$H:$H,'G&amp;A Vendor x GL Analysis'!AC$20,'[1]NS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Analysis'!AC$20,'[1]NS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Analysis'!$E153),IF(AC$15="Actual",SUMIFS('[1]NS Vendor Details'!$D:$D,'[1]NS Vendor Details'!$H:$H,'G&amp;A Vendor x GL Analysis'!AC$20,'[1]NS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Analysis'!AC$20,'[1]NS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175</v>
      </c>
      <c r="AD153" s="18">
        <f>IF(AND(AD$15="Actual",ISBLANK($E$8)),SUMIFS('[1]NS Vendor Details'!$D:$D,'[1]NS Vendor Details'!$H:$H,'G&amp;A Vendor x GL Analysis'!AD$20,'[1]NS Vendor Details'!$L:$L,'G&amp;A Vendor x GL Analysis'!$D153,'[1]NS Vendor Details'!$O:$O,'G&amp;A Vendor x GL Analysis'!$F153,'[1]NS Vendor Details'!$N:$N,'G&amp;A Vendor x GL Analysis'!$C153,'[1]NS Vendor Details'!$I:$I,'G&amp;A Vendor x GL Analysis'!$E153)+SUMIFS('[1]NS Vendor Details'!$D:$D,'[1]NS Vendor Details'!$H:$H,'G&amp;A Vendor x GL Analysis'!AD$20,'[1]NS Vendor Details'!$L:$L,'G&amp;A Vendor x GL Analysis'!$D153,'[1]NS Vendor Details'!$O:$O,'G&amp;A Vendor x GL Analysis'!$F153,'[1]NS Vendor Details'!$N:$N,"Direct Costs",'[1]NS Vendor Details'!$J:$J,0,'[1]NS Vendor Details'!$I:$I,'G&amp;A Vendor x GL Analysis'!$E153),IF(AD$15="Actual",SUMIFS('[1]NS Vendor Details'!$D:$D,'[1]NS Vendor Details'!$H:$H,'G&amp;A Vendor x GL Analysis'!AD$20,'[1]NS Vendor Details'!$L:$L,'G&amp;A Vendor x GL Analysis'!$D153,'[1]NS Vendor Details'!$O:$O,'G&amp;A Vendor x GL Analysis'!$F153,'[1]NS Vendor Details'!$N:$N,'G&amp;A Vendor x GL Analysis'!$C153,'[1]NS Vendor Details'!$K:$K,'G&amp;A Vendor x GL Analysis'!$E$8,'[1]NS Vendor Details'!$I:$I,'G&amp;A Vendor x GL Analysis'!$E153)+SUMIFS('[1]NS Vendor Details'!$D:$D,'[1]NS Vendor Details'!$H:$H,'G&amp;A Vendor x GL Analysis'!AD$20,'[1]NS Vendor Details'!$L:$L,'G&amp;A Vendor x GL Analysis'!$D153,'[1]NS Vendor Details'!$O:$O,'G&amp;A Vendor x GL Analysis'!$F153,'[1]NS Vendor Details'!$N:$N,"Direct Costs",'[1]NS Vendor Details'!$J:$J,0,'[1]NS Vendor Details'!$K:$K,'G&amp;A Vendor x GL Analysis'!$E$8,'[1]NS Vendor Details'!$I:$I,'G&amp;A Vendor x GL Analysis'!$E153),0))</f>
        <v>0</v>
      </c>
      <c r="AF153" s="19">
        <f t="shared" si="23"/>
        <v>1925</v>
      </c>
    </row>
    <row r="154" spans="1:32" outlineLevel="1">
      <c r="A154" s="8" t="str">
        <f t="shared" si="22"/>
        <v>Professional Service6450 - Bank &amp; Other Fees</v>
      </c>
      <c r="C154" s="8" t="s">
        <v>11</v>
      </c>
      <c r="D154" s="8" t="str">
        <f t="shared" si="24"/>
        <v>Professional Service</v>
      </c>
      <c r="E154" s="2" t="s">
        <v>145</v>
      </c>
      <c r="F154" s="2" t="s">
        <v>16</v>
      </c>
      <c r="G154" s="16">
        <f>IF(AND(G$15="Actual",ISBLANK($E$8)),SUMIFS('[1]NS Vendor Details'!$D:$D,'[1]NS Vendor Details'!$H:$H,'G&amp;A Vendor x GL Analysis'!G$20,'[1]NS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Analysis'!G$20,'[1]NS Vendor Details'!$L:$L,'G&amp;A Vendor x GL Analysis'!$D154,'[1]NS Vendor Details'!$O:$O,'G&amp;A Vendor x GL Analysis'!$F154,'[1]NS Vendor Details'!$N:$N,"Direct Costs",'[1]NS Vendor Details'!$J:$J,0),IF(G$15="Actual",SUMIFS('[1]NS Vendor Details'!$D:$D,'[1]NS Vendor Details'!$H:$H,'G&amp;A Vendor x GL Analysis'!G$20,'[1]NS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Analysis'!G$20,'[1]NS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20387.23</v>
      </c>
      <c r="H154" s="17">
        <f>IF(AND(H$15="Actual",ISBLANK($E$8)),SUMIFS('[1]NS Vendor Details'!$D:$D,'[1]NS Vendor Details'!$H:$H,'G&amp;A Vendor x GL Analysis'!H$20,'[1]NS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Analysis'!H$20,'[1]NS Vendor Details'!$L:$L,'G&amp;A Vendor x GL Analysis'!$D154,'[1]NS Vendor Details'!$O:$O,'G&amp;A Vendor x GL Analysis'!$F154,'[1]NS Vendor Details'!$N:$N,"Direct Costs",'[1]NS Vendor Details'!$J:$J,0),IF(H$15="Actual",SUMIFS('[1]NS Vendor Details'!$D:$D,'[1]NS Vendor Details'!$H:$H,'G&amp;A Vendor x GL Analysis'!H$20,'[1]NS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Analysis'!H$20,'[1]NS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2882.1599999999994</v>
      </c>
      <c r="I154" s="17">
        <f>IF(AND(I$15="Actual",ISBLANK($E$8)),SUMIFS('[1]NS Vendor Details'!$D:$D,'[1]NS Vendor Details'!$H:$H,'G&amp;A Vendor x GL Analysis'!I$20,'[1]NS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Analysis'!I$20,'[1]NS Vendor Details'!$L:$L,'G&amp;A Vendor x GL Analysis'!$D154,'[1]NS Vendor Details'!$O:$O,'G&amp;A Vendor x GL Analysis'!$F154,'[1]NS Vendor Details'!$N:$N,"Direct Costs",'[1]NS Vendor Details'!$J:$J,0),IF(I$15="Actual",SUMIFS('[1]NS Vendor Details'!$D:$D,'[1]NS Vendor Details'!$H:$H,'G&amp;A Vendor x GL Analysis'!I$20,'[1]NS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Analysis'!I$20,'[1]NS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2608.1800000000007</v>
      </c>
      <c r="J154" s="17">
        <f>IF(AND(J$15="Actual",ISBLANK($E$8)),SUMIFS('[1]NS Vendor Details'!$D:$D,'[1]NS Vendor Details'!$H:$H,'G&amp;A Vendor x GL Analysis'!J$20,'[1]NS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Analysis'!J$20,'[1]NS Vendor Details'!$L:$L,'G&amp;A Vendor x GL Analysis'!$D154,'[1]NS Vendor Details'!$O:$O,'G&amp;A Vendor x GL Analysis'!$F154,'[1]NS Vendor Details'!$N:$N,"Direct Costs",'[1]NS Vendor Details'!$J:$J,0),IF(J$15="Actual",SUMIFS('[1]NS Vendor Details'!$D:$D,'[1]NS Vendor Details'!$H:$H,'G&amp;A Vendor x GL Analysis'!J$20,'[1]NS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Analysis'!J$20,'[1]NS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17994.830000000002</v>
      </c>
      <c r="K154" s="17">
        <f>IF(AND(K$15="Actual",ISBLANK($E$8)),SUMIFS('[1]NS Vendor Details'!$D:$D,'[1]NS Vendor Details'!$H:$H,'G&amp;A Vendor x GL Analysis'!K$20,'[1]NS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Analysis'!K$20,'[1]NS Vendor Details'!$L:$L,'G&amp;A Vendor x GL Analysis'!$D154,'[1]NS Vendor Details'!$O:$O,'G&amp;A Vendor x GL Analysis'!$F154,'[1]NS Vendor Details'!$N:$N,"Direct Costs",'[1]NS Vendor Details'!$J:$J,0),IF(K$15="Actual",SUMIFS('[1]NS Vendor Details'!$D:$D,'[1]NS Vendor Details'!$H:$H,'G&amp;A Vendor x GL Analysis'!K$20,'[1]NS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Analysis'!K$20,'[1]NS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7253.27</v>
      </c>
      <c r="L154" s="17">
        <f>IF(AND(L$15="Actual",ISBLANK($E$8)),SUMIFS('[1]NS Vendor Details'!$D:$D,'[1]NS Vendor Details'!$H:$H,'G&amp;A Vendor x GL Analysis'!L$20,'[1]NS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Analysis'!L$20,'[1]NS Vendor Details'!$L:$L,'G&amp;A Vendor x GL Analysis'!$D154,'[1]NS Vendor Details'!$O:$O,'G&amp;A Vendor x GL Analysis'!$F154,'[1]NS Vendor Details'!$N:$N,"Direct Costs",'[1]NS Vendor Details'!$J:$J,0),IF(L$15="Actual",SUMIFS('[1]NS Vendor Details'!$D:$D,'[1]NS Vendor Details'!$H:$H,'G&amp;A Vendor x GL Analysis'!L$20,'[1]NS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Analysis'!L$20,'[1]NS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9261.7000000000007</v>
      </c>
      <c r="M154" s="17">
        <f>IF(AND(M$15="Actual",ISBLANK($E$8)),SUMIFS('[1]NS Vendor Details'!$D:$D,'[1]NS Vendor Details'!$H:$H,'G&amp;A Vendor x GL Analysis'!M$20,'[1]NS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Analysis'!M$20,'[1]NS Vendor Details'!$L:$L,'G&amp;A Vendor x GL Analysis'!$D154,'[1]NS Vendor Details'!$O:$O,'G&amp;A Vendor x GL Analysis'!$F154,'[1]NS Vendor Details'!$N:$N,"Direct Costs",'[1]NS Vendor Details'!$J:$J,0),IF(M$15="Actual",SUMIFS('[1]NS Vendor Details'!$D:$D,'[1]NS Vendor Details'!$H:$H,'G&amp;A Vendor x GL Analysis'!M$20,'[1]NS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Analysis'!M$20,'[1]NS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1403.4799999999998</v>
      </c>
      <c r="N154" s="17">
        <f>IF(AND(N$15="Actual",ISBLANK($E$8)),SUMIFS('[1]NS Vendor Details'!$D:$D,'[1]NS Vendor Details'!$H:$H,'G&amp;A Vendor x GL Analysis'!N$20,'[1]NS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Analysis'!N$20,'[1]NS Vendor Details'!$L:$L,'G&amp;A Vendor x GL Analysis'!$D154,'[1]NS Vendor Details'!$O:$O,'G&amp;A Vendor x GL Analysis'!$F154,'[1]NS Vendor Details'!$N:$N,"Direct Costs",'[1]NS Vendor Details'!$J:$J,0),IF(N$15="Actual",SUMIFS('[1]NS Vendor Details'!$D:$D,'[1]NS Vendor Details'!$H:$H,'G&amp;A Vendor x GL Analysis'!N$20,'[1]NS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Analysis'!N$20,'[1]NS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1481.0099999999998</v>
      </c>
      <c r="O154" s="17">
        <f>IF(AND(O$15="Actual",ISBLANK($E$8)),SUMIFS('[1]NS Vendor Details'!$D:$D,'[1]NS Vendor Details'!$H:$H,'G&amp;A Vendor x GL Analysis'!O$20,'[1]NS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Analysis'!O$20,'[1]NS Vendor Details'!$L:$L,'G&amp;A Vendor x GL Analysis'!$D154,'[1]NS Vendor Details'!$O:$O,'G&amp;A Vendor x GL Analysis'!$F154,'[1]NS Vendor Details'!$N:$N,"Direct Costs",'[1]NS Vendor Details'!$J:$J,0),IF(O$15="Actual",SUMIFS('[1]NS Vendor Details'!$D:$D,'[1]NS Vendor Details'!$H:$H,'G&amp;A Vendor x GL Analysis'!O$20,'[1]NS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Analysis'!O$20,'[1]NS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-1780.9000000000005</v>
      </c>
      <c r="P154" s="17">
        <f>IF(AND(P$15="Actual",ISBLANK($E$8)),SUMIFS('[1]NS Vendor Details'!$D:$D,'[1]NS Vendor Details'!$H:$H,'G&amp;A Vendor x GL Analysis'!P$20,'[1]NS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Analysis'!P$20,'[1]NS Vendor Details'!$L:$L,'G&amp;A Vendor x GL Analysis'!$D154,'[1]NS Vendor Details'!$O:$O,'G&amp;A Vendor x GL Analysis'!$F154,'[1]NS Vendor Details'!$N:$N,"Direct Costs",'[1]NS Vendor Details'!$J:$J,0),IF(P$15="Actual",SUMIFS('[1]NS Vendor Details'!$D:$D,'[1]NS Vendor Details'!$H:$H,'G&amp;A Vendor x GL Analysis'!P$20,'[1]NS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Analysis'!P$20,'[1]NS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1662.3999999999999</v>
      </c>
      <c r="Q154" s="17">
        <f>IF(AND(Q$15="Actual",ISBLANK($E$8)),SUMIFS('[1]NS Vendor Details'!$D:$D,'[1]NS Vendor Details'!$H:$H,'G&amp;A Vendor x GL Analysis'!Q$20,'[1]NS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Analysis'!Q$20,'[1]NS Vendor Details'!$L:$L,'G&amp;A Vendor x GL Analysis'!$D154,'[1]NS Vendor Details'!$O:$O,'G&amp;A Vendor x GL Analysis'!$F154,'[1]NS Vendor Details'!$N:$N,"Direct Costs",'[1]NS Vendor Details'!$J:$J,0),IF(Q$15="Actual",SUMIFS('[1]NS Vendor Details'!$D:$D,'[1]NS Vendor Details'!$H:$H,'G&amp;A Vendor x GL Analysis'!Q$20,'[1]NS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Analysis'!Q$20,'[1]NS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-9958.9199999999983</v>
      </c>
      <c r="R154" s="18">
        <f>IF(AND(R$15="Actual",ISBLANK($E$8)),SUMIFS('[1]NS Vendor Details'!$D:$D,'[1]NS Vendor Details'!$H:$H,'G&amp;A Vendor x GL Analysis'!R$20,'[1]NS Vendor Details'!$L:$L,'G&amp;A Vendor x GL Analysis'!$D154,'[1]NS Vendor Details'!$O:$O,'G&amp;A Vendor x GL Analysis'!$F154,'[1]NS Vendor Details'!$N:$N,'G&amp;A Vendor x GL Analysis'!$C154)+SUMIFS('[1]NS Vendor Details'!$D:$D,'[1]NS Vendor Details'!$H:$H,'G&amp;A Vendor x GL Analysis'!R$20,'[1]NS Vendor Details'!$L:$L,'G&amp;A Vendor x GL Analysis'!$D154,'[1]NS Vendor Details'!$O:$O,'G&amp;A Vendor x GL Analysis'!$F154,'[1]NS Vendor Details'!$N:$N,"Direct Costs",'[1]NS Vendor Details'!$J:$J,0),IF(R$15="Actual",SUMIFS('[1]NS Vendor Details'!$D:$D,'[1]NS Vendor Details'!$H:$H,'G&amp;A Vendor x GL Analysis'!R$20,'[1]NS Vendor Details'!$L:$L,'G&amp;A Vendor x GL Analysis'!$D154,'[1]NS Vendor Details'!$O:$O,'G&amp;A Vendor x GL Analysis'!$F154,'[1]NS Vendor Details'!$N:$N,'G&amp;A Vendor x GL Analysis'!$C154,'[1]NS Vendor Details'!$K:$K,'G&amp;A Vendor x GL Analysis'!$E$8)+SUMIFS('[1]NS Vendor Details'!$D:$D,'[1]NS Vendor Details'!$H:$H,'G&amp;A Vendor x GL Analysis'!R$20,'[1]NS Vendor Details'!$L:$L,'G&amp;A Vendor x GL Analysis'!$D154,'[1]NS Vendor Details'!$O:$O,'G&amp;A Vendor x GL Analysis'!$F154,'[1]NS Vendor Details'!$N:$N,"Direct Costs",'[1]NS Vendor Details'!$J:$J,0,'[1]NS Vendor Details'!$K:$K,'G&amp;A Vendor x GL Analysis'!$E$8),0))</f>
        <v>71148.460000000021</v>
      </c>
      <c r="S154" s="16">
        <f>IF(AND(S$15="Actual",ISBLANK($E$8)),SUMIFS('[1]NS Vendor Details'!$D:$D,'[1]NS Vendor Details'!$H:$H,'G&amp;A Vendor x GL Analysis'!S$20,'[1]NS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Analysis'!S$20,'[1]NS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Analysis'!$E154),IF(S$15="Actual",SUMIFS('[1]NS Vendor Details'!$D:$D,'[1]NS Vendor Details'!$H:$H,'G&amp;A Vendor x GL Analysis'!S$20,'[1]NS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Analysis'!S$20,'[1]NS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3466.81</v>
      </c>
      <c r="T154" s="17">
        <f>IF(AND(T$15="Actual",ISBLANK($E$8)),SUMIFS('[1]NS Vendor Details'!$D:$D,'[1]NS Vendor Details'!$H:$H,'G&amp;A Vendor x GL Analysis'!T$20,'[1]NS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Analysis'!T$20,'[1]NS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Analysis'!$E154),IF(T$15="Actual",SUMIFS('[1]NS Vendor Details'!$D:$D,'[1]NS Vendor Details'!$H:$H,'G&amp;A Vendor x GL Analysis'!T$20,'[1]NS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Analysis'!T$20,'[1]NS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2531.84</v>
      </c>
      <c r="U154" s="17">
        <f>IF(AND(U$15="Actual",ISBLANK($E$8)),SUMIFS('[1]NS Vendor Details'!$D:$D,'[1]NS Vendor Details'!$H:$H,'G&amp;A Vendor x GL Analysis'!U$20,'[1]NS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Analysis'!U$20,'[1]NS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Analysis'!$E154),IF(U$15="Actual",SUMIFS('[1]NS Vendor Details'!$D:$D,'[1]NS Vendor Details'!$H:$H,'G&amp;A Vendor x GL Analysis'!U$20,'[1]NS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Analysis'!U$20,'[1]NS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1495.6900000000007</v>
      </c>
      <c r="V154" s="17">
        <f>IF(AND(V$15="Actual",ISBLANK($E$8)),SUMIFS('[1]NS Vendor Details'!$D:$D,'[1]NS Vendor Details'!$H:$H,'G&amp;A Vendor x GL Analysis'!V$20,'[1]NS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Analysis'!V$20,'[1]NS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Analysis'!$E154),IF(V$15="Actual",SUMIFS('[1]NS Vendor Details'!$D:$D,'[1]NS Vendor Details'!$H:$H,'G&amp;A Vendor x GL Analysis'!V$20,'[1]NS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Analysis'!V$20,'[1]NS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1245.92</v>
      </c>
      <c r="W154" s="17">
        <f>IF(AND(W$15="Actual",ISBLANK($E$8)),SUMIFS('[1]NS Vendor Details'!$D:$D,'[1]NS Vendor Details'!$H:$H,'G&amp;A Vendor x GL Analysis'!W$20,'[1]NS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Analysis'!W$20,'[1]NS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Analysis'!$E154),IF(W$15="Actual",SUMIFS('[1]NS Vendor Details'!$D:$D,'[1]NS Vendor Details'!$H:$H,'G&amp;A Vendor x GL Analysis'!W$20,'[1]NS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Analysis'!W$20,'[1]NS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376.26</v>
      </c>
      <c r="X154" s="17">
        <f>IF(AND(X$15="Actual",ISBLANK($E$8)),SUMIFS('[1]NS Vendor Details'!$D:$D,'[1]NS Vendor Details'!$H:$H,'G&amp;A Vendor x GL Analysis'!X$20,'[1]NS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Analysis'!X$20,'[1]NS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Analysis'!$E154),IF(X$15="Actual",SUMIFS('[1]NS Vendor Details'!$D:$D,'[1]NS Vendor Details'!$H:$H,'G&amp;A Vendor x GL Analysis'!X$20,'[1]NS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Analysis'!X$20,'[1]NS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768.13</v>
      </c>
      <c r="Y154" s="17">
        <f>IF(AND(Y$15="Actual",ISBLANK($E$8)),SUMIFS('[1]NS Vendor Details'!$D:$D,'[1]NS Vendor Details'!$H:$H,'G&amp;A Vendor x GL Analysis'!Y$20,'[1]NS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Analysis'!Y$20,'[1]NS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Analysis'!$E154),IF(Y$15="Actual",SUMIFS('[1]NS Vendor Details'!$D:$D,'[1]NS Vendor Details'!$H:$H,'G&amp;A Vendor x GL Analysis'!Y$20,'[1]NS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Analysis'!Y$20,'[1]NS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652.07000000000005</v>
      </c>
      <c r="Z154" s="17">
        <f>IF(AND(Z$15="Actual",ISBLANK($E$8)),SUMIFS('[1]NS Vendor Details'!$D:$D,'[1]NS Vendor Details'!$H:$H,'G&amp;A Vendor x GL Analysis'!Z$20,'[1]NS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Analysis'!Z$20,'[1]NS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Analysis'!$E154),IF(Z$15="Actual",SUMIFS('[1]NS Vendor Details'!$D:$D,'[1]NS Vendor Details'!$H:$H,'G&amp;A Vendor x GL Analysis'!Z$20,'[1]NS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Analysis'!Z$20,'[1]NS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420.9</v>
      </c>
      <c r="AA154" s="17">
        <f>IF(AND(AA$15="Actual",ISBLANK($E$8)),SUMIFS('[1]NS Vendor Details'!$D:$D,'[1]NS Vendor Details'!$H:$H,'G&amp;A Vendor x GL Analysis'!AA$20,'[1]NS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Analysis'!AA$20,'[1]NS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Analysis'!$E154),IF(AA$15="Actual",SUMIFS('[1]NS Vendor Details'!$D:$D,'[1]NS Vendor Details'!$H:$H,'G&amp;A Vendor x GL Analysis'!AA$20,'[1]NS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Analysis'!AA$20,'[1]NS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611.63</v>
      </c>
      <c r="AB154" s="17">
        <f>IF(AND(AB$15="Actual",ISBLANK($E$8)),SUMIFS('[1]NS Vendor Details'!$D:$D,'[1]NS Vendor Details'!$H:$H,'G&amp;A Vendor x GL Analysis'!AB$20,'[1]NS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Analysis'!AB$20,'[1]NS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Analysis'!$E154),IF(AB$15="Actual",SUMIFS('[1]NS Vendor Details'!$D:$D,'[1]NS Vendor Details'!$H:$H,'G&amp;A Vendor x GL Analysis'!AB$20,'[1]NS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Analysis'!AB$20,'[1]NS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595.14</v>
      </c>
      <c r="AC154" s="18">
        <f>IF(AND(AC$15="Actual",ISBLANK($E$8)),SUMIFS('[1]NS Vendor Details'!$D:$D,'[1]NS Vendor Details'!$H:$H,'G&amp;A Vendor x GL Analysis'!AC$20,'[1]NS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Analysis'!AC$20,'[1]NS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Analysis'!$E154),IF(AC$15="Actual",SUMIFS('[1]NS Vendor Details'!$D:$D,'[1]NS Vendor Details'!$H:$H,'G&amp;A Vendor x GL Analysis'!AC$20,'[1]NS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Analysis'!AC$20,'[1]NS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268.88</v>
      </c>
      <c r="AD154" s="18">
        <f>IF(AND(AD$15="Actual",ISBLANK($E$8)),SUMIFS('[1]NS Vendor Details'!$D:$D,'[1]NS Vendor Details'!$H:$H,'G&amp;A Vendor x GL Analysis'!AD$20,'[1]NS Vendor Details'!$L:$L,'G&amp;A Vendor x GL Analysis'!$D154,'[1]NS Vendor Details'!$O:$O,'G&amp;A Vendor x GL Analysis'!$F154,'[1]NS Vendor Details'!$N:$N,'G&amp;A Vendor x GL Analysis'!$C154,'[1]NS Vendor Details'!$I:$I,'G&amp;A Vendor x GL Analysis'!$E154)+SUMIFS('[1]NS Vendor Details'!$D:$D,'[1]NS Vendor Details'!$H:$H,'G&amp;A Vendor x GL Analysis'!AD$20,'[1]NS Vendor Details'!$L:$L,'G&amp;A Vendor x GL Analysis'!$D154,'[1]NS Vendor Details'!$O:$O,'G&amp;A Vendor x GL Analysis'!$F154,'[1]NS Vendor Details'!$N:$N,"Direct Costs",'[1]NS Vendor Details'!$J:$J,0,'[1]NS Vendor Details'!$I:$I,'G&amp;A Vendor x GL Analysis'!$E154),IF(AD$15="Actual",SUMIFS('[1]NS Vendor Details'!$D:$D,'[1]NS Vendor Details'!$H:$H,'G&amp;A Vendor x GL Analysis'!AD$20,'[1]NS Vendor Details'!$L:$L,'G&amp;A Vendor x GL Analysis'!$D154,'[1]NS Vendor Details'!$O:$O,'G&amp;A Vendor x GL Analysis'!$F154,'[1]NS Vendor Details'!$N:$N,'G&amp;A Vendor x GL Analysis'!$C154,'[1]NS Vendor Details'!$K:$K,'G&amp;A Vendor x GL Analysis'!$E$8,'[1]NS Vendor Details'!$I:$I,'G&amp;A Vendor x GL Analysis'!$E154)+SUMIFS('[1]NS Vendor Details'!$D:$D,'[1]NS Vendor Details'!$H:$H,'G&amp;A Vendor x GL Analysis'!AD$20,'[1]NS Vendor Details'!$L:$L,'G&amp;A Vendor x GL Analysis'!$D154,'[1]NS Vendor Details'!$O:$O,'G&amp;A Vendor x GL Analysis'!$F154,'[1]NS Vendor Details'!$N:$N,"Direct Costs",'[1]NS Vendor Details'!$J:$J,0,'[1]NS Vendor Details'!$K:$K,'G&amp;A Vendor x GL Analysis'!$E$8,'[1]NS Vendor Details'!$I:$I,'G&amp;A Vendor x GL Analysis'!$E154),0))</f>
        <v>0</v>
      </c>
      <c r="AF154" s="19">
        <f t="shared" si="23"/>
        <v>12433.269999999997</v>
      </c>
    </row>
    <row r="155" spans="1:32" outlineLevel="1">
      <c r="A155" s="8" t="str">
        <f t="shared" si="22"/>
        <v>Professional Service6450 - Bank &amp; Other Fees</v>
      </c>
      <c r="C155" s="8" t="s">
        <v>11</v>
      </c>
      <c r="D155" s="8" t="str">
        <f t="shared" si="24"/>
        <v>Professional Service</v>
      </c>
      <c r="E155" s="2" t="s">
        <v>145</v>
      </c>
      <c r="F155" s="2" t="s">
        <v>146</v>
      </c>
      <c r="G155" s="16">
        <f>IF(AND(G$15="Actual",ISBLANK($E$8)),SUMIFS('[1]NS Vendor Details'!$D:$D,'[1]NS Vendor Details'!$H:$H,'G&amp;A Vendor x GL Analysis'!G$20,'[1]NS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Analysis'!G$20,'[1]NS Vendor Details'!$L:$L,'G&amp;A Vendor x GL Analysis'!$D155,'[1]NS Vendor Details'!$O:$O,'G&amp;A Vendor x GL Analysis'!$F155,'[1]NS Vendor Details'!$N:$N,"Direct Costs",'[1]NS Vendor Details'!$J:$J,0),IF(G$15="Actual",SUMIFS('[1]NS Vendor Details'!$D:$D,'[1]NS Vendor Details'!$H:$H,'G&amp;A Vendor x GL Analysis'!G$20,'[1]NS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Analysis'!G$20,'[1]NS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35</v>
      </c>
      <c r="H155" s="17">
        <f>IF(AND(H$15="Actual",ISBLANK($E$8)),SUMIFS('[1]NS Vendor Details'!$D:$D,'[1]NS Vendor Details'!$H:$H,'G&amp;A Vendor x GL Analysis'!H$20,'[1]NS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Analysis'!H$20,'[1]NS Vendor Details'!$L:$L,'G&amp;A Vendor x GL Analysis'!$D155,'[1]NS Vendor Details'!$O:$O,'G&amp;A Vendor x GL Analysis'!$F155,'[1]NS Vendor Details'!$N:$N,"Direct Costs",'[1]NS Vendor Details'!$J:$J,0),IF(H$15="Actual",SUMIFS('[1]NS Vendor Details'!$D:$D,'[1]NS Vendor Details'!$H:$H,'G&amp;A Vendor x GL Analysis'!H$20,'[1]NS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Analysis'!H$20,'[1]NS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I155" s="17">
        <f>IF(AND(I$15="Actual",ISBLANK($E$8)),SUMIFS('[1]NS Vendor Details'!$D:$D,'[1]NS Vendor Details'!$H:$H,'G&amp;A Vendor x GL Analysis'!I$20,'[1]NS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Analysis'!I$20,'[1]NS Vendor Details'!$L:$L,'G&amp;A Vendor x GL Analysis'!$D155,'[1]NS Vendor Details'!$O:$O,'G&amp;A Vendor x GL Analysis'!$F155,'[1]NS Vendor Details'!$N:$N,"Direct Costs",'[1]NS Vendor Details'!$J:$J,0),IF(I$15="Actual",SUMIFS('[1]NS Vendor Details'!$D:$D,'[1]NS Vendor Details'!$H:$H,'G&amp;A Vendor x GL Analysis'!I$20,'[1]NS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Analysis'!I$20,'[1]NS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J155" s="17">
        <f>IF(AND(J$15="Actual",ISBLANK($E$8)),SUMIFS('[1]NS Vendor Details'!$D:$D,'[1]NS Vendor Details'!$H:$H,'G&amp;A Vendor x GL Analysis'!J$20,'[1]NS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Analysis'!J$20,'[1]NS Vendor Details'!$L:$L,'G&amp;A Vendor x GL Analysis'!$D155,'[1]NS Vendor Details'!$O:$O,'G&amp;A Vendor x GL Analysis'!$F155,'[1]NS Vendor Details'!$N:$N,"Direct Costs",'[1]NS Vendor Details'!$J:$J,0),IF(J$15="Actual",SUMIFS('[1]NS Vendor Details'!$D:$D,'[1]NS Vendor Details'!$H:$H,'G&amp;A Vendor x GL Analysis'!J$20,'[1]NS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Analysis'!J$20,'[1]NS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35</v>
      </c>
      <c r="K155" s="17">
        <f>IF(AND(K$15="Actual",ISBLANK($E$8)),SUMIFS('[1]NS Vendor Details'!$D:$D,'[1]NS Vendor Details'!$H:$H,'G&amp;A Vendor x GL Analysis'!K$20,'[1]NS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Analysis'!K$20,'[1]NS Vendor Details'!$L:$L,'G&amp;A Vendor x GL Analysis'!$D155,'[1]NS Vendor Details'!$O:$O,'G&amp;A Vendor x GL Analysis'!$F155,'[1]NS Vendor Details'!$N:$N,"Direct Costs",'[1]NS Vendor Details'!$J:$J,0),IF(K$15="Actual",SUMIFS('[1]NS Vendor Details'!$D:$D,'[1]NS Vendor Details'!$H:$H,'G&amp;A Vendor x GL Analysis'!K$20,'[1]NS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Analysis'!K$20,'[1]NS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L155" s="17">
        <f>IF(AND(L$15="Actual",ISBLANK($E$8)),SUMIFS('[1]NS Vendor Details'!$D:$D,'[1]NS Vendor Details'!$H:$H,'G&amp;A Vendor x GL Analysis'!L$20,'[1]NS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Analysis'!L$20,'[1]NS Vendor Details'!$L:$L,'G&amp;A Vendor x GL Analysis'!$D155,'[1]NS Vendor Details'!$O:$O,'G&amp;A Vendor x GL Analysis'!$F155,'[1]NS Vendor Details'!$N:$N,"Direct Costs",'[1]NS Vendor Details'!$J:$J,0),IF(L$15="Actual",SUMIFS('[1]NS Vendor Details'!$D:$D,'[1]NS Vendor Details'!$H:$H,'G&amp;A Vendor x GL Analysis'!L$20,'[1]NS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Analysis'!L$20,'[1]NS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M155" s="17">
        <f>IF(AND(M$15="Actual",ISBLANK($E$8)),SUMIFS('[1]NS Vendor Details'!$D:$D,'[1]NS Vendor Details'!$H:$H,'G&amp;A Vendor x GL Analysis'!M$20,'[1]NS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Analysis'!M$20,'[1]NS Vendor Details'!$L:$L,'G&amp;A Vendor x GL Analysis'!$D155,'[1]NS Vendor Details'!$O:$O,'G&amp;A Vendor x GL Analysis'!$F155,'[1]NS Vendor Details'!$N:$N,"Direct Costs",'[1]NS Vendor Details'!$J:$J,0),IF(M$15="Actual",SUMIFS('[1]NS Vendor Details'!$D:$D,'[1]NS Vendor Details'!$H:$H,'G&amp;A Vendor x GL Analysis'!M$20,'[1]NS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Analysis'!M$20,'[1]NS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45</v>
      </c>
      <c r="N155" s="17">
        <f>IF(AND(N$15="Actual",ISBLANK($E$8)),SUMIFS('[1]NS Vendor Details'!$D:$D,'[1]NS Vendor Details'!$H:$H,'G&amp;A Vendor x GL Analysis'!N$20,'[1]NS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Analysis'!N$20,'[1]NS Vendor Details'!$L:$L,'G&amp;A Vendor x GL Analysis'!$D155,'[1]NS Vendor Details'!$O:$O,'G&amp;A Vendor x GL Analysis'!$F155,'[1]NS Vendor Details'!$N:$N,"Direct Costs",'[1]NS Vendor Details'!$J:$J,0),IF(N$15="Actual",SUMIFS('[1]NS Vendor Details'!$D:$D,'[1]NS Vendor Details'!$H:$H,'G&amp;A Vendor x GL Analysis'!N$20,'[1]NS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Analysis'!N$20,'[1]NS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O155" s="17">
        <f>IF(AND(O$15="Actual",ISBLANK($E$8)),SUMIFS('[1]NS Vendor Details'!$D:$D,'[1]NS Vendor Details'!$H:$H,'G&amp;A Vendor x GL Analysis'!O$20,'[1]NS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Analysis'!O$20,'[1]NS Vendor Details'!$L:$L,'G&amp;A Vendor x GL Analysis'!$D155,'[1]NS Vendor Details'!$O:$O,'G&amp;A Vendor x GL Analysis'!$F155,'[1]NS Vendor Details'!$N:$N,"Direct Costs",'[1]NS Vendor Details'!$J:$J,0),IF(O$15="Actual",SUMIFS('[1]NS Vendor Details'!$D:$D,'[1]NS Vendor Details'!$H:$H,'G&amp;A Vendor x GL Analysis'!O$20,'[1]NS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Analysis'!O$20,'[1]NS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P155" s="17">
        <f>IF(AND(P$15="Actual",ISBLANK($E$8)),SUMIFS('[1]NS Vendor Details'!$D:$D,'[1]NS Vendor Details'!$H:$H,'G&amp;A Vendor x GL Analysis'!P$20,'[1]NS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Analysis'!P$20,'[1]NS Vendor Details'!$L:$L,'G&amp;A Vendor x GL Analysis'!$D155,'[1]NS Vendor Details'!$O:$O,'G&amp;A Vendor x GL Analysis'!$F155,'[1]NS Vendor Details'!$N:$N,"Direct Costs",'[1]NS Vendor Details'!$J:$J,0),IF(P$15="Actual",SUMIFS('[1]NS Vendor Details'!$D:$D,'[1]NS Vendor Details'!$H:$H,'G&amp;A Vendor x GL Analysis'!P$20,'[1]NS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Analysis'!P$20,'[1]NS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Q155" s="17">
        <f>IF(AND(Q$15="Actual",ISBLANK($E$8)),SUMIFS('[1]NS Vendor Details'!$D:$D,'[1]NS Vendor Details'!$H:$H,'G&amp;A Vendor x GL Analysis'!Q$20,'[1]NS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Analysis'!Q$20,'[1]NS Vendor Details'!$L:$L,'G&amp;A Vendor x GL Analysis'!$D155,'[1]NS Vendor Details'!$O:$O,'G&amp;A Vendor x GL Analysis'!$F155,'[1]NS Vendor Details'!$N:$N,"Direct Costs",'[1]NS Vendor Details'!$J:$J,0),IF(Q$15="Actual",SUMIFS('[1]NS Vendor Details'!$D:$D,'[1]NS Vendor Details'!$H:$H,'G&amp;A Vendor x GL Analysis'!Q$20,'[1]NS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Analysis'!Q$20,'[1]NS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R155" s="18">
        <f>IF(AND(R$15="Actual",ISBLANK($E$8)),SUMIFS('[1]NS Vendor Details'!$D:$D,'[1]NS Vendor Details'!$H:$H,'G&amp;A Vendor x GL Analysis'!R$20,'[1]NS Vendor Details'!$L:$L,'G&amp;A Vendor x GL Analysis'!$D155,'[1]NS Vendor Details'!$O:$O,'G&amp;A Vendor x GL Analysis'!$F155,'[1]NS Vendor Details'!$N:$N,'G&amp;A Vendor x GL Analysis'!$C155)+SUMIFS('[1]NS Vendor Details'!$D:$D,'[1]NS Vendor Details'!$H:$H,'G&amp;A Vendor x GL Analysis'!R$20,'[1]NS Vendor Details'!$L:$L,'G&amp;A Vendor x GL Analysis'!$D155,'[1]NS Vendor Details'!$O:$O,'G&amp;A Vendor x GL Analysis'!$F155,'[1]NS Vendor Details'!$N:$N,"Direct Costs",'[1]NS Vendor Details'!$J:$J,0),IF(R$15="Actual",SUMIFS('[1]NS Vendor Details'!$D:$D,'[1]NS Vendor Details'!$H:$H,'G&amp;A Vendor x GL Analysis'!R$20,'[1]NS Vendor Details'!$L:$L,'G&amp;A Vendor x GL Analysis'!$D155,'[1]NS Vendor Details'!$O:$O,'G&amp;A Vendor x GL Analysis'!$F155,'[1]NS Vendor Details'!$N:$N,'G&amp;A Vendor x GL Analysis'!$C155,'[1]NS Vendor Details'!$K:$K,'G&amp;A Vendor x GL Analysis'!$E$8)+SUMIFS('[1]NS Vendor Details'!$D:$D,'[1]NS Vendor Details'!$H:$H,'G&amp;A Vendor x GL Analysis'!R$20,'[1]NS Vendor Details'!$L:$L,'G&amp;A Vendor x GL Analysis'!$D155,'[1]NS Vendor Details'!$O:$O,'G&amp;A Vendor x GL Analysis'!$F155,'[1]NS Vendor Details'!$N:$N,"Direct Costs",'[1]NS Vendor Details'!$J:$J,0,'[1]NS Vendor Details'!$K:$K,'G&amp;A Vendor x GL Analysis'!$E$8),0))</f>
        <v>0</v>
      </c>
      <c r="S155" s="16">
        <f>IF(AND(S$15="Actual",ISBLANK($E$8)),SUMIFS('[1]NS Vendor Details'!$D:$D,'[1]NS Vendor Details'!$H:$H,'G&amp;A Vendor x GL Analysis'!S$20,'[1]NS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Analysis'!S$20,'[1]NS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Analysis'!$E155),IF(S$15="Actual",SUMIFS('[1]NS Vendor Details'!$D:$D,'[1]NS Vendor Details'!$H:$H,'G&amp;A Vendor x GL Analysis'!S$20,'[1]NS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Analysis'!S$20,'[1]NS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66</v>
      </c>
      <c r="T155" s="17">
        <f>IF(AND(T$15="Actual",ISBLANK($E$8)),SUMIFS('[1]NS Vendor Details'!$D:$D,'[1]NS Vendor Details'!$H:$H,'G&amp;A Vendor x GL Analysis'!T$20,'[1]NS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Analysis'!T$20,'[1]NS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Analysis'!$E155),IF(T$15="Actual",SUMIFS('[1]NS Vendor Details'!$D:$D,'[1]NS Vendor Details'!$H:$H,'G&amp;A Vendor x GL Analysis'!T$20,'[1]NS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Analysis'!T$20,'[1]NS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U155" s="17">
        <f>IF(AND(U$15="Actual",ISBLANK($E$8)),SUMIFS('[1]NS Vendor Details'!$D:$D,'[1]NS Vendor Details'!$H:$H,'G&amp;A Vendor x GL Analysis'!U$20,'[1]NS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Analysis'!U$20,'[1]NS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Analysis'!$E155),IF(U$15="Actual",SUMIFS('[1]NS Vendor Details'!$D:$D,'[1]NS Vendor Details'!$H:$H,'G&amp;A Vendor x GL Analysis'!U$20,'[1]NS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Analysis'!U$20,'[1]NS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V155" s="17">
        <f>IF(AND(V$15="Actual",ISBLANK($E$8)),SUMIFS('[1]NS Vendor Details'!$D:$D,'[1]NS Vendor Details'!$H:$H,'G&amp;A Vendor x GL Analysis'!V$20,'[1]NS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Analysis'!V$20,'[1]NS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Analysis'!$E155),IF(V$15="Actual",SUMIFS('[1]NS Vendor Details'!$D:$D,'[1]NS Vendor Details'!$H:$H,'G&amp;A Vendor x GL Analysis'!V$20,'[1]NS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Analysis'!V$20,'[1]NS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W155" s="17">
        <f>IF(AND(W$15="Actual",ISBLANK($E$8)),SUMIFS('[1]NS Vendor Details'!$D:$D,'[1]NS Vendor Details'!$H:$H,'G&amp;A Vendor x GL Analysis'!W$20,'[1]NS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Analysis'!W$20,'[1]NS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Analysis'!$E155),IF(W$15="Actual",SUMIFS('[1]NS Vendor Details'!$D:$D,'[1]NS Vendor Details'!$H:$H,'G&amp;A Vendor x GL Analysis'!W$20,'[1]NS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Analysis'!W$20,'[1]NS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X155" s="17">
        <f>IF(AND(X$15="Actual",ISBLANK($E$8)),SUMIFS('[1]NS Vendor Details'!$D:$D,'[1]NS Vendor Details'!$H:$H,'G&amp;A Vendor x GL Analysis'!X$20,'[1]NS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Analysis'!X$20,'[1]NS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Analysis'!$E155),IF(X$15="Actual",SUMIFS('[1]NS Vendor Details'!$D:$D,'[1]NS Vendor Details'!$H:$H,'G&amp;A Vendor x GL Analysis'!X$20,'[1]NS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Analysis'!X$20,'[1]NS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Y155" s="17">
        <f>IF(AND(Y$15="Actual",ISBLANK($E$8)),SUMIFS('[1]NS Vendor Details'!$D:$D,'[1]NS Vendor Details'!$H:$H,'G&amp;A Vendor x GL Analysis'!Y$20,'[1]NS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Analysis'!Y$20,'[1]NS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Analysis'!$E155),IF(Y$15="Actual",SUMIFS('[1]NS Vendor Details'!$D:$D,'[1]NS Vendor Details'!$H:$H,'G&amp;A Vendor x GL Analysis'!Y$20,'[1]NS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Analysis'!Y$20,'[1]NS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Z155" s="17">
        <f>IF(AND(Z$15="Actual",ISBLANK($E$8)),SUMIFS('[1]NS Vendor Details'!$D:$D,'[1]NS Vendor Details'!$H:$H,'G&amp;A Vendor x GL Analysis'!Z$20,'[1]NS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Analysis'!Z$20,'[1]NS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Analysis'!$E155),IF(Z$15="Actual",SUMIFS('[1]NS Vendor Details'!$D:$D,'[1]NS Vendor Details'!$H:$H,'G&amp;A Vendor x GL Analysis'!Z$20,'[1]NS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Analysis'!Z$20,'[1]NS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AA155" s="17">
        <f>IF(AND(AA$15="Actual",ISBLANK($E$8)),SUMIFS('[1]NS Vendor Details'!$D:$D,'[1]NS Vendor Details'!$H:$H,'G&amp;A Vendor x GL Analysis'!AA$20,'[1]NS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Analysis'!AA$20,'[1]NS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Analysis'!$E155),IF(AA$15="Actual",SUMIFS('[1]NS Vendor Details'!$D:$D,'[1]NS Vendor Details'!$H:$H,'G&amp;A Vendor x GL Analysis'!AA$20,'[1]NS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Analysis'!AA$20,'[1]NS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AB155" s="17">
        <f>IF(AND(AB$15="Actual",ISBLANK($E$8)),SUMIFS('[1]NS Vendor Details'!$D:$D,'[1]NS Vendor Details'!$H:$H,'G&amp;A Vendor x GL Analysis'!AB$20,'[1]NS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Analysis'!AB$20,'[1]NS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Analysis'!$E155),IF(AB$15="Actual",SUMIFS('[1]NS Vendor Details'!$D:$D,'[1]NS Vendor Details'!$H:$H,'G&amp;A Vendor x GL Analysis'!AB$20,'[1]NS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Analysis'!AB$20,'[1]NS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AC155" s="18">
        <f>IF(AND(AC$15="Actual",ISBLANK($E$8)),SUMIFS('[1]NS Vendor Details'!$D:$D,'[1]NS Vendor Details'!$H:$H,'G&amp;A Vendor x GL Analysis'!AC$20,'[1]NS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Analysis'!AC$20,'[1]NS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Analysis'!$E155),IF(AC$15="Actual",SUMIFS('[1]NS Vendor Details'!$D:$D,'[1]NS Vendor Details'!$H:$H,'G&amp;A Vendor x GL Analysis'!AC$20,'[1]NS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Analysis'!AC$20,'[1]NS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AD155" s="18">
        <f>IF(AND(AD$15="Actual",ISBLANK($E$8)),SUMIFS('[1]NS Vendor Details'!$D:$D,'[1]NS Vendor Details'!$H:$H,'G&amp;A Vendor x GL Analysis'!AD$20,'[1]NS Vendor Details'!$L:$L,'G&amp;A Vendor x GL Analysis'!$D155,'[1]NS Vendor Details'!$O:$O,'G&amp;A Vendor x GL Analysis'!$F155,'[1]NS Vendor Details'!$N:$N,'G&amp;A Vendor x GL Analysis'!$C155,'[1]NS Vendor Details'!$I:$I,'G&amp;A Vendor x GL Analysis'!$E155)+SUMIFS('[1]NS Vendor Details'!$D:$D,'[1]NS Vendor Details'!$H:$H,'G&amp;A Vendor x GL Analysis'!AD$20,'[1]NS Vendor Details'!$L:$L,'G&amp;A Vendor x GL Analysis'!$D155,'[1]NS Vendor Details'!$O:$O,'G&amp;A Vendor x GL Analysis'!$F155,'[1]NS Vendor Details'!$N:$N,"Direct Costs",'[1]NS Vendor Details'!$J:$J,0,'[1]NS Vendor Details'!$I:$I,'G&amp;A Vendor x GL Analysis'!$E155),IF(AD$15="Actual",SUMIFS('[1]NS Vendor Details'!$D:$D,'[1]NS Vendor Details'!$H:$H,'G&amp;A Vendor x GL Analysis'!AD$20,'[1]NS Vendor Details'!$L:$L,'G&amp;A Vendor x GL Analysis'!$D155,'[1]NS Vendor Details'!$O:$O,'G&amp;A Vendor x GL Analysis'!$F155,'[1]NS Vendor Details'!$N:$N,'G&amp;A Vendor x GL Analysis'!$C155,'[1]NS Vendor Details'!$K:$K,'G&amp;A Vendor x GL Analysis'!$E$8,'[1]NS Vendor Details'!$I:$I,'G&amp;A Vendor x GL Analysis'!$E155)+SUMIFS('[1]NS Vendor Details'!$D:$D,'[1]NS Vendor Details'!$H:$H,'G&amp;A Vendor x GL Analysis'!AD$20,'[1]NS Vendor Details'!$L:$L,'G&amp;A Vendor x GL Analysis'!$D155,'[1]NS Vendor Details'!$O:$O,'G&amp;A Vendor x GL Analysis'!$F155,'[1]NS Vendor Details'!$N:$N,"Direct Costs",'[1]NS Vendor Details'!$J:$J,0,'[1]NS Vendor Details'!$K:$K,'G&amp;A Vendor x GL Analysis'!$E$8,'[1]NS Vendor Details'!$I:$I,'G&amp;A Vendor x GL Analysis'!$E155),0))</f>
        <v>0</v>
      </c>
      <c r="AF155" s="19">
        <f t="shared" si="23"/>
        <v>66</v>
      </c>
    </row>
    <row r="156" spans="1:32" outlineLevel="1">
      <c r="A156" s="8" t="str">
        <f t="shared" si="22"/>
        <v>Professional Service6450 - Bank &amp; Other Fees</v>
      </c>
      <c r="C156" s="8" t="s">
        <v>11</v>
      </c>
      <c r="D156" s="8" t="str">
        <f t="shared" si="24"/>
        <v>Professional Service</v>
      </c>
      <c r="E156" s="2" t="s">
        <v>145</v>
      </c>
      <c r="F156" s="2" t="s">
        <v>39</v>
      </c>
      <c r="G156" s="16">
        <f>IF(AND(G$15="Actual",ISBLANK($E$8)),SUMIFS('[1]NS Vendor Details'!$D:$D,'[1]NS Vendor Details'!$H:$H,'G&amp;A Vendor x GL Analysis'!G$20,'[1]NS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Analysis'!G$20,'[1]NS Vendor Details'!$L:$L,'G&amp;A Vendor x GL Analysis'!$D156,'[1]NS Vendor Details'!$O:$O,'G&amp;A Vendor x GL Analysis'!$F156,'[1]NS Vendor Details'!$N:$N,"Direct Costs",'[1]NS Vendor Details'!$J:$J,0),IF(G$15="Actual",SUMIFS('[1]NS Vendor Details'!$D:$D,'[1]NS Vendor Details'!$H:$H,'G&amp;A Vendor x GL Analysis'!G$20,'[1]NS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Analysis'!G$20,'[1]NS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H156" s="17">
        <f>IF(AND(H$15="Actual",ISBLANK($E$8)),SUMIFS('[1]NS Vendor Details'!$D:$D,'[1]NS Vendor Details'!$H:$H,'G&amp;A Vendor x GL Analysis'!H$20,'[1]NS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Analysis'!H$20,'[1]NS Vendor Details'!$L:$L,'G&amp;A Vendor x GL Analysis'!$D156,'[1]NS Vendor Details'!$O:$O,'G&amp;A Vendor x GL Analysis'!$F156,'[1]NS Vendor Details'!$N:$N,"Direct Costs",'[1]NS Vendor Details'!$J:$J,0),IF(H$15="Actual",SUMIFS('[1]NS Vendor Details'!$D:$D,'[1]NS Vendor Details'!$H:$H,'G&amp;A Vendor x GL Analysis'!H$20,'[1]NS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Analysis'!H$20,'[1]NS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I156" s="17">
        <f>IF(AND(I$15="Actual",ISBLANK($E$8)),SUMIFS('[1]NS Vendor Details'!$D:$D,'[1]NS Vendor Details'!$H:$H,'G&amp;A Vendor x GL Analysis'!I$20,'[1]NS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Analysis'!I$20,'[1]NS Vendor Details'!$L:$L,'G&amp;A Vendor x GL Analysis'!$D156,'[1]NS Vendor Details'!$O:$O,'G&amp;A Vendor x GL Analysis'!$F156,'[1]NS Vendor Details'!$N:$N,"Direct Costs",'[1]NS Vendor Details'!$J:$J,0),IF(I$15="Actual",SUMIFS('[1]NS Vendor Details'!$D:$D,'[1]NS Vendor Details'!$H:$H,'G&amp;A Vendor x GL Analysis'!I$20,'[1]NS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Analysis'!I$20,'[1]NS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J156" s="17">
        <f>IF(AND(J$15="Actual",ISBLANK($E$8)),SUMIFS('[1]NS Vendor Details'!$D:$D,'[1]NS Vendor Details'!$H:$H,'G&amp;A Vendor x GL Analysis'!J$20,'[1]NS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Analysis'!J$20,'[1]NS Vendor Details'!$L:$L,'G&amp;A Vendor x GL Analysis'!$D156,'[1]NS Vendor Details'!$O:$O,'G&amp;A Vendor x GL Analysis'!$F156,'[1]NS Vendor Details'!$N:$N,"Direct Costs",'[1]NS Vendor Details'!$J:$J,0),IF(J$15="Actual",SUMIFS('[1]NS Vendor Details'!$D:$D,'[1]NS Vendor Details'!$H:$H,'G&amp;A Vendor x GL Analysis'!J$20,'[1]NS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Analysis'!J$20,'[1]NS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K156" s="17">
        <f>IF(AND(K$15="Actual",ISBLANK($E$8)),SUMIFS('[1]NS Vendor Details'!$D:$D,'[1]NS Vendor Details'!$H:$H,'G&amp;A Vendor x GL Analysis'!K$20,'[1]NS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Analysis'!K$20,'[1]NS Vendor Details'!$L:$L,'G&amp;A Vendor x GL Analysis'!$D156,'[1]NS Vendor Details'!$O:$O,'G&amp;A Vendor x GL Analysis'!$F156,'[1]NS Vendor Details'!$N:$N,"Direct Costs",'[1]NS Vendor Details'!$J:$J,0),IF(K$15="Actual",SUMIFS('[1]NS Vendor Details'!$D:$D,'[1]NS Vendor Details'!$H:$H,'G&amp;A Vendor x GL Analysis'!K$20,'[1]NS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Analysis'!K$20,'[1]NS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L156" s="17">
        <f>IF(AND(L$15="Actual",ISBLANK($E$8)),SUMIFS('[1]NS Vendor Details'!$D:$D,'[1]NS Vendor Details'!$H:$H,'G&amp;A Vendor x GL Analysis'!L$20,'[1]NS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Analysis'!L$20,'[1]NS Vendor Details'!$L:$L,'G&amp;A Vendor x GL Analysis'!$D156,'[1]NS Vendor Details'!$O:$O,'G&amp;A Vendor x GL Analysis'!$F156,'[1]NS Vendor Details'!$N:$N,"Direct Costs",'[1]NS Vendor Details'!$J:$J,0),IF(L$15="Actual",SUMIFS('[1]NS Vendor Details'!$D:$D,'[1]NS Vendor Details'!$H:$H,'G&amp;A Vendor x GL Analysis'!L$20,'[1]NS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Analysis'!L$20,'[1]NS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M156" s="17">
        <f>IF(AND(M$15="Actual",ISBLANK($E$8)),SUMIFS('[1]NS Vendor Details'!$D:$D,'[1]NS Vendor Details'!$H:$H,'G&amp;A Vendor x GL Analysis'!M$20,'[1]NS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Analysis'!M$20,'[1]NS Vendor Details'!$L:$L,'G&amp;A Vendor x GL Analysis'!$D156,'[1]NS Vendor Details'!$O:$O,'G&amp;A Vendor x GL Analysis'!$F156,'[1]NS Vendor Details'!$N:$N,"Direct Costs",'[1]NS Vendor Details'!$J:$J,0),IF(M$15="Actual",SUMIFS('[1]NS Vendor Details'!$D:$D,'[1]NS Vendor Details'!$H:$H,'G&amp;A Vendor x GL Analysis'!M$20,'[1]NS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Analysis'!M$20,'[1]NS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N156" s="17">
        <f>IF(AND(N$15="Actual",ISBLANK($E$8)),SUMIFS('[1]NS Vendor Details'!$D:$D,'[1]NS Vendor Details'!$H:$H,'G&amp;A Vendor x GL Analysis'!N$20,'[1]NS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Analysis'!N$20,'[1]NS Vendor Details'!$L:$L,'G&amp;A Vendor x GL Analysis'!$D156,'[1]NS Vendor Details'!$O:$O,'G&amp;A Vendor x GL Analysis'!$F156,'[1]NS Vendor Details'!$N:$N,"Direct Costs",'[1]NS Vendor Details'!$J:$J,0),IF(N$15="Actual",SUMIFS('[1]NS Vendor Details'!$D:$D,'[1]NS Vendor Details'!$H:$H,'G&amp;A Vendor x GL Analysis'!N$20,'[1]NS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Analysis'!N$20,'[1]NS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O156" s="17">
        <f>IF(AND(O$15="Actual",ISBLANK($E$8)),SUMIFS('[1]NS Vendor Details'!$D:$D,'[1]NS Vendor Details'!$H:$H,'G&amp;A Vendor x GL Analysis'!O$20,'[1]NS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Analysis'!O$20,'[1]NS Vendor Details'!$L:$L,'G&amp;A Vendor x GL Analysis'!$D156,'[1]NS Vendor Details'!$O:$O,'G&amp;A Vendor x GL Analysis'!$F156,'[1]NS Vendor Details'!$N:$N,"Direct Costs",'[1]NS Vendor Details'!$J:$J,0),IF(O$15="Actual",SUMIFS('[1]NS Vendor Details'!$D:$D,'[1]NS Vendor Details'!$H:$H,'G&amp;A Vendor x GL Analysis'!O$20,'[1]NS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Analysis'!O$20,'[1]NS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P156" s="17">
        <f>IF(AND(P$15="Actual",ISBLANK($E$8)),SUMIFS('[1]NS Vendor Details'!$D:$D,'[1]NS Vendor Details'!$H:$H,'G&amp;A Vendor x GL Analysis'!P$20,'[1]NS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Analysis'!P$20,'[1]NS Vendor Details'!$L:$L,'G&amp;A Vendor x GL Analysis'!$D156,'[1]NS Vendor Details'!$O:$O,'G&amp;A Vendor x GL Analysis'!$F156,'[1]NS Vendor Details'!$N:$N,"Direct Costs",'[1]NS Vendor Details'!$J:$J,0),IF(P$15="Actual",SUMIFS('[1]NS Vendor Details'!$D:$D,'[1]NS Vendor Details'!$H:$H,'G&amp;A Vendor x GL Analysis'!P$20,'[1]NS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Analysis'!P$20,'[1]NS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Q156" s="17">
        <f>IF(AND(Q$15="Actual",ISBLANK($E$8)),SUMIFS('[1]NS Vendor Details'!$D:$D,'[1]NS Vendor Details'!$H:$H,'G&amp;A Vendor x GL Analysis'!Q$20,'[1]NS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Analysis'!Q$20,'[1]NS Vendor Details'!$L:$L,'G&amp;A Vendor x GL Analysis'!$D156,'[1]NS Vendor Details'!$O:$O,'G&amp;A Vendor x GL Analysis'!$F156,'[1]NS Vendor Details'!$N:$N,"Direct Costs",'[1]NS Vendor Details'!$J:$J,0),IF(Q$15="Actual",SUMIFS('[1]NS Vendor Details'!$D:$D,'[1]NS Vendor Details'!$H:$H,'G&amp;A Vendor x GL Analysis'!Q$20,'[1]NS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Analysis'!Q$20,'[1]NS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R156" s="18">
        <f>IF(AND(R$15="Actual",ISBLANK($E$8)),SUMIFS('[1]NS Vendor Details'!$D:$D,'[1]NS Vendor Details'!$H:$H,'G&amp;A Vendor x GL Analysis'!R$20,'[1]NS Vendor Details'!$L:$L,'G&amp;A Vendor x GL Analysis'!$D156,'[1]NS Vendor Details'!$O:$O,'G&amp;A Vendor x GL Analysis'!$F156,'[1]NS Vendor Details'!$N:$N,'G&amp;A Vendor x GL Analysis'!$C156)+SUMIFS('[1]NS Vendor Details'!$D:$D,'[1]NS Vendor Details'!$H:$H,'G&amp;A Vendor x GL Analysis'!R$20,'[1]NS Vendor Details'!$L:$L,'G&amp;A Vendor x GL Analysis'!$D156,'[1]NS Vendor Details'!$O:$O,'G&amp;A Vendor x GL Analysis'!$F156,'[1]NS Vendor Details'!$N:$N,"Direct Costs",'[1]NS Vendor Details'!$J:$J,0),IF(R$15="Actual",SUMIFS('[1]NS Vendor Details'!$D:$D,'[1]NS Vendor Details'!$H:$H,'G&amp;A Vendor x GL Analysis'!R$20,'[1]NS Vendor Details'!$L:$L,'G&amp;A Vendor x GL Analysis'!$D156,'[1]NS Vendor Details'!$O:$O,'G&amp;A Vendor x GL Analysis'!$F156,'[1]NS Vendor Details'!$N:$N,'G&amp;A Vendor x GL Analysis'!$C156,'[1]NS Vendor Details'!$K:$K,'G&amp;A Vendor x GL Analysis'!$E$8)+SUMIFS('[1]NS Vendor Details'!$D:$D,'[1]NS Vendor Details'!$H:$H,'G&amp;A Vendor x GL Analysis'!R$20,'[1]NS Vendor Details'!$L:$L,'G&amp;A Vendor x GL Analysis'!$D156,'[1]NS Vendor Details'!$O:$O,'G&amp;A Vendor x GL Analysis'!$F156,'[1]NS Vendor Details'!$N:$N,"Direct Costs",'[1]NS Vendor Details'!$J:$J,0,'[1]NS Vendor Details'!$K:$K,'G&amp;A Vendor x GL Analysis'!$E$8),0))</f>
        <v>0</v>
      </c>
      <c r="S156" s="16">
        <f>IF(AND(S$15="Actual",ISBLANK($E$8)),SUMIFS('[1]NS Vendor Details'!$D:$D,'[1]NS Vendor Details'!$H:$H,'G&amp;A Vendor x GL Analysis'!S$20,'[1]NS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Analysis'!S$20,'[1]NS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Analysis'!$E156),IF(S$15="Actual",SUMIFS('[1]NS Vendor Details'!$D:$D,'[1]NS Vendor Details'!$H:$H,'G&amp;A Vendor x GL Analysis'!S$20,'[1]NS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Analysis'!S$20,'[1]NS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T156" s="17">
        <f>IF(AND(T$15="Actual",ISBLANK($E$8)),SUMIFS('[1]NS Vendor Details'!$D:$D,'[1]NS Vendor Details'!$H:$H,'G&amp;A Vendor x GL Analysis'!T$20,'[1]NS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Analysis'!T$20,'[1]NS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Analysis'!$E156),IF(T$15="Actual",SUMIFS('[1]NS Vendor Details'!$D:$D,'[1]NS Vendor Details'!$H:$H,'G&amp;A Vendor x GL Analysis'!T$20,'[1]NS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Analysis'!T$20,'[1]NS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U156" s="17">
        <f>IF(AND(U$15="Actual",ISBLANK($E$8)),SUMIFS('[1]NS Vendor Details'!$D:$D,'[1]NS Vendor Details'!$H:$H,'G&amp;A Vendor x GL Analysis'!U$20,'[1]NS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Analysis'!U$20,'[1]NS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Analysis'!$E156),IF(U$15="Actual",SUMIFS('[1]NS Vendor Details'!$D:$D,'[1]NS Vendor Details'!$H:$H,'G&amp;A Vendor x GL Analysis'!U$20,'[1]NS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Analysis'!U$20,'[1]NS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V156" s="17">
        <f>IF(AND(V$15="Actual",ISBLANK($E$8)),SUMIFS('[1]NS Vendor Details'!$D:$D,'[1]NS Vendor Details'!$H:$H,'G&amp;A Vendor x GL Analysis'!V$20,'[1]NS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Analysis'!V$20,'[1]NS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Analysis'!$E156),IF(V$15="Actual",SUMIFS('[1]NS Vendor Details'!$D:$D,'[1]NS Vendor Details'!$H:$H,'G&amp;A Vendor x GL Analysis'!V$20,'[1]NS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Analysis'!V$20,'[1]NS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W156" s="17">
        <f>IF(AND(W$15="Actual",ISBLANK($E$8)),SUMIFS('[1]NS Vendor Details'!$D:$D,'[1]NS Vendor Details'!$H:$H,'G&amp;A Vendor x GL Analysis'!W$20,'[1]NS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Analysis'!W$20,'[1]NS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Analysis'!$E156),IF(W$15="Actual",SUMIFS('[1]NS Vendor Details'!$D:$D,'[1]NS Vendor Details'!$H:$H,'G&amp;A Vendor x GL Analysis'!W$20,'[1]NS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Analysis'!W$20,'[1]NS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X156" s="17">
        <f>IF(AND(X$15="Actual",ISBLANK($E$8)),SUMIFS('[1]NS Vendor Details'!$D:$D,'[1]NS Vendor Details'!$H:$H,'G&amp;A Vendor x GL Analysis'!X$20,'[1]NS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Analysis'!X$20,'[1]NS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Analysis'!$E156),IF(X$15="Actual",SUMIFS('[1]NS Vendor Details'!$D:$D,'[1]NS Vendor Details'!$H:$H,'G&amp;A Vendor x GL Analysis'!X$20,'[1]NS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Analysis'!X$20,'[1]NS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Y156" s="17">
        <f>IF(AND(Y$15="Actual",ISBLANK($E$8)),SUMIFS('[1]NS Vendor Details'!$D:$D,'[1]NS Vendor Details'!$H:$H,'G&amp;A Vendor x GL Analysis'!Y$20,'[1]NS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Analysis'!Y$20,'[1]NS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Analysis'!$E156),IF(Y$15="Actual",SUMIFS('[1]NS Vendor Details'!$D:$D,'[1]NS Vendor Details'!$H:$H,'G&amp;A Vendor x GL Analysis'!Y$20,'[1]NS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Analysis'!Y$20,'[1]NS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6.19</v>
      </c>
      <c r="Z156" s="17">
        <f>IF(AND(Z$15="Actual",ISBLANK($E$8)),SUMIFS('[1]NS Vendor Details'!$D:$D,'[1]NS Vendor Details'!$H:$H,'G&amp;A Vendor x GL Analysis'!Z$20,'[1]NS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Analysis'!Z$20,'[1]NS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Analysis'!$E156),IF(Z$15="Actual",SUMIFS('[1]NS Vendor Details'!$D:$D,'[1]NS Vendor Details'!$H:$H,'G&amp;A Vendor x GL Analysis'!Z$20,'[1]NS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Analysis'!Z$20,'[1]NS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AA156" s="17">
        <f>IF(AND(AA$15="Actual",ISBLANK($E$8)),SUMIFS('[1]NS Vendor Details'!$D:$D,'[1]NS Vendor Details'!$H:$H,'G&amp;A Vendor x GL Analysis'!AA$20,'[1]NS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Analysis'!AA$20,'[1]NS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Analysis'!$E156),IF(AA$15="Actual",SUMIFS('[1]NS Vendor Details'!$D:$D,'[1]NS Vendor Details'!$H:$H,'G&amp;A Vendor x GL Analysis'!AA$20,'[1]NS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Analysis'!AA$20,'[1]NS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AB156" s="17">
        <f>IF(AND(AB$15="Actual",ISBLANK($E$8)),SUMIFS('[1]NS Vendor Details'!$D:$D,'[1]NS Vendor Details'!$H:$H,'G&amp;A Vendor x GL Analysis'!AB$20,'[1]NS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Analysis'!AB$20,'[1]NS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Analysis'!$E156),IF(AB$15="Actual",SUMIFS('[1]NS Vendor Details'!$D:$D,'[1]NS Vendor Details'!$H:$H,'G&amp;A Vendor x GL Analysis'!AB$20,'[1]NS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Analysis'!AB$20,'[1]NS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AC156" s="18">
        <f>IF(AND(AC$15="Actual",ISBLANK($E$8)),SUMIFS('[1]NS Vendor Details'!$D:$D,'[1]NS Vendor Details'!$H:$H,'G&amp;A Vendor x GL Analysis'!AC$20,'[1]NS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Analysis'!AC$20,'[1]NS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Analysis'!$E156),IF(AC$15="Actual",SUMIFS('[1]NS Vendor Details'!$D:$D,'[1]NS Vendor Details'!$H:$H,'G&amp;A Vendor x GL Analysis'!AC$20,'[1]NS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Analysis'!AC$20,'[1]NS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AD156" s="18">
        <f>IF(AND(AD$15="Actual",ISBLANK($E$8)),SUMIFS('[1]NS Vendor Details'!$D:$D,'[1]NS Vendor Details'!$H:$H,'G&amp;A Vendor x GL Analysis'!AD$20,'[1]NS Vendor Details'!$L:$L,'G&amp;A Vendor x GL Analysis'!$D156,'[1]NS Vendor Details'!$O:$O,'G&amp;A Vendor x GL Analysis'!$F156,'[1]NS Vendor Details'!$N:$N,'G&amp;A Vendor x GL Analysis'!$C156,'[1]NS Vendor Details'!$I:$I,'G&amp;A Vendor x GL Analysis'!$E156)+SUMIFS('[1]NS Vendor Details'!$D:$D,'[1]NS Vendor Details'!$H:$H,'G&amp;A Vendor x GL Analysis'!AD$20,'[1]NS Vendor Details'!$L:$L,'G&amp;A Vendor x GL Analysis'!$D156,'[1]NS Vendor Details'!$O:$O,'G&amp;A Vendor x GL Analysis'!$F156,'[1]NS Vendor Details'!$N:$N,"Direct Costs",'[1]NS Vendor Details'!$J:$J,0,'[1]NS Vendor Details'!$I:$I,'G&amp;A Vendor x GL Analysis'!$E156),IF(AD$15="Actual",SUMIFS('[1]NS Vendor Details'!$D:$D,'[1]NS Vendor Details'!$H:$H,'G&amp;A Vendor x GL Analysis'!AD$20,'[1]NS Vendor Details'!$L:$L,'G&amp;A Vendor x GL Analysis'!$D156,'[1]NS Vendor Details'!$O:$O,'G&amp;A Vendor x GL Analysis'!$F156,'[1]NS Vendor Details'!$N:$N,'G&amp;A Vendor x GL Analysis'!$C156,'[1]NS Vendor Details'!$K:$K,'G&amp;A Vendor x GL Analysis'!$E$8,'[1]NS Vendor Details'!$I:$I,'G&amp;A Vendor x GL Analysis'!$E156)+SUMIFS('[1]NS Vendor Details'!$D:$D,'[1]NS Vendor Details'!$H:$H,'G&amp;A Vendor x GL Analysis'!AD$20,'[1]NS Vendor Details'!$L:$L,'G&amp;A Vendor x GL Analysis'!$D156,'[1]NS Vendor Details'!$O:$O,'G&amp;A Vendor x GL Analysis'!$F156,'[1]NS Vendor Details'!$N:$N,"Direct Costs",'[1]NS Vendor Details'!$J:$J,0,'[1]NS Vendor Details'!$K:$K,'G&amp;A Vendor x GL Analysis'!$E$8,'[1]NS Vendor Details'!$I:$I,'G&amp;A Vendor x GL Analysis'!$E156),0))</f>
        <v>0</v>
      </c>
      <c r="AF156" s="19">
        <f t="shared" si="23"/>
        <v>6.19</v>
      </c>
    </row>
    <row r="157" spans="1:32" outlineLevel="1">
      <c r="A157" s="8" t="str">
        <f t="shared" si="22"/>
        <v>Professional Service6450 - Bank &amp; Other Fees</v>
      </c>
      <c r="C157" s="8" t="s">
        <v>11</v>
      </c>
      <c r="D157" s="8" t="str">
        <f t="shared" si="24"/>
        <v>Professional Service</v>
      </c>
      <c r="E157" s="2" t="s">
        <v>145</v>
      </c>
      <c r="F157" s="2" t="s">
        <v>147</v>
      </c>
      <c r="G157" s="16">
        <f>IF(AND(G$15="Actual",ISBLANK($E$8)),SUMIFS('[1]NS Vendor Details'!$D:$D,'[1]NS Vendor Details'!$H:$H,'G&amp;A Vendor x GL Analysis'!G$20,'[1]NS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Analysis'!G$20,'[1]NS Vendor Details'!$L:$L,'G&amp;A Vendor x GL Analysis'!$D157,'[1]NS Vendor Details'!$O:$O,'G&amp;A Vendor x GL Analysis'!$F157,'[1]NS Vendor Details'!$N:$N,"Direct Costs",'[1]NS Vendor Details'!$J:$J,0),IF(G$15="Actual",SUMIFS('[1]NS Vendor Details'!$D:$D,'[1]NS Vendor Details'!$H:$H,'G&amp;A Vendor x GL Analysis'!G$20,'[1]NS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Analysis'!G$20,'[1]NS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H157" s="17">
        <f>IF(AND(H$15="Actual",ISBLANK($E$8)),SUMIFS('[1]NS Vendor Details'!$D:$D,'[1]NS Vendor Details'!$H:$H,'G&amp;A Vendor x GL Analysis'!H$20,'[1]NS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Analysis'!H$20,'[1]NS Vendor Details'!$L:$L,'G&amp;A Vendor x GL Analysis'!$D157,'[1]NS Vendor Details'!$O:$O,'G&amp;A Vendor x GL Analysis'!$F157,'[1]NS Vendor Details'!$N:$N,"Direct Costs",'[1]NS Vendor Details'!$J:$J,0),IF(H$15="Actual",SUMIFS('[1]NS Vendor Details'!$D:$D,'[1]NS Vendor Details'!$H:$H,'G&amp;A Vendor x GL Analysis'!H$20,'[1]NS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Analysis'!H$20,'[1]NS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I157" s="17">
        <f>IF(AND(I$15="Actual",ISBLANK($E$8)),SUMIFS('[1]NS Vendor Details'!$D:$D,'[1]NS Vendor Details'!$H:$H,'G&amp;A Vendor x GL Analysis'!I$20,'[1]NS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Analysis'!I$20,'[1]NS Vendor Details'!$L:$L,'G&amp;A Vendor x GL Analysis'!$D157,'[1]NS Vendor Details'!$O:$O,'G&amp;A Vendor x GL Analysis'!$F157,'[1]NS Vendor Details'!$N:$N,"Direct Costs",'[1]NS Vendor Details'!$J:$J,0),IF(I$15="Actual",SUMIFS('[1]NS Vendor Details'!$D:$D,'[1]NS Vendor Details'!$H:$H,'G&amp;A Vendor x GL Analysis'!I$20,'[1]NS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Analysis'!I$20,'[1]NS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J157" s="17">
        <f>IF(AND(J$15="Actual",ISBLANK($E$8)),SUMIFS('[1]NS Vendor Details'!$D:$D,'[1]NS Vendor Details'!$H:$H,'G&amp;A Vendor x GL Analysis'!J$20,'[1]NS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Analysis'!J$20,'[1]NS Vendor Details'!$L:$L,'G&amp;A Vendor x GL Analysis'!$D157,'[1]NS Vendor Details'!$O:$O,'G&amp;A Vendor x GL Analysis'!$F157,'[1]NS Vendor Details'!$N:$N,"Direct Costs",'[1]NS Vendor Details'!$J:$J,0),IF(J$15="Actual",SUMIFS('[1]NS Vendor Details'!$D:$D,'[1]NS Vendor Details'!$H:$H,'G&amp;A Vendor x GL Analysis'!J$20,'[1]NS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Analysis'!J$20,'[1]NS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K157" s="17">
        <f>IF(AND(K$15="Actual",ISBLANK($E$8)),SUMIFS('[1]NS Vendor Details'!$D:$D,'[1]NS Vendor Details'!$H:$H,'G&amp;A Vendor x GL Analysis'!K$20,'[1]NS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Analysis'!K$20,'[1]NS Vendor Details'!$L:$L,'G&amp;A Vendor x GL Analysis'!$D157,'[1]NS Vendor Details'!$O:$O,'G&amp;A Vendor x GL Analysis'!$F157,'[1]NS Vendor Details'!$N:$N,"Direct Costs",'[1]NS Vendor Details'!$J:$J,0),IF(K$15="Actual",SUMIFS('[1]NS Vendor Details'!$D:$D,'[1]NS Vendor Details'!$H:$H,'G&amp;A Vendor x GL Analysis'!K$20,'[1]NS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Analysis'!K$20,'[1]NS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L157" s="17">
        <f>IF(AND(L$15="Actual",ISBLANK($E$8)),SUMIFS('[1]NS Vendor Details'!$D:$D,'[1]NS Vendor Details'!$H:$H,'G&amp;A Vendor x GL Analysis'!L$20,'[1]NS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Analysis'!L$20,'[1]NS Vendor Details'!$L:$L,'G&amp;A Vendor x GL Analysis'!$D157,'[1]NS Vendor Details'!$O:$O,'G&amp;A Vendor x GL Analysis'!$F157,'[1]NS Vendor Details'!$N:$N,"Direct Costs",'[1]NS Vendor Details'!$J:$J,0),IF(L$15="Actual",SUMIFS('[1]NS Vendor Details'!$D:$D,'[1]NS Vendor Details'!$H:$H,'G&amp;A Vendor x GL Analysis'!L$20,'[1]NS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Analysis'!L$20,'[1]NS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M157" s="17">
        <f>IF(AND(M$15="Actual",ISBLANK($E$8)),SUMIFS('[1]NS Vendor Details'!$D:$D,'[1]NS Vendor Details'!$H:$H,'G&amp;A Vendor x GL Analysis'!M$20,'[1]NS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Analysis'!M$20,'[1]NS Vendor Details'!$L:$L,'G&amp;A Vendor x GL Analysis'!$D157,'[1]NS Vendor Details'!$O:$O,'G&amp;A Vendor x GL Analysis'!$F157,'[1]NS Vendor Details'!$N:$N,"Direct Costs",'[1]NS Vendor Details'!$J:$J,0),IF(M$15="Actual",SUMIFS('[1]NS Vendor Details'!$D:$D,'[1]NS Vendor Details'!$H:$H,'G&amp;A Vendor x GL Analysis'!M$20,'[1]NS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Analysis'!M$20,'[1]NS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N157" s="17">
        <f>IF(AND(N$15="Actual",ISBLANK($E$8)),SUMIFS('[1]NS Vendor Details'!$D:$D,'[1]NS Vendor Details'!$H:$H,'G&amp;A Vendor x GL Analysis'!N$20,'[1]NS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Analysis'!N$20,'[1]NS Vendor Details'!$L:$L,'G&amp;A Vendor x GL Analysis'!$D157,'[1]NS Vendor Details'!$O:$O,'G&amp;A Vendor x GL Analysis'!$F157,'[1]NS Vendor Details'!$N:$N,"Direct Costs",'[1]NS Vendor Details'!$J:$J,0),IF(N$15="Actual",SUMIFS('[1]NS Vendor Details'!$D:$D,'[1]NS Vendor Details'!$H:$H,'G&amp;A Vendor x GL Analysis'!N$20,'[1]NS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Analysis'!N$20,'[1]NS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O157" s="17">
        <f>IF(AND(O$15="Actual",ISBLANK($E$8)),SUMIFS('[1]NS Vendor Details'!$D:$D,'[1]NS Vendor Details'!$H:$H,'G&amp;A Vendor x GL Analysis'!O$20,'[1]NS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Analysis'!O$20,'[1]NS Vendor Details'!$L:$L,'G&amp;A Vendor x GL Analysis'!$D157,'[1]NS Vendor Details'!$O:$O,'G&amp;A Vendor x GL Analysis'!$F157,'[1]NS Vendor Details'!$N:$N,"Direct Costs",'[1]NS Vendor Details'!$J:$J,0),IF(O$15="Actual",SUMIFS('[1]NS Vendor Details'!$D:$D,'[1]NS Vendor Details'!$H:$H,'G&amp;A Vendor x GL Analysis'!O$20,'[1]NS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Analysis'!O$20,'[1]NS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P157" s="17">
        <f>IF(AND(P$15="Actual",ISBLANK($E$8)),SUMIFS('[1]NS Vendor Details'!$D:$D,'[1]NS Vendor Details'!$H:$H,'G&amp;A Vendor x GL Analysis'!P$20,'[1]NS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Analysis'!P$20,'[1]NS Vendor Details'!$L:$L,'G&amp;A Vendor x GL Analysis'!$D157,'[1]NS Vendor Details'!$O:$O,'G&amp;A Vendor x GL Analysis'!$F157,'[1]NS Vendor Details'!$N:$N,"Direct Costs",'[1]NS Vendor Details'!$J:$J,0),IF(P$15="Actual",SUMIFS('[1]NS Vendor Details'!$D:$D,'[1]NS Vendor Details'!$H:$H,'G&amp;A Vendor x GL Analysis'!P$20,'[1]NS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Analysis'!P$20,'[1]NS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Q157" s="17">
        <f>IF(AND(Q$15="Actual",ISBLANK($E$8)),SUMIFS('[1]NS Vendor Details'!$D:$D,'[1]NS Vendor Details'!$H:$H,'G&amp;A Vendor x GL Analysis'!Q$20,'[1]NS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Analysis'!Q$20,'[1]NS Vendor Details'!$L:$L,'G&amp;A Vendor x GL Analysis'!$D157,'[1]NS Vendor Details'!$O:$O,'G&amp;A Vendor x GL Analysis'!$F157,'[1]NS Vendor Details'!$N:$N,"Direct Costs",'[1]NS Vendor Details'!$J:$J,0),IF(Q$15="Actual",SUMIFS('[1]NS Vendor Details'!$D:$D,'[1]NS Vendor Details'!$H:$H,'G&amp;A Vendor x GL Analysis'!Q$20,'[1]NS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Analysis'!Q$20,'[1]NS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R157" s="18">
        <f>IF(AND(R$15="Actual",ISBLANK($E$8)),SUMIFS('[1]NS Vendor Details'!$D:$D,'[1]NS Vendor Details'!$H:$H,'G&amp;A Vendor x GL Analysis'!R$20,'[1]NS Vendor Details'!$L:$L,'G&amp;A Vendor x GL Analysis'!$D157,'[1]NS Vendor Details'!$O:$O,'G&amp;A Vendor x GL Analysis'!$F157,'[1]NS Vendor Details'!$N:$N,'G&amp;A Vendor x GL Analysis'!$C157)+SUMIFS('[1]NS Vendor Details'!$D:$D,'[1]NS Vendor Details'!$H:$H,'G&amp;A Vendor x GL Analysis'!R$20,'[1]NS Vendor Details'!$L:$L,'G&amp;A Vendor x GL Analysis'!$D157,'[1]NS Vendor Details'!$O:$O,'G&amp;A Vendor x GL Analysis'!$F157,'[1]NS Vendor Details'!$N:$N,"Direct Costs",'[1]NS Vendor Details'!$J:$J,0),IF(R$15="Actual",SUMIFS('[1]NS Vendor Details'!$D:$D,'[1]NS Vendor Details'!$H:$H,'G&amp;A Vendor x GL Analysis'!R$20,'[1]NS Vendor Details'!$L:$L,'G&amp;A Vendor x GL Analysis'!$D157,'[1]NS Vendor Details'!$O:$O,'G&amp;A Vendor x GL Analysis'!$F157,'[1]NS Vendor Details'!$N:$N,'G&amp;A Vendor x GL Analysis'!$C157,'[1]NS Vendor Details'!$K:$K,'G&amp;A Vendor x GL Analysis'!$E$8)+SUMIFS('[1]NS Vendor Details'!$D:$D,'[1]NS Vendor Details'!$H:$H,'G&amp;A Vendor x GL Analysis'!R$20,'[1]NS Vendor Details'!$L:$L,'G&amp;A Vendor x GL Analysis'!$D157,'[1]NS Vendor Details'!$O:$O,'G&amp;A Vendor x GL Analysis'!$F157,'[1]NS Vendor Details'!$N:$N,"Direct Costs",'[1]NS Vendor Details'!$J:$J,0,'[1]NS Vendor Details'!$K:$K,'G&amp;A Vendor x GL Analysis'!$E$8),0))</f>
        <v>0</v>
      </c>
      <c r="S157" s="16">
        <f>IF(AND(S$15="Actual",ISBLANK($E$8)),SUMIFS('[1]NS Vendor Details'!$D:$D,'[1]NS Vendor Details'!$H:$H,'G&amp;A Vendor x GL Analysis'!S$20,'[1]NS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Analysis'!S$20,'[1]NS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Analysis'!$E157),IF(S$15="Actual",SUMIFS('[1]NS Vendor Details'!$D:$D,'[1]NS Vendor Details'!$H:$H,'G&amp;A Vendor x GL Analysis'!S$20,'[1]NS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Analysis'!S$20,'[1]NS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T157" s="17">
        <f>IF(AND(T$15="Actual",ISBLANK($E$8)),SUMIFS('[1]NS Vendor Details'!$D:$D,'[1]NS Vendor Details'!$H:$H,'G&amp;A Vendor x GL Analysis'!T$20,'[1]NS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Analysis'!T$20,'[1]NS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Analysis'!$E157),IF(T$15="Actual",SUMIFS('[1]NS Vendor Details'!$D:$D,'[1]NS Vendor Details'!$H:$H,'G&amp;A Vendor x GL Analysis'!T$20,'[1]NS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Analysis'!T$20,'[1]NS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U157" s="17">
        <f>IF(AND(U$15="Actual",ISBLANK($E$8)),SUMIFS('[1]NS Vendor Details'!$D:$D,'[1]NS Vendor Details'!$H:$H,'G&amp;A Vendor x GL Analysis'!U$20,'[1]NS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Analysis'!U$20,'[1]NS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Analysis'!$E157),IF(U$15="Actual",SUMIFS('[1]NS Vendor Details'!$D:$D,'[1]NS Vendor Details'!$H:$H,'G&amp;A Vendor x GL Analysis'!U$20,'[1]NS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Analysis'!U$20,'[1]NS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4984.91</v>
      </c>
      <c r="V157" s="17">
        <f>IF(AND(V$15="Actual",ISBLANK($E$8)),SUMIFS('[1]NS Vendor Details'!$D:$D,'[1]NS Vendor Details'!$H:$H,'G&amp;A Vendor x GL Analysis'!V$20,'[1]NS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Analysis'!V$20,'[1]NS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Analysis'!$E157),IF(V$15="Actual",SUMIFS('[1]NS Vendor Details'!$D:$D,'[1]NS Vendor Details'!$H:$H,'G&amp;A Vendor x GL Analysis'!V$20,'[1]NS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Analysis'!V$20,'[1]NS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W157" s="17">
        <f>IF(AND(W$15="Actual",ISBLANK($E$8)),SUMIFS('[1]NS Vendor Details'!$D:$D,'[1]NS Vendor Details'!$H:$H,'G&amp;A Vendor x GL Analysis'!W$20,'[1]NS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Analysis'!W$20,'[1]NS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Analysis'!$E157),IF(W$15="Actual",SUMIFS('[1]NS Vendor Details'!$D:$D,'[1]NS Vendor Details'!$H:$H,'G&amp;A Vendor x GL Analysis'!W$20,'[1]NS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Analysis'!W$20,'[1]NS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X157" s="17">
        <f>IF(AND(X$15="Actual",ISBLANK($E$8)),SUMIFS('[1]NS Vendor Details'!$D:$D,'[1]NS Vendor Details'!$H:$H,'G&amp;A Vendor x GL Analysis'!X$20,'[1]NS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Analysis'!X$20,'[1]NS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Analysis'!$E157),IF(X$15="Actual",SUMIFS('[1]NS Vendor Details'!$D:$D,'[1]NS Vendor Details'!$H:$H,'G&amp;A Vendor x GL Analysis'!X$20,'[1]NS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Analysis'!X$20,'[1]NS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Y157" s="17">
        <f>IF(AND(Y$15="Actual",ISBLANK($E$8)),SUMIFS('[1]NS Vendor Details'!$D:$D,'[1]NS Vendor Details'!$H:$H,'G&amp;A Vendor x GL Analysis'!Y$20,'[1]NS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Analysis'!Y$20,'[1]NS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Analysis'!$E157),IF(Y$15="Actual",SUMIFS('[1]NS Vendor Details'!$D:$D,'[1]NS Vendor Details'!$H:$H,'G&amp;A Vendor x GL Analysis'!Y$20,'[1]NS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Analysis'!Y$20,'[1]NS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Z157" s="17">
        <f>IF(AND(Z$15="Actual",ISBLANK($E$8)),SUMIFS('[1]NS Vendor Details'!$D:$D,'[1]NS Vendor Details'!$H:$H,'G&amp;A Vendor x GL Analysis'!Z$20,'[1]NS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Analysis'!Z$20,'[1]NS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Analysis'!$E157),IF(Z$15="Actual",SUMIFS('[1]NS Vendor Details'!$D:$D,'[1]NS Vendor Details'!$H:$H,'G&amp;A Vendor x GL Analysis'!Z$20,'[1]NS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Analysis'!Z$20,'[1]NS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AA157" s="17">
        <f>IF(AND(AA$15="Actual",ISBLANK($E$8)),SUMIFS('[1]NS Vendor Details'!$D:$D,'[1]NS Vendor Details'!$H:$H,'G&amp;A Vendor x GL Analysis'!AA$20,'[1]NS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Analysis'!AA$20,'[1]NS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Analysis'!$E157),IF(AA$15="Actual",SUMIFS('[1]NS Vendor Details'!$D:$D,'[1]NS Vendor Details'!$H:$H,'G&amp;A Vendor x GL Analysis'!AA$20,'[1]NS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Analysis'!AA$20,'[1]NS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AB157" s="17">
        <f>IF(AND(AB$15="Actual",ISBLANK($E$8)),SUMIFS('[1]NS Vendor Details'!$D:$D,'[1]NS Vendor Details'!$H:$H,'G&amp;A Vendor x GL Analysis'!AB$20,'[1]NS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Analysis'!AB$20,'[1]NS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Analysis'!$E157),IF(AB$15="Actual",SUMIFS('[1]NS Vendor Details'!$D:$D,'[1]NS Vendor Details'!$H:$H,'G&amp;A Vendor x GL Analysis'!AB$20,'[1]NS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Analysis'!AB$20,'[1]NS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AC157" s="18">
        <f>IF(AND(AC$15="Actual",ISBLANK($E$8)),SUMIFS('[1]NS Vendor Details'!$D:$D,'[1]NS Vendor Details'!$H:$H,'G&amp;A Vendor x GL Analysis'!AC$20,'[1]NS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Analysis'!AC$20,'[1]NS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Analysis'!$E157),IF(AC$15="Actual",SUMIFS('[1]NS Vendor Details'!$D:$D,'[1]NS Vendor Details'!$H:$H,'G&amp;A Vendor x GL Analysis'!AC$20,'[1]NS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Analysis'!AC$20,'[1]NS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AD157" s="18">
        <f>IF(AND(AD$15="Actual",ISBLANK($E$8)),SUMIFS('[1]NS Vendor Details'!$D:$D,'[1]NS Vendor Details'!$H:$H,'G&amp;A Vendor x GL Analysis'!AD$20,'[1]NS Vendor Details'!$L:$L,'G&amp;A Vendor x GL Analysis'!$D157,'[1]NS Vendor Details'!$O:$O,'G&amp;A Vendor x GL Analysis'!$F157,'[1]NS Vendor Details'!$N:$N,'G&amp;A Vendor x GL Analysis'!$C157,'[1]NS Vendor Details'!$I:$I,'G&amp;A Vendor x GL Analysis'!$E157)+SUMIFS('[1]NS Vendor Details'!$D:$D,'[1]NS Vendor Details'!$H:$H,'G&amp;A Vendor x GL Analysis'!AD$20,'[1]NS Vendor Details'!$L:$L,'G&amp;A Vendor x GL Analysis'!$D157,'[1]NS Vendor Details'!$O:$O,'G&amp;A Vendor x GL Analysis'!$F157,'[1]NS Vendor Details'!$N:$N,"Direct Costs",'[1]NS Vendor Details'!$J:$J,0,'[1]NS Vendor Details'!$I:$I,'G&amp;A Vendor x GL Analysis'!$E157),IF(AD$15="Actual",SUMIFS('[1]NS Vendor Details'!$D:$D,'[1]NS Vendor Details'!$H:$H,'G&amp;A Vendor x GL Analysis'!AD$20,'[1]NS Vendor Details'!$L:$L,'G&amp;A Vendor x GL Analysis'!$D157,'[1]NS Vendor Details'!$O:$O,'G&amp;A Vendor x GL Analysis'!$F157,'[1]NS Vendor Details'!$N:$N,'G&amp;A Vendor x GL Analysis'!$C157,'[1]NS Vendor Details'!$K:$K,'G&amp;A Vendor x GL Analysis'!$E$8,'[1]NS Vendor Details'!$I:$I,'G&amp;A Vendor x GL Analysis'!$E157)+SUMIFS('[1]NS Vendor Details'!$D:$D,'[1]NS Vendor Details'!$H:$H,'G&amp;A Vendor x GL Analysis'!AD$20,'[1]NS Vendor Details'!$L:$L,'G&amp;A Vendor x GL Analysis'!$D157,'[1]NS Vendor Details'!$O:$O,'G&amp;A Vendor x GL Analysis'!$F157,'[1]NS Vendor Details'!$N:$N,"Direct Costs",'[1]NS Vendor Details'!$J:$J,0,'[1]NS Vendor Details'!$K:$K,'G&amp;A Vendor x GL Analysis'!$E$8,'[1]NS Vendor Details'!$I:$I,'G&amp;A Vendor x GL Analysis'!$E157),0))</f>
        <v>0</v>
      </c>
      <c r="AF157" s="19">
        <f t="shared" si="23"/>
        <v>4984.91</v>
      </c>
    </row>
    <row r="158" spans="1:32" outlineLevel="1">
      <c r="A158" s="8" t="str">
        <f t="shared" si="22"/>
        <v>Professional Service6451 - Service Processing Fee</v>
      </c>
      <c r="C158" s="8" t="s">
        <v>11</v>
      </c>
      <c r="D158" s="8" t="str">
        <f t="shared" si="24"/>
        <v>Professional Service</v>
      </c>
      <c r="E158" s="2" t="s">
        <v>148</v>
      </c>
      <c r="F158" s="2" t="s">
        <v>16</v>
      </c>
      <c r="G158" s="16">
        <f>IF(AND(G$15="Actual",ISBLANK($E$8)),SUMIFS('[1]NS Vendor Details'!$D:$D,'[1]NS Vendor Details'!$H:$H,'G&amp;A Vendor x GL Analysis'!G$20,'[1]NS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Analysis'!G$20,'[1]NS Vendor Details'!$L:$L,'G&amp;A Vendor x GL Analysis'!$D158,'[1]NS Vendor Details'!$O:$O,'G&amp;A Vendor x GL Analysis'!$F158,'[1]NS Vendor Details'!$N:$N,"Direct Costs",'[1]NS Vendor Details'!$J:$J,0),IF(G$15="Actual",SUMIFS('[1]NS Vendor Details'!$D:$D,'[1]NS Vendor Details'!$H:$H,'G&amp;A Vendor x GL Analysis'!G$20,'[1]NS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Analysis'!G$20,'[1]NS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20387.23</v>
      </c>
      <c r="H158" s="17">
        <f>IF(AND(H$15="Actual",ISBLANK($E$8)),SUMIFS('[1]NS Vendor Details'!$D:$D,'[1]NS Vendor Details'!$H:$H,'G&amp;A Vendor x GL Analysis'!H$20,'[1]NS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Analysis'!H$20,'[1]NS Vendor Details'!$L:$L,'G&amp;A Vendor x GL Analysis'!$D158,'[1]NS Vendor Details'!$O:$O,'G&amp;A Vendor x GL Analysis'!$F158,'[1]NS Vendor Details'!$N:$N,"Direct Costs",'[1]NS Vendor Details'!$J:$J,0),IF(H$15="Actual",SUMIFS('[1]NS Vendor Details'!$D:$D,'[1]NS Vendor Details'!$H:$H,'G&amp;A Vendor x GL Analysis'!H$20,'[1]NS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Analysis'!H$20,'[1]NS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2882.1599999999994</v>
      </c>
      <c r="I158" s="17">
        <f>IF(AND(I$15="Actual",ISBLANK($E$8)),SUMIFS('[1]NS Vendor Details'!$D:$D,'[1]NS Vendor Details'!$H:$H,'G&amp;A Vendor x GL Analysis'!I$20,'[1]NS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Analysis'!I$20,'[1]NS Vendor Details'!$L:$L,'G&amp;A Vendor x GL Analysis'!$D158,'[1]NS Vendor Details'!$O:$O,'G&amp;A Vendor x GL Analysis'!$F158,'[1]NS Vendor Details'!$N:$N,"Direct Costs",'[1]NS Vendor Details'!$J:$J,0),IF(I$15="Actual",SUMIFS('[1]NS Vendor Details'!$D:$D,'[1]NS Vendor Details'!$H:$H,'G&amp;A Vendor x GL Analysis'!I$20,'[1]NS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Analysis'!I$20,'[1]NS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2608.1800000000007</v>
      </c>
      <c r="J158" s="17">
        <f>IF(AND(J$15="Actual",ISBLANK($E$8)),SUMIFS('[1]NS Vendor Details'!$D:$D,'[1]NS Vendor Details'!$H:$H,'G&amp;A Vendor x GL Analysis'!J$20,'[1]NS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Analysis'!J$20,'[1]NS Vendor Details'!$L:$L,'G&amp;A Vendor x GL Analysis'!$D158,'[1]NS Vendor Details'!$O:$O,'G&amp;A Vendor x GL Analysis'!$F158,'[1]NS Vendor Details'!$N:$N,"Direct Costs",'[1]NS Vendor Details'!$J:$J,0),IF(J$15="Actual",SUMIFS('[1]NS Vendor Details'!$D:$D,'[1]NS Vendor Details'!$H:$H,'G&amp;A Vendor x GL Analysis'!J$20,'[1]NS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Analysis'!J$20,'[1]NS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17994.830000000002</v>
      </c>
      <c r="K158" s="17">
        <f>IF(AND(K$15="Actual",ISBLANK($E$8)),SUMIFS('[1]NS Vendor Details'!$D:$D,'[1]NS Vendor Details'!$H:$H,'G&amp;A Vendor x GL Analysis'!K$20,'[1]NS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Analysis'!K$20,'[1]NS Vendor Details'!$L:$L,'G&amp;A Vendor x GL Analysis'!$D158,'[1]NS Vendor Details'!$O:$O,'G&amp;A Vendor x GL Analysis'!$F158,'[1]NS Vendor Details'!$N:$N,"Direct Costs",'[1]NS Vendor Details'!$J:$J,0),IF(K$15="Actual",SUMIFS('[1]NS Vendor Details'!$D:$D,'[1]NS Vendor Details'!$H:$H,'G&amp;A Vendor x GL Analysis'!K$20,'[1]NS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Analysis'!K$20,'[1]NS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7253.27</v>
      </c>
      <c r="L158" s="17">
        <f>IF(AND(L$15="Actual",ISBLANK($E$8)),SUMIFS('[1]NS Vendor Details'!$D:$D,'[1]NS Vendor Details'!$H:$H,'G&amp;A Vendor x GL Analysis'!L$20,'[1]NS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Analysis'!L$20,'[1]NS Vendor Details'!$L:$L,'G&amp;A Vendor x GL Analysis'!$D158,'[1]NS Vendor Details'!$O:$O,'G&amp;A Vendor x GL Analysis'!$F158,'[1]NS Vendor Details'!$N:$N,"Direct Costs",'[1]NS Vendor Details'!$J:$J,0),IF(L$15="Actual",SUMIFS('[1]NS Vendor Details'!$D:$D,'[1]NS Vendor Details'!$H:$H,'G&amp;A Vendor x GL Analysis'!L$20,'[1]NS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Analysis'!L$20,'[1]NS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9261.7000000000007</v>
      </c>
      <c r="M158" s="17">
        <f>IF(AND(M$15="Actual",ISBLANK($E$8)),SUMIFS('[1]NS Vendor Details'!$D:$D,'[1]NS Vendor Details'!$H:$H,'G&amp;A Vendor x GL Analysis'!M$20,'[1]NS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Analysis'!M$20,'[1]NS Vendor Details'!$L:$L,'G&amp;A Vendor x GL Analysis'!$D158,'[1]NS Vendor Details'!$O:$O,'G&amp;A Vendor x GL Analysis'!$F158,'[1]NS Vendor Details'!$N:$N,"Direct Costs",'[1]NS Vendor Details'!$J:$J,0),IF(M$15="Actual",SUMIFS('[1]NS Vendor Details'!$D:$D,'[1]NS Vendor Details'!$H:$H,'G&amp;A Vendor x GL Analysis'!M$20,'[1]NS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Analysis'!M$20,'[1]NS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1403.4799999999998</v>
      </c>
      <c r="N158" s="17">
        <f>IF(AND(N$15="Actual",ISBLANK($E$8)),SUMIFS('[1]NS Vendor Details'!$D:$D,'[1]NS Vendor Details'!$H:$H,'G&amp;A Vendor x GL Analysis'!N$20,'[1]NS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Analysis'!N$20,'[1]NS Vendor Details'!$L:$L,'G&amp;A Vendor x GL Analysis'!$D158,'[1]NS Vendor Details'!$O:$O,'G&amp;A Vendor x GL Analysis'!$F158,'[1]NS Vendor Details'!$N:$N,"Direct Costs",'[1]NS Vendor Details'!$J:$J,0),IF(N$15="Actual",SUMIFS('[1]NS Vendor Details'!$D:$D,'[1]NS Vendor Details'!$H:$H,'G&amp;A Vendor x GL Analysis'!N$20,'[1]NS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Analysis'!N$20,'[1]NS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1481.0099999999998</v>
      </c>
      <c r="O158" s="17">
        <f>IF(AND(O$15="Actual",ISBLANK($E$8)),SUMIFS('[1]NS Vendor Details'!$D:$D,'[1]NS Vendor Details'!$H:$H,'G&amp;A Vendor x GL Analysis'!O$20,'[1]NS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Analysis'!O$20,'[1]NS Vendor Details'!$L:$L,'G&amp;A Vendor x GL Analysis'!$D158,'[1]NS Vendor Details'!$O:$O,'G&amp;A Vendor x GL Analysis'!$F158,'[1]NS Vendor Details'!$N:$N,"Direct Costs",'[1]NS Vendor Details'!$J:$J,0),IF(O$15="Actual",SUMIFS('[1]NS Vendor Details'!$D:$D,'[1]NS Vendor Details'!$H:$H,'G&amp;A Vendor x GL Analysis'!O$20,'[1]NS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Analysis'!O$20,'[1]NS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-1780.9000000000005</v>
      </c>
      <c r="P158" s="17">
        <f>IF(AND(P$15="Actual",ISBLANK($E$8)),SUMIFS('[1]NS Vendor Details'!$D:$D,'[1]NS Vendor Details'!$H:$H,'G&amp;A Vendor x GL Analysis'!P$20,'[1]NS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Analysis'!P$20,'[1]NS Vendor Details'!$L:$L,'G&amp;A Vendor x GL Analysis'!$D158,'[1]NS Vendor Details'!$O:$O,'G&amp;A Vendor x GL Analysis'!$F158,'[1]NS Vendor Details'!$N:$N,"Direct Costs",'[1]NS Vendor Details'!$J:$J,0),IF(P$15="Actual",SUMIFS('[1]NS Vendor Details'!$D:$D,'[1]NS Vendor Details'!$H:$H,'G&amp;A Vendor x GL Analysis'!P$20,'[1]NS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Analysis'!P$20,'[1]NS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1662.3999999999999</v>
      </c>
      <c r="Q158" s="17">
        <f>IF(AND(Q$15="Actual",ISBLANK($E$8)),SUMIFS('[1]NS Vendor Details'!$D:$D,'[1]NS Vendor Details'!$H:$H,'G&amp;A Vendor x GL Analysis'!Q$20,'[1]NS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Analysis'!Q$20,'[1]NS Vendor Details'!$L:$L,'G&amp;A Vendor x GL Analysis'!$D158,'[1]NS Vendor Details'!$O:$O,'G&amp;A Vendor x GL Analysis'!$F158,'[1]NS Vendor Details'!$N:$N,"Direct Costs",'[1]NS Vendor Details'!$J:$J,0),IF(Q$15="Actual",SUMIFS('[1]NS Vendor Details'!$D:$D,'[1]NS Vendor Details'!$H:$H,'G&amp;A Vendor x GL Analysis'!Q$20,'[1]NS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Analysis'!Q$20,'[1]NS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-9958.9199999999983</v>
      </c>
      <c r="R158" s="18">
        <f>IF(AND(R$15="Actual",ISBLANK($E$8)),SUMIFS('[1]NS Vendor Details'!$D:$D,'[1]NS Vendor Details'!$H:$H,'G&amp;A Vendor x GL Analysis'!R$20,'[1]NS Vendor Details'!$L:$L,'G&amp;A Vendor x GL Analysis'!$D158,'[1]NS Vendor Details'!$O:$O,'G&amp;A Vendor x GL Analysis'!$F158,'[1]NS Vendor Details'!$N:$N,'G&amp;A Vendor x GL Analysis'!$C158)+SUMIFS('[1]NS Vendor Details'!$D:$D,'[1]NS Vendor Details'!$H:$H,'G&amp;A Vendor x GL Analysis'!R$20,'[1]NS Vendor Details'!$L:$L,'G&amp;A Vendor x GL Analysis'!$D158,'[1]NS Vendor Details'!$O:$O,'G&amp;A Vendor x GL Analysis'!$F158,'[1]NS Vendor Details'!$N:$N,"Direct Costs",'[1]NS Vendor Details'!$J:$J,0),IF(R$15="Actual",SUMIFS('[1]NS Vendor Details'!$D:$D,'[1]NS Vendor Details'!$H:$H,'G&amp;A Vendor x GL Analysis'!R$20,'[1]NS Vendor Details'!$L:$L,'G&amp;A Vendor x GL Analysis'!$D158,'[1]NS Vendor Details'!$O:$O,'G&amp;A Vendor x GL Analysis'!$F158,'[1]NS Vendor Details'!$N:$N,'G&amp;A Vendor x GL Analysis'!$C158,'[1]NS Vendor Details'!$K:$K,'G&amp;A Vendor x GL Analysis'!$E$8)+SUMIFS('[1]NS Vendor Details'!$D:$D,'[1]NS Vendor Details'!$H:$H,'G&amp;A Vendor x GL Analysis'!R$20,'[1]NS Vendor Details'!$L:$L,'G&amp;A Vendor x GL Analysis'!$D158,'[1]NS Vendor Details'!$O:$O,'G&amp;A Vendor x GL Analysis'!$F158,'[1]NS Vendor Details'!$N:$N,"Direct Costs",'[1]NS Vendor Details'!$J:$J,0,'[1]NS Vendor Details'!$K:$K,'G&amp;A Vendor x GL Analysis'!$E$8),0))</f>
        <v>71148.460000000021</v>
      </c>
      <c r="S158" s="16">
        <f>IF(AND(S$15="Actual",ISBLANK($E$8)),SUMIFS('[1]NS Vendor Details'!$D:$D,'[1]NS Vendor Details'!$H:$H,'G&amp;A Vendor x GL Analysis'!S$20,'[1]NS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Analysis'!S$20,'[1]NS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Analysis'!$E158),IF(S$15="Actual",SUMIFS('[1]NS Vendor Details'!$D:$D,'[1]NS Vendor Details'!$H:$H,'G&amp;A Vendor x GL Analysis'!S$20,'[1]NS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Analysis'!S$20,'[1]NS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T158" s="17">
        <f>IF(AND(T$15="Actual",ISBLANK($E$8)),SUMIFS('[1]NS Vendor Details'!$D:$D,'[1]NS Vendor Details'!$H:$H,'G&amp;A Vendor x GL Analysis'!T$20,'[1]NS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Analysis'!T$20,'[1]NS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Analysis'!$E158),IF(T$15="Actual",SUMIFS('[1]NS Vendor Details'!$D:$D,'[1]NS Vendor Details'!$H:$H,'G&amp;A Vendor x GL Analysis'!T$20,'[1]NS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Analysis'!T$20,'[1]NS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U158" s="17">
        <f>IF(AND(U$15="Actual",ISBLANK($E$8)),SUMIFS('[1]NS Vendor Details'!$D:$D,'[1]NS Vendor Details'!$H:$H,'G&amp;A Vendor x GL Analysis'!U$20,'[1]NS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Analysis'!U$20,'[1]NS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Analysis'!$E158),IF(U$15="Actual",SUMIFS('[1]NS Vendor Details'!$D:$D,'[1]NS Vendor Details'!$H:$H,'G&amp;A Vendor x GL Analysis'!U$20,'[1]NS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Analysis'!U$20,'[1]NS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V158" s="17">
        <f>IF(AND(V$15="Actual",ISBLANK($E$8)),SUMIFS('[1]NS Vendor Details'!$D:$D,'[1]NS Vendor Details'!$H:$H,'G&amp;A Vendor x GL Analysis'!V$20,'[1]NS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Analysis'!V$20,'[1]NS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Analysis'!$E158),IF(V$15="Actual",SUMIFS('[1]NS Vendor Details'!$D:$D,'[1]NS Vendor Details'!$H:$H,'G&amp;A Vendor x GL Analysis'!V$20,'[1]NS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Analysis'!V$20,'[1]NS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W158" s="17">
        <f>IF(AND(W$15="Actual",ISBLANK($E$8)),SUMIFS('[1]NS Vendor Details'!$D:$D,'[1]NS Vendor Details'!$H:$H,'G&amp;A Vendor x GL Analysis'!W$20,'[1]NS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Analysis'!W$20,'[1]NS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Analysis'!$E158),IF(W$15="Actual",SUMIFS('[1]NS Vendor Details'!$D:$D,'[1]NS Vendor Details'!$H:$H,'G&amp;A Vendor x GL Analysis'!W$20,'[1]NS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Analysis'!W$20,'[1]NS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X158" s="17">
        <f>IF(AND(X$15="Actual",ISBLANK($E$8)),SUMIFS('[1]NS Vendor Details'!$D:$D,'[1]NS Vendor Details'!$H:$H,'G&amp;A Vendor x GL Analysis'!X$20,'[1]NS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Analysis'!X$20,'[1]NS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Analysis'!$E158),IF(X$15="Actual",SUMIFS('[1]NS Vendor Details'!$D:$D,'[1]NS Vendor Details'!$H:$H,'G&amp;A Vendor x GL Analysis'!X$20,'[1]NS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Analysis'!X$20,'[1]NS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Y158" s="17">
        <f>IF(AND(Y$15="Actual",ISBLANK($E$8)),SUMIFS('[1]NS Vendor Details'!$D:$D,'[1]NS Vendor Details'!$H:$H,'G&amp;A Vendor x GL Analysis'!Y$20,'[1]NS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Analysis'!Y$20,'[1]NS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Analysis'!$E158),IF(Y$15="Actual",SUMIFS('[1]NS Vendor Details'!$D:$D,'[1]NS Vendor Details'!$H:$H,'G&amp;A Vendor x GL Analysis'!Y$20,'[1]NS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Analysis'!Y$20,'[1]NS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Z158" s="17">
        <f>IF(AND(Z$15="Actual",ISBLANK($E$8)),SUMIFS('[1]NS Vendor Details'!$D:$D,'[1]NS Vendor Details'!$H:$H,'G&amp;A Vendor x GL Analysis'!Z$20,'[1]NS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Analysis'!Z$20,'[1]NS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Analysis'!$E158),IF(Z$15="Actual",SUMIFS('[1]NS Vendor Details'!$D:$D,'[1]NS Vendor Details'!$H:$H,'G&amp;A Vendor x GL Analysis'!Z$20,'[1]NS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Analysis'!Z$20,'[1]NS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AA158" s="17">
        <f>IF(AND(AA$15="Actual",ISBLANK($E$8)),SUMIFS('[1]NS Vendor Details'!$D:$D,'[1]NS Vendor Details'!$H:$H,'G&amp;A Vendor x GL Analysis'!AA$20,'[1]NS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Analysis'!AA$20,'[1]NS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Analysis'!$E158),IF(AA$15="Actual",SUMIFS('[1]NS Vendor Details'!$D:$D,'[1]NS Vendor Details'!$H:$H,'G&amp;A Vendor x GL Analysis'!AA$20,'[1]NS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Analysis'!AA$20,'[1]NS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AB158" s="17">
        <f>IF(AND(AB$15="Actual",ISBLANK($E$8)),SUMIFS('[1]NS Vendor Details'!$D:$D,'[1]NS Vendor Details'!$H:$H,'G&amp;A Vendor x GL Analysis'!AB$20,'[1]NS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Analysis'!AB$20,'[1]NS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Analysis'!$E158),IF(AB$15="Actual",SUMIFS('[1]NS Vendor Details'!$D:$D,'[1]NS Vendor Details'!$H:$H,'G&amp;A Vendor x GL Analysis'!AB$20,'[1]NS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Analysis'!AB$20,'[1]NS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AC158" s="18">
        <f>IF(AND(AC$15="Actual",ISBLANK($E$8)),SUMIFS('[1]NS Vendor Details'!$D:$D,'[1]NS Vendor Details'!$H:$H,'G&amp;A Vendor x GL Analysis'!AC$20,'[1]NS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Analysis'!AC$20,'[1]NS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Analysis'!$E158),IF(AC$15="Actual",SUMIFS('[1]NS Vendor Details'!$D:$D,'[1]NS Vendor Details'!$H:$H,'G&amp;A Vendor x GL Analysis'!AC$20,'[1]NS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Analysis'!AC$20,'[1]NS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AD158" s="18">
        <f>IF(AND(AD$15="Actual",ISBLANK($E$8)),SUMIFS('[1]NS Vendor Details'!$D:$D,'[1]NS Vendor Details'!$H:$H,'G&amp;A Vendor x GL Analysis'!AD$20,'[1]NS Vendor Details'!$L:$L,'G&amp;A Vendor x GL Analysis'!$D158,'[1]NS Vendor Details'!$O:$O,'G&amp;A Vendor x GL Analysis'!$F158,'[1]NS Vendor Details'!$N:$N,'G&amp;A Vendor x GL Analysis'!$C158,'[1]NS Vendor Details'!$I:$I,'G&amp;A Vendor x GL Analysis'!$E158)+SUMIFS('[1]NS Vendor Details'!$D:$D,'[1]NS Vendor Details'!$H:$H,'G&amp;A Vendor x GL Analysis'!AD$20,'[1]NS Vendor Details'!$L:$L,'G&amp;A Vendor x GL Analysis'!$D158,'[1]NS Vendor Details'!$O:$O,'G&amp;A Vendor x GL Analysis'!$F158,'[1]NS Vendor Details'!$N:$N,"Direct Costs",'[1]NS Vendor Details'!$J:$J,0,'[1]NS Vendor Details'!$I:$I,'G&amp;A Vendor x GL Analysis'!$E158),IF(AD$15="Actual",SUMIFS('[1]NS Vendor Details'!$D:$D,'[1]NS Vendor Details'!$H:$H,'G&amp;A Vendor x GL Analysis'!AD$20,'[1]NS Vendor Details'!$L:$L,'G&amp;A Vendor x GL Analysis'!$D158,'[1]NS Vendor Details'!$O:$O,'G&amp;A Vendor x GL Analysis'!$F158,'[1]NS Vendor Details'!$N:$N,'G&amp;A Vendor x GL Analysis'!$C158,'[1]NS Vendor Details'!$K:$K,'G&amp;A Vendor x GL Analysis'!$E$8,'[1]NS Vendor Details'!$I:$I,'G&amp;A Vendor x GL Analysis'!$E158)+SUMIFS('[1]NS Vendor Details'!$D:$D,'[1]NS Vendor Details'!$H:$H,'G&amp;A Vendor x GL Analysis'!AD$20,'[1]NS Vendor Details'!$L:$L,'G&amp;A Vendor x GL Analysis'!$D158,'[1]NS Vendor Details'!$O:$O,'G&amp;A Vendor x GL Analysis'!$F158,'[1]NS Vendor Details'!$N:$N,"Direct Costs",'[1]NS Vendor Details'!$J:$J,0,'[1]NS Vendor Details'!$K:$K,'G&amp;A Vendor x GL Analysis'!$E$8,'[1]NS Vendor Details'!$I:$I,'G&amp;A Vendor x GL Analysis'!$E158),0))</f>
        <v>0</v>
      </c>
      <c r="AF158" s="19">
        <f t="shared" si="23"/>
        <v>0</v>
      </c>
    </row>
    <row r="159" spans="1:32" outlineLevel="1">
      <c r="A159" s="8" t="str">
        <f t="shared" si="22"/>
        <v>Professional Service6451 - Service Processing Fee</v>
      </c>
      <c r="C159" s="8" t="s">
        <v>11</v>
      </c>
      <c r="D159" s="8" t="str">
        <f t="shared" si="24"/>
        <v>Professional Service</v>
      </c>
      <c r="E159" s="2" t="s">
        <v>148</v>
      </c>
      <c r="F159" s="2" t="s">
        <v>149</v>
      </c>
      <c r="G159" s="16">
        <f>IF(AND(G$15="Actual",ISBLANK($E$8)),SUMIFS('[1]NS Vendor Details'!$D:$D,'[1]NS Vendor Details'!$H:$H,'G&amp;A Vendor x GL Analysis'!G$20,'[1]NS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Analysis'!G$20,'[1]NS Vendor Details'!$L:$L,'G&amp;A Vendor x GL Analysis'!$D159,'[1]NS Vendor Details'!$O:$O,'G&amp;A Vendor x GL Analysis'!$F159,'[1]NS Vendor Details'!$N:$N,"Direct Costs",'[1]NS Vendor Details'!$J:$J,0),IF(G$15="Actual",SUMIFS('[1]NS Vendor Details'!$D:$D,'[1]NS Vendor Details'!$H:$H,'G&amp;A Vendor x GL Analysis'!G$20,'[1]NS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Analysis'!G$20,'[1]NS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H159" s="17">
        <f>IF(AND(H$15="Actual",ISBLANK($E$8)),SUMIFS('[1]NS Vendor Details'!$D:$D,'[1]NS Vendor Details'!$H:$H,'G&amp;A Vendor x GL Analysis'!H$20,'[1]NS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Analysis'!H$20,'[1]NS Vendor Details'!$L:$L,'G&amp;A Vendor x GL Analysis'!$D159,'[1]NS Vendor Details'!$O:$O,'G&amp;A Vendor x GL Analysis'!$F159,'[1]NS Vendor Details'!$N:$N,"Direct Costs",'[1]NS Vendor Details'!$J:$J,0),IF(H$15="Actual",SUMIFS('[1]NS Vendor Details'!$D:$D,'[1]NS Vendor Details'!$H:$H,'G&amp;A Vendor x GL Analysis'!H$20,'[1]NS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Analysis'!H$20,'[1]NS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I159" s="17">
        <f>IF(AND(I$15="Actual",ISBLANK($E$8)),SUMIFS('[1]NS Vendor Details'!$D:$D,'[1]NS Vendor Details'!$H:$H,'G&amp;A Vendor x GL Analysis'!I$20,'[1]NS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Analysis'!I$20,'[1]NS Vendor Details'!$L:$L,'G&amp;A Vendor x GL Analysis'!$D159,'[1]NS Vendor Details'!$O:$O,'G&amp;A Vendor x GL Analysis'!$F159,'[1]NS Vendor Details'!$N:$N,"Direct Costs",'[1]NS Vendor Details'!$J:$J,0),IF(I$15="Actual",SUMIFS('[1]NS Vendor Details'!$D:$D,'[1]NS Vendor Details'!$H:$H,'G&amp;A Vendor x GL Analysis'!I$20,'[1]NS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Analysis'!I$20,'[1]NS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J159" s="17">
        <f>IF(AND(J$15="Actual",ISBLANK($E$8)),SUMIFS('[1]NS Vendor Details'!$D:$D,'[1]NS Vendor Details'!$H:$H,'G&amp;A Vendor x GL Analysis'!J$20,'[1]NS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Analysis'!J$20,'[1]NS Vendor Details'!$L:$L,'G&amp;A Vendor x GL Analysis'!$D159,'[1]NS Vendor Details'!$O:$O,'G&amp;A Vendor x GL Analysis'!$F159,'[1]NS Vendor Details'!$N:$N,"Direct Costs",'[1]NS Vendor Details'!$J:$J,0),IF(J$15="Actual",SUMIFS('[1]NS Vendor Details'!$D:$D,'[1]NS Vendor Details'!$H:$H,'G&amp;A Vendor x GL Analysis'!J$20,'[1]NS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Analysis'!J$20,'[1]NS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K159" s="17">
        <f>IF(AND(K$15="Actual",ISBLANK($E$8)),SUMIFS('[1]NS Vendor Details'!$D:$D,'[1]NS Vendor Details'!$H:$H,'G&amp;A Vendor x GL Analysis'!K$20,'[1]NS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Analysis'!K$20,'[1]NS Vendor Details'!$L:$L,'G&amp;A Vendor x GL Analysis'!$D159,'[1]NS Vendor Details'!$O:$O,'G&amp;A Vendor x GL Analysis'!$F159,'[1]NS Vendor Details'!$N:$N,"Direct Costs",'[1]NS Vendor Details'!$J:$J,0),IF(K$15="Actual",SUMIFS('[1]NS Vendor Details'!$D:$D,'[1]NS Vendor Details'!$H:$H,'G&amp;A Vendor x GL Analysis'!K$20,'[1]NS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Analysis'!K$20,'[1]NS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L159" s="17">
        <f>IF(AND(L$15="Actual",ISBLANK($E$8)),SUMIFS('[1]NS Vendor Details'!$D:$D,'[1]NS Vendor Details'!$H:$H,'G&amp;A Vendor x GL Analysis'!L$20,'[1]NS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Analysis'!L$20,'[1]NS Vendor Details'!$L:$L,'G&amp;A Vendor x GL Analysis'!$D159,'[1]NS Vendor Details'!$O:$O,'G&amp;A Vendor x GL Analysis'!$F159,'[1]NS Vendor Details'!$N:$N,"Direct Costs",'[1]NS Vendor Details'!$J:$J,0),IF(L$15="Actual",SUMIFS('[1]NS Vendor Details'!$D:$D,'[1]NS Vendor Details'!$H:$H,'G&amp;A Vendor x GL Analysis'!L$20,'[1]NS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Analysis'!L$20,'[1]NS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M159" s="17">
        <f>IF(AND(M$15="Actual",ISBLANK($E$8)),SUMIFS('[1]NS Vendor Details'!$D:$D,'[1]NS Vendor Details'!$H:$H,'G&amp;A Vendor x GL Analysis'!M$20,'[1]NS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Analysis'!M$20,'[1]NS Vendor Details'!$L:$L,'G&amp;A Vendor x GL Analysis'!$D159,'[1]NS Vendor Details'!$O:$O,'G&amp;A Vendor x GL Analysis'!$F159,'[1]NS Vendor Details'!$N:$N,"Direct Costs",'[1]NS Vendor Details'!$J:$J,0),IF(M$15="Actual",SUMIFS('[1]NS Vendor Details'!$D:$D,'[1]NS Vendor Details'!$H:$H,'G&amp;A Vendor x GL Analysis'!M$20,'[1]NS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Analysis'!M$20,'[1]NS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N159" s="17">
        <f>IF(AND(N$15="Actual",ISBLANK($E$8)),SUMIFS('[1]NS Vendor Details'!$D:$D,'[1]NS Vendor Details'!$H:$H,'G&amp;A Vendor x GL Analysis'!N$20,'[1]NS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Analysis'!N$20,'[1]NS Vendor Details'!$L:$L,'G&amp;A Vendor x GL Analysis'!$D159,'[1]NS Vendor Details'!$O:$O,'G&amp;A Vendor x GL Analysis'!$F159,'[1]NS Vendor Details'!$N:$N,"Direct Costs",'[1]NS Vendor Details'!$J:$J,0),IF(N$15="Actual",SUMIFS('[1]NS Vendor Details'!$D:$D,'[1]NS Vendor Details'!$H:$H,'G&amp;A Vendor x GL Analysis'!N$20,'[1]NS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Analysis'!N$20,'[1]NS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O159" s="17">
        <f>IF(AND(O$15="Actual",ISBLANK($E$8)),SUMIFS('[1]NS Vendor Details'!$D:$D,'[1]NS Vendor Details'!$H:$H,'G&amp;A Vendor x GL Analysis'!O$20,'[1]NS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Analysis'!O$20,'[1]NS Vendor Details'!$L:$L,'G&amp;A Vendor x GL Analysis'!$D159,'[1]NS Vendor Details'!$O:$O,'G&amp;A Vendor x GL Analysis'!$F159,'[1]NS Vendor Details'!$N:$N,"Direct Costs",'[1]NS Vendor Details'!$J:$J,0),IF(O$15="Actual",SUMIFS('[1]NS Vendor Details'!$D:$D,'[1]NS Vendor Details'!$H:$H,'G&amp;A Vendor x GL Analysis'!O$20,'[1]NS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Analysis'!O$20,'[1]NS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P159" s="17">
        <f>IF(AND(P$15="Actual",ISBLANK($E$8)),SUMIFS('[1]NS Vendor Details'!$D:$D,'[1]NS Vendor Details'!$H:$H,'G&amp;A Vendor x GL Analysis'!P$20,'[1]NS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Analysis'!P$20,'[1]NS Vendor Details'!$L:$L,'G&amp;A Vendor x GL Analysis'!$D159,'[1]NS Vendor Details'!$O:$O,'G&amp;A Vendor x GL Analysis'!$F159,'[1]NS Vendor Details'!$N:$N,"Direct Costs",'[1]NS Vendor Details'!$J:$J,0),IF(P$15="Actual",SUMIFS('[1]NS Vendor Details'!$D:$D,'[1]NS Vendor Details'!$H:$H,'G&amp;A Vendor x GL Analysis'!P$20,'[1]NS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Analysis'!P$20,'[1]NS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Q159" s="17">
        <f>IF(AND(Q$15="Actual",ISBLANK($E$8)),SUMIFS('[1]NS Vendor Details'!$D:$D,'[1]NS Vendor Details'!$H:$H,'G&amp;A Vendor x GL Analysis'!Q$20,'[1]NS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Analysis'!Q$20,'[1]NS Vendor Details'!$L:$L,'G&amp;A Vendor x GL Analysis'!$D159,'[1]NS Vendor Details'!$O:$O,'G&amp;A Vendor x GL Analysis'!$F159,'[1]NS Vendor Details'!$N:$N,"Direct Costs",'[1]NS Vendor Details'!$J:$J,0),IF(Q$15="Actual",SUMIFS('[1]NS Vendor Details'!$D:$D,'[1]NS Vendor Details'!$H:$H,'G&amp;A Vendor x GL Analysis'!Q$20,'[1]NS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Analysis'!Q$20,'[1]NS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R159" s="18">
        <f>IF(AND(R$15="Actual",ISBLANK($E$8)),SUMIFS('[1]NS Vendor Details'!$D:$D,'[1]NS Vendor Details'!$H:$H,'G&amp;A Vendor x GL Analysis'!R$20,'[1]NS Vendor Details'!$L:$L,'G&amp;A Vendor x GL Analysis'!$D159,'[1]NS Vendor Details'!$O:$O,'G&amp;A Vendor x GL Analysis'!$F159,'[1]NS Vendor Details'!$N:$N,'G&amp;A Vendor x GL Analysis'!$C159)+SUMIFS('[1]NS Vendor Details'!$D:$D,'[1]NS Vendor Details'!$H:$H,'G&amp;A Vendor x GL Analysis'!R$20,'[1]NS Vendor Details'!$L:$L,'G&amp;A Vendor x GL Analysis'!$D159,'[1]NS Vendor Details'!$O:$O,'G&amp;A Vendor x GL Analysis'!$F159,'[1]NS Vendor Details'!$N:$N,"Direct Costs",'[1]NS Vendor Details'!$J:$J,0),IF(R$15="Actual",SUMIFS('[1]NS Vendor Details'!$D:$D,'[1]NS Vendor Details'!$H:$H,'G&amp;A Vendor x GL Analysis'!R$20,'[1]NS Vendor Details'!$L:$L,'G&amp;A Vendor x GL Analysis'!$D159,'[1]NS Vendor Details'!$O:$O,'G&amp;A Vendor x GL Analysis'!$F159,'[1]NS Vendor Details'!$N:$N,'G&amp;A Vendor x GL Analysis'!$C159,'[1]NS Vendor Details'!$K:$K,'G&amp;A Vendor x GL Analysis'!$E$8)+SUMIFS('[1]NS Vendor Details'!$D:$D,'[1]NS Vendor Details'!$H:$H,'G&amp;A Vendor x GL Analysis'!R$20,'[1]NS Vendor Details'!$L:$L,'G&amp;A Vendor x GL Analysis'!$D159,'[1]NS Vendor Details'!$O:$O,'G&amp;A Vendor x GL Analysis'!$F159,'[1]NS Vendor Details'!$N:$N,"Direct Costs",'[1]NS Vendor Details'!$J:$J,0,'[1]NS Vendor Details'!$K:$K,'G&amp;A Vendor x GL Analysis'!$E$8),0))</f>
        <v>0</v>
      </c>
      <c r="S159" s="16">
        <f>IF(AND(S$15="Actual",ISBLANK($E$8)),SUMIFS('[1]NS Vendor Details'!$D:$D,'[1]NS Vendor Details'!$H:$H,'G&amp;A Vendor x GL Analysis'!S$20,'[1]NS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Analysis'!S$20,'[1]NS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Analysis'!$E159),IF(S$15="Actual",SUMIFS('[1]NS Vendor Details'!$D:$D,'[1]NS Vendor Details'!$H:$H,'G&amp;A Vendor x GL Analysis'!S$20,'[1]NS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Analysis'!S$20,'[1]NS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T159" s="17">
        <f>IF(AND(T$15="Actual",ISBLANK($E$8)),SUMIFS('[1]NS Vendor Details'!$D:$D,'[1]NS Vendor Details'!$H:$H,'G&amp;A Vendor x GL Analysis'!T$20,'[1]NS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Analysis'!T$20,'[1]NS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Analysis'!$E159),IF(T$15="Actual",SUMIFS('[1]NS Vendor Details'!$D:$D,'[1]NS Vendor Details'!$H:$H,'G&amp;A Vendor x GL Analysis'!T$20,'[1]NS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Analysis'!T$20,'[1]NS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U159" s="17">
        <f>IF(AND(U$15="Actual",ISBLANK($E$8)),SUMIFS('[1]NS Vendor Details'!$D:$D,'[1]NS Vendor Details'!$H:$H,'G&amp;A Vendor x GL Analysis'!U$20,'[1]NS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Analysis'!U$20,'[1]NS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Analysis'!$E159),IF(U$15="Actual",SUMIFS('[1]NS Vendor Details'!$D:$D,'[1]NS Vendor Details'!$H:$H,'G&amp;A Vendor x GL Analysis'!U$20,'[1]NS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Analysis'!U$20,'[1]NS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V159" s="17">
        <f>IF(AND(V$15="Actual",ISBLANK($E$8)),SUMIFS('[1]NS Vendor Details'!$D:$D,'[1]NS Vendor Details'!$H:$H,'G&amp;A Vendor x GL Analysis'!V$20,'[1]NS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Analysis'!V$20,'[1]NS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Analysis'!$E159),IF(V$15="Actual",SUMIFS('[1]NS Vendor Details'!$D:$D,'[1]NS Vendor Details'!$H:$H,'G&amp;A Vendor x GL Analysis'!V$20,'[1]NS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Analysis'!V$20,'[1]NS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W159" s="17">
        <f>IF(AND(W$15="Actual",ISBLANK($E$8)),SUMIFS('[1]NS Vendor Details'!$D:$D,'[1]NS Vendor Details'!$H:$H,'G&amp;A Vendor x GL Analysis'!W$20,'[1]NS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Analysis'!W$20,'[1]NS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Analysis'!$E159),IF(W$15="Actual",SUMIFS('[1]NS Vendor Details'!$D:$D,'[1]NS Vendor Details'!$H:$H,'G&amp;A Vendor x GL Analysis'!W$20,'[1]NS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Analysis'!W$20,'[1]NS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X159" s="17">
        <f>IF(AND(X$15="Actual",ISBLANK($E$8)),SUMIFS('[1]NS Vendor Details'!$D:$D,'[1]NS Vendor Details'!$H:$H,'G&amp;A Vendor x GL Analysis'!X$20,'[1]NS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Analysis'!X$20,'[1]NS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Analysis'!$E159),IF(X$15="Actual",SUMIFS('[1]NS Vendor Details'!$D:$D,'[1]NS Vendor Details'!$H:$H,'G&amp;A Vendor x GL Analysis'!X$20,'[1]NS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Analysis'!X$20,'[1]NS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Y159" s="17">
        <f>IF(AND(Y$15="Actual",ISBLANK($E$8)),SUMIFS('[1]NS Vendor Details'!$D:$D,'[1]NS Vendor Details'!$H:$H,'G&amp;A Vendor x GL Analysis'!Y$20,'[1]NS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Analysis'!Y$20,'[1]NS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Analysis'!$E159),IF(Y$15="Actual",SUMIFS('[1]NS Vendor Details'!$D:$D,'[1]NS Vendor Details'!$H:$H,'G&amp;A Vendor x GL Analysis'!Y$20,'[1]NS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Analysis'!Y$20,'[1]NS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Z159" s="17">
        <f>IF(AND(Z$15="Actual",ISBLANK($E$8)),SUMIFS('[1]NS Vendor Details'!$D:$D,'[1]NS Vendor Details'!$H:$H,'G&amp;A Vendor x GL Analysis'!Z$20,'[1]NS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Analysis'!Z$20,'[1]NS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Analysis'!$E159),IF(Z$15="Actual",SUMIFS('[1]NS Vendor Details'!$D:$D,'[1]NS Vendor Details'!$H:$H,'G&amp;A Vendor x GL Analysis'!Z$20,'[1]NS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Analysis'!Z$20,'[1]NS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AA159" s="17">
        <f>IF(AND(AA$15="Actual",ISBLANK($E$8)),SUMIFS('[1]NS Vendor Details'!$D:$D,'[1]NS Vendor Details'!$H:$H,'G&amp;A Vendor x GL Analysis'!AA$20,'[1]NS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Analysis'!AA$20,'[1]NS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Analysis'!$E159),IF(AA$15="Actual",SUMIFS('[1]NS Vendor Details'!$D:$D,'[1]NS Vendor Details'!$H:$H,'G&amp;A Vendor x GL Analysis'!AA$20,'[1]NS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Analysis'!AA$20,'[1]NS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AB159" s="17">
        <f>IF(AND(AB$15="Actual",ISBLANK($E$8)),SUMIFS('[1]NS Vendor Details'!$D:$D,'[1]NS Vendor Details'!$H:$H,'G&amp;A Vendor x GL Analysis'!AB$20,'[1]NS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Analysis'!AB$20,'[1]NS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Analysis'!$E159),IF(AB$15="Actual",SUMIFS('[1]NS Vendor Details'!$D:$D,'[1]NS Vendor Details'!$H:$H,'G&amp;A Vendor x GL Analysis'!AB$20,'[1]NS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Analysis'!AB$20,'[1]NS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AC159" s="18">
        <f>IF(AND(AC$15="Actual",ISBLANK($E$8)),SUMIFS('[1]NS Vendor Details'!$D:$D,'[1]NS Vendor Details'!$H:$H,'G&amp;A Vendor x GL Analysis'!AC$20,'[1]NS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Analysis'!AC$20,'[1]NS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Analysis'!$E159),IF(AC$15="Actual",SUMIFS('[1]NS Vendor Details'!$D:$D,'[1]NS Vendor Details'!$H:$H,'G&amp;A Vendor x GL Analysis'!AC$20,'[1]NS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Analysis'!AC$20,'[1]NS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AD159" s="18">
        <f>IF(AND(AD$15="Actual",ISBLANK($E$8)),SUMIFS('[1]NS Vendor Details'!$D:$D,'[1]NS Vendor Details'!$H:$H,'G&amp;A Vendor x GL Analysis'!AD$20,'[1]NS Vendor Details'!$L:$L,'G&amp;A Vendor x GL Analysis'!$D159,'[1]NS Vendor Details'!$O:$O,'G&amp;A Vendor x GL Analysis'!$F159,'[1]NS Vendor Details'!$N:$N,'G&amp;A Vendor x GL Analysis'!$C159,'[1]NS Vendor Details'!$I:$I,'G&amp;A Vendor x GL Analysis'!$E159)+SUMIFS('[1]NS Vendor Details'!$D:$D,'[1]NS Vendor Details'!$H:$H,'G&amp;A Vendor x GL Analysis'!AD$20,'[1]NS Vendor Details'!$L:$L,'G&amp;A Vendor x GL Analysis'!$D159,'[1]NS Vendor Details'!$O:$O,'G&amp;A Vendor x GL Analysis'!$F159,'[1]NS Vendor Details'!$N:$N,"Direct Costs",'[1]NS Vendor Details'!$J:$J,0,'[1]NS Vendor Details'!$I:$I,'G&amp;A Vendor x GL Analysis'!$E159),IF(AD$15="Actual",SUMIFS('[1]NS Vendor Details'!$D:$D,'[1]NS Vendor Details'!$H:$H,'G&amp;A Vendor x GL Analysis'!AD$20,'[1]NS Vendor Details'!$L:$L,'G&amp;A Vendor x GL Analysis'!$D159,'[1]NS Vendor Details'!$O:$O,'G&amp;A Vendor x GL Analysis'!$F159,'[1]NS Vendor Details'!$N:$N,'G&amp;A Vendor x GL Analysis'!$C159,'[1]NS Vendor Details'!$K:$K,'G&amp;A Vendor x GL Analysis'!$E$8,'[1]NS Vendor Details'!$I:$I,'G&amp;A Vendor x GL Analysis'!$E159)+SUMIFS('[1]NS Vendor Details'!$D:$D,'[1]NS Vendor Details'!$H:$H,'G&amp;A Vendor x GL Analysis'!AD$20,'[1]NS Vendor Details'!$L:$L,'G&amp;A Vendor x GL Analysis'!$D159,'[1]NS Vendor Details'!$O:$O,'G&amp;A Vendor x GL Analysis'!$F159,'[1]NS Vendor Details'!$N:$N,"Direct Costs",'[1]NS Vendor Details'!$J:$J,0,'[1]NS Vendor Details'!$K:$K,'G&amp;A Vendor x GL Analysis'!$E$8,'[1]NS Vendor Details'!$I:$I,'G&amp;A Vendor x GL Analysis'!$E159),0))</f>
        <v>0</v>
      </c>
      <c r="AF159" s="19">
        <f t="shared" si="23"/>
        <v>0</v>
      </c>
    </row>
    <row r="160" spans="1:32" outlineLevel="1">
      <c r="A160" s="8" t="str">
        <f t="shared" si="22"/>
        <v>Professional Service6451 - Service Processing Fee</v>
      </c>
      <c r="C160" s="8" t="s">
        <v>11</v>
      </c>
      <c r="D160" s="8" t="str">
        <f t="shared" si="24"/>
        <v>Professional Service</v>
      </c>
      <c r="E160" s="2" t="s">
        <v>148</v>
      </c>
      <c r="F160" s="2" t="s">
        <v>150</v>
      </c>
      <c r="G160" s="16">
        <f>IF(AND(G$15="Actual",ISBLANK($E$8)),SUMIFS('[1]NS Vendor Details'!$D:$D,'[1]NS Vendor Details'!$H:$H,'G&amp;A Vendor x GL Analysis'!G$20,'[1]NS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Analysis'!G$20,'[1]NS Vendor Details'!$L:$L,'G&amp;A Vendor x GL Analysis'!$D160,'[1]NS Vendor Details'!$O:$O,'G&amp;A Vendor x GL Analysis'!$F160,'[1]NS Vendor Details'!$N:$N,"Direct Costs",'[1]NS Vendor Details'!$J:$J,0),IF(G$15="Actual",SUMIFS('[1]NS Vendor Details'!$D:$D,'[1]NS Vendor Details'!$H:$H,'G&amp;A Vendor x GL Analysis'!G$20,'[1]NS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Analysis'!G$20,'[1]NS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H160" s="17">
        <f>IF(AND(H$15="Actual",ISBLANK($E$8)),SUMIFS('[1]NS Vendor Details'!$D:$D,'[1]NS Vendor Details'!$H:$H,'G&amp;A Vendor x GL Analysis'!H$20,'[1]NS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Analysis'!H$20,'[1]NS Vendor Details'!$L:$L,'G&amp;A Vendor x GL Analysis'!$D160,'[1]NS Vendor Details'!$O:$O,'G&amp;A Vendor x GL Analysis'!$F160,'[1]NS Vendor Details'!$N:$N,"Direct Costs",'[1]NS Vendor Details'!$J:$J,0),IF(H$15="Actual",SUMIFS('[1]NS Vendor Details'!$D:$D,'[1]NS Vendor Details'!$H:$H,'G&amp;A Vendor x GL Analysis'!H$20,'[1]NS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Analysis'!H$20,'[1]NS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I160" s="17">
        <f>IF(AND(I$15="Actual",ISBLANK($E$8)),SUMIFS('[1]NS Vendor Details'!$D:$D,'[1]NS Vendor Details'!$H:$H,'G&amp;A Vendor x GL Analysis'!I$20,'[1]NS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Analysis'!I$20,'[1]NS Vendor Details'!$L:$L,'G&amp;A Vendor x GL Analysis'!$D160,'[1]NS Vendor Details'!$O:$O,'G&amp;A Vendor x GL Analysis'!$F160,'[1]NS Vendor Details'!$N:$N,"Direct Costs",'[1]NS Vendor Details'!$J:$J,0),IF(I$15="Actual",SUMIFS('[1]NS Vendor Details'!$D:$D,'[1]NS Vendor Details'!$H:$H,'G&amp;A Vendor x GL Analysis'!I$20,'[1]NS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Analysis'!I$20,'[1]NS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J160" s="17">
        <f>IF(AND(J$15="Actual",ISBLANK($E$8)),SUMIFS('[1]NS Vendor Details'!$D:$D,'[1]NS Vendor Details'!$H:$H,'G&amp;A Vendor x GL Analysis'!J$20,'[1]NS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Analysis'!J$20,'[1]NS Vendor Details'!$L:$L,'G&amp;A Vendor x GL Analysis'!$D160,'[1]NS Vendor Details'!$O:$O,'G&amp;A Vendor x GL Analysis'!$F160,'[1]NS Vendor Details'!$N:$N,"Direct Costs",'[1]NS Vendor Details'!$J:$J,0),IF(J$15="Actual",SUMIFS('[1]NS Vendor Details'!$D:$D,'[1]NS Vendor Details'!$H:$H,'G&amp;A Vendor x GL Analysis'!J$20,'[1]NS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Analysis'!J$20,'[1]NS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K160" s="17">
        <f>IF(AND(K$15="Actual",ISBLANK($E$8)),SUMIFS('[1]NS Vendor Details'!$D:$D,'[1]NS Vendor Details'!$H:$H,'G&amp;A Vendor x GL Analysis'!K$20,'[1]NS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Analysis'!K$20,'[1]NS Vendor Details'!$L:$L,'G&amp;A Vendor x GL Analysis'!$D160,'[1]NS Vendor Details'!$O:$O,'G&amp;A Vendor x GL Analysis'!$F160,'[1]NS Vendor Details'!$N:$N,"Direct Costs",'[1]NS Vendor Details'!$J:$J,0),IF(K$15="Actual",SUMIFS('[1]NS Vendor Details'!$D:$D,'[1]NS Vendor Details'!$H:$H,'G&amp;A Vendor x GL Analysis'!K$20,'[1]NS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Analysis'!K$20,'[1]NS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L160" s="17">
        <f>IF(AND(L$15="Actual",ISBLANK($E$8)),SUMIFS('[1]NS Vendor Details'!$D:$D,'[1]NS Vendor Details'!$H:$H,'G&amp;A Vendor x GL Analysis'!L$20,'[1]NS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Analysis'!L$20,'[1]NS Vendor Details'!$L:$L,'G&amp;A Vendor x GL Analysis'!$D160,'[1]NS Vendor Details'!$O:$O,'G&amp;A Vendor x GL Analysis'!$F160,'[1]NS Vendor Details'!$N:$N,"Direct Costs",'[1]NS Vendor Details'!$J:$J,0),IF(L$15="Actual",SUMIFS('[1]NS Vendor Details'!$D:$D,'[1]NS Vendor Details'!$H:$H,'G&amp;A Vendor x GL Analysis'!L$20,'[1]NS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Analysis'!L$20,'[1]NS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M160" s="17">
        <f>IF(AND(M$15="Actual",ISBLANK($E$8)),SUMIFS('[1]NS Vendor Details'!$D:$D,'[1]NS Vendor Details'!$H:$H,'G&amp;A Vendor x GL Analysis'!M$20,'[1]NS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Analysis'!M$20,'[1]NS Vendor Details'!$L:$L,'G&amp;A Vendor x GL Analysis'!$D160,'[1]NS Vendor Details'!$O:$O,'G&amp;A Vendor x GL Analysis'!$F160,'[1]NS Vendor Details'!$N:$N,"Direct Costs",'[1]NS Vendor Details'!$J:$J,0),IF(M$15="Actual",SUMIFS('[1]NS Vendor Details'!$D:$D,'[1]NS Vendor Details'!$H:$H,'G&amp;A Vendor x GL Analysis'!M$20,'[1]NS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Analysis'!M$20,'[1]NS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N160" s="17">
        <f>IF(AND(N$15="Actual",ISBLANK($E$8)),SUMIFS('[1]NS Vendor Details'!$D:$D,'[1]NS Vendor Details'!$H:$H,'G&amp;A Vendor x GL Analysis'!N$20,'[1]NS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Analysis'!N$20,'[1]NS Vendor Details'!$L:$L,'G&amp;A Vendor x GL Analysis'!$D160,'[1]NS Vendor Details'!$O:$O,'G&amp;A Vendor x GL Analysis'!$F160,'[1]NS Vendor Details'!$N:$N,"Direct Costs",'[1]NS Vendor Details'!$J:$J,0),IF(N$15="Actual",SUMIFS('[1]NS Vendor Details'!$D:$D,'[1]NS Vendor Details'!$H:$H,'G&amp;A Vendor x GL Analysis'!N$20,'[1]NS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Analysis'!N$20,'[1]NS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O160" s="17">
        <f>IF(AND(O$15="Actual",ISBLANK($E$8)),SUMIFS('[1]NS Vendor Details'!$D:$D,'[1]NS Vendor Details'!$H:$H,'G&amp;A Vendor x GL Analysis'!O$20,'[1]NS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Analysis'!O$20,'[1]NS Vendor Details'!$L:$L,'G&amp;A Vendor x GL Analysis'!$D160,'[1]NS Vendor Details'!$O:$O,'G&amp;A Vendor x GL Analysis'!$F160,'[1]NS Vendor Details'!$N:$N,"Direct Costs",'[1]NS Vendor Details'!$J:$J,0),IF(O$15="Actual",SUMIFS('[1]NS Vendor Details'!$D:$D,'[1]NS Vendor Details'!$H:$H,'G&amp;A Vendor x GL Analysis'!O$20,'[1]NS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Analysis'!O$20,'[1]NS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P160" s="17">
        <f>IF(AND(P$15="Actual",ISBLANK($E$8)),SUMIFS('[1]NS Vendor Details'!$D:$D,'[1]NS Vendor Details'!$H:$H,'G&amp;A Vendor x GL Analysis'!P$20,'[1]NS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Analysis'!P$20,'[1]NS Vendor Details'!$L:$L,'G&amp;A Vendor x GL Analysis'!$D160,'[1]NS Vendor Details'!$O:$O,'G&amp;A Vendor x GL Analysis'!$F160,'[1]NS Vendor Details'!$N:$N,"Direct Costs",'[1]NS Vendor Details'!$J:$J,0),IF(P$15="Actual",SUMIFS('[1]NS Vendor Details'!$D:$D,'[1]NS Vendor Details'!$H:$H,'G&amp;A Vendor x GL Analysis'!P$20,'[1]NS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Analysis'!P$20,'[1]NS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Q160" s="17">
        <f>IF(AND(Q$15="Actual",ISBLANK($E$8)),SUMIFS('[1]NS Vendor Details'!$D:$D,'[1]NS Vendor Details'!$H:$H,'G&amp;A Vendor x GL Analysis'!Q$20,'[1]NS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Analysis'!Q$20,'[1]NS Vendor Details'!$L:$L,'G&amp;A Vendor x GL Analysis'!$D160,'[1]NS Vendor Details'!$O:$O,'G&amp;A Vendor x GL Analysis'!$F160,'[1]NS Vendor Details'!$N:$N,"Direct Costs",'[1]NS Vendor Details'!$J:$J,0),IF(Q$15="Actual",SUMIFS('[1]NS Vendor Details'!$D:$D,'[1]NS Vendor Details'!$H:$H,'G&amp;A Vendor x GL Analysis'!Q$20,'[1]NS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Analysis'!Q$20,'[1]NS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R160" s="18">
        <f>IF(AND(R$15="Actual",ISBLANK($E$8)),SUMIFS('[1]NS Vendor Details'!$D:$D,'[1]NS Vendor Details'!$H:$H,'G&amp;A Vendor x GL Analysis'!R$20,'[1]NS Vendor Details'!$L:$L,'G&amp;A Vendor x GL Analysis'!$D160,'[1]NS Vendor Details'!$O:$O,'G&amp;A Vendor x GL Analysis'!$F160,'[1]NS Vendor Details'!$N:$N,'G&amp;A Vendor x GL Analysis'!$C160)+SUMIFS('[1]NS Vendor Details'!$D:$D,'[1]NS Vendor Details'!$H:$H,'G&amp;A Vendor x GL Analysis'!R$20,'[1]NS Vendor Details'!$L:$L,'G&amp;A Vendor x GL Analysis'!$D160,'[1]NS Vendor Details'!$O:$O,'G&amp;A Vendor x GL Analysis'!$F160,'[1]NS Vendor Details'!$N:$N,"Direct Costs",'[1]NS Vendor Details'!$J:$J,0),IF(R$15="Actual",SUMIFS('[1]NS Vendor Details'!$D:$D,'[1]NS Vendor Details'!$H:$H,'G&amp;A Vendor x GL Analysis'!R$20,'[1]NS Vendor Details'!$L:$L,'G&amp;A Vendor x GL Analysis'!$D160,'[1]NS Vendor Details'!$O:$O,'G&amp;A Vendor x GL Analysis'!$F160,'[1]NS Vendor Details'!$N:$N,'G&amp;A Vendor x GL Analysis'!$C160,'[1]NS Vendor Details'!$K:$K,'G&amp;A Vendor x GL Analysis'!$E$8)+SUMIFS('[1]NS Vendor Details'!$D:$D,'[1]NS Vendor Details'!$H:$H,'G&amp;A Vendor x GL Analysis'!R$20,'[1]NS Vendor Details'!$L:$L,'G&amp;A Vendor x GL Analysis'!$D160,'[1]NS Vendor Details'!$O:$O,'G&amp;A Vendor x GL Analysis'!$F160,'[1]NS Vendor Details'!$N:$N,"Direct Costs",'[1]NS Vendor Details'!$J:$J,0,'[1]NS Vendor Details'!$K:$K,'G&amp;A Vendor x GL Analysis'!$E$8),0))</f>
        <v>0</v>
      </c>
      <c r="S160" s="16">
        <f>IF(AND(S$15="Actual",ISBLANK($E$8)),SUMIFS('[1]NS Vendor Details'!$D:$D,'[1]NS Vendor Details'!$H:$H,'G&amp;A Vendor x GL Analysis'!S$20,'[1]NS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Analysis'!S$20,'[1]NS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Analysis'!$E160),IF(S$15="Actual",SUMIFS('[1]NS Vendor Details'!$D:$D,'[1]NS Vendor Details'!$H:$H,'G&amp;A Vendor x GL Analysis'!S$20,'[1]NS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Analysis'!S$20,'[1]NS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T160" s="17">
        <f>IF(AND(T$15="Actual",ISBLANK($E$8)),SUMIFS('[1]NS Vendor Details'!$D:$D,'[1]NS Vendor Details'!$H:$H,'G&amp;A Vendor x GL Analysis'!T$20,'[1]NS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Analysis'!T$20,'[1]NS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Analysis'!$E160),IF(T$15="Actual",SUMIFS('[1]NS Vendor Details'!$D:$D,'[1]NS Vendor Details'!$H:$H,'G&amp;A Vendor x GL Analysis'!T$20,'[1]NS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Analysis'!T$20,'[1]NS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U160" s="17">
        <f>IF(AND(U$15="Actual",ISBLANK($E$8)),SUMIFS('[1]NS Vendor Details'!$D:$D,'[1]NS Vendor Details'!$H:$H,'G&amp;A Vendor x GL Analysis'!U$20,'[1]NS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Analysis'!U$20,'[1]NS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Analysis'!$E160),IF(U$15="Actual",SUMIFS('[1]NS Vendor Details'!$D:$D,'[1]NS Vendor Details'!$H:$H,'G&amp;A Vendor x GL Analysis'!U$20,'[1]NS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Analysis'!U$20,'[1]NS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V160" s="17">
        <f>IF(AND(V$15="Actual",ISBLANK($E$8)),SUMIFS('[1]NS Vendor Details'!$D:$D,'[1]NS Vendor Details'!$H:$H,'G&amp;A Vendor x GL Analysis'!V$20,'[1]NS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Analysis'!V$20,'[1]NS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Analysis'!$E160),IF(V$15="Actual",SUMIFS('[1]NS Vendor Details'!$D:$D,'[1]NS Vendor Details'!$H:$H,'G&amp;A Vendor x GL Analysis'!V$20,'[1]NS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Analysis'!V$20,'[1]NS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W160" s="17">
        <f>IF(AND(W$15="Actual",ISBLANK($E$8)),SUMIFS('[1]NS Vendor Details'!$D:$D,'[1]NS Vendor Details'!$H:$H,'G&amp;A Vendor x GL Analysis'!W$20,'[1]NS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Analysis'!W$20,'[1]NS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Analysis'!$E160),IF(W$15="Actual",SUMIFS('[1]NS Vendor Details'!$D:$D,'[1]NS Vendor Details'!$H:$H,'G&amp;A Vendor x GL Analysis'!W$20,'[1]NS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Analysis'!W$20,'[1]NS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X160" s="17">
        <f>IF(AND(X$15="Actual",ISBLANK($E$8)),SUMIFS('[1]NS Vendor Details'!$D:$D,'[1]NS Vendor Details'!$H:$H,'G&amp;A Vendor x GL Analysis'!X$20,'[1]NS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Analysis'!X$20,'[1]NS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Analysis'!$E160),IF(X$15="Actual",SUMIFS('[1]NS Vendor Details'!$D:$D,'[1]NS Vendor Details'!$H:$H,'G&amp;A Vendor x GL Analysis'!X$20,'[1]NS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Analysis'!X$20,'[1]NS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Y160" s="17">
        <f>IF(AND(Y$15="Actual",ISBLANK($E$8)),SUMIFS('[1]NS Vendor Details'!$D:$D,'[1]NS Vendor Details'!$H:$H,'G&amp;A Vendor x GL Analysis'!Y$20,'[1]NS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Analysis'!Y$20,'[1]NS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Analysis'!$E160),IF(Y$15="Actual",SUMIFS('[1]NS Vendor Details'!$D:$D,'[1]NS Vendor Details'!$H:$H,'G&amp;A Vendor x GL Analysis'!Y$20,'[1]NS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Analysis'!Y$20,'[1]NS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Z160" s="17">
        <f>IF(AND(Z$15="Actual",ISBLANK($E$8)),SUMIFS('[1]NS Vendor Details'!$D:$D,'[1]NS Vendor Details'!$H:$H,'G&amp;A Vendor x GL Analysis'!Z$20,'[1]NS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Analysis'!Z$20,'[1]NS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Analysis'!$E160),IF(Z$15="Actual",SUMIFS('[1]NS Vendor Details'!$D:$D,'[1]NS Vendor Details'!$H:$H,'G&amp;A Vendor x GL Analysis'!Z$20,'[1]NS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Analysis'!Z$20,'[1]NS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AA160" s="17">
        <f>IF(AND(AA$15="Actual",ISBLANK($E$8)),SUMIFS('[1]NS Vendor Details'!$D:$D,'[1]NS Vendor Details'!$H:$H,'G&amp;A Vendor x GL Analysis'!AA$20,'[1]NS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Analysis'!AA$20,'[1]NS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Analysis'!$E160),IF(AA$15="Actual",SUMIFS('[1]NS Vendor Details'!$D:$D,'[1]NS Vendor Details'!$H:$H,'G&amp;A Vendor x GL Analysis'!AA$20,'[1]NS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Analysis'!AA$20,'[1]NS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AB160" s="17">
        <f>IF(AND(AB$15="Actual",ISBLANK($E$8)),SUMIFS('[1]NS Vendor Details'!$D:$D,'[1]NS Vendor Details'!$H:$H,'G&amp;A Vendor x GL Analysis'!AB$20,'[1]NS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Analysis'!AB$20,'[1]NS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Analysis'!$E160),IF(AB$15="Actual",SUMIFS('[1]NS Vendor Details'!$D:$D,'[1]NS Vendor Details'!$H:$H,'G&amp;A Vendor x GL Analysis'!AB$20,'[1]NS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Analysis'!AB$20,'[1]NS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AC160" s="18">
        <f>IF(AND(AC$15="Actual",ISBLANK($E$8)),SUMIFS('[1]NS Vendor Details'!$D:$D,'[1]NS Vendor Details'!$H:$H,'G&amp;A Vendor x GL Analysis'!AC$20,'[1]NS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Analysis'!AC$20,'[1]NS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Analysis'!$E160),IF(AC$15="Actual",SUMIFS('[1]NS Vendor Details'!$D:$D,'[1]NS Vendor Details'!$H:$H,'G&amp;A Vendor x GL Analysis'!AC$20,'[1]NS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Analysis'!AC$20,'[1]NS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AD160" s="18">
        <f>IF(AND(AD$15="Actual",ISBLANK($E$8)),SUMIFS('[1]NS Vendor Details'!$D:$D,'[1]NS Vendor Details'!$H:$H,'G&amp;A Vendor x GL Analysis'!AD$20,'[1]NS Vendor Details'!$L:$L,'G&amp;A Vendor x GL Analysis'!$D160,'[1]NS Vendor Details'!$O:$O,'G&amp;A Vendor x GL Analysis'!$F160,'[1]NS Vendor Details'!$N:$N,'G&amp;A Vendor x GL Analysis'!$C160,'[1]NS Vendor Details'!$I:$I,'G&amp;A Vendor x GL Analysis'!$E160)+SUMIFS('[1]NS Vendor Details'!$D:$D,'[1]NS Vendor Details'!$H:$H,'G&amp;A Vendor x GL Analysis'!AD$20,'[1]NS Vendor Details'!$L:$L,'G&amp;A Vendor x GL Analysis'!$D160,'[1]NS Vendor Details'!$O:$O,'G&amp;A Vendor x GL Analysis'!$F160,'[1]NS Vendor Details'!$N:$N,"Direct Costs",'[1]NS Vendor Details'!$J:$J,0,'[1]NS Vendor Details'!$I:$I,'G&amp;A Vendor x GL Analysis'!$E160),IF(AD$15="Actual",SUMIFS('[1]NS Vendor Details'!$D:$D,'[1]NS Vendor Details'!$H:$H,'G&amp;A Vendor x GL Analysis'!AD$20,'[1]NS Vendor Details'!$L:$L,'G&amp;A Vendor x GL Analysis'!$D160,'[1]NS Vendor Details'!$O:$O,'G&amp;A Vendor x GL Analysis'!$F160,'[1]NS Vendor Details'!$N:$N,'G&amp;A Vendor x GL Analysis'!$C160,'[1]NS Vendor Details'!$K:$K,'G&amp;A Vendor x GL Analysis'!$E$8,'[1]NS Vendor Details'!$I:$I,'G&amp;A Vendor x GL Analysis'!$E160)+SUMIFS('[1]NS Vendor Details'!$D:$D,'[1]NS Vendor Details'!$H:$H,'G&amp;A Vendor x GL Analysis'!AD$20,'[1]NS Vendor Details'!$L:$L,'G&amp;A Vendor x GL Analysis'!$D160,'[1]NS Vendor Details'!$O:$O,'G&amp;A Vendor x GL Analysis'!$F160,'[1]NS Vendor Details'!$N:$N,"Direct Costs",'[1]NS Vendor Details'!$J:$J,0,'[1]NS Vendor Details'!$K:$K,'G&amp;A Vendor x GL Analysis'!$E$8,'[1]NS Vendor Details'!$I:$I,'G&amp;A Vendor x GL Analysis'!$E160),0))</f>
        <v>0</v>
      </c>
      <c r="AF160" s="19">
        <f t="shared" si="23"/>
        <v>0</v>
      </c>
    </row>
    <row r="161" spans="1:32" outlineLevel="1">
      <c r="A161" s="8" t="str">
        <f t="shared" si="22"/>
        <v>Professional Service6451 - Service Processing Fee</v>
      </c>
      <c r="C161" s="8" t="s">
        <v>11</v>
      </c>
      <c r="D161" s="8" t="str">
        <f t="shared" si="24"/>
        <v>Professional Service</v>
      </c>
      <c r="E161" s="2" t="s">
        <v>148</v>
      </c>
      <c r="F161" s="2" t="s">
        <v>151</v>
      </c>
      <c r="G161" s="16">
        <f>IF(AND(G$15="Actual",ISBLANK($E$8)),SUMIFS('[1]NS Vendor Details'!$D:$D,'[1]NS Vendor Details'!$H:$H,'G&amp;A Vendor x GL Analysis'!G$20,'[1]NS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Analysis'!G$20,'[1]NS Vendor Details'!$L:$L,'G&amp;A Vendor x GL Analysis'!$D161,'[1]NS Vendor Details'!$O:$O,'G&amp;A Vendor x GL Analysis'!$F161,'[1]NS Vendor Details'!$N:$N,"Direct Costs",'[1]NS Vendor Details'!$J:$J,0),IF(G$15="Actual",SUMIFS('[1]NS Vendor Details'!$D:$D,'[1]NS Vendor Details'!$H:$H,'G&amp;A Vendor x GL Analysis'!G$20,'[1]NS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Analysis'!G$20,'[1]NS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H161" s="17">
        <f>IF(AND(H$15="Actual",ISBLANK($E$8)),SUMIFS('[1]NS Vendor Details'!$D:$D,'[1]NS Vendor Details'!$H:$H,'G&amp;A Vendor x GL Analysis'!H$20,'[1]NS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Analysis'!H$20,'[1]NS Vendor Details'!$L:$L,'G&amp;A Vendor x GL Analysis'!$D161,'[1]NS Vendor Details'!$O:$O,'G&amp;A Vendor x GL Analysis'!$F161,'[1]NS Vendor Details'!$N:$N,"Direct Costs",'[1]NS Vendor Details'!$J:$J,0),IF(H$15="Actual",SUMIFS('[1]NS Vendor Details'!$D:$D,'[1]NS Vendor Details'!$H:$H,'G&amp;A Vendor x GL Analysis'!H$20,'[1]NS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Analysis'!H$20,'[1]NS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I161" s="17">
        <f>IF(AND(I$15="Actual",ISBLANK($E$8)),SUMIFS('[1]NS Vendor Details'!$D:$D,'[1]NS Vendor Details'!$H:$H,'G&amp;A Vendor x GL Analysis'!I$20,'[1]NS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Analysis'!I$20,'[1]NS Vendor Details'!$L:$L,'G&amp;A Vendor x GL Analysis'!$D161,'[1]NS Vendor Details'!$O:$O,'G&amp;A Vendor x GL Analysis'!$F161,'[1]NS Vendor Details'!$N:$N,"Direct Costs",'[1]NS Vendor Details'!$J:$J,0),IF(I$15="Actual",SUMIFS('[1]NS Vendor Details'!$D:$D,'[1]NS Vendor Details'!$H:$H,'G&amp;A Vendor x GL Analysis'!I$20,'[1]NS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Analysis'!I$20,'[1]NS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J161" s="17">
        <f>IF(AND(J$15="Actual",ISBLANK($E$8)),SUMIFS('[1]NS Vendor Details'!$D:$D,'[1]NS Vendor Details'!$H:$H,'G&amp;A Vendor x GL Analysis'!J$20,'[1]NS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Analysis'!J$20,'[1]NS Vendor Details'!$L:$L,'G&amp;A Vendor x GL Analysis'!$D161,'[1]NS Vendor Details'!$O:$O,'G&amp;A Vendor x GL Analysis'!$F161,'[1]NS Vendor Details'!$N:$N,"Direct Costs",'[1]NS Vendor Details'!$J:$J,0),IF(J$15="Actual",SUMIFS('[1]NS Vendor Details'!$D:$D,'[1]NS Vendor Details'!$H:$H,'G&amp;A Vendor x GL Analysis'!J$20,'[1]NS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Analysis'!J$20,'[1]NS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K161" s="17">
        <f>IF(AND(K$15="Actual",ISBLANK($E$8)),SUMIFS('[1]NS Vendor Details'!$D:$D,'[1]NS Vendor Details'!$H:$H,'G&amp;A Vendor x GL Analysis'!K$20,'[1]NS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Analysis'!K$20,'[1]NS Vendor Details'!$L:$L,'G&amp;A Vendor x GL Analysis'!$D161,'[1]NS Vendor Details'!$O:$O,'G&amp;A Vendor x GL Analysis'!$F161,'[1]NS Vendor Details'!$N:$N,"Direct Costs",'[1]NS Vendor Details'!$J:$J,0),IF(K$15="Actual",SUMIFS('[1]NS Vendor Details'!$D:$D,'[1]NS Vendor Details'!$H:$H,'G&amp;A Vendor x GL Analysis'!K$20,'[1]NS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Analysis'!K$20,'[1]NS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L161" s="17">
        <f>IF(AND(L$15="Actual",ISBLANK($E$8)),SUMIFS('[1]NS Vendor Details'!$D:$D,'[1]NS Vendor Details'!$H:$H,'G&amp;A Vendor x GL Analysis'!L$20,'[1]NS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Analysis'!L$20,'[1]NS Vendor Details'!$L:$L,'G&amp;A Vendor x GL Analysis'!$D161,'[1]NS Vendor Details'!$O:$O,'G&amp;A Vendor x GL Analysis'!$F161,'[1]NS Vendor Details'!$N:$N,"Direct Costs",'[1]NS Vendor Details'!$J:$J,0),IF(L$15="Actual",SUMIFS('[1]NS Vendor Details'!$D:$D,'[1]NS Vendor Details'!$H:$H,'G&amp;A Vendor x GL Analysis'!L$20,'[1]NS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Analysis'!L$20,'[1]NS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M161" s="17">
        <f>IF(AND(M$15="Actual",ISBLANK($E$8)),SUMIFS('[1]NS Vendor Details'!$D:$D,'[1]NS Vendor Details'!$H:$H,'G&amp;A Vendor x GL Analysis'!M$20,'[1]NS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Analysis'!M$20,'[1]NS Vendor Details'!$L:$L,'G&amp;A Vendor x GL Analysis'!$D161,'[1]NS Vendor Details'!$O:$O,'G&amp;A Vendor x GL Analysis'!$F161,'[1]NS Vendor Details'!$N:$N,"Direct Costs",'[1]NS Vendor Details'!$J:$J,0),IF(M$15="Actual",SUMIFS('[1]NS Vendor Details'!$D:$D,'[1]NS Vendor Details'!$H:$H,'G&amp;A Vendor x GL Analysis'!M$20,'[1]NS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Analysis'!M$20,'[1]NS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N161" s="17">
        <f>IF(AND(N$15="Actual",ISBLANK($E$8)),SUMIFS('[1]NS Vendor Details'!$D:$D,'[1]NS Vendor Details'!$H:$H,'G&amp;A Vendor x GL Analysis'!N$20,'[1]NS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Analysis'!N$20,'[1]NS Vendor Details'!$L:$L,'G&amp;A Vendor x GL Analysis'!$D161,'[1]NS Vendor Details'!$O:$O,'G&amp;A Vendor x GL Analysis'!$F161,'[1]NS Vendor Details'!$N:$N,"Direct Costs",'[1]NS Vendor Details'!$J:$J,0),IF(N$15="Actual",SUMIFS('[1]NS Vendor Details'!$D:$D,'[1]NS Vendor Details'!$H:$H,'G&amp;A Vendor x GL Analysis'!N$20,'[1]NS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Analysis'!N$20,'[1]NS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O161" s="17">
        <f>IF(AND(O$15="Actual",ISBLANK($E$8)),SUMIFS('[1]NS Vendor Details'!$D:$D,'[1]NS Vendor Details'!$H:$H,'G&amp;A Vendor x GL Analysis'!O$20,'[1]NS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Analysis'!O$20,'[1]NS Vendor Details'!$L:$L,'G&amp;A Vendor x GL Analysis'!$D161,'[1]NS Vendor Details'!$O:$O,'G&amp;A Vendor x GL Analysis'!$F161,'[1]NS Vendor Details'!$N:$N,"Direct Costs",'[1]NS Vendor Details'!$J:$J,0),IF(O$15="Actual",SUMIFS('[1]NS Vendor Details'!$D:$D,'[1]NS Vendor Details'!$H:$H,'G&amp;A Vendor x GL Analysis'!O$20,'[1]NS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Analysis'!O$20,'[1]NS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P161" s="17">
        <f>IF(AND(P$15="Actual",ISBLANK($E$8)),SUMIFS('[1]NS Vendor Details'!$D:$D,'[1]NS Vendor Details'!$H:$H,'G&amp;A Vendor x GL Analysis'!P$20,'[1]NS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Analysis'!P$20,'[1]NS Vendor Details'!$L:$L,'G&amp;A Vendor x GL Analysis'!$D161,'[1]NS Vendor Details'!$O:$O,'G&amp;A Vendor x GL Analysis'!$F161,'[1]NS Vendor Details'!$N:$N,"Direct Costs",'[1]NS Vendor Details'!$J:$J,0),IF(P$15="Actual",SUMIFS('[1]NS Vendor Details'!$D:$D,'[1]NS Vendor Details'!$H:$H,'G&amp;A Vendor x GL Analysis'!P$20,'[1]NS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Analysis'!P$20,'[1]NS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Q161" s="17">
        <f>IF(AND(Q$15="Actual",ISBLANK($E$8)),SUMIFS('[1]NS Vendor Details'!$D:$D,'[1]NS Vendor Details'!$H:$H,'G&amp;A Vendor x GL Analysis'!Q$20,'[1]NS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Analysis'!Q$20,'[1]NS Vendor Details'!$L:$L,'G&amp;A Vendor x GL Analysis'!$D161,'[1]NS Vendor Details'!$O:$O,'G&amp;A Vendor x GL Analysis'!$F161,'[1]NS Vendor Details'!$N:$N,"Direct Costs",'[1]NS Vendor Details'!$J:$J,0),IF(Q$15="Actual",SUMIFS('[1]NS Vendor Details'!$D:$D,'[1]NS Vendor Details'!$H:$H,'G&amp;A Vendor x GL Analysis'!Q$20,'[1]NS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Analysis'!Q$20,'[1]NS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R161" s="18">
        <f>IF(AND(R$15="Actual",ISBLANK($E$8)),SUMIFS('[1]NS Vendor Details'!$D:$D,'[1]NS Vendor Details'!$H:$H,'G&amp;A Vendor x GL Analysis'!R$20,'[1]NS Vendor Details'!$L:$L,'G&amp;A Vendor x GL Analysis'!$D161,'[1]NS Vendor Details'!$O:$O,'G&amp;A Vendor x GL Analysis'!$F161,'[1]NS Vendor Details'!$N:$N,'G&amp;A Vendor x GL Analysis'!$C161)+SUMIFS('[1]NS Vendor Details'!$D:$D,'[1]NS Vendor Details'!$H:$H,'G&amp;A Vendor x GL Analysis'!R$20,'[1]NS Vendor Details'!$L:$L,'G&amp;A Vendor x GL Analysis'!$D161,'[1]NS Vendor Details'!$O:$O,'G&amp;A Vendor x GL Analysis'!$F161,'[1]NS Vendor Details'!$N:$N,"Direct Costs",'[1]NS Vendor Details'!$J:$J,0),IF(R$15="Actual",SUMIFS('[1]NS Vendor Details'!$D:$D,'[1]NS Vendor Details'!$H:$H,'G&amp;A Vendor x GL Analysis'!R$20,'[1]NS Vendor Details'!$L:$L,'G&amp;A Vendor x GL Analysis'!$D161,'[1]NS Vendor Details'!$O:$O,'G&amp;A Vendor x GL Analysis'!$F161,'[1]NS Vendor Details'!$N:$N,'G&amp;A Vendor x GL Analysis'!$C161,'[1]NS Vendor Details'!$K:$K,'G&amp;A Vendor x GL Analysis'!$E$8)+SUMIFS('[1]NS Vendor Details'!$D:$D,'[1]NS Vendor Details'!$H:$H,'G&amp;A Vendor x GL Analysis'!R$20,'[1]NS Vendor Details'!$L:$L,'G&amp;A Vendor x GL Analysis'!$D161,'[1]NS Vendor Details'!$O:$O,'G&amp;A Vendor x GL Analysis'!$F161,'[1]NS Vendor Details'!$N:$N,"Direct Costs",'[1]NS Vendor Details'!$J:$J,0,'[1]NS Vendor Details'!$K:$K,'G&amp;A Vendor x GL Analysis'!$E$8),0))</f>
        <v>0</v>
      </c>
      <c r="S161" s="16">
        <f>IF(AND(S$15="Actual",ISBLANK($E$8)),SUMIFS('[1]NS Vendor Details'!$D:$D,'[1]NS Vendor Details'!$H:$H,'G&amp;A Vendor x GL Analysis'!S$20,'[1]NS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Analysis'!S$20,'[1]NS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Analysis'!$E161),IF(S$15="Actual",SUMIFS('[1]NS Vendor Details'!$D:$D,'[1]NS Vendor Details'!$H:$H,'G&amp;A Vendor x GL Analysis'!S$20,'[1]NS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Analysis'!S$20,'[1]NS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T161" s="17">
        <f>IF(AND(T$15="Actual",ISBLANK($E$8)),SUMIFS('[1]NS Vendor Details'!$D:$D,'[1]NS Vendor Details'!$H:$H,'G&amp;A Vendor x GL Analysis'!T$20,'[1]NS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Analysis'!T$20,'[1]NS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Analysis'!$E161),IF(T$15="Actual",SUMIFS('[1]NS Vendor Details'!$D:$D,'[1]NS Vendor Details'!$H:$H,'G&amp;A Vendor x GL Analysis'!T$20,'[1]NS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Analysis'!T$20,'[1]NS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U161" s="17">
        <f>IF(AND(U$15="Actual",ISBLANK($E$8)),SUMIFS('[1]NS Vendor Details'!$D:$D,'[1]NS Vendor Details'!$H:$H,'G&amp;A Vendor x GL Analysis'!U$20,'[1]NS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Analysis'!U$20,'[1]NS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Analysis'!$E161),IF(U$15="Actual",SUMIFS('[1]NS Vendor Details'!$D:$D,'[1]NS Vendor Details'!$H:$H,'G&amp;A Vendor x GL Analysis'!U$20,'[1]NS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Analysis'!U$20,'[1]NS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V161" s="17">
        <f>IF(AND(V$15="Actual",ISBLANK($E$8)),SUMIFS('[1]NS Vendor Details'!$D:$D,'[1]NS Vendor Details'!$H:$H,'G&amp;A Vendor x GL Analysis'!V$20,'[1]NS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Analysis'!V$20,'[1]NS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Analysis'!$E161),IF(V$15="Actual",SUMIFS('[1]NS Vendor Details'!$D:$D,'[1]NS Vendor Details'!$H:$H,'G&amp;A Vendor x GL Analysis'!V$20,'[1]NS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Analysis'!V$20,'[1]NS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W161" s="17">
        <f>IF(AND(W$15="Actual",ISBLANK($E$8)),SUMIFS('[1]NS Vendor Details'!$D:$D,'[1]NS Vendor Details'!$H:$H,'G&amp;A Vendor x GL Analysis'!W$20,'[1]NS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Analysis'!W$20,'[1]NS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Analysis'!$E161),IF(W$15="Actual",SUMIFS('[1]NS Vendor Details'!$D:$D,'[1]NS Vendor Details'!$H:$H,'G&amp;A Vendor x GL Analysis'!W$20,'[1]NS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Analysis'!W$20,'[1]NS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X161" s="17">
        <f>IF(AND(X$15="Actual",ISBLANK($E$8)),SUMIFS('[1]NS Vendor Details'!$D:$D,'[1]NS Vendor Details'!$H:$H,'G&amp;A Vendor x GL Analysis'!X$20,'[1]NS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Analysis'!X$20,'[1]NS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Analysis'!$E161),IF(X$15="Actual",SUMIFS('[1]NS Vendor Details'!$D:$D,'[1]NS Vendor Details'!$H:$H,'G&amp;A Vendor x GL Analysis'!X$20,'[1]NS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Analysis'!X$20,'[1]NS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Y161" s="17">
        <f>IF(AND(Y$15="Actual",ISBLANK($E$8)),SUMIFS('[1]NS Vendor Details'!$D:$D,'[1]NS Vendor Details'!$H:$H,'G&amp;A Vendor x GL Analysis'!Y$20,'[1]NS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Analysis'!Y$20,'[1]NS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Analysis'!$E161),IF(Y$15="Actual",SUMIFS('[1]NS Vendor Details'!$D:$D,'[1]NS Vendor Details'!$H:$H,'G&amp;A Vendor x GL Analysis'!Y$20,'[1]NS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Analysis'!Y$20,'[1]NS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Z161" s="17">
        <f>IF(AND(Z$15="Actual",ISBLANK($E$8)),SUMIFS('[1]NS Vendor Details'!$D:$D,'[1]NS Vendor Details'!$H:$H,'G&amp;A Vendor x GL Analysis'!Z$20,'[1]NS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Analysis'!Z$20,'[1]NS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Analysis'!$E161),IF(Z$15="Actual",SUMIFS('[1]NS Vendor Details'!$D:$D,'[1]NS Vendor Details'!$H:$H,'G&amp;A Vendor x GL Analysis'!Z$20,'[1]NS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Analysis'!Z$20,'[1]NS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AA161" s="17">
        <f>IF(AND(AA$15="Actual",ISBLANK($E$8)),SUMIFS('[1]NS Vendor Details'!$D:$D,'[1]NS Vendor Details'!$H:$H,'G&amp;A Vendor x GL Analysis'!AA$20,'[1]NS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Analysis'!AA$20,'[1]NS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Analysis'!$E161),IF(AA$15="Actual",SUMIFS('[1]NS Vendor Details'!$D:$D,'[1]NS Vendor Details'!$H:$H,'G&amp;A Vendor x GL Analysis'!AA$20,'[1]NS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Analysis'!AA$20,'[1]NS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AB161" s="17">
        <f>IF(AND(AB$15="Actual",ISBLANK($E$8)),SUMIFS('[1]NS Vendor Details'!$D:$D,'[1]NS Vendor Details'!$H:$H,'G&amp;A Vendor x GL Analysis'!AB$20,'[1]NS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Analysis'!AB$20,'[1]NS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Analysis'!$E161),IF(AB$15="Actual",SUMIFS('[1]NS Vendor Details'!$D:$D,'[1]NS Vendor Details'!$H:$H,'G&amp;A Vendor x GL Analysis'!AB$20,'[1]NS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Analysis'!AB$20,'[1]NS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AC161" s="18">
        <f>IF(AND(AC$15="Actual",ISBLANK($E$8)),SUMIFS('[1]NS Vendor Details'!$D:$D,'[1]NS Vendor Details'!$H:$H,'G&amp;A Vendor x GL Analysis'!AC$20,'[1]NS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Analysis'!AC$20,'[1]NS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Analysis'!$E161),IF(AC$15="Actual",SUMIFS('[1]NS Vendor Details'!$D:$D,'[1]NS Vendor Details'!$H:$H,'G&amp;A Vendor x GL Analysis'!AC$20,'[1]NS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Analysis'!AC$20,'[1]NS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AD161" s="18">
        <f>IF(AND(AD$15="Actual",ISBLANK($E$8)),SUMIFS('[1]NS Vendor Details'!$D:$D,'[1]NS Vendor Details'!$H:$H,'G&amp;A Vendor x GL Analysis'!AD$20,'[1]NS Vendor Details'!$L:$L,'G&amp;A Vendor x GL Analysis'!$D161,'[1]NS Vendor Details'!$O:$O,'G&amp;A Vendor x GL Analysis'!$F161,'[1]NS Vendor Details'!$N:$N,'G&amp;A Vendor x GL Analysis'!$C161,'[1]NS Vendor Details'!$I:$I,'G&amp;A Vendor x GL Analysis'!$E161)+SUMIFS('[1]NS Vendor Details'!$D:$D,'[1]NS Vendor Details'!$H:$H,'G&amp;A Vendor x GL Analysis'!AD$20,'[1]NS Vendor Details'!$L:$L,'G&amp;A Vendor x GL Analysis'!$D161,'[1]NS Vendor Details'!$O:$O,'G&amp;A Vendor x GL Analysis'!$F161,'[1]NS Vendor Details'!$N:$N,"Direct Costs",'[1]NS Vendor Details'!$J:$J,0,'[1]NS Vendor Details'!$I:$I,'G&amp;A Vendor x GL Analysis'!$E161),IF(AD$15="Actual",SUMIFS('[1]NS Vendor Details'!$D:$D,'[1]NS Vendor Details'!$H:$H,'G&amp;A Vendor x GL Analysis'!AD$20,'[1]NS Vendor Details'!$L:$L,'G&amp;A Vendor x GL Analysis'!$D161,'[1]NS Vendor Details'!$O:$O,'G&amp;A Vendor x GL Analysis'!$F161,'[1]NS Vendor Details'!$N:$N,'G&amp;A Vendor x GL Analysis'!$C161,'[1]NS Vendor Details'!$K:$K,'G&amp;A Vendor x GL Analysis'!$E$8,'[1]NS Vendor Details'!$I:$I,'G&amp;A Vendor x GL Analysis'!$E161)+SUMIFS('[1]NS Vendor Details'!$D:$D,'[1]NS Vendor Details'!$H:$H,'G&amp;A Vendor x GL Analysis'!AD$20,'[1]NS Vendor Details'!$L:$L,'G&amp;A Vendor x GL Analysis'!$D161,'[1]NS Vendor Details'!$O:$O,'G&amp;A Vendor x GL Analysis'!$F161,'[1]NS Vendor Details'!$N:$N,"Direct Costs",'[1]NS Vendor Details'!$J:$J,0,'[1]NS Vendor Details'!$K:$K,'G&amp;A Vendor x GL Analysis'!$E$8,'[1]NS Vendor Details'!$I:$I,'G&amp;A Vendor x GL Analysis'!$E161),0))</f>
        <v>0</v>
      </c>
      <c r="AF161" s="19">
        <f t="shared" si="23"/>
        <v>0</v>
      </c>
    </row>
    <row r="162" spans="1:32" outlineLevel="1">
      <c r="A162" s="8" t="str">
        <f t="shared" si="22"/>
        <v>Professional Service6451 - Service Processing Fee</v>
      </c>
      <c r="C162" s="8" t="s">
        <v>11</v>
      </c>
      <c r="D162" s="8" t="str">
        <f t="shared" si="24"/>
        <v>Professional Service</v>
      </c>
      <c r="E162" s="2" t="s">
        <v>148</v>
      </c>
      <c r="F162" s="2" t="s">
        <v>134</v>
      </c>
      <c r="G162" s="16">
        <f>IF(AND(G$15="Actual",ISBLANK($E$8)),SUMIFS('[1]NS Vendor Details'!$D:$D,'[1]NS Vendor Details'!$H:$H,'G&amp;A Vendor x GL Analysis'!G$20,'[1]NS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Analysis'!G$20,'[1]NS Vendor Details'!$L:$L,'G&amp;A Vendor x GL Analysis'!$D162,'[1]NS Vendor Details'!$O:$O,'G&amp;A Vendor x GL Analysis'!$F162,'[1]NS Vendor Details'!$N:$N,"Direct Costs",'[1]NS Vendor Details'!$J:$J,0),IF(G$15="Actual",SUMIFS('[1]NS Vendor Details'!$D:$D,'[1]NS Vendor Details'!$H:$H,'G&amp;A Vendor x GL Analysis'!G$20,'[1]NS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Analysis'!G$20,'[1]NS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H162" s="17">
        <f>IF(AND(H$15="Actual",ISBLANK($E$8)),SUMIFS('[1]NS Vendor Details'!$D:$D,'[1]NS Vendor Details'!$H:$H,'G&amp;A Vendor x GL Analysis'!H$20,'[1]NS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Analysis'!H$20,'[1]NS Vendor Details'!$L:$L,'G&amp;A Vendor x GL Analysis'!$D162,'[1]NS Vendor Details'!$O:$O,'G&amp;A Vendor x GL Analysis'!$F162,'[1]NS Vendor Details'!$N:$N,"Direct Costs",'[1]NS Vendor Details'!$J:$J,0),IF(H$15="Actual",SUMIFS('[1]NS Vendor Details'!$D:$D,'[1]NS Vendor Details'!$H:$H,'G&amp;A Vendor x GL Analysis'!H$20,'[1]NS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Analysis'!H$20,'[1]NS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I162" s="17">
        <f>IF(AND(I$15="Actual",ISBLANK($E$8)),SUMIFS('[1]NS Vendor Details'!$D:$D,'[1]NS Vendor Details'!$H:$H,'G&amp;A Vendor x GL Analysis'!I$20,'[1]NS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Analysis'!I$20,'[1]NS Vendor Details'!$L:$L,'G&amp;A Vendor x GL Analysis'!$D162,'[1]NS Vendor Details'!$O:$O,'G&amp;A Vendor x GL Analysis'!$F162,'[1]NS Vendor Details'!$N:$N,"Direct Costs",'[1]NS Vendor Details'!$J:$J,0),IF(I$15="Actual",SUMIFS('[1]NS Vendor Details'!$D:$D,'[1]NS Vendor Details'!$H:$H,'G&amp;A Vendor x GL Analysis'!I$20,'[1]NS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Analysis'!I$20,'[1]NS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J162" s="17">
        <f>IF(AND(J$15="Actual",ISBLANK($E$8)),SUMIFS('[1]NS Vendor Details'!$D:$D,'[1]NS Vendor Details'!$H:$H,'G&amp;A Vendor x GL Analysis'!J$20,'[1]NS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Analysis'!J$20,'[1]NS Vendor Details'!$L:$L,'G&amp;A Vendor x GL Analysis'!$D162,'[1]NS Vendor Details'!$O:$O,'G&amp;A Vendor x GL Analysis'!$F162,'[1]NS Vendor Details'!$N:$N,"Direct Costs",'[1]NS Vendor Details'!$J:$J,0),IF(J$15="Actual",SUMIFS('[1]NS Vendor Details'!$D:$D,'[1]NS Vendor Details'!$H:$H,'G&amp;A Vendor x GL Analysis'!J$20,'[1]NS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Analysis'!J$20,'[1]NS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K162" s="17">
        <f>IF(AND(K$15="Actual",ISBLANK($E$8)),SUMIFS('[1]NS Vendor Details'!$D:$D,'[1]NS Vendor Details'!$H:$H,'G&amp;A Vendor x GL Analysis'!K$20,'[1]NS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Analysis'!K$20,'[1]NS Vendor Details'!$L:$L,'G&amp;A Vendor x GL Analysis'!$D162,'[1]NS Vendor Details'!$O:$O,'G&amp;A Vendor x GL Analysis'!$F162,'[1]NS Vendor Details'!$N:$N,"Direct Costs",'[1]NS Vendor Details'!$J:$J,0),IF(K$15="Actual",SUMIFS('[1]NS Vendor Details'!$D:$D,'[1]NS Vendor Details'!$H:$H,'G&amp;A Vendor x GL Analysis'!K$20,'[1]NS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Analysis'!K$20,'[1]NS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L162" s="17">
        <f>IF(AND(L$15="Actual",ISBLANK($E$8)),SUMIFS('[1]NS Vendor Details'!$D:$D,'[1]NS Vendor Details'!$H:$H,'G&amp;A Vendor x GL Analysis'!L$20,'[1]NS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Analysis'!L$20,'[1]NS Vendor Details'!$L:$L,'G&amp;A Vendor x GL Analysis'!$D162,'[1]NS Vendor Details'!$O:$O,'G&amp;A Vendor x GL Analysis'!$F162,'[1]NS Vendor Details'!$N:$N,"Direct Costs",'[1]NS Vendor Details'!$J:$J,0),IF(L$15="Actual",SUMIFS('[1]NS Vendor Details'!$D:$D,'[1]NS Vendor Details'!$H:$H,'G&amp;A Vendor x GL Analysis'!L$20,'[1]NS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Analysis'!L$20,'[1]NS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M162" s="17">
        <f>IF(AND(M$15="Actual",ISBLANK($E$8)),SUMIFS('[1]NS Vendor Details'!$D:$D,'[1]NS Vendor Details'!$H:$H,'G&amp;A Vendor x GL Analysis'!M$20,'[1]NS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Analysis'!M$20,'[1]NS Vendor Details'!$L:$L,'G&amp;A Vendor x GL Analysis'!$D162,'[1]NS Vendor Details'!$O:$O,'G&amp;A Vendor x GL Analysis'!$F162,'[1]NS Vendor Details'!$N:$N,"Direct Costs",'[1]NS Vendor Details'!$J:$J,0),IF(M$15="Actual",SUMIFS('[1]NS Vendor Details'!$D:$D,'[1]NS Vendor Details'!$H:$H,'G&amp;A Vendor x GL Analysis'!M$20,'[1]NS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Analysis'!M$20,'[1]NS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N162" s="17">
        <f>IF(AND(N$15="Actual",ISBLANK($E$8)),SUMIFS('[1]NS Vendor Details'!$D:$D,'[1]NS Vendor Details'!$H:$H,'G&amp;A Vendor x GL Analysis'!N$20,'[1]NS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Analysis'!N$20,'[1]NS Vendor Details'!$L:$L,'G&amp;A Vendor x GL Analysis'!$D162,'[1]NS Vendor Details'!$O:$O,'G&amp;A Vendor x GL Analysis'!$F162,'[1]NS Vendor Details'!$N:$N,"Direct Costs",'[1]NS Vendor Details'!$J:$J,0),IF(N$15="Actual",SUMIFS('[1]NS Vendor Details'!$D:$D,'[1]NS Vendor Details'!$H:$H,'G&amp;A Vendor x GL Analysis'!N$20,'[1]NS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Analysis'!N$20,'[1]NS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O162" s="17">
        <f>IF(AND(O$15="Actual",ISBLANK($E$8)),SUMIFS('[1]NS Vendor Details'!$D:$D,'[1]NS Vendor Details'!$H:$H,'G&amp;A Vendor x GL Analysis'!O$20,'[1]NS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Analysis'!O$20,'[1]NS Vendor Details'!$L:$L,'G&amp;A Vendor x GL Analysis'!$D162,'[1]NS Vendor Details'!$O:$O,'G&amp;A Vendor x GL Analysis'!$F162,'[1]NS Vendor Details'!$N:$N,"Direct Costs",'[1]NS Vendor Details'!$J:$J,0),IF(O$15="Actual",SUMIFS('[1]NS Vendor Details'!$D:$D,'[1]NS Vendor Details'!$H:$H,'G&amp;A Vendor x GL Analysis'!O$20,'[1]NS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Analysis'!O$20,'[1]NS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P162" s="17">
        <f>IF(AND(P$15="Actual",ISBLANK($E$8)),SUMIFS('[1]NS Vendor Details'!$D:$D,'[1]NS Vendor Details'!$H:$H,'G&amp;A Vendor x GL Analysis'!P$20,'[1]NS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Analysis'!P$20,'[1]NS Vendor Details'!$L:$L,'G&amp;A Vendor x GL Analysis'!$D162,'[1]NS Vendor Details'!$O:$O,'G&amp;A Vendor x GL Analysis'!$F162,'[1]NS Vendor Details'!$N:$N,"Direct Costs",'[1]NS Vendor Details'!$J:$J,0),IF(P$15="Actual",SUMIFS('[1]NS Vendor Details'!$D:$D,'[1]NS Vendor Details'!$H:$H,'G&amp;A Vendor x GL Analysis'!P$20,'[1]NS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Analysis'!P$20,'[1]NS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Q162" s="17">
        <f>IF(AND(Q$15="Actual",ISBLANK($E$8)),SUMIFS('[1]NS Vendor Details'!$D:$D,'[1]NS Vendor Details'!$H:$H,'G&amp;A Vendor x GL Analysis'!Q$20,'[1]NS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Analysis'!Q$20,'[1]NS Vendor Details'!$L:$L,'G&amp;A Vendor x GL Analysis'!$D162,'[1]NS Vendor Details'!$O:$O,'G&amp;A Vendor x GL Analysis'!$F162,'[1]NS Vendor Details'!$N:$N,"Direct Costs",'[1]NS Vendor Details'!$J:$J,0),IF(Q$15="Actual",SUMIFS('[1]NS Vendor Details'!$D:$D,'[1]NS Vendor Details'!$H:$H,'G&amp;A Vendor x GL Analysis'!Q$20,'[1]NS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Analysis'!Q$20,'[1]NS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R162" s="18">
        <f>IF(AND(R$15="Actual",ISBLANK($E$8)),SUMIFS('[1]NS Vendor Details'!$D:$D,'[1]NS Vendor Details'!$H:$H,'G&amp;A Vendor x GL Analysis'!R$20,'[1]NS Vendor Details'!$L:$L,'G&amp;A Vendor x GL Analysis'!$D162,'[1]NS Vendor Details'!$O:$O,'G&amp;A Vendor x GL Analysis'!$F162,'[1]NS Vendor Details'!$N:$N,'G&amp;A Vendor x GL Analysis'!$C162)+SUMIFS('[1]NS Vendor Details'!$D:$D,'[1]NS Vendor Details'!$H:$H,'G&amp;A Vendor x GL Analysis'!R$20,'[1]NS Vendor Details'!$L:$L,'G&amp;A Vendor x GL Analysis'!$D162,'[1]NS Vendor Details'!$O:$O,'G&amp;A Vendor x GL Analysis'!$F162,'[1]NS Vendor Details'!$N:$N,"Direct Costs",'[1]NS Vendor Details'!$J:$J,0),IF(R$15="Actual",SUMIFS('[1]NS Vendor Details'!$D:$D,'[1]NS Vendor Details'!$H:$H,'G&amp;A Vendor x GL Analysis'!R$20,'[1]NS Vendor Details'!$L:$L,'G&amp;A Vendor x GL Analysis'!$D162,'[1]NS Vendor Details'!$O:$O,'G&amp;A Vendor x GL Analysis'!$F162,'[1]NS Vendor Details'!$N:$N,'G&amp;A Vendor x GL Analysis'!$C162,'[1]NS Vendor Details'!$K:$K,'G&amp;A Vendor x GL Analysis'!$E$8)+SUMIFS('[1]NS Vendor Details'!$D:$D,'[1]NS Vendor Details'!$H:$H,'G&amp;A Vendor x GL Analysis'!R$20,'[1]NS Vendor Details'!$L:$L,'G&amp;A Vendor x GL Analysis'!$D162,'[1]NS Vendor Details'!$O:$O,'G&amp;A Vendor x GL Analysis'!$F162,'[1]NS Vendor Details'!$N:$N,"Direct Costs",'[1]NS Vendor Details'!$J:$J,0,'[1]NS Vendor Details'!$K:$K,'G&amp;A Vendor x GL Analysis'!$E$8),0))</f>
        <v>0</v>
      </c>
      <c r="S162" s="16">
        <f>IF(AND(S$15="Actual",ISBLANK($E$8)),SUMIFS('[1]NS Vendor Details'!$D:$D,'[1]NS Vendor Details'!$H:$H,'G&amp;A Vendor x GL Analysis'!S$20,'[1]NS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Analysis'!S$20,'[1]NS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Analysis'!$E162),IF(S$15="Actual",SUMIFS('[1]NS Vendor Details'!$D:$D,'[1]NS Vendor Details'!$H:$H,'G&amp;A Vendor x GL Analysis'!S$20,'[1]NS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Analysis'!S$20,'[1]NS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T162" s="17">
        <f>IF(AND(T$15="Actual",ISBLANK($E$8)),SUMIFS('[1]NS Vendor Details'!$D:$D,'[1]NS Vendor Details'!$H:$H,'G&amp;A Vendor x GL Analysis'!T$20,'[1]NS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Analysis'!T$20,'[1]NS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Analysis'!$E162),IF(T$15="Actual",SUMIFS('[1]NS Vendor Details'!$D:$D,'[1]NS Vendor Details'!$H:$H,'G&amp;A Vendor x GL Analysis'!T$20,'[1]NS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Analysis'!T$20,'[1]NS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U162" s="17">
        <f>IF(AND(U$15="Actual",ISBLANK($E$8)),SUMIFS('[1]NS Vendor Details'!$D:$D,'[1]NS Vendor Details'!$H:$H,'G&amp;A Vendor x GL Analysis'!U$20,'[1]NS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Analysis'!U$20,'[1]NS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Analysis'!$E162),IF(U$15="Actual",SUMIFS('[1]NS Vendor Details'!$D:$D,'[1]NS Vendor Details'!$H:$H,'G&amp;A Vendor x GL Analysis'!U$20,'[1]NS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Analysis'!U$20,'[1]NS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V162" s="17">
        <f>IF(AND(V$15="Actual",ISBLANK($E$8)),SUMIFS('[1]NS Vendor Details'!$D:$D,'[1]NS Vendor Details'!$H:$H,'G&amp;A Vendor x GL Analysis'!V$20,'[1]NS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Analysis'!V$20,'[1]NS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Analysis'!$E162),IF(V$15="Actual",SUMIFS('[1]NS Vendor Details'!$D:$D,'[1]NS Vendor Details'!$H:$H,'G&amp;A Vendor x GL Analysis'!V$20,'[1]NS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Analysis'!V$20,'[1]NS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W162" s="17">
        <f>IF(AND(W$15="Actual",ISBLANK($E$8)),SUMIFS('[1]NS Vendor Details'!$D:$D,'[1]NS Vendor Details'!$H:$H,'G&amp;A Vendor x GL Analysis'!W$20,'[1]NS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Analysis'!W$20,'[1]NS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Analysis'!$E162),IF(W$15="Actual",SUMIFS('[1]NS Vendor Details'!$D:$D,'[1]NS Vendor Details'!$H:$H,'G&amp;A Vendor x GL Analysis'!W$20,'[1]NS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Analysis'!W$20,'[1]NS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X162" s="17">
        <f>IF(AND(X$15="Actual",ISBLANK($E$8)),SUMIFS('[1]NS Vendor Details'!$D:$D,'[1]NS Vendor Details'!$H:$H,'G&amp;A Vendor x GL Analysis'!X$20,'[1]NS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Analysis'!X$20,'[1]NS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Analysis'!$E162),IF(X$15="Actual",SUMIFS('[1]NS Vendor Details'!$D:$D,'[1]NS Vendor Details'!$H:$H,'G&amp;A Vendor x GL Analysis'!X$20,'[1]NS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Analysis'!X$20,'[1]NS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Y162" s="17">
        <f>IF(AND(Y$15="Actual",ISBLANK($E$8)),SUMIFS('[1]NS Vendor Details'!$D:$D,'[1]NS Vendor Details'!$H:$H,'G&amp;A Vendor x GL Analysis'!Y$20,'[1]NS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Analysis'!Y$20,'[1]NS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Analysis'!$E162),IF(Y$15="Actual",SUMIFS('[1]NS Vendor Details'!$D:$D,'[1]NS Vendor Details'!$H:$H,'G&amp;A Vendor x GL Analysis'!Y$20,'[1]NS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Analysis'!Y$20,'[1]NS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Z162" s="17">
        <f>IF(AND(Z$15="Actual",ISBLANK($E$8)),SUMIFS('[1]NS Vendor Details'!$D:$D,'[1]NS Vendor Details'!$H:$H,'G&amp;A Vendor x GL Analysis'!Z$20,'[1]NS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Analysis'!Z$20,'[1]NS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Analysis'!$E162),IF(Z$15="Actual",SUMIFS('[1]NS Vendor Details'!$D:$D,'[1]NS Vendor Details'!$H:$H,'G&amp;A Vendor x GL Analysis'!Z$20,'[1]NS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Analysis'!Z$20,'[1]NS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AA162" s="17">
        <f>IF(AND(AA$15="Actual",ISBLANK($E$8)),SUMIFS('[1]NS Vendor Details'!$D:$D,'[1]NS Vendor Details'!$H:$H,'G&amp;A Vendor x GL Analysis'!AA$20,'[1]NS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Analysis'!AA$20,'[1]NS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Analysis'!$E162),IF(AA$15="Actual",SUMIFS('[1]NS Vendor Details'!$D:$D,'[1]NS Vendor Details'!$H:$H,'G&amp;A Vendor x GL Analysis'!AA$20,'[1]NS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Analysis'!AA$20,'[1]NS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AB162" s="17">
        <f>IF(AND(AB$15="Actual",ISBLANK($E$8)),SUMIFS('[1]NS Vendor Details'!$D:$D,'[1]NS Vendor Details'!$H:$H,'G&amp;A Vendor x GL Analysis'!AB$20,'[1]NS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Analysis'!AB$20,'[1]NS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Analysis'!$E162),IF(AB$15="Actual",SUMIFS('[1]NS Vendor Details'!$D:$D,'[1]NS Vendor Details'!$H:$H,'G&amp;A Vendor x GL Analysis'!AB$20,'[1]NS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Analysis'!AB$20,'[1]NS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AC162" s="18">
        <f>IF(AND(AC$15="Actual",ISBLANK($E$8)),SUMIFS('[1]NS Vendor Details'!$D:$D,'[1]NS Vendor Details'!$H:$H,'G&amp;A Vendor x GL Analysis'!AC$20,'[1]NS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Analysis'!AC$20,'[1]NS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Analysis'!$E162),IF(AC$15="Actual",SUMIFS('[1]NS Vendor Details'!$D:$D,'[1]NS Vendor Details'!$H:$H,'G&amp;A Vendor x GL Analysis'!AC$20,'[1]NS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Analysis'!AC$20,'[1]NS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AD162" s="18">
        <f>IF(AND(AD$15="Actual",ISBLANK($E$8)),SUMIFS('[1]NS Vendor Details'!$D:$D,'[1]NS Vendor Details'!$H:$H,'G&amp;A Vendor x GL Analysis'!AD$20,'[1]NS Vendor Details'!$L:$L,'G&amp;A Vendor x GL Analysis'!$D162,'[1]NS Vendor Details'!$O:$O,'G&amp;A Vendor x GL Analysis'!$F162,'[1]NS Vendor Details'!$N:$N,'G&amp;A Vendor x GL Analysis'!$C162,'[1]NS Vendor Details'!$I:$I,'G&amp;A Vendor x GL Analysis'!$E162)+SUMIFS('[1]NS Vendor Details'!$D:$D,'[1]NS Vendor Details'!$H:$H,'G&amp;A Vendor x GL Analysis'!AD$20,'[1]NS Vendor Details'!$L:$L,'G&amp;A Vendor x GL Analysis'!$D162,'[1]NS Vendor Details'!$O:$O,'G&amp;A Vendor x GL Analysis'!$F162,'[1]NS Vendor Details'!$N:$N,"Direct Costs",'[1]NS Vendor Details'!$J:$J,0,'[1]NS Vendor Details'!$I:$I,'G&amp;A Vendor x GL Analysis'!$E162),IF(AD$15="Actual",SUMIFS('[1]NS Vendor Details'!$D:$D,'[1]NS Vendor Details'!$H:$H,'G&amp;A Vendor x GL Analysis'!AD$20,'[1]NS Vendor Details'!$L:$L,'G&amp;A Vendor x GL Analysis'!$D162,'[1]NS Vendor Details'!$O:$O,'G&amp;A Vendor x GL Analysis'!$F162,'[1]NS Vendor Details'!$N:$N,'G&amp;A Vendor x GL Analysis'!$C162,'[1]NS Vendor Details'!$K:$K,'G&amp;A Vendor x GL Analysis'!$E$8,'[1]NS Vendor Details'!$I:$I,'G&amp;A Vendor x GL Analysis'!$E162)+SUMIFS('[1]NS Vendor Details'!$D:$D,'[1]NS Vendor Details'!$H:$H,'G&amp;A Vendor x GL Analysis'!AD$20,'[1]NS Vendor Details'!$L:$L,'G&amp;A Vendor x GL Analysis'!$D162,'[1]NS Vendor Details'!$O:$O,'G&amp;A Vendor x GL Analysis'!$F162,'[1]NS Vendor Details'!$N:$N,"Direct Costs",'[1]NS Vendor Details'!$J:$J,0,'[1]NS Vendor Details'!$K:$K,'G&amp;A Vendor x GL Analysis'!$E$8,'[1]NS Vendor Details'!$I:$I,'G&amp;A Vendor x GL Analysis'!$E162),0))</f>
        <v>0</v>
      </c>
      <c r="AF162" s="19">
        <f t="shared" si="23"/>
        <v>0</v>
      </c>
    </row>
    <row r="163" spans="1:32" ht="15">
      <c r="A163" s="8" t="str">
        <f t="shared" si="22"/>
        <v>Other</v>
      </c>
      <c r="B163" s="8" t="s">
        <v>9</v>
      </c>
      <c r="E163" s="9" t="s">
        <v>152</v>
      </c>
      <c r="F163" s="9"/>
      <c r="G163" s="12">
        <f t="shared" ref="G163:AD163" si="25">SUMIFS(G:G,$D:$D,$E163)</f>
        <v>1523.8600000000006</v>
      </c>
      <c r="H163" s="13">
        <f t="shared" si="25"/>
        <v>37950.369999999995</v>
      </c>
      <c r="I163" s="13">
        <f t="shared" si="25"/>
        <v>-608153.88</v>
      </c>
      <c r="J163" s="13">
        <f t="shared" si="25"/>
        <v>56472.26999999999</v>
      </c>
      <c r="K163" s="13">
        <f t="shared" si="25"/>
        <v>14220.920000000004</v>
      </c>
      <c r="L163" s="13">
        <f t="shared" si="25"/>
        <v>146798.44999999998</v>
      </c>
      <c r="M163" s="13">
        <f t="shared" si="25"/>
        <v>34287.85</v>
      </c>
      <c r="N163" s="13">
        <f t="shared" si="25"/>
        <v>20721.949999999997</v>
      </c>
      <c r="O163" s="13">
        <f t="shared" si="25"/>
        <v>-47245.910000000069</v>
      </c>
      <c r="P163" s="13">
        <f t="shared" si="25"/>
        <v>28779.350000000002</v>
      </c>
      <c r="Q163" s="13">
        <f t="shared" si="25"/>
        <v>42611.270000000004</v>
      </c>
      <c r="R163" s="14">
        <f t="shared" si="25"/>
        <v>2547988.25</v>
      </c>
      <c r="S163" s="12">
        <f t="shared" si="25"/>
        <v>8123.0499999999984</v>
      </c>
      <c r="T163" s="13">
        <f t="shared" si="25"/>
        <v>12141.339999999998</v>
      </c>
      <c r="U163" s="13">
        <f t="shared" si="25"/>
        <v>97426.2</v>
      </c>
      <c r="V163" s="13">
        <f t="shared" si="25"/>
        <v>6880.8899999999985</v>
      </c>
      <c r="W163" s="13">
        <f t="shared" si="25"/>
        <v>11079.789999999997</v>
      </c>
      <c r="X163" s="13">
        <f t="shared" si="25"/>
        <v>24721.009999999995</v>
      </c>
      <c r="Y163" s="13">
        <f t="shared" si="25"/>
        <v>15393.14</v>
      </c>
      <c r="Z163" s="13">
        <f t="shared" si="25"/>
        <v>25767.689999999995</v>
      </c>
      <c r="AA163" s="13">
        <f t="shared" si="25"/>
        <v>-30144.52</v>
      </c>
      <c r="AB163" s="13">
        <f t="shared" si="25"/>
        <v>20652.600000000006</v>
      </c>
      <c r="AC163" s="14">
        <f t="shared" si="25"/>
        <v>16293.439999999999</v>
      </c>
      <c r="AD163" s="14">
        <f t="shared" si="25"/>
        <v>0</v>
      </c>
      <c r="AF163" s="15">
        <f t="shared" si="23"/>
        <v>268623.67</v>
      </c>
    </row>
    <row r="164" spans="1:32" outlineLevel="1">
      <c r="A164" s="8" t="str">
        <f t="shared" si="22"/>
        <v>Other6340 - Miscellaneous Expense</v>
      </c>
      <c r="C164" s="8" t="s">
        <v>11</v>
      </c>
      <c r="D164" s="8" t="str">
        <f>E163</f>
        <v>Other</v>
      </c>
      <c r="E164" s="2" t="s">
        <v>153</v>
      </c>
      <c r="F164" s="2" t="s">
        <v>16</v>
      </c>
      <c r="G164" s="16">
        <f>IF(AND(G$15="Actual",ISBLANK($E$8)),SUMIFS('[1]NS Vendor Details'!$D:$D,'[1]NS Vendor Details'!$H:$H,'G&amp;A Vendor x GL Analysis'!G$20,'[1]NS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Analysis'!G$20,'[1]NS Vendor Details'!$O:$O,'G&amp;A Vendor x GL Analysis'!$F164,'[1]NS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Analysis'!G$20,'[1]NS Vendor Details'!$O:$O,'G&amp;A Vendor x GL Analysis'!$F164,'[1]NS Vendor Details'!$N:$N,"Direct Costs",'[1]NS Vendor Details'!$J:$J,0,'[1]NS Vendor Details'!$K:$K,'G&amp;A Vendor x GL Analysis'!$E$8,'[1]NS Vendor Details'!$L:$L,"Freight"),0))</f>
        <v>1197.42</v>
      </c>
      <c r="H164" s="17">
        <f>IF(AND(H$15="Actual",ISBLANK($E$8)),SUMIFS('[1]NS Vendor Details'!$D:$D,'[1]NS Vendor Details'!$H:$H,'G&amp;A Vendor x GL Analysis'!H$20,'[1]NS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Analysis'!H$20,'[1]NS Vendor Details'!$O:$O,'G&amp;A Vendor x GL Analysis'!$F164,'[1]NS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Analysis'!H$20,'[1]NS Vendor Details'!$O:$O,'G&amp;A Vendor x GL Analysis'!$F164,'[1]NS Vendor Details'!$N:$N,"Direct Costs",'[1]NS Vendor Details'!$J:$J,0,'[1]NS Vendor Details'!$K:$K,'G&amp;A Vendor x GL Analysis'!$E$8,'[1]NS Vendor Details'!$L:$L,"Freight"),0))</f>
        <v>5654.23</v>
      </c>
      <c r="I164" s="17">
        <f>IF(AND(I$15="Actual",ISBLANK($E$8)),SUMIFS('[1]NS Vendor Details'!$D:$D,'[1]NS Vendor Details'!$H:$H,'G&amp;A Vendor x GL Analysis'!I$20,'[1]NS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Analysis'!I$20,'[1]NS Vendor Details'!$O:$O,'G&amp;A Vendor x GL Analysis'!$F164,'[1]NS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Analysis'!I$20,'[1]NS Vendor Details'!$O:$O,'G&amp;A Vendor x GL Analysis'!$F164,'[1]NS Vendor Details'!$N:$N,"Direct Costs",'[1]NS Vendor Details'!$J:$J,0,'[1]NS Vendor Details'!$K:$K,'G&amp;A Vendor x GL Analysis'!$E$8,'[1]NS Vendor Details'!$L:$L,"Freight"),0))</f>
        <v>-101939.95</v>
      </c>
      <c r="J164" s="17">
        <f>IF(AND(J$15="Actual",ISBLANK($E$8)),SUMIFS('[1]NS Vendor Details'!$D:$D,'[1]NS Vendor Details'!$H:$H,'G&amp;A Vendor x GL Analysis'!J$20,'[1]NS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Analysis'!J$20,'[1]NS Vendor Details'!$O:$O,'G&amp;A Vendor x GL Analysis'!$F164,'[1]NS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Analysis'!J$20,'[1]NS Vendor Details'!$O:$O,'G&amp;A Vendor x GL Analysis'!$F164,'[1]NS Vendor Details'!$N:$N,"Direct Costs",'[1]NS Vendor Details'!$J:$J,0,'[1]NS Vendor Details'!$K:$K,'G&amp;A Vendor x GL Analysis'!$E$8,'[1]NS Vendor Details'!$L:$L,"Freight"),0))</f>
        <v>6287.9999999999991</v>
      </c>
      <c r="K164" s="17">
        <f>IF(AND(K$15="Actual",ISBLANK($E$8)),SUMIFS('[1]NS Vendor Details'!$D:$D,'[1]NS Vendor Details'!$H:$H,'G&amp;A Vendor x GL Analysis'!K$20,'[1]NS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Analysis'!K$20,'[1]NS Vendor Details'!$O:$O,'G&amp;A Vendor x GL Analysis'!$F164,'[1]NS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Analysis'!K$20,'[1]NS Vendor Details'!$O:$O,'G&amp;A Vendor x GL Analysis'!$F164,'[1]NS Vendor Details'!$N:$N,"Direct Costs",'[1]NS Vendor Details'!$J:$J,0,'[1]NS Vendor Details'!$K:$K,'G&amp;A Vendor x GL Analysis'!$E$8,'[1]NS Vendor Details'!$L:$L,"Freight"),0))</f>
        <v>662.09999999999991</v>
      </c>
      <c r="L164" s="17">
        <f>IF(AND(L$15="Actual",ISBLANK($E$8)),SUMIFS('[1]NS Vendor Details'!$D:$D,'[1]NS Vendor Details'!$H:$H,'G&amp;A Vendor x GL Analysis'!L$20,'[1]NS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Analysis'!L$20,'[1]NS Vendor Details'!$O:$O,'G&amp;A Vendor x GL Analysis'!$F164,'[1]NS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Analysis'!L$20,'[1]NS Vendor Details'!$O:$O,'G&amp;A Vendor x GL Analysis'!$F164,'[1]NS Vendor Details'!$N:$N,"Direct Costs",'[1]NS Vendor Details'!$J:$J,0,'[1]NS Vendor Details'!$K:$K,'G&amp;A Vendor x GL Analysis'!$E$8,'[1]NS Vendor Details'!$L:$L,"Freight"),0))</f>
        <v>23111.42</v>
      </c>
      <c r="M164" s="17">
        <f>IF(AND(M$15="Actual",ISBLANK($E$8)),SUMIFS('[1]NS Vendor Details'!$D:$D,'[1]NS Vendor Details'!$H:$H,'G&amp;A Vendor x GL Analysis'!M$20,'[1]NS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Analysis'!M$20,'[1]NS Vendor Details'!$O:$O,'G&amp;A Vendor x GL Analysis'!$F164,'[1]NS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Analysis'!M$20,'[1]NS Vendor Details'!$O:$O,'G&amp;A Vendor x GL Analysis'!$F164,'[1]NS Vendor Details'!$N:$N,"Direct Costs",'[1]NS Vendor Details'!$J:$J,0,'[1]NS Vendor Details'!$K:$K,'G&amp;A Vendor x GL Analysis'!$E$8,'[1]NS Vendor Details'!$L:$L,"Freight"),0))</f>
        <v>5106.67</v>
      </c>
      <c r="N164" s="17">
        <f>IF(AND(N$15="Actual",ISBLANK($E$8)),SUMIFS('[1]NS Vendor Details'!$D:$D,'[1]NS Vendor Details'!$H:$H,'G&amp;A Vendor x GL Analysis'!N$20,'[1]NS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Analysis'!N$20,'[1]NS Vendor Details'!$O:$O,'G&amp;A Vendor x GL Analysis'!$F164,'[1]NS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Analysis'!N$20,'[1]NS Vendor Details'!$O:$O,'G&amp;A Vendor x GL Analysis'!$F164,'[1]NS Vendor Details'!$N:$N,"Direct Costs",'[1]NS Vendor Details'!$J:$J,0,'[1]NS Vendor Details'!$K:$K,'G&amp;A Vendor x GL Analysis'!$E$8,'[1]NS Vendor Details'!$L:$L,"Freight"),0))</f>
        <v>2126.6899999999996</v>
      </c>
      <c r="O164" s="17">
        <f>IF(AND(O$15="Actual",ISBLANK($E$8)),SUMIFS('[1]NS Vendor Details'!$D:$D,'[1]NS Vendor Details'!$H:$H,'G&amp;A Vendor x GL Analysis'!O$20,'[1]NS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Analysis'!O$20,'[1]NS Vendor Details'!$O:$O,'G&amp;A Vendor x GL Analysis'!$F164,'[1]NS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Analysis'!O$20,'[1]NS Vendor Details'!$O:$O,'G&amp;A Vendor x GL Analysis'!$F164,'[1]NS Vendor Details'!$N:$N,"Direct Costs",'[1]NS Vendor Details'!$J:$J,0,'[1]NS Vendor Details'!$K:$K,'G&amp;A Vendor x GL Analysis'!$E$8,'[1]NS Vendor Details'!$L:$L,"Freight"),0))</f>
        <v>-9885.550000000012</v>
      </c>
      <c r="P164" s="17">
        <f>IF(AND(P$15="Actual",ISBLANK($E$8)),SUMIFS('[1]NS Vendor Details'!$D:$D,'[1]NS Vendor Details'!$H:$H,'G&amp;A Vendor x GL Analysis'!P$20,'[1]NS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Analysis'!P$20,'[1]NS Vendor Details'!$O:$O,'G&amp;A Vendor x GL Analysis'!$F164,'[1]NS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Analysis'!P$20,'[1]NS Vendor Details'!$O:$O,'G&amp;A Vendor x GL Analysis'!$F164,'[1]NS Vendor Details'!$N:$N,"Direct Costs",'[1]NS Vendor Details'!$J:$J,0,'[1]NS Vendor Details'!$K:$K,'G&amp;A Vendor x GL Analysis'!$E$8,'[1]NS Vendor Details'!$L:$L,"Freight"),0))</f>
        <v>2964.97</v>
      </c>
      <c r="Q164" s="17">
        <f>IF(AND(Q$15="Actual",ISBLANK($E$8)),SUMIFS('[1]NS Vendor Details'!$D:$D,'[1]NS Vendor Details'!$H:$H,'G&amp;A Vendor x GL Analysis'!Q$20,'[1]NS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Analysis'!Q$20,'[1]NS Vendor Details'!$O:$O,'G&amp;A Vendor x GL Analysis'!$F164,'[1]NS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Analysis'!Q$20,'[1]NS Vendor Details'!$O:$O,'G&amp;A Vendor x GL Analysis'!$F164,'[1]NS Vendor Details'!$N:$N,"Direct Costs",'[1]NS Vendor Details'!$J:$J,0,'[1]NS Vendor Details'!$K:$K,'G&amp;A Vendor x GL Analysis'!$E$8,'[1]NS Vendor Details'!$L:$L,"Freight"),0))</f>
        <v>5717.5</v>
      </c>
      <c r="R164" s="18">
        <f>IF(AND(R$15="Actual",ISBLANK($E$8)),SUMIFS('[1]NS Vendor Details'!$D:$D,'[1]NS Vendor Details'!$H:$H,'G&amp;A Vendor x GL Analysis'!R$20,'[1]NS Vendor Details'!$L:$L,'G&amp;A Vendor x GL Analysis'!$D164,'[1]NS Vendor Details'!$O:$O,'G&amp;A Vendor x GL Analysis'!$F164,'[1]NS Vendor Details'!$N:$N,'G&amp;A Vendor x GL Analysis'!$C164)+SUMIFS('[1]NS Vendor Details'!$D:$D,'[1]NS Vendor Details'!$H:$H,'G&amp;A Vendor x GL Analysis'!R$20,'[1]NS Vendor Details'!$O:$O,'G&amp;A Vendor x GL Analysis'!$F164,'[1]NS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Analysis'!$D164,'[1]NS Vendor Details'!$O:$O,'G&amp;A Vendor x GL Analysis'!$F164,'[1]NS Vendor Details'!$N:$N,'G&amp;A Vendor x GL Analysis'!$C164,'[1]NS Vendor Details'!$K:$K,'G&amp;A Vendor x GL Analysis'!$E$8)+SUMIFS('[1]NS Vendor Details'!$D:$D,'[1]NS Vendor Details'!$H:$H,'G&amp;A Vendor x GL Analysis'!R$20,'[1]NS Vendor Details'!$O:$O,'G&amp;A Vendor x GL Analysis'!$F164,'[1]NS Vendor Details'!$N:$N,"Direct Costs",'[1]NS Vendor Details'!$J:$J,0,'[1]NS Vendor Details'!$K:$K,'G&amp;A Vendor x GL Analysis'!$E$8,'[1]NS Vendor Details'!$L:$L,"Freight"),0))</f>
        <v>423379.83</v>
      </c>
      <c r="S164" s="16">
        <f>IF(AND(S$15="Actual",ISBLANK($E$8)),SUMIFS('[1]NS Vendor Details'!$D:$D,'[1]NS Vendor Details'!$H:$H,'G&amp;A Vendor x GL Analysis'!S$20,'[1]NS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Analysis'!S$20,'[1]NS Vendor Details'!$O:$O,'G&amp;A Vendor x GL Analysis'!$F164,'[1]NS Vendor Details'!$N:$N,"Direct Costs",'[1]NS Vendor Details'!$J:$J,0,'[1]NS Vendor Details'!$L:$L,"Freight",'[1]NS Vendor Details'!$I:$I,'G&amp;A Vendor x GL Analysis'!$E164),IF(S$15="Actual",SUMIFS('[1]NS Vendor Details'!$D:$D,'[1]NS Vendor Details'!$H:$H,'G&amp;A Vendor x GL Analysis'!S$20,'[1]NS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Analysis'!S$20,'[1]NS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864.48</v>
      </c>
      <c r="T164" s="17">
        <f>IF(AND(T$15="Actual",ISBLANK($E$8)),SUMIFS('[1]NS Vendor Details'!$D:$D,'[1]NS Vendor Details'!$H:$H,'G&amp;A Vendor x GL Analysis'!T$20,'[1]NS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Analysis'!T$20,'[1]NS Vendor Details'!$O:$O,'G&amp;A Vendor x GL Analysis'!$F164,'[1]NS Vendor Details'!$N:$N,"Direct Costs",'[1]NS Vendor Details'!$J:$J,0,'[1]NS Vendor Details'!$L:$L,"Freight",'[1]NS Vendor Details'!$I:$I,'G&amp;A Vendor x GL Analysis'!$E164),IF(T$15="Actual",SUMIFS('[1]NS Vendor Details'!$D:$D,'[1]NS Vendor Details'!$H:$H,'G&amp;A Vendor x GL Analysis'!T$20,'[1]NS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Analysis'!T$20,'[1]NS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628.58000000000004</v>
      </c>
      <c r="U164" s="17">
        <f>IF(AND(U$15="Actual",ISBLANK($E$8)),SUMIFS('[1]NS Vendor Details'!$D:$D,'[1]NS Vendor Details'!$H:$H,'G&amp;A Vendor x GL Analysis'!U$20,'[1]NS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Analysis'!U$20,'[1]NS Vendor Details'!$O:$O,'G&amp;A Vendor x GL Analysis'!$F164,'[1]NS Vendor Details'!$N:$N,"Direct Costs",'[1]NS Vendor Details'!$J:$J,0,'[1]NS Vendor Details'!$L:$L,"Freight",'[1]NS Vendor Details'!$I:$I,'G&amp;A Vendor x GL Analysis'!$E164),IF(U$15="Actual",SUMIFS('[1]NS Vendor Details'!$D:$D,'[1]NS Vendor Details'!$H:$H,'G&amp;A Vendor x GL Analysis'!U$20,'[1]NS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Analysis'!U$20,'[1]NS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524.56000000000006</v>
      </c>
      <c r="V164" s="17">
        <f>IF(AND(V$15="Actual",ISBLANK($E$8)),SUMIFS('[1]NS Vendor Details'!$D:$D,'[1]NS Vendor Details'!$H:$H,'G&amp;A Vendor x GL Analysis'!V$20,'[1]NS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Analysis'!V$20,'[1]NS Vendor Details'!$O:$O,'G&amp;A Vendor x GL Analysis'!$F164,'[1]NS Vendor Details'!$N:$N,"Direct Costs",'[1]NS Vendor Details'!$J:$J,0,'[1]NS Vendor Details'!$L:$L,"Freight",'[1]NS Vendor Details'!$I:$I,'G&amp;A Vendor x GL Analysis'!$E164),IF(V$15="Actual",SUMIFS('[1]NS Vendor Details'!$D:$D,'[1]NS Vendor Details'!$H:$H,'G&amp;A Vendor x GL Analysis'!V$20,'[1]NS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Analysis'!V$20,'[1]NS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42.31</v>
      </c>
      <c r="W164" s="17">
        <f>IF(AND(W$15="Actual",ISBLANK($E$8)),SUMIFS('[1]NS Vendor Details'!$D:$D,'[1]NS Vendor Details'!$H:$H,'G&amp;A Vendor x GL Analysis'!W$20,'[1]NS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Analysis'!W$20,'[1]NS Vendor Details'!$O:$O,'G&amp;A Vendor x GL Analysis'!$F164,'[1]NS Vendor Details'!$N:$N,"Direct Costs",'[1]NS Vendor Details'!$J:$J,0,'[1]NS Vendor Details'!$L:$L,"Freight",'[1]NS Vendor Details'!$I:$I,'G&amp;A Vendor x GL Analysis'!$E164),IF(W$15="Actual",SUMIFS('[1]NS Vendor Details'!$D:$D,'[1]NS Vendor Details'!$H:$H,'G&amp;A Vendor x GL Analysis'!W$20,'[1]NS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Analysis'!W$20,'[1]NS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315.72000000000003</v>
      </c>
      <c r="X164" s="17">
        <f>IF(AND(X$15="Actual",ISBLANK($E$8)),SUMIFS('[1]NS Vendor Details'!$D:$D,'[1]NS Vendor Details'!$H:$H,'G&amp;A Vendor x GL Analysis'!X$20,'[1]NS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Analysis'!X$20,'[1]NS Vendor Details'!$O:$O,'G&amp;A Vendor x GL Analysis'!$F164,'[1]NS Vendor Details'!$N:$N,"Direct Costs",'[1]NS Vendor Details'!$J:$J,0,'[1]NS Vendor Details'!$L:$L,"Freight",'[1]NS Vendor Details'!$I:$I,'G&amp;A Vendor x GL Analysis'!$E164),IF(X$15="Actual",SUMIFS('[1]NS Vendor Details'!$D:$D,'[1]NS Vendor Details'!$H:$H,'G&amp;A Vendor x GL Analysis'!X$20,'[1]NS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Analysis'!X$20,'[1]NS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887.15000000000009</v>
      </c>
      <c r="Y164" s="17">
        <f>IF(AND(Y$15="Actual",ISBLANK($E$8)),SUMIFS('[1]NS Vendor Details'!$D:$D,'[1]NS Vendor Details'!$H:$H,'G&amp;A Vendor x GL Analysis'!Y$20,'[1]NS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Analysis'!Y$20,'[1]NS Vendor Details'!$O:$O,'G&amp;A Vendor x GL Analysis'!$F164,'[1]NS Vendor Details'!$N:$N,"Direct Costs",'[1]NS Vendor Details'!$J:$J,0,'[1]NS Vendor Details'!$L:$L,"Freight",'[1]NS Vendor Details'!$I:$I,'G&amp;A Vendor x GL Analysis'!$E164),IF(Y$15="Actual",SUMIFS('[1]NS Vendor Details'!$D:$D,'[1]NS Vendor Details'!$H:$H,'G&amp;A Vendor x GL Analysis'!Y$20,'[1]NS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Analysis'!Y$20,'[1]NS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211.89</v>
      </c>
      <c r="Z164" s="17">
        <f>IF(AND(Z$15="Actual",ISBLANK($E$8)),SUMIFS('[1]NS Vendor Details'!$D:$D,'[1]NS Vendor Details'!$H:$H,'G&amp;A Vendor x GL Analysis'!Z$20,'[1]NS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Analysis'!Z$20,'[1]NS Vendor Details'!$O:$O,'G&amp;A Vendor x GL Analysis'!$F164,'[1]NS Vendor Details'!$N:$N,"Direct Costs",'[1]NS Vendor Details'!$J:$J,0,'[1]NS Vendor Details'!$L:$L,"Freight",'[1]NS Vendor Details'!$I:$I,'G&amp;A Vendor x GL Analysis'!$E164),IF(Z$15="Actual",SUMIFS('[1]NS Vendor Details'!$D:$D,'[1]NS Vendor Details'!$H:$H,'G&amp;A Vendor x GL Analysis'!Z$20,'[1]NS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Analysis'!Z$20,'[1]NS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10716.699999999999</v>
      </c>
      <c r="AA164" s="17">
        <f>IF(AND(AA$15="Actual",ISBLANK($E$8)),SUMIFS('[1]NS Vendor Details'!$D:$D,'[1]NS Vendor Details'!$H:$H,'G&amp;A Vendor x GL Analysis'!AA$20,'[1]NS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Analysis'!AA$20,'[1]NS Vendor Details'!$O:$O,'G&amp;A Vendor x GL Analysis'!$F164,'[1]NS Vendor Details'!$N:$N,"Direct Costs",'[1]NS Vendor Details'!$J:$J,0,'[1]NS Vendor Details'!$L:$L,"Freight",'[1]NS Vendor Details'!$I:$I,'G&amp;A Vendor x GL Analysis'!$E164),IF(AA$15="Actual",SUMIFS('[1]NS Vendor Details'!$D:$D,'[1]NS Vendor Details'!$H:$H,'G&amp;A Vendor x GL Analysis'!AA$20,'[1]NS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Analysis'!AA$20,'[1]NS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576.88</v>
      </c>
      <c r="AB164" s="17">
        <f>IF(AND(AB$15="Actual",ISBLANK($E$8)),SUMIFS('[1]NS Vendor Details'!$D:$D,'[1]NS Vendor Details'!$H:$H,'G&amp;A Vendor x GL Analysis'!AB$20,'[1]NS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Analysis'!AB$20,'[1]NS Vendor Details'!$O:$O,'G&amp;A Vendor x GL Analysis'!$F164,'[1]NS Vendor Details'!$N:$N,"Direct Costs",'[1]NS Vendor Details'!$J:$J,0,'[1]NS Vendor Details'!$L:$L,"Freight",'[1]NS Vendor Details'!$I:$I,'G&amp;A Vendor x GL Analysis'!$E164),IF(AB$15="Actual",SUMIFS('[1]NS Vendor Details'!$D:$D,'[1]NS Vendor Details'!$H:$H,'G&amp;A Vendor x GL Analysis'!AB$20,'[1]NS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Analysis'!AB$20,'[1]NS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38.4</v>
      </c>
      <c r="AC164" s="18">
        <f>IF(AND(AC$15="Actual",ISBLANK($E$8)),SUMIFS('[1]NS Vendor Details'!$D:$D,'[1]NS Vendor Details'!$H:$H,'G&amp;A Vendor x GL Analysis'!AC$20,'[1]NS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Analysis'!AC$20,'[1]NS Vendor Details'!$O:$O,'G&amp;A Vendor x GL Analysis'!$F164,'[1]NS Vendor Details'!$N:$N,"Direct Costs",'[1]NS Vendor Details'!$J:$J,0,'[1]NS Vendor Details'!$L:$L,"Freight",'[1]NS Vendor Details'!$I:$I,'G&amp;A Vendor x GL Analysis'!$E164),IF(AC$15="Actual",SUMIFS('[1]NS Vendor Details'!$D:$D,'[1]NS Vendor Details'!$H:$H,'G&amp;A Vendor x GL Analysis'!AC$20,'[1]NS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Analysis'!AC$20,'[1]NS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0</v>
      </c>
      <c r="AD164" s="18">
        <f>IF(AND(AD$15="Actual",ISBLANK($E$8)),SUMIFS('[1]NS Vendor Details'!$D:$D,'[1]NS Vendor Details'!$H:$H,'G&amp;A Vendor x GL Analysis'!AD$20,'[1]NS Vendor Details'!$L:$L,'G&amp;A Vendor x GL Analysis'!$D164,'[1]NS Vendor Details'!$O:$O,'G&amp;A Vendor x GL Analysis'!$F164,'[1]NS Vendor Details'!$N:$N,'G&amp;A Vendor x GL Analysis'!$C164,'[1]NS Vendor Details'!$I:$I,'G&amp;A Vendor x GL Analysis'!$E164)+SUMIFS('[1]NS Vendor Details'!$D:$D,'[1]NS Vendor Details'!$H:$H,'G&amp;A Vendor x GL Analysis'!AD$20,'[1]NS Vendor Details'!$O:$O,'G&amp;A Vendor x GL Analysis'!$F164,'[1]NS Vendor Details'!$N:$N,"Direct Costs",'[1]NS Vendor Details'!$J:$J,0,'[1]NS Vendor Details'!$L:$L,"Freight",'[1]NS Vendor Details'!$I:$I,'G&amp;A Vendor x GL Analysis'!$E164),IF(AD$15="Actual",SUMIFS('[1]NS Vendor Details'!$D:$D,'[1]NS Vendor Details'!$H:$H,'G&amp;A Vendor x GL Analysis'!AD$20,'[1]NS Vendor Details'!$L:$L,'G&amp;A Vendor x GL Analysis'!$D164,'[1]NS Vendor Details'!$O:$O,'G&amp;A Vendor x GL Analysis'!$F164,'[1]NS Vendor Details'!$N:$N,'G&amp;A Vendor x GL Analysis'!$C164,'[1]NS Vendor Details'!$K:$K,'G&amp;A Vendor x GL Analysis'!$E$8,'[1]NS Vendor Details'!$I:$I,'G&amp;A Vendor x GL Analysis'!$E164)+SUMIFS('[1]NS Vendor Details'!$D:$D,'[1]NS Vendor Details'!$H:$H,'G&amp;A Vendor x GL Analysis'!AD$20,'[1]NS Vendor Details'!$O:$O,'G&amp;A Vendor x GL Analysis'!$F164,'[1]NS Vendor Details'!$N:$N,"Direct Costs",'[1]NS Vendor Details'!$J:$J,0,'[1]NS Vendor Details'!$K:$K,'G&amp;A Vendor x GL Analysis'!$E$8,'[1]NS Vendor Details'!$L:$L,"Freight",'[1]NS Vendor Details'!$I:$I,'G&amp;A Vendor x GL Analysis'!$E164),0))</f>
        <v>0</v>
      </c>
      <c r="AF164" s="19">
        <f t="shared" si="23"/>
        <v>14806.669999999998</v>
      </c>
    </row>
    <row r="165" spans="1:32" outlineLevel="1">
      <c r="A165" s="8" t="str">
        <f t="shared" ref="A165:A194" si="26">D165&amp;E165</f>
        <v>Other6340 - Miscellaneous Expense</v>
      </c>
      <c r="C165" s="8" t="s">
        <v>11</v>
      </c>
      <c r="D165" s="8" t="str">
        <f>D164</f>
        <v>Other</v>
      </c>
      <c r="E165" s="2" t="s">
        <v>153</v>
      </c>
      <c r="F165" s="2" t="s">
        <v>154</v>
      </c>
      <c r="G165" s="16">
        <f>IF(AND(G$15="Actual",ISBLANK($E$8)),SUMIFS('[1]NS Vendor Details'!$D:$D,'[1]NS Vendor Details'!$H:$H,'G&amp;A Vendor x GL Analysis'!G$20,'[1]NS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Analysis'!G$20,'[1]NS Vendor Details'!$O:$O,'G&amp;A Vendor x GL Analysis'!$F165,'[1]NS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Analysis'!G$20,'[1]NS Vendor Details'!$O:$O,'G&amp;A Vendor x GL Analysis'!$F165,'[1]NS Vendor Details'!$N:$N,"Direct Costs",'[1]NS Vendor Details'!$J:$J,0,'[1]NS Vendor Details'!$K:$K,'G&amp;A Vendor x GL Analysis'!$E$8,'[1]NS Vendor Details'!$L:$L,"Freight"),0))</f>
        <v>0</v>
      </c>
      <c r="H165" s="17">
        <f>IF(AND(H$15="Actual",ISBLANK($E$8)),SUMIFS('[1]NS Vendor Details'!$D:$D,'[1]NS Vendor Details'!$H:$H,'G&amp;A Vendor x GL Analysis'!H$20,'[1]NS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Analysis'!H$20,'[1]NS Vendor Details'!$O:$O,'G&amp;A Vendor x GL Analysis'!$F165,'[1]NS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Analysis'!H$20,'[1]NS Vendor Details'!$O:$O,'G&amp;A Vendor x GL Analysis'!$F165,'[1]NS Vendor Details'!$N:$N,"Direct Costs",'[1]NS Vendor Details'!$J:$J,0,'[1]NS Vendor Details'!$K:$K,'G&amp;A Vendor x GL Analysis'!$E$8,'[1]NS Vendor Details'!$L:$L,"Freight"),0))</f>
        <v>0</v>
      </c>
      <c r="I165" s="17">
        <f>IF(AND(I$15="Actual",ISBLANK($E$8)),SUMIFS('[1]NS Vendor Details'!$D:$D,'[1]NS Vendor Details'!$H:$H,'G&amp;A Vendor x GL Analysis'!I$20,'[1]NS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Analysis'!I$20,'[1]NS Vendor Details'!$O:$O,'G&amp;A Vendor x GL Analysis'!$F165,'[1]NS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Analysis'!I$20,'[1]NS Vendor Details'!$O:$O,'G&amp;A Vendor x GL Analysis'!$F165,'[1]NS Vendor Details'!$N:$N,"Direct Costs",'[1]NS Vendor Details'!$J:$J,0,'[1]NS Vendor Details'!$K:$K,'G&amp;A Vendor x GL Analysis'!$E$8,'[1]NS Vendor Details'!$L:$L,"Freight"),0))</f>
        <v>0</v>
      </c>
      <c r="J165" s="17">
        <f>IF(AND(J$15="Actual",ISBLANK($E$8)),SUMIFS('[1]NS Vendor Details'!$D:$D,'[1]NS Vendor Details'!$H:$H,'G&amp;A Vendor x GL Analysis'!J$20,'[1]NS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Analysis'!J$20,'[1]NS Vendor Details'!$O:$O,'G&amp;A Vendor x GL Analysis'!$F165,'[1]NS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Analysis'!J$20,'[1]NS Vendor Details'!$O:$O,'G&amp;A Vendor x GL Analysis'!$F165,'[1]NS Vendor Details'!$N:$N,"Direct Costs",'[1]NS Vendor Details'!$J:$J,0,'[1]NS Vendor Details'!$K:$K,'G&amp;A Vendor x GL Analysis'!$E$8,'[1]NS Vendor Details'!$L:$L,"Freight"),0))</f>
        <v>0</v>
      </c>
      <c r="K165" s="17">
        <f>IF(AND(K$15="Actual",ISBLANK($E$8)),SUMIFS('[1]NS Vendor Details'!$D:$D,'[1]NS Vendor Details'!$H:$H,'G&amp;A Vendor x GL Analysis'!K$20,'[1]NS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Analysis'!K$20,'[1]NS Vendor Details'!$O:$O,'G&amp;A Vendor x GL Analysis'!$F165,'[1]NS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Analysis'!K$20,'[1]NS Vendor Details'!$O:$O,'G&amp;A Vendor x GL Analysis'!$F165,'[1]NS Vendor Details'!$N:$N,"Direct Costs",'[1]NS Vendor Details'!$J:$J,0,'[1]NS Vendor Details'!$K:$K,'G&amp;A Vendor x GL Analysis'!$E$8,'[1]NS Vendor Details'!$L:$L,"Freight"),0))</f>
        <v>0</v>
      </c>
      <c r="L165" s="17">
        <f>IF(AND(L$15="Actual",ISBLANK($E$8)),SUMIFS('[1]NS Vendor Details'!$D:$D,'[1]NS Vendor Details'!$H:$H,'G&amp;A Vendor x GL Analysis'!L$20,'[1]NS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Analysis'!L$20,'[1]NS Vendor Details'!$O:$O,'G&amp;A Vendor x GL Analysis'!$F165,'[1]NS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Analysis'!L$20,'[1]NS Vendor Details'!$O:$O,'G&amp;A Vendor x GL Analysis'!$F165,'[1]NS Vendor Details'!$N:$N,"Direct Costs",'[1]NS Vendor Details'!$J:$J,0,'[1]NS Vendor Details'!$K:$K,'G&amp;A Vendor x GL Analysis'!$E$8,'[1]NS Vendor Details'!$L:$L,"Freight"),0))</f>
        <v>1375.8</v>
      </c>
      <c r="M165" s="17">
        <f>IF(AND(M$15="Actual",ISBLANK($E$8)),SUMIFS('[1]NS Vendor Details'!$D:$D,'[1]NS Vendor Details'!$H:$H,'G&amp;A Vendor x GL Analysis'!M$20,'[1]NS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Analysis'!M$20,'[1]NS Vendor Details'!$O:$O,'G&amp;A Vendor x GL Analysis'!$F165,'[1]NS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Analysis'!M$20,'[1]NS Vendor Details'!$O:$O,'G&amp;A Vendor x GL Analysis'!$F165,'[1]NS Vendor Details'!$N:$N,"Direct Costs",'[1]NS Vendor Details'!$J:$J,0,'[1]NS Vendor Details'!$K:$K,'G&amp;A Vendor x GL Analysis'!$E$8,'[1]NS Vendor Details'!$L:$L,"Freight"),0))</f>
        <v>0</v>
      </c>
      <c r="N165" s="17">
        <f>IF(AND(N$15="Actual",ISBLANK($E$8)),SUMIFS('[1]NS Vendor Details'!$D:$D,'[1]NS Vendor Details'!$H:$H,'G&amp;A Vendor x GL Analysis'!N$20,'[1]NS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Analysis'!N$20,'[1]NS Vendor Details'!$O:$O,'G&amp;A Vendor x GL Analysis'!$F165,'[1]NS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Analysis'!N$20,'[1]NS Vendor Details'!$O:$O,'G&amp;A Vendor x GL Analysis'!$F165,'[1]NS Vendor Details'!$N:$N,"Direct Costs",'[1]NS Vendor Details'!$J:$J,0,'[1]NS Vendor Details'!$K:$K,'G&amp;A Vendor x GL Analysis'!$E$8,'[1]NS Vendor Details'!$L:$L,"Freight"),0))</f>
        <v>1429.73</v>
      </c>
      <c r="O165" s="17">
        <f>IF(AND(O$15="Actual",ISBLANK($E$8)),SUMIFS('[1]NS Vendor Details'!$D:$D,'[1]NS Vendor Details'!$H:$H,'G&amp;A Vendor x GL Analysis'!O$20,'[1]NS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Analysis'!O$20,'[1]NS Vendor Details'!$O:$O,'G&amp;A Vendor x GL Analysis'!$F165,'[1]NS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Analysis'!O$20,'[1]NS Vendor Details'!$O:$O,'G&amp;A Vendor x GL Analysis'!$F165,'[1]NS Vendor Details'!$N:$N,"Direct Costs",'[1]NS Vendor Details'!$J:$J,0,'[1]NS Vendor Details'!$K:$K,'G&amp;A Vendor x GL Analysis'!$E$8,'[1]NS Vendor Details'!$L:$L,"Freight"),0))</f>
        <v>229.42</v>
      </c>
      <c r="P165" s="17">
        <f>IF(AND(P$15="Actual",ISBLANK($E$8)),SUMIFS('[1]NS Vendor Details'!$D:$D,'[1]NS Vendor Details'!$H:$H,'G&amp;A Vendor x GL Analysis'!P$20,'[1]NS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Analysis'!P$20,'[1]NS Vendor Details'!$O:$O,'G&amp;A Vendor x GL Analysis'!$F165,'[1]NS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Analysis'!P$20,'[1]NS Vendor Details'!$O:$O,'G&amp;A Vendor x GL Analysis'!$F165,'[1]NS Vendor Details'!$N:$N,"Direct Costs",'[1]NS Vendor Details'!$J:$J,0,'[1]NS Vendor Details'!$K:$K,'G&amp;A Vendor x GL Analysis'!$E$8,'[1]NS Vendor Details'!$L:$L,"Freight"),0))</f>
        <v>177.45</v>
      </c>
      <c r="Q165" s="17">
        <f>IF(AND(Q$15="Actual",ISBLANK($E$8)),SUMIFS('[1]NS Vendor Details'!$D:$D,'[1]NS Vendor Details'!$H:$H,'G&amp;A Vendor x GL Analysis'!Q$20,'[1]NS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Analysis'!Q$20,'[1]NS Vendor Details'!$O:$O,'G&amp;A Vendor x GL Analysis'!$F165,'[1]NS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Analysis'!Q$20,'[1]NS Vendor Details'!$O:$O,'G&amp;A Vendor x GL Analysis'!$F165,'[1]NS Vendor Details'!$N:$N,"Direct Costs",'[1]NS Vendor Details'!$J:$J,0,'[1]NS Vendor Details'!$K:$K,'G&amp;A Vendor x GL Analysis'!$E$8,'[1]NS Vendor Details'!$L:$L,"Freight"),0))</f>
        <v>885.47</v>
      </c>
      <c r="R165" s="18">
        <f>IF(AND(R$15="Actual",ISBLANK($E$8)),SUMIFS('[1]NS Vendor Details'!$D:$D,'[1]NS Vendor Details'!$H:$H,'G&amp;A Vendor x GL Analysis'!R$20,'[1]NS Vendor Details'!$L:$L,'G&amp;A Vendor x GL Analysis'!$D165,'[1]NS Vendor Details'!$O:$O,'G&amp;A Vendor x GL Analysis'!$F165,'[1]NS Vendor Details'!$N:$N,'G&amp;A Vendor x GL Analysis'!$C165)+SUMIFS('[1]NS Vendor Details'!$D:$D,'[1]NS Vendor Details'!$H:$H,'G&amp;A Vendor x GL Analysis'!R$20,'[1]NS Vendor Details'!$O:$O,'G&amp;A Vendor x GL Analysis'!$F165,'[1]NS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Analysis'!$D165,'[1]NS Vendor Details'!$O:$O,'G&amp;A Vendor x GL Analysis'!$F165,'[1]NS Vendor Details'!$N:$N,'G&amp;A Vendor x GL Analysis'!$C165,'[1]NS Vendor Details'!$K:$K,'G&amp;A Vendor x GL Analysis'!$E$8)+SUMIFS('[1]NS Vendor Details'!$D:$D,'[1]NS Vendor Details'!$H:$H,'G&amp;A Vendor x GL Analysis'!R$20,'[1]NS Vendor Details'!$O:$O,'G&amp;A Vendor x GL Analysis'!$F165,'[1]NS Vendor Details'!$N:$N,"Direct Costs",'[1]NS Vendor Details'!$J:$J,0,'[1]NS Vendor Details'!$K:$K,'G&amp;A Vendor x GL Analysis'!$E$8,'[1]NS Vendor Details'!$L:$L,"Freight"),0))</f>
        <v>527.48</v>
      </c>
      <c r="S165" s="16">
        <f>IF(AND(S$15="Actual",ISBLANK($E$8)),SUMIFS('[1]NS Vendor Details'!$D:$D,'[1]NS Vendor Details'!$H:$H,'G&amp;A Vendor x GL Analysis'!S$20,'[1]NS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Analysis'!S$20,'[1]NS Vendor Details'!$O:$O,'G&amp;A Vendor x GL Analysis'!$F165,'[1]NS Vendor Details'!$N:$N,"Direct Costs",'[1]NS Vendor Details'!$J:$J,0,'[1]NS Vendor Details'!$L:$L,"Freight",'[1]NS Vendor Details'!$I:$I,'G&amp;A Vendor x GL Analysis'!$E165),IF(S$15="Actual",SUMIFS('[1]NS Vendor Details'!$D:$D,'[1]NS Vendor Details'!$H:$H,'G&amp;A Vendor x GL Analysis'!S$20,'[1]NS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Analysis'!S$20,'[1]NS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1291.55</v>
      </c>
      <c r="T165" s="17">
        <f>IF(AND(T$15="Actual",ISBLANK($E$8)),SUMIFS('[1]NS Vendor Details'!$D:$D,'[1]NS Vendor Details'!$H:$H,'G&amp;A Vendor x GL Analysis'!T$20,'[1]NS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Analysis'!T$20,'[1]NS Vendor Details'!$O:$O,'G&amp;A Vendor x GL Analysis'!$F165,'[1]NS Vendor Details'!$N:$N,"Direct Costs",'[1]NS Vendor Details'!$J:$J,0,'[1]NS Vendor Details'!$L:$L,"Freight",'[1]NS Vendor Details'!$I:$I,'G&amp;A Vendor x GL Analysis'!$E165),IF(T$15="Actual",SUMIFS('[1]NS Vendor Details'!$D:$D,'[1]NS Vendor Details'!$H:$H,'G&amp;A Vendor x GL Analysis'!T$20,'[1]NS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Analysis'!T$20,'[1]NS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252.1</v>
      </c>
      <c r="U165" s="17">
        <f>IF(AND(U$15="Actual",ISBLANK($E$8)),SUMIFS('[1]NS Vendor Details'!$D:$D,'[1]NS Vendor Details'!$H:$H,'G&amp;A Vendor x GL Analysis'!U$20,'[1]NS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Analysis'!U$20,'[1]NS Vendor Details'!$O:$O,'G&amp;A Vendor x GL Analysis'!$F165,'[1]NS Vendor Details'!$N:$N,"Direct Costs",'[1]NS Vendor Details'!$J:$J,0,'[1]NS Vendor Details'!$L:$L,"Freight",'[1]NS Vendor Details'!$I:$I,'G&amp;A Vendor x GL Analysis'!$E165),IF(U$15="Actual",SUMIFS('[1]NS Vendor Details'!$D:$D,'[1]NS Vendor Details'!$H:$H,'G&amp;A Vendor x GL Analysis'!U$20,'[1]NS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Analysis'!U$20,'[1]NS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366.2</v>
      </c>
      <c r="V165" s="17">
        <f>IF(AND(V$15="Actual",ISBLANK($E$8)),SUMIFS('[1]NS Vendor Details'!$D:$D,'[1]NS Vendor Details'!$H:$H,'G&amp;A Vendor x GL Analysis'!V$20,'[1]NS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Analysis'!V$20,'[1]NS Vendor Details'!$O:$O,'G&amp;A Vendor x GL Analysis'!$F165,'[1]NS Vendor Details'!$N:$N,"Direct Costs",'[1]NS Vendor Details'!$J:$J,0,'[1]NS Vendor Details'!$L:$L,"Freight",'[1]NS Vendor Details'!$I:$I,'G&amp;A Vendor x GL Analysis'!$E165),IF(V$15="Actual",SUMIFS('[1]NS Vendor Details'!$D:$D,'[1]NS Vendor Details'!$H:$H,'G&amp;A Vendor x GL Analysis'!V$20,'[1]NS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Analysis'!V$20,'[1]NS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184.69</v>
      </c>
      <c r="W165" s="17">
        <f>IF(AND(W$15="Actual",ISBLANK($E$8)),SUMIFS('[1]NS Vendor Details'!$D:$D,'[1]NS Vendor Details'!$H:$H,'G&amp;A Vendor x GL Analysis'!W$20,'[1]NS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Analysis'!W$20,'[1]NS Vendor Details'!$O:$O,'G&amp;A Vendor x GL Analysis'!$F165,'[1]NS Vendor Details'!$N:$N,"Direct Costs",'[1]NS Vendor Details'!$J:$J,0,'[1]NS Vendor Details'!$L:$L,"Freight",'[1]NS Vendor Details'!$I:$I,'G&amp;A Vendor x GL Analysis'!$E165),IF(W$15="Actual",SUMIFS('[1]NS Vendor Details'!$D:$D,'[1]NS Vendor Details'!$H:$H,'G&amp;A Vendor x GL Analysis'!W$20,'[1]NS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Analysis'!W$20,'[1]NS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641.35</v>
      </c>
      <c r="X165" s="17">
        <f>IF(AND(X$15="Actual",ISBLANK($E$8)),SUMIFS('[1]NS Vendor Details'!$D:$D,'[1]NS Vendor Details'!$H:$H,'G&amp;A Vendor x GL Analysis'!X$20,'[1]NS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Analysis'!X$20,'[1]NS Vendor Details'!$O:$O,'G&amp;A Vendor x GL Analysis'!$F165,'[1]NS Vendor Details'!$N:$N,"Direct Costs",'[1]NS Vendor Details'!$J:$J,0,'[1]NS Vendor Details'!$L:$L,"Freight",'[1]NS Vendor Details'!$I:$I,'G&amp;A Vendor x GL Analysis'!$E165),IF(X$15="Actual",SUMIFS('[1]NS Vendor Details'!$D:$D,'[1]NS Vendor Details'!$H:$H,'G&amp;A Vendor x GL Analysis'!X$20,'[1]NS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Analysis'!X$20,'[1]NS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799.85</v>
      </c>
      <c r="Y165" s="17">
        <f>IF(AND(Y$15="Actual",ISBLANK($E$8)),SUMIFS('[1]NS Vendor Details'!$D:$D,'[1]NS Vendor Details'!$H:$H,'G&amp;A Vendor x GL Analysis'!Y$20,'[1]NS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Analysis'!Y$20,'[1]NS Vendor Details'!$O:$O,'G&amp;A Vendor x GL Analysis'!$F165,'[1]NS Vendor Details'!$N:$N,"Direct Costs",'[1]NS Vendor Details'!$J:$J,0,'[1]NS Vendor Details'!$L:$L,"Freight",'[1]NS Vendor Details'!$I:$I,'G&amp;A Vendor x GL Analysis'!$E165),IF(Y$15="Actual",SUMIFS('[1]NS Vendor Details'!$D:$D,'[1]NS Vendor Details'!$H:$H,'G&amp;A Vendor x GL Analysis'!Y$20,'[1]NS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Analysis'!Y$20,'[1]NS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162.26</v>
      </c>
      <c r="Z165" s="17">
        <f>IF(AND(Z$15="Actual",ISBLANK($E$8)),SUMIFS('[1]NS Vendor Details'!$D:$D,'[1]NS Vendor Details'!$H:$H,'G&amp;A Vendor x GL Analysis'!Z$20,'[1]NS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Analysis'!Z$20,'[1]NS Vendor Details'!$O:$O,'G&amp;A Vendor x GL Analysis'!$F165,'[1]NS Vendor Details'!$N:$N,"Direct Costs",'[1]NS Vendor Details'!$J:$J,0,'[1]NS Vendor Details'!$L:$L,"Freight",'[1]NS Vendor Details'!$I:$I,'G&amp;A Vendor x GL Analysis'!$E165),IF(Z$15="Actual",SUMIFS('[1]NS Vendor Details'!$D:$D,'[1]NS Vendor Details'!$H:$H,'G&amp;A Vendor x GL Analysis'!Z$20,'[1]NS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Analysis'!Z$20,'[1]NS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412.12999999999994</v>
      </c>
      <c r="AA165" s="17">
        <f>IF(AND(AA$15="Actual",ISBLANK($E$8)),SUMIFS('[1]NS Vendor Details'!$D:$D,'[1]NS Vendor Details'!$H:$H,'G&amp;A Vendor x GL Analysis'!AA$20,'[1]NS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Analysis'!AA$20,'[1]NS Vendor Details'!$O:$O,'G&amp;A Vendor x GL Analysis'!$F165,'[1]NS Vendor Details'!$N:$N,"Direct Costs",'[1]NS Vendor Details'!$J:$J,0,'[1]NS Vendor Details'!$L:$L,"Freight",'[1]NS Vendor Details'!$I:$I,'G&amp;A Vendor x GL Analysis'!$E165),IF(AA$15="Actual",SUMIFS('[1]NS Vendor Details'!$D:$D,'[1]NS Vendor Details'!$H:$H,'G&amp;A Vendor x GL Analysis'!AA$20,'[1]NS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Analysis'!AA$20,'[1]NS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488.24</v>
      </c>
      <c r="AB165" s="17">
        <f>IF(AND(AB$15="Actual",ISBLANK($E$8)),SUMIFS('[1]NS Vendor Details'!$D:$D,'[1]NS Vendor Details'!$H:$H,'G&amp;A Vendor x GL Analysis'!AB$20,'[1]NS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Analysis'!AB$20,'[1]NS Vendor Details'!$O:$O,'G&amp;A Vendor x GL Analysis'!$F165,'[1]NS Vendor Details'!$N:$N,"Direct Costs",'[1]NS Vendor Details'!$J:$J,0,'[1]NS Vendor Details'!$L:$L,"Freight",'[1]NS Vendor Details'!$I:$I,'G&amp;A Vendor x GL Analysis'!$E165),IF(AB$15="Actual",SUMIFS('[1]NS Vendor Details'!$D:$D,'[1]NS Vendor Details'!$H:$H,'G&amp;A Vendor x GL Analysis'!AB$20,'[1]NS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Analysis'!AB$20,'[1]NS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741.58</v>
      </c>
      <c r="AC165" s="18">
        <f>IF(AND(AC$15="Actual",ISBLANK($E$8)),SUMIFS('[1]NS Vendor Details'!$D:$D,'[1]NS Vendor Details'!$H:$H,'G&amp;A Vendor x GL Analysis'!AC$20,'[1]NS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Analysis'!AC$20,'[1]NS Vendor Details'!$O:$O,'G&amp;A Vendor x GL Analysis'!$F165,'[1]NS Vendor Details'!$N:$N,"Direct Costs",'[1]NS Vendor Details'!$J:$J,0,'[1]NS Vendor Details'!$L:$L,"Freight",'[1]NS Vendor Details'!$I:$I,'G&amp;A Vendor x GL Analysis'!$E165),IF(AC$15="Actual",SUMIFS('[1]NS Vendor Details'!$D:$D,'[1]NS Vendor Details'!$H:$H,'G&amp;A Vendor x GL Analysis'!AC$20,'[1]NS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Analysis'!AC$20,'[1]NS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583.5</v>
      </c>
      <c r="AD165" s="18">
        <f>IF(AND(AD$15="Actual",ISBLANK($E$8)),SUMIFS('[1]NS Vendor Details'!$D:$D,'[1]NS Vendor Details'!$H:$H,'G&amp;A Vendor x GL Analysis'!AD$20,'[1]NS Vendor Details'!$L:$L,'G&amp;A Vendor x GL Analysis'!$D165,'[1]NS Vendor Details'!$O:$O,'G&amp;A Vendor x GL Analysis'!$F165,'[1]NS Vendor Details'!$N:$N,'G&amp;A Vendor x GL Analysis'!$C165,'[1]NS Vendor Details'!$I:$I,'G&amp;A Vendor x GL Analysis'!$E165)+SUMIFS('[1]NS Vendor Details'!$D:$D,'[1]NS Vendor Details'!$H:$H,'G&amp;A Vendor x GL Analysis'!AD$20,'[1]NS Vendor Details'!$O:$O,'G&amp;A Vendor x GL Analysis'!$F165,'[1]NS Vendor Details'!$N:$N,"Direct Costs",'[1]NS Vendor Details'!$J:$J,0,'[1]NS Vendor Details'!$L:$L,"Freight",'[1]NS Vendor Details'!$I:$I,'G&amp;A Vendor x GL Analysis'!$E165),IF(AD$15="Actual",SUMIFS('[1]NS Vendor Details'!$D:$D,'[1]NS Vendor Details'!$H:$H,'G&amp;A Vendor x GL Analysis'!AD$20,'[1]NS Vendor Details'!$L:$L,'G&amp;A Vendor x GL Analysis'!$D165,'[1]NS Vendor Details'!$O:$O,'G&amp;A Vendor x GL Analysis'!$F165,'[1]NS Vendor Details'!$N:$N,'G&amp;A Vendor x GL Analysis'!$C165,'[1]NS Vendor Details'!$K:$K,'G&amp;A Vendor x GL Analysis'!$E$8,'[1]NS Vendor Details'!$I:$I,'G&amp;A Vendor x GL Analysis'!$E165)+SUMIFS('[1]NS Vendor Details'!$D:$D,'[1]NS Vendor Details'!$H:$H,'G&amp;A Vendor x GL Analysis'!AD$20,'[1]NS Vendor Details'!$O:$O,'G&amp;A Vendor x GL Analysis'!$F165,'[1]NS Vendor Details'!$N:$N,"Direct Costs",'[1]NS Vendor Details'!$J:$J,0,'[1]NS Vendor Details'!$K:$K,'G&amp;A Vendor x GL Analysis'!$E$8,'[1]NS Vendor Details'!$L:$L,"Freight",'[1]NS Vendor Details'!$I:$I,'G&amp;A Vendor x GL Analysis'!$E165),0))</f>
        <v>0</v>
      </c>
      <c r="AF165" s="19">
        <f t="shared" si="23"/>
        <v>5923.45</v>
      </c>
    </row>
    <row r="166" spans="1:32" outlineLevel="1">
      <c r="A166" s="8" t="str">
        <f t="shared" si="26"/>
        <v>Other6340 - Miscellaneous Expense</v>
      </c>
      <c r="C166" s="8" t="s">
        <v>11</v>
      </c>
      <c r="D166" s="8" t="str">
        <f t="shared" ref="D166:D188" si="27">D165</f>
        <v>Other</v>
      </c>
      <c r="E166" s="2" t="s">
        <v>153</v>
      </c>
      <c r="F166" s="2" t="s">
        <v>45</v>
      </c>
      <c r="G166" s="16">
        <f>IF(AND(G$15="Actual",ISBLANK($E$8)),SUMIFS('[1]NS Vendor Details'!$D:$D,'[1]NS Vendor Details'!$H:$H,'G&amp;A Vendor x GL Analysis'!G$20,'[1]NS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Analysis'!G$20,'[1]NS Vendor Details'!$O:$O,'G&amp;A Vendor x GL Analysis'!$F166,'[1]NS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Analysis'!G$20,'[1]NS Vendor Details'!$O:$O,'G&amp;A Vendor x GL Analysis'!$F166,'[1]NS Vendor Details'!$N:$N,"Direct Costs",'[1]NS Vendor Details'!$J:$J,0,'[1]NS Vendor Details'!$K:$K,'G&amp;A Vendor x GL Analysis'!$E$8,'[1]NS Vendor Details'!$L:$L,"Freight"),0))</f>
        <v>0</v>
      </c>
      <c r="H166" s="17">
        <f>IF(AND(H$15="Actual",ISBLANK($E$8)),SUMIFS('[1]NS Vendor Details'!$D:$D,'[1]NS Vendor Details'!$H:$H,'G&amp;A Vendor x GL Analysis'!H$20,'[1]NS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Analysis'!H$20,'[1]NS Vendor Details'!$O:$O,'G&amp;A Vendor x GL Analysis'!$F166,'[1]NS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Analysis'!H$20,'[1]NS Vendor Details'!$O:$O,'G&amp;A Vendor x GL Analysis'!$F166,'[1]NS Vendor Details'!$N:$N,"Direct Costs",'[1]NS Vendor Details'!$J:$J,0,'[1]NS Vendor Details'!$K:$K,'G&amp;A Vendor x GL Analysis'!$E$8,'[1]NS Vendor Details'!$L:$L,"Freight"),0))</f>
        <v>880.33</v>
      </c>
      <c r="I166" s="17">
        <f>IF(AND(I$15="Actual",ISBLANK($E$8)),SUMIFS('[1]NS Vendor Details'!$D:$D,'[1]NS Vendor Details'!$H:$H,'G&amp;A Vendor x GL Analysis'!I$20,'[1]NS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Analysis'!I$20,'[1]NS Vendor Details'!$O:$O,'G&amp;A Vendor x GL Analysis'!$F166,'[1]NS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Analysis'!I$20,'[1]NS Vendor Details'!$O:$O,'G&amp;A Vendor x GL Analysis'!$F166,'[1]NS Vendor Details'!$N:$N,"Direct Costs",'[1]NS Vendor Details'!$J:$J,0,'[1]NS Vendor Details'!$K:$K,'G&amp;A Vendor x GL Analysis'!$E$8,'[1]NS Vendor Details'!$L:$L,"Freight"),0))</f>
        <v>1430.4</v>
      </c>
      <c r="J166" s="17">
        <f>IF(AND(J$15="Actual",ISBLANK($E$8)),SUMIFS('[1]NS Vendor Details'!$D:$D,'[1]NS Vendor Details'!$H:$H,'G&amp;A Vendor x GL Analysis'!J$20,'[1]NS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Analysis'!J$20,'[1]NS Vendor Details'!$O:$O,'G&amp;A Vendor x GL Analysis'!$F166,'[1]NS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Analysis'!J$20,'[1]NS Vendor Details'!$O:$O,'G&amp;A Vendor x GL Analysis'!$F166,'[1]NS Vendor Details'!$N:$N,"Direct Costs",'[1]NS Vendor Details'!$J:$J,0,'[1]NS Vendor Details'!$K:$K,'G&amp;A Vendor x GL Analysis'!$E$8,'[1]NS Vendor Details'!$L:$L,"Freight"),0))</f>
        <v>743.14</v>
      </c>
      <c r="K166" s="17">
        <f>IF(AND(K$15="Actual",ISBLANK($E$8)),SUMIFS('[1]NS Vendor Details'!$D:$D,'[1]NS Vendor Details'!$H:$H,'G&amp;A Vendor x GL Analysis'!K$20,'[1]NS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Analysis'!K$20,'[1]NS Vendor Details'!$O:$O,'G&amp;A Vendor x GL Analysis'!$F166,'[1]NS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Analysis'!K$20,'[1]NS Vendor Details'!$O:$O,'G&amp;A Vendor x GL Analysis'!$F166,'[1]NS Vendor Details'!$N:$N,"Direct Costs",'[1]NS Vendor Details'!$J:$J,0,'[1]NS Vendor Details'!$K:$K,'G&amp;A Vendor x GL Analysis'!$E$8,'[1]NS Vendor Details'!$L:$L,"Freight"),0))</f>
        <v>639.86</v>
      </c>
      <c r="L166" s="17">
        <f>IF(AND(L$15="Actual",ISBLANK($E$8)),SUMIFS('[1]NS Vendor Details'!$D:$D,'[1]NS Vendor Details'!$H:$H,'G&amp;A Vendor x GL Analysis'!L$20,'[1]NS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Analysis'!L$20,'[1]NS Vendor Details'!$O:$O,'G&amp;A Vendor x GL Analysis'!$F166,'[1]NS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Analysis'!L$20,'[1]NS Vendor Details'!$O:$O,'G&amp;A Vendor x GL Analysis'!$F166,'[1]NS Vendor Details'!$N:$N,"Direct Costs",'[1]NS Vendor Details'!$J:$J,0,'[1]NS Vendor Details'!$K:$K,'G&amp;A Vendor x GL Analysis'!$E$8,'[1]NS Vendor Details'!$L:$L,"Freight"),0))</f>
        <v>880.37</v>
      </c>
      <c r="M166" s="17">
        <f>IF(AND(M$15="Actual",ISBLANK($E$8)),SUMIFS('[1]NS Vendor Details'!$D:$D,'[1]NS Vendor Details'!$H:$H,'G&amp;A Vendor x GL Analysis'!M$20,'[1]NS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Analysis'!M$20,'[1]NS Vendor Details'!$O:$O,'G&amp;A Vendor x GL Analysis'!$F166,'[1]NS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Analysis'!M$20,'[1]NS Vendor Details'!$O:$O,'G&amp;A Vendor x GL Analysis'!$F166,'[1]NS Vendor Details'!$N:$N,"Direct Costs",'[1]NS Vendor Details'!$J:$J,0,'[1]NS Vendor Details'!$K:$K,'G&amp;A Vendor x GL Analysis'!$E$8,'[1]NS Vendor Details'!$L:$L,"Freight"),0))</f>
        <v>534.82000000000005</v>
      </c>
      <c r="N166" s="17">
        <f>IF(AND(N$15="Actual",ISBLANK($E$8)),SUMIFS('[1]NS Vendor Details'!$D:$D,'[1]NS Vendor Details'!$H:$H,'G&amp;A Vendor x GL Analysis'!N$20,'[1]NS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Analysis'!N$20,'[1]NS Vendor Details'!$O:$O,'G&amp;A Vendor x GL Analysis'!$F166,'[1]NS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Analysis'!N$20,'[1]NS Vendor Details'!$O:$O,'G&amp;A Vendor x GL Analysis'!$F166,'[1]NS Vendor Details'!$N:$N,"Direct Costs",'[1]NS Vendor Details'!$J:$J,0,'[1]NS Vendor Details'!$K:$K,'G&amp;A Vendor x GL Analysis'!$E$8,'[1]NS Vendor Details'!$L:$L,"Freight"),0))</f>
        <v>769.95</v>
      </c>
      <c r="O166" s="17">
        <f>IF(AND(O$15="Actual",ISBLANK($E$8)),SUMIFS('[1]NS Vendor Details'!$D:$D,'[1]NS Vendor Details'!$H:$H,'G&amp;A Vendor x GL Analysis'!O$20,'[1]NS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Analysis'!O$20,'[1]NS Vendor Details'!$O:$O,'G&amp;A Vendor x GL Analysis'!$F166,'[1]NS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Analysis'!O$20,'[1]NS Vendor Details'!$O:$O,'G&amp;A Vendor x GL Analysis'!$F166,'[1]NS Vendor Details'!$N:$N,"Direct Costs",'[1]NS Vendor Details'!$J:$J,0,'[1]NS Vendor Details'!$K:$K,'G&amp;A Vendor x GL Analysis'!$E$8,'[1]NS Vendor Details'!$L:$L,"Freight"),0))</f>
        <v>717.74</v>
      </c>
      <c r="P166" s="17">
        <f>IF(AND(P$15="Actual",ISBLANK($E$8)),SUMIFS('[1]NS Vendor Details'!$D:$D,'[1]NS Vendor Details'!$H:$H,'G&amp;A Vendor x GL Analysis'!P$20,'[1]NS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Analysis'!P$20,'[1]NS Vendor Details'!$O:$O,'G&amp;A Vendor x GL Analysis'!$F166,'[1]NS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Analysis'!P$20,'[1]NS Vendor Details'!$O:$O,'G&amp;A Vendor x GL Analysis'!$F166,'[1]NS Vendor Details'!$N:$N,"Direct Costs",'[1]NS Vendor Details'!$J:$J,0,'[1]NS Vendor Details'!$K:$K,'G&amp;A Vendor x GL Analysis'!$E$8,'[1]NS Vendor Details'!$L:$L,"Freight"),0))</f>
        <v>640.42999999999995</v>
      </c>
      <c r="Q166" s="17">
        <f>IF(AND(Q$15="Actual",ISBLANK($E$8)),SUMIFS('[1]NS Vendor Details'!$D:$D,'[1]NS Vendor Details'!$H:$H,'G&amp;A Vendor x GL Analysis'!Q$20,'[1]NS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Analysis'!Q$20,'[1]NS Vendor Details'!$O:$O,'G&amp;A Vendor x GL Analysis'!$F166,'[1]NS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Analysis'!Q$20,'[1]NS Vendor Details'!$O:$O,'G&amp;A Vendor x GL Analysis'!$F166,'[1]NS Vendor Details'!$N:$N,"Direct Costs",'[1]NS Vendor Details'!$J:$J,0,'[1]NS Vendor Details'!$K:$K,'G&amp;A Vendor x GL Analysis'!$E$8,'[1]NS Vendor Details'!$L:$L,"Freight"),0))</f>
        <v>458.45</v>
      </c>
      <c r="R166" s="18">
        <f>IF(AND(R$15="Actual",ISBLANK($E$8)),SUMIFS('[1]NS Vendor Details'!$D:$D,'[1]NS Vendor Details'!$H:$H,'G&amp;A Vendor x GL Analysis'!R$20,'[1]NS Vendor Details'!$L:$L,'G&amp;A Vendor x GL Analysis'!$D166,'[1]NS Vendor Details'!$O:$O,'G&amp;A Vendor x GL Analysis'!$F166,'[1]NS Vendor Details'!$N:$N,'G&amp;A Vendor x GL Analysis'!$C166)+SUMIFS('[1]NS Vendor Details'!$D:$D,'[1]NS Vendor Details'!$H:$H,'G&amp;A Vendor x GL Analysis'!R$20,'[1]NS Vendor Details'!$O:$O,'G&amp;A Vendor x GL Analysis'!$F166,'[1]NS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Analysis'!$D166,'[1]NS Vendor Details'!$O:$O,'G&amp;A Vendor x GL Analysis'!$F166,'[1]NS Vendor Details'!$N:$N,'G&amp;A Vendor x GL Analysis'!$C166,'[1]NS Vendor Details'!$K:$K,'G&amp;A Vendor x GL Analysis'!$E$8)+SUMIFS('[1]NS Vendor Details'!$D:$D,'[1]NS Vendor Details'!$H:$H,'G&amp;A Vendor x GL Analysis'!R$20,'[1]NS Vendor Details'!$O:$O,'G&amp;A Vendor x GL Analysis'!$F166,'[1]NS Vendor Details'!$N:$N,"Direct Costs",'[1]NS Vendor Details'!$J:$J,0,'[1]NS Vendor Details'!$K:$K,'G&amp;A Vendor x GL Analysis'!$E$8,'[1]NS Vendor Details'!$L:$L,"Freight"),0))</f>
        <v>242.29</v>
      </c>
      <c r="S166" s="16">
        <f>IF(AND(S$15="Actual",ISBLANK($E$8)),SUMIFS('[1]NS Vendor Details'!$D:$D,'[1]NS Vendor Details'!$H:$H,'G&amp;A Vendor x GL Analysis'!S$20,'[1]NS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Analysis'!S$20,'[1]NS Vendor Details'!$O:$O,'G&amp;A Vendor x GL Analysis'!$F166,'[1]NS Vendor Details'!$N:$N,"Direct Costs",'[1]NS Vendor Details'!$J:$J,0,'[1]NS Vendor Details'!$L:$L,"Freight",'[1]NS Vendor Details'!$I:$I,'G&amp;A Vendor x GL Analysis'!$E166),IF(S$15="Actual",SUMIFS('[1]NS Vendor Details'!$D:$D,'[1]NS Vendor Details'!$H:$H,'G&amp;A Vendor x GL Analysis'!S$20,'[1]NS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Analysis'!S$20,'[1]NS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T166" s="17">
        <f>IF(AND(T$15="Actual",ISBLANK($E$8)),SUMIFS('[1]NS Vendor Details'!$D:$D,'[1]NS Vendor Details'!$H:$H,'G&amp;A Vendor x GL Analysis'!T$20,'[1]NS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Analysis'!T$20,'[1]NS Vendor Details'!$O:$O,'G&amp;A Vendor x GL Analysis'!$F166,'[1]NS Vendor Details'!$N:$N,"Direct Costs",'[1]NS Vendor Details'!$J:$J,0,'[1]NS Vendor Details'!$L:$L,"Freight",'[1]NS Vendor Details'!$I:$I,'G&amp;A Vendor x GL Analysis'!$E166),IF(T$15="Actual",SUMIFS('[1]NS Vendor Details'!$D:$D,'[1]NS Vendor Details'!$H:$H,'G&amp;A Vendor x GL Analysis'!T$20,'[1]NS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Analysis'!T$20,'[1]NS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U166" s="17">
        <f>IF(AND(U$15="Actual",ISBLANK($E$8)),SUMIFS('[1]NS Vendor Details'!$D:$D,'[1]NS Vendor Details'!$H:$H,'G&amp;A Vendor x GL Analysis'!U$20,'[1]NS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Analysis'!U$20,'[1]NS Vendor Details'!$O:$O,'G&amp;A Vendor x GL Analysis'!$F166,'[1]NS Vendor Details'!$N:$N,"Direct Costs",'[1]NS Vendor Details'!$J:$J,0,'[1]NS Vendor Details'!$L:$L,"Freight",'[1]NS Vendor Details'!$I:$I,'G&amp;A Vendor x GL Analysis'!$E166),IF(U$15="Actual",SUMIFS('[1]NS Vendor Details'!$D:$D,'[1]NS Vendor Details'!$H:$H,'G&amp;A Vendor x GL Analysis'!U$20,'[1]NS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Analysis'!U$20,'[1]NS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400</v>
      </c>
      <c r="V166" s="17">
        <f>IF(AND(V$15="Actual",ISBLANK($E$8)),SUMIFS('[1]NS Vendor Details'!$D:$D,'[1]NS Vendor Details'!$H:$H,'G&amp;A Vendor x GL Analysis'!V$20,'[1]NS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Analysis'!V$20,'[1]NS Vendor Details'!$O:$O,'G&amp;A Vendor x GL Analysis'!$F166,'[1]NS Vendor Details'!$N:$N,"Direct Costs",'[1]NS Vendor Details'!$J:$J,0,'[1]NS Vendor Details'!$L:$L,"Freight",'[1]NS Vendor Details'!$I:$I,'G&amp;A Vendor x GL Analysis'!$E166),IF(V$15="Actual",SUMIFS('[1]NS Vendor Details'!$D:$D,'[1]NS Vendor Details'!$H:$H,'G&amp;A Vendor x GL Analysis'!V$20,'[1]NS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Analysis'!V$20,'[1]NS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W166" s="17">
        <f>IF(AND(W$15="Actual",ISBLANK($E$8)),SUMIFS('[1]NS Vendor Details'!$D:$D,'[1]NS Vendor Details'!$H:$H,'G&amp;A Vendor x GL Analysis'!W$20,'[1]NS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Analysis'!W$20,'[1]NS Vendor Details'!$O:$O,'G&amp;A Vendor x GL Analysis'!$F166,'[1]NS Vendor Details'!$N:$N,"Direct Costs",'[1]NS Vendor Details'!$J:$J,0,'[1]NS Vendor Details'!$L:$L,"Freight",'[1]NS Vendor Details'!$I:$I,'G&amp;A Vendor x GL Analysis'!$E166),IF(W$15="Actual",SUMIFS('[1]NS Vendor Details'!$D:$D,'[1]NS Vendor Details'!$H:$H,'G&amp;A Vendor x GL Analysis'!W$20,'[1]NS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Analysis'!W$20,'[1]NS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X166" s="17">
        <f>IF(AND(X$15="Actual",ISBLANK($E$8)),SUMIFS('[1]NS Vendor Details'!$D:$D,'[1]NS Vendor Details'!$H:$H,'G&amp;A Vendor x GL Analysis'!X$20,'[1]NS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Analysis'!X$20,'[1]NS Vendor Details'!$O:$O,'G&amp;A Vendor x GL Analysis'!$F166,'[1]NS Vendor Details'!$N:$N,"Direct Costs",'[1]NS Vendor Details'!$J:$J,0,'[1]NS Vendor Details'!$L:$L,"Freight",'[1]NS Vendor Details'!$I:$I,'G&amp;A Vendor x GL Analysis'!$E166),IF(X$15="Actual",SUMIFS('[1]NS Vendor Details'!$D:$D,'[1]NS Vendor Details'!$H:$H,'G&amp;A Vendor x GL Analysis'!X$20,'[1]NS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Analysis'!X$20,'[1]NS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Y166" s="17">
        <f>IF(AND(Y$15="Actual",ISBLANK($E$8)),SUMIFS('[1]NS Vendor Details'!$D:$D,'[1]NS Vendor Details'!$H:$H,'G&amp;A Vendor x GL Analysis'!Y$20,'[1]NS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Analysis'!Y$20,'[1]NS Vendor Details'!$O:$O,'G&amp;A Vendor x GL Analysis'!$F166,'[1]NS Vendor Details'!$N:$N,"Direct Costs",'[1]NS Vendor Details'!$J:$J,0,'[1]NS Vendor Details'!$L:$L,"Freight",'[1]NS Vendor Details'!$I:$I,'G&amp;A Vendor x GL Analysis'!$E166),IF(Y$15="Actual",SUMIFS('[1]NS Vendor Details'!$D:$D,'[1]NS Vendor Details'!$H:$H,'G&amp;A Vendor x GL Analysis'!Y$20,'[1]NS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Analysis'!Y$20,'[1]NS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Z166" s="17">
        <f>IF(AND(Z$15="Actual",ISBLANK($E$8)),SUMIFS('[1]NS Vendor Details'!$D:$D,'[1]NS Vendor Details'!$H:$H,'G&amp;A Vendor x GL Analysis'!Z$20,'[1]NS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Analysis'!Z$20,'[1]NS Vendor Details'!$O:$O,'G&amp;A Vendor x GL Analysis'!$F166,'[1]NS Vendor Details'!$N:$N,"Direct Costs",'[1]NS Vendor Details'!$J:$J,0,'[1]NS Vendor Details'!$L:$L,"Freight",'[1]NS Vendor Details'!$I:$I,'G&amp;A Vendor x GL Analysis'!$E166),IF(Z$15="Actual",SUMIFS('[1]NS Vendor Details'!$D:$D,'[1]NS Vendor Details'!$H:$H,'G&amp;A Vendor x GL Analysis'!Z$20,'[1]NS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Analysis'!Z$20,'[1]NS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AA166" s="17">
        <f>IF(AND(AA$15="Actual",ISBLANK($E$8)),SUMIFS('[1]NS Vendor Details'!$D:$D,'[1]NS Vendor Details'!$H:$H,'G&amp;A Vendor x GL Analysis'!AA$20,'[1]NS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Analysis'!AA$20,'[1]NS Vendor Details'!$O:$O,'G&amp;A Vendor x GL Analysis'!$F166,'[1]NS Vendor Details'!$N:$N,"Direct Costs",'[1]NS Vendor Details'!$J:$J,0,'[1]NS Vendor Details'!$L:$L,"Freight",'[1]NS Vendor Details'!$I:$I,'G&amp;A Vendor x GL Analysis'!$E166),IF(AA$15="Actual",SUMIFS('[1]NS Vendor Details'!$D:$D,'[1]NS Vendor Details'!$H:$H,'G&amp;A Vendor x GL Analysis'!AA$20,'[1]NS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Analysis'!AA$20,'[1]NS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AB166" s="17">
        <f>IF(AND(AB$15="Actual",ISBLANK($E$8)),SUMIFS('[1]NS Vendor Details'!$D:$D,'[1]NS Vendor Details'!$H:$H,'G&amp;A Vendor x GL Analysis'!AB$20,'[1]NS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Analysis'!AB$20,'[1]NS Vendor Details'!$O:$O,'G&amp;A Vendor x GL Analysis'!$F166,'[1]NS Vendor Details'!$N:$N,"Direct Costs",'[1]NS Vendor Details'!$J:$J,0,'[1]NS Vendor Details'!$L:$L,"Freight",'[1]NS Vendor Details'!$I:$I,'G&amp;A Vendor x GL Analysis'!$E166),IF(AB$15="Actual",SUMIFS('[1]NS Vendor Details'!$D:$D,'[1]NS Vendor Details'!$H:$H,'G&amp;A Vendor x GL Analysis'!AB$20,'[1]NS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Analysis'!AB$20,'[1]NS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AC166" s="18">
        <f>IF(AND(AC$15="Actual",ISBLANK($E$8)),SUMIFS('[1]NS Vendor Details'!$D:$D,'[1]NS Vendor Details'!$H:$H,'G&amp;A Vendor x GL Analysis'!AC$20,'[1]NS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Analysis'!AC$20,'[1]NS Vendor Details'!$O:$O,'G&amp;A Vendor x GL Analysis'!$F166,'[1]NS Vendor Details'!$N:$N,"Direct Costs",'[1]NS Vendor Details'!$J:$J,0,'[1]NS Vendor Details'!$L:$L,"Freight",'[1]NS Vendor Details'!$I:$I,'G&amp;A Vendor x GL Analysis'!$E166),IF(AC$15="Actual",SUMIFS('[1]NS Vendor Details'!$D:$D,'[1]NS Vendor Details'!$H:$H,'G&amp;A Vendor x GL Analysis'!AC$20,'[1]NS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Analysis'!AC$20,'[1]NS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AD166" s="18">
        <f>IF(AND(AD$15="Actual",ISBLANK($E$8)),SUMIFS('[1]NS Vendor Details'!$D:$D,'[1]NS Vendor Details'!$H:$H,'G&amp;A Vendor x GL Analysis'!AD$20,'[1]NS Vendor Details'!$L:$L,'G&amp;A Vendor x GL Analysis'!$D166,'[1]NS Vendor Details'!$O:$O,'G&amp;A Vendor x GL Analysis'!$F166,'[1]NS Vendor Details'!$N:$N,'G&amp;A Vendor x GL Analysis'!$C166,'[1]NS Vendor Details'!$I:$I,'G&amp;A Vendor x GL Analysis'!$E166)+SUMIFS('[1]NS Vendor Details'!$D:$D,'[1]NS Vendor Details'!$H:$H,'G&amp;A Vendor x GL Analysis'!AD$20,'[1]NS Vendor Details'!$O:$O,'G&amp;A Vendor x GL Analysis'!$F166,'[1]NS Vendor Details'!$N:$N,"Direct Costs",'[1]NS Vendor Details'!$J:$J,0,'[1]NS Vendor Details'!$L:$L,"Freight",'[1]NS Vendor Details'!$I:$I,'G&amp;A Vendor x GL Analysis'!$E166),IF(AD$15="Actual",SUMIFS('[1]NS Vendor Details'!$D:$D,'[1]NS Vendor Details'!$H:$H,'G&amp;A Vendor x GL Analysis'!AD$20,'[1]NS Vendor Details'!$L:$L,'G&amp;A Vendor x GL Analysis'!$D166,'[1]NS Vendor Details'!$O:$O,'G&amp;A Vendor x GL Analysis'!$F166,'[1]NS Vendor Details'!$N:$N,'G&amp;A Vendor x GL Analysis'!$C166,'[1]NS Vendor Details'!$K:$K,'G&amp;A Vendor x GL Analysis'!$E$8,'[1]NS Vendor Details'!$I:$I,'G&amp;A Vendor x GL Analysis'!$E166)+SUMIFS('[1]NS Vendor Details'!$D:$D,'[1]NS Vendor Details'!$H:$H,'G&amp;A Vendor x GL Analysis'!AD$20,'[1]NS Vendor Details'!$O:$O,'G&amp;A Vendor x GL Analysis'!$F166,'[1]NS Vendor Details'!$N:$N,"Direct Costs",'[1]NS Vendor Details'!$J:$J,0,'[1]NS Vendor Details'!$K:$K,'G&amp;A Vendor x GL Analysis'!$E$8,'[1]NS Vendor Details'!$L:$L,"Freight",'[1]NS Vendor Details'!$I:$I,'G&amp;A Vendor x GL Analysis'!$E166),0))</f>
        <v>0</v>
      </c>
      <c r="AF166" s="19">
        <f t="shared" si="23"/>
        <v>400</v>
      </c>
    </row>
    <row r="167" spans="1:32" outlineLevel="1">
      <c r="A167" s="8" t="str">
        <f t="shared" si="26"/>
        <v>Other6340 - Miscellaneous Expense</v>
      </c>
      <c r="C167" s="8" t="s">
        <v>11</v>
      </c>
      <c r="D167" s="8" t="str">
        <f t="shared" si="27"/>
        <v>Other</v>
      </c>
      <c r="E167" s="2" t="s">
        <v>153</v>
      </c>
      <c r="F167" s="2" t="s">
        <v>155</v>
      </c>
      <c r="G167" s="16">
        <f>IF(AND(G$15="Actual",ISBLANK($E$8)),SUMIFS('[1]NS Vendor Details'!$D:$D,'[1]NS Vendor Details'!$H:$H,'G&amp;A Vendor x GL Analysis'!G$20,'[1]NS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Analysis'!G$20,'[1]NS Vendor Details'!$O:$O,'G&amp;A Vendor x GL Analysis'!$F167,'[1]NS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Analysis'!G$20,'[1]NS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H167" s="17">
        <f>IF(AND(H$15="Actual",ISBLANK($E$8)),SUMIFS('[1]NS Vendor Details'!$D:$D,'[1]NS Vendor Details'!$H:$H,'G&amp;A Vendor x GL Analysis'!H$20,'[1]NS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Analysis'!H$20,'[1]NS Vendor Details'!$O:$O,'G&amp;A Vendor x GL Analysis'!$F167,'[1]NS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Analysis'!H$20,'[1]NS Vendor Details'!$O:$O,'G&amp;A Vendor x GL Analysis'!$F167,'[1]NS Vendor Details'!$N:$N,"Direct Costs",'[1]NS Vendor Details'!$J:$J,0,'[1]NS Vendor Details'!$K:$K,'G&amp;A Vendor x GL Analysis'!$E$8,'[1]NS Vendor Details'!$L:$L,"Freight"),0))</f>
        <v>65.33</v>
      </c>
      <c r="I167" s="17">
        <f>IF(AND(I$15="Actual",ISBLANK($E$8)),SUMIFS('[1]NS Vendor Details'!$D:$D,'[1]NS Vendor Details'!$H:$H,'G&amp;A Vendor x GL Analysis'!I$20,'[1]NS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Analysis'!I$20,'[1]NS Vendor Details'!$O:$O,'G&amp;A Vendor x GL Analysis'!$F167,'[1]NS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Analysis'!I$20,'[1]NS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J167" s="17">
        <f>IF(AND(J$15="Actual",ISBLANK($E$8)),SUMIFS('[1]NS Vendor Details'!$D:$D,'[1]NS Vendor Details'!$H:$H,'G&amp;A Vendor x GL Analysis'!J$20,'[1]NS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Analysis'!J$20,'[1]NS Vendor Details'!$O:$O,'G&amp;A Vendor x GL Analysis'!$F167,'[1]NS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Analysis'!J$20,'[1]NS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K167" s="17">
        <f>IF(AND(K$15="Actual",ISBLANK($E$8)),SUMIFS('[1]NS Vendor Details'!$D:$D,'[1]NS Vendor Details'!$H:$H,'G&amp;A Vendor x GL Analysis'!K$20,'[1]NS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Analysis'!K$20,'[1]NS Vendor Details'!$O:$O,'G&amp;A Vendor x GL Analysis'!$F167,'[1]NS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Analysis'!K$20,'[1]NS Vendor Details'!$O:$O,'G&amp;A Vendor x GL Analysis'!$F167,'[1]NS Vendor Details'!$N:$N,"Direct Costs",'[1]NS Vendor Details'!$J:$J,0,'[1]NS Vendor Details'!$K:$K,'G&amp;A Vendor x GL Analysis'!$E$8,'[1]NS Vendor Details'!$L:$L,"Freight"),0))</f>
        <v>195.99</v>
      </c>
      <c r="L167" s="17">
        <f>IF(AND(L$15="Actual",ISBLANK($E$8)),SUMIFS('[1]NS Vendor Details'!$D:$D,'[1]NS Vendor Details'!$H:$H,'G&amp;A Vendor x GL Analysis'!L$20,'[1]NS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Analysis'!L$20,'[1]NS Vendor Details'!$O:$O,'G&amp;A Vendor x GL Analysis'!$F167,'[1]NS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Analysis'!L$20,'[1]NS Vendor Details'!$O:$O,'G&amp;A Vendor x GL Analysis'!$F167,'[1]NS Vendor Details'!$N:$N,"Direct Costs",'[1]NS Vendor Details'!$J:$J,0,'[1]NS Vendor Details'!$K:$K,'G&amp;A Vendor x GL Analysis'!$E$8,'[1]NS Vendor Details'!$L:$L,"Freight"),0))</f>
        <v>65.33</v>
      </c>
      <c r="M167" s="17">
        <f>IF(AND(M$15="Actual",ISBLANK($E$8)),SUMIFS('[1]NS Vendor Details'!$D:$D,'[1]NS Vendor Details'!$H:$H,'G&amp;A Vendor x GL Analysis'!M$20,'[1]NS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Analysis'!M$20,'[1]NS Vendor Details'!$O:$O,'G&amp;A Vendor x GL Analysis'!$F167,'[1]NS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Analysis'!M$20,'[1]NS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N167" s="17">
        <f>IF(AND(N$15="Actual",ISBLANK($E$8)),SUMIFS('[1]NS Vendor Details'!$D:$D,'[1]NS Vendor Details'!$H:$H,'G&amp;A Vendor x GL Analysis'!N$20,'[1]NS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Analysis'!N$20,'[1]NS Vendor Details'!$O:$O,'G&amp;A Vendor x GL Analysis'!$F167,'[1]NS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Analysis'!N$20,'[1]NS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O167" s="17">
        <f>IF(AND(O$15="Actual",ISBLANK($E$8)),SUMIFS('[1]NS Vendor Details'!$D:$D,'[1]NS Vendor Details'!$H:$H,'G&amp;A Vendor x GL Analysis'!O$20,'[1]NS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Analysis'!O$20,'[1]NS Vendor Details'!$O:$O,'G&amp;A Vendor x GL Analysis'!$F167,'[1]NS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Analysis'!O$20,'[1]NS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P167" s="17">
        <f>IF(AND(P$15="Actual",ISBLANK($E$8)),SUMIFS('[1]NS Vendor Details'!$D:$D,'[1]NS Vendor Details'!$H:$H,'G&amp;A Vendor x GL Analysis'!P$20,'[1]NS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Analysis'!P$20,'[1]NS Vendor Details'!$O:$O,'G&amp;A Vendor x GL Analysis'!$F167,'[1]NS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Analysis'!P$20,'[1]NS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Q167" s="17">
        <f>IF(AND(Q$15="Actual",ISBLANK($E$8)),SUMIFS('[1]NS Vendor Details'!$D:$D,'[1]NS Vendor Details'!$H:$H,'G&amp;A Vendor x GL Analysis'!Q$20,'[1]NS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Analysis'!Q$20,'[1]NS Vendor Details'!$O:$O,'G&amp;A Vendor x GL Analysis'!$F167,'[1]NS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Analysis'!Q$20,'[1]NS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R167" s="18">
        <f>IF(AND(R$15="Actual",ISBLANK($E$8)),SUMIFS('[1]NS Vendor Details'!$D:$D,'[1]NS Vendor Details'!$H:$H,'G&amp;A Vendor x GL Analysis'!R$20,'[1]NS Vendor Details'!$L:$L,'G&amp;A Vendor x GL Analysis'!$D167,'[1]NS Vendor Details'!$O:$O,'G&amp;A Vendor x GL Analysis'!$F167,'[1]NS Vendor Details'!$N:$N,'G&amp;A Vendor x GL Analysis'!$C167)+SUMIFS('[1]NS Vendor Details'!$D:$D,'[1]NS Vendor Details'!$H:$H,'G&amp;A Vendor x GL Analysis'!R$20,'[1]NS Vendor Details'!$O:$O,'G&amp;A Vendor x GL Analysis'!$F167,'[1]NS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Analysis'!$D167,'[1]NS Vendor Details'!$O:$O,'G&amp;A Vendor x GL Analysis'!$F167,'[1]NS Vendor Details'!$N:$N,'G&amp;A Vendor x GL Analysis'!$C167,'[1]NS Vendor Details'!$K:$K,'G&amp;A Vendor x GL Analysis'!$E$8)+SUMIFS('[1]NS Vendor Details'!$D:$D,'[1]NS Vendor Details'!$H:$H,'G&amp;A Vendor x GL Analysis'!R$20,'[1]NS Vendor Details'!$O:$O,'G&amp;A Vendor x GL Analysis'!$F167,'[1]NS Vendor Details'!$N:$N,"Direct Costs",'[1]NS Vendor Details'!$J:$J,0,'[1]NS Vendor Details'!$K:$K,'G&amp;A Vendor x GL Analysis'!$E$8,'[1]NS Vendor Details'!$L:$L,"Freight"),0))</f>
        <v>0</v>
      </c>
      <c r="S167" s="16">
        <f>IF(AND(S$15="Actual",ISBLANK($E$8)),SUMIFS('[1]NS Vendor Details'!$D:$D,'[1]NS Vendor Details'!$H:$H,'G&amp;A Vendor x GL Analysis'!S$20,'[1]NS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Analysis'!S$20,'[1]NS Vendor Details'!$O:$O,'G&amp;A Vendor x GL Analysis'!$F167,'[1]NS Vendor Details'!$N:$N,"Direct Costs",'[1]NS Vendor Details'!$J:$J,0,'[1]NS Vendor Details'!$L:$L,"Freight",'[1]NS Vendor Details'!$I:$I,'G&amp;A Vendor x GL Analysis'!$E167),IF(S$15="Actual",SUMIFS('[1]NS Vendor Details'!$D:$D,'[1]NS Vendor Details'!$H:$H,'G&amp;A Vendor x GL Analysis'!S$20,'[1]NS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Analysis'!S$20,'[1]NS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T167" s="17">
        <f>IF(AND(T$15="Actual",ISBLANK($E$8)),SUMIFS('[1]NS Vendor Details'!$D:$D,'[1]NS Vendor Details'!$H:$H,'G&amp;A Vendor x GL Analysis'!T$20,'[1]NS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Analysis'!T$20,'[1]NS Vendor Details'!$O:$O,'G&amp;A Vendor x GL Analysis'!$F167,'[1]NS Vendor Details'!$N:$N,"Direct Costs",'[1]NS Vendor Details'!$J:$J,0,'[1]NS Vendor Details'!$L:$L,"Freight",'[1]NS Vendor Details'!$I:$I,'G&amp;A Vendor x GL Analysis'!$E167),IF(T$15="Actual",SUMIFS('[1]NS Vendor Details'!$D:$D,'[1]NS Vendor Details'!$H:$H,'G&amp;A Vendor x GL Analysis'!T$20,'[1]NS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Analysis'!T$20,'[1]NS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U167" s="17">
        <f>IF(AND(U$15="Actual",ISBLANK($E$8)),SUMIFS('[1]NS Vendor Details'!$D:$D,'[1]NS Vendor Details'!$H:$H,'G&amp;A Vendor x GL Analysis'!U$20,'[1]NS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Analysis'!U$20,'[1]NS Vendor Details'!$O:$O,'G&amp;A Vendor x GL Analysis'!$F167,'[1]NS Vendor Details'!$N:$N,"Direct Costs",'[1]NS Vendor Details'!$J:$J,0,'[1]NS Vendor Details'!$L:$L,"Freight",'[1]NS Vendor Details'!$I:$I,'G&amp;A Vendor x GL Analysis'!$E167),IF(U$15="Actual",SUMIFS('[1]NS Vendor Details'!$D:$D,'[1]NS Vendor Details'!$H:$H,'G&amp;A Vendor x GL Analysis'!U$20,'[1]NS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Analysis'!U$20,'[1]NS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V167" s="17">
        <f>IF(AND(V$15="Actual",ISBLANK($E$8)),SUMIFS('[1]NS Vendor Details'!$D:$D,'[1]NS Vendor Details'!$H:$H,'G&amp;A Vendor x GL Analysis'!V$20,'[1]NS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Analysis'!V$20,'[1]NS Vendor Details'!$O:$O,'G&amp;A Vendor x GL Analysis'!$F167,'[1]NS Vendor Details'!$N:$N,"Direct Costs",'[1]NS Vendor Details'!$J:$J,0,'[1]NS Vendor Details'!$L:$L,"Freight",'[1]NS Vendor Details'!$I:$I,'G&amp;A Vendor x GL Analysis'!$E167),IF(V$15="Actual",SUMIFS('[1]NS Vendor Details'!$D:$D,'[1]NS Vendor Details'!$H:$H,'G&amp;A Vendor x GL Analysis'!V$20,'[1]NS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Analysis'!V$20,'[1]NS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W167" s="17">
        <f>IF(AND(W$15="Actual",ISBLANK($E$8)),SUMIFS('[1]NS Vendor Details'!$D:$D,'[1]NS Vendor Details'!$H:$H,'G&amp;A Vendor x GL Analysis'!W$20,'[1]NS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Analysis'!W$20,'[1]NS Vendor Details'!$O:$O,'G&amp;A Vendor x GL Analysis'!$F167,'[1]NS Vendor Details'!$N:$N,"Direct Costs",'[1]NS Vendor Details'!$J:$J,0,'[1]NS Vendor Details'!$L:$L,"Freight",'[1]NS Vendor Details'!$I:$I,'G&amp;A Vendor x GL Analysis'!$E167),IF(W$15="Actual",SUMIFS('[1]NS Vendor Details'!$D:$D,'[1]NS Vendor Details'!$H:$H,'G&amp;A Vendor x GL Analysis'!W$20,'[1]NS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Analysis'!W$20,'[1]NS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65.33</v>
      </c>
      <c r="X167" s="17">
        <f>IF(AND(X$15="Actual",ISBLANK($E$8)),SUMIFS('[1]NS Vendor Details'!$D:$D,'[1]NS Vendor Details'!$H:$H,'G&amp;A Vendor x GL Analysis'!X$20,'[1]NS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Analysis'!X$20,'[1]NS Vendor Details'!$O:$O,'G&amp;A Vendor x GL Analysis'!$F167,'[1]NS Vendor Details'!$N:$N,"Direct Costs",'[1]NS Vendor Details'!$J:$J,0,'[1]NS Vendor Details'!$L:$L,"Freight",'[1]NS Vendor Details'!$I:$I,'G&amp;A Vendor x GL Analysis'!$E167),IF(X$15="Actual",SUMIFS('[1]NS Vendor Details'!$D:$D,'[1]NS Vendor Details'!$H:$H,'G&amp;A Vendor x GL Analysis'!X$20,'[1]NS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Analysis'!X$20,'[1]NS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65.33</v>
      </c>
      <c r="Y167" s="17">
        <f>IF(AND(Y$15="Actual",ISBLANK($E$8)),SUMIFS('[1]NS Vendor Details'!$D:$D,'[1]NS Vendor Details'!$H:$H,'G&amp;A Vendor x GL Analysis'!Y$20,'[1]NS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Analysis'!Y$20,'[1]NS Vendor Details'!$O:$O,'G&amp;A Vendor x GL Analysis'!$F167,'[1]NS Vendor Details'!$N:$N,"Direct Costs",'[1]NS Vendor Details'!$J:$J,0,'[1]NS Vendor Details'!$L:$L,"Freight",'[1]NS Vendor Details'!$I:$I,'G&amp;A Vendor x GL Analysis'!$E167),IF(Y$15="Actual",SUMIFS('[1]NS Vendor Details'!$D:$D,'[1]NS Vendor Details'!$H:$H,'G&amp;A Vendor x GL Analysis'!Y$20,'[1]NS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Analysis'!Y$20,'[1]NS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Z167" s="17">
        <f>IF(AND(Z$15="Actual",ISBLANK($E$8)),SUMIFS('[1]NS Vendor Details'!$D:$D,'[1]NS Vendor Details'!$H:$H,'G&amp;A Vendor x GL Analysis'!Z$20,'[1]NS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Analysis'!Z$20,'[1]NS Vendor Details'!$O:$O,'G&amp;A Vendor x GL Analysis'!$F167,'[1]NS Vendor Details'!$N:$N,"Direct Costs",'[1]NS Vendor Details'!$J:$J,0,'[1]NS Vendor Details'!$L:$L,"Freight",'[1]NS Vendor Details'!$I:$I,'G&amp;A Vendor x GL Analysis'!$E167),IF(Z$15="Actual",SUMIFS('[1]NS Vendor Details'!$D:$D,'[1]NS Vendor Details'!$H:$H,'G&amp;A Vendor x GL Analysis'!Z$20,'[1]NS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Analysis'!Z$20,'[1]NS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65.33</v>
      </c>
      <c r="AA167" s="17">
        <f>IF(AND(AA$15="Actual",ISBLANK($E$8)),SUMIFS('[1]NS Vendor Details'!$D:$D,'[1]NS Vendor Details'!$H:$H,'G&amp;A Vendor x GL Analysis'!AA$20,'[1]NS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Analysis'!AA$20,'[1]NS Vendor Details'!$O:$O,'G&amp;A Vendor x GL Analysis'!$F167,'[1]NS Vendor Details'!$N:$N,"Direct Costs",'[1]NS Vendor Details'!$J:$J,0,'[1]NS Vendor Details'!$L:$L,"Freight",'[1]NS Vendor Details'!$I:$I,'G&amp;A Vendor x GL Analysis'!$E167),IF(AA$15="Actual",SUMIFS('[1]NS Vendor Details'!$D:$D,'[1]NS Vendor Details'!$H:$H,'G&amp;A Vendor x GL Analysis'!AA$20,'[1]NS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Analysis'!AA$20,'[1]NS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AB167" s="17">
        <f>IF(AND(AB$15="Actual",ISBLANK($E$8)),SUMIFS('[1]NS Vendor Details'!$D:$D,'[1]NS Vendor Details'!$H:$H,'G&amp;A Vendor x GL Analysis'!AB$20,'[1]NS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Analysis'!AB$20,'[1]NS Vendor Details'!$O:$O,'G&amp;A Vendor x GL Analysis'!$F167,'[1]NS Vendor Details'!$N:$N,"Direct Costs",'[1]NS Vendor Details'!$J:$J,0,'[1]NS Vendor Details'!$L:$L,"Freight",'[1]NS Vendor Details'!$I:$I,'G&amp;A Vendor x GL Analysis'!$E167),IF(AB$15="Actual",SUMIFS('[1]NS Vendor Details'!$D:$D,'[1]NS Vendor Details'!$H:$H,'G&amp;A Vendor x GL Analysis'!AB$20,'[1]NS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Analysis'!AB$20,'[1]NS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AC167" s="18">
        <f>IF(AND(AC$15="Actual",ISBLANK($E$8)),SUMIFS('[1]NS Vendor Details'!$D:$D,'[1]NS Vendor Details'!$H:$H,'G&amp;A Vendor x GL Analysis'!AC$20,'[1]NS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Analysis'!AC$20,'[1]NS Vendor Details'!$O:$O,'G&amp;A Vendor x GL Analysis'!$F167,'[1]NS Vendor Details'!$N:$N,"Direct Costs",'[1]NS Vendor Details'!$J:$J,0,'[1]NS Vendor Details'!$L:$L,"Freight",'[1]NS Vendor Details'!$I:$I,'G&amp;A Vendor x GL Analysis'!$E167),IF(AC$15="Actual",SUMIFS('[1]NS Vendor Details'!$D:$D,'[1]NS Vendor Details'!$H:$H,'G&amp;A Vendor x GL Analysis'!AC$20,'[1]NS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Analysis'!AC$20,'[1]NS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AD167" s="18">
        <f>IF(AND(AD$15="Actual",ISBLANK($E$8)),SUMIFS('[1]NS Vendor Details'!$D:$D,'[1]NS Vendor Details'!$H:$H,'G&amp;A Vendor x GL Analysis'!AD$20,'[1]NS Vendor Details'!$L:$L,'G&amp;A Vendor x GL Analysis'!$D167,'[1]NS Vendor Details'!$O:$O,'G&amp;A Vendor x GL Analysis'!$F167,'[1]NS Vendor Details'!$N:$N,'G&amp;A Vendor x GL Analysis'!$C167,'[1]NS Vendor Details'!$I:$I,'G&amp;A Vendor x GL Analysis'!$E167)+SUMIFS('[1]NS Vendor Details'!$D:$D,'[1]NS Vendor Details'!$H:$H,'G&amp;A Vendor x GL Analysis'!AD$20,'[1]NS Vendor Details'!$O:$O,'G&amp;A Vendor x GL Analysis'!$F167,'[1]NS Vendor Details'!$N:$N,"Direct Costs",'[1]NS Vendor Details'!$J:$J,0,'[1]NS Vendor Details'!$L:$L,"Freight",'[1]NS Vendor Details'!$I:$I,'G&amp;A Vendor x GL Analysis'!$E167),IF(AD$15="Actual",SUMIFS('[1]NS Vendor Details'!$D:$D,'[1]NS Vendor Details'!$H:$H,'G&amp;A Vendor x GL Analysis'!AD$20,'[1]NS Vendor Details'!$L:$L,'G&amp;A Vendor x GL Analysis'!$D167,'[1]NS Vendor Details'!$O:$O,'G&amp;A Vendor x GL Analysis'!$F167,'[1]NS Vendor Details'!$N:$N,'G&amp;A Vendor x GL Analysis'!$C167,'[1]NS Vendor Details'!$K:$K,'G&amp;A Vendor x GL Analysis'!$E$8,'[1]NS Vendor Details'!$I:$I,'G&amp;A Vendor x GL Analysis'!$E167)+SUMIFS('[1]NS Vendor Details'!$D:$D,'[1]NS Vendor Details'!$H:$H,'G&amp;A Vendor x GL Analysis'!AD$20,'[1]NS Vendor Details'!$O:$O,'G&amp;A Vendor x GL Analysis'!$F167,'[1]NS Vendor Details'!$N:$N,"Direct Costs",'[1]NS Vendor Details'!$J:$J,0,'[1]NS Vendor Details'!$K:$K,'G&amp;A Vendor x GL Analysis'!$E$8,'[1]NS Vendor Details'!$L:$L,"Freight",'[1]NS Vendor Details'!$I:$I,'G&amp;A Vendor x GL Analysis'!$E167),0))</f>
        <v>0</v>
      </c>
      <c r="AF167" s="19">
        <f t="shared" si="23"/>
        <v>195.99</v>
      </c>
    </row>
    <row r="168" spans="1:32" outlineLevel="1">
      <c r="A168" s="8" t="str">
        <f t="shared" si="26"/>
        <v>Other6340 - Miscellaneous Expense</v>
      </c>
      <c r="C168" s="8" t="s">
        <v>11</v>
      </c>
      <c r="D168" s="8" t="str">
        <f t="shared" si="27"/>
        <v>Other</v>
      </c>
      <c r="E168" s="2" t="s">
        <v>153</v>
      </c>
      <c r="F168" s="2" t="s">
        <v>156</v>
      </c>
      <c r="G168" s="16">
        <f>IF(AND(G$15="Actual",ISBLANK($E$8)),SUMIFS('[1]NS Vendor Details'!$D:$D,'[1]NS Vendor Details'!$H:$H,'G&amp;A Vendor x GL Analysis'!G$20,'[1]NS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Analysis'!G$20,'[1]NS Vendor Details'!$O:$O,'G&amp;A Vendor x GL Analysis'!$F168,'[1]NS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Analysis'!G$20,'[1]NS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H168" s="17">
        <f>IF(AND(H$15="Actual",ISBLANK($E$8)),SUMIFS('[1]NS Vendor Details'!$D:$D,'[1]NS Vendor Details'!$H:$H,'G&amp;A Vendor x GL Analysis'!H$20,'[1]NS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Analysis'!H$20,'[1]NS Vendor Details'!$O:$O,'G&amp;A Vendor x GL Analysis'!$F168,'[1]NS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Analysis'!H$20,'[1]NS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I168" s="17">
        <f>IF(AND(I$15="Actual",ISBLANK($E$8)),SUMIFS('[1]NS Vendor Details'!$D:$D,'[1]NS Vendor Details'!$H:$H,'G&amp;A Vendor x GL Analysis'!I$20,'[1]NS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Analysis'!I$20,'[1]NS Vendor Details'!$O:$O,'G&amp;A Vendor x GL Analysis'!$F168,'[1]NS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Analysis'!I$20,'[1]NS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J168" s="17">
        <f>IF(AND(J$15="Actual",ISBLANK($E$8)),SUMIFS('[1]NS Vendor Details'!$D:$D,'[1]NS Vendor Details'!$H:$H,'G&amp;A Vendor x GL Analysis'!J$20,'[1]NS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Analysis'!J$20,'[1]NS Vendor Details'!$O:$O,'G&amp;A Vendor x GL Analysis'!$F168,'[1]NS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Analysis'!J$20,'[1]NS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K168" s="17">
        <f>IF(AND(K$15="Actual",ISBLANK($E$8)),SUMIFS('[1]NS Vendor Details'!$D:$D,'[1]NS Vendor Details'!$H:$H,'G&amp;A Vendor x GL Analysis'!K$20,'[1]NS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Analysis'!K$20,'[1]NS Vendor Details'!$O:$O,'G&amp;A Vendor x GL Analysis'!$F168,'[1]NS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Analysis'!K$20,'[1]NS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L168" s="17">
        <f>IF(AND(L$15="Actual",ISBLANK($E$8)),SUMIFS('[1]NS Vendor Details'!$D:$D,'[1]NS Vendor Details'!$H:$H,'G&amp;A Vendor x GL Analysis'!L$20,'[1]NS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Analysis'!L$20,'[1]NS Vendor Details'!$O:$O,'G&amp;A Vendor x GL Analysis'!$F168,'[1]NS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Analysis'!L$20,'[1]NS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M168" s="17">
        <f>IF(AND(M$15="Actual",ISBLANK($E$8)),SUMIFS('[1]NS Vendor Details'!$D:$D,'[1]NS Vendor Details'!$H:$H,'G&amp;A Vendor x GL Analysis'!M$20,'[1]NS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Analysis'!M$20,'[1]NS Vendor Details'!$O:$O,'G&amp;A Vendor x GL Analysis'!$F168,'[1]NS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Analysis'!M$20,'[1]NS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N168" s="17">
        <f>IF(AND(N$15="Actual",ISBLANK($E$8)),SUMIFS('[1]NS Vendor Details'!$D:$D,'[1]NS Vendor Details'!$H:$H,'G&amp;A Vendor x GL Analysis'!N$20,'[1]NS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Analysis'!N$20,'[1]NS Vendor Details'!$O:$O,'G&amp;A Vendor x GL Analysis'!$F168,'[1]NS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Analysis'!N$20,'[1]NS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O168" s="17">
        <f>IF(AND(O$15="Actual",ISBLANK($E$8)),SUMIFS('[1]NS Vendor Details'!$D:$D,'[1]NS Vendor Details'!$H:$H,'G&amp;A Vendor x GL Analysis'!O$20,'[1]NS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Analysis'!O$20,'[1]NS Vendor Details'!$O:$O,'G&amp;A Vendor x GL Analysis'!$F168,'[1]NS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Analysis'!O$20,'[1]NS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P168" s="17">
        <f>IF(AND(P$15="Actual",ISBLANK($E$8)),SUMIFS('[1]NS Vendor Details'!$D:$D,'[1]NS Vendor Details'!$H:$H,'G&amp;A Vendor x GL Analysis'!P$20,'[1]NS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Analysis'!P$20,'[1]NS Vendor Details'!$O:$O,'G&amp;A Vendor x GL Analysis'!$F168,'[1]NS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Analysis'!P$20,'[1]NS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Q168" s="17">
        <f>IF(AND(Q$15="Actual",ISBLANK($E$8)),SUMIFS('[1]NS Vendor Details'!$D:$D,'[1]NS Vendor Details'!$H:$H,'G&amp;A Vendor x GL Analysis'!Q$20,'[1]NS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Analysis'!Q$20,'[1]NS Vendor Details'!$O:$O,'G&amp;A Vendor x GL Analysis'!$F168,'[1]NS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Analysis'!Q$20,'[1]NS Vendor Details'!$O:$O,'G&amp;A Vendor x GL Analysis'!$F168,'[1]NS Vendor Details'!$N:$N,"Direct Costs",'[1]NS Vendor Details'!$J:$J,0,'[1]NS Vendor Details'!$K:$K,'G&amp;A Vendor x GL Analysis'!$E$8,'[1]NS Vendor Details'!$L:$L,"Freight"),0))</f>
        <v>1034.31</v>
      </c>
      <c r="R168" s="18">
        <f>IF(AND(R$15="Actual",ISBLANK($E$8)),SUMIFS('[1]NS Vendor Details'!$D:$D,'[1]NS Vendor Details'!$H:$H,'G&amp;A Vendor x GL Analysis'!R$20,'[1]NS Vendor Details'!$L:$L,'G&amp;A Vendor x GL Analysis'!$D168,'[1]NS Vendor Details'!$O:$O,'G&amp;A Vendor x GL Analysis'!$F168,'[1]NS Vendor Details'!$N:$N,'G&amp;A Vendor x GL Analysis'!$C168)+SUMIFS('[1]NS Vendor Details'!$D:$D,'[1]NS Vendor Details'!$H:$H,'G&amp;A Vendor x GL Analysis'!R$20,'[1]NS Vendor Details'!$O:$O,'G&amp;A Vendor x GL Analysis'!$F168,'[1]NS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Analysis'!$D168,'[1]NS Vendor Details'!$O:$O,'G&amp;A Vendor x GL Analysis'!$F168,'[1]NS Vendor Details'!$N:$N,'G&amp;A Vendor x GL Analysis'!$C168,'[1]NS Vendor Details'!$K:$K,'G&amp;A Vendor x GL Analysis'!$E$8)+SUMIFS('[1]NS Vendor Details'!$D:$D,'[1]NS Vendor Details'!$H:$H,'G&amp;A Vendor x GL Analysis'!R$20,'[1]NS Vendor Details'!$O:$O,'G&amp;A Vendor x GL Analysis'!$F168,'[1]NS Vendor Details'!$N:$N,"Direct Costs",'[1]NS Vendor Details'!$J:$J,0,'[1]NS Vendor Details'!$K:$K,'G&amp;A Vendor x GL Analysis'!$E$8,'[1]NS Vendor Details'!$L:$L,"Freight"),0))</f>
        <v>1273.8399999999999</v>
      </c>
      <c r="S168" s="16">
        <f>IF(AND(S$15="Actual",ISBLANK($E$8)),SUMIFS('[1]NS Vendor Details'!$D:$D,'[1]NS Vendor Details'!$H:$H,'G&amp;A Vendor x GL Analysis'!S$20,'[1]NS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Analysis'!S$20,'[1]NS Vendor Details'!$O:$O,'G&amp;A Vendor x GL Analysis'!$F168,'[1]NS Vendor Details'!$N:$N,"Direct Costs",'[1]NS Vendor Details'!$J:$J,0,'[1]NS Vendor Details'!$L:$L,"Freight",'[1]NS Vendor Details'!$I:$I,'G&amp;A Vendor x GL Analysis'!$E168),IF(S$15="Actual",SUMIFS('[1]NS Vendor Details'!$D:$D,'[1]NS Vendor Details'!$H:$H,'G&amp;A Vendor x GL Analysis'!S$20,'[1]NS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Analysis'!S$20,'[1]NS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T168" s="17">
        <f>IF(AND(T$15="Actual",ISBLANK($E$8)),SUMIFS('[1]NS Vendor Details'!$D:$D,'[1]NS Vendor Details'!$H:$H,'G&amp;A Vendor x GL Analysis'!T$20,'[1]NS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Analysis'!T$20,'[1]NS Vendor Details'!$O:$O,'G&amp;A Vendor x GL Analysis'!$F168,'[1]NS Vendor Details'!$N:$N,"Direct Costs",'[1]NS Vendor Details'!$J:$J,0,'[1]NS Vendor Details'!$L:$L,"Freight",'[1]NS Vendor Details'!$I:$I,'G&amp;A Vendor x GL Analysis'!$E168),IF(T$15="Actual",SUMIFS('[1]NS Vendor Details'!$D:$D,'[1]NS Vendor Details'!$H:$H,'G&amp;A Vendor x GL Analysis'!T$20,'[1]NS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Analysis'!T$20,'[1]NS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U168" s="17">
        <f>IF(AND(U$15="Actual",ISBLANK($E$8)),SUMIFS('[1]NS Vendor Details'!$D:$D,'[1]NS Vendor Details'!$H:$H,'G&amp;A Vendor x GL Analysis'!U$20,'[1]NS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Analysis'!U$20,'[1]NS Vendor Details'!$O:$O,'G&amp;A Vendor x GL Analysis'!$F168,'[1]NS Vendor Details'!$N:$N,"Direct Costs",'[1]NS Vendor Details'!$J:$J,0,'[1]NS Vendor Details'!$L:$L,"Freight",'[1]NS Vendor Details'!$I:$I,'G&amp;A Vendor x GL Analysis'!$E168),IF(U$15="Actual",SUMIFS('[1]NS Vendor Details'!$D:$D,'[1]NS Vendor Details'!$H:$H,'G&amp;A Vendor x GL Analysis'!U$20,'[1]NS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Analysis'!U$20,'[1]NS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V168" s="17">
        <f>IF(AND(V$15="Actual",ISBLANK($E$8)),SUMIFS('[1]NS Vendor Details'!$D:$D,'[1]NS Vendor Details'!$H:$H,'G&amp;A Vendor x GL Analysis'!V$20,'[1]NS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Analysis'!V$20,'[1]NS Vendor Details'!$O:$O,'G&amp;A Vendor x GL Analysis'!$F168,'[1]NS Vendor Details'!$N:$N,"Direct Costs",'[1]NS Vendor Details'!$J:$J,0,'[1]NS Vendor Details'!$L:$L,"Freight",'[1]NS Vendor Details'!$I:$I,'G&amp;A Vendor x GL Analysis'!$E168),IF(V$15="Actual",SUMIFS('[1]NS Vendor Details'!$D:$D,'[1]NS Vendor Details'!$H:$H,'G&amp;A Vendor x GL Analysis'!V$20,'[1]NS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Analysis'!V$20,'[1]NS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W168" s="17">
        <f>IF(AND(W$15="Actual",ISBLANK($E$8)),SUMIFS('[1]NS Vendor Details'!$D:$D,'[1]NS Vendor Details'!$H:$H,'G&amp;A Vendor x GL Analysis'!W$20,'[1]NS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Analysis'!W$20,'[1]NS Vendor Details'!$O:$O,'G&amp;A Vendor x GL Analysis'!$F168,'[1]NS Vendor Details'!$N:$N,"Direct Costs",'[1]NS Vendor Details'!$J:$J,0,'[1]NS Vendor Details'!$L:$L,"Freight",'[1]NS Vendor Details'!$I:$I,'G&amp;A Vendor x GL Analysis'!$E168),IF(W$15="Actual",SUMIFS('[1]NS Vendor Details'!$D:$D,'[1]NS Vendor Details'!$H:$H,'G&amp;A Vendor x GL Analysis'!W$20,'[1]NS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Analysis'!W$20,'[1]NS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X168" s="17">
        <f>IF(AND(X$15="Actual",ISBLANK($E$8)),SUMIFS('[1]NS Vendor Details'!$D:$D,'[1]NS Vendor Details'!$H:$H,'G&amp;A Vendor x GL Analysis'!X$20,'[1]NS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Analysis'!X$20,'[1]NS Vendor Details'!$O:$O,'G&amp;A Vendor x GL Analysis'!$F168,'[1]NS Vendor Details'!$N:$N,"Direct Costs",'[1]NS Vendor Details'!$J:$J,0,'[1]NS Vendor Details'!$L:$L,"Freight",'[1]NS Vendor Details'!$I:$I,'G&amp;A Vendor x GL Analysis'!$E168),IF(X$15="Actual",SUMIFS('[1]NS Vendor Details'!$D:$D,'[1]NS Vendor Details'!$H:$H,'G&amp;A Vendor x GL Analysis'!X$20,'[1]NS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Analysis'!X$20,'[1]NS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Y168" s="17">
        <f>IF(AND(Y$15="Actual",ISBLANK($E$8)),SUMIFS('[1]NS Vendor Details'!$D:$D,'[1]NS Vendor Details'!$H:$H,'G&amp;A Vendor x GL Analysis'!Y$20,'[1]NS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Analysis'!Y$20,'[1]NS Vendor Details'!$O:$O,'G&amp;A Vendor x GL Analysis'!$F168,'[1]NS Vendor Details'!$N:$N,"Direct Costs",'[1]NS Vendor Details'!$J:$J,0,'[1]NS Vendor Details'!$L:$L,"Freight",'[1]NS Vendor Details'!$I:$I,'G&amp;A Vendor x GL Analysis'!$E168),IF(Y$15="Actual",SUMIFS('[1]NS Vendor Details'!$D:$D,'[1]NS Vendor Details'!$H:$H,'G&amp;A Vendor x GL Analysis'!Y$20,'[1]NS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Analysis'!Y$20,'[1]NS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Z168" s="17">
        <f>IF(AND(Z$15="Actual",ISBLANK($E$8)),SUMIFS('[1]NS Vendor Details'!$D:$D,'[1]NS Vendor Details'!$H:$H,'G&amp;A Vendor x GL Analysis'!Z$20,'[1]NS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Analysis'!Z$20,'[1]NS Vendor Details'!$O:$O,'G&amp;A Vendor x GL Analysis'!$F168,'[1]NS Vendor Details'!$N:$N,"Direct Costs",'[1]NS Vendor Details'!$J:$J,0,'[1]NS Vendor Details'!$L:$L,"Freight",'[1]NS Vendor Details'!$I:$I,'G&amp;A Vendor x GL Analysis'!$E168),IF(Z$15="Actual",SUMIFS('[1]NS Vendor Details'!$D:$D,'[1]NS Vendor Details'!$H:$H,'G&amp;A Vendor x GL Analysis'!Z$20,'[1]NS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Analysis'!Z$20,'[1]NS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AA168" s="17">
        <f>IF(AND(AA$15="Actual",ISBLANK($E$8)),SUMIFS('[1]NS Vendor Details'!$D:$D,'[1]NS Vendor Details'!$H:$H,'G&amp;A Vendor x GL Analysis'!AA$20,'[1]NS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Analysis'!AA$20,'[1]NS Vendor Details'!$O:$O,'G&amp;A Vendor x GL Analysis'!$F168,'[1]NS Vendor Details'!$N:$N,"Direct Costs",'[1]NS Vendor Details'!$J:$J,0,'[1]NS Vendor Details'!$L:$L,"Freight",'[1]NS Vendor Details'!$I:$I,'G&amp;A Vendor x GL Analysis'!$E168),IF(AA$15="Actual",SUMIFS('[1]NS Vendor Details'!$D:$D,'[1]NS Vendor Details'!$H:$H,'G&amp;A Vendor x GL Analysis'!AA$20,'[1]NS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Analysis'!AA$20,'[1]NS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AB168" s="17">
        <f>IF(AND(AB$15="Actual",ISBLANK($E$8)),SUMIFS('[1]NS Vendor Details'!$D:$D,'[1]NS Vendor Details'!$H:$H,'G&amp;A Vendor x GL Analysis'!AB$20,'[1]NS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Analysis'!AB$20,'[1]NS Vendor Details'!$O:$O,'G&amp;A Vendor x GL Analysis'!$F168,'[1]NS Vendor Details'!$N:$N,"Direct Costs",'[1]NS Vendor Details'!$J:$J,0,'[1]NS Vendor Details'!$L:$L,"Freight",'[1]NS Vendor Details'!$I:$I,'G&amp;A Vendor x GL Analysis'!$E168),IF(AB$15="Actual",SUMIFS('[1]NS Vendor Details'!$D:$D,'[1]NS Vendor Details'!$H:$H,'G&amp;A Vendor x GL Analysis'!AB$20,'[1]NS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Analysis'!AB$20,'[1]NS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AC168" s="18">
        <f>IF(AND(AC$15="Actual",ISBLANK($E$8)),SUMIFS('[1]NS Vendor Details'!$D:$D,'[1]NS Vendor Details'!$H:$H,'G&amp;A Vendor x GL Analysis'!AC$20,'[1]NS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Analysis'!AC$20,'[1]NS Vendor Details'!$O:$O,'G&amp;A Vendor x GL Analysis'!$F168,'[1]NS Vendor Details'!$N:$N,"Direct Costs",'[1]NS Vendor Details'!$J:$J,0,'[1]NS Vendor Details'!$L:$L,"Freight",'[1]NS Vendor Details'!$I:$I,'G&amp;A Vendor x GL Analysis'!$E168),IF(AC$15="Actual",SUMIFS('[1]NS Vendor Details'!$D:$D,'[1]NS Vendor Details'!$H:$H,'G&amp;A Vendor x GL Analysis'!AC$20,'[1]NS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Analysis'!AC$20,'[1]NS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1034.31</v>
      </c>
      <c r="AD168" s="18">
        <f>IF(AND(AD$15="Actual",ISBLANK($E$8)),SUMIFS('[1]NS Vendor Details'!$D:$D,'[1]NS Vendor Details'!$H:$H,'G&amp;A Vendor x GL Analysis'!AD$20,'[1]NS Vendor Details'!$L:$L,'G&amp;A Vendor x GL Analysis'!$D168,'[1]NS Vendor Details'!$O:$O,'G&amp;A Vendor x GL Analysis'!$F168,'[1]NS Vendor Details'!$N:$N,'G&amp;A Vendor x GL Analysis'!$C168,'[1]NS Vendor Details'!$I:$I,'G&amp;A Vendor x GL Analysis'!$E168)+SUMIFS('[1]NS Vendor Details'!$D:$D,'[1]NS Vendor Details'!$H:$H,'G&amp;A Vendor x GL Analysis'!AD$20,'[1]NS Vendor Details'!$O:$O,'G&amp;A Vendor x GL Analysis'!$F168,'[1]NS Vendor Details'!$N:$N,"Direct Costs",'[1]NS Vendor Details'!$J:$J,0,'[1]NS Vendor Details'!$L:$L,"Freight",'[1]NS Vendor Details'!$I:$I,'G&amp;A Vendor x GL Analysis'!$E168),IF(AD$15="Actual",SUMIFS('[1]NS Vendor Details'!$D:$D,'[1]NS Vendor Details'!$H:$H,'G&amp;A Vendor x GL Analysis'!AD$20,'[1]NS Vendor Details'!$L:$L,'G&amp;A Vendor x GL Analysis'!$D168,'[1]NS Vendor Details'!$O:$O,'G&amp;A Vendor x GL Analysis'!$F168,'[1]NS Vendor Details'!$N:$N,'G&amp;A Vendor x GL Analysis'!$C168,'[1]NS Vendor Details'!$K:$K,'G&amp;A Vendor x GL Analysis'!$E$8,'[1]NS Vendor Details'!$I:$I,'G&amp;A Vendor x GL Analysis'!$E168)+SUMIFS('[1]NS Vendor Details'!$D:$D,'[1]NS Vendor Details'!$H:$H,'G&amp;A Vendor x GL Analysis'!AD$20,'[1]NS Vendor Details'!$O:$O,'G&amp;A Vendor x GL Analysis'!$F168,'[1]NS Vendor Details'!$N:$N,"Direct Costs",'[1]NS Vendor Details'!$J:$J,0,'[1]NS Vendor Details'!$K:$K,'G&amp;A Vendor x GL Analysis'!$E$8,'[1]NS Vendor Details'!$L:$L,"Freight",'[1]NS Vendor Details'!$I:$I,'G&amp;A Vendor x GL Analysis'!$E168),0))</f>
        <v>0</v>
      </c>
      <c r="AF168" s="19">
        <f t="shared" si="23"/>
        <v>11377.409999999996</v>
      </c>
    </row>
    <row r="169" spans="1:32" outlineLevel="1">
      <c r="A169" s="8" t="str">
        <f t="shared" si="26"/>
        <v>Other6340 - Miscellaneous Expense</v>
      </c>
      <c r="C169" s="8" t="s">
        <v>11</v>
      </c>
      <c r="D169" s="8" t="str">
        <f t="shared" ref="D169:D170" si="28">D166</f>
        <v>Other</v>
      </c>
      <c r="E169" s="2" t="s">
        <v>153</v>
      </c>
      <c r="F169" s="2" t="s">
        <v>157</v>
      </c>
      <c r="G169" s="16">
        <f>IF(AND(G$15="Actual",ISBLANK($E$8)),SUMIFS('[1]NS Vendor Details'!$D:$D,'[1]NS Vendor Details'!$H:$H,'G&amp;A Vendor x GL Analysis'!G$20,'[1]NS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Analysis'!G$20,'[1]NS Vendor Details'!$O:$O,'G&amp;A Vendor x GL Analysis'!$F169,'[1]NS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Analysis'!G$20,'[1]NS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H169" s="17">
        <f>IF(AND(H$15="Actual",ISBLANK($E$8)),SUMIFS('[1]NS Vendor Details'!$D:$D,'[1]NS Vendor Details'!$H:$H,'G&amp;A Vendor x GL Analysis'!H$20,'[1]NS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Analysis'!H$20,'[1]NS Vendor Details'!$O:$O,'G&amp;A Vendor x GL Analysis'!$F169,'[1]NS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Analysis'!H$20,'[1]NS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I169" s="17">
        <f>IF(AND(I$15="Actual",ISBLANK($E$8)),SUMIFS('[1]NS Vendor Details'!$D:$D,'[1]NS Vendor Details'!$H:$H,'G&amp;A Vendor x GL Analysis'!I$20,'[1]NS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Analysis'!I$20,'[1]NS Vendor Details'!$O:$O,'G&amp;A Vendor x GL Analysis'!$F169,'[1]NS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Analysis'!I$20,'[1]NS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J169" s="17">
        <f>IF(AND(J$15="Actual",ISBLANK($E$8)),SUMIFS('[1]NS Vendor Details'!$D:$D,'[1]NS Vendor Details'!$H:$H,'G&amp;A Vendor x GL Analysis'!J$20,'[1]NS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Analysis'!J$20,'[1]NS Vendor Details'!$O:$O,'G&amp;A Vendor x GL Analysis'!$F169,'[1]NS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Analysis'!J$20,'[1]NS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K169" s="17">
        <f>IF(AND(K$15="Actual",ISBLANK($E$8)),SUMIFS('[1]NS Vendor Details'!$D:$D,'[1]NS Vendor Details'!$H:$H,'G&amp;A Vendor x GL Analysis'!K$20,'[1]NS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Analysis'!K$20,'[1]NS Vendor Details'!$O:$O,'G&amp;A Vendor x GL Analysis'!$F169,'[1]NS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Analysis'!K$20,'[1]NS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L169" s="17">
        <f>IF(AND(L$15="Actual",ISBLANK($E$8)),SUMIFS('[1]NS Vendor Details'!$D:$D,'[1]NS Vendor Details'!$H:$H,'G&amp;A Vendor x GL Analysis'!L$20,'[1]NS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Analysis'!L$20,'[1]NS Vendor Details'!$O:$O,'G&amp;A Vendor x GL Analysis'!$F169,'[1]NS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Analysis'!L$20,'[1]NS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M169" s="17">
        <f>IF(AND(M$15="Actual",ISBLANK($E$8)),SUMIFS('[1]NS Vendor Details'!$D:$D,'[1]NS Vendor Details'!$H:$H,'G&amp;A Vendor x GL Analysis'!M$20,'[1]NS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Analysis'!M$20,'[1]NS Vendor Details'!$O:$O,'G&amp;A Vendor x GL Analysis'!$F169,'[1]NS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Analysis'!M$20,'[1]NS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N169" s="17">
        <f>IF(AND(N$15="Actual",ISBLANK($E$8)),SUMIFS('[1]NS Vendor Details'!$D:$D,'[1]NS Vendor Details'!$H:$H,'G&amp;A Vendor x GL Analysis'!N$20,'[1]NS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Analysis'!N$20,'[1]NS Vendor Details'!$O:$O,'G&amp;A Vendor x GL Analysis'!$F169,'[1]NS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Analysis'!N$20,'[1]NS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O169" s="17">
        <f>IF(AND(O$15="Actual",ISBLANK($E$8)),SUMIFS('[1]NS Vendor Details'!$D:$D,'[1]NS Vendor Details'!$H:$H,'G&amp;A Vendor x GL Analysis'!O$20,'[1]NS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Analysis'!O$20,'[1]NS Vendor Details'!$O:$O,'G&amp;A Vendor x GL Analysis'!$F169,'[1]NS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Analysis'!O$20,'[1]NS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P169" s="17">
        <f>IF(AND(P$15="Actual",ISBLANK($E$8)),SUMIFS('[1]NS Vendor Details'!$D:$D,'[1]NS Vendor Details'!$H:$H,'G&amp;A Vendor x GL Analysis'!P$20,'[1]NS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Analysis'!P$20,'[1]NS Vendor Details'!$O:$O,'G&amp;A Vendor x GL Analysis'!$F169,'[1]NS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Analysis'!P$20,'[1]NS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Q169" s="17">
        <f>IF(AND(Q$15="Actual",ISBLANK($E$8)),SUMIFS('[1]NS Vendor Details'!$D:$D,'[1]NS Vendor Details'!$H:$H,'G&amp;A Vendor x GL Analysis'!Q$20,'[1]NS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Analysis'!Q$20,'[1]NS Vendor Details'!$O:$O,'G&amp;A Vendor x GL Analysis'!$F169,'[1]NS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Analysis'!Q$20,'[1]NS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R169" s="18">
        <f>IF(AND(R$15="Actual",ISBLANK($E$8)),SUMIFS('[1]NS Vendor Details'!$D:$D,'[1]NS Vendor Details'!$H:$H,'G&amp;A Vendor x GL Analysis'!R$20,'[1]NS Vendor Details'!$L:$L,'G&amp;A Vendor x GL Analysis'!$D169,'[1]NS Vendor Details'!$O:$O,'G&amp;A Vendor x GL Analysis'!$F169,'[1]NS Vendor Details'!$N:$N,'G&amp;A Vendor x GL Analysis'!$C169)+SUMIFS('[1]NS Vendor Details'!$D:$D,'[1]NS Vendor Details'!$H:$H,'G&amp;A Vendor x GL Analysis'!R$20,'[1]NS Vendor Details'!$O:$O,'G&amp;A Vendor x GL Analysis'!$F169,'[1]NS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Analysis'!$D169,'[1]NS Vendor Details'!$O:$O,'G&amp;A Vendor x GL Analysis'!$F169,'[1]NS Vendor Details'!$N:$N,'G&amp;A Vendor x GL Analysis'!$C169,'[1]NS Vendor Details'!$K:$K,'G&amp;A Vendor x GL Analysis'!$E$8)+SUMIFS('[1]NS Vendor Details'!$D:$D,'[1]NS Vendor Details'!$H:$H,'G&amp;A Vendor x GL Analysis'!R$20,'[1]NS Vendor Details'!$O:$O,'G&amp;A Vendor x GL Analysis'!$F169,'[1]NS Vendor Details'!$N:$N,"Direct Costs",'[1]NS Vendor Details'!$J:$J,0,'[1]NS Vendor Details'!$K:$K,'G&amp;A Vendor x GL Analysis'!$E$8,'[1]NS Vendor Details'!$L:$L,"Freight"),0))</f>
        <v>0</v>
      </c>
      <c r="S169" s="16">
        <f>IF(AND(S$15="Actual",ISBLANK($E$8)),SUMIFS('[1]NS Vendor Details'!$D:$D,'[1]NS Vendor Details'!$H:$H,'G&amp;A Vendor x GL Analysis'!S$20,'[1]NS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Analysis'!S$20,'[1]NS Vendor Details'!$O:$O,'G&amp;A Vendor x GL Analysis'!$F169,'[1]NS Vendor Details'!$N:$N,"Direct Costs",'[1]NS Vendor Details'!$J:$J,0,'[1]NS Vendor Details'!$L:$L,"Freight",'[1]NS Vendor Details'!$I:$I,'G&amp;A Vendor x GL Analysis'!$E169),IF(S$15="Actual",SUMIFS('[1]NS Vendor Details'!$D:$D,'[1]NS Vendor Details'!$H:$H,'G&amp;A Vendor x GL Analysis'!S$20,'[1]NS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Analysis'!S$20,'[1]NS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T169" s="17">
        <f>IF(AND(T$15="Actual",ISBLANK($E$8)),SUMIFS('[1]NS Vendor Details'!$D:$D,'[1]NS Vendor Details'!$H:$H,'G&amp;A Vendor x GL Analysis'!T$20,'[1]NS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Analysis'!T$20,'[1]NS Vendor Details'!$O:$O,'G&amp;A Vendor x GL Analysis'!$F169,'[1]NS Vendor Details'!$N:$N,"Direct Costs",'[1]NS Vendor Details'!$J:$J,0,'[1]NS Vendor Details'!$L:$L,"Freight",'[1]NS Vendor Details'!$I:$I,'G&amp;A Vendor x GL Analysis'!$E169),IF(T$15="Actual",SUMIFS('[1]NS Vendor Details'!$D:$D,'[1]NS Vendor Details'!$H:$H,'G&amp;A Vendor x GL Analysis'!T$20,'[1]NS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Analysis'!T$20,'[1]NS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U169" s="17">
        <f>IF(AND(U$15="Actual",ISBLANK($E$8)),SUMIFS('[1]NS Vendor Details'!$D:$D,'[1]NS Vendor Details'!$H:$H,'G&amp;A Vendor x GL Analysis'!U$20,'[1]NS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Analysis'!U$20,'[1]NS Vendor Details'!$O:$O,'G&amp;A Vendor x GL Analysis'!$F169,'[1]NS Vendor Details'!$N:$N,"Direct Costs",'[1]NS Vendor Details'!$J:$J,0,'[1]NS Vendor Details'!$L:$L,"Freight",'[1]NS Vendor Details'!$I:$I,'G&amp;A Vendor x GL Analysis'!$E169),IF(U$15="Actual",SUMIFS('[1]NS Vendor Details'!$D:$D,'[1]NS Vendor Details'!$H:$H,'G&amp;A Vendor x GL Analysis'!U$20,'[1]NS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Analysis'!U$20,'[1]NS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V169" s="17">
        <f>IF(AND(V$15="Actual",ISBLANK($E$8)),SUMIFS('[1]NS Vendor Details'!$D:$D,'[1]NS Vendor Details'!$H:$H,'G&amp;A Vendor x GL Analysis'!V$20,'[1]NS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Analysis'!V$20,'[1]NS Vendor Details'!$O:$O,'G&amp;A Vendor x GL Analysis'!$F169,'[1]NS Vendor Details'!$N:$N,"Direct Costs",'[1]NS Vendor Details'!$J:$J,0,'[1]NS Vendor Details'!$L:$L,"Freight",'[1]NS Vendor Details'!$I:$I,'G&amp;A Vendor x GL Analysis'!$E169),IF(V$15="Actual",SUMIFS('[1]NS Vendor Details'!$D:$D,'[1]NS Vendor Details'!$H:$H,'G&amp;A Vendor x GL Analysis'!V$20,'[1]NS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Analysis'!V$20,'[1]NS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W169" s="17">
        <f>IF(AND(W$15="Actual",ISBLANK($E$8)),SUMIFS('[1]NS Vendor Details'!$D:$D,'[1]NS Vendor Details'!$H:$H,'G&amp;A Vendor x GL Analysis'!W$20,'[1]NS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Analysis'!W$20,'[1]NS Vendor Details'!$O:$O,'G&amp;A Vendor x GL Analysis'!$F169,'[1]NS Vendor Details'!$N:$N,"Direct Costs",'[1]NS Vendor Details'!$J:$J,0,'[1]NS Vendor Details'!$L:$L,"Freight",'[1]NS Vendor Details'!$I:$I,'G&amp;A Vendor x GL Analysis'!$E169),IF(W$15="Actual",SUMIFS('[1]NS Vendor Details'!$D:$D,'[1]NS Vendor Details'!$H:$H,'G&amp;A Vendor x GL Analysis'!W$20,'[1]NS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Analysis'!W$20,'[1]NS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X169" s="17">
        <f>IF(AND(X$15="Actual",ISBLANK($E$8)),SUMIFS('[1]NS Vendor Details'!$D:$D,'[1]NS Vendor Details'!$H:$H,'G&amp;A Vendor x GL Analysis'!X$20,'[1]NS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Analysis'!X$20,'[1]NS Vendor Details'!$O:$O,'G&amp;A Vendor x GL Analysis'!$F169,'[1]NS Vendor Details'!$N:$N,"Direct Costs",'[1]NS Vendor Details'!$J:$J,0,'[1]NS Vendor Details'!$L:$L,"Freight",'[1]NS Vendor Details'!$I:$I,'G&amp;A Vendor x GL Analysis'!$E169),IF(X$15="Actual",SUMIFS('[1]NS Vendor Details'!$D:$D,'[1]NS Vendor Details'!$H:$H,'G&amp;A Vendor x GL Analysis'!X$20,'[1]NS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Analysis'!X$20,'[1]NS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Y169" s="17">
        <f>IF(AND(Y$15="Actual",ISBLANK($E$8)),SUMIFS('[1]NS Vendor Details'!$D:$D,'[1]NS Vendor Details'!$H:$H,'G&amp;A Vendor x GL Analysis'!Y$20,'[1]NS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Analysis'!Y$20,'[1]NS Vendor Details'!$O:$O,'G&amp;A Vendor x GL Analysis'!$F169,'[1]NS Vendor Details'!$N:$N,"Direct Costs",'[1]NS Vendor Details'!$J:$J,0,'[1]NS Vendor Details'!$L:$L,"Freight",'[1]NS Vendor Details'!$I:$I,'G&amp;A Vendor x GL Analysis'!$E169),IF(Y$15="Actual",SUMIFS('[1]NS Vendor Details'!$D:$D,'[1]NS Vendor Details'!$H:$H,'G&amp;A Vendor x GL Analysis'!Y$20,'[1]NS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Analysis'!Y$20,'[1]NS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Z169" s="17">
        <f>IF(AND(Z$15="Actual",ISBLANK($E$8)),SUMIFS('[1]NS Vendor Details'!$D:$D,'[1]NS Vendor Details'!$H:$H,'G&amp;A Vendor x GL Analysis'!Z$20,'[1]NS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Analysis'!Z$20,'[1]NS Vendor Details'!$O:$O,'G&amp;A Vendor x GL Analysis'!$F169,'[1]NS Vendor Details'!$N:$N,"Direct Costs",'[1]NS Vendor Details'!$J:$J,0,'[1]NS Vendor Details'!$L:$L,"Freight",'[1]NS Vendor Details'!$I:$I,'G&amp;A Vendor x GL Analysis'!$E169),IF(Z$15="Actual",SUMIFS('[1]NS Vendor Details'!$D:$D,'[1]NS Vendor Details'!$H:$H,'G&amp;A Vendor x GL Analysis'!Z$20,'[1]NS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Analysis'!Z$20,'[1]NS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1060</v>
      </c>
      <c r="AA169" s="17">
        <f>IF(AND(AA$15="Actual",ISBLANK($E$8)),SUMIFS('[1]NS Vendor Details'!$D:$D,'[1]NS Vendor Details'!$H:$H,'G&amp;A Vendor x GL Analysis'!AA$20,'[1]NS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Analysis'!AA$20,'[1]NS Vendor Details'!$O:$O,'G&amp;A Vendor x GL Analysis'!$F169,'[1]NS Vendor Details'!$N:$N,"Direct Costs",'[1]NS Vendor Details'!$J:$J,0,'[1]NS Vendor Details'!$L:$L,"Freight",'[1]NS Vendor Details'!$I:$I,'G&amp;A Vendor x GL Analysis'!$E169),IF(AA$15="Actual",SUMIFS('[1]NS Vendor Details'!$D:$D,'[1]NS Vendor Details'!$H:$H,'G&amp;A Vendor x GL Analysis'!AA$20,'[1]NS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Analysis'!AA$20,'[1]NS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AB169" s="17">
        <f>IF(AND(AB$15="Actual",ISBLANK($E$8)),SUMIFS('[1]NS Vendor Details'!$D:$D,'[1]NS Vendor Details'!$H:$H,'G&amp;A Vendor x GL Analysis'!AB$20,'[1]NS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Analysis'!AB$20,'[1]NS Vendor Details'!$O:$O,'G&amp;A Vendor x GL Analysis'!$F169,'[1]NS Vendor Details'!$N:$N,"Direct Costs",'[1]NS Vendor Details'!$J:$J,0,'[1]NS Vendor Details'!$L:$L,"Freight",'[1]NS Vendor Details'!$I:$I,'G&amp;A Vendor x GL Analysis'!$E169),IF(AB$15="Actual",SUMIFS('[1]NS Vendor Details'!$D:$D,'[1]NS Vendor Details'!$H:$H,'G&amp;A Vendor x GL Analysis'!AB$20,'[1]NS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Analysis'!AB$20,'[1]NS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AC169" s="18">
        <f>IF(AND(AC$15="Actual",ISBLANK($E$8)),SUMIFS('[1]NS Vendor Details'!$D:$D,'[1]NS Vendor Details'!$H:$H,'G&amp;A Vendor x GL Analysis'!AC$20,'[1]NS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Analysis'!AC$20,'[1]NS Vendor Details'!$O:$O,'G&amp;A Vendor x GL Analysis'!$F169,'[1]NS Vendor Details'!$N:$N,"Direct Costs",'[1]NS Vendor Details'!$J:$J,0,'[1]NS Vendor Details'!$L:$L,"Freight",'[1]NS Vendor Details'!$I:$I,'G&amp;A Vendor x GL Analysis'!$E169),IF(AC$15="Actual",SUMIFS('[1]NS Vendor Details'!$D:$D,'[1]NS Vendor Details'!$H:$H,'G&amp;A Vendor x GL Analysis'!AC$20,'[1]NS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Analysis'!AC$20,'[1]NS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AD169" s="18">
        <f>IF(AND(AD$15="Actual",ISBLANK($E$8)),SUMIFS('[1]NS Vendor Details'!$D:$D,'[1]NS Vendor Details'!$H:$H,'G&amp;A Vendor x GL Analysis'!AD$20,'[1]NS Vendor Details'!$L:$L,'G&amp;A Vendor x GL Analysis'!$D169,'[1]NS Vendor Details'!$O:$O,'G&amp;A Vendor x GL Analysis'!$F169,'[1]NS Vendor Details'!$N:$N,'G&amp;A Vendor x GL Analysis'!$C169,'[1]NS Vendor Details'!$I:$I,'G&amp;A Vendor x GL Analysis'!$E169)+SUMIFS('[1]NS Vendor Details'!$D:$D,'[1]NS Vendor Details'!$H:$H,'G&amp;A Vendor x GL Analysis'!AD$20,'[1]NS Vendor Details'!$O:$O,'G&amp;A Vendor x GL Analysis'!$F169,'[1]NS Vendor Details'!$N:$N,"Direct Costs",'[1]NS Vendor Details'!$J:$J,0,'[1]NS Vendor Details'!$L:$L,"Freight",'[1]NS Vendor Details'!$I:$I,'G&amp;A Vendor x GL Analysis'!$E169),IF(AD$15="Actual",SUMIFS('[1]NS Vendor Details'!$D:$D,'[1]NS Vendor Details'!$H:$H,'G&amp;A Vendor x GL Analysis'!AD$20,'[1]NS Vendor Details'!$L:$L,'G&amp;A Vendor x GL Analysis'!$D169,'[1]NS Vendor Details'!$O:$O,'G&amp;A Vendor x GL Analysis'!$F169,'[1]NS Vendor Details'!$N:$N,'G&amp;A Vendor x GL Analysis'!$C169,'[1]NS Vendor Details'!$K:$K,'G&amp;A Vendor x GL Analysis'!$E$8,'[1]NS Vendor Details'!$I:$I,'G&amp;A Vendor x GL Analysis'!$E169)+SUMIFS('[1]NS Vendor Details'!$D:$D,'[1]NS Vendor Details'!$H:$H,'G&amp;A Vendor x GL Analysis'!AD$20,'[1]NS Vendor Details'!$O:$O,'G&amp;A Vendor x GL Analysis'!$F169,'[1]NS Vendor Details'!$N:$N,"Direct Costs",'[1]NS Vendor Details'!$J:$J,0,'[1]NS Vendor Details'!$K:$K,'G&amp;A Vendor x GL Analysis'!$E$8,'[1]NS Vendor Details'!$L:$L,"Freight",'[1]NS Vendor Details'!$I:$I,'G&amp;A Vendor x GL Analysis'!$E169),0))</f>
        <v>0</v>
      </c>
      <c r="AF169" s="19">
        <f t="shared" si="23"/>
        <v>1060</v>
      </c>
    </row>
    <row r="170" spans="1:32" outlineLevel="1">
      <c r="A170" s="8" t="str">
        <f t="shared" si="26"/>
        <v>Other6340 - Miscellaneous Expense</v>
      </c>
      <c r="C170" s="8" t="s">
        <v>11</v>
      </c>
      <c r="D170" s="8" t="str">
        <f t="shared" si="28"/>
        <v>Other</v>
      </c>
      <c r="E170" s="2" t="s">
        <v>153</v>
      </c>
      <c r="F170" s="2" t="s">
        <v>34</v>
      </c>
      <c r="G170" s="16">
        <f>IF(AND(G$15="Actual",ISBLANK($E$8)),SUMIFS('[1]NS Vendor Details'!$D:$D,'[1]NS Vendor Details'!$H:$H,'G&amp;A Vendor x GL Analysis'!G$20,'[1]NS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Analysis'!G$20,'[1]NS Vendor Details'!$O:$O,'G&amp;A Vendor x GL Analysis'!$F170,'[1]NS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Analysis'!G$20,'[1]NS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H170" s="17">
        <f>IF(AND(H$15="Actual",ISBLANK($E$8)),SUMIFS('[1]NS Vendor Details'!$D:$D,'[1]NS Vendor Details'!$H:$H,'G&amp;A Vendor x GL Analysis'!H$20,'[1]NS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Analysis'!H$20,'[1]NS Vendor Details'!$O:$O,'G&amp;A Vendor x GL Analysis'!$F170,'[1]NS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Analysis'!H$20,'[1]NS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I170" s="17">
        <f>IF(AND(I$15="Actual",ISBLANK($E$8)),SUMIFS('[1]NS Vendor Details'!$D:$D,'[1]NS Vendor Details'!$H:$H,'G&amp;A Vendor x GL Analysis'!I$20,'[1]NS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Analysis'!I$20,'[1]NS Vendor Details'!$O:$O,'G&amp;A Vendor x GL Analysis'!$F170,'[1]NS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Analysis'!I$20,'[1]NS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J170" s="17">
        <f>IF(AND(J$15="Actual",ISBLANK($E$8)),SUMIFS('[1]NS Vendor Details'!$D:$D,'[1]NS Vendor Details'!$H:$H,'G&amp;A Vendor x GL Analysis'!J$20,'[1]NS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Analysis'!J$20,'[1]NS Vendor Details'!$O:$O,'G&amp;A Vendor x GL Analysis'!$F170,'[1]NS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Analysis'!J$20,'[1]NS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K170" s="17">
        <f>IF(AND(K$15="Actual",ISBLANK($E$8)),SUMIFS('[1]NS Vendor Details'!$D:$D,'[1]NS Vendor Details'!$H:$H,'G&amp;A Vendor x GL Analysis'!K$20,'[1]NS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Analysis'!K$20,'[1]NS Vendor Details'!$O:$O,'G&amp;A Vendor x GL Analysis'!$F170,'[1]NS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Analysis'!K$20,'[1]NS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L170" s="17">
        <f>IF(AND(L$15="Actual",ISBLANK($E$8)),SUMIFS('[1]NS Vendor Details'!$D:$D,'[1]NS Vendor Details'!$H:$H,'G&amp;A Vendor x GL Analysis'!L$20,'[1]NS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Analysis'!L$20,'[1]NS Vendor Details'!$O:$O,'G&amp;A Vendor x GL Analysis'!$F170,'[1]NS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Analysis'!L$20,'[1]NS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M170" s="17">
        <f>IF(AND(M$15="Actual",ISBLANK($E$8)),SUMIFS('[1]NS Vendor Details'!$D:$D,'[1]NS Vendor Details'!$H:$H,'G&amp;A Vendor x GL Analysis'!M$20,'[1]NS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Analysis'!M$20,'[1]NS Vendor Details'!$O:$O,'G&amp;A Vendor x GL Analysis'!$F170,'[1]NS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Analysis'!M$20,'[1]NS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N170" s="17">
        <f>IF(AND(N$15="Actual",ISBLANK($E$8)),SUMIFS('[1]NS Vendor Details'!$D:$D,'[1]NS Vendor Details'!$H:$H,'G&amp;A Vendor x GL Analysis'!N$20,'[1]NS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Analysis'!N$20,'[1]NS Vendor Details'!$O:$O,'G&amp;A Vendor x GL Analysis'!$F170,'[1]NS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Analysis'!N$20,'[1]NS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O170" s="17">
        <f>IF(AND(O$15="Actual",ISBLANK($E$8)),SUMIFS('[1]NS Vendor Details'!$D:$D,'[1]NS Vendor Details'!$H:$H,'G&amp;A Vendor x GL Analysis'!O$20,'[1]NS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Analysis'!O$20,'[1]NS Vendor Details'!$O:$O,'G&amp;A Vendor x GL Analysis'!$F170,'[1]NS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Analysis'!O$20,'[1]NS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P170" s="17">
        <f>IF(AND(P$15="Actual",ISBLANK($E$8)),SUMIFS('[1]NS Vendor Details'!$D:$D,'[1]NS Vendor Details'!$H:$H,'G&amp;A Vendor x GL Analysis'!P$20,'[1]NS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Analysis'!P$20,'[1]NS Vendor Details'!$O:$O,'G&amp;A Vendor x GL Analysis'!$F170,'[1]NS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Analysis'!P$20,'[1]NS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Q170" s="17">
        <f>IF(AND(Q$15="Actual",ISBLANK($E$8)),SUMIFS('[1]NS Vendor Details'!$D:$D,'[1]NS Vendor Details'!$H:$H,'G&amp;A Vendor x GL Analysis'!Q$20,'[1]NS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Analysis'!Q$20,'[1]NS Vendor Details'!$O:$O,'G&amp;A Vendor x GL Analysis'!$F170,'[1]NS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Analysis'!Q$20,'[1]NS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R170" s="18">
        <f>IF(AND(R$15="Actual",ISBLANK($E$8)),SUMIFS('[1]NS Vendor Details'!$D:$D,'[1]NS Vendor Details'!$H:$H,'G&amp;A Vendor x GL Analysis'!R$20,'[1]NS Vendor Details'!$L:$L,'G&amp;A Vendor x GL Analysis'!$D170,'[1]NS Vendor Details'!$O:$O,'G&amp;A Vendor x GL Analysis'!$F170,'[1]NS Vendor Details'!$N:$N,'G&amp;A Vendor x GL Analysis'!$C170)+SUMIFS('[1]NS Vendor Details'!$D:$D,'[1]NS Vendor Details'!$H:$H,'G&amp;A Vendor x GL Analysis'!R$20,'[1]NS Vendor Details'!$O:$O,'G&amp;A Vendor x GL Analysis'!$F170,'[1]NS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Analysis'!$D170,'[1]NS Vendor Details'!$O:$O,'G&amp;A Vendor x GL Analysis'!$F170,'[1]NS Vendor Details'!$N:$N,'G&amp;A Vendor x GL Analysis'!$C170,'[1]NS Vendor Details'!$K:$K,'G&amp;A Vendor x GL Analysis'!$E$8)+SUMIFS('[1]NS Vendor Details'!$D:$D,'[1]NS Vendor Details'!$H:$H,'G&amp;A Vendor x GL Analysis'!R$20,'[1]NS Vendor Details'!$O:$O,'G&amp;A Vendor x GL Analysis'!$F170,'[1]NS Vendor Details'!$N:$N,"Direct Costs",'[1]NS Vendor Details'!$J:$J,0,'[1]NS Vendor Details'!$K:$K,'G&amp;A Vendor x GL Analysis'!$E$8,'[1]NS Vendor Details'!$L:$L,"Freight"),0))</f>
        <v>0</v>
      </c>
      <c r="S170" s="16">
        <f>IF(AND(S$15="Actual",ISBLANK($E$8)),SUMIFS('[1]NS Vendor Details'!$D:$D,'[1]NS Vendor Details'!$H:$H,'G&amp;A Vendor x GL Analysis'!S$20,'[1]NS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Analysis'!S$20,'[1]NS Vendor Details'!$O:$O,'G&amp;A Vendor x GL Analysis'!$F170,'[1]NS Vendor Details'!$N:$N,"Direct Costs",'[1]NS Vendor Details'!$J:$J,0,'[1]NS Vendor Details'!$L:$L,"Freight",'[1]NS Vendor Details'!$I:$I,'G&amp;A Vendor x GL Analysis'!$E170),IF(S$15="Actual",SUMIFS('[1]NS Vendor Details'!$D:$D,'[1]NS Vendor Details'!$H:$H,'G&amp;A Vendor x GL Analysis'!S$20,'[1]NS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Analysis'!S$20,'[1]NS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0</v>
      </c>
      <c r="T170" s="17">
        <f>IF(AND(T$15="Actual",ISBLANK($E$8)),SUMIFS('[1]NS Vendor Details'!$D:$D,'[1]NS Vendor Details'!$H:$H,'G&amp;A Vendor x GL Analysis'!T$20,'[1]NS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Analysis'!T$20,'[1]NS Vendor Details'!$O:$O,'G&amp;A Vendor x GL Analysis'!$F170,'[1]NS Vendor Details'!$N:$N,"Direct Costs",'[1]NS Vendor Details'!$J:$J,0,'[1]NS Vendor Details'!$L:$L,"Freight",'[1]NS Vendor Details'!$I:$I,'G&amp;A Vendor x GL Analysis'!$E170),IF(T$15="Actual",SUMIFS('[1]NS Vendor Details'!$D:$D,'[1]NS Vendor Details'!$H:$H,'G&amp;A Vendor x GL Analysis'!T$20,'[1]NS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Analysis'!T$20,'[1]NS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0</v>
      </c>
      <c r="U170" s="17">
        <f>IF(AND(U$15="Actual",ISBLANK($E$8)),SUMIFS('[1]NS Vendor Details'!$D:$D,'[1]NS Vendor Details'!$H:$H,'G&amp;A Vendor x GL Analysis'!U$20,'[1]NS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Analysis'!U$20,'[1]NS Vendor Details'!$O:$O,'G&amp;A Vendor x GL Analysis'!$F170,'[1]NS Vendor Details'!$N:$N,"Direct Costs",'[1]NS Vendor Details'!$J:$J,0,'[1]NS Vendor Details'!$L:$L,"Freight",'[1]NS Vendor Details'!$I:$I,'G&amp;A Vendor x GL Analysis'!$E170),IF(U$15="Actual",SUMIFS('[1]NS Vendor Details'!$D:$D,'[1]NS Vendor Details'!$H:$H,'G&amp;A Vendor x GL Analysis'!U$20,'[1]NS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Analysis'!U$20,'[1]NS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0</v>
      </c>
      <c r="V170" s="17">
        <f>IF(AND(V$15="Actual",ISBLANK($E$8)),SUMIFS('[1]NS Vendor Details'!$D:$D,'[1]NS Vendor Details'!$H:$H,'G&amp;A Vendor x GL Analysis'!V$20,'[1]NS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Analysis'!V$20,'[1]NS Vendor Details'!$O:$O,'G&amp;A Vendor x GL Analysis'!$F170,'[1]NS Vendor Details'!$N:$N,"Direct Costs",'[1]NS Vendor Details'!$J:$J,0,'[1]NS Vendor Details'!$L:$L,"Freight",'[1]NS Vendor Details'!$I:$I,'G&amp;A Vendor x GL Analysis'!$E170),IF(V$15="Actual",SUMIFS('[1]NS Vendor Details'!$D:$D,'[1]NS Vendor Details'!$H:$H,'G&amp;A Vendor x GL Analysis'!V$20,'[1]NS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Analysis'!V$20,'[1]NS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0</v>
      </c>
      <c r="W170" s="17">
        <f>IF(AND(W$15="Actual",ISBLANK($E$8)),SUMIFS('[1]NS Vendor Details'!$D:$D,'[1]NS Vendor Details'!$H:$H,'G&amp;A Vendor x GL Analysis'!W$20,'[1]NS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Analysis'!W$20,'[1]NS Vendor Details'!$O:$O,'G&amp;A Vendor x GL Analysis'!$F170,'[1]NS Vendor Details'!$N:$N,"Direct Costs",'[1]NS Vendor Details'!$J:$J,0,'[1]NS Vendor Details'!$L:$L,"Freight",'[1]NS Vendor Details'!$I:$I,'G&amp;A Vendor x GL Analysis'!$E170),IF(W$15="Actual",SUMIFS('[1]NS Vendor Details'!$D:$D,'[1]NS Vendor Details'!$H:$H,'G&amp;A Vendor x GL Analysis'!W$20,'[1]NS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Analysis'!W$20,'[1]NS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0</v>
      </c>
      <c r="X170" s="17">
        <f>IF(AND(X$15="Actual",ISBLANK($E$8)),SUMIFS('[1]NS Vendor Details'!$D:$D,'[1]NS Vendor Details'!$H:$H,'G&amp;A Vendor x GL Analysis'!X$20,'[1]NS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Analysis'!X$20,'[1]NS Vendor Details'!$O:$O,'G&amp;A Vendor x GL Analysis'!$F170,'[1]NS Vendor Details'!$N:$N,"Direct Costs",'[1]NS Vendor Details'!$J:$J,0,'[1]NS Vendor Details'!$L:$L,"Freight",'[1]NS Vendor Details'!$I:$I,'G&amp;A Vendor x GL Analysis'!$E170),IF(X$15="Actual",SUMIFS('[1]NS Vendor Details'!$D:$D,'[1]NS Vendor Details'!$H:$H,'G&amp;A Vendor x GL Analysis'!X$20,'[1]NS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Analysis'!X$20,'[1]NS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0</v>
      </c>
      <c r="Y170" s="17">
        <f>IF(AND(Y$15="Actual",ISBLANK($E$8)),SUMIFS('[1]NS Vendor Details'!$D:$D,'[1]NS Vendor Details'!$H:$H,'G&amp;A Vendor x GL Analysis'!Y$20,'[1]NS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Analysis'!Y$20,'[1]NS Vendor Details'!$O:$O,'G&amp;A Vendor x GL Analysis'!$F170,'[1]NS Vendor Details'!$N:$N,"Direct Costs",'[1]NS Vendor Details'!$J:$J,0,'[1]NS Vendor Details'!$L:$L,"Freight",'[1]NS Vendor Details'!$I:$I,'G&amp;A Vendor x GL Analysis'!$E170),IF(Y$15="Actual",SUMIFS('[1]NS Vendor Details'!$D:$D,'[1]NS Vendor Details'!$H:$H,'G&amp;A Vendor x GL Analysis'!Y$20,'[1]NS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Analysis'!Y$20,'[1]NS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48.51</v>
      </c>
      <c r="Z170" s="17">
        <f>IF(AND(Z$15="Actual",ISBLANK($E$8)),SUMIFS('[1]NS Vendor Details'!$D:$D,'[1]NS Vendor Details'!$H:$H,'G&amp;A Vendor x GL Analysis'!Z$20,'[1]NS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Analysis'!Z$20,'[1]NS Vendor Details'!$O:$O,'G&amp;A Vendor x GL Analysis'!$F170,'[1]NS Vendor Details'!$N:$N,"Direct Costs",'[1]NS Vendor Details'!$J:$J,0,'[1]NS Vendor Details'!$L:$L,"Freight",'[1]NS Vendor Details'!$I:$I,'G&amp;A Vendor x GL Analysis'!$E170),IF(Z$15="Actual",SUMIFS('[1]NS Vendor Details'!$D:$D,'[1]NS Vendor Details'!$H:$H,'G&amp;A Vendor x GL Analysis'!Z$20,'[1]NS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Analysis'!Z$20,'[1]NS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308.98</v>
      </c>
      <c r="AA170" s="17">
        <f>IF(AND(AA$15="Actual",ISBLANK($E$8)),SUMIFS('[1]NS Vendor Details'!$D:$D,'[1]NS Vendor Details'!$H:$H,'G&amp;A Vendor x GL Analysis'!AA$20,'[1]NS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Analysis'!AA$20,'[1]NS Vendor Details'!$O:$O,'G&amp;A Vendor x GL Analysis'!$F170,'[1]NS Vendor Details'!$N:$N,"Direct Costs",'[1]NS Vendor Details'!$J:$J,0,'[1]NS Vendor Details'!$L:$L,"Freight",'[1]NS Vendor Details'!$I:$I,'G&amp;A Vendor x GL Analysis'!$E170),IF(AA$15="Actual",SUMIFS('[1]NS Vendor Details'!$D:$D,'[1]NS Vendor Details'!$H:$H,'G&amp;A Vendor x GL Analysis'!AA$20,'[1]NS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Analysis'!AA$20,'[1]NS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59.81</v>
      </c>
      <c r="AB170" s="17">
        <f>IF(AND(AB$15="Actual",ISBLANK($E$8)),SUMIFS('[1]NS Vendor Details'!$D:$D,'[1]NS Vendor Details'!$H:$H,'G&amp;A Vendor x GL Analysis'!AB$20,'[1]NS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Analysis'!AB$20,'[1]NS Vendor Details'!$O:$O,'G&amp;A Vendor x GL Analysis'!$F170,'[1]NS Vendor Details'!$N:$N,"Direct Costs",'[1]NS Vendor Details'!$J:$J,0,'[1]NS Vendor Details'!$L:$L,"Freight",'[1]NS Vendor Details'!$I:$I,'G&amp;A Vendor x GL Analysis'!$E170),IF(AB$15="Actual",SUMIFS('[1]NS Vendor Details'!$D:$D,'[1]NS Vendor Details'!$H:$H,'G&amp;A Vendor x GL Analysis'!AB$20,'[1]NS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Analysis'!AB$20,'[1]NS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0</v>
      </c>
      <c r="AC170" s="18">
        <f>IF(AND(AC$15="Actual",ISBLANK($E$8)),SUMIFS('[1]NS Vendor Details'!$D:$D,'[1]NS Vendor Details'!$H:$H,'G&amp;A Vendor x GL Analysis'!AC$20,'[1]NS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Analysis'!AC$20,'[1]NS Vendor Details'!$O:$O,'G&amp;A Vendor x GL Analysis'!$F170,'[1]NS Vendor Details'!$N:$N,"Direct Costs",'[1]NS Vendor Details'!$J:$J,0,'[1]NS Vendor Details'!$L:$L,"Freight",'[1]NS Vendor Details'!$I:$I,'G&amp;A Vendor x GL Analysis'!$E170),IF(AC$15="Actual",SUMIFS('[1]NS Vendor Details'!$D:$D,'[1]NS Vendor Details'!$H:$H,'G&amp;A Vendor x GL Analysis'!AC$20,'[1]NS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Analysis'!AC$20,'[1]NS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790.01</v>
      </c>
      <c r="AD170" s="18">
        <f>IF(AND(AD$15="Actual",ISBLANK($E$8)),SUMIFS('[1]NS Vendor Details'!$D:$D,'[1]NS Vendor Details'!$H:$H,'G&amp;A Vendor x GL Analysis'!AD$20,'[1]NS Vendor Details'!$L:$L,'G&amp;A Vendor x GL Analysis'!$D170,'[1]NS Vendor Details'!$O:$O,'G&amp;A Vendor x GL Analysis'!$F170,'[1]NS Vendor Details'!$N:$N,'G&amp;A Vendor x GL Analysis'!$C170,'[1]NS Vendor Details'!$I:$I,'G&amp;A Vendor x GL Analysis'!$E170)+SUMIFS('[1]NS Vendor Details'!$D:$D,'[1]NS Vendor Details'!$H:$H,'G&amp;A Vendor x GL Analysis'!AD$20,'[1]NS Vendor Details'!$O:$O,'G&amp;A Vendor x GL Analysis'!$F170,'[1]NS Vendor Details'!$N:$N,"Direct Costs",'[1]NS Vendor Details'!$J:$J,0,'[1]NS Vendor Details'!$L:$L,"Freight",'[1]NS Vendor Details'!$I:$I,'G&amp;A Vendor x GL Analysis'!$E170),IF(AD$15="Actual",SUMIFS('[1]NS Vendor Details'!$D:$D,'[1]NS Vendor Details'!$H:$H,'G&amp;A Vendor x GL Analysis'!AD$20,'[1]NS Vendor Details'!$L:$L,'G&amp;A Vendor x GL Analysis'!$D170,'[1]NS Vendor Details'!$O:$O,'G&amp;A Vendor x GL Analysis'!$F170,'[1]NS Vendor Details'!$N:$N,'G&amp;A Vendor x GL Analysis'!$C170,'[1]NS Vendor Details'!$K:$K,'G&amp;A Vendor x GL Analysis'!$E$8,'[1]NS Vendor Details'!$I:$I,'G&amp;A Vendor x GL Analysis'!$E170)+SUMIFS('[1]NS Vendor Details'!$D:$D,'[1]NS Vendor Details'!$H:$H,'G&amp;A Vendor x GL Analysis'!AD$20,'[1]NS Vendor Details'!$O:$O,'G&amp;A Vendor x GL Analysis'!$F170,'[1]NS Vendor Details'!$N:$N,"Direct Costs",'[1]NS Vendor Details'!$J:$J,0,'[1]NS Vendor Details'!$K:$K,'G&amp;A Vendor x GL Analysis'!$E$8,'[1]NS Vendor Details'!$L:$L,"Freight",'[1]NS Vendor Details'!$I:$I,'G&amp;A Vendor x GL Analysis'!$E170),0))</f>
        <v>0</v>
      </c>
      <c r="AF170" s="19">
        <f t="shared" si="23"/>
        <v>1207.31</v>
      </c>
    </row>
    <row r="171" spans="1:32" outlineLevel="1">
      <c r="A171" s="8" t="str">
        <f t="shared" si="26"/>
        <v>Other6340 - Miscellaneous Expense</v>
      </c>
      <c r="C171" s="8" t="s">
        <v>11</v>
      </c>
      <c r="D171" s="8" t="str">
        <f>D168</f>
        <v>Other</v>
      </c>
      <c r="E171" s="2" t="s">
        <v>153</v>
      </c>
      <c r="F171" s="2" t="s">
        <v>158</v>
      </c>
      <c r="G171" s="16">
        <f>IF(AND(G$15="Actual",ISBLANK($E$8)),SUMIFS('[1]NS Vendor Details'!$D:$D,'[1]NS Vendor Details'!$H:$H,'G&amp;A Vendor x GL Analysis'!G$20,'[1]NS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Analysis'!G$20,'[1]NS Vendor Details'!$O:$O,'G&amp;A Vendor x GL Analysis'!$F171,'[1]NS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Analysis'!G$20,'[1]NS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H171" s="17">
        <f>IF(AND(H$15="Actual",ISBLANK($E$8)),SUMIFS('[1]NS Vendor Details'!$D:$D,'[1]NS Vendor Details'!$H:$H,'G&amp;A Vendor x GL Analysis'!H$20,'[1]NS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Analysis'!H$20,'[1]NS Vendor Details'!$O:$O,'G&amp;A Vendor x GL Analysis'!$F171,'[1]NS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Analysis'!H$20,'[1]NS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I171" s="17">
        <f>IF(AND(I$15="Actual",ISBLANK($E$8)),SUMIFS('[1]NS Vendor Details'!$D:$D,'[1]NS Vendor Details'!$H:$H,'G&amp;A Vendor x GL Analysis'!I$20,'[1]NS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Analysis'!I$20,'[1]NS Vendor Details'!$O:$O,'G&amp;A Vendor x GL Analysis'!$F171,'[1]NS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Analysis'!I$20,'[1]NS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J171" s="17">
        <f>IF(AND(J$15="Actual",ISBLANK($E$8)),SUMIFS('[1]NS Vendor Details'!$D:$D,'[1]NS Vendor Details'!$H:$H,'G&amp;A Vendor x GL Analysis'!J$20,'[1]NS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Analysis'!J$20,'[1]NS Vendor Details'!$O:$O,'G&amp;A Vendor x GL Analysis'!$F171,'[1]NS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Analysis'!J$20,'[1]NS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K171" s="17">
        <f>IF(AND(K$15="Actual",ISBLANK($E$8)),SUMIFS('[1]NS Vendor Details'!$D:$D,'[1]NS Vendor Details'!$H:$H,'G&amp;A Vendor x GL Analysis'!K$20,'[1]NS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Analysis'!K$20,'[1]NS Vendor Details'!$O:$O,'G&amp;A Vendor x GL Analysis'!$F171,'[1]NS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Analysis'!K$20,'[1]NS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L171" s="17">
        <f>IF(AND(L$15="Actual",ISBLANK($E$8)),SUMIFS('[1]NS Vendor Details'!$D:$D,'[1]NS Vendor Details'!$H:$H,'G&amp;A Vendor x GL Analysis'!L$20,'[1]NS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Analysis'!L$20,'[1]NS Vendor Details'!$O:$O,'G&amp;A Vendor x GL Analysis'!$F171,'[1]NS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Analysis'!L$20,'[1]NS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M171" s="17">
        <f>IF(AND(M$15="Actual",ISBLANK($E$8)),SUMIFS('[1]NS Vendor Details'!$D:$D,'[1]NS Vendor Details'!$H:$H,'G&amp;A Vendor x GL Analysis'!M$20,'[1]NS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Analysis'!M$20,'[1]NS Vendor Details'!$O:$O,'G&amp;A Vendor x GL Analysis'!$F171,'[1]NS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Analysis'!M$20,'[1]NS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N171" s="17">
        <f>IF(AND(N$15="Actual",ISBLANK($E$8)),SUMIFS('[1]NS Vendor Details'!$D:$D,'[1]NS Vendor Details'!$H:$H,'G&amp;A Vendor x GL Analysis'!N$20,'[1]NS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Analysis'!N$20,'[1]NS Vendor Details'!$O:$O,'G&amp;A Vendor x GL Analysis'!$F171,'[1]NS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Analysis'!N$20,'[1]NS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O171" s="17">
        <f>IF(AND(O$15="Actual",ISBLANK($E$8)),SUMIFS('[1]NS Vendor Details'!$D:$D,'[1]NS Vendor Details'!$H:$H,'G&amp;A Vendor x GL Analysis'!O$20,'[1]NS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Analysis'!O$20,'[1]NS Vendor Details'!$O:$O,'G&amp;A Vendor x GL Analysis'!$F171,'[1]NS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Analysis'!O$20,'[1]NS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P171" s="17">
        <f>IF(AND(P$15="Actual",ISBLANK($E$8)),SUMIFS('[1]NS Vendor Details'!$D:$D,'[1]NS Vendor Details'!$H:$H,'G&amp;A Vendor x GL Analysis'!P$20,'[1]NS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Analysis'!P$20,'[1]NS Vendor Details'!$O:$O,'G&amp;A Vendor x GL Analysis'!$F171,'[1]NS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Analysis'!P$20,'[1]NS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Q171" s="17">
        <f>IF(AND(Q$15="Actual",ISBLANK($E$8)),SUMIFS('[1]NS Vendor Details'!$D:$D,'[1]NS Vendor Details'!$H:$H,'G&amp;A Vendor x GL Analysis'!Q$20,'[1]NS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Analysis'!Q$20,'[1]NS Vendor Details'!$O:$O,'G&amp;A Vendor x GL Analysis'!$F171,'[1]NS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Analysis'!Q$20,'[1]NS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R171" s="18">
        <f>IF(AND(R$15="Actual",ISBLANK($E$8)),SUMIFS('[1]NS Vendor Details'!$D:$D,'[1]NS Vendor Details'!$H:$H,'G&amp;A Vendor x GL Analysis'!R$20,'[1]NS Vendor Details'!$L:$L,'G&amp;A Vendor x GL Analysis'!$D171,'[1]NS Vendor Details'!$O:$O,'G&amp;A Vendor x GL Analysis'!$F171,'[1]NS Vendor Details'!$N:$N,'G&amp;A Vendor x GL Analysis'!$C171)+SUMIFS('[1]NS Vendor Details'!$D:$D,'[1]NS Vendor Details'!$H:$H,'G&amp;A Vendor x GL Analysis'!R$20,'[1]NS Vendor Details'!$O:$O,'G&amp;A Vendor x GL Analysis'!$F171,'[1]NS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Analysis'!$D171,'[1]NS Vendor Details'!$O:$O,'G&amp;A Vendor x GL Analysis'!$F171,'[1]NS Vendor Details'!$N:$N,'G&amp;A Vendor x GL Analysis'!$C171,'[1]NS Vendor Details'!$K:$K,'G&amp;A Vendor x GL Analysis'!$E$8)+SUMIFS('[1]NS Vendor Details'!$D:$D,'[1]NS Vendor Details'!$H:$H,'G&amp;A Vendor x GL Analysis'!R$20,'[1]NS Vendor Details'!$O:$O,'G&amp;A Vendor x GL Analysis'!$F171,'[1]NS Vendor Details'!$N:$N,"Direct Costs",'[1]NS Vendor Details'!$J:$J,0,'[1]NS Vendor Details'!$K:$K,'G&amp;A Vendor x GL Analysis'!$E$8,'[1]NS Vendor Details'!$L:$L,"Freight"),0))</f>
        <v>0</v>
      </c>
      <c r="S171" s="16">
        <f>IF(AND(S$15="Actual",ISBLANK($E$8)),SUMIFS('[1]NS Vendor Details'!$D:$D,'[1]NS Vendor Details'!$H:$H,'G&amp;A Vendor x GL Analysis'!S$20,'[1]NS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Analysis'!S$20,'[1]NS Vendor Details'!$O:$O,'G&amp;A Vendor x GL Analysis'!$F171,'[1]NS Vendor Details'!$N:$N,"Direct Costs",'[1]NS Vendor Details'!$J:$J,0,'[1]NS Vendor Details'!$L:$L,"Freight",'[1]NS Vendor Details'!$I:$I,'G&amp;A Vendor x GL Analysis'!$E171),IF(S$15="Actual",SUMIFS('[1]NS Vendor Details'!$D:$D,'[1]NS Vendor Details'!$H:$H,'G&amp;A Vendor x GL Analysis'!S$20,'[1]NS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Analysis'!S$20,'[1]NS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T171" s="17">
        <f>IF(AND(T$15="Actual",ISBLANK($E$8)),SUMIFS('[1]NS Vendor Details'!$D:$D,'[1]NS Vendor Details'!$H:$H,'G&amp;A Vendor x GL Analysis'!T$20,'[1]NS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Analysis'!T$20,'[1]NS Vendor Details'!$O:$O,'G&amp;A Vendor x GL Analysis'!$F171,'[1]NS Vendor Details'!$N:$N,"Direct Costs",'[1]NS Vendor Details'!$J:$J,0,'[1]NS Vendor Details'!$L:$L,"Freight",'[1]NS Vendor Details'!$I:$I,'G&amp;A Vendor x GL Analysis'!$E171),IF(T$15="Actual",SUMIFS('[1]NS Vendor Details'!$D:$D,'[1]NS Vendor Details'!$H:$H,'G&amp;A Vendor x GL Analysis'!T$20,'[1]NS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Analysis'!T$20,'[1]NS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U171" s="17">
        <f>IF(AND(U$15="Actual",ISBLANK($E$8)),SUMIFS('[1]NS Vendor Details'!$D:$D,'[1]NS Vendor Details'!$H:$H,'G&amp;A Vendor x GL Analysis'!U$20,'[1]NS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Analysis'!U$20,'[1]NS Vendor Details'!$O:$O,'G&amp;A Vendor x GL Analysis'!$F171,'[1]NS Vendor Details'!$N:$N,"Direct Costs",'[1]NS Vendor Details'!$J:$J,0,'[1]NS Vendor Details'!$L:$L,"Freight",'[1]NS Vendor Details'!$I:$I,'G&amp;A Vendor x GL Analysis'!$E171),IF(U$15="Actual",SUMIFS('[1]NS Vendor Details'!$D:$D,'[1]NS Vendor Details'!$H:$H,'G&amp;A Vendor x GL Analysis'!U$20,'[1]NS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Analysis'!U$20,'[1]NS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V171" s="17">
        <f>IF(AND(V$15="Actual",ISBLANK($E$8)),SUMIFS('[1]NS Vendor Details'!$D:$D,'[1]NS Vendor Details'!$H:$H,'G&amp;A Vendor x GL Analysis'!V$20,'[1]NS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Analysis'!V$20,'[1]NS Vendor Details'!$O:$O,'G&amp;A Vendor x GL Analysis'!$F171,'[1]NS Vendor Details'!$N:$N,"Direct Costs",'[1]NS Vendor Details'!$J:$J,0,'[1]NS Vendor Details'!$L:$L,"Freight",'[1]NS Vendor Details'!$I:$I,'G&amp;A Vendor x GL Analysis'!$E171),IF(V$15="Actual",SUMIFS('[1]NS Vendor Details'!$D:$D,'[1]NS Vendor Details'!$H:$H,'G&amp;A Vendor x GL Analysis'!V$20,'[1]NS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Analysis'!V$20,'[1]NS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W171" s="17">
        <f>IF(AND(W$15="Actual",ISBLANK($E$8)),SUMIFS('[1]NS Vendor Details'!$D:$D,'[1]NS Vendor Details'!$H:$H,'G&amp;A Vendor x GL Analysis'!W$20,'[1]NS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Analysis'!W$20,'[1]NS Vendor Details'!$O:$O,'G&amp;A Vendor x GL Analysis'!$F171,'[1]NS Vendor Details'!$N:$N,"Direct Costs",'[1]NS Vendor Details'!$J:$J,0,'[1]NS Vendor Details'!$L:$L,"Freight",'[1]NS Vendor Details'!$I:$I,'G&amp;A Vendor x GL Analysis'!$E171),IF(W$15="Actual",SUMIFS('[1]NS Vendor Details'!$D:$D,'[1]NS Vendor Details'!$H:$H,'G&amp;A Vendor x GL Analysis'!W$20,'[1]NS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Analysis'!W$20,'[1]NS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X171" s="17">
        <f>IF(AND(X$15="Actual",ISBLANK($E$8)),SUMIFS('[1]NS Vendor Details'!$D:$D,'[1]NS Vendor Details'!$H:$H,'G&amp;A Vendor x GL Analysis'!X$20,'[1]NS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Analysis'!X$20,'[1]NS Vendor Details'!$O:$O,'G&amp;A Vendor x GL Analysis'!$F171,'[1]NS Vendor Details'!$N:$N,"Direct Costs",'[1]NS Vendor Details'!$J:$J,0,'[1]NS Vendor Details'!$L:$L,"Freight",'[1]NS Vendor Details'!$I:$I,'G&amp;A Vendor x GL Analysis'!$E171),IF(X$15="Actual",SUMIFS('[1]NS Vendor Details'!$D:$D,'[1]NS Vendor Details'!$H:$H,'G&amp;A Vendor x GL Analysis'!X$20,'[1]NS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Analysis'!X$20,'[1]NS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767.7</v>
      </c>
      <c r="Y171" s="17">
        <f>IF(AND(Y$15="Actual",ISBLANK($E$8)),SUMIFS('[1]NS Vendor Details'!$D:$D,'[1]NS Vendor Details'!$H:$H,'G&amp;A Vendor x GL Analysis'!Y$20,'[1]NS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Analysis'!Y$20,'[1]NS Vendor Details'!$O:$O,'G&amp;A Vendor x GL Analysis'!$F171,'[1]NS Vendor Details'!$N:$N,"Direct Costs",'[1]NS Vendor Details'!$J:$J,0,'[1]NS Vendor Details'!$L:$L,"Freight",'[1]NS Vendor Details'!$I:$I,'G&amp;A Vendor x GL Analysis'!$E171),IF(Y$15="Actual",SUMIFS('[1]NS Vendor Details'!$D:$D,'[1]NS Vendor Details'!$H:$H,'G&amp;A Vendor x GL Analysis'!Y$20,'[1]NS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Analysis'!Y$20,'[1]NS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Z171" s="17">
        <f>IF(AND(Z$15="Actual",ISBLANK($E$8)),SUMIFS('[1]NS Vendor Details'!$D:$D,'[1]NS Vendor Details'!$H:$H,'G&amp;A Vendor x GL Analysis'!Z$20,'[1]NS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Analysis'!Z$20,'[1]NS Vendor Details'!$O:$O,'G&amp;A Vendor x GL Analysis'!$F171,'[1]NS Vendor Details'!$N:$N,"Direct Costs",'[1]NS Vendor Details'!$J:$J,0,'[1]NS Vendor Details'!$L:$L,"Freight",'[1]NS Vendor Details'!$I:$I,'G&amp;A Vendor x GL Analysis'!$E171),IF(Z$15="Actual",SUMIFS('[1]NS Vendor Details'!$D:$D,'[1]NS Vendor Details'!$H:$H,'G&amp;A Vendor x GL Analysis'!Z$20,'[1]NS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Analysis'!Z$20,'[1]NS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AA171" s="17">
        <f>IF(AND(AA$15="Actual",ISBLANK($E$8)),SUMIFS('[1]NS Vendor Details'!$D:$D,'[1]NS Vendor Details'!$H:$H,'G&amp;A Vendor x GL Analysis'!AA$20,'[1]NS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Analysis'!AA$20,'[1]NS Vendor Details'!$O:$O,'G&amp;A Vendor x GL Analysis'!$F171,'[1]NS Vendor Details'!$N:$N,"Direct Costs",'[1]NS Vendor Details'!$J:$J,0,'[1]NS Vendor Details'!$L:$L,"Freight",'[1]NS Vendor Details'!$I:$I,'G&amp;A Vendor x GL Analysis'!$E171),IF(AA$15="Actual",SUMIFS('[1]NS Vendor Details'!$D:$D,'[1]NS Vendor Details'!$H:$H,'G&amp;A Vendor x GL Analysis'!AA$20,'[1]NS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Analysis'!AA$20,'[1]NS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AB171" s="17">
        <f>IF(AND(AB$15="Actual",ISBLANK($E$8)),SUMIFS('[1]NS Vendor Details'!$D:$D,'[1]NS Vendor Details'!$H:$H,'G&amp;A Vendor x GL Analysis'!AB$20,'[1]NS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Analysis'!AB$20,'[1]NS Vendor Details'!$O:$O,'G&amp;A Vendor x GL Analysis'!$F171,'[1]NS Vendor Details'!$N:$N,"Direct Costs",'[1]NS Vendor Details'!$J:$J,0,'[1]NS Vendor Details'!$L:$L,"Freight",'[1]NS Vendor Details'!$I:$I,'G&amp;A Vendor x GL Analysis'!$E171),IF(AB$15="Actual",SUMIFS('[1]NS Vendor Details'!$D:$D,'[1]NS Vendor Details'!$H:$H,'G&amp;A Vendor x GL Analysis'!AB$20,'[1]NS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Analysis'!AB$20,'[1]NS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AC171" s="18">
        <f>IF(AND(AC$15="Actual",ISBLANK($E$8)),SUMIFS('[1]NS Vendor Details'!$D:$D,'[1]NS Vendor Details'!$H:$H,'G&amp;A Vendor x GL Analysis'!AC$20,'[1]NS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Analysis'!AC$20,'[1]NS Vendor Details'!$O:$O,'G&amp;A Vendor x GL Analysis'!$F171,'[1]NS Vendor Details'!$N:$N,"Direct Costs",'[1]NS Vendor Details'!$J:$J,0,'[1]NS Vendor Details'!$L:$L,"Freight",'[1]NS Vendor Details'!$I:$I,'G&amp;A Vendor x GL Analysis'!$E171),IF(AC$15="Actual",SUMIFS('[1]NS Vendor Details'!$D:$D,'[1]NS Vendor Details'!$H:$H,'G&amp;A Vendor x GL Analysis'!AC$20,'[1]NS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Analysis'!AC$20,'[1]NS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AD171" s="18">
        <f>IF(AND(AD$15="Actual",ISBLANK($E$8)),SUMIFS('[1]NS Vendor Details'!$D:$D,'[1]NS Vendor Details'!$H:$H,'G&amp;A Vendor x GL Analysis'!AD$20,'[1]NS Vendor Details'!$L:$L,'G&amp;A Vendor x GL Analysis'!$D171,'[1]NS Vendor Details'!$O:$O,'G&amp;A Vendor x GL Analysis'!$F171,'[1]NS Vendor Details'!$N:$N,'G&amp;A Vendor x GL Analysis'!$C171,'[1]NS Vendor Details'!$I:$I,'G&amp;A Vendor x GL Analysis'!$E171)+SUMIFS('[1]NS Vendor Details'!$D:$D,'[1]NS Vendor Details'!$H:$H,'G&amp;A Vendor x GL Analysis'!AD$20,'[1]NS Vendor Details'!$O:$O,'G&amp;A Vendor x GL Analysis'!$F171,'[1]NS Vendor Details'!$N:$N,"Direct Costs",'[1]NS Vendor Details'!$J:$J,0,'[1]NS Vendor Details'!$L:$L,"Freight",'[1]NS Vendor Details'!$I:$I,'G&amp;A Vendor x GL Analysis'!$E171),IF(AD$15="Actual",SUMIFS('[1]NS Vendor Details'!$D:$D,'[1]NS Vendor Details'!$H:$H,'G&amp;A Vendor x GL Analysis'!AD$20,'[1]NS Vendor Details'!$L:$L,'G&amp;A Vendor x GL Analysis'!$D171,'[1]NS Vendor Details'!$O:$O,'G&amp;A Vendor x GL Analysis'!$F171,'[1]NS Vendor Details'!$N:$N,'G&amp;A Vendor x GL Analysis'!$C171,'[1]NS Vendor Details'!$K:$K,'G&amp;A Vendor x GL Analysis'!$E$8,'[1]NS Vendor Details'!$I:$I,'G&amp;A Vendor x GL Analysis'!$E171)+SUMIFS('[1]NS Vendor Details'!$D:$D,'[1]NS Vendor Details'!$H:$H,'G&amp;A Vendor x GL Analysis'!AD$20,'[1]NS Vendor Details'!$O:$O,'G&amp;A Vendor x GL Analysis'!$F171,'[1]NS Vendor Details'!$N:$N,"Direct Costs",'[1]NS Vendor Details'!$J:$J,0,'[1]NS Vendor Details'!$K:$K,'G&amp;A Vendor x GL Analysis'!$E$8,'[1]NS Vendor Details'!$L:$L,"Freight",'[1]NS Vendor Details'!$I:$I,'G&amp;A Vendor x GL Analysis'!$E171),0))</f>
        <v>0</v>
      </c>
      <c r="AF171" s="19">
        <f t="shared" si="23"/>
        <v>767.7</v>
      </c>
    </row>
    <row r="172" spans="1:32" outlineLevel="1">
      <c r="A172" s="8" t="str">
        <f t="shared" si="26"/>
        <v>Other6400 - Utilities</v>
      </c>
      <c r="C172" s="8" t="s">
        <v>11</v>
      </c>
      <c r="D172" s="8" t="str">
        <f t="shared" si="27"/>
        <v>Other</v>
      </c>
      <c r="E172" s="2" t="s">
        <v>159</v>
      </c>
      <c r="F172" s="2" t="s">
        <v>16</v>
      </c>
      <c r="G172" s="16">
        <f>IF(AND(G$15="Actual",ISBLANK($E$8)),SUMIFS('[1]NS Vendor Details'!$D:$D,'[1]NS Vendor Details'!$H:$H,'G&amp;A Vendor x GL Analysis'!G$20,'[1]NS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Analysis'!G$20,'[1]NS Vendor Details'!$O:$O,'G&amp;A Vendor x GL Analysis'!$F172,'[1]NS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Analysis'!G$20,'[1]NS Vendor Details'!$O:$O,'G&amp;A Vendor x GL Analysis'!$F172,'[1]NS Vendor Details'!$N:$N,"Direct Costs",'[1]NS Vendor Details'!$J:$J,0,'[1]NS Vendor Details'!$K:$K,'G&amp;A Vendor x GL Analysis'!$E$8,'[1]NS Vendor Details'!$L:$L,"Freight"),0))</f>
        <v>1197.42</v>
      </c>
      <c r="H172" s="17">
        <f>IF(AND(H$15="Actual",ISBLANK($E$8)),SUMIFS('[1]NS Vendor Details'!$D:$D,'[1]NS Vendor Details'!$H:$H,'G&amp;A Vendor x GL Analysis'!H$20,'[1]NS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Analysis'!H$20,'[1]NS Vendor Details'!$O:$O,'G&amp;A Vendor x GL Analysis'!$F172,'[1]NS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Analysis'!H$20,'[1]NS Vendor Details'!$O:$O,'G&amp;A Vendor x GL Analysis'!$F172,'[1]NS Vendor Details'!$N:$N,"Direct Costs",'[1]NS Vendor Details'!$J:$J,0,'[1]NS Vendor Details'!$K:$K,'G&amp;A Vendor x GL Analysis'!$E$8,'[1]NS Vendor Details'!$L:$L,"Freight"),0))</f>
        <v>5654.23</v>
      </c>
      <c r="I172" s="17">
        <f>IF(AND(I$15="Actual",ISBLANK($E$8)),SUMIFS('[1]NS Vendor Details'!$D:$D,'[1]NS Vendor Details'!$H:$H,'G&amp;A Vendor x GL Analysis'!I$20,'[1]NS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Analysis'!I$20,'[1]NS Vendor Details'!$O:$O,'G&amp;A Vendor x GL Analysis'!$F172,'[1]NS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Analysis'!I$20,'[1]NS Vendor Details'!$O:$O,'G&amp;A Vendor x GL Analysis'!$F172,'[1]NS Vendor Details'!$N:$N,"Direct Costs",'[1]NS Vendor Details'!$J:$J,0,'[1]NS Vendor Details'!$K:$K,'G&amp;A Vendor x GL Analysis'!$E$8,'[1]NS Vendor Details'!$L:$L,"Freight"),0))</f>
        <v>-101939.95</v>
      </c>
      <c r="J172" s="17">
        <f>IF(AND(J$15="Actual",ISBLANK($E$8)),SUMIFS('[1]NS Vendor Details'!$D:$D,'[1]NS Vendor Details'!$H:$H,'G&amp;A Vendor x GL Analysis'!J$20,'[1]NS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Analysis'!J$20,'[1]NS Vendor Details'!$O:$O,'G&amp;A Vendor x GL Analysis'!$F172,'[1]NS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Analysis'!J$20,'[1]NS Vendor Details'!$O:$O,'G&amp;A Vendor x GL Analysis'!$F172,'[1]NS Vendor Details'!$N:$N,"Direct Costs",'[1]NS Vendor Details'!$J:$J,0,'[1]NS Vendor Details'!$K:$K,'G&amp;A Vendor x GL Analysis'!$E$8,'[1]NS Vendor Details'!$L:$L,"Freight"),0))</f>
        <v>6287.9999999999991</v>
      </c>
      <c r="K172" s="17">
        <f>IF(AND(K$15="Actual",ISBLANK($E$8)),SUMIFS('[1]NS Vendor Details'!$D:$D,'[1]NS Vendor Details'!$H:$H,'G&amp;A Vendor x GL Analysis'!K$20,'[1]NS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Analysis'!K$20,'[1]NS Vendor Details'!$O:$O,'G&amp;A Vendor x GL Analysis'!$F172,'[1]NS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Analysis'!K$20,'[1]NS Vendor Details'!$O:$O,'G&amp;A Vendor x GL Analysis'!$F172,'[1]NS Vendor Details'!$N:$N,"Direct Costs",'[1]NS Vendor Details'!$J:$J,0,'[1]NS Vendor Details'!$K:$K,'G&amp;A Vendor x GL Analysis'!$E$8,'[1]NS Vendor Details'!$L:$L,"Freight"),0))</f>
        <v>662.09999999999991</v>
      </c>
      <c r="L172" s="17">
        <f>IF(AND(L$15="Actual",ISBLANK($E$8)),SUMIFS('[1]NS Vendor Details'!$D:$D,'[1]NS Vendor Details'!$H:$H,'G&amp;A Vendor x GL Analysis'!L$20,'[1]NS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Analysis'!L$20,'[1]NS Vendor Details'!$O:$O,'G&amp;A Vendor x GL Analysis'!$F172,'[1]NS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Analysis'!L$20,'[1]NS Vendor Details'!$O:$O,'G&amp;A Vendor x GL Analysis'!$F172,'[1]NS Vendor Details'!$N:$N,"Direct Costs",'[1]NS Vendor Details'!$J:$J,0,'[1]NS Vendor Details'!$K:$K,'G&amp;A Vendor x GL Analysis'!$E$8,'[1]NS Vendor Details'!$L:$L,"Freight"),0))</f>
        <v>23111.42</v>
      </c>
      <c r="M172" s="17">
        <f>IF(AND(M$15="Actual",ISBLANK($E$8)),SUMIFS('[1]NS Vendor Details'!$D:$D,'[1]NS Vendor Details'!$H:$H,'G&amp;A Vendor x GL Analysis'!M$20,'[1]NS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Analysis'!M$20,'[1]NS Vendor Details'!$O:$O,'G&amp;A Vendor x GL Analysis'!$F172,'[1]NS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Analysis'!M$20,'[1]NS Vendor Details'!$O:$O,'G&amp;A Vendor x GL Analysis'!$F172,'[1]NS Vendor Details'!$N:$N,"Direct Costs",'[1]NS Vendor Details'!$J:$J,0,'[1]NS Vendor Details'!$K:$K,'G&amp;A Vendor x GL Analysis'!$E$8,'[1]NS Vendor Details'!$L:$L,"Freight"),0))</f>
        <v>5106.67</v>
      </c>
      <c r="N172" s="17">
        <f>IF(AND(N$15="Actual",ISBLANK($E$8)),SUMIFS('[1]NS Vendor Details'!$D:$D,'[1]NS Vendor Details'!$H:$H,'G&amp;A Vendor x GL Analysis'!N$20,'[1]NS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Analysis'!N$20,'[1]NS Vendor Details'!$O:$O,'G&amp;A Vendor x GL Analysis'!$F172,'[1]NS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Analysis'!N$20,'[1]NS Vendor Details'!$O:$O,'G&amp;A Vendor x GL Analysis'!$F172,'[1]NS Vendor Details'!$N:$N,"Direct Costs",'[1]NS Vendor Details'!$J:$J,0,'[1]NS Vendor Details'!$K:$K,'G&amp;A Vendor x GL Analysis'!$E$8,'[1]NS Vendor Details'!$L:$L,"Freight"),0))</f>
        <v>2126.6899999999996</v>
      </c>
      <c r="O172" s="17">
        <f>IF(AND(O$15="Actual",ISBLANK($E$8)),SUMIFS('[1]NS Vendor Details'!$D:$D,'[1]NS Vendor Details'!$H:$H,'G&amp;A Vendor x GL Analysis'!O$20,'[1]NS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Analysis'!O$20,'[1]NS Vendor Details'!$O:$O,'G&amp;A Vendor x GL Analysis'!$F172,'[1]NS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Analysis'!O$20,'[1]NS Vendor Details'!$O:$O,'G&amp;A Vendor x GL Analysis'!$F172,'[1]NS Vendor Details'!$N:$N,"Direct Costs",'[1]NS Vendor Details'!$J:$J,0,'[1]NS Vendor Details'!$K:$K,'G&amp;A Vendor x GL Analysis'!$E$8,'[1]NS Vendor Details'!$L:$L,"Freight"),0))</f>
        <v>-9885.550000000012</v>
      </c>
      <c r="P172" s="17">
        <f>IF(AND(P$15="Actual",ISBLANK($E$8)),SUMIFS('[1]NS Vendor Details'!$D:$D,'[1]NS Vendor Details'!$H:$H,'G&amp;A Vendor x GL Analysis'!P$20,'[1]NS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Analysis'!P$20,'[1]NS Vendor Details'!$O:$O,'G&amp;A Vendor x GL Analysis'!$F172,'[1]NS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Analysis'!P$20,'[1]NS Vendor Details'!$O:$O,'G&amp;A Vendor x GL Analysis'!$F172,'[1]NS Vendor Details'!$N:$N,"Direct Costs",'[1]NS Vendor Details'!$J:$J,0,'[1]NS Vendor Details'!$K:$K,'G&amp;A Vendor x GL Analysis'!$E$8,'[1]NS Vendor Details'!$L:$L,"Freight"),0))</f>
        <v>2964.97</v>
      </c>
      <c r="Q172" s="17">
        <f>IF(AND(Q$15="Actual",ISBLANK($E$8)),SUMIFS('[1]NS Vendor Details'!$D:$D,'[1]NS Vendor Details'!$H:$H,'G&amp;A Vendor x GL Analysis'!Q$20,'[1]NS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Analysis'!Q$20,'[1]NS Vendor Details'!$O:$O,'G&amp;A Vendor x GL Analysis'!$F172,'[1]NS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Analysis'!Q$20,'[1]NS Vendor Details'!$O:$O,'G&amp;A Vendor x GL Analysis'!$F172,'[1]NS Vendor Details'!$N:$N,"Direct Costs",'[1]NS Vendor Details'!$J:$J,0,'[1]NS Vendor Details'!$K:$K,'G&amp;A Vendor x GL Analysis'!$E$8,'[1]NS Vendor Details'!$L:$L,"Freight"),0))</f>
        <v>5717.5</v>
      </c>
      <c r="R172" s="18">
        <f>IF(AND(R$15="Actual",ISBLANK($E$8)),SUMIFS('[1]NS Vendor Details'!$D:$D,'[1]NS Vendor Details'!$H:$H,'G&amp;A Vendor x GL Analysis'!R$20,'[1]NS Vendor Details'!$L:$L,'G&amp;A Vendor x GL Analysis'!$D172,'[1]NS Vendor Details'!$O:$O,'G&amp;A Vendor x GL Analysis'!$F172,'[1]NS Vendor Details'!$N:$N,'G&amp;A Vendor x GL Analysis'!$C172)+SUMIFS('[1]NS Vendor Details'!$D:$D,'[1]NS Vendor Details'!$H:$H,'G&amp;A Vendor x GL Analysis'!R$20,'[1]NS Vendor Details'!$O:$O,'G&amp;A Vendor x GL Analysis'!$F172,'[1]NS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Analysis'!$D172,'[1]NS Vendor Details'!$O:$O,'G&amp;A Vendor x GL Analysis'!$F172,'[1]NS Vendor Details'!$N:$N,'G&amp;A Vendor x GL Analysis'!$C172,'[1]NS Vendor Details'!$K:$K,'G&amp;A Vendor x GL Analysis'!$E$8)+SUMIFS('[1]NS Vendor Details'!$D:$D,'[1]NS Vendor Details'!$H:$H,'G&amp;A Vendor x GL Analysis'!R$20,'[1]NS Vendor Details'!$O:$O,'G&amp;A Vendor x GL Analysis'!$F172,'[1]NS Vendor Details'!$N:$N,"Direct Costs",'[1]NS Vendor Details'!$J:$J,0,'[1]NS Vendor Details'!$K:$K,'G&amp;A Vendor x GL Analysis'!$E$8,'[1]NS Vendor Details'!$L:$L,"Freight"),0))</f>
        <v>423379.83</v>
      </c>
      <c r="S172" s="16">
        <f>IF(AND(S$15="Actual",ISBLANK($E$8)),SUMIFS('[1]NS Vendor Details'!$D:$D,'[1]NS Vendor Details'!$H:$H,'G&amp;A Vendor x GL Analysis'!S$20,'[1]NS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Analysis'!S$20,'[1]NS Vendor Details'!$O:$O,'G&amp;A Vendor x GL Analysis'!$F172,'[1]NS Vendor Details'!$N:$N,"Direct Costs",'[1]NS Vendor Details'!$J:$J,0,'[1]NS Vendor Details'!$L:$L,"Freight",'[1]NS Vendor Details'!$I:$I,'G&amp;A Vendor x GL Analysis'!$E172),IF(S$15="Actual",SUMIFS('[1]NS Vendor Details'!$D:$D,'[1]NS Vendor Details'!$H:$H,'G&amp;A Vendor x GL Analysis'!S$20,'[1]NS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Analysis'!S$20,'[1]NS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-66.980000000000018</v>
      </c>
      <c r="T172" s="17">
        <f>IF(AND(T$15="Actual",ISBLANK($E$8)),SUMIFS('[1]NS Vendor Details'!$D:$D,'[1]NS Vendor Details'!$H:$H,'G&amp;A Vendor x GL Analysis'!T$20,'[1]NS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Analysis'!T$20,'[1]NS Vendor Details'!$O:$O,'G&amp;A Vendor x GL Analysis'!$F172,'[1]NS Vendor Details'!$N:$N,"Direct Costs",'[1]NS Vendor Details'!$J:$J,0,'[1]NS Vendor Details'!$L:$L,"Freight",'[1]NS Vendor Details'!$I:$I,'G&amp;A Vendor x GL Analysis'!$E172),IF(T$15="Actual",SUMIFS('[1]NS Vendor Details'!$D:$D,'[1]NS Vendor Details'!$H:$H,'G&amp;A Vendor x GL Analysis'!T$20,'[1]NS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Analysis'!T$20,'[1]NS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-43.06</v>
      </c>
      <c r="U172" s="17">
        <f>IF(AND(U$15="Actual",ISBLANK($E$8)),SUMIFS('[1]NS Vendor Details'!$D:$D,'[1]NS Vendor Details'!$H:$H,'G&amp;A Vendor x GL Analysis'!U$20,'[1]NS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Analysis'!U$20,'[1]NS Vendor Details'!$O:$O,'G&amp;A Vendor x GL Analysis'!$F172,'[1]NS Vendor Details'!$N:$N,"Direct Costs",'[1]NS Vendor Details'!$J:$J,0,'[1]NS Vendor Details'!$L:$L,"Freight",'[1]NS Vendor Details'!$I:$I,'G&amp;A Vendor x GL Analysis'!$E172),IF(U$15="Actual",SUMIFS('[1]NS Vendor Details'!$D:$D,'[1]NS Vendor Details'!$H:$H,'G&amp;A Vendor x GL Analysis'!U$20,'[1]NS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Analysis'!U$20,'[1]NS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-45.980000000000018</v>
      </c>
      <c r="V172" s="17">
        <f>IF(AND(V$15="Actual",ISBLANK($E$8)),SUMIFS('[1]NS Vendor Details'!$D:$D,'[1]NS Vendor Details'!$H:$H,'G&amp;A Vendor x GL Analysis'!V$20,'[1]NS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Analysis'!V$20,'[1]NS Vendor Details'!$O:$O,'G&amp;A Vendor x GL Analysis'!$F172,'[1]NS Vendor Details'!$N:$N,"Direct Costs",'[1]NS Vendor Details'!$J:$J,0,'[1]NS Vendor Details'!$L:$L,"Freight",'[1]NS Vendor Details'!$I:$I,'G&amp;A Vendor x GL Analysis'!$E172),IF(V$15="Actual",SUMIFS('[1]NS Vendor Details'!$D:$D,'[1]NS Vendor Details'!$H:$H,'G&amp;A Vendor x GL Analysis'!V$20,'[1]NS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Analysis'!V$20,'[1]NS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-40.029999999999973</v>
      </c>
      <c r="W172" s="17">
        <f>IF(AND(W$15="Actual",ISBLANK($E$8)),SUMIFS('[1]NS Vendor Details'!$D:$D,'[1]NS Vendor Details'!$H:$H,'G&amp;A Vendor x GL Analysis'!W$20,'[1]NS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Analysis'!W$20,'[1]NS Vendor Details'!$O:$O,'G&amp;A Vendor x GL Analysis'!$F172,'[1]NS Vendor Details'!$N:$N,"Direct Costs",'[1]NS Vendor Details'!$J:$J,0,'[1]NS Vendor Details'!$L:$L,"Freight",'[1]NS Vendor Details'!$I:$I,'G&amp;A Vendor x GL Analysis'!$E172),IF(W$15="Actual",SUMIFS('[1]NS Vendor Details'!$D:$D,'[1]NS Vendor Details'!$H:$H,'G&amp;A Vendor x GL Analysis'!W$20,'[1]NS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Analysis'!W$20,'[1]NS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15.100000000000023</v>
      </c>
      <c r="X172" s="17">
        <f>IF(AND(X$15="Actual",ISBLANK($E$8)),SUMIFS('[1]NS Vendor Details'!$D:$D,'[1]NS Vendor Details'!$H:$H,'G&amp;A Vendor x GL Analysis'!X$20,'[1]NS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Analysis'!X$20,'[1]NS Vendor Details'!$O:$O,'G&amp;A Vendor x GL Analysis'!$F172,'[1]NS Vendor Details'!$N:$N,"Direct Costs",'[1]NS Vendor Details'!$J:$J,0,'[1]NS Vendor Details'!$L:$L,"Freight",'[1]NS Vendor Details'!$I:$I,'G&amp;A Vendor x GL Analysis'!$E172),IF(X$15="Actual",SUMIFS('[1]NS Vendor Details'!$D:$D,'[1]NS Vendor Details'!$H:$H,'G&amp;A Vendor x GL Analysis'!X$20,'[1]NS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Analysis'!X$20,'[1]NS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14.439999999999998</v>
      </c>
      <c r="Y172" s="17">
        <f>IF(AND(Y$15="Actual",ISBLANK($E$8)),SUMIFS('[1]NS Vendor Details'!$D:$D,'[1]NS Vendor Details'!$H:$H,'G&amp;A Vendor x GL Analysis'!Y$20,'[1]NS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Analysis'!Y$20,'[1]NS Vendor Details'!$O:$O,'G&amp;A Vendor x GL Analysis'!$F172,'[1]NS Vendor Details'!$N:$N,"Direct Costs",'[1]NS Vendor Details'!$J:$J,0,'[1]NS Vendor Details'!$L:$L,"Freight",'[1]NS Vendor Details'!$I:$I,'G&amp;A Vendor x GL Analysis'!$E172),IF(Y$15="Actual",SUMIFS('[1]NS Vendor Details'!$D:$D,'[1]NS Vendor Details'!$H:$H,'G&amp;A Vendor x GL Analysis'!Y$20,'[1]NS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Analysis'!Y$20,'[1]NS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438.42</v>
      </c>
      <c r="Z172" s="17">
        <f>IF(AND(Z$15="Actual",ISBLANK($E$8)),SUMIFS('[1]NS Vendor Details'!$D:$D,'[1]NS Vendor Details'!$H:$H,'G&amp;A Vendor x GL Analysis'!Z$20,'[1]NS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Analysis'!Z$20,'[1]NS Vendor Details'!$O:$O,'G&amp;A Vendor x GL Analysis'!$F172,'[1]NS Vendor Details'!$N:$N,"Direct Costs",'[1]NS Vendor Details'!$J:$J,0,'[1]NS Vendor Details'!$L:$L,"Freight",'[1]NS Vendor Details'!$I:$I,'G&amp;A Vendor x GL Analysis'!$E172),IF(Z$15="Actual",SUMIFS('[1]NS Vendor Details'!$D:$D,'[1]NS Vendor Details'!$H:$H,'G&amp;A Vendor x GL Analysis'!Z$20,'[1]NS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Analysis'!Z$20,'[1]NS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-28.950000000000045</v>
      </c>
      <c r="AA172" s="17">
        <f>IF(AND(AA$15="Actual",ISBLANK($E$8)),SUMIFS('[1]NS Vendor Details'!$D:$D,'[1]NS Vendor Details'!$H:$H,'G&amp;A Vendor x GL Analysis'!AA$20,'[1]NS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Analysis'!AA$20,'[1]NS Vendor Details'!$O:$O,'G&amp;A Vendor x GL Analysis'!$F172,'[1]NS Vendor Details'!$N:$N,"Direct Costs",'[1]NS Vendor Details'!$J:$J,0,'[1]NS Vendor Details'!$L:$L,"Freight",'[1]NS Vendor Details'!$I:$I,'G&amp;A Vendor x GL Analysis'!$E172),IF(AA$15="Actual",SUMIFS('[1]NS Vendor Details'!$D:$D,'[1]NS Vendor Details'!$H:$H,'G&amp;A Vendor x GL Analysis'!AA$20,'[1]NS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Analysis'!AA$20,'[1]NS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-184.51999999999998</v>
      </c>
      <c r="AB172" s="17">
        <f>IF(AND(AB$15="Actual",ISBLANK($E$8)),SUMIFS('[1]NS Vendor Details'!$D:$D,'[1]NS Vendor Details'!$H:$H,'G&amp;A Vendor x GL Analysis'!AB$20,'[1]NS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Analysis'!AB$20,'[1]NS Vendor Details'!$O:$O,'G&amp;A Vendor x GL Analysis'!$F172,'[1]NS Vendor Details'!$N:$N,"Direct Costs",'[1]NS Vendor Details'!$J:$J,0,'[1]NS Vendor Details'!$L:$L,"Freight",'[1]NS Vendor Details'!$I:$I,'G&amp;A Vendor x GL Analysis'!$E172),IF(AB$15="Actual",SUMIFS('[1]NS Vendor Details'!$D:$D,'[1]NS Vendor Details'!$H:$H,'G&amp;A Vendor x GL Analysis'!AB$20,'[1]NS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Analysis'!AB$20,'[1]NS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-35.28000000000003</v>
      </c>
      <c r="AC172" s="18">
        <f>IF(AND(AC$15="Actual",ISBLANK($E$8)),SUMIFS('[1]NS Vendor Details'!$D:$D,'[1]NS Vendor Details'!$H:$H,'G&amp;A Vendor x GL Analysis'!AC$20,'[1]NS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Analysis'!AC$20,'[1]NS Vendor Details'!$O:$O,'G&amp;A Vendor x GL Analysis'!$F172,'[1]NS Vendor Details'!$N:$N,"Direct Costs",'[1]NS Vendor Details'!$J:$J,0,'[1]NS Vendor Details'!$L:$L,"Freight",'[1]NS Vendor Details'!$I:$I,'G&amp;A Vendor x GL Analysis'!$E172),IF(AC$15="Actual",SUMIFS('[1]NS Vendor Details'!$D:$D,'[1]NS Vendor Details'!$H:$H,'G&amp;A Vendor x GL Analysis'!AC$20,'[1]NS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Analysis'!AC$20,'[1]NS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-97.089999999999975</v>
      </c>
      <c r="AD172" s="18">
        <f>IF(AND(AD$15="Actual",ISBLANK($E$8)),SUMIFS('[1]NS Vendor Details'!$D:$D,'[1]NS Vendor Details'!$H:$H,'G&amp;A Vendor x GL Analysis'!AD$20,'[1]NS Vendor Details'!$L:$L,'G&amp;A Vendor x GL Analysis'!$D172,'[1]NS Vendor Details'!$O:$O,'G&amp;A Vendor x GL Analysis'!$F172,'[1]NS Vendor Details'!$N:$N,'G&amp;A Vendor x GL Analysis'!$C172,'[1]NS Vendor Details'!$I:$I,'G&amp;A Vendor x GL Analysis'!$E172)+SUMIFS('[1]NS Vendor Details'!$D:$D,'[1]NS Vendor Details'!$H:$H,'G&amp;A Vendor x GL Analysis'!AD$20,'[1]NS Vendor Details'!$O:$O,'G&amp;A Vendor x GL Analysis'!$F172,'[1]NS Vendor Details'!$N:$N,"Direct Costs",'[1]NS Vendor Details'!$J:$J,0,'[1]NS Vendor Details'!$L:$L,"Freight",'[1]NS Vendor Details'!$I:$I,'G&amp;A Vendor x GL Analysis'!$E172),IF(AD$15="Actual",SUMIFS('[1]NS Vendor Details'!$D:$D,'[1]NS Vendor Details'!$H:$H,'G&amp;A Vendor x GL Analysis'!AD$20,'[1]NS Vendor Details'!$L:$L,'G&amp;A Vendor x GL Analysis'!$D172,'[1]NS Vendor Details'!$O:$O,'G&amp;A Vendor x GL Analysis'!$F172,'[1]NS Vendor Details'!$N:$N,'G&amp;A Vendor x GL Analysis'!$C172,'[1]NS Vendor Details'!$K:$K,'G&amp;A Vendor x GL Analysis'!$E$8,'[1]NS Vendor Details'!$I:$I,'G&amp;A Vendor x GL Analysis'!$E172)+SUMIFS('[1]NS Vendor Details'!$D:$D,'[1]NS Vendor Details'!$H:$H,'G&amp;A Vendor x GL Analysis'!AD$20,'[1]NS Vendor Details'!$O:$O,'G&amp;A Vendor x GL Analysis'!$F172,'[1]NS Vendor Details'!$N:$N,"Direct Costs",'[1]NS Vendor Details'!$J:$J,0,'[1]NS Vendor Details'!$K:$K,'G&amp;A Vendor x GL Analysis'!$E$8,'[1]NS Vendor Details'!$L:$L,"Freight",'[1]NS Vendor Details'!$I:$I,'G&amp;A Vendor x GL Analysis'!$E172),0))</f>
        <v>0</v>
      </c>
      <c r="AF172" s="19">
        <f t="shared" si="23"/>
        <v>1009.8499999999999</v>
      </c>
    </row>
    <row r="173" spans="1:32" outlineLevel="1">
      <c r="A173" s="8" t="str">
        <f t="shared" si="26"/>
        <v>Other6400 - Utilities</v>
      </c>
      <c r="C173" s="8" t="s">
        <v>11</v>
      </c>
      <c r="D173" s="8" t="str">
        <f t="shared" si="27"/>
        <v>Other</v>
      </c>
      <c r="E173" s="2" t="s">
        <v>159</v>
      </c>
      <c r="F173" s="2" t="s">
        <v>45</v>
      </c>
      <c r="G173" s="16">
        <f>IF(AND(G$15="Actual",ISBLANK($E$8)),SUMIFS('[1]NS Vendor Details'!$D:$D,'[1]NS Vendor Details'!$H:$H,'G&amp;A Vendor x GL Analysis'!G$20,'[1]NS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Analysis'!G$20,'[1]NS Vendor Details'!$O:$O,'G&amp;A Vendor x GL Analysis'!$F173,'[1]NS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Analysis'!G$20,'[1]NS Vendor Details'!$O:$O,'G&amp;A Vendor x GL Analysis'!$F173,'[1]NS Vendor Details'!$N:$N,"Direct Costs",'[1]NS Vendor Details'!$J:$J,0,'[1]NS Vendor Details'!$K:$K,'G&amp;A Vendor x GL Analysis'!$E$8,'[1]NS Vendor Details'!$L:$L,"Freight"),0))</f>
        <v>0</v>
      </c>
      <c r="H173" s="17">
        <f>IF(AND(H$15="Actual",ISBLANK($E$8)),SUMIFS('[1]NS Vendor Details'!$D:$D,'[1]NS Vendor Details'!$H:$H,'G&amp;A Vendor x GL Analysis'!H$20,'[1]NS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Analysis'!H$20,'[1]NS Vendor Details'!$O:$O,'G&amp;A Vendor x GL Analysis'!$F173,'[1]NS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Analysis'!H$20,'[1]NS Vendor Details'!$O:$O,'G&amp;A Vendor x GL Analysis'!$F173,'[1]NS Vendor Details'!$N:$N,"Direct Costs",'[1]NS Vendor Details'!$J:$J,0,'[1]NS Vendor Details'!$K:$K,'G&amp;A Vendor x GL Analysis'!$E$8,'[1]NS Vendor Details'!$L:$L,"Freight"),0))</f>
        <v>880.33</v>
      </c>
      <c r="I173" s="17">
        <f>IF(AND(I$15="Actual",ISBLANK($E$8)),SUMIFS('[1]NS Vendor Details'!$D:$D,'[1]NS Vendor Details'!$H:$H,'G&amp;A Vendor x GL Analysis'!I$20,'[1]NS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Analysis'!I$20,'[1]NS Vendor Details'!$O:$O,'G&amp;A Vendor x GL Analysis'!$F173,'[1]NS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Analysis'!I$20,'[1]NS Vendor Details'!$O:$O,'G&amp;A Vendor x GL Analysis'!$F173,'[1]NS Vendor Details'!$N:$N,"Direct Costs",'[1]NS Vendor Details'!$J:$J,0,'[1]NS Vendor Details'!$K:$K,'G&amp;A Vendor x GL Analysis'!$E$8,'[1]NS Vendor Details'!$L:$L,"Freight"),0))</f>
        <v>1430.4</v>
      </c>
      <c r="J173" s="17">
        <f>IF(AND(J$15="Actual",ISBLANK($E$8)),SUMIFS('[1]NS Vendor Details'!$D:$D,'[1]NS Vendor Details'!$H:$H,'G&amp;A Vendor x GL Analysis'!J$20,'[1]NS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Analysis'!J$20,'[1]NS Vendor Details'!$O:$O,'G&amp;A Vendor x GL Analysis'!$F173,'[1]NS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Analysis'!J$20,'[1]NS Vendor Details'!$O:$O,'G&amp;A Vendor x GL Analysis'!$F173,'[1]NS Vendor Details'!$N:$N,"Direct Costs",'[1]NS Vendor Details'!$J:$J,0,'[1]NS Vendor Details'!$K:$K,'G&amp;A Vendor x GL Analysis'!$E$8,'[1]NS Vendor Details'!$L:$L,"Freight"),0))</f>
        <v>743.14</v>
      </c>
      <c r="K173" s="17">
        <f>IF(AND(K$15="Actual",ISBLANK($E$8)),SUMIFS('[1]NS Vendor Details'!$D:$D,'[1]NS Vendor Details'!$H:$H,'G&amp;A Vendor x GL Analysis'!K$20,'[1]NS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Analysis'!K$20,'[1]NS Vendor Details'!$O:$O,'G&amp;A Vendor x GL Analysis'!$F173,'[1]NS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Analysis'!K$20,'[1]NS Vendor Details'!$O:$O,'G&amp;A Vendor x GL Analysis'!$F173,'[1]NS Vendor Details'!$N:$N,"Direct Costs",'[1]NS Vendor Details'!$J:$J,0,'[1]NS Vendor Details'!$K:$K,'G&amp;A Vendor x GL Analysis'!$E$8,'[1]NS Vendor Details'!$L:$L,"Freight"),0))</f>
        <v>639.86</v>
      </c>
      <c r="L173" s="17">
        <f>IF(AND(L$15="Actual",ISBLANK($E$8)),SUMIFS('[1]NS Vendor Details'!$D:$D,'[1]NS Vendor Details'!$H:$H,'G&amp;A Vendor x GL Analysis'!L$20,'[1]NS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Analysis'!L$20,'[1]NS Vendor Details'!$O:$O,'G&amp;A Vendor x GL Analysis'!$F173,'[1]NS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Analysis'!L$20,'[1]NS Vendor Details'!$O:$O,'G&amp;A Vendor x GL Analysis'!$F173,'[1]NS Vendor Details'!$N:$N,"Direct Costs",'[1]NS Vendor Details'!$J:$J,0,'[1]NS Vendor Details'!$K:$K,'G&amp;A Vendor x GL Analysis'!$E$8,'[1]NS Vendor Details'!$L:$L,"Freight"),0))</f>
        <v>880.37</v>
      </c>
      <c r="M173" s="17">
        <f>IF(AND(M$15="Actual",ISBLANK($E$8)),SUMIFS('[1]NS Vendor Details'!$D:$D,'[1]NS Vendor Details'!$H:$H,'G&amp;A Vendor x GL Analysis'!M$20,'[1]NS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Analysis'!M$20,'[1]NS Vendor Details'!$O:$O,'G&amp;A Vendor x GL Analysis'!$F173,'[1]NS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Analysis'!M$20,'[1]NS Vendor Details'!$O:$O,'G&amp;A Vendor x GL Analysis'!$F173,'[1]NS Vendor Details'!$N:$N,"Direct Costs",'[1]NS Vendor Details'!$J:$J,0,'[1]NS Vendor Details'!$K:$K,'G&amp;A Vendor x GL Analysis'!$E$8,'[1]NS Vendor Details'!$L:$L,"Freight"),0))</f>
        <v>534.82000000000005</v>
      </c>
      <c r="N173" s="17">
        <f>IF(AND(N$15="Actual",ISBLANK($E$8)),SUMIFS('[1]NS Vendor Details'!$D:$D,'[1]NS Vendor Details'!$H:$H,'G&amp;A Vendor x GL Analysis'!N$20,'[1]NS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Analysis'!N$20,'[1]NS Vendor Details'!$O:$O,'G&amp;A Vendor x GL Analysis'!$F173,'[1]NS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Analysis'!N$20,'[1]NS Vendor Details'!$O:$O,'G&amp;A Vendor x GL Analysis'!$F173,'[1]NS Vendor Details'!$N:$N,"Direct Costs",'[1]NS Vendor Details'!$J:$J,0,'[1]NS Vendor Details'!$K:$K,'G&amp;A Vendor x GL Analysis'!$E$8,'[1]NS Vendor Details'!$L:$L,"Freight"),0))</f>
        <v>769.95</v>
      </c>
      <c r="O173" s="17">
        <f>IF(AND(O$15="Actual",ISBLANK($E$8)),SUMIFS('[1]NS Vendor Details'!$D:$D,'[1]NS Vendor Details'!$H:$H,'G&amp;A Vendor x GL Analysis'!O$20,'[1]NS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Analysis'!O$20,'[1]NS Vendor Details'!$O:$O,'G&amp;A Vendor x GL Analysis'!$F173,'[1]NS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Analysis'!O$20,'[1]NS Vendor Details'!$O:$O,'G&amp;A Vendor x GL Analysis'!$F173,'[1]NS Vendor Details'!$N:$N,"Direct Costs",'[1]NS Vendor Details'!$J:$J,0,'[1]NS Vendor Details'!$K:$K,'G&amp;A Vendor x GL Analysis'!$E$8,'[1]NS Vendor Details'!$L:$L,"Freight"),0))</f>
        <v>717.74</v>
      </c>
      <c r="P173" s="17">
        <f>IF(AND(P$15="Actual",ISBLANK($E$8)),SUMIFS('[1]NS Vendor Details'!$D:$D,'[1]NS Vendor Details'!$H:$H,'G&amp;A Vendor x GL Analysis'!P$20,'[1]NS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Analysis'!P$20,'[1]NS Vendor Details'!$O:$O,'G&amp;A Vendor x GL Analysis'!$F173,'[1]NS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Analysis'!P$20,'[1]NS Vendor Details'!$O:$O,'G&amp;A Vendor x GL Analysis'!$F173,'[1]NS Vendor Details'!$N:$N,"Direct Costs",'[1]NS Vendor Details'!$J:$J,0,'[1]NS Vendor Details'!$K:$K,'G&amp;A Vendor x GL Analysis'!$E$8,'[1]NS Vendor Details'!$L:$L,"Freight"),0))</f>
        <v>640.42999999999995</v>
      </c>
      <c r="Q173" s="17">
        <f>IF(AND(Q$15="Actual",ISBLANK($E$8)),SUMIFS('[1]NS Vendor Details'!$D:$D,'[1]NS Vendor Details'!$H:$H,'G&amp;A Vendor x GL Analysis'!Q$20,'[1]NS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Analysis'!Q$20,'[1]NS Vendor Details'!$O:$O,'G&amp;A Vendor x GL Analysis'!$F173,'[1]NS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Analysis'!Q$20,'[1]NS Vendor Details'!$O:$O,'G&amp;A Vendor x GL Analysis'!$F173,'[1]NS Vendor Details'!$N:$N,"Direct Costs",'[1]NS Vendor Details'!$J:$J,0,'[1]NS Vendor Details'!$K:$K,'G&amp;A Vendor x GL Analysis'!$E$8,'[1]NS Vendor Details'!$L:$L,"Freight"),0))</f>
        <v>458.45</v>
      </c>
      <c r="R173" s="18">
        <f>IF(AND(R$15="Actual",ISBLANK($E$8)),SUMIFS('[1]NS Vendor Details'!$D:$D,'[1]NS Vendor Details'!$H:$H,'G&amp;A Vendor x GL Analysis'!R$20,'[1]NS Vendor Details'!$L:$L,'G&amp;A Vendor x GL Analysis'!$D173,'[1]NS Vendor Details'!$O:$O,'G&amp;A Vendor x GL Analysis'!$F173,'[1]NS Vendor Details'!$N:$N,'G&amp;A Vendor x GL Analysis'!$C173)+SUMIFS('[1]NS Vendor Details'!$D:$D,'[1]NS Vendor Details'!$H:$H,'G&amp;A Vendor x GL Analysis'!R$20,'[1]NS Vendor Details'!$O:$O,'G&amp;A Vendor x GL Analysis'!$F173,'[1]NS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Analysis'!$D173,'[1]NS Vendor Details'!$O:$O,'G&amp;A Vendor x GL Analysis'!$F173,'[1]NS Vendor Details'!$N:$N,'G&amp;A Vendor x GL Analysis'!$C173,'[1]NS Vendor Details'!$K:$K,'G&amp;A Vendor x GL Analysis'!$E$8)+SUMIFS('[1]NS Vendor Details'!$D:$D,'[1]NS Vendor Details'!$H:$H,'G&amp;A Vendor x GL Analysis'!R$20,'[1]NS Vendor Details'!$O:$O,'G&amp;A Vendor x GL Analysis'!$F173,'[1]NS Vendor Details'!$N:$N,"Direct Costs",'[1]NS Vendor Details'!$J:$J,0,'[1]NS Vendor Details'!$K:$K,'G&amp;A Vendor x GL Analysis'!$E$8,'[1]NS Vendor Details'!$L:$L,"Freight"),0))</f>
        <v>242.29</v>
      </c>
      <c r="S173" s="16">
        <f>IF(AND(S$15="Actual",ISBLANK($E$8)),SUMIFS('[1]NS Vendor Details'!$D:$D,'[1]NS Vendor Details'!$H:$H,'G&amp;A Vendor x GL Analysis'!S$20,'[1]NS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Analysis'!S$20,'[1]NS Vendor Details'!$O:$O,'G&amp;A Vendor x GL Analysis'!$F173,'[1]NS Vendor Details'!$N:$N,"Direct Costs",'[1]NS Vendor Details'!$J:$J,0,'[1]NS Vendor Details'!$L:$L,"Freight",'[1]NS Vendor Details'!$I:$I,'G&amp;A Vendor x GL Analysis'!$E173),IF(S$15="Actual",SUMIFS('[1]NS Vendor Details'!$D:$D,'[1]NS Vendor Details'!$H:$H,'G&amp;A Vendor x GL Analysis'!S$20,'[1]NS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Analysis'!S$20,'[1]NS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456.67</v>
      </c>
      <c r="T173" s="17">
        <f>IF(AND(T$15="Actual",ISBLANK($E$8)),SUMIFS('[1]NS Vendor Details'!$D:$D,'[1]NS Vendor Details'!$H:$H,'G&amp;A Vendor x GL Analysis'!T$20,'[1]NS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Analysis'!T$20,'[1]NS Vendor Details'!$O:$O,'G&amp;A Vendor x GL Analysis'!$F173,'[1]NS Vendor Details'!$N:$N,"Direct Costs",'[1]NS Vendor Details'!$J:$J,0,'[1]NS Vendor Details'!$L:$L,"Freight",'[1]NS Vendor Details'!$I:$I,'G&amp;A Vendor x GL Analysis'!$E173),IF(T$15="Actual",SUMIFS('[1]NS Vendor Details'!$D:$D,'[1]NS Vendor Details'!$H:$H,'G&amp;A Vendor x GL Analysis'!T$20,'[1]NS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Analysis'!T$20,'[1]NS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389.69</v>
      </c>
      <c r="U173" s="17">
        <f>IF(AND(U$15="Actual",ISBLANK($E$8)),SUMIFS('[1]NS Vendor Details'!$D:$D,'[1]NS Vendor Details'!$H:$H,'G&amp;A Vendor x GL Analysis'!U$20,'[1]NS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Analysis'!U$20,'[1]NS Vendor Details'!$O:$O,'G&amp;A Vendor x GL Analysis'!$F173,'[1]NS Vendor Details'!$N:$N,"Direct Costs",'[1]NS Vendor Details'!$J:$J,0,'[1]NS Vendor Details'!$L:$L,"Freight",'[1]NS Vendor Details'!$I:$I,'G&amp;A Vendor x GL Analysis'!$E173),IF(U$15="Actual",SUMIFS('[1]NS Vendor Details'!$D:$D,'[1]NS Vendor Details'!$H:$H,'G&amp;A Vendor x GL Analysis'!U$20,'[1]NS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Analysis'!U$20,'[1]NS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346.63</v>
      </c>
      <c r="V173" s="17">
        <f>IF(AND(V$15="Actual",ISBLANK($E$8)),SUMIFS('[1]NS Vendor Details'!$D:$D,'[1]NS Vendor Details'!$H:$H,'G&amp;A Vendor x GL Analysis'!V$20,'[1]NS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Analysis'!V$20,'[1]NS Vendor Details'!$O:$O,'G&amp;A Vendor x GL Analysis'!$F173,'[1]NS Vendor Details'!$N:$N,"Direct Costs",'[1]NS Vendor Details'!$J:$J,0,'[1]NS Vendor Details'!$L:$L,"Freight",'[1]NS Vendor Details'!$I:$I,'G&amp;A Vendor x GL Analysis'!$E173),IF(V$15="Actual",SUMIFS('[1]NS Vendor Details'!$D:$D,'[1]NS Vendor Details'!$H:$H,'G&amp;A Vendor x GL Analysis'!V$20,'[1]NS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Analysis'!V$20,'[1]NS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300.64999999999998</v>
      </c>
      <c r="W173" s="17">
        <f>IF(AND(W$15="Actual",ISBLANK($E$8)),SUMIFS('[1]NS Vendor Details'!$D:$D,'[1]NS Vendor Details'!$H:$H,'G&amp;A Vendor x GL Analysis'!W$20,'[1]NS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Analysis'!W$20,'[1]NS Vendor Details'!$O:$O,'G&amp;A Vendor x GL Analysis'!$F173,'[1]NS Vendor Details'!$N:$N,"Direct Costs",'[1]NS Vendor Details'!$J:$J,0,'[1]NS Vendor Details'!$L:$L,"Freight",'[1]NS Vendor Details'!$I:$I,'G&amp;A Vendor x GL Analysis'!$E173),IF(W$15="Actual",SUMIFS('[1]NS Vendor Details'!$D:$D,'[1]NS Vendor Details'!$H:$H,'G&amp;A Vendor x GL Analysis'!W$20,'[1]NS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Analysis'!W$20,'[1]NS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260.62</v>
      </c>
      <c r="X173" s="17">
        <f>IF(AND(X$15="Actual",ISBLANK($E$8)),SUMIFS('[1]NS Vendor Details'!$D:$D,'[1]NS Vendor Details'!$H:$H,'G&amp;A Vendor x GL Analysis'!X$20,'[1]NS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Analysis'!X$20,'[1]NS Vendor Details'!$O:$O,'G&amp;A Vendor x GL Analysis'!$F173,'[1]NS Vendor Details'!$N:$N,"Direct Costs",'[1]NS Vendor Details'!$J:$J,0,'[1]NS Vendor Details'!$L:$L,"Freight",'[1]NS Vendor Details'!$I:$I,'G&amp;A Vendor x GL Analysis'!$E173),IF(X$15="Actual",SUMIFS('[1]NS Vendor Details'!$D:$D,'[1]NS Vendor Details'!$H:$H,'G&amp;A Vendor x GL Analysis'!X$20,'[1]NS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Analysis'!X$20,'[1]NS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275.72000000000003</v>
      </c>
      <c r="Y173" s="17">
        <f>IF(AND(Y$15="Actual",ISBLANK($E$8)),SUMIFS('[1]NS Vendor Details'!$D:$D,'[1]NS Vendor Details'!$H:$H,'G&amp;A Vendor x GL Analysis'!Y$20,'[1]NS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Analysis'!Y$20,'[1]NS Vendor Details'!$O:$O,'G&amp;A Vendor x GL Analysis'!$F173,'[1]NS Vendor Details'!$N:$N,"Direct Costs",'[1]NS Vendor Details'!$J:$J,0,'[1]NS Vendor Details'!$L:$L,"Freight",'[1]NS Vendor Details'!$I:$I,'G&amp;A Vendor x GL Analysis'!$E173),IF(Y$15="Actual",SUMIFS('[1]NS Vendor Details'!$D:$D,'[1]NS Vendor Details'!$H:$H,'G&amp;A Vendor x GL Analysis'!Y$20,'[1]NS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Analysis'!Y$20,'[1]NS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290.16000000000003</v>
      </c>
      <c r="Z173" s="17">
        <f>IF(AND(Z$15="Actual",ISBLANK($E$8)),SUMIFS('[1]NS Vendor Details'!$D:$D,'[1]NS Vendor Details'!$H:$H,'G&amp;A Vendor x GL Analysis'!Z$20,'[1]NS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Analysis'!Z$20,'[1]NS Vendor Details'!$O:$O,'G&amp;A Vendor x GL Analysis'!$F173,'[1]NS Vendor Details'!$N:$N,"Direct Costs",'[1]NS Vendor Details'!$J:$J,0,'[1]NS Vendor Details'!$L:$L,"Freight",'[1]NS Vendor Details'!$I:$I,'G&amp;A Vendor x GL Analysis'!$E173),IF(Z$15="Actual",SUMIFS('[1]NS Vendor Details'!$D:$D,'[1]NS Vendor Details'!$H:$H,'G&amp;A Vendor x GL Analysis'!Z$20,'[1]NS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Analysis'!Z$20,'[1]NS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728.58</v>
      </c>
      <c r="AA173" s="17">
        <f>IF(AND(AA$15="Actual",ISBLANK($E$8)),SUMIFS('[1]NS Vendor Details'!$D:$D,'[1]NS Vendor Details'!$H:$H,'G&amp;A Vendor x GL Analysis'!AA$20,'[1]NS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Analysis'!AA$20,'[1]NS Vendor Details'!$O:$O,'G&amp;A Vendor x GL Analysis'!$F173,'[1]NS Vendor Details'!$N:$N,"Direct Costs",'[1]NS Vendor Details'!$J:$J,0,'[1]NS Vendor Details'!$L:$L,"Freight",'[1]NS Vendor Details'!$I:$I,'G&amp;A Vendor x GL Analysis'!$E173),IF(AA$15="Actual",SUMIFS('[1]NS Vendor Details'!$D:$D,'[1]NS Vendor Details'!$H:$H,'G&amp;A Vendor x GL Analysis'!AA$20,'[1]NS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Analysis'!AA$20,'[1]NS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699.63</v>
      </c>
      <c r="AB173" s="17">
        <f>IF(AND(AB$15="Actual",ISBLANK($E$8)),SUMIFS('[1]NS Vendor Details'!$D:$D,'[1]NS Vendor Details'!$H:$H,'G&amp;A Vendor x GL Analysis'!AB$20,'[1]NS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Analysis'!AB$20,'[1]NS Vendor Details'!$O:$O,'G&amp;A Vendor x GL Analysis'!$F173,'[1]NS Vendor Details'!$N:$N,"Direct Costs",'[1]NS Vendor Details'!$J:$J,0,'[1]NS Vendor Details'!$L:$L,"Freight",'[1]NS Vendor Details'!$I:$I,'G&amp;A Vendor x GL Analysis'!$E173),IF(AB$15="Actual",SUMIFS('[1]NS Vendor Details'!$D:$D,'[1]NS Vendor Details'!$H:$H,'G&amp;A Vendor x GL Analysis'!AB$20,'[1]NS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Analysis'!AB$20,'[1]NS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515.11</v>
      </c>
      <c r="AC173" s="18">
        <f>IF(AND(AC$15="Actual",ISBLANK($E$8)),SUMIFS('[1]NS Vendor Details'!$D:$D,'[1]NS Vendor Details'!$H:$H,'G&amp;A Vendor x GL Analysis'!AC$20,'[1]NS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Analysis'!AC$20,'[1]NS Vendor Details'!$O:$O,'G&amp;A Vendor x GL Analysis'!$F173,'[1]NS Vendor Details'!$N:$N,"Direct Costs",'[1]NS Vendor Details'!$J:$J,0,'[1]NS Vendor Details'!$L:$L,"Freight",'[1]NS Vendor Details'!$I:$I,'G&amp;A Vendor x GL Analysis'!$E173),IF(AC$15="Actual",SUMIFS('[1]NS Vendor Details'!$D:$D,'[1]NS Vendor Details'!$H:$H,'G&amp;A Vendor x GL Analysis'!AC$20,'[1]NS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Analysis'!AC$20,'[1]NS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479.83</v>
      </c>
      <c r="AD173" s="18">
        <f>IF(AND(AD$15="Actual",ISBLANK($E$8)),SUMIFS('[1]NS Vendor Details'!$D:$D,'[1]NS Vendor Details'!$H:$H,'G&amp;A Vendor x GL Analysis'!AD$20,'[1]NS Vendor Details'!$L:$L,'G&amp;A Vendor x GL Analysis'!$D173,'[1]NS Vendor Details'!$O:$O,'G&amp;A Vendor x GL Analysis'!$F173,'[1]NS Vendor Details'!$N:$N,'G&amp;A Vendor x GL Analysis'!$C173,'[1]NS Vendor Details'!$I:$I,'G&amp;A Vendor x GL Analysis'!$E173)+SUMIFS('[1]NS Vendor Details'!$D:$D,'[1]NS Vendor Details'!$H:$H,'G&amp;A Vendor x GL Analysis'!AD$20,'[1]NS Vendor Details'!$O:$O,'G&amp;A Vendor x GL Analysis'!$F173,'[1]NS Vendor Details'!$N:$N,"Direct Costs",'[1]NS Vendor Details'!$J:$J,0,'[1]NS Vendor Details'!$L:$L,"Freight",'[1]NS Vendor Details'!$I:$I,'G&amp;A Vendor x GL Analysis'!$E173),IF(AD$15="Actual",SUMIFS('[1]NS Vendor Details'!$D:$D,'[1]NS Vendor Details'!$H:$H,'G&amp;A Vendor x GL Analysis'!AD$20,'[1]NS Vendor Details'!$L:$L,'G&amp;A Vendor x GL Analysis'!$D173,'[1]NS Vendor Details'!$O:$O,'G&amp;A Vendor x GL Analysis'!$F173,'[1]NS Vendor Details'!$N:$N,'G&amp;A Vendor x GL Analysis'!$C173,'[1]NS Vendor Details'!$K:$K,'G&amp;A Vendor x GL Analysis'!$E$8,'[1]NS Vendor Details'!$I:$I,'G&amp;A Vendor x GL Analysis'!$E173)+SUMIFS('[1]NS Vendor Details'!$D:$D,'[1]NS Vendor Details'!$H:$H,'G&amp;A Vendor x GL Analysis'!AD$20,'[1]NS Vendor Details'!$O:$O,'G&amp;A Vendor x GL Analysis'!$F173,'[1]NS Vendor Details'!$N:$N,"Direct Costs",'[1]NS Vendor Details'!$J:$J,0,'[1]NS Vendor Details'!$K:$K,'G&amp;A Vendor x GL Analysis'!$E$8,'[1]NS Vendor Details'!$L:$L,"Freight",'[1]NS Vendor Details'!$I:$I,'G&amp;A Vendor x GL Analysis'!$E173),0))</f>
        <v>0</v>
      </c>
      <c r="AF173" s="19">
        <f t="shared" ref="AF173:AF195" si="29">ABS(S173)+ABS(T173)+ABS(U173)+ABS(V173)+ABS(W173)+ABS(X173)+ABS(Y173)+ABS(Z173)+ABS(AA173)+ABS(AB173)+ABS(AC173)+ABS(AD173)</f>
        <v>4743.29</v>
      </c>
    </row>
    <row r="174" spans="1:32" outlineLevel="1">
      <c r="A174" s="8" t="str">
        <f t="shared" si="26"/>
        <v>Other6400 - Utilities</v>
      </c>
      <c r="C174" s="8" t="s">
        <v>11</v>
      </c>
      <c r="D174" s="8" t="str">
        <f t="shared" si="27"/>
        <v>Other</v>
      </c>
      <c r="E174" s="2" t="s">
        <v>159</v>
      </c>
      <c r="F174" s="2" t="s">
        <v>160</v>
      </c>
      <c r="G174" s="16">
        <f>IF(AND(G$15="Actual",ISBLANK($E$8)),SUMIFS('[1]NS Vendor Details'!$D:$D,'[1]NS Vendor Details'!$H:$H,'G&amp;A Vendor x GL Analysis'!G$20,'[1]NS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Analysis'!G$20,'[1]NS Vendor Details'!$O:$O,'G&amp;A Vendor x GL Analysis'!$F174,'[1]NS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Analysis'!G$20,'[1]NS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H174" s="17">
        <f>IF(AND(H$15="Actual",ISBLANK($E$8)),SUMIFS('[1]NS Vendor Details'!$D:$D,'[1]NS Vendor Details'!$H:$H,'G&amp;A Vendor x GL Analysis'!H$20,'[1]NS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Analysis'!H$20,'[1]NS Vendor Details'!$O:$O,'G&amp;A Vendor x GL Analysis'!$F174,'[1]NS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Analysis'!H$20,'[1]NS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I174" s="17">
        <f>IF(AND(I$15="Actual",ISBLANK($E$8)),SUMIFS('[1]NS Vendor Details'!$D:$D,'[1]NS Vendor Details'!$H:$H,'G&amp;A Vendor x GL Analysis'!I$20,'[1]NS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Analysis'!I$20,'[1]NS Vendor Details'!$O:$O,'G&amp;A Vendor x GL Analysis'!$F174,'[1]NS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Analysis'!I$20,'[1]NS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J174" s="17">
        <f>IF(AND(J$15="Actual",ISBLANK($E$8)),SUMIFS('[1]NS Vendor Details'!$D:$D,'[1]NS Vendor Details'!$H:$H,'G&amp;A Vendor x GL Analysis'!J$20,'[1]NS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Analysis'!J$20,'[1]NS Vendor Details'!$O:$O,'G&amp;A Vendor x GL Analysis'!$F174,'[1]NS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Analysis'!J$20,'[1]NS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K174" s="17">
        <f>IF(AND(K$15="Actual",ISBLANK($E$8)),SUMIFS('[1]NS Vendor Details'!$D:$D,'[1]NS Vendor Details'!$H:$H,'G&amp;A Vendor x GL Analysis'!K$20,'[1]NS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Analysis'!K$20,'[1]NS Vendor Details'!$O:$O,'G&amp;A Vendor x GL Analysis'!$F174,'[1]NS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Analysis'!K$20,'[1]NS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L174" s="17">
        <f>IF(AND(L$15="Actual",ISBLANK($E$8)),SUMIFS('[1]NS Vendor Details'!$D:$D,'[1]NS Vendor Details'!$H:$H,'G&amp;A Vendor x GL Analysis'!L$20,'[1]NS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Analysis'!L$20,'[1]NS Vendor Details'!$O:$O,'G&amp;A Vendor x GL Analysis'!$F174,'[1]NS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Analysis'!L$20,'[1]NS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M174" s="17">
        <f>IF(AND(M$15="Actual",ISBLANK($E$8)),SUMIFS('[1]NS Vendor Details'!$D:$D,'[1]NS Vendor Details'!$H:$H,'G&amp;A Vendor x GL Analysis'!M$20,'[1]NS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Analysis'!M$20,'[1]NS Vendor Details'!$O:$O,'G&amp;A Vendor x GL Analysis'!$F174,'[1]NS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Analysis'!M$20,'[1]NS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N174" s="17">
        <f>IF(AND(N$15="Actual",ISBLANK($E$8)),SUMIFS('[1]NS Vendor Details'!$D:$D,'[1]NS Vendor Details'!$H:$H,'G&amp;A Vendor x GL Analysis'!N$20,'[1]NS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Analysis'!N$20,'[1]NS Vendor Details'!$O:$O,'G&amp;A Vendor x GL Analysis'!$F174,'[1]NS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Analysis'!N$20,'[1]NS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O174" s="17">
        <f>IF(AND(O$15="Actual",ISBLANK($E$8)),SUMIFS('[1]NS Vendor Details'!$D:$D,'[1]NS Vendor Details'!$H:$H,'G&amp;A Vendor x GL Analysis'!O$20,'[1]NS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Analysis'!O$20,'[1]NS Vendor Details'!$O:$O,'G&amp;A Vendor x GL Analysis'!$F174,'[1]NS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Analysis'!O$20,'[1]NS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P174" s="17">
        <f>IF(AND(P$15="Actual",ISBLANK($E$8)),SUMIFS('[1]NS Vendor Details'!$D:$D,'[1]NS Vendor Details'!$H:$H,'G&amp;A Vendor x GL Analysis'!P$20,'[1]NS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Analysis'!P$20,'[1]NS Vendor Details'!$O:$O,'G&amp;A Vendor x GL Analysis'!$F174,'[1]NS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Analysis'!P$20,'[1]NS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Q174" s="17">
        <f>IF(AND(Q$15="Actual",ISBLANK($E$8)),SUMIFS('[1]NS Vendor Details'!$D:$D,'[1]NS Vendor Details'!$H:$H,'G&amp;A Vendor x GL Analysis'!Q$20,'[1]NS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Analysis'!Q$20,'[1]NS Vendor Details'!$O:$O,'G&amp;A Vendor x GL Analysis'!$F174,'[1]NS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Analysis'!Q$20,'[1]NS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R174" s="18">
        <f>IF(AND(R$15="Actual",ISBLANK($E$8)),SUMIFS('[1]NS Vendor Details'!$D:$D,'[1]NS Vendor Details'!$H:$H,'G&amp;A Vendor x GL Analysis'!R$20,'[1]NS Vendor Details'!$L:$L,'G&amp;A Vendor x GL Analysis'!$D174,'[1]NS Vendor Details'!$O:$O,'G&amp;A Vendor x GL Analysis'!$F174,'[1]NS Vendor Details'!$N:$N,'G&amp;A Vendor x GL Analysis'!$C174)+SUMIFS('[1]NS Vendor Details'!$D:$D,'[1]NS Vendor Details'!$H:$H,'G&amp;A Vendor x GL Analysis'!R$20,'[1]NS Vendor Details'!$O:$O,'G&amp;A Vendor x GL Analysis'!$F174,'[1]NS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Analysis'!$D174,'[1]NS Vendor Details'!$O:$O,'G&amp;A Vendor x GL Analysis'!$F174,'[1]NS Vendor Details'!$N:$N,'G&amp;A Vendor x GL Analysis'!$C174,'[1]NS Vendor Details'!$K:$K,'G&amp;A Vendor x GL Analysis'!$E$8)+SUMIFS('[1]NS Vendor Details'!$D:$D,'[1]NS Vendor Details'!$H:$H,'G&amp;A Vendor x GL Analysis'!R$20,'[1]NS Vendor Details'!$O:$O,'G&amp;A Vendor x GL Analysis'!$F174,'[1]NS Vendor Details'!$N:$N,"Direct Costs",'[1]NS Vendor Details'!$J:$J,0,'[1]NS Vendor Details'!$K:$K,'G&amp;A Vendor x GL Analysis'!$E$8,'[1]NS Vendor Details'!$L:$L,"Freight"),0))</f>
        <v>0</v>
      </c>
      <c r="S174" s="16">
        <f>IF(AND(S$15="Actual",ISBLANK($E$8)),SUMIFS('[1]NS Vendor Details'!$D:$D,'[1]NS Vendor Details'!$H:$H,'G&amp;A Vendor x GL Analysis'!S$20,'[1]NS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Analysis'!S$20,'[1]NS Vendor Details'!$O:$O,'G&amp;A Vendor x GL Analysis'!$F174,'[1]NS Vendor Details'!$N:$N,"Direct Costs",'[1]NS Vendor Details'!$J:$J,0,'[1]NS Vendor Details'!$L:$L,"Freight",'[1]NS Vendor Details'!$I:$I,'G&amp;A Vendor x GL Analysis'!$E174),IF(S$15="Actual",SUMIFS('[1]NS Vendor Details'!$D:$D,'[1]NS Vendor Details'!$H:$H,'G&amp;A Vendor x GL Analysis'!S$20,'[1]NS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Analysis'!S$20,'[1]NS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T174" s="17">
        <f>IF(AND(T$15="Actual",ISBLANK($E$8)),SUMIFS('[1]NS Vendor Details'!$D:$D,'[1]NS Vendor Details'!$H:$H,'G&amp;A Vendor x GL Analysis'!T$20,'[1]NS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Analysis'!T$20,'[1]NS Vendor Details'!$O:$O,'G&amp;A Vendor x GL Analysis'!$F174,'[1]NS Vendor Details'!$N:$N,"Direct Costs",'[1]NS Vendor Details'!$J:$J,0,'[1]NS Vendor Details'!$L:$L,"Freight",'[1]NS Vendor Details'!$I:$I,'G&amp;A Vendor x GL Analysis'!$E174),IF(T$15="Actual",SUMIFS('[1]NS Vendor Details'!$D:$D,'[1]NS Vendor Details'!$H:$H,'G&amp;A Vendor x GL Analysis'!T$20,'[1]NS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Analysis'!T$20,'[1]NS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U174" s="17">
        <f>IF(AND(U$15="Actual",ISBLANK($E$8)),SUMIFS('[1]NS Vendor Details'!$D:$D,'[1]NS Vendor Details'!$H:$H,'G&amp;A Vendor x GL Analysis'!U$20,'[1]NS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Analysis'!U$20,'[1]NS Vendor Details'!$O:$O,'G&amp;A Vendor x GL Analysis'!$F174,'[1]NS Vendor Details'!$N:$N,"Direct Costs",'[1]NS Vendor Details'!$J:$J,0,'[1]NS Vendor Details'!$L:$L,"Freight",'[1]NS Vendor Details'!$I:$I,'G&amp;A Vendor x GL Analysis'!$E174),IF(U$15="Actual",SUMIFS('[1]NS Vendor Details'!$D:$D,'[1]NS Vendor Details'!$H:$H,'G&amp;A Vendor x GL Analysis'!U$20,'[1]NS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Analysis'!U$20,'[1]NS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V174" s="17">
        <f>IF(AND(V$15="Actual",ISBLANK($E$8)),SUMIFS('[1]NS Vendor Details'!$D:$D,'[1]NS Vendor Details'!$H:$H,'G&amp;A Vendor x GL Analysis'!V$20,'[1]NS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Analysis'!V$20,'[1]NS Vendor Details'!$O:$O,'G&amp;A Vendor x GL Analysis'!$F174,'[1]NS Vendor Details'!$N:$N,"Direct Costs",'[1]NS Vendor Details'!$J:$J,0,'[1]NS Vendor Details'!$L:$L,"Freight",'[1]NS Vendor Details'!$I:$I,'G&amp;A Vendor x GL Analysis'!$E174),IF(V$15="Actual",SUMIFS('[1]NS Vendor Details'!$D:$D,'[1]NS Vendor Details'!$H:$H,'G&amp;A Vendor x GL Analysis'!V$20,'[1]NS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Analysis'!V$20,'[1]NS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W174" s="17">
        <f>IF(AND(W$15="Actual",ISBLANK($E$8)),SUMIFS('[1]NS Vendor Details'!$D:$D,'[1]NS Vendor Details'!$H:$H,'G&amp;A Vendor x GL Analysis'!W$20,'[1]NS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Analysis'!W$20,'[1]NS Vendor Details'!$O:$O,'G&amp;A Vendor x GL Analysis'!$F174,'[1]NS Vendor Details'!$N:$N,"Direct Costs",'[1]NS Vendor Details'!$J:$J,0,'[1]NS Vendor Details'!$L:$L,"Freight",'[1]NS Vendor Details'!$I:$I,'G&amp;A Vendor x GL Analysis'!$E174),IF(W$15="Actual",SUMIFS('[1]NS Vendor Details'!$D:$D,'[1]NS Vendor Details'!$H:$H,'G&amp;A Vendor x GL Analysis'!W$20,'[1]NS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Analysis'!W$20,'[1]NS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X174" s="17">
        <f>IF(AND(X$15="Actual",ISBLANK($E$8)),SUMIFS('[1]NS Vendor Details'!$D:$D,'[1]NS Vendor Details'!$H:$H,'G&amp;A Vendor x GL Analysis'!X$20,'[1]NS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Analysis'!X$20,'[1]NS Vendor Details'!$O:$O,'G&amp;A Vendor x GL Analysis'!$F174,'[1]NS Vendor Details'!$N:$N,"Direct Costs",'[1]NS Vendor Details'!$J:$J,0,'[1]NS Vendor Details'!$L:$L,"Freight",'[1]NS Vendor Details'!$I:$I,'G&amp;A Vendor x GL Analysis'!$E174),IF(X$15="Actual",SUMIFS('[1]NS Vendor Details'!$D:$D,'[1]NS Vendor Details'!$H:$H,'G&amp;A Vendor x GL Analysis'!X$20,'[1]NS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Analysis'!X$20,'[1]NS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Y174" s="17">
        <f>IF(AND(Y$15="Actual",ISBLANK($E$8)),SUMIFS('[1]NS Vendor Details'!$D:$D,'[1]NS Vendor Details'!$H:$H,'G&amp;A Vendor x GL Analysis'!Y$20,'[1]NS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Analysis'!Y$20,'[1]NS Vendor Details'!$O:$O,'G&amp;A Vendor x GL Analysis'!$F174,'[1]NS Vendor Details'!$N:$N,"Direct Costs",'[1]NS Vendor Details'!$J:$J,0,'[1]NS Vendor Details'!$L:$L,"Freight",'[1]NS Vendor Details'!$I:$I,'G&amp;A Vendor x GL Analysis'!$E174),IF(Y$15="Actual",SUMIFS('[1]NS Vendor Details'!$D:$D,'[1]NS Vendor Details'!$H:$H,'G&amp;A Vendor x GL Analysis'!Y$20,'[1]NS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Analysis'!Y$20,'[1]NS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Z174" s="17">
        <f>IF(AND(Z$15="Actual",ISBLANK($E$8)),SUMIFS('[1]NS Vendor Details'!$D:$D,'[1]NS Vendor Details'!$H:$H,'G&amp;A Vendor x GL Analysis'!Z$20,'[1]NS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Analysis'!Z$20,'[1]NS Vendor Details'!$O:$O,'G&amp;A Vendor x GL Analysis'!$F174,'[1]NS Vendor Details'!$N:$N,"Direct Costs",'[1]NS Vendor Details'!$J:$J,0,'[1]NS Vendor Details'!$L:$L,"Freight",'[1]NS Vendor Details'!$I:$I,'G&amp;A Vendor x GL Analysis'!$E174),IF(Z$15="Actual",SUMIFS('[1]NS Vendor Details'!$D:$D,'[1]NS Vendor Details'!$H:$H,'G&amp;A Vendor x GL Analysis'!Z$20,'[1]NS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Analysis'!Z$20,'[1]NS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AA174" s="17">
        <f>IF(AND(AA$15="Actual",ISBLANK($E$8)),SUMIFS('[1]NS Vendor Details'!$D:$D,'[1]NS Vendor Details'!$H:$H,'G&amp;A Vendor x GL Analysis'!AA$20,'[1]NS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Analysis'!AA$20,'[1]NS Vendor Details'!$O:$O,'G&amp;A Vendor x GL Analysis'!$F174,'[1]NS Vendor Details'!$N:$N,"Direct Costs",'[1]NS Vendor Details'!$J:$J,0,'[1]NS Vendor Details'!$L:$L,"Freight",'[1]NS Vendor Details'!$I:$I,'G&amp;A Vendor x GL Analysis'!$E174),IF(AA$15="Actual",SUMIFS('[1]NS Vendor Details'!$D:$D,'[1]NS Vendor Details'!$H:$H,'G&amp;A Vendor x GL Analysis'!AA$20,'[1]NS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Analysis'!AA$20,'[1]NS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AB174" s="17">
        <f>IF(AND(AB$15="Actual",ISBLANK($E$8)),SUMIFS('[1]NS Vendor Details'!$D:$D,'[1]NS Vendor Details'!$H:$H,'G&amp;A Vendor x GL Analysis'!AB$20,'[1]NS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Analysis'!AB$20,'[1]NS Vendor Details'!$O:$O,'G&amp;A Vendor x GL Analysis'!$F174,'[1]NS Vendor Details'!$N:$N,"Direct Costs",'[1]NS Vendor Details'!$J:$J,0,'[1]NS Vendor Details'!$L:$L,"Freight",'[1]NS Vendor Details'!$I:$I,'G&amp;A Vendor x GL Analysis'!$E174),IF(AB$15="Actual",SUMIFS('[1]NS Vendor Details'!$D:$D,'[1]NS Vendor Details'!$H:$H,'G&amp;A Vendor x GL Analysis'!AB$20,'[1]NS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Analysis'!AB$20,'[1]NS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AC174" s="18">
        <f>IF(AND(AC$15="Actual",ISBLANK($E$8)),SUMIFS('[1]NS Vendor Details'!$D:$D,'[1]NS Vendor Details'!$H:$H,'G&amp;A Vendor x GL Analysis'!AC$20,'[1]NS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Analysis'!AC$20,'[1]NS Vendor Details'!$O:$O,'G&amp;A Vendor x GL Analysis'!$F174,'[1]NS Vendor Details'!$N:$N,"Direct Costs",'[1]NS Vendor Details'!$J:$J,0,'[1]NS Vendor Details'!$L:$L,"Freight",'[1]NS Vendor Details'!$I:$I,'G&amp;A Vendor x GL Analysis'!$E174),IF(AC$15="Actual",SUMIFS('[1]NS Vendor Details'!$D:$D,'[1]NS Vendor Details'!$H:$H,'G&amp;A Vendor x GL Analysis'!AC$20,'[1]NS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Analysis'!AC$20,'[1]NS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AD174" s="18">
        <f>IF(AND(AD$15="Actual",ISBLANK($E$8)),SUMIFS('[1]NS Vendor Details'!$D:$D,'[1]NS Vendor Details'!$H:$H,'G&amp;A Vendor x GL Analysis'!AD$20,'[1]NS Vendor Details'!$L:$L,'G&amp;A Vendor x GL Analysis'!$D174,'[1]NS Vendor Details'!$O:$O,'G&amp;A Vendor x GL Analysis'!$F174,'[1]NS Vendor Details'!$N:$N,'G&amp;A Vendor x GL Analysis'!$C174,'[1]NS Vendor Details'!$I:$I,'G&amp;A Vendor x GL Analysis'!$E174)+SUMIFS('[1]NS Vendor Details'!$D:$D,'[1]NS Vendor Details'!$H:$H,'G&amp;A Vendor x GL Analysis'!AD$20,'[1]NS Vendor Details'!$O:$O,'G&amp;A Vendor x GL Analysis'!$F174,'[1]NS Vendor Details'!$N:$N,"Direct Costs",'[1]NS Vendor Details'!$J:$J,0,'[1]NS Vendor Details'!$L:$L,"Freight",'[1]NS Vendor Details'!$I:$I,'G&amp;A Vendor x GL Analysis'!$E174),IF(AD$15="Actual",SUMIFS('[1]NS Vendor Details'!$D:$D,'[1]NS Vendor Details'!$H:$H,'G&amp;A Vendor x GL Analysis'!AD$20,'[1]NS Vendor Details'!$L:$L,'G&amp;A Vendor x GL Analysis'!$D174,'[1]NS Vendor Details'!$O:$O,'G&amp;A Vendor x GL Analysis'!$F174,'[1]NS Vendor Details'!$N:$N,'G&amp;A Vendor x GL Analysis'!$C174,'[1]NS Vendor Details'!$K:$K,'G&amp;A Vendor x GL Analysis'!$E$8,'[1]NS Vendor Details'!$I:$I,'G&amp;A Vendor x GL Analysis'!$E174)+SUMIFS('[1]NS Vendor Details'!$D:$D,'[1]NS Vendor Details'!$H:$H,'G&amp;A Vendor x GL Analysis'!AD$20,'[1]NS Vendor Details'!$O:$O,'G&amp;A Vendor x GL Analysis'!$F174,'[1]NS Vendor Details'!$N:$N,"Direct Costs",'[1]NS Vendor Details'!$J:$J,0,'[1]NS Vendor Details'!$K:$K,'G&amp;A Vendor x GL Analysis'!$E$8,'[1]NS Vendor Details'!$L:$L,"Freight",'[1]NS Vendor Details'!$I:$I,'G&amp;A Vendor x GL Analysis'!$E174),0))</f>
        <v>0</v>
      </c>
      <c r="AF174" s="19">
        <f t="shared" si="29"/>
        <v>0</v>
      </c>
    </row>
    <row r="175" spans="1:32" outlineLevel="1">
      <c r="A175" s="8" t="str">
        <f t="shared" si="26"/>
        <v>Other6400 - Utilities</v>
      </c>
      <c r="C175" s="8" t="s">
        <v>11</v>
      </c>
      <c r="D175" s="8" t="str">
        <f t="shared" si="27"/>
        <v>Other</v>
      </c>
      <c r="E175" s="2" t="s">
        <v>159</v>
      </c>
      <c r="F175" s="2" t="s">
        <v>155</v>
      </c>
      <c r="G175" s="16">
        <f>IF(AND(G$15="Actual",ISBLANK($E$8)),SUMIFS('[1]NS Vendor Details'!$D:$D,'[1]NS Vendor Details'!$H:$H,'G&amp;A Vendor x GL Analysis'!G$20,'[1]NS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Analysis'!G$20,'[1]NS Vendor Details'!$O:$O,'G&amp;A Vendor x GL Analysis'!$F175,'[1]NS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Analysis'!G$20,'[1]NS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H175" s="17">
        <f>IF(AND(H$15="Actual",ISBLANK($E$8)),SUMIFS('[1]NS Vendor Details'!$D:$D,'[1]NS Vendor Details'!$H:$H,'G&amp;A Vendor x GL Analysis'!H$20,'[1]NS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Analysis'!H$20,'[1]NS Vendor Details'!$O:$O,'G&amp;A Vendor x GL Analysis'!$F175,'[1]NS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Analysis'!H$20,'[1]NS Vendor Details'!$O:$O,'G&amp;A Vendor x GL Analysis'!$F175,'[1]NS Vendor Details'!$N:$N,"Direct Costs",'[1]NS Vendor Details'!$J:$J,0,'[1]NS Vendor Details'!$K:$K,'G&amp;A Vendor x GL Analysis'!$E$8,'[1]NS Vendor Details'!$L:$L,"Freight"),0))</f>
        <v>65.33</v>
      </c>
      <c r="I175" s="17">
        <f>IF(AND(I$15="Actual",ISBLANK($E$8)),SUMIFS('[1]NS Vendor Details'!$D:$D,'[1]NS Vendor Details'!$H:$H,'G&amp;A Vendor x GL Analysis'!I$20,'[1]NS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Analysis'!I$20,'[1]NS Vendor Details'!$O:$O,'G&amp;A Vendor x GL Analysis'!$F175,'[1]NS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Analysis'!I$20,'[1]NS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J175" s="17">
        <f>IF(AND(J$15="Actual",ISBLANK($E$8)),SUMIFS('[1]NS Vendor Details'!$D:$D,'[1]NS Vendor Details'!$H:$H,'G&amp;A Vendor x GL Analysis'!J$20,'[1]NS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Analysis'!J$20,'[1]NS Vendor Details'!$O:$O,'G&amp;A Vendor x GL Analysis'!$F175,'[1]NS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Analysis'!J$20,'[1]NS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K175" s="17">
        <f>IF(AND(K$15="Actual",ISBLANK($E$8)),SUMIFS('[1]NS Vendor Details'!$D:$D,'[1]NS Vendor Details'!$H:$H,'G&amp;A Vendor x GL Analysis'!K$20,'[1]NS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Analysis'!K$20,'[1]NS Vendor Details'!$O:$O,'G&amp;A Vendor x GL Analysis'!$F175,'[1]NS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Analysis'!K$20,'[1]NS Vendor Details'!$O:$O,'G&amp;A Vendor x GL Analysis'!$F175,'[1]NS Vendor Details'!$N:$N,"Direct Costs",'[1]NS Vendor Details'!$J:$J,0,'[1]NS Vendor Details'!$K:$K,'G&amp;A Vendor x GL Analysis'!$E$8,'[1]NS Vendor Details'!$L:$L,"Freight"),0))</f>
        <v>195.99</v>
      </c>
      <c r="L175" s="17">
        <f>IF(AND(L$15="Actual",ISBLANK($E$8)),SUMIFS('[1]NS Vendor Details'!$D:$D,'[1]NS Vendor Details'!$H:$H,'G&amp;A Vendor x GL Analysis'!L$20,'[1]NS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Analysis'!L$20,'[1]NS Vendor Details'!$O:$O,'G&amp;A Vendor x GL Analysis'!$F175,'[1]NS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Analysis'!L$20,'[1]NS Vendor Details'!$O:$O,'G&amp;A Vendor x GL Analysis'!$F175,'[1]NS Vendor Details'!$N:$N,"Direct Costs",'[1]NS Vendor Details'!$J:$J,0,'[1]NS Vendor Details'!$K:$K,'G&amp;A Vendor x GL Analysis'!$E$8,'[1]NS Vendor Details'!$L:$L,"Freight"),0))</f>
        <v>65.33</v>
      </c>
      <c r="M175" s="17">
        <f>IF(AND(M$15="Actual",ISBLANK($E$8)),SUMIFS('[1]NS Vendor Details'!$D:$D,'[1]NS Vendor Details'!$H:$H,'G&amp;A Vendor x GL Analysis'!M$20,'[1]NS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Analysis'!M$20,'[1]NS Vendor Details'!$O:$O,'G&amp;A Vendor x GL Analysis'!$F175,'[1]NS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Analysis'!M$20,'[1]NS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N175" s="17">
        <f>IF(AND(N$15="Actual",ISBLANK($E$8)),SUMIFS('[1]NS Vendor Details'!$D:$D,'[1]NS Vendor Details'!$H:$H,'G&amp;A Vendor x GL Analysis'!N$20,'[1]NS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Analysis'!N$20,'[1]NS Vendor Details'!$O:$O,'G&amp;A Vendor x GL Analysis'!$F175,'[1]NS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Analysis'!N$20,'[1]NS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O175" s="17">
        <f>IF(AND(O$15="Actual",ISBLANK($E$8)),SUMIFS('[1]NS Vendor Details'!$D:$D,'[1]NS Vendor Details'!$H:$H,'G&amp;A Vendor x GL Analysis'!O$20,'[1]NS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Analysis'!O$20,'[1]NS Vendor Details'!$O:$O,'G&amp;A Vendor x GL Analysis'!$F175,'[1]NS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Analysis'!O$20,'[1]NS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P175" s="17">
        <f>IF(AND(P$15="Actual",ISBLANK($E$8)),SUMIFS('[1]NS Vendor Details'!$D:$D,'[1]NS Vendor Details'!$H:$H,'G&amp;A Vendor x GL Analysis'!P$20,'[1]NS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Analysis'!P$20,'[1]NS Vendor Details'!$O:$O,'G&amp;A Vendor x GL Analysis'!$F175,'[1]NS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Analysis'!P$20,'[1]NS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Q175" s="17">
        <f>IF(AND(Q$15="Actual",ISBLANK($E$8)),SUMIFS('[1]NS Vendor Details'!$D:$D,'[1]NS Vendor Details'!$H:$H,'G&amp;A Vendor x GL Analysis'!Q$20,'[1]NS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Analysis'!Q$20,'[1]NS Vendor Details'!$O:$O,'G&amp;A Vendor x GL Analysis'!$F175,'[1]NS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Analysis'!Q$20,'[1]NS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R175" s="18">
        <f>IF(AND(R$15="Actual",ISBLANK($E$8)),SUMIFS('[1]NS Vendor Details'!$D:$D,'[1]NS Vendor Details'!$H:$H,'G&amp;A Vendor x GL Analysis'!R$20,'[1]NS Vendor Details'!$L:$L,'G&amp;A Vendor x GL Analysis'!$D175,'[1]NS Vendor Details'!$O:$O,'G&amp;A Vendor x GL Analysis'!$F175,'[1]NS Vendor Details'!$N:$N,'G&amp;A Vendor x GL Analysis'!$C175)+SUMIFS('[1]NS Vendor Details'!$D:$D,'[1]NS Vendor Details'!$H:$H,'G&amp;A Vendor x GL Analysis'!R$20,'[1]NS Vendor Details'!$O:$O,'G&amp;A Vendor x GL Analysis'!$F175,'[1]NS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Analysis'!$D175,'[1]NS Vendor Details'!$O:$O,'G&amp;A Vendor x GL Analysis'!$F175,'[1]NS Vendor Details'!$N:$N,'G&amp;A Vendor x GL Analysis'!$C175,'[1]NS Vendor Details'!$K:$K,'G&amp;A Vendor x GL Analysis'!$E$8)+SUMIFS('[1]NS Vendor Details'!$D:$D,'[1]NS Vendor Details'!$H:$H,'G&amp;A Vendor x GL Analysis'!R$20,'[1]NS Vendor Details'!$O:$O,'G&amp;A Vendor x GL Analysis'!$F175,'[1]NS Vendor Details'!$N:$N,"Direct Costs",'[1]NS Vendor Details'!$J:$J,0,'[1]NS Vendor Details'!$K:$K,'G&amp;A Vendor x GL Analysis'!$E$8,'[1]NS Vendor Details'!$L:$L,"Freight"),0))</f>
        <v>0</v>
      </c>
      <c r="S175" s="16">
        <f>IF(AND(S$15="Actual",ISBLANK($E$8)),SUMIFS('[1]NS Vendor Details'!$D:$D,'[1]NS Vendor Details'!$H:$H,'G&amp;A Vendor x GL Analysis'!S$20,'[1]NS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Analysis'!S$20,'[1]NS Vendor Details'!$O:$O,'G&amp;A Vendor x GL Analysis'!$F175,'[1]NS Vendor Details'!$N:$N,"Direct Costs",'[1]NS Vendor Details'!$J:$J,0,'[1]NS Vendor Details'!$L:$L,"Freight",'[1]NS Vendor Details'!$I:$I,'G&amp;A Vendor x GL Analysis'!$E175),IF(S$15="Actual",SUMIFS('[1]NS Vendor Details'!$D:$D,'[1]NS Vendor Details'!$H:$H,'G&amp;A Vendor x GL Analysis'!S$20,'[1]NS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Analysis'!S$20,'[1]NS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65.33</v>
      </c>
      <c r="T175" s="17">
        <f>IF(AND(T$15="Actual",ISBLANK($E$8)),SUMIFS('[1]NS Vendor Details'!$D:$D,'[1]NS Vendor Details'!$H:$H,'G&amp;A Vendor x GL Analysis'!T$20,'[1]NS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Analysis'!T$20,'[1]NS Vendor Details'!$O:$O,'G&amp;A Vendor x GL Analysis'!$F175,'[1]NS Vendor Details'!$N:$N,"Direct Costs",'[1]NS Vendor Details'!$J:$J,0,'[1]NS Vendor Details'!$L:$L,"Freight",'[1]NS Vendor Details'!$I:$I,'G&amp;A Vendor x GL Analysis'!$E175),IF(T$15="Actual",SUMIFS('[1]NS Vendor Details'!$D:$D,'[1]NS Vendor Details'!$H:$H,'G&amp;A Vendor x GL Analysis'!T$20,'[1]NS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Analysis'!T$20,'[1]NS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65.33</v>
      </c>
      <c r="U175" s="17">
        <f>IF(AND(U$15="Actual",ISBLANK($E$8)),SUMIFS('[1]NS Vendor Details'!$D:$D,'[1]NS Vendor Details'!$H:$H,'G&amp;A Vendor x GL Analysis'!U$20,'[1]NS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Analysis'!U$20,'[1]NS Vendor Details'!$O:$O,'G&amp;A Vendor x GL Analysis'!$F175,'[1]NS Vendor Details'!$N:$N,"Direct Costs",'[1]NS Vendor Details'!$J:$J,0,'[1]NS Vendor Details'!$L:$L,"Freight",'[1]NS Vendor Details'!$I:$I,'G&amp;A Vendor x GL Analysis'!$E175),IF(U$15="Actual",SUMIFS('[1]NS Vendor Details'!$D:$D,'[1]NS Vendor Details'!$H:$H,'G&amp;A Vendor x GL Analysis'!U$20,'[1]NS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Analysis'!U$20,'[1]NS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65.33</v>
      </c>
      <c r="V175" s="17">
        <f>IF(AND(V$15="Actual",ISBLANK($E$8)),SUMIFS('[1]NS Vendor Details'!$D:$D,'[1]NS Vendor Details'!$H:$H,'G&amp;A Vendor x GL Analysis'!V$20,'[1]NS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Analysis'!V$20,'[1]NS Vendor Details'!$O:$O,'G&amp;A Vendor x GL Analysis'!$F175,'[1]NS Vendor Details'!$N:$N,"Direct Costs",'[1]NS Vendor Details'!$J:$J,0,'[1]NS Vendor Details'!$L:$L,"Freight",'[1]NS Vendor Details'!$I:$I,'G&amp;A Vendor x GL Analysis'!$E175),IF(V$15="Actual",SUMIFS('[1]NS Vendor Details'!$D:$D,'[1]NS Vendor Details'!$H:$H,'G&amp;A Vendor x GL Analysis'!V$20,'[1]NS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Analysis'!V$20,'[1]NS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65.33</v>
      </c>
      <c r="W175" s="17">
        <f>IF(AND(W$15="Actual",ISBLANK($E$8)),SUMIFS('[1]NS Vendor Details'!$D:$D,'[1]NS Vendor Details'!$H:$H,'G&amp;A Vendor x GL Analysis'!W$20,'[1]NS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Analysis'!W$20,'[1]NS Vendor Details'!$O:$O,'G&amp;A Vendor x GL Analysis'!$F175,'[1]NS Vendor Details'!$N:$N,"Direct Costs",'[1]NS Vendor Details'!$J:$J,0,'[1]NS Vendor Details'!$L:$L,"Freight",'[1]NS Vendor Details'!$I:$I,'G&amp;A Vendor x GL Analysis'!$E175),IF(W$15="Actual",SUMIFS('[1]NS Vendor Details'!$D:$D,'[1]NS Vendor Details'!$H:$H,'G&amp;A Vendor x GL Analysis'!W$20,'[1]NS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Analysis'!W$20,'[1]NS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0</v>
      </c>
      <c r="X175" s="17">
        <f>IF(AND(X$15="Actual",ISBLANK($E$8)),SUMIFS('[1]NS Vendor Details'!$D:$D,'[1]NS Vendor Details'!$H:$H,'G&amp;A Vendor x GL Analysis'!X$20,'[1]NS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Analysis'!X$20,'[1]NS Vendor Details'!$O:$O,'G&amp;A Vendor x GL Analysis'!$F175,'[1]NS Vendor Details'!$N:$N,"Direct Costs",'[1]NS Vendor Details'!$J:$J,0,'[1]NS Vendor Details'!$L:$L,"Freight",'[1]NS Vendor Details'!$I:$I,'G&amp;A Vendor x GL Analysis'!$E175),IF(X$15="Actual",SUMIFS('[1]NS Vendor Details'!$D:$D,'[1]NS Vendor Details'!$H:$H,'G&amp;A Vendor x GL Analysis'!X$20,'[1]NS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Analysis'!X$20,'[1]NS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0</v>
      </c>
      <c r="Y175" s="17">
        <f>IF(AND(Y$15="Actual",ISBLANK($E$8)),SUMIFS('[1]NS Vendor Details'!$D:$D,'[1]NS Vendor Details'!$H:$H,'G&amp;A Vendor x GL Analysis'!Y$20,'[1]NS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Analysis'!Y$20,'[1]NS Vendor Details'!$O:$O,'G&amp;A Vendor x GL Analysis'!$F175,'[1]NS Vendor Details'!$N:$N,"Direct Costs",'[1]NS Vendor Details'!$J:$J,0,'[1]NS Vendor Details'!$L:$L,"Freight",'[1]NS Vendor Details'!$I:$I,'G&amp;A Vendor x GL Analysis'!$E175),IF(Y$15="Actual",SUMIFS('[1]NS Vendor Details'!$D:$D,'[1]NS Vendor Details'!$H:$H,'G&amp;A Vendor x GL Analysis'!Y$20,'[1]NS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Analysis'!Y$20,'[1]NS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0</v>
      </c>
      <c r="Z175" s="17">
        <f>IF(AND(Z$15="Actual",ISBLANK($E$8)),SUMIFS('[1]NS Vendor Details'!$D:$D,'[1]NS Vendor Details'!$H:$H,'G&amp;A Vendor x GL Analysis'!Z$20,'[1]NS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Analysis'!Z$20,'[1]NS Vendor Details'!$O:$O,'G&amp;A Vendor x GL Analysis'!$F175,'[1]NS Vendor Details'!$N:$N,"Direct Costs",'[1]NS Vendor Details'!$J:$J,0,'[1]NS Vendor Details'!$L:$L,"Freight",'[1]NS Vendor Details'!$I:$I,'G&amp;A Vendor x GL Analysis'!$E175),IF(Z$15="Actual",SUMIFS('[1]NS Vendor Details'!$D:$D,'[1]NS Vendor Details'!$H:$H,'G&amp;A Vendor x GL Analysis'!Z$20,'[1]NS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Analysis'!Z$20,'[1]NS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65.33</v>
      </c>
      <c r="AA175" s="17">
        <f>IF(AND(AA$15="Actual",ISBLANK($E$8)),SUMIFS('[1]NS Vendor Details'!$D:$D,'[1]NS Vendor Details'!$H:$H,'G&amp;A Vendor x GL Analysis'!AA$20,'[1]NS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Analysis'!AA$20,'[1]NS Vendor Details'!$O:$O,'G&amp;A Vendor x GL Analysis'!$F175,'[1]NS Vendor Details'!$N:$N,"Direct Costs",'[1]NS Vendor Details'!$J:$J,0,'[1]NS Vendor Details'!$L:$L,"Freight",'[1]NS Vendor Details'!$I:$I,'G&amp;A Vendor x GL Analysis'!$E175),IF(AA$15="Actual",SUMIFS('[1]NS Vendor Details'!$D:$D,'[1]NS Vendor Details'!$H:$H,'G&amp;A Vendor x GL Analysis'!AA$20,'[1]NS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Analysis'!AA$20,'[1]NS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65.33</v>
      </c>
      <c r="AB175" s="17">
        <f>IF(AND(AB$15="Actual",ISBLANK($E$8)),SUMIFS('[1]NS Vendor Details'!$D:$D,'[1]NS Vendor Details'!$H:$H,'G&amp;A Vendor x GL Analysis'!AB$20,'[1]NS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Analysis'!AB$20,'[1]NS Vendor Details'!$O:$O,'G&amp;A Vendor x GL Analysis'!$F175,'[1]NS Vendor Details'!$N:$N,"Direct Costs",'[1]NS Vendor Details'!$J:$J,0,'[1]NS Vendor Details'!$L:$L,"Freight",'[1]NS Vendor Details'!$I:$I,'G&amp;A Vendor x GL Analysis'!$E175),IF(AB$15="Actual",SUMIFS('[1]NS Vendor Details'!$D:$D,'[1]NS Vendor Details'!$H:$H,'G&amp;A Vendor x GL Analysis'!AB$20,'[1]NS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Analysis'!AB$20,'[1]NS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65.33</v>
      </c>
      <c r="AC175" s="18">
        <f>IF(AND(AC$15="Actual",ISBLANK($E$8)),SUMIFS('[1]NS Vendor Details'!$D:$D,'[1]NS Vendor Details'!$H:$H,'G&amp;A Vendor x GL Analysis'!AC$20,'[1]NS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Analysis'!AC$20,'[1]NS Vendor Details'!$O:$O,'G&amp;A Vendor x GL Analysis'!$F175,'[1]NS Vendor Details'!$N:$N,"Direct Costs",'[1]NS Vendor Details'!$J:$J,0,'[1]NS Vendor Details'!$L:$L,"Freight",'[1]NS Vendor Details'!$I:$I,'G&amp;A Vendor x GL Analysis'!$E175),IF(AC$15="Actual",SUMIFS('[1]NS Vendor Details'!$D:$D,'[1]NS Vendor Details'!$H:$H,'G&amp;A Vendor x GL Analysis'!AC$20,'[1]NS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Analysis'!AC$20,'[1]NS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65.33</v>
      </c>
      <c r="AD175" s="18">
        <f>IF(AND(AD$15="Actual",ISBLANK($E$8)),SUMIFS('[1]NS Vendor Details'!$D:$D,'[1]NS Vendor Details'!$H:$H,'G&amp;A Vendor x GL Analysis'!AD$20,'[1]NS Vendor Details'!$L:$L,'G&amp;A Vendor x GL Analysis'!$D175,'[1]NS Vendor Details'!$O:$O,'G&amp;A Vendor x GL Analysis'!$F175,'[1]NS Vendor Details'!$N:$N,'G&amp;A Vendor x GL Analysis'!$C175,'[1]NS Vendor Details'!$I:$I,'G&amp;A Vendor x GL Analysis'!$E175)+SUMIFS('[1]NS Vendor Details'!$D:$D,'[1]NS Vendor Details'!$H:$H,'G&amp;A Vendor x GL Analysis'!AD$20,'[1]NS Vendor Details'!$O:$O,'G&amp;A Vendor x GL Analysis'!$F175,'[1]NS Vendor Details'!$N:$N,"Direct Costs",'[1]NS Vendor Details'!$J:$J,0,'[1]NS Vendor Details'!$L:$L,"Freight",'[1]NS Vendor Details'!$I:$I,'G&amp;A Vendor x GL Analysis'!$E175),IF(AD$15="Actual",SUMIFS('[1]NS Vendor Details'!$D:$D,'[1]NS Vendor Details'!$H:$H,'G&amp;A Vendor x GL Analysis'!AD$20,'[1]NS Vendor Details'!$L:$L,'G&amp;A Vendor x GL Analysis'!$D175,'[1]NS Vendor Details'!$O:$O,'G&amp;A Vendor x GL Analysis'!$F175,'[1]NS Vendor Details'!$N:$N,'G&amp;A Vendor x GL Analysis'!$C175,'[1]NS Vendor Details'!$K:$K,'G&amp;A Vendor x GL Analysis'!$E$8,'[1]NS Vendor Details'!$I:$I,'G&amp;A Vendor x GL Analysis'!$E175)+SUMIFS('[1]NS Vendor Details'!$D:$D,'[1]NS Vendor Details'!$H:$H,'G&amp;A Vendor x GL Analysis'!AD$20,'[1]NS Vendor Details'!$O:$O,'G&amp;A Vendor x GL Analysis'!$F175,'[1]NS Vendor Details'!$N:$N,"Direct Costs",'[1]NS Vendor Details'!$J:$J,0,'[1]NS Vendor Details'!$K:$K,'G&amp;A Vendor x GL Analysis'!$E$8,'[1]NS Vendor Details'!$L:$L,"Freight",'[1]NS Vendor Details'!$I:$I,'G&amp;A Vendor x GL Analysis'!$E175),0))</f>
        <v>0</v>
      </c>
      <c r="AF175" s="19">
        <f t="shared" si="29"/>
        <v>522.64</v>
      </c>
    </row>
    <row r="176" spans="1:32" outlineLevel="1">
      <c r="A176" s="8" t="str">
        <f t="shared" si="26"/>
        <v>Other6400 - Utilities</v>
      </c>
      <c r="C176" s="8" t="s">
        <v>11</v>
      </c>
      <c r="D176" s="8" t="str">
        <f t="shared" si="27"/>
        <v>Other</v>
      </c>
      <c r="E176" s="2" t="s">
        <v>159</v>
      </c>
      <c r="F176" s="2" t="s">
        <v>161</v>
      </c>
      <c r="G176" s="16">
        <f>IF(AND(G$15="Actual",ISBLANK($E$8)),SUMIFS('[1]NS Vendor Details'!$D:$D,'[1]NS Vendor Details'!$H:$H,'G&amp;A Vendor x GL Analysis'!G$20,'[1]NS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Analysis'!G$20,'[1]NS Vendor Details'!$O:$O,'G&amp;A Vendor x GL Analysis'!$F176,'[1]NS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Analysis'!G$20,'[1]NS Vendor Details'!$O:$O,'G&amp;A Vendor x GL Analysis'!$F176,'[1]NS Vendor Details'!$N:$N,"Direct Costs",'[1]NS Vendor Details'!$J:$J,0,'[1]NS Vendor Details'!$K:$K,'G&amp;A Vendor x GL Analysis'!$E$8,'[1]NS Vendor Details'!$L:$L,"Freight"),0))</f>
        <v>284.09000000000003</v>
      </c>
      <c r="H176" s="17">
        <f>IF(AND(H$15="Actual",ISBLANK($E$8)),SUMIFS('[1]NS Vendor Details'!$D:$D,'[1]NS Vendor Details'!$H:$H,'G&amp;A Vendor x GL Analysis'!H$20,'[1]NS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Analysis'!H$20,'[1]NS Vendor Details'!$O:$O,'G&amp;A Vendor x GL Analysis'!$F176,'[1]NS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Analysis'!H$20,'[1]NS Vendor Details'!$O:$O,'G&amp;A Vendor x GL Analysis'!$F176,'[1]NS Vendor Details'!$N:$N,"Direct Costs",'[1]NS Vendor Details'!$J:$J,0,'[1]NS Vendor Details'!$K:$K,'G&amp;A Vendor x GL Analysis'!$E$8,'[1]NS Vendor Details'!$L:$L,"Freight"),0))</f>
        <v>135.99</v>
      </c>
      <c r="I176" s="17">
        <f>IF(AND(I$15="Actual",ISBLANK($E$8)),SUMIFS('[1]NS Vendor Details'!$D:$D,'[1]NS Vendor Details'!$H:$H,'G&amp;A Vendor x GL Analysis'!I$20,'[1]NS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Analysis'!I$20,'[1]NS Vendor Details'!$O:$O,'G&amp;A Vendor x GL Analysis'!$F176,'[1]NS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Analysis'!I$20,'[1]NS Vendor Details'!$O:$O,'G&amp;A Vendor x GL Analysis'!$F176,'[1]NS Vendor Details'!$N:$N,"Direct Costs",'[1]NS Vendor Details'!$J:$J,0,'[1]NS Vendor Details'!$K:$K,'G&amp;A Vendor x GL Analysis'!$E$8,'[1]NS Vendor Details'!$L:$L,"Freight"),0))</f>
        <v>135.99</v>
      </c>
      <c r="J176" s="17">
        <f>IF(AND(J$15="Actual",ISBLANK($E$8)),SUMIFS('[1]NS Vendor Details'!$D:$D,'[1]NS Vendor Details'!$H:$H,'G&amp;A Vendor x GL Analysis'!J$20,'[1]NS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Analysis'!J$20,'[1]NS Vendor Details'!$O:$O,'G&amp;A Vendor x GL Analysis'!$F176,'[1]NS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Analysis'!J$20,'[1]NS Vendor Details'!$O:$O,'G&amp;A Vendor x GL Analysis'!$F176,'[1]NS Vendor Details'!$N:$N,"Direct Costs",'[1]NS Vendor Details'!$J:$J,0,'[1]NS Vendor Details'!$K:$K,'G&amp;A Vendor x GL Analysis'!$E$8,'[1]NS Vendor Details'!$L:$L,"Freight"),0))</f>
        <v>411.81</v>
      </c>
      <c r="K176" s="17">
        <f>IF(AND(K$15="Actual",ISBLANK($E$8)),SUMIFS('[1]NS Vendor Details'!$D:$D,'[1]NS Vendor Details'!$H:$H,'G&amp;A Vendor x GL Analysis'!K$20,'[1]NS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Analysis'!K$20,'[1]NS Vendor Details'!$O:$O,'G&amp;A Vendor x GL Analysis'!$F176,'[1]NS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Analysis'!K$20,'[1]NS Vendor Details'!$O:$O,'G&amp;A Vendor x GL Analysis'!$F176,'[1]NS Vendor Details'!$N:$N,"Direct Costs",'[1]NS Vendor Details'!$J:$J,0,'[1]NS Vendor Details'!$K:$K,'G&amp;A Vendor x GL Analysis'!$E$8,'[1]NS Vendor Details'!$L:$L,"Freight"),0))</f>
        <v>264.47000000000003</v>
      </c>
      <c r="L176" s="17">
        <f>IF(AND(L$15="Actual",ISBLANK($E$8)),SUMIFS('[1]NS Vendor Details'!$D:$D,'[1]NS Vendor Details'!$H:$H,'G&amp;A Vendor x GL Analysis'!L$20,'[1]NS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Analysis'!L$20,'[1]NS Vendor Details'!$O:$O,'G&amp;A Vendor x GL Analysis'!$F176,'[1]NS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Analysis'!L$20,'[1]NS Vendor Details'!$O:$O,'G&amp;A Vendor x GL Analysis'!$F176,'[1]NS Vendor Details'!$N:$N,"Direct Costs",'[1]NS Vendor Details'!$J:$J,0,'[1]NS Vendor Details'!$K:$K,'G&amp;A Vendor x GL Analysis'!$E$8,'[1]NS Vendor Details'!$L:$L,"Freight"),0))</f>
        <v>264.47000000000003</v>
      </c>
      <c r="M176" s="17">
        <f>IF(AND(M$15="Actual",ISBLANK($E$8)),SUMIFS('[1]NS Vendor Details'!$D:$D,'[1]NS Vendor Details'!$H:$H,'G&amp;A Vendor x GL Analysis'!M$20,'[1]NS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Analysis'!M$20,'[1]NS Vendor Details'!$O:$O,'G&amp;A Vendor x GL Analysis'!$F176,'[1]NS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Analysis'!M$20,'[1]NS Vendor Details'!$O:$O,'G&amp;A Vendor x GL Analysis'!$F176,'[1]NS Vendor Details'!$N:$N,"Direct Costs",'[1]NS Vendor Details'!$J:$J,0,'[1]NS Vendor Details'!$K:$K,'G&amp;A Vendor x GL Analysis'!$E$8,'[1]NS Vendor Details'!$L:$L,"Freight"),0))</f>
        <v>264.69</v>
      </c>
      <c r="N176" s="17">
        <f>IF(AND(N$15="Actual",ISBLANK($E$8)),SUMIFS('[1]NS Vendor Details'!$D:$D,'[1]NS Vendor Details'!$H:$H,'G&amp;A Vendor x GL Analysis'!N$20,'[1]NS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Analysis'!N$20,'[1]NS Vendor Details'!$O:$O,'G&amp;A Vendor x GL Analysis'!$F176,'[1]NS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Analysis'!N$20,'[1]NS Vendor Details'!$O:$O,'G&amp;A Vendor x GL Analysis'!$F176,'[1]NS Vendor Details'!$N:$N,"Direct Costs",'[1]NS Vendor Details'!$J:$J,0,'[1]NS Vendor Details'!$K:$K,'G&amp;A Vendor x GL Analysis'!$E$8,'[1]NS Vendor Details'!$L:$L,"Freight"),0))</f>
        <v>264.69</v>
      </c>
      <c r="O176" s="17">
        <f>IF(AND(O$15="Actual",ISBLANK($E$8)),SUMIFS('[1]NS Vendor Details'!$D:$D,'[1]NS Vendor Details'!$H:$H,'G&amp;A Vendor x GL Analysis'!O$20,'[1]NS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Analysis'!O$20,'[1]NS Vendor Details'!$O:$O,'G&amp;A Vendor x GL Analysis'!$F176,'[1]NS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Analysis'!O$20,'[1]NS Vendor Details'!$O:$O,'G&amp;A Vendor x GL Analysis'!$F176,'[1]NS Vendor Details'!$N:$N,"Direct Costs",'[1]NS Vendor Details'!$J:$J,0,'[1]NS Vendor Details'!$K:$K,'G&amp;A Vendor x GL Analysis'!$E$8,'[1]NS Vendor Details'!$L:$L,"Freight"),0))</f>
        <v>264.69</v>
      </c>
      <c r="P176" s="17">
        <f>IF(AND(P$15="Actual",ISBLANK($E$8)),SUMIFS('[1]NS Vendor Details'!$D:$D,'[1]NS Vendor Details'!$H:$H,'G&amp;A Vendor x GL Analysis'!P$20,'[1]NS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Analysis'!P$20,'[1]NS Vendor Details'!$O:$O,'G&amp;A Vendor x GL Analysis'!$F176,'[1]NS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Analysis'!P$20,'[1]NS Vendor Details'!$O:$O,'G&amp;A Vendor x GL Analysis'!$F176,'[1]NS Vendor Details'!$N:$N,"Direct Costs",'[1]NS Vendor Details'!$J:$J,0,'[1]NS Vendor Details'!$K:$K,'G&amp;A Vendor x GL Analysis'!$E$8,'[1]NS Vendor Details'!$L:$L,"Freight"),0))</f>
        <v>264.86</v>
      </c>
      <c r="Q176" s="17">
        <f>IF(AND(Q$15="Actual",ISBLANK($E$8)),SUMIFS('[1]NS Vendor Details'!$D:$D,'[1]NS Vendor Details'!$H:$H,'G&amp;A Vendor x GL Analysis'!Q$20,'[1]NS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Analysis'!Q$20,'[1]NS Vendor Details'!$O:$O,'G&amp;A Vendor x GL Analysis'!$F176,'[1]NS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Analysis'!Q$20,'[1]NS Vendor Details'!$O:$O,'G&amp;A Vendor x GL Analysis'!$F176,'[1]NS Vendor Details'!$N:$N,"Direct Costs",'[1]NS Vendor Details'!$J:$J,0,'[1]NS Vendor Details'!$K:$K,'G&amp;A Vendor x GL Analysis'!$E$8,'[1]NS Vendor Details'!$L:$L,"Freight"),0))</f>
        <v>0</v>
      </c>
      <c r="R176" s="18">
        <f>IF(AND(R$15="Actual",ISBLANK($E$8)),SUMIFS('[1]NS Vendor Details'!$D:$D,'[1]NS Vendor Details'!$H:$H,'G&amp;A Vendor x GL Analysis'!R$20,'[1]NS Vendor Details'!$L:$L,'G&amp;A Vendor x GL Analysis'!$D176,'[1]NS Vendor Details'!$O:$O,'G&amp;A Vendor x GL Analysis'!$F176,'[1]NS Vendor Details'!$N:$N,'G&amp;A Vendor x GL Analysis'!$C176)+SUMIFS('[1]NS Vendor Details'!$D:$D,'[1]NS Vendor Details'!$H:$H,'G&amp;A Vendor x GL Analysis'!R$20,'[1]NS Vendor Details'!$O:$O,'G&amp;A Vendor x GL Analysis'!$F176,'[1]NS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Analysis'!$D176,'[1]NS Vendor Details'!$O:$O,'G&amp;A Vendor x GL Analysis'!$F176,'[1]NS Vendor Details'!$N:$N,'G&amp;A Vendor x GL Analysis'!$C176,'[1]NS Vendor Details'!$K:$K,'G&amp;A Vendor x GL Analysis'!$E$8)+SUMIFS('[1]NS Vendor Details'!$D:$D,'[1]NS Vendor Details'!$H:$H,'G&amp;A Vendor x GL Analysis'!R$20,'[1]NS Vendor Details'!$O:$O,'G&amp;A Vendor x GL Analysis'!$F176,'[1]NS Vendor Details'!$N:$N,"Direct Costs",'[1]NS Vendor Details'!$J:$J,0,'[1]NS Vendor Details'!$K:$K,'G&amp;A Vendor x GL Analysis'!$E$8,'[1]NS Vendor Details'!$L:$L,"Freight"),0))</f>
        <v>264.86</v>
      </c>
      <c r="S176" s="16">
        <f>IF(AND(S$15="Actual",ISBLANK($E$8)),SUMIFS('[1]NS Vendor Details'!$D:$D,'[1]NS Vendor Details'!$H:$H,'G&amp;A Vendor x GL Analysis'!S$20,'[1]NS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Analysis'!S$20,'[1]NS Vendor Details'!$O:$O,'G&amp;A Vendor x GL Analysis'!$F176,'[1]NS Vendor Details'!$N:$N,"Direct Costs",'[1]NS Vendor Details'!$J:$J,0,'[1]NS Vendor Details'!$L:$L,"Freight",'[1]NS Vendor Details'!$I:$I,'G&amp;A Vendor x GL Analysis'!$E176),IF(S$15="Actual",SUMIFS('[1]NS Vendor Details'!$D:$D,'[1]NS Vendor Details'!$H:$H,'G&amp;A Vendor x GL Analysis'!S$20,'[1]NS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Analysis'!S$20,'[1]NS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269.87</v>
      </c>
      <c r="T176" s="17">
        <f>IF(AND(T$15="Actual",ISBLANK($E$8)),SUMIFS('[1]NS Vendor Details'!$D:$D,'[1]NS Vendor Details'!$H:$H,'G&amp;A Vendor x GL Analysis'!T$20,'[1]NS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Analysis'!T$20,'[1]NS Vendor Details'!$O:$O,'G&amp;A Vendor x GL Analysis'!$F176,'[1]NS Vendor Details'!$N:$N,"Direct Costs",'[1]NS Vendor Details'!$J:$J,0,'[1]NS Vendor Details'!$L:$L,"Freight",'[1]NS Vendor Details'!$I:$I,'G&amp;A Vendor x GL Analysis'!$E176),IF(T$15="Actual",SUMIFS('[1]NS Vendor Details'!$D:$D,'[1]NS Vendor Details'!$H:$H,'G&amp;A Vendor x GL Analysis'!T$20,'[1]NS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Analysis'!T$20,'[1]NS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269.93</v>
      </c>
      <c r="U176" s="17">
        <f>IF(AND(U$15="Actual",ISBLANK($E$8)),SUMIFS('[1]NS Vendor Details'!$D:$D,'[1]NS Vendor Details'!$H:$H,'G&amp;A Vendor x GL Analysis'!U$20,'[1]NS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Analysis'!U$20,'[1]NS Vendor Details'!$O:$O,'G&amp;A Vendor x GL Analysis'!$F176,'[1]NS Vendor Details'!$N:$N,"Direct Costs",'[1]NS Vendor Details'!$J:$J,0,'[1]NS Vendor Details'!$L:$L,"Freight",'[1]NS Vendor Details'!$I:$I,'G&amp;A Vendor x GL Analysis'!$E176),IF(U$15="Actual",SUMIFS('[1]NS Vendor Details'!$D:$D,'[1]NS Vendor Details'!$H:$H,'G&amp;A Vendor x GL Analysis'!U$20,'[1]NS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Analysis'!U$20,'[1]NS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269.93</v>
      </c>
      <c r="V176" s="17">
        <f>IF(AND(V$15="Actual",ISBLANK($E$8)),SUMIFS('[1]NS Vendor Details'!$D:$D,'[1]NS Vendor Details'!$H:$H,'G&amp;A Vendor x GL Analysis'!V$20,'[1]NS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Analysis'!V$20,'[1]NS Vendor Details'!$O:$O,'G&amp;A Vendor x GL Analysis'!$F176,'[1]NS Vendor Details'!$N:$N,"Direct Costs",'[1]NS Vendor Details'!$J:$J,0,'[1]NS Vendor Details'!$L:$L,"Freight",'[1]NS Vendor Details'!$I:$I,'G&amp;A Vendor x GL Analysis'!$E176),IF(V$15="Actual",SUMIFS('[1]NS Vendor Details'!$D:$D,'[1]NS Vendor Details'!$H:$H,'G&amp;A Vendor x GL Analysis'!V$20,'[1]NS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Analysis'!V$20,'[1]NS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269.93</v>
      </c>
      <c r="W176" s="17">
        <f>IF(AND(W$15="Actual",ISBLANK($E$8)),SUMIFS('[1]NS Vendor Details'!$D:$D,'[1]NS Vendor Details'!$H:$H,'G&amp;A Vendor x GL Analysis'!W$20,'[1]NS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Analysis'!W$20,'[1]NS Vendor Details'!$O:$O,'G&amp;A Vendor x GL Analysis'!$F176,'[1]NS Vendor Details'!$N:$N,"Direct Costs",'[1]NS Vendor Details'!$J:$J,0,'[1]NS Vendor Details'!$L:$L,"Freight",'[1]NS Vendor Details'!$I:$I,'G&amp;A Vendor x GL Analysis'!$E176),IF(W$15="Actual",SUMIFS('[1]NS Vendor Details'!$D:$D,'[1]NS Vendor Details'!$H:$H,'G&amp;A Vendor x GL Analysis'!W$20,'[1]NS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Analysis'!W$20,'[1]NS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269.97000000000003</v>
      </c>
      <c r="X176" s="17">
        <f>IF(AND(X$15="Actual",ISBLANK($E$8)),SUMIFS('[1]NS Vendor Details'!$D:$D,'[1]NS Vendor Details'!$H:$H,'G&amp;A Vendor x GL Analysis'!X$20,'[1]NS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Analysis'!X$20,'[1]NS Vendor Details'!$O:$O,'G&amp;A Vendor x GL Analysis'!$F176,'[1]NS Vendor Details'!$N:$N,"Direct Costs",'[1]NS Vendor Details'!$J:$J,0,'[1]NS Vendor Details'!$L:$L,"Freight",'[1]NS Vendor Details'!$I:$I,'G&amp;A Vendor x GL Analysis'!$E176),IF(X$15="Actual",SUMIFS('[1]NS Vendor Details'!$D:$D,'[1]NS Vendor Details'!$H:$H,'G&amp;A Vendor x GL Analysis'!X$20,'[1]NS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Analysis'!X$20,'[1]NS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269.97000000000003</v>
      </c>
      <c r="Y176" s="17">
        <f>IF(AND(Y$15="Actual",ISBLANK($E$8)),SUMIFS('[1]NS Vendor Details'!$D:$D,'[1]NS Vendor Details'!$H:$H,'G&amp;A Vendor x GL Analysis'!Y$20,'[1]NS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Analysis'!Y$20,'[1]NS Vendor Details'!$O:$O,'G&amp;A Vendor x GL Analysis'!$F176,'[1]NS Vendor Details'!$N:$N,"Direct Costs",'[1]NS Vendor Details'!$J:$J,0,'[1]NS Vendor Details'!$L:$L,"Freight",'[1]NS Vendor Details'!$I:$I,'G&amp;A Vendor x GL Analysis'!$E176),IF(Y$15="Actual",SUMIFS('[1]NS Vendor Details'!$D:$D,'[1]NS Vendor Details'!$H:$H,'G&amp;A Vendor x GL Analysis'!Y$20,'[1]NS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Analysis'!Y$20,'[1]NS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269.97000000000003</v>
      </c>
      <c r="Z176" s="17">
        <f>IF(AND(Z$15="Actual",ISBLANK($E$8)),SUMIFS('[1]NS Vendor Details'!$D:$D,'[1]NS Vendor Details'!$H:$H,'G&amp;A Vendor x GL Analysis'!Z$20,'[1]NS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Analysis'!Z$20,'[1]NS Vendor Details'!$O:$O,'G&amp;A Vendor x GL Analysis'!$F176,'[1]NS Vendor Details'!$N:$N,"Direct Costs",'[1]NS Vendor Details'!$J:$J,0,'[1]NS Vendor Details'!$L:$L,"Freight",'[1]NS Vendor Details'!$I:$I,'G&amp;A Vendor x GL Analysis'!$E176),IF(Z$15="Actual",SUMIFS('[1]NS Vendor Details'!$D:$D,'[1]NS Vendor Details'!$H:$H,'G&amp;A Vendor x GL Analysis'!Z$20,'[1]NS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Analysis'!Z$20,'[1]NS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539.99</v>
      </c>
      <c r="AA176" s="17">
        <f>IF(AND(AA$15="Actual",ISBLANK($E$8)),SUMIFS('[1]NS Vendor Details'!$D:$D,'[1]NS Vendor Details'!$H:$H,'G&amp;A Vendor x GL Analysis'!AA$20,'[1]NS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Analysis'!AA$20,'[1]NS Vendor Details'!$O:$O,'G&amp;A Vendor x GL Analysis'!$F176,'[1]NS Vendor Details'!$N:$N,"Direct Costs",'[1]NS Vendor Details'!$J:$J,0,'[1]NS Vendor Details'!$L:$L,"Freight",'[1]NS Vendor Details'!$I:$I,'G&amp;A Vendor x GL Analysis'!$E176),IF(AA$15="Actual",SUMIFS('[1]NS Vendor Details'!$D:$D,'[1]NS Vendor Details'!$H:$H,'G&amp;A Vendor x GL Analysis'!AA$20,'[1]NS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Analysis'!AA$20,'[1]NS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270.07</v>
      </c>
      <c r="AB176" s="17">
        <f>IF(AND(AB$15="Actual",ISBLANK($E$8)),SUMIFS('[1]NS Vendor Details'!$D:$D,'[1]NS Vendor Details'!$H:$H,'G&amp;A Vendor x GL Analysis'!AB$20,'[1]NS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Analysis'!AB$20,'[1]NS Vendor Details'!$O:$O,'G&amp;A Vendor x GL Analysis'!$F176,'[1]NS Vendor Details'!$N:$N,"Direct Costs",'[1]NS Vendor Details'!$J:$J,0,'[1]NS Vendor Details'!$L:$L,"Freight",'[1]NS Vendor Details'!$I:$I,'G&amp;A Vendor x GL Analysis'!$E176),IF(AB$15="Actual",SUMIFS('[1]NS Vendor Details'!$D:$D,'[1]NS Vendor Details'!$H:$H,'G&amp;A Vendor x GL Analysis'!AB$20,'[1]NS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Analysis'!AB$20,'[1]NS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270.36</v>
      </c>
      <c r="AC176" s="18">
        <f>IF(AND(AC$15="Actual",ISBLANK($E$8)),SUMIFS('[1]NS Vendor Details'!$D:$D,'[1]NS Vendor Details'!$H:$H,'G&amp;A Vendor x GL Analysis'!AC$20,'[1]NS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Analysis'!AC$20,'[1]NS Vendor Details'!$O:$O,'G&amp;A Vendor x GL Analysis'!$F176,'[1]NS Vendor Details'!$N:$N,"Direct Costs",'[1]NS Vendor Details'!$J:$J,0,'[1]NS Vendor Details'!$L:$L,"Freight",'[1]NS Vendor Details'!$I:$I,'G&amp;A Vendor x GL Analysis'!$E176),IF(AC$15="Actual",SUMIFS('[1]NS Vendor Details'!$D:$D,'[1]NS Vendor Details'!$H:$H,'G&amp;A Vendor x GL Analysis'!AC$20,'[1]NS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Analysis'!AC$20,'[1]NS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541.74</v>
      </c>
      <c r="AD176" s="18">
        <f>IF(AND(AD$15="Actual",ISBLANK($E$8)),SUMIFS('[1]NS Vendor Details'!$D:$D,'[1]NS Vendor Details'!$H:$H,'G&amp;A Vendor x GL Analysis'!AD$20,'[1]NS Vendor Details'!$L:$L,'G&amp;A Vendor x GL Analysis'!$D176,'[1]NS Vendor Details'!$O:$O,'G&amp;A Vendor x GL Analysis'!$F176,'[1]NS Vendor Details'!$N:$N,'G&amp;A Vendor x GL Analysis'!$C176,'[1]NS Vendor Details'!$I:$I,'G&amp;A Vendor x GL Analysis'!$E176)+SUMIFS('[1]NS Vendor Details'!$D:$D,'[1]NS Vendor Details'!$H:$H,'G&amp;A Vendor x GL Analysis'!AD$20,'[1]NS Vendor Details'!$O:$O,'G&amp;A Vendor x GL Analysis'!$F176,'[1]NS Vendor Details'!$N:$N,"Direct Costs",'[1]NS Vendor Details'!$J:$J,0,'[1]NS Vendor Details'!$L:$L,"Freight",'[1]NS Vendor Details'!$I:$I,'G&amp;A Vendor x GL Analysis'!$E176),IF(AD$15="Actual",SUMIFS('[1]NS Vendor Details'!$D:$D,'[1]NS Vendor Details'!$H:$H,'G&amp;A Vendor x GL Analysis'!AD$20,'[1]NS Vendor Details'!$L:$L,'G&amp;A Vendor x GL Analysis'!$D176,'[1]NS Vendor Details'!$O:$O,'G&amp;A Vendor x GL Analysis'!$F176,'[1]NS Vendor Details'!$N:$N,'G&amp;A Vendor x GL Analysis'!$C176,'[1]NS Vendor Details'!$K:$K,'G&amp;A Vendor x GL Analysis'!$E$8,'[1]NS Vendor Details'!$I:$I,'G&amp;A Vendor x GL Analysis'!$E176)+SUMIFS('[1]NS Vendor Details'!$D:$D,'[1]NS Vendor Details'!$H:$H,'G&amp;A Vendor x GL Analysis'!AD$20,'[1]NS Vendor Details'!$O:$O,'G&amp;A Vendor x GL Analysis'!$F176,'[1]NS Vendor Details'!$N:$N,"Direct Costs",'[1]NS Vendor Details'!$J:$J,0,'[1]NS Vendor Details'!$K:$K,'G&amp;A Vendor x GL Analysis'!$E$8,'[1]NS Vendor Details'!$L:$L,"Freight",'[1]NS Vendor Details'!$I:$I,'G&amp;A Vendor x GL Analysis'!$E176),0))</f>
        <v>0</v>
      </c>
      <c r="AF176" s="19">
        <f t="shared" si="29"/>
        <v>3511.7300000000005</v>
      </c>
    </row>
    <row r="177" spans="1:32" outlineLevel="1">
      <c r="A177" s="8" t="str">
        <f t="shared" si="26"/>
        <v>Other6375 - Freight Expenses</v>
      </c>
      <c r="C177" s="8" t="s">
        <v>11</v>
      </c>
      <c r="D177" s="8" t="str">
        <f>D165</f>
        <v>Other</v>
      </c>
      <c r="E177" s="2" t="s">
        <v>162</v>
      </c>
      <c r="F177" s="2" t="s">
        <v>16</v>
      </c>
      <c r="G177" s="16">
        <f>IF(AND(G$15="Actual",ISBLANK($E$8)),SUMIFS('[1]NS Vendor Details'!$D:$D,'[1]NS Vendor Details'!$H:$H,'G&amp;A Vendor x GL Analysis'!G$20,'[1]NS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Analysis'!G$20,'[1]NS Vendor Details'!$O:$O,'G&amp;A Vendor x GL Analysis'!$F177,'[1]NS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Analysis'!G$20,'[1]NS Vendor Details'!$O:$O,'G&amp;A Vendor x GL Analysis'!$F177,'[1]NS Vendor Details'!$N:$N,"Direct Costs",'[1]NS Vendor Details'!$J:$J,0,'[1]NS Vendor Details'!$K:$K,'G&amp;A Vendor x GL Analysis'!$E$8,'[1]NS Vendor Details'!$L:$L,"Freight"),0))</f>
        <v>1197.42</v>
      </c>
      <c r="H177" s="17">
        <f>IF(AND(H$15="Actual",ISBLANK($E$8)),SUMIFS('[1]NS Vendor Details'!$D:$D,'[1]NS Vendor Details'!$H:$H,'G&amp;A Vendor x GL Analysis'!H$20,'[1]NS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Analysis'!H$20,'[1]NS Vendor Details'!$O:$O,'G&amp;A Vendor x GL Analysis'!$F177,'[1]NS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Analysis'!H$20,'[1]NS Vendor Details'!$O:$O,'G&amp;A Vendor x GL Analysis'!$F177,'[1]NS Vendor Details'!$N:$N,"Direct Costs",'[1]NS Vendor Details'!$J:$J,0,'[1]NS Vendor Details'!$K:$K,'G&amp;A Vendor x GL Analysis'!$E$8,'[1]NS Vendor Details'!$L:$L,"Freight"),0))</f>
        <v>5654.23</v>
      </c>
      <c r="I177" s="17">
        <f>IF(AND(I$15="Actual",ISBLANK($E$8)),SUMIFS('[1]NS Vendor Details'!$D:$D,'[1]NS Vendor Details'!$H:$H,'G&amp;A Vendor x GL Analysis'!I$20,'[1]NS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Analysis'!I$20,'[1]NS Vendor Details'!$O:$O,'G&amp;A Vendor x GL Analysis'!$F177,'[1]NS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Analysis'!I$20,'[1]NS Vendor Details'!$O:$O,'G&amp;A Vendor x GL Analysis'!$F177,'[1]NS Vendor Details'!$N:$N,"Direct Costs",'[1]NS Vendor Details'!$J:$J,0,'[1]NS Vendor Details'!$K:$K,'G&amp;A Vendor x GL Analysis'!$E$8,'[1]NS Vendor Details'!$L:$L,"Freight"),0))</f>
        <v>-101939.95</v>
      </c>
      <c r="J177" s="17">
        <f>IF(AND(J$15="Actual",ISBLANK($E$8)),SUMIFS('[1]NS Vendor Details'!$D:$D,'[1]NS Vendor Details'!$H:$H,'G&amp;A Vendor x GL Analysis'!J$20,'[1]NS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Analysis'!J$20,'[1]NS Vendor Details'!$O:$O,'G&amp;A Vendor x GL Analysis'!$F177,'[1]NS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Analysis'!J$20,'[1]NS Vendor Details'!$O:$O,'G&amp;A Vendor x GL Analysis'!$F177,'[1]NS Vendor Details'!$N:$N,"Direct Costs",'[1]NS Vendor Details'!$J:$J,0,'[1]NS Vendor Details'!$K:$K,'G&amp;A Vendor x GL Analysis'!$E$8,'[1]NS Vendor Details'!$L:$L,"Freight"),0))</f>
        <v>6287.9999999999991</v>
      </c>
      <c r="K177" s="17">
        <f>IF(AND(K$15="Actual",ISBLANK($E$8)),SUMIFS('[1]NS Vendor Details'!$D:$D,'[1]NS Vendor Details'!$H:$H,'G&amp;A Vendor x GL Analysis'!K$20,'[1]NS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Analysis'!K$20,'[1]NS Vendor Details'!$O:$O,'G&amp;A Vendor x GL Analysis'!$F177,'[1]NS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Analysis'!K$20,'[1]NS Vendor Details'!$O:$O,'G&amp;A Vendor x GL Analysis'!$F177,'[1]NS Vendor Details'!$N:$N,"Direct Costs",'[1]NS Vendor Details'!$J:$J,0,'[1]NS Vendor Details'!$K:$K,'G&amp;A Vendor x GL Analysis'!$E$8,'[1]NS Vendor Details'!$L:$L,"Freight"),0))</f>
        <v>662.09999999999991</v>
      </c>
      <c r="L177" s="17">
        <f>IF(AND(L$15="Actual",ISBLANK($E$8)),SUMIFS('[1]NS Vendor Details'!$D:$D,'[1]NS Vendor Details'!$H:$H,'G&amp;A Vendor x GL Analysis'!L$20,'[1]NS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Analysis'!L$20,'[1]NS Vendor Details'!$O:$O,'G&amp;A Vendor x GL Analysis'!$F177,'[1]NS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Analysis'!L$20,'[1]NS Vendor Details'!$O:$O,'G&amp;A Vendor x GL Analysis'!$F177,'[1]NS Vendor Details'!$N:$N,"Direct Costs",'[1]NS Vendor Details'!$J:$J,0,'[1]NS Vendor Details'!$K:$K,'G&amp;A Vendor x GL Analysis'!$E$8,'[1]NS Vendor Details'!$L:$L,"Freight"),0))</f>
        <v>23111.42</v>
      </c>
      <c r="M177" s="17">
        <f>IF(AND(M$15="Actual",ISBLANK($E$8)),SUMIFS('[1]NS Vendor Details'!$D:$D,'[1]NS Vendor Details'!$H:$H,'G&amp;A Vendor x GL Analysis'!M$20,'[1]NS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Analysis'!M$20,'[1]NS Vendor Details'!$O:$O,'G&amp;A Vendor x GL Analysis'!$F177,'[1]NS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Analysis'!M$20,'[1]NS Vendor Details'!$O:$O,'G&amp;A Vendor x GL Analysis'!$F177,'[1]NS Vendor Details'!$N:$N,"Direct Costs",'[1]NS Vendor Details'!$J:$J,0,'[1]NS Vendor Details'!$K:$K,'G&amp;A Vendor x GL Analysis'!$E$8,'[1]NS Vendor Details'!$L:$L,"Freight"),0))</f>
        <v>5106.67</v>
      </c>
      <c r="N177" s="17">
        <f>IF(AND(N$15="Actual",ISBLANK($E$8)),SUMIFS('[1]NS Vendor Details'!$D:$D,'[1]NS Vendor Details'!$H:$H,'G&amp;A Vendor x GL Analysis'!N$20,'[1]NS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Analysis'!N$20,'[1]NS Vendor Details'!$O:$O,'G&amp;A Vendor x GL Analysis'!$F177,'[1]NS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Analysis'!N$20,'[1]NS Vendor Details'!$O:$O,'G&amp;A Vendor x GL Analysis'!$F177,'[1]NS Vendor Details'!$N:$N,"Direct Costs",'[1]NS Vendor Details'!$J:$J,0,'[1]NS Vendor Details'!$K:$K,'G&amp;A Vendor x GL Analysis'!$E$8,'[1]NS Vendor Details'!$L:$L,"Freight"),0))</f>
        <v>2126.6899999999996</v>
      </c>
      <c r="O177" s="17">
        <f>IF(AND(O$15="Actual",ISBLANK($E$8)),SUMIFS('[1]NS Vendor Details'!$D:$D,'[1]NS Vendor Details'!$H:$H,'G&amp;A Vendor x GL Analysis'!O$20,'[1]NS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Analysis'!O$20,'[1]NS Vendor Details'!$O:$O,'G&amp;A Vendor x GL Analysis'!$F177,'[1]NS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Analysis'!O$20,'[1]NS Vendor Details'!$O:$O,'G&amp;A Vendor x GL Analysis'!$F177,'[1]NS Vendor Details'!$N:$N,"Direct Costs",'[1]NS Vendor Details'!$J:$J,0,'[1]NS Vendor Details'!$K:$K,'G&amp;A Vendor x GL Analysis'!$E$8,'[1]NS Vendor Details'!$L:$L,"Freight"),0))</f>
        <v>-9885.550000000012</v>
      </c>
      <c r="P177" s="17">
        <f>IF(AND(P$15="Actual",ISBLANK($E$8)),SUMIFS('[1]NS Vendor Details'!$D:$D,'[1]NS Vendor Details'!$H:$H,'G&amp;A Vendor x GL Analysis'!P$20,'[1]NS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Analysis'!P$20,'[1]NS Vendor Details'!$O:$O,'G&amp;A Vendor x GL Analysis'!$F177,'[1]NS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Analysis'!P$20,'[1]NS Vendor Details'!$O:$O,'G&amp;A Vendor x GL Analysis'!$F177,'[1]NS Vendor Details'!$N:$N,"Direct Costs",'[1]NS Vendor Details'!$J:$J,0,'[1]NS Vendor Details'!$K:$K,'G&amp;A Vendor x GL Analysis'!$E$8,'[1]NS Vendor Details'!$L:$L,"Freight"),0))</f>
        <v>2964.97</v>
      </c>
      <c r="Q177" s="17">
        <f>IF(AND(Q$15="Actual",ISBLANK($E$8)),SUMIFS('[1]NS Vendor Details'!$D:$D,'[1]NS Vendor Details'!$H:$H,'G&amp;A Vendor x GL Analysis'!Q$20,'[1]NS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Analysis'!Q$20,'[1]NS Vendor Details'!$O:$O,'G&amp;A Vendor x GL Analysis'!$F177,'[1]NS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Analysis'!Q$20,'[1]NS Vendor Details'!$O:$O,'G&amp;A Vendor x GL Analysis'!$F177,'[1]NS Vendor Details'!$N:$N,"Direct Costs",'[1]NS Vendor Details'!$J:$J,0,'[1]NS Vendor Details'!$K:$K,'G&amp;A Vendor x GL Analysis'!$E$8,'[1]NS Vendor Details'!$L:$L,"Freight"),0))</f>
        <v>5717.5</v>
      </c>
      <c r="R177" s="18">
        <f>IF(AND(R$15="Actual",ISBLANK($E$8)),SUMIFS('[1]NS Vendor Details'!$D:$D,'[1]NS Vendor Details'!$H:$H,'G&amp;A Vendor x GL Analysis'!R$20,'[1]NS Vendor Details'!$L:$L,'G&amp;A Vendor x GL Analysis'!$D177,'[1]NS Vendor Details'!$O:$O,'G&amp;A Vendor x GL Analysis'!$F177,'[1]NS Vendor Details'!$N:$N,'G&amp;A Vendor x GL Analysis'!$C177)+SUMIFS('[1]NS Vendor Details'!$D:$D,'[1]NS Vendor Details'!$H:$H,'G&amp;A Vendor x GL Analysis'!R$20,'[1]NS Vendor Details'!$O:$O,'G&amp;A Vendor x GL Analysis'!$F177,'[1]NS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Analysis'!$D177,'[1]NS Vendor Details'!$O:$O,'G&amp;A Vendor x GL Analysis'!$F177,'[1]NS Vendor Details'!$N:$N,'G&amp;A Vendor x GL Analysis'!$C177,'[1]NS Vendor Details'!$K:$K,'G&amp;A Vendor x GL Analysis'!$E$8)+SUMIFS('[1]NS Vendor Details'!$D:$D,'[1]NS Vendor Details'!$H:$H,'G&amp;A Vendor x GL Analysis'!R$20,'[1]NS Vendor Details'!$O:$O,'G&amp;A Vendor x GL Analysis'!$F177,'[1]NS Vendor Details'!$N:$N,"Direct Costs",'[1]NS Vendor Details'!$J:$J,0,'[1]NS Vendor Details'!$K:$K,'G&amp;A Vendor x GL Analysis'!$E$8,'[1]NS Vendor Details'!$L:$L,"Freight"),0))</f>
        <v>423379.83</v>
      </c>
      <c r="S177" s="16">
        <f>IF(AND(S$15="Actual",ISBLANK($E$8)),SUMIFS('[1]NS Vendor Details'!$D:$D,'[1]NS Vendor Details'!$H:$H,'G&amp;A Vendor x GL Analysis'!S$20,'[1]NS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Analysis'!S$20,'[1]NS Vendor Details'!$O:$O,'G&amp;A Vendor x GL Analysis'!$F177,'[1]NS Vendor Details'!$N:$N,"Direct Costs",'[1]NS Vendor Details'!$J:$J,0,'[1]NS Vendor Details'!$L:$L,"Freight",'[1]NS Vendor Details'!$I:$I,'G&amp;A Vendor x GL Analysis'!$E177),IF(S$15="Actual",SUMIFS('[1]NS Vendor Details'!$D:$D,'[1]NS Vendor Details'!$H:$H,'G&amp;A Vendor x GL Analysis'!S$20,'[1]NS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Analysis'!S$20,'[1]NS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941.28</v>
      </c>
      <c r="T177" s="17">
        <f>IF(AND(T$15="Actual",ISBLANK($E$8)),SUMIFS('[1]NS Vendor Details'!$D:$D,'[1]NS Vendor Details'!$H:$H,'G&amp;A Vendor x GL Analysis'!T$20,'[1]NS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Analysis'!T$20,'[1]NS Vendor Details'!$O:$O,'G&amp;A Vendor x GL Analysis'!$F177,'[1]NS Vendor Details'!$N:$N,"Direct Costs",'[1]NS Vendor Details'!$J:$J,0,'[1]NS Vendor Details'!$L:$L,"Freight",'[1]NS Vendor Details'!$I:$I,'G&amp;A Vendor x GL Analysis'!$E177),IF(T$15="Actual",SUMIFS('[1]NS Vendor Details'!$D:$D,'[1]NS Vendor Details'!$H:$H,'G&amp;A Vendor x GL Analysis'!T$20,'[1]NS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Analysis'!T$20,'[1]NS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U177" s="17">
        <f>IF(AND(U$15="Actual",ISBLANK($E$8)),SUMIFS('[1]NS Vendor Details'!$D:$D,'[1]NS Vendor Details'!$H:$H,'G&amp;A Vendor x GL Analysis'!U$20,'[1]NS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Analysis'!U$20,'[1]NS Vendor Details'!$O:$O,'G&amp;A Vendor x GL Analysis'!$F177,'[1]NS Vendor Details'!$N:$N,"Direct Costs",'[1]NS Vendor Details'!$J:$J,0,'[1]NS Vendor Details'!$L:$L,"Freight",'[1]NS Vendor Details'!$I:$I,'G&amp;A Vendor x GL Analysis'!$E177),IF(U$15="Actual",SUMIFS('[1]NS Vendor Details'!$D:$D,'[1]NS Vendor Details'!$H:$H,'G&amp;A Vendor x GL Analysis'!U$20,'[1]NS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Analysis'!U$20,'[1]NS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V177" s="17">
        <f>IF(AND(V$15="Actual",ISBLANK($E$8)),SUMIFS('[1]NS Vendor Details'!$D:$D,'[1]NS Vendor Details'!$H:$H,'G&amp;A Vendor x GL Analysis'!V$20,'[1]NS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Analysis'!V$20,'[1]NS Vendor Details'!$O:$O,'G&amp;A Vendor x GL Analysis'!$F177,'[1]NS Vendor Details'!$N:$N,"Direct Costs",'[1]NS Vendor Details'!$J:$J,0,'[1]NS Vendor Details'!$L:$L,"Freight",'[1]NS Vendor Details'!$I:$I,'G&amp;A Vendor x GL Analysis'!$E177),IF(V$15="Actual",SUMIFS('[1]NS Vendor Details'!$D:$D,'[1]NS Vendor Details'!$H:$H,'G&amp;A Vendor x GL Analysis'!V$20,'[1]NS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Analysis'!V$20,'[1]NS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W177" s="17">
        <f>IF(AND(W$15="Actual",ISBLANK($E$8)),SUMIFS('[1]NS Vendor Details'!$D:$D,'[1]NS Vendor Details'!$H:$H,'G&amp;A Vendor x GL Analysis'!W$20,'[1]NS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Analysis'!W$20,'[1]NS Vendor Details'!$O:$O,'G&amp;A Vendor x GL Analysis'!$F177,'[1]NS Vendor Details'!$N:$N,"Direct Costs",'[1]NS Vendor Details'!$J:$J,0,'[1]NS Vendor Details'!$L:$L,"Freight",'[1]NS Vendor Details'!$I:$I,'G&amp;A Vendor x GL Analysis'!$E177),IF(W$15="Actual",SUMIFS('[1]NS Vendor Details'!$D:$D,'[1]NS Vendor Details'!$H:$H,'G&amp;A Vendor x GL Analysis'!W$20,'[1]NS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Analysis'!W$20,'[1]NS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482.97</v>
      </c>
      <c r="X177" s="17">
        <f>IF(AND(X$15="Actual",ISBLANK($E$8)),SUMIFS('[1]NS Vendor Details'!$D:$D,'[1]NS Vendor Details'!$H:$H,'G&amp;A Vendor x GL Analysis'!X$20,'[1]NS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Analysis'!X$20,'[1]NS Vendor Details'!$O:$O,'G&amp;A Vendor x GL Analysis'!$F177,'[1]NS Vendor Details'!$N:$N,"Direct Costs",'[1]NS Vendor Details'!$J:$J,0,'[1]NS Vendor Details'!$L:$L,"Freight",'[1]NS Vendor Details'!$I:$I,'G&amp;A Vendor x GL Analysis'!$E177),IF(X$15="Actual",SUMIFS('[1]NS Vendor Details'!$D:$D,'[1]NS Vendor Details'!$H:$H,'G&amp;A Vendor x GL Analysis'!X$20,'[1]NS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Analysis'!X$20,'[1]NS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Y177" s="17">
        <f>IF(AND(Y$15="Actual",ISBLANK($E$8)),SUMIFS('[1]NS Vendor Details'!$D:$D,'[1]NS Vendor Details'!$H:$H,'G&amp;A Vendor x GL Analysis'!Y$20,'[1]NS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Analysis'!Y$20,'[1]NS Vendor Details'!$O:$O,'G&amp;A Vendor x GL Analysis'!$F177,'[1]NS Vendor Details'!$N:$N,"Direct Costs",'[1]NS Vendor Details'!$J:$J,0,'[1]NS Vendor Details'!$L:$L,"Freight",'[1]NS Vendor Details'!$I:$I,'G&amp;A Vendor x GL Analysis'!$E177),IF(Y$15="Actual",SUMIFS('[1]NS Vendor Details'!$D:$D,'[1]NS Vendor Details'!$H:$H,'G&amp;A Vendor x GL Analysis'!Y$20,'[1]NS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Analysis'!Y$20,'[1]NS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Z177" s="17">
        <f>IF(AND(Z$15="Actual",ISBLANK($E$8)),SUMIFS('[1]NS Vendor Details'!$D:$D,'[1]NS Vendor Details'!$H:$H,'G&amp;A Vendor x GL Analysis'!Z$20,'[1]NS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Analysis'!Z$20,'[1]NS Vendor Details'!$O:$O,'G&amp;A Vendor x GL Analysis'!$F177,'[1]NS Vendor Details'!$N:$N,"Direct Costs",'[1]NS Vendor Details'!$J:$J,0,'[1]NS Vendor Details'!$L:$L,"Freight",'[1]NS Vendor Details'!$I:$I,'G&amp;A Vendor x GL Analysis'!$E177),IF(Z$15="Actual",SUMIFS('[1]NS Vendor Details'!$D:$D,'[1]NS Vendor Details'!$H:$H,'G&amp;A Vendor x GL Analysis'!Z$20,'[1]NS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Analysis'!Z$20,'[1]NS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-7.87</v>
      </c>
      <c r="AA177" s="17">
        <f>IF(AND(AA$15="Actual",ISBLANK($E$8)),SUMIFS('[1]NS Vendor Details'!$D:$D,'[1]NS Vendor Details'!$H:$H,'G&amp;A Vendor x GL Analysis'!AA$20,'[1]NS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Analysis'!AA$20,'[1]NS Vendor Details'!$O:$O,'G&amp;A Vendor x GL Analysis'!$F177,'[1]NS Vendor Details'!$N:$N,"Direct Costs",'[1]NS Vendor Details'!$J:$J,0,'[1]NS Vendor Details'!$L:$L,"Freight",'[1]NS Vendor Details'!$I:$I,'G&amp;A Vendor x GL Analysis'!$E177),IF(AA$15="Actual",SUMIFS('[1]NS Vendor Details'!$D:$D,'[1]NS Vendor Details'!$H:$H,'G&amp;A Vendor x GL Analysis'!AA$20,'[1]NS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Analysis'!AA$20,'[1]NS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AB177" s="17">
        <f>IF(AND(AB$15="Actual",ISBLANK($E$8)),SUMIFS('[1]NS Vendor Details'!$D:$D,'[1]NS Vendor Details'!$H:$H,'G&amp;A Vendor x GL Analysis'!AB$20,'[1]NS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Analysis'!AB$20,'[1]NS Vendor Details'!$O:$O,'G&amp;A Vendor x GL Analysis'!$F177,'[1]NS Vendor Details'!$N:$N,"Direct Costs",'[1]NS Vendor Details'!$J:$J,0,'[1]NS Vendor Details'!$L:$L,"Freight",'[1]NS Vendor Details'!$I:$I,'G&amp;A Vendor x GL Analysis'!$E177),IF(AB$15="Actual",SUMIFS('[1]NS Vendor Details'!$D:$D,'[1]NS Vendor Details'!$H:$H,'G&amp;A Vendor x GL Analysis'!AB$20,'[1]NS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Analysis'!AB$20,'[1]NS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AC177" s="18">
        <f>IF(AND(AC$15="Actual",ISBLANK($E$8)),SUMIFS('[1]NS Vendor Details'!$D:$D,'[1]NS Vendor Details'!$H:$H,'G&amp;A Vendor x GL Analysis'!AC$20,'[1]NS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Analysis'!AC$20,'[1]NS Vendor Details'!$O:$O,'G&amp;A Vendor x GL Analysis'!$F177,'[1]NS Vendor Details'!$N:$N,"Direct Costs",'[1]NS Vendor Details'!$J:$J,0,'[1]NS Vendor Details'!$L:$L,"Freight",'[1]NS Vendor Details'!$I:$I,'G&amp;A Vendor x GL Analysis'!$E177),IF(AC$15="Actual",SUMIFS('[1]NS Vendor Details'!$D:$D,'[1]NS Vendor Details'!$H:$H,'G&amp;A Vendor x GL Analysis'!AC$20,'[1]NS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Analysis'!AC$20,'[1]NS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AD177" s="18">
        <f>IF(AND(AD$15="Actual",ISBLANK($E$8)),SUMIFS('[1]NS Vendor Details'!$D:$D,'[1]NS Vendor Details'!$H:$H,'G&amp;A Vendor x GL Analysis'!AD$20,'[1]NS Vendor Details'!$L:$L,'G&amp;A Vendor x GL Analysis'!$D177,'[1]NS Vendor Details'!$O:$O,'G&amp;A Vendor x GL Analysis'!$F177,'[1]NS Vendor Details'!$N:$N,'G&amp;A Vendor x GL Analysis'!$C177,'[1]NS Vendor Details'!$I:$I,'G&amp;A Vendor x GL Analysis'!$E177)+SUMIFS('[1]NS Vendor Details'!$D:$D,'[1]NS Vendor Details'!$H:$H,'G&amp;A Vendor x GL Analysis'!AD$20,'[1]NS Vendor Details'!$O:$O,'G&amp;A Vendor x GL Analysis'!$F177,'[1]NS Vendor Details'!$N:$N,"Direct Costs",'[1]NS Vendor Details'!$J:$J,0,'[1]NS Vendor Details'!$L:$L,"Freight",'[1]NS Vendor Details'!$I:$I,'G&amp;A Vendor x GL Analysis'!$E177),IF(AD$15="Actual",SUMIFS('[1]NS Vendor Details'!$D:$D,'[1]NS Vendor Details'!$H:$H,'G&amp;A Vendor x GL Analysis'!AD$20,'[1]NS Vendor Details'!$L:$L,'G&amp;A Vendor x GL Analysis'!$D177,'[1]NS Vendor Details'!$O:$O,'G&amp;A Vendor x GL Analysis'!$F177,'[1]NS Vendor Details'!$N:$N,'G&amp;A Vendor x GL Analysis'!$C177,'[1]NS Vendor Details'!$K:$K,'G&amp;A Vendor x GL Analysis'!$E$8,'[1]NS Vendor Details'!$I:$I,'G&amp;A Vendor x GL Analysis'!$E177)+SUMIFS('[1]NS Vendor Details'!$D:$D,'[1]NS Vendor Details'!$H:$H,'G&amp;A Vendor x GL Analysis'!AD$20,'[1]NS Vendor Details'!$O:$O,'G&amp;A Vendor x GL Analysis'!$F177,'[1]NS Vendor Details'!$N:$N,"Direct Costs",'[1]NS Vendor Details'!$J:$J,0,'[1]NS Vendor Details'!$K:$K,'G&amp;A Vendor x GL Analysis'!$E$8,'[1]NS Vendor Details'!$L:$L,"Freight",'[1]NS Vendor Details'!$I:$I,'G&amp;A Vendor x GL Analysis'!$E177),0))</f>
        <v>0</v>
      </c>
      <c r="AF177" s="19">
        <f t="shared" si="29"/>
        <v>1432.12</v>
      </c>
    </row>
    <row r="178" spans="1:32" outlineLevel="1">
      <c r="A178" s="8" t="str">
        <f t="shared" si="26"/>
        <v>Other6375 - Freight Expenses</v>
      </c>
      <c r="C178" s="8" t="s">
        <v>11</v>
      </c>
      <c r="D178" s="8" t="str">
        <f>D166</f>
        <v>Other</v>
      </c>
      <c r="E178" s="2" t="s">
        <v>162</v>
      </c>
      <c r="F178" s="2" t="s">
        <v>163</v>
      </c>
      <c r="G178" s="16">
        <f>IF(AND(G$15="Actual",ISBLANK($E$8)),SUMIFS('[1]NS Vendor Details'!$D:$D,'[1]NS Vendor Details'!$H:$H,'G&amp;A Vendor x GL Analysis'!G$20,'[1]NS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Analysis'!G$20,'[1]NS Vendor Details'!$O:$O,'G&amp;A Vendor x GL Analysis'!$F178,'[1]NS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Analysis'!G$20,'[1]NS Vendor Details'!$O:$O,'G&amp;A Vendor x GL Analysis'!$F178,'[1]NS Vendor Details'!$N:$N,"Direct Costs",'[1]NS Vendor Details'!$J:$J,0,'[1]NS Vendor Details'!$K:$K,'G&amp;A Vendor x GL Analysis'!$E$8,'[1]NS Vendor Details'!$L:$L,"Freight"),0))</f>
        <v>-11504.41</v>
      </c>
      <c r="H178" s="17">
        <f>IF(AND(H$15="Actual",ISBLANK($E$8)),SUMIFS('[1]NS Vendor Details'!$D:$D,'[1]NS Vendor Details'!$H:$H,'G&amp;A Vendor x GL Analysis'!H$20,'[1]NS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Analysis'!H$20,'[1]NS Vendor Details'!$O:$O,'G&amp;A Vendor x GL Analysis'!$F178,'[1]NS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Analysis'!H$20,'[1]NS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I178" s="17">
        <f>IF(AND(I$15="Actual",ISBLANK($E$8)),SUMIFS('[1]NS Vendor Details'!$D:$D,'[1]NS Vendor Details'!$H:$H,'G&amp;A Vendor x GL Analysis'!I$20,'[1]NS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Analysis'!I$20,'[1]NS Vendor Details'!$O:$O,'G&amp;A Vendor x GL Analysis'!$F178,'[1]NS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Analysis'!I$20,'[1]NS Vendor Details'!$O:$O,'G&amp;A Vendor x GL Analysis'!$F178,'[1]NS Vendor Details'!$N:$N,"Direct Costs",'[1]NS Vendor Details'!$J:$J,0,'[1]NS Vendor Details'!$K:$K,'G&amp;A Vendor x GL Analysis'!$E$8,'[1]NS Vendor Details'!$L:$L,"Freight"),0))</f>
        <v>-9150.130000000001</v>
      </c>
      <c r="J178" s="17">
        <f>IF(AND(J$15="Actual",ISBLANK($E$8)),SUMIFS('[1]NS Vendor Details'!$D:$D,'[1]NS Vendor Details'!$H:$H,'G&amp;A Vendor x GL Analysis'!J$20,'[1]NS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Analysis'!J$20,'[1]NS Vendor Details'!$O:$O,'G&amp;A Vendor x GL Analysis'!$F178,'[1]NS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Analysis'!J$20,'[1]NS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K178" s="17">
        <f>IF(AND(K$15="Actual",ISBLANK($E$8)),SUMIFS('[1]NS Vendor Details'!$D:$D,'[1]NS Vendor Details'!$H:$H,'G&amp;A Vendor x GL Analysis'!K$20,'[1]NS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Analysis'!K$20,'[1]NS Vendor Details'!$O:$O,'G&amp;A Vendor x GL Analysis'!$F178,'[1]NS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Analysis'!K$20,'[1]NS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L178" s="17">
        <f>IF(AND(L$15="Actual",ISBLANK($E$8)),SUMIFS('[1]NS Vendor Details'!$D:$D,'[1]NS Vendor Details'!$H:$H,'G&amp;A Vendor x GL Analysis'!L$20,'[1]NS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Analysis'!L$20,'[1]NS Vendor Details'!$O:$O,'G&amp;A Vendor x GL Analysis'!$F178,'[1]NS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Analysis'!L$20,'[1]NS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M178" s="17">
        <f>IF(AND(M$15="Actual",ISBLANK($E$8)),SUMIFS('[1]NS Vendor Details'!$D:$D,'[1]NS Vendor Details'!$H:$H,'G&amp;A Vendor x GL Analysis'!M$20,'[1]NS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Analysis'!M$20,'[1]NS Vendor Details'!$O:$O,'G&amp;A Vendor x GL Analysis'!$F178,'[1]NS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Analysis'!M$20,'[1]NS Vendor Details'!$O:$O,'G&amp;A Vendor x GL Analysis'!$F178,'[1]NS Vendor Details'!$N:$N,"Direct Costs",'[1]NS Vendor Details'!$J:$J,0,'[1]NS Vendor Details'!$K:$K,'G&amp;A Vendor x GL Analysis'!$E$8,'[1]NS Vendor Details'!$L:$L,"Freight"),0))</f>
        <v>-2629.16</v>
      </c>
      <c r="N178" s="17">
        <f>IF(AND(N$15="Actual",ISBLANK($E$8)),SUMIFS('[1]NS Vendor Details'!$D:$D,'[1]NS Vendor Details'!$H:$H,'G&amp;A Vendor x GL Analysis'!N$20,'[1]NS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Analysis'!N$20,'[1]NS Vendor Details'!$O:$O,'G&amp;A Vendor x GL Analysis'!$F178,'[1]NS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Analysis'!N$20,'[1]NS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O178" s="17">
        <f>IF(AND(O$15="Actual",ISBLANK($E$8)),SUMIFS('[1]NS Vendor Details'!$D:$D,'[1]NS Vendor Details'!$H:$H,'G&amp;A Vendor x GL Analysis'!O$20,'[1]NS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Analysis'!O$20,'[1]NS Vendor Details'!$O:$O,'G&amp;A Vendor x GL Analysis'!$F178,'[1]NS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Analysis'!O$20,'[1]NS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P178" s="17">
        <f>IF(AND(P$15="Actual",ISBLANK($E$8)),SUMIFS('[1]NS Vendor Details'!$D:$D,'[1]NS Vendor Details'!$H:$H,'G&amp;A Vendor x GL Analysis'!P$20,'[1]NS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Analysis'!P$20,'[1]NS Vendor Details'!$O:$O,'G&amp;A Vendor x GL Analysis'!$F178,'[1]NS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Analysis'!P$20,'[1]NS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Q178" s="17">
        <f>IF(AND(Q$15="Actual",ISBLANK($E$8)),SUMIFS('[1]NS Vendor Details'!$D:$D,'[1]NS Vendor Details'!$H:$H,'G&amp;A Vendor x GL Analysis'!Q$20,'[1]NS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Analysis'!Q$20,'[1]NS Vendor Details'!$O:$O,'G&amp;A Vendor x GL Analysis'!$F178,'[1]NS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Analysis'!Q$20,'[1]NS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R178" s="18">
        <f>IF(AND(R$15="Actual",ISBLANK($E$8)),SUMIFS('[1]NS Vendor Details'!$D:$D,'[1]NS Vendor Details'!$H:$H,'G&amp;A Vendor x GL Analysis'!R$20,'[1]NS Vendor Details'!$L:$L,'G&amp;A Vendor x GL Analysis'!$D178,'[1]NS Vendor Details'!$O:$O,'G&amp;A Vendor x GL Analysis'!$F178,'[1]NS Vendor Details'!$N:$N,'G&amp;A Vendor x GL Analysis'!$C178)+SUMIFS('[1]NS Vendor Details'!$D:$D,'[1]NS Vendor Details'!$H:$H,'G&amp;A Vendor x GL Analysis'!R$20,'[1]NS Vendor Details'!$O:$O,'G&amp;A Vendor x GL Analysis'!$F178,'[1]NS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Analysis'!$D178,'[1]NS Vendor Details'!$O:$O,'G&amp;A Vendor x GL Analysis'!$F178,'[1]NS Vendor Details'!$N:$N,'G&amp;A Vendor x GL Analysis'!$C178,'[1]NS Vendor Details'!$K:$K,'G&amp;A Vendor x GL Analysis'!$E$8)+SUMIFS('[1]NS Vendor Details'!$D:$D,'[1]NS Vendor Details'!$H:$H,'G&amp;A Vendor x GL Analysis'!R$20,'[1]NS Vendor Details'!$O:$O,'G&amp;A Vendor x GL Analysis'!$F178,'[1]NS Vendor Details'!$N:$N,"Direct Costs",'[1]NS Vendor Details'!$J:$J,0,'[1]NS Vendor Details'!$K:$K,'G&amp;A Vendor x GL Analysis'!$E$8,'[1]NS Vendor Details'!$L:$L,"Freight"),0))</f>
        <v>0</v>
      </c>
      <c r="S178" s="16">
        <f>IF(AND(S$15="Actual",ISBLANK($E$8)),SUMIFS('[1]NS Vendor Details'!$D:$D,'[1]NS Vendor Details'!$H:$H,'G&amp;A Vendor x GL Analysis'!S$20,'[1]NS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Analysis'!S$20,'[1]NS Vendor Details'!$O:$O,'G&amp;A Vendor x GL Analysis'!$F178,'[1]NS Vendor Details'!$N:$N,"Direct Costs",'[1]NS Vendor Details'!$J:$J,0,'[1]NS Vendor Details'!$L:$L,"Freight",'[1]NS Vendor Details'!$I:$I,'G&amp;A Vendor x GL Analysis'!$E178),IF(S$15="Actual",SUMIFS('[1]NS Vendor Details'!$D:$D,'[1]NS Vendor Details'!$H:$H,'G&amp;A Vendor x GL Analysis'!S$20,'[1]NS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Analysis'!S$20,'[1]NS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T178" s="17">
        <f>IF(AND(T$15="Actual",ISBLANK($E$8)),SUMIFS('[1]NS Vendor Details'!$D:$D,'[1]NS Vendor Details'!$H:$H,'G&amp;A Vendor x GL Analysis'!T$20,'[1]NS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Analysis'!T$20,'[1]NS Vendor Details'!$O:$O,'G&amp;A Vendor x GL Analysis'!$F178,'[1]NS Vendor Details'!$N:$N,"Direct Costs",'[1]NS Vendor Details'!$J:$J,0,'[1]NS Vendor Details'!$L:$L,"Freight",'[1]NS Vendor Details'!$I:$I,'G&amp;A Vendor x GL Analysis'!$E178),IF(T$15="Actual",SUMIFS('[1]NS Vendor Details'!$D:$D,'[1]NS Vendor Details'!$H:$H,'G&amp;A Vendor x GL Analysis'!T$20,'[1]NS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Analysis'!T$20,'[1]NS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-119.57</v>
      </c>
      <c r="U178" s="17">
        <f>IF(AND(U$15="Actual",ISBLANK($E$8)),SUMIFS('[1]NS Vendor Details'!$D:$D,'[1]NS Vendor Details'!$H:$H,'G&amp;A Vendor x GL Analysis'!U$20,'[1]NS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Analysis'!U$20,'[1]NS Vendor Details'!$O:$O,'G&amp;A Vendor x GL Analysis'!$F178,'[1]NS Vendor Details'!$N:$N,"Direct Costs",'[1]NS Vendor Details'!$J:$J,0,'[1]NS Vendor Details'!$L:$L,"Freight",'[1]NS Vendor Details'!$I:$I,'G&amp;A Vendor x GL Analysis'!$E178),IF(U$15="Actual",SUMIFS('[1]NS Vendor Details'!$D:$D,'[1]NS Vendor Details'!$H:$H,'G&amp;A Vendor x GL Analysis'!U$20,'[1]NS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Analysis'!U$20,'[1]NS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V178" s="17">
        <f>IF(AND(V$15="Actual",ISBLANK($E$8)),SUMIFS('[1]NS Vendor Details'!$D:$D,'[1]NS Vendor Details'!$H:$H,'G&amp;A Vendor x GL Analysis'!V$20,'[1]NS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Analysis'!V$20,'[1]NS Vendor Details'!$O:$O,'G&amp;A Vendor x GL Analysis'!$F178,'[1]NS Vendor Details'!$N:$N,"Direct Costs",'[1]NS Vendor Details'!$J:$J,0,'[1]NS Vendor Details'!$L:$L,"Freight",'[1]NS Vendor Details'!$I:$I,'G&amp;A Vendor x GL Analysis'!$E178),IF(V$15="Actual",SUMIFS('[1]NS Vendor Details'!$D:$D,'[1]NS Vendor Details'!$H:$H,'G&amp;A Vendor x GL Analysis'!V$20,'[1]NS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Analysis'!V$20,'[1]NS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W178" s="17">
        <f>IF(AND(W$15="Actual",ISBLANK($E$8)),SUMIFS('[1]NS Vendor Details'!$D:$D,'[1]NS Vendor Details'!$H:$H,'G&amp;A Vendor x GL Analysis'!W$20,'[1]NS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Analysis'!W$20,'[1]NS Vendor Details'!$O:$O,'G&amp;A Vendor x GL Analysis'!$F178,'[1]NS Vendor Details'!$N:$N,"Direct Costs",'[1]NS Vendor Details'!$J:$J,0,'[1]NS Vendor Details'!$L:$L,"Freight",'[1]NS Vendor Details'!$I:$I,'G&amp;A Vendor x GL Analysis'!$E178),IF(W$15="Actual",SUMIFS('[1]NS Vendor Details'!$D:$D,'[1]NS Vendor Details'!$H:$H,'G&amp;A Vendor x GL Analysis'!W$20,'[1]NS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Analysis'!W$20,'[1]NS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X178" s="17">
        <f>IF(AND(X$15="Actual",ISBLANK($E$8)),SUMIFS('[1]NS Vendor Details'!$D:$D,'[1]NS Vendor Details'!$H:$H,'G&amp;A Vendor x GL Analysis'!X$20,'[1]NS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Analysis'!X$20,'[1]NS Vendor Details'!$O:$O,'G&amp;A Vendor x GL Analysis'!$F178,'[1]NS Vendor Details'!$N:$N,"Direct Costs",'[1]NS Vendor Details'!$J:$J,0,'[1]NS Vendor Details'!$L:$L,"Freight",'[1]NS Vendor Details'!$I:$I,'G&amp;A Vendor x GL Analysis'!$E178),IF(X$15="Actual",SUMIFS('[1]NS Vendor Details'!$D:$D,'[1]NS Vendor Details'!$H:$H,'G&amp;A Vendor x GL Analysis'!X$20,'[1]NS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Analysis'!X$20,'[1]NS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Y178" s="17">
        <f>IF(AND(Y$15="Actual",ISBLANK($E$8)),SUMIFS('[1]NS Vendor Details'!$D:$D,'[1]NS Vendor Details'!$H:$H,'G&amp;A Vendor x GL Analysis'!Y$20,'[1]NS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Analysis'!Y$20,'[1]NS Vendor Details'!$O:$O,'G&amp;A Vendor x GL Analysis'!$F178,'[1]NS Vendor Details'!$N:$N,"Direct Costs",'[1]NS Vendor Details'!$J:$J,0,'[1]NS Vendor Details'!$L:$L,"Freight",'[1]NS Vendor Details'!$I:$I,'G&amp;A Vendor x GL Analysis'!$E178),IF(Y$15="Actual",SUMIFS('[1]NS Vendor Details'!$D:$D,'[1]NS Vendor Details'!$H:$H,'G&amp;A Vendor x GL Analysis'!Y$20,'[1]NS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Analysis'!Y$20,'[1]NS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Z178" s="17">
        <f>IF(AND(Z$15="Actual",ISBLANK($E$8)),SUMIFS('[1]NS Vendor Details'!$D:$D,'[1]NS Vendor Details'!$H:$H,'G&amp;A Vendor x GL Analysis'!Z$20,'[1]NS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Analysis'!Z$20,'[1]NS Vendor Details'!$O:$O,'G&amp;A Vendor x GL Analysis'!$F178,'[1]NS Vendor Details'!$N:$N,"Direct Costs",'[1]NS Vendor Details'!$J:$J,0,'[1]NS Vendor Details'!$L:$L,"Freight",'[1]NS Vendor Details'!$I:$I,'G&amp;A Vendor x GL Analysis'!$E178),IF(Z$15="Actual",SUMIFS('[1]NS Vendor Details'!$D:$D,'[1]NS Vendor Details'!$H:$H,'G&amp;A Vendor x GL Analysis'!Z$20,'[1]NS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Analysis'!Z$20,'[1]NS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AA178" s="17">
        <f>IF(AND(AA$15="Actual",ISBLANK($E$8)),SUMIFS('[1]NS Vendor Details'!$D:$D,'[1]NS Vendor Details'!$H:$H,'G&amp;A Vendor x GL Analysis'!AA$20,'[1]NS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Analysis'!AA$20,'[1]NS Vendor Details'!$O:$O,'G&amp;A Vendor x GL Analysis'!$F178,'[1]NS Vendor Details'!$N:$N,"Direct Costs",'[1]NS Vendor Details'!$J:$J,0,'[1]NS Vendor Details'!$L:$L,"Freight",'[1]NS Vendor Details'!$I:$I,'G&amp;A Vendor x GL Analysis'!$E178),IF(AA$15="Actual",SUMIFS('[1]NS Vendor Details'!$D:$D,'[1]NS Vendor Details'!$H:$H,'G&amp;A Vendor x GL Analysis'!AA$20,'[1]NS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Analysis'!AA$20,'[1]NS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AB178" s="17">
        <f>IF(AND(AB$15="Actual",ISBLANK($E$8)),SUMIFS('[1]NS Vendor Details'!$D:$D,'[1]NS Vendor Details'!$H:$H,'G&amp;A Vendor x GL Analysis'!AB$20,'[1]NS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Analysis'!AB$20,'[1]NS Vendor Details'!$O:$O,'G&amp;A Vendor x GL Analysis'!$F178,'[1]NS Vendor Details'!$N:$N,"Direct Costs",'[1]NS Vendor Details'!$J:$J,0,'[1]NS Vendor Details'!$L:$L,"Freight",'[1]NS Vendor Details'!$I:$I,'G&amp;A Vendor x GL Analysis'!$E178),IF(AB$15="Actual",SUMIFS('[1]NS Vendor Details'!$D:$D,'[1]NS Vendor Details'!$H:$H,'G&amp;A Vendor x GL Analysis'!AB$20,'[1]NS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Analysis'!AB$20,'[1]NS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AC178" s="18">
        <f>IF(AND(AC$15="Actual",ISBLANK($E$8)),SUMIFS('[1]NS Vendor Details'!$D:$D,'[1]NS Vendor Details'!$H:$H,'G&amp;A Vendor x GL Analysis'!AC$20,'[1]NS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Analysis'!AC$20,'[1]NS Vendor Details'!$O:$O,'G&amp;A Vendor x GL Analysis'!$F178,'[1]NS Vendor Details'!$N:$N,"Direct Costs",'[1]NS Vendor Details'!$J:$J,0,'[1]NS Vendor Details'!$L:$L,"Freight",'[1]NS Vendor Details'!$I:$I,'G&amp;A Vendor x GL Analysis'!$E178),IF(AC$15="Actual",SUMIFS('[1]NS Vendor Details'!$D:$D,'[1]NS Vendor Details'!$H:$H,'G&amp;A Vendor x GL Analysis'!AC$20,'[1]NS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Analysis'!AC$20,'[1]NS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AD178" s="18">
        <f>IF(AND(AD$15="Actual",ISBLANK($E$8)),SUMIFS('[1]NS Vendor Details'!$D:$D,'[1]NS Vendor Details'!$H:$H,'G&amp;A Vendor x GL Analysis'!AD$20,'[1]NS Vendor Details'!$L:$L,'G&amp;A Vendor x GL Analysis'!$D178,'[1]NS Vendor Details'!$O:$O,'G&amp;A Vendor x GL Analysis'!$F178,'[1]NS Vendor Details'!$N:$N,'G&amp;A Vendor x GL Analysis'!$C178,'[1]NS Vendor Details'!$I:$I,'G&amp;A Vendor x GL Analysis'!$E178)+SUMIFS('[1]NS Vendor Details'!$D:$D,'[1]NS Vendor Details'!$H:$H,'G&amp;A Vendor x GL Analysis'!AD$20,'[1]NS Vendor Details'!$O:$O,'G&amp;A Vendor x GL Analysis'!$F178,'[1]NS Vendor Details'!$N:$N,"Direct Costs",'[1]NS Vendor Details'!$J:$J,0,'[1]NS Vendor Details'!$L:$L,"Freight",'[1]NS Vendor Details'!$I:$I,'G&amp;A Vendor x GL Analysis'!$E178),IF(AD$15="Actual",SUMIFS('[1]NS Vendor Details'!$D:$D,'[1]NS Vendor Details'!$H:$H,'G&amp;A Vendor x GL Analysis'!AD$20,'[1]NS Vendor Details'!$L:$L,'G&amp;A Vendor x GL Analysis'!$D178,'[1]NS Vendor Details'!$O:$O,'G&amp;A Vendor x GL Analysis'!$F178,'[1]NS Vendor Details'!$N:$N,'G&amp;A Vendor x GL Analysis'!$C178,'[1]NS Vendor Details'!$K:$K,'G&amp;A Vendor x GL Analysis'!$E$8,'[1]NS Vendor Details'!$I:$I,'G&amp;A Vendor x GL Analysis'!$E178)+SUMIFS('[1]NS Vendor Details'!$D:$D,'[1]NS Vendor Details'!$H:$H,'G&amp;A Vendor x GL Analysis'!AD$20,'[1]NS Vendor Details'!$O:$O,'G&amp;A Vendor x GL Analysis'!$F178,'[1]NS Vendor Details'!$N:$N,"Direct Costs",'[1]NS Vendor Details'!$J:$J,0,'[1]NS Vendor Details'!$K:$K,'G&amp;A Vendor x GL Analysis'!$E$8,'[1]NS Vendor Details'!$L:$L,"Freight",'[1]NS Vendor Details'!$I:$I,'G&amp;A Vendor x GL Analysis'!$E178),0))</f>
        <v>0</v>
      </c>
      <c r="AF178" s="19">
        <f t="shared" si="29"/>
        <v>119.57</v>
      </c>
    </row>
    <row r="179" spans="1:32" outlineLevel="1">
      <c r="A179" s="8" t="str">
        <f t="shared" si="26"/>
        <v>Other6375 - Freight Expenses</v>
      </c>
      <c r="C179" s="8" t="s">
        <v>11</v>
      </c>
      <c r="D179" s="8" t="str">
        <f>D167</f>
        <v>Other</v>
      </c>
      <c r="E179" s="2" t="s">
        <v>162</v>
      </c>
      <c r="F179" s="2" t="s">
        <v>164</v>
      </c>
      <c r="G179" s="16">
        <f>IF(AND(G$15="Actual",ISBLANK($E$8)),SUMIFS('[1]NS Vendor Details'!$D:$D,'[1]NS Vendor Details'!$H:$H,'G&amp;A Vendor x GL Analysis'!G$20,'[1]NS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Analysis'!G$20,'[1]NS Vendor Details'!$O:$O,'G&amp;A Vendor x GL Analysis'!$F179,'[1]NS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Analysis'!G$20,'[1]NS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H179" s="17">
        <f>IF(AND(H$15="Actual",ISBLANK($E$8)),SUMIFS('[1]NS Vendor Details'!$D:$D,'[1]NS Vendor Details'!$H:$H,'G&amp;A Vendor x GL Analysis'!H$20,'[1]NS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Analysis'!H$20,'[1]NS Vendor Details'!$O:$O,'G&amp;A Vendor x GL Analysis'!$F179,'[1]NS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Analysis'!H$20,'[1]NS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I179" s="17">
        <f>IF(AND(I$15="Actual",ISBLANK($E$8)),SUMIFS('[1]NS Vendor Details'!$D:$D,'[1]NS Vendor Details'!$H:$H,'G&amp;A Vendor x GL Analysis'!I$20,'[1]NS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Analysis'!I$20,'[1]NS Vendor Details'!$O:$O,'G&amp;A Vendor x GL Analysis'!$F179,'[1]NS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Analysis'!I$20,'[1]NS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J179" s="17">
        <f>IF(AND(J$15="Actual",ISBLANK($E$8)),SUMIFS('[1]NS Vendor Details'!$D:$D,'[1]NS Vendor Details'!$H:$H,'G&amp;A Vendor x GL Analysis'!J$20,'[1]NS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Analysis'!J$20,'[1]NS Vendor Details'!$O:$O,'G&amp;A Vendor x GL Analysis'!$F179,'[1]NS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Analysis'!J$20,'[1]NS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K179" s="17">
        <f>IF(AND(K$15="Actual",ISBLANK($E$8)),SUMIFS('[1]NS Vendor Details'!$D:$D,'[1]NS Vendor Details'!$H:$H,'G&amp;A Vendor x GL Analysis'!K$20,'[1]NS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Analysis'!K$20,'[1]NS Vendor Details'!$O:$O,'G&amp;A Vendor x GL Analysis'!$F179,'[1]NS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Analysis'!K$20,'[1]NS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L179" s="17">
        <f>IF(AND(L$15="Actual",ISBLANK($E$8)),SUMIFS('[1]NS Vendor Details'!$D:$D,'[1]NS Vendor Details'!$H:$H,'G&amp;A Vendor x GL Analysis'!L$20,'[1]NS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Analysis'!L$20,'[1]NS Vendor Details'!$O:$O,'G&amp;A Vendor x GL Analysis'!$F179,'[1]NS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Analysis'!L$20,'[1]NS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M179" s="17">
        <f>IF(AND(M$15="Actual",ISBLANK($E$8)),SUMIFS('[1]NS Vendor Details'!$D:$D,'[1]NS Vendor Details'!$H:$H,'G&amp;A Vendor x GL Analysis'!M$20,'[1]NS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Analysis'!M$20,'[1]NS Vendor Details'!$O:$O,'G&amp;A Vendor x GL Analysis'!$F179,'[1]NS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Analysis'!M$20,'[1]NS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N179" s="17">
        <f>IF(AND(N$15="Actual",ISBLANK($E$8)),SUMIFS('[1]NS Vendor Details'!$D:$D,'[1]NS Vendor Details'!$H:$H,'G&amp;A Vendor x GL Analysis'!N$20,'[1]NS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Analysis'!N$20,'[1]NS Vendor Details'!$O:$O,'G&amp;A Vendor x GL Analysis'!$F179,'[1]NS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Analysis'!N$20,'[1]NS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O179" s="17">
        <f>IF(AND(O$15="Actual",ISBLANK($E$8)),SUMIFS('[1]NS Vendor Details'!$D:$D,'[1]NS Vendor Details'!$H:$H,'G&amp;A Vendor x GL Analysis'!O$20,'[1]NS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Analysis'!O$20,'[1]NS Vendor Details'!$O:$O,'G&amp;A Vendor x GL Analysis'!$F179,'[1]NS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Analysis'!O$20,'[1]NS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P179" s="17">
        <f>IF(AND(P$15="Actual",ISBLANK($E$8)),SUMIFS('[1]NS Vendor Details'!$D:$D,'[1]NS Vendor Details'!$H:$H,'G&amp;A Vendor x GL Analysis'!P$20,'[1]NS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Analysis'!P$20,'[1]NS Vendor Details'!$O:$O,'G&amp;A Vendor x GL Analysis'!$F179,'[1]NS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Analysis'!P$20,'[1]NS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Q179" s="17">
        <f>IF(AND(Q$15="Actual",ISBLANK($E$8)),SUMIFS('[1]NS Vendor Details'!$D:$D,'[1]NS Vendor Details'!$H:$H,'G&amp;A Vendor x GL Analysis'!Q$20,'[1]NS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Analysis'!Q$20,'[1]NS Vendor Details'!$O:$O,'G&amp;A Vendor x GL Analysis'!$F179,'[1]NS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Analysis'!Q$20,'[1]NS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R179" s="18">
        <f>IF(AND(R$15="Actual",ISBLANK($E$8)),SUMIFS('[1]NS Vendor Details'!$D:$D,'[1]NS Vendor Details'!$H:$H,'G&amp;A Vendor x GL Analysis'!R$20,'[1]NS Vendor Details'!$L:$L,'G&amp;A Vendor x GL Analysis'!$D179,'[1]NS Vendor Details'!$O:$O,'G&amp;A Vendor x GL Analysis'!$F179,'[1]NS Vendor Details'!$N:$N,'G&amp;A Vendor x GL Analysis'!$C179)+SUMIFS('[1]NS Vendor Details'!$D:$D,'[1]NS Vendor Details'!$H:$H,'G&amp;A Vendor x GL Analysis'!R$20,'[1]NS Vendor Details'!$O:$O,'G&amp;A Vendor x GL Analysis'!$F179,'[1]NS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Analysis'!$D179,'[1]NS Vendor Details'!$O:$O,'G&amp;A Vendor x GL Analysis'!$F179,'[1]NS Vendor Details'!$N:$N,'G&amp;A Vendor x GL Analysis'!$C179,'[1]NS Vendor Details'!$K:$K,'G&amp;A Vendor x GL Analysis'!$E$8)+SUMIFS('[1]NS Vendor Details'!$D:$D,'[1]NS Vendor Details'!$H:$H,'G&amp;A Vendor x GL Analysis'!R$20,'[1]NS Vendor Details'!$O:$O,'G&amp;A Vendor x GL Analysis'!$F179,'[1]NS Vendor Details'!$N:$N,"Direct Costs",'[1]NS Vendor Details'!$J:$J,0,'[1]NS Vendor Details'!$K:$K,'G&amp;A Vendor x GL Analysis'!$E$8,'[1]NS Vendor Details'!$L:$L,"Freight"),0))</f>
        <v>0</v>
      </c>
      <c r="S179" s="16">
        <f>IF(AND(S$15="Actual",ISBLANK($E$8)),SUMIFS('[1]NS Vendor Details'!$D:$D,'[1]NS Vendor Details'!$H:$H,'G&amp;A Vendor x GL Analysis'!S$20,'[1]NS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Analysis'!S$20,'[1]NS Vendor Details'!$O:$O,'G&amp;A Vendor x GL Analysis'!$F179,'[1]NS Vendor Details'!$N:$N,"Direct Costs",'[1]NS Vendor Details'!$J:$J,0,'[1]NS Vendor Details'!$L:$L,"Freight",'[1]NS Vendor Details'!$I:$I,'G&amp;A Vendor x GL Analysis'!$E179),IF(S$15="Actual",SUMIFS('[1]NS Vendor Details'!$D:$D,'[1]NS Vendor Details'!$H:$H,'G&amp;A Vendor x GL Analysis'!S$20,'[1]NS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Analysis'!S$20,'[1]NS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T179" s="17">
        <f>IF(AND(T$15="Actual",ISBLANK($E$8)),SUMIFS('[1]NS Vendor Details'!$D:$D,'[1]NS Vendor Details'!$H:$H,'G&amp;A Vendor x GL Analysis'!T$20,'[1]NS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Analysis'!T$20,'[1]NS Vendor Details'!$O:$O,'G&amp;A Vendor x GL Analysis'!$F179,'[1]NS Vendor Details'!$N:$N,"Direct Costs",'[1]NS Vendor Details'!$J:$J,0,'[1]NS Vendor Details'!$L:$L,"Freight",'[1]NS Vendor Details'!$I:$I,'G&amp;A Vendor x GL Analysis'!$E179),IF(T$15="Actual",SUMIFS('[1]NS Vendor Details'!$D:$D,'[1]NS Vendor Details'!$H:$H,'G&amp;A Vendor x GL Analysis'!T$20,'[1]NS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Analysis'!T$20,'[1]NS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U179" s="17">
        <f>IF(AND(U$15="Actual",ISBLANK($E$8)),SUMIFS('[1]NS Vendor Details'!$D:$D,'[1]NS Vendor Details'!$H:$H,'G&amp;A Vendor x GL Analysis'!U$20,'[1]NS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Analysis'!U$20,'[1]NS Vendor Details'!$O:$O,'G&amp;A Vendor x GL Analysis'!$F179,'[1]NS Vendor Details'!$N:$N,"Direct Costs",'[1]NS Vendor Details'!$J:$J,0,'[1]NS Vendor Details'!$L:$L,"Freight",'[1]NS Vendor Details'!$I:$I,'G&amp;A Vendor x GL Analysis'!$E179),IF(U$15="Actual",SUMIFS('[1]NS Vendor Details'!$D:$D,'[1]NS Vendor Details'!$H:$H,'G&amp;A Vendor x GL Analysis'!U$20,'[1]NS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Analysis'!U$20,'[1]NS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V179" s="17">
        <f>IF(AND(V$15="Actual",ISBLANK($E$8)),SUMIFS('[1]NS Vendor Details'!$D:$D,'[1]NS Vendor Details'!$H:$H,'G&amp;A Vendor x GL Analysis'!V$20,'[1]NS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Analysis'!V$20,'[1]NS Vendor Details'!$O:$O,'G&amp;A Vendor x GL Analysis'!$F179,'[1]NS Vendor Details'!$N:$N,"Direct Costs",'[1]NS Vendor Details'!$J:$J,0,'[1]NS Vendor Details'!$L:$L,"Freight",'[1]NS Vendor Details'!$I:$I,'G&amp;A Vendor x GL Analysis'!$E179),IF(V$15="Actual",SUMIFS('[1]NS Vendor Details'!$D:$D,'[1]NS Vendor Details'!$H:$H,'G&amp;A Vendor x GL Analysis'!V$20,'[1]NS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Analysis'!V$20,'[1]NS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W179" s="17">
        <f>IF(AND(W$15="Actual",ISBLANK($E$8)),SUMIFS('[1]NS Vendor Details'!$D:$D,'[1]NS Vendor Details'!$H:$H,'G&amp;A Vendor x GL Analysis'!W$20,'[1]NS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Analysis'!W$20,'[1]NS Vendor Details'!$O:$O,'G&amp;A Vendor x GL Analysis'!$F179,'[1]NS Vendor Details'!$N:$N,"Direct Costs",'[1]NS Vendor Details'!$J:$J,0,'[1]NS Vendor Details'!$L:$L,"Freight",'[1]NS Vendor Details'!$I:$I,'G&amp;A Vendor x GL Analysis'!$E179),IF(W$15="Actual",SUMIFS('[1]NS Vendor Details'!$D:$D,'[1]NS Vendor Details'!$H:$H,'G&amp;A Vendor x GL Analysis'!W$20,'[1]NS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Analysis'!W$20,'[1]NS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X179" s="17">
        <f>IF(AND(X$15="Actual",ISBLANK($E$8)),SUMIFS('[1]NS Vendor Details'!$D:$D,'[1]NS Vendor Details'!$H:$H,'G&amp;A Vendor x GL Analysis'!X$20,'[1]NS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Analysis'!X$20,'[1]NS Vendor Details'!$O:$O,'G&amp;A Vendor x GL Analysis'!$F179,'[1]NS Vendor Details'!$N:$N,"Direct Costs",'[1]NS Vendor Details'!$J:$J,0,'[1]NS Vendor Details'!$L:$L,"Freight",'[1]NS Vendor Details'!$I:$I,'G&amp;A Vendor x GL Analysis'!$E179),IF(X$15="Actual",SUMIFS('[1]NS Vendor Details'!$D:$D,'[1]NS Vendor Details'!$H:$H,'G&amp;A Vendor x GL Analysis'!X$20,'[1]NS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Analysis'!X$20,'[1]NS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Y179" s="17">
        <f>IF(AND(Y$15="Actual",ISBLANK($E$8)),SUMIFS('[1]NS Vendor Details'!$D:$D,'[1]NS Vendor Details'!$H:$H,'G&amp;A Vendor x GL Analysis'!Y$20,'[1]NS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Analysis'!Y$20,'[1]NS Vendor Details'!$O:$O,'G&amp;A Vendor x GL Analysis'!$F179,'[1]NS Vendor Details'!$N:$N,"Direct Costs",'[1]NS Vendor Details'!$J:$J,0,'[1]NS Vendor Details'!$L:$L,"Freight",'[1]NS Vendor Details'!$I:$I,'G&amp;A Vendor x GL Analysis'!$E179),IF(Y$15="Actual",SUMIFS('[1]NS Vendor Details'!$D:$D,'[1]NS Vendor Details'!$H:$H,'G&amp;A Vendor x GL Analysis'!Y$20,'[1]NS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Analysis'!Y$20,'[1]NS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Z179" s="17">
        <f>IF(AND(Z$15="Actual",ISBLANK($E$8)),SUMIFS('[1]NS Vendor Details'!$D:$D,'[1]NS Vendor Details'!$H:$H,'G&amp;A Vendor x GL Analysis'!Z$20,'[1]NS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Analysis'!Z$20,'[1]NS Vendor Details'!$O:$O,'G&amp;A Vendor x GL Analysis'!$F179,'[1]NS Vendor Details'!$N:$N,"Direct Costs",'[1]NS Vendor Details'!$J:$J,0,'[1]NS Vendor Details'!$L:$L,"Freight",'[1]NS Vendor Details'!$I:$I,'G&amp;A Vendor x GL Analysis'!$E179),IF(Z$15="Actual",SUMIFS('[1]NS Vendor Details'!$D:$D,'[1]NS Vendor Details'!$H:$H,'G&amp;A Vendor x GL Analysis'!Z$20,'[1]NS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Analysis'!Z$20,'[1]NS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AA179" s="17">
        <f>IF(AND(AA$15="Actual",ISBLANK($E$8)),SUMIFS('[1]NS Vendor Details'!$D:$D,'[1]NS Vendor Details'!$H:$H,'G&amp;A Vendor x GL Analysis'!AA$20,'[1]NS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Analysis'!AA$20,'[1]NS Vendor Details'!$O:$O,'G&amp;A Vendor x GL Analysis'!$F179,'[1]NS Vendor Details'!$N:$N,"Direct Costs",'[1]NS Vendor Details'!$J:$J,0,'[1]NS Vendor Details'!$L:$L,"Freight",'[1]NS Vendor Details'!$I:$I,'G&amp;A Vendor x GL Analysis'!$E179),IF(AA$15="Actual",SUMIFS('[1]NS Vendor Details'!$D:$D,'[1]NS Vendor Details'!$H:$H,'G&amp;A Vendor x GL Analysis'!AA$20,'[1]NS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Analysis'!AA$20,'[1]NS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AB179" s="17">
        <f>IF(AND(AB$15="Actual",ISBLANK($E$8)),SUMIFS('[1]NS Vendor Details'!$D:$D,'[1]NS Vendor Details'!$H:$H,'G&amp;A Vendor x GL Analysis'!AB$20,'[1]NS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Analysis'!AB$20,'[1]NS Vendor Details'!$O:$O,'G&amp;A Vendor x GL Analysis'!$F179,'[1]NS Vendor Details'!$N:$N,"Direct Costs",'[1]NS Vendor Details'!$J:$J,0,'[1]NS Vendor Details'!$L:$L,"Freight",'[1]NS Vendor Details'!$I:$I,'G&amp;A Vendor x GL Analysis'!$E179),IF(AB$15="Actual",SUMIFS('[1]NS Vendor Details'!$D:$D,'[1]NS Vendor Details'!$H:$H,'G&amp;A Vendor x GL Analysis'!AB$20,'[1]NS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Analysis'!AB$20,'[1]NS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AC179" s="18">
        <f>IF(AND(AC$15="Actual",ISBLANK($E$8)),SUMIFS('[1]NS Vendor Details'!$D:$D,'[1]NS Vendor Details'!$H:$H,'G&amp;A Vendor x GL Analysis'!AC$20,'[1]NS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Analysis'!AC$20,'[1]NS Vendor Details'!$O:$O,'G&amp;A Vendor x GL Analysis'!$F179,'[1]NS Vendor Details'!$N:$N,"Direct Costs",'[1]NS Vendor Details'!$J:$J,0,'[1]NS Vendor Details'!$L:$L,"Freight",'[1]NS Vendor Details'!$I:$I,'G&amp;A Vendor x GL Analysis'!$E179),IF(AC$15="Actual",SUMIFS('[1]NS Vendor Details'!$D:$D,'[1]NS Vendor Details'!$H:$H,'G&amp;A Vendor x GL Analysis'!AC$20,'[1]NS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Analysis'!AC$20,'[1]NS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AD179" s="18">
        <f>IF(AND(AD$15="Actual",ISBLANK($E$8)),SUMIFS('[1]NS Vendor Details'!$D:$D,'[1]NS Vendor Details'!$H:$H,'G&amp;A Vendor x GL Analysis'!AD$20,'[1]NS Vendor Details'!$L:$L,'G&amp;A Vendor x GL Analysis'!$D179,'[1]NS Vendor Details'!$O:$O,'G&amp;A Vendor x GL Analysis'!$F179,'[1]NS Vendor Details'!$N:$N,'G&amp;A Vendor x GL Analysis'!$C179,'[1]NS Vendor Details'!$I:$I,'G&amp;A Vendor x GL Analysis'!$E179)+SUMIFS('[1]NS Vendor Details'!$D:$D,'[1]NS Vendor Details'!$H:$H,'G&amp;A Vendor x GL Analysis'!AD$20,'[1]NS Vendor Details'!$O:$O,'G&amp;A Vendor x GL Analysis'!$F179,'[1]NS Vendor Details'!$N:$N,"Direct Costs",'[1]NS Vendor Details'!$J:$J,0,'[1]NS Vendor Details'!$L:$L,"Freight",'[1]NS Vendor Details'!$I:$I,'G&amp;A Vendor x GL Analysis'!$E179),IF(AD$15="Actual",SUMIFS('[1]NS Vendor Details'!$D:$D,'[1]NS Vendor Details'!$H:$H,'G&amp;A Vendor x GL Analysis'!AD$20,'[1]NS Vendor Details'!$L:$L,'G&amp;A Vendor x GL Analysis'!$D179,'[1]NS Vendor Details'!$O:$O,'G&amp;A Vendor x GL Analysis'!$F179,'[1]NS Vendor Details'!$N:$N,'G&amp;A Vendor x GL Analysis'!$C179,'[1]NS Vendor Details'!$K:$K,'G&amp;A Vendor x GL Analysis'!$E$8,'[1]NS Vendor Details'!$I:$I,'G&amp;A Vendor x GL Analysis'!$E179)+SUMIFS('[1]NS Vendor Details'!$D:$D,'[1]NS Vendor Details'!$H:$H,'G&amp;A Vendor x GL Analysis'!AD$20,'[1]NS Vendor Details'!$O:$O,'G&amp;A Vendor x GL Analysis'!$F179,'[1]NS Vendor Details'!$N:$N,"Direct Costs",'[1]NS Vendor Details'!$J:$J,0,'[1]NS Vendor Details'!$K:$K,'G&amp;A Vendor x GL Analysis'!$E$8,'[1]NS Vendor Details'!$L:$L,"Freight",'[1]NS Vendor Details'!$I:$I,'G&amp;A Vendor x GL Analysis'!$E179),0))</f>
        <v>0</v>
      </c>
      <c r="AF179" s="19">
        <f t="shared" si="29"/>
        <v>0</v>
      </c>
    </row>
    <row r="180" spans="1:32" outlineLevel="1">
      <c r="A180" s="8" t="str">
        <f t="shared" si="26"/>
        <v>Other6375 - Freight Expenses</v>
      </c>
      <c r="C180" s="8" t="s">
        <v>11</v>
      </c>
      <c r="D180" s="8" t="str">
        <f>D168</f>
        <v>Other</v>
      </c>
      <c r="E180" s="2" t="s">
        <v>162</v>
      </c>
      <c r="F180" s="2" t="s">
        <v>165</v>
      </c>
      <c r="G180" s="16">
        <f>IF(AND(G$15="Actual",ISBLANK($E$8)),SUMIFS('[1]NS Vendor Details'!$D:$D,'[1]NS Vendor Details'!$H:$H,'G&amp;A Vendor x GL Analysis'!G$20,'[1]NS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Analysis'!G$20,'[1]NS Vendor Details'!$O:$O,'G&amp;A Vendor x GL Analysis'!$F180,'[1]NS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Analysis'!G$20,'[1]NS Vendor Details'!$O:$O,'G&amp;A Vendor x GL Analysis'!$F180,'[1]NS Vendor Details'!$N:$N,"Direct Costs",'[1]NS Vendor Details'!$J:$J,0,'[1]NS Vendor Details'!$K:$K,'G&amp;A Vendor x GL Analysis'!$E$8,'[1]NS Vendor Details'!$L:$L,"Freight"),0))</f>
        <v>4525.3500000000004</v>
      </c>
      <c r="H180" s="17">
        <f>IF(AND(H$15="Actual",ISBLANK($E$8)),SUMIFS('[1]NS Vendor Details'!$D:$D,'[1]NS Vendor Details'!$H:$H,'G&amp;A Vendor x GL Analysis'!H$20,'[1]NS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Analysis'!H$20,'[1]NS Vendor Details'!$O:$O,'G&amp;A Vendor x GL Analysis'!$F180,'[1]NS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Analysis'!H$20,'[1]NS Vendor Details'!$O:$O,'G&amp;A Vendor x GL Analysis'!$F180,'[1]NS Vendor Details'!$N:$N,"Direct Costs",'[1]NS Vendor Details'!$J:$J,0,'[1]NS Vendor Details'!$K:$K,'G&amp;A Vendor x GL Analysis'!$E$8,'[1]NS Vendor Details'!$L:$L,"Freight"),0))</f>
        <v>963.37</v>
      </c>
      <c r="I180" s="17">
        <f>IF(AND(I$15="Actual",ISBLANK($E$8)),SUMIFS('[1]NS Vendor Details'!$D:$D,'[1]NS Vendor Details'!$H:$H,'G&amp;A Vendor x GL Analysis'!I$20,'[1]NS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Analysis'!I$20,'[1]NS Vendor Details'!$O:$O,'G&amp;A Vendor x GL Analysis'!$F180,'[1]NS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Analysis'!I$20,'[1]NS Vendor Details'!$O:$O,'G&amp;A Vendor x GL Analysis'!$F180,'[1]NS Vendor Details'!$N:$N,"Direct Costs",'[1]NS Vendor Details'!$J:$J,0,'[1]NS Vendor Details'!$K:$K,'G&amp;A Vendor x GL Analysis'!$E$8,'[1]NS Vendor Details'!$L:$L,"Freight"),0))</f>
        <v>8604.85</v>
      </c>
      <c r="J180" s="17">
        <f>IF(AND(J$15="Actual",ISBLANK($E$8)),SUMIFS('[1]NS Vendor Details'!$D:$D,'[1]NS Vendor Details'!$H:$H,'G&amp;A Vendor x GL Analysis'!J$20,'[1]NS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Analysis'!J$20,'[1]NS Vendor Details'!$O:$O,'G&amp;A Vendor x GL Analysis'!$F180,'[1]NS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Analysis'!J$20,'[1]NS Vendor Details'!$O:$O,'G&amp;A Vendor x GL Analysis'!$F180,'[1]NS Vendor Details'!$N:$N,"Direct Costs",'[1]NS Vendor Details'!$J:$J,0,'[1]NS Vendor Details'!$K:$K,'G&amp;A Vendor x GL Analysis'!$E$8,'[1]NS Vendor Details'!$L:$L,"Freight"),0))</f>
        <v>15811.869999999997</v>
      </c>
      <c r="K180" s="17">
        <f>IF(AND(K$15="Actual",ISBLANK($E$8)),SUMIFS('[1]NS Vendor Details'!$D:$D,'[1]NS Vendor Details'!$H:$H,'G&amp;A Vendor x GL Analysis'!K$20,'[1]NS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Analysis'!K$20,'[1]NS Vendor Details'!$O:$O,'G&amp;A Vendor x GL Analysis'!$F180,'[1]NS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Analysis'!K$20,'[1]NS Vendor Details'!$O:$O,'G&amp;A Vendor x GL Analysis'!$F180,'[1]NS Vendor Details'!$N:$N,"Direct Costs",'[1]NS Vendor Details'!$J:$J,0,'[1]NS Vendor Details'!$K:$K,'G&amp;A Vendor x GL Analysis'!$E$8,'[1]NS Vendor Details'!$L:$L,"Freight"),0))</f>
        <v>7164.8400000000011</v>
      </c>
      <c r="L180" s="17">
        <f>IF(AND(L$15="Actual",ISBLANK($E$8)),SUMIFS('[1]NS Vendor Details'!$D:$D,'[1]NS Vendor Details'!$H:$H,'G&amp;A Vendor x GL Analysis'!L$20,'[1]NS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Analysis'!L$20,'[1]NS Vendor Details'!$O:$O,'G&amp;A Vendor x GL Analysis'!$F180,'[1]NS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Analysis'!L$20,'[1]NS Vendor Details'!$O:$O,'G&amp;A Vendor x GL Analysis'!$F180,'[1]NS Vendor Details'!$N:$N,"Direct Costs",'[1]NS Vendor Details'!$J:$J,0,'[1]NS Vendor Details'!$K:$K,'G&amp;A Vendor x GL Analysis'!$E$8,'[1]NS Vendor Details'!$L:$L,"Freight"),0))</f>
        <v>3563.95</v>
      </c>
      <c r="M180" s="17">
        <f>IF(AND(M$15="Actual",ISBLANK($E$8)),SUMIFS('[1]NS Vendor Details'!$D:$D,'[1]NS Vendor Details'!$H:$H,'G&amp;A Vendor x GL Analysis'!M$20,'[1]NS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Analysis'!M$20,'[1]NS Vendor Details'!$O:$O,'G&amp;A Vendor x GL Analysis'!$F180,'[1]NS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Analysis'!M$20,'[1]NS Vendor Details'!$O:$O,'G&amp;A Vendor x GL Analysis'!$F180,'[1]NS Vendor Details'!$N:$N,"Direct Costs",'[1]NS Vendor Details'!$J:$J,0,'[1]NS Vendor Details'!$K:$K,'G&amp;A Vendor x GL Analysis'!$E$8,'[1]NS Vendor Details'!$L:$L,"Freight"),0))</f>
        <v>3908.35</v>
      </c>
      <c r="N180" s="17">
        <f>IF(AND(N$15="Actual",ISBLANK($E$8)),SUMIFS('[1]NS Vendor Details'!$D:$D,'[1]NS Vendor Details'!$H:$H,'G&amp;A Vendor x GL Analysis'!N$20,'[1]NS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Analysis'!N$20,'[1]NS Vendor Details'!$O:$O,'G&amp;A Vendor x GL Analysis'!$F180,'[1]NS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Analysis'!N$20,'[1]NS Vendor Details'!$O:$O,'G&amp;A Vendor x GL Analysis'!$F180,'[1]NS Vendor Details'!$N:$N,"Direct Costs",'[1]NS Vendor Details'!$J:$J,0,'[1]NS Vendor Details'!$K:$K,'G&amp;A Vendor x GL Analysis'!$E$8,'[1]NS Vendor Details'!$L:$L,"Freight"),0))</f>
        <v>3693.18</v>
      </c>
      <c r="O180" s="17">
        <f>IF(AND(O$15="Actual",ISBLANK($E$8)),SUMIFS('[1]NS Vendor Details'!$D:$D,'[1]NS Vendor Details'!$H:$H,'G&amp;A Vendor x GL Analysis'!O$20,'[1]NS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Analysis'!O$20,'[1]NS Vendor Details'!$O:$O,'G&amp;A Vendor x GL Analysis'!$F180,'[1]NS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Analysis'!O$20,'[1]NS Vendor Details'!$O:$O,'G&amp;A Vendor x GL Analysis'!$F180,'[1]NS Vendor Details'!$N:$N,"Direct Costs",'[1]NS Vendor Details'!$J:$J,0,'[1]NS Vendor Details'!$K:$K,'G&amp;A Vendor x GL Analysis'!$E$8,'[1]NS Vendor Details'!$L:$L,"Freight"),0))</f>
        <v>9103.4900000000016</v>
      </c>
      <c r="P180" s="17">
        <f>IF(AND(P$15="Actual",ISBLANK($E$8)),SUMIFS('[1]NS Vendor Details'!$D:$D,'[1]NS Vendor Details'!$H:$H,'G&amp;A Vendor x GL Analysis'!P$20,'[1]NS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Analysis'!P$20,'[1]NS Vendor Details'!$O:$O,'G&amp;A Vendor x GL Analysis'!$F180,'[1]NS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Analysis'!P$20,'[1]NS Vendor Details'!$O:$O,'G&amp;A Vendor x GL Analysis'!$F180,'[1]NS Vendor Details'!$N:$N,"Direct Costs",'[1]NS Vendor Details'!$J:$J,0,'[1]NS Vendor Details'!$K:$K,'G&amp;A Vendor x GL Analysis'!$E$8,'[1]NS Vendor Details'!$L:$L,"Freight"),0))</f>
        <v>8232.0499999999993</v>
      </c>
      <c r="Q180" s="17">
        <f>IF(AND(Q$15="Actual",ISBLANK($E$8)),SUMIFS('[1]NS Vendor Details'!$D:$D,'[1]NS Vendor Details'!$H:$H,'G&amp;A Vendor x GL Analysis'!Q$20,'[1]NS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Analysis'!Q$20,'[1]NS Vendor Details'!$O:$O,'G&amp;A Vendor x GL Analysis'!$F180,'[1]NS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Analysis'!Q$20,'[1]NS Vendor Details'!$O:$O,'G&amp;A Vendor x GL Analysis'!$F180,'[1]NS Vendor Details'!$N:$N,"Direct Costs",'[1]NS Vendor Details'!$J:$J,0,'[1]NS Vendor Details'!$K:$K,'G&amp;A Vendor x GL Analysis'!$E$8,'[1]NS Vendor Details'!$L:$L,"Freight"),0))</f>
        <v>5469.5899999999992</v>
      </c>
      <c r="R180" s="18">
        <f>IF(AND(R$15="Actual",ISBLANK($E$8)),SUMIFS('[1]NS Vendor Details'!$D:$D,'[1]NS Vendor Details'!$H:$H,'G&amp;A Vendor x GL Analysis'!R$20,'[1]NS Vendor Details'!$L:$L,'G&amp;A Vendor x GL Analysis'!$D180,'[1]NS Vendor Details'!$O:$O,'G&amp;A Vendor x GL Analysis'!$F180,'[1]NS Vendor Details'!$N:$N,'G&amp;A Vendor x GL Analysis'!$C180)+SUMIFS('[1]NS Vendor Details'!$D:$D,'[1]NS Vendor Details'!$H:$H,'G&amp;A Vendor x GL Analysis'!R$20,'[1]NS Vendor Details'!$O:$O,'G&amp;A Vendor x GL Analysis'!$F180,'[1]NS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Analysis'!$D180,'[1]NS Vendor Details'!$O:$O,'G&amp;A Vendor x GL Analysis'!$F180,'[1]NS Vendor Details'!$N:$N,'G&amp;A Vendor x GL Analysis'!$C180,'[1]NS Vendor Details'!$K:$K,'G&amp;A Vendor x GL Analysis'!$E$8)+SUMIFS('[1]NS Vendor Details'!$D:$D,'[1]NS Vendor Details'!$H:$H,'G&amp;A Vendor x GL Analysis'!R$20,'[1]NS Vendor Details'!$O:$O,'G&amp;A Vendor x GL Analysis'!$F180,'[1]NS Vendor Details'!$N:$N,"Direct Costs",'[1]NS Vendor Details'!$J:$J,0,'[1]NS Vendor Details'!$K:$K,'G&amp;A Vendor x GL Analysis'!$E$8,'[1]NS Vendor Details'!$L:$L,"Freight"),0))</f>
        <v>5158.51</v>
      </c>
      <c r="S180" s="16">
        <f>IF(AND(S$15="Actual",ISBLANK($E$8)),SUMIFS('[1]NS Vendor Details'!$D:$D,'[1]NS Vendor Details'!$H:$H,'G&amp;A Vendor x GL Analysis'!S$20,'[1]NS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Analysis'!S$20,'[1]NS Vendor Details'!$O:$O,'G&amp;A Vendor x GL Analysis'!$F180,'[1]NS Vendor Details'!$N:$N,"Direct Costs",'[1]NS Vendor Details'!$J:$J,0,'[1]NS Vendor Details'!$L:$L,"Freight",'[1]NS Vendor Details'!$I:$I,'G&amp;A Vendor x GL Analysis'!$E180),IF(S$15="Actual",SUMIFS('[1]NS Vendor Details'!$D:$D,'[1]NS Vendor Details'!$H:$H,'G&amp;A Vendor x GL Analysis'!S$20,'[1]NS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Analysis'!S$20,'[1]NS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2147.85</v>
      </c>
      <c r="T180" s="17">
        <f>IF(AND(T$15="Actual",ISBLANK($E$8)),SUMIFS('[1]NS Vendor Details'!$D:$D,'[1]NS Vendor Details'!$H:$H,'G&amp;A Vendor x GL Analysis'!T$20,'[1]NS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Analysis'!T$20,'[1]NS Vendor Details'!$O:$O,'G&amp;A Vendor x GL Analysis'!$F180,'[1]NS Vendor Details'!$N:$N,"Direct Costs",'[1]NS Vendor Details'!$J:$J,0,'[1]NS Vendor Details'!$L:$L,"Freight",'[1]NS Vendor Details'!$I:$I,'G&amp;A Vendor x GL Analysis'!$E180),IF(T$15="Actual",SUMIFS('[1]NS Vendor Details'!$D:$D,'[1]NS Vendor Details'!$H:$H,'G&amp;A Vendor x GL Analysis'!T$20,'[1]NS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Analysis'!T$20,'[1]NS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9628.4999999999982</v>
      </c>
      <c r="U180" s="17">
        <f>IF(AND(U$15="Actual",ISBLANK($E$8)),SUMIFS('[1]NS Vendor Details'!$D:$D,'[1]NS Vendor Details'!$H:$H,'G&amp;A Vendor x GL Analysis'!U$20,'[1]NS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Analysis'!U$20,'[1]NS Vendor Details'!$O:$O,'G&amp;A Vendor x GL Analysis'!$F180,'[1]NS Vendor Details'!$N:$N,"Direct Costs",'[1]NS Vendor Details'!$J:$J,0,'[1]NS Vendor Details'!$L:$L,"Freight",'[1]NS Vendor Details'!$I:$I,'G&amp;A Vendor x GL Analysis'!$E180),IF(U$15="Actual",SUMIFS('[1]NS Vendor Details'!$D:$D,'[1]NS Vendor Details'!$H:$H,'G&amp;A Vendor x GL Analysis'!U$20,'[1]NS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Analysis'!U$20,'[1]NS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6565.69</v>
      </c>
      <c r="V180" s="17">
        <f>IF(AND(V$15="Actual",ISBLANK($E$8)),SUMIFS('[1]NS Vendor Details'!$D:$D,'[1]NS Vendor Details'!$H:$H,'G&amp;A Vendor x GL Analysis'!V$20,'[1]NS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Analysis'!V$20,'[1]NS Vendor Details'!$O:$O,'G&amp;A Vendor x GL Analysis'!$F180,'[1]NS Vendor Details'!$N:$N,"Direct Costs",'[1]NS Vendor Details'!$J:$J,0,'[1]NS Vendor Details'!$L:$L,"Freight",'[1]NS Vendor Details'!$I:$I,'G&amp;A Vendor x GL Analysis'!$E180),IF(V$15="Actual",SUMIFS('[1]NS Vendor Details'!$D:$D,'[1]NS Vendor Details'!$H:$H,'G&amp;A Vendor x GL Analysis'!V$20,'[1]NS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Analysis'!V$20,'[1]NS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5405.78</v>
      </c>
      <c r="W180" s="17">
        <f>IF(AND(W$15="Actual",ISBLANK($E$8)),SUMIFS('[1]NS Vendor Details'!$D:$D,'[1]NS Vendor Details'!$H:$H,'G&amp;A Vendor x GL Analysis'!W$20,'[1]NS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Analysis'!W$20,'[1]NS Vendor Details'!$O:$O,'G&amp;A Vendor x GL Analysis'!$F180,'[1]NS Vendor Details'!$N:$N,"Direct Costs",'[1]NS Vendor Details'!$J:$J,0,'[1]NS Vendor Details'!$L:$L,"Freight",'[1]NS Vendor Details'!$I:$I,'G&amp;A Vendor x GL Analysis'!$E180),IF(W$15="Actual",SUMIFS('[1]NS Vendor Details'!$D:$D,'[1]NS Vendor Details'!$H:$H,'G&amp;A Vendor x GL Analysis'!W$20,'[1]NS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Analysis'!W$20,'[1]NS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7994.4199999999983</v>
      </c>
      <c r="X180" s="17">
        <f>IF(AND(X$15="Actual",ISBLANK($E$8)),SUMIFS('[1]NS Vendor Details'!$D:$D,'[1]NS Vendor Details'!$H:$H,'G&amp;A Vendor x GL Analysis'!X$20,'[1]NS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Analysis'!X$20,'[1]NS Vendor Details'!$O:$O,'G&amp;A Vendor x GL Analysis'!$F180,'[1]NS Vendor Details'!$N:$N,"Direct Costs",'[1]NS Vendor Details'!$J:$J,0,'[1]NS Vendor Details'!$L:$L,"Freight",'[1]NS Vendor Details'!$I:$I,'G&amp;A Vendor x GL Analysis'!$E180),IF(X$15="Actual",SUMIFS('[1]NS Vendor Details'!$D:$D,'[1]NS Vendor Details'!$H:$H,'G&amp;A Vendor x GL Analysis'!X$20,'[1]NS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Analysis'!X$20,'[1]NS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4595.59</v>
      </c>
      <c r="Y180" s="17">
        <f>IF(AND(Y$15="Actual",ISBLANK($E$8)),SUMIFS('[1]NS Vendor Details'!$D:$D,'[1]NS Vendor Details'!$H:$H,'G&amp;A Vendor x GL Analysis'!Y$20,'[1]NS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Analysis'!Y$20,'[1]NS Vendor Details'!$O:$O,'G&amp;A Vendor x GL Analysis'!$F180,'[1]NS Vendor Details'!$N:$N,"Direct Costs",'[1]NS Vendor Details'!$J:$J,0,'[1]NS Vendor Details'!$L:$L,"Freight",'[1]NS Vendor Details'!$I:$I,'G&amp;A Vendor x GL Analysis'!$E180),IF(Y$15="Actual",SUMIFS('[1]NS Vendor Details'!$D:$D,'[1]NS Vendor Details'!$H:$H,'G&amp;A Vendor x GL Analysis'!Y$20,'[1]NS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Analysis'!Y$20,'[1]NS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5137.1699999999992</v>
      </c>
      <c r="Z180" s="17">
        <f>IF(AND(Z$15="Actual",ISBLANK($E$8)),SUMIFS('[1]NS Vendor Details'!$D:$D,'[1]NS Vendor Details'!$H:$H,'G&amp;A Vendor x GL Analysis'!Z$20,'[1]NS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Analysis'!Z$20,'[1]NS Vendor Details'!$O:$O,'G&amp;A Vendor x GL Analysis'!$F180,'[1]NS Vendor Details'!$N:$N,"Direct Costs",'[1]NS Vendor Details'!$J:$J,0,'[1]NS Vendor Details'!$L:$L,"Freight",'[1]NS Vendor Details'!$I:$I,'G&amp;A Vendor x GL Analysis'!$E180),IF(Z$15="Actual",SUMIFS('[1]NS Vendor Details'!$D:$D,'[1]NS Vendor Details'!$H:$H,'G&amp;A Vendor x GL Analysis'!Z$20,'[1]NS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Analysis'!Z$20,'[1]NS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4393.2699999999995</v>
      </c>
      <c r="AA180" s="17">
        <f>IF(AND(AA$15="Actual",ISBLANK($E$8)),SUMIFS('[1]NS Vendor Details'!$D:$D,'[1]NS Vendor Details'!$H:$H,'G&amp;A Vendor x GL Analysis'!AA$20,'[1]NS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Analysis'!AA$20,'[1]NS Vendor Details'!$O:$O,'G&amp;A Vendor x GL Analysis'!$F180,'[1]NS Vendor Details'!$N:$N,"Direct Costs",'[1]NS Vendor Details'!$J:$J,0,'[1]NS Vendor Details'!$L:$L,"Freight",'[1]NS Vendor Details'!$I:$I,'G&amp;A Vendor x GL Analysis'!$E180),IF(AA$15="Actual",SUMIFS('[1]NS Vendor Details'!$D:$D,'[1]NS Vendor Details'!$H:$H,'G&amp;A Vendor x GL Analysis'!AA$20,'[1]NS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Analysis'!AA$20,'[1]NS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7211.42</v>
      </c>
      <c r="AB180" s="17">
        <f>IF(AND(AB$15="Actual",ISBLANK($E$8)),SUMIFS('[1]NS Vendor Details'!$D:$D,'[1]NS Vendor Details'!$H:$H,'G&amp;A Vendor x GL Analysis'!AB$20,'[1]NS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Analysis'!AB$20,'[1]NS Vendor Details'!$O:$O,'G&amp;A Vendor x GL Analysis'!$F180,'[1]NS Vendor Details'!$N:$N,"Direct Costs",'[1]NS Vendor Details'!$J:$J,0,'[1]NS Vendor Details'!$L:$L,"Freight",'[1]NS Vendor Details'!$I:$I,'G&amp;A Vendor x GL Analysis'!$E180),IF(AB$15="Actual",SUMIFS('[1]NS Vendor Details'!$D:$D,'[1]NS Vendor Details'!$H:$H,'G&amp;A Vendor x GL Analysis'!AB$20,'[1]NS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Analysis'!AB$20,'[1]NS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8625.3100000000068</v>
      </c>
      <c r="AC180" s="18">
        <f>IF(AND(AC$15="Actual",ISBLANK($E$8)),SUMIFS('[1]NS Vendor Details'!$D:$D,'[1]NS Vendor Details'!$H:$H,'G&amp;A Vendor x GL Analysis'!AC$20,'[1]NS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Analysis'!AC$20,'[1]NS Vendor Details'!$O:$O,'G&amp;A Vendor x GL Analysis'!$F180,'[1]NS Vendor Details'!$N:$N,"Direct Costs",'[1]NS Vendor Details'!$J:$J,0,'[1]NS Vendor Details'!$L:$L,"Freight",'[1]NS Vendor Details'!$I:$I,'G&amp;A Vendor x GL Analysis'!$E180),IF(AC$15="Actual",SUMIFS('[1]NS Vendor Details'!$D:$D,'[1]NS Vendor Details'!$H:$H,'G&amp;A Vendor x GL Analysis'!AC$20,'[1]NS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Analysis'!AC$20,'[1]NS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3262.4</v>
      </c>
      <c r="AD180" s="18">
        <f>IF(AND(AD$15="Actual",ISBLANK($E$8)),SUMIFS('[1]NS Vendor Details'!$D:$D,'[1]NS Vendor Details'!$H:$H,'G&amp;A Vendor x GL Analysis'!AD$20,'[1]NS Vendor Details'!$L:$L,'G&amp;A Vendor x GL Analysis'!$D180,'[1]NS Vendor Details'!$O:$O,'G&amp;A Vendor x GL Analysis'!$F180,'[1]NS Vendor Details'!$N:$N,'G&amp;A Vendor x GL Analysis'!$C180,'[1]NS Vendor Details'!$I:$I,'G&amp;A Vendor x GL Analysis'!$E180)+SUMIFS('[1]NS Vendor Details'!$D:$D,'[1]NS Vendor Details'!$H:$H,'G&amp;A Vendor x GL Analysis'!AD$20,'[1]NS Vendor Details'!$O:$O,'G&amp;A Vendor x GL Analysis'!$F180,'[1]NS Vendor Details'!$N:$N,"Direct Costs",'[1]NS Vendor Details'!$J:$J,0,'[1]NS Vendor Details'!$L:$L,"Freight",'[1]NS Vendor Details'!$I:$I,'G&amp;A Vendor x GL Analysis'!$E180),IF(AD$15="Actual",SUMIFS('[1]NS Vendor Details'!$D:$D,'[1]NS Vendor Details'!$H:$H,'G&amp;A Vendor x GL Analysis'!AD$20,'[1]NS Vendor Details'!$L:$L,'G&amp;A Vendor x GL Analysis'!$D180,'[1]NS Vendor Details'!$O:$O,'G&amp;A Vendor x GL Analysis'!$F180,'[1]NS Vendor Details'!$N:$N,'G&amp;A Vendor x GL Analysis'!$C180,'[1]NS Vendor Details'!$K:$K,'G&amp;A Vendor x GL Analysis'!$E$8,'[1]NS Vendor Details'!$I:$I,'G&amp;A Vendor x GL Analysis'!$E180)+SUMIFS('[1]NS Vendor Details'!$D:$D,'[1]NS Vendor Details'!$H:$H,'G&amp;A Vendor x GL Analysis'!AD$20,'[1]NS Vendor Details'!$O:$O,'G&amp;A Vendor x GL Analysis'!$F180,'[1]NS Vendor Details'!$N:$N,"Direct Costs",'[1]NS Vendor Details'!$J:$J,0,'[1]NS Vendor Details'!$K:$K,'G&amp;A Vendor x GL Analysis'!$E$8,'[1]NS Vendor Details'!$L:$L,"Freight",'[1]NS Vendor Details'!$I:$I,'G&amp;A Vendor x GL Analysis'!$E180),0))</f>
        <v>0</v>
      </c>
      <c r="AF180" s="19">
        <f t="shared" si="29"/>
        <v>64967.399999999994</v>
      </c>
    </row>
    <row r="181" spans="1:32" outlineLevel="1">
      <c r="A181" s="8" t="str">
        <f t="shared" si="26"/>
        <v>Other6375 - Freight Expenses</v>
      </c>
      <c r="C181" s="8" t="s">
        <v>11</v>
      </c>
      <c r="D181" s="8" t="str">
        <f t="shared" ref="D181:D184" si="30">D171</f>
        <v>Other</v>
      </c>
      <c r="E181" s="2" t="s">
        <v>162</v>
      </c>
      <c r="F181" s="2" t="s">
        <v>166</v>
      </c>
      <c r="G181" s="16">
        <f>IF(AND(G$15="Actual",ISBLANK($E$8)),SUMIFS('[1]NS Vendor Details'!$D:$D,'[1]NS Vendor Details'!$H:$H,'G&amp;A Vendor x GL Analysis'!G$20,'[1]NS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Analysis'!G$20,'[1]NS Vendor Details'!$O:$O,'G&amp;A Vendor x GL Analysis'!$F181,'[1]NS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Analysis'!G$20,'[1]NS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H181" s="17">
        <f>IF(AND(H$15="Actual",ISBLANK($E$8)),SUMIFS('[1]NS Vendor Details'!$D:$D,'[1]NS Vendor Details'!$H:$H,'G&amp;A Vendor x GL Analysis'!H$20,'[1]NS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Analysis'!H$20,'[1]NS Vendor Details'!$O:$O,'G&amp;A Vendor x GL Analysis'!$F181,'[1]NS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Analysis'!H$20,'[1]NS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I181" s="17">
        <f>IF(AND(I$15="Actual",ISBLANK($E$8)),SUMIFS('[1]NS Vendor Details'!$D:$D,'[1]NS Vendor Details'!$H:$H,'G&amp;A Vendor x GL Analysis'!I$20,'[1]NS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Analysis'!I$20,'[1]NS Vendor Details'!$O:$O,'G&amp;A Vendor x GL Analysis'!$F181,'[1]NS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Analysis'!I$20,'[1]NS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J181" s="17">
        <f>IF(AND(J$15="Actual",ISBLANK($E$8)),SUMIFS('[1]NS Vendor Details'!$D:$D,'[1]NS Vendor Details'!$H:$H,'G&amp;A Vendor x GL Analysis'!J$20,'[1]NS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Analysis'!J$20,'[1]NS Vendor Details'!$O:$O,'G&amp;A Vendor x GL Analysis'!$F181,'[1]NS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Analysis'!J$20,'[1]NS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K181" s="17">
        <f>IF(AND(K$15="Actual",ISBLANK($E$8)),SUMIFS('[1]NS Vendor Details'!$D:$D,'[1]NS Vendor Details'!$H:$H,'G&amp;A Vendor x GL Analysis'!K$20,'[1]NS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Analysis'!K$20,'[1]NS Vendor Details'!$O:$O,'G&amp;A Vendor x GL Analysis'!$F181,'[1]NS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Analysis'!K$20,'[1]NS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L181" s="17">
        <f>IF(AND(L$15="Actual",ISBLANK($E$8)),SUMIFS('[1]NS Vendor Details'!$D:$D,'[1]NS Vendor Details'!$H:$H,'G&amp;A Vendor x GL Analysis'!L$20,'[1]NS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Analysis'!L$20,'[1]NS Vendor Details'!$O:$O,'G&amp;A Vendor x GL Analysis'!$F181,'[1]NS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Analysis'!L$20,'[1]NS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M181" s="17">
        <f>IF(AND(M$15="Actual",ISBLANK($E$8)),SUMIFS('[1]NS Vendor Details'!$D:$D,'[1]NS Vendor Details'!$H:$H,'G&amp;A Vendor x GL Analysis'!M$20,'[1]NS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Analysis'!M$20,'[1]NS Vendor Details'!$O:$O,'G&amp;A Vendor x GL Analysis'!$F181,'[1]NS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Analysis'!M$20,'[1]NS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N181" s="17">
        <f>IF(AND(N$15="Actual",ISBLANK($E$8)),SUMIFS('[1]NS Vendor Details'!$D:$D,'[1]NS Vendor Details'!$H:$H,'G&amp;A Vendor x GL Analysis'!N$20,'[1]NS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Analysis'!N$20,'[1]NS Vendor Details'!$O:$O,'G&amp;A Vendor x GL Analysis'!$F181,'[1]NS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Analysis'!N$20,'[1]NS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O181" s="17">
        <f>IF(AND(O$15="Actual",ISBLANK($E$8)),SUMIFS('[1]NS Vendor Details'!$D:$D,'[1]NS Vendor Details'!$H:$H,'G&amp;A Vendor x GL Analysis'!O$20,'[1]NS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Analysis'!O$20,'[1]NS Vendor Details'!$O:$O,'G&amp;A Vendor x GL Analysis'!$F181,'[1]NS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Analysis'!O$20,'[1]NS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P181" s="17">
        <f>IF(AND(P$15="Actual",ISBLANK($E$8)),SUMIFS('[1]NS Vendor Details'!$D:$D,'[1]NS Vendor Details'!$H:$H,'G&amp;A Vendor x GL Analysis'!P$20,'[1]NS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Analysis'!P$20,'[1]NS Vendor Details'!$O:$O,'G&amp;A Vendor x GL Analysis'!$F181,'[1]NS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Analysis'!P$20,'[1]NS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Q181" s="17">
        <f>IF(AND(Q$15="Actual",ISBLANK($E$8)),SUMIFS('[1]NS Vendor Details'!$D:$D,'[1]NS Vendor Details'!$H:$H,'G&amp;A Vendor x GL Analysis'!Q$20,'[1]NS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Analysis'!Q$20,'[1]NS Vendor Details'!$O:$O,'G&amp;A Vendor x GL Analysis'!$F181,'[1]NS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Analysis'!Q$20,'[1]NS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R181" s="18">
        <f>IF(AND(R$15="Actual",ISBLANK($E$8)),SUMIFS('[1]NS Vendor Details'!$D:$D,'[1]NS Vendor Details'!$H:$H,'G&amp;A Vendor x GL Analysis'!R$20,'[1]NS Vendor Details'!$L:$L,'G&amp;A Vendor x GL Analysis'!$D181,'[1]NS Vendor Details'!$O:$O,'G&amp;A Vendor x GL Analysis'!$F181,'[1]NS Vendor Details'!$N:$N,'G&amp;A Vendor x GL Analysis'!$C181)+SUMIFS('[1]NS Vendor Details'!$D:$D,'[1]NS Vendor Details'!$H:$H,'G&amp;A Vendor x GL Analysis'!R$20,'[1]NS Vendor Details'!$O:$O,'G&amp;A Vendor x GL Analysis'!$F181,'[1]NS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Analysis'!$D181,'[1]NS Vendor Details'!$O:$O,'G&amp;A Vendor x GL Analysis'!$F181,'[1]NS Vendor Details'!$N:$N,'G&amp;A Vendor x GL Analysis'!$C181,'[1]NS Vendor Details'!$K:$K,'G&amp;A Vendor x GL Analysis'!$E$8)+SUMIFS('[1]NS Vendor Details'!$D:$D,'[1]NS Vendor Details'!$H:$H,'G&amp;A Vendor x GL Analysis'!R$20,'[1]NS Vendor Details'!$O:$O,'G&amp;A Vendor x GL Analysis'!$F181,'[1]NS Vendor Details'!$N:$N,"Direct Costs",'[1]NS Vendor Details'!$J:$J,0,'[1]NS Vendor Details'!$K:$K,'G&amp;A Vendor x GL Analysis'!$E$8,'[1]NS Vendor Details'!$L:$L,"Freight"),0))</f>
        <v>0</v>
      </c>
      <c r="S181" s="16">
        <f>IF(AND(S$15="Actual",ISBLANK($E$8)),SUMIFS('[1]NS Vendor Details'!$D:$D,'[1]NS Vendor Details'!$H:$H,'G&amp;A Vendor x GL Analysis'!S$20,'[1]NS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Analysis'!S$20,'[1]NS Vendor Details'!$O:$O,'G&amp;A Vendor x GL Analysis'!$F181,'[1]NS Vendor Details'!$N:$N,"Direct Costs",'[1]NS Vendor Details'!$J:$J,0,'[1]NS Vendor Details'!$L:$L,"Freight",'[1]NS Vendor Details'!$I:$I,'G&amp;A Vendor x GL Analysis'!$E181),IF(S$15="Actual",SUMIFS('[1]NS Vendor Details'!$D:$D,'[1]NS Vendor Details'!$H:$H,'G&amp;A Vendor x GL Analysis'!S$20,'[1]NS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Analysis'!S$20,'[1]NS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T181" s="17">
        <f>IF(AND(T$15="Actual",ISBLANK($E$8)),SUMIFS('[1]NS Vendor Details'!$D:$D,'[1]NS Vendor Details'!$H:$H,'G&amp;A Vendor x GL Analysis'!T$20,'[1]NS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Analysis'!T$20,'[1]NS Vendor Details'!$O:$O,'G&amp;A Vendor x GL Analysis'!$F181,'[1]NS Vendor Details'!$N:$N,"Direct Costs",'[1]NS Vendor Details'!$J:$J,0,'[1]NS Vendor Details'!$L:$L,"Freight",'[1]NS Vendor Details'!$I:$I,'G&amp;A Vendor x GL Analysis'!$E181),IF(T$15="Actual",SUMIFS('[1]NS Vendor Details'!$D:$D,'[1]NS Vendor Details'!$H:$H,'G&amp;A Vendor x GL Analysis'!T$20,'[1]NS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Analysis'!T$20,'[1]NS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U181" s="17">
        <f>IF(AND(U$15="Actual",ISBLANK($E$8)),SUMIFS('[1]NS Vendor Details'!$D:$D,'[1]NS Vendor Details'!$H:$H,'G&amp;A Vendor x GL Analysis'!U$20,'[1]NS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Analysis'!U$20,'[1]NS Vendor Details'!$O:$O,'G&amp;A Vendor x GL Analysis'!$F181,'[1]NS Vendor Details'!$N:$N,"Direct Costs",'[1]NS Vendor Details'!$J:$J,0,'[1]NS Vendor Details'!$L:$L,"Freight",'[1]NS Vendor Details'!$I:$I,'G&amp;A Vendor x GL Analysis'!$E181),IF(U$15="Actual",SUMIFS('[1]NS Vendor Details'!$D:$D,'[1]NS Vendor Details'!$H:$H,'G&amp;A Vendor x GL Analysis'!U$20,'[1]NS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Analysis'!U$20,'[1]NS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V181" s="17">
        <f>IF(AND(V$15="Actual",ISBLANK($E$8)),SUMIFS('[1]NS Vendor Details'!$D:$D,'[1]NS Vendor Details'!$H:$H,'G&amp;A Vendor x GL Analysis'!V$20,'[1]NS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Analysis'!V$20,'[1]NS Vendor Details'!$O:$O,'G&amp;A Vendor x GL Analysis'!$F181,'[1]NS Vendor Details'!$N:$N,"Direct Costs",'[1]NS Vendor Details'!$J:$J,0,'[1]NS Vendor Details'!$L:$L,"Freight",'[1]NS Vendor Details'!$I:$I,'G&amp;A Vendor x GL Analysis'!$E181),IF(V$15="Actual",SUMIFS('[1]NS Vendor Details'!$D:$D,'[1]NS Vendor Details'!$H:$H,'G&amp;A Vendor x GL Analysis'!V$20,'[1]NS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Analysis'!V$20,'[1]NS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W181" s="17">
        <f>IF(AND(W$15="Actual",ISBLANK($E$8)),SUMIFS('[1]NS Vendor Details'!$D:$D,'[1]NS Vendor Details'!$H:$H,'G&amp;A Vendor x GL Analysis'!W$20,'[1]NS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Analysis'!W$20,'[1]NS Vendor Details'!$O:$O,'G&amp;A Vendor x GL Analysis'!$F181,'[1]NS Vendor Details'!$N:$N,"Direct Costs",'[1]NS Vendor Details'!$J:$J,0,'[1]NS Vendor Details'!$L:$L,"Freight",'[1]NS Vendor Details'!$I:$I,'G&amp;A Vendor x GL Analysis'!$E181),IF(W$15="Actual",SUMIFS('[1]NS Vendor Details'!$D:$D,'[1]NS Vendor Details'!$H:$H,'G&amp;A Vendor x GL Analysis'!W$20,'[1]NS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Analysis'!W$20,'[1]NS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X181" s="17">
        <f>IF(AND(X$15="Actual",ISBLANK($E$8)),SUMIFS('[1]NS Vendor Details'!$D:$D,'[1]NS Vendor Details'!$H:$H,'G&amp;A Vendor x GL Analysis'!X$20,'[1]NS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Analysis'!X$20,'[1]NS Vendor Details'!$O:$O,'G&amp;A Vendor x GL Analysis'!$F181,'[1]NS Vendor Details'!$N:$N,"Direct Costs",'[1]NS Vendor Details'!$J:$J,0,'[1]NS Vendor Details'!$L:$L,"Freight",'[1]NS Vendor Details'!$I:$I,'G&amp;A Vendor x GL Analysis'!$E181),IF(X$15="Actual",SUMIFS('[1]NS Vendor Details'!$D:$D,'[1]NS Vendor Details'!$H:$H,'G&amp;A Vendor x GL Analysis'!X$20,'[1]NS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Analysis'!X$20,'[1]NS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Y181" s="17">
        <f>IF(AND(Y$15="Actual",ISBLANK($E$8)),SUMIFS('[1]NS Vendor Details'!$D:$D,'[1]NS Vendor Details'!$H:$H,'G&amp;A Vendor x GL Analysis'!Y$20,'[1]NS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Analysis'!Y$20,'[1]NS Vendor Details'!$O:$O,'G&amp;A Vendor x GL Analysis'!$F181,'[1]NS Vendor Details'!$N:$N,"Direct Costs",'[1]NS Vendor Details'!$J:$J,0,'[1]NS Vendor Details'!$L:$L,"Freight",'[1]NS Vendor Details'!$I:$I,'G&amp;A Vendor x GL Analysis'!$E181),IF(Y$15="Actual",SUMIFS('[1]NS Vendor Details'!$D:$D,'[1]NS Vendor Details'!$H:$H,'G&amp;A Vendor x GL Analysis'!Y$20,'[1]NS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Analysis'!Y$20,'[1]NS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Z181" s="17">
        <f>IF(AND(Z$15="Actual",ISBLANK($E$8)),SUMIFS('[1]NS Vendor Details'!$D:$D,'[1]NS Vendor Details'!$H:$H,'G&amp;A Vendor x GL Analysis'!Z$20,'[1]NS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Analysis'!Z$20,'[1]NS Vendor Details'!$O:$O,'G&amp;A Vendor x GL Analysis'!$F181,'[1]NS Vendor Details'!$N:$N,"Direct Costs",'[1]NS Vendor Details'!$J:$J,0,'[1]NS Vendor Details'!$L:$L,"Freight",'[1]NS Vendor Details'!$I:$I,'G&amp;A Vendor x GL Analysis'!$E181),IF(Z$15="Actual",SUMIFS('[1]NS Vendor Details'!$D:$D,'[1]NS Vendor Details'!$H:$H,'G&amp;A Vendor x GL Analysis'!Z$20,'[1]NS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Analysis'!Z$20,'[1]NS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AA181" s="17">
        <f>IF(AND(AA$15="Actual",ISBLANK($E$8)),SUMIFS('[1]NS Vendor Details'!$D:$D,'[1]NS Vendor Details'!$H:$H,'G&amp;A Vendor x GL Analysis'!AA$20,'[1]NS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Analysis'!AA$20,'[1]NS Vendor Details'!$O:$O,'G&amp;A Vendor x GL Analysis'!$F181,'[1]NS Vendor Details'!$N:$N,"Direct Costs",'[1]NS Vendor Details'!$J:$J,0,'[1]NS Vendor Details'!$L:$L,"Freight",'[1]NS Vendor Details'!$I:$I,'G&amp;A Vendor x GL Analysis'!$E181),IF(AA$15="Actual",SUMIFS('[1]NS Vendor Details'!$D:$D,'[1]NS Vendor Details'!$H:$H,'G&amp;A Vendor x GL Analysis'!AA$20,'[1]NS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Analysis'!AA$20,'[1]NS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AB181" s="17">
        <f>IF(AND(AB$15="Actual",ISBLANK($E$8)),SUMIFS('[1]NS Vendor Details'!$D:$D,'[1]NS Vendor Details'!$H:$H,'G&amp;A Vendor x GL Analysis'!AB$20,'[1]NS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Analysis'!AB$20,'[1]NS Vendor Details'!$O:$O,'G&amp;A Vendor x GL Analysis'!$F181,'[1]NS Vendor Details'!$N:$N,"Direct Costs",'[1]NS Vendor Details'!$J:$J,0,'[1]NS Vendor Details'!$L:$L,"Freight",'[1]NS Vendor Details'!$I:$I,'G&amp;A Vendor x GL Analysis'!$E181),IF(AB$15="Actual",SUMIFS('[1]NS Vendor Details'!$D:$D,'[1]NS Vendor Details'!$H:$H,'G&amp;A Vendor x GL Analysis'!AB$20,'[1]NS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Analysis'!AB$20,'[1]NS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AC181" s="18">
        <f>IF(AND(AC$15="Actual",ISBLANK($E$8)),SUMIFS('[1]NS Vendor Details'!$D:$D,'[1]NS Vendor Details'!$H:$H,'G&amp;A Vendor x GL Analysis'!AC$20,'[1]NS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Analysis'!AC$20,'[1]NS Vendor Details'!$O:$O,'G&amp;A Vendor x GL Analysis'!$F181,'[1]NS Vendor Details'!$N:$N,"Direct Costs",'[1]NS Vendor Details'!$J:$J,0,'[1]NS Vendor Details'!$L:$L,"Freight",'[1]NS Vendor Details'!$I:$I,'G&amp;A Vendor x GL Analysis'!$E181),IF(AC$15="Actual",SUMIFS('[1]NS Vendor Details'!$D:$D,'[1]NS Vendor Details'!$H:$H,'G&amp;A Vendor x GL Analysis'!AC$20,'[1]NS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Analysis'!AC$20,'[1]NS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AD181" s="18">
        <f>IF(AND(AD$15="Actual",ISBLANK($E$8)),SUMIFS('[1]NS Vendor Details'!$D:$D,'[1]NS Vendor Details'!$H:$H,'G&amp;A Vendor x GL Analysis'!AD$20,'[1]NS Vendor Details'!$L:$L,'G&amp;A Vendor x GL Analysis'!$D181,'[1]NS Vendor Details'!$O:$O,'G&amp;A Vendor x GL Analysis'!$F181,'[1]NS Vendor Details'!$N:$N,'G&amp;A Vendor x GL Analysis'!$C181,'[1]NS Vendor Details'!$I:$I,'G&amp;A Vendor x GL Analysis'!$E181)+SUMIFS('[1]NS Vendor Details'!$D:$D,'[1]NS Vendor Details'!$H:$H,'G&amp;A Vendor x GL Analysis'!AD$20,'[1]NS Vendor Details'!$O:$O,'G&amp;A Vendor x GL Analysis'!$F181,'[1]NS Vendor Details'!$N:$N,"Direct Costs",'[1]NS Vendor Details'!$J:$J,0,'[1]NS Vendor Details'!$L:$L,"Freight",'[1]NS Vendor Details'!$I:$I,'G&amp;A Vendor x GL Analysis'!$E181),IF(AD$15="Actual",SUMIFS('[1]NS Vendor Details'!$D:$D,'[1]NS Vendor Details'!$H:$H,'G&amp;A Vendor x GL Analysis'!AD$20,'[1]NS Vendor Details'!$L:$L,'G&amp;A Vendor x GL Analysis'!$D181,'[1]NS Vendor Details'!$O:$O,'G&amp;A Vendor x GL Analysis'!$F181,'[1]NS Vendor Details'!$N:$N,'G&amp;A Vendor x GL Analysis'!$C181,'[1]NS Vendor Details'!$K:$K,'G&amp;A Vendor x GL Analysis'!$E$8,'[1]NS Vendor Details'!$I:$I,'G&amp;A Vendor x GL Analysis'!$E181)+SUMIFS('[1]NS Vendor Details'!$D:$D,'[1]NS Vendor Details'!$H:$H,'G&amp;A Vendor x GL Analysis'!AD$20,'[1]NS Vendor Details'!$O:$O,'G&amp;A Vendor x GL Analysis'!$F181,'[1]NS Vendor Details'!$N:$N,"Direct Costs",'[1]NS Vendor Details'!$J:$J,0,'[1]NS Vendor Details'!$K:$K,'G&amp;A Vendor x GL Analysis'!$E$8,'[1]NS Vendor Details'!$L:$L,"Freight",'[1]NS Vendor Details'!$I:$I,'G&amp;A Vendor x GL Analysis'!$E181),0))</f>
        <v>0</v>
      </c>
      <c r="AF181" s="19">
        <f t="shared" si="29"/>
        <v>0</v>
      </c>
    </row>
    <row r="182" spans="1:32" outlineLevel="1">
      <c r="A182" s="8" t="str">
        <f t="shared" si="26"/>
        <v>Other6375 - Freight Expenses</v>
      </c>
      <c r="C182" s="8" t="s">
        <v>11</v>
      </c>
      <c r="D182" s="8" t="str">
        <f t="shared" si="30"/>
        <v>Other</v>
      </c>
      <c r="E182" s="2" t="s">
        <v>162</v>
      </c>
      <c r="F182" s="2" t="s">
        <v>167</v>
      </c>
      <c r="G182" s="16">
        <f>IF(AND(G$15="Actual",ISBLANK($E$8)),SUMIFS('[1]NS Vendor Details'!$D:$D,'[1]NS Vendor Details'!$H:$H,'G&amp;A Vendor x GL Analysis'!G$20,'[1]NS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Analysis'!G$20,'[1]NS Vendor Details'!$O:$O,'G&amp;A Vendor x GL Analysis'!$F182,'[1]NS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Analysis'!G$20,'[1]NS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H182" s="17">
        <f>IF(AND(H$15="Actual",ISBLANK($E$8)),SUMIFS('[1]NS Vendor Details'!$D:$D,'[1]NS Vendor Details'!$H:$H,'G&amp;A Vendor x GL Analysis'!H$20,'[1]NS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Analysis'!H$20,'[1]NS Vendor Details'!$O:$O,'G&amp;A Vendor x GL Analysis'!$F182,'[1]NS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Analysis'!H$20,'[1]NS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I182" s="17">
        <f>IF(AND(I$15="Actual",ISBLANK($E$8)),SUMIFS('[1]NS Vendor Details'!$D:$D,'[1]NS Vendor Details'!$H:$H,'G&amp;A Vendor x GL Analysis'!I$20,'[1]NS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Analysis'!I$20,'[1]NS Vendor Details'!$O:$O,'G&amp;A Vendor x GL Analysis'!$F182,'[1]NS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Analysis'!I$20,'[1]NS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J182" s="17">
        <f>IF(AND(J$15="Actual",ISBLANK($E$8)),SUMIFS('[1]NS Vendor Details'!$D:$D,'[1]NS Vendor Details'!$H:$H,'G&amp;A Vendor x GL Analysis'!J$20,'[1]NS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Analysis'!J$20,'[1]NS Vendor Details'!$O:$O,'G&amp;A Vendor x GL Analysis'!$F182,'[1]NS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Analysis'!J$20,'[1]NS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K182" s="17">
        <f>IF(AND(K$15="Actual",ISBLANK($E$8)),SUMIFS('[1]NS Vendor Details'!$D:$D,'[1]NS Vendor Details'!$H:$H,'G&amp;A Vendor x GL Analysis'!K$20,'[1]NS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Analysis'!K$20,'[1]NS Vendor Details'!$O:$O,'G&amp;A Vendor x GL Analysis'!$F182,'[1]NS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Analysis'!K$20,'[1]NS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L182" s="17">
        <f>IF(AND(L$15="Actual",ISBLANK($E$8)),SUMIFS('[1]NS Vendor Details'!$D:$D,'[1]NS Vendor Details'!$H:$H,'G&amp;A Vendor x GL Analysis'!L$20,'[1]NS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Analysis'!L$20,'[1]NS Vendor Details'!$O:$O,'G&amp;A Vendor x GL Analysis'!$F182,'[1]NS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Analysis'!L$20,'[1]NS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M182" s="17">
        <f>IF(AND(M$15="Actual",ISBLANK($E$8)),SUMIFS('[1]NS Vendor Details'!$D:$D,'[1]NS Vendor Details'!$H:$H,'G&amp;A Vendor x GL Analysis'!M$20,'[1]NS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Analysis'!M$20,'[1]NS Vendor Details'!$O:$O,'G&amp;A Vendor x GL Analysis'!$F182,'[1]NS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Analysis'!M$20,'[1]NS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N182" s="17">
        <f>IF(AND(N$15="Actual",ISBLANK($E$8)),SUMIFS('[1]NS Vendor Details'!$D:$D,'[1]NS Vendor Details'!$H:$H,'G&amp;A Vendor x GL Analysis'!N$20,'[1]NS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Analysis'!N$20,'[1]NS Vendor Details'!$O:$O,'G&amp;A Vendor x GL Analysis'!$F182,'[1]NS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Analysis'!N$20,'[1]NS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O182" s="17">
        <f>IF(AND(O$15="Actual",ISBLANK($E$8)),SUMIFS('[1]NS Vendor Details'!$D:$D,'[1]NS Vendor Details'!$H:$H,'G&amp;A Vendor x GL Analysis'!O$20,'[1]NS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Analysis'!O$20,'[1]NS Vendor Details'!$O:$O,'G&amp;A Vendor x GL Analysis'!$F182,'[1]NS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Analysis'!O$20,'[1]NS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P182" s="17">
        <f>IF(AND(P$15="Actual",ISBLANK($E$8)),SUMIFS('[1]NS Vendor Details'!$D:$D,'[1]NS Vendor Details'!$H:$H,'G&amp;A Vendor x GL Analysis'!P$20,'[1]NS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Analysis'!P$20,'[1]NS Vendor Details'!$O:$O,'G&amp;A Vendor x GL Analysis'!$F182,'[1]NS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Analysis'!P$20,'[1]NS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Q182" s="17">
        <f>IF(AND(Q$15="Actual",ISBLANK($E$8)),SUMIFS('[1]NS Vendor Details'!$D:$D,'[1]NS Vendor Details'!$H:$H,'G&amp;A Vendor x GL Analysis'!Q$20,'[1]NS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Analysis'!Q$20,'[1]NS Vendor Details'!$O:$O,'G&amp;A Vendor x GL Analysis'!$F182,'[1]NS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Analysis'!Q$20,'[1]NS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R182" s="18">
        <f>IF(AND(R$15="Actual",ISBLANK($E$8)),SUMIFS('[1]NS Vendor Details'!$D:$D,'[1]NS Vendor Details'!$H:$H,'G&amp;A Vendor x GL Analysis'!R$20,'[1]NS Vendor Details'!$L:$L,'G&amp;A Vendor x GL Analysis'!$D182,'[1]NS Vendor Details'!$O:$O,'G&amp;A Vendor x GL Analysis'!$F182,'[1]NS Vendor Details'!$N:$N,'G&amp;A Vendor x GL Analysis'!$C182)+SUMIFS('[1]NS Vendor Details'!$D:$D,'[1]NS Vendor Details'!$H:$H,'G&amp;A Vendor x GL Analysis'!R$20,'[1]NS Vendor Details'!$O:$O,'G&amp;A Vendor x GL Analysis'!$F182,'[1]NS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Analysis'!$D182,'[1]NS Vendor Details'!$O:$O,'G&amp;A Vendor x GL Analysis'!$F182,'[1]NS Vendor Details'!$N:$N,'G&amp;A Vendor x GL Analysis'!$C182,'[1]NS Vendor Details'!$K:$K,'G&amp;A Vendor x GL Analysis'!$E$8)+SUMIFS('[1]NS Vendor Details'!$D:$D,'[1]NS Vendor Details'!$H:$H,'G&amp;A Vendor x GL Analysis'!R$20,'[1]NS Vendor Details'!$O:$O,'G&amp;A Vendor x GL Analysis'!$F182,'[1]NS Vendor Details'!$N:$N,"Direct Costs",'[1]NS Vendor Details'!$J:$J,0,'[1]NS Vendor Details'!$K:$K,'G&amp;A Vendor x GL Analysis'!$E$8,'[1]NS Vendor Details'!$L:$L,"Freight"),0))</f>
        <v>0</v>
      </c>
      <c r="S182" s="16">
        <f>IF(AND(S$15="Actual",ISBLANK($E$8)),SUMIFS('[1]NS Vendor Details'!$D:$D,'[1]NS Vendor Details'!$H:$H,'G&amp;A Vendor x GL Analysis'!S$20,'[1]NS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Analysis'!S$20,'[1]NS Vendor Details'!$O:$O,'G&amp;A Vendor x GL Analysis'!$F182,'[1]NS Vendor Details'!$N:$N,"Direct Costs",'[1]NS Vendor Details'!$J:$J,0,'[1]NS Vendor Details'!$L:$L,"Freight",'[1]NS Vendor Details'!$I:$I,'G&amp;A Vendor x GL Analysis'!$E182),IF(S$15="Actual",SUMIFS('[1]NS Vendor Details'!$D:$D,'[1]NS Vendor Details'!$H:$H,'G&amp;A Vendor x GL Analysis'!S$20,'[1]NS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Analysis'!S$20,'[1]NS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95.15</v>
      </c>
      <c r="T182" s="17">
        <f>IF(AND(T$15="Actual",ISBLANK($E$8)),SUMIFS('[1]NS Vendor Details'!$D:$D,'[1]NS Vendor Details'!$H:$H,'G&amp;A Vendor x GL Analysis'!T$20,'[1]NS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Analysis'!T$20,'[1]NS Vendor Details'!$O:$O,'G&amp;A Vendor x GL Analysis'!$F182,'[1]NS Vendor Details'!$N:$N,"Direct Costs",'[1]NS Vendor Details'!$J:$J,0,'[1]NS Vendor Details'!$L:$L,"Freight",'[1]NS Vendor Details'!$I:$I,'G&amp;A Vendor x GL Analysis'!$E182),IF(T$15="Actual",SUMIFS('[1]NS Vendor Details'!$D:$D,'[1]NS Vendor Details'!$H:$H,'G&amp;A Vendor x GL Analysis'!T$20,'[1]NS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Analysis'!T$20,'[1]NS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35.53</v>
      </c>
      <c r="U182" s="17">
        <f>IF(AND(U$15="Actual",ISBLANK($E$8)),SUMIFS('[1]NS Vendor Details'!$D:$D,'[1]NS Vendor Details'!$H:$H,'G&amp;A Vendor x GL Analysis'!U$20,'[1]NS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Analysis'!U$20,'[1]NS Vendor Details'!$O:$O,'G&amp;A Vendor x GL Analysis'!$F182,'[1]NS Vendor Details'!$N:$N,"Direct Costs",'[1]NS Vendor Details'!$J:$J,0,'[1]NS Vendor Details'!$L:$L,"Freight",'[1]NS Vendor Details'!$I:$I,'G&amp;A Vendor x GL Analysis'!$E182),IF(U$15="Actual",SUMIFS('[1]NS Vendor Details'!$D:$D,'[1]NS Vendor Details'!$H:$H,'G&amp;A Vendor x GL Analysis'!U$20,'[1]NS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Analysis'!U$20,'[1]NS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355.17999999999995</v>
      </c>
      <c r="V182" s="17">
        <f>IF(AND(V$15="Actual",ISBLANK($E$8)),SUMIFS('[1]NS Vendor Details'!$D:$D,'[1]NS Vendor Details'!$H:$H,'G&amp;A Vendor x GL Analysis'!V$20,'[1]NS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Analysis'!V$20,'[1]NS Vendor Details'!$O:$O,'G&amp;A Vendor x GL Analysis'!$F182,'[1]NS Vendor Details'!$N:$N,"Direct Costs",'[1]NS Vendor Details'!$J:$J,0,'[1]NS Vendor Details'!$L:$L,"Freight",'[1]NS Vendor Details'!$I:$I,'G&amp;A Vendor x GL Analysis'!$E182),IF(V$15="Actual",SUMIFS('[1]NS Vendor Details'!$D:$D,'[1]NS Vendor Details'!$H:$H,'G&amp;A Vendor x GL Analysis'!V$20,'[1]NS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Analysis'!V$20,'[1]NS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248.53</v>
      </c>
      <c r="W182" s="17">
        <f>IF(AND(W$15="Actual",ISBLANK($E$8)),SUMIFS('[1]NS Vendor Details'!$D:$D,'[1]NS Vendor Details'!$H:$H,'G&amp;A Vendor x GL Analysis'!W$20,'[1]NS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Analysis'!W$20,'[1]NS Vendor Details'!$O:$O,'G&amp;A Vendor x GL Analysis'!$F182,'[1]NS Vendor Details'!$N:$N,"Direct Costs",'[1]NS Vendor Details'!$J:$J,0,'[1]NS Vendor Details'!$L:$L,"Freight",'[1]NS Vendor Details'!$I:$I,'G&amp;A Vendor x GL Analysis'!$E182),IF(W$15="Actual",SUMIFS('[1]NS Vendor Details'!$D:$D,'[1]NS Vendor Details'!$H:$H,'G&amp;A Vendor x GL Analysis'!W$20,'[1]NS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Analysis'!W$20,'[1]NS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0</v>
      </c>
      <c r="X182" s="17">
        <f>IF(AND(X$15="Actual",ISBLANK($E$8)),SUMIFS('[1]NS Vendor Details'!$D:$D,'[1]NS Vendor Details'!$H:$H,'G&amp;A Vendor x GL Analysis'!X$20,'[1]NS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Analysis'!X$20,'[1]NS Vendor Details'!$O:$O,'G&amp;A Vendor x GL Analysis'!$F182,'[1]NS Vendor Details'!$N:$N,"Direct Costs",'[1]NS Vendor Details'!$J:$J,0,'[1]NS Vendor Details'!$L:$L,"Freight",'[1]NS Vendor Details'!$I:$I,'G&amp;A Vendor x GL Analysis'!$E182),IF(X$15="Actual",SUMIFS('[1]NS Vendor Details'!$D:$D,'[1]NS Vendor Details'!$H:$H,'G&amp;A Vendor x GL Analysis'!X$20,'[1]NS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Analysis'!X$20,'[1]NS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162.06</v>
      </c>
      <c r="Y182" s="17">
        <f>IF(AND(Y$15="Actual",ISBLANK($E$8)),SUMIFS('[1]NS Vendor Details'!$D:$D,'[1]NS Vendor Details'!$H:$H,'G&amp;A Vendor x GL Analysis'!Y$20,'[1]NS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Analysis'!Y$20,'[1]NS Vendor Details'!$O:$O,'G&amp;A Vendor x GL Analysis'!$F182,'[1]NS Vendor Details'!$N:$N,"Direct Costs",'[1]NS Vendor Details'!$J:$J,0,'[1]NS Vendor Details'!$L:$L,"Freight",'[1]NS Vendor Details'!$I:$I,'G&amp;A Vendor x GL Analysis'!$E182),IF(Y$15="Actual",SUMIFS('[1]NS Vendor Details'!$D:$D,'[1]NS Vendor Details'!$H:$H,'G&amp;A Vendor x GL Analysis'!Y$20,'[1]NS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Analysis'!Y$20,'[1]NS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936.1400000000001</v>
      </c>
      <c r="Z182" s="17">
        <f>IF(AND(Z$15="Actual",ISBLANK($E$8)),SUMIFS('[1]NS Vendor Details'!$D:$D,'[1]NS Vendor Details'!$H:$H,'G&amp;A Vendor x GL Analysis'!Z$20,'[1]NS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Analysis'!Z$20,'[1]NS Vendor Details'!$O:$O,'G&amp;A Vendor x GL Analysis'!$F182,'[1]NS Vendor Details'!$N:$N,"Direct Costs",'[1]NS Vendor Details'!$J:$J,0,'[1]NS Vendor Details'!$L:$L,"Freight",'[1]NS Vendor Details'!$I:$I,'G&amp;A Vendor x GL Analysis'!$E182),IF(Z$15="Actual",SUMIFS('[1]NS Vendor Details'!$D:$D,'[1]NS Vendor Details'!$H:$H,'G&amp;A Vendor x GL Analysis'!Z$20,'[1]NS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Analysis'!Z$20,'[1]NS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466.32000000000005</v>
      </c>
      <c r="AA182" s="17">
        <f>IF(AND(AA$15="Actual",ISBLANK($E$8)),SUMIFS('[1]NS Vendor Details'!$D:$D,'[1]NS Vendor Details'!$H:$H,'G&amp;A Vendor x GL Analysis'!AA$20,'[1]NS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Analysis'!AA$20,'[1]NS Vendor Details'!$O:$O,'G&amp;A Vendor x GL Analysis'!$F182,'[1]NS Vendor Details'!$N:$N,"Direct Costs",'[1]NS Vendor Details'!$J:$J,0,'[1]NS Vendor Details'!$L:$L,"Freight",'[1]NS Vendor Details'!$I:$I,'G&amp;A Vendor x GL Analysis'!$E182),IF(AA$15="Actual",SUMIFS('[1]NS Vendor Details'!$D:$D,'[1]NS Vendor Details'!$H:$H,'G&amp;A Vendor x GL Analysis'!AA$20,'[1]NS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Analysis'!AA$20,'[1]NS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0</v>
      </c>
      <c r="AB182" s="17">
        <f>IF(AND(AB$15="Actual",ISBLANK($E$8)),SUMIFS('[1]NS Vendor Details'!$D:$D,'[1]NS Vendor Details'!$H:$H,'G&amp;A Vendor x GL Analysis'!AB$20,'[1]NS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Analysis'!AB$20,'[1]NS Vendor Details'!$O:$O,'G&amp;A Vendor x GL Analysis'!$F182,'[1]NS Vendor Details'!$N:$N,"Direct Costs",'[1]NS Vendor Details'!$J:$J,0,'[1]NS Vendor Details'!$L:$L,"Freight",'[1]NS Vendor Details'!$I:$I,'G&amp;A Vendor x GL Analysis'!$E182),IF(AB$15="Actual",SUMIFS('[1]NS Vendor Details'!$D:$D,'[1]NS Vendor Details'!$H:$H,'G&amp;A Vendor x GL Analysis'!AB$20,'[1]NS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Analysis'!AB$20,'[1]NS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149.01</v>
      </c>
      <c r="AC182" s="18">
        <f>IF(AND(AC$15="Actual",ISBLANK($E$8)),SUMIFS('[1]NS Vendor Details'!$D:$D,'[1]NS Vendor Details'!$H:$H,'G&amp;A Vendor x GL Analysis'!AC$20,'[1]NS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Analysis'!AC$20,'[1]NS Vendor Details'!$O:$O,'G&amp;A Vendor x GL Analysis'!$F182,'[1]NS Vendor Details'!$N:$N,"Direct Costs",'[1]NS Vendor Details'!$J:$J,0,'[1]NS Vendor Details'!$L:$L,"Freight",'[1]NS Vendor Details'!$I:$I,'G&amp;A Vendor x GL Analysis'!$E182),IF(AC$15="Actual",SUMIFS('[1]NS Vendor Details'!$D:$D,'[1]NS Vendor Details'!$H:$H,'G&amp;A Vendor x GL Analysis'!AC$20,'[1]NS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Analysis'!AC$20,'[1]NS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318.25000000000006</v>
      </c>
      <c r="AD182" s="18">
        <f>IF(AND(AD$15="Actual",ISBLANK($E$8)),SUMIFS('[1]NS Vendor Details'!$D:$D,'[1]NS Vendor Details'!$H:$H,'G&amp;A Vendor x GL Analysis'!AD$20,'[1]NS Vendor Details'!$L:$L,'G&amp;A Vendor x GL Analysis'!$D182,'[1]NS Vendor Details'!$O:$O,'G&amp;A Vendor x GL Analysis'!$F182,'[1]NS Vendor Details'!$N:$N,'G&amp;A Vendor x GL Analysis'!$C182,'[1]NS Vendor Details'!$I:$I,'G&amp;A Vendor x GL Analysis'!$E182)+SUMIFS('[1]NS Vendor Details'!$D:$D,'[1]NS Vendor Details'!$H:$H,'G&amp;A Vendor x GL Analysis'!AD$20,'[1]NS Vendor Details'!$O:$O,'G&amp;A Vendor x GL Analysis'!$F182,'[1]NS Vendor Details'!$N:$N,"Direct Costs",'[1]NS Vendor Details'!$J:$J,0,'[1]NS Vendor Details'!$L:$L,"Freight",'[1]NS Vendor Details'!$I:$I,'G&amp;A Vendor x GL Analysis'!$E182),IF(AD$15="Actual",SUMIFS('[1]NS Vendor Details'!$D:$D,'[1]NS Vendor Details'!$H:$H,'G&amp;A Vendor x GL Analysis'!AD$20,'[1]NS Vendor Details'!$L:$L,'G&amp;A Vendor x GL Analysis'!$D182,'[1]NS Vendor Details'!$O:$O,'G&amp;A Vendor x GL Analysis'!$F182,'[1]NS Vendor Details'!$N:$N,'G&amp;A Vendor x GL Analysis'!$C182,'[1]NS Vendor Details'!$K:$K,'G&amp;A Vendor x GL Analysis'!$E$8,'[1]NS Vendor Details'!$I:$I,'G&amp;A Vendor x GL Analysis'!$E182)+SUMIFS('[1]NS Vendor Details'!$D:$D,'[1]NS Vendor Details'!$H:$H,'G&amp;A Vendor x GL Analysis'!AD$20,'[1]NS Vendor Details'!$O:$O,'G&amp;A Vendor x GL Analysis'!$F182,'[1]NS Vendor Details'!$N:$N,"Direct Costs",'[1]NS Vendor Details'!$J:$J,0,'[1]NS Vendor Details'!$K:$K,'G&amp;A Vendor x GL Analysis'!$E$8,'[1]NS Vendor Details'!$L:$L,"Freight",'[1]NS Vendor Details'!$I:$I,'G&amp;A Vendor x GL Analysis'!$E182),0))</f>
        <v>0</v>
      </c>
      <c r="AF182" s="19">
        <f t="shared" si="29"/>
        <v>2766.17</v>
      </c>
    </row>
    <row r="183" spans="1:32" outlineLevel="1">
      <c r="A183" s="8" t="str">
        <f t="shared" si="26"/>
        <v>Other6375 - Freight Expenses</v>
      </c>
      <c r="C183" s="8" t="s">
        <v>11</v>
      </c>
      <c r="D183" s="8" t="str">
        <f t="shared" si="30"/>
        <v>Other</v>
      </c>
      <c r="E183" s="2" t="s">
        <v>162</v>
      </c>
      <c r="F183" s="2" t="s">
        <v>168</v>
      </c>
      <c r="G183" s="16">
        <f>IF(AND(G$15="Actual",ISBLANK($E$8)),SUMIFS('[1]NS Vendor Details'!$D:$D,'[1]NS Vendor Details'!$H:$H,'G&amp;A Vendor x GL Analysis'!G$20,'[1]NS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Analysis'!G$20,'[1]NS Vendor Details'!$O:$O,'G&amp;A Vendor x GL Analysis'!$F183,'[1]NS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Analysis'!G$20,'[1]NS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H183" s="17">
        <f>IF(AND(H$15="Actual",ISBLANK($E$8)),SUMIFS('[1]NS Vendor Details'!$D:$D,'[1]NS Vendor Details'!$H:$H,'G&amp;A Vendor x GL Analysis'!H$20,'[1]NS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Analysis'!H$20,'[1]NS Vendor Details'!$O:$O,'G&amp;A Vendor x GL Analysis'!$F183,'[1]NS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Analysis'!H$20,'[1]NS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I183" s="17">
        <f>IF(AND(I$15="Actual",ISBLANK($E$8)),SUMIFS('[1]NS Vendor Details'!$D:$D,'[1]NS Vendor Details'!$H:$H,'G&amp;A Vendor x GL Analysis'!I$20,'[1]NS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Analysis'!I$20,'[1]NS Vendor Details'!$O:$O,'G&amp;A Vendor x GL Analysis'!$F183,'[1]NS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Analysis'!I$20,'[1]NS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J183" s="17">
        <f>IF(AND(J$15="Actual",ISBLANK($E$8)),SUMIFS('[1]NS Vendor Details'!$D:$D,'[1]NS Vendor Details'!$H:$H,'G&amp;A Vendor x GL Analysis'!J$20,'[1]NS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Analysis'!J$20,'[1]NS Vendor Details'!$O:$O,'G&amp;A Vendor x GL Analysis'!$F183,'[1]NS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Analysis'!J$20,'[1]NS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K183" s="17">
        <f>IF(AND(K$15="Actual",ISBLANK($E$8)),SUMIFS('[1]NS Vendor Details'!$D:$D,'[1]NS Vendor Details'!$H:$H,'G&amp;A Vendor x GL Analysis'!K$20,'[1]NS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Analysis'!K$20,'[1]NS Vendor Details'!$O:$O,'G&amp;A Vendor x GL Analysis'!$F183,'[1]NS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Analysis'!K$20,'[1]NS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L183" s="17">
        <f>IF(AND(L$15="Actual",ISBLANK($E$8)),SUMIFS('[1]NS Vendor Details'!$D:$D,'[1]NS Vendor Details'!$H:$H,'G&amp;A Vendor x GL Analysis'!L$20,'[1]NS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Analysis'!L$20,'[1]NS Vendor Details'!$O:$O,'G&amp;A Vendor x GL Analysis'!$F183,'[1]NS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Analysis'!L$20,'[1]NS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M183" s="17">
        <f>IF(AND(M$15="Actual",ISBLANK($E$8)),SUMIFS('[1]NS Vendor Details'!$D:$D,'[1]NS Vendor Details'!$H:$H,'G&amp;A Vendor x GL Analysis'!M$20,'[1]NS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Analysis'!M$20,'[1]NS Vendor Details'!$O:$O,'G&amp;A Vendor x GL Analysis'!$F183,'[1]NS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Analysis'!M$20,'[1]NS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N183" s="17">
        <f>IF(AND(N$15="Actual",ISBLANK($E$8)),SUMIFS('[1]NS Vendor Details'!$D:$D,'[1]NS Vendor Details'!$H:$H,'G&amp;A Vendor x GL Analysis'!N$20,'[1]NS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Analysis'!N$20,'[1]NS Vendor Details'!$O:$O,'G&amp;A Vendor x GL Analysis'!$F183,'[1]NS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Analysis'!N$20,'[1]NS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O183" s="17">
        <f>IF(AND(O$15="Actual",ISBLANK($E$8)),SUMIFS('[1]NS Vendor Details'!$D:$D,'[1]NS Vendor Details'!$H:$H,'G&amp;A Vendor x GL Analysis'!O$20,'[1]NS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Analysis'!O$20,'[1]NS Vendor Details'!$O:$O,'G&amp;A Vendor x GL Analysis'!$F183,'[1]NS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Analysis'!O$20,'[1]NS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P183" s="17">
        <f>IF(AND(P$15="Actual",ISBLANK($E$8)),SUMIFS('[1]NS Vendor Details'!$D:$D,'[1]NS Vendor Details'!$H:$H,'G&amp;A Vendor x GL Analysis'!P$20,'[1]NS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Analysis'!P$20,'[1]NS Vendor Details'!$O:$O,'G&amp;A Vendor x GL Analysis'!$F183,'[1]NS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Analysis'!P$20,'[1]NS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Q183" s="17">
        <f>IF(AND(Q$15="Actual",ISBLANK($E$8)),SUMIFS('[1]NS Vendor Details'!$D:$D,'[1]NS Vendor Details'!$H:$H,'G&amp;A Vendor x GL Analysis'!Q$20,'[1]NS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Analysis'!Q$20,'[1]NS Vendor Details'!$O:$O,'G&amp;A Vendor x GL Analysis'!$F183,'[1]NS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Analysis'!Q$20,'[1]NS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R183" s="18">
        <f>IF(AND(R$15="Actual",ISBLANK($E$8)),SUMIFS('[1]NS Vendor Details'!$D:$D,'[1]NS Vendor Details'!$H:$H,'G&amp;A Vendor x GL Analysis'!R$20,'[1]NS Vendor Details'!$L:$L,'G&amp;A Vendor x GL Analysis'!$D183,'[1]NS Vendor Details'!$O:$O,'G&amp;A Vendor x GL Analysis'!$F183,'[1]NS Vendor Details'!$N:$N,'G&amp;A Vendor x GL Analysis'!$C183)+SUMIFS('[1]NS Vendor Details'!$D:$D,'[1]NS Vendor Details'!$H:$H,'G&amp;A Vendor x GL Analysis'!R$20,'[1]NS Vendor Details'!$O:$O,'G&amp;A Vendor x GL Analysis'!$F183,'[1]NS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Analysis'!$D183,'[1]NS Vendor Details'!$O:$O,'G&amp;A Vendor x GL Analysis'!$F183,'[1]NS Vendor Details'!$N:$N,'G&amp;A Vendor x GL Analysis'!$C183,'[1]NS Vendor Details'!$K:$K,'G&amp;A Vendor x GL Analysis'!$E$8)+SUMIFS('[1]NS Vendor Details'!$D:$D,'[1]NS Vendor Details'!$H:$H,'G&amp;A Vendor x GL Analysis'!R$20,'[1]NS Vendor Details'!$O:$O,'G&amp;A Vendor x GL Analysis'!$F183,'[1]NS Vendor Details'!$N:$N,"Direct Costs",'[1]NS Vendor Details'!$J:$J,0,'[1]NS Vendor Details'!$K:$K,'G&amp;A Vendor x GL Analysis'!$E$8,'[1]NS Vendor Details'!$L:$L,"Freight"),0))</f>
        <v>0</v>
      </c>
      <c r="S183" s="16">
        <f>IF(AND(S$15="Actual",ISBLANK($E$8)),SUMIFS('[1]NS Vendor Details'!$D:$D,'[1]NS Vendor Details'!$H:$H,'G&amp;A Vendor x GL Analysis'!S$20,'[1]NS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Analysis'!S$20,'[1]NS Vendor Details'!$O:$O,'G&amp;A Vendor x GL Analysis'!$F183,'[1]NS Vendor Details'!$N:$N,"Direct Costs",'[1]NS Vendor Details'!$J:$J,0,'[1]NS Vendor Details'!$L:$L,"Freight",'[1]NS Vendor Details'!$I:$I,'G&amp;A Vendor x GL Analysis'!$E183),IF(S$15="Actual",SUMIFS('[1]NS Vendor Details'!$D:$D,'[1]NS Vendor Details'!$H:$H,'G&amp;A Vendor x GL Analysis'!S$20,'[1]NS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Analysis'!S$20,'[1]NS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1023.54</v>
      </c>
      <c r="T183" s="17">
        <f>IF(AND(T$15="Actual",ISBLANK($E$8)),SUMIFS('[1]NS Vendor Details'!$D:$D,'[1]NS Vendor Details'!$H:$H,'G&amp;A Vendor x GL Analysis'!T$20,'[1]NS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Analysis'!T$20,'[1]NS Vendor Details'!$O:$O,'G&amp;A Vendor x GL Analysis'!$F183,'[1]NS Vendor Details'!$N:$N,"Direct Costs",'[1]NS Vendor Details'!$J:$J,0,'[1]NS Vendor Details'!$L:$L,"Freight",'[1]NS Vendor Details'!$I:$I,'G&amp;A Vendor x GL Analysis'!$E183),IF(T$15="Actual",SUMIFS('[1]NS Vendor Details'!$D:$D,'[1]NS Vendor Details'!$H:$H,'G&amp;A Vendor x GL Analysis'!T$20,'[1]NS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Analysis'!T$20,'[1]NS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0</v>
      </c>
      <c r="U183" s="17">
        <f>IF(AND(U$15="Actual",ISBLANK($E$8)),SUMIFS('[1]NS Vendor Details'!$D:$D,'[1]NS Vendor Details'!$H:$H,'G&amp;A Vendor x GL Analysis'!U$20,'[1]NS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Analysis'!U$20,'[1]NS Vendor Details'!$O:$O,'G&amp;A Vendor x GL Analysis'!$F183,'[1]NS Vendor Details'!$N:$N,"Direct Costs",'[1]NS Vendor Details'!$J:$J,0,'[1]NS Vendor Details'!$L:$L,"Freight",'[1]NS Vendor Details'!$I:$I,'G&amp;A Vendor x GL Analysis'!$E183),IF(U$15="Actual",SUMIFS('[1]NS Vendor Details'!$D:$D,'[1]NS Vendor Details'!$H:$H,'G&amp;A Vendor x GL Analysis'!U$20,'[1]NS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Analysis'!U$20,'[1]NS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389.84</v>
      </c>
      <c r="V183" s="17">
        <f>IF(AND(V$15="Actual",ISBLANK($E$8)),SUMIFS('[1]NS Vendor Details'!$D:$D,'[1]NS Vendor Details'!$H:$H,'G&amp;A Vendor x GL Analysis'!V$20,'[1]NS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Analysis'!V$20,'[1]NS Vendor Details'!$O:$O,'G&amp;A Vendor x GL Analysis'!$F183,'[1]NS Vendor Details'!$N:$N,"Direct Costs",'[1]NS Vendor Details'!$J:$J,0,'[1]NS Vendor Details'!$L:$L,"Freight",'[1]NS Vendor Details'!$I:$I,'G&amp;A Vendor x GL Analysis'!$E183),IF(V$15="Actual",SUMIFS('[1]NS Vendor Details'!$D:$D,'[1]NS Vendor Details'!$H:$H,'G&amp;A Vendor x GL Analysis'!V$20,'[1]NS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Analysis'!V$20,'[1]NS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174.92</v>
      </c>
      <c r="W183" s="17">
        <f>IF(AND(W$15="Actual",ISBLANK($E$8)),SUMIFS('[1]NS Vendor Details'!$D:$D,'[1]NS Vendor Details'!$H:$H,'G&amp;A Vendor x GL Analysis'!W$20,'[1]NS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Analysis'!W$20,'[1]NS Vendor Details'!$O:$O,'G&amp;A Vendor x GL Analysis'!$F183,'[1]NS Vendor Details'!$N:$N,"Direct Costs",'[1]NS Vendor Details'!$J:$J,0,'[1]NS Vendor Details'!$L:$L,"Freight",'[1]NS Vendor Details'!$I:$I,'G&amp;A Vendor x GL Analysis'!$E183),IF(W$15="Actual",SUMIFS('[1]NS Vendor Details'!$D:$D,'[1]NS Vendor Details'!$H:$H,'G&amp;A Vendor x GL Analysis'!W$20,'[1]NS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Analysis'!W$20,'[1]NS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0</v>
      </c>
      <c r="X183" s="17">
        <f>IF(AND(X$15="Actual",ISBLANK($E$8)),SUMIFS('[1]NS Vendor Details'!$D:$D,'[1]NS Vendor Details'!$H:$H,'G&amp;A Vendor x GL Analysis'!X$20,'[1]NS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Analysis'!X$20,'[1]NS Vendor Details'!$O:$O,'G&amp;A Vendor x GL Analysis'!$F183,'[1]NS Vendor Details'!$N:$N,"Direct Costs",'[1]NS Vendor Details'!$J:$J,0,'[1]NS Vendor Details'!$L:$L,"Freight",'[1]NS Vendor Details'!$I:$I,'G&amp;A Vendor x GL Analysis'!$E183),IF(X$15="Actual",SUMIFS('[1]NS Vendor Details'!$D:$D,'[1]NS Vendor Details'!$H:$H,'G&amp;A Vendor x GL Analysis'!X$20,'[1]NS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Analysis'!X$20,'[1]NS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1184.73</v>
      </c>
      <c r="Y183" s="17">
        <f>IF(AND(Y$15="Actual",ISBLANK($E$8)),SUMIFS('[1]NS Vendor Details'!$D:$D,'[1]NS Vendor Details'!$H:$H,'G&amp;A Vendor x GL Analysis'!Y$20,'[1]NS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Analysis'!Y$20,'[1]NS Vendor Details'!$O:$O,'G&amp;A Vendor x GL Analysis'!$F183,'[1]NS Vendor Details'!$N:$N,"Direct Costs",'[1]NS Vendor Details'!$J:$J,0,'[1]NS Vendor Details'!$L:$L,"Freight",'[1]NS Vendor Details'!$I:$I,'G&amp;A Vendor x GL Analysis'!$E183),IF(Y$15="Actual",SUMIFS('[1]NS Vendor Details'!$D:$D,'[1]NS Vendor Details'!$H:$H,'G&amp;A Vendor x GL Analysis'!Y$20,'[1]NS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Analysis'!Y$20,'[1]NS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1837.01</v>
      </c>
      <c r="Z183" s="17">
        <f>IF(AND(Z$15="Actual",ISBLANK($E$8)),SUMIFS('[1]NS Vendor Details'!$D:$D,'[1]NS Vendor Details'!$H:$H,'G&amp;A Vendor x GL Analysis'!Z$20,'[1]NS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Analysis'!Z$20,'[1]NS Vendor Details'!$O:$O,'G&amp;A Vendor x GL Analysis'!$F183,'[1]NS Vendor Details'!$N:$N,"Direct Costs",'[1]NS Vendor Details'!$J:$J,0,'[1]NS Vendor Details'!$L:$L,"Freight",'[1]NS Vendor Details'!$I:$I,'G&amp;A Vendor x GL Analysis'!$E183),IF(Z$15="Actual",SUMIFS('[1]NS Vendor Details'!$D:$D,'[1]NS Vendor Details'!$H:$H,'G&amp;A Vendor x GL Analysis'!Z$20,'[1]NS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Analysis'!Z$20,'[1]NS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1036.5099999999998</v>
      </c>
      <c r="AA183" s="17">
        <f>IF(AND(AA$15="Actual",ISBLANK($E$8)),SUMIFS('[1]NS Vendor Details'!$D:$D,'[1]NS Vendor Details'!$H:$H,'G&amp;A Vendor x GL Analysis'!AA$20,'[1]NS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Analysis'!AA$20,'[1]NS Vendor Details'!$O:$O,'G&amp;A Vendor x GL Analysis'!$F183,'[1]NS Vendor Details'!$N:$N,"Direct Costs",'[1]NS Vendor Details'!$J:$J,0,'[1]NS Vendor Details'!$L:$L,"Freight",'[1]NS Vendor Details'!$I:$I,'G&amp;A Vendor x GL Analysis'!$E183),IF(AA$15="Actual",SUMIFS('[1]NS Vendor Details'!$D:$D,'[1]NS Vendor Details'!$H:$H,'G&amp;A Vendor x GL Analysis'!AA$20,'[1]NS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Analysis'!AA$20,'[1]NS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614.76</v>
      </c>
      <c r="AB183" s="17">
        <f>IF(AND(AB$15="Actual",ISBLANK($E$8)),SUMIFS('[1]NS Vendor Details'!$D:$D,'[1]NS Vendor Details'!$H:$H,'G&amp;A Vendor x GL Analysis'!AB$20,'[1]NS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Analysis'!AB$20,'[1]NS Vendor Details'!$O:$O,'G&amp;A Vendor x GL Analysis'!$F183,'[1]NS Vendor Details'!$N:$N,"Direct Costs",'[1]NS Vendor Details'!$J:$J,0,'[1]NS Vendor Details'!$L:$L,"Freight",'[1]NS Vendor Details'!$I:$I,'G&amp;A Vendor x GL Analysis'!$E183),IF(AB$15="Actual",SUMIFS('[1]NS Vendor Details'!$D:$D,'[1]NS Vendor Details'!$H:$H,'G&amp;A Vendor x GL Analysis'!AB$20,'[1]NS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Analysis'!AB$20,'[1]NS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1160.8400000000001</v>
      </c>
      <c r="AC183" s="18">
        <f>IF(AND(AC$15="Actual",ISBLANK($E$8)),SUMIFS('[1]NS Vendor Details'!$D:$D,'[1]NS Vendor Details'!$H:$H,'G&amp;A Vendor x GL Analysis'!AC$20,'[1]NS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Analysis'!AC$20,'[1]NS Vendor Details'!$O:$O,'G&amp;A Vendor x GL Analysis'!$F183,'[1]NS Vendor Details'!$N:$N,"Direct Costs",'[1]NS Vendor Details'!$J:$J,0,'[1]NS Vendor Details'!$L:$L,"Freight",'[1]NS Vendor Details'!$I:$I,'G&amp;A Vendor x GL Analysis'!$E183),IF(AC$15="Actual",SUMIFS('[1]NS Vendor Details'!$D:$D,'[1]NS Vendor Details'!$H:$H,'G&amp;A Vendor x GL Analysis'!AC$20,'[1]NS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Analysis'!AC$20,'[1]NS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234.94</v>
      </c>
      <c r="AD183" s="18">
        <f>IF(AND(AD$15="Actual",ISBLANK($E$8)),SUMIFS('[1]NS Vendor Details'!$D:$D,'[1]NS Vendor Details'!$H:$H,'G&amp;A Vendor x GL Analysis'!AD$20,'[1]NS Vendor Details'!$L:$L,'G&amp;A Vendor x GL Analysis'!$D183,'[1]NS Vendor Details'!$O:$O,'G&amp;A Vendor x GL Analysis'!$F183,'[1]NS Vendor Details'!$N:$N,'G&amp;A Vendor x GL Analysis'!$C183,'[1]NS Vendor Details'!$I:$I,'G&amp;A Vendor x GL Analysis'!$E183)+SUMIFS('[1]NS Vendor Details'!$D:$D,'[1]NS Vendor Details'!$H:$H,'G&amp;A Vendor x GL Analysis'!AD$20,'[1]NS Vendor Details'!$O:$O,'G&amp;A Vendor x GL Analysis'!$F183,'[1]NS Vendor Details'!$N:$N,"Direct Costs",'[1]NS Vendor Details'!$J:$J,0,'[1]NS Vendor Details'!$L:$L,"Freight",'[1]NS Vendor Details'!$I:$I,'G&amp;A Vendor x GL Analysis'!$E183),IF(AD$15="Actual",SUMIFS('[1]NS Vendor Details'!$D:$D,'[1]NS Vendor Details'!$H:$H,'G&amp;A Vendor x GL Analysis'!AD$20,'[1]NS Vendor Details'!$L:$L,'G&amp;A Vendor x GL Analysis'!$D183,'[1]NS Vendor Details'!$O:$O,'G&amp;A Vendor x GL Analysis'!$F183,'[1]NS Vendor Details'!$N:$N,'G&amp;A Vendor x GL Analysis'!$C183,'[1]NS Vendor Details'!$K:$K,'G&amp;A Vendor x GL Analysis'!$E$8,'[1]NS Vendor Details'!$I:$I,'G&amp;A Vendor x GL Analysis'!$E183)+SUMIFS('[1]NS Vendor Details'!$D:$D,'[1]NS Vendor Details'!$H:$H,'G&amp;A Vendor x GL Analysis'!AD$20,'[1]NS Vendor Details'!$O:$O,'G&amp;A Vendor x GL Analysis'!$F183,'[1]NS Vendor Details'!$N:$N,"Direct Costs",'[1]NS Vendor Details'!$J:$J,0,'[1]NS Vendor Details'!$K:$K,'G&amp;A Vendor x GL Analysis'!$E$8,'[1]NS Vendor Details'!$L:$L,"Freight",'[1]NS Vendor Details'!$I:$I,'G&amp;A Vendor x GL Analysis'!$E183),0))</f>
        <v>0</v>
      </c>
      <c r="AF183" s="19">
        <f t="shared" si="29"/>
        <v>7657.0899999999992</v>
      </c>
    </row>
    <row r="184" spans="1:32" outlineLevel="1">
      <c r="A184" s="8" t="str">
        <f t="shared" si="26"/>
        <v>Other6375 - Freight Expenses</v>
      </c>
      <c r="C184" s="8" t="s">
        <v>11</v>
      </c>
      <c r="D184" s="8" t="str">
        <f t="shared" si="30"/>
        <v>Other</v>
      </c>
      <c r="E184" s="2" t="s">
        <v>162</v>
      </c>
      <c r="F184" s="2" t="s">
        <v>169</v>
      </c>
      <c r="G184" s="16">
        <f>IF(AND(G$15="Actual",ISBLANK($E$8)),SUMIFS('[1]NS Vendor Details'!$D:$D,'[1]NS Vendor Details'!$H:$H,'G&amp;A Vendor x GL Analysis'!G$20,'[1]NS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Analysis'!G$20,'[1]NS Vendor Details'!$O:$O,'G&amp;A Vendor x GL Analysis'!$F184,'[1]NS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Analysis'!G$20,'[1]NS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H184" s="17">
        <f>IF(AND(H$15="Actual",ISBLANK($E$8)),SUMIFS('[1]NS Vendor Details'!$D:$D,'[1]NS Vendor Details'!$H:$H,'G&amp;A Vendor x GL Analysis'!H$20,'[1]NS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Analysis'!H$20,'[1]NS Vendor Details'!$O:$O,'G&amp;A Vendor x GL Analysis'!$F184,'[1]NS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Analysis'!H$20,'[1]NS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I184" s="17">
        <f>IF(AND(I$15="Actual",ISBLANK($E$8)),SUMIFS('[1]NS Vendor Details'!$D:$D,'[1]NS Vendor Details'!$H:$H,'G&amp;A Vendor x GL Analysis'!I$20,'[1]NS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Analysis'!I$20,'[1]NS Vendor Details'!$O:$O,'G&amp;A Vendor x GL Analysis'!$F184,'[1]NS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Analysis'!I$20,'[1]NS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J184" s="17">
        <f>IF(AND(J$15="Actual",ISBLANK($E$8)),SUMIFS('[1]NS Vendor Details'!$D:$D,'[1]NS Vendor Details'!$H:$H,'G&amp;A Vendor x GL Analysis'!J$20,'[1]NS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Analysis'!J$20,'[1]NS Vendor Details'!$O:$O,'G&amp;A Vendor x GL Analysis'!$F184,'[1]NS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Analysis'!J$20,'[1]NS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K184" s="17">
        <f>IF(AND(K$15="Actual",ISBLANK($E$8)),SUMIFS('[1]NS Vendor Details'!$D:$D,'[1]NS Vendor Details'!$H:$H,'G&amp;A Vendor x GL Analysis'!K$20,'[1]NS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Analysis'!K$20,'[1]NS Vendor Details'!$O:$O,'G&amp;A Vendor x GL Analysis'!$F184,'[1]NS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Analysis'!K$20,'[1]NS Vendor Details'!$O:$O,'G&amp;A Vendor x GL Analysis'!$F184,'[1]NS Vendor Details'!$N:$N,"Direct Costs",'[1]NS Vendor Details'!$J:$J,0,'[1]NS Vendor Details'!$K:$K,'G&amp;A Vendor x GL Analysis'!$E$8,'[1]NS Vendor Details'!$L:$L,"Freight"),0))</f>
        <v>145</v>
      </c>
      <c r="L184" s="17">
        <f>IF(AND(L$15="Actual",ISBLANK($E$8)),SUMIFS('[1]NS Vendor Details'!$D:$D,'[1]NS Vendor Details'!$H:$H,'G&amp;A Vendor x GL Analysis'!L$20,'[1]NS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Analysis'!L$20,'[1]NS Vendor Details'!$O:$O,'G&amp;A Vendor x GL Analysis'!$F184,'[1]NS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Analysis'!L$20,'[1]NS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M184" s="17">
        <f>IF(AND(M$15="Actual",ISBLANK($E$8)),SUMIFS('[1]NS Vendor Details'!$D:$D,'[1]NS Vendor Details'!$H:$H,'G&amp;A Vendor x GL Analysis'!M$20,'[1]NS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Analysis'!M$20,'[1]NS Vendor Details'!$O:$O,'G&amp;A Vendor x GL Analysis'!$F184,'[1]NS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Analysis'!M$20,'[1]NS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N184" s="17">
        <f>IF(AND(N$15="Actual",ISBLANK($E$8)),SUMIFS('[1]NS Vendor Details'!$D:$D,'[1]NS Vendor Details'!$H:$H,'G&amp;A Vendor x GL Analysis'!N$20,'[1]NS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Analysis'!N$20,'[1]NS Vendor Details'!$O:$O,'G&amp;A Vendor x GL Analysis'!$F184,'[1]NS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Analysis'!N$20,'[1]NS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O184" s="17">
        <f>IF(AND(O$15="Actual",ISBLANK($E$8)),SUMIFS('[1]NS Vendor Details'!$D:$D,'[1]NS Vendor Details'!$H:$H,'G&amp;A Vendor x GL Analysis'!O$20,'[1]NS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Analysis'!O$20,'[1]NS Vendor Details'!$O:$O,'G&amp;A Vendor x GL Analysis'!$F184,'[1]NS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Analysis'!O$20,'[1]NS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P184" s="17">
        <f>IF(AND(P$15="Actual",ISBLANK($E$8)),SUMIFS('[1]NS Vendor Details'!$D:$D,'[1]NS Vendor Details'!$H:$H,'G&amp;A Vendor x GL Analysis'!P$20,'[1]NS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Analysis'!P$20,'[1]NS Vendor Details'!$O:$O,'G&amp;A Vendor x GL Analysis'!$F184,'[1]NS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Analysis'!P$20,'[1]NS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Q184" s="17">
        <f>IF(AND(Q$15="Actual",ISBLANK($E$8)),SUMIFS('[1]NS Vendor Details'!$D:$D,'[1]NS Vendor Details'!$H:$H,'G&amp;A Vendor x GL Analysis'!Q$20,'[1]NS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Analysis'!Q$20,'[1]NS Vendor Details'!$O:$O,'G&amp;A Vendor x GL Analysis'!$F184,'[1]NS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Analysis'!Q$20,'[1]NS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R184" s="18">
        <f>IF(AND(R$15="Actual",ISBLANK($E$8)),SUMIFS('[1]NS Vendor Details'!$D:$D,'[1]NS Vendor Details'!$H:$H,'G&amp;A Vendor x GL Analysis'!R$20,'[1]NS Vendor Details'!$L:$L,'G&amp;A Vendor x GL Analysis'!$D184,'[1]NS Vendor Details'!$O:$O,'G&amp;A Vendor x GL Analysis'!$F184,'[1]NS Vendor Details'!$N:$N,'G&amp;A Vendor x GL Analysis'!$C184)+SUMIFS('[1]NS Vendor Details'!$D:$D,'[1]NS Vendor Details'!$H:$H,'G&amp;A Vendor x GL Analysis'!R$20,'[1]NS Vendor Details'!$O:$O,'G&amp;A Vendor x GL Analysis'!$F184,'[1]NS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Analysis'!$D184,'[1]NS Vendor Details'!$O:$O,'G&amp;A Vendor x GL Analysis'!$F184,'[1]NS Vendor Details'!$N:$N,'G&amp;A Vendor x GL Analysis'!$C184,'[1]NS Vendor Details'!$K:$K,'G&amp;A Vendor x GL Analysis'!$E$8)+SUMIFS('[1]NS Vendor Details'!$D:$D,'[1]NS Vendor Details'!$H:$H,'G&amp;A Vendor x GL Analysis'!R$20,'[1]NS Vendor Details'!$O:$O,'G&amp;A Vendor x GL Analysis'!$F184,'[1]NS Vendor Details'!$N:$N,"Direct Costs",'[1]NS Vendor Details'!$J:$J,0,'[1]NS Vendor Details'!$K:$K,'G&amp;A Vendor x GL Analysis'!$E$8,'[1]NS Vendor Details'!$L:$L,"Freight"),0))</f>
        <v>0</v>
      </c>
      <c r="S184" s="16">
        <f>IF(AND(S$15="Actual",ISBLANK($E$8)),SUMIFS('[1]NS Vendor Details'!$D:$D,'[1]NS Vendor Details'!$H:$H,'G&amp;A Vendor x GL Analysis'!S$20,'[1]NS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Analysis'!S$20,'[1]NS Vendor Details'!$O:$O,'G&amp;A Vendor x GL Analysis'!$F184,'[1]NS Vendor Details'!$N:$N,"Direct Costs",'[1]NS Vendor Details'!$J:$J,0,'[1]NS Vendor Details'!$L:$L,"Freight",'[1]NS Vendor Details'!$I:$I,'G&amp;A Vendor x GL Analysis'!$E184),IF(S$15="Actual",SUMIFS('[1]NS Vendor Details'!$D:$D,'[1]NS Vendor Details'!$H:$H,'G&amp;A Vendor x GL Analysis'!S$20,'[1]NS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Analysis'!S$20,'[1]NS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T184" s="17">
        <f>IF(AND(T$15="Actual",ISBLANK($E$8)),SUMIFS('[1]NS Vendor Details'!$D:$D,'[1]NS Vendor Details'!$H:$H,'G&amp;A Vendor x GL Analysis'!T$20,'[1]NS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Analysis'!T$20,'[1]NS Vendor Details'!$O:$O,'G&amp;A Vendor x GL Analysis'!$F184,'[1]NS Vendor Details'!$N:$N,"Direct Costs",'[1]NS Vendor Details'!$J:$J,0,'[1]NS Vendor Details'!$L:$L,"Freight",'[1]NS Vendor Details'!$I:$I,'G&amp;A Vendor x GL Analysis'!$E184),IF(T$15="Actual",SUMIFS('[1]NS Vendor Details'!$D:$D,'[1]NS Vendor Details'!$H:$H,'G&amp;A Vendor x GL Analysis'!T$20,'[1]NS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Analysis'!T$20,'[1]NS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U184" s="17">
        <f>IF(AND(U$15="Actual",ISBLANK($E$8)),SUMIFS('[1]NS Vendor Details'!$D:$D,'[1]NS Vendor Details'!$H:$H,'G&amp;A Vendor x GL Analysis'!U$20,'[1]NS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Analysis'!U$20,'[1]NS Vendor Details'!$O:$O,'G&amp;A Vendor x GL Analysis'!$F184,'[1]NS Vendor Details'!$N:$N,"Direct Costs",'[1]NS Vendor Details'!$J:$J,0,'[1]NS Vendor Details'!$L:$L,"Freight",'[1]NS Vendor Details'!$I:$I,'G&amp;A Vendor x GL Analysis'!$E184),IF(U$15="Actual",SUMIFS('[1]NS Vendor Details'!$D:$D,'[1]NS Vendor Details'!$H:$H,'G&amp;A Vendor x GL Analysis'!U$20,'[1]NS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Analysis'!U$20,'[1]NS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V184" s="17">
        <f>IF(AND(V$15="Actual",ISBLANK($E$8)),SUMIFS('[1]NS Vendor Details'!$D:$D,'[1]NS Vendor Details'!$H:$H,'G&amp;A Vendor x GL Analysis'!V$20,'[1]NS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Analysis'!V$20,'[1]NS Vendor Details'!$O:$O,'G&amp;A Vendor x GL Analysis'!$F184,'[1]NS Vendor Details'!$N:$N,"Direct Costs",'[1]NS Vendor Details'!$J:$J,0,'[1]NS Vendor Details'!$L:$L,"Freight",'[1]NS Vendor Details'!$I:$I,'G&amp;A Vendor x GL Analysis'!$E184),IF(V$15="Actual",SUMIFS('[1]NS Vendor Details'!$D:$D,'[1]NS Vendor Details'!$H:$H,'G&amp;A Vendor x GL Analysis'!V$20,'[1]NS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Analysis'!V$20,'[1]NS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W184" s="17">
        <f>IF(AND(W$15="Actual",ISBLANK($E$8)),SUMIFS('[1]NS Vendor Details'!$D:$D,'[1]NS Vendor Details'!$H:$H,'G&amp;A Vendor x GL Analysis'!W$20,'[1]NS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Analysis'!W$20,'[1]NS Vendor Details'!$O:$O,'G&amp;A Vendor x GL Analysis'!$F184,'[1]NS Vendor Details'!$N:$N,"Direct Costs",'[1]NS Vendor Details'!$J:$J,0,'[1]NS Vendor Details'!$L:$L,"Freight",'[1]NS Vendor Details'!$I:$I,'G&amp;A Vendor x GL Analysis'!$E184),IF(W$15="Actual",SUMIFS('[1]NS Vendor Details'!$D:$D,'[1]NS Vendor Details'!$H:$H,'G&amp;A Vendor x GL Analysis'!W$20,'[1]NS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Analysis'!W$20,'[1]NS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X184" s="17">
        <f>IF(AND(X$15="Actual",ISBLANK($E$8)),SUMIFS('[1]NS Vendor Details'!$D:$D,'[1]NS Vendor Details'!$H:$H,'G&amp;A Vendor x GL Analysis'!X$20,'[1]NS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Analysis'!X$20,'[1]NS Vendor Details'!$O:$O,'G&amp;A Vendor x GL Analysis'!$F184,'[1]NS Vendor Details'!$N:$N,"Direct Costs",'[1]NS Vendor Details'!$J:$J,0,'[1]NS Vendor Details'!$L:$L,"Freight",'[1]NS Vendor Details'!$I:$I,'G&amp;A Vendor x GL Analysis'!$E184),IF(X$15="Actual",SUMIFS('[1]NS Vendor Details'!$D:$D,'[1]NS Vendor Details'!$H:$H,'G&amp;A Vendor x GL Analysis'!X$20,'[1]NS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Analysis'!X$20,'[1]NS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Y184" s="17">
        <f>IF(AND(Y$15="Actual",ISBLANK($E$8)),SUMIFS('[1]NS Vendor Details'!$D:$D,'[1]NS Vendor Details'!$H:$H,'G&amp;A Vendor x GL Analysis'!Y$20,'[1]NS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Analysis'!Y$20,'[1]NS Vendor Details'!$O:$O,'G&amp;A Vendor x GL Analysis'!$F184,'[1]NS Vendor Details'!$N:$N,"Direct Costs",'[1]NS Vendor Details'!$J:$J,0,'[1]NS Vendor Details'!$L:$L,"Freight",'[1]NS Vendor Details'!$I:$I,'G&amp;A Vendor x GL Analysis'!$E184),IF(Y$15="Actual",SUMIFS('[1]NS Vendor Details'!$D:$D,'[1]NS Vendor Details'!$H:$H,'G&amp;A Vendor x GL Analysis'!Y$20,'[1]NS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Analysis'!Y$20,'[1]NS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285</v>
      </c>
      <c r="Z184" s="17">
        <f>IF(AND(Z$15="Actual",ISBLANK($E$8)),SUMIFS('[1]NS Vendor Details'!$D:$D,'[1]NS Vendor Details'!$H:$H,'G&amp;A Vendor x GL Analysis'!Z$20,'[1]NS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Analysis'!Z$20,'[1]NS Vendor Details'!$O:$O,'G&amp;A Vendor x GL Analysis'!$F184,'[1]NS Vendor Details'!$N:$N,"Direct Costs",'[1]NS Vendor Details'!$J:$J,0,'[1]NS Vendor Details'!$L:$L,"Freight",'[1]NS Vendor Details'!$I:$I,'G&amp;A Vendor x GL Analysis'!$E184),IF(Z$15="Actual",SUMIFS('[1]NS Vendor Details'!$D:$D,'[1]NS Vendor Details'!$H:$H,'G&amp;A Vendor x GL Analysis'!Z$20,'[1]NS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Analysis'!Z$20,'[1]NS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AA184" s="17">
        <f>IF(AND(AA$15="Actual",ISBLANK($E$8)),SUMIFS('[1]NS Vendor Details'!$D:$D,'[1]NS Vendor Details'!$H:$H,'G&amp;A Vendor x GL Analysis'!AA$20,'[1]NS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Analysis'!AA$20,'[1]NS Vendor Details'!$O:$O,'G&amp;A Vendor x GL Analysis'!$F184,'[1]NS Vendor Details'!$N:$N,"Direct Costs",'[1]NS Vendor Details'!$J:$J,0,'[1]NS Vendor Details'!$L:$L,"Freight",'[1]NS Vendor Details'!$I:$I,'G&amp;A Vendor x GL Analysis'!$E184),IF(AA$15="Actual",SUMIFS('[1]NS Vendor Details'!$D:$D,'[1]NS Vendor Details'!$H:$H,'G&amp;A Vendor x GL Analysis'!AA$20,'[1]NS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Analysis'!AA$20,'[1]NS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AB184" s="17">
        <f>IF(AND(AB$15="Actual",ISBLANK($E$8)),SUMIFS('[1]NS Vendor Details'!$D:$D,'[1]NS Vendor Details'!$H:$H,'G&amp;A Vendor x GL Analysis'!AB$20,'[1]NS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Analysis'!AB$20,'[1]NS Vendor Details'!$O:$O,'G&amp;A Vendor x GL Analysis'!$F184,'[1]NS Vendor Details'!$N:$N,"Direct Costs",'[1]NS Vendor Details'!$J:$J,0,'[1]NS Vendor Details'!$L:$L,"Freight",'[1]NS Vendor Details'!$I:$I,'G&amp;A Vendor x GL Analysis'!$E184),IF(AB$15="Actual",SUMIFS('[1]NS Vendor Details'!$D:$D,'[1]NS Vendor Details'!$H:$H,'G&amp;A Vendor x GL Analysis'!AB$20,'[1]NS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Analysis'!AB$20,'[1]NS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AC184" s="18">
        <f>IF(AND(AC$15="Actual",ISBLANK($E$8)),SUMIFS('[1]NS Vendor Details'!$D:$D,'[1]NS Vendor Details'!$H:$H,'G&amp;A Vendor x GL Analysis'!AC$20,'[1]NS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Analysis'!AC$20,'[1]NS Vendor Details'!$O:$O,'G&amp;A Vendor x GL Analysis'!$F184,'[1]NS Vendor Details'!$N:$N,"Direct Costs",'[1]NS Vendor Details'!$J:$J,0,'[1]NS Vendor Details'!$L:$L,"Freight",'[1]NS Vendor Details'!$I:$I,'G&amp;A Vendor x GL Analysis'!$E184),IF(AC$15="Actual",SUMIFS('[1]NS Vendor Details'!$D:$D,'[1]NS Vendor Details'!$H:$H,'G&amp;A Vendor x GL Analysis'!AC$20,'[1]NS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Analysis'!AC$20,'[1]NS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AD184" s="18">
        <f>IF(AND(AD$15="Actual",ISBLANK($E$8)),SUMIFS('[1]NS Vendor Details'!$D:$D,'[1]NS Vendor Details'!$H:$H,'G&amp;A Vendor x GL Analysis'!AD$20,'[1]NS Vendor Details'!$L:$L,'G&amp;A Vendor x GL Analysis'!$D184,'[1]NS Vendor Details'!$O:$O,'G&amp;A Vendor x GL Analysis'!$F184,'[1]NS Vendor Details'!$N:$N,'G&amp;A Vendor x GL Analysis'!$C184,'[1]NS Vendor Details'!$I:$I,'G&amp;A Vendor x GL Analysis'!$E184)+SUMIFS('[1]NS Vendor Details'!$D:$D,'[1]NS Vendor Details'!$H:$H,'G&amp;A Vendor x GL Analysis'!AD$20,'[1]NS Vendor Details'!$O:$O,'G&amp;A Vendor x GL Analysis'!$F184,'[1]NS Vendor Details'!$N:$N,"Direct Costs",'[1]NS Vendor Details'!$J:$J,0,'[1]NS Vendor Details'!$L:$L,"Freight",'[1]NS Vendor Details'!$I:$I,'G&amp;A Vendor x GL Analysis'!$E184),IF(AD$15="Actual",SUMIFS('[1]NS Vendor Details'!$D:$D,'[1]NS Vendor Details'!$H:$H,'G&amp;A Vendor x GL Analysis'!AD$20,'[1]NS Vendor Details'!$L:$L,'G&amp;A Vendor x GL Analysis'!$D184,'[1]NS Vendor Details'!$O:$O,'G&amp;A Vendor x GL Analysis'!$F184,'[1]NS Vendor Details'!$N:$N,'G&amp;A Vendor x GL Analysis'!$C184,'[1]NS Vendor Details'!$K:$K,'G&amp;A Vendor x GL Analysis'!$E$8,'[1]NS Vendor Details'!$I:$I,'G&amp;A Vendor x GL Analysis'!$E184)+SUMIFS('[1]NS Vendor Details'!$D:$D,'[1]NS Vendor Details'!$H:$H,'G&amp;A Vendor x GL Analysis'!AD$20,'[1]NS Vendor Details'!$O:$O,'G&amp;A Vendor x GL Analysis'!$F184,'[1]NS Vendor Details'!$N:$N,"Direct Costs",'[1]NS Vendor Details'!$J:$J,0,'[1]NS Vendor Details'!$K:$K,'G&amp;A Vendor x GL Analysis'!$E$8,'[1]NS Vendor Details'!$L:$L,"Freight",'[1]NS Vendor Details'!$I:$I,'G&amp;A Vendor x GL Analysis'!$E184),0))</f>
        <v>0</v>
      </c>
      <c r="AF184" s="19">
        <f t="shared" si="29"/>
        <v>285</v>
      </c>
    </row>
    <row r="185" spans="1:32" outlineLevel="1">
      <c r="A185" s="8" t="str">
        <f t="shared" si="26"/>
        <v>Other6375 - Freight Expenses</v>
      </c>
      <c r="C185" s="8" t="s">
        <v>11</v>
      </c>
      <c r="D185" s="8" t="str">
        <f>D174</f>
        <v>Other</v>
      </c>
      <c r="E185" s="2" t="s">
        <v>162</v>
      </c>
      <c r="F185" s="2" t="s">
        <v>170</v>
      </c>
      <c r="G185" s="16">
        <f>IF(AND(G$15="Actual",ISBLANK($E$8)),SUMIFS('[1]NS Vendor Details'!$D:$D,'[1]NS Vendor Details'!$H:$H,'G&amp;A Vendor x GL Analysis'!G$20,'[1]NS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Analysis'!G$20,'[1]NS Vendor Details'!$O:$O,'G&amp;A Vendor x GL Analysis'!$F185,'[1]NS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Analysis'!G$20,'[1]NS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H185" s="17">
        <f>IF(AND(H$15="Actual",ISBLANK($E$8)),SUMIFS('[1]NS Vendor Details'!$D:$D,'[1]NS Vendor Details'!$H:$H,'G&amp;A Vendor x GL Analysis'!H$20,'[1]NS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Analysis'!H$20,'[1]NS Vendor Details'!$O:$O,'G&amp;A Vendor x GL Analysis'!$F185,'[1]NS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Analysis'!H$20,'[1]NS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I185" s="17">
        <f>IF(AND(I$15="Actual",ISBLANK($E$8)),SUMIFS('[1]NS Vendor Details'!$D:$D,'[1]NS Vendor Details'!$H:$H,'G&amp;A Vendor x GL Analysis'!I$20,'[1]NS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Analysis'!I$20,'[1]NS Vendor Details'!$O:$O,'G&amp;A Vendor x GL Analysis'!$F185,'[1]NS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Analysis'!I$20,'[1]NS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J185" s="17">
        <f>IF(AND(J$15="Actual",ISBLANK($E$8)),SUMIFS('[1]NS Vendor Details'!$D:$D,'[1]NS Vendor Details'!$H:$H,'G&amp;A Vendor x GL Analysis'!J$20,'[1]NS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Analysis'!J$20,'[1]NS Vendor Details'!$O:$O,'G&amp;A Vendor x GL Analysis'!$F185,'[1]NS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Analysis'!J$20,'[1]NS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K185" s="17">
        <f>IF(AND(K$15="Actual",ISBLANK($E$8)),SUMIFS('[1]NS Vendor Details'!$D:$D,'[1]NS Vendor Details'!$H:$H,'G&amp;A Vendor x GL Analysis'!K$20,'[1]NS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Analysis'!K$20,'[1]NS Vendor Details'!$O:$O,'G&amp;A Vendor x GL Analysis'!$F185,'[1]NS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Analysis'!K$20,'[1]NS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L185" s="17">
        <f>IF(AND(L$15="Actual",ISBLANK($E$8)),SUMIFS('[1]NS Vendor Details'!$D:$D,'[1]NS Vendor Details'!$H:$H,'G&amp;A Vendor x GL Analysis'!L$20,'[1]NS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Analysis'!L$20,'[1]NS Vendor Details'!$O:$O,'G&amp;A Vendor x GL Analysis'!$F185,'[1]NS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Analysis'!L$20,'[1]NS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M185" s="17">
        <f>IF(AND(M$15="Actual",ISBLANK($E$8)),SUMIFS('[1]NS Vendor Details'!$D:$D,'[1]NS Vendor Details'!$H:$H,'G&amp;A Vendor x GL Analysis'!M$20,'[1]NS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Analysis'!M$20,'[1]NS Vendor Details'!$O:$O,'G&amp;A Vendor x GL Analysis'!$F185,'[1]NS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Analysis'!M$20,'[1]NS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N185" s="17">
        <f>IF(AND(N$15="Actual",ISBLANK($E$8)),SUMIFS('[1]NS Vendor Details'!$D:$D,'[1]NS Vendor Details'!$H:$H,'G&amp;A Vendor x GL Analysis'!N$20,'[1]NS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Analysis'!N$20,'[1]NS Vendor Details'!$O:$O,'G&amp;A Vendor x GL Analysis'!$F185,'[1]NS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Analysis'!N$20,'[1]NS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O185" s="17">
        <f>IF(AND(O$15="Actual",ISBLANK($E$8)),SUMIFS('[1]NS Vendor Details'!$D:$D,'[1]NS Vendor Details'!$H:$H,'G&amp;A Vendor x GL Analysis'!O$20,'[1]NS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Analysis'!O$20,'[1]NS Vendor Details'!$O:$O,'G&amp;A Vendor x GL Analysis'!$F185,'[1]NS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Analysis'!O$20,'[1]NS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P185" s="17">
        <f>IF(AND(P$15="Actual",ISBLANK($E$8)),SUMIFS('[1]NS Vendor Details'!$D:$D,'[1]NS Vendor Details'!$H:$H,'G&amp;A Vendor x GL Analysis'!P$20,'[1]NS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Analysis'!P$20,'[1]NS Vendor Details'!$O:$O,'G&amp;A Vendor x GL Analysis'!$F185,'[1]NS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Analysis'!P$20,'[1]NS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Q185" s="17">
        <f>IF(AND(Q$15="Actual",ISBLANK($E$8)),SUMIFS('[1]NS Vendor Details'!$D:$D,'[1]NS Vendor Details'!$H:$H,'G&amp;A Vendor x GL Analysis'!Q$20,'[1]NS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Analysis'!Q$20,'[1]NS Vendor Details'!$O:$O,'G&amp;A Vendor x GL Analysis'!$F185,'[1]NS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Analysis'!Q$20,'[1]NS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R185" s="18">
        <f>IF(AND(R$15="Actual",ISBLANK($E$8)),SUMIFS('[1]NS Vendor Details'!$D:$D,'[1]NS Vendor Details'!$H:$H,'G&amp;A Vendor x GL Analysis'!R$20,'[1]NS Vendor Details'!$L:$L,'G&amp;A Vendor x GL Analysis'!$D185,'[1]NS Vendor Details'!$O:$O,'G&amp;A Vendor x GL Analysis'!$F185,'[1]NS Vendor Details'!$N:$N,'G&amp;A Vendor x GL Analysis'!$C185)+SUMIFS('[1]NS Vendor Details'!$D:$D,'[1]NS Vendor Details'!$H:$H,'G&amp;A Vendor x GL Analysis'!R$20,'[1]NS Vendor Details'!$O:$O,'G&amp;A Vendor x GL Analysis'!$F185,'[1]NS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Analysis'!$D185,'[1]NS Vendor Details'!$O:$O,'G&amp;A Vendor x GL Analysis'!$F185,'[1]NS Vendor Details'!$N:$N,'G&amp;A Vendor x GL Analysis'!$C185,'[1]NS Vendor Details'!$K:$K,'G&amp;A Vendor x GL Analysis'!$E$8)+SUMIFS('[1]NS Vendor Details'!$D:$D,'[1]NS Vendor Details'!$H:$H,'G&amp;A Vendor x GL Analysis'!R$20,'[1]NS Vendor Details'!$O:$O,'G&amp;A Vendor x GL Analysis'!$F185,'[1]NS Vendor Details'!$N:$N,"Direct Costs",'[1]NS Vendor Details'!$J:$J,0,'[1]NS Vendor Details'!$K:$K,'G&amp;A Vendor x GL Analysis'!$E$8,'[1]NS Vendor Details'!$L:$L,"Freight"),0))</f>
        <v>0</v>
      </c>
      <c r="S185" s="16">
        <f>IF(AND(S$15="Actual",ISBLANK($E$8)),SUMIFS('[1]NS Vendor Details'!$D:$D,'[1]NS Vendor Details'!$H:$H,'G&amp;A Vendor x GL Analysis'!S$20,'[1]NS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Analysis'!S$20,'[1]NS Vendor Details'!$O:$O,'G&amp;A Vendor x GL Analysis'!$F185,'[1]NS Vendor Details'!$N:$N,"Direct Costs",'[1]NS Vendor Details'!$J:$J,0,'[1]NS Vendor Details'!$L:$L,"Freight",'[1]NS Vendor Details'!$I:$I,'G&amp;A Vendor x GL Analysis'!$E185),IF(S$15="Actual",SUMIFS('[1]NS Vendor Details'!$D:$D,'[1]NS Vendor Details'!$H:$H,'G&amp;A Vendor x GL Analysis'!S$20,'[1]NS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Analysis'!S$20,'[1]NS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T185" s="17">
        <f>IF(AND(T$15="Actual",ISBLANK($E$8)),SUMIFS('[1]NS Vendor Details'!$D:$D,'[1]NS Vendor Details'!$H:$H,'G&amp;A Vendor x GL Analysis'!T$20,'[1]NS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Analysis'!T$20,'[1]NS Vendor Details'!$O:$O,'G&amp;A Vendor x GL Analysis'!$F185,'[1]NS Vendor Details'!$N:$N,"Direct Costs",'[1]NS Vendor Details'!$J:$J,0,'[1]NS Vendor Details'!$L:$L,"Freight",'[1]NS Vendor Details'!$I:$I,'G&amp;A Vendor x GL Analysis'!$E185),IF(T$15="Actual",SUMIFS('[1]NS Vendor Details'!$D:$D,'[1]NS Vendor Details'!$H:$H,'G&amp;A Vendor x GL Analysis'!T$20,'[1]NS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Analysis'!T$20,'[1]NS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U185" s="17">
        <f>IF(AND(U$15="Actual",ISBLANK($E$8)),SUMIFS('[1]NS Vendor Details'!$D:$D,'[1]NS Vendor Details'!$H:$H,'G&amp;A Vendor x GL Analysis'!U$20,'[1]NS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Analysis'!U$20,'[1]NS Vendor Details'!$O:$O,'G&amp;A Vendor x GL Analysis'!$F185,'[1]NS Vendor Details'!$N:$N,"Direct Costs",'[1]NS Vendor Details'!$J:$J,0,'[1]NS Vendor Details'!$L:$L,"Freight",'[1]NS Vendor Details'!$I:$I,'G&amp;A Vendor x GL Analysis'!$E185),IF(U$15="Actual",SUMIFS('[1]NS Vendor Details'!$D:$D,'[1]NS Vendor Details'!$H:$H,'G&amp;A Vendor x GL Analysis'!U$20,'[1]NS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Analysis'!U$20,'[1]NS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V185" s="17">
        <f>IF(AND(V$15="Actual",ISBLANK($E$8)),SUMIFS('[1]NS Vendor Details'!$D:$D,'[1]NS Vendor Details'!$H:$H,'G&amp;A Vendor x GL Analysis'!V$20,'[1]NS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Analysis'!V$20,'[1]NS Vendor Details'!$O:$O,'G&amp;A Vendor x GL Analysis'!$F185,'[1]NS Vendor Details'!$N:$N,"Direct Costs",'[1]NS Vendor Details'!$J:$J,0,'[1]NS Vendor Details'!$L:$L,"Freight",'[1]NS Vendor Details'!$I:$I,'G&amp;A Vendor x GL Analysis'!$E185),IF(V$15="Actual",SUMIFS('[1]NS Vendor Details'!$D:$D,'[1]NS Vendor Details'!$H:$H,'G&amp;A Vendor x GL Analysis'!V$20,'[1]NS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Analysis'!V$20,'[1]NS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W185" s="17">
        <f>IF(AND(W$15="Actual",ISBLANK($E$8)),SUMIFS('[1]NS Vendor Details'!$D:$D,'[1]NS Vendor Details'!$H:$H,'G&amp;A Vendor x GL Analysis'!W$20,'[1]NS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Analysis'!W$20,'[1]NS Vendor Details'!$O:$O,'G&amp;A Vendor x GL Analysis'!$F185,'[1]NS Vendor Details'!$N:$N,"Direct Costs",'[1]NS Vendor Details'!$J:$J,0,'[1]NS Vendor Details'!$L:$L,"Freight",'[1]NS Vendor Details'!$I:$I,'G&amp;A Vendor x GL Analysis'!$E185),IF(W$15="Actual",SUMIFS('[1]NS Vendor Details'!$D:$D,'[1]NS Vendor Details'!$H:$H,'G&amp;A Vendor x GL Analysis'!W$20,'[1]NS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Analysis'!W$20,'[1]NS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X185" s="17">
        <f>IF(AND(X$15="Actual",ISBLANK($E$8)),SUMIFS('[1]NS Vendor Details'!$D:$D,'[1]NS Vendor Details'!$H:$H,'G&amp;A Vendor x GL Analysis'!X$20,'[1]NS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Analysis'!X$20,'[1]NS Vendor Details'!$O:$O,'G&amp;A Vendor x GL Analysis'!$F185,'[1]NS Vendor Details'!$N:$N,"Direct Costs",'[1]NS Vendor Details'!$J:$J,0,'[1]NS Vendor Details'!$L:$L,"Freight",'[1]NS Vendor Details'!$I:$I,'G&amp;A Vendor x GL Analysis'!$E185),IF(X$15="Actual",SUMIFS('[1]NS Vendor Details'!$D:$D,'[1]NS Vendor Details'!$H:$H,'G&amp;A Vendor x GL Analysis'!X$20,'[1]NS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Analysis'!X$20,'[1]NS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Y185" s="17">
        <f>IF(AND(Y$15="Actual",ISBLANK($E$8)),SUMIFS('[1]NS Vendor Details'!$D:$D,'[1]NS Vendor Details'!$H:$H,'G&amp;A Vendor x GL Analysis'!Y$20,'[1]NS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Analysis'!Y$20,'[1]NS Vendor Details'!$O:$O,'G&amp;A Vendor x GL Analysis'!$F185,'[1]NS Vendor Details'!$N:$N,"Direct Costs",'[1]NS Vendor Details'!$J:$J,0,'[1]NS Vendor Details'!$L:$L,"Freight",'[1]NS Vendor Details'!$I:$I,'G&amp;A Vendor x GL Analysis'!$E185),IF(Y$15="Actual",SUMIFS('[1]NS Vendor Details'!$D:$D,'[1]NS Vendor Details'!$H:$H,'G&amp;A Vendor x GL Analysis'!Y$20,'[1]NS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Analysis'!Y$20,'[1]NS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Z185" s="17">
        <f>IF(AND(Z$15="Actual",ISBLANK($E$8)),SUMIFS('[1]NS Vendor Details'!$D:$D,'[1]NS Vendor Details'!$H:$H,'G&amp;A Vendor x GL Analysis'!Z$20,'[1]NS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Analysis'!Z$20,'[1]NS Vendor Details'!$O:$O,'G&amp;A Vendor x GL Analysis'!$F185,'[1]NS Vendor Details'!$N:$N,"Direct Costs",'[1]NS Vendor Details'!$J:$J,0,'[1]NS Vendor Details'!$L:$L,"Freight",'[1]NS Vendor Details'!$I:$I,'G&amp;A Vendor x GL Analysis'!$E185),IF(Z$15="Actual",SUMIFS('[1]NS Vendor Details'!$D:$D,'[1]NS Vendor Details'!$H:$H,'G&amp;A Vendor x GL Analysis'!Z$20,'[1]NS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Analysis'!Z$20,'[1]NS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AA185" s="17">
        <f>IF(AND(AA$15="Actual",ISBLANK($E$8)),SUMIFS('[1]NS Vendor Details'!$D:$D,'[1]NS Vendor Details'!$H:$H,'G&amp;A Vendor x GL Analysis'!AA$20,'[1]NS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Analysis'!AA$20,'[1]NS Vendor Details'!$O:$O,'G&amp;A Vendor x GL Analysis'!$F185,'[1]NS Vendor Details'!$N:$N,"Direct Costs",'[1]NS Vendor Details'!$J:$J,0,'[1]NS Vendor Details'!$L:$L,"Freight",'[1]NS Vendor Details'!$I:$I,'G&amp;A Vendor x GL Analysis'!$E185),IF(AA$15="Actual",SUMIFS('[1]NS Vendor Details'!$D:$D,'[1]NS Vendor Details'!$H:$H,'G&amp;A Vendor x GL Analysis'!AA$20,'[1]NS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Analysis'!AA$20,'[1]NS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AB185" s="17">
        <f>IF(AND(AB$15="Actual",ISBLANK($E$8)),SUMIFS('[1]NS Vendor Details'!$D:$D,'[1]NS Vendor Details'!$H:$H,'G&amp;A Vendor x GL Analysis'!AB$20,'[1]NS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Analysis'!AB$20,'[1]NS Vendor Details'!$O:$O,'G&amp;A Vendor x GL Analysis'!$F185,'[1]NS Vendor Details'!$N:$N,"Direct Costs",'[1]NS Vendor Details'!$J:$J,0,'[1]NS Vendor Details'!$L:$L,"Freight",'[1]NS Vendor Details'!$I:$I,'G&amp;A Vendor x GL Analysis'!$E185),IF(AB$15="Actual",SUMIFS('[1]NS Vendor Details'!$D:$D,'[1]NS Vendor Details'!$H:$H,'G&amp;A Vendor x GL Analysis'!AB$20,'[1]NS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Analysis'!AB$20,'[1]NS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AC185" s="18">
        <f>IF(AND(AC$15="Actual",ISBLANK($E$8)),SUMIFS('[1]NS Vendor Details'!$D:$D,'[1]NS Vendor Details'!$H:$H,'G&amp;A Vendor x GL Analysis'!AC$20,'[1]NS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Analysis'!AC$20,'[1]NS Vendor Details'!$O:$O,'G&amp;A Vendor x GL Analysis'!$F185,'[1]NS Vendor Details'!$N:$N,"Direct Costs",'[1]NS Vendor Details'!$J:$J,0,'[1]NS Vendor Details'!$L:$L,"Freight",'[1]NS Vendor Details'!$I:$I,'G&amp;A Vendor x GL Analysis'!$E185),IF(AC$15="Actual",SUMIFS('[1]NS Vendor Details'!$D:$D,'[1]NS Vendor Details'!$H:$H,'G&amp;A Vendor x GL Analysis'!AC$20,'[1]NS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Analysis'!AC$20,'[1]NS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AD185" s="18">
        <f>IF(AND(AD$15="Actual",ISBLANK($E$8)),SUMIFS('[1]NS Vendor Details'!$D:$D,'[1]NS Vendor Details'!$H:$H,'G&amp;A Vendor x GL Analysis'!AD$20,'[1]NS Vendor Details'!$L:$L,'G&amp;A Vendor x GL Analysis'!$D185,'[1]NS Vendor Details'!$O:$O,'G&amp;A Vendor x GL Analysis'!$F185,'[1]NS Vendor Details'!$N:$N,'G&amp;A Vendor x GL Analysis'!$C185,'[1]NS Vendor Details'!$I:$I,'G&amp;A Vendor x GL Analysis'!$E185)+SUMIFS('[1]NS Vendor Details'!$D:$D,'[1]NS Vendor Details'!$H:$H,'G&amp;A Vendor x GL Analysis'!AD$20,'[1]NS Vendor Details'!$O:$O,'G&amp;A Vendor x GL Analysis'!$F185,'[1]NS Vendor Details'!$N:$N,"Direct Costs",'[1]NS Vendor Details'!$J:$J,0,'[1]NS Vendor Details'!$L:$L,"Freight",'[1]NS Vendor Details'!$I:$I,'G&amp;A Vendor x GL Analysis'!$E185),IF(AD$15="Actual",SUMIFS('[1]NS Vendor Details'!$D:$D,'[1]NS Vendor Details'!$H:$H,'G&amp;A Vendor x GL Analysis'!AD$20,'[1]NS Vendor Details'!$L:$L,'G&amp;A Vendor x GL Analysis'!$D185,'[1]NS Vendor Details'!$O:$O,'G&amp;A Vendor x GL Analysis'!$F185,'[1]NS Vendor Details'!$N:$N,'G&amp;A Vendor x GL Analysis'!$C185,'[1]NS Vendor Details'!$K:$K,'G&amp;A Vendor x GL Analysis'!$E$8,'[1]NS Vendor Details'!$I:$I,'G&amp;A Vendor x GL Analysis'!$E185)+SUMIFS('[1]NS Vendor Details'!$D:$D,'[1]NS Vendor Details'!$H:$H,'G&amp;A Vendor x GL Analysis'!AD$20,'[1]NS Vendor Details'!$O:$O,'G&amp;A Vendor x GL Analysis'!$F185,'[1]NS Vendor Details'!$N:$N,"Direct Costs",'[1]NS Vendor Details'!$J:$J,0,'[1]NS Vendor Details'!$K:$K,'G&amp;A Vendor x GL Analysis'!$E$8,'[1]NS Vendor Details'!$L:$L,"Freight",'[1]NS Vendor Details'!$I:$I,'G&amp;A Vendor x GL Analysis'!$E185),0))</f>
        <v>0</v>
      </c>
      <c r="AF185" s="19">
        <f t="shared" si="29"/>
        <v>0</v>
      </c>
    </row>
    <row r="186" spans="1:32" outlineLevel="1">
      <c r="A186" s="8" t="str">
        <f t="shared" si="26"/>
        <v>Other6375 - Freight Expenses</v>
      </c>
      <c r="C186" s="8" t="s">
        <v>11</v>
      </c>
      <c r="D186" s="8" t="str">
        <f>D175</f>
        <v>Other</v>
      </c>
      <c r="E186" s="2" t="s">
        <v>162</v>
      </c>
      <c r="F186" s="2" t="s">
        <v>171</v>
      </c>
      <c r="G186" s="16">
        <f>IF(AND(G$15="Actual",ISBLANK($E$8)),SUMIFS('[1]NS Vendor Details'!$D:$D,'[1]NS Vendor Details'!$H:$H,'G&amp;A Vendor x GL Analysis'!G$20,'[1]NS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Analysis'!G$20,'[1]NS Vendor Details'!$O:$O,'G&amp;A Vendor x GL Analysis'!$F186,'[1]NS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Analysis'!G$20,'[1]NS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H186" s="17">
        <f>IF(AND(H$15="Actual",ISBLANK($E$8)),SUMIFS('[1]NS Vendor Details'!$D:$D,'[1]NS Vendor Details'!$H:$H,'G&amp;A Vendor x GL Analysis'!H$20,'[1]NS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Analysis'!H$20,'[1]NS Vendor Details'!$O:$O,'G&amp;A Vendor x GL Analysis'!$F186,'[1]NS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Analysis'!H$20,'[1]NS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I186" s="17">
        <f>IF(AND(I$15="Actual",ISBLANK($E$8)),SUMIFS('[1]NS Vendor Details'!$D:$D,'[1]NS Vendor Details'!$H:$H,'G&amp;A Vendor x GL Analysis'!I$20,'[1]NS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Analysis'!I$20,'[1]NS Vendor Details'!$O:$O,'G&amp;A Vendor x GL Analysis'!$F186,'[1]NS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Analysis'!I$20,'[1]NS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J186" s="17">
        <f>IF(AND(J$15="Actual",ISBLANK($E$8)),SUMIFS('[1]NS Vendor Details'!$D:$D,'[1]NS Vendor Details'!$H:$H,'G&amp;A Vendor x GL Analysis'!J$20,'[1]NS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Analysis'!J$20,'[1]NS Vendor Details'!$O:$O,'G&amp;A Vendor x GL Analysis'!$F186,'[1]NS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Analysis'!J$20,'[1]NS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K186" s="17">
        <f>IF(AND(K$15="Actual",ISBLANK($E$8)),SUMIFS('[1]NS Vendor Details'!$D:$D,'[1]NS Vendor Details'!$H:$H,'G&amp;A Vendor x GL Analysis'!K$20,'[1]NS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Analysis'!K$20,'[1]NS Vendor Details'!$O:$O,'G&amp;A Vendor x GL Analysis'!$F186,'[1]NS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Analysis'!K$20,'[1]NS Vendor Details'!$O:$O,'G&amp;A Vendor x GL Analysis'!$F186,'[1]NS Vendor Details'!$N:$N,"Direct Costs",'[1]NS Vendor Details'!$J:$J,0,'[1]NS Vendor Details'!$K:$K,'G&amp;A Vendor x GL Analysis'!$E$8,'[1]NS Vendor Details'!$L:$L,"Freight"),0))</f>
        <v>-32</v>
      </c>
      <c r="L186" s="17">
        <f>IF(AND(L$15="Actual",ISBLANK($E$8)),SUMIFS('[1]NS Vendor Details'!$D:$D,'[1]NS Vendor Details'!$H:$H,'G&amp;A Vendor x GL Analysis'!L$20,'[1]NS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Analysis'!L$20,'[1]NS Vendor Details'!$O:$O,'G&amp;A Vendor x GL Analysis'!$F186,'[1]NS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Analysis'!L$20,'[1]NS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M186" s="17">
        <f>IF(AND(M$15="Actual",ISBLANK($E$8)),SUMIFS('[1]NS Vendor Details'!$D:$D,'[1]NS Vendor Details'!$H:$H,'G&amp;A Vendor x GL Analysis'!M$20,'[1]NS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Analysis'!M$20,'[1]NS Vendor Details'!$O:$O,'G&amp;A Vendor x GL Analysis'!$F186,'[1]NS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Analysis'!M$20,'[1]NS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N186" s="17">
        <f>IF(AND(N$15="Actual",ISBLANK($E$8)),SUMIFS('[1]NS Vendor Details'!$D:$D,'[1]NS Vendor Details'!$H:$H,'G&amp;A Vendor x GL Analysis'!N$20,'[1]NS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Analysis'!N$20,'[1]NS Vendor Details'!$O:$O,'G&amp;A Vendor x GL Analysis'!$F186,'[1]NS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Analysis'!N$20,'[1]NS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O186" s="17">
        <f>IF(AND(O$15="Actual",ISBLANK($E$8)),SUMIFS('[1]NS Vendor Details'!$D:$D,'[1]NS Vendor Details'!$H:$H,'G&amp;A Vendor x GL Analysis'!O$20,'[1]NS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Analysis'!O$20,'[1]NS Vendor Details'!$O:$O,'G&amp;A Vendor x GL Analysis'!$F186,'[1]NS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Analysis'!O$20,'[1]NS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P186" s="17">
        <f>IF(AND(P$15="Actual",ISBLANK($E$8)),SUMIFS('[1]NS Vendor Details'!$D:$D,'[1]NS Vendor Details'!$H:$H,'G&amp;A Vendor x GL Analysis'!P$20,'[1]NS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Analysis'!P$20,'[1]NS Vendor Details'!$O:$O,'G&amp;A Vendor x GL Analysis'!$F186,'[1]NS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Analysis'!P$20,'[1]NS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Q186" s="17">
        <f>IF(AND(Q$15="Actual",ISBLANK($E$8)),SUMIFS('[1]NS Vendor Details'!$D:$D,'[1]NS Vendor Details'!$H:$H,'G&amp;A Vendor x GL Analysis'!Q$20,'[1]NS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Analysis'!Q$20,'[1]NS Vendor Details'!$O:$O,'G&amp;A Vendor x GL Analysis'!$F186,'[1]NS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Analysis'!Q$20,'[1]NS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R186" s="18">
        <f>IF(AND(R$15="Actual",ISBLANK($E$8)),SUMIFS('[1]NS Vendor Details'!$D:$D,'[1]NS Vendor Details'!$H:$H,'G&amp;A Vendor x GL Analysis'!R$20,'[1]NS Vendor Details'!$L:$L,'G&amp;A Vendor x GL Analysis'!$D186,'[1]NS Vendor Details'!$O:$O,'G&amp;A Vendor x GL Analysis'!$F186,'[1]NS Vendor Details'!$N:$N,'G&amp;A Vendor x GL Analysis'!$C186)+SUMIFS('[1]NS Vendor Details'!$D:$D,'[1]NS Vendor Details'!$H:$H,'G&amp;A Vendor x GL Analysis'!R$20,'[1]NS Vendor Details'!$O:$O,'G&amp;A Vendor x GL Analysis'!$F186,'[1]NS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Analysis'!$D186,'[1]NS Vendor Details'!$O:$O,'G&amp;A Vendor x GL Analysis'!$F186,'[1]NS Vendor Details'!$N:$N,'G&amp;A Vendor x GL Analysis'!$C186,'[1]NS Vendor Details'!$K:$K,'G&amp;A Vendor x GL Analysis'!$E$8)+SUMIFS('[1]NS Vendor Details'!$D:$D,'[1]NS Vendor Details'!$H:$H,'G&amp;A Vendor x GL Analysis'!R$20,'[1]NS Vendor Details'!$O:$O,'G&amp;A Vendor x GL Analysis'!$F186,'[1]NS Vendor Details'!$N:$N,"Direct Costs",'[1]NS Vendor Details'!$J:$J,0,'[1]NS Vendor Details'!$K:$K,'G&amp;A Vendor x GL Analysis'!$E$8,'[1]NS Vendor Details'!$L:$L,"Freight"),0))</f>
        <v>0</v>
      </c>
      <c r="S186" s="16">
        <f>IF(AND(S$15="Actual",ISBLANK($E$8)),SUMIFS('[1]NS Vendor Details'!$D:$D,'[1]NS Vendor Details'!$H:$H,'G&amp;A Vendor x GL Analysis'!S$20,'[1]NS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Analysis'!S$20,'[1]NS Vendor Details'!$O:$O,'G&amp;A Vendor x GL Analysis'!$F186,'[1]NS Vendor Details'!$N:$N,"Direct Costs",'[1]NS Vendor Details'!$J:$J,0,'[1]NS Vendor Details'!$L:$L,"Freight",'[1]NS Vendor Details'!$I:$I,'G&amp;A Vendor x GL Analysis'!$E186),IF(S$15="Actual",SUMIFS('[1]NS Vendor Details'!$D:$D,'[1]NS Vendor Details'!$H:$H,'G&amp;A Vendor x GL Analysis'!S$20,'[1]NS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Analysis'!S$20,'[1]NS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T186" s="17">
        <f>IF(AND(T$15="Actual",ISBLANK($E$8)),SUMIFS('[1]NS Vendor Details'!$D:$D,'[1]NS Vendor Details'!$H:$H,'G&amp;A Vendor x GL Analysis'!T$20,'[1]NS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Analysis'!T$20,'[1]NS Vendor Details'!$O:$O,'G&amp;A Vendor x GL Analysis'!$F186,'[1]NS Vendor Details'!$N:$N,"Direct Costs",'[1]NS Vendor Details'!$J:$J,0,'[1]NS Vendor Details'!$L:$L,"Freight",'[1]NS Vendor Details'!$I:$I,'G&amp;A Vendor x GL Analysis'!$E186),IF(T$15="Actual",SUMIFS('[1]NS Vendor Details'!$D:$D,'[1]NS Vendor Details'!$H:$H,'G&amp;A Vendor x GL Analysis'!T$20,'[1]NS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Analysis'!T$20,'[1]NS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U186" s="17">
        <f>IF(AND(U$15="Actual",ISBLANK($E$8)),SUMIFS('[1]NS Vendor Details'!$D:$D,'[1]NS Vendor Details'!$H:$H,'G&amp;A Vendor x GL Analysis'!U$20,'[1]NS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Analysis'!U$20,'[1]NS Vendor Details'!$O:$O,'G&amp;A Vendor x GL Analysis'!$F186,'[1]NS Vendor Details'!$N:$N,"Direct Costs",'[1]NS Vendor Details'!$J:$J,0,'[1]NS Vendor Details'!$L:$L,"Freight",'[1]NS Vendor Details'!$I:$I,'G&amp;A Vendor x GL Analysis'!$E186),IF(U$15="Actual",SUMIFS('[1]NS Vendor Details'!$D:$D,'[1]NS Vendor Details'!$H:$H,'G&amp;A Vendor x GL Analysis'!U$20,'[1]NS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Analysis'!U$20,'[1]NS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V186" s="17">
        <f>IF(AND(V$15="Actual",ISBLANK($E$8)),SUMIFS('[1]NS Vendor Details'!$D:$D,'[1]NS Vendor Details'!$H:$H,'G&amp;A Vendor x GL Analysis'!V$20,'[1]NS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Analysis'!V$20,'[1]NS Vendor Details'!$O:$O,'G&amp;A Vendor x GL Analysis'!$F186,'[1]NS Vendor Details'!$N:$N,"Direct Costs",'[1]NS Vendor Details'!$J:$J,0,'[1]NS Vendor Details'!$L:$L,"Freight",'[1]NS Vendor Details'!$I:$I,'G&amp;A Vendor x GL Analysis'!$E186),IF(V$15="Actual",SUMIFS('[1]NS Vendor Details'!$D:$D,'[1]NS Vendor Details'!$H:$H,'G&amp;A Vendor x GL Analysis'!V$20,'[1]NS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Analysis'!V$20,'[1]NS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W186" s="17">
        <f>IF(AND(W$15="Actual",ISBLANK($E$8)),SUMIFS('[1]NS Vendor Details'!$D:$D,'[1]NS Vendor Details'!$H:$H,'G&amp;A Vendor x GL Analysis'!W$20,'[1]NS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Analysis'!W$20,'[1]NS Vendor Details'!$O:$O,'G&amp;A Vendor x GL Analysis'!$F186,'[1]NS Vendor Details'!$N:$N,"Direct Costs",'[1]NS Vendor Details'!$J:$J,0,'[1]NS Vendor Details'!$L:$L,"Freight",'[1]NS Vendor Details'!$I:$I,'G&amp;A Vendor x GL Analysis'!$E186),IF(W$15="Actual",SUMIFS('[1]NS Vendor Details'!$D:$D,'[1]NS Vendor Details'!$H:$H,'G&amp;A Vendor x GL Analysis'!W$20,'[1]NS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Analysis'!W$20,'[1]NS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X186" s="17">
        <f>IF(AND(X$15="Actual",ISBLANK($E$8)),SUMIFS('[1]NS Vendor Details'!$D:$D,'[1]NS Vendor Details'!$H:$H,'G&amp;A Vendor x GL Analysis'!X$20,'[1]NS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Analysis'!X$20,'[1]NS Vendor Details'!$O:$O,'G&amp;A Vendor x GL Analysis'!$F186,'[1]NS Vendor Details'!$N:$N,"Direct Costs",'[1]NS Vendor Details'!$J:$J,0,'[1]NS Vendor Details'!$L:$L,"Freight",'[1]NS Vendor Details'!$I:$I,'G&amp;A Vendor x GL Analysis'!$E186),IF(X$15="Actual",SUMIFS('[1]NS Vendor Details'!$D:$D,'[1]NS Vendor Details'!$H:$H,'G&amp;A Vendor x GL Analysis'!X$20,'[1]NS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Analysis'!X$20,'[1]NS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1091.6399999999999</v>
      </c>
      <c r="Y186" s="17">
        <f>IF(AND(Y$15="Actual",ISBLANK($E$8)),SUMIFS('[1]NS Vendor Details'!$D:$D,'[1]NS Vendor Details'!$H:$H,'G&amp;A Vendor x GL Analysis'!Y$20,'[1]NS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Analysis'!Y$20,'[1]NS Vendor Details'!$O:$O,'G&amp;A Vendor x GL Analysis'!$F186,'[1]NS Vendor Details'!$N:$N,"Direct Costs",'[1]NS Vendor Details'!$J:$J,0,'[1]NS Vendor Details'!$L:$L,"Freight",'[1]NS Vendor Details'!$I:$I,'G&amp;A Vendor x GL Analysis'!$E186),IF(Y$15="Actual",SUMIFS('[1]NS Vendor Details'!$D:$D,'[1]NS Vendor Details'!$H:$H,'G&amp;A Vendor x GL Analysis'!Y$20,'[1]NS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Analysis'!Y$20,'[1]NS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-244.29</v>
      </c>
      <c r="Z186" s="17">
        <f>IF(AND(Z$15="Actual",ISBLANK($E$8)),SUMIFS('[1]NS Vendor Details'!$D:$D,'[1]NS Vendor Details'!$H:$H,'G&amp;A Vendor x GL Analysis'!Z$20,'[1]NS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Analysis'!Z$20,'[1]NS Vendor Details'!$O:$O,'G&amp;A Vendor x GL Analysis'!$F186,'[1]NS Vendor Details'!$N:$N,"Direct Costs",'[1]NS Vendor Details'!$J:$J,0,'[1]NS Vendor Details'!$L:$L,"Freight",'[1]NS Vendor Details'!$I:$I,'G&amp;A Vendor x GL Analysis'!$E186),IF(Z$15="Actual",SUMIFS('[1]NS Vendor Details'!$D:$D,'[1]NS Vendor Details'!$H:$H,'G&amp;A Vendor x GL Analysis'!Z$20,'[1]NS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Analysis'!Z$20,'[1]NS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AA186" s="17">
        <f>IF(AND(AA$15="Actual",ISBLANK($E$8)),SUMIFS('[1]NS Vendor Details'!$D:$D,'[1]NS Vendor Details'!$H:$H,'G&amp;A Vendor x GL Analysis'!AA$20,'[1]NS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Analysis'!AA$20,'[1]NS Vendor Details'!$O:$O,'G&amp;A Vendor x GL Analysis'!$F186,'[1]NS Vendor Details'!$N:$N,"Direct Costs",'[1]NS Vendor Details'!$J:$J,0,'[1]NS Vendor Details'!$L:$L,"Freight",'[1]NS Vendor Details'!$I:$I,'G&amp;A Vendor x GL Analysis'!$E186),IF(AA$15="Actual",SUMIFS('[1]NS Vendor Details'!$D:$D,'[1]NS Vendor Details'!$H:$H,'G&amp;A Vendor x GL Analysis'!AA$20,'[1]NS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Analysis'!AA$20,'[1]NS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AB186" s="17">
        <f>IF(AND(AB$15="Actual",ISBLANK($E$8)),SUMIFS('[1]NS Vendor Details'!$D:$D,'[1]NS Vendor Details'!$H:$H,'G&amp;A Vendor x GL Analysis'!AB$20,'[1]NS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Analysis'!AB$20,'[1]NS Vendor Details'!$O:$O,'G&amp;A Vendor x GL Analysis'!$F186,'[1]NS Vendor Details'!$N:$N,"Direct Costs",'[1]NS Vendor Details'!$J:$J,0,'[1]NS Vendor Details'!$L:$L,"Freight",'[1]NS Vendor Details'!$I:$I,'G&amp;A Vendor x GL Analysis'!$E186),IF(AB$15="Actual",SUMIFS('[1]NS Vendor Details'!$D:$D,'[1]NS Vendor Details'!$H:$H,'G&amp;A Vendor x GL Analysis'!AB$20,'[1]NS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Analysis'!AB$20,'[1]NS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196.7</v>
      </c>
      <c r="AC186" s="18">
        <f>IF(AND(AC$15="Actual",ISBLANK($E$8)),SUMIFS('[1]NS Vendor Details'!$D:$D,'[1]NS Vendor Details'!$H:$H,'G&amp;A Vendor x GL Analysis'!AC$20,'[1]NS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Analysis'!AC$20,'[1]NS Vendor Details'!$O:$O,'G&amp;A Vendor x GL Analysis'!$F186,'[1]NS Vendor Details'!$N:$N,"Direct Costs",'[1]NS Vendor Details'!$J:$J,0,'[1]NS Vendor Details'!$L:$L,"Freight",'[1]NS Vendor Details'!$I:$I,'G&amp;A Vendor x GL Analysis'!$E186),IF(AC$15="Actual",SUMIFS('[1]NS Vendor Details'!$D:$D,'[1]NS Vendor Details'!$H:$H,'G&amp;A Vendor x GL Analysis'!AC$20,'[1]NS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Analysis'!AC$20,'[1]NS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AD186" s="18">
        <f>IF(AND(AD$15="Actual",ISBLANK($E$8)),SUMIFS('[1]NS Vendor Details'!$D:$D,'[1]NS Vendor Details'!$H:$H,'G&amp;A Vendor x GL Analysis'!AD$20,'[1]NS Vendor Details'!$L:$L,'G&amp;A Vendor x GL Analysis'!$D186,'[1]NS Vendor Details'!$O:$O,'G&amp;A Vendor x GL Analysis'!$F186,'[1]NS Vendor Details'!$N:$N,'G&amp;A Vendor x GL Analysis'!$C186,'[1]NS Vendor Details'!$I:$I,'G&amp;A Vendor x GL Analysis'!$E186)+SUMIFS('[1]NS Vendor Details'!$D:$D,'[1]NS Vendor Details'!$H:$H,'G&amp;A Vendor x GL Analysis'!AD$20,'[1]NS Vendor Details'!$O:$O,'G&amp;A Vendor x GL Analysis'!$F186,'[1]NS Vendor Details'!$N:$N,"Direct Costs",'[1]NS Vendor Details'!$J:$J,0,'[1]NS Vendor Details'!$L:$L,"Freight",'[1]NS Vendor Details'!$I:$I,'G&amp;A Vendor x GL Analysis'!$E186),IF(AD$15="Actual",SUMIFS('[1]NS Vendor Details'!$D:$D,'[1]NS Vendor Details'!$H:$H,'G&amp;A Vendor x GL Analysis'!AD$20,'[1]NS Vendor Details'!$L:$L,'G&amp;A Vendor x GL Analysis'!$D186,'[1]NS Vendor Details'!$O:$O,'G&amp;A Vendor x GL Analysis'!$F186,'[1]NS Vendor Details'!$N:$N,'G&amp;A Vendor x GL Analysis'!$C186,'[1]NS Vendor Details'!$K:$K,'G&amp;A Vendor x GL Analysis'!$E$8,'[1]NS Vendor Details'!$I:$I,'G&amp;A Vendor x GL Analysis'!$E186)+SUMIFS('[1]NS Vendor Details'!$D:$D,'[1]NS Vendor Details'!$H:$H,'G&amp;A Vendor x GL Analysis'!AD$20,'[1]NS Vendor Details'!$O:$O,'G&amp;A Vendor x GL Analysis'!$F186,'[1]NS Vendor Details'!$N:$N,"Direct Costs",'[1]NS Vendor Details'!$J:$J,0,'[1]NS Vendor Details'!$K:$K,'G&amp;A Vendor x GL Analysis'!$E$8,'[1]NS Vendor Details'!$L:$L,"Freight",'[1]NS Vendor Details'!$I:$I,'G&amp;A Vendor x GL Analysis'!$E186),0))</f>
        <v>0</v>
      </c>
      <c r="AF186" s="19">
        <f t="shared" si="29"/>
        <v>1532.6299999999999</v>
      </c>
    </row>
    <row r="187" spans="1:32" outlineLevel="1">
      <c r="A187" s="8" t="str">
        <f t="shared" si="26"/>
        <v>Other6440 - Bad Debt Expenses</v>
      </c>
      <c r="C187" s="8" t="s">
        <v>11</v>
      </c>
      <c r="D187" s="8" t="str">
        <f>D176</f>
        <v>Other</v>
      </c>
      <c r="E187" s="2" t="s">
        <v>172</v>
      </c>
      <c r="F187" s="2" t="s">
        <v>16</v>
      </c>
      <c r="G187" s="16">
        <f>IF(AND(G$15="Actual",ISBLANK($E$8)),SUMIFS('[1]NS Vendor Details'!$D:$D,'[1]NS Vendor Details'!$H:$H,'G&amp;A Vendor x GL Analysis'!G$20,'[1]NS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Analysis'!G$20,'[1]NS Vendor Details'!$O:$O,'G&amp;A Vendor x GL Analysis'!$F187,'[1]NS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Analysis'!G$20,'[1]NS Vendor Details'!$O:$O,'G&amp;A Vendor x GL Analysis'!$F187,'[1]NS Vendor Details'!$N:$N,"Direct Costs",'[1]NS Vendor Details'!$J:$J,0,'[1]NS Vendor Details'!$K:$K,'G&amp;A Vendor x GL Analysis'!$E$8,'[1]NS Vendor Details'!$L:$L,"Freight"),0))</f>
        <v>1197.42</v>
      </c>
      <c r="H187" s="17">
        <f>IF(AND(H$15="Actual",ISBLANK($E$8)),SUMIFS('[1]NS Vendor Details'!$D:$D,'[1]NS Vendor Details'!$H:$H,'G&amp;A Vendor x GL Analysis'!H$20,'[1]NS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Analysis'!H$20,'[1]NS Vendor Details'!$O:$O,'G&amp;A Vendor x GL Analysis'!$F187,'[1]NS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Analysis'!H$20,'[1]NS Vendor Details'!$O:$O,'G&amp;A Vendor x GL Analysis'!$F187,'[1]NS Vendor Details'!$N:$N,"Direct Costs",'[1]NS Vendor Details'!$J:$J,0,'[1]NS Vendor Details'!$K:$K,'G&amp;A Vendor x GL Analysis'!$E$8,'[1]NS Vendor Details'!$L:$L,"Freight"),0))</f>
        <v>5654.23</v>
      </c>
      <c r="I187" s="17">
        <f>IF(AND(I$15="Actual",ISBLANK($E$8)),SUMIFS('[1]NS Vendor Details'!$D:$D,'[1]NS Vendor Details'!$H:$H,'G&amp;A Vendor x GL Analysis'!I$20,'[1]NS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Analysis'!I$20,'[1]NS Vendor Details'!$O:$O,'G&amp;A Vendor x GL Analysis'!$F187,'[1]NS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Analysis'!I$20,'[1]NS Vendor Details'!$O:$O,'G&amp;A Vendor x GL Analysis'!$F187,'[1]NS Vendor Details'!$N:$N,"Direct Costs",'[1]NS Vendor Details'!$J:$J,0,'[1]NS Vendor Details'!$K:$K,'G&amp;A Vendor x GL Analysis'!$E$8,'[1]NS Vendor Details'!$L:$L,"Freight"),0))</f>
        <v>-101939.95</v>
      </c>
      <c r="J187" s="17">
        <f>IF(AND(J$15="Actual",ISBLANK($E$8)),SUMIFS('[1]NS Vendor Details'!$D:$D,'[1]NS Vendor Details'!$H:$H,'G&amp;A Vendor x GL Analysis'!J$20,'[1]NS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Analysis'!J$20,'[1]NS Vendor Details'!$O:$O,'G&amp;A Vendor x GL Analysis'!$F187,'[1]NS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Analysis'!J$20,'[1]NS Vendor Details'!$O:$O,'G&amp;A Vendor x GL Analysis'!$F187,'[1]NS Vendor Details'!$N:$N,"Direct Costs",'[1]NS Vendor Details'!$J:$J,0,'[1]NS Vendor Details'!$K:$K,'G&amp;A Vendor x GL Analysis'!$E$8,'[1]NS Vendor Details'!$L:$L,"Freight"),0))</f>
        <v>6287.9999999999991</v>
      </c>
      <c r="K187" s="17">
        <f>IF(AND(K$15="Actual",ISBLANK($E$8)),SUMIFS('[1]NS Vendor Details'!$D:$D,'[1]NS Vendor Details'!$H:$H,'G&amp;A Vendor x GL Analysis'!K$20,'[1]NS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Analysis'!K$20,'[1]NS Vendor Details'!$O:$O,'G&amp;A Vendor x GL Analysis'!$F187,'[1]NS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Analysis'!K$20,'[1]NS Vendor Details'!$O:$O,'G&amp;A Vendor x GL Analysis'!$F187,'[1]NS Vendor Details'!$N:$N,"Direct Costs",'[1]NS Vendor Details'!$J:$J,0,'[1]NS Vendor Details'!$K:$K,'G&amp;A Vendor x GL Analysis'!$E$8,'[1]NS Vendor Details'!$L:$L,"Freight"),0))</f>
        <v>662.09999999999991</v>
      </c>
      <c r="L187" s="17">
        <f>IF(AND(L$15="Actual",ISBLANK($E$8)),SUMIFS('[1]NS Vendor Details'!$D:$D,'[1]NS Vendor Details'!$H:$H,'G&amp;A Vendor x GL Analysis'!L$20,'[1]NS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Analysis'!L$20,'[1]NS Vendor Details'!$O:$O,'G&amp;A Vendor x GL Analysis'!$F187,'[1]NS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Analysis'!L$20,'[1]NS Vendor Details'!$O:$O,'G&amp;A Vendor x GL Analysis'!$F187,'[1]NS Vendor Details'!$N:$N,"Direct Costs",'[1]NS Vendor Details'!$J:$J,0,'[1]NS Vendor Details'!$K:$K,'G&amp;A Vendor x GL Analysis'!$E$8,'[1]NS Vendor Details'!$L:$L,"Freight"),0))</f>
        <v>23111.42</v>
      </c>
      <c r="M187" s="17">
        <f>IF(AND(M$15="Actual",ISBLANK($E$8)),SUMIFS('[1]NS Vendor Details'!$D:$D,'[1]NS Vendor Details'!$H:$H,'G&amp;A Vendor x GL Analysis'!M$20,'[1]NS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Analysis'!M$20,'[1]NS Vendor Details'!$O:$O,'G&amp;A Vendor x GL Analysis'!$F187,'[1]NS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Analysis'!M$20,'[1]NS Vendor Details'!$O:$O,'G&amp;A Vendor x GL Analysis'!$F187,'[1]NS Vendor Details'!$N:$N,"Direct Costs",'[1]NS Vendor Details'!$J:$J,0,'[1]NS Vendor Details'!$K:$K,'G&amp;A Vendor x GL Analysis'!$E$8,'[1]NS Vendor Details'!$L:$L,"Freight"),0))</f>
        <v>5106.67</v>
      </c>
      <c r="N187" s="17">
        <f>IF(AND(N$15="Actual",ISBLANK($E$8)),SUMIFS('[1]NS Vendor Details'!$D:$D,'[1]NS Vendor Details'!$H:$H,'G&amp;A Vendor x GL Analysis'!N$20,'[1]NS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Analysis'!N$20,'[1]NS Vendor Details'!$O:$O,'G&amp;A Vendor x GL Analysis'!$F187,'[1]NS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Analysis'!N$20,'[1]NS Vendor Details'!$O:$O,'G&amp;A Vendor x GL Analysis'!$F187,'[1]NS Vendor Details'!$N:$N,"Direct Costs",'[1]NS Vendor Details'!$J:$J,0,'[1]NS Vendor Details'!$K:$K,'G&amp;A Vendor x GL Analysis'!$E$8,'[1]NS Vendor Details'!$L:$L,"Freight"),0))</f>
        <v>2126.6899999999996</v>
      </c>
      <c r="O187" s="17">
        <f>IF(AND(O$15="Actual",ISBLANK($E$8)),SUMIFS('[1]NS Vendor Details'!$D:$D,'[1]NS Vendor Details'!$H:$H,'G&amp;A Vendor x GL Analysis'!O$20,'[1]NS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Analysis'!O$20,'[1]NS Vendor Details'!$O:$O,'G&amp;A Vendor x GL Analysis'!$F187,'[1]NS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Analysis'!O$20,'[1]NS Vendor Details'!$O:$O,'G&amp;A Vendor x GL Analysis'!$F187,'[1]NS Vendor Details'!$N:$N,"Direct Costs",'[1]NS Vendor Details'!$J:$J,0,'[1]NS Vendor Details'!$K:$K,'G&amp;A Vendor x GL Analysis'!$E$8,'[1]NS Vendor Details'!$L:$L,"Freight"),0))</f>
        <v>-9885.550000000012</v>
      </c>
      <c r="P187" s="17">
        <f>IF(AND(P$15="Actual",ISBLANK($E$8)),SUMIFS('[1]NS Vendor Details'!$D:$D,'[1]NS Vendor Details'!$H:$H,'G&amp;A Vendor x GL Analysis'!P$20,'[1]NS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Analysis'!P$20,'[1]NS Vendor Details'!$O:$O,'G&amp;A Vendor x GL Analysis'!$F187,'[1]NS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Analysis'!P$20,'[1]NS Vendor Details'!$O:$O,'G&amp;A Vendor x GL Analysis'!$F187,'[1]NS Vendor Details'!$N:$N,"Direct Costs",'[1]NS Vendor Details'!$J:$J,0,'[1]NS Vendor Details'!$K:$K,'G&amp;A Vendor x GL Analysis'!$E$8,'[1]NS Vendor Details'!$L:$L,"Freight"),0))</f>
        <v>2964.97</v>
      </c>
      <c r="Q187" s="17">
        <f>IF(AND(Q$15="Actual",ISBLANK($E$8)),SUMIFS('[1]NS Vendor Details'!$D:$D,'[1]NS Vendor Details'!$H:$H,'G&amp;A Vendor x GL Analysis'!Q$20,'[1]NS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Analysis'!Q$20,'[1]NS Vendor Details'!$O:$O,'G&amp;A Vendor x GL Analysis'!$F187,'[1]NS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Analysis'!Q$20,'[1]NS Vendor Details'!$O:$O,'G&amp;A Vendor x GL Analysis'!$F187,'[1]NS Vendor Details'!$N:$N,"Direct Costs",'[1]NS Vendor Details'!$J:$J,0,'[1]NS Vendor Details'!$K:$K,'G&amp;A Vendor x GL Analysis'!$E$8,'[1]NS Vendor Details'!$L:$L,"Freight"),0))</f>
        <v>5717.5</v>
      </c>
      <c r="R187" s="18">
        <f>IF(AND(R$15="Actual",ISBLANK($E$8)),SUMIFS('[1]NS Vendor Details'!$D:$D,'[1]NS Vendor Details'!$H:$H,'G&amp;A Vendor x GL Analysis'!R$20,'[1]NS Vendor Details'!$L:$L,'G&amp;A Vendor x GL Analysis'!$D187,'[1]NS Vendor Details'!$O:$O,'G&amp;A Vendor x GL Analysis'!$F187,'[1]NS Vendor Details'!$N:$N,'G&amp;A Vendor x GL Analysis'!$C187)+SUMIFS('[1]NS Vendor Details'!$D:$D,'[1]NS Vendor Details'!$H:$H,'G&amp;A Vendor x GL Analysis'!R$20,'[1]NS Vendor Details'!$O:$O,'G&amp;A Vendor x GL Analysis'!$F187,'[1]NS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Analysis'!$D187,'[1]NS Vendor Details'!$O:$O,'G&amp;A Vendor x GL Analysis'!$F187,'[1]NS Vendor Details'!$N:$N,'G&amp;A Vendor x GL Analysis'!$C187,'[1]NS Vendor Details'!$K:$K,'G&amp;A Vendor x GL Analysis'!$E$8)+SUMIFS('[1]NS Vendor Details'!$D:$D,'[1]NS Vendor Details'!$H:$H,'G&amp;A Vendor x GL Analysis'!R$20,'[1]NS Vendor Details'!$O:$O,'G&amp;A Vendor x GL Analysis'!$F187,'[1]NS Vendor Details'!$N:$N,"Direct Costs",'[1]NS Vendor Details'!$J:$J,0,'[1]NS Vendor Details'!$K:$K,'G&amp;A Vendor x GL Analysis'!$E$8,'[1]NS Vendor Details'!$L:$L,"Freight"),0))</f>
        <v>423379.83</v>
      </c>
      <c r="S187" s="16">
        <f>IF(AND(S$15="Actual",ISBLANK($E$8)),SUMIFS('[1]NS Vendor Details'!$D:$D,'[1]NS Vendor Details'!$H:$H,'G&amp;A Vendor x GL Analysis'!S$20,'[1]NS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Analysis'!S$20,'[1]NS Vendor Details'!$O:$O,'G&amp;A Vendor x GL Analysis'!$F187,'[1]NS Vendor Details'!$N:$N,"Direct Costs",'[1]NS Vendor Details'!$J:$J,0,'[1]NS Vendor Details'!$L:$L,"Freight",'[1]NS Vendor Details'!$I:$I,'G&amp;A Vendor x GL Analysis'!$E187),IF(S$15="Actual",SUMIFS('[1]NS Vendor Details'!$D:$D,'[1]NS Vendor Details'!$H:$H,'G&amp;A Vendor x GL Analysis'!S$20,'[1]NS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Analysis'!S$20,'[1]NS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0</v>
      </c>
      <c r="T187" s="17">
        <f>IF(AND(T$15="Actual",ISBLANK($E$8)),SUMIFS('[1]NS Vendor Details'!$D:$D,'[1]NS Vendor Details'!$H:$H,'G&amp;A Vendor x GL Analysis'!T$20,'[1]NS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Analysis'!T$20,'[1]NS Vendor Details'!$O:$O,'G&amp;A Vendor x GL Analysis'!$F187,'[1]NS Vendor Details'!$N:$N,"Direct Costs",'[1]NS Vendor Details'!$J:$J,0,'[1]NS Vendor Details'!$L:$L,"Freight",'[1]NS Vendor Details'!$I:$I,'G&amp;A Vendor x GL Analysis'!$E187),IF(T$15="Actual",SUMIFS('[1]NS Vendor Details'!$D:$D,'[1]NS Vendor Details'!$H:$H,'G&amp;A Vendor x GL Analysis'!T$20,'[1]NS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Analysis'!T$20,'[1]NS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0</v>
      </c>
      <c r="U187" s="17">
        <f>IF(AND(U$15="Actual",ISBLANK($E$8)),SUMIFS('[1]NS Vendor Details'!$D:$D,'[1]NS Vendor Details'!$H:$H,'G&amp;A Vendor x GL Analysis'!U$20,'[1]NS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Analysis'!U$20,'[1]NS Vendor Details'!$O:$O,'G&amp;A Vendor x GL Analysis'!$F187,'[1]NS Vendor Details'!$N:$N,"Direct Costs",'[1]NS Vendor Details'!$J:$J,0,'[1]NS Vendor Details'!$L:$L,"Freight",'[1]NS Vendor Details'!$I:$I,'G&amp;A Vendor x GL Analysis'!$E187),IF(U$15="Actual",SUMIFS('[1]NS Vendor Details'!$D:$D,'[1]NS Vendor Details'!$H:$H,'G&amp;A Vendor x GL Analysis'!U$20,'[1]NS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Analysis'!U$20,'[1]NS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48758.99</v>
      </c>
      <c r="V187" s="17">
        <f>IF(AND(V$15="Actual",ISBLANK($E$8)),SUMIFS('[1]NS Vendor Details'!$D:$D,'[1]NS Vendor Details'!$H:$H,'G&amp;A Vendor x GL Analysis'!V$20,'[1]NS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Analysis'!V$20,'[1]NS Vendor Details'!$O:$O,'G&amp;A Vendor x GL Analysis'!$F187,'[1]NS Vendor Details'!$N:$N,"Direct Costs",'[1]NS Vendor Details'!$J:$J,0,'[1]NS Vendor Details'!$L:$L,"Freight",'[1]NS Vendor Details'!$I:$I,'G&amp;A Vendor x GL Analysis'!$E187),IF(V$15="Actual",SUMIFS('[1]NS Vendor Details'!$D:$D,'[1]NS Vendor Details'!$H:$H,'G&amp;A Vendor x GL Analysis'!V$20,'[1]NS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Analysis'!V$20,'[1]NS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-774.1</v>
      </c>
      <c r="W187" s="17">
        <f>IF(AND(W$15="Actual",ISBLANK($E$8)),SUMIFS('[1]NS Vendor Details'!$D:$D,'[1]NS Vendor Details'!$H:$H,'G&amp;A Vendor x GL Analysis'!W$20,'[1]NS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Analysis'!W$20,'[1]NS Vendor Details'!$O:$O,'G&amp;A Vendor x GL Analysis'!$F187,'[1]NS Vendor Details'!$N:$N,"Direct Costs",'[1]NS Vendor Details'!$J:$J,0,'[1]NS Vendor Details'!$L:$L,"Freight",'[1]NS Vendor Details'!$I:$I,'G&amp;A Vendor x GL Analysis'!$E187),IF(W$15="Actual",SUMIFS('[1]NS Vendor Details'!$D:$D,'[1]NS Vendor Details'!$H:$H,'G&amp;A Vendor x GL Analysis'!W$20,'[1]NS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Analysis'!W$20,'[1]NS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0</v>
      </c>
      <c r="X187" s="17">
        <f>IF(AND(X$15="Actual",ISBLANK($E$8)),SUMIFS('[1]NS Vendor Details'!$D:$D,'[1]NS Vendor Details'!$H:$H,'G&amp;A Vendor x GL Analysis'!X$20,'[1]NS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Analysis'!X$20,'[1]NS Vendor Details'!$O:$O,'G&amp;A Vendor x GL Analysis'!$F187,'[1]NS Vendor Details'!$N:$N,"Direct Costs",'[1]NS Vendor Details'!$J:$J,0,'[1]NS Vendor Details'!$L:$L,"Freight",'[1]NS Vendor Details'!$I:$I,'G&amp;A Vendor x GL Analysis'!$E187),IF(X$15="Actual",SUMIFS('[1]NS Vendor Details'!$D:$D,'[1]NS Vendor Details'!$H:$H,'G&amp;A Vendor x GL Analysis'!X$20,'[1]NS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Analysis'!X$20,'[1]NS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4797</v>
      </c>
      <c r="Y187" s="17">
        <f>IF(AND(Y$15="Actual",ISBLANK($E$8)),SUMIFS('[1]NS Vendor Details'!$D:$D,'[1]NS Vendor Details'!$H:$H,'G&amp;A Vendor x GL Analysis'!Y$20,'[1]NS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Analysis'!Y$20,'[1]NS Vendor Details'!$O:$O,'G&amp;A Vendor x GL Analysis'!$F187,'[1]NS Vendor Details'!$N:$N,"Direct Costs",'[1]NS Vendor Details'!$J:$J,0,'[1]NS Vendor Details'!$L:$L,"Freight",'[1]NS Vendor Details'!$I:$I,'G&amp;A Vendor x GL Analysis'!$E187),IF(Y$15="Actual",SUMIFS('[1]NS Vendor Details'!$D:$D,'[1]NS Vendor Details'!$H:$H,'G&amp;A Vendor x GL Analysis'!Y$20,'[1]NS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Analysis'!Y$20,'[1]NS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0</v>
      </c>
      <c r="Z187" s="17">
        <f>IF(AND(Z$15="Actual",ISBLANK($E$8)),SUMIFS('[1]NS Vendor Details'!$D:$D,'[1]NS Vendor Details'!$H:$H,'G&amp;A Vendor x GL Analysis'!Z$20,'[1]NS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Analysis'!Z$20,'[1]NS Vendor Details'!$O:$O,'G&amp;A Vendor x GL Analysis'!$F187,'[1]NS Vendor Details'!$N:$N,"Direct Costs",'[1]NS Vendor Details'!$J:$J,0,'[1]NS Vendor Details'!$L:$L,"Freight",'[1]NS Vendor Details'!$I:$I,'G&amp;A Vendor x GL Analysis'!$E187),IF(Z$15="Actual",SUMIFS('[1]NS Vendor Details'!$D:$D,'[1]NS Vendor Details'!$H:$H,'G&amp;A Vendor x GL Analysis'!Z$20,'[1]NS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Analysis'!Z$20,'[1]NS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0</v>
      </c>
      <c r="AA187" s="17">
        <f>IF(AND(AA$15="Actual",ISBLANK($E$8)),SUMIFS('[1]NS Vendor Details'!$D:$D,'[1]NS Vendor Details'!$H:$H,'G&amp;A Vendor x GL Analysis'!AA$20,'[1]NS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Analysis'!AA$20,'[1]NS Vendor Details'!$O:$O,'G&amp;A Vendor x GL Analysis'!$F187,'[1]NS Vendor Details'!$N:$N,"Direct Costs",'[1]NS Vendor Details'!$J:$J,0,'[1]NS Vendor Details'!$L:$L,"Freight",'[1]NS Vendor Details'!$I:$I,'G&amp;A Vendor x GL Analysis'!$E187),IF(AA$15="Actual",SUMIFS('[1]NS Vendor Details'!$D:$D,'[1]NS Vendor Details'!$H:$H,'G&amp;A Vendor x GL Analysis'!AA$20,'[1]NS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Analysis'!AA$20,'[1]NS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-48625</v>
      </c>
      <c r="AB187" s="17">
        <f>IF(AND(AB$15="Actual",ISBLANK($E$8)),SUMIFS('[1]NS Vendor Details'!$D:$D,'[1]NS Vendor Details'!$H:$H,'G&amp;A Vendor x GL Analysis'!AB$20,'[1]NS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Analysis'!AB$20,'[1]NS Vendor Details'!$O:$O,'G&amp;A Vendor x GL Analysis'!$F187,'[1]NS Vendor Details'!$N:$N,"Direct Costs",'[1]NS Vendor Details'!$J:$J,0,'[1]NS Vendor Details'!$L:$L,"Freight",'[1]NS Vendor Details'!$I:$I,'G&amp;A Vendor x GL Analysis'!$E187),IF(AB$15="Actual",SUMIFS('[1]NS Vendor Details'!$D:$D,'[1]NS Vendor Details'!$H:$H,'G&amp;A Vendor x GL Analysis'!AB$20,'[1]NS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Analysis'!AB$20,'[1]NS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0</v>
      </c>
      <c r="AC187" s="18">
        <f>IF(AND(AC$15="Actual",ISBLANK($E$8)),SUMIFS('[1]NS Vendor Details'!$D:$D,'[1]NS Vendor Details'!$H:$H,'G&amp;A Vendor x GL Analysis'!AC$20,'[1]NS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Analysis'!AC$20,'[1]NS Vendor Details'!$O:$O,'G&amp;A Vendor x GL Analysis'!$F187,'[1]NS Vendor Details'!$N:$N,"Direct Costs",'[1]NS Vendor Details'!$J:$J,0,'[1]NS Vendor Details'!$L:$L,"Freight",'[1]NS Vendor Details'!$I:$I,'G&amp;A Vendor x GL Analysis'!$E187),IF(AC$15="Actual",SUMIFS('[1]NS Vendor Details'!$D:$D,'[1]NS Vendor Details'!$H:$H,'G&amp;A Vendor x GL Analysis'!AC$20,'[1]NS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Analysis'!AC$20,'[1]NS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0</v>
      </c>
      <c r="AD187" s="18">
        <f>IF(AND(AD$15="Actual",ISBLANK($E$8)),SUMIFS('[1]NS Vendor Details'!$D:$D,'[1]NS Vendor Details'!$H:$H,'G&amp;A Vendor x GL Analysis'!AD$20,'[1]NS Vendor Details'!$L:$L,'G&amp;A Vendor x GL Analysis'!$D187,'[1]NS Vendor Details'!$O:$O,'G&amp;A Vendor x GL Analysis'!$F187,'[1]NS Vendor Details'!$N:$N,'G&amp;A Vendor x GL Analysis'!$C187,'[1]NS Vendor Details'!$I:$I,'G&amp;A Vendor x GL Analysis'!$E187)+SUMIFS('[1]NS Vendor Details'!$D:$D,'[1]NS Vendor Details'!$H:$H,'G&amp;A Vendor x GL Analysis'!AD$20,'[1]NS Vendor Details'!$O:$O,'G&amp;A Vendor x GL Analysis'!$F187,'[1]NS Vendor Details'!$N:$N,"Direct Costs",'[1]NS Vendor Details'!$J:$J,0,'[1]NS Vendor Details'!$L:$L,"Freight",'[1]NS Vendor Details'!$I:$I,'G&amp;A Vendor x GL Analysis'!$E187),IF(AD$15="Actual",SUMIFS('[1]NS Vendor Details'!$D:$D,'[1]NS Vendor Details'!$H:$H,'G&amp;A Vendor x GL Analysis'!AD$20,'[1]NS Vendor Details'!$L:$L,'G&amp;A Vendor x GL Analysis'!$D187,'[1]NS Vendor Details'!$O:$O,'G&amp;A Vendor x GL Analysis'!$F187,'[1]NS Vendor Details'!$N:$N,'G&amp;A Vendor x GL Analysis'!$C187,'[1]NS Vendor Details'!$K:$K,'G&amp;A Vendor x GL Analysis'!$E$8,'[1]NS Vendor Details'!$I:$I,'G&amp;A Vendor x GL Analysis'!$E187)+SUMIFS('[1]NS Vendor Details'!$D:$D,'[1]NS Vendor Details'!$H:$H,'G&amp;A Vendor x GL Analysis'!AD$20,'[1]NS Vendor Details'!$O:$O,'G&amp;A Vendor x GL Analysis'!$F187,'[1]NS Vendor Details'!$N:$N,"Direct Costs",'[1]NS Vendor Details'!$J:$J,0,'[1]NS Vendor Details'!$K:$K,'G&amp;A Vendor x GL Analysis'!$E$8,'[1]NS Vendor Details'!$L:$L,"Freight",'[1]NS Vendor Details'!$I:$I,'G&amp;A Vendor x GL Analysis'!$E187),0))</f>
        <v>0</v>
      </c>
      <c r="AF187" s="19">
        <f t="shared" si="29"/>
        <v>102955.09</v>
      </c>
    </row>
    <row r="188" spans="1:32" outlineLevel="1">
      <c r="A188" s="8" t="str">
        <f t="shared" si="26"/>
        <v>Other6445 - Inventory Write Down</v>
      </c>
      <c r="C188" s="8" t="s">
        <v>11</v>
      </c>
      <c r="D188" s="8" t="str">
        <f t="shared" si="27"/>
        <v>Other</v>
      </c>
      <c r="E188" s="2" t="s">
        <v>173</v>
      </c>
      <c r="F188" s="2" t="s">
        <v>16</v>
      </c>
      <c r="G188" s="16">
        <f>IF(AND(G$15="Actual",ISBLANK($E$8)),SUMIFS('[1]NS Vendor Details'!$D:$D,'[1]NS Vendor Details'!$H:$H,'G&amp;A Vendor x GL Analysis'!G$20,'[1]NS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Analysis'!G$20,'[1]NS Vendor Details'!$O:$O,'G&amp;A Vendor x GL Analysis'!$F188,'[1]NS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Analysis'!G$20,'[1]NS Vendor Details'!$O:$O,'G&amp;A Vendor x GL Analysis'!$F188,'[1]NS Vendor Details'!$N:$N,"Direct Costs",'[1]NS Vendor Details'!$J:$J,0,'[1]NS Vendor Details'!$K:$K,'G&amp;A Vendor x GL Analysis'!$E$8,'[1]NS Vendor Details'!$L:$L,"Freight"),0))</f>
        <v>1197.42</v>
      </c>
      <c r="H188" s="17">
        <f>IF(AND(H$15="Actual",ISBLANK($E$8)),SUMIFS('[1]NS Vendor Details'!$D:$D,'[1]NS Vendor Details'!$H:$H,'G&amp;A Vendor x GL Analysis'!H$20,'[1]NS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Analysis'!H$20,'[1]NS Vendor Details'!$O:$O,'G&amp;A Vendor x GL Analysis'!$F188,'[1]NS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Analysis'!H$20,'[1]NS Vendor Details'!$O:$O,'G&amp;A Vendor x GL Analysis'!$F188,'[1]NS Vendor Details'!$N:$N,"Direct Costs",'[1]NS Vendor Details'!$J:$J,0,'[1]NS Vendor Details'!$K:$K,'G&amp;A Vendor x GL Analysis'!$E$8,'[1]NS Vendor Details'!$L:$L,"Freight"),0))</f>
        <v>5654.23</v>
      </c>
      <c r="I188" s="17">
        <f>IF(AND(I$15="Actual",ISBLANK($E$8)),SUMIFS('[1]NS Vendor Details'!$D:$D,'[1]NS Vendor Details'!$H:$H,'G&amp;A Vendor x GL Analysis'!I$20,'[1]NS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Analysis'!I$20,'[1]NS Vendor Details'!$O:$O,'G&amp;A Vendor x GL Analysis'!$F188,'[1]NS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Analysis'!I$20,'[1]NS Vendor Details'!$O:$O,'G&amp;A Vendor x GL Analysis'!$F188,'[1]NS Vendor Details'!$N:$N,"Direct Costs",'[1]NS Vendor Details'!$J:$J,0,'[1]NS Vendor Details'!$K:$K,'G&amp;A Vendor x GL Analysis'!$E$8,'[1]NS Vendor Details'!$L:$L,"Freight"),0))</f>
        <v>-101939.95</v>
      </c>
      <c r="J188" s="17">
        <f>IF(AND(J$15="Actual",ISBLANK($E$8)),SUMIFS('[1]NS Vendor Details'!$D:$D,'[1]NS Vendor Details'!$H:$H,'G&amp;A Vendor x GL Analysis'!J$20,'[1]NS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Analysis'!J$20,'[1]NS Vendor Details'!$O:$O,'G&amp;A Vendor x GL Analysis'!$F188,'[1]NS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Analysis'!J$20,'[1]NS Vendor Details'!$O:$O,'G&amp;A Vendor x GL Analysis'!$F188,'[1]NS Vendor Details'!$N:$N,"Direct Costs",'[1]NS Vendor Details'!$J:$J,0,'[1]NS Vendor Details'!$K:$K,'G&amp;A Vendor x GL Analysis'!$E$8,'[1]NS Vendor Details'!$L:$L,"Freight"),0))</f>
        <v>6287.9999999999991</v>
      </c>
      <c r="K188" s="17">
        <f>IF(AND(K$15="Actual",ISBLANK($E$8)),SUMIFS('[1]NS Vendor Details'!$D:$D,'[1]NS Vendor Details'!$H:$H,'G&amp;A Vendor x GL Analysis'!K$20,'[1]NS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Analysis'!K$20,'[1]NS Vendor Details'!$O:$O,'G&amp;A Vendor x GL Analysis'!$F188,'[1]NS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Analysis'!K$20,'[1]NS Vendor Details'!$O:$O,'G&amp;A Vendor x GL Analysis'!$F188,'[1]NS Vendor Details'!$N:$N,"Direct Costs",'[1]NS Vendor Details'!$J:$J,0,'[1]NS Vendor Details'!$K:$K,'G&amp;A Vendor x GL Analysis'!$E$8,'[1]NS Vendor Details'!$L:$L,"Freight"),0))</f>
        <v>662.09999999999991</v>
      </c>
      <c r="L188" s="17">
        <f>IF(AND(L$15="Actual",ISBLANK($E$8)),SUMIFS('[1]NS Vendor Details'!$D:$D,'[1]NS Vendor Details'!$H:$H,'G&amp;A Vendor x GL Analysis'!L$20,'[1]NS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Analysis'!L$20,'[1]NS Vendor Details'!$O:$O,'G&amp;A Vendor x GL Analysis'!$F188,'[1]NS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Analysis'!L$20,'[1]NS Vendor Details'!$O:$O,'G&amp;A Vendor x GL Analysis'!$F188,'[1]NS Vendor Details'!$N:$N,"Direct Costs",'[1]NS Vendor Details'!$J:$J,0,'[1]NS Vendor Details'!$K:$K,'G&amp;A Vendor x GL Analysis'!$E$8,'[1]NS Vendor Details'!$L:$L,"Freight"),0))</f>
        <v>23111.42</v>
      </c>
      <c r="M188" s="17">
        <f>IF(AND(M$15="Actual",ISBLANK($E$8)),SUMIFS('[1]NS Vendor Details'!$D:$D,'[1]NS Vendor Details'!$H:$H,'G&amp;A Vendor x GL Analysis'!M$20,'[1]NS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Analysis'!M$20,'[1]NS Vendor Details'!$O:$O,'G&amp;A Vendor x GL Analysis'!$F188,'[1]NS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Analysis'!M$20,'[1]NS Vendor Details'!$O:$O,'G&amp;A Vendor x GL Analysis'!$F188,'[1]NS Vendor Details'!$N:$N,"Direct Costs",'[1]NS Vendor Details'!$J:$J,0,'[1]NS Vendor Details'!$K:$K,'G&amp;A Vendor x GL Analysis'!$E$8,'[1]NS Vendor Details'!$L:$L,"Freight"),0))</f>
        <v>5106.67</v>
      </c>
      <c r="N188" s="17">
        <f>IF(AND(N$15="Actual",ISBLANK($E$8)),SUMIFS('[1]NS Vendor Details'!$D:$D,'[1]NS Vendor Details'!$H:$H,'G&amp;A Vendor x GL Analysis'!N$20,'[1]NS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Analysis'!N$20,'[1]NS Vendor Details'!$O:$O,'G&amp;A Vendor x GL Analysis'!$F188,'[1]NS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Analysis'!N$20,'[1]NS Vendor Details'!$O:$O,'G&amp;A Vendor x GL Analysis'!$F188,'[1]NS Vendor Details'!$N:$N,"Direct Costs",'[1]NS Vendor Details'!$J:$J,0,'[1]NS Vendor Details'!$K:$K,'G&amp;A Vendor x GL Analysis'!$E$8,'[1]NS Vendor Details'!$L:$L,"Freight"),0))</f>
        <v>2126.6899999999996</v>
      </c>
      <c r="O188" s="17">
        <f>IF(AND(O$15="Actual",ISBLANK($E$8)),SUMIFS('[1]NS Vendor Details'!$D:$D,'[1]NS Vendor Details'!$H:$H,'G&amp;A Vendor x GL Analysis'!O$20,'[1]NS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Analysis'!O$20,'[1]NS Vendor Details'!$O:$O,'G&amp;A Vendor x GL Analysis'!$F188,'[1]NS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Analysis'!O$20,'[1]NS Vendor Details'!$O:$O,'G&amp;A Vendor x GL Analysis'!$F188,'[1]NS Vendor Details'!$N:$N,"Direct Costs",'[1]NS Vendor Details'!$J:$J,0,'[1]NS Vendor Details'!$K:$K,'G&amp;A Vendor x GL Analysis'!$E$8,'[1]NS Vendor Details'!$L:$L,"Freight"),0))</f>
        <v>-9885.550000000012</v>
      </c>
      <c r="P188" s="17">
        <f>IF(AND(P$15="Actual",ISBLANK($E$8)),SUMIFS('[1]NS Vendor Details'!$D:$D,'[1]NS Vendor Details'!$H:$H,'G&amp;A Vendor x GL Analysis'!P$20,'[1]NS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Analysis'!P$20,'[1]NS Vendor Details'!$O:$O,'G&amp;A Vendor x GL Analysis'!$F188,'[1]NS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Analysis'!P$20,'[1]NS Vendor Details'!$O:$O,'G&amp;A Vendor x GL Analysis'!$F188,'[1]NS Vendor Details'!$N:$N,"Direct Costs",'[1]NS Vendor Details'!$J:$J,0,'[1]NS Vendor Details'!$K:$K,'G&amp;A Vendor x GL Analysis'!$E$8,'[1]NS Vendor Details'!$L:$L,"Freight"),0))</f>
        <v>2964.97</v>
      </c>
      <c r="Q188" s="17">
        <f>IF(AND(Q$15="Actual",ISBLANK($E$8)),SUMIFS('[1]NS Vendor Details'!$D:$D,'[1]NS Vendor Details'!$H:$H,'G&amp;A Vendor x GL Analysis'!Q$20,'[1]NS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Analysis'!Q$20,'[1]NS Vendor Details'!$O:$O,'G&amp;A Vendor x GL Analysis'!$F188,'[1]NS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Analysis'!Q$20,'[1]NS Vendor Details'!$O:$O,'G&amp;A Vendor x GL Analysis'!$F188,'[1]NS Vendor Details'!$N:$N,"Direct Costs",'[1]NS Vendor Details'!$J:$J,0,'[1]NS Vendor Details'!$K:$K,'G&amp;A Vendor x GL Analysis'!$E$8,'[1]NS Vendor Details'!$L:$L,"Freight"),0))</f>
        <v>5717.5</v>
      </c>
      <c r="R188" s="18">
        <f>IF(AND(R$15="Actual",ISBLANK($E$8)),SUMIFS('[1]NS Vendor Details'!$D:$D,'[1]NS Vendor Details'!$H:$H,'G&amp;A Vendor x GL Analysis'!R$20,'[1]NS Vendor Details'!$L:$L,'G&amp;A Vendor x GL Analysis'!$D188,'[1]NS Vendor Details'!$O:$O,'G&amp;A Vendor x GL Analysis'!$F188,'[1]NS Vendor Details'!$N:$N,'G&amp;A Vendor x GL Analysis'!$C188)+SUMIFS('[1]NS Vendor Details'!$D:$D,'[1]NS Vendor Details'!$H:$H,'G&amp;A Vendor x GL Analysis'!R$20,'[1]NS Vendor Details'!$O:$O,'G&amp;A Vendor x GL Analysis'!$F188,'[1]NS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Analysis'!$D188,'[1]NS Vendor Details'!$O:$O,'G&amp;A Vendor x GL Analysis'!$F188,'[1]NS Vendor Details'!$N:$N,'G&amp;A Vendor x GL Analysis'!$C188,'[1]NS Vendor Details'!$K:$K,'G&amp;A Vendor x GL Analysis'!$E$8)+SUMIFS('[1]NS Vendor Details'!$D:$D,'[1]NS Vendor Details'!$H:$H,'G&amp;A Vendor x GL Analysis'!R$20,'[1]NS Vendor Details'!$O:$O,'G&amp;A Vendor x GL Analysis'!$F188,'[1]NS Vendor Details'!$N:$N,"Direct Costs",'[1]NS Vendor Details'!$J:$J,0,'[1]NS Vendor Details'!$K:$K,'G&amp;A Vendor x GL Analysis'!$E$8,'[1]NS Vendor Details'!$L:$L,"Freight"),0))</f>
        <v>423379.83</v>
      </c>
      <c r="S188" s="16">
        <f>IF(AND(S$15="Actual",ISBLANK($E$8)),SUMIFS('[1]NS Vendor Details'!$D:$D,'[1]NS Vendor Details'!$H:$H,'G&amp;A Vendor x GL Analysis'!S$20,'[1]NS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Analysis'!S$20,'[1]NS Vendor Details'!$O:$O,'G&amp;A Vendor x GL Analysis'!$F188,'[1]NS Vendor Details'!$N:$N,"Direct Costs",'[1]NS Vendor Details'!$J:$J,0,'[1]NS Vendor Details'!$L:$L,"Freight",'[1]NS Vendor Details'!$I:$I,'G&amp;A Vendor x GL Analysis'!$E188),IF(S$15="Actual",SUMIFS('[1]NS Vendor Details'!$D:$D,'[1]NS Vendor Details'!$H:$H,'G&amp;A Vendor x GL Analysis'!S$20,'[1]NS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Analysis'!S$20,'[1]NS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0</v>
      </c>
      <c r="T188" s="17">
        <f>IF(AND(T$15="Actual",ISBLANK($E$8)),SUMIFS('[1]NS Vendor Details'!$D:$D,'[1]NS Vendor Details'!$H:$H,'G&amp;A Vendor x GL Analysis'!T$20,'[1]NS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Analysis'!T$20,'[1]NS Vendor Details'!$O:$O,'G&amp;A Vendor x GL Analysis'!$F188,'[1]NS Vendor Details'!$N:$N,"Direct Costs",'[1]NS Vendor Details'!$J:$J,0,'[1]NS Vendor Details'!$L:$L,"Freight",'[1]NS Vendor Details'!$I:$I,'G&amp;A Vendor x GL Analysis'!$E188),IF(T$15="Actual",SUMIFS('[1]NS Vendor Details'!$D:$D,'[1]NS Vendor Details'!$H:$H,'G&amp;A Vendor x GL Analysis'!T$20,'[1]NS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Analysis'!T$20,'[1]NS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0</v>
      </c>
      <c r="U188" s="17">
        <f>IF(AND(U$15="Actual",ISBLANK($E$8)),SUMIFS('[1]NS Vendor Details'!$D:$D,'[1]NS Vendor Details'!$H:$H,'G&amp;A Vendor x GL Analysis'!U$20,'[1]NS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Analysis'!U$20,'[1]NS Vendor Details'!$O:$O,'G&amp;A Vendor x GL Analysis'!$F188,'[1]NS Vendor Details'!$N:$N,"Direct Costs",'[1]NS Vendor Details'!$J:$J,0,'[1]NS Vendor Details'!$L:$L,"Freight",'[1]NS Vendor Details'!$I:$I,'G&amp;A Vendor x GL Analysis'!$E188),IF(U$15="Actual",SUMIFS('[1]NS Vendor Details'!$D:$D,'[1]NS Vendor Details'!$H:$H,'G&amp;A Vendor x GL Analysis'!U$20,'[1]NS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Analysis'!U$20,'[1]NS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37845.520000000004</v>
      </c>
      <c r="V188" s="17">
        <f>IF(AND(V$15="Actual",ISBLANK($E$8)),SUMIFS('[1]NS Vendor Details'!$D:$D,'[1]NS Vendor Details'!$H:$H,'G&amp;A Vendor x GL Analysis'!V$20,'[1]NS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Analysis'!V$20,'[1]NS Vendor Details'!$O:$O,'G&amp;A Vendor x GL Analysis'!$F188,'[1]NS Vendor Details'!$N:$N,"Direct Costs",'[1]NS Vendor Details'!$J:$J,0,'[1]NS Vendor Details'!$L:$L,"Freight",'[1]NS Vendor Details'!$I:$I,'G&amp;A Vendor x GL Analysis'!$E188),IF(V$15="Actual",SUMIFS('[1]NS Vendor Details'!$D:$D,'[1]NS Vendor Details'!$H:$H,'G&amp;A Vendor x GL Analysis'!V$20,'[1]NS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Analysis'!V$20,'[1]NS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0</v>
      </c>
      <c r="W188" s="17">
        <f>IF(AND(W$15="Actual",ISBLANK($E$8)),SUMIFS('[1]NS Vendor Details'!$D:$D,'[1]NS Vendor Details'!$H:$H,'G&amp;A Vendor x GL Analysis'!W$20,'[1]NS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Analysis'!W$20,'[1]NS Vendor Details'!$O:$O,'G&amp;A Vendor x GL Analysis'!$F188,'[1]NS Vendor Details'!$N:$N,"Direct Costs",'[1]NS Vendor Details'!$J:$J,0,'[1]NS Vendor Details'!$L:$L,"Freight",'[1]NS Vendor Details'!$I:$I,'G&amp;A Vendor x GL Analysis'!$E188),IF(W$15="Actual",SUMIFS('[1]NS Vendor Details'!$D:$D,'[1]NS Vendor Details'!$H:$H,'G&amp;A Vendor x GL Analysis'!W$20,'[1]NS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Analysis'!W$20,'[1]NS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0</v>
      </c>
      <c r="X188" s="17">
        <f>IF(AND(X$15="Actual",ISBLANK($E$8)),SUMIFS('[1]NS Vendor Details'!$D:$D,'[1]NS Vendor Details'!$H:$H,'G&amp;A Vendor x GL Analysis'!X$20,'[1]NS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Analysis'!X$20,'[1]NS Vendor Details'!$O:$O,'G&amp;A Vendor x GL Analysis'!$F188,'[1]NS Vendor Details'!$N:$N,"Direct Costs",'[1]NS Vendor Details'!$J:$J,0,'[1]NS Vendor Details'!$L:$L,"Freight",'[1]NS Vendor Details'!$I:$I,'G&amp;A Vendor x GL Analysis'!$E188),IF(X$15="Actual",SUMIFS('[1]NS Vendor Details'!$D:$D,'[1]NS Vendor Details'!$H:$H,'G&amp;A Vendor x GL Analysis'!X$20,'[1]NS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Analysis'!X$20,'[1]NS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8775.5199999999968</v>
      </c>
      <c r="Y188" s="17">
        <f>IF(AND(Y$15="Actual",ISBLANK($E$8)),SUMIFS('[1]NS Vendor Details'!$D:$D,'[1]NS Vendor Details'!$H:$H,'G&amp;A Vendor x GL Analysis'!Y$20,'[1]NS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Analysis'!Y$20,'[1]NS Vendor Details'!$O:$O,'G&amp;A Vendor x GL Analysis'!$F188,'[1]NS Vendor Details'!$N:$N,"Direct Costs",'[1]NS Vendor Details'!$J:$J,0,'[1]NS Vendor Details'!$L:$L,"Freight",'[1]NS Vendor Details'!$I:$I,'G&amp;A Vendor x GL Analysis'!$E188),IF(Y$15="Actual",SUMIFS('[1]NS Vendor Details'!$D:$D,'[1]NS Vendor Details'!$H:$H,'G&amp;A Vendor x GL Analysis'!Y$20,'[1]NS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Analysis'!Y$20,'[1]NS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5000</v>
      </c>
      <c r="Z188" s="17">
        <f>IF(AND(Z$15="Actual",ISBLANK($E$8)),SUMIFS('[1]NS Vendor Details'!$D:$D,'[1]NS Vendor Details'!$H:$H,'G&amp;A Vendor x GL Analysis'!Z$20,'[1]NS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Analysis'!Z$20,'[1]NS Vendor Details'!$O:$O,'G&amp;A Vendor x GL Analysis'!$F188,'[1]NS Vendor Details'!$N:$N,"Direct Costs",'[1]NS Vendor Details'!$J:$J,0,'[1]NS Vendor Details'!$L:$L,"Freight",'[1]NS Vendor Details'!$I:$I,'G&amp;A Vendor x GL Analysis'!$E188),IF(Z$15="Actual",SUMIFS('[1]NS Vendor Details'!$D:$D,'[1]NS Vendor Details'!$H:$H,'G&amp;A Vendor x GL Analysis'!Z$20,'[1]NS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Analysis'!Z$20,'[1]NS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5000</v>
      </c>
      <c r="AA188" s="17">
        <f>IF(AND(AA$15="Actual",ISBLANK($E$8)),SUMIFS('[1]NS Vendor Details'!$D:$D,'[1]NS Vendor Details'!$H:$H,'G&amp;A Vendor x GL Analysis'!AA$20,'[1]NS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Analysis'!AA$20,'[1]NS Vendor Details'!$O:$O,'G&amp;A Vendor x GL Analysis'!$F188,'[1]NS Vendor Details'!$N:$N,"Direct Costs",'[1]NS Vendor Details'!$J:$J,0,'[1]NS Vendor Details'!$L:$L,"Freight",'[1]NS Vendor Details'!$I:$I,'G&amp;A Vendor x GL Analysis'!$E188),IF(AA$15="Actual",SUMIFS('[1]NS Vendor Details'!$D:$D,'[1]NS Vendor Details'!$H:$H,'G&amp;A Vendor x GL Analysis'!AA$20,'[1]NS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Analysis'!AA$20,'[1]NS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0</v>
      </c>
      <c r="AB188" s="17">
        <f>IF(AND(AB$15="Actual",ISBLANK($E$8)),SUMIFS('[1]NS Vendor Details'!$D:$D,'[1]NS Vendor Details'!$H:$H,'G&amp;A Vendor x GL Analysis'!AB$20,'[1]NS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Analysis'!AB$20,'[1]NS Vendor Details'!$O:$O,'G&amp;A Vendor x GL Analysis'!$F188,'[1]NS Vendor Details'!$N:$N,"Direct Costs",'[1]NS Vendor Details'!$J:$J,0,'[1]NS Vendor Details'!$L:$L,"Freight",'[1]NS Vendor Details'!$I:$I,'G&amp;A Vendor x GL Analysis'!$E188),IF(AB$15="Actual",SUMIFS('[1]NS Vendor Details'!$D:$D,'[1]NS Vendor Details'!$H:$H,'G&amp;A Vendor x GL Analysis'!AB$20,'[1]NS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Analysis'!AB$20,'[1]NS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5000</v>
      </c>
      <c r="AC188" s="18">
        <f>IF(AND(AC$15="Actual",ISBLANK($E$8)),SUMIFS('[1]NS Vendor Details'!$D:$D,'[1]NS Vendor Details'!$H:$H,'G&amp;A Vendor x GL Analysis'!AC$20,'[1]NS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Analysis'!AC$20,'[1]NS Vendor Details'!$O:$O,'G&amp;A Vendor x GL Analysis'!$F188,'[1]NS Vendor Details'!$N:$N,"Direct Costs",'[1]NS Vendor Details'!$J:$J,0,'[1]NS Vendor Details'!$L:$L,"Freight",'[1]NS Vendor Details'!$I:$I,'G&amp;A Vendor x GL Analysis'!$E188),IF(AC$15="Actual",SUMIFS('[1]NS Vendor Details'!$D:$D,'[1]NS Vendor Details'!$H:$H,'G&amp;A Vendor x GL Analysis'!AC$20,'[1]NS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Analysis'!AC$20,'[1]NS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5000</v>
      </c>
      <c r="AD188" s="18">
        <f>IF(AND(AD$15="Actual",ISBLANK($E$8)),SUMIFS('[1]NS Vendor Details'!$D:$D,'[1]NS Vendor Details'!$H:$H,'G&amp;A Vendor x GL Analysis'!AD$20,'[1]NS Vendor Details'!$L:$L,'G&amp;A Vendor x GL Analysis'!$D188,'[1]NS Vendor Details'!$O:$O,'G&amp;A Vendor x GL Analysis'!$F188,'[1]NS Vendor Details'!$N:$N,'G&amp;A Vendor x GL Analysis'!$C188,'[1]NS Vendor Details'!$I:$I,'G&amp;A Vendor x GL Analysis'!$E188)+SUMIFS('[1]NS Vendor Details'!$D:$D,'[1]NS Vendor Details'!$H:$H,'G&amp;A Vendor x GL Analysis'!AD$20,'[1]NS Vendor Details'!$O:$O,'G&amp;A Vendor x GL Analysis'!$F188,'[1]NS Vendor Details'!$N:$N,"Direct Costs",'[1]NS Vendor Details'!$J:$J,0,'[1]NS Vendor Details'!$L:$L,"Freight",'[1]NS Vendor Details'!$I:$I,'G&amp;A Vendor x GL Analysis'!$E188),IF(AD$15="Actual",SUMIFS('[1]NS Vendor Details'!$D:$D,'[1]NS Vendor Details'!$H:$H,'G&amp;A Vendor x GL Analysis'!AD$20,'[1]NS Vendor Details'!$L:$L,'G&amp;A Vendor x GL Analysis'!$D188,'[1]NS Vendor Details'!$O:$O,'G&amp;A Vendor x GL Analysis'!$F188,'[1]NS Vendor Details'!$N:$N,'G&amp;A Vendor x GL Analysis'!$C188,'[1]NS Vendor Details'!$K:$K,'G&amp;A Vendor x GL Analysis'!$E$8,'[1]NS Vendor Details'!$I:$I,'G&amp;A Vendor x GL Analysis'!$E188)+SUMIFS('[1]NS Vendor Details'!$D:$D,'[1]NS Vendor Details'!$H:$H,'G&amp;A Vendor x GL Analysis'!AD$20,'[1]NS Vendor Details'!$O:$O,'G&amp;A Vendor x GL Analysis'!$F188,'[1]NS Vendor Details'!$N:$N,"Direct Costs",'[1]NS Vendor Details'!$J:$J,0,'[1]NS Vendor Details'!$K:$K,'G&amp;A Vendor x GL Analysis'!$E$8,'[1]NS Vendor Details'!$L:$L,"Freight",'[1]NS Vendor Details'!$I:$I,'G&amp;A Vendor x GL Analysis'!$E188),0))</f>
        <v>0</v>
      </c>
      <c r="AF188" s="19">
        <f t="shared" si="29"/>
        <v>66621.040000000008</v>
      </c>
    </row>
    <row r="189" spans="1:32" outlineLevel="1">
      <c r="A189" s="8" t="str">
        <f t="shared" si="26"/>
        <v>Other6520 - Taxes and Licenses</v>
      </c>
      <c r="C189" s="8" t="s">
        <v>11</v>
      </c>
      <c r="D189" s="8" t="str">
        <f>D188</f>
        <v>Other</v>
      </c>
      <c r="E189" s="2" t="s">
        <v>174</v>
      </c>
      <c r="F189" s="2" t="s">
        <v>16</v>
      </c>
      <c r="G189" s="16">
        <f>IF(AND(G$15="Actual",ISBLANK($E$8)),SUMIFS('[1]NS Vendor Details'!$D:$D,'[1]NS Vendor Details'!$H:$H,'G&amp;A Vendor x GL Analysis'!G$20,'[1]NS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Analysis'!G$20,'[1]NS Vendor Details'!$O:$O,'G&amp;A Vendor x GL Analysis'!$F189,'[1]NS Vendor Details'!$N:$N,"Direct Costs",'[1]NS Vendor Details'!$J:$J,0,'[1]NS Vendor Details'!$L:$L,"Freight"),IF(G$15="Actual",SUMIFS('[1]NS Vendor Details'!$D:$D,'[1]NS Vendor Details'!$H:$H,'G&amp;A Vendor x GL Analysis'!G$20,'[1]NS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Analysis'!G$20,'[1]NS Vendor Details'!$O:$O,'G&amp;A Vendor x GL Analysis'!$F189,'[1]NS Vendor Details'!$N:$N,"Direct Costs",'[1]NS Vendor Details'!$J:$J,0,'[1]NS Vendor Details'!$K:$K,'G&amp;A Vendor x GL Analysis'!$E$8,'[1]NS Vendor Details'!$L:$L,"Freight"),0))</f>
        <v>1197.42</v>
      </c>
      <c r="H189" s="17">
        <f>IF(AND(H$15="Actual",ISBLANK($E$8)),SUMIFS('[1]NS Vendor Details'!$D:$D,'[1]NS Vendor Details'!$H:$H,'G&amp;A Vendor x GL Analysis'!H$20,'[1]NS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Analysis'!H$20,'[1]NS Vendor Details'!$O:$O,'G&amp;A Vendor x GL Analysis'!$F189,'[1]NS Vendor Details'!$N:$N,"Direct Costs",'[1]NS Vendor Details'!$J:$J,0,'[1]NS Vendor Details'!$L:$L,"Freight"),IF(H$15="Actual",SUMIFS('[1]NS Vendor Details'!$D:$D,'[1]NS Vendor Details'!$H:$H,'G&amp;A Vendor x GL Analysis'!H$20,'[1]NS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Analysis'!H$20,'[1]NS Vendor Details'!$O:$O,'G&amp;A Vendor x GL Analysis'!$F189,'[1]NS Vendor Details'!$N:$N,"Direct Costs",'[1]NS Vendor Details'!$J:$J,0,'[1]NS Vendor Details'!$K:$K,'G&amp;A Vendor x GL Analysis'!$E$8,'[1]NS Vendor Details'!$L:$L,"Freight"),0))</f>
        <v>5654.23</v>
      </c>
      <c r="I189" s="17">
        <f>IF(AND(I$15="Actual",ISBLANK($E$8)),SUMIFS('[1]NS Vendor Details'!$D:$D,'[1]NS Vendor Details'!$H:$H,'G&amp;A Vendor x GL Analysis'!I$20,'[1]NS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Analysis'!I$20,'[1]NS Vendor Details'!$O:$O,'G&amp;A Vendor x GL Analysis'!$F189,'[1]NS Vendor Details'!$N:$N,"Direct Costs",'[1]NS Vendor Details'!$J:$J,0,'[1]NS Vendor Details'!$L:$L,"Freight"),IF(I$15="Actual",SUMIFS('[1]NS Vendor Details'!$D:$D,'[1]NS Vendor Details'!$H:$H,'G&amp;A Vendor x GL Analysis'!I$20,'[1]NS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Analysis'!I$20,'[1]NS Vendor Details'!$O:$O,'G&amp;A Vendor x GL Analysis'!$F189,'[1]NS Vendor Details'!$N:$N,"Direct Costs",'[1]NS Vendor Details'!$J:$J,0,'[1]NS Vendor Details'!$K:$K,'G&amp;A Vendor x GL Analysis'!$E$8,'[1]NS Vendor Details'!$L:$L,"Freight"),0))</f>
        <v>-101939.95</v>
      </c>
      <c r="J189" s="17">
        <f>IF(AND(J$15="Actual",ISBLANK($E$8)),SUMIFS('[1]NS Vendor Details'!$D:$D,'[1]NS Vendor Details'!$H:$H,'G&amp;A Vendor x GL Analysis'!J$20,'[1]NS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Analysis'!J$20,'[1]NS Vendor Details'!$O:$O,'G&amp;A Vendor x GL Analysis'!$F189,'[1]NS Vendor Details'!$N:$N,"Direct Costs",'[1]NS Vendor Details'!$J:$J,0,'[1]NS Vendor Details'!$L:$L,"Freight"),IF(J$15="Actual",SUMIFS('[1]NS Vendor Details'!$D:$D,'[1]NS Vendor Details'!$H:$H,'G&amp;A Vendor x GL Analysis'!J$20,'[1]NS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Analysis'!J$20,'[1]NS Vendor Details'!$O:$O,'G&amp;A Vendor x GL Analysis'!$F189,'[1]NS Vendor Details'!$N:$N,"Direct Costs",'[1]NS Vendor Details'!$J:$J,0,'[1]NS Vendor Details'!$K:$K,'G&amp;A Vendor x GL Analysis'!$E$8,'[1]NS Vendor Details'!$L:$L,"Freight"),0))</f>
        <v>6287.9999999999991</v>
      </c>
      <c r="K189" s="17">
        <f>IF(AND(K$15="Actual",ISBLANK($E$8)),SUMIFS('[1]NS Vendor Details'!$D:$D,'[1]NS Vendor Details'!$H:$H,'G&amp;A Vendor x GL Analysis'!K$20,'[1]NS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Analysis'!K$20,'[1]NS Vendor Details'!$O:$O,'G&amp;A Vendor x GL Analysis'!$F189,'[1]NS Vendor Details'!$N:$N,"Direct Costs",'[1]NS Vendor Details'!$J:$J,0,'[1]NS Vendor Details'!$L:$L,"Freight"),IF(K$15="Actual",SUMIFS('[1]NS Vendor Details'!$D:$D,'[1]NS Vendor Details'!$H:$H,'G&amp;A Vendor x GL Analysis'!K$20,'[1]NS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Analysis'!K$20,'[1]NS Vendor Details'!$O:$O,'G&amp;A Vendor x GL Analysis'!$F189,'[1]NS Vendor Details'!$N:$N,"Direct Costs",'[1]NS Vendor Details'!$J:$J,0,'[1]NS Vendor Details'!$K:$K,'G&amp;A Vendor x GL Analysis'!$E$8,'[1]NS Vendor Details'!$L:$L,"Freight"),0))</f>
        <v>662.09999999999991</v>
      </c>
      <c r="L189" s="17">
        <f>IF(AND(L$15="Actual",ISBLANK($E$8)),SUMIFS('[1]NS Vendor Details'!$D:$D,'[1]NS Vendor Details'!$H:$H,'G&amp;A Vendor x GL Analysis'!L$20,'[1]NS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Analysis'!L$20,'[1]NS Vendor Details'!$O:$O,'G&amp;A Vendor x GL Analysis'!$F189,'[1]NS Vendor Details'!$N:$N,"Direct Costs",'[1]NS Vendor Details'!$J:$J,0,'[1]NS Vendor Details'!$L:$L,"Freight"),IF(L$15="Actual",SUMIFS('[1]NS Vendor Details'!$D:$D,'[1]NS Vendor Details'!$H:$H,'G&amp;A Vendor x GL Analysis'!L$20,'[1]NS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Analysis'!L$20,'[1]NS Vendor Details'!$O:$O,'G&amp;A Vendor x GL Analysis'!$F189,'[1]NS Vendor Details'!$N:$N,"Direct Costs",'[1]NS Vendor Details'!$J:$J,0,'[1]NS Vendor Details'!$K:$K,'G&amp;A Vendor x GL Analysis'!$E$8,'[1]NS Vendor Details'!$L:$L,"Freight"),0))</f>
        <v>23111.42</v>
      </c>
      <c r="M189" s="17">
        <f>IF(AND(M$15="Actual",ISBLANK($E$8)),SUMIFS('[1]NS Vendor Details'!$D:$D,'[1]NS Vendor Details'!$H:$H,'G&amp;A Vendor x GL Analysis'!M$20,'[1]NS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Analysis'!M$20,'[1]NS Vendor Details'!$O:$O,'G&amp;A Vendor x GL Analysis'!$F189,'[1]NS Vendor Details'!$N:$N,"Direct Costs",'[1]NS Vendor Details'!$J:$J,0,'[1]NS Vendor Details'!$L:$L,"Freight"),IF(M$15="Actual",SUMIFS('[1]NS Vendor Details'!$D:$D,'[1]NS Vendor Details'!$H:$H,'G&amp;A Vendor x GL Analysis'!M$20,'[1]NS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Analysis'!M$20,'[1]NS Vendor Details'!$O:$O,'G&amp;A Vendor x GL Analysis'!$F189,'[1]NS Vendor Details'!$N:$N,"Direct Costs",'[1]NS Vendor Details'!$J:$J,0,'[1]NS Vendor Details'!$K:$K,'G&amp;A Vendor x GL Analysis'!$E$8,'[1]NS Vendor Details'!$L:$L,"Freight"),0))</f>
        <v>5106.67</v>
      </c>
      <c r="N189" s="17">
        <f>IF(AND(N$15="Actual",ISBLANK($E$8)),SUMIFS('[1]NS Vendor Details'!$D:$D,'[1]NS Vendor Details'!$H:$H,'G&amp;A Vendor x GL Analysis'!N$20,'[1]NS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Analysis'!N$20,'[1]NS Vendor Details'!$O:$O,'G&amp;A Vendor x GL Analysis'!$F189,'[1]NS Vendor Details'!$N:$N,"Direct Costs",'[1]NS Vendor Details'!$J:$J,0,'[1]NS Vendor Details'!$L:$L,"Freight"),IF(N$15="Actual",SUMIFS('[1]NS Vendor Details'!$D:$D,'[1]NS Vendor Details'!$H:$H,'G&amp;A Vendor x GL Analysis'!N$20,'[1]NS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Analysis'!N$20,'[1]NS Vendor Details'!$O:$O,'G&amp;A Vendor x GL Analysis'!$F189,'[1]NS Vendor Details'!$N:$N,"Direct Costs",'[1]NS Vendor Details'!$J:$J,0,'[1]NS Vendor Details'!$K:$K,'G&amp;A Vendor x GL Analysis'!$E$8,'[1]NS Vendor Details'!$L:$L,"Freight"),0))</f>
        <v>2126.6899999999996</v>
      </c>
      <c r="O189" s="17">
        <f>IF(AND(O$15="Actual",ISBLANK($E$8)),SUMIFS('[1]NS Vendor Details'!$D:$D,'[1]NS Vendor Details'!$H:$H,'G&amp;A Vendor x GL Analysis'!O$20,'[1]NS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Analysis'!O$20,'[1]NS Vendor Details'!$O:$O,'G&amp;A Vendor x GL Analysis'!$F189,'[1]NS Vendor Details'!$N:$N,"Direct Costs",'[1]NS Vendor Details'!$J:$J,0,'[1]NS Vendor Details'!$L:$L,"Freight"),IF(O$15="Actual",SUMIFS('[1]NS Vendor Details'!$D:$D,'[1]NS Vendor Details'!$H:$H,'G&amp;A Vendor x GL Analysis'!O$20,'[1]NS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Analysis'!O$20,'[1]NS Vendor Details'!$O:$O,'G&amp;A Vendor x GL Analysis'!$F189,'[1]NS Vendor Details'!$N:$N,"Direct Costs",'[1]NS Vendor Details'!$J:$J,0,'[1]NS Vendor Details'!$K:$K,'G&amp;A Vendor x GL Analysis'!$E$8,'[1]NS Vendor Details'!$L:$L,"Freight"),0))</f>
        <v>-9885.550000000012</v>
      </c>
      <c r="P189" s="17">
        <f>IF(AND(P$15="Actual",ISBLANK($E$8)),SUMIFS('[1]NS Vendor Details'!$D:$D,'[1]NS Vendor Details'!$H:$H,'G&amp;A Vendor x GL Analysis'!P$20,'[1]NS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Analysis'!P$20,'[1]NS Vendor Details'!$O:$O,'G&amp;A Vendor x GL Analysis'!$F189,'[1]NS Vendor Details'!$N:$N,"Direct Costs",'[1]NS Vendor Details'!$J:$J,0,'[1]NS Vendor Details'!$L:$L,"Freight"),IF(P$15="Actual",SUMIFS('[1]NS Vendor Details'!$D:$D,'[1]NS Vendor Details'!$H:$H,'G&amp;A Vendor x GL Analysis'!P$20,'[1]NS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Analysis'!P$20,'[1]NS Vendor Details'!$O:$O,'G&amp;A Vendor x GL Analysis'!$F189,'[1]NS Vendor Details'!$N:$N,"Direct Costs",'[1]NS Vendor Details'!$J:$J,0,'[1]NS Vendor Details'!$K:$K,'G&amp;A Vendor x GL Analysis'!$E$8,'[1]NS Vendor Details'!$L:$L,"Freight"),0))</f>
        <v>2964.97</v>
      </c>
      <c r="Q189" s="17">
        <f>IF(AND(Q$15="Actual",ISBLANK($E$8)),SUMIFS('[1]NS Vendor Details'!$D:$D,'[1]NS Vendor Details'!$H:$H,'G&amp;A Vendor x GL Analysis'!Q$20,'[1]NS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Analysis'!Q$20,'[1]NS Vendor Details'!$O:$O,'G&amp;A Vendor x GL Analysis'!$F189,'[1]NS Vendor Details'!$N:$N,"Direct Costs",'[1]NS Vendor Details'!$J:$J,0,'[1]NS Vendor Details'!$L:$L,"Freight"),IF(Q$15="Actual",SUMIFS('[1]NS Vendor Details'!$D:$D,'[1]NS Vendor Details'!$H:$H,'G&amp;A Vendor x GL Analysis'!Q$20,'[1]NS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Analysis'!Q$20,'[1]NS Vendor Details'!$O:$O,'G&amp;A Vendor x GL Analysis'!$F189,'[1]NS Vendor Details'!$N:$N,"Direct Costs",'[1]NS Vendor Details'!$J:$J,0,'[1]NS Vendor Details'!$K:$K,'G&amp;A Vendor x GL Analysis'!$E$8,'[1]NS Vendor Details'!$L:$L,"Freight"),0))</f>
        <v>5717.5</v>
      </c>
      <c r="R189" s="18">
        <f>IF(AND(R$15="Actual",ISBLANK($E$8)),SUMIFS('[1]NS Vendor Details'!$D:$D,'[1]NS Vendor Details'!$H:$H,'G&amp;A Vendor x GL Analysis'!R$20,'[1]NS Vendor Details'!$L:$L,'G&amp;A Vendor x GL Analysis'!$D189,'[1]NS Vendor Details'!$O:$O,'G&amp;A Vendor x GL Analysis'!$F189,'[1]NS Vendor Details'!$N:$N,'G&amp;A Vendor x GL Analysis'!$C189)+SUMIFS('[1]NS Vendor Details'!$D:$D,'[1]NS Vendor Details'!$H:$H,'G&amp;A Vendor x GL Analysis'!R$20,'[1]NS Vendor Details'!$O:$O,'G&amp;A Vendor x GL Analysis'!$F189,'[1]NS Vendor Details'!$N:$N,"Direct Costs",'[1]NS Vendor Details'!$J:$J,0,'[1]NS Vendor Details'!$L:$L,"Freight"),IF(R$15="Actual",SUMIFS('[1]NS Vendor Details'!$D:$D,'[1]NS Vendor Details'!$H:$H,'G&amp;A Vendor x GL Analysis'!R$20,'[1]NS Vendor Details'!$L:$L,'G&amp;A Vendor x GL Analysis'!$D189,'[1]NS Vendor Details'!$O:$O,'G&amp;A Vendor x GL Analysis'!$F189,'[1]NS Vendor Details'!$N:$N,'G&amp;A Vendor x GL Analysis'!$C189,'[1]NS Vendor Details'!$K:$K,'G&amp;A Vendor x GL Analysis'!$E$8)+SUMIFS('[1]NS Vendor Details'!$D:$D,'[1]NS Vendor Details'!$H:$H,'G&amp;A Vendor x GL Analysis'!R$20,'[1]NS Vendor Details'!$O:$O,'G&amp;A Vendor x GL Analysis'!$F189,'[1]NS Vendor Details'!$N:$N,"Direct Costs",'[1]NS Vendor Details'!$J:$J,0,'[1]NS Vendor Details'!$K:$K,'G&amp;A Vendor x GL Analysis'!$E$8,'[1]NS Vendor Details'!$L:$L,"Freight"),0))</f>
        <v>423379.83</v>
      </c>
      <c r="S189" s="16">
        <f>IF(AND(S$15="Actual",ISBLANK($E$8)),SUMIFS('[1]NS Vendor Details'!$D:$D,'[1]NS Vendor Details'!$H:$H,'G&amp;A Vendor x GL Analysis'!S$20,'[1]NS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Analysis'!S$20,'[1]NS Vendor Details'!$O:$O,'G&amp;A Vendor x GL Analysis'!$F189,'[1]NS Vendor Details'!$N:$N,"Direct Costs",'[1]NS Vendor Details'!$J:$J,0,'[1]NS Vendor Details'!$L:$L,"Freight",'[1]NS Vendor Details'!$I:$I,'G&amp;A Vendor x GL Analysis'!$E189),IF(S$15="Actual",SUMIFS('[1]NS Vendor Details'!$D:$D,'[1]NS Vendor Details'!$H:$H,'G&amp;A Vendor x GL Analysis'!S$20,'[1]NS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Analysis'!S$20,'[1]NS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0</v>
      </c>
      <c r="T189" s="17">
        <f>IF(AND(T$15="Actual",ISBLANK($E$8)),SUMIFS('[1]NS Vendor Details'!$D:$D,'[1]NS Vendor Details'!$H:$H,'G&amp;A Vendor x GL Analysis'!T$20,'[1]NS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Analysis'!T$20,'[1]NS Vendor Details'!$O:$O,'G&amp;A Vendor x GL Analysis'!$F189,'[1]NS Vendor Details'!$N:$N,"Direct Costs",'[1]NS Vendor Details'!$J:$J,0,'[1]NS Vendor Details'!$L:$L,"Freight",'[1]NS Vendor Details'!$I:$I,'G&amp;A Vendor x GL Analysis'!$E189),IF(T$15="Actual",SUMIFS('[1]NS Vendor Details'!$D:$D,'[1]NS Vendor Details'!$H:$H,'G&amp;A Vendor x GL Analysis'!T$20,'[1]NS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Analysis'!T$20,'[1]NS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0</v>
      </c>
      <c r="U189" s="17">
        <f>IF(AND(U$15="Actual",ISBLANK($E$8)),SUMIFS('[1]NS Vendor Details'!$D:$D,'[1]NS Vendor Details'!$H:$H,'G&amp;A Vendor x GL Analysis'!U$20,'[1]NS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Analysis'!U$20,'[1]NS Vendor Details'!$O:$O,'G&amp;A Vendor x GL Analysis'!$F189,'[1]NS Vendor Details'!$N:$N,"Direct Costs",'[1]NS Vendor Details'!$J:$J,0,'[1]NS Vendor Details'!$L:$L,"Freight",'[1]NS Vendor Details'!$I:$I,'G&amp;A Vendor x GL Analysis'!$E189),IF(U$15="Actual",SUMIFS('[1]NS Vendor Details'!$D:$D,'[1]NS Vendor Details'!$H:$H,'G&amp;A Vendor x GL Analysis'!U$20,'[1]NS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Analysis'!U$20,'[1]NS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550</v>
      </c>
      <c r="V189" s="17">
        <f>IF(AND(V$15="Actual",ISBLANK($E$8)),SUMIFS('[1]NS Vendor Details'!$D:$D,'[1]NS Vendor Details'!$H:$H,'G&amp;A Vendor x GL Analysis'!V$20,'[1]NS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Analysis'!V$20,'[1]NS Vendor Details'!$O:$O,'G&amp;A Vendor x GL Analysis'!$F189,'[1]NS Vendor Details'!$N:$N,"Direct Costs",'[1]NS Vendor Details'!$J:$J,0,'[1]NS Vendor Details'!$L:$L,"Freight",'[1]NS Vendor Details'!$I:$I,'G&amp;A Vendor x GL Analysis'!$E189),IF(V$15="Actual",SUMIFS('[1]NS Vendor Details'!$D:$D,'[1]NS Vendor Details'!$H:$H,'G&amp;A Vendor x GL Analysis'!V$20,'[1]NS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Analysis'!V$20,'[1]NS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-31.43</v>
      </c>
      <c r="W189" s="17">
        <f>IF(AND(W$15="Actual",ISBLANK($E$8)),SUMIFS('[1]NS Vendor Details'!$D:$D,'[1]NS Vendor Details'!$H:$H,'G&amp;A Vendor x GL Analysis'!W$20,'[1]NS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Analysis'!W$20,'[1]NS Vendor Details'!$O:$O,'G&amp;A Vendor x GL Analysis'!$F189,'[1]NS Vendor Details'!$N:$N,"Direct Costs",'[1]NS Vendor Details'!$J:$J,0,'[1]NS Vendor Details'!$L:$L,"Freight",'[1]NS Vendor Details'!$I:$I,'G&amp;A Vendor x GL Analysis'!$E189),IF(W$15="Actual",SUMIFS('[1]NS Vendor Details'!$D:$D,'[1]NS Vendor Details'!$H:$H,'G&amp;A Vendor x GL Analysis'!W$20,'[1]NS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Analysis'!W$20,'[1]NS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0</v>
      </c>
      <c r="X189" s="17">
        <f>IF(AND(X$15="Actual",ISBLANK($E$8)),SUMIFS('[1]NS Vendor Details'!$D:$D,'[1]NS Vendor Details'!$H:$H,'G&amp;A Vendor x GL Analysis'!X$20,'[1]NS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Analysis'!X$20,'[1]NS Vendor Details'!$O:$O,'G&amp;A Vendor x GL Analysis'!$F189,'[1]NS Vendor Details'!$N:$N,"Direct Costs",'[1]NS Vendor Details'!$J:$J,0,'[1]NS Vendor Details'!$L:$L,"Freight",'[1]NS Vendor Details'!$I:$I,'G&amp;A Vendor x GL Analysis'!$E189),IF(X$15="Actual",SUMIFS('[1]NS Vendor Details'!$D:$D,'[1]NS Vendor Details'!$H:$H,'G&amp;A Vendor x GL Analysis'!X$20,'[1]NS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Analysis'!X$20,'[1]NS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0</v>
      </c>
      <c r="Y189" s="17">
        <f>IF(AND(Y$15="Actual",ISBLANK($E$8)),SUMIFS('[1]NS Vendor Details'!$D:$D,'[1]NS Vendor Details'!$H:$H,'G&amp;A Vendor x GL Analysis'!Y$20,'[1]NS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Analysis'!Y$20,'[1]NS Vendor Details'!$O:$O,'G&amp;A Vendor x GL Analysis'!$F189,'[1]NS Vendor Details'!$N:$N,"Direct Costs",'[1]NS Vendor Details'!$J:$J,0,'[1]NS Vendor Details'!$L:$L,"Freight",'[1]NS Vendor Details'!$I:$I,'G&amp;A Vendor x GL Analysis'!$E189),IF(Y$15="Actual",SUMIFS('[1]NS Vendor Details'!$D:$D,'[1]NS Vendor Details'!$H:$H,'G&amp;A Vendor x GL Analysis'!Y$20,'[1]NS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Analysis'!Y$20,'[1]NS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-13.41</v>
      </c>
      <c r="Z189" s="17">
        <f>IF(AND(Z$15="Actual",ISBLANK($E$8)),SUMIFS('[1]NS Vendor Details'!$D:$D,'[1]NS Vendor Details'!$H:$H,'G&amp;A Vendor x GL Analysis'!Z$20,'[1]NS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Analysis'!Z$20,'[1]NS Vendor Details'!$O:$O,'G&amp;A Vendor x GL Analysis'!$F189,'[1]NS Vendor Details'!$N:$N,"Direct Costs",'[1]NS Vendor Details'!$J:$J,0,'[1]NS Vendor Details'!$L:$L,"Freight",'[1]NS Vendor Details'!$I:$I,'G&amp;A Vendor x GL Analysis'!$E189),IF(Z$15="Actual",SUMIFS('[1]NS Vendor Details'!$D:$D,'[1]NS Vendor Details'!$H:$H,'G&amp;A Vendor x GL Analysis'!Z$20,'[1]NS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Analysis'!Z$20,'[1]NS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-22.939999999999998</v>
      </c>
      <c r="AA189" s="17">
        <f>IF(AND(AA$15="Actual",ISBLANK($E$8)),SUMIFS('[1]NS Vendor Details'!$D:$D,'[1]NS Vendor Details'!$H:$H,'G&amp;A Vendor x GL Analysis'!AA$20,'[1]NS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Analysis'!AA$20,'[1]NS Vendor Details'!$O:$O,'G&amp;A Vendor x GL Analysis'!$F189,'[1]NS Vendor Details'!$N:$N,"Direct Costs",'[1]NS Vendor Details'!$J:$J,0,'[1]NS Vendor Details'!$L:$L,"Freight",'[1]NS Vendor Details'!$I:$I,'G&amp;A Vendor x GL Analysis'!$E189),IF(AA$15="Actual",SUMIFS('[1]NS Vendor Details'!$D:$D,'[1]NS Vendor Details'!$H:$H,'G&amp;A Vendor x GL Analysis'!AA$20,'[1]NS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Analysis'!AA$20,'[1]NS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7644.55</v>
      </c>
      <c r="AB189" s="17">
        <f>IF(AND(AB$15="Actual",ISBLANK($E$8)),SUMIFS('[1]NS Vendor Details'!$D:$D,'[1]NS Vendor Details'!$H:$H,'G&amp;A Vendor x GL Analysis'!AB$20,'[1]NS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Analysis'!AB$20,'[1]NS Vendor Details'!$O:$O,'G&amp;A Vendor x GL Analysis'!$F189,'[1]NS Vendor Details'!$N:$N,"Direct Costs",'[1]NS Vendor Details'!$J:$J,0,'[1]NS Vendor Details'!$L:$L,"Freight",'[1]NS Vendor Details'!$I:$I,'G&amp;A Vendor x GL Analysis'!$E189),IF(AB$15="Actual",SUMIFS('[1]NS Vendor Details'!$D:$D,'[1]NS Vendor Details'!$H:$H,'G&amp;A Vendor x GL Analysis'!AB$20,'[1]NS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Analysis'!AB$20,'[1]NS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2890.9300000000003</v>
      </c>
      <c r="AC189" s="18">
        <f>IF(AND(AC$15="Actual",ISBLANK($E$8)),SUMIFS('[1]NS Vendor Details'!$D:$D,'[1]NS Vendor Details'!$H:$H,'G&amp;A Vendor x GL Analysis'!AC$20,'[1]NS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Analysis'!AC$20,'[1]NS Vendor Details'!$O:$O,'G&amp;A Vendor x GL Analysis'!$F189,'[1]NS Vendor Details'!$N:$N,"Direct Costs",'[1]NS Vendor Details'!$J:$J,0,'[1]NS Vendor Details'!$L:$L,"Freight",'[1]NS Vendor Details'!$I:$I,'G&amp;A Vendor x GL Analysis'!$E189),IF(AC$15="Actual",SUMIFS('[1]NS Vendor Details'!$D:$D,'[1]NS Vendor Details'!$H:$H,'G&amp;A Vendor x GL Analysis'!AC$20,'[1]NS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Analysis'!AC$20,'[1]NS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4080.2200000000003</v>
      </c>
      <c r="AD189" s="18">
        <f>IF(AND(AD$15="Actual",ISBLANK($E$8)),SUMIFS('[1]NS Vendor Details'!$D:$D,'[1]NS Vendor Details'!$H:$H,'G&amp;A Vendor x GL Analysis'!AD$20,'[1]NS Vendor Details'!$L:$L,'G&amp;A Vendor x GL Analysis'!$D189,'[1]NS Vendor Details'!$O:$O,'G&amp;A Vendor x GL Analysis'!$F189,'[1]NS Vendor Details'!$N:$N,'G&amp;A Vendor x GL Analysis'!$C189,'[1]NS Vendor Details'!$I:$I,'G&amp;A Vendor x GL Analysis'!$E189)+SUMIFS('[1]NS Vendor Details'!$D:$D,'[1]NS Vendor Details'!$H:$H,'G&amp;A Vendor x GL Analysis'!AD$20,'[1]NS Vendor Details'!$O:$O,'G&amp;A Vendor x GL Analysis'!$F189,'[1]NS Vendor Details'!$N:$N,"Direct Costs",'[1]NS Vendor Details'!$J:$J,0,'[1]NS Vendor Details'!$L:$L,"Freight",'[1]NS Vendor Details'!$I:$I,'G&amp;A Vendor x GL Analysis'!$E189),IF(AD$15="Actual",SUMIFS('[1]NS Vendor Details'!$D:$D,'[1]NS Vendor Details'!$H:$H,'G&amp;A Vendor x GL Analysis'!AD$20,'[1]NS Vendor Details'!$L:$L,'G&amp;A Vendor x GL Analysis'!$D189,'[1]NS Vendor Details'!$O:$O,'G&amp;A Vendor x GL Analysis'!$F189,'[1]NS Vendor Details'!$N:$N,'G&amp;A Vendor x GL Analysis'!$C189,'[1]NS Vendor Details'!$K:$K,'G&amp;A Vendor x GL Analysis'!$E$8,'[1]NS Vendor Details'!$I:$I,'G&amp;A Vendor x GL Analysis'!$E189)+SUMIFS('[1]NS Vendor Details'!$D:$D,'[1]NS Vendor Details'!$H:$H,'G&amp;A Vendor x GL Analysis'!AD$20,'[1]NS Vendor Details'!$O:$O,'G&amp;A Vendor x GL Analysis'!$F189,'[1]NS Vendor Details'!$N:$N,"Direct Costs",'[1]NS Vendor Details'!$J:$J,0,'[1]NS Vendor Details'!$K:$K,'G&amp;A Vendor x GL Analysis'!$E$8,'[1]NS Vendor Details'!$L:$L,"Freight",'[1]NS Vendor Details'!$I:$I,'G&amp;A Vendor x GL Analysis'!$E189),0))</f>
        <v>0</v>
      </c>
      <c r="AF189" s="19">
        <f t="shared" si="29"/>
        <v>15233.48</v>
      </c>
    </row>
    <row r="190" spans="1:32" ht="15">
      <c r="A190" s="8" t="str">
        <f t="shared" si="26"/>
        <v>Depreciation &amp; Amortization</v>
      </c>
      <c r="B190" s="8" t="s">
        <v>9</v>
      </c>
      <c r="E190" s="9" t="s">
        <v>175</v>
      </c>
      <c r="F190" s="9"/>
      <c r="G190" s="12">
        <f t="shared" ref="G190:AD190" si="31">SUMIFS(G:G,$D:$D,$E190)</f>
        <v>14588.36</v>
      </c>
      <c r="H190" s="13">
        <f t="shared" si="31"/>
        <v>14654.880000000001</v>
      </c>
      <c r="I190" s="13">
        <f t="shared" si="31"/>
        <v>14768.160000000002</v>
      </c>
      <c r="J190" s="13">
        <f t="shared" si="31"/>
        <v>14796.680000000002</v>
      </c>
      <c r="K190" s="13">
        <f t="shared" si="31"/>
        <v>15596.600000000002</v>
      </c>
      <c r="L190" s="13">
        <f t="shared" si="31"/>
        <v>15606.640000000003</v>
      </c>
      <c r="M190" s="13">
        <f t="shared" si="31"/>
        <v>16054.080000000002</v>
      </c>
      <c r="N190" s="13">
        <f t="shared" si="31"/>
        <v>16520.64</v>
      </c>
      <c r="O190" s="13">
        <f t="shared" si="31"/>
        <v>16569.519999999997</v>
      </c>
      <c r="P190" s="13">
        <f t="shared" si="31"/>
        <v>16569.519999999997</v>
      </c>
      <c r="Q190" s="13">
        <f t="shared" si="31"/>
        <v>17199.36</v>
      </c>
      <c r="R190" s="14">
        <f t="shared" si="31"/>
        <v>17274.04</v>
      </c>
      <c r="S190" s="12">
        <f t="shared" si="31"/>
        <v>4311.46</v>
      </c>
      <c r="T190" s="13">
        <f t="shared" si="31"/>
        <v>4317.45</v>
      </c>
      <c r="U190" s="13">
        <f t="shared" si="31"/>
        <v>-269.20999999999981</v>
      </c>
      <c r="V190" s="13">
        <f t="shared" si="31"/>
        <v>5350.1600000000008</v>
      </c>
      <c r="W190" s="13">
        <f t="shared" si="31"/>
        <v>3896.96</v>
      </c>
      <c r="X190" s="13">
        <f t="shared" si="31"/>
        <v>3952.9399999999996</v>
      </c>
      <c r="Y190" s="13">
        <f t="shared" si="31"/>
        <v>4022.2</v>
      </c>
      <c r="Z190" s="13">
        <f t="shared" si="31"/>
        <v>4022.2</v>
      </c>
      <c r="AA190" s="13">
        <f t="shared" si="31"/>
        <v>4022.2</v>
      </c>
      <c r="AB190" s="13">
        <f t="shared" si="31"/>
        <v>3994.58</v>
      </c>
      <c r="AC190" s="14">
        <f t="shared" si="31"/>
        <v>3925.54</v>
      </c>
      <c r="AD190" s="14">
        <f t="shared" si="31"/>
        <v>0</v>
      </c>
      <c r="AF190" s="15">
        <f t="shared" si="29"/>
        <v>42084.9</v>
      </c>
    </row>
    <row r="191" spans="1:32" outlineLevel="1">
      <c r="A191" s="8" t="str">
        <f t="shared" si="26"/>
        <v>Depreciation &amp; Amortization7030 - Plant Machinery &amp; Equipment</v>
      </c>
      <c r="C191" s="8" t="s">
        <v>11</v>
      </c>
      <c r="D191" s="8" t="str">
        <f>E190</f>
        <v>Depreciation &amp; Amortization</v>
      </c>
      <c r="E191" s="2" t="s">
        <v>176</v>
      </c>
      <c r="F191" s="2" t="s">
        <v>16</v>
      </c>
      <c r="G191" s="16">
        <f>IF(AND(G$15="Actual",ISBLANK($E$8)),SUMIFS('[1]NS Vendor Details'!$D:$D,'[1]NS Vendor Details'!$H:$H,'G&amp;A Vendor x GL Analysis'!G$20,'[1]NS Vendor Details'!$L:$L,'G&amp;A Vendor x GL Analysis'!$D191,'[1]NS Vendor Details'!$O:$O,'G&amp;A Vendor x GL Analysis'!$F191,'[1]NS Vendor Details'!$N:$N,'G&amp;A Vendor x GL Analysis'!$C191),IF(G$15="Actual",SUMIFS('[1]NS Vendor Details'!$D:$D,'[1]NS Vendor Details'!$H:$H,'G&amp;A Vendor x GL Analysis'!G$20,'[1]NS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3647.09</v>
      </c>
      <c r="H191" s="17">
        <f>IF(AND(H$15="Actual",ISBLANK($E$8)),SUMIFS('[1]NS Vendor Details'!$D:$D,'[1]NS Vendor Details'!$H:$H,'G&amp;A Vendor x GL Analysis'!H$20,'[1]NS Vendor Details'!$L:$L,'G&amp;A Vendor x GL Analysis'!$D191,'[1]NS Vendor Details'!$O:$O,'G&amp;A Vendor x GL Analysis'!$F191,'[1]NS Vendor Details'!$N:$N,'G&amp;A Vendor x GL Analysis'!$C191),IF(H$15="Actual",SUMIFS('[1]NS Vendor Details'!$D:$D,'[1]NS Vendor Details'!$H:$H,'G&amp;A Vendor x GL Analysis'!H$20,'[1]NS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3663.7200000000003</v>
      </c>
      <c r="I191" s="17">
        <f>IF(AND(I$15="Actual",ISBLANK($E$8)),SUMIFS('[1]NS Vendor Details'!$D:$D,'[1]NS Vendor Details'!$H:$H,'G&amp;A Vendor x GL Analysis'!I$20,'[1]NS Vendor Details'!$L:$L,'G&amp;A Vendor x GL Analysis'!$D191,'[1]NS Vendor Details'!$O:$O,'G&amp;A Vendor x GL Analysis'!$F191,'[1]NS Vendor Details'!$N:$N,'G&amp;A Vendor x GL Analysis'!$C191),IF(I$15="Actual",SUMIFS('[1]NS Vendor Details'!$D:$D,'[1]NS Vendor Details'!$H:$H,'G&amp;A Vendor x GL Analysis'!I$20,'[1]NS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3692.0400000000004</v>
      </c>
      <c r="J191" s="17">
        <f>IF(AND(J$15="Actual",ISBLANK($E$8)),SUMIFS('[1]NS Vendor Details'!$D:$D,'[1]NS Vendor Details'!$H:$H,'G&amp;A Vendor x GL Analysis'!J$20,'[1]NS Vendor Details'!$L:$L,'G&amp;A Vendor x GL Analysis'!$D191,'[1]NS Vendor Details'!$O:$O,'G&amp;A Vendor x GL Analysis'!$F191,'[1]NS Vendor Details'!$N:$N,'G&amp;A Vendor x GL Analysis'!$C191),IF(J$15="Actual",SUMIFS('[1]NS Vendor Details'!$D:$D,'[1]NS Vendor Details'!$H:$H,'G&amp;A Vendor x GL Analysis'!J$20,'[1]NS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3699.1700000000005</v>
      </c>
      <c r="K191" s="17">
        <f>IF(AND(K$15="Actual",ISBLANK($E$8)),SUMIFS('[1]NS Vendor Details'!$D:$D,'[1]NS Vendor Details'!$H:$H,'G&amp;A Vendor x GL Analysis'!K$20,'[1]NS Vendor Details'!$L:$L,'G&amp;A Vendor x GL Analysis'!$D191,'[1]NS Vendor Details'!$O:$O,'G&amp;A Vendor x GL Analysis'!$F191,'[1]NS Vendor Details'!$N:$N,'G&amp;A Vendor x GL Analysis'!$C191),IF(K$15="Actual",SUMIFS('[1]NS Vendor Details'!$D:$D,'[1]NS Vendor Details'!$H:$H,'G&amp;A Vendor x GL Analysis'!K$20,'[1]NS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3899.1500000000005</v>
      </c>
      <c r="L191" s="17">
        <f>IF(AND(L$15="Actual",ISBLANK($E$8)),SUMIFS('[1]NS Vendor Details'!$D:$D,'[1]NS Vendor Details'!$H:$H,'G&amp;A Vendor x GL Analysis'!L$20,'[1]NS Vendor Details'!$L:$L,'G&amp;A Vendor x GL Analysis'!$D191,'[1]NS Vendor Details'!$O:$O,'G&amp;A Vendor x GL Analysis'!$F191,'[1]NS Vendor Details'!$N:$N,'G&amp;A Vendor x GL Analysis'!$C191),IF(L$15="Actual",SUMIFS('[1]NS Vendor Details'!$D:$D,'[1]NS Vendor Details'!$H:$H,'G&amp;A Vendor x GL Analysis'!L$20,'[1]NS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3901.6600000000008</v>
      </c>
      <c r="M191" s="17">
        <f>IF(AND(M$15="Actual",ISBLANK($E$8)),SUMIFS('[1]NS Vendor Details'!$D:$D,'[1]NS Vendor Details'!$H:$H,'G&amp;A Vendor x GL Analysis'!M$20,'[1]NS Vendor Details'!$L:$L,'G&amp;A Vendor x GL Analysis'!$D191,'[1]NS Vendor Details'!$O:$O,'G&amp;A Vendor x GL Analysis'!$F191,'[1]NS Vendor Details'!$N:$N,'G&amp;A Vendor x GL Analysis'!$C191),IF(M$15="Actual",SUMIFS('[1]NS Vendor Details'!$D:$D,'[1]NS Vendor Details'!$H:$H,'G&amp;A Vendor x GL Analysis'!M$20,'[1]NS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4013.5200000000004</v>
      </c>
      <c r="N191" s="17">
        <f>IF(AND(N$15="Actual",ISBLANK($E$8)),SUMIFS('[1]NS Vendor Details'!$D:$D,'[1]NS Vendor Details'!$H:$H,'G&amp;A Vendor x GL Analysis'!N$20,'[1]NS Vendor Details'!$L:$L,'G&amp;A Vendor x GL Analysis'!$D191,'[1]NS Vendor Details'!$O:$O,'G&amp;A Vendor x GL Analysis'!$F191,'[1]NS Vendor Details'!$N:$N,'G&amp;A Vendor x GL Analysis'!$C191),IF(N$15="Actual",SUMIFS('[1]NS Vendor Details'!$D:$D,'[1]NS Vendor Details'!$H:$H,'G&amp;A Vendor x GL Analysis'!N$20,'[1]NS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4130.16</v>
      </c>
      <c r="O191" s="17">
        <f>IF(AND(O$15="Actual",ISBLANK($E$8)),SUMIFS('[1]NS Vendor Details'!$D:$D,'[1]NS Vendor Details'!$H:$H,'G&amp;A Vendor x GL Analysis'!O$20,'[1]NS Vendor Details'!$L:$L,'G&amp;A Vendor x GL Analysis'!$D191,'[1]NS Vendor Details'!$O:$O,'G&amp;A Vendor x GL Analysis'!$F191,'[1]NS Vendor Details'!$N:$N,'G&amp;A Vendor x GL Analysis'!$C191),IF(O$15="Actual",SUMIFS('[1]NS Vendor Details'!$D:$D,'[1]NS Vendor Details'!$H:$H,'G&amp;A Vendor x GL Analysis'!O$20,'[1]NS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4142.3799999999992</v>
      </c>
      <c r="P191" s="17">
        <f>IF(AND(P$15="Actual",ISBLANK($E$8)),SUMIFS('[1]NS Vendor Details'!$D:$D,'[1]NS Vendor Details'!$H:$H,'G&amp;A Vendor x GL Analysis'!P$20,'[1]NS Vendor Details'!$L:$L,'G&amp;A Vendor x GL Analysis'!$D191,'[1]NS Vendor Details'!$O:$O,'G&amp;A Vendor x GL Analysis'!$F191,'[1]NS Vendor Details'!$N:$N,'G&amp;A Vendor x GL Analysis'!$C191),IF(P$15="Actual",SUMIFS('[1]NS Vendor Details'!$D:$D,'[1]NS Vendor Details'!$H:$H,'G&amp;A Vendor x GL Analysis'!P$20,'[1]NS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4142.3799999999992</v>
      </c>
      <c r="Q191" s="17">
        <f>IF(AND(Q$15="Actual",ISBLANK($E$8)),SUMIFS('[1]NS Vendor Details'!$D:$D,'[1]NS Vendor Details'!$H:$H,'G&amp;A Vendor x GL Analysis'!Q$20,'[1]NS Vendor Details'!$L:$L,'G&amp;A Vendor x GL Analysis'!$D191,'[1]NS Vendor Details'!$O:$O,'G&amp;A Vendor x GL Analysis'!$F191,'[1]NS Vendor Details'!$N:$N,'G&amp;A Vendor x GL Analysis'!$C191),IF(Q$15="Actual",SUMIFS('[1]NS Vendor Details'!$D:$D,'[1]NS Vendor Details'!$H:$H,'G&amp;A Vendor x GL Analysis'!Q$20,'[1]NS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4299.84</v>
      </c>
      <c r="R191" s="18">
        <f>IF(AND(R$15="Actual",ISBLANK($E$8)),SUMIFS('[1]NS Vendor Details'!$D:$D,'[1]NS Vendor Details'!$H:$H,'G&amp;A Vendor x GL Analysis'!R$20,'[1]NS Vendor Details'!$L:$L,'G&amp;A Vendor x GL Analysis'!$D191,'[1]NS Vendor Details'!$O:$O,'G&amp;A Vendor x GL Analysis'!$F191,'[1]NS Vendor Details'!$N:$N,'G&amp;A Vendor x GL Analysis'!$C191),IF(R$15="Actual",SUMIFS('[1]NS Vendor Details'!$D:$D,'[1]NS Vendor Details'!$H:$H,'G&amp;A Vendor x GL Analysis'!R$20,'[1]NS Vendor Details'!$L:$L,'G&amp;A Vendor x GL Analysis'!$D191,'[1]NS Vendor Details'!$O:$O,'G&amp;A Vendor x GL Analysis'!$F191,'[1]NS Vendor Details'!$N:$N,'G&amp;A Vendor x GL Analysis'!$C191,'[1]NS Vendor Details'!$K:$K,'G&amp;A Vendor x GL Analysis'!$E$8),0))</f>
        <v>4318.51</v>
      </c>
      <c r="S191" s="16">
        <f>IF(AND(S$15="Actual",ISBLANK($E$8)),SUMIFS('[1]NS Vendor Details'!$D:$D,'[1]NS Vendor Details'!$H:$H,'G&amp;A Vendor x GL Analysis'!S$20,'[1]NS Vendor Details'!$L:$L,'G&amp;A Vendor x GL Analysis'!$D191,'[1]NS Vendor Details'!$O:$O,'G&amp;A Vendor x GL Analysis'!$F191,'[1]NS Vendor Details'!$N:$N,'G&amp;A Vendor x GL Analysis'!$C191,'[1]NS Vendor Details'!$I:$I,'G&amp;A Vendor x GL Analysis'!$E191),IF(S$15="Actual",SUMIFS('[1]NS Vendor Details'!$D:$D,'[1]NS Vendor Details'!$H:$H,'G&amp;A Vendor x GL Analysis'!S$20,'[1]NS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29.98</v>
      </c>
      <c r="T191" s="17">
        <f>IF(AND(T$15="Actual",ISBLANK($E$8)),SUMIFS('[1]NS Vendor Details'!$D:$D,'[1]NS Vendor Details'!$H:$H,'G&amp;A Vendor x GL Analysis'!T$20,'[1]NS Vendor Details'!$L:$L,'G&amp;A Vendor x GL Analysis'!$D191,'[1]NS Vendor Details'!$O:$O,'G&amp;A Vendor x GL Analysis'!$F191,'[1]NS Vendor Details'!$N:$N,'G&amp;A Vendor x GL Analysis'!$C191,'[1]NS Vendor Details'!$I:$I,'G&amp;A Vendor x GL Analysis'!$E191),IF(T$15="Actual",SUMIFS('[1]NS Vendor Details'!$D:$D,'[1]NS Vendor Details'!$H:$H,'G&amp;A Vendor x GL Analysis'!T$20,'[1]NS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29.98</v>
      </c>
      <c r="U191" s="17">
        <f>IF(AND(U$15="Actual",ISBLANK($E$8)),SUMIFS('[1]NS Vendor Details'!$D:$D,'[1]NS Vendor Details'!$H:$H,'G&amp;A Vendor x GL Analysis'!U$20,'[1]NS Vendor Details'!$L:$L,'G&amp;A Vendor x GL Analysis'!$D191,'[1]NS Vendor Details'!$O:$O,'G&amp;A Vendor x GL Analysis'!$F191,'[1]NS Vendor Details'!$N:$N,'G&amp;A Vendor x GL Analysis'!$C191,'[1]NS Vendor Details'!$I:$I,'G&amp;A Vendor x GL Analysis'!$E191),IF(U$15="Actual",SUMIFS('[1]NS Vendor Details'!$D:$D,'[1]NS Vendor Details'!$H:$H,'G&amp;A Vendor x GL Analysis'!U$20,'[1]NS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8.69</v>
      </c>
      <c r="V191" s="17">
        <f>IF(AND(V$15="Actual",ISBLANK($E$8)),SUMIFS('[1]NS Vendor Details'!$D:$D,'[1]NS Vendor Details'!$H:$H,'G&amp;A Vendor x GL Analysis'!V$20,'[1]NS Vendor Details'!$L:$L,'G&amp;A Vendor x GL Analysis'!$D191,'[1]NS Vendor Details'!$O:$O,'G&amp;A Vendor x GL Analysis'!$F191,'[1]NS Vendor Details'!$N:$N,'G&amp;A Vendor x GL Analysis'!$C191,'[1]NS Vendor Details'!$I:$I,'G&amp;A Vendor x GL Analysis'!$E191),IF(V$15="Actual",SUMIFS('[1]NS Vendor Details'!$D:$D,'[1]NS Vendor Details'!$H:$H,'G&amp;A Vendor x GL Analysis'!V$20,'[1]NS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51.269999999999996</v>
      </c>
      <c r="W191" s="17">
        <f>IF(AND(W$15="Actual",ISBLANK($E$8)),SUMIFS('[1]NS Vendor Details'!$D:$D,'[1]NS Vendor Details'!$H:$H,'G&amp;A Vendor x GL Analysis'!W$20,'[1]NS Vendor Details'!$L:$L,'G&amp;A Vendor x GL Analysis'!$D191,'[1]NS Vendor Details'!$O:$O,'G&amp;A Vendor x GL Analysis'!$F191,'[1]NS Vendor Details'!$N:$N,'G&amp;A Vendor x GL Analysis'!$C191,'[1]NS Vendor Details'!$I:$I,'G&amp;A Vendor x GL Analysis'!$E191),IF(W$15="Actual",SUMIFS('[1]NS Vendor Details'!$D:$D,'[1]NS Vendor Details'!$H:$H,'G&amp;A Vendor x GL Analysis'!W$20,'[1]NS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29.98</v>
      </c>
      <c r="X191" s="17">
        <f>IF(AND(X$15="Actual",ISBLANK($E$8)),SUMIFS('[1]NS Vendor Details'!$D:$D,'[1]NS Vendor Details'!$H:$H,'G&amp;A Vendor x GL Analysis'!X$20,'[1]NS Vendor Details'!$L:$L,'G&amp;A Vendor x GL Analysis'!$D191,'[1]NS Vendor Details'!$O:$O,'G&amp;A Vendor x GL Analysis'!$F191,'[1]NS Vendor Details'!$N:$N,'G&amp;A Vendor x GL Analysis'!$C191,'[1]NS Vendor Details'!$I:$I,'G&amp;A Vendor x GL Analysis'!$E191),IF(X$15="Actual",SUMIFS('[1]NS Vendor Details'!$D:$D,'[1]NS Vendor Details'!$H:$H,'G&amp;A Vendor x GL Analysis'!X$20,'[1]NS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29.98</v>
      </c>
      <c r="Y191" s="17">
        <f>IF(AND(Y$15="Actual",ISBLANK($E$8)),SUMIFS('[1]NS Vendor Details'!$D:$D,'[1]NS Vendor Details'!$H:$H,'G&amp;A Vendor x GL Analysis'!Y$20,'[1]NS Vendor Details'!$L:$L,'G&amp;A Vendor x GL Analysis'!$D191,'[1]NS Vendor Details'!$O:$O,'G&amp;A Vendor x GL Analysis'!$F191,'[1]NS Vendor Details'!$N:$N,'G&amp;A Vendor x GL Analysis'!$C191,'[1]NS Vendor Details'!$I:$I,'G&amp;A Vendor x GL Analysis'!$E191),IF(Y$15="Actual",SUMIFS('[1]NS Vendor Details'!$D:$D,'[1]NS Vendor Details'!$H:$H,'G&amp;A Vendor x GL Analysis'!Y$20,'[1]NS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40.24</v>
      </c>
      <c r="Z191" s="17">
        <f>IF(AND(Z$15="Actual",ISBLANK($E$8)),SUMIFS('[1]NS Vendor Details'!$D:$D,'[1]NS Vendor Details'!$H:$H,'G&amp;A Vendor x GL Analysis'!Z$20,'[1]NS Vendor Details'!$L:$L,'G&amp;A Vendor x GL Analysis'!$D191,'[1]NS Vendor Details'!$O:$O,'G&amp;A Vendor x GL Analysis'!$F191,'[1]NS Vendor Details'!$N:$N,'G&amp;A Vendor x GL Analysis'!$C191,'[1]NS Vendor Details'!$I:$I,'G&amp;A Vendor x GL Analysis'!$E191),IF(Z$15="Actual",SUMIFS('[1]NS Vendor Details'!$D:$D,'[1]NS Vendor Details'!$H:$H,'G&amp;A Vendor x GL Analysis'!Z$20,'[1]NS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40.24</v>
      </c>
      <c r="AA191" s="17">
        <f>IF(AND(AA$15="Actual",ISBLANK($E$8)),SUMIFS('[1]NS Vendor Details'!$D:$D,'[1]NS Vendor Details'!$H:$H,'G&amp;A Vendor x GL Analysis'!AA$20,'[1]NS Vendor Details'!$L:$L,'G&amp;A Vendor x GL Analysis'!$D191,'[1]NS Vendor Details'!$O:$O,'G&amp;A Vendor x GL Analysis'!$F191,'[1]NS Vendor Details'!$N:$N,'G&amp;A Vendor x GL Analysis'!$C191,'[1]NS Vendor Details'!$I:$I,'G&amp;A Vendor x GL Analysis'!$E191),IF(AA$15="Actual",SUMIFS('[1]NS Vendor Details'!$D:$D,'[1]NS Vendor Details'!$H:$H,'G&amp;A Vendor x GL Analysis'!AA$20,'[1]NS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40.24</v>
      </c>
      <c r="AB191" s="17">
        <f>IF(AND(AB$15="Actual",ISBLANK($E$8)),SUMIFS('[1]NS Vendor Details'!$D:$D,'[1]NS Vendor Details'!$H:$H,'G&amp;A Vendor x GL Analysis'!AB$20,'[1]NS Vendor Details'!$L:$L,'G&amp;A Vendor x GL Analysis'!$D191,'[1]NS Vendor Details'!$O:$O,'G&amp;A Vendor x GL Analysis'!$F191,'[1]NS Vendor Details'!$N:$N,'G&amp;A Vendor x GL Analysis'!$C191,'[1]NS Vendor Details'!$I:$I,'G&amp;A Vendor x GL Analysis'!$E191),IF(AB$15="Actual",SUMIFS('[1]NS Vendor Details'!$D:$D,'[1]NS Vendor Details'!$H:$H,'G&amp;A Vendor x GL Analysis'!AB$20,'[1]NS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51.91</v>
      </c>
      <c r="AC191" s="18">
        <f>IF(AND(AC$15="Actual",ISBLANK($E$8)),SUMIFS('[1]NS Vendor Details'!$D:$D,'[1]NS Vendor Details'!$H:$H,'G&amp;A Vendor x GL Analysis'!AC$20,'[1]NS Vendor Details'!$L:$L,'G&amp;A Vendor x GL Analysis'!$D191,'[1]NS Vendor Details'!$O:$O,'G&amp;A Vendor x GL Analysis'!$F191,'[1]NS Vendor Details'!$N:$N,'G&amp;A Vendor x GL Analysis'!$C191,'[1]NS Vendor Details'!$I:$I,'G&amp;A Vendor x GL Analysis'!$E191),IF(AC$15="Actual",SUMIFS('[1]NS Vendor Details'!$D:$D,'[1]NS Vendor Details'!$H:$H,'G&amp;A Vendor x GL Analysis'!AC$20,'[1]NS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51.9</v>
      </c>
      <c r="AD191" s="18">
        <f>IF(AND(AD$15="Actual",ISBLANK($E$8)),SUMIFS('[1]NS Vendor Details'!$D:$D,'[1]NS Vendor Details'!$H:$H,'G&amp;A Vendor x GL Analysis'!AD$20,'[1]NS Vendor Details'!$L:$L,'G&amp;A Vendor x GL Analysis'!$D191,'[1]NS Vendor Details'!$O:$O,'G&amp;A Vendor x GL Analysis'!$F191,'[1]NS Vendor Details'!$N:$N,'G&amp;A Vendor x GL Analysis'!$C191,'[1]NS Vendor Details'!$I:$I,'G&amp;A Vendor x GL Analysis'!$E191),IF(AD$15="Actual",SUMIFS('[1]NS Vendor Details'!$D:$D,'[1]NS Vendor Details'!$H:$H,'G&amp;A Vendor x GL Analysis'!AD$20,'[1]NS Vendor Details'!$L:$L,'G&amp;A Vendor x GL Analysis'!$D191,'[1]NS Vendor Details'!$O:$O,'G&amp;A Vendor x GL Analysis'!$F191,'[1]NS Vendor Details'!$N:$N,'G&amp;A Vendor x GL Analysis'!$C191,'[1]NS Vendor Details'!$K:$K,'G&amp;A Vendor x GL Analysis'!$E$8,'[1]NS Vendor Details'!$I:$I,'G&amp;A Vendor x GL Analysis'!$E191),0))</f>
        <v>0</v>
      </c>
      <c r="AF191" s="19">
        <f t="shared" si="29"/>
        <v>404.40999999999997</v>
      </c>
    </row>
    <row r="192" spans="1:32" outlineLevel="1">
      <c r="A192" s="8" t="str">
        <f t="shared" si="26"/>
        <v>Depreciation &amp; Amortization7040 - Furniture &amp; Fixtures</v>
      </c>
      <c r="C192" s="8" t="s">
        <v>11</v>
      </c>
      <c r="D192" s="8" t="str">
        <f>D191</f>
        <v>Depreciation &amp; Amortization</v>
      </c>
      <c r="E192" s="2" t="s">
        <v>177</v>
      </c>
      <c r="F192" s="2" t="s">
        <v>16</v>
      </c>
      <c r="G192" s="16">
        <f>IF(AND(G$15="Actual",ISBLANK($E$8)),SUMIFS('[1]NS Vendor Details'!$D:$D,'[1]NS Vendor Details'!$H:$H,'G&amp;A Vendor x GL Analysis'!G$20,'[1]NS Vendor Details'!$L:$L,'G&amp;A Vendor x GL Analysis'!$D192,'[1]NS Vendor Details'!$O:$O,'G&amp;A Vendor x GL Analysis'!$F192,'[1]NS Vendor Details'!$N:$N,'G&amp;A Vendor x GL Analysis'!$C192),IF(G$15="Actual",SUMIFS('[1]NS Vendor Details'!$D:$D,'[1]NS Vendor Details'!$H:$H,'G&amp;A Vendor x GL Analysis'!G$20,'[1]NS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3647.09</v>
      </c>
      <c r="H192" s="17">
        <f>IF(AND(H$15="Actual",ISBLANK($E$8)),SUMIFS('[1]NS Vendor Details'!$D:$D,'[1]NS Vendor Details'!$H:$H,'G&amp;A Vendor x GL Analysis'!H$20,'[1]NS Vendor Details'!$L:$L,'G&amp;A Vendor x GL Analysis'!$D192,'[1]NS Vendor Details'!$O:$O,'G&amp;A Vendor x GL Analysis'!$F192,'[1]NS Vendor Details'!$N:$N,'G&amp;A Vendor x GL Analysis'!$C192),IF(H$15="Actual",SUMIFS('[1]NS Vendor Details'!$D:$D,'[1]NS Vendor Details'!$H:$H,'G&amp;A Vendor x GL Analysis'!H$20,'[1]NS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3663.7200000000003</v>
      </c>
      <c r="I192" s="17">
        <f>IF(AND(I$15="Actual",ISBLANK($E$8)),SUMIFS('[1]NS Vendor Details'!$D:$D,'[1]NS Vendor Details'!$H:$H,'G&amp;A Vendor x GL Analysis'!I$20,'[1]NS Vendor Details'!$L:$L,'G&amp;A Vendor x GL Analysis'!$D192,'[1]NS Vendor Details'!$O:$O,'G&amp;A Vendor x GL Analysis'!$F192,'[1]NS Vendor Details'!$N:$N,'G&amp;A Vendor x GL Analysis'!$C192),IF(I$15="Actual",SUMIFS('[1]NS Vendor Details'!$D:$D,'[1]NS Vendor Details'!$H:$H,'G&amp;A Vendor x GL Analysis'!I$20,'[1]NS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3692.0400000000004</v>
      </c>
      <c r="J192" s="17">
        <f>IF(AND(J$15="Actual",ISBLANK($E$8)),SUMIFS('[1]NS Vendor Details'!$D:$D,'[1]NS Vendor Details'!$H:$H,'G&amp;A Vendor x GL Analysis'!J$20,'[1]NS Vendor Details'!$L:$L,'G&amp;A Vendor x GL Analysis'!$D192,'[1]NS Vendor Details'!$O:$O,'G&amp;A Vendor x GL Analysis'!$F192,'[1]NS Vendor Details'!$N:$N,'G&amp;A Vendor x GL Analysis'!$C192),IF(J$15="Actual",SUMIFS('[1]NS Vendor Details'!$D:$D,'[1]NS Vendor Details'!$H:$H,'G&amp;A Vendor x GL Analysis'!J$20,'[1]NS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3699.1700000000005</v>
      </c>
      <c r="K192" s="17">
        <f>IF(AND(K$15="Actual",ISBLANK($E$8)),SUMIFS('[1]NS Vendor Details'!$D:$D,'[1]NS Vendor Details'!$H:$H,'G&amp;A Vendor x GL Analysis'!K$20,'[1]NS Vendor Details'!$L:$L,'G&amp;A Vendor x GL Analysis'!$D192,'[1]NS Vendor Details'!$O:$O,'G&amp;A Vendor x GL Analysis'!$F192,'[1]NS Vendor Details'!$N:$N,'G&amp;A Vendor x GL Analysis'!$C192),IF(K$15="Actual",SUMIFS('[1]NS Vendor Details'!$D:$D,'[1]NS Vendor Details'!$H:$H,'G&amp;A Vendor x GL Analysis'!K$20,'[1]NS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3899.1500000000005</v>
      </c>
      <c r="L192" s="17">
        <f>IF(AND(L$15="Actual",ISBLANK($E$8)),SUMIFS('[1]NS Vendor Details'!$D:$D,'[1]NS Vendor Details'!$H:$H,'G&amp;A Vendor x GL Analysis'!L$20,'[1]NS Vendor Details'!$L:$L,'G&amp;A Vendor x GL Analysis'!$D192,'[1]NS Vendor Details'!$O:$O,'G&amp;A Vendor x GL Analysis'!$F192,'[1]NS Vendor Details'!$N:$N,'G&amp;A Vendor x GL Analysis'!$C192),IF(L$15="Actual",SUMIFS('[1]NS Vendor Details'!$D:$D,'[1]NS Vendor Details'!$H:$H,'G&amp;A Vendor x GL Analysis'!L$20,'[1]NS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3901.6600000000008</v>
      </c>
      <c r="M192" s="17">
        <f>IF(AND(M$15="Actual",ISBLANK($E$8)),SUMIFS('[1]NS Vendor Details'!$D:$D,'[1]NS Vendor Details'!$H:$H,'G&amp;A Vendor x GL Analysis'!M$20,'[1]NS Vendor Details'!$L:$L,'G&amp;A Vendor x GL Analysis'!$D192,'[1]NS Vendor Details'!$O:$O,'G&amp;A Vendor x GL Analysis'!$F192,'[1]NS Vendor Details'!$N:$N,'G&amp;A Vendor x GL Analysis'!$C192),IF(M$15="Actual",SUMIFS('[1]NS Vendor Details'!$D:$D,'[1]NS Vendor Details'!$H:$H,'G&amp;A Vendor x GL Analysis'!M$20,'[1]NS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4013.5200000000004</v>
      </c>
      <c r="N192" s="17">
        <f>IF(AND(N$15="Actual",ISBLANK($E$8)),SUMIFS('[1]NS Vendor Details'!$D:$D,'[1]NS Vendor Details'!$H:$H,'G&amp;A Vendor x GL Analysis'!N$20,'[1]NS Vendor Details'!$L:$L,'G&amp;A Vendor x GL Analysis'!$D192,'[1]NS Vendor Details'!$O:$O,'G&amp;A Vendor x GL Analysis'!$F192,'[1]NS Vendor Details'!$N:$N,'G&amp;A Vendor x GL Analysis'!$C192),IF(N$15="Actual",SUMIFS('[1]NS Vendor Details'!$D:$D,'[1]NS Vendor Details'!$H:$H,'G&amp;A Vendor x GL Analysis'!N$20,'[1]NS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4130.16</v>
      </c>
      <c r="O192" s="17">
        <f>IF(AND(O$15="Actual",ISBLANK($E$8)),SUMIFS('[1]NS Vendor Details'!$D:$D,'[1]NS Vendor Details'!$H:$H,'G&amp;A Vendor x GL Analysis'!O$20,'[1]NS Vendor Details'!$L:$L,'G&amp;A Vendor x GL Analysis'!$D192,'[1]NS Vendor Details'!$O:$O,'G&amp;A Vendor x GL Analysis'!$F192,'[1]NS Vendor Details'!$N:$N,'G&amp;A Vendor x GL Analysis'!$C192),IF(O$15="Actual",SUMIFS('[1]NS Vendor Details'!$D:$D,'[1]NS Vendor Details'!$H:$H,'G&amp;A Vendor x GL Analysis'!O$20,'[1]NS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4142.3799999999992</v>
      </c>
      <c r="P192" s="17">
        <f>IF(AND(P$15="Actual",ISBLANK($E$8)),SUMIFS('[1]NS Vendor Details'!$D:$D,'[1]NS Vendor Details'!$H:$H,'G&amp;A Vendor x GL Analysis'!P$20,'[1]NS Vendor Details'!$L:$L,'G&amp;A Vendor x GL Analysis'!$D192,'[1]NS Vendor Details'!$O:$O,'G&amp;A Vendor x GL Analysis'!$F192,'[1]NS Vendor Details'!$N:$N,'G&amp;A Vendor x GL Analysis'!$C192),IF(P$15="Actual",SUMIFS('[1]NS Vendor Details'!$D:$D,'[1]NS Vendor Details'!$H:$H,'G&amp;A Vendor x GL Analysis'!P$20,'[1]NS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4142.3799999999992</v>
      </c>
      <c r="Q192" s="17">
        <f>IF(AND(Q$15="Actual",ISBLANK($E$8)),SUMIFS('[1]NS Vendor Details'!$D:$D,'[1]NS Vendor Details'!$H:$H,'G&amp;A Vendor x GL Analysis'!Q$20,'[1]NS Vendor Details'!$L:$L,'G&amp;A Vendor x GL Analysis'!$D192,'[1]NS Vendor Details'!$O:$O,'G&amp;A Vendor x GL Analysis'!$F192,'[1]NS Vendor Details'!$N:$N,'G&amp;A Vendor x GL Analysis'!$C192),IF(Q$15="Actual",SUMIFS('[1]NS Vendor Details'!$D:$D,'[1]NS Vendor Details'!$H:$H,'G&amp;A Vendor x GL Analysis'!Q$20,'[1]NS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4299.84</v>
      </c>
      <c r="R192" s="18">
        <f>IF(AND(R$15="Actual",ISBLANK($E$8)),SUMIFS('[1]NS Vendor Details'!$D:$D,'[1]NS Vendor Details'!$H:$H,'G&amp;A Vendor x GL Analysis'!R$20,'[1]NS Vendor Details'!$L:$L,'G&amp;A Vendor x GL Analysis'!$D192,'[1]NS Vendor Details'!$O:$O,'G&amp;A Vendor x GL Analysis'!$F192,'[1]NS Vendor Details'!$N:$N,'G&amp;A Vendor x GL Analysis'!$C192),IF(R$15="Actual",SUMIFS('[1]NS Vendor Details'!$D:$D,'[1]NS Vendor Details'!$H:$H,'G&amp;A Vendor x GL Analysis'!R$20,'[1]NS Vendor Details'!$L:$L,'G&amp;A Vendor x GL Analysis'!$D192,'[1]NS Vendor Details'!$O:$O,'G&amp;A Vendor x GL Analysis'!$F192,'[1]NS Vendor Details'!$N:$N,'G&amp;A Vendor x GL Analysis'!$C192,'[1]NS Vendor Details'!$K:$K,'G&amp;A Vendor x GL Analysis'!$E$8),0))</f>
        <v>4318.51</v>
      </c>
      <c r="S192" s="16">
        <f>IF(AND(S$15="Actual",ISBLANK($E$8)),SUMIFS('[1]NS Vendor Details'!$D:$D,'[1]NS Vendor Details'!$H:$H,'G&amp;A Vendor x GL Analysis'!S$20,'[1]NS Vendor Details'!$L:$L,'G&amp;A Vendor x GL Analysis'!$D192,'[1]NS Vendor Details'!$O:$O,'G&amp;A Vendor x GL Analysis'!$F192,'[1]NS Vendor Details'!$N:$N,'G&amp;A Vendor x GL Analysis'!$C192,'[1]NS Vendor Details'!$I:$I,'G&amp;A Vendor x GL Analysis'!$E192),IF(S$15="Actual",SUMIFS('[1]NS Vendor Details'!$D:$D,'[1]NS Vendor Details'!$H:$H,'G&amp;A Vendor x GL Analysis'!S$20,'[1]NS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508.41999999999996</v>
      </c>
      <c r="T192" s="17">
        <f>IF(AND(T$15="Actual",ISBLANK($E$8)),SUMIFS('[1]NS Vendor Details'!$D:$D,'[1]NS Vendor Details'!$H:$H,'G&amp;A Vendor x GL Analysis'!T$20,'[1]NS Vendor Details'!$L:$L,'G&amp;A Vendor x GL Analysis'!$D192,'[1]NS Vendor Details'!$O:$O,'G&amp;A Vendor x GL Analysis'!$F192,'[1]NS Vendor Details'!$N:$N,'G&amp;A Vendor x GL Analysis'!$C192,'[1]NS Vendor Details'!$I:$I,'G&amp;A Vendor x GL Analysis'!$E192),IF(T$15="Actual",SUMIFS('[1]NS Vendor Details'!$D:$D,'[1]NS Vendor Details'!$H:$H,'G&amp;A Vendor x GL Analysis'!T$20,'[1]NS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514.41</v>
      </c>
      <c r="U192" s="17">
        <f>IF(AND(U$15="Actual",ISBLANK($E$8)),SUMIFS('[1]NS Vendor Details'!$D:$D,'[1]NS Vendor Details'!$H:$H,'G&amp;A Vendor x GL Analysis'!U$20,'[1]NS Vendor Details'!$L:$L,'G&amp;A Vendor x GL Analysis'!$D192,'[1]NS Vendor Details'!$O:$O,'G&amp;A Vendor x GL Analysis'!$F192,'[1]NS Vendor Details'!$N:$N,'G&amp;A Vendor x GL Analysis'!$C192,'[1]NS Vendor Details'!$I:$I,'G&amp;A Vendor x GL Analysis'!$E192),IF(U$15="Actual",SUMIFS('[1]NS Vendor Details'!$D:$D,'[1]NS Vendor Details'!$H:$H,'G&amp;A Vendor x GL Analysis'!U$20,'[1]NS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-1647.6499999999999</v>
      </c>
      <c r="V192" s="17">
        <f>IF(AND(V$15="Actual",ISBLANK($E$8)),SUMIFS('[1]NS Vendor Details'!$D:$D,'[1]NS Vendor Details'!$H:$H,'G&amp;A Vendor x GL Analysis'!V$20,'[1]NS Vendor Details'!$L:$L,'G&amp;A Vendor x GL Analysis'!$D192,'[1]NS Vendor Details'!$O:$O,'G&amp;A Vendor x GL Analysis'!$F192,'[1]NS Vendor Details'!$N:$N,'G&amp;A Vendor x GL Analysis'!$C192,'[1]NS Vendor Details'!$I:$I,'G&amp;A Vendor x GL Analysis'!$E192),IF(V$15="Actual",SUMIFS('[1]NS Vendor Details'!$D:$D,'[1]NS Vendor Details'!$H:$H,'G&amp;A Vendor x GL Analysis'!V$20,'[1]NS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754.27</v>
      </c>
      <c r="W192" s="17">
        <f>IF(AND(W$15="Actual",ISBLANK($E$8)),SUMIFS('[1]NS Vendor Details'!$D:$D,'[1]NS Vendor Details'!$H:$H,'G&amp;A Vendor x GL Analysis'!W$20,'[1]NS Vendor Details'!$L:$L,'G&amp;A Vendor x GL Analysis'!$D192,'[1]NS Vendor Details'!$O:$O,'G&amp;A Vendor x GL Analysis'!$F192,'[1]NS Vendor Details'!$N:$N,'G&amp;A Vendor x GL Analysis'!$C192,'[1]NS Vendor Details'!$I:$I,'G&amp;A Vendor x GL Analysis'!$E192),IF(W$15="Actual",SUMIFS('[1]NS Vendor Details'!$D:$D,'[1]NS Vendor Details'!$H:$H,'G&amp;A Vendor x GL Analysis'!W$20,'[1]NS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401.33000000000004</v>
      </c>
      <c r="X192" s="17">
        <f>IF(AND(X$15="Actual",ISBLANK($E$8)),SUMIFS('[1]NS Vendor Details'!$D:$D,'[1]NS Vendor Details'!$H:$H,'G&amp;A Vendor x GL Analysis'!X$20,'[1]NS Vendor Details'!$L:$L,'G&amp;A Vendor x GL Analysis'!$D192,'[1]NS Vendor Details'!$O:$O,'G&amp;A Vendor x GL Analysis'!$F192,'[1]NS Vendor Details'!$N:$N,'G&amp;A Vendor x GL Analysis'!$C192,'[1]NS Vendor Details'!$I:$I,'G&amp;A Vendor x GL Analysis'!$E192),IF(X$15="Actual",SUMIFS('[1]NS Vendor Details'!$D:$D,'[1]NS Vendor Details'!$H:$H,'G&amp;A Vendor x GL Analysis'!X$20,'[1]NS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401.33000000000004</v>
      </c>
      <c r="Y192" s="17">
        <f>IF(AND(Y$15="Actual",ISBLANK($E$8)),SUMIFS('[1]NS Vendor Details'!$D:$D,'[1]NS Vendor Details'!$H:$H,'G&amp;A Vendor x GL Analysis'!Y$20,'[1]NS Vendor Details'!$L:$L,'G&amp;A Vendor x GL Analysis'!$D192,'[1]NS Vendor Details'!$O:$O,'G&amp;A Vendor x GL Analysis'!$F192,'[1]NS Vendor Details'!$N:$N,'G&amp;A Vendor x GL Analysis'!$C192,'[1]NS Vendor Details'!$I:$I,'G&amp;A Vendor x GL Analysis'!$E192),IF(Y$15="Actual",SUMIFS('[1]NS Vendor Details'!$D:$D,'[1]NS Vendor Details'!$H:$H,'G&amp;A Vendor x GL Analysis'!Y$20,'[1]NS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401.33000000000004</v>
      </c>
      <c r="Z192" s="17">
        <f>IF(AND(Z$15="Actual",ISBLANK($E$8)),SUMIFS('[1]NS Vendor Details'!$D:$D,'[1]NS Vendor Details'!$H:$H,'G&amp;A Vendor x GL Analysis'!Z$20,'[1]NS Vendor Details'!$L:$L,'G&amp;A Vendor x GL Analysis'!$D192,'[1]NS Vendor Details'!$O:$O,'G&amp;A Vendor x GL Analysis'!$F192,'[1]NS Vendor Details'!$N:$N,'G&amp;A Vendor x GL Analysis'!$C192,'[1]NS Vendor Details'!$I:$I,'G&amp;A Vendor x GL Analysis'!$E192),IF(Z$15="Actual",SUMIFS('[1]NS Vendor Details'!$D:$D,'[1]NS Vendor Details'!$H:$H,'G&amp;A Vendor x GL Analysis'!Z$20,'[1]NS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401.33000000000004</v>
      </c>
      <c r="AA192" s="17">
        <f>IF(AND(AA$15="Actual",ISBLANK($E$8)),SUMIFS('[1]NS Vendor Details'!$D:$D,'[1]NS Vendor Details'!$H:$H,'G&amp;A Vendor x GL Analysis'!AA$20,'[1]NS Vendor Details'!$L:$L,'G&amp;A Vendor x GL Analysis'!$D192,'[1]NS Vendor Details'!$O:$O,'G&amp;A Vendor x GL Analysis'!$F192,'[1]NS Vendor Details'!$N:$N,'G&amp;A Vendor x GL Analysis'!$C192,'[1]NS Vendor Details'!$I:$I,'G&amp;A Vendor x GL Analysis'!$E192),IF(AA$15="Actual",SUMIFS('[1]NS Vendor Details'!$D:$D,'[1]NS Vendor Details'!$H:$H,'G&amp;A Vendor x GL Analysis'!AA$20,'[1]NS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401.33000000000004</v>
      </c>
      <c r="AB192" s="17">
        <f>IF(AND(AB$15="Actual",ISBLANK($E$8)),SUMIFS('[1]NS Vendor Details'!$D:$D,'[1]NS Vendor Details'!$H:$H,'G&amp;A Vendor x GL Analysis'!AB$20,'[1]NS Vendor Details'!$L:$L,'G&amp;A Vendor x GL Analysis'!$D192,'[1]NS Vendor Details'!$O:$O,'G&amp;A Vendor x GL Analysis'!$F192,'[1]NS Vendor Details'!$N:$N,'G&amp;A Vendor x GL Analysis'!$C192,'[1]NS Vendor Details'!$I:$I,'G&amp;A Vendor x GL Analysis'!$E192),IF(AB$15="Actual",SUMIFS('[1]NS Vendor Details'!$D:$D,'[1]NS Vendor Details'!$H:$H,'G&amp;A Vendor x GL Analysis'!AB$20,'[1]NS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401.33000000000004</v>
      </c>
      <c r="AC192" s="18">
        <f>IF(AND(AC$15="Actual",ISBLANK($E$8)),SUMIFS('[1]NS Vendor Details'!$D:$D,'[1]NS Vendor Details'!$H:$H,'G&amp;A Vendor x GL Analysis'!AC$20,'[1]NS Vendor Details'!$L:$L,'G&amp;A Vendor x GL Analysis'!$D192,'[1]NS Vendor Details'!$O:$O,'G&amp;A Vendor x GL Analysis'!$F192,'[1]NS Vendor Details'!$N:$N,'G&amp;A Vendor x GL Analysis'!$C192,'[1]NS Vendor Details'!$I:$I,'G&amp;A Vendor x GL Analysis'!$E192),IF(AC$15="Actual",SUMIFS('[1]NS Vendor Details'!$D:$D,'[1]NS Vendor Details'!$H:$H,'G&amp;A Vendor x GL Analysis'!AC$20,'[1]NS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318</v>
      </c>
      <c r="AD192" s="18">
        <f>IF(AND(AD$15="Actual",ISBLANK($E$8)),SUMIFS('[1]NS Vendor Details'!$D:$D,'[1]NS Vendor Details'!$H:$H,'G&amp;A Vendor x GL Analysis'!AD$20,'[1]NS Vendor Details'!$L:$L,'G&amp;A Vendor x GL Analysis'!$D192,'[1]NS Vendor Details'!$O:$O,'G&amp;A Vendor x GL Analysis'!$F192,'[1]NS Vendor Details'!$N:$N,'G&amp;A Vendor x GL Analysis'!$C192,'[1]NS Vendor Details'!$I:$I,'G&amp;A Vendor x GL Analysis'!$E192),IF(AD$15="Actual",SUMIFS('[1]NS Vendor Details'!$D:$D,'[1]NS Vendor Details'!$H:$H,'G&amp;A Vendor x GL Analysis'!AD$20,'[1]NS Vendor Details'!$L:$L,'G&amp;A Vendor x GL Analysis'!$D192,'[1]NS Vendor Details'!$O:$O,'G&amp;A Vendor x GL Analysis'!$F192,'[1]NS Vendor Details'!$N:$N,'G&amp;A Vendor x GL Analysis'!$C192,'[1]NS Vendor Details'!$K:$K,'G&amp;A Vendor x GL Analysis'!$E$8,'[1]NS Vendor Details'!$I:$I,'G&amp;A Vendor x GL Analysis'!$E192),0))</f>
        <v>0</v>
      </c>
      <c r="AF192" s="19">
        <f t="shared" si="29"/>
        <v>6150.73</v>
      </c>
    </row>
    <row r="193" spans="1:32" outlineLevel="1">
      <c r="A193" s="8" t="str">
        <f t="shared" si="26"/>
        <v>Depreciation &amp; Amortization7060 - Information Technology &amp; Software</v>
      </c>
      <c r="C193" s="8" t="s">
        <v>11</v>
      </c>
      <c r="D193" s="8" t="str">
        <f t="shared" ref="D193:D194" si="32">D192</f>
        <v>Depreciation &amp; Amortization</v>
      </c>
      <c r="E193" s="2" t="s">
        <v>178</v>
      </c>
      <c r="F193" s="2" t="s">
        <v>16</v>
      </c>
      <c r="G193" s="16">
        <f>IF(AND(G$15="Actual",ISBLANK($E$8)),SUMIFS('[1]NS Vendor Details'!$D:$D,'[1]NS Vendor Details'!$H:$H,'G&amp;A Vendor x GL Analysis'!G$20,'[1]NS Vendor Details'!$L:$L,'G&amp;A Vendor x GL Analysis'!$D193,'[1]NS Vendor Details'!$O:$O,'G&amp;A Vendor x GL Analysis'!$F193,'[1]NS Vendor Details'!$N:$N,'G&amp;A Vendor x GL Analysis'!$C193),IF(G$15="Actual",SUMIFS('[1]NS Vendor Details'!$D:$D,'[1]NS Vendor Details'!$H:$H,'G&amp;A Vendor x GL Analysis'!G$20,'[1]NS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3647.09</v>
      </c>
      <c r="H193" s="17">
        <f>IF(AND(H$15="Actual",ISBLANK($E$8)),SUMIFS('[1]NS Vendor Details'!$D:$D,'[1]NS Vendor Details'!$H:$H,'G&amp;A Vendor x GL Analysis'!H$20,'[1]NS Vendor Details'!$L:$L,'G&amp;A Vendor x GL Analysis'!$D193,'[1]NS Vendor Details'!$O:$O,'G&amp;A Vendor x GL Analysis'!$F193,'[1]NS Vendor Details'!$N:$N,'G&amp;A Vendor x GL Analysis'!$C193),IF(H$15="Actual",SUMIFS('[1]NS Vendor Details'!$D:$D,'[1]NS Vendor Details'!$H:$H,'G&amp;A Vendor x GL Analysis'!H$20,'[1]NS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3663.7200000000003</v>
      </c>
      <c r="I193" s="17">
        <f>IF(AND(I$15="Actual",ISBLANK($E$8)),SUMIFS('[1]NS Vendor Details'!$D:$D,'[1]NS Vendor Details'!$H:$H,'G&amp;A Vendor x GL Analysis'!I$20,'[1]NS Vendor Details'!$L:$L,'G&amp;A Vendor x GL Analysis'!$D193,'[1]NS Vendor Details'!$O:$O,'G&amp;A Vendor x GL Analysis'!$F193,'[1]NS Vendor Details'!$N:$N,'G&amp;A Vendor x GL Analysis'!$C193),IF(I$15="Actual",SUMIFS('[1]NS Vendor Details'!$D:$D,'[1]NS Vendor Details'!$H:$H,'G&amp;A Vendor x GL Analysis'!I$20,'[1]NS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3692.0400000000004</v>
      </c>
      <c r="J193" s="17">
        <f>IF(AND(J$15="Actual",ISBLANK($E$8)),SUMIFS('[1]NS Vendor Details'!$D:$D,'[1]NS Vendor Details'!$H:$H,'G&amp;A Vendor x GL Analysis'!J$20,'[1]NS Vendor Details'!$L:$L,'G&amp;A Vendor x GL Analysis'!$D193,'[1]NS Vendor Details'!$O:$O,'G&amp;A Vendor x GL Analysis'!$F193,'[1]NS Vendor Details'!$N:$N,'G&amp;A Vendor x GL Analysis'!$C193),IF(J$15="Actual",SUMIFS('[1]NS Vendor Details'!$D:$D,'[1]NS Vendor Details'!$H:$H,'G&amp;A Vendor x GL Analysis'!J$20,'[1]NS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3699.1700000000005</v>
      </c>
      <c r="K193" s="17">
        <f>IF(AND(K$15="Actual",ISBLANK($E$8)),SUMIFS('[1]NS Vendor Details'!$D:$D,'[1]NS Vendor Details'!$H:$H,'G&amp;A Vendor x GL Analysis'!K$20,'[1]NS Vendor Details'!$L:$L,'G&amp;A Vendor x GL Analysis'!$D193,'[1]NS Vendor Details'!$O:$O,'G&amp;A Vendor x GL Analysis'!$F193,'[1]NS Vendor Details'!$N:$N,'G&amp;A Vendor x GL Analysis'!$C193),IF(K$15="Actual",SUMIFS('[1]NS Vendor Details'!$D:$D,'[1]NS Vendor Details'!$H:$H,'G&amp;A Vendor x GL Analysis'!K$20,'[1]NS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3899.1500000000005</v>
      </c>
      <c r="L193" s="17">
        <f>IF(AND(L$15="Actual",ISBLANK($E$8)),SUMIFS('[1]NS Vendor Details'!$D:$D,'[1]NS Vendor Details'!$H:$H,'G&amp;A Vendor x GL Analysis'!L$20,'[1]NS Vendor Details'!$L:$L,'G&amp;A Vendor x GL Analysis'!$D193,'[1]NS Vendor Details'!$O:$O,'G&amp;A Vendor x GL Analysis'!$F193,'[1]NS Vendor Details'!$N:$N,'G&amp;A Vendor x GL Analysis'!$C193),IF(L$15="Actual",SUMIFS('[1]NS Vendor Details'!$D:$D,'[1]NS Vendor Details'!$H:$H,'G&amp;A Vendor x GL Analysis'!L$20,'[1]NS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3901.6600000000008</v>
      </c>
      <c r="M193" s="17">
        <f>IF(AND(M$15="Actual",ISBLANK($E$8)),SUMIFS('[1]NS Vendor Details'!$D:$D,'[1]NS Vendor Details'!$H:$H,'G&amp;A Vendor x GL Analysis'!M$20,'[1]NS Vendor Details'!$L:$L,'G&amp;A Vendor x GL Analysis'!$D193,'[1]NS Vendor Details'!$O:$O,'G&amp;A Vendor x GL Analysis'!$F193,'[1]NS Vendor Details'!$N:$N,'G&amp;A Vendor x GL Analysis'!$C193),IF(M$15="Actual",SUMIFS('[1]NS Vendor Details'!$D:$D,'[1]NS Vendor Details'!$H:$H,'G&amp;A Vendor x GL Analysis'!M$20,'[1]NS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4013.5200000000004</v>
      </c>
      <c r="N193" s="17">
        <f>IF(AND(N$15="Actual",ISBLANK($E$8)),SUMIFS('[1]NS Vendor Details'!$D:$D,'[1]NS Vendor Details'!$H:$H,'G&amp;A Vendor x GL Analysis'!N$20,'[1]NS Vendor Details'!$L:$L,'G&amp;A Vendor x GL Analysis'!$D193,'[1]NS Vendor Details'!$O:$O,'G&amp;A Vendor x GL Analysis'!$F193,'[1]NS Vendor Details'!$N:$N,'G&amp;A Vendor x GL Analysis'!$C193),IF(N$15="Actual",SUMIFS('[1]NS Vendor Details'!$D:$D,'[1]NS Vendor Details'!$H:$H,'G&amp;A Vendor x GL Analysis'!N$20,'[1]NS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4130.16</v>
      </c>
      <c r="O193" s="17">
        <f>IF(AND(O$15="Actual",ISBLANK($E$8)),SUMIFS('[1]NS Vendor Details'!$D:$D,'[1]NS Vendor Details'!$H:$H,'G&amp;A Vendor x GL Analysis'!O$20,'[1]NS Vendor Details'!$L:$L,'G&amp;A Vendor x GL Analysis'!$D193,'[1]NS Vendor Details'!$O:$O,'G&amp;A Vendor x GL Analysis'!$F193,'[1]NS Vendor Details'!$N:$N,'G&amp;A Vendor x GL Analysis'!$C193),IF(O$15="Actual",SUMIFS('[1]NS Vendor Details'!$D:$D,'[1]NS Vendor Details'!$H:$H,'G&amp;A Vendor x GL Analysis'!O$20,'[1]NS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4142.3799999999992</v>
      </c>
      <c r="P193" s="17">
        <f>IF(AND(P$15="Actual",ISBLANK($E$8)),SUMIFS('[1]NS Vendor Details'!$D:$D,'[1]NS Vendor Details'!$H:$H,'G&amp;A Vendor x GL Analysis'!P$20,'[1]NS Vendor Details'!$L:$L,'G&amp;A Vendor x GL Analysis'!$D193,'[1]NS Vendor Details'!$O:$O,'G&amp;A Vendor x GL Analysis'!$F193,'[1]NS Vendor Details'!$N:$N,'G&amp;A Vendor x GL Analysis'!$C193),IF(P$15="Actual",SUMIFS('[1]NS Vendor Details'!$D:$D,'[1]NS Vendor Details'!$H:$H,'G&amp;A Vendor x GL Analysis'!P$20,'[1]NS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4142.3799999999992</v>
      </c>
      <c r="Q193" s="17">
        <f>IF(AND(Q$15="Actual",ISBLANK($E$8)),SUMIFS('[1]NS Vendor Details'!$D:$D,'[1]NS Vendor Details'!$H:$H,'G&amp;A Vendor x GL Analysis'!Q$20,'[1]NS Vendor Details'!$L:$L,'G&amp;A Vendor x GL Analysis'!$D193,'[1]NS Vendor Details'!$O:$O,'G&amp;A Vendor x GL Analysis'!$F193,'[1]NS Vendor Details'!$N:$N,'G&amp;A Vendor x GL Analysis'!$C193),IF(Q$15="Actual",SUMIFS('[1]NS Vendor Details'!$D:$D,'[1]NS Vendor Details'!$H:$H,'G&amp;A Vendor x GL Analysis'!Q$20,'[1]NS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4299.84</v>
      </c>
      <c r="R193" s="18">
        <f>IF(AND(R$15="Actual",ISBLANK($E$8)),SUMIFS('[1]NS Vendor Details'!$D:$D,'[1]NS Vendor Details'!$H:$H,'G&amp;A Vendor x GL Analysis'!R$20,'[1]NS Vendor Details'!$L:$L,'G&amp;A Vendor x GL Analysis'!$D193,'[1]NS Vendor Details'!$O:$O,'G&amp;A Vendor x GL Analysis'!$F193,'[1]NS Vendor Details'!$N:$N,'G&amp;A Vendor x GL Analysis'!$C193),IF(R$15="Actual",SUMIFS('[1]NS Vendor Details'!$D:$D,'[1]NS Vendor Details'!$H:$H,'G&amp;A Vendor x GL Analysis'!R$20,'[1]NS Vendor Details'!$L:$L,'G&amp;A Vendor x GL Analysis'!$D193,'[1]NS Vendor Details'!$O:$O,'G&amp;A Vendor x GL Analysis'!$F193,'[1]NS Vendor Details'!$N:$N,'G&amp;A Vendor x GL Analysis'!$C193,'[1]NS Vendor Details'!$K:$K,'G&amp;A Vendor x GL Analysis'!$E$8),0))</f>
        <v>4318.51</v>
      </c>
      <c r="S193" s="16">
        <f>IF(AND(S$15="Actual",ISBLANK($E$8)),SUMIFS('[1]NS Vendor Details'!$D:$D,'[1]NS Vendor Details'!$H:$H,'G&amp;A Vendor x GL Analysis'!S$20,'[1]NS Vendor Details'!$L:$L,'G&amp;A Vendor x GL Analysis'!$D193,'[1]NS Vendor Details'!$O:$O,'G&amp;A Vendor x GL Analysis'!$F193,'[1]NS Vendor Details'!$N:$N,'G&amp;A Vendor x GL Analysis'!$C193,'[1]NS Vendor Details'!$I:$I,'G&amp;A Vendor x GL Analysis'!$E193),IF(S$15="Actual",SUMIFS('[1]NS Vendor Details'!$D:$D,'[1]NS Vendor Details'!$H:$H,'G&amp;A Vendor x GL Analysis'!S$20,'[1]NS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1818.34</v>
      </c>
      <c r="T193" s="17">
        <f>IF(AND(T$15="Actual",ISBLANK($E$8)),SUMIFS('[1]NS Vendor Details'!$D:$D,'[1]NS Vendor Details'!$H:$H,'G&amp;A Vendor x GL Analysis'!T$20,'[1]NS Vendor Details'!$L:$L,'G&amp;A Vendor x GL Analysis'!$D193,'[1]NS Vendor Details'!$O:$O,'G&amp;A Vendor x GL Analysis'!$F193,'[1]NS Vendor Details'!$N:$N,'G&amp;A Vendor x GL Analysis'!$C193,'[1]NS Vendor Details'!$I:$I,'G&amp;A Vendor x GL Analysis'!$E193),IF(T$15="Actual",SUMIFS('[1]NS Vendor Details'!$D:$D,'[1]NS Vendor Details'!$H:$H,'G&amp;A Vendor x GL Analysis'!T$20,'[1]NS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1818.34</v>
      </c>
      <c r="U193" s="17">
        <f>IF(AND(U$15="Actual",ISBLANK($E$8)),SUMIFS('[1]NS Vendor Details'!$D:$D,'[1]NS Vendor Details'!$H:$H,'G&amp;A Vendor x GL Analysis'!U$20,'[1]NS Vendor Details'!$L:$L,'G&amp;A Vendor x GL Analysis'!$D193,'[1]NS Vendor Details'!$O:$O,'G&amp;A Vendor x GL Analysis'!$F193,'[1]NS Vendor Details'!$N:$N,'G&amp;A Vendor x GL Analysis'!$C193,'[1]NS Vendor Details'!$I:$I,'G&amp;A Vendor x GL Analysis'!$E193),IF(U$15="Actual",SUMIFS('[1]NS Vendor Details'!$D:$D,'[1]NS Vendor Details'!$H:$H,'G&amp;A Vendor x GL Analysis'!U$20,'[1]NS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-584.97</v>
      </c>
      <c r="V193" s="17">
        <f>IF(AND(V$15="Actual",ISBLANK($E$8)),SUMIFS('[1]NS Vendor Details'!$D:$D,'[1]NS Vendor Details'!$H:$H,'G&amp;A Vendor x GL Analysis'!V$20,'[1]NS Vendor Details'!$L:$L,'G&amp;A Vendor x GL Analysis'!$D193,'[1]NS Vendor Details'!$O:$O,'G&amp;A Vendor x GL Analysis'!$F193,'[1]NS Vendor Details'!$N:$N,'G&amp;A Vendor x GL Analysis'!$C193,'[1]NS Vendor Details'!$I:$I,'G&amp;A Vendor x GL Analysis'!$E193),IF(V$15="Actual",SUMIFS('[1]NS Vendor Details'!$D:$D,'[1]NS Vendor Details'!$H:$H,'G&amp;A Vendor x GL Analysis'!V$20,'[1]NS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2589.9000000000005</v>
      </c>
      <c r="W193" s="17">
        <f>IF(AND(W$15="Actual",ISBLANK($E$8)),SUMIFS('[1]NS Vendor Details'!$D:$D,'[1]NS Vendor Details'!$H:$H,'G&amp;A Vendor x GL Analysis'!W$20,'[1]NS Vendor Details'!$L:$L,'G&amp;A Vendor x GL Analysis'!$D193,'[1]NS Vendor Details'!$O:$O,'G&amp;A Vendor x GL Analysis'!$F193,'[1]NS Vendor Details'!$N:$N,'G&amp;A Vendor x GL Analysis'!$C193,'[1]NS Vendor Details'!$I:$I,'G&amp;A Vendor x GL Analysis'!$E193),IF(W$15="Actual",SUMIFS('[1]NS Vendor Details'!$D:$D,'[1]NS Vendor Details'!$H:$H,'G&amp;A Vendor x GL Analysis'!W$20,'[1]NS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1510.9299999999998</v>
      </c>
      <c r="X193" s="17">
        <f>IF(AND(X$15="Actual",ISBLANK($E$8)),SUMIFS('[1]NS Vendor Details'!$D:$D,'[1]NS Vendor Details'!$H:$H,'G&amp;A Vendor x GL Analysis'!X$20,'[1]NS Vendor Details'!$L:$L,'G&amp;A Vendor x GL Analysis'!$D193,'[1]NS Vendor Details'!$O:$O,'G&amp;A Vendor x GL Analysis'!$F193,'[1]NS Vendor Details'!$N:$N,'G&amp;A Vendor x GL Analysis'!$C193,'[1]NS Vendor Details'!$I:$I,'G&amp;A Vendor x GL Analysis'!$E193),IF(X$15="Actual",SUMIFS('[1]NS Vendor Details'!$D:$D,'[1]NS Vendor Details'!$H:$H,'G&amp;A Vendor x GL Analysis'!X$20,'[1]NS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1566.9099999999999</v>
      </c>
      <c r="Y193" s="17">
        <f>IF(AND(Y$15="Actual",ISBLANK($E$8)),SUMIFS('[1]NS Vendor Details'!$D:$D,'[1]NS Vendor Details'!$H:$H,'G&amp;A Vendor x GL Analysis'!Y$20,'[1]NS Vendor Details'!$L:$L,'G&amp;A Vendor x GL Analysis'!$D193,'[1]NS Vendor Details'!$O:$O,'G&amp;A Vendor x GL Analysis'!$F193,'[1]NS Vendor Details'!$N:$N,'G&amp;A Vendor x GL Analysis'!$C193,'[1]NS Vendor Details'!$I:$I,'G&amp;A Vendor x GL Analysis'!$E193),IF(Y$15="Actual",SUMIFS('[1]NS Vendor Details'!$D:$D,'[1]NS Vendor Details'!$H:$H,'G&amp;A Vendor x GL Analysis'!Y$20,'[1]NS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1625.91</v>
      </c>
      <c r="Z193" s="17">
        <f>IF(AND(Z$15="Actual",ISBLANK($E$8)),SUMIFS('[1]NS Vendor Details'!$D:$D,'[1]NS Vendor Details'!$H:$H,'G&amp;A Vendor x GL Analysis'!Z$20,'[1]NS Vendor Details'!$L:$L,'G&amp;A Vendor x GL Analysis'!$D193,'[1]NS Vendor Details'!$O:$O,'G&amp;A Vendor x GL Analysis'!$F193,'[1]NS Vendor Details'!$N:$N,'G&amp;A Vendor x GL Analysis'!$C193,'[1]NS Vendor Details'!$I:$I,'G&amp;A Vendor x GL Analysis'!$E193),IF(Z$15="Actual",SUMIFS('[1]NS Vendor Details'!$D:$D,'[1]NS Vendor Details'!$H:$H,'G&amp;A Vendor x GL Analysis'!Z$20,'[1]NS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1625.91</v>
      </c>
      <c r="AA193" s="17">
        <f>IF(AND(AA$15="Actual",ISBLANK($E$8)),SUMIFS('[1]NS Vendor Details'!$D:$D,'[1]NS Vendor Details'!$H:$H,'G&amp;A Vendor x GL Analysis'!AA$20,'[1]NS Vendor Details'!$L:$L,'G&amp;A Vendor x GL Analysis'!$D193,'[1]NS Vendor Details'!$O:$O,'G&amp;A Vendor x GL Analysis'!$F193,'[1]NS Vendor Details'!$N:$N,'G&amp;A Vendor x GL Analysis'!$C193,'[1]NS Vendor Details'!$I:$I,'G&amp;A Vendor x GL Analysis'!$E193),IF(AA$15="Actual",SUMIFS('[1]NS Vendor Details'!$D:$D,'[1]NS Vendor Details'!$H:$H,'G&amp;A Vendor x GL Analysis'!AA$20,'[1]NS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1625.91</v>
      </c>
      <c r="AB193" s="17">
        <f>IF(AND(AB$15="Actual",ISBLANK($E$8)),SUMIFS('[1]NS Vendor Details'!$D:$D,'[1]NS Vendor Details'!$H:$H,'G&amp;A Vendor x GL Analysis'!AB$20,'[1]NS Vendor Details'!$L:$L,'G&amp;A Vendor x GL Analysis'!$D193,'[1]NS Vendor Details'!$O:$O,'G&amp;A Vendor x GL Analysis'!$F193,'[1]NS Vendor Details'!$N:$N,'G&amp;A Vendor x GL Analysis'!$C193,'[1]NS Vendor Details'!$I:$I,'G&amp;A Vendor x GL Analysis'!$E193),IF(AB$15="Actual",SUMIFS('[1]NS Vendor Details'!$D:$D,'[1]NS Vendor Details'!$H:$H,'G&amp;A Vendor x GL Analysis'!AB$20,'[1]NS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1586.6200000000001</v>
      </c>
      <c r="AC193" s="18">
        <f>IF(AND(AC$15="Actual",ISBLANK($E$8)),SUMIFS('[1]NS Vendor Details'!$D:$D,'[1]NS Vendor Details'!$H:$H,'G&amp;A Vendor x GL Analysis'!AC$20,'[1]NS Vendor Details'!$L:$L,'G&amp;A Vendor x GL Analysis'!$D193,'[1]NS Vendor Details'!$O:$O,'G&amp;A Vendor x GL Analysis'!$F193,'[1]NS Vendor Details'!$N:$N,'G&amp;A Vendor x GL Analysis'!$C193,'[1]NS Vendor Details'!$I:$I,'G&amp;A Vendor x GL Analysis'!$E193),IF(AC$15="Actual",SUMIFS('[1]NS Vendor Details'!$D:$D,'[1]NS Vendor Details'!$H:$H,'G&amp;A Vendor x GL Analysis'!AC$20,'[1]NS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1600.92</v>
      </c>
      <c r="AD193" s="18">
        <f>IF(AND(AD$15="Actual",ISBLANK($E$8)),SUMIFS('[1]NS Vendor Details'!$D:$D,'[1]NS Vendor Details'!$H:$H,'G&amp;A Vendor x GL Analysis'!AD$20,'[1]NS Vendor Details'!$L:$L,'G&amp;A Vendor x GL Analysis'!$D193,'[1]NS Vendor Details'!$O:$O,'G&amp;A Vendor x GL Analysis'!$F193,'[1]NS Vendor Details'!$N:$N,'G&amp;A Vendor x GL Analysis'!$C193,'[1]NS Vendor Details'!$I:$I,'G&amp;A Vendor x GL Analysis'!$E193),IF(AD$15="Actual",SUMIFS('[1]NS Vendor Details'!$D:$D,'[1]NS Vendor Details'!$H:$H,'G&amp;A Vendor x GL Analysis'!AD$20,'[1]NS Vendor Details'!$L:$L,'G&amp;A Vendor x GL Analysis'!$D193,'[1]NS Vendor Details'!$O:$O,'G&amp;A Vendor x GL Analysis'!$F193,'[1]NS Vendor Details'!$N:$N,'G&amp;A Vendor x GL Analysis'!$C193,'[1]NS Vendor Details'!$K:$K,'G&amp;A Vendor x GL Analysis'!$E$8,'[1]NS Vendor Details'!$I:$I,'G&amp;A Vendor x GL Analysis'!$E193),0))</f>
        <v>0</v>
      </c>
      <c r="AF193" s="19">
        <f t="shared" si="29"/>
        <v>17954.66</v>
      </c>
    </row>
    <row r="194" spans="1:32" outlineLevel="1">
      <c r="A194" s="8" t="str">
        <f t="shared" si="26"/>
        <v>Depreciation &amp; Amortization7130 - License Agreements &amp; Other Intangibles</v>
      </c>
      <c r="C194" s="8" t="s">
        <v>11</v>
      </c>
      <c r="D194" s="8" t="str">
        <f t="shared" si="32"/>
        <v>Depreciation &amp; Amortization</v>
      </c>
      <c r="E194" s="2" t="s">
        <v>179</v>
      </c>
      <c r="F194" s="2" t="s">
        <v>16</v>
      </c>
      <c r="G194" s="16">
        <f>IF(AND(G$15="Actual",ISBLANK($E$8)),SUMIFS('[1]NS Vendor Details'!$D:$D,'[1]NS Vendor Details'!$H:$H,'G&amp;A Vendor x GL Analysis'!G$20,'[1]NS Vendor Details'!$L:$L,'G&amp;A Vendor x GL Analysis'!$D194,'[1]NS Vendor Details'!$O:$O,'G&amp;A Vendor x GL Analysis'!$F194,'[1]NS Vendor Details'!$N:$N,'G&amp;A Vendor x GL Analysis'!$C194),IF(G$15="Actual",SUMIFS('[1]NS Vendor Details'!$D:$D,'[1]NS Vendor Details'!$H:$H,'G&amp;A Vendor x GL Analysis'!G$20,'[1]NS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3647.09</v>
      </c>
      <c r="H194" s="17">
        <f>IF(AND(H$15="Actual",ISBLANK($E$8)),SUMIFS('[1]NS Vendor Details'!$D:$D,'[1]NS Vendor Details'!$H:$H,'G&amp;A Vendor x GL Analysis'!H$20,'[1]NS Vendor Details'!$L:$L,'G&amp;A Vendor x GL Analysis'!$D194,'[1]NS Vendor Details'!$O:$O,'G&amp;A Vendor x GL Analysis'!$F194,'[1]NS Vendor Details'!$N:$N,'G&amp;A Vendor x GL Analysis'!$C194),IF(H$15="Actual",SUMIFS('[1]NS Vendor Details'!$D:$D,'[1]NS Vendor Details'!$H:$H,'G&amp;A Vendor x GL Analysis'!H$20,'[1]NS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3663.7200000000003</v>
      </c>
      <c r="I194" s="17">
        <f>IF(AND(I$15="Actual",ISBLANK($E$8)),SUMIFS('[1]NS Vendor Details'!$D:$D,'[1]NS Vendor Details'!$H:$H,'G&amp;A Vendor x GL Analysis'!I$20,'[1]NS Vendor Details'!$L:$L,'G&amp;A Vendor x GL Analysis'!$D194,'[1]NS Vendor Details'!$O:$O,'G&amp;A Vendor x GL Analysis'!$F194,'[1]NS Vendor Details'!$N:$N,'G&amp;A Vendor x GL Analysis'!$C194),IF(I$15="Actual",SUMIFS('[1]NS Vendor Details'!$D:$D,'[1]NS Vendor Details'!$H:$H,'G&amp;A Vendor x GL Analysis'!I$20,'[1]NS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3692.0400000000004</v>
      </c>
      <c r="J194" s="17">
        <f>IF(AND(J$15="Actual",ISBLANK($E$8)),SUMIFS('[1]NS Vendor Details'!$D:$D,'[1]NS Vendor Details'!$H:$H,'G&amp;A Vendor x GL Analysis'!J$20,'[1]NS Vendor Details'!$L:$L,'G&amp;A Vendor x GL Analysis'!$D194,'[1]NS Vendor Details'!$O:$O,'G&amp;A Vendor x GL Analysis'!$F194,'[1]NS Vendor Details'!$N:$N,'G&amp;A Vendor x GL Analysis'!$C194),IF(J$15="Actual",SUMIFS('[1]NS Vendor Details'!$D:$D,'[1]NS Vendor Details'!$H:$H,'G&amp;A Vendor x GL Analysis'!J$20,'[1]NS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3699.1700000000005</v>
      </c>
      <c r="K194" s="17">
        <f>IF(AND(K$15="Actual",ISBLANK($E$8)),SUMIFS('[1]NS Vendor Details'!$D:$D,'[1]NS Vendor Details'!$H:$H,'G&amp;A Vendor x GL Analysis'!K$20,'[1]NS Vendor Details'!$L:$L,'G&amp;A Vendor x GL Analysis'!$D194,'[1]NS Vendor Details'!$O:$O,'G&amp;A Vendor x GL Analysis'!$F194,'[1]NS Vendor Details'!$N:$N,'G&amp;A Vendor x GL Analysis'!$C194),IF(K$15="Actual",SUMIFS('[1]NS Vendor Details'!$D:$D,'[1]NS Vendor Details'!$H:$H,'G&amp;A Vendor x GL Analysis'!K$20,'[1]NS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3899.1500000000005</v>
      </c>
      <c r="L194" s="17">
        <f>IF(AND(L$15="Actual",ISBLANK($E$8)),SUMIFS('[1]NS Vendor Details'!$D:$D,'[1]NS Vendor Details'!$H:$H,'G&amp;A Vendor x GL Analysis'!L$20,'[1]NS Vendor Details'!$L:$L,'G&amp;A Vendor x GL Analysis'!$D194,'[1]NS Vendor Details'!$O:$O,'G&amp;A Vendor x GL Analysis'!$F194,'[1]NS Vendor Details'!$N:$N,'G&amp;A Vendor x GL Analysis'!$C194),IF(L$15="Actual",SUMIFS('[1]NS Vendor Details'!$D:$D,'[1]NS Vendor Details'!$H:$H,'G&amp;A Vendor x GL Analysis'!L$20,'[1]NS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3901.6600000000008</v>
      </c>
      <c r="M194" s="17">
        <f>IF(AND(M$15="Actual",ISBLANK($E$8)),SUMIFS('[1]NS Vendor Details'!$D:$D,'[1]NS Vendor Details'!$H:$H,'G&amp;A Vendor x GL Analysis'!M$20,'[1]NS Vendor Details'!$L:$L,'G&amp;A Vendor x GL Analysis'!$D194,'[1]NS Vendor Details'!$O:$O,'G&amp;A Vendor x GL Analysis'!$F194,'[1]NS Vendor Details'!$N:$N,'G&amp;A Vendor x GL Analysis'!$C194),IF(M$15="Actual",SUMIFS('[1]NS Vendor Details'!$D:$D,'[1]NS Vendor Details'!$H:$H,'G&amp;A Vendor x GL Analysis'!M$20,'[1]NS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4013.5200000000004</v>
      </c>
      <c r="N194" s="17">
        <f>IF(AND(N$15="Actual",ISBLANK($E$8)),SUMIFS('[1]NS Vendor Details'!$D:$D,'[1]NS Vendor Details'!$H:$H,'G&amp;A Vendor x GL Analysis'!N$20,'[1]NS Vendor Details'!$L:$L,'G&amp;A Vendor x GL Analysis'!$D194,'[1]NS Vendor Details'!$O:$O,'G&amp;A Vendor x GL Analysis'!$F194,'[1]NS Vendor Details'!$N:$N,'G&amp;A Vendor x GL Analysis'!$C194),IF(N$15="Actual",SUMIFS('[1]NS Vendor Details'!$D:$D,'[1]NS Vendor Details'!$H:$H,'G&amp;A Vendor x GL Analysis'!N$20,'[1]NS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4130.16</v>
      </c>
      <c r="O194" s="17">
        <f>IF(AND(O$15="Actual",ISBLANK($E$8)),SUMIFS('[1]NS Vendor Details'!$D:$D,'[1]NS Vendor Details'!$H:$H,'G&amp;A Vendor x GL Analysis'!O$20,'[1]NS Vendor Details'!$L:$L,'G&amp;A Vendor x GL Analysis'!$D194,'[1]NS Vendor Details'!$O:$O,'G&amp;A Vendor x GL Analysis'!$F194,'[1]NS Vendor Details'!$N:$N,'G&amp;A Vendor x GL Analysis'!$C194),IF(O$15="Actual",SUMIFS('[1]NS Vendor Details'!$D:$D,'[1]NS Vendor Details'!$H:$H,'G&amp;A Vendor x GL Analysis'!O$20,'[1]NS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4142.3799999999992</v>
      </c>
      <c r="P194" s="17">
        <f>IF(AND(P$15="Actual",ISBLANK($E$8)),SUMIFS('[1]NS Vendor Details'!$D:$D,'[1]NS Vendor Details'!$H:$H,'G&amp;A Vendor x GL Analysis'!P$20,'[1]NS Vendor Details'!$L:$L,'G&amp;A Vendor x GL Analysis'!$D194,'[1]NS Vendor Details'!$O:$O,'G&amp;A Vendor x GL Analysis'!$F194,'[1]NS Vendor Details'!$N:$N,'G&amp;A Vendor x GL Analysis'!$C194),IF(P$15="Actual",SUMIFS('[1]NS Vendor Details'!$D:$D,'[1]NS Vendor Details'!$H:$H,'G&amp;A Vendor x GL Analysis'!P$20,'[1]NS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4142.3799999999992</v>
      </c>
      <c r="Q194" s="17">
        <f>IF(AND(Q$15="Actual",ISBLANK($E$8)),SUMIFS('[1]NS Vendor Details'!$D:$D,'[1]NS Vendor Details'!$H:$H,'G&amp;A Vendor x GL Analysis'!Q$20,'[1]NS Vendor Details'!$L:$L,'G&amp;A Vendor x GL Analysis'!$D194,'[1]NS Vendor Details'!$O:$O,'G&amp;A Vendor x GL Analysis'!$F194,'[1]NS Vendor Details'!$N:$N,'G&amp;A Vendor x GL Analysis'!$C194),IF(Q$15="Actual",SUMIFS('[1]NS Vendor Details'!$D:$D,'[1]NS Vendor Details'!$H:$H,'G&amp;A Vendor x GL Analysis'!Q$20,'[1]NS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4299.84</v>
      </c>
      <c r="R194" s="18">
        <f>IF(AND(R$15="Actual",ISBLANK($E$8)),SUMIFS('[1]NS Vendor Details'!$D:$D,'[1]NS Vendor Details'!$H:$H,'G&amp;A Vendor x GL Analysis'!R$20,'[1]NS Vendor Details'!$L:$L,'G&amp;A Vendor x GL Analysis'!$D194,'[1]NS Vendor Details'!$O:$O,'G&amp;A Vendor x GL Analysis'!$F194,'[1]NS Vendor Details'!$N:$N,'G&amp;A Vendor x GL Analysis'!$C194),IF(R$15="Actual",SUMIFS('[1]NS Vendor Details'!$D:$D,'[1]NS Vendor Details'!$H:$H,'G&amp;A Vendor x GL Analysis'!R$20,'[1]NS Vendor Details'!$L:$L,'G&amp;A Vendor x GL Analysis'!$D194,'[1]NS Vendor Details'!$O:$O,'G&amp;A Vendor x GL Analysis'!$F194,'[1]NS Vendor Details'!$N:$N,'G&amp;A Vendor x GL Analysis'!$C194,'[1]NS Vendor Details'!$K:$K,'G&amp;A Vendor x GL Analysis'!$E$8),0))</f>
        <v>4318.51</v>
      </c>
      <c r="S194" s="16">
        <f>IF(AND(S$15="Actual",ISBLANK($E$8)),SUMIFS('[1]NS Vendor Details'!$D:$D,'[1]NS Vendor Details'!$H:$H,'G&amp;A Vendor x GL Analysis'!S$20,'[1]NS Vendor Details'!$L:$L,'G&amp;A Vendor x GL Analysis'!$D194,'[1]NS Vendor Details'!$O:$O,'G&amp;A Vendor x GL Analysis'!$F194,'[1]NS Vendor Details'!$N:$N,'G&amp;A Vendor x GL Analysis'!$C194,'[1]NS Vendor Details'!$I:$I,'G&amp;A Vendor x GL Analysis'!$E194),IF(S$15="Actual",SUMIFS('[1]NS Vendor Details'!$D:$D,'[1]NS Vendor Details'!$H:$H,'G&amp;A Vendor x GL Analysis'!S$20,'[1]NS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T194" s="17">
        <f>IF(AND(T$15="Actual",ISBLANK($E$8)),SUMIFS('[1]NS Vendor Details'!$D:$D,'[1]NS Vendor Details'!$H:$H,'G&amp;A Vendor x GL Analysis'!T$20,'[1]NS Vendor Details'!$L:$L,'G&amp;A Vendor x GL Analysis'!$D194,'[1]NS Vendor Details'!$O:$O,'G&amp;A Vendor x GL Analysis'!$F194,'[1]NS Vendor Details'!$N:$N,'G&amp;A Vendor x GL Analysis'!$C194,'[1]NS Vendor Details'!$I:$I,'G&amp;A Vendor x GL Analysis'!$E194),IF(T$15="Actual",SUMIFS('[1]NS Vendor Details'!$D:$D,'[1]NS Vendor Details'!$H:$H,'G&amp;A Vendor x GL Analysis'!T$20,'[1]NS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U194" s="17">
        <f>IF(AND(U$15="Actual",ISBLANK($E$8)),SUMIFS('[1]NS Vendor Details'!$D:$D,'[1]NS Vendor Details'!$H:$H,'G&amp;A Vendor x GL Analysis'!U$20,'[1]NS Vendor Details'!$L:$L,'G&amp;A Vendor x GL Analysis'!$D194,'[1]NS Vendor Details'!$O:$O,'G&amp;A Vendor x GL Analysis'!$F194,'[1]NS Vendor Details'!$N:$N,'G&amp;A Vendor x GL Analysis'!$C194,'[1]NS Vendor Details'!$I:$I,'G&amp;A Vendor x GL Analysis'!$E194),IF(U$15="Actual",SUMIFS('[1]NS Vendor Details'!$D:$D,'[1]NS Vendor Details'!$H:$H,'G&amp;A Vendor x GL Analysis'!U$20,'[1]NS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V194" s="17">
        <f>IF(AND(V$15="Actual",ISBLANK($E$8)),SUMIFS('[1]NS Vendor Details'!$D:$D,'[1]NS Vendor Details'!$H:$H,'G&amp;A Vendor x GL Analysis'!V$20,'[1]NS Vendor Details'!$L:$L,'G&amp;A Vendor x GL Analysis'!$D194,'[1]NS Vendor Details'!$O:$O,'G&amp;A Vendor x GL Analysis'!$F194,'[1]NS Vendor Details'!$N:$N,'G&amp;A Vendor x GL Analysis'!$C194,'[1]NS Vendor Details'!$I:$I,'G&amp;A Vendor x GL Analysis'!$E194),IF(V$15="Actual",SUMIFS('[1]NS Vendor Details'!$D:$D,'[1]NS Vendor Details'!$H:$H,'G&amp;A Vendor x GL Analysis'!V$20,'[1]NS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W194" s="17">
        <f>IF(AND(W$15="Actual",ISBLANK($E$8)),SUMIFS('[1]NS Vendor Details'!$D:$D,'[1]NS Vendor Details'!$H:$H,'G&amp;A Vendor x GL Analysis'!W$20,'[1]NS Vendor Details'!$L:$L,'G&amp;A Vendor x GL Analysis'!$D194,'[1]NS Vendor Details'!$O:$O,'G&amp;A Vendor x GL Analysis'!$F194,'[1]NS Vendor Details'!$N:$N,'G&amp;A Vendor x GL Analysis'!$C194,'[1]NS Vendor Details'!$I:$I,'G&amp;A Vendor x GL Analysis'!$E194),IF(W$15="Actual",SUMIFS('[1]NS Vendor Details'!$D:$D,'[1]NS Vendor Details'!$H:$H,'G&amp;A Vendor x GL Analysis'!W$20,'[1]NS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X194" s="17">
        <f>IF(AND(X$15="Actual",ISBLANK($E$8)),SUMIFS('[1]NS Vendor Details'!$D:$D,'[1]NS Vendor Details'!$H:$H,'G&amp;A Vendor x GL Analysis'!X$20,'[1]NS Vendor Details'!$L:$L,'G&amp;A Vendor x GL Analysis'!$D194,'[1]NS Vendor Details'!$O:$O,'G&amp;A Vendor x GL Analysis'!$F194,'[1]NS Vendor Details'!$N:$N,'G&amp;A Vendor x GL Analysis'!$C194,'[1]NS Vendor Details'!$I:$I,'G&amp;A Vendor x GL Analysis'!$E194),IF(X$15="Actual",SUMIFS('[1]NS Vendor Details'!$D:$D,'[1]NS Vendor Details'!$H:$H,'G&amp;A Vendor x GL Analysis'!X$20,'[1]NS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Y194" s="17">
        <f>IF(AND(Y$15="Actual",ISBLANK($E$8)),SUMIFS('[1]NS Vendor Details'!$D:$D,'[1]NS Vendor Details'!$H:$H,'G&amp;A Vendor x GL Analysis'!Y$20,'[1]NS Vendor Details'!$L:$L,'G&amp;A Vendor x GL Analysis'!$D194,'[1]NS Vendor Details'!$O:$O,'G&amp;A Vendor x GL Analysis'!$F194,'[1]NS Vendor Details'!$N:$N,'G&amp;A Vendor x GL Analysis'!$C194,'[1]NS Vendor Details'!$I:$I,'G&amp;A Vendor x GL Analysis'!$E194),IF(Y$15="Actual",SUMIFS('[1]NS Vendor Details'!$D:$D,'[1]NS Vendor Details'!$H:$H,'G&amp;A Vendor x GL Analysis'!Y$20,'[1]NS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Z194" s="17">
        <f>IF(AND(Z$15="Actual",ISBLANK($E$8)),SUMIFS('[1]NS Vendor Details'!$D:$D,'[1]NS Vendor Details'!$H:$H,'G&amp;A Vendor x GL Analysis'!Z$20,'[1]NS Vendor Details'!$L:$L,'G&amp;A Vendor x GL Analysis'!$D194,'[1]NS Vendor Details'!$O:$O,'G&amp;A Vendor x GL Analysis'!$F194,'[1]NS Vendor Details'!$N:$N,'G&amp;A Vendor x GL Analysis'!$C194,'[1]NS Vendor Details'!$I:$I,'G&amp;A Vendor x GL Analysis'!$E194),IF(Z$15="Actual",SUMIFS('[1]NS Vendor Details'!$D:$D,'[1]NS Vendor Details'!$H:$H,'G&amp;A Vendor x GL Analysis'!Z$20,'[1]NS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AA194" s="17">
        <f>IF(AND(AA$15="Actual",ISBLANK($E$8)),SUMIFS('[1]NS Vendor Details'!$D:$D,'[1]NS Vendor Details'!$H:$H,'G&amp;A Vendor x GL Analysis'!AA$20,'[1]NS Vendor Details'!$L:$L,'G&amp;A Vendor x GL Analysis'!$D194,'[1]NS Vendor Details'!$O:$O,'G&amp;A Vendor x GL Analysis'!$F194,'[1]NS Vendor Details'!$N:$N,'G&amp;A Vendor x GL Analysis'!$C194,'[1]NS Vendor Details'!$I:$I,'G&amp;A Vendor x GL Analysis'!$E194),IF(AA$15="Actual",SUMIFS('[1]NS Vendor Details'!$D:$D,'[1]NS Vendor Details'!$H:$H,'G&amp;A Vendor x GL Analysis'!AA$20,'[1]NS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AB194" s="17">
        <f>IF(AND(AB$15="Actual",ISBLANK($E$8)),SUMIFS('[1]NS Vendor Details'!$D:$D,'[1]NS Vendor Details'!$H:$H,'G&amp;A Vendor x GL Analysis'!AB$20,'[1]NS Vendor Details'!$L:$L,'G&amp;A Vendor x GL Analysis'!$D194,'[1]NS Vendor Details'!$O:$O,'G&amp;A Vendor x GL Analysis'!$F194,'[1]NS Vendor Details'!$N:$N,'G&amp;A Vendor x GL Analysis'!$C194,'[1]NS Vendor Details'!$I:$I,'G&amp;A Vendor x GL Analysis'!$E194),IF(AB$15="Actual",SUMIFS('[1]NS Vendor Details'!$D:$D,'[1]NS Vendor Details'!$H:$H,'G&amp;A Vendor x GL Analysis'!AB$20,'[1]NS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AC194" s="18">
        <f>IF(AND(AC$15="Actual",ISBLANK($E$8)),SUMIFS('[1]NS Vendor Details'!$D:$D,'[1]NS Vendor Details'!$H:$H,'G&amp;A Vendor x GL Analysis'!AC$20,'[1]NS Vendor Details'!$L:$L,'G&amp;A Vendor x GL Analysis'!$D194,'[1]NS Vendor Details'!$O:$O,'G&amp;A Vendor x GL Analysis'!$F194,'[1]NS Vendor Details'!$N:$N,'G&amp;A Vendor x GL Analysis'!$C194,'[1]NS Vendor Details'!$I:$I,'G&amp;A Vendor x GL Analysis'!$E194),IF(AC$15="Actual",SUMIFS('[1]NS Vendor Details'!$D:$D,'[1]NS Vendor Details'!$H:$H,'G&amp;A Vendor x GL Analysis'!AC$20,'[1]NS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1954.72</v>
      </c>
      <c r="AD194" s="18">
        <f>IF(AND(AD$15="Actual",ISBLANK($E$8)),SUMIFS('[1]NS Vendor Details'!$D:$D,'[1]NS Vendor Details'!$H:$H,'G&amp;A Vendor x GL Analysis'!AD$20,'[1]NS Vendor Details'!$L:$L,'G&amp;A Vendor x GL Analysis'!$D194,'[1]NS Vendor Details'!$O:$O,'G&amp;A Vendor x GL Analysis'!$F194,'[1]NS Vendor Details'!$N:$N,'G&amp;A Vendor x GL Analysis'!$C194,'[1]NS Vendor Details'!$I:$I,'G&amp;A Vendor x GL Analysis'!$E194),IF(AD$15="Actual",SUMIFS('[1]NS Vendor Details'!$D:$D,'[1]NS Vendor Details'!$H:$H,'G&amp;A Vendor x GL Analysis'!AD$20,'[1]NS Vendor Details'!$L:$L,'G&amp;A Vendor x GL Analysis'!$D194,'[1]NS Vendor Details'!$O:$O,'G&amp;A Vendor x GL Analysis'!$F194,'[1]NS Vendor Details'!$N:$N,'G&amp;A Vendor x GL Analysis'!$C194,'[1]NS Vendor Details'!$K:$K,'G&amp;A Vendor x GL Analysis'!$E$8,'[1]NS Vendor Details'!$I:$I,'G&amp;A Vendor x GL Analysis'!$E194),0))</f>
        <v>0</v>
      </c>
      <c r="AF194" s="19">
        <f t="shared" si="29"/>
        <v>21501.920000000002</v>
      </c>
    </row>
    <row r="195" spans="1:32" ht="15">
      <c r="E195" s="21" t="s">
        <v>180</v>
      </c>
      <c r="F195" s="21"/>
      <c r="G195" s="22">
        <f t="shared" ref="G195:AD195" si="33">SUMIFS(G:G,$B:$B,"x")</f>
        <v>236882.64</v>
      </c>
      <c r="H195" s="23">
        <f t="shared" si="33"/>
        <v>282615.63</v>
      </c>
      <c r="I195" s="23">
        <f t="shared" si="33"/>
        <v>-61591.619999999908</v>
      </c>
      <c r="J195" s="23">
        <f t="shared" si="33"/>
        <v>514590.60000000003</v>
      </c>
      <c r="K195" s="23">
        <f t="shared" si="33"/>
        <v>444704.66000000003</v>
      </c>
      <c r="L195" s="23">
        <f t="shared" si="33"/>
        <v>407525.83</v>
      </c>
      <c r="M195" s="23">
        <f t="shared" si="33"/>
        <v>449960.90000000008</v>
      </c>
      <c r="N195" s="23">
        <f t="shared" si="33"/>
        <v>573044.91999999993</v>
      </c>
      <c r="O195" s="23">
        <f t="shared" si="33"/>
        <v>136678.12999999992</v>
      </c>
      <c r="P195" s="23">
        <f t="shared" si="33"/>
        <v>373687.98999999993</v>
      </c>
      <c r="Q195" s="23">
        <f t="shared" si="33"/>
        <v>467350.63000000012</v>
      </c>
      <c r="R195" s="24">
        <f t="shared" si="33"/>
        <v>3467372.2600000002</v>
      </c>
      <c r="S195" s="22">
        <f t="shared" si="33"/>
        <v>251025.23999999996</v>
      </c>
      <c r="T195" s="23">
        <f t="shared" si="33"/>
        <v>202972.47</v>
      </c>
      <c r="U195" s="23">
        <f t="shared" si="33"/>
        <v>327695.17999999993</v>
      </c>
      <c r="V195" s="23">
        <f t="shared" si="33"/>
        <v>204085.57</v>
      </c>
      <c r="W195" s="23">
        <f t="shared" si="33"/>
        <v>332506.81999999995</v>
      </c>
      <c r="X195" s="23">
        <f t="shared" si="33"/>
        <v>258561.91999999998</v>
      </c>
      <c r="Y195" s="23">
        <f t="shared" si="33"/>
        <v>218750.48000000004</v>
      </c>
      <c r="Z195" s="23">
        <f t="shared" si="33"/>
        <v>262890.64</v>
      </c>
      <c r="AA195" s="23">
        <f t="shared" si="33"/>
        <v>184290.26000000004</v>
      </c>
      <c r="AB195" s="23">
        <f t="shared" si="33"/>
        <v>252712.13999999998</v>
      </c>
      <c r="AC195" s="24">
        <f t="shared" si="33"/>
        <v>206385.43000000002</v>
      </c>
      <c r="AD195" s="24">
        <f t="shared" si="33"/>
        <v>0</v>
      </c>
      <c r="AF195" s="20">
        <f t="shared" si="29"/>
        <v>2701876.1500000004</v>
      </c>
    </row>
    <row r="196" spans="1:32" ht="15">
      <c r="E196" s="25" t="s">
        <v>181</v>
      </c>
      <c r="F196" s="25"/>
      <c r="G196" s="26">
        <f>G195-'[1]STO P&amp;L'!F70</f>
        <v>128985.99</v>
      </c>
      <c r="H196" s="26">
        <f>H195-'[1]STO P&amp;L'!G70</f>
        <v>119295.41</v>
      </c>
      <c r="I196" s="26">
        <f>I195-'[1]STO P&amp;L'!H70</f>
        <v>-238936.78999999986</v>
      </c>
      <c r="J196" s="26">
        <f>J195-'[1]STO P&amp;L'!I70</f>
        <v>326173.49</v>
      </c>
      <c r="K196" s="26">
        <f>K195-'[1]STO P&amp;L'!J70</f>
        <v>214924.00000000003</v>
      </c>
      <c r="L196" s="26">
        <f>L195-'[1]STO P&amp;L'!K70</f>
        <v>243928.23000000004</v>
      </c>
      <c r="M196" s="26">
        <f>M195-'[1]STO P&amp;L'!L70</f>
        <v>168082.78000000009</v>
      </c>
      <c r="N196" s="26">
        <f>N195-'[1]STO P&amp;L'!M70</f>
        <v>332755.04999999993</v>
      </c>
      <c r="O196" s="26">
        <f>O195-'[1]STO P&amp;L'!N70</f>
        <v>-2401.490000000078</v>
      </c>
      <c r="P196" s="26">
        <f>P195-'[1]STO P&amp;L'!O70</f>
        <v>131465.18999999994</v>
      </c>
      <c r="Q196" s="26">
        <f>Q195-'[1]STO P&amp;L'!P70</f>
        <v>180640.48000000004</v>
      </c>
      <c r="R196" s="26">
        <f>R195-'[1]STO P&amp;L'!Q70</f>
        <v>2738732.17</v>
      </c>
      <c r="S196" s="26">
        <f>S195-'[1]STO P&amp;L'!R70</f>
        <v>0</v>
      </c>
      <c r="T196" s="26">
        <f>T195-'[1]STO P&amp;L'!S70</f>
        <v>0</v>
      </c>
      <c r="U196" s="26">
        <f>U195-'[1]STO P&amp;L'!T70</f>
        <v>0</v>
      </c>
      <c r="V196" s="26">
        <f>V195-'[1]STO P&amp;L'!U70</f>
        <v>0</v>
      </c>
      <c r="W196" s="26">
        <f>W195-'[1]STO P&amp;L'!V70</f>
        <v>0</v>
      </c>
      <c r="X196" s="26">
        <f>X195-'[1]STO P&amp;L'!W70</f>
        <v>0</v>
      </c>
      <c r="Y196" s="26">
        <f>Y195-'[1]STO P&amp;L'!X70</f>
        <v>0</v>
      </c>
      <c r="Z196" s="26">
        <f>Z195-'[1]STO P&amp;L'!Y70</f>
        <v>0</v>
      </c>
      <c r="AA196" s="26">
        <f>AA195-'[1]STO P&amp;L'!Z70</f>
        <v>-6994.3699999999953</v>
      </c>
      <c r="AB196" s="26">
        <f>AB195-'[1]STO P&amp;L'!AA70</f>
        <v>-29386.700000000041</v>
      </c>
      <c r="AC196" s="26"/>
      <c r="AD196" s="26"/>
      <c r="AF196" s="17"/>
    </row>
    <row r="197" spans="1:32">
      <c r="S197" s="17">
        <f>S195-'[1]G&amp;A Analysis'!R70</f>
        <v>0</v>
      </c>
      <c r="T197" s="17">
        <f>T195-'[1]G&amp;A Analysis'!S70</f>
        <v>0</v>
      </c>
      <c r="U197" s="17">
        <f>U195-'[1]G&amp;A Analysis'!T70</f>
        <v>0</v>
      </c>
      <c r="V197" s="17">
        <f>V195-'[1]G&amp;A Analysis'!U70</f>
        <v>0</v>
      </c>
      <c r="W197" s="17">
        <f>W195-'[1]G&amp;A Analysis'!V70</f>
        <v>0</v>
      </c>
      <c r="X197" s="17">
        <f>X195-'[1]G&amp;A Analysis'!W70</f>
        <v>0</v>
      </c>
      <c r="Y197" s="17">
        <f>Y195-'[1]G&amp;A Analysis'!X70</f>
        <v>0</v>
      </c>
      <c r="Z197" s="17">
        <f>Z195-'[1]G&amp;A Analysis'!Y70</f>
        <v>0</v>
      </c>
      <c r="AA197" s="17">
        <f>AA195-'[1]G&amp;A Analysis'!Z70</f>
        <v>-6994.3699999999953</v>
      </c>
      <c r="AB197" s="17">
        <f>AB195-'[1]G&amp;A Analysis'!AA70</f>
        <v>-29386.700000000041</v>
      </c>
      <c r="AC197" s="17"/>
    </row>
    <row r="199" spans="1:32" ht="15">
      <c r="F199" s="9" t="s">
        <v>10</v>
      </c>
      <c r="S199" s="17">
        <f>S21-'[1]G&amp;A Analysis'!R21</f>
        <v>0</v>
      </c>
      <c r="T199" s="17">
        <f>T21-'[1]G&amp;A Analysis'!S21</f>
        <v>0</v>
      </c>
      <c r="U199" s="17">
        <f>U21-'[1]G&amp;A Analysis'!T21</f>
        <v>0</v>
      </c>
      <c r="V199" s="17">
        <f>V21-'[1]G&amp;A Analysis'!U21</f>
        <v>0</v>
      </c>
      <c r="W199" s="17">
        <f>W21-'[1]G&amp;A Analysis'!V21</f>
        <v>0</v>
      </c>
      <c r="X199" s="17">
        <f>X21-'[1]G&amp;A Analysis'!W21</f>
        <v>0</v>
      </c>
      <c r="Y199" s="17">
        <f>Y21-'[1]G&amp;A Analysis'!X21</f>
        <v>0</v>
      </c>
      <c r="Z199" s="17">
        <f>Z21-'[1]G&amp;A Analysis'!Y21</f>
        <v>0</v>
      </c>
      <c r="AA199" s="17">
        <f>AA21-'[1]G&amp;A Analysis'!Z21</f>
        <v>0</v>
      </c>
      <c r="AB199" s="17">
        <f>AB21-'[1]G&amp;A Analysis'!AA21</f>
        <v>-24692.950000000004</v>
      </c>
      <c r="AC199" s="17"/>
    </row>
    <row r="200" spans="1:32" ht="15">
      <c r="F200" s="9" t="s">
        <v>30</v>
      </c>
      <c r="G200" s="17"/>
      <c r="S200" s="17">
        <f>S37-'[1]G&amp;A Analysis'!R30</f>
        <v>0</v>
      </c>
      <c r="T200" s="17">
        <f>T37-'[1]G&amp;A Analysis'!S30</f>
        <v>0</v>
      </c>
      <c r="U200" s="17">
        <f>U37-'[1]G&amp;A Analysis'!T30</f>
        <v>0</v>
      </c>
      <c r="V200" s="17">
        <f>V37-'[1]G&amp;A Analysis'!U30</f>
        <v>0</v>
      </c>
      <c r="W200" s="17">
        <f>W37-'[1]G&amp;A Analysis'!V30</f>
        <v>0</v>
      </c>
      <c r="X200" s="17">
        <f>X37-'[1]G&amp;A Analysis'!W30</f>
        <v>0</v>
      </c>
      <c r="Y200" s="17">
        <f>Y37-'[1]G&amp;A Analysis'!X30</f>
        <v>0</v>
      </c>
      <c r="Z200" s="17">
        <f>Z37-'[1]G&amp;A Analysis'!Y30</f>
        <v>0</v>
      </c>
      <c r="AA200" s="17">
        <f>AA37-'[1]G&amp;A Analysis'!Z30</f>
        <v>0</v>
      </c>
      <c r="AB200" s="17">
        <f>AB37-'[1]G&amp;A Analysis'!AA30</f>
        <v>0</v>
      </c>
      <c r="AC200" s="17"/>
    </row>
    <row r="201" spans="1:32" ht="15">
      <c r="F201" s="9" t="s">
        <v>43</v>
      </c>
      <c r="G201" s="17"/>
      <c r="S201" s="17">
        <f>S52-'[1]G&amp;A Analysis'!R39</f>
        <v>0</v>
      </c>
      <c r="T201" s="17">
        <f>T52-'[1]G&amp;A Analysis'!S39</f>
        <v>0</v>
      </c>
      <c r="U201" s="17">
        <f>U52-'[1]G&amp;A Analysis'!T39</f>
        <v>0</v>
      </c>
      <c r="V201" s="17">
        <f>V52-'[1]G&amp;A Analysis'!U39</f>
        <v>0</v>
      </c>
      <c r="W201" s="17">
        <f>W52-'[1]G&amp;A Analysis'!V39</f>
        <v>0</v>
      </c>
      <c r="X201" s="17">
        <f>X52-'[1]G&amp;A Analysis'!W39</f>
        <v>0</v>
      </c>
      <c r="Y201" s="17">
        <f>Y52-'[1]G&amp;A Analysis'!X39</f>
        <v>0</v>
      </c>
      <c r="Z201" s="17">
        <f>Z52-'[1]G&amp;A Analysis'!Y39</f>
        <v>0</v>
      </c>
      <c r="AA201" s="17">
        <f>AA52-'[1]G&amp;A Analysis'!Z39</f>
        <v>0</v>
      </c>
      <c r="AB201" s="17">
        <f>AB52-'[1]G&amp;A Analysis'!AA39</f>
        <v>0</v>
      </c>
      <c r="AC201" s="17"/>
    </row>
    <row r="202" spans="1:32" ht="15">
      <c r="F202" s="9" t="s">
        <v>49</v>
      </c>
      <c r="G202" s="17"/>
      <c r="S202" s="17">
        <f>S58-'[1]G&amp;A Analysis'!R42</f>
        <v>0</v>
      </c>
      <c r="T202" s="17">
        <f>T58-'[1]G&amp;A Analysis'!S42</f>
        <v>0</v>
      </c>
      <c r="U202" s="17">
        <f>U58-'[1]G&amp;A Analysis'!T42</f>
        <v>0</v>
      </c>
      <c r="V202" s="17">
        <f>V58-'[1]G&amp;A Analysis'!U42</f>
        <v>0</v>
      </c>
      <c r="W202" s="17">
        <f>W58-'[1]G&amp;A Analysis'!V42</f>
        <v>0</v>
      </c>
      <c r="X202" s="17">
        <f>X58-'[1]G&amp;A Analysis'!W42</f>
        <v>0</v>
      </c>
      <c r="Y202" s="17">
        <f>Y58-'[1]G&amp;A Analysis'!X42</f>
        <v>0</v>
      </c>
      <c r="Z202" s="17">
        <f>Z58-'[1]G&amp;A Analysis'!Y42</f>
        <v>0</v>
      </c>
      <c r="AA202" s="17">
        <f>AA58-'[1]G&amp;A Analysis'!Z42</f>
        <v>0</v>
      </c>
      <c r="AB202" s="17">
        <f>AB58-'[1]G&amp;A Analysis'!AA42</f>
        <v>-2628.8800000000047</v>
      </c>
      <c r="AC202" s="17"/>
    </row>
    <row r="203" spans="1:32" ht="15">
      <c r="F203" s="9" t="s">
        <v>68</v>
      </c>
      <c r="G203" s="17"/>
      <c r="S203" s="27">
        <f>S77-'[1]G&amp;A Analysis'!R47</f>
        <v>0</v>
      </c>
      <c r="T203" s="27">
        <f>T77-'[1]G&amp;A Analysis'!S47</f>
        <v>0</v>
      </c>
      <c r="U203" s="27">
        <f>U77-'[1]G&amp;A Analysis'!T47</f>
        <v>0</v>
      </c>
      <c r="V203" s="27">
        <f>V77-'[1]G&amp;A Analysis'!U47</f>
        <v>0</v>
      </c>
      <c r="W203" s="17">
        <f>W77-'[1]G&amp;A Analysis'!V47</f>
        <v>0</v>
      </c>
      <c r="X203" s="17">
        <f>X77-'[1]G&amp;A Analysis'!W47</f>
        <v>0</v>
      </c>
      <c r="Y203" s="17">
        <f>Y77-'[1]G&amp;A Analysis'!X47</f>
        <v>0</v>
      </c>
      <c r="Z203" s="17">
        <f>Z77-'[1]G&amp;A Analysis'!Y47</f>
        <v>0</v>
      </c>
      <c r="AA203" s="17">
        <f>AA77-'[1]G&amp;A Analysis'!Z47</f>
        <v>-6994.3699999999953</v>
      </c>
      <c r="AB203" s="17">
        <f>AB77-'[1]G&amp;A Analysis'!AA47</f>
        <v>-10986.809999999983</v>
      </c>
      <c r="AC203" s="17"/>
    </row>
    <row r="204" spans="1:32" ht="15">
      <c r="F204" s="9" t="s">
        <v>152</v>
      </c>
      <c r="G204" s="17"/>
      <c r="S204" s="17">
        <f>S163-'[1]G&amp;A Analysis'!R57</f>
        <v>0</v>
      </c>
      <c r="T204" s="17">
        <f>T163-'[1]G&amp;A Analysis'!S57</f>
        <v>0</v>
      </c>
      <c r="U204" s="17">
        <f>U163-'[1]G&amp;A Analysis'!T57</f>
        <v>0</v>
      </c>
      <c r="V204" s="17">
        <f>V163-'[1]G&amp;A Analysis'!U57</f>
        <v>0</v>
      </c>
      <c r="W204" s="17">
        <f>W163-'[1]G&amp;A Analysis'!V57</f>
        <v>0</v>
      </c>
      <c r="X204" s="17">
        <f>X163-'[1]G&amp;A Analysis'!W57</f>
        <v>0</v>
      </c>
      <c r="Y204" s="17">
        <f>Y163-'[1]G&amp;A Analysis'!X57</f>
        <v>0</v>
      </c>
      <c r="Z204" s="17">
        <f>Z163-'[1]G&amp;A Analysis'!Y57</f>
        <v>0</v>
      </c>
      <c r="AA204" s="17">
        <f>AA163-'[1]G&amp;A Analysis'!Z57</f>
        <v>0</v>
      </c>
      <c r="AB204" s="17">
        <f>AB163-'[1]G&amp;A Analysis'!AA57</f>
        <v>8921.9399999999987</v>
      </c>
      <c r="AC204" s="17"/>
    </row>
    <row r="205" spans="1:32" ht="15">
      <c r="F205" s="9" t="s">
        <v>175</v>
      </c>
      <c r="G205" s="17"/>
      <c r="S205" s="17">
        <f>S190-'[1]G&amp;A Analysis'!R65</f>
        <v>0</v>
      </c>
      <c r="T205" s="17">
        <f>T190-'[1]G&amp;A Analysis'!S65</f>
        <v>0</v>
      </c>
      <c r="U205" s="17">
        <f>U190-'[1]G&amp;A Analysis'!T65</f>
        <v>0</v>
      </c>
      <c r="V205" s="17">
        <f>V190-'[1]G&amp;A Analysis'!U65</f>
        <v>0</v>
      </c>
      <c r="W205" s="17">
        <f>W190-'[1]G&amp;A Analysis'!V65</f>
        <v>0</v>
      </c>
      <c r="X205" s="17">
        <f>X190-'[1]G&amp;A Analysis'!W65</f>
        <v>0</v>
      </c>
      <c r="Y205" s="17">
        <f>Y190-'[1]G&amp;A Analysis'!X65</f>
        <v>0</v>
      </c>
      <c r="Z205" s="17">
        <f>Z190-'[1]G&amp;A Analysis'!Y65</f>
        <v>0</v>
      </c>
      <c r="AA205" s="17">
        <f>AA190-'[1]G&amp;A Analysis'!Z65</f>
        <v>0</v>
      </c>
      <c r="AB205" s="17">
        <f>AB190-'[1]G&amp;A Analysis'!AA65</f>
        <v>0</v>
      </c>
      <c r="AC205" s="17"/>
    </row>
    <row r="206" spans="1:32">
      <c r="G206" s="17"/>
    </row>
  </sheetData>
  <autoFilter ref="AF20:AF195" xr:uid="{54F59606-2E2E-4A05-B829-A8D7915B8BA0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1F36-2C9D-460C-B9CD-7B4997D79CF1}">
  <dimension ref="A3:G53"/>
  <sheetViews>
    <sheetView topLeftCell="A27" zoomScale="115" zoomScaleNormal="115" workbookViewId="0">
      <selection activeCell="A3" sqref="A3:G53"/>
    </sheetView>
  </sheetViews>
  <sheetFormatPr defaultRowHeight="16.5"/>
  <cols>
    <col min="1" max="1" width="50.125" bestFit="1" customWidth="1"/>
    <col min="2" max="7" width="18.625" bestFit="1" customWidth="1"/>
  </cols>
  <sheetData>
    <row r="3" spans="1:7">
      <c r="A3" s="30" t="s">
        <v>182</v>
      </c>
      <c r="B3" t="s">
        <v>233</v>
      </c>
      <c r="C3" t="s">
        <v>234</v>
      </c>
      <c r="D3" t="s">
        <v>235</v>
      </c>
      <c r="E3" t="s">
        <v>185</v>
      </c>
      <c r="F3" t="s">
        <v>236</v>
      </c>
      <c r="G3" t="s">
        <v>187</v>
      </c>
    </row>
    <row r="4" spans="1:7">
      <c r="A4" s="31" t="s">
        <v>10</v>
      </c>
      <c r="B4" s="29">
        <v>118210.21</v>
      </c>
      <c r="C4" s="29">
        <v>70499.5</v>
      </c>
      <c r="D4" s="29">
        <v>122283.39</v>
      </c>
      <c r="E4" s="29">
        <v>53581.1</v>
      </c>
      <c r="F4" s="29">
        <v>60412.22</v>
      </c>
      <c r="G4" s="29">
        <v>87353.459999999992</v>
      </c>
    </row>
    <row r="5" spans="1:7">
      <c r="A5" s="32" t="s">
        <v>12</v>
      </c>
      <c r="B5" s="29">
        <v>53258.43</v>
      </c>
      <c r="C5" s="29">
        <v>42097.45</v>
      </c>
      <c r="D5" s="29">
        <v>81263.75</v>
      </c>
      <c r="E5" s="29">
        <v>40291.67</v>
      </c>
      <c r="F5" s="29">
        <v>40291.67</v>
      </c>
      <c r="G5" s="29">
        <v>60996.67</v>
      </c>
    </row>
    <row r="6" spans="1:7">
      <c r="A6" s="32" t="s">
        <v>194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</row>
    <row r="7" spans="1:7">
      <c r="A7" s="32" t="s">
        <v>17</v>
      </c>
      <c r="B7" s="29">
        <v>0</v>
      </c>
      <c r="C7" s="29">
        <v>-107.59999999999854</v>
      </c>
      <c r="D7" s="29">
        <v>0</v>
      </c>
      <c r="E7" s="29">
        <v>0</v>
      </c>
      <c r="F7" s="29">
        <v>0</v>
      </c>
      <c r="G7" s="29">
        <v>0</v>
      </c>
    </row>
    <row r="8" spans="1:7">
      <c r="A8" s="32" t="s">
        <v>20</v>
      </c>
      <c r="B8" s="29">
        <v>1666.67</v>
      </c>
      <c r="C8" s="29">
        <v>1666.66</v>
      </c>
      <c r="D8" s="29">
        <v>0</v>
      </c>
      <c r="E8" s="29">
        <v>0</v>
      </c>
      <c r="F8" s="29">
        <v>3333.33</v>
      </c>
      <c r="G8" s="29">
        <v>2500.0100000000002</v>
      </c>
    </row>
    <row r="9" spans="1:7">
      <c r="A9" s="32" t="s">
        <v>21</v>
      </c>
      <c r="B9" s="29">
        <v>52909.75</v>
      </c>
      <c r="C9" s="29">
        <v>12846.029999999999</v>
      </c>
      <c r="D9" s="29">
        <v>22779.69</v>
      </c>
      <c r="E9" s="29">
        <v>12363.11</v>
      </c>
      <c r="F9" s="29">
        <v>10850.15</v>
      </c>
      <c r="G9" s="29">
        <v>9524.9</v>
      </c>
    </row>
    <row r="10" spans="1:7">
      <c r="A10" s="32" t="s">
        <v>19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</row>
    <row r="11" spans="1:7">
      <c r="A11" s="32" t="s">
        <v>23</v>
      </c>
      <c r="B11" s="29">
        <v>7440</v>
      </c>
      <c r="C11" s="29">
        <v>1500</v>
      </c>
      <c r="D11" s="29">
        <v>840</v>
      </c>
      <c r="E11" s="29">
        <v>330</v>
      </c>
      <c r="F11" s="29">
        <v>4980</v>
      </c>
      <c r="G11" s="29">
        <v>10562.7</v>
      </c>
    </row>
    <row r="12" spans="1:7">
      <c r="A12" s="32" t="s">
        <v>29</v>
      </c>
      <c r="B12" s="29">
        <v>2935.36</v>
      </c>
      <c r="C12" s="29">
        <v>12496.96</v>
      </c>
      <c r="D12" s="29">
        <v>17399.95</v>
      </c>
      <c r="E12" s="29">
        <v>596.32000000000005</v>
      </c>
      <c r="F12" s="29">
        <v>957.07</v>
      </c>
      <c r="G12" s="29">
        <v>3769.18</v>
      </c>
    </row>
    <row r="13" spans="1:7">
      <c r="A13" s="31" t="s">
        <v>175</v>
      </c>
      <c r="B13" s="29">
        <v>4311.46</v>
      </c>
      <c r="C13" s="29">
        <v>4317.45</v>
      </c>
      <c r="D13" s="29">
        <v>-269.20999999999981</v>
      </c>
      <c r="E13" s="29">
        <v>5350.1600000000008</v>
      </c>
      <c r="F13" s="29">
        <v>3896.96</v>
      </c>
      <c r="G13" s="29">
        <v>3952.9399999999996</v>
      </c>
    </row>
    <row r="14" spans="1:7">
      <c r="A14" s="32" t="s">
        <v>176</v>
      </c>
      <c r="B14" s="29">
        <v>29.98</v>
      </c>
      <c r="C14" s="29">
        <v>29.98</v>
      </c>
      <c r="D14" s="29">
        <v>8.69</v>
      </c>
      <c r="E14" s="29">
        <v>51.269999999999996</v>
      </c>
      <c r="F14" s="29">
        <v>29.98</v>
      </c>
      <c r="G14" s="29">
        <v>29.98</v>
      </c>
    </row>
    <row r="15" spans="1:7">
      <c r="A15" s="32" t="s">
        <v>177</v>
      </c>
      <c r="B15" s="29">
        <v>508.41999999999996</v>
      </c>
      <c r="C15" s="29">
        <v>514.41</v>
      </c>
      <c r="D15" s="29">
        <v>-1647.6499999999999</v>
      </c>
      <c r="E15" s="29">
        <v>754.27</v>
      </c>
      <c r="F15" s="29">
        <v>401.33000000000004</v>
      </c>
      <c r="G15" s="29">
        <v>401.33000000000004</v>
      </c>
    </row>
    <row r="16" spans="1:7">
      <c r="A16" s="32" t="s">
        <v>178</v>
      </c>
      <c r="B16" s="29">
        <v>1818.34</v>
      </c>
      <c r="C16" s="29">
        <v>1818.34</v>
      </c>
      <c r="D16" s="29">
        <v>-584.97</v>
      </c>
      <c r="E16" s="29">
        <v>2589.9000000000005</v>
      </c>
      <c r="F16" s="29">
        <v>1510.9299999999998</v>
      </c>
      <c r="G16" s="29">
        <v>1566.9099999999999</v>
      </c>
    </row>
    <row r="17" spans="1:7">
      <c r="A17" s="32" t="s">
        <v>179</v>
      </c>
      <c r="B17" s="29">
        <v>1954.72</v>
      </c>
      <c r="C17" s="29">
        <v>1954.72</v>
      </c>
      <c r="D17" s="29">
        <v>1954.72</v>
      </c>
      <c r="E17" s="29">
        <v>1954.72</v>
      </c>
      <c r="F17" s="29">
        <v>1954.72</v>
      </c>
      <c r="G17" s="29">
        <v>1954.72</v>
      </c>
    </row>
    <row r="18" spans="1:7">
      <c r="A18" s="31" t="s">
        <v>152</v>
      </c>
      <c r="B18" s="29">
        <v>8123.0500000000011</v>
      </c>
      <c r="C18" s="29">
        <v>12141.339999999997</v>
      </c>
      <c r="D18" s="29">
        <v>97426.2</v>
      </c>
      <c r="E18" s="29">
        <v>6880.8899999999994</v>
      </c>
      <c r="F18" s="29">
        <v>11079.789999999997</v>
      </c>
      <c r="G18" s="29">
        <v>24721.01</v>
      </c>
    </row>
    <row r="19" spans="1:7">
      <c r="A19" s="32" t="s">
        <v>153</v>
      </c>
      <c r="B19" s="29">
        <v>3190.34</v>
      </c>
      <c r="C19" s="29">
        <v>1914.9899999999996</v>
      </c>
      <c r="D19" s="29">
        <v>2325.0699999999997</v>
      </c>
      <c r="E19" s="29">
        <v>1261.3100000000002</v>
      </c>
      <c r="F19" s="29">
        <v>2056.7099999999996</v>
      </c>
      <c r="G19" s="29">
        <v>3554.3400000000006</v>
      </c>
    </row>
    <row r="20" spans="1:7">
      <c r="A20" s="32" t="s">
        <v>162</v>
      </c>
      <c r="B20" s="29">
        <v>4207.8200000000006</v>
      </c>
      <c r="C20" s="29">
        <v>9544.4599999999973</v>
      </c>
      <c r="D20" s="29">
        <v>7310.71</v>
      </c>
      <c r="E20" s="29">
        <v>5829.23</v>
      </c>
      <c r="F20" s="29">
        <v>8477.3899999999976</v>
      </c>
      <c r="G20" s="29">
        <v>7034.02</v>
      </c>
    </row>
    <row r="21" spans="1:7">
      <c r="A21" s="32" t="s">
        <v>159</v>
      </c>
      <c r="B21" s="29">
        <v>724.89</v>
      </c>
      <c r="C21" s="29">
        <v>681.8900000000001</v>
      </c>
      <c r="D21" s="29">
        <v>635.91</v>
      </c>
      <c r="E21" s="29">
        <v>595.87999999999988</v>
      </c>
      <c r="F21" s="29">
        <v>545.69000000000005</v>
      </c>
      <c r="G21" s="29">
        <v>560.13000000000011</v>
      </c>
    </row>
    <row r="22" spans="1:7">
      <c r="A22" s="32" t="s">
        <v>199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</row>
    <row r="23" spans="1:7">
      <c r="A23" s="32" t="s">
        <v>172</v>
      </c>
      <c r="B23" s="29">
        <v>0</v>
      </c>
      <c r="C23" s="29">
        <v>0</v>
      </c>
      <c r="D23" s="29">
        <v>48758.99</v>
      </c>
      <c r="E23" s="29">
        <v>-774.1</v>
      </c>
      <c r="F23" s="29">
        <v>0</v>
      </c>
      <c r="G23" s="29">
        <v>4797</v>
      </c>
    </row>
    <row r="24" spans="1:7">
      <c r="A24" s="32" t="s">
        <v>173</v>
      </c>
      <c r="B24" s="29">
        <v>0</v>
      </c>
      <c r="C24" s="29">
        <v>0</v>
      </c>
      <c r="D24" s="29">
        <v>37845.520000000004</v>
      </c>
      <c r="E24" s="29">
        <v>0</v>
      </c>
      <c r="F24" s="29">
        <v>0</v>
      </c>
      <c r="G24" s="29">
        <v>8775.5199999999968</v>
      </c>
    </row>
    <row r="25" spans="1:7">
      <c r="A25" s="32" t="s">
        <v>174</v>
      </c>
      <c r="B25" s="29">
        <v>0</v>
      </c>
      <c r="C25" s="29">
        <v>0</v>
      </c>
      <c r="D25" s="29">
        <v>550</v>
      </c>
      <c r="E25" s="29">
        <v>-31.43</v>
      </c>
      <c r="F25" s="29">
        <v>0</v>
      </c>
      <c r="G25" s="29">
        <v>0</v>
      </c>
    </row>
    <row r="26" spans="1:7">
      <c r="A26" s="31" t="s">
        <v>68</v>
      </c>
      <c r="B26" s="29">
        <v>52659.669999999991</v>
      </c>
      <c r="C26" s="29">
        <v>81730.59</v>
      </c>
      <c r="D26" s="29">
        <v>56640.989999999991</v>
      </c>
      <c r="E26" s="29">
        <v>89562.29</v>
      </c>
      <c r="F26" s="29">
        <v>218381.12000000005</v>
      </c>
      <c r="G26" s="29">
        <v>111685.52</v>
      </c>
    </row>
    <row r="27" spans="1:7">
      <c r="A27" s="32" t="s">
        <v>71</v>
      </c>
      <c r="B27" s="29">
        <v>0</v>
      </c>
      <c r="C27" s="29">
        <v>25000</v>
      </c>
      <c r="D27" s="29">
        <v>0</v>
      </c>
      <c r="E27" s="29">
        <v>0</v>
      </c>
      <c r="F27" s="29">
        <v>146750</v>
      </c>
      <c r="G27" s="29">
        <v>12164.55</v>
      </c>
    </row>
    <row r="28" spans="1:7">
      <c r="A28" s="32" t="s">
        <v>75</v>
      </c>
      <c r="B28" s="29">
        <v>11642</v>
      </c>
      <c r="C28" s="29">
        <v>13442</v>
      </c>
      <c r="D28" s="29">
        <v>14692</v>
      </c>
      <c r="E28" s="29">
        <v>39099.800000000003</v>
      </c>
      <c r="F28" s="29">
        <v>28123.7</v>
      </c>
      <c r="G28" s="29">
        <v>44351.23</v>
      </c>
    </row>
    <row r="29" spans="1:7">
      <c r="A29" s="32" t="s">
        <v>87</v>
      </c>
      <c r="B29" s="29">
        <v>4437.6400000000003</v>
      </c>
      <c r="C29" s="29">
        <v>4698.4399999999996</v>
      </c>
      <c r="D29" s="29">
        <v>4592.47</v>
      </c>
      <c r="E29" s="29">
        <v>4168.1899999999996</v>
      </c>
      <c r="F29" s="29">
        <v>5746.2</v>
      </c>
      <c r="G29" s="29">
        <v>4413.1600000000008</v>
      </c>
    </row>
    <row r="30" spans="1:7">
      <c r="A30" s="32" t="s">
        <v>90</v>
      </c>
      <c r="B30" s="29">
        <v>18594.900000000001</v>
      </c>
      <c r="C30" s="29">
        <v>13290.98</v>
      </c>
      <c r="D30" s="29">
        <v>10926.149999999998</v>
      </c>
      <c r="E30" s="29">
        <v>28683.82</v>
      </c>
      <c r="F30" s="29">
        <v>11204.66</v>
      </c>
      <c r="G30" s="29">
        <v>27295.379999999997</v>
      </c>
    </row>
    <row r="31" spans="1:7">
      <c r="A31" s="32" t="s">
        <v>98</v>
      </c>
      <c r="B31" s="29">
        <v>545.05999999999995</v>
      </c>
      <c r="C31" s="29">
        <v>845.91999999999985</v>
      </c>
      <c r="D31" s="29">
        <v>4887.2499999999982</v>
      </c>
      <c r="E31" s="29">
        <v>4110.880000000001</v>
      </c>
      <c r="F31" s="29">
        <v>5153.8600000000006</v>
      </c>
      <c r="G31" s="29">
        <v>4381.5900000000011</v>
      </c>
    </row>
    <row r="32" spans="1:7">
      <c r="A32" s="32" t="s">
        <v>101</v>
      </c>
      <c r="B32" s="29">
        <v>13340.019999999999</v>
      </c>
      <c r="C32" s="29">
        <v>21354.210000000003</v>
      </c>
      <c r="D32" s="29">
        <v>14734.519999999999</v>
      </c>
      <c r="E32" s="29">
        <v>11925.679999999998</v>
      </c>
      <c r="F32" s="29">
        <v>20698.439999999999</v>
      </c>
      <c r="G32" s="29">
        <v>17983.479999999996</v>
      </c>
    </row>
    <row r="33" spans="1:7">
      <c r="A33" s="32" t="s">
        <v>143</v>
      </c>
      <c r="B33" s="29">
        <v>567.24</v>
      </c>
      <c r="C33" s="29">
        <v>567.20000000000005</v>
      </c>
      <c r="D33" s="29">
        <v>328</v>
      </c>
      <c r="E33" s="29">
        <v>328</v>
      </c>
      <c r="F33" s="29">
        <v>328</v>
      </c>
      <c r="G33" s="29">
        <v>328</v>
      </c>
    </row>
    <row r="34" spans="1:7">
      <c r="A34" s="32" t="s">
        <v>198</v>
      </c>
      <c r="B34" s="29">
        <v>0</v>
      </c>
      <c r="C34" s="29">
        <v>0</v>
      </c>
      <c r="D34" s="29">
        <v>0</v>
      </c>
      <c r="E34" s="29">
        <v>0</v>
      </c>
      <c r="F34" s="29">
        <v>0</v>
      </c>
      <c r="G34" s="29">
        <v>0</v>
      </c>
    </row>
    <row r="35" spans="1:7">
      <c r="A35" s="32" t="s">
        <v>145</v>
      </c>
      <c r="B35" s="29">
        <v>3532.81</v>
      </c>
      <c r="C35" s="29">
        <v>2531.84</v>
      </c>
      <c r="D35" s="29">
        <v>6480.6</v>
      </c>
      <c r="E35" s="29">
        <v>1245.92</v>
      </c>
      <c r="F35" s="29">
        <v>376.26</v>
      </c>
      <c r="G35" s="29">
        <v>768.13</v>
      </c>
    </row>
    <row r="36" spans="1:7">
      <c r="A36" s="31" t="s">
        <v>43</v>
      </c>
      <c r="B36" s="29">
        <v>24649.53</v>
      </c>
      <c r="C36" s="29">
        <v>24651.739999999998</v>
      </c>
      <c r="D36" s="29">
        <v>24653.989999999998</v>
      </c>
      <c r="E36" s="29">
        <v>24656.17</v>
      </c>
      <c r="F36" s="29">
        <v>24658.39</v>
      </c>
      <c r="G36" s="29">
        <v>24660.63</v>
      </c>
    </row>
    <row r="37" spans="1:7">
      <c r="A37" s="32" t="s">
        <v>46</v>
      </c>
      <c r="B37" s="29">
        <v>134.48000000000002</v>
      </c>
      <c r="C37" s="29">
        <v>134.48000000000002</v>
      </c>
      <c r="D37" s="29">
        <v>134.48000000000002</v>
      </c>
      <c r="E37" s="29">
        <v>134.48000000000002</v>
      </c>
      <c r="F37" s="29">
        <v>134.48000000000002</v>
      </c>
      <c r="G37" s="29">
        <v>134.48000000000002</v>
      </c>
    </row>
    <row r="38" spans="1:7">
      <c r="A38" s="32" t="s">
        <v>48</v>
      </c>
      <c r="B38" s="29">
        <v>24515.05</v>
      </c>
      <c r="C38" s="29">
        <v>24517.26</v>
      </c>
      <c r="D38" s="29">
        <v>24519.51</v>
      </c>
      <c r="E38" s="29">
        <v>24521.69</v>
      </c>
      <c r="F38" s="29">
        <v>24523.91</v>
      </c>
      <c r="G38" s="29">
        <v>24526.15</v>
      </c>
    </row>
    <row r="39" spans="1:7">
      <c r="A39" s="31" t="s">
        <v>49</v>
      </c>
      <c r="B39" s="29">
        <v>38117.17</v>
      </c>
      <c r="C39" s="29">
        <v>5126.67</v>
      </c>
      <c r="D39" s="29">
        <v>3228.46</v>
      </c>
      <c r="E39" s="29">
        <v>19361.090000000004</v>
      </c>
      <c r="F39" s="29">
        <v>2318.4700000000007</v>
      </c>
      <c r="G39" s="29">
        <v>4924.2300000000005</v>
      </c>
    </row>
    <row r="40" spans="1:7">
      <c r="A40" s="32" t="s">
        <v>50</v>
      </c>
      <c r="B40" s="29">
        <v>2643.63</v>
      </c>
      <c r="C40" s="29">
        <v>0</v>
      </c>
      <c r="D40" s="29">
        <v>144</v>
      </c>
      <c r="E40" s="29">
        <v>0</v>
      </c>
      <c r="F40" s="29">
        <v>0</v>
      </c>
      <c r="G40" s="29">
        <v>0</v>
      </c>
    </row>
    <row r="41" spans="1:7">
      <c r="A41" s="32" t="s">
        <v>54</v>
      </c>
      <c r="B41" s="29">
        <v>1500</v>
      </c>
      <c r="C41" s="29">
        <v>300</v>
      </c>
      <c r="D41" s="29">
        <v>2000</v>
      </c>
      <c r="E41" s="29">
        <v>0</v>
      </c>
      <c r="F41" s="29">
        <v>400</v>
      </c>
      <c r="G41" s="29">
        <v>1700</v>
      </c>
    </row>
    <row r="42" spans="1:7">
      <c r="A42" s="32" t="s">
        <v>58</v>
      </c>
      <c r="B42" s="29">
        <v>33542.5</v>
      </c>
      <c r="C42" s="29">
        <v>3493.5699999999997</v>
      </c>
      <c r="D42" s="29">
        <v>0</v>
      </c>
      <c r="E42" s="29">
        <v>4151.25</v>
      </c>
      <c r="F42" s="29">
        <v>0</v>
      </c>
      <c r="G42" s="29">
        <v>0</v>
      </c>
    </row>
    <row r="43" spans="1:7">
      <c r="A43" s="32" t="s">
        <v>61</v>
      </c>
      <c r="B43" s="29">
        <v>431.04</v>
      </c>
      <c r="C43" s="29">
        <v>1333.1</v>
      </c>
      <c r="D43" s="29">
        <v>1084.46</v>
      </c>
      <c r="E43" s="29">
        <v>15209.840000000002</v>
      </c>
      <c r="F43" s="29">
        <v>1918.4700000000007</v>
      </c>
      <c r="G43" s="29">
        <v>3224.2300000000005</v>
      </c>
    </row>
    <row r="44" spans="1:7">
      <c r="A44" s="31" t="s">
        <v>30</v>
      </c>
      <c r="B44" s="29">
        <v>4954.1500000000005</v>
      </c>
      <c r="C44" s="29">
        <v>4505.18</v>
      </c>
      <c r="D44" s="29">
        <v>23731.360000000001</v>
      </c>
      <c r="E44" s="29">
        <v>4693.8700000000008</v>
      </c>
      <c r="F44" s="29">
        <v>11759.87</v>
      </c>
      <c r="G44" s="29">
        <v>1264.1300000000001</v>
      </c>
    </row>
    <row r="45" spans="1:7">
      <c r="A45" s="32" t="s">
        <v>195</v>
      </c>
      <c r="B45" s="29">
        <v>0</v>
      </c>
      <c r="C45" s="29">
        <v>0</v>
      </c>
      <c r="D45" s="29">
        <v>0</v>
      </c>
      <c r="E45" s="29">
        <v>0</v>
      </c>
      <c r="F45" s="29">
        <v>0</v>
      </c>
      <c r="G45" s="29">
        <v>0</v>
      </c>
    </row>
    <row r="46" spans="1:7">
      <c r="A46" s="32" t="s">
        <v>31</v>
      </c>
      <c r="B46" s="29">
        <v>2540.3900000000003</v>
      </c>
      <c r="C46" s="29">
        <v>1876.06</v>
      </c>
      <c r="D46" s="29">
        <v>1421.08</v>
      </c>
      <c r="E46" s="29">
        <v>708.14999999999986</v>
      </c>
      <c r="F46" s="29">
        <v>2527.6500000000005</v>
      </c>
      <c r="G46" s="29">
        <v>952.22000000000014</v>
      </c>
    </row>
    <row r="47" spans="1:7">
      <c r="A47" s="32" t="s">
        <v>36</v>
      </c>
      <c r="B47" s="29">
        <v>0</v>
      </c>
      <c r="C47" s="29">
        <v>466.96</v>
      </c>
      <c r="D47" s="29">
        <v>19161.610000000004</v>
      </c>
      <c r="E47" s="29">
        <v>0</v>
      </c>
      <c r="F47" s="29">
        <v>3300.1900000000005</v>
      </c>
      <c r="G47" s="29">
        <v>0</v>
      </c>
    </row>
    <row r="48" spans="1:7">
      <c r="A48" s="32" t="s">
        <v>38</v>
      </c>
      <c r="B48" s="29">
        <v>1249.9000000000001</v>
      </c>
      <c r="C48" s="29">
        <v>1122.3599999999999</v>
      </c>
      <c r="D48" s="29">
        <v>1897.46</v>
      </c>
      <c r="E48" s="29">
        <v>3186.57</v>
      </c>
      <c r="F48" s="29">
        <v>5027.9199999999992</v>
      </c>
      <c r="G48" s="29">
        <v>0</v>
      </c>
    </row>
    <row r="49" spans="1:7">
      <c r="A49" s="32" t="s">
        <v>40</v>
      </c>
      <c r="B49" s="29">
        <v>1163.8600000000004</v>
      </c>
      <c r="C49" s="29">
        <v>1034.8000000000002</v>
      </c>
      <c r="D49" s="29">
        <v>954.93</v>
      </c>
      <c r="E49" s="29">
        <v>579.0200000000001</v>
      </c>
      <c r="F49" s="29">
        <v>828.67000000000007</v>
      </c>
      <c r="G49" s="29">
        <v>311.91000000000003</v>
      </c>
    </row>
    <row r="50" spans="1:7">
      <c r="A50" s="32" t="s">
        <v>196</v>
      </c>
      <c r="B50" s="29">
        <v>0</v>
      </c>
      <c r="C50" s="29">
        <v>0</v>
      </c>
      <c r="D50" s="29">
        <v>0</v>
      </c>
      <c r="E50" s="29">
        <v>0</v>
      </c>
      <c r="F50" s="29">
        <v>0</v>
      </c>
      <c r="G50" s="29">
        <v>0</v>
      </c>
    </row>
    <row r="51" spans="1:7">
      <c r="A51" s="32" t="s">
        <v>197</v>
      </c>
      <c r="B51" s="29">
        <v>0</v>
      </c>
      <c r="C51" s="29">
        <v>0</v>
      </c>
      <c r="D51" s="29">
        <v>0</v>
      </c>
      <c r="E51" s="29">
        <v>0</v>
      </c>
      <c r="F51" s="29">
        <v>0</v>
      </c>
      <c r="G51" s="29">
        <v>0</v>
      </c>
    </row>
    <row r="52" spans="1:7">
      <c r="A52" s="32" t="s">
        <v>42</v>
      </c>
      <c r="B52" s="29">
        <v>0</v>
      </c>
      <c r="C52" s="29">
        <v>5</v>
      </c>
      <c r="D52" s="29">
        <v>296.27999999999997</v>
      </c>
      <c r="E52" s="29">
        <v>220.13</v>
      </c>
      <c r="F52" s="29">
        <v>75.44</v>
      </c>
      <c r="G52" s="29">
        <v>0</v>
      </c>
    </row>
    <row r="53" spans="1:7">
      <c r="A53" s="31" t="s">
        <v>183</v>
      </c>
      <c r="B53" s="29">
        <v>251025.24</v>
      </c>
      <c r="C53" s="29">
        <v>202972.47</v>
      </c>
      <c r="D53" s="29">
        <v>327695.18000000005</v>
      </c>
      <c r="E53" s="29">
        <v>204085.57</v>
      </c>
      <c r="F53" s="29">
        <v>332506.81999999995</v>
      </c>
      <c r="G53" s="29">
        <v>258561.92000000001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AD5E-5DA2-4347-AB6E-FD874ECEEEF2}">
  <dimension ref="B2:I34"/>
  <sheetViews>
    <sheetView tabSelected="1" workbookViewId="0">
      <selection activeCell="C5" sqref="C5"/>
    </sheetView>
  </sheetViews>
  <sheetFormatPr defaultColWidth="30" defaultRowHeight="16.5"/>
  <cols>
    <col min="1" max="1" width="21.625" customWidth="1"/>
    <col min="2" max="3" width="43.875" customWidth="1"/>
  </cols>
  <sheetData>
    <row r="2" spans="2:9">
      <c r="B2" s="29" t="s">
        <v>182</v>
      </c>
      <c r="C2" s="29" t="s">
        <v>200</v>
      </c>
      <c r="D2" s="29" t="s">
        <v>233</v>
      </c>
      <c r="E2" s="29" t="s">
        <v>234</v>
      </c>
      <c r="F2" s="29" t="s">
        <v>235</v>
      </c>
      <c r="G2" s="29" t="s">
        <v>185</v>
      </c>
      <c r="H2" s="29" t="s">
        <v>236</v>
      </c>
      <c r="I2" s="29" t="s">
        <v>187</v>
      </c>
    </row>
    <row r="3" spans="2:9">
      <c r="B3" s="29" t="s">
        <v>10</v>
      </c>
      <c r="C3" s="29" t="str">
        <f>+VLOOKUP(B3,그룹핑마스터!$B$13:$C$44,2,0)</f>
        <v>영업비_광고선전비</v>
      </c>
      <c r="D3" s="29">
        <v>118210.21</v>
      </c>
      <c r="E3" s="29">
        <v>70499.5</v>
      </c>
      <c r="F3" s="29">
        <v>122283.39</v>
      </c>
      <c r="G3" s="29">
        <v>53581.1</v>
      </c>
      <c r="H3" s="29">
        <v>60412.22</v>
      </c>
      <c r="I3" s="29">
        <v>87353.459999999992</v>
      </c>
    </row>
    <row r="4" spans="2:9">
      <c r="B4" s="29" t="s">
        <v>12</v>
      </c>
      <c r="C4" s="29" t="str">
        <f>+VLOOKUP(B4,그룹핑마스터!$B$13:$C$44,2,0)</f>
        <v>영업비_광고선전비_Photography</v>
      </c>
      <c r="D4" s="29">
        <v>53258.43</v>
      </c>
      <c r="E4" s="29">
        <v>42097.45</v>
      </c>
      <c r="F4" s="29">
        <v>81263.75</v>
      </c>
      <c r="G4" s="29">
        <v>40291.67</v>
      </c>
      <c r="H4" s="29">
        <v>40291.67</v>
      </c>
      <c r="I4" s="29">
        <v>60996.67</v>
      </c>
    </row>
    <row r="5" spans="2:9">
      <c r="B5" s="29" t="s">
        <v>20</v>
      </c>
      <c r="C5" s="29" t="str">
        <f>+VLOOKUP(B5,그룹핑마스터!$B$13:$C$44,2,0)</f>
        <v>영업비_광고선전비_Advertising</v>
      </c>
      <c r="D5" s="29">
        <v>1666.67</v>
      </c>
      <c r="E5" s="29">
        <v>1666.66</v>
      </c>
      <c r="F5" s="29">
        <v>0</v>
      </c>
      <c r="G5" s="29">
        <v>0</v>
      </c>
      <c r="H5" s="29">
        <v>3333.33</v>
      </c>
      <c r="I5" s="29">
        <v>2500.0100000000002</v>
      </c>
    </row>
    <row r="6" spans="2:9">
      <c r="B6" s="29" t="s">
        <v>21</v>
      </c>
      <c r="C6" s="29" t="str">
        <f>+VLOOKUP(B6,그룹핑마스터!$B$13:$C$44,2,0)</f>
        <v>영업비_광고선전비_SEM브랜드마케팅</v>
      </c>
      <c r="D6" s="29">
        <v>52909.75</v>
      </c>
      <c r="E6" s="29">
        <v>12846.029999999999</v>
      </c>
      <c r="F6" s="29">
        <v>22779.69</v>
      </c>
      <c r="G6" s="29">
        <v>12363.11</v>
      </c>
      <c r="H6" s="29">
        <v>10850.15</v>
      </c>
      <c r="I6" s="29">
        <v>9524.9</v>
      </c>
    </row>
    <row r="7" spans="2:9">
      <c r="B7" s="29" t="s">
        <v>19</v>
      </c>
      <c r="C7" s="29" t="str">
        <f>+VLOOKUP(B7,그룹핑마스터!$B$13:$C$44,2,0)</f>
        <v>영업비_광고선전비_Events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</row>
    <row r="8" spans="2:9">
      <c r="B8" s="29" t="s">
        <v>23</v>
      </c>
      <c r="C8" s="29" t="str">
        <f>+VLOOKUP(B8,그룹핑마스터!$B$13:$C$44,2,0)</f>
        <v>영업비_광고선전비_Model</v>
      </c>
      <c r="D8" s="29">
        <v>7440</v>
      </c>
      <c r="E8" s="29">
        <v>1500</v>
      </c>
      <c r="F8" s="29">
        <v>840</v>
      </c>
      <c r="G8" s="29">
        <v>330</v>
      </c>
      <c r="H8" s="29">
        <v>4980</v>
      </c>
      <c r="I8" s="29">
        <v>10562.7</v>
      </c>
    </row>
    <row r="9" spans="2:9">
      <c r="B9" s="29" t="s">
        <v>29</v>
      </c>
      <c r="C9" s="29" t="str">
        <f>+VLOOKUP(B9,그룹핑마스터!$B$13:$C$44,2,0)</f>
        <v>영업비_광고선전비_Seeding</v>
      </c>
      <c r="D9" s="29">
        <v>2935.36</v>
      </c>
      <c r="E9" s="29">
        <v>12496.96</v>
      </c>
      <c r="F9" s="29">
        <v>17399.95</v>
      </c>
      <c r="G9" s="29">
        <v>596.32000000000005</v>
      </c>
      <c r="H9" s="29">
        <v>957.07</v>
      </c>
      <c r="I9" s="29">
        <v>3769.18</v>
      </c>
    </row>
    <row r="10" spans="2:9">
      <c r="B10" s="29" t="s">
        <v>175</v>
      </c>
      <c r="C10" s="29" t="str">
        <f>+VLOOKUP(B10,그룹핑마스터!$B$13:$C$44,2,0)</f>
        <v>영업비_감가상각비</v>
      </c>
      <c r="D10" s="29">
        <v>4311.46</v>
      </c>
      <c r="E10" s="29">
        <v>4317.45</v>
      </c>
      <c r="F10" s="29">
        <v>-269.20999999999981</v>
      </c>
      <c r="G10" s="29">
        <v>5350.1600000000008</v>
      </c>
      <c r="H10" s="29">
        <v>3896.96</v>
      </c>
      <c r="I10" s="29">
        <v>3952.9399999999996</v>
      </c>
    </row>
    <row r="11" spans="2:9">
      <c r="B11" s="29" t="s">
        <v>152</v>
      </c>
      <c r="C11" s="29" t="str">
        <f>+VLOOKUP(B11,그룹핑마스터!$B$13:$C$44,2,0)</f>
        <v>영업비_기타비용</v>
      </c>
      <c r="D11" s="29">
        <v>8123.0500000000011</v>
      </c>
      <c r="E11" s="29">
        <v>12141.339999999997</v>
      </c>
      <c r="F11" s="29">
        <v>97426.2</v>
      </c>
      <c r="G11" s="29">
        <v>6880.8899999999994</v>
      </c>
      <c r="H11" s="29">
        <v>11079.789999999997</v>
      </c>
      <c r="I11" s="29">
        <v>24721.01</v>
      </c>
    </row>
    <row r="12" spans="2:9">
      <c r="B12" s="29" t="s">
        <v>153</v>
      </c>
      <c r="C12" s="29" t="str">
        <f>+VLOOKUP(B12,그룹핑마스터!$B$13:$C$44,2,0)</f>
        <v>영업비_기타비용_기타버퍼비용</v>
      </c>
      <c r="D12" s="29">
        <v>3190.34</v>
      </c>
      <c r="E12" s="29">
        <v>1914.9899999999996</v>
      </c>
      <c r="F12" s="29">
        <v>2325.0699999999997</v>
      </c>
      <c r="G12" s="29">
        <v>1261.3100000000002</v>
      </c>
      <c r="H12" s="29">
        <v>2056.7099999999996</v>
      </c>
      <c r="I12" s="29">
        <v>3554.3400000000006</v>
      </c>
    </row>
    <row r="13" spans="2:9">
      <c r="B13" s="29" t="s">
        <v>162</v>
      </c>
      <c r="C13" s="29" t="str">
        <f>+VLOOKUP(B13,그룹핑마스터!$B$13:$C$44,2,0)</f>
        <v>영업비_기타비용_수도광열비</v>
      </c>
      <c r="D13" s="29">
        <v>4207.8200000000006</v>
      </c>
      <c r="E13" s="29">
        <v>9544.4599999999973</v>
      </c>
      <c r="F13" s="29">
        <v>7310.71</v>
      </c>
      <c r="G13" s="29">
        <v>5829.23</v>
      </c>
      <c r="H13" s="29">
        <v>8477.3899999999976</v>
      </c>
      <c r="I13" s="29">
        <v>7034.02</v>
      </c>
    </row>
    <row r="14" spans="2:9">
      <c r="B14" s="29" t="s">
        <v>159</v>
      </c>
      <c r="C14" s="29" t="str">
        <f>+VLOOKUP(B14,그룹핑마스터!$B$13:$C$44,2,0)</f>
        <v>영업비_기타비용_매출채널외운반비</v>
      </c>
      <c r="D14" s="29">
        <v>724.89</v>
      </c>
      <c r="E14" s="29">
        <v>681.8900000000001</v>
      </c>
      <c r="F14" s="29">
        <v>635.91</v>
      </c>
      <c r="G14" s="29">
        <v>595.87999999999988</v>
      </c>
      <c r="H14" s="29">
        <v>545.69000000000005</v>
      </c>
      <c r="I14" s="29">
        <v>560.13000000000011</v>
      </c>
    </row>
    <row r="15" spans="2:9">
      <c r="B15" s="29" t="s">
        <v>199</v>
      </c>
      <c r="C15" s="29" t="str">
        <f>+VLOOKUP(B15,그룹핑마스터!$B$13:$C$44,2,0)</f>
        <v>영업비_기타비용_전화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2:9">
      <c r="B16" s="29" t="s">
        <v>172</v>
      </c>
      <c r="C16" s="29" t="str">
        <f>+VLOOKUP(B16,그룹핑마스터!$B$13:$C$44,2,0)</f>
        <v>영업비_기타비용_대손상각비</v>
      </c>
      <c r="D16" s="29">
        <v>0</v>
      </c>
      <c r="E16" s="29">
        <v>0</v>
      </c>
      <c r="F16" s="29">
        <v>48758.99</v>
      </c>
      <c r="G16" s="29">
        <v>-774.1</v>
      </c>
      <c r="H16" s="29">
        <v>0</v>
      </c>
      <c r="I16" s="29">
        <v>4797</v>
      </c>
    </row>
    <row r="17" spans="2:9">
      <c r="B17" s="29" t="s">
        <v>173</v>
      </c>
      <c r="C17" s="29" t="str">
        <f>+VLOOKUP(B17,그룹핑마스터!$B$13:$C$44,2,0)</f>
        <v>영업비_기타비용_재고평가감</v>
      </c>
      <c r="D17" s="29">
        <v>0</v>
      </c>
      <c r="E17" s="29">
        <v>0</v>
      </c>
      <c r="F17" s="29">
        <v>37845.520000000004</v>
      </c>
      <c r="G17" s="29">
        <v>0</v>
      </c>
      <c r="H17" s="29">
        <v>0</v>
      </c>
      <c r="I17" s="29">
        <v>8775.5199999999968</v>
      </c>
    </row>
    <row r="18" spans="2:9">
      <c r="B18" s="29" t="s">
        <v>174</v>
      </c>
      <c r="C18" s="29" t="str">
        <f>+VLOOKUP(B18,그룹핑마스터!$B$13:$C$44,2,0)</f>
        <v>영업비_기타비용_세금과공과</v>
      </c>
      <c r="D18" s="29">
        <v>0</v>
      </c>
      <c r="E18" s="29">
        <v>0</v>
      </c>
      <c r="F18" s="29">
        <v>550</v>
      </c>
      <c r="G18" s="29">
        <v>-31.43</v>
      </c>
      <c r="H18" s="29">
        <v>0</v>
      </c>
      <c r="I18" s="29">
        <v>0</v>
      </c>
    </row>
    <row r="19" spans="2:9">
      <c r="B19" s="29" t="s">
        <v>68</v>
      </c>
      <c r="C19" s="29" t="str">
        <f>+VLOOKUP(B19,그룹핑마스터!$B$13:$C$44,2,0)</f>
        <v>영업비_지급수수료</v>
      </c>
      <c r="D19" s="29">
        <v>52659.669999999991</v>
      </c>
      <c r="E19" s="29">
        <v>81730.59</v>
      </c>
      <c r="F19" s="29">
        <v>56640.989999999991</v>
      </c>
      <c r="G19" s="29">
        <v>89562.29</v>
      </c>
      <c r="H19" s="29">
        <v>218381.12000000005</v>
      </c>
      <c r="I19" s="29">
        <v>111685.52</v>
      </c>
    </row>
    <row r="20" spans="2:9">
      <c r="B20" s="29" t="s">
        <v>71</v>
      </c>
      <c r="C20" s="29" t="str">
        <f>+VLOOKUP(B20,그룹핑마스터!$B$13:$C$44,2,0)</f>
        <v>영업비_지급수수료_리크루팅서비스</v>
      </c>
      <c r="D20" s="29">
        <v>0</v>
      </c>
      <c r="E20" s="29">
        <v>25000</v>
      </c>
      <c r="F20" s="29">
        <v>0</v>
      </c>
      <c r="G20" s="29">
        <v>0</v>
      </c>
      <c r="H20" s="29">
        <v>146750</v>
      </c>
      <c r="I20" s="29">
        <v>12164.55</v>
      </c>
    </row>
    <row r="21" spans="2:9">
      <c r="B21" s="29" t="s">
        <v>75</v>
      </c>
      <c r="C21" s="29" t="str">
        <f>+VLOOKUP(B21,그룹핑마스터!$B$13:$C$44,2,0)</f>
        <v>영업비_지급수수료_페이롤서비스</v>
      </c>
      <c r="D21" s="29">
        <v>11642</v>
      </c>
      <c r="E21" s="29">
        <v>13442</v>
      </c>
      <c r="F21" s="29">
        <v>14692</v>
      </c>
      <c r="G21" s="29">
        <v>39099.800000000003</v>
      </c>
      <c r="H21" s="29">
        <v>28123.7</v>
      </c>
      <c r="I21" s="29">
        <v>44351.23</v>
      </c>
    </row>
    <row r="22" spans="2:9">
      <c r="B22" s="29" t="s">
        <v>87</v>
      </c>
      <c r="C22" s="29" t="str">
        <f>+VLOOKUP(B22,그룹핑마스터!$B$13:$C$44,2,0)</f>
        <v>영업비_지급수수료_회계법률서비스</v>
      </c>
      <c r="D22" s="29">
        <v>4437.6400000000003</v>
      </c>
      <c r="E22" s="29">
        <v>4698.4399999999996</v>
      </c>
      <c r="F22" s="29">
        <v>4592.47</v>
      </c>
      <c r="G22" s="29">
        <v>4168.1899999999996</v>
      </c>
      <c r="H22" s="29">
        <v>5746.2</v>
      </c>
      <c r="I22" s="29">
        <v>4413.1600000000008</v>
      </c>
    </row>
    <row r="23" spans="2:9">
      <c r="B23" s="29" t="s">
        <v>90</v>
      </c>
      <c r="C23" s="29" t="str">
        <f>+VLOOKUP(B23,그룹핑마스터!$B$13:$C$44,2,0)</f>
        <v>영업비_지급수수료_전문용역비</v>
      </c>
      <c r="D23" s="29">
        <v>18594.900000000001</v>
      </c>
      <c r="E23" s="29">
        <v>13290.98</v>
      </c>
      <c r="F23" s="29">
        <v>10926.149999999998</v>
      </c>
      <c r="G23" s="29">
        <v>28683.82</v>
      </c>
      <c r="H23" s="29">
        <v>11204.66</v>
      </c>
      <c r="I23" s="29">
        <v>27295.379999999997</v>
      </c>
    </row>
    <row r="24" spans="2:9">
      <c r="B24" s="29" t="s">
        <v>98</v>
      </c>
      <c r="C24" s="29" t="str">
        <f>+VLOOKUP(B24,그룹핑마스터!$B$13:$C$44,2,0)</f>
        <v>영업비_지급수수료_보험료</v>
      </c>
      <c r="D24" s="29">
        <v>545.05999999999995</v>
      </c>
      <c r="E24" s="29">
        <v>845.91999999999985</v>
      </c>
      <c r="F24" s="29">
        <v>4887.2499999999982</v>
      </c>
      <c r="G24" s="29">
        <v>4110.880000000001</v>
      </c>
      <c r="H24" s="29">
        <v>5153.8600000000006</v>
      </c>
      <c r="I24" s="29">
        <v>4381.5900000000011</v>
      </c>
    </row>
    <row r="25" spans="2:9">
      <c r="B25" s="29" t="s">
        <v>101</v>
      </c>
      <c r="C25" s="29" t="str">
        <f>+VLOOKUP(B25,그룹핑마스터!$B$13:$C$44,2,0)</f>
        <v>영업비_지급수수료_소프트웨어사용비</v>
      </c>
      <c r="D25" s="29">
        <v>13340.019999999999</v>
      </c>
      <c r="E25" s="29">
        <v>21354.210000000003</v>
      </c>
      <c r="F25" s="29">
        <v>14734.519999999999</v>
      </c>
      <c r="G25" s="29">
        <v>11925.679999999998</v>
      </c>
      <c r="H25" s="29">
        <v>20698.439999999999</v>
      </c>
      <c r="I25" s="29">
        <v>17983.479999999996</v>
      </c>
    </row>
    <row r="26" spans="2:9">
      <c r="B26" s="29" t="s">
        <v>143</v>
      </c>
      <c r="C26" s="29" t="str">
        <f>+VLOOKUP(B26,그룹핑마스터!$B$13:$C$44,2,0)</f>
        <v>영업비_지급수수료_결제수수료</v>
      </c>
      <c r="D26" s="29">
        <v>567.24</v>
      </c>
      <c r="E26" s="29">
        <v>567.20000000000005</v>
      </c>
      <c r="F26" s="29">
        <v>328</v>
      </c>
      <c r="G26" s="29">
        <v>328</v>
      </c>
      <c r="H26" s="29">
        <v>328</v>
      </c>
      <c r="I26" s="29">
        <v>328</v>
      </c>
    </row>
    <row r="27" spans="2:9">
      <c r="B27" s="29" t="s">
        <v>198</v>
      </c>
      <c r="C27" s="29" t="str">
        <f>+VLOOKUP(B27,그룹핑마스터!$B$13:$C$44,2,0)</f>
        <v>영업비_지급수수료_멤버쉽</v>
      </c>
      <c r="D27" s="29">
        <v>3532.81</v>
      </c>
      <c r="E27" s="29">
        <v>2531.84</v>
      </c>
      <c r="F27" s="29">
        <v>6480.6</v>
      </c>
      <c r="G27" s="29">
        <v>1245.92</v>
      </c>
      <c r="H27" s="29">
        <v>376.26</v>
      </c>
      <c r="I27" s="29">
        <v>768.13</v>
      </c>
    </row>
    <row r="28" spans="2:9">
      <c r="B28" s="29" t="s">
        <v>43</v>
      </c>
      <c r="C28" s="29" t="str">
        <f>+VLOOKUP(B28,그룹핑마스터!$B$13:$C$44,2,0)</f>
        <v>영업비_사무실임차료</v>
      </c>
      <c r="D28" s="29">
        <v>24649.53</v>
      </c>
      <c r="E28" s="29">
        <v>24651.739999999998</v>
      </c>
      <c r="F28" s="29">
        <v>24653.989999999998</v>
      </c>
      <c r="G28" s="29">
        <v>24656.17</v>
      </c>
      <c r="H28" s="29">
        <v>24658.39</v>
      </c>
      <c r="I28" s="29">
        <v>24660.63</v>
      </c>
    </row>
    <row r="29" spans="2:9">
      <c r="B29" s="29" t="s">
        <v>49</v>
      </c>
      <c r="C29" s="29" t="str">
        <f>+VLOOKUP(B29,그룹핑마스터!$B$13:$C$44,2,0)</f>
        <v>영업비_샘플개발비</v>
      </c>
      <c r="D29" s="29">
        <v>38117.17</v>
      </c>
      <c r="E29" s="29">
        <v>5126.67</v>
      </c>
      <c r="F29" s="29">
        <v>3228.46</v>
      </c>
      <c r="G29" s="29">
        <v>19361.090000000004</v>
      </c>
      <c r="H29" s="29">
        <v>2318.4700000000007</v>
      </c>
      <c r="I29" s="29">
        <v>4924.2300000000005</v>
      </c>
    </row>
    <row r="30" spans="2:9">
      <c r="B30" s="29" t="s">
        <v>50</v>
      </c>
      <c r="C30" s="29" t="str">
        <f>+VLOOKUP(B30,그룹핑마스터!$B$13:$C$44,2,0)</f>
        <v>영업비_샘플개발비_원단소재샘플</v>
      </c>
      <c r="D30" s="29">
        <v>2643.63</v>
      </c>
      <c r="E30" s="29">
        <v>0</v>
      </c>
      <c r="F30" s="29">
        <v>144</v>
      </c>
      <c r="G30" s="29">
        <v>0</v>
      </c>
      <c r="H30" s="29">
        <v>0</v>
      </c>
      <c r="I30" s="29">
        <v>0</v>
      </c>
    </row>
    <row r="31" spans="2:9">
      <c r="B31" s="29" t="s">
        <v>54</v>
      </c>
      <c r="C31" s="29" t="str">
        <f>+VLOOKUP(B31,그룹핑마스터!$B$13:$C$44,2,0)</f>
        <v>영업비_샘플개발비_개발모델피팅</v>
      </c>
      <c r="D31" s="29">
        <v>1500</v>
      </c>
      <c r="E31" s="29">
        <v>300</v>
      </c>
      <c r="F31" s="29">
        <v>2000</v>
      </c>
      <c r="G31" s="29">
        <v>0</v>
      </c>
      <c r="H31" s="29">
        <v>400</v>
      </c>
      <c r="I31" s="29">
        <v>1700</v>
      </c>
    </row>
    <row r="32" spans="2:9">
      <c r="B32" s="29" t="s">
        <v>58</v>
      </c>
      <c r="C32" s="29" t="str">
        <f>+VLOOKUP(B32,그룹핑마스터!$B$13:$C$44,2,0)</f>
        <v>영업비_샘플개발비_상품개발비</v>
      </c>
      <c r="D32" s="29">
        <v>33542.5</v>
      </c>
      <c r="E32" s="29">
        <v>3493.5699999999997</v>
      </c>
      <c r="F32" s="29">
        <v>0</v>
      </c>
      <c r="G32" s="29">
        <v>4151.25</v>
      </c>
      <c r="H32" s="29">
        <v>0</v>
      </c>
      <c r="I32" s="29">
        <v>0</v>
      </c>
    </row>
    <row r="33" spans="2:9">
      <c r="B33" s="29" t="s">
        <v>61</v>
      </c>
      <c r="C33" s="29" t="str">
        <f>+VLOOKUP(B33,그룹핑마스터!$B$13:$C$44,2,0)</f>
        <v>영업비_샘플개발비_샘플비</v>
      </c>
      <c r="D33" s="29">
        <v>431.04</v>
      </c>
      <c r="E33" s="29">
        <v>1333.1</v>
      </c>
      <c r="F33" s="29">
        <v>1084.46</v>
      </c>
      <c r="G33" s="29">
        <v>15209.840000000002</v>
      </c>
      <c r="H33" s="29">
        <v>1918.4700000000007</v>
      </c>
      <c r="I33" s="29">
        <v>3224.2300000000005</v>
      </c>
    </row>
    <row r="34" spans="2:9">
      <c r="B34" s="29" t="s">
        <v>30</v>
      </c>
      <c r="C34" s="29" t="str">
        <f>+VLOOKUP(B34,그룹핑마스터!$B$13:$C$44,2,0)</f>
        <v>영업비_식대출장비</v>
      </c>
      <c r="D34" s="29">
        <v>4954.1500000000005</v>
      </c>
      <c r="E34" s="29">
        <v>4505.18</v>
      </c>
      <c r="F34" s="29">
        <v>23731.360000000001</v>
      </c>
      <c r="G34" s="29">
        <v>4693.8700000000008</v>
      </c>
      <c r="H34" s="29">
        <v>11759.87</v>
      </c>
      <c r="I34" s="29">
        <v>1264.1300000000001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3D10-4991-46D4-88A7-3C2FA328C7E8}">
  <dimension ref="B3:I36"/>
  <sheetViews>
    <sheetView topLeftCell="B1" workbookViewId="0">
      <selection activeCell="C20" sqref="C20"/>
    </sheetView>
  </sheetViews>
  <sheetFormatPr defaultRowHeight="16.5"/>
  <cols>
    <col min="2" max="2" width="45.5" bestFit="1" customWidth="1"/>
    <col min="3" max="3" width="45.5" customWidth="1"/>
    <col min="4" max="9" width="23" customWidth="1"/>
  </cols>
  <sheetData>
    <row r="3" spans="2:9">
      <c r="B3" s="29" t="s">
        <v>182</v>
      </c>
      <c r="C3" s="29" t="s">
        <v>200</v>
      </c>
      <c r="D3" s="29" t="s">
        <v>190</v>
      </c>
      <c r="E3" s="29" t="s">
        <v>191</v>
      </c>
      <c r="F3" s="29" t="s">
        <v>192</v>
      </c>
      <c r="G3" s="29" t="s">
        <v>184</v>
      </c>
      <c r="H3" s="29" t="s">
        <v>193</v>
      </c>
      <c r="I3" s="29" t="s">
        <v>186</v>
      </c>
    </row>
    <row r="4" spans="2:9">
      <c r="B4" s="29" t="s">
        <v>10</v>
      </c>
      <c r="C4" s="29" t="str">
        <f>+VLOOKUP(B4,그룹핑마스터!$B$12:$C$44,2,0)</f>
        <v>영업비_광고선전비</v>
      </c>
      <c r="D4" s="29">
        <v>-15427.71</v>
      </c>
      <c r="E4" s="29">
        <v>6973.7699999999995</v>
      </c>
      <c r="F4" s="29">
        <v>49370.03</v>
      </c>
      <c r="G4" s="29">
        <v>38324.42</v>
      </c>
      <c r="H4" s="29">
        <v>69395.239999999991</v>
      </c>
      <c r="I4" s="29">
        <v>80279.94</v>
      </c>
    </row>
    <row r="5" spans="2:9">
      <c r="B5" s="29" t="s">
        <v>12</v>
      </c>
      <c r="C5" s="29" t="str">
        <f>+VLOOKUP(B5,그룹핑마스터!$B$12:$C$44,2,0)</f>
        <v>영업비_광고선전비_Photography</v>
      </c>
      <c r="D5" s="29">
        <v>0</v>
      </c>
      <c r="E5" s="29">
        <v>5298</v>
      </c>
      <c r="F5" s="29">
        <v>36250</v>
      </c>
      <c r="G5" s="29">
        <v>36250</v>
      </c>
      <c r="H5" s="29">
        <f>49260+16267.2</f>
        <v>65527.199999999997</v>
      </c>
      <c r="I5" s="29">
        <v>55535</v>
      </c>
    </row>
    <row r="6" spans="2:9">
      <c r="B6" s="29" t="s">
        <v>20</v>
      </c>
      <c r="C6" s="29" t="str">
        <f>+VLOOKUP(B6,그룹핑마스터!$B$12:$C$44,2,0)</f>
        <v>영업비_광고선전비_Advertising</v>
      </c>
      <c r="D6" s="29">
        <v>2916.67</v>
      </c>
      <c r="E6" s="29">
        <v>-2916.67</v>
      </c>
      <c r="F6" s="29">
        <v>0</v>
      </c>
      <c r="G6" s="29">
        <v>0</v>
      </c>
      <c r="H6" s="29">
        <v>0</v>
      </c>
      <c r="I6" s="29">
        <v>0</v>
      </c>
    </row>
    <row r="7" spans="2:9">
      <c r="B7" s="29" t="s">
        <v>21</v>
      </c>
      <c r="C7" s="29" t="str">
        <f>+VLOOKUP(B7,그룹핑마스터!$B$12:$C$44,2,0)</f>
        <v>영업비_광고선전비_SEM브랜드마케팅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</row>
    <row r="8" spans="2:9">
      <c r="B8" s="29" t="s">
        <v>19</v>
      </c>
      <c r="C8" s="29" t="str">
        <f>+VLOOKUP(B8,그룹핑마스터!$B$12:$C$44,2,0)</f>
        <v>영업비_광고선전비_Events</v>
      </c>
      <c r="D8" s="29">
        <f>-27800+71.94</f>
        <v>-27728.06</v>
      </c>
      <c r="E8" s="29">
        <v>272.81</v>
      </c>
      <c r="F8" s="29">
        <v>5006.8999999999996</v>
      </c>
      <c r="G8" s="29">
        <v>0</v>
      </c>
      <c r="H8" s="29">
        <v>0</v>
      </c>
      <c r="I8" s="29">
        <v>25.69</v>
      </c>
    </row>
    <row r="9" spans="2:9">
      <c r="B9" s="29" t="s">
        <v>23</v>
      </c>
      <c r="C9" s="29" t="str">
        <f>+VLOOKUP(B9,그룹핑마스터!$B$12:$C$44,2,0)</f>
        <v>영업비_광고선전비_Model</v>
      </c>
      <c r="D9" s="29">
        <v>4425</v>
      </c>
      <c r="E9" s="29">
        <v>1740</v>
      </c>
      <c r="F9" s="29">
        <v>2100</v>
      </c>
      <c r="G9" s="29">
        <v>540</v>
      </c>
      <c r="H9" s="29">
        <v>2400</v>
      </c>
      <c r="I9" s="29">
        <v>20600</v>
      </c>
    </row>
    <row r="10" spans="2:9">
      <c r="B10" s="29" t="s">
        <v>29</v>
      </c>
      <c r="C10" s="29" t="str">
        <f>+VLOOKUP(B10,그룹핑마스터!$B$12:$C$44,2,0)</f>
        <v>영업비_광고선전비_Seeding</v>
      </c>
      <c r="D10" s="29">
        <v>4958.68</v>
      </c>
      <c r="E10" s="29">
        <v>2579.63</v>
      </c>
      <c r="F10" s="29">
        <v>6013.13</v>
      </c>
      <c r="G10" s="29">
        <v>1534.42</v>
      </c>
      <c r="H10" s="29">
        <v>1468.04</v>
      </c>
      <c r="I10" s="29">
        <v>4119.25</v>
      </c>
    </row>
    <row r="11" spans="2:9">
      <c r="B11" s="29" t="s">
        <v>175</v>
      </c>
      <c r="C11" s="29" t="str">
        <f>+VLOOKUP(B11,그룹핑마스터!$B$12:$C$44,2,0)</f>
        <v>영업비_감가상각비</v>
      </c>
      <c r="D11" s="29">
        <v>3647.09</v>
      </c>
      <c r="E11" s="29">
        <v>3663.7200000000003</v>
      </c>
      <c r="F11" s="29">
        <v>3692.04</v>
      </c>
      <c r="G11" s="29">
        <v>3699.17</v>
      </c>
      <c r="H11" s="29">
        <v>3899.1500000000005</v>
      </c>
      <c r="I11" s="29">
        <v>3901.66</v>
      </c>
    </row>
    <row r="12" spans="2:9">
      <c r="B12" s="29" t="s">
        <v>152</v>
      </c>
      <c r="C12" s="29" t="str">
        <f>+VLOOKUP(B12,그룹핑마스터!$B$12:$C$44,2,0)</f>
        <v>영업비_기타비용</v>
      </c>
      <c r="D12" s="29">
        <v>-3735.239999999998</v>
      </c>
      <c r="E12" s="29">
        <v>10831.16</v>
      </c>
      <c r="F12" s="29">
        <v>-93316.11</v>
      </c>
      <c r="G12" s="29">
        <v>27682.059999999998</v>
      </c>
      <c r="H12" s="29">
        <v>38823.759999999995</v>
      </c>
      <c r="I12" s="29">
        <v>32346.05</v>
      </c>
    </row>
    <row r="13" spans="2:9">
      <c r="B13" s="29" t="s">
        <v>153</v>
      </c>
      <c r="C13" s="29" t="str">
        <f>+VLOOKUP(B13,그룹핑마스터!$B$12:$C$44,2,0)</f>
        <v>영업비_기타비용_기타버퍼비용</v>
      </c>
      <c r="D13" s="29">
        <v>2231.73</v>
      </c>
      <c r="E13" s="29">
        <v>7005.0299999999988</v>
      </c>
      <c r="F13" s="29">
        <v>9855.92</v>
      </c>
      <c r="G13" s="29">
        <v>3544.5300000000007</v>
      </c>
      <c r="H13" s="29">
        <v>2150.96</v>
      </c>
      <c r="I13" s="29">
        <v>5004.76</v>
      </c>
    </row>
    <row r="14" spans="2:9">
      <c r="B14" s="29" t="s">
        <v>162</v>
      </c>
      <c r="C14" s="29" t="str">
        <f>+VLOOKUP(B14,그룹핑마스터!$B$12:$C$44,2,0)</f>
        <v>영업비_기타비용_수도광열비</v>
      </c>
      <c r="D14" s="29">
        <v>-6979.0599999999986</v>
      </c>
      <c r="E14" s="29">
        <v>963.37</v>
      </c>
      <c r="F14" s="29">
        <v>-545.28000000000122</v>
      </c>
      <c r="G14" s="29">
        <v>15811.869999999997</v>
      </c>
      <c r="H14" s="29">
        <v>35691.909999999996</v>
      </c>
      <c r="I14" s="29">
        <v>3680.0899999999997</v>
      </c>
    </row>
    <row r="15" spans="2:9">
      <c r="B15" s="29" t="s">
        <v>159</v>
      </c>
      <c r="C15" s="29" t="str">
        <f>+VLOOKUP(B15,그룹핑마스터!$B$12:$C$44,2,0)</f>
        <v>영업비_기타비용_매출채널외운반비</v>
      </c>
      <c r="D15" s="29">
        <v>284.09000000000003</v>
      </c>
      <c r="E15" s="29">
        <v>1712.0500000000002</v>
      </c>
      <c r="F15" s="29">
        <v>879.13</v>
      </c>
      <c r="G15" s="29">
        <v>1051.67</v>
      </c>
      <c r="H15" s="29">
        <v>870.59</v>
      </c>
      <c r="I15" s="29">
        <v>864.62000000000012</v>
      </c>
    </row>
    <row r="16" spans="2:9">
      <c r="B16" s="29" t="s">
        <v>199</v>
      </c>
      <c r="C16" s="29" t="str">
        <f>+VLOOKUP(B16,그룹핑마스터!$B$12:$C$44,2,0)</f>
        <v>영업비_기타비용_전화</v>
      </c>
      <c r="D16" s="29">
        <v>0</v>
      </c>
      <c r="E16" s="29">
        <v>0</v>
      </c>
      <c r="F16" s="29">
        <v>0</v>
      </c>
      <c r="G16" s="29">
        <v>0</v>
      </c>
      <c r="H16" s="29">
        <v>110.3</v>
      </c>
      <c r="I16" s="29">
        <v>0</v>
      </c>
    </row>
    <row r="17" spans="2:9">
      <c r="B17" s="29" t="s">
        <v>172</v>
      </c>
      <c r="C17" s="29" t="str">
        <f>+VLOOKUP(B17,그룹핑마스터!$B$12:$C$44,2,0)</f>
        <v>영업비_기타비용_대손상각비</v>
      </c>
      <c r="D17" s="29">
        <v>0</v>
      </c>
      <c r="E17" s="29">
        <v>0</v>
      </c>
      <c r="F17" s="29">
        <v>810.85</v>
      </c>
      <c r="G17" s="29">
        <v>0</v>
      </c>
      <c r="H17" s="29">
        <v>0</v>
      </c>
      <c r="I17" s="29">
        <v>20813</v>
      </c>
    </row>
    <row r="18" spans="2:9">
      <c r="B18" s="29" t="s">
        <v>173</v>
      </c>
      <c r="C18" s="29" t="str">
        <f>+VLOOKUP(B18,그룹핑마스터!$B$12:$C$44,2,0)</f>
        <v>영업비_기타비용_재고평가감</v>
      </c>
      <c r="D18" s="29">
        <v>0</v>
      </c>
      <c r="E18" s="29">
        <v>0</v>
      </c>
      <c r="F18" s="29">
        <v>-104644.3</v>
      </c>
      <c r="G18" s="29">
        <v>0</v>
      </c>
      <c r="H18" s="29">
        <v>0</v>
      </c>
      <c r="I18" s="29">
        <v>1684.19</v>
      </c>
    </row>
    <row r="19" spans="2:9">
      <c r="B19" s="29" t="s">
        <v>174</v>
      </c>
      <c r="C19" s="29" t="str">
        <f>+VLOOKUP(B19,그룹핑마스터!$B$12:$C$44,2,0)</f>
        <v>영업비_기타비용_세금과공과</v>
      </c>
      <c r="D19" s="29">
        <v>728</v>
      </c>
      <c r="E19" s="29">
        <v>1150.71</v>
      </c>
      <c r="F19" s="29">
        <v>327.57</v>
      </c>
      <c r="G19" s="29">
        <v>7273.99</v>
      </c>
      <c r="H19" s="29">
        <v>0</v>
      </c>
      <c r="I19" s="29">
        <v>299.39</v>
      </c>
    </row>
    <row r="20" spans="2:9">
      <c r="B20" s="29" t="s">
        <v>68</v>
      </c>
      <c r="C20" s="29" t="str">
        <f>+VLOOKUP(B20,그룹핑마스터!$B$12:$C$44,2,0)</f>
        <v>영업비_지급수수료</v>
      </c>
      <c r="D20" s="29">
        <v>74248.11</v>
      </c>
      <c r="E20" s="29">
        <v>55464.179999999993</v>
      </c>
      <c r="F20" s="29">
        <v>163784.21</v>
      </c>
      <c r="G20" s="29">
        <v>75320.01999999999</v>
      </c>
      <c r="H20" s="29">
        <v>53595.299999999996</v>
      </c>
      <c r="I20" s="29">
        <v>49319.4</v>
      </c>
    </row>
    <row r="21" spans="2:9">
      <c r="B21" s="29" t="s">
        <v>71</v>
      </c>
      <c r="C21" s="29" t="str">
        <f>+VLOOKUP(B21,그룹핑마스터!$B$12:$C$44,2,0)</f>
        <v>영업비_지급수수료_리크루팅서비스</v>
      </c>
      <c r="D21" s="29">
        <v>1714.49</v>
      </c>
      <c r="E21" s="29">
        <v>0</v>
      </c>
      <c r="F21" s="29">
        <v>16000</v>
      </c>
      <c r="G21" s="29">
        <v>5143.47</v>
      </c>
      <c r="H21" s="29">
        <v>1714.49</v>
      </c>
      <c r="I21" s="29">
        <v>1714.49</v>
      </c>
    </row>
    <row r="22" spans="2:9">
      <c r="B22" s="29" t="s">
        <v>75</v>
      </c>
      <c r="C22" s="29" t="str">
        <f>+VLOOKUP(B22,그룹핑마스터!$B$12:$C$44,2,0)</f>
        <v>영업비_지급수수료_페이롤서비스</v>
      </c>
      <c r="D22" s="29">
        <v>6657.99</v>
      </c>
      <c r="E22" s="29">
        <v>11078.369999999999</v>
      </c>
      <c r="F22" s="29">
        <v>10242.85</v>
      </c>
      <c r="G22" s="29">
        <v>6570.5</v>
      </c>
      <c r="H22" s="29">
        <v>4530.5</v>
      </c>
      <c r="I22" s="29">
        <v>5470.5</v>
      </c>
    </row>
    <row r="23" spans="2:9">
      <c r="B23" s="29" t="s">
        <v>87</v>
      </c>
      <c r="C23" s="29" t="str">
        <f>+VLOOKUP(B23,그룹핑마스터!$B$12:$C$44,2,0)</f>
        <v>영업비_지급수수료_회계법률서비스</v>
      </c>
      <c r="D23" s="29">
        <v>7398.2800000000007</v>
      </c>
      <c r="E23" s="29">
        <v>10084.33</v>
      </c>
      <c r="F23" s="29">
        <v>13103.140000000001</v>
      </c>
      <c r="G23" s="29">
        <v>5849.24</v>
      </c>
      <c r="H23" s="29">
        <v>5262.12</v>
      </c>
      <c r="I23" s="29">
        <v>4313.09</v>
      </c>
    </row>
    <row r="24" spans="2:9">
      <c r="B24" s="29" t="s">
        <v>90</v>
      </c>
      <c r="C24" s="29" t="str">
        <f>+VLOOKUP(B24,그룹핑마스터!$B$12:$C$44,2,0)</f>
        <v>영업비_지급수수료_전문용역비</v>
      </c>
      <c r="D24" s="29">
        <v>41542.640000000007</v>
      </c>
      <c r="E24" s="29">
        <v>23360.89</v>
      </c>
      <c r="F24" s="29">
        <v>112306.35</v>
      </c>
      <c r="G24" s="29">
        <v>21829.17</v>
      </c>
      <c r="H24" s="29">
        <v>11039.75</v>
      </c>
      <c r="I24" s="29">
        <v>16774.330000000002</v>
      </c>
    </row>
    <row r="25" spans="2:9">
      <c r="B25" s="29" t="s">
        <v>98</v>
      </c>
      <c r="C25" s="29" t="str">
        <f>+VLOOKUP(B25,그룹핑마스터!$B$12:$C$44,2,0)</f>
        <v>영업비_지급수수료_보험료</v>
      </c>
      <c r="D25" s="29">
        <v>4250.6099999999988</v>
      </c>
      <c r="E25" s="29">
        <v>1644.1399999999999</v>
      </c>
      <c r="F25" s="29">
        <v>2694.4700000000007</v>
      </c>
      <c r="G25" s="29">
        <v>1470.72</v>
      </c>
      <c r="H25" s="29">
        <v>8830.19</v>
      </c>
      <c r="I25" s="29">
        <v>2626.99</v>
      </c>
    </row>
    <row r="26" spans="2:9">
      <c r="B26" s="29" t="s">
        <v>101</v>
      </c>
      <c r="C26" s="29" t="str">
        <f>+VLOOKUP(B26,그룹핑마스터!$B$12:$C$44,2,0)</f>
        <v>영업비_지급수수료_소프트웨어사용비</v>
      </c>
      <c r="D26" s="29">
        <v>10058.9</v>
      </c>
      <c r="E26" s="29">
        <v>7216.14</v>
      </c>
      <c r="F26" s="29">
        <v>7324.99</v>
      </c>
      <c r="G26" s="29">
        <v>31692.219999999998</v>
      </c>
      <c r="H26" s="29">
        <v>13217.23</v>
      </c>
      <c r="I26" s="29">
        <v>14062.2</v>
      </c>
    </row>
    <row r="27" spans="2:9">
      <c r="B27" s="29" t="s">
        <v>143</v>
      </c>
      <c r="C27" s="29" t="str">
        <f>+VLOOKUP(B27,그룹핑마스터!$B$12:$C$44,2,0)</f>
        <v>영업비_지급수수료_결제수수료</v>
      </c>
      <c r="D27" s="29">
        <v>2080.31</v>
      </c>
      <c r="E27" s="29">
        <v>2080.31</v>
      </c>
      <c r="F27" s="29">
        <v>2080.31</v>
      </c>
      <c r="G27" s="29">
        <v>2305.33</v>
      </c>
      <c r="H27" s="29">
        <v>2896.88</v>
      </c>
      <c r="I27" s="29">
        <v>3071.88</v>
      </c>
    </row>
    <row r="28" spans="2:9">
      <c r="B28" s="29" t="s">
        <v>198</v>
      </c>
      <c r="C28" s="29" t="str">
        <f>+VLOOKUP(B28,그룹핑마스터!$B$12:$C$44,2,0)</f>
        <v>영업비_지급수수료_멤버쉽</v>
      </c>
      <c r="D28" s="29">
        <f>35+509.89</f>
        <v>544.89</v>
      </c>
      <c r="E28" s="29">
        <v>0</v>
      </c>
      <c r="F28" s="29">
        <f>4.6+27.42</f>
        <v>32.020000000000003</v>
      </c>
      <c r="G28" s="29">
        <f>12.42+447</f>
        <v>459.42</v>
      </c>
      <c r="H28" s="29">
        <f>12.42+6091.72</f>
        <v>6104.14</v>
      </c>
      <c r="I28" s="29">
        <v>1285.92</v>
      </c>
    </row>
    <row r="29" spans="2:9">
      <c r="B29" s="29" t="s">
        <v>43</v>
      </c>
      <c r="C29" s="29" t="str">
        <f>+VLOOKUP(B29,그룹핑마스터!$B$12:$C$44,2,0)</f>
        <v>영업비_사무실임차료</v>
      </c>
      <c r="D29" s="29">
        <v>33913.35</v>
      </c>
      <c r="E29" s="29">
        <v>33915.440000000002</v>
      </c>
      <c r="F29" s="29">
        <v>33917.550000000003</v>
      </c>
      <c r="G29" s="29">
        <v>33919.67</v>
      </c>
      <c r="H29" s="29">
        <v>33921.800000000003</v>
      </c>
      <c r="I29" s="29">
        <v>-21937.620000000006</v>
      </c>
    </row>
    <row r="30" spans="2:9">
      <c r="B30" s="29" t="s">
        <v>49</v>
      </c>
      <c r="C30" s="29" t="str">
        <f>+VLOOKUP(B30,그룹핑마스터!$B$12:$C$44,2,0)</f>
        <v>영업비_샘플개발비</v>
      </c>
      <c r="D30" s="29">
        <v>6774.8</v>
      </c>
      <c r="E30" s="29">
        <v>44201.069999999992</v>
      </c>
      <c r="F30" s="29">
        <v>315.84000000000003</v>
      </c>
      <c r="G30" s="29">
        <v>1154.31</v>
      </c>
      <c r="H30" s="29">
        <v>21269.01</v>
      </c>
      <c r="I30" s="29">
        <v>14715.689999999999</v>
      </c>
    </row>
    <row r="31" spans="2:9">
      <c r="B31" s="29" t="s">
        <v>50</v>
      </c>
      <c r="C31" s="29" t="str">
        <f>+VLOOKUP(B31,그룹핑마스터!$B$12:$C$44,2,0)</f>
        <v>영업비_샘플개발비_원단소재샘플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</row>
    <row r="32" spans="2:9">
      <c r="B32" s="29" t="s">
        <v>54</v>
      </c>
      <c r="C32" s="29" t="str">
        <f>+VLOOKUP(B32,그룹핑마스터!$B$12:$C$44,2,0)</f>
        <v>영업비_샘플개발비_개발모델피팅</v>
      </c>
      <c r="D32" s="29">
        <v>6745</v>
      </c>
      <c r="E32" s="29">
        <v>6870</v>
      </c>
      <c r="F32" s="29">
        <v>0</v>
      </c>
      <c r="G32" s="29">
        <v>600</v>
      </c>
      <c r="H32" s="29">
        <v>4500</v>
      </c>
      <c r="I32" s="29">
        <v>540</v>
      </c>
    </row>
    <row r="33" spans="2:9">
      <c r="B33" s="29" t="s">
        <v>58</v>
      </c>
      <c r="C33" s="29" t="str">
        <f>+VLOOKUP(B33,그룹핑마스터!$B$12:$C$44,2,0)</f>
        <v>영업비_샘플개발비_상품개발비</v>
      </c>
      <c r="D33" s="29">
        <v>0</v>
      </c>
      <c r="E33" s="29">
        <v>1625</v>
      </c>
      <c r="F33" s="29">
        <v>0</v>
      </c>
      <c r="G33" s="29">
        <v>0</v>
      </c>
      <c r="H33" s="29">
        <v>0</v>
      </c>
      <c r="I33" s="29">
        <v>12542.32</v>
      </c>
    </row>
    <row r="34" spans="2:9">
      <c r="B34" s="29" t="s">
        <v>61</v>
      </c>
      <c r="C34" s="29" t="str">
        <f>+VLOOKUP(B34,그룹핑마스터!$B$12:$C$44,2,0)</f>
        <v>영업비_샘플개발비_샘플비</v>
      </c>
      <c r="D34" s="29">
        <v>29.8</v>
      </c>
      <c r="E34" s="29">
        <v>35706.069999999992</v>
      </c>
      <c r="F34" s="29">
        <v>315.84000000000003</v>
      </c>
      <c r="G34" s="29">
        <v>554.30999999999995</v>
      </c>
      <c r="H34" s="29">
        <v>16769.009999999998</v>
      </c>
      <c r="I34" s="29">
        <v>1633.37</v>
      </c>
    </row>
    <row r="35" spans="2:9">
      <c r="B35" s="29" t="s">
        <v>30</v>
      </c>
      <c r="C35" s="29" t="str">
        <f>+VLOOKUP(B35,그룹핑마스터!$B$12:$C$44,2,0)</f>
        <v>영업비_식대출장비</v>
      </c>
      <c r="D35" s="29">
        <v>8476.25</v>
      </c>
      <c r="E35" s="29">
        <v>8270.880000000001</v>
      </c>
      <c r="F35" s="29">
        <v>19581.609999999997</v>
      </c>
      <c r="G35" s="29">
        <v>8317.4599999999991</v>
      </c>
      <c r="H35" s="29">
        <v>8876.4</v>
      </c>
      <c r="I35" s="29">
        <v>4972.4799999999996</v>
      </c>
    </row>
    <row r="36" spans="2:9">
      <c r="B36" s="29" t="s">
        <v>183</v>
      </c>
      <c r="C36" s="29"/>
      <c r="D36" s="29">
        <v>107896.65</v>
      </c>
      <c r="E36" s="29">
        <v>163320.21999999994</v>
      </c>
      <c r="F36" s="29">
        <v>177345.17</v>
      </c>
      <c r="G36" s="29">
        <v>188417.11</v>
      </c>
      <c r="H36" s="29">
        <v>229780.66000000003</v>
      </c>
      <c r="I36" s="29">
        <v>163597.60000000003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9DCC-2FCF-4BE5-9886-3814D69F7167}">
  <dimension ref="B3:C53"/>
  <sheetViews>
    <sheetView topLeftCell="A18" zoomScale="115" zoomScaleNormal="115" workbookViewId="0">
      <selection activeCell="C9" sqref="C8:C9"/>
    </sheetView>
  </sheetViews>
  <sheetFormatPr defaultRowHeight="16.5"/>
  <cols>
    <col min="2" max="2" width="33.125" customWidth="1"/>
    <col min="3" max="3" width="45.5" bestFit="1" customWidth="1"/>
  </cols>
  <sheetData>
    <row r="3" spans="2:3">
      <c r="C3" s="29"/>
    </row>
    <row r="4" spans="2:3">
      <c r="C4" s="29"/>
    </row>
    <row r="5" spans="2:3">
      <c r="C5" s="29"/>
    </row>
    <row r="6" spans="2:3">
      <c r="C6" s="29"/>
    </row>
    <row r="7" spans="2:3">
      <c r="C7" s="29"/>
    </row>
    <row r="8" spans="2:3">
      <c r="C8" s="29"/>
    </row>
    <row r="9" spans="2:3">
      <c r="C9" s="29"/>
    </row>
    <row r="10" spans="2:3">
      <c r="C10" s="29"/>
    </row>
    <row r="11" spans="2:3">
      <c r="C11" s="29"/>
    </row>
    <row r="12" spans="2:3">
      <c r="B12" t="s">
        <v>188</v>
      </c>
      <c r="C12" s="29" t="s">
        <v>189</v>
      </c>
    </row>
    <row r="13" spans="2:3">
      <c r="B13" s="29" t="s">
        <v>10</v>
      </c>
      <c r="C13" s="29" t="s">
        <v>201</v>
      </c>
    </row>
    <row r="14" spans="2:3">
      <c r="B14" s="29" t="s">
        <v>12</v>
      </c>
      <c r="C14" s="29" t="s">
        <v>202</v>
      </c>
    </row>
    <row r="15" spans="2:3">
      <c r="B15" s="29" t="s">
        <v>20</v>
      </c>
      <c r="C15" s="29" t="s">
        <v>203</v>
      </c>
    </row>
    <row r="16" spans="2:3">
      <c r="B16" s="29" t="s">
        <v>21</v>
      </c>
      <c r="C16" s="29" t="s">
        <v>204</v>
      </c>
    </row>
    <row r="17" spans="2:3">
      <c r="B17" s="29" t="s">
        <v>19</v>
      </c>
      <c r="C17" s="29" t="s">
        <v>205</v>
      </c>
    </row>
    <row r="18" spans="2:3">
      <c r="B18" s="29" t="s">
        <v>23</v>
      </c>
      <c r="C18" s="29" t="s">
        <v>206</v>
      </c>
    </row>
    <row r="19" spans="2:3">
      <c r="B19" s="29" t="s">
        <v>29</v>
      </c>
      <c r="C19" s="29" t="s">
        <v>207</v>
      </c>
    </row>
    <row r="20" spans="2:3">
      <c r="B20" s="29" t="s">
        <v>68</v>
      </c>
      <c r="C20" s="29" t="s">
        <v>208</v>
      </c>
    </row>
    <row r="21" spans="2:3">
      <c r="B21" s="29" t="s">
        <v>71</v>
      </c>
      <c r="C21" s="29" t="s">
        <v>209</v>
      </c>
    </row>
    <row r="22" spans="2:3">
      <c r="B22" t="s">
        <v>75</v>
      </c>
      <c r="C22" s="29" t="s">
        <v>210</v>
      </c>
    </row>
    <row r="23" spans="2:3">
      <c r="B23" t="s">
        <v>87</v>
      </c>
      <c r="C23" s="29" t="s">
        <v>211</v>
      </c>
    </row>
    <row r="24" spans="2:3">
      <c r="B24" t="s">
        <v>90</v>
      </c>
      <c r="C24" s="29" t="s">
        <v>212</v>
      </c>
    </row>
    <row r="25" spans="2:3">
      <c r="B25" t="s">
        <v>98</v>
      </c>
      <c r="C25" s="29" t="s">
        <v>213</v>
      </c>
    </row>
    <row r="26" spans="2:3">
      <c r="B26" t="s">
        <v>101</v>
      </c>
      <c r="C26" s="29" t="s">
        <v>214</v>
      </c>
    </row>
    <row r="27" spans="2:3">
      <c r="B27" t="s">
        <v>143</v>
      </c>
      <c r="C27" s="29" t="s">
        <v>215</v>
      </c>
    </row>
    <row r="28" spans="2:3">
      <c r="B28" t="s">
        <v>198</v>
      </c>
      <c r="C28" s="29" t="s">
        <v>216</v>
      </c>
    </row>
    <row r="29" spans="2:3">
      <c r="B29" s="29" t="s">
        <v>30</v>
      </c>
      <c r="C29" s="29" t="s">
        <v>217</v>
      </c>
    </row>
    <row r="30" spans="2:3">
      <c r="B30" s="29" t="s">
        <v>43</v>
      </c>
      <c r="C30" s="29" t="s">
        <v>218</v>
      </c>
    </row>
    <row r="31" spans="2:3">
      <c r="B31" s="29" t="s">
        <v>49</v>
      </c>
      <c r="C31" s="29" t="s">
        <v>219</v>
      </c>
    </row>
    <row r="32" spans="2:3">
      <c r="B32" s="29" t="s">
        <v>50</v>
      </c>
      <c r="C32" s="29" t="s">
        <v>220</v>
      </c>
    </row>
    <row r="33" spans="2:3">
      <c r="B33" s="29" t="s">
        <v>54</v>
      </c>
      <c r="C33" s="29" t="s">
        <v>221</v>
      </c>
    </row>
    <row r="34" spans="2:3">
      <c r="B34" s="29" t="s">
        <v>58</v>
      </c>
      <c r="C34" s="29" t="s">
        <v>222</v>
      </c>
    </row>
    <row r="35" spans="2:3">
      <c r="B35" s="29" t="s">
        <v>61</v>
      </c>
      <c r="C35" s="29" t="s">
        <v>223</v>
      </c>
    </row>
    <row r="36" spans="2:3">
      <c r="B36" s="29" t="s">
        <v>175</v>
      </c>
      <c r="C36" s="29" t="s">
        <v>224</v>
      </c>
    </row>
    <row r="37" spans="2:3">
      <c r="B37" s="29" t="s">
        <v>152</v>
      </c>
      <c r="C37" s="29" t="s">
        <v>225</v>
      </c>
    </row>
    <row r="38" spans="2:3">
      <c r="B38" s="29" t="s">
        <v>153</v>
      </c>
      <c r="C38" s="29" t="s">
        <v>226</v>
      </c>
    </row>
    <row r="39" spans="2:3">
      <c r="B39" s="29" t="s">
        <v>162</v>
      </c>
      <c r="C39" s="29" t="s">
        <v>227</v>
      </c>
    </row>
    <row r="40" spans="2:3">
      <c r="B40" s="29" t="s">
        <v>159</v>
      </c>
      <c r="C40" s="29" t="s">
        <v>228</v>
      </c>
    </row>
    <row r="41" spans="2:3">
      <c r="B41" s="29" t="s">
        <v>199</v>
      </c>
      <c r="C41" s="29" t="s">
        <v>229</v>
      </c>
    </row>
    <row r="42" spans="2:3">
      <c r="B42" s="29" t="s">
        <v>172</v>
      </c>
      <c r="C42" s="29" t="s">
        <v>230</v>
      </c>
    </row>
    <row r="43" spans="2:3">
      <c r="B43" s="29" t="s">
        <v>173</v>
      </c>
      <c r="C43" s="29" t="s">
        <v>231</v>
      </c>
    </row>
    <row r="44" spans="2:3">
      <c r="B44" s="29" t="s">
        <v>174</v>
      </c>
      <c r="C44" s="29" t="s">
        <v>232</v>
      </c>
    </row>
    <row r="45" spans="2:3">
      <c r="C45" s="29"/>
    </row>
    <row r="46" spans="2:3">
      <c r="C46" s="29"/>
    </row>
    <row r="47" spans="2:3">
      <c r="C47" s="29"/>
    </row>
    <row r="48" spans="2:3">
      <c r="C48" s="29"/>
    </row>
    <row r="49" spans="3:3">
      <c r="C49" s="29"/>
    </row>
    <row r="50" spans="3:3">
      <c r="C50" s="29"/>
    </row>
    <row r="51" spans="3:3">
      <c r="C51" s="29"/>
    </row>
    <row r="52" spans="3:3">
      <c r="C52" s="29"/>
    </row>
    <row r="53" spans="3:3">
      <c r="C53" s="2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G&amp;A Vendor x GL Analysis</vt:lpstr>
      <vt:lpstr>Sheet6</vt:lpstr>
      <vt:lpstr>Sheet9</vt:lpstr>
      <vt:lpstr>Sheet7</vt:lpstr>
      <vt:lpstr>그룹핑마스터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kspark(박경수) F/KR/MGT/FPA</dc:creator>
  <cp:lastModifiedBy>kspark(박경수) F/KR/MGT/FPA</cp:lastModifiedBy>
  <dcterms:created xsi:type="dcterms:W3CDTF">2025-12-10T05:31:23Z</dcterms:created>
  <dcterms:modified xsi:type="dcterms:W3CDTF">2025-12-10T06:31:18Z</dcterms:modified>
</cp:coreProperties>
</file>